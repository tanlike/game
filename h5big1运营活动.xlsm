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0" yWindow="0" windowWidth="28800" windowHeight="11100" activeTab="1"/>
  </bookViews>
  <sheets>
    <sheet name="目录" sheetId="33" r:id="rId1"/>
    <sheet name="vip" sheetId="34" r:id="rId2"/>
    <sheet name="签到" sheetId="1" r:id="rId3"/>
    <sheet name="登陆" sheetId="2" r:id="rId4"/>
    <sheet name="其他" sheetId="3" r:id="rId5"/>
    <sheet name="个人活动" sheetId="4" r:id="rId6"/>
    <sheet name="开服前几天充值" sheetId="5" r:id="rId7"/>
    <sheet name="每日累充" sheetId="6" r:id="rId8"/>
    <sheet name="天天返利" sheetId="7" r:id="rId9"/>
    <sheet name="三日连充" sheetId="9" r:id="rId10"/>
    <sheet name="首充" sheetId="8" r:id="rId11"/>
    <sheet name="活动总览" sheetId="10" r:id="rId12"/>
    <sheet name="类型1" sheetId="11" r:id="rId13"/>
    <sheet name="类型2" sheetId="12" r:id="rId14"/>
    <sheet name="类型3" sheetId="14" r:id="rId15"/>
    <sheet name="类型4" sheetId="15" r:id="rId16"/>
    <sheet name="类型5" sheetId="16" r:id="rId17"/>
    <sheet name="类型6" sheetId="17" r:id="rId18"/>
    <sheet name="类型7" sheetId="18" r:id="rId19"/>
    <sheet name="类型8" sheetId="19" r:id="rId20"/>
    <sheet name="类型9" sheetId="20" r:id="rId21"/>
    <sheet name="类型10" sheetId="21" r:id="rId22"/>
    <sheet name="类型11-1" sheetId="22" r:id="rId23"/>
    <sheet name="类型11-2" sheetId="23" r:id="rId24"/>
    <sheet name="类型12" sheetId="24" r:id="rId25"/>
    <sheet name="类型18" sheetId="25" r:id="rId26"/>
    <sheet name="类型18掉落" sheetId="26" r:id="rId27"/>
    <sheet name="类型19" sheetId="28" r:id="rId28"/>
    <sheet name="类型20" sheetId="29" r:id="rId29"/>
    <sheet name="类型21" sheetId="30" r:id="rId30"/>
    <sheet name="类型22-1" sheetId="31" r:id="rId31"/>
    <sheet name="类型22-2" sheetId="32" r:id="rId32"/>
  </sheets>
  <externalReferences>
    <externalReference r:id="rId33"/>
    <externalReference r:id="rId34"/>
  </externalReferences>
  <definedNames>
    <definedName name="_xlnm._FilterDatabase" localSheetId="12" hidden="1">类型1!$A$2:$AC$229</definedName>
    <definedName name="_xlnm._FilterDatabase" localSheetId="22" hidden="1">'类型11-1'!$A$2:$L$63</definedName>
    <definedName name="_xlnm._FilterDatabase" localSheetId="23" hidden="1">'类型11-2'!$A$2:$T$453</definedName>
    <definedName name="_xlnm._FilterDatabase" localSheetId="13" hidden="1">类型2!$X$2:$AR$775</definedName>
    <definedName name="_xlnm._FilterDatabase" localSheetId="14" hidden="1">类型3!$H$2:$Y$375</definedName>
    <definedName name="_xlnm._FilterDatabase" localSheetId="15" hidden="1">类型4!$F$2:$N$170</definedName>
    <definedName name="_xlnm._FilterDatabase" localSheetId="16" hidden="1">类型5!$E$2:$S$87</definedName>
    <definedName name="_xlnm._FilterDatabase" localSheetId="18" hidden="1">类型7!$A$2:$O$838</definedName>
    <definedName name="_xlnm._FilterDatabase" localSheetId="20" hidden="1">类型9!$A$2:$BL$384</definedName>
    <definedName name="_xlnm._FilterDatabase" localSheetId="0" hidden="1">目录!$G$1:$J$409</definedName>
  </definedNames>
  <calcPr calcId="152511"/>
</workbook>
</file>

<file path=xl/calcChain.xml><?xml version="1.0" encoding="utf-8"?>
<calcChain xmlns="http://schemas.openxmlformats.org/spreadsheetml/2006/main">
  <c r="M38" i="34" l="1"/>
  <c r="M39" i="34"/>
  <c r="M40" i="34"/>
  <c r="M41" i="34"/>
  <c r="M42" i="34"/>
  <c r="M43" i="34"/>
  <c r="M44" i="34"/>
  <c r="M45" i="34"/>
  <c r="M37" i="34"/>
  <c r="J37" i="34"/>
  <c r="J38" i="34"/>
  <c r="J39" i="34"/>
  <c r="J40" i="34"/>
  <c r="J41" i="34"/>
  <c r="J42" i="34"/>
  <c r="J43" i="34"/>
  <c r="J44" i="34"/>
  <c r="J45" i="34"/>
  <c r="J36" i="34"/>
  <c r="G34" i="34"/>
  <c r="G35" i="34"/>
  <c r="G36" i="34"/>
  <c r="G37" i="34"/>
  <c r="G38" i="34"/>
  <c r="G39" i="34"/>
  <c r="G40" i="34"/>
  <c r="G41" i="34"/>
  <c r="G42" i="34"/>
  <c r="G43" i="34"/>
  <c r="G44" i="34"/>
  <c r="G45" i="34"/>
  <c r="G33" i="34"/>
  <c r="D39" i="34"/>
  <c r="D40" i="34"/>
  <c r="D41" i="34"/>
  <c r="D42" i="34"/>
  <c r="D43" i="34"/>
  <c r="D44" i="34"/>
  <c r="D45" i="34"/>
  <c r="D38" i="34"/>
  <c r="O28" i="34" l="1"/>
  <c r="O27" i="34"/>
  <c r="O26" i="34"/>
  <c r="O25" i="34"/>
  <c r="O24" i="34"/>
  <c r="O23" i="34"/>
  <c r="O22" i="34"/>
  <c r="O21" i="34"/>
  <c r="O20" i="34"/>
  <c r="O19" i="34"/>
  <c r="O18" i="34"/>
  <c r="O17" i="34"/>
  <c r="O9" i="34"/>
  <c r="L28" i="34"/>
  <c r="L27" i="34"/>
  <c r="L26" i="34"/>
  <c r="L25" i="34"/>
  <c r="L24" i="34"/>
  <c r="L23" i="34"/>
  <c r="L22" i="34"/>
  <c r="L21" i="34"/>
  <c r="L20" i="34"/>
  <c r="L19" i="34"/>
  <c r="L18" i="34"/>
  <c r="L17" i="34"/>
  <c r="L16" i="34"/>
  <c r="L15" i="34"/>
  <c r="L14" i="34"/>
  <c r="L13" i="34"/>
  <c r="L12" i="34"/>
  <c r="L11" i="34"/>
  <c r="L10" i="34"/>
  <c r="L9" i="34"/>
  <c r="L8" i="34"/>
  <c r="L7" i="34"/>
  <c r="I28" i="34"/>
  <c r="I27" i="34"/>
  <c r="I26" i="34"/>
  <c r="I25" i="34"/>
  <c r="I24" i="34"/>
  <c r="I23" i="34"/>
  <c r="I22" i="34"/>
  <c r="I21" i="34"/>
  <c r="I20" i="34"/>
  <c r="I19" i="34"/>
  <c r="I18" i="34"/>
  <c r="I17" i="34"/>
  <c r="I16" i="34"/>
  <c r="I15" i="34"/>
  <c r="I14" i="34"/>
  <c r="I13" i="34"/>
  <c r="I12" i="34"/>
  <c r="I11" i="34"/>
  <c r="I10" i="34"/>
  <c r="I9" i="34"/>
  <c r="I8" i="34"/>
  <c r="I7" i="34"/>
  <c r="I6" i="34"/>
  <c r="I5" i="34"/>
  <c r="I4" i="34"/>
  <c r="I3" i="34"/>
  <c r="F3" i="34"/>
  <c r="F4" i="34"/>
  <c r="F5" i="34"/>
  <c r="F6" i="34"/>
  <c r="F7" i="34"/>
  <c r="F8" i="34"/>
  <c r="F9" i="34"/>
  <c r="F10" i="34"/>
  <c r="F11" i="34"/>
  <c r="F12" i="34"/>
  <c r="F13" i="34"/>
  <c r="F14" i="34"/>
  <c r="F15" i="34"/>
  <c r="F16" i="34"/>
  <c r="F17" i="34"/>
  <c r="F18" i="34"/>
  <c r="F19" i="34"/>
  <c r="F20" i="34"/>
  <c r="F21" i="34"/>
  <c r="F22" i="34"/>
  <c r="F23" i="34"/>
  <c r="F24" i="34"/>
  <c r="F25" i="34"/>
  <c r="F26" i="34"/>
  <c r="F27" i="34"/>
  <c r="F28" i="34"/>
  <c r="F2" i="34"/>
  <c r="I45" i="14" l="1"/>
  <c r="P149" i="32" l="1"/>
  <c r="P96" i="32"/>
  <c r="P97" i="32"/>
  <c r="P98" i="32"/>
  <c r="P99" i="32"/>
  <c r="P100" i="32"/>
  <c r="P101" i="32"/>
  <c r="P102" i="32"/>
  <c r="P103" i="32"/>
  <c r="P104" i="32"/>
  <c r="P105" i="32"/>
  <c r="P106" i="32"/>
  <c r="P107" i="32"/>
  <c r="P108" i="32"/>
  <c r="P109" i="32"/>
  <c r="P110" i="32"/>
  <c r="P111" i="32"/>
  <c r="P112" i="32"/>
  <c r="P113" i="32"/>
  <c r="P114" i="32"/>
  <c r="P115" i="32"/>
  <c r="P116" i="32"/>
  <c r="P117" i="32"/>
  <c r="P118" i="32"/>
  <c r="P119" i="32"/>
  <c r="P120" i="32"/>
  <c r="P121" i="32"/>
  <c r="P122" i="32"/>
  <c r="P123" i="32"/>
  <c r="P124" i="32"/>
  <c r="P125" i="32"/>
  <c r="P126" i="32"/>
  <c r="P127" i="32"/>
  <c r="P128" i="32"/>
  <c r="P129" i="32"/>
  <c r="P130" i="32"/>
  <c r="P131" i="32"/>
  <c r="P132" i="32"/>
  <c r="P133" i="32"/>
  <c r="P134" i="32"/>
  <c r="P135" i="32"/>
  <c r="P136" i="32"/>
  <c r="P137" i="32"/>
  <c r="P138" i="32"/>
  <c r="P139" i="32"/>
  <c r="P140" i="32"/>
  <c r="P141" i="32"/>
  <c r="P142" i="32"/>
  <c r="P143" i="32"/>
  <c r="P144" i="32"/>
  <c r="P145" i="32"/>
  <c r="P146" i="32"/>
  <c r="P147" i="32"/>
  <c r="P148" i="32"/>
  <c r="P95" i="32"/>
  <c r="J4" i="32" l="1"/>
  <c r="J5" i="32"/>
  <c r="J6" i="32"/>
  <c r="J7" i="32"/>
  <c r="J8" i="32"/>
  <c r="J9" i="32"/>
  <c r="J10" i="32"/>
  <c r="J11" i="32"/>
  <c r="J12" i="32"/>
  <c r="J13" i="32"/>
  <c r="J14" i="32"/>
  <c r="J15" i="32"/>
  <c r="J16" i="32"/>
  <c r="J17" i="32"/>
  <c r="J18" i="32"/>
  <c r="J19" i="32"/>
  <c r="J20" i="32"/>
  <c r="J21" i="32"/>
  <c r="J22" i="32"/>
  <c r="J23" i="32"/>
  <c r="J24" i="32"/>
  <c r="J25" i="32"/>
  <c r="J26" i="32"/>
  <c r="J27" i="32"/>
  <c r="J28" i="32"/>
  <c r="J29" i="32"/>
  <c r="J30" i="32"/>
  <c r="J31" i="32"/>
  <c r="J32" i="32"/>
  <c r="J33" i="32"/>
  <c r="J34" i="32"/>
  <c r="J35" i="32"/>
  <c r="J36" i="32"/>
  <c r="J37" i="32"/>
  <c r="J38" i="32"/>
  <c r="J39" i="32"/>
  <c r="J40" i="32"/>
  <c r="J41" i="32"/>
  <c r="J42" i="32"/>
  <c r="J43" i="32"/>
  <c r="J44" i="32"/>
  <c r="J45" i="32"/>
  <c r="J46" i="32"/>
  <c r="J47" i="32"/>
  <c r="J48" i="32"/>
  <c r="J49" i="32"/>
  <c r="J50" i="32"/>
  <c r="J51" i="32"/>
  <c r="J52" i="32"/>
  <c r="J53" i="32"/>
  <c r="J54" i="32"/>
  <c r="J55" i="32"/>
  <c r="J56" i="32"/>
  <c r="J57" i="32"/>
  <c r="J58" i="32"/>
  <c r="J59" i="32"/>
  <c r="J60" i="32"/>
  <c r="J61" i="32"/>
  <c r="J62" i="32"/>
  <c r="J63" i="32"/>
  <c r="J64" i="32"/>
  <c r="J65" i="32"/>
  <c r="J66" i="32"/>
  <c r="J67" i="32"/>
  <c r="J68" i="32"/>
  <c r="J69" i="32"/>
  <c r="J70" i="32"/>
  <c r="J71" i="32"/>
  <c r="J72" i="32"/>
  <c r="J73" i="32"/>
  <c r="J74" i="32"/>
  <c r="J75" i="32"/>
  <c r="J76" i="32"/>
  <c r="J77" i="32"/>
  <c r="J78" i="32"/>
  <c r="J79" i="32"/>
  <c r="J80" i="32"/>
  <c r="J81" i="32"/>
  <c r="J82" i="32"/>
  <c r="J83" i="32"/>
  <c r="J84" i="32"/>
  <c r="J85" i="32"/>
  <c r="J86" i="32"/>
  <c r="J87" i="32"/>
  <c r="J88" i="32"/>
  <c r="J89" i="32"/>
  <c r="J90" i="32"/>
  <c r="J91" i="32"/>
  <c r="J92" i="32"/>
  <c r="J93" i="32"/>
  <c r="J94" i="32"/>
  <c r="J95" i="32"/>
  <c r="J96" i="32"/>
  <c r="J97" i="32"/>
  <c r="J98" i="32"/>
  <c r="J99" i="32"/>
  <c r="J100" i="32"/>
  <c r="J101" i="32"/>
  <c r="J102" i="32"/>
  <c r="J103" i="32"/>
  <c r="J104" i="32"/>
  <c r="J105" i="32"/>
  <c r="J106" i="32"/>
  <c r="J107" i="32"/>
  <c r="J108" i="32"/>
  <c r="J109" i="32"/>
  <c r="J110" i="32"/>
  <c r="J111" i="32"/>
  <c r="J112" i="32"/>
  <c r="J113" i="32"/>
  <c r="J114" i="32"/>
  <c r="J115" i="32"/>
  <c r="J116" i="32"/>
  <c r="J117" i="32"/>
  <c r="J118" i="32"/>
  <c r="J119" i="32"/>
  <c r="J120" i="32"/>
  <c r="J121" i="32"/>
  <c r="J122" i="32"/>
  <c r="J123" i="32"/>
  <c r="J124" i="32"/>
  <c r="J125" i="32"/>
  <c r="J126" i="32"/>
  <c r="J127" i="32"/>
  <c r="J128" i="32"/>
  <c r="J129" i="32"/>
  <c r="J130" i="32"/>
  <c r="J131" i="32"/>
  <c r="J132" i="32"/>
  <c r="J133" i="32"/>
  <c r="J134" i="32"/>
  <c r="J135" i="32"/>
  <c r="J136" i="32"/>
  <c r="J137" i="32"/>
  <c r="J138" i="32"/>
  <c r="J139" i="32"/>
  <c r="J140" i="32"/>
  <c r="J141" i="32"/>
  <c r="J142" i="32"/>
  <c r="J143" i="32"/>
  <c r="J144" i="32"/>
  <c r="J145" i="32"/>
  <c r="J146" i="32"/>
  <c r="J147" i="32"/>
  <c r="J148" i="32"/>
  <c r="J149" i="32"/>
  <c r="J150" i="32"/>
  <c r="J151" i="32"/>
  <c r="J152" i="32"/>
  <c r="J153" i="32"/>
  <c r="J154" i="32"/>
  <c r="J155" i="32"/>
  <c r="J156" i="32"/>
  <c r="J157" i="32"/>
  <c r="J158" i="32"/>
  <c r="J159" i="32"/>
  <c r="J160" i="32"/>
  <c r="J161" i="32"/>
  <c r="J162" i="32"/>
  <c r="J163" i="32"/>
  <c r="J164" i="32"/>
  <c r="J165" i="32"/>
  <c r="J166" i="32"/>
  <c r="J167" i="32"/>
  <c r="J168" i="32"/>
  <c r="J169" i="32"/>
  <c r="J170" i="32"/>
  <c r="J171" i="32"/>
  <c r="J172" i="32"/>
  <c r="J173" i="32"/>
  <c r="J174" i="32"/>
  <c r="J175" i="32"/>
  <c r="J176" i="32"/>
  <c r="J177" i="32"/>
  <c r="J178" i="32"/>
  <c r="J179" i="32"/>
  <c r="J180" i="32"/>
  <c r="J181" i="32"/>
  <c r="J182" i="32"/>
  <c r="J183" i="32"/>
  <c r="J184" i="32"/>
  <c r="J185" i="32"/>
  <c r="J186" i="32"/>
  <c r="J187" i="32"/>
  <c r="J188" i="32"/>
  <c r="J189" i="32"/>
  <c r="J190" i="32"/>
  <c r="J191" i="32"/>
  <c r="J192" i="32"/>
  <c r="J193" i="32"/>
  <c r="J194" i="32"/>
  <c r="J195" i="32"/>
  <c r="J196" i="32"/>
  <c r="J197" i="32"/>
  <c r="J198" i="32"/>
  <c r="J199" i="32"/>
  <c r="J200" i="32"/>
  <c r="J201" i="32"/>
  <c r="J202" i="32"/>
  <c r="J203" i="32"/>
  <c r="J204" i="32"/>
  <c r="J205" i="32"/>
  <c r="J206" i="32"/>
  <c r="J207" i="32"/>
  <c r="J208" i="32"/>
  <c r="J209" i="32"/>
  <c r="J210" i="32"/>
  <c r="J211" i="32"/>
  <c r="J212" i="32"/>
  <c r="J213" i="32"/>
  <c r="J214" i="32"/>
  <c r="J215" i="32"/>
  <c r="J216" i="32"/>
  <c r="J217" i="32"/>
  <c r="J218" i="32"/>
  <c r="J219" i="32"/>
  <c r="J220" i="32"/>
  <c r="J221" i="32"/>
  <c r="J222" i="32"/>
  <c r="J223" i="32"/>
  <c r="J224" i="32"/>
  <c r="J225" i="32"/>
  <c r="J226" i="32"/>
  <c r="J227" i="32"/>
  <c r="J228" i="32"/>
  <c r="J229" i="32"/>
  <c r="J230" i="32"/>
  <c r="J231" i="32"/>
  <c r="J232" i="32"/>
  <c r="J233" i="32"/>
  <c r="J234" i="32"/>
  <c r="J235" i="32"/>
  <c r="J236" i="32"/>
  <c r="J237" i="32"/>
  <c r="J238" i="32"/>
  <c r="J239" i="32"/>
  <c r="J240" i="32"/>
  <c r="J241" i="32"/>
  <c r="J242" i="32"/>
  <c r="J243" i="32"/>
  <c r="J244" i="32"/>
  <c r="J245" i="32"/>
  <c r="J246" i="32"/>
  <c r="J247" i="32"/>
  <c r="J248" i="32"/>
  <c r="J249" i="32"/>
  <c r="J250" i="32"/>
  <c r="J251" i="32"/>
  <c r="J252" i="32"/>
  <c r="J253" i="32"/>
  <c r="J254" i="32"/>
  <c r="J255" i="32"/>
  <c r="J256" i="32"/>
  <c r="J257" i="32"/>
  <c r="J258" i="32"/>
  <c r="J259" i="32"/>
  <c r="J260" i="32"/>
  <c r="J261" i="32"/>
  <c r="J262" i="32"/>
  <c r="J263" i="32"/>
  <c r="J264" i="32"/>
  <c r="J265" i="32"/>
  <c r="J266" i="32"/>
  <c r="J267" i="32"/>
  <c r="J268" i="32"/>
  <c r="J269" i="32"/>
  <c r="J270" i="32"/>
  <c r="J271" i="32"/>
  <c r="J272" i="32"/>
  <c r="J273" i="32"/>
  <c r="J274" i="32"/>
  <c r="J275" i="32"/>
  <c r="J276" i="32"/>
  <c r="J277" i="32"/>
  <c r="J278" i="32"/>
  <c r="J279" i="32"/>
  <c r="J280" i="32"/>
  <c r="J281" i="32"/>
  <c r="J282" i="32"/>
  <c r="J283" i="32"/>
  <c r="J284" i="32"/>
  <c r="J285" i="32"/>
  <c r="J286" i="32"/>
  <c r="J287" i="32"/>
  <c r="J288" i="32"/>
  <c r="J289" i="32"/>
  <c r="J290" i="32"/>
  <c r="J291" i="32"/>
  <c r="J292" i="32"/>
  <c r="J293" i="32"/>
  <c r="J294" i="32"/>
  <c r="J295" i="32"/>
  <c r="J296" i="32"/>
  <c r="J297" i="32"/>
  <c r="J298" i="32"/>
  <c r="J299" i="32"/>
  <c r="J300" i="32"/>
  <c r="J301" i="32"/>
  <c r="J302" i="32"/>
  <c r="J303" i="32"/>
  <c r="J304" i="32"/>
  <c r="J305" i="32"/>
  <c r="J306" i="32"/>
  <c r="J307" i="32"/>
  <c r="J308" i="32"/>
  <c r="J309" i="32"/>
  <c r="J310" i="32"/>
  <c r="J311" i="32"/>
  <c r="J312" i="32"/>
  <c r="J313" i="32"/>
  <c r="J314" i="32"/>
  <c r="J315" i="32"/>
  <c r="J316" i="32"/>
  <c r="J317" i="32"/>
  <c r="J318" i="32"/>
  <c r="J319" i="32"/>
  <c r="J320" i="32"/>
  <c r="J321" i="32"/>
  <c r="J322" i="32"/>
  <c r="J323" i="32"/>
  <c r="J324" i="32"/>
  <c r="J325" i="32"/>
  <c r="J326" i="32"/>
  <c r="J327" i="32"/>
  <c r="J328" i="32"/>
  <c r="J329" i="32"/>
  <c r="J330" i="32"/>
  <c r="J331" i="32"/>
  <c r="J332" i="32"/>
  <c r="J333" i="32"/>
  <c r="J334" i="32"/>
  <c r="J335" i="32"/>
  <c r="J336" i="32"/>
  <c r="J337" i="32"/>
  <c r="J338" i="32"/>
  <c r="J339" i="32"/>
  <c r="J340" i="32"/>
  <c r="J341" i="32"/>
  <c r="J342" i="32"/>
  <c r="J343" i="32"/>
  <c r="J344" i="32"/>
  <c r="J345" i="32"/>
  <c r="J346" i="32"/>
  <c r="J347" i="32"/>
  <c r="J348" i="32"/>
  <c r="J349" i="32"/>
  <c r="J350" i="32"/>
  <c r="J351" i="32"/>
  <c r="J352" i="32"/>
  <c r="J353" i="32"/>
  <c r="J354" i="32"/>
  <c r="J355" i="32"/>
  <c r="J356" i="32"/>
  <c r="J357" i="32"/>
  <c r="J358" i="32"/>
  <c r="J359" i="32"/>
  <c r="J360" i="32"/>
  <c r="J361" i="32"/>
  <c r="J362" i="32"/>
  <c r="J363" i="32"/>
  <c r="J364" i="32"/>
  <c r="J365" i="32"/>
  <c r="J366" i="32"/>
  <c r="J367" i="32"/>
  <c r="J368" i="32"/>
  <c r="J369" i="32"/>
  <c r="J370" i="32"/>
  <c r="J371" i="32"/>
  <c r="J372" i="32"/>
  <c r="J373" i="32"/>
  <c r="J374" i="32"/>
  <c r="J375" i="32"/>
  <c r="J376" i="32"/>
  <c r="J377" i="32"/>
  <c r="J378" i="32"/>
  <c r="J379" i="32"/>
  <c r="J380" i="32"/>
  <c r="J381" i="32"/>
  <c r="J382" i="32"/>
  <c r="J383" i="32"/>
  <c r="J384" i="32"/>
  <c r="J385" i="32"/>
  <c r="J386" i="32"/>
  <c r="J387" i="32"/>
  <c r="J388" i="32"/>
  <c r="J389" i="32"/>
  <c r="J390" i="32"/>
  <c r="J391" i="32"/>
  <c r="J392" i="32"/>
  <c r="J393" i="32"/>
  <c r="J394" i="32"/>
  <c r="J395" i="32"/>
  <c r="J396" i="32"/>
  <c r="J397" i="32"/>
  <c r="J398" i="32"/>
  <c r="J399" i="32"/>
  <c r="J400" i="32"/>
  <c r="J401" i="32"/>
  <c r="J402" i="32"/>
  <c r="J403" i="32"/>
  <c r="J404" i="32"/>
  <c r="J405" i="32"/>
  <c r="J406" i="32"/>
  <c r="J407" i="32"/>
  <c r="J408" i="32"/>
  <c r="J409" i="32"/>
  <c r="J410" i="32"/>
  <c r="J411" i="32"/>
  <c r="J412" i="32"/>
  <c r="J413" i="32"/>
  <c r="J414" i="32"/>
  <c r="J415" i="32"/>
  <c r="J416" i="32"/>
  <c r="J417" i="32"/>
  <c r="J418" i="32"/>
  <c r="J419" i="32"/>
  <c r="J420" i="32"/>
  <c r="J421" i="32"/>
  <c r="J422" i="32"/>
  <c r="J423" i="32"/>
  <c r="J424" i="32"/>
  <c r="J425" i="32"/>
  <c r="J426" i="32"/>
  <c r="J427" i="32"/>
  <c r="J428" i="32"/>
  <c r="J429" i="32"/>
  <c r="J430" i="32"/>
  <c r="J431" i="32"/>
  <c r="J432" i="32"/>
  <c r="J433" i="32"/>
  <c r="J434" i="32"/>
  <c r="J435" i="32"/>
  <c r="J436" i="32"/>
  <c r="J437" i="32"/>
  <c r="J438" i="32"/>
  <c r="J439" i="32"/>
  <c r="J440" i="32"/>
  <c r="J441" i="32"/>
  <c r="J442" i="32"/>
  <c r="J443" i="32"/>
  <c r="J444" i="32"/>
  <c r="J445" i="32"/>
  <c r="J446" i="32"/>
  <c r="J447" i="32"/>
  <c r="J448" i="32"/>
  <c r="J449" i="32"/>
  <c r="J450" i="32"/>
  <c r="J451" i="32"/>
  <c r="J452" i="32"/>
  <c r="J453" i="32"/>
  <c r="J454" i="32"/>
  <c r="J455" i="32"/>
  <c r="J456" i="32"/>
  <c r="J457" i="32"/>
  <c r="J458" i="32"/>
  <c r="J459" i="32"/>
  <c r="J460" i="32"/>
  <c r="J461" i="32"/>
  <c r="J462" i="32"/>
  <c r="J463" i="32"/>
  <c r="J464" i="32"/>
  <c r="J465" i="32"/>
  <c r="J466" i="32"/>
  <c r="J467" i="32"/>
  <c r="J468" i="32"/>
  <c r="J469" i="32"/>
  <c r="J470" i="32"/>
  <c r="J471" i="32"/>
  <c r="J472" i="32"/>
  <c r="J473" i="32"/>
  <c r="J474" i="32"/>
  <c r="J475" i="32"/>
  <c r="J476" i="32"/>
  <c r="J477" i="32"/>
  <c r="J478" i="32"/>
  <c r="J479" i="32"/>
  <c r="J480" i="32"/>
  <c r="J481" i="32"/>
  <c r="J482" i="32"/>
  <c r="J483" i="32"/>
  <c r="J484" i="32"/>
  <c r="J485" i="32"/>
  <c r="J486" i="32"/>
  <c r="J487" i="32"/>
  <c r="J488" i="32"/>
  <c r="J489" i="32"/>
  <c r="J490" i="32"/>
  <c r="J491" i="32"/>
  <c r="J492" i="32"/>
  <c r="J493" i="32"/>
  <c r="J494" i="32"/>
  <c r="J495" i="32"/>
  <c r="J496" i="32"/>
  <c r="J497" i="32"/>
  <c r="J498" i="32"/>
  <c r="J499" i="32"/>
  <c r="J500" i="32"/>
  <c r="J501" i="32"/>
  <c r="J502" i="32"/>
  <c r="J503" i="32"/>
  <c r="J504" i="32"/>
  <c r="J505" i="32"/>
  <c r="J506" i="32"/>
  <c r="J507" i="32"/>
  <c r="J508" i="32"/>
  <c r="J509" i="32"/>
  <c r="J510" i="32"/>
  <c r="J511" i="32"/>
  <c r="J512" i="32"/>
  <c r="J513" i="32"/>
  <c r="J514" i="32"/>
  <c r="J515" i="32"/>
  <c r="J516" i="32"/>
  <c r="J517" i="32"/>
  <c r="J518" i="32"/>
  <c r="J519" i="32"/>
  <c r="J520" i="32"/>
  <c r="J521" i="32"/>
  <c r="J522" i="32"/>
  <c r="J523" i="32"/>
  <c r="J524" i="32"/>
  <c r="J525" i="32"/>
  <c r="J526" i="32"/>
  <c r="J527" i="32"/>
  <c r="J528" i="32"/>
  <c r="J529" i="32"/>
  <c r="J530" i="32"/>
  <c r="J531" i="32"/>
  <c r="J532" i="32"/>
  <c r="J533" i="32"/>
  <c r="J534" i="32"/>
  <c r="J535" i="32"/>
  <c r="J536" i="32"/>
  <c r="J537" i="32"/>
  <c r="J538" i="32"/>
  <c r="J539" i="32"/>
  <c r="J540" i="32"/>
  <c r="J541" i="32"/>
  <c r="J542" i="32"/>
  <c r="J543" i="32"/>
  <c r="J544" i="32"/>
  <c r="J545" i="32"/>
  <c r="J546" i="32"/>
  <c r="J547" i="32"/>
  <c r="J548" i="32"/>
  <c r="J549" i="32"/>
  <c r="J550" i="32"/>
  <c r="J551" i="32"/>
  <c r="J552" i="32"/>
  <c r="J553" i="32"/>
  <c r="J554" i="32"/>
  <c r="J555" i="32"/>
  <c r="J556" i="32"/>
  <c r="J557" i="32"/>
  <c r="J558" i="32"/>
  <c r="J559" i="32"/>
  <c r="J560" i="32"/>
  <c r="J561" i="32"/>
  <c r="J562" i="32"/>
  <c r="J563" i="32"/>
  <c r="J564" i="32"/>
  <c r="J565" i="32"/>
  <c r="J566" i="32"/>
  <c r="J567" i="32"/>
  <c r="J568" i="32"/>
  <c r="J569" i="32"/>
  <c r="J570" i="32"/>
  <c r="J571" i="32"/>
  <c r="J572" i="32"/>
  <c r="J573" i="32"/>
  <c r="J574" i="32"/>
  <c r="J575" i="32"/>
  <c r="J576" i="32"/>
  <c r="J577" i="32"/>
  <c r="J578" i="32"/>
  <c r="J579" i="32"/>
  <c r="J580" i="32"/>
  <c r="J581" i="32"/>
  <c r="J582" i="32"/>
  <c r="J583" i="32"/>
  <c r="J584" i="32"/>
  <c r="J585" i="32"/>
  <c r="J586" i="32"/>
  <c r="J587" i="32"/>
  <c r="J588" i="32"/>
  <c r="J589" i="32"/>
  <c r="J590" i="32"/>
  <c r="J591" i="32"/>
  <c r="J592" i="32"/>
  <c r="J593" i="32"/>
  <c r="J594" i="32"/>
  <c r="J595" i="32"/>
  <c r="J596" i="32"/>
  <c r="J597" i="32"/>
  <c r="J598" i="32"/>
  <c r="J599" i="32"/>
  <c r="J600" i="32"/>
  <c r="J601" i="32"/>
  <c r="J602" i="32"/>
  <c r="J603" i="32"/>
  <c r="J604" i="32"/>
  <c r="J605" i="32"/>
  <c r="J606" i="32"/>
  <c r="J607" i="32"/>
  <c r="J608" i="32"/>
  <c r="J609" i="32"/>
  <c r="J610" i="32"/>
  <c r="J611" i="32"/>
  <c r="J612" i="32"/>
  <c r="J613" i="32"/>
  <c r="J614" i="32"/>
  <c r="J615" i="32"/>
  <c r="J616" i="32"/>
  <c r="J617" i="32"/>
  <c r="J618" i="32"/>
  <c r="J619" i="32"/>
  <c r="J620" i="32"/>
  <c r="J3" i="32"/>
  <c r="G4" i="32" l="1"/>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83" i="32"/>
  <c r="G84" i="32"/>
  <c r="G85" i="32"/>
  <c r="G86" i="32"/>
  <c r="G87" i="32"/>
  <c r="G88" i="32"/>
  <c r="G89" i="32"/>
  <c r="G90" i="32"/>
  <c r="G91" i="32"/>
  <c r="G92" i="32"/>
  <c r="G93" i="32"/>
  <c r="G94" i="32"/>
  <c r="G95" i="32"/>
  <c r="G96" i="32"/>
  <c r="G97" i="32"/>
  <c r="G98" i="32"/>
  <c r="G99" i="32"/>
  <c r="G100" i="32"/>
  <c r="G101" i="32"/>
  <c r="G102" i="32"/>
  <c r="G103" i="32"/>
  <c r="G104" i="32"/>
  <c r="G105" i="32"/>
  <c r="G106" i="32"/>
  <c r="G107" i="32"/>
  <c r="G108" i="32"/>
  <c r="G109" i="32"/>
  <c r="G110" i="32"/>
  <c r="G111" i="32"/>
  <c r="G112" i="32"/>
  <c r="G113" i="32"/>
  <c r="G114" i="32"/>
  <c r="G115" i="32"/>
  <c r="G116" i="32"/>
  <c r="G117" i="32"/>
  <c r="G118" i="32"/>
  <c r="G119" i="32"/>
  <c r="G120" i="32"/>
  <c r="G121" i="32"/>
  <c r="G122" i="32"/>
  <c r="G123" i="32"/>
  <c r="G124" i="32"/>
  <c r="G125" i="32"/>
  <c r="G126" i="32"/>
  <c r="G127" i="32"/>
  <c r="G128" i="32"/>
  <c r="G129" i="32"/>
  <c r="G130" i="32"/>
  <c r="G131" i="32"/>
  <c r="G132" i="32"/>
  <c r="G133" i="32"/>
  <c r="G134" i="32"/>
  <c r="G135" i="32"/>
  <c r="G136" i="32"/>
  <c r="G137" i="32"/>
  <c r="G138" i="32"/>
  <c r="G139" i="32"/>
  <c r="G140" i="32"/>
  <c r="G141" i="32"/>
  <c r="G142" i="32"/>
  <c r="G143" i="32"/>
  <c r="G144" i="32"/>
  <c r="G145" i="32"/>
  <c r="G146" i="32"/>
  <c r="G147" i="32"/>
  <c r="G148" i="32"/>
  <c r="G149" i="32"/>
  <c r="G150" i="32"/>
  <c r="G151" i="32"/>
  <c r="G152" i="32"/>
  <c r="G153" i="32"/>
  <c r="G154" i="32"/>
  <c r="G155" i="32"/>
  <c r="G156" i="32"/>
  <c r="G157" i="32"/>
  <c r="G158" i="32"/>
  <c r="G159" i="32"/>
  <c r="G160" i="32"/>
  <c r="G161" i="32"/>
  <c r="G162" i="32"/>
  <c r="G163" i="32"/>
  <c r="G164" i="32"/>
  <c r="G165" i="32"/>
  <c r="G166" i="32"/>
  <c r="G167" i="32"/>
  <c r="G168" i="32"/>
  <c r="G169" i="32"/>
  <c r="G170" i="32"/>
  <c r="G171" i="32"/>
  <c r="G172" i="32"/>
  <c r="G173" i="32"/>
  <c r="G174" i="32"/>
  <c r="G175" i="32"/>
  <c r="G176" i="32"/>
  <c r="G177" i="32"/>
  <c r="G178" i="32"/>
  <c r="G179" i="32"/>
  <c r="G180" i="32"/>
  <c r="G181" i="32"/>
  <c r="G182" i="32"/>
  <c r="G183" i="32"/>
  <c r="G184" i="32"/>
  <c r="G185" i="32"/>
  <c r="G186" i="32"/>
  <c r="G187" i="32"/>
  <c r="G188" i="32"/>
  <c r="G189" i="32"/>
  <c r="G190" i="32"/>
  <c r="G191" i="32"/>
  <c r="G192" i="32"/>
  <c r="G193" i="32"/>
  <c r="G194" i="32"/>
  <c r="G195" i="32"/>
  <c r="G196" i="32"/>
  <c r="G197" i="32"/>
  <c r="G198" i="32"/>
  <c r="G199" i="32"/>
  <c r="G200" i="32"/>
  <c r="G201" i="32"/>
  <c r="G202" i="32"/>
  <c r="G203" i="32"/>
  <c r="G204" i="32"/>
  <c r="G205" i="32"/>
  <c r="G206" i="32"/>
  <c r="G207" i="32"/>
  <c r="G208" i="32"/>
  <c r="G209" i="32"/>
  <c r="G210" i="32"/>
  <c r="G211" i="32"/>
  <c r="G212" i="32"/>
  <c r="G213" i="32"/>
  <c r="G214" i="32"/>
  <c r="G215" i="32"/>
  <c r="G216" i="32"/>
  <c r="G217" i="32"/>
  <c r="G218" i="32"/>
  <c r="G219" i="32"/>
  <c r="G220" i="32"/>
  <c r="G221" i="32"/>
  <c r="G222" i="32"/>
  <c r="G223" i="32"/>
  <c r="G224" i="32"/>
  <c r="G225" i="32"/>
  <c r="G226" i="32"/>
  <c r="G227" i="32"/>
  <c r="G228" i="32"/>
  <c r="G229" i="32"/>
  <c r="G230" i="32"/>
  <c r="G231" i="32"/>
  <c r="G232" i="32"/>
  <c r="G233" i="32"/>
  <c r="G234" i="32"/>
  <c r="G235" i="32"/>
  <c r="G236" i="32"/>
  <c r="G237" i="32"/>
  <c r="G238" i="32"/>
  <c r="G239" i="32"/>
  <c r="G240" i="32"/>
  <c r="G241" i="32"/>
  <c r="G242" i="32"/>
  <c r="G243" i="32"/>
  <c r="G244" i="32"/>
  <c r="G245" i="32"/>
  <c r="G246" i="32"/>
  <c r="G247" i="32"/>
  <c r="G248" i="32"/>
  <c r="G249" i="32"/>
  <c r="G250" i="32"/>
  <c r="G251" i="32"/>
  <c r="G252" i="32"/>
  <c r="G253" i="32"/>
  <c r="G254" i="32"/>
  <c r="G255" i="32"/>
  <c r="G256" i="32"/>
  <c r="G257" i="32"/>
  <c r="G258" i="32"/>
  <c r="G259" i="32"/>
  <c r="G260" i="32"/>
  <c r="G261" i="32"/>
  <c r="G262" i="32"/>
  <c r="G263" i="32"/>
  <c r="G264" i="32"/>
  <c r="G265" i="32"/>
  <c r="G266" i="32"/>
  <c r="G267" i="32"/>
  <c r="G268" i="32"/>
  <c r="G269" i="32"/>
  <c r="G270" i="32"/>
  <c r="G271" i="32"/>
  <c r="G272" i="32"/>
  <c r="G273" i="32"/>
  <c r="G274" i="32"/>
  <c r="G275" i="32"/>
  <c r="G276" i="32"/>
  <c r="G277" i="32"/>
  <c r="G278" i="32"/>
  <c r="G279" i="32"/>
  <c r="G280" i="32"/>
  <c r="G281" i="32"/>
  <c r="G282" i="32"/>
  <c r="G283" i="32"/>
  <c r="G284" i="32"/>
  <c r="G285" i="32"/>
  <c r="G286" i="32"/>
  <c r="G287" i="32"/>
  <c r="G288" i="32"/>
  <c r="G289" i="32"/>
  <c r="G290" i="32"/>
  <c r="G291" i="32"/>
  <c r="G292" i="32"/>
  <c r="G293" i="32"/>
  <c r="G294" i="32"/>
  <c r="G295" i="32"/>
  <c r="G296" i="32"/>
  <c r="G297" i="32"/>
  <c r="G298" i="32"/>
  <c r="G299" i="32"/>
  <c r="G300" i="32"/>
  <c r="G301" i="32"/>
  <c r="G302" i="32"/>
  <c r="G303" i="32"/>
  <c r="G304" i="32"/>
  <c r="G305" i="32"/>
  <c r="G306" i="32"/>
  <c r="G307" i="32"/>
  <c r="G308" i="32"/>
  <c r="G309" i="32"/>
  <c r="G310" i="32"/>
  <c r="G311" i="32"/>
  <c r="G312" i="32"/>
  <c r="G313" i="32"/>
  <c r="G314" i="32"/>
  <c r="G315" i="32"/>
  <c r="G316" i="32"/>
  <c r="G317" i="32"/>
  <c r="G318" i="32"/>
  <c r="G319" i="32"/>
  <c r="G320" i="32"/>
  <c r="G321" i="32"/>
  <c r="G322" i="32"/>
  <c r="G323" i="32"/>
  <c r="G324" i="32"/>
  <c r="G325" i="32"/>
  <c r="G326" i="32"/>
  <c r="G327" i="32"/>
  <c r="G328" i="32"/>
  <c r="G329" i="32"/>
  <c r="G330" i="32"/>
  <c r="G331" i="32"/>
  <c r="G332" i="32"/>
  <c r="G333" i="32"/>
  <c r="G334" i="32"/>
  <c r="G335" i="32"/>
  <c r="G336" i="32"/>
  <c r="G337" i="32"/>
  <c r="G338" i="32"/>
  <c r="G339" i="32"/>
  <c r="G340" i="32"/>
  <c r="G341" i="32"/>
  <c r="G342" i="32"/>
  <c r="G343" i="32"/>
  <c r="G344" i="32"/>
  <c r="G345" i="32"/>
  <c r="G346" i="32"/>
  <c r="G347" i="32"/>
  <c r="G348" i="32"/>
  <c r="G349" i="32"/>
  <c r="G350" i="32"/>
  <c r="G351" i="32"/>
  <c r="G352" i="32"/>
  <c r="G353" i="32"/>
  <c r="G354" i="32"/>
  <c r="G355" i="32"/>
  <c r="G356" i="32"/>
  <c r="G357" i="32"/>
  <c r="G358" i="32"/>
  <c r="G359" i="32"/>
  <c r="G360" i="32"/>
  <c r="G361" i="32"/>
  <c r="G362" i="32"/>
  <c r="G363" i="32"/>
  <c r="G364" i="32"/>
  <c r="G365" i="32"/>
  <c r="G366" i="32"/>
  <c r="G367" i="32"/>
  <c r="G368" i="32"/>
  <c r="G369" i="32"/>
  <c r="G370" i="32"/>
  <c r="G371" i="32"/>
  <c r="G372" i="32"/>
  <c r="G373" i="32"/>
  <c r="G374" i="32"/>
  <c r="G375" i="32"/>
  <c r="G376" i="32"/>
  <c r="G377" i="32"/>
  <c r="G378" i="32"/>
  <c r="G379" i="32"/>
  <c r="G380" i="32"/>
  <c r="G381" i="32"/>
  <c r="G382" i="32"/>
  <c r="G383" i="32"/>
  <c r="G384" i="32"/>
  <c r="G385" i="32"/>
  <c r="G386" i="32"/>
  <c r="G387" i="32"/>
  <c r="G388" i="32"/>
  <c r="G389" i="32"/>
  <c r="G390" i="32"/>
  <c r="G391" i="32"/>
  <c r="G392" i="32"/>
  <c r="G393" i="32"/>
  <c r="G394" i="32"/>
  <c r="G395" i="32"/>
  <c r="G396" i="32"/>
  <c r="G397" i="32"/>
  <c r="G398" i="32"/>
  <c r="G399" i="32"/>
  <c r="G400" i="32"/>
  <c r="G401" i="32"/>
  <c r="G402" i="32"/>
  <c r="G403" i="32"/>
  <c r="G404" i="32"/>
  <c r="G405" i="32"/>
  <c r="G406" i="32"/>
  <c r="G407" i="32"/>
  <c r="G408" i="32"/>
  <c r="G409" i="32"/>
  <c r="G410" i="32"/>
  <c r="G411" i="32"/>
  <c r="G412" i="32"/>
  <c r="G413" i="32"/>
  <c r="G414" i="32"/>
  <c r="G415" i="32"/>
  <c r="G416" i="32"/>
  <c r="G417" i="32"/>
  <c r="G418" i="32"/>
  <c r="G419" i="32"/>
  <c r="G420" i="32"/>
  <c r="G421" i="32"/>
  <c r="G422" i="32"/>
  <c r="G423" i="32"/>
  <c r="G424" i="32"/>
  <c r="G425" i="32"/>
  <c r="G426" i="32"/>
  <c r="G427" i="32"/>
  <c r="G428" i="32"/>
  <c r="G429" i="32"/>
  <c r="G430" i="32"/>
  <c r="G431" i="32"/>
  <c r="G432" i="32"/>
  <c r="G433" i="32"/>
  <c r="G434" i="32"/>
  <c r="G435" i="32"/>
  <c r="G436" i="32"/>
  <c r="G437" i="32"/>
  <c r="G438" i="32"/>
  <c r="G439" i="32"/>
  <c r="G440" i="32"/>
  <c r="G441" i="32"/>
  <c r="G442" i="32"/>
  <c r="G443" i="32"/>
  <c r="G444" i="32"/>
  <c r="G445" i="32"/>
  <c r="G446" i="32"/>
  <c r="G447" i="32"/>
  <c r="G448" i="32"/>
  <c r="G449" i="32"/>
  <c r="G450" i="32"/>
  <c r="G451" i="32"/>
  <c r="G452" i="32"/>
  <c r="G453" i="32"/>
  <c r="G454" i="32"/>
  <c r="G455" i="32"/>
  <c r="G456" i="32"/>
  <c r="G457" i="32"/>
  <c r="G458" i="32"/>
  <c r="G459" i="32"/>
  <c r="G460" i="32"/>
  <c r="G461" i="32"/>
  <c r="G462" i="32"/>
  <c r="G463" i="32"/>
  <c r="G464" i="32"/>
  <c r="G465" i="32"/>
  <c r="G466" i="32"/>
  <c r="G467" i="32"/>
  <c r="G468" i="32"/>
  <c r="G469" i="32"/>
  <c r="G470" i="32"/>
  <c r="G471" i="32"/>
  <c r="G472" i="32"/>
  <c r="G473" i="32"/>
  <c r="G474" i="32"/>
  <c r="G475" i="32"/>
  <c r="G476" i="32"/>
  <c r="G477" i="32"/>
  <c r="G478" i="32"/>
  <c r="G479" i="32"/>
  <c r="G480" i="32"/>
  <c r="G481" i="32"/>
  <c r="G482" i="32"/>
  <c r="G483" i="32"/>
  <c r="G484" i="32"/>
  <c r="G485" i="32"/>
  <c r="G486" i="32"/>
  <c r="G487" i="32"/>
  <c r="G488" i="32"/>
  <c r="G489" i="32"/>
  <c r="G490" i="32"/>
  <c r="G491" i="32"/>
  <c r="G492" i="32"/>
  <c r="G493" i="32"/>
  <c r="G494" i="32"/>
  <c r="G495" i="32"/>
  <c r="G496" i="32"/>
  <c r="G497" i="32"/>
  <c r="G498" i="32"/>
  <c r="G499" i="32"/>
  <c r="G500" i="32"/>
  <c r="G501" i="32"/>
  <c r="G502" i="32"/>
  <c r="G503" i="32"/>
  <c r="G504" i="32"/>
  <c r="G505" i="32"/>
  <c r="G506" i="32"/>
  <c r="G507" i="32"/>
  <c r="G508" i="32"/>
  <c r="G509" i="32"/>
  <c r="G510" i="32"/>
  <c r="G511" i="32"/>
  <c r="G512" i="32"/>
  <c r="G513" i="32"/>
  <c r="G514" i="32"/>
  <c r="G515" i="32"/>
  <c r="G516" i="32"/>
  <c r="G517" i="32"/>
  <c r="G518" i="32"/>
  <c r="G519" i="32"/>
  <c r="G520" i="32"/>
  <c r="G521" i="32"/>
  <c r="G522" i="32"/>
  <c r="G523" i="32"/>
  <c r="G524" i="32"/>
  <c r="G525" i="32"/>
  <c r="G526" i="32"/>
  <c r="G527" i="32"/>
  <c r="G528" i="32"/>
  <c r="G529" i="32"/>
  <c r="G530" i="32"/>
  <c r="G531" i="32"/>
  <c r="G532" i="32"/>
  <c r="G533" i="32"/>
  <c r="G534" i="32"/>
  <c r="G535" i="32"/>
  <c r="G536" i="32"/>
  <c r="G537" i="32"/>
  <c r="G538" i="32"/>
  <c r="G539" i="32"/>
  <c r="G540" i="32"/>
  <c r="G541" i="32"/>
  <c r="G542" i="32"/>
  <c r="G543" i="32"/>
  <c r="G544" i="32"/>
  <c r="G545" i="32"/>
  <c r="G546" i="32"/>
  <c r="G547" i="32"/>
  <c r="G548" i="32"/>
  <c r="G549" i="32"/>
  <c r="G550" i="32"/>
  <c r="G551" i="32"/>
  <c r="G552" i="32"/>
  <c r="G553" i="32"/>
  <c r="G554" i="32"/>
  <c r="G555" i="32"/>
  <c r="G556" i="32"/>
  <c r="G557" i="32"/>
  <c r="G558" i="32"/>
  <c r="G559" i="32"/>
  <c r="G560" i="32"/>
  <c r="G561" i="32"/>
  <c r="G562" i="32"/>
  <c r="G563" i="32"/>
  <c r="G564" i="32"/>
  <c r="G565" i="32"/>
  <c r="G566" i="32"/>
  <c r="G567" i="32"/>
  <c r="G568" i="32"/>
  <c r="G569" i="32"/>
  <c r="G570" i="32"/>
  <c r="G571" i="32"/>
  <c r="G572" i="32"/>
  <c r="G573" i="32"/>
  <c r="G574" i="32"/>
  <c r="G575" i="32"/>
  <c r="G576" i="32"/>
  <c r="G577" i="32"/>
  <c r="G578" i="32"/>
  <c r="G579" i="32"/>
  <c r="G580" i="32"/>
  <c r="G581" i="32"/>
  <c r="G582" i="32"/>
  <c r="G583" i="32"/>
  <c r="G584" i="32"/>
  <c r="G585" i="32"/>
  <c r="G586" i="32"/>
  <c r="G587" i="32"/>
  <c r="G588" i="32"/>
  <c r="G589" i="32"/>
  <c r="G590" i="32"/>
  <c r="G591" i="32"/>
  <c r="G592" i="32"/>
  <c r="G593" i="32"/>
  <c r="G594" i="32"/>
  <c r="G595" i="32"/>
  <c r="G596" i="32"/>
  <c r="G597" i="32"/>
  <c r="G598" i="32"/>
  <c r="G599" i="32"/>
  <c r="G600" i="32"/>
  <c r="G601" i="32"/>
  <c r="G602" i="32"/>
  <c r="G603" i="32"/>
  <c r="G604" i="32"/>
  <c r="G605" i="32"/>
  <c r="G606" i="32"/>
  <c r="G607" i="32"/>
  <c r="G608" i="32"/>
  <c r="G609" i="32"/>
  <c r="G610" i="32"/>
  <c r="G611" i="32"/>
  <c r="G612" i="32"/>
  <c r="G613" i="32"/>
  <c r="G614" i="32"/>
  <c r="G615" i="32"/>
  <c r="G616" i="32"/>
  <c r="G617" i="32"/>
  <c r="G618" i="32"/>
  <c r="G619" i="32"/>
  <c r="G620" i="32"/>
  <c r="G3" i="32"/>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3" i="32"/>
  <c r="A4" i="31"/>
  <c r="A5" i="31"/>
  <c r="A6" i="31"/>
  <c r="A3" i="31"/>
  <c r="I67" i="30"/>
  <c r="I68" i="30"/>
  <c r="I69" i="30"/>
  <c r="I70" i="30"/>
  <c r="I71" i="30"/>
  <c r="I72" i="30"/>
  <c r="I73" i="30"/>
  <c r="I74" i="30"/>
  <c r="I75" i="30"/>
  <c r="I76" i="30"/>
  <c r="I77" i="30"/>
  <c r="I66" i="30"/>
  <c r="A4" i="30" l="1"/>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3" i="30"/>
  <c r="C37" i="30"/>
  <c r="C38" i="30" s="1"/>
  <c r="C39" i="30" s="1"/>
  <c r="C40" i="30" s="1"/>
  <c r="C41" i="30" s="1"/>
  <c r="C31" i="30"/>
  <c r="C32" i="30" s="1"/>
  <c r="C33" i="30" s="1"/>
  <c r="C34" i="30" s="1"/>
  <c r="C35" i="30" s="1"/>
  <c r="C25" i="30"/>
  <c r="C26" i="30" s="1"/>
  <c r="C27" i="30" s="1"/>
  <c r="C28" i="30" s="1"/>
  <c r="C29" i="30" s="1"/>
  <c r="L4" i="29"/>
  <c r="L5" i="29"/>
  <c r="L6" i="29"/>
  <c r="L7" i="29"/>
  <c r="L8" i="29"/>
  <c r="L3" i="29"/>
  <c r="C23" i="29" l="1"/>
  <c r="C22" i="29"/>
  <c r="C21" i="29"/>
  <c r="C20" i="29"/>
  <c r="C14" i="29"/>
  <c r="C15" i="29"/>
  <c r="C16" i="29"/>
  <c r="C13" i="29"/>
  <c r="A4" i="29"/>
  <c r="A5" i="29"/>
  <c r="A6" i="29"/>
  <c r="A7" i="29"/>
  <c r="A8" i="29"/>
  <c r="A3" i="29"/>
  <c r="N38" i="28"/>
  <c r="N37" i="28"/>
  <c r="N36" i="28"/>
  <c r="N35" i="28"/>
  <c r="N34" i="28"/>
  <c r="N33" i="28"/>
  <c r="N32" i="28"/>
  <c r="N31" i="28"/>
  <c r="N30" i="28"/>
  <c r="N29" i="28"/>
  <c r="N28" i="28"/>
  <c r="N27" i="28"/>
  <c r="N26" i="28"/>
  <c r="N25" i="28"/>
  <c r="N24" i="28"/>
  <c r="N23" i="28"/>
  <c r="N22" i="28"/>
  <c r="N21" i="28"/>
  <c r="N20" i="28"/>
  <c r="N19" i="28"/>
  <c r="N18" i="28"/>
  <c r="N17" i="28"/>
  <c r="N16" i="28"/>
  <c r="N15" i="28"/>
  <c r="N14" i="28"/>
  <c r="N13" i="28"/>
  <c r="N12" i="28"/>
  <c r="N11" i="28"/>
  <c r="N10" i="28"/>
  <c r="N9" i="28"/>
  <c r="N8" i="28"/>
  <c r="N7" i="28"/>
  <c r="N6" i="28"/>
  <c r="N5" i="28"/>
  <c r="N4" i="28"/>
  <c r="N3" i="28"/>
  <c r="K38" i="28"/>
  <c r="K37" i="28"/>
  <c r="K36" i="28"/>
  <c r="K35" i="28"/>
  <c r="K34" i="28"/>
  <c r="K33" i="28"/>
  <c r="K32" i="28"/>
  <c r="K31" i="28"/>
  <c r="K30" i="28"/>
  <c r="K29" i="28"/>
  <c r="K28" i="28"/>
  <c r="K27" i="28"/>
  <c r="K26" i="28"/>
  <c r="K25" i="28"/>
  <c r="K24" i="28"/>
  <c r="K23" i="28"/>
  <c r="K22" i="28"/>
  <c r="K21" i="28"/>
  <c r="K20" i="28"/>
  <c r="K19" i="28"/>
  <c r="K18" i="28"/>
  <c r="K17" i="28"/>
  <c r="K16" i="28"/>
  <c r="K15" i="28"/>
  <c r="K14" i="28"/>
  <c r="K13" i="28"/>
  <c r="K12" i="28"/>
  <c r="K11" i="28"/>
  <c r="K10" i="28"/>
  <c r="K9" i="28"/>
  <c r="K8" i="28"/>
  <c r="K7" i="28"/>
  <c r="K6" i="28"/>
  <c r="K5" i="28"/>
  <c r="K4" i="28"/>
  <c r="K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 i="28"/>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 i="28"/>
  <c r="BQ14" i="26" l="1"/>
  <c r="BN14" i="26"/>
  <c r="BK14" i="26"/>
  <c r="BH14" i="26"/>
  <c r="BE14" i="26"/>
  <c r="A5" i="25" l="1"/>
  <c r="A6" i="25"/>
  <c r="A7" i="25"/>
  <c r="A8" i="25"/>
  <c r="A9" i="25"/>
  <c r="A10" i="25"/>
  <c r="A11" i="25"/>
  <c r="A12" i="25"/>
  <c r="A13" i="25"/>
  <c r="A14" i="25"/>
  <c r="A15" i="25"/>
  <c r="A16" i="25"/>
  <c r="A17" i="25"/>
  <c r="A18" i="25"/>
  <c r="A19" i="25"/>
  <c r="A20" i="25"/>
  <c r="A21" i="25"/>
  <c r="A22" i="25"/>
  <c r="A23" i="25"/>
  <c r="A24" i="25"/>
  <c r="A25" i="25"/>
  <c r="A26" i="25"/>
  <c r="A27" i="25"/>
  <c r="A28" i="25"/>
  <c r="A29" i="25"/>
  <c r="A30" i="25"/>
  <c r="A4" i="25"/>
  <c r="A9" i="24"/>
  <c r="A10" i="24"/>
  <c r="A11" i="24"/>
  <c r="A12" i="24"/>
  <c r="A13" i="24"/>
  <c r="A14" i="24"/>
  <c r="A4" i="24"/>
  <c r="A5" i="24"/>
  <c r="A6" i="24"/>
  <c r="A7" i="24"/>
  <c r="A8" i="24"/>
  <c r="A3" i="24"/>
  <c r="S279" i="23"/>
  <c r="S278" i="23"/>
  <c r="S277" i="23"/>
  <c r="S276" i="23"/>
  <c r="S275" i="23"/>
  <c r="S274" i="23"/>
  <c r="S273" i="23"/>
  <c r="S261" i="23"/>
  <c r="S260" i="23"/>
  <c r="S259" i="23"/>
  <c r="S258" i="23"/>
  <c r="S257" i="23"/>
  <c r="S256" i="23"/>
  <c r="S255" i="23"/>
  <c r="S219" i="23"/>
  <c r="S218" i="23"/>
  <c r="S217" i="23"/>
  <c r="S216" i="23"/>
  <c r="S215" i="23"/>
  <c r="S214" i="23"/>
  <c r="S213" i="23"/>
  <c r="S179" i="23"/>
  <c r="S178" i="23"/>
  <c r="S177" i="23"/>
  <c r="S176" i="23"/>
  <c r="S175" i="23"/>
  <c r="S174" i="23"/>
  <c r="S173" i="23"/>
  <c r="S161" i="23"/>
  <c r="S160" i="23"/>
  <c r="S159" i="23"/>
  <c r="S158" i="23"/>
  <c r="S157" i="23"/>
  <c r="S156" i="23"/>
  <c r="S155" i="23"/>
  <c r="S119" i="23"/>
  <c r="S118" i="23"/>
  <c r="S117" i="23"/>
  <c r="S116" i="23"/>
  <c r="S115" i="23"/>
  <c r="S114" i="23"/>
  <c r="S113" i="23"/>
  <c r="S79" i="23"/>
  <c r="S78" i="23"/>
  <c r="S77" i="23"/>
  <c r="S76" i="23"/>
  <c r="S75" i="23"/>
  <c r="S74" i="23"/>
  <c r="S73" i="23"/>
  <c r="S61" i="23"/>
  <c r="S60" i="23"/>
  <c r="S59" i="23"/>
  <c r="S58" i="23"/>
  <c r="S57" i="23"/>
  <c r="S56" i="23"/>
  <c r="S55" i="23"/>
  <c r="S19" i="23"/>
  <c r="S18" i="23"/>
  <c r="S17" i="23"/>
  <c r="S16" i="23"/>
  <c r="S15" i="23"/>
  <c r="S14" i="23"/>
  <c r="S13" i="23"/>
  <c r="P305" i="23"/>
  <c r="P304" i="23"/>
  <c r="P303" i="23"/>
  <c r="P302" i="23"/>
  <c r="P301" i="23"/>
  <c r="P300" i="23"/>
  <c r="P299" i="23"/>
  <c r="P286" i="23"/>
  <c r="P285" i="23"/>
  <c r="P284" i="23"/>
  <c r="P283" i="23"/>
  <c r="P282" i="23"/>
  <c r="P281" i="23"/>
  <c r="P280" i="23"/>
  <c r="P265" i="23"/>
  <c r="P264" i="23"/>
  <c r="P263" i="23"/>
  <c r="P262" i="23"/>
  <c r="P233" i="23"/>
  <c r="P232" i="23"/>
  <c r="P231" i="23"/>
  <c r="P230" i="23"/>
  <c r="P229" i="23"/>
  <c r="P228" i="23"/>
  <c r="P227" i="23"/>
  <c r="P219" i="23"/>
  <c r="P218" i="23"/>
  <c r="P217" i="23"/>
  <c r="P216" i="23"/>
  <c r="P215" i="23"/>
  <c r="P214" i="23"/>
  <c r="P213" i="23"/>
  <c r="P205" i="23"/>
  <c r="P204" i="23"/>
  <c r="P203" i="23"/>
  <c r="P202" i="23"/>
  <c r="P201" i="23"/>
  <c r="P200" i="23"/>
  <c r="P199" i="23"/>
  <c r="P186" i="23"/>
  <c r="P185" i="23"/>
  <c r="P184" i="23"/>
  <c r="P183" i="23"/>
  <c r="P182" i="23"/>
  <c r="P181" i="23"/>
  <c r="P180" i="23"/>
  <c r="P165" i="23"/>
  <c r="P164" i="23"/>
  <c r="P163" i="23"/>
  <c r="P162" i="23"/>
  <c r="P133" i="23"/>
  <c r="P132" i="23"/>
  <c r="P131" i="23"/>
  <c r="P130" i="23"/>
  <c r="P129" i="23"/>
  <c r="P128" i="23"/>
  <c r="P127" i="23"/>
  <c r="P119" i="23"/>
  <c r="P118" i="23"/>
  <c r="P117" i="23"/>
  <c r="P116" i="23"/>
  <c r="P115" i="23"/>
  <c r="P114" i="23"/>
  <c r="P113" i="23"/>
  <c r="P105" i="23"/>
  <c r="P104" i="23"/>
  <c r="P103" i="23"/>
  <c r="P102" i="23"/>
  <c r="P101" i="23"/>
  <c r="P100" i="23"/>
  <c r="P99" i="23"/>
  <c r="P86" i="23"/>
  <c r="P85" i="23"/>
  <c r="P84" i="23"/>
  <c r="P83" i="23"/>
  <c r="P82" i="23"/>
  <c r="P81" i="23"/>
  <c r="P80" i="23"/>
  <c r="P65" i="23"/>
  <c r="P64" i="23"/>
  <c r="P63" i="23"/>
  <c r="P62" i="23"/>
  <c r="P33" i="23"/>
  <c r="P32" i="23"/>
  <c r="P31" i="23"/>
  <c r="P30" i="23"/>
  <c r="P29" i="23"/>
  <c r="P28" i="23"/>
  <c r="P27" i="23"/>
  <c r="P19" i="23"/>
  <c r="P18" i="23"/>
  <c r="P17" i="23"/>
  <c r="P16" i="23"/>
  <c r="P15" i="23"/>
  <c r="P14" i="23"/>
  <c r="P13" i="23"/>
  <c r="S453" i="23"/>
  <c r="S452" i="23"/>
  <c r="S451" i="23"/>
  <c r="S450" i="23"/>
  <c r="S449" i="23"/>
  <c r="S448" i="23"/>
  <c r="S447" i="23"/>
  <c r="S446" i="23"/>
  <c r="S445" i="23"/>
  <c r="S444" i="23"/>
  <c r="S443" i="23"/>
  <c r="S442" i="23"/>
  <c r="S441" i="23"/>
  <c r="S440" i="23"/>
  <c r="S439" i="23"/>
  <c r="S438" i="23"/>
  <c r="S437" i="23"/>
  <c r="S436" i="23"/>
  <c r="S435" i="23"/>
  <c r="S434" i="23"/>
  <c r="S433" i="23"/>
  <c r="S432" i="23"/>
  <c r="S431" i="23"/>
  <c r="S430" i="23"/>
  <c r="S429" i="23"/>
  <c r="S428" i="23"/>
  <c r="S427" i="23"/>
  <c r="S426" i="23"/>
  <c r="S425" i="23"/>
  <c r="S424" i="23"/>
  <c r="S423" i="23"/>
  <c r="S422" i="23"/>
  <c r="S421" i="23"/>
  <c r="S420" i="23"/>
  <c r="S419" i="23"/>
  <c r="S418" i="23"/>
  <c r="S417" i="23"/>
  <c r="S416" i="23"/>
  <c r="S415" i="23"/>
  <c r="S414" i="23"/>
  <c r="S413" i="23"/>
  <c r="S412" i="23"/>
  <c r="S411" i="23"/>
  <c r="S410" i="23"/>
  <c r="S409" i="23"/>
  <c r="S408" i="23"/>
  <c r="S407" i="23"/>
  <c r="S406" i="23"/>
  <c r="S405" i="23"/>
  <c r="S404" i="23"/>
  <c r="S403" i="23"/>
  <c r="S402" i="23"/>
  <c r="S401" i="23"/>
  <c r="S400" i="23"/>
  <c r="S399" i="23"/>
  <c r="S398" i="23"/>
  <c r="S397" i="23"/>
  <c r="S396" i="23"/>
  <c r="S395" i="23"/>
  <c r="S394" i="23"/>
  <c r="S393" i="23"/>
  <c r="S392" i="23"/>
  <c r="S391" i="23"/>
  <c r="S390" i="23"/>
  <c r="S389" i="23"/>
  <c r="S388" i="23"/>
  <c r="S387" i="23"/>
  <c r="S386" i="23"/>
  <c r="S385" i="23"/>
  <c r="S384" i="23"/>
  <c r="S383" i="23"/>
  <c r="S382" i="23"/>
  <c r="S381" i="23"/>
  <c r="S380" i="23"/>
  <c r="S379" i="23"/>
  <c r="S378" i="23"/>
  <c r="S377" i="23"/>
  <c r="S376" i="23"/>
  <c r="S375" i="23"/>
  <c r="S374" i="23"/>
  <c r="S373" i="23"/>
  <c r="S372" i="23"/>
  <c r="S371" i="23"/>
  <c r="S370" i="23"/>
  <c r="S369" i="23"/>
  <c r="S368" i="23"/>
  <c r="S367" i="23"/>
  <c r="S366" i="23"/>
  <c r="S365" i="23"/>
  <c r="S364" i="23"/>
  <c r="S363" i="23"/>
  <c r="S362" i="23"/>
  <c r="S361" i="23"/>
  <c r="S360" i="23"/>
  <c r="S359" i="23"/>
  <c r="S358" i="23"/>
  <c r="S357" i="23"/>
  <c r="S356" i="23"/>
  <c r="S355" i="23"/>
  <c r="S354" i="23"/>
  <c r="S353" i="23"/>
  <c r="S352" i="23"/>
  <c r="S351" i="23"/>
  <c r="S350" i="23"/>
  <c r="S349" i="23"/>
  <c r="S348" i="23"/>
  <c r="S347" i="23"/>
  <c r="S346" i="23"/>
  <c r="S345" i="23"/>
  <c r="S344" i="23"/>
  <c r="S343" i="23"/>
  <c r="S342" i="23"/>
  <c r="S341" i="23"/>
  <c r="S340" i="23"/>
  <c r="S339" i="23"/>
  <c r="S338" i="23"/>
  <c r="S337" i="23"/>
  <c r="S336" i="23"/>
  <c r="S335" i="23"/>
  <c r="S334" i="23"/>
  <c r="S333" i="23"/>
  <c r="S332" i="23"/>
  <c r="S331" i="23"/>
  <c r="S330" i="23"/>
  <c r="S329" i="23"/>
  <c r="S328" i="23"/>
  <c r="S327" i="23"/>
  <c r="S326" i="23"/>
  <c r="S325" i="23"/>
  <c r="S324" i="23"/>
  <c r="S323" i="23"/>
  <c r="S322" i="23"/>
  <c r="S321" i="23"/>
  <c r="S320" i="23"/>
  <c r="S319" i="23"/>
  <c r="S318" i="23"/>
  <c r="S317" i="23"/>
  <c r="S316" i="23"/>
  <c r="S315" i="23"/>
  <c r="S314" i="23"/>
  <c r="S313" i="23"/>
  <c r="S312" i="23"/>
  <c r="S311" i="23"/>
  <c r="S310" i="23"/>
  <c r="S309" i="23"/>
  <c r="S308" i="23"/>
  <c r="S307" i="23"/>
  <c r="S306" i="23"/>
  <c r="S305" i="23"/>
  <c r="S304" i="23"/>
  <c r="S303" i="23"/>
  <c r="S302" i="23"/>
  <c r="S301" i="23"/>
  <c r="S300" i="23"/>
  <c r="S299" i="23"/>
  <c r="S298" i="23"/>
  <c r="S297" i="23"/>
  <c r="S296" i="23"/>
  <c r="S295" i="23"/>
  <c r="S294" i="23"/>
  <c r="S293" i="23"/>
  <c r="S292" i="23"/>
  <c r="S291" i="23"/>
  <c r="S290" i="23"/>
  <c r="S289" i="23"/>
  <c r="S288" i="23"/>
  <c r="S287" i="23"/>
  <c r="S286" i="23"/>
  <c r="S285" i="23"/>
  <c r="S284" i="23"/>
  <c r="S283" i="23"/>
  <c r="S282" i="23"/>
  <c r="S281" i="23"/>
  <c r="S280" i="23"/>
  <c r="S272" i="23"/>
  <c r="S271" i="23"/>
  <c r="S270" i="23"/>
  <c r="S269" i="23"/>
  <c r="S268" i="23"/>
  <c r="S267" i="23"/>
  <c r="S266" i="23"/>
  <c r="S265" i="23"/>
  <c r="S264" i="23"/>
  <c r="S263" i="23"/>
  <c r="S262" i="23"/>
  <c r="S254" i="23"/>
  <c r="S253" i="23"/>
  <c r="S252" i="23"/>
  <c r="S251" i="23"/>
  <c r="S250" i="23"/>
  <c r="S249" i="23"/>
  <c r="S248" i="23"/>
  <c r="S247" i="23"/>
  <c r="S246" i="23"/>
  <c r="S245" i="23"/>
  <c r="S244" i="23"/>
  <c r="S243" i="23"/>
  <c r="S242" i="23"/>
  <c r="S241" i="23"/>
  <c r="S240" i="23"/>
  <c r="S239" i="23"/>
  <c r="S238" i="23"/>
  <c r="S237" i="23"/>
  <c r="S236" i="23"/>
  <c r="S235" i="23"/>
  <c r="S234" i="23"/>
  <c r="S233" i="23"/>
  <c r="S232" i="23"/>
  <c r="S231" i="23"/>
  <c r="S230" i="23"/>
  <c r="S229" i="23"/>
  <c r="S228" i="23"/>
  <c r="S227" i="23"/>
  <c r="S226" i="23"/>
  <c r="S225" i="23"/>
  <c r="S224" i="23"/>
  <c r="S223" i="23"/>
  <c r="S222" i="23"/>
  <c r="S221" i="23"/>
  <c r="S220" i="23"/>
  <c r="S212" i="23"/>
  <c r="S211" i="23"/>
  <c r="S210" i="23"/>
  <c r="S209" i="23"/>
  <c r="S208" i="23"/>
  <c r="S207" i="23"/>
  <c r="S206" i="23"/>
  <c r="S205" i="23"/>
  <c r="S204" i="23"/>
  <c r="S203" i="23"/>
  <c r="S202" i="23"/>
  <c r="S201" i="23"/>
  <c r="S200" i="23"/>
  <c r="S199" i="23"/>
  <c r="S198" i="23"/>
  <c r="S197" i="23"/>
  <c r="S196" i="23"/>
  <c r="S195" i="23"/>
  <c r="S194" i="23"/>
  <c r="S193" i="23"/>
  <c r="S192" i="23"/>
  <c r="S191" i="23"/>
  <c r="S190" i="23"/>
  <c r="S189" i="23"/>
  <c r="S188" i="23"/>
  <c r="S187" i="23"/>
  <c r="S186" i="23"/>
  <c r="S185" i="23"/>
  <c r="S184" i="23"/>
  <c r="S183" i="23"/>
  <c r="S182" i="23"/>
  <c r="S181" i="23"/>
  <c r="S180" i="23"/>
  <c r="S172" i="23"/>
  <c r="S171" i="23"/>
  <c r="S170" i="23"/>
  <c r="S169" i="23"/>
  <c r="S168" i="23"/>
  <c r="S167" i="23"/>
  <c r="S166" i="23"/>
  <c r="S165" i="23"/>
  <c r="S164" i="23"/>
  <c r="S163" i="23"/>
  <c r="S162" i="23"/>
  <c r="S154" i="23"/>
  <c r="S153" i="23"/>
  <c r="S152" i="23"/>
  <c r="S151" i="23"/>
  <c r="S150" i="23"/>
  <c r="S149" i="23"/>
  <c r="S148" i="23"/>
  <c r="S147" i="23"/>
  <c r="S146" i="23"/>
  <c r="S145" i="23"/>
  <c r="S144" i="23"/>
  <c r="S143" i="23"/>
  <c r="S142" i="23"/>
  <c r="S141" i="23"/>
  <c r="S140" i="23"/>
  <c r="S139" i="23"/>
  <c r="S138" i="23"/>
  <c r="S137" i="23"/>
  <c r="S136" i="23"/>
  <c r="S135" i="23"/>
  <c r="S134" i="23"/>
  <c r="S133" i="23"/>
  <c r="S132" i="23"/>
  <c r="S131" i="23"/>
  <c r="S130" i="23"/>
  <c r="S129" i="23"/>
  <c r="S128" i="23"/>
  <c r="S127" i="23"/>
  <c r="S126" i="23"/>
  <c r="S125" i="23"/>
  <c r="S124" i="23"/>
  <c r="S123" i="23"/>
  <c r="S122" i="23"/>
  <c r="S121" i="23"/>
  <c r="S120" i="23"/>
  <c r="S112" i="23"/>
  <c r="S111" i="23"/>
  <c r="S110" i="23"/>
  <c r="S109" i="23"/>
  <c r="S108" i="23"/>
  <c r="S107" i="23"/>
  <c r="S106" i="23"/>
  <c r="S105" i="23"/>
  <c r="S104" i="23"/>
  <c r="S103" i="23"/>
  <c r="S102" i="23"/>
  <c r="S101" i="23"/>
  <c r="S100" i="23"/>
  <c r="S99" i="23"/>
  <c r="S98" i="23"/>
  <c r="S97" i="23"/>
  <c r="S96" i="23"/>
  <c r="S95" i="23"/>
  <c r="S94" i="23"/>
  <c r="S93" i="23"/>
  <c r="S92" i="23"/>
  <c r="S91" i="23"/>
  <c r="S90" i="23"/>
  <c r="S89" i="23"/>
  <c r="S88" i="23"/>
  <c r="S87" i="23"/>
  <c r="S86" i="23"/>
  <c r="S85" i="23"/>
  <c r="S84" i="23"/>
  <c r="S83" i="23"/>
  <c r="S82" i="23"/>
  <c r="S81" i="23"/>
  <c r="S80" i="23"/>
  <c r="S72" i="23"/>
  <c r="S71" i="23"/>
  <c r="S70" i="23"/>
  <c r="S69" i="23"/>
  <c r="S68" i="23"/>
  <c r="S67" i="23"/>
  <c r="S66" i="23"/>
  <c r="S65" i="23"/>
  <c r="S64" i="23"/>
  <c r="S63" i="23"/>
  <c r="S62"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2" i="23"/>
  <c r="S21" i="23"/>
  <c r="S20" i="23"/>
  <c r="S12" i="23"/>
  <c r="S11" i="23"/>
  <c r="S10" i="23"/>
  <c r="S9" i="23"/>
  <c r="S8" i="23"/>
  <c r="S7" i="23"/>
  <c r="S6" i="23"/>
  <c r="S5" i="23"/>
  <c r="S4" i="23"/>
  <c r="S3" i="23"/>
  <c r="P453" i="23"/>
  <c r="P452" i="23"/>
  <c r="P451" i="23"/>
  <c r="P450" i="23"/>
  <c r="P449" i="23"/>
  <c r="P448" i="23"/>
  <c r="P447" i="23"/>
  <c r="P446" i="23"/>
  <c r="P445" i="23"/>
  <c r="P444" i="23"/>
  <c r="P443" i="23"/>
  <c r="P442" i="23"/>
  <c r="P441" i="23"/>
  <c r="P440" i="23"/>
  <c r="P439" i="23"/>
  <c r="P438" i="23"/>
  <c r="P437" i="23"/>
  <c r="P436" i="23"/>
  <c r="P435" i="23"/>
  <c r="P434" i="23"/>
  <c r="P433" i="23"/>
  <c r="P432" i="23"/>
  <c r="P431" i="23"/>
  <c r="P430" i="23"/>
  <c r="P429" i="23"/>
  <c r="P428" i="23"/>
  <c r="P427" i="23"/>
  <c r="P426" i="23"/>
  <c r="P425" i="23"/>
  <c r="P424" i="23"/>
  <c r="P423" i="23"/>
  <c r="P422" i="23"/>
  <c r="P421" i="23"/>
  <c r="P420" i="23"/>
  <c r="P419" i="23"/>
  <c r="P418" i="23"/>
  <c r="P417" i="23"/>
  <c r="P416" i="23"/>
  <c r="P415" i="23"/>
  <c r="P414" i="23"/>
  <c r="P413" i="23"/>
  <c r="P412" i="23"/>
  <c r="P411" i="23"/>
  <c r="P410" i="23"/>
  <c r="P409" i="23"/>
  <c r="P408" i="23"/>
  <c r="P407" i="23"/>
  <c r="P406" i="23"/>
  <c r="P405" i="23"/>
  <c r="P404" i="23"/>
  <c r="P403" i="23"/>
  <c r="P402" i="23"/>
  <c r="P401" i="23"/>
  <c r="P400" i="23"/>
  <c r="P399" i="23"/>
  <c r="P398" i="23"/>
  <c r="P397" i="23"/>
  <c r="P396" i="23"/>
  <c r="P395" i="23"/>
  <c r="P394" i="23"/>
  <c r="P393" i="23"/>
  <c r="P392" i="23"/>
  <c r="P391" i="23"/>
  <c r="P390" i="23"/>
  <c r="P389" i="23"/>
  <c r="P388" i="23"/>
  <c r="P387" i="23"/>
  <c r="P386" i="23"/>
  <c r="P385" i="23"/>
  <c r="P384" i="23"/>
  <c r="P383" i="23"/>
  <c r="P382" i="23"/>
  <c r="P381" i="23"/>
  <c r="P380" i="23"/>
  <c r="P379" i="23"/>
  <c r="P378" i="23"/>
  <c r="P377" i="23"/>
  <c r="P376" i="23"/>
  <c r="P375" i="23"/>
  <c r="P374" i="23"/>
  <c r="P373" i="23"/>
  <c r="P372" i="23"/>
  <c r="P371" i="23"/>
  <c r="P370" i="23"/>
  <c r="P369" i="23"/>
  <c r="P368" i="23"/>
  <c r="P367" i="23"/>
  <c r="P366" i="23"/>
  <c r="P365" i="23"/>
  <c r="P364" i="23"/>
  <c r="P363" i="23"/>
  <c r="P362" i="23"/>
  <c r="P361" i="23"/>
  <c r="P360" i="23"/>
  <c r="P359" i="23"/>
  <c r="P358" i="23"/>
  <c r="P357" i="23"/>
  <c r="P356" i="23"/>
  <c r="P355" i="23"/>
  <c r="P354" i="23"/>
  <c r="P353" i="23"/>
  <c r="P352" i="23"/>
  <c r="P351" i="23"/>
  <c r="P350" i="23"/>
  <c r="P349" i="23"/>
  <c r="P348" i="23"/>
  <c r="P347" i="23"/>
  <c r="P346" i="23"/>
  <c r="P345" i="23"/>
  <c r="P344" i="23"/>
  <c r="P343" i="23"/>
  <c r="P342" i="23"/>
  <c r="P341" i="23"/>
  <c r="P340" i="23"/>
  <c r="P339" i="23"/>
  <c r="P338" i="23"/>
  <c r="P337" i="23"/>
  <c r="P336" i="23"/>
  <c r="P335" i="23"/>
  <c r="P334" i="23"/>
  <c r="P333" i="23"/>
  <c r="P332" i="23"/>
  <c r="P331" i="23"/>
  <c r="P330" i="23"/>
  <c r="P329" i="23"/>
  <c r="P328" i="23"/>
  <c r="P327" i="23"/>
  <c r="P326" i="23"/>
  <c r="P325" i="23"/>
  <c r="P324" i="23"/>
  <c r="P323" i="23"/>
  <c r="P322" i="23"/>
  <c r="P321" i="23"/>
  <c r="P320" i="23"/>
  <c r="P319" i="23"/>
  <c r="P318" i="23"/>
  <c r="P317" i="23"/>
  <c r="P316" i="23"/>
  <c r="P315" i="23"/>
  <c r="P314" i="23"/>
  <c r="P313" i="23"/>
  <c r="P312" i="23"/>
  <c r="P311" i="23"/>
  <c r="P310" i="23"/>
  <c r="P309" i="23"/>
  <c r="P308" i="23"/>
  <c r="P307" i="23"/>
  <c r="P306" i="23"/>
  <c r="P298" i="23"/>
  <c r="P297" i="23"/>
  <c r="P296" i="23"/>
  <c r="P295" i="23"/>
  <c r="P294" i="23"/>
  <c r="P293" i="23"/>
  <c r="P292" i="23"/>
  <c r="P291" i="23"/>
  <c r="P290" i="23"/>
  <c r="P289" i="23"/>
  <c r="P288" i="23"/>
  <c r="P287" i="23"/>
  <c r="P279" i="23"/>
  <c r="P278" i="23"/>
  <c r="P277" i="23"/>
  <c r="P276" i="23"/>
  <c r="P275" i="23"/>
  <c r="P274" i="23"/>
  <c r="P273" i="23"/>
  <c r="P272" i="23"/>
  <c r="P271" i="23"/>
  <c r="P270" i="23"/>
  <c r="P269" i="23"/>
  <c r="P268" i="23"/>
  <c r="P267" i="23"/>
  <c r="P266" i="23"/>
  <c r="P261" i="23"/>
  <c r="P260" i="23"/>
  <c r="P259" i="23"/>
  <c r="P258" i="23"/>
  <c r="P257" i="23"/>
  <c r="P256" i="23"/>
  <c r="P255" i="23"/>
  <c r="P254" i="23"/>
  <c r="P253" i="23"/>
  <c r="P252" i="23"/>
  <c r="P251" i="23"/>
  <c r="P250" i="23"/>
  <c r="P249" i="23"/>
  <c r="P248" i="23"/>
  <c r="P247" i="23"/>
  <c r="P246" i="23"/>
  <c r="P245" i="23"/>
  <c r="P244" i="23"/>
  <c r="P243" i="23"/>
  <c r="P242" i="23"/>
  <c r="P241" i="23"/>
  <c r="P240" i="23"/>
  <c r="P239" i="23"/>
  <c r="P238" i="23"/>
  <c r="P237" i="23"/>
  <c r="P236" i="23"/>
  <c r="P235" i="23"/>
  <c r="P234" i="23"/>
  <c r="P226" i="23"/>
  <c r="P225" i="23"/>
  <c r="P224" i="23"/>
  <c r="P223" i="23"/>
  <c r="P222" i="23"/>
  <c r="P221" i="23"/>
  <c r="P220" i="23"/>
  <c r="P212" i="23"/>
  <c r="P211" i="23"/>
  <c r="P210" i="23"/>
  <c r="P209" i="23"/>
  <c r="P208" i="23"/>
  <c r="P207" i="23"/>
  <c r="P206" i="23"/>
  <c r="P198" i="23"/>
  <c r="P197" i="23"/>
  <c r="P196" i="23"/>
  <c r="P195" i="23"/>
  <c r="P194" i="23"/>
  <c r="P193" i="23"/>
  <c r="P192" i="23"/>
  <c r="P191" i="23"/>
  <c r="P190" i="23"/>
  <c r="P189" i="23"/>
  <c r="P188" i="23"/>
  <c r="P187" i="23"/>
  <c r="P179" i="23"/>
  <c r="P178" i="23"/>
  <c r="P177" i="23"/>
  <c r="P176" i="23"/>
  <c r="P175" i="23"/>
  <c r="P174" i="23"/>
  <c r="P173" i="23"/>
  <c r="P172" i="23"/>
  <c r="P171" i="23"/>
  <c r="P170" i="23"/>
  <c r="P169" i="23"/>
  <c r="P168" i="23"/>
  <c r="P167" i="23"/>
  <c r="P166" i="23"/>
  <c r="P161" i="23"/>
  <c r="P160" i="23"/>
  <c r="P159" i="23"/>
  <c r="P158" i="23"/>
  <c r="P157" i="23"/>
  <c r="P156" i="23"/>
  <c r="P155" i="23"/>
  <c r="P154" i="23"/>
  <c r="P153" i="23"/>
  <c r="P152" i="23"/>
  <c r="P151" i="23"/>
  <c r="P150" i="23"/>
  <c r="P149" i="23"/>
  <c r="P148" i="23"/>
  <c r="P147" i="23"/>
  <c r="P146" i="23"/>
  <c r="P145" i="23"/>
  <c r="P144" i="23"/>
  <c r="P143" i="23"/>
  <c r="P142" i="23"/>
  <c r="P141" i="23"/>
  <c r="P140" i="23"/>
  <c r="P139" i="23"/>
  <c r="P138" i="23"/>
  <c r="P137" i="23"/>
  <c r="P136" i="23"/>
  <c r="P135" i="23"/>
  <c r="P134" i="23"/>
  <c r="P126" i="23"/>
  <c r="P125" i="23"/>
  <c r="P124" i="23"/>
  <c r="P123" i="23"/>
  <c r="P122" i="23"/>
  <c r="P121" i="23"/>
  <c r="P120" i="23"/>
  <c r="P112" i="23"/>
  <c r="P111" i="23"/>
  <c r="P110" i="23"/>
  <c r="P109" i="23"/>
  <c r="P108" i="23"/>
  <c r="P107" i="23"/>
  <c r="P106" i="23"/>
  <c r="P98" i="23"/>
  <c r="P97" i="23"/>
  <c r="P96" i="23"/>
  <c r="P95" i="23"/>
  <c r="P94" i="23"/>
  <c r="P93" i="23"/>
  <c r="P92" i="23"/>
  <c r="P91" i="23"/>
  <c r="P90" i="23"/>
  <c r="P89" i="23"/>
  <c r="P88" i="23"/>
  <c r="P87" i="23"/>
  <c r="P79" i="23"/>
  <c r="P78" i="23"/>
  <c r="P77" i="23"/>
  <c r="P76" i="23"/>
  <c r="P75" i="23"/>
  <c r="P74" i="23"/>
  <c r="P73" i="23"/>
  <c r="P72" i="23"/>
  <c r="P71" i="23"/>
  <c r="P70" i="23"/>
  <c r="P69" i="23"/>
  <c r="P68" i="23"/>
  <c r="P67" i="23"/>
  <c r="P66"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26" i="23"/>
  <c r="P25" i="23"/>
  <c r="P24" i="23"/>
  <c r="P23" i="23"/>
  <c r="P22" i="23"/>
  <c r="P21" i="23"/>
  <c r="P20" i="23"/>
  <c r="P12" i="23"/>
  <c r="P11" i="23"/>
  <c r="P10" i="23"/>
  <c r="P9" i="23"/>
  <c r="P8" i="23"/>
  <c r="P7" i="23"/>
  <c r="P6" i="23"/>
  <c r="P5" i="23"/>
  <c r="P4" i="23"/>
  <c r="P3" i="23"/>
  <c r="M4" i="23"/>
  <c r="M5" i="23"/>
  <c r="M6" i="23"/>
  <c r="M7" i="23"/>
  <c r="M8" i="23"/>
  <c r="M9" i="23"/>
  <c r="M10" i="23"/>
  <c r="M11" i="23"/>
  <c r="M12" i="23"/>
  <c r="M13" i="23"/>
  <c r="M14" i="23"/>
  <c r="M15" i="23"/>
  <c r="M16" i="23"/>
  <c r="M17" i="23"/>
  <c r="M18" i="23"/>
  <c r="M19" i="23"/>
  <c r="M20" i="23"/>
  <c r="M21" i="23"/>
  <c r="M22" i="23"/>
  <c r="M23" i="23"/>
  <c r="M24" i="23"/>
  <c r="M25" i="23"/>
  <c r="M26" i="23"/>
  <c r="M27" i="23"/>
  <c r="M28" i="23"/>
  <c r="M29" i="23"/>
  <c r="M30" i="23"/>
  <c r="M31" i="23"/>
  <c r="M32" i="23"/>
  <c r="M33" i="23"/>
  <c r="M34" i="23"/>
  <c r="M35" i="23"/>
  <c r="M36" i="23"/>
  <c r="M37" i="23"/>
  <c r="M38" i="23"/>
  <c r="M39" i="23"/>
  <c r="M40" i="23"/>
  <c r="M41" i="23"/>
  <c r="M42" i="23"/>
  <c r="M43" i="23"/>
  <c r="M44" i="23"/>
  <c r="M45" i="23"/>
  <c r="M46" i="23"/>
  <c r="M47" i="23"/>
  <c r="M48" i="23"/>
  <c r="M49" i="23"/>
  <c r="M50" i="23"/>
  <c r="M51" i="23"/>
  <c r="M52" i="23"/>
  <c r="M53" i="23"/>
  <c r="M54" i="23"/>
  <c r="M55" i="23"/>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100" i="23"/>
  <c r="M101" i="23"/>
  <c r="M102" i="23"/>
  <c r="M103" i="23"/>
  <c r="M104" i="23"/>
  <c r="M105" i="23"/>
  <c r="M106" i="23"/>
  <c r="M107" i="23"/>
  <c r="M108" i="23"/>
  <c r="M109" i="23"/>
  <c r="M110" i="23"/>
  <c r="M111" i="23"/>
  <c r="M112" i="23"/>
  <c r="M113" i="23"/>
  <c r="M114" i="23"/>
  <c r="M115" i="23"/>
  <c r="M116" i="23"/>
  <c r="M117" i="23"/>
  <c r="M118" i="23"/>
  <c r="M119" i="23"/>
  <c r="M120" i="23"/>
  <c r="M121" i="23"/>
  <c r="M122" i="23"/>
  <c r="M123" i="23"/>
  <c r="M124" i="23"/>
  <c r="M125" i="23"/>
  <c r="M126" i="23"/>
  <c r="M127" i="23"/>
  <c r="M128" i="23"/>
  <c r="M129" i="23"/>
  <c r="M130" i="23"/>
  <c r="M131" i="23"/>
  <c r="M132" i="23"/>
  <c r="M133" i="23"/>
  <c r="M134" i="23"/>
  <c r="M135" i="23"/>
  <c r="M136" i="23"/>
  <c r="M137" i="23"/>
  <c r="M138" i="23"/>
  <c r="M139" i="23"/>
  <c r="M140" i="23"/>
  <c r="M141" i="23"/>
  <c r="M142" i="23"/>
  <c r="M143" i="23"/>
  <c r="M144" i="23"/>
  <c r="M145" i="23"/>
  <c r="M146" i="23"/>
  <c r="M147" i="23"/>
  <c r="M148" i="23"/>
  <c r="M149" i="23"/>
  <c r="M150" i="23"/>
  <c r="M151" i="23"/>
  <c r="M152" i="23"/>
  <c r="M153" i="23"/>
  <c r="M154" i="23"/>
  <c r="M155" i="23"/>
  <c r="M156" i="23"/>
  <c r="M157" i="23"/>
  <c r="M158" i="23"/>
  <c r="M159" i="23"/>
  <c r="M160" i="23"/>
  <c r="M161" i="23"/>
  <c r="M162" i="23"/>
  <c r="M163" i="23"/>
  <c r="M164" i="23"/>
  <c r="M165" i="23"/>
  <c r="M166" i="23"/>
  <c r="M167" i="23"/>
  <c r="M168" i="23"/>
  <c r="M169" i="23"/>
  <c r="M170" i="23"/>
  <c r="M171" i="23"/>
  <c r="M172" i="23"/>
  <c r="M173" i="23"/>
  <c r="M174" i="23"/>
  <c r="M175" i="23"/>
  <c r="M176" i="23"/>
  <c r="M177" i="23"/>
  <c r="M178" i="23"/>
  <c r="M179" i="23"/>
  <c r="M180" i="23"/>
  <c r="M181" i="23"/>
  <c r="M182" i="23"/>
  <c r="M183" i="23"/>
  <c r="M184" i="23"/>
  <c r="M185" i="23"/>
  <c r="M186" i="23"/>
  <c r="M187" i="23"/>
  <c r="M188" i="23"/>
  <c r="M189" i="23"/>
  <c r="M190" i="23"/>
  <c r="M191" i="23"/>
  <c r="M192" i="23"/>
  <c r="M193" i="23"/>
  <c r="M194" i="23"/>
  <c r="M195" i="23"/>
  <c r="M196" i="23"/>
  <c r="M197" i="23"/>
  <c r="M198" i="23"/>
  <c r="M199" i="23"/>
  <c r="M200" i="23"/>
  <c r="M201" i="23"/>
  <c r="M202" i="23"/>
  <c r="M203" i="23"/>
  <c r="M204" i="23"/>
  <c r="M205" i="23"/>
  <c r="M206" i="23"/>
  <c r="M207" i="23"/>
  <c r="M208" i="23"/>
  <c r="M209" i="23"/>
  <c r="M210" i="23"/>
  <c r="M211" i="23"/>
  <c r="M212" i="23"/>
  <c r="M213" i="23"/>
  <c r="M214" i="23"/>
  <c r="M215" i="23"/>
  <c r="M216" i="23"/>
  <c r="M217" i="23"/>
  <c r="M218" i="23"/>
  <c r="M219" i="23"/>
  <c r="M220" i="23"/>
  <c r="M221" i="23"/>
  <c r="M222" i="23"/>
  <c r="M223" i="23"/>
  <c r="M224" i="23"/>
  <c r="M225" i="23"/>
  <c r="M226" i="23"/>
  <c r="M227" i="23"/>
  <c r="M228" i="23"/>
  <c r="M229" i="23"/>
  <c r="M230" i="23"/>
  <c r="M231" i="23"/>
  <c r="M232" i="23"/>
  <c r="M233" i="23"/>
  <c r="M234" i="23"/>
  <c r="M235" i="23"/>
  <c r="M236" i="23"/>
  <c r="M237" i="23"/>
  <c r="M238" i="23"/>
  <c r="M239" i="23"/>
  <c r="M240" i="23"/>
  <c r="M241" i="23"/>
  <c r="M242" i="23"/>
  <c r="M243" i="23"/>
  <c r="M244" i="23"/>
  <c r="M245" i="23"/>
  <c r="M246" i="23"/>
  <c r="M247" i="23"/>
  <c r="M248" i="23"/>
  <c r="M249" i="23"/>
  <c r="M250" i="23"/>
  <c r="M251" i="23"/>
  <c r="M252" i="23"/>
  <c r="M253" i="23"/>
  <c r="M254" i="23"/>
  <c r="M255" i="23"/>
  <c r="M256" i="23"/>
  <c r="M257" i="23"/>
  <c r="M258" i="23"/>
  <c r="M259" i="23"/>
  <c r="M260" i="23"/>
  <c r="M261" i="23"/>
  <c r="M262" i="23"/>
  <c r="M263" i="23"/>
  <c r="M264" i="23"/>
  <c r="M265" i="23"/>
  <c r="M266" i="23"/>
  <c r="M267" i="23"/>
  <c r="M268" i="23"/>
  <c r="M269" i="23"/>
  <c r="M270" i="23"/>
  <c r="M271" i="23"/>
  <c r="M272" i="23"/>
  <c r="M273" i="23"/>
  <c r="M274" i="23"/>
  <c r="M275" i="23"/>
  <c r="M276" i="23"/>
  <c r="M277" i="23"/>
  <c r="M278" i="23"/>
  <c r="M279" i="23"/>
  <c r="M280" i="23"/>
  <c r="M281" i="23"/>
  <c r="M282" i="23"/>
  <c r="M283" i="23"/>
  <c r="M284" i="23"/>
  <c r="M285" i="23"/>
  <c r="M286" i="23"/>
  <c r="M287" i="23"/>
  <c r="M288" i="23"/>
  <c r="M289" i="23"/>
  <c r="M290" i="23"/>
  <c r="M291" i="23"/>
  <c r="M292" i="23"/>
  <c r="M293" i="23"/>
  <c r="M294" i="23"/>
  <c r="M295" i="23"/>
  <c r="M296" i="23"/>
  <c r="M297" i="23"/>
  <c r="M298" i="23"/>
  <c r="M299" i="23"/>
  <c r="M300" i="23"/>
  <c r="M301" i="23"/>
  <c r="M302" i="23"/>
  <c r="M303" i="23"/>
  <c r="M304" i="23"/>
  <c r="M305" i="23"/>
  <c r="M306" i="23"/>
  <c r="M307" i="23"/>
  <c r="M308" i="23"/>
  <c r="M309" i="23"/>
  <c r="M310" i="23"/>
  <c r="M311" i="23"/>
  <c r="M312" i="23"/>
  <c r="M313" i="23"/>
  <c r="M314" i="23"/>
  <c r="M315" i="23"/>
  <c r="M316" i="23"/>
  <c r="M317" i="23"/>
  <c r="M318" i="23"/>
  <c r="M319" i="23"/>
  <c r="M320" i="23"/>
  <c r="M321" i="23"/>
  <c r="M322" i="23"/>
  <c r="M323" i="23"/>
  <c r="M324" i="23"/>
  <c r="M325" i="23"/>
  <c r="M326" i="23"/>
  <c r="M327" i="23"/>
  <c r="M328" i="23"/>
  <c r="M329" i="23"/>
  <c r="M330" i="23"/>
  <c r="M331" i="23"/>
  <c r="M332" i="23"/>
  <c r="M333" i="23"/>
  <c r="M334" i="23"/>
  <c r="M335" i="23"/>
  <c r="M336" i="23"/>
  <c r="M337" i="23"/>
  <c r="M338" i="23"/>
  <c r="M339" i="23"/>
  <c r="M340" i="23"/>
  <c r="M341" i="23"/>
  <c r="M342" i="23"/>
  <c r="M343" i="23"/>
  <c r="M344" i="23"/>
  <c r="M345" i="23"/>
  <c r="M346" i="23"/>
  <c r="M347" i="23"/>
  <c r="M348" i="23"/>
  <c r="M349" i="23"/>
  <c r="M350" i="23"/>
  <c r="M351" i="23"/>
  <c r="M352" i="23"/>
  <c r="M353" i="23"/>
  <c r="M354" i="23"/>
  <c r="M355" i="23"/>
  <c r="M356" i="23"/>
  <c r="M357" i="23"/>
  <c r="M358" i="23"/>
  <c r="M359" i="23"/>
  <c r="M360" i="23"/>
  <c r="M361" i="23"/>
  <c r="M362" i="23"/>
  <c r="M363" i="23"/>
  <c r="M364" i="23"/>
  <c r="M365" i="23"/>
  <c r="M366" i="23"/>
  <c r="M367" i="23"/>
  <c r="M368" i="23"/>
  <c r="M369" i="23"/>
  <c r="M370" i="23"/>
  <c r="M371" i="23"/>
  <c r="M372" i="23"/>
  <c r="M373" i="23"/>
  <c r="M374" i="23"/>
  <c r="M375" i="23"/>
  <c r="M376" i="23"/>
  <c r="M377" i="23"/>
  <c r="M378" i="23"/>
  <c r="M379" i="23"/>
  <c r="M380" i="23"/>
  <c r="M381" i="23"/>
  <c r="M382" i="23"/>
  <c r="M383" i="23"/>
  <c r="M384" i="23"/>
  <c r="M385" i="23"/>
  <c r="M386" i="23"/>
  <c r="M387" i="23"/>
  <c r="M388" i="23"/>
  <c r="M389" i="23"/>
  <c r="M390" i="23"/>
  <c r="M391" i="23"/>
  <c r="M392" i="23"/>
  <c r="M393" i="23"/>
  <c r="M394" i="23"/>
  <c r="M395" i="23"/>
  <c r="M396" i="23"/>
  <c r="M397" i="23"/>
  <c r="M398" i="23"/>
  <c r="M399" i="23"/>
  <c r="M400" i="23"/>
  <c r="M401" i="23"/>
  <c r="M402" i="23"/>
  <c r="M403" i="23"/>
  <c r="M404" i="23"/>
  <c r="M405" i="23"/>
  <c r="M406" i="23"/>
  <c r="M407" i="23"/>
  <c r="M408" i="23"/>
  <c r="M409" i="23"/>
  <c r="M410" i="23"/>
  <c r="M411" i="23"/>
  <c r="M412" i="23"/>
  <c r="M413" i="23"/>
  <c r="M414" i="23"/>
  <c r="M415" i="23"/>
  <c r="M416" i="23"/>
  <c r="M417" i="23"/>
  <c r="M418" i="23"/>
  <c r="M419" i="23"/>
  <c r="M420" i="23"/>
  <c r="M421" i="23"/>
  <c r="M422" i="23"/>
  <c r="M423" i="23"/>
  <c r="M424" i="23"/>
  <c r="M425" i="23"/>
  <c r="M426" i="23"/>
  <c r="M427" i="23"/>
  <c r="M428" i="23"/>
  <c r="M429" i="23"/>
  <c r="M430" i="23"/>
  <c r="M431" i="23"/>
  <c r="M432" i="23"/>
  <c r="M433" i="23"/>
  <c r="M434" i="23"/>
  <c r="M435" i="23"/>
  <c r="M436" i="23"/>
  <c r="M437" i="23"/>
  <c r="M438" i="23"/>
  <c r="M439" i="23"/>
  <c r="M440" i="23"/>
  <c r="M441" i="23"/>
  <c r="M442" i="23"/>
  <c r="M443" i="23"/>
  <c r="M444" i="23"/>
  <c r="M445" i="23"/>
  <c r="M446" i="23"/>
  <c r="M447" i="23"/>
  <c r="M448" i="23"/>
  <c r="M449" i="23"/>
  <c r="M450" i="23"/>
  <c r="M451" i="23"/>
  <c r="M452" i="23"/>
  <c r="M453" i="23"/>
  <c r="M3" i="23"/>
  <c r="A4" i="23"/>
  <c r="A5" i="23"/>
  <c r="A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3" i="23"/>
  <c r="K37" i="22"/>
  <c r="K36" i="22"/>
  <c r="K35" i="22"/>
  <c r="K34" i="22"/>
  <c r="K33" i="22"/>
  <c r="K32" i="22"/>
  <c r="K31" i="22"/>
  <c r="K30" i="22"/>
  <c r="K29" i="22"/>
  <c r="K28" i="22"/>
  <c r="K27" i="22"/>
  <c r="K26" i="22"/>
  <c r="K25" i="22"/>
  <c r="K24" i="22"/>
  <c r="K23" i="22"/>
  <c r="K22" i="22"/>
  <c r="K21" i="22"/>
  <c r="K20" i="22"/>
  <c r="K19" i="22"/>
  <c r="K18" i="22"/>
  <c r="K17" i="22"/>
  <c r="K16" i="22"/>
  <c r="K15" i="22"/>
  <c r="K14" i="22"/>
  <c r="K13" i="22"/>
  <c r="K12" i="22"/>
  <c r="K11" i="22"/>
  <c r="K10" i="22"/>
  <c r="K9" i="22"/>
  <c r="K8" i="22"/>
  <c r="K7" i="22"/>
  <c r="K6" i="22"/>
  <c r="K5" i="22"/>
  <c r="K4" i="22"/>
  <c r="K3" i="22"/>
  <c r="H4" i="22"/>
  <c r="H5" i="22"/>
  <c r="H6" i="22"/>
  <c r="H7" i="22"/>
  <c r="H8" i="22"/>
  <c r="H9" i="22"/>
  <c r="H10" i="22"/>
  <c r="H11" i="22"/>
  <c r="H12" i="22"/>
  <c r="H13" i="22"/>
  <c r="H14" i="22"/>
  <c r="H15" i="22"/>
  <c r="H16" i="22"/>
  <c r="H17" i="22"/>
  <c r="H18" i="22"/>
  <c r="H19" i="22"/>
  <c r="H20" i="22"/>
  <c r="H21" i="22"/>
  <c r="H22" i="22"/>
  <c r="H23" i="22"/>
  <c r="H24" i="22"/>
  <c r="H25" i="22"/>
  <c r="H26" i="22"/>
  <c r="H27" i="22"/>
  <c r="H28" i="22"/>
  <c r="H29" i="22"/>
  <c r="H30" i="22"/>
  <c r="H31" i="22"/>
  <c r="H32" i="22"/>
  <c r="H33" i="22"/>
  <c r="H34" i="22"/>
  <c r="H35" i="22"/>
  <c r="H36" i="22"/>
  <c r="H37" i="22"/>
  <c r="H38" i="22"/>
  <c r="H39" i="22"/>
  <c r="H40" i="22"/>
  <c r="H41" i="22"/>
  <c r="H42" i="22"/>
  <c r="H43" i="22"/>
  <c r="H44" i="22"/>
  <c r="H45" i="22"/>
  <c r="H46" i="22"/>
  <c r="H47" i="22"/>
  <c r="H48" i="22"/>
  <c r="H49" i="22"/>
  <c r="H50" i="22"/>
  <c r="H51" i="22"/>
  <c r="H52" i="22"/>
  <c r="H53" i="22"/>
  <c r="H54" i="22"/>
  <c r="H55" i="22"/>
  <c r="H56" i="22"/>
  <c r="H57" i="22"/>
  <c r="H58" i="22"/>
  <c r="H59" i="22"/>
  <c r="H60" i="22"/>
  <c r="H61" i="22"/>
  <c r="H62" i="22"/>
  <c r="H63" i="22"/>
  <c r="H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3" i="22"/>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4" i="21"/>
  <c r="A5" i="21"/>
  <c r="A6" i="21"/>
  <c r="A7" i="21"/>
  <c r="A8" i="21"/>
  <c r="A3" i="21"/>
  <c r="BK384" i="20"/>
  <c r="BK383" i="20"/>
  <c r="BK382" i="20"/>
  <c r="BK381" i="20"/>
  <c r="BK380" i="20"/>
  <c r="BK379" i="20"/>
  <c r="BK378" i="20"/>
  <c r="BK377" i="20"/>
  <c r="BK376" i="20"/>
  <c r="BK375" i="20"/>
  <c r="BK374" i="20"/>
  <c r="BK373" i="20"/>
  <c r="BK372" i="20"/>
  <c r="BK371" i="20"/>
  <c r="BK370" i="20"/>
  <c r="BK369" i="20"/>
  <c r="BK368" i="20"/>
  <c r="BK367" i="20"/>
  <c r="BK366" i="20"/>
  <c r="BK365" i="20"/>
  <c r="BK364" i="20"/>
  <c r="BK363" i="20"/>
  <c r="BK362" i="20"/>
  <c r="BK361" i="20"/>
  <c r="BK360" i="20"/>
  <c r="BK359" i="20"/>
  <c r="BK358" i="20"/>
  <c r="BK357" i="20"/>
  <c r="BK356" i="20"/>
  <c r="BK355" i="20"/>
  <c r="BK354" i="20"/>
  <c r="BK353" i="20"/>
  <c r="BK352" i="20"/>
  <c r="BK351" i="20"/>
  <c r="BK350" i="20"/>
  <c r="BK349" i="20"/>
  <c r="BK348" i="20"/>
  <c r="BK347" i="20"/>
  <c r="BK346" i="20"/>
  <c r="BK345" i="20"/>
  <c r="BK344" i="20"/>
  <c r="BK343" i="20"/>
  <c r="BK342" i="20"/>
  <c r="BK341" i="20"/>
  <c r="BK340" i="20"/>
  <c r="BK339" i="20"/>
  <c r="BK338" i="20"/>
  <c r="BK337" i="20"/>
  <c r="BK336" i="20"/>
  <c r="BK335" i="20"/>
  <c r="BK334" i="20"/>
  <c r="BK333" i="20"/>
  <c r="BK332" i="20"/>
  <c r="BK331" i="20"/>
  <c r="BK330" i="20"/>
  <c r="BK329" i="20"/>
  <c r="BK328" i="20"/>
  <c r="BK327" i="20"/>
  <c r="BK326" i="20"/>
  <c r="BK325" i="20"/>
  <c r="BK324" i="20"/>
  <c r="BK323" i="20"/>
  <c r="BK322" i="20"/>
  <c r="BK321" i="20"/>
  <c r="BK320" i="20"/>
  <c r="BK319" i="20"/>
  <c r="BK318" i="20"/>
  <c r="BK317" i="20"/>
  <c r="BK316" i="20"/>
  <c r="BK315" i="20"/>
  <c r="BK314" i="20"/>
  <c r="BK313" i="20"/>
  <c r="BK312" i="20"/>
  <c r="BK311" i="20"/>
  <c r="BK310" i="20"/>
  <c r="BK309" i="20"/>
  <c r="BK308" i="20"/>
  <c r="BK307" i="20"/>
  <c r="BK306" i="20"/>
  <c r="BK305" i="20"/>
  <c r="BK304" i="20"/>
  <c r="BK303" i="20"/>
  <c r="BK302" i="20"/>
  <c r="BK301" i="20"/>
  <c r="BK300" i="20"/>
  <c r="BK299" i="20"/>
  <c r="BK298" i="20"/>
  <c r="BK297" i="20"/>
  <c r="BK296" i="20"/>
  <c r="BK295" i="20"/>
  <c r="BK294" i="20"/>
  <c r="BK293" i="20"/>
  <c r="BK292" i="20"/>
  <c r="BK291" i="20"/>
  <c r="BK290" i="20"/>
  <c r="BK289" i="20"/>
  <c r="BK288" i="20"/>
  <c r="BK287" i="20"/>
  <c r="BK286" i="20"/>
  <c r="BK285" i="20"/>
  <c r="BK284" i="20"/>
  <c r="BK283" i="20"/>
  <c r="BK282" i="20"/>
  <c r="BK281" i="20"/>
  <c r="BK280" i="20"/>
  <c r="BK279" i="20"/>
  <c r="BK278" i="20"/>
  <c r="BK277" i="20"/>
  <c r="BK276" i="20"/>
  <c r="BK275" i="20"/>
  <c r="BK274" i="20"/>
  <c r="BK273" i="20"/>
  <c r="BK272" i="20"/>
  <c r="BK271" i="20"/>
  <c r="BK270" i="20"/>
  <c r="BK269" i="20"/>
  <c r="BK268" i="20"/>
  <c r="BK267" i="20"/>
  <c r="BK266" i="20"/>
  <c r="BK265" i="20"/>
  <c r="BK264" i="20"/>
  <c r="BK263" i="20"/>
  <c r="BK262" i="20"/>
  <c r="BK261" i="20"/>
  <c r="BK260" i="20"/>
  <c r="BK259" i="20"/>
  <c r="BK258" i="20"/>
  <c r="BK257" i="20"/>
  <c r="BK256" i="20"/>
  <c r="BK255" i="20"/>
  <c r="BK254" i="20"/>
  <c r="BK253" i="20"/>
  <c r="BK252" i="20"/>
  <c r="BK251" i="20"/>
  <c r="BK250" i="20"/>
  <c r="BK249" i="20"/>
  <c r="BK248" i="20"/>
  <c r="BK247" i="20"/>
  <c r="BK246" i="20"/>
  <c r="BK245" i="20"/>
  <c r="BK244" i="20"/>
  <c r="BK243" i="20"/>
  <c r="BK242" i="20"/>
  <c r="BK241" i="20"/>
  <c r="BK240" i="20"/>
  <c r="BK239" i="20"/>
  <c r="BK238" i="20"/>
  <c r="BK237" i="20"/>
  <c r="BK236" i="20"/>
  <c r="BK235" i="20"/>
  <c r="BK234" i="20"/>
  <c r="BK233" i="20"/>
  <c r="BK232" i="20"/>
  <c r="BK231" i="20"/>
  <c r="BK230" i="20"/>
  <c r="BK229" i="20"/>
  <c r="BK228" i="20"/>
  <c r="BK227" i="20"/>
  <c r="BK226" i="20"/>
  <c r="BK225" i="20"/>
  <c r="BK224" i="20"/>
  <c r="BK223" i="20"/>
  <c r="BK222" i="20"/>
  <c r="BK221" i="20"/>
  <c r="BK220" i="20"/>
  <c r="BK219" i="20"/>
  <c r="BK218" i="20"/>
  <c r="BK217" i="20"/>
  <c r="BK216" i="20"/>
  <c r="BK215" i="20"/>
  <c r="BK214" i="20"/>
  <c r="BK213" i="20"/>
  <c r="BK212" i="20"/>
  <c r="BK211" i="20"/>
  <c r="BK210" i="20"/>
  <c r="BK209" i="20"/>
  <c r="BK208" i="20"/>
  <c r="BK207" i="20"/>
  <c r="BK206" i="20"/>
  <c r="BK205" i="20"/>
  <c r="BK204" i="20"/>
  <c r="BK203" i="20"/>
  <c r="BK202" i="20"/>
  <c r="BK201" i="20"/>
  <c r="BK200" i="20"/>
  <c r="BK199" i="20"/>
  <c r="BK198" i="20"/>
  <c r="BK197" i="20"/>
  <c r="BK196" i="20"/>
  <c r="BK195" i="20"/>
  <c r="BK194" i="20"/>
  <c r="BK193" i="20"/>
  <c r="BK192" i="20"/>
  <c r="BK191" i="20"/>
  <c r="BK190" i="20"/>
  <c r="BK189" i="20"/>
  <c r="BK188" i="20"/>
  <c r="BK187" i="20"/>
  <c r="BK186" i="20"/>
  <c r="BK185" i="20"/>
  <c r="BK184" i="20"/>
  <c r="BK183" i="20"/>
  <c r="BK182" i="20"/>
  <c r="BK181" i="20"/>
  <c r="BK180" i="20"/>
  <c r="BK179" i="20"/>
  <c r="BK178" i="20"/>
  <c r="BK177" i="20"/>
  <c r="BK176" i="20"/>
  <c r="BK175" i="20"/>
  <c r="BK174" i="20"/>
  <c r="BK173" i="20"/>
  <c r="BK172" i="20"/>
  <c r="BK171" i="20"/>
  <c r="BK170" i="20"/>
  <c r="BK169" i="20"/>
  <c r="BK168" i="20"/>
  <c r="BK167" i="20"/>
  <c r="BK166" i="20"/>
  <c r="BK165" i="20"/>
  <c r="BK164" i="20"/>
  <c r="BK163" i="20"/>
  <c r="BK162" i="20"/>
  <c r="BK161" i="20"/>
  <c r="BK160" i="20"/>
  <c r="BK159" i="20"/>
  <c r="BK158" i="20"/>
  <c r="BK157" i="20"/>
  <c r="BK156" i="20"/>
  <c r="BK155" i="20"/>
  <c r="BK154" i="20"/>
  <c r="BK153" i="20"/>
  <c r="BK152" i="20"/>
  <c r="BK151" i="20"/>
  <c r="BK150" i="20"/>
  <c r="BK149" i="20"/>
  <c r="BK148" i="20"/>
  <c r="BK147" i="20"/>
  <c r="BK146" i="20"/>
  <c r="BK145" i="20"/>
  <c r="BK144" i="20"/>
  <c r="BK143" i="20"/>
  <c r="BK142" i="20"/>
  <c r="BK141" i="20"/>
  <c r="BK140" i="20"/>
  <c r="BK139" i="20"/>
  <c r="BK138" i="20"/>
  <c r="BK137" i="20"/>
  <c r="BK136" i="20"/>
  <c r="BK135" i="20"/>
  <c r="BK134" i="20"/>
  <c r="BK133" i="20"/>
  <c r="BK132" i="20"/>
  <c r="BK131" i="20"/>
  <c r="BK130" i="20"/>
  <c r="BK129" i="20"/>
  <c r="BK128" i="20"/>
  <c r="BK127" i="20"/>
  <c r="BK126" i="20"/>
  <c r="BK125" i="20"/>
  <c r="BK124" i="20"/>
  <c r="BK123" i="20"/>
  <c r="BK122" i="20"/>
  <c r="BK121" i="20"/>
  <c r="BK120" i="20"/>
  <c r="BK119" i="20"/>
  <c r="BK118" i="20"/>
  <c r="BK117" i="20"/>
  <c r="BK116" i="20"/>
  <c r="BK115" i="20"/>
  <c r="BK114" i="20"/>
  <c r="BK113" i="20"/>
  <c r="BK112" i="20"/>
  <c r="BK111" i="20"/>
  <c r="BK110" i="20"/>
  <c r="BK109" i="20"/>
  <c r="BK108" i="20"/>
  <c r="BK107" i="20"/>
  <c r="BK106" i="20"/>
  <c r="BK105" i="20"/>
  <c r="BK104" i="20"/>
  <c r="BK103" i="20"/>
  <c r="BK102" i="20"/>
  <c r="BK101" i="20"/>
  <c r="BK100" i="20"/>
  <c r="BK99" i="20"/>
  <c r="BK98" i="20"/>
  <c r="BK97" i="20"/>
  <c r="BK96" i="20"/>
  <c r="BK95" i="20"/>
  <c r="BK94" i="20"/>
  <c r="BK93" i="20"/>
  <c r="BK92" i="20"/>
  <c r="BK91" i="20"/>
  <c r="BK90" i="20"/>
  <c r="BK89" i="20"/>
  <c r="BK88" i="20"/>
  <c r="BK87" i="20"/>
  <c r="BK86" i="20"/>
  <c r="BK85" i="20"/>
  <c r="BK84" i="20"/>
  <c r="BK83" i="20"/>
  <c r="BK82" i="20"/>
  <c r="BK81" i="20"/>
  <c r="BK80" i="20"/>
  <c r="BK79" i="20"/>
  <c r="BK78" i="20"/>
  <c r="BK77" i="20"/>
  <c r="BK76" i="20"/>
  <c r="BK75" i="20"/>
  <c r="BK74" i="20"/>
  <c r="BK73" i="20"/>
  <c r="BK72" i="20"/>
  <c r="BK71" i="20"/>
  <c r="BK70" i="20"/>
  <c r="BK69" i="20"/>
  <c r="BK68" i="20"/>
  <c r="BK67" i="20"/>
  <c r="BK66" i="20"/>
  <c r="BK65" i="20"/>
  <c r="BK64" i="20"/>
  <c r="BK63" i="20"/>
  <c r="BK62" i="20"/>
  <c r="BK61" i="20"/>
  <c r="BK60" i="20"/>
  <c r="BK59" i="20"/>
  <c r="BK58" i="20"/>
  <c r="BK57" i="20"/>
  <c r="BK56" i="20"/>
  <c r="BK55" i="20"/>
  <c r="BK54" i="20"/>
  <c r="BK53" i="20"/>
  <c r="BK52" i="20"/>
  <c r="BK51" i="20"/>
  <c r="BK50" i="20"/>
  <c r="BK49" i="20"/>
  <c r="BK48" i="20"/>
  <c r="BK47" i="20"/>
  <c r="BK46" i="20"/>
  <c r="BK45" i="20"/>
  <c r="BK44" i="20"/>
  <c r="BK43" i="20"/>
  <c r="BK42" i="20"/>
  <c r="BK41" i="20"/>
  <c r="BK40" i="20"/>
  <c r="BK39" i="20"/>
  <c r="BK38" i="20"/>
  <c r="BK37" i="20"/>
  <c r="BK36" i="20"/>
  <c r="BK35" i="20"/>
  <c r="BK34" i="20"/>
  <c r="BK33" i="20"/>
  <c r="BK32" i="20"/>
  <c r="BK31" i="20"/>
  <c r="BK30" i="20"/>
  <c r="BK29" i="20"/>
  <c r="BK28" i="20"/>
  <c r="BK27" i="20"/>
  <c r="BK26" i="20"/>
  <c r="BK25" i="20"/>
  <c r="BK24" i="20"/>
  <c r="BK23" i="20"/>
  <c r="BK22" i="20"/>
  <c r="BK21" i="20"/>
  <c r="BK20" i="20"/>
  <c r="BK19" i="20"/>
  <c r="BK18" i="20"/>
  <c r="BK17" i="20"/>
  <c r="BK16" i="20"/>
  <c r="BK15" i="20"/>
  <c r="BK14" i="20"/>
  <c r="BK13" i="20"/>
  <c r="BK12" i="20"/>
  <c r="BK11" i="20"/>
  <c r="BK10" i="20"/>
  <c r="BK9" i="20"/>
  <c r="BK8" i="20"/>
  <c r="BK7" i="20"/>
  <c r="BK6" i="20"/>
  <c r="BK5" i="20"/>
  <c r="BK4" i="20"/>
  <c r="BH384" i="20"/>
  <c r="BH383" i="20"/>
  <c r="BH382" i="20"/>
  <c r="BH381" i="20"/>
  <c r="BH380" i="20"/>
  <c r="BH379" i="20"/>
  <c r="BH378" i="20"/>
  <c r="BH377" i="20"/>
  <c r="BH376" i="20"/>
  <c r="BH375" i="20"/>
  <c r="BH374" i="20"/>
  <c r="BH373" i="20"/>
  <c r="BH372" i="20"/>
  <c r="BH371" i="20"/>
  <c r="BH370" i="20"/>
  <c r="BH369" i="20"/>
  <c r="BH368" i="20"/>
  <c r="BH367" i="20"/>
  <c r="BH366" i="20"/>
  <c r="BH365" i="20"/>
  <c r="BH364" i="20"/>
  <c r="BH363" i="20"/>
  <c r="BH362" i="20"/>
  <c r="BH361" i="20"/>
  <c r="BH360" i="20"/>
  <c r="BH359" i="20"/>
  <c r="BH358" i="20"/>
  <c r="BH357" i="20"/>
  <c r="BH356" i="20"/>
  <c r="BH355" i="20"/>
  <c r="BH354" i="20"/>
  <c r="BH353" i="20"/>
  <c r="BH352" i="20"/>
  <c r="BH351" i="20"/>
  <c r="BH350" i="20"/>
  <c r="BH349" i="20"/>
  <c r="BH348" i="20"/>
  <c r="BH347" i="20"/>
  <c r="BH346" i="20"/>
  <c r="BH345" i="20"/>
  <c r="BH344" i="20"/>
  <c r="BH343" i="20"/>
  <c r="BH342" i="20"/>
  <c r="BH341" i="20"/>
  <c r="BH340" i="20"/>
  <c r="BH339" i="20"/>
  <c r="BH338" i="20"/>
  <c r="BH337" i="20"/>
  <c r="BH336" i="20"/>
  <c r="BH335" i="20"/>
  <c r="BH334" i="20"/>
  <c r="BH333" i="20"/>
  <c r="BH332" i="20"/>
  <c r="BH331" i="20"/>
  <c r="BH330" i="20"/>
  <c r="BH329" i="20"/>
  <c r="BH328" i="20"/>
  <c r="BH327" i="20"/>
  <c r="BH326" i="20"/>
  <c r="BH325" i="20"/>
  <c r="BH324" i="20"/>
  <c r="BH323" i="20"/>
  <c r="BH322" i="20"/>
  <c r="BH321" i="20"/>
  <c r="BH320" i="20"/>
  <c r="BH319" i="20"/>
  <c r="BH318" i="20"/>
  <c r="BH317" i="20"/>
  <c r="BH316" i="20"/>
  <c r="BH315" i="20"/>
  <c r="BH314" i="20"/>
  <c r="BH313" i="20"/>
  <c r="BH312" i="20"/>
  <c r="BH311" i="20"/>
  <c r="BH310" i="20"/>
  <c r="BH309" i="20"/>
  <c r="BH308" i="20"/>
  <c r="BH307" i="20"/>
  <c r="BH306" i="20"/>
  <c r="BH305" i="20"/>
  <c r="BH304" i="20"/>
  <c r="BH303" i="20"/>
  <c r="BH302" i="20"/>
  <c r="BH301" i="20"/>
  <c r="BH300" i="20"/>
  <c r="BH299" i="20"/>
  <c r="BH298" i="20"/>
  <c r="BH297" i="20"/>
  <c r="BH296" i="20"/>
  <c r="BH295" i="20"/>
  <c r="BH294" i="20"/>
  <c r="BH293" i="20"/>
  <c r="BH292" i="20"/>
  <c r="BH291" i="20"/>
  <c r="BH290" i="20"/>
  <c r="BH289" i="20"/>
  <c r="BH288" i="20"/>
  <c r="BH287" i="20"/>
  <c r="BH286" i="20"/>
  <c r="BH285" i="20"/>
  <c r="BH284" i="20"/>
  <c r="BH283" i="20"/>
  <c r="BH282" i="20"/>
  <c r="BH281" i="20"/>
  <c r="BH280" i="20"/>
  <c r="BH279" i="20"/>
  <c r="BH278" i="20"/>
  <c r="BH277" i="20"/>
  <c r="BH276" i="20"/>
  <c r="BH275" i="20"/>
  <c r="BH274" i="20"/>
  <c r="BH273" i="20"/>
  <c r="BH272" i="20"/>
  <c r="BH271" i="20"/>
  <c r="BH270" i="20"/>
  <c r="BH269" i="20"/>
  <c r="BH268" i="20"/>
  <c r="BH267" i="20"/>
  <c r="BH266" i="20"/>
  <c r="BH265" i="20"/>
  <c r="BH264" i="20"/>
  <c r="BH263" i="20"/>
  <c r="BH262" i="20"/>
  <c r="BH261" i="20"/>
  <c r="BH260" i="20"/>
  <c r="BH259" i="20"/>
  <c r="BH258" i="20"/>
  <c r="BH257" i="20"/>
  <c r="BH256" i="20"/>
  <c r="BH255" i="20"/>
  <c r="BH254" i="20"/>
  <c r="BH253" i="20"/>
  <c r="BH252" i="20"/>
  <c r="BH251" i="20"/>
  <c r="BH250" i="20"/>
  <c r="BH249" i="20"/>
  <c r="BH248" i="20"/>
  <c r="BH247" i="20"/>
  <c r="BH246" i="20"/>
  <c r="BH245" i="20"/>
  <c r="BH244" i="20"/>
  <c r="BH243" i="20"/>
  <c r="BH242" i="20"/>
  <c r="BH241" i="20"/>
  <c r="BH240" i="20"/>
  <c r="BH239" i="20"/>
  <c r="BH238" i="20"/>
  <c r="BH237" i="20"/>
  <c r="BH236" i="20"/>
  <c r="BH235" i="20"/>
  <c r="BH234" i="20"/>
  <c r="BH233" i="20"/>
  <c r="BH232" i="20"/>
  <c r="BH231" i="20"/>
  <c r="BH230" i="20"/>
  <c r="BH229" i="20"/>
  <c r="BH228" i="20"/>
  <c r="BH227" i="20"/>
  <c r="BH226" i="20"/>
  <c r="BH225" i="20"/>
  <c r="BH224" i="20"/>
  <c r="BH223" i="20"/>
  <c r="BH222" i="20"/>
  <c r="BH221" i="20"/>
  <c r="BH220" i="20"/>
  <c r="BH219" i="20"/>
  <c r="BH218" i="20"/>
  <c r="BH217" i="20"/>
  <c r="BH216" i="20"/>
  <c r="BH215" i="20"/>
  <c r="BH214" i="20"/>
  <c r="BH213" i="20"/>
  <c r="BH212" i="20"/>
  <c r="BH211" i="20"/>
  <c r="BH210" i="20"/>
  <c r="BH209" i="20"/>
  <c r="BH208" i="20"/>
  <c r="BH207" i="20"/>
  <c r="BH206" i="20"/>
  <c r="BH205" i="20"/>
  <c r="BH204" i="20"/>
  <c r="BH203" i="20"/>
  <c r="BH202" i="20"/>
  <c r="BH201" i="20"/>
  <c r="BH200" i="20"/>
  <c r="BH199" i="20"/>
  <c r="BH198" i="20"/>
  <c r="BH197" i="20"/>
  <c r="BH196" i="20"/>
  <c r="BH195" i="20"/>
  <c r="BH194" i="20"/>
  <c r="BH193" i="20"/>
  <c r="BH192" i="20"/>
  <c r="BH191" i="20"/>
  <c r="BH190" i="20"/>
  <c r="BH189" i="20"/>
  <c r="BH188" i="20"/>
  <c r="BH187" i="20"/>
  <c r="BH186" i="20"/>
  <c r="BH185" i="20"/>
  <c r="BH184" i="20"/>
  <c r="BH183" i="20"/>
  <c r="BH182" i="20"/>
  <c r="BH181" i="20"/>
  <c r="BH180" i="20"/>
  <c r="BH179" i="20"/>
  <c r="BH178" i="20"/>
  <c r="BH177" i="20"/>
  <c r="BH176" i="20"/>
  <c r="BH175" i="20"/>
  <c r="BH174" i="20"/>
  <c r="BH173" i="20"/>
  <c r="BH172" i="20"/>
  <c r="BH171" i="20"/>
  <c r="BH170" i="20"/>
  <c r="BH169" i="20"/>
  <c r="BH168" i="20"/>
  <c r="BH167" i="20"/>
  <c r="BH166" i="20"/>
  <c r="BH165" i="20"/>
  <c r="BH164" i="20"/>
  <c r="BH163" i="20"/>
  <c r="BH162" i="20"/>
  <c r="BH161" i="20"/>
  <c r="BH160" i="20"/>
  <c r="BH159" i="20"/>
  <c r="BH158" i="20"/>
  <c r="BH157" i="20"/>
  <c r="BH156" i="20"/>
  <c r="BH155" i="20"/>
  <c r="BH154" i="20"/>
  <c r="BH153" i="20"/>
  <c r="BH152" i="20"/>
  <c r="BH151" i="20"/>
  <c r="BH150" i="20"/>
  <c r="BH149" i="20"/>
  <c r="BH148" i="20"/>
  <c r="BH147" i="20"/>
  <c r="BH146" i="20"/>
  <c r="BH145" i="20"/>
  <c r="BH144" i="20"/>
  <c r="BH143" i="20"/>
  <c r="BH142" i="20"/>
  <c r="BH141" i="20"/>
  <c r="BH140" i="20"/>
  <c r="BH139" i="20"/>
  <c r="BH138" i="20"/>
  <c r="BH137" i="20"/>
  <c r="BH136" i="20"/>
  <c r="BH135" i="20"/>
  <c r="BH134" i="20"/>
  <c r="BH133" i="20"/>
  <c r="BH132" i="20"/>
  <c r="BH131" i="20"/>
  <c r="BH130" i="20"/>
  <c r="BH129" i="20"/>
  <c r="BH128" i="20"/>
  <c r="BH127" i="20"/>
  <c r="BH126" i="20"/>
  <c r="BH125" i="20"/>
  <c r="BH124" i="20"/>
  <c r="BH123" i="20"/>
  <c r="BH122" i="20"/>
  <c r="BH121" i="20"/>
  <c r="BH120" i="20"/>
  <c r="BH119" i="20"/>
  <c r="BH118" i="20"/>
  <c r="BH117" i="20"/>
  <c r="BH116" i="20"/>
  <c r="BH115" i="20"/>
  <c r="BH114" i="20"/>
  <c r="BH113" i="20"/>
  <c r="BH112" i="20"/>
  <c r="BH111" i="20"/>
  <c r="BH110" i="20"/>
  <c r="BH109" i="20"/>
  <c r="BH108" i="20"/>
  <c r="BH107" i="20"/>
  <c r="BH106" i="20"/>
  <c r="BH105" i="20"/>
  <c r="BH104" i="20"/>
  <c r="BH103" i="20"/>
  <c r="BH102" i="20"/>
  <c r="BH101" i="20"/>
  <c r="BH100" i="20"/>
  <c r="BH99" i="20"/>
  <c r="BH98" i="20"/>
  <c r="BH97" i="20"/>
  <c r="BH96" i="20"/>
  <c r="BH95" i="20"/>
  <c r="BH94" i="20"/>
  <c r="BH93" i="20"/>
  <c r="BH92" i="20"/>
  <c r="BH91" i="20"/>
  <c r="BH90" i="20"/>
  <c r="BH89" i="20"/>
  <c r="BH88" i="20"/>
  <c r="BH87" i="20"/>
  <c r="BH86" i="20"/>
  <c r="BH85" i="20"/>
  <c r="BH84" i="20"/>
  <c r="BH83" i="20"/>
  <c r="BH82" i="20"/>
  <c r="BH81" i="20"/>
  <c r="BH80" i="20"/>
  <c r="BH79" i="20"/>
  <c r="BH78" i="20"/>
  <c r="BH77" i="20"/>
  <c r="BH76" i="20"/>
  <c r="BH75" i="20"/>
  <c r="BH74" i="20"/>
  <c r="BH73" i="20"/>
  <c r="BH72" i="20"/>
  <c r="BH71" i="20"/>
  <c r="BH70" i="20"/>
  <c r="BH69" i="20"/>
  <c r="BH68" i="20"/>
  <c r="BH67" i="20"/>
  <c r="BH66" i="20"/>
  <c r="BH65" i="20"/>
  <c r="BH64" i="20"/>
  <c r="BH63" i="20"/>
  <c r="BH62" i="20"/>
  <c r="BH61" i="20"/>
  <c r="BH60" i="20"/>
  <c r="BH59" i="20"/>
  <c r="BH58" i="20"/>
  <c r="BH57" i="20"/>
  <c r="BH56" i="20"/>
  <c r="BH55" i="20"/>
  <c r="BH54" i="20"/>
  <c r="BH53" i="20"/>
  <c r="BH52" i="20"/>
  <c r="BH51" i="20"/>
  <c r="BH50" i="20"/>
  <c r="BH49" i="20"/>
  <c r="BH48" i="20"/>
  <c r="BH47" i="20"/>
  <c r="BH46" i="20"/>
  <c r="BH45" i="20"/>
  <c r="BH44" i="20"/>
  <c r="BH43" i="20"/>
  <c r="BH42" i="20"/>
  <c r="BH41" i="20"/>
  <c r="BH40" i="20"/>
  <c r="BH39" i="20"/>
  <c r="BH38" i="20"/>
  <c r="BH37" i="20"/>
  <c r="BH36" i="20"/>
  <c r="BH35" i="20"/>
  <c r="BH34" i="20"/>
  <c r="BH33" i="20"/>
  <c r="BH32" i="20"/>
  <c r="BH31" i="20"/>
  <c r="BH30" i="20"/>
  <c r="BH29" i="20"/>
  <c r="BH28" i="20"/>
  <c r="BH27" i="20"/>
  <c r="BH26" i="20"/>
  <c r="BH25" i="20"/>
  <c r="BH24" i="20"/>
  <c r="BH23" i="20"/>
  <c r="BH22" i="20"/>
  <c r="BH21" i="20"/>
  <c r="BH20" i="20"/>
  <c r="BH19" i="20"/>
  <c r="BH18" i="20"/>
  <c r="BH17" i="20"/>
  <c r="BH16" i="20"/>
  <c r="BH15" i="20"/>
  <c r="BH14" i="20"/>
  <c r="BH13" i="20"/>
  <c r="BH12" i="20"/>
  <c r="BH11" i="20"/>
  <c r="BH10" i="20"/>
  <c r="BH9" i="20"/>
  <c r="BH8" i="20"/>
  <c r="BH7" i="20"/>
  <c r="BH6" i="20"/>
  <c r="BH5" i="20"/>
  <c r="BH4" i="20"/>
  <c r="BE384" i="20"/>
  <c r="BE383" i="20"/>
  <c r="BE382" i="20"/>
  <c r="BE381" i="20"/>
  <c r="BE380" i="20"/>
  <c r="BE379" i="20"/>
  <c r="BE378" i="20"/>
  <c r="BE377" i="20"/>
  <c r="BE376" i="20"/>
  <c r="BE375" i="20"/>
  <c r="BE374" i="20"/>
  <c r="BE373" i="20"/>
  <c r="BE372" i="20"/>
  <c r="BE371" i="20"/>
  <c r="BE370" i="20"/>
  <c r="BE369" i="20"/>
  <c r="BE368" i="20"/>
  <c r="BE367" i="20"/>
  <c r="BE366" i="20"/>
  <c r="BE365" i="20"/>
  <c r="BE364" i="20"/>
  <c r="BE363" i="20"/>
  <c r="BE362" i="20"/>
  <c r="BE361" i="20"/>
  <c r="BE360" i="20"/>
  <c r="BE359" i="20"/>
  <c r="BE358" i="20"/>
  <c r="BE357" i="20"/>
  <c r="BE356" i="20"/>
  <c r="BE355" i="20"/>
  <c r="BE354" i="20"/>
  <c r="BE353" i="20"/>
  <c r="BE352" i="20"/>
  <c r="BE351" i="20"/>
  <c r="BE350" i="20"/>
  <c r="BE349" i="20"/>
  <c r="BE348" i="20"/>
  <c r="BE347" i="20"/>
  <c r="BE346" i="20"/>
  <c r="BE345" i="20"/>
  <c r="BE344" i="20"/>
  <c r="BE343" i="20"/>
  <c r="BE342" i="20"/>
  <c r="BE341" i="20"/>
  <c r="BE340" i="20"/>
  <c r="BE339" i="20"/>
  <c r="BE338" i="20"/>
  <c r="BE337" i="20"/>
  <c r="BE336" i="20"/>
  <c r="BE335" i="20"/>
  <c r="BE334" i="20"/>
  <c r="BE333" i="20"/>
  <c r="BE332" i="20"/>
  <c r="BE331" i="20"/>
  <c r="BE330" i="20"/>
  <c r="BE329" i="20"/>
  <c r="BE328" i="20"/>
  <c r="BE327" i="20"/>
  <c r="BE326" i="20"/>
  <c r="BE325" i="20"/>
  <c r="BE324" i="20"/>
  <c r="BE323" i="20"/>
  <c r="BE322" i="20"/>
  <c r="BE321" i="20"/>
  <c r="BE320" i="20"/>
  <c r="BE319" i="20"/>
  <c r="BE318" i="20"/>
  <c r="BE317" i="20"/>
  <c r="BE316" i="20"/>
  <c r="BE315" i="20"/>
  <c r="BE314" i="20"/>
  <c r="BE313" i="20"/>
  <c r="BE312" i="20"/>
  <c r="BE311" i="20"/>
  <c r="BE310" i="20"/>
  <c r="BE309" i="20"/>
  <c r="BE308" i="20"/>
  <c r="BE307" i="20"/>
  <c r="BE306" i="20"/>
  <c r="BE305" i="20"/>
  <c r="BE304" i="20"/>
  <c r="BE303" i="20"/>
  <c r="BE302" i="20"/>
  <c r="BE301" i="20"/>
  <c r="BE300" i="20"/>
  <c r="BE299" i="20"/>
  <c r="BE298" i="20"/>
  <c r="BE297" i="20"/>
  <c r="BE296" i="20"/>
  <c r="BE295" i="20"/>
  <c r="BE294" i="20"/>
  <c r="BE293" i="20"/>
  <c r="BE292" i="20"/>
  <c r="BE291" i="20"/>
  <c r="BE290" i="20"/>
  <c r="BE289" i="20"/>
  <c r="BE288" i="20"/>
  <c r="BE287" i="20"/>
  <c r="BE286" i="20"/>
  <c r="BE285" i="20"/>
  <c r="BE284" i="20"/>
  <c r="BE283" i="20"/>
  <c r="BE282" i="20"/>
  <c r="BE281" i="20"/>
  <c r="BE280" i="20"/>
  <c r="BE279" i="20"/>
  <c r="BE278" i="20"/>
  <c r="BE277" i="20"/>
  <c r="BE276" i="20"/>
  <c r="BE275" i="20"/>
  <c r="BE274" i="20"/>
  <c r="BE273" i="20"/>
  <c r="BE272" i="20"/>
  <c r="BE271" i="20"/>
  <c r="BE270" i="20"/>
  <c r="BE269" i="20"/>
  <c r="BE268" i="20"/>
  <c r="BE267" i="20"/>
  <c r="BE266" i="20"/>
  <c r="BE265" i="20"/>
  <c r="BE264" i="20"/>
  <c r="BE263" i="20"/>
  <c r="BE262" i="20"/>
  <c r="BE261" i="20"/>
  <c r="BE260" i="20"/>
  <c r="BE259" i="20"/>
  <c r="BE258" i="20"/>
  <c r="BE257" i="20"/>
  <c r="BE256" i="20"/>
  <c r="BE255" i="20"/>
  <c r="BE254" i="20"/>
  <c r="BE253" i="20"/>
  <c r="BE252" i="20"/>
  <c r="BE251" i="20"/>
  <c r="BE250" i="20"/>
  <c r="BE249" i="20"/>
  <c r="BE248" i="20"/>
  <c r="BE247" i="20"/>
  <c r="BE246" i="20"/>
  <c r="BE245" i="20"/>
  <c r="BE244" i="20"/>
  <c r="BE243" i="20"/>
  <c r="BE242" i="20"/>
  <c r="BE241" i="20"/>
  <c r="BE240" i="20"/>
  <c r="BE239" i="20"/>
  <c r="BE238" i="20"/>
  <c r="BE237" i="20"/>
  <c r="BE236" i="20"/>
  <c r="BE235" i="20"/>
  <c r="BE234" i="20"/>
  <c r="BE233" i="20"/>
  <c r="BE232" i="20"/>
  <c r="BE231" i="20"/>
  <c r="BE230" i="20"/>
  <c r="BE229" i="20"/>
  <c r="BE228" i="20"/>
  <c r="BE227" i="20"/>
  <c r="BE226" i="20"/>
  <c r="BE225" i="20"/>
  <c r="BE224" i="20"/>
  <c r="BE223" i="20"/>
  <c r="BE222" i="20"/>
  <c r="BE221" i="20"/>
  <c r="BE220" i="20"/>
  <c r="BE219" i="20"/>
  <c r="BE218" i="20"/>
  <c r="BE217" i="20"/>
  <c r="BE216" i="20"/>
  <c r="BE215" i="20"/>
  <c r="BE214" i="20"/>
  <c r="BE213" i="20"/>
  <c r="BE212" i="20"/>
  <c r="BE211" i="20"/>
  <c r="BE210" i="20"/>
  <c r="BE209" i="20"/>
  <c r="BE208" i="20"/>
  <c r="BE207" i="20"/>
  <c r="BE206" i="20"/>
  <c r="BE205" i="20"/>
  <c r="BE204" i="20"/>
  <c r="BE203" i="20"/>
  <c r="BE202" i="20"/>
  <c r="BE201" i="20"/>
  <c r="BE200" i="20"/>
  <c r="BE199" i="20"/>
  <c r="BE198" i="20"/>
  <c r="BE197" i="20"/>
  <c r="BE196" i="20"/>
  <c r="BE195" i="20"/>
  <c r="BE194" i="20"/>
  <c r="BE193" i="20"/>
  <c r="BE192" i="20"/>
  <c r="BE191" i="20"/>
  <c r="BE190" i="20"/>
  <c r="BE189" i="20"/>
  <c r="BE188" i="20"/>
  <c r="BE187" i="20"/>
  <c r="BE186" i="20"/>
  <c r="BE185" i="20"/>
  <c r="BE184" i="20"/>
  <c r="BE183" i="20"/>
  <c r="BE182" i="20"/>
  <c r="BE181" i="20"/>
  <c r="BE180" i="20"/>
  <c r="BE179" i="20"/>
  <c r="BE178" i="20"/>
  <c r="BE177" i="20"/>
  <c r="BE176" i="20"/>
  <c r="BE175" i="20"/>
  <c r="BE174" i="20"/>
  <c r="BE173" i="20"/>
  <c r="BE172" i="20"/>
  <c r="BE171" i="20"/>
  <c r="BE170" i="20"/>
  <c r="BE169" i="20"/>
  <c r="BE168" i="20"/>
  <c r="BE167" i="20"/>
  <c r="BE166" i="20"/>
  <c r="BE165" i="20"/>
  <c r="BE164" i="20"/>
  <c r="BE163" i="20"/>
  <c r="BE162" i="20"/>
  <c r="BE161" i="20"/>
  <c r="BE160" i="20"/>
  <c r="BE159" i="20"/>
  <c r="BE158" i="20"/>
  <c r="BE157" i="20"/>
  <c r="BE156" i="20"/>
  <c r="BE155" i="20"/>
  <c r="BE154" i="20"/>
  <c r="BE153" i="20"/>
  <c r="BE152" i="20"/>
  <c r="BE151" i="20"/>
  <c r="BE150" i="20"/>
  <c r="BE149" i="20"/>
  <c r="BE148" i="20"/>
  <c r="BE147" i="20"/>
  <c r="BE146" i="20"/>
  <c r="BE145" i="20"/>
  <c r="BE144" i="20"/>
  <c r="BE143" i="20"/>
  <c r="BE142" i="20"/>
  <c r="BE141" i="20"/>
  <c r="BE140" i="20"/>
  <c r="BE139" i="20"/>
  <c r="BE138" i="20"/>
  <c r="BE137" i="20"/>
  <c r="BE136" i="20"/>
  <c r="BE135" i="20"/>
  <c r="BE134" i="20"/>
  <c r="BE133" i="20"/>
  <c r="BE132" i="20"/>
  <c r="BE131" i="20"/>
  <c r="BE130" i="20"/>
  <c r="BE129" i="20"/>
  <c r="BE128" i="20"/>
  <c r="BE127" i="20"/>
  <c r="BE126" i="20"/>
  <c r="BE125" i="20"/>
  <c r="BE124" i="20"/>
  <c r="BE123" i="20"/>
  <c r="BE122" i="20"/>
  <c r="BE121" i="20"/>
  <c r="BE120" i="20"/>
  <c r="BE119" i="20"/>
  <c r="BE118" i="20"/>
  <c r="BE117" i="20"/>
  <c r="BE116" i="20"/>
  <c r="BE115" i="20"/>
  <c r="BE114" i="20"/>
  <c r="BE113" i="20"/>
  <c r="BE112" i="20"/>
  <c r="BE111" i="20"/>
  <c r="BE110" i="20"/>
  <c r="BE109" i="20"/>
  <c r="BE108" i="20"/>
  <c r="BE107" i="20"/>
  <c r="BE106" i="20"/>
  <c r="BE105" i="20"/>
  <c r="BE104" i="20"/>
  <c r="BE103" i="20"/>
  <c r="BE102" i="20"/>
  <c r="BE101" i="20"/>
  <c r="BE100" i="20"/>
  <c r="BE99" i="20"/>
  <c r="BE98" i="20"/>
  <c r="BE97" i="20"/>
  <c r="BE96" i="20"/>
  <c r="BE95" i="20"/>
  <c r="BE94" i="20"/>
  <c r="BE93" i="20"/>
  <c r="BE92" i="20"/>
  <c r="BE91" i="20"/>
  <c r="BE90" i="20"/>
  <c r="BE89" i="20"/>
  <c r="BE88" i="20"/>
  <c r="BE87" i="20"/>
  <c r="BE86" i="20"/>
  <c r="BE85" i="20"/>
  <c r="BE84" i="20"/>
  <c r="BE83" i="20"/>
  <c r="BE82" i="20"/>
  <c r="BE81" i="20"/>
  <c r="BE80" i="20"/>
  <c r="BE79" i="20"/>
  <c r="BE78" i="20"/>
  <c r="BE77" i="20"/>
  <c r="BE76" i="20"/>
  <c r="BE75" i="20"/>
  <c r="BE74" i="20"/>
  <c r="BE73" i="20"/>
  <c r="BE72" i="20"/>
  <c r="BE71" i="20"/>
  <c r="BE70" i="20"/>
  <c r="BE69" i="20"/>
  <c r="BE68" i="20"/>
  <c r="BE67" i="20"/>
  <c r="BE66" i="20"/>
  <c r="BE65" i="20"/>
  <c r="BE64" i="20"/>
  <c r="BE63" i="20"/>
  <c r="BE62" i="20"/>
  <c r="BE61" i="20"/>
  <c r="BE60" i="20"/>
  <c r="BE59" i="20"/>
  <c r="BE58" i="20"/>
  <c r="BE57" i="20"/>
  <c r="BE56" i="20"/>
  <c r="BE55" i="20"/>
  <c r="BE54" i="20"/>
  <c r="BE53" i="20"/>
  <c r="BE52" i="20"/>
  <c r="BE51" i="20"/>
  <c r="BE50" i="20"/>
  <c r="BE49" i="20"/>
  <c r="BE48" i="20"/>
  <c r="BE47" i="20"/>
  <c r="BE46" i="20"/>
  <c r="BE45" i="20"/>
  <c r="BE44" i="20"/>
  <c r="BE43" i="20"/>
  <c r="BE42" i="20"/>
  <c r="BE41" i="20"/>
  <c r="BE40" i="20"/>
  <c r="BE39" i="20"/>
  <c r="BE38" i="20"/>
  <c r="BE37" i="20"/>
  <c r="BE36" i="20"/>
  <c r="BE35" i="20"/>
  <c r="BE34" i="20"/>
  <c r="BE33" i="20"/>
  <c r="BE32" i="20"/>
  <c r="BE31" i="20"/>
  <c r="BE30" i="20"/>
  <c r="BE29" i="20"/>
  <c r="BE28" i="20"/>
  <c r="BE27" i="20"/>
  <c r="BE26" i="20"/>
  <c r="BE25" i="20"/>
  <c r="BE24" i="20"/>
  <c r="BE23" i="20"/>
  <c r="BE22" i="20"/>
  <c r="BE21" i="20"/>
  <c r="BE20" i="20"/>
  <c r="BE19" i="20"/>
  <c r="BE18" i="20"/>
  <c r="BE17" i="20"/>
  <c r="BE16" i="20"/>
  <c r="BE15" i="20"/>
  <c r="BE14" i="20"/>
  <c r="BE13" i="20"/>
  <c r="BE12" i="20"/>
  <c r="BE11" i="20"/>
  <c r="BE10" i="20"/>
  <c r="BE9" i="20"/>
  <c r="BE8" i="20"/>
  <c r="BE7" i="20"/>
  <c r="BE6" i="20"/>
  <c r="BE5" i="20"/>
  <c r="BE4" i="20"/>
  <c r="BB384" i="20"/>
  <c r="BB383" i="20"/>
  <c r="BB382" i="20"/>
  <c r="BB381" i="20"/>
  <c r="BB380" i="20"/>
  <c r="BB379" i="20"/>
  <c r="BB378" i="20"/>
  <c r="BB377" i="20"/>
  <c r="BB376" i="20"/>
  <c r="BB375" i="20"/>
  <c r="BB374" i="20"/>
  <c r="BB373" i="20"/>
  <c r="BB372" i="20"/>
  <c r="BB371" i="20"/>
  <c r="BB370" i="20"/>
  <c r="BB369" i="20"/>
  <c r="BB368" i="20"/>
  <c r="BB367" i="20"/>
  <c r="BB366" i="20"/>
  <c r="BB365" i="20"/>
  <c r="BB364" i="20"/>
  <c r="BB363" i="20"/>
  <c r="BB362" i="20"/>
  <c r="BB361" i="20"/>
  <c r="BB360" i="20"/>
  <c r="BB359" i="20"/>
  <c r="BB358" i="20"/>
  <c r="BB357" i="20"/>
  <c r="BB356" i="20"/>
  <c r="BB355" i="20"/>
  <c r="BB354" i="20"/>
  <c r="BB353" i="20"/>
  <c r="BB352" i="20"/>
  <c r="BB351" i="20"/>
  <c r="BB350" i="20"/>
  <c r="BB349" i="20"/>
  <c r="BB348" i="20"/>
  <c r="BB347" i="20"/>
  <c r="BB346" i="20"/>
  <c r="BB345" i="20"/>
  <c r="BB344" i="20"/>
  <c r="BB343" i="20"/>
  <c r="BB342" i="20"/>
  <c r="BB341" i="20"/>
  <c r="BB340" i="20"/>
  <c r="BB339" i="20"/>
  <c r="BB338" i="20"/>
  <c r="BB337" i="20"/>
  <c r="BB336" i="20"/>
  <c r="BB335" i="20"/>
  <c r="BB334" i="20"/>
  <c r="BB333" i="20"/>
  <c r="BB332" i="20"/>
  <c r="BB331" i="20"/>
  <c r="BB330" i="20"/>
  <c r="BB329" i="20"/>
  <c r="BB328" i="20"/>
  <c r="BB327" i="20"/>
  <c r="BB326" i="20"/>
  <c r="BB325" i="20"/>
  <c r="BB324" i="20"/>
  <c r="BB323" i="20"/>
  <c r="BB322" i="20"/>
  <c r="BB321" i="20"/>
  <c r="BB320" i="20"/>
  <c r="BB319" i="20"/>
  <c r="BB318" i="20"/>
  <c r="BB317" i="20"/>
  <c r="BB316" i="20"/>
  <c r="BB315" i="20"/>
  <c r="BB314" i="20"/>
  <c r="BB313" i="20"/>
  <c r="BB312" i="20"/>
  <c r="BB311" i="20"/>
  <c r="BB310" i="20"/>
  <c r="BB309" i="20"/>
  <c r="BB308" i="20"/>
  <c r="BB307" i="20"/>
  <c r="BB306" i="20"/>
  <c r="BB305" i="20"/>
  <c r="BB304" i="20"/>
  <c r="BB303" i="20"/>
  <c r="BB302" i="20"/>
  <c r="BB301" i="20"/>
  <c r="BB300" i="20"/>
  <c r="BB299" i="20"/>
  <c r="BB298" i="20"/>
  <c r="BB297" i="20"/>
  <c r="BB296" i="20"/>
  <c r="BB295" i="20"/>
  <c r="BB294" i="20"/>
  <c r="BB293" i="20"/>
  <c r="BB292" i="20"/>
  <c r="BB291" i="20"/>
  <c r="BB290" i="20"/>
  <c r="BB289" i="20"/>
  <c r="BB288" i="20"/>
  <c r="BB287" i="20"/>
  <c r="BB286" i="20"/>
  <c r="BB285" i="20"/>
  <c r="BB284" i="20"/>
  <c r="BB283" i="20"/>
  <c r="BB282" i="20"/>
  <c r="BB281" i="20"/>
  <c r="BB280" i="20"/>
  <c r="BB279" i="20"/>
  <c r="BB278" i="20"/>
  <c r="BB277" i="20"/>
  <c r="BB276" i="20"/>
  <c r="BB275" i="20"/>
  <c r="BB274" i="20"/>
  <c r="BB273" i="20"/>
  <c r="BB272" i="20"/>
  <c r="BB271" i="20"/>
  <c r="BB270" i="20"/>
  <c r="BB269" i="20"/>
  <c r="BB268" i="20"/>
  <c r="BB267" i="20"/>
  <c r="BB266" i="20"/>
  <c r="BB265" i="20"/>
  <c r="BB264" i="20"/>
  <c r="BB263" i="20"/>
  <c r="BB262" i="20"/>
  <c r="BB261" i="20"/>
  <c r="BB260" i="20"/>
  <c r="BB259" i="20"/>
  <c r="BB258" i="20"/>
  <c r="BB257" i="20"/>
  <c r="BB256" i="20"/>
  <c r="BB255" i="20"/>
  <c r="BB254" i="20"/>
  <c r="BB253" i="20"/>
  <c r="BB252" i="20"/>
  <c r="BB251" i="20"/>
  <c r="BB250" i="20"/>
  <c r="BB249" i="20"/>
  <c r="BB248" i="20"/>
  <c r="BB247" i="20"/>
  <c r="BB246" i="20"/>
  <c r="BB245" i="20"/>
  <c r="BB244" i="20"/>
  <c r="BB243" i="20"/>
  <c r="BB242" i="20"/>
  <c r="BB241" i="20"/>
  <c r="BB240" i="20"/>
  <c r="BB239" i="20"/>
  <c r="BB238" i="20"/>
  <c r="BB237" i="20"/>
  <c r="BB236" i="20"/>
  <c r="BB235" i="20"/>
  <c r="BB234" i="20"/>
  <c r="BB233" i="20"/>
  <c r="BB232" i="20"/>
  <c r="BB231" i="20"/>
  <c r="BB230" i="20"/>
  <c r="BB229" i="20"/>
  <c r="BB228" i="20"/>
  <c r="BB227" i="20"/>
  <c r="BB226" i="20"/>
  <c r="BB225" i="20"/>
  <c r="BB224" i="20"/>
  <c r="BB223" i="20"/>
  <c r="BB222" i="20"/>
  <c r="BB221" i="20"/>
  <c r="BB220" i="20"/>
  <c r="BB219" i="20"/>
  <c r="BB218" i="20"/>
  <c r="BB217" i="20"/>
  <c r="BB216" i="20"/>
  <c r="BB215" i="20"/>
  <c r="BB214" i="20"/>
  <c r="BB213" i="20"/>
  <c r="BB212" i="20"/>
  <c r="BB211" i="20"/>
  <c r="BB210" i="20"/>
  <c r="BB209" i="20"/>
  <c r="BB208" i="20"/>
  <c r="BB207" i="20"/>
  <c r="BB206" i="20"/>
  <c r="BB205" i="20"/>
  <c r="BB204" i="20"/>
  <c r="BB203" i="20"/>
  <c r="BB202" i="20"/>
  <c r="BB201" i="20"/>
  <c r="BB200" i="20"/>
  <c r="BB199" i="20"/>
  <c r="BB198" i="20"/>
  <c r="BB197" i="20"/>
  <c r="BB196" i="20"/>
  <c r="BB195" i="20"/>
  <c r="BB194" i="20"/>
  <c r="BB193" i="20"/>
  <c r="BB192" i="20"/>
  <c r="BB191" i="20"/>
  <c r="BB190" i="20"/>
  <c r="BB189" i="20"/>
  <c r="BB188" i="20"/>
  <c r="BB187" i="20"/>
  <c r="BB186" i="20"/>
  <c r="BB185" i="20"/>
  <c r="BB184" i="20"/>
  <c r="BB183" i="20"/>
  <c r="BB182" i="20"/>
  <c r="BB181" i="20"/>
  <c r="BB180" i="20"/>
  <c r="BB179" i="20"/>
  <c r="BB178" i="20"/>
  <c r="BB177" i="20"/>
  <c r="BB176" i="20"/>
  <c r="BB175" i="20"/>
  <c r="BB174" i="20"/>
  <c r="BB173" i="20"/>
  <c r="BB172" i="20"/>
  <c r="BB171" i="20"/>
  <c r="BB170" i="20"/>
  <c r="BB169" i="20"/>
  <c r="BB168" i="20"/>
  <c r="BB167" i="20"/>
  <c r="BB166" i="20"/>
  <c r="BB165" i="20"/>
  <c r="BB164" i="20"/>
  <c r="BB163" i="20"/>
  <c r="BB162" i="20"/>
  <c r="BB161" i="20"/>
  <c r="BB160" i="20"/>
  <c r="BB159" i="20"/>
  <c r="BB158" i="20"/>
  <c r="BB157" i="20"/>
  <c r="BB156" i="20"/>
  <c r="BB155" i="20"/>
  <c r="BB154" i="20"/>
  <c r="BB153" i="20"/>
  <c r="BB152" i="20"/>
  <c r="BB151" i="20"/>
  <c r="BB150" i="20"/>
  <c r="BB149" i="20"/>
  <c r="BB148" i="20"/>
  <c r="BB147" i="20"/>
  <c r="BB146" i="20"/>
  <c r="BB145" i="20"/>
  <c r="BB144" i="20"/>
  <c r="BB143" i="20"/>
  <c r="BB142" i="20"/>
  <c r="BB141" i="20"/>
  <c r="BB140" i="20"/>
  <c r="BB139" i="20"/>
  <c r="BB138" i="20"/>
  <c r="BB137" i="20"/>
  <c r="BB136" i="20"/>
  <c r="BB135" i="20"/>
  <c r="BB134" i="20"/>
  <c r="BB133" i="20"/>
  <c r="BB132" i="20"/>
  <c r="BB131" i="20"/>
  <c r="BB130" i="20"/>
  <c r="BB129" i="20"/>
  <c r="BB128" i="20"/>
  <c r="BB127" i="20"/>
  <c r="BB126" i="20"/>
  <c r="BB125" i="20"/>
  <c r="BB124" i="20"/>
  <c r="BB123" i="20"/>
  <c r="BB122" i="20"/>
  <c r="BB121" i="20"/>
  <c r="BB120" i="20"/>
  <c r="BB119" i="20"/>
  <c r="BB118" i="20"/>
  <c r="BB117" i="20"/>
  <c r="BB116" i="20"/>
  <c r="BB115" i="20"/>
  <c r="BB114" i="20"/>
  <c r="BB113" i="20"/>
  <c r="BB112" i="20"/>
  <c r="BB111" i="20"/>
  <c r="BB110" i="20"/>
  <c r="BB109" i="20"/>
  <c r="BB108" i="20"/>
  <c r="BB107" i="20"/>
  <c r="BB106" i="20"/>
  <c r="BB105" i="20"/>
  <c r="BB104" i="20"/>
  <c r="BB103" i="20"/>
  <c r="BB102" i="20"/>
  <c r="BB101" i="20"/>
  <c r="BB100" i="20"/>
  <c r="BB99" i="20"/>
  <c r="BB98" i="20"/>
  <c r="BB97" i="20"/>
  <c r="BB96" i="20"/>
  <c r="BB95" i="20"/>
  <c r="BB94" i="20"/>
  <c r="BB93" i="20"/>
  <c r="BB92" i="20"/>
  <c r="BB91" i="20"/>
  <c r="BB90" i="20"/>
  <c r="BB89" i="20"/>
  <c r="BB88" i="20"/>
  <c r="BB87" i="20"/>
  <c r="BB86" i="20"/>
  <c r="BB85" i="20"/>
  <c r="BB84" i="20"/>
  <c r="BB83" i="20"/>
  <c r="BB82" i="20"/>
  <c r="BB81" i="20"/>
  <c r="BB80" i="20"/>
  <c r="BB79" i="20"/>
  <c r="BB78" i="20"/>
  <c r="BB77" i="20"/>
  <c r="BB76" i="20"/>
  <c r="BB75" i="20"/>
  <c r="BB74" i="20"/>
  <c r="BB73" i="20"/>
  <c r="BB72" i="20"/>
  <c r="BB71" i="20"/>
  <c r="BB70" i="20"/>
  <c r="BB69" i="20"/>
  <c r="BB68" i="20"/>
  <c r="BB67" i="20"/>
  <c r="BB66" i="20"/>
  <c r="BB65" i="20"/>
  <c r="BB64" i="20"/>
  <c r="BB63" i="20"/>
  <c r="BB62" i="20"/>
  <c r="BB61" i="20"/>
  <c r="BB60" i="20"/>
  <c r="BB59" i="20"/>
  <c r="BB58" i="20"/>
  <c r="BB57" i="20"/>
  <c r="BB56" i="20"/>
  <c r="BB55" i="20"/>
  <c r="BB54" i="20"/>
  <c r="BB53" i="20"/>
  <c r="BB52" i="20"/>
  <c r="BB51" i="20"/>
  <c r="BB50" i="20"/>
  <c r="BB49" i="20"/>
  <c r="BB48" i="20"/>
  <c r="BB47" i="20"/>
  <c r="BB46" i="20"/>
  <c r="BB45" i="20"/>
  <c r="BB44" i="20"/>
  <c r="BB43" i="20"/>
  <c r="BB42" i="20"/>
  <c r="BB41" i="20"/>
  <c r="BB40" i="20"/>
  <c r="BB39" i="20"/>
  <c r="BB38" i="20"/>
  <c r="BB37" i="20"/>
  <c r="BB36" i="20"/>
  <c r="BB35" i="20"/>
  <c r="BB34" i="20"/>
  <c r="BB33" i="20"/>
  <c r="BB32" i="20"/>
  <c r="BB31" i="20"/>
  <c r="BB30" i="20"/>
  <c r="BB29" i="20"/>
  <c r="BB28" i="20"/>
  <c r="BB27" i="20"/>
  <c r="BB26" i="20"/>
  <c r="BB25" i="20"/>
  <c r="BB24" i="20"/>
  <c r="BB23" i="20"/>
  <c r="BB22" i="20"/>
  <c r="BB21" i="20"/>
  <c r="BB20" i="20"/>
  <c r="BB19" i="20"/>
  <c r="BB18" i="20"/>
  <c r="BB17" i="20"/>
  <c r="BB16" i="20"/>
  <c r="BB15" i="20"/>
  <c r="BB14" i="20"/>
  <c r="BB13" i="20"/>
  <c r="BB12" i="20"/>
  <c r="BB11" i="20"/>
  <c r="BB10" i="20"/>
  <c r="BB9" i="20"/>
  <c r="BB8" i="20"/>
  <c r="BB7" i="20"/>
  <c r="BB6" i="20"/>
  <c r="BB5" i="20"/>
  <c r="BB4" i="20"/>
  <c r="AY384" i="20"/>
  <c r="AY383" i="20"/>
  <c r="AY382" i="20"/>
  <c r="AY381" i="20"/>
  <c r="AY380" i="20"/>
  <c r="AY379" i="20"/>
  <c r="AY378" i="20"/>
  <c r="AY377" i="20"/>
  <c r="AY376" i="20"/>
  <c r="AY375" i="20"/>
  <c r="AY374" i="20"/>
  <c r="AY373" i="20"/>
  <c r="AY372" i="20"/>
  <c r="AY371" i="20"/>
  <c r="AY370" i="20"/>
  <c r="AY369" i="20"/>
  <c r="AY368" i="20"/>
  <c r="AY367" i="20"/>
  <c r="AY366" i="20"/>
  <c r="AY365" i="20"/>
  <c r="AY364" i="20"/>
  <c r="AY363" i="20"/>
  <c r="AY362" i="20"/>
  <c r="AY361" i="20"/>
  <c r="AY360" i="20"/>
  <c r="AY359" i="20"/>
  <c r="AY358" i="20"/>
  <c r="AY357" i="20"/>
  <c r="AY356" i="20"/>
  <c r="AY355" i="20"/>
  <c r="AY354" i="20"/>
  <c r="AY353" i="20"/>
  <c r="AY352" i="20"/>
  <c r="AY351" i="20"/>
  <c r="AY350" i="20"/>
  <c r="AY349" i="20"/>
  <c r="AY348" i="20"/>
  <c r="AY347" i="20"/>
  <c r="AY346" i="20"/>
  <c r="AY345" i="20"/>
  <c r="AY344" i="20"/>
  <c r="AY343" i="20"/>
  <c r="AY342" i="20"/>
  <c r="AY341" i="20"/>
  <c r="AY340" i="20"/>
  <c r="AY339" i="20"/>
  <c r="AY338" i="20"/>
  <c r="AY337" i="20"/>
  <c r="AY336" i="20"/>
  <c r="AY335" i="20"/>
  <c r="AY334" i="20"/>
  <c r="AY333" i="20"/>
  <c r="AY332" i="20"/>
  <c r="AY331" i="20"/>
  <c r="AY330" i="20"/>
  <c r="AY329" i="20"/>
  <c r="AY328" i="20"/>
  <c r="AY327" i="20"/>
  <c r="AY326" i="20"/>
  <c r="AY325" i="20"/>
  <c r="AY324" i="20"/>
  <c r="AY323" i="20"/>
  <c r="AY322" i="20"/>
  <c r="AY321" i="20"/>
  <c r="AY320" i="20"/>
  <c r="AY319" i="20"/>
  <c r="AY318" i="20"/>
  <c r="AY317" i="20"/>
  <c r="AY316" i="20"/>
  <c r="AY315" i="20"/>
  <c r="AY314" i="20"/>
  <c r="AY313" i="20"/>
  <c r="AY312" i="20"/>
  <c r="AY311" i="20"/>
  <c r="AY310" i="20"/>
  <c r="AY309" i="20"/>
  <c r="AY308" i="20"/>
  <c r="AY307" i="20"/>
  <c r="AY306" i="20"/>
  <c r="AY305" i="20"/>
  <c r="AY304" i="20"/>
  <c r="AY303" i="20"/>
  <c r="AY302" i="20"/>
  <c r="AY301" i="20"/>
  <c r="AY300" i="20"/>
  <c r="AY299" i="20"/>
  <c r="AY298" i="20"/>
  <c r="AY297" i="20"/>
  <c r="AY296" i="20"/>
  <c r="AY295" i="20"/>
  <c r="AY294" i="20"/>
  <c r="AY293" i="20"/>
  <c r="AY292" i="20"/>
  <c r="AY291" i="20"/>
  <c r="AY290" i="20"/>
  <c r="AY289" i="20"/>
  <c r="AY288" i="20"/>
  <c r="AY287" i="20"/>
  <c r="AY286" i="20"/>
  <c r="AY285" i="20"/>
  <c r="AY284" i="20"/>
  <c r="AY283" i="20"/>
  <c r="AY282" i="20"/>
  <c r="AY281" i="20"/>
  <c r="AY280" i="20"/>
  <c r="AY279" i="20"/>
  <c r="AY278" i="20"/>
  <c r="AY277" i="20"/>
  <c r="AY276" i="20"/>
  <c r="AY275" i="20"/>
  <c r="AY274" i="20"/>
  <c r="AY273" i="20"/>
  <c r="AY272" i="20"/>
  <c r="AY271" i="20"/>
  <c r="AY270" i="20"/>
  <c r="AY269" i="20"/>
  <c r="AY268" i="20"/>
  <c r="AY267" i="20"/>
  <c r="AY266" i="20"/>
  <c r="AY265" i="20"/>
  <c r="AY264" i="20"/>
  <c r="AY263" i="20"/>
  <c r="AY262" i="20"/>
  <c r="AY261" i="20"/>
  <c r="AY260" i="20"/>
  <c r="AY259" i="20"/>
  <c r="AY258" i="20"/>
  <c r="AY257" i="20"/>
  <c r="AY256" i="20"/>
  <c r="AY255" i="20"/>
  <c r="AY254" i="20"/>
  <c r="AY253" i="20"/>
  <c r="AY252" i="20"/>
  <c r="AY251" i="20"/>
  <c r="AY250" i="20"/>
  <c r="AY249" i="20"/>
  <c r="AY248" i="20"/>
  <c r="AY247" i="20"/>
  <c r="AY246" i="20"/>
  <c r="AY245" i="20"/>
  <c r="AY244" i="20"/>
  <c r="AY243" i="20"/>
  <c r="AY242" i="20"/>
  <c r="AY241" i="20"/>
  <c r="AY240" i="20"/>
  <c r="AY239" i="20"/>
  <c r="AY238" i="20"/>
  <c r="AY237" i="20"/>
  <c r="AY236" i="20"/>
  <c r="AY235" i="20"/>
  <c r="AY234" i="20"/>
  <c r="AY233" i="20"/>
  <c r="AY232" i="20"/>
  <c r="AY231" i="20"/>
  <c r="AY230" i="20"/>
  <c r="AY229" i="20"/>
  <c r="AY228" i="20"/>
  <c r="AY227" i="20"/>
  <c r="AY226" i="20"/>
  <c r="AY225" i="20"/>
  <c r="AY224" i="20"/>
  <c r="AY223" i="20"/>
  <c r="AY222" i="20"/>
  <c r="AY221" i="20"/>
  <c r="AY220" i="20"/>
  <c r="AY219" i="20"/>
  <c r="AY218" i="20"/>
  <c r="AY217" i="20"/>
  <c r="AY216" i="20"/>
  <c r="AY215" i="20"/>
  <c r="AY214" i="20"/>
  <c r="AY213" i="20"/>
  <c r="AY212" i="20"/>
  <c r="AY211" i="20"/>
  <c r="AY210" i="20"/>
  <c r="AY209" i="20"/>
  <c r="AY208" i="20"/>
  <c r="AY207" i="20"/>
  <c r="AY206" i="20"/>
  <c r="AY205" i="20"/>
  <c r="AY204" i="20"/>
  <c r="AY203" i="20"/>
  <c r="AY202" i="20"/>
  <c r="AY201" i="20"/>
  <c r="AY200" i="20"/>
  <c r="AY199" i="20"/>
  <c r="AY198" i="20"/>
  <c r="AY197" i="20"/>
  <c r="AY196" i="20"/>
  <c r="AY195" i="20"/>
  <c r="AY194" i="20"/>
  <c r="AY193" i="20"/>
  <c r="AY192" i="20"/>
  <c r="AY191" i="20"/>
  <c r="AY190" i="20"/>
  <c r="AY189" i="20"/>
  <c r="AY188" i="20"/>
  <c r="AY187" i="20"/>
  <c r="AY186" i="20"/>
  <c r="AY185" i="20"/>
  <c r="AY184" i="20"/>
  <c r="AY183" i="20"/>
  <c r="AY182" i="20"/>
  <c r="AY181" i="20"/>
  <c r="AY180" i="20"/>
  <c r="AY179" i="20"/>
  <c r="AY178" i="20"/>
  <c r="AY177" i="20"/>
  <c r="AY176" i="20"/>
  <c r="AY175" i="20"/>
  <c r="AY174" i="20"/>
  <c r="AY173" i="20"/>
  <c r="AY172" i="20"/>
  <c r="AY171" i="20"/>
  <c r="AY170" i="20"/>
  <c r="AY169" i="20"/>
  <c r="AY168" i="20"/>
  <c r="AY167" i="20"/>
  <c r="AY166" i="20"/>
  <c r="AY165" i="20"/>
  <c r="AY164" i="20"/>
  <c r="AY163" i="20"/>
  <c r="AY162" i="20"/>
  <c r="AY161" i="20"/>
  <c r="AY160" i="20"/>
  <c r="AY159" i="20"/>
  <c r="AY158" i="20"/>
  <c r="AY157" i="20"/>
  <c r="AY156" i="20"/>
  <c r="AY155" i="20"/>
  <c r="AY154" i="20"/>
  <c r="AY153" i="20"/>
  <c r="AY152" i="20"/>
  <c r="AY151" i="20"/>
  <c r="AY150" i="20"/>
  <c r="AY149" i="20"/>
  <c r="AY148" i="20"/>
  <c r="AY147" i="20"/>
  <c r="AY146" i="20"/>
  <c r="AY145" i="20"/>
  <c r="AY144" i="20"/>
  <c r="AY143" i="20"/>
  <c r="AY142" i="20"/>
  <c r="AY141" i="20"/>
  <c r="AY140" i="20"/>
  <c r="AY139" i="20"/>
  <c r="AY138" i="20"/>
  <c r="AY137" i="20"/>
  <c r="AY136" i="20"/>
  <c r="AY135" i="20"/>
  <c r="AY134" i="20"/>
  <c r="AY133" i="20"/>
  <c r="AY132" i="20"/>
  <c r="AY131" i="20"/>
  <c r="AY130" i="20"/>
  <c r="AY129" i="20"/>
  <c r="AY128" i="20"/>
  <c r="AY127" i="20"/>
  <c r="AY126" i="20"/>
  <c r="AY125" i="20"/>
  <c r="AY124" i="20"/>
  <c r="AY123" i="20"/>
  <c r="AY122" i="20"/>
  <c r="AY121" i="20"/>
  <c r="AY120" i="20"/>
  <c r="AY119" i="20"/>
  <c r="AY118" i="20"/>
  <c r="AY117" i="20"/>
  <c r="AY116" i="20"/>
  <c r="AY115" i="20"/>
  <c r="AY114" i="20"/>
  <c r="AY113" i="20"/>
  <c r="AY112" i="20"/>
  <c r="AY111" i="20"/>
  <c r="AY110" i="20"/>
  <c r="AY109" i="20"/>
  <c r="AY108" i="20"/>
  <c r="AY107" i="20"/>
  <c r="AY106" i="20"/>
  <c r="AY105" i="20"/>
  <c r="AY104" i="20"/>
  <c r="AY103" i="20"/>
  <c r="AY102" i="20"/>
  <c r="AY101" i="20"/>
  <c r="AY100" i="20"/>
  <c r="AY99" i="20"/>
  <c r="AY98" i="20"/>
  <c r="AY97" i="20"/>
  <c r="AY96" i="20"/>
  <c r="AY95" i="20"/>
  <c r="AY94" i="20"/>
  <c r="AY93" i="20"/>
  <c r="AY92" i="20"/>
  <c r="AY91" i="20"/>
  <c r="AY90" i="20"/>
  <c r="AY89" i="20"/>
  <c r="AY88" i="20"/>
  <c r="AY87" i="20"/>
  <c r="AY86" i="20"/>
  <c r="AY85" i="20"/>
  <c r="AY84" i="20"/>
  <c r="AY83" i="20"/>
  <c r="AY82" i="20"/>
  <c r="AY81" i="20"/>
  <c r="AY80" i="20"/>
  <c r="AY79" i="20"/>
  <c r="AY78" i="20"/>
  <c r="AY77" i="20"/>
  <c r="AY76" i="20"/>
  <c r="AY75" i="20"/>
  <c r="AY74" i="20"/>
  <c r="AY73" i="20"/>
  <c r="AY72" i="20"/>
  <c r="AY71" i="20"/>
  <c r="AY70" i="20"/>
  <c r="AY69" i="20"/>
  <c r="AY68" i="20"/>
  <c r="AY67" i="20"/>
  <c r="AY66" i="20"/>
  <c r="AY65" i="20"/>
  <c r="AY64" i="20"/>
  <c r="AY63" i="20"/>
  <c r="AY62" i="20"/>
  <c r="AY61" i="20"/>
  <c r="AY60" i="20"/>
  <c r="AY59" i="20"/>
  <c r="AY58" i="20"/>
  <c r="AY57" i="20"/>
  <c r="AY56" i="20"/>
  <c r="AY55" i="20"/>
  <c r="AY54" i="20"/>
  <c r="AY53" i="20"/>
  <c r="AY52" i="20"/>
  <c r="AY51" i="20"/>
  <c r="AY50" i="20"/>
  <c r="AY49" i="20"/>
  <c r="AY48" i="20"/>
  <c r="AY47" i="20"/>
  <c r="AY46" i="20"/>
  <c r="AY45" i="20"/>
  <c r="AY44" i="20"/>
  <c r="AY43" i="20"/>
  <c r="AY42" i="20"/>
  <c r="AY41" i="20"/>
  <c r="AY40" i="20"/>
  <c r="AY39" i="20"/>
  <c r="AY38" i="20"/>
  <c r="AY37" i="20"/>
  <c r="AY36" i="20"/>
  <c r="AY35" i="20"/>
  <c r="AY34" i="20"/>
  <c r="AY33" i="20"/>
  <c r="AY32" i="20"/>
  <c r="AY31" i="20"/>
  <c r="AY30" i="20"/>
  <c r="AY29" i="20"/>
  <c r="AY28" i="20"/>
  <c r="AY27" i="20"/>
  <c r="AY26" i="20"/>
  <c r="AY25" i="20"/>
  <c r="AY24" i="20"/>
  <c r="AY23" i="20"/>
  <c r="AY22" i="20"/>
  <c r="AY21" i="20"/>
  <c r="AY20" i="20"/>
  <c r="AY19" i="20"/>
  <c r="AY18" i="20"/>
  <c r="AY17" i="20"/>
  <c r="AY16" i="20"/>
  <c r="AY15" i="20"/>
  <c r="AY14" i="20"/>
  <c r="AY13" i="20"/>
  <c r="AY12" i="20"/>
  <c r="AY11" i="20"/>
  <c r="AY10" i="20"/>
  <c r="AY9" i="20"/>
  <c r="AY8" i="20"/>
  <c r="AY7" i="20"/>
  <c r="AY6" i="20"/>
  <c r="AY5" i="20"/>
  <c r="AY4" i="20"/>
  <c r="AV384" i="20"/>
  <c r="AV383" i="20"/>
  <c r="AV382" i="20"/>
  <c r="AV381" i="20"/>
  <c r="AV380" i="20"/>
  <c r="AV379" i="20"/>
  <c r="AV378" i="20"/>
  <c r="AV377" i="20"/>
  <c r="AV376" i="20"/>
  <c r="AV375" i="20"/>
  <c r="AV374" i="20"/>
  <c r="AV373" i="20"/>
  <c r="AV372" i="20"/>
  <c r="AV371" i="20"/>
  <c r="AV370" i="20"/>
  <c r="AV369" i="20"/>
  <c r="AV368" i="20"/>
  <c r="AV367" i="20"/>
  <c r="AV366" i="20"/>
  <c r="AV365" i="20"/>
  <c r="AV364" i="20"/>
  <c r="AV363" i="20"/>
  <c r="AV362" i="20"/>
  <c r="AV361" i="20"/>
  <c r="AV360" i="20"/>
  <c r="AV359" i="20"/>
  <c r="AV358" i="20"/>
  <c r="AV357" i="20"/>
  <c r="AV356" i="20"/>
  <c r="AV355" i="20"/>
  <c r="AV354" i="20"/>
  <c r="AV353" i="20"/>
  <c r="AV352" i="20"/>
  <c r="AV351" i="20"/>
  <c r="AV350" i="20"/>
  <c r="AV349" i="20"/>
  <c r="AV348" i="20"/>
  <c r="AV347" i="20"/>
  <c r="AV346" i="20"/>
  <c r="AV345" i="20"/>
  <c r="AV344" i="20"/>
  <c r="AV343" i="20"/>
  <c r="AV342" i="20"/>
  <c r="AV341" i="20"/>
  <c r="AV340" i="20"/>
  <c r="AV339" i="20"/>
  <c r="AV338" i="20"/>
  <c r="AV337" i="20"/>
  <c r="AV336" i="20"/>
  <c r="AV335" i="20"/>
  <c r="AV334" i="20"/>
  <c r="AV333" i="20"/>
  <c r="AV332" i="20"/>
  <c r="AV331" i="20"/>
  <c r="AV330" i="20"/>
  <c r="AV329" i="20"/>
  <c r="AV328" i="20"/>
  <c r="AV327" i="20"/>
  <c r="AV326" i="20"/>
  <c r="AV325" i="20"/>
  <c r="AV324" i="20"/>
  <c r="AV323" i="20"/>
  <c r="AV322" i="20"/>
  <c r="AV321" i="20"/>
  <c r="AV320" i="20"/>
  <c r="AV319" i="20"/>
  <c r="AV318" i="20"/>
  <c r="AV317" i="20"/>
  <c r="AV316" i="20"/>
  <c r="AV315" i="20"/>
  <c r="AV314" i="20"/>
  <c r="AV313" i="20"/>
  <c r="AV312" i="20"/>
  <c r="AV311" i="20"/>
  <c r="AV310" i="20"/>
  <c r="AV309" i="20"/>
  <c r="AV308" i="20"/>
  <c r="AV307" i="20"/>
  <c r="AV306" i="20"/>
  <c r="AV305" i="20"/>
  <c r="AV304" i="20"/>
  <c r="AV303" i="20"/>
  <c r="AV302" i="20"/>
  <c r="AV301" i="20"/>
  <c r="AV300" i="20"/>
  <c r="AV299" i="20"/>
  <c r="AV298" i="20"/>
  <c r="AV297" i="20"/>
  <c r="AV296" i="20"/>
  <c r="AV295" i="20"/>
  <c r="AV294" i="20"/>
  <c r="AV293" i="20"/>
  <c r="AV292" i="20"/>
  <c r="AV291" i="20"/>
  <c r="AV290" i="20"/>
  <c r="AV289" i="20"/>
  <c r="AV288" i="20"/>
  <c r="AV287" i="20"/>
  <c r="AV286" i="20"/>
  <c r="AV285" i="20"/>
  <c r="AV284" i="20"/>
  <c r="AV283" i="20"/>
  <c r="AV282" i="20"/>
  <c r="AV281" i="20"/>
  <c r="AV280" i="20"/>
  <c r="AV279" i="20"/>
  <c r="AV278" i="20"/>
  <c r="AV277" i="20"/>
  <c r="AV276" i="20"/>
  <c r="AV275" i="20"/>
  <c r="AV274" i="20"/>
  <c r="AV273" i="20"/>
  <c r="AV272" i="20"/>
  <c r="AV271" i="20"/>
  <c r="AV270" i="20"/>
  <c r="AV269" i="20"/>
  <c r="AV268" i="20"/>
  <c r="AV267" i="20"/>
  <c r="AV266" i="20"/>
  <c r="AV265" i="20"/>
  <c r="AV264" i="20"/>
  <c r="AV263" i="20"/>
  <c r="AV262" i="20"/>
  <c r="AV261" i="20"/>
  <c r="AV260" i="20"/>
  <c r="AV259" i="20"/>
  <c r="AV258" i="20"/>
  <c r="AV257" i="20"/>
  <c r="AV256" i="20"/>
  <c r="AV255" i="20"/>
  <c r="AV254" i="20"/>
  <c r="AV253" i="20"/>
  <c r="AV252" i="20"/>
  <c r="AV251" i="20"/>
  <c r="AV250" i="20"/>
  <c r="AV249" i="20"/>
  <c r="AV248" i="20"/>
  <c r="AV247" i="20"/>
  <c r="AV246" i="20"/>
  <c r="AV245" i="20"/>
  <c r="AV244" i="20"/>
  <c r="AV243" i="20"/>
  <c r="AV242" i="20"/>
  <c r="AV241" i="20"/>
  <c r="AV240" i="20"/>
  <c r="AV239" i="20"/>
  <c r="AV238" i="20"/>
  <c r="AV237" i="20"/>
  <c r="AV236" i="20"/>
  <c r="AV235" i="20"/>
  <c r="AV234" i="20"/>
  <c r="AV233" i="20"/>
  <c r="AV232" i="20"/>
  <c r="AV231" i="20"/>
  <c r="AV230" i="20"/>
  <c r="AV229" i="20"/>
  <c r="AV228" i="20"/>
  <c r="AV227" i="20"/>
  <c r="AV226" i="20"/>
  <c r="AV225" i="20"/>
  <c r="AV224" i="20"/>
  <c r="AV223" i="20"/>
  <c r="AV222" i="20"/>
  <c r="AV221" i="20"/>
  <c r="AV220" i="20"/>
  <c r="AV219" i="20"/>
  <c r="AV218" i="20"/>
  <c r="AV217" i="20"/>
  <c r="AV216" i="20"/>
  <c r="AV215" i="20"/>
  <c r="AV214" i="20"/>
  <c r="AV213" i="20"/>
  <c r="AV212" i="20"/>
  <c r="AV211" i="20"/>
  <c r="AV210" i="20"/>
  <c r="AV209" i="20"/>
  <c r="AV208" i="20"/>
  <c r="AV207" i="20"/>
  <c r="AV206" i="20"/>
  <c r="AV205" i="20"/>
  <c r="AV204" i="20"/>
  <c r="AV203" i="20"/>
  <c r="AV202" i="20"/>
  <c r="AV201" i="20"/>
  <c r="AV200" i="20"/>
  <c r="AV199" i="20"/>
  <c r="AV198" i="20"/>
  <c r="AV197" i="20"/>
  <c r="AV196" i="20"/>
  <c r="AV195" i="20"/>
  <c r="AV194" i="20"/>
  <c r="AV193" i="20"/>
  <c r="AV192" i="20"/>
  <c r="AV191" i="20"/>
  <c r="AV190" i="20"/>
  <c r="AV189" i="20"/>
  <c r="AV188" i="20"/>
  <c r="AV187" i="20"/>
  <c r="AV186" i="20"/>
  <c r="AV185" i="20"/>
  <c r="AV184" i="20"/>
  <c r="AV183" i="20"/>
  <c r="AV182" i="20"/>
  <c r="AV181" i="20"/>
  <c r="AV180" i="20"/>
  <c r="AV179" i="20"/>
  <c r="AV178" i="20"/>
  <c r="AV177" i="20"/>
  <c r="AV176" i="20"/>
  <c r="AV175" i="20"/>
  <c r="AV174" i="20"/>
  <c r="AV173" i="20"/>
  <c r="AV172" i="20"/>
  <c r="AV171" i="20"/>
  <c r="AV170" i="20"/>
  <c r="AV169" i="20"/>
  <c r="AV168" i="20"/>
  <c r="AV167" i="20"/>
  <c r="AV166" i="20"/>
  <c r="AV165" i="20"/>
  <c r="AV164" i="20"/>
  <c r="AV163" i="20"/>
  <c r="AV162" i="20"/>
  <c r="AV161" i="20"/>
  <c r="AV160" i="20"/>
  <c r="AV159" i="20"/>
  <c r="AV158" i="20"/>
  <c r="AV157" i="20"/>
  <c r="AV156" i="20"/>
  <c r="AV155" i="20"/>
  <c r="AV154" i="20"/>
  <c r="AV153" i="20"/>
  <c r="AV152" i="20"/>
  <c r="AV151" i="20"/>
  <c r="AV150" i="20"/>
  <c r="AV149" i="20"/>
  <c r="AV148" i="20"/>
  <c r="AV147" i="20"/>
  <c r="AV146" i="20"/>
  <c r="AV145" i="20"/>
  <c r="AV144" i="20"/>
  <c r="AV143" i="20"/>
  <c r="AV142" i="20"/>
  <c r="AV141" i="20"/>
  <c r="AV140" i="20"/>
  <c r="AV139" i="20"/>
  <c r="AV138" i="20"/>
  <c r="AV137" i="20"/>
  <c r="AV136" i="20"/>
  <c r="AV135" i="20"/>
  <c r="AV134" i="20"/>
  <c r="AV133" i="20"/>
  <c r="AV132" i="20"/>
  <c r="AV131" i="20"/>
  <c r="AV130" i="20"/>
  <c r="AV129" i="20"/>
  <c r="AV128" i="20"/>
  <c r="AV127" i="20"/>
  <c r="AV126" i="20"/>
  <c r="AV125" i="20"/>
  <c r="AV124" i="20"/>
  <c r="AV123" i="20"/>
  <c r="AV122" i="20"/>
  <c r="AV121" i="20"/>
  <c r="AV120" i="20"/>
  <c r="AV119" i="20"/>
  <c r="AV118" i="20"/>
  <c r="AV117" i="20"/>
  <c r="AV116" i="20"/>
  <c r="AV115" i="20"/>
  <c r="AV114" i="20"/>
  <c r="AV113" i="20"/>
  <c r="AV112" i="20"/>
  <c r="AV111" i="20"/>
  <c r="AV110" i="20"/>
  <c r="AV109" i="20"/>
  <c r="AV108" i="20"/>
  <c r="AV107" i="20"/>
  <c r="AV106" i="20"/>
  <c r="AV105" i="20"/>
  <c r="AV104" i="20"/>
  <c r="AV103" i="20"/>
  <c r="AV102" i="20"/>
  <c r="AV101" i="20"/>
  <c r="AV100" i="20"/>
  <c r="AV99" i="20"/>
  <c r="AV98" i="20"/>
  <c r="AV97" i="20"/>
  <c r="AV96" i="20"/>
  <c r="AV95" i="20"/>
  <c r="AV94" i="20"/>
  <c r="AV93" i="20"/>
  <c r="AV92" i="20"/>
  <c r="AV91" i="20"/>
  <c r="AV90" i="20"/>
  <c r="AV89" i="20"/>
  <c r="AV88" i="20"/>
  <c r="AV87" i="20"/>
  <c r="AV86" i="20"/>
  <c r="AV85" i="20"/>
  <c r="AV84" i="20"/>
  <c r="AV83" i="20"/>
  <c r="AV82" i="20"/>
  <c r="AV81" i="20"/>
  <c r="AV80" i="20"/>
  <c r="AV79" i="20"/>
  <c r="AV78" i="20"/>
  <c r="AV77" i="20"/>
  <c r="AV76" i="20"/>
  <c r="AV75" i="20"/>
  <c r="AV74" i="20"/>
  <c r="AV73" i="20"/>
  <c r="AV72" i="20"/>
  <c r="AV71" i="20"/>
  <c r="AV70" i="20"/>
  <c r="AV69" i="20"/>
  <c r="AV68" i="20"/>
  <c r="AV67" i="20"/>
  <c r="AV66" i="20"/>
  <c r="AV65" i="20"/>
  <c r="AV64" i="20"/>
  <c r="AV63" i="20"/>
  <c r="AV62" i="20"/>
  <c r="AV61" i="20"/>
  <c r="AV60" i="20"/>
  <c r="AV59" i="20"/>
  <c r="AV58" i="20"/>
  <c r="AV57" i="20"/>
  <c r="AV56" i="20"/>
  <c r="AV55" i="20"/>
  <c r="AV54" i="20"/>
  <c r="AV53" i="20"/>
  <c r="AV52" i="20"/>
  <c r="AV51" i="20"/>
  <c r="AV50" i="20"/>
  <c r="AV49" i="20"/>
  <c r="AV48" i="20"/>
  <c r="AV47" i="20"/>
  <c r="AV46" i="20"/>
  <c r="AV45" i="20"/>
  <c r="AV44" i="20"/>
  <c r="AV43" i="20"/>
  <c r="AV42" i="20"/>
  <c r="AV41" i="20"/>
  <c r="AV40" i="20"/>
  <c r="AV39" i="20"/>
  <c r="AV38" i="20"/>
  <c r="AV37" i="20"/>
  <c r="AV36" i="20"/>
  <c r="AV35" i="20"/>
  <c r="AV34" i="20"/>
  <c r="AV33" i="20"/>
  <c r="AV32" i="20"/>
  <c r="AV31" i="20"/>
  <c r="AV30" i="20"/>
  <c r="AV29" i="20"/>
  <c r="AV28" i="20"/>
  <c r="AV27" i="20"/>
  <c r="AV26" i="20"/>
  <c r="AV25" i="20"/>
  <c r="AV24" i="20"/>
  <c r="AV23" i="20"/>
  <c r="AV22" i="20"/>
  <c r="AV21" i="20"/>
  <c r="AV20" i="20"/>
  <c r="AV19" i="20"/>
  <c r="AV18" i="20"/>
  <c r="AV17" i="20"/>
  <c r="AV16" i="20"/>
  <c r="AV15" i="20"/>
  <c r="AV14" i="20"/>
  <c r="AV13" i="20"/>
  <c r="AV12" i="20"/>
  <c r="AV11" i="20"/>
  <c r="AV10" i="20"/>
  <c r="AV9" i="20"/>
  <c r="AV8" i="20"/>
  <c r="AV7" i="20"/>
  <c r="AV6" i="20"/>
  <c r="AV5" i="20"/>
  <c r="AV4" i="20"/>
  <c r="AS384" i="20"/>
  <c r="AS383" i="20"/>
  <c r="AS382" i="20"/>
  <c r="AS381" i="20"/>
  <c r="AS380" i="20"/>
  <c r="AS379" i="20"/>
  <c r="AS378" i="20"/>
  <c r="AS377" i="20"/>
  <c r="AS376" i="20"/>
  <c r="AS375" i="20"/>
  <c r="AS374" i="20"/>
  <c r="AS373" i="20"/>
  <c r="AS372" i="20"/>
  <c r="AS371" i="20"/>
  <c r="AS370" i="20"/>
  <c r="AS369" i="20"/>
  <c r="AS368" i="20"/>
  <c r="AS367" i="20"/>
  <c r="AS366" i="20"/>
  <c r="AS365" i="20"/>
  <c r="AS364" i="20"/>
  <c r="AS363" i="20"/>
  <c r="AS362" i="20"/>
  <c r="AS361" i="20"/>
  <c r="AS360" i="20"/>
  <c r="AS359" i="20"/>
  <c r="AS358" i="20"/>
  <c r="AS357" i="20"/>
  <c r="AS356" i="20"/>
  <c r="AS355" i="20"/>
  <c r="AS354" i="20"/>
  <c r="AS353" i="20"/>
  <c r="AS352" i="20"/>
  <c r="AS351" i="20"/>
  <c r="AS350" i="20"/>
  <c r="AS349" i="20"/>
  <c r="AS348" i="20"/>
  <c r="AS347" i="20"/>
  <c r="AS346" i="20"/>
  <c r="AS345" i="20"/>
  <c r="AS344" i="20"/>
  <c r="AS343" i="20"/>
  <c r="AS342" i="20"/>
  <c r="AS341" i="20"/>
  <c r="AS340" i="20"/>
  <c r="AS339" i="20"/>
  <c r="AS338" i="20"/>
  <c r="AS337" i="20"/>
  <c r="AS336" i="20"/>
  <c r="AS335" i="20"/>
  <c r="AS334" i="20"/>
  <c r="AS333" i="20"/>
  <c r="AS332" i="20"/>
  <c r="AS331" i="20"/>
  <c r="AS330" i="20"/>
  <c r="AS329" i="20"/>
  <c r="AS328" i="20"/>
  <c r="AS327" i="20"/>
  <c r="AS326" i="20"/>
  <c r="AS325" i="20"/>
  <c r="AS324" i="20"/>
  <c r="AS323" i="20"/>
  <c r="AS322" i="20"/>
  <c r="AS321" i="20"/>
  <c r="AS320" i="20"/>
  <c r="AS319" i="20"/>
  <c r="AS318" i="20"/>
  <c r="AS317" i="20"/>
  <c r="AS316" i="20"/>
  <c r="AS315" i="20"/>
  <c r="AS314" i="20"/>
  <c r="AS313" i="20"/>
  <c r="AS312" i="20"/>
  <c r="AS311" i="20"/>
  <c r="AS310" i="20"/>
  <c r="AS309" i="20"/>
  <c r="AS308" i="20"/>
  <c r="AS307" i="20"/>
  <c r="AS306" i="20"/>
  <c r="AS305" i="20"/>
  <c r="AS304" i="20"/>
  <c r="AS303" i="20"/>
  <c r="AS302" i="20"/>
  <c r="AS301" i="20"/>
  <c r="AS300" i="20"/>
  <c r="AS299" i="20"/>
  <c r="AS298" i="20"/>
  <c r="AS297" i="20"/>
  <c r="AS296" i="20"/>
  <c r="AS295" i="20"/>
  <c r="AS294" i="20"/>
  <c r="AS293" i="20"/>
  <c r="AS292" i="20"/>
  <c r="AS291" i="20"/>
  <c r="AS290" i="20"/>
  <c r="AS289" i="20"/>
  <c r="AS288" i="20"/>
  <c r="AS287" i="20"/>
  <c r="AS286" i="20"/>
  <c r="AS285" i="20"/>
  <c r="AS284" i="20"/>
  <c r="AS283" i="20"/>
  <c r="AS282" i="20"/>
  <c r="AS281" i="20"/>
  <c r="AS280" i="20"/>
  <c r="AS279" i="20"/>
  <c r="AS278" i="20"/>
  <c r="AS277" i="20"/>
  <c r="AS276" i="20"/>
  <c r="AS275" i="20"/>
  <c r="AS274" i="20"/>
  <c r="AS273" i="20"/>
  <c r="AS272" i="20"/>
  <c r="AS271" i="20"/>
  <c r="AS270" i="20"/>
  <c r="AS269" i="20"/>
  <c r="AS268" i="20"/>
  <c r="AS267" i="20"/>
  <c r="AS266" i="20"/>
  <c r="AS265" i="20"/>
  <c r="AS264" i="20"/>
  <c r="AS263" i="20"/>
  <c r="AS262" i="20"/>
  <c r="AS261" i="20"/>
  <c r="AS260" i="20"/>
  <c r="AS259" i="20"/>
  <c r="AS258" i="20"/>
  <c r="AS257" i="20"/>
  <c r="AS256" i="20"/>
  <c r="AS255" i="20"/>
  <c r="AS254" i="20"/>
  <c r="AS253" i="20"/>
  <c r="AS252" i="20"/>
  <c r="AS251" i="20"/>
  <c r="AS250" i="20"/>
  <c r="AS249" i="20"/>
  <c r="AS248" i="20"/>
  <c r="AS247" i="20"/>
  <c r="AS246" i="20"/>
  <c r="AS245" i="20"/>
  <c r="AS244" i="20"/>
  <c r="AS243" i="20"/>
  <c r="AS242" i="20"/>
  <c r="AS241" i="20"/>
  <c r="AS240" i="20"/>
  <c r="AS239" i="20"/>
  <c r="AS238" i="20"/>
  <c r="AS237" i="20"/>
  <c r="AS236" i="20"/>
  <c r="AS235" i="20"/>
  <c r="AS234" i="20"/>
  <c r="AS233" i="20"/>
  <c r="AS232" i="20"/>
  <c r="AS231" i="20"/>
  <c r="AS230" i="20"/>
  <c r="AS229" i="20"/>
  <c r="AS228" i="20"/>
  <c r="AS227" i="20"/>
  <c r="AS226" i="20"/>
  <c r="AS225" i="20"/>
  <c r="AS224" i="20"/>
  <c r="AS223" i="20"/>
  <c r="AS222" i="20"/>
  <c r="AS221" i="20"/>
  <c r="AS220" i="20"/>
  <c r="AS219" i="20"/>
  <c r="AS218" i="20"/>
  <c r="AS217" i="20"/>
  <c r="AS216" i="20"/>
  <c r="AS215" i="20"/>
  <c r="AS214" i="20"/>
  <c r="AS213" i="20"/>
  <c r="AS212" i="20"/>
  <c r="AS211" i="20"/>
  <c r="AS210" i="20"/>
  <c r="AS209" i="20"/>
  <c r="AS208" i="20"/>
  <c r="AS207" i="20"/>
  <c r="AS206" i="20"/>
  <c r="AS205" i="20"/>
  <c r="AS204" i="20"/>
  <c r="AS203" i="20"/>
  <c r="AS202" i="20"/>
  <c r="AS201" i="20"/>
  <c r="AS200" i="20"/>
  <c r="AS199" i="20"/>
  <c r="AS198" i="20"/>
  <c r="AS197" i="20"/>
  <c r="AS196" i="20"/>
  <c r="AS195" i="20"/>
  <c r="AS194" i="20"/>
  <c r="AS193" i="20"/>
  <c r="AS192" i="20"/>
  <c r="AS191" i="20"/>
  <c r="AS190" i="20"/>
  <c r="AS189" i="20"/>
  <c r="AS188" i="20"/>
  <c r="AS187" i="20"/>
  <c r="AS186" i="20"/>
  <c r="AS185" i="20"/>
  <c r="AS184" i="20"/>
  <c r="AS183" i="20"/>
  <c r="AS182" i="20"/>
  <c r="AS181" i="20"/>
  <c r="AS180" i="20"/>
  <c r="AS179" i="20"/>
  <c r="AS178" i="20"/>
  <c r="AS177" i="20"/>
  <c r="AS176" i="20"/>
  <c r="AS175" i="20"/>
  <c r="AS174" i="20"/>
  <c r="AS173" i="20"/>
  <c r="AS172" i="20"/>
  <c r="AS171" i="20"/>
  <c r="AS170" i="20"/>
  <c r="AS169" i="20"/>
  <c r="AS168" i="20"/>
  <c r="AS167" i="20"/>
  <c r="AS166" i="20"/>
  <c r="AS165" i="20"/>
  <c r="AS164" i="20"/>
  <c r="AS163" i="20"/>
  <c r="AS162" i="20"/>
  <c r="AS161" i="20"/>
  <c r="AS160" i="20"/>
  <c r="AS159" i="20"/>
  <c r="AS158" i="20"/>
  <c r="AS157" i="20"/>
  <c r="AS156" i="20"/>
  <c r="AS155" i="20"/>
  <c r="AS154" i="20"/>
  <c r="AS153" i="20"/>
  <c r="AS152" i="20"/>
  <c r="AS151" i="20"/>
  <c r="AS150" i="20"/>
  <c r="AS149" i="20"/>
  <c r="AS148" i="20"/>
  <c r="AS147" i="20"/>
  <c r="AS146" i="20"/>
  <c r="AS145" i="20"/>
  <c r="AS144" i="20"/>
  <c r="AS143" i="20"/>
  <c r="AS142" i="20"/>
  <c r="AS141" i="20"/>
  <c r="AS140" i="20"/>
  <c r="AS139" i="20"/>
  <c r="AS138" i="20"/>
  <c r="AS137" i="20"/>
  <c r="AS136" i="20"/>
  <c r="AS135" i="20"/>
  <c r="AS134" i="20"/>
  <c r="AS133" i="20"/>
  <c r="AS132" i="20"/>
  <c r="AS131" i="20"/>
  <c r="AS130" i="20"/>
  <c r="AS129" i="20"/>
  <c r="AS128" i="20"/>
  <c r="AS127" i="20"/>
  <c r="AS126" i="20"/>
  <c r="AS125" i="20"/>
  <c r="AS124" i="20"/>
  <c r="AS123" i="20"/>
  <c r="AS122" i="20"/>
  <c r="AS121" i="20"/>
  <c r="AS120" i="20"/>
  <c r="AS119" i="20"/>
  <c r="AS118" i="20"/>
  <c r="AS117" i="20"/>
  <c r="AS116" i="20"/>
  <c r="AS115" i="20"/>
  <c r="AS114" i="20"/>
  <c r="AS113" i="20"/>
  <c r="AS112" i="20"/>
  <c r="AS111" i="20"/>
  <c r="AS110" i="20"/>
  <c r="AS109" i="20"/>
  <c r="AS108" i="20"/>
  <c r="AS107" i="20"/>
  <c r="AS106" i="20"/>
  <c r="AS105" i="20"/>
  <c r="AS104" i="20"/>
  <c r="AS103" i="20"/>
  <c r="AS102" i="20"/>
  <c r="AS101" i="20"/>
  <c r="AS100" i="20"/>
  <c r="AS99" i="20"/>
  <c r="AS98" i="20"/>
  <c r="AS97" i="20"/>
  <c r="AS96" i="20"/>
  <c r="AS95" i="20"/>
  <c r="AS94" i="20"/>
  <c r="AS93" i="20"/>
  <c r="AS92" i="20"/>
  <c r="AS91" i="20"/>
  <c r="AS90" i="20"/>
  <c r="AS89" i="20"/>
  <c r="AS88" i="20"/>
  <c r="AS87" i="20"/>
  <c r="AS86" i="20"/>
  <c r="AS85" i="20"/>
  <c r="AS84" i="20"/>
  <c r="AS83" i="20"/>
  <c r="AS82" i="20"/>
  <c r="AS81" i="20"/>
  <c r="AS80" i="20"/>
  <c r="AS79" i="20"/>
  <c r="AS78" i="20"/>
  <c r="AS77" i="20"/>
  <c r="AS76" i="20"/>
  <c r="AS75" i="20"/>
  <c r="AS74" i="20"/>
  <c r="AS73" i="20"/>
  <c r="AS72" i="20"/>
  <c r="AS71" i="20"/>
  <c r="AS70" i="20"/>
  <c r="AS69" i="20"/>
  <c r="AS68" i="20"/>
  <c r="AS67" i="20"/>
  <c r="AS66" i="20"/>
  <c r="AS65" i="20"/>
  <c r="AS64" i="20"/>
  <c r="AS63" i="20"/>
  <c r="AS62" i="20"/>
  <c r="AS61" i="20"/>
  <c r="AS60" i="20"/>
  <c r="AS59" i="20"/>
  <c r="AS58" i="20"/>
  <c r="AS57" i="20"/>
  <c r="AS56" i="20"/>
  <c r="AS55" i="20"/>
  <c r="AS54" i="20"/>
  <c r="AS53" i="20"/>
  <c r="AS52" i="20"/>
  <c r="AS51" i="20"/>
  <c r="AS50" i="20"/>
  <c r="AS49" i="20"/>
  <c r="AS48" i="20"/>
  <c r="AS47" i="20"/>
  <c r="AS46" i="20"/>
  <c r="AS45" i="20"/>
  <c r="AS44" i="20"/>
  <c r="AS43" i="20"/>
  <c r="AS42" i="20"/>
  <c r="AS41" i="20"/>
  <c r="AS40" i="20"/>
  <c r="AS39" i="20"/>
  <c r="AS38" i="20"/>
  <c r="AS37" i="20"/>
  <c r="AS36" i="20"/>
  <c r="AS35" i="20"/>
  <c r="AS34" i="20"/>
  <c r="AS33" i="20"/>
  <c r="AS32" i="20"/>
  <c r="AS31" i="20"/>
  <c r="AS30" i="20"/>
  <c r="AS29" i="20"/>
  <c r="AS28" i="20"/>
  <c r="AS27" i="20"/>
  <c r="AS26" i="20"/>
  <c r="AS25" i="20"/>
  <c r="AS24" i="20"/>
  <c r="AS23" i="20"/>
  <c r="AS22" i="20"/>
  <c r="AS21" i="20"/>
  <c r="AS20" i="20"/>
  <c r="AS19" i="20"/>
  <c r="AS18" i="20"/>
  <c r="AS17" i="20"/>
  <c r="AS16" i="20"/>
  <c r="AS15" i="20"/>
  <c r="AS14" i="20"/>
  <c r="AS13" i="20"/>
  <c r="AS12" i="20"/>
  <c r="AS11" i="20"/>
  <c r="AS10" i="20"/>
  <c r="AS9" i="20"/>
  <c r="AS8" i="20"/>
  <c r="AS7" i="20"/>
  <c r="AS6" i="20"/>
  <c r="AS5" i="20"/>
  <c r="AS4" i="20"/>
  <c r="AP384" i="20"/>
  <c r="AP383" i="20"/>
  <c r="AP382" i="20"/>
  <c r="AP381" i="20"/>
  <c r="AP380" i="20"/>
  <c r="AP379" i="20"/>
  <c r="AP378" i="20"/>
  <c r="AP377" i="20"/>
  <c r="AP376" i="20"/>
  <c r="AP375" i="20"/>
  <c r="AP374" i="20"/>
  <c r="AP373" i="20"/>
  <c r="AP372" i="20"/>
  <c r="AP371" i="20"/>
  <c r="AP370" i="20"/>
  <c r="AP369" i="20"/>
  <c r="AP368" i="20"/>
  <c r="AP367" i="20"/>
  <c r="AP366" i="20"/>
  <c r="AP365" i="20"/>
  <c r="AP364" i="20"/>
  <c r="AP363" i="20"/>
  <c r="AP362" i="20"/>
  <c r="AP361" i="20"/>
  <c r="AP360" i="20"/>
  <c r="AP359" i="20"/>
  <c r="AP358" i="20"/>
  <c r="AP357" i="20"/>
  <c r="AP356" i="20"/>
  <c r="AP355" i="20"/>
  <c r="AP354" i="20"/>
  <c r="AP353" i="20"/>
  <c r="AP352" i="20"/>
  <c r="AP351" i="20"/>
  <c r="AP350" i="20"/>
  <c r="AP349" i="20"/>
  <c r="AP348" i="20"/>
  <c r="AP347" i="20"/>
  <c r="AP346" i="20"/>
  <c r="AP345" i="20"/>
  <c r="AP344" i="20"/>
  <c r="AP343" i="20"/>
  <c r="AP342" i="20"/>
  <c r="AP341" i="20"/>
  <c r="AP340" i="20"/>
  <c r="AP339" i="20"/>
  <c r="AP338" i="20"/>
  <c r="AP337" i="20"/>
  <c r="AP336" i="20"/>
  <c r="AP335" i="20"/>
  <c r="AP334" i="20"/>
  <c r="AP333" i="20"/>
  <c r="AP332" i="20"/>
  <c r="AP331" i="20"/>
  <c r="AP330" i="20"/>
  <c r="AP329" i="20"/>
  <c r="AP328" i="20"/>
  <c r="AP327" i="20"/>
  <c r="AP326" i="20"/>
  <c r="AP325" i="20"/>
  <c r="AP324" i="20"/>
  <c r="AP323" i="20"/>
  <c r="AP322" i="20"/>
  <c r="AP321" i="20"/>
  <c r="AP320" i="20"/>
  <c r="AP319" i="20"/>
  <c r="AP318" i="20"/>
  <c r="AP317" i="20"/>
  <c r="AP316" i="20"/>
  <c r="AP315" i="20"/>
  <c r="AP314" i="20"/>
  <c r="AP313" i="20"/>
  <c r="AP312" i="20"/>
  <c r="AP311" i="20"/>
  <c r="AP310" i="20"/>
  <c r="AP309" i="20"/>
  <c r="AP308" i="20"/>
  <c r="AP307" i="20"/>
  <c r="AP306" i="20"/>
  <c r="AP305" i="20"/>
  <c r="AP304" i="20"/>
  <c r="AP303" i="20"/>
  <c r="AP302" i="20"/>
  <c r="AP301" i="20"/>
  <c r="AP300" i="20"/>
  <c r="AP299" i="20"/>
  <c r="AP298" i="20"/>
  <c r="AP297" i="20"/>
  <c r="AP296" i="20"/>
  <c r="AP295" i="20"/>
  <c r="AP294" i="20"/>
  <c r="AP293" i="20"/>
  <c r="AP292" i="20"/>
  <c r="AP291" i="20"/>
  <c r="AP290" i="20"/>
  <c r="AP289" i="20"/>
  <c r="AP288" i="20"/>
  <c r="AP287" i="20"/>
  <c r="AP286" i="20"/>
  <c r="AP285" i="20"/>
  <c r="AP284" i="20"/>
  <c r="AP283" i="20"/>
  <c r="AP282" i="20"/>
  <c r="AP281" i="20"/>
  <c r="AP280" i="20"/>
  <c r="AP279" i="20"/>
  <c r="AP278" i="20"/>
  <c r="AP277" i="20"/>
  <c r="AP276" i="20"/>
  <c r="AP275" i="20"/>
  <c r="AP274" i="20"/>
  <c r="AP273" i="20"/>
  <c r="AP272" i="20"/>
  <c r="AP271" i="20"/>
  <c r="AP270" i="20"/>
  <c r="AP269" i="20"/>
  <c r="AP268" i="20"/>
  <c r="AP267" i="20"/>
  <c r="AP266" i="20"/>
  <c r="AP265" i="20"/>
  <c r="AP264" i="20"/>
  <c r="AP263" i="20"/>
  <c r="AP262" i="20"/>
  <c r="AP261" i="20"/>
  <c r="AP260" i="20"/>
  <c r="AP259" i="20"/>
  <c r="AP258" i="20"/>
  <c r="AP257" i="20"/>
  <c r="AP256" i="20"/>
  <c r="AP255" i="20"/>
  <c r="AP254" i="20"/>
  <c r="AP253" i="20"/>
  <c r="AP252" i="20"/>
  <c r="AP251" i="20"/>
  <c r="AP250" i="20"/>
  <c r="AP249" i="20"/>
  <c r="AP248" i="20"/>
  <c r="AP247" i="20"/>
  <c r="AP246" i="20"/>
  <c r="AP245" i="20"/>
  <c r="AP244" i="20"/>
  <c r="AP243" i="20"/>
  <c r="AP242" i="20"/>
  <c r="AP241" i="20"/>
  <c r="AP240" i="20"/>
  <c r="AP239" i="20"/>
  <c r="AP238" i="20"/>
  <c r="AP237" i="20"/>
  <c r="AP236" i="20"/>
  <c r="AP235" i="20"/>
  <c r="AP234" i="20"/>
  <c r="AP233" i="20"/>
  <c r="AP232" i="20"/>
  <c r="AP231" i="20"/>
  <c r="AP230" i="20"/>
  <c r="AP229" i="20"/>
  <c r="AP228" i="20"/>
  <c r="AP227" i="20"/>
  <c r="AP226" i="20"/>
  <c r="AP225" i="20"/>
  <c r="AP224" i="20"/>
  <c r="AP223" i="20"/>
  <c r="AP222" i="20"/>
  <c r="AP221" i="20"/>
  <c r="AP220" i="20"/>
  <c r="AP219" i="20"/>
  <c r="AP218" i="20"/>
  <c r="AP217" i="20"/>
  <c r="AP216" i="20"/>
  <c r="AP215" i="20"/>
  <c r="AP214" i="20"/>
  <c r="AP213" i="20"/>
  <c r="AP212" i="20"/>
  <c r="AP211" i="20"/>
  <c r="AP210" i="20"/>
  <c r="AP209" i="20"/>
  <c r="AP208" i="20"/>
  <c r="AP207" i="20"/>
  <c r="AP206" i="20"/>
  <c r="AP205" i="20"/>
  <c r="AP204" i="20"/>
  <c r="AP203" i="20"/>
  <c r="AP202" i="20"/>
  <c r="AP201" i="20"/>
  <c r="AP200" i="20"/>
  <c r="AP199" i="20"/>
  <c r="AP198" i="20"/>
  <c r="AP197" i="20"/>
  <c r="AP196" i="20"/>
  <c r="AP195" i="20"/>
  <c r="AP194" i="20"/>
  <c r="AP193" i="20"/>
  <c r="AP192" i="20"/>
  <c r="AP191" i="20"/>
  <c r="AP190" i="20"/>
  <c r="AP189" i="20"/>
  <c r="AP188" i="20"/>
  <c r="AP187" i="20"/>
  <c r="AP186" i="20"/>
  <c r="AP185" i="20"/>
  <c r="AP184" i="20"/>
  <c r="AP183" i="20"/>
  <c r="AP182" i="20"/>
  <c r="AP181" i="20"/>
  <c r="AP180" i="20"/>
  <c r="AP179" i="20"/>
  <c r="AP178" i="20"/>
  <c r="AP177" i="20"/>
  <c r="AP176" i="20"/>
  <c r="AP175" i="20"/>
  <c r="AP174" i="20"/>
  <c r="AP173" i="20"/>
  <c r="AP172" i="20"/>
  <c r="AP171" i="20"/>
  <c r="AP170" i="20"/>
  <c r="AP169" i="20"/>
  <c r="AP168" i="20"/>
  <c r="AP167" i="20"/>
  <c r="AP166" i="20"/>
  <c r="AP165" i="20"/>
  <c r="AP164" i="20"/>
  <c r="AP163" i="20"/>
  <c r="AP162" i="20"/>
  <c r="AP161" i="20"/>
  <c r="AP160" i="20"/>
  <c r="AP159" i="20"/>
  <c r="AP158" i="20"/>
  <c r="AP157" i="20"/>
  <c r="AP156" i="20"/>
  <c r="AP155" i="20"/>
  <c r="AP154" i="20"/>
  <c r="AP153" i="20"/>
  <c r="AP152" i="20"/>
  <c r="AP151" i="20"/>
  <c r="AP150" i="20"/>
  <c r="AP149" i="20"/>
  <c r="AP148" i="20"/>
  <c r="AP147" i="20"/>
  <c r="AP146" i="20"/>
  <c r="AP145" i="20"/>
  <c r="AP144" i="20"/>
  <c r="AP143" i="20"/>
  <c r="AP142" i="20"/>
  <c r="AP141" i="20"/>
  <c r="AP140" i="20"/>
  <c r="AP139" i="20"/>
  <c r="AP138" i="20"/>
  <c r="AP137" i="20"/>
  <c r="AP136" i="20"/>
  <c r="AP135" i="20"/>
  <c r="AP134" i="20"/>
  <c r="AP133" i="20"/>
  <c r="AP132" i="20"/>
  <c r="AP131" i="20"/>
  <c r="AP130" i="20"/>
  <c r="AP129" i="20"/>
  <c r="AP128" i="20"/>
  <c r="AP127" i="20"/>
  <c r="AP126" i="20"/>
  <c r="AP125" i="20"/>
  <c r="AP124" i="20"/>
  <c r="AP123" i="20"/>
  <c r="AP122" i="20"/>
  <c r="AP121" i="20"/>
  <c r="AP120" i="20"/>
  <c r="AP119" i="20"/>
  <c r="AP118" i="20"/>
  <c r="AP117" i="20"/>
  <c r="AP116" i="20"/>
  <c r="AP115" i="20"/>
  <c r="AP114" i="20"/>
  <c r="AP113" i="20"/>
  <c r="AP112" i="20"/>
  <c r="AP111" i="20"/>
  <c r="AP110" i="20"/>
  <c r="AP109" i="20"/>
  <c r="AP108" i="20"/>
  <c r="AP107" i="20"/>
  <c r="AP106" i="20"/>
  <c r="AP105" i="20"/>
  <c r="AP104" i="20"/>
  <c r="AP103" i="20"/>
  <c r="AP102" i="20"/>
  <c r="AP101" i="20"/>
  <c r="AP100" i="20"/>
  <c r="AP99" i="20"/>
  <c r="AP98" i="20"/>
  <c r="AP97" i="20"/>
  <c r="AP96" i="20"/>
  <c r="AP95" i="20"/>
  <c r="AP94" i="20"/>
  <c r="AP93" i="20"/>
  <c r="AP92" i="20"/>
  <c r="AP91" i="20"/>
  <c r="AP90" i="20"/>
  <c r="AP89" i="20"/>
  <c r="AP88" i="20"/>
  <c r="AP87" i="20"/>
  <c r="AP86" i="20"/>
  <c r="AP85" i="20"/>
  <c r="AP84" i="20"/>
  <c r="AP83" i="20"/>
  <c r="AP82" i="20"/>
  <c r="AP81" i="20"/>
  <c r="AP80" i="20"/>
  <c r="AP79" i="20"/>
  <c r="AP78" i="20"/>
  <c r="AP77" i="20"/>
  <c r="AP76" i="20"/>
  <c r="AP75" i="20"/>
  <c r="AP74" i="20"/>
  <c r="AP73" i="20"/>
  <c r="AP72" i="20"/>
  <c r="AP71" i="20"/>
  <c r="AP70" i="20"/>
  <c r="AP69" i="20"/>
  <c r="AP68" i="20"/>
  <c r="AP67" i="20"/>
  <c r="AP66" i="20"/>
  <c r="AP65" i="20"/>
  <c r="AP64" i="20"/>
  <c r="AP63" i="20"/>
  <c r="AP62" i="20"/>
  <c r="AP61" i="20"/>
  <c r="AP60" i="20"/>
  <c r="AP59" i="20"/>
  <c r="AP58" i="20"/>
  <c r="AP57" i="20"/>
  <c r="AP56" i="20"/>
  <c r="AP55" i="20"/>
  <c r="AP54" i="20"/>
  <c r="AP53" i="20"/>
  <c r="AP52" i="20"/>
  <c r="AP51" i="20"/>
  <c r="AP50" i="20"/>
  <c r="AP49" i="20"/>
  <c r="AP48" i="20"/>
  <c r="AP47" i="20"/>
  <c r="AP46" i="20"/>
  <c r="AP45" i="20"/>
  <c r="AP44" i="20"/>
  <c r="AP43" i="20"/>
  <c r="AP42" i="20"/>
  <c r="AP41" i="20"/>
  <c r="AP40" i="20"/>
  <c r="AP39" i="20"/>
  <c r="AP38" i="20"/>
  <c r="AP37" i="20"/>
  <c r="AP36" i="20"/>
  <c r="AP35" i="20"/>
  <c r="AP34" i="20"/>
  <c r="AP33" i="20"/>
  <c r="AP32" i="20"/>
  <c r="AP31" i="20"/>
  <c r="AP30" i="20"/>
  <c r="AP29" i="20"/>
  <c r="AP28" i="20"/>
  <c r="AP27" i="20"/>
  <c r="AP26" i="20"/>
  <c r="AP25" i="20"/>
  <c r="AP24" i="20"/>
  <c r="AP23" i="20"/>
  <c r="AP22" i="20"/>
  <c r="AP21" i="20"/>
  <c r="AP20" i="20"/>
  <c r="AP19" i="20"/>
  <c r="AP18" i="20"/>
  <c r="AP17" i="20"/>
  <c r="AP16" i="20"/>
  <c r="AP15" i="20"/>
  <c r="AP14" i="20"/>
  <c r="AP13" i="20"/>
  <c r="AP12" i="20"/>
  <c r="AP11" i="20"/>
  <c r="AP10" i="20"/>
  <c r="AP9" i="20"/>
  <c r="AP8" i="20"/>
  <c r="AP7" i="20"/>
  <c r="AP6" i="20"/>
  <c r="AP5" i="20"/>
  <c r="AP4" i="20"/>
  <c r="AM384" i="20"/>
  <c r="AM383" i="20"/>
  <c r="AM382" i="20"/>
  <c r="AM381" i="20"/>
  <c r="AM380" i="20"/>
  <c r="AM379" i="20"/>
  <c r="AM378" i="20"/>
  <c r="AM377" i="20"/>
  <c r="AM376" i="20"/>
  <c r="AM375" i="20"/>
  <c r="AM374" i="20"/>
  <c r="AM373" i="20"/>
  <c r="AM372" i="20"/>
  <c r="AM371" i="20"/>
  <c r="AM370" i="20"/>
  <c r="AM369" i="20"/>
  <c r="AM368" i="20"/>
  <c r="AM367" i="20"/>
  <c r="AM366" i="20"/>
  <c r="AM365" i="20"/>
  <c r="AM364" i="20"/>
  <c r="AM363" i="20"/>
  <c r="AM362" i="20"/>
  <c r="AM361" i="20"/>
  <c r="AM360" i="20"/>
  <c r="AM359" i="20"/>
  <c r="AM358" i="20"/>
  <c r="AM357" i="20"/>
  <c r="AM356" i="20"/>
  <c r="AM355" i="20"/>
  <c r="AM354" i="20"/>
  <c r="AM353" i="20"/>
  <c r="AM352" i="20"/>
  <c r="AM351" i="20"/>
  <c r="AM350" i="20"/>
  <c r="AM349" i="20"/>
  <c r="AM348" i="20"/>
  <c r="AM347" i="20"/>
  <c r="AM346" i="20"/>
  <c r="AM345" i="20"/>
  <c r="AM344" i="20"/>
  <c r="AM343" i="20"/>
  <c r="AM342" i="20"/>
  <c r="AM341" i="20"/>
  <c r="AM340" i="20"/>
  <c r="AM339" i="20"/>
  <c r="AM338" i="20"/>
  <c r="AM337" i="20"/>
  <c r="AM336" i="20"/>
  <c r="AM335" i="20"/>
  <c r="AM334" i="20"/>
  <c r="AM333" i="20"/>
  <c r="AM332" i="20"/>
  <c r="AM331" i="20"/>
  <c r="AM330" i="20"/>
  <c r="AM329" i="20"/>
  <c r="AM328" i="20"/>
  <c r="AM327" i="20"/>
  <c r="AM326" i="20"/>
  <c r="AM325" i="20"/>
  <c r="AM324" i="20"/>
  <c r="AM323" i="20"/>
  <c r="AM322" i="20"/>
  <c r="AM321" i="20"/>
  <c r="AM320" i="20"/>
  <c r="AM319" i="20"/>
  <c r="AM318" i="20"/>
  <c r="AM317" i="20"/>
  <c r="AM316" i="20"/>
  <c r="AM315" i="20"/>
  <c r="AM314" i="20"/>
  <c r="AM313" i="20"/>
  <c r="AM312" i="20"/>
  <c r="AM311" i="20"/>
  <c r="AM310" i="20"/>
  <c r="AM309" i="20"/>
  <c r="AM308" i="20"/>
  <c r="AM307" i="20"/>
  <c r="AM306" i="20"/>
  <c r="AM305" i="20"/>
  <c r="AM304" i="20"/>
  <c r="AM303" i="20"/>
  <c r="AM302" i="20"/>
  <c r="AM301" i="20"/>
  <c r="AM300" i="20"/>
  <c r="AM299" i="20"/>
  <c r="AM298" i="20"/>
  <c r="AM297" i="20"/>
  <c r="AM296" i="20"/>
  <c r="AM295" i="20"/>
  <c r="AM294" i="20"/>
  <c r="AM293" i="20"/>
  <c r="AM292" i="20"/>
  <c r="AM291" i="20"/>
  <c r="AM290" i="20"/>
  <c r="AM289" i="20"/>
  <c r="AM288" i="20"/>
  <c r="AM287" i="20"/>
  <c r="AM286" i="20"/>
  <c r="AM285" i="20"/>
  <c r="AM284" i="20"/>
  <c r="AM283" i="20"/>
  <c r="AM282" i="20"/>
  <c r="AM281" i="20"/>
  <c r="AM280" i="20"/>
  <c r="AM279" i="20"/>
  <c r="AM278" i="20"/>
  <c r="AM277" i="20"/>
  <c r="AM276" i="20"/>
  <c r="AM275" i="20"/>
  <c r="AM274" i="20"/>
  <c r="AM273" i="20"/>
  <c r="AM272" i="20"/>
  <c r="AM271" i="20"/>
  <c r="AM270" i="20"/>
  <c r="AM269" i="20"/>
  <c r="AM268" i="20"/>
  <c r="AM267" i="20"/>
  <c r="AM266" i="20"/>
  <c r="AM265" i="20"/>
  <c r="AM264" i="20"/>
  <c r="AM263" i="20"/>
  <c r="AM262" i="20"/>
  <c r="AM261" i="20"/>
  <c r="AM260" i="20"/>
  <c r="AM259" i="20"/>
  <c r="AM258" i="20"/>
  <c r="AM257" i="20"/>
  <c r="AM256" i="20"/>
  <c r="AM255" i="20"/>
  <c r="AM254" i="20"/>
  <c r="AM253" i="20"/>
  <c r="AM252" i="20"/>
  <c r="AM251" i="20"/>
  <c r="AM250" i="20"/>
  <c r="AM249" i="20"/>
  <c r="AM248" i="20"/>
  <c r="AM247" i="20"/>
  <c r="AM246" i="20"/>
  <c r="AM245" i="20"/>
  <c r="AM244" i="20"/>
  <c r="AM243" i="20"/>
  <c r="AM242" i="20"/>
  <c r="AM241" i="20"/>
  <c r="AM240" i="20"/>
  <c r="AM239" i="20"/>
  <c r="AM238" i="20"/>
  <c r="AM237" i="20"/>
  <c r="AM236" i="20"/>
  <c r="AM235" i="20"/>
  <c r="AM234" i="20"/>
  <c r="AM233" i="20"/>
  <c r="AM232" i="20"/>
  <c r="AM231" i="20"/>
  <c r="AM230" i="20"/>
  <c r="AM229" i="20"/>
  <c r="AM228" i="20"/>
  <c r="AM227" i="20"/>
  <c r="AM226" i="20"/>
  <c r="AM225" i="20"/>
  <c r="AM224" i="20"/>
  <c r="AM223" i="20"/>
  <c r="AM222" i="20"/>
  <c r="AM221" i="20"/>
  <c r="AM220" i="20"/>
  <c r="AM219" i="20"/>
  <c r="AM218" i="20"/>
  <c r="AM217" i="20"/>
  <c r="AM216" i="20"/>
  <c r="AM215" i="20"/>
  <c r="AM214" i="20"/>
  <c r="AM213" i="20"/>
  <c r="AM212" i="20"/>
  <c r="AM211" i="20"/>
  <c r="AM210" i="20"/>
  <c r="AM209" i="20"/>
  <c r="AM208" i="20"/>
  <c r="AM207" i="20"/>
  <c r="AM206" i="20"/>
  <c r="AM205" i="20"/>
  <c r="AM204" i="20"/>
  <c r="AM203" i="20"/>
  <c r="AM202" i="20"/>
  <c r="AM201" i="20"/>
  <c r="AM200" i="20"/>
  <c r="AM199" i="20"/>
  <c r="AM198" i="20"/>
  <c r="AM197" i="20"/>
  <c r="AM196" i="20"/>
  <c r="AM195" i="20"/>
  <c r="AM194" i="20"/>
  <c r="AM193" i="20"/>
  <c r="AM192" i="20"/>
  <c r="AM191" i="20"/>
  <c r="AM190" i="20"/>
  <c r="AM189" i="20"/>
  <c r="AM188" i="20"/>
  <c r="AM187" i="20"/>
  <c r="AM186" i="20"/>
  <c r="AM185" i="20"/>
  <c r="AM184" i="20"/>
  <c r="AM183" i="20"/>
  <c r="AM182" i="20"/>
  <c r="AM181" i="20"/>
  <c r="AM180" i="20"/>
  <c r="AM179" i="20"/>
  <c r="AM178" i="20"/>
  <c r="AM177" i="20"/>
  <c r="AM176" i="20"/>
  <c r="AM175" i="20"/>
  <c r="AM174" i="20"/>
  <c r="AM173" i="20"/>
  <c r="AM172" i="20"/>
  <c r="AM171" i="20"/>
  <c r="AM170" i="20"/>
  <c r="AM169" i="20"/>
  <c r="AM168" i="20"/>
  <c r="AM167" i="20"/>
  <c r="AM166" i="20"/>
  <c r="AM165" i="20"/>
  <c r="AM164" i="20"/>
  <c r="AM163" i="20"/>
  <c r="AM162" i="20"/>
  <c r="AM161" i="20"/>
  <c r="AM160" i="20"/>
  <c r="AM159" i="20"/>
  <c r="AM158" i="20"/>
  <c r="AM157" i="20"/>
  <c r="AM156" i="20"/>
  <c r="AM155" i="20"/>
  <c r="AM154" i="20"/>
  <c r="AM153" i="20"/>
  <c r="AM152" i="20"/>
  <c r="AM151" i="20"/>
  <c r="AM150" i="20"/>
  <c r="AM149" i="20"/>
  <c r="AM148" i="20"/>
  <c r="AM147" i="20"/>
  <c r="AM146" i="20"/>
  <c r="AM145" i="20"/>
  <c r="AM144" i="20"/>
  <c r="AM143" i="20"/>
  <c r="AM142" i="20"/>
  <c r="AM141" i="20"/>
  <c r="AM140" i="20"/>
  <c r="AM139" i="20"/>
  <c r="AM138" i="20"/>
  <c r="AM137" i="20"/>
  <c r="AM136" i="20"/>
  <c r="AM135" i="20"/>
  <c r="AM134" i="20"/>
  <c r="AM133" i="20"/>
  <c r="AM132" i="20"/>
  <c r="AM131" i="20"/>
  <c r="AM130" i="20"/>
  <c r="AM129" i="20"/>
  <c r="AM128" i="20"/>
  <c r="AM127" i="20"/>
  <c r="AM126" i="20"/>
  <c r="AM125" i="20"/>
  <c r="AM124" i="20"/>
  <c r="AM123" i="20"/>
  <c r="AM122" i="20"/>
  <c r="AM121" i="20"/>
  <c r="AM120" i="20"/>
  <c r="AM119" i="20"/>
  <c r="AM118" i="20"/>
  <c r="AM117" i="20"/>
  <c r="AM116" i="20"/>
  <c r="AM115" i="20"/>
  <c r="AM114" i="20"/>
  <c r="AM113" i="20"/>
  <c r="AM112" i="20"/>
  <c r="AM111" i="20"/>
  <c r="AM110" i="20"/>
  <c r="AM109" i="20"/>
  <c r="AM108" i="20"/>
  <c r="AM107" i="20"/>
  <c r="AM106" i="20"/>
  <c r="AM105" i="20"/>
  <c r="AM104" i="20"/>
  <c r="AM103" i="20"/>
  <c r="AM102" i="20"/>
  <c r="AM101" i="20"/>
  <c r="AM100" i="20"/>
  <c r="AM99" i="20"/>
  <c r="AM98" i="20"/>
  <c r="AM97" i="20"/>
  <c r="AM96" i="20"/>
  <c r="AM95" i="20"/>
  <c r="AM94" i="20"/>
  <c r="AM93" i="20"/>
  <c r="AM92" i="20"/>
  <c r="AM91" i="20"/>
  <c r="AM90" i="20"/>
  <c r="AM89" i="20"/>
  <c r="AM88" i="20"/>
  <c r="AM87" i="20"/>
  <c r="AM86" i="20"/>
  <c r="AM85" i="20"/>
  <c r="AM84" i="20"/>
  <c r="AM83" i="20"/>
  <c r="AM82" i="20"/>
  <c r="AM81" i="20"/>
  <c r="AM80" i="20"/>
  <c r="AM79" i="20"/>
  <c r="AM78" i="20"/>
  <c r="AM77" i="20"/>
  <c r="AM76" i="20"/>
  <c r="AM75" i="20"/>
  <c r="AM74" i="20"/>
  <c r="AM73" i="20"/>
  <c r="AM72" i="20"/>
  <c r="AM71" i="20"/>
  <c r="AM70" i="20"/>
  <c r="AM69" i="20"/>
  <c r="AM68" i="20"/>
  <c r="AM67" i="20"/>
  <c r="AM66" i="20"/>
  <c r="AM65" i="20"/>
  <c r="AM64" i="20"/>
  <c r="AM63" i="20"/>
  <c r="AM62" i="20"/>
  <c r="AM61" i="20"/>
  <c r="AM60" i="20"/>
  <c r="AM59" i="20"/>
  <c r="AM58" i="20"/>
  <c r="AM57" i="20"/>
  <c r="AM56" i="20"/>
  <c r="AM55" i="20"/>
  <c r="AM54" i="20"/>
  <c r="AM53" i="20"/>
  <c r="AM52" i="20"/>
  <c r="AM51" i="20"/>
  <c r="AM50" i="20"/>
  <c r="AM49" i="20"/>
  <c r="AM48" i="20"/>
  <c r="AM47" i="20"/>
  <c r="AM46" i="20"/>
  <c r="AM45" i="20"/>
  <c r="AM44" i="20"/>
  <c r="AM43" i="20"/>
  <c r="AM42" i="20"/>
  <c r="AM41" i="20"/>
  <c r="AM40" i="20"/>
  <c r="AM39" i="20"/>
  <c r="AM38" i="20"/>
  <c r="AM37" i="20"/>
  <c r="AM36" i="20"/>
  <c r="AM35" i="20"/>
  <c r="AM34" i="20"/>
  <c r="AM33" i="20"/>
  <c r="AM32" i="20"/>
  <c r="AM31" i="20"/>
  <c r="AM30" i="20"/>
  <c r="AM29" i="20"/>
  <c r="AM28" i="20"/>
  <c r="AM27" i="20"/>
  <c r="AM26" i="20"/>
  <c r="AM25" i="20"/>
  <c r="AM24" i="20"/>
  <c r="AM23" i="20"/>
  <c r="AM22" i="20"/>
  <c r="AM21" i="20"/>
  <c r="AM20" i="20"/>
  <c r="AM19" i="20"/>
  <c r="AM18" i="20"/>
  <c r="AM17" i="20"/>
  <c r="AM16" i="20"/>
  <c r="AM15" i="20"/>
  <c r="AM14" i="20"/>
  <c r="AM13" i="20"/>
  <c r="AM12" i="20"/>
  <c r="AM11" i="20"/>
  <c r="AM10" i="20"/>
  <c r="AM9" i="20"/>
  <c r="AM8" i="20"/>
  <c r="AM7" i="20"/>
  <c r="AM6" i="20"/>
  <c r="AM5" i="20"/>
  <c r="AM4" i="20"/>
  <c r="AJ384" i="20"/>
  <c r="AJ383" i="20"/>
  <c r="AJ382" i="20"/>
  <c r="AJ381" i="20"/>
  <c r="AJ380" i="20"/>
  <c r="AJ379" i="20"/>
  <c r="AJ378" i="20"/>
  <c r="AJ377" i="20"/>
  <c r="AJ376" i="20"/>
  <c r="AJ375" i="20"/>
  <c r="AJ374" i="20"/>
  <c r="AJ373" i="20"/>
  <c r="AJ372" i="20"/>
  <c r="AJ371" i="20"/>
  <c r="AJ370" i="20"/>
  <c r="AJ369" i="20"/>
  <c r="AJ368" i="20"/>
  <c r="AJ367" i="20"/>
  <c r="AJ366" i="20"/>
  <c r="AJ365" i="20"/>
  <c r="AJ364" i="20"/>
  <c r="AJ363" i="20"/>
  <c r="AJ362" i="20"/>
  <c r="AJ361" i="20"/>
  <c r="AJ360" i="20"/>
  <c r="AJ359" i="20"/>
  <c r="AJ358" i="20"/>
  <c r="AJ357" i="20"/>
  <c r="AJ356" i="20"/>
  <c r="AJ355" i="20"/>
  <c r="AJ354" i="20"/>
  <c r="AJ353" i="20"/>
  <c r="AJ352" i="20"/>
  <c r="AJ351" i="20"/>
  <c r="AJ350" i="20"/>
  <c r="AJ349" i="20"/>
  <c r="AJ348" i="20"/>
  <c r="AJ347" i="20"/>
  <c r="AJ346" i="20"/>
  <c r="AJ345" i="20"/>
  <c r="AJ344" i="20"/>
  <c r="AJ343" i="20"/>
  <c r="AJ342" i="20"/>
  <c r="AJ341" i="20"/>
  <c r="AJ340" i="20"/>
  <c r="AJ339" i="20"/>
  <c r="AJ338" i="20"/>
  <c r="AJ337" i="20"/>
  <c r="AJ336" i="20"/>
  <c r="AJ335" i="20"/>
  <c r="AJ334" i="20"/>
  <c r="AJ333" i="20"/>
  <c r="AJ332" i="20"/>
  <c r="AJ331" i="20"/>
  <c r="AJ330" i="20"/>
  <c r="AJ329" i="20"/>
  <c r="AJ328" i="20"/>
  <c r="AJ327" i="20"/>
  <c r="AJ326" i="20"/>
  <c r="AJ325" i="20"/>
  <c r="AJ324" i="20"/>
  <c r="AJ323" i="20"/>
  <c r="AJ322" i="20"/>
  <c r="AJ321" i="20"/>
  <c r="AJ320" i="20"/>
  <c r="AJ319" i="20"/>
  <c r="AJ318" i="20"/>
  <c r="AJ317" i="20"/>
  <c r="AJ316" i="20"/>
  <c r="AJ315" i="20"/>
  <c r="AJ314" i="20"/>
  <c r="AJ313" i="20"/>
  <c r="AJ312" i="20"/>
  <c r="AJ311" i="20"/>
  <c r="AJ310" i="20"/>
  <c r="AJ309" i="20"/>
  <c r="AJ308" i="20"/>
  <c r="AJ307" i="20"/>
  <c r="AJ306" i="20"/>
  <c r="AJ305" i="20"/>
  <c r="AJ304" i="20"/>
  <c r="AJ303" i="20"/>
  <c r="AJ302" i="20"/>
  <c r="AJ301" i="20"/>
  <c r="AJ300" i="20"/>
  <c r="AJ299" i="20"/>
  <c r="AJ298" i="20"/>
  <c r="AJ297" i="20"/>
  <c r="AJ296" i="20"/>
  <c r="AJ295" i="20"/>
  <c r="AJ294" i="20"/>
  <c r="AJ293" i="20"/>
  <c r="AJ292" i="20"/>
  <c r="AJ291" i="20"/>
  <c r="AJ290" i="20"/>
  <c r="AJ289" i="20"/>
  <c r="AJ288" i="20"/>
  <c r="AJ287" i="20"/>
  <c r="AJ286" i="20"/>
  <c r="AJ285" i="20"/>
  <c r="AJ284" i="20"/>
  <c r="AJ283" i="20"/>
  <c r="AJ282" i="20"/>
  <c r="AJ281" i="20"/>
  <c r="AJ280" i="20"/>
  <c r="AJ279" i="20"/>
  <c r="AJ278" i="20"/>
  <c r="AJ277" i="20"/>
  <c r="AJ276" i="20"/>
  <c r="AJ275" i="20"/>
  <c r="AJ274" i="20"/>
  <c r="AJ273" i="20"/>
  <c r="AJ272" i="20"/>
  <c r="AJ271" i="20"/>
  <c r="AJ270" i="20"/>
  <c r="AJ269" i="20"/>
  <c r="AJ268" i="20"/>
  <c r="AJ267" i="20"/>
  <c r="AJ266" i="20"/>
  <c r="AJ265" i="20"/>
  <c r="AJ264" i="20"/>
  <c r="AJ263" i="20"/>
  <c r="AJ262" i="20"/>
  <c r="AJ261" i="20"/>
  <c r="AJ260" i="20"/>
  <c r="AJ259" i="20"/>
  <c r="AJ258" i="20"/>
  <c r="AJ257" i="20"/>
  <c r="AJ256" i="20"/>
  <c r="AJ255" i="20"/>
  <c r="AJ254" i="20"/>
  <c r="AJ253" i="20"/>
  <c r="AJ252" i="20"/>
  <c r="AJ251" i="20"/>
  <c r="AJ250" i="20"/>
  <c r="AJ249" i="20"/>
  <c r="AJ248" i="20"/>
  <c r="AJ247" i="20"/>
  <c r="AJ246" i="20"/>
  <c r="AJ245" i="20"/>
  <c r="AJ244" i="20"/>
  <c r="AJ243" i="20"/>
  <c r="AJ242" i="20"/>
  <c r="AJ241" i="20"/>
  <c r="AJ240" i="20"/>
  <c r="AJ239" i="20"/>
  <c r="AJ238" i="20"/>
  <c r="AJ237" i="20"/>
  <c r="AJ236" i="20"/>
  <c r="AJ235" i="20"/>
  <c r="AJ234" i="20"/>
  <c r="AJ233" i="20"/>
  <c r="AJ232" i="20"/>
  <c r="AJ231" i="20"/>
  <c r="AJ230" i="20"/>
  <c r="AJ229" i="20"/>
  <c r="AJ228" i="20"/>
  <c r="AJ227" i="20"/>
  <c r="AJ226" i="20"/>
  <c r="AJ225" i="20"/>
  <c r="AJ224" i="20"/>
  <c r="AJ223" i="20"/>
  <c r="AJ222" i="20"/>
  <c r="AJ221" i="20"/>
  <c r="AJ220" i="20"/>
  <c r="AJ219" i="20"/>
  <c r="AJ218" i="20"/>
  <c r="AJ217" i="20"/>
  <c r="AJ216" i="20"/>
  <c r="AJ215" i="20"/>
  <c r="AJ214" i="20"/>
  <c r="AJ213" i="20"/>
  <c r="AJ212" i="20"/>
  <c r="AJ211" i="20"/>
  <c r="AJ210" i="20"/>
  <c r="AJ209" i="20"/>
  <c r="AJ208" i="20"/>
  <c r="AJ207" i="20"/>
  <c r="AJ206" i="20"/>
  <c r="AJ205" i="20"/>
  <c r="AJ204" i="20"/>
  <c r="AJ203" i="20"/>
  <c r="AJ202" i="20"/>
  <c r="AJ201" i="20"/>
  <c r="AJ200" i="20"/>
  <c r="AJ199" i="20"/>
  <c r="AJ198" i="20"/>
  <c r="AJ197" i="20"/>
  <c r="AJ196" i="20"/>
  <c r="AJ195" i="20"/>
  <c r="AJ194" i="20"/>
  <c r="AJ193" i="20"/>
  <c r="AJ192" i="20"/>
  <c r="AJ191" i="20"/>
  <c r="AJ190" i="20"/>
  <c r="AJ189" i="20"/>
  <c r="AJ188" i="20"/>
  <c r="AJ187" i="20"/>
  <c r="AJ186" i="20"/>
  <c r="AJ185" i="20"/>
  <c r="AJ184" i="20"/>
  <c r="AJ183" i="20"/>
  <c r="AJ182" i="20"/>
  <c r="AJ181" i="20"/>
  <c r="AJ180" i="20"/>
  <c r="AJ179" i="20"/>
  <c r="AJ178" i="20"/>
  <c r="AJ177" i="20"/>
  <c r="AJ176" i="20"/>
  <c r="AJ175" i="20"/>
  <c r="AJ174" i="20"/>
  <c r="AJ173" i="20"/>
  <c r="AJ172" i="20"/>
  <c r="AJ171" i="20"/>
  <c r="AJ170" i="20"/>
  <c r="AJ169" i="20"/>
  <c r="AJ168" i="20"/>
  <c r="AJ167" i="20"/>
  <c r="AJ166" i="20"/>
  <c r="AJ165" i="20"/>
  <c r="AJ164" i="20"/>
  <c r="AJ163" i="20"/>
  <c r="AJ162" i="20"/>
  <c r="AJ161" i="20"/>
  <c r="AJ160" i="20"/>
  <c r="AJ159" i="20"/>
  <c r="AJ158" i="20"/>
  <c r="AJ157" i="20"/>
  <c r="AJ156" i="20"/>
  <c r="AJ155" i="20"/>
  <c r="AJ154" i="20"/>
  <c r="AJ153" i="20"/>
  <c r="AJ152" i="20"/>
  <c r="AJ151" i="20"/>
  <c r="AJ150" i="20"/>
  <c r="AJ149" i="20"/>
  <c r="AJ148" i="20"/>
  <c r="AJ147" i="20"/>
  <c r="AJ146" i="20"/>
  <c r="AJ145" i="20"/>
  <c r="AJ144" i="20"/>
  <c r="AJ143" i="20"/>
  <c r="AJ142" i="20"/>
  <c r="AJ141" i="20"/>
  <c r="AJ140" i="20"/>
  <c r="AJ139" i="20"/>
  <c r="AJ138" i="20"/>
  <c r="AJ137" i="20"/>
  <c r="AJ136" i="20"/>
  <c r="AJ135" i="20"/>
  <c r="AJ134" i="20"/>
  <c r="AJ133" i="20"/>
  <c r="AJ132" i="20"/>
  <c r="AJ131" i="20"/>
  <c r="AJ130" i="20"/>
  <c r="AJ129" i="20"/>
  <c r="AJ128" i="20"/>
  <c r="AJ127" i="20"/>
  <c r="AJ126" i="20"/>
  <c r="AJ125" i="20"/>
  <c r="AJ124" i="20"/>
  <c r="AJ123" i="20"/>
  <c r="AJ122" i="20"/>
  <c r="AJ121" i="20"/>
  <c r="AJ120" i="20"/>
  <c r="AJ119" i="20"/>
  <c r="AJ118" i="20"/>
  <c r="AJ117" i="20"/>
  <c r="AJ116" i="20"/>
  <c r="AJ115" i="20"/>
  <c r="AJ114" i="20"/>
  <c r="AJ113" i="20"/>
  <c r="AJ112" i="20"/>
  <c r="AJ111" i="20"/>
  <c r="AJ110" i="20"/>
  <c r="AJ109" i="20"/>
  <c r="AJ108" i="20"/>
  <c r="AJ107" i="20"/>
  <c r="AJ106" i="20"/>
  <c r="AJ105" i="20"/>
  <c r="AJ104" i="20"/>
  <c r="AJ103" i="20"/>
  <c r="AJ102" i="20"/>
  <c r="AJ101" i="20"/>
  <c r="AJ100" i="20"/>
  <c r="AJ99" i="20"/>
  <c r="AJ98" i="20"/>
  <c r="AJ97" i="20"/>
  <c r="AJ96" i="20"/>
  <c r="AJ95" i="20"/>
  <c r="AJ94" i="20"/>
  <c r="AJ93" i="20"/>
  <c r="AJ92" i="20"/>
  <c r="AJ91" i="20"/>
  <c r="AJ90" i="20"/>
  <c r="AJ89" i="20"/>
  <c r="AJ88" i="20"/>
  <c r="AJ87" i="20"/>
  <c r="AJ86" i="20"/>
  <c r="AJ85" i="20"/>
  <c r="AJ84" i="20"/>
  <c r="AJ83" i="20"/>
  <c r="AJ82" i="20"/>
  <c r="AJ81" i="20"/>
  <c r="AJ80" i="20"/>
  <c r="AJ79" i="20"/>
  <c r="AJ78" i="20"/>
  <c r="AJ77" i="20"/>
  <c r="AJ76" i="20"/>
  <c r="AJ75" i="20"/>
  <c r="AJ74" i="20"/>
  <c r="AJ73" i="20"/>
  <c r="AJ72" i="20"/>
  <c r="AJ71" i="20"/>
  <c r="AJ70" i="20"/>
  <c r="AJ69" i="20"/>
  <c r="AJ68" i="20"/>
  <c r="AJ67" i="20"/>
  <c r="AJ66" i="20"/>
  <c r="AJ65" i="20"/>
  <c r="AJ64" i="20"/>
  <c r="AJ63" i="20"/>
  <c r="AJ62" i="20"/>
  <c r="AJ61" i="20"/>
  <c r="AJ60" i="20"/>
  <c r="AJ59" i="20"/>
  <c r="AJ58" i="20"/>
  <c r="AJ57" i="20"/>
  <c r="AJ56" i="20"/>
  <c r="AJ55" i="20"/>
  <c r="AJ54" i="20"/>
  <c r="AJ53" i="20"/>
  <c r="AJ52" i="20"/>
  <c r="AJ51" i="20"/>
  <c r="AJ50" i="20"/>
  <c r="AJ49" i="20"/>
  <c r="AJ48" i="20"/>
  <c r="AJ47" i="20"/>
  <c r="AJ46" i="20"/>
  <c r="AJ45" i="20"/>
  <c r="AJ44" i="20"/>
  <c r="AJ43" i="20"/>
  <c r="AJ42" i="20"/>
  <c r="AJ41" i="20"/>
  <c r="AJ40" i="20"/>
  <c r="AJ39" i="20"/>
  <c r="AJ38" i="20"/>
  <c r="AJ37" i="20"/>
  <c r="AJ36" i="20"/>
  <c r="AJ35" i="20"/>
  <c r="AJ34" i="20"/>
  <c r="AJ33" i="20"/>
  <c r="AJ32" i="20"/>
  <c r="AJ31" i="20"/>
  <c r="AJ30" i="20"/>
  <c r="AJ29" i="20"/>
  <c r="AJ28" i="20"/>
  <c r="AJ27" i="20"/>
  <c r="AJ26" i="20"/>
  <c r="AJ25" i="20"/>
  <c r="AJ24" i="20"/>
  <c r="AJ23" i="20"/>
  <c r="AJ22" i="20"/>
  <c r="AJ21" i="20"/>
  <c r="AJ20" i="20"/>
  <c r="AJ19" i="20"/>
  <c r="AJ18" i="20"/>
  <c r="AJ17" i="20"/>
  <c r="AJ16" i="20"/>
  <c r="AJ15" i="20"/>
  <c r="AJ14" i="20"/>
  <c r="AJ13" i="20"/>
  <c r="AJ12" i="20"/>
  <c r="AJ11" i="20"/>
  <c r="AJ10" i="20"/>
  <c r="AJ9" i="20"/>
  <c r="AJ8" i="20"/>
  <c r="AJ7" i="20"/>
  <c r="AJ6" i="20"/>
  <c r="AJ5" i="20"/>
  <c r="AJ4" i="20"/>
  <c r="AG384" i="20"/>
  <c r="AG383" i="20"/>
  <c r="AG382" i="20"/>
  <c r="AG381" i="20"/>
  <c r="AG380" i="20"/>
  <c r="AG379" i="20"/>
  <c r="AG378" i="20"/>
  <c r="AG377" i="20"/>
  <c r="AG376" i="20"/>
  <c r="AG375" i="20"/>
  <c r="AG374" i="20"/>
  <c r="AG373" i="20"/>
  <c r="AG372" i="20"/>
  <c r="AG371" i="20"/>
  <c r="AG370" i="20"/>
  <c r="AG369" i="20"/>
  <c r="AG368" i="20"/>
  <c r="AG367" i="20"/>
  <c r="AG366" i="20"/>
  <c r="AG365" i="20"/>
  <c r="AG364" i="20"/>
  <c r="AG363" i="20"/>
  <c r="AG362" i="20"/>
  <c r="AG361" i="20"/>
  <c r="AG360" i="20"/>
  <c r="AG359" i="20"/>
  <c r="AG358" i="20"/>
  <c r="AG357" i="20"/>
  <c r="AG356" i="20"/>
  <c r="AG355" i="20"/>
  <c r="AG354" i="20"/>
  <c r="AG353" i="20"/>
  <c r="AG352" i="20"/>
  <c r="AG351" i="20"/>
  <c r="AG350" i="20"/>
  <c r="AG349" i="20"/>
  <c r="AG348" i="20"/>
  <c r="AG347" i="20"/>
  <c r="AG346" i="20"/>
  <c r="AG345" i="20"/>
  <c r="AG344" i="20"/>
  <c r="AG343" i="20"/>
  <c r="AG342" i="20"/>
  <c r="AG341" i="20"/>
  <c r="AG340" i="20"/>
  <c r="AG339" i="20"/>
  <c r="AG338" i="20"/>
  <c r="AG337" i="20"/>
  <c r="AG336" i="20"/>
  <c r="AG335" i="20"/>
  <c r="AG334" i="20"/>
  <c r="AG333" i="20"/>
  <c r="AG332" i="20"/>
  <c r="AG331" i="20"/>
  <c r="AG330" i="20"/>
  <c r="AG329" i="20"/>
  <c r="AG328" i="20"/>
  <c r="AG327" i="20"/>
  <c r="AG326" i="20"/>
  <c r="AG325" i="20"/>
  <c r="AG324" i="20"/>
  <c r="AG323" i="20"/>
  <c r="AG322" i="20"/>
  <c r="AG321" i="20"/>
  <c r="AG320" i="20"/>
  <c r="AG319" i="20"/>
  <c r="AG318" i="20"/>
  <c r="AG317" i="20"/>
  <c r="AG316" i="20"/>
  <c r="AG315" i="20"/>
  <c r="AG314" i="20"/>
  <c r="AG313" i="20"/>
  <c r="AG312" i="20"/>
  <c r="AG311" i="20"/>
  <c r="AG310" i="20"/>
  <c r="AG309" i="20"/>
  <c r="AG308" i="20"/>
  <c r="AG307" i="20"/>
  <c r="AG306" i="20"/>
  <c r="AG305" i="20"/>
  <c r="AG304" i="20"/>
  <c r="AG303" i="20"/>
  <c r="AG302" i="20"/>
  <c r="AG301" i="20"/>
  <c r="AG300" i="20"/>
  <c r="AG299" i="20"/>
  <c r="AG298" i="20"/>
  <c r="AG297" i="20"/>
  <c r="AG296" i="20"/>
  <c r="AG295" i="20"/>
  <c r="AG294" i="20"/>
  <c r="AG293" i="20"/>
  <c r="AG292" i="20"/>
  <c r="AG291" i="20"/>
  <c r="AG290" i="20"/>
  <c r="AG289" i="20"/>
  <c r="AG288" i="20"/>
  <c r="AG287" i="20"/>
  <c r="AG286" i="20"/>
  <c r="AG285" i="20"/>
  <c r="AG284" i="20"/>
  <c r="AG283" i="20"/>
  <c r="AG282" i="20"/>
  <c r="AG281" i="20"/>
  <c r="AG280" i="20"/>
  <c r="AG279" i="20"/>
  <c r="AG278" i="20"/>
  <c r="AG277" i="20"/>
  <c r="AG276" i="20"/>
  <c r="AG275" i="20"/>
  <c r="AG274" i="20"/>
  <c r="AG273" i="20"/>
  <c r="AG272" i="20"/>
  <c r="AG271" i="20"/>
  <c r="AG270" i="20"/>
  <c r="AG269" i="20"/>
  <c r="AG268" i="20"/>
  <c r="AG267" i="20"/>
  <c r="AG266" i="20"/>
  <c r="AG265" i="20"/>
  <c r="AG264" i="20"/>
  <c r="AG263" i="20"/>
  <c r="AG262" i="20"/>
  <c r="AG261" i="20"/>
  <c r="AG260" i="20"/>
  <c r="AG259" i="20"/>
  <c r="AG258" i="20"/>
  <c r="AG257" i="20"/>
  <c r="AG256" i="20"/>
  <c r="AG255" i="20"/>
  <c r="AG254" i="20"/>
  <c r="AG253" i="20"/>
  <c r="AG252" i="20"/>
  <c r="AG251" i="20"/>
  <c r="AG250" i="20"/>
  <c r="AG249" i="20"/>
  <c r="AG248" i="20"/>
  <c r="AG247" i="20"/>
  <c r="AG246" i="20"/>
  <c r="AG245" i="20"/>
  <c r="AG244" i="20"/>
  <c r="AG243" i="20"/>
  <c r="AG242" i="20"/>
  <c r="AG241" i="20"/>
  <c r="AG240" i="20"/>
  <c r="AG239" i="20"/>
  <c r="AG238" i="20"/>
  <c r="AG237" i="20"/>
  <c r="AG236" i="20"/>
  <c r="AG235" i="20"/>
  <c r="AG234" i="20"/>
  <c r="AG233" i="20"/>
  <c r="AG232" i="20"/>
  <c r="AG231" i="20"/>
  <c r="AG230" i="20"/>
  <c r="AG229" i="20"/>
  <c r="AG228" i="20"/>
  <c r="AG227" i="20"/>
  <c r="AG226" i="20"/>
  <c r="AG225" i="20"/>
  <c r="AG224" i="20"/>
  <c r="AG223" i="20"/>
  <c r="AG222" i="20"/>
  <c r="AG221" i="20"/>
  <c r="AG220" i="20"/>
  <c r="AG219" i="20"/>
  <c r="AG218" i="20"/>
  <c r="AG217" i="20"/>
  <c r="AG216" i="20"/>
  <c r="AG215" i="20"/>
  <c r="AG214" i="20"/>
  <c r="AG213" i="20"/>
  <c r="AG212" i="20"/>
  <c r="AG211" i="20"/>
  <c r="AG210" i="20"/>
  <c r="AG209" i="20"/>
  <c r="AG208" i="20"/>
  <c r="AG207" i="20"/>
  <c r="AG206" i="20"/>
  <c r="AG205" i="20"/>
  <c r="AG204" i="20"/>
  <c r="AG203" i="20"/>
  <c r="AG202" i="20"/>
  <c r="AG201" i="20"/>
  <c r="AG200" i="20"/>
  <c r="AG199" i="20"/>
  <c r="AG198" i="20"/>
  <c r="AG197" i="20"/>
  <c r="AG196" i="20"/>
  <c r="AG195" i="20"/>
  <c r="AG194" i="20"/>
  <c r="AG193" i="20"/>
  <c r="AG192" i="20"/>
  <c r="AG191" i="20"/>
  <c r="AG190" i="20"/>
  <c r="AG189" i="20"/>
  <c r="AG188" i="20"/>
  <c r="AG187" i="20"/>
  <c r="AG186" i="20"/>
  <c r="AG185" i="20"/>
  <c r="AG184" i="20"/>
  <c r="AG183" i="20"/>
  <c r="AG182" i="20"/>
  <c r="AG181" i="20"/>
  <c r="AG180" i="20"/>
  <c r="AG179" i="20"/>
  <c r="AG178" i="20"/>
  <c r="AG177" i="20"/>
  <c r="AG176" i="20"/>
  <c r="AG175" i="20"/>
  <c r="AG174" i="20"/>
  <c r="AG173" i="20"/>
  <c r="AG172" i="20"/>
  <c r="AG171" i="20"/>
  <c r="AG170" i="20"/>
  <c r="AG169" i="20"/>
  <c r="AG168" i="20"/>
  <c r="AG167" i="20"/>
  <c r="AG166" i="20"/>
  <c r="AG165" i="20"/>
  <c r="AG164" i="20"/>
  <c r="AG163" i="20"/>
  <c r="AG162" i="20"/>
  <c r="AG161" i="20"/>
  <c r="AG160" i="20"/>
  <c r="AG159" i="20"/>
  <c r="AG158" i="20"/>
  <c r="AG157" i="20"/>
  <c r="AG156" i="20"/>
  <c r="AG155" i="20"/>
  <c r="AG154" i="20"/>
  <c r="AG153" i="20"/>
  <c r="AG152" i="20"/>
  <c r="AG151" i="20"/>
  <c r="AG150" i="20"/>
  <c r="AG149" i="20"/>
  <c r="AG148" i="20"/>
  <c r="AG147" i="20"/>
  <c r="AG146" i="20"/>
  <c r="AG145" i="20"/>
  <c r="AG144" i="20"/>
  <c r="AG143" i="20"/>
  <c r="AG142" i="20"/>
  <c r="AG141" i="20"/>
  <c r="AG140" i="20"/>
  <c r="AG139" i="20"/>
  <c r="AG138" i="20"/>
  <c r="AG137" i="20"/>
  <c r="AG136" i="20"/>
  <c r="AG135" i="20"/>
  <c r="AG134" i="20"/>
  <c r="AG133" i="20"/>
  <c r="AG132" i="20"/>
  <c r="AG131" i="20"/>
  <c r="AG130" i="20"/>
  <c r="AG129" i="20"/>
  <c r="AG128" i="20"/>
  <c r="AG127" i="20"/>
  <c r="AG126" i="20"/>
  <c r="AG125" i="20"/>
  <c r="AG124" i="20"/>
  <c r="AG123" i="20"/>
  <c r="AG122" i="20"/>
  <c r="AG121" i="20"/>
  <c r="AG120" i="20"/>
  <c r="AG119" i="20"/>
  <c r="AG118" i="20"/>
  <c r="AG117" i="20"/>
  <c r="AG116" i="20"/>
  <c r="AG115" i="20"/>
  <c r="AG114" i="20"/>
  <c r="AG113" i="20"/>
  <c r="AG112" i="20"/>
  <c r="AG111" i="20"/>
  <c r="AG110" i="20"/>
  <c r="AG109" i="20"/>
  <c r="AG108" i="20"/>
  <c r="AG107" i="20"/>
  <c r="AG106" i="20"/>
  <c r="AG105" i="20"/>
  <c r="AG104" i="20"/>
  <c r="AG103" i="20"/>
  <c r="AG102" i="20"/>
  <c r="AG101" i="20"/>
  <c r="AG100" i="20"/>
  <c r="AG99" i="20"/>
  <c r="AG98" i="20"/>
  <c r="AG97" i="20"/>
  <c r="AG96" i="20"/>
  <c r="AG95" i="20"/>
  <c r="AG94" i="20"/>
  <c r="AG93" i="20"/>
  <c r="AG92" i="20"/>
  <c r="AG91" i="20"/>
  <c r="AG90" i="20"/>
  <c r="AG89" i="20"/>
  <c r="AG88" i="20"/>
  <c r="AG87" i="20"/>
  <c r="AG86" i="20"/>
  <c r="AG85" i="20"/>
  <c r="AG84" i="20"/>
  <c r="AG83" i="20"/>
  <c r="AG82" i="20"/>
  <c r="AG81" i="20"/>
  <c r="AG80" i="20"/>
  <c r="AG79" i="20"/>
  <c r="AG78" i="20"/>
  <c r="AG77" i="20"/>
  <c r="AG76" i="20"/>
  <c r="AG75" i="20"/>
  <c r="AG74" i="20"/>
  <c r="AG73" i="20"/>
  <c r="AG72" i="20"/>
  <c r="AG71" i="20"/>
  <c r="AG70" i="20"/>
  <c r="AG69" i="20"/>
  <c r="AG68" i="20"/>
  <c r="AG67" i="20"/>
  <c r="AG66" i="20"/>
  <c r="AG65" i="20"/>
  <c r="AG64" i="20"/>
  <c r="AG63" i="20"/>
  <c r="AG62" i="20"/>
  <c r="AG61" i="20"/>
  <c r="AG60" i="20"/>
  <c r="AG59" i="20"/>
  <c r="AG58" i="20"/>
  <c r="AG57" i="20"/>
  <c r="AG56" i="20"/>
  <c r="AG55" i="20"/>
  <c r="AG54" i="20"/>
  <c r="AG53" i="20"/>
  <c r="AG52" i="20"/>
  <c r="AG51" i="20"/>
  <c r="AG50" i="20"/>
  <c r="AG49" i="20"/>
  <c r="AG48" i="20"/>
  <c r="AG47" i="20"/>
  <c r="AG46" i="20"/>
  <c r="AG45" i="20"/>
  <c r="AG44" i="20"/>
  <c r="AG43" i="20"/>
  <c r="AG42" i="20"/>
  <c r="AG41" i="20"/>
  <c r="AG40" i="20"/>
  <c r="AG39" i="20"/>
  <c r="AG38" i="20"/>
  <c r="AG37" i="20"/>
  <c r="AG36" i="20"/>
  <c r="AG35" i="20"/>
  <c r="AG34" i="20"/>
  <c r="AG33" i="20"/>
  <c r="AG32" i="20"/>
  <c r="AG31" i="20"/>
  <c r="AG30" i="20"/>
  <c r="AG29" i="20"/>
  <c r="AG28" i="20"/>
  <c r="AG27" i="20"/>
  <c r="AG26" i="20"/>
  <c r="AG25" i="20"/>
  <c r="AG24" i="20"/>
  <c r="AG23" i="20"/>
  <c r="AG22" i="20"/>
  <c r="AG21" i="20"/>
  <c r="AG20" i="20"/>
  <c r="AG19" i="20"/>
  <c r="AG18" i="20"/>
  <c r="AG17" i="20"/>
  <c r="AG16" i="20"/>
  <c r="AG15" i="20"/>
  <c r="AG14" i="20"/>
  <c r="AG13" i="20"/>
  <c r="AG12" i="20"/>
  <c r="AG11" i="20"/>
  <c r="AG10" i="20"/>
  <c r="AG9" i="20"/>
  <c r="AG8" i="20"/>
  <c r="AG7" i="20"/>
  <c r="AG6" i="20"/>
  <c r="AG5" i="20"/>
  <c r="AG4" i="20"/>
  <c r="AD384" i="20"/>
  <c r="AD383" i="20"/>
  <c r="AD382" i="20"/>
  <c r="AD381" i="20"/>
  <c r="AD380" i="20"/>
  <c r="AD379" i="20"/>
  <c r="AD378" i="20"/>
  <c r="AD377" i="20"/>
  <c r="AD376" i="20"/>
  <c r="AD375" i="20"/>
  <c r="AD374" i="20"/>
  <c r="AD373" i="20"/>
  <c r="AD372" i="20"/>
  <c r="AD371" i="20"/>
  <c r="AD370" i="20"/>
  <c r="AD369" i="20"/>
  <c r="AD368" i="20"/>
  <c r="AD367" i="20"/>
  <c r="AD366" i="20"/>
  <c r="AD365" i="20"/>
  <c r="AD364" i="20"/>
  <c r="AD363" i="20"/>
  <c r="AD362" i="20"/>
  <c r="AD361" i="20"/>
  <c r="AD360" i="20"/>
  <c r="AD359" i="20"/>
  <c r="AD358" i="20"/>
  <c r="AD357" i="20"/>
  <c r="AD356" i="20"/>
  <c r="AD355" i="20"/>
  <c r="AD354" i="20"/>
  <c r="AD353" i="20"/>
  <c r="AD352" i="20"/>
  <c r="AD351" i="20"/>
  <c r="AD350" i="20"/>
  <c r="AD349" i="20"/>
  <c r="AD348" i="20"/>
  <c r="AD347" i="20"/>
  <c r="AD346" i="20"/>
  <c r="AD345" i="20"/>
  <c r="AD344" i="20"/>
  <c r="AD343" i="20"/>
  <c r="AD342" i="20"/>
  <c r="AD341" i="20"/>
  <c r="AD340" i="20"/>
  <c r="AD339" i="20"/>
  <c r="AD338" i="20"/>
  <c r="AD337" i="20"/>
  <c r="AD336" i="20"/>
  <c r="AD335" i="20"/>
  <c r="AD334" i="20"/>
  <c r="AD333" i="20"/>
  <c r="AD332" i="20"/>
  <c r="AD331" i="20"/>
  <c r="AD330" i="20"/>
  <c r="AD329" i="20"/>
  <c r="AD328" i="20"/>
  <c r="AD327" i="20"/>
  <c r="AD326" i="20"/>
  <c r="AD325" i="20"/>
  <c r="AD324" i="20"/>
  <c r="AD323" i="20"/>
  <c r="AD322" i="20"/>
  <c r="AD321" i="20"/>
  <c r="AD320" i="20"/>
  <c r="AD319" i="20"/>
  <c r="AD318" i="20"/>
  <c r="AD317" i="20"/>
  <c r="AD316" i="20"/>
  <c r="AD315" i="20"/>
  <c r="AD314" i="20"/>
  <c r="AD313" i="20"/>
  <c r="AD312" i="20"/>
  <c r="AD311" i="20"/>
  <c r="AD310" i="20"/>
  <c r="AD309" i="20"/>
  <c r="AD308" i="20"/>
  <c r="AD307" i="20"/>
  <c r="AD306" i="20"/>
  <c r="AD305" i="20"/>
  <c r="AD304" i="20"/>
  <c r="AD303" i="20"/>
  <c r="AD302" i="20"/>
  <c r="AD301" i="20"/>
  <c r="AD300" i="20"/>
  <c r="AD299" i="20"/>
  <c r="AD298" i="20"/>
  <c r="AD297" i="20"/>
  <c r="AD296" i="20"/>
  <c r="AD295" i="20"/>
  <c r="AD294" i="20"/>
  <c r="AD293" i="20"/>
  <c r="AD292" i="20"/>
  <c r="AD291" i="20"/>
  <c r="AD290" i="20"/>
  <c r="AD289" i="20"/>
  <c r="AD288" i="20"/>
  <c r="AD287" i="20"/>
  <c r="AD286" i="20"/>
  <c r="AD285" i="20"/>
  <c r="AD284" i="20"/>
  <c r="AD283" i="20"/>
  <c r="AD282" i="20"/>
  <c r="AD281" i="20"/>
  <c r="AD280" i="20"/>
  <c r="AD279" i="20"/>
  <c r="AD278" i="20"/>
  <c r="AD277" i="20"/>
  <c r="AD276" i="20"/>
  <c r="AD275" i="20"/>
  <c r="AD274" i="20"/>
  <c r="AD273" i="20"/>
  <c r="AD272" i="20"/>
  <c r="AD271" i="20"/>
  <c r="AD270" i="20"/>
  <c r="AD269" i="20"/>
  <c r="AD268" i="20"/>
  <c r="AD267" i="20"/>
  <c r="AD266" i="20"/>
  <c r="AD265" i="20"/>
  <c r="AD264" i="20"/>
  <c r="AD263" i="20"/>
  <c r="AD262" i="20"/>
  <c r="AD261" i="20"/>
  <c r="AD260" i="20"/>
  <c r="AD259" i="20"/>
  <c r="AD258" i="20"/>
  <c r="AD257" i="20"/>
  <c r="AD256" i="20"/>
  <c r="AD255" i="20"/>
  <c r="AD254" i="20"/>
  <c r="AD253" i="20"/>
  <c r="AD252" i="20"/>
  <c r="AD251" i="20"/>
  <c r="AD250" i="20"/>
  <c r="AD249" i="20"/>
  <c r="AD248" i="20"/>
  <c r="AD247" i="20"/>
  <c r="AD246" i="20"/>
  <c r="AD245" i="20"/>
  <c r="AD244" i="20"/>
  <c r="AD243" i="20"/>
  <c r="AD242" i="20"/>
  <c r="AD241" i="20"/>
  <c r="AD240" i="20"/>
  <c r="AD239" i="20"/>
  <c r="AD238" i="20"/>
  <c r="AD237" i="20"/>
  <c r="AD236" i="20"/>
  <c r="AD235" i="20"/>
  <c r="AD234" i="20"/>
  <c r="AD233" i="20"/>
  <c r="AD232" i="20"/>
  <c r="AD231" i="20"/>
  <c r="AD230" i="20"/>
  <c r="AD229" i="20"/>
  <c r="AD228" i="20"/>
  <c r="AD227" i="20"/>
  <c r="AD226" i="20"/>
  <c r="AD225" i="20"/>
  <c r="AD224" i="20"/>
  <c r="AD223" i="20"/>
  <c r="AD222" i="20"/>
  <c r="AD221" i="20"/>
  <c r="AD220" i="20"/>
  <c r="AD219" i="20"/>
  <c r="AD218" i="20"/>
  <c r="AD217" i="20"/>
  <c r="AD216" i="20"/>
  <c r="AD215" i="20"/>
  <c r="AD214" i="20"/>
  <c r="AD213" i="20"/>
  <c r="AD212" i="20"/>
  <c r="AD211" i="20"/>
  <c r="AD210" i="20"/>
  <c r="AD209" i="20"/>
  <c r="AD208" i="20"/>
  <c r="AD207" i="20"/>
  <c r="AD206" i="20"/>
  <c r="AD205" i="20"/>
  <c r="AD204" i="20"/>
  <c r="AD203" i="20"/>
  <c r="AD202" i="20"/>
  <c r="AD201" i="20"/>
  <c r="AD200" i="20"/>
  <c r="AD199" i="20"/>
  <c r="AD198" i="20"/>
  <c r="AD197" i="20"/>
  <c r="AD196" i="20"/>
  <c r="AD195" i="20"/>
  <c r="AD194" i="20"/>
  <c r="AD193" i="20"/>
  <c r="AD192" i="20"/>
  <c r="AD191" i="20"/>
  <c r="AD190" i="20"/>
  <c r="AD189" i="20"/>
  <c r="AD188" i="20"/>
  <c r="AD187" i="20"/>
  <c r="AD186" i="20"/>
  <c r="AD185" i="20"/>
  <c r="AD184" i="20"/>
  <c r="AD183" i="20"/>
  <c r="AD182" i="20"/>
  <c r="AD181" i="20"/>
  <c r="AD180" i="20"/>
  <c r="AD179" i="20"/>
  <c r="AD178" i="20"/>
  <c r="AD177" i="20"/>
  <c r="AD176" i="20"/>
  <c r="AD175" i="20"/>
  <c r="AD174" i="20"/>
  <c r="AD173" i="20"/>
  <c r="AD172" i="20"/>
  <c r="AD171" i="20"/>
  <c r="AD170" i="20"/>
  <c r="AD169" i="20"/>
  <c r="AD168" i="20"/>
  <c r="AD167" i="20"/>
  <c r="AD166" i="20"/>
  <c r="AD165" i="20"/>
  <c r="AD164" i="20"/>
  <c r="AD163" i="20"/>
  <c r="AD162" i="20"/>
  <c r="AD161" i="20"/>
  <c r="AD160" i="20"/>
  <c r="AD159" i="20"/>
  <c r="AD158" i="20"/>
  <c r="AD157" i="20"/>
  <c r="AD156" i="20"/>
  <c r="AD155" i="20"/>
  <c r="AD154" i="20"/>
  <c r="AD153" i="20"/>
  <c r="AD152" i="20"/>
  <c r="AD151" i="20"/>
  <c r="AD150" i="20"/>
  <c r="AD149" i="20"/>
  <c r="AD148" i="20"/>
  <c r="AD147" i="20"/>
  <c r="AD146" i="20"/>
  <c r="AD145" i="20"/>
  <c r="AD144" i="20"/>
  <c r="AD143" i="20"/>
  <c r="AD142" i="20"/>
  <c r="AD141" i="20"/>
  <c r="AD140" i="20"/>
  <c r="AD139" i="20"/>
  <c r="AD138" i="20"/>
  <c r="AD137" i="20"/>
  <c r="AD136" i="20"/>
  <c r="AD135" i="20"/>
  <c r="AD134" i="20"/>
  <c r="AD133" i="20"/>
  <c r="AD132" i="20"/>
  <c r="AD131" i="20"/>
  <c r="AD130" i="20"/>
  <c r="AD129" i="20"/>
  <c r="AD128" i="20"/>
  <c r="AD127" i="20"/>
  <c r="AD126" i="20"/>
  <c r="AD125" i="20"/>
  <c r="AD124" i="20"/>
  <c r="AD123" i="20"/>
  <c r="AD122" i="20"/>
  <c r="AD121" i="20"/>
  <c r="AD120" i="20"/>
  <c r="AD119" i="20"/>
  <c r="AD118" i="20"/>
  <c r="AD117" i="20"/>
  <c r="AD116" i="20"/>
  <c r="AD115" i="20"/>
  <c r="AD114" i="20"/>
  <c r="AD113" i="20"/>
  <c r="AD112" i="20"/>
  <c r="AD111" i="20"/>
  <c r="AD110" i="20"/>
  <c r="AD109" i="20"/>
  <c r="AD108" i="20"/>
  <c r="AD107" i="20"/>
  <c r="AD106" i="20"/>
  <c r="AD105" i="20"/>
  <c r="AD104" i="20"/>
  <c r="AD103" i="20"/>
  <c r="AD102" i="20"/>
  <c r="AD101" i="20"/>
  <c r="AD100" i="20"/>
  <c r="AD99" i="20"/>
  <c r="AD98" i="20"/>
  <c r="AD97" i="20"/>
  <c r="AD96" i="20"/>
  <c r="AD95" i="20"/>
  <c r="AD94" i="20"/>
  <c r="AD93" i="20"/>
  <c r="AD92" i="20"/>
  <c r="AD91" i="20"/>
  <c r="AD90" i="20"/>
  <c r="AD89" i="20"/>
  <c r="AD88" i="20"/>
  <c r="AD87" i="20"/>
  <c r="AD86" i="20"/>
  <c r="AD85" i="20"/>
  <c r="AD84" i="20"/>
  <c r="AD83" i="20"/>
  <c r="AD82" i="20"/>
  <c r="AD81" i="20"/>
  <c r="AD80" i="20"/>
  <c r="AD79" i="20"/>
  <c r="AD78" i="20"/>
  <c r="AD77" i="20"/>
  <c r="AD76" i="20"/>
  <c r="AD75" i="20"/>
  <c r="AD74" i="20"/>
  <c r="AD73" i="20"/>
  <c r="AD72" i="20"/>
  <c r="AD71" i="20"/>
  <c r="AD70" i="20"/>
  <c r="AD69" i="20"/>
  <c r="AD68" i="20"/>
  <c r="AD67" i="20"/>
  <c r="AD66" i="20"/>
  <c r="AD65" i="20"/>
  <c r="AD64" i="20"/>
  <c r="AD63" i="20"/>
  <c r="AD62" i="20"/>
  <c r="AD61" i="20"/>
  <c r="AD60" i="20"/>
  <c r="AD59" i="20"/>
  <c r="AD58" i="20"/>
  <c r="AD57" i="20"/>
  <c r="AD56" i="20"/>
  <c r="AD55" i="20"/>
  <c r="AD54" i="20"/>
  <c r="AD53" i="20"/>
  <c r="AD52" i="20"/>
  <c r="AD51" i="20"/>
  <c r="AD50" i="20"/>
  <c r="AD49" i="20"/>
  <c r="AD48" i="20"/>
  <c r="AD47" i="20"/>
  <c r="AD46" i="20"/>
  <c r="AD45" i="20"/>
  <c r="AD44" i="20"/>
  <c r="AD43" i="20"/>
  <c r="AD42" i="20"/>
  <c r="AD41" i="20"/>
  <c r="AD40" i="20"/>
  <c r="AD39" i="20"/>
  <c r="AD38" i="20"/>
  <c r="AD37" i="20"/>
  <c r="AD36" i="20"/>
  <c r="AD35" i="20"/>
  <c r="AD34" i="20"/>
  <c r="AD33" i="20"/>
  <c r="AD32" i="20"/>
  <c r="AD31" i="20"/>
  <c r="AD30" i="20"/>
  <c r="AD29" i="20"/>
  <c r="AD28" i="20"/>
  <c r="AD27" i="20"/>
  <c r="AD26" i="20"/>
  <c r="AD25" i="20"/>
  <c r="AD24" i="20"/>
  <c r="AD23" i="20"/>
  <c r="AD22" i="20"/>
  <c r="AD21" i="20"/>
  <c r="AD20" i="20"/>
  <c r="AD19" i="20"/>
  <c r="AD18" i="20"/>
  <c r="AD17" i="20"/>
  <c r="AD16" i="20"/>
  <c r="AD15" i="20"/>
  <c r="AD14" i="20"/>
  <c r="AD13" i="20"/>
  <c r="AD12" i="20"/>
  <c r="AD11" i="20"/>
  <c r="AD10" i="20"/>
  <c r="AD9" i="20"/>
  <c r="AD8" i="20"/>
  <c r="AD7" i="20"/>
  <c r="AD6" i="20"/>
  <c r="AD5" i="20"/>
  <c r="AD4" i="20"/>
  <c r="AA384" i="20"/>
  <c r="AA383" i="20"/>
  <c r="AA382" i="20"/>
  <c r="AA381" i="20"/>
  <c r="AA380" i="20"/>
  <c r="AA379" i="20"/>
  <c r="AA378" i="20"/>
  <c r="AA377" i="20"/>
  <c r="AA376" i="20"/>
  <c r="AA375" i="20"/>
  <c r="AA374" i="20"/>
  <c r="AA373" i="20"/>
  <c r="AA372" i="20"/>
  <c r="AA371" i="20"/>
  <c r="AA370" i="20"/>
  <c r="AA369" i="20"/>
  <c r="AA368" i="20"/>
  <c r="AA367" i="20"/>
  <c r="AA366" i="20"/>
  <c r="AA365" i="20"/>
  <c r="AA364" i="20"/>
  <c r="AA363" i="20"/>
  <c r="AA362" i="20"/>
  <c r="AA361" i="20"/>
  <c r="AA360" i="20"/>
  <c r="AA359" i="20"/>
  <c r="AA358" i="20"/>
  <c r="AA357" i="20"/>
  <c r="AA356" i="20"/>
  <c r="AA355" i="20"/>
  <c r="AA354" i="20"/>
  <c r="AA353" i="20"/>
  <c r="AA352" i="20"/>
  <c r="AA351" i="20"/>
  <c r="AA350" i="20"/>
  <c r="AA349" i="20"/>
  <c r="AA348" i="20"/>
  <c r="AA347" i="20"/>
  <c r="AA346" i="20"/>
  <c r="AA345" i="20"/>
  <c r="AA344" i="20"/>
  <c r="AA343" i="20"/>
  <c r="AA342" i="20"/>
  <c r="AA341" i="20"/>
  <c r="AA340" i="20"/>
  <c r="AA339" i="20"/>
  <c r="AA338" i="20"/>
  <c r="AA337" i="20"/>
  <c r="AA336" i="20"/>
  <c r="AA335" i="20"/>
  <c r="AA334" i="20"/>
  <c r="AA333" i="20"/>
  <c r="AA332" i="20"/>
  <c r="AA331" i="20"/>
  <c r="AA330" i="20"/>
  <c r="AA329" i="20"/>
  <c r="AA328" i="20"/>
  <c r="AA327" i="20"/>
  <c r="AA326" i="20"/>
  <c r="AA325" i="20"/>
  <c r="AA324" i="20"/>
  <c r="AA323" i="20"/>
  <c r="AA322" i="20"/>
  <c r="AA321" i="20"/>
  <c r="AA320" i="20"/>
  <c r="AA319" i="20"/>
  <c r="AA318" i="20"/>
  <c r="AA317" i="20"/>
  <c r="AA316" i="20"/>
  <c r="AA315" i="20"/>
  <c r="AA314" i="20"/>
  <c r="AA313" i="20"/>
  <c r="AA312" i="20"/>
  <c r="AA311" i="20"/>
  <c r="AA310" i="20"/>
  <c r="AA309" i="20"/>
  <c r="AA308" i="20"/>
  <c r="AA307" i="20"/>
  <c r="AA306" i="20"/>
  <c r="AA305" i="20"/>
  <c r="AA304" i="20"/>
  <c r="AA303" i="20"/>
  <c r="AA302" i="20"/>
  <c r="AA301" i="20"/>
  <c r="AA300" i="20"/>
  <c r="AA299" i="20"/>
  <c r="AA298" i="20"/>
  <c r="AA297" i="20"/>
  <c r="AA296" i="20"/>
  <c r="AA295" i="20"/>
  <c r="AA294" i="20"/>
  <c r="AA293" i="20"/>
  <c r="AA292" i="20"/>
  <c r="AA291" i="20"/>
  <c r="AA290" i="20"/>
  <c r="AA289" i="20"/>
  <c r="AA288" i="20"/>
  <c r="AA287" i="20"/>
  <c r="AA286" i="20"/>
  <c r="AA285" i="20"/>
  <c r="AA284" i="20"/>
  <c r="AA283" i="20"/>
  <c r="AA282" i="20"/>
  <c r="AA281" i="20"/>
  <c r="AA280" i="20"/>
  <c r="AA279" i="20"/>
  <c r="AA278" i="20"/>
  <c r="AA277" i="20"/>
  <c r="AA276" i="20"/>
  <c r="AA275" i="20"/>
  <c r="AA274" i="20"/>
  <c r="AA273" i="20"/>
  <c r="AA272" i="20"/>
  <c r="AA271" i="20"/>
  <c r="AA270" i="20"/>
  <c r="AA269" i="20"/>
  <c r="AA268" i="20"/>
  <c r="AA267" i="20"/>
  <c r="AA266" i="20"/>
  <c r="AA265" i="20"/>
  <c r="AA264" i="20"/>
  <c r="AA263" i="20"/>
  <c r="AA262" i="20"/>
  <c r="AA261" i="20"/>
  <c r="AA260" i="20"/>
  <c r="AA259" i="20"/>
  <c r="AA258" i="20"/>
  <c r="AA257" i="20"/>
  <c r="AA256" i="20"/>
  <c r="AA255" i="20"/>
  <c r="AA254" i="20"/>
  <c r="AA253" i="20"/>
  <c r="AA252" i="20"/>
  <c r="AA251" i="20"/>
  <c r="AA250" i="20"/>
  <c r="AA249" i="20"/>
  <c r="AA248" i="20"/>
  <c r="AA247" i="20"/>
  <c r="AA246" i="20"/>
  <c r="AA245" i="20"/>
  <c r="AA244" i="20"/>
  <c r="AA243" i="20"/>
  <c r="AA242" i="20"/>
  <c r="AA241" i="20"/>
  <c r="AA240" i="20"/>
  <c r="AA239" i="20"/>
  <c r="AA238" i="20"/>
  <c r="AA237" i="20"/>
  <c r="AA236" i="20"/>
  <c r="AA235" i="20"/>
  <c r="AA234" i="20"/>
  <c r="AA233" i="20"/>
  <c r="AA232" i="20"/>
  <c r="AA231" i="20"/>
  <c r="AA230" i="20"/>
  <c r="AA229" i="20"/>
  <c r="AA228" i="20"/>
  <c r="AA227" i="20"/>
  <c r="AA226" i="20"/>
  <c r="AA225" i="20"/>
  <c r="AA224" i="20"/>
  <c r="AA223" i="20"/>
  <c r="AA222" i="20"/>
  <c r="AA221" i="20"/>
  <c r="AA220" i="20"/>
  <c r="AA219" i="20"/>
  <c r="AA218" i="20"/>
  <c r="AA217" i="20"/>
  <c r="AA216" i="20"/>
  <c r="AA215" i="20"/>
  <c r="AA214" i="20"/>
  <c r="AA213" i="20"/>
  <c r="AA212" i="20"/>
  <c r="AA211" i="20"/>
  <c r="AA210" i="20"/>
  <c r="AA209" i="20"/>
  <c r="AA208" i="20"/>
  <c r="AA207" i="20"/>
  <c r="AA206" i="20"/>
  <c r="AA205" i="20"/>
  <c r="AA204" i="20"/>
  <c r="AA203" i="20"/>
  <c r="AA202" i="20"/>
  <c r="AA201" i="20"/>
  <c r="AA200" i="20"/>
  <c r="AA199" i="20"/>
  <c r="AA198" i="20"/>
  <c r="AA197" i="20"/>
  <c r="AA196" i="20"/>
  <c r="AA195" i="20"/>
  <c r="AA194" i="20"/>
  <c r="AA193" i="20"/>
  <c r="AA192" i="20"/>
  <c r="AA191" i="20"/>
  <c r="AA190" i="20"/>
  <c r="AA189" i="20"/>
  <c r="AA188" i="20"/>
  <c r="AA187" i="20"/>
  <c r="AA186" i="20"/>
  <c r="AA185" i="20"/>
  <c r="AA184" i="20"/>
  <c r="AA183" i="20"/>
  <c r="AA182" i="20"/>
  <c r="AA181" i="20"/>
  <c r="AA180" i="20"/>
  <c r="AA179" i="20"/>
  <c r="AA178" i="20"/>
  <c r="AA177" i="20"/>
  <c r="AA176" i="20"/>
  <c r="AA175" i="20"/>
  <c r="AA174" i="20"/>
  <c r="AA173" i="20"/>
  <c r="AA172" i="20"/>
  <c r="AA171" i="20"/>
  <c r="AA170" i="20"/>
  <c r="AA169" i="20"/>
  <c r="AA168" i="20"/>
  <c r="AA167" i="20"/>
  <c r="AA166" i="20"/>
  <c r="AA165" i="20"/>
  <c r="AA164" i="20"/>
  <c r="AA163" i="20"/>
  <c r="AA162" i="20"/>
  <c r="AA161" i="20"/>
  <c r="AA160" i="20"/>
  <c r="AA159" i="20"/>
  <c r="AA158" i="20"/>
  <c r="AA157" i="20"/>
  <c r="AA156" i="20"/>
  <c r="AA155" i="20"/>
  <c r="AA154" i="20"/>
  <c r="AA153" i="20"/>
  <c r="AA152" i="20"/>
  <c r="AA151" i="20"/>
  <c r="AA150" i="20"/>
  <c r="AA149" i="20"/>
  <c r="AA148" i="20"/>
  <c r="AA147" i="20"/>
  <c r="AA146" i="20"/>
  <c r="AA145" i="20"/>
  <c r="AA144" i="20"/>
  <c r="AA143" i="20"/>
  <c r="AA142" i="20"/>
  <c r="AA141" i="20"/>
  <c r="AA140" i="20"/>
  <c r="AA139" i="20"/>
  <c r="AA138" i="20"/>
  <c r="AA137" i="20"/>
  <c r="AA136" i="20"/>
  <c r="AA135" i="20"/>
  <c r="AA134" i="20"/>
  <c r="AA133" i="20"/>
  <c r="AA132" i="20"/>
  <c r="AA131" i="20"/>
  <c r="AA130" i="20"/>
  <c r="AA129" i="20"/>
  <c r="AA128" i="20"/>
  <c r="AA127" i="20"/>
  <c r="AA126" i="20"/>
  <c r="AA125" i="20"/>
  <c r="AA124" i="20"/>
  <c r="AA123" i="20"/>
  <c r="AA122" i="20"/>
  <c r="AA121" i="20"/>
  <c r="AA120" i="20"/>
  <c r="AA119" i="20"/>
  <c r="AA118" i="20"/>
  <c r="AA117" i="20"/>
  <c r="AA116" i="20"/>
  <c r="AA115" i="20"/>
  <c r="AA114" i="20"/>
  <c r="AA113" i="20"/>
  <c r="AA112" i="20"/>
  <c r="AA111" i="20"/>
  <c r="AA110" i="20"/>
  <c r="AA109" i="20"/>
  <c r="AA108" i="20"/>
  <c r="AA107" i="20"/>
  <c r="AA106" i="20"/>
  <c r="AA105" i="20"/>
  <c r="AA104" i="20"/>
  <c r="AA103" i="20"/>
  <c r="AA102" i="20"/>
  <c r="AA101" i="20"/>
  <c r="AA100" i="20"/>
  <c r="AA99" i="20"/>
  <c r="AA98" i="20"/>
  <c r="AA97" i="20"/>
  <c r="AA96" i="20"/>
  <c r="AA95" i="20"/>
  <c r="AA94" i="20"/>
  <c r="AA93" i="20"/>
  <c r="AA92" i="20"/>
  <c r="AA91" i="20"/>
  <c r="AA90" i="20"/>
  <c r="AA89" i="20"/>
  <c r="AA88" i="20"/>
  <c r="AA87" i="20"/>
  <c r="AA86" i="20"/>
  <c r="AA85" i="20"/>
  <c r="AA84" i="20"/>
  <c r="AA83" i="20"/>
  <c r="AA82" i="20"/>
  <c r="AA81" i="20"/>
  <c r="AA80" i="20"/>
  <c r="AA79" i="20"/>
  <c r="AA78" i="20"/>
  <c r="AA77" i="20"/>
  <c r="AA76" i="20"/>
  <c r="AA75" i="20"/>
  <c r="AA74" i="20"/>
  <c r="AA73" i="20"/>
  <c r="AA72" i="20"/>
  <c r="AA71" i="20"/>
  <c r="AA70" i="20"/>
  <c r="AA69" i="20"/>
  <c r="AA68" i="20"/>
  <c r="AA67" i="20"/>
  <c r="AA66" i="20"/>
  <c r="AA65" i="20"/>
  <c r="AA64" i="20"/>
  <c r="AA63" i="20"/>
  <c r="AA62" i="20"/>
  <c r="AA61" i="20"/>
  <c r="AA60" i="20"/>
  <c r="AA59" i="20"/>
  <c r="AA58" i="20"/>
  <c r="AA57" i="20"/>
  <c r="AA56" i="20"/>
  <c r="AA55" i="20"/>
  <c r="AA54" i="20"/>
  <c r="AA53" i="20"/>
  <c r="AA52" i="20"/>
  <c r="AA51" i="20"/>
  <c r="AA50" i="20"/>
  <c r="AA49" i="20"/>
  <c r="AA48" i="20"/>
  <c r="AA47" i="20"/>
  <c r="AA46" i="20"/>
  <c r="AA45" i="20"/>
  <c r="AA44" i="20"/>
  <c r="AA43" i="20"/>
  <c r="AA42" i="20"/>
  <c r="AA41" i="20"/>
  <c r="AA40" i="20"/>
  <c r="AA39" i="20"/>
  <c r="AA38" i="20"/>
  <c r="AA37" i="20"/>
  <c r="AA36" i="20"/>
  <c r="AA35" i="20"/>
  <c r="AA34" i="20"/>
  <c r="AA33" i="20"/>
  <c r="AA32" i="20"/>
  <c r="AA31" i="20"/>
  <c r="AA30" i="20"/>
  <c r="AA29" i="20"/>
  <c r="AA28" i="20"/>
  <c r="AA27" i="20"/>
  <c r="AA26" i="20"/>
  <c r="AA25" i="20"/>
  <c r="AA24" i="20"/>
  <c r="AA23" i="20"/>
  <c r="AA22" i="20"/>
  <c r="AA21" i="20"/>
  <c r="AA20" i="20"/>
  <c r="AA19" i="20"/>
  <c r="AA18" i="20"/>
  <c r="AA17" i="20"/>
  <c r="AA16" i="20"/>
  <c r="AA15" i="20"/>
  <c r="AA14" i="20"/>
  <c r="AA13" i="20"/>
  <c r="AA12" i="20"/>
  <c r="AA11" i="20"/>
  <c r="AA10" i="20"/>
  <c r="AA9" i="20"/>
  <c r="AA8" i="20"/>
  <c r="AA7" i="20"/>
  <c r="AA6" i="20"/>
  <c r="AA5" i="20"/>
  <c r="AA4" i="20"/>
  <c r="X384" i="20"/>
  <c r="X383" i="20"/>
  <c r="X382" i="20"/>
  <c r="X381" i="20"/>
  <c r="X380" i="20"/>
  <c r="X379" i="20"/>
  <c r="X378" i="20"/>
  <c r="X377" i="20"/>
  <c r="X376" i="20"/>
  <c r="X375" i="20"/>
  <c r="X374" i="20"/>
  <c r="X373" i="20"/>
  <c r="X372" i="20"/>
  <c r="X371" i="20"/>
  <c r="X370" i="20"/>
  <c r="X369" i="20"/>
  <c r="X368" i="20"/>
  <c r="X367" i="20"/>
  <c r="X366" i="20"/>
  <c r="X365" i="20"/>
  <c r="X364" i="20"/>
  <c r="X363" i="20"/>
  <c r="X362" i="20"/>
  <c r="X361" i="20"/>
  <c r="X360" i="20"/>
  <c r="X359" i="20"/>
  <c r="X358" i="20"/>
  <c r="X357" i="20"/>
  <c r="X356" i="20"/>
  <c r="X355" i="20"/>
  <c r="X354" i="20"/>
  <c r="X353" i="20"/>
  <c r="X352" i="20"/>
  <c r="X351" i="20"/>
  <c r="X350" i="20"/>
  <c r="X349" i="20"/>
  <c r="X348" i="20"/>
  <c r="X347" i="20"/>
  <c r="X346" i="20"/>
  <c r="X345" i="20"/>
  <c r="X344" i="20"/>
  <c r="X343" i="20"/>
  <c r="X342" i="20"/>
  <c r="X341" i="20"/>
  <c r="X340" i="20"/>
  <c r="X339" i="20"/>
  <c r="X338" i="20"/>
  <c r="X337" i="20"/>
  <c r="X336" i="20"/>
  <c r="X335" i="20"/>
  <c r="X334" i="20"/>
  <c r="X333" i="20"/>
  <c r="X332" i="20"/>
  <c r="X331" i="20"/>
  <c r="X330" i="20"/>
  <c r="X329" i="20"/>
  <c r="X328" i="20"/>
  <c r="X327" i="20"/>
  <c r="X326" i="20"/>
  <c r="X325" i="20"/>
  <c r="X324" i="20"/>
  <c r="X323" i="20"/>
  <c r="X322" i="20"/>
  <c r="X321" i="20"/>
  <c r="X320" i="20"/>
  <c r="X319" i="20"/>
  <c r="X318" i="20"/>
  <c r="X317" i="20"/>
  <c r="X316" i="20"/>
  <c r="X315" i="20"/>
  <c r="X314" i="20"/>
  <c r="X313" i="20"/>
  <c r="X312" i="20"/>
  <c r="X311" i="20"/>
  <c r="X310" i="20"/>
  <c r="X309" i="20"/>
  <c r="X308" i="20"/>
  <c r="X307" i="20"/>
  <c r="X306" i="20"/>
  <c r="X305" i="20"/>
  <c r="X304" i="20"/>
  <c r="X303" i="20"/>
  <c r="X302" i="20"/>
  <c r="X301" i="20"/>
  <c r="X300" i="20"/>
  <c r="X299" i="20"/>
  <c r="X298" i="20"/>
  <c r="X297" i="20"/>
  <c r="X296" i="20"/>
  <c r="X295" i="20"/>
  <c r="X294" i="20"/>
  <c r="X293" i="20"/>
  <c r="X292" i="20"/>
  <c r="X291" i="20"/>
  <c r="X290" i="20"/>
  <c r="X289" i="20"/>
  <c r="X288" i="20"/>
  <c r="X287" i="20"/>
  <c r="X286" i="20"/>
  <c r="X285" i="20"/>
  <c r="X284" i="20"/>
  <c r="X283" i="20"/>
  <c r="X282" i="20"/>
  <c r="X281" i="20"/>
  <c r="X280" i="20"/>
  <c r="X279" i="20"/>
  <c r="X278" i="20"/>
  <c r="X277" i="20"/>
  <c r="X276" i="20"/>
  <c r="X275" i="20"/>
  <c r="X274" i="20"/>
  <c r="X273" i="20"/>
  <c r="X272" i="20"/>
  <c r="X271" i="20"/>
  <c r="X270" i="20"/>
  <c r="X269" i="20"/>
  <c r="X268" i="20"/>
  <c r="X267" i="20"/>
  <c r="X266" i="20"/>
  <c r="X265" i="20"/>
  <c r="X264" i="20"/>
  <c r="X263" i="20"/>
  <c r="X262" i="20"/>
  <c r="X261" i="20"/>
  <c r="X260" i="20"/>
  <c r="X259" i="20"/>
  <c r="X258" i="20"/>
  <c r="X257" i="20"/>
  <c r="X256" i="20"/>
  <c r="X255" i="20"/>
  <c r="X254" i="20"/>
  <c r="X253" i="20"/>
  <c r="X252" i="20"/>
  <c r="X251" i="20"/>
  <c r="X250" i="20"/>
  <c r="X249" i="20"/>
  <c r="X248" i="20"/>
  <c r="X247" i="20"/>
  <c r="X246" i="20"/>
  <c r="X245" i="20"/>
  <c r="X244" i="20"/>
  <c r="X243" i="20"/>
  <c r="X242" i="20"/>
  <c r="X241" i="20"/>
  <c r="X240" i="20"/>
  <c r="X239" i="20"/>
  <c r="X238" i="20"/>
  <c r="X237" i="20"/>
  <c r="X236" i="20"/>
  <c r="X235" i="20"/>
  <c r="X234" i="20"/>
  <c r="X233" i="20"/>
  <c r="X232" i="20"/>
  <c r="X231" i="20"/>
  <c r="X230" i="20"/>
  <c r="X229" i="20"/>
  <c r="X228" i="20"/>
  <c r="X227" i="20"/>
  <c r="X226" i="20"/>
  <c r="X225" i="20"/>
  <c r="X224" i="20"/>
  <c r="X223" i="20"/>
  <c r="X222" i="20"/>
  <c r="X221" i="20"/>
  <c r="X220" i="20"/>
  <c r="X219" i="20"/>
  <c r="X218" i="20"/>
  <c r="X217" i="20"/>
  <c r="X216" i="20"/>
  <c r="X215" i="20"/>
  <c r="X214" i="20"/>
  <c r="X213" i="20"/>
  <c r="X212" i="20"/>
  <c r="X211" i="20"/>
  <c r="X210" i="20"/>
  <c r="X209" i="20"/>
  <c r="X208" i="20"/>
  <c r="X207" i="20"/>
  <c r="X206" i="20"/>
  <c r="X205" i="20"/>
  <c r="X204" i="20"/>
  <c r="X203" i="20"/>
  <c r="X202" i="20"/>
  <c r="X201" i="20"/>
  <c r="X200" i="20"/>
  <c r="X199" i="20"/>
  <c r="X198" i="20"/>
  <c r="X197" i="20"/>
  <c r="X196" i="20"/>
  <c r="X195" i="20"/>
  <c r="X194" i="20"/>
  <c r="X193" i="20"/>
  <c r="X192" i="20"/>
  <c r="X191" i="20"/>
  <c r="X190" i="20"/>
  <c r="X189" i="20"/>
  <c r="X188" i="20"/>
  <c r="X187" i="20"/>
  <c r="X186" i="20"/>
  <c r="X185" i="20"/>
  <c r="X184" i="20"/>
  <c r="X183" i="20"/>
  <c r="X182" i="20"/>
  <c r="X181" i="20"/>
  <c r="X180" i="20"/>
  <c r="X179" i="20"/>
  <c r="X178" i="20"/>
  <c r="X177" i="20"/>
  <c r="X176" i="20"/>
  <c r="X175" i="20"/>
  <c r="X174" i="20"/>
  <c r="X173" i="20"/>
  <c r="X172" i="20"/>
  <c r="X171" i="20"/>
  <c r="X170" i="20"/>
  <c r="X169" i="20"/>
  <c r="X168" i="20"/>
  <c r="X167" i="20"/>
  <c r="X166" i="20"/>
  <c r="X165" i="20"/>
  <c r="X164" i="20"/>
  <c r="X163" i="20"/>
  <c r="X162" i="20"/>
  <c r="X161" i="20"/>
  <c r="X160" i="20"/>
  <c r="X159" i="20"/>
  <c r="X158" i="20"/>
  <c r="X157" i="20"/>
  <c r="X156" i="20"/>
  <c r="X155" i="20"/>
  <c r="X154" i="20"/>
  <c r="X153" i="20"/>
  <c r="X152" i="20"/>
  <c r="X151" i="20"/>
  <c r="X150" i="20"/>
  <c r="X149" i="20"/>
  <c r="X148" i="20"/>
  <c r="X147" i="20"/>
  <c r="X146" i="20"/>
  <c r="X145" i="20"/>
  <c r="X144" i="20"/>
  <c r="X143" i="20"/>
  <c r="X142" i="20"/>
  <c r="X141" i="20"/>
  <c r="X140" i="20"/>
  <c r="X139" i="20"/>
  <c r="X138" i="20"/>
  <c r="X137" i="20"/>
  <c r="X136" i="20"/>
  <c r="X135" i="20"/>
  <c r="X134" i="20"/>
  <c r="X133" i="20"/>
  <c r="X132" i="20"/>
  <c r="X131" i="20"/>
  <c r="X130" i="20"/>
  <c r="X129" i="20"/>
  <c r="X128" i="20"/>
  <c r="X127" i="20"/>
  <c r="X126" i="20"/>
  <c r="X125" i="20"/>
  <c r="X124" i="20"/>
  <c r="X123" i="20"/>
  <c r="X122" i="20"/>
  <c r="X121" i="20"/>
  <c r="X120" i="20"/>
  <c r="X119" i="20"/>
  <c r="X118" i="20"/>
  <c r="X117" i="20"/>
  <c r="X116" i="20"/>
  <c r="X115" i="20"/>
  <c r="X114" i="20"/>
  <c r="X113" i="20"/>
  <c r="X112" i="20"/>
  <c r="X111" i="20"/>
  <c r="X110" i="20"/>
  <c r="X109" i="20"/>
  <c r="X108" i="20"/>
  <c r="X107" i="20"/>
  <c r="X106" i="20"/>
  <c r="X105" i="20"/>
  <c r="X104" i="20"/>
  <c r="X103" i="20"/>
  <c r="X102" i="20"/>
  <c r="X101" i="20"/>
  <c r="X100" i="20"/>
  <c r="X99" i="20"/>
  <c r="X98" i="20"/>
  <c r="X97" i="20"/>
  <c r="X96" i="20"/>
  <c r="X95" i="20"/>
  <c r="X94" i="20"/>
  <c r="X93" i="20"/>
  <c r="X92" i="20"/>
  <c r="X91" i="20"/>
  <c r="X90" i="20"/>
  <c r="X89" i="20"/>
  <c r="X88" i="20"/>
  <c r="X87" i="20"/>
  <c r="X86" i="20"/>
  <c r="X85" i="20"/>
  <c r="X84" i="20"/>
  <c r="X83" i="20"/>
  <c r="X82" i="20"/>
  <c r="X81" i="20"/>
  <c r="X80" i="20"/>
  <c r="X79" i="20"/>
  <c r="X78" i="20"/>
  <c r="X77" i="20"/>
  <c r="X76" i="20"/>
  <c r="X75" i="20"/>
  <c r="X74" i="20"/>
  <c r="X73" i="20"/>
  <c r="X72" i="20"/>
  <c r="X71" i="20"/>
  <c r="X70" i="20"/>
  <c r="X69" i="20"/>
  <c r="X68" i="20"/>
  <c r="X67" i="20"/>
  <c r="X66" i="20"/>
  <c r="X65" i="20"/>
  <c r="X64" i="20"/>
  <c r="X63" i="20"/>
  <c r="X62" i="20"/>
  <c r="X61" i="20"/>
  <c r="X60" i="20"/>
  <c r="X59" i="20"/>
  <c r="X58" i="20"/>
  <c r="X57" i="20"/>
  <c r="X56" i="20"/>
  <c r="X55" i="20"/>
  <c r="X54" i="20"/>
  <c r="X53" i="20"/>
  <c r="X52" i="20"/>
  <c r="X51" i="20"/>
  <c r="X50" i="20"/>
  <c r="X49" i="20"/>
  <c r="X48" i="20"/>
  <c r="X47" i="20"/>
  <c r="X46" i="20"/>
  <c r="X45" i="20"/>
  <c r="X44" i="20"/>
  <c r="X43" i="20"/>
  <c r="X42" i="20"/>
  <c r="X41" i="20"/>
  <c r="X40" i="20"/>
  <c r="X39" i="20"/>
  <c r="X38" i="20"/>
  <c r="X37" i="20"/>
  <c r="X36" i="20"/>
  <c r="X35" i="20"/>
  <c r="X34" i="20"/>
  <c r="X33" i="20"/>
  <c r="X32" i="20"/>
  <c r="X31" i="20"/>
  <c r="X30" i="20"/>
  <c r="X29" i="20"/>
  <c r="X28" i="20"/>
  <c r="X27" i="20"/>
  <c r="X26" i="20"/>
  <c r="X25" i="20"/>
  <c r="X24" i="20"/>
  <c r="X23" i="20"/>
  <c r="X22" i="20"/>
  <c r="X21" i="20"/>
  <c r="X20" i="20"/>
  <c r="X19" i="20"/>
  <c r="X18" i="20"/>
  <c r="X17" i="20"/>
  <c r="X16" i="20"/>
  <c r="X15" i="20"/>
  <c r="X14" i="20"/>
  <c r="X13" i="20"/>
  <c r="X12" i="20"/>
  <c r="X11" i="20"/>
  <c r="X10" i="20"/>
  <c r="X9" i="20"/>
  <c r="X8" i="20"/>
  <c r="X7" i="20"/>
  <c r="X6" i="20"/>
  <c r="X5" i="20"/>
  <c r="X4" i="20"/>
  <c r="U384" i="20"/>
  <c r="U383" i="20"/>
  <c r="U382" i="20"/>
  <c r="U381" i="20"/>
  <c r="U380" i="20"/>
  <c r="U379" i="20"/>
  <c r="U378" i="20"/>
  <c r="U377" i="20"/>
  <c r="U376" i="20"/>
  <c r="U375" i="20"/>
  <c r="U374" i="20"/>
  <c r="U373" i="20"/>
  <c r="U372" i="20"/>
  <c r="U371" i="20"/>
  <c r="U370" i="20"/>
  <c r="U369" i="20"/>
  <c r="U368" i="20"/>
  <c r="U367" i="20"/>
  <c r="U366" i="20"/>
  <c r="U365" i="20"/>
  <c r="U364" i="20"/>
  <c r="U363" i="20"/>
  <c r="U362" i="20"/>
  <c r="U361" i="20"/>
  <c r="U360" i="20"/>
  <c r="U359" i="20"/>
  <c r="U358" i="20"/>
  <c r="U357" i="20"/>
  <c r="U356" i="20"/>
  <c r="U355" i="20"/>
  <c r="U354" i="20"/>
  <c r="U353" i="20"/>
  <c r="U352" i="20"/>
  <c r="U351" i="20"/>
  <c r="U350" i="20"/>
  <c r="U349" i="20"/>
  <c r="U348" i="20"/>
  <c r="U347" i="20"/>
  <c r="U346" i="20"/>
  <c r="U345" i="20"/>
  <c r="U344" i="20"/>
  <c r="U343" i="20"/>
  <c r="U342" i="20"/>
  <c r="U341" i="20"/>
  <c r="U340" i="20"/>
  <c r="U339" i="20"/>
  <c r="U338" i="20"/>
  <c r="U337" i="20"/>
  <c r="U336" i="20"/>
  <c r="U335" i="20"/>
  <c r="U334" i="20"/>
  <c r="U333" i="20"/>
  <c r="U332" i="20"/>
  <c r="U331" i="20"/>
  <c r="U330" i="20"/>
  <c r="U329" i="20"/>
  <c r="U328" i="20"/>
  <c r="U327" i="20"/>
  <c r="U326" i="20"/>
  <c r="U325" i="20"/>
  <c r="U324" i="20"/>
  <c r="U323" i="20"/>
  <c r="U322" i="20"/>
  <c r="U321" i="20"/>
  <c r="U320" i="20"/>
  <c r="U319" i="20"/>
  <c r="U318" i="20"/>
  <c r="U317" i="20"/>
  <c r="U316" i="20"/>
  <c r="U315" i="20"/>
  <c r="U314" i="20"/>
  <c r="U313" i="20"/>
  <c r="U312" i="20"/>
  <c r="U311" i="20"/>
  <c r="U310" i="20"/>
  <c r="U309" i="20"/>
  <c r="U308" i="20"/>
  <c r="U307" i="20"/>
  <c r="U306" i="20"/>
  <c r="U305" i="20"/>
  <c r="U304" i="20"/>
  <c r="U303" i="20"/>
  <c r="U302" i="20"/>
  <c r="U301" i="20"/>
  <c r="U300" i="20"/>
  <c r="U299" i="20"/>
  <c r="U298" i="20"/>
  <c r="U297" i="20"/>
  <c r="U296" i="20"/>
  <c r="U295" i="20"/>
  <c r="U294" i="20"/>
  <c r="U293" i="20"/>
  <c r="U292" i="20"/>
  <c r="U291" i="20"/>
  <c r="U290" i="20"/>
  <c r="U289" i="20"/>
  <c r="U288" i="20"/>
  <c r="U287" i="20"/>
  <c r="U286" i="20"/>
  <c r="U285" i="20"/>
  <c r="U284" i="20"/>
  <c r="U283" i="20"/>
  <c r="U282" i="20"/>
  <c r="U281" i="20"/>
  <c r="U280" i="20"/>
  <c r="U279" i="20"/>
  <c r="U278" i="20"/>
  <c r="U277" i="20"/>
  <c r="U276" i="20"/>
  <c r="U275" i="20"/>
  <c r="U274" i="20"/>
  <c r="U273" i="20"/>
  <c r="U272" i="20"/>
  <c r="U271" i="20"/>
  <c r="U270" i="20"/>
  <c r="U269" i="20"/>
  <c r="U268" i="20"/>
  <c r="U267" i="20"/>
  <c r="U266" i="20"/>
  <c r="U265" i="20"/>
  <c r="U264" i="20"/>
  <c r="U263" i="20"/>
  <c r="U262" i="20"/>
  <c r="U261" i="20"/>
  <c r="U260" i="20"/>
  <c r="U259" i="20"/>
  <c r="U258" i="20"/>
  <c r="U257" i="20"/>
  <c r="U256" i="20"/>
  <c r="U255" i="20"/>
  <c r="U254" i="20"/>
  <c r="U253" i="20"/>
  <c r="U252" i="20"/>
  <c r="U251" i="20"/>
  <c r="U250" i="20"/>
  <c r="U249" i="20"/>
  <c r="U248" i="20"/>
  <c r="U247" i="20"/>
  <c r="U246" i="20"/>
  <c r="U245" i="20"/>
  <c r="U244" i="20"/>
  <c r="U243" i="20"/>
  <c r="U242" i="20"/>
  <c r="U241" i="20"/>
  <c r="U240" i="20"/>
  <c r="U239" i="20"/>
  <c r="U238" i="20"/>
  <c r="U237" i="20"/>
  <c r="U236" i="20"/>
  <c r="U235" i="20"/>
  <c r="U234" i="20"/>
  <c r="U233" i="20"/>
  <c r="U232" i="20"/>
  <c r="U231" i="20"/>
  <c r="U230" i="20"/>
  <c r="U229" i="20"/>
  <c r="U228" i="20"/>
  <c r="U227" i="20"/>
  <c r="U226" i="20"/>
  <c r="U225" i="20"/>
  <c r="U224" i="20"/>
  <c r="U223" i="20"/>
  <c r="U222" i="20"/>
  <c r="U221" i="20"/>
  <c r="U220" i="20"/>
  <c r="U219" i="20"/>
  <c r="U218" i="20"/>
  <c r="U217" i="20"/>
  <c r="U216" i="20"/>
  <c r="U215" i="20"/>
  <c r="U214" i="20"/>
  <c r="U213" i="20"/>
  <c r="U212" i="20"/>
  <c r="U211" i="20"/>
  <c r="U210" i="20"/>
  <c r="U209" i="20"/>
  <c r="U208" i="20"/>
  <c r="U207" i="20"/>
  <c r="U206" i="20"/>
  <c r="U205" i="20"/>
  <c r="U204" i="20"/>
  <c r="U203" i="20"/>
  <c r="U202" i="20"/>
  <c r="U201" i="20"/>
  <c r="U200" i="20"/>
  <c r="U199" i="20"/>
  <c r="U198" i="20"/>
  <c r="U197" i="20"/>
  <c r="U196" i="20"/>
  <c r="U195" i="20"/>
  <c r="U194" i="20"/>
  <c r="U193" i="20"/>
  <c r="U192" i="20"/>
  <c r="U191" i="20"/>
  <c r="U190" i="20"/>
  <c r="U189" i="20"/>
  <c r="U188" i="20"/>
  <c r="U187" i="20"/>
  <c r="U186" i="20"/>
  <c r="U185" i="20"/>
  <c r="U184" i="20"/>
  <c r="U183" i="20"/>
  <c r="U182" i="20"/>
  <c r="U181" i="20"/>
  <c r="U180" i="20"/>
  <c r="U179" i="20"/>
  <c r="U178" i="20"/>
  <c r="U177" i="20"/>
  <c r="U176" i="20"/>
  <c r="U175" i="20"/>
  <c r="U174" i="20"/>
  <c r="U173" i="20"/>
  <c r="U172" i="20"/>
  <c r="U171" i="20"/>
  <c r="U170" i="20"/>
  <c r="U169" i="20"/>
  <c r="U168" i="20"/>
  <c r="U167" i="20"/>
  <c r="U166" i="20"/>
  <c r="U165" i="20"/>
  <c r="U164" i="20"/>
  <c r="U163" i="20"/>
  <c r="U162" i="20"/>
  <c r="U161" i="20"/>
  <c r="U160" i="20"/>
  <c r="U159" i="20"/>
  <c r="U158" i="20"/>
  <c r="U157" i="20"/>
  <c r="U156" i="20"/>
  <c r="U155" i="20"/>
  <c r="U154" i="20"/>
  <c r="U153" i="20"/>
  <c r="U152" i="20"/>
  <c r="U151" i="20"/>
  <c r="U150" i="20"/>
  <c r="U149" i="20"/>
  <c r="U148" i="20"/>
  <c r="U147" i="20"/>
  <c r="U146" i="20"/>
  <c r="U145" i="20"/>
  <c r="U144" i="20"/>
  <c r="U143" i="20"/>
  <c r="U142" i="20"/>
  <c r="U141" i="20"/>
  <c r="U140" i="20"/>
  <c r="U139" i="20"/>
  <c r="U138" i="20"/>
  <c r="U137" i="20"/>
  <c r="U136" i="20"/>
  <c r="U135" i="20"/>
  <c r="U134" i="20"/>
  <c r="U133" i="20"/>
  <c r="U132" i="20"/>
  <c r="U131" i="20"/>
  <c r="U130" i="20"/>
  <c r="U129" i="20"/>
  <c r="U128" i="20"/>
  <c r="U127" i="20"/>
  <c r="U126" i="20"/>
  <c r="U125" i="20"/>
  <c r="U124" i="20"/>
  <c r="U123" i="20"/>
  <c r="U122" i="20"/>
  <c r="U121" i="20"/>
  <c r="U120" i="20"/>
  <c r="U119" i="20"/>
  <c r="U118" i="20"/>
  <c r="U117" i="20"/>
  <c r="U116" i="20"/>
  <c r="U115" i="20"/>
  <c r="U114" i="20"/>
  <c r="U113" i="20"/>
  <c r="U112" i="20"/>
  <c r="U111" i="20"/>
  <c r="U110" i="20"/>
  <c r="U109" i="20"/>
  <c r="U108" i="20"/>
  <c r="U107" i="20"/>
  <c r="U106" i="20"/>
  <c r="U105" i="20"/>
  <c r="U104" i="20"/>
  <c r="U103" i="20"/>
  <c r="U102" i="20"/>
  <c r="U101" i="20"/>
  <c r="U100" i="20"/>
  <c r="U99" i="20"/>
  <c r="U98" i="20"/>
  <c r="U97" i="20"/>
  <c r="U96" i="20"/>
  <c r="U95" i="20"/>
  <c r="U94" i="20"/>
  <c r="U93" i="20"/>
  <c r="U92" i="20"/>
  <c r="U91" i="20"/>
  <c r="U90" i="20"/>
  <c r="U89" i="20"/>
  <c r="U88" i="20"/>
  <c r="U87" i="20"/>
  <c r="U86" i="20"/>
  <c r="U85" i="20"/>
  <c r="U84" i="20"/>
  <c r="U83" i="20"/>
  <c r="U82" i="20"/>
  <c r="U81" i="20"/>
  <c r="U80" i="20"/>
  <c r="U79" i="20"/>
  <c r="U78" i="20"/>
  <c r="U77" i="20"/>
  <c r="U76" i="20"/>
  <c r="U75" i="20"/>
  <c r="U74" i="20"/>
  <c r="U73" i="20"/>
  <c r="U72" i="20"/>
  <c r="U71" i="20"/>
  <c r="U70" i="20"/>
  <c r="U69" i="20"/>
  <c r="U68" i="20"/>
  <c r="U67" i="20"/>
  <c r="U66" i="20"/>
  <c r="U65" i="20"/>
  <c r="U64" i="20"/>
  <c r="U63" i="20"/>
  <c r="U62" i="20"/>
  <c r="U61" i="20"/>
  <c r="U60" i="20"/>
  <c r="U59" i="20"/>
  <c r="U58" i="20"/>
  <c r="U57" i="20"/>
  <c r="U56" i="20"/>
  <c r="U55" i="20"/>
  <c r="U54" i="20"/>
  <c r="U53" i="20"/>
  <c r="U52" i="20"/>
  <c r="U51" i="20"/>
  <c r="U50" i="20"/>
  <c r="U49" i="20"/>
  <c r="U48" i="20"/>
  <c r="U47" i="20"/>
  <c r="U46" i="20"/>
  <c r="U45" i="20"/>
  <c r="U44" i="20"/>
  <c r="U43" i="20"/>
  <c r="U42" i="20"/>
  <c r="U41" i="20"/>
  <c r="U40" i="20"/>
  <c r="U39" i="20"/>
  <c r="U38" i="20"/>
  <c r="U37" i="20"/>
  <c r="U36" i="20"/>
  <c r="U35" i="20"/>
  <c r="U34" i="20"/>
  <c r="U33" i="20"/>
  <c r="U32" i="20"/>
  <c r="U31" i="20"/>
  <c r="U30" i="20"/>
  <c r="U29" i="20"/>
  <c r="U28" i="20"/>
  <c r="U27" i="20"/>
  <c r="U26" i="20"/>
  <c r="U25" i="20"/>
  <c r="U24" i="20"/>
  <c r="U23" i="20"/>
  <c r="U22" i="20"/>
  <c r="U21" i="20"/>
  <c r="U20" i="20"/>
  <c r="U19" i="20"/>
  <c r="U18" i="20"/>
  <c r="U17" i="20"/>
  <c r="U16" i="20"/>
  <c r="U15" i="20"/>
  <c r="U14" i="20"/>
  <c r="U13" i="20"/>
  <c r="U12" i="20"/>
  <c r="U11" i="20"/>
  <c r="U10" i="20"/>
  <c r="U9" i="20"/>
  <c r="U8" i="20"/>
  <c r="U7" i="20"/>
  <c r="U6" i="20"/>
  <c r="U5" i="20"/>
  <c r="U4" i="20"/>
  <c r="R384" i="20"/>
  <c r="R383" i="20"/>
  <c r="R382" i="20"/>
  <c r="R381" i="20"/>
  <c r="R380" i="20"/>
  <c r="R379" i="20"/>
  <c r="R378" i="20"/>
  <c r="R377" i="20"/>
  <c r="R376" i="20"/>
  <c r="R375" i="20"/>
  <c r="R374" i="20"/>
  <c r="R373" i="20"/>
  <c r="R372" i="20"/>
  <c r="R371" i="20"/>
  <c r="R370" i="20"/>
  <c r="R369" i="20"/>
  <c r="R368" i="20"/>
  <c r="R367" i="20"/>
  <c r="R366" i="20"/>
  <c r="R365" i="20"/>
  <c r="R364" i="20"/>
  <c r="R363" i="20"/>
  <c r="R362" i="20"/>
  <c r="R361" i="20"/>
  <c r="R360" i="20"/>
  <c r="R359" i="20"/>
  <c r="R358" i="20"/>
  <c r="R357" i="20"/>
  <c r="R356" i="20"/>
  <c r="R355" i="20"/>
  <c r="R354" i="20"/>
  <c r="R353" i="20"/>
  <c r="R352" i="20"/>
  <c r="R351" i="20"/>
  <c r="R350" i="20"/>
  <c r="R349" i="20"/>
  <c r="R348" i="20"/>
  <c r="R347" i="20"/>
  <c r="R346" i="20"/>
  <c r="R345" i="20"/>
  <c r="R344" i="20"/>
  <c r="R343" i="20"/>
  <c r="R342" i="20"/>
  <c r="R341" i="20"/>
  <c r="R340" i="20"/>
  <c r="R339" i="20"/>
  <c r="R338" i="20"/>
  <c r="R337" i="20"/>
  <c r="R336" i="20"/>
  <c r="R335" i="20"/>
  <c r="R334" i="20"/>
  <c r="R333" i="20"/>
  <c r="R332" i="20"/>
  <c r="R331" i="20"/>
  <c r="R330" i="20"/>
  <c r="R329" i="20"/>
  <c r="R328" i="20"/>
  <c r="R327" i="20"/>
  <c r="R326" i="20"/>
  <c r="R325" i="20"/>
  <c r="R324" i="20"/>
  <c r="R323" i="20"/>
  <c r="R322" i="20"/>
  <c r="R321" i="20"/>
  <c r="R320" i="20"/>
  <c r="R319" i="20"/>
  <c r="R318" i="20"/>
  <c r="R317" i="20"/>
  <c r="R316" i="20"/>
  <c r="R315" i="20"/>
  <c r="R314" i="20"/>
  <c r="R313" i="20"/>
  <c r="R312" i="20"/>
  <c r="R311" i="20"/>
  <c r="R310" i="20"/>
  <c r="R309" i="20"/>
  <c r="R308" i="20"/>
  <c r="R307" i="20"/>
  <c r="R306" i="20"/>
  <c r="R305" i="20"/>
  <c r="R304" i="20"/>
  <c r="R303" i="20"/>
  <c r="R302" i="20"/>
  <c r="R301" i="20"/>
  <c r="R300" i="20"/>
  <c r="R299" i="20"/>
  <c r="R298" i="20"/>
  <c r="R297" i="20"/>
  <c r="R296" i="20"/>
  <c r="R295" i="20"/>
  <c r="R294" i="20"/>
  <c r="R293" i="20"/>
  <c r="R292" i="20"/>
  <c r="R291" i="20"/>
  <c r="R290" i="20"/>
  <c r="R289" i="20"/>
  <c r="R288" i="20"/>
  <c r="R287" i="20"/>
  <c r="R286" i="20"/>
  <c r="R285" i="20"/>
  <c r="R284" i="20"/>
  <c r="R283" i="20"/>
  <c r="R282" i="20"/>
  <c r="R281" i="20"/>
  <c r="R280" i="20"/>
  <c r="R279" i="20"/>
  <c r="R278" i="20"/>
  <c r="R277" i="20"/>
  <c r="R276" i="20"/>
  <c r="R275" i="20"/>
  <c r="R274" i="20"/>
  <c r="R273" i="20"/>
  <c r="R272" i="20"/>
  <c r="R271" i="20"/>
  <c r="R270" i="20"/>
  <c r="R269" i="20"/>
  <c r="R268" i="20"/>
  <c r="R267" i="20"/>
  <c r="R266" i="20"/>
  <c r="R265" i="20"/>
  <c r="R264" i="20"/>
  <c r="R263" i="20"/>
  <c r="R262" i="20"/>
  <c r="R261" i="20"/>
  <c r="R260" i="20"/>
  <c r="R259" i="20"/>
  <c r="R258" i="20"/>
  <c r="R257" i="20"/>
  <c r="R256" i="20"/>
  <c r="R255" i="20"/>
  <c r="R254" i="20"/>
  <c r="R253" i="20"/>
  <c r="R252" i="20"/>
  <c r="R251" i="20"/>
  <c r="R250" i="20"/>
  <c r="R249" i="20"/>
  <c r="R248" i="20"/>
  <c r="R247" i="20"/>
  <c r="R246" i="20"/>
  <c r="R245" i="20"/>
  <c r="R244" i="20"/>
  <c r="R243" i="20"/>
  <c r="R242" i="20"/>
  <c r="R241" i="20"/>
  <c r="R240" i="20"/>
  <c r="R239" i="20"/>
  <c r="R238" i="20"/>
  <c r="R237" i="20"/>
  <c r="R236" i="20"/>
  <c r="R235" i="20"/>
  <c r="R234" i="20"/>
  <c r="R233" i="20"/>
  <c r="R232" i="20"/>
  <c r="R231" i="20"/>
  <c r="R230" i="20"/>
  <c r="R229" i="20"/>
  <c r="R228" i="20"/>
  <c r="R227" i="20"/>
  <c r="R226" i="20"/>
  <c r="R225" i="20"/>
  <c r="R224" i="20"/>
  <c r="R223" i="20"/>
  <c r="R222" i="20"/>
  <c r="R221" i="20"/>
  <c r="R220" i="20"/>
  <c r="R219" i="20"/>
  <c r="R218" i="20"/>
  <c r="R217" i="20"/>
  <c r="R216" i="20"/>
  <c r="R215" i="20"/>
  <c r="R214" i="20"/>
  <c r="R213" i="20"/>
  <c r="R212" i="20"/>
  <c r="R211" i="20"/>
  <c r="R210" i="20"/>
  <c r="R209" i="20"/>
  <c r="R208" i="20"/>
  <c r="R207" i="20"/>
  <c r="R206" i="20"/>
  <c r="R205" i="20"/>
  <c r="R204" i="20"/>
  <c r="R203" i="20"/>
  <c r="R202" i="20"/>
  <c r="R201" i="20"/>
  <c r="R200" i="20"/>
  <c r="R199" i="20"/>
  <c r="R198" i="20"/>
  <c r="R197" i="20"/>
  <c r="R196" i="20"/>
  <c r="R195" i="20"/>
  <c r="R194" i="20"/>
  <c r="R193" i="20"/>
  <c r="R192" i="20"/>
  <c r="R191" i="20"/>
  <c r="R190" i="20"/>
  <c r="R189" i="20"/>
  <c r="R188" i="20"/>
  <c r="R187" i="20"/>
  <c r="R186" i="20"/>
  <c r="R185" i="20"/>
  <c r="R184" i="20"/>
  <c r="R183" i="20"/>
  <c r="R182" i="20"/>
  <c r="R181" i="20"/>
  <c r="R180" i="20"/>
  <c r="R179" i="20"/>
  <c r="R178" i="20"/>
  <c r="R177" i="20"/>
  <c r="R176" i="20"/>
  <c r="R175" i="20"/>
  <c r="R174" i="20"/>
  <c r="R173" i="20"/>
  <c r="R172" i="20"/>
  <c r="R171" i="20"/>
  <c r="R170" i="20"/>
  <c r="R169" i="20"/>
  <c r="R168" i="20"/>
  <c r="R167" i="20"/>
  <c r="R166" i="20"/>
  <c r="R165" i="20"/>
  <c r="R164" i="20"/>
  <c r="R163" i="20"/>
  <c r="R162" i="20"/>
  <c r="R161" i="20"/>
  <c r="R160" i="20"/>
  <c r="R159" i="20"/>
  <c r="R158" i="20"/>
  <c r="R157" i="20"/>
  <c r="R156" i="20"/>
  <c r="R155" i="20"/>
  <c r="R154" i="20"/>
  <c r="R153" i="20"/>
  <c r="R152" i="20"/>
  <c r="R151" i="20"/>
  <c r="R150" i="20"/>
  <c r="R149" i="20"/>
  <c r="R148" i="20"/>
  <c r="R147" i="20"/>
  <c r="R146" i="20"/>
  <c r="R145" i="20"/>
  <c r="R144" i="20"/>
  <c r="R143" i="20"/>
  <c r="R142" i="20"/>
  <c r="R141" i="20"/>
  <c r="R140" i="20"/>
  <c r="R139" i="20"/>
  <c r="R138" i="20"/>
  <c r="R137" i="20"/>
  <c r="R136" i="20"/>
  <c r="R135" i="20"/>
  <c r="R134" i="20"/>
  <c r="R133" i="20"/>
  <c r="R132" i="20"/>
  <c r="R131" i="20"/>
  <c r="R130" i="20"/>
  <c r="R129" i="20"/>
  <c r="R128" i="20"/>
  <c r="R127" i="20"/>
  <c r="R126" i="20"/>
  <c r="R125" i="20"/>
  <c r="R124" i="20"/>
  <c r="R123" i="20"/>
  <c r="R122" i="20"/>
  <c r="R121" i="20"/>
  <c r="R120" i="20"/>
  <c r="R119" i="20"/>
  <c r="R118" i="20"/>
  <c r="R117" i="20"/>
  <c r="R116" i="20"/>
  <c r="R115" i="20"/>
  <c r="R114" i="20"/>
  <c r="R113" i="20"/>
  <c r="R112" i="20"/>
  <c r="R111" i="20"/>
  <c r="R110" i="20"/>
  <c r="R109" i="20"/>
  <c r="R108" i="20"/>
  <c r="R107" i="20"/>
  <c r="R106" i="20"/>
  <c r="R105" i="20"/>
  <c r="R104" i="20"/>
  <c r="R103" i="20"/>
  <c r="R102" i="20"/>
  <c r="R101" i="20"/>
  <c r="R100" i="20"/>
  <c r="R99" i="20"/>
  <c r="R98" i="20"/>
  <c r="R97" i="20"/>
  <c r="R96" i="20"/>
  <c r="R95" i="20"/>
  <c r="R94" i="20"/>
  <c r="R93" i="20"/>
  <c r="R92" i="20"/>
  <c r="R91" i="20"/>
  <c r="R90" i="20"/>
  <c r="R89" i="20"/>
  <c r="R88" i="20"/>
  <c r="R87" i="20"/>
  <c r="R86" i="20"/>
  <c r="R85" i="20"/>
  <c r="R84" i="20"/>
  <c r="R83" i="20"/>
  <c r="R82" i="20"/>
  <c r="R81" i="20"/>
  <c r="R80" i="20"/>
  <c r="R79" i="20"/>
  <c r="R78" i="20"/>
  <c r="R77" i="20"/>
  <c r="R76" i="20"/>
  <c r="R75" i="20"/>
  <c r="R74" i="20"/>
  <c r="R73" i="20"/>
  <c r="R72" i="20"/>
  <c r="R71" i="20"/>
  <c r="R70" i="20"/>
  <c r="R69" i="20"/>
  <c r="R68" i="20"/>
  <c r="R67" i="20"/>
  <c r="R66" i="20"/>
  <c r="R65" i="20"/>
  <c r="R64" i="20"/>
  <c r="R63" i="20"/>
  <c r="R62" i="20"/>
  <c r="R61" i="20"/>
  <c r="R60" i="20"/>
  <c r="R59" i="20"/>
  <c r="R58" i="20"/>
  <c r="R57" i="20"/>
  <c r="R56" i="20"/>
  <c r="R55" i="20"/>
  <c r="R54" i="20"/>
  <c r="R53" i="20"/>
  <c r="R52" i="20"/>
  <c r="R51" i="20"/>
  <c r="R50" i="20"/>
  <c r="R49" i="20"/>
  <c r="R48" i="20"/>
  <c r="R47" i="20"/>
  <c r="R46" i="20"/>
  <c r="R45" i="20"/>
  <c r="R44" i="20"/>
  <c r="R43" i="20"/>
  <c r="R42" i="20"/>
  <c r="R41" i="20"/>
  <c r="R40" i="20"/>
  <c r="R39" i="20"/>
  <c r="R38" i="20"/>
  <c r="R37" i="20"/>
  <c r="R36" i="20"/>
  <c r="R35" i="20"/>
  <c r="R34" i="20"/>
  <c r="R33" i="20"/>
  <c r="R32" i="20"/>
  <c r="R31" i="20"/>
  <c r="R30" i="20"/>
  <c r="R29" i="20"/>
  <c r="R28" i="20"/>
  <c r="R27" i="20"/>
  <c r="R26" i="20"/>
  <c r="R25" i="20"/>
  <c r="R24" i="20"/>
  <c r="R23" i="20"/>
  <c r="R22" i="20"/>
  <c r="R21" i="20"/>
  <c r="R20" i="20"/>
  <c r="R19" i="20"/>
  <c r="R18" i="20"/>
  <c r="R17" i="20"/>
  <c r="R16" i="20"/>
  <c r="R15" i="20"/>
  <c r="R14" i="20"/>
  <c r="R13" i="20"/>
  <c r="R12" i="20"/>
  <c r="R11" i="20"/>
  <c r="R10" i="20"/>
  <c r="R9" i="20"/>
  <c r="R8" i="20"/>
  <c r="R7" i="20"/>
  <c r="R6" i="20"/>
  <c r="R5" i="20"/>
  <c r="R4" i="20"/>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176" i="20"/>
  <c r="O177" i="20"/>
  <c r="O178" i="20"/>
  <c r="O179" i="20"/>
  <c r="O180" i="20"/>
  <c r="O181" i="20"/>
  <c r="O182" i="20"/>
  <c r="O183" i="20"/>
  <c r="O184" i="20"/>
  <c r="O185" i="20"/>
  <c r="O186" i="20"/>
  <c r="O187" i="20"/>
  <c r="O188" i="20"/>
  <c r="O189" i="20"/>
  <c r="O190" i="20"/>
  <c r="O191" i="20"/>
  <c r="O192" i="20"/>
  <c r="O193" i="20"/>
  <c r="O194" i="20"/>
  <c r="O195" i="20"/>
  <c r="O196" i="20"/>
  <c r="O197" i="20"/>
  <c r="O198"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57" i="20"/>
  <c r="O258" i="20"/>
  <c r="O259" i="20"/>
  <c r="O260" i="20"/>
  <c r="O261" i="20"/>
  <c r="O262" i="20"/>
  <c r="O263" i="20"/>
  <c r="O264" i="20"/>
  <c r="O265" i="20"/>
  <c r="O266" i="20"/>
  <c r="O267" i="20"/>
  <c r="O268" i="20"/>
  <c r="O269" i="20"/>
  <c r="O270" i="20"/>
  <c r="O271" i="20"/>
  <c r="O272" i="20"/>
  <c r="O273" i="20"/>
  <c r="O274" i="20"/>
  <c r="O275" i="20"/>
  <c r="O276" i="20"/>
  <c r="O277" i="20"/>
  <c r="O278" i="20"/>
  <c r="O279" i="20"/>
  <c r="O280" i="20"/>
  <c r="O281" i="20"/>
  <c r="O282" i="20"/>
  <c r="O283" i="20"/>
  <c r="O284" i="20"/>
  <c r="O285" i="20"/>
  <c r="O286" i="20"/>
  <c r="O287" i="20"/>
  <c r="O288" i="20"/>
  <c r="O289" i="20"/>
  <c r="O290" i="20"/>
  <c r="O291" i="20"/>
  <c r="O292" i="20"/>
  <c r="O293" i="20"/>
  <c r="O294" i="20"/>
  <c r="O295" i="20"/>
  <c r="O296" i="20"/>
  <c r="O297" i="20"/>
  <c r="O298" i="20"/>
  <c r="O299" i="20"/>
  <c r="O300" i="20"/>
  <c r="O301" i="20"/>
  <c r="O302" i="20"/>
  <c r="O303" i="20"/>
  <c r="O304" i="20"/>
  <c r="O305" i="20"/>
  <c r="O306" i="20"/>
  <c r="O307" i="20"/>
  <c r="O308" i="20"/>
  <c r="O309" i="20"/>
  <c r="O310" i="20"/>
  <c r="O311" i="20"/>
  <c r="O312" i="20"/>
  <c r="O313" i="20"/>
  <c r="O314" i="20"/>
  <c r="O315" i="20"/>
  <c r="O316" i="20"/>
  <c r="O317" i="20"/>
  <c r="O318" i="20"/>
  <c r="O319" i="20"/>
  <c r="O320" i="20"/>
  <c r="O321" i="20"/>
  <c r="O322" i="20"/>
  <c r="O323" i="20"/>
  <c r="O324" i="20"/>
  <c r="O325" i="20"/>
  <c r="O326" i="20"/>
  <c r="O327" i="20"/>
  <c r="O328" i="20"/>
  <c r="O329" i="20"/>
  <c r="O330" i="20"/>
  <c r="O331" i="20"/>
  <c r="O332" i="20"/>
  <c r="O333" i="20"/>
  <c r="O334" i="20"/>
  <c r="O335" i="20"/>
  <c r="O336" i="20"/>
  <c r="O337" i="20"/>
  <c r="O338" i="20"/>
  <c r="O339" i="20"/>
  <c r="O340" i="20"/>
  <c r="O341" i="20"/>
  <c r="O342" i="20"/>
  <c r="O343" i="20"/>
  <c r="O344" i="20"/>
  <c r="O345" i="20"/>
  <c r="O346" i="20"/>
  <c r="O347" i="20"/>
  <c r="O348" i="20"/>
  <c r="O349" i="20"/>
  <c r="O350" i="20"/>
  <c r="O351" i="20"/>
  <c r="O352" i="20"/>
  <c r="O353" i="20"/>
  <c r="O354" i="20"/>
  <c r="O355" i="20"/>
  <c r="O356" i="20"/>
  <c r="O357" i="20"/>
  <c r="O358" i="20"/>
  <c r="O359" i="20"/>
  <c r="O360" i="20"/>
  <c r="O361" i="20"/>
  <c r="O362" i="20"/>
  <c r="O363" i="20"/>
  <c r="O364" i="20"/>
  <c r="O365" i="20"/>
  <c r="O366" i="20"/>
  <c r="O367" i="20"/>
  <c r="O368" i="20"/>
  <c r="O369" i="20"/>
  <c r="O370" i="20"/>
  <c r="O371" i="20"/>
  <c r="O372" i="20"/>
  <c r="O373" i="20"/>
  <c r="O374" i="20"/>
  <c r="O375" i="20"/>
  <c r="O376" i="20"/>
  <c r="O377" i="20"/>
  <c r="O378" i="20"/>
  <c r="O379" i="20"/>
  <c r="O380" i="20"/>
  <c r="O381" i="20"/>
  <c r="O382" i="20"/>
  <c r="O383" i="20"/>
  <c r="O384" i="20"/>
  <c r="O4" i="20"/>
  <c r="O3" i="20" l="1"/>
  <c r="R3" i="20" s="1"/>
  <c r="U3" i="20" s="1"/>
  <c r="X3" i="20" s="1"/>
  <c r="AA3" i="20" s="1"/>
  <c r="P3" i="20"/>
  <c r="S3" i="20" s="1"/>
  <c r="V3" i="20" s="1"/>
  <c r="Y3" i="20" s="1"/>
  <c r="AB3" i="20" s="1"/>
  <c r="N3" i="20"/>
  <c r="Q3" i="20" s="1"/>
  <c r="T3" i="20" s="1"/>
  <c r="W3" i="20" s="1"/>
  <c r="Z3" i="20" s="1"/>
  <c r="AF3" i="20" s="1"/>
  <c r="AI3" i="20" s="1"/>
  <c r="AL3" i="20" s="1"/>
  <c r="AO3" i="20" s="1"/>
  <c r="AR3" i="20" s="1"/>
  <c r="AU3" i="20" s="1"/>
  <c r="AX3" i="20" s="1"/>
  <c r="BA3" i="20" s="1"/>
  <c r="BD3" i="20" s="1"/>
  <c r="BG3" i="20" s="1"/>
  <c r="BJ3" i="20" s="1"/>
  <c r="L6" i="20"/>
  <c r="L7" i="20"/>
  <c r="L8" i="20"/>
  <c r="L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19" i="20"/>
  <c r="L120" i="20"/>
  <c r="L121" i="20"/>
  <c r="L122" i="20"/>
  <c r="L123" i="20"/>
  <c r="L124" i="20"/>
  <c r="L125" i="20"/>
  <c r="L126" i="20"/>
  <c r="L127" i="20"/>
  <c r="L128" i="20"/>
  <c r="L129" i="20"/>
  <c r="L130" i="20"/>
  <c r="L131" i="20"/>
  <c r="L132" i="20"/>
  <c r="L133" i="20"/>
  <c r="L134" i="20"/>
  <c r="L135" i="20"/>
  <c r="L136" i="20"/>
  <c r="L137" i="20"/>
  <c r="L138" i="20"/>
  <c r="L139" i="20"/>
  <c r="L140" i="20"/>
  <c r="L141" i="20"/>
  <c r="L142" i="20"/>
  <c r="L143" i="20"/>
  <c r="L144" i="20"/>
  <c r="L145" i="20"/>
  <c r="L146" i="20"/>
  <c r="L147" i="20"/>
  <c r="L148" i="20"/>
  <c r="L149" i="20"/>
  <c r="L150" i="20"/>
  <c r="L151" i="20"/>
  <c r="L152" i="20"/>
  <c r="L153" i="20"/>
  <c r="L154" i="20"/>
  <c r="L155" i="20"/>
  <c r="L156" i="20"/>
  <c r="L157" i="20"/>
  <c r="L158" i="20"/>
  <c r="L159" i="20"/>
  <c r="L160" i="20"/>
  <c r="L161" i="20"/>
  <c r="L162" i="20"/>
  <c r="L163" i="20"/>
  <c r="L164" i="20"/>
  <c r="L165" i="20"/>
  <c r="L166" i="20"/>
  <c r="L167" i="20"/>
  <c r="L168" i="20"/>
  <c r="L169" i="20"/>
  <c r="L170" i="20"/>
  <c r="L172" i="20"/>
  <c r="L173" i="20"/>
  <c r="L174" i="20"/>
  <c r="L175" i="20"/>
  <c r="L176" i="20"/>
  <c r="L177" i="20"/>
  <c r="L178" i="20"/>
  <c r="L179" i="20"/>
  <c r="L180" i="20"/>
  <c r="L181" i="20"/>
  <c r="L183" i="20"/>
  <c r="L184" i="20"/>
  <c r="L185" i="20"/>
  <c r="L186" i="20"/>
  <c r="L187" i="20"/>
  <c r="L188" i="20"/>
  <c r="L189" i="20"/>
  <c r="L190" i="20"/>
  <c r="L191" i="20"/>
  <c r="L192" i="20"/>
  <c r="L194" i="20"/>
  <c r="L195" i="20"/>
  <c r="L196" i="20"/>
  <c r="L197" i="20"/>
  <c r="L198" i="20"/>
  <c r="L199" i="20"/>
  <c r="L200" i="20"/>
  <c r="L201" i="20"/>
  <c r="L202" i="20"/>
  <c r="L203" i="20"/>
  <c r="L205" i="20"/>
  <c r="L206" i="20"/>
  <c r="L207" i="20"/>
  <c r="L208" i="20"/>
  <c r="L209" i="20"/>
  <c r="L210" i="20"/>
  <c r="L211" i="20"/>
  <c r="L212" i="20"/>
  <c r="L213" i="20"/>
  <c r="L214" i="20"/>
  <c r="L216" i="20"/>
  <c r="L217" i="20"/>
  <c r="L218" i="20"/>
  <c r="L219" i="20"/>
  <c r="L220" i="20"/>
  <c r="L221" i="20"/>
  <c r="L222" i="20"/>
  <c r="L223" i="20"/>
  <c r="L224" i="20"/>
  <c r="L225" i="20"/>
  <c r="L227" i="20"/>
  <c r="L228" i="20"/>
  <c r="L229" i="20"/>
  <c r="L230" i="20"/>
  <c r="L231" i="20"/>
  <c r="L232" i="20"/>
  <c r="L233" i="20"/>
  <c r="L234" i="20"/>
  <c r="L235" i="20"/>
  <c r="L236" i="20"/>
  <c r="L238" i="20"/>
  <c r="L239" i="20"/>
  <c r="L240" i="20"/>
  <c r="L241" i="20"/>
  <c r="L242" i="20"/>
  <c r="L243" i="20"/>
  <c r="L244" i="20"/>
  <c r="L245" i="20"/>
  <c r="L246" i="20"/>
  <c r="L247" i="20"/>
  <c r="L249" i="20"/>
  <c r="L250" i="20"/>
  <c r="L251" i="20"/>
  <c r="L252" i="20"/>
  <c r="L253" i="20"/>
  <c r="L254" i="20"/>
  <c r="L255" i="20"/>
  <c r="L256" i="20"/>
  <c r="L257" i="20"/>
  <c r="L258" i="20"/>
  <c r="L259" i="20"/>
  <c r="L260" i="20"/>
  <c r="L261" i="20"/>
  <c r="L262" i="20"/>
  <c r="L263" i="20"/>
  <c r="L264" i="20"/>
  <c r="L265" i="20"/>
  <c r="L266" i="20"/>
  <c r="L267" i="20"/>
  <c r="L268" i="20"/>
  <c r="L269" i="20"/>
  <c r="L270" i="20"/>
  <c r="L271" i="20"/>
  <c r="L272" i="20"/>
  <c r="L273" i="20"/>
  <c r="L274" i="20"/>
  <c r="L275" i="20"/>
  <c r="L276" i="20"/>
  <c r="L277" i="20"/>
  <c r="L278" i="20"/>
  <c r="L279" i="20"/>
  <c r="L280" i="20"/>
  <c r="L281" i="20"/>
  <c r="L282" i="20"/>
  <c r="L283" i="20"/>
  <c r="L284" i="20"/>
  <c r="L285" i="20"/>
  <c r="L286" i="20"/>
  <c r="L287" i="20"/>
  <c r="L288" i="20"/>
  <c r="L289" i="20"/>
  <c r="L290" i="20"/>
  <c r="L291" i="20"/>
  <c r="L292" i="20"/>
  <c r="L293" i="20"/>
  <c r="L294" i="20"/>
  <c r="L295" i="20"/>
  <c r="L296" i="20"/>
  <c r="L297" i="20"/>
  <c r="L298" i="20"/>
  <c r="L299" i="20"/>
  <c r="L300" i="20"/>
  <c r="L301" i="20"/>
  <c r="L302" i="20"/>
  <c r="L303" i="20"/>
  <c r="L304" i="20"/>
  <c r="L305" i="20"/>
  <c r="L306" i="20"/>
  <c r="L307" i="20"/>
  <c r="L308" i="20"/>
  <c r="L309" i="20"/>
  <c r="L310" i="20"/>
  <c r="L311" i="20"/>
  <c r="L312" i="20"/>
  <c r="L313" i="20"/>
  <c r="L314" i="20"/>
  <c r="L315" i="20"/>
  <c r="L316" i="20"/>
  <c r="L317" i="20"/>
  <c r="L318" i="20"/>
  <c r="L319" i="20"/>
  <c r="L320" i="20"/>
  <c r="L321" i="20"/>
  <c r="L322" i="20"/>
  <c r="L323" i="20"/>
  <c r="L324" i="20"/>
  <c r="L325" i="20"/>
  <c r="L326" i="20"/>
  <c r="L327" i="20"/>
  <c r="L328" i="20"/>
  <c r="L329" i="20"/>
  <c r="L330" i="20"/>
  <c r="L331" i="20"/>
  <c r="L332" i="20"/>
  <c r="L333" i="20"/>
  <c r="L334" i="20"/>
  <c r="L335" i="20"/>
  <c r="L336" i="20"/>
  <c r="L337" i="20"/>
  <c r="L338" i="20"/>
  <c r="L339" i="20"/>
  <c r="L340" i="20"/>
  <c r="L341" i="20"/>
  <c r="L342" i="20"/>
  <c r="L343" i="20"/>
  <c r="L344" i="20"/>
  <c r="L345" i="20"/>
  <c r="L346" i="20"/>
  <c r="L347" i="20"/>
  <c r="L348" i="20"/>
  <c r="L349" i="20"/>
  <c r="L350" i="20"/>
  <c r="L351" i="20"/>
  <c r="L352" i="20"/>
  <c r="L353" i="20"/>
  <c r="L354" i="20"/>
  <c r="L355" i="20"/>
  <c r="L356" i="20"/>
  <c r="L357" i="20"/>
  <c r="L358" i="20"/>
  <c r="L359" i="20"/>
  <c r="L360" i="20"/>
  <c r="L361" i="20"/>
  <c r="L362" i="20"/>
  <c r="L363" i="20"/>
  <c r="L364" i="20"/>
  <c r="L365" i="20"/>
  <c r="L366" i="20"/>
  <c r="L367" i="20"/>
  <c r="L368" i="20"/>
  <c r="L369" i="20"/>
  <c r="L370" i="20"/>
  <c r="L371" i="20"/>
  <c r="L372" i="20"/>
  <c r="L373" i="20"/>
  <c r="L374" i="20"/>
  <c r="L375" i="20"/>
  <c r="L376" i="20"/>
  <c r="L377" i="20"/>
  <c r="L378" i="20"/>
  <c r="L379" i="20"/>
  <c r="L380" i="20"/>
  <c r="L381" i="20"/>
  <c r="L382" i="20"/>
  <c r="L383" i="20"/>
  <c r="L384" i="20"/>
  <c r="L5"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17" i="20"/>
  <c r="A118" i="20"/>
  <c r="A119" i="20"/>
  <c r="A120" i="20"/>
  <c r="A121" i="20"/>
  <c r="A122" i="20"/>
  <c r="A123" i="20"/>
  <c r="A124" i="20"/>
  <c r="A125" i="20"/>
  <c r="A126" i="20"/>
  <c r="A127" i="20"/>
  <c r="A128" i="20"/>
  <c r="A129" i="20"/>
  <c r="A130" i="20"/>
  <c r="A131" i="20"/>
  <c r="A132" i="20"/>
  <c r="A133" i="20"/>
  <c r="A134" i="20"/>
  <c r="A135" i="20"/>
  <c r="A136" i="20"/>
  <c r="A137" i="20"/>
  <c r="A138" i="20"/>
  <c r="A139" i="20"/>
  <c r="A140" i="20"/>
  <c r="A141" i="20"/>
  <c r="A142" i="20"/>
  <c r="A143" i="20"/>
  <c r="A144" i="20"/>
  <c r="A145" i="20"/>
  <c r="A146" i="20"/>
  <c r="A147" i="20"/>
  <c r="A148" i="20"/>
  <c r="A149" i="20"/>
  <c r="A150" i="20"/>
  <c r="A151" i="20"/>
  <c r="A152" i="20"/>
  <c r="A153" i="20"/>
  <c r="A154" i="20"/>
  <c r="A155" i="20"/>
  <c r="A156" i="20"/>
  <c r="A157" i="20"/>
  <c r="A158" i="20"/>
  <c r="A159" i="20"/>
  <c r="A160" i="20"/>
  <c r="A161" i="20"/>
  <c r="A162" i="20"/>
  <c r="A163" i="20"/>
  <c r="A164" i="20"/>
  <c r="A165" i="20"/>
  <c r="A166" i="20"/>
  <c r="A167" i="20"/>
  <c r="A168" i="20"/>
  <c r="A169" i="20"/>
  <c r="A170" i="20"/>
  <c r="A171" i="20"/>
  <c r="A172" i="20"/>
  <c r="A173" i="20"/>
  <c r="A174" i="20"/>
  <c r="A175" i="20"/>
  <c r="A176" i="20"/>
  <c r="A177" i="20"/>
  <c r="A178" i="20"/>
  <c r="A179" i="20"/>
  <c r="A180" i="20"/>
  <c r="A181" i="20"/>
  <c r="A182" i="20"/>
  <c r="A183" i="20"/>
  <c r="A184" i="20"/>
  <c r="A185" i="20"/>
  <c r="A186" i="20"/>
  <c r="A187" i="20"/>
  <c r="A188" i="20"/>
  <c r="A189" i="20"/>
  <c r="A190" i="20"/>
  <c r="A191" i="20"/>
  <c r="A192" i="20"/>
  <c r="A193" i="20"/>
  <c r="A194" i="20"/>
  <c r="A195" i="20"/>
  <c r="A196" i="20"/>
  <c r="A197" i="20"/>
  <c r="A198" i="20"/>
  <c r="A199" i="20"/>
  <c r="A200" i="20"/>
  <c r="A201" i="20"/>
  <c r="A202" i="20"/>
  <c r="A203" i="20"/>
  <c r="A204" i="20"/>
  <c r="A205" i="20"/>
  <c r="A206" i="20"/>
  <c r="A207" i="20"/>
  <c r="A208" i="20"/>
  <c r="A209" i="20"/>
  <c r="A210" i="20"/>
  <c r="A211" i="20"/>
  <c r="A212" i="20"/>
  <c r="A213" i="20"/>
  <c r="A214" i="20"/>
  <c r="A215" i="20"/>
  <c r="A216" i="20"/>
  <c r="A217" i="20"/>
  <c r="A218" i="20"/>
  <c r="A219" i="20"/>
  <c r="A220" i="20"/>
  <c r="A221" i="20"/>
  <c r="A222" i="20"/>
  <c r="A223" i="20"/>
  <c r="A224" i="20"/>
  <c r="A225" i="20"/>
  <c r="A226" i="20"/>
  <c r="A227" i="20"/>
  <c r="A228" i="20"/>
  <c r="A229" i="20"/>
  <c r="A230" i="20"/>
  <c r="A231" i="20"/>
  <c r="A232" i="20"/>
  <c r="A233" i="20"/>
  <c r="A234" i="20"/>
  <c r="A235" i="20"/>
  <c r="A236" i="20"/>
  <c r="A237" i="20"/>
  <c r="A238" i="20"/>
  <c r="A239" i="20"/>
  <c r="A240" i="20"/>
  <c r="A241" i="20"/>
  <c r="A242" i="20"/>
  <c r="A243" i="20"/>
  <c r="A244" i="20"/>
  <c r="A245" i="20"/>
  <c r="A246" i="20"/>
  <c r="A247" i="20"/>
  <c r="A248" i="20"/>
  <c r="A249" i="20"/>
  <c r="A250" i="20"/>
  <c r="A251" i="20"/>
  <c r="A252" i="20"/>
  <c r="A253" i="20"/>
  <c r="A254" i="20"/>
  <c r="A255" i="20"/>
  <c r="A256" i="20"/>
  <c r="A257" i="20"/>
  <c r="A258" i="20"/>
  <c r="A259" i="20"/>
  <c r="A260" i="20"/>
  <c r="A261" i="20"/>
  <c r="A262" i="20"/>
  <c r="A263" i="20"/>
  <c r="A264" i="20"/>
  <c r="A265" i="20"/>
  <c r="A266" i="20"/>
  <c r="A267" i="20"/>
  <c r="A268" i="20"/>
  <c r="A269" i="20"/>
  <c r="A270" i="20"/>
  <c r="A271" i="20"/>
  <c r="A272" i="20"/>
  <c r="A273" i="20"/>
  <c r="A274" i="20"/>
  <c r="A275" i="20"/>
  <c r="A276" i="20"/>
  <c r="A277" i="20"/>
  <c r="A278" i="20"/>
  <c r="A279" i="20"/>
  <c r="A280" i="20"/>
  <c r="A281" i="20"/>
  <c r="A282" i="20"/>
  <c r="A283" i="20"/>
  <c r="A284" i="20"/>
  <c r="A285" i="20"/>
  <c r="A286" i="20"/>
  <c r="A287" i="20"/>
  <c r="A288" i="20"/>
  <c r="A289" i="20"/>
  <c r="A290" i="20"/>
  <c r="A291" i="20"/>
  <c r="A292" i="20"/>
  <c r="A293" i="20"/>
  <c r="A294" i="20"/>
  <c r="A295" i="20"/>
  <c r="A296" i="20"/>
  <c r="A297" i="20"/>
  <c r="A298" i="20"/>
  <c r="A299" i="20"/>
  <c r="A300" i="20"/>
  <c r="A301" i="20"/>
  <c r="A302" i="20"/>
  <c r="A303" i="20"/>
  <c r="A304" i="20"/>
  <c r="A305" i="20"/>
  <c r="A306" i="20"/>
  <c r="A307" i="20"/>
  <c r="A308" i="20"/>
  <c r="A309" i="20"/>
  <c r="A310" i="20"/>
  <c r="A311" i="20"/>
  <c r="A312" i="20"/>
  <c r="A313" i="20"/>
  <c r="A314" i="20"/>
  <c r="A315" i="20"/>
  <c r="A316" i="20"/>
  <c r="A317" i="20"/>
  <c r="A318" i="20"/>
  <c r="A319" i="20"/>
  <c r="A320" i="20"/>
  <c r="A321" i="20"/>
  <c r="A322" i="20"/>
  <c r="A323" i="20"/>
  <c r="A324" i="20"/>
  <c r="A325" i="20"/>
  <c r="A326" i="20"/>
  <c r="A327" i="20"/>
  <c r="A328" i="20"/>
  <c r="A329" i="20"/>
  <c r="A330" i="20"/>
  <c r="A331" i="20"/>
  <c r="A332" i="20"/>
  <c r="A333" i="20"/>
  <c r="A334" i="20"/>
  <c r="A335" i="20"/>
  <c r="A336" i="20"/>
  <c r="A337" i="20"/>
  <c r="A338" i="20"/>
  <c r="A339" i="20"/>
  <c r="A340" i="20"/>
  <c r="A341" i="20"/>
  <c r="A342" i="20"/>
  <c r="A343" i="20"/>
  <c r="A344" i="20"/>
  <c r="A345" i="20"/>
  <c r="A346" i="20"/>
  <c r="A347" i="20"/>
  <c r="A348" i="20"/>
  <c r="A349" i="20"/>
  <c r="A350" i="20"/>
  <c r="A351" i="20"/>
  <c r="A352" i="20"/>
  <c r="A353" i="20"/>
  <c r="A354" i="20"/>
  <c r="A355" i="20"/>
  <c r="A356" i="20"/>
  <c r="A357" i="20"/>
  <c r="A358" i="20"/>
  <c r="A359" i="20"/>
  <c r="A360" i="20"/>
  <c r="A361" i="20"/>
  <c r="A362" i="20"/>
  <c r="A363" i="20"/>
  <c r="A364" i="20"/>
  <c r="A365" i="20"/>
  <c r="A366" i="20"/>
  <c r="A367" i="20"/>
  <c r="A368" i="20"/>
  <c r="A369" i="20"/>
  <c r="A370" i="20"/>
  <c r="A371" i="20"/>
  <c r="A372" i="20"/>
  <c r="A373" i="20"/>
  <c r="A374" i="20"/>
  <c r="A375" i="20"/>
  <c r="A376" i="20"/>
  <c r="A377" i="20"/>
  <c r="A378" i="20"/>
  <c r="A379" i="20"/>
  <c r="A380" i="20"/>
  <c r="A381" i="20"/>
  <c r="A382" i="20"/>
  <c r="A383" i="20"/>
  <c r="A384" i="20"/>
  <c r="A5" i="20"/>
  <c r="A6" i="20"/>
  <c r="A7" i="20"/>
  <c r="A8" i="20"/>
  <c r="A9" i="20"/>
  <c r="A10" i="20"/>
  <c r="A11" i="20"/>
  <c r="A12" i="20"/>
  <c r="A13" i="20"/>
  <c r="A14" i="20"/>
  <c r="A4" i="20"/>
  <c r="A4" i="19"/>
  <c r="A5" i="19"/>
  <c r="A6" i="19"/>
  <c r="A7" i="19"/>
  <c r="A8" i="19"/>
  <c r="A9" i="19"/>
  <c r="A10" i="19"/>
  <c r="A11" i="19"/>
  <c r="A12" i="19"/>
  <c r="A13" i="19"/>
  <c r="A14" i="19"/>
  <c r="A3" i="19"/>
  <c r="AH3" i="20" l="1"/>
  <c r="AK3" i="20" s="1"/>
  <c r="AN3" i="20" s="1"/>
  <c r="AQ3" i="20" s="1"/>
  <c r="AT3" i="20" s="1"/>
  <c r="AW3" i="20" s="1"/>
  <c r="AZ3" i="20" s="1"/>
  <c r="BC3" i="20" s="1"/>
  <c r="BF3" i="20" s="1"/>
  <c r="BI3" i="20" s="1"/>
  <c r="BL3" i="20" s="1"/>
  <c r="AE3" i="20"/>
  <c r="AG3" i="20"/>
  <c r="AJ3" i="20" s="1"/>
  <c r="AM3" i="20" s="1"/>
  <c r="AP3" i="20" s="1"/>
  <c r="AS3" i="20" s="1"/>
  <c r="AV3" i="20" s="1"/>
  <c r="AY3" i="20" s="1"/>
  <c r="BB3" i="20" s="1"/>
  <c r="BE3" i="20" s="1"/>
  <c r="BH3" i="20" s="1"/>
  <c r="BK3" i="20" s="1"/>
  <c r="AD3" i="20"/>
  <c r="AC3" i="20"/>
  <c r="O14" i="19" l="1"/>
  <c r="O13" i="19"/>
  <c r="O12" i="19"/>
  <c r="O11" i="19"/>
  <c r="O10" i="19"/>
  <c r="O9" i="19"/>
  <c r="O8" i="19"/>
  <c r="O7" i="19"/>
  <c r="O6" i="19"/>
  <c r="O5" i="19"/>
  <c r="O4" i="19"/>
  <c r="O3" i="19"/>
  <c r="L14" i="19"/>
  <c r="L13" i="19"/>
  <c r="L12" i="19"/>
  <c r="L11" i="19"/>
  <c r="L10" i="19"/>
  <c r="L9" i="19"/>
  <c r="L8" i="19"/>
  <c r="L7" i="19"/>
  <c r="L6" i="19"/>
  <c r="L5" i="19"/>
  <c r="L4" i="19"/>
  <c r="L3" i="19"/>
  <c r="I4" i="19"/>
  <c r="I5" i="19"/>
  <c r="I6" i="19"/>
  <c r="I7" i="19"/>
  <c r="I8" i="19"/>
  <c r="I9" i="19"/>
  <c r="I10" i="19"/>
  <c r="I11" i="19"/>
  <c r="I12" i="19"/>
  <c r="I13" i="19"/>
  <c r="I14" i="19"/>
  <c r="I3" i="19"/>
  <c r="N4" i="18" l="1"/>
  <c r="N5" i="18"/>
  <c r="N6" i="18"/>
  <c r="N7" i="18"/>
  <c r="N8" i="18"/>
  <c r="N9" i="18"/>
  <c r="N10" i="18"/>
  <c r="N11" i="18"/>
  <c r="N12" i="18"/>
  <c r="N13" i="18"/>
  <c r="N14" i="18"/>
  <c r="N15" i="18"/>
  <c r="N16" i="18"/>
  <c r="N17" i="18"/>
  <c r="N18" i="18"/>
  <c r="N19" i="18"/>
  <c r="N20" i="18"/>
  <c r="N21" i="18"/>
  <c r="N22" i="18"/>
  <c r="N23" i="18"/>
  <c r="N24" i="18"/>
  <c r="N25" i="18"/>
  <c r="N26" i="18"/>
  <c r="N27" i="18"/>
  <c r="N28" i="18"/>
  <c r="N29" i="18"/>
  <c r="N30" i="18"/>
  <c r="N31" i="18"/>
  <c r="N32" i="18"/>
  <c r="N33" i="18"/>
  <c r="N34" i="18"/>
  <c r="N35" i="18"/>
  <c r="N36" i="18"/>
  <c r="N37" i="18"/>
  <c r="N38" i="18"/>
  <c r="N39" i="18"/>
  <c r="N40" i="18"/>
  <c r="N41" i="18"/>
  <c r="N42" i="18"/>
  <c r="N43" i="18"/>
  <c r="N44" i="18"/>
  <c r="N45" i="18"/>
  <c r="N46" i="18"/>
  <c r="N47" i="18"/>
  <c r="N48" i="18"/>
  <c r="N49" i="18"/>
  <c r="N50" i="18"/>
  <c r="N51" i="18"/>
  <c r="N52" i="18"/>
  <c r="N53" i="18"/>
  <c r="N54" i="18"/>
  <c r="N55" i="18"/>
  <c r="N56" i="18"/>
  <c r="N57" i="18"/>
  <c r="N58" i="18"/>
  <c r="N59" i="18"/>
  <c r="N60" i="18"/>
  <c r="N61" i="18"/>
  <c r="N62" i="18"/>
  <c r="N63" i="18"/>
  <c r="N64" i="18"/>
  <c r="N65" i="18"/>
  <c r="N66" i="18"/>
  <c r="N67" i="18"/>
  <c r="N68" i="18"/>
  <c r="N69" i="18"/>
  <c r="N70" i="18"/>
  <c r="N71" i="18"/>
  <c r="N72" i="18"/>
  <c r="N73" i="18"/>
  <c r="N74" i="18"/>
  <c r="N75" i="18"/>
  <c r="N76" i="18"/>
  <c r="N77" i="18"/>
  <c r="N78" i="18"/>
  <c r="N79" i="18"/>
  <c r="N80" i="18"/>
  <c r="N81" i="18"/>
  <c r="N82" i="18"/>
  <c r="N83" i="18"/>
  <c r="N84" i="18"/>
  <c r="N85" i="18"/>
  <c r="N86" i="18"/>
  <c r="N87" i="18"/>
  <c r="N88" i="18"/>
  <c r="N89" i="18"/>
  <c r="N90" i="18"/>
  <c r="N91" i="18"/>
  <c r="N92" i="18"/>
  <c r="N93" i="18"/>
  <c r="N94" i="18"/>
  <c r="N95" i="18"/>
  <c r="N96" i="18"/>
  <c r="N97" i="18"/>
  <c r="N98" i="18"/>
  <c r="N99" i="18"/>
  <c r="N100" i="18"/>
  <c r="N101" i="18"/>
  <c r="N102" i="18"/>
  <c r="N103" i="18"/>
  <c r="N104" i="18"/>
  <c r="N105" i="18"/>
  <c r="N106" i="18"/>
  <c r="N107" i="18"/>
  <c r="N108" i="18"/>
  <c r="N109" i="18"/>
  <c r="N110" i="18"/>
  <c r="N111" i="18"/>
  <c r="N112" i="18"/>
  <c r="N113" i="18"/>
  <c r="N114" i="18"/>
  <c r="N115" i="18"/>
  <c r="N116" i="18"/>
  <c r="N117" i="18"/>
  <c r="N118" i="18"/>
  <c r="N119" i="18"/>
  <c r="N120" i="18"/>
  <c r="N121" i="18"/>
  <c r="N122" i="18"/>
  <c r="N123" i="18"/>
  <c r="N124" i="18"/>
  <c r="N125" i="18"/>
  <c r="N126" i="18"/>
  <c r="N127" i="18"/>
  <c r="N128" i="18"/>
  <c r="N129" i="18"/>
  <c r="N130" i="18"/>
  <c r="N131" i="18"/>
  <c r="N132" i="18"/>
  <c r="N133" i="18"/>
  <c r="N134" i="18"/>
  <c r="N135" i="18"/>
  <c r="N136" i="18"/>
  <c r="N137" i="18"/>
  <c r="N138" i="18"/>
  <c r="N139" i="18"/>
  <c r="N140" i="18"/>
  <c r="N141" i="18"/>
  <c r="N142" i="18"/>
  <c r="N143" i="18"/>
  <c r="N144" i="18"/>
  <c r="N145" i="18"/>
  <c r="N146" i="18"/>
  <c r="N147" i="18"/>
  <c r="N148" i="18"/>
  <c r="N149" i="18"/>
  <c r="N150" i="18"/>
  <c r="N151" i="18"/>
  <c r="N152" i="18"/>
  <c r="N153" i="18"/>
  <c r="N154" i="18"/>
  <c r="N155" i="18"/>
  <c r="N156" i="18"/>
  <c r="N157" i="18"/>
  <c r="N158" i="18"/>
  <c r="N159" i="18"/>
  <c r="N160" i="18"/>
  <c r="N161" i="18"/>
  <c r="N162" i="18"/>
  <c r="N163" i="18"/>
  <c r="N164" i="18"/>
  <c r="N165" i="18"/>
  <c r="N166" i="18"/>
  <c r="N167" i="18"/>
  <c r="N168" i="18"/>
  <c r="N169" i="18"/>
  <c r="N170" i="18"/>
  <c r="N171" i="18"/>
  <c r="N172" i="18"/>
  <c r="N173" i="18"/>
  <c r="N174" i="18"/>
  <c r="N175" i="18"/>
  <c r="N176" i="18"/>
  <c r="N177" i="18"/>
  <c r="N178" i="18"/>
  <c r="N179" i="18"/>
  <c r="N180" i="18"/>
  <c r="N181" i="18"/>
  <c r="N182" i="18"/>
  <c r="N183" i="18"/>
  <c r="N184" i="18"/>
  <c r="N185" i="18"/>
  <c r="N186" i="18"/>
  <c r="N187" i="18"/>
  <c r="N188" i="18"/>
  <c r="N189" i="18"/>
  <c r="N190" i="18"/>
  <c r="N191" i="18"/>
  <c r="N192" i="18"/>
  <c r="N193" i="18"/>
  <c r="N194" i="18"/>
  <c r="N195" i="18"/>
  <c r="N196" i="18"/>
  <c r="N197" i="18"/>
  <c r="N198" i="18"/>
  <c r="N199" i="18"/>
  <c r="N200" i="18"/>
  <c r="N201" i="18"/>
  <c r="N202" i="18"/>
  <c r="N203" i="18"/>
  <c r="N204" i="18"/>
  <c r="N205" i="18"/>
  <c r="N206" i="18"/>
  <c r="N207" i="18"/>
  <c r="N208" i="18"/>
  <c r="N209" i="18"/>
  <c r="N210" i="18"/>
  <c r="N211" i="18"/>
  <c r="N212" i="18"/>
  <c r="N213" i="18"/>
  <c r="N214" i="18"/>
  <c r="N215" i="18"/>
  <c r="N216" i="18"/>
  <c r="N217" i="18"/>
  <c r="N218" i="18"/>
  <c r="N219" i="18"/>
  <c r="N220" i="18"/>
  <c r="N221" i="18"/>
  <c r="N222" i="18"/>
  <c r="N223" i="18"/>
  <c r="N224" i="18"/>
  <c r="N225" i="18"/>
  <c r="N226" i="18"/>
  <c r="N227" i="18"/>
  <c r="N228" i="18"/>
  <c r="N229" i="18"/>
  <c r="N230" i="18"/>
  <c r="N231" i="18"/>
  <c r="N232" i="18"/>
  <c r="N233" i="18"/>
  <c r="N235" i="18"/>
  <c r="N236" i="18"/>
  <c r="N237" i="18"/>
  <c r="N238" i="18"/>
  <c r="N239" i="18"/>
  <c r="N240" i="18"/>
  <c r="N241" i="18"/>
  <c r="N242" i="18"/>
  <c r="N243" i="18"/>
  <c r="N244" i="18"/>
  <c r="N245" i="18"/>
  <c r="N246" i="18"/>
  <c r="N247" i="18"/>
  <c r="N248" i="18"/>
  <c r="N249" i="18"/>
  <c r="N250" i="18"/>
  <c r="N251" i="18"/>
  <c r="N252" i="18"/>
  <c r="N253" i="18"/>
  <c r="N254" i="18"/>
  <c r="N255" i="18"/>
  <c r="N256" i="18"/>
  <c r="N257" i="18"/>
  <c r="N258" i="18"/>
  <c r="N259" i="18"/>
  <c r="N260" i="18"/>
  <c r="N261" i="18"/>
  <c r="N262" i="18"/>
  <c r="N263" i="18"/>
  <c r="N264" i="18"/>
  <c r="N265" i="18"/>
  <c r="N266" i="18"/>
  <c r="N267" i="18"/>
  <c r="N268" i="18"/>
  <c r="N269" i="18"/>
  <c r="N270" i="18"/>
  <c r="N271" i="18"/>
  <c r="N272" i="18"/>
  <c r="N273" i="18"/>
  <c r="N274" i="18"/>
  <c r="N275" i="18"/>
  <c r="N276" i="18"/>
  <c r="N277" i="18"/>
  <c r="N278" i="18"/>
  <c r="N279" i="18"/>
  <c r="N280" i="18"/>
  <c r="N281" i="18"/>
  <c r="N282" i="18"/>
  <c r="N283" i="18"/>
  <c r="N284" i="18"/>
  <c r="N285" i="18"/>
  <c r="N286" i="18"/>
  <c r="N287" i="18"/>
  <c r="N288" i="18"/>
  <c r="N289" i="18"/>
  <c r="N290" i="18"/>
  <c r="N291" i="18"/>
  <c r="N292" i="18"/>
  <c r="N293" i="18"/>
  <c r="N294" i="18"/>
  <c r="N295" i="18"/>
  <c r="N296" i="18"/>
  <c r="N297" i="18"/>
  <c r="N298" i="18"/>
  <c r="N299" i="18"/>
  <c r="N300" i="18"/>
  <c r="N301" i="18"/>
  <c r="N302" i="18"/>
  <c r="N303" i="18"/>
  <c r="N304" i="18"/>
  <c r="N305" i="18"/>
  <c r="N306" i="18"/>
  <c r="N307" i="18"/>
  <c r="N308" i="18"/>
  <c r="N309" i="18"/>
  <c r="N310" i="18"/>
  <c r="N311" i="18"/>
  <c r="N312" i="18"/>
  <c r="N313" i="18"/>
  <c r="N314" i="18"/>
  <c r="N315" i="18"/>
  <c r="N316" i="18"/>
  <c r="N317" i="18"/>
  <c r="N318" i="18"/>
  <c r="N319" i="18"/>
  <c r="N320" i="18"/>
  <c r="N321" i="18"/>
  <c r="N322" i="18"/>
  <c r="N323" i="18"/>
  <c r="N324" i="18"/>
  <c r="N325" i="18"/>
  <c r="N326" i="18"/>
  <c r="N327" i="18"/>
  <c r="N328" i="18"/>
  <c r="N329" i="18"/>
  <c r="N330" i="18"/>
  <c r="N331" i="18"/>
  <c r="N332" i="18"/>
  <c r="N333" i="18"/>
  <c r="N334" i="18"/>
  <c r="N335" i="18"/>
  <c r="N336" i="18"/>
  <c r="N337" i="18"/>
  <c r="N338" i="18"/>
  <c r="N339" i="18"/>
  <c r="N340" i="18"/>
  <c r="N341" i="18"/>
  <c r="N342" i="18"/>
  <c r="N343" i="18"/>
  <c r="N344" i="18"/>
  <c r="N345" i="18"/>
  <c r="N346" i="18"/>
  <c r="N347" i="18"/>
  <c r="N348" i="18"/>
  <c r="N349" i="18"/>
  <c r="N350" i="18"/>
  <c r="N351" i="18"/>
  <c r="N352" i="18"/>
  <c r="N353" i="18"/>
  <c r="N354" i="18"/>
  <c r="N355" i="18"/>
  <c r="N356" i="18"/>
  <c r="N357" i="18"/>
  <c r="N358" i="18"/>
  <c r="N359" i="18"/>
  <c r="N360" i="18"/>
  <c r="N361" i="18"/>
  <c r="N362" i="18"/>
  <c r="N363" i="18"/>
  <c r="N364" i="18"/>
  <c r="N365" i="18"/>
  <c r="N366" i="18"/>
  <c r="N367" i="18"/>
  <c r="N368" i="18"/>
  <c r="N369" i="18"/>
  <c r="N370" i="18"/>
  <c r="N371" i="18"/>
  <c r="N372" i="18"/>
  <c r="N373" i="18"/>
  <c r="N374" i="18"/>
  <c r="N375" i="18"/>
  <c r="N376" i="18"/>
  <c r="N377" i="18"/>
  <c r="N378" i="18"/>
  <c r="N379" i="18"/>
  <c r="N380" i="18"/>
  <c r="N381" i="18"/>
  <c r="N382" i="18"/>
  <c r="N383" i="18"/>
  <c r="N384" i="18"/>
  <c r="N385" i="18"/>
  <c r="N386" i="18"/>
  <c r="N387" i="18"/>
  <c r="N388" i="18"/>
  <c r="N389" i="18"/>
  <c r="N390" i="18"/>
  <c r="N391" i="18"/>
  <c r="N392" i="18"/>
  <c r="N393" i="18"/>
  <c r="N394" i="18"/>
  <c r="N395" i="18"/>
  <c r="N396" i="18"/>
  <c r="N397" i="18"/>
  <c r="N398" i="18"/>
  <c r="N399" i="18"/>
  <c r="N400" i="18"/>
  <c r="N401" i="18"/>
  <c r="N402" i="18"/>
  <c r="N403" i="18"/>
  <c r="N404" i="18"/>
  <c r="N405" i="18"/>
  <c r="N406" i="18"/>
  <c r="N407" i="18"/>
  <c r="N408" i="18"/>
  <c r="N409" i="18"/>
  <c r="N410" i="18"/>
  <c r="N411" i="18"/>
  <c r="N412" i="18"/>
  <c r="N413" i="18"/>
  <c r="N414" i="18"/>
  <c r="N415" i="18"/>
  <c r="N416" i="18"/>
  <c r="N417" i="18"/>
  <c r="N418" i="18"/>
  <c r="N419" i="18"/>
  <c r="N420" i="18"/>
  <c r="N421" i="18"/>
  <c r="N422" i="18"/>
  <c r="N423" i="18"/>
  <c r="N424" i="18"/>
  <c r="N425" i="18"/>
  <c r="N426" i="18"/>
  <c r="N427" i="18"/>
  <c r="N428" i="18"/>
  <c r="N429" i="18"/>
  <c r="N430" i="18"/>
  <c r="N431" i="18"/>
  <c r="N432" i="18"/>
  <c r="N433" i="18"/>
  <c r="N434" i="18"/>
  <c r="N435" i="18"/>
  <c r="N436" i="18"/>
  <c r="N437" i="18"/>
  <c r="N438" i="18"/>
  <c r="N439" i="18"/>
  <c r="N440" i="18"/>
  <c r="N441" i="18"/>
  <c r="N442" i="18"/>
  <c r="N443" i="18"/>
  <c r="N444" i="18"/>
  <c r="N445" i="18"/>
  <c r="N446" i="18"/>
  <c r="N447" i="18"/>
  <c r="N448" i="18"/>
  <c r="N449" i="18"/>
  <c r="N450" i="18"/>
  <c r="N451" i="18"/>
  <c r="N452" i="18"/>
  <c r="N453" i="18"/>
  <c r="N454" i="18"/>
  <c r="N455" i="18"/>
  <c r="N456" i="18"/>
  <c r="N457" i="18"/>
  <c r="N458" i="18"/>
  <c r="N459" i="18"/>
  <c r="N460" i="18"/>
  <c r="N461" i="18"/>
  <c r="N462" i="18"/>
  <c r="N463" i="18"/>
  <c r="N464" i="18"/>
  <c r="N465" i="18"/>
  <c r="N466" i="18"/>
  <c r="N467" i="18"/>
  <c r="N468" i="18"/>
  <c r="N469" i="18"/>
  <c r="N470" i="18"/>
  <c r="N471" i="18"/>
  <c r="N472" i="18"/>
  <c r="N473" i="18"/>
  <c r="N474" i="18"/>
  <c r="N475" i="18"/>
  <c r="N476" i="18"/>
  <c r="N477" i="18"/>
  <c r="N478" i="18"/>
  <c r="N479" i="18"/>
  <c r="N480" i="18"/>
  <c r="N481" i="18"/>
  <c r="N482" i="18"/>
  <c r="N483" i="18"/>
  <c r="N484" i="18"/>
  <c r="N485" i="18"/>
  <c r="N486" i="18"/>
  <c r="N487" i="18"/>
  <c r="N488" i="18"/>
  <c r="N489" i="18"/>
  <c r="N490" i="18"/>
  <c r="N491" i="18"/>
  <c r="N492" i="18"/>
  <c r="N493" i="18"/>
  <c r="N494" i="18"/>
  <c r="N495" i="18"/>
  <c r="N496" i="18"/>
  <c r="N497" i="18"/>
  <c r="N498" i="18"/>
  <c r="N499" i="18"/>
  <c r="N500" i="18"/>
  <c r="N501" i="18"/>
  <c r="N502" i="18"/>
  <c r="N503" i="18"/>
  <c r="N504" i="18"/>
  <c r="N505" i="18"/>
  <c r="N506" i="18"/>
  <c r="N507" i="18"/>
  <c r="N508" i="18"/>
  <c r="N509" i="18"/>
  <c r="N510" i="18"/>
  <c r="N511" i="18"/>
  <c r="N512" i="18"/>
  <c r="N513" i="18"/>
  <c r="N514" i="18"/>
  <c r="N515" i="18"/>
  <c r="N516" i="18"/>
  <c r="N517" i="18"/>
  <c r="N518" i="18"/>
  <c r="N519" i="18"/>
  <c r="N520" i="18"/>
  <c r="N521" i="18"/>
  <c r="N522" i="18"/>
  <c r="N523" i="18"/>
  <c r="N524" i="18"/>
  <c r="N525" i="18"/>
  <c r="N526" i="18"/>
  <c r="N527" i="18"/>
  <c r="N528" i="18"/>
  <c r="N529" i="18"/>
  <c r="N530" i="18"/>
  <c r="N531" i="18"/>
  <c r="N532" i="18"/>
  <c r="N533" i="18"/>
  <c r="N534" i="18"/>
  <c r="N535" i="18"/>
  <c r="N536" i="18"/>
  <c r="N537" i="18"/>
  <c r="N538" i="18"/>
  <c r="N539" i="18"/>
  <c r="N540" i="18"/>
  <c r="N541" i="18"/>
  <c r="N542" i="18"/>
  <c r="N543" i="18"/>
  <c r="N544" i="18"/>
  <c r="N545" i="18"/>
  <c r="N546" i="18"/>
  <c r="N547" i="18"/>
  <c r="N548" i="18"/>
  <c r="N549" i="18"/>
  <c r="N550" i="18"/>
  <c r="N551" i="18"/>
  <c r="N552" i="18"/>
  <c r="N553" i="18"/>
  <c r="N554" i="18"/>
  <c r="N555" i="18"/>
  <c r="N556" i="18"/>
  <c r="N557" i="18"/>
  <c r="N558" i="18"/>
  <c r="N559" i="18"/>
  <c r="N560" i="18"/>
  <c r="N561" i="18"/>
  <c r="N562" i="18"/>
  <c r="N563" i="18"/>
  <c r="N564" i="18"/>
  <c r="N565" i="18"/>
  <c r="N566" i="18"/>
  <c r="N567" i="18"/>
  <c r="N568" i="18"/>
  <c r="N569" i="18"/>
  <c r="N570" i="18"/>
  <c r="N571" i="18"/>
  <c r="N572" i="18"/>
  <c r="N573" i="18"/>
  <c r="N574" i="18"/>
  <c r="N575" i="18"/>
  <c r="N576" i="18"/>
  <c r="N577" i="18"/>
  <c r="N578" i="18"/>
  <c r="N579" i="18"/>
  <c r="N580" i="18"/>
  <c r="N581" i="18"/>
  <c r="N582" i="18"/>
  <c r="N583" i="18"/>
  <c r="N584" i="18"/>
  <c r="N585" i="18"/>
  <c r="N586" i="18"/>
  <c r="N587" i="18"/>
  <c r="N588" i="18"/>
  <c r="N589" i="18"/>
  <c r="N590" i="18"/>
  <c r="N591" i="18"/>
  <c r="N592" i="18"/>
  <c r="N593" i="18"/>
  <c r="N594" i="18"/>
  <c r="N595" i="18"/>
  <c r="N596" i="18"/>
  <c r="N597" i="18"/>
  <c r="N598" i="18"/>
  <c r="N599" i="18"/>
  <c r="N600" i="18"/>
  <c r="N601" i="18"/>
  <c r="N602" i="18"/>
  <c r="N603" i="18"/>
  <c r="N604" i="18"/>
  <c r="N605" i="18"/>
  <c r="N606" i="18"/>
  <c r="N607" i="18"/>
  <c r="N608" i="18"/>
  <c r="N609" i="18"/>
  <c r="N610" i="18"/>
  <c r="N611" i="18"/>
  <c r="N612" i="18"/>
  <c r="N613" i="18"/>
  <c r="N614" i="18"/>
  <c r="N615" i="18"/>
  <c r="N616" i="18"/>
  <c r="N617" i="18"/>
  <c r="N618" i="18"/>
  <c r="N619" i="18"/>
  <c r="N620" i="18"/>
  <c r="N621" i="18"/>
  <c r="N622" i="18"/>
  <c r="N623" i="18"/>
  <c r="N624" i="18"/>
  <c r="N625" i="18"/>
  <c r="N626" i="18"/>
  <c r="N627" i="18"/>
  <c r="N628" i="18"/>
  <c r="N629" i="18"/>
  <c r="N630" i="18"/>
  <c r="N631" i="18"/>
  <c r="N632" i="18"/>
  <c r="N633" i="18"/>
  <c r="N634" i="18"/>
  <c r="N635" i="18"/>
  <c r="N636" i="18"/>
  <c r="N637" i="18"/>
  <c r="N638" i="18"/>
  <c r="N639" i="18"/>
  <c r="N640" i="18"/>
  <c r="N641" i="18"/>
  <c r="N642" i="18"/>
  <c r="N643" i="18"/>
  <c r="N644" i="18"/>
  <c r="N645" i="18"/>
  <c r="N646" i="18"/>
  <c r="N647" i="18"/>
  <c r="N648" i="18"/>
  <c r="N649" i="18"/>
  <c r="N650" i="18"/>
  <c r="N651" i="18"/>
  <c r="N652" i="18"/>
  <c r="N653" i="18"/>
  <c r="N654" i="18"/>
  <c r="N655" i="18"/>
  <c r="N656" i="18"/>
  <c r="N657" i="18"/>
  <c r="N658" i="18"/>
  <c r="N659" i="18"/>
  <c r="N660" i="18"/>
  <c r="N661" i="18"/>
  <c r="N662" i="18"/>
  <c r="N663" i="18"/>
  <c r="N664" i="18"/>
  <c r="N665" i="18"/>
  <c r="N666" i="18"/>
  <c r="N667" i="18"/>
  <c r="N668" i="18"/>
  <c r="N669" i="18"/>
  <c r="N670" i="18"/>
  <c r="N671" i="18"/>
  <c r="N672" i="18"/>
  <c r="N673" i="18"/>
  <c r="N674" i="18"/>
  <c r="N675" i="18"/>
  <c r="N676" i="18"/>
  <c r="N677" i="18"/>
  <c r="N678" i="18"/>
  <c r="N679" i="18"/>
  <c r="N680" i="18"/>
  <c r="N681" i="18"/>
  <c r="N682" i="18"/>
  <c r="N683" i="18"/>
  <c r="N684" i="18"/>
  <c r="N685" i="18"/>
  <c r="N686" i="18"/>
  <c r="N687" i="18"/>
  <c r="N688" i="18"/>
  <c r="N689" i="18"/>
  <c r="N690" i="18"/>
  <c r="N691" i="18"/>
  <c r="N692" i="18"/>
  <c r="N693" i="18"/>
  <c r="N694" i="18"/>
  <c r="N695" i="18"/>
  <c r="N696" i="18"/>
  <c r="N697" i="18"/>
  <c r="N698" i="18"/>
  <c r="N699" i="18"/>
  <c r="N700" i="18"/>
  <c r="N701" i="18"/>
  <c r="N702" i="18"/>
  <c r="N703" i="18"/>
  <c r="N704" i="18"/>
  <c r="N705" i="18"/>
  <c r="N706" i="18"/>
  <c r="N707" i="18"/>
  <c r="N708" i="18"/>
  <c r="N709" i="18"/>
  <c r="N710" i="18"/>
  <c r="N711" i="18"/>
  <c r="N712" i="18"/>
  <c r="N713" i="18"/>
  <c r="N714" i="18"/>
  <c r="N715" i="18"/>
  <c r="N716" i="18"/>
  <c r="N717" i="18"/>
  <c r="N718" i="18"/>
  <c r="N719" i="18"/>
  <c r="N720" i="18"/>
  <c r="N721" i="18"/>
  <c r="N722" i="18"/>
  <c r="N723" i="18"/>
  <c r="N724" i="18"/>
  <c r="N725" i="18"/>
  <c r="N726" i="18"/>
  <c r="N727" i="18"/>
  <c r="N728" i="18"/>
  <c r="N729" i="18"/>
  <c r="N730" i="18"/>
  <c r="N731" i="18"/>
  <c r="N732" i="18"/>
  <c r="N733" i="18"/>
  <c r="N734" i="18"/>
  <c r="N735" i="18"/>
  <c r="N736" i="18"/>
  <c r="N737" i="18"/>
  <c r="N738" i="18"/>
  <c r="N739" i="18"/>
  <c r="N740" i="18"/>
  <c r="N741" i="18"/>
  <c r="N742" i="18"/>
  <c r="N743" i="18"/>
  <c r="N744" i="18"/>
  <c r="N745" i="18"/>
  <c r="N746" i="18"/>
  <c r="N747" i="18"/>
  <c r="N748" i="18"/>
  <c r="N749" i="18"/>
  <c r="N750" i="18"/>
  <c r="N751" i="18"/>
  <c r="N752" i="18"/>
  <c r="N753" i="18"/>
  <c r="N754" i="18"/>
  <c r="N755" i="18"/>
  <c r="N756" i="18"/>
  <c r="N757" i="18"/>
  <c r="N758" i="18"/>
  <c r="N759" i="18"/>
  <c r="N760" i="18"/>
  <c r="N761" i="18"/>
  <c r="N762" i="18"/>
  <c r="N763" i="18"/>
  <c r="N764" i="18"/>
  <c r="N765" i="18"/>
  <c r="N766" i="18"/>
  <c r="N767" i="18"/>
  <c r="N768" i="18"/>
  <c r="N769" i="18"/>
  <c r="N770" i="18"/>
  <c r="N771" i="18"/>
  <c r="N772" i="18"/>
  <c r="N773" i="18"/>
  <c r="N774" i="18"/>
  <c r="N775" i="18"/>
  <c r="N776" i="18"/>
  <c r="N777" i="18"/>
  <c r="N778" i="18"/>
  <c r="N779" i="18"/>
  <c r="N780" i="18"/>
  <c r="N781" i="18"/>
  <c r="N782" i="18"/>
  <c r="N783" i="18"/>
  <c r="N784" i="18"/>
  <c r="N785" i="18"/>
  <c r="N786" i="18"/>
  <c r="N787" i="18"/>
  <c r="N788" i="18"/>
  <c r="N789" i="18"/>
  <c r="N790" i="18"/>
  <c r="N791" i="18"/>
  <c r="N792" i="18"/>
  <c r="N793" i="18"/>
  <c r="N794" i="18"/>
  <c r="N795" i="18"/>
  <c r="N796" i="18"/>
  <c r="N797" i="18"/>
  <c r="N798" i="18"/>
  <c r="N799" i="18"/>
  <c r="N800" i="18"/>
  <c r="N801" i="18"/>
  <c r="N802" i="18"/>
  <c r="N803" i="18"/>
  <c r="N804" i="18"/>
  <c r="N805" i="18"/>
  <c r="N806" i="18"/>
  <c r="N807" i="18"/>
  <c r="N808" i="18"/>
  <c r="N809" i="18"/>
  <c r="N810" i="18"/>
  <c r="N811" i="18"/>
  <c r="N812" i="18"/>
  <c r="N813" i="18"/>
  <c r="N814" i="18"/>
  <c r="N815" i="18"/>
  <c r="N816" i="18"/>
  <c r="N817" i="18"/>
  <c r="N818" i="18"/>
  <c r="N819" i="18"/>
  <c r="N820" i="18"/>
  <c r="N821" i="18"/>
  <c r="N822" i="18"/>
  <c r="N823" i="18"/>
  <c r="N824" i="18"/>
  <c r="N825" i="18"/>
  <c r="N826" i="18"/>
  <c r="N827" i="18"/>
  <c r="N828" i="18"/>
  <c r="N829" i="18"/>
  <c r="N830" i="18"/>
  <c r="N831" i="18"/>
  <c r="N832" i="18"/>
  <c r="N833" i="18"/>
  <c r="N834" i="18"/>
  <c r="N835" i="18"/>
  <c r="N836" i="18"/>
  <c r="N837" i="18"/>
  <c r="N838" i="18"/>
  <c r="N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A139" i="18"/>
  <c r="A140" i="18"/>
  <c r="A141" i="18"/>
  <c r="A142" i="18"/>
  <c r="A143" i="18"/>
  <c r="A144" i="18"/>
  <c r="A145" i="18"/>
  <c r="A146" i="18"/>
  <c r="A147" i="18"/>
  <c r="A148" i="18"/>
  <c r="A149" i="18"/>
  <c r="A150" i="18"/>
  <c r="A151" i="18"/>
  <c r="A152" i="18"/>
  <c r="A153" i="18"/>
  <c r="A154" i="18"/>
  <c r="A155" i="18"/>
  <c r="A156" i="18"/>
  <c r="A157" i="18"/>
  <c r="A158" i="18"/>
  <c r="A159" i="18"/>
  <c r="A160" i="18"/>
  <c r="A161" i="18"/>
  <c r="A162" i="18"/>
  <c r="A163" i="18"/>
  <c r="A164" i="18"/>
  <c r="A165" i="18"/>
  <c r="A166" i="18"/>
  <c r="A167" i="18"/>
  <c r="A168" i="18"/>
  <c r="A169" i="18"/>
  <c r="A170" i="18"/>
  <c r="A171" i="18"/>
  <c r="A172" i="18"/>
  <c r="A173" i="18"/>
  <c r="A174" i="18"/>
  <c r="A175" i="18"/>
  <c r="A176" i="18"/>
  <c r="A177" i="18"/>
  <c r="A178" i="18"/>
  <c r="A179" i="18"/>
  <c r="A180" i="18"/>
  <c r="A181" i="18"/>
  <c r="A182" i="18"/>
  <c r="A183" i="18"/>
  <c r="A184" i="18"/>
  <c r="A185" i="18"/>
  <c r="A186" i="18"/>
  <c r="A187" i="18"/>
  <c r="A188" i="18"/>
  <c r="A189" i="18"/>
  <c r="A190" i="18"/>
  <c r="A191" i="18"/>
  <c r="A192" i="18"/>
  <c r="A193" i="18"/>
  <c r="A194" i="18"/>
  <c r="A195" i="18"/>
  <c r="A196" i="18"/>
  <c r="A197" i="18"/>
  <c r="A198" i="18"/>
  <c r="A199" i="18"/>
  <c r="A200" i="18"/>
  <c r="A201" i="18"/>
  <c r="A202" i="18"/>
  <c r="A203" i="18"/>
  <c r="A204" i="18"/>
  <c r="A205" i="18"/>
  <c r="A206" i="18"/>
  <c r="A3" i="18"/>
  <c r="A3" i="17"/>
  <c r="O3" i="17"/>
  <c r="A4" i="17"/>
  <c r="O4" i="17"/>
  <c r="A5" i="17"/>
  <c r="O5" i="17"/>
  <c r="A6" i="17"/>
  <c r="O6" i="17"/>
  <c r="A7" i="17"/>
  <c r="O7" i="17"/>
  <c r="R87" i="16"/>
  <c r="R86" i="16"/>
  <c r="R85" i="16"/>
  <c r="R84" i="16"/>
  <c r="R83" i="16"/>
  <c r="R82" i="16"/>
  <c r="R81" i="16"/>
  <c r="R80" i="16"/>
  <c r="R79" i="16"/>
  <c r="R78" i="16"/>
  <c r="R77" i="16"/>
  <c r="R76" i="16"/>
  <c r="R75" i="16"/>
  <c r="R74" i="16"/>
  <c r="R73" i="16"/>
  <c r="R72" i="16"/>
  <c r="R71" i="16"/>
  <c r="R70" i="16"/>
  <c r="R69" i="16"/>
  <c r="R68" i="16"/>
  <c r="R67" i="16"/>
  <c r="R66" i="16"/>
  <c r="R65" i="16"/>
  <c r="R64" i="16"/>
  <c r="R63" i="16"/>
  <c r="R62" i="16"/>
  <c r="R61" i="16"/>
  <c r="R60" i="16"/>
  <c r="R59" i="16"/>
  <c r="R58" i="16"/>
  <c r="R57" i="16"/>
  <c r="R56" i="16"/>
  <c r="R55" i="16"/>
  <c r="R54" i="16"/>
  <c r="R53" i="16"/>
  <c r="R52" i="16"/>
  <c r="R51" i="16"/>
  <c r="R50" i="16"/>
  <c r="R49" i="16"/>
  <c r="R48" i="16"/>
  <c r="R47" i="16"/>
  <c r="R46" i="16"/>
  <c r="R45" i="16"/>
  <c r="R44" i="16"/>
  <c r="R43" i="16"/>
  <c r="R42" i="16"/>
  <c r="R41" i="16"/>
  <c r="R40" i="16"/>
  <c r="R39" i="16"/>
  <c r="R38" i="16"/>
  <c r="R37" i="16"/>
  <c r="R36" i="16"/>
  <c r="R35" i="16"/>
  <c r="R34" i="16"/>
  <c r="R33" i="16"/>
  <c r="R32" i="16"/>
  <c r="R31" i="16"/>
  <c r="R30" i="16"/>
  <c r="R29" i="16"/>
  <c r="R28" i="16"/>
  <c r="R27" i="16"/>
  <c r="R26" i="16"/>
  <c r="R25" i="16"/>
  <c r="R24" i="16"/>
  <c r="R23" i="16"/>
  <c r="R22" i="16"/>
  <c r="R21" i="16"/>
  <c r="R20" i="16"/>
  <c r="R19" i="16"/>
  <c r="R18" i="16"/>
  <c r="R17" i="16"/>
  <c r="R16" i="16"/>
  <c r="R15" i="16"/>
  <c r="R14" i="16"/>
  <c r="R13" i="16"/>
  <c r="R12" i="16"/>
  <c r="R11" i="16"/>
  <c r="R10" i="16"/>
  <c r="R9" i="16"/>
  <c r="R8" i="16"/>
  <c r="R7" i="16"/>
  <c r="R6" i="16"/>
  <c r="R5" i="16"/>
  <c r="R4" i="16"/>
  <c r="R3" i="16"/>
  <c r="O87" i="16"/>
  <c r="O86" i="16"/>
  <c r="O85" i="16"/>
  <c r="O84" i="16"/>
  <c r="O83" i="16"/>
  <c r="O82" i="16"/>
  <c r="O81" i="16"/>
  <c r="O80" i="16"/>
  <c r="O79" i="16"/>
  <c r="O78" i="16"/>
  <c r="O77" i="16"/>
  <c r="O76" i="16"/>
  <c r="O75" i="16"/>
  <c r="O74" i="16"/>
  <c r="O73" i="16"/>
  <c r="O72" i="16"/>
  <c r="O71" i="16"/>
  <c r="O70" i="16"/>
  <c r="O69" i="16"/>
  <c r="O68" i="16"/>
  <c r="O67" i="16"/>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O33" i="16"/>
  <c r="O32" i="16"/>
  <c r="O31" i="16"/>
  <c r="O30" i="16"/>
  <c r="O29" i="16"/>
  <c r="O28" i="16"/>
  <c r="O27" i="16"/>
  <c r="O26" i="16"/>
  <c r="O25" i="16"/>
  <c r="O24" i="16"/>
  <c r="O23" i="16"/>
  <c r="O22" i="16"/>
  <c r="O21"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L3" i="16"/>
  <c r="I87" i="16"/>
  <c r="I86" i="16"/>
  <c r="I85" i="16"/>
  <c r="I84" i="16"/>
  <c r="I83" i="16"/>
  <c r="I82" i="16"/>
  <c r="I81" i="16"/>
  <c r="I80" i="16"/>
  <c r="I79" i="16"/>
  <c r="I78" i="16"/>
  <c r="I77" i="16"/>
  <c r="I76" i="16"/>
  <c r="I75" i="16"/>
  <c r="I74" i="16"/>
  <c r="I73" i="16"/>
  <c r="I72" i="16"/>
  <c r="I71" i="16"/>
  <c r="I70" i="16"/>
  <c r="I69" i="16"/>
  <c r="I68" i="16"/>
  <c r="I67" i="16"/>
  <c r="I66" i="16"/>
  <c r="I65" i="16"/>
  <c r="I64" i="16"/>
  <c r="I63" i="16"/>
  <c r="I62" i="16"/>
  <c r="I61" i="16"/>
  <c r="I60" i="16"/>
  <c r="I59" i="16"/>
  <c r="I58" i="16"/>
  <c r="I57" i="16"/>
  <c r="I56" i="16"/>
  <c r="I55" i="16"/>
  <c r="I54" i="16"/>
  <c r="I53" i="16"/>
  <c r="I52" i="16"/>
  <c r="I51" i="16"/>
  <c r="I50" i="16"/>
  <c r="I49" i="16"/>
  <c r="I48" i="16"/>
  <c r="I47" i="16"/>
  <c r="I46" i="16"/>
  <c r="I45" i="16"/>
  <c r="I44" i="16"/>
  <c r="I43" i="16"/>
  <c r="I42" i="16"/>
  <c r="I41" i="16"/>
  <c r="I40" i="16"/>
  <c r="I39" i="16"/>
  <c r="I38" i="16"/>
  <c r="I37" i="16"/>
  <c r="I36" i="16"/>
  <c r="I35" i="16"/>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I7" i="16"/>
  <c r="I6" i="16"/>
  <c r="I5" i="16"/>
  <c r="I4" i="16"/>
  <c r="I3" i="16"/>
  <c r="F4" i="16"/>
  <c r="F5" i="16"/>
  <c r="F7" i="16"/>
  <c r="F8" i="16"/>
  <c r="F10" i="16"/>
  <c r="F11" i="16"/>
  <c r="F12" i="16"/>
  <c r="F13" i="16"/>
  <c r="F14" i="16"/>
  <c r="F16" i="16"/>
  <c r="F17" i="16"/>
  <c r="F18" i="16"/>
  <c r="F19" i="16"/>
  <c r="F21" i="16"/>
  <c r="F22" i="16"/>
  <c r="F23" i="16"/>
  <c r="F24" i="16"/>
  <c r="F26" i="16"/>
  <c r="F27" i="16"/>
  <c r="F28" i="16"/>
  <c r="F29" i="16"/>
  <c r="F30" i="16"/>
  <c r="F31" i="16"/>
  <c r="F33" i="16"/>
  <c r="F34" i="16"/>
  <c r="F36" i="16"/>
  <c r="F37" i="16"/>
  <c r="F38" i="16"/>
  <c r="F39" i="16"/>
  <c r="F40" i="16"/>
  <c r="F42" i="16"/>
  <c r="F43" i="16"/>
  <c r="F45" i="16"/>
  <c r="F46" i="16"/>
  <c r="F48" i="16"/>
  <c r="F49" i="16"/>
  <c r="F50" i="16"/>
  <c r="F52" i="16"/>
  <c r="F53" i="16"/>
  <c r="F54" i="16"/>
  <c r="F56" i="16"/>
  <c r="F57" i="16"/>
  <c r="F58" i="16"/>
  <c r="F60" i="16"/>
  <c r="F61" i="16"/>
  <c r="F62" i="16"/>
  <c r="F64" i="16"/>
  <c r="F65" i="16"/>
  <c r="F66" i="16"/>
  <c r="F68" i="16"/>
  <c r="F69" i="16"/>
  <c r="F70" i="16"/>
  <c r="F72" i="16"/>
  <c r="F73" i="16"/>
  <c r="F74" i="16"/>
  <c r="F76" i="16"/>
  <c r="F77" i="16"/>
  <c r="F78" i="16"/>
  <c r="F80" i="16"/>
  <c r="F81" i="16"/>
  <c r="F83" i="16"/>
  <c r="F84" i="16"/>
  <c r="F86" i="16"/>
  <c r="F87" i="16"/>
  <c r="F3"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4" i="16"/>
  <c r="A5" i="16"/>
  <c r="A6" i="16"/>
  <c r="A7" i="16"/>
  <c r="A8" i="16"/>
  <c r="A9" i="16"/>
  <c r="A10" i="16"/>
  <c r="A11" i="16"/>
  <c r="A12" i="16"/>
  <c r="A3" i="16"/>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3" i="15"/>
  <c r="M170" i="15"/>
  <c r="M169" i="15"/>
  <c r="M168" i="15"/>
  <c r="M167" i="15"/>
  <c r="M166" i="15"/>
  <c r="M165" i="15"/>
  <c r="M164" i="15"/>
  <c r="M163" i="15"/>
  <c r="M162" i="15"/>
  <c r="M161" i="15"/>
  <c r="M160" i="15"/>
  <c r="M159" i="15"/>
  <c r="M158" i="15"/>
  <c r="M157" i="15"/>
  <c r="M156" i="15"/>
  <c r="M155" i="15"/>
  <c r="M154" i="15"/>
  <c r="M153" i="15"/>
  <c r="M152" i="15"/>
  <c r="M151" i="15"/>
  <c r="M150" i="15"/>
  <c r="M149" i="15"/>
  <c r="M148" i="15"/>
  <c r="M147" i="15"/>
  <c r="M146" i="15"/>
  <c r="M145" i="15"/>
  <c r="M144" i="15"/>
  <c r="M143" i="15"/>
  <c r="M142" i="15"/>
  <c r="M141" i="15"/>
  <c r="M140" i="15"/>
  <c r="M139" i="15"/>
  <c r="M138" i="15"/>
  <c r="M137" i="15"/>
  <c r="M136" i="15"/>
  <c r="M135" i="15"/>
  <c r="M134" i="15"/>
  <c r="M133" i="15"/>
  <c r="M132" i="15"/>
  <c r="M131" i="15"/>
  <c r="M130" i="15"/>
  <c r="M129" i="15"/>
  <c r="M128" i="15"/>
  <c r="M127" i="15"/>
  <c r="M126" i="15"/>
  <c r="M125" i="15"/>
  <c r="M124" i="15"/>
  <c r="M123" i="15"/>
  <c r="M122" i="15"/>
  <c r="M121" i="15"/>
  <c r="M120" i="15"/>
  <c r="M119" i="15"/>
  <c r="M118" i="15"/>
  <c r="M117" i="15"/>
  <c r="M116" i="15"/>
  <c r="M115" i="15"/>
  <c r="M114" i="15"/>
  <c r="M113" i="15"/>
  <c r="M112" i="15"/>
  <c r="M111" i="15"/>
  <c r="M110" i="15"/>
  <c r="M109" i="15"/>
  <c r="M108" i="15"/>
  <c r="M107" i="15"/>
  <c r="M106" i="15"/>
  <c r="M105" i="15"/>
  <c r="M104" i="15"/>
  <c r="M103" i="15"/>
  <c r="M102" i="15"/>
  <c r="M101" i="15"/>
  <c r="M100" i="15"/>
  <c r="M99" i="15"/>
  <c r="M98" i="15"/>
  <c r="M97" i="15"/>
  <c r="M96" i="15"/>
  <c r="M95" i="15"/>
  <c r="M94" i="15"/>
  <c r="M93" i="15"/>
  <c r="M92" i="15"/>
  <c r="M91" i="15"/>
  <c r="M90" i="15"/>
  <c r="M89" i="15"/>
  <c r="M88" i="15"/>
  <c r="M87" i="15"/>
  <c r="M86" i="15"/>
  <c r="M85" i="15"/>
  <c r="M84" i="15"/>
  <c r="M83" i="15"/>
  <c r="M82" i="15"/>
  <c r="M81" i="15"/>
  <c r="M80" i="15"/>
  <c r="M79" i="15"/>
  <c r="M78" i="15"/>
  <c r="M77" i="15"/>
  <c r="M76" i="15"/>
  <c r="M75" i="15"/>
  <c r="M74" i="15"/>
  <c r="M73" i="15"/>
  <c r="M72" i="15"/>
  <c r="M71" i="15"/>
  <c r="M70" i="15"/>
  <c r="M69" i="15"/>
  <c r="M68" i="15"/>
  <c r="M67" i="15"/>
  <c r="M66" i="15"/>
  <c r="M65" i="15"/>
  <c r="M64" i="15"/>
  <c r="M63" i="15"/>
  <c r="M62" i="15"/>
  <c r="M61" i="15"/>
  <c r="M60" i="15"/>
  <c r="M59" i="15"/>
  <c r="M58" i="15"/>
  <c r="M57" i="15"/>
  <c r="M56" i="15"/>
  <c r="M55" i="15"/>
  <c r="M54" i="15"/>
  <c r="M53" i="15"/>
  <c r="M52" i="15"/>
  <c r="M51" i="15"/>
  <c r="M50" i="15"/>
  <c r="M49" i="15"/>
  <c r="M48" i="15"/>
  <c r="M47" i="15"/>
  <c r="M46" i="15"/>
  <c r="M45" i="15"/>
  <c r="M44" i="15"/>
  <c r="M43" i="15"/>
  <c r="M42" i="15"/>
  <c r="M41" i="15"/>
  <c r="M40" i="15"/>
  <c r="M39" i="15"/>
  <c r="M38" i="15"/>
  <c r="M37" i="15"/>
  <c r="M36" i="15"/>
  <c r="M35" i="15"/>
  <c r="M34" i="15"/>
  <c r="M33" i="15"/>
  <c r="M32" i="15"/>
  <c r="M31" i="15"/>
  <c r="M30" i="15"/>
  <c r="M29" i="15"/>
  <c r="M28" i="15"/>
  <c r="M27" i="15"/>
  <c r="M26" i="15"/>
  <c r="M25" i="15"/>
  <c r="M24" i="15"/>
  <c r="M23" i="15"/>
  <c r="M22" i="15"/>
  <c r="M21" i="15"/>
  <c r="M20" i="15"/>
  <c r="M19" i="15"/>
  <c r="M18" i="15"/>
  <c r="M17" i="15"/>
  <c r="M16" i="15"/>
  <c r="M15" i="15"/>
  <c r="M14" i="15"/>
  <c r="M13" i="15"/>
  <c r="M12" i="15"/>
  <c r="M11" i="15"/>
  <c r="M10" i="15"/>
  <c r="M9" i="15"/>
  <c r="M8" i="15"/>
  <c r="M7" i="15"/>
  <c r="M6" i="15"/>
  <c r="M5" i="15"/>
  <c r="M4" i="15"/>
  <c r="M3" i="15"/>
  <c r="J170" i="15"/>
  <c r="J169" i="15"/>
  <c r="J168" i="15"/>
  <c r="J167" i="15"/>
  <c r="J166" i="15"/>
  <c r="J165" i="15"/>
  <c r="J164" i="15"/>
  <c r="J163" i="15"/>
  <c r="J162" i="15"/>
  <c r="J161" i="15"/>
  <c r="J160" i="15"/>
  <c r="J159" i="15"/>
  <c r="J158" i="15"/>
  <c r="J157" i="15"/>
  <c r="J156" i="15"/>
  <c r="J155" i="15"/>
  <c r="J154" i="15"/>
  <c r="J153" i="15"/>
  <c r="J152" i="15"/>
  <c r="J151" i="15"/>
  <c r="J150" i="15"/>
  <c r="J149" i="15"/>
  <c r="J148" i="15"/>
  <c r="J147" i="15"/>
  <c r="J146" i="15"/>
  <c r="J145" i="15"/>
  <c r="J144" i="15"/>
  <c r="J143" i="15"/>
  <c r="J142" i="15"/>
  <c r="J141" i="15"/>
  <c r="J140" i="15"/>
  <c r="J139" i="15"/>
  <c r="J138" i="15"/>
  <c r="J137" i="15"/>
  <c r="J136" i="15"/>
  <c r="J135" i="15"/>
  <c r="J134" i="15"/>
  <c r="J133" i="15"/>
  <c r="J132" i="15"/>
  <c r="J131" i="15"/>
  <c r="J130" i="15"/>
  <c r="J129" i="15"/>
  <c r="J128" i="15"/>
  <c r="J127" i="15"/>
  <c r="J126" i="15"/>
  <c r="J125" i="15"/>
  <c r="J124" i="15"/>
  <c r="J123" i="15"/>
  <c r="J122" i="15"/>
  <c r="J121" i="15"/>
  <c r="J120" i="15"/>
  <c r="J119" i="15"/>
  <c r="J118" i="15"/>
  <c r="J117" i="15"/>
  <c r="J116" i="15"/>
  <c r="J115" i="15"/>
  <c r="J114" i="15"/>
  <c r="J113" i="15"/>
  <c r="J112" i="15"/>
  <c r="J111" i="15"/>
  <c r="J110" i="15"/>
  <c r="J109" i="15"/>
  <c r="J108" i="15"/>
  <c r="J107" i="15"/>
  <c r="J106" i="15"/>
  <c r="J105" i="15"/>
  <c r="J104" i="15"/>
  <c r="J103" i="15"/>
  <c r="J102" i="15"/>
  <c r="J101" i="15"/>
  <c r="J100" i="15"/>
  <c r="J99" i="15"/>
  <c r="J98" i="15"/>
  <c r="J97" i="15"/>
  <c r="J96" i="15"/>
  <c r="J95" i="15"/>
  <c r="J94" i="15"/>
  <c r="J93" i="15"/>
  <c r="J92" i="15"/>
  <c r="J91" i="15"/>
  <c r="J90" i="15"/>
  <c r="J89" i="15"/>
  <c r="J88" i="15"/>
  <c r="J87" i="15"/>
  <c r="J86" i="15"/>
  <c r="J85" i="15"/>
  <c r="J84" i="15"/>
  <c r="J83" i="15"/>
  <c r="J82" i="15"/>
  <c r="J81" i="15"/>
  <c r="J80" i="15"/>
  <c r="J79" i="15"/>
  <c r="J78" i="15"/>
  <c r="J77" i="15"/>
  <c r="J76"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J3" i="15"/>
  <c r="G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3" i="15"/>
  <c r="L335" i="14"/>
  <c r="L329" i="14"/>
  <c r="L323" i="14"/>
  <c r="L317" i="14"/>
  <c r="L295" i="14"/>
  <c r="L292" i="14"/>
  <c r="L289" i="14"/>
  <c r="L286" i="14"/>
  <c r="L283" i="14"/>
  <c r="L280" i="14"/>
  <c r="L277" i="14"/>
  <c r="L274" i="14"/>
  <c r="L271" i="14"/>
  <c r="L268" i="14"/>
  <c r="L265" i="14"/>
  <c r="L262" i="14"/>
  <c r="L259" i="14"/>
  <c r="L256" i="14"/>
  <c r="L253" i="14"/>
  <c r="L250" i="14"/>
  <c r="L247" i="14"/>
  <c r="L184" i="14"/>
  <c r="L178" i="14"/>
  <c r="L165" i="14"/>
  <c r="L162" i="14"/>
  <c r="L128" i="14"/>
  <c r="L125" i="14"/>
  <c r="L122" i="14"/>
  <c r="L119" i="14"/>
  <c r="L116" i="14"/>
  <c r="L113" i="14"/>
  <c r="L110" i="14"/>
  <c r="L107" i="14"/>
  <c r="L104" i="14"/>
  <c r="L101" i="14"/>
  <c r="L80" i="14"/>
  <c r="L68" i="14"/>
  <c r="L65" i="14"/>
  <c r="L62" i="14"/>
  <c r="L59" i="14"/>
  <c r="L56" i="14"/>
  <c r="I367" i="14"/>
  <c r="I366" i="14"/>
  <c r="I365" i="14"/>
  <c r="I364" i="14"/>
  <c r="I355" i="14"/>
  <c r="I354" i="14"/>
  <c r="I353" i="14"/>
  <c r="I352" i="14"/>
  <c r="I343" i="14"/>
  <c r="I342" i="14"/>
  <c r="I341" i="14"/>
  <c r="I340" i="14"/>
  <c r="I308" i="14"/>
  <c r="I307" i="14"/>
  <c r="I299" i="14"/>
  <c r="I298" i="14"/>
  <c r="I295" i="14"/>
  <c r="I292" i="14"/>
  <c r="I289" i="14"/>
  <c r="I286" i="14"/>
  <c r="I283" i="14"/>
  <c r="I280" i="14"/>
  <c r="I277" i="14"/>
  <c r="I274" i="14"/>
  <c r="I271" i="14"/>
  <c r="I268" i="14"/>
  <c r="I265" i="14"/>
  <c r="I262" i="14"/>
  <c r="I259" i="14"/>
  <c r="I256" i="14"/>
  <c r="I253" i="14"/>
  <c r="I250" i="14"/>
  <c r="I247" i="14"/>
  <c r="I238" i="14"/>
  <c r="I237" i="14"/>
  <c r="I236" i="14"/>
  <c r="I235" i="14"/>
  <c r="I226" i="14"/>
  <c r="I225" i="14"/>
  <c r="I224" i="14"/>
  <c r="I223" i="14"/>
  <c r="I214" i="14"/>
  <c r="I213" i="14"/>
  <c r="I212" i="14"/>
  <c r="I211" i="14"/>
  <c r="I201" i="14"/>
  <c r="I200" i="14"/>
  <c r="I190" i="14"/>
  <c r="I189" i="14"/>
  <c r="I169" i="14"/>
  <c r="I168" i="14"/>
  <c r="I165" i="14"/>
  <c r="I162" i="14"/>
  <c r="I160" i="14"/>
  <c r="I159" i="14"/>
  <c r="I132" i="14"/>
  <c r="I131" i="14"/>
  <c r="I128" i="14"/>
  <c r="I125" i="14"/>
  <c r="I122" i="14"/>
  <c r="I119" i="14"/>
  <c r="I116" i="14"/>
  <c r="I113" i="14"/>
  <c r="I110" i="14"/>
  <c r="I107" i="14"/>
  <c r="I104" i="14"/>
  <c r="I101" i="14"/>
  <c r="I99" i="14"/>
  <c r="I98" i="14"/>
  <c r="I96" i="14"/>
  <c r="I95" i="14"/>
  <c r="I93" i="14"/>
  <c r="I92" i="14"/>
  <c r="I90" i="14"/>
  <c r="I89" i="14"/>
  <c r="I87" i="14"/>
  <c r="I86" i="14"/>
  <c r="I77" i="14"/>
  <c r="I76" i="14"/>
  <c r="I74" i="14"/>
  <c r="I73" i="14"/>
  <c r="I71" i="14"/>
  <c r="I70" i="14"/>
  <c r="I67" i="14"/>
  <c r="I64" i="14"/>
  <c r="I61" i="14"/>
  <c r="I58" i="14"/>
  <c r="I55" i="14"/>
  <c r="I18" i="14"/>
  <c r="I17" i="14"/>
  <c r="X375" i="14"/>
  <c r="X374" i="14"/>
  <c r="X373" i="14"/>
  <c r="X372" i="14"/>
  <c r="X371" i="14"/>
  <c r="X370" i="14"/>
  <c r="X369" i="14"/>
  <c r="X368" i="14"/>
  <c r="X367" i="14"/>
  <c r="X366" i="14"/>
  <c r="X365" i="14"/>
  <c r="X364" i="14"/>
  <c r="X363" i="14"/>
  <c r="X362" i="14"/>
  <c r="X361" i="14"/>
  <c r="X360" i="14"/>
  <c r="X359" i="14"/>
  <c r="X358" i="14"/>
  <c r="X357" i="14"/>
  <c r="X356" i="14"/>
  <c r="X355" i="14"/>
  <c r="X354" i="14"/>
  <c r="X353" i="14"/>
  <c r="X352" i="14"/>
  <c r="X351" i="14"/>
  <c r="X350" i="14"/>
  <c r="X349" i="14"/>
  <c r="X348" i="14"/>
  <c r="X347" i="14"/>
  <c r="X346" i="14"/>
  <c r="X345" i="14"/>
  <c r="X344" i="14"/>
  <c r="X343" i="14"/>
  <c r="X342" i="14"/>
  <c r="X341" i="14"/>
  <c r="X340" i="14"/>
  <c r="X339" i="14"/>
  <c r="X338" i="14"/>
  <c r="X337" i="14"/>
  <c r="X336" i="14"/>
  <c r="X335" i="14"/>
  <c r="X334" i="14"/>
  <c r="X333" i="14"/>
  <c r="X332" i="14"/>
  <c r="X331" i="14"/>
  <c r="X330" i="14"/>
  <c r="X329" i="14"/>
  <c r="X328" i="14"/>
  <c r="X327" i="14"/>
  <c r="X326" i="14"/>
  <c r="X325" i="14"/>
  <c r="X324" i="14"/>
  <c r="X323" i="14"/>
  <c r="X322" i="14"/>
  <c r="X321" i="14"/>
  <c r="X320" i="14"/>
  <c r="X319" i="14"/>
  <c r="X318" i="14"/>
  <c r="X317" i="14"/>
  <c r="X316" i="14"/>
  <c r="X315" i="14"/>
  <c r="X314" i="14"/>
  <c r="X313" i="14"/>
  <c r="X312" i="14"/>
  <c r="X311" i="14"/>
  <c r="X310" i="14"/>
  <c r="X309" i="14"/>
  <c r="X308" i="14"/>
  <c r="X307" i="14"/>
  <c r="X306" i="14"/>
  <c r="X305" i="14"/>
  <c r="X304" i="14"/>
  <c r="X303" i="14"/>
  <c r="X302" i="14"/>
  <c r="X301" i="14"/>
  <c r="X300" i="14"/>
  <c r="X299" i="14"/>
  <c r="X298" i="14"/>
  <c r="X297" i="14"/>
  <c r="X296" i="14"/>
  <c r="X295" i="14"/>
  <c r="X294" i="14"/>
  <c r="X293" i="14"/>
  <c r="X292" i="14"/>
  <c r="X291" i="14"/>
  <c r="X290" i="14"/>
  <c r="X289" i="14"/>
  <c r="X288" i="14"/>
  <c r="X287" i="14"/>
  <c r="X286" i="14"/>
  <c r="X285" i="14"/>
  <c r="X284" i="14"/>
  <c r="X283" i="14"/>
  <c r="X282" i="14"/>
  <c r="X281" i="14"/>
  <c r="X280" i="14"/>
  <c r="X279" i="14"/>
  <c r="X278" i="14"/>
  <c r="X277" i="14"/>
  <c r="X276" i="14"/>
  <c r="X275" i="14"/>
  <c r="X274" i="14"/>
  <c r="X273" i="14"/>
  <c r="X272" i="14"/>
  <c r="X271" i="14"/>
  <c r="X270" i="14"/>
  <c r="X269" i="14"/>
  <c r="X268" i="14"/>
  <c r="X267" i="14"/>
  <c r="X266" i="14"/>
  <c r="X265" i="14"/>
  <c r="X264" i="14"/>
  <c r="X263" i="14"/>
  <c r="X262" i="14"/>
  <c r="X261" i="14"/>
  <c r="X260" i="14"/>
  <c r="X259" i="14"/>
  <c r="X258" i="14"/>
  <c r="X257" i="14"/>
  <c r="X256" i="14"/>
  <c r="X255" i="14"/>
  <c r="X254" i="14"/>
  <c r="X253" i="14"/>
  <c r="X252" i="14"/>
  <c r="X251" i="14"/>
  <c r="X250" i="14"/>
  <c r="X249" i="14"/>
  <c r="X248" i="14"/>
  <c r="X247" i="14"/>
  <c r="X246" i="14"/>
  <c r="X245" i="14"/>
  <c r="X244" i="14"/>
  <c r="X243" i="14"/>
  <c r="X242" i="14"/>
  <c r="X241" i="14"/>
  <c r="X240" i="14"/>
  <c r="X239" i="14"/>
  <c r="X238" i="14"/>
  <c r="X237" i="14"/>
  <c r="X236" i="14"/>
  <c r="X235" i="14"/>
  <c r="X234" i="14"/>
  <c r="X233" i="14"/>
  <c r="X232" i="14"/>
  <c r="X231" i="14"/>
  <c r="X230" i="14"/>
  <c r="X229" i="14"/>
  <c r="X228" i="14"/>
  <c r="X227" i="14"/>
  <c r="X226" i="14"/>
  <c r="X225" i="14"/>
  <c r="X224" i="14"/>
  <c r="X223" i="14"/>
  <c r="X222" i="14"/>
  <c r="X221" i="14"/>
  <c r="X220" i="14"/>
  <c r="X219" i="14"/>
  <c r="X218" i="14"/>
  <c r="X217" i="14"/>
  <c r="X216" i="14"/>
  <c r="X215" i="14"/>
  <c r="X214" i="14"/>
  <c r="X213" i="14"/>
  <c r="X212" i="14"/>
  <c r="X211" i="14"/>
  <c r="X210" i="14"/>
  <c r="X209" i="14"/>
  <c r="X208" i="14"/>
  <c r="X207" i="14"/>
  <c r="X206" i="14"/>
  <c r="X205" i="14"/>
  <c r="X204" i="14"/>
  <c r="X203" i="14"/>
  <c r="X202" i="14"/>
  <c r="X201" i="14"/>
  <c r="X200" i="14"/>
  <c r="X199" i="14"/>
  <c r="X198" i="14"/>
  <c r="X197" i="14"/>
  <c r="X196" i="14"/>
  <c r="X195" i="14"/>
  <c r="X194" i="14"/>
  <c r="X193" i="14"/>
  <c r="X192" i="14"/>
  <c r="X191" i="14"/>
  <c r="X190" i="14"/>
  <c r="X189" i="14"/>
  <c r="X188" i="14"/>
  <c r="X187" i="14"/>
  <c r="X186" i="14"/>
  <c r="X185" i="14"/>
  <c r="X184" i="14"/>
  <c r="X183" i="14"/>
  <c r="X182" i="14"/>
  <c r="X181" i="14"/>
  <c r="X180" i="14"/>
  <c r="X179" i="14"/>
  <c r="X178" i="14"/>
  <c r="X177" i="14"/>
  <c r="X176" i="14"/>
  <c r="X175" i="14"/>
  <c r="X174" i="14"/>
  <c r="X173" i="14"/>
  <c r="X172" i="14"/>
  <c r="X171" i="14"/>
  <c r="X170" i="14"/>
  <c r="X169" i="14"/>
  <c r="X168" i="14"/>
  <c r="X167" i="14"/>
  <c r="X166" i="14"/>
  <c r="X165" i="14"/>
  <c r="X164" i="14"/>
  <c r="X163" i="14"/>
  <c r="X162" i="14"/>
  <c r="X161" i="14"/>
  <c r="X160" i="14"/>
  <c r="X159" i="14"/>
  <c r="X158" i="14"/>
  <c r="X157" i="14"/>
  <c r="X156" i="14"/>
  <c r="X155" i="14"/>
  <c r="X154" i="14"/>
  <c r="X153" i="14"/>
  <c r="X152" i="14"/>
  <c r="X151" i="14"/>
  <c r="X150" i="14"/>
  <c r="X149" i="14"/>
  <c r="X148" i="14"/>
  <c r="X147" i="14"/>
  <c r="X146" i="14"/>
  <c r="X145" i="14"/>
  <c r="X144" i="14"/>
  <c r="X143" i="14"/>
  <c r="X142" i="14"/>
  <c r="X141" i="14"/>
  <c r="X140" i="14"/>
  <c r="X139" i="14"/>
  <c r="X138" i="14"/>
  <c r="X137" i="14"/>
  <c r="X136" i="14"/>
  <c r="X135" i="14"/>
  <c r="X134" i="14"/>
  <c r="X133" i="14"/>
  <c r="X132" i="14"/>
  <c r="X131" i="14"/>
  <c r="X130" i="14"/>
  <c r="X129" i="14"/>
  <c r="X128" i="14"/>
  <c r="X127" i="14"/>
  <c r="X126" i="14"/>
  <c r="X125" i="14"/>
  <c r="X124" i="14"/>
  <c r="X123" i="14"/>
  <c r="X122" i="14"/>
  <c r="X121" i="14"/>
  <c r="X120" i="14"/>
  <c r="X119" i="14"/>
  <c r="X118" i="14"/>
  <c r="X117" i="14"/>
  <c r="X116" i="14"/>
  <c r="X115" i="14"/>
  <c r="X114" i="14"/>
  <c r="X113" i="14"/>
  <c r="X112" i="14"/>
  <c r="X111" i="14"/>
  <c r="X110" i="14"/>
  <c r="X109" i="14"/>
  <c r="X108" i="14"/>
  <c r="X107" i="14"/>
  <c r="X106" i="14"/>
  <c r="X105" i="14"/>
  <c r="X104" i="14"/>
  <c r="X103" i="14"/>
  <c r="X102" i="14"/>
  <c r="X101" i="14"/>
  <c r="X100" i="14"/>
  <c r="X99" i="14"/>
  <c r="X98" i="14"/>
  <c r="X97" i="14"/>
  <c r="X96" i="14"/>
  <c r="X95" i="14"/>
  <c r="X94" i="14"/>
  <c r="X93" i="14"/>
  <c r="X92" i="14"/>
  <c r="X91" i="14"/>
  <c r="X90" i="14"/>
  <c r="X89" i="14"/>
  <c r="X88" i="14"/>
  <c r="X87" i="14"/>
  <c r="X86" i="14"/>
  <c r="X85" i="14"/>
  <c r="X84" i="14"/>
  <c r="X83" i="14"/>
  <c r="X82" i="14"/>
  <c r="X81" i="14"/>
  <c r="X80" i="14"/>
  <c r="X79" i="14"/>
  <c r="X78" i="14"/>
  <c r="X77" i="14"/>
  <c r="X76" i="14"/>
  <c r="X75" i="14"/>
  <c r="X74" i="14"/>
  <c r="X73" i="14"/>
  <c r="X72" i="14"/>
  <c r="X71" i="14"/>
  <c r="X70" i="14"/>
  <c r="X69" i="14"/>
  <c r="X68" i="14"/>
  <c r="X67" i="14"/>
  <c r="X66" i="14"/>
  <c r="X65" i="14"/>
  <c r="X64" i="14"/>
  <c r="X63" i="14"/>
  <c r="X62" i="14"/>
  <c r="X61" i="14"/>
  <c r="X60" i="14"/>
  <c r="X59" i="14"/>
  <c r="X58" i="14"/>
  <c r="X57" i="14"/>
  <c r="X56" i="14"/>
  <c r="X55" i="14"/>
  <c r="X54" i="14"/>
  <c r="X53" i="14"/>
  <c r="X52" i="14"/>
  <c r="X51" i="14"/>
  <c r="X50" i="14"/>
  <c r="X49" i="14"/>
  <c r="X48" i="14"/>
  <c r="X47" i="14"/>
  <c r="X46" i="14"/>
  <c r="X45" i="14"/>
  <c r="X44" i="14"/>
  <c r="X43" i="14"/>
  <c r="X42" i="14"/>
  <c r="X41" i="14"/>
  <c r="X40" i="14"/>
  <c r="X39" i="14"/>
  <c r="X38" i="14"/>
  <c r="X37" i="14"/>
  <c r="X36" i="14"/>
  <c r="X35" i="14"/>
  <c r="X34" i="14"/>
  <c r="X33" i="14"/>
  <c r="X32" i="14"/>
  <c r="X31" i="14"/>
  <c r="X30" i="14"/>
  <c r="X29" i="14"/>
  <c r="X28" i="14"/>
  <c r="X27" i="14"/>
  <c r="X26" i="14"/>
  <c r="X25" i="14"/>
  <c r="X24" i="14"/>
  <c r="X23" i="14"/>
  <c r="X22" i="14"/>
  <c r="X21" i="14"/>
  <c r="X20" i="14"/>
  <c r="X19" i="14"/>
  <c r="X18" i="14"/>
  <c r="X17" i="14"/>
  <c r="X16" i="14"/>
  <c r="X15" i="14"/>
  <c r="X14" i="14"/>
  <c r="X13" i="14"/>
  <c r="X12" i="14"/>
  <c r="X11" i="14"/>
  <c r="X10" i="14"/>
  <c r="X9" i="14"/>
  <c r="X8" i="14"/>
  <c r="X7" i="14"/>
  <c r="X6" i="14"/>
  <c r="X5" i="14"/>
  <c r="X4" i="14"/>
  <c r="X3" i="14"/>
  <c r="U375" i="14"/>
  <c r="U374" i="14"/>
  <c r="U373" i="14"/>
  <c r="U372" i="14"/>
  <c r="U371" i="14"/>
  <c r="U370" i="14"/>
  <c r="U369" i="14"/>
  <c r="U368" i="14"/>
  <c r="U367" i="14"/>
  <c r="U366" i="14"/>
  <c r="U365" i="14"/>
  <c r="U364" i="14"/>
  <c r="U363" i="14"/>
  <c r="U362" i="14"/>
  <c r="U361" i="14"/>
  <c r="U360" i="14"/>
  <c r="U359" i="14"/>
  <c r="U358" i="14"/>
  <c r="U357" i="14"/>
  <c r="U356" i="14"/>
  <c r="U355" i="14"/>
  <c r="U354" i="14"/>
  <c r="U353" i="14"/>
  <c r="U352" i="14"/>
  <c r="U351" i="14"/>
  <c r="U350" i="14"/>
  <c r="U349" i="14"/>
  <c r="U348" i="14"/>
  <c r="U347" i="14"/>
  <c r="U346" i="14"/>
  <c r="U345" i="14"/>
  <c r="U344" i="14"/>
  <c r="U343" i="14"/>
  <c r="U342" i="14"/>
  <c r="U341" i="14"/>
  <c r="U340" i="14"/>
  <c r="U339" i="14"/>
  <c r="U338" i="14"/>
  <c r="U337" i="14"/>
  <c r="U336" i="14"/>
  <c r="U335" i="14"/>
  <c r="U334" i="14"/>
  <c r="U333" i="14"/>
  <c r="U332" i="14"/>
  <c r="U331" i="14"/>
  <c r="U330" i="14"/>
  <c r="U329" i="14"/>
  <c r="U328" i="14"/>
  <c r="U327" i="14"/>
  <c r="U326" i="14"/>
  <c r="U325" i="14"/>
  <c r="U324" i="14"/>
  <c r="U323" i="14"/>
  <c r="U322" i="14"/>
  <c r="U321" i="14"/>
  <c r="U320" i="14"/>
  <c r="U319" i="14"/>
  <c r="U318" i="14"/>
  <c r="U317" i="14"/>
  <c r="U316" i="14"/>
  <c r="U315" i="14"/>
  <c r="U314" i="14"/>
  <c r="U313" i="14"/>
  <c r="U312" i="14"/>
  <c r="U311" i="14"/>
  <c r="U310" i="14"/>
  <c r="U309" i="14"/>
  <c r="U308" i="14"/>
  <c r="U307" i="14"/>
  <c r="U306" i="14"/>
  <c r="U305" i="14"/>
  <c r="U304" i="14"/>
  <c r="U303" i="14"/>
  <c r="U302" i="14"/>
  <c r="U301" i="14"/>
  <c r="U300" i="14"/>
  <c r="U299" i="14"/>
  <c r="U298" i="14"/>
  <c r="U297" i="14"/>
  <c r="U296" i="14"/>
  <c r="U295" i="14"/>
  <c r="U294" i="14"/>
  <c r="U293" i="14"/>
  <c r="U292" i="14"/>
  <c r="U291" i="14"/>
  <c r="U290" i="14"/>
  <c r="U289" i="14"/>
  <c r="U288" i="14"/>
  <c r="U287" i="14"/>
  <c r="U286" i="14"/>
  <c r="U285" i="14"/>
  <c r="U284" i="14"/>
  <c r="U283" i="14"/>
  <c r="U282" i="14"/>
  <c r="U281" i="14"/>
  <c r="U280" i="14"/>
  <c r="U279" i="14"/>
  <c r="U278" i="14"/>
  <c r="U277" i="14"/>
  <c r="U276" i="14"/>
  <c r="U275" i="14"/>
  <c r="U274" i="14"/>
  <c r="U273" i="14"/>
  <c r="U272" i="14"/>
  <c r="U271" i="14"/>
  <c r="U270" i="14"/>
  <c r="U269" i="14"/>
  <c r="U268" i="14"/>
  <c r="U267" i="14"/>
  <c r="U266" i="14"/>
  <c r="U265" i="14"/>
  <c r="U264" i="14"/>
  <c r="U263" i="14"/>
  <c r="U262" i="14"/>
  <c r="U261" i="14"/>
  <c r="U260" i="14"/>
  <c r="U259" i="14"/>
  <c r="U258" i="14"/>
  <c r="U257" i="14"/>
  <c r="U256" i="14"/>
  <c r="U255" i="14"/>
  <c r="U254" i="14"/>
  <c r="U253" i="14"/>
  <c r="U252" i="14"/>
  <c r="U251" i="14"/>
  <c r="U250" i="14"/>
  <c r="U249" i="14"/>
  <c r="U248" i="14"/>
  <c r="U247" i="14"/>
  <c r="U246" i="14"/>
  <c r="U245" i="14"/>
  <c r="U244" i="14"/>
  <c r="U243" i="14"/>
  <c r="U242" i="14"/>
  <c r="U241" i="14"/>
  <c r="U240" i="14"/>
  <c r="U239" i="14"/>
  <c r="U238" i="14"/>
  <c r="U237" i="14"/>
  <c r="U236" i="14"/>
  <c r="U235" i="14"/>
  <c r="U234" i="14"/>
  <c r="U233" i="14"/>
  <c r="U232" i="14"/>
  <c r="U231" i="14"/>
  <c r="U230" i="14"/>
  <c r="U229" i="14"/>
  <c r="U228" i="14"/>
  <c r="U227" i="14"/>
  <c r="U226" i="14"/>
  <c r="U225" i="14"/>
  <c r="U224" i="14"/>
  <c r="U223" i="14"/>
  <c r="U222" i="14"/>
  <c r="U221" i="14"/>
  <c r="U220" i="14"/>
  <c r="U219" i="14"/>
  <c r="U218" i="14"/>
  <c r="U217" i="14"/>
  <c r="U216" i="14"/>
  <c r="U215" i="14"/>
  <c r="U214" i="14"/>
  <c r="U213" i="14"/>
  <c r="U212" i="14"/>
  <c r="U211" i="14"/>
  <c r="U210" i="14"/>
  <c r="U209" i="14"/>
  <c r="U208" i="14"/>
  <c r="U207" i="14"/>
  <c r="U206" i="14"/>
  <c r="U205" i="14"/>
  <c r="U204" i="14"/>
  <c r="U203" i="14"/>
  <c r="U202" i="14"/>
  <c r="U201" i="14"/>
  <c r="U200" i="14"/>
  <c r="U199" i="14"/>
  <c r="U198" i="14"/>
  <c r="U197" i="14"/>
  <c r="U196" i="14"/>
  <c r="U195" i="14"/>
  <c r="U194" i="14"/>
  <c r="U193" i="14"/>
  <c r="U192" i="14"/>
  <c r="U191" i="14"/>
  <c r="U190" i="14"/>
  <c r="U189" i="14"/>
  <c r="U188" i="14"/>
  <c r="U187" i="14"/>
  <c r="U186" i="14"/>
  <c r="U185" i="14"/>
  <c r="U184" i="14"/>
  <c r="U183" i="14"/>
  <c r="U182" i="14"/>
  <c r="U181" i="14"/>
  <c r="U180" i="14"/>
  <c r="U179" i="14"/>
  <c r="U178" i="14"/>
  <c r="U177" i="14"/>
  <c r="U176" i="14"/>
  <c r="U175" i="14"/>
  <c r="U174" i="14"/>
  <c r="U173" i="14"/>
  <c r="U172" i="14"/>
  <c r="U171" i="14"/>
  <c r="U170" i="14"/>
  <c r="U169" i="14"/>
  <c r="U168" i="14"/>
  <c r="U167" i="14"/>
  <c r="U166" i="14"/>
  <c r="U165" i="14"/>
  <c r="U164" i="14"/>
  <c r="U163" i="14"/>
  <c r="U162" i="14"/>
  <c r="U161" i="14"/>
  <c r="U160" i="14"/>
  <c r="U159" i="14"/>
  <c r="U158" i="14"/>
  <c r="U157" i="14"/>
  <c r="U156" i="14"/>
  <c r="U155" i="14"/>
  <c r="U154" i="14"/>
  <c r="U153" i="14"/>
  <c r="U152" i="14"/>
  <c r="U151" i="14"/>
  <c r="U150" i="14"/>
  <c r="U149" i="14"/>
  <c r="U148" i="14"/>
  <c r="U147" i="14"/>
  <c r="U146" i="14"/>
  <c r="U145" i="14"/>
  <c r="U144" i="14"/>
  <c r="U143" i="14"/>
  <c r="U142" i="14"/>
  <c r="U141" i="14"/>
  <c r="U140" i="14"/>
  <c r="U139" i="14"/>
  <c r="U138" i="14"/>
  <c r="U137" i="14"/>
  <c r="U136" i="14"/>
  <c r="U135" i="14"/>
  <c r="U134" i="14"/>
  <c r="U133" i="14"/>
  <c r="U132" i="14"/>
  <c r="U131" i="14"/>
  <c r="U130" i="14"/>
  <c r="U129" i="14"/>
  <c r="U128" i="14"/>
  <c r="U127" i="14"/>
  <c r="U126" i="14"/>
  <c r="U125" i="14"/>
  <c r="U124" i="14"/>
  <c r="U123" i="14"/>
  <c r="U122" i="14"/>
  <c r="U121" i="14"/>
  <c r="U120" i="14"/>
  <c r="U119" i="14"/>
  <c r="U118" i="14"/>
  <c r="U117" i="14"/>
  <c r="U116" i="14"/>
  <c r="U115" i="14"/>
  <c r="U114" i="14"/>
  <c r="U113" i="14"/>
  <c r="U112" i="14"/>
  <c r="U111" i="14"/>
  <c r="U110" i="14"/>
  <c r="U109" i="14"/>
  <c r="U108" i="14"/>
  <c r="U107" i="14"/>
  <c r="U106" i="14"/>
  <c r="U105" i="14"/>
  <c r="U104" i="14"/>
  <c r="U103" i="14"/>
  <c r="U102" i="14"/>
  <c r="U101" i="14"/>
  <c r="U100" i="14"/>
  <c r="U99" i="14"/>
  <c r="U98" i="14"/>
  <c r="U97" i="14"/>
  <c r="U96" i="14"/>
  <c r="U95" i="14"/>
  <c r="U94" i="14"/>
  <c r="U93" i="14"/>
  <c r="U92" i="14"/>
  <c r="U91" i="14"/>
  <c r="U90" i="14"/>
  <c r="U89" i="14"/>
  <c r="U88" i="14"/>
  <c r="U87" i="14"/>
  <c r="U86" i="14"/>
  <c r="U85" i="14"/>
  <c r="U84" i="14"/>
  <c r="U83" i="14"/>
  <c r="U82" i="14"/>
  <c r="U81" i="14"/>
  <c r="U80" i="14"/>
  <c r="U79" i="14"/>
  <c r="U78" i="14"/>
  <c r="U77" i="14"/>
  <c r="U76" i="14"/>
  <c r="U75" i="14"/>
  <c r="U74" i="14"/>
  <c r="U73" i="14"/>
  <c r="U72" i="14"/>
  <c r="U71" i="14"/>
  <c r="U70" i="14"/>
  <c r="U69" i="14"/>
  <c r="U68" i="14"/>
  <c r="U67" i="14"/>
  <c r="U66" i="14"/>
  <c r="U65" i="14"/>
  <c r="U64" i="14"/>
  <c r="U63" i="14"/>
  <c r="U62" i="14"/>
  <c r="U61" i="14"/>
  <c r="U60" i="14"/>
  <c r="U59" i="14"/>
  <c r="U58" i="14"/>
  <c r="U57" i="14"/>
  <c r="U56" i="14"/>
  <c r="U55" i="14"/>
  <c r="U54" i="14"/>
  <c r="U53" i="14"/>
  <c r="U52" i="14"/>
  <c r="U51" i="14"/>
  <c r="U50" i="14"/>
  <c r="U49" i="14"/>
  <c r="U48" i="14"/>
  <c r="U47" i="14"/>
  <c r="U46" i="14"/>
  <c r="U45" i="14"/>
  <c r="U44" i="14"/>
  <c r="U43" i="14"/>
  <c r="U42" i="14"/>
  <c r="U41" i="14"/>
  <c r="U40" i="14"/>
  <c r="U39" i="14"/>
  <c r="U38" i="14"/>
  <c r="U37" i="14"/>
  <c r="U36" i="14"/>
  <c r="U35" i="14"/>
  <c r="U34" i="14"/>
  <c r="U33" i="14"/>
  <c r="U32" i="14"/>
  <c r="U31" i="14"/>
  <c r="U30" i="14"/>
  <c r="U29" i="14"/>
  <c r="U28" i="14"/>
  <c r="U27" i="14"/>
  <c r="U26" i="14"/>
  <c r="U25" i="14"/>
  <c r="U24" i="14"/>
  <c r="U23" i="14"/>
  <c r="U22" i="14"/>
  <c r="U21" i="14"/>
  <c r="U20" i="14"/>
  <c r="U19" i="14"/>
  <c r="U18" i="14"/>
  <c r="U17" i="14"/>
  <c r="U16" i="14"/>
  <c r="U15" i="14"/>
  <c r="U14" i="14"/>
  <c r="U13" i="14"/>
  <c r="U12" i="14"/>
  <c r="U11" i="14"/>
  <c r="U10" i="14"/>
  <c r="U9" i="14"/>
  <c r="U8" i="14"/>
  <c r="U7" i="14"/>
  <c r="U6" i="14"/>
  <c r="U5" i="14"/>
  <c r="U4" i="14"/>
  <c r="U3" i="14"/>
  <c r="R375" i="14"/>
  <c r="R374" i="14"/>
  <c r="R373" i="14"/>
  <c r="R372" i="14"/>
  <c r="R371" i="14"/>
  <c r="R370" i="14"/>
  <c r="R369" i="14"/>
  <c r="R368" i="14"/>
  <c r="R367" i="14"/>
  <c r="R366" i="14"/>
  <c r="R365" i="14"/>
  <c r="R364" i="14"/>
  <c r="R363" i="14"/>
  <c r="R362" i="14"/>
  <c r="R361" i="14"/>
  <c r="R360" i="14"/>
  <c r="R359" i="14"/>
  <c r="R358" i="14"/>
  <c r="R357" i="14"/>
  <c r="R356" i="14"/>
  <c r="R355" i="14"/>
  <c r="R354" i="14"/>
  <c r="R353" i="14"/>
  <c r="R352" i="14"/>
  <c r="R351" i="14"/>
  <c r="R350" i="14"/>
  <c r="R349" i="14"/>
  <c r="R348" i="14"/>
  <c r="R347" i="14"/>
  <c r="R346" i="14"/>
  <c r="R345" i="14"/>
  <c r="R344" i="14"/>
  <c r="R343" i="14"/>
  <c r="R342" i="14"/>
  <c r="R341" i="14"/>
  <c r="R340" i="14"/>
  <c r="R339" i="14"/>
  <c r="R338" i="14"/>
  <c r="R337" i="14"/>
  <c r="R336" i="14"/>
  <c r="R333" i="14"/>
  <c r="R332" i="14"/>
  <c r="R331" i="14"/>
  <c r="R330" i="14"/>
  <c r="R327" i="14"/>
  <c r="R326" i="14"/>
  <c r="R325" i="14"/>
  <c r="R324" i="14"/>
  <c r="R321" i="14"/>
  <c r="R320" i="14"/>
  <c r="R319" i="14"/>
  <c r="R318" i="14"/>
  <c r="R315" i="14"/>
  <c r="R314" i="14"/>
  <c r="R313" i="14"/>
  <c r="R312" i="14"/>
  <c r="R311" i="14"/>
  <c r="R310" i="14"/>
  <c r="R309" i="14"/>
  <c r="R308" i="14"/>
  <c r="R307" i="14"/>
  <c r="R306" i="14"/>
  <c r="R305" i="14"/>
  <c r="R304" i="14"/>
  <c r="R303" i="14"/>
  <c r="R302" i="14"/>
  <c r="R301" i="14"/>
  <c r="R300" i="14"/>
  <c r="R299" i="14"/>
  <c r="R298" i="14"/>
  <c r="R297" i="14"/>
  <c r="R296" i="14"/>
  <c r="R295" i="14"/>
  <c r="R294" i="14"/>
  <c r="R293" i="14"/>
  <c r="R292" i="14"/>
  <c r="R291" i="14"/>
  <c r="R290" i="14"/>
  <c r="R289" i="14"/>
  <c r="R288" i="14"/>
  <c r="R287" i="14"/>
  <c r="R286" i="14"/>
  <c r="R285" i="14"/>
  <c r="R284" i="14"/>
  <c r="R283" i="14"/>
  <c r="R282" i="14"/>
  <c r="R281" i="14"/>
  <c r="R280" i="14"/>
  <c r="R279" i="14"/>
  <c r="R278" i="14"/>
  <c r="R277" i="14"/>
  <c r="R276" i="14"/>
  <c r="R275" i="14"/>
  <c r="R274" i="14"/>
  <c r="R273" i="14"/>
  <c r="R272" i="14"/>
  <c r="R271" i="14"/>
  <c r="R270" i="14"/>
  <c r="R269" i="14"/>
  <c r="R268" i="14"/>
  <c r="R267" i="14"/>
  <c r="R266" i="14"/>
  <c r="R265" i="14"/>
  <c r="R264" i="14"/>
  <c r="R263" i="14"/>
  <c r="R262" i="14"/>
  <c r="R261" i="14"/>
  <c r="R260" i="14"/>
  <c r="R259" i="14"/>
  <c r="R258" i="14"/>
  <c r="R257" i="14"/>
  <c r="R256" i="14"/>
  <c r="R255" i="14"/>
  <c r="R254" i="14"/>
  <c r="R253" i="14"/>
  <c r="R252" i="14"/>
  <c r="R251" i="14"/>
  <c r="R250" i="14"/>
  <c r="R249" i="14"/>
  <c r="R248" i="14"/>
  <c r="R247" i="14"/>
  <c r="R246" i="14"/>
  <c r="R245" i="14"/>
  <c r="R244" i="14"/>
  <c r="R243" i="14"/>
  <c r="R242" i="14"/>
  <c r="R241" i="14"/>
  <c r="R240" i="14"/>
  <c r="R239" i="14"/>
  <c r="R238" i="14"/>
  <c r="R237" i="14"/>
  <c r="R236" i="14"/>
  <c r="R235" i="14"/>
  <c r="R234" i="14"/>
  <c r="R233" i="14"/>
  <c r="R232" i="14"/>
  <c r="R231" i="14"/>
  <c r="R230" i="14"/>
  <c r="R229" i="14"/>
  <c r="R228" i="14"/>
  <c r="R227" i="14"/>
  <c r="R226" i="14"/>
  <c r="R225" i="14"/>
  <c r="R224" i="14"/>
  <c r="R223" i="14"/>
  <c r="R222" i="14"/>
  <c r="R221" i="14"/>
  <c r="R220" i="14"/>
  <c r="R219" i="14"/>
  <c r="R218" i="14"/>
  <c r="R217" i="14"/>
  <c r="R216" i="14"/>
  <c r="R215" i="14"/>
  <c r="R214" i="14"/>
  <c r="R213" i="14"/>
  <c r="R212" i="14"/>
  <c r="R211" i="14"/>
  <c r="R210" i="14"/>
  <c r="R209" i="14"/>
  <c r="R208" i="14"/>
  <c r="R207" i="14"/>
  <c r="R206" i="14"/>
  <c r="R205" i="14"/>
  <c r="R204" i="14"/>
  <c r="R203" i="14"/>
  <c r="R202" i="14"/>
  <c r="R201" i="14"/>
  <c r="R200" i="14"/>
  <c r="R199" i="14"/>
  <c r="R198" i="14"/>
  <c r="R197" i="14"/>
  <c r="R196" i="14"/>
  <c r="R195" i="14"/>
  <c r="R194" i="14"/>
  <c r="R193" i="14"/>
  <c r="R192" i="14"/>
  <c r="R191" i="14"/>
  <c r="R190" i="14"/>
  <c r="R189" i="14"/>
  <c r="R188" i="14"/>
  <c r="R187" i="14"/>
  <c r="R186" i="14"/>
  <c r="R185" i="14"/>
  <c r="R182" i="14"/>
  <c r="R181" i="14"/>
  <c r="R180" i="14"/>
  <c r="R179" i="14"/>
  <c r="R176" i="14"/>
  <c r="R175" i="14"/>
  <c r="R174" i="14"/>
  <c r="R173" i="14"/>
  <c r="R172" i="14"/>
  <c r="R171" i="14"/>
  <c r="R170" i="14"/>
  <c r="R169" i="14"/>
  <c r="R168" i="14"/>
  <c r="R167" i="14"/>
  <c r="R166" i="14"/>
  <c r="R165" i="14"/>
  <c r="R164" i="14"/>
  <c r="R163" i="14"/>
  <c r="R162" i="14"/>
  <c r="R161" i="14"/>
  <c r="R160" i="14"/>
  <c r="R159" i="14"/>
  <c r="R158" i="14"/>
  <c r="R157" i="14"/>
  <c r="R156" i="14"/>
  <c r="R155" i="14"/>
  <c r="R154" i="14"/>
  <c r="R153" i="14"/>
  <c r="R152" i="14"/>
  <c r="R151" i="14"/>
  <c r="R150" i="14"/>
  <c r="R149" i="14"/>
  <c r="R148" i="14"/>
  <c r="R147" i="14"/>
  <c r="R146" i="14"/>
  <c r="R145" i="14"/>
  <c r="R144" i="14"/>
  <c r="R143" i="14"/>
  <c r="R142" i="14"/>
  <c r="R141" i="14"/>
  <c r="R140" i="14"/>
  <c r="R139" i="14"/>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78" i="14"/>
  <c r="R77" i="14"/>
  <c r="R76" i="14"/>
  <c r="R75" i="14"/>
  <c r="R74" i="14"/>
  <c r="R73" i="14"/>
  <c r="R72" i="14"/>
  <c r="R71" i="14"/>
  <c r="R70" i="14"/>
  <c r="R69" i="14"/>
  <c r="R68" i="14"/>
  <c r="R67" i="14"/>
  <c r="R66" i="14"/>
  <c r="R65" i="14"/>
  <c r="R64" i="14"/>
  <c r="R63" i="14"/>
  <c r="R62" i="14"/>
  <c r="R61" i="14"/>
  <c r="R60" i="14"/>
  <c r="R59" i="14"/>
  <c r="R58" i="14"/>
  <c r="R57" i="14"/>
  <c r="R56" i="14"/>
  <c r="R55"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R18" i="14"/>
  <c r="R17" i="14"/>
  <c r="R16" i="14"/>
  <c r="R15" i="14"/>
  <c r="R14" i="14"/>
  <c r="R13" i="14"/>
  <c r="R12" i="14"/>
  <c r="R11" i="14"/>
  <c r="R10" i="14"/>
  <c r="R9" i="14"/>
  <c r="R8" i="14"/>
  <c r="R7" i="14"/>
  <c r="R6" i="14"/>
  <c r="R5" i="14"/>
  <c r="R4" i="14"/>
  <c r="R3" i="14"/>
  <c r="O375" i="14"/>
  <c r="O374" i="14"/>
  <c r="O373" i="14"/>
  <c r="O372" i="14"/>
  <c r="O371" i="14"/>
  <c r="O370" i="14"/>
  <c r="O369" i="14"/>
  <c r="O368" i="14"/>
  <c r="O367" i="14"/>
  <c r="O366" i="14"/>
  <c r="O365" i="14"/>
  <c r="O364" i="14"/>
  <c r="O363" i="14"/>
  <c r="O362" i="14"/>
  <c r="O361" i="14"/>
  <c r="O360" i="14"/>
  <c r="O359" i="14"/>
  <c r="O358" i="14"/>
  <c r="O357" i="14"/>
  <c r="O356" i="14"/>
  <c r="O355" i="14"/>
  <c r="O354" i="14"/>
  <c r="O353" i="14"/>
  <c r="O352" i="14"/>
  <c r="O351" i="14"/>
  <c r="O350" i="14"/>
  <c r="O349" i="14"/>
  <c r="O348" i="14"/>
  <c r="O347" i="14"/>
  <c r="O346" i="14"/>
  <c r="O345" i="14"/>
  <c r="O344" i="14"/>
  <c r="O343" i="14"/>
  <c r="O342" i="14"/>
  <c r="O341" i="14"/>
  <c r="O340" i="14"/>
  <c r="O339" i="14"/>
  <c r="O338" i="14"/>
  <c r="O337" i="14"/>
  <c r="O336" i="14"/>
  <c r="O335" i="14"/>
  <c r="O334" i="14"/>
  <c r="O333" i="14"/>
  <c r="O332" i="14"/>
  <c r="O331" i="14"/>
  <c r="O330" i="14"/>
  <c r="O329" i="14"/>
  <c r="O328" i="14"/>
  <c r="O327" i="14"/>
  <c r="O326" i="14"/>
  <c r="O325" i="14"/>
  <c r="O324" i="14"/>
  <c r="O323" i="14"/>
  <c r="O322" i="14"/>
  <c r="O321" i="14"/>
  <c r="O320" i="14"/>
  <c r="O319" i="14"/>
  <c r="O318" i="14"/>
  <c r="O317" i="14"/>
  <c r="O316" i="14"/>
  <c r="O315" i="14"/>
  <c r="O314" i="14"/>
  <c r="O313" i="14"/>
  <c r="O312" i="14"/>
  <c r="O311" i="14"/>
  <c r="O310" i="14"/>
  <c r="O309" i="14"/>
  <c r="O308" i="14"/>
  <c r="O307" i="14"/>
  <c r="O306" i="14"/>
  <c r="O305" i="14"/>
  <c r="O304" i="14"/>
  <c r="O303" i="14"/>
  <c r="O302" i="14"/>
  <c r="O301" i="14"/>
  <c r="O300" i="14"/>
  <c r="O299" i="14"/>
  <c r="O298" i="14"/>
  <c r="O297" i="14"/>
  <c r="O296" i="14"/>
  <c r="O295" i="14"/>
  <c r="O294" i="14"/>
  <c r="O293" i="14"/>
  <c r="O292" i="14"/>
  <c r="O291" i="14"/>
  <c r="O290" i="14"/>
  <c r="O289" i="14"/>
  <c r="O288" i="14"/>
  <c r="O287" i="14"/>
  <c r="O286" i="14"/>
  <c r="O285" i="14"/>
  <c r="O284" i="14"/>
  <c r="O283" i="14"/>
  <c r="O282" i="14"/>
  <c r="O281" i="14"/>
  <c r="O280" i="14"/>
  <c r="O279" i="14"/>
  <c r="O278" i="14"/>
  <c r="O277" i="14"/>
  <c r="O276" i="14"/>
  <c r="O275" i="14"/>
  <c r="O274" i="14"/>
  <c r="O273" i="14"/>
  <c r="O272" i="14"/>
  <c r="O271" i="14"/>
  <c r="O270" i="14"/>
  <c r="O269" i="14"/>
  <c r="O268" i="14"/>
  <c r="O267" i="14"/>
  <c r="O266" i="14"/>
  <c r="O265" i="14"/>
  <c r="O264" i="14"/>
  <c r="O263" i="14"/>
  <c r="O262" i="14"/>
  <c r="O261" i="14"/>
  <c r="O260" i="14"/>
  <c r="O259" i="14"/>
  <c r="O258" i="14"/>
  <c r="O257" i="14"/>
  <c r="O256" i="14"/>
  <c r="O255" i="14"/>
  <c r="O254" i="14"/>
  <c r="O253" i="14"/>
  <c r="O252" i="14"/>
  <c r="O251" i="14"/>
  <c r="O250" i="14"/>
  <c r="O249" i="14"/>
  <c r="O248" i="14"/>
  <c r="O247" i="14"/>
  <c r="O246" i="14"/>
  <c r="O245" i="14"/>
  <c r="O244" i="14"/>
  <c r="O243" i="14"/>
  <c r="O242" i="14"/>
  <c r="O241" i="14"/>
  <c r="O240" i="14"/>
  <c r="O239" i="14"/>
  <c r="O238" i="14"/>
  <c r="O237" i="14"/>
  <c r="O236" i="14"/>
  <c r="O235" i="14"/>
  <c r="O234" i="14"/>
  <c r="O233" i="14"/>
  <c r="O232" i="14"/>
  <c r="O231" i="14"/>
  <c r="O230" i="14"/>
  <c r="O229" i="14"/>
  <c r="O228" i="14"/>
  <c r="O227" i="14"/>
  <c r="O226" i="14"/>
  <c r="O225" i="14"/>
  <c r="O224" i="14"/>
  <c r="O223" i="14"/>
  <c r="O222" i="14"/>
  <c r="O221" i="14"/>
  <c r="O220" i="14"/>
  <c r="O219" i="14"/>
  <c r="O218" i="14"/>
  <c r="O217" i="14"/>
  <c r="O216" i="14"/>
  <c r="O215" i="14"/>
  <c r="O214" i="14"/>
  <c r="O213" i="14"/>
  <c r="O212" i="14"/>
  <c r="O211" i="14"/>
  <c r="O210" i="14"/>
  <c r="O209" i="14"/>
  <c r="O208" i="14"/>
  <c r="O207" i="14"/>
  <c r="O206" i="14"/>
  <c r="O205" i="14"/>
  <c r="O204" i="14"/>
  <c r="O203" i="14"/>
  <c r="O202" i="14"/>
  <c r="O201" i="14"/>
  <c r="O200" i="14"/>
  <c r="O199" i="14"/>
  <c r="O198" i="14"/>
  <c r="O197" i="14"/>
  <c r="O196" i="14"/>
  <c r="O195" i="14"/>
  <c r="O194" i="14"/>
  <c r="O193" i="14"/>
  <c r="O192" i="14"/>
  <c r="O191" i="14"/>
  <c r="O190" i="14"/>
  <c r="O189" i="14"/>
  <c r="O188" i="14"/>
  <c r="O187" i="14"/>
  <c r="O186" i="14"/>
  <c r="O185" i="14"/>
  <c r="O184" i="14"/>
  <c r="O183" i="14"/>
  <c r="O182" i="14"/>
  <c r="O181" i="14"/>
  <c r="O180" i="14"/>
  <c r="O179" i="14"/>
  <c r="O178" i="14"/>
  <c r="O177" i="14"/>
  <c r="O176" i="14"/>
  <c r="O175" i="14"/>
  <c r="O174" i="14"/>
  <c r="O173" i="14"/>
  <c r="O172" i="14"/>
  <c r="O171" i="14"/>
  <c r="O170" i="14"/>
  <c r="O169" i="14"/>
  <c r="O168" i="14"/>
  <c r="O167" i="14"/>
  <c r="O166" i="14"/>
  <c r="O165" i="14"/>
  <c r="O164" i="14"/>
  <c r="O163" i="14"/>
  <c r="O162" i="14"/>
  <c r="O161" i="14"/>
  <c r="O160" i="14"/>
  <c r="O159" i="14"/>
  <c r="O158" i="14"/>
  <c r="O157" i="14"/>
  <c r="O156" i="14"/>
  <c r="O155" i="14"/>
  <c r="O154" i="14"/>
  <c r="O153" i="14"/>
  <c r="O152" i="14"/>
  <c r="O151" i="14"/>
  <c r="O150" i="14"/>
  <c r="O149" i="14"/>
  <c r="O148" i="14"/>
  <c r="O147" i="14"/>
  <c r="O146" i="14"/>
  <c r="O145" i="14"/>
  <c r="O144" i="14"/>
  <c r="O143" i="14"/>
  <c r="O142" i="14"/>
  <c r="O141" i="14"/>
  <c r="O140" i="14"/>
  <c r="O139" i="14"/>
  <c r="O138" i="14"/>
  <c r="O137" i="14"/>
  <c r="O136" i="14"/>
  <c r="O135" i="14"/>
  <c r="O134" i="14"/>
  <c r="O133" i="14"/>
  <c r="O132" i="14"/>
  <c r="O131" i="14"/>
  <c r="O130" i="14"/>
  <c r="O129" i="14"/>
  <c r="O128" i="14"/>
  <c r="O127" i="14"/>
  <c r="O126" i="14"/>
  <c r="O125" i="14"/>
  <c r="O124" i="14"/>
  <c r="O123" i="14"/>
  <c r="O122" i="14"/>
  <c r="O121" i="14"/>
  <c r="O120" i="14"/>
  <c r="O119" i="14"/>
  <c r="O118" i="14"/>
  <c r="O117" i="14"/>
  <c r="O116" i="14"/>
  <c r="O115" i="14"/>
  <c r="O114" i="14"/>
  <c r="O113" i="14"/>
  <c r="O112" i="14"/>
  <c r="O111" i="14"/>
  <c r="O110" i="14"/>
  <c r="O109" i="14"/>
  <c r="O108" i="14"/>
  <c r="O107" i="14"/>
  <c r="O106" i="14"/>
  <c r="O105" i="14"/>
  <c r="O104" i="14"/>
  <c r="O103" i="14"/>
  <c r="O102" i="14"/>
  <c r="O101" i="14"/>
  <c r="O100" i="14"/>
  <c r="O99" i="14"/>
  <c r="O98" i="14"/>
  <c r="O97" i="14"/>
  <c r="O96" i="14"/>
  <c r="O95" i="14"/>
  <c r="O94" i="14"/>
  <c r="O93" i="14"/>
  <c r="O92" i="14"/>
  <c r="O91" i="14"/>
  <c r="O90" i="14"/>
  <c r="O89" i="14"/>
  <c r="O88" i="14"/>
  <c r="O87" i="14"/>
  <c r="O86" i="14"/>
  <c r="O85" i="14"/>
  <c r="O84" i="14"/>
  <c r="O83" i="14"/>
  <c r="O82" i="14"/>
  <c r="O81" i="14"/>
  <c r="O80" i="14"/>
  <c r="O79" i="14"/>
  <c r="O78" i="14"/>
  <c r="O77" i="14"/>
  <c r="O76" i="14"/>
  <c r="O75" i="14"/>
  <c r="O74" i="14"/>
  <c r="O73" i="14"/>
  <c r="O72" i="14"/>
  <c r="O71" i="14"/>
  <c r="O70" i="14"/>
  <c r="O69" i="14"/>
  <c r="O68" i="14"/>
  <c r="O67" i="14"/>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O33" i="14"/>
  <c r="O32" i="14"/>
  <c r="O31" i="14"/>
  <c r="O30" i="14"/>
  <c r="O29" i="14"/>
  <c r="O28" i="14"/>
  <c r="O27" i="14"/>
  <c r="O26" i="14"/>
  <c r="O25" i="14"/>
  <c r="O24" i="14"/>
  <c r="O23" i="14"/>
  <c r="O22" i="14"/>
  <c r="O21" i="14"/>
  <c r="O20" i="14"/>
  <c r="O19" i="14"/>
  <c r="O18" i="14"/>
  <c r="O17" i="14"/>
  <c r="O13" i="14"/>
  <c r="O12" i="14"/>
  <c r="O11" i="14"/>
  <c r="O10" i="14"/>
  <c r="O9" i="14"/>
  <c r="O8" i="14"/>
  <c r="O7" i="14"/>
  <c r="O6" i="14"/>
  <c r="O5" i="14"/>
  <c r="O4" i="14"/>
  <c r="O3" i="14"/>
  <c r="L375" i="14"/>
  <c r="L374" i="14"/>
  <c r="L373" i="14"/>
  <c r="L372" i="14"/>
  <c r="L371" i="14"/>
  <c r="L370" i="14"/>
  <c r="L369" i="14"/>
  <c r="L368" i="14"/>
  <c r="L367" i="14"/>
  <c r="L366" i="14"/>
  <c r="L365" i="14"/>
  <c r="L364" i="14"/>
  <c r="L363" i="14"/>
  <c r="L362" i="14"/>
  <c r="L361" i="14"/>
  <c r="L360" i="14"/>
  <c r="L359" i="14"/>
  <c r="L358" i="14"/>
  <c r="L357" i="14"/>
  <c r="L356" i="14"/>
  <c r="L355" i="14"/>
  <c r="L354" i="14"/>
  <c r="L353" i="14"/>
  <c r="L352" i="14"/>
  <c r="L351" i="14"/>
  <c r="L350" i="14"/>
  <c r="L349" i="14"/>
  <c r="L348" i="14"/>
  <c r="L347" i="14"/>
  <c r="L346" i="14"/>
  <c r="L345" i="14"/>
  <c r="L344" i="14"/>
  <c r="L343" i="14"/>
  <c r="L342" i="14"/>
  <c r="L341" i="14"/>
  <c r="L340" i="14"/>
  <c r="L339" i="14"/>
  <c r="L338" i="14"/>
  <c r="L337" i="14"/>
  <c r="L336" i="14"/>
  <c r="L334" i="14"/>
  <c r="L333" i="14"/>
  <c r="L332" i="14"/>
  <c r="L331" i="14"/>
  <c r="L330" i="14"/>
  <c r="L328" i="14"/>
  <c r="L327" i="14"/>
  <c r="L326" i="14"/>
  <c r="L325" i="14"/>
  <c r="L324" i="14"/>
  <c r="L322" i="14"/>
  <c r="L321" i="14"/>
  <c r="L320" i="14"/>
  <c r="L319" i="14"/>
  <c r="L318" i="14"/>
  <c r="L316" i="14"/>
  <c r="L315" i="14"/>
  <c r="L314" i="14"/>
  <c r="L313" i="14"/>
  <c r="L312" i="14"/>
  <c r="L311" i="14"/>
  <c r="L310" i="14"/>
  <c r="L309" i="14"/>
  <c r="L308" i="14"/>
  <c r="L307" i="14"/>
  <c r="L306" i="14"/>
  <c r="L305" i="14"/>
  <c r="L304" i="14"/>
  <c r="L303" i="14"/>
  <c r="L302" i="14"/>
  <c r="L301" i="14"/>
  <c r="L300" i="14"/>
  <c r="L299" i="14"/>
  <c r="L298" i="14"/>
  <c r="L297" i="14"/>
  <c r="L296" i="14"/>
  <c r="L294" i="14"/>
  <c r="L293" i="14"/>
  <c r="L291" i="14"/>
  <c r="L290" i="14"/>
  <c r="L288" i="14"/>
  <c r="L287" i="14"/>
  <c r="L285" i="14"/>
  <c r="L284" i="14"/>
  <c r="L282" i="14"/>
  <c r="L281" i="14"/>
  <c r="L279" i="14"/>
  <c r="L278" i="14"/>
  <c r="L276" i="14"/>
  <c r="L275" i="14"/>
  <c r="L273" i="14"/>
  <c r="L272" i="14"/>
  <c r="L270" i="14"/>
  <c r="L269" i="14"/>
  <c r="L267" i="14"/>
  <c r="L266" i="14"/>
  <c r="L264" i="14"/>
  <c r="L263" i="14"/>
  <c r="L261" i="14"/>
  <c r="L260" i="14"/>
  <c r="L258" i="14"/>
  <c r="L257" i="14"/>
  <c r="L255" i="14"/>
  <c r="L254" i="14"/>
  <c r="L252" i="14"/>
  <c r="L251" i="14"/>
  <c r="L249" i="14"/>
  <c r="L248" i="14"/>
  <c r="L246" i="14"/>
  <c r="L245" i="14"/>
  <c r="L244" i="14"/>
  <c r="L243" i="14"/>
  <c r="L242" i="14"/>
  <c r="L241" i="14"/>
  <c r="L240" i="14"/>
  <c r="L239" i="14"/>
  <c r="L238" i="14"/>
  <c r="L237" i="14"/>
  <c r="L236" i="14"/>
  <c r="L235" i="14"/>
  <c r="L234" i="14"/>
  <c r="L233" i="14"/>
  <c r="L232" i="14"/>
  <c r="L231" i="14"/>
  <c r="L230" i="14"/>
  <c r="L229" i="14"/>
  <c r="L228" i="14"/>
  <c r="L227" i="14"/>
  <c r="L226" i="14"/>
  <c r="L225" i="14"/>
  <c r="L224" i="14"/>
  <c r="L223" i="14"/>
  <c r="L222" i="14"/>
  <c r="L221" i="14"/>
  <c r="L220" i="14"/>
  <c r="L219" i="14"/>
  <c r="L218" i="14"/>
  <c r="L217" i="14"/>
  <c r="L216" i="14"/>
  <c r="L215" i="14"/>
  <c r="L214" i="14"/>
  <c r="L213" i="14"/>
  <c r="L212" i="14"/>
  <c r="L211" i="14"/>
  <c r="L210" i="14"/>
  <c r="L209" i="14"/>
  <c r="L208" i="14"/>
  <c r="L207" i="14"/>
  <c r="L206" i="14"/>
  <c r="L205" i="14"/>
  <c r="L204" i="14"/>
  <c r="L203" i="14"/>
  <c r="L202" i="14"/>
  <c r="L201" i="14"/>
  <c r="L200" i="14"/>
  <c r="L199" i="14"/>
  <c r="L198" i="14"/>
  <c r="L197" i="14"/>
  <c r="L196" i="14"/>
  <c r="L195" i="14"/>
  <c r="L194" i="14"/>
  <c r="L193" i="14"/>
  <c r="L192" i="14"/>
  <c r="L191" i="14"/>
  <c r="L190" i="14"/>
  <c r="L189" i="14"/>
  <c r="L188" i="14"/>
  <c r="L187" i="14"/>
  <c r="L186" i="14"/>
  <c r="L185" i="14"/>
  <c r="L183" i="14"/>
  <c r="L182" i="14"/>
  <c r="L181" i="14"/>
  <c r="L180" i="14"/>
  <c r="L179" i="14"/>
  <c r="L177" i="14"/>
  <c r="L176" i="14"/>
  <c r="L175" i="14"/>
  <c r="L174" i="14"/>
  <c r="L173" i="14"/>
  <c r="L172" i="14"/>
  <c r="L171" i="14"/>
  <c r="L170" i="14"/>
  <c r="L169" i="14"/>
  <c r="L168" i="14"/>
  <c r="L167" i="14"/>
  <c r="L166" i="14"/>
  <c r="L164" i="14"/>
  <c r="L163" i="14"/>
  <c r="L161" i="14"/>
  <c r="L160" i="14"/>
  <c r="L159" i="14"/>
  <c r="L158" i="14"/>
  <c r="L157" i="14"/>
  <c r="L156" i="14"/>
  <c r="L155" i="14"/>
  <c r="L154" i="14"/>
  <c r="L153" i="14"/>
  <c r="L152" i="14"/>
  <c r="L151" i="14"/>
  <c r="L150" i="14"/>
  <c r="L149" i="14"/>
  <c r="L148" i="14"/>
  <c r="L147" i="14"/>
  <c r="L146" i="14"/>
  <c r="L145" i="14"/>
  <c r="L144" i="14"/>
  <c r="L143" i="14"/>
  <c r="L142" i="14"/>
  <c r="L141" i="14"/>
  <c r="L140" i="14"/>
  <c r="L139" i="14"/>
  <c r="L138" i="14"/>
  <c r="L137" i="14"/>
  <c r="L136" i="14"/>
  <c r="L135" i="14"/>
  <c r="L134" i="14"/>
  <c r="L133" i="14"/>
  <c r="L132" i="14"/>
  <c r="L131" i="14"/>
  <c r="L130" i="14"/>
  <c r="L129" i="14"/>
  <c r="L127" i="14"/>
  <c r="L126" i="14"/>
  <c r="L124" i="14"/>
  <c r="L123" i="14"/>
  <c r="L121" i="14"/>
  <c r="L120" i="14"/>
  <c r="L118" i="14"/>
  <c r="L117" i="14"/>
  <c r="L115" i="14"/>
  <c r="L114" i="14"/>
  <c r="L112" i="14"/>
  <c r="L111" i="14"/>
  <c r="L109" i="14"/>
  <c r="L108" i="14"/>
  <c r="L106" i="14"/>
  <c r="L105" i="14"/>
  <c r="L103" i="14"/>
  <c r="L102" i="14"/>
  <c r="L100" i="14"/>
  <c r="L99" i="14"/>
  <c r="L98" i="14"/>
  <c r="L97" i="14"/>
  <c r="L96" i="14"/>
  <c r="L95" i="14"/>
  <c r="L94" i="14"/>
  <c r="L93" i="14"/>
  <c r="L92" i="14"/>
  <c r="L91" i="14"/>
  <c r="L90" i="14"/>
  <c r="L89" i="14"/>
  <c r="L88" i="14"/>
  <c r="L87" i="14"/>
  <c r="L86" i="14"/>
  <c r="L85" i="14"/>
  <c r="L84" i="14"/>
  <c r="L83" i="14"/>
  <c r="L82" i="14"/>
  <c r="L81" i="14"/>
  <c r="L79" i="14"/>
  <c r="L78" i="14"/>
  <c r="L77" i="14"/>
  <c r="L76" i="14"/>
  <c r="L75" i="14"/>
  <c r="L74" i="14"/>
  <c r="L73" i="14"/>
  <c r="L72" i="14"/>
  <c r="L71" i="14"/>
  <c r="L70" i="14"/>
  <c r="L69" i="14"/>
  <c r="L67" i="14"/>
  <c r="L66" i="14"/>
  <c r="L64" i="14"/>
  <c r="L63" i="14"/>
  <c r="L61" i="14"/>
  <c r="L60" i="14"/>
  <c r="L58" i="14"/>
  <c r="L57"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4" i="14"/>
  <c r="L3" i="14"/>
  <c r="I4" i="14"/>
  <c r="I5" i="14"/>
  <c r="I6" i="14"/>
  <c r="I7" i="14"/>
  <c r="I8" i="14"/>
  <c r="I9" i="14"/>
  <c r="I10" i="14"/>
  <c r="I11" i="14"/>
  <c r="I12" i="14"/>
  <c r="I13" i="14"/>
  <c r="I14" i="14"/>
  <c r="I15" i="14"/>
  <c r="I16"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6" i="14"/>
  <c r="I47" i="14"/>
  <c r="I48" i="14"/>
  <c r="I49" i="14"/>
  <c r="I50" i="14"/>
  <c r="I51" i="14"/>
  <c r="I52" i="14"/>
  <c r="I53" i="14"/>
  <c r="I54" i="14"/>
  <c r="I56" i="14"/>
  <c r="I57" i="14"/>
  <c r="I59" i="14"/>
  <c r="I60" i="14"/>
  <c r="I62" i="14"/>
  <c r="I63" i="14"/>
  <c r="I65" i="14"/>
  <c r="I66" i="14"/>
  <c r="I68" i="14"/>
  <c r="I69" i="14"/>
  <c r="I72" i="14"/>
  <c r="I75" i="14"/>
  <c r="I78" i="14"/>
  <c r="I79" i="14"/>
  <c r="I80" i="14"/>
  <c r="I81" i="14"/>
  <c r="I82" i="14"/>
  <c r="I83" i="14"/>
  <c r="I84" i="14"/>
  <c r="I85" i="14"/>
  <c r="I88" i="14"/>
  <c r="I91" i="14"/>
  <c r="I94" i="14"/>
  <c r="I97" i="14"/>
  <c r="I100" i="14"/>
  <c r="I102" i="14"/>
  <c r="I103" i="14"/>
  <c r="I105" i="14"/>
  <c r="I106" i="14"/>
  <c r="I108" i="14"/>
  <c r="I109" i="14"/>
  <c r="I111" i="14"/>
  <c r="I112" i="14"/>
  <c r="I114" i="14"/>
  <c r="I115" i="14"/>
  <c r="I117" i="14"/>
  <c r="I118" i="14"/>
  <c r="I120" i="14"/>
  <c r="I121" i="14"/>
  <c r="I123" i="14"/>
  <c r="I124" i="14"/>
  <c r="I126" i="14"/>
  <c r="I127" i="14"/>
  <c r="I129" i="14"/>
  <c r="I130"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61" i="14"/>
  <c r="I163" i="14"/>
  <c r="I164" i="14"/>
  <c r="I166" i="14"/>
  <c r="I167" i="14"/>
  <c r="I170" i="14"/>
  <c r="I171" i="14"/>
  <c r="I172" i="14"/>
  <c r="I173" i="14"/>
  <c r="I174" i="14"/>
  <c r="I175" i="14"/>
  <c r="I176" i="14"/>
  <c r="I177" i="14"/>
  <c r="I178" i="14"/>
  <c r="I179" i="14"/>
  <c r="I180" i="14"/>
  <c r="I181" i="14"/>
  <c r="I182" i="14"/>
  <c r="I183" i="14"/>
  <c r="I184" i="14"/>
  <c r="I185" i="14"/>
  <c r="I186" i="14"/>
  <c r="I187" i="14"/>
  <c r="I188" i="14"/>
  <c r="I191" i="14"/>
  <c r="I192" i="14"/>
  <c r="I193" i="14"/>
  <c r="I194" i="14"/>
  <c r="I195" i="14"/>
  <c r="I196" i="14"/>
  <c r="I197" i="14"/>
  <c r="I198" i="14"/>
  <c r="I199" i="14"/>
  <c r="I202" i="14"/>
  <c r="I203" i="14"/>
  <c r="I204" i="14"/>
  <c r="I205" i="14"/>
  <c r="I206" i="14"/>
  <c r="I207" i="14"/>
  <c r="I208" i="14"/>
  <c r="I209" i="14"/>
  <c r="I210" i="14"/>
  <c r="I215" i="14"/>
  <c r="I216" i="14"/>
  <c r="I217" i="14"/>
  <c r="I218" i="14"/>
  <c r="I219" i="14"/>
  <c r="I220" i="14"/>
  <c r="I221" i="14"/>
  <c r="I222" i="14"/>
  <c r="I227" i="14"/>
  <c r="I228" i="14"/>
  <c r="I229" i="14"/>
  <c r="I230" i="14"/>
  <c r="I231" i="14"/>
  <c r="I232" i="14"/>
  <c r="I233" i="14"/>
  <c r="I234" i="14"/>
  <c r="I239" i="14"/>
  <c r="I240" i="14"/>
  <c r="I241" i="14"/>
  <c r="I242" i="14"/>
  <c r="I243" i="14"/>
  <c r="I244" i="14"/>
  <c r="I245" i="14"/>
  <c r="I246" i="14"/>
  <c r="I248" i="14"/>
  <c r="I249" i="14"/>
  <c r="I251" i="14"/>
  <c r="I252" i="14"/>
  <c r="I254" i="14"/>
  <c r="I255" i="14"/>
  <c r="I257" i="14"/>
  <c r="I258" i="14"/>
  <c r="I260" i="14"/>
  <c r="I261" i="14"/>
  <c r="I263" i="14"/>
  <c r="I264" i="14"/>
  <c r="I266" i="14"/>
  <c r="I267" i="14"/>
  <c r="I269" i="14"/>
  <c r="I270" i="14"/>
  <c r="I272" i="14"/>
  <c r="I273" i="14"/>
  <c r="I275" i="14"/>
  <c r="I276" i="14"/>
  <c r="I278" i="14"/>
  <c r="I279" i="14"/>
  <c r="I281" i="14"/>
  <c r="I282" i="14"/>
  <c r="I284" i="14"/>
  <c r="I285" i="14"/>
  <c r="I287" i="14"/>
  <c r="I288" i="14"/>
  <c r="I290" i="14"/>
  <c r="I291" i="14"/>
  <c r="I293" i="14"/>
  <c r="I294" i="14"/>
  <c r="I296" i="14"/>
  <c r="I297" i="14"/>
  <c r="I300" i="14"/>
  <c r="I301" i="14"/>
  <c r="I302" i="14"/>
  <c r="I303" i="14"/>
  <c r="I304" i="14"/>
  <c r="I305" i="14"/>
  <c r="I306" i="14"/>
  <c r="I309" i="14"/>
  <c r="I310" i="14"/>
  <c r="I311" i="14"/>
  <c r="I312" i="14"/>
  <c r="I313" i="14"/>
  <c r="I314" i="14"/>
  <c r="I315" i="14"/>
  <c r="I316" i="14"/>
  <c r="I317" i="14"/>
  <c r="I318" i="14"/>
  <c r="I319" i="14"/>
  <c r="I320" i="14"/>
  <c r="I321" i="14"/>
  <c r="I322" i="14"/>
  <c r="I323" i="14"/>
  <c r="I324" i="14"/>
  <c r="I325" i="14"/>
  <c r="I326" i="14"/>
  <c r="I327" i="14"/>
  <c r="I328" i="14"/>
  <c r="I329" i="14"/>
  <c r="I330" i="14"/>
  <c r="I331" i="14"/>
  <c r="I332" i="14"/>
  <c r="I333" i="14"/>
  <c r="I334" i="14"/>
  <c r="I335" i="14"/>
  <c r="I336" i="14"/>
  <c r="I337" i="14"/>
  <c r="I338" i="14"/>
  <c r="I339" i="14"/>
  <c r="I344" i="14"/>
  <c r="I345" i="14"/>
  <c r="I346" i="14"/>
  <c r="I347" i="14"/>
  <c r="I348" i="14"/>
  <c r="I349" i="14"/>
  <c r="I350" i="14"/>
  <c r="I351" i="14"/>
  <c r="I356" i="14"/>
  <c r="I357" i="14"/>
  <c r="I358" i="14"/>
  <c r="I359" i="14"/>
  <c r="I360" i="14"/>
  <c r="I361" i="14"/>
  <c r="I362" i="14"/>
  <c r="I363" i="14"/>
  <c r="I368" i="14"/>
  <c r="I369" i="14"/>
  <c r="I370" i="14"/>
  <c r="I371" i="14"/>
  <c r="I372" i="14"/>
  <c r="I373" i="14"/>
  <c r="I374" i="14"/>
  <c r="I375" i="14"/>
  <c r="I3"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61" i="14"/>
  <c r="A262" i="14"/>
  <c r="A263" i="14"/>
  <c r="A264" i="14"/>
  <c r="A265" i="14"/>
  <c r="A266" i="14"/>
  <c r="A267" i="14"/>
  <c r="A268" i="14"/>
  <c r="A269" i="14"/>
  <c r="A270" i="14"/>
  <c r="A271" i="14"/>
  <c r="A272" i="14"/>
  <c r="A273" i="14"/>
  <c r="A274" i="14"/>
  <c r="A275" i="14"/>
  <c r="A276" i="14"/>
  <c r="A277" i="14"/>
  <c r="A278" i="14"/>
  <c r="A279" i="14"/>
  <c r="A280" i="14"/>
  <c r="A281" i="14"/>
  <c r="A282" i="14"/>
  <c r="A283" i="14"/>
  <c r="A284" i="14"/>
  <c r="A285" i="14"/>
  <c r="A286" i="14"/>
  <c r="A287" i="14"/>
  <c r="A288" i="14"/>
  <c r="A289" i="14"/>
  <c r="A290" i="14"/>
  <c r="A291" i="14"/>
  <c r="A292" i="14"/>
  <c r="A293" i="14"/>
  <c r="A294" i="14"/>
  <c r="A295" i="14"/>
  <c r="A296" i="14"/>
  <c r="A297" i="14"/>
  <c r="A298" i="14"/>
  <c r="A299" i="14"/>
  <c r="A300" i="14"/>
  <c r="A301" i="14"/>
  <c r="A302" i="14"/>
  <c r="A303" i="14"/>
  <c r="A304" i="14"/>
  <c r="A305" i="14"/>
  <c r="A306" i="14"/>
  <c r="A307" i="14"/>
  <c r="A308" i="14"/>
  <c r="A309" i="14"/>
  <c r="A310" i="14"/>
  <c r="A311" i="14"/>
  <c r="A312" i="14"/>
  <c r="A313" i="14"/>
  <c r="A314" i="14"/>
  <c r="A315" i="14"/>
  <c r="A316" i="14"/>
  <c r="A317" i="14"/>
  <c r="A318" i="14"/>
  <c r="A319" i="14"/>
  <c r="A320" i="14"/>
  <c r="A321" i="14"/>
  <c r="A322" i="14"/>
  <c r="A323" i="14"/>
  <c r="A324" i="14"/>
  <c r="A325" i="14"/>
  <c r="A326" i="14"/>
  <c r="A327" i="14"/>
  <c r="A328" i="14"/>
  <c r="A329" i="14"/>
  <c r="A330" i="14"/>
  <c r="A331" i="14"/>
  <c r="A332" i="14"/>
  <c r="A333" i="14"/>
  <c r="A334" i="14"/>
  <c r="A335" i="14"/>
  <c r="A336" i="14"/>
  <c r="A337" i="14"/>
  <c r="A338" i="14"/>
  <c r="A339" i="14"/>
  <c r="A340" i="14"/>
  <c r="A341" i="14"/>
  <c r="A342" i="14"/>
  <c r="A343" i="14"/>
  <c r="A344" i="14"/>
  <c r="A345" i="14"/>
  <c r="A346" i="14"/>
  <c r="A347" i="14"/>
  <c r="A348" i="14"/>
  <c r="A349" i="14"/>
  <c r="A350" i="14"/>
  <c r="A351" i="14"/>
  <c r="A352" i="14"/>
  <c r="A353" i="14"/>
  <c r="A354" i="14"/>
  <c r="A355" i="14"/>
  <c r="A356" i="14"/>
  <c r="A357" i="14"/>
  <c r="A358" i="14"/>
  <c r="A359" i="14"/>
  <c r="A360" i="14"/>
  <c r="A361" i="14"/>
  <c r="A362" i="14"/>
  <c r="A363" i="14"/>
  <c r="A364" i="14"/>
  <c r="A365" i="14"/>
  <c r="A366" i="14"/>
  <c r="A367" i="14"/>
  <c r="A368" i="14"/>
  <c r="A369" i="14"/>
  <c r="A370" i="14"/>
  <c r="A371" i="14"/>
  <c r="A372" i="14"/>
  <c r="A373" i="14"/>
  <c r="A374" i="14"/>
  <c r="A375" i="14"/>
  <c r="A4" i="14"/>
  <c r="A5" i="14"/>
  <c r="A6" i="14"/>
  <c r="A7" i="14"/>
  <c r="A8" i="14"/>
  <c r="A9" i="14"/>
  <c r="A10" i="14"/>
  <c r="A11" i="14"/>
  <c r="A12" i="14"/>
  <c r="A13" i="14"/>
  <c r="A14" i="14"/>
  <c r="A15" i="14"/>
  <c r="A16" i="14"/>
  <c r="A3" i="14"/>
  <c r="AQ772" i="12"/>
  <c r="AQ771" i="12"/>
  <c r="AQ770" i="12"/>
  <c r="AQ769" i="12"/>
  <c r="AQ768" i="12"/>
  <c r="AQ767" i="12"/>
  <c r="AQ766" i="12"/>
  <c r="AQ765" i="12"/>
  <c r="AQ764" i="12"/>
  <c r="AQ763" i="12"/>
  <c r="AQ762" i="12"/>
  <c r="AQ761" i="12"/>
  <c r="AQ760" i="12"/>
  <c r="AQ759" i="12"/>
  <c r="AQ758" i="12"/>
  <c r="AQ757" i="12"/>
  <c r="AQ756" i="12"/>
  <c r="AQ755" i="12"/>
  <c r="AQ754" i="12"/>
  <c r="AQ753" i="12"/>
  <c r="AQ752" i="12"/>
  <c r="AQ751" i="12"/>
  <c r="AQ750" i="12"/>
  <c r="AQ749" i="12"/>
  <c r="AQ748" i="12"/>
  <c r="AQ747" i="12"/>
  <c r="AQ746" i="12"/>
  <c r="AQ745" i="12"/>
  <c r="AQ744" i="12"/>
  <c r="AQ743" i="12"/>
  <c r="AQ742" i="12"/>
  <c r="AQ741" i="12"/>
  <c r="AQ740" i="12"/>
  <c r="AQ739" i="12"/>
  <c r="AQ738" i="12"/>
  <c r="AQ737" i="12"/>
  <c r="AQ736" i="12"/>
  <c r="AQ735" i="12"/>
  <c r="AQ734" i="12"/>
  <c r="AQ733" i="12"/>
  <c r="AQ732" i="12"/>
  <c r="AQ731" i="12"/>
  <c r="AQ730" i="12"/>
  <c r="AQ729" i="12"/>
  <c r="AQ728" i="12"/>
  <c r="AQ727" i="12"/>
  <c r="AQ726" i="12"/>
  <c r="AQ725" i="12"/>
  <c r="AQ724" i="12"/>
  <c r="AQ723" i="12"/>
  <c r="AQ722" i="12"/>
  <c r="AQ721" i="12"/>
  <c r="AQ720" i="12"/>
  <c r="AQ719" i="12"/>
  <c r="AQ718" i="12"/>
  <c r="AQ717" i="12"/>
  <c r="AQ716" i="12"/>
  <c r="AQ715" i="12"/>
  <c r="AQ714" i="12"/>
  <c r="AQ713" i="12"/>
  <c r="AQ712" i="12"/>
  <c r="AQ711" i="12"/>
  <c r="AQ710" i="12"/>
  <c r="AQ709" i="12"/>
  <c r="AQ708" i="12"/>
  <c r="AQ707" i="12"/>
  <c r="AQ706" i="12"/>
  <c r="AQ705" i="12"/>
  <c r="AQ704" i="12"/>
  <c r="AQ703" i="12"/>
  <c r="AQ702" i="12"/>
  <c r="AQ701" i="12"/>
  <c r="AQ700" i="12"/>
  <c r="AQ699" i="12"/>
  <c r="AQ698" i="12"/>
  <c r="AQ697" i="12"/>
  <c r="AQ696" i="12"/>
  <c r="AQ695" i="12"/>
  <c r="AQ694" i="12"/>
  <c r="AQ693" i="12"/>
  <c r="AQ692" i="12"/>
  <c r="AQ691" i="12"/>
  <c r="AQ690" i="12"/>
  <c r="AQ689" i="12"/>
  <c r="AQ688" i="12"/>
  <c r="AQ687" i="12"/>
  <c r="AQ686" i="12"/>
  <c r="AQ685" i="12"/>
  <c r="AQ684" i="12"/>
  <c r="AQ683" i="12"/>
  <c r="AQ682" i="12"/>
  <c r="AQ681" i="12"/>
  <c r="AQ680" i="12"/>
  <c r="AQ679" i="12"/>
  <c r="AQ678" i="12"/>
  <c r="AQ677" i="12"/>
  <c r="AQ676" i="12"/>
  <c r="AQ675" i="12"/>
  <c r="AQ674" i="12"/>
  <c r="AQ673" i="12"/>
  <c r="AQ672" i="12"/>
  <c r="AQ671" i="12"/>
  <c r="AQ670" i="12"/>
  <c r="AQ669" i="12"/>
  <c r="AQ668" i="12"/>
  <c r="AQ667" i="12"/>
  <c r="AQ666" i="12"/>
  <c r="AQ665" i="12"/>
  <c r="AQ664" i="12"/>
  <c r="AQ663" i="12"/>
  <c r="AQ662" i="12"/>
  <c r="AQ661" i="12"/>
  <c r="AQ660" i="12"/>
  <c r="AQ659" i="12"/>
  <c r="AQ658" i="12"/>
  <c r="AQ657" i="12"/>
  <c r="AQ656" i="12"/>
  <c r="AQ655" i="12"/>
  <c r="AQ654" i="12"/>
  <c r="AQ653" i="12"/>
  <c r="AQ652" i="12"/>
  <c r="AQ651" i="12"/>
  <c r="AQ650" i="12"/>
  <c r="AQ649" i="12"/>
  <c r="AQ648" i="12"/>
  <c r="AQ647" i="12"/>
  <c r="AQ646" i="12"/>
  <c r="AQ645" i="12"/>
  <c r="AQ644" i="12"/>
  <c r="AQ643" i="12"/>
  <c r="AQ642" i="12"/>
  <c r="AQ641" i="12"/>
  <c r="AQ640" i="12"/>
  <c r="AQ639" i="12"/>
  <c r="AQ638" i="12"/>
  <c r="AQ637" i="12"/>
  <c r="AQ636" i="12"/>
  <c r="AQ635" i="12"/>
  <c r="AQ634" i="12"/>
  <c r="AQ633" i="12"/>
  <c r="AQ632" i="12"/>
  <c r="AQ631" i="12"/>
  <c r="AQ630" i="12"/>
  <c r="AQ629" i="12"/>
  <c r="AQ628" i="12"/>
  <c r="AQ627" i="12"/>
  <c r="AQ626" i="12"/>
  <c r="AQ625" i="12"/>
  <c r="AQ624" i="12"/>
  <c r="AQ623" i="12"/>
  <c r="AQ622" i="12"/>
  <c r="AQ621" i="12"/>
  <c r="AQ620" i="12"/>
  <c r="AQ619" i="12"/>
  <c r="AQ618" i="12"/>
  <c r="AQ617" i="12"/>
  <c r="AQ616" i="12"/>
  <c r="AQ615" i="12"/>
  <c r="AQ614" i="12"/>
  <c r="AQ613" i="12"/>
  <c r="AQ612" i="12"/>
  <c r="AQ611" i="12"/>
  <c r="AQ610" i="12"/>
  <c r="AQ609" i="12"/>
  <c r="AQ608" i="12"/>
  <c r="AQ607" i="12"/>
  <c r="AQ606" i="12"/>
  <c r="AQ605" i="12"/>
  <c r="AQ604" i="12"/>
  <c r="AQ603" i="12"/>
  <c r="AQ602" i="12"/>
  <c r="AQ601" i="12"/>
  <c r="AQ600" i="12"/>
  <c r="AQ599" i="12"/>
  <c r="AQ598" i="12"/>
  <c r="AQ597" i="12"/>
  <c r="AQ596" i="12"/>
  <c r="AQ595" i="12"/>
  <c r="AQ594" i="12"/>
  <c r="AQ593" i="12"/>
  <c r="AQ592" i="12"/>
  <c r="AQ591" i="12"/>
  <c r="AQ590" i="12"/>
  <c r="AQ589" i="12"/>
  <c r="AQ588" i="12"/>
  <c r="AQ587" i="12"/>
  <c r="AQ586" i="12"/>
  <c r="AQ585" i="12"/>
  <c r="AQ584" i="12"/>
  <c r="AQ583" i="12"/>
  <c r="AQ582" i="12"/>
  <c r="AQ581" i="12"/>
  <c r="AQ580" i="12"/>
  <c r="AQ579" i="12"/>
  <c r="AQ578" i="12"/>
  <c r="AQ577" i="12"/>
  <c r="AQ576" i="12"/>
  <c r="AQ575" i="12"/>
  <c r="AQ574" i="12"/>
  <c r="AQ573" i="12"/>
  <c r="AQ572" i="12"/>
  <c r="AQ571" i="12"/>
  <c r="AQ570" i="12"/>
  <c r="AQ569" i="12"/>
  <c r="AQ568" i="12"/>
  <c r="AQ567" i="12"/>
  <c r="AQ566" i="12"/>
  <c r="AQ565" i="12"/>
  <c r="AQ564" i="12"/>
  <c r="AQ563" i="12"/>
  <c r="AQ562" i="12"/>
  <c r="AQ561" i="12"/>
  <c r="AQ560" i="12"/>
  <c r="AQ559" i="12"/>
  <c r="AQ558" i="12"/>
  <c r="AQ557" i="12"/>
  <c r="AQ556" i="12"/>
  <c r="AQ555" i="12"/>
  <c r="AQ554" i="12"/>
  <c r="AQ553" i="12"/>
  <c r="AQ552" i="12"/>
  <c r="AQ551" i="12"/>
  <c r="AQ550" i="12"/>
  <c r="AQ549" i="12"/>
  <c r="AQ548" i="12"/>
  <c r="AQ547" i="12"/>
  <c r="AQ546" i="12"/>
  <c r="AQ545" i="12"/>
  <c r="AQ544" i="12"/>
  <c r="AQ543" i="12"/>
  <c r="AQ542" i="12"/>
  <c r="AQ541" i="12"/>
  <c r="AQ540" i="12"/>
  <c r="AQ539" i="12"/>
  <c r="AQ538" i="12"/>
  <c r="AQ537" i="12"/>
  <c r="AQ536" i="12"/>
  <c r="AQ535" i="12"/>
  <c r="AQ534" i="12"/>
  <c r="AQ533" i="12"/>
  <c r="AQ532" i="12"/>
  <c r="AQ531" i="12"/>
  <c r="AQ530" i="12"/>
  <c r="AQ529" i="12"/>
  <c r="AQ528" i="12"/>
  <c r="AQ527" i="12"/>
  <c r="AQ526" i="12"/>
  <c r="AQ525" i="12"/>
  <c r="AQ524" i="12"/>
  <c r="AQ523" i="12"/>
  <c r="AQ522" i="12"/>
  <c r="AQ521" i="12"/>
  <c r="AQ520" i="12"/>
  <c r="AQ519" i="12"/>
  <c r="AQ518" i="12"/>
  <c r="AQ517" i="12"/>
  <c r="AQ516" i="12"/>
  <c r="AQ515" i="12"/>
  <c r="AQ514" i="12"/>
  <c r="AQ513" i="12"/>
  <c r="AQ512" i="12"/>
  <c r="AQ511" i="12"/>
  <c r="AQ510" i="12"/>
  <c r="AQ509" i="12"/>
  <c r="AQ508" i="12"/>
  <c r="AQ507" i="12"/>
  <c r="AQ506" i="12"/>
  <c r="AQ505" i="12"/>
  <c r="AQ504" i="12"/>
  <c r="AQ503" i="12"/>
  <c r="AQ502" i="12"/>
  <c r="AQ501" i="12"/>
  <c r="AQ500" i="12"/>
  <c r="AQ499" i="12"/>
  <c r="AQ498" i="12"/>
  <c r="AQ497" i="12"/>
  <c r="AQ496" i="12"/>
  <c r="AQ495" i="12"/>
  <c r="AQ494" i="12"/>
  <c r="AQ493" i="12"/>
  <c r="AQ492" i="12"/>
  <c r="AQ491" i="12"/>
  <c r="AQ490" i="12"/>
  <c r="AQ489" i="12"/>
  <c r="AQ488" i="12"/>
  <c r="AQ487" i="12"/>
  <c r="AQ486" i="12"/>
  <c r="AQ485" i="12"/>
  <c r="AQ484" i="12"/>
  <c r="AQ483" i="12"/>
  <c r="AQ482" i="12"/>
  <c r="AQ481" i="12"/>
  <c r="AQ480" i="12"/>
  <c r="AQ479" i="12"/>
  <c r="AQ478" i="12"/>
  <c r="AQ477" i="12"/>
  <c r="AQ476" i="12"/>
  <c r="AQ475" i="12"/>
  <c r="AQ474" i="12"/>
  <c r="AQ473" i="12"/>
  <c r="AQ472" i="12"/>
  <c r="AQ471" i="12"/>
  <c r="AQ470" i="12"/>
  <c r="AQ469" i="12"/>
  <c r="AQ468" i="12"/>
  <c r="AQ467" i="12"/>
  <c r="AQ466" i="12"/>
  <c r="AQ465" i="12"/>
  <c r="AQ464" i="12"/>
  <c r="AQ463" i="12"/>
  <c r="AQ462" i="12"/>
  <c r="AQ461" i="12"/>
  <c r="AQ460" i="12"/>
  <c r="AQ459" i="12"/>
  <c r="AQ458" i="12"/>
  <c r="AQ457" i="12"/>
  <c r="AQ456" i="12"/>
  <c r="AQ455" i="12"/>
  <c r="AQ454" i="12"/>
  <c r="AQ453" i="12"/>
  <c r="AQ452" i="12"/>
  <c r="AQ451" i="12"/>
  <c r="AQ450" i="12"/>
  <c r="AQ449" i="12"/>
  <c r="AQ448" i="12"/>
  <c r="AQ447" i="12"/>
  <c r="AQ446" i="12"/>
  <c r="AQ445" i="12"/>
  <c r="AQ444" i="12"/>
  <c r="AQ443" i="12"/>
  <c r="AQ442" i="12"/>
  <c r="AQ441" i="12"/>
  <c r="AQ440" i="12"/>
  <c r="AQ439" i="12"/>
  <c r="AQ438" i="12"/>
  <c r="AQ437" i="12"/>
  <c r="AQ436" i="12"/>
  <c r="AQ435" i="12"/>
  <c r="AQ434" i="12"/>
  <c r="AQ433" i="12"/>
  <c r="AQ432" i="12"/>
  <c r="AQ431" i="12"/>
  <c r="AQ430" i="12"/>
  <c r="AQ429" i="12"/>
  <c r="AQ428" i="12"/>
  <c r="AQ427" i="12"/>
  <c r="AQ426" i="12"/>
  <c r="AQ425" i="12"/>
  <c r="AQ424" i="12"/>
  <c r="AQ423" i="12"/>
  <c r="AQ422" i="12"/>
  <c r="AQ421" i="12"/>
  <c r="AQ420" i="12"/>
  <c r="AQ419" i="12"/>
  <c r="AQ418" i="12"/>
  <c r="AQ417" i="12"/>
  <c r="AQ416" i="12"/>
  <c r="AQ415" i="12"/>
  <c r="AQ414" i="12"/>
  <c r="AQ413" i="12"/>
  <c r="AQ412" i="12"/>
  <c r="AQ411" i="12"/>
  <c r="AQ410" i="12"/>
  <c r="AQ409" i="12"/>
  <c r="AQ408" i="12"/>
  <c r="AQ407" i="12"/>
  <c r="AQ406" i="12"/>
  <c r="AQ405" i="12"/>
  <c r="AQ404" i="12"/>
  <c r="AQ403" i="12"/>
  <c r="AQ402" i="12"/>
  <c r="AQ401" i="12"/>
  <c r="AQ400" i="12"/>
  <c r="AQ399" i="12"/>
  <c r="AQ398" i="12"/>
  <c r="AQ397" i="12"/>
  <c r="AQ396" i="12"/>
  <c r="AQ395" i="12"/>
  <c r="AQ394" i="12"/>
  <c r="AQ393" i="12"/>
  <c r="AQ392" i="12"/>
  <c r="AQ391" i="12"/>
  <c r="AQ390" i="12"/>
  <c r="AQ389" i="12"/>
  <c r="AQ388" i="12"/>
  <c r="AQ387" i="12"/>
  <c r="AQ386" i="12"/>
  <c r="AQ385" i="12"/>
  <c r="AQ384" i="12"/>
  <c r="AQ383" i="12"/>
  <c r="AQ382" i="12"/>
  <c r="AQ381" i="12"/>
  <c r="AQ380" i="12"/>
  <c r="AQ379" i="12"/>
  <c r="AQ378" i="12"/>
  <c r="AQ377" i="12"/>
  <c r="AQ376" i="12"/>
  <c r="AQ375" i="12"/>
  <c r="AQ374" i="12"/>
  <c r="AQ373" i="12"/>
  <c r="AQ372" i="12"/>
  <c r="AQ371" i="12"/>
  <c r="AQ370" i="12"/>
  <c r="AQ369" i="12"/>
  <c r="AQ368" i="12"/>
  <c r="AQ367" i="12"/>
  <c r="AQ366" i="12"/>
  <c r="AQ365" i="12"/>
  <c r="AQ364" i="12"/>
  <c r="AQ363" i="12"/>
  <c r="AQ362" i="12"/>
  <c r="AQ361" i="12"/>
  <c r="AQ360" i="12"/>
  <c r="AQ359" i="12"/>
  <c r="AQ358" i="12"/>
  <c r="AQ357" i="12"/>
  <c r="AQ356" i="12"/>
  <c r="AQ355" i="12"/>
  <c r="AQ354" i="12"/>
  <c r="AQ353" i="12"/>
  <c r="AQ352" i="12"/>
  <c r="AQ351" i="12"/>
  <c r="AQ350" i="12"/>
  <c r="AQ349" i="12"/>
  <c r="AQ348" i="12"/>
  <c r="AQ347" i="12"/>
  <c r="AQ346" i="12"/>
  <c r="AQ345" i="12"/>
  <c r="AQ344" i="12"/>
  <c r="AQ343" i="12"/>
  <c r="AQ342" i="12"/>
  <c r="AQ341" i="12"/>
  <c r="AQ340" i="12"/>
  <c r="AQ339" i="12"/>
  <c r="AQ338" i="12"/>
  <c r="AQ337" i="12"/>
  <c r="AQ336" i="12"/>
  <c r="AQ335" i="12"/>
  <c r="AQ334" i="12"/>
  <c r="AQ333" i="12"/>
  <c r="AQ332" i="12"/>
  <c r="AQ331" i="12"/>
  <c r="AQ330" i="12"/>
  <c r="AQ329" i="12"/>
  <c r="AQ328" i="12"/>
  <c r="AQ327" i="12"/>
  <c r="AQ326" i="12"/>
  <c r="AQ325" i="12"/>
  <c r="AQ324" i="12"/>
  <c r="AQ323" i="12"/>
  <c r="AQ322" i="12"/>
  <c r="AQ321" i="12"/>
  <c r="AQ320" i="12"/>
  <c r="AQ319" i="12"/>
  <c r="AQ318" i="12"/>
  <c r="AQ317" i="12"/>
  <c r="AQ316" i="12"/>
  <c r="AQ315" i="12"/>
  <c r="AQ314" i="12"/>
  <c r="AQ313" i="12"/>
  <c r="AQ312" i="12"/>
  <c r="AQ311" i="12"/>
  <c r="AQ310" i="12"/>
  <c r="AQ309" i="12"/>
  <c r="AQ308" i="12"/>
  <c r="AQ307" i="12"/>
  <c r="AQ306" i="12"/>
  <c r="AQ305" i="12"/>
  <c r="AQ304" i="12"/>
  <c r="AQ303" i="12"/>
  <c r="AQ302" i="12"/>
  <c r="AQ301" i="12"/>
  <c r="AQ300" i="12"/>
  <c r="AQ299" i="12"/>
  <c r="AQ298" i="12"/>
  <c r="AQ297" i="12"/>
  <c r="AQ296" i="12"/>
  <c r="AQ295" i="12"/>
  <c r="AQ294" i="12"/>
  <c r="AQ293" i="12"/>
  <c r="AQ292" i="12"/>
  <c r="AQ291" i="12"/>
  <c r="AQ290" i="12"/>
  <c r="AQ289" i="12"/>
  <c r="AQ288" i="12"/>
  <c r="AQ287" i="12"/>
  <c r="AQ286" i="12"/>
  <c r="AQ285" i="12"/>
  <c r="AQ284" i="12"/>
  <c r="AQ283" i="12"/>
  <c r="AQ282" i="12"/>
  <c r="AQ281" i="12"/>
  <c r="AQ280" i="12"/>
  <c r="AQ279" i="12"/>
  <c r="AQ278" i="12"/>
  <c r="AQ277" i="12"/>
  <c r="AQ276" i="12"/>
  <c r="AQ275" i="12"/>
  <c r="AQ274" i="12"/>
  <c r="AQ273" i="12"/>
  <c r="AQ272" i="12"/>
  <c r="AQ271" i="12"/>
  <c r="AQ269" i="12"/>
  <c r="AQ268" i="12"/>
  <c r="AQ267" i="12"/>
  <c r="AQ266" i="12"/>
  <c r="AQ265" i="12"/>
  <c r="AQ264" i="12"/>
  <c r="AQ263" i="12"/>
  <c r="AQ262" i="12"/>
  <c r="AQ261" i="12"/>
  <c r="AQ260" i="12"/>
  <c r="AQ259" i="12"/>
  <c r="AQ258" i="12"/>
  <c r="AQ257" i="12"/>
  <c r="AQ256" i="12"/>
  <c r="AQ255" i="12"/>
  <c r="AQ254" i="12"/>
  <c r="AQ253" i="12"/>
  <c r="AQ252" i="12"/>
  <c r="AQ251" i="12"/>
  <c r="AQ250" i="12"/>
  <c r="AQ249" i="12"/>
  <c r="AQ248" i="12"/>
  <c r="AQ247" i="12"/>
  <c r="AQ246" i="12"/>
  <c r="AQ245" i="12"/>
  <c r="AQ244" i="12"/>
  <c r="AQ243" i="12"/>
  <c r="AQ242" i="12"/>
  <c r="AQ241" i="12"/>
  <c r="AQ240" i="12"/>
  <c r="AQ239" i="12"/>
  <c r="AQ238" i="12"/>
  <c r="AQ237" i="12"/>
  <c r="AQ236" i="12"/>
  <c r="AQ235" i="12"/>
  <c r="AQ234" i="12"/>
  <c r="AQ233" i="12"/>
  <c r="AQ232" i="12"/>
  <c r="AQ231" i="12"/>
  <c r="AQ230" i="12"/>
  <c r="AQ229" i="12"/>
  <c r="AQ228" i="12"/>
  <c r="AQ227" i="12"/>
  <c r="AQ226" i="12"/>
  <c r="AQ225" i="12"/>
  <c r="AQ224" i="12"/>
  <c r="AQ223" i="12"/>
  <c r="AQ222" i="12"/>
  <c r="AQ221" i="12"/>
  <c r="AQ220" i="12"/>
  <c r="AQ219" i="12"/>
  <c r="AQ218" i="12"/>
  <c r="AQ217" i="12"/>
  <c r="AQ216" i="12"/>
  <c r="AQ215" i="12"/>
  <c r="AQ214" i="12"/>
  <c r="AQ213" i="12"/>
  <c r="AQ212" i="12"/>
  <c r="AQ211" i="12"/>
  <c r="AQ210" i="12"/>
  <c r="AQ209" i="12"/>
  <c r="AQ208" i="12"/>
  <c r="AQ207" i="12"/>
  <c r="AQ206" i="12"/>
  <c r="AQ205" i="12"/>
  <c r="AQ204" i="12"/>
  <c r="AQ203" i="12"/>
  <c r="AQ202" i="12"/>
  <c r="AQ201" i="12"/>
  <c r="AQ200" i="12"/>
  <c r="AQ199" i="12"/>
  <c r="AQ198" i="12"/>
  <c r="AQ197" i="12"/>
  <c r="AQ196" i="12"/>
  <c r="AQ195" i="12"/>
  <c r="AQ194" i="12"/>
  <c r="AQ193" i="12"/>
  <c r="AQ192" i="12"/>
  <c r="AQ191" i="12"/>
  <c r="AQ190" i="12"/>
  <c r="AQ189" i="12"/>
  <c r="AQ188" i="12"/>
  <c r="AQ187" i="12"/>
  <c r="AQ186" i="12"/>
  <c r="AQ185" i="12"/>
  <c r="AQ184" i="12"/>
  <c r="AQ183" i="12"/>
  <c r="AQ182" i="12"/>
  <c r="AQ181" i="12"/>
  <c r="AQ180" i="12"/>
  <c r="AQ179" i="12"/>
  <c r="AQ178" i="12"/>
  <c r="AQ177" i="12"/>
  <c r="AQ176" i="12"/>
  <c r="AQ175" i="12"/>
  <c r="AQ174" i="12"/>
  <c r="AQ173" i="12"/>
  <c r="AQ172" i="12"/>
  <c r="AQ171" i="12"/>
  <c r="AQ170" i="12"/>
  <c r="AQ169" i="12"/>
  <c r="AQ168" i="12"/>
  <c r="AQ167" i="12"/>
  <c r="AQ166" i="12"/>
  <c r="AQ165" i="12"/>
  <c r="AQ164" i="12"/>
  <c r="AQ163" i="12"/>
  <c r="AQ162" i="12"/>
  <c r="AQ161" i="12"/>
  <c r="AQ160" i="12"/>
  <c r="AQ159" i="12"/>
  <c r="AQ158" i="12"/>
  <c r="AQ157" i="12"/>
  <c r="AQ156" i="12"/>
  <c r="AQ155" i="12"/>
  <c r="AQ154" i="12"/>
  <c r="AQ153" i="12"/>
  <c r="AQ152" i="12"/>
  <c r="AQ151" i="12"/>
  <c r="AQ150" i="12"/>
  <c r="AQ149" i="12"/>
  <c r="AQ148" i="12"/>
  <c r="AQ147" i="12"/>
  <c r="AQ146" i="12"/>
  <c r="AQ145" i="12"/>
  <c r="AQ144" i="12"/>
  <c r="AQ143" i="12"/>
  <c r="AQ142" i="12"/>
  <c r="AQ141" i="12"/>
  <c r="AQ140" i="12"/>
  <c r="AQ139" i="12"/>
  <c r="AQ138" i="12"/>
  <c r="AQ137" i="12"/>
  <c r="AQ136" i="12"/>
  <c r="AQ135" i="12"/>
  <c r="AQ134" i="12"/>
  <c r="AQ133" i="12"/>
  <c r="AQ132" i="12"/>
  <c r="AQ131" i="12"/>
  <c r="AQ130" i="12"/>
  <c r="AQ129" i="12"/>
  <c r="AQ128" i="12"/>
  <c r="AQ127" i="12"/>
  <c r="AQ126" i="12"/>
  <c r="AQ125" i="12"/>
  <c r="AQ124" i="12"/>
  <c r="AQ123" i="12"/>
  <c r="AQ122" i="12"/>
  <c r="AQ121" i="12"/>
  <c r="AQ120" i="12"/>
  <c r="AQ119" i="12"/>
  <c r="AQ118" i="12"/>
  <c r="AQ117" i="12"/>
  <c r="AQ116" i="12"/>
  <c r="AQ115" i="12"/>
  <c r="AQ114" i="12"/>
  <c r="AQ113" i="12"/>
  <c r="AQ112" i="12"/>
  <c r="AQ111" i="12"/>
  <c r="AQ110" i="12"/>
  <c r="AQ109" i="12"/>
  <c r="AQ108" i="12"/>
  <c r="AQ107" i="12"/>
  <c r="AQ106" i="12"/>
  <c r="AQ105" i="12"/>
  <c r="AQ104" i="12"/>
  <c r="AQ103" i="12"/>
  <c r="AQ102" i="12"/>
  <c r="AQ101" i="12"/>
  <c r="AQ100" i="12"/>
  <c r="AQ99" i="12"/>
  <c r="AQ98" i="12"/>
  <c r="AQ97" i="12"/>
  <c r="AQ96" i="12"/>
  <c r="AQ95" i="12"/>
  <c r="AQ94" i="12"/>
  <c r="AQ93" i="12"/>
  <c r="AQ92" i="12"/>
  <c r="AQ91" i="12"/>
  <c r="AQ90" i="12"/>
  <c r="AQ89" i="12"/>
  <c r="AQ88" i="12"/>
  <c r="AQ87" i="12"/>
  <c r="AQ86" i="12"/>
  <c r="AQ85" i="12"/>
  <c r="AQ84" i="12"/>
  <c r="AQ83" i="12"/>
  <c r="AQ82" i="12"/>
  <c r="AQ81" i="12"/>
  <c r="AQ80" i="12"/>
  <c r="AQ79" i="12"/>
  <c r="AQ78" i="12"/>
  <c r="AQ77" i="12"/>
  <c r="AQ76" i="12"/>
  <c r="AQ75" i="12"/>
  <c r="AQ74" i="12"/>
  <c r="AQ73" i="12"/>
  <c r="AQ72" i="12"/>
  <c r="AQ70" i="12"/>
  <c r="AQ69" i="12"/>
  <c r="AQ68" i="12"/>
  <c r="AQ67" i="12"/>
  <c r="AQ66" i="12"/>
  <c r="AQ65" i="12"/>
  <c r="AQ64" i="12"/>
  <c r="AQ63" i="12"/>
  <c r="AQ62" i="12"/>
  <c r="AQ61" i="12"/>
  <c r="AQ60" i="12"/>
  <c r="AQ59" i="12"/>
  <c r="AQ58" i="12"/>
  <c r="AQ57" i="12"/>
  <c r="AQ56" i="12"/>
  <c r="AQ55" i="12"/>
  <c r="AQ54" i="12"/>
  <c r="AQ53" i="12"/>
  <c r="AQ52" i="12"/>
  <c r="AQ51" i="12"/>
  <c r="AQ50" i="12"/>
  <c r="AQ49" i="12"/>
  <c r="AQ48" i="12"/>
  <c r="AQ47" i="12"/>
  <c r="AQ46" i="12"/>
  <c r="AQ45" i="12"/>
  <c r="AQ44" i="12"/>
  <c r="AQ43" i="12"/>
  <c r="AQ42" i="12"/>
  <c r="AQ41" i="12"/>
  <c r="AQ40" i="12"/>
  <c r="AQ39" i="12"/>
  <c r="AQ38" i="12"/>
  <c r="AQ37" i="12"/>
  <c r="AQ36" i="12"/>
  <c r="AQ35" i="12"/>
  <c r="AQ34" i="12"/>
  <c r="AQ33" i="12"/>
  <c r="AQ32" i="12"/>
  <c r="AQ31" i="12"/>
  <c r="AQ30" i="12"/>
  <c r="AQ29" i="12"/>
  <c r="AQ28" i="12"/>
  <c r="AQ27" i="12"/>
  <c r="AQ26" i="12"/>
  <c r="AQ25" i="12"/>
  <c r="AQ24" i="12"/>
  <c r="AQ23" i="12"/>
  <c r="AQ22" i="12"/>
  <c r="AQ21" i="12"/>
  <c r="AQ20" i="12"/>
  <c r="AQ19" i="12"/>
  <c r="AQ18" i="12"/>
  <c r="AQ17" i="12"/>
  <c r="AQ16" i="12"/>
  <c r="AQ15" i="12"/>
  <c r="AQ14" i="12"/>
  <c r="AQ13" i="12"/>
  <c r="AQ12" i="12"/>
  <c r="AQ11" i="12"/>
  <c r="AQ10" i="12"/>
  <c r="AQ9" i="12"/>
  <c r="AQ8" i="12"/>
  <c r="AQ7" i="12"/>
  <c r="AQ3" i="12"/>
  <c r="AN775" i="12"/>
  <c r="AN774" i="12"/>
  <c r="AN773" i="12"/>
  <c r="AN771" i="12"/>
  <c r="AN770" i="12"/>
  <c r="AN769" i="12"/>
  <c r="AN768" i="12"/>
  <c r="AN767" i="12"/>
  <c r="AN766" i="12"/>
  <c r="AN765" i="12"/>
  <c r="AN764" i="12"/>
  <c r="AN763" i="12"/>
  <c r="AN762" i="12"/>
  <c r="AN761" i="12"/>
  <c r="AN760" i="12"/>
  <c r="AN759" i="12"/>
  <c r="AN758" i="12"/>
  <c r="AN757" i="12"/>
  <c r="AN756" i="12"/>
  <c r="AN755" i="12"/>
  <c r="AN754" i="12"/>
  <c r="AN753" i="12"/>
  <c r="AN752" i="12"/>
  <c r="AN751" i="12"/>
  <c r="AN750" i="12"/>
  <c r="AN749" i="12"/>
  <c r="AN748" i="12"/>
  <c r="AN747" i="12"/>
  <c r="AN746" i="12"/>
  <c r="AN745" i="12"/>
  <c r="AN744" i="12"/>
  <c r="AN743" i="12"/>
  <c r="AN742" i="12"/>
  <c r="AN741" i="12"/>
  <c r="AN740" i="12"/>
  <c r="AN739" i="12"/>
  <c r="AN738" i="12"/>
  <c r="AN737" i="12"/>
  <c r="AN736" i="12"/>
  <c r="AN735" i="12"/>
  <c r="AN734" i="12"/>
  <c r="AN733" i="12"/>
  <c r="AN732" i="12"/>
  <c r="AN731" i="12"/>
  <c r="AN730" i="12"/>
  <c r="AN729" i="12"/>
  <c r="AN728" i="12"/>
  <c r="AN727" i="12"/>
  <c r="AN726" i="12"/>
  <c r="AN725" i="12"/>
  <c r="AN724" i="12"/>
  <c r="AN723" i="12"/>
  <c r="AN722" i="12"/>
  <c r="AN721" i="12"/>
  <c r="AN720" i="12"/>
  <c r="AN719" i="12"/>
  <c r="AN718" i="12"/>
  <c r="AN717" i="12"/>
  <c r="AN716" i="12"/>
  <c r="AN715" i="12"/>
  <c r="AN714" i="12"/>
  <c r="AN713" i="12"/>
  <c r="AN712" i="12"/>
  <c r="AN711" i="12"/>
  <c r="AN710" i="12"/>
  <c r="AN709" i="12"/>
  <c r="AN708" i="12"/>
  <c r="AN707" i="12"/>
  <c r="AN706" i="12"/>
  <c r="AN705" i="12"/>
  <c r="AN704" i="12"/>
  <c r="AN703" i="12"/>
  <c r="AN702" i="12"/>
  <c r="AN701" i="12"/>
  <c r="AN700" i="12"/>
  <c r="AN699" i="12"/>
  <c r="AN698" i="12"/>
  <c r="AN697" i="12"/>
  <c r="AN696" i="12"/>
  <c r="AN695" i="12"/>
  <c r="AN694" i="12"/>
  <c r="AN693" i="12"/>
  <c r="AN692" i="12"/>
  <c r="AN691" i="12"/>
  <c r="AN690" i="12"/>
  <c r="AN689" i="12"/>
  <c r="AN688" i="12"/>
  <c r="AN687" i="12"/>
  <c r="AN686" i="12"/>
  <c r="AN685" i="12"/>
  <c r="AN684" i="12"/>
  <c r="AN683" i="12"/>
  <c r="AN682" i="12"/>
  <c r="AN681" i="12"/>
  <c r="AN680" i="12"/>
  <c r="AN679" i="12"/>
  <c r="AN678" i="12"/>
  <c r="AN677" i="12"/>
  <c r="AN676" i="12"/>
  <c r="AN675" i="12"/>
  <c r="AN674" i="12"/>
  <c r="AN673" i="12"/>
  <c r="AN672" i="12"/>
  <c r="AN671" i="12"/>
  <c r="AN670" i="12"/>
  <c r="AN669" i="12"/>
  <c r="AN668" i="12"/>
  <c r="AN667" i="12"/>
  <c r="AN666" i="12"/>
  <c r="AN665" i="12"/>
  <c r="AN664" i="12"/>
  <c r="AN663" i="12"/>
  <c r="AN662" i="12"/>
  <c r="AN661" i="12"/>
  <c r="AN660" i="12"/>
  <c r="AN659" i="12"/>
  <c r="AN658" i="12"/>
  <c r="AN657" i="12"/>
  <c r="AN656" i="12"/>
  <c r="AN655" i="12"/>
  <c r="AN654" i="12"/>
  <c r="AN653" i="12"/>
  <c r="AN652" i="12"/>
  <c r="AN651" i="12"/>
  <c r="AN650" i="12"/>
  <c r="AN649" i="12"/>
  <c r="AN648" i="12"/>
  <c r="AN647" i="12"/>
  <c r="AN646" i="12"/>
  <c r="AN645" i="12"/>
  <c r="AN644" i="12"/>
  <c r="AN643" i="12"/>
  <c r="AN642" i="12"/>
  <c r="AN641" i="12"/>
  <c r="AN640" i="12"/>
  <c r="AN639" i="12"/>
  <c r="AN638" i="12"/>
  <c r="AN637" i="12"/>
  <c r="AN636" i="12"/>
  <c r="AN635" i="12"/>
  <c r="AN634" i="12"/>
  <c r="AN633" i="12"/>
  <c r="AN632" i="12"/>
  <c r="AN631" i="12"/>
  <c r="AN630" i="12"/>
  <c r="AN629" i="12"/>
  <c r="AN628" i="12"/>
  <c r="AN627" i="12"/>
  <c r="AN626" i="12"/>
  <c r="AN625" i="12"/>
  <c r="AN624" i="12"/>
  <c r="AN623" i="12"/>
  <c r="AN622" i="12"/>
  <c r="AN621" i="12"/>
  <c r="AN620" i="12"/>
  <c r="AN619" i="12"/>
  <c r="AN618" i="12"/>
  <c r="AN617" i="12"/>
  <c r="AN616" i="12"/>
  <c r="AN615" i="12"/>
  <c r="AN614" i="12"/>
  <c r="AN613" i="12"/>
  <c r="AN612" i="12"/>
  <c r="AN611" i="12"/>
  <c r="AN610" i="12"/>
  <c r="AN609" i="12"/>
  <c r="AN608" i="12"/>
  <c r="AN607" i="12"/>
  <c r="AN606" i="12"/>
  <c r="AN605" i="12"/>
  <c r="AN604" i="12"/>
  <c r="AN603" i="12"/>
  <c r="AN602" i="12"/>
  <c r="AN601" i="12"/>
  <c r="AN600" i="12"/>
  <c r="AN599" i="12"/>
  <c r="AN598" i="12"/>
  <c r="AN597" i="12"/>
  <c r="AN596" i="12"/>
  <c r="AN595" i="12"/>
  <c r="AN594" i="12"/>
  <c r="AN593" i="12"/>
  <c r="AN592" i="12"/>
  <c r="AN591" i="12"/>
  <c r="AN590" i="12"/>
  <c r="AN589" i="12"/>
  <c r="AN588" i="12"/>
  <c r="AN587" i="12"/>
  <c r="AN586" i="12"/>
  <c r="AN585" i="12"/>
  <c r="AN584" i="12"/>
  <c r="AN583" i="12"/>
  <c r="AN582" i="12"/>
  <c r="AN581" i="12"/>
  <c r="AN580" i="12"/>
  <c r="AN579" i="12"/>
  <c r="AN578" i="12"/>
  <c r="AN577" i="12"/>
  <c r="AN576" i="12"/>
  <c r="AN575" i="12"/>
  <c r="AN574" i="12"/>
  <c r="AN573" i="12"/>
  <c r="AN572" i="12"/>
  <c r="AN571" i="12"/>
  <c r="AN570" i="12"/>
  <c r="AN569" i="12"/>
  <c r="AN568" i="12"/>
  <c r="AN567" i="12"/>
  <c r="AN566" i="12"/>
  <c r="AN565" i="12"/>
  <c r="AN564" i="12"/>
  <c r="AN563" i="12"/>
  <c r="AN562" i="12"/>
  <c r="AN561" i="12"/>
  <c r="AN560" i="12"/>
  <c r="AN559" i="12"/>
  <c r="AN558" i="12"/>
  <c r="AN557" i="12"/>
  <c r="AN556" i="12"/>
  <c r="AN555" i="12"/>
  <c r="AN554" i="12"/>
  <c r="AN553" i="12"/>
  <c r="AN552" i="12"/>
  <c r="AN551" i="12"/>
  <c r="AN550" i="12"/>
  <c r="AN549" i="12"/>
  <c r="AN548" i="12"/>
  <c r="AN547" i="12"/>
  <c r="AN546" i="12"/>
  <c r="AN545" i="12"/>
  <c r="AN544" i="12"/>
  <c r="AN543" i="12"/>
  <c r="AN542" i="12"/>
  <c r="AN541" i="12"/>
  <c r="AN540" i="12"/>
  <c r="AN539" i="12"/>
  <c r="AN538" i="12"/>
  <c r="AN537" i="12"/>
  <c r="AN536" i="12"/>
  <c r="AN535" i="12"/>
  <c r="AN534" i="12"/>
  <c r="AN533" i="12"/>
  <c r="AN532" i="12"/>
  <c r="AN531" i="12"/>
  <c r="AN530" i="12"/>
  <c r="AN529" i="12"/>
  <c r="AN528" i="12"/>
  <c r="AN527" i="12"/>
  <c r="AN526" i="12"/>
  <c r="AN525" i="12"/>
  <c r="AN524" i="12"/>
  <c r="AN523" i="12"/>
  <c r="AN522" i="12"/>
  <c r="AN521" i="12"/>
  <c r="AN520" i="12"/>
  <c r="AN519" i="12"/>
  <c r="AN518" i="12"/>
  <c r="AN517" i="12"/>
  <c r="AN516" i="12"/>
  <c r="AN515" i="12"/>
  <c r="AN514" i="12"/>
  <c r="AN513" i="12"/>
  <c r="AN512" i="12"/>
  <c r="AN511" i="12"/>
  <c r="AN510" i="12"/>
  <c r="AN509" i="12"/>
  <c r="AN508" i="12"/>
  <c r="AN507" i="12"/>
  <c r="AN506" i="12"/>
  <c r="AN505" i="12"/>
  <c r="AN504" i="12"/>
  <c r="AN503" i="12"/>
  <c r="AN502" i="12"/>
  <c r="AN501" i="12"/>
  <c r="AN500" i="12"/>
  <c r="AN499" i="12"/>
  <c r="AN498" i="12"/>
  <c r="AN497" i="12"/>
  <c r="AN496" i="12"/>
  <c r="AN495" i="12"/>
  <c r="AN494" i="12"/>
  <c r="AN493" i="12"/>
  <c r="AN492" i="12"/>
  <c r="AN491" i="12"/>
  <c r="AN490" i="12"/>
  <c r="AN489" i="12"/>
  <c r="AN488" i="12"/>
  <c r="AN487" i="12"/>
  <c r="AN486" i="12"/>
  <c r="AN485" i="12"/>
  <c r="AN484" i="12"/>
  <c r="AN483" i="12"/>
  <c r="AN482" i="12"/>
  <c r="AN481" i="12"/>
  <c r="AN480" i="12"/>
  <c r="AN479" i="12"/>
  <c r="AN478" i="12"/>
  <c r="AN477" i="12"/>
  <c r="AN476" i="12"/>
  <c r="AN475" i="12"/>
  <c r="AN474" i="12"/>
  <c r="AN473" i="12"/>
  <c r="AN472" i="12"/>
  <c r="AN471" i="12"/>
  <c r="AN470" i="12"/>
  <c r="AN469" i="12"/>
  <c r="AN468" i="12"/>
  <c r="AN467" i="12"/>
  <c r="AN466" i="12"/>
  <c r="AN465" i="12"/>
  <c r="AN464" i="12"/>
  <c r="AN463" i="12"/>
  <c r="AN462" i="12"/>
  <c r="AN461" i="12"/>
  <c r="AN460" i="12"/>
  <c r="AN459" i="12"/>
  <c r="AN458" i="12"/>
  <c r="AN457" i="12"/>
  <c r="AN456" i="12"/>
  <c r="AN455" i="12"/>
  <c r="AN454" i="12"/>
  <c r="AN453" i="12"/>
  <c r="AN452" i="12"/>
  <c r="AN451" i="12"/>
  <c r="AN450" i="12"/>
  <c r="AN449" i="12"/>
  <c r="AN448" i="12"/>
  <c r="AN447" i="12"/>
  <c r="AN446" i="12"/>
  <c r="AN445" i="12"/>
  <c r="AN444" i="12"/>
  <c r="AN443" i="12"/>
  <c r="AN442" i="12"/>
  <c r="AN441" i="12"/>
  <c r="AN440" i="12"/>
  <c r="AN439" i="12"/>
  <c r="AN438" i="12"/>
  <c r="AN437" i="12"/>
  <c r="AN436" i="12"/>
  <c r="AN435" i="12"/>
  <c r="AN434" i="12"/>
  <c r="AN433" i="12"/>
  <c r="AN432" i="12"/>
  <c r="AN431" i="12"/>
  <c r="AN430" i="12"/>
  <c r="AN429" i="12"/>
  <c r="AN428" i="12"/>
  <c r="AN427" i="12"/>
  <c r="AN426" i="12"/>
  <c r="AN425" i="12"/>
  <c r="AN424" i="12"/>
  <c r="AN423" i="12"/>
  <c r="AN422" i="12"/>
  <c r="AN421" i="12"/>
  <c r="AN420" i="12"/>
  <c r="AN419" i="12"/>
  <c r="AN418" i="12"/>
  <c r="AN417" i="12"/>
  <c r="AN416" i="12"/>
  <c r="AN415" i="12"/>
  <c r="AN414" i="12"/>
  <c r="AN413" i="12"/>
  <c r="AN412" i="12"/>
  <c r="AN411" i="12"/>
  <c r="AN410" i="12"/>
  <c r="AN409" i="12"/>
  <c r="AN408" i="12"/>
  <c r="AN407" i="12"/>
  <c r="AN406" i="12"/>
  <c r="AN405" i="12"/>
  <c r="AN404" i="12"/>
  <c r="AN403" i="12"/>
  <c r="AN402" i="12"/>
  <c r="AN401" i="12"/>
  <c r="AN400" i="12"/>
  <c r="AN399" i="12"/>
  <c r="AN398" i="12"/>
  <c r="AN397" i="12"/>
  <c r="AN396" i="12"/>
  <c r="AN395" i="12"/>
  <c r="AN394" i="12"/>
  <c r="AN393" i="12"/>
  <c r="AN392" i="12"/>
  <c r="AN391" i="12"/>
  <c r="AN390" i="12"/>
  <c r="AN389" i="12"/>
  <c r="AN388" i="12"/>
  <c r="AN387" i="12"/>
  <c r="AN386" i="12"/>
  <c r="AN385" i="12"/>
  <c r="AN384" i="12"/>
  <c r="AN383" i="12"/>
  <c r="AN382" i="12"/>
  <c r="AN381" i="12"/>
  <c r="AN380" i="12"/>
  <c r="AN379" i="12"/>
  <c r="AN378" i="12"/>
  <c r="AN377" i="12"/>
  <c r="AN376" i="12"/>
  <c r="AN375" i="12"/>
  <c r="AN374" i="12"/>
  <c r="AN373" i="12"/>
  <c r="AN372" i="12"/>
  <c r="AN371" i="12"/>
  <c r="AN370" i="12"/>
  <c r="AN369" i="12"/>
  <c r="AN368" i="12"/>
  <c r="AN367" i="12"/>
  <c r="AN366" i="12"/>
  <c r="AN365" i="12"/>
  <c r="AN364" i="12"/>
  <c r="AN363" i="12"/>
  <c r="AN362" i="12"/>
  <c r="AN361" i="12"/>
  <c r="AN360" i="12"/>
  <c r="AN359" i="12"/>
  <c r="AN358" i="12"/>
  <c r="AN357" i="12"/>
  <c r="AN356" i="12"/>
  <c r="AN355" i="12"/>
  <c r="AN354" i="12"/>
  <c r="AN353" i="12"/>
  <c r="AN352" i="12"/>
  <c r="AN351" i="12"/>
  <c r="AN350" i="12"/>
  <c r="AN349" i="12"/>
  <c r="AN348" i="12"/>
  <c r="AN347" i="12"/>
  <c r="AN346" i="12"/>
  <c r="AN345" i="12"/>
  <c r="AN344" i="12"/>
  <c r="AN343" i="12"/>
  <c r="AN342" i="12"/>
  <c r="AN341" i="12"/>
  <c r="AN340" i="12"/>
  <c r="AN339" i="12"/>
  <c r="AN338" i="12"/>
  <c r="AN337" i="12"/>
  <c r="AN336" i="12"/>
  <c r="AN335" i="12"/>
  <c r="AN334" i="12"/>
  <c r="AN333" i="12"/>
  <c r="AN332" i="12"/>
  <c r="AN331" i="12"/>
  <c r="AN330" i="12"/>
  <c r="AN329" i="12"/>
  <c r="AN328" i="12"/>
  <c r="AN327" i="12"/>
  <c r="AN326" i="12"/>
  <c r="AN325" i="12"/>
  <c r="AN324" i="12"/>
  <c r="AN323" i="12"/>
  <c r="AN322" i="12"/>
  <c r="AN321" i="12"/>
  <c r="AN320" i="12"/>
  <c r="AN319" i="12"/>
  <c r="AN318" i="12"/>
  <c r="AN317" i="12"/>
  <c r="AN316" i="12"/>
  <c r="AN315" i="12"/>
  <c r="AN314" i="12"/>
  <c r="AN313" i="12"/>
  <c r="AN312" i="12"/>
  <c r="AN311" i="12"/>
  <c r="AN310" i="12"/>
  <c r="AN309" i="12"/>
  <c r="AN308" i="12"/>
  <c r="AN307" i="12"/>
  <c r="AN306" i="12"/>
  <c r="AN305" i="12"/>
  <c r="AN304" i="12"/>
  <c r="AN303" i="12"/>
  <c r="AN302" i="12"/>
  <c r="AN301" i="12"/>
  <c r="AN300" i="12"/>
  <c r="AN299" i="12"/>
  <c r="AN298" i="12"/>
  <c r="AN297" i="12"/>
  <c r="AN296" i="12"/>
  <c r="AN295" i="12"/>
  <c r="AN294" i="12"/>
  <c r="AN293" i="12"/>
  <c r="AN292" i="12"/>
  <c r="AN291" i="12"/>
  <c r="AN290" i="12"/>
  <c r="AN289" i="12"/>
  <c r="AN288" i="12"/>
  <c r="AN287" i="12"/>
  <c r="AN286" i="12"/>
  <c r="AN285" i="12"/>
  <c r="AN284" i="12"/>
  <c r="AN283" i="12"/>
  <c r="AN282" i="12"/>
  <c r="AN281" i="12"/>
  <c r="AN280" i="12"/>
  <c r="AN279" i="12"/>
  <c r="AN278" i="12"/>
  <c r="AN277" i="12"/>
  <c r="AN276" i="12"/>
  <c r="AN275" i="12"/>
  <c r="AN274" i="12"/>
  <c r="AN273" i="12"/>
  <c r="AN272" i="12"/>
  <c r="AN271" i="12"/>
  <c r="AN270" i="12"/>
  <c r="AN269" i="12"/>
  <c r="AN268" i="12"/>
  <c r="AN267" i="12"/>
  <c r="AN266" i="12"/>
  <c r="AN265" i="12"/>
  <c r="AN264" i="12"/>
  <c r="AN263" i="12"/>
  <c r="AN262" i="12"/>
  <c r="AN261" i="12"/>
  <c r="AN260" i="12"/>
  <c r="AN259" i="12"/>
  <c r="AN258" i="12"/>
  <c r="AN257" i="12"/>
  <c r="AN256" i="12"/>
  <c r="AN255" i="12"/>
  <c r="AN254" i="12"/>
  <c r="AN253" i="12"/>
  <c r="AN252" i="12"/>
  <c r="AN251" i="12"/>
  <c r="AN250" i="12"/>
  <c r="AN249" i="12"/>
  <c r="AN248" i="12"/>
  <c r="AN247" i="12"/>
  <c r="AN246" i="12"/>
  <c r="AN245" i="12"/>
  <c r="AN244" i="12"/>
  <c r="AN243" i="12"/>
  <c r="AN242" i="12"/>
  <c r="AN241" i="12"/>
  <c r="AN240" i="12"/>
  <c r="AN239" i="12"/>
  <c r="AN238" i="12"/>
  <c r="AN237" i="12"/>
  <c r="AN236" i="12"/>
  <c r="AN235" i="12"/>
  <c r="AN234" i="12"/>
  <c r="AN233" i="12"/>
  <c r="AN232" i="12"/>
  <c r="AN231" i="12"/>
  <c r="AN230" i="12"/>
  <c r="AN229" i="12"/>
  <c r="AN228" i="12"/>
  <c r="AN227" i="12"/>
  <c r="AN226" i="12"/>
  <c r="AN225" i="12"/>
  <c r="AN224" i="12"/>
  <c r="AN223" i="12"/>
  <c r="AN222" i="12"/>
  <c r="AN221" i="12"/>
  <c r="AN220" i="12"/>
  <c r="AN219" i="12"/>
  <c r="AN218" i="12"/>
  <c r="AN217" i="12"/>
  <c r="AN216" i="12"/>
  <c r="AN215" i="12"/>
  <c r="AN214" i="12"/>
  <c r="AN213" i="12"/>
  <c r="AN212" i="12"/>
  <c r="AN211" i="12"/>
  <c r="AN210" i="12"/>
  <c r="AN209" i="12"/>
  <c r="AN208" i="12"/>
  <c r="AN207" i="12"/>
  <c r="AN206" i="12"/>
  <c r="AN205" i="12"/>
  <c r="AN204" i="12"/>
  <c r="AN203" i="12"/>
  <c r="AN202" i="12"/>
  <c r="AN201" i="12"/>
  <c r="AN200" i="12"/>
  <c r="AN199" i="12"/>
  <c r="AN198" i="12"/>
  <c r="AN197" i="12"/>
  <c r="AN196" i="12"/>
  <c r="AN195" i="12"/>
  <c r="AN194" i="12"/>
  <c r="AN193" i="12"/>
  <c r="AN192" i="12"/>
  <c r="AN191" i="12"/>
  <c r="AN190" i="12"/>
  <c r="AN189" i="12"/>
  <c r="AN188" i="12"/>
  <c r="AN187" i="12"/>
  <c r="AN186" i="12"/>
  <c r="AN185" i="12"/>
  <c r="AN184" i="12"/>
  <c r="AN183" i="12"/>
  <c r="AN182" i="12"/>
  <c r="AN181" i="12"/>
  <c r="AN180" i="12"/>
  <c r="AN179" i="12"/>
  <c r="AN178" i="12"/>
  <c r="AN177" i="12"/>
  <c r="AN176" i="12"/>
  <c r="AN175" i="12"/>
  <c r="AN174" i="12"/>
  <c r="AN173" i="12"/>
  <c r="AN172" i="12"/>
  <c r="AN171" i="12"/>
  <c r="AN170" i="12"/>
  <c r="AN169" i="12"/>
  <c r="AN168" i="12"/>
  <c r="AN167" i="12"/>
  <c r="AN166" i="12"/>
  <c r="AN165" i="12"/>
  <c r="AN164" i="12"/>
  <c r="AN163" i="12"/>
  <c r="AN162" i="12"/>
  <c r="AN161" i="12"/>
  <c r="AN160" i="12"/>
  <c r="AN159" i="12"/>
  <c r="AN158" i="12"/>
  <c r="AN157" i="12"/>
  <c r="AN156" i="12"/>
  <c r="AN155" i="12"/>
  <c r="AN154" i="12"/>
  <c r="AN153" i="12"/>
  <c r="AN152" i="12"/>
  <c r="AN151" i="12"/>
  <c r="AN150" i="12"/>
  <c r="AN149" i="12"/>
  <c r="AN148" i="12"/>
  <c r="AN147" i="12"/>
  <c r="AN146" i="12"/>
  <c r="AN145" i="12"/>
  <c r="AN144" i="12"/>
  <c r="AN143" i="12"/>
  <c r="AN142" i="12"/>
  <c r="AN141" i="12"/>
  <c r="AN140" i="12"/>
  <c r="AN139" i="12"/>
  <c r="AN137" i="12"/>
  <c r="AN136" i="12"/>
  <c r="AN135" i="12"/>
  <c r="AN134" i="12"/>
  <c r="AN133" i="12"/>
  <c r="AN132" i="12"/>
  <c r="AN131" i="12"/>
  <c r="AN130" i="12"/>
  <c r="AN129" i="12"/>
  <c r="AN128" i="12"/>
  <c r="AN127" i="12"/>
  <c r="AN126" i="12"/>
  <c r="AN125" i="12"/>
  <c r="AN124" i="12"/>
  <c r="AN123" i="12"/>
  <c r="AN122" i="12"/>
  <c r="AN121" i="12"/>
  <c r="AN120" i="12"/>
  <c r="AN119" i="12"/>
  <c r="AN118" i="12"/>
  <c r="AN117" i="12"/>
  <c r="AN116" i="12"/>
  <c r="AN115" i="12"/>
  <c r="AN114" i="12"/>
  <c r="AN113" i="12"/>
  <c r="AN112" i="12"/>
  <c r="AN111" i="12"/>
  <c r="AN110" i="12"/>
  <c r="AN109" i="12"/>
  <c r="AN108" i="12"/>
  <c r="AN107" i="12"/>
  <c r="AN106" i="12"/>
  <c r="AN105" i="12"/>
  <c r="AN104" i="12"/>
  <c r="AN103" i="12"/>
  <c r="AN102" i="12"/>
  <c r="AN101" i="12"/>
  <c r="AN100" i="12"/>
  <c r="AN99" i="12"/>
  <c r="AN98" i="12"/>
  <c r="AN97" i="12"/>
  <c r="AN96" i="12"/>
  <c r="AN95" i="12"/>
  <c r="AN94" i="12"/>
  <c r="AN93" i="12"/>
  <c r="AN92" i="12"/>
  <c r="AN91" i="12"/>
  <c r="AN90" i="12"/>
  <c r="AN89" i="12"/>
  <c r="AN88" i="12"/>
  <c r="AN87" i="12"/>
  <c r="AN86" i="12"/>
  <c r="AN85" i="12"/>
  <c r="AN84" i="12"/>
  <c r="AN83" i="12"/>
  <c r="AN82" i="12"/>
  <c r="AN81" i="12"/>
  <c r="AN80" i="12"/>
  <c r="AN79" i="12"/>
  <c r="AN78" i="12"/>
  <c r="AN77" i="12"/>
  <c r="AN76" i="12"/>
  <c r="AN75" i="12"/>
  <c r="AN74" i="12"/>
  <c r="AN73" i="12"/>
  <c r="AN72" i="12"/>
  <c r="AN71" i="12"/>
  <c r="AN70" i="12"/>
  <c r="AN69" i="12"/>
  <c r="AN68" i="12"/>
  <c r="AN67" i="12"/>
  <c r="AN66" i="12"/>
  <c r="AN65" i="12"/>
  <c r="AN64" i="12"/>
  <c r="AN63" i="12"/>
  <c r="AN62" i="12"/>
  <c r="AN61" i="12"/>
  <c r="AN60" i="12"/>
  <c r="AN59" i="12"/>
  <c r="AN58" i="12"/>
  <c r="AN57" i="12"/>
  <c r="AN56" i="12"/>
  <c r="AN55" i="12"/>
  <c r="AN54" i="12"/>
  <c r="AN53" i="12"/>
  <c r="AN52" i="12"/>
  <c r="AN51" i="12"/>
  <c r="AN50" i="12"/>
  <c r="AN49" i="12"/>
  <c r="AN48" i="12"/>
  <c r="AN47" i="12"/>
  <c r="AN46" i="12"/>
  <c r="AN45" i="12"/>
  <c r="AN44" i="12"/>
  <c r="AN43" i="12"/>
  <c r="AN42" i="12"/>
  <c r="AN41" i="12"/>
  <c r="AN40" i="12"/>
  <c r="AN39" i="12"/>
  <c r="AN38" i="12"/>
  <c r="AN37" i="12"/>
  <c r="AN36" i="12"/>
  <c r="AN35" i="12"/>
  <c r="AN34" i="12"/>
  <c r="AN33" i="12"/>
  <c r="AN32" i="12"/>
  <c r="AN31" i="12"/>
  <c r="AN30" i="12"/>
  <c r="AN29" i="12"/>
  <c r="AN28" i="12"/>
  <c r="AN27" i="12"/>
  <c r="AN26" i="12"/>
  <c r="AN25" i="12"/>
  <c r="AN24" i="12"/>
  <c r="AN23" i="12"/>
  <c r="AN22" i="12"/>
  <c r="AN21" i="12"/>
  <c r="AN20" i="12"/>
  <c r="AN19" i="12"/>
  <c r="AN18" i="12"/>
  <c r="AN17" i="12"/>
  <c r="AN16" i="12"/>
  <c r="AN15" i="12"/>
  <c r="AN14" i="12"/>
  <c r="AN13" i="12"/>
  <c r="AN12" i="12"/>
  <c r="AN11" i="12"/>
  <c r="AN10" i="12"/>
  <c r="AN9" i="12"/>
  <c r="AN8" i="12"/>
  <c r="AN7" i="12"/>
  <c r="AN6" i="12"/>
  <c r="AN5" i="12"/>
  <c r="AN4" i="12"/>
  <c r="AK775" i="12"/>
  <c r="AK774" i="12"/>
  <c r="AK773" i="12"/>
  <c r="AK772" i="12"/>
  <c r="AK771" i="12"/>
  <c r="AK770" i="12"/>
  <c r="AK769" i="12"/>
  <c r="AK768" i="12"/>
  <c r="AK767" i="12"/>
  <c r="AK766" i="12"/>
  <c r="AK765" i="12"/>
  <c r="AK764" i="12"/>
  <c r="AK763" i="12"/>
  <c r="AK762" i="12"/>
  <c r="AK761" i="12"/>
  <c r="AK760" i="12"/>
  <c r="AK759" i="12"/>
  <c r="AK758" i="12"/>
  <c r="AK757" i="12"/>
  <c r="AK756" i="12"/>
  <c r="AK755" i="12"/>
  <c r="AK754" i="12"/>
  <c r="AK753" i="12"/>
  <c r="AK752" i="12"/>
  <c r="AK751" i="12"/>
  <c r="AK750" i="12"/>
  <c r="AK749" i="12"/>
  <c r="AK748" i="12"/>
  <c r="AK747" i="12"/>
  <c r="AK746" i="12"/>
  <c r="AK745" i="12"/>
  <c r="AK744" i="12"/>
  <c r="AK743" i="12"/>
  <c r="AK742" i="12"/>
  <c r="AK741" i="12"/>
  <c r="AK740" i="12"/>
  <c r="AK739" i="12"/>
  <c r="AK738" i="12"/>
  <c r="AK737" i="12"/>
  <c r="AK736" i="12"/>
  <c r="AK735" i="12"/>
  <c r="AK734" i="12"/>
  <c r="AK733" i="12"/>
  <c r="AK732" i="12"/>
  <c r="AK731" i="12"/>
  <c r="AK730" i="12"/>
  <c r="AK729" i="12"/>
  <c r="AK728" i="12"/>
  <c r="AK727" i="12"/>
  <c r="AK726" i="12"/>
  <c r="AK725" i="12"/>
  <c r="AK724" i="12"/>
  <c r="AK723" i="12"/>
  <c r="AK722" i="12"/>
  <c r="AK721" i="12"/>
  <c r="AK720" i="12"/>
  <c r="AK719" i="12"/>
  <c r="AK718" i="12"/>
  <c r="AK717" i="12"/>
  <c r="AK716" i="12"/>
  <c r="AK715" i="12"/>
  <c r="AK714" i="12"/>
  <c r="AK713" i="12"/>
  <c r="AK712" i="12"/>
  <c r="AK711" i="12"/>
  <c r="AK710" i="12"/>
  <c r="AK709" i="12"/>
  <c r="AK708" i="12"/>
  <c r="AK707" i="12"/>
  <c r="AK706" i="12"/>
  <c r="AK705" i="12"/>
  <c r="AK704" i="12"/>
  <c r="AK703" i="12"/>
  <c r="AK702" i="12"/>
  <c r="AK701" i="12"/>
  <c r="AK700" i="12"/>
  <c r="AK699" i="12"/>
  <c r="AK698" i="12"/>
  <c r="AK697" i="12"/>
  <c r="AK696" i="12"/>
  <c r="AK695" i="12"/>
  <c r="AK694" i="12"/>
  <c r="AK693" i="12"/>
  <c r="AK692" i="12"/>
  <c r="AK691" i="12"/>
  <c r="AK690" i="12"/>
  <c r="AK689" i="12"/>
  <c r="AK688" i="12"/>
  <c r="AK687" i="12"/>
  <c r="AK686" i="12"/>
  <c r="AK685" i="12"/>
  <c r="AK684" i="12"/>
  <c r="AK683" i="12"/>
  <c r="AK682" i="12"/>
  <c r="AK681" i="12"/>
  <c r="AK680" i="12"/>
  <c r="AK679" i="12"/>
  <c r="AK678" i="12"/>
  <c r="AK677" i="12"/>
  <c r="AK676" i="12"/>
  <c r="AK675" i="12"/>
  <c r="AK674" i="12"/>
  <c r="AK673" i="12"/>
  <c r="AK672" i="12"/>
  <c r="AK671" i="12"/>
  <c r="AK670" i="12"/>
  <c r="AK669" i="12"/>
  <c r="AK668" i="12"/>
  <c r="AK667" i="12"/>
  <c r="AK666" i="12"/>
  <c r="AK665" i="12"/>
  <c r="AK664" i="12"/>
  <c r="AK663" i="12"/>
  <c r="AK662" i="12"/>
  <c r="AK661" i="12"/>
  <c r="AK660" i="12"/>
  <c r="AK659" i="12"/>
  <c r="AK658" i="12"/>
  <c r="AK657" i="12"/>
  <c r="AK656" i="12"/>
  <c r="AK655" i="12"/>
  <c r="AK654" i="12"/>
  <c r="AK653" i="12"/>
  <c r="AK652" i="12"/>
  <c r="AK651" i="12"/>
  <c r="AK650" i="12"/>
  <c r="AK649" i="12"/>
  <c r="AK648" i="12"/>
  <c r="AK647" i="12"/>
  <c r="AK646" i="12"/>
  <c r="AK645" i="12"/>
  <c r="AK644" i="12"/>
  <c r="AK643" i="12"/>
  <c r="AK642" i="12"/>
  <c r="AK641" i="12"/>
  <c r="AK640" i="12"/>
  <c r="AK639" i="12"/>
  <c r="AK638" i="12"/>
  <c r="AK637" i="12"/>
  <c r="AK636" i="12"/>
  <c r="AK635" i="12"/>
  <c r="AK634" i="12"/>
  <c r="AK633" i="12"/>
  <c r="AK632" i="12"/>
  <c r="AK631" i="12"/>
  <c r="AK630" i="12"/>
  <c r="AK629" i="12"/>
  <c r="AK628" i="12"/>
  <c r="AK627" i="12"/>
  <c r="AK626" i="12"/>
  <c r="AK625" i="12"/>
  <c r="AK624" i="12"/>
  <c r="AK623" i="12"/>
  <c r="AK622" i="12"/>
  <c r="AK621" i="12"/>
  <c r="AK620" i="12"/>
  <c r="AK619" i="12"/>
  <c r="AK618" i="12"/>
  <c r="AK617" i="12"/>
  <c r="AK616" i="12"/>
  <c r="AK615" i="12"/>
  <c r="AK614" i="12"/>
  <c r="AK613" i="12"/>
  <c r="AK612" i="12"/>
  <c r="AK611" i="12"/>
  <c r="AK610" i="12"/>
  <c r="AK609" i="12"/>
  <c r="AK608" i="12"/>
  <c r="AK607" i="12"/>
  <c r="AK606" i="12"/>
  <c r="AK605" i="12"/>
  <c r="AK604" i="12"/>
  <c r="AK603" i="12"/>
  <c r="AK602" i="12"/>
  <c r="AK601" i="12"/>
  <c r="AK600" i="12"/>
  <c r="AK599" i="12"/>
  <c r="AK598" i="12"/>
  <c r="AK597" i="12"/>
  <c r="AK596" i="12"/>
  <c r="AK595" i="12"/>
  <c r="AK594" i="12"/>
  <c r="AK593" i="12"/>
  <c r="AK592" i="12"/>
  <c r="AK591" i="12"/>
  <c r="AK590" i="12"/>
  <c r="AK589" i="12"/>
  <c r="AK588" i="12"/>
  <c r="AK587" i="12"/>
  <c r="AK586" i="12"/>
  <c r="AK585" i="12"/>
  <c r="AK584" i="12"/>
  <c r="AK583" i="12"/>
  <c r="AK582" i="12"/>
  <c r="AK581" i="12"/>
  <c r="AK580" i="12"/>
  <c r="AK579" i="12"/>
  <c r="AK578" i="12"/>
  <c r="AK577" i="12"/>
  <c r="AK576" i="12"/>
  <c r="AK575" i="12"/>
  <c r="AK574" i="12"/>
  <c r="AK573" i="12"/>
  <c r="AK572" i="12"/>
  <c r="AK571" i="12"/>
  <c r="AK570" i="12"/>
  <c r="AK569" i="12"/>
  <c r="AK568" i="12"/>
  <c r="AK567" i="12"/>
  <c r="AK566" i="12"/>
  <c r="AK565" i="12"/>
  <c r="AK564" i="12"/>
  <c r="AK563" i="12"/>
  <c r="AK562" i="12"/>
  <c r="AK561" i="12"/>
  <c r="AK560" i="12"/>
  <c r="AK559" i="12"/>
  <c r="AK558" i="12"/>
  <c r="AK557" i="12"/>
  <c r="AK556" i="12"/>
  <c r="AK555" i="12"/>
  <c r="AK554" i="12"/>
  <c r="AK553" i="12"/>
  <c r="AK552" i="12"/>
  <c r="AK551" i="12"/>
  <c r="AK550" i="12"/>
  <c r="AK549" i="12"/>
  <c r="AK548" i="12"/>
  <c r="AK547" i="12"/>
  <c r="AK546" i="12"/>
  <c r="AK545" i="12"/>
  <c r="AK544" i="12"/>
  <c r="AK543" i="12"/>
  <c r="AK542" i="12"/>
  <c r="AK541" i="12"/>
  <c r="AK540" i="12"/>
  <c r="AK539" i="12"/>
  <c r="AK538" i="12"/>
  <c r="AK537" i="12"/>
  <c r="AK536" i="12"/>
  <c r="AK535" i="12"/>
  <c r="AK534" i="12"/>
  <c r="AK533" i="12"/>
  <c r="AK532" i="12"/>
  <c r="AK531" i="12"/>
  <c r="AK530" i="12"/>
  <c r="AK529" i="12"/>
  <c r="AK528" i="12"/>
  <c r="AK527" i="12"/>
  <c r="AK526" i="12"/>
  <c r="AK525" i="12"/>
  <c r="AK524" i="12"/>
  <c r="AK523" i="12"/>
  <c r="AK522" i="12"/>
  <c r="AK521" i="12"/>
  <c r="AK520" i="12"/>
  <c r="AK519" i="12"/>
  <c r="AK518" i="12"/>
  <c r="AK517" i="12"/>
  <c r="AK516" i="12"/>
  <c r="AK515" i="12"/>
  <c r="AK514" i="12"/>
  <c r="AK513" i="12"/>
  <c r="AK512" i="12"/>
  <c r="AK511" i="12"/>
  <c r="AK510" i="12"/>
  <c r="AK509" i="12"/>
  <c r="AK508" i="12"/>
  <c r="AK507" i="12"/>
  <c r="AK506" i="12"/>
  <c r="AK505" i="12"/>
  <c r="AK504" i="12"/>
  <c r="AK503" i="12"/>
  <c r="AK502" i="12"/>
  <c r="AK501" i="12"/>
  <c r="AK500" i="12"/>
  <c r="AK499" i="12"/>
  <c r="AK498" i="12"/>
  <c r="AK497" i="12"/>
  <c r="AK496" i="12"/>
  <c r="AK495" i="12"/>
  <c r="AK494" i="12"/>
  <c r="AK493" i="12"/>
  <c r="AK492" i="12"/>
  <c r="AK491" i="12"/>
  <c r="AK490" i="12"/>
  <c r="AK489" i="12"/>
  <c r="AK488" i="12"/>
  <c r="AK487" i="12"/>
  <c r="AK486" i="12"/>
  <c r="AK485" i="12"/>
  <c r="AK484" i="12"/>
  <c r="AK483" i="12"/>
  <c r="AK482" i="12"/>
  <c r="AK481" i="12"/>
  <c r="AK480" i="12"/>
  <c r="AK479" i="12"/>
  <c r="AK478" i="12"/>
  <c r="AK477" i="12"/>
  <c r="AK476" i="12"/>
  <c r="AK475" i="12"/>
  <c r="AK474" i="12"/>
  <c r="AK473" i="12"/>
  <c r="AK472" i="12"/>
  <c r="AK471" i="12"/>
  <c r="AK470" i="12"/>
  <c r="AK469" i="12"/>
  <c r="AK468" i="12"/>
  <c r="AK467" i="12"/>
  <c r="AK466" i="12"/>
  <c r="AK465" i="12"/>
  <c r="AK464" i="12"/>
  <c r="AK463" i="12"/>
  <c r="AK462" i="12"/>
  <c r="AK461" i="12"/>
  <c r="AK460" i="12"/>
  <c r="AK459" i="12"/>
  <c r="AK458" i="12"/>
  <c r="AK457" i="12"/>
  <c r="AK456" i="12"/>
  <c r="AK455" i="12"/>
  <c r="AK454" i="12"/>
  <c r="AK453" i="12"/>
  <c r="AK452" i="12"/>
  <c r="AK451" i="12"/>
  <c r="AK450" i="12"/>
  <c r="AK449" i="12"/>
  <c r="AK448" i="12"/>
  <c r="AK447" i="12"/>
  <c r="AK446" i="12"/>
  <c r="AK445" i="12"/>
  <c r="AK444" i="12"/>
  <c r="AK443" i="12"/>
  <c r="AK442" i="12"/>
  <c r="AK441" i="12"/>
  <c r="AK440" i="12"/>
  <c r="AK439" i="12"/>
  <c r="AK438" i="12"/>
  <c r="AK437" i="12"/>
  <c r="AK436" i="12"/>
  <c r="AK435" i="12"/>
  <c r="AK434" i="12"/>
  <c r="AK433" i="12"/>
  <c r="AK432" i="12"/>
  <c r="AK431" i="12"/>
  <c r="AK430" i="12"/>
  <c r="AK429" i="12"/>
  <c r="AK428" i="12"/>
  <c r="AK427" i="12"/>
  <c r="AK426" i="12"/>
  <c r="AK425" i="12"/>
  <c r="AK424" i="12"/>
  <c r="AK423" i="12"/>
  <c r="AK422" i="12"/>
  <c r="AK421" i="12"/>
  <c r="AK420" i="12"/>
  <c r="AK419" i="12"/>
  <c r="AK418" i="12"/>
  <c r="AK417" i="12"/>
  <c r="AK416" i="12"/>
  <c r="AK415" i="12"/>
  <c r="AK414" i="12"/>
  <c r="AK413" i="12"/>
  <c r="AK412" i="12"/>
  <c r="AK411" i="12"/>
  <c r="AK410" i="12"/>
  <c r="AK409" i="12"/>
  <c r="AK408" i="12"/>
  <c r="AK407" i="12"/>
  <c r="AK406" i="12"/>
  <c r="AK405" i="12"/>
  <c r="AK404" i="12"/>
  <c r="AK403" i="12"/>
  <c r="AK402" i="12"/>
  <c r="AK401" i="12"/>
  <c r="AK400" i="12"/>
  <c r="AK399" i="12"/>
  <c r="AK398" i="12"/>
  <c r="AK397" i="12"/>
  <c r="AK396" i="12"/>
  <c r="AK395" i="12"/>
  <c r="AK394" i="12"/>
  <c r="AK393" i="12"/>
  <c r="AK392" i="12"/>
  <c r="AK391" i="12"/>
  <c r="AK390" i="12"/>
  <c r="AK389" i="12"/>
  <c r="AK388" i="12"/>
  <c r="AK387" i="12"/>
  <c r="AK386" i="12"/>
  <c r="AK385" i="12"/>
  <c r="AK384" i="12"/>
  <c r="AK383" i="12"/>
  <c r="AK382" i="12"/>
  <c r="AK381" i="12"/>
  <c r="AK380" i="12"/>
  <c r="AK379" i="12"/>
  <c r="AK378" i="12"/>
  <c r="AK377" i="12"/>
  <c r="AK376" i="12"/>
  <c r="AK375" i="12"/>
  <c r="AK374" i="12"/>
  <c r="AK373" i="12"/>
  <c r="AK372" i="12"/>
  <c r="AK371" i="12"/>
  <c r="AK370" i="12"/>
  <c r="AK369" i="12"/>
  <c r="AK368" i="12"/>
  <c r="AK367" i="12"/>
  <c r="AK366" i="12"/>
  <c r="AK365" i="12"/>
  <c r="AK364" i="12"/>
  <c r="AK363" i="12"/>
  <c r="AK362" i="12"/>
  <c r="AK361" i="12"/>
  <c r="AK360" i="12"/>
  <c r="AK359" i="12"/>
  <c r="AK358" i="12"/>
  <c r="AK357" i="12"/>
  <c r="AK356" i="12"/>
  <c r="AK355" i="12"/>
  <c r="AK354" i="12"/>
  <c r="AK353" i="12"/>
  <c r="AK352" i="12"/>
  <c r="AK351" i="12"/>
  <c r="AK350" i="12"/>
  <c r="AK349" i="12"/>
  <c r="AK348" i="12"/>
  <c r="AK347" i="12"/>
  <c r="AK346" i="12"/>
  <c r="AK345" i="12"/>
  <c r="AK344" i="12"/>
  <c r="AK343" i="12"/>
  <c r="AK342" i="12"/>
  <c r="AK341" i="12"/>
  <c r="AK340" i="12"/>
  <c r="AK339" i="12"/>
  <c r="AK338" i="12"/>
  <c r="AK337" i="12"/>
  <c r="AK336" i="12"/>
  <c r="AK335" i="12"/>
  <c r="AK334" i="12"/>
  <c r="AK333" i="12"/>
  <c r="AK332" i="12"/>
  <c r="AK331" i="12"/>
  <c r="AK330" i="12"/>
  <c r="AK329" i="12"/>
  <c r="AK328" i="12"/>
  <c r="AK327" i="12"/>
  <c r="AK326" i="12"/>
  <c r="AK325" i="12"/>
  <c r="AK324" i="12"/>
  <c r="AK323" i="12"/>
  <c r="AK322" i="12"/>
  <c r="AK321" i="12"/>
  <c r="AK320" i="12"/>
  <c r="AK319" i="12"/>
  <c r="AK318" i="12"/>
  <c r="AK317" i="12"/>
  <c r="AK316" i="12"/>
  <c r="AK315" i="12"/>
  <c r="AK314" i="12"/>
  <c r="AK313" i="12"/>
  <c r="AK312" i="12"/>
  <c r="AK311" i="12"/>
  <c r="AK310" i="12"/>
  <c r="AK309" i="12"/>
  <c r="AK308" i="12"/>
  <c r="AK307" i="12"/>
  <c r="AK306" i="12"/>
  <c r="AK305" i="12"/>
  <c r="AK304" i="12"/>
  <c r="AK303" i="12"/>
  <c r="AK302" i="12"/>
  <c r="AK301" i="12"/>
  <c r="AK300" i="12"/>
  <c r="AK299" i="12"/>
  <c r="AK298" i="12"/>
  <c r="AK297" i="12"/>
  <c r="AK296" i="12"/>
  <c r="AK295" i="12"/>
  <c r="AK294" i="12"/>
  <c r="AK293" i="12"/>
  <c r="AK292" i="12"/>
  <c r="AK291" i="12"/>
  <c r="AK290" i="12"/>
  <c r="AK289" i="12"/>
  <c r="AK288" i="12"/>
  <c r="AK287" i="12"/>
  <c r="AK286" i="12"/>
  <c r="AK285" i="12"/>
  <c r="AK284" i="12"/>
  <c r="AK283" i="12"/>
  <c r="AK282" i="12"/>
  <c r="AK281" i="12"/>
  <c r="AK280" i="12"/>
  <c r="AK279" i="12"/>
  <c r="AK278" i="12"/>
  <c r="AK277" i="12"/>
  <c r="AK276" i="12"/>
  <c r="AK275" i="12"/>
  <c r="AK274" i="12"/>
  <c r="AK273" i="12"/>
  <c r="AK272" i="12"/>
  <c r="AK271" i="12"/>
  <c r="AK270" i="12"/>
  <c r="AK269" i="12"/>
  <c r="AK268" i="12"/>
  <c r="AK267" i="12"/>
  <c r="AK266" i="12"/>
  <c r="AK265" i="12"/>
  <c r="AK264" i="12"/>
  <c r="AK263" i="12"/>
  <c r="AK262" i="12"/>
  <c r="AK261" i="12"/>
  <c r="AK260" i="12"/>
  <c r="AK259" i="12"/>
  <c r="AK258" i="12"/>
  <c r="AK257" i="12"/>
  <c r="AK256" i="12"/>
  <c r="AK255" i="12"/>
  <c r="AK254" i="12"/>
  <c r="AK253" i="12"/>
  <c r="AK252" i="12"/>
  <c r="AK251" i="12"/>
  <c r="AK250" i="12"/>
  <c r="AK249" i="12"/>
  <c r="AK248" i="12"/>
  <c r="AK247" i="12"/>
  <c r="AK246" i="12"/>
  <c r="AK245" i="12"/>
  <c r="AK244" i="12"/>
  <c r="AK243" i="12"/>
  <c r="AK242" i="12"/>
  <c r="AK241" i="12"/>
  <c r="AK240" i="12"/>
  <c r="AK239" i="12"/>
  <c r="AK238" i="12"/>
  <c r="AK237" i="12"/>
  <c r="AK236" i="12"/>
  <c r="AK235" i="12"/>
  <c r="AK234" i="12"/>
  <c r="AK233" i="12"/>
  <c r="AK232" i="12"/>
  <c r="AK231" i="12"/>
  <c r="AK230" i="12"/>
  <c r="AK229" i="12"/>
  <c r="AK228" i="12"/>
  <c r="AK227" i="12"/>
  <c r="AK226" i="12"/>
  <c r="AK225" i="12"/>
  <c r="AK224" i="12"/>
  <c r="AK223" i="12"/>
  <c r="AK222" i="12"/>
  <c r="AK221" i="12"/>
  <c r="AK220" i="12"/>
  <c r="AK219" i="12"/>
  <c r="AK218" i="12"/>
  <c r="AK217" i="12"/>
  <c r="AK216" i="12"/>
  <c r="AK215" i="12"/>
  <c r="AK214" i="12"/>
  <c r="AK213" i="12"/>
  <c r="AK212" i="12"/>
  <c r="AK211" i="12"/>
  <c r="AK210" i="12"/>
  <c r="AK209" i="12"/>
  <c r="AK208" i="12"/>
  <c r="AK207" i="12"/>
  <c r="AK206" i="12"/>
  <c r="AK205" i="12"/>
  <c r="AK204" i="12"/>
  <c r="AK203" i="12"/>
  <c r="AK202" i="12"/>
  <c r="AK201" i="12"/>
  <c r="AK200" i="12"/>
  <c r="AK199" i="12"/>
  <c r="AK198" i="12"/>
  <c r="AK197" i="12"/>
  <c r="AK196" i="12"/>
  <c r="AK195" i="12"/>
  <c r="AK194" i="12"/>
  <c r="AK193" i="12"/>
  <c r="AK192" i="12"/>
  <c r="AK191" i="12"/>
  <c r="AK190" i="12"/>
  <c r="AK189" i="12"/>
  <c r="AK188" i="12"/>
  <c r="AK187" i="12"/>
  <c r="AK186" i="12"/>
  <c r="AK185" i="12"/>
  <c r="AK184" i="12"/>
  <c r="AK183" i="12"/>
  <c r="AK182" i="12"/>
  <c r="AK181" i="12"/>
  <c r="AK180" i="12"/>
  <c r="AK179" i="12"/>
  <c r="AK178" i="12"/>
  <c r="AK177" i="12"/>
  <c r="AK176" i="12"/>
  <c r="AK175" i="12"/>
  <c r="AK174" i="12"/>
  <c r="AK173" i="12"/>
  <c r="AK172" i="12"/>
  <c r="AK171" i="12"/>
  <c r="AK170" i="12"/>
  <c r="AK169" i="12"/>
  <c r="AK168" i="12"/>
  <c r="AK167" i="12"/>
  <c r="AK166" i="12"/>
  <c r="AK165" i="12"/>
  <c r="AK164" i="12"/>
  <c r="AK163" i="12"/>
  <c r="AK162" i="12"/>
  <c r="AK161" i="12"/>
  <c r="AK160" i="12"/>
  <c r="AK159" i="12"/>
  <c r="AK158" i="12"/>
  <c r="AK157" i="12"/>
  <c r="AK156" i="12"/>
  <c r="AK155" i="12"/>
  <c r="AK154" i="12"/>
  <c r="AK153" i="12"/>
  <c r="AK152" i="12"/>
  <c r="AK151" i="12"/>
  <c r="AK150" i="12"/>
  <c r="AK149" i="12"/>
  <c r="AK148" i="12"/>
  <c r="AK147" i="12"/>
  <c r="AK146" i="12"/>
  <c r="AK145" i="12"/>
  <c r="AK144" i="12"/>
  <c r="AK143" i="12"/>
  <c r="AK142" i="12"/>
  <c r="AK141" i="12"/>
  <c r="AK140" i="12"/>
  <c r="AK138" i="12"/>
  <c r="AK135" i="12"/>
  <c r="AK134" i="12"/>
  <c r="AK133" i="12"/>
  <c r="AK132" i="12"/>
  <c r="AK131" i="12"/>
  <c r="AK130" i="12"/>
  <c r="AK129" i="12"/>
  <c r="AK128" i="12"/>
  <c r="AK127" i="12"/>
  <c r="AK126" i="12"/>
  <c r="AK125" i="12"/>
  <c r="AK124" i="12"/>
  <c r="AK123" i="12"/>
  <c r="AK122" i="12"/>
  <c r="AK121" i="12"/>
  <c r="AK120" i="12"/>
  <c r="AK119" i="12"/>
  <c r="AK118" i="12"/>
  <c r="AK117" i="12"/>
  <c r="AK116" i="12"/>
  <c r="AK107" i="12"/>
  <c r="AK106" i="12"/>
  <c r="AK105" i="12"/>
  <c r="AK104" i="12"/>
  <c r="AK103" i="12"/>
  <c r="AK102" i="12"/>
  <c r="AK101" i="12"/>
  <c r="AK100" i="12"/>
  <c r="AK99" i="12"/>
  <c r="AK98" i="12"/>
  <c r="AK97" i="12"/>
  <c r="AK96" i="12"/>
  <c r="AK95" i="12"/>
  <c r="AK94" i="12"/>
  <c r="AK93" i="12"/>
  <c r="AK92" i="12"/>
  <c r="AK91" i="12"/>
  <c r="AK90" i="12"/>
  <c r="AK89" i="12"/>
  <c r="AK88" i="12"/>
  <c r="AK87" i="12"/>
  <c r="AK86" i="12"/>
  <c r="AK85" i="12"/>
  <c r="AK84" i="12"/>
  <c r="AK83" i="12"/>
  <c r="AK82" i="12"/>
  <c r="AK81" i="12"/>
  <c r="AK80" i="12"/>
  <c r="AK79" i="12"/>
  <c r="AK78" i="12"/>
  <c r="AK77" i="12"/>
  <c r="AK76" i="12"/>
  <c r="AK75" i="12"/>
  <c r="AK74" i="12"/>
  <c r="AK73" i="12"/>
  <c r="AK72" i="12"/>
  <c r="AK71" i="12"/>
  <c r="AK70" i="12"/>
  <c r="AK69" i="12"/>
  <c r="AK68" i="12"/>
  <c r="AK67" i="12"/>
  <c r="AK66" i="12"/>
  <c r="AK65" i="12"/>
  <c r="AK64" i="12"/>
  <c r="AK63" i="12"/>
  <c r="AK62" i="12"/>
  <c r="AK61" i="12"/>
  <c r="AK60" i="12"/>
  <c r="AK59" i="12"/>
  <c r="AK58" i="12"/>
  <c r="AK57" i="12"/>
  <c r="AK56" i="12"/>
  <c r="AK55" i="12"/>
  <c r="AK54" i="12"/>
  <c r="AK53" i="12"/>
  <c r="AK52" i="12"/>
  <c r="AK51" i="12"/>
  <c r="AK50" i="12"/>
  <c r="AK49" i="12"/>
  <c r="AK48" i="12"/>
  <c r="AK47" i="12"/>
  <c r="AK46" i="12"/>
  <c r="AK45" i="12"/>
  <c r="AK44" i="12"/>
  <c r="AK43" i="12"/>
  <c r="AK42" i="12"/>
  <c r="AK41" i="12"/>
  <c r="AK40" i="12"/>
  <c r="AK39" i="12"/>
  <c r="AK38" i="12"/>
  <c r="AK37" i="12"/>
  <c r="AK36" i="12"/>
  <c r="AK35" i="12"/>
  <c r="AK34" i="12"/>
  <c r="AK33" i="12"/>
  <c r="AK32" i="12"/>
  <c r="AK31" i="12"/>
  <c r="AK30" i="12"/>
  <c r="AK29" i="12"/>
  <c r="AK28" i="12"/>
  <c r="AK27" i="12"/>
  <c r="AK26" i="12"/>
  <c r="AK25" i="12"/>
  <c r="AK24" i="12"/>
  <c r="AK23" i="12"/>
  <c r="AK22" i="12"/>
  <c r="AK21" i="12"/>
  <c r="AK20" i="12"/>
  <c r="AK19" i="12"/>
  <c r="AK18" i="12"/>
  <c r="AK17" i="12"/>
  <c r="AK16" i="12"/>
  <c r="AK15" i="12"/>
  <c r="AK14" i="12"/>
  <c r="AK13" i="12"/>
  <c r="AK12" i="12"/>
  <c r="AK11" i="12"/>
  <c r="AK10" i="12"/>
  <c r="AK9" i="12"/>
  <c r="AK8" i="12"/>
  <c r="AK7" i="12"/>
  <c r="AK6" i="12"/>
  <c r="AK5" i="12"/>
  <c r="AK4" i="12"/>
  <c r="AK3" i="12"/>
  <c r="AH775" i="12"/>
  <c r="AH774" i="12"/>
  <c r="AH773" i="12"/>
  <c r="AH772" i="12"/>
  <c r="AH771" i="12"/>
  <c r="AH770" i="12"/>
  <c r="AH769" i="12"/>
  <c r="AH768" i="12"/>
  <c r="AH767" i="12"/>
  <c r="AH766" i="12"/>
  <c r="AH765" i="12"/>
  <c r="AH764" i="12"/>
  <c r="AH763" i="12"/>
  <c r="AH762" i="12"/>
  <c r="AH761" i="12"/>
  <c r="AH760" i="12"/>
  <c r="AH759" i="12"/>
  <c r="AH758" i="12"/>
  <c r="AH757" i="12"/>
  <c r="AH756" i="12"/>
  <c r="AH755" i="12"/>
  <c r="AH754" i="12"/>
  <c r="AH753" i="12"/>
  <c r="AH752" i="12"/>
  <c r="AH751" i="12"/>
  <c r="AH750" i="12"/>
  <c r="AH749" i="12"/>
  <c r="AH748" i="12"/>
  <c r="AH747" i="12"/>
  <c r="AH746" i="12"/>
  <c r="AH745" i="12"/>
  <c r="AH744" i="12"/>
  <c r="AH743" i="12"/>
  <c r="AH742" i="12"/>
  <c r="AH741" i="12"/>
  <c r="AH740" i="12"/>
  <c r="AH739" i="12"/>
  <c r="AH738" i="12"/>
  <c r="AH737" i="12"/>
  <c r="AH736" i="12"/>
  <c r="AH735" i="12"/>
  <c r="AH734" i="12"/>
  <c r="AH733" i="12"/>
  <c r="AH732" i="12"/>
  <c r="AH731" i="12"/>
  <c r="AH730" i="12"/>
  <c r="AH729" i="12"/>
  <c r="AH728" i="12"/>
  <c r="AH727" i="12"/>
  <c r="AH726" i="12"/>
  <c r="AH725" i="12"/>
  <c r="AH724" i="12"/>
  <c r="AH723" i="12"/>
  <c r="AH722" i="12"/>
  <c r="AH721" i="12"/>
  <c r="AH720" i="12"/>
  <c r="AH719" i="12"/>
  <c r="AH718" i="12"/>
  <c r="AH717" i="12"/>
  <c r="AH716" i="12"/>
  <c r="AH715" i="12"/>
  <c r="AH714" i="12"/>
  <c r="AH713" i="12"/>
  <c r="AH712" i="12"/>
  <c r="AH711" i="12"/>
  <c r="AH710" i="12"/>
  <c r="AH709" i="12"/>
  <c r="AH708" i="12"/>
  <c r="AH707" i="12"/>
  <c r="AH706" i="12"/>
  <c r="AH705" i="12"/>
  <c r="AH704" i="12"/>
  <c r="AH703" i="12"/>
  <c r="AH702" i="12"/>
  <c r="AH701" i="12"/>
  <c r="AH700" i="12"/>
  <c r="AH699" i="12"/>
  <c r="AH698" i="12"/>
  <c r="AH697" i="12"/>
  <c r="AH696" i="12"/>
  <c r="AH695" i="12"/>
  <c r="AH694" i="12"/>
  <c r="AH693" i="12"/>
  <c r="AH692" i="12"/>
  <c r="AH691" i="12"/>
  <c r="AH690" i="12"/>
  <c r="AH689" i="12"/>
  <c r="AH688" i="12"/>
  <c r="AH687" i="12"/>
  <c r="AH686" i="12"/>
  <c r="AH685" i="12"/>
  <c r="AH684" i="12"/>
  <c r="AH683" i="12"/>
  <c r="AH682" i="12"/>
  <c r="AH681" i="12"/>
  <c r="AH680" i="12"/>
  <c r="AH679" i="12"/>
  <c r="AH678" i="12"/>
  <c r="AH677" i="12"/>
  <c r="AH676" i="12"/>
  <c r="AH675" i="12"/>
  <c r="AH674" i="12"/>
  <c r="AH673" i="12"/>
  <c r="AH672" i="12"/>
  <c r="AH671" i="12"/>
  <c r="AH670" i="12"/>
  <c r="AH669" i="12"/>
  <c r="AH668" i="12"/>
  <c r="AH667" i="12"/>
  <c r="AH666" i="12"/>
  <c r="AH665" i="12"/>
  <c r="AH664" i="12"/>
  <c r="AH663" i="12"/>
  <c r="AH662" i="12"/>
  <c r="AH661" i="12"/>
  <c r="AH660" i="12"/>
  <c r="AH659" i="12"/>
  <c r="AH658" i="12"/>
  <c r="AH657" i="12"/>
  <c r="AH656" i="12"/>
  <c r="AH655" i="12"/>
  <c r="AH654" i="12"/>
  <c r="AH653" i="12"/>
  <c r="AH652" i="12"/>
  <c r="AH651" i="12"/>
  <c r="AH650" i="12"/>
  <c r="AH649" i="12"/>
  <c r="AH648" i="12"/>
  <c r="AH647" i="12"/>
  <c r="AH646" i="12"/>
  <c r="AH645" i="12"/>
  <c r="AH644" i="12"/>
  <c r="AH643" i="12"/>
  <c r="AH642" i="12"/>
  <c r="AH641" i="12"/>
  <c r="AH640" i="12"/>
  <c r="AH639" i="12"/>
  <c r="AH638" i="12"/>
  <c r="AH637" i="12"/>
  <c r="AH636" i="12"/>
  <c r="AH635" i="12"/>
  <c r="AH634" i="12"/>
  <c r="AH633" i="12"/>
  <c r="AH632" i="12"/>
  <c r="AH631" i="12"/>
  <c r="AH630" i="12"/>
  <c r="AH629" i="12"/>
  <c r="AH628" i="12"/>
  <c r="AH627" i="12"/>
  <c r="AH626" i="12"/>
  <c r="AH625" i="12"/>
  <c r="AH624" i="12"/>
  <c r="AH623" i="12"/>
  <c r="AH622" i="12"/>
  <c r="AH621" i="12"/>
  <c r="AH620" i="12"/>
  <c r="AH619" i="12"/>
  <c r="AH618" i="12"/>
  <c r="AH617" i="12"/>
  <c r="AH616" i="12"/>
  <c r="AH615" i="12"/>
  <c r="AH614" i="12"/>
  <c r="AH613" i="12"/>
  <c r="AH612" i="12"/>
  <c r="AH611" i="12"/>
  <c r="AH610" i="12"/>
  <c r="AH609" i="12"/>
  <c r="AH608" i="12"/>
  <c r="AH607" i="12"/>
  <c r="AH606" i="12"/>
  <c r="AH605" i="12"/>
  <c r="AH604" i="12"/>
  <c r="AH603" i="12"/>
  <c r="AH602" i="12"/>
  <c r="AH601" i="12"/>
  <c r="AH600" i="12"/>
  <c r="AH599" i="12"/>
  <c r="AH598" i="12"/>
  <c r="AH597" i="12"/>
  <c r="AH596" i="12"/>
  <c r="AH595" i="12"/>
  <c r="AH594" i="12"/>
  <c r="AH593" i="12"/>
  <c r="AH592" i="12"/>
  <c r="AH591" i="12"/>
  <c r="AH590" i="12"/>
  <c r="AH589" i="12"/>
  <c r="AH588" i="12"/>
  <c r="AH587" i="12"/>
  <c r="AH586" i="12"/>
  <c r="AH585" i="12"/>
  <c r="AH584" i="12"/>
  <c r="AH583" i="12"/>
  <c r="AH582" i="12"/>
  <c r="AH581" i="12"/>
  <c r="AH580" i="12"/>
  <c r="AH579" i="12"/>
  <c r="AH578" i="12"/>
  <c r="AH577" i="12"/>
  <c r="AH576" i="12"/>
  <c r="AH575" i="12"/>
  <c r="AH574" i="12"/>
  <c r="AH573" i="12"/>
  <c r="AH572" i="12"/>
  <c r="AH571" i="12"/>
  <c r="AH570" i="12"/>
  <c r="AH569" i="12"/>
  <c r="AH568" i="12"/>
  <c r="AH567" i="12"/>
  <c r="AH566" i="12"/>
  <c r="AH565" i="12"/>
  <c r="AH564" i="12"/>
  <c r="AH563" i="12"/>
  <c r="AH562" i="12"/>
  <c r="AH561" i="12"/>
  <c r="AH560" i="12"/>
  <c r="AH559" i="12"/>
  <c r="AH558" i="12"/>
  <c r="AH557" i="12"/>
  <c r="AH556" i="12"/>
  <c r="AH555" i="12"/>
  <c r="AH554" i="12"/>
  <c r="AH553" i="12"/>
  <c r="AH552" i="12"/>
  <c r="AH551" i="12"/>
  <c r="AH550" i="12"/>
  <c r="AH549" i="12"/>
  <c r="AH548" i="12"/>
  <c r="AH547" i="12"/>
  <c r="AH546" i="12"/>
  <c r="AH545" i="12"/>
  <c r="AH544" i="12"/>
  <c r="AH543" i="12"/>
  <c r="AH542" i="12"/>
  <c r="AH541" i="12"/>
  <c r="AH540" i="12"/>
  <c r="AH539" i="12"/>
  <c r="AH538" i="12"/>
  <c r="AH537" i="12"/>
  <c r="AH536" i="12"/>
  <c r="AH535" i="12"/>
  <c r="AH534" i="12"/>
  <c r="AH533" i="12"/>
  <c r="AH532" i="12"/>
  <c r="AH531" i="12"/>
  <c r="AH530" i="12"/>
  <c r="AH529" i="12"/>
  <c r="AH528" i="12"/>
  <c r="AH527" i="12"/>
  <c r="AH526" i="12"/>
  <c r="AH525" i="12"/>
  <c r="AH524" i="12"/>
  <c r="AH523" i="12"/>
  <c r="AH522" i="12"/>
  <c r="AH521" i="12"/>
  <c r="AH520" i="12"/>
  <c r="AH519" i="12"/>
  <c r="AH518" i="12"/>
  <c r="AH517" i="12"/>
  <c r="AH516" i="12"/>
  <c r="AH515" i="12"/>
  <c r="AH514" i="12"/>
  <c r="AH513" i="12"/>
  <c r="AH512" i="12"/>
  <c r="AH511" i="12"/>
  <c r="AH510" i="12"/>
  <c r="AH509" i="12"/>
  <c r="AH508" i="12"/>
  <c r="AH507" i="12"/>
  <c r="AH506" i="12"/>
  <c r="AH505" i="12"/>
  <c r="AH504" i="12"/>
  <c r="AH503" i="12"/>
  <c r="AH502" i="12"/>
  <c r="AH501" i="12"/>
  <c r="AH500" i="12"/>
  <c r="AH499" i="12"/>
  <c r="AH498" i="12"/>
  <c r="AH497" i="12"/>
  <c r="AH496" i="12"/>
  <c r="AH495" i="12"/>
  <c r="AH494" i="12"/>
  <c r="AH493" i="12"/>
  <c r="AH492" i="12"/>
  <c r="AH491" i="12"/>
  <c r="AH490" i="12"/>
  <c r="AH489" i="12"/>
  <c r="AH488" i="12"/>
  <c r="AH487" i="12"/>
  <c r="AH486" i="12"/>
  <c r="AH485" i="12"/>
  <c r="AH484" i="12"/>
  <c r="AH483" i="12"/>
  <c r="AH482" i="12"/>
  <c r="AH481" i="12"/>
  <c r="AH480" i="12"/>
  <c r="AH479" i="12"/>
  <c r="AH478" i="12"/>
  <c r="AH477" i="12"/>
  <c r="AH476" i="12"/>
  <c r="AH475" i="12"/>
  <c r="AH474" i="12"/>
  <c r="AH473" i="12"/>
  <c r="AH472" i="12"/>
  <c r="AH471" i="12"/>
  <c r="AH470" i="12"/>
  <c r="AH469" i="12"/>
  <c r="AH468" i="12"/>
  <c r="AH467" i="12"/>
  <c r="AH466" i="12"/>
  <c r="AH465" i="12"/>
  <c r="AH464" i="12"/>
  <c r="AH463" i="12"/>
  <c r="AH462" i="12"/>
  <c r="AH461" i="12"/>
  <c r="AH460" i="12"/>
  <c r="AH459" i="12"/>
  <c r="AH458" i="12"/>
  <c r="AH457" i="12"/>
  <c r="AH456" i="12"/>
  <c r="AH455" i="12"/>
  <c r="AH454" i="12"/>
  <c r="AH453" i="12"/>
  <c r="AH452" i="12"/>
  <c r="AH451" i="12"/>
  <c r="AH450" i="12"/>
  <c r="AH449" i="12"/>
  <c r="AH448" i="12"/>
  <c r="AH447" i="12"/>
  <c r="AH446" i="12"/>
  <c r="AH445" i="12"/>
  <c r="AH444" i="12"/>
  <c r="AH443" i="12"/>
  <c r="AH442" i="12"/>
  <c r="AH441" i="12"/>
  <c r="AH440" i="12"/>
  <c r="AH439" i="12"/>
  <c r="AH438" i="12"/>
  <c r="AH437" i="12"/>
  <c r="AH436" i="12"/>
  <c r="AH435" i="12"/>
  <c r="AH434" i="12"/>
  <c r="AH433" i="12"/>
  <c r="AH432" i="12"/>
  <c r="AH431" i="12"/>
  <c r="AH430" i="12"/>
  <c r="AH429" i="12"/>
  <c r="AH428" i="12"/>
  <c r="AH427" i="12"/>
  <c r="AH426" i="12"/>
  <c r="AH425" i="12"/>
  <c r="AH424" i="12"/>
  <c r="AH423" i="12"/>
  <c r="AH422" i="12"/>
  <c r="AH421" i="12"/>
  <c r="AH420" i="12"/>
  <c r="AH419" i="12"/>
  <c r="AH418" i="12"/>
  <c r="AH417" i="12"/>
  <c r="AH416" i="12"/>
  <c r="AH415" i="12"/>
  <c r="AH414" i="12"/>
  <c r="AH413" i="12"/>
  <c r="AH412" i="12"/>
  <c r="AH411" i="12"/>
  <c r="AH410" i="12"/>
  <c r="AH409" i="12"/>
  <c r="AH408" i="12"/>
  <c r="AH407" i="12"/>
  <c r="AH406" i="12"/>
  <c r="AH405" i="12"/>
  <c r="AH404" i="12"/>
  <c r="AH403" i="12"/>
  <c r="AH402" i="12"/>
  <c r="AH401" i="12"/>
  <c r="AH400" i="12"/>
  <c r="AH399" i="12"/>
  <c r="AH398" i="12"/>
  <c r="AH397" i="12"/>
  <c r="AH396" i="12"/>
  <c r="AH395" i="12"/>
  <c r="AH394" i="12"/>
  <c r="AH393" i="12"/>
  <c r="AH392" i="12"/>
  <c r="AH391" i="12"/>
  <c r="AH390" i="12"/>
  <c r="AH389" i="12"/>
  <c r="AH388" i="12"/>
  <c r="AH387" i="12"/>
  <c r="AH386" i="12"/>
  <c r="AH385" i="12"/>
  <c r="AH384" i="12"/>
  <c r="AH383" i="12"/>
  <c r="AH382" i="12"/>
  <c r="AH381" i="12"/>
  <c r="AH380" i="12"/>
  <c r="AH379" i="12"/>
  <c r="AH378" i="12"/>
  <c r="AH377" i="12"/>
  <c r="AH376" i="12"/>
  <c r="AH375" i="12"/>
  <c r="AH374" i="12"/>
  <c r="AH373" i="12"/>
  <c r="AH372" i="12"/>
  <c r="AH371" i="12"/>
  <c r="AH370" i="12"/>
  <c r="AH369" i="12"/>
  <c r="AH368" i="12"/>
  <c r="AH367" i="12"/>
  <c r="AH366" i="12"/>
  <c r="AH365" i="12"/>
  <c r="AH364" i="12"/>
  <c r="AH363" i="12"/>
  <c r="AH362" i="12"/>
  <c r="AH361" i="12"/>
  <c r="AH360" i="12"/>
  <c r="AH359" i="12"/>
  <c r="AH358" i="12"/>
  <c r="AH357" i="12"/>
  <c r="AH356" i="12"/>
  <c r="AH355" i="12"/>
  <c r="AH354" i="12"/>
  <c r="AH353" i="12"/>
  <c r="AH352" i="12"/>
  <c r="AH351" i="12"/>
  <c r="AH350" i="12"/>
  <c r="AH349" i="12"/>
  <c r="AH348" i="12"/>
  <c r="AH347" i="12"/>
  <c r="AH346" i="12"/>
  <c r="AH345" i="12"/>
  <c r="AH344" i="12"/>
  <c r="AH343" i="12"/>
  <c r="AH342" i="12"/>
  <c r="AH341" i="12"/>
  <c r="AH340" i="12"/>
  <c r="AH339" i="12"/>
  <c r="AH338" i="12"/>
  <c r="AH337" i="12"/>
  <c r="AH336" i="12"/>
  <c r="AH335" i="12"/>
  <c r="AH334" i="12"/>
  <c r="AH333" i="12"/>
  <c r="AH332" i="12"/>
  <c r="AH331" i="12"/>
  <c r="AH330" i="12"/>
  <c r="AH329" i="12"/>
  <c r="AH328" i="12"/>
  <c r="AH327" i="12"/>
  <c r="AH326" i="12"/>
  <c r="AH325" i="12"/>
  <c r="AH324" i="12"/>
  <c r="AH323" i="12"/>
  <c r="AH322" i="12"/>
  <c r="AH321" i="12"/>
  <c r="AH320" i="12"/>
  <c r="AH319" i="12"/>
  <c r="AH318" i="12"/>
  <c r="AH317" i="12"/>
  <c r="AH316" i="12"/>
  <c r="AH315" i="12"/>
  <c r="AH314" i="12"/>
  <c r="AH313" i="12"/>
  <c r="AH312" i="12"/>
  <c r="AH311" i="12"/>
  <c r="AH310" i="12"/>
  <c r="AH309" i="12"/>
  <c r="AH308" i="12"/>
  <c r="AH307" i="12"/>
  <c r="AH306" i="12"/>
  <c r="AH305" i="12"/>
  <c r="AH304" i="12"/>
  <c r="AH303" i="12"/>
  <c r="AH302" i="12"/>
  <c r="AH301" i="12"/>
  <c r="AH300" i="12"/>
  <c r="AH299" i="12"/>
  <c r="AH298" i="12"/>
  <c r="AH297" i="12"/>
  <c r="AH296" i="12"/>
  <c r="AH295" i="12"/>
  <c r="AH294" i="12"/>
  <c r="AH293" i="12"/>
  <c r="AH292" i="12"/>
  <c r="AH291" i="12"/>
  <c r="AH290" i="12"/>
  <c r="AH289" i="12"/>
  <c r="AH288" i="12"/>
  <c r="AH287" i="12"/>
  <c r="AH286" i="12"/>
  <c r="AH285" i="12"/>
  <c r="AH284" i="12"/>
  <c r="AH283" i="12"/>
  <c r="AH282" i="12"/>
  <c r="AH281" i="12"/>
  <c r="AH280" i="12"/>
  <c r="AH279" i="12"/>
  <c r="AH278" i="12"/>
  <c r="AH277" i="12"/>
  <c r="AH276" i="12"/>
  <c r="AH275" i="12"/>
  <c r="AH274" i="12"/>
  <c r="AH273" i="12"/>
  <c r="AH272" i="12"/>
  <c r="AH271" i="12"/>
  <c r="AH270" i="12"/>
  <c r="AH269" i="12"/>
  <c r="AH268" i="12"/>
  <c r="AH267" i="12"/>
  <c r="AH266" i="12"/>
  <c r="AH265" i="12"/>
  <c r="AH264" i="12"/>
  <c r="AH263" i="12"/>
  <c r="AH262" i="12"/>
  <c r="AH261" i="12"/>
  <c r="AH260" i="12"/>
  <c r="AH259" i="12"/>
  <c r="AH258" i="12"/>
  <c r="AH257" i="12"/>
  <c r="AH256" i="12"/>
  <c r="AH255" i="12"/>
  <c r="AH254" i="12"/>
  <c r="AH253" i="12"/>
  <c r="AH252" i="12"/>
  <c r="AH251" i="12"/>
  <c r="AH250" i="12"/>
  <c r="AH249" i="12"/>
  <c r="AH248" i="12"/>
  <c r="AH247" i="12"/>
  <c r="AH246" i="12"/>
  <c r="AH245" i="12"/>
  <c r="AH244" i="12"/>
  <c r="AH243" i="12"/>
  <c r="AH242" i="12"/>
  <c r="AH241" i="12"/>
  <c r="AH240" i="12"/>
  <c r="AH239" i="12"/>
  <c r="AH238" i="12"/>
  <c r="AH237" i="12"/>
  <c r="AH236" i="12"/>
  <c r="AH235" i="12"/>
  <c r="AH234" i="12"/>
  <c r="AH233" i="12"/>
  <c r="AH232" i="12"/>
  <c r="AH231" i="12"/>
  <c r="AH230" i="12"/>
  <c r="AH229" i="12"/>
  <c r="AH228" i="12"/>
  <c r="AH227" i="12"/>
  <c r="AH226" i="12"/>
  <c r="AH225" i="12"/>
  <c r="AH224" i="12"/>
  <c r="AH223" i="12"/>
  <c r="AH222" i="12"/>
  <c r="AH221" i="12"/>
  <c r="AH220" i="12"/>
  <c r="AH219" i="12"/>
  <c r="AH218" i="12"/>
  <c r="AH217" i="12"/>
  <c r="AH216" i="12"/>
  <c r="AH215" i="12"/>
  <c r="AH214" i="12"/>
  <c r="AH213" i="12"/>
  <c r="AH212" i="12"/>
  <c r="AH211" i="12"/>
  <c r="AH210" i="12"/>
  <c r="AH209" i="12"/>
  <c r="AH208" i="12"/>
  <c r="AH207" i="12"/>
  <c r="AH206" i="12"/>
  <c r="AH205" i="12"/>
  <c r="AH204" i="12"/>
  <c r="AH203" i="12"/>
  <c r="AH202" i="12"/>
  <c r="AH201" i="12"/>
  <c r="AH200" i="12"/>
  <c r="AH199" i="12"/>
  <c r="AH198" i="12"/>
  <c r="AH197" i="12"/>
  <c r="AH196" i="12"/>
  <c r="AH195" i="12"/>
  <c r="AH194" i="12"/>
  <c r="AH193" i="12"/>
  <c r="AH192" i="12"/>
  <c r="AH191" i="12"/>
  <c r="AH190" i="12"/>
  <c r="AH189" i="12"/>
  <c r="AH188" i="12"/>
  <c r="AH187" i="12"/>
  <c r="AH186" i="12"/>
  <c r="AH185" i="12"/>
  <c r="AH184" i="12"/>
  <c r="AH183" i="12"/>
  <c r="AH182" i="12"/>
  <c r="AH181" i="12"/>
  <c r="AH180" i="12"/>
  <c r="AH179" i="12"/>
  <c r="AH178" i="12"/>
  <c r="AH177" i="12"/>
  <c r="AH176" i="12"/>
  <c r="AH175" i="12"/>
  <c r="AH174" i="12"/>
  <c r="AH173" i="12"/>
  <c r="AH172" i="12"/>
  <c r="AH171" i="12"/>
  <c r="AH170" i="12"/>
  <c r="AH169" i="12"/>
  <c r="AH168" i="12"/>
  <c r="AH167" i="12"/>
  <c r="AH166" i="12"/>
  <c r="AH165" i="12"/>
  <c r="AH164" i="12"/>
  <c r="AH163" i="12"/>
  <c r="AH162" i="12"/>
  <c r="AH161" i="12"/>
  <c r="AH160" i="12"/>
  <c r="AH159" i="12"/>
  <c r="AH158" i="12"/>
  <c r="AH157" i="12"/>
  <c r="AH156" i="12"/>
  <c r="AH155" i="12"/>
  <c r="AH154" i="12"/>
  <c r="AH153" i="12"/>
  <c r="AH152" i="12"/>
  <c r="AH151" i="12"/>
  <c r="AH150" i="12"/>
  <c r="AH149" i="12"/>
  <c r="AH148" i="12"/>
  <c r="AH147" i="12"/>
  <c r="AH146" i="12"/>
  <c r="AH145" i="12"/>
  <c r="AH144" i="12"/>
  <c r="AH143" i="12"/>
  <c r="AH142" i="12"/>
  <c r="AH141" i="12"/>
  <c r="AH140" i="12"/>
  <c r="AH139" i="12"/>
  <c r="AH138" i="12"/>
  <c r="AH137" i="12"/>
  <c r="AH136" i="12"/>
  <c r="AH135" i="12"/>
  <c r="AH134" i="12"/>
  <c r="AH133" i="12"/>
  <c r="AH132" i="12"/>
  <c r="AH131" i="12"/>
  <c r="AH130" i="12"/>
  <c r="AH129" i="12"/>
  <c r="AH128" i="12"/>
  <c r="AH127" i="12"/>
  <c r="AH126" i="12"/>
  <c r="AH125" i="12"/>
  <c r="AH124" i="12"/>
  <c r="AH123" i="12"/>
  <c r="AH122" i="12"/>
  <c r="AH121" i="12"/>
  <c r="AH120" i="12"/>
  <c r="AH119" i="12"/>
  <c r="AH118" i="12"/>
  <c r="AH117" i="12"/>
  <c r="AH116" i="12"/>
  <c r="AH115" i="12"/>
  <c r="AH114" i="12"/>
  <c r="AH113" i="12"/>
  <c r="AH112" i="12"/>
  <c r="AH111" i="12"/>
  <c r="AH110" i="12"/>
  <c r="AH109" i="12"/>
  <c r="AH108" i="12"/>
  <c r="AH107" i="12"/>
  <c r="AH106" i="12"/>
  <c r="AH105" i="12"/>
  <c r="AH104" i="12"/>
  <c r="AH103" i="12"/>
  <c r="AH102" i="12"/>
  <c r="AH101" i="12"/>
  <c r="AH100" i="12"/>
  <c r="AH99" i="12"/>
  <c r="AH98" i="12"/>
  <c r="AH97" i="12"/>
  <c r="AH96" i="12"/>
  <c r="AH95" i="12"/>
  <c r="AH94" i="12"/>
  <c r="AH93" i="12"/>
  <c r="AH92" i="12"/>
  <c r="AH91" i="12"/>
  <c r="AH90" i="12"/>
  <c r="AH89" i="12"/>
  <c r="AH88" i="12"/>
  <c r="AH87" i="12"/>
  <c r="AH86" i="12"/>
  <c r="AH85" i="12"/>
  <c r="AH84" i="12"/>
  <c r="AH83" i="12"/>
  <c r="AH82" i="12"/>
  <c r="AH81" i="12"/>
  <c r="AH80" i="12"/>
  <c r="AH79" i="12"/>
  <c r="AH78" i="12"/>
  <c r="AH77" i="12"/>
  <c r="AH76" i="12"/>
  <c r="AH75" i="12"/>
  <c r="AH74" i="12"/>
  <c r="AH73" i="12"/>
  <c r="AH72" i="12"/>
  <c r="AH71" i="12"/>
  <c r="AH70" i="12"/>
  <c r="AH69" i="12"/>
  <c r="AH68" i="12"/>
  <c r="AH67" i="12"/>
  <c r="AH66" i="12"/>
  <c r="AH65" i="12"/>
  <c r="AH64" i="12"/>
  <c r="AH63" i="12"/>
  <c r="AH62" i="12"/>
  <c r="AH61" i="12"/>
  <c r="AH60" i="12"/>
  <c r="AH59" i="12"/>
  <c r="AH58" i="12"/>
  <c r="AH57" i="12"/>
  <c r="AH56" i="12"/>
  <c r="AH55" i="12"/>
  <c r="AH54" i="12"/>
  <c r="AH53" i="12"/>
  <c r="AH52" i="12"/>
  <c r="AH51" i="12"/>
  <c r="AH50" i="12"/>
  <c r="AH49" i="12"/>
  <c r="AH48" i="12"/>
  <c r="AH47" i="12"/>
  <c r="AH46" i="12"/>
  <c r="AH45" i="12"/>
  <c r="AH44" i="12"/>
  <c r="AH43" i="12"/>
  <c r="AH42" i="12"/>
  <c r="AH41" i="12"/>
  <c r="AH40" i="12"/>
  <c r="AH39" i="12"/>
  <c r="AH38" i="12"/>
  <c r="AH37" i="12"/>
  <c r="AH36" i="12"/>
  <c r="AH35" i="12"/>
  <c r="AH34" i="12"/>
  <c r="AH33" i="12"/>
  <c r="AH32" i="12"/>
  <c r="AH31" i="12"/>
  <c r="AH30" i="12"/>
  <c r="AH29" i="12"/>
  <c r="AH28" i="12"/>
  <c r="AH27" i="12"/>
  <c r="AH26" i="12"/>
  <c r="AH25" i="12"/>
  <c r="AH24" i="12"/>
  <c r="AH23" i="12"/>
  <c r="AH22" i="12"/>
  <c r="AH21" i="12"/>
  <c r="AH20" i="12"/>
  <c r="AH19" i="12"/>
  <c r="AH18" i="12"/>
  <c r="AH17" i="12"/>
  <c r="AH16" i="12"/>
  <c r="AH15" i="12"/>
  <c r="AH14" i="12"/>
  <c r="AH13" i="12"/>
  <c r="AH12" i="12"/>
  <c r="AH11" i="12"/>
  <c r="AH10" i="12"/>
  <c r="AH9" i="12"/>
  <c r="AH8" i="12"/>
  <c r="AH7" i="12"/>
  <c r="AH6" i="12"/>
  <c r="AH5" i="12"/>
  <c r="AH4" i="12"/>
  <c r="AH3" i="12"/>
  <c r="AE775" i="12"/>
  <c r="AE774" i="12"/>
  <c r="AE773" i="12"/>
  <c r="AE772" i="12"/>
  <c r="AE771" i="12"/>
  <c r="AE770" i="12"/>
  <c r="AE769" i="12"/>
  <c r="AE768" i="12"/>
  <c r="AE767" i="12"/>
  <c r="AE766" i="12"/>
  <c r="AE765" i="12"/>
  <c r="AE764" i="12"/>
  <c r="AE763" i="12"/>
  <c r="AE762" i="12"/>
  <c r="AE761" i="12"/>
  <c r="AE760" i="12"/>
  <c r="AE759" i="12"/>
  <c r="AE758" i="12"/>
  <c r="AE757" i="12"/>
  <c r="AE756" i="12"/>
  <c r="AE755" i="12"/>
  <c r="AE754" i="12"/>
  <c r="AE753" i="12"/>
  <c r="AE752" i="12"/>
  <c r="AE751" i="12"/>
  <c r="AE750" i="12"/>
  <c r="AE749" i="12"/>
  <c r="AE748" i="12"/>
  <c r="AE747" i="12"/>
  <c r="AE746" i="12"/>
  <c r="AE745" i="12"/>
  <c r="AE744" i="12"/>
  <c r="AE743" i="12"/>
  <c r="AE742" i="12"/>
  <c r="AE741" i="12"/>
  <c r="AE740" i="12"/>
  <c r="AE739" i="12"/>
  <c r="AE738" i="12"/>
  <c r="AE737" i="12"/>
  <c r="AE736" i="12"/>
  <c r="AE735" i="12"/>
  <c r="AE734" i="12"/>
  <c r="AE733" i="12"/>
  <c r="AE732" i="12"/>
  <c r="AE731" i="12"/>
  <c r="AE730" i="12"/>
  <c r="AE729" i="12"/>
  <c r="AE728" i="12"/>
  <c r="AE727" i="12"/>
  <c r="AE726" i="12"/>
  <c r="AE725" i="12"/>
  <c r="AE724" i="12"/>
  <c r="AE723" i="12"/>
  <c r="AE722" i="12"/>
  <c r="AE721" i="12"/>
  <c r="AE720" i="12"/>
  <c r="AE719" i="12"/>
  <c r="AE718" i="12"/>
  <c r="AE717" i="12"/>
  <c r="AE716" i="12"/>
  <c r="AE715" i="12"/>
  <c r="AE714" i="12"/>
  <c r="AE713" i="12"/>
  <c r="AE712" i="12"/>
  <c r="AE711" i="12"/>
  <c r="AE710" i="12"/>
  <c r="AE709" i="12"/>
  <c r="AE708" i="12"/>
  <c r="AE707" i="12"/>
  <c r="AE706" i="12"/>
  <c r="AE705" i="12"/>
  <c r="AE704" i="12"/>
  <c r="AE703" i="12"/>
  <c r="AE702" i="12"/>
  <c r="AE701" i="12"/>
  <c r="AE700" i="12"/>
  <c r="AE699" i="12"/>
  <c r="AE698" i="12"/>
  <c r="AE697" i="12"/>
  <c r="AE696" i="12"/>
  <c r="AE695" i="12"/>
  <c r="AE694" i="12"/>
  <c r="AE693" i="12"/>
  <c r="AE692" i="12"/>
  <c r="AE691" i="12"/>
  <c r="AE690" i="12"/>
  <c r="AE689" i="12"/>
  <c r="AE688" i="12"/>
  <c r="AE687" i="12"/>
  <c r="AE686" i="12"/>
  <c r="AE685" i="12"/>
  <c r="AE684" i="12"/>
  <c r="AE683" i="12"/>
  <c r="AE682" i="12"/>
  <c r="AE681" i="12"/>
  <c r="AE680" i="12"/>
  <c r="AE679" i="12"/>
  <c r="AE678" i="12"/>
  <c r="AE677" i="12"/>
  <c r="AE676" i="12"/>
  <c r="AE675" i="12"/>
  <c r="AE674" i="12"/>
  <c r="AE673" i="12"/>
  <c r="AE672" i="12"/>
  <c r="AE671" i="12"/>
  <c r="AE670" i="12"/>
  <c r="AE669" i="12"/>
  <c r="AE668" i="12"/>
  <c r="AE667" i="12"/>
  <c r="AE666" i="12"/>
  <c r="AE665" i="12"/>
  <c r="AE664" i="12"/>
  <c r="AE663" i="12"/>
  <c r="AE662" i="12"/>
  <c r="AE661" i="12"/>
  <c r="AE660" i="12"/>
  <c r="AE659" i="12"/>
  <c r="AE658" i="12"/>
  <c r="AE657" i="12"/>
  <c r="AE656" i="12"/>
  <c r="AE655" i="12"/>
  <c r="AE654" i="12"/>
  <c r="AE653" i="12"/>
  <c r="AE652" i="12"/>
  <c r="AE651" i="12"/>
  <c r="AE650" i="12"/>
  <c r="AE649" i="12"/>
  <c r="AE648" i="12"/>
  <c r="AE647" i="12"/>
  <c r="AE646" i="12"/>
  <c r="AE645" i="12"/>
  <c r="AE644" i="12"/>
  <c r="AE643" i="12"/>
  <c r="AE642" i="12"/>
  <c r="AE641" i="12"/>
  <c r="AE640" i="12"/>
  <c r="AE639" i="12"/>
  <c r="AE638" i="12"/>
  <c r="AE637" i="12"/>
  <c r="AE636" i="12"/>
  <c r="AE635" i="12"/>
  <c r="AE634" i="12"/>
  <c r="AE633" i="12"/>
  <c r="AE632" i="12"/>
  <c r="AE631" i="12"/>
  <c r="AE630" i="12"/>
  <c r="AE629" i="12"/>
  <c r="AE628" i="12"/>
  <c r="AE627" i="12"/>
  <c r="AE626" i="12"/>
  <c r="AE625" i="12"/>
  <c r="AE624" i="12"/>
  <c r="AE623" i="12"/>
  <c r="AE622" i="12"/>
  <c r="AE621" i="12"/>
  <c r="AE620" i="12"/>
  <c r="AE619" i="12"/>
  <c r="AE618" i="12"/>
  <c r="AE617" i="12"/>
  <c r="AE616" i="12"/>
  <c r="AE615" i="12"/>
  <c r="AE614" i="12"/>
  <c r="AE613" i="12"/>
  <c r="AE612" i="12"/>
  <c r="AE611" i="12"/>
  <c r="AE610" i="12"/>
  <c r="AE609" i="12"/>
  <c r="AE608" i="12"/>
  <c r="AE607" i="12"/>
  <c r="AE606" i="12"/>
  <c r="AE605" i="12"/>
  <c r="AE604" i="12"/>
  <c r="AE603" i="12"/>
  <c r="AE602" i="12"/>
  <c r="AE601" i="12"/>
  <c r="AE600" i="12"/>
  <c r="AE599" i="12"/>
  <c r="AE598" i="12"/>
  <c r="AE597" i="12"/>
  <c r="AE596" i="12"/>
  <c r="AE595" i="12"/>
  <c r="AE594" i="12"/>
  <c r="AE593" i="12"/>
  <c r="AE592" i="12"/>
  <c r="AE591" i="12"/>
  <c r="AE590" i="12"/>
  <c r="AE589" i="12"/>
  <c r="AE588" i="12"/>
  <c r="AE587" i="12"/>
  <c r="AE586" i="12"/>
  <c r="AE585" i="12"/>
  <c r="AE584" i="12"/>
  <c r="AE583" i="12"/>
  <c r="AE582" i="12"/>
  <c r="AE581" i="12"/>
  <c r="AE580" i="12"/>
  <c r="AE579" i="12"/>
  <c r="AE578" i="12"/>
  <c r="AE577" i="12"/>
  <c r="AE576" i="12"/>
  <c r="AE575" i="12"/>
  <c r="AE574" i="12"/>
  <c r="AE573" i="12"/>
  <c r="AE572" i="12"/>
  <c r="AE571" i="12"/>
  <c r="AE570" i="12"/>
  <c r="AE569" i="12"/>
  <c r="AE568" i="12"/>
  <c r="AE567" i="12"/>
  <c r="AE566" i="12"/>
  <c r="AE565" i="12"/>
  <c r="AE564" i="12"/>
  <c r="AE563" i="12"/>
  <c r="AE562" i="12"/>
  <c r="AE561" i="12"/>
  <c r="AE560" i="12"/>
  <c r="AE559" i="12"/>
  <c r="AE558" i="12"/>
  <c r="AE557" i="12"/>
  <c r="AE556" i="12"/>
  <c r="AE555" i="12"/>
  <c r="AE554" i="12"/>
  <c r="AE553" i="12"/>
  <c r="AE552" i="12"/>
  <c r="AE551" i="12"/>
  <c r="AE550" i="12"/>
  <c r="AE549" i="12"/>
  <c r="AE548" i="12"/>
  <c r="AE547" i="12"/>
  <c r="AE546" i="12"/>
  <c r="AE545" i="12"/>
  <c r="AE544" i="12"/>
  <c r="AE543" i="12"/>
  <c r="AE542" i="12"/>
  <c r="AE541" i="12"/>
  <c r="AE540" i="12"/>
  <c r="AE539" i="12"/>
  <c r="AE538" i="12"/>
  <c r="AE537" i="12"/>
  <c r="AE536" i="12"/>
  <c r="AE535" i="12"/>
  <c r="AE534" i="12"/>
  <c r="AE533" i="12"/>
  <c r="AE532" i="12"/>
  <c r="AE531" i="12"/>
  <c r="AE530" i="12"/>
  <c r="AE529" i="12"/>
  <c r="AE528" i="12"/>
  <c r="AE527" i="12"/>
  <c r="AE526" i="12"/>
  <c r="AE525" i="12"/>
  <c r="AE524" i="12"/>
  <c r="AE523" i="12"/>
  <c r="AE522" i="12"/>
  <c r="AE521" i="12"/>
  <c r="AE520" i="12"/>
  <c r="AE519" i="12"/>
  <c r="AE518" i="12"/>
  <c r="AE517" i="12"/>
  <c r="AE516" i="12"/>
  <c r="AE515" i="12"/>
  <c r="AE514" i="12"/>
  <c r="AE513" i="12"/>
  <c r="AE512" i="12"/>
  <c r="AE511" i="12"/>
  <c r="AE510" i="12"/>
  <c r="AE509" i="12"/>
  <c r="AE508" i="12"/>
  <c r="AE507" i="12"/>
  <c r="AE506" i="12"/>
  <c r="AE505" i="12"/>
  <c r="AE504" i="12"/>
  <c r="AE503" i="12"/>
  <c r="AE502" i="12"/>
  <c r="AE501" i="12"/>
  <c r="AE500" i="12"/>
  <c r="AE499" i="12"/>
  <c r="AE498" i="12"/>
  <c r="AE497" i="12"/>
  <c r="AE496" i="12"/>
  <c r="AE495" i="12"/>
  <c r="AE494" i="12"/>
  <c r="AE493" i="12"/>
  <c r="AE492" i="12"/>
  <c r="AE491" i="12"/>
  <c r="AE490" i="12"/>
  <c r="AE489" i="12"/>
  <c r="AE488" i="12"/>
  <c r="AE487" i="12"/>
  <c r="AE486" i="12"/>
  <c r="AE485" i="12"/>
  <c r="AE484" i="12"/>
  <c r="AE483" i="12"/>
  <c r="AE482" i="12"/>
  <c r="AE481" i="12"/>
  <c r="AE480" i="12"/>
  <c r="AE479" i="12"/>
  <c r="AE478" i="12"/>
  <c r="AE477" i="12"/>
  <c r="AE476" i="12"/>
  <c r="AE475" i="12"/>
  <c r="AE474" i="12"/>
  <c r="AE473" i="12"/>
  <c r="AE472" i="12"/>
  <c r="AE471" i="12"/>
  <c r="AE470" i="12"/>
  <c r="AE469" i="12"/>
  <c r="AE468" i="12"/>
  <c r="AE467" i="12"/>
  <c r="AE466" i="12"/>
  <c r="AE465" i="12"/>
  <c r="AE464" i="12"/>
  <c r="AE463" i="12"/>
  <c r="AE462" i="12"/>
  <c r="AE461" i="12"/>
  <c r="AE460" i="12"/>
  <c r="AE459" i="12"/>
  <c r="AE458" i="12"/>
  <c r="AE457" i="12"/>
  <c r="AE456" i="12"/>
  <c r="AE455" i="12"/>
  <c r="AE454" i="12"/>
  <c r="AE453" i="12"/>
  <c r="AE452" i="12"/>
  <c r="AE451" i="12"/>
  <c r="AE450" i="12"/>
  <c r="AE449" i="12"/>
  <c r="AE448" i="12"/>
  <c r="AE447" i="12"/>
  <c r="AE446" i="12"/>
  <c r="AE445" i="12"/>
  <c r="AE444" i="12"/>
  <c r="AE443" i="12"/>
  <c r="AE442" i="12"/>
  <c r="AE441" i="12"/>
  <c r="AE440" i="12"/>
  <c r="AE439" i="12"/>
  <c r="AE438" i="12"/>
  <c r="AE437" i="12"/>
  <c r="AE436" i="12"/>
  <c r="AE435" i="12"/>
  <c r="AE434" i="12"/>
  <c r="AE433" i="12"/>
  <c r="AE432" i="12"/>
  <c r="AE431" i="12"/>
  <c r="AE430" i="12"/>
  <c r="AE429" i="12"/>
  <c r="AE428" i="12"/>
  <c r="AE427" i="12"/>
  <c r="AE426" i="12"/>
  <c r="AE425" i="12"/>
  <c r="AE424" i="12"/>
  <c r="AE423" i="12"/>
  <c r="AE422" i="12"/>
  <c r="AE421" i="12"/>
  <c r="AE420" i="12"/>
  <c r="AE419" i="12"/>
  <c r="AE418" i="12"/>
  <c r="AE417" i="12"/>
  <c r="AE416" i="12"/>
  <c r="AE415" i="12"/>
  <c r="AE414" i="12"/>
  <c r="AE413" i="12"/>
  <c r="AE412" i="12"/>
  <c r="AE411" i="12"/>
  <c r="AE410" i="12"/>
  <c r="AE409" i="12"/>
  <c r="AE408" i="12"/>
  <c r="AE407" i="12"/>
  <c r="AE406" i="12"/>
  <c r="AE405" i="12"/>
  <c r="AE404" i="12"/>
  <c r="AE403" i="12"/>
  <c r="AE402" i="12"/>
  <c r="AE401" i="12"/>
  <c r="AE400" i="12"/>
  <c r="AE399" i="12"/>
  <c r="AE398" i="12"/>
  <c r="AE397" i="12"/>
  <c r="AE396" i="12"/>
  <c r="AE395" i="12"/>
  <c r="AE394" i="12"/>
  <c r="AE393" i="12"/>
  <c r="AE392" i="12"/>
  <c r="AE391" i="12"/>
  <c r="AE390" i="12"/>
  <c r="AE389" i="12"/>
  <c r="AE388" i="12"/>
  <c r="AE387" i="12"/>
  <c r="AE386" i="12"/>
  <c r="AE385" i="12"/>
  <c r="AE384" i="12"/>
  <c r="AE383" i="12"/>
  <c r="AE382" i="12"/>
  <c r="AE381" i="12"/>
  <c r="AE380" i="12"/>
  <c r="AE379" i="12"/>
  <c r="AE378" i="12"/>
  <c r="AE377" i="12"/>
  <c r="AE376" i="12"/>
  <c r="AE375" i="12"/>
  <c r="AE374" i="12"/>
  <c r="AE373" i="12"/>
  <c r="AE372" i="12"/>
  <c r="AE371" i="12"/>
  <c r="AE370" i="12"/>
  <c r="AE369" i="12"/>
  <c r="AE368" i="12"/>
  <c r="AE367" i="12"/>
  <c r="AE366" i="12"/>
  <c r="AE365" i="12"/>
  <c r="AE364" i="12"/>
  <c r="AE363" i="12"/>
  <c r="AE362" i="12"/>
  <c r="AE361" i="12"/>
  <c r="AE360" i="12"/>
  <c r="AE359" i="12"/>
  <c r="AE358" i="12"/>
  <c r="AE357" i="12"/>
  <c r="AE356" i="12"/>
  <c r="AE355" i="12"/>
  <c r="AE354" i="12"/>
  <c r="AE353" i="12"/>
  <c r="AE352" i="12"/>
  <c r="AE351" i="12"/>
  <c r="AE350" i="12"/>
  <c r="AE349" i="12"/>
  <c r="AE348" i="12"/>
  <c r="AE347" i="12"/>
  <c r="AE346" i="12"/>
  <c r="AE345" i="12"/>
  <c r="AE344" i="12"/>
  <c r="AE343" i="12"/>
  <c r="AE342" i="12"/>
  <c r="AE341" i="12"/>
  <c r="AE340" i="12"/>
  <c r="AE339" i="12"/>
  <c r="AE338" i="12"/>
  <c r="AE337" i="12"/>
  <c r="AE336" i="12"/>
  <c r="AE335" i="12"/>
  <c r="AE334" i="12"/>
  <c r="AE333" i="12"/>
  <c r="AE332" i="12"/>
  <c r="AE331" i="12"/>
  <c r="AE330" i="12"/>
  <c r="AE329" i="12"/>
  <c r="AE328" i="12"/>
  <c r="AE327" i="12"/>
  <c r="AE326" i="12"/>
  <c r="AE325" i="12"/>
  <c r="AE324" i="12"/>
  <c r="AE323" i="12"/>
  <c r="AE322" i="12"/>
  <c r="AE321" i="12"/>
  <c r="AE320" i="12"/>
  <c r="AE319" i="12"/>
  <c r="AE318" i="12"/>
  <c r="AE317" i="12"/>
  <c r="AE316" i="12"/>
  <c r="AE315" i="12"/>
  <c r="AE314" i="12"/>
  <c r="AE313" i="12"/>
  <c r="AE312" i="12"/>
  <c r="AE311" i="12"/>
  <c r="AE310" i="12"/>
  <c r="AE309" i="12"/>
  <c r="AE308" i="12"/>
  <c r="AE307" i="12"/>
  <c r="AE306" i="12"/>
  <c r="AE305" i="12"/>
  <c r="AE304" i="12"/>
  <c r="AE303" i="12"/>
  <c r="AE302" i="12"/>
  <c r="AE301" i="12"/>
  <c r="AE300" i="12"/>
  <c r="AE299" i="12"/>
  <c r="AE298" i="12"/>
  <c r="AE297" i="12"/>
  <c r="AE296" i="12"/>
  <c r="AE295" i="12"/>
  <c r="AE294" i="12"/>
  <c r="AE293" i="12"/>
  <c r="AE292" i="12"/>
  <c r="AE291" i="12"/>
  <c r="AE290" i="12"/>
  <c r="AE289" i="12"/>
  <c r="AE288" i="12"/>
  <c r="AE287" i="12"/>
  <c r="AE286" i="12"/>
  <c r="AE285" i="12"/>
  <c r="AE284" i="12"/>
  <c r="AE283" i="12"/>
  <c r="AE282" i="12"/>
  <c r="AE281" i="12"/>
  <c r="AE280" i="12"/>
  <c r="AE279" i="12"/>
  <c r="AE278" i="12"/>
  <c r="AE277" i="12"/>
  <c r="AE276" i="12"/>
  <c r="AE275" i="12"/>
  <c r="AE274" i="12"/>
  <c r="AE273" i="12"/>
  <c r="AE272" i="12"/>
  <c r="AE271" i="12"/>
  <c r="AE270" i="12"/>
  <c r="AE269" i="12"/>
  <c r="AE268" i="12"/>
  <c r="AE267" i="12"/>
  <c r="AE266" i="12"/>
  <c r="AE265" i="12"/>
  <c r="AE264" i="12"/>
  <c r="AE263" i="12"/>
  <c r="AE262" i="12"/>
  <c r="AE261" i="12"/>
  <c r="AE260" i="12"/>
  <c r="AE259" i="12"/>
  <c r="AE258" i="12"/>
  <c r="AE257" i="12"/>
  <c r="AE256" i="12"/>
  <c r="AE255" i="12"/>
  <c r="AE254" i="12"/>
  <c r="AE253" i="12"/>
  <c r="AE252" i="12"/>
  <c r="AE251" i="12"/>
  <c r="AE250" i="12"/>
  <c r="AE249" i="12"/>
  <c r="AE248" i="12"/>
  <c r="AE247" i="12"/>
  <c r="AE246" i="12"/>
  <c r="AE245" i="12"/>
  <c r="AE244" i="12"/>
  <c r="AE243" i="12"/>
  <c r="AE242" i="12"/>
  <c r="AE241" i="12"/>
  <c r="AE240" i="12"/>
  <c r="AE239" i="12"/>
  <c r="AE238" i="12"/>
  <c r="AE237" i="12"/>
  <c r="AE236" i="12"/>
  <c r="AE235" i="12"/>
  <c r="AE234" i="12"/>
  <c r="AE233" i="12"/>
  <c r="AE232" i="12"/>
  <c r="AE231" i="12"/>
  <c r="AE230" i="12"/>
  <c r="AE229" i="12"/>
  <c r="AE228" i="12"/>
  <c r="AE227" i="12"/>
  <c r="AE226" i="12"/>
  <c r="AE225" i="12"/>
  <c r="AE224" i="12"/>
  <c r="AE223" i="12"/>
  <c r="AE222" i="12"/>
  <c r="AE221" i="12"/>
  <c r="AE220" i="12"/>
  <c r="AE219" i="12"/>
  <c r="AE218" i="12"/>
  <c r="AE217" i="12"/>
  <c r="AE216" i="12"/>
  <c r="AE215" i="12"/>
  <c r="AE214" i="12"/>
  <c r="AE213" i="12"/>
  <c r="AE212" i="12"/>
  <c r="AE211" i="12"/>
  <c r="AE210" i="12"/>
  <c r="AE209" i="12"/>
  <c r="AE207" i="12"/>
  <c r="AE206" i="12"/>
  <c r="AE205" i="12"/>
  <c r="AE204" i="12"/>
  <c r="AE203" i="12"/>
  <c r="AE202" i="12"/>
  <c r="AE201" i="12"/>
  <c r="AE200" i="12"/>
  <c r="AE199" i="12"/>
  <c r="AE198" i="12"/>
  <c r="AE197" i="12"/>
  <c r="AE196" i="12"/>
  <c r="AE195" i="12"/>
  <c r="AE194" i="12"/>
  <c r="AE193" i="12"/>
  <c r="AE192" i="12"/>
  <c r="AE191" i="12"/>
  <c r="AE190" i="12"/>
  <c r="AE189" i="12"/>
  <c r="AE188" i="12"/>
  <c r="AE187" i="12"/>
  <c r="AE186" i="12"/>
  <c r="AE185" i="12"/>
  <c r="AE184" i="12"/>
  <c r="AE183" i="12"/>
  <c r="AE182" i="12"/>
  <c r="AE181" i="12"/>
  <c r="AE180" i="12"/>
  <c r="AE179" i="12"/>
  <c r="AE178" i="12"/>
  <c r="AE177" i="12"/>
  <c r="AE176" i="12"/>
  <c r="AE175" i="12"/>
  <c r="AE174" i="12"/>
  <c r="AE173" i="12"/>
  <c r="AE172" i="12"/>
  <c r="AE171" i="12"/>
  <c r="AE170" i="12"/>
  <c r="AE169" i="12"/>
  <c r="AE165" i="12"/>
  <c r="AE164" i="12"/>
  <c r="AE163" i="12"/>
  <c r="AE162" i="12"/>
  <c r="AE161" i="12"/>
  <c r="AE160" i="12"/>
  <c r="AE159" i="12"/>
  <c r="AE158" i="12"/>
  <c r="AE157" i="12"/>
  <c r="AE156" i="12"/>
  <c r="AE155" i="12"/>
  <c r="AE154" i="12"/>
  <c r="AE153" i="12"/>
  <c r="AE152" i="12"/>
  <c r="AE151" i="12"/>
  <c r="AE150" i="12"/>
  <c r="AE149" i="12"/>
  <c r="AE148" i="12"/>
  <c r="AE147" i="12"/>
  <c r="AE146" i="12"/>
  <c r="AE145" i="12"/>
  <c r="AE144" i="12"/>
  <c r="AE143" i="12"/>
  <c r="AE142" i="12"/>
  <c r="AE141" i="12"/>
  <c r="AE140" i="12"/>
  <c r="AE139" i="12"/>
  <c r="AE138" i="12"/>
  <c r="AE137" i="12"/>
  <c r="AE136" i="12"/>
  <c r="AE135" i="12"/>
  <c r="AE134" i="12"/>
  <c r="AE133" i="12"/>
  <c r="AE132" i="12"/>
  <c r="AE131" i="12"/>
  <c r="AE130" i="12"/>
  <c r="AE129" i="12"/>
  <c r="AE128" i="12"/>
  <c r="AE127" i="12"/>
  <c r="AE126" i="12"/>
  <c r="AE125" i="12"/>
  <c r="AE123" i="12"/>
  <c r="AE122" i="12"/>
  <c r="AE121" i="12"/>
  <c r="AE120" i="12"/>
  <c r="AE119" i="12"/>
  <c r="AE118" i="12"/>
  <c r="AE117" i="12"/>
  <c r="AE116" i="12"/>
  <c r="AE115" i="12"/>
  <c r="AE114" i="12"/>
  <c r="AE113" i="12"/>
  <c r="AE112" i="12"/>
  <c r="AE111" i="12"/>
  <c r="AE110" i="12"/>
  <c r="AE109" i="12"/>
  <c r="AE108" i="12"/>
  <c r="AE107" i="12"/>
  <c r="AE106" i="12"/>
  <c r="AE105" i="12"/>
  <c r="AE104" i="12"/>
  <c r="AE103" i="12"/>
  <c r="AE102" i="12"/>
  <c r="AE101" i="12"/>
  <c r="AE100" i="12"/>
  <c r="AE99" i="12"/>
  <c r="AE98" i="12"/>
  <c r="AE97" i="12"/>
  <c r="AE96" i="12"/>
  <c r="AE95" i="12"/>
  <c r="AE94" i="12"/>
  <c r="AE93" i="12"/>
  <c r="AE92" i="12"/>
  <c r="AE91" i="12"/>
  <c r="AE90" i="12"/>
  <c r="AE89" i="12"/>
  <c r="AE88" i="12"/>
  <c r="AE87" i="12"/>
  <c r="AE86" i="12"/>
  <c r="AE85" i="12"/>
  <c r="AE84" i="12"/>
  <c r="AE83" i="12"/>
  <c r="AE82" i="12"/>
  <c r="AE81" i="12"/>
  <c r="AE80" i="12"/>
  <c r="AE79" i="12"/>
  <c r="AE78" i="12"/>
  <c r="AE77" i="12"/>
  <c r="AE76" i="12"/>
  <c r="AE75" i="12"/>
  <c r="AE74" i="12"/>
  <c r="AE73" i="12"/>
  <c r="AE72" i="12"/>
  <c r="AE71" i="12"/>
  <c r="AE70" i="12"/>
  <c r="AE69" i="12"/>
  <c r="AE68" i="12"/>
  <c r="AE67" i="12"/>
  <c r="AE66" i="12"/>
  <c r="AE61" i="12"/>
  <c r="AE60" i="12"/>
  <c r="AE59" i="12"/>
  <c r="AE58" i="12"/>
  <c r="AE57" i="12"/>
  <c r="AE56" i="12"/>
  <c r="AE55" i="12"/>
  <c r="AE54" i="12"/>
  <c r="AE53" i="12"/>
  <c r="AE52" i="12"/>
  <c r="AE51" i="12"/>
  <c r="AE50" i="12"/>
  <c r="AE49" i="12"/>
  <c r="AE48" i="12"/>
  <c r="AE47" i="12"/>
  <c r="AE46" i="12"/>
  <c r="AE45" i="12"/>
  <c r="AE44" i="12"/>
  <c r="AE43" i="12"/>
  <c r="AE42" i="12"/>
  <c r="AE41" i="12"/>
  <c r="AE40" i="12"/>
  <c r="AE39" i="12"/>
  <c r="AE38" i="12"/>
  <c r="AE37" i="12"/>
  <c r="AE36" i="12"/>
  <c r="AE35" i="12"/>
  <c r="AE34" i="12"/>
  <c r="AE33" i="12"/>
  <c r="AE32" i="12"/>
  <c r="AE31" i="12"/>
  <c r="AE30" i="12"/>
  <c r="AE29" i="12"/>
  <c r="AE28" i="12"/>
  <c r="AE27" i="12"/>
  <c r="AE26" i="12"/>
  <c r="AE25" i="12"/>
  <c r="AE24" i="12"/>
  <c r="AE23" i="12"/>
  <c r="AE22" i="12"/>
  <c r="AE21" i="12"/>
  <c r="AE20" i="12"/>
  <c r="AE19" i="12"/>
  <c r="AE18" i="12"/>
  <c r="AE17" i="12"/>
  <c r="AE16" i="12"/>
  <c r="AE15" i="12"/>
  <c r="AE14" i="12"/>
  <c r="AE13" i="12"/>
  <c r="AE12" i="12"/>
  <c r="AE11" i="12"/>
  <c r="AE10" i="12"/>
  <c r="AE9" i="12"/>
  <c r="AE8" i="12"/>
  <c r="AE7" i="12"/>
  <c r="AE6" i="12"/>
  <c r="AE5" i="12"/>
  <c r="AE4" i="12"/>
  <c r="AE3" i="12"/>
  <c r="AB4" i="12"/>
  <c r="AB5" i="12"/>
  <c r="AB6" i="12"/>
  <c r="AB7" i="12"/>
  <c r="AB8"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AB301" i="12"/>
  <c r="AB302" i="12"/>
  <c r="AB303" i="12"/>
  <c r="AB304" i="12"/>
  <c r="AB305" i="12"/>
  <c r="AB306" i="12"/>
  <c r="AB307" i="12"/>
  <c r="AB308" i="12"/>
  <c r="AB309" i="12"/>
  <c r="AB310" i="12"/>
  <c r="AB311" i="12"/>
  <c r="AB312" i="12"/>
  <c r="AB313" i="12"/>
  <c r="AB314" i="12"/>
  <c r="AB315" i="12"/>
  <c r="AB316" i="12"/>
  <c r="AB317" i="12"/>
  <c r="AB318" i="12"/>
  <c r="AB319" i="12"/>
  <c r="AB320" i="12"/>
  <c r="AB321" i="12"/>
  <c r="AB322" i="12"/>
  <c r="AB323" i="12"/>
  <c r="AB324" i="12"/>
  <c r="AB325" i="12"/>
  <c r="AB326" i="12"/>
  <c r="AB327" i="12"/>
  <c r="AB328" i="12"/>
  <c r="AB329" i="12"/>
  <c r="AB330" i="12"/>
  <c r="AB331" i="12"/>
  <c r="AB332" i="12"/>
  <c r="AB333" i="12"/>
  <c r="AB334" i="12"/>
  <c r="AB335" i="12"/>
  <c r="AB336" i="12"/>
  <c r="AB337" i="12"/>
  <c r="AB338" i="12"/>
  <c r="AB339" i="12"/>
  <c r="AB340" i="12"/>
  <c r="AB341" i="12"/>
  <c r="AB342" i="12"/>
  <c r="AB343" i="12"/>
  <c r="AB344" i="12"/>
  <c r="AB345" i="12"/>
  <c r="AB346" i="12"/>
  <c r="AB347" i="12"/>
  <c r="AB348" i="12"/>
  <c r="AB349" i="12"/>
  <c r="AB350" i="12"/>
  <c r="AB351" i="12"/>
  <c r="AB352" i="12"/>
  <c r="AB353" i="12"/>
  <c r="AB354" i="12"/>
  <c r="AB355" i="12"/>
  <c r="AB356" i="12"/>
  <c r="AB357" i="12"/>
  <c r="AB358" i="12"/>
  <c r="AB359" i="12"/>
  <c r="AB360" i="12"/>
  <c r="AB361" i="12"/>
  <c r="AB362" i="12"/>
  <c r="AB363" i="12"/>
  <c r="AB364" i="12"/>
  <c r="AB365" i="12"/>
  <c r="AB366" i="12"/>
  <c r="AB367" i="12"/>
  <c r="AB368" i="12"/>
  <c r="AB369" i="12"/>
  <c r="AB370" i="12"/>
  <c r="AB371" i="12"/>
  <c r="AB372" i="12"/>
  <c r="AB373" i="12"/>
  <c r="AB374" i="12"/>
  <c r="AB375" i="12"/>
  <c r="AB376" i="12"/>
  <c r="AB377" i="12"/>
  <c r="AB378" i="12"/>
  <c r="AB379" i="12"/>
  <c r="AB380" i="12"/>
  <c r="AB381" i="12"/>
  <c r="AB382" i="12"/>
  <c r="AB383" i="12"/>
  <c r="AB384" i="12"/>
  <c r="AB385" i="12"/>
  <c r="AB386" i="12"/>
  <c r="AB387" i="12"/>
  <c r="AB388" i="12"/>
  <c r="AB389" i="12"/>
  <c r="AB390" i="12"/>
  <c r="AB391" i="12"/>
  <c r="AB392" i="12"/>
  <c r="AB393" i="12"/>
  <c r="AB394" i="12"/>
  <c r="AB395" i="12"/>
  <c r="AB396" i="12"/>
  <c r="AB397" i="12"/>
  <c r="AB398" i="12"/>
  <c r="AB399" i="12"/>
  <c r="AB400" i="12"/>
  <c r="AB401" i="12"/>
  <c r="AB402" i="12"/>
  <c r="AB403" i="12"/>
  <c r="AB404" i="12"/>
  <c r="AB405" i="12"/>
  <c r="AB406" i="12"/>
  <c r="AB407" i="12"/>
  <c r="AB408" i="12"/>
  <c r="AB409" i="12"/>
  <c r="AB410" i="12"/>
  <c r="AB411" i="12"/>
  <c r="AB412" i="12"/>
  <c r="AB413" i="12"/>
  <c r="AB414" i="12"/>
  <c r="AB415" i="12"/>
  <c r="AB416" i="12"/>
  <c r="AB417" i="12"/>
  <c r="AB418" i="12"/>
  <c r="AB419" i="12"/>
  <c r="AB420" i="12"/>
  <c r="AB421" i="12"/>
  <c r="AB422" i="12"/>
  <c r="AB423" i="12"/>
  <c r="AB424" i="12"/>
  <c r="AB425" i="12"/>
  <c r="AB426" i="12"/>
  <c r="AB427" i="12"/>
  <c r="AB428" i="12"/>
  <c r="AB429" i="12"/>
  <c r="AB430" i="12"/>
  <c r="AB431" i="12"/>
  <c r="AB432" i="12"/>
  <c r="AB433" i="12"/>
  <c r="AB434" i="12"/>
  <c r="AB435" i="12"/>
  <c r="AB436" i="12"/>
  <c r="AB437" i="12"/>
  <c r="AB438" i="12"/>
  <c r="AB439" i="12"/>
  <c r="AB440" i="12"/>
  <c r="AB441" i="12"/>
  <c r="AB442" i="12"/>
  <c r="AB443" i="12"/>
  <c r="AB444" i="12"/>
  <c r="AB445" i="12"/>
  <c r="AB446" i="12"/>
  <c r="AB447" i="12"/>
  <c r="AB448" i="12"/>
  <c r="AB449" i="12"/>
  <c r="AB450" i="12"/>
  <c r="AB451" i="12"/>
  <c r="AB452" i="12"/>
  <c r="AB455" i="12"/>
  <c r="AB456" i="12"/>
  <c r="AB457" i="12"/>
  <c r="AB458" i="12"/>
  <c r="AB459" i="12"/>
  <c r="AB460" i="12"/>
  <c r="AB461" i="12"/>
  <c r="AB462" i="12"/>
  <c r="AB463" i="12"/>
  <c r="AB464" i="12"/>
  <c r="AB465" i="12"/>
  <c r="AB466" i="12"/>
  <c r="AB467" i="12"/>
  <c r="AB468" i="12"/>
  <c r="AB469" i="12"/>
  <c r="AB470" i="12"/>
  <c r="AB471" i="12"/>
  <c r="AB472" i="12"/>
  <c r="AB473" i="12"/>
  <c r="AB474" i="12"/>
  <c r="AB475" i="12"/>
  <c r="AB476" i="12"/>
  <c r="AB477" i="12"/>
  <c r="AB478" i="12"/>
  <c r="AB479" i="12"/>
  <c r="AB480" i="12"/>
  <c r="AB481" i="12"/>
  <c r="AB482" i="12"/>
  <c r="AB483" i="12"/>
  <c r="AB484" i="12"/>
  <c r="AB485" i="12"/>
  <c r="AB486" i="12"/>
  <c r="AB487" i="12"/>
  <c r="AB488" i="12"/>
  <c r="AB489" i="12"/>
  <c r="AB490" i="12"/>
  <c r="AB491" i="12"/>
  <c r="AB492" i="12"/>
  <c r="AB493" i="12"/>
  <c r="AB494" i="12"/>
  <c r="AB495"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B524" i="12"/>
  <c r="AB525" i="12"/>
  <c r="AB526" i="12"/>
  <c r="AB527" i="12"/>
  <c r="AB528" i="12"/>
  <c r="AB529" i="12"/>
  <c r="AB530" i="12"/>
  <c r="AB531" i="12"/>
  <c r="AB532" i="12"/>
  <c r="AB533" i="12"/>
  <c r="AB534" i="12"/>
  <c r="AB535" i="12"/>
  <c r="AB536" i="12"/>
  <c r="AB537" i="12"/>
  <c r="AB538" i="12"/>
  <c r="AB539" i="12"/>
  <c r="AB540" i="12"/>
  <c r="AB541" i="12"/>
  <c r="AB542" i="12"/>
  <c r="AB543" i="12"/>
  <c r="AB544" i="12"/>
  <c r="AB545" i="12"/>
  <c r="AB546" i="12"/>
  <c r="AB547" i="12"/>
  <c r="AB548" i="12"/>
  <c r="AB549" i="12"/>
  <c r="AB550" i="12"/>
  <c r="AB551" i="12"/>
  <c r="AB552" i="12"/>
  <c r="AB553" i="12"/>
  <c r="AB554" i="12"/>
  <c r="AB555" i="12"/>
  <c r="AB556" i="12"/>
  <c r="AB557" i="12"/>
  <c r="AB558" i="12"/>
  <c r="AB559" i="12"/>
  <c r="AB560" i="12"/>
  <c r="AB561" i="12"/>
  <c r="AB562" i="12"/>
  <c r="AB563" i="12"/>
  <c r="AB564" i="12"/>
  <c r="AB565" i="12"/>
  <c r="AB566" i="12"/>
  <c r="AB567" i="12"/>
  <c r="AB568" i="12"/>
  <c r="AB569" i="12"/>
  <c r="AB570" i="12"/>
  <c r="AB571" i="12"/>
  <c r="AB572" i="12"/>
  <c r="AB573" i="12"/>
  <c r="AB574" i="12"/>
  <c r="AB575" i="12"/>
  <c r="AB576" i="12"/>
  <c r="AB577" i="12"/>
  <c r="AB578" i="12"/>
  <c r="AB579" i="12"/>
  <c r="AB580" i="12"/>
  <c r="AB581" i="12"/>
  <c r="AB582" i="12"/>
  <c r="AB583" i="12"/>
  <c r="AB584" i="12"/>
  <c r="AB585" i="12"/>
  <c r="AB586" i="12"/>
  <c r="AB587" i="12"/>
  <c r="AB588" i="12"/>
  <c r="AB589" i="12"/>
  <c r="AB590" i="12"/>
  <c r="AB591" i="12"/>
  <c r="AB592" i="12"/>
  <c r="AB593" i="12"/>
  <c r="AB594" i="12"/>
  <c r="AB595" i="12"/>
  <c r="AB596" i="12"/>
  <c r="AB597" i="12"/>
  <c r="AB598" i="12"/>
  <c r="AB599" i="12"/>
  <c r="AB600" i="12"/>
  <c r="AB601" i="12"/>
  <c r="AB602" i="12"/>
  <c r="AB603" i="12"/>
  <c r="AB604" i="12"/>
  <c r="AB605" i="12"/>
  <c r="AB606" i="12"/>
  <c r="AB607" i="12"/>
  <c r="AB608" i="12"/>
  <c r="AB609" i="12"/>
  <c r="AB610" i="12"/>
  <c r="AB611" i="12"/>
  <c r="AB612" i="12"/>
  <c r="AB613" i="12"/>
  <c r="AB614" i="12"/>
  <c r="AB615" i="12"/>
  <c r="AB616" i="12"/>
  <c r="AB617" i="12"/>
  <c r="AB618" i="12"/>
  <c r="AB619" i="12"/>
  <c r="AB620" i="12"/>
  <c r="AB621" i="12"/>
  <c r="AB622" i="12"/>
  <c r="AB623" i="12"/>
  <c r="AB624" i="12"/>
  <c r="AB625" i="12"/>
  <c r="AB626" i="12"/>
  <c r="AB627" i="12"/>
  <c r="AB628" i="12"/>
  <c r="AB629" i="12"/>
  <c r="AB630" i="12"/>
  <c r="AB631" i="12"/>
  <c r="AB632" i="12"/>
  <c r="AB633" i="12"/>
  <c r="AB634" i="12"/>
  <c r="AB635" i="12"/>
  <c r="AB636" i="12"/>
  <c r="AB637" i="12"/>
  <c r="AB638" i="12"/>
  <c r="AB639" i="12"/>
  <c r="AB640" i="12"/>
  <c r="AB641" i="12"/>
  <c r="AB642" i="12"/>
  <c r="AB643" i="12"/>
  <c r="AB644" i="12"/>
  <c r="AB645" i="12"/>
  <c r="AB646" i="12"/>
  <c r="AB647" i="12"/>
  <c r="AB648" i="12"/>
  <c r="AB649" i="12"/>
  <c r="AB650" i="12"/>
  <c r="AB651" i="12"/>
  <c r="AB652" i="12"/>
  <c r="AB653" i="12"/>
  <c r="AB654" i="12"/>
  <c r="AB655" i="12"/>
  <c r="AB656" i="12"/>
  <c r="AB657" i="12"/>
  <c r="AB658" i="12"/>
  <c r="AB659" i="12"/>
  <c r="AB660" i="12"/>
  <c r="AB661" i="12"/>
  <c r="AB662" i="12"/>
  <c r="AB663" i="12"/>
  <c r="AB664" i="12"/>
  <c r="AB665" i="12"/>
  <c r="AB666" i="12"/>
  <c r="AB667" i="12"/>
  <c r="AB668" i="12"/>
  <c r="AB669" i="12"/>
  <c r="AB670" i="12"/>
  <c r="AB671" i="12"/>
  <c r="AB672" i="12"/>
  <c r="AB673" i="12"/>
  <c r="AB674" i="12"/>
  <c r="AB675" i="12"/>
  <c r="AB676" i="12"/>
  <c r="AB677" i="12"/>
  <c r="AB678" i="12"/>
  <c r="AB679" i="12"/>
  <c r="AB680" i="12"/>
  <c r="AB681" i="12"/>
  <c r="AB682" i="12"/>
  <c r="AB683" i="12"/>
  <c r="AB684" i="12"/>
  <c r="AB685" i="12"/>
  <c r="AB686" i="12"/>
  <c r="AB687" i="12"/>
  <c r="AB688" i="12"/>
  <c r="AB689" i="12"/>
  <c r="AB690" i="12"/>
  <c r="AB691" i="12"/>
  <c r="AB692" i="12"/>
  <c r="AB693" i="12"/>
  <c r="AB694" i="12"/>
  <c r="AB695" i="12"/>
  <c r="AB696" i="12"/>
  <c r="AB697" i="12"/>
  <c r="AB698" i="12"/>
  <c r="AB699" i="12"/>
  <c r="AB700" i="12"/>
  <c r="AB701" i="12"/>
  <c r="AB702" i="12"/>
  <c r="AB703" i="12"/>
  <c r="AB704" i="12"/>
  <c r="AB705" i="12"/>
  <c r="AB706" i="12"/>
  <c r="AB707" i="12"/>
  <c r="AB708" i="12"/>
  <c r="AB709" i="12"/>
  <c r="AB710" i="12"/>
  <c r="AB711" i="12"/>
  <c r="AB712" i="12"/>
  <c r="AB713" i="12"/>
  <c r="AB714" i="12"/>
  <c r="AB715" i="12"/>
  <c r="AB716" i="12"/>
  <c r="AB717" i="12"/>
  <c r="AB718" i="12"/>
  <c r="AB719" i="12"/>
  <c r="AB720" i="12"/>
  <c r="AB721" i="12"/>
  <c r="AB722" i="12"/>
  <c r="AB723" i="12"/>
  <c r="AB724" i="12"/>
  <c r="AB725" i="12"/>
  <c r="AB726" i="12"/>
  <c r="AB727" i="12"/>
  <c r="AB728" i="12"/>
  <c r="AB729" i="12"/>
  <c r="AB730" i="12"/>
  <c r="AB731" i="12"/>
  <c r="AB732" i="12"/>
  <c r="AB733" i="12"/>
  <c r="AB734" i="12"/>
  <c r="AB735" i="12"/>
  <c r="AB736" i="12"/>
  <c r="AB737" i="12"/>
  <c r="AB738" i="12"/>
  <c r="AB739" i="12"/>
  <c r="AB740" i="12"/>
  <c r="AB741" i="12"/>
  <c r="AB742" i="12"/>
  <c r="AB743" i="12"/>
  <c r="AB744" i="12"/>
  <c r="AB745" i="12"/>
  <c r="AB746" i="12"/>
  <c r="AB747" i="12"/>
  <c r="AB748" i="12"/>
  <c r="AB749" i="12"/>
  <c r="AB750" i="12"/>
  <c r="AB751" i="12"/>
  <c r="AB752" i="12"/>
  <c r="AB753" i="12"/>
  <c r="AB754" i="12"/>
  <c r="AB755" i="12"/>
  <c r="AB756" i="12"/>
  <c r="AB757" i="12"/>
  <c r="AB758" i="12"/>
  <c r="AB759" i="12"/>
  <c r="AB760" i="12"/>
  <c r="AB761" i="12"/>
  <c r="AB762" i="12"/>
  <c r="AB763" i="12"/>
  <c r="AB764" i="12"/>
  <c r="AB765" i="12"/>
  <c r="AB766" i="12"/>
  <c r="AB767" i="12"/>
  <c r="AB768" i="12"/>
  <c r="AB769" i="12"/>
  <c r="AB770" i="12"/>
  <c r="AB771" i="12"/>
  <c r="AB772" i="12"/>
  <c r="AB773" i="12"/>
  <c r="AB774" i="12"/>
  <c r="AB775" i="12"/>
  <c r="AB3" i="12"/>
  <c r="Y4"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9" i="12"/>
  <c r="Y110" i="12"/>
  <c r="Y111"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Y301" i="12"/>
  <c r="Y302" i="12"/>
  <c r="Y303" i="12"/>
  <c r="Y304" i="12"/>
  <c r="Y305" i="12"/>
  <c r="Y306" i="12"/>
  <c r="Y307" i="12"/>
  <c r="Y308" i="12"/>
  <c r="Y309" i="12"/>
  <c r="Y310" i="12"/>
  <c r="Y311" i="12"/>
  <c r="Y312" i="12"/>
  <c r="Y313" i="12"/>
  <c r="Y314" i="12"/>
  <c r="Y315" i="12"/>
  <c r="Y316" i="12"/>
  <c r="Y317" i="12"/>
  <c r="Y318" i="12"/>
  <c r="Y319" i="12"/>
  <c r="Y320" i="12"/>
  <c r="Y321" i="12"/>
  <c r="Y322" i="12"/>
  <c r="Y323" i="12"/>
  <c r="Y324" i="12"/>
  <c r="Y325" i="12"/>
  <c r="Y326" i="12"/>
  <c r="Y327" i="12"/>
  <c r="Y328" i="12"/>
  <c r="Y329" i="12"/>
  <c r="Y330" i="12"/>
  <c r="Y331" i="12"/>
  <c r="Y332" i="12"/>
  <c r="Y333" i="12"/>
  <c r="Y334" i="12"/>
  <c r="Y335" i="12"/>
  <c r="Y336" i="12"/>
  <c r="Y337" i="12"/>
  <c r="Y338" i="12"/>
  <c r="Y339" i="12"/>
  <c r="Y340" i="12"/>
  <c r="Y341" i="12"/>
  <c r="Y342" i="12"/>
  <c r="Y343" i="12"/>
  <c r="Y344" i="12"/>
  <c r="Y345" i="12"/>
  <c r="Y346" i="12"/>
  <c r="Y347" i="12"/>
  <c r="Y348" i="12"/>
  <c r="Y349" i="12"/>
  <c r="Y350" i="12"/>
  <c r="Y351" i="12"/>
  <c r="Y352" i="12"/>
  <c r="Y353" i="12"/>
  <c r="Y354" i="12"/>
  <c r="Y355" i="12"/>
  <c r="Y356" i="12"/>
  <c r="Y357" i="12"/>
  <c r="Y358" i="12"/>
  <c r="Y359" i="12"/>
  <c r="Y360" i="12"/>
  <c r="Y361" i="12"/>
  <c r="Y362" i="12"/>
  <c r="Y363" i="12"/>
  <c r="Y364" i="12"/>
  <c r="Y365" i="12"/>
  <c r="Y366" i="12"/>
  <c r="Y367" i="12"/>
  <c r="Y369" i="12"/>
  <c r="Y370" i="12"/>
  <c r="Y371" i="12"/>
  <c r="Y373" i="12"/>
  <c r="Y374" i="12"/>
  <c r="Y375" i="12"/>
  <c r="Y376" i="12"/>
  <c r="Y377" i="12"/>
  <c r="Y378" i="12"/>
  <c r="Y379" i="12"/>
  <c r="Y380" i="12"/>
  <c r="Y381" i="12"/>
  <c r="Y382" i="12"/>
  <c r="Y383" i="12"/>
  <c r="Y384" i="12"/>
  <c r="Y385" i="12"/>
  <c r="Y386" i="12"/>
  <c r="Y387" i="12"/>
  <c r="Y388" i="12"/>
  <c r="Y389" i="12"/>
  <c r="Y390" i="12"/>
  <c r="Y391" i="12"/>
  <c r="Y392" i="12"/>
  <c r="Y393" i="12"/>
  <c r="Y394" i="12"/>
  <c r="Y395" i="12"/>
  <c r="Y396" i="12"/>
  <c r="Y397" i="12"/>
  <c r="Y398" i="12"/>
  <c r="Y399" i="12"/>
  <c r="Y400" i="12"/>
  <c r="Y401" i="12"/>
  <c r="Y402" i="12"/>
  <c r="Y403" i="12"/>
  <c r="Y404" i="12"/>
  <c r="Y405" i="12"/>
  <c r="Y406" i="12"/>
  <c r="Y407" i="12"/>
  <c r="Y408" i="12"/>
  <c r="Y409" i="12"/>
  <c r="Y410" i="12"/>
  <c r="Y411" i="12"/>
  <c r="Y412" i="12"/>
  <c r="Y413" i="12"/>
  <c r="Y414" i="12"/>
  <c r="Y415" i="12"/>
  <c r="Y416" i="12"/>
  <c r="Y417" i="12"/>
  <c r="Y418" i="12"/>
  <c r="Y419" i="12"/>
  <c r="Y420" i="12"/>
  <c r="Y421" i="12"/>
  <c r="Y422" i="12"/>
  <c r="Y423" i="12"/>
  <c r="Y424" i="12"/>
  <c r="Y425" i="12"/>
  <c r="Y426" i="12"/>
  <c r="Y427" i="12"/>
  <c r="Y428" i="12"/>
  <c r="Y429" i="12"/>
  <c r="Y430" i="12"/>
  <c r="Y431" i="12"/>
  <c r="Y432" i="12"/>
  <c r="Y433" i="12"/>
  <c r="Y434" i="12"/>
  <c r="Y435" i="12"/>
  <c r="Y436" i="12"/>
  <c r="Y437" i="12"/>
  <c r="Y438" i="12"/>
  <c r="Y439" i="12"/>
  <c r="Y440" i="12"/>
  <c r="Y441" i="12"/>
  <c r="Y442" i="12"/>
  <c r="Y443" i="12"/>
  <c r="Y444" i="12"/>
  <c r="Y445" i="12"/>
  <c r="Y446" i="12"/>
  <c r="Y447" i="12"/>
  <c r="Y448" i="12"/>
  <c r="Y449" i="12"/>
  <c r="Y450" i="12"/>
  <c r="Y451" i="12"/>
  <c r="Y452" i="12"/>
  <c r="Y453" i="12"/>
  <c r="Y454" i="12"/>
  <c r="Y455" i="12"/>
  <c r="Y456" i="12"/>
  <c r="Y457" i="12"/>
  <c r="Y458" i="12"/>
  <c r="Y459" i="12"/>
  <c r="Y460" i="12"/>
  <c r="Y461" i="12"/>
  <c r="Y462" i="12"/>
  <c r="Y463" i="12"/>
  <c r="Y464" i="12"/>
  <c r="Y465" i="12"/>
  <c r="Y466" i="12"/>
  <c r="Y467" i="12"/>
  <c r="Y468" i="12"/>
  <c r="Y469" i="12"/>
  <c r="Y470" i="12"/>
  <c r="Y471" i="12"/>
  <c r="Y472" i="12"/>
  <c r="Y473" i="12"/>
  <c r="Y474" i="12"/>
  <c r="Y475" i="12"/>
  <c r="Y476" i="12"/>
  <c r="Y477" i="12"/>
  <c r="Y478" i="12"/>
  <c r="Y479" i="12"/>
  <c r="Y480" i="12"/>
  <c r="Y481" i="12"/>
  <c r="Y482" i="12"/>
  <c r="Y483" i="12"/>
  <c r="Y484" i="12"/>
  <c r="Y485" i="12"/>
  <c r="Y486" i="12"/>
  <c r="Y487" i="12"/>
  <c r="Y488" i="12"/>
  <c r="Y489" i="12"/>
  <c r="Y490" i="12"/>
  <c r="Y491" i="12"/>
  <c r="Y492" i="12"/>
  <c r="Y493" i="12"/>
  <c r="Y494" i="12"/>
  <c r="Y495" i="12"/>
  <c r="Y496" i="12"/>
  <c r="Y497" i="12"/>
  <c r="Y498" i="12"/>
  <c r="Y499" i="12"/>
  <c r="Y500" i="12"/>
  <c r="Y501" i="12"/>
  <c r="Y502" i="12"/>
  <c r="Y503" i="12"/>
  <c r="Y504" i="12"/>
  <c r="Y505" i="12"/>
  <c r="Y506" i="12"/>
  <c r="Y507" i="12"/>
  <c r="Y508" i="12"/>
  <c r="Y509" i="12"/>
  <c r="Y510" i="12"/>
  <c r="Y511" i="12"/>
  <c r="Y512" i="12"/>
  <c r="Y513" i="12"/>
  <c r="Y514" i="12"/>
  <c r="Y515" i="12"/>
  <c r="Y516" i="12"/>
  <c r="Y517" i="12"/>
  <c r="Y518" i="12"/>
  <c r="Y519" i="12"/>
  <c r="Y520" i="12"/>
  <c r="Y521" i="12"/>
  <c r="Y522" i="12"/>
  <c r="Y523" i="12"/>
  <c r="Y524" i="12"/>
  <c r="Y525" i="12"/>
  <c r="Y526" i="12"/>
  <c r="Y527" i="12"/>
  <c r="Y528" i="12"/>
  <c r="Y529" i="12"/>
  <c r="Y530" i="12"/>
  <c r="Y531" i="12"/>
  <c r="Y532" i="12"/>
  <c r="Y533" i="12"/>
  <c r="Y534" i="12"/>
  <c r="Y535" i="12"/>
  <c r="Y536" i="12"/>
  <c r="Y537" i="12"/>
  <c r="Y538" i="12"/>
  <c r="Y539" i="12"/>
  <c r="Y540" i="12"/>
  <c r="Y541" i="12"/>
  <c r="Y542" i="12"/>
  <c r="Y543" i="12"/>
  <c r="Y544" i="12"/>
  <c r="Y545" i="12"/>
  <c r="Y546" i="12"/>
  <c r="Y547" i="12"/>
  <c r="Y548" i="12"/>
  <c r="Y549" i="12"/>
  <c r="Y550" i="12"/>
  <c r="Y551" i="12"/>
  <c r="Y552" i="12"/>
  <c r="Y553" i="12"/>
  <c r="Y554" i="12"/>
  <c r="Y555" i="12"/>
  <c r="Y556" i="12"/>
  <c r="Y557" i="12"/>
  <c r="Y558" i="12"/>
  <c r="Y559" i="12"/>
  <c r="Y560" i="12"/>
  <c r="Y561" i="12"/>
  <c r="Y562" i="12"/>
  <c r="Y563" i="12"/>
  <c r="Y564" i="12"/>
  <c r="Y565" i="12"/>
  <c r="Y566" i="12"/>
  <c r="Y567" i="12"/>
  <c r="Y568" i="12"/>
  <c r="Y569" i="12"/>
  <c r="Y570" i="12"/>
  <c r="Y571" i="12"/>
  <c r="Y572" i="12"/>
  <c r="Y573" i="12"/>
  <c r="Y574" i="12"/>
  <c r="Y575" i="12"/>
  <c r="Y576" i="12"/>
  <c r="Y577" i="12"/>
  <c r="Y578" i="12"/>
  <c r="Y579" i="12"/>
  <c r="Y580" i="12"/>
  <c r="Y581" i="12"/>
  <c r="Y582" i="12"/>
  <c r="Y583" i="12"/>
  <c r="Y584" i="12"/>
  <c r="Y585" i="12"/>
  <c r="Y586" i="12"/>
  <c r="Y587" i="12"/>
  <c r="Y588" i="12"/>
  <c r="Y589" i="12"/>
  <c r="Y590" i="12"/>
  <c r="Y591" i="12"/>
  <c r="Y592" i="12"/>
  <c r="Y593" i="12"/>
  <c r="Y594" i="12"/>
  <c r="Y595" i="12"/>
  <c r="Y596" i="12"/>
  <c r="Y597" i="12"/>
  <c r="Y598" i="12"/>
  <c r="Y599" i="12"/>
  <c r="Y600" i="12"/>
  <c r="Y601" i="12"/>
  <c r="Y602" i="12"/>
  <c r="Y603" i="12"/>
  <c r="Y604" i="12"/>
  <c r="Y605" i="12"/>
  <c r="Y606" i="12"/>
  <c r="Y607" i="12"/>
  <c r="Y608" i="12"/>
  <c r="Y609" i="12"/>
  <c r="Y610" i="12"/>
  <c r="Y611" i="12"/>
  <c r="Y612" i="12"/>
  <c r="Y613" i="12"/>
  <c r="Y614" i="12"/>
  <c r="Y615" i="12"/>
  <c r="Y616" i="12"/>
  <c r="Y617" i="12"/>
  <c r="Y618" i="12"/>
  <c r="Y619" i="12"/>
  <c r="Y620" i="12"/>
  <c r="Y621" i="12"/>
  <c r="Y622" i="12"/>
  <c r="Y623" i="12"/>
  <c r="Y624" i="12"/>
  <c r="Y625" i="12"/>
  <c r="Y626" i="12"/>
  <c r="Y627" i="12"/>
  <c r="Y628" i="12"/>
  <c r="Y629" i="12"/>
  <c r="Y630" i="12"/>
  <c r="Y631" i="12"/>
  <c r="Y632" i="12"/>
  <c r="Y633" i="12"/>
  <c r="Y634" i="12"/>
  <c r="Y635" i="12"/>
  <c r="Y636" i="12"/>
  <c r="Y637" i="12"/>
  <c r="Y638" i="12"/>
  <c r="Y639" i="12"/>
  <c r="Y640" i="12"/>
  <c r="Y641" i="12"/>
  <c r="Y642" i="12"/>
  <c r="Y643" i="12"/>
  <c r="Y644" i="12"/>
  <c r="Y645" i="12"/>
  <c r="Y646" i="12"/>
  <c r="Y647" i="12"/>
  <c r="Y648" i="12"/>
  <c r="Y649" i="12"/>
  <c r="Y650" i="12"/>
  <c r="Y651" i="12"/>
  <c r="Y652" i="12"/>
  <c r="Y653" i="12"/>
  <c r="Y654" i="12"/>
  <c r="Y655" i="12"/>
  <c r="Y656" i="12"/>
  <c r="Y657" i="12"/>
  <c r="Y658" i="12"/>
  <c r="Y659" i="12"/>
  <c r="Y661" i="12"/>
  <c r="Y662" i="12"/>
  <c r="Y663" i="12"/>
  <c r="Y665" i="12"/>
  <c r="Y666" i="12"/>
  <c r="Y667" i="12"/>
  <c r="Y669" i="12"/>
  <c r="Y670" i="12"/>
  <c r="Y671" i="12"/>
  <c r="Y673" i="12"/>
  <c r="Y674" i="12"/>
  <c r="Y675" i="12"/>
  <c r="Y676" i="12"/>
  <c r="Y677" i="12"/>
  <c r="Y678" i="12"/>
  <c r="Y679" i="12"/>
  <c r="Y681" i="12"/>
  <c r="Y682" i="12"/>
  <c r="Y683" i="12"/>
  <c r="Y684" i="12"/>
  <c r="Y685" i="12"/>
  <c r="Y686" i="12"/>
  <c r="Y687" i="12"/>
  <c r="Y688" i="12"/>
  <c r="Y689" i="12"/>
  <c r="Y690" i="12"/>
  <c r="Y691" i="12"/>
  <c r="Y692" i="12"/>
  <c r="Y693" i="12"/>
  <c r="Y694" i="12"/>
  <c r="Y695" i="12"/>
  <c r="Y696" i="12"/>
  <c r="Y697" i="12"/>
  <c r="Y698" i="12"/>
  <c r="Y699" i="12"/>
  <c r="Y700" i="12"/>
  <c r="Y701" i="12"/>
  <c r="Y702" i="12"/>
  <c r="Y703" i="12"/>
  <c r="Y704" i="12"/>
  <c r="Y705" i="12"/>
  <c r="Y706" i="12"/>
  <c r="Y707" i="12"/>
  <c r="Y708" i="12"/>
  <c r="Y709" i="12"/>
  <c r="Y710" i="12"/>
  <c r="Y711" i="12"/>
  <c r="Y712" i="12"/>
  <c r="Y713" i="12"/>
  <c r="Y714" i="12"/>
  <c r="Y715" i="12"/>
  <c r="Y716" i="12"/>
  <c r="Y717" i="12"/>
  <c r="Y718" i="12"/>
  <c r="Y719" i="12"/>
  <c r="Y720" i="12"/>
  <c r="Y721" i="12"/>
  <c r="Y722" i="12"/>
  <c r="Y723" i="12"/>
  <c r="Y724" i="12"/>
  <c r="Y725" i="12"/>
  <c r="Y726" i="12"/>
  <c r="Y727" i="12"/>
  <c r="Y728" i="12"/>
  <c r="Y729" i="12"/>
  <c r="Y730" i="12"/>
  <c r="Y731" i="12"/>
  <c r="Y732" i="12"/>
  <c r="Y733" i="12"/>
  <c r="Y734" i="12"/>
  <c r="Y735" i="12"/>
  <c r="Y736" i="12"/>
  <c r="Y737" i="12"/>
  <c r="Y738" i="12"/>
  <c r="Y739" i="12"/>
  <c r="Y740" i="12"/>
  <c r="Y741" i="12"/>
  <c r="Y742" i="12"/>
  <c r="Y743" i="12"/>
  <c r="Y744" i="12"/>
  <c r="Y745" i="12"/>
  <c r="Y746" i="12"/>
  <c r="Y747" i="12"/>
  <c r="Y748" i="12"/>
  <c r="Y749" i="12"/>
  <c r="Y750" i="12"/>
  <c r="Y751" i="12"/>
  <c r="Y752" i="12"/>
  <c r="Y753" i="12"/>
  <c r="Y754" i="12"/>
  <c r="Y755" i="12"/>
  <c r="Y756" i="12"/>
  <c r="Y757" i="12"/>
  <c r="Y758" i="12"/>
  <c r="Y759" i="12"/>
  <c r="Y760" i="12"/>
  <c r="Y761" i="12"/>
  <c r="Y762" i="12"/>
  <c r="Y763" i="12"/>
  <c r="Y764" i="12"/>
  <c r="Y765" i="12"/>
  <c r="Y766" i="12"/>
  <c r="Y767" i="12"/>
  <c r="Y768" i="12"/>
  <c r="Y769" i="12"/>
  <c r="Y770" i="12"/>
  <c r="Y771" i="12"/>
  <c r="Y772" i="12"/>
  <c r="Y773" i="12"/>
  <c r="Y774" i="12"/>
  <c r="Y775" i="12"/>
  <c r="Y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A499" i="12"/>
  <c r="A500" i="12"/>
  <c r="A501" i="12"/>
  <c r="A502" i="12"/>
  <c r="A503" i="12"/>
  <c r="A504" i="12"/>
  <c r="A505" i="12"/>
  <c r="A506" i="12"/>
  <c r="A507" i="12"/>
  <c r="A508" i="12"/>
  <c r="A509" i="12"/>
  <c r="A510" i="12"/>
  <c r="A511" i="12"/>
  <c r="A512" i="12"/>
  <c r="A513" i="12"/>
  <c r="A514" i="12"/>
  <c r="A515" i="12"/>
  <c r="A516" i="12"/>
  <c r="A517" i="12"/>
  <c r="A518" i="12"/>
  <c r="A519" i="12"/>
  <c r="A520" i="12"/>
  <c r="A521" i="12"/>
  <c r="A522" i="12"/>
  <c r="A523" i="12"/>
  <c r="A524" i="12"/>
  <c r="A525" i="12"/>
  <c r="A526" i="12"/>
  <c r="A527" i="12"/>
  <c r="A528" i="12"/>
  <c r="A529" i="12"/>
  <c r="A530" i="12"/>
  <c r="A531" i="12"/>
  <c r="A532" i="12"/>
  <c r="A533" i="12"/>
  <c r="A534" i="12"/>
  <c r="A535" i="12"/>
  <c r="A536" i="12"/>
  <c r="A537" i="12"/>
  <c r="A538" i="12"/>
  <c r="A539" i="12"/>
  <c r="A540" i="12"/>
  <c r="A541" i="12"/>
  <c r="A542" i="12"/>
  <c r="A543" i="12"/>
  <c r="A544" i="12"/>
  <c r="A545" i="12"/>
  <c r="A546" i="12"/>
  <c r="A547" i="12"/>
  <c r="A548" i="12"/>
  <c r="A549" i="12"/>
  <c r="A550" i="12"/>
  <c r="A551" i="12"/>
  <c r="A552" i="12"/>
  <c r="A553" i="12"/>
  <c r="A554" i="12"/>
  <c r="A555" i="12"/>
  <c r="A556" i="12"/>
  <c r="A557" i="12"/>
  <c r="A558" i="12"/>
  <c r="A559" i="12"/>
  <c r="A560" i="12"/>
  <c r="A561" i="12"/>
  <c r="A562" i="12"/>
  <c r="A563" i="12"/>
  <c r="A564" i="12"/>
  <c r="A565" i="12"/>
  <c r="A566" i="12"/>
  <c r="A567" i="12"/>
  <c r="A568" i="12"/>
  <c r="A569" i="12"/>
  <c r="A570" i="12"/>
  <c r="A571" i="12"/>
  <c r="A572" i="12"/>
  <c r="A573" i="12"/>
  <c r="A574" i="12"/>
  <c r="A575" i="12"/>
  <c r="A576" i="12"/>
  <c r="A577" i="12"/>
  <c r="A578" i="12"/>
  <c r="A579" i="12"/>
  <c r="A580" i="12"/>
  <c r="A581" i="12"/>
  <c r="A582" i="12"/>
  <c r="A583" i="12"/>
  <c r="A584" i="12"/>
  <c r="A585" i="12"/>
  <c r="A586" i="12"/>
  <c r="A587" i="12"/>
  <c r="A588" i="12"/>
  <c r="A589" i="12"/>
  <c r="A590" i="12"/>
  <c r="A591" i="12"/>
  <c r="A592" i="12"/>
  <c r="A593" i="12"/>
  <c r="A594" i="12"/>
  <c r="A595" i="12"/>
  <c r="A596" i="12"/>
  <c r="A597" i="12"/>
  <c r="A598" i="12"/>
  <c r="A599" i="12"/>
  <c r="A600" i="12"/>
  <c r="A601" i="12"/>
  <c r="A602" i="12"/>
  <c r="A603" i="12"/>
  <c r="A604" i="12"/>
  <c r="A605" i="12"/>
  <c r="A606" i="12"/>
  <c r="A607" i="12"/>
  <c r="A608" i="12"/>
  <c r="A609" i="12"/>
  <c r="A610" i="12"/>
  <c r="A611" i="12"/>
  <c r="A612" i="12"/>
  <c r="A613" i="12"/>
  <c r="A614" i="12"/>
  <c r="A615" i="12"/>
  <c r="A616" i="12"/>
  <c r="A617" i="12"/>
  <c r="A618" i="12"/>
  <c r="A619" i="12"/>
  <c r="A620" i="12"/>
  <c r="A621" i="12"/>
  <c r="A622" i="12"/>
  <c r="A623" i="12"/>
  <c r="A624" i="12"/>
  <c r="A625" i="12"/>
  <c r="A626" i="12"/>
  <c r="A627" i="12"/>
  <c r="A628" i="12"/>
  <c r="A629" i="12"/>
  <c r="A630" i="12"/>
  <c r="A631" i="12"/>
  <c r="A632" i="12"/>
  <c r="A633" i="12"/>
  <c r="A634" i="12"/>
  <c r="A635" i="12"/>
  <c r="A636" i="12"/>
  <c r="A637" i="12"/>
  <c r="A638" i="12"/>
  <c r="A639" i="12"/>
  <c r="A640" i="12"/>
  <c r="A641" i="12"/>
  <c r="A642" i="12"/>
  <c r="A643" i="12"/>
  <c r="A644" i="12"/>
  <c r="A645" i="12"/>
  <c r="A646" i="12"/>
  <c r="A647" i="12"/>
  <c r="A648" i="12"/>
  <c r="A649" i="12"/>
  <c r="A650" i="12"/>
  <c r="A651" i="12"/>
  <c r="A652" i="12"/>
  <c r="A653" i="12"/>
  <c r="A654" i="12"/>
  <c r="A655" i="12"/>
  <c r="A656" i="12"/>
  <c r="A657" i="12"/>
  <c r="A658" i="12"/>
  <c r="A659" i="12"/>
  <c r="A660" i="12"/>
  <c r="A661" i="12"/>
  <c r="A662" i="12"/>
  <c r="A663" i="12"/>
  <c r="A664" i="12"/>
  <c r="A665" i="12"/>
  <c r="A666" i="12"/>
  <c r="A667" i="12"/>
  <c r="A668" i="12"/>
  <c r="A669" i="12"/>
  <c r="A670" i="12"/>
  <c r="A671" i="12"/>
  <c r="A672" i="12"/>
  <c r="A673" i="12"/>
  <c r="A674" i="12"/>
  <c r="A675" i="12"/>
  <c r="A676" i="12"/>
  <c r="A677" i="12"/>
  <c r="A678" i="12"/>
  <c r="A679" i="12"/>
  <c r="A680" i="12"/>
  <c r="A681" i="12"/>
  <c r="A682" i="12"/>
  <c r="A683" i="12"/>
  <c r="A684" i="12"/>
  <c r="A685" i="12"/>
  <c r="A686" i="12"/>
  <c r="A687" i="12"/>
  <c r="A688" i="12"/>
  <c r="A689" i="12"/>
  <c r="A690" i="12"/>
  <c r="A691" i="12"/>
  <c r="A692" i="12"/>
  <c r="A693" i="12"/>
  <c r="A694" i="12"/>
  <c r="A695" i="12"/>
  <c r="A696"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3" i="12"/>
  <c r="AB99" i="11"/>
  <c r="AB98" i="11"/>
  <c r="AB97" i="11"/>
  <c r="AB96" i="11"/>
  <c r="AB95" i="11"/>
  <c r="AB94" i="11"/>
  <c r="AB16" i="11"/>
  <c r="AB15" i="11"/>
  <c r="AB14" i="11"/>
  <c r="AB13" i="11"/>
  <c r="AB12" i="11"/>
  <c r="Y193" i="11"/>
  <c r="Y192" i="11"/>
  <c r="Y191" i="11"/>
  <c r="Y190" i="11"/>
  <c r="Y189" i="11"/>
  <c r="Y186" i="11"/>
  <c r="Y185" i="11"/>
  <c r="Y184" i="11"/>
  <c r="Y183" i="11"/>
  <c r="Y182" i="11"/>
  <c r="Y179" i="11"/>
  <c r="Y178" i="11"/>
  <c r="Y177" i="11"/>
  <c r="Y176" i="11"/>
  <c r="Y175" i="11"/>
  <c r="Y172" i="11"/>
  <c r="Y171" i="11"/>
  <c r="Y170" i="11"/>
  <c r="Y169" i="11"/>
  <c r="Y168" i="11"/>
  <c r="Y165" i="11"/>
  <c r="Y164" i="11"/>
  <c r="Y163" i="11"/>
  <c r="Y162" i="11"/>
  <c r="Y161" i="11"/>
  <c r="Y158" i="11"/>
  <c r="Y157" i="11"/>
  <c r="Y156" i="11"/>
  <c r="Y155" i="11"/>
  <c r="Y154" i="11"/>
  <c r="Y151" i="11"/>
  <c r="Y150" i="11"/>
  <c r="Y149" i="11"/>
  <c r="Y148" i="11"/>
  <c r="Y147" i="11"/>
  <c r="Y146" i="11"/>
  <c r="Y145" i="11"/>
  <c r="Y144" i="11"/>
  <c r="Y143" i="11"/>
  <c r="Y140" i="11"/>
  <c r="Y139" i="11"/>
  <c r="Y138" i="11"/>
  <c r="Y137" i="11"/>
  <c r="Y136" i="11"/>
  <c r="Y133" i="11"/>
  <c r="Y132" i="11"/>
  <c r="Y131" i="11"/>
  <c r="Y130" i="11"/>
  <c r="Y129" i="11"/>
  <c r="Y126" i="11"/>
  <c r="Y125" i="11"/>
  <c r="Y124" i="11"/>
  <c r="Y123" i="11"/>
  <c r="Y122" i="11"/>
  <c r="Y119" i="11"/>
  <c r="Y118" i="11"/>
  <c r="Y117" i="11"/>
  <c r="Y116" i="11"/>
  <c r="Y115" i="11"/>
  <c r="Y112" i="11"/>
  <c r="Y111" i="11"/>
  <c r="Y110" i="11"/>
  <c r="Y109" i="11"/>
  <c r="Y108" i="11"/>
  <c r="Y105" i="11"/>
  <c r="Y104" i="11"/>
  <c r="Y103" i="11"/>
  <c r="Y102" i="11"/>
  <c r="Y101" i="11"/>
  <c r="Y99" i="11"/>
  <c r="Y98" i="11"/>
  <c r="Y97" i="11"/>
  <c r="Y96" i="11"/>
  <c r="Y95" i="11"/>
  <c r="Y94" i="11"/>
  <c r="Y93" i="11"/>
  <c r="Y92" i="11"/>
  <c r="Y91" i="11"/>
  <c r="Y90" i="11"/>
  <c r="Y89"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48" i="11"/>
  <c r="Y47" i="11"/>
  <c r="Y46" i="11"/>
  <c r="Y45" i="11"/>
  <c r="Y44" i="11"/>
  <c r="Y43" i="11"/>
  <c r="Y42" i="11"/>
  <c r="Y41" i="11"/>
  <c r="Y40" i="11"/>
  <c r="Y39" i="11"/>
  <c r="Y38" i="11"/>
  <c r="Y37" i="11"/>
  <c r="Y36" i="11"/>
  <c r="Y35" i="11"/>
  <c r="Y34" i="11"/>
  <c r="Y33" i="11"/>
  <c r="Y32" i="11"/>
  <c r="Y31" i="11"/>
  <c r="Y30" i="11"/>
  <c r="Y29" i="11"/>
  <c r="Y28" i="11"/>
  <c r="Y27" i="11"/>
  <c r="Y26" i="11"/>
  <c r="Y25" i="11"/>
  <c r="Y24" i="11"/>
  <c r="Y23" i="11"/>
  <c r="Y22" i="11"/>
  <c r="Y21" i="11"/>
  <c r="Y20" i="11"/>
  <c r="Y19" i="11"/>
  <c r="Y18" i="11"/>
  <c r="Y17" i="11"/>
  <c r="Y16" i="11"/>
  <c r="Y15" i="11"/>
  <c r="Y14" i="11"/>
  <c r="Y13" i="11"/>
  <c r="Y12" i="11"/>
  <c r="Y11" i="11"/>
  <c r="Y10" i="11"/>
  <c r="Y8" i="11"/>
  <c r="Y7" i="11"/>
  <c r="Y6" i="11"/>
  <c r="Y5" i="11"/>
  <c r="Y4" i="11"/>
  <c r="Y3" i="11"/>
  <c r="V4" i="11"/>
  <c r="V5" i="11"/>
  <c r="V6" i="11"/>
  <c r="V7" i="11"/>
  <c r="V8" i="11"/>
  <c r="V9" i="11"/>
  <c r="V10" i="11"/>
  <c r="V11" i="11"/>
  <c r="V12" i="11"/>
  <c r="V13" i="11"/>
  <c r="V14" i="11"/>
  <c r="V15" i="11"/>
  <c r="V16" i="11"/>
  <c r="V17" i="11"/>
  <c r="V18" i="11"/>
  <c r="V19" i="11"/>
  <c r="V20" i="11"/>
  <c r="V21" i="11"/>
  <c r="V22" i="11"/>
  <c r="V23" i="11"/>
  <c r="V24" i="11"/>
  <c r="V25" i="11"/>
  <c r="V26" i="11"/>
  <c r="V27" i="11"/>
  <c r="V28" i="11"/>
  <c r="V29" i="11"/>
  <c r="V30" i="11"/>
  <c r="V31" i="11"/>
  <c r="V32" i="11"/>
  <c r="V33" i="11"/>
  <c r="V34" i="11"/>
  <c r="V35" i="11"/>
  <c r="V36" i="11"/>
  <c r="V37" i="11"/>
  <c r="V38" i="11"/>
  <c r="V39" i="11"/>
  <c r="V40" i="11"/>
  <c r="V41" i="11"/>
  <c r="V42" i="11"/>
  <c r="V43" i="11"/>
  <c r="V44" i="11"/>
  <c r="V45" i="11"/>
  <c r="V46" i="11"/>
  <c r="V47" i="11"/>
  <c r="V48" i="11"/>
  <c r="V49" i="11"/>
  <c r="V50" i="11"/>
  <c r="V51" i="11"/>
  <c r="V52" i="11"/>
  <c r="V53" i="11"/>
  <c r="V54" i="11"/>
  <c r="V55" i="11"/>
  <c r="V56" i="11"/>
  <c r="V57" i="11"/>
  <c r="V58" i="11"/>
  <c r="V59" i="11"/>
  <c r="V60" i="11"/>
  <c r="V61" i="11"/>
  <c r="V62" i="11"/>
  <c r="V63" i="11"/>
  <c r="V64" i="11"/>
  <c r="V65" i="11"/>
  <c r="V66" i="11"/>
  <c r="V67" i="11"/>
  <c r="V68" i="11"/>
  <c r="V69" i="11"/>
  <c r="V70" i="11"/>
  <c r="V71" i="11"/>
  <c r="V72" i="11"/>
  <c r="V73" i="11"/>
  <c r="V74" i="11"/>
  <c r="V75" i="11"/>
  <c r="V76" i="11"/>
  <c r="V77" i="11"/>
  <c r="V78" i="11"/>
  <c r="V79" i="11"/>
  <c r="V80" i="11"/>
  <c r="V81" i="11"/>
  <c r="V82" i="11"/>
  <c r="V83" i="11"/>
  <c r="V84" i="11"/>
  <c r="V85" i="11"/>
  <c r="V86" i="11"/>
  <c r="V87" i="11"/>
  <c r="V88" i="11"/>
  <c r="V89" i="11"/>
  <c r="V90" i="11"/>
  <c r="V91" i="11"/>
  <c r="V92" i="11"/>
  <c r="V93" i="11"/>
  <c r="V94" i="11"/>
  <c r="V95" i="11"/>
  <c r="V96" i="11"/>
  <c r="V97" i="11"/>
  <c r="V98" i="11"/>
  <c r="V99" i="11"/>
  <c r="V100" i="11"/>
  <c r="V101" i="11"/>
  <c r="V102" i="11"/>
  <c r="V103" i="11"/>
  <c r="V104" i="11"/>
  <c r="V105" i="11"/>
  <c r="V106" i="11"/>
  <c r="V107" i="11"/>
  <c r="V108" i="11"/>
  <c r="V109" i="11"/>
  <c r="V110" i="11"/>
  <c r="V111" i="11"/>
  <c r="V112" i="11"/>
  <c r="V113" i="11"/>
  <c r="V114" i="11"/>
  <c r="V115" i="11"/>
  <c r="V116" i="11"/>
  <c r="V117" i="11"/>
  <c r="V118" i="11"/>
  <c r="V119" i="11"/>
  <c r="V120" i="11"/>
  <c r="V121" i="11"/>
  <c r="V122" i="11"/>
  <c r="V123" i="11"/>
  <c r="V124" i="11"/>
  <c r="V125" i="11"/>
  <c r="V126" i="11"/>
  <c r="V127" i="11"/>
  <c r="V128" i="11"/>
  <c r="V129" i="11"/>
  <c r="V130" i="11"/>
  <c r="V131" i="11"/>
  <c r="V132" i="11"/>
  <c r="V133" i="11"/>
  <c r="V134" i="11"/>
  <c r="V135" i="11"/>
  <c r="V136" i="11"/>
  <c r="V137" i="11"/>
  <c r="V138" i="11"/>
  <c r="V139" i="11"/>
  <c r="V140" i="11"/>
  <c r="V141" i="11"/>
  <c r="V142" i="11"/>
  <c r="V143" i="11"/>
  <c r="V144" i="11"/>
  <c r="V145" i="11"/>
  <c r="V146" i="11"/>
  <c r="V147" i="11"/>
  <c r="V148" i="11"/>
  <c r="V149" i="11"/>
  <c r="V150" i="11"/>
  <c r="V151" i="11"/>
  <c r="V152" i="11"/>
  <c r="V153" i="11"/>
  <c r="V154" i="11"/>
  <c r="V155" i="11"/>
  <c r="V156" i="11"/>
  <c r="V157" i="11"/>
  <c r="V158" i="11"/>
  <c r="V159" i="11"/>
  <c r="V160" i="11"/>
  <c r="V161" i="11"/>
  <c r="V162" i="11"/>
  <c r="V163" i="11"/>
  <c r="V164" i="11"/>
  <c r="V165" i="11"/>
  <c r="V166" i="11"/>
  <c r="V167" i="11"/>
  <c r="V168" i="11"/>
  <c r="V169" i="11"/>
  <c r="V170" i="11"/>
  <c r="V171" i="11"/>
  <c r="V172" i="11"/>
  <c r="V173" i="11"/>
  <c r="V174" i="11"/>
  <c r="V175" i="11"/>
  <c r="V176" i="11"/>
  <c r="V177" i="11"/>
  <c r="V178" i="11"/>
  <c r="V179" i="11"/>
  <c r="V180" i="11"/>
  <c r="V181" i="11"/>
  <c r="V182" i="11"/>
  <c r="V183" i="11"/>
  <c r="V184" i="11"/>
  <c r="V185" i="11"/>
  <c r="V186" i="11"/>
  <c r="V187" i="11"/>
  <c r="V188" i="11"/>
  <c r="V189" i="11"/>
  <c r="V190" i="11"/>
  <c r="V191" i="11"/>
  <c r="V192" i="11"/>
  <c r="V193" i="11"/>
  <c r="V194" i="11"/>
  <c r="V198" i="11"/>
  <c r="V199" i="11"/>
  <c r="V200" i="11"/>
  <c r="V201" i="11"/>
  <c r="V202" i="11"/>
  <c r="V206" i="11"/>
  <c r="V207" i="11"/>
  <c r="V208" i="11"/>
  <c r="V209" i="11"/>
  <c r="V210" i="11"/>
  <c r="V211" i="11"/>
  <c r="V212" i="11"/>
  <c r="V213" i="11"/>
  <c r="V214" i="11"/>
  <c r="V215" i="11"/>
  <c r="V216" i="11"/>
  <c r="V221" i="11"/>
  <c r="V222" i="11"/>
  <c r="V223" i="11"/>
  <c r="V224" i="11"/>
  <c r="V225" i="11"/>
  <c r="V226" i="11"/>
  <c r="V227" i="11"/>
  <c r="V228" i="11"/>
  <c r="V229" i="11"/>
  <c r="V3" i="11"/>
  <c r="A4" i="11" l="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3" i="11"/>
  <c r="C4" i="8" l="1"/>
  <c r="C5" i="8"/>
  <c r="C6" i="8"/>
  <c r="C7" i="8"/>
  <c r="C8" i="8"/>
  <c r="C10" i="8"/>
  <c r="C11" i="8"/>
  <c r="C12" i="8"/>
  <c r="C13" i="8"/>
  <c r="C14" i="8"/>
  <c r="C16" i="8"/>
  <c r="C17" i="8"/>
  <c r="C18" i="8"/>
  <c r="C19" i="8"/>
  <c r="C2" i="8"/>
  <c r="I82" i="7"/>
  <c r="I75" i="7"/>
  <c r="I68" i="7"/>
  <c r="I61" i="7"/>
  <c r="I58" i="7"/>
  <c r="I54" i="7"/>
  <c r="I51" i="7"/>
  <c r="I47" i="7"/>
  <c r="I40" i="7"/>
  <c r="I33" i="7"/>
  <c r="I26" i="7"/>
  <c r="I19" i="7"/>
  <c r="I16" i="7"/>
  <c r="I12" i="7"/>
  <c r="I9" i="7"/>
  <c r="I5" i="7"/>
  <c r="P102" i="6"/>
  <c r="P96" i="6"/>
  <c r="P94" i="6"/>
  <c r="P93" i="6"/>
  <c r="P92" i="6"/>
  <c r="P86" i="6"/>
  <c r="P84" i="6"/>
  <c r="P83" i="6"/>
  <c r="P82" i="6"/>
  <c r="P76" i="6"/>
  <c r="P74" i="6"/>
  <c r="P73" i="6"/>
  <c r="P72" i="6"/>
  <c r="P66" i="6"/>
  <c r="P64" i="6"/>
  <c r="P63" i="6"/>
  <c r="P62" i="6"/>
  <c r="P56" i="6"/>
  <c r="P54" i="6"/>
  <c r="P53" i="6"/>
  <c r="P52" i="6"/>
  <c r="P46" i="6"/>
  <c r="P44" i="6"/>
  <c r="P43" i="6"/>
  <c r="P42" i="6"/>
  <c r="P36" i="6"/>
  <c r="P34" i="6"/>
  <c r="P33" i="6"/>
  <c r="P32" i="6"/>
  <c r="P26" i="6"/>
  <c r="P24" i="6"/>
  <c r="P23" i="6"/>
  <c r="P22" i="6"/>
  <c r="P16" i="6"/>
  <c r="P14" i="6"/>
  <c r="P13" i="6"/>
  <c r="P12" i="6"/>
  <c r="P6" i="6"/>
  <c r="P4" i="6"/>
  <c r="P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J102" i="6"/>
  <c r="J101" i="6"/>
  <c r="J100" i="6"/>
  <c r="J99" i="6"/>
  <c r="J98" i="6"/>
  <c r="J97" i="6"/>
  <c r="J96" i="6"/>
  <c r="J95" i="6"/>
  <c r="J94" i="6"/>
  <c r="J93" i="6"/>
  <c r="J92" i="6"/>
  <c r="J91" i="6"/>
  <c r="J90" i="6"/>
  <c r="J89" i="6"/>
  <c r="J88" i="6"/>
  <c r="J87" i="6"/>
  <c r="J86" i="6"/>
  <c r="J85" i="6"/>
  <c r="J84" i="6"/>
  <c r="J83" i="6"/>
  <c r="J82" i="6"/>
  <c r="J81" i="6"/>
  <c r="J80" i="6"/>
  <c r="J79" i="6"/>
  <c r="J78" i="6"/>
  <c r="J77" i="6"/>
  <c r="J76" i="6"/>
  <c r="J75" i="6"/>
  <c r="J74" i="6"/>
  <c r="J73" i="6"/>
  <c r="J72" i="6"/>
  <c r="J71" i="6"/>
  <c r="J70" i="6"/>
  <c r="J69" i="6"/>
  <c r="J68" i="6"/>
  <c r="J67" i="6"/>
  <c r="J66" i="6"/>
  <c r="J65" i="6"/>
  <c r="J64" i="6"/>
  <c r="J63" i="6"/>
  <c r="J62" i="6"/>
  <c r="J61" i="6"/>
  <c r="J60" i="6"/>
  <c r="J59" i="6"/>
  <c r="J58" i="6"/>
  <c r="J57" i="6"/>
  <c r="J56" i="6"/>
  <c r="J55" i="6"/>
  <c r="J54" i="6"/>
  <c r="J53" i="6"/>
  <c r="J52" i="6"/>
  <c r="J51" i="6"/>
  <c r="J50" i="6"/>
  <c r="J49" i="6"/>
  <c r="J48" i="6"/>
  <c r="J47" i="6"/>
  <c r="J46" i="6"/>
  <c r="J45" i="6"/>
  <c r="J44"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J3" i="6"/>
  <c r="G4" i="6"/>
  <c r="G5" i="6"/>
  <c r="G6" i="6"/>
  <c r="G7" i="6"/>
  <c r="G8" i="6"/>
  <c r="G9" i="6"/>
  <c r="G10" i="6"/>
  <c r="G11" i="6"/>
  <c r="G12" i="6"/>
  <c r="G14" i="6"/>
  <c r="G15" i="6"/>
  <c r="G16" i="6"/>
  <c r="G17" i="6"/>
  <c r="G18" i="6"/>
  <c r="G19" i="6"/>
  <c r="G20" i="6"/>
  <c r="G21" i="6"/>
  <c r="G22" i="6"/>
  <c r="G24" i="6"/>
  <c r="G25" i="6"/>
  <c r="G26" i="6"/>
  <c r="G27" i="6"/>
  <c r="G28" i="6"/>
  <c r="G29" i="6"/>
  <c r="G30" i="6"/>
  <c r="G31" i="6"/>
  <c r="G32" i="6"/>
  <c r="G34" i="6"/>
  <c r="G35" i="6"/>
  <c r="G36" i="6"/>
  <c r="G37" i="6"/>
  <c r="G38" i="6"/>
  <c r="G39" i="6"/>
  <c r="G40" i="6"/>
  <c r="G41" i="6"/>
  <c r="G42" i="6"/>
  <c r="G44" i="6"/>
  <c r="G45" i="6"/>
  <c r="G46" i="6"/>
  <c r="G47" i="6"/>
  <c r="G48" i="6"/>
  <c r="G49" i="6"/>
  <c r="G50" i="6"/>
  <c r="G51" i="6"/>
  <c r="G52" i="6"/>
  <c r="G54" i="6"/>
  <c r="G55" i="6"/>
  <c r="G56" i="6"/>
  <c r="G57" i="6"/>
  <c r="G58" i="6"/>
  <c r="G59" i="6"/>
  <c r="G60" i="6"/>
  <c r="G61" i="6"/>
  <c r="G62" i="6"/>
  <c r="G64" i="6"/>
  <c r="G65" i="6"/>
  <c r="G66" i="6"/>
  <c r="G67" i="6"/>
  <c r="G68" i="6"/>
  <c r="G69" i="6"/>
  <c r="G70" i="6"/>
  <c r="G71" i="6"/>
  <c r="G72" i="6"/>
  <c r="G74" i="6"/>
  <c r="G75" i="6"/>
  <c r="G76" i="6"/>
  <c r="G77" i="6"/>
  <c r="G78" i="6"/>
  <c r="G79" i="6"/>
  <c r="G80" i="6"/>
  <c r="G81" i="6"/>
  <c r="G82" i="6"/>
  <c r="G84" i="6"/>
  <c r="G85" i="6"/>
  <c r="G86" i="6"/>
  <c r="G87" i="6"/>
  <c r="G88" i="6"/>
  <c r="G89" i="6"/>
  <c r="G90" i="6"/>
  <c r="G91" i="6"/>
  <c r="G92" i="6"/>
  <c r="G94" i="6"/>
  <c r="G95" i="6"/>
  <c r="G96" i="6"/>
  <c r="G97" i="6"/>
  <c r="G98" i="6"/>
  <c r="G99" i="6"/>
  <c r="G100" i="6"/>
  <c r="G101" i="6"/>
  <c r="G102" i="6"/>
  <c r="P56" i="5"/>
  <c r="P47" i="5"/>
  <c r="P38" i="5"/>
  <c r="P29" i="5"/>
  <c r="P20" i="5"/>
  <c r="P11" i="5"/>
  <c r="P4" i="5"/>
  <c r="P3" i="5"/>
  <c r="M64" i="5"/>
  <c r="M63" i="5"/>
  <c r="M62" i="5"/>
  <c r="M61" i="5"/>
  <c r="M60" i="5"/>
  <c r="M59" i="5"/>
  <c r="M58" i="5"/>
  <c r="M57" i="5"/>
  <c r="M56" i="5"/>
  <c r="M55" i="5"/>
  <c r="M54" i="5"/>
  <c r="M53" i="5"/>
  <c r="M52" i="5"/>
  <c r="M51" i="5"/>
  <c r="M50" i="5"/>
  <c r="M49" i="5"/>
  <c r="M48" i="5"/>
  <c r="M47" i="5"/>
  <c r="M46" i="5"/>
  <c r="M45" i="5"/>
  <c r="M44" i="5"/>
  <c r="M43" i="5"/>
  <c r="M42" i="5"/>
  <c r="M41" i="5"/>
  <c r="M40" i="5"/>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10" i="5"/>
  <c r="M9" i="5"/>
  <c r="M8" i="5"/>
  <c r="M7" i="5"/>
  <c r="M6" i="5"/>
  <c r="M5" i="5"/>
  <c r="M4" i="5"/>
  <c r="M3"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J7" i="5"/>
  <c r="J6" i="5"/>
  <c r="J5" i="5"/>
  <c r="J4" i="5"/>
  <c r="J3" i="5"/>
  <c r="G4" i="5"/>
  <c r="G5" i="5"/>
  <c r="G6" i="5"/>
  <c r="G7" i="5"/>
  <c r="G8" i="5"/>
  <c r="G9" i="5"/>
  <c r="G10" i="5"/>
  <c r="G12" i="5"/>
  <c r="G13" i="5"/>
  <c r="G14" i="5"/>
  <c r="G15" i="5"/>
  <c r="G16" i="5"/>
  <c r="G17" i="5"/>
  <c r="G18" i="5"/>
  <c r="G19" i="5"/>
  <c r="G21" i="5"/>
  <c r="G22" i="5"/>
  <c r="G23" i="5"/>
  <c r="G24" i="5"/>
  <c r="G25" i="5"/>
  <c r="G26" i="5"/>
  <c r="G27" i="5"/>
  <c r="G28" i="5"/>
  <c r="G30" i="5"/>
  <c r="G31" i="5"/>
  <c r="G32" i="5"/>
  <c r="G33" i="5"/>
  <c r="G34" i="5"/>
  <c r="G35" i="5"/>
  <c r="G36" i="5"/>
  <c r="G37" i="5"/>
  <c r="G39" i="5"/>
  <c r="G40" i="5"/>
  <c r="G41" i="5"/>
  <c r="G42" i="5"/>
  <c r="G43" i="5"/>
  <c r="G44" i="5"/>
  <c r="G45" i="5"/>
  <c r="G46" i="5"/>
  <c r="G48" i="5"/>
  <c r="G49" i="5"/>
  <c r="G50" i="5"/>
  <c r="G51" i="5"/>
  <c r="G52" i="5"/>
  <c r="G53" i="5"/>
  <c r="G54" i="5"/>
  <c r="G55" i="5"/>
  <c r="G57" i="5"/>
  <c r="G58" i="5"/>
  <c r="G59" i="5"/>
  <c r="G60" i="5"/>
  <c r="G61" i="5"/>
  <c r="G62" i="5"/>
  <c r="G63" i="5"/>
  <c r="G64" i="5"/>
  <c r="H43" i="4" l="1"/>
  <c r="H44" i="4"/>
  <c r="H45" i="4"/>
  <c r="H46" i="4"/>
  <c r="H47" i="4"/>
  <c r="H48" i="4"/>
  <c r="H49" i="4"/>
  <c r="H50" i="4"/>
  <c r="H51" i="4"/>
  <c r="H42" i="4"/>
  <c r="N37" i="4" l="1"/>
  <c r="N36" i="4"/>
  <c r="N35" i="4"/>
  <c r="N34" i="4"/>
  <c r="N33" i="4"/>
  <c r="N32" i="4"/>
  <c r="K37" i="4"/>
  <c r="K36" i="4"/>
  <c r="K35" i="4"/>
  <c r="K34" i="4"/>
  <c r="K33" i="4"/>
  <c r="K32" i="4"/>
  <c r="H33" i="4"/>
  <c r="H34" i="4"/>
  <c r="H35" i="4"/>
  <c r="H36" i="4"/>
  <c r="H37" i="4"/>
  <c r="H32" i="4"/>
  <c r="O23" i="4"/>
  <c r="O22" i="4"/>
  <c r="L21" i="4"/>
  <c r="L22" i="4"/>
  <c r="L23" i="4"/>
  <c r="L24" i="4"/>
  <c r="L25" i="4"/>
  <c r="L26" i="4"/>
  <c r="L27" i="4"/>
  <c r="L28" i="4"/>
  <c r="L20" i="4"/>
  <c r="H13" i="4"/>
  <c r="H14" i="4"/>
  <c r="H15" i="4"/>
  <c r="H16" i="4"/>
  <c r="H12" i="4"/>
  <c r="E12" i="4"/>
  <c r="E13" i="4"/>
  <c r="E14" i="4"/>
  <c r="E15" i="4"/>
  <c r="E16" i="4"/>
  <c r="E11" i="4"/>
  <c r="C16" i="3" l="1"/>
  <c r="C15" i="3"/>
  <c r="C14" i="3"/>
  <c r="F4" i="3"/>
  <c r="F5" i="3"/>
  <c r="F6" i="3"/>
  <c r="F7" i="3"/>
  <c r="F8" i="3"/>
  <c r="F3" i="3"/>
  <c r="L15" i="2"/>
  <c r="L14" i="2"/>
  <c r="L13" i="2"/>
  <c r="L12" i="2"/>
  <c r="L11" i="2"/>
  <c r="L10" i="2"/>
  <c r="L9" i="2"/>
  <c r="L8" i="2"/>
  <c r="L7" i="2"/>
  <c r="L6" i="2"/>
  <c r="L5" i="2"/>
  <c r="L4" i="2"/>
  <c r="L3" i="2"/>
  <c r="L2" i="2"/>
  <c r="I15" i="2"/>
  <c r="I14" i="2"/>
  <c r="I13" i="2"/>
  <c r="I12" i="2"/>
  <c r="I11" i="2"/>
  <c r="I10" i="2"/>
  <c r="I9" i="2"/>
  <c r="I8" i="2"/>
  <c r="I7" i="2"/>
  <c r="I6" i="2"/>
  <c r="I5" i="2"/>
  <c r="I4" i="2"/>
  <c r="I3" i="2"/>
  <c r="I2" i="2"/>
  <c r="F3" i="2"/>
  <c r="F4" i="2"/>
  <c r="F5" i="2"/>
  <c r="F6" i="2"/>
  <c r="F7" i="2"/>
  <c r="F8" i="2"/>
  <c r="F9" i="2"/>
  <c r="F10" i="2"/>
  <c r="F11" i="2"/>
  <c r="F12" i="2"/>
  <c r="F13" i="2"/>
  <c r="F14" i="2"/>
  <c r="F15" i="2"/>
  <c r="F2" i="2"/>
  <c r="C15" i="2"/>
  <c r="C14" i="2"/>
  <c r="C12" i="2"/>
  <c r="C11" i="2"/>
  <c r="C4" i="2"/>
  <c r="C5" i="2"/>
  <c r="C6" i="2"/>
  <c r="C7" i="2"/>
  <c r="C8" i="2"/>
  <c r="C9" i="2"/>
  <c r="C3" i="2"/>
  <c r="I4" i="1"/>
  <c r="I5" i="1"/>
  <c r="I6" i="1"/>
  <c r="I7" i="1"/>
  <c r="I8" i="1"/>
  <c r="I9" i="1"/>
  <c r="I10" i="1"/>
  <c r="I11" i="1"/>
  <c r="I12" i="1"/>
  <c r="I13" i="1"/>
  <c r="I14" i="1"/>
  <c r="I15" i="1"/>
  <c r="I16" i="1"/>
  <c r="I17" i="1"/>
  <c r="I18" i="1"/>
  <c r="I19" i="1"/>
  <c r="I20" i="1"/>
  <c r="I3" i="1"/>
  <c r="C31" i="1"/>
  <c r="C30" i="1"/>
  <c r="C27" i="1"/>
  <c r="C26" i="1"/>
  <c r="C25" i="1"/>
  <c r="C22" i="1"/>
  <c r="C21" i="1"/>
  <c r="C20" i="1"/>
  <c r="C17" i="1"/>
  <c r="C16" i="1"/>
  <c r="C15" i="1"/>
  <c r="C12" i="1"/>
  <c r="C11" i="1"/>
  <c r="C10" i="1"/>
  <c r="C6" i="1"/>
  <c r="C7" i="1"/>
  <c r="C5" i="1"/>
</calcChain>
</file>

<file path=xl/comments1.xml><?xml version="1.0" encoding="utf-8"?>
<comments xmlns="http://schemas.openxmlformats.org/spreadsheetml/2006/main">
  <authors>
    <author>作者</author>
  </authors>
  <commentList>
    <comment ref="G1" authorId="0" shapeId="0">
      <text>
        <r>
          <rPr>
            <b/>
            <sz val="9"/>
            <rFont val="宋体"/>
            <family val="3"/>
            <charset val="134"/>
          </rPr>
          <t>作者:</t>
        </r>
        <r>
          <rPr>
            <sz val="9"/>
            <rFont val="宋体"/>
            <family val="3"/>
            <charset val="134"/>
          </rPr>
          <t xml:space="preserve">
注意：增加活动ID需要告知前端增加红点，增加活动类型为2的活动需要前端在处理（区分特惠礼包还是每日限购礼包）</t>
        </r>
      </text>
    </comment>
  </commentList>
</comments>
</file>

<file path=xl/comments2.xml><?xml version="1.0" encoding="utf-8"?>
<comments xmlns="http://schemas.openxmlformats.org/spreadsheetml/2006/main">
  <authors>
    <author>作者</author>
  </authors>
  <commentList>
    <comment ref="A1" authorId="0" shapeId="0">
      <text>
        <r>
          <rPr>
            <b/>
            <sz val="9"/>
            <rFont val="宋体"/>
            <family val="3"/>
            <charset val="134"/>
          </rPr>
          <t>作者:</t>
        </r>
        <r>
          <rPr>
            <sz val="9"/>
            <rFont val="宋体"/>
            <family val="3"/>
            <charset val="134"/>
          </rPr>
          <t xml:space="preserve">
注意：增加活动ID需要告知前端增加红点，增加活动类型为2的活动需要前端在处理（区分特惠礼包还是每日限购礼包）</t>
        </r>
      </text>
    </comment>
    <comment ref="F1" authorId="0" shapeId="0">
      <text>
        <r>
          <rPr>
            <b/>
            <sz val="9"/>
            <rFont val="宋体"/>
            <family val="3"/>
            <charset val="134"/>
          </rPr>
          <t>作者:</t>
        </r>
        <r>
          <rPr>
            <sz val="9"/>
            <rFont val="宋体"/>
            <family val="3"/>
            <charset val="134"/>
          </rPr>
          <t xml:space="preserve">
子活动号</t>
        </r>
      </text>
    </comment>
    <comment ref="G1" authorId="0" shapeId="0">
      <text>
        <r>
          <rPr>
            <b/>
            <sz val="9"/>
            <rFont val="宋体"/>
            <family val="3"/>
            <charset val="134"/>
          </rPr>
          <t>作者:</t>
        </r>
        <r>
          <rPr>
            <sz val="9"/>
            <rFont val="宋体"/>
            <family val="3"/>
            <charset val="134"/>
          </rPr>
          <t xml:space="preserve">
1是已超过等级开启
0是已超过等级不开启</t>
        </r>
      </text>
    </comment>
    <comment ref="H1" authorId="0" shapeId="0">
      <text>
        <r>
          <rPr>
            <b/>
            <sz val="9"/>
            <rFont val="宋体"/>
            <family val="3"/>
            <charset val="134"/>
          </rPr>
          <t>作者:</t>
        </r>
        <r>
          <rPr>
            <sz val="9"/>
            <rFont val="宋体"/>
            <family val="3"/>
            <charset val="134"/>
          </rPr>
          <t xml:space="preserve">
单位，小时</t>
        </r>
      </text>
    </comment>
    <comment ref="A19" authorId="0" shapeId="0">
      <text>
        <r>
          <rPr>
            <b/>
            <sz val="9"/>
            <rFont val="宋体"/>
            <family val="3"/>
            <charset val="134"/>
          </rPr>
          <t>作者:</t>
        </r>
        <r>
          <rPr>
            <sz val="9"/>
            <rFont val="宋体"/>
            <family val="3"/>
            <charset val="134"/>
          </rPr>
          <t xml:space="preserve">
注意：增加活动ID需要告知前端增加红点，增加活动类型为2的活动需要前端在处理（区分特惠礼包还是每日限购礼包）</t>
        </r>
      </text>
    </comment>
    <comment ref="F19" authorId="0" shapeId="0">
      <text>
        <r>
          <rPr>
            <sz val="9"/>
            <rFont val="宋体"/>
            <family val="3"/>
            <charset val="134"/>
          </rPr>
          <t>作者:
1 金币
2 元宝</t>
        </r>
      </text>
    </comment>
    <comment ref="A31" authorId="0" shapeId="0">
      <text>
        <r>
          <rPr>
            <b/>
            <sz val="9"/>
            <rFont val="宋体"/>
            <family val="3"/>
            <charset val="134"/>
          </rPr>
          <t>作者:</t>
        </r>
        <r>
          <rPr>
            <sz val="9"/>
            <rFont val="宋体"/>
            <family val="3"/>
            <charset val="134"/>
          </rPr>
          <t xml:space="preserve">
注意：增加活动ID需要告知前端增加红点，增加活动类型为2的活动需要前端在处理（区分特惠礼包还是每日限购礼包）</t>
        </r>
      </text>
    </comment>
    <comment ref="D31" authorId="0" shapeId="0">
      <text>
        <r>
          <rPr>
            <b/>
            <sz val="9"/>
            <rFont val="宋体"/>
            <family val="3"/>
            <charset val="134"/>
          </rPr>
          <t>作者:</t>
        </r>
        <r>
          <rPr>
            <sz val="9"/>
            <rFont val="宋体"/>
            <family val="3"/>
            <charset val="134"/>
          </rPr>
          <t xml:space="preserve">
1:连充
2：累充
</t>
        </r>
      </text>
    </comment>
  </commentList>
</comments>
</file>

<file path=xl/comments3.xml><?xml version="1.0" encoding="utf-8"?>
<comments xmlns="http://schemas.openxmlformats.org/spreadsheetml/2006/main">
  <authors>
    <author>作者</author>
  </authors>
  <commentList>
    <comment ref="A1" authorId="0" shapeId="0">
      <text>
        <r>
          <rPr>
            <b/>
            <sz val="9"/>
            <rFont val="宋体"/>
            <family val="3"/>
            <charset val="134"/>
          </rPr>
          <t>作者:</t>
        </r>
        <r>
          <rPr>
            <sz val="9"/>
            <rFont val="宋体"/>
            <family val="3"/>
            <charset val="134"/>
          </rPr>
          <t xml:space="preserve">
注意：增加活动ID需要告知前端增加红点，增加活动类型为2的活动需要前端在处理（区分特惠礼包还是每日限购礼包）</t>
        </r>
      </text>
    </comment>
    <comment ref="C1" authorId="0" shapeId="0">
      <text>
        <r>
          <rPr>
            <sz val="9"/>
            <rFont val="宋体"/>
            <family val="3"/>
            <charset val="134"/>
          </rPr>
          <t>0为开服时间，
1为固定时间段
2为合服时间</t>
        </r>
      </text>
    </comment>
    <comment ref="D1" authorId="0" shapeId="0">
      <text>
        <r>
          <rPr>
            <sz val="9"/>
            <rFont val="宋体"/>
            <family val="3"/>
            <charset val="134"/>
          </rPr>
          <t>开服时间格式："0
固定时间段格式："2016.6.1-0:0 ~ 2015.6.2-0:0"
注意中间的分隔符！</t>
        </r>
      </text>
    </comment>
    <comment ref="G1" authorId="0" shapeId="0">
      <text>
        <r>
          <rPr>
            <sz val="9"/>
            <rFont val="宋体"/>
            <family val="3"/>
            <charset val="134"/>
          </rPr>
          <t>累充的活动如果不配置false，跨天无法正常邮件补发奖励</t>
        </r>
      </text>
    </comment>
    <comment ref="H1" authorId="0" shapeId="0">
      <text>
        <r>
          <rPr>
            <b/>
            <sz val="9"/>
            <rFont val="宋体"/>
            <family val="3"/>
            <charset val="134"/>
          </rPr>
          <t>作者:</t>
        </r>
        <r>
          <rPr>
            <sz val="9"/>
            <rFont val="宋体"/>
            <family val="3"/>
            <charset val="134"/>
          </rPr>
          <t xml:space="preserve">
指定服务器不开</t>
        </r>
      </text>
    </comment>
    <comment ref="I1" authorId="0" shapeId="0">
      <text>
        <r>
          <rPr>
            <b/>
            <sz val="9"/>
            <rFont val="宋体"/>
            <family val="3"/>
            <charset val="134"/>
          </rPr>
          <t>作者:</t>
        </r>
        <r>
          <rPr>
            <sz val="9"/>
            <rFont val="宋体"/>
            <family val="3"/>
            <charset val="134"/>
          </rPr>
          <t xml:space="preserve">
指定服务器才开启</t>
        </r>
      </text>
    </comment>
    <comment ref="J1" authorId="0" shapeId="0">
      <text>
        <r>
          <rPr>
            <sz val="9"/>
            <rFont val="宋体"/>
            <family val="3"/>
            <charset val="134"/>
          </rPr>
          <t>比如"2017.11.03-0:0"，则3号当天的服都不开，如果想开，则填成2017.11.04-0:0"，准确到时分秒</t>
        </r>
      </text>
    </comment>
    <comment ref="K1" authorId="0" shapeId="0">
      <text>
        <r>
          <rPr>
            <b/>
            <sz val="9"/>
            <rFont val="宋体"/>
            <family val="3"/>
            <charset val="134"/>
          </rPr>
          <t>作者:</t>
        </r>
        <r>
          <rPr>
            <sz val="9"/>
            <rFont val="宋体"/>
            <family val="3"/>
            <charset val="134"/>
          </rPr>
          <t xml:space="preserve">
填2017.11.03-0:0"，则3号之前的都不开，准确到时分秒</t>
        </r>
      </text>
    </comment>
    <comment ref="L1" authorId="0" shapeId="0">
      <text>
        <r>
          <rPr>
            <sz val="9"/>
            <rFont val="宋体"/>
            <family val="3"/>
            <charset val="134"/>
          </rPr>
          <t xml:space="preserve">Administrator:
填2017.11.03-0:0"，则3号当天及以后的都不开，准确到时分秒
</t>
        </r>
      </text>
    </comment>
    <comment ref="N1" authorId="0" shapeId="0">
      <text>
        <r>
          <rPr>
            <sz val="9"/>
            <rFont val="宋体"/>
            <family val="3"/>
            <charset val="134"/>
          </rPr>
          <t>默认空为0，表示不需要判断对应服务器的跨服配置；为1则判断服务器是否有跨服配置，如果没有则不开对应的活动，有则正常开。</t>
        </r>
      </text>
    </comment>
  </commentList>
</comments>
</file>

<file path=xl/comments4.xml><?xml version="1.0" encoding="utf-8"?>
<comments xmlns="http://schemas.openxmlformats.org/spreadsheetml/2006/main">
  <authors>
    <author>作者</author>
  </authors>
  <commentList>
    <comment ref="K2" authorId="0" shapeId="0">
      <text>
        <r>
          <rPr>
            <sz val="9"/>
            <rFont val="宋体"/>
            <family val="3"/>
            <charset val="134"/>
          </rPr>
          <t xml:space="preserve">真库存降低到此数量时，伪库存如果大于此数量就要设定成这个数量
</t>
        </r>
      </text>
    </comment>
    <comment ref="L2" authorId="0" shapeId="0">
      <text>
        <r>
          <rPr>
            <sz val="9"/>
            <rFont val="宋体"/>
            <family val="3"/>
            <charset val="134"/>
          </rPr>
          <t xml:space="preserve">每多少秒减少伪库存1个。随机范围秒数
</t>
        </r>
      </text>
    </comment>
    <comment ref="M2" authorId="0" shapeId="0">
      <text>
        <r>
          <rPr>
            <sz val="9"/>
            <rFont val="宋体"/>
            <family val="3"/>
            <charset val="134"/>
          </rPr>
          <t xml:space="preserve">格式:
{12,10}--表示12点10分后可购买
</t>
        </r>
      </text>
    </comment>
  </commentList>
</comments>
</file>

<file path=xl/comments5.xml><?xml version="1.0" encoding="utf-8"?>
<comments xmlns="http://schemas.openxmlformats.org/spreadsheetml/2006/main">
  <authors>
    <author>作者</author>
  </authors>
  <commentList>
    <comment ref="D2" authorId="0" shapeId="0">
      <text>
        <r>
          <rPr>
            <b/>
            <sz val="9"/>
            <rFont val="宋体"/>
            <family val="3"/>
            <charset val="134"/>
          </rPr>
          <t>作者:</t>
        </r>
        <r>
          <rPr>
            <sz val="9"/>
            <rFont val="宋体"/>
            <family val="3"/>
            <charset val="134"/>
          </rPr>
          <t xml:space="preserve">
1:连充
2：累充
3：每日累充XX元宝</t>
        </r>
      </text>
    </comment>
    <comment ref="E2" authorId="0" shapeId="0">
      <text>
        <r>
          <rPr>
            <b/>
            <sz val="9"/>
            <rFont val="宋体"/>
            <family val="3"/>
            <charset val="134"/>
          </rPr>
          <t>作者:</t>
        </r>
        <r>
          <rPr>
            <sz val="9"/>
            <rFont val="宋体"/>
            <family val="3"/>
            <charset val="134"/>
          </rPr>
          <t xml:space="preserve">
逻辑类型为2的累充时，这里的天数无用</t>
        </r>
      </text>
    </comment>
  </commentList>
</comments>
</file>

<file path=xl/comments6.xml><?xml version="1.0" encoding="utf-8"?>
<comments xmlns="http://schemas.openxmlformats.org/spreadsheetml/2006/main">
  <authors>
    <author>作者</author>
  </authors>
  <commentList>
    <comment ref="K2" authorId="0" shapeId="0">
      <text>
        <r>
          <rPr>
            <sz val="9"/>
            <rFont val="宋体"/>
            <family val="3"/>
            <charset val="134"/>
          </rPr>
          <t>为空时兑换道具扣除相应积分
为1时不扣除</t>
        </r>
      </text>
    </comment>
    <comment ref="L2" authorId="0" shapeId="0">
      <text>
        <r>
          <rPr>
            <sz val="9"/>
            <rFont val="宋体"/>
            <family val="3"/>
            <charset val="134"/>
          </rPr>
          <t xml:space="preserve">积分系数，与BOSS玩法配置中的积分奖励做除法并且取整
需要放大BOSS玩法配置中的积分则填写小数
</t>
        </r>
      </text>
    </comment>
  </commentList>
</comments>
</file>

<file path=xl/comments7.xml><?xml version="1.0" encoding="utf-8"?>
<comments xmlns="http://schemas.openxmlformats.org/spreadsheetml/2006/main">
  <authors>
    <author>作者</author>
  </authors>
  <commentList>
    <comment ref="N2" authorId="0" shapeId="0">
      <text>
        <r>
          <rPr>
            <b/>
            <sz val="9"/>
            <color indexed="81"/>
            <rFont val="宋体"/>
            <family val="3"/>
            <charset val="134"/>
          </rPr>
          <t>作者:</t>
        </r>
        <r>
          <rPr>
            <sz val="9"/>
            <color indexed="81"/>
            <rFont val="宋体"/>
            <family val="3"/>
            <charset val="134"/>
          </rPr>
          <t xml:space="preserve">
抽奖次数</t>
        </r>
      </text>
    </comment>
    <comment ref="G3" authorId="0" shapeId="0">
      <text>
        <r>
          <rPr>
            <sz val="9"/>
            <rFont val="宋体"/>
            <family val="3"/>
            <charset val="134"/>
          </rPr>
          <t>1：转盘；2：元旦爆竹；3：暖冬转盘</t>
        </r>
      </text>
    </comment>
    <comment ref="H3" authorId="0" shapeId="0">
      <text>
        <r>
          <rPr>
            <b/>
            <sz val="9"/>
            <rFont val="宋体"/>
            <family val="3"/>
            <charset val="134"/>
          </rPr>
          <t>作者:</t>
        </r>
        <r>
          <rPr>
            <sz val="9"/>
            <rFont val="宋体"/>
            <family val="3"/>
            <charset val="134"/>
          </rPr>
          <t xml:space="preserve">
为空则不重置
填1则每天重置</t>
        </r>
      </text>
    </comment>
    <comment ref="C4" authorId="0" shapeId="0">
      <text>
        <r>
          <rPr>
            <b/>
            <sz val="9"/>
            <rFont val="宋体"/>
            <family val="3"/>
            <charset val="134"/>
          </rPr>
          <t>作者:</t>
        </r>
        <r>
          <rPr>
            <sz val="9"/>
            <rFont val="宋体"/>
            <family val="3"/>
            <charset val="134"/>
          </rPr>
          <t xml:space="preserve">
次数累计奖励</t>
        </r>
      </text>
    </comment>
    <comment ref="C15" authorId="0" shapeId="0">
      <text>
        <r>
          <rPr>
            <b/>
            <sz val="9"/>
            <rFont val="宋体"/>
            <family val="3"/>
            <charset val="134"/>
          </rPr>
          <t>作者:</t>
        </r>
        <r>
          <rPr>
            <sz val="9"/>
            <rFont val="宋体"/>
            <family val="3"/>
            <charset val="134"/>
          </rPr>
          <t xml:space="preserve">
次数累计奖励</t>
        </r>
      </text>
    </comment>
    <comment ref="C26" authorId="0" shapeId="0">
      <text>
        <r>
          <rPr>
            <b/>
            <sz val="9"/>
            <rFont val="宋体"/>
            <family val="3"/>
            <charset val="134"/>
          </rPr>
          <t>作者:</t>
        </r>
        <r>
          <rPr>
            <sz val="9"/>
            <rFont val="宋体"/>
            <family val="3"/>
            <charset val="134"/>
          </rPr>
          <t xml:space="preserve">
次数累计奖励</t>
        </r>
      </text>
    </comment>
    <comment ref="C37" authorId="0" shapeId="0">
      <text>
        <r>
          <rPr>
            <b/>
            <sz val="9"/>
            <rFont val="宋体"/>
            <family val="3"/>
            <charset val="134"/>
          </rPr>
          <t>作者:</t>
        </r>
        <r>
          <rPr>
            <sz val="9"/>
            <rFont val="宋体"/>
            <family val="3"/>
            <charset val="134"/>
          </rPr>
          <t xml:space="preserve">
次数累计奖励</t>
        </r>
      </text>
    </comment>
  </commentList>
</comments>
</file>

<file path=xl/comments8.xml><?xml version="1.0" encoding="utf-8"?>
<comments xmlns="http://schemas.openxmlformats.org/spreadsheetml/2006/main">
  <authors>
    <author>作者</author>
  </authors>
  <commentList>
    <comment ref="D2" authorId="0" shapeId="0">
      <text>
        <r>
          <rPr>
            <b/>
            <sz val="9"/>
            <rFont val="宋体"/>
            <family val="3"/>
            <charset val="134"/>
          </rPr>
          <t>作者:</t>
        </r>
        <r>
          <rPr>
            <sz val="9"/>
            <rFont val="宋体"/>
            <family val="3"/>
            <charset val="134"/>
          </rPr>
          <t xml:space="preserve">
关系到自上而下的顺序排列</t>
        </r>
      </text>
    </comment>
    <comment ref="E2" authorId="0" shapeId="0">
      <text>
        <r>
          <rPr>
            <b/>
            <sz val="9"/>
            <rFont val="宋体"/>
            <family val="3"/>
            <charset val="134"/>
          </rPr>
          <t>作者:</t>
        </r>
        <r>
          <rPr>
            <sz val="9"/>
            <rFont val="宋体"/>
            <family val="3"/>
            <charset val="134"/>
          </rPr>
          <t xml:space="preserve">
默认留空表示都可以领取
1表示活动期间只能领取其中任一档次奖励一次且不能领取比总积分低的奖励</t>
        </r>
      </text>
    </comment>
  </commentList>
</comments>
</file>

<file path=xl/comments9.xml><?xml version="1.0" encoding="utf-8"?>
<comments xmlns="http://schemas.openxmlformats.org/spreadsheetml/2006/main">
  <authors>
    <author>作者</author>
  </authors>
  <commentList>
    <comment ref="F2" authorId="0" shapeId="0">
      <text>
        <r>
          <rPr>
            <b/>
            <sz val="9"/>
            <rFont val="宋体"/>
            <family val="3"/>
            <charset val="134"/>
          </rPr>
          <t>作者:</t>
        </r>
        <r>
          <rPr>
            <sz val="9"/>
            <rFont val="宋体"/>
            <family val="3"/>
            <charset val="134"/>
          </rPr>
          <t xml:space="preserve">
完成任务多少次，可以拿到积分奖励
默认为空时为完成1次
部分任务状态下会冲突
例如100号任务（登录次数）一天内无法完成两次</t>
        </r>
      </text>
    </comment>
    <comment ref="G2" authorId="0" shapeId="0">
      <text>
        <r>
          <rPr>
            <b/>
            <sz val="9"/>
            <rFont val="宋体"/>
            <family val="3"/>
            <charset val="134"/>
          </rPr>
          <t>作者:</t>
        </r>
        <r>
          <rPr>
            <sz val="9"/>
            <rFont val="宋体"/>
            <family val="3"/>
            <charset val="134"/>
          </rPr>
          <t xml:space="preserve">
最大可完成次数，根据isReset定义不同
isreset=1时，此处为每日总次数
isreset为空时，此处除以任务需要次数得出活动期间该条数据的最大可完成次数</t>
        </r>
      </text>
    </comment>
    <comment ref="I2" authorId="0" shapeId="0">
      <text>
        <r>
          <rPr>
            <b/>
            <sz val="9"/>
            <rFont val="宋体"/>
            <family val="3"/>
            <charset val="134"/>
          </rPr>
          <t>作者:</t>
        </r>
        <r>
          <rPr>
            <sz val="9"/>
            <rFont val="宋体"/>
            <family val="3"/>
            <charset val="134"/>
          </rPr>
          <t xml:space="preserve">
界面展示单项任务进度时除以的系数
用于缩小金币，充值额度的数字
为空时，默认为1</t>
        </r>
      </text>
    </comment>
  </commentList>
</comments>
</file>

<file path=xl/comments10.xml><?xml version="1.0" encoding="utf-8"?>
<comments xmlns="http://schemas.openxmlformats.org/spreadsheetml/2006/main">
  <authors>
    <author>作者</author>
  </authors>
  <commentList>
    <comment ref="F2" authorId="0" shapeId="0">
      <text>
        <r>
          <rPr>
            <b/>
            <sz val="9"/>
            <rFont val="宋体"/>
            <family val="3"/>
            <charset val="134"/>
          </rPr>
          <t>作者:</t>
        </r>
        <r>
          <rPr>
            <sz val="9"/>
            <rFont val="宋体"/>
            <family val="3"/>
            <charset val="134"/>
          </rPr>
          <t xml:space="preserve">
不填默认无限制</t>
        </r>
      </text>
    </comment>
  </commentList>
</comments>
</file>

<file path=xl/comments11.xml><?xml version="1.0" encoding="utf-8"?>
<comments xmlns="http://schemas.openxmlformats.org/spreadsheetml/2006/main">
  <authors>
    <author>作者</author>
  </authors>
  <commentList>
    <comment ref="M2" authorId="0" shapeId="0">
      <text>
        <r>
          <rPr>
            <b/>
            <sz val="9"/>
            <color indexed="81"/>
            <rFont val="宋体"/>
            <family val="3"/>
            <charset val="134"/>
          </rPr>
          <t>作者:</t>
        </r>
        <r>
          <rPr>
            <sz val="9"/>
            <color indexed="81"/>
            <rFont val="宋体"/>
            <family val="3"/>
            <charset val="134"/>
          </rPr>
          <t xml:space="preserve">
轮次</t>
        </r>
      </text>
    </comment>
    <comment ref="M3" authorId="0" shapeId="0">
      <text>
        <r>
          <rPr>
            <b/>
            <sz val="9"/>
            <color indexed="81"/>
            <rFont val="宋体"/>
            <family val="3"/>
            <charset val="134"/>
          </rPr>
          <t>作者:</t>
        </r>
        <r>
          <rPr>
            <sz val="9"/>
            <color indexed="81"/>
            <rFont val="宋体"/>
            <family val="3"/>
            <charset val="134"/>
          </rPr>
          <t xml:space="preserve">
轮内次数</t>
        </r>
      </text>
    </comment>
  </commentList>
</comments>
</file>

<file path=xl/comments12.xml><?xml version="1.0" encoding="utf-8"?>
<comments xmlns="http://schemas.openxmlformats.org/spreadsheetml/2006/main">
  <authors>
    <author>作者</author>
  </authors>
  <commentList>
    <comment ref="E2" authorId="0" shapeId="0">
      <text>
        <r>
          <rPr>
            <sz val="9"/>
            <rFont val="宋体"/>
            <family val="3"/>
            <charset val="134"/>
          </rPr>
          <t>不可为空</t>
        </r>
      </text>
    </comment>
    <comment ref="F2" authorId="0" shapeId="0">
      <text>
        <r>
          <rPr>
            <sz val="9"/>
            <rFont val="宋体"/>
            <family val="3"/>
            <charset val="134"/>
          </rPr>
          <t>2018年1月7日 此处配置的活动ID不能配置在按钮配置表</t>
        </r>
      </text>
    </comment>
  </commentList>
</comments>
</file>

<file path=xl/comments13.xml><?xml version="1.0" encoding="utf-8"?>
<comments xmlns="http://schemas.openxmlformats.org/spreadsheetml/2006/main">
  <authors>
    <author>作者</author>
  </authors>
  <commentList>
    <comment ref="H2" authorId="0" shapeId="0">
      <text>
        <r>
          <rPr>
            <sz val="9"/>
            <rFont val="宋体"/>
            <family val="3"/>
            <charset val="134"/>
          </rPr>
          <t>对应活动序号的商品购买需求的道具ID</t>
        </r>
      </text>
    </comment>
    <comment ref="I2" authorId="0" shapeId="0">
      <text>
        <r>
          <rPr>
            <b/>
            <sz val="9"/>
            <rFont val="宋体"/>
            <family val="3"/>
            <charset val="134"/>
          </rPr>
          <t>作者:</t>
        </r>
        <r>
          <rPr>
            <sz val="9"/>
            <rFont val="宋体"/>
            <family val="3"/>
            <charset val="134"/>
          </rPr>
          <t xml:space="preserve">
适配22-2表中的极品组
格式为
{
[极品组ID]={a=组概率总权重,b={[出1个奖品]=权重,[出2个奖品]=权重}}
}
格式中的a，b定义固定，不能修改为其他值
出N个奖品填写正整数，定义为会随机出几个奖品</t>
        </r>
      </text>
    </comment>
  </commentList>
</comments>
</file>

<file path=xl/comments14.xml><?xml version="1.0" encoding="utf-8"?>
<comments xmlns="http://schemas.openxmlformats.org/spreadsheetml/2006/main">
  <authors>
    <author>作者</author>
  </authors>
  <commentList>
    <comment ref="P2" authorId="0" shapeId="0">
      <text>
        <r>
          <rPr>
            <b/>
            <sz val="9"/>
            <rFont val="宋体"/>
            <family val="3"/>
            <charset val="134"/>
          </rPr>
          <t>作者:</t>
        </r>
        <r>
          <rPr>
            <sz val="9"/>
            <rFont val="宋体"/>
            <family val="3"/>
            <charset val="134"/>
          </rPr>
          <t xml:space="preserve">
同为1组的掉落，限制购买的物品被买空后，其权重会平均分配给组内其他物品
不填为0，作为其他组的填充</t>
        </r>
      </text>
    </comment>
  </commentList>
</comments>
</file>

<file path=xl/sharedStrings.xml><?xml version="1.0" encoding="utf-8"?>
<sst xmlns="http://schemas.openxmlformats.org/spreadsheetml/2006/main" count="10292" uniqueCount="1434">
  <si>
    <t>天数</t>
  </si>
  <si>
    <t>天数</t>
    <phoneticPr fontId="1" type="noConversion"/>
  </si>
  <si>
    <t>id</t>
  </si>
  <si>
    <t>物品名</t>
    <phoneticPr fontId="1" type="noConversion"/>
  </si>
  <si>
    <t>数量</t>
    <phoneticPr fontId="1" type="noConversion"/>
  </si>
  <si>
    <t>奖励数量</t>
    <phoneticPr fontId="1" type="noConversion"/>
  </si>
  <si>
    <t>金币</t>
    <phoneticPr fontId="1" type="noConversion"/>
  </si>
  <si>
    <t>元宝</t>
    <phoneticPr fontId="1" type="noConversion"/>
  </si>
  <si>
    <t>VIP双倍奖励</t>
    <phoneticPr fontId="1" type="noConversion"/>
  </si>
  <si>
    <t>月签到</t>
    <phoneticPr fontId="1" type="noConversion"/>
  </si>
  <si>
    <t>累计签到</t>
    <phoneticPr fontId="1" type="noConversion"/>
  </si>
  <si>
    <t>VIP等级</t>
  </si>
  <si>
    <t>补签次数</t>
  </si>
  <si>
    <t>补签</t>
    <phoneticPr fontId="1" type="noConversion"/>
  </si>
  <si>
    <t>玩吧礼包</t>
    <phoneticPr fontId="1" type="noConversion"/>
  </si>
  <si>
    <t>注：物品表无200006这个物品</t>
    <phoneticPr fontId="1" type="noConversion"/>
  </si>
  <si>
    <t>微信关注</t>
    <phoneticPr fontId="1" type="noConversion"/>
  </si>
  <si>
    <t>序号</t>
  </si>
  <si>
    <t>序号</t>
    <phoneticPr fontId="1" type="noConversion"/>
  </si>
  <si>
    <t>配置备注</t>
  </si>
  <si>
    <t>等级</t>
  </si>
  <si>
    <t>转生</t>
  </si>
  <si>
    <t>活动类型</t>
  </si>
  <si>
    <t>开启类型</t>
  </si>
  <si>
    <t>时长</t>
  </si>
  <si>
    <t>轮回-累充返利</t>
  </si>
  <si>
    <t>轮回-限购礼包1</t>
  </si>
  <si>
    <t>战灵-达标活动</t>
  </si>
  <si>
    <t>战灵转盘</t>
  </si>
  <si>
    <t>战灵限购礼包</t>
  </si>
  <si>
    <t>战灵累充返利</t>
  </si>
  <si>
    <t>开服天数</t>
    <phoneticPr fontId="1" type="noConversion"/>
  </si>
  <si>
    <t>活动序号</t>
  </si>
  <si>
    <t>奖励序号</t>
  </si>
  <si>
    <t>战灵等级</t>
  </si>
  <si>
    <t>奖励</t>
  </si>
  <si>
    <t>奖励</t>
    <phoneticPr fontId="1" type="noConversion"/>
  </si>
  <si>
    <t>需要充值数</t>
  </si>
  <si>
    <t>货币类型</t>
  </si>
  <si>
    <t>实际价格</t>
  </si>
  <si>
    <t>原价</t>
  </si>
  <si>
    <t>个人可购买次数</t>
  </si>
  <si>
    <t>折扣</t>
  </si>
  <si>
    <t>vip等级</t>
    <phoneticPr fontId="1" type="noConversion"/>
  </si>
  <si>
    <t>活动名</t>
    <phoneticPr fontId="1" type="noConversion"/>
  </si>
  <si>
    <t>逻辑类型</t>
  </si>
  <si>
    <t>充值数量</t>
  </si>
  <si>
    <t>轮回累充1</t>
  </si>
  <si>
    <t>轮回累充2</t>
  </si>
  <si>
    <t>轮回累充3</t>
  </si>
  <si>
    <t>战灵累充返利</t>
    <phoneticPr fontId="1" type="noConversion"/>
  </si>
  <si>
    <t>替代道具</t>
  </si>
  <si>
    <t>消耗元宝</t>
  </si>
  <si>
    <t>概率</t>
  </si>
  <si>
    <t>{[1]=0,[10]=0,[50]=15}</t>
  </si>
  <si>
    <t>{[1]=20,[10]=0,[50]=0}</t>
  </si>
  <si>
    <t>{[1]=0,[10]=35,[50]=0}</t>
  </si>
  <si>
    <t>{[1]=0,[10]=5,[50]=85}</t>
  </si>
  <si>
    <t>{[1]=0,[10]=40,[50]=0}</t>
  </si>
  <si>
    <t>{[1]=0,[10]=20,[50]=0}</t>
  </si>
  <si>
    <t>充值额度</t>
  </si>
  <si>
    <t>充值奖励</t>
  </si>
  <si>
    <t>价值</t>
  </si>
  <si>
    <t>充值档位</t>
    <phoneticPr fontId="1" type="noConversion"/>
  </si>
  <si>
    <t>元宝</t>
    <phoneticPr fontId="1" type="noConversion"/>
  </si>
  <si>
    <t>索引</t>
  </si>
  <si>
    <t>任务奖励</t>
  </si>
  <si>
    <t>是否展示用的大奖</t>
  </si>
  <si>
    <t>第几套</t>
  </si>
  <si>
    <t>累计充值1天</t>
  </si>
  <si>
    <t>累计充值2天</t>
  </si>
  <si>
    <t>累计充值3天</t>
  </si>
  <si>
    <t>累计充值4天</t>
  </si>
  <si>
    <t>累计充值5天</t>
  </si>
  <si>
    <t>累计充值6天</t>
  </si>
  <si>
    <t>累计充值7天</t>
  </si>
  <si>
    <t>累计充值8天</t>
  </si>
  <si>
    <t>累计充值9天</t>
  </si>
  <si>
    <t>累计充值10天</t>
  </si>
  <si>
    <t>累计充值11天</t>
  </si>
  <si>
    <t>累计充值12天</t>
  </si>
  <si>
    <t>累计充值13天</t>
  </si>
  <si>
    <t>累计充值14天</t>
  </si>
  <si>
    <t>累计充值15天</t>
  </si>
  <si>
    <t>累计充值16天</t>
  </si>
  <si>
    <t>累计充值17天</t>
  </si>
  <si>
    <t>累计充值18天</t>
  </si>
  <si>
    <t>累计充值19天</t>
  </si>
  <si>
    <t>累计充值20天</t>
  </si>
  <si>
    <t>累计充值21天</t>
  </si>
  <si>
    <t>累计充值22天</t>
  </si>
  <si>
    <t>累计充值23天</t>
  </si>
  <si>
    <t>累计充值24天</t>
  </si>
  <si>
    <t>累计充值25天</t>
  </si>
  <si>
    <t>累计充值26天</t>
  </si>
  <si>
    <t>累计充值27天</t>
  </si>
  <si>
    <t>累计充值28天</t>
  </si>
  <si>
    <t>累计充值29天</t>
  </si>
  <si>
    <t>累计充值30天</t>
  </si>
  <si>
    <t>累计充值31天</t>
  </si>
  <si>
    <t>累计充值32天</t>
  </si>
  <si>
    <t>累计充值33天</t>
  </si>
  <si>
    <t>累计充值34天</t>
  </si>
  <si>
    <t>累计充值35天</t>
  </si>
  <si>
    <t>累计充值36天</t>
  </si>
  <si>
    <t>累计充值37天</t>
  </si>
  <si>
    <t>累计充值38天</t>
  </si>
  <si>
    <t>累计充值39天</t>
  </si>
  <si>
    <t>累计充值40天</t>
  </si>
  <si>
    <t>累计充值41天</t>
  </si>
  <si>
    <t>累计充值42天</t>
  </si>
  <si>
    <t>名称</t>
    <phoneticPr fontId="1" type="noConversion"/>
  </si>
  <si>
    <t>金币</t>
    <phoneticPr fontId="1" type="noConversion"/>
  </si>
  <si>
    <t>战士首充</t>
    <phoneticPr fontId="1" type="noConversion"/>
  </si>
  <si>
    <t>法师首充</t>
    <phoneticPr fontId="1" type="noConversion"/>
  </si>
  <si>
    <t>道士首充</t>
    <phoneticPr fontId="1" type="noConversion"/>
  </si>
  <si>
    <t>职业分类</t>
    <phoneticPr fontId="1" type="noConversion"/>
  </si>
  <si>
    <t>时间类型</t>
  </si>
  <si>
    <t>开始时间</t>
  </si>
  <si>
    <t>结束时间</t>
  </si>
  <si>
    <t>活动结束后是否删数据</t>
  </si>
  <si>
    <t>限制服务器id</t>
  </si>
  <si>
    <t>该日期后开服不开</t>
  </si>
  <si>
    <t>该日期前开服不开</t>
  </si>
  <si>
    <t>该日期后合服不开</t>
  </si>
  <si>
    <t>该日期前合服不开</t>
  </si>
  <si>
    <t>判断是否对跨服状态生效</t>
  </si>
  <si>
    <t>第几次合服生效</t>
  </si>
  <si>
    <t>标签名</t>
  </si>
  <si>
    <t>描述</t>
  </si>
  <si>
    <t>开服活动-等级达标</t>
  </si>
  <si>
    <t>"0-0:0"</t>
  </si>
  <si>
    <t>"7-0:0"</t>
  </si>
  <si>
    <t>"开服达标活动"</t>
  </si>
  <si>
    <t>"开服活动期间，达到指定等级可领取对应奖励"</t>
  </si>
  <si>
    <t>开服活动-翅膀达标</t>
  </si>
  <si>
    <t>"2-0:0"</t>
  </si>
  <si>
    <t>"3-0:0"</t>
  </si>
  <si>
    <t>"开服活动期间，三角色羽翼总等阶满足条件可领取对应奖励"</t>
  </si>
  <si>
    <t>开服活动-铸造达标</t>
  </si>
  <si>
    <t>"1-0:0"</t>
  </si>
  <si>
    <t>"开服活动期间，三角色铸造总等级满足条件可领取对应奖励"</t>
  </si>
  <si>
    <t>开服活动-龙魂达标</t>
  </si>
  <si>
    <t>"开服活动期间，三角色龙魂总星数满足条件可领取对应奖励"</t>
  </si>
  <si>
    <t>开服活动-图鉴达标</t>
  </si>
  <si>
    <t>"4-0:0"</t>
  </si>
  <si>
    <t>"开服活动期间，图鉴总战力满足条件可领取对应奖励"</t>
  </si>
  <si>
    <t>开服活动-全民BOSS</t>
  </si>
  <si>
    <t>"全民BOSS"</t>
  </si>
  <si>
    <t>"开服活动期间，成功获得所示BOSS归属即可获得对应珍稀奖励"</t>
  </si>
  <si>
    <t>开服活动-开服礼包</t>
  </si>
  <si>
    <t>"开服礼包"</t>
  </si>
  <si>
    <t>"开服期间限定购买，仅此一次，错过不再有"</t>
  </si>
  <si>
    <t>开服活动-铸造榜</t>
  </si>
  <si>
    <t>"开服冲榜活动"</t>
  </si>
  <si>
    <t>"活动期间，三角色铸造总等级冲上排行榜前20名，第二天可获得对应奖励"</t>
  </si>
  <si>
    <t>开服活动-龙魂榜</t>
  </si>
  <si>
    <t>"活动期间，三角色龙魂总星数冲上排行榜前20名，第二天可获得对应奖励"</t>
  </si>
  <si>
    <t>开服活动-翅膀榜</t>
  </si>
  <si>
    <t>"活动期间，三角色羽翼总等阶冲上排行榜前20名，第二天可获得对应奖励"</t>
  </si>
  <si>
    <t>开服活动-图鉴榜</t>
  </si>
  <si>
    <t>"活动期间，图鉴总战力冲上排行榜前20名，第二天可获得对应奖励"</t>
  </si>
  <si>
    <t>开服活动-转生榜</t>
  </si>
  <si>
    <t>"5-0:0"</t>
  </si>
  <si>
    <t>"活动期间，转生数冲上排行榜前20名，第二天可获得对应奖励"</t>
  </si>
  <si>
    <t>开服活动-装备总评分榜</t>
  </si>
  <si>
    <t>"活动期间，三角色装备总评分冲上排行榜前20名，第二天可获得对应奖励"</t>
  </si>
  <si>
    <t>开服活动-七日连充</t>
  </si>
  <si>
    <t>false</t>
  </si>
  <si>
    <t>""</t>
  </si>
  <si>
    <t>"开服活动期间，每天充值10000元宝，达到指定天数可领取豪华大奖"</t>
  </si>
  <si>
    <t>开服活动-七日累充</t>
  </si>
  <si>
    <t>"开服活动期间，累计充值达588888元宝可领取珍稀奖励"</t>
  </si>
  <si>
    <t>开服活动-转生达标</t>
  </si>
  <si>
    <t>"开服活动期间，转生达到指定转数可领取对应奖励"</t>
  </si>
  <si>
    <t>开服活动-装备达标</t>
  </si>
  <si>
    <t>"开服活动期间，三角色装备总评分满足条件可领取对应奖励"</t>
  </si>
  <si>
    <t>开服活动-限购礼包1</t>
  </si>
  <si>
    <t>"活动期间，满足条件可以购买对应折扣道具"</t>
  </si>
  <si>
    <t>开服活动-限购礼包2</t>
  </si>
  <si>
    <t>开服活动-限购礼包3</t>
  </si>
  <si>
    <t>开服活动-限购礼包4</t>
  </si>
  <si>
    <t>开服活动-限购礼包5</t>
  </si>
  <si>
    <t>开服活动-限购礼包6</t>
  </si>
  <si>
    <t>"6-0:0"</t>
  </si>
  <si>
    <t>开服活动-限购礼包7</t>
  </si>
  <si>
    <t>开服活动-次周累充返利</t>
  </si>
  <si>
    <t>"14-0:0"</t>
  </si>
  <si>
    <t>"累计充值满足指定额度可领取，每日重置"</t>
  </si>
  <si>
    <t>次周活动-限购礼包1</t>
  </si>
  <si>
    <t>"10-0:0"</t>
  </si>
  <si>
    <t>"11-0:0"</t>
  </si>
  <si>
    <t>次周活动-限购礼包2</t>
  </si>
  <si>
    <t>"12-0:0"</t>
  </si>
  <si>
    <t>次周活动-限购礼包3</t>
  </si>
  <si>
    <t>"13-0:0"</t>
  </si>
  <si>
    <t>次周活动-限购礼包4</t>
  </si>
  <si>
    <t>次周活动-烈焰达标</t>
  </si>
  <si>
    <t>"活动期间，烈焰戒指等阶和星数满足条件可领取限量奖励"</t>
  </si>
  <si>
    <t>次周活动-烈焰副本</t>
  </si>
  <si>
    <t>"仅此一次，每日重置，击杀烈焰使魔可获得大量特戒碎片"</t>
  </si>
  <si>
    <t>次周活动-烈焰积分</t>
  </si>
  <si>
    <t>"活动期间，击杀60级以上BOSS(BOSS之家除外)可获得烈焰积分，消耗积分可购买对应道具"</t>
  </si>
  <si>
    <t>累计充值</t>
  </si>
  <si>
    <t>"仅此一次，传世装备限时回馈"</t>
  </si>
  <si>
    <t>双11活动-限购礼包</t>
  </si>
  <si>
    <t>"2017.11.10-0:0"</t>
  </si>
  <si>
    <t>"2017.11.13-0:0"</t>
  </si>
  <si>
    <t>"2017.11.03-0:0"</t>
  </si>
  <si>
    <t>"11月10日开启，11月12日结束。满足条件即可购买对应折扣道具。"</t>
  </si>
  <si>
    <t>双11活动-准点抢购1</t>
  </si>
  <si>
    <t>"2017.11.11-0:0"</t>
  </si>
  <si>
    <t>"2017.11.12-0:0"</t>
  </si>
  <si>
    <t>"只在11月11日当天开放，准点开抢，数量有限，下手要快！"</t>
  </si>
  <si>
    <t>双11活动-准点抢购2</t>
  </si>
  <si>
    <t>双11活动-准点抢购3</t>
  </si>
  <si>
    <t>双11活动-准点抢购4</t>
  </si>
  <si>
    <t>双11活动-充值返利</t>
  </si>
  <si>
    <t>"11月10日开启，11月12日结束。单笔充值满足条件可领取巨额返利。"</t>
  </si>
  <si>
    <t>合服登录活动</t>
  </si>
  <si>
    <t>"活动期间，每日登陆上线即可领取一份登陆大礼。"</t>
  </si>
  <si>
    <t>合服累消排行</t>
  </si>
  <si>
    <t>"活动期间，消费达到要求数量即可参与排名，活动结束后通过邮件发放奖励。"</t>
  </si>
  <si>
    <t>合服累消达标</t>
  </si>
  <si>
    <t>"活动期间，消费元宝数达到指定数量即可领取对应奖励。"</t>
  </si>
  <si>
    <t>合服BOSS积分</t>
  </si>
  <si>
    <t>"活动期间，击杀40级以上BOSS（BOSS之家除外）可获得BOSS积分。BOSS等级越高积分越高，归属比参与可获得更多积分。"</t>
  </si>
  <si>
    <t>合服特惠礼包</t>
  </si>
  <si>
    <t>"合服特惠礼包。"</t>
  </si>
  <si>
    <t>合服限购礼包1</t>
  </si>
  <si>
    <t>"活动期间，满足条件可以购买对应折扣道具。"</t>
  </si>
  <si>
    <t>合服限购礼包2</t>
  </si>
  <si>
    <t>合服限购礼包3</t>
  </si>
  <si>
    <t>合服限购礼包4</t>
  </si>
  <si>
    <t>合服限购礼包5</t>
  </si>
  <si>
    <t>合服限购礼包6</t>
  </si>
  <si>
    <t>合服限购礼包7</t>
  </si>
  <si>
    <t>合服元宝转盘</t>
  </si>
  <si>
    <t>"元宝翻倍，稳赚不赔，最高翻8倍！一夜暴富不是梦！"</t>
  </si>
  <si>
    <t>合服限时兑换</t>
  </si>
  <si>
    <t>"至尊令牌可兑限量大奖！8阶官印等着你！"</t>
  </si>
  <si>
    <t>合服累充162</t>
  </si>
  <si>
    <t>"活动期间，累计充值达到指定额度即可领取豪礼！"</t>
  </si>
  <si>
    <t>合服连充162-100元</t>
  </si>
  <si>
    <t>"活动期间，每天充值10000元宝即可领取豪礼！"</t>
  </si>
  <si>
    <t>合服连充新-10元</t>
  </si>
  <si>
    <t>"活动期间，每天充值1000元宝即可领取豪礼！"</t>
  </si>
  <si>
    <t>感恩节-登录奖励</t>
  </si>
  <si>
    <t>"2017.11.23-0:0"</t>
  </si>
  <si>
    <t>"2017.11.26-0:0"</t>
  </si>
  <si>
    <t>"2017.11.16-0:0"</t>
  </si>
  <si>
    <t>"活动期间，每日登陆上线即可领取一份登陆大礼"</t>
  </si>
  <si>
    <t>感恩节BOSS积分</t>
  </si>
  <si>
    <t>"活动期间，击杀40级以上BOSS(BOSS之家除外)可获得积分，消耗积分可购买对应道具"</t>
  </si>
  <si>
    <t>感恩节累充</t>
  </si>
  <si>
    <t>"活动期间，每日充值2000元宝可领取大礼一份，累计充值达到80000元宝可领取超级豪华礼包！"</t>
  </si>
  <si>
    <t>感恩节特惠礼包</t>
  </si>
  <si>
    <t>"感恩节特惠礼包"</t>
  </si>
  <si>
    <t>感恩节幸运转盘</t>
  </si>
  <si>
    <t>"感恩节幸运转盘"</t>
  </si>
  <si>
    <t>双12活动-第一天转盘</t>
  </si>
  <si>
    <t>"2017.12.11-0:0"</t>
  </si>
  <si>
    <t>"2017.12.12-0:0"</t>
  </si>
  <si>
    <t>"2017.12.04-0:0"</t>
  </si>
  <si>
    <t>"双12幸运转盘，每日重置达标进度！"</t>
  </si>
  <si>
    <t>双12活动-第二天转盘</t>
  </si>
  <si>
    <t>"2017.12.13-0:0"</t>
  </si>
  <si>
    <t>双12活动-第三天转盘</t>
  </si>
  <si>
    <t>"2017.12.14-0:0"</t>
  </si>
  <si>
    <t>双12活动-特惠</t>
  </si>
  <si>
    <t>"12月11日开启，12月13日结束。满足条件即可购买对应折扣道具！"</t>
  </si>
  <si>
    <t>双12活动-累充第1档</t>
  </si>
  <si>
    <t>"12月11日开启，12月13日结束。累计充值指定数额拿大奖。"</t>
  </si>
  <si>
    <t>双12活动-累充第2档</t>
  </si>
  <si>
    <t>双12活动-累充第3档</t>
  </si>
  <si>
    <t>元旦登录</t>
  </si>
  <si>
    <t>"2017.12.29-0:0"</t>
  </si>
  <si>
    <t>"2018.1.3-0:0"</t>
  </si>
  <si>
    <t>"2017.12.23-0:0"</t>
  </si>
  <si>
    <t>"庆元旦！迎新年！拆灯笼！拿利是！每日上线即可领取一份大红灯笼奖励"</t>
  </si>
  <si>
    <t>元旦-爆竹1</t>
  </si>
  <si>
    <t>"开庆典爆竹，赢爆炸豪礼！每日开启达到指定次数还可以获得豪华爆竹(用于兑换极品大礼）！"</t>
  </si>
  <si>
    <t>元旦-累消达标</t>
  </si>
  <si>
    <t>"砸元宝尽显土豪霸气！消费元宝数达到指定数量即可领取超值大奖！"</t>
  </si>
  <si>
    <t>元旦-限购礼包1</t>
  </si>
  <si>
    <t>"2017.12.30-0:0"</t>
  </si>
  <si>
    <t>"迎新年，最后3天折价大甩卖！满足条件即可以购买大额折扣道具"</t>
  </si>
  <si>
    <t>元旦-限购礼包2</t>
  </si>
  <si>
    <t>"2017.12.31-0:0"</t>
  </si>
  <si>
    <t>"迎新年，最后2天折价大甩卖！满足条件即可以购买大额折扣道具"</t>
  </si>
  <si>
    <t>元旦-限购礼包3</t>
  </si>
  <si>
    <t>"2018.1.1-0:0"</t>
  </si>
  <si>
    <t>"迎新年，最后1天折价大甩卖！满足条件即可以购买大额折扣道具"</t>
  </si>
  <si>
    <t>元旦-限购礼包4</t>
  </si>
  <si>
    <t>"2018.1.2-0:0"</t>
  </si>
  <si>
    <t>"迎新年，最后1天清仓大甩卖(再不走是小狗)！满足条件即可以购买大额折扣道具"</t>
  </si>
  <si>
    <t>元旦-限购礼包5</t>
  </si>
  <si>
    <t>"迎新年，最后1天清仓大甩卖(真的是最后1天)！满足条件即可以购买大额折扣道具"</t>
  </si>
  <si>
    <t>元旦-限时兑换</t>
  </si>
  <si>
    <t>"爆竹声声迎新年！豪华爆竹限量换大奖！"</t>
  </si>
  <si>
    <t>元旦-嗨翻天</t>
  </si>
  <si>
    <t>"完成指定活动得积分，嗨翻5日天天拿大奖！(积分和奖励将每日重置)"</t>
  </si>
  <si>
    <t>元旦-每日累充1天</t>
  </si>
  <si>
    <t>元旦-每日累充2天</t>
  </si>
  <si>
    <t>元旦-每日累充3天</t>
  </si>
  <si>
    <t>元旦-每日累充4天</t>
  </si>
  <si>
    <t>元旦-每日累充5天</t>
  </si>
  <si>
    <t>圣诞登录</t>
  </si>
  <si>
    <t>"2017.12.26-0:0"</t>
  </si>
  <si>
    <t>"2017.12.17-0:0"</t>
  </si>
  <si>
    <t>"圣诞老人出没请注意！每日上线记得去看看圣诞老人藏在袜子里的奖励哟！"</t>
  </si>
  <si>
    <t>圣诞-堆雪人</t>
  </si>
  <si>
    <t>"击杀60级以上BOSS(BOSS之家除外)可收集雪球，积攒足够的雪球送给雪人将获得雪人的赠礼"</t>
  </si>
  <si>
    <t>圣诞-累冲1档</t>
  </si>
  <si>
    <t>"每充值100元宝可获得1点圣诞树装扮积分。累计指定数额的积分可领取圣诞树大礼！"</t>
  </si>
  <si>
    <t>圣诞-雪娃1</t>
  </si>
  <si>
    <t>"购买雪娃娃得巨献好礼！活动期间，购买达到指定次数还可以获赠黄金雪娃娃大礼包！"</t>
  </si>
  <si>
    <t>圣诞-特惠</t>
  </si>
  <si>
    <t>"12月23日开启，12月26日零点结束。满足条件即可购买对应折扣道具！"</t>
  </si>
  <si>
    <t>轮回-达标</t>
  </si>
  <si>
    <t>"活动期间，提升轮回等级达到指定阶段，即可领取丰厚的奖励。"</t>
  </si>
  <si>
    <t>"2017.12.24-0:0"</t>
  </si>
  <si>
    <t>轮回-限购礼包2</t>
  </si>
  <si>
    <t>"2017.12.25-0:0"</t>
  </si>
  <si>
    <t>轮回-限购礼包3</t>
  </si>
  <si>
    <t>暖冬活动-累充1</t>
  </si>
  <si>
    <t>"2018.1.6-0:0"</t>
  </si>
  <si>
    <t>"2018.1.7-0:0"</t>
  </si>
  <si>
    <t>"活动期间，累计充值指定数额领取珍贵奖励！"</t>
  </si>
  <si>
    <t>暖冬活动-累充2</t>
  </si>
  <si>
    <t>"2018.1.8-0:0"</t>
  </si>
  <si>
    <t>暖冬活动-累充3</t>
  </si>
  <si>
    <t>"2018.1.9-0:0"</t>
  </si>
  <si>
    <t>暖冬活动-限购礼包1</t>
  </si>
  <si>
    <t>"暖冬豪礼限时送，满足条件可以购买对应折扣道具"</t>
  </si>
  <si>
    <t>暖冬活动-限购礼包2</t>
  </si>
  <si>
    <t>暖冬活动-限购礼包3</t>
  </si>
  <si>
    <t>暖冬活动-幸运转盘</t>
  </si>
  <si>
    <t>"暖冬活动幸运转盘"</t>
  </si>
  <si>
    <t>2周七天乐</t>
  </si>
  <si>
    <t>"在活动开启7天内完成前5天开启的活动任务，赚取积分赢最终大奖"</t>
  </si>
  <si>
    <t>1.11限购</t>
  </si>
  <si>
    <t>"2018.1.11-0:0"</t>
  </si>
  <si>
    <t>"2018.1.12-0:0"</t>
  </si>
  <si>
    <t>"2017.12.28-0:0"</t>
  </si>
  <si>
    <t>"2018.1.13-0:0"</t>
  </si>
  <si>
    <t>"2018.1.14-0:0"</t>
  </si>
  <si>
    <t>跨服消费榜嵌套的达标</t>
  </si>
  <si>
    <t>"2018.1.16-0:0"</t>
  </si>
  <si>
    <t>"2018.1.19-0:0"</t>
  </si>
  <si>
    <t>跨服消耗排行榜</t>
  </si>
  <si>
    <t>"活动期间，消费满足要求上榜后可获得对应珍惜奖励"</t>
  </si>
  <si>
    <t>版本庆典-寻宝</t>
  </si>
  <si>
    <t>"版本庆典-寻宝活动"</t>
  </si>
  <si>
    <t>版本庆典-特惠礼包</t>
  </si>
  <si>
    <t>"特惠礼包助您飞速提升战力，备战巅峰"</t>
  </si>
  <si>
    <t>版本庆典-登录</t>
  </si>
  <si>
    <t>"备战巅峰活动期间，每日登录可领取对应的成长助力礼品"</t>
  </si>
  <si>
    <t>版本庆典-积分兑换</t>
  </si>
  <si>
    <t>版本庆典-累充</t>
  </si>
  <si>
    <t>"每充值100元宝可获得1点金蛋积分，积分累计达到足够的数额即可获得金锤，砸开对应的金蛋获得豪华大礼！"</t>
  </si>
  <si>
    <t>版本庆典元宝转盘</t>
  </si>
  <si>
    <t>"2018.1.17-0:0"</t>
  </si>
  <si>
    <t>"备战巅峰！元宝助力，最高翻8倍！！一把逆袭！！！"</t>
  </si>
  <si>
    <t>腊八-限时玩法掉落（15-30天）</t>
  </si>
  <si>
    <t>"2018.1.22-0:0"</t>
  </si>
  <si>
    <t>"2018.1.27-0:0"</t>
  </si>
  <si>
    <t>"活动时间内，参与击杀各种BOSS皆有可能掉落活动兑换道具！"</t>
  </si>
  <si>
    <t>腊八-节日BOSS</t>
  </si>
  <si>
    <t>"活动期间，每天12:00，22:00会刷新腊八节BOSS，BOSS掉落各种材料！"</t>
  </si>
  <si>
    <t>腊八-节日兑换</t>
  </si>
  <si>
    <t>"参与腊八活动，收集活动道具，可兑换各种腊八粥，打开后获得丰富奖励！"</t>
  </si>
  <si>
    <t>腊八-福袋（15-30天）</t>
  </si>
  <si>
    <t>"开福袋，攒福气，拿豪礼！腊八期间限时开启幸运福袋活动，累计开启次数，可以额外获得奖励！"</t>
  </si>
  <si>
    <t>腊八-限购礼包（15-30天）1</t>
  </si>
  <si>
    <t>"2018.1.23-0:0"</t>
  </si>
  <si>
    <t>腊八-限购礼包（15-30天）2</t>
  </si>
  <si>
    <t>"2018.1.24-0:0"</t>
  </si>
  <si>
    <t>腊八-限购礼包（15-30天）3</t>
  </si>
  <si>
    <t>"2018.1.25-0:0"</t>
  </si>
  <si>
    <t>腊八-限购礼包（15-30天）4</t>
  </si>
  <si>
    <t>"2018.1.26-0:0"</t>
  </si>
  <si>
    <t>腊八-限购礼包（15-30天）5</t>
  </si>
  <si>
    <t>腊八-限时玩法掉落（31-60天）</t>
  </si>
  <si>
    <t>"2017.11.24-0:0"</t>
  </si>
  <si>
    <t>"活动时间内，参与击杀各种BOSS皆有可能掉落活动道具和礼包！"</t>
  </si>
  <si>
    <t>腊八-福袋（31-60天）</t>
  </si>
  <si>
    <t>腊八-限购礼包（31-60天）1</t>
  </si>
  <si>
    <t>腊八-限购礼包（31-60天）2</t>
  </si>
  <si>
    <t>腊八-限购礼包（31-60天）3</t>
  </si>
  <si>
    <t>腊八-限购礼包（31-60天）4</t>
  </si>
  <si>
    <t>腊八-限购礼包（31-60天）5</t>
  </si>
  <si>
    <t>腊八-限时玩法掉落（61-无限天）</t>
  </si>
  <si>
    <t>腊八-福袋（61-无限天）</t>
  </si>
  <si>
    <t>腊八-限购礼包（61-无限天）1</t>
  </si>
  <si>
    <t>腊八-限购礼包（61-无限天）2</t>
  </si>
  <si>
    <t>腊八-限购礼包（61-无限天）3</t>
  </si>
  <si>
    <t>腊八-限购礼包（61-无限天）4</t>
  </si>
  <si>
    <t>腊八-限购礼包（61-无限天）5</t>
  </si>
  <si>
    <t>腊八活动-累充（15-30天）1</t>
  </si>
  <si>
    <t>腊八活动-累充（15-30天）2</t>
  </si>
  <si>
    <t>腊八活动-累充（15-30天）3</t>
  </si>
  <si>
    <t>腊八活动-累充（15-30天）4</t>
  </si>
  <si>
    <t>腊八活动-累充（15-30天）5</t>
  </si>
  <si>
    <t>腊八活动-累充（31-60天）1</t>
  </si>
  <si>
    <t>腊八活动-累充（31-60天）2</t>
  </si>
  <si>
    <t>腊八活动-累充（31-60天）3</t>
  </si>
  <si>
    <t>腊八活动-累充（31-60天）4</t>
  </si>
  <si>
    <t>腊八活动-累充（31-60天）5</t>
  </si>
  <si>
    <t>腊八活动-累充（61天以上）1</t>
  </si>
  <si>
    <t>腊八活动-累充（61天以上）2</t>
  </si>
  <si>
    <t>腊八活动-累充（61天以上）3</t>
  </si>
  <si>
    <t>腊八活动-累充（61天以上）4</t>
  </si>
  <si>
    <t>腊八活动-累充（61天以上）5</t>
  </si>
  <si>
    <t>战灵活动-达标奖励</t>
  </si>
  <si>
    <t>"2018.1.28-0:0"</t>
  </si>
  <si>
    <t>"2018.1.31-0:0"</t>
  </si>
  <si>
    <t>{1,4,13,18,22,42}</t>
  </si>
  <si>
    <t>"活动期间，战灵总星数达到目标可以领取对应的奖励"</t>
  </si>
  <si>
    <t>战灵活动-抽奖</t>
  </si>
  <si>
    <t>战灵活动-限购礼包1</t>
  </si>
  <si>
    <t>"2018.1.29-0:0"</t>
  </si>
  <si>
    <t>战灵活动-限购礼包2</t>
  </si>
  <si>
    <t>"2018.1.30-0:0"</t>
  </si>
  <si>
    <t>战灵活动-限购礼包3</t>
  </si>
  <si>
    <t>战灵累计消费1</t>
  </si>
  <si>
    <t>"消费元宝数达到指定数量即可领取超值大奖！每日重置消费额度。"</t>
  </si>
  <si>
    <t>战灵累计消费2</t>
  </si>
  <si>
    <t>战灵累计消费3</t>
  </si>
  <si>
    <t>"2018.2.1-0:0"</t>
  </si>
  <si>
    <t>战灵活动-抽奖A</t>
  </si>
  <si>
    <t>战灵活动-抽奖B</t>
  </si>
  <si>
    <t>"2017.12.1-0:0"</t>
  </si>
  <si>
    <t>战灵活动-抽奖C</t>
  </si>
  <si>
    <t>第2次合服登录活动</t>
  </si>
  <si>
    <t>第2次合服限时兑换</t>
  </si>
  <si>
    <t>第2次合服累消排行</t>
  </si>
  <si>
    <t>第2次合服累消达标</t>
  </si>
  <si>
    <t>第2次合服累充162</t>
  </si>
  <si>
    <t>第2次合服连充162</t>
  </si>
  <si>
    <t>第2次合服BOSS积分</t>
  </si>
  <si>
    <t>第2次合服特惠礼包</t>
  </si>
  <si>
    <t>第2次合服限购礼包1</t>
  </si>
  <si>
    <t>第2次合服限购礼包2</t>
  </si>
  <si>
    <t>第2次合服限购礼包3</t>
  </si>
  <si>
    <t>第2次合服限购礼包4</t>
  </si>
  <si>
    <t>第2次合服限购礼包5</t>
  </si>
  <si>
    <t>第2次合服限购礼包6</t>
  </si>
  <si>
    <t>第2次合服限购礼包7</t>
  </si>
  <si>
    <t>第2次合服连充-10元</t>
  </si>
  <si>
    <t>战灵充值转盘</t>
  </si>
  <si>
    <t>"元宝助力，最高翻8倍！！一把逆袭！！！"</t>
  </si>
  <si>
    <t>战灵版本-累充（15-30天）1</t>
  </si>
  <si>
    <t>战灵版本-累充（31-60天）1</t>
  </si>
  <si>
    <t>战灵版本-累充（61天以上）1</t>
  </si>
  <si>
    <t>立春-登录</t>
  </si>
  <si>
    <t>"2018.2.2-0:0"</t>
  </si>
  <si>
    <t>"2018.2.5-0:0"</t>
  </si>
  <si>
    <t>"活动期间，每日登录可领取对应的成长助力礼品"</t>
  </si>
  <si>
    <t>立春-累充</t>
  </si>
  <si>
    <t>节日商店</t>
  </si>
  <si>
    <t>"开启活动商店，高折扣获得各种稀有奖励，"</t>
  </si>
  <si>
    <t>"17-0:0"</t>
  </si>
  <si>
    <t>"2018.1.20-0:0"</t>
  </si>
  <si>
    <t>"2018.2.3-0:0"</t>
  </si>
  <si>
    <t>"2018.2.6-0:0"</t>
  </si>
  <si>
    <t>"2018.1.21-0:0"</t>
  </si>
  <si>
    <t>节日商店(60天以内</t>
  </si>
  <si>
    <t>"2017.12.6-0:0"</t>
  </si>
  <si>
    <t>节日商店（61天以及以上</t>
  </si>
  <si>
    <t>小年红包雨</t>
  </si>
  <si>
    <t>"2018.2.8-0:0"</t>
  </si>
  <si>
    <t>"充值即可拿积分，全服发红包彰显大哥身份！"</t>
  </si>
  <si>
    <t>小年神羽转盘</t>
  </si>
  <si>
    <t>小年限购礼包1</t>
  </si>
  <si>
    <t>小年限购礼包2</t>
  </si>
  <si>
    <t>"2018.2.7-0:0"</t>
  </si>
  <si>
    <t>小年限购礼包3</t>
  </si>
  <si>
    <t>小年每日消费1</t>
  </si>
  <si>
    <t>小年每日消费2</t>
  </si>
  <si>
    <t>小年每日消费3</t>
  </si>
  <si>
    <t>"2018.2.10-0:0"</t>
  </si>
  <si>
    <t>小年神羽转盘（15-30天）</t>
  </si>
  <si>
    <t>小年限购礼包1（15-60天）</t>
  </si>
  <si>
    <t>"2017.12.10-0:0"</t>
  </si>
  <si>
    <t>小年限购礼包2（15-60天）</t>
  </si>
  <si>
    <t>"2018.2.9-0:0"</t>
  </si>
  <si>
    <t>小年限购礼包3（15-60天）</t>
  </si>
  <si>
    <t>小年神羽转盘（31-60天）</t>
  </si>
  <si>
    <t>小年神羽转盘（61天以上）</t>
  </si>
  <si>
    <t>小年限购礼包1（61天以上）</t>
  </si>
  <si>
    <t>小年限购礼包2（61天以上）</t>
  </si>
  <si>
    <t>小年限购礼包3（61天以上）</t>
  </si>
  <si>
    <t>谁与争锋-跨服消费榜嵌套的达标</t>
  </si>
  <si>
    <t>"2018.2.13-0:0"</t>
  </si>
  <si>
    <t>谁与争锋-跨服消耗排行榜</t>
  </si>
  <si>
    <t>谁与争锋-寻宝</t>
  </si>
  <si>
    <t>"谁与争锋-寻宝活动"</t>
  </si>
  <si>
    <t>谁与争锋-特惠礼包</t>
  </si>
  <si>
    <t>"特惠礼包助您飞速提升战力，跨服战场争锋群雄"</t>
  </si>
  <si>
    <t>谁与争锋-登录</t>
  </si>
  <si>
    <t>"谁与争锋活动期间，每日登录可领取欢庆豪礼助您战力成长"</t>
  </si>
  <si>
    <t>谁与争锋-积分兑换</t>
  </si>
  <si>
    <t>谁与争锋-累充</t>
  </si>
  <si>
    <t>谁与争锋元宝转盘</t>
  </si>
  <si>
    <t>"2018.2.11-0:0"</t>
  </si>
  <si>
    <t>"跨服战场，谁与争锋！元宝助力，最高翻8倍！！一把逆袭！！！"</t>
  </si>
  <si>
    <t>"2018.2.14-0:0"</t>
  </si>
  <si>
    <t>"2018.2.12-0:0"</t>
  </si>
  <si>
    <t>2.31更新福利-暗之BOSS</t>
  </si>
  <si>
    <t>"2018.2.15-0:0"</t>
  </si>
  <si>
    <t>"2018.2.21-0:0"</t>
  </si>
  <si>
    <t>春节登录</t>
  </si>
  <si>
    <t>"春节送好礼，每日登录即可领取福利。"</t>
  </si>
  <si>
    <t>春节BOSS积分</t>
  </si>
  <si>
    <t>春节VIP限购</t>
  </si>
  <si>
    <t>"2018.2.17-0:0"</t>
  </si>
  <si>
    <t>春节限购1</t>
  </si>
  <si>
    <t>春节限购2</t>
  </si>
  <si>
    <t>春节限购3</t>
  </si>
  <si>
    <t>"2018.2.16-0:0"</t>
  </si>
  <si>
    <t>春节限购4</t>
  </si>
  <si>
    <t>春节限购5</t>
  </si>
  <si>
    <t>"2018.2.18-0:0"</t>
  </si>
  <si>
    <t>春节限购6</t>
  </si>
  <si>
    <t>"2018.2.19-0:0"</t>
  </si>
  <si>
    <t>春节限购7</t>
  </si>
  <si>
    <t>"2018.2.20-0:0"</t>
  </si>
  <si>
    <t>春节限购8</t>
  </si>
  <si>
    <t>春节抽奖</t>
  </si>
  <si>
    <t>春节八天乐</t>
  </si>
  <si>
    <t>"在活动开启8天内完成前5天开启的活动任务，赚取积分赢最终大奖"</t>
  </si>
  <si>
    <t>春节-累充</t>
  </si>
  <si>
    <t>"2018.2.22-0:0"</t>
  </si>
  <si>
    <t>春节登录(1-30</t>
  </si>
  <si>
    <t>春节登录(31-60</t>
  </si>
  <si>
    <t>春节登录(61+</t>
  </si>
  <si>
    <t>春节抽奖(15-60</t>
  </si>
  <si>
    <t>春节抽奖(61+</t>
  </si>
  <si>
    <t>（15-60）春节限购1</t>
  </si>
  <si>
    <t>（15-60）春节限购2</t>
  </si>
  <si>
    <t>（15-60）春节限购3</t>
  </si>
  <si>
    <t>（15-60）春节限购4</t>
  </si>
  <si>
    <t>（15-60）春节限购5</t>
  </si>
  <si>
    <t>（15-60）春节限购6</t>
  </si>
  <si>
    <t>（15-60）春节限购7</t>
  </si>
  <si>
    <t>（15-60）春节限购8</t>
  </si>
  <si>
    <t>（61+）春节限购1</t>
  </si>
  <si>
    <t>（61+）春节限购2</t>
  </si>
  <si>
    <t>（61+）春节限购3</t>
  </si>
  <si>
    <t>（61+）春节限购4</t>
  </si>
  <si>
    <t>（61+）春节限购5</t>
  </si>
  <si>
    <t>（61+）春节限购6</t>
  </si>
  <si>
    <t>（61+）春节限购7</t>
  </si>
  <si>
    <t>（61+）春节限购8</t>
  </si>
  <si>
    <t>开门红活动-新连冲</t>
  </si>
  <si>
    <t>"2018.2.24-0:0"</t>
  </si>
  <si>
    <t>"活动期间，满足条件可以领取奖励。"</t>
  </si>
  <si>
    <t>开门利是</t>
  </si>
  <si>
    <t>开门红-特惠礼包</t>
  </si>
  <si>
    <t>"特惠礼包助您飞速提升战力，傲视群雄"</t>
  </si>
  <si>
    <t>开门红限购1</t>
  </si>
  <si>
    <t>开门红限购2</t>
  </si>
  <si>
    <t>"2018.2.23-0:0"</t>
  </si>
  <si>
    <t>开门红限购3</t>
  </si>
  <si>
    <t>"2018.2.25-0:0"</t>
  </si>
  <si>
    <t>(61+)开门红限购1</t>
  </si>
  <si>
    <t>(61+)开门红限购2</t>
  </si>
  <si>
    <t>(61+)开门红限购3</t>
  </si>
  <si>
    <t>(15-60)开门红限购1</t>
  </si>
  <si>
    <t>(15-60)开门红限购2</t>
  </si>
  <si>
    <t>(15-60)开门红限购3</t>
  </si>
  <si>
    <t>元宵-限时玩法掉落</t>
  </si>
  <si>
    <t>"2018.2.28-0:0"</t>
  </si>
  <si>
    <t>"2018.3.3-0:0"</t>
  </si>
  <si>
    <t>元宵-节日兑换</t>
  </si>
  <si>
    <t>"参与元宵活动，收集活动道具，可兑换各种汤圆，打开后获得丰富奖励！"</t>
  </si>
  <si>
    <t>元宵-福袋</t>
  </si>
  <si>
    <t>"开福袋，攒福气，拿豪礼！元宵期间限时开启幸运福袋活动，累计开启次数，可以额外获得奖励！"</t>
  </si>
  <si>
    <t>元宵-累充</t>
  </si>
  <si>
    <t>元宵限购1</t>
  </si>
  <si>
    <t>"2018.3.1-0:0"</t>
  </si>
  <si>
    <t>元宵限购2</t>
  </si>
  <si>
    <t>"2018.3.2-0:0"</t>
  </si>
  <si>
    <t>元宵限购3</t>
  </si>
  <si>
    <t>"2018.3.5-0:0"</t>
  </si>
  <si>
    <t>"2018.2.26-0:0"</t>
  </si>
  <si>
    <t>元宵-限时玩法掉落（15-30天）</t>
  </si>
  <si>
    <t>元宵-限时玩法掉落（31-60天）</t>
  </si>
  <si>
    <t>元宵-限时玩法掉落（61天）</t>
  </si>
  <si>
    <t>元宵-福袋(15-40天)</t>
  </si>
  <si>
    <t>元宵-福袋(41+天)</t>
  </si>
  <si>
    <t>（15-30）元宵限购1</t>
  </si>
  <si>
    <t>（15-30）元宵限购2</t>
  </si>
  <si>
    <t>"2018.3.4-0:0"</t>
  </si>
  <si>
    <t>（15-30）元宵限购3</t>
  </si>
  <si>
    <t>（31-60）元宵限购1</t>
  </si>
  <si>
    <t>（31-60）元宵限购2</t>
  </si>
  <si>
    <t>（31-60）元宵限购3</t>
  </si>
  <si>
    <t>（61+）元宵限购1</t>
  </si>
  <si>
    <t>（61+）元宵限购2</t>
  </si>
  <si>
    <t>（61+）元宵限购3</t>
  </si>
  <si>
    <t>妇女节嗨点</t>
  </si>
  <si>
    <t>"2018.3.6-0:0"</t>
  </si>
  <si>
    <t>"2018.3.9-0:0"</t>
  </si>
  <si>
    <t>"完成指定活动得积分，天天拿大奖！(积分和奖励将每日重置)"</t>
  </si>
  <si>
    <t>妇女节特惠</t>
  </si>
  <si>
    <t>妇女节嗨点(15-30天)</t>
  </si>
  <si>
    <t>"2018.3.7-0:0"</t>
  </si>
  <si>
    <t>"2018.3.10-0:0"</t>
  </si>
  <si>
    <t>妇女节特惠(15-30天)</t>
  </si>
  <si>
    <t>妇女节嗨点(30-60天)</t>
  </si>
  <si>
    <t>妇女节特惠(30-60天)</t>
  </si>
  <si>
    <t>妇女节嗨点(61+天)</t>
  </si>
  <si>
    <t>妇女节特惠(61+天)</t>
  </si>
  <si>
    <t>"2018.3.12-0:0"</t>
  </si>
  <si>
    <t>"2018.3.15-0:0"</t>
  </si>
  <si>
    <t>{1,4,13,18,22,42,55,57,68,79,81,82,104,105,108,117,129,132}</t>
  </si>
  <si>
    <t>"2018.3.13-0:0"</t>
  </si>
  <si>
    <t>谁与争锋-跨服消费榜嵌套的达标（15-60天）</t>
  </si>
  <si>
    <t>"2018.3.16-0:0"</t>
  </si>
  <si>
    <t>"2018.3.8-0:0"</t>
  </si>
  <si>
    <t>谁与争锋-跨服消耗排行榜（15-60天）</t>
  </si>
  <si>
    <t>谁与争锋-寻宝（15-60天）</t>
  </si>
  <si>
    <t>谁与争锋-特惠礼包（15-60天）</t>
  </si>
  <si>
    <t>谁与争锋-累充（15-30天）</t>
  </si>
  <si>
    <t>"2018.3.14-0:0"</t>
  </si>
  <si>
    <t>谁与争锋-跨服消费榜嵌套的达标（61+天）</t>
  </si>
  <si>
    <t>谁与争锋-跨服消耗排行榜（61+天）</t>
  </si>
  <si>
    <t>谁与争锋-特惠礼包（61+天）</t>
  </si>
  <si>
    <t>谁与争锋-累充（31-60天）</t>
  </si>
  <si>
    <t>谁与争锋-累充（61+天）</t>
  </si>
  <si>
    <t>谁与争锋-寻宝（61+天）</t>
  </si>
  <si>
    <t>龙抬头-限时掉落</t>
  </si>
  <si>
    <t>"2018.3.19-0:0"</t>
  </si>
  <si>
    <t>"活动时间内，参与击杀各种BOSS皆有可能掉落活动道具！"</t>
  </si>
  <si>
    <t>龙抬头-转盘</t>
  </si>
  <si>
    <t>龙抬头-新连冲</t>
  </si>
  <si>
    <t>龙抬头-限购-特戒碎片</t>
  </si>
  <si>
    <t>"2018.3.17-0:0"</t>
  </si>
  <si>
    <t>"2018.3.18-0:0"</t>
  </si>
  <si>
    <t>龙抬头-限购-符石</t>
  </si>
  <si>
    <t>"2018.3.20-0:0"</t>
  </si>
  <si>
    <t>龙抬头-转盘（15-60天）</t>
  </si>
  <si>
    <t>龙抬头-转盘（61+天）</t>
  </si>
  <si>
    <t>龙抬头-新连冲（15-60天）</t>
  </si>
  <si>
    <t>龙抬头-新连冲（61+天）</t>
  </si>
  <si>
    <t>龙抬头-限购-特戒碎片（15-60天）</t>
  </si>
  <si>
    <t>龙抬头-限购-符石（15-60天）</t>
  </si>
  <si>
    <t>龙抬头-限购-特戒碎片（61+天）</t>
  </si>
  <si>
    <t>龙抬头-限购-符石（61+天）</t>
  </si>
  <si>
    <t>版本庆典-5日活跃</t>
  </si>
  <si>
    <t>"完成每日活动得狂欢值，攒金币换购限时大礼。"</t>
  </si>
  <si>
    <t>版本庆典-5日商城</t>
  </si>
  <si>
    <t>月末狂欢-跨服团购</t>
  </si>
  <si>
    <t>版本庆典-5日登录</t>
  </si>
  <si>
    <t>元宵-节日BOSS</t>
  </si>
  <si>
    <t>"活动期间，每天12:00，22:00会刷新元宵节BOSS，BOSS掉落各种材料！"</t>
  </si>
  <si>
    <t>元宵活动-累充1</t>
  </si>
  <si>
    <t>元宵活动-累充2</t>
  </si>
  <si>
    <t>元宵活动-累充3</t>
  </si>
  <si>
    <t>元宵活动-累充4</t>
  </si>
  <si>
    <t>（15-30）元宵活动-累充1</t>
  </si>
  <si>
    <t>（15-30）元宵活动-累充2</t>
  </si>
  <si>
    <t>（15-30）元宵活动-累充3</t>
  </si>
  <si>
    <t>（15-30）元宵活动-累充4</t>
  </si>
  <si>
    <t>（31-60）元宵活动-累充1</t>
  </si>
  <si>
    <t>（31-60）元宵活动-累充2</t>
  </si>
  <si>
    <t>（31-60）元宵活动-累充3</t>
  </si>
  <si>
    <t>（31-60）元宵活动-累充4</t>
  </si>
  <si>
    <t>（61+）元宵活动-累充1</t>
  </si>
  <si>
    <t>（61+）元宵活动-累充2</t>
  </si>
  <si>
    <t>（61+）元宵活动-累充3</t>
  </si>
  <si>
    <t>（61+）元宵活动-累充4</t>
  </si>
  <si>
    <t>活动名</t>
    <phoneticPr fontId="1" type="noConversion"/>
  </si>
  <si>
    <t>转生等级</t>
  </si>
  <si>
    <t>翅膀</t>
  </si>
  <si>
    <t>铸造</t>
  </si>
  <si>
    <t>龙魂</t>
  </si>
  <si>
    <t>神装</t>
  </si>
  <si>
    <t>图鉴总战力</t>
  </si>
  <si>
    <t>装备总评分</t>
  </si>
  <si>
    <t>累计消费</t>
  </si>
  <si>
    <t>烈焰戒指等级</t>
  </si>
  <si>
    <t>轮回等级</t>
  </si>
  <si>
    <t>显示方式</t>
  </si>
  <si>
    <t>奖励总份数</t>
  </si>
  <si>
    <t>第2次合服</t>
  </si>
  <si>
    <t>战士奖励</t>
    <phoneticPr fontId="1" type="noConversion"/>
  </si>
  <si>
    <t>法师奖励</t>
    <phoneticPr fontId="1" type="noConversion"/>
  </si>
  <si>
    <t>道士奖励</t>
    <phoneticPr fontId="1" type="noConversion"/>
  </si>
  <si>
    <t>橙色战士70级衣服*1</t>
    <phoneticPr fontId="1" type="noConversion"/>
  </si>
  <si>
    <t>橙色法师70级衣服*1</t>
    <phoneticPr fontId="1" type="noConversion"/>
  </si>
  <si>
    <t>橙色道士70级衣服*1</t>
    <phoneticPr fontId="1" type="noConversion"/>
  </si>
  <si>
    <t>神兵经验</t>
  </si>
  <si>
    <t>金币</t>
    <phoneticPr fontId="1" type="noConversion"/>
  </si>
  <si>
    <t>全服可购买次数</t>
  </si>
  <si>
    <t>伪库存限制数</t>
  </si>
  <si>
    <t>伪库存减1的时间</t>
  </si>
  <si>
    <t>限制购买时间</t>
  </si>
  <si>
    <t>跨服购买次数奖励</t>
  </si>
  <si>
    <t>{240,60}</t>
  </si>
  <si>
    <t>{12,00}</t>
  </si>
  <si>
    <t>{16,00}</t>
  </si>
  <si>
    <t>{19,00}</t>
  </si>
  <si>
    <t>{22,00}</t>
  </si>
  <si>
    <t>元宝</t>
    <phoneticPr fontId="1" type="noConversion"/>
  </si>
  <si>
    <t>精炼石</t>
  </si>
  <si>
    <t>奖励</t>
    <phoneticPr fontId="1" type="noConversion"/>
  </si>
  <si>
    <t>羽毛*10</t>
    <phoneticPr fontId="1" type="noConversion"/>
  </si>
  <si>
    <t>特戒碎片*200</t>
    <phoneticPr fontId="1" type="noConversion"/>
  </si>
  <si>
    <t>特戒碎片*1000</t>
    <phoneticPr fontId="1" type="noConversion"/>
  </si>
  <si>
    <t>神装碎片*100</t>
    <phoneticPr fontId="1" type="noConversion"/>
  </si>
  <si>
    <t>特戒碎片*1001</t>
    <phoneticPr fontId="1" type="noConversion"/>
  </si>
  <si>
    <t>特戒碎片*1002</t>
    <phoneticPr fontId="1" type="noConversion"/>
  </si>
  <si>
    <t>特戒碎片*1003</t>
    <phoneticPr fontId="1" type="noConversion"/>
  </si>
  <si>
    <t>面板类型</t>
  </si>
  <si>
    <t>嵌套活动的ID</t>
  </si>
  <si>
    <t>{601,602}</t>
  </si>
  <si>
    <t>{609,610}</t>
  </si>
  <si>
    <t>{621,622}</t>
  </si>
  <si>
    <t>{904,905}</t>
  </si>
  <si>
    <t>{925,926}</t>
  </si>
  <si>
    <t>{928,929}</t>
  </si>
  <si>
    <t>{601,602}</t>
    <phoneticPr fontId="1" type="noConversion"/>
  </si>
  <si>
    <t>等级奖励</t>
  </si>
  <si>
    <t>特价礼包</t>
  </si>
  <si>
    <t>名次</t>
  </si>
  <si>
    <t>达标要求</t>
  </si>
  <si>
    <t>排行类型（0=战力，）</t>
  </si>
  <si>
    <t>value</t>
  </si>
  <si>
    <t>排行榜活动</t>
  </si>
  <si>
    <t>连续登陆</t>
  </si>
  <si>
    <t>{{31001},{31002},{31003}}</t>
  </si>
  <si>
    <t>{{31004},{31005},{31006}}</t>
  </si>
  <si>
    <t>{{31007},{31008},{31009}}</t>
  </si>
  <si>
    <t>{{31010},{31011},{31012}}</t>
  </si>
  <si>
    <t>{{32002},{32003},{32004}}</t>
  </si>
  <si>
    <t>击杀野外boss</t>
  </si>
  <si>
    <t>野外boss</t>
    <phoneticPr fontId="1" type="noConversion"/>
  </si>
  <si>
    <t>红色战士40级头盔*1</t>
    <phoneticPr fontId="1" type="noConversion"/>
  </si>
  <si>
    <t>红色战士90级鞋子</t>
  </si>
  <si>
    <t>红色战士60级戒指*1</t>
    <phoneticPr fontId="1" type="noConversion"/>
  </si>
  <si>
    <t>红色战士70级手镯*1</t>
    <phoneticPr fontId="1" type="noConversion"/>
  </si>
  <si>
    <t>红色战士90级鞋子*1</t>
    <phoneticPr fontId="1" type="noConversion"/>
  </si>
  <si>
    <t>红色战士30级项链*1</t>
    <phoneticPr fontId="1" type="noConversion"/>
  </si>
  <si>
    <t>红色法师90级鞋子</t>
  </si>
  <si>
    <t>红色法师40级头盔*1</t>
    <phoneticPr fontId="1" type="noConversion"/>
  </si>
  <si>
    <t>红色法师60级戒指*1</t>
    <phoneticPr fontId="1" type="noConversion"/>
  </si>
  <si>
    <t>红色法师70级手镯*1</t>
    <phoneticPr fontId="1" type="noConversion"/>
  </si>
  <si>
    <t>红色法师90级鞋子*1</t>
    <phoneticPr fontId="1" type="noConversion"/>
  </si>
  <si>
    <t>红色法师30级项链*1</t>
    <phoneticPr fontId="1" type="noConversion"/>
  </si>
  <si>
    <t>红色道士40级头盔</t>
  </si>
  <si>
    <t>红色道士60级戒指</t>
  </si>
  <si>
    <t>红色道士70级手镯</t>
  </si>
  <si>
    <t>红色道士90级鞋子</t>
  </si>
  <si>
    <t>红色道士30级项链*3</t>
    <phoneticPr fontId="1" type="noConversion"/>
  </si>
  <si>
    <t>兑换物数量</t>
  </si>
  <si>
    <t>多个兑换物</t>
  </si>
  <si>
    <t>需要积分</t>
  </si>
  <si>
    <t>每天兑换次数</t>
  </si>
  <si>
    <t>个人可兑换次数</t>
  </si>
  <si>
    <t>全服可兑换次数</t>
  </si>
  <si>
    <t>积分类型</t>
  </si>
  <si>
    <t>因子</t>
  </si>
  <si>
    <t>元旦兑换</t>
  </si>
  <si>
    <t>圣诞雪人</t>
  </si>
  <si>
    <t>腊八兑换</t>
  </si>
  <si>
    <t>{{id=204108,count=8},{id=204109,count=2},{id=204110,count=1}}</t>
  </si>
  <si>
    <t>{{id=204108,count=4},{id=204109,count=2}}</t>
  </si>
  <si>
    <t>{{id=204108,count=1}}</t>
  </si>
  <si>
    <t>{{id=204109,count=1}}</t>
  </si>
  <si>
    <t>第2次合服-BOSS积分</t>
  </si>
  <si>
    <t>元宵兑换</t>
  </si>
  <si>
    <t>{{id=200983,count=6},{id=200984,count=2},{id=200985,count=1}}</t>
  </si>
  <si>
    <t>{{id=200983,count=4},{id=200984,count=2}}</t>
  </si>
  <si>
    <t>{{id=200983,count=1}}</t>
  </si>
  <si>
    <t>{{id=200984,count=1}}</t>
  </si>
  <si>
    <t>兑换物id</t>
  </si>
  <si>
    <t>Boss玩法积分兑换</t>
  </si>
  <si>
    <t>挑战前置</t>
  </si>
  <si>
    <t>需要元宝</t>
  </si>
  <si>
    <t>副本奖励</t>
  </si>
  <si>
    <t>升星计算</t>
  </si>
  <si>
    <t>副本ID</t>
  </si>
  <si>
    <t>副本玩法活动</t>
  </si>
  <si>
    <t>特戒碎片</t>
  </si>
  <si>
    <t>是否每天重置</t>
  </si>
  <si>
    <t>全服随机次数</t>
  </si>
  <si>
    <t>个人随机次数</t>
  </si>
  <si>
    <t>{[1]=0,[10]=1,[50]=8}</t>
  </si>
  <si>
    <t>{[1]=20,[10]=3,[50]=0}</t>
  </si>
  <si>
    <t>{[1]=0,[10]=20,[50]=10}</t>
  </si>
  <si>
    <t>{[1]=20,[10]=4,[50]=0}</t>
  </si>
  <si>
    <t>{[1]=5,[10]=20,[50]=15}</t>
  </si>
  <si>
    <t>{[1]=0,[10]=25,[50]=52}</t>
  </si>
  <si>
    <t>{[1]=10,[10]=4,[50]=0}</t>
  </si>
  <si>
    <t>{[1]=0,[10]=0.5,[50]=2}</t>
  </si>
  <si>
    <t>{[1]=30,[10]=3,[50]=0}</t>
  </si>
  <si>
    <t>{[1]=0,[10]=10,[50]=0}</t>
  </si>
  <si>
    <t>{[1]=25,[10]=4,[50]=0}</t>
  </si>
  <si>
    <t>{[1]=5,[10]=28,[50]=25}</t>
  </si>
  <si>
    <t>{[1]=0,[10]=30,[50]=30}</t>
  </si>
  <si>
    <t>{[1]=25,[10]=0,[50]=0}</t>
  </si>
  <si>
    <t>{[1]=0,[10]=1,[50]=40}</t>
  </si>
  <si>
    <t>{[1]=5,[10]=20,[50]=3}</t>
  </si>
  <si>
    <t>{[1]=10,[10]=3.5,[50]=0}</t>
  </si>
  <si>
    <t>{[1]=0,[10]=10,[50]=32}</t>
  </si>
  <si>
    <t>{[1]=30,[10]=10,[50]=0}</t>
  </si>
  <si>
    <t>{[1]=1,[10]=30,[50]=0}</t>
  </si>
  <si>
    <t>{[1]=0,[10]=49,[50]=60}</t>
  </si>
  <si>
    <t>{[1]=24,[10]=0,[50]=0}</t>
  </si>
  <si>
    <t>{[1]=0}</t>
  </si>
  <si>
    <t>{[1]=5}</t>
  </si>
  <si>
    <t>{[1]=1}</t>
  </si>
  <si>
    <t>{[1]=10}</t>
  </si>
  <si>
    <t>{[1]=13}</t>
  </si>
  <si>
    <t>{[1]=20}</t>
  </si>
  <si>
    <t>{[1]=14}</t>
  </si>
  <si>
    <t>{[1]=17}</t>
  </si>
  <si>
    <t>{[1]=0,[10]=0,[50]=20}</t>
  </si>
  <si>
    <t>{[1]=7,[10]=30,[50]=0}</t>
  </si>
  <si>
    <t>{[1]=0,[10]=5,[50]=20}</t>
  </si>
  <si>
    <t>{[1]=1,[10]=30,[50]=30}</t>
  </si>
  <si>
    <t>{[1]=12,[10]=5,[50]=0}</t>
  </si>
  <si>
    <t>{[1]=0,[5]=1,[35]=6}</t>
  </si>
  <si>
    <t>{[1]=0,[5]=3,[35]=14}</t>
  </si>
  <si>
    <t>{[1]=0,[5]=2,[35]=20}</t>
  </si>
  <si>
    <t>{[1]=0,[5]=15,[35]=12}</t>
  </si>
  <si>
    <t>{[1]=0,[5]=1.5,[35]=8}</t>
  </si>
  <si>
    <t>{[1]=0,[5]=10,[35]=0}</t>
  </si>
  <si>
    <t>{[1]=0,[5]=20,[35]=0}</t>
  </si>
  <si>
    <t>{[1]=2,[5]=10,[35]=0}</t>
  </si>
  <si>
    <t>{[1]=5,[5]=20,[35]=0}</t>
  </si>
  <si>
    <t>{[1]=5,[5]=0,[35]=0}</t>
  </si>
  <si>
    <t>{[1]=3,[5]=0,[35]=0}</t>
  </si>
  <si>
    <t>{[1]=10,[5]=0,[35]=0}</t>
  </si>
  <si>
    <t>{[1]=7,[5]=0,[35]=0}</t>
  </si>
  <si>
    <t>{[1]=8,[5]=0,[35]=0}</t>
  </si>
  <si>
    <t>{[1]=15,[5]=0,[35]=0}</t>
  </si>
  <si>
    <t>{[1]=11,[5]=0,[35]=0}</t>
  </si>
  <si>
    <t>{[1]=2,[5]=0,[35]=0}</t>
  </si>
  <si>
    <t>{[1]=6,[5]=0,[35]=0}</t>
  </si>
  <si>
    <t>{[1]=0,[5]=3,[35]=10}</t>
  </si>
  <si>
    <t>{[1]=0,[5]=15,[35]=0}</t>
  </si>
  <si>
    <t>{[1]=0,[5]=10,[35]=16}</t>
  </si>
  <si>
    <t>{[1]=0,[5]=0,[35]=0}</t>
  </si>
  <si>
    <t>{[1]=14,[5]=0,[35]=0}</t>
  </si>
  <si>
    <t>{[1]=9,[5]=0,[35]=0}</t>
  </si>
  <si>
    <t>{[1]=18,[5]=0,[35]=0}</t>
  </si>
  <si>
    <t>{[1]=16,[5]=0,[35]=0}</t>
  </si>
  <si>
    <t>{[1]=12,[5]=0,[35]=0}</t>
  </si>
  <si>
    <t>{[1]=20,[5]=0,[35]=0}</t>
  </si>
  <si>
    <t>{{[500]=1}}</t>
  </si>
  <si>
    <t>{{[3]=3,[30]=6},{[4]=3,[30]=6},{[5]=3,[30]=6},{[6]=3,[30]=6}}</t>
  </si>
  <si>
    <t>{[1]=0,[10]=30,[50]=0}</t>
  </si>
  <si>
    <t>{{[200]=1}}</t>
  </si>
  <si>
    <t>{[1]=0,[10]=0.5,[100]=20}</t>
  </si>
  <si>
    <t>{[1]=20,[10]=0,[100]=0}</t>
  </si>
  <si>
    <t>{[1]=0,[10]=34.5,[100]=20}</t>
  </si>
  <si>
    <t>{[1]=0,[10]=5,[100]=60}</t>
  </si>
  <si>
    <t>{[1]=0,[10]=35,[100]=0}</t>
  </si>
  <si>
    <t>{[1]=0,[10]=25,[100]=0}</t>
  </si>
  <si>
    <t>{{[100]=1,[200]=3}}</t>
  </si>
  <si>
    <t>{[1]=0,[5]=1,[30]=6}</t>
  </si>
  <si>
    <t>{[1]=0,[5]=3,[30]=14}</t>
  </si>
  <si>
    <t>{[1]=0,[5]=2,[30]=20}</t>
  </si>
  <si>
    <t>{[1]=0,[5]=15,[30]=12}</t>
  </si>
  <si>
    <t>{[1]=0,[5]=1.5,[30]=8}</t>
  </si>
  <si>
    <t>{[1]=0,[5]=10,[30]=0}</t>
  </si>
  <si>
    <t>{[1]=0,[5]=20,[30]=0}</t>
  </si>
  <si>
    <t>{[1]=2,[5]=10,[30]=0}</t>
  </si>
  <si>
    <t>{[1]=5,[5]=20,[30]=0}</t>
  </si>
  <si>
    <t>{[1]=5,[5]=0,[30]=0}</t>
  </si>
  <si>
    <t>{[1]=0,[5]=0,[30]=0}</t>
  </si>
  <si>
    <t>{[1]=18,[5]=0,[30]=0}</t>
  </si>
  <si>
    <t>{[1]=16,[5]=0,[30]=0}</t>
  </si>
  <si>
    <t>{[1]=10,[5]=0,[30]=0}</t>
  </si>
  <si>
    <t>{[1]=12,[5]=0,[30]=0}</t>
  </si>
  <si>
    <t>{[1]=7,[5]=0,[30]=0}</t>
  </si>
  <si>
    <t>{[1]=20,[5]=0,[30]=0}</t>
  </si>
  <si>
    <t>{[1]=3,[5]=0,[30]=0}</t>
  </si>
  <si>
    <t>{[1]=8,[5]=0,[30]=0}</t>
  </si>
  <si>
    <t>{[1]=15,[5]=0,[30]=0}</t>
  </si>
  <si>
    <t>{[1]=11,[5]=0,[30]=0}</t>
  </si>
  <si>
    <t>{[1]=2,[5]=0,[30]=0}</t>
  </si>
  <si>
    <t>{[1]=6,[5]=0,[30]=0}</t>
  </si>
  <si>
    <t>{{[7]=5,[30]=6},{[8]=5,[30]=6},{[5]=5,[30]=6},{[6]=5,[30]=6}}</t>
  </si>
  <si>
    <t>{[1]=0,[10]=50,[100]=3000}</t>
  </si>
  <si>
    <t>{[1]=2500,[10]=0,[100]=0}</t>
  </si>
  <si>
    <t>{[1]=0,[10]=4000,[100]=1000}</t>
  </si>
  <si>
    <t>{[1]=1000,[10]=3750,[100]=0}</t>
  </si>
  <si>
    <t>{[1]=0,[10]=600,[100]=1500}</t>
  </si>
  <si>
    <t>{[1]=2000,[10]=0,[100]=0}</t>
  </si>
  <si>
    <t>{[1]=0,[10]=1000,[100]=3000}</t>
  </si>
  <si>
    <t>{[1]=0,[10]=2750,[100]=3000}</t>
  </si>
  <si>
    <t>{[1]=0,[10]=5000,[100]=0}</t>
  </si>
  <si>
    <t>{[1]=1000,[10]=1000,[100]=1000}</t>
  </si>
  <si>
    <t>大转盘玩法</t>
  </si>
  <si>
    <t>抽奖次数奖励</t>
    <phoneticPr fontId="1" type="noConversion"/>
  </si>
  <si>
    <t xml:space="preserve"> </t>
    <phoneticPr fontId="1" type="noConversion"/>
  </si>
  <si>
    <t>金币</t>
    <phoneticPr fontId="1" type="noConversion"/>
  </si>
  <si>
    <t>按钮序号</t>
  </si>
  <si>
    <t>轮数</t>
  </si>
  <si>
    <t>充值元宝条件</t>
  </si>
  <si>
    <t>消耗元宝数</t>
  </si>
  <si>
    <t>倍数,权重</t>
  </si>
  <si>
    <t>multiple</t>
  </si>
  <si>
    <t>奖励领取方式</t>
  </si>
  <si>
    <t>是否每日重置</t>
  </si>
  <si>
    <t>任务类型</t>
  </si>
  <si>
    <t>任务辅助参数</t>
  </si>
  <si>
    <t>任务次数需要</t>
  </si>
  <si>
    <t>每日次数上限</t>
  </si>
  <si>
    <t>单次增加积分</t>
  </si>
  <si>
    <t>积分展示系数</t>
  </si>
  <si>
    <t>项目名字</t>
  </si>
  <si>
    <t>单项奖励</t>
  </si>
  <si>
    <t>天数限制</t>
  </si>
  <si>
    <t/>
  </si>
  <si>
    <t>遭遇战</t>
  </si>
  <si>
    <t>秘境BOSS</t>
  </si>
  <si>
    <t>王者争霸</t>
  </si>
  <si>
    <t>材料副本</t>
  </si>
  <si>
    <t>天魔矿工</t>
  </si>
  <si>
    <t>装备寻宝</t>
  </si>
  <si>
    <t>战纹寻宝</t>
  </si>
  <si>
    <t>野外BOSS</t>
  </si>
  <si>
    <t>经验副本</t>
  </si>
  <si>
    <t>元旦爆竹</t>
  </si>
  <si>
    <t>充值20元</t>
  </si>
  <si>
    <t>充值50元</t>
  </si>
  <si>
    <t>充值200元</t>
  </si>
  <si>
    <t>累计登录1天</t>
  </si>
  <si>
    <t>累计登录2天</t>
  </si>
  <si>
    <t>累计登录3天</t>
  </si>
  <si>
    <t>累计登录4天</t>
  </si>
  <si>
    <t>累计登录5天</t>
  </si>
  <si>
    <t>累计登录6天</t>
  </si>
  <si>
    <t>累计登录7天</t>
  </si>
  <si>
    <t>野外BOSS挑战3次</t>
  </si>
  <si>
    <t>野外BOSS挑战8次</t>
  </si>
  <si>
    <t>野外BOSS挑战15次</t>
  </si>
  <si>
    <t>野外BOSS挑战20次</t>
  </si>
  <si>
    <t>野外BOSS挑战30次</t>
  </si>
  <si>
    <t>野外BOSS挑战40次</t>
  </si>
  <si>
    <t>野外BOSS挑战50次</t>
  </si>
  <si>
    <t>材料副本扫荡6次</t>
  </si>
  <si>
    <t>材料副本扫荡12次</t>
  </si>
  <si>
    <t>材料副本扫荡24次</t>
  </si>
  <si>
    <t>材料副本扫荡36次</t>
  </si>
  <si>
    <t>经验副本3倍领取2次</t>
  </si>
  <si>
    <t>经验副本3倍领取4次</t>
  </si>
  <si>
    <t>经验副本3倍领取6次</t>
  </si>
  <si>
    <t>金币消耗100万</t>
  </si>
  <si>
    <t>金币消耗200万</t>
  </si>
  <si>
    <t>金币消耗500万</t>
  </si>
  <si>
    <t>金币消耗800万</t>
  </si>
  <si>
    <t>金币消耗1000万</t>
  </si>
  <si>
    <t>金币消耗2000万</t>
  </si>
  <si>
    <t>金币消耗5000万</t>
  </si>
  <si>
    <t>秘境BOSS挑战1次</t>
  </si>
  <si>
    <t>秘境BOSS挑战3次</t>
  </si>
  <si>
    <t>秘境BOSS挑战5次</t>
  </si>
  <si>
    <t>秘境BOSS挑战9次</t>
  </si>
  <si>
    <t>秘境BOSS挑战12次</t>
  </si>
  <si>
    <t>秘境BOSS挑战15次</t>
  </si>
  <si>
    <t>秘境BOSS挑战18次</t>
  </si>
  <si>
    <t>战纹寻宝10次</t>
  </si>
  <si>
    <t>战纹寻宝20次</t>
  </si>
  <si>
    <t>战纹寻宝30次</t>
  </si>
  <si>
    <t>战纹寻宝50次</t>
  </si>
  <si>
    <t>战纹寻宝70次</t>
  </si>
  <si>
    <t>战纹寻宝90次</t>
  </si>
  <si>
    <t>战纹寻宝120次</t>
  </si>
  <si>
    <t>累计充值10元</t>
  </si>
  <si>
    <t>累计充值30元</t>
  </si>
  <si>
    <t>累计充值60元</t>
  </si>
  <si>
    <t>累计充值100元</t>
  </si>
  <si>
    <t>累计充值200元</t>
  </si>
  <si>
    <t>累计充值300元</t>
  </si>
  <si>
    <t>累计充值500元</t>
  </si>
  <si>
    <t>王者争霸匹配3次</t>
  </si>
  <si>
    <t>王者争霸匹配6次</t>
  </si>
  <si>
    <t>王者争霸匹配12次</t>
  </si>
  <si>
    <t>王者争霸匹配18次</t>
  </si>
  <si>
    <t>参与激情泡点1次</t>
  </si>
  <si>
    <t>参与血战比奇1次</t>
  </si>
  <si>
    <t>雇佣天魔矿工2次</t>
  </si>
  <si>
    <t>雇佣天魔矿工4次</t>
  </si>
  <si>
    <t>雇佣天魔矿工6次</t>
  </si>
  <si>
    <t>雇佣天魔矿工9次</t>
  </si>
  <si>
    <t>雇佣天魔矿工12次</t>
  </si>
  <si>
    <t>元宝消耗3888</t>
  </si>
  <si>
    <t>元宝消耗6888</t>
  </si>
  <si>
    <t>元宝消耗9888</t>
  </si>
  <si>
    <t>元宝消耗16888</t>
  </si>
  <si>
    <t>元宝消耗26888</t>
  </si>
  <si>
    <t>元宝消耗38888</t>
  </si>
  <si>
    <t>元宝消耗58888</t>
  </si>
  <si>
    <t>篝火捐献60个</t>
  </si>
  <si>
    <t>篝火捐献120个</t>
  </si>
  <si>
    <t>篝火捐献180个</t>
  </si>
  <si>
    <t>行会金币捐献10次</t>
  </si>
  <si>
    <t>行会金币捐献20次</t>
  </si>
  <si>
    <t>行会金币捐献30次</t>
  </si>
  <si>
    <t>行会金币捐献40次</t>
  </si>
  <si>
    <t>藏宝阁行进1圈</t>
  </si>
  <si>
    <t>藏宝阁行进3圈</t>
  </si>
  <si>
    <t>藏宝阁行进6圈</t>
  </si>
  <si>
    <t>藏宝阁行进12圈</t>
  </si>
  <si>
    <t>藏宝阁行进18圈</t>
  </si>
  <si>
    <t>藏宝阁行进24圈</t>
  </si>
  <si>
    <t>行会BOSS挑战1次</t>
  </si>
  <si>
    <t>行会BOSS挑战3次</t>
  </si>
  <si>
    <t>行会BOSS挑战5次</t>
  </si>
  <si>
    <t>行会BOSS挑战6次</t>
  </si>
  <si>
    <t>行会BOSS挑战9次</t>
  </si>
  <si>
    <t>行会BOSS挑战12次</t>
  </si>
  <si>
    <t>遭遇战挑战5次</t>
  </si>
  <si>
    <t>遭遇战挑战10次</t>
  </si>
  <si>
    <t>遭遇战挑战15次</t>
  </si>
  <si>
    <t>遭遇战挑战20次</t>
  </si>
  <si>
    <t>遭遇战挑战25次</t>
  </si>
  <si>
    <t>遭遇战挑战30次</t>
  </si>
  <si>
    <t>遭遇战挑战35次</t>
  </si>
  <si>
    <t>装备寻宝5次</t>
  </si>
  <si>
    <t>装备寻宝10次</t>
  </si>
  <si>
    <t>装备寻宝15次</t>
  </si>
  <si>
    <t>装备寻宝30次</t>
  </si>
  <si>
    <t>装备寻宝50次</t>
  </si>
  <si>
    <t>装备寻宝70次</t>
  </si>
  <si>
    <t>装备寻宝100次</t>
  </si>
  <si>
    <t>是否跨服红包</t>
  </si>
  <si>
    <t>前N名可以领取元宝</t>
  </si>
  <si>
    <t>存在时间(秒)</t>
  </si>
  <si>
    <t>是否记录</t>
  </si>
  <si>
    <t>元宝下限</t>
    <phoneticPr fontId="1" type="noConversion"/>
  </si>
  <si>
    <t>元宝上限</t>
    <phoneticPr fontId="1" type="noConversion"/>
  </si>
  <si>
    <t>金币下限</t>
    <phoneticPr fontId="1" type="noConversion"/>
  </si>
  <si>
    <t>金币上限</t>
    <phoneticPr fontId="1" type="noConversion"/>
  </si>
  <si>
    <t>消耗道具</t>
  </si>
  <si>
    <t>道具个数</t>
  </si>
  <si>
    <t>寻宝次数</t>
  </si>
  <si>
    <t>寻宝达标次数</t>
  </si>
  <si>
    <t>记录个数</t>
  </si>
  <si>
    <t>命库</t>
  </si>
  <si>
    <t xml:space="preserve"> 奖励序号</t>
  </si>
  <si>
    <t>物品名</t>
  </si>
  <si>
    <t>数量</t>
  </si>
  <si>
    <t>至尊武器</t>
  </si>
  <si>
    <t>至尊衣服</t>
  </si>
  <si>
    <t>至尊头盔</t>
  </si>
  <si>
    <t>至尊项链</t>
  </si>
  <si>
    <t>至尊手镯</t>
  </si>
  <si>
    <t>至尊戒指</t>
  </si>
  <si>
    <t>至尊腰带</t>
  </si>
  <si>
    <t>至尊鞋子</t>
  </si>
  <si>
    <t>4阶神羽宝箱</t>
  </si>
  <si>
    <t>3阶神羽宝箱</t>
  </si>
  <si>
    <t>2阶神羽宝箱</t>
  </si>
  <si>
    <t>1阶神羽宝箱</t>
  </si>
  <si>
    <t>神羽碎片</t>
  </si>
  <si>
    <t>橙色图鉴包·传奇之路</t>
  </si>
  <si>
    <t>红色图鉴包·传奇之路</t>
  </si>
  <si>
    <t>紫色图鉴包·传奇之路</t>
  </si>
  <si>
    <t>传世宝钻</t>
  </si>
  <si>
    <t>战纹精华-橙</t>
  </si>
  <si>
    <t>战纹精华-红</t>
  </si>
  <si>
    <t>铸造晶石</t>
  </si>
  <si>
    <t>龙魂碎片</t>
  </si>
  <si>
    <t>羽毛</t>
  </si>
  <si>
    <t>经脉丹</t>
  </si>
  <si>
    <t>黑铁</t>
  </si>
  <si>
    <t>神兵经验丹（1W</t>
  </si>
  <si>
    <t>红色战士90级头盔</t>
  </si>
  <si>
    <t>红色战士90级项链</t>
  </si>
  <si>
    <t>红色战士90级手镯</t>
  </si>
  <si>
    <t>红色战士90级戒指</t>
  </si>
  <si>
    <t>红色战士90级腰带</t>
  </si>
  <si>
    <t>红色法师90级头盔</t>
  </si>
  <si>
    <t>红色法师90级项链</t>
  </si>
  <si>
    <t>红色法师90级手镯</t>
  </si>
  <si>
    <t>红色法师90级戒指</t>
  </si>
  <si>
    <t>红色法师90级腰带</t>
  </si>
  <si>
    <t>红色道士90级头盔</t>
  </si>
  <si>
    <t>红色道士90级项链</t>
  </si>
  <si>
    <t>红色道士90级手镯</t>
  </si>
  <si>
    <t>红色道士90级戒指</t>
  </si>
  <si>
    <t>红色道士90级腰带</t>
  </si>
  <si>
    <t>红色战士100级头盔</t>
  </si>
  <si>
    <t>红色战士100级项链</t>
  </si>
  <si>
    <t>红色战士100级手镯</t>
  </si>
  <si>
    <t>红色战士100级戒指</t>
  </si>
  <si>
    <t>红色战士100级腰带</t>
  </si>
  <si>
    <t>红色战士100级鞋子</t>
  </si>
  <si>
    <t>红色法师100级头盔</t>
  </si>
  <si>
    <t>红色法师100级项链</t>
  </si>
  <si>
    <t>红色法师100级手镯</t>
  </si>
  <si>
    <t>红色法师100级戒指</t>
  </si>
  <si>
    <t>红色法师100级腰带</t>
  </si>
  <si>
    <t>红色法师100级鞋子</t>
  </si>
  <si>
    <t>红色道士100级头盔</t>
  </si>
  <si>
    <t>红色道士100级项链</t>
  </si>
  <si>
    <t>红色道士100级手镯</t>
  </si>
  <si>
    <t>红色道士100级戒指</t>
  </si>
  <si>
    <t>红色道士100级腰带</t>
  </si>
  <si>
    <t>红色道士100级鞋子</t>
  </si>
  <si>
    <t>红色战士110级头盔</t>
  </si>
  <si>
    <t>红色战士110级项链</t>
  </si>
  <si>
    <t>红色战士110级手镯</t>
  </si>
  <si>
    <t>红色战士110级戒指</t>
  </si>
  <si>
    <t>红色战士110级腰带</t>
  </si>
  <si>
    <t>红色战士110级鞋子</t>
  </si>
  <si>
    <t>红色法师110级头盔</t>
  </si>
  <si>
    <t>红色法师110级项链</t>
  </si>
  <si>
    <t>红色法师110级手镯</t>
  </si>
  <si>
    <t>红色法师110级戒指</t>
  </si>
  <si>
    <t>红色法师110级腰带</t>
  </si>
  <si>
    <t>红色法师110级鞋子</t>
  </si>
  <si>
    <t>红色道士110级头盔</t>
  </si>
  <si>
    <t>红色道士110级项链</t>
  </si>
  <si>
    <t>红色道士110级手镯</t>
  </si>
  <si>
    <t>红色道士110级戒指</t>
  </si>
  <si>
    <t>红色道士110级腰带</t>
  </si>
  <si>
    <t>红色道士110级鞋子</t>
  </si>
  <si>
    <t>红色战士120级头盔</t>
  </si>
  <si>
    <t>红色战士120级项链</t>
  </si>
  <si>
    <t>红色战士120级手镯</t>
  </si>
  <si>
    <t>红色战士120级戒指</t>
  </si>
  <si>
    <t>红色战士120级腰带</t>
  </si>
  <si>
    <t>红色战士120级鞋子</t>
  </si>
  <si>
    <t>红色法师120级头盔</t>
  </si>
  <si>
    <t>红色法师120级项链</t>
  </si>
  <si>
    <t>红色法师120级手镯</t>
  </si>
  <si>
    <t>红色法师120级戒指</t>
  </si>
  <si>
    <t>红色法师120级腰带</t>
  </si>
  <si>
    <t>红色法师120级鞋子</t>
  </si>
  <si>
    <t>红色道士120级头盔</t>
  </si>
  <si>
    <t>红色道士120级项链</t>
  </si>
  <si>
    <t>红色道士120级手镯</t>
  </si>
  <si>
    <t>红色道士120级戒指</t>
  </si>
  <si>
    <t>红色道士120级腰带</t>
  </si>
  <si>
    <t>红色道士120级鞋子</t>
  </si>
  <si>
    <t>红色战士130级头盔</t>
  </si>
  <si>
    <t>红色战士130级项链</t>
  </si>
  <si>
    <t>红色战士130级手镯</t>
  </si>
  <si>
    <t>红色战士130级戒指</t>
  </si>
  <si>
    <t>红色战士130级腰带</t>
  </si>
  <si>
    <t>红色战士130级鞋子</t>
  </si>
  <si>
    <t>红色法师130级头盔</t>
  </si>
  <si>
    <t>红色法师130级项链</t>
  </si>
  <si>
    <t>红色法师130级手镯</t>
  </si>
  <si>
    <t>红色法师130级戒指</t>
  </si>
  <si>
    <t>红色法师130级腰带</t>
  </si>
  <si>
    <t>红色法师130级鞋子</t>
  </si>
  <si>
    <t>红色道士130级头盔</t>
  </si>
  <si>
    <t>红色道士130级项链</t>
  </si>
  <si>
    <t>红色道士130级手镯</t>
  </si>
  <si>
    <t>红色道士130级戒指</t>
  </si>
  <si>
    <t>红色道士130级腰带</t>
  </si>
  <si>
    <t>红色道士130级鞋子</t>
  </si>
  <si>
    <t>红色战士140级头盔</t>
  </si>
  <si>
    <t>红色战士140级项链</t>
  </si>
  <si>
    <t>红色战士140级手镯</t>
  </si>
  <si>
    <t>红色战士140级戒指</t>
  </si>
  <si>
    <t>红色战士140级腰带</t>
  </si>
  <si>
    <t>红色战士140级鞋子</t>
  </si>
  <si>
    <t>红色法师140级头盔</t>
  </si>
  <si>
    <t>红色法师140级项链</t>
  </si>
  <si>
    <t>红色法师140级手镯</t>
  </si>
  <si>
    <t>红色法师140级戒指</t>
  </si>
  <si>
    <t>红色法师140级腰带</t>
  </si>
  <si>
    <t>红色法师140级鞋子</t>
  </si>
  <si>
    <t>红色道士140级头盔</t>
  </si>
  <si>
    <t>红色道士140级项链</t>
  </si>
  <si>
    <t>红色道士140级手镯</t>
  </si>
  <si>
    <t>红色道士140级戒指</t>
  </si>
  <si>
    <t>红色道士140级腰带</t>
  </si>
  <si>
    <t>红色道士140级鞋子</t>
  </si>
  <si>
    <t>红色战士150级头盔</t>
  </si>
  <si>
    <t>红色战士150级项链</t>
  </si>
  <si>
    <t>红色战士150级手镯</t>
  </si>
  <si>
    <t>红色战士150级戒指</t>
  </si>
  <si>
    <t>红色战士150级腰带</t>
  </si>
  <si>
    <t>红色战士150级鞋子</t>
  </si>
  <si>
    <t>红色法师150级头盔</t>
  </si>
  <si>
    <t>红色法师150级项链</t>
  </si>
  <si>
    <t>红色法师150级手镯</t>
  </si>
  <si>
    <t>红色法师150级戒指</t>
  </si>
  <si>
    <t>红色法师150级腰带</t>
  </si>
  <si>
    <t>红色法师150级鞋子</t>
  </si>
  <si>
    <t>红色道士150级头盔</t>
  </si>
  <si>
    <t>红色道士150级项链</t>
  </si>
  <si>
    <t>红色道士150级手镯</t>
  </si>
  <si>
    <t>红色道士150级戒指</t>
  </si>
  <si>
    <t>红色道士150级腰带</t>
  </si>
  <si>
    <t>红色道士150级鞋子</t>
  </si>
  <si>
    <t>红色战士160级头盔</t>
  </si>
  <si>
    <t>红色战士160级项链</t>
  </si>
  <si>
    <t>红色战士160级手镯</t>
  </si>
  <si>
    <t>红色战士160级戒指</t>
  </si>
  <si>
    <t>红色战士160级腰带</t>
  </si>
  <si>
    <t>红色战士160级鞋子</t>
  </si>
  <si>
    <t>红色法师160级头盔</t>
  </si>
  <si>
    <t>红色法师160级项链</t>
  </si>
  <si>
    <t>红色法师160级手镯</t>
  </si>
  <si>
    <t>红色法师160级戒指</t>
  </si>
  <si>
    <t>红色法师160级腰带</t>
  </si>
  <si>
    <t>红色法师160级鞋子</t>
  </si>
  <si>
    <t>红色道士160级头盔</t>
  </si>
  <si>
    <t>红色道士160级项链</t>
  </si>
  <si>
    <t>红色道士160级手镯</t>
  </si>
  <si>
    <t>红色道士160级戒指</t>
  </si>
  <si>
    <t>红色道士160级腰带</t>
  </si>
  <si>
    <t>红色道士160级鞋子</t>
  </si>
  <si>
    <t>红色战士170级头盔</t>
  </si>
  <si>
    <t>红色战士170级项链</t>
  </si>
  <si>
    <t>红色战士170级手镯</t>
  </si>
  <si>
    <t>红色战士170级戒指</t>
  </si>
  <si>
    <t>红色战士170级腰带</t>
  </si>
  <si>
    <t>红色战士170级鞋子</t>
  </si>
  <si>
    <t>红色法师170级头盔</t>
  </si>
  <si>
    <t>红色法师170级项链</t>
  </si>
  <si>
    <t>红色法师170级手镯</t>
  </si>
  <si>
    <t>红色法师170级戒指</t>
  </si>
  <si>
    <t>红色法师170级腰带</t>
  </si>
  <si>
    <t>红色法师170级鞋子</t>
  </si>
  <si>
    <t>红色道士170级头盔</t>
  </si>
  <si>
    <t>红色道士170级项链</t>
  </si>
  <si>
    <t>红色道士170级手镯</t>
  </si>
  <si>
    <t>红色道士170级戒指</t>
  </si>
  <si>
    <t>红色道士170级腰带</t>
  </si>
  <si>
    <t>红色道士170级鞋子</t>
  </si>
  <si>
    <t>红色战士180级头盔</t>
  </si>
  <si>
    <t>红色战士180级项链</t>
  </si>
  <si>
    <t>红色战士180级手镯</t>
  </si>
  <si>
    <t>红色战士180级戒指</t>
  </si>
  <si>
    <t>红色战士180级腰带</t>
  </si>
  <si>
    <t>红色战士180级鞋子</t>
  </si>
  <si>
    <t>红色法师180级头盔</t>
  </si>
  <si>
    <t>红色法师180级项链</t>
  </si>
  <si>
    <t>红色法师180级手镯</t>
  </si>
  <si>
    <t>红色法师180级戒指</t>
  </si>
  <si>
    <t>红色法师180级腰带</t>
  </si>
  <si>
    <t>红色法师180级鞋子</t>
  </si>
  <si>
    <t>红色道士180级头盔</t>
  </si>
  <si>
    <t>红色道士180级项链</t>
  </si>
  <si>
    <t>红色道士180级手镯</t>
  </si>
  <si>
    <t>红色道士180级戒指</t>
  </si>
  <si>
    <t>红色道士180级腰带</t>
  </si>
  <si>
    <t>红色道士180级鞋子</t>
  </si>
  <si>
    <t>红色战士190级头盔</t>
  </si>
  <si>
    <t>红色战士190级项链</t>
  </si>
  <si>
    <t>红色战士190级手镯</t>
  </si>
  <si>
    <t>红色战士190级戒指</t>
  </si>
  <si>
    <t>红色战士190级腰带</t>
  </si>
  <si>
    <t>红色战士190级鞋子</t>
  </si>
  <si>
    <t>红色法师190级头盔</t>
  </si>
  <si>
    <t>红色法师190级项链</t>
  </si>
  <si>
    <t>红色法师190级手镯</t>
  </si>
  <si>
    <t>红色法师190级戒指</t>
  </si>
  <si>
    <t>红色法师190级腰带</t>
  </si>
  <si>
    <t>红色法师190级鞋子</t>
  </si>
  <si>
    <t>红色道士190级头盔</t>
  </si>
  <si>
    <t>红色道士190级项链</t>
  </si>
  <si>
    <t>红色道士190级手镯</t>
  </si>
  <si>
    <t>红色道士190级戒指</t>
  </si>
  <si>
    <t>红色道士190级腰带</t>
  </si>
  <si>
    <t>红色道士190级鞋子</t>
  </si>
  <si>
    <t>红色战士200级头盔</t>
  </si>
  <si>
    <t>红色战士200级项链</t>
  </si>
  <si>
    <t>红色战士200级手镯</t>
  </si>
  <si>
    <t>红色战士200级戒指</t>
  </si>
  <si>
    <t>红色战士200级腰带</t>
  </si>
  <si>
    <t>红色战士200级鞋子</t>
  </si>
  <si>
    <t>红色法师200级头盔</t>
  </si>
  <si>
    <t>红色法师200级项链</t>
  </si>
  <si>
    <t>红色法师200级手镯</t>
  </si>
  <si>
    <t>红色法师200级戒指</t>
  </si>
  <si>
    <t>红色法师200级腰带</t>
  </si>
  <si>
    <t>红色法师200级鞋子</t>
  </si>
  <si>
    <t>红色道士200级头盔</t>
  </si>
  <si>
    <t>红色道士200级项链</t>
  </si>
  <si>
    <t>红色道士200级手镯</t>
  </si>
  <si>
    <t>红色道士200级戒指</t>
  </si>
  <si>
    <t>红色道士200级腰带</t>
  </si>
  <si>
    <t>红色道士200级鞋子</t>
  </si>
  <si>
    <t>高级合击符文</t>
  </si>
  <si>
    <t>5转乾碎片</t>
  </si>
  <si>
    <t>5转坤碎片</t>
  </si>
  <si>
    <t>5转震碎片</t>
  </si>
  <si>
    <t>6转乾碎片</t>
  </si>
  <si>
    <t>5转巽碎片</t>
  </si>
  <si>
    <t>6转坤碎片</t>
  </si>
  <si>
    <t>6转震碎片</t>
  </si>
  <si>
    <t>6转巽碎片</t>
  </si>
  <si>
    <t>橙色图鉴包·倾国倾城</t>
  </si>
  <si>
    <t>红色图鉴包·倾国倾城</t>
  </si>
  <si>
    <t>传世至宝</t>
  </si>
  <si>
    <t>九幽冥女</t>
  </si>
  <si>
    <t>传世头盔</t>
  </si>
  <si>
    <t>传世项链</t>
  </si>
  <si>
    <t>上古魔魂斗笠</t>
  </si>
  <si>
    <t>传世护腕</t>
  </si>
  <si>
    <t>上古魔魂面甲</t>
  </si>
  <si>
    <t>传世戒指</t>
  </si>
  <si>
    <t>上古魔魂披风</t>
  </si>
  <si>
    <t>传世腰带</t>
  </si>
  <si>
    <t>上古魔魂盾牌</t>
  </si>
  <si>
    <t>传世鞋子</t>
  </si>
  <si>
    <t>战灵进阶丹</t>
  </si>
  <si>
    <t>抽奖累加次数掉落组id</t>
    <phoneticPr fontId="1" type="noConversion"/>
  </si>
  <si>
    <t>类型18抽奖掉落</t>
    <phoneticPr fontId="1" type="noConversion"/>
  </si>
  <si>
    <t>类型18命库</t>
    <phoneticPr fontId="1" type="noConversion"/>
  </si>
  <si>
    <t>全服随机掉落</t>
    <phoneticPr fontId="1" type="noConversion"/>
  </si>
  <si>
    <t>排行区域</t>
  </si>
  <si>
    <t>上榜条件</t>
  </si>
  <si>
    <t>{1,1}</t>
  </si>
  <si>
    <t>{2,3}</t>
  </si>
  <si>
    <t>{4,5}</t>
  </si>
  <si>
    <t>{6,10}</t>
  </si>
  <si>
    <t>{11,20}</t>
  </si>
  <si>
    <t>{21,50}</t>
  </si>
  <si>
    <t>副本</t>
  </si>
  <si>
    <t>怪物id</t>
  </si>
  <si>
    <t>开启时间
，单位秒</t>
  </si>
  <si>
    <t>BOSS死亡时长
，单位秒</t>
  </si>
  <si>
    <t>掉落奖励</t>
  </si>
  <si>
    <t>最低伤害</t>
  </si>
  <si>
    <t>提前进入时间
，单位秒</t>
  </si>
  <si>
    <t>名次</t>
    <phoneticPr fontId="1" type="noConversion"/>
  </si>
  <si>
    <t>参与</t>
    <phoneticPr fontId="1" type="noConversion"/>
  </si>
  <si>
    <t>2~3</t>
    <phoneticPr fontId="1" type="noConversion"/>
  </si>
  <si>
    <t>4~10</t>
    <phoneticPr fontId="1" type="noConversion"/>
  </si>
  <si>
    <t>腊八节BOSS排名奖励</t>
    <phoneticPr fontId="1" type="noConversion"/>
  </si>
  <si>
    <t>元宵节BOSS排名奖励</t>
    <phoneticPr fontId="1" type="noConversion"/>
  </si>
  <si>
    <t>金币</t>
    <phoneticPr fontId="1" type="noConversion"/>
  </si>
  <si>
    <t>任务参数</t>
  </si>
  <si>
    <t>每日上限次数</t>
  </si>
  <si>
    <t>限时掉落</t>
  </si>
  <si>
    <t>八宝米</t>
  </si>
  <si>
    <t>腊八辅料</t>
  </si>
  <si>
    <t>豪华辅料</t>
  </si>
  <si>
    <t>元宵材料1</t>
  </si>
  <si>
    <t>元宵材料2</t>
  </si>
  <si>
    <t>元宵材料3</t>
  </si>
  <si>
    <t>奖励</t>
    <phoneticPr fontId="1" type="noConversion"/>
  </si>
  <si>
    <t>序号
没用的</t>
  </si>
  <si>
    <t>抽取个数</t>
  </si>
  <si>
    <t>免费刷新时间</t>
  </si>
  <si>
    <t>刷新花费元宝</t>
  </si>
  <si>
    <t>刷新道具id</t>
  </si>
  <si>
    <t>购买道具</t>
  </si>
  <si>
    <t>极品组信息</t>
  </si>
  <si>
    <t>{[1]={rate=1000,count={[1]=3,[2]=7}}}</t>
    <phoneticPr fontId="24" type="noConversion"/>
  </si>
  <si>
    <t>商品ID</t>
  </si>
  <si>
    <t>转生等级下限</t>
  </si>
  <si>
    <t>转生等级上限</t>
  </si>
  <si>
    <t>道具id</t>
  </si>
  <si>
    <t>道具数量</t>
  </si>
  <si>
    <t>元宝价格</t>
  </si>
  <si>
    <t>兑换道具</t>
  </si>
  <si>
    <t>积分</t>
  </si>
  <si>
    <t>折扣图标</t>
  </si>
  <si>
    <t>个数限制</t>
  </si>
  <si>
    <t>极品组</t>
  </si>
  <si>
    <t>{[1]=200,[5]=30,[50]=0}</t>
  </si>
  <si>
    <t>{[1]=200,[5]=50,[50]=0}</t>
  </si>
  <si>
    <t>{[1]=150,[5]=100,[50]=3}</t>
  </si>
  <si>
    <t>{[1]=300,[5]=30,[50]=0}</t>
  </si>
  <si>
    <t>{[1]=200,[5]=60,[50]=0}</t>
  </si>
  <si>
    <t>{[1]=150,[5]=10,[50]=3}</t>
  </si>
  <si>
    <t>{[1]=80,[5]=50,[50]=0}</t>
  </si>
  <si>
    <t>{[1]=10,[5]=15,[50]=3}</t>
  </si>
  <si>
    <t>{[1]=200,[5]=20,[50]=0}</t>
  </si>
  <si>
    <t>{[1]=100,[5]=50,[50]=0}</t>
  </si>
  <si>
    <t>{[1]=20,[5]=20,[50]=0}</t>
  </si>
  <si>
    <t>{[1]=15,[5]=15,[50]=3}</t>
  </si>
  <si>
    <t>{[1]=200,[5]=20,[50]=5}</t>
  </si>
  <si>
    <t>{[1]=300,[5]=30,[50]=5}</t>
  </si>
  <si>
    <t>{[1]=20,[5]=20,[50]=5}</t>
  </si>
  <si>
    <t>{[1]=15,[5]=15,[50]=10}</t>
  </si>
  <si>
    <t>{[1]=200,[5]=100,[50]=5}</t>
  </si>
  <si>
    <t>{[1]=100,[5]=15,[50]=10}</t>
  </si>
  <si>
    <t>{[1]=200,[5]=2,[50]=0}</t>
  </si>
  <si>
    <t>{[1]=50,[5]=15,[50]=0}</t>
  </si>
  <si>
    <t>{[1]=20,[5]=20,[50]=10}</t>
  </si>
  <si>
    <t>{[1]=10,[5]=10,[50]=10}</t>
  </si>
  <si>
    <t>{[1]=10,[5]=10,[50]=5}</t>
  </si>
  <si>
    <t>{[1]=5,[5]=5,[50]=5}</t>
  </si>
  <si>
    <t>{[1]=30,[5]=30,[50]=5}</t>
  </si>
  <si>
    <t>{[1]=20,[5]=20,[50]=3}</t>
  </si>
  <si>
    <t>{[1]=5,[5]=5,[50]=10}</t>
  </si>
  <si>
    <t>{[1]=0,[5]=0,[50]=0}</t>
  </si>
  <si>
    <t>{[1]=3,[5]=3,[50]=5}</t>
  </si>
  <si>
    <t>{[1]=3,[5]=3,[50]=3}</t>
  </si>
  <si>
    <t>{[1]=60,[5]=6,[50]=0}</t>
  </si>
  <si>
    <t>{[1]=50,[5]=50,[50]=0}</t>
  </si>
  <si>
    <t>{[1]=60,[5]=60,[50]=0}</t>
  </si>
  <si>
    <t>{[1]=100,[5]=100,[50]=5}</t>
  </si>
  <si>
    <t>{[1]=20,[5]=2,[50]=0}</t>
  </si>
  <si>
    <t>{[1]=15,[5]=15,[50]=0}</t>
  </si>
  <si>
    <t>商品表</t>
  </si>
  <si>
    <t>道具名</t>
    <phoneticPr fontId="1" type="noConversion"/>
  </si>
  <si>
    <t>跳转</t>
    <phoneticPr fontId="1" type="noConversion"/>
  </si>
  <si>
    <t>签到</t>
    <phoneticPr fontId="1" type="noConversion"/>
  </si>
  <si>
    <t>登陆</t>
    <phoneticPr fontId="1" type="noConversion"/>
  </si>
  <si>
    <t>玩吧礼包</t>
    <phoneticPr fontId="1" type="noConversion"/>
  </si>
  <si>
    <t>微信关注</t>
    <phoneticPr fontId="1" type="noConversion"/>
  </si>
  <si>
    <t>开服前几天充值</t>
    <phoneticPr fontId="1" type="noConversion"/>
  </si>
  <si>
    <t>每日累充</t>
    <phoneticPr fontId="1" type="noConversion"/>
  </si>
  <si>
    <t>天天返利</t>
    <phoneticPr fontId="1" type="noConversion"/>
  </si>
  <si>
    <t>三日连充</t>
    <phoneticPr fontId="1" type="noConversion"/>
  </si>
  <si>
    <t>首充</t>
    <phoneticPr fontId="1" type="noConversion"/>
  </si>
  <si>
    <t>充值活动</t>
    <phoneticPr fontId="1" type="noConversion"/>
  </si>
  <si>
    <t>个人活动</t>
    <phoneticPr fontId="1" type="noConversion"/>
  </si>
  <si>
    <t>活动详情</t>
    <phoneticPr fontId="1" type="noConversion"/>
  </si>
  <si>
    <t>活动详情</t>
    <phoneticPr fontId="1" type="noConversion"/>
  </si>
  <si>
    <t>元宝单价</t>
    <phoneticPr fontId="1" type="noConversion"/>
  </si>
  <si>
    <t>vip</t>
    <phoneticPr fontId="1" type="noConversion"/>
  </si>
  <si>
    <t>礼包ID</t>
  </si>
  <si>
    <t>vip等级</t>
  </si>
  <si>
    <t>需要元宝数</t>
  </si>
  <si>
    <t>传世装备</t>
  </si>
  <si>
    <t>金色地镯</t>
  </si>
  <si>
    <t>神兵圣物</t>
  </si>
  <si>
    <t>庚金白虎</t>
  </si>
  <si>
    <t>兵魂飞升</t>
  </si>
  <si>
    <t>神兵大招</t>
  </si>
  <si>
    <t>魔魂披风</t>
  </si>
  <si>
    <t>至尊装备</t>
  </si>
  <si>
    <t>金币</t>
    <phoneticPr fontId="1" type="noConversion"/>
  </si>
  <si>
    <t>金币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</si>
</sst>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theme="1"/>
      <name val="宋体"/>
      <family val="2"/>
      <scheme val="minor"/>
    </font>
    <font>
      <sz val="9"/>
      <name val="宋体"/>
      <family val="3"/>
      <charset val="134"/>
      <scheme val="minor"/>
    </font>
    <font>
      <sz val="9"/>
      <color theme="1"/>
      <name val="宋体"/>
      <family val="3"/>
      <charset val="134"/>
      <scheme val="minor"/>
    </font>
    <font>
      <sz val="11"/>
      <color rgb="FF0070C0"/>
      <name val="华文中宋"/>
      <family val="3"/>
      <charset val="134"/>
    </font>
    <font>
      <sz val="11"/>
      <color rgb="FFFF0000"/>
      <name val="宋体"/>
      <family val="2"/>
      <scheme val="minor"/>
    </font>
    <font>
      <sz val="10"/>
      <color indexed="9"/>
      <name val="宋体"/>
      <family val="3"/>
      <charset val="134"/>
      <scheme val="minor"/>
    </font>
    <font>
      <sz val="9"/>
      <name val="宋体"/>
      <family val="3"/>
      <charset val="134"/>
    </font>
    <font>
      <sz val="11"/>
      <color theme="1"/>
      <name val="宋体"/>
      <family val="3"/>
      <charset val="134"/>
      <scheme val="minor"/>
    </font>
    <font>
      <sz val="11"/>
      <color theme="0"/>
      <name val="宋体"/>
      <family val="2"/>
      <scheme val="minor"/>
    </font>
    <font>
      <sz val="11"/>
      <color theme="0"/>
      <name val="宋体"/>
      <family val="3"/>
      <charset val="134"/>
      <scheme val="minor"/>
    </font>
    <font>
      <b/>
      <sz val="9"/>
      <name val="宋体"/>
      <family val="3"/>
      <charset val="134"/>
    </font>
    <font>
      <sz val="9"/>
      <color indexed="9"/>
      <name val="宋体"/>
      <family val="3"/>
      <charset val="134"/>
      <scheme val="minor"/>
    </font>
    <font>
      <sz val="9"/>
      <color theme="0"/>
      <name val="宋体"/>
      <family val="3"/>
      <charset val="134"/>
      <scheme val="minor"/>
    </font>
    <font>
      <sz val="9"/>
      <color theme="0"/>
      <name val="宋体"/>
      <family val="3"/>
      <charset val="134"/>
    </font>
    <font>
      <sz val="9"/>
      <color indexed="9"/>
      <name val="微软雅黑"/>
      <family val="2"/>
      <charset val="134"/>
    </font>
    <font>
      <sz val="9"/>
      <color rgb="FFFFFFFF"/>
      <name val="微软雅黑"/>
      <family val="2"/>
      <charset val="134"/>
    </font>
    <font>
      <sz val="11"/>
      <color rgb="FFFFFFFF"/>
      <name val="宋体"/>
      <family val="3"/>
      <charset val="134"/>
      <scheme val="minor"/>
    </font>
    <font>
      <sz val="11"/>
      <color indexed="9"/>
      <name val="宋体"/>
      <family val="3"/>
      <charset val="134"/>
      <scheme val="minor"/>
    </font>
    <font>
      <sz val="11"/>
      <color theme="1"/>
      <name val="Tahoma"/>
      <family val="2"/>
    </font>
    <font>
      <sz val="11"/>
      <name val="宋体"/>
      <family val="3"/>
      <charset val="134"/>
      <scheme val="minor"/>
    </font>
    <font>
      <sz val="9"/>
      <color indexed="81"/>
      <name val="宋体"/>
      <family val="3"/>
      <charset val="134"/>
    </font>
    <font>
      <b/>
      <sz val="9"/>
      <color indexed="81"/>
      <name val="宋体"/>
      <family val="3"/>
      <charset val="134"/>
    </font>
    <font>
      <u/>
      <sz val="11"/>
      <color theme="10"/>
      <name val="宋体"/>
      <family val="2"/>
      <scheme val="minor"/>
    </font>
    <font>
      <sz val="10"/>
      <color indexed="8"/>
      <name val="微软雅黑"/>
      <family val="2"/>
      <charset val="134"/>
    </font>
    <font>
      <sz val="9"/>
      <name val="微软雅黑"/>
      <family val="2"/>
      <charset val="134"/>
    </font>
  </fonts>
  <fills count="11">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theme="1"/>
        <bgColor rgb="FF000000"/>
      </patternFill>
    </fill>
    <fill>
      <patternFill patternType="solid">
        <fgColor rgb="FFFFFF00"/>
        <bgColor indexed="64"/>
      </patternFill>
    </fill>
    <fill>
      <patternFill patternType="solid">
        <fgColor rgb="FF000000"/>
        <bgColor rgb="FF000000"/>
      </patternFill>
    </fill>
    <fill>
      <patternFill patternType="solid">
        <fgColor rgb="FF000000"/>
        <bgColor indexed="64"/>
      </patternFill>
    </fill>
    <fill>
      <patternFill patternType="solid">
        <fgColor rgb="FF92D050"/>
        <bgColor indexed="64"/>
      </patternFill>
    </fill>
    <fill>
      <patternFill patternType="solid">
        <fgColor rgb="FFFFC000"/>
        <bgColor indexed="64"/>
      </patternFill>
    </fill>
    <fill>
      <patternFill patternType="solid">
        <fgColor theme="9"/>
        <bgColor indexed="64"/>
      </patternFill>
    </fill>
  </fills>
  <borders count="31">
    <border>
      <left/>
      <right/>
      <top/>
      <bottom/>
      <diagonal/>
    </border>
    <border>
      <left style="thin">
        <color indexed="23"/>
      </left>
      <right style="thin">
        <color indexed="23"/>
      </right>
      <top/>
      <bottom style="thin">
        <color indexed="23"/>
      </bottom>
      <diagonal/>
    </border>
    <border>
      <left style="thin">
        <color indexed="23"/>
      </left>
      <right/>
      <top/>
      <bottom/>
      <diagonal/>
    </border>
    <border>
      <left style="thin">
        <color auto="1"/>
      </left>
      <right style="thin">
        <color auto="1"/>
      </right>
      <top/>
      <bottom style="thin">
        <color auto="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rgb="FF808080"/>
      </left>
      <right/>
      <top/>
      <bottom/>
      <diagonal/>
    </border>
    <border>
      <left style="thin">
        <color indexed="23"/>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indexed="23"/>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indexed="64"/>
      </left>
      <right style="thin">
        <color indexed="64"/>
      </right>
      <top style="thin">
        <color indexed="64"/>
      </top>
      <bottom style="thin">
        <color indexed="64"/>
      </bottom>
      <diagonal/>
    </border>
    <border>
      <left/>
      <right/>
      <top style="thin">
        <color theme="0" tint="-0.14996795556505021"/>
      </top>
      <bottom style="thin">
        <color theme="0" tint="-0.14996795556505021"/>
      </bottom>
      <diagonal/>
    </border>
    <border>
      <left style="thin">
        <color rgb="FF808080"/>
      </left>
      <right style="thin">
        <color theme="0" tint="-0.14996795556505021"/>
      </right>
      <top style="thin">
        <color theme="0" tint="-0.14996795556505021"/>
      </top>
      <bottom style="thin">
        <color theme="0" tint="-0.14996795556505021"/>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theme="0" tint="-0.14996795556505021"/>
      </top>
      <bottom style="thin">
        <color theme="0" tint="-0.14996795556505021"/>
      </bottom>
      <diagonal/>
    </border>
  </borders>
  <cellStyleXfs count="7">
    <xf numFmtId="0" fontId="0" fillId="0" borderId="0"/>
    <xf numFmtId="0" fontId="3" fillId="0" borderId="0" applyNumberFormat="0" applyFill="0" applyBorder="0" applyAlignment="0">
      <alignment horizontal="center"/>
    </xf>
    <xf numFmtId="0" fontId="18" fillId="0" borderId="0"/>
    <xf numFmtId="0" fontId="22" fillId="0" borderId="0" applyNumberFormat="0" applyFill="0" applyBorder="0" applyAlignment="0" applyProtection="0"/>
    <xf numFmtId="0" fontId="23" fillId="0" borderId="0" applyFill="0" applyBorder="0" applyProtection="0">
      <alignment horizontal="center" vertical="center"/>
    </xf>
    <xf numFmtId="0" fontId="7" fillId="0" borderId="0">
      <alignment vertical="center"/>
    </xf>
    <xf numFmtId="0" fontId="7" fillId="0" borderId="0">
      <alignment vertical="center"/>
    </xf>
  </cellStyleXfs>
  <cellXfs count="143">
    <xf numFmtId="0" fontId="0" fillId="0" borderId="0" xfId="0"/>
    <xf numFmtId="0" fontId="0" fillId="0" borderId="0" xfId="0" applyAlignment="1">
      <alignment horizontal="left"/>
    </xf>
    <xf numFmtId="0" fontId="4" fillId="0" borderId="0" xfId="0" applyFont="1" applyAlignment="1">
      <alignment horizontal="left"/>
    </xf>
    <xf numFmtId="0" fontId="8" fillId="3" borderId="0" xfId="0" applyFont="1" applyFill="1" applyAlignment="1">
      <alignment horizontal="left"/>
    </xf>
    <xf numFmtId="0" fontId="9" fillId="3" borderId="0" xfId="0" applyFont="1" applyFill="1" applyAlignment="1">
      <alignment horizontal="left"/>
    </xf>
    <xf numFmtId="0" fontId="5" fillId="2" borderId="1" xfId="0" applyFont="1" applyFill="1" applyBorder="1" applyAlignment="1" applyProtection="1">
      <alignment horizontal="left" vertical="center"/>
    </xf>
    <xf numFmtId="0" fontId="12" fillId="3" borderId="1" xfId="0" applyFont="1" applyFill="1" applyBorder="1" applyAlignment="1">
      <alignment horizontal="left" vertical="center"/>
    </xf>
    <xf numFmtId="0" fontId="12" fillId="3" borderId="2" xfId="0" applyFont="1" applyFill="1" applyBorder="1" applyAlignment="1">
      <alignment horizontal="left" vertical="center"/>
    </xf>
    <xf numFmtId="0" fontId="13" fillId="4" borderId="3" xfId="0" applyFont="1" applyFill="1" applyBorder="1" applyAlignment="1">
      <alignment horizontal="left" vertical="center"/>
    </xf>
    <xf numFmtId="0" fontId="0" fillId="0" borderId="0" xfId="0" applyAlignment="1">
      <alignment horizontal="left" vertical="center"/>
    </xf>
    <xf numFmtId="0" fontId="11" fillId="2" borderId="1" xfId="0" applyFont="1" applyFill="1" applyBorder="1" applyAlignment="1">
      <alignment horizontal="left" vertical="center"/>
    </xf>
    <xf numFmtId="0" fontId="11" fillId="2" borderId="2" xfId="0" applyFont="1" applyFill="1" applyBorder="1" applyAlignment="1">
      <alignment horizontal="left" vertical="center"/>
    </xf>
    <xf numFmtId="0" fontId="7" fillId="0" borderId="4" xfId="0" applyFont="1" applyFill="1" applyBorder="1" applyAlignment="1">
      <alignment horizontal="left" vertic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7" fillId="0" borderId="8" xfId="0" applyFont="1" applyFill="1" applyBorder="1" applyAlignment="1">
      <alignment horizontal="left" vertical="center"/>
    </xf>
    <xf numFmtId="0" fontId="7" fillId="0" borderId="9" xfId="0" applyFont="1" applyFill="1" applyBorder="1" applyAlignment="1">
      <alignment horizontal="left" vertical="center"/>
    </xf>
    <xf numFmtId="0" fontId="0" fillId="0" borderId="8" xfId="0" applyBorder="1" applyAlignment="1">
      <alignment horizontal="left"/>
    </xf>
    <xf numFmtId="0" fontId="0" fillId="0" borderId="9" xfId="0" applyBorder="1" applyAlignment="1">
      <alignment horizontal="left"/>
    </xf>
    <xf numFmtId="0" fontId="14" fillId="2" borderId="2" xfId="0" applyFont="1" applyFill="1" applyBorder="1" applyAlignment="1">
      <alignment horizontal="left" vertical="center"/>
    </xf>
    <xf numFmtId="0" fontId="14" fillId="2" borderId="1" xfId="0" applyFont="1" applyFill="1" applyBorder="1" applyAlignment="1">
      <alignment horizontal="left" vertical="center"/>
    </xf>
    <xf numFmtId="0" fontId="11" fillId="2" borderId="1" xfId="0" applyFont="1" applyFill="1" applyBorder="1" applyAlignment="1" applyProtection="1">
      <alignment horizontal="left" vertical="center"/>
    </xf>
    <xf numFmtId="0" fontId="11" fillId="2" borderId="2" xfId="0" applyFont="1" applyFill="1" applyBorder="1" applyAlignment="1" applyProtection="1">
      <alignment horizontal="left" vertical="center"/>
    </xf>
    <xf numFmtId="0" fontId="14" fillId="2" borderId="1" xfId="0" applyFont="1" applyFill="1" applyBorder="1" applyAlignment="1" applyProtection="1">
      <alignment horizontal="left" vertical="center"/>
    </xf>
    <xf numFmtId="0" fontId="15" fillId="2" borderId="1" xfId="0" applyFont="1" applyFill="1" applyBorder="1" applyAlignment="1" applyProtection="1">
      <alignment horizontal="left" vertical="center"/>
    </xf>
    <xf numFmtId="0" fontId="15" fillId="2" borderId="2" xfId="0" applyFont="1" applyFill="1" applyBorder="1" applyAlignment="1" applyProtection="1">
      <alignment horizontal="left" vertical="center"/>
    </xf>
    <xf numFmtId="0" fontId="14" fillId="2" borderId="2" xfId="0" applyFont="1" applyFill="1" applyBorder="1" applyAlignment="1" applyProtection="1">
      <alignment horizontal="left" vertical="center"/>
    </xf>
    <xf numFmtId="0" fontId="15" fillId="6" borderId="10" xfId="0" applyFont="1" applyFill="1" applyBorder="1" applyAlignment="1">
      <alignment horizontal="left" vertical="center"/>
    </xf>
    <xf numFmtId="0" fontId="15" fillId="6" borderId="0" xfId="0" applyFont="1" applyFill="1" applyBorder="1" applyAlignment="1">
      <alignment horizontal="left" vertical="center"/>
    </xf>
    <xf numFmtId="0" fontId="0" fillId="5" borderId="0" xfId="0" applyFill="1" applyAlignment="1">
      <alignment horizontal="left"/>
    </xf>
    <xf numFmtId="0" fontId="16" fillId="7" borderId="10" xfId="0" applyFont="1" applyFill="1" applyBorder="1" applyAlignment="1">
      <alignment horizontal="left" vertical="center"/>
    </xf>
    <xf numFmtId="0" fontId="7" fillId="0" borderId="0" xfId="0" applyFont="1" applyAlignment="1">
      <alignment horizontal="left"/>
    </xf>
    <xf numFmtId="0" fontId="9" fillId="3" borderId="2" xfId="0" applyFont="1" applyFill="1" applyBorder="1" applyAlignment="1">
      <alignment horizontal="center" vertical="center"/>
    </xf>
    <xf numFmtId="0" fontId="0" fillId="8" borderId="0" xfId="0" applyFont="1" applyFill="1" applyAlignment="1">
      <alignment horizontal="left"/>
    </xf>
    <xf numFmtId="0" fontId="0" fillId="8" borderId="0" xfId="0" applyFill="1" applyAlignment="1">
      <alignment horizontal="left"/>
    </xf>
    <xf numFmtId="0" fontId="7" fillId="8" borderId="0" xfId="0" applyFont="1" applyFill="1" applyAlignment="1">
      <alignment horizontal="left"/>
    </xf>
    <xf numFmtId="0" fontId="0" fillId="8" borderId="0" xfId="0" applyFont="1" applyFill="1" applyAlignment="1">
      <alignment horizontal="left" vertical="center"/>
    </xf>
    <xf numFmtId="0" fontId="7" fillId="0" borderId="12" xfId="0" applyFont="1" applyFill="1" applyBorder="1" applyAlignment="1">
      <alignment horizontal="left"/>
    </xf>
    <xf numFmtId="0" fontId="7" fillId="0" borderId="13" xfId="0" applyFont="1" applyFill="1" applyBorder="1" applyAlignment="1">
      <alignment horizontal="left"/>
    </xf>
    <xf numFmtId="0" fontId="7" fillId="0" borderId="14" xfId="0" applyFont="1" applyFill="1" applyBorder="1" applyAlignment="1">
      <alignment horizontal="left" vertical="center"/>
    </xf>
    <xf numFmtId="0" fontId="7" fillId="0" borderId="14" xfId="0" applyFont="1" applyFill="1" applyBorder="1" applyAlignment="1">
      <alignment horizontal="left"/>
    </xf>
    <xf numFmtId="0" fontId="7" fillId="0" borderId="14" xfId="2" applyFont="1" applyFill="1" applyBorder="1" applyAlignment="1">
      <alignment horizontal="left" vertical="center"/>
    </xf>
    <xf numFmtId="0" fontId="7" fillId="0" borderId="13" xfId="0" applyFont="1" applyFill="1" applyBorder="1" applyAlignment="1">
      <alignment horizontal="left" vertical="center"/>
    </xf>
    <xf numFmtId="0" fontId="9" fillId="3" borderId="12" xfId="0" applyFont="1" applyFill="1" applyBorder="1" applyAlignment="1">
      <alignment horizontal="left"/>
    </xf>
    <xf numFmtId="0" fontId="9" fillId="3" borderId="12" xfId="0" applyFont="1" applyFill="1" applyBorder="1" applyAlignment="1">
      <alignment horizontal="left" vertical="center"/>
    </xf>
    <xf numFmtId="0" fontId="7" fillId="8" borderId="11" xfId="0" applyFont="1" applyFill="1" applyBorder="1" applyAlignment="1">
      <alignment horizontal="left" vertical="center"/>
    </xf>
    <xf numFmtId="0" fontId="19" fillId="0" borderId="14" xfId="0" applyFont="1" applyBorder="1" applyAlignment="1">
      <alignment horizontal="left" vertical="center"/>
    </xf>
    <xf numFmtId="0" fontId="19" fillId="0" borderId="21" xfId="0" applyFont="1" applyBorder="1" applyAlignment="1">
      <alignment horizontal="left" vertical="center"/>
    </xf>
    <xf numFmtId="0" fontId="17" fillId="2" borderId="11" xfId="0" applyFont="1" applyFill="1" applyBorder="1" applyAlignment="1">
      <alignment horizontal="left" vertical="center"/>
    </xf>
    <xf numFmtId="0" fontId="17" fillId="2" borderId="12" xfId="0" applyFont="1" applyFill="1" applyBorder="1" applyAlignment="1">
      <alignment horizontal="left" vertical="center"/>
    </xf>
    <xf numFmtId="0" fontId="17" fillId="2" borderId="16" xfId="0" applyFont="1" applyFill="1" applyBorder="1" applyAlignment="1">
      <alignment horizontal="left" vertical="center"/>
    </xf>
    <xf numFmtId="0" fontId="7" fillId="0" borderId="14" xfId="0" applyFont="1" applyBorder="1" applyAlignment="1">
      <alignment horizontal="left" vertical="center"/>
    </xf>
    <xf numFmtId="0" fontId="7" fillId="0" borderId="19" xfId="0" applyFont="1" applyBorder="1" applyAlignment="1">
      <alignment horizontal="left" vertical="center"/>
    </xf>
    <xf numFmtId="0" fontId="19" fillId="0" borderId="19" xfId="0" applyFont="1" applyBorder="1" applyAlignment="1">
      <alignment horizontal="left" vertical="center"/>
    </xf>
    <xf numFmtId="0" fontId="19" fillId="0" borderId="22" xfId="0" applyFont="1" applyBorder="1" applyAlignment="1">
      <alignment horizontal="left" vertical="center"/>
    </xf>
    <xf numFmtId="0" fontId="7" fillId="0" borderId="14" xfId="0" applyFont="1" applyFill="1" applyBorder="1" applyAlignment="1" applyProtection="1">
      <alignment horizontal="left" vertical="center"/>
    </xf>
    <xf numFmtId="0" fontId="7" fillId="0" borderId="19" xfId="0" applyFont="1" applyFill="1" applyBorder="1" applyAlignment="1">
      <alignment horizontal="left" vertical="center"/>
    </xf>
    <xf numFmtId="0" fontId="0" fillId="0" borderId="12" xfId="0" applyFont="1" applyFill="1" applyBorder="1" applyAlignment="1">
      <alignment horizontal="left"/>
    </xf>
    <xf numFmtId="0" fontId="0" fillId="0" borderId="16" xfId="0" applyFont="1" applyFill="1" applyBorder="1" applyAlignment="1">
      <alignment horizontal="left"/>
    </xf>
    <xf numFmtId="0" fontId="7" fillId="0" borderId="19" xfId="0" applyFont="1" applyFill="1" applyBorder="1" applyAlignment="1" applyProtection="1">
      <alignment horizontal="left" vertical="center"/>
    </xf>
    <xf numFmtId="0" fontId="0" fillId="0" borderId="12"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8" fillId="3" borderId="18" xfId="0" applyFont="1" applyFill="1" applyBorder="1" applyAlignment="1" applyProtection="1">
      <alignment horizontal="left" vertical="center"/>
    </xf>
    <xf numFmtId="0" fontId="9" fillId="3" borderId="14" xfId="0" applyFont="1" applyFill="1" applyBorder="1" applyAlignment="1" applyProtection="1">
      <alignment horizontal="left" vertical="center"/>
    </xf>
    <xf numFmtId="0" fontId="9" fillId="3" borderId="14" xfId="0" applyFont="1" applyFill="1" applyBorder="1" applyAlignment="1">
      <alignment horizontal="left" vertical="center"/>
    </xf>
    <xf numFmtId="0" fontId="9" fillId="3" borderId="19" xfId="0" applyFont="1" applyFill="1" applyBorder="1" applyAlignment="1">
      <alignment horizontal="left" vertical="center"/>
    </xf>
    <xf numFmtId="0" fontId="0" fillId="8" borderId="15" xfId="0" applyFont="1" applyFill="1" applyBorder="1" applyAlignment="1">
      <alignment horizontal="left"/>
    </xf>
    <xf numFmtId="0" fontId="9" fillId="3" borderId="23" xfId="0" applyFont="1" applyFill="1" applyBorder="1" applyAlignment="1">
      <alignment horizontal="left"/>
    </xf>
    <xf numFmtId="0" fontId="7" fillId="0" borderId="14" xfId="1" applyFont="1" applyFill="1" applyBorder="1" applyAlignment="1">
      <alignment horizontal="left" vertical="center"/>
    </xf>
    <xf numFmtId="0" fontId="9" fillId="3" borderId="18" xfId="0" applyFont="1" applyFill="1" applyBorder="1" applyAlignment="1">
      <alignment horizontal="left" vertical="center"/>
    </xf>
    <xf numFmtId="0" fontId="9" fillId="3" borderId="14" xfId="0" applyFont="1" applyFill="1" applyBorder="1" applyAlignment="1">
      <alignment horizontal="left"/>
    </xf>
    <xf numFmtId="0" fontId="7" fillId="8" borderId="13" xfId="0" applyFont="1" applyFill="1" applyBorder="1" applyAlignment="1">
      <alignment horizontal="left"/>
    </xf>
    <xf numFmtId="0" fontId="9" fillId="3" borderId="25" xfId="0" applyFont="1" applyFill="1" applyBorder="1" applyAlignment="1">
      <alignment horizontal="left" vertical="center"/>
    </xf>
    <xf numFmtId="0" fontId="0" fillId="0" borderId="15" xfId="0" applyBorder="1" applyAlignment="1">
      <alignment horizontal="left"/>
    </xf>
    <xf numFmtId="0" fontId="0" fillId="0" borderId="14" xfId="0" applyBorder="1" applyAlignment="1">
      <alignment horizontal="left"/>
    </xf>
    <xf numFmtId="0" fontId="0" fillId="0" borderId="13" xfId="0" applyBorder="1" applyAlignment="1">
      <alignment horizontal="left"/>
    </xf>
    <xf numFmtId="0" fontId="7" fillId="0" borderId="14" xfId="0" applyFont="1" applyBorder="1" applyAlignment="1">
      <alignment horizontal="left"/>
    </xf>
    <xf numFmtId="0" fontId="7" fillId="0" borderId="13" xfId="0" applyFont="1" applyBorder="1" applyAlignment="1">
      <alignment horizontal="left"/>
    </xf>
    <xf numFmtId="0" fontId="8" fillId="3" borderId="25" xfId="0" applyFont="1" applyFill="1" applyBorder="1" applyAlignment="1">
      <alignment horizontal="left" vertical="center"/>
    </xf>
    <xf numFmtId="0" fontId="0" fillId="0" borderId="14" xfId="0" applyBorder="1"/>
    <xf numFmtId="0" fontId="22" fillId="0" borderId="14" xfId="3" applyBorder="1" applyAlignment="1">
      <alignment horizontal="left"/>
    </xf>
    <xf numFmtId="0" fontId="22" fillId="0" borderId="14" xfId="3" applyFill="1" applyBorder="1" applyAlignment="1">
      <alignment horizontal="left" vertical="center"/>
    </xf>
    <xf numFmtId="0" fontId="22" fillId="0" borderId="12" xfId="3" applyBorder="1" applyAlignment="1">
      <alignment horizontal="left"/>
    </xf>
    <xf numFmtId="0" fontId="8" fillId="3" borderId="14" xfId="0" applyFont="1" applyFill="1" applyBorder="1" applyAlignment="1">
      <alignment horizontal="left"/>
    </xf>
    <xf numFmtId="0" fontId="0" fillId="8" borderId="14" xfId="0" applyFill="1" applyBorder="1" applyAlignment="1">
      <alignment horizontal="center"/>
    </xf>
    <xf numFmtId="0" fontId="0" fillId="0" borderId="24" xfId="0" applyBorder="1" applyAlignment="1">
      <alignment horizontal="left"/>
    </xf>
    <xf numFmtId="0" fontId="7" fillId="0" borderId="14" xfId="4" applyFont="1" applyFill="1" applyBorder="1" applyAlignment="1">
      <alignment horizontal="left" vertical="center"/>
    </xf>
    <xf numFmtId="58" fontId="7" fillId="0" borderId="14" xfId="0" applyNumberFormat="1" applyFont="1" applyBorder="1" applyAlignment="1">
      <alignment horizontal="left"/>
    </xf>
    <xf numFmtId="0" fontId="9" fillId="3" borderId="14" xfId="4" applyFont="1" applyFill="1" applyBorder="1" applyAlignment="1">
      <alignment horizontal="left" vertical="center"/>
    </xf>
    <xf numFmtId="0" fontId="9" fillId="3" borderId="25" xfId="4" applyFont="1" applyFill="1" applyBorder="1" applyAlignment="1">
      <alignment horizontal="left" vertical="center"/>
    </xf>
    <xf numFmtId="0" fontId="7" fillId="0" borderId="14" xfId="5" applyFont="1" applyFill="1" applyBorder="1" applyAlignment="1">
      <alignment horizontal="left" vertical="center"/>
    </xf>
    <xf numFmtId="0" fontId="7" fillId="0" borderId="14" xfId="5" applyFont="1" applyFill="1" applyBorder="1" applyAlignment="1" applyProtection="1">
      <alignment horizontal="left" vertical="center"/>
    </xf>
    <xf numFmtId="0" fontId="7" fillId="0" borderId="14" xfId="6" applyFont="1" applyFill="1" applyBorder="1" applyAlignment="1">
      <alignment horizontal="left" vertical="center"/>
    </xf>
    <xf numFmtId="0" fontId="9" fillId="3" borderId="18" xfId="5" applyFont="1" applyFill="1" applyBorder="1" applyAlignment="1" applyProtection="1">
      <alignment horizontal="left" vertical="center"/>
    </xf>
    <xf numFmtId="0" fontId="9" fillId="3" borderId="14" xfId="5" applyFont="1" applyFill="1" applyBorder="1" applyAlignment="1" applyProtection="1">
      <alignment horizontal="left" vertical="center"/>
    </xf>
    <xf numFmtId="0" fontId="7" fillId="8" borderId="15" xfId="5" applyFont="1" applyFill="1" applyBorder="1" applyAlignment="1" applyProtection="1">
      <alignment horizontal="left" vertical="center"/>
    </xf>
    <xf numFmtId="0" fontId="22" fillId="0" borderId="0" xfId="3" applyAlignment="1">
      <alignment horizontal="left"/>
    </xf>
    <xf numFmtId="0" fontId="7" fillId="5" borderId="12" xfId="0" applyFont="1" applyFill="1" applyBorder="1" applyAlignment="1">
      <alignment horizontal="left"/>
    </xf>
    <xf numFmtId="0" fontId="7" fillId="5" borderId="14" xfId="0" applyFont="1" applyFill="1" applyBorder="1" applyAlignment="1">
      <alignment horizontal="left"/>
    </xf>
    <xf numFmtId="0" fontId="2" fillId="5" borderId="2" xfId="0" applyFont="1" applyFill="1" applyBorder="1" applyAlignment="1">
      <alignment horizontal="center" vertical="center"/>
    </xf>
    <xf numFmtId="0" fontId="2" fillId="5" borderId="0" xfId="0" applyFont="1" applyFill="1" applyBorder="1" applyAlignment="1">
      <alignment horizontal="center" vertical="center"/>
    </xf>
    <xf numFmtId="0" fontId="7" fillId="5" borderId="2" xfId="0" applyFont="1" applyFill="1" applyBorder="1" applyAlignment="1">
      <alignment horizontal="center" vertical="center"/>
    </xf>
    <xf numFmtId="0" fontId="7" fillId="5" borderId="0" xfId="0" applyFont="1" applyFill="1" applyBorder="1" applyAlignment="1">
      <alignment horizontal="center" vertical="center"/>
    </xf>
    <xf numFmtId="0" fontId="2" fillId="5" borderId="2" xfId="0" applyFont="1" applyFill="1" applyBorder="1" applyAlignment="1" applyProtection="1">
      <alignment horizontal="center" vertical="center"/>
    </xf>
    <xf numFmtId="0" fontId="2" fillId="5" borderId="0" xfId="0" applyFont="1" applyFill="1" applyBorder="1" applyAlignment="1" applyProtection="1">
      <alignment horizontal="center" vertical="center"/>
    </xf>
    <xf numFmtId="0" fontId="0" fillId="5" borderId="0" xfId="0" applyFont="1" applyFill="1" applyAlignment="1">
      <alignment horizontal="center"/>
    </xf>
    <xf numFmtId="0" fontId="7" fillId="5" borderId="0" xfId="0" applyFont="1" applyFill="1" applyAlignment="1">
      <alignment horizontal="center"/>
    </xf>
    <xf numFmtId="0" fontId="0" fillId="5" borderId="0" xfId="0" applyFill="1" applyAlignment="1">
      <alignment horizontal="center"/>
    </xf>
    <xf numFmtId="0" fontId="7" fillId="5" borderId="16" xfId="0" applyFont="1" applyFill="1" applyBorder="1" applyAlignment="1">
      <alignment horizontal="center"/>
    </xf>
    <xf numFmtId="0" fontId="7" fillId="5" borderId="17" xfId="0" applyFont="1" applyFill="1" applyBorder="1" applyAlignment="1">
      <alignment horizontal="center"/>
    </xf>
    <xf numFmtId="0" fontId="7" fillId="5" borderId="15" xfId="0" applyFont="1" applyFill="1" applyBorder="1" applyAlignment="1">
      <alignment horizontal="center"/>
    </xf>
    <xf numFmtId="0" fontId="7" fillId="8" borderId="23" xfId="0" applyFont="1" applyFill="1" applyBorder="1" applyAlignment="1">
      <alignment horizontal="center"/>
    </xf>
    <xf numFmtId="0" fontId="7" fillId="5" borderId="19" xfId="0" applyFont="1" applyFill="1" applyBorder="1" applyAlignment="1">
      <alignment horizontal="center" vertical="center"/>
    </xf>
    <xf numFmtId="0" fontId="7" fillId="5" borderId="24" xfId="0" applyFont="1" applyFill="1" applyBorder="1" applyAlignment="1">
      <alignment horizontal="center" vertical="center"/>
    </xf>
    <xf numFmtId="0" fontId="7" fillId="5" borderId="13" xfId="0" applyFont="1" applyFill="1" applyBorder="1" applyAlignment="1">
      <alignment horizontal="center" vertical="center"/>
    </xf>
    <xf numFmtId="0" fontId="7" fillId="5" borderId="12" xfId="0" applyFont="1" applyFill="1" applyBorder="1" applyAlignment="1">
      <alignment horizontal="center" vertical="center"/>
    </xf>
    <xf numFmtId="0" fontId="7" fillId="5" borderId="19" xfId="0" applyFont="1" applyFill="1" applyBorder="1" applyAlignment="1">
      <alignment horizontal="center"/>
    </xf>
    <xf numFmtId="0" fontId="7" fillId="5" borderId="24" xfId="0" applyFont="1" applyFill="1" applyBorder="1" applyAlignment="1">
      <alignment horizontal="center"/>
    </xf>
    <xf numFmtId="0" fontId="7" fillId="5" borderId="13" xfId="0" applyFont="1" applyFill="1" applyBorder="1" applyAlignment="1">
      <alignment horizontal="center"/>
    </xf>
    <xf numFmtId="0" fontId="0" fillId="10" borderId="23" xfId="0" applyFill="1" applyBorder="1" applyAlignment="1">
      <alignment horizontal="center"/>
    </xf>
    <xf numFmtId="0" fontId="7" fillId="10" borderId="30" xfId="0" applyFont="1" applyFill="1" applyBorder="1" applyAlignment="1">
      <alignment horizontal="center" vertical="center"/>
    </xf>
    <xf numFmtId="0" fontId="7" fillId="10" borderId="24" xfId="0" applyFont="1" applyFill="1" applyBorder="1" applyAlignment="1">
      <alignment horizontal="center" vertical="center"/>
    </xf>
    <xf numFmtId="0" fontId="7" fillId="10" borderId="13" xfId="0" applyFont="1" applyFill="1" applyBorder="1" applyAlignment="1">
      <alignment horizontal="center" vertical="center"/>
    </xf>
    <xf numFmtId="0" fontId="7" fillId="9" borderId="19" xfId="0" applyFont="1" applyFill="1" applyBorder="1" applyAlignment="1">
      <alignment horizontal="center" vertical="center"/>
    </xf>
    <xf numFmtId="0" fontId="7" fillId="9" borderId="24" xfId="0" applyFont="1" applyFill="1" applyBorder="1" applyAlignment="1">
      <alignment horizontal="center" vertical="center"/>
    </xf>
    <xf numFmtId="0" fontId="7" fillId="9" borderId="13" xfId="0" applyFont="1" applyFill="1" applyBorder="1" applyAlignment="1">
      <alignment horizontal="center" vertical="center"/>
    </xf>
    <xf numFmtId="0" fontId="0" fillId="8" borderId="19" xfId="0" applyFill="1" applyBorder="1" applyAlignment="1">
      <alignment horizontal="center"/>
    </xf>
    <xf numFmtId="0" fontId="0" fillId="8" borderId="24" xfId="0" applyFill="1" applyBorder="1" applyAlignment="1">
      <alignment horizontal="center"/>
    </xf>
    <xf numFmtId="0" fontId="0" fillId="8" borderId="13" xfId="0" applyFill="1" applyBorder="1" applyAlignment="1">
      <alignment horizontal="center"/>
    </xf>
    <xf numFmtId="0" fontId="0" fillId="8" borderId="23" xfId="0" applyFill="1" applyBorder="1" applyAlignment="1">
      <alignment horizontal="center"/>
    </xf>
    <xf numFmtId="0" fontId="22" fillId="8" borderId="27" xfId="3" applyFill="1" applyBorder="1" applyAlignment="1">
      <alignment horizontal="center"/>
    </xf>
    <xf numFmtId="0" fontId="22" fillId="8" borderId="28" xfId="3" applyFill="1" applyBorder="1" applyAlignment="1">
      <alignment horizontal="center"/>
    </xf>
    <xf numFmtId="0" fontId="22" fillId="8" borderId="29" xfId="3" applyFill="1" applyBorder="1" applyAlignment="1">
      <alignment horizontal="center"/>
    </xf>
    <xf numFmtId="0" fontId="22" fillId="8" borderId="23" xfId="3" applyFill="1" applyBorder="1" applyAlignment="1">
      <alignment horizontal="center"/>
    </xf>
    <xf numFmtId="0" fontId="0" fillId="10" borderId="26" xfId="0" applyFill="1" applyBorder="1" applyAlignment="1">
      <alignment horizontal="center"/>
    </xf>
    <xf numFmtId="0" fontId="7" fillId="8" borderId="19" xfId="0" applyFont="1" applyFill="1" applyBorder="1" applyAlignment="1">
      <alignment horizontal="center"/>
    </xf>
    <xf numFmtId="0" fontId="7" fillId="8" borderId="24" xfId="0" applyFont="1" applyFill="1" applyBorder="1" applyAlignment="1">
      <alignment horizontal="center"/>
    </xf>
    <xf numFmtId="0" fontId="7" fillId="8" borderId="13" xfId="0" applyFont="1" applyFill="1" applyBorder="1" applyAlignment="1">
      <alignment horizontal="center"/>
    </xf>
    <xf numFmtId="0" fontId="7" fillId="8" borderId="19" xfId="4" applyFont="1" applyFill="1" applyBorder="1" applyAlignment="1">
      <alignment horizontal="center" vertical="center"/>
    </xf>
    <xf numFmtId="0" fontId="7" fillId="8" borderId="24" xfId="4" applyFont="1" applyFill="1" applyBorder="1" applyAlignment="1">
      <alignment horizontal="center" vertical="center"/>
    </xf>
    <xf numFmtId="0" fontId="7" fillId="8" borderId="13" xfId="4" applyFont="1" applyFill="1" applyBorder="1" applyAlignment="1">
      <alignment horizontal="center" vertical="center"/>
    </xf>
  </cellXfs>
  <cellStyles count="7">
    <cellStyle name="常规" xfId="0" builtinId="0"/>
    <cellStyle name="常规 10" xfId="6"/>
    <cellStyle name="常规 2" xfId="2"/>
    <cellStyle name="常规 3" xfId="4"/>
    <cellStyle name="常规 6" xfId="5"/>
    <cellStyle name="超链接" xfId="3" builtinId="8"/>
    <cellStyle name="我的公式" xfId="1"/>
  </cellStyles>
  <dxfs count="16">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ont>
        <color rgb="FFFF0000"/>
      </font>
      <fill>
        <patternFill patternType="solid">
          <bgColor rgb="FFFFC000"/>
        </patternFill>
      </fill>
    </dxf>
    <dxf>
      <fill>
        <patternFill patternType="solid">
          <bgColor rgb="FFFFC000"/>
        </patternFill>
      </fill>
    </dxf>
    <dxf>
      <font>
        <color rgb="FFFF0000"/>
      </font>
      <fill>
        <patternFill patternType="solid">
          <bgColor rgb="FFFFC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5big1-data/Excel/W-&#29289;&#21697;&#37197;&#32622;&#349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5big1-data/Excel/H-&#27963;&#21160;&#37197;&#326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物品基础表"/>
      <sheetName val="物品参数表"/>
      <sheetName val="装备属性表"/>
      <sheetName val="神兵的镶嵌圣物"/>
      <sheetName val="物品合成配置表"/>
      <sheetName val="可选择礼包"/>
      <sheetName val="物品礼包"/>
      <sheetName val="备份"/>
      <sheetName val="熔炼表废弃"/>
    </sheetNames>
    <sheetDataSet>
      <sheetData sheetId="0">
        <row r="1">
          <cell r="A1" t="str">
            <v>导出类型</v>
          </cell>
          <cell r="B1" t="str">
            <v>base</v>
          </cell>
        </row>
        <row r="2">
          <cell r="A2" t="str">
            <v>导出文件</v>
          </cell>
          <cell r="B2" t="str">
            <v>item/item.config</v>
          </cell>
        </row>
        <row r="3">
          <cell r="A3" t="str">
            <v>key数量</v>
          </cell>
          <cell r="B3">
            <v>1</v>
          </cell>
        </row>
        <row r="4">
          <cell r="A4">
            <v>0</v>
          </cell>
          <cell r="B4">
            <v>0</v>
          </cell>
        </row>
        <row r="5">
          <cell r="A5" t="str">
            <v>配置备注</v>
          </cell>
          <cell r="B5" t="str">
            <v>物品id</v>
          </cell>
        </row>
        <row r="6">
          <cell r="A6" t="str">
            <v>导出参数</v>
          </cell>
          <cell r="B6" t="str">
            <v>sc</v>
          </cell>
        </row>
        <row r="7">
          <cell r="A7" t="str">
            <v>备注</v>
          </cell>
          <cell r="B7" t="str">
            <v>id</v>
          </cell>
        </row>
        <row r="8">
          <cell r="A8" t="str">
            <v>白色战士1级武器</v>
          </cell>
          <cell r="B8">
            <v>101001</v>
          </cell>
        </row>
        <row r="9">
          <cell r="A9" t="str">
            <v>白色战士10级武器</v>
          </cell>
          <cell r="B9">
            <v>101002</v>
          </cell>
        </row>
        <row r="10">
          <cell r="A10" t="str">
            <v>白色战士20级武器</v>
          </cell>
          <cell r="B10">
            <v>101003</v>
          </cell>
        </row>
        <row r="11">
          <cell r="A11" t="str">
            <v>白色战士30级武器</v>
          </cell>
          <cell r="B11">
            <v>101004</v>
          </cell>
        </row>
        <row r="12">
          <cell r="A12" t="str">
            <v>白色战士40级武器</v>
          </cell>
          <cell r="B12">
            <v>101005</v>
          </cell>
        </row>
        <row r="13">
          <cell r="A13" t="str">
            <v>白色战士50级武器</v>
          </cell>
          <cell r="B13">
            <v>101006</v>
          </cell>
        </row>
        <row r="14">
          <cell r="A14" t="str">
            <v>白色战士60级武器</v>
          </cell>
          <cell r="B14">
            <v>101007</v>
          </cell>
        </row>
        <row r="15">
          <cell r="A15" t="str">
            <v>白色战士70级武器</v>
          </cell>
          <cell r="B15">
            <v>101008</v>
          </cell>
        </row>
        <row r="16">
          <cell r="A16" t="str">
            <v>白色战士80级武器</v>
          </cell>
          <cell r="B16">
            <v>101009</v>
          </cell>
        </row>
        <row r="17">
          <cell r="A17" t="str">
            <v>白色战士90级武器</v>
          </cell>
          <cell r="B17">
            <v>101010</v>
          </cell>
        </row>
        <row r="18">
          <cell r="A18" t="str">
            <v>白色战士100级武器</v>
          </cell>
          <cell r="B18">
            <v>101011</v>
          </cell>
        </row>
        <row r="19">
          <cell r="A19" t="str">
            <v>白色战士110级武器</v>
          </cell>
          <cell r="B19">
            <v>101012</v>
          </cell>
        </row>
        <row r="20">
          <cell r="A20" t="str">
            <v>白色战士120级武器</v>
          </cell>
          <cell r="B20">
            <v>101013</v>
          </cell>
        </row>
        <row r="21">
          <cell r="A21" t="str">
            <v>白色战士130级武器</v>
          </cell>
          <cell r="B21">
            <v>101014</v>
          </cell>
        </row>
        <row r="22">
          <cell r="A22" t="str">
            <v>白色战士140级武器</v>
          </cell>
          <cell r="B22">
            <v>101015</v>
          </cell>
        </row>
        <row r="23">
          <cell r="A23" t="str">
            <v>白色战士150级武器</v>
          </cell>
          <cell r="B23">
            <v>101016</v>
          </cell>
        </row>
        <row r="24">
          <cell r="A24" t="str">
            <v>白色战士160级武器</v>
          </cell>
          <cell r="B24">
            <v>101017</v>
          </cell>
        </row>
        <row r="25">
          <cell r="A25" t="str">
            <v>白色战士170级武器</v>
          </cell>
          <cell r="B25">
            <v>101018</v>
          </cell>
        </row>
        <row r="26">
          <cell r="A26" t="str">
            <v>白色战士180级武器</v>
          </cell>
          <cell r="B26">
            <v>101019</v>
          </cell>
        </row>
        <row r="27">
          <cell r="A27" t="str">
            <v>白色战士190级武器</v>
          </cell>
          <cell r="B27">
            <v>101020</v>
          </cell>
        </row>
        <row r="28">
          <cell r="A28" t="str">
            <v>白色战士200级武器</v>
          </cell>
          <cell r="B28">
            <v>101021</v>
          </cell>
        </row>
        <row r="29">
          <cell r="A29" t="str">
            <v>白色法师1级武器</v>
          </cell>
          <cell r="B29">
            <v>102001</v>
          </cell>
        </row>
        <row r="30">
          <cell r="A30" t="str">
            <v>白色法师10级武器</v>
          </cell>
          <cell r="B30">
            <v>102002</v>
          </cell>
        </row>
        <row r="31">
          <cell r="A31" t="str">
            <v>白色法师20级武器</v>
          </cell>
          <cell r="B31">
            <v>102003</v>
          </cell>
        </row>
        <row r="32">
          <cell r="A32" t="str">
            <v>白色法师30级武器</v>
          </cell>
          <cell r="B32">
            <v>102004</v>
          </cell>
        </row>
        <row r="33">
          <cell r="A33" t="str">
            <v>白色法师40级武器</v>
          </cell>
          <cell r="B33">
            <v>102005</v>
          </cell>
        </row>
        <row r="34">
          <cell r="A34" t="str">
            <v>白色法师50级武器</v>
          </cell>
          <cell r="B34">
            <v>102006</v>
          </cell>
        </row>
        <row r="35">
          <cell r="A35" t="str">
            <v>白色法师60级武器</v>
          </cell>
          <cell r="B35">
            <v>102007</v>
          </cell>
        </row>
        <row r="36">
          <cell r="A36" t="str">
            <v>白色法师70级武器</v>
          </cell>
          <cell r="B36">
            <v>102008</v>
          </cell>
        </row>
        <row r="37">
          <cell r="A37" t="str">
            <v>白色法师80级武器</v>
          </cell>
          <cell r="B37">
            <v>102009</v>
          </cell>
        </row>
        <row r="38">
          <cell r="A38" t="str">
            <v>白色法师90级武器</v>
          </cell>
          <cell r="B38">
            <v>102010</v>
          </cell>
        </row>
        <row r="39">
          <cell r="A39" t="str">
            <v>白色法师100级武器</v>
          </cell>
          <cell r="B39">
            <v>102011</v>
          </cell>
        </row>
        <row r="40">
          <cell r="A40" t="str">
            <v>白色法师110级武器</v>
          </cell>
          <cell r="B40">
            <v>102012</v>
          </cell>
        </row>
        <row r="41">
          <cell r="A41" t="str">
            <v>白色法师120级武器</v>
          </cell>
          <cell r="B41">
            <v>102013</v>
          </cell>
        </row>
        <row r="42">
          <cell r="A42" t="str">
            <v>白色法师130级武器</v>
          </cell>
          <cell r="B42">
            <v>102014</v>
          </cell>
        </row>
        <row r="43">
          <cell r="A43" t="str">
            <v>白色法师140级武器</v>
          </cell>
          <cell r="B43">
            <v>102015</v>
          </cell>
        </row>
        <row r="44">
          <cell r="A44" t="str">
            <v>白色法师150级武器</v>
          </cell>
          <cell r="B44">
            <v>102016</v>
          </cell>
        </row>
        <row r="45">
          <cell r="A45" t="str">
            <v>白色法师160级武器</v>
          </cell>
          <cell r="B45">
            <v>102017</v>
          </cell>
        </row>
        <row r="46">
          <cell r="A46" t="str">
            <v>白色法师170级武器</v>
          </cell>
          <cell r="B46">
            <v>102018</v>
          </cell>
        </row>
        <row r="47">
          <cell r="A47" t="str">
            <v>白色法师180级武器</v>
          </cell>
          <cell r="B47">
            <v>102019</v>
          </cell>
        </row>
        <row r="48">
          <cell r="A48" t="str">
            <v>白色法师190级武器</v>
          </cell>
          <cell r="B48">
            <v>102020</v>
          </cell>
        </row>
        <row r="49">
          <cell r="A49" t="str">
            <v>白色法师200级武器</v>
          </cell>
          <cell r="B49">
            <v>102021</v>
          </cell>
        </row>
        <row r="50">
          <cell r="A50" t="str">
            <v>白色道士1级武器</v>
          </cell>
          <cell r="B50">
            <v>103001</v>
          </cell>
        </row>
        <row r="51">
          <cell r="A51" t="str">
            <v>白色道士10级武器</v>
          </cell>
          <cell r="B51">
            <v>103002</v>
          </cell>
        </row>
        <row r="52">
          <cell r="A52" t="str">
            <v>白色道士20级武器</v>
          </cell>
          <cell r="B52">
            <v>103003</v>
          </cell>
        </row>
        <row r="53">
          <cell r="A53" t="str">
            <v>白色道士30级武器</v>
          </cell>
          <cell r="B53">
            <v>103004</v>
          </cell>
        </row>
        <row r="54">
          <cell r="A54" t="str">
            <v>白色道士40级武器</v>
          </cell>
          <cell r="B54">
            <v>103005</v>
          </cell>
        </row>
        <row r="55">
          <cell r="A55" t="str">
            <v>白色道士50级武器</v>
          </cell>
          <cell r="B55">
            <v>103006</v>
          </cell>
        </row>
        <row r="56">
          <cell r="A56" t="str">
            <v>白色道士60级武器</v>
          </cell>
          <cell r="B56">
            <v>103007</v>
          </cell>
        </row>
        <row r="57">
          <cell r="A57" t="str">
            <v>白色道士70级武器</v>
          </cell>
          <cell r="B57">
            <v>103008</v>
          </cell>
        </row>
        <row r="58">
          <cell r="A58" t="str">
            <v>白色道士80级武器</v>
          </cell>
          <cell r="B58">
            <v>103009</v>
          </cell>
        </row>
        <row r="59">
          <cell r="A59" t="str">
            <v>白色道士90级武器</v>
          </cell>
          <cell r="B59">
            <v>103010</v>
          </cell>
        </row>
        <row r="60">
          <cell r="A60" t="str">
            <v>白色道士100级武器</v>
          </cell>
          <cell r="B60">
            <v>103011</v>
          </cell>
        </row>
        <row r="61">
          <cell r="A61" t="str">
            <v>白色道士110级武器</v>
          </cell>
          <cell r="B61">
            <v>103012</v>
          </cell>
        </row>
        <row r="62">
          <cell r="A62" t="str">
            <v>白色道士120级武器</v>
          </cell>
          <cell r="B62">
            <v>103013</v>
          </cell>
        </row>
        <row r="63">
          <cell r="A63" t="str">
            <v>白色道士130级武器</v>
          </cell>
          <cell r="B63">
            <v>103014</v>
          </cell>
        </row>
        <row r="64">
          <cell r="A64" t="str">
            <v>白色道士140级武器</v>
          </cell>
          <cell r="B64">
            <v>103015</v>
          </cell>
        </row>
        <row r="65">
          <cell r="A65" t="str">
            <v>白色道士150级武器</v>
          </cell>
          <cell r="B65">
            <v>103016</v>
          </cell>
        </row>
        <row r="66">
          <cell r="A66" t="str">
            <v>白色道士160级武器</v>
          </cell>
          <cell r="B66">
            <v>103017</v>
          </cell>
        </row>
        <row r="67">
          <cell r="A67" t="str">
            <v>白色道士170级武器</v>
          </cell>
          <cell r="B67">
            <v>103018</v>
          </cell>
        </row>
        <row r="68">
          <cell r="A68" t="str">
            <v>白色道士180级武器</v>
          </cell>
          <cell r="B68">
            <v>103019</v>
          </cell>
        </row>
        <row r="69">
          <cell r="A69" t="str">
            <v>白色道士190级武器</v>
          </cell>
          <cell r="B69">
            <v>103020</v>
          </cell>
        </row>
        <row r="70">
          <cell r="A70" t="str">
            <v>白色道士200级武器</v>
          </cell>
          <cell r="B70">
            <v>103021</v>
          </cell>
        </row>
        <row r="71">
          <cell r="A71" t="str">
            <v>白色战士1级头盔</v>
          </cell>
          <cell r="B71">
            <v>111001</v>
          </cell>
        </row>
        <row r="72">
          <cell r="A72" t="str">
            <v>白色战士10级头盔</v>
          </cell>
          <cell r="B72">
            <v>111002</v>
          </cell>
        </row>
        <row r="73">
          <cell r="A73" t="str">
            <v>白色战士20级头盔</v>
          </cell>
          <cell r="B73">
            <v>111003</v>
          </cell>
        </row>
        <row r="74">
          <cell r="A74" t="str">
            <v>白色战士30级头盔</v>
          </cell>
          <cell r="B74">
            <v>111004</v>
          </cell>
        </row>
        <row r="75">
          <cell r="A75" t="str">
            <v>白色战士40级头盔</v>
          </cell>
          <cell r="B75">
            <v>111005</v>
          </cell>
        </row>
        <row r="76">
          <cell r="A76" t="str">
            <v>白色战士50级头盔</v>
          </cell>
          <cell r="B76">
            <v>111006</v>
          </cell>
        </row>
        <row r="77">
          <cell r="A77" t="str">
            <v>白色战士60级头盔</v>
          </cell>
          <cell r="B77">
            <v>111007</v>
          </cell>
        </row>
        <row r="78">
          <cell r="A78" t="str">
            <v>白色战士70级头盔</v>
          </cell>
          <cell r="B78">
            <v>111008</v>
          </cell>
        </row>
        <row r="79">
          <cell r="A79" t="str">
            <v>白色战士80级头盔</v>
          </cell>
          <cell r="B79">
            <v>111009</v>
          </cell>
        </row>
        <row r="80">
          <cell r="A80" t="str">
            <v>白色战士90级头盔</v>
          </cell>
          <cell r="B80">
            <v>111010</v>
          </cell>
        </row>
        <row r="81">
          <cell r="A81" t="str">
            <v>白色战士100级头盔</v>
          </cell>
          <cell r="B81">
            <v>111011</v>
          </cell>
        </row>
        <row r="82">
          <cell r="A82" t="str">
            <v>白色战士110级头盔</v>
          </cell>
          <cell r="B82">
            <v>111012</v>
          </cell>
        </row>
        <row r="83">
          <cell r="A83" t="str">
            <v>白色战士120级头盔</v>
          </cell>
          <cell r="B83">
            <v>111013</v>
          </cell>
        </row>
        <row r="84">
          <cell r="A84" t="str">
            <v>白色战士130级头盔</v>
          </cell>
          <cell r="B84">
            <v>111014</v>
          </cell>
        </row>
        <row r="85">
          <cell r="A85" t="str">
            <v>白色战士140级头盔</v>
          </cell>
          <cell r="B85">
            <v>111015</v>
          </cell>
        </row>
        <row r="86">
          <cell r="A86" t="str">
            <v>白色战士150级头盔</v>
          </cell>
          <cell r="B86">
            <v>111016</v>
          </cell>
        </row>
        <row r="87">
          <cell r="A87" t="str">
            <v>白色战士160级头盔</v>
          </cell>
          <cell r="B87">
            <v>111017</v>
          </cell>
        </row>
        <row r="88">
          <cell r="A88" t="str">
            <v>白色战士170级头盔</v>
          </cell>
          <cell r="B88">
            <v>111018</v>
          </cell>
        </row>
        <row r="89">
          <cell r="A89" t="str">
            <v>白色战士180级头盔</v>
          </cell>
          <cell r="B89">
            <v>111019</v>
          </cell>
        </row>
        <row r="90">
          <cell r="A90" t="str">
            <v>白色战士190级头盔</v>
          </cell>
          <cell r="B90">
            <v>111020</v>
          </cell>
        </row>
        <row r="91">
          <cell r="A91" t="str">
            <v>白色战士200级头盔</v>
          </cell>
          <cell r="B91">
            <v>111021</v>
          </cell>
        </row>
        <row r="92">
          <cell r="A92" t="str">
            <v>白色法师1级头盔</v>
          </cell>
          <cell r="B92">
            <v>112001</v>
          </cell>
        </row>
        <row r="93">
          <cell r="A93" t="str">
            <v>白色法师10级头盔</v>
          </cell>
          <cell r="B93">
            <v>112002</v>
          </cell>
        </row>
        <row r="94">
          <cell r="A94" t="str">
            <v>白色法师20级头盔</v>
          </cell>
          <cell r="B94">
            <v>112003</v>
          </cell>
        </row>
        <row r="95">
          <cell r="A95" t="str">
            <v>白色法师30级头盔</v>
          </cell>
          <cell r="B95">
            <v>112004</v>
          </cell>
        </row>
        <row r="96">
          <cell r="A96" t="str">
            <v>白色法师40级头盔</v>
          </cell>
          <cell r="B96">
            <v>112005</v>
          </cell>
        </row>
        <row r="97">
          <cell r="A97" t="str">
            <v>白色法师50级头盔</v>
          </cell>
          <cell r="B97">
            <v>112006</v>
          </cell>
        </row>
        <row r="98">
          <cell r="A98" t="str">
            <v>白色法师60级头盔</v>
          </cell>
          <cell r="B98">
            <v>112007</v>
          </cell>
        </row>
        <row r="99">
          <cell r="A99" t="str">
            <v>白色法师70级头盔</v>
          </cell>
          <cell r="B99">
            <v>112008</v>
          </cell>
        </row>
        <row r="100">
          <cell r="A100" t="str">
            <v>白色法师80级头盔</v>
          </cell>
          <cell r="B100">
            <v>112009</v>
          </cell>
        </row>
        <row r="101">
          <cell r="A101" t="str">
            <v>白色法师90级头盔</v>
          </cell>
          <cell r="B101">
            <v>112010</v>
          </cell>
        </row>
        <row r="102">
          <cell r="A102" t="str">
            <v>白色法师100级头盔</v>
          </cell>
          <cell r="B102">
            <v>112011</v>
          </cell>
        </row>
        <row r="103">
          <cell r="A103" t="str">
            <v>白色法师110级头盔</v>
          </cell>
          <cell r="B103">
            <v>112012</v>
          </cell>
        </row>
        <row r="104">
          <cell r="A104" t="str">
            <v>白色法师120级头盔</v>
          </cell>
          <cell r="B104">
            <v>112013</v>
          </cell>
        </row>
        <row r="105">
          <cell r="A105" t="str">
            <v>白色法师130级头盔</v>
          </cell>
          <cell r="B105">
            <v>112014</v>
          </cell>
        </row>
        <row r="106">
          <cell r="A106" t="str">
            <v>白色法师140级头盔</v>
          </cell>
          <cell r="B106">
            <v>112015</v>
          </cell>
        </row>
        <row r="107">
          <cell r="A107" t="str">
            <v>白色法师150级头盔</v>
          </cell>
          <cell r="B107">
            <v>112016</v>
          </cell>
        </row>
        <row r="108">
          <cell r="A108" t="str">
            <v>白色法师160级头盔</v>
          </cell>
          <cell r="B108">
            <v>112017</v>
          </cell>
        </row>
        <row r="109">
          <cell r="A109" t="str">
            <v>白色法师170级头盔</v>
          </cell>
          <cell r="B109">
            <v>112018</v>
          </cell>
        </row>
        <row r="110">
          <cell r="A110" t="str">
            <v>白色法师180级头盔</v>
          </cell>
          <cell r="B110">
            <v>112019</v>
          </cell>
        </row>
        <row r="111">
          <cell r="A111" t="str">
            <v>白色法师190级头盔</v>
          </cell>
          <cell r="B111">
            <v>112020</v>
          </cell>
        </row>
        <row r="112">
          <cell r="A112" t="str">
            <v>白色法师200级头盔</v>
          </cell>
          <cell r="B112">
            <v>112021</v>
          </cell>
        </row>
        <row r="113">
          <cell r="A113" t="str">
            <v>白色道士1级头盔</v>
          </cell>
          <cell r="B113">
            <v>113001</v>
          </cell>
        </row>
        <row r="114">
          <cell r="A114" t="str">
            <v>白色道士10级头盔</v>
          </cell>
          <cell r="B114">
            <v>113002</v>
          </cell>
        </row>
        <row r="115">
          <cell r="A115" t="str">
            <v>白色道士20级头盔</v>
          </cell>
          <cell r="B115">
            <v>113003</v>
          </cell>
        </row>
        <row r="116">
          <cell r="A116" t="str">
            <v>白色道士30级头盔</v>
          </cell>
          <cell r="B116">
            <v>113004</v>
          </cell>
        </row>
        <row r="117">
          <cell r="A117" t="str">
            <v>白色道士40级头盔</v>
          </cell>
          <cell r="B117">
            <v>113005</v>
          </cell>
        </row>
        <row r="118">
          <cell r="A118" t="str">
            <v>白色道士50级头盔</v>
          </cell>
          <cell r="B118">
            <v>113006</v>
          </cell>
        </row>
        <row r="119">
          <cell r="A119" t="str">
            <v>白色道士60级头盔</v>
          </cell>
          <cell r="B119">
            <v>113007</v>
          </cell>
        </row>
        <row r="120">
          <cell r="A120" t="str">
            <v>白色道士70级头盔</v>
          </cell>
          <cell r="B120">
            <v>113008</v>
          </cell>
        </row>
        <row r="121">
          <cell r="A121" t="str">
            <v>白色道士80级头盔</v>
          </cell>
          <cell r="B121">
            <v>113009</v>
          </cell>
        </row>
        <row r="122">
          <cell r="A122" t="str">
            <v>白色道士90级头盔</v>
          </cell>
          <cell r="B122">
            <v>113010</v>
          </cell>
        </row>
        <row r="123">
          <cell r="A123" t="str">
            <v>白色道士100级头盔</v>
          </cell>
          <cell r="B123">
            <v>113011</v>
          </cell>
        </row>
        <row r="124">
          <cell r="A124" t="str">
            <v>白色道士110级头盔</v>
          </cell>
          <cell r="B124">
            <v>113012</v>
          </cell>
        </row>
        <row r="125">
          <cell r="A125" t="str">
            <v>白色道士120级头盔</v>
          </cell>
          <cell r="B125">
            <v>113013</v>
          </cell>
        </row>
        <row r="126">
          <cell r="A126" t="str">
            <v>白色道士130级头盔</v>
          </cell>
          <cell r="B126">
            <v>113014</v>
          </cell>
        </row>
        <row r="127">
          <cell r="A127" t="str">
            <v>白色道士140级头盔</v>
          </cell>
          <cell r="B127">
            <v>113015</v>
          </cell>
        </row>
        <row r="128">
          <cell r="A128" t="str">
            <v>白色道士150级头盔</v>
          </cell>
          <cell r="B128">
            <v>113016</v>
          </cell>
        </row>
        <row r="129">
          <cell r="A129" t="str">
            <v>白色道士160级头盔</v>
          </cell>
          <cell r="B129">
            <v>113017</v>
          </cell>
        </row>
        <row r="130">
          <cell r="A130" t="str">
            <v>白色道士170级头盔</v>
          </cell>
          <cell r="B130">
            <v>113018</v>
          </cell>
        </row>
        <row r="131">
          <cell r="A131" t="str">
            <v>白色道士180级头盔</v>
          </cell>
          <cell r="B131">
            <v>113019</v>
          </cell>
        </row>
        <row r="132">
          <cell r="A132" t="str">
            <v>白色道士190级头盔</v>
          </cell>
          <cell r="B132">
            <v>113020</v>
          </cell>
        </row>
        <row r="133">
          <cell r="A133" t="str">
            <v>白色道士200级头盔</v>
          </cell>
          <cell r="B133">
            <v>113021</v>
          </cell>
        </row>
        <row r="134">
          <cell r="A134" t="str">
            <v>白色战士1级衣服</v>
          </cell>
          <cell r="B134">
            <v>121001</v>
          </cell>
        </row>
        <row r="135">
          <cell r="A135" t="str">
            <v>白色战士10级衣服</v>
          </cell>
          <cell r="B135">
            <v>121002</v>
          </cell>
        </row>
        <row r="136">
          <cell r="A136" t="str">
            <v>白色战士20级衣服</v>
          </cell>
          <cell r="B136">
            <v>121003</v>
          </cell>
        </row>
        <row r="137">
          <cell r="A137" t="str">
            <v>白色战士30级衣服</v>
          </cell>
          <cell r="B137">
            <v>121004</v>
          </cell>
        </row>
        <row r="138">
          <cell r="A138" t="str">
            <v>白色战士40级衣服</v>
          </cell>
          <cell r="B138">
            <v>121005</v>
          </cell>
        </row>
        <row r="139">
          <cell r="A139" t="str">
            <v>白色战士50级衣服</v>
          </cell>
          <cell r="B139">
            <v>121006</v>
          </cell>
        </row>
        <row r="140">
          <cell r="A140" t="str">
            <v>白色战士60级衣服</v>
          </cell>
          <cell r="B140">
            <v>121007</v>
          </cell>
        </row>
        <row r="141">
          <cell r="A141" t="str">
            <v>白色战士70级衣服</v>
          </cell>
          <cell r="B141">
            <v>121008</v>
          </cell>
        </row>
        <row r="142">
          <cell r="A142" t="str">
            <v>白色战士80级衣服</v>
          </cell>
          <cell r="B142">
            <v>121009</v>
          </cell>
        </row>
        <row r="143">
          <cell r="A143" t="str">
            <v>白色战士90级衣服</v>
          </cell>
          <cell r="B143">
            <v>121010</v>
          </cell>
        </row>
        <row r="144">
          <cell r="A144" t="str">
            <v>白色战士100级衣服</v>
          </cell>
          <cell r="B144">
            <v>121011</v>
          </cell>
        </row>
        <row r="145">
          <cell r="A145" t="str">
            <v>白色战士110级衣服</v>
          </cell>
          <cell r="B145">
            <v>121012</v>
          </cell>
        </row>
        <row r="146">
          <cell r="A146" t="str">
            <v>白色战士120级衣服</v>
          </cell>
          <cell r="B146">
            <v>121013</v>
          </cell>
        </row>
        <row r="147">
          <cell r="A147" t="str">
            <v>白色战士130级衣服</v>
          </cell>
          <cell r="B147">
            <v>121014</v>
          </cell>
        </row>
        <row r="148">
          <cell r="A148" t="str">
            <v>白色战士140级衣服</v>
          </cell>
          <cell r="B148">
            <v>121015</v>
          </cell>
        </row>
        <row r="149">
          <cell r="A149" t="str">
            <v>白色战士150级衣服</v>
          </cell>
          <cell r="B149">
            <v>121016</v>
          </cell>
        </row>
        <row r="150">
          <cell r="A150" t="str">
            <v>白色战士160级衣服</v>
          </cell>
          <cell r="B150">
            <v>121017</v>
          </cell>
        </row>
        <row r="151">
          <cell r="A151" t="str">
            <v>白色战士170级衣服</v>
          </cell>
          <cell r="B151">
            <v>121018</v>
          </cell>
        </row>
        <row r="152">
          <cell r="A152" t="str">
            <v>白色战士180级衣服</v>
          </cell>
          <cell r="B152">
            <v>121019</v>
          </cell>
        </row>
        <row r="153">
          <cell r="A153" t="str">
            <v>白色战士190级衣服</v>
          </cell>
          <cell r="B153">
            <v>121020</v>
          </cell>
        </row>
        <row r="154">
          <cell r="A154" t="str">
            <v>白色战士200级衣服</v>
          </cell>
          <cell r="B154">
            <v>121021</v>
          </cell>
        </row>
        <row r="155">
          <cell r="A155" t="str">
            <v>白色法师1级衣服</v>
          </cell>
          <cell r="B155">
            <v>122001</v>
          </cell>
        </row>
        <row r="156">
          <cell r="A156" t="str">
            <v>白色法师10级衣服</v>
          </cell>
          <cell r="B156">
            <v>122002</v>
          </cell>
        </row>
        <row r="157">
          <cell r="A157" t="str">
            <v>白色法师20级衣服</v>
          </cell>
          <cell r="B157">
            <v>122003</v>
          </cell>
        </row>
        <row r="158">
          <cell r="A158" t="str">
            <v>白色法师30级衣服</v>
          </cell>
          <cell r="B158">
            <v>122004</v>
          </cell>
        </row>
        <row r="159">
          <cell r="A159" t="str">
            <v>白色法师40级衣服</v>
          </cell>
          <cell r="B159">
            <v>122005</v>
          </cell>
        </row>
        <row r="160">
          <cell r="A160" t="str">
            <v>白色法师50级衣服</v>
          </cell>
          <cell r="B160">
            <v>122006</v>
          </cell>
        </row>
        <row r="161">
          <cell r="A161" t="str">
            <v>白色法师60级衣服</v>
          </cell>
          <cell r="B161">
            <v>122007</v>
          </cell>
        </row>
        <row r="162">
          <cell r="A162" t="str">
            <v>白色法师70级衣服</v>
          </cell>
          <cell r="B162">
            <v>122008</v>
          </cell>
        </row>
        <row r="163">
          <cell r="A163" t="str">
            <v>白色法师80级衣服</v>
          </cell>
          <cell r="B163">
            <v>122009</v>
          </cell>
        </row>
        <row r="164">
          <cell r="A164" t="str">
            <v>白色法师90级衣服</v>
          </cell>
          <cell r="B164">
            <v>122010</v>
          </cell>
        </row>
        <row r="165">
          <cell r="A165" t="str">
            <v>白色法师100级衣服</v>
          </cell>
          <cell r="B165">
            <v>122011</v>
          </cell>
        </row>
        <row r="166">
          <cell r="A166" t="str">
            <v>白色法师110级衣服</v>
          </cell>
          <cell r="B166">
            <v>122012</v>
          </cell>
        </row>
        <row r="167">
          <cell r="A167" t="str">
            <v>白色法师120级衣服</v>
          </cell>
          <cell r="B167">
            <v>122013</v>
          </cell>
        </row>
        <row r="168">
          <cell r="A168" t="str">
            <v>白色法师130级衣服</v>
          </cell>
          <cell r="B168">
            <v>122014</v>
          </cell>
        </row>
        <row r="169">
          <cell r="A169" t="str">
            <v>白色法师140级衣服</v>
          </cell>
          <cell r="B169">
            <v>122015</v>
          </cell>
        </row>
        <row r="170">
          <cell r="A170" t="str">
            <v>白色法师150级衣服</v>
          </cell>
          <cell r="B170">
            <v>122016</v>
          </cell>
        </row>
        <row r="171">
          <cell r="A171" t="str">
            <v>白色法师160级衣服</v>
          </cell>
          <cell r="B171">
            <v>122017</v>
          </cell>
        </row>
        <row r="172">
          <cell r="A172" t="str">
            <v>白色法师170级衣服</v>
          </cell>
          <cell r="B172">
            <v>122018</v>
          </cell>
        </row>
        <row r="173">
          <cell r="A173" t="str">
            <v>白色法师180级衣服</v>
          </cell>
          <cell r="B173">
            <v>122019</v>
          </cell>
        </row>
        <row r="174">
          <cell r="A174" t="str">
            <v>白色法师190级衣服</v>
          </cell>
          <cell r="B174">
            <v>122020</v>
          </cell>
        </row>
        <row r="175">
          <cell r="A175" t="str">
            <v>白色法师200级衣服</v>
          </cell>
          <cell r="B175">
            <v>122021</v>
          </cell>
        </row>
        <row r="176">
          <cell r="A176" t="str">
            <v>白色道士1级衣服</v>
          </cell>
          <cell r="B176">
            <v>123001</v>
          </cell>
        </row>
        <row r="177">
          <cell r="A177" t="str">
            <v>白色道士10级衣服</v>
          </cell>
          <cell r="B177">
            <v>123002</v>
          </cell>
        </row>
        <row r="178">
          <cell r="A178" t="str">
            <v>白色道士20级衣服</v>
          </cell>
          <cell r="B178">
            <v>123003</v>
          </cell>
        </row>
        <row r="179">
          <cell r="A179" t="str">
            <v>白色道士30级衣服</v>
          </cell>
          <cell r="B179">
            <v>123004</v>
          </cell>
        </row>
        <row r="180">
          <cell r="A180" t="str">
            <v>白色道士40级衣服</v>
          </cell>
          <cell r="B180">
            <v>123005</v>
          </cell>
        </row>
        <row r="181">
          <cell r="A181" t="str">
            <v>白色道士50级衣服</v>
          </cell>
          <cell r="B181">
            <v>123006</v>
          </cell>
        </row>
        <row r="182">
          <cell r="A182" t="str">
            <v>白色道士60级衣服</v>
          </cell>
          <cell r="B182">
            <v>123007</v>
          </cell>
        </row>
        <row r="183">
          <cell r="A183" t="str">
            <v>白色道士70级衣服</v>
          </cell>
          <cell r="B183">
            <v>123008</v>
          </cell>
        </row>
        <row r="184">
          <cell r="A184" t="str">
            <v>白色道士80级衣服</v>
          </cell>
          <cell r="B184">
            <v>123009</v>
          </cell>
        </row>
        <row r="185">
          <cell r="A185" t="str">
            <v>白色道士90级衣服</v>
          </cell>
          <cell r="B185">
            <v>123010</v>
          </cell>
        </row>
        <row r="186">
          <cell r="A186" t="str">
            <v>白色道士100级衣服</v>
          </cell>
          <cell r="B186">
            <v>123011</v>
          </cell>
        </row>
        <row r="187">
          <cell r="A187" t="str">
            <v>白色道士110级衣服</v>
          </cell>
          <cell r="B187">
            <v>123012</v>
          </cell>
        </row>
        <row r="188">
          <cell r="A188" t="str">
            <v>白色道士120级衣服</v>
          </cell>
          <cell r="B188">
            <v>123013</v>
          </cell>
        </row>
        <row r="189">
          <cell r="A189" t="str">
            <v>白色道士130级衣服</v>
          </cell>
          <cell r="B189">
            <v>123014</v>
          </cell>
        </row>
        <row r="190">
          <cell r="A190" t="str">
            <v>白色道士140级衣服</v>
          </cell>
          <cell r="B190">
            <v>123015</v>
          </cell>
        </row>
        <row r="191">
          <cell r="A191" t="str">
            <v>白色道士150级衣服</v>
          </cell>
          <cell r="B191">
            <v>123016</v>
          </cell>
        </row>
        <row r="192">
          <cell r="A192" t="str">
            <v>白色道士160级衣服</v>
          </cell>
          <cell r="B192">
            <v>123017</v>
          </cell>
        </row>
        <row r="193">
          <cell r="A193" t="str">
            <v>白色道士170级衣服</v>
          </cell>
          <cell r="B193">
            <v>123018</v>
          </cell>
        </row>
        <row r="194">
          <cell r="A194" t="str">
            <v>白色道士180级衣服</v>
          </cell>
          <cell r="B194">
            <v>123019</v>
          </cell>
        </row>
        <row r="195">
          <cell r="A195" t="str">
            <v>白色道士190级衣服</v>
          </cell>
          <cell r="B195">
            <v>123020</v>
          </cell>
        </row>
        <row r="196">
          <cell r="A196" t="str">
            <v>白色道士200级衣服</v>
          </cell>
          <cell r="B196">
            <v>123021</v>
          </cell>
        </row>
        <row r="197">
          <cell r="A197" t="str">
            <v>白色战士1级项链</v>
          </cell>
          <cell r="B197">
            <v>131001</v>
          </cell>
        </row>
        <row r="198">
          <cell r="A198" t="str">
            <v>白色战士10级项链</v>
          </cell>
          <cell r="B198">
            <v>131002</v>
          </cell>
        </row>
        <row r="199">
          <cell r="A199" t="str">
            <v>白色战士20级项链</v>
          </cell>
          <cell r="B199">
            <v>131003</v>
          </cell>
        </row>
        <row r="200">
          <cell r="A200" t="str">
            <v>白色战士30级项链</v>
          </cell>
          <cell r="B200">
            <v>131004</v>
          </cell>
        </row>
        <row r="201">
          <cell r="A201" t="str">
            <v>白色战士40级项链</v>
          </cell>
          <cell r="B201">
            <v>131005</v>
          </cell>
        </row>
        <row r="202">
          <cell r="A202" t="str">
            <v>白色战士50级项链</v>
          </cell>
          <cell r="B202">
            <v>131006</v>
          </cell>
        </row>
        <row r="203">
          <cell r="A203" t="str">
            <v>白色战士60级项链</v>
          </cell>
          <cell r="B203">
            <v>131007</v>
          </cell>
        </row>
        <row r="204">
          <cell r="A204" t="str">
            <v>白色战士70级项链</v>
          </cell>
          <cell r="B204">
            <v>131008</v>
          </cell>
        </row>
        <row r="205">
          <cell r="A205" t="str">
            <v>白色战士80级项链</v>
          </cell>
          <cell r="B205">
            <v>131009</v>
          </cell>
        </row>
        <row r="206">
          <cell r="A206" t="str">
            <v>白色战士90级项链</v>
          </cell>
          <cell r="B206">
            <v>131010</v>
          </cell>
        </row>
        <row r="207">
          <cell r="A207" t="str">
            <v>白色战士100级项链</v>
          </cell>
          <cell r="B207">
            <v>131011</v>
          </cell>
        </row>
        <row r="208">
          <cell r="A208" t="str">
            <v>白色战士110级项链</v>
          </cell>
          <cell r="B208">
            <v>131012</v>
          </cell>
        </row>
        <row r="209">
          <cell r="A209" t="str">
            <v>白色战士120级项链</v>
          </cell>
          <cell r="B209">
            <v>131013</v>
          </cell>
        </row>
        <row r="210">
          <cell r="A210" t="str">
            <v>白色战士130级项链</v>
          </cell>
          <cell r="B210">
            <v>131014</v>
          </cell>
        </row>
        <row r="211">
          <cell r="A211" t="str">
            <v>白色战士140级项链</v>
          </cell>
          <cell r="B211">
            <v>131015</v>
          </cell>
        </row>
        <row r="212">
          <cell r="A212" t="str">
            <v>白色战士150级项链</v>
          </cell>
          <cell r="B212">
            <v>131016</v>
          </cell>
        </row>
        <row r="213">
          <cell r="A213" t="str">
            <v>白色战士160级项链</v>
          </cell>
          <cell r="B213">
            <v>131017</v>
          </cell>
        </row>
        <row r="214">
          <cell r="A214" t="str">
            <v>白色战士170级项链</v>
          </cell>
          <cell r="B214">
            <v>131018</v>
          </cell>
        </row>
        <row r="215">
          <cell r="A215" t="str">
            <v>白色战士180级项链</v>
          </cell>
          <cell r="B215">
            <v>131019</v>
          </cell>
        </row>
        <row r="216">
          <cell r="A216" t="str">
            <v>白色战士190级项链</v>
          </cell>
          <cell r="B216">
            <v>131020</v>
          </cell>
        </row>
        <row r="217">
          <cell r="A217" t="str">
            <v>白色战士200级项链</v>
          </cell>
          <cell r="B217">
            <v>131021</v>
          </cell>
        </row>
        <row r="218">
          <cell r="A218" t="str">
            <v>白色法师1级项链</v>
          </cell>
          <cell r="B218">
            <v>132001</v>
          </cell>
        </row>
        <row r="219">
          <cell r="A219" t="str">
            <v>白色法师10级项链</v>
          </cell>
          <cell r="B219">
            <v>132002</v>
          </cell>
        </row>
        <row r="220">
          <cell r="A220" t="str">
            <v>白色法师20级项链</v>
          </cell>
          <cell r="B220">
            <v>132003</v>
          </cell>
        </row>
        <row r="221">
          <cell r="A221" t="str">
            <v>白色法师30级项链</v>
          </cell>
          <cell r="B221">
            <v>132004</v>
          </cell>
        </row>
        <row r="222">
          <cell r="A222" t="str">
            <v>白色法师40级项链</v>
          </cell>
          <cell r="B222">
            <v>132005</v>
          </cell>
        </row>
        <row r="223">
          <cell r="A223" t="str">
            <v>白色法师50级项链</v>
          </cell>
          <cell r="B223">
            <v>132006</v>
          </cell>
        </row>
        <row r="224">
          <cell r="A224" t="str">
            <v>白色法师60级项链</v>
          </cell>
          <cell r="B224">
            <v>132007</v>
          </cell>
        </row>
        <row r="225">
          <cell r="A225" t="str">
            <v>白色法师70级项链</v>
          </cell>
          <cell r="B225">
            <v>132008</v>
          </cell>
        </row>
        <row r="226">
          <cell r="A226" t="str">
            <v>白色法师80级项链</v>
          </cell>
          <cell r="B226">
            <v>132009</v>
          </cell>
        </row>
        <row r="227">
          <cell r="A227" t="str">
            <v>白色法师90级项链</v>
          </cell>
          <cell r="B227">
            <v>132010</v>
          </cell>
        </row>
        <row r="228">
          <cell r="A228" t="str">
            <v>白色法师100级项链</v>
          </cell>
          <cell r="B228">
            <v>132011</v>
          </cell>
        </row>
        <row r="229">
          <cell r="A229" t="str">
            <v>白色法师110级项链</v>
          </cell>
          <cell r="B229">
            <v>132012</v>
          </cell>
        </row>
        <row r="230">
          <cell r="A230" t="str">
            <v>白色法师120级项链</v>
          </cell>
          <cell r="B230">
            <v>132013</v>
          </cell>
        </row>
        <row r="231">
          <cell r="A231" t="str">
            <v>白色法师130级项链</v>
          </cell>
          <cell r="B231">
            <v>132014</v>
          </cell>
        </row>
        <row r="232">
          <cell r="A232" t="str">
            <v>白色法师140级项链</v>
          </cell>
          <cell r="B232">
            <v>132015</v>
          </cell>
        </row>
        <row r="233">
          <cell r="A233" t="str">
            <v>白色法师150级项链</v>
          </cell>
          <cell r="B233">
            <v>132016</v>
          </cell>
        </row>
        <row r="234">
          <cell r="A234" t="str">
            <v>白色法师160级项链</v>
          </cell>
          <cell r="B234">
            <v>132017</v>
          </cell>
        </row>
        <row r="235">
          <cell r="A235" t="str">
            <v>白色法师170级项链</v>
          </cell>
          <cell r="B235">
            <v>132018</v>
          </cell>
        </row>
        <row r="236">
          <cell r="A236" t="str">
            <v>白色法师180级项链</v>
          </cell>
          <cell r="B236">
            <v>132019</v>
          </cell>
        </row>
        <row r="237">
          <cell r="A237" t="str">
            <v>白色法师190级项链</v>
          </cell>
          <cell r="B237">
            <v>132020</v>
          </cell>
        </row>
        <row r="238">
          <cell r="A238" t="str">
            <v>白色法师200级项链</v>
          </cell>
          <cell r="B238">
            <v>132021</v>
          </cell>
        </row>
        <row r="239">
          <cell r="A239" t="str">
            <v>白色道士1级项链</v>
          </cell>
          <cell r="B239">
            <v>133001</v>
          </cell>
        </row>
        <row r="240">
          <cell r="A240" t="str">
            <v>白色道士10级项链</v>
          </cell>
          <cell r="B240">
            <v>133002</v>
          </cell>
        </row>
        <row r="241">
          <cell r="A241" t="str">
            <v>白色道士20级项链</v>
          </cell>
          <cell r="B241">
            <v>133003</v>
          </cell>
        </row>
        <row r="242">
          <cell r="A242" t="str">
            <v>白色道士30级项链</v>
          </cell>
          <cell r="B242">
            <v>133004</v>
          </cell>
        </row>
        <row r="243">
          <cell r="A243" t="str">
            <v>白色道士40级项链</v>
          </cell>
          <cell r="B243">
            <v>133005</v>
          </cell>
        </row>
        <row r="244">
          <cell r="A244" t="str">
            <v>白色道士50级项链</v>
          </cell>
          <cell r="B244">
            <v>133006</v>
          </cell>
        </row>
        <row r="245">
          <cell r="A245" t="str">
            <v>白色道士60级项链</v>
          </cell>
          <cell r="B245">
            <v>133007</v>
          </cell>
        </row>
        <row r="246">
          <cell r="A246" t="str">
            <v>白色道士70级项链</v>
          </cell>
          <cell r="B246">
            <v>133008</v>
          </cell>
        </row>
        <row r="247">
          <cell r="A247" t="str">
            <v>白色道士80级项链</v>
          </cell>
          <cell r="B247">
            <v>133009</v>
          </cell>
        </row>
        <row r="248">
          <cell r="A248" t="str">
            <v>白色道士90级项链</v>
          </cell>
          <cell r="B248">
            <v>133010</v>
          </cell>
        </row>
        <row r="249">
          <cell r="A249" t="str">
            <v>白色道士100级项链</v>
          </cell>
          <cell r="B249">
            <v>133011</v>
          </cell>
        </row>
        <row r="250">
          <cell r="A250" t="str">
            <v>白色道士110级项链</v>
          </cell>
          <cell r="B250">
            <v>133012</v>
          </cell>
        </row>
        <row r="251">
          <cell r="A251" t="str">
            <v>白色道士120级项链</v>
          </cell>
          <cell r="B251">
            <v>133013</v>
          </cell>
        </row>
        <row r="252">
          <cell r="A252" t="str">
            <v>白色道士130级项链</v>
          </cell>
          <cell r="B252">
            <v>133014</v>
          </cell>
        </row>
        <row r="253">
          <cell r="A253" t="str">
            <v>白色道士140级项链</v>
          </cell>
          <cell r="B253">
            <v>133015</v>
          </cell>
        </row>
        <row r="254">
          <cell r="A254" t="str">
            <v>白色道士150级项链</v>
          </cell>
          <cell r="B254">
            <v>133016</v>
          </cell>
        </row>
        <row r="255">
          <cell r="A255" t="str">
            <v>白色道士160级项链</v>
          </cell>
          <cell r="B255">
            <v>133017</v>
          </cell>
        </row>
        <row r="256">
          <cell r="A256" t="str">
            <v>白色道士170级项链</v>
          </cell>
          <cell r="B256">
            <v>133018</v>
          </cell>
        </row>
        <row r="257">
          <cell r="A257" t="str">
            <v>白色道士180级项链</v>
          </cell>
          <cell r="B257">
            <v>133019</v>
          </cell>
        </row>
        <row r="258">
          <cell r="A258" t="str">
            <v>白色道士190级项链</v>
          </cell>
          <cell r="B258">
            <v>133020</v>
          </cell>
        </row>
        <row r="259">
          <cell r="A259" t="str">
            <v>白色道士200级项链</v>
          </cell>
          <cell r="B259">
            <v>133021</v>
          </cell>
        </row>
        <row r="260">
          <cell r="A260" t="str">
            <v>白色战士1级手镯</v>
          </cell>
          <cell r="B260">
            <v>141001</v>
          </cell>
        </row>
        <row r="261">
          <cell r="A261" t="str">
            <v>白色战士10级手镯</v>
          </cell>
          <cell r="B261">
            <v>141002</v>
          </cell>
        </row>
        <row r="262">
          <cell r="A262" t="str">
            <v>白色战士20级手镯</v>
          </cell>
          <cell r="B262">
            <v>141003</v>
          </cell>
        </row>
        <row r="263">
          <cell r="A263" t="str">
            <v>白色战士30级手镯</v>
          </cell>
          <cell r="B263">
            <v>141004</v>
          </cell>
        </row>
        <row r="264">
          <cell r="A264" t="str">
            <v>白色战士40级手镯</v>
          </cell>
          <cell r="B264">
            <v>141005</v>
          </cell>
        </row>
        <row r="265">
          <cell r="A265" t="str">
            <v>白色战士50级手镯</v>
          </cell>
          <cell r="B265">
            <v>141006</v>
          </cell>
        </row>
        <row r="266">
          <cell r="A266" t="str">
            <v>白色战士60级手镯</v>
          </cell>
          <cell r="B266">
            <v>141007</v>
          </cell>
        </row>
        <row r="267">
          <cell r="A267" t="str">
            <v>白色战士70级手镯</v>
          </cell>
          <cell r="B267">
            <v>141008</v>
          </cell>
        </row>
        <row r="268">
          <cell r="A268" t="str">
            <v>白色战士80级手镯</v>
          </cell>
          <cell r="B268">
            <v>141009</v>
          </cell>
        </row>
        <row r="269">
          <cell r="A269" t="str">
            <v>白色战士90级手镯</v>
          </cell>
          <cell r="B269">
            <v>141010</v>
          </cell>
        </row>
        <row r="270">
          <cell r="A270" t="str">
            <v>白色战士100级手镯</v>
          </cell>
          <cell r="B270">
            <v>141011</v>
          </cell>
        </row>
        <row r="271">
          <cell r="A271" t="str">
            <v>白色战士110级手镯</v>
          </cell>
          <cell r="B271">
            <v>141012</v>
          </cell>
        </row>
        <row r="272">
          <cell r="A272" t="str">
            <v>白色战士120级手镯</v>
          </cell>
          <cell r="B272">
            <v>141013</v>
          </cell>
        </row>
        <row r="273">
          <cell r="A273" t="str">
            <v>白色战士130级手镯</v>
          </cell>
          <cell r="B273">
            <v>141014</v>
          </cell>
        </row>
        <row r="274">
          <cell r="A274" t="str">
            <v>白色战士140级手镯</v>
          </cell>
          <cell r="B274">
            <v>141015</v>
          </cell>
        </row>
        <row r="275">
          <cell r="A275" t="str">
            <v>白色战士150级手镯</v>
          </cell>
          <cell r="B275">
            <v>141016</v>
          </cell>
        </row>
        <row r="276">
          <cell r="A276" t="str">
            <v>白色战士160级手镯</v>
          </cell>
          <cell r="B276">
            <v>141017</v>
          </cell>
        </row>
        <row r="277">
          <cell r="A277" t="str">
            <v>白色战士170级手镯</v>
          </cell>
          <cell r="B277">
            <v>141018</v>
          </cell>
        </row>
        <row r="278">
          <cell r="A278" t="str">
            <v>白色战士180级手镯</v>
          </cell>
          <cell r="B278">
            <v>141019</v>
          </cell>
        </row>
        <row r="279">
          <cell r="A279" t="str">
            <v>白色战士190级手镯</v>
          </cell>
          <cell r="B279">
            <v>141020</v>
          </cell>
        </row>
        <row r="280">
          <cell r="A280" t="str">
            <v>白色战士200级手镯</v>
          </cell>
          <cell r="B280">
            <v>141021</v>
          </cell>
        </row>
        <row r="281">
          <cell r="A281" t="str">
            <v>白色法师1级手镯</v>
          </cell>
          <cell r="B281">
            <v>142001</v>
          </cell>
        </row>
        <row r="282">
          <cell r="A282" t="str">
            <v>白色法师10级手镯</v>
          </cell>
          <cell r="B282">
            <v>142002</v>
          </cell>
        </row>
        <row r="283">
          <cell r="A283" t="str">
            <v>白色法师20级手镯</v>
          </cell>
          <cell r="B283">
            <v>142003</v>
          </cell>
        </row>
        <row r="284">
          <cell r="A284" t="str">
            <v>白色法师30级手镯</v>
          </cell>
          <cell r="B284">
            <v>142004</v>
          </cell>
        </row>
        <row r="285">
          <cell r="A285" t="str">
            <v>白色法师40级手镯</v>
          </cell>
          <cell r="B285">
            <v>142005</v>
          </cell>
        </row>
        <row r="286">
          <cell r="A286" t="str">
            <v>白色法师50级手镯</v>
          </cell>
          <cell r="B286">
            <v>142006</v>
          </cell>
        </row>
        <row r="287">
          <cell r="A287" t="str">
            <v>白色法师60级手镯</v>
          </cell>
          <cell r="B287">
            <v>142007</v>
          </cell>
        </row>
        <row r="288">
          <cell r="A288" t="str">
            <v>白色法师70级手镯</v>
          </cell>
          <cell r="B288">
            <v>142008</v>
          </cell>
        </row>
        <row r="289">
          <cell r="A289" t="str">
            <v>白色法师80级手镯</v>
          </cell>
          <cell r="B289">
            <v>142009</v>
          </cell>
        </row>
        <row r="290">
          <cell r="A290" t="str">
            <v>白色法师90级手镯</v>
          </cell>
          <cell r="B290">
            <v>142010</v>
          </cell>
        </row>
        <row r="291">
          <cell r="A291" t="str">
            <v>白色法师100级手镯</v>
          </cell>
          <cell r="B291">
            <v>142011</v>
          </cell>
        </row>
        <row r="292">
          <cell r="A292" t="str">
            <v>白色法师110级手镯</v>
          </cell>
          <cell r="B292">
            <v>142012</v>
          </cell>
        </row>
        <row r="293">
          <cell r="A293" t="str">
            <v>白色法师120级手镯</v>
          </cell>
          <cell r="B293">
            <v>142013</v>
          </cell>
        </row>
        <row r="294">
          <cell r="A294" t="str">
            <v>白色法师130级手镯</v>
          </cell>
          <cell r="B294">
            <v>142014</v>
          </cell>
        </row>
        <row r="295">
          <cell r="A295" t="str">
            <v>白色法师140级手镯</v>
          </cell>
          <cell r="B295">
            <v>142015</v>
          </cell>
        </row>
        <row r="296">
          <cell r="A296" t="str">
            <v>白色法师150级手镯</v>
          </cell>
          <cell r="B296">
            <v>142016</v>
          </cell>
        </row>
        <row r="297">
          <cell r="A297" t="str">
            <v>白色法师160级手镯</v>
          </cell>
          <cell r="B297">
            <v>142017</v>
          </cell>
        </row>
        <row r="298">
          <cell r="A298" t="str">
            <v>白色法师170级手镯</v>
          </cell>
          <cell r="B298">
            <v>142018</v>
          </cell>
        </row>
        <row r="299">
          <cell r="A299" t="str">
            <v>白色法师180级手镯</v>
          </cell>
          <cell r="B299">
            <v>142019</v>
          </cell>
        </row>
        <row r="300">
          <cell r="A300" t="str">
            <v>白色法师190级手镯</v>
          </cell>
          <cell r="B300">
            <v>142020</v>
          </cell>
        </row>
        <row r="301">
          <cell r="A301" t="str">
            <v>白色法师200级手镯</v>
          </cell>
          <cell r="B301">
            <v>142021</v>
          </cell>
        </row>
        <row r="302">
          <cell r="A302" t="str">
            <v>白色道士1级手镯</v>
          </cell>
          <cell r="B302">
            <v>143001</v>
          </cell>
        </row>
        <row r="303">
          <cell r="A303" t="str">
            <v>白色道士10级手镯</v>
          </cell>
          <cell r="B303">
            <v>143002</v>
          </cell>
        </row>
        <row r="304">
          <cell r="A304" t="str">
            <v>白色道士20级手镯</v>
          </cell>
          <cell r="B304">
            <v>143003</v>
          </cell>
        </row>
        <row r="305">
          <cell r="A305" t="str">
            <v>白色道士30级手镯</v>
          </cell>
          <cell r="B305">
            <v>143004</v>
          </cell>
        </row>
        <row r="306">
          <cell r="A306" t="str">
            <v>白色道士40级手镯</v>
          </cell>
          <cell r="B306">
            <v>143005</v>
          </cell>
        </row>
        <row r="307">
          <cell r="A307" t="str">
            <v>白色道士50级手镯</v>
          </cell>
          <cell r="B307">
            <v>143006</v>
          </cell>
        </row>
        <row r="308">
          <cell r="A308" t="str">
            <v>白色道士60级手镯</v>
          </cell>
          <cell r="B308">
            <v>143007</v>
          </cell>
        </row>
        <row r="309">
          <cell r="A309" t="str">
            <v>白色道士70级手镯</v>
          </cell>
          <cell r="B309">
            <v>143008</v>
          </cell>
        </row>
        <row r="310">
          <cell r="A310" t="str">
            <v>白色道士80级手镯</v>
          </cell>
          <cell r="B310">
            <v>143009</v>
          </cell>
        </row>
        <row r="311">
          <cell r="A311" t="str">
            <v>白色道士90级手镯</v>
          </cell>
          <cell r="B311">
            <v>143010</v>
          </cell>
        </row>
        <row r="312">
          <cell r="A312" t="str">
            <v>白色道士100级手镯</v>
          </cell>
          <cell r="B312">
            <v>143011</v>
          </cell>
        </row>
        <row r="313">
          <cell r="A313" t="str">
            <v>白色道士110级手镯</v>
          </cell>
          <cell r="B313">
            <v>143012</v>
          </cell>
        </row>
        <row r="314">
          <cell r="A314" t="str">
            <v>白色道士120级手镯</v>
          </cell>
          <cell r="B314">
            <v>143013</v>
          </cell>
        </row>
        <row r="315">
          <cell r="A315" t="str">
            <v>白色道士130级手镯</v>
          </cell>
          <cell r="B315">
            <v>143014</v>
          </cell>
        </row>
        <row r="316">
          <cell r="A316" t="str">
            <v>白色道士140级手镯</v>
          </cell>
          <cell r="B316">
            <v>143015</v>
          </cell>
        </row>
        <row r="317">
          <cell r="A317" t="str">
            <v>白色道士150级手镯</v>
          </cell>
          <cell r="B317">
            <v>143016</v>
          </cell>
        </row>
        <row r="318">
          <cell r="A318" t="str">
            <v>白色道士160级手镯</v>
          </cell>
          <cell r="B318">
            <v>143017</v>
          </cell>
        </row>
        <row r="319">
          <cell r="A319" t="str">
            <v>白色道士170级手镯</v>
          </cell>
          <cell r="B319">
            <v>143018</v>
          </cell>
        </row>
        <row r="320">
          <cell r="A320" t="str">
            <v>白色道士180级手镯</v>
          </cell>
          <cell r="B320">
            <v>143019</v>
          </cell>
        </row>
        <row r="321">
          <cell r="A321" t="str">
            <v>白色道士190级手镯</v>
          </cell>
          <cell r="B321">
            <v>143020</v>
          </cell>
        </row>
        <row r="322">
          <cell r="A322" t="str">
            <v>白色道士200级手镯</v>
          </cell>
          <cell r="B322">
            <v>143021</v>
          </cell>
        </row>
        <row r="323">
          <cell r="A323" t="str">
            <v>白色战士1级腰带</v>
          </cell>
          <cell r="B323">
            <v>151001</v>
          </cell>
        </row>
        <row r="324">
          <cell r="A324" t="str">
            <v>白色战士10级腰带</v>
          </cell>
          <cell r="B324">
            <v>151002</v>
          </cell>
        </row>
        <row r="325">
          <cell r="A325" t="str">
            <v>白色战士20级腰带</v>
          </cell>
          <cell r="B325">
            <v>151003</v>
          </cell>
        </row>
        <row r="326">
          <cell r="A326" t="str">
            <v>白色战士30级腰带</v>
          </cell>
          <cell r="B326">
            <v>151004</v>
          </cell>
        </row>
        <row r="327">
          <cell r="A327" t="str">
            <v>白色战士40级腰带</v>
          </cell>
          <cell r="B327">
            <v>151005</v>
          </cell>
        </row>
        <row r="328">
          <cell r="A328" t="str">
            <v>白色战士50级腰带</v>
          </cell>
          <cell r="B328">
            <v>151006</v>
          </cell>
        </row>
        <row r="329">
          <cell r="A329" t="str">
            <v>白色战士60级腰带</v>
          </cell>
          <cell r="B329">
            <v>151007</v>
          </cell>
        </row>
        <row r="330">
          <cell r="A330" t="str">
            <v>白色战士70级腰带</v>
          </cell>
          <cell r="B330">
            <v>151008</v>
          </cell>
        </row>
        <row r="331">
          <cell r="A331" t="str">
            <v>白色战士80级腰带</v>
          </cell>
          <cell r="B331">
            <v>151009</v>
          </cell>
        </row>
        <row r="332">
          <cell r="A332" t="str">
            <v>白色战士90级腰带</v>
          </cell>
          <cell r="B332">
            <v>151010</v>
          </cell>
        </row>
        <row r="333">
          <cell r="A333" t="str">
            <v>白色战士100级腰带</v>
          </cell>
          <cell r="B333">
            <v>151011</v>
          </cell>
        </row>
        <row r="334">
          <cell r="A334" t="str">
            <v>白色战士110级腰带</v>
          </cell>
          <cell r="B334">
            <v>151012</v>
          </cell>
        </row>
        <row r="335">
          <cell r="A335" t="str">
            <v>白色战士120级腰带</v>
          </cell>
          <cell r="B335">
            <v>151013</v>
          </cell>
        </row>
        <row r="336">
          <cell r="A336" t="str">
            <v>白色战士130级腰带</v>
          </cell>
          <cell r="B336">
            <v>151014</v>
          </cell>
        </row>
        <row r="337">
          <cell r="A337" t="str">
            <v>白色战士140级腰带</v>
          </cell>
          <cell r="B337">
            <v>151015</v>
          </cell>
        </row>
        <row r="338">
          <cell r="A338" t="str">
            <v>白色战士150级腰带</v>
          </cell>
          <cell r="B338">
            <v>151016</v>
          </cell>
        </row>
        <row r="339">
          <cell r="A339" t="str">
            <v>白色战士160级腰带</v>
          </cell>
          <cell r="B339">
            <v>151017</v>
          </cell>
        </row>
        <row r="340">
          <cell r="A340" t="str">
            <v>白色战士170级腰带</v>
          </cell>
          <cell r="B340">
            <v>151018</v>
          </cell>
        </row>
        <row r="341">
          <cell r="A341" t="str">
            <v>白色战士180级腰带</v>
          </cell>
          <cell r="B341">
            <v>151019</v>
          </cell>
        </row>
        <row r="342">
          <cell r="A342" t="str">
            <v>白色战士190级腰带</v>
          </cell>
          <cell r="B342">
            <v>151020</v>
          </cell>
        </row>
        <row r="343">
          <cell r="A343" t="str">
            <v>白色战士200级腰带</v>
          </cell>
          <cell r="B343">
            <v>151021</v>
          </cell>
        </row>
        <row r="344">
          <cell r="A344" t="str">
            <v>白色法师1级腰带</v>
          </cell>
          <cell r="B344">
            <v>152001</v>
          </cell>
        </row>
        <row r="345">
          <cell r="A345" t="str">
            <v>白色法师10级腰带</v>
          </cell>
          <cell r="B345">
            <v>152002</v>
          </cell>
        </row>
        <row r="346">
          <cell r="A346" t="str">
            <v>白色法师20级腰带</v>
          </cell>
          <cell r="B346">
            <v>152003</v>
          </cell>
        </row>
        <row r="347">
          <cell r="A347" t="str">
            <v>白色法师30级腰带</v>
          </cell>
          <cell r="B347">
            <v>152004</v>
          </cell>
        </row>
        <row r="348">
          <cell r="A348" t="str">
            <v>白色法师40级腰带</v>
          </cell>
          <cell r="B348">
            <v>152005</v>
          </cell>
        </row>
        <row r="349">
          <cell r="A349" t="str">
            <v>白色法师50级腰带</v>
          </cell>
          <cell r="B349">
            <v>152006</v>
          </cell>
        </row>
        <row r="350">
          <cell r="A350" t="str">
            <v>白色法师60级腰带</v>
          </cell>
          <cell r="B350">
            <v>152007</v>
          </cell>
        </row>
        <row r="351">
          <cell r="A351" t="str">
            <v>白色法师70级腰带</v>
          </cell>
          <cell r="B351">
            <v>152008</v>
          </cell>
        </row>
        <row r="352">
          <cell r="A352" t="str">
            <v>白色法师80级腰带</v>
          </cell>
          <cell r="B352">
            <v>152009</v>
          </cell>
        </row>
        <row r="353">
          <cell r="A353" t="str">
            <v>白色法师90级腰带</v>
          </cell>
          <cell r="B353">
            <v>152010</v>
          </cell>
        </row>
        <row r="354">
          <cell r="A354" t="str">
            <v>白色法师100级腰带</v>
          </cell>
          <cell r="B354">
            <v>152011</v>
          </cell>
        </row>
        <row r="355">
          <cell r="A355" t="str">
            <v>白色法师110级腰带</v>
          </cell>
          <cell r="B355">
            <v>152012</v>
          </cell>
        </row>
        <row r="356">
          <cell r="A356" t="str">
            <v>白色法师120级腰带</v>
          </cell>
          <cell r="B356">
            <v>152013</v>
          </cell>
        </row>
        <row r="357">
          <cell r="A357" t="str">
            <v>白色法师130级腰带</v>
          </cell>
          <cell r="B357">
            <v>152014</v>
          </cell>
        </row>
        <row r="358">
          <cell r="A358" t="str">
            <v>白色法师140级腰带</v>
          </cell>
          <cell r="B358">
            <v>152015</v>
          </cell>
        </row>
        <row r="359">
          <cell r="A359" t="str">
            <v>白色法师150级腰带</v>
          </cell>
          <cell r="B359">
            <v>152016</v>
          </cell>
        </row>
        <row r="360">
          <cell r="A360" t="str">
            <v>白色法师160级腰带</v>
          </cell>
          <cell r="B360">
            <v>152017</v>
          </cell>
        </row>
        <row r="361">
          <cell r="A361" t="str">
            <v>白色法师170级腰带</v>
          </cell>
          <cell r="B361">
            <v>152018</v>
          </cell>
        </row>
        <row r="362">
          <cell r="A362" t="str">
            <v>白色法师180级腰带</v>
          </cell>
          <cell r="B362">
            <v>152019</v>
          </cell>
        </row>
        <row r="363">
          <cell r="A363" t="str">
            <v>白色法师190级腰带</v>
          </cell>
          <cell r="B363">
            <v>152020</v>
          </cell>
        </row>
        <row r="364">
          <cell r="A364" t="str">
            <v>白色法师200级腰带</v>
          </cell>
          <cell r="B364">
            <v>152021</v>
          </cell>
        </row>
        <row r="365">
          <cell r="A365" t="str">
            <v>白色道士1级腰带</v>
          </cell>
          <cell r="B365">
            <v>153001</v>
          </cell>
        </row>
        <row r="366">
          <cell r="A366" t="str">
            <v>白色道士10级腰带</v>
          </cell>
          <cell r="B366">
            <v>153002</v>
          </cell>
        </row>
        <row r="367">
          <cell r="A367" t="str">
            <v>白色道士20级腰带</v>
          </cell>
          <cell r="B367">
            <v>153003</v>
          </cell>
        </row>
        <row r="368">
          <cell r="A368" t="str">
            <v>白色道士30级腰带</v>
          </cell>
          <cell r="B368">
            <v>153004</v>
          </cell>
        </row>
        <row r="369">
          <cell r="A369" t="str">
            <v>白色道士40级腰带</v>
          </cell>
          <cell r="B369">
            <v>153005</v>
          </cell>
        </row>
        <row r="370">
          <cell r="A370" t="str">
            <v>白色道士50级腰带</v>
          </cell>
          <cell r="B370">
            <v>153006</v>
          </cell>
        </row>
        <row r="371">
          <cell r="A371" t="str">
            <v>白色道士60级腰带</v>
          </cell>
          <cell r="B371">
            <v>153007</v>
          </cell>
        </row>
        <row r="372">
          <cell r="A372" t="str">
            <v>白色道士70级腰带</v>
          </cell>
          <cell r="B372">
            <v>153008</v>
          </cell>
        </row>
        <row r="373">
          <cell r="A373" t="str">
            <v>白色道士80级腰带</v>
          </cell>
          <cell r="B373">
            <v>153009</v>
          </cell>
        </row>
        <row r="374">
          <cell r="A374" t="str">
            <v>白色道士90级腰带</v>
          </cell>
          <cell r="B374">
            <v>153010</v>
          </cell>
        </row>
        <row r="375">
          <cell r="A375" t="str">
            <v>白色道士100级腰带</v>
          </cell>
          <cell r="B375">
            <v>153011</v>
          </cell>
        </row>
        <row r="376">
          <cell r="A376" t="str">
            <v>白色道士110级腰带</v>
          </cell>
          <cell r="B376">
            <v>153012</v>
          </cell>
        </row>
        <row r="377">
          <cell r="A377" t="str">
            <v>白色道士120级腰带</v>
          </cell>
          <cell r="B377">
            <v>153013</v>
          </cell>
        </row>
        <row r="378">
          <cell r="A378" t="str">
            <v>白色道士130级腰带</v>
          </cell>
          <cell r="B378">
            <v>153014</v>
          </cell>
        </row>
        <row r="379">
          <cell r="A379" t="str">
            <v>白色道士140级腰带</v>
          </cell>
          <cell r="B379">
            <v>153015</v>
          </cell>
        </row>
        <row r="380">
          <cell r="A380" t="str">
            <v>白色道士150级腰带</v>
          </cell>
          <cell r="B380">
            <v>153016</v>
          </cell>
        </row>
        <row r="381">
          <cell r="A381" t="str">
            <v>白色道士160级腰带</v>
          </cell>
          <cell r="B381">
            <v>153017</v>
          </cell>
        </row>
        <row r="382">
          <cell r="A382" t="str">
            <v>白色道士170级腰带</v>
          </cell>
          <cell r="B382">
            <v>153018</v>
          </cell>
        </row>
        <row r="383">
          <cell r="A383" t="str">
            <v>白色道士180级腰带</v>
          </cell>
          <cell r="B383">
            <v>153019</v>
          </cell>
        </row>
        <row r="384">
          <cell r="A384" t="str">
            <v>白色道士190级腰带</v>
          </cell>
          <cell r="B384">
            <v>153020</v>
          </cell>
        </row>
        <row r="385">
          <cell r="A385" t="str">
            <v>白色道士200级腰带</v>
          </cell>
          <cell r="B385">
            <v>153021</v>
          </cell>
        </row>
        <row r="386">
          <cell r="A386" t="str">
            <v>白色战士1级戒指</v>
          </cell>
          <cell r="B386">
            <v>161001</v>
          </cell>
        </row>
        <row r="387">
          <cell r="A387" t="str">
            <v>白色战士10级戒指</v>
          </cell>
          <cell r="B387">
            <v>161002</v>
          </cell>
        </row>
        <row r="388">
          <cell r="A388" t="str">
            <v>白色战士20级戒指</v>
          </cell>
          <cell r="B388">
            <v>161003</v>
          </cell>
        </row>
        <row r="389">
          <cell r="A389" t="str">
            <v>白色战士30级戒指</v>
          </cell>
          <cell r="B389">
            <v>161004</v>
          </cell>
        </row>
        <row r="390">
          <cell r="A390" t="str">
            <v>白色战士40级戒指</v>
          </cell>
          <cell r="B390">
            <v>161005</v>
          </cell>
        </row>
        <row r="391">
          <cell r="A391" t="str">
            <v>白色战士50级戒指</v>
          </cell>
          <cell r="B391">
            <v>161006</v>
          </cell>
        </row>
        <row r="392">
          <cell r="A392" t="str">
            <v>白色战士60级戒指</v>
          </cell>
          <cell r="B392">
            <v>161007</v>
          </cell>
        </row>
        <row r="393">
          <cell r="A393" t="str">
            <v>白色战士70级戒指</v>
          </cell>
          <cell r="B393">
            <v>161008</v>
          </cell>
        </row>
        <row r="394">
          <cell r="A394" t="str">
            <v>白色战士80级戒指</v>
          </cell>
          <cell r="B394">
            <v>161009</v>
          </cell>
        </row>
        <row r="395">
          <cell r="A395" t="str">
            <v>白色战士90级戒指</v>
          </cell>
          <cell r="B395">
            <v>161010</v>
          </cell>
        </row>
        <row r="396">
          <cell r="A396" t="str">
            <v>白色战士100级戒指</v>
          </cell>
          <cell r="B396">
            <v>161011</v>
          </cell>
        </row>
        <row r="397">
          <cell r="A397" t="str">
            <v>白色战士110级戒指</v>
          </cell>
          <cell r="B397">
            <v>161012</v>
          </cell>
        </row>
        <row r="398">
          <cell r="A398" t="str">
            <v>白色战士120级戒指</v>
          </cell>
          <cell r="B398">
            <v>161013</v>
          </cell>
        </row>
        <row r="399">
          <cell r="A399" t="str">
            <v>白色战士130级戒指</v>
          </cell>
          <cell r="B399">
            <v>161014</v>
          </cell>
        </row>
        <row r="400">
          <cell r="A400" t="str">
            <v>白色战士140级戒指</v>
          </cell>
          <cell r="B400">
            <v>161015</v>
          </cell>
        </row>
        <row r="401">
          <cell r="A401" t="str">
            <v>白色战士150级戒指</v>
          </cell>
          <cell r="B401">
            <v>161016</v>
          </cell>
        </row>
        <row r="402">
          <cell r="A402" t="str">
            <v>白色战士160级戒指</v>
          </cell>
          <cell r="B402">
            <v>161017</v>
          </cell>
        </row>
        <row r="403">
          <cell r="A403" t="str">
            <v>白色战士170级戒指</v>
          </cell>
          <cell r="B403">
            <v>161018</v>
          </cell>
        </row>
        <row r="404">
          <cell r="A404" t="str">
            <v>白色战士180级戒指</v>
          </cell>
          <cell r="B404">
            <v>161019</v>
          </cell>
        </row>
        <row r="405">
          <cell r="A405" t="str">
            <v>白色战士190级戒指</v>
          </cell>
          <cell r="B405">
            <v>161020</v>
          </cell>
        </row>
        <row r="406">
          <cell r="A406" t="str">
            <v>白色战士200级戒指</v>
          </cell>
          <cell r="B406">
            <v>161021</v>
          </cell>
        </row>
        <row r="407">
          <cell r="A407" t="str">
            <v>白色法师1级戒指</v>
          </cell>
          <cell r="B407">
            <v>162001</v>
          </cell>
        </row>
        <row r="408">
          <cell r="A408" t="str">
            <v>白色法师10级戒指</v>
          </cell>
          <cell r="B408">
            <v>162002</v>
          </cell>
        </row>
        <row r="409">
          <cell r="A409" t="str">
            <v>白色法师20级戒指</v>
          </cell>
          <cell r="B409">
            <v>162003</v>
          </cell>
        </row>
        <row r="410">
          <cell r="A410" t="str">
            <v>白色法师30级戒指</v>
          </cell>
          <cell r="B410">
            <v>162004</v>
          </cell>
        </row>
        <row r="411">
          <cell r="A411" t="str">
            <v>白色法师40级戒指</v>
          </cell>
          <cell r="B411">
            <v>162005</v>
          </cell>
        </row>
        <row r="412">
          <cell r="A412" t="str">
            <v>白色法师50级戒指</v>
          </cell>
          <cell r="B412">
            <v>162006</v>
          </cell>
        </row>
        <row r="413">
          <cell r="A413" t="str">
            <v>白色法师60级戒指</v>
          </cell>
          <cell r="B413">
            <v>162007</v>
          </cell>
        </row>
        <row r="414">
          <cell r="A414" t="str">
            <v>白色法师70级戒指</v>
          </cell>
          <cell r="B414">
            <v>162008</v>
          </cell>
        </row>
        <row r="415">
          <cell r="A415" t="str">
            <v>白色法师80级戒指</v>
          </cell>
          <cell r="B415">
            <v>162009</v>
          </cell>
        </row>
        <row r="416">
          <cell r="A416" t="str">
            <v>白色法师90级戒指</v>
          </cell>
          <cell r="B416">
            <v>162010</v>
          </cell>
        </row>
        <row r="417">
          <cell r="A417" t="str">
            <v>白色法师100级戒指</v>
          </cell>
          <cell r="B417">
            <v>162011</v>
          </cell>
        </row>
        <row r="418">
          <cell r="A418" t="str">
            <v>白色法师110级戒指</v>
          </cell>
          <cell r="B418">
            <v>162012</v>
          </cell>
        </row>
        <row r="419">
          <cell r="A419" t="str">
            <v>白色法师120级戒指</v>
          </cell>
          <cell r="B419">
            <v>162013</v>
          </cell>
        </row>
        <row r="420">
          <cell r="A420" t="str">
            <v>白色法师130级戒指</v>
          </cell>
          <cell r="B420">
            <v>162014</v>
          </cell>
        </row>
        <row r="421">
          <cell r="A421" t="str">
            <v>白色法师140级戒指</v>
          </cell>
          <cell r="B421">
            <v>162015</v>
          </cell>
        </row>
        <row r="422">
          <cell r="A422" t="str">
            <v>白色法师150级戒指</v>
          </cell>
          <cell r="B422">
            <v>162016</v>
          </cell>
        </row>
        <row r="423">
          <cell r="A423" t="str">
            <v>白色法师160级戒指</v>
          </cell>
          <cell r="B423">
            <v>162017</v>
          </cell>
        </row>
        <row r="424">
          <cell r="A424" t="str">
            <v>白色法师170级戒指</v>
          </cell>
          <cell r="B424">
            <v>162018</v>
          </cell>
        </row>
        <row r="425">
          <cell r="A425" t="str">
            <v>白色法师180级戒指</v>
          </cell>
          <cell r="B425">
            <v>162019</v>
          </cell>
        </row>
        <row r="426">
          <cell r="A426" t="str">
            <v>白色法师190级戒指</v>
          </cell>
          <cell r="B426">
            <v>162020</v>
          </cell>
        </row>
        <row r="427">
          <cell r="A427" t="str">
            <v>白色法师200级戒指</v>
          </cell>
          <cell r="B427">
            <v>162021</v>
          </cell>
        </row>
        <row r="428">
          <cell r="A428" t="str">
            <v>白色道士1级戒指</v>
          </cell>
          <cell r="B428">
            <v>163001</v>
          </cell>
        </row>
        <row r="429">
          <cell r="A429" t="str">
            <v>白色道士10级戒指</v>
          </cell>
          <cell r="B429">
            <v>163002</v>
          </cell>
        </row>
        <row r="430">
          <cell r="A430" t="str">
            <v>白色道士20级戒指</v>
          </cell>
          <cell r="B430">
            <v>163003</v>
          </cell>
        </row>
        <row r="431">
          <cell r="A431" t="str">
            <v>白色道士30级戒指</v>
          </cell>
          <cell r="B431">
            <v>163004</v>
          </cell>
        </row>
        <row r="432">
          <cell r="A432" t="str">
            <v>白色道士40级戒指</v>
          </cell>
          <cell r="B432">
            <v>163005</v>
          </cell>
        </row>
        <row r="433">
          <cell r="A433" t="str">
            <v>白色道士50级戒指</v>
          </cell>
          <cell r="B433">
            <v>163006</v>
          </cell>
        </row>
        <row r="434">
          <cell r="A434" t="str">
            <v>白色道士60级戒指</v>
          </cell>
          <cell r="B434">
            <v>163007</v>
          </cell>
        </row>
        <row r="435">
          <cell r="A435" t="str">
            <v>白色道士70级戒指</v>
          </cell>
          <cell r="B435">
            <v>163008</v>
          </cell>
        </row>
        <row r="436">
          <cell r="A436" t="str">
            <v>白色道士80级戒指</v>
          </cell>
          <cell r="B436">
            <v>163009</v>
          </cell>
        </row>
        <row r="437">
          <cell r="A437" t="str">
            <v>白色道士90级戒指</v>
          </cell>
          <cell r="B437">
            <v>163010</v>
          </cell>
        </row>
        <row r="438">
          <cell r="A438" t="str">
            <v>白色道士100级戒指</v>
          </cell>
          <cell r="B438">
            <v>163011</v>
          </cell>
        </row>
        <row r="439">
          <cell r="A439" t="str">
            <v>白色道士110级戒指</v>
          </cell>
          <cell r="B439">
            <v>163012</v>
          </cell>
        </row>
        <row r="440">
          <cell r="A440" t="str">
            <v>白色道士120级戒指</v>
          </cell>
          <cell r="B440">
            <v>163013</v>
          </cell>
        </row>
        <row r="441">
          <cell r="A441" t="str">
            <v>白色道士130级戒指</v>
          </cell>
          <cell r="B441">
            <v>163014</v>
          </cell>
        </row>
        <row r="442">
          <cell r="A442" t="str">
            <v>白色道士140级戒指</v>
          </cell>
          <cell r="B442">
            <v>163015</v>
          </cell>
        </row>
        <row r="443">
          <cell r="A443" t="str">
            <v>白色道士150级戒指</v>
          </cell>
          <cell r="B443">
            <v>163016</v>
          </cell>
        </row>
        <row r="444">
          <cell r="A444" t="str">
            <v>白色道士160级戒指</v>
          </cell>
          <cell r="B444">
            <v>163017</v>
          </cell>
        </row>
        <row r="445">
          <cell r="A445" t="str">
            <v>白色道士170级戒指</v>
          </cell>
          <cell r="B445">
            <v>163018</v>
          </cell>
        </row>
        <row r="446">
          <cell r="A446" t="str">
            <v>白色道士180级戒指</v>
          </cell>
          <cell r="B446">
            <v>163019</v>
          </cell>
        </row>
        <row r="447">
          <cell r="A447" t="str">
            <v>白色道士190级戒指</v>
          </cell>
          <cell r="B447">
            <v>163020</v>
          </cell>
        </row>
        <row r="448">
          <cell r="A448" t="str">
            <v>白色道士200级戒指</v>
          </cell>
          <cell r="B448">
            <v>163021</v>
          </cell>
        </row>
        <row r="449">
          <cell r="A449" t="str">
            <v>白色战士1级鞋子</v>
          </cell>
          <cell r="B449">
            <v>171001</v>
          </cell>
        </row>
        <row r="450">
          <cell r="A450" t="str">
            <v>白色战士10级鞋子</v>
          </cell>
          <cell r="B450">
            <v>171002</v>
          </cell>
        </row>
        <row r="451">
          <cell r="A451" t="str">
            <v>白色战士20级鞋子</v>
          </cell>
          <cell r="B451">
            <v>171003</v>
          </cell>
        </row>
        <row r="452">
          <cell r="A452" t="str">
            <v>白色战士30级鞋子</v>
          </cell>
          <cell r="B452">
            <v>171004</v>
          </cell>
        </row>
        <row r="453">
          <cell r="A453" t="str">
            <v>白色战士40级鞋子</v>
          </cell>
          <cell r="B453">
            <v>171005</v>
          </cell>
        </row>
        <row r="454">
          <cell r="A454" t="str">
            <v>白色战士50级鞋子</v>
          </cell>
          <cell r="B454">
            <v>171006</v>
          </cell>
        </row>
        <row r="455">
          <cell r="A455" t="str">
            <v>白色战士60级鞋子</v>
          </cell>
          <cell r="B455">
            <v>171007</v>
          </cell>
        </row>
        <row r="456">
          <cell r="A456" t="str">
            <v>白色战士70级鞋子</v>
          </cell>
          <cell r="B456">
            <v>171008</v>
          </cell>
        </row>
        <row r="457">
          <cell r="A457" t="str">
            <v>白色战士80级鞋子</v>
          </cell>
          <cell r="B457">
            <v>171009</v>
          </cell>
        </row>
        <row r="458">
          <cell r="A458" t="str">
            <v>白色战士90级鞋子</v>
          </cell>
          <cell r="B458">
            <v>171010</v>
          </cell>
        </row>
        <row r="459">
          <cell r="A459" t="str">
            <v>白色战士100级鞋子</v>
          </cell>
          <cell r="B459">
            <v>171011</v>
          </cell>
        </row>
        <row r="460">
          <cell r="A460" t="str">
            <v>白色战士110级鞋子</v>
          </cell>
          <cell r="B460">
            <v>171012</v>
          </cell>
        </row>
        <row r="461">
          <cell r="A461" t="str">
            <v>白色战士120级鞋子</v>
          </cell>
          <cell r="B461">
            <v>171013</v>
          </cell>
        </row>
        <row r="462">
          <cell r="A462" t="str">
            <v>白色战士130级鞋子</v>
          </cell>
          <cell r="B462">
            <v>171014</v>
          </cell>
        </row>
        <row r="463">
          <cell r="A463" t="str">
            <v>白色战士140级鞋子</v>
          </cell>
          <cell r="B463">
            <v>171015</v>
          </cell>
        </row>
        <row r="464">
          <cell r="A464" t="str">
            <v>白色战士150级鞋子</v>
          </cell>
          <cell r="B464">
            <v>171016</v>
          </cell>
        </row>
        <row r="465">
          <cell r="A465" t="str">
            <v>白色战士160级鞋子</v>
          </cell>
          <cell r="B465">
            <v>171017</v>
          </cell>
        </row>
        <row r="466">
          <cell r="A466" t="str">
            <v>白色战士170级鞋子</v>
          </cell>
          <cell r="B466">
            <v>171018</v>
          </cell>
        </row>
        <row r="467">
          <cell r="A467" t="str">
            <v>白色战士180级鞋子</v>
          </cell>
          <cell r="B467">
            <v>171019</v>
          </cell>
        </row>
        <row r="468">
          <cell r="A468" t="str">
            <v>白色战士190级鞋子</v>
          </cell>
          <cell r="B468">
            <v>171020</v>
          </cell>
        </row>
        <row r="469">
          <cell r="A469" t="str">
            <v>白色战士200级鞋子</v>
          </cell>
          <cell r="B469">
            <v>171021</v>
          </cell>
        </row>
        <row r="470">
          <cell r="A470" t="str">
            <v>白色法师1级鞋子</v>
          </cell>
          <cell r="B470">
            <v>172001</v>
          </cell>
        </row>
        <row r="471">
          <cell r="A471" t="str">
            <v>白色法师10级鞋子</v>
          </cell>
          <cell r="B471">
            <v>172002</v>
          </cell>
        </row>
        <row r="472">
          <cell r="A472" t="str">
            <v>白色法师20级鞋子</v>
          </cell>
          <cell r="B472">
            <v>172003</v>
          </cell>
        </row>
        <row r="473">
          <cell r="A473" t="str">
            <v>白色法师30级鞋子</v>
          </cell>
          <cell r="B473">
            <v>172004</v>
          </cell>
        </row>
        <row r="474">
          <cell r="A474" t="str">
            <v>白色法师40级鞋子</v>
          </cell>
          <cell r="B474">
            <v>172005</v>
          </cell>
        </row>
        <row r="475">
          <cell r="A475" t="str">
            <v>白色法师50级鞋子</v>
          </cell>
          <cell r="B475">
            <v>172006</v>
          </cell>
        </row>
        <row r="476">
          <cell r="A476" t="str">
            <v>白色法师60级鞋子</v>
          </cell>
          <cell r="B476">
            <v>172007</v>
          </cell>
        </row>
        <row r="477">
          <cell r="A477" t="str">
            <v>白色法师70级鞋子</v>
          </cell>
          <cell r="B477">
            <v>172008</v>
          </cell>
        </row>
        <row r="478">
          <cell r="A478" t="str">
            <v>白色法师80级鞋子</v>
          </cell>
          <cell r="B478">
            <v>172009</v>
          </cell>
        </row>
        <row r="479">
          <cell r="A479" t="str">
            <v>白色法师90级鞋子</v>
          </cell>
          <cell r="B479">
            <v>172010</v>
          </cell>
        </row>
        <row r="480">
          <cell r="A480" t="str">
            <v>白色法师100级鞋子</v>
          </cell>
          <cell r="B480">
            <v>172011</v>
          </cell>
        </row>
        <row r="481">
          <cell r="A481" t="str">
            <v>白色法师110级鞋子</v>
          </cell>
          <cell r="B481">
            <v>172012</v>
          </cell>
        </row>
        <row r="482">
          <cell r="A482" t="str">
            <v>白色法师120级鞋子</v>
          </cell>
          <cell r="B482">
            <v>172013</v>
          </cell>
        </row>
        <row r="483">
          <cell r="A483" t="str">
            <v>白色法师130级鞋子</v>
          </cell>
          <cell r="B483">
            <v>172014</v>
          </cell>
        </row>
        <row r="484">
          <cell r="A484" t="str">
            <v>白色法师140级鞋子</v>
          </cell>
          <cell r="B484">
            <v>172015</v>
          </cell>
        </row>
        <row r="485">
          <cell r="A485" t="str">
            <v>白色法师150级鞋子</v>
          </cell>
          <cell r="B485">
            <v>172016</v>
          </cell>
        </row>
        <row r="486">
          <cell r="A486" t="str">
            <v>白色法师160级鞋子</v>
          </cell>
          <cell r="B486">
            <v>172017</v>
          </cell>
        </row>
        <row r="487">
          <cell r="A487" t="str">
            <v>白色法师170级鞋子</v>
          </cell>
          <cell r="B487">
            <v>172018</v>
          </cell>
        </row>
        <row r="488">
          <cell r="A488" t="str">
            <v>白色法师180级鞋子</v>
          </cell>
          <cell r="B488">
            <v>172019</v>
          </cell>
        </row>
        <row r="489">
          <cell r="A489" t="str">
            <v>白色法师190级鞋子</v>
          </cell>
          <cell r="B489">
            <v>172020</v>
          </cell>
        </row>
        <row r="490">
          <cell r="A490" t="str">
            <v>白色法师200级鞋子</v>
          </cell>
          <cell r="B490">
            <v>172021</v>
          </cell>
        </row>
        <row r="491">
          <cell r="A491" t="str">
            <v>白色道士1级鞋子</v>
          </cell>
          <cell r="B491">
            <v>173001</v>
          </cell>
        </row>
        <row r="492">
          <cell r="A492" t="str">
            <v>白色道士10级鞋子</v>
          </cell>
          <cell r="B492">
            <v>173002</v>
          </cell>
        </row>
        <row r="493">
          <cell r="A493" t="str">
            <v>白色道士20级鞋子</v>
          </cell>
          <cell r="B493">
            <v>173003</v>
          </cell>
        </row>
        <row r="494">
          <cell r="A494" t="str">
            <v>白色道士30级鞋子</v>
          </cell>
          <cell r="B494">
            <v>173004</v>
          </cell>
        </row>
        <row r="495">
          <cell r="A495" t="str">
            <v>白色道士40级鞋子</v>
          </cell>
          <cell r="B495">
            <v>173005</v>
          </cell>
        </row>
        <row r="496">
          <cell r="A496" t="str">
            <v>白色道士50级鞋子</v>
          </cell>
          <cell r="B496">
            <v>173006</v>
          </cell>
        </row>
        <row r="497">
          <cell r="A497" t="str">
            <v>白色道士60级鞋子</v>
          </cell>
          <cell r="B497">
            <v>173007</v>
          </cell>
        </row>
        <row r="498">
          <cell r="A498" t="str">
            <v>白色道士70级鞋子</v>
          </cell>
          <cell r="B498">
            <v>173008</v>
          </cell>
        </row>
        <row r="499">
          <cell r="A499" t="str">
            <v>白色道士80级鞋子</v>
          </cell>
          <cell r="B499">
            <v>173009</v>
          </cell>
        </row>
        <row r="500">
          <cell r="A500" t="str">
            <v>白色道士90级鞋子</v>
          </cell>
          <cell r="B500">
            <v>173010</v>
          </cell>
        </row>
        <row r="501">
          <cell r="A501" t="str">
            <v>白色道士100级鞋子</v>
          </cell>
          <cell r="B501">
            <v>173011</v>
          </cell>
        </row>
        <row r="502">
          <cell r="A502" t="str">
            <v>白色道士110级鞋子</v>
          </cell>
          <cell r="B502">
            <v>173012</v>
          </cell>
        </row>
        <row r="503">
          <cell r="A503" t="str">
            <v>白色道士120级鞋子</v>
          </cell>
          <cell r="B503">
            <v>173013</v>
          </cell>
        </row>
        <row r="504">
          <cell r="A504" t="str">
            <v>白色道士130级鞋子</v>
          </cell>
          <cell r="B504">
            <v>173014</v>
          </cell>
        </row>
        <row r="505">
          <cell r="A505" t="str">
            <v>白色道士140级鞋子</v>
          </cell>
          <cell r="B505">
            <v>173015</v>
          </cell>
        </row>
        <row r="506">
          <cell r="A506" t="str">
            <v>白色道士150级鞋子</v>
          </cell>
          <cell r="B506">
            <v>173016</v>
          </cell>
        </row>
        <row r="507">
          <cell r="A507" t="str">
            <v>白色道士160级鞋子</v>
          </cell>
          <cell r="B507">
            <v>173017</v>
          </cell>
        </row>
        <row r="508">
          <cell r="A508" t="str">
            <v>白色道士170级鞋子</v>
          </cell>
          <cell r="B508">
            <v>173018</v>
          </cell>
        </row>
        <row r="509">
          <cell r="A509" t="str">
            <v>白色道士180级鞋子</v>
          </cell>
          <cell r="B509">
            <v>173019</v>
          </cell>
        </row>
        <row r="510">
          <cell r="A510" t="str">
            <v>白色道士190级鞋子</v>
          </cell>
          <cell r="B510">
            <v>173020</v>
          </cell>
        </row>
        <row r="511">
          <cell r="A511" t="str">
            <v>白色道士200级鞋子</v>
          </cell>
          <cell r="B511">
            <v>173021</v>
          </cell>
        </row>
        <row r="512">
          <cell r="A512" t="str">
            <v>绿色战士1级武器</v>
          </cell>
          <cell r="B512">
            <v>101101</v>
          </cell>
        </row>
        <row r="513">
          <cell r="A513" t="str">
            <v>绿色战士10级武器</v>
          </cell>
          <cell r="B513">
            <v>101102</v>
          </cell>
        </row>
        <row r="514">
          <cell r="A514" t="str">
            <v>绿色战士20级武器</v>
          </cell>
          <cell r="B514">
            <v>101103</v>
          </cell>
        </row>
        <row r="515">
          <cell r="A515" t="str">
            <v>绿色战士30级武器</v>
          </cell>
          <cell r="B515">
            <v>101104</v>
          </cell>
        </row>
        <row r="516">
          <cell r="A516" t="str">
            <v>绿色战士40级武器</v>
          </cell>
          <cell r="B516">
            <v>101105</v>
          </cell>
        </row>
        <row r="517">
          <cell r="A517" t="str">
            <v>绿色战士50级武器</v>
          </cell>
          <cell r="B517">
            <v>101106</v>
          </cell>
        </row>
        <row r="518">
          <cell r="A518" t="str">
            <v>绿色战士60级武器</v>
          </cell>
          <cell r="B518">
            <v>101107</v>
          </cell>
        </row>
        <row r="519">
          <cell r="A519" t="str">
            <v>绿色战士70级武器</v>
          </cell>
          <cell r="B519">
            <v>101108</v>
          </cell>
        </row>
        <row r="520">
          <cell r="A520" t="str">
            <v>绿色战士80级武器</v>
          </cell>
          <cell r="B520">
            <v>101109</v>
          </cell>
        </row>
        <row r="521">
          <cell r="A521" t="str">
            <v>绿色战士90级武器</v>
          </cell>
          <cell r="B521">
            <v>101110</v>
          </cell>
        </row>
        <row r="522">
          <cell r="A522" t="str">
            <v>绿色战士100级武器</v>
          </cell>
          <cell r="B522">
            <v>101111</v>
          </cell>
        </row>
        <row r="523">
          <cell r="A523" t="str">
            <v>绿色战士110级武器</v>
          </cell>
          <cell r="B523">
            <v>101112</v>
          </cell>
        </row>
        <row r="524">
          <cell r="A524" t="str">
            <v>绿色战士120级武器</v>
          </cell>
          <cell r="B524">
            <v>101113</v>
          </cell>
        </row>
        <row r="525">
          <cell r="A525" t="str">
            <v>绿色战士130级武器</v>
          </cell>
          <cell r="B525">
            <v>101114</v>
          </cell>
        </row>
        <row r="526">
          <cell r="A526" t="str">
            <v>绿色战士140级武器</v>
          </cell>
          <cell r="B526">
            <v>101115</v>
          </cell>
        </row>
        <row r="527">
          <cell r="A527" t="str">
            <v>绿色战士150级武器</v>
          </cell>
          <cell r="B527">
            <v>101116</v>
          </cell>
        </row>
        <row r="528">
          <cell r="A528" t="str">
            <v>绿色战士160级武器</v>
          </cell>
          <cell r="B528">
            <v>101117</v>
          </cell>
        </row>
        <row r="529">
          <cell r="A529" t="str">
            <v>绿色战士170级武器</v>
          </cell>
          <cell r="B529">
            <v>101118</v>
          </cell>
        </row>
        <row r="530">
          <cell r="A530" t="str">
            <v>绿色战士180级武器</v>
          </cell>
          <cell r="B530">
            <v>101119</v>
          </cell>
        </row>
        <row r="531">
          <cell r="A531" t="str">
            <v>绿色战士190级武器</v>
          </cell>
          <cell r="B531">
            <v>101120</v>
          </cell>
        </row>
        <row r="532">
          <cell r="A532" t="str">
            <v>绿色战士200级武器</v>
          </cell>
          <cell r="B532">
            <v>101121</v>
          </cell>
        </row>
        <row r="533">
          <cell r="A533" t="str">
            <v>绿色法师1级武器</v>
          </cell>
          <cell r="B533">
            <v>102101</v>
          </cell>
        </row>
        <row r="534">
          <cell r="A534" t="str">
            <v>绿色法师10级武器</v>
          </cell>
          <cell r="B534">
            <v>102102</v>
          </cell>
        </row>
        <row r="535">
          <cell r="A535" t="str">
            <v>绿色法师20级武器</v>
          </cell>
          <cell r="B535">
            <v>102103</v>
          </cell>
        </row>
        <row r="536">
          <cell r="A536" t="str">
            <v>绿色法师30级武器</v>
          </cell>
          <cell r="B536">
            <v>102104</v>
          </cell>
        </row>
        <row r="537">
          <cell r="A537" t="str">
            <v>绿色法师40级武器</v>
          </cell>
          <cell r="B537">
            <v>102105</v>
          </cell>
        </row>
        <row r="538">
          <cell r="A538" t="str">
            <v>绿色法师50级武器</v>
          </cell>
          <cell r="B538">
            <v>102106</v>
          </cell>
        </row>
        <row r="539">
          <cell r="A539" t="str">
            <v>绿色法师60级武器</v>
          </cell>
          <cell r="B539">
            <v>102107</v>
          </cell>
        </row>
        <row r="540">
          <cell r="A540" t="str">
            <v>绿色法师70级武器</v>
          </cell>
          <cell r="B540">
            <v>102108</v>
          </cell>
        </row>
        <row r="541">
          <cell r="A541" t="str">
            <v>绿色法师80级武器</v>
          </cell>
          <cell r="B541">
            <v>102109</v>
          </cell>
        </row>
        <row r="542">
          <cell r="A542" t="str">
            <v>绿色法师90级武器</v>
          </cell>
          <cell r="B542">
            <v>102110</v>
          </cell>
        </row>
        <row r="543">
          <cell r="A543" t="str">
            <v>绿色法师100级武器</v>
          </cell>
          <cell r="B543">
            <v>102111</v>
          </cell>
        </row>
        <row r="544">
          <cell r="A544" t="str">
            <v>绿色法师110级武器</v>
          </cell>
          <cell r="B544">
            <v>102112</v>
          </cell>
        </row>
        <row r="545">
          <cell r="A545" t="str">
            <v>绿色法师120级武器</v>
          </cell>
          <cell r="B545">
            <v>102113</v>
          </cell>
        </row>
        <row r="546">
          <cell r="A546" t="str">
            <v>绿色法师130级武器</v>
          </cell>
          <cell r="B546">
            <v>102114</v>
          </cell>
        </row>
        <row r="547">
          <cell r="A547" t="str">
            <v>绿色法师140级武器</v>
          </cell>
          <cell r="B547">
            <v>102115</v>
          </cell>
        </row>
        <row r="548">
          <cell r="A548" t="str">
            <v>绿色法师150级武器</v>
          </cell>
          <cell r="B548">
            <v>102116</v>
          </cell>
        </row>
        <row r="549">
          <cell r="A549" t="str">
            <v>绿色法师160级武器</v>
          </cell>
          <cell r="B549">
            <v>102117</v>
          </cell>
        </row>
        <row r="550">
          <cell r="A550" t="str">
            <v>绿色法师170级武器</v>
          </cell>
          <cell r="B550">
            <v>102118</v>
          </cell>
        </row>
        <row r="551">
          <cell r="A551" t="str">
            <v>绿色法师180级武器</v>
          </cell>
          <cell r="B551">
            <v>102119</v>
          </cell>
        </row>
        <row r="552">
          <cell r="A552" t="str">
            <v>绿色法师190级武器</v>
          </cell>
          <cell r="B552">
            <v>102120</v>
          </cell>
        </row>
        <row r="553">
          <cell r="A553" t="str">
            <v>绿色法师200级武器</v>
          </cell>
          <cell r="B553">
            <v>102121</v>
          </cell>
        </row>
        <row r="554">
          <cell r="A554" t="str">
            <v>绿色道士1级武器</v>
          </cell>
          <cell r="B554">
            <v>103101</v>
          </cell>
        </row>
        <row r="555">
          <cell r="A555" t="str">
            <v>绿色道士10级武器</v>
          </cell>
          <cell r="B555">
            <v>103102</v>
          </cell>
        </row>
        <row r="556">
          <cell r="A556" t="str">
            <v>绿色道士20级武器</v>
          </cell>
          <cell r="B556">
            <v>103103</v>
          </cell>
        </row>
        <row r="557">
          <cell r="A557" t="str">
            <v>绿色道士30级武器</v>
          </cell>
          <cell r="B557">
            <v>103104</v>
          </cell>
        </row>
        <row r="558">
          <cell r="A558" t="str">
            <v>绿色道士40级武器</v>
          </cell>
          <cell r="B558">
            <v>103105</v>
          </cell>
        </row>
        <row r="559">
          <cell r="A559" t="str">
            <v>绿色道士50级武器</v>
          </cell>
          <cell r="B559">
            <v>103106</v>
          </cell>
        </row>
        <row r="560">
          <cell r="A560" t="str">
            <v>绿色道士60级武器</v>
          </cell>
          <cell r="B560">
            <v>103107</v>
          </cell>
        </row>
        <row r="561">
          <cell r="A561" t="str">
            <v>绿色道士70级武器</v>
          </cell>
          <cell r="B561">
            <v>103108</v>
          </cell>
        </row>
        <row r="562">
          <cell r="A562" t="str">
            <v>绿色道士80级武器</v>
          </cell>
          <cell r="B562">
            <v>103109</v>
          </cell>
        </row>
        <row r="563">
          <cell r="A563" t="str">
            <v>绿色道士90级武器</v>
          </cell>
          <cell r="B563">
            <v>103110</v>
          </cell>
        </row>
        <row r="564">
          <cell r="A564" t="str">
            <v>绿色道士100级武器</v>
          </cell>
          <cell r="B564">
            <v>103111</v>
          </cell>
        </row>
        <row r="565">
          <cell r="A565" t="str">
            <v>绿色道士110级武器</v>
          </cell>
          <cell r="B565">
            <v>103112</v>
          </cell>
        </row>
        <row r="566">
          <cell r="A566" t="str">
            <v>绿色道士120级武器</v>
          </cell>
          <cell r="B566">
            <v>103113</v>
          </cell>
        </row>
        <row r="567">
          <cell r="A567" t="str">
            <v>绿色道士130级武器</v>
          </cell>
          <cell r="B567">
            <v>103114</v>
          </cell>
        </row>
        <row r="568">
          <cell r="A568" t="str">
            <v>绿色道士140级武器</v>
          </cell>
          <cell r="B568">
            <v>103115</v>
          </cell>
        </row>
        <row r="569">
          <cell r="A569" t="str">
            <v>绿色道士150级武器</v>
          </cell>
          <cell r="B569">
            <v>103116</v>
          </cell>
        </row>
        <row r="570">
          <cell r="A570" t="str">
            <v>绿色道士160级武器</v>
          </cell>
          <cell r="B570">
            <v>103117</v>
          </cell>
        </row>
        <row r="571">
          <cell r="A571" t="str">
            <v>绿色道士170级武器</v>
          </cell>
          <cell r="B571">
            <v>103118</v>
          </cell>
        </row>
        <row r="572">
          <cell r="A572" t="str">
            <v>绿色道士180级武器</v>
          </cell>
          <cell r="B572">
            <v>103119</v>
          </cell>
        </row>
        <row r="573">
          <cell r="A573" t="str">
            <v>绿色道士190级武器</v>
          </cell>
          <cell r="B573">
            <v>103120</v>
          </cell>
        </row>
        <row r="574">
          <cell r="A574" t="str">
            <v>绿色道士200级武器</v>
          </cell>
          <cell r="B574">
            <v>103121</v>
          </cell>
        </row>
        <row r="575">
          <cell r="A575" t="str">
            <v>绿色战士1级头盔</v>
          </cell>
          <cell r="B575">
            <v>111101</v>
          </cell>
        </row>
        <row r="576">
          <cell r="A576" t="str">
            <v>绿色战士10级头盔</v>
          </cell>
          <cell r="B576">
            <v>111102</v>
          </cell>
        </row>
        <row r="577">
          <cell r="A577" t="str">
            <v>绿色战士20级头盔</v>
          </cell>
          <cell r="B577">
            <v>111103</v>
          </cell>
        </row>
        <row r="578">
          <cell r="A578" t="str">
            <v>绿色战士30级头盔</v>
          </cell>
          <cell r="B578">
            <v>111104</v>
          </cell>
        </row>
        <row r="579">
          <cell r="A579" t="str">
            <v>绿色战士40级头盔</v>
          </cell>
          <cell r="B579">
            <v>111105</v>
          </cell>
        </row>
        <row r="580">
          <cell r="A580" t="str">
            <v>绿色战士50级头盔</v>
          </cell>
          <cell r="B580">
            <v>111106</v>
          </cell>
        </row>
        <row r="581">
          <cell r="A581" t="str">
            <v>绿色战士60级头盔</v>
          </cell>
          <cell r="B581">
            <v>111107</v>
          </cell>
        </row>
        <row r="582">
          <cell r="A582" t="str">
            <v>绿色战士70级头盔</v>
          </cell>
          <cell r="B582">
            <v>111108</v>
          </cell>
        </row>
        <row r="583">
          <cell r="A583" t="str">
            <v>绿色战士80级头盔</v>
          </cell>
          <cell r="B583">
            <v>111109</v>
          </cell>
        </row>
        <row r="584">
          <cell r="A584" t="str">
            <v>绿色战士90级头盔</v>
          </cell>
          <cell r="B584">
            <v>111110</v>
          </cell>
        </row>
        <row r="585">
          <cell r="A585" t="str">
            <v>绿色战士100级头盔</v>
          </cell>
          <cell r="B585">
            <v>111111</v>
          </cell>
        </row>
        <row r="586">
          <cell r="A586" t="str">
            <v>绿色战士110级头盔</v>
          </cell>
          <cell r="B586">
            <v>111112</v>
          </cell>
        </row>
        <row r="587">
          <cell r="A587" t="str">
            <v>绿色战士120级头盔</v>
          </cell>
          <cell r="B587">
            <v>111113</v>
          </cell>
        </row>
        <row r="588">
          <cell r="A588" t="str">
            <v>绿色战士130级头盔</v>
          </cell>
          <cell r="B588">
            <v>111114</v>
          </cell>
        </row>
        <row r="589">
          <cell r="A589" t="str">
            <v>绿色战士140级头盔</v>
          </cell>
          <cell r="B589">
            <v>111115</v>
          </cell>
        </row>
        <row r="590">
          <cell r="A590" t="str">
            <v>绿色战士150级头盔</v>
          </cell>
          <cell r="B590">
            <v>111116</v>
          </cell>
        </row>
        <row r="591">
          <cell r="A591" t="str">
            <v>绿色战士160级头盔</v>
          </cell>
          <cell r="B591">
            <v>111117</v>
          </cell>
        </row>
        <row r="592">
          <cell r="A592" t="str">
            <v>绿色战士170级头盔</v>
          </cell>
          <cell r="B592">
            <v>111118</v>
          </cell>
        </row>
        <row r="593">
          <cell r="A593" t="str">
            <v>绿色战士180级头盔</v>
          </cell>
          <cell r="B593">
            <v>111119</v>
          </cell>
        </row>
        <row r="594">
          <cell r="A594" t="str">
            <v>绿色战士190级头盔</v>
          </cell>
          <cell r="B594">
            <v>111120</v>
          </cell>
        </row>
        <row r="595">
          <cell r="A595" t="str">
            <v>绿色战士200级头盔</v>
          </cell>
          <cell r="B595">
            <v>111121</v>
          </cell>
        </row>
        <row r="596">
          <cell r="A596" t="str">
            <v>绿色法师1级头盔</v>
          </cell>
          <cell r="B596">
            <v>112101</v>
          </cell>
        </row>
        <row r="597">
          <cell r="A597" t="str">
            <v>绿色法师10级头盔</v>
          </cell>
          <cell r="B597">
            <v>112102</v>
          </cell>
        </row>
        <row r="598">
          <cell r="A598" t="str">
            <v>绿色法师20级头盔</v>
          </cell>
          <cell r="B598">
            <v>112103</v>
          </cell>
        </row>
        <row r="599">
          <cell r="A599" t="str">
            <v>绿色法师30级头盔</v>
          </cell>
          <cell r="B599">
            <v>112104</v>
          </cell>
        </row>
        <row r="600">
          <cell r="A600" t="str">
            <v>绿色法师40级头盔</v>
          </cell>
          <cell r="B600">
            <v>112105</v>
          </cell>
        </row>
        <row r="601">
          <cell r="A601" t="str">
            <v>绿色法师50级头盔</v>
          </cell>
          <cell r="B601">
            <v>112106</v>
          </cell>
        </row>
        <row r="602">
          <cell r="A602" t="str">
            <v>绿色法师60级头盔</v>
          </cell>
          <cell r="B602">
            <v>112107</v>
          </cell>
        </row>
        <row r="603">
          <cell r="A603" t="str">
            <v>绿色法师70级头盔</v>
          </cell>
          <cell r="B603">
            <v>112108</v>
          </cell>
        </row>
        <row r="604">
          <cell r="A604" t="str">
            <v>绿色法师80级头盔</v>
          </cell>
          <cell r="B604">
            <v>112109</v>
          </cell>
        </row>
        <row r="605">
          <cell r="A605" t="str">
            <v>绿色法师90级头盔</v>
          </cell>
          <cell r="B605">
            <v>112110</v>
          </cell>
        </row>
        <row r="606">
          <cell r="A606" t="str">
            <v>绿色法师100级头盔</v>
          </cell>
          <cell r="B606">
            <v>112111</v>
          </cell>
        </row>
        <row r="607">
          <cell r="A607" t="str">
            <v>绿色法师110级头盔</v>
          </cell>
          <cell r="B607">
            <v>112112</v>
          </cell>
        </row>
        <row r="608">
          <cell r="A608" t="str">
            <v>绿色法师120级头盔</v>
          </cell>
          <cell r="B608">
            <v>112113</v>
          </cell>
        </row>
        <row r="609">
          <cell r="A609" t="str">
            <v>绿色法师130级头盔</v>
          </cell>
          <cell r="B609">
            <v>112114</v>
          </cell>
        </row>
        <row r="610">
          <cell r="A610" t="str">
            <v>绿色法师140级头盔</v>
          </cell>
          <cell r="B610">
            <v>112115</v>
          </cell>
        </row>
        <row r="611">
          <cell r="A611" t="str">
            <v>绿色法师150级头盔</v>
          </cell>
          <cell r="B611">
            <v>112116</v>
          </cell>
        </row>
        <row r="612">
          <cell r="A612" t="str">
            <v>绿色法师160级头盔</v>
          </cell>
          <cell r="B612">
            <v>112117</v>
          </cell>
        </row>
        <row r="613">
          <cell r="A613" t="str">
            <v>绿色法师170级头盔</v>
          </cell>
          <cell r="B613">
            <v>112118</v>
          </cell>
        </row>
        <row r="614">
          <cell r="A614" t="str">
            <v>绿色法师180级头盔</v>
          </cell>
          <cell r="B614">
            <v>112119</v>
          </cell>
        </row>
        <row r="615">
          <cell r="A615" t="str">
            <v>绿色法师190级头盔</v>
          </cell>
          <cell r="B615">
            <v>112120</v>
          </cell>
        </row>
        <row r="616">
          <cell r="A616" t="str">
            <v>绿色法师200级头盔</v>
          </cell>
          <cell r="B616">
            <v>112121</v>
          </cell>
        </row>
        <row r="617">
          <cell r="A617" t="str">
            <v>绿色道士1级头盔</v>
          </cell>
          <cell r="B617">
            <v>113101</v>
          </cell>
        </row>
        <row r="618">
          <cell r="A618" t="str">
            <v>绿色道士10级头盔</v>
          </cell>
          <cell r="B618">
            <v>113102</v>
          </cell>
        </row>
        <row r="619">
          <cell r="A619" t="str">
            <v>绿色道士20级头盔</v>
          </cell>
          <cell r="B619">
            <v>113103</v>
          </cell>
        </row>
        <row r="620">
          <cell r="A620" t="str">
            <v>绿色道士30级头盔</v>
          </cell>
          <cell r="B620">
            <v>113104</v>
          </cell>
        </row>
        <row r="621">
          <cell r="A621" t="str">
            <v>绿色道士40级头盔</v>
          </cell>
          <cell r="B621">
            <v>113105</v>
          </cell>
        </row>
        <row r="622">
          <cell r="A622" t="str">
            <v>绿色道士50级头盔</v>
          </cell>
          <cell r="B622">
            <v>113106</v>
          </cell>
        </row>
        <row r="623">
          <cell r="A623" t="str">
            <v>绿色道士60级头盔</v>
          </cell>
          <cell r="B623">
            <v>113107</v>
          </cell>
        </row>
        <row r="624">
          <cell r="A624" t="str">
            <v>绿色道士70级头盔</v>
          </cell>
          <cell r="B624">
            <v>113108</v>
          </cell>
        </row>
        <row r="625">
          <cell r="A625" t="str">
            <v>绿色道士80级头盔</v>
          </cell>
          <cell r="B625">
            <v>113109</v>
          </cell>
        </row>
        <row r="626">
          <cell r="A626" t="str">
            <v>绿色道士90级头盔</v>
          </cell>
          <cell r="B626">
            <v>113110</v>
          </cell>
        </row>
        <row r="627">
          <cell r="A627" t="str">
            <v>绿色道士100级头盔</v>
          </cell>
          <cell r="B627">
            <v>113111</v>
          </cell>
        </row>
        <row r="628">
          <cell r="A628" t="str">
            <v>绿色道士110级头盔</v>
          </cell>
          <cell r="B628">
            <v>113112</v>
          </cell>
        </row>
        <row r="629">
          <cell r="A629" t="str">
            <v>绿色道士120级头盔</v>
          </cell>
          <cell r="B629">
            <v>113113</v>
          </cell>
        </row>
        <row r="630">
          <cell r="A630" t="str">
            <v>绿色道士130级头盔</v>
          </cell>
          <cell r="B630">
            <v>113114</v>
          </cell>
        </row>
        <row r="631">
          <cell r="A631" t="str">
            <v>绿色道士140级头盔</v>
          </cell>
          <cell r="B631">
            <v>113115</v>
          </cell>
        </row>
        <row r="632">
          <cell r="A632" t="str">
            <v>绿色道士150级头盔</v>
          </cell>
          <cell r="B632">
            <v>113116</v>
          </cell>
        </row>
        <row r="633">
          <cell r="A633" t="str">
            <v>绿色道士160级头盔</v>
          </cell>
          <cell r="B633">
            <v>113117</v>
          </cell>
        </row>
        <row r="634">
          <cell r="A634" t="str">
            <v>绿色道士170级头盔</v>
          </cell>
          <cell r="B634">
            <v>113118</v>
          </cell>
        </row>
        <row r="635">
          <cell r="A635" t="str">
            <v>绿色道士180级头盔</v>
          </cell>
          <cell r="B635">
            <v>113119</v>
          </cell>
        </row>
        <row r="636">
          <cell r="A636" t="str">
            <v>绿色道士190级头盔</v>
          </cell>
          <cell r="B636">
            <v>113120</v>
          </cell>
        </row>
        <row r="637">
          <cell r="A637" t="str">
            <v>绿色道士200级头盔</v>
          </cell>
          <cell r="B637">
            <v>113121</v>
          </cell>
        </row>
        <row r="638">
          <cell r="A638" t="str">
            <v>绿色战士1级衣服</v>
          </cell>
          <cell r="B638">
            <v>121101</v>
          </cell>
        </row>
        <row r="639">
          <cell r="A639" t="str">
            <v>绿色战士10级衣服</v>
          </cell>
          <cell r="B639">
            <v>121102</v>
          </cell>
        </row>
        <row r="640">
          <cell r="A640" t="str">
            <v>绿色战士20级衣服</v>
          </cell>
          <cell r="B640">
            <v>121103</v>
          </cell>
        </row>
        <row r="641">
          <cell r="A641" t="str">
            <v>绿色战士30级衣服</v>
          </cell>
          <cell r="B641">
            <v>121104</v>
          </cell>
        </row>
        <row r="642">
          <cell r="A642" t="str">
            <v>绿色战士40级衣服</v>
          </cell>
          <cell r="B642">
            <v>121105</v>
          </cell>
        </row>
        <row r="643">
          <cell r="A643" t="str">
            <v>绿色战士50级衣服</v>
          </cell>
          <cell r="B643">
            <v>121106</v>
          </cell>
        </row>
        <row r="644">
          <cell r="A644" t="str">
            <v>绿色战士60级衣服</v>
          </cell>
          <cell r="B644">
            <v>121107</v>
          </cell>
        </row>
        <row r="645">
          <cell r="A645" t="str">
            <v>绿色战士70级衣服</v>
          </cell>
          <cell r="B645">
            <v>121108</v>
          </cell>
        </row>
        <row r="646">
          <cell r="A646" t="str">
            <v>绿色战士80级衣服</v>
          </cell>
          <cell r="B646">
            <v>121109</v>
          </cell>
        </row>
        <row r="647">
          <cell r="A647" t="str">
            <v>绿色战士90级衣服</v>
          </cell>
          <cell r="B647">
            <v>121110</v>
          </cell>
        </row>
        <row r="648">
          <cell r="A648" t="str">
            <v>绿色战士100级衣服</v>
          </cell>
          <cell r="B648">
            <v>121111</v>
          </cell>
        </row>
        <row r="649">
          <cell r="A649" t="str">
            <v>绿色战士110级衣服</v>
          </cell>
          <cell r="B649">
            <v>121112</v>
          </cell>
        </row>
        <row r="650">
          <cell r="A650" t="str">
            <v>绿色战士120级衣服</v>
          </cell>
          <cell r="B650">
            <v>121113</v>
          </cell>
        </row>
        <row r="651">
          <cell r="A651" t="str">
            <v>绿色战士130级衣服</v>
          </cell>
          <cell r="B651">
            <v>121114</v>
          </cell>
        </row>
        <row r="652">
          <cell r="A652" t="str">
            <v>绿色战士140级衣服</v>
          </cell>
          <cell r="B652">
            <v>121115</v>
          </cell>
        </row>
        <row r="653">
          <cell r="A653" t="str">
            <v>绿色战士150级衣服</v>
          </cell>
          <cell r="B653">
            <v>121116</v>
          </cell>
        </row>
        <row r="654">
          <cell r="A654" t="str">
            <v>绿色战士160级衣服</v>
          </cell>
          <cell r="B654">
            <v>121117</v>
          </cell>
        </row>
        <row r="655">
          <cell r="A655" t="str">
            <v>绿色战士170级衣服</v>
          </cell>
          <cell r="B655">
            <v>121118</v>
          </cell>
        </row>
        <row r="656">
          <cell r="A656" t="str">
            <v>绿色战士180级衣服</v>
          </cell>
          <cell r="B656">
            <v>121119</v>
          </cell>
        </row>
        <row r="657">
          <cell r="A657" t="str">
            <v>绿色战士190级衣服</v>
          </cell>
          <cell r="B657">
            <v>121120</v>
          </cell>
        </row>
        <row r="658">
          <cell r="A658" t="str">
            <v>绿色战士200级衣服</v>
          </cell>
          <cell r="B658">
            <v>121121</v>
          </cell>
        </row>
        <row r="659">
          <cell r="A659" t="str">
            <v>绿色法师1级衣服</v>
          </cell>
          <cell r="B659">
            <v>122101</v>
          </cell>
        </row>
        <row r="660">
          <cell r="A660" t="str">
            <v>绿色法师10级衣服</v>
          </cell>
          <cell r="B660">
            <v>122102</v>
          </cell>
        </row>
        <row r="661">
          <cell r="A661" t="str">
            <v>绿色法师20级衣服</v>
          </cell>
          <cell r="B661">
            <v>122103</v>
          </cell>
        </row>
        <row r="662">
          <cell r="A662" t="str">
            <v>绿色法师30级衣服</v>
          </cell>
          <cell r="B662">
            <v>122104</v>
          </cell>
        </row>
        <row r="663">
          <cell r="A663" t="str">
            <v>绿色法师40级衣服</v>
          </cell>
          <cell r="B663">
            <v>122105</v>
          </cell>
        </row>
        <row r="664">
          <cell r="A664" t="str">
            <v>绿色法师50级衣服</v>
          </cell>
          <cell r="B664">
            <v>122106</v>
          </cell>
        </row>
        <row r="665">
          <cell r="A665" t="str">
            <v>绿色法师60级衣服</v>
          </cell>
          <cell r="B665">
            <v>122107</v>
          </cell>
        </row>
        <row r="666">
          <cell r="A666" t="str">
            <v>绿色法师70级衣服</v>
          </cell>
          <cell r="B666">
            <v>122108</v>
          </cell>
        </row>
        <row r="667">
          <cell r="A667" t="str">
            <v>绿色法师80级衣服</v>
          </cell>
          <cell r="B667">
            <v>122109</v>
          </cell>
        </row>
        <row r="668">
          <cell r="A668" t="str">
            <v>绿色法师90级衣服</v>
          </cell>
          <cell r="B668">
            <v>122110</v>
          </cell>
        </row>
        <row r="669">
          <cell r="A669" t="str">
            <v>绿色法师100级衣服</v>
          </cell>
          <cell r="B669">
            <v>122111</v>
          </cell>
        </row>
        <row r="670">
          <cell r="A670" t="str">
            <v>绿色法师110级衣服</v>
          </cell>
          <cell r="B670">
            <v>122112</v>
          </cell>
        </row>
        <row r="671">
          <cell r="A671" t="str">
            <v>绿色法师120级衣服</v>
          </cell>
          <cell r="B671">
            <v>122113</v>
          </cell>
        </row>
        <row r="672">
          <cell r="A672" t="str">
            <v>绿色法师130级衣服</v>
          </cell>
          <cell r="B672">
            <v>122114</v>
          </cell>
        </row>
        <row r="673">
          <cell r="A673" t="str">
            <v>绿色法师140级衣服</v>
          </cell>
          <cell r="B673">
            <v>122115</v>
          </cell>
        </row>
        <row r="674">
          <cell r="A674" t="str">
            <v>绿色法师150级衣服</v>
          </cell>
          <cell r="B674">
            <v>122116</v>
          </cell>
        </row>
        <row r="675">
          <cell r="A675" t="str">
            <v>绿色法师160级衣服</v>
          </cell>
          <cell r="B675">
            <v>122117</v>
          </cell>
        </row>
        <row r="676">
          <cell r="A676" t="str">
            <v>绿色法师170级衣服</v>
          </cell>
          <cell r="B676">
            <v>122118</v>
          </cell>
        </row>
        <row r="677">
          <cell r="A677" t="str">
            <v>绿色法师180级衣服</v>
          </cell>
          <cell r="B677">
            <v>122119</v>
          </cell>
        </row>
        <row r="678">
          <cell r="A678" t="str">
            <v>绿色法师190级衣服</v>
          </cell>
          <cell r="B678">
            <v>122120</v>
          </cell>
        </row>
        <row r="679">
          <cell r="A679" t="str">
            <v>绿色法师200级衣服</v>
          </cell>
          <cell r="B679">
            <v>122121</v>
          </cell>
        </row>
        <row r="680">
          <cell r="A680" t="str">
            <v>绿色道士1级衣服</v>
          </cell>
          <cell r="B680">
            <v>123101</v>
          </cell>
        </row>
        <row r="681">
          <cell r="A681" t="str">
            <v>绿色道士10级衣服</v>
          </cell>
          <cell r="B681">
            <v>123102</v>
          </cell>
        </row>
        <row r="682">
          <cell r="A682" t="str">
            <v>绿色道士20级衣服</v>
          </cell>
          <cell r="B682">
            <v>123103</v>
          </cell>
        </row>
        <row r="683">
          <cell r="A683" t="str">
            <v>绿色道士30级衣服</v>
          </cell>
          <cell r="B683">
            <v>123104</v>
          </cell>
        </row>
        <row r="684">
          <cell r="A684" t="str">
            <v>绿色道士40级衣服</v>
          </cell>
          <cell r="B684">
            <v>123105</v>
          </cell>
        </row>
        <row r="685">
          <cell r="A685" t="str">
            <v>绿色道士50级衣服</v>
          </cell>
          <cell r="B685">
            <v>123106</v>
          </cell>
        </row>
        <row r="686">
          <cell r="A686" t="str">
            <v>绿色道士60级衣服</v>
          </cell>
          <cell r="B686">
            <v>123107</v>
          </cell>
        </row>
        <row r="687">
          <cell r="A687" t="str">
            <v>绿色道士70级衣服</v>
          </cell>
          <cell r="B687">
            <v>123108</v>
          </cell>
        </row>
        <row r="688">
          <cell r="A688" t="str">
            <v>绿色道士80级衣服</v>
          </cell>
          <cell r="B688">
            <v>123109</v>
          </cell>
        </row>
        <row r="689">
          <cell r="A689" t="str">
            <v>绿色道士90级衣服</v>
          </cell>
          <cell r="B689">
            <v>123110</v>
          </cell>
        </row>
        <row r="690">
          <cell r="A690" t="str">
            <v>绿色道士100级衣服</v>
          </cell>
          <cell r="B690">
            <v>123111</v>
          </cell>
        </row>
        <row r="691">
          <cell r="A691" t="str">
            <v>绿色道士110级衣服</v>
          </cell>
          <cell r="B691">
            <v>123112</v>
          </cell>
        </row>
        <row r="692">
          <cell r="A692" t="str">
            <v>绿色道士120级衣服</v>
          </cell>
          <cell r="B692">
            <v>123113</v>
          </cell>
        </row>
        <row r="693">
          <cell r="A693" t="str">
            <v>绿色道士130级衣服</v>
          </cell>
          <cell r="B693">
            <v>123114</v>
          </cell>
        </row>
        <row r="694">
          <cell r="A694" t="str">
            <v>绿色道士140级衣服</v>
          </cell>
          <cell r="B694">
            <v>123115</v>
          </cell>
        </row>
        <row r="695">
          <cell r="A695" t="str">
            <v>绿色道士150级衣服</v>
          </cell>
          <cell r="B695">
            <v>123116</v>
          </cell>
        </row>
        <row r="696">
          <cell r="A696" t="str">
            <v>绿色道士160级衣服</v>
          </cell>
          <cell r="B696">
            <v>123117</v>
          </cell>
        </row>
        <row r="697">
          <cell r="A697" t="str">
            <v>绿色道士170级衣服</v>
          </cell>
          <cell r="B697">
            <v>123118</v>
          </cell>
        </row>
        <row r="698">
          <cell r="A698" t="str">
            <v>绿色道士180级衣服</v>
          </cell>
          <cell r="B698">
            <v>123119</v>
          </cell>
        </row>
        <row r="699">
          <cell r="A699" t="str">
            <v>绿色道士190级衣服</v>
          </cell>
          <cell r="B699">
            <v>123120</v>
          </cell>
        </row>
        <row r="700">
          <cell r="A700" t="str">
            <v>绿色道士200级衣服</v>
          </cell>
          <cell r="B700">
            <v>123121</v>
          </cell>
        </row>
        <row r="701">
          <cell r="A701" t="str">
            <v>绿色战士1级项链</v>
          </cell>
          <cell r="B701">
            <v>131101</v>
          </cell>
        </row>
        <row r="702">
          <cell r="A702" t="str">
            <v>绿色战士10级项链</v>
          </cell>
          <cell r="B702">
            <v>131102</v>
          </cell>
        </row>
        <row r="703">
          <cell r="A703" t="str">
            <v>绿色战士20级项链</v>
          </cell>
          <cell r="B703">
            <v>131103</v>
          </cell>
        </row>
        <row r="704">
          <cell r="A704" t="str">
            <v>绿色战士30级项链</v>
          </cell>
          <cell r="B704">
            <v>131104</v>
          </cell>
        </row>
        <row r="705">
          <cell r="A705" t="str">
            <v>绿色战士40级项链</v>
          </cell>
          <cell r="B705">
            <v>131105</v>
          </cell>
        </row>
        <row r="706">
          <cell r="A706" t="str">
            <v>绿色战士50级项链</v>
          </cell>
          <cell r="B706">
            <v>131106</v>
          </cell>
        </row>
        <row r="707">
          <cell r="A707" t="str">
            <v>绿色战士60级项链</v>
          </cell>
          <cell r="B707">
            <v>131107</v>
          </cell>
        </row>
        <row r="708">
          <cell r="A708" t="str">
            <v>绿色战士70级项链</v>
          </cell>
          <cell r="B708">
            <v>131108</v>
          </cell>
        </row>
        <row r="709">
          <cell r="A709" t="str">
            <v>绿色战士80级项链</v>
          </cell>
          <cell r="B709">
            <v>131109</v>
          </cell>
        </row>
        <row r="710">
          <cell r="A710" t="str">
            <v>绿色战士90级项链</v>
          </cell>
          <cell r="B710">
            <v>131110</v>
          </cell>
        </row>
        <row r="711">
          <cell r="A711" t="str">
            <v>绿色战士100级项链</v>
          </cell>
          <cell r="B711">
            <v>131111</v>
          </cell>
        </row>
        <row r="712">
          <cell r="A712" t="str">
            <v>绿色战士110级项链</v>
          </cell>
          <cell r="B712">
            <v>131112</v>
          </cell>
        </row>
        <row r="713">
          <cell r="A713" t="str">
            <v>绿色战士120级项链</v>
          </cell>
          <cell r="B713">
            <v>131113</v>
          </cell>
        </row>
        <row r="714">
          <cell r="A714" t="str">
            <v>绿色战士130级项链</v>
          </cell>
          <cell r="B714">
            <v>131114</v>
          </cell>
        </row>
        <row r="715">
          <cell r="A715" t="str">
            <v>绿色战士140级项链</v>
          </cell>
          <cell r="B715">
            <v>131115</v>
          </cell>
        </row>
        <row r="716">
          <cell r="A716" t="str">
            <v>绿色战士150级项链</v>
          </cell>
          <cell r="B716">
            <v>131116</v>
          </cell>
        </row>
        <row r="717">
          <cell r="A717" t="str">
            <v>绿色战士160级项链</v>
          </cell>
          <cell r="B717">
            <v>131117</v>
          </cell>
        </row>
        <row r="718">
          <cell r="A718" t="str">
            <v>绿色战士170级项链</v>
          </cell>
          <cell r="B718">
            <v>131118</v>
          </cell>
        </row>
        <row r="719">
          <cell r="A719" t="str">
            <v>绿色战士180级项链</v>
          </cell>
          <cell r="B719">
            <v>131119</v>
          </cell>
        </row>
        <row r="720">
          <cell r="A720" t="str">
            <v>绿色战士190级项链</v>
          </cell>
          <cell r="B720">
            <v>131120</v>
          </cell>
        </row>
        <row r="721">
          <cell r="A721" t="str">
            <v>绿色战士200级项链</v>
          </cell>
          <cell r="B721">
            <v>131121</v>
          </cell>
        </row>
        <row r="722">
          <cell r="A722" t="str">
            <v>绿色法师1级项链</v>
          </cell>
          <cell r="B722">
            <v>132101</v>
          </cell>
        </row>
        <row r="723">
          <cell r="A723" t="str">
            <v>绿色法师10级项链</v>
          </cell>
          <cell r="B723">
            <v>132102</v>
          </cell>
        </row>
        <row r="724">
          <cell r="A724" t="str">
            <v>绿色法师20级项链</v>
          </cell>
          <cell r="B724">
            <v>132103</v>
          </cell>
        </row>
        <row r="725">
          <cell r="A725" t="str">
            <v>绿色法师30级项链</v>
          </cell>
          <cell r="B725">
            <v>132104</v>
          </cell>
        </row>
        <row r="726">
          <cell r="A726" t="str">
            <v>绿色法师40级项链</v>
          </cell>
          <cell r="B726">
            <v>132105</v>
          </cell>
        </row>
        <row r="727">
          <cell r="A727" t="str">
            <v>绿色法师50级项链</v>
          </cell>
          <cell r="B727">
            <v>132106</v>
          </cell>
        </row>
        <row r="728">
          <cell r="A728" t="str">
            <v>绿色法师60级项链</v>
          </cell>
          <cell r="B728">
            <v>132107</v>
          </cell>
        </row>
        <row r="729">
          <cell r="A729" t="str">
            <v>绿色法师70级项链</v>
          </cell>
          <cell r="B729">
            <v>132108</v>
          </cell>
        </row>
        <row r="730">
          <cell r="A730" t="str">
            <v>绿色法师80级项链</v>
          </cell>
          <cell r="B730">
            <v>132109</v>
          </cell>
        </row>
        <row r="731">
          <cell r="A731" t="str">
            <v>绿色法师90级项链</v>
          </cell>
          <cell r="B731">
            <v>132110</v>
          </cell>
        </row>
        <row r="732">
          <cell r="A732" t="str">
            <v>绿色法师100级项链</v>
          </cell>
          <cell r="B732">
            <v>132111</v>
          </cell>
        </row>
        <row r="733">
          <cell r="A733" t="str">
            <v>绿色法师110级项链</v>
          </cell>
          <cell r="B733">
            <v>132112</v>
          </cell>
        </row>
        <row r="734">
          <cell r="A734" t="str">
            <v>绿色法师120级项链</v>
          </cell>
          <cell r="B734">
            <v>132113</v>
          </cell>
        </row>
        <row r="735">
          <cell r="A735" t="str">
            <v>绿色法师130级项链</v>
          </cell>
          <cell r="B735">
            <v>132114</v>
          </cell>
        </row>
        <row r="736">
          <cell r="A736" t="str">
            <v>绿色法师140级项链</v>
          </cell>
          <cell r="B736">
            <v>132115</v>
          </cell>
        </row>
        <row r="737">
          <cell r="A737" t="str">
            <v>绿色法师150级项链</v>
          </cell>
          <cell r="B737">
            <v>132116</v>
          </cell>
        </row>
        <row r="738">
          <cell r="A738" t="str">
            <v>绿色法师160级项链</v>
          </cell>
          <cell r="B738">
            <v>132117</v>
          </cell>
        </row>
        <row r="739">
          <cell r="A739" t="str">
            <v>绿色法师170级项链</v>
          </cell>
          <cell r="B739">
            <v>132118</v>
          </cell>
        </row>
        <row r="740">
          <cell r="A740" t="str">
            <v>绿色法师180级项链</v>
          </cell>
          <cell r="B740">
            <v>132119</v>
          </cell>
        </row>
        <row r="741">
          <cell r="A741" t="str">
            <v>绿色法师190级项链</v>
          </cell>
          <cell r="B741">
            <v>132120</v>
          </cell>
        </row>
        <row r="742">
          <cell r="A742" t="str">
            <v>绿色法师200级项链</v>
          </cell>
          <cell r="B742">
            <v>132121</v>
          </cell>
        </row>
        <row r="743">
          <cell r="A743" t="str">
            <v>绿色道士1级项链</v>
          </cell>
          <cell r="B743">
            <v>133101</v>
          </cell>
        </row>
        <row r="744">
          <cell r="A744" t="str">
            <v>绿色道士10级项链</v>
          </cell>
          <cell r="B744">
            <v>133102</v>
          </cell>
        </row>
        <row r="745">
          <cell r="A745" t="str">
            <v>绿色道士20级项链</v>
          </cell>
          <cell r="B745">
            <v>133103</v>
          </cell>
        </row>
        <row r="746">
          <cell r="A746" t="str">
            <v>绿色道士30级项链</v>
          </cell>
          <cell r="B746">
            <v>133104</v>
          </cell>
        </row>
        <row r="747">
          <cell r="A747" t="str">
            <v>绿色道士40级项链</v>
          </cell>
          <cell r="B747">
            <v>133105</v>
          </cell>
        </row>
        <row r="748">
          <cell r="A748" t="str">
            <v>绿色道士50级项链</v>
          </cell>
          <cell r="B748">
            <v>133106</v>
          </cell>
        </row>
        <row r="749">
          <cell r="A749" t="str">
            <v>绿色道士60级项链</v>
          </cell>
          <cell r="B749">
            <v>133107</v>
          </cell>
        </row>
        <row r="750">
          <cell r="A750" t="str">
            <v>绿色道士70级项链</v>
          </cell>
          <cell r="B750">
            <v>133108</v>
          </cell>
        </row>
        <row r="751">
          <cell r="A751" t="str">
            <v>绿色道士80级项链</v>
          </cell>
          <cell r="B751">
            <v>133109</v>
          </cell>
        </row>
        <row r="752">
          <cell r="A752" t="str">
            <v>绿色道士90级项链</v>
          </cell>
          <cell r="B752">
            <v>133110</v>
          </cell>
        </row>
        <row r="753">
          <cell r="A753" t="str">
            <v>绿色道士100级项链</v>
          </cell>
          <cell r="B753">
            <v>133111</v>
          </cell>
        </row>
        <row r="754">
          <cell r="A754" t="str">
            <v>绿色道士110级项链</v>
          </cell>
          <cell r="B754">
            <v>133112</v>
          </cell>
        </row>
        <row r="755">
          <cell r="A755" t="str">
            <v>绿色道士120级项链</v>
          </cell>
          <cell r="B755">
            <v>133113</v>
          </cell>
        </row>
        <row r="756">
          <cell r="A756" t="str">
            <v>绿色道士130级项链</v>
          </cell>
          <cell r="B756">
            <v>133114</v>
          </cell>
        </row>
        <row r="757">
          <cell r="A757" t="str">
            <v>绿色道士140级项链</v>
          </cell>
          <cell r="B757">
            <v>133115</v>
          </cell>
        </row>
        <row r="758">
          <cell r="A758" t="str">
            <v>绿色道士150级项链</v>
          </cell>
          <cell r="B758">
            <v>133116</v>
          </cell>
        </row>
        <row r="759">
          <cell r="A759" t="str">
            <v>绿色道士160级项链</v>
          </cell>
          <cell r="B759">
            <v>133117</v>
          </cell>
        </row>
        <row r="760">
          <cell r="A760" t="str">
            <v>绿色道士170级项链</v>
          </cell>
          <cell r="B760">
            <v>133118</v>
          </cell>
        </row>
        <row r="761">
          <cell r="A761" t="str">
            <v>绿色道士180级项链</v>
          </cell>
          <cell r="B761">
            <v>133119</v>
          </cell>
        </row>
        <row r="762">
          <cell r="A762" t="str">
            <v>绿色道士190级项链</v>
          </cell>
          <cell r="B762">
            <v>133120</v>
          </cell>
        </row>
        <row r="763">
          <cell r="A763" t="str">
            <v>绿色道士200级项链</v>
          </cell>
          <cell r="B763">
            <v>133121</v>
          </cell>
        </row>
        <row r="764">
          <cell r="A764" t="str">
            <v>绿色战士1级手镯</v>
          </cell>
          <cell r="B764">
            <v>141101</v>
          </cell>
        </row>
        <row r="765">
          <cell r="A765" t="str">
            <v>绿色战士10级手镯</v>
          </cell>
          <cell r="B765">
            <v>141102</v>
          </cell>
        </row>
        <row r="766">
          <cell r="A766" t="str">
            <v>绿色战士20级手镯</v>
          </cell>
          <cell r="B766">
            <v>141103</v>
          </cell>
        </row>
        <row r="767">
          <cell r="A767" t="str">
            <v>绿色战士30级手镯</v>
          </cell>
          <cell r="B767">
            <v>141104</v>
          </cell>
        </row>
        <row r="768">
          <cell r="A768" t="str">
            <v>绿色战士40级手镯</v>
          </cell>
          <cell r="B768">
            <v>141105</v>
          </cell>
        </row>
        <row r="769">
          <cell r="A769" t="str">
            <v>绿色战士50级手镯</v>
          </cell>
          <cell r="B769">
            <v>141106</v>
          </cell>
        </row>
        <row r="770">
          <cell r="A770" t="str">
            <v>绿色战士60级手镯</v>
          </cell>
          <cell r="B770">
            <v>141107</v>
          </cell>
        </row>
        <row r="771">
          <cell r="A771" t="str">
            <v>绿色战士70级手镯</v>
          </cell>
          <cell r="B771">
            <v>141108</v>
          </cell>
        </row>
        <row r="772">
          <cell r="A772" t="str">
            <v>绿色战士80级手镯</v>
          </cell>
          <cell r="B772">
            <v>141109</v>
          </cell>
        </row>
        <row r="773">
          <cell r="A773" t="str">
            <v>绿色战士90级手镯</v>
          </cell>
          <cell r="B773">
            <v>141110</v>
          </cell>
        </row>
        <row r="774">
          <cell r="A774" t="str">
            <v>绿色战士100级手镯</v>
          </cell>
          <cell r="B774">
            <v>141111</v>
          </cell>
        </row>
        <row r="775">
          <cell r="A775" t="str">
            <v>绿色战士110级手镯</v>
          </cell>
          <cell r="B775">
            <v>141112</v>
          </cell>
        </row>
        <row r="776">
          <cell r="A776" t="str">
            <v>绿色战士120级手镯</v>
          </cell>
          <cell r="B776">
            <v>141113</v>
          </cell>
        </row>
        <row r="777">
          <cell r="A777" t="str">
            <v>绿色战士130级手镯</v>
          </cell>
          <cell r="B777">
            <v>141114</v>
          </cell>
        </row>
        <row r="778">
          <cell r="A778" t="str">
            <v>绿色战士140级手镯</v>
          </cell>
          <cell r="B778">
            <v>141115</v>
          </cell>
        </row>
        <row r="779">
          <cell r="A779" t="str">
            <v>绿色战士150级手镯</v>
          </cell>
          <cell r="B779">
            <v>141116</v>
          </cell>
        </row>
        <row r="780">
          <cell r="A780" t="str">
            <v>绿色战士160级手镯</v>
          </cell>
          <cell r="B780">
            <v>141117</v>
          </cell>
        </row>
        <row r="781">
          <cell r="A781" t="str">
            <v>绿色战士170级手镯</v>
          </cell>
          <cell r="B781">
            <v>141118</v>
          </cell>
        </row>
        <row r="782">
          <cell r="A782" t="str">
            <v>绿色战士180级手镯</v>
          </cell>
          <cell r="B782">
            <v>141119</v>
          </cell>
        </row>
        <row r="783">
          <cell r="A783" t="str">
            <v>绿色战士190级手镯</v>
          </cell>
          <cell r="B783">
            <v>141120</v>
          </cell>
        </row>
        <row r="784">
          <cell r="A784" t="str">
            <v>绿色战士200级手镯</v>
          </cell>
          <cell r="B784">
            <v>141121</v>
          </cell>
        </row>
        <row r="785">
          <cell r="A785" t="str">
            <v>绿色法师1级手镯</v>
          </cell>
          <cell r="B785">
            <v>142101</v>
          </cell>
        </row>
        <row r="786">
          <cell r="A786" t="str">
            <v>绿色法师10级手镯</v>
          </cell>
          <cell r="B786">
            <v>142102</v>
          </cell>
        </row>
        <row r="787">
          <cell r="A787" t="str">
            <v>绿色法师20级手镯</v>
          </cell>
          <cell r="B787">
            <v>142103</v>
          </cell>
        </row>
        <row r="788">
          <cell r="A788" t="str">
            <v>绿色法师30级手镯</v>
          </cell>
          <cell r="B788">
            <v>142104</v>
          </cell>
        </row>
        <row r="789">
          <cell r="A789" t="str">
            <v>绿色法师40级手镯</v>
          </cell>
          <cell r="B789">
            <v>142105</v>
          </cell>
        </row>
        <row r="790">
          <cell r="A790" t="str">
            <v>绿色法师50级手镯</v>
          </cell>
          <cell r="B790">
            <v>142106</v>
          </cell>
        </row>
        <row r="791">
          <cell r="A791" t="str">
            <v>绿色法师60级手镯</v>
          </cell>
          <cell r="B791">
            <v>142107</v>
          </cell>
        </row>
        <row r="792">
          <cell r="A792" t="str">
            <v>绿色法师70级手镯</v>
          </cell>
          <cell r="B792">
            <v>142108</v>
          </cell>
        </row>
        <row r="793">
          <cell r="A793" t="str">
            <v>绿色法师80级手镯</v>
          </cell>
          <cell r="B793">
            <v>142109</v>
          </cell>
        </row>
        <row r="794">
          <cell r="A794" t="str">
            <v>绿色法师90级手镯</v>
          </cell>
          <cell r="B794">
            <v>142110</v>
          </cell>
        </row>
        <row r="795">
          <cell r="A795" t="str">
            <v>绿色法师100级手镯</v>
          </cell>
          <cell r="B795">
            <v>142111</v>
          </cell>
        </row>
        <row r="796">
          <cell r="A796" t="str">
            <v>绿色法师110级手镯</v>
          </cell>
          <cell r="B796">
            <v>142112</v>
          </cell>
        </row>
        <row r="797">
          <cell r="A797" t="str">
            <v>绿色法师120级手镯</v>
          </cell>
          <cell r="B797">
            <v>142113</v>
          </cell>
        </row>
        <row r="798">
          <cell r="A798" t="str">
            <v>绿色法师130级手镯</v>
          </cell>
          <cell r="B798">
            <v>142114</v>
          </cell>
        </row>
        <row r="799">
          <cell r="A799" t="str">
            <v>绿色法师140级手镯</v>
          </cell>
          <cell r="B799">
            <v>142115</v>
          </cell>
        </row>
        <row r="800">
          <cell r="A800" t="str">
            <v>绿色法师150级手镯</v>
          </cell>
          <cell r="B800">
            <v>142116</v>
          </cell>
        </row>
        <row r="801">
          <cell r="A801" t="str">
            <v>绿色法师160级手镯</v>
          </cell>
          <cell r="B801">
            <v>142117</v>
          </cell>
        </row>
        <row r="802">
          <cell r="A802" t="str">
            <v>绿色法师170级手镯</v>
          </cell>
          <cell r="B802">
            <v>142118</v>
          </cell>
        </row>
        <row r="803">
          <cell r="A803" t="str">
            <v>绿色法师180级手镯</v>
          </cell>
          <cell r="B803">
            <v>142119</v>
          </cell>
        </row>
        <row r="804">
          <cell r="A804" t="str">
            <v>绿色法师190级手镯</v>
          </cell>
          <cell r="B804">
            <v>142120</v>
          </cell>
        </row>
        <row r="805">
          <cell r="A805" t="str">
            <v>绿色法师200级手镯</v>
          </cell>
          <cell r="B805">
            <v>142121</v>
          </cell>
        </row>
        <row r="806">
          <cell r="A806" t="str">
            <v>绿色道士1级手镯</v>
          </cell>
          <cell r="B806">
            <v>143101</v>
          </cell>
        </row>
        <row r="807">
          <cell r="A807" t="str">
            <v>绿色道士10级手镯</v>
          </cell>
          <cell r="B807">
            <v>143102</v>
          </cell>
        </row>
        <row r="808">
          <cell r="A808" t="str">
            <v>绿色道士20级手镯</v>
          </cell>
          <cell r="B808">
            <v>143103</v>
          </cell>
        </row>
        <row r="809">
          <cell r="A809" t="str">
            <v>绿色道士30级手镯</v>
          </cell>
          <cell r="B809">
            <v>143104</v>
          </cell>
        </row>
        <row r="810">
          <cell r="A810" t="str">
            <v>绿色道士40级手镯</v>
          </cell>
          <cell r="B810">
            <v>143105</v>
          </cell>
        </row>
        <row r="811">
          <cell r="A811" t="str">
            <v>绿色道士50级手镯</v>
          </cell>
          <cell r="B811">
            <v>143106</v>
          </cell>
        </row>
        <row r="812">
          <cell r="A812" t="str">
            <v>绿色道士60级手镯</v>
          </cell>
          <cell r="B812">
            <v>143107</v>
          </cell>
        </row>
        <row r="813">
          <cell r="A813" t="str">
            <v>绿色道士70级手镯</v>
          </cell>
          <cell r="B813">
            <v>143108</v>
          </cell>
        </row>
        <row r="814">
          <cell r="A814" t="str">
            <v>绿色道士80级手镯</v>
          </cell>
          <cell r="B814">
            <v>143109</v>
          </cell>
        </row>
        <row r="815">
          <cell r="A815" t="str">
            <v>绿色道士90级手镯</v>
          </cell>
          <cell r="B815">
            <v>143110</v>
          </cell>
        </row>
        <row r="816">
          <cell r="A816" t="str">
            <v>绿色道士100级手镯</v>
          </cell>
          <cell r="B816">
            <v>143111</v>
          </cell>
        </row>
        <row r="817">
          <cell r="A817" t="str">
            <v>绿色道士110级手镯</v>
          </cell>
          <cell r="B817">
            <v>143112</v>
          </cell>
        </row>
        <row r="818">
          <cell r="A818" t="str">
            <v>绿色道士120级手镯</v>
          </cell>
          <cell r="B818">
            <v>143113</v>
          </cell>
        </row>
        <row r="819">
          <cell r="A819" t="str">
            <v>绿色道士130级手镯</v>
          </cell>
          <cell r="B819">
            <v>143114</v>
          </cell>
        </row>
        <row r="820">
          <cell r="A820" t="str">
            <v>绿色道士140级手镯</v>
          </cell>
          <cell r="B820">
            <v>143115</v>
          </cell>
        </row>
        <row r="821">
          <cell r="A821" t="str">
            <v>绿色道士150级手镯</v>
          </cell>
          <cell r="B821">
            <v>143116</v>
          </cell>
        </row>
        <row r="822">
          <cell r="A822" t="str">
            <v>绿色道士160级手镯</v>
          </cell>
          <cell r="B822">
            <v>143117</v>
          </cell>
        </row>
        <row r="823">
          <cell r="A823" t="str">
            <v>绿色道士170级手镯</v>
          </cell>
          <cell r="B823">
            <v>143118</v>
          </cell>
        </row>
        <row r="824">
          <cell r="A824" t="str">
            <v>绿色道士180级手镯</v>
          </cell>
          <cell r="B824">
            <v>143119</v>
          </cell>
        </row>
        <row r="825">
          <cell r="A825" t="str">
            <v>绿色道士190级手镯</v>
          </cell>
          <cell r="B825">
            <v>143120</v>
          </cell>
        </row>
        <row r="826">
          <cell r="A826" t="str">
            <v>绿色道士200级手镯</v>
          </cell>
          <cell r="B826">
            <v>143121</v>
          </cell>
        </row>
        <row r="827">
          <cell r="A827" t="str">
            <v>绿色战士1级腰带</v>
          </cell>
          <cell r="B827">
            <v>151101</v>
          </cell>
        </row>
        <row r="828">
          <cell r="A828" t="str">
            <v>绿色战士10级腰带</v>
          </cell>
          <cell r="B828">
            <v>151102</v>
          </cell>
        </row>
        <row r="829">
          <cell r="A829" t="str">
            <v>绿色战士20级腰带</v>
          </cell>
          <cell r="B829">
            <v>151103</v>
          </cell>
        </row>
        <row r="830">
          <cell r="A830" t="str">
            <v>绿色战士30级腰带</v>
          </cell>
          <cell r="B830">
            <v>151104</v>
          </cell>
        </row>
        <row r="831">
          <cell r="A831" t="str">
            <v>绿色战士40级腰带</v>
          </cell>
          <cell r="B831">
            <v>151105</v>
          </cell>
        </row>
        <row r="832">
          <cell r="A832" t="str">
            <v>绿色战士50级腰带</v>
          </cell>
          <cell r="B832">
            <v>151106</v>
          </cell>
        </row>
        <row r="833">
          <cell r="A833" t="str">
            <v>绿色战士60级腰带</v>
          </cell>
          <cell r="B833">
            <v>151107</v>
          </cell>
        </row>
        <row r="834">
          <cell r="A834" t="str">
            <v>绿色战士70级腰带</v>
          </cell>
          <cell r="B834">
            <v>151108</v>
          </cell>
        </row>
        <row r="835">
          <cell r="A835" t="str">
            <v>绿色战士80级腰带</v>
          </cell>
          <cell r="B835">
            <v>151109</v>
          </cell>
        </row>
        <row r="836">
          <cell r="A836" t="str">
            <v>绿色战士90级腰带</v>
          </cell>
          <cell r="B836">
            <v>151110</v>
          </cell>
        </row>
        <row r="837">
          <cell r="A837" t="str">
            <v>绿色战士100级腰带</v>
          </cell>
          <cell r="B837">
            <v>151111</v>
          </cell>
        </row>
        <row r="838">
          <cell r="A838" t="str">
            <v>绿色战士110级腰带</v>
          </cell>
          <cell r="B838">
            <v>151112</v>
          </cell>
        </row>
        <row r="839">
          <cell r="A839" t="str">
            <v>绿色战士120级腰带</v>
          </cell>
          <cell r="B839">
            <v>151113</v>
          </cell>
        </row>
        <row r="840">
          <cell r="A840" t="str">
            <v>绿色战士130级腰带</v>
          </cell>
          <cell r="B840">
            <v>151114</v>
          </cell>
        </row>
        <row r="841">
          <cell r="A841" t="str">
            <v>绿色战士140级腰带</v>
          </cell>
          <cell r="B841">
            <v>151115</v>
          </cell>
        </row>
        <row r="842">
          <cell r="A842" t="str">
            <v>绿色战士150级腰带</v>
          </cell>
          <cell r="B842">
            <v>151116</v>
          </cell>
        </row>
        <row r="843">
          <cell r="A843" t="str">
            <v>绿色战士160级腰带</v>
          </cell>
          <cell r="B843">
            <v>151117</v>
          </cell>
        </row>
        <row r="844">
          <cell r="A844" t="str">
            <v>绿色战士170级腰带</v>
          </cell>
          <cell r="B844">
            <v>151118</v>
          </cell>
        </row>
        <row r="845">
          <cell r="A845" t="str">
            <v>绿色战士180级腰带</v>
          </cell>
          <cell r="B845">
            <v>151119</v>
          </cell>
        </row>
        <row r="846">
          <cell r="A846" t="str">
            <v>绿色战士190级腰带</v>
          </cell>
          <cell r="B846">
            <v>151120</v>
          </cell>
        </row>
        <row r="847">
          <cell r="A847" t="str">
            <v>绿色战士200级腰带</v>
          </cell>
          <cell r="B847">
            <v>151121</v>
          </cell>
        </row>
        <row r="848">
          <cell r="A848" t="str">
            <v>绿色法师1级腰带</v>
          </cell>
          <cell r="B848">
            <v>152101</v>
          </cell>
        </row>
        <row r="849">
          <cell r="A849" t="str">
            <v>绿色法师10级腰带</v>
          </cell>
          <cell r="B849">
            <v>152102</v>
          </cell>
        </row>
        <row r="850">
          <cell r="A850" t="str">
            <v>绿色法师20级腰带</v>
          </cell>
          <cell r="B850">
            <v>152103</v>
          </cell>
        </row>
        <row r="851">
          <cell r="A851" t="str">
            <v>绿色法师30级腰带</v>
          </cell>
          <cell r="B851">
            <v>152104</v>
          </cell>
        </row>
        <row r="852">
          <cell r="A852" t="str">
            <v>绿色法师40级腰带</v>
          </cell>
          <cell r="B852">
            <v>152105</v>
          </cell>
        </row>
        <row r="853">
          <cell r="A853" t="str">
            <v>绿色法师50级腰带</v>
          </cell>
          <cell r="B853">
            <v>152106</v>
          </cell>
        </row>
        <row r="854">
          <cell r="A854" t="str">
            <v>绿色法师60级腰带</v>
          </cell>
          <cell r="B854">
            <v>152107</v>
          </cell>
        </row>
        <row r="855">
          <cell r="A855" t="str">
            <v>绿色法师70级腰带</v>
          </cell>
          <cell r="B855">
            <v>152108</v>
          </cell>
        </row>
        <row r="856">
          <cell r="A856" t="str">
            <v>绿色法师80级腰带</v>
          </cell>
          <cell r="B856">
            <v>152109</v>
          </cell>
        </row>
        <row r="857">
          <cell r="A857" t="str">
            <v>绿色法师90级腰带</v>
          </cell>
          <cell r="B857">
            <v>152110</v>
          </cell>
        </row>
        <row r="858">
          <cell r="A858" t="str">
            <v>绿色法师100级腰带</v>
          </cell>
          <cell r="B858">
            <v>152111</v>
          </cell>
        </row>
        <row r="859">
          <cell r="A859" t="str">
            <v>绿色法师110级腰带</v>
          </cell>
          <cell r="B859">
            <v>152112</v>
          </cell>
        </row>
        <row r="860">
          <cell r="A860" t="str">
            <v>绿色法师120级腰带</v>
          </cell>
          <cell r="B860">
            <v>152113</v>
          </cell>
        </row>
        <row r="861">
          <cell r="A861" t="str">
            <v>绿色法师130级腰带</v>
          </cell>
          <cell r="B861">
            <v>152114</v>
          </cell>
        </row>
        <row r="862">
          <cell r="A862" t="str">
            <v>绿色法师140级腰带</v>
          </cell>
          <cell r="B862">
            <v>152115</v>
          </cell>
        </row>
        <row r="863">
          <cell r="A863" t="str">
            <v>绿色法师150级腰带</v>
          </cell>
          <cell r="B863">
            <v>152116</v>
          </cell>
        </row>
        <row r="864">
          <cell r="A864" t="str">
            <v>绿色法师160级腰带</v>
          </cell>
          <cell r="B864">
            <v>152117</v>
          </cell>
        </row>
        <row r="865">
          <cell r="A865" t="str">
            <v>绿色法师170级腰带</v>
          </cell>
          <cell r="B865">
            <v>152118</v>
          </cell>
        </row>
        <row r="866">
          <cell r="A866" t="str">
            <v>绿色法师180级腰带</v>
          </cell>
          <cell r="B866">
            <v>152119</v>
          </cell>
        </row>
        <row r="867">
          <cell r="A867" t="str">
            <v>绿色法师190级腰带</v>
          </cell>
          <cell r="B867">
            <v>152120</v>
          </cell>
        </row>
        <row r="868">
          <cell r="A868" t="str">
            <v>绿色法师200级腰带</v>
          </cell>
          <cell r="B868">
            <v>152121</v>
          </cell>
        </row>
        <row r="869">
          <cell r="A869" t="str">
            <v>绿色道士1级腰带</v>
          </cell>
          <cell r="B869">
            <v>153101</v>
          </cell>
        </row>
        <row r="870">
          <cell r="A870" t="str">
            <v>绿色道士10级腰带</v>
          </cell>
          <cell r="B870">
            <v>153102</v>
          </cell>
        </row>
        <row r="871">
          <cell r="A871" t="str">
            <v>绿色道士20级腰带</v>
          </cell>
          <cell r="B871">
            <v>153103</v>
          </cell>
        </row>
        <row r="872">
          <cell r="A872" t="str">
            <v>绿色道士30级腰带</v>
          </cell>
          <cell r="B872">
            <v>153104</v>
          </cell>
        </row>
        <row r="873">
          <cell r="A873" t="str">
            <v>绿色道士40级腰带</v>
          </cell>
          <cell r="B873">
            <v>153105</v>
          </cell>
        </row>
        <row r="874">
          <cell r="A874" t="str">
            <v>绿色道士50级腰带</v>
          </cell>
          <cell r="B874">
            <v>153106</v>
          </cell>
        </row>
        <row r="875">
          <cell r="A875" t="str">
            <v>绿色道士60级腰带</v>
          </cell>
          <cell r="B875">
            <v>153107</v>
          </cell>
        </row>
        <row r="876">
          <cell r="A876" t="str">
            <v>绿色道士70级腰带</v>
          </cell>
          <cell r="B876">
            <v>153108</v>
          </cell>
        </row>
        <row r="877">
          <cell r="A877" t="str">
            <v>绿色道士80级腰带</v>
          </cell>
          <cell r="B877">
            <v>153109</v>
          </cell>
        </row>
        <row r="878">
          <cell r="A878" t="str">
            <v>绿色道士90级腰带</v>
          </cell>
          <cell r="B878">
            <v>153110</v>
          </cell>
        </row>
        <row r="879">
          <cell r="A879" t="str">
            <v>绿色道士100级腰带</v>
          </cell>
          <cell r="B879">
            <v>153111</v>
          </cell>
        </row>
        <row r="880">
          <cell r="A880" t="str">
            <v>绿色道士110级腰带</v>
          </cell>
          <cell r="B880">
            <v>153112</v>
          </cell>
        </row>
        <row r="881">
          <cell r="A881" t="str">
            <v>绿色道士120级腰带</v>
          </cell>
          <cell r="B881">
            <v>153113</v>
          </cell>
        </row>
        <row r="882">
          <cell r="A882" t="str">
            <v>绿色道士130级腰带</v>
          </cell>
          <cell r="B882">
            <v>153114</v>
          </cell>
        </row>
        <row r="883">
          <cell r="A883" t="str">
            <v>绿色道士140级腰带</v>
          </cell>
          <cell r="B883">
            <v>153115</v>
          </cell>
        </row>
        <row r="884">
          <cell r="A884" t="str">
            <v>绿色道士150级腰带</v>
          </cell>
          <cell r="B884">
            <v>153116</v>
          </cell>
        </row>
        <row r="885">
          <cell r="A885" t="str">
            <v>绿色道士160级腰带</v>
          </cell>
          <cell r="B885">
            <v>153117</v>
          </cell>
        </row>
        <row r="886">
          <cell r="A886" t="str">
            <v>绿色道士170级腰带</v>
          </cell>
          <cell r="B886">
            <v>153118</v>
          </cell>
        </row>
        <row r="887">
          <cell r="A887" t="str">
            <v>绿色道士180级腰带</v>
          </cell>
          <cell r="B887">
            <v>153119</v>
          </cell>
        </row>
        <row r="888">
          <cell r="A888" t="str">
            <v>绿色道士190级腰带</v>
          </cell>
          <cell r="B888">
            <v>153120</v>
          </cell>
        </row>
        <row r="889">
          <cell r="A889" t="str">
            <v>绿色道士200级腰带</v>
          </cell>
          <cell r="B889">
            <v>153121</v>
          </cell>
        </row>
        <row r="890">
          <cell r="A890" t="str">
            <v>绿色战士1级戒指</v>
          </cell>
          <cell r="B890">
            <v>161101</v>
          </cell>
        </row>
        <row r="891">
          <cell r="A891" t="str">
            <v>绿色战士10级戒指</v>
          </cell>
          <cell r="B891">
            <v>161102</v>
          </cell>
        </row>
        <row r="892">
          <cell r="A892" t="str">
            <v>绿色战士20级戒指</v>
          </cell>
          <cell r="B892">
            <v>161103</v>
          </cell>
        </row>
        <row r="893">
          <cell r="A893" t="str">
            <v>绿色战士30级戒指</v>
          </cell>
          <cell r="B893">
            <v>161104</v>
          </cell>
        </row>
        <row r="894">
          <cell r="A894" t="str">
            <v>绿色战士40级戒指</v>
          </cell>
          <cell r="B894">
            <v>161105</v>
          </cell>
        </row>
        <row r="895">
          <cell r="A895" t="str">
            <v>绿色战士50级戒指</v>
          </cell>
          <cell r="B895">
            <v>161106</v>
          </cell>
        </row>
        <row r="896">
          <cell r="A896" t="str">
            <v>绿色战士60级戒指</v>
          </cell>
          <cell r="B896">
            <v>161107</v>
          </cell>
        </row>
        <row r="897">
          <cell r="A897" t="str">
            <v>绿色战士70级戒指</v>
          </cell>
          <cell r="B897">
            <v>161108</v>
          </cell>
        </row>
        <row r="898">
          <cell r="A898" t="str">
            <v>绿色战士80级戒指</v>
          </cell>
          <cell r="B898">
            <v>161109</v>
          </cell>
        </row>
        <row r="899">
          <cell r="A899" t="str">
            <v>绿色战士90级戒指</v>
          </cell>
          <cell r="B899">
            <v>161110</v>
          </cell>
        </row>
        <row r="900">
          <cell r="A900" t="str">
            <v>绿色战士100级戒指</v>
          </cell>
          <cell r="B900">
            <v>161111</v>
          </cell>
        </row>
        <row r="901">
          <cell r="A901" t="str">
            <v>绿色战士110级戒指</v>
          </cell>
          <cell r="B901">
            <v>161112</v>
          </cell>
        </row>
        <row r="902">
          <cell r="A902" t="str">
            <v>绿色战士120级戒指</v>
          </cell>
          <cell r="B902">
            <v>161113</v>
          </cell>
        </row>
        <row r="903">
          <cell r="A903" t="str">
            <v>绿色战士130级戒指</v>
          </cell>
          <cell r="B903">
            <v>161114</v>
          </cell>
        </row>
        <row r="904">
          <cell r="A904" t="str">
            <v>绿色战士140级戒指</v>
          </cell>
          <cell r="B904">
            <v>161115</v>
          </cell>
        </row>
        <row r="905">
          <cell r="A905" t="str">
            <v>绿色战士150级戒指</v>
          </cell>
          <cell r="B905">
            <v>161116</v>
          </cell>
        </row>
        <row r="906">
          <cell r="A906" t="str">
            <v>绿色战士160级戒指</v>
          </cell>
          <cell r="B906">
            <v>161117</v>
          </cell>
        </row>
        <row r="907">
          <cell r="A907" t="str">
            <v>绿色战士170级戒指</v>
          </cell>
          <cell r="B907">
            <v>161118</v>
          </cell>
        </row>
        <row r="908">
          <cell r="A908" t="str">
            <v>绿色战士180级戒指</v>
          </cell>
          <cell r="B908">
            <v>161119</v>
          </cell>
        </row>
        <row r="909">
          <cell r="A909" t="str">
            <v>绿色战士190级戒指</v>
          </cell>
          <cell r="B909">
            <v>161120</v>
          </cell>
        </row>
        <row r="910">
          <cell r="A910" t="str">
            <v>绿色战士200级戒指</v>
          </cell>
          <cell r="B910">
            <v>161121</v>
          </cell>
        </row>
        <row r="911">
          <cell r="A911" t="str">
            <v>绿色法师1级戒指</v>
          </cell>
          <cell r="B911">
            <v>162101</v>
          </cell>
        </row>
        <row r="912">
          <cell r="A912" t="str">
            <v>绿色法师10级戒指</v>
          </cell>
          <cell r="B912">
            <v>162102</v>
          </cell>
        </row>
        <row r="913">
          <cell r="A913" t="str">
            <v>绿色法师20级戒指</v>
          </cell>
          <cell r="B913">
            <v>162103</v>
          </cell>
        </row>
        <row r="914">
          <cell r="A914" t="str">
            <v>绿色法师30级戒指</v>
          </cell>
          <cell r="B914">
            <v>162104</v>
          </cell>
        </row>
        <row r="915">
          <cell r="A915" t="str">
            <v>绿色法师40级戒指</v>
          </cell>
          <cell r="B915">
            <v>162105</v>
          </cell>
        </row>
        <row r="916">
          <cell r="A916" t="str">
            <v>绿色法师50级戒指</v>
          </cell>
          <cell r="B916">
            <v>162106</v>
          </cell>
        </row>
        <row r="917">
          <cell r="A917" t="str">
            <v>绿色法师60级戒指</v>
          </cell>
          <cell r="B917">
            <v>162107</v>
          </cell>
        </row>
        <row r="918">
          <cell r="A918" t="str">
            <v>绿色法师70级戒指</v>
          </cell>
          <cell r="B918">
            <v>162108</v>
          </cell>
        </row>
        <row r="919">
          <cell r="A919" t="str">
            <v>绿色法师80级戒指</v>
          </cell>
          <cell r="B919">
            <v>162109</v>
          </cell>
        </row>
        <row r="920">
          <cell r="A920" t="str">
            <v>绿色法师90级戒指</v>
          </cell>
          <cell r="B920">
            <v>162110</v>
          </cell>
        </row>
        <row r="921">
          <cell r="A921" t="str">
            <v>绿色法师100级戒指</v>
          </cell>
          <cell r="B921">
            <v>162111</v>
          </cell>
        </row>
        <row r="922">
          <cell r="A922" t="str">
            <v>绿色法师110级戒指</v>
          </cell>
          <cell r="B922">
            <v>162112</v>
          </cell>
        </row>
        <row r="923">
          <cell r="A923" t="str">
            <v>绿色法师120级戒指</v>
          </cell>
          <cell r="B923">
            <v>162113</v>
          </cell>
        </row>
        <row r="924">
          <cell r="A924" t="str">
            <v>绿色法师130级戒指</v>
          </cell>
          <cell r="B924">
            <v>162114</v>
          </cell>
        </row>
        <row r="925">
          <cell r="A925" t="str">
            <v>绿色法师140级戒指</v>
          </cell>
          <cell r="B925">
            <v>162115</v>
          </cell>
        </row>
        <row r="926">
          <cell r="A926" t="str">
            <v>绿色法师150级戒指</v>
          </cell>
          <cell r="B926">
            <v>162116</v>
          </cell>
        </row>
        <row r="927">
          <cell r="A927" t="str">
            <v>绿色法师160级戒指</v>
          </cell>
          <cell r="B927">
            <v>162117</v>
          </cell>
        </row>
        <row r="928">
          <cell r="A928" t="str">
            <v>绿色法师170级戒指</v>
          </cell>
          <cell r="B928">
            <v>162118</v>
          </cell>
        </row>
        <row r="929">
          <cell r="A929" t="str">
            <v>绿色法师180级戒指</v>
          </cell>
          <cell r="B929">
            <v>162119</v>
          </cell>
        </row>
        <row r="930">
          <cell r="A930" t="str">
            <v>绿色法师190级戒指</v>
          </cell>
          <cell r="B930">
            <v>162120</v>
          </cell>
        </row>
        <row r="931">
          <cell r="A931" t="str">
            <v>绿色法师200级戒指</v>
          </cell>
          <cell r="B931">
            <v>162121</v>
          </cell>
        </row>
        <row r="932">
          <cell r="A932" t="str">
            <v>绿色道士1级戒指</v>
          </cell>
          <cell r="B932">
            <v>163101</v>
          </cell>
        </row>
        <row r="933">
          <cell r="A933" t="str">
            <v>绿色道士10级戒指</v>
          </cell>
          <cell r="B933">
            <v>163102</v>
          </cell>
        </row>
        <row r="934">
          <cell r="A934" t="str">
            <v>绿色道士20级戒指</v>
          </cell>
          <cell r="B934">
            <v>163103</v>
          </cell>
        </row>
        <row r="935">
          <cell r="A935" t="str">
            <v>绿色道士30级戒指</v>
          </cell>
          <cell r="B935">
            <v>163104</v>
          </cell>
        </row>
        <row r="936">
          <cell r="A936" t="str">
            <v>绿色道士40级戒指</v>
          </cell>
          <cell r="B936">
            <v>163105</v>
          </cell>
        </row>
        <row r="937">
          <cell r="A937" t="str">
            <v>绿色道士50级戒指</v>
          </cell>
          <cell r="B937">
            <v>163106</v>
          </cell>
        </row>
        <row r="938">
          <cell r="A938" t="str">
            <v>绿色道士60级戒指</v>
          </cell>
          <cell r="B938">
            <v>163107</v>
          </cell>
        </row>
        <row r="939">
          <cell r="A939" t="str">
            <v>绿色道士70级戒指</v>
          </cell>
          <cell r="B939">
            <v>163108</v>
          </cell>
        </row>
        <row r="940">
          <cell r="A940" t="str">
            <v>绿色道士80级戒指</v>
          </cell>
          <cell r="B940">
            <v>163109</v>
          </cell>
        </row>
        <row r="941">
          <cell r="A941" t="str">
            <v>绿色道士90级戒指</v>
          </cell>
          <cell r="B941">
            <v>163110</v>
          </cell>
        </row>
        <row r="942">
          <cell r="A942" t="str">
            <v>绿色道士100级戒指</v>
          </cell>
          <cell r="B942">
            <v>163111</v>
          </cell>
        </row>
        <row r="943">
          <cell r="A943" t="str">
            <v>绿色道士110级戒指</v>
          </cell>
          <cell r="B943">
            <v>163112</v>
          </cell>
        </row>
        <row r="944">
          <cell r="A944" t="str">
            <v>绿色道士120级戒指</v>
          </cell>
          <cell r="B944">
            <v>163113</v>
          </cell>
        </row>
        <row r="945">
          <cell r="A945" t="str">
            <v>绿色道士130级戒指</v>
          </cell>
          <cell r="B945">
            <v>163114</v>
          </cell>
        </row>
        <row r="946">
          <cell r="A946" t="str">
            <v>绿色道士140级戒指</v>
          </cell>
          <cell r="B946">
            <v>163115</v>
          </cell>
        </row>
        <row r="947">
          <cell r="A947" t="str">
            <v>绿色道士150级戒指</v>
          </cell>
          <cell r="B947">
            <v>163116</v>
          </cell>
        </row>
        <row r="948">
          <cell r="A948" t="str">
            <v>绿色道士160级戒指</v>
          </cell>
          <cell r="B948">
            <v>163117</v>
          </cell>
        </row>
        <row r="949">
          <cell r="A949" t="str">
            <v>绿色道士170级戒指</v>
          </cell>
          <cell r="B949">
            <v>163118</v>
          </cell>
        </row>
        <row r="950">
          <cell r="A950" t="str">
            <v>绿色道士180级戒指</v>
          </cell>
          <cell r="B950">
            <v>163119</v>
          </cell>
        </row>
        <row r="951">
          <cell r="A951" t="str">
            <v>绿色道士190级戒指</v>
          </cell>
          <cell r="B951">
            <v>163120</v>
          </cell>
        </row>
        <row r="952">
          <cell r="A952" t="str">
            <v>绿色道士200级戒指</v>
          </cell>
          <cell r="B952">
            <v>163121</v>
          </cell>
        </row>
        <row r="953">
          <cell r="A953" t="str">
            <v>绿色战士1级鞋子</v>
          </cell>
          <cell r="B953">
            <v>171101</v>
          </cell>
        </row>
        <row r="954">
          <cell r="A954" t="str">
            <v>绿色战士10级鞋子</v>
          </cell>
          <cell r="B954">
            <v>171102</v>
          </cell>
        </row>
        <row r="955">
          <cell r="A955" t="str">
            <v>绿色战士20级鞋子</v>
          </cell>
          <cell r="B955">
            <v>171103</v>
          </cell>
        </row>
        <row r="956">
          <cell r="A956" t="str">
            <v>绿色战士30级鞋子</v>
          </cell>
          <cell r="B956">
            <v>171104</v>
          </cell>
        </row>
        <row r="957">
          <cell r="A957" t="str">
            <v>绿色战士40级鞋子</v>
          </cell>
          <cell r="B957">
            <v>171105</v>
          </cell>
        </row>
        <row r="958">
          <cell r="A958" t="str">
            <v>绿色战士50级鞋子</v>
          </cell>
          <cell r="B958">
            <v>171106</v>
          </cell>
        </row>
        <row r="959">
          <cell r="A959" t="str">
            <v>绿色战士60级鞋子</v>
          </cell>
          <cell r="B959">
            <v>171107</v>
          </cell>
        </row>
        <row r="960">
          <cell r="A960" t="str">
            <v>绿色战士70级鞋子</v>
          </cell>
          <cell r="B960">
            <v>171108</v>
          </cell>
        </row>
        <row r="961">
          <cell r="A961" t="str">
            <v>绿色战士80级鞋子</v>
          </cell>
          <cell r="B961">
            <v>171109</v>
          </cell>
        </row>
        <row r="962">
          <cell r="A962" t="str">
            <v>绿色战士90级鞋子</v>
          </cell>
          <cell r="B962">
            <v>171110</v>
          </cell>
        </row>
        <row r="963">
          <cell r="A963" t="str">
            <v>绿色战士100级鞋子</v>
          </cell>
          <cell r="B963">
            <v>171111</v>
          </cell>
        </row>
        <row r="964">
          <cell r="A964" t="str">
            <v>绿色战士110级鞋子</v>
          </cell>
          <cell r="B964">
            <v>171112</v>
          </cell>
        </row>
        <row r="965">
          <cell r="A965" t="str">
            <v>绿色战士120级鞋子</v>
          </cell>
          <cell r="B965">
            <v>171113</v>
          </cell>
        </row>
        <row r="966">
          <cell r="A966" t="str">
            <v>绿色战士130级鞋子</v>
          </cell>
          <cell r="B966">
            <v>171114</v>
          </cell>
        </row>
        <row r="967">
          <cell r="A967" t="str">
            <v>绿色战士140级鞋子</v>
          </cell>
          <cell r="B967">
            <v>171115</v>
          </cell>
        </row>
        <row r="968">
          <cell r="A968" t="str">
            <v>绿色战士150级鞋子</v>
          </cell>
          <cell r="B968">
            <v>171116</v>
          </cell>
        </row>
        <row r="969">
          <cell r="A969" t="str">
            <v>绿色战士160级鞋子</v>
          </cell>
          <cell r="B969">
            <v>171117</v>
          </cell>
        </row>
        <row r="970">
          <cell r="A970" t="str">
            <v>绿色战士170级鞋子</v>
          </cell>
          <cell r="B970">
            <v>171118</v>
          </cell>
        </row>
        <row r="971">
          <cell r="A971" t="str">
            <v>绿色战士180级鞋子</v>
          </cell>
          <cell r="B971">
            <v>171119</v>
          </cell>
        </row>
        <row r="972">
          <cell r="A972" t="str">
            <v>绿色战士190级鞋子</v>
          </cell>
          <cell r="B972">
            <v>171120</v>
          </cell>
        </row>
        <row r="973">
          <cell r="A973" t="str">
            <v>绿色战士200级鞋子</v>
          </cell>
          <cell r="B973">
            <v>171121</v>
          </cell>
        </row>
        <row r="974">
          <cell r="A974" t="str">
            <v>绿色法师1级鞋子</v>
          </cell>
          <cell r="B974">
            <v>172101</v>
          </cell>
        </row>
        <row r="975">
          <cell r="A975" t="str">
            <v>绿色法师10级鞋子</v>
          </cell>
          <cell r="B975">
            <v>172102</v>
          </cell>
        </row>
        <row r="976">
          <cell r="A976" t="str">
            <v>绿色法师20级鞋子</v>
          </cell>
          <cell r="B976">
            <v>172103</v>
          </cell>
        </row>
        <row r="977">
          <cell r="A977" t="str">
            <v>绿色法师30级鞋子</v>
          </cell>
          <cell r="B977">
            <v>172104</v>
          </cell>
        </row>
        <row r="978">
          <cell r="A978" t="str">
            <v>绿色法师40级鞋子</v>
          </cell>
          <cell r="B978">
            <v>172105</v>
          </cell>
        </row>
        <row r="979">
          <cell r="A979" t="str">
            <v>绿色法师50级鞋子</v>
          </cell>
          <cell r="B979">
            <v>172106</v>
          </cell>
        </row>
        <row r="980">
          <cell r="A980" t="str">
            <v>绿色法师60级鞋子</v>
          </cell>
          <cell r="B980">
            <v>172107</v>
          </cell>
        </row>
        <row r="981">
          <cell r="A981" t="str">
            <v>绿色法师70级鞋子</v>
          </cell>
          <cell r="B981">
            <v>172108</v>
          </cell>
        </row>
        <row r="982">
          <cell r="A982" t="str">
            <v>绿色法师80级鞋子</v>
          </cell>
          <cell r="B982">
            <v>172109</v>
          </cell>
        </row>
        <row r="983">
          <cell r="A983" t="str">
            <v>绿色法师90级鞋子</v>
          </cell>
          <cell r="B983">
            <v>172110</v>
          </cell>
        </row>
        <row r="984">
          <cell r="A984" t="str">
            <v>绿色法师100级鞋子</v>
          </cell>
          <cell r="B984">
            <v>172111</v>
          </cell>
        </row>
        <row r="985">
          <cell r="A985" t="str">
            <v>绿色法师110级鞋子</v>
          </cell>
          <cell r="B985">
            <v>172112</v>
          </cell>
        </row>
        <row r="986">
          <cell r="A986" t="str">
            <v>绿色法师120级鞋子</v>
          </cell>
          <cell r="B986">
            <v>172113</v>
          </cell>
        </row>
        <row r="987">
          <cell r="A987" t="str">
            <v>绿色法师130级鞋子</v>
          </cell>
          <cell r="B987">
            <v>172114</v>
          </cell>
        </row>
        <row r="988">
          <cell r="A988" t="str">
            <v>绿色法师140级鞋子</v>
          </cell>
          <cell r="B988">
            <v>172115</v>
          </cell>
        </row>
        <row r="989">
          <cell r="A989" t="str">
            <v>绿色法师150级鞋子</v>
          </cell>
          <cell r="B989">
            <v>172116</v>
          </cell>
        </row>
        <row r="990">
          <cell r="A990" t="str">
            <v>绿色法师160级鞋子</v>
          </cell>
          <cell r="B990">
            <v>172117</v>
          </cell>
        </row>
        <row r="991">
          <cell r="A991" t="str">
            <v>绿色法师170级鞋子</v>
          </cell>
          <cell r="B991">
            <v>172118</v>
          </cell>
        </row>
        <row r="992">
          <cell r="A992" t="str">
            <v>绿色法师180级鞋子</v>
          </cell>
          <cell r="B992">
            <v>172119</v>
          </cell>
        </row>
        <row r="993">
          <cell r="A993" t="str">
            <v>绿色法师190级鞋子</v>
          </cell>
          <cell r="B993">
            <v>172120</v>
          </cell>
        </row>
        <row r="994">
          <cell r="A994" t="str">
            <v>绿色法师200级鞋子</v>
          </cell>
          <cell r="B994">
            <v>172121</v>
          </cell>
        </row>
        <row r="995">
          <cell r="A995" t="str">
            <v>绿色道士1级鞋子</v>
          </cell>
          <cell r="B995">
            <v>173101</v>
          </cell>
        </row>
        <row r="996">
          <cell r="A996" t="str">
            <v>绿色道士10级鞋子</v>
          </cell>
          <cell r="B996">
            <v>173102</v>
          </cell>
        </row>
        <row r="997">
          <cell r="A997" t="str">
            <v>绿色道士20级鞋子</v>
          </cell>
          <cell r="B997">
            <v>173103</v>
          </cell>
        </row>
        <row r="998">
          <cell r="A998" t="str">
            <v>绿色道士30级鞋子</v>
          </cell>
          <cell r="B998">
            <v>173104</v>
          </cell>
        </row>
        <row r="999">
          <cell r="A999" t="str">
            <v>绿色道士40级鞋子</v>
          </cell>
          <cell r="B999">
            <v>173105</v>
          </cell>
        </row>
        <row r="1000">
          <cell r="A1000" t="str">
            <v>绿色道士50级鞋子</v>
          </cell>
          <cell r="B1000">
            <v>173106</v>
          </cell>
        </row>
        <row r="1001">
          <cell r="A1001" t="str">
            <v>绿色道士60级鞋子</v>
          </cell>
          <cell r="B1001">
            <v>173107</v>
          </cell>
        </row>
        <row r="1002">
          <cell r="A1002" t="str">
            <v>绿色道士70级鞋子</v>
          </cell>
          <cell r="B1002">
            <v>173108</v>
          </cell>
        </row>
        <row r="1003">
          <cell r="A1003" t="str">
            <v>绿色道士80级鞋子</v>
          </cell>
          <cell r="B1003">
            <v>173109</v>
          </cell>
        </row>
        <row r="1004">
          <cell r="A1004" t="str">
            <v>绿色道士90级鞋子</v>
          </cell>
          <cell r="B1004">
            <v>173110</v>
          </cell>
        </row>
        <row r="1005">
          <cell r="A1005" t="str">
            <v>绿色道士100级鞋子</v>
          </cell>
          <cell r="B1005">
            <v>173111</v>
          </cell>
        </row>
        <row r="1006">
          <cell r="A1006" t="str">
            <v>绿色道士110级鞋子</v>
          </cell>
          <cell r="B1006">
            <v>173112</v>
          </cell>
        </row>
        <row r="1007">
          <cell r="A1007" t="str">
            <v>绿色道士120级鞋子</v>
          </cell>
          <cell r="B1007">
            <v>173113</v>
          </cell>
        </row>
        <row r="1008">
          <cell r="A1008" t="str">
            <v>绿色道士130级鞋子</v>
          </cell>
          <cell r="B1008">
            <v>173114</v>
          </cell>
        </row>
        <row r="1009">
          <cell r="A1009" t="str">
            <v>绿色道士140级鞋子</v>
          </cell>
          <cell r="B1009">
            <v>173115</v>
          </cell>
        </row>
        <row r="1010">
          <cell r="A1010" t="str">
            <v>绿色道士150级鞋子</v>
          </cell>
          <cell r="B1010">
            <v>173116</v>
          </cell>
        </row>
        <row r="1011">
          <cell r="A1011" t="str">
            <v>绿色道士160级鞋子</v>
          </cell>
          <cell r="B1011">
            <v>173117</v>
          </cell>
        </row>
        <row r="1012">
          <cell r="A1012" t="str">
            <v>绿色道士170级鞋子</v>
          </cell>
          <cell r="B1012">
            <v>173118</v>
          </cell>
        </row>
        <row r="1013">
          <cell r="A1013" t="str">
            <v>绿色道士180级鞋子</v>
          </cell>
          <cell r="B1013">
            <v>173119</v>
          </cell>
        </row>
        <row r="1014">
          <cell r="A1014" t="str">
            <v>绿色道士190级鞋子</v>
          </cell>
          <cell r="B1014">
            <v>173120</v>
          </cell>
        </row>
        <row r="1015">
          <cell r="A1015" t="str">
            <v>绿色道士200级鞋子</v>
          </cell>
          <cell r="B1015">
            <v>173121</v>
          </cell>
        </row>
        <row r="1016">
          <cell r="A1016" t="str">
            <v>紫色战士1级武器</v>
          </cell>
          <cell r="B1016">
            <v>101201</v>
          </cell>
        </row>
        <row r="1017">
          <cell r="A1017" t="str">
            <v>紫色战士10级武器</v>
          </cell>
          <cell r="B1017">
            <v>101202</v>
          </cell>
        </row>
        <row r="1018">
          <cell r="A1018" t="str">
            <v>紫色战士20级武器</v>
          </cell>
          <cell r="B1018">
            <v>101203</v>
          </cell>
        </row>
        <row r="1019">
          <cell r="A1019" t="str">
            <v>紫色战士30级武器</v>
          </cell>
          <cell r="B1019">
            <v>101204</v>
          </cell>
        </row>
        <row r="1020">
          <cell r="A1020" t="str">
            <v>紫色战士40级武器</v>
          </cell>
          <cell r="B1020">
            <v>101205</v>
          </cell>
        </row>
        <row r="1021">
          <cell r="A1021" t="str">
            <v>紫色战士50级武器</v>
          </cell>
          <cell r="B1021">
            <v>101206</v>
          </cell>
        </row>
        <row r="1022">
          <cell r="A1022" t="str">
            <v>紫色战士60级武器</v>
          </cell>
          <cell r="B1022">
            <v>101207</v>
          </cell>
        </row>
        <row r="1023">
          <cell r="A1023" t="str">
            <v>紫色战士70级武器</v>
          </cell>
          <cell r="B1023">
            <v>101208</v>
          </cell>
        </row>
        <row r="1024">
          <cell r="A1024" t="str">
            <v>紫色战士80级武器</v>
          </cell>
          <cell r="B1024">
            <v>101209</v>
          </cell>
        </row>
        <row r="1025">
          <cell r="A1025" t="str">
            <v>紫色战士90级武器</v>
          </cell>
          <cell r="B1025">
            <v>101210</v>
          </cell>
        </row>
        <row r="1026">
          <cell r="A1026" t="str">
            <v>紫色战士100级武器</v>
          </cell>
          <cell r="B1026">
            <v>101211</v>
          </cell>
        </row>
        <row r="1027">
          <cell r="A1027" t="str">
            <v>紫色战士110级武器</v>
          </cell>
          <cell r="B1027">
            <v>101212</v>
          </cell>
        </row>
        <row r="1028">
          <cell r="A1028" t="str">
            <v>紫色战士120级武器</v>
          </cell>
          <cell r="B1028">
            <v>101213</v>
          </cell>
        </row>
        <row r="1029">
          <cell r="A1029" t="str">
            <v>紫色战士130级武器</v>
          </cell>
          <cell r="B1029">
            <v>101214</v>
          </cell>
        </row>
        <row r="1030">
          <cell r="A1030" t="str">
            <v>紫色战士140级武器</v>
          </cell>
          <cell r="B1030">
            <v>101215</v>
          </cell>
        </row>
        <row r="1031">
          <cell r="A1031" t="str">
            <v>紫色战士150级武器</v>
          </cell>
          <cell r="B1031">
            <v>101216</v>
          </cell>
        </row>
        <row r="1032">
          <cell r="A1032" t="str">
            <v>紫色战士160级武器</v>
          </cell>
          <cell r="B1032">
            <v>101217</v>
          </cell>
        </row>
        <row r="1033">
          <cell r="A1033" t="str">
            <v>紫色战士170级武器</v>
          </cell>
          <cell r="B1033">
            <v>101218</v>
          </cell>
        </row>
        <row r="1034">
          <cell r="A1034" t="str">
            <v>紫色战士180级武器</v>
          </cell>
          <cell r="B1034">
            <v>101219</v>
          </cell>
        </row>
        <row r="1035">
          <cell r="A1035" t="str">
            <v>紫色战士190级武器</v>
          </cell>
          <cell r="B1035">
            <v>101220</v>
          </cell>
        </row>
        <row r="1036">
          <cell r="A1036" t="str">
            <v>紫色战士200级武器</v>
          </cell>
          <cell r="B1036">
            <v>101221</v>
          </cell>
        </row>
        <row r="1037">
          <cell r="A1037" t="str">
            <v>紫色法师1级武器</v>
          </cell>
          <cell r="B1037">
            <v>102201</v>
          </cell>
        </row>
        <row r="1038">
          <cell r="A1038" t="str">
            <v>紫色法师10级武器</v>
          </cell>
          <cell r="B1038">
            <v>102202</v>
          </cell>
        </row>
        <row r="1039">
          <cell r="A1039" t="str">
            <v>紫色法师20级武器</v>
          </cell>
          <cell r="B1039">
            <v>102203</v>
          </cell>
        </row>
        <row r="1040">
          <cell r="A1040" t="str">
            <v>紫色法师30级武器</v>
          </cell>
          <cell r="B1040">
            <v>102204</v>
          </cell>
        </row>
        <row r="1041">
          <cell r="A1041" t="str">
            <v>紫色法师40级武器</v>
          </cell>
          <cell r="B1041">
            <v>102205</v>
          </cell>
        </row>
        <row r="1042">
          <cell r="A1042" t="str">
            <v>紫色法师50级武器</v>
          </cell>
          <cell r="B1042">
            <v>102206</v>
          </cell>
        </row>
        <row r="1043">
          <cell r="A1043" t="str">
            <v>紫色法师60级武器</v>
          </cell>
          <cell r="B1043">
            <v>102207</v>
          </cell>
        </row>
        <row r="1044">
          <cell r="A1044" t="str">
            <v>紫色法师70级武器</v>
          </cell>
          <cell r="B1044">
            <v>102208</v>
          </cell>
        </row>
        <row r="1045">
          <cell r="A1045" t="str">
            <v>紫色法师80级武器</v>
          </cell>
          <cell r="B1045">
            <v>102209</v>
          </cell>
        </row>
        <row r="1046">
          <cell r="A1046" t="str">
            <v>紫色法师90级武器</v>
          </cell>
          <cell r="B1046">
            <v>102210</v>
          </cell>
        </row>
        <row r="1047">
          <cell r="A1047" t="str">
            <v>紫色法师100级武器</v>
          </cell>
          <cell r="B1047">
            <v>102211</v>
          </cell>
        </row>
        <row r="1048">
          <cell r="A1048" t="str">
            <v>紫色法师110级武器</v>
          </cell>
          <cell r="B1048">
            <v>102212</v>
          </cell>
        </row>
        <row r="1049">
          <cell r="A1049" t="str">
            <v>紫色法师120级武器</v>
          </cell>
          <cell r="B1049">
            <v>102213</v>
          </cell>
        </row>
        <row r="1050">
          <cell r="A1050" t="str">
            <v>紫色法师130级武器</v>
          </cell>
          <cell r="B1050">
            <v>102214</v>
          </cell>
        </row>
        <row r="1051">
          <cell r="A1051" t="str">
            <v>紫色法师140级武器</v>
          </cell>
          <cell r="B1051">
            <v>102215</v>
          </cell>
        </row>
        <row r="1052">
          <cell r="A1052" t="str">
            <v>紫色法师150级武器</v>
          </cell>
          <cell r="B1052">
            <v>102216</v>
          </cell>
        </row>
        <row r="1053">
          <cell r="A1053" t="str">
            <v>紫色法师160级武器</v>
          </cell>
          <cell r="B1053">
            <v>102217</v>
          </cell>
        </row>
        <row r="1054">
          <cell r="A1054" t="str">
            <v>紫色法师170级武器</v>
          </cell>
          <cell r="B1054">
            <v>102218</v>
          </cell>
        </row>
        <row r="1055">
          <cell r="A1055" t="str">
            <v>紫色法师180级武器</v>
          </cell>
          <cell r="B1055">
            <v>102219</v>
          </cell>
        </row>
        <row r="1056">
          <cell r="A1056" t="str">
            <v>紫色法师190级武器</v>
          </cell>
          <cell r="B1056">
            <v>102220</v>
          </cell>
        </row>
        <row r="1057">
          <cell r="A1057" t="str">
            <v>紫色法师200级武器</v>
          </cell>
          <cell r="B1057">
            <v>102221</v>
          </cell>
        </row>
        <row r="1058">
          <cell r="A1058" t="str">
            <v>紫色道士1级武器</v>
          </cell>
          <cell r="B1058">
            <v>103201</v>
          </cell>
        </row>
        <row r="1059">
          <cell r="A1059" t="str">
            <v>紫色道士10级武器</v>
          </cell>
          <cell r="B1059">
            <v>103202</v>
          </cell>
        </row>
        <row r="1060">
          <cell r="A1060" t="str">
            <v>紫色道士20级武器</v>
          </cell>
          <cell r="B1060">
            <v>103203</v>
          </cell>
        </row>
        <row r="1061">
          <cell r="A1061" t="str">
            <v>紫色道士30级武器</v>
          </cell>
          <cell r="B1061">
            <v>103204</v>
          </cell>
        </row>
        <row r="1062">
          <cell r="A1062" t="str">
            <v>紫色道士40级武器</v>
          </cell>
          <cell r="B1062">
            <v>103205</v>
          </cell>
        </row>
        <row r="1063">
          <cell r="A1063" t="str">
            <v>紫色道士50级武器</v>
          </cell>
          <cell r="B1063">
            <v>103206</v>
          </cell>
        </row>
        <row r="1064">
          <cell r="A1064" t="str">
            <v>紫色道士60级武器</v>
          </cell>
          <cell r="B1064">
            <v>103207</v>
          </cell>
        </row>
        <row r="1065">
          <cell r="A1065" t="str">
            <v>紫色道士70级武器</v>
          </cell>
          <cell r="B1065">
            <v>103208</v>
          </cell>
        </row>
        <row r="1066">
          <cell r="A1066" t="str">
            <v>紫色道士80级武器</v>
          </cell>
          <cell r="B1066">
            <v>103209</v>
          </cell>
        </row>
        <row r="1067">
          <cell r="A1067" t="str">
            <v>紫色道士90级武器</v>
          </cell>
          <cell r="B1067">
            <v>103210</v>
          </cell>
        </row>
        <row r="1068">
          <cell r="A1068" t="str">
            <v>紫色道士100级武器</v>
          </cell>
          <cell r="B1068">
            <v>103211</v>
          </cell>
        </row>
        <row r="1069">
          <cell r="A1069" t="str">
            <v>紫色道士110级武器</v>
          </cell>
          <cell r="B1069">
            <v>103212</v>
          </cell>
        </row>
        <row r="1070">
          <cell r="A1070" t="str">
            <v>紫色道士120级武器</v>
          </cell>
          <cell r="B1070">
            <v>103213</v>
          </cell>
        </row>
        <row r="1071">
          <cell r="A1071" t="str">
            <v>紫色道士130级武器</v>
          </cell>
          <cell r="B1071">
            <v>103214</v>
          </cell>
        </row>
        <row r="1072">
          <cell r="A1072" t="str">
            <v>紫色道士140级武器</v>
          </cell>
          <cell r="B1072">
            <v>103215</v>
          </cell>
        </row>
        <row r="1073">
          <cell r="A1073" t="str">
            <v>紫色道士150级武器</v>
          </cell>
          <cell r="B1073">
            <v>103216</v>
          </cell>
        </row>
        <row r="1074">
          <cell r="A1074" t="str">
            <v>紫色道士160级武器</v>
          </cell>
          <cell r="B1074">
            <v>103217</v>
          </cell>
        </row>
        <row r="1075">
          <cell r="A1075" t="str">
            <v>紫色道士170级武器</v>
          </cell>
          <cell r="B1075">
            <v>103218</v>
          </cell>
        </row>
        <row r="1076">
          <cell r="A1076" t="str">
            <v>紫色道士180级武器</v>
          </cell>
          <cell r="B1076">
            <v>103219</v>
          </cell>
        </row>
        <row r="1077">
          <cell r="A1077" t="str">
            <v>紫色道士190级武器</v>
          </cell>
          <cell r="B1077">
            <v>103220</v>
          </cell>
        </row>
        <row r="1078">
          <cell r="A1078" t="str">
            <v>紫色道士200级武器</v>
          </cell>
          <cell r="B1078">
            <v>103221</v>
          </cell>
        </row>
        <row r="1079">
          <cell r="A1079" t="str">
            <v>紫色战士1级头盔</v>
          </cell>
          <cell r="B1079">
            <v>111201</v>
          </cell>
        </row>
        <row r="1080">
          <cell r="A1080" t="str">
            <v>紫色战士10级头盔</v>
          </cell>
          <cell r="B1080">
            <v>111202</v>
          </cell>
        </row>
        <row r="1081">
          <cell r="A1081" t="str">
            <v>紫色战士20级头盔</v>
          </cell>
          <cell r="B1081">
            <v>111203</v>
          </cell>
        </row>
        <row r="1082">
          <cell r="A1082" t="str">
            <v>紫色战士30级头盔</v>
          </cell>
          <cell r="B1082">
            <v>111204</v>
          </cell>
        </row>
        <row r="1083">
          <cell r="A1083" t="str">
            <v>紫色战士40级头盔</v>
          </cell>
          <cell r="B1083">
            <v>111205</v>
          </cell>
        </row>
        <row r="1084">
          <cell r="A1084" t="str">
            <v>紫色战士50级头盔</v>
          </cell>
          <cell r="B1084">
            <v>111206</v>
          </cell>
        </row>
        <row r="1085">
          <cell r="A1085" t="str">
            <v>紫色战士60级头盔</v>
          </cell>
          <cell r="B1085">
            <v>111207</v>
          </cell>
        </row>
        <row r="1086">
          <cell r="A1086" t="str">
            <v>紫色战士70级头盔</v>
          </cell>
          <cell r="B1086">
            <v>111208</v>
          </cell>
        </row>
        <row r="1087">
          <cell r="A1087" t="str">
            <v>紫色战士80级头盔</v>
          </cell>
          <cell r="B1087">
            <v>111209</v>
          </cell>
        </row>
        <row r="1088">
          <cell r="A1088" t="str">
            <v>紫色战士90级头盔</v>
          </cell>
          <cell r="B1088">
            <v>111210</v>
          </cell>
        </row>
        <row r="1089">
          <cell r="A1089" t="str">
            <v>紫色战士100级头盔</v>
          </cell>
          <cell r="B1089">
            <v>111211</v>
          </cell>
        </row>
        <row r="1090">
          <cell r="A1090" t="str">
            <v>紫色战士110级头盔</v>
          </cell>
          <cell r="B1090">
            <v>111212</v>
          </cell>
        </row>
        <row r="1091">
          <cell r="A1091" t="str">
            <v>紫色战士120级头盔</v>
          </cell>
          <cell r="B1091">
            <v>111213</v>
          </cell>
        </row>
        <row r="1092">
          <cell r="A1092" t="str">
            <v>紫色战士130级头盔</v>
          </cell>
          <cell r="B1092">
            <v>111214</v>
          </cell>
        </row>
        <row r="1093">
          <cell r="A1093" t="str">
            <v>紫色战士140级头盔</v>
          </cell>
          <cell r="B1093">
            <v>111215</v>
          </cell>
        </row>
        <row r="1094">
          <cell r="A1094" t="str">
            <v>紫色战士150级头盔</v>
          </cell>
          <cell r="B1094">
            <v>111216</v>
          </cell>
        </row>
        <row r="1095">
          <cell r="A1095" t="str">
            <v>紫色战士160级头盔</v>
          </cell>
          <cell r="B1095">
            <v>111217</v>
          </cell>
        </row>
        <row r="1096">
          <cell r="A1096" t="str">
            <v>紫色战士170级头盔</v>
          </cell>
          <cell r="B1096">
            <v>111218</v>
          </cell>
        </row>
        <row r="1097">
          <cell r="A1097" t="str">
            <v>紫色战士180级头盔</v>
          </cell>
          <cell r="B1097">
            <v>111219</v>
          </cell>
        </row>
        <row r="1098">
          <cell r="A1098" t="str">
            <v>紫色战士190级头盔</v>
          </cell>
          <cell r="B1098">
            <v>111220</v>
          </cell>
        </row>
        <row r="1099">
          <cell r="A1099" t="str">
            <v>紫色战士200级头盔</v>
          </cell>
          <cell r="B1099">
            <v>111221</v>
          </cell>
        </row>
        <row r="1100">
          <cell r="A1100" t="str">
            <v>紫色法师1级头盔</v>
          </cell>
          <cell r="B1100">
            <v>112201</v>
          </cell>
        </row>
        <row r="1101">
          <cell r="A1101" t="str">
            <v>紫色法师10级头盔</v>
          </cell>
          <cell r="B1101">
            <v>112202</v>
          </cell>
        </row>
        <row r="1102">
          <cell r="A1102" t="str">
            <v>紫色法师20级头盔</v>
          </cell>
          <cell r="B1102">
            <v>112203</v>
          </cell>
        </row>
        <row r="1103">
          <cell r="A1103" t="str">
            <v>紫色法师30级头盔</v>
          </cell>
          <cell r="B1103">
            <v>112204</v>
          </cell>
        </row>
        <row r="1104">
          <cell r="A1104" t="str">
            <v>紫色法师40级头盔</v>
          </cell>
          <cell r="B1104">
            <v>112205</v>
          </cell>
        </row>
        <row r="1105">
          <cell r="A1105" t="str">
            <v>紫色法师50级头盔</v>
          </cell>
          <cell r="B1105">
            <v>112206</v>
          </cell>
        </row>
        <row r="1106">
          <cell r="A1106" t="str">
            <v>紫色法师60级头盔</v>
          </cell>
          <cell r="B1106">
            <v>112207</v>
          </cell>
        </row>
        <row r="1107">
          <cell r="A1107" t="str">
            <v>紫色法师70级头盔</v>
          </cell>
          <cell r="B1107">
            <v>112208</v>
          </cell>
        </row>
        <row r="1108">
          <cell r="A1108" t="str">
            <v>紫色法师80级头盔</v>
          </cell>
          <cell r="B1108">
            <v>112209</v>
          </cell>
        </row>
        <row r="1109">
          <cell r="A1109" t="str">
            <v>紫色法师90级头盔</v>
          </cell>
          <cell r="B1109">
            <v>112210</v>
          </cell>
        </row>
        <row r="1110">
          <cell r="A1110" t="str">
            <v>紫色法师100级头盔</v>
          </cell>
          <cell r="B1110">
            <v>112211</v>
          </cell>
        </row>
        <row r="1111">
          <cell r="A1111" t="str">
            <v>紫色法师110级头盔</v>
          </cell>
          <cell r="B1111">
            <v>112212</v>
          </cell>
        </row>
        <row r="1112">
          <cell r="A1112" t="str">
            <v>紫色法师120级头盔</v>
          </cell>
          <cell r="B1112">
            <v>112213</v>
          </cell>
        </row>
        <row r="1113">
          <cell r="A1113" t="str">
            <v>紫色法师130级头盔</v>
          </cell>
          <cell r="B1113">
            <v>112214</v>
          </cell>
        </row>
        <row r="1114">
          <cell r="A1114" t="str">
            <v>紫色法师140级头盔</v>
          </cell>
          <cell r="B1114">
            <v>112215</v>
          </cell>
        </row>
        <row r="1115">
          <cell r="A1115" t="str">
            <v>紫色法师150级头盔</v>
          </cell>
          <cell r="B1115">
            <v>112216</v>
          </cell>
        </row>
        <row r="1116">
          <cell r="A1116" t="str">
            <v>紫色法师160级头盔</v>
          </cell>
          <cell r="B1116">
            <v>112217</v>
          </cell>
        </row>
        <row r="1117">
          <cell r="A1117" t="str">
            <v>紫色法师170级头盔</v>
          </cell>
          <cell r="B1117">
            <v>112218</v>
          </cell>
        </row>
        <row r="1118">
          <cell r="A1118" t="str">
            <v>紫色法师180级头盔</v>
          </cell>
          <cell r="B1118">
            <v>112219</v>
          </cell>
        </row>
        <row r="1119">
          <cell r="A1119" t="str">
            <v>紫色法师190级头盔</v>
          </cell>
          <cell r="B1119">
            <v>112220</v>
          </cell>
        </row>
        <row r="1120">
          <cell r="A1120" t="str">
            <v>紫色法师200级头盔</v>
          </cell>
          <cell r="B1120">
            <v>112221</v>
          </cell>
        </row>
        <row r="1121">
          <cell r="A1121" t="str">
            <v>紫色道士1级头盔</v>
          </cell>
          <cell r="B1121">
            <v>113201</v>
          </cell>
        </row>
        <row r="1122">
          <cell r="A1122" t="str">
            <v>紫色道士10级头盔</v>
          </cell>
          <cell r="B1122">
            <v>113202</v>
          </cell>
        </row>
        <row r="1123">
          <cell r="A1123" t="str">
            <v>紫色道士20级头盔</v>
          </cell>
          <cell r="B1123">
            <v>113203</v>
          </cell>
        </row>
        <row r="1124">
          <cell r="A1124" t="str">
            <v>紫色道士30级头盔</v>
          </cell>
          <cell r="B1124">
            <v>113204</v>
          </cell>
        </row>
        <row r="1125">
          <cell r="A1125" t="str">
            <v>紫色道士40级头盔</v>
          </cell>
          <cell r="B1125">
            <v>113205</v>
          </cell>
        </row>
        <row r="1126">
          <cell r="A1126" t="str">
            <v>紫色道士50级头盔</v>
          </cell>
          <cell r="B1126">
            <v>113206</v>
          </cell>
        </row>
        <row r="1127">
          <cell r="A1127" t="str">
            <v>紫色道士60级头盔</v>
          </cell>
          <cell r="B1127">
            <v>113207</v>
          </cell>
        </row>
        <row r="1128">
          <cell r="A1128" t="str">
            <v>紫色道士70级头盔</v>
          </cell>
          <cell r="B1128">
            <v>113208</v>
          </cell>
        </row>
        <row r="1129">
          <cell r="A1129" t="str">
            <v>紫色道士80级头盔</v>
          </cell>
          <cell r="B1129">
            <v>113209</v>
          </cell>
        </row>
        <row r="1130">
          <cell r="A1130" t="str">
            <v>紫色道士90级头盔</v>
          </cell>
          <cell r="B1130">
            <v>113210</v>
          </cell>
        </row>
        <row r="1131">
          <cell r="A1131" t="str">
            <v>紫色道士100级头盔</v>
          </cell>
          <cell r="B1131">
            <v>113211</v>
          </cell>
        </row>
        <row r="1132">
          <cell r="A1132" t="str">
            <v>紫色道士110级头盔</v>
          </cell>
          <cell r="B1132">
            <v>113212</v>
          </cell>
        </row>
        <row r="1133">
          <cell r="A1133" t="str">
            <v>紫色道士120级头盔</v>
          </cell>
          <cell r="B1133">
            <v>113213</v>
          </cell>
        </row>
        <row r="1134">
          <cell r="A1134" t="str">
            <v>紫色道士130级头盔</v>
          </cell>
          <cell r="B1134">
            <v>113214</v>
          </cell>
        </row>
        <row r="1135">
          <cell r="A1135" t="str">
            <v>紫色道士140级头盔</v>
          </cell>
          <cell r="B1135">
            <v>113215</v>
          </cell>
        </row>
        <row r="1136">
          <cell r="A1136" t="str">
            <v>紫色道士150级头盔</v>
          </cell>
          <cell r="B1136">
            <v>113216</v>
          </cell>
        </row>
        <row r="1137">
          <cell r="A1137" t="str">
            <v>紫色道士160级头盔</v>
          </cell>
          <cell r="B1137">
            <v>113217</v>
          </cell>
        </row>
        <row r="1138">
          <cell r="A1138" t="str">
            <v>紫色道士170级头盔</v>
          </cell>
          <cell r="B1138">
            <v>113218</v>
          </cell>
        </row>
        <row r="1139">
          <cell r="A1139" t="str">
            <v>紫色道士180级头盔</v>
          </cell>
          <cell r="B1139">
            <v>113219</v>
          </cell>
        </row>
        <row r="1140">
          <cell r="A1140" t="str">
            <v>紫色道士190级头盔</v>
          </cell>
          <cell r="B1140">
            <v>113220</v>
          </cell>
        </row>
        <row r="1141">
          <cell r="A1141" t="str">
            <v>紫色道士200级头盔</v>
          </cell>
          <cell r="B1141">
            <v>113221</v>
          </cell>
        </row>
        <row r="1142">
          <cell r="A1142" t="str">
            <v>紫色战士1级衣服</v>
          </cell>
          <cell r="B1142">
            <v>121201</v>
          </cell>
        </row>
        <row r="1143">
          <cell r="A1143" t="str">
            <v>紫色战士10级衣服</v>
          </cell>
          <cell r="B1143">
            <v>121202</v>
          </cell>
        </row>
        <row r="1144">
          <cell r="A1144" t="str">
            <v>紫色战士20级衣服</v>
          </cell>
          <cell r="B1144">
            <v>121203</v>
          </cell>
        </row>
        <row r="1145">
          <cell r="A1145" t="str">
            <v>紫色战士30级衣服</v>
          </cell>
          <cell r="B1145">
            <v>121204</v>
          </cell>
        </row>
        <row r="1146">
          <cell r="A1146" t="str">
            <v>紫色战士40级衣服</v>
          </cell>
          <cell r="B1146">
            <v>121205</v>
          </cell>
        </row>
        <row r="1147">
          <cell r="A1147" t="str">
            <v>紫色战士50级衣服</v>
          </cell>
          <cell r="B1147">
            <v>121206</v>
          </cell>
        </row>
        <row r="1148">
          <cell r="A1148" t="str">
            <v>紫色战士60级衣服</v>
          </cell>
          <cell r="B1148">
            <v>121207</v>
          </cell>
        </row>
        <row r="1149">
          <cell r="A1149" t="str">
            <v>紫色战士70级衣服</v>
          </cell>
          <cell r="B1149">
            <v>121208</v>
          </cell>
        </row>
        <row r="1150">
          <cell r="A1150" t="str">
            <v>紫色战士80级衣服</v>
          </cell>
          <cell r="B1150">
            <v>121209</v>
          </cell>
        </row>
        <row r="1151">
          <cell r="A1151" t="str">
            <v>紫色战士90级衣服</v>
          </cell>
          <cell r="B1151">
            <v>121210</v>
          </cell>
        </row>
        <row r="1152">
          <cell r="A1152" t="str">
            <v>紫色战士100级衣服</v>
          </cell>
          <cell r="B1152">
            <v>121211</v>
          </cell>
        </row>
        <row r="1153">
          <cell r="A1153" t="str">
            <v>紫色战士110级衣服</v>
          </cell>
          <cell r="B1153">
            <v>121212</v>
          </cell>
        </row>
        <row r="1154">
          <cell r="A1154" t="str">
            <v>紫色战士120级衣服</v>
          </cell>
          <cell r="B1154">
            <v>121213</v>
          </cell>
        </row>
        <row r="1155">
          <cell r="A1155" t="str">
            <v>紫色战士130级衣服</v>
          </cell>
          <cell r="B1155">
            <v>121214</v>
          </cell>
        </row>
        <row r="1156">
          <cell r="A1156" t="str">
            <v>紫色战士140级衣服</v>
          </cell>
          <cell r="B1156">
            <v>121215</v>
          </cell>
        </row>
        <row r="1157">
          <cell r="A1157" t="str">
            <v>紫色战士150级衣服</v>
          </cell>
          <cell r="B1157">
            <v>121216</v>
          </cell>
        </row>
        <row r="1158">
          <cell r="A1158" t="str">
            <v>紫色战士160级衣服</v>
          </cell>
          <cell r="B1158">
            <v>121217</v>
          </cell>
        </row>
        <row r="1159">
          <cell r="A1159" t="str">
            <v>紫色战士170级衣服</v>
          </cell>
          <cell r="B1159">
            <v>121218</v>
          </cell>
        </row>
        <row r="1160">
          <cell r="A1160" t="str">
            <v>紫色战士180级衣服</v>
          </cell>
          <cell r="B1160">
            <v>121219</v>
          </cell>
        </row>
        <row r="1161">
          <cell r="A1161" t="str">
            <v>紫色战士190级衣服</v>
          </cell>
          <cell r="B1161">
            <v>121220</v>
          </cell>
        </row>
        <row r="1162">
          <cell r="A1162" t="str">
            <v>紫色战士200级衣服</v>
          </cell>
          <cell r="B1162">
            <v>121221</v>
          </cell>
        </row>
        <row r="1163">
          <cell r="A1163" t="str">
            <v>紫色法师1级衣服</v>
          </cell>
          <cell r="B1163">
            <v>122201</v>
          </cell>
        </row>
        <row r="1164">
          <cell r="A1164" t="str">
            <v>紫色法师10级衣服</v>
          </cell>
          <cell r="B1164">
            <v>122202</v>
          </cell>
        </row>
        <row r="1165">
          <cell r="A1165" t="str">
            <v>紫色法师20级衣服</v>
          </cell>
          <cell r="B1165">
            <v>122203</v>
          </cell>
        </row>
        <row r="1166">
          <cell r="A1166" t="str">
            <v>紫色法师30级衣服</v>
          </cell>
          <cell r="B1166">
            <v>122204</v>
          </cell>
        </row>
        <row r="1167">
          <cell r="A1167" t="str">
            <v>紫色法师40级衣服</v>
          </cell>
          <cell r="B1167">
            <v>122205</v>
          </cell>
        </row>
        <row r="1168">
          <cell r="A1168" t="str">
            <v>紫色法师50级衣服</v>
          </cell>
          <cell r="B1168">
            <v>122206</v>
          </cell>
        </row>
        <row r="1169">
          <cell r="A1169" t="str">
            <v>紫色法师60级衣服</v>
          </cell>
          <cell r="B1169">
            <v>122207</v>
          </cell>
        </row>
        <row r="1170">
          <cell r="A1170" t="str">
            <v>紫色法师70级衣服</v>
          </cell>
          <cell r="B1170">
            <v>122208</v>
          </cell>
        </row>
        <row r="1171">
          <cell r="A1171" t="str">
            <v>紫色法师80级衣服</v>
          </cell>
          <cell r="B1171">
            <v>122209</v>
          </cell>
        </row>
        <row r="1172">
          <cell r="A1172" t="str">
            <v>紫色法师90级衣服</v>
          </cell>
          <cell r="B1172">
            <v>122210</v>
          </cell>
        </row>
        <row r="1173">
          <cell r="A1173" t="str">
            <v>紫色法师100级衣服</v>
          </cell>
          <cell r="B1173">
            <v>122211</v>
          </cell>
        </row>
        <row r="1174">
          <cell r="A1174" t="str">
            <v>紫色法师110级衣服</v>
          </cell>
          <cell r="B1174">
            <v>122212</v>
          </cell>
        </row>
        <row r="1175">
          <cell r="A1175" t="str">
            <v>紫色法师120级衣服</v>
          </cell>
          <cell r="B1175">
            <v>122213</v>
          </cell>
        </row>
        <row r="1176">
          <cell r="A1176" t="str">
            <v>紫色法师130级衣服</v>
          </cell>
          <cell r="B1176">
            <v>122214</v>
          </cell>
        </row>
        <row r="1177">
          <cell r="A1177" t="str">
            <v>紫色法师140级衣服</v>
          </cell>
          <cell r="B1177">
            <v>122215</v>
          </cell>
        </row>
        <row r="1178">
          <cell r="A1178" t="str">
            <v>紫色法师150级衣服</v>
          </cell>
          <cell r="B1178">
            <v>122216</v>
          </cell>
        </row>
        <row r="1179">
          <cell r="A1179" t="str">
            <v>紫色法师160级衣服</v>
          </cell>
          <cell r="B1179">
            <v>122217</v>
          </cell>
        </row>
        <row r="1180">
          <cell r="A1180" t="str">
            <v>紫色法师170级衣服</v>
          </cell>
          <cell r="B1180">
            <v>122218</v>
          </cell>
        </row>
        <row r="1181">
          <cell r="A1181" t="str">
            <v>紫色法师180级衣服</v>
          </cell>
          <cell r="B1181">
            <v>122219</v>
          </cell>
        </row>
        <row r="1182">
          <cell r="A1182" t="str">
            <v>紫色法师190级衣服</v>
          </cell>
          <cell r="B1182">
            <v>122220</v>
          </cell>
        </row>
        <row r="1183">
          <cell r="A1183" t="str">
            <v>紫色法师200级衣服</v>
          </cell>
          <cell r="B1183">
            <v>122221</v>
          </cell>
        </row>
        <row r="1184">
          <cell r="A1184" t="str">
            <v>紫色道士1级衣服</v>
          </cell>
          <cell r="B1184">
            <v>123201</v>
          </cell>
        </row>
        <row r="1185">
          <cell r="A1185" t="str">
            <v>紫色道士10级衣服</v>
          </cell>
          <cell r="B1185">
            <v>123202</v>
          </cell>
        </row>
        <row r="1186">
          <cell r="A1186" t="str">
            <v>紫色道士20级衣服</v>
          </cell>
          <cell r="B1186">
            <v>123203</v>
          </cell>
        </row>
        <row r="1187">
          <cell r="A1187" t="str">
            <v>紫色道士30级衣服</v>
          </cell>
          <cell r="B1187">
            <v>123204</v>
          </cell>
        </row>
        <row r="1188">
          <cell r="A1188" t="str">
            <v>紫色道士40级衣服</v>
          </cell>
          <cell r="B1188">
            <v>123205</v>
          </cell>
        </row>
        <row r="1189">
          <cell r="A1189" t="str">
            <v>紫色道士50级衣服</v>
          </cell>
          <cell r="B1189">
            <v>123206</v>
          </cell>
        </row>
        <row r="1190">
          <cell r="A1190" t="str">
            <v>紫色道士60级衣服</v>
          </cell>
          <cell r="B1190">
            <v>123207</v>
          </cell>
        </row>
        <row r="1191">
          <cell r="A1191" t="str">
            <v>紫色道士70级衣服</v>
          </cell>
          <cell r="B1191">
            <v>123208</v>
          </cell>
        </row>
        <row r="1192">
          <cell r="A1192" t="str">
            <v>紫色道士80级衣服</v>
          </cell>
          <cell r="B1192">
            <v>123209</v>
          </cell>
        </row>
        <row r="1193">
          <cell r="A1193" t="str">
            <v>紫色道士90级衣服</v>
          </cell>
          <cell r="B1193">
            <v>123210</v>
          </cell>
        </row>
        <row r="1194">
          <cell r="A1194" t="str">
            <v>紫色道士100级衣服</v>
          </cell>
          <cell r="B1194">
            <v>123211</v>
          </cell>
        </row>
        <row r="1195">
          <cell r="A1195" t="str">
            <v>紫色道士110级衣服</v>
          </cell>
          <cell r="B1195">
            <v>123212</v>
          </cell>
        </row>
        <row r="1196">
          <cell r="A1196" t="str">
            <v>紫色道士120级衣服</v>
          </cell>
          <cell r="B1196">
            <v>123213</v>
          </cell>
        </row>
        <row r="1197">
          <cell r="A1197" t="str">
            <v>紫色道士130级衣服</v>
          </cell>
          <cell r="B1197">
            <v>123214</v>
          </cell>
        </row>
        <row r="1198">
          <cell r="A1198" t="str">
            <v>紫色道士140级衣服</v>
          </cell>
          <cell r="B1198">
            <v>123215</v>
          </cell>
        </row>
        <row r="1199">
          <cell r="A1199" t="str">
            <v>紫色道士150级衣服</v>
          </cell>
          <cell r="B1199">
            <v>123216</v>
          </cell>
        </row>
        <row r="1200">
          <cell r="A1200" t="str">
            <v>紫色道士160级衣服</v>
          </cell>
          <cell r="B1200">
            <v>123217</v>
          </cell>
        </row>
        <row r="1201">
          <cell r="A1201" t="str">
            <v>紫色道士170级衣服</v>
          </cell>
          <cell r="B1201">
            <v>123218</v>
          </cell>
        </row>
        <row r="1202">
          <cell r="A1202" t="str">
            <v>紫色道士180级衣服</v>
          </cell>
          <cell r="B1202">
            <v>123219</v>
          </cell>
        </row>
        <row r="1203">
          <cell r="A1203" t="str">
            <v>紫色道士190级衣服</v>
          </cell>
          <cell r="B1203">
            <v>123220</v>
          </cell>
        </row>
        <row r="1204">
          <cell r="A1204" t="str">
            <v>紫色道士200级衣服</v>
          </cell>
          <cell r="B1204">
            <v>123221</v>
          </cell>
        </row>
        <row r="1205">
          <cell r="A1205" t="str">
            <v>紫色战士1级项链</v>
          </cell>
          <cell r="B1205">
            <v>131201</v>
          </cell>
        </row>
        <row r="1206">
          <cell r="A1206" t="str">
            <v>紫色战士10级项链</v>
          </cell>
          <cell r="B1206">
            <v>131202</v>
          </cell>
        </row>
        <row r="1207">
          <cell r="A1207" t="str">
            <v>紫色战士20级项链</v>
          </cell>
          <cell r="B1207">
            <v>131203</v>
          </cell>
        </row>
        <row r="1208">
          <cell r="A1208" t="str">
            <v>紫色战士30级项链</v>
          </cell>
          <cell r="B1208">
            <v>131204</v>
          </cell>
        </row>
        <row r="1209">
          <cell r="A1209" t="str">
            <v>紫色战士40级项链</v>
          </cell>
          <cell r="B1209">
            <v>131205</v>
          </cell>
        </row>
        <row r="1210">
          <cell r="A1210" t="str">
            <v>紫色战士50级项链</v>
          </cell>
          <cell r="B1210">
            <v>131206</v>
          </cell>
        </row>
        <row r="1211">
          <cell r="A1211" t="str">
            <v>紫色战士60级项链</v>
          </cell>
          <cell r="B1211">
            <v>131207</v>
          </cell>
        </row>
        <row r="1212">
          <cell r="A1212" t="str">
            <v>紫色战士70级项链</v>
          </cell>
          <cell r="B1212">
            <v>131208</v>
          </cell>
        </row>
        <row r="1213">
          <cell r="A1213" t="str">
            <v>紫色战士80级项链</v>
          </cell>
          <cell r="B1213">
            <v>131209</v>
          </cell>
        </row>
        <row r="1214">
          <cell r="A1214" t="str">
            <v>紫色战士90级项链</v>
          </cell>
          <cell r="B1214">
            <v>131210</v>
          </cell>
        </row>
        <row r="1215">
          <cell r="A1215" t="str">
            <v>紫色战士100级项链</v>
          </cell>
          <cell r="B1215">
            <v>131211</v>
          </cell>
        </row>
        <row r="1216">
          <cell r="A1216" t="str">
            <v>紫色战士110级项链</v>
          </cell>
          <cell r="B1216">
            <v>131212</v>
          </cell>
        </row>
        <row r="1217">
          <cell r="A1217" t="str">
            <v>紫色战士120级项链</v>
          </cell>
          <cell r="B1217">
            <v>131213</v>
          </cell>
        </row>
        <row r="1218">
          <cell r="A1218" t="str">
            <v>紫色战士130级项链</v>
          </cell>
          <cell r="B1218">
            <v>131214</v>
          </cell>
        </row>
        <row r="1219">
          <cell r="A1219" t="str">
            <v>紫色战士140级项链</v>
          </cell>
          <cell r="B1219">
            <v>131215</v>
          </cell>
        </row>
        <row r="1220">
          <cell r="A1220" t="str">
            <v>紫色战士150级项链</v>
          </cell>
          <cell r="B1220">
            <v>131216</v>
          </cell>
        </row>
        <row r="1221">
          <cell r="A1221" t="str">
            <v>紫色战士160级项链</v>
          </cell>
          <cell r="B1221">
            <v>131217</v>
          </cell>
        </row>
        <row r="1222">
          <cell r="A1222" t="str">
            <v>紫色战士170级项链</v>
          </cell>
          <cell r="B1222">
            <v>131218</v>
          </cell>
        </row>
        <row r="1223">
          <cell r="A1223" t="str">
            <v>紫色战士180级项链</v>
          </cell>
          <cell r="B1223">
            <v>131219</v>
          </cell>
        </row>
        <row r="1224">
          <cell r="A1224" t="str">
            <v>紫色战士190级项链</v>
          </cell>
          <cell r="B1224">
            <v>131220</v>
          </cell>
        </row>
        <row r="1225">
          <cell r="A1225" t="str">
            <v>紫色战士200级项链</v>
          </cell>
          <cell r="B1225">
            <v>131221</v>
          </cell>
        </row>
        <row r="1226">
          <cell r="A1226" t="str">
            <v>紫色法师1级项链</v>
          </cell>
          <cell r="B1226">
            <v>132201</v>
          </cell>
        </row>
        <row r="1227">
          <cell r="A1227" t="str">
            <v>紫色法师10级项链</v>
          </cell>
          <cell r="B1227">
            <v>132202</v>
          </cell>
        </row>
        <row r="1228">
          <cell r="A1228" t="str">
            <v>紫色法师20级项链</v>
          </cell>
          <cell r="B1228">
            <v>132203</v>
          </cell>
        </row>
        <row r="1229">
          <cell r="A1229" t="str">
            <v>紫色法师30级项链</v>
          </cell>
          <cell r="B1229">
            <v>132204</v>
          </cell>
        </row>
        <row r="1230">
          <cell r="A1230" t="str">
            <v>紫色法师40级项链</v>
          </cell>
          <cell r="B1230">
            <v>132205</v>
          </cell>
        </row>
        <row r="1231">
          <cell r="A1231" t="str">
            <v>紫色法师50级项链</v>
          </cell>
          <cell r="B1231">
            <v>132206</v>
          </cell>
        </row>
        <row r="1232">
          <cell r="A1232" t="str">
            <v>紫色法师60级项链</v>
          </cell>
          <cell r="B1232">
            <v>132207</v>
          </cell>
        </row>
        <row r="1233">
          <cell r="A1233" t="str">
            <v>紫色法师70级项链</v>
          </cell>
          <cell r="B1233">
            <v>132208</v>
          </cell>
        </row>
        <row r="1234">
          <cell r="A1234" t="str">
            <v>紫色法师80级项链</v>
          </cell>
          <cell r="B1234">
            <v>132209</v>
          </cell>
        </row>
        <row r="1235">
          <cell r="A1235" t="str">
            <v>紫色法师90级项链</v>
          </cell>
          <cell r="B1235">
            <v>132210</v>
          </cell>
        </row>
        <row r="1236">
          <cell r="A1236" t="str">
            <v>紫色法师100级项链</v>
          </cell>
          <cell r="B1236">
            <v>132211</v>
          </cell>
        </row>
        <row r="1237">
          <cell r="A1237" t="str">
            <v>紫色法师110级项链</v>
          </cell>
          <cell r="B1237">
            <v>132212</v>
          </cell>
        </row>
        <row r="1238">
          <cell r="A1238" t="str">
            <v>紫色法师120级项链</v>
          </cell>
          <cell r="B1238">
            <v>132213</v>
          </cell>
        </row>
        <row r="1239">
          <cell r="A1239" t="str">
            <v>紫色法师130级项链</v>
          </cell>
          <cell r="B1239">
            <v>132214</v>
          </cell>
        </row>
        <row r="1240">
          <cell r="A1240" t="str">
            <v>紫色法师140级项链</v>
          </cell>
          <cell r="B1240">
            <v>132215</v>
          </cell>
        </row>
        <row r="1241">
          <cell r="A1241" t="str">
            <v>紫色法师150级项链</v>
          </cell>
          <cell r="B1241">
            <v>132216</v>
          </cell>
        </row>
        <row r="1242">
          <cell r="A1242" t="str">
            <v>紫色法师160级项链</v>
          </cell>
          <cell r="B1242">
            <v>132217</v>
          </cell>
        </row>
        <row r="1243">
          <cell r="A1243" t="str">
            <v>紫色法师170级项链</v>
          </cell>
          <cell r="B1243">
            <v>132218</v>
          </cell>
        </row>
        <row r="1244">
          <cell r="A1244" t="str">
            <v>紫色法师180级项链</v>
          </cell>
          <cell r="B1244">
            <v>132219</v>
          </cell>
        </row>
        <row r="1245">
          <cell r="A1245" t="str">
            <v>紫色法师190级项链</v>
          </cell>
          <cell r="B1245">
            <v>132220</v>
          </cell>
        </row>
        <row r="1246">
          <cell r="A1246" t="str">
            <v>紫色法师200级项链</v>
          </cell>
          <cell r="B1246">
            <v>132221</v>
          </cell>
        </row>
        <row r="1247">
          <cell r="A1247" t="str">
            <v>紫色道士1级项链</v>
          </cell>
          <cell r="B1247">
            <v>133201</v>
          </cell>
        </row>
        <row r="1248">
          <cell r="A1248" t="str">
            <v>紫色道士10级项链</v>
          </cell>
          <cell r="B1248">
            <v>133202</v>
          </cell>
        </row>
        <row r="1249">
          <cell r="A1249" t="str">
            <v>紫色道士20级项链</v>
          </cell>
          <cell r="B1249">
            <v>133203</v>
          </cell>
        </row>
        <row r="1250">
          <cell r="A1250" t="str">
            <v>紫色道士30级项链</v>
          </cell>
          <cell r="B1250">
            <v>133204</v>
          </cell>
        </row>
        <row r="1251">
          <cell r="A1251" t="str">
            <v>紫色道士40级项链</v>
          </cell>
          <cell r="B1251">
            <v>133205</v>
          </cell>
        </row>
        <row r="1252">
          <cell r="A1252" t="str">
            <v>紫色道士50级项链</v>
          </cell>
          <cell r="B1252">
            <v>133206</v>
          </cell>
        </row>
        <row r="1253">
          <cell r="A1253" t="str">
            <v>紫色道士60级项链</v>
          </cell>
          <cell r="B1253">
            <v>133207</v>
          </cell>
        </row>
        <row r="1254">
          <cell r="A1254" t="str">
            <v>紫色道士70级项链</v>
          </cell>
          <cell r="B1254">
            <v>133208</v>
          </cell>
        </row>
        <row r="1255">
          <cell r="A1255" t="str">
            <v>紫色道士80级项链</v>
          </cell>
          <cell r="B1255">
            <v>133209</v>
          </cell>
        </row>
        <row r="1256">
          <cell r="A1256" t="str">
            <v>紫色道士90级项链</v>
          </cell>
          <cell r="B1256">
            <v>133210</v>
          </cell>
        </row>
        <row r="1257">
          <cell r="A1257" t="str">
            <v>紫色道士100级项链</v>
          </cell>
          <cell r="B1257">
            <v>133211</v>
          </cell>
        </row>
        <row r="1258">
          <cell r="A1258" t="str">
            <v>紫色道士110级项链</v>
          </cell>
          <cell r="B1258">
            <v>133212</v>
          </cell>
        </row>
        <row r="1259">
          <cell r="A1259" t="str">
            <v>紫色道士120级项链</v>
          </cell>
          <cell r="B1259">
            <v>133213</v>
          </cell>
        </row>
        <row r="1260">
          <cell r="A1260" t="str">
            <v>紫色道士130级项链</v>
          </cell>
          <cell r="B1260">
            <v>133214</v>
          </cell>
        </row>
        <row r="1261">
          <cell r="A1261" t="str">
            <v>紫色道士140级项链</v>
          </cell>
          <cell r="B1261">
            <v>133215</v>
          </cell>
        </row>
        <row r="1262">
          <cell r="A1262" t="str">
            <v>紫色道士150级项链</v>
          </cell>
          <cell r="B1262">
            <v>133216</v>
          </cell>
        </row>
        <row r="1263">
          <cell r="A1263" t="str">
            <v>紫色道士160级项链</v>
          </cell>
          <cell r="B1263">
            <v>133217</v>
          </cell>
        </row>
        <row r="1264">
          <cell r="A1264" t="str">
            <v>紫色道士170级项链</v>
          </cell>
          <cell r="B1264">
            <v>133218</v>
          </cell>
        </row>
        <row r="1265">
          <cell r="A1265" t="str">
            <v>紫色道士180级项链</v>
          </cell>
          <cell r="B1265">
            <v>133219</v>
          </cell>
        </row>
        <row r="1266">
          <cell r="A1266" t="str">
            <v>紫色道士190级项链</v>
          </cell>
          <cell r="B1266">
            <v>133220</v>
          </cell>
        </row>
        <row r="1267">
          <cell r="A1267" t="str">
            <v>紫色道士200级项链</v>
          </cell>
          <cell r="B1267">
            <v>133221</v>
          </cell>
        </row>
        <row r="1268">
          <cell r="A1268" t="str">
            <v>紫色战士1级手镯</v>
          </cell>
          <cell r="B1268">
            <v>141201</v>
          </cell>
        </row>
        <row r="1269">
          <cell r="A1269" t="str">
            <v>紫色战士10级手镯</v>
          </cell>
          <cell r="B1269">
            <v>141202</v>
          </cell>
        </row>
        <row r="1270">
          <cell r="A1270" t="str">
            <v>紫色战士20级手镯</v>
          </cell>
          <cell r="B1270">
            <v>141203</v>
          </cell>
        </row>
        <row r="1271">
          <cell r="A1271" t="str">
            <v>紫色战士30级手镯</v>
          </cell>
          <cell r="B1271">
            <v>141204</v>
          </cell>
        </row>
        <row r="1272">
          <cell r="A1272" t="str">
            <v>紫色战士40级手镯</v>
          </cell>
          <cell r="B1272">
            <v>141205</v>
          </cell>
        </row>
        <row r="1273">
          <cell r="A1273" t="str">
            <v>紫色战士50级手镯</v>
          </cell>
          <cell r="B1273">
            <v>141206</v>
          </cell>
        </row>
        <row r="1274">
          <cell r="A1274" t="str">
            <v>紫色战士60级手镯</v>
          </cell>
          <cell r="B1274">
            <v>141207</v>
          </cell>
        </row>
        <row r="1275">
          <cell r="A1275" t="str">
            <v>紫色战士70级手镯</v>
          </cell>
          <cell r="B1275">
            <v>141208</v>
          </cell>
        </row>
        <row r="1276">
          <cell r="A1276" t="str">
            <v>紫色战士80级手镯</v>
          </cell>
          <cell r="B1276">
            <v>141209</v>
          </cell>
        </row>
        <row r="1277">
          <cell r="A1277" t="str">
            <v>紫色战士90级手镯</v>
          </cell>
          <cell r="B1277">
            <v>141210</v>
          </cell>
        </row>
        <row r="1278">
          <cell r="A1278" t="str">
            <v>紫色战士100级手镯</v>
          </cell>
          <cell r="B1278">
            <v>141211</v>
          </cell>
        </row>
        <row r="1279">
          <cell r="A1279" t="str">
            <v>紫色战士110级手镯</v>
          </cell>
          <cell r="B1279">
            <v>141212</v>
          </cell>
        </row>
        <row r="1280">
          <cell r="A1280" t="str">
            <v>紫色战士120级手镯</v>
          </cell>
          <cell r="B1280">
            <v>141213</v>
          </cell>
        </row>
        <row r="1281">
          <cell r="A1281" t="str">
            <v>紫色战士130级手镯</v>
          </cell>
          <cell r="B1281">
            <v>141214</v>
          </cell>
        </row>
        <row r="1282">
          <cell r="A1282" t="str">
            <v>紫色战士140级手镯</v>
          </cell>
          <cell r="B1282">
            <v>141215</v>
          </cell>
        </row>
        <row r="1283">
          <cell r="A1283" t="str">
            <v>紫色战士150级手镯</v>
          </cell>
          <cell r="B1283">
            <v>141216</v>
          </cell>
        </row>
        <row r="1284">
          <cell r="A1284" t="str">
            <v>紫色战士160级手镯</v>
          </cell>
          <cell r="B1284">
            <v>141217</v>
          </cell>
        </row>
        <row r="1285">
          <cell r="A1285" t="str">
            <v>紫色战士170级手镯</v>
          </cell>
          <cell r="B1285">
            <v>141218</v>
          </cell>
        </row>
        <row r="1286">
          <cell r="A1286" t="str">
            <v>紫色战士180级手镯</v>
          </cell>
          <cell r="B1286">
            <v>141219</v>
          </cell>
        </row>
        <row r="1287">
          <cell r="A1287" t="str">
            <v>紫色战士190级手镯</v>
          </cell>
          <cell r="B1287">
            <v>141220</v>
          </cell>
        </row>
        <row r="1288">
          <cell r="A1288" t="str">
            <v>紫色战士200级手镯</v>
          </cell>
          <cell r="B1288">
            <v>141221</v>
          </cell>
        </row>
        <row r="1289">
          <cell r="A1289" t="str">
            <v>紫色法师1级手镯</v>
          </cell>
          <cell r="B1289">
            <v>142201</v>
          </cell>
        </row>
        <row r="1290">
          <cell r="A1290" t="str">
            <v>紫色法师10级手镯</v>
          </cell>
          <cell r="B1290">
            <v>142202</v>
          </cell>
        </row>
        <row r="1291">
          <cell r="A1291" t="str">
            <v>紫色法师20级手镯</v>
          </cell>
          <cell r="B1291">
            <v>142203</v>
          </cell>
        </row>
        <row r="1292">
          <cell r="A1292" t="str">
            <v>紫色法师30级手镯</v>
          </cell>
          <cell r="B1292">
            <v>142204</v>
          </cell>
        </row>
        <row r="1293">
          <cell r="A1293" t="str">
            <v>紫色法师40级手镯</v>
          </cell>
          <cell r="B1293">
            <v>142205</v>
          </cell>
        </row>
        <row r="1294">
          <cell r="A1294" t="str">
            <v>紫色法师50级手镯</v>
          </cell>
          <cell r="B1294">
            <v>142206</v>
          </cell>
        </row>
        <row r="1295">
          <cell r="A1295" t="str">
            <v>紫色法师60级手镯</v>
          </cell>
          <cell r="B1295">
            <v>142207</v>
          </cell>
        </row>
        <row r="1296">
          <cell r="A1296" t="str">
            <v>紫色法师70级手镯</v>
          </cell>
          <cell r="B1296">
            <v>142208</v>
          </cell>
        </row>
        <row r="1297">
          <cell r="A1297" t="str">
            <v>紫色法师80级手镯</v>
          </cell>
          <cell r="B1297">
            <v>142209</v>
          </cell>
        </row>
        <row r="1298">
          <cell r="A1298" t="str">
            <v>紫色法师90级手镯</v>
          </cell>
          <cell r="B1298">
            <v>142210</v>
          </cell>
        </row>
        <row r="1299">
          <cell r="A1299" t="str">
            <v>紫色法师100级手镯</v>
          </cell>
          <cell r="B1299">
            <v>142211</v>
          </cell>
        </row>
        <row r="1300">
          <cell r="A1300" t="str">
            <v>紫色法师110级手镯</v>
          </cell>
          <cell r="B1300">
            <v>142212</v>
          </cell>
        </row>
        <row r="1301">
          <cell r="A1301" t="str">
            <v>紫色法师120级手镯</v>
          </cell>
          <cell r="B1301">
            <v>142213</v>
          </cell>
        </row>
        <row r="1302">
          <cell r="A1302" t="str">
            <v>紫色法师130级手镯</v>
          </cell>
          <cell r="B1302">
            <v>142214</v>
          </cell>
        </row>
        <row r="1303">
          <cell r="A1303" t="str">
            <v>紫色法师140级手镯</v>
          </cell>
          <cell r="B1303">
            <v>142215</v>
          </cell>
        </row>
        <row r="1304">
          <cell r="A1304" t="str">
            <v>紫色法师150级手镯</v>
          </cell>
          <cell r="B1304">
            <v>142216</v>
          </cell>
        </row>
        <row r="1305">
          <cell r="A1305" t="str">
            <v>紫色法师160级手镯</v>
          </cell>
          <cell r="B1305">
            <v>142217</v>
          </cell>
        </row>
        <row r="1306">
          <cell r="A1306" t="str">
            <v>紫色法师170级手镯</v>
          </cell>
          <cell r="B1306">
            <v>142218</v>
          </cell>
        </row>
        <row r="1307">
          <cell r="A1307" t="str">
            <v>紫色法师180级手镯</v>
          </cell>
          <cell r="B1307">
            <v>142219</v>
          </cell>
        </row>
        <row r="1308">
          <cell r="A1308" t="str">
            <v>紫色法师190级手镯</v>
          </cell>
          <cell r="B1308">
            <v>142220</v>
          </cell>
        </row>
        <row r="1309">
          <cell r="A1309" t="str">
            <v>紫色法师200级手镯</v>
          </cell>
          <cell r="B1309">
            <v>142221</v>
          </cell>
        </row>
        <row r="1310">
          <cell r="A1310" t="str">
            <v>紫色道士1级手镯</v>
          </cell>
          <cell r="B1310">
            <v>143201</v>
          </cell>
        </row>
        <row r="1311">
          <cell r="A1311" t="str">
            <v>紫色道士10级手镯</v>
          </cell>
          <cell r="B1311">
            <v>143202</v>
          </cell>
        </row>
        <row r="1312">
          <cell r="A1312" t="str">
            <v>紫色道士20级手镯</v>
          </cell>
          <cell r="B1312">
            <v>143203</v>
          </cell>
        </row>
        <row r="1313">
          <cell r="A1313" t="str">
            <v>紫色道士30级手镯</v>
          </cell>
          <cell r="B1313">
            <v>143204</v>
          </cell>
        </row>
        <row r="1314">
          <cell r="A1314" t="str">
            <v>紫色道士40级手镯</v>
          </cell>
          <cell r="B1314">
            <v>143205</v>
          </cell>
        </row>
        <row r="1315">
          <cell r="A1315" t="str">
            <v>紫色道士50级手镯</v>
          </cell>
          <cell r="B1315">
            <v>143206</v>
          </cell>
        </row>
        <row r="1316">
          <cell r="A1316" t="str">
            <v>紫色道士60级手镯</v>
          </cell>
          <cell r="B1316">
            <v>143207</v>
          </cell>
        </row>
        <row r="1317">
          <cell r="A1317" t="str">
            <v>紫色道士70级手镯</v>
          </cell>
          <cell r="B1317">
            <v>143208</v>
          </cell>
        </row>
        <row r="1318">
          <cell r="A1318" t="str">
            <v>紫色道士80级手镯</v>
          </cell>
          <cell r="B1318">
            <v>143209</v>
          </cell>
        </row>
        <row r="1319">
          <cell r="A1319" t="str">
            <v>紫色道士90级手镯</v>
          </cell>
          <cell r="B1319">
            <v>143210</v>
          </cell>
        </row>
        <row r="1320">
          <cell r="A1320" t="str">
            <v>紫色道士100级手镯</v>
          </cell>
          <cell r="B1320">
            <v>143211</v>
          </cell>
        </row>
        <row r="1321">
          <cell r="A1321" t="str">
            <v>紫色道士110级手镯</v>
          </cell>
          <cell r="B1321">
            <v>143212</v>
          </cell>
        </row>
        <row r="1322">
          <cell r="A1322" t="str">
            <v>紫色道士120级手镯</v>
          </cell>
          <cell r="B1322">
            <v>143213</v>
          </cell>
        </row>
        <row r="1323">
          <cell r="A1323" t="str">
            <v>紫色道士130级手镯</v>
          </cell>
          <cell r="B1323">
            <v>143214</v>
          </cell>
        </row>
        <row r="1324">
          <cell r="A1324" t="str">
            <v>紫色道士140级手镯</v>
          </cell>
          <cell r="B1324">
            <v>143215</v>
          </cell>
        </row>
        <row r="1325">
          <cell r="A1325" t="str">
            <v>紫色道士150级手镯</v>
          </cell>
          <cell r="B1325">
            <v>143216</v>
          </cell>
        </row>
        <row r="1326">
          <cell r="A1326" t="str">
            <v>紫色道士160级手镯</v>
          </cell>
          <cell r="B1326">
            <v>143217</v>
          </cell>
        </row>
        <row r="1327">
          <cell r="A1327" t="str">
            <v>紫色道士170级手镯</v>
          </cell>
          <cell r="B1327">
            <v>143218</v>
          </cell>
        </row>
        <row r="1328">
          <cell r="A1328" t="str">
            <v>紫色道士180级手镯</v>
          </cell>
          <cell r="B1328">
            <v>143219</v>
          </cell>
        </row>
        <row r="1329">
          <cell r="A1329" t="str">
            <v>紫色道士190级手镯</v>
          </cell>
          <cell r="B1329">
            <v>143220</v>
          </cell>
        </row>
        <row r="1330">
          <cell r="A1330" t="str">
            <v>紫色道士200级手镯</v>
          </cell>
          <cell r="B1330">
            <v>143221</v>
          </cell>
        </row>
        <row r="1331">
          <cell r="A1331" t="str">
            <v>紫色战士1级腰带</v>
          </cell>
          <cell r="B1331">
            <v>151201</v>
          </cell>
        </row>
        <row r="1332">
          <cell r="A1332" t="str">
            <v>紫色战士10级腰带</v>
          </cell>
          <cell r="B1332">
            <v>151202</v>
          </cell>
        </row>
        <row r="1333">
          <cell r="A1333" t="str">
            <v>紫色战士20级腰带</v>
          </cell>
          <cell r="B1333">
            <v>151203</v>
          </cell>
        </row>
        <row r="1334">
          <cell r="A1334" t="str">
            <v>紫色战士30级腰带</v>
          </cell>
          <cell r="B1334">
            <v>151204</v>
          </cell>
        </row>
        <row r="1335">
          <cell r="A1335" t="str">
            <v>紫色战士40级腰带</v>
          </cell>
          <cell r="B1335">
            <v>151205</v>
          </cell>
        </row>
        <row r="1336">
          <cell r="A1336" t="str">
            <v>紫色战士50级腰带</v>
          </cell>
          <cell r="B1336">
            <v>151206</v>
          </cell>
        </row>
        <row r="1337">
          <cell r="A1337" t="str">
            <v>紫色战士60级腰带</v>
          </cell>
          <cell r="B1337">
            <v>151207</v>
          </cell>
        </row>
        <row r="1338">
          <cell r="A1338" t="str">
            <v>紫色战士70级腰带</v>
          </cell>
          <cell r="B1338">
            <v>151208</v>
          </cell>
        </row>
        <row r="1339">
          <cell r="A1339" t="str">
            <v>紫色战士80级腰带</v>
          </cell>
          <cell r="B1339">
            <v>151209</v>
          </cell>
        </row>
        <row r="1340">
          <cell r="A1340" t="str">
            <v>紫色战士90级腰带</v>
          </cell>
          <cell r="B1340">
            <v>151210</v>
          </cell>
        </row>
        <row r="1341">
          <cell r="A1341" t="str">
            <v>紫色战士100级腰带</v>
          </cell>
          <cell r="B1341">
            <v>151211</v>
          </cell>
        </row>
        <row r="1342">
          <cell r="A1342" t="str">
            <v>紫色战士110级腰带</v>
          </cell>
          <cell r="B1342">
            <v>151212</v>
          </cell>
        </row>
        <row r="1343">
          <cell r="A1343" t="str">
            <v>紫色战士120级腰带</v>
          </cell>
          <cell r="B1343">
            <v>151213</v>
          </cell>
        </row>
        <row r="1344">
          <cell r="A1344" t="str">
            <v>紫色战士130级腰带</v>
          </cell>
          <cell r="B1344">
            <v>151214</v>
          </cell>
        </row>
        <row r="1345">
          <cell r="A1345" t="str">
            <v>紫色战士140级腰带</v>
          </cell>
          <cell r="B1345">
            <v>151215</v>
          </cell>
        </row>
        <row r="1346">
          <cell r="A1346" t="str">
            <v>紫色战士150级腰带</v>
          </cell>
          <cell r="B1346">
            <v>151216</v>
          </cell>
        </row>
        <row r="1347">
          <cell r="A1347" t="str">
            <v>紫色战士160级腰带</v>
          </cell>
          <cell r="B1347">
            <v>151217</v>
          </cell>
        </row>
        <row r="1348">
          <cell r="A1348" t="str">
            <v>紫色战士170级腰带</v>
          </cell>
          <cell r="B1348">
            <v>151218</v>
          </cell>
        </row>
        <row r="1349">
          <cell r="A1349" t="str">
            <v>紫色战士180级腰带</v>
          </cell>
          <cell r="B1349">
            <v>151219</v>
          </cell>
        </row>
        <row r="1350">
          <cell r="A1350" t="str">
            <v>紫色战士190级腰带</v>
          </cell>
          <cell r="B1350">
            <v>151220</v>
          </cell>
        </row>
        <row r="1351">
          <cell r="A1351" t="str">
            <v>紫色战士200级腰带</v>
          </cell>
          <cell r="B1351">
            <v>151221</v>
          </cell>
        </row>
        <row r="1352">
          <cell r="A1352" t="str">
            <v>紫色法师1级腰带</v>
          </cell>
          <cell r="B1352">
            <v>152201</v>
          </cell>
        </row>
        <row r="1353">
          <cell r="A1353" t="str">
            <v>紫色法师10级腰带</v>
          </cell>
          <cell r="B1353">
            <v>152202</v>
          </cell>
        </row>
        <row r="1354">
          <cell r="A1354" t="str">
            <v>紫色法师20级腰带</v>
          </cell>
          <cell r="B1354">
            <v>152203</v>
          </cell>
        </row>
        <row r="1355">
          <cell r="A1355" t="str">
            <v>紫色法师30级腰带</v>
          </cell>
          <cell r="B1355">
            <v>152204</v>
          </cell>
        </row>
        <row r="1356">
          <cell r="A1356" t="str">
            <v>紫色法师40级腰带</v>
          </cell>
          <cell r="B1356">
            <v>152205</v>
          </cell>
        </row>
        <row r="1357">
          <cell r="A1357" t="str">
            <v>紫色法师50级腰带</v>
          </cell>
          <cell r="B1357">
            <v>152206</v>
          </cell>
        </row>
        <row r="1358">
          <cell r="A1358" t="str">
            <v>紫色法师60级腰带</v>
          </cell>
          <cell r="B1358">
            <v>152207</v>
          </cell>
        </row>
        <row r="1359">
          <cell r="A1359" t="str">
            <v>紫色法师70级腰带</v>
          </cell>
          <cell r="B1359">
            <v>152208</v>
          </cell>
        </row>
        <row r="1360">
          <cell r="A1360" t="str">
            <v>紫色法师80级腰带</v>
          </cell>
          <cell r="B1360">
            <v>152209</v>
          </cell>
        </row>
        <row r="1361">
          <cell r="A1361" t="str">
            <v>紫色法师90级腰带</v>
          </cell>
          <cell r="B1361">
            <v>152210</v>
          </cell>
        </row>
        <row r="1362">
          <cell r="A1362" t="str">
            <v>紫色法师100级腰带</v>
          </cell>
          <cell r="B1362">
            <v>152211</v>
          </cell>
        </row>
        <row r="1363">
          <cell r="A1363" t="str">
            <v>紫色法师110级腰带</v>
          </cell>
          <cell r="B1363">
            <v>152212</v>
          </cell>
        </row>
        <row r="1364">
          <cell r="A1364" t="str">
            <v>紫色法师120级腰带</v>
          </cell>
          <cell r="B1364">
            <v>152213</v>
          </cell>
        </row>
        <row r="1365">
          <cell r="A1365" t="str">
            <v>紫色法师130级腰带</v>
          </cell>
          <cell r="B1365">
            <v>152214</v>
          </cell>
        </row>
        <row r="1366">
          <cell r="A1366" t="str">
            <v>紫色法师140级腰带</v>
          </cell>
          <cell r="B1366">
            <v>152215</v>
          </cell>
        </row>
        <row r="1367">
          <cell r="A1367" t="str">
            <v>紫色法师150级腰带</v>
          </cell>
          <cell r="B1367">
            <v>152216</v>
          </cell>
        </row>
        <row r="1368">
          <cell r="A1368" t="str">
            <v>紫色法师160级腰带</v>
          </cell>
          <cell r="B1368">
            <v>152217</v>
          </cell>
        </row>
        <row r="1369">
          <cell r="A1369" t="str">
            <v>紫色法师170级腰带</v>
          </cell>
          <cell r="B1369">
            <v>152218</v>
          </cell>
        </row>
        <row r="1370">
          <cell r="A1370" t="str">
            <v>紫色法师180级腰带</v>
          </cell>
          <cell r="B1370">
            <v>152219</v>
          </cell>
        </row>
        <row r="1371">
          <cell r="A1371" t="str">
            <v>紫色法师190级腰带</v>
          </cell>
          <cell r="B1371">
            <v>152220</v>
          </cell>
        </row>
        <row r="1372">
          <cell r="A1372" t="str">
            <v>紫色法师200级腰带</v>
          </cell>
          <cell r="B1372">
            <v>152221</v>
          </cell>
        </row>
        <row r="1373">
          <cell r="A1373" t="str">
            <v>紫色道士1级腰带</v>
          </cell>
          <cell r="B1373">
            <v>153201</v>
          </cell>
        </row>
        <row r="1374">
          <cell r="A1374" t="str">
            <v>紫色道士10级腰带</v>
          </cell>
          <cell r="B1374">
            <v>153202</v>
          </cell>
        </row>
        <row r="1375">
          <cell r="A1375" t="str">
            <v>紫色道士20级腰带</v>
          </cell>
          <cell r="B1375">
            <v>153203</v>
          </cell>
        </row>
        <row r="1376">
          <cell r="A1376" t="str">
            <v>紫色道士30级腰带</v>
          </cell>
          <cell r="B1376">
            <v>153204</v>
          </cell>
        </row>
        <row r="1377">
          <cell r="A1377" t="str">
            <v>紫色道士40级腰带</v>
          </cell>
          <cell r="B1377">
            <v>153205</v>
          </cell>
        </row>
        <row r="1378">
          <cell r="A1378" t="str">
            <v>紫色道士50级腰带</v>
          </cell>
          <cell r="B1378">
            <v>153206</v>
          </cell>
        </row>
        <row r="1379">
          <cell r="A1379" t="str">
            <v>紫色道士60级腰带</v>
          </cell>
          <cell r="B1379">
            <v>153207</v>
          </cell>
        </row>
        <row r="1380">
          <cell r="A1380" t="str">
            <v>紫色道士70级腰带</v>
          </cell>
          <cell r="B1380">
            <v>153208</v>
          </cell>
        </row>
        <row r="1381">
          <cell r="A1381" t="str">
            <v>紫色道士80级腰带</v>
          </cell>
          <cell r="B1381">
            <v>153209</v>
          </cell>
        </row>
        <row r="1382">
          <cell r="A1382" t="str">
            <v>紫色道士90级腰带</v>
          </cell>
          <cell r="B1382">
            <v>153210</v>
          </cell>
        </row>
        <row r="1383">
          <cell r="A1383" t="str">
            <v>紫色道士100级腰带</v>
          </cell>
          <cell r="B1383">
            <v>153211</v>
          </cell>
        </row>
        <row r="1384">
          <cell r="A1384" t="str">
            <v>紫色道士110级腰带</v>
          </cell>
          <cell r="B1384">
            <v>153212</v>
          </cell>
        </row>
        <row r="1385">
          <cell r="A1385" t="str">
            <v>紫色道士120级腰带</v>
          </cell>
          <cell r="B1385">
            <v>153213</v>
          </cell>
        </row>
        <row r="1386">
          <cell r="A1386" t="str">
            <v>紫色道士130级腰带</v>
          </cell>
          <cell r="B1386">
            <v>153214</v>
          </cell>
        </row>
        <row r="1387">
          <cell r="A1387" t="str">
            <v>紫色道士140级腰带</v>
          </cell>
          <cell r="B1387">
            <v>153215</v>
          </cell>
        </row>
        <row r="1388">
          <cell r="A1388" t="str">
            <v>紫色道士150级腰带</v>
          </cell>
          <cell r="B1388">
            <v>153216</v>
          </cell>
        </row>
        <row r="1389">
          <cell r="A1389" t="str">
            <v>紫色道士160级腰带</v>
          </cell>
          <cell r="B1389">
            <v>153217</v>
          </cell>
        </row>
        <row r="1390">
          <cell r="A1390" t="str">
            <v>紫色道士170级腰带</v>
          </cell>
          <cell r="B1390">
            <v>153218</v>
          </cell>
        </row>
        <row r="1391">
          <cell r="A1391" t="str">
            <v>紫色道士180级腰带</v>
          </cell>
          <cell r="B1391">
            <v>153219</v>
          </cell>
        </row>
        <row r="1392">
          <cell r="A1392" t="str">
            <v>紫色道士190级腰带</v>
          </cell>
          <cell r="B1392">
            <v>153220</v>
          </cell>
        </row>
        <row r="1393">
          <cell r="A1393" t="str">
            <v>紫色道士200级腰带</v>
          </cell>
          <cell r="B1393">
            <v>153221</v>
          </cell>
        </row>
        <row r="1394">
          <cell r="A1394" t="str">
            <v>紫色战士1级戒指</v>
          </cell>
          <cell r="B1394">
            <v>161201</v>
          </cell>
        </row>
        <row r="1395">
          <cell r="A1395" t="str">
            <v>紫色战士10级戒指</v>
          </cell>
          <cell r="B1395">
            <v>161202</v>
          </cell>
        </row>
        <row r="1396">
          <cell r="A1396" t="str">
            <v>紫色战士20级戒指</v>
          </cell>
          <cell r="B1396">
            <v>161203</v>
          </cell>
        </row>
        <row r="1397">
          <cell r="A1397" t="str">
            <v>紫色战士30级戒指</v>
          </cell>
          <cell r="B1397">
            <v>161204</v>
          </cell>
        </row>
        <row r="1398">
          <cell r="A1398" t="str">
            <v>紫色战士40级戒指</v>
          </cell>
          <cell r="B1398">
            <v>161205</v>
          </cell>
        </row>
        <row r="1399">
          <cell r="A1399" t="str">
            <v>紫色战士50级戒指</v>
          </cell>
          <cell r="B1399">
            <v>161206</v>
          </cell>
        </row>
        <row r="1400">
          <cell r="A1400" t="str">
            <v>紫色战士60级戒指</v>
          </cell>
          <cell r="B1400">
            <v>161207</v>
          </cell>
        </row>
        <row r="1401">
          <cell r="A1401" t="str">
            <v>紫色战士70级戒指</v>
          </cell>
          <cell r="B1401">
            <v>161208</v>
          </cell>
        </row>
        <row r="1402">
          <cell r="A1402" t="str">
            <v>紫色战士80级戒指</v>
          </cell>
          <cell r="B1402">
            <v>161209</v>
          </cell>
        </row>
        <row r="1403">
          <cell r="A1403" t="str">
            <v>紫色战士90级戒指</v>
          </cell>
          <cell r="B1403">
            <v>161210</v>
          </cell>
        </row>
        <row r="1404">
          <cell r="A1404" t="str">
            <v>紫色战士100级戒指</v>
          </cell>
          <cell r="B1404">
            <v>161211</v>
          </cell>
        </row>
        <row r="1405">
          <cell r="A1405" t="str">
            <v>紫色战士110级戒指</v>
          </cell>
          <cell r="B1405">
            <v>161212</v>
          </cell>
        </row>
        <row r="1406">
          <cell r="A1406" t="str">
            <v>紫色战士120级戒指</v>
          </cell>
          <cell r="B1406">
            <v>161213</v>
          </cell>
        </row>
        <row r="1407">
          <cell r="A1407" t="str">
            <v>紫色战士130级戒指</v>
          </cell>
          <cell r="B1407">
            <v>161214</v>
          </cell>
        </row>
        <row r="1408">
          <cell r="A1408" t="str">
            <v>紫色战士140级戒指</v>
          </cell>
          <cell r="B1408">
            <v>161215</v>
          </cell>
        </row>
        <row r="1409">
          <cell r="A1409" t="str">
            <v>紫色战士150级戒指</v>
          </cell>
          <cell r="B1409">
            <v>161216</v>
          </cell>
        </row>
        <row r="1410">
          <cell r="A1410" t="str">
            <v>紫色战士160级戒指</v>
          </cell>
          <cell r="B1410">
            <v>161217</v>
          </cell>
        </row>
        <row r="1411">
          <cell r="A1411" t="str">
            <v>紫色战士170级戒指</v>
          </cell>
          <cell r="B1411">
            <v>161218</v>
          </cell>
        </row>
        <row r="1412">
          <cell r="A1412" t="str">
            <v>紫色战士180级戒指</v>
          </cell>
          <cell r="B1412">
            <v>161219</v>
          </cell>
        </row>
        <row r="1413">
          <cell r="A1413" t="str">
            <v>紫色战士190级戒指</v>
          </cell>
          <cell r="B1413">
            <v>161220</v>
          </cell>
        </row>
        <row r="1414">
          <cell r="A1414" t="str">
            <v>紫色战士200级戒指</v>
          </cell>
          <cell r="B1414">
            <v>161221</v>
          </cell>
        </row>
        <row r="1415">
          <cell r="A1415" t="str">
            <v>紫色法师1级戒指</v>
          </cell>
          <cell r="B1415">
            <v>162201</v>
          </cell>
        </row>
        <row r="1416">
          <cell r="A1416" t="str">
            <v>紫色法师10级戒指</v>
          </cell>
          <cell r="B1416">
            <v>162202</v>
          </cell>
        </row>
        <row r="1417">
          <cell r="A1417" t="str">
            <v>紫色法师20级戒指</v>
          </cell>
          <cell r="B1417">
            <v>162203</v>
          </cell>
        </row>
        <row r="1418">
          <cell r="A1418" t="str">
            <v>紫色法师30级戒指</v>
          </cell>
          <cell r="B1418">
            <v>162204</v>
          </cell>
        </row>
        <row r="1419">
          <cell r="A1419" t="str">
            <v>紫色法师40级戒指</v>
          </cell>
          <cell r="B1419">
            <v>162205</v>
          </cell>
        </row>
        <row r="1420">
          <cell r="A1420" t="str">
            <v>紫色法师50级戒指</v>
          </cell>
          <cell r="B1420">
            <v>162206</v>
          </cell>
        </row>
        <row r="1421">
          <cell r="A1421" t="str">
            <v>紫色法师60级戒指</v>
          </cell>
          <cell r="B1421">
            <v>162207</v>
          </cell>
        </row>
        <row r="1422">
          <cell r="A1422" t="str">
            <v>紫色法师70级戒指</v>
          </cell>
          <cell r="B1422">
            <v>162208</v>
          </cell>
        </row>
        <row r="1423">
          <cell r="A1423" t="str">
            <v>紫色法师80级戒指</v>
          </cell>
          <cell r="B1423">
            <v>162209</v>
          </cell>
        </row>
        <row r="1424">
          <cell r="A1424" t="str">
            <v>紫色法师90级戒指</v>
          </cell>
          <cell r="B1424">
            <v>162210</v>
          </cell>
        </row>
        <row r="1425">
          <cell r="A1425" t="str">
            <v>紫色法师100级戒指</v>
          </cell>
          <cell r="B1425">
            <v>162211</v>
          </cell>
        </row>
        <row r="1426">
          <cell r="A1426" t="str">
            <v>紫色法师110级戒指</v>
          </cell>
          <cell r="B1426">
            <v>162212</v>
          </cell>
        </row>
        <row r="1427">
          <cell r="A1427" t="str">
            <v>紫色法师120级戒指</v>
          </cell>
          <cell r="B1427">
            <v>162213</v>
          </cell>
        </row>
        <row r="1428">
          <cell r="A1428" t="str">
            <v>紫色法师130级戒指</v>
          </cell>
          <cell r="B1428">
            <v>162214</v>
          </cell>
        </row>
        <row r="1429">
          <cell r="A1429" t="str">
            <v>紫色法师140级戒指</v>
          </cell>
          <cell r="B1429">
            <v>162215</v>
          </cell>
        </row>
        <row r="1430">
          <cell r="A1430" t="str">
            <v>紫色法师150级戒指</v>
          </cell>
          <cell r="B1430">
            <v>162216</v>
          </cell>
        </row>
        <row r="1431">
          <cell r="A1431" t="str">
            <v>紫色法师160级戒指</v>
          </cell>
          <cell r="B1431">
            <v>162217</v>
          </cell>
        </row>
        <row r="1432">
          <cell r="A1432" t="str">
            <v>紫色法师170级戒指</v>
          </cell>
          <cell r="B1432">
            <v>162218</v>
          </cell>
        </row>
        <row r="1433">
          <cell r="A1433" t="str">
            <v>紫色法师180级戒指</v>
          </cell>
          <cell r="B1433">
            <v>162219</v>
          </cell>
        </row>
        <row r="1434">
          <cell r="A1434" t="str">
            <v>紫色法师190级戒指</v>
          </cell>
          <cell r="B1434">
            <v>162220</v>
          </cell>
        </row>
        <row r="1435">
          <cell r="A1435" t="str">
            <v>紫色法师200级戒指</v>
          </cell>
          <cell r="B1435">
            <v>162221</v>
          </cell>
        </row>
        <row r="1436">
          <cell r="A1436" t="str">
            <v>紫色道士1级戒指</v>
          </cell>
          <cell r="B1436">
            <v>163201</v>
          </cell>
        </row>
        <row r="1437">
          <cell r="A1437" t="str">
            <v>紫色道士10级戒指</v>
          </cell>
          <cell r="B1437">
            <v>163202</v>
          </cell>
        </row>
        <row r="1438">
          <cell r="A1438" t="str">
            <v>紫色道士20级戒指</v>
          </cell>
          <cell r="B1438">
            <v>163203</v>
          </cell>
        </row>
        <row r="1439">
          <cell r="A1439" t="str">
            <v>紫色道士30级戒指</v>
          </cell>
          <cell r="B1439">
            <v>163204</v>
          </cell>
        </row>
        <row r="1440">
          <cell r="A1440" t="str">
            <v>紫色道士40级戒指</v>
          </cell>
          <cell r="B1440">
            <v>163205</v>
          </cell>
        </row>
        <row r="1441">
          <cell r="A1441" t="str">
            <v>紫色道士50级戒指</v>
          </cell>
          <cell r="B1441">
            <v>163206</v>
          </cell>
        </row>
        <row r="1442">
          <cell r="A1442" t="str">
            <v>紫色道士60级戒指</v>
          </cell>
          <cell r="B1442">
            <v>163207</v>
          </cell>
        </row>
        <row r="1443">
          <cell r="A1443" t="str">
            <v>紫色道士70级戒指</v>
          </cell>
          <cell r="B1443">
            <v>163208</v>
          </cell>
        </row>
        <row r="1444">
          <cell r="A1444" t="str">
            <v>紫色道士80级戒指</v>
          </cell>
          <cell r="B1444">
            <v>163209</v>
          </cell>
        </row>
        <row r="1445">
          <cell r="A1445" t="str">
            <v>紫色道士90级戒指</v>
          </cell>
          <cell r="B1445">
            <v>163210</v>
          </cell>
        </row>
        <row r="1446">
          <cell r="A1446" t="str">
            <v>紫色道士100级戒指</v>
          </cell>
          <cell r="B1446">
            <v>163211</v>
          </cell>
        </row>
        <row r="1447">
          <cell r="A1447" t="str">
            <v>紫色道士110级戒指</v>
          </cell>
          <cell r="B1447">
            <v>163212</v>
          </cell>
        </row>
        <row r="1448">
          <cell r="A1448" t="str">
            <v>紫色道士120级戒指</v>
          </cell>
          <cell r="B1448">
            <v>163213</v>
          </cell>
        </row>
        <row r="1449">
          <cell r="A1449" t="str">
            <v>紫色道士130级戒指</v>
          </cell>
          <cell r="B1449">
            <v>163214</v>
          </cell>
        </row>
        <row r="1450">
          <cell r="A1450" t="str">
            <v>紫色道士140级戒指</v>
          </cell>
          <cell r="B1450">
            <v>163215</v>
          </cell>
        </row>
        <row r="1451">
          <cell r="A1451" t="str">
            <v>紫色道士150级戒指</v>
          </cell>
          <cell r="B1451">
            <v>163216</v>
          </cell>
        </row>
        <row r="1452">
          <cell r="A1452" t="str">
            <v>紫色道士160级戒指</v>
          </cell>
          <cell r="B1452">
            <v>163217</v>
          </cell>
        </row>
        <row r="1453">
          <cell r="A1453" t="str">
            <v>紫色道士170级戒指</v>
          </cell>
          <cell r="B1453">
            <v>163218</v>
          </cell>
        </row>
        <row r="1454">
          <cell r="A1454" t="str">
            <v>紫色道士180级戒指</v>
          </cell>
          <cell r="B1454">
            <v>163219</v>
          </cell>
        </row>
        <row r="1455">
          <cell r="A1455" t="str">
            <v>紫色道士190级戒指</v>
          </cell>
          <cell r="B1455">
            <v>163220</v>
          </cell>
        </row>
        <row r="1456">
          <cell r="A1456" t="str">
            <v>紫色道士200级戒指</v>
          </cell>
          <cell r="B1456">
            <v>163221</v>
          </cell>
        </row>
        <row r="1457">
          <cell r="A1457" t="str">
            <v>紫色战士1级鞋子</v>
          </cell>
          <cell r="B1457">
            <v>171201</v>
          </cell>
        </row>
        <row r="1458">
          <cell r="A1458" t="str">
            <v>紫色战士10级鞋子</v>
          </cell>
          <cell r="B1458">
            <v>171202</v>
          </cell>
        </row>
        <row r="1459">
          <cell r="A1459" t="str">
            <v>紫色战士20级鞋子</v>
          </cell>
          <cell r="B1459">
            <v>171203</v>
          </cell>
        </row>
        <row r="1460">
          <cell r="A1460" t="str">
            <v>紫色战士30级鞋子</v>
          </cell>
          <cell r="B1460">
            <v>171204</v>
          </cell>
        </row>
        <row r="1461">
          <cell r="A1461" t="str">
            <v>紫色战士40级鞋子</v>
          </cell>
          <cell r="B1461">
            <v>171205</v>
          </cell>
        </row>
        <row r="1462">
          <cell r="A1462" t="str">
            <v>紫色战士50级鞋子</v>
          </cell>
          <cell r="B1462">
            <v>171206</v>
          </cell>
        </row>
        <row r="1463">
          <cell r="A1463" t="str">
            <v>紫色战士60级鞋子</v>
          </cell>
          <cell r="B1463">
            <v>171207</v>
          </cell>
        </row>
        <row r="1464">
          <cell r="A1464" t="str">
            <v>紫色战士70级鞋子</v>
          </cell>
          <cell r="B1464">
            <v>171208</v>
          </cell>
        </row>
        <row r="1465">
          <cell r="A1465" t="str">
            <v>紫色战士80级鞋子</v>
          </cell>
          <cell r="B1465">
            <v>171209</v>
          </cell>
        </row>
        <row r="1466">
          <cell r="A1466" t="str">
            <v>紫色战士90级鞋子</v>
          </cell>
          <cell r="B1466">
            <v>171210</v>
          </cell>
        </row>
        <row r="1467">
          <cell r="A1467" t="str">
            <v>紫色战士100级鞋子</v>
          </cell>
          <cell r="B1467">
            <v>171211</v>
          </cell>
        </row>
        <row r="1468">
          <cell r="A1468" t="str">
            <v>紫色战士110级鞋子</v>
          </cell>
          <cell r="B1468">
            <v>171212</v>
          </cell>
        </row>
        <row r="1469">
          <cell r="A1469" t="str">
            <v>紫色战士120级鞋子</v>
          </cell>
          <cell r="B1469">
            <v>171213</v>
          </cell>
        </row>
        <row r="1470">
          <cell r="A1470" t="str">
            <v>紫色战士130级鞋子</v>
          </cell>
          <cell r="B1470">
            <v>171214</v>
          </cell>
        </row>
        <row r="1471">
          <cell r="A1471" t="str">
            <v>紫色战士140级鞋子</v>
          </cell>
          <cell r="B1471">
            <v>171215</v>
          </cell>
        </row>
        <row r="1472">
          <cell r="A1472" t="str">
            <v>紫色战士150级鞋子</v>
          </cell>
          <cell r="B1472">
            <v>171216</v>
          </cell>
        </row>
        <row r="1473">
          <cell r="A1473" t="str">
            <v>紫色战士160级鞋子</v>
          </cell>
          <cell r="B1473">
            <v>171217</v>
          </cell>
        </row>
        <row r="1474">
          <cell r="A1474" t="str">
            <v>紫色战士170级鞋子</v>
          </cell>
          <cell r="B1474">
            <v>171218</v>
          </cell>
        </row>
        <row r="1475">
          <cell r="A1475" t="str">
            <v>紫色战士180级鞋子</v>
          </cell>
          <cell r="B1475">
            <v>171219</v>
          </cell>
        </row>
        <row r="1476">
          <cell r="A1476" t="str">
            <v>紫色战士190级鞋子</v>
          </cell>
          <cell r="B1476">
            <v>171220</v>
          </cell>
        </row>
        <row r="1477">
          <cell r="A1477" t="str">
            <v>紫色战士200级鞋子</v>
          </cell>
          <cell r="B1477">
            <v>171221</v>
          </cell>
        </row>
        <row r="1478">
          <cell r="A1478" t="str">
            <v>紫色法师1级鞋子</v>
          </cell>
          <cell r="B1478">
            <v>172201</v>
          </cell>
        </row>
        <row r="1479">
          <cell r="A1479" t="str">
            <v>紫色法师10级鞋子</v>
          </cell>
          <cell r="B1479">
            <v>172202</v>
          </cell>
        </row>
        <row r="1480">
          <cell r="A1480" t="str">
            <v>紫色法师20级鞋子</v>
          </cell>
          <cell r="B1480">
            <v>172203</v>
          </cell>
        </row>
        <row r="1481">
          <cell r="A1481" t="str">
            <v>紫色法师30级鞋子</v>
          </cell>
          <cell r="B1481">
            <v>172204</v>
          </cell>
        </row>
        <row r="1482">
          <cell r="A1482" t="str">
            <v>紫色法师40级鞋子</v>
          </cell>
          <cell r="B1482">
            <v>172205</v>
          </cell>
        </row>
        <row r="1483">
          <cell r="A1483" t="str">
            <v>紫色法师50级鞋子</v>
          </cell>
          <cell r="B1483">
            <v>172206</v>
          </cell>
        </row>
        <row r="1484">
          <cell r="A1484" t="str">
            <v>紫色法师60级鞋子</v>
          </cell>
          <cell r="B1484">
            <v>172207</v>
          </cell>
        </row>
        <row r="1485">
          <cell r="A1485" t="str">
            <v>紫色法师70级鞋子</v>
          </cell>
          <cell r="B1485">
            <v>172208</v>
          </cell>
        </row>
        <row r="1486">
          <cell r="A1486" t="str">
            <v>紫色法师80级鞋子</v>
          </cell>
          <cell r="B1486">
            <v>172209</v>
          </cell>
        </row>
        <row r="1487">
          <cell r="A1487" t="str">
            <v>紫色法师90级鞋子</v>
          </cell>
          <cell r="B1487">
            <v>172210</v>
          </cell>
        </row>
        <row r="1488">
          <cell r="A1488" t="str">
            <v>紫色法师100级鞋子</v>
          </cell>
          <cell r="B1488">
            <v>172211</v>
          </cell>
        </row>
        <row r="1489">
          <cell r="A1489" t="str">
            <v>紫色法师110级鞋子</v>
          </cell>
          <cell r="B1489">
            <v>172212</v>
          </cell>
        </row>
        <row r="1490">
          <cell r="A1490" t="str">
            <v>紫色法师120级鞋子</v>
          </cell>
          <cell r="B1490">
            <v>172213</v>
          </cell>
        </row>
        <row r="1491">
          <cell r="A1491" t="str">
            <v>紫色法师130级鞋子</v>
          </cell>
          <cell r="B1491">
            <v>172214</v>
          </cell>
        </row>
        <row r="1492">
          <cell r="A1492" t="str">
            <v>紫色法师140级鞋子</v>
          </cell>
          <cell r="B1492">
            <v>172215</v>
          </cell>
        </row>
        <row r="1493">
          <cell r="A1493" t="str">
            <v>紫色法师150级鞋子</v>
          </cell>
          <cell r="B1493">
            <v>172216</v>
          </cell>
        </row>
        <row r="1494">
          <cell r="A1494" t="str">
            <v>紫色法师160级鞋子</v>
          </cell>
          <cell r="B1494">
            <v>172217</v>
          </cell>
        </row>
        <row r="1495">
          <cell r="A1495" t="str">
            <v>紫色法师170级鞋子</v>
          </cell>
          <cell r="B1495">
            <v>172218</v>
          </cell>
        </row>
        <row r="1496">
          <cell r="A1496" t="str">
            <v>紫色法师180级鞋子</v>
          </cell>
          <cell r="B1496">
            <v>172219</v>
          </cell>
        </row>
        <row r="1497">
          <cell r="A1497" t="str">
            <v>紫色法师190级鞋子</v>
          </cell>
          <cell r="B1497">
            <v>172220</v>
          </cell>
        </row>
        <row r="1498">
          <cell r="A1498" t="str">
            <v>紫色法师200级鞋子</v>
          </cell>
          <cell r="B1498">
            <v>172221</v>
          </cell>
        </row>
        <row r="1499">
          <cell r="A1499" t="str">
            <v>紫色道士1级鞋子</v>
          </cell>
          <cell r="B1499">
            <v>173201</v>
          </cell>
        </row>
        <row r="1500">
          <cell r="A1500" t="str">
            <v>紫色道士10级鞋子</v>
          </cell>
          <cell r="B1500">
            <v>173202</v>
          </cell>
        </row>
        <row r="1501">
          <cell r="A1501" t="str">
            <v>紫色道士20级鞋子</v>
          </cell>
          <cell r="B1501">
            <v>173203</v>
          </cell>
        </row>
        <row r="1502">
          <cell r="A1502" t="str">
            <v>紫色道士30级鞋子</v>
          </cell>
          <cell r="B1502">
            <v>173204</v>
          </cell>
        </row>
        <row r="1503">
          <cell r="A1503" t="str">
            <v>紫色道士40级鞋子</v>
          </cell>
          <cell r="B1503">
            <v>173205</v>
          </cell>
        </row>
        <row r="1504">
          <cell r="A1504" t="str">
            <v>紫色道士50级鞋子</v>
          </cell>
          <cell r="B1504">
            <v>173206</v>
          </cell>
        </row>
        <row r="1505">
          <cell r="A1505" t="str">
            <v>紫色道士60级鞋子</v>
          </cell>
          <cell r="B1505">
            <v>173207</v>
          </cell>
        </row>
        <row r="1506">
          <cell r="A1506" t="str">
            <v>紫色道士70级鞋子</v>
          </cell>
          <cell r="B1506">
            <v>173208</v>
          </cell>
        </row>
        <row r="1507">
          <cell r="A1507" t="str">
            <v>紫色道士80级鞋子</v>
          </cell>
          <cell r="B1507">
            <v>173209</v>
          </cell>
        </row>
        <row r="1508">
          <cell r="A1508" t="str">
            <v>紫色道士90级鞋子</v>
          </cell>
          <cell r="B1508">
            <v>173210</v>
          </cell>
        </row>
        <row r="1509">
          <cell r="A1509" t="str">
            <v>紫色道士100级鞋子</v>
          </cell>
          <cell r="B1509">
            <v>173211</v>
          </cell>
        </row>
        <row r="1510">
          <cell r="A1510" t="str">
            <v>紫色道士110级鞋子</v>
          </cell>
          <cell r="B1510">
            <v>173212</v>
          </cell>
        </row>
        <row r="1511">
          <cell r="A1511" t="str">
            <v>紫色道士120级鞋子</v>
          </cell>
          <cell r="B1511">
            <v>173213</v>
          </cell>
        </row>
        <row r="1512">
          <cell r="A1512" t="str">
            <v>紫色道士130级鞋子</v>
          </cell>
          <cell r="B1512">
            <v>173214</v>
          </cell>
        </row>
        <row r="1513">
          <cell r="A1513" t="str">
            <v>紫色道士140级鞋子</v>
          </cell>
          <cell r="B1513">
            <v>173215</v>
          </cell>
        </row>
        <row r="1514">
          <cell r="A1514" t="str">
            <v>紫色道士150级鞋子</v>
          </cell>
          <cell r="B1514">
            <v>173216</v>
          </cell>
        </row>
        <row r="1515">
          <cell r="A1515" t="str">
            <v>紫色道士160级鞋子</v>
          </cell>
          <cell r="B1515">
            <v>173217</v>
          </cell>
        </row>
        <row r="1516">
          <cell r="A1516" t="str">
            <v>紫色道士170级鞋子</v>
          </cell>
          <cell r="B1516">
            <v>173218</v>
          </cell>
        </row>
        <row r="1517">
          <cell r="A1517" t="str">
            <v>紫色道士180级鞋子</v>
          </cell>
          <cell r="B1517">
            <v>173219</v>
          </cell>
        </row>
        <row r="1518">
          <cell r="A1518" t="str">
            <v>紫色道士190级鞋子</v>
          </cell>
          <cell r="B1518">
            <v>173220</v>
          </cell>
        </row>
        <row r="1519">
          <cell r="A1519" t="str">
            <v>紫色道士200级鞋子</v>
          </cell>
          <cell r="B1519">
            <v>173221</v>
          </cell>
        </row>
        <row r="1520">
          <cell r="A1520" t="str">
            <v>橙色战士1级武器</v>
          </cell>
          <cell r="B1520">
            <v>101301</v>
          </cell>
        </row>
        <row r="1521">
          <cell r="A1521" t="str">
            <v>橙色战士10级武器</v>
          </cell>
          <cell r="B1521">
            <v>101302</v>
          </cell>
        </row>
        <row r="1522">
          <cell r="A1522" t="str">
            <v>橙色战士20级武器</v>
          </cell>
          <cell r="B1522">
            <v>101303</v>
          </cell>
        </row>
        <row r="1523">
          <cell r="A1523" t="str">
            <v>橙色战士30级武器</v>
          </cell>
          <cell r="B1523">
            <v>101304</v>
          </cell>
        </row>
        <row r="1524">
          <cell r="A1524" t="str">
            <v>橙色战士40级武器</v>
          </cell>
          <cell r="B1524">
            <v>101305</v>
          </cell>
        </row>
        <row r="1525">
          <cell r="A1525" t="str">
            <v>橙色战士50级武器</v>
          </cell>
          <cell r="B1525">
            <v>101306</v>
          </cell>
        </row>
        <row r="1526">
          <cell r="A1526" t="str">
            <v>橙色战士60级武器</v>
          </cell>
          <cell r="B1526">
            <v>101307</v>
          </cell>
        </row>
        <row r="1527">
          <cell r="A1527" t="str">
            <v>橙色战士70级武器</v>
          </cell>
          <cell r="B1527">
            <v>101308</v>
          </cell>
        </row>
        <row r="1528">
          <cell r="A1528" t="str">
            <v>橙色战士80级武器</v>
          </cell>
          <cell r="B1528">
            <v>101309</v>
          </cell>
        </row>
        <row r="1529">
          <cell r="A1529" t="str">
            <v>橙色战士90级武器</v>
          </cell>
          <cell r="B1529">
            <v>101310</v>
          </cell>
        </row>
        <row r="1530">
          <cell r="A1530" t="str">
            <v>橙色战士100级武器</v>
          </cell>
          <cell r="B1530">
            <v>101311</v>
          </cell>
        </row>
        <row r="1531">
          <cell r="A1531" t="str">
            <v>橙色战士110级武器</v>
          </cell>
          <cell r="B1531">
            <v>101312</v>
          </cell>
        </row>
        <row r="1532">
          <cell r="A1532" t="str">
            <v>橙色战士120级武器</v>
          </cell>
          <cell r="B1532">
            <v>101313</v>
          </cell>
        </row>
        <row r="1533">
          <cell r="A1533" t="str">
            <v>橙色战士130级武器</v>
          </cell>
          <cell r="B1533">
            <v>101314</v>
          </cell>
        </row>
        <row r="1534">
          <cell r="A1534" t="str">
            <v>橙色战士140级武器</v>
          </cell>
          <cell r="B1534">
            <v>101315</v>
          </cell>
        </row>
        <row r="1535">
          <cell r="A1535" t="str">
            <v>橙色战士150级武器</v>
          </cell>
          <cell r="B1535">
            <v>101316</v>
          </cell>
        </row>
        <row r="1536">
          <cell r="A1536" t="str">
            <v>橙色战士160级武器</v>
          </cell>
          <cell r="B1536">
            <v>101317</v>
          </cell>
        </row>
        <row r="1537">
          <cell r="A1537" t="str">
            <v>橙色战士170级武器</v>
          </cell>
          <cell r="B1537">
            <v>101318</v>
          </cell>
        </row>
        <row r="1538">
          <cell r="A1538" t="str">
            <v>橙色战士180级武器</v>
          </cell>
          <cell r="B1538">
            <v>101319</v>
          </cell>
        </row>
        <row r="1539">
          <cell r="A1539" t="str">
            <v>橙色战士190级武器</v>
          </cell>
          <cell r="B1539">
            <v>101320</v>
          </cell>
        </row>
        <row r="1540">
          <cell r="A1540" t="str">
            <v>橙色战士200级武器</v>
          </cell>
          <cell r="B1540">
            <v>101321</v>
          </cell>
        </row>
        <row r="1541">
          <cell r="A1541" t="str">
            <v>橙色法师1级武器</v>
          </cell>
          <cell r="B1541">
            <v>102301</v>
          </cell>
        </row>
        <row r="1542">
          <cell r="A1542" t="str">
            <v>橙色法师10级武器</v>
          </cell>
          <cell r="B1542">
            <v>102302</v>
          </cell>
        </row>
        <row r="1543">
          <cell r="A1543" t="str">
            <v>橙色法师20级武器</v>
          </cell>
          <cell r="B1543">
            <v>102303</v>
          </cell>
        </row>
        <row r="1544">
          <cell r="A1544" t="str">
            <v>橙色法师30级武器</v>
          </cell>
          <cell r="B1544">
            <v>102304</v>
          </cell>
        </row>
        <row r="1545">
          <cell r="A1545" t="str">
            <v>橙色法师40级武器</v>
          </cell>
          <cell r="B1545">
            <v>102305</v>
          </cell>
        </row>
        <row r="1546">
          <cell r="A1546" t="str">
            <v>橙色法师50级武器</v>
          </cell>
          <cell r="B1546">
            <v>102306</v>
          </cell>
        </row>
        <row r="1547">
          <cell r="A1547" t="str">
            <v>橙色法师60级武器</v>
          </cell>
          <cell r="B1547">
            <v>102307</v>
          </cell>
        </row>
        <row r="1548">
          <cell r="A1548" t="str">
            <v>橙色法师70级武器</v>
          </cell>
          <cell r="B1548">
            <v>102308</v>
          </cell>
        </row>
        <row r="1549">
          <cell r="A1549" t="str">
            <v>橙色法师80级武器</v>
          </cell>
          <cell r="B1549">
            <v>102309</v>
          </cell>
        </row>
        <row r="1550">
          <cell r="A1550" t="str">
            <v>橙色法师90级武器</v>
          </cell>
          <cell r="B1550">
            <v>102310</v>
          </cell>
        </row>
        <row r="1551">
          <cell r="A1551" t="str">
            <v>橙色法师100级武器</v>
          </cell>
          <cell r="B1551">
            <v>102311</v>
          </cell>
        </row>
        <row r="1552">
          <cell r="A1552" t="str">
            <v>橙色法师110级武器</v>
          </cell>
          <cell r="B1552">
            <v>102312</v>
          </cell>
        </row>
        <row r="1553">
          <cell r="A1553" t="str">
            <v>橙色法师120级武器</v>
          </cell>
          <cell r="B1553">
            <v>102313</v>
          </cell>
        </row>
        <row r="1554">
          <cell r="A1554" t="str">
            <v>橙色法师130级武器</v>
          </cell>
          <cell r="B1554">
            <v>102314</v>
          </cell>
        </row>
        <row r="1555">
          <cell r="A1555" t="str">
            <v>橙色法师140级武器</v>
          </cell>
          <cell r="B1555">
            <v>102315</v>
          </cell>
        </row>
        <row r="1556">
          <cell r="A1556" t="str">
            <v>橙色法师150级武器</v>
          </cell>
          <cell r="B1556">
            <v>102316</v>
          </cell>
        </row>
        <row r="1557">
          <cell r="A1557" t="str">
            <v>橙色法师160级武器</v>
          </cell>
          <cell r="B1557">
            <v>102317</v>
          </cell>
        </row>
        <row r="1558">
          <cell r="A1558" t="str">
            <v>橙色法师170级武器</v>
          </cell>
          <cell r="B1558">
            <v>102318</v>
          </cell>
        </row>
        <row r="1559">
          <cell r="A1559" t="str">
            <v>橙色法师180级武器</v>
          </cell>
          <cell r="B1559">
            <v>102319</v>
          </cell>
        </row>
        <row r="1560">
          <cell r="A1560" t="str">
            <v>橙色法师190级武器</v>
          </cell>
          <cell r="B1560">
            <v>102320</v>
          </cell>
        </row>
        <row r="1561">
          <cell r="A1561" t="str">
            <v>橙色法师200级武器</v>
          </cell>
          <cell r="B1561">
            <v>102321</v>
          </cell>
        </row>
        <row r="1562">
          <cell r="A1562" t="str">
            <v>橙色道士1级武器</v>
          </cell>
          <cell r="B1562">
            <v>103301</v>
          </cell>
        </row>
        <row r="1563">
          <cell r="A1563" t="str">
            <v>橙色道士10级武器</v>
          </cell>
          <cell r="B1563">
            <v>103302</v>
          </cell>
        </row>
        <row r="1564">
          <cell r="A1564" t="str">
            <v>橙色道士20级武器</v>
          </cell>
          <cell r="B1564">
            <v>103303</v>
          </cell>
        </row>
        <row r="1565">
          <cell r="A1565" t="str">
            <v>橙色道士30级武器</v>
          </cell>
          <cell r="B1565">
            <v>103304</v>
          </cell>
        </row>
        <row r="1566">
          <cell r="A1566" t="str">
            <v>橙色道士40级武器</v>
          </cell>
          <cell r="B1566">
            <v>103305</v>
          </cell>
        </row>
        <row r="1567">
          <cell r="A1567" t="str">
            <v>橙色道士50级武器</v>
          </cell>
          <cell r="B1567">
            <v>103306</v>
          </cell>
        </row>
        <row r="1568">
          <cell r="A1568" t="str">
            <v>橙色道士60级武器</v>
          </cell>
          <cell r="B1568">
            <v>103307</v>
          </cell>
        </row>
        <row r="1569">
          <cell r="A1569" t="str">
            <v>橙色道士70级武器</v>
          </cell>
          <cell r="B1569">
            <v>103308</v>
          </cell>
        </row>
        <row r="1570">
          <cell r="A1570" t="str">
            <v>橙色道士80级武器</v>
          </cell>
          <cell r="B1570">
            <v>103309</v>
          </cell>
        </row>
        <row r="1571">
          <cell r="A1571" t="str">
            <v>橙色道士90级武器</v>
          </cell>
          <cell r="B1571">
            <v>103310</v>
          </cell>
        </row>
        <row r="1572">
          <cell r="A1572" t="str">
            <v>橙色道士100级武器</v>
          </cell>
          <cell r="B1572">
            <v>103311</v>
          </cell>
        </row>
        <row r="1573">
          <cell r="A1573" t="str">
            <v>橙色道士110级武器</v>
          </cell>
          <cell r="B1573">
            <v>103312</v>
          </cell>
        </row>
        <row r="1574">
          <cell r="A1574" t="str">
            <v>橙色道士120级武器</v>
          </cell>
          <cell r="B1574">
            <v>103313</v>
          </cell>
        </row>
        <row r="1575">
          <cell r="A1575" t="str">
            <v>橙色道士130级武器</v>
          </cell>
          <cell r="B1575">
            <v>103314</v>
          </cell>
        </row>
        <row r="1576">
          <cell r="A1576" t="str">
            <v>橙色道士140级武器</v>
          </cell>
          <cell r="B1576">
            <v>103315</v>
          </cell>
        </row>
        <row r="1577">
          <cell r="A1577" t="str">
            <v>橙色道士150级武器</v>
          </cell>
          <cell r="B1577">
            <v>103316</v>
          </cell>
        </row>
        <row r="1578">
          <cell r="A1578" t="str">
            <v>橙色道士160级武器</v>
          </cell>
          <cell r="B1578">
            <v>103317</v>
          </cell>
        </row>
        <row r="1579">
          <cell r="A1579" t="str">
            <v>橙色道士170级武器</v>
          </cell>
          <cell r="B1579">
            <v>103318</v>
          </cell>
        </row>
        <row r="1580">
          <cell r="A1580" t="str">
            <v>橙色道士180级武器</v>
          </cell>
          <cell r="B1580">
            <v>103319</v>
          </cell>
        </row>
        <row r="1581">
          <cell r="A1581" t="str">
            <v>橙色道士190级武器</v>
          </cell>
          <cell r="B1581">
            <v>103320</v>
          </cell>
        </row>
        <row r="1582">
          <cell r="A1582" t="str">
            <v>橙色道士200级武器</v>
          </cell>
          <cell r="B1582">
            <v>103321</v>
          </cell>
        </row>
        <row r="1583">
          <cell r="A1583" t="str">
            <v>橙色战士1级头盔</v>
          </cell>
          <cell r="B1583">
            <v>111301</v>
          </cell>
        </row>
        <row r="1584">
          <cell r="A1584" t="str">
            <v>橙色战士10级头盔</v>
          </cell>
          <cell r="B1584">
            <v>111302</v>
          </cell>
        </row>
        <row r="1585">
          <cell r="A1585" t="str">
            <v>橙色战士20级头盔</v>
          </cell>
          <cell r="B1585">
            <v>111303</v>
          </cell>
        </row>
        <row r="1586">
          <cell r="A1586" t="str">
            <v>橙色战士30级头盔</v>
          </cell>
          <cell r="B1586">
            <v>111304</v>
          </cell>
        </row>
        <row r="1587">
          <cell r="A1587" t="str">
            <v>橙色战士40级头盔</v>
          </cell>
          <cell r="B1587">
            <v>111305</v>
          </cell>
        </row>
        <row r="1588">
          <cell r="A1588" t="str">
            <v>橙色战士50级头盔</v>
          </cell>
          <cell r="B1588">
            <v>111306</v>
          </cell>
        </row>
        <row r="1589">
          <cell r="A1589" t="str">
            <v>橙色战士60级头盔</v>
          </cell>
          <cell r="B1589">
            <v>111307</v>
          </cell>
        </row>
        <row r="1590">
          <cell r="A1590" t="str">
            <v>橙色战士70级头盔</v>
          </cell>
          <cell r="B1590">
            <v>111308</v>
          </cell>
        </row>
        <row r="1591">
          <cell r="A1591" t="str">
            <v>橙色战士80级头盔</v>
          </cell>
          <cell r="B1591">
            <v>111309</v>
          </cell>
        </row>
        <row r="1592">
          <cell r="A1592" t="str">
            <v>橙色战士90级头盔</v>
          </cell>
          <cell r="B1592">
            <v>111310</v>
          </cell>
        </row>
        <row r="1593">
          <cell r="A1593" t="str">
            <v>橙色战士100级头盔</v>
          </cell>
          <cell r="B1593">
            <v>111311</v>
          </cell>
        </row>
        <row r="1594">
          <cell r="A1594" t="str">
            <v>橙色战士110级头盔</v>
          </cell>
          <cell r="B1594">
            <v>111312</v>
          </cell>
        </row>
        <row r="1595">
          <cell r="A1595" t="str">
            <v>橙色战士120级头盔</v>
          </cell>
          <cell r="B1595">
            <v>111313</v>
          </cell>
        </row>
        <row r="1596">
          <cell r="A1596" t="str">
            <v>橙色战士130级头盔</v>
          </cell>
          <cell r="B1596">
            <v>111314</v>
          </cell>
        </row>
        <row r="1597">
          <cell r="A1597" t="str">
            <v>橙色战士140级头盔</v>
          </cell>
          <cell r="B1597">
            <v>111315</v>
          </cell>
        </row>
        <row r="1598">
          <cell r="A1598" t="str">
            <v>橙色战士150级头盔</v>
          </cell>
          <cell r="B1598">
            <v>111316</v>
          </cell>
        </row>
        <row r="1599">
          <cell r="A1599" t="str">
            <v>橙色战士160级头盔</v>
          </cell>
          <cell r="B1599">
            <v>111317</v>
          </cell>
        </row>
        <row r="1600">
          <cell r="A1600" t="str">
            <v>橙色战士170级头盔</v>
          </cell>
          <cell r="B1600">
            <v>111318</v>
          </cell>
        </row>
        <row r="1601">
          <cell r="A1601" t="str">
            <v>橙色战士180级头盔</v>
          </cell>
          <cell r="B1601">
            <v>111319</v>
          </cell>
        </row>
        <row r="1602">
          <cell r="A1602" t="str">
            <v>橙色战士190级头盔</v>
          </cell>
          <cell r="B1602">
            <v>111320</v>
          </cell>
        </row>
        <row r="1603">
          <cell r="A1603" t="str">
            <v>橙色战士200级头盔</v>
          </cell>
          <cell r="B1603">
            <v>111321</v>
          </cell>
        </row>
        <row r="1604">
          <cell r="A1604" t="str">
            <v>橙色法师1级头盔</v>
          </cell>
          <cell r="B1604">
            <v>112301</v>
          </cell>
        </row>
        <row r="1605">
          <cell r="A1605" t="str">
            <v>橙色法师10级头盔</v>
          </cell>
          <cell r="B1605">
            <v>112302</v>
          </cell>
        </row>
        <row r="1606">
          <cell r="A1606" t="str">
            <v>橙色法师20级头盔</v>
          </cell>
          <cell r="B1606">
            <v>112303</v>
          </cell>
        </row>
        <row r="1607">
          <cell r="A1607" t="str">
            <v>橙色法师30级头盔</v>
          </cell>
          <cell r="B1607">
            <v>112304</v>
          </cell>
        </row>
        <row r="1608">
          <cell r="A1608" t="str">
            <v>橙色法师40级头盔</v>
          </cell>
          <cell r="B1608">
            <v>112305</v>
          </cell>
        </row>
        <row r="1609">
          <cell r="A1609" t="str">
            <v>橙色法师50级头盔</v>
          </cell>
          <cell r="B1609">
            <v>112306</v>
          </cell>
        </row>
        <row r="1610">
          <cell r="A1610" t="str">
            <v>橙色法师60级头盔</v>
          </cell>
          <cell r="B1610">
            <v>112307</v>
          </cell>
        </row>
        <row r="1611">
          <cell r="A1611" t="str">
            <v>橙色法师70级头盔</v>
          </cell>
          <cell r="B1611">
            <v>112308</v>
          </cell>
        </row>
        <row r="1612">
          <cell r="A1612" t="str">
            <v>橙色法师80级头盔</v>
          </cell>
          <cell r="B1612">
            <v>112309</v>
          </cell>
        </row>
        <row r="1613">
          <cell r="A1613" t="str">
            <v>橙色法师90级头盔</v>
          </cell>
          <cell r="B1613">
            <v>112310</v>
          </cell>
        </row>
        <row r="1614">
          <cell r="A1614" t="str">
            <v>橙色法师100级头盔</v>
          </cell>
          <cell r="B1614">
            <v>112311</v>
          </cell>
        </row>
        <row r="1615">
          <cell r="A1615" t="str">
            <v>橙色法师110级头盔</v>
          </cell>
          <cell r="B1615">
            <v>112312</v>
          </cell>
        </row>
        <row r="1616">
          <cell r="A1616" t="str">
            <v>橙色法师120级头盔</v>
          </cell>
          <cell r="B1616">
            <v>112313</v>
          </cell>
        </row>
        <row r="1617">
          <cell r="A1617" t="str">
            <v>橙色法师130级头盔</v>
          </cell>
          <cell r="B1617">
            <v>112314</v>
          </cell>
        </row>
        <row r="1618">
          <cell r="A1618" t="str">
            <v>橙色法师140级头盔</v>
          </cell>
          <cell r="B1618">
            <v>112315</v>
          </cell>
        </row>
        <row r="1619">
          <cell r="A1619" t="str">
            <v>橙色法师150级头盔</v>
          </cell>
          <cell r="B1619">
            <v>112316</v>
          </cell>
        </row>
        <row r="1620">
          <cell r="A1620" t="str">
            <v>橙色法师160级头盔</v>
          </cell>
          <cell r="B1620">
            <v>112317</v>
          </cell>
        </row>
        <row r="1621">
          <cell r="A1621" t="str">
            <v>橙色法师170级头盔</v>
          </cell>
          <cell r="B1621">
            <v>112318</v>
          </cell>
        </row>
        <row r="1622">
          <cell r="A1622" t="str">
            <v>橙色法师180级头盔</v>
          </cell>
          <cell r="B1622">
            <v>112319</v>
          </cell>
        </row>
        <row r="1623">
          <cell r="A1623" t="str">
            <v>橙色法师190级头盔</v>
          </cell>
          <cell r="B1623">
            <v>112320</v>
          </cell>
        </row>
        <row r="1624">
          <cell r="A1624" t="str">
            <v>橙色法师200级头盔</v>
          </cell>
          <cell r="B1624">
            <v>112321</v>
          </cell>
        </row>
        <row r="1625">
          <cell r="A1625" t="str">
            <v>橙色道士1级头盔</v>
          </cell>
          <cell r="B1625">
            <v>113301</v>
          </cell>
        </row>
        <row r="1626">
          <cell r="A1626" t="str">
            <v>橙色道士10级头盔</v>
          </cell>
          <cell r="B1626">
            <v>113302</v>
          </cell>
        </row>
        <row r="1627">
          <cell r="A1627" t="str">
            <v>橙色道士20级头盔</v>
          </cell>
          <cell r="B1627">
            <v>113303</v>
          </cell>
        </row>
        <row r="1628">
          <cell r="A1628" t="str">
            <v>橙色道士30级头盔</v>
          </cell>
          <cell r="B1628">
            <v>113304</v>
          </cell>
        </row>
        <row r="1629">
          <cell r="A1629" t="str">
            <v>橙色道士40级头盔</v>
          </cell>
          <cell r="B1629">
            <v>113305</v>
          </cell>
        </row>
        <row r="1630">
          <cell r="A1630" t="str">
            <v>橙色道士50级头盔</v>
          </cell>
          <cell r="B1630">
            <v>113306</v>
          </cell>
        </row>
        <row r="1631">
          <cell r="A1631" t="str">
            <v>橙色道士60级头盔</v>
          </cell>
          <cell r="B1631">
            <v>113307</v>
          </cell>
        </row>
        <row r="1632">
          <cell r="A1632" t="str">
            <v>橙色道士70级头盔</v>
          </cell>
          <cell r="B1632">
            <v>113308</v>
          </cell>
        </row>
        <row r="1633">
          <cell r="A1633" t="str">
            <v>橙色道士80级头盔</v>
          </cell>
          <cell r="B1633">
            <v>113309</v>
          </cell>
        </row>
        <row r="1634">
          <cell r="A1634" t="str">
            <v>橙色道士90级头盔</v>
          </cell>
          <cell r="B1634">
            <v>113310</v>
          </cell>
        </row>
        <row r="1635">
          <cell r="A1635" t="str">
            <v>橙色道士100级头盔</v>
          </cell>
          <cell r="B1635">
            <v>113311</v>
          </cell>
        </row>
        <row r="1636">
          <cell r="A1636" t="str">
            <v>橙色道士110级头盔</v>
          </cell>
          <cell r="B1636">
            <v>113312</v>
          </cell>
        </row>
        <row r="1637">
          <cell r="A1637" t="str">
            <v>橙色道士120级头盔</v>
          </cell>
          <cell r="B1637">
            <v>113313</v>
          </cell>
        </row>
        <row r="1638">
          <cell r="A1638" t="str">
            <v>橙色道士130级头盔</v>
          </cell>
          <cell r="B1638">
            <v>113314</v>
          </cell>
        </row>
        <row r="1639">
          <cell r="A1639" t="str">
            <v>橙色道士140级头盔</v>
          </cell>
          <cell r="B1639">
            <v>113315</v>
          </cell>
        </row>
        <row r="1640">
          <cell r="A1640" t="str">
            <v>橙色道士150级头盔</v>
          </cell>
          <cell r="B1640">
            <v>113316</v>
          </cell>
        </row>
        <row r="1641">
          <cell r="A1641" t="str">
            <v>橙色道士160级头盔</v>
          </cell>
          <cell r="B1641">
            <v>113317</v>
          </cell>
        </row>
        <row r="1642">
          <cell r="A1642" t="str">
            <v>橙色道士170级头盔</v>
          </cell>
          <cell r="B1642">
            <v>113318</v>
          </cell>
        </row>
        <row r="1643">
          <cell r="A1643" t="str">
            <v>橙色道士180级头盔</v>
          </cell>
          <cell r="B1643">
            <v>113319</v>
          </cell>
        </row>
        <row r="1644">
          <cell r="A1644" t="str">
            <v>橙色道士190级头盔</v>
          </cell>
          <cell r="B1644">
            <v>113320</v>
          </cell>
        </row>
        <row r="1645">
          <cell r="A1645" t="str">
            <v>橙色道士200级头盔</v>
          </cell>
          <cell r="B1645">
            <v>113321</v>
          </cell>
        </row>
        <row r="1646">
          <cell r="A1646" t="str">
            <v>橙色战士1级衣服</v>
          </cell>
          <cell r="B1646">
            <v>121301</v>
          </cell>
        </row>
        <row r="1647">
          <cell r="A1647" t="str">
            <v>橙色战士10级衣服</v>
          </cell>
          <cell r="B1647">
            <v>121302</v>
          </cell>
        </row>
        <row r="1648">
          <cell r="A1648" t="str">
            <v>橙色战士20级衣服</v>
          </cell>
          <cell r="B1648">
            <v>121303</v>
          </cell>
        </row>
        <row r="1649">
          <cell r="A1649" t="str">
            <v>橙色战士30级衣服</v>
          </cell>
          <cell r="B1649">
            <v>121304</v>
          </cell>
        </row>
        <row r="1650">
          <cell r="A1650" t="str">
            <v>橙色战士40级衣服</v>
          </cell>
          <cell r="B1650">
            <v>121305</v>
          </cell>
        </row>
        <row r="1651">
          <cell r="A1651" t="str">
            <v>橙色战士50级衣服</v>
          </cell>
          <cell r="B1651">
            <v>121306</v>
          </cell>
        </row>
        <row r="1652">
          <cell r="A1652" t="str">
            <v>橙色战士60级衣服</v>
          </cell>
          <cell r="B1652">
            <v>121307</v>
          </cell>
        </row>
        <row r="1653">
          <cell r="A1653" t="str">
            <v>橙色战士70级衣服</v>
          </cell>
          <cell r="B1653">
            <v>121308</v>
          </cell>
        </row>
        <row r="1654">
          <cell r="A1654" t="str">
            <v>橙色战士80级衣服</v>
          </cell>
          <cell r="B1654">
            <v>121309</v>
          </cell>
        </row>
        <row r="1655">
          <cell r="A1655" t="str">
            <v>橙色战士90级衣服</v>
          </cell>
          <cell r="B1655">
            <v>121310</v>
          </cell>
        </row>
        <row r="1656">
          <cell r="A1656" t="str">
            <v>橙色战士100级衣服</v>
          </cell>
          <cell r="B1656">
            <v>121311</v>
          </cell>
        </row>
        <row r="1657">
          <cell r="A1657" t="str">
            <v>橙色战士110级衣服</v>
          </cell>
          <cell r="B1657">
            <v>121312</v>
          </cell>
        </row>
        <row r="1658">
          <cell r="A1658" t="str">
            <v>橙色战士120级衣服</v>
          </cell>
          <cell r="B1658">
            <v>121313</v>
          </cell>
        </row>
        <row r="1659">
          <cell r="A1659" t="str">
            <v>橙色战士130级衣服</v>
          </cell>
          <cell r="B1659">
            <v>121314</v>
          </cell>
        </row>
        <row r="1660">
          <cell r="A1660" t="str">
            <v>橙色战士140级衣服</v>
          </cell>
          <cell r="B1660">
            <v>121315</v>
          </cell>
        </row>
        <row r="1661">
          <cell r="A1661" t="str">
            <v>橙色战士150级衣服</v>
          </cell>
          <cell r="B1661">
            <v>121316</v>
          </cell>
        </row>
        <row r="1662">
          <cell r="A1662" t="str">
            <v>橙色战士160级衣服</v>
          </cell>
          <cell r="B1662">
            <v>121317</v>
          </cell>
        </row>
        <row r="1663">
          <cell r="A1663" t="str">
            <v>橙色战士170级衣服</v>
          </cell>
          <cell r="B1663">
            <v>121318</v>
          </cell>
        </row>
        <row r="1664">
          <cell r="A1664" t="str">
            <v>橙色战士180级衣服</v>
          </cell>
          <cell r="B1664">
            <v>121319</v>
          </cell>
        </row>
        <row r="1665">
          <cell r="A1665" t="str">
            <v>橙色战士190级衣服</v>
          </cell>
          <cell r="B1665">
            <v>121320</v>
          </cell>
        </row>
        <row r="1666">
          <cell r="A1666" t="str">
            <v>橙色战士200级衣服</v>
          </cell>
          <cell r="B1666">
            <v>121321</v>
          </cell>
        </row>
        <row r="1667">
          <cell r="A1667" t="str">
            <v>橙色法师1级衣服</v>
          </cell>
          <cell r="B1667">
            <v>122301</v>
          </cell>
        </row>
        <row r="1668">
          <cell r="A1668" t="str">
            <v>橙色法师10级衣服</v>
          </cell>
          <cell r="B1668">
            <v>122302</v>
          </cell>
        </row>
        <row r="1669">
          <cell r="A1669" t="str">
            <v>橙色法师20级衣服</v>
          </cell>
          <cell r="B1669">
            <v>122303</v>
          </cell>
        </row>
        <row r="1670">
          <cell r="A1670" t="str">
            <v>橙色法师30级衣服</v>
          </cell>
          <cell r="B1670">
            <v>122304</v>
          </cell>
        </row>
        <row r="1671">
          <cell r="A1671" t="str">
            <v>橙色法师40级衣服</v>
          </cell>
          <cell r="B1671">
            <v>122305</v>
          </cell>
        </row>
        <row r="1672">
          <cell r="A1672" t="str">
            <v>橙色法师50级衣服</v>
          </cell>
          <cell r="B1672">
            <v>122306</v>
          </cell>
        </row>
        <row r="1673">
          <cell r="A1673" t="str">
            <v>橙色法师60级衣服</v>
          </cell>
          <cell r="B1673">
            <v>122307</v>
          </cell>
        </row>
        <row r="1674">
          <cell r="A1674" t="str">
            <v>橙色法师70级衣服</v>
          </cell>
          <cell r="B1674">
            <v>122308</v>
          </cell>
        </row>
        <row r="1675">
          <cell r="A1675" t="str">
            <v>橙色法师80级衣服</v>
          </cell>
          <cell r="B1675">
            <v>122309</v>
          </cell>
        </row>
        <row r="1676">
          <cell r="A1676" t="str">
            <v>橙色法师90级衣服</v>
          </cell>
          <cell r="B1676">
            <v>122310</v>
          </cell>
        </row>
        <row r="1677">
          <cell r="A1677" t="str">
            <v>橙色法师100级衣服</v>
          </cell>
          <cell r="B1677">
            <v>122311</v>
          </cell>
        </row>
        <row r="1678">
          <cell r="A1678" t="str">
            <v>橙色法师110级衣服</v>
          </cell>
          <cell r="B1678">
            <v>122312</v>
          </cell>
        </row>
        <row r="1679">
          <cell r="A1679" t="str">
            <v>橙色法师120级衣服</v>
          </cell>
          <cell r="B1679">
            <v>122313</v>
          </cell>
        </row>
        <row r="1680">
          <cell r="A1680" t="str">
            <v>橙色法师130级衣服</v>
          </cell>
          <cell r="B1680">
            <v>122314</v>
          </cell>
        </row>
        <row r="1681">
          <cell r="A1681" t="str">
            <v>橙色法师140级衣服</v>
          </cell>
          <cell r="B1681">
            <v>122315</v>
          </cell>
        </row>
        <row r="1682">
          <cell r="A1682" t="str">
            <v>橙色法师150级衣服</v>
          </cell>
          <cell r="B1682">
            <v>122316</v>
          </cell>
        </row>
        <row r="1683">
          <cell r="A1683" t="str">
            <v>橙色法师160级衣服</v>
          </cell>
          <cell r="B1683">
            <v>122317</v>
          </cell>
        </row>
        <row r="1684">
          <cell r="A1684" t="str">
            <v>橙色法师170级衣服</v>
          </cell>
          <cell r="B1684">
            <v>122318</v>
          </cell>
        </row>
        <row r="1685">
          <cell r="A1685" t="str">
            <v>橙色法师180级衣服</v>
          </cell>
          <cell r="B1685">
            <v>122319</v>
          </cell>
        </row>
        <row r="1686">
          <cell r="A1686" t="str">
            <v>橙色法师190级衣服</v>
          </cell>
          <cell r="B1686">
            <v>122320</v>
          </cell>
        </row>
        <row r="1687">
          <cell r="A1687" t="str">
            <v>橙色法师200级衣服</v>
          </cell>
          <cell r="B1687">
            <v>122321</v>
          </cell>
        </row>
        <row r="1688">
          <cell r="A1688" t="str">
            <v>橙色道士1级衣服</v>
          </cell>
          <cell r="B1688">
            <v>123301</v>
          </cell>
        </row>
        <row r="1689">
          <cell r="A1689" t="str">
            <v>橙色道士10级衣服</v>
          </cell>
          <cell r="B1689">
            <v>123302</v>
          </cell>
        </row>
        <row r="1690">
          <cell r="A1690" t="str">
            <v>橙色道士20级衣服</v>
          </cell>
          <cell r="B1690">
            <v>123303</v>
          </cell>
        </row>
        <row r="1691">
          <cell r="A1691" t="str">
            <v>橙色道士30级衣服</v>
          </cell>
          <cell r="B1691">
            <v>123304</v>
          </cell>
        </row>
        <row r="1692">
          <cell r="A1692" t="str">
            <v>橙色道士40级衣服</v>
          </cell>
          <cell r="B1692">
            <v>123305</v>
          </cell>
        </row>
        <row r="1693">
          <cell r="A1693" t="str">
            <v>橙色道士50级衣服</v>
          </cell>
          <cell r="B1693">
            <v>123306</v>
          </cell>
        </row>
        <row r="1694">
          <cell r="A1694" t="str">
            <v>橙色道士60级衣服</v>
          </cell>
          <cell r="B1694">
            <v>123307</v>
          </cell>
        </row>
        <row r="1695">
          <cell r="A1695" t="str">
            <v>橙色道士70级衣服</v>
          </cell>
          <cell r="B1695">
            <v>123308</v>
          </cell>
        </row>
        <row r="1696">
          <cell r="A1696" t="str">
            <v>橙色道士80级衣服</v>
          </cell>
          <cell r="B1696">
            <v>123309</v>
          </cell>
        </row>
        <row r="1697">
          <cell r="A1697" t="str">
            <v>橙色道士90级衣服</v>
          </cell>
          <cell r="B1697">
            <v>123310</v>
          </cell>
        </row>
        <row r="1698">
          <cell r="A1698" t="str">
            <v>橙色道士100级衣服</v>
          </cell>
          <cell r="B1698">
            <v>123311</v>
          </cell>
        </row>
        <row r="1699">
          <cell r="A1699" t="str">
            <v>橙色道士110级衣服</v>
          </cell>
          <cell r="B1699">
            <v>123312</v>
          </cell>
        </row>
        <row r="1700">
          <cell r="A1700" t="str">
            <v>橙色道士120级衣服</v>
          </cell>
          <cell r="B1700">
            <v>123313</v>
          </cell>
        </row>
        <row r="1701">
          <cell r="A1701" t="str">
            <v>橙色道士130级衣服</v>
          </cell>
          <cell r="B1701">
            <v>123314</v>
          </cell>
        </row>
        <row r="1702">
          <cell r="A1702" t="str">
            <v>橙色道士140级衣服</v>
          </cell>
          <cell r="B1702">
            <v>123315</v>
          </cell>
        </row>
        <row r="1703">
          <cell r="A1703" t="str">
            <v>橙色道士150级衣服</v>
          </cell>
          <cell r="B1703">
            <v>123316</v>
          </cell>
        </row>
        <row r="1704">
          <cell r="A1704" t="str">
            <v>橙色道士160级衣服</v>
          </cell>
          <cell r="B1704">
            <v>123317</v>
          </cell>
        </row>
        <row r="1705">
          <cell r="A1705" t="str">
            <v>橙色道士170级衣服</v>
          </cell>
          <cell r="B1705">
            <v>123318</v>
          </cell>
        </row>
        <row r="1706">
          <cell r="A1706" t="str">
            <v>橙色道士180级衣服</v>
          </cell>
          <cell r="B1706">
            <v>123319</v>
          </cell>
        </row>
        <row r="1707">
          <cell r="A1707" t="str">
            <v>橙色道士190级衣服</v>
          </cell>
          <cell r="B1707">
            <v>123320</v>
          </cell>
        </row>
        <row r="1708">
          <cell r="A1708" t="str">
            <v>橙色道士200级衣服</v>
          </cell>
          <cell r="B1708">
            <v>123321</v>
          </cell>
        </row>
        <row r="1709">
          <cell r="A1709" t="str">
            <v>橙色战士1级项链</v>
          </cell>
          <cell r="B1709">
            <v>131301</v>
          </cell>
        </row>
        <row r="1710">
          <cell r="A1710" t="str">
            <v>橙色战士10级项链</v>
          </cell>
          <cell r="B1710">
            <v>131302</v>
          </cell>
        </row>
        <row r="1711">
          <cell r="A1711" t="str">
            <v>橙色战士20级项链</v>
          </cell>
          <cell r="B1711">
            <v>131303</v>
          </cell>
        </row>
        <row r="1712">
          <cell r="A1712" t="str">
            <v>橙色战士30级项链</v>
          </cell>
          <cell r="B1712">
            <v>131304</v>
          </cell>
        </row>
        <row r="1713">
          <cell r="A1713" t="str">
            <v>橙色战士40级项链</v>
          </cell>
          <cell r="B1713">
            <v>131305</v>
          </cell>
        </row>
        <row r="1714">
          <cell r="A1714" t="str">
            <v>橙色战士50级项链</v>
          </cell>
          <cell r="B1714">
            <v>131306</v>
          </cell>
        </row>
        <row r="1715">
          <cell r="A1715" t="str">
            <v>橙色战士60级项链</v>
          </cell>
          <cell r="B1715">
            <v>131307</v>
          </cell>
        </row>
        <row r="1716">
          <cell r="A1716" t="str">
            <v>橙色战士70级项链</v>
          </cell>
          <cell r="B1716">
            <v>131308</v>
          </cell>
        </row>
        <row r="1717">
          <cell r="A1717" t="str">
            <v>橙色战士80级项链</v>
          </cell>
          <cell r="B1717">
            <v>131309</v>
          </cell>
        </row>
        <row r="1718">
          <cell r="A1718" t="str">
            <v>橙色战士90级项链</v>
          </cell>
          <cell r="B1718">
            <v>131310</v>
          </cell>
        </row>
        <row r="1719">
          <cell r="A1719" t="str">
            <v>橙色战士100级项链</v>
          </cell>
          <cell r="B1719">
            <v>131311</v>
          </cell>
        </row>
        <row r="1720">
          <cell r="A1720" t="str">
            <v>橙色战士110级项链</v>
          </cell>
          <cell r="B1720">
            <v>131312</v>
          </cell>
        </row>
        <row r="1721">
          <cell r="A1721" t="str">
            <v>橙色战士120级项链</v>
          </cell>
          <cell r="B1721">
            <v>131313</v>
          </cell>
        </row>
        <row r="1722">
          <cell r="A1722" t="str">
            <v>橙色战士130级项链</v>
          </cell>
          <cell r="B1722">
            <v>131314</v>
          </cell>
        </row>
        <row r="1723">
          <cell r="A1723" t="str">
            <v>橙色战士140级项链</v>
          </cell>
          <cell r="B1723">
            <v>131315</v>
          </cell>
        </row>
        <row r="1724">
          <cell r="A1724" t="str">
            <v>橙色战士150级项链</v>
          </cell>
          <cell r="B1724">
            <v>131316</v>
          </cell>
        </row>
        <row r="1725">
          <cell r="A1725" t="str">
            <v>橙色战士160级项链</v>
          </cell>
          <cell r="B1725">
            <v>131317</v>
          </cell>
        </row>
        <row r="1726">
          <cell r="A1726" t="str">
            <v>橙色战士170级项链</v>
          </cell>
          <cell r="B1726">
            <v>131318</v>
          </cell>
        </row>
        <row r="1727">
          <cell r="A1727" t="str">
            <v>橙色战士180级项链</v>
          </cell>
          <cell r="B1727">
            <v>131319</v>
          </cell>
        </row>
        <row r="1728">
          <cell r="A1728" t="str">
            <v>橙色战士190级项链</v>
          </cell>
          <cell r="B1728">
            <v>131320</v>
          </cell>
        </row>
        <row r="1729">
          <cell r="A1729" t="str">
            <v>橙色战士200级项链</v>
          </cell>
          <cell r="B1729">
            <v>131321</v>
          </cell>
        </row>
        <row r="1730">
          <cell r="A1730" t="str">
            <v>橙色法师1级项链</v>
          </cell>
          <cell r="B1730">
            <v>132301</v>
          </cell>
        </row>
        <row r="1731">
          <cell r="A1731" t="str">
            <v>橙色法师10级项链</v>
          </cell>
          <cell r="B1731">
            <v>132302</v>
          </cell>
        </row>
        <row r="1732">
          <cell r="A1732" t="str">
            <v>橙色法师20级项链</v>
          </cell>
          <cell r="B1732">
            <v>132303</v>
          </cell>
        </row>
        <row r="1733">
          <cell r="A1733" t="str">
            <v>橙色法师30级项链</v>
          </cell>
          <cell r="B1733">
            <v>132304</v>
          </cell>
        </row>
        <row r="1734">
          <cell r="A1734" t="str">
            <v>橙色法师40级项链</v>
          </cell>
          <cell r="B1734">
            <v>132305</v>
          </cell>
        </row>
        <row r="1735">
          <cell r="A1735" t="str">
            <v>橙色法师50级项链</v>
          </cell>
          <cell r="B1735">
            <v>132306</v>
          </cell>
        </row>
        <row r="1736">
          <cell r="A1736" t="str">
            <v>橙色法师60级项链</v>
          </cell>
          <cell r="B1736">
            <v>132307</v>
          </cell>
        </row>
        <row r="1737">
          <cell r="A1737" t="str">
            <v>橙色法师70级项链</v>
          </cell>
          <cell r="B1737">
            <v>132308</v>
          </cell>
        </row>
        <row r="1738">
          <cell r="A1738" t="str">
            <v>橙色法师80级项链</v>
          </cell>
          <cell r="B1738">
            <v>132309</v>
          </cell>
        </row>
        <row r="1739">
          <cell r="A1739" t="str">
            <v>橙色法师90级项链</v>
          </cell>
          <cell r="B1739">
            <v>132310</v>
          </cell>
        </row>
        <row r="1740">
          <cell r="A1740" t="str">
            <v>橙色法师100级项链</v>
          </cell>
          <cell r="B1740">
            <v>132311</v>
          </cell>
        </row>
        <row r="1741">
          <cell r="A1741" t="str">
            <v>橙色法师110级项链</v>
          </cell>
          <cell r="B1741">
            <v>132312</v>
          </cell>
        </row>
        <row r="1742">
          <cell r="A1742" t="str">
            <v>橙色法师120级项链</v>
          </cell>
          <cell r="B1742">
            <v>132313</v>
          </cell>
        </row>
        <row r="1743">
          <cell r="A1743" t="str">
            <v>橙色法师130级项链</v>
          </cell>
          <cell r="B1743">
            <v>132314</v>
          </cell>
        </row>
        <row r="1744">
          <cell r="A1744" t="str">
            <v>橙色法师140级项链</v>
          </cell>
          <cell r="B1744">
            <v>132315</v>
          </cell>
        </row>
        <row r="1745">
          <cell r="A1745" t="str">
            <v>橙色法师150级项链</v>
          </cell>
          <cell r="B1745">
            <v>132316</v>
          </cell>
        </row>
        <row r="1746">
          <cell r="A1746" t="str">
            <v>橙色法师160级项链</v>
          </cell>
          <cell r="B1746">
            <v>132317</v>
          </cell>
        </row>
        <row r="1747">
          <cell r="A1747" t="str">
            <v>橙色法师170级项链</v>
          </cell>
          <cell r="B1747">
            <v>132318</v>
          </cell>
        </row>
        <row r="1748">
          <cell r="A1748" t="str">
            <v>橙色法师180级项链</v>
          </cell>
          <cell r="B1748">
            <v>132319</v>
          </cell>
        </row>
        <row r="1749">
          <cell r="A1749" t="str">
            <v>橙色法师190级项链</v>
          </cell>
          <cell r="B1749">
            <v>132320</v>
          </cell>
        </row>
        <row r="1750">
          <cell r="A1750" t="str">
            <v>橙色法师200级项链</v>
          </cell>
          <cell r="B1750">
            <v>132321</v>
          </cell>
        </row>
        <row r="1751">
          <cell r="A1751" t="str">
            <v>橙色道士1级项链</v>
          </cell>
          <cell r="B1751">
            <v>133301</v>
          </cell>
        </row>
        <row r="1752">
          <cell r="A1752" t="str">
            <v>橙色道士10级项链</v>
          </cell>
          <cell r="B1752">
            <v>133302</v>
          </cell>
        </row>
        <row r="1753">
          <cell r="A1753" t="str">
            <v>橙色道士20级项链</v>
          </cell>
          <cell r="B1753">
            <v>133303</v>
          </cell>
        </row>
        <row r="1754">
          <cell r="A1754" t="str">
            <v>橙色道士30级项链</v>
          </cell>
          <cell r="B1754">
            <v>133304</v>
          </cell>
        </row>
        <row r="1755">
          <cell r="A1755" t="str">
            <v>橙色道士40级项链</v>
          </cell>
          <cell r="B1755">
            <v>133305</v>
          </cell>
        </row>
        <row r="1756">
          <cell r="A1756" t="str">
            <v>橙色道士50级项链</v>
          </cell>
          <cell r="B1756">
            <v>133306</v>
          </cell>
        </row>
        <row r="1757">
          <cell r="A1757" t="str">
            <v>橙色道士60级项链</v>
          </cell>
          <cell r="B1757">
            <v>133307</v>
          </cell>
        </row>
        <row r="1758">
          <cell r="A1758" t="str">
            <v>橙色道士70级项链</v>
          </cell>
          <cell r="B1758">
            <v>133308</v>
          </cell>
        </row>
        <row r="1759">
          <cell r="A1759" t="str">
            <v>橙色道士80级项链</v>
          </cell>
          <cell r="B1759">
            <v>133309</v>
          </cell>
        </row>
        <row r="1760">
          <cell r="A1760" t="str">
            <v>橙色道士90级项链</v>
          </cell>
          <cell r="B1760">
            <v>133310</v>
          </cell>
        </row>
        <row r="1761">
          <cell r="A1761" t="str">
            <v>橙色道士100级项链</v>
          </cell>
          <cell r="B1761">
            <v>133311</v>
          </cell>
        </row>
        <row r="1762">
          <cell r="A1762" t="str">
            <v>橙色道士110级项链</v>
          </cell>
          <cell r="B1762">
            <v>133312</v>
          </cell>
        </row>
        <row r="1763">
          <cell r="A1763" t="str">
            <v>橙色道士120级项链</v>
          </cell>
          <cell r="B1763">
            <v>133313</v>
          </cell>
        </row>
        <row r="1764">
          <cell r="A1764" t="str">
            <v>橙色道士130级项链</v>
          </cell>
          <cell r="B1764">
            <v>133314</v>
          </cell>
        </row>
        <row r="1765">
          <cell r="A1765" t="str">
            <v>橙色道士140级项链</v>
          </cell>
          <cell r="B1765">
            <v>133315</v>
          </cell>
        </row>
        <row r="1766">
          <cell r="A1766" t="str">
            <v>橙色道士150级项链</v>
          </cell>
          <cell r="B1766">
            <v>133316</v>
          </cell>
        </row>
        <row r="1767">
          <cell r="A1767" t="str">
            <v>橙色道士160级项链</v>
          </cell>
          <cell r="B1767">
            <v>133317</v>
          </cell>
        </row>
        <row r="1768">
          <cell r="A1768" t="str">
            <v>橙色道士170级项链</v>
          </cell>
          <cell r="B1768">
            <v>133318</v>
          </cell>
        </row>
        <row r="1769">
          <cell r="A1769" t="str">
            <v>橙色道士180级项链</v>
          </cell>
          <cell r="B1769">
            <v>133319</v>
          </cell>
        </row>
        <row r="1770">
          <cell r="A1770" t="str">
            <v>橙色道士190级项链</v>
          </cell>
          <cell r="B1770">
            <v>133320</v>
          </cell>
        </row>
        <row r="1771">
          <cell r="A1771" t="str">
            <v>橙色道士200级项链</v>
          </cell>
          <cell r="B1771">
            <v>133321</v>
          </cell>
        </row>
        <row r="1772">
          <cell r="A1772" t="str">
            <v>橙色战士1级手镯</v>
          </cell>
          <cell r="B1772">
            <v>141301</v>
          </cell>
        </row>
        <row r="1773">
          <cell r="A1773" t="str">
            <v>橙色战士10级手镯</v>
          </cell>
          <cell r="B1773">
            <v>141302</v>
          </cell>
        </row>
        <row r="1774">
          <cell r="A1774" t="str">
            <v>橙色战士20级手镯</v>
          </cell>
          <cell r="B1774">
            <v>141303</v>
          </cell>
        </row>
        <row r="1775">
          <cell r="A1775" t="str">
            <v>橙色战士30级手镯</v>
          </cell>
          <cell r="B1775">
            <v>141304</v>
          </cell>
        </row>
        <row r="1776">
          <cell r="A1776" t="str">
            <v>橙色战士40级手镯</v>
          </cell>
          <cell r="B1776">
            <v>141305</v>
          </cell>
        </row>
        <row r="1777">
          <cell r="A1777" t="str">
            <v>橙色战士50级手镯</v>
          </cell>
          <cell r="B1777">
            <v>141306</v>
          </cell>
        </row>
        <row r="1778">
          <cell r="A1778" t="str">
            <v>橙色战士60级手镯</v>
          </cell>
          <cell r="B1778">
            <v>141307</v>
          </cell>
        </row>
        <row r="1779">
          <cell r="A1779" t="str">
            <v>橙色战士70级手镯</v>
          </cell>
          <cell r="B1779">
            <v>141308</v>
          </cell>
        </row>
        <row r="1780">
          <cell r="A1780" t="str">
            <v>橙色战士80级手镯</v>
          </cell>
          <cell r="B1780">
            <v>141309</v>
          </cell>
        </row>
        <row r="1781">
          <cell r="A1781" t="str">
            <v>橙色战士90级手镯</v>
          </cell>
          <cell r="B1781">
            <v>141310</v>
          </cell>
        </row>
        <row r="1782">
          <cell r="A1782" t="str">
            <v>橙色战士100级手镯</v>
          </cell>
          <cell r="B1782">
            <v>141311</v>
          </cell>
        </row>
        <row r="1783">
          <cell r="A1783" t="str">
            <v>橙色战士110级手镯</v>
          </cell>
          <cell r="B1783">
            <v>141312</v>
          </cell>
        </row>
        <row r="1784">
          <cell r="A1784" t="str">
            <v>橙色战士120级手镯</v>
          </cell>
          <cell r="B1784">
            <v>141313</v>
          </cell>
        </row>
        <row r="1785">
          <cell r="A1785" t="str">
            <v>橙色战士130级手镯</v>
          </cell>
          <cell r="B1785">
            <v>141314</v>
          </cell>
        </row>
        <row r="1786">
          <cell r="A1786" t="str">
            <v>橙色战士140级手镯</v>
          </cell>
          <cell r="B1786">
            <v>141315</v>
          </cell>
        </row>
        <row r="1787">
          <cell r="A1787" t="str">
            <v>橙色战士150级手镯</v>
          </cell>
          <cell r="B1787">
            <v>141316</v>
          </cell>
        </row>
        <row r="1788">
          <cell r="A1788" t="str">
            <v>橙色战士160级手镯</v>
          </cell>
          <cell r="B1788">
            <v>141317</v>
          </cell>
        </row>
        <row r="1789">
          <cell r="A1789" t="str">
            <v>橙色战士170级手镯</v>
          </cell>
          <cell r="B1789">
            <v>141318</v>
          </cell>
        </row>
        <row r="1790">
          <cell r="A1790" t="str">
            <v>橙色战士180级手镯</v>
          </cell>
          <cell r="B1790">
            <v>141319</v>
          </cell>
        </row>
        <row r="1791">
          <cell r="A1791" t="str">
            <v>橙色战士190级手镯</v>
          </cell>
          <cell r="B1791">
            <v>141320</v>
          </cell>
        </row>
        <row r="1792">
          <cell r="A1792" t="str">
            <v>橙色战士200级手镯</v>
          </cell>
          <cell r="B1792">
            <v>141321</v>
          </cell>
        </row>
        <row r="1793">
          <cell r="A1793" t="str">
            <v>橙色法师1级手镯</v>
          </cell>
          <cell r="B1793">
            <v>142301</v>
          </cell>
        </row>
        <row r="1794">
          <cell r="A1794" t="str">
            <v>橙色法师10级手镯</v>
          </cell>
          <cell r="B1794">
            <v>142302</v>
          </cell>
        </row>
        <row r="1795">
          <cell r="A1795" t="str">
            <v>橙色法师20级手镯</v>
          </cell>
          <cell r="B1795">
            <v>142303</v>
          </cell>
        </row>
        <row r="1796">
          <cell r="A1796" t="str">
            <v>橙色法师30级手镯</v>
          </cell>
          <cell r="B1796">
            <v>142304</v>
          </cell>
        </row>
        <row r="1797">
          <cell r="A1797" t="str">
            <v>橙色法师40级手镯</v>
          </cell>
          <cell r="B1797">
            <v>142305</v>
          </cell>
        </row>
        <row r="1798">
          <cell r="A1798" t="str">
            <v>橙色法师50级手镯</v>
          </cell>
          <cell r="B1798">
            <v>142306</v>
          </cell>
        </row>
        <row r="1799">
          <cell r="A1799" t="str">
            <v>橙色法师60级手镯</v>
          </cell>
          <cell r="B1799">
            <v>142307</v>
          </cell>
        </row>
        <row r="1800">
          <cell r="A1800" t="str">
            <v>橙色法师70级手镯</v>
          </cell>
          <cell r="B1800">
            <v>142308</v>
          </cell>
        </row>
        <row r="1801">
          <cell r="A1801" t="str">
            <v>橙色法师80级手镯</v>
          </cell>
          <cell r="B1801">
            <v>142309</v>
          </cell>
        </row>
        <row r="1802">
          <cell r="A1802" t="str">
            <v>橙色法师90级手镯</v>
          </cell>
          <cell r="B1802">
            <v>142310</v>
          </cell>
        </row>
        <row r="1803">
          <cell r="A1803" t="str">
            <v>橙色法师100级手镯</v>
          </cell>
          <cell r="B1803">
            <v>142311</v>
          </cell>
        </row>
        <row r="1804">
          <cell r="A1804" t="str">
            <v>橙色法师110级手镯</v>
          </cell>
          <cell r="B1804">
            <v>142312</v>
          </cell>
        </row>
        <row r="1805">
          <cell r="A1805" t="str">
            <v>橙色法师120级手镯</v>
          </cell>
          <cell r="B1805">
            <v>142313</v>
          </cell>
        </row>
        <row r="1806">
          <cell r="A1806" t="str">
            <v>橙色法师130级手镯</v>
          </cell>
          <cell r="B1806">
            <v>142314</v>
          </cell>
        </row>
        <row r="1807">
          <cell r="A1807" t="str">
            <v>橙色法师140级手镯</v>
          </cell>
          <cell r="B1807">
            <v>142315</v>
          </cell>
        </row>
        <row r="1808">
          <cell r="A1808" t="str">
            <v>橙色法师150级手镯</v>
          </cell>
          <cell r="B1808">
            <v>142316</v>
          </cell>
        </row>
        <row r="1809">
          <cell r="A1809" t="str">
            <v>橙色法师160级手镯</v>
          </cell>
          <cell r="B1809">
            <v>142317</v>
          </cell>
        </row>
        <row r="1810">
          <cell r="A1810" t="str">
            <v>橙色法师170级手镯</v>
          </cell>
          <cell r="B1810">
            <v>142318</v>
          </cell>
        </row>
        <row r="1811">
          <cell r="A1811" t="str">
            <v>橙色法师180级手镯</v>
          </cell>
          <cell r="B1811">
            <v>142319</v>
          </cell>
        </row>
        <row r="1812">
          <cell r="A1812" t="str">
            <v>橙色法师190级手镯</v>
          </cell>
          <cell r="B1812">
            <v>142320</v>
          </cell>
        </row>
        <row r="1813">
          <cell r="A1813" t="str">
            <v>橙色法师200级手镯</v>
          </cell>
          <cell r="B1813">
            <v>142321</v>
          </cell>
        </row>
        <row r="1814">
          <cell r="A1814" t="str">
            <v>橙色道士1级手镯</v>
          </cell>
          <cell r="B1814">
            <v>143301</v>
          </cell>
        </row>
        <row r="1815">
          <cell r="A1815" t="str">
            <v>橙色道士10级手镯</v>
          </cell>
          <cell r="B1815">
            <v>143302</v>
          </cell>
        </row>
        <row r="1816">
          <cell r="A1816" t="str">
            <v>橙色道士20级手镯</v>
          </cell>
          <cell r="B1816">
            <v>143303</v>
          </cell>
        </row>
        <row r="1817">
          <cell r="A1817" t="str">
            <v>橙色道士30级手镯</v>
          </cell>
          <cell r="B1817">
            <v>143304</v>
          </cell>
        </row>
        <row r="1818">
          <cell r="A1818" t="str">
            <v>橙色道士40级手镯</v>
          </cell>
          <cell r="B1818">
            <v>143305</v>
          </cell>
        </row>
        <row r="1819">
          <cell r="A1819" t="str">
            <v>橙色道士50级手镯</v>
          </cell>
          <cell r="B1819">
            <v>143306</v>
          </cell>
        </row>
        <row r="1820">
          <cell r="A1820" t="str">
            <v>橙色道士60级手镯</v>
          </cell>
          <cell r="B1820">
            <v>143307</v>
          </cell>
        </row>
        <row r="1821">
          <cell r="A1821" t="str">
            <v>橙色道士70级手镯</v>
          </cell>
          <cell r="B1821">
            <v>143308</v>
          </cell>
        </row>
        <row r="1822">
          <cell r="A1822" t="str">
            <v>橙色道士80级手镯</v>
          </cell>
          <cell r="B1822">
            <v>143309</v>
          </cell>
        </row>
        <row r="1823">
          <cell r="A1823" t="str">
            <v>橙色道士90级手镯</v>
          </cell>
          <cell r="B1823">
            <v>143310</v>
          </cell>
        </row>
        <row r="1824">
          <cell r="A1824" t="str">
            <v>橙色道士100级手镯</v>
          </cell>
          <cell r="B1824">
            <v>143311</v>
          </cell>
        </row>
        <row r="1825">
          <cell r="A1825" t="str">
            <v>橙色道士110级手镯</v>
          </cell>
          <cell r="B1825">
            <v>143312</v>
          </cell>
        </row>
        <row r="1826">
          <cell r="A1826" t="str">
            <v>橙色道士120级手镯</v>
          </cell>
          <cell r="B1826">
            <v>143313</v>
          </cell>
        </row>
        <row r="1827">
          <cell r="A1827" t="str">
            <v>橙色道士130级手镯</v>
          </cell>
          <cell r="B1827">
            <v>143314</v>
          </cell>
        </row>
        <row r="1828">
          <cell r="A1828" t="str">
            <v>橙色道士140级手镯</v>
          </cell>
          <cell r="B1828">
            <v>143315</v>
          </cell>
        </row>
        <row r="1829">
          <cell r="A1829" t="str">
            <v>橙色道士150级手镯</v>
          </cell>
          <cell r="B1829">
            <v>143316</v>
          </cell>
        </row>
        <row r="1830">
          <cell r="A1830" t="str">
            <v>橙色道士160级手镯</v>
          </cell>
          <cell r="B1830">
            <v>143317</v>
          </cell>
        </row>
        <row r="1831">
          <cell r="A1831" t="str">
            <v>橙色道士170级手镯</v>
          </cell>
          <cell r="B1831">
            <v>143318</v>
          </cell>
        </row>
        <row r="1832">
          <cell r="A1832" t="str">
            <v>橙色道士180级手镯</v>
          </cell>
          <cell r="B1832">
            <v>143319</v>
          </cell>
        </row>
        <row r="1833">
          <cell r="A1833" t="str">
            <v>橙色道士190级手镯</v>
          </cell>
          <cell r="B1833">
            <v>143320</v>
          </cell>
        </row>
        <row r="1834">
          <cell r="A1834" t="str">
            <v>橙色道士200级手镯</v>
          </cell>
          <cell r="B1834">
            <v>143321</v>
          </cell>
        </row>
        <row r="1835">
          <cell r="A1835" t="str">
            <v>橙色战士1级腰带</v>
          </cell>
          <cell r="B1835">
            <v>151301</v>
          </cell>
        </row>
        <row r="1836">
          <cell r="A1836" t="str">
            <v>橙色战士10级腰带</v>
          </cell>
          <cell r="B1836">
            <v>151302</v>
          </cell>
        </row>
        <row r="1837">
          <cell r="A1837" t="str">
            <v>橙色战士20级腰带</v>
          </cell>
          <cell r="B1837">
            <v>151303</v>
          </cell>
        </row>
        <row r="1838">
          <cell r="A1838" t="str">
            <v>橙色战士30级腰带</v>
          </cell>
          <cell r="B1838">
            <v>151304</v>
          </cell>
        </row>
        <row r="1839">
          <cell r="A1839" t="str">
            <v>橙色战士40级腰带</v>
          </cell>
          <cell r="B1839">
            <v>151305</v>
          </cell>
        </row>
        <row r="1840">
          <cell r="A1840" t="str">
            <v>橙色战士50级腰带</v>
          </cell>
          <cell r="B1840">
            <v>151306</v>
          </cell>
        </row>
        <row r="1841">
          <cell r="A1841" t="str">
            <v>橙色战士60级腰带</v>
          </cell>
          <cell r="B1841">
            <v>151307</v>
          </cell>
        </row>
        <row r="1842">
          <cell r="A1842" t="str">
            <v>橙色战士70级腰带</v>
          </cell>
          <cell r="B1842">
            <v>151308</v>
          </cell>
        </row>
        <row r="1843">
          <cell r="A1843" t="str">
            <v>橙色战士80级腰带</v>
          </cell>
          <cell r="B1843">
            <v>151309</v>
          </cell>
        </row>
        <row r="1844">
          <cell r="A1844" t="str">
            <v>橙色战士90级腰带</v>
          </cell>
          <cell r="B1844">
            <v>151310</v>
          </cell>
        </row>
        <row r="1845">
          <cell r="A1845" t="str">
            <v>橙色战士100级腰带</v>
          </cell>
          <cell r="B1845">
            <v>151311</v>
          </cell>
        </row>
        <row r="1846">
          <cell r="A1846" t="str">
            <v>橙色战士110级腰带</v>
          </cell>
          <cell r="B1846">
            <v>151312</v>
          </cell>
        </row>
        <row r="1847">
          <cell r="A1847" t="str">
            <v>橙色战士120级腰带</v>
          </cell>
          <cell r="B1847">
            <v>151313</v>
          </cell>
        </row>
        <row r="1848">
          <cell r="A1848" t="str">
            <v>橙色战士130级腰带</v>
          </cell>
          <cell r="B1848">
            <v>151314</v>
          </cell>
        </row>
        <row r="1849">
          <cell r="A1849" t="str">
            <v>橙色战士140级腰带</v>
          </cell>
          <cell r="B1849">
            <v>151315</v>
          </cell>
        </row>
        <row r="1850">
          <cell r="A1850" t="str">
            <v>橙色战士150级腰带</v>
          </cell>
          <cell r="B1850">
            <v>151316</v>
          </cell>
        </row>
        <row r="1851">
          <cell r="A1851" t="str">
            <v>橙色战士160级腰带</v>
          </cell>
          <cell r="B1851">
            <v>151317</v>
          </cell>
        </row>
        <row r="1852">
          <cell r="A1852" t="str">
            <v>橙色战士170级腰带</v>
          </cell>
          <cell r="B1852">
            <v>151318</v>
          </cell>
        </row>
        <row r="1853">
          <cell r="A1853" t="str">
            <v>橙色战士180级腰带</v>
          </cell>
          <cell r="B1853">
            <v>151319</v>
          </cell>
        </row>
        <row r="1854">
          <cell r="A1854" t="str">
            <v>橙色战士190级腰带</v>
          </cell>
          <cell r="B1854">
            <v>151320</v>
          </cell>
        </row>
        <row r="1855">
          <cell r="A1855" t="str">
            <v>橙色战士200级腰带</v>
          </cell>
          <cell r="B1855">
            <v>151321</v>
          </cell>
        </row>
        <row r="1856">
          <cell r="A1856" t="str">
            <v>橙色法师1级腰带</v>
          </cell>
          <cell r="B1856">
            <v>152301</v>
          </cell>
        </row>
        <row r="1857">
          <cell r="A1857" t="str">
            <v>橙色法师10级腰带</v>
          </cell>
          <cell r="B1857">
            <v>152302</v>
          </cell>
        </row>
        <row r="1858">
          <cell r="A1858" t="str">
            <v>橙色法师20级腰带</v>
          </cell>
          <cell r="B1858">
            <v>152303</v>
          </cell>
        </row>
        <row r="1859">
          <cell r="A1859" t="str">
            <v>橙色法师30级腰带</v>
          </cell>
          <cell r="B1859">
            <v>152304</v>
          </cell>
        </row>
        <row r="1860">
          <cell r="A1860" t="str">
            <v>橙色法师40级腰带</v>
          </cell>
          <cell r="B1860">
            <v>152305</v>
          </cell>
        </row>
        <row r="1861">
          <cell r="A1861" t="str">
            <v>橙色法师50级腰带</v>
          </cell>
          <cell r="B1861">
            <v>152306</v>
          </cell>
        </row>
        <row r="1862">
          <cell r="A1862" t="str">
            <v>橙色法师60级腰带</v>
          </cell>
          <cell r="B1862">
            <v>152307</v>
          </cell>
        </row>
        <row r="1863">
          <cell r="A1863" t="str">
            <v>橙色法师70级腰带</v>
          </cell>
          <cell r="B1863">
            <v>152308</v>
          </cell>
        </row>
        <row r="1864">
          <cell r="A1864" t="str">
            <v>橙色法师80级腰带</v>
          </cell>
          <cell r="B1864">
            <v>152309</v>
          </cell>
        </row>
        <row r="1865">
          <cell r="A1865" t="str">
            <v>橙色法师90级腰带</v>
          </cell>
          <cell r="B1865">
            <v>152310</v>
          </cell>
        </row>
        <row r="1866">
          <cell r="A1866" t="str">
            <v>橙色法师100级腰带</v>
          </cell>
          <cell r="B1866">
            <v>152311</v>
          </cell>
        </row>
        <row r="1867">
          <cell r="A1867" t="str">
            <v>橙色法师110级腰带</v>
          </cell>
          <cell r="B1867">
            <v>152312</v>
          </cell>
        </row>
        <row r="1868">
          <cell r="A1868" t="str">
            <v>橙色法师120级腰带</v>
          </cell>
          <cell r="B1868">
            <v>152313</v>
          </cell>
        </row>
        <row r="1869">
          <cell r="A1869" t="str">
            <v>橙色法师130级腰带</v>
          </cell>
          <cell r="B1869">
            <v>152314</v>
          </cell>
        </row>
        <row r="1870">
          <cell r="A1870" t="str">
            <v>橙色法师140级腰带</v>
          </cell>
          <cell r="B1870">
            <v>152315</v>
          </cell>
        </row>
        <row r="1871">
          <cell r="A1871" t="str">
            <v>橙色法师150级腰带</v>
          </cell>
          <cell r="B1871">
            <v>152316</v>
          </cell>
        </row>
        <row r="1872">
          <cell r="A1872" t="str">
            <v>橙色法师160级腰带</v>
          </cell>
          <cell r="B1872">
            <v>152317</v>
          </cell>
        </row>
        <row r="1873">
          <cell r="A1873" t="str">
            <v>橙色法师170级腰带</v>
          </cell>
          <cell r="B1873">
            <v>152318</v>
          </cell>
        </row>
        <row r="1874">
          <cell r="A1874" t="str">
            <v>橙色法师180级腰带</v>
          </cell>
          <cell r="B1874">
            <v>152319</v>
          </cell>
        </row>
        <row r="1875">
          <cell r="A1875" t="str">
            <v>橙色法师190级腰带</v>
          </cell>
          <cell r="B1875">
            <v>152320</v>
          </cell>
        </row>
        <row r="1876">
          <cell r="A1876" t="str">
            <v>橙色法师200级腰带</v>
          </cell>
          <cell r="B1876">
            <v>152321</v>
          </cell>
        </row>
        <row r="1877">
          <cell r="A1877" t="str">
            <v>橙色道士1级腰带</v>
          </cell>
          <cell r="B1877">
            <v>153301</v>
          </cell>
        </row>
        <row r="1878">
          <cell r="A1878" t="str">
            <v>橙色道士10级腰带</v>
          </cell>
          <cell r="B1878">
            <v>153302</v>
          </cell>
        </row>
        <row r="1879">
          <cell r="A1879" t="str">
            <v>橙色道士20级腰带</v>
          </cell>
          <cell r="B1879">
            <v>153303</v>
          </cell>
        </row>
        <row r="1880">
          <cell r="A1880" t="str">
            <v>橙色道士30级腰带</v>
          </cell>
          <cell r="B1880">
            <v>153304</v>
          </cell>
        </row>
        <row r="1881">
          <cell r="A1881" t="str">
            <v>橙色道士40级腰带</v>
          </cell>
          <cell r="B1881">
            <v>153305</v>
          </cell>
        </row>
        <row r="1882">
          <cell r="A1882" t="str">
            <v>橙色道士50级腰带</v>
          </cell>
          <cell r="B1882">
            <v>153306</v>
          </cell>
        </row>
        <row r="1883">
          <cell r="A1883" t="str">
            <v>橙色道士60级腰带</v>
          </cell>
          <cell r="B1883">
            <v>153307</v>
          </cell>
        </row>
        <row r="1884">
          <cell r="A1884" t="str">
            <v>橙色道士70级腰带</v>
          </cell>
          <cell r="B1884">
            <v>153308</v>
          </cell>
        </row>
        <row r="1885">
          <cell r="A1885" t="str">
            <v>橙色道士80级腰带</v>
          </cell>
          <cell r="B1885">
            <v>153309</v>
          </cell>
        </row>
        <row r="1886">
          <cell r="A1886" t="str">
            <v>橙色道士90级腰带</v>
          </cell>
          <cell r="B1886">
            <v>153310</v>
          </cell>
        </row>
        <row r="1887">
          <cell r="A1887" t="str">
            <v>橙色道士100级腰带</v>
          </cell>
          <cell r="B1887">
            <v>153311</v>
          </cell>
        </row>
        <row r="1888">
          <cell r="A1888" t="str">
            <v>橙色道士110级腰带</v>
          </cell>
          <cell r="B1888">
            <v>153312</v>
          </cell>
        </row>
        <row r="1889">
          <cell r="A1889" t="str">
            <v>橙色道士120级腰带</v>
          </cell>
          <cell r="B1889">
            <v>153313</v>
          </cell>
        </row>
        <row r="1890">
          <cell r="A1890" t="str">
            <v>橙色道士130级腰带</v>
          </cell>
          <cell r="B1890">
            <v>153314</v>
          </cell>
        </row>
        <row r="1891">
          <cell r="A1891" t="str">
            <v>橙色道士140级腰带</v>
          </cell>
          <cell r="B1891">
            <v>153315</v>
          </cell>
        </row>
        <row r="1892">
          <cell r="A1892" t="str">
            <v>橙色道士150级腰带</v>
          </cell>
          <cell r="B1892">
            <v>153316</v>
          </cell>
        </row>
        <row r="1893">
          <cell r="A1893" t="str">
            <v>橙色道士160级腰带</v>
          </cell>
          <cell r="B1893">
            <v>153317</v>
          </cell>
        </row>
        <row r="1894">
          <cell r="A1894" t="str">
            <v>橙色道士170级腰带</v>
          </cell>
          <cell r="B1894">
            <v>153318</v>
          </cell>
        </row>
        <row r="1895">
          <cell r="A1895" t="str">
            <v>橙色道士180级腰带</v>
          </cell>
          <cell r="B1895">
            <v>153319</v>
          </cell>
        </row>
        <row r="1896">
          <cell r="A1896" t="str">
            <v>橙色道士190级腰带</v>
          </cell>
          <cell r="B1896">
            <v>153320</v>
          </cell>
        </row>
        <row r="1897">
          <cell r="A1897" t="str">
            <v>橙色道士200级腰带</v>
          </cell>
          <cell r="B1897">
            <v>153321</v>
          </cell>
        </row>
        <row r="1898">
          <cell r="A1898" t="str">
            <v>橙色战士1级戒指</v>
          </cell>
          <cell r="B1898">
            <v>161301</v>
          </cell>
        </row>
        <row r="1899">
          <cell r="A1899" t="str">
            <v>橙色战士10级戒指</v>
          </cell>
          <cell r="B1899">
            <v>161302</v>
          </cell>
        </row>
        <row r="1900">
          <cell r="A1900" t="str">
            <v>橙色战士20级戒指</v>
          </cell>
          <cell r="B1900">
            <v>161303</v>
          </cell>
        </row>
        <row r="1901">
          <cell r="A1901" t="str">
            <v>橙色战士30级戒指</v>
          </cell>
          <cell r="B1901">
            <v>161304</v>
          </cell>
        </row>
        <row r="1902">
          <cell r="A1902" t="str">
            <v>橙色战士40级戒指</v>
          </cell>
          <cell r="B1902">
            <v>161305</v>
          </cell>
        </row>
        <row r="1903">
          <cell r="A1903" t="str">
            <v>橙色战士50级戒指</v>
          </cell>
          <cell r="B1903">
            <v>161306</v>
          </cell>
        </row>
        <row r="1904">
          <cell r="A1904" t="str">
            <v>橙色战士60级戒指</v>
          </cell>
          <cell r="B1904">
            <v>161307</v>
          </cell>
        </row>
        <row r="1905">
          <cell r="A1905" t="str">
            <v>橙色战士70级戒指</v>
          </cell>
          <cell r="B1905">
            <v>161308</v>
          </cell>
        </row>
        <row r="1906">
          <cell r="A1906" t="str">
            <v>橙色战士80级戒指</v>
          </cell>
          <cell r="B1906">
            <v>161309</v>
          </cell>
        </row>
        <row r="1907">
          <cell r="A1907" t="str">
            <v>橙色战士90级戒指</v>
          </cell>
          <cell r="B1907">
            <v>161310</v>
          </cell>
        </row>
        <row r="1908">
          <cell r="A1908" t="str">
            <v>橙色战士100级戒指</v>
          </cell>
          <cell r="B1908">
            <v>161311</v>
          </cell>
        </row>
        <row r="1909">
          <cell r="A1909" t="str">
            <v>橙色战士110级戒指</v>
          </cell>
          <cell r="B1909">
            <v>161312</v>
          </cell>
        </row>
        <row r="1910">
          <cell r="A1910" t="str">
            <v>橙色战士120级戒指</v>
          </cell>
          <cell r="B1910">
            <v>161313</v>
          </cell>
        </row>
        <row r="1911">
          <cell r="A1911" t="str">
            <v>橙色战士130级戒指</v>
          </cell>
          <cell r="B1911">
            <v>161314</v>
          </cell>
        </row>
        <row r="1912">
          <cell r="A1912" t="str">
            <v>橙色战士140级戒指</v>
          </cell>
          <cell r="B1912">
            <v>161315</v>
          </cell>
        </row>
        <row r="1913">
          <cell r="A1913" t="str">
            <v>橙色战士150级戒指</v>
          </cell>
          <cell r="B1913">
            <v>161316</v>
          </cell>
        </row>
        <row r="1914">
          <cell r="A1914" t="str">
            <v>橙色战士160级戒指</v>
          </cell>
          <cell r="B1914">
            <v>161317</v>
          </cell>
        </row>
        <row r="1915">
          <cell r="A1915" t="str">
            <v>橙色战士170级戒指</v>
          </cell>
          <cell r="B1915">
            <v>161318</v>
          </cell>
        </row>
        <row r="1916">
          <cell r="A1916" t="str">
            <v>橙色战士180级戒指</v>
          </cell>
          <cell r="B1916">
            <v>161319</v>
          </cell>
        </row>
        <row r="1917">
          <cell r="A1917" t="str">
            <v>橙色战士190级戒指</v>
          </cell>
          <cell r="B1917">
            <v>161320</v>
          </cell>
        </row>
        <row r="1918">
          <cell r="A1918" t="str">
            <v>橙色战士200级戒指</v>
          </cell>
          <cell r="B1918">
            <v>161321</v>
          </cell>
        </row>
        <row r="1919">
          <cell r="A1919" t="str">
            <v>橙色法师1级戒指</v>
          </cell>
          <cell r="B1919">
            <v>162301</v>
          </cell>
        </row>
        <row r="1920">
          <cell r="A1920" t="str">
            <v>橙色法师10级戒指</v>
          </cell>
          <cell r="B1920">
            <v>162302</v>
          </cell>
        </row>
        <row r="1921">
          <cell r="A1921" t="str">
            <v>橙色法师20级戒指</v>
          </cell>
          <cell r="B1921">
            <v>162303</v>
          </cell>
        </row>
        <row r="1922">
          <cell r="A1922" t="str">
            <v>橙色法师30级戒指</v>
          </cell>
          <cell r="B1922">
            <v>162304</v>
          </cell>
        </row>
        <row r="1923">
          <cell r="A1923" t="str">
            <v>橙色法师40级戒指</v>
          </cell>
          <cell r="B1923">
            <v>162305</v>
          </cell>
        </row>
        <row r="1924">
          <cell r="A1924" t="str">
            <v>橙色法师50级戒指</v>
          </cell>
          <cell r="B1924">
            <v>162306</v>
          </cell>
        </row>
        <row r="1925">
          <cell r="A1925" t="str">
            <v>橙色法师60级戒指</v>
          </cell>
          <cell r="B1925">
            <v>162307</v>
          </cell>
        </row>
        <row r="1926">
          <cell r="A1926" t="str">
            <v>橙色法师70级戒指</v>
          </cell>
          <cell r="B1926">
            <v>162308</v>
          </cell>
        </row>
        <row r="1927">
          <cell r="A1927" t="str">
            <v>橙色法师80级戒指</v>
          </cell>
          <cell r="B1927">
            <v>162309</v>
          </cell>
        </row>
        <row r="1928">
          <cell r="A1928" t="str">
            <v>橙色法师90级戒指</v>
          </cell>
          <cell r="B1928">
            <v>162310</v>
          </cell>
        </row>
        <row r="1929">
          <cell r="A1929" t="str">
            <v>橙色法师100级戒指</v>
          </cell>
          <cell r="B1929">
            <v>162311</v>
          </cell>
        </row>
        <row r="1930">
          <cell r="A1930" t="str">
            <v>橙色法师110级戒指</v>
          </cell>
          <cell r="B1930">
            <v>162312</v>
          </cell>
        </row>
        <row r="1931">
          <cell r="A1931" t="str">
            <v>橙色法师120级戒指</v>
          </cell>
          <cell r="B1931">
            <v>162313</v>
          </cell>
        </row>
        <row r="1932">
          <cell r="A1932" t="str">
            <v>橙色法师130级戒指</v>
          </cell>
          <cell r="B1932">
            <v>162314</v>
          </cell>
        </row>
        <row r="1933">
          <cell r="A1933" t="str">
            <v>橙色法师140级戒指</v>
          </cell>
          <cell r="B1933">
            <v>162315</v>
          </cell>
        </row>
        <row r="1934">
          <cell r="A1934" t="str">
            <v>橙色法师150级戒指</v>
          </cell>
          <cell r="B1934">
            <v>162316</v>
          </cell>
        </row>
        <row r="1935">
          <cell r="A1935" t="str">
            <v>橙色法师160级戒指</v>
          </cell>
          <cell r="B1935">
            <v>162317</v>
          </cell>
        </row>
        <row r="1936">
          <cell r="A1936" t="str">
            <v>橙色法师170级戒指</v>
          </cell>
          <cell r="B1936">
            <v>162318</v>
          </cell>
        </row>
        <row r="1937">
          <cell r="A1937" t="str">
            <v>橙色法师180级戒指</v>
          </cell>
          <cell r="B1937">
            <v>162319</v>
          </cell>
        </row>
        <row r="1938">
          <cell r="A1938" t="str">
            <v>橙色法师190级戒指</v>
          </cell>
          <cell r="B1938">
            <v>162320</v>
          </cell>
        </row>
        <row r="1939">
          <cell r="A1939" t="str">
            <v>橙色法师200级戒指</v>
          </cell>
          <cell r="B1939">
            <v>162321</v>
          </cell>
        </row>
        <row r="1940">
          <cell r="A1940" t="str">
            <v>橙色道士1级戒指</v>
          </cell>
          <cell r="B1940">
            <v>163301</v>
          </cell>
        </row>
        <row r="1941">
          <cell r="A1941" t="str">
            <v>橙色道士10级戒指</v>
          </cell>
          <cell r="B1941">
            <v>163302</v>
          </cell>
        </row>
        <row r="1942">
          <cell r="A1942" t="str">
            <v>橙色道士20级戒指</v>
          </cell>
          <cell r="B1942">
            <v>163303</v>
          </cell>
        </row>
        <row r="1943">
          <cell r="A1943" t="str">
            <v>橙色道士30级戒指</v>
          </cell>
          <cell r="B1943">
            <v>163304</v>
          </cell>
        </row>
        <row r="1944">
          <cell r="A1944" t="str">
            <v>橙色道士40级戒指</v>
          </cell>
          <cell r="B1944">
            <v>163305</v>
          </cell>
        </row>
        <row r="1945">
          <cell r="A1945" t="str">
            <v>橙色道士50级戒指</v>
          </cell>
          <cell r="B1945">
            <v>163306</v>
          </cell>
        </row>
        <row r="1946">
          <cell r="A1946" t="str">
            <v>橙色道士60级戒指</v>
          </cell>
          <cell r="B1946">
            <v>163307</v>
          </cell>
        </row>
        <row r="1947">
          <cell r="A1947" t="str">
            <v>橙色道士70级戒指</v>
          </cell>
          <cell r="B1947">
            <v>163308</v>
          </cell>
        </row>
        <row r="1948">
          <cell r="A1948" t="str">
            <v>橙色道士80级戒指</v>
          </cell>
          <cell r="B1948">
            <v>163309</v>
          </cell>
        </row>
        <row r="1949">
          <cell r="A1949" t="str">
            <v>橙色道士90级戒指</v>
          </cell>
          <cell r="B1949">
            <v>163310</v>
          </cell>
        </row>
        <row r="1950">
          <cell r="A1950" t="str">
            <v>橙色道士100级戒指</v>
          </cell>
          <cell r="B1950">
            <v>163311</v>
          </cell>
        </row>
        <row r="1951">
          <cell r="A1951" t="str">
            <v>橙色道士110级戒指</v>
          </cell>
          <cell r="B1951">
            <v>163312</v>
          </cell>
        </row>
        <row r="1952">
          <cell r="A1952" t="str">
            <v>橙色道士120级戒指</v>
          </cell>
          <cell r="B1952">
            <v>163313</v>
          </cell>
        </row>
        <row r="1953">
          <cell r="A1953" t="str">
            <v>橙色道士130级戒指</v>
          </cell>
          <cell r="B1953">
            <v>163314</v>
          </cell>
        </row>
        <row r="1954">
          <cell r="A1954" t="str">
            <v>橙色道士140级戒指</v>
          </cell>
          <cell r="B1954">
            <v>163315</v>
          </cell>
        </row>
        <row r="1955">
          <cell r="A1955" t="str">
            <v>橙色道士150级戒指</v>
          </cell>
          <cell r="B1955">
            <v>163316</v>
          </cell>
        </row>
        <row r="1956">
          <cell r="A1956" t="str">
            <v>橙色道士160级戒指</v>
          </cell>
          <cell r="B1956">
            <v>163317</v>
          </cell>
        </row>
        <row r="1957">
          <cell r="A1957" t="str">
            <v>橙色道士170级戒指</v>
          </cell>
          <cell r="B1957">
            <v>163318</v>
          </cell>
        </row>
        <row r="1958">
          <cell r="A1958" t="str">
            <v>橙色道士180级戒指</v>
          </cell>
          <cell r="B1958">
            <v>163319</v>
          </cell>
        </row>
        <row r="1959">
          <cell r="A1959" t="str">
            <v>橙色道士190级戒指</v>
          </cell>
          <cell r="B1959">
            <v>163320</v>
          </cell>
        </row>
        <row r="1960">
          <cell r="A1960" t="str">
            <v>橙色道士200级戒指</v>
          </cell>
          <cell r="B1960">
            <v>163321</v>
          </cell>
        </row>
        <row r="1961">
          <cell r="A1961" t="str">
            <v>橙色战士1级鞋子</v>
          </cell>
          <cell r="B1961">
            <v>171301</v>
          </cell>
        </row>
        <row r="1962">
          <cell r="A1962" t="str">
            <v>橙色战士10级鞋子</v>
          </cell>
          <cell r="B1962">
            <v>171302</v>
          </cell>
        </row>
        <row r="1963">
          <cell r="A1963" t="str">
            <v>橙色战士20级鞋子</v>
          </cell>
          <cell r="B1963">
            <v>171303</v>
          </cell>
        </row>
        <row r="1964">
          <cell r="A1964" t="str">
            <v>橙色战士30级鞋子</v>
          </cell>
          <cell r="B1964">
            <v>171304</v>
          </cell>
        </row>
        <row r="1965">
          <cell r="A1965" t="str">
            <v>橙色战士40级鞋子</v>
          </cell>
          <cell r="B1965">
            <v>171305</v>
          </cell>
        </row>
        <row r="1966">
          <cell r="A1966" t="str">
            <v>橙色战士50级鞋子</v>
          </cell>
          <cell r="B1966">
            <v>171306</v>
          </cell>
        </row>
        <row r="1967">
          <cell r="A1967" t="str">
            <v>橙色战士60级鞋子</v>
          </cell>
          <cell r="B1967">
            <v>171307</v>
          </cell>
        </row>
        <row r="1968">
          <cell r="A1968" t="str">
            <v>橙色战士70级鞋子</v>
          </cell>
          <cell r="B1968">
            <v>171308</v>
          </cell>
        </row>
        <row r="1969">
          <cell r="A1969" t="str">
            <v>橙色战士80级鞋子</v>
          </cell>
          <cell r="B1969">
            <v>171309</v>
          </cell>
        </row>
        <row r="1970">
          <cell r="A1970" t="str">
            <v>橙色战士90级鞋子</v>
          </cell>
          <cell r="B1970">
            <v>171310</v>
          </cell>
        </row>
        <row r="1971">
          <cell r="A1971" t="str">
            <v>橙色战士100级鞋子</v>
          </cell>
          <cell r="B1971">
            <v>171311</v>
          </cell>
        </row>
        <row r="1972">
          <cell r="A1972" t="str">
            <v>橙色战士110级鞋子</v>
          </cell>
          <cell r="B1972">
            <v>171312</v>
          </cell>
        </row>
        <row r="1973">
          <cell r="A1973" t="str">
            <v>橙色战士120级鞋子</v>
          </cell>
          <cell r="B1973">
            <v>171313</v>
          </cell>
        </row>
        <row r="1974">
          <cell r="A1974" t="str">
            <v>橙色战士130级鞋子</v>
          </cell>
          <cell r="B1974">
            <v>171314</v>
          </cell>
        </row>
        <row r="1975">
          <cell r="A1975" t="str">
            <v>橙色战士140级鞋子</v>
          </cell>
          <cell r="B1975">
            <v>171315</v>
          </cell>
        </row>
        <row r="1976">
          <cell r="A1976" t="str">
            <v>橙色战士150级鞋子</v>
          </cell>
          <cell r="B1976">
            <v>171316</v>
          </cell>
        </row>
        <row r="1977">
          <cell r="A1977" t="str">
            <v>橙色战士160级鞋子</v>
          </cell>
          <cell r="B1977">
            <v>171317</v>
          </cell>
        </row>
        <row r="1978">
          <cell r="A1978" t="str">
            <v>橙色战士170级鞋子</v>
          </cell>
          <cell r="B1978">
            <v>171318</v>
          </cell>
        </row>
        <row r="1979">
          <cell r="A1979" t="str">
            <v>橙色战士180级鞋子</v>
          </cell>
          <cell r="B1979">
            <v>171319</v>
          </cell>
        </row>
        <row r="1980">
          <cell r="A1980" t="str">
            <v>橙色战士190级鞋子</v>
          </cell>
          <cell r="B1980">
            <v>171320</v>
          </cell>
        </row>
        <row r="1981">
          <cell r="A1981" t="str">
            <v>橙色战士200级鞋子</v>
          </cell>
          <cell r="B1981">
            <v>171321</v>
          </cell>
        </row>
        <row r="1982">
          <cell r="A1982" t="str">
            <v>橙色法师1级鞋子</v>
          </cell>
          <cell r="B1982">
            <v>172301</v>
          </cell>
        </row>
        <row r="1983">
          <cell r="A1983" t="str">
            <v>橙色法师10级鞋子</v>
          </cell>
          <cell r="B1983">
            <v>172302</v>
          </cell>
        </row>
        <row r="1984">
          <cell r="A1984" t="str">
            <v>橙色法师20级鞋子</v>
          </cell>
          <cell r="B1984">
            <v>172303</v>
          </cell>
        </row>
        <row r="1985">
          <cell r="A1985" t="str">
            <v>橙色法师30级鞋子</v>
          </cell>
          <cell r="B1985">
            <v>172304</v>
          </cell>
        </row>
        <row r="1986">
          <cell r="A1986" t="str">
            <v>橙色法师40级鞋子</v>
          </cell>
          <cell r="B1986">
            <v>172305</v>
          </cell>
        </row>
        <row r="1987">
          <cell r="A1987" t="str">
            <v>橙色法师50级鞋子</v>
          </cell>
          <cell r="B1987">
            <v>172306</v>
          </cell>
        </row>
        <row r="1988">
          <cell r="A1988" t="str">
            <v>橙色法师60级鞋子</v>
          </cell>
          <cell r="B1988">
            <v>172307</v>
          </cell>
        </row>
        <row r="1989">
          <cell r="A1989" t="str">
            <v>橙色法师70级鞋子</v>
          </cell>
          <cell r="B1989">
            <v>172308</v>
          </cell>
        </row>
        <row r="1990">
          <cell r="A1990" t="str">
            <v>橙色法师80级鞋子</v>
          </cell>
          <cell r="B1990">
            <v>172309</v>
          </cell>
        </row>
        <row r="1991">
          <cell r="A1991" t="str">
            <v>橙色法师90级鞋子</v>
          </cell>
          <cell r="B1991">
            <v>172310</v>
          </cell>
        </row>
        <row r="1992">
          <cell r="A1992" t="str">
            <v>橙色法师100级鞋子</v>
          </cell>
          <cell r="B1992">
            <v>172311</v>
          </cell>
        </row>
        <row r="1993">
          <cell r="A1993" t="str">
            <v>橙色法师110级鞋子</v>
          </cell>
          <cell r="B1993">
            <v>172312</v>
          </cell>
        </row>
        <row r="1994">
          <cell r="A1994" t="str">
            <v>橙色法师120级鞋子</v>
          </cell>
          <cell r="B1994">
            <v>172313</v>
          </cell>
        </row>
        <row r="1995">
          <cell r="A1995" t="str">
            <v>橙色法师130级鞋子</v>
          </cell>
          <cell r="B1995">
            <v>172314</v>
          </cell>
        </row>
        <row r="1996">
          <cell r="A1996" t="str">
            <v>橙色法师140级鞋子</v>
          </cell>
          <cell r="B1996">
            <v>172315</v>
          </cell>
        </row>
        <row r="1997">
          <cell r="A1997" t="str">
            <v>橙色法师150级鞋子</v>
          </cell>
          <cell r="B1997">
            <v>172316</v>
          </cell>
        </row>
        <row r="1998">
          <cell r="A1998" t="str">
            <v>橙色法师160级鞋子</v>
          </cell>
          <cell r="B1998">
            <v>172317</v>
          </cell>
        </row>
        <row r="1999">
          <cell r="A1999" t="str">
            <v>橙色法师170级鞋子</v>
          </cell>
          <cell r="B1999">
            <v>172318</v>
          </cell>
        </row>
        <row r="2000">
          <cell r="A2000" t="str">
            <v>橙色法师180级鞋子</v>
          </cell>
          <cell r="B2000">
            <v>172319</v>
          </cell>
        </row>
        <row r="2001">
          <cell r="A2001" t="str">
            <v>橙色法师190级鞋子</v>
          </cell>
          <cell r="B2001">
            <v>172320</v>
          </cell>
        </row>
        <row r="2002">
          <cell r="A2002" t="str">
            <v>橙色法师200级鞋子</v>
          </cell>
          <cell r="B2002">
            <v>172321</v>
          </cell>
        </row>
        <row r="2003">
          <cell r="A2003" t="str">
            <v>橙色道士1级鞋子</v>
          </cell>
          <cell r="B2003">
            <v>173301</v>
          </cell>
        </row>
        <row r="2004">
          <cell r="A2004" t="str">
            <v>橙色道士10级鞋子</v>
          </cell>
          <cell r="B2004">
            <v>173302</v>
          </cell>
        </row>
        <row r="2005">
          <cell r="A2005" t="str">
            <v>橙色道士20级鞋子</v>
          </cell>
          <cell r="B2005">
            <v>173303</v>
          </cell>
        </row>
        <row r="2006">
          <cell r="A2006" t="str">
            <v>橙色道士30级鞋子</v>
          </cell>
          <cell r="B2006">
            <v>173304</v>
          </cell>
        </row>
        <row r="2007">
          <cell r="A2007" t="str">
            <v>橙色道士40级鞋子</v>
          </cell>
          <cell r="B2007">
            <v>173305</v>
          </cell>
        </row>
        <row r="2008">
          <cell r="A2008" t="str">
            <v>橙色道士50级鞋子</v>
          </cell>
          <cell r="B2008">
            <v>173306</v>
          </cell>
        </row>
        <row r="2009">
          <cell r="A2009" t="str">
            <v>橙色道士60级鞋子</v>
          </cell>
          <cell r="B2009">
            <v>173307</v>
          </cell>
        </row>
        <row r="2010">
          <cell r="A2010" t="str">
            <v>橙色道士70级鞋子</v>
          </cell>
          <cell r="B2010">
            <v>173308</v>
          </cell>
        </row>
        <row r="2011">
          <cell r="A2011" t="str">
            <v>橙色道士80级鞋子</v>
          </cell>
          <cell r="B2011">
            <v>173309</v>
          </cell>
        </row>
        <row r="2012">
          <cell r="A2012" t="str">
            <v>橙色道士90级鞋子</v>
          </cell>
          <cell r="B2012">
            <v>173310</v>
          </cell>
        </row>
        <row r="2013">
          <cell r="A2013" t="str">
            <v>橙色道士100级鞋子</v>
          </cell>
          <cell r="B2013">
            <v>173311</v>
          </cell>
        </row>
        <row r="2014">
          <cell r="A2014" t="str">
            <v>橙色道士110级鞋子</v>
          </cell>
          <cell r="B2014">
            <v>173312</v>
          </cell>
        </row>
        <row r="2015">
          <cell r="A2015" t="str">
            <v>橙色道士120级鞋子</v>
          </cell>
          <cell r="B2015">
            <v>173313</v>
          </cell>
        </row>
        <row r="2016">
          <cell r="A2016" t="str">
            <v>橙色道士130级鞋子</v>
          </cell>
          <cell r="B2016">
            <v>173314</v>
          </cell>
        </row>
        <row r="2017">
          <cell r="A2017" t="str">
            <v>橙色道士140级鞋子</v>
          </cell>
          <cell r="B2017">
            <v>173315</v>
          </cell>
        </row>
        <row r="2018">
          <cell r="A2018" t="str">
            <v>橙色道士150级鞋子</v>
          </cell>
          <cell r="B2018">
            <v>173316</v>
          </cell>
        </row>
        <row r="2019">
          <cell r="A2019" t="str">
            <v>橙色道士160级鞋子</v>
          </cell>
          <cell r="B2019">
            <v>173317</v>
          </cell>
        </row>
        <row r="2020">
          <cell r="A2020" t="str">
            <v>橙色道士170级鞋子</v>
          </cell>
          <cell r="B2020">
            <v>173318</v>
          </cell>
        </row>
        <row r="2021">
          <cell r="A2021" t="str">
            <v>橙色道士180级鞋子</v>
          </cell>
          <cell r="B2021">
            <v>173319</v>
          </cell>
        </row>
        <row r="2022">
          <cell r="A2022" t="str">
            <v>橙色道士190级鞋子</v>
          </cell>
          <cell r="B2022">
            <v>173320</v>
          </cell>
        </row>
        <row r="2023">
          <cell r="A2023" t="str">
            <v>橙色道士200级鞋子</v>
          </cell>
          <cell r="B2023">
            <v>173321</v>
          </cell>
        </row>
        <row r="2024">
          <cell r="A2024" t="str">
            <v>红色战士1级武器</v>
          </cell>
          <cell r="B2024">
            <v>101401</v>
          </cell>
        </row>
        <row r="2025">
          <cell r="A2025" t="str">
            <v>红色战士10级武器</v>
          </cell>
          <cell r="B2025">
            <v>101402</v>
          </cell>
        </row>
        <row r="2026">
          <cell r="A2026" t="str">
            <v>红色战士20级武器</v>
          </cell>
          <cell r="B2026">
            <v>101403</v>
          </cell>
        </row>
        <row r="2027">
          <cell r="A2027" t="str">
            <v>红色战士30级武器</v>
          </cell>
          <cell r="B2027">
            <v>101404</v>
          </cell>
        </row>
        <row r="2028">
          <cell r="A2028" t="str">
            <v>红色战士40级武器</v>
          </cell>
          <cell r="B2028">
            <v>101405</v>
          </cell>
        </row>
        <row r="2029">
          <cell r="A2029" t="str">
            <v>红色战士50级武器</v>
          </cell>
          <cell r="B2029">
            <v>101406</v>
          </cell>
        </row>
        <row r="2030">
          <cell r="A2030" t="str">
            <v>红色战士60级武器</v>
          </cell>
          <cell r="B2030">
            <v>101407</v>
          </cell>
        </row>
        <row r="2031">
          <cell r="A2031" t="str">
            <v>红色战士70级武器</v>
          </cell>
          <cell r="B2031">
            <v>101408</v>
          </cell>
        </row>
        <row r="2032">
          <cell r="A2032" t="str">
            <v>红色战士80级武器</v>
          </cell>
          <cell r="B2032">
            <v>101409</v>
          </cell>
        </row>
        <row r="2033">
          <cell r="A2033" t="str">
            <v>红色战士90级武器</v>
          </cell>
          <cell r="B2033">
            <v>101410</v>
          </cell>
        </row>
        <row r="2034">
          <cell r="A2034" t="str">
            <v>红色战士100级武器</v>
          </cell>
          <cell r="B2034">
            <v>101411</v>
          </cell>
        </row>
        <row r="2035">
          <cell r="A2035" t="str">
            <v>红色战士110级武器</v>
          </cell>
          <cell r="B2035">
            <v>101412</v>
          </cell>
        </row>
        <row r="2036">
          <cell r="A2036" t="str">
            <v>红色战士120级武器</v>
          </cell>
          <cell r="B2036">
            <v>101413</v>
          </cell>
        </row>
        <row r="2037">
          <cell r="A2037" t="str">
            <v>红色战士130级武器</v>
          </cell>
          <cell r="B2037">
            <v>101414</v>
          </cell>
        </row>
        <row r="2038">
          <cell r="A2038" t="str">
            <v>红色战士140级武器</v>
          </cell>
          <cell r="B2038">
            <v>101415</v>
          </cell>
        </row>
        <row r="2039">
          <cell r="A2039" t="str">
            <v>红色战士150级武器</v>
          </cell>
          <cell r="B2039">
            <v>101416</v>
          </cell>
        </row>
        <row r="2040">
          <cell r="A2040" t="str">
            <v>红色战士160级武器</v>
          </cell>
          <cell r="B2040">
            <v>101417</v>
          </cell>
        </row>
        <row r="2041">
          <cell r="A2041" t="str">
            <v>红色战士170级武器</v>
          </cell>
          <cell r="B2041">
            <v>101418</v>
          </cell>
        </row>
        <row r="2042">
          <cell r="A2042" t="str">
            <v>红色战士180级武器</v>
          </cell>
          <cell r="B2042">
            <v>101419</v>
          </cell>
        </row>
        <row r="2043">
          <cell r="A2043" t="str">
            <v>红色战士190级武器</v>
          </cell>
          <cell r="B2043">
            <v>101420</v>
          </cell>
        </row>
        <row r="2044">
          <cell r="A2044" t="str">
            <v>红色战士200级武器</v>
          </cell>
          <cell r="B2044">
            <v>101421</v>
          </cell>
        </row>
        <row r="2045">
          <cell r="A2045" t="str">
            <v>红色法师1级武器</v>
          </cell>
          <cell r="B2045">
            <v>102401</v>
          </cell>
        </row>
        <row r="2046">
          <cell r="A2046" t="str">
            <v>红色法师10级武器</v>
          </cell>
          <cell r="B2046">
            <v>102402</v>
          </cell>
        </row>
        <row r="2047">
          <cell r="A2047" t="str">
            <v>红色法师20级武器</v>
          </cell>
          <cell r="B2047">
            <v>102403</v>
          </cell>
        </row>
        <row r="2048">
          <cell r="A2048" t="str">
            <v>红色法师30级武器</v>
          </cell>
          <cell r="B2048">
            <v>102404</v>
          </cell>
        </row>
        <row r="2049">
          <cell r="A2049" t="str">
            <v>红色法师40级武器</v>
          </cell>
          <cell r="B2049">
            <v>102405</v>
          </cell>
        </row>
        <row r="2050">
          <cell r="A2050" t="str">
            <v>红色法师50级武器</v>
          </cell>
          <cell r="B2050">
            <v>102406</v>
          </cell>
        </row>
        <row r="2051">
          <cell r="A2051" t="str">
            <v>红色法师60级武器</v>
          </cell>
          <cell r="B2051">
            <v>102407</v>
          </cell>
        </row>
        <row r="2052">
          <cell r="A2052" t="str">
            <v>红色法师70级武器</v>
          </cell>
          <cell r="B2052">
            <v>102408</v>
          </cell>
        </row>
        <row r="2053">
          <cell r="A2053" t="str">
            <v>红色法师80级武器</v>
          </cell>
          <cell r="B2053">
            <v>102409</v>
          </cell>
        </row>
        <row r="2054">
          <cell r="A2054" t="str">
            <v>红色法师90级武器</v>
          </cell>
          <cell r="B2054">
            <v>102410</v>
          </cell>
        </row>
        <row r="2055">
          <cell r="A2055" t="str">
            <v>红色法师100级武器</v>
          </cell>
          <cell r="B2055">
            <v>102411</v>
          </cell>
        </row>
        <row r="2056">
          <cell r="A2056" t="str">
            <v>红色法师110级武器</v>
          </cell>
          <cell r="B2056">
            <v>102412</v>
          </cell>
        </row>
        <row r="2057">
          <cell r="A2057" t="str">
            <v>红色法师120级武器</v>
          </cell>
          <cell r="B2057">
            <v>102413</v>
          </cell>
        </row>
        <row r="2058">
          <cell r="A2058" t="str">
            <v>红色法师130级武器</v>
          </cell>
          <cell r="B2058">
            <v>102414</v>
          </cell>
        </row>
        <row r="2059">
          <cell r="A2059" t="str">
            <v>红色法师140级武器</v>
          </cell>
          <cell r="B2059">
            <v>102415</v>
          </cell>
        </row>
        <row r="2060">
          <cell r="A2060" t="str">
            <v>红色法师150级武器</v>
          </cell>
          <cell r="B2060">
            <v>102416</v>
          </cell>
        </row>
        <row r="2061">
          <cell r="A2061" t="str">
            <v>红色法师160级武器</v>
          </cell>
          <cell r="B2061">
            <v>102417</v>
          </cell>
        </row>
        <row r="2062">
          <cell r="A2062" t="str">
            <v>红色法师170级武器</v>
          </cell>
          <cell r="B2062">
            <v>102418</v>
          </cell>
        </row>
        <row r="2063">
          <cell r="A2063" t="str">
            <v>红色法师180级武器</v>
          </cell>
          <cell r="B2063">
            <v>102419</v>
          </cell>
        </row>
        <row r="2064">
          <cell r="A2064" t="str">
            <v>红色法师190级武器</v>
          </cell>
          <cell r="B2064">
            <v>102420</v>
          </cell>
        </row>
        <row r="2065">
          <cell r="A2065" t="str">
            <v>红色法师200级武器</v>
          </cell>
          <cell r="B2065">
            <v>102421</v>
          </cell>
        </row>
        <row r="2066">
          <cell r="A2066" t="str">
            <v>红色道士1级武器</v>
          </cell>
          <cell r="B2066">
            <v>103401</v>
          </cell>
        </row>
        <row r="2067">
          <cell r="A2067" t="str">
            <v>红色道士10级武器</v>
          </cell>
          <cell r="B2067">
            <v>103402</v>
          </cell>
        </row>
        <row r="2068">
          <cell r="A2068" t="str">
            <v>红色道士20级武器</v>
          </cell>
          <cell r="B2068">
            <v>103403</v>
          </cell>
        </row>
        <row r="2069">
          <cell r="A2069" t="str">
            <v>红色道士30级武器</v>
          </cell>
          <cell r="B2069">
            <v>103404</v>
          </cell>
        </row>
        <row r="2070">
          <cell r="A2070" t="str">
            <v>红色道士40级武器</v>
          </cell>
          <cell r="B2070">
            <v>103405</v>
          </cell>
        </row>
        <row r="2071">
          <cell r="A2071" t="str">
            <v>红色道士50级武器</v>
          </cell>
          <cell r="B2071">
            <v>103406</v>
          </cell>
        </row>
        <row r="2072">
          <cell r="A2072" t="str">
            <v>红色道士60级武器</v>
          </cell>
          <cell r="B2072">
            <v>103407</v>
          </cell>
        </row>
        <row r="2073">
          <cell r="A2073" t="str">
            <v>红色道士70级武器</v>
          </cell>
          <cell r="B2073">
            <v>103408</v>
          </cell>
        </row>
        <row r="2074">
          <cell r="A2074" t="str">
            <v>红色道士80级武器</v>
          </cell>
          <cell r="B2074">
            <v>103409</v>
          </cell>
        </row>
        <row r="2075">
          <cell r="A2075" t="str">
            <v>红色道士90级武器</v>
          </cell>
          <cell r="B2075">
            <v>103410</v>
          </cell>
        </row>
        <row r="2076">
          <cell r="A2076" t="str">
            <v>红色道士100级武器</v>
          </cell>
          <cell r="B2076">
            <v>103411</v>
          </cell>
        </row>
        <row r="2077">
          <cell r="A2077" t="str">
            <v>红色道士110级武器</v>
          </cell>
          <cell r="B2077">
            <v>103412</v>
          </cell>
        </row>
        <row r="2078">
          <cell r="A2078" t="str">
            <v>红色道士120级武器</v>
          </cell>
          <cell r="B2078">
            <v>103413</v>
          </cell>
        </row>
        <row r="2079">
          <cell r="A2079" t="str">
            <v>红色道士130级武器</v>
          </cell>
          <cell r="B2079">
            <v>103414</v>
          </cell>
        </row>
        <row r="2080">
          <cell r="A2080" t="str">
            <v>红色道士140级武器</v>
          </cell>
          <cell r="B2080">
            <v>103415</v>
          </cell>
        </row>
        <row r="2081">
          <cell r="A2081" t="str">
            <v>红色道士150级武器</v>
          </cell>
          <cell r="B2081">
            <v>103416</v>
          </cell>
        </row>
        <row r="2082">
          <cell r="A2082" t="str">
            <v>红色道士160级武器</v>
          </cell>
          <cell r="B2082">
            <v>103417</v>
          </cell>
        </row>
        <row r="2083">
          <cell r="A2083" t="str">
            <v>红色道士170级武器</v>
          </cell>
          <cell r="B2083">
            <v>103418</v>
          </cell>
        </row>
        <row r="2084">
          <cell r="A2084" t="str">
            <v>红色道士180级武器</v>
          </cell>
          <cell r="B2084">
            <v>103419</v>
          </cell>
        </row>
        <row r="2085">
          <cell r="A2085" t="str">
            <v>红色道士190级武器</v>
          </cell>
          <cell r="B2085">
            <v>103420</v>
          </cell>
        </row>
        <row r="2086">
          <cell r="A2086" t="str">
            <v>红色道士200级武器</v>
          </cell>
          <cell r="B2086">
            <v>103421</v>
          </cell>
        </row>
        <row r="2087">
          <cell r="A2087" t="str">
            <v>红色战士1级头盔</v>
          </cell>
          <cell r="B2087">
            <v>111401</v>
          </cell>
        </row>
        <row r="2088">
          <cell r="A2088" t="str">
            <v>红色战士10级头盔</v>
          </cell>
          <cell r="B2088">
            <v>111402</v>
          </cell>
        </row>
        <row r="2089">
          <cell r="A2089" t="str">
            <v>红色战士20级头盔</v>
          </cell>
          <cell r="B2089">
            <v>111403</v>
          </cell>
        </row>
        <row r="2090">
          <cell r="A2090" t="str">
            <v>红色战士30级头盔</v>
          </cell>
          <cell r="B2090">
            <v>111404</v>
          </cell>
        </row>
        <row r="2091">
          <cell r="A2091" t="str">
            <v>红色战士40级头盔</v>
          </cell>
          <cell r="B2091">
            <v>111405</v>
          </cell>
        </row>
        <row r="2092">
          <cell r="A2092" t="str">
            <v>红色战士50级头盔</v>
          </cell>
          <cell r="B2092">
            <v>111406</v>
          </cell>
        </row>
        <row r="2093">
          <cell r="A2093" t="str">
            <v>红色战士60级头盔</v>
          </cell>
          <cell r="B2093">
            <v>111407</v>
          </cell>
        </row>
        <row r="2094">
          <cell r="A2094" t="str">
            <v>红色战士70级头盔</v>
          </cell>
          <cell r="B2094">
            <v>111408</v>
          </cell>
        </row>
        <row r="2095">
          <cell r="A2095" t="str">
            <v>红色战士80级头盔</v>
          </cell>
          <cell r="B2095">
            <v>111409</v>
          </cell>
        </row>
        <row r="2096">
          <cell r="A2096" t="str">
            <v>红色战士90级头盔</v>
          </cell>
          <cell r="B2096">
            <v>111410</v>
          </cell>
        </row>
        <row r="2097">
          <cell r="A2097" t="str">
            <v>红色战士100级头盔</v>
          </cell>
          <cell r="B2097">
            <v>111411</v>
          </cell>
        </row>
        <row r="2098">
          <cell r="A2098" t="str">
            <v>红色战士110级头盔</v>
          </cell>
          <cell r="B2098">
            <v>111412</v>
          </cell>
        </row>
        <row r="2099">
          <cell r="A2099" t="str">
            <v>红色战士120级头盔</v>
          </cell>
          <cell r="B2099">
            <v>111413</v>
          </cell>
        </row>
        <row r="2100">
          <cell r="A2100" t="str">
            <v>红色战士130级头盔</v>
          </cell>
          <cell r="B2100">
            <v>111414</v>
          </cell>
        </row>
        <row r="2101">
          <cell r="A2101" t="str">
            <v>红色战士140级头盔</v>
          </cell>
          <cell r="B2101">
            <v>111415</v>
          </cell>
        </row>
        <row r="2102">
          <cell r="A2102" t="str">
            <v>红色战士150级头盔</v>
          </cell>
          <cell r="B2102">
            <v>111416</v>
          </cell>
        </row>
        <row r="2103">
          <cell r="A2103" t="str">
            <v>红色战士160级头盔</v>
          </cell>
          <cell r="B2103">
            <v>111417</v>
          </cell>
        </row>
        <row r="2104">
          <cell r="A2104" t="str">
            <v>红色战士170级头盔</v>
          </cell>
          <cell r="B2104">
            <v>111418</v>
          </cell>
        </row>
        <row r="2105">
          <cell r="A2105" t="str">
            <v>红色战士180级头盔</v>
          </cell>
          <cell r="B2105">
            <v>111419</v>
          </cell>
        </row>
        <row r="2106">
          <cell r="A2106" t="str">
            <v>红色战士190级头盔</v>
          </cell>
          <cell r="B2106">
            <v>111420</v>
          </cell>
        </row>
        <row r="2107">
          <cell r="A2107" t="str">
            <v>红色战士200级头盔</v>
          </cell>
          <cell r="B2107">
            <v>111421</v>
          </cell>
        </row>
        <row r="2108">
          <cell r="A2108" t="str">
            <v>红色法师1级头盔</v>
          </cell>
          <cell r="B2108">
            <v>112401</v>
          </cell>
        </row>
        <row r="2109">
          <cell r="A2109" t="str">
            <v>红色法师10级头盔</v>
          </cell>
          <cell r="B2109">
            <v>112402</v>
          </cell>
        </row>
        <row r="2110">
          <cell r="A2110" t="str">
            <v>红色法师20级头盔</v>
          </cell>
          <cell r="B2110">
            <v>112403</v>
          </cell>
        </row>
        <row r="2111">
          <cell r="A2111" t="str">
            <v>红色法师30级头盔</v>
          </cell>
          <cell r="B2111">
            <v>112404</v>
          </cell>
        </row>
        <row r="2112">
          <cell r="A2112" t="str">
            <v>红色法师40级头盔</v>
          </cell>
          <cell r="B2112">
            <v>112405</v>
          </cell>
        </row>
        <row r="2113">
          <cell r="A2113" t="str">
            <v>红色法师50级头盔</v>
          </cell>
          <cell r="B2113">
            <v>112406</v>
          </cell>
        </row>
        <row r="2114">
          <cell r="A2114" t="str">
            <v>红色法师60级头盔</v>
          </cell>
          <cell r="B2114">
            <v>112407</v>
          </cell>
        </row>
        <row r="2115">
          <cell r="A2115" t="str">
            <v>红色法师70级头盔</v>
          </cell>
          <cell r="B2115">
            <v>112408</v>
          </cell>
        </row>
        <row r="2116">
          <cell r="A2116" t="str">
            <v>红色法师80级头盔</v>
          </cell>
          <cell r="B2116">
            <v>112409</v>
          </cell>
        </row>
        <row r="2117">
          <cell r="A2117" t="str">
            <v>红色法师90级头盔</v>
          </cell>
          <cell r="B2117">
            <v>112410</v>
          </cell>
        </row>
        <row r="2118">
          <cell r="A2118" t="str">
            <v>红色法师100级头盔</v>
          </cell>
          <cell r="B2118">
            <v>112411</v>
          </cell>
        </row>
        <row r="2119">
          <cell r="A2119" t="str">
            <v>红色法师110级头盔</v>
          </cell>
          <cell r="B2119">
            <v>112412</v>
          </cell>
        </row>
        <row r="2120">
          <cell r="A2120" t="str">
            <v>红色法师120级头盔</v>
          </cell>
          <cell r="B2120">
            <v>112413</v>
          </cell>
        </row>
        <row r="2121">
          <cell r="A2121" t="str">
            <v>红色法师130级头盔</v>
          </cell>
          <cell r="B2121">
            <v>112414</v>
          </cell>
        </row>
        <row r="2122">
          <cell r="A2122" t="str">
            <v>红色法师140级头盔</v>
          </cell>
          <cell r="B2122">
            <v>112415</v>
          </cell>
        </row>
        <row r="2123">
          <cell r="A2123" t="str">
            <v>红色法师150级头盔</v>
          </cell>
          <cell r="B2123">
            <v>112416</v>
          </cell>
        </row>
        <row r="2124">
          <cell r="A2124" t="str">
            <v>红色法师160级头盔</v>
          </cell>
          <cell r="B2124">
            <v>112417</v>
          </cell>
        </row>
        <row r="2125">
          <cell r="A2125" t="str">
            <v>红色法师170级头盔</v>
          </cell>
          <cell r="B2125">
            <v>112418</v>
          </cell>
        </row>
        <row r="2126">
          <cell r="A2126" t="str">
            <v>红色法师180级头盔</v>
          </cell>
          <cell r="B2126">
            <v>112419</v>
          </cell>
        </row>
        <row r="2127">
          <cell r="A2127" t="str">
            <v>红色法师190级头盔</v>
          </cell>
          <cell r="B2127">
            <v>112420</v>
          </cell>
        </row>
        <row r="2128">
          <cell r="A2128" t="str">
            <v>红色法师200级头盔</v>
          </cell>
          <cell r="B2128">
            <v>112421</v>
          </cell>
        </row>
        <row r="2129">
          <cell r="A2129" t="str">
            <v>红色道士1级头盔</v>
          </cell>
          <cell r="B2129">
            <v>113401</v>
          </cell>
        </row>
        <row r="2130">
          <cell r="A2130" t="str">
            <v>红色道士10级头盔</v>
          </cell>
          <cell r="B2130">
            <v>113402</v>
          </cell>
        </row>
        <row r="2131">
          <cell r="A2131" t="str">
            <v>红色道士20级头盔</v>
          </cell>
          <cell r="B2131">
            <v>113403</v>
          </cell>
        </row>
        <row r="2132">
          <cell r="A2132" t="str">
            <v>红色道士30级头盔</v>
          </cell>
          <cell r="B2132">
            <v>113404</v>
          </cell>
        </row>
        <row r="2133">
          <cell r="A2133" t="str">
            <v>红色道士40级头盔</v>
          </cell>
          <cell r="B2133">
            <v>113405</v>
          </cell>
        </row>
        <row r="2134">
          <cell r="A2134" t="str">
            <v>红色道士50级头盔</v>
          </cell>
          <cell r="B2134">
            <v>113406</v>
          </cell>
        </row>
        <row r="2135">
          <cell r="A2135" t="str">
            <v>红色道士60级头盔</v>
          </cell>
          <cell r="B2135">
            <v>113407</v>
          </cell>
        </row>
        <row r="2136">
          <cell r="A2136" t="str">
            <v>红色道士70级头盔</v>
          </cell>
          <cell r="B2136">
            <v>113408</v>
          </cell>
        </row>
        <row r="2137">
          <cell r="A2137" t="str">
            <v>红色道士80级头盔</v>
          </cell>
          <cell r="B2137">
            <v>113409</v>
          </cell>
        </row>
        <row r="2138">
          <cell r="A2138" t="str">
            <v>红色道士90级头盔</v>
          </cell>
          <cell r="B2138">
            <v>113410</v>
          </cell>
        </row>
        <row r="2139">
          <cell r="A2139" t="str">
            <v>红色道士100级头盔</v>
          </cell>
          <cell r="B2139">
            <v>113411</v>
          </cell>
        </row>
        <row r="2140">
          <cell r="A2140" t="str">
            <v>红色道士110级头盔</v>
          </cell>
          <cell r="B2140">
            <v>113412</v>
          </cell>
        </row>
        <row r="2141">
          <cell r="A2141" t="str">
            <v>红色道士120级头盔</v>
          </cell>
          <cell r="B2141">
            <v>113413</v>
          </cell>
        </row>
        <row r="2142">
          <cell r="A2142" t="str">
            <v>红色道士130级头盔</v>
          </cell>
          <cell r="B2142">
            <v>113414</v>
          </cell>
        </row>
        <row r="2143">
          <cell r="A2143" t="str">
            <v>红色道士140级头盔</v>
          </cell>
          <cell r="B2143">
            <v>113415</v>
          </cell>
        </row>
        <row r="2144">
          <cell r="A2144" t="str">
            <v>红色道士150级头盔</v>
          </cell>
          <cell r="B2144">
            <v>113416</v>
          </cell>
        </row>
        <row r="2145">
          <cell r="A2145" t="str">
            <v>红色道士160级头盔</v>
          </cell>
          <cell r="B2145">
            <v>113417</v>
          </cell>
        </row>
        <row r="2146">
          <cell r="A2146" t="str">
            <v>红色道士170级头盔</v>
          </cell>
          <cell r="B2146">
            <v>113418</v>
          </cell>
        </row>
        <row r="2147">
          <cell r="A2147" t="str">
            <v>红色道士180级头盔</v>
          </cell>
          <cell r="B2147">
            <v>113419</v>
          </cell>
        </row>
        <row r="2148">
          <cell r="A2148" t="str">
            <v>红色道士190级头盔</v>
          </cell>
          <cell r="B2148">
            <v>113420</v>
          </cell>
        </row>
        <row r="2149">
          <cell r="A2149" t="str">
            <v>红色道士200级头盔</v>
          </cell>
          <cell r="B2149">
            <v>113421</v>
          </cell>
        </row>
        <row r="2150">
          <cell r="A2150" t="str">
            <v>红色战士1级衣服</v>
          </cell>
          <cell r="B2150">
            <v>121401</v>
          </cell>
        </row>
        <row r="2151">
          <cell r="A2151" t="str">
            <v>红色战士10级衣服</v>
          </cell>
          <cell r="B2151">
            <v>121402</v>
          </cell>
        </row>
        <row r="2152">
          <cell r="A2152" t="str">
            <v>红色战士20级衣服</v>
          </cell>
          <cell r="B2152">
            <v>121403</v>
          </cell>
        </row>
        <row r="2153">
          <cell r="A2153" t="str">
            <v>红色战士30级衣服</v>
          </cell>
          <cell r="B2153">
            <v>121404</v>
          </cell>
        </row>
        <row r="2154">
          <cell r="A2154" t="str">
            <v>红色战士40级衣服</v>
          </cell>
          <cell r="B2154">
            <v>121405</v>
          </cell>
        </row>
        <row r="2155">
          <cell r="A2155" t="str">
            <v>红色战士50级衣服</v>
          </cell>
          <cell r="B2155">
            <v>121406</v>
          </cell>
        </row>
        <row r="2156">
          <cell r="A2156" t="str">
            <v>红色战士60级衣服</v>
          </cell>
          <cell r="B2156">
            <v>121407</v>
          </cell>
        </row>
        <row r="2157">
          <cell r="A2157" t="str">
            <v>红色战士70级衣服</v>
          </cell>
          <cell r="B2157">
            <v>121408</v>
          </cell>
        </row>
        <row r="2158">
          <cell r="A2158" t="str">
            <v>红色战士80级衣服</v>
          </cell>
          <cell r="B2158">
            <v>121409</v>
          </cell>
        </row>
        <row r="2159">
          <cell r="A2159" t="str">
            <v>红色战士90级衣服</v>
          </cell>
          <cell r="B2159">
            <v>121410</v>
          </cell>
        </row>
        <row r="2160">
          <cell r="A2160" t="str">
            <v>红色战士100级衣服</v>
          </cell>
          <cell r="B2160">
            <v>121411</v>
          </cell>
        </row>
        <row r="2161">
          <cell r="A2161" t="str">
            <v>红色战士110级衣服</v>
          </cell>
          <cell r="B2161">
            <v>121412</v>
          </cell>
        </row>
        <row r="2162">
          <cell r="A2162" t="str">
            <v>红色战士120级衣服</v>
          </cell>
          <cell r="B2162">
            <v>121413</v>
          </cell>
        </row>
        <row r="2163">
          <cell r="A2163" t="str">
            <v>红色战士130级衣服</v>
          </cell>
          <cell r="B2163">
            <v>121414</v>
          </cell>
        </row>
        <row r="2164">
          <cell r="A2164" t="str">
            <v>红色战士140级衣服</v>
          </cell>
          <cell r="B2164">
            <v>121415</v>
          </cell>
        </row>
        <row r="2165">
          <cell r="A2165" t="str">
            <v>红色战士150级衣服</v>
          </cell>
          <cell r="B2165">
            <v>121416</v>
          </cell>
        </row>
        <row r="2166">
          <cell r="A2166" t="str">
            <v>红色战士160级衣服</v>
          </cell>
          <cell r="B2166">
            <v>121417</v>
          </cell>
        </row>
        <row r="2167">
          <cell r="A2167" t="str">
            <v>红色战士170级衣服</v>
          </cell>
          <cell r="B2167">
            <v>121418</v>
          </cell>
        </row>
        <row r="2168">
          <cell r="A2168" t="str">
            <v>红色战士180级衣服</v>
          </cell>
          <cell r="B2168">
            <v>121419</v>
          </cell>
        </row>
        <row r="2169">
          <cell r="A2169" t="str">
            <v>红色战士190级衣服</v>
          </cell>
          <cell r="B2169">
            <v>121420</v>
          </cell>
        </row>
        <row r="2170">
          <cell r="A2170" t="str">
            <v>红色战士200级衣服</v>
          </cell>
          <cell r="B2170">
            <v>121421</v>
          </cell>
        </row>
        <row r="2171">
          <cell r="A2171" t="str">
            <v>红色法师1级衣服</v>
          </cell>
          <cell r="B2171">
            <v>122401</v>
          </cell>
        </row>
        <row r="2172">
          <cell r="A2172" t="str">
            <v>红色法师10级衣服</v>
          </cell>
          <cell r="B2172">
            <v>122402</v>
          </cell>
        </row>
        <row r="2173">
          <cell r="A2173" t="str">
            <v>红色法师20级衣服</v>
          </cell>
          <cell r="B2173">
            <v>122403</v>
          </cell>
        </row>
        <row r="2174">
          <cell r="A2174" t="str">
            <v>红色法师30级衣服</v>
          </cell>
          <cell r="B2174">
            <v>122404</v>
          </cell>
        </row>
        <row r="2175">
          <cell r="A2175" t="str">
            <v>红色法师40级衣服</v>
          </cell>
          <cell r="B2175">
            <v>122405</v>
          </cell>
        </row>
        <row r="2176">
          <cell r="A2176" t="str">
            <v>红色法师50级衣服</v>
          </cell>
          <cell r="B2176">
            <v>122406</v>
          </cell>
        </row>
        <row r="2177">
          <cell r="A2177" t="str">
            <v>红色法师60级衣服</v>
          </cell>
          <cell r="B2177">
            <v>122407</v>
          </cell>
        </row>
        <row r="2178">
          <cell r="A2178" t="str">
            <v>红色法师70级衣服</v>
          </cell>
          <cell r="B2178">
            <v>122408</v>
          </cell>
        </row>
        <row r="2179">
          <cell r="A2179" t="str">
            <v>红色法师80级衣服</v>
          </cell>
          <cell r="B2179">
            <v>122409</v>
          </cell>
        </row>
        <row r="2180">
          <cell r="A2180" t="str">
            <v>红色法师90级衣服</v>
          </cell>
          <cell r="B2180">
            <v>122410</v>
          </cell>
        </row>
        <row r="2181">
          <cell r="A2181" t="str">
            <v>红色法师100级衣服</v>
          </cell>
          <cell r="B2181">
            <v>122411</v>
          </cell>
        </row>
        <row r="2182">
          <cell r="A2182" t="str">
            <v>红色法师110级衣服</v>
          </cell>
          <cell r="B2182">
            <v>122412</v>
          </cell>
        </row>
        <row r="2183">
          <cell r="A2183" t="str">
            <v>红色法师120级衣服</v>
          </cell>
          <cell r="B2183">
            <v>122413</v>
          </cell>
        </row>
        <row r="2184">
          <cell r="A2184" t="str">
            <v>红色法师130级衣服</v>
          </cell>
          <cell r="B2184">
            <v>122414</v>
          </cell>
        </row>
        <row r="2185">
          <cell r="A2185" t="str">
            <v>红色法师140级衣服</v>
          </cell>
          <cell r="B2185">
            <v>122415</v>
          </cell>
        </row>
        <row r="2186">
          <cell r="A2186" t="str">
            <v>红色法师150级衣服</v>
          </cell>
          <cell r="B2186">
            <v>122416</v>
          </cell>
        </row>
        <row r="2187">
          <cell r="A2187" t="str">
            <v>红色法师160级衣服</v>
          </cell>
          <cell r="B2187">
            <v>122417</v>
          </cell>
        </row>
        <row r="2188">
          <cell r="A2188" t="str">
            <v>红色法师170级衣服</v>
          </cell>
          <cell r="B2188">
            <v>122418</v>
          </cell>
        </row>
        <row r="2189">
          <cell r="A2189" t="str">
            <v>红色法师180级衣服</v>
          </cell>
          <cell r="B2189">
            <v>122419</v>
          </cell>
        </row>
        <row r="2190">
          <cell r="A2190" t="str">
            <v>红色法师190级衣服</v>
          </cell>
          <cell r="B2190">
            <v>122420</v>
          </cell>
        </row>
        <row r="2191">
          <cell r="A2191" t="str">
            <v>红色法师200级衣服</v>
          </cell>
          <cell r="B2191">
            <v>122421</v>
          </cell>
        </row>
        <row r="2192">
          <cell r="A2192" t="str">
            <v>红色道士1级衣服</v>
          </cell>
          <cell r="B2192">
            <v>123401</v>
          </cell>
        </row>
        <row r="2193">
          <cell r="A2193" t="str">
            <v>红色道士10级衣服</v>
          </cell>
          <cell r="B2193">
            <v>123402</v>
          </cell>
        </row>
        <row r="2194">
          <cell r="A2194" t="str">
            <v>红色道士20级衣服</v>
          </cell>
          <cell r="B2194">
            <v>123403</v>
          </cell>
        </row>
        <row r="2195">
          <cell r="A2195" t="str">
            <v>红色道士30级衣服</v>
          </cell>
          <cell r="B2195">
            <v>123404</v>
          </cell>
        </row>
        <row r="2196">
          <cell r="A2196" t="str">
            <v>红色道士40级衣服</v>
          </cell>
          <cell r="B2196">
            <v>123405</v>
          </cell>
        </row>
        <row r="2197">
          <cell r="A2197" t="str">
            <v>红色道士50级衣服</v>
          </cell>
          <cell r="B2197">
            <v>123406</v>
          </cell>
        </row>
        <row r="2198">
          <cell r="A2198" t="str">
            <v>红色道士60级衣服</v>
          </cell>
          <cell r="B2198">
            <v>123407</v>
          </cell>
        </row>
        <row r="2199">
          <cell r="A2199" t="str">
            <v>红色道士70级衣服</v>
          </cell>
          <cell r="B2199">
            <v>123408</v>
          </cell>
        </row>
        <row r="2200">
          <cell r="A2200" t="str">
            <v>红色道士80级衣服</v>
          </cell>
          <cell r="B2200">
            <v>123409</v>
          </cell>
        </row>
        <row r="2201">
          <cell r="A2201" t="str">
            <v>红色道士90级衣服</v>
          </cell>
          <cell r="B2201">
            <v>123410</v>
          </cell>
        </row>
        <row r="2202">
          <cell r="A2202" t="str">
            <v>红色道士100级衣服</v>
          </cell>
          <cell r="B2202">
            <v>123411</v>
          </cell>
        </row>
        <row r="2203">
          <cell r="A2203" t="str">
            <v>红色道士110级衣服</v>
          </cell>
          <cell r="B2203">
            <v>123412</v>
          </cell>
        </row>
        <row r="2204">
          <cell r="A2204" t="str">
            <v>红色道士120级衣服</v>
          </cell>
          <cell r="B2204">
            <v>123413</v>
          </cell>
        </row>
        <row r="2205">
          <cell r="A2205" t="str">
            <v>红色道士130级衣服</v>
          </cell>
          <cell r="B2205">
            <v>123414</v>
          </cell>
        </row>
        <row r="2206">
          <cell r="A2206" t="str">
            <v>红色道士140级衣服</v>
          </cell>
          <cell r="B2206">
            <v>123415</v>
          </cell>
        </row>
        <row r="2207">
          <cell r="A2207" t="str">
            <v>红色道士150级衣服</v>
          </cell>
          <cell r="B2207">
            <v>123416</v>
          </cell>
        </row>
        <row r="2208">
          <cell r="A2208" t="str">
            <v>红色道士160级衣服</v>
          </cell>
          <cell r="B2208">
            <v>123417</v>
          </cell>
        </row>
        <row r="2209">
          <cell r="A2209" t="str">
            <v>红色道士170级衣服</v>
          </cell>
          <cell r="B2209">
            <v>123418</v>
          </cell>
        </row>
        <row r="2210">
          <cell r="A2210" t="str">
            <v>红色道士180级衣服</v>
          </cell>
          <cell r="B2210">
            <v>123419</v>
          </cell>
        </row>
        <row r="2211">
          <cell r="A2211" t="str">
            <v>红色道士190级衣服</v>
          </cell>
          <cell r="B2211">
            <v>123420</v>
          </cell>
        </row>
        <row r="2212">
          <cell r="A2212" t="str">
            <v>红色道士200级衣服</v>
          </cell>
          <cell r="B2212">
            <v>123421</v>
          </cell>
        </row>
        <row r="2213">
          <cell r="A2213" t="str">
            <v>红色战士1级项链</v>
          </cell>
          <cell r="B2213">
            <v>131401</v>
          </cell>
        </row>
        <row r="2214">
          <cell r="A2214" t="str">
            <v>红色战士10级项链</v>
          </cell>
          <cell r="B2214">
            <v>131402</v>
          </cell>
        </row>
        <row r="2215">
          <cell r="A2215" t="str">
            <v>红色战士20级项链</v>
          </cell>
          <cell r="B2215">
            <v>131403</v>
          </cell>
        </row>
        <row r="2216">
          <cell r="A2216" t="str">
            <v>红色战士30级项链</v>
          </cell>
          <cell r="B2216">
            <v>131404</v>
          </cell>
        </row>
        <row r="2217">
          <cell r="A2217" t="str">
            <v>红色战士40级项链</v>
          </cell>
          <cell r="B2217">
            <v>131405</v>
          </cell>
        </row>
        <row r="2218">
          <cell r="A2218" t="str">
            <v>红色战士50级项链</v>
          </cell>
          <cell r="B2218">
            <v>131406</v>
          </cell>
        </row>
        <row r="2219">
          <cell r="A2219" t="str">
            <v>红色战士60级项链</v>
          </cell>
          <cell r="B2219">
            <v>131407</v>
          </cell>
        </row>
        <row r="2220">
          <cell r="A2220" t="str">
            <v>红色战士70级项链</v>
          </cell>
          <cell r="B2220">
            <v>131408</v>
          </cell>
        </row>
        <row r="2221">
          <cell r="A2221" t="str">
            <v>红色战士80级项链</v>
          </cell>
          <cell r="B2221">
            <v>131409</v>
          </cell>
        </row>
        <row r="2222">
          <cell r="A2222" t="str">
            <v>红色战士90级项链</v>
          </cell>
          <cell r="B2222">
            <v>131410</v>
          </cell>
        </row>
        <row r="2223">
          <cell r="A2223" t="str">
            <v>红色战士100级项链</v>
          </cell>
          <cell r="B2223">
            <v>131411</v>
          </cell>
        </row>
        <row r="2224">
          <cell r="A2224" t="str">
            <v>红色战士110级项链</v>
          </cell>
          <cell r="B2224">
            <v>131412</v>
          </cell>
        </row>
        <row r="2225">
          <cell r="A2225" t="str">
            <v>红色战士120级项链</v>
          </cell>
          <cell r="B2225">
            <v>131413</v>
          </cell>
        </row>
        <row r="2226">
          <cell r="A2226" t="str">
            <v>红色战士130级项链</v>
          </cell>
          <cell r="B2226">
            <v>131414</v>
          </cell>
        </row>
        <row r="2227">
          <cell r="A2227" t="str">
            <v>红色战士140级项链</v>
          </cell>
          <cell r="B2227">
            <v>131415</v>
          </cell>
        </row>
        <row r="2228">
          <cell r="A2228" t="str">
            <v>红色战士150级项链</v>
          </cell>
          <cell r="B2228">
            <v>131416</v>
          </cell>
        </row>
        <row r="2229">
          <cell r="A2229" t="str">
            <v>红色战士160级项链</v>
          </cell>
          <cell r="B2229">
            <v>131417</v>
          </cell>
        </row>
        <row r="2230">
          <cell r="A2230" t="str">
            <v>红色战士170级项链</v>
          </cell>
          <cell r="B2230">
            <v>131418</v>
          </cell>
        </row>
        <row r="2231">
          <cell r="A2231" t="str">
            <v>红色战士180级项链</v>
          </cell>
          <cell r="B2231">
            <v>131419</v>
          </cell>
        </row>
        <row r="2232">
          <cell r="A2232" t="str">
            <v>红色战士190级项链</v>
          </cell>
          <cell r="B2232">
            <v>131420</v>
          </cell>
        </row>
        <row r="2233">
          <cell r="A2233" t="str">
            <v>红色战士200级项链</v>
          </cell>
          <cell r="B2233">
            <v>131421</v>
          </cell>
        </row>
        <row r="2234">
          <cell r="A2234" t="str">
            <v>红色法师1级项链</v>
          </cell>
          <cell r="B2234">
            <v>132401</v>
          </cell>
        </row>
        <row r="2235">
          <cell r="A2235" t="str">
            <v>红色法师10级项链</v>
          </cell>
          <cell r="B2235">
            <v>132402</v>
          </cell>
        </row>
        <row r="2236">
          <cell r="A2236" t="str">
            <v>红色法师20级项链</v>
          </cell>
          <cell r="B2236">
            <v>132403</v>
          </cell>
        </row>
        <row r="2237">
          <cell r="A2237" t="str">
            <v>红色法师30级项链</v>
          </cell>
          <cell r="B2237">
            <v>132404</v>
          </cell>
        </row>
        <row r="2238">
          <cell r="A2238" t="str">
            <v>红色法师40级项链</v>
          </cell>
          <cell r="B2238">
            <v>132405</v>
          </cell>
        </row>
        <row r="2239">
          <cell r="A2239" t="str">
            <v>红色法师50级项链</v>
          </cell>
          <cell r="B2239">
            <v>132406</v>
          </cell>
        </row>
        <row r="2240">
          <cell r="A2240" t="str">
            <v>红色法师60级项链</v>
          </cell>
          <cell r="B2240">
            <v>132407</v>
          </cell>
        </row>
        <row r="2241">
          <cell r="A2241" t="str">
            <v>红色法师70级项链</v>
          </cell>
          <cell r="B2241">
            <v>132408</v>
          </cell>
        </row>
        <row r="2242">
          <cell r="A2242" t="str">
            <v>红色法师80级项链</v>
          </cell>
          <cell r="B2242">
            <v>132409</v>
          </cell>
        </row>
        <row r="2243">
          <cell r="A2243" t="str">
            <v>红色法师90级项链</v>
          </cell>
          <cell r="B2243">
            <v>132410</v>
          </cell>
        </row>
        <row r="2244">
          <cell r="A2244" t="str">
            <v>红色法师100级项链</v>
          </cell>
          <cell r="B2244">
            <v>132411</v>
          </cell>
        </row>
        <row r="2245">
          <cell r="A2245" t="str">
            <v>红色法师110级项链</v>
          </cell>
          <cell r="B2245">
            <v>132412</v>
          </cell>
        </row>
        <row r="2246">
          <cell r="A2246" t="str">
            <v>红色法师120级项链</v>
          </cell>
          <cell r="B2246">
            <v>132413</v>
          </cell>
        </row>
        <row r="2247">
          <cell r="A2247" t="str">
            <v>红色法师130级项链</v>
          </cell>
          <cell r="B2247">
            <v>132414</v>
          </cell>
        </row>
        <row r="2248">
          <cell r="A2248" t="str">
            <v>红色法师140级项链</v>
          </cell>
          <cell r="B2248">
            <v>132415</v>
          </cell>
        </row>
        <row r="2249">
          <cell r="A2249" t="str">
            <v>红色法师150级项链</v>
          </cell>
          <cell r="B2249">
            <v>132416</v>
          </cell>
        </row>
        <row r="2250">
          <cell r="A2250" t="str">
            <v>红色法师160级项链</v>
          </cell>
          <cell r="B2250">
            <v>132417</v>
          </cell>
        </row>
        <row r="2251">
          <cell r="A2251" t="str">
            <v>红色法师170级项链</v>
          </cell>
          <cell r="B2251">
            <v>132418</v>
          </cell>
        </row>
        <row r="2252">
          <cell r="A2252" t="str">
            <v>红色法师180级项链</v>
          </cell>
          <cell r="B2252">
            <v>132419</v>
          </cell>
        </row>
        <row r="2253">
          <cell r="A2253" t="str">
            <v>红色法师190级项链</v>
          </cell>
          <cell r="B2253">
            <v>132420</v>
          </cell>
        </row>
        <row r="2254">
          <cell r="A2254" t="str">
            <v>红色法师200级项链</v>
          </cell>
          <cell r="B2254">
            <v>132421</v>
          </cell>
        </row>
        <row r="2255">
          <cell r="A2255" t="str">
            <v>红色道士1级项链</v>
          </cell>
          <cell r="B2255">
            <v>133401</v>
          </cell>
        </row>
        <row r="2256">
          <cell r="A2256" t="str">
            <v>红色道士10级项链</v>
          </cell>
          <cell r="B2256">
            <v>133402</v>
          </cell>
        </row>
        <row r="2257">
          <cell r="A2257" t="str">
            <v>红色道士20级项链</v>
          </cell>
          <cell r="B2257">
            <v>133403</v>
          </cell>
        </row>
        <row r="2258">
          <cell r="A2258" t="str">
            <v>红色道士30级项链</v>
          </cell>
          <cell r="B2258">
            <v>133404</v>
          </cell>
        </row>
        <row r="2259">
          <cell r="A2259" t="str">
            <v>红色道士40级项链</v>
          </cell>
          <cell r="B2259">
            <v>133405</v>
          </cell>
        </row>
        <row r="2260">
          <cell r="A2260" t="str">
            <v>红色道士50级项链</v>
          </cell>
          <cell r="B2260">
            <v>133406</v>
          </cell>
        </row>
        <row r="2261">
          <cell r="A2261" t="str">
            <v>红色道士60级项链</v>
          </cell>
          <cell r="B2261">
            <v>133407</v>
          </cell>
        </row>
        <row r="2262">
          <cell r="A2262" t="str">
            <v>红色道士70级项链</v>
          </cell>
          <cell r="B2262">
            <v>133408</v>
          </cell>
        </row>
        <row r="2263">
          <cell r="A2263" t="str">
            <v>红色道士80级项链</v>
          </cell>
          <cell r="B2263">
            <v>133409</v>
          </cell>
        </row>
        <row r="2264">
          <cell r="A2264" t="str">
            <v>红色道士90级项链</v>
          </cell>
          <cell r="B2264">
            <v>133410</v>
          </cell>
        </row>
        <row r="2265">
          <cell r="A2265" t="str">
            <v>红色道士100级项链</v>
          </cell>
          <cell r="B2265">
            <v>133411</v>
          </cell>
        </row>
        <row r="2266">
          <cell r="A2266" t="str">
            <v>红色道士110级项链</v>
          </cell>
          <cell r="B2266">
            <v>133412</v>
          </cell>
        </row>
        <row r="2267">
          <cell r="A2267" t="str">
            <v>红色道士120级项链</v>
          </cell>
          <cell r="B2267">
            <v>133413</v>
          </cell>
        </row>
        <row r="2268">
          <cell r="A2268" t="str">
            <v>红色道士130级项链</v>
          </cell>
          <cell r="B2268">
            <v>133414</v>
          </cell>
        </row>
        <row r="2269">
          <cell r="A2269" t="str">
            <v>红色道士140级项链</v>
          </cell>
          <cell r="B2269">
            <v>133415</v>
          </cell>
        </row>
        <row r="2270">
          <cell r="A2270" t="str">
            <v>红色道士150级项链</v>
          </cell>
          <cell r="B2270">
            <v>133416</v>
          </cell>
        </row>
        <row r="2271">
          <cell r="A2271" t="str">
            <v>红色道士160级项链</v>
          </cell>
          <cell r="B2271">
            <v>133417</v>
          </cell>
        </row>
        <row r="2272">
          <cell r="A2272" t="str">
            <v>红色道士170级项链</v>
          </cell>
          <cell r="B2272">
            <v>133418</v>
          </cell>
        </row>
        <row r="2273">
          <cell r="A2273" t="str">
            <v>红色道士180级项链</v>
          </cell>
          <cell r="B2273">
            <v>133419</v>
          </cell>
        </row>
        <row r="2274">
          <cell r="A2274" t="str">
            <v>红色道士190级项链</v>
          </cell>
          <cell r="B2274">
            <v>133420</v>
          </cell>
        </row>
        <row r="2275">
          <cell r="A2275" t="str">
            <v>红色道士200级项链</v>
          </cell>
          <cell r="B2275">
            <v>133421</v>
          </cell>
        </row>
        <row r="2276">
          <cell r="A2276" t="str">
            <v>红色战士1级手镯</v>
          </cell>
          <cell r="B2276">
            <v>141401</v>
          </cell>
        </row>
        <row r="2277">
          <cell r="A2277" t="str">
            <v>红色战士10级手镯</v>
          </cell>
          <cell r="B2277">
            <v>141402</v>
          </cell>
        </row>
        <row r="2278">
          <cell r="A2278" t="str">
            <v>红色战士20级手镯</v>
          </cell>
          <cell r="B2278">
            <v>141403</v>
          </cell>
        </row>
        <row r="2279">
          <cell r="A2279" t="str">
            <v>红色战士30级手镯</v>
          </cell>
          <cell r="B2279">
            <v>141404</v>
          </cell>
        </row>
        <row r="2280">
          <cell r="A2280" t="str">
            <v>红色战士40级手镯</v>
          </cell>
          <cell r="B2280">
            <v>141405</v>
          </cell>
        </row>
        <row r="2281">
          <cell r="A2281" t="str">
            <v>红色战士50级手镯</v>
          </cell>
          <cell r="B2281">
            <v>141406</v>
          </cell>
        </row>
        <row r="2282">
          <cell r="A2282" t="str">
            <v>红色战士60级手镯</v>
          </cell>
          <cell r="B2282">
            <v>141407</v>
          </cell>
        </row>
        <row r="2283">
          <cell r="A2283" t="str">
            <v>红色战士70级手镯</v>
          </cell>
          <cell r="B2283">
            <v>141408</v>
          </cell>
        </row>
        <row r="2284">
          <cell r="A2284" t="str">
            <v>红色战士80级手镯</v>
          </cell>
          <cell r="B2284">
            <v>141409</v>
          </cell>
        </row>
        <row r="2285">
          <cell r="A2285" t="str">
            <v>红色战士90级手镯</v>
          </cell>
          <cell r="B2285">
            <v>141410</v>
          </cell>
        </row>
        <row r="2286">
          <cell r="A2286" t="str">
            <v>红色战士100级手镯</v>
          </cell>
          <cell r="B2286">
            <v>141411</v>
          </cell>
        </row>
        <row r="2287">
          <cell r="A2287" t="str">
            <v>红色战士110级手镯</v>
          </cell>
          <cell r="B2287">
            <v>141412</v>
          </cell>
        </row>
        <row r="2288">
          <cell r="A2288" t="str">
            <v>红色战士120级手镯</v>
          </cell>
          <cell r="B2288">
            <v>141413</v>
          </cell>
        </row>
        <row r="2289">
          <cell r="A2289" t="str">
            <v>红色战士130级手镯</v>
          </cell>
          <cell r="B2289">
            <v>141414</v>
          </cell>
        </row>
        <row r="2290">
          <cell r="A2290" t="str">
            <v>红色战士140级手镯</v>
          </cell>
          <cell r="B2290">
            <v>141415</v>
          </cell>
        </row>
        <row r="2291">
          <cell r="A2291" t="str">
            <v>红色战士150级手镯</v>
          </cell>
          <cell r="B2291">
            <v>141416</v>
          </cell>
        </row>
        <row r="2292">
          <cell r="A2292" t="str">
            <v>红色战士160级手镯</v>
          </cell>
          <cell r="B2292">
            <v>141417</v>
          </cell>
        </row>
        <row r="2293">
          <cell r="A2293" t="str">
            <v>红色战士170级手镯</v>
          </cell>
          <cell r="B2293">
            <v>141418</v>
          </cell>
        </row>
        <row r="2294">
          <cell r="A2294" t="str">
            <v>红色战士180级手镯</v>
          </cell>
          <cell r="B2294">
            <v>141419</v>
          </cell>
        </row>
        <row r="2295">
          <cell r="A2295" t="str">
            <v>红色战士190级手镯</v>
          </cell>
          <cell r="B2295">
            <v>141420</v>
          </cell>
        </row>
        <row r="2296">
          <cell r="A2296" t="str">
            <v>红色战士200级手镯</v>
          </cell>
          <cell r="B2296">
            <v>141421</v>
          </cell>
        </row>
        <row r="2297">
          <cell r="A2297" t="str">
            <v>红色法师1级手镯</v>
          </cell>
          <cell r="B2297">
            <v>142401</v>
          </cell>
        </row>
        <row r="2298">
          <cell r="A2298" t="str">
            <v>红色法师10级手镯</v>
          </cell>
          <cell r="B2298">
            <v>142402</v>
          </cell>
        </row>
        <row r="2299">
          <cell r="A2299" t="str">
            <v>红色法师20级手镯</v>
          </cell>
          <cell r="B2299">
            <v>142403</v>
          </cell>
        </row>
        <row r="2300">
          <cell r="A2300" t="str">
            <v>红色法师30级手镯</v>
          </cell>
          <cell r="B2300">
            <v>142404</v>
          </cell>
        </row>
        <row r="2301">
          <cell r="A2301" t="str">
            <v>红色法师40级手镯</v>
          </cell>
          <cell r="B2301">
            <v>142405</v>
          </cell>
        </row>
        <row r="2302">
          <cell r="A2302" t="str">
            <v>红色法师50级手镯</v>
          </cell>
          <cell r="B2302">
            <v>142406</v>
          </cell>
        </row>
        <row r="2303">
          <cell r="A2303" t="str">
            <v>红色法师60级手镯</v>
          </cell>
          <cell r="B2303">
            <v>142407</v>
          </cell>
        </row>
        <row r="2304">
          <cell r="A2304" t="str">
            <v>红色法师70级手镯</v>
          </cell>
          <cell r="B2304">
            <v>142408</v>
          </cell>
        </row>
        <row r="2305">
          <cell r="A2305" t="str">
            <v>红色法师80级手镯</v>
          </cell>
          <cell r="B2305">
            <v>142409</v>
          </cell>
        </row>
        <row r="2306">
          <cell r="A2306" t="str">
            <v>红色法师90级手镯</v>
          </cell>
          <cell r="B2306">
            <v>142410</v>
          </cell>
        </row>
        <row r="2307">
          <cell r="A2307" t="str">
            <v>红色法师100级手镯</v>
          </cell>
          <cell r="B2307">
            <v>142411</v>
          </cell>
        </row>
        <row r="2308">
          <cell r="A2308" t="str">
            <v>红色法师110级手镯</v>
          </cell>
          <cell r="B2308">
            <v>142412</v>
          </cell>
        </row>
        <row r="2309">
          <cell r="A2309" t="str">
            <v>红色法师120级手镯</v>
          </cell>
          <cell r="B2309">
            <v>142413</v>
          </cell>
        </row>
        <row r="2310">
          <cell r="A2310" t="str">
            <v>红色法师130级手镯</v>
          </cell>
          <cell r="B2310">
            <v>142414</v>
          </cell>
        </row>
        <row r="2311">
          <cell r="A2311" t="str">
            <v>红色法师140级手镯</v>
          </cell>
          <cell r="B2311">
            <v>142415</v>
          </cell>
        </row>
        <row r="2312">
          <cell r="A2312" t="str">
            <v>红色法师150级手镯</v>
          </cell>
          <cell r="B2312">
            <v>142416</v>
          </cell>
        </row>
        <row r="2313">
          <cell r="A2313" t="str">
            <v>红色法师160级手镯</v>
          </cell>
          <cell r="B2313">
            <v>142417</v>
          </cell>
        </row>
        <row r="2314">
          <cell r="A2314" t="str">
            <v>红色法师170级手镯</v>
          </cell>
          <cell r="B2314">
            <v>142418</v>
          </cell>
        </row>
        <row r="2315">
          <cell r="A2315" t="str">
            <v>红色法师180级手镯</v>
          </cell>
          <cell r="B2315">
            <v>142419</v>
          </cell>
        </row>
        <row r="2316">
          <cell r="A2316" t="str">
            <v>红色法师190级手镯</v>
          </cell>
          <cell r="B2316">
            <v>142420</v>
          </cell>
        </row>
        <row r="2317">
          <cell r="A2317" t="str">
            <v>红色法师200级手镯</v>
          </cell>
          <cell r="B2317">
            <v>142421</v>
          </cell>
        </row>
        <row r="2318">
          <cell r="A2318" t="str">
            <v>红色道士1级手镯</v>
          </cell>
          <cell r="B2318">
            <v>143401</v>
          </cell>
        </row>
        <row r="2319">
          <cell r="A2319" t="str">
            <v>红色道士10级手镯</v>
          </cell>
          <cell r="B2319">
            <v>143402</v>
          </cell>
        </row>
        <row r="2320">
          <cell r="A2320" t="str">
            <v>红色道士20级手镯</v>
          </cell>
          <cell r="B2320">
            <v>143403</v>
          </cell>
        </row>
        <row r="2321">
          <cell r="A2321" t="str">
            <v>红色道士30级手镯</v>
          </cell>
          <cell r="B2321">
            <v>143404</v>
          </cell>
        </row>
        <row r="2322">
          <cell r="A2322" t="str">
            <v>红色道士40级手镯</v>
          </cell>
          <cell r="B2322">
            <v>143405</v>
          </cell>
        </row>
        <row r="2323">
          <cell r="A2323" t="str">
            <v>红色道士50级手镯</v>
          </cell>
          <cell r="B2323">
            <v>143406</v>
          </cell>
        </row>
        <row r="2324">
          <cell r="A2324" t="str">
            <v>红色道士60级手镯</v>
          </cell>
          <cell r="B2324">
            <v>143407</v>
          </cell>
        </row>
        <row r="2325">
          <cell r="A2325" t="str">
            <v>红色道士70级手镯</v>
          </cell>
          <cell r="B2325">
            <v>143408</v>
          </cell>
        </row>
        <row r="2326">
          <cell r="A2326" t="str">
            <v>红色道士80级手镯</v>
          </cell>
          <cell r="B2326">
            <v>143409</v>
          </cell>
        </row>
        <row r="2327">
          <cell r="A2327" t="str">
            <v>红色道士90级手镯</v>
          </cell>
          <cell r="B2327">
            <v>143410</v>
          </cell>
        </row>
        <row r="2328">
          <cell r="A2328" t="str">
            <v>红色道士100级手镯</v>
          </cell>
          <cell r="B2328">
            <v>143411</v>
          </cell>
        </row>
        <row r="2329">
          <cell r="A2329" t="str">
            <v>红色道士110级手镯</v>
          </cell>
          <cell r="B2329">
            <v>143412</v>
          </cell>
        </row>
        <row r="2330">
          <cell r="A2330" t="str">
            <v>红色道士120级手镯</v>
          </cell>
          <cell r="B2330">
            <v>143413</v>
          </cell>
        </row>
        <row r="2331">
          <cell r="A2331" t="str">
            <v>红色道士130级手镯</v>
          </cell>
          <cell r="B2331">
            <v>143414</v>
          </cell>
        </row>
        <row r="2332">
          <cell r="A2332" t="str">
            <v>红色道士140级手镯</v>
          </cell>
          <cell r="B2332">
            <v>143415</v>
          </cell>
        </row>
        <row r="2333">
          <cell r="A2333" t="str">
            <v>红色道士150级手镯</v>
          </cell>
          <cell r="B2333">
            <v>143416</v>
          </cell>
        </row>
        <row r="2334">
          <cell r="A2334" t="str">
            <v>红色道士160级手镯</v>
          </cell>
          <cell r="B2334">
            <v>143417</v>
          </cell>
        </row>
        <row r="2335">
          <cell r="A2335" t="str">
            <v>红色道士170级手镯</v>
          </cell>
          <cell r="B2335">
            <v>143418</v>
          </cell>
        </row>
        <row r="2336">
          <cell r="A2336" t="str">
            <v>红色道士180级手镯</v>
          </cell>
          <cell r="B2336">
            <v>143419</v>
          </cell>
        </row>
        <row r="2337">
          <cell r="A2337" t="str">
            <v>红色道士190级手镯</v>
          </cell>
          <cell r="B2337">
            <v>143420</v>
          </cell>
        </row>
        <row r="2338">
          <cell r="A2338" t="str">
            <v>红色道士200级手镯</v>
          </cell>
          <cell r="B2338">
            <v>143421</v>
          </cell>
        </row>
        <row r="2339">
          <cell r="A2339" t="str">
            <v>红色战士1级腰带</v>
          </cell>
          <cell r="B2339">
            <v>151401</v>
          </cell>
        </row>
        <row r="2340">
          <cell r="A2340" t="str">
            <v>红色战士10级腰带</v>
          </cell>
          <cell r="B2340">
            <v>151402</v>
          </cell>
        </row>
        <row r="2341">
          <cell r="A2341" t="str">
            <v>红色战士20级腰带</v>
          </cell>
          <cell r="B2341">
            <v>151403</v>
          </cell>
        </row>
        <row r="2342">
          <cell r="A2342" t="str">
            <v>红色战士30级腰带</v>
          </cell>
          <cell r="B2342">
            <v>151404</v>
          </cell>
        </row>
        <row r="2343">
          <cell r="A2343" t="str">
            <v>红色战士40级腰带</v>
          </cell>
          <cell r="B2343">
            <v>151405</v>
          </cell>
        </row>
        <row r="2344">
          <cell r="A2344" t="str">
            <v>红色战士50级腰带</v>
          </cell>
          <cell r="B2344">
            <v>151406</v>
          </cell>
        </row>
        <row r="2345">
          <cell r="A2345" t="str">
            <v>红色战士60级腰带</v>
          </cell>
          <cell r="B2345">
            <v>151407</v>
          </cell>
        </row>
        <row r="2346">
          <cell r="A2346" t="str">
            <v>红色战士70级腰带</v>
          </cell>
          <cell r="B2346">
            <v>151408</v>
          </cell>
        </row>
        <row r="2347">
          <cell r="A2347" t="str">
            <v>红色战士80级腰带</v>
          </cell>
          <cell r="B2347">
            <v>151409</v>
          </cell>
        </row>
        <row r="2348">
          <cell r="A2348" t="str">
            <v>红色战士90级腰带</v>
          </cell>
          <cell r="B2348">
            <v>151410</v>
          </cell>
        </row>
        <row r="2349">
          <cell r="A2349" t="str">
            <v>红色战士100级腰带</v>
          </cell>
          <cell r="B2349">
            <v>151411</v>
          </cell>
        </row>
        <row r="2350">
          <cell r="A2350" t="str">
            <v>红色战士110级腰带</v>
          </cell>
          <cell r="B2350">
            <v>151412</v>
          </cell>
        </row>
        <row r="2351">
          <cell r="A2351" t="str">
            <v>红色战士120级腰带</v>
          </cell>
          <cell r="B2351">
            <v>151413</v>
          </cell>
        </row>
        <row r="2352">
          <cell r="A2352" t="str">
            <v>红色战士130级腰带</v>
          </cell>
          <cell r="B2352">
            <v>151414</v>
          </cell>
        </row>
        <row r="2353">
          <cell r="A2353" t="str">
            <v>红色战士140级腰带</v>
          </cell>
          <cell r="B2353">
            <v>151415</v>
          </cell>
        </row>
        <row r="2354">
          <cell r="A2354" t="str">
            <v>红色战士150级腰带</v>
          </cell>
          <cell r="B2354">
            <v>151416</v>
          </cell>
        </row>
        <row r="2355">
          <cell r="A2355" t="str">
            <v>红色战士160级腰带</v>
          </cell>
          <cell r="B2355">
            <v>151417</v>
          </cell>
        </row>
        <row r="2356">
          <cell r="A2356" t="str">
            <v>红色战士170级腰带</v>
          </cell>
          <cell r="B2356">
            <v>151418</v>
          </cell>
        </row>
        <row r="2357">
          <cell r="A2357" t="str">
            <v>红色战士180级腰带</v>
          </cell>
          <cell r="B2357">
            <v>151419</v>
          </cell>
        </row>
        <row r="2358">
          <cell r="A2358" t="str">
            <v>红色战士190级腰带</v>
          </cell>
          <cell r="B2358">
            <v>151420</v>
          </cell>
        </row>
        <row r="2359">
          <cell r="A2359" t="str">
            <v>红色战士200级腰带</v>
          </cell>
          <cell r="B2359">
            <v>151421</v>
          </cell>
        </row>
        <row r="2360">
          <cell r="A2360" t="str">
            <v>红色法师1级腰带</v>
          </cell>
          <cell r="B2360">
            <v>152401</v>
          </cell>
        </row>
        <row r="2361">
          <cell r="A2361" t="str">
            <v>红色法师10级腰带</v>
          </cell>
          <cell r="B2361">
            <v>152402</v>
          </cell>
        </row>
        <row r="2362">
          <cell r="A2362" t="str">
            <v>红色法师20级腰带</v>
          </cell>
          <cell r="B2362">
            <v>152403</v>
          </cell>
        </row>
        <row r="2363">
          <cell r="A2363" t="str">
            <v>红色法师30级腰带</v>
          </cell>
          <cell r="B2363">
            <v>152404</v>
          </cell>
        </row>
        <row r="2364">
          <cell r="A2364" t="str">
            <v>红色法师40级腰带</v>
          </cell>
          <cell r="B2364">
            <v>152405</v>
          </cell>
        </row>
        <row r="2365">
          <cell r="A2365" t="str">
            <v>红色法师50级腰带</v>
          </cell>
          <cell r="B2365">
            <v>152406</v>
          </cell>
        </row>
        <row r="2366">
          <cell r="A2366" t="str">
            <v>红色法师60级腰带</v>
          </cell>
          <cell r="B2366">
            <v>152407</v>
          </cell>
        </row>
        <row r="2367">
          <cell r="A2367" t="str">
            <v>红色法师70级腰带</v>
          </cell>
          <cell r="B2367">
            <v>152408</v>
          </cell>
        </row>
        <row r="2368">
          <cell r="A2368" t="str">
            <v>红色法师80级腰带</v>
          </cell>
          <cell r="B2368">
            <v>152409</v>
          </cell>
        </row>
        <row r="2369">
          <cell r="A2369" t="str">
            <v>红色法师90级腰带</v>
          </cell>
          <cell r="B2369">
            <v>152410</v>
          </cell>
        </row>
        <row r="2370">
          <cell r="A2370" t="str">
            <v>红色法师100级腰带</v>
          </cell>
          <cell r="B2370">
            <v>152411</v>
          </cell>
        </row>
        <row r="2371">
          <cell r="A2371" t="str">
            <v>红色法师110级腰带</v>
          </cell>
          <cell r="B2371">
            <v>152412</v>
          </cell>
        </row>
        <row r="2372">
          <cell r="A2372" t="str">
            <v>红色法师120级腰带</v>
          </cell>
          <cell r="B2372">
            <v>152413</v>
          </cell>
        </row>
        <row r="2373">
          <cell r="A2373" t="str">
            <v>红色法师130级腰带</v>
          </cell>
          <cell r="B2373">
            <v>152414</v>
          </cell>
        </row>
        <row r="2374">
          <cell r="A2374" t="str">
            <v>红色法师140级腰带</v>
          </cell>
          <cell r="B2374">
            <v>152415</v>
          </cell>
        </row>
        <row r="2375">
          <cell r="A2375" t="str">
            <v>红色法师150级腰带</v>
          </cell>
          <cell r="B2375">
            <v>152416</v>
          </cell>
        </row>
        <row r="2376">
          <cell r="A2376" t="str">
            <v>红色法师160级腰带</v>
          </cell>
          <cell r="B2376">
            <v>152417</v>
          </cell>
        </row>
        <row r="2377">
          <cell r="A2377" t="str">
            <v>红色法师170级腰带</v>
          </cell>
          <cell r="B2377">
            <v>152418</v>
          </cell>
        </row>
        <row r="2378">
          <cell r="A2378" t="str">
            <v>红色法师180级腰带</v>
          </cell>
          <cell r="B2378">
            <v>152419</v>
          </cell>
        </row>
        <row r="2379">
          <cell r="A2379" t="str">
            <v>红色法师190级腰带</v>
          </cell>
          <cell r="B2379">
            <v>152420</v>
          </cell>
        </row>
        <row r="2380">
          <cell r="A2380" t="str">
            <v>红色法师200级腰带</v>
          </cell>
          <cell r="B2380">
            <v>152421</v>
          </cell>
        </row>
        <row r="2381">
          <cell r="A2381" t="str">
            <v>红色道士1级腰带</v>
          </cell>
          <cell r="B2381">
            <v>153401</v>
          </cell>
        </row>
        <row r="2382">
          <cell r="A2382" t="str">
            <v>红色道士10级腰带</v>
          </cell>
          <cell r="B2382">
            <v>153402</v>
          </cell>
        </row>
        <row r="2383">
          <cell r="A2383" t="str">
            <v>红色道士20级腰带</v>
          </cell>
          <cell r="B2383">
            <v>153403</v>
          </cell>
        </row>
        <row r="2384">
          <cell r="A2384" t="str">
            <v>红色道士30级腰带</v>
          </cell>
          <cell r="B2384">
            <v>153404</v>
          </cell>
        </row>
        <row r="2385">
          <cell r="A2385" t="str">
            <v>红色道士40级腰带</v>
          </cell>
          <cell r="B2385">
            <v>153405</v>
          </cell>
        </row>
        <row r="2386">
          <cell r="A2386" t="str">
            <v>红色道士50级腰带</v>
          </cell>
          <cell r="B2386">
            <v>153406</v>
          </cell>
        </row>
        <row r="2387">
          <cell r="A2387" t="str">
            <v>红色道士60级腰带</v>
          </cell>
          <cell r="B2387">
            <v>153407</v>
          </cell>
        </row>
        <row r="2388">
          <cell r="A2388" t="str">
            <v>红色道士70级腰带</v>
          </cell>
          <cell r="B2388">
            <v>153408</v>
          </cell>
        </row>
        <row r="2389">
          <cell r="A2389" t="str">
            <v>红色道士80级腰带</v>
          </cell>
          <cell r="B2389">
            <v>153409</v>
          </cell>
        </row>
        <row r="2390">
          <cell r="A2390" t="str">
            <v>红色道士90级腰带</v>
          </cell>
          <cell r="B2390">
            <v>153410</v>
          </cell>
        </row>
        <row r="2391">
          <cell r="A2391" t="str">
            <v>红色道士100级腰带</v>
          </cell>
          <cell r="B2391">
            <v>153411</v>
          </cell>
        </row>
        <row r="2392">
          <cell r="A2392" t="str">
            <v>红色道士110级腰带</v>
          </cell>
          <cell r="B2392">
            <v>153412</v>
          </cell>
        </row>
        <row r="2393">
          <cell r="A2393" t="str">
            <v>红色道士120级腰带</v>
          </cell>
          <cell r="B2393">
            <v>153413</v>
          </cell>
        </row>
        <row r="2394">
          <cell r="A2394" t="str">
            <v>红色道士130级腰带</v>
          </cell>
          <cell r="B2394">
            <v>153414</v>
          </cell>
        </row>
        <row r="2395">
          <cell r="A2395" t="str">
            <v>红色道士140级腰带</v>
          </cell>
          <cell r="B2395">
            <v>153415</v>
          </cell>
        </row>
        <row r="2396">
          <cell r="A2396" t="str">
            <v>红色道士150级腰带</v>
          </cell>
          <cell r="B2396">
            <v>153416</v>
          </cell>
        </row>
        <row r="2397">
          <cell r="A2397" t="str">
            <v>红色道士160级腰带</v>
          </cell>
          <cell r="B2397">
            <v>153417</v>
          </cell>
        </row>
        <row r="2398">
          <cell r="A2398" t="str">
            <v>红色道士170级腰带</v>
          </cell>
          <cell r="B2398">
            <v>153418</v>
          </cell>
        </row>
        <row r="2399">
          <cell r="A2399" t="str">
            <v>红色道士180级腰带</v>
          </cell>
          <cell r="B2399">
            <v>153419</v>
          </cell>
        </row>
        <row r="2400">
          <cell r="A2400" t="str">
            <v>红色道士190级腰带</v>
          </cell>
          <cell r="B2400">
            <v>153420</v>
          </cell>
        </row>
        <row r="2401">
          <cell r="A2401" t="str">
            <v>红色道士200级腰带</v>
          </cell>
          <cell r="B2401">
            <v>153421</v>
          </cell>
        </row>
        <row r="2402">
          <cell r="A2402" t="str">
            <v>红色战士1级戒指</v>
          </cell>
          <cell r="B2402">
            <v>161401</v>
          </cell>
        </row>
        <row r="2403">
          <cell r="A2403" t="str">
            <v>红色战士10级戒指</v>
          </cell>
          <cell r="B2403">
            <v>161402</v>
          </cell>
        </row>
        <row r="2404">
          <cell r="A2404" t="str">
            <v>红色战士20级戒指</v>
          </cell>
          <cell r="B2404">
            <v>161403</v>
          </cell>
        </row>
        <row r="2405">
          <cell r="A2405" t="str">
            <v>红色战士30级戒指</v>
          </cell>
          <cell r="B2405">
            <v>161404</v>
          </cell>
        </row>
        <row r="2406">
          <cell r="A2406" t="str">
            <v>红色战士40级戒指</v>
          </cell>
          <cell r="B2406">
            <v>161405</v>
          </cell>
        </row>
        <row r="2407">
          <cell r="A2407" t="str">
            <v>红色战士50级戒指</v>
          </cell>
          <cell r="B2407">
            <v>161406</v>
          </cell>
        </row>
        <row r="2408">
          <cell r="A2408" t="str">
            <v>红色战士60级戒指</v>
          </cell>
          <cell r="B2408">
            <v>161407</v>
          </cell>
        </row>
        <row r="2409">
          <cell r="A2409" t="str">
            <v>红色战士70级戒指</v>
          </cell>
          <cell r="B2409">
            <v>161408</v>
          </cell>
        </row>
        <row r="2410">
          <cell r="A2410" t="str">
            <v>红色战士80级戒指</v>
          </cell>
          <cell r="B2410">
            <v>161409</v>
          </cell>
        </row>
        <row r="2411">
          <cell r="A2411" t="str">
            <v>红色战士90级戒指</v>
          </cell>
          <cell r="B2411">
            <v>161410</v>
          </cell>
        </row>
        <row r="2412">
          <cell r="A2412" t="str">
            <v>红色战士100级戒指</v>
          </cell>
          <cell r="B2412">
            <v>161411</v>
          </cell>
        </row>
        <row r="2413">
          <cell r="A2413" t="str">
            <v>红色战士110级戒指</v>
          </cell>
          <cell r="B2413">
            <v>161412</v>
          </cell>
        </row>
        <row r="2414">
          <cell r="A2414" t="str">
            <v>红色战士120级戒指</v>
          </cell>
          <cell r="B2414">
            <v>161413</v>
          </cell>
        </row>
        <row r="2415">
          <cell r="A2415" t="str">
            <v>红色战士130级戒指</v>
          </cell>
          <cell r="B2415">
            <v>161414</v>
          </cell>
        </row>
        <row r="2416">
          <cell r="A2416" t="str">
            <v>红色战士140级戒指</v>
          </cell>
          <cell r="B2416">
            <v>161415</v>
          </cell>
        </row>
        <row r="2417">
          <cell r="A2417" t="str">
            <v>红色战士150级戒指</v>
          </cell>
          <cell r="B2417">
            <v>161416</v>
          </cell>
        </row>
        <row r="2418">
          <cell r="A2418" t="str">
            <v>红色战士160级戒指</v>
          </cell>
          <cell r="B2418">
            <v>161417</v>
          </cell>
        </row>
        <row r="2419">
          <cell r="A2419" t="str">
            <v>红色战士170级戒指</v>
          </cell>
          <cell r="B2419">
            <v>161418</v>
          </cell>
        </row>
        <row r="2420">
          <cell r="A2420" t="str">
            <v>红色战士180级戒指</v>
          </cell>
          <cell r="B2420">
            <v>161419</v>
          </cell>
        </row>
        <row r="2421">
          <cell r="A2421" t="str">
            <v>红色战士190级戒指</v>
          </cell>
          <cell r="B2421">
            <v>161420</v>
          </cell>
        </row>
        <row r="2422">
          <cell r="A2422" t="str">
            <v>红色战士200级戒指</v>
          </cell>
          <cell r="B2422">
            <v>161421</v>
          </cell>
        </row>
        <row r="2423">
          <cell r="A2423" t="str">
            <v>红色法师1级戒指</v>
          </cell>
          <cell r="B2423">
            <v>162401</v>
          </cell>
        </row>
        <row r="2424">
          <cell r="A2424" t="str">
            <v>红色法师10级戒指</v>
          </cell>
          <cell r="B2424">
            <v>162402</v>
          </cell>
        </row>
        <row r="2425">
          <cell r="A2425" t="str">
            <v>红色法师20级戒指</v>
          </cell>
          <cell r="B2425">
            <v>162403</v>
          </cell>
        </row>
        <row r="2426">
          <cell r="A2426" t="str">
            <v>红色法师30级戒指</v>
          </cell>
          <cell r="B2426">
            <v>162404</v>
          </cell>
        </row>
        <row r="2427">
          <cell r="A2427" t="str">
            <v>红色法师40级戒指</v>
          </cell>
          <cell r="B2427">
            <v>162405</v>
          </cell>
        </row>
        <row r="2428">
          <cell r="A2428" t="str">
            <v>红色法师50级戒指</v>
          </cell>
          <cell r="B2428">
            <v>162406</v>
          </cell>
        </row>
        <row r="2429">
          <cell r="A2429" t="str">
            <v>红色法师60级戒指</v>
          </cell>
          <cell r="B2429">
            <v>162407</v>
          </cell>
        </row>
        <row r="2430">
          <cell r="A2430" t="str">
            <v>红色法师70级戒指</v>
          </cell>
          <cell r="B2430">
            <v>162408</v>
          </cell>
        </row>
        <row r="2431">
          <cell r="A2431" t="str">
            <v>红色法师80级戒指</v>
          </cell>
          <cell r="B2431">
            <v>162409</v>
          </cell>
        </row>
        <row r="2432">
          <cell r="A2432" t="str">
            <v>红色法师90级戒指</v>
          </cell>
          <cell r="B2432">
            <v>162410</v>
          </cell>
        </row>
        <row r="2433">
          <cell r="A2433" t="str">
            <v>红色法师100级戒指</v>
          </cell>
          <cell r="B2433">
            <v>162411</v>
          </cell>
        </row>
        <row r="2434">
          <cell r="A2434" t="str">
            <v>红色法师110级戒指</v>
          </cell>
          <cell r="B2434">
            <v>162412</v>
          </cell>
        </row>
        <row r="2435">
          <cell r="A2435" t="str">
            <v>红色法师120级戒指</v>
          </cell>
          <cell r="B2435">
            <v>162413</v>
          </cell>
        </row>
        <row r="2436">
          <cell r="A2436" t="str">
            <v>红色法师130级戒指</v>
          </cell>
          <cell r="B2436">
            <v>162414</v>
          </cell>
        </row>
        <row r="2437">
          <cell r="A2437" t="str">
            <v>红色法师140级戒指</v>
          </cell>
          <cell r="B2437">
            <v>162415</v>
          </cell>
        </row>
        <row r="2438">
          <cell r="A2438" t="str">
            <v>红色法师150级戒指</v>
          </cell>
          <cell r="B2438">
            <v>162416</v>
          </cell>
        </row>
        <row r="2439">
          <cell r="A2439" t="str">
            <v>红色法师160级戒指</v>
          </cell>
          <cell r="B2439">
            <v>162417</v>
          </cell>
        </row>
        <row r="2440">
          <cell r="A2440" t="str">
            <v>红色法师170级戒指</v>
          </cell>
          <cell r="B2440">
            <v>162418</v>
          </cell>
        </row>
        <row r="2441">
          <cell r="A2441" t="str">
            <v>红色法师180级戒指</v>
          </cell>
          <cell r="B2441">
            <v>162419</v>
          </cell>
        </row>
        <row r="2442">
          <cell r="A2442" t="str">
            <v>红色法师190级戒指</v>
          </cell>
          <cell r="B2442">
            <v>162420</v>
          </cell>
        </row>
        <row r="2443">
          <cell r="A2443" t="str">
            <v>红色法师200级戒指</v>
          </cell>
          <cell r="B2443">
            <v>162421</v>
          </cell>
        </row>
        <row r="2444">
          <cell r="A2444" t="str">
            <v>红色道士1级戒指</v>
          </cell>
          <cell r="B2444">
            <v>163401</v>
          </cell>
        </row>
        <row r="2445">
          <cell r="A2445" t="str">
            <v>红色道士10级戒指</v>
          </cell>
          <cell r="B2445">
            <v>163402</v>
          </cell>
        </row>
        <row r="2446">
          <cell r="A2446" t="str">
            <v>红色道士20级戒指</v>
          </cell>
          <cell r="B2446">
            <v>163403</v>
          </cell>
        </row>
        <row r="2447">
          <cell r="A2447" t="str">
            <v>红色道士30级戒指</v>
          </cell>
          <cell r="B2447">
            <v>163404</v>
          </cell>
        </row>
        <row r="2448">
          <cell r="A2448" t="str">
            <v>红色道士40级戒指</v>
          </cell>
          <cell r="B2448">
            <v>163405</v>
          </cell>
        </row>
        <row r="2449">
          <cell r="A2449" t="str">
            <v>红色道士50级戒指</v>
          </cell>
          <cell r="B2449">
            <v>163406</v>
          </cell>
        </row>
        <row r="2450">
          <cell r="A2450" t="str">
            <v>红色道士60级戒指</v>
          </cell>
          <cell r="B2450">
            <v>163407</v>
          </cell>
        </row>
        <row r="2451">
          <cell r="A2451" t="str">
            <v>红色道士70级戒指</v>
          </cell>
          <cell r="B2451">
            <v>163408</v>
          </cell>
        </row>
        <row r="2452">
          <cell r="A2452" t="str">
            <v>红色道士80级戒指</v>
          </cell>
          <cell r="B2452">
            <v>163409</v>
          </cell>
        </row>
        <row r="2453">
          <cell r="A2453" t="str">
            <v>红色道士90级戒指</v>
          </cell>
          <cell r="B2453">
            <v>163410</v>
          </cell>
        </row>
        <row r="2454">
          <cell r="A2454" t="str">
            <v>红色道士100级戒指</v>
          </cell>
          <cell r="B2454">
            <v>163411</v>
          </cell>
        </row>
        <row r="2455">
          <cell r="A2455" t="str">
            <v>红色道士110级戒指</v>
          </cell>
          <cell r="B2455">
            <v>163412</v>
          </cell>
        </row>
        <row r="2456">
          <cell r="A2456" t="str">
            <v>红色道士120级戒指</v>
          </cell>
          <cell r="B2456">
            <v>163413</v>
          </cell>
        </row>
        <row r="2457">
          <cell r="A2457" t="str">
            <v>红色道士130级戒指</v>
          </cell>
          <cell r="B2457">
            <v>163414</v>
          </cell>
        </row>
        <row r="2458">
          <cell r="A2458" t="str">
            <v>红色道士140级戒指</v>
          </cell>
          <cell r="B2458">
            <v>163415</v>
          </cell>
        </row>
        <row r="2459">
          <cell r="A2459" t="str">
            <v>红色道士150级戒指</v>
          </cell>
          <cell r="B2459">
            <v>163416</v>
          </cell>
        </row>
        <row r="2460">
          <cell r="A2460" t="str">
            <v>红色道士160级戒指</v>
          </cell>
          <cell r="B2460">
            <v>163417</v>
          </cell>
        </row>
        <row r="2461">
          <cell r="A2461" t="str">
            <v>红色道士170级戒指</v>
          </cell>
          <cell r="B2461">
            <v>163418</v>
          </cell>
        </row>
        <row r="2462">
          <cell r="A2462" t="str">
            <v>红色道士180级戒指</v>
          </cell>
          <cell r="B2462">
            <v>163419</v>
          </cell>
        </row>
        <row r="2463">
          <cell r="A2463" t="str">
            <v>红色道士190级戒指</v>
          </cell>
          <cell r="B2463">
            <v>163420</v>
          </cell>
        </row>
        <row r="2464">
          <cell r="A2464" t="str">
            <v>红色道士200级戒指</v>
          </cell>
          <cell r="B2464">
            <v>163421</v>
          </cell>
        </row>
        <row r="2465">
          <cell r="A2465" t="str">
            <v>红色战士1级鞋子</v>
          </cell>
          <cell r="B2465">
            <v>171401</v>
          </cell>
        </row>
        <row r="2466">
          <cell r="A2466" t="str">
            <v>红色战士10级鞋子</v>
          </cell>
          <cell r="B2466">
            <v>171402</v>
          </cell>
        </row>
        <row r="2467">
          <cell r="A2467" t="str">
            <v>红色战士20级鞋子</v>
          </cell>
          <cell r="B2467">
            <v>171403</v>
          </cell>
        </row>
        <row r="2468">
          <cell r="A2468" t="str">
            <v>红色战士30级鞋子</v>
          </cell>
          <cell r="B2468">
            <v>171404</v>
          </cell>
        </row>
        <row r="2469">
          <cell r="A2469" t="str">
            <v>红色战士40级鞋子</v>
          </cell>
          <cell r="B2469">
            <v>171405</v>
          </cell>
        </row>
        <row r="2470">
          <cell r="A2470" t="str">
            <v>红色战士50级鞋子</v>
          </cell>
          <cell r="B2470">
            <v>171406</v>
          </cell>
        </row>
        <row r="2471">
          <cell r="A2471" t="str">
            <v>红色战士60级鞋子</v>
          </cell>
          <cell r="B2471">
            <v>171407</v>
          </cell>
        </row>
        <row r="2472">
          <cell r="A2472" t="str">
            <v>红色战士70级鞋子</v>
          </cell>
          <cell r="B2472">
            <v>171408</v>
          </cell>
        </row>
        <row r="2473">
          <cell r="A2473" t="str">
            <v>红色战士80级鞋子</v>
          </cell>
          <cell r="B2473">
            <v>171409</v>
          </cell>
        </row>
        <row r="2474">
          <cell r="A2474" t="str">
            <v>红色战士90级鞋子</v>
          </cell>
          <cell r="B2474">
            <v>171410</v>
          </cell>
        </row>
        <row r="2475">
          <cell r="A2475" t="str">
            <v>红色战士100级鞋子</v>
          </cell>
          <cell r="B2475">
            <v>171411</v>
          </cell>
        </row>
        <row r="2476">
          <cell r="A2476" t="str">
            <v>红色战士110级鞋子</v>
          </cell>
          <cell r="B2476">
            <v>171412</v>
          </cell>
        </row>
        <row r="2477">
          <cell r="A2477" t="str">
            <v>红色战士120级鞋子</v>
          </cell>
          <cell r="B2477">
            <v>171413</v>
          </cell>
        </row>
        <row r="2478">
          <cell r="A2478" t="str">
            <v>红色战士130级鞋子</v>
          </cell>
          <cell r="B2478">
            <v>171414</v>
          </cell>
        </row>
        <row r="2479">
          <cell r="A2479" t="str">
            <v>红色战士140级鞋子</v>
          </cell>
          <cell r="B2479">
            <v>171415</v>
          </cell>
        </row>
        <row r="2480">
          <cell r="A2480" t="str">
            <v>红色战士150级鞋子</v>
          </cell>
          <cell r="B2480">
            <v>171416</v>
          </cell>
        </row>
        <row r="2481">
          <cell r="A2481" t="str">
            <v>红色战士160级鞋子</v>
          </cell>
          <cell r="B2481">
            <v>171417</v>
          </cell>
        </row>
        <row r="2482">
          <cell r="A2482" t="str">
            <v>红色战士170级鞋子</v>
          </cell>
          <cell r="B2482">
            <v>171418</v>
          </cell>
        </row>
        <row r="2483">
          <cell r="A2483" t="str">
            <v>红色战士180级鞋子</v>
          </cell>
          <cell r="B2483">
            <v>171419</v>
          </cell>
        </row>
        <row r="2484">
          <cell r="A2484" t="str">
            <v>红色战士190级鞋子</v>
          </cell>
          <cell r="B2484">
            <v>171420</v>
          </cell>
        </row>
        <row r="2485">
          <cell r="A2485" t="str">
            <v>红色战士200级鞋子</v>
          </cell>
          <cell r="B2485">
            <v>171421</v>
          </cell>
        </row>
        <row r="2486">
          <cell r="A2486" t="str">
            <v>红色法师1级鞋子</v>
          </cell>
          <cell r="B2486">
            <v>172401</v>
          </cell>
        </row>
        <row r="2487">
          <cell r="A2487" t="str">
            <v>红色法师10级鞋子</v>
          </cell>
          <cell r="B2487">
            <v>172402</v>
          </cell>
        </row>
        <row r="2488">
          <cell r="A2488" t="str">
            <v>红色法师20级鞋子</v>
          </cell>
          <cell r="B2488">
            <v>172403</v>
          </cell>
        </row>
        <row r="2489">
          <cell r="A2489" t="str">
            <v>红色法师30级鞋子</v>
          </cell>
          <cell r="B2489">
            <v>172404</v>
          </cell>
        </row>
        <row r="2490">
          <cell r="A2490" t="str">
            <v>红色法师40级鞋子</v>
          </cell>
          <cell r="B2490">
            <v>172405</v>
          </cell>
        </row>
        <row r="2491">
          <cell r="A2491" t="str">
            <v>红色法师50级鞋子</v>
          </cell>
          <cell r="B2491">
            <v>172406</v>
          </cell>
        </row>
        <row r="2492">
          <cell r="A2492" t="str">
            <v>红色法师60级鞋子</v>
          </cell>
          <cell r="B2492">
            <v>172407</v>
          </cell>
        </row>
        <row r="2493">
          <cell r="A2493" t="str">
            <v>红色法师70级鞋子</v>
          </cell>
          <cell r="B2493">
            <v>172408</v>
          </cell>
        </row>
        <row r="2494">
          <cell r="A2494" t="str">
            <v>红色法师80级鞋子</v>
          </cell>
          <cell r="B2494">
            <v>172409</v>
          </cell>
        </row>
        <row r="2495">
          <cell r="A2495" t="str">
            <v>红色法师90级鞋子</v>
          </cell>
          <cell r="B2495">
            <v>172410</v>
          </cell>
        </row>
        <row r="2496">
          <cell r="A2496" t="str">
            <v>红色法师100级鞋子</v>
          </cell>
          <cell r="B2496">
            <v>172411</v>
          </cell>
        </row>
        <row r="2497">
          <cell r="A2497" t="str">
            <v>红色法师110级鞋子</v>
          </cell>
          <cell r="B2497">
            <v>172412</v>
          </cell>
        </row>
        <row r="2498">
          <cell r="A2498" t="str">
            <v>红色法师120级鞋子</v>
          </cell>
          <cell r="B2498">
            <v>172413</v>
          </cell>
        </row>
        <row r="2499">
          <cell r="A2499" t="str">
            <v>红色法师130级鞋子</v>
          </cell>
          <cell r="B2499">
            <v>172414</v>
          </cell>
        </row>
        <row r="2500">
          <cell r="A2500" t="str">
            <v>红色法师140级鞋子</v>
          </cell>
          <cell r="B2500">
            <v>172415</v>
          </cell>
        </row>
        <row r="2501">
          <cell r="A2501" t="str">
            <v>红色法师150级鞋子</v>
          </cell>
          <cell r="B2501">
            <v>172416</v>
          </cell>
        </row>
        <row r="2502">
          <cell r="A2502" t="str">
            <v>红色法师160级鞋子</v>
          </cell>
          <cell r="B2502">
            <v>172417</v>
          </cell>
        </row>
        <row r="2503">
          <cell r="A2503" t="str">
            <v>红色法师170级鞋子</v>
          </cell>
          <cell r="B2503">
            <v>172418</v>
          </cell>
        </row>
        <row r="2504">
          <cell r="A2504" t="str">
            <v>红色法师180级鞋子</v>
          </cell>
          <cell r="B2504">
            <v>172419</v>
          </cell>
        </row>
        <row r="2505">
          <cell r="A2505" t="str">
            <v>红色法师190级鞋子</v>
          </cell>
          <cell r="B2505">
            <v>172420</v>
          </cell>
        </row>
        <row r="2506">
          <cell r="A2506" t="str">
            <v>红色法师200级鞋子</v>
          </cell>
          <cell r="B2506">
            <v>172421</v>
          </cell>
        </row>
        <row r="2507">
          <cell r="A2507" t="str">
            <v>红色道士1级鞋子</v>
          </cell>
          <cell r="B2507">
            <v>173401</v>
          </cell>
        </row>
        <row r="2508">
          <cell r="A2508" t="str">
            <v>红色道士10级鞋子</v>
          </cell>
          <cell r="B2508">
            <v>173402</v>
          </cell>
        </row>
        <row r="2509">
          <cell r="A2509" t="str">
            <v>红色道士20级鞋子</v>
          </cell>
          <cell r="B2509">
            <v>173403</v>
          </cell>
        </row>
        <row r="2510">
          <cell r="A2510" t="str">
            <v>红色道士30级鞋子</v>
          </cell>
          <cell r="B2510">
            <v>173404</v>
          </cell>
        </row>
        <row r="2511">
          <cell r="A2511" t="str">
            <v>红色道士40级鞋子</v>
          </cell>
          <cell r="B2511">
            <v>173405</v>
          </cell>
        </row>
        <row r="2512">
          <cell r="A2512" t="str">
            <v>红色道士50级鞋子</v>
          </cell>
          <cell r="B2512">
            <v>173406</v>
          </cell>
        </row>
        <row r="2513">
          <cell r="A2513" t="str">
            <v>红色道士60级鞋子</v>
          </cell>
          <cell r="B2513">
            <v>173407</v>
          </cell>
        </row>
        <row r="2514">
          <cell r="A2514" t="str">
            <v>红色道士70级鞋子</v>
          </cell>
          <cell r="B2514">
            <v>173408</v>
          </cell>
        </row>
        <row r="2515">
          <cell r="A2515" t="str">
            <v>红色道士80级鞋子</v>
          </cell>
          <cell r="B2515">
            <v>173409</v>
          </cell>
        </row>
        <row r="2516">
          <cell r="A2516" t="str">
            <v>红色道士90级鞋子</v>
          </cell>
          <cell r="B2516">
            <v>173410</v>
          </cell>
        </row>
        <row r="2517">
          <cell r="A2517" t="str">
            <v>红色道士100级鞋子</v>
          </cell>
          <cell r="B2517">
            <v>173411</v>
          </cell>
        </row>
        <row r="2518">
          <cell r="A2518" t="str">
            <v>红色道士110级鞋子</v>
          </cell>
          <cell r="B2518">
            <v>173412</v>
          </cell>
        </row>
        <row r="2519">
          <cell r="A2519" t="str">
            <v>红色道士120级鞋子</v>
          </cell>
          <cell r="B2519">
            <v>173413</v>
          </cell>
        </row>
        <row r="2520">
          <cell r="A2520" t="str">
            <v>红色道士130级鞋子</v>
          </cell>
          <cell r="B2520">
            <v>173414</v>
          </cell>
        </row>
        <row r="2521">
          <cell r="A2521" t="str">
            <v>红色道士140级鞋子</v>
          </cell>
          <cell r="B2521">
            <v>173415</v>
          </cell>
        </row>
        <row r="2522">
          <cell r="A2522" t="str">
            <v>红色道士150级鞋子</v>
          </cell>
          <cell r="B2522">
            <v>173416</v>
          </cell>
        </row>
        <row r="2523">
          <cell r="A2523" t="str">
            <v>红色道士160级鞋子</v>
          </cell>
          <cell r="B2523">
            <v>173417</v>
          </cell>
        </row>
        <row r="2524">
          <cell r="A2524" t="str">
            <v>红色道士170级鞋子</v>
          </cell>
          <cell r="B2524">
            <v>173418</v>
          </cell>
        </row>
        <row r="2525">
          <cell r="A2525" t="str">
            <v>红色道士180级鞋子</v>
          </cell>
          <cell r="B2525">
            <v>173419</v>
          </cell>
        </row>
        <row r="2526">
          <cell r="A2526" t="str">
            <v>红色道士190级鞋子</v>
          </cell>
          <cell r="B2526">
            <v>173420</v>
          </cell>
        </row>
        <row r="2527">
          <cell r="A2527" t="str">
            <v>红色道士200级鞋子</v>
          </cell>
          <cell r="B2527">
            <v>173421</v>
          </cell>
        </row>
        <row r="2528">
          <cell r="A2528" t="str">
            <v>传奇武器1</v>
          </cell>
          <cell r="B2528">
            <v>101501</v>
          </cell>
        </row>
        <row r="2529">
          <cell r="A2529" t="str">
            <v>传奇武器2</v>
          </cell>
          <cell r="B2529">
            <v>101502</v>
          </cell>
        </row>
        <row r="2530">
          <cell r="A2530" t="str">
            <v>传奇武器3</v>
          </cell>
          <cell r="B2530">
            <v>101503</v>
          </cell>
        </row>
        <row r="2531">
          <cell r="A2531" t="str">
            <v>传奇武器4</v>
          </cell>
          <cell r="B2531">
            <v>101504</v>
          </cell>
        </row>
        <row r="2532">
          <cell r="A2532" t="str">
            <v>传奇武器5</v>
          </cell>
          <cell r="B2532">
            <v>101505</v>
          </cell>
        </row>
        <row r="2533">
          <cell r="A2533" t="str">
            <v>传奇武器6</v>
          </cell>
          <cell r="B2533">
            <v>101506</v>
          </cell>
        </row>
        <row r="2534">
          <cell r="A2534" t="str">
            <v>传奇衣服1</v>
          </cell>
          <cell r="B2534">
            <v>121501</v>
          </cell>
        </row>
        <row r="2535">
          <cell r="A2535" t="str">
            <v>传奇衣服2</v>
          </cell>
          <cell r="B2535">
            <v>121502</v>
          </cell>
        </row>
        <row r="2536">
          <cell r="A2536" t="str">
            <v>传奇衣服3</v>
          </cell>
          <cell r="B2536">
            <v>121503</v>
          </cell>
        </row>
        <row r="2537">
          <cell r="A2537" t="str">
            <v>传奇衣服4</v>
          </cell>
          <cell r="B2537">
            <v>121504</v>
          </cell>
        </row>
        <row r="2538">
          <cell r="A2538" t="str">
            <v>传奇衣服5</v>
          </cell>
          <cell r="B2538">
            <v>121505</v>
          </cell>
        </row>
        <row r="2539">
          <cell r="A2539" t="str">
            <v>传奇衣服6</v>
          </cell>
          <cell r="B2539">
            <v>121506</v>
          </cell>
        </row>
        <row r="2540">
          <cell r="A2540" t="str">
            <v>神器-火龙之心</v>
          </cell>
          <cell r="B2540">
            <v>180000</v>
          </cell>
        </row>
        <row r="2541">
          <cell r="A2541" t="str">
            <v>火龙之心1</v>
          </cell>
          <cell r="B2541">
            <v>180001</v>
          </cell>
        </row>
        <row r="2542">
          <cell r="A2542" t="str">
            <v>火龙之心2</v>
          </cell>
          <cell r="B2542">
            <v>180002</v>
          </cell>
        </row>
        <row r="2543">
          <cell r="A2543" t="str">
            <v>神器-神龙之戒</v>
          </cell>
          <cell r="B2543">
            <v>180010</v>
          </cell>
        </row>
        <row r="2544">
          <cell r="A2544" t="str">
            <v>神龙之戒1</v>
          </cell>
          <cell r="B2544">
            <v>180011</v>
          </cell>
        </row>
        <row r="2545">
          <cell r="A2545" t="str">
            <v>神龙之戒2</v>
          </cell>
          <cell r="B2545">
            <v>180012</v>
          </cell>
        </row>
        <row r="2546">
          <cell r="A2546" t="str">
            <v>神龙之戒3</v>
          </cell>
          <cell r="B2546">
            <v>180013</v>
          </cell>
        </row>
        <row r="2547">
          <cell r="A2547" t="str">
            <v>神龙之戒4</v>
          </cell>
          <cell r="B2547">
            <v>180014</v>
          </cell>
        </row>
        <row r="2548">
          <cell r="A2548" t="str">
            <v>神器-霸者之证</v>
          </cell>
          <cell r="B2548">
            <v>180020</v>
          </cell>
        </row>
        <row r="2549">
          <cell r="A2549" t="str">
            <v>霸者之证1</v>
          </cell>
          <cell r="B2549">
            <v>180021</v>
          </cell>
        </row>
        <row r="2550">
          <cell r="A2550" t="str">
            <v>霸者之证2</v>
          </cell>
          <cell r="B2550">
            <v>180022</v>
          </cell>
        </row>
        <row r="2551">
          <cell r="A2551" t="str">
            <v>霸者之证3</v>
          </cell>
          <cell r="B2551">
            <v>180023</v>
          </cell>
        </row>
        <row r="2552">
          <cell r="A2552" t="str">
            <v>霸者之证4</v>
          </cell>
          <cell r="B2552">
            <v>180024</v>
          </cell>
        </row>
        <row r="2553">
          <cell r="A2553" t="str">
            <v>神器-太初勋章</v>
          </cell>
          <cell r="B2553">
            <v>180030</v>
          </cell>
        </row>
        <row r="2554">
          <cell r="A2554" t="str">
            <v>太初勋章1</v>
          </cell>
          <cell r="B2554">
            <v>180031</v>
          </cell>
        </row>
        <row r="2555">
          <cell r="A2555" t="str">
            <v>太初勋章2</v>
          </cell>
          <cell r="B2555">
            <v>180032</v>
          </cell>
        </row>
        <row r="2556">
          <cell r="A2556" t="str">
            <v>太初勋章3</v>
          </cell>
          <cell r="B2556">
            <v>180033</v>
          </cell>
        </row>
        <row r="2557">
          <cell r="A2557" t="str">
            <v>太初勋章4</v>
          </cell>
          <cell r="B2557">
            <v>180034</v>
          </cell>
        </row>
        <row r="2558">
          <cell r="A2558" t="str">
            <v>神器-修罗斧</v>
          </cell>
          <cell r="B2558">
            <v>180040</v>
          </cell>
        </row>
        <row r="2559">
          <cell r="A2559" t="str">
            <v>修罗斧碎片1</v>
          </cell>
          <cell r="B2559">
            <v>180041</v>
          </cell>
        </row>
        <row r="2560">
          <cell r="A2560" t="str">
            <v>修罗斧碎片2</v>
          </cell>
          <cell r="B2560">
            <v>180042</v>
          </cell>
        </row>
        <row r="2561">
          <cell r="A2561" t="str">
            <v>修罗斧碎片3</v>
          </cell>
          <cell r="B2561">
            <v>180043</v>
          </cell>
        </row>
        <row r="2562">
          <cell r="A2562" t="str">
            <v>修罗斧碎片4</v>
          </cell>
          <cell r="B2562">
            <v>180044</v>
          </cell>
        </row>
        <row r="2563">
          <cell r="A2563" t="str">
            <v>神器-屠龙刀</v>
          </cell>
          <cell r="B2563">
            <v>180050</v>
          </cell>
        </row>
        <row r="2564">
          <cell r="A2564" t="str">
            <v>屠龙刀碎片1</v>
          </cell>
          <cell r="B2564">
            <v>180051</v>
          </cell>
        </row>
        <row r="2565">
          <cell r="A2565" t="str">
            <v>屠龙刀碎片2</v>
          </cell>
          <cell r="B2565">
            <v>180052</v>
          </cell>
        </row>
        <row r="2566">
          <cell r="A2566" t="str">
            <v>屠龙刀碎片3</v>
          </cell>
          <cell r="B2566">
            <v>180053</v>
          </cell>
        </row>
        <row r="2567">
          <cell r="A2567" t="str">
            <v>屠龙刀碎片4</v>
          </cell>
          <cell r="B2567">
            <v>180054</v>
          </cell>
        </row>
        <row r="2568">
          <cell r="A2568" t="str">
            <v>屠龙刀碎片5</v>
          </cell>
          <cell r="B2568">
            <v>180055</v>
          </cell>
        </row>
        <row r="2569">
          <cell r="A2569" t="str">
            <v>神器-血饮刀</v>
          </cell>
          <cell r="B2569">
            <v>180060</v>
          </cell>
        </row>
        <row r="2570">
          <cell r="A2570" t="str">
            <v>血饮刀碎片1</v>
          </cell>
          <cell r="B2570">
            <v>180061</v>
          </cell>
        </row>
        <row r="2571">
          <cell r="A2571" t="str">
            <v>血饮刀碎片2</v>
          </cell>
          <cell r="B2571">
            <v>180062</v>
          </cell>
        </row>
        <row r="2572">
          <cell r="A2572" t="str">
            <v>血饮刀碎片3</v>
          </cell>
          <cell r="B2572">
            <v>180063</v>
          </cell>
        </row>
        <row r="2573">
          <cell r="A2573" t="str">
            <v>血饮刀碎片4</v>
          </cell>
          <cell r="B2573">
            <v>180064</v>
          </cell>
        </row>
        <row r="2574">
          <cell r="A2574" t="str">
            <v>血饮刀碎片5</v>
          </cell>
          <cell r="B2574">
            <v>180065</v>
          </cell>
        </row>
        <row r="2575">
          <cell r="A2575" t="str">
            <v>血饮刀碎片6</v>
          </cell>
          <cell r="B2575">
            <v>180066</v>
          </cell>
        </row>
        <row r="2576">
          <cell r="A2576" t="str">
            <v>神器-龙血宝石</v>
          </cell>
          <cell r="B2576">
            <v>180070</v>
          </cell>
        </row>
        <row r="2577">
          <cell r="A2577" t="str">
            <v>龙血碎片1</v>
          </cell>
          <cell r="B2577">
            <v>180071</v>
          </cell>
        </row>
        <row r="2578">
          <cell r="A2578" t="str">
            <v>龙血碎片2</v>
          </cell>
          <cell r="B2578">
            <v>180072</v>
          </cell>
        </row>
        <row r="2579">
          <cell r="A2579" t="str">
            <v>龙血碎片3</v>
          </cell>
          <cell r="B2579">
            <v>180073</v>
          </cell>
        </row>
        <row r="2580">
          <cell r="A2580" t="str">
            <v>龙血碎片4</v>
          </cell>
          <cell r="B2580">
            <v>180074</v>
          </cell>
        </row>
        <row r="2581">
          <cell r="A2581" t="str">
            <v>龙血碎片5</v>
          </cell>
          <cell r="B2581">
            <v>180075</v>
          </cell>
        </row>
        <row r="2582">
          <cell r="A2582" t="str">
            <v>龙血碎片6</v>
          </cell>
          <cell r="B2582">
            <v>180076</v>
          </cell>
        </row>
        <row r="2583">
          <cell r="A2583" t="str">
            <v>神器-龙牙刃</v>
          </cell>
          <cell r="B2583">
            <v>180080</v>
          </cell>
        </row>
        <row r="2584">
          <cell r="A2584" t="str">
            <v>龙血碎片1</v>
          </cell>
          <cell r="B2584">
            <v>180081</v>
          </cell>
        </row>
        <row r="2585">
          <cell r="A2585" t="str">
            <v>龙血碎片2</v>
          </cell>
          <cell r="B2585">
            <v>180082</v>
          </cell>
        </row>
        <row r="2586">
          <cell r="A2586" t="str">
            <v>龙血碎片3</v>
          </cell>
          <cell r="B2586">
            <v>180083</v>
          </cell>
        </row>
        <row r="2587">
          <cell r="A2587" t="str">
            <v>龙血碎片4</v>
          </cell>
          <cell r="B2587">
            <v>180084</v>
          </cell>
        </row>
        <row r="2588">
          <cell r="A2588" t="str">
            <v>龙血碎片5</v>
          </cell>
          <cell r="B2588">
            <v>180085</v>
          </cell>
        </row>
        <row r="2589">
          <cell r="A2589" t="str">
            <v>龙血碎片6</v>
          </cell>
          <cell r="B2589">
            <v>180086</v>
          </cell>
        </row>
        <row r="2590">
          <cell r="A2590" t="str">
            <v>神器-通灵盾</v>
          </cell>
          <cell r="B2590">
            <v>180090</v>
          </cell>
        </row>
        <row r="2591">
          <cell r="A2591" t="str">
            <v>通灵碎片1</v>
          </cell>
          <cell r="B2591">
            <v>180091</v>
          </cell>
        </row>
        <row r="2592">
          <cell r="A2592" t="str">
            <v>通灵碎片2</v>
          </cell>
          <cell r="B2592">
            <v>180092</v>
          </cell>
        </row>
        <row r="2593">
          <cell r="A2593" t="str">
            <v>通灵碎片3</v>
          </cell>
          <cell r="B2593">
            <v>180093</v>
          </cell>
        </row>
        <row r="2594">
          <cell r="A2594" t="str">
            <v>通灵碎片4</v>
          </cell>
          <cell r="B2594">
            <v>180094</v>
          </cell>
        </row>
        <row r="2595">
          <cell r="A2595" t="str">
            <v>通灵碎片5</v>
          </cell>
          <cell r="B2595">
            <v>180095</v>
          </cell>
        </row>
        <row r="2596">
          <cell r="A2596" t="str">
            <v>通灵碎片6</v>
          </cell>
          <cell r="B2596">
            <v>180096</v>
          </cell>
        </row>
        <row r="2597">
          <cell r="A2597" t="str">
            <v>神器-金魂珠</v>
          </cell>
          <cell r="B2597">
            <v>180100</v>
          </cell>
        </row>
        <row r="2598">
          <cell r="A2598" t="str">
            <v>金魂碎片1</v>
          </cell>
          <cell r="B2598">
            <v>180101</v>
          </cell>
        </row>
        <row r="2599">
          <cell r="A2599" t="str">
            <v>金魂碎片2</v>
          </cell>
          <cell r="B2599">
            <v>180102</v>
          </cell>
        </row>
        <row r="2600">
          <cell r="A2600" t="str">
            <v>金魂碎片3</v>
          </cell>
          <cell r="B2600">
            <v>180103</v>
          </cell>
        </row>
        <row r="2601">
          <cell r="A2601" t="str">
            <v>金魂碎片4</v>
          </cell>
          <cell r="B2601">
            <v>180104</v>
          </cell>
        </row>
        <row r="2602">
          <cell r="A2602" t="str">
            <v>金魂碎片5</v>
          </cell>
          <cell r="B2602">
            <v>180105</v>
          </cell>
        </row>
        <row r="2603">
          <cell r="A2603" t="str">
            <v>金魂碎片6</v>
          </cell>
          <cell r="B2603">
            <v>180106</v>
          </cell>
        </row>
        <row r="2604">
          <cell r="A2604" t="str">
            <v>神器-苍魂珠</v>
          </cell>
          <cell r="B2604">
            <v>180110</v>
          </cell>
        </row>
        <row r="2605">
          <cell r="A2605" t="str">
            <v>苍魂碎片1</v>
          </cell>
          <cell r="B2605">
            <v>180111</v>
          </cell>
        </row>
        <row r="2606">
          <cell r="A2606" t="str">
            <v>苍魂碎片2</v>
          </cell>
          <cell r="B2606">
            <v>180112</v>
          </cell>
        </row>
        <row r="2607">
          <cell r="A2607" t="str">
            <v>苍魂碎片3</v>
          </cell>
          <cell r="B2607">
            <v>180113</v>
          </cell>
        </row>
        <row r="2608">
          <cell r="A2608" t="str">
            <v>苍魂碎片4</v>
          </cell>
          <cell r="B2608">
            <v>180114</v>
          </cell>
        </row>
        <row r="2609">
          <cell r="A2609" t="str">
            <v>苍魂碎片5</v>
          </cell>
          <cell r="B2609">
            <v>180115</v>
          </cell>
        </row>
        <row r="2610">
          <cell r="A2610" t="str">
            <v>苍魂碎片6</v>
          </cell>
          <cell r="B2610">
            <v>180116</v>
          </cell>
        </row>
        <row r="2611">
          <cell r="A2611" t="str">
            <v>神器-碧海天王</v>
          </cell>
          <cell r="B2611">
            <v>180120</v>
          </cell>
        </row>
        <row r="2612">
          <cell r="A2612" t="str">
            <v>天王碎片1</v>
          </cell>
          <cell r="B2612">
            <v>180121</v>
          </cell>
        </row>
        <row r="2613">
          <cell r="A2613" t="str">
            <v>天王碎片2</v>
          </cell>
          <cell r="B2613">
            <v>180122</v>
          </cell>
        </row>
        <row r="2614">
          <cell r="A2614" t="str">
            <v>天王碎片3</v>
          </cell>
          <cell r="B2614">
            <v>180123</v>
          </cell>
        </row>
        <row r="2615">
          <cell r="A2615" t="str">
            <v>天王碎片4</v>
          </cell>
          <cell r="B2615">
            <v>180124</v>
          </cell>
        </row>
        <row r="2616">
          <cell r="A2616" t="str">
            <v>天王碎片5</v>
          </cell>
          <cell r="B2616">
            <v>180125</v>
          </cell>
        </row>
        <row r="2617">
          <cell r="A2617" t="str">
            <v>天王碎片6</v>
          </cell>
          <cell r="B2617">
            <v>180126</v>
          </cell>
        </row>
        <row r="2618">
          <cell r="A2618" t="str">
            <v>天王碎片7</v>
          </cell>
          <cell r="B2618">
            <v>180127</v>
          </cell>
        </row>
        <row r="2619">
          <cell r="A2619" t="str">
            <v>天王碎片8</v>
          </cell>
          <cell r="B2619">
            <v>180128</v>
          </cell>
        </row>
        <row r="2620">
          <cell r="A2620" t="str">
            <v>神器-命运战刃</v>
          </cell>
          <cell r="B2620">
            <v>180130</v>
          </cell>
        </row>
        <row r="2621">
          <cell r="A2621" t="str">
            <v>命运碎片1</v>
          </cell>
          <cell r="B2621">
            <v>180131</v>
          </cell>
        </row>
        <row r="2622">
          <cell r="A2622" t="str">
            <v>命运碎片2</v>
          </cell>
          <cell r="B2622">
            <v>180132</v>
          </cell>
        </row>
        <row r="2623">
          <cell r="A2623" t="str">
            <v>命运碎片3</v>
          </cell>
          <cell r="B2623">
            <v>180133</v>
          </cell>
        </row>
        <row r="2624">
          <cell r="A2624" t="str">
            <v>命运碎片4</v>
          </cell>
          <cell r="B2624">
            <v>180134</v>
          </cell>
        </row>
        <row r="2625">
          <cell r="A2625" t="str">
            <v>命运碎片5</v>
          </cell>
          <cell r="B2625">
            <v>180135</v>
          </cell>
        </row>
        <row r="2626">
          <cell r="A2626" t="str">
            <v>命运碎片6</v>
          </cell>
          <cell r="B2626">
            <v>180136</v>
          </cell>
        </row>
        <row r="2627">
          <cell r="A2627" t="str">
            <v>命运碎片7</v>
          </cell>
          <cell r="B2627">
            <v>180137</v>
          </cell>
        </row>
        <row r="2628">
          <cell r="A2628" t="str">
            <v>命运碎片8</v>
          </cell>
          <cell r="B2628">
            <v>180138</v>
          </cell>
        </row>
        <row r="2629">
          <cell r="A2629" t="str">
            <v>神器-骨魔权杖</v>
          </cell>
          <cell r="B2629">
            <v>180140</v>
          </cell>
        </row>
        <row r="2630">
          <cell r="A2630" t="str">
            <v>骨魔碎片1</v>
          </cell>
          <cell r="B2630">
            <v>180141</v>
          </cell>
        </row>
        <row r="2631">
          <cell r="A2631" t="str">
            <v>骨魔碎片2</v>
          </cell>
          <cell r="B2631">
            <v>180142</v>
          </cell>
        </row>
        <row r="2632">
          <cell r="A2632" t="str">
            <v>骨魔碎片3</v>
          </cell>
          <cell r="B2632">
            <v>180143</v>
          </cell>
        </row>
        <row r="2633">
          <cell r="A2633" t="str">
            <v>骨魔碎片4</v>
          </cell>
          <cell r="B2633">
            <v>180144</v>
          </cell>
        </row>
        <row r="2634">
          <cell r="A2634" t="str">
            <v>骨魔碎片5</v>
          </cell>
          <cell r="B2634">
            <v>180145</v>
          </cell>
        </row>
        <row r="2635">
          <cell r="A2635" t="str">
            <v>骨魔碎片6</v>
          </cell>
          <cell r="B2635">
            <v>180146</v>
          </cell>
        </row>
        <row r="2636">
          <cell r="A2636" t="str">
            <v>骨魔碎片7</v>
          </cell>
          <cell r="B2636">
            <v>180147</v>
          </cell>
        </row>
        <row r="2637">
          <cell r="A2637" t="str">
            <v>骨魔碎片8</v>
          </cell>
          <cell r="B2637">
            <v>180148</v>
          </cell>
        </row>
        <row r="2638">
          <cell r="A2638" t="str">
            <v>神器-铁画银钩</v>
          </cell>
          <cell r="B2638">
            <v>180150</v>
          </cell>
        </row>
        <row r="2639">
          <cell r="A2639" t="str">
            <v>银钩碎片1</v>
          </cell>
          <cell r="B2639">
            <v>180151</v>
          </cell>
        </row>
        <row r="2640">
          <cell r="A2640" t="str">
            <v>银钩碎片2</v>
          </cell>
          <cell r="B2640">
            <v>180152</v>
          </cell>
        </row>
        <row r="2641">
          <cell r="A2641" t="str">
            <v>银钩碎片3</v>
          </cell>
          <cell r="B2641">
            <v>180153</v>
          </cell>
        </row>
        <row r="2642">
          <cell r="A2642" t="str">
            <v>银钩碎片4</v>
          </cell>
          <cell r="B2642">
            <v>180154</v>
          </cell>
        </row>
        <row r="2643">
          <cell r="A2643" t="str">
            <v>银钩碎片5</v>
          </cell>
          <cell r="B2643">
            <v>180155</v>
          </cell>
        </row>
        <row r="2644">
          <cell r="A2644" t="str">
            <v>银钩碎片6</v>
          </cell>
          <cell r="B2644">
            <v>180156</v>
          </cell>
        </row>
        <row r="2645">
          <cell r="A2645" t="str">
            <v>银钩碎片7</v>
          </cell>
          <cell r="B2645">
            <v>180157</v>
          </cell>
        </row>
        <row r="2646">
          <cell r="A2646" t="str">
            <v>银钩碎片8</v>
          </cell>
          <cell r="B2646">
            <v>180158</v>
          </cell>
        </row>
        <row r="2647">
          <cell r="A2647" t="str">
            <v>神器-蓝月圣灵</v>
          </cell>
          <cell r="B2647">
            <v>180160</v>
          </cell>
        </row>
        <row r="2648">
          <cell r="A2648" t="str">
            <v>圣灵碎片1</v>
          </cell>
          <cell r="B2648">
            <v>180161</v>
          </cell>
        </row>
        <row r="2649">
          <cell r="A2649" t="str">
            <v>圣灵碎片2</v>
          </cell>
          <cell r="B2649">
            <v>180162</v>
          </cell>
        </row>
        <row r="2650">
          <cell r="A2650" t="str">
            <v>圣灵碎片3</v>
          </cell>
          <cell r="B2650">
            <v>180163</v>
          </cell>
        </row>
        <row r="2651">
          <cell r="A2651" t="str">
            <v>圣灵碎片4</v>
          </cell>
          <cell r="B2651">
            <v>180164</v>
          </cell>
        </row>
        <row r="2652">
          <cell r="A2652" t="str">
            <v>圣灵碎片5</v>
          </cell>
          <cell r="B2652">
            <v>180165</v>
          </cell>
        </row>
        <row r="2653">
          <cell r="A2653" t="str">
            <v>圣灵碎片6</v>
          </cell>
          <cell r="B2653">
            <v>180166</v>
          </cell>
        </row>
        <row r="2654">
          <cell r="A2654" t="str">
            <v>圣灵碎片7</v>
          </cell>
          <cell r="B2654">
            <v>180167</v>
          </cell>
        </row>
        <row r="2655">
          <cell r="A2655" t="str">
            <v>圣灵碎片8</v>
          </cell>
          <cell r="B2655">
            <v>180168</v>
          </cell>
        </row>
        <row r="2656">
          <cell r="A2656" t="str">
            <v>神器-逍遥羽扇</v>
          </cell>
          <cell r="B2656">
            <v>180170</v>
          </cell>
        </row>
        <row r="2657">
          <cell r="A2657" t="str">
            <v>逍遥碎片1</v>
          </cell>
          <cell r="B2657">
            <v>180171</v>
          </cell>
        </row>
        <row r="2658">
          <cell r="A2658" t="str">
            <v>逍遥碎片2</v>
          </cell>
          <cell r="B2658">
            <v>180172</v>
          </cell>
        </row>
        <row r="2659">
          <cell r="A2659" t="str">
            <v>逍遥碎片3</v>
          </cell>
          <cell r="B2659">
            <v>180173</v>
          </cell>
        </row>
        <row r="2660">
          <cell r="A2660" t="str">
            <v>逍遥碎片4</v>
          </cell>
          <cell r="B2660">
            <v>180174</v>
          </cell>
        </row>
        <row r="2661">
          <cell r="A2661" t="str">
            <v>逍遥碎片5</v>
          </cell>
          <cell r="B2661">
            <v>180175</v>
          </cell>
        </row>
        <row r="2662">
          <cell r="A2662" t="str">
            <v>逍遥碎片6</v>
          </cell>
          <cell r="B2662">
            <v>180176</v>
          </cell>
        </row>
        <row r="2663">
          <cell r="A2663" t="str">
            <v>逍遥碎片7</v>
          </cell>
          <cell r="B2663">
            <v>180177</v>
          </cell>
        </row>
        <row r="2664">
          <cell r="A2664" t="str">
            <v>逍遥碎片8</v>
          </cell>
          <cell r="B2664">
            <v>180178</v>
          </cell>
        </row>
        <row r="2665">
          <cell r="A2665" t="str">
            <v>神器-雷霆刀</v>
          </cell>
          <cell r="B2665">
            <v>180180</v>
          </cell>
        </row>
        <row r="2666">
          <cell r="A2666" t="str">
            <v>雷霆碎片1</v>
          </cell>
          <cell r="B2666">
            <v>180181</v>
          </cell>
        </row>
        <row r="2667">
          <cell r="A2667" t="str">
            <v>雷霆碎片2</v>
          </cell>
          <cell r="B2667">
            <v>180182</v>
          </cell>
        </row>
        <row r="2668">
          <cell r="A2668" t="str">
            <v>雷霆碎片3</v>
          </cell>
          <cell r="B2668">
            <v>180183</v>
          </cell>
        </row>
        <row r="2669">
          <cell r="A2669" t="str">
            <v>雷霆碎片4</v>
          </cell>
          <cell r="B2669">
            <v>180184</v>
          </cell>
        </row>
        <row r="2670">
          <cell r="A2670" t="str">
            <v>雷霆碎片5</v>
          </cell>
          <cell r="B2670">
            <v>180185</v>
          </cell>
        </row>
        <row r="2671">
          <cell r="A2671" t="str">
            <v>雷霆碎片6</v>
          </cell>
          <cell r="B2671">
            <v>180186</v>
          </cell>
        </row>
        <row r="2672">
          <cell r="A2672" t="str">
            <v>雷霆碎片7</v>
          </cell>
          <cell r="B2672">
            <v>180187</v>
          </cell>
        </row>
        <row r="2673">
          <cell r="A2673" t="str">
            <v>雷霆碎片8</v>
          </cell>
          <cell r="B2673">
            <v>180188</v>
          </cell>
        </row>
        <row r="2674">
          <cell r="A2674" t="str">
            <v>神器-天道玄剑</v>
          </cell>
          <cell r="B2674">
            <v>180190</v>
          </cell>
        </row>
        <row r="2675">
          <cell r="A2675" t="str">
            <v>天道碎片1</v>
          </cell>
          <cell r="B2675">
            <v>180191</v>
          </cell>
        </row>
        <row r="2676">
          <cell r="A2676" t="str">
            <v>天道碎片2</v>
          </cell>
          <cell r="B2676">
            <v>180192</v>
          </cell>
        </row>
        <row r="2677">
          <cell r="A2677" t="str">
            <v>天道碎片3</v>
          </cell>
          <cell r="B2677">
            <v>180193</v>
          </cell>
        </row>
        <row r="2678">
          <cell r="A2678" t="str">
            <v>天道碎片4</v>
          </cell>
          <cell r="B2678">
            <v>180194</v>
          </cell>
        </row>
        <row r="2679">
          <cell r="A2679" t="str">
            <v>天道碎片5</v>
          </cell>
          <cell r="B2679">
            <v>180195</v>
          </cell>
        </row>
        <row r="2680">
          <cell r="A2680" t="str">
            <v>天道碎片6</v>
          </cell>
          <cell r="B2680">
            <v>180196</v>
          </cell>
        </row>
        <row r="2681">
          <cell r="A2681" t="str">
            <v>天道碎片7</v>
          </cell>
          <cell r="B2681">
            <v>180197</v>
          </cell>
        </row>
        <row r="2682">
          <cell r="A2682" t="str">
            <v>天道碎片8</v>
          </cell>
          <cell r="B2682">
            <v>180198</v>
          </cell>
        </row>
        <row r="2683">
          <cell r="A2683" t="str">
            <v>神器-不动明王</v>
          </cell>
          <cell r="B2683">
            <v>180200</v>
          </cell>
        </row>
        <row r="2684">
          <cell r="A2684" t="str">
            <v>明王碎片1</v>
          </cell>
          <cell r="B2684">
            <v>180201</v>
          </cell>
        </row>
        <row r="2685">
          <cell r="A2685" t="str">
            <v>明王碎片2</v>
          </cell>
          <cell r="B2685">
            <v>180202</v>
          </cell>
        </row>
        <row r="2686">
          <cell r="A2686" t="str">
            <v>明王碎片3</v>
          </cell>
          <cell r="B2686">
            <v>180203</v>
          </cell>
        </row>
        <row r="2687">
          <cell r="A2687" t="str">
            <v>明王碎片4</v>
          </cell>
          <cell r="B2687">
            <v>180204</v>
          </cell>
        </row>
        <row r="2688">
          <cell r="A2688" t="str">
            <v>明王碎片5</v>
          </cell>
          <cell r="B2688">
            <v>180205</v>
          </cell>
        </row>
        <row r="2689">
          <cell r="A2689" t="str">
            <v>明王碎片6</v>
          </cell>
          <cell r="B2689">
            <v>180206</v>
          </cell>
        </row>
        <row r="2690">
          <cell r="A2690" t="str">
            <v>明王碎片7</v>
          </cell>
          <cell r="B2690">
            <v>180207</v>
          </cell>
        </row>
        <row r="2691">
          <cell r="A2691" t="str">
            <v>明王碎片8</v>
          </cell>
          <cell r="B2691">
            <v>180208</v>
          </cell>
        </row>
        <row r="2692">
          <cell r="A2692" t="str">
            <v>神器-封雪刃</v>
          </cell>
          <cell r="B2692">
            <v>180210</v>
          </cell>
        </row>
        <row r="2693">
          <cell r="A2693" t="str">
            <v>封雪碎片1</v>
          </cell>
          <cell r="B2693">
            <v>180211</v>
          </cell>
        </row>
        <row r="2694">
          <cell r="A2694" t="str">
            <v>封雪碎片2</v>
          </cell>
          <cell r="B2694">
            <v>180212</v>
          </cell>
        </row>
        <row r="2695">
          <cell r="A2695" t="str">
            <v>封雪碎片3</v>
          </cell>
          <cell r="B2695">
            <v>180213</v>
          </cell>
        </row>
        <row r="2696">
          <cell r="A2696" t="str">
            <v>封雪碎片4</v>
          </cell>
          <cell r="B2696">
            <v>180214</v>
          </cell>
        </row>
        <row r="2697">
          <cell r="A2697" t="str">
            <v>封雪碎片5</v>
          </cell>
          <cell r="B2697">
            <v>180215</v>
          </cell>
        </row>
        <row r="2698">
          <cell r="A2698" t="str">
            <v>封雪碎片6</v>
          </cell>
          <cell r="B2698">
            <v>180216</v>
          </cell>
        </row>
        <row r="2699">
          <cell r="A2699" t="str">
            <v>封雪碎片7</v>
          </cell>
          <cell r="B2699">
            <v>180217</v>
          </cell>
        </row>
        <row r="2700">
          <cell r="A2700" t="str">
            <v>封雪碎片8</v>
          </cell>
          <cell r="B2700">
            <v>180218</v>
          </cell>
        </row>
        <row r="2701">
          <cell r="A2701" t="str">
            <v>神器-赤明锏</v>
          </cell>
          <cell r="B2701">
            <v>180220</v>
          </cell>
        </row>
        <row r="2702">
          <cell r="A2702" t="str">
            <v>赤明碎片1</v>
          </cell>
          <cell r="B2702">
            <v>180221</v>
          </cell>
        </row>
        <row r="2703">
          <cell r="A2703" t="str">
            <v>赤明碎片2</v>
          </cell>
          <cell r="B2703">
            <v>180222</v>
          </cell>
        </row>
        <row r="2704">
          <cell r="A2704" t="str">
            <v>赤明碎片3</v>
          </cell>
          <cell r="B2704">
            <v>180223</v>
          </cell>
        </row>
        <row r="2705">
          <cell r="A2705" t="str">
            <v>赤明碎片4</v>
          </cell>
          <cell r="B2705">
            <v>180224</v>
          </cell>
        </row>
        <row r="2706">
          <cell r="A2706" t="str">
            <v>赤明碎片5</v>
          </cell>
          <cell r="B2706">
            <v>180225</v>
          </cell>
        </row>
        <row r="2707">
          <cell r="A2707" t="str">
            <v>赤明碎片6</v>
          </cell>
          <cell r="B2707">
            <v>180226</v>
          </cell>
        </row>
        <row r="2708">
          <cell r="A2708" t="str">
            <v>赤明碎片7</v>
          </cell>
          <cell r="B2708">
            <v>180227</v>
          </cell>
        </row>
        <row r="2709">
          <cell r="A2709" t="str">
            <v>赤明碎片8</v>
          </cell>
          <cell r="B2709">
            <v>180228</v>
          </cell>
        </row>
        <row r="2710">
          <cell r="A2710" t="str">
            <v>神器-魔魂杖</v>
          </cell>
          <cell r="B2710">
            <v>180230</v>
          </cell>
        </row>
        <row r="2711">
          <cell r="A2711" t="str">
            <v>魔魂碎片1</v>
          </cell>
          <cell r="B2711">
            <v>180231</v>
          </cell>
        </row>
        <row r="2712">
          <cell r="A2712" t="str">
            <v>魔魂碎片2</v>
          </cell>
          <cell r="B2712">
            <v>180232</v>
          </cell>
        </row>
        <row r="2713">
          <cell r="A2713" t="str">
            <v>魔魂碎片3</v>
          </cell>
          <cell r="B2713">
            <v>180233</v>
          </cell>
        </row>
        <row r="2714">
          <cell r="A2714" t="str">
            <v>魔魂碎片4</v>
          </cell>
          <cell r="B2714">
            <v>180234</v>
          </cell>
        </row>
        <row r="2715">
          <cell r="A2715" t="str">
            <v>魔魂碎片5</v>
          </cell>
          <cell r="B2715">
            <v>180235</v>
          </cell>
        </row>
        <row r="2716">
          <cell r="A2716" t="str">
            <v>魔魂碎片6</v>
          </cell>
          <cell r="B2716">
            <v>180236</v>
          </cell>
        </row>
        <row r="2717">
          <cell r="A2717" t="str">
            <v>魔魂碎片7</v>
          </cell>
          <cell r="B2717">
            <v>180237</v>
          </cell>
        </row>
        <row r="2718">
          <cell r="A2718" t="str">
            <v>魔魂碎片8</v>
          </cell>
          <cell r="B2718">
            <v>180238</v>
          </cell>
        </row>
        <row r="2719">
          <cell r="A2719" t="str">
            <v>神器-夺魂幡</v>
          </cell>
          <cell r="B2719">
            <v>180240</v>
          </cell>
        </row>
        <row r="2720">
          <cell r="A2720" t="str">
            <v>夺魂碎片1</v>
          </cell>
          <cell r="B2720">
            <v>180241</v>
          </cell>
        </row>
        <row r="2721">
          <cell r="A2721" t="str">
            <v>夺魂碎片2</v>
          </cell>
          <cell r="B2721">
            <v>180242</v>
          </cell>
        </row>
        <row r="2722">
          <cell r="A2722" t="str">
            <v>夺魂碎片3</v>
          </cell>
          <cell r="B2722">
            <v>180243</v>
          </cell>
        </row>
        <row r="2723">
          <cell r="A2723" t="str">
            <v>夺魂碎片4</v>
          </cell>
          <cell r="B2723">
            <v>180244</v>
          </cell>
        </row>
        <row r="2724">
          <cell r="A2724" t="str">
            <v>夺魂碎片5</v>
          </cell>
          <cell r="B2724">
            <v>180245</v>
          </cell>
        </row>
        <row r="2725">
          <cell r="A2725" t="str">
            <v>夺魂碎片6</v>
          </cell>
          <cell r="B2725">
            <v>180246</v>
          </cell>
        </row>
        <row r="2726">
          <cell r="A2726" t="str">
            <v>夺魂碎片7</v>
          </cell>
          <cell r="B2726">
            <v>180247</v>
          </cell>
        </row>
        <row r="2727">
          <cell r="A2727" t="str">
            <v>夺魂碎片8</v>
          </cell>
          <cell r="B2727">
            <v>180248</v>
          </cell>
        </row>
        <row r="2728">
          <cell r="A2728" t="str">
            <v>神器-断魂刺</v>
          </cell>
          <cell r="B2728">
            <v>180250</v>
          </cell>
        </row>
        <row r="2729">
          <cell r="A2729" t="str">
            <v>断魂碎片1</v>
          </cell>
          <cell r="B2729">
            <v>180251</v>
          </cell>
        </row>
        <row r="2730">
          <cell r="A2730" t="str">
            <v>断魂碎片2</v>
          </cell>
          <cell r="B2730">
            <v>180252</v>
          </cell>
        </row>
        <row r="2731">
          <cell r="A2731" t="str">
            <v>断魂碎片3</v>
          </cell>
          <cell r="B2731">
            <v>180253</v>
          </cell>
        </row>
        <row r="2732">
          <cell r="A2732" t="str">
            <v>断魂碎片4</v>
          </cell>
          <cell r="B2732">
            <v>180254</v>
          </cell>
        </row>
        <row r="2733">
          <cell r="A2733" t="str">
            <v>断魂碎片5</v>
          </cell>
          <cell r="B2733">
            <v>180255</v>
          </cell>
        </row>
        <row r="2734">
          <cell r="A2734" t="str">
            <v>断魂碎片6</v>
          </cell>
          <cell r="B2734">
            <v>180256</v>
          </cell>
        </row>
        <row r="2735">
          <cell r="A2735" t="str">
            <v>断魂碎片7</v>
          </cell>
          <cell r="B2735">
            <v>180257</v>
          </cell>
        </row>
        <row r="2736">
          <cell r="A2736" t="str">
            <v>断魂碎片8</v>
          </cell>
          <cell r="B2736">
            <v>180258</v>
          </cell>
        </row>
        <row r="2737">
          <cell r="A2737" t="str">
            <v>神器-倚天剑</v>
          </cell>
          <cell r="B2737">
            <v>180260</v>
          </cell>
        </row>
        <row r="2738">
          <cell r="A2738" t="str">
            <v>倚天碎片1</v>
          </cell>
          <cell r="B2738">
            <v>180261</v>
          </cell>
        </row>
        <row r="2739">
          <cell r="A2739" t="str">
            <v>倚天碎片2</v>
          </cell>
          <cell r="B2739">
            <v>180262</v>
          </cell>
        </row>
        <row r="2740">
          <cell r="A2740" t="str">
            <v>倚天碎片3</v>
          </cell>
          <cell r="B2740">
            <v>180263</v>
          </cell>
        </row>
        <row r="2741">
          <cell r="A2741" t="str">
            <v>倚天碎片4</v>
          </cell>
          <cell r="B2741">
            <v>180264</v>
          </cell>
        </row>
        <row r="2742">
          <cell r="A2742" t="str">
            <v>倚天碎片5</v>
          </cell>
          <cell r="B2742">
            <v>180265</v>
          </cell>
        </row>
        <row r="2743">
          <cell r="A2743" t="str">
            <v>倚天碎片6</v>
          </cell>
          <cell r="B2743">
            <v>180266</v>
          </cell>
        </row>
        <row r="2744">
          <cell r="A2744" t="str">
            <v>倚天碎片7</v>
          </cell>
          <cell r="B2744">
            <v>180267</v>
          </cell>
        </row>
        <row r="2745">
          <cell r="A2745" t="str">
            <v>倚天碎片8</v>
          </cell>
          <cell r="B2745">
            <v>180268</v>
          </cell>
        </row>
        <row r="2746">
          <cell r="A2746" t="str">
            <v>神器-开天斩</v>
          </cell>
          <cell r="B2746">
            <v>180270</v>
          </cell>
        </row>
        <row r="2747">
          <cell r="A2747" t="str">
            <v>开天碎片1</v>
          </cell>
          <cell r="B2747">
            <v>180271</v>
          </cell>
        </row>
        <row r="2748">
          <cell r="A2748" t="str">
            <v>开天碎片2</v>
          </cell>
          <cell r="B2748">
            <v>180272</v>
          </cell>
        </row>
        <row r="2749">
          <cell r="A2749" t="str">
            <v>开天碎片3</v>
          </cell>
          <cell r="B2749">
            <v>180273</v>
          </cell>
        </row>
        <row r="2750">
          <cell r="A2750" t="str">
            <v>开天碎片4</v>
          </cell>
          <cell r="B2750">
            <v>180274</v>
          </cell>
        </row>
        <row r="2751">
          <cell r="A2751" t="str">
            <v>开天碎片5</v>
          </cell>
          <cell r="B2751">
            <v>180275</v>
          </cell>
        </row>
        <row r="2752">
          <cell r="A2752" t="str">
            <v>开天碎片6</v>
          </cell>
          <cell r="B2752">
            <v>180276</v>
          </cell>
        </row>
        <row r="2753">
          <cell r="A2753" t="str">
            <v>开天碎片7</v>
          </cell>
          <cell r="B2753">
            <v>180277</v>
          </cell>
        </row>
        <row r="2754">
          <cell r="A2754" t="str">
            <v>开天碎片8</v>
          </cell>
          <cell r="B2754">
            <v>180278</v>
          </cell>
        </row>
        <row r="2755">
          <cell r="A2755" t="str">
            <v>兵魂1</v>
          </cell>
          <cell r="B2755">
            <v>182001</v>
          </cell>
        </row>
        <row r="2756">
          <cell r="A2756" t="str">
            <v>兵魂2</v>
          </cell>
          <cell r="B2756">
            <v>182002</v>
          </cell>
        </row>
        <row r="2757">
          <cell r="A2757" t="str">
            <v>兵魂3</v>
          </cell>
          <cell r="B2757">
            <v>182003</v>
          </cell>
        </row>
        <row r="2758">
          <cell r="A2758" t="str">
            <v>兵魂4</v>
          </cell>
          <cell r="B2758">
            <v>182004</v>
          </cell>
        </row>
        <row r="2759">
          <cell r="A2759" t="str">
            <v>兵魂5</v>
          </cell>
          <cell r="B2759">
            <v>182005</v>
          </cell>
        </row>
        <row r="2760">
          <cell r="A2760" t="str">
            <v>兵魂6</v>
          </cell>
          <cell r="B2760">
            <v>182006</v>
          </cell>
        </row>
        <row r="2761">
          <cell r="A2761" t="str">
            <v>兵魂7</v>
          </cell>
          <cell r="B2761">
            <v>182007</v>
          </cell>
        </row>
        <row r="2762">
          <cell r="A2762" t="str">
            <v>兵魂8</v>
          </cell>
          <cell r="B2762">
            <v>182008</v>
          </cell>
        </row>
        <row r="2763">
          <cell r="A2763" t="str">
            <v>兵魂9</v>
          </cell>
          <cell r="B2763">
            <v>182009</v>
          </cell>
        </row>
        <row r="2764">
          <cell r="A2764" t="str">
            <v>兵魂10</v>
          </cell>
          <cell r="B2764">
            <v>182010</v>
          </cell>
        </row>
        <row r="2765">
          <cell r="A2765" t="str">
            <v>兵魂11</v>
          </cell>
          <cell r="B2765">
            <v>182011</v>
          </cell>
        </row>
        <row r="2766">
          <cell r="A2766" t="str">
            <v>兵魂12</v>
          </cell>
          <cell r="B2766">
            <v>182012</v>
          </cell>
        </row>
        <row r="2767">
          <cell r="A2767" t="str">
            <v>兵魂13</v>
          </cell>
          <cell r="B2767">
            <v>182013</v>
          </cell>
        </row>
        <row r="2768">
          <cell r="A2768" t="str">
            <v>兵魂14</v>
          </cell>
          <cell r="B2768">
            <v>182014</v>
          </cell>
        </row>
        <row r="2769">
          <cell r="A2769" t="str">
            <v>兵魂15</v>
          </cell>
          <cell r="B2769">
            <v>182015</v>
          </cell>
        </row>
        <row r="2770">
          <cell r="A2770" t="str">
            <v>兵魂16</v>
          </cell>
          <cell r="B2770">
            <v>182016</v>
          </cell>
        </row>
        <row r="2771">
          <cell r="A2771" t="str">
            <v>兵魂17</v>
          </cell>
          <cell r="B2771">
            <v>182017</v>
          </cell>
        </row>
        <row r="2772">
          <cell r="A2772" t="str">
            <v>兵魂18</v>
          </cell>
          <cell r="B2772">
            <v>182018</v>
          </cell>
        </row>
        <row r="2773">
          <cell r="A2773" t="str">
            <v>羽毛</v>
          </cell>
          <cell r="B2773">
            <v>200001</v>
          </cell>
        </row>
        <row r="2774">
          <cell r="A2774" t="str">
            <v>强化石</v>
          </cell>
          <cell r="B2774">
            <v>200002</v>
          </cell>
        </row>
        <row r="2775">
          <cell r="A2775" t="str">
            <v>铸造晶石</v>
          </cell>
          <cell r="B2775">
            <v>200003</v>
          </cell>
        </row>
        <row r="2776">
          <cell r="A2776" t="str">
            <v>经脉丹</v>
          </cell>
          <cell r="B2776">
            <v>200004</v>
          </cell>
        </row>
        <row r="2777">
          <cell r="A2777" t="str">
            <v>龙魂碎片</v>
          </cell>
          <cell r="B2777">
            <v>200005</v>
          </cell>
        </row>
        <row r="2778">
          <cell r="A2778" t="str">
            <v>神装碎片</v>
          </cell>
          <cell r="B2778">
            <v>200007</v>
          </cell>
        </row>
        <row r="2779">
          <cell r="A2779" t="str">
            <v>传奇碎片</v>
          </cell>
          <cell r="B2779">
            <v>200008</v>
          </cell>
        </row>
        <row r="2780">
          <cell r="A2780" t="str">
            <v>高级转生丹</v>
          </cell>
          <cell r="B2780">
            <v>200009</v>
          </cell>
        </row>
        <row r="2781">
          <cell r="A2781" t="str">
            <v>超级转生丹</v>
          </cell>
          <cell r="B2781">
            <v>200010</v>
          </cell>
        </row>
        <row r="2782">
          <cell r="A2782" t="str">
            <v>高级转生丹·无限制</v>
          </cell>
          <cell r="B2782">
            <v>200011</v>
          </cell>
        </row>
        <row r="2783">
          <cell r="A2783" t="str">
            <v>超级转生丹·无限制</v>
          </cell>
          <cell r="B2783">
            <v>200012</v>
          </cell>
        </row>
        <row r="2784">
          <cell r="A2784" t="str">
            <v>麻痹戒指</v>
          </cell>
          <cell r="B2784">
            <v>200013</v>
          </cell>
        </row>
        <row r="2785">
          <cell r="A2785" t="str">
            <v>护身戒指</v>
          </cell>
          <cell r="B2785">
            <v>200014</v>
          </cell>
        </row>
        <row r="2786">
          <cell r="A2786" t="str">
            <v>特戒碎片</v>
          </cell>
          <cell r="B2786">
            <v>200015</v>
          </cell>
        </row>
        <row r="2787">
          <cell r="A2787" t="str">
            <v>经验丹</v>
          </cell>
          <cell r="B2787">
            <v>200016</v>
          </cell>
        </row>
        <row r="2788">
          <cell r="A2788" t="str">
            <v>1级装备</v>
          </cell>
          <cell r="B2788">
            <v>200017</v>
          </cell>
        </row>
        <row r="2789">
          <cell r="A2789" t="str">
            <v>10级装备</v>
          </cell>
          <cell r="B2789">
            <v>200018</v>
          </cell>
        </row>
        <row r="2790">
          <cell r="A2790" t="str">
            <v>20级装备</v>
          </cell>
          <cell r="B2790">
            <v>200019</v>
          </cell>
        </row>
        <row r="2791">
          <cell r="A2791" t="str">
            <v>30级装备</v>
          </cell>
          <cell r="B2791">
            <v>200020</v>
          </cell>
        </row>
        <row r="2792">
          <cell r="A2792" t="str">
            <v>40级装备</v>
          </cell>
          <cell r="B2792">
            <v>200021</v>
          </cell>
        </row>
        <row r="2793">
          <cell r="A2793" t="str">
            <v>50级装备</v>
          </cell>
          <cell r="B2793">
            <v>200022</v>
          </cell>
        </row>
        <row r="2794">
          <cell r="A2794" t="str">
            <v>60级装备</v>
          </cell>
          <cell r="B2794">
            <v>200023</v>
          </cell>
        </row>
        <row r="2795">
          <cell r="A2795" t="str">
            <v>70级装备</v>
          </cell>
          <cell r="B2795">
            <v>200024</v>
          </cell>
        </row>
        <row r="2796">
          <cell r="A2796" t="str">
            <v>80级装备</v>
          </cell>
          <cell r="B2796">
            <v>200025</v>
          </cell>
        </row>
        <row r="2797">
          <cell r="A2797" t="str">
            <v>1转装备</v>
          </cell>
          <cell r="B2797">
            <v>200026</v>
          </cell>
        </row>
        <row r="2798">
          <cell r="A2798" t="str">
            <v>2转装备</v>
          </cell>
          <cell r="B2798">
            <v>200027</v>
          </cell>
        </row>
        <row r="2799">
          <cell r="A2799" t="str">
            <v>3转装备</v>
          </cell>
          <cell r="B2799">
            <v>200028</v>
          </cell>
        </row>
        <row r="2800">
          <cell r="A2800" t="str">
            <v>4转装备</v>
          </cell>
          <cell r="B2800">
            <v>200029</v>
          </cell>
        </row>
        <row r="2801">
          <cell r="A2801" t="str">
            <v>5转装备</v>
          </cell>
          <cell r="B2801">
            <v>200030</v>
          </cell>
        </row>
        <row r="2802">
          <cell r="A2802" t="str">
            <v>6转装备</v>
          </cell>
          <cell r="B2802">
            <v>200031</v>
          </cell>
        </row>
        <row r="2803">
          <cell r="A2803" t="str">
            <v>7转装备</v>
          </cell>
          <cell r="B2803">
            <v>200032</v>
          </cell>
        </row>
        <row r="2804">
          <cell r="A2804" t="str">
            <v>8转装备</v>
          </cell>
          <cell r="B2804">
            <v>200033</v>
          </cell>
        </row>
        <row r="2805">
          <cell r="A2805" t="str">
            <v>9转装备</v>
          </cell>
          <cell r="B2805">
            <v>200034</v>
          </cell>
        </row>
        <row r="2806">
          <cell r="A2806" t="str">
            <v>10转装备</v>
          </cell>
          <cell r="B2806">
            <v>200035</v>
          </cell>
        </row>
        <row r="2807">
          <cell r="A2807" t="str">
            <v>11转装备</v>
          </cell>
          <cell r="B2807">
            <v>200036</v>
          </cell>
        </row>
        <row r="2808">
          <cell r="A2808" t="str">
            <v>12转装备</v>
          </cell>
          <cell r="B2808">
            <v>200037</v>
          </cell>
        </row>
        <row r="2809">
          <cell r="A2809" t="str">
            <v>1级装备</v>
          </cell>
          <cell r="B2809">
            <v>200038</v>
          </cell>
        </row>
        <row r="2810">
          <cell r="A2810" t="str">
            <v>10级装备</v>
          </cell>
          <cell r="B2810">
            <v>200039</v>
          </cell>
        </row>
        <row r="2811">
          <cell r="A2811" t="str">
            <v>20级装备</v>
          </cell>
          <cell r="B2811">
            <v>200040</v>
          </cell>
        </row>
        <row r="2812">
          <cell r="A2812" t="str">
            <v>30级装备</v>
          </cell>
          <cell r="B2812">
            <v>200041</v>
          </cell>
        </row>
        <row r="2813">
          <cell r="A2813" t="str">
            <v>40级装备</v>
          </cell>
          <cell r="B2813">
            <v>200042</v>
          </cell>
        </row>
        <row r="2814">
          <cell r="A2814" t="str">
            <v>50级装备</v>
          </cell>
          <cell r="B2814">
            <v>200043</v>
          </cell>
        </row>
        <row r="2815">
          <cell r="A2815" t="str">
            <v>60级装备</v>
          </cell>
          <cell r="B2815">
            <v>200044</v>
          </cell>
        </row>
        <row r="2816">
          <cell r="A2816" t="str">
            <v>70级装备</v>
          </cell>
          <cell r="B2816">
            <v>200045</v>
          </cell>
        </row>
        <row r="2817">
          <cell r="A2817" t="str">
            <v>80级装备</v>
          </cell>
          <cell r="B2817">
            <v>200046</v>
          </cell>
        </row>
        <row r="2818">
          <cell r="A2818" t="str">
            <v>1转装备</v>
          </cell>
          <cell r="B2818">
            <v>200047</v>
          </cell>
        </row>
        <row r="2819">
          <cell r="A2819" t="str">
            <v>2转装备</v>
          </cell>
          <cell r="B2819">
            <v>200048</v>
          </cell>
        </row>
        <row r="2820">
          <cell r="A2820" t="str">
            <v>3转装备</v>
          </cell>
          <cell r="B2820">
            <v>200049</v>
          </cell>
        </row>
        <row r="2821">
          <cell r="A2821" t="str">
            <v>4转装备</v>
          </cell>
          <cell r="B2821">
            <v>200050</v>
          </cell>
        </row>
        <row r="2822">
          <cell r="A2822" t="str">
            <v>5转装备</v>
          </cell>
          <cell r="B2822">
            <v>200051</v>
          </cell>
        </row>
        <row r="2823">
          <cell r="A2823" t="str">
            <v>6转装备</v>
          </cell>
          <cell r="B2823">
            <v>200052</v>
          </cell>
        </row>
        <row r="2824">
          <cell r="A2824" t="str">
            <v>7转装备</v>
          </cell>
          <cell r="B2824">
            <v>200053</v>
          </cell>
        </row>
        <row r="2825">
          <cell r="A2825" t="str">
            <v>8转装备</v>
          </cell>
          <cell r="B2825">
            <v>200054</v>
          </cell>
        </row>
        <row r="2826">
          <cell r="A2826" t="str">
            <v>9转装备</v>
          </cell>
          <cell r="B2826">
            <v>200055</v>
          </cell>
        </row>
        <row r="2827">
          <cell r="A2827" t="str">
            <v>10转装备</v>
          </cell>
          <cell r="B2827">
            <v>200056</v>
          </cell>
        </row>
        <row r="2828">
          <cell r="A2828" t="str">
            <v>11转装备</v>
          </cell>
          <cell r="B2828">
            <v>200057</v>
          </cell>
        </row>
        <row r="2829">
          <cell r="A2829" t="str">
            <v>12转装备</v>
          </cell>
          <cell r="B2829">
            <v>200058</v>
          </cell>
        </row>
        <row r="2830">
          <cell r="A2830" t="str">
            <v>材料</v>
          </cell>
          <cell r="B2830">
            <v>200059</v>
          </cell>
        </row>
        <row r="2831">
          <cell r="A2831" t="str">
            <v>柴火</v>
          </cell>
          <cell r="B2831">
            <v>200060</v>
          </cell>
        </row>
        <row r="2832">
          <cell r="A2832" t="str">
            <v>1-2转首领抽奖</v>
          </cell>
          <cell r="B2832">
            <v>200078</v>
          </cell>
        </row>
        <row r="2833">
          <cell r="A2833" t="str">
            <v>1-2转首领击杀</v>
          </cell>
          <cell r="B2833">
            <v>200079</v>
          </cell>
        </row>
        <row r="2834">
          <cell r="A2834" t="str">
            <v>1-2转首领第一名箱子</v>
          </cell>
          <cell r="B2834">
            <v>200080</v>
          </cell>
        </row>
        <row r="2835">
          <cell r="A2835" t="str">
            <v>3-4转首领抽奖</v>
          </cell>
          <cell r="B2835">
            <v>200081</v>
          </cell>
        </row>
        <row r="2836">
          <cell r="A2836" t="str">
            <v>3-4转首领击杀</v>
          </cell>
          <cell r="B2836">
            <v>200082</v>
          </cell>
        </row>
        <row r="2837">
          <cell r="A2837" t="str">
            <v>3-4转首领第一名箱子</v>
          </cell>
          <cell r="B2837">
            <v>200083</v>
          </cell>
        </row>
        <row r="2838">
          <cell r="A2838" t="str">
            <v>5-6转首领抽奖</v>
          </cell>
          <cell r="B2838">
            <v>200084</v>
          </cell>
        </row>
        <row r="2839">
          <cell r="A2839" t="str">
            <v>5-6转首领击杀</v>
          </cell>
          <cell r="B2839">
            <v>200085</v>
          </cell>
        </row>
        <row r="2840">
          <cell r="A2840" t="str">
            <v>5-6转首领第一名箱子</v>
          </cell>
          <cell r="B2840">
            <v>200086</v>
          </cell>
        </row>
        <row r="2841">
          <cell r="A2841" t="str">
            <v>7-12转首领抽奖</v>
          </cell>
          <cell r="B2841">
            <v>200087</v>
          </cell>
        </row>
        <row r="2842">
          <cell r="A2842" t="str">
            <v>7-12转首领击杀</v>
          </cell>
          <cell r="B2842">
            <v>200088</v>
          </cell>
        </row>
        <row r="2843">
          <cell r="A2843" t="str">
            <v>7-12转首领第一名箱子</v>
          </cell>
          <cell r="B2843">
            <v>200089</v>
          </cell>
        </row>
        <row r="2844">
          <cell r="A2844" t="str">
            <v>初级母本宝箱</v>
          </cell>
          <cell r="B2844">
            <v>200090</v>
          </cell>
        </row>
        <row r="2845">
          <cell r="A2845" t="str">
            <v>中级母本宝箱</v>
          </cell>
          <cell r="B2845">
            <v>200091</v>
          </cell>
        </row>
        <row r="2846">
          <cell r="A2846" t="str">
            <v>高级母本宝箱</v>
          </cell>
          <cell r="B2846">
            <v>200092</v>
          </cell>
        </row>
        <row r="2847">
          <cell r="A2847" t="str">
            <v>顶级母本宝箱</v>
          </cell>
          <cell r="B2847">
            <v>200093</v>
          </cell>
        </row>
        <row r="2848">
          <cell r="A2848" t="str">
            <v>神秘主宰盒</v>
          </cell>
          <cell r="B2848">
            <v>200094</v>
          </cell>
        </row>
        <row r="2849">
          <cell r="A2849" t="str">
            <v>秘境幸运宝箱</v>
          </cell>
          <cell r="B2849">
            <v>200095</v>
          </cell>
        </row>
        <row r="2850">
          <cell r="A2850" t="str">
            <v>秘籍</v>
          </cell>
          <cell r="B2850">
            <v>200099</v>
          </cell>
        </row>
        <row r="2851">
          <cell r="A2851" t="str">
            <v>公会礼包</v>
          </cell>
          <cell r="B2851">
            <v>200100</v>
          </cell>
        </row>
        <row r="2852">
          <cell r="A2852" t="str">
            <v>材料宝箱</v>
          </cell>
          <cell r="B2852">
            <v>200104</v>
          </cell>
        </row>
        <row r="2853">
          <cell r="A2853" t="str">
            <v>进阶丹</v>
          </cell>
          <cell r="B2853">
            <v>200110</v>
          </cell>
        </row>
        <row r="2854">
          <cell r="A2854" t="str">
            <v>暗黑战神</v>
          </cell>
          <cell r="B2854">
            <v>200113</v>
          </cell>
        </row>
        <row r="2855">
          <cell r="A2855" t="str">
            <v>稀有功勋盒</v>
          </cell>
          <cell r="B2855">
            <v>200116</v>
          </cell>
        </row>
        <row r="2856">
          <cell r="A2856" t="str">
            <v>攻沙勇士奖</v>
          </cell>
          <cell r="B2856">
            <v>200117</v>
          </cell>
        </row>
        <row r="2857">
          <cell r="A2857" t="str">
            <v>攻沙先锋奖</v>
          </cell>
          <cell r="B2857">
            <v>200118</v>
          </cell>
        </row>
        <row r="2858">
          <cell r="A2858" t="str">
            <v>攻沙猛将奖</v>
          </cell>
          <cell r="B2858">
            <v>200119</v>
          </cell>
        </row>
        <row r="2859">
          <cell r="A2859" t="str">
            <v>攻沙枭雄奖</v>
          </cell>
          <cell r="B2859">
            <v>200120</v>
          </cell>
        </row>
        <row r="2860">
          <cell r="A2860" t="str">
            <v>攻沙王者奖</v>
          </cell>
          <cell r="B2860">
            <v>200121</v>
          </cell>
        </row>
        <row r="2861">
          <cell r="A2861" t="str">
            <v>玛法宝箱</v>
          </cell>
          <cell r="B2861">
            <v>200122</v>
          </cell>
        </row>
        <row r="2862">
          <cell r="A2862" t="str">
            <v>玛法金箱</v>
          </cell>
          <cell r="B2862">
            <v>200123</v>
          </cell>
        </row>
        <row r="2863">
          <cell r="A2863" t="str">
            <v>玛法银箱</v>
          </cell>
          <cell r="B2863">
            <v>200124</v>
          </cell>
        </row>
        <row r="2864">
          <cell r="A2864" t="str">
            <v>攻城惊喜奖</v>
          </cell>
          <cell r="B2864">
            <v>200125</v>
          </cell>
        </row>
        <row r="2865">
          <cell r="A2865" t="str">
            <v>可分配的元宝</v>
          </cell>
          <cell r="B2865">
            <v>200135</v>
          </cell>
        </row>
        <row r="2866">
          <cell r="A2866" t="str">
            <v>精炼石</v>
          </cell>
          <cell r="B2866">
            <v>200136</v>
          </cell>
        </row>
        <row r="2867">
          <cell r="A2867" t="str">
            <v>直升1级丹</v>
          </cell>
          <cell r="B2867">
            <v>200137</v>
          </cell>
        </row>
        <row r="2868">
          <cell r="A2868" t="str">
            <v>初级经验瓶</v>
          </cell>
          <cell r="B2868">
            <v>200138</v>
          </cell>
        </row>
        <row r="2869">
          <cell r="A2869" t="str">
            <v>中级经验瓶</v>
          </cell>
          <cell r="B2869">
            <v>200139</v>
          </cell>
        </row>
        <row r="2870">
          <cell r="A2870" t="str">
            <v>高级经验瓶</v>
          </cell>
          <cell r="B2870">
            <v>200140</v>
          </cell>
        </row>
        <row r="2871">
          <cell r="A2871" t="str">
            <v>传世宝钻(旧</v>
          </cell>
          <cell r="B2871">
            <v>200141</v>
          </cell>
        </row>
        <row r="2872">
          <cell r="A2872" t="str">
            <v>传世武器</v>
          </cell>
          <cell r="B2872">
            <v>200142</v>
          </cell>
        </row>
        <row r="2873">
          <cell r="A2873" t="str">
            <v>传世头盔</v>
          </cell>
          <cell r="B2873">
            <v>200143</v>
          </cell>
        </row>
        <row r="2874">
          <cell r="A2874" t="str">
            <v>传世衣服</v>
          </cell>
          <cell r="B2874">
            <v>200144</v>
          </cell>
        </row>
        <row r="2875">
          <cell r="A2875" t="str">
            <v>传世项链</v>
          </cell>
          <cell r="B2875">
            <v>200145</v>
          </cell>
        </row>
        <row r="2876">
          <cell r="A2876" t="str">
            <v>传世护腕</v>
          </cell>
          <cell r="B2876">
            <v>200146</v>
          </cell>
        </row>
        <row r="2877">
          <cell r="A2877" t="str">
            <v>传世腰带</v>
          </cell>
          <cell r="B2877">
            <v>200147</v>
          </cell>
        </row>
        <row r="2878">
          <cell r="A2878" t="str">
            <v>传世戒指</v>
          </cell>
          <cell r="B2878">
            <v>200148</v>
          </cell>
        </row>
        <row r="2879">
          <cell r="A2879" t="str">
            <v>传世鞋子</v>
          </cell>
          <cell r="B2879">
            <v>200149</v>
          </cell>
        </row>
        <row r="2880">
          <cell r="A2880" t="str">
            <v>翅膀直升1阶丹</v>
          </cell>
          <cell r="B2880">
            <v>200150</v>
          </cell>
        </row>
        <row r="2881">
          <cell r="A2881" t="str">
            <v>至尊称号</v>
          </cell>
          <cell r="B2881">
            <v>200151</v>
          </cell>
        </row>
        <row r="2882">
          <cell r="A2882" t="str">
            <v>VIP称号</v>
          </cell>
          <cell r="B2882">
            <v>200152</v>
          </cell>
        </row>
        <row r="2883">
          <cell r="A2883" t="str">
            <v>传世宝箱</v>
          </cell>
          <cell r="B2883">
            <v>200153</v>
          </cell>
        </row>
        <row r="2884">
          <cell r="A2884" t="str">
            <v>橙色图鉴礼包</v>
          </cell>
          <cell r="B2884">
            <v>200154</v>
          </cell>
        </row>
        <row r="2885">
          <cell r="A2885" t="str">
            <v>超值大礼包</v>
          </cell>
          <cell r="B2885">
            <v>200155</v>
          </cell>
        </row>
        <row r="2886">
          <cell r="A2886" t="str">
            <v>野外BOSS次数卷轴</v>
          </cell>
          <cell r="B2886">
            <v>200156</v>
          </cell>
        </row>
        <row r="2887">
          <cell r="A2887" t="str">
            <v>秘境BOSS次数卷轴</v>
          </cell>
          <cell r="B2887">
            <v>200157</v>
          </cell>
        </row>
        <row r="2888">
          <cell r="A2888" t="str">
            <v>首充武器-战</v>
          </cell>
          <cell r="B2888">
            <v>200158</v>
          </cell>
        </row>
        <row r="2889">
          <cell r="A2889" t="str">
            <v>首充衣服-战</v>
          </cell>
          <cell r="B2889">
            <v>200159</v>
          </cell>
        </row>
        <row r="2890">
          <cell r="A2890" t="str">
            <v>首充武器-法</v>
          </cell>
          <cell r="B2890">
            <v>200160</v>
          </cell>
        </row>
        <row r="2891">
          <cell r="A2891" t="str">
            <v>首充衣服-法</v>
          </cell>
          <cell r="B2891">
            <v>200161</v>
          </cell>
        </row>
        <row r="2892">
          <cell r="A2892" t="str">
            <v>首充武器-道</v>
          </cell>
          <cell r="B2892">
            <v>200162</v>
          </cell>
        </row>
        <row r="2893">
          <cell r="A2893" t="str">
            <v>首充衣服-道</v>
          </cell>
          <cell r="B2893">
            <v>200163</v>
          </cell>
        </row>
        <row r="2894">
          <cell r="A2894" t="str">
            <v>金砖</v>
          </cell>
          <cell r="B2894">
            <v>200164</v>
          </cell>
        </row>
        <row r="2895">
          <cell r="A2895" t="str">
            <v>寻宝卷</v>
          </cell>
          <cell r="B2895">
            <v>200165</v>
          </cell>
        </row>
        <row r="2896">
          <cell r="A2896" t="str">
            <v>寻宝卷</v>
          </cell>
          <cell r="B2896">
            <v>200166</v>
          </cell>
        </row>
        <row r="2897">
          <cell r="A2897" t="str">
            <v>黑铁</v>
          </cell>
          <cell r="B2897">
            <v>200167</v>
          </cell>
        </row>
        <row r="2898">
          <cell r="A2898" t="str">
            <v>星耀石</v>
          </cell>
          <cell r="B2898">
            <v>200168</v>
          </cell>
        </row>
        <row r="2899">
          <cell r="A2899" t="str">
            <v>星魂之心</v>
          </cell>
          <cell r="B2899">
            <v>200169</v>
          </cell>
        </row>
        <row r="2900">
          <cell r="A2900" t="str">
            <v>星魂之灵</v>
          </cell>
          <cell r="B2900">
            <v>200170</v>
          </cell>
        </row>
        <row r="2901">
          <cell r="A2901" t="str">
            <v>星曜之魄</v>
          </cell>
          <cell r="B2901">
            <v>200171</v>
          </cell>
        </row>
        <row r="2902">
          <cell r="A2902" t="str">
            <v>生命石</v>
          </cell>
          <cell r="B2902">
            <v>200172</v>
          </cell>
        </row>
        <row r="2903">
          <cell r="A2903" t="str">
            <v>生命之心</v>
          </cell>
          <cell r="B2903">
            <v>200173</v>
          </cell>
        </row>
        <row r="2904">
          <cell r="A2904" t="str">
            <v>生命之灵</v>
          </cell>
          <cell r="B2904">
            <v>200174</v>
          </cell>
        </row>
        <row r="2905">
          <cell r="A2905" t="str">
            <v>生命之魄</v>
          </cell>
          <cell r="B2905">
            <v>200175</v>
          </cell>
        </row>
        <row r="2906">
          <cell r="A2906" t="str">
            <v>生命之泉</v>
          </cell>
          <cell r="B2906">
            <v>200176</v>
          </cell>
        </row>
        <row r="2907">
          <cell r="A2907" t="str">
            <v>生命之慧</v>
          </cell>
          <cell r="B2907">
            <v>200177</v>
          </cell>
        </row>
        <row r="2908">
          <cell r="A2908" t="str">
            <v>魅惑石</v>
          </cell>
          <cell r="B2908">
            <v>200178</v>
          </cell>
        </row>
        <row r="2909">
          <cell r="A2909" t="str">
            <v>魅惑之心</v>
          </cell>
          <cell r="B2909">
            <v>200179</v>
          </cell>
        </row>
        <row r="2910">
          <cell r="A2910" t="str">
            <v>魅惑之灵</v>
          </cell>
          <cell r="B2910">
            <v>200180</v>
          </cell>
        </row>
        <row r="2911">
          <cell r="A2911" t="str">
            <v>魅惑之魄</v>
          </cell>
          <cell r="B2911">
            <v>200181</v>
          </cell>
        </row>
        <row r="2912">
          <cell r="A2912" t="str">
            <v>魅惑之泉</v>
          </cell>
          <cell r="B2912">
            <v>200182</v>
          </cell>
        </row>
        <row r="2913">
          <cell r="A2913" t="str">
            <v>魅惑之慧</v>
          </cell>
          <cell r="B2913">
            <v>200183</v>
          </cell>
        </row>
        <row r="2914">
          <cell r="A2914" t="str">
            <v>五彩石</v>
          </cell>
          <cell r="B2914">
            <v>200184</v>
          </cell>
        </row>
        <row r="2915">
          <cell r="A2915" t="str">
            <v>五彩之心</v>
          </cell>
          <cell r="B2915">
            <v>200185</v>
          </cell>
        </row>
        <row r="2916">
          <cell r="A2916" t="str">
            <v>五彩之灵</v>
          </cell>
          <cell r="B2916">
            <v>200186</v>
          </cell>
        </row>
        <row r="2917">
          <cell r="A2917" t="str">
            <v>五彩之魄</v>
          </cell>
          <cell r="B2917">
            <v>200187</v>
          </cell>
        </row>
        <row r="2918">
          <cell r="A2918" t="str">
            <v>五彩之泉</v>
          </cell>
          <cell r="B2918">
            <v>200188</v>
          </cell>
        </row>
        <row r="2919">
          <cell r="A2919" t="str">
            <v>五彩之慧</v>
          </cell>
          <cell r="B2919">
            <v>200189</v>
          </cell>
        </row>
        <row r="2920">
          <cell r="A2920" t="str">
            <v>五彩之闪</v>
          </cell>
          <cell r="B2920">
            <v>200190</v>
          </cell>
        </row>
        <row r="2921">
          <cell r="A2921" t="str">
            <v>五彩之曜</v>
          </cell>
          <cell r="B2921">
            <v>200191</v>
          </cell>
        </row>
        <row r="2922">
          <cell r="A2922" t="str">
            <v>蛊毒石</v>
          </cell>
          <cell r="B2922">
            <v>200192</v>
          </cell>
        </row>
        <row r="2923">
          <cell r="A2923" t="str">
            <v>蛊毒之心</v>
          </cell>
          <cell r="B2923">
            <v>200193</v>
          </cell>
        </row>
        <row r="2924">
          <cell r="A2924" t="str">
            <v>蛊毒之灵</v>
          </cell>
          <cell r="B2924">
            <v>200194</v>
          </cell>
        </row>
        <row r="2925">
          <cell r="A2925" t="str">
            <v>蛊毒之魄</v>
          </cell>
          <cell r="B2925">
            <v>200195</v>
          </cell>
        </row>
        <row r="2926">
          <cell r="A2926" t="str">
            <v>蛊毒之泉</v>
          </cell>
          <cell r="B2926">
            <v>200196</v>
          </cell>
        </row>
        <row r="2927">
          <cell r="A2927" t="str">
            <v>蛊毒永恒</v>
          </cell>
          <cell r="B2927">
            <v>200197</v>
          </cell>
        </row>
        <row r="2928">
          <cell r="A2928" t="str">
            <v>蛊毒之闪</v>
          </cell>
          <cell r="B2928">
            <v>200198</v>
          </cell>
        </row>
        <row r="2929">
          <cell r="A2929" t="str">
            <v>蛊毒之曜</v>
          </cell>
          <cell r="B2929">
            <v>200199</v>
          </cell>
        </row>
        <row r="2930">
          <cell r="A2930" t="str">
            <v>战神石</v>
          </cell>
          <cell r="B2930">
            <v>200200</v>
          </cell>
        </row>
        <row r="2931">
          <cell r="A2931" t="str">
            <v>战神之心</v>
          </cell>
          <cell r="B2931">
            <v>200201</v>
          </cell>
        </row>
        <row r="2932">
          <cell r="A2932" t="str">
            <v>战神之灵</v>
          </cell>
          <cell r="B2932">
            <v>200202</v>
          </cell>
        </row>
        <row r="2933">
          <cell r="A2933" t="str">
            <v>战神之魄</v>
          </cell>
          <cell r="B2933">
            <v>200203</v>
          </cell>
        </row>
        <row r="2934">
          <cell r="A2934" t="str">
            <v>战神之泉</v>
          </cell>
          <cell r="B2934">
            <v>200204</v>
          </cell>
        </row>
        <row r="2935">
          <cell r="A2935" t="str">
            <v>战神永恒</v>
          </cell>
          <cell r="B2935">
            <v>200205</v>
          </cell>
        </row>
        <row r="2936">
          <cell r="A2936" t="str">
            <v>战神之闪</v>
          </cell>
          <cell r="B2936">
            <v>200206</v>
          </cell>
        </row>
        <row r="2937">
          <cell r="A2937" t="str">
            <v>战神之曜</v>
          </cell>
          <cell r="B2937">
            <v>200207</v>
          </cell>
        </row>
        <row r="2938">
          <cell r="A2938" t="str">
            <v>神域BOSS次数卷轴</v>
          </cell>
          <cell r="B2938">
            <v>200995</v>
          </cell>
        </row>
        <row r="2939">
          <cell r="A2939" t="str">
            <v>传世宝箱</v>
          </cell>
          <cell r="B2939">
            <v>200998</v>
          </cell>
        </row>
        <row r="2940">
          <cell r="A2940" t="str">
            <v>魅惑兵魂礼包</v>
          </cell>
          <cell r="B2940">
            <v>200999</v>
          </cell>
        </row>
        <row r="2941">
          <cell r="A2941" t="str">
            <v>兵魂礼包</v>
          </cell>
          <cell r="B2941">
            <v>201000</v>
          </cell>
        </row>
        <row r="2942">
          <cell r="A2942" t="str">
            <v>玫瑰花</v>
          </cell>
          <cell r="B2942">
            <v>201001</v>
          </cell>
        </row>
        <row r="2943">
          <cell r="A2943" t="str">
            <v>神秘钥匙</v>
          </cell>
          <cell r="B2943">
            <v>201002</v>
          </cell>
        </row>
        <row r="2944">
          <cell r="A2944" t="str">
            <v>首充头盔-战</v>
          </cell>
          <cell r="B2944">
            <v>201003</v>
          </cell>
        </row>
        <row r="2945">
          <cell r="A2945" t="str">
            <v>首充头盔-法</v>
          </cell>
          <cell r="B2945">
            <v>201004</v>
          </cell>
        </row>
        <row r="2946">
          <cell r="A2946" t="str">
            <v>首充头盔-道</v>
          </cell>
          <cell r="B2946">
            <v>201005</v>
          </cell>
        </row>
        <row r="2947">
          <cell r="A2947" t="str">
            <v>橙色图鉴包·美女如云</v>
          </cell>
          <cell r="B2947">
            <v>201006</v>
          </cell>
        </row>
        <row r="2948">
          <cell r="A2948" t="str">
            <v>红色图鉴包·美女如云</v>
          </cell>
          <cell r="B2948">
            <v>201007</v>
          </cell>
        </row>
        <row r="2949">
          <cell r="A2949" t="str">
            <v>金色图鉴包·美女如云</v>
          </cell>
          <cell r="B2949">
            <v>201008</v>
          </cell>
        </row>
        <row r="2950">
          <cell r="A2950" t="str">
            <v>绿色图鉴包·传奇盛世</v>
          </cell>
          <cell r="B2950">
            <v>201009</v>
          </cell>
        </row>
        <row r="2951">
          <cell r="A2951" t="str">
            <v>紫色图鉴包·传奇盛世</v>
          </cell>
          <cell r="B2951">
            <v>201010</v>
          </cell>
        </row>
        <row r="2952">
          <cell r="A2952" t="str">
            <v>橙色图鉴包·传奇盛世</v>
          </cell>
          <cell r="B2952">
            <v>201011</v>
          </cell>
        </row>
        <row r="2953">
          <cell r="A2953" t="str">
            <v>红色图鉴包·传奇盛世</v>
          </cell>
          <cell r="B2953">
            <v>201012</v>
          </cell>
        </row>
        <row r="2954">
          <cell r="A2954" t="str">
            <v>随机盛世图鉴包</v>
          </cell>
          <cell r="B2954">
            <v>201013</v>
          </cell>
        </row>
        <row r="2955">
          <cell r="A2955" t="str">
            <v>超值大礼包</v>
          </cell>
          <cell r="B2955">
            <v>201014</v>
          </cell>
        </row>
        <row r="2956">
          <cell r="A2956" t="str">
            <v>绿色图鉴包·传奇之路</v>
          </cell>
          <cell r="B2956">
            <v>201015</v>
          </cell>
        </row>
        <row r="2957">
          <cell r="A2957" t="str">
            <v>紫色图鉴包·传奇之路</v>
          </cell>
          <cell r="B2957">
            <v>201016</v>
          </cell>
        </row>
        <row r="2958">
          <cell r="A2958" t="str">
            <v>橙色图鉴包·传奇之路</v>
          </cell>
          <cell r="B2958">
            <v>201017</v>
          </cell>
        </row>
        <row r="2959">
          <cell r="A2959" t="str">
            <v>红色图鉴包·传奇之路</v>
          </cell>
          <cell r="B2959">
            <v>201018</v>
          </cell>
        </row>
        <row r="2960">
          <cell r="A2960" t="str">
            <v>生命增强</v>
          </cell>
          <cell r="B2960">
            <v>210001</v>
          </cell>
        </row>
        <row r="2961">
          <cell r="A2961" t="str">
            <v>攻击增强</v>
          </cell>
          <cell r="B2961">
            <v>210002</v>
          </cell>
        </row>
        <row r="2962">
          <cell r="A2962" t="str">
            <v>防御增强</v>
          </cell>
          <cell r="B2962">
            <v>210003</v>
          </cell>
        </row>
        <row r="2963">
          <cell r="A2963" t="str">
            <v>暴击增强</v>
          </cell>
          <cell r="B2963">
            <v>210004</v>
          </cell>
        </row>
        <row r="2964">
          <cell r="A2964" t="str">
            <v>免伤增强</v>
          </cell>
          <cell r="B2964">
            <v>210005</v>
          </cell>
        </row>
        <row r="2965">
          <cell r="A2965" t="str">
            <v>必杀</v>
          </cell>
          <cell r="B2965">
            <v>210006</v>
          </cell>
        </row>
        <row r="2966">
          <cell r="A2966" t="str">
            <v>穿透</v>
          </cell>
          <cell r="B2966">
            <v>210007</v>
          </cell>
        </row>
        <row r="2967">
          <cell r="A2967" t="str">
            <v>反伤</v>
          </cell>
          <cell r="B2967">
            <v>210008</v>
          </cell>
        </row>
        <row r="2968">
          <cell r="A2968" t="str">
            <v>偷袭</v>
          </cell>
          <cell r="B2968">
            <v>210009</v>
          </cell>
        </row>
        <row r="2969">
          <cell r="A2969" t="str">
            <v>神佑</v>
          </cell>
          <cell r="B2969">
            <v>210010</v>
          </cell>
        </row>
        <row r="2970">
          <cell r="A2970" t="str">
            <v>死咒</v>
          </cell>
          <cell r="B2970">
            <v>210011</v>
          </cell>
        </row>
        <row r="2971">
          <cell r="A2971" t="str">
            <v>再生</v>
          </cell>
          <cell r="B2971">
            <v>210012</v>
          </cell>
        </row>
        <row r="2972">
          <cell r="A2972" t="str">
            <v>幸运</v>
          </cell>
          <cell r="B2972">
            <v>210013</v>
          </cell>
        </row>
        <row r="2973">
          <cell r="A2973" t="str">
            <v>高级生命增强</v>
          </cell>
          <cell r="B2973">
            <v>210101</v>
          </cell>
        </row>
        <row r="2974">
          <cell r="A2974" t="str">
            <v>高级攻击增强</v>
          </cell>
          <cell r="B2974">
            <v>210102</v>
          </cell>
        </row>
        <row r="2975">
          <cell r="A2975" t="str">
            <v>高级防御增强</v>
          </cell>
          <cell r="B2975">
            <v>210103</v>
          </cell>
        </row>
        <row r="2976">
          <cell r="A2976" t="str">
            <v>高级暴击增强</v>
          </cell>
          <cell r="B2976">
            <v>210104</v>
          </cell>
        </row>
        <row r="2977">
          <cell r="A2977" t="str">
            <v>高级免伤强化</v>
          </cell>
          <cell r="B2977">
            <v>210105</v>
          </cell>
        </row>
        <row r="2978">
          <cell r="A2978" t="str">
            <v>高级必杀</v>
          </cell>
          <cell r="B2978">
            <v>210106</v>
          </cell>
        </row>
        <row r="2979">
          <cell r="A2979" t="str">
            <v>高级穿透</v>
          </cell>
          <cell r="B2979">
            <v>210107</v>
          </cell>
        </row>
        <row r="2980">
          <cell r="A2980" t="str">
            <v>高级反伤</v>
          </cell>
          <cell r="B2980">
            <v>210108</v>
          </cell>
        </row>
        <row r="2981">
          <cell r="A2981" t="str">
            <v>高级偷袭</v>
          </cell>
          <cell r="B2981">
            <v>210109</v>
          </cell>
        </row>
        <row r="2982">
          <cell r="A2982" t="str">
            <v>高级神佑</v>
          </cell>
          <cell r="B2982">
            <v>210110</v>
          </cell>
        </row>
        <row r="2983">
          <cell r="A2983" t="str">
            <v>高级死咒</v>
          </cell>
          <cell r="B2983">
            <v>210111</v>
          </cell>
        </row>
        <row r="2984">
          <cell r="A2984" t="str">
            <v>高级再生</v>
          </cell>
          <cell r="B2984">
            <v>210112</v>
          </cell>
        </row>
        <row r="2985">
          <cell r="A2985" t="str">
            <v>高级幸运</v>
          </cell>
          <cell r="B2985">
            <v>210113</v>
          </cell>
        </row>
        <row r="2986">
          <cell r="A2986" t="str">
            <v>青铜宝箱</v>
          </cell>
          <cell r="B2986">
            <v>220001</v>
          </cell>
        </row>
        <row r="2987">
          <cell r="A2987" t="str">
            <v>白银宝箱</v>
          </cell>
          <cell r="B2987">
            <v>220002</v>
          </cell>
        </row>
        <row r="2988">
          <cell r="A2988" t="str">
            <v>黄金宝箱</v>
          </cell>
          <cell r="B2988">
            <v>220003</v>
          </cell>
        </row>
        <row r="2989">
          <cell r="A2989" t="str">
            <v>钻石宝箱</v>
          </cell>
          <cell r="B2989">
            <v>220004</v>
          </cell>
        </row>
        <row r="2990">
          <cell r="A2990" t="str">
            <v>王者宝箱</v>
          </cell>
          <cell r="B2990">
            <v>220005</v>
          </cell>
        </row>
        <row r="2991">
          <cell r="A2991" t="str">
            <v>王者宝箱2</v>
          </cell>
          <cell r="B2991">
            <v>220006</v>
          </cell>
        </row>
        <row r="2992">
          <cell r="A2992" t="str">
            <v>王者宝箱3</v>
          </cell>
          <cell r="B2992">
            <v>220007</v>
          </cell>
        </row>
        <row r="2993">
          <cell r="A2993" t="str">
            <v>王者宝箱4</v>
          </cell>
          <cell r="B2993">
            <v>220008</v>
          </cell>
        </row>
        <row r="2994">
          <cell r="A2994" t="str">
            <v>王者宝箱5</v>
          </cell>
          <cell r="B2994">
            <v>220009</v>
          </cell>
        </row>
        <row r="2995">
          <cell r="A2995" t="str">
            <v>中级秘籍宝箱</v>
          </cell>
          <cell r="B2995">
            <v>220010</v>
          </cell>
        </row>
        <row r="2996">
          <cell r="A2996" t="str">
            <v>高级秘籍宝箱</v>
          </cell>
          <cell r="B2996">
            <v>220011</v>
          </cell>
        </row>
        <row r="2997">
          <cell r="A2997" t="str">
            <v>BOSS宝箱</v>
          </cell>
          <cell r="B2997">
            <v>220012</v>
          </cell>
        </row>
        <row r="2998">
          <cell r="A2998" t="str">
            <v>初级首领召唤令</v>
          </cell>
          <cell r="B2998">
            <v>230001</v>
          </cell>
        </row>
        <row r="2999">
          <cell r="A2999" t="str">
            <v>中级首领召唤令</v>
          </cell>
          <cell r="B2999">
            <v>230002</v>
          </cell>
        </row>
        <row r="3000">
          <cell r="A3000" t="str">
            <v>高级首领召唤令</v>
          </cell>
          <cell r="B3000">
            <v>230003</v>
          </cell>
        </row>
        <row r="3001">
          <cell r="A3001" t="str">
            <v>钉耙猫</v>
          </cell>
          <cell r="B3001">
            <v>260001</v>
          </cell>
        </row>
        <row r="3002">
          <cell r="A3002" t="str">
            <v>稻草人</v>
          </cell>
          <cell r="B3002">
            <v>260002</v>
          </cell>
        </row>
        <row r="3003">
          <cell r="A3003" t="str">
            <v>多钩猫</v>
          </cell>
          <cell r="B3003">
            <v>260003</v>
          </cell>
        </row>
        <row r="3004">
          <cell r="A3004" t="str">
            <v>独角甲虫</v>
          </cell>
          <cell r="B3004">
            <v>260004</v>
          </cell>
        </row>
        <row r="3005">
          <cell r="A3005" t="str">
            <v>黑野猪</v>
          </cell>
          <cell r="B3005">
            <v>260005</v>
          </cell>
        </row>
        <row r="3006">
          <cell r="A3006" t="str">
            <v>红野猪</v>
          </cell>
          <cell r="B3006">
            <v>260006</v>
          </cell>
        </row>
        <row r="3007">
          <cell r="A3007" t="str">
            <v>蜈蚣</v>
          </cell>
          <cell r="B3007">
            <v>260007</v>
          </cell>
        </row>
        <row r="3008">
          <cell r="A3008" t="str">
            <v>红蛇</v>
          </cell>
          <cell r="B3008">
            <v>260008</v>
          </cell>
        </row>
        <row r="3009">
          <cell r="A3009" t="str">
            <v>虎皮蛇</v>
          </cell>
          <cell r="B3009">
            <v>260009</v>
          </cell>
        </row>
        <row r="3010">
          <cell r="A3010" t="str">
            <v>钳虫</v>
          </cell>
          <cell r="B3010">
            <v>260010</v>
          </cell>
        </row>
        <row r="3011">
          <cell r="A3011" t="str">
            <v>钳蛇</v>
          </cell>
          <cell r="B3011">
            <v>260011</v>
          </cell>
        </row>
        <row r="3012">
          <cell r="A3012" t="str">
            <v>邪恶钳虫</v>
          </cell>
          <cell r="B3012">
            <v>260012</v>
          </cell>
        </row>
        <row r="3013">
          <cell r="A3013" t="str">
            <v>触龙神</v>
          </cell>
          <cell r="B3013">
            <v>260013</v>
          </cell>
        </row>
        <row r="3014">
          <cell r="A3014" t="str">
            <v>白野猪</v>
          </cell>
          <cell r="B3014">
            <v>260014</v>
          </cell>
        </row>
        <row r="3015">
          <cell r="A3015" t="str">
            <v>白花蛇</v>
          </cell>
          <cell r="B3015">
            <v>260015</v>
          </cell>
        </row>
        <row r="3016">
          <cell r="A3016" t="str">
            <v>沃玛护卫</v>
          </cell>
          <cell r="B3016">
            <v>260016</v>
          </cell>
        </row>
        <row r="3017">
          <cell r="A3017" t="str">
            <v>沃玛战士</v>
          </cell>
          <cell r="B3017">
            <v>260017</v>
          </cell>
        </row>
        <row r="3018">
          <cell r="A3018" t="str">
            <v>爆裂蜘蛛</v>
          </cell>
          <cell r="B3018">
            <v>260018</v>
          </cell>
        </row>
        <row r="3019">
          <cell r="A3019" t="str">
            <v>毒蜘蛛</v>
          </cell>
          <cell r="B3019">
            <v>260019</v>
          </cell>
        </row>
        <row r="3020">
          <cell r="A3020" t="str">
            <v>祖玛弓箭手</v>
          </cell>
          <cell r="B3020">
            <v>260020</v>
          </cell>
        </row>
        <row r="3021">
          <cell r="A3021" t="str">
            <v>黑蜘蛛</v>
          </cell>
          <cell r="B3021">
            <v>260021</v>
          </cell>
        </row>
        <row r="3022">
          <cell r="A3022" t="str">
            <v>祖玛卫士</v>
          </cell>
          <cell r="B3022">
            <v>260022</v>
          </cell>
        </row>
        <row r="3023">
          <cell r="A3023" t="str">
            <v>黑锷蜘蛛</v>
          </cell>
          <cell r="B3023">
            <v>260023</v>
          </cell>
        </row>
        <row r="3024">
          <cell r="A3024" t="str">
            <v>幻影蜘蛛</v>
          </cell>
          <cell r="B3024">
            <v>260024</v>
          </cell>
        </row>
        <row r="3025">
          <cell r="A3025" t="str">
            <v>沃玛战将</v>
          </cell>
          <cell r="B3025">
            <v>260025</v>
          </cell>
        </row>
        <row r="3026">
          <cell r="A3026" t="str">
            <v>花吻蜘蛛</v>
          </cell>
          <cell r="B3026">
            <v>260026</v>
          </cell>
        </row>
        <row r="3027">
          <cell r="A3027" t="str">
            <v>天狼</v>
          </cell>
          <cell r="B3027">
            <v>260027</v>
          </cell>
        </row>
        <row r="3028">
          <cell r="A3028" t="str">
            <v>祖玛雕像</v>
          </cell>
          <cell r="B3028">
            <v>260028</v>
          </cell>
        </row>
        <row r="3029">
          <cell r="A3029" t="str">
            <v>沃玛勇士</v>
          </cell>
          <cell r="B3029">
            <v>260029</v>
          </cell>
        </row>
        <row r="3030">
          <cell r="A3030" t="str">
            <v>火焰沃玛</v>
          </cell>
          <cell r="B3030">
            <v>260030</v>
          </cell>
        </row>
        <row r="3031">
          <cell r="A3031" t="str">
            <v>沃玛教主</v>
          </cell>
          <cell r="B3031">
            <v>260031</v>
          </cell>
        </row>
        <row r="3032">
          <cell r="A3032" t="str">
            <v>赤月恶魔</v>
          </cell>
          <cell r="B3032">
            <v>260032</v>
          </cell>
        </row>
        <row r="3033">
          <cell r="A3033" t="str">
            <v>祖玛教主</v>
          </cell>
          <cell r="B3033">
            <v>260033</v>
          </cell>
        </row>
        <row r="3034">
          <cell r="A3034" t="str">
            <v>恐惧大魔王</v>
          </cell>
          <cell r="B3034">
            <v>260034</v>
          </cell>
        </row>
        <row r="3035">
          <cell r="A3035" t="str">
            <v>魔叉牛护法</v>
          </cell>
          <cell r="B3035">
            <v>260035</v>
          </cell>
        </row>
        <row r="3036">
          <cell r="A3036" t="str">
            <v>牛魔教主</v>
          </cell>
          <cell r="B3036">
            <v>260036</v>
          </cell>
        </row>
        <row r="3037">
          <cell r="A3037" t="str">
            <v>黑龙</v>
          </cell>
          <cell r="B3037">
            <v>260037</v>
          </cell>
        </row>
        <row r="3038">
          <cell r="A3038" t="str">
            <v>魔龙之主</v>
          </cell>
          <cell r="B3038">
            <v>260038</v>
          </cell>
        </row>
        <row r="3039">
          <cell r="A3039" t="str">
            <v>红衣傀儡</v>
          </cell>
          <cell r="B3039">
            <v>260039</v>
          </cell>
        </row>
        <row r="3040">
          <cell r="A3040" t="str">
            <v>火龙护卫</v>
          </cell>
          <cell r="B3040">
            <v>260040</v>
          </cell>
        </row>
        <row r="3041">
          <cell r="A3041" t="str">
            <v>火龙亲卫</v>
          </cell>
          <cell r="B3041">
            <v>260041</v>
          </cell>
        </row>
        <row r="3042">
          <cell r="A3042" t="str">
            <v>火龙王</v>
          </cell>
          <cell r="B3042">
            <v>260042</v>
          </cell>
        </row>
        <row r="3043">
          <cell r="A3043" t="str">
            <v>火奴</v>
          </cell>
          <cell r="B3043">
            <v>260043</v>
          </cell>
        </row>
        <row r="3044">
          <cell r="A3044" t="str">
            <v xml:space="preserve">青龙 </v>
          </cell>
          <cell r="B3044">
            <v>260044</v>
          </cell>
        </row>
        <row r="3045">
          <cell r="A3045" t="str">
            <v>双斧牛勇士</v>
          </cell>
          <cell r="B3045">
            <v>260045</v>
          </cell>
        </row>
        <row r="3046">
          <cell r="A3046" t="str">
            <v>玄武</v>
          </cell>
          <cell r="B3046">
            <v>260046</v>
          </cell>
        </row>
        <row r="3047">
          <cell r="A3047" t="str">
            <v>真云大帝</v>
          </cell>
          <cell r="B3047">
            <v>260047</v>
          </cell>
        </row>
        <row r="3048">
          <cell r="A3048" t="str">
            <v>痴心之媚</v>
          </cell>
          <cell r="B3048">
            <v>260048</v>
          </cell>
        </row>
        <row r="3049">
          <cell r="A3049" t="str">
            <v>小辣椒</v>
          </cell>
          <cell r="B3049">
            <v>260049</v>
          </cell>
        </row>
        <row r="3050">
          <cell r="A3050" t="str">
            <v xml:space="preserve"> 姑射神人</v>
          </cell>
          <cell r="B3050">
            <v>260050</v>
          </cell>
        </row>
        <row r="3051">
          <cell r="A3051" t="str">
            <v>小鸟依人</v>
          </cell>
          <cell r="B3051">
            <v>260051</v>
          </cell>
        </row>
        <row r="3052">
          <cell r="A3052" t="str">
            <v>梦蝶</v>
          </cell>
          <cell r="B3052">
            <v>260052</v>
          </cell>
        </row>
        <row r="3053">
          <cell r="A3053" t="str">
            <v>仙姑</v>
          </cell>
          <cell r="B3053">
            <v>260053</v>
          </cell>
        </row>
        <row r="3054">
          <cell r="A3054" t="str">
            <v>小蜜蜂</v>
          </cell>
          <cell r="B3054">
            <v>260054</v>
          </cell>
        </row>
        <row r="3055">
          <cell r="A3055" t="str">
            <v>深海诱惑</v>
          </cell>
          <cell r="B3055">
            <v>260055</v>
          </cell>
        </row>
        <row r="3056">
          <cell r="A3056" t="str">
            <v>提灯少女</v>
          </cell>
          <cell r="B3056">
            <v>260056</v>
          </cell>
        </row>
        <row r="3057">
          <cell r="A3057" t="str">
            <v>圣母</v>
          </cell>
          <cell r="B3057">
            <v>260057</v>
          </cell>
        </row>
        <row r="3058">
          <cell r="A3058" t="str">
            <v>火辣椒</v>
          </cell>
          <cell r="B3058">
            <v>260058</v>
          </cell>
        </row>
        <row r="3059">
          <cell r="A3059" t="str">
            <v>剑仙</v>
          </cell>
          <cell r="B3059">
            <v>260059</v>
          </cell>
        </row>
        <row r="3060">
          <cell r="A3060" t="str">
            <v>森林之吻</v>
          </cell>
          <cell r="B3060">
            <v>260060</v>
          </cell>
        </row>
        <row r="3061">
          <cell r="A3061" t="str">
            <v>梦中人</v>
          </cell>
          <cell r="B3061">
            <v>260061</v>
          </cell>
        </row>
        <row r="3062">
          <cell r="A3062" t="str">
            <v>村姑</v>
          </cell>
          <cell r="B3062">
            <v>260062</v>
          </cell>
        </row>
        <row r="3063">
          <cell r="A3063" t="str">
            <v>贵妇人</v>
          </cell>
          <cell r="B3063">
            <v>260063</v>
          </cell>
        </row>
        <row r="3064">
          <cell r="A3064" t="str">
            <v>清纯小妹</v>
          </cell>
          <cell r="B3064">
            <v>260064</v>
          </cell>
        </row>
        <row r="3065">
          <cell r="A3065" t="str">
            <v>梦中情人</v>
          </cell>
          <cell r="B3065">
            <v>260065</v>
          </cell>
        </row>
        <row r="3066">
          <cell r="A3066" t="str">
            <v>白虎</v>
          </cell>
          <cell r="B3066">
            <v>260066</v>
          </cell>
        </row>
        <row r="3067">
          <cell r="A3067" t="str">
            <v>黄金裁决</v>
          </cell>
          <cell r="B3067">
            <v>260067</v>
          </cell>
        </row>
        <row r="3068">
          <cell r="A3068" t="str">
            <v>天魔金甲</v>
          </cell>
          <cell r="B3068">
            <v>260068</v>
          </cell>
        </row>
        <row r="3069">
          <cell r="A3069" t="str">
            <v>圣战金盔</v>
          </cell>
          <cell r="B3069">
            <v>260069</v>
          </cell>
        </row>
        <row r="3070">
          <cell r="A3070" t="str">
            <v>圣战金链</v>
          </cell>
          <cell r="B3070">
            <v>260070</v>
          </cell>
        </row>
        <row r="3071">
          <cell r="A3071" t="str">
            <v>圣战金镯</v>
          </cell>
          <cell r="B3071">
            <v>260071</v>
          </cell>
        </row>
        <row r="3072">
          <cell r="A3072" t="str">
            <v>圣战金戒</v>
          </cell>
          <cell r="B3072">
            <v>260072</v>
          </cell>
        </row>
        <row r="3073">
          <cell r="A3073" t="str">
            <v>圣战金靴</v>
          </cell>
          <cell r="B3073">
            <v>260073</v>
          </cell>
        </row>
        <row r="3074">
          <cell r="A3074" t="str">
            <v>圣战金带</v>
          </cell>
          <cell r="B3074">
            <v>260074</v>
          </cell>
        </row>
        <row r="3075">
          <cell r="A3075" t="str">
            <v>黄金嗜魂</v>
          </cell>
          <cell r="B3075">
            <v>260075</v>
          </cell>
        </row>
        <row r="3076">
          <cell r="A3076" t="str">
            <v>霓裳金衣</v>
          </cell>
          <cell r="B3076">
            <v>260076</v>
          </cell>
        </row>
        <row r="3077">
          <cell r="A3077" t="str">
            <v>法神金冠</v>
          </cell>
          <cell r="B3077">
            <v>260077</v>
          </cell>
        </row>
        <row r="3078">
          <cell r="A3078" t="str">
            <v>法神金链</v>
          </cell>
          <cell r="B3078">
            <v>260078</v>
          </cell>
        </row>
        <row r="3079">
          <cell r="A3079" t="str">
            <v>法神金镯</v>
          </cell>
          <cell r="B3079">
            <v>260079</v>
          </cell>
        </row>
        <row r="3080">
          <cell r="A3080" t="str">
            <v>法神金戒</v>
          </cell>
          <cell r="B3080">
            <v>260080</v>
          </cell>
        </row>
        <row r="3081">
          <cell r="A3081" t="str">
            <v>法神金靴</v>
          </cell>
          <cell r="B3081">
            <v>260081</v>
          </cell>
        </row>
        <row r="3082">
          <cell r="A3082" t="str">
            <v>法神金带</v>
          </cell>
          <cell r="B3082">
            <v>260082</v>
          </cell>
        </row>
        <row r="3083">
          <cell r="A3083" t="str">
            <v>黄金逍遥扇</v>
          </cell>
          <cell r="B3083">
            <v>260083</v>
          </cell>
        </row>
        <row r="3084">
          <cell r="A3084" t="str">
            <v>天师金袍</v>
          </cell>
          <cell r="B3084">
            <v>260084</v>
          </cell>
        </row>
        <row r="3085">
          <cell r="A3085" t="str">
            <v>天尊金冠</v>
          </cell>
          <cell r="B3085">
            <v>260085</v>
          </cell>
        </row>
        <row r="3086">
          <cell r="A3086" t="str">
            <v>天尊金链</v>
          </cell>
          <cell r="B3086">
            <v>260086</v>
          </cell>
        </row>
        <row r="3087">
          <cell r="A3087" t="str">
            <v>天尊金镯</v>
          </cell>
          <cell r="B3087">
            <v>260087</v>
          </cell>
        </row>
        <row r="3088">
          <cell r="A3088" t="str">
            <v>天尊金戒</v>
          </cell>
          <cell r="B3088">
            <v>260088</v>
          </cell>
        </row>
        <row r="3089">
          <cell r="A3089" t="str">
            <v>天尊金靴</v>
          </cell>
          <cell r="B3089">
            <v>260089</v>
          </cell>
        </row>
        <row r="3090">
          <cell r="A3090" t="str">
            <v>天尊金带</v>
          </cell>
          <cell r="B3090">
            <v>260090</v>
          </cell>
        </row>
        <row r="3091">
          <cell r="A3091" t="str">
            <v>千帆过尽</v>
          </cell>
          <cell r="B3091">
            <v>260091</v>
          </cell>
        </row>
        <row r="3092">
          <cell r="A3092" t="str">
            <v>汉宫飞燕</v>
          </cell>
          <cell r="B3092">
            <v>260092</v>
          </cell>
        </row>
        <row r="3093">
          <cell r="A3093" t="str">
            <v>月宫婵娟</v>
          </cell>
          <cell r="B3093">
            <v>260093</v>
          </cell>
        </row>
        <row r="3094">
          <cell r="A3094" t="str">
            <v>古墓传说</v>
          </cell>
          <cell r="B3094">
            <v>260094</v>
          </cell>
        </row>
        <row r="3095">
          <cell r="A3095" t="str">
            <v>裙裾如裳</v>
          </cell>
          <cell r="B3095">
            <v>260095</v>
          </cell>
        </row>
        <row r="3096">
          <cell r="A3096" t="str">
            <v>麒麟</v>
          </cell>
          <cell r="B3096">
            <v>260096</v>
          </cell>
        </row>
        <row r="3097">
          <cell r="A3097" t="str">
            <v>职业金装</v>
          </cell>
          <cell r="B3097">
            <v>269999</v>
          </cell>
        </row>
        <row r="3098">
          <cell r="A3098" t="str">
            <v>低级经验卡</v>
          </cell>
          <cell r="B3098">
            <v>270001</v>
          </cell>
        </row>
        <row r="3099">
          <cell r="A3099" t="str">
            <v>中级经验卡</v>
          </cell>
          <cell r="B3099">
            <v>270002</v>
          </cell>
        </row>
        <row r="3100">
          <cell r="A3100" t="str">
            <v>高级经验卡</v>
          </cell>
          <cell r="B3100">
            <v>270003</v>
          </cell>
        </row>
        <row r="3101">
          <cell r="A3101" t="str">
            <v>绿色卡展示</v>
          </cell>
          <cell r="B3101">
            <v>270004</v>
          </cell>
        </row>
        <row r="3102">
          <cell r="A3102" t="str">
            <v>紫色卡展示</v>
          </cell>
          <cell r="B3102">
            <v>270005</v>
          </cell>
        </row>
        <row r="3103">
          <cell r="A3103" t="str">
            <v>橙色卡展示</v>
          </cell>
          <cell r="B3103">
            <v>270006</v>
          </cell>
        </row>
        <row r="3104">
          <cell r="A3104" t="str">
            <v>红色卡展示</v>
          </cell>
          <cell r="B3104">
            <v>270007</v>
          </cell>
        </row>
        <row r="3105">
          <cell r="A3105" t="str">
            <v>改名卡</v>
          </cell>
          <cell r="B3105">
            <v>450001</v>
          </cell>
        </row>
        <row r="3106">
          <cell r="A3106" t="str">
            <v>摸金校尉</v>
          </cell>
          <cell r="B3106">
            <v>900001</v>
          </cell>
        </row>
        <row r="3107">
          <cell r="A3107" t="str">
            <v>方天画戟</v>
          </cell>
          <cell r="B3107">
            <v>900002</v>
          </cell>
        </row>
        <row r="3108">
          <cell r="A3108" t="str">
            <v>圣诞老人</v>
          </cell>
          <cell r="B3108">
            <v>900003</v>
          </cell>
        </row>
        <row r="3109">
          <cell r="A3109" t="str">
            <v>泳池伞</v>
          </cell>
          <cell r="B3109">
            <v>900004</v>
          </cell>
        </row>
        <row r="3110">
          <cell r="A3110" t="str">
            <v>夏日狂欢</v>
          </cell>
          <cell r="B3110">
            <v>900005</v>
          </cell>
        </row>
        <row r="3111">
          <cell r="A3111" t="str">
            <v>新春盛装</v>
          </cell>
          <cell r="B3111">
            <v>900006</v>
          </cell>
        </row>
        <row r="3112">
          <cell r="A3112" t="str">
            <v>城主金衣</v>
          </cell>
          <cell r="B3112">
            <v>900007</v>
          </cell>
        </row>
        <row r="3113">
          <cell r="A3113" t="str">
            <v>城主之剑</v>
          </cell>
          <cell r="B3113">
            <v>900008</v>
          </cell>
        </row>
        <row r="3114">
          <cell r="A3114" t="str">
            <v>龙城霸主称号</v>
          </cell>
          <cell r="B3114">
            <v>900009</v>
          </cell>
        </row>
        <row r="3115">
          <cell r="A3115" t="str">
            <v>恶魔之翼</v>
          </cell>
          <cell r="B3115">
            <v>900010</v>
          </cell>
        </row>
        <row r="3116">
          <cell r="A3116" t="str">
            <v>蝶舞轻扬</v>
          </cell>
          <cell r="B3116">
            <v>900011</v>
          </cell>
        </row>
        <row r="3117">
          <cell r="A3117" t="str">
            <v>天使之翼</v>
          </cell>
          <cell r="B3117">
            <v>900012</v>
          </cell>
        </row>
        <row r="3118">
          <cell r="A3118" t="str">
            <v>机甲战士</v>
          </cell>
          <cell r="B3118">
            <v>900013</v>
          </cell>
        </row>
        <row r="3119">
          <cell r="A3119" t="str">
            <v>天下首富</v>
          </cell>
          <cell r="B3119">
            <v>900014</v>
          </cell>
        </row>
        <row r="3120">
          <cell r="A3120" t="str">
            <v>龙曜九天</v>
          </cell>
          <cell r="B3120">
            <v>900015</v>
          </cell>
        </row>
        <row r="3121">
          <cell r="A3121" t="str">
            <v>飞龙乘云</v>
          </cell>
          <cell r="B3121">
            <v>900016</v>
          </cell>
        </row>
        <row r="3122">
          <cell r="A3122" t="str">
            <v>学识无双</v>
          </cell>
          <cell r="B3122">
            <v>900017</v>
          </cell>
        </row>
        <row r="3123">
          <cell r="A3123" t="str">
            <v>只手遮天</v>
          </cell>
          <cell r="B3123">
            <v>900018</v>
          </cell>
        </row>
        <row r="3124">
          <cell r="A3124" t="str">
            <v>传奇无双战神</v>
          </cell>
          <cell r="B3124">
            <v>900019</v>
          </cell>
        </row>
        <row r="3125">
          <cell r="A3125" t="str">
            <v>低级符文碎片</v>
          </cell>
          <cell r="B3125">
            <v>909998</v>
          </cell>
        </row>
        <row r="3126">
          <cell r="A3126" t="str">
            <v>高级符文碎片</v>
          </cell>
          <cell r="B3126">
            <v>909999</v>
          </cell>
        </row>
        <row r="3127">
          <cell r="A3127" t="str">
            <v>60级乾碎片</v>
          </cell>
          <cell r="B3127">
            <v>910000</v>
          </cell>
        </row>
        <row r="3128">
          <cell r="A3128" t="str">
            <v>60级乾碎片</v>
          </cell>
          <cell r="B3128">
            <v>910001</v>
          </cell>
        </row>
        <row r="3129">
          <cell r="A3129" t="str">
            <v>60级坤碎片</v>
          </cell>
          <cell r="B3129">
            <v>910002</v>
          </cell>
        </row>
        <row r="3130">
          <cell r="A3130" t="str">
            <v>60级震碎片</v>
          </cell>
          <cell r="B3130">
            <v>910003</v>
          </cell>
        </row>
        <row r="3131">
          <cell r="A3131" t="str">
            <v>60级巽碎片</v>
          </cell>
          <cell r="B3131">
            <v>910004</v>
          </cell>
        </row>
        <row r="3132">
          <cell r="A3132" t="str">
            <v>60级坎碎片</v>
          </cell>
          <cell r="B3132">
            <v>910005</v>
          </cell>
        </row>
        <row r="3133">
          <cell r="A3133" t="str">
            <v>60级离碎片</v>
          </cell>
          <cell r="B3133">
            <v>910006</v>
          </cell>
        </row>
        <row r="3134">
          <cell r="A3134" t="str">
            <v>60级艮碎片</v>
          </cell>
          <cell r="B3134">
            <v>910007</v>
          </cell>
        </row>
        <row r="3135">
          <cell r="A3135" t="str">
            <v>60级兑碎片</v>
          </cell>
          <cell r="B3135">
            <v>910008</v>
          </cell>
        </row>
        <row r="3136">
          <cell r="A3136" t="str">
            <v>1转乾碎片</v>
          </cell>
          <cell r="B3136">
            <v>910011</v>
          </cell>
        </row>
        <row r="3137">
          <cell r="A3137" t="str">
            <v>1转坤碎片</v>
          </cell>
          <cell r="B3137">
            <v>910012</v>
          </cell>
        </row>
        <row r="3138">
          <cell r="A3138" t="str">
            <v>1转震碎片</v>
          </cell>
          <cell r="B3138">
            <v>910013</v>
          </cell>
        </row>
        <row r="3139">
          <cell r="A3139" t="str">
            <v>1转巽碎片</v>
          </cell>
          <cell r="B3139">
            <v>910014</v>
          </cell>
        </row>
        <row r="3140">
          <cell r="A3140" t="str">
            <v>1转坎碎片</v>
          </cell>
          <cell r="B3140">
            <v>910015</v>
          </cell>
        </row>
        <row r="3141">
          <cell r="A3141" t="str">
            <v>1转离碎片</v>
          </cell>
          <cell r="B3141">
            <v>910016</v>
          </cell>
        </row>
        <row r="3142">
          <cell r="A3142" t="str">
            <v>1转艮碎片</v>
          </cell>
          <cell r="B3142">
            <v>910017</v>
          </cell>
        </row>
        <row r="3143">
          <cell r="A3143" t="str">
            <v>1转兑碎片</v>
          </cell>
          <cell r="B3143">
            <v>910018</v>
          </cell>
        </row>
        <row r="3144">
          <cell r="A3144" t="str">
            <v>3转乾碎片</v>
          </cell>
          <cell r="B3144">
            <v>910021</v>
          </cell>
        </row>
        <row r="3145">
          <cell r="A3145" t="str">
            <v>3转坤碎片</v>
          </cell>
          <cell r="B3145">
            <v>910022</v>
          </cell>
        </row>
        <row r="3146">
          <cell r="A3146" t="str">
            <v>3转震碎片</v>
          </cell>
          <cell r="B3146">
            <v>910023</v>
          </cell>
        </row>
        <row r="3147">
          <cell r="A3147" t="str">
            <v>3转巽碎片</v>
          </cell>
          <cell r="B3147">
            <v>910024</v>
          </cell>
        </row>
        <row r="3148">
          <cell r="A3148" t="str">
            <v>3转坎碎片</v>
          </cell>
          <cell r="B3148">
            <v>910025</v>
          </cell>
        </row>
        <row r="3149">
          <cell r="A3149" t="str">
            <v>3转离碎片</v>
          </cell>
          <cell r="B3149">
            <v>910026</v>
          </cell>
        </row>
        <row r="3150">
          <cell r="A3150" t="str">
            <v>3转艮碎片</v>
          </cell>
          <cell r="B3150">
            <v>910027</v>
          </cell>
        </row>
        <row r="3151">
          <cell r="A3151" t="str">
            <v>3转兑碎片</v>
          </cell>
          <cell r="B3151">
            <v>910028</v>
          </cell>
        </row>
        <row r="3152">
          <cell r="A3152" t="str">
            <v>4转乾碎片</v>
          </cell>
          <cell r="B3152">
            <v>910031</v>
          </cell>
        </row>
        <row r="3153">
          <cell r="A3153" t="str">
            <v>4转坤碎片</v>
          </cell>
          <cell r="B3153">
            <v>910032</v>
          </cell>
        </row>
        <row r="3154">
          <cell r="A3154" t="str">
            <v>4转震碎片</v>
          </cell>
          <cell r="B3154">
            <v>910033</v>
          </cell>
        </row>
        <row r="3155">
          <cell r="A3155" t="str">
            <v>4转巽碎片</v>
          </cell>
          <cell r="B3155">
            <v>910034</v>
          </cell>
        </row>
        <row r="3156">
          <cell r="A3156" t="str">
            <v>4转坎碎片</v>
          </cell>
          <cell r="B3156">
            <v>910035</v>
          </cell>
        </row>
        <row r="3157">
          <cell r="A3157" t="str">
            <v>4转离碎片</v>
          </cell>
          <cell r="B3157">
            <v>910036</v>
          </cell>
        </row>
        <row r="3158">
          <cell r="A3158" t="str">
            <v>4转艮碎片</v>
          </cell>
          <cell r="B3158">
            <v>910037</v>
          </cell>
        </row>
        <row r="3159">
          <cell r="A3159" t="str">
            <v>4转兑碎片</v>
          </cell>
          <cell r="B3159">
            <v>910038</v>
          </cell>
        </row>
        <row r="3160">
          <cell r="A3160" t="str">
            <v>5转乾碎片</v>
          </cell>
          <cell r="B3160">
            <v>910041</v>
          </cell>
        </row>
        <row r="3161">
          <cell r="A3161" t="str">
            <v>5转坤碎片</v>
          </cell>
          <cell r="B3161">
            <v>910042</v>
          </cell>
        </row>
        <row r="3162">
          <cell r="A3162" t="str">
            <v>5转震碎片</v>
          </cell>
          <cell r="B3162">
            <v>910043</v>
          </cell>
        </row>
        <row r="3163">
          <cell r="A3163" t="str">
            <v>5转巽碎片</v>
          </cell>
          <cell r="B3163">
            <v>910044</v>
          </cell>
        </row>
        <row r="3164">
          <cell r="A3164" t="str">
            <v>5转坎碎片</v>
          </cell>
          <cell r="B3164">
            <v>910045</v>
          </cell>
        </row>
        <row r="3165">
          <cell r="A3165" t="str">
            <v>5转离碎片</v>
          </cell>
          <cell r="B3165">
            <v>910046</v>
          </cell>
        </row>
        <row r="3166">
          <cell r="A3166" t="str">
            <v>5转艮碎片</v>
          </cell>
          <cell r="B3166">
            <v>910047</v>
          </cell>
        </row>
        <row r="3167">
          <cell r="A3167" t="str">
            <v>5转兑碎片</v>
          </cell>
          <cell r="B3167">
            <v>910048</v>
          </cell>
        </row>
        <row r="3168">
          <cell r="A3168" t="str">
            <v>6转乾碎片</v>
          </cell>
          <cell r="B3168">
            <v>910051</v>
          </cell>
        </row>
        <row r="3169">
          <cell r="A3169" t="str">
            <v>6转坤碎片</v>
          </cell>
          <cell r="B3169">
            <v>910052</v>
          </cell>
        </row>
        <row r="3170">
          <cell r="A3170" t="str">
            <v>6转震碎片</v>
          </cell>
          <cell r="B3170">
            <v>910053</v>
          </cell>
        </row>
        <row r="3171">
          <cell r="A3171" t="str">
            <v>6转巽碎片</v>
          </cell>
          <cell r="B3171">
            <v>910054</v>
          </cell>
        </row>
        <row r="3172">
          <cell r="A3172" t="str">
            <v>6转坎碎片</v>
          </cell>
          <cell r="B3172">
            <v>910055</v>
          </cell>
        </row>
        <row r="3173">
          <cell r="A3173" t="str">
            <v>6转离碎片</v>
          </cell>
          <cell r="B3173">
            <v>910056</v>
          </cell>
        </row>
        <row r="3174">
          <cell r="A3174" t="str">
            <v>6转艮碎片</v>
          </cell>
          <cell r="B3174">
            <v>910057</v>
          </cell>
        </row>
        <row r="3175">
          <cell r="A3175" t="str">
            <v>6转兑碎片</v>
          </cell>
          <cell r="B3175">
            <v>910058</v>
          </cell>
        </row>
        <row r="3176">
          <cell r="A3176" t="str">
            <v>7转乾碎片</v>
          </cell>
          <cell r="B3176">
            <v>910061</v>
          </cell>
        </row>
        <row r="3177">
          <cell r="A3177" t="str">
            <v>7转坤碎片</v>
          </cell>
          <cell r="B3177">
            <v>910062</v>
          </cell>
        </row>
        <row r="3178">
          <cell r="A3178" t="str">
            <v>7转震碎片</v>
          </cell>
          <cell r="B3178">
            <v>910063</v>
          </cell>
        </row>
        <row r="3179">
          <cell r="A3179" t="str">
            <v>7转巽碎片</v>
          </cell>
          <cell r="B3179">
            <v>910064</v>
          </cell>
        </row>
        <row r="3180">
          <cell r="A3180" t="str">
            <v>7转坎碎片</v>
          </cell>
          <cell r="B3180">
            <v>910065</v>
          </cell>
        </row>
        <row r="3181">
          <cell r="A3181" t="str">
            <v>7转离碎片</v>
          </cell>
          <cell r="B3181">
            <v>910066</v>
          </cell>
        </row>
        <row r="3182">
          <cell r="A3182" t="str">
            <v>7转艮碎片</v>
          </cell>
          <cell r="B3182">
            <v>910067</v>
          </cell>
        </row>
        <row r="3183">
          <cell r="A3183" t="str">
            <v>7转兑碎片</v>
          </cell>
          <cell r="B3183">
            <v>910068</v>
          </cell>
        </row>
        <row r="3184">
          <cell r="A3184" t="str">
            <v>爵位技能描述一</v>
          </cell>
          <cell r="B3184">
            <v>600000</v>
          </cell>
        </row>
        <row r="3185">
          <cell r="A3185" t="str">
            <v>爵位技能描述二</v>
          </cell>
          <cell r="B3185">
            <v>600001</v>
          </cell>
        </row>
        <row r="3186">
          <cell r="A3186" t="str">
            <v>爵位技能描述三</v>
          </cell>
          <cell r="B3186">
            <v>600002</v>
          </cell>
        </row>
        <row r="3187">
          <cell r="A3187" t="str">
            <v>爵位技能描述四</v>
          </cell>
          <cell r="B3187">
            <v>600003</v>
          </cell>
        </row>
        <row r="3188">
          <cell r="A3188" t="str">
            <v>爵位技能描述五</v>
          </cell>
          <cell r="B3188">
            <v>600004</v>
          </cell>
        </row>
        <row r="3189">
          <cell r="A3189" t="str">
            <v>测试用刀</v>
          </cell>
          <cell r="B3189">
            <v>700001</v>
          </cell>
        </row>
        <row r="3190">
          <cell r="A3190" t="str">
            <v>战纹锁</v>
          </cell>
          <cell r="B3190">
            <v>500001</v>
          </cell>
        </row>
        <row r="3191">
          <cell r="A3191" t="str">
            <v>战纹精华-绿</v>
          </cell>
          <cell r="B3191">
            <v>500002</v>
          </cell>
        </row>
        <row r="3192">
          <cell r="A3192" t="str">
            <v>战纹精华-紫</v>
          </cell>
          <cell r="B3192">
            <v>500003</v>
          </cell>
        </row>
        <row r="3193">
          <cell r="A3193" t="str">
            <v>战纹精华-橙</v>
          </cell>
          <cell r="B3193">
            <v>500004</v>
          </cell>
        </row>
        <row r="3194">
          <cell r="A3194" t="str">
            <v>战纹精华-红</v>
          </cell>
          <cell r="B3194">
            <v>500005</v>
          </cell>
        </row>
        <row r="3195">
          <cell r="A3195" t="str">
            <v>战纹精华-金</v>
          </cell>
          <cell r="B3195">
            <v>500006</v>
          </cell>
        </row>
        <row r="3196">
          <cell r="A3196" t="str">
            <v>战纹精华</v>
          </cell>
          <cell r="B3196">
            <v>500007</v>
          </cell>
        </row>
        <row r="3197">
          <cell r="A3197" t="str">
            <v>战纹碎片（大）</v>
          </cell>
          <cell r="B3197">
            <v>500008</v>
          </cell>
        </row>
        <row r="3198">
          <cell r="A3198" t="str">
            <v>橙色战纹宝箱</v>
          </cell>
          <cell r="B3198">
            <v>500009</v>
          </cell>
        </row>
        <row r="3199">
          <cell r="A3199" t="str">
            <v>红色战纹宝箱</v>
          </cell>
          <cell r="B3199">
            <v>500010</v>
          </cell>
        </row>
        <row r="3200">
          <cell r="A3200" t="str">
            <v>战纹碎片（小）</v>
          </cell>
          <cell r="B3200">
            <v>500011</v>
          </cell>
        </row>
        <row r="3201">
          <cell r="A3201" t="str">
            <v>绿神力1级</v>
          </cell>
          <cell r="B3201">
            <v>501001</v>
          </cell>
        </row>
        <row r="3202">
          <cell r="A3202" t="str">
            <v>绿神力2级</v>
          </cell>
          <cell r="B3202">
            <v>501002</v>
          </cell>
        </row>
        <row r="3203">
          <cell r="A3203" t="str">
            <v>绿神力3级</v>
          </cell>
          <cell r="B3203">
            <v>501003</v>
          </cell>
        </row>
        <row r="3204">
          <cell r="A3204" t="str">
            <v>绿神力4级</v>
          </cell>
          <cell r="B3204">
            <v>501004</v>
          </cell>
        </row>
        <row r="3205">
          <cell r="A3205" t="str">
            <v>绿神力5级</v>
          </cell>
          <cell r="B3205">
            <v>501005</v>
          </cell>
        </row>
        <row r="3206">
          <cell r="A3206" t="str">
            <v>绿神力6级</v>
          </cell>
          <cell r="B3206">
            <v>501006</v>
          </cell>
        </row>
        <row r="3207">
          <cell r="A3207" t="str">
            <v>绿神力7级</v>
          </cell>
          <cell r="B3207">
            <v>501007</v>
          </cell>
        </row>
        <row r="3208">
          <cell r="A3208" t="str">
            <v>绿神力8级</v>
          </cell>
          <cell r="B3208">
            <v>501008</v>
          </cell>
        </row>
        <row r="3209">
          <cell r="A3209" t="str">
            <v>绿神力9级</v>
          </cell>
          <cell r="B3209">
            <v>501009</v>
          </cell>
        </row>
        <row r="3210">
          <cell r="A3210" t="str">
            <v>绿神力10级</v>
          </cell>
          <cell r="B3210">
            <v>501010</v>
          </cell>
        </row>
        <row r="3211">
          <cell r="A3211" t="str">
            <v>绿神力11级</v>
          </cell>
          <cell r="B3211">
            <v>501011</v>
          </cell>
        </row>
        <row r="3212">
          <cell r="A3212" t="str">
            <v>绿神力12级</v>
          </cell>
          <cell r="B3212">
            <v>501012</v>
          </cell>
        </row>
        <row r="3213">
          <cell r="A3213" t="str">
            <v>绿神力13级</v>
          </cell>
          <cell r="B3213">
            <v>501013</v>
          </cell>
        </row>
        <row r="3214">
          <cell r="A3214" t="str">
            <v>绿神力14级</v>
          </cell>
          <cell r="B3214">
            <v>501014</v>
          </cell>
        </row>
        <row r="3215">
          <cell r="A3215" t="str">
            <v>绿神力15级</v>
          </cell>
          <cell r="B3215">
            <v>501015</v>
          </cell>
        </row>
        <row r="3216">
          <cell r="A3216" t="str">
            <v>绿神力16级</v>
          </cell>
          <cell r="B3216">
            <v>501016</v>
          </cell>
        </row>
        <row r="3217">
          <cell r="A3217" t="str">
            <v>绿神力17级</v>
          </cell>
          <cell r="B3217">
            <v>501017</v>
          </cell>
        </row>
        <row r="3218">
          <cell r="A3218" t="str">
            <v>绿神力18级</v>
          </cell>
          <cell r="B3218">
            <v>501018</v>
          </cell>
        </row>
        <row r="3219">
          <cell r="A3219" t="str">
            <v>绿神力19级</v>
          </cell>
          <cell r="B3219">
            <v>501019</v>
          </cell>
        </row>
        <row r="3220">
          <cell r="A3220" t="str">
            <v>绿神力20级</v>
          </cell>
          <cell r="B3220">
            <v>501020</v>
          </cell>
        </row>
        <row r="3221">
          <cell r="A3221" t="str">
            <v>绿金汤1级</v>
          </cell>
          <cell r="B3221">
            <v>502001</v>
          </cell>
        </row>
        <row r="3222">
          <cell r="A3222" t="str">
            <v>绿金汤2级</v>
          </cell>
          <cell r="B3222">
            <v>502002</v>
          </cell>
        </row>
        <row r="3223">
          <cell r="A3223" t="str">
            <v>绿金汤3级</v>
          </cell>
          <cell r="B3223">
            <v>502003</v>
          </cell>
        </row>
        <row r="3224">
          <cell r="A3224" t="str">
            <v>绿金汤4级</v>
          </cell>
          <cell r="B3224">
            <v>502004</v>
          </cell>
        </row>
        <row r="3225">
          <cell r="A3225" t="str">
            <v>绿金汤5级</v>
          </cell>
          <cell r="B3225">
            <v>502005</v>
          </cell>
        </row>
        <row r="3226">
          <cell r="A3226" t="str">
            <v>绿金汤6级</v>
          </cell>
          <cell r="B3226">
            <v>502006</v>
          </cell>
        </row>
        <row r="3227">
          <cell r="A3227" t="str">
            <v>绿金汤7级</v>
          </cell>
          <cell r="B3227">
            <v>502007</v>
          </cell>
        </row>
        <row r="3228">
          <cell r="A3228" t="str">
            <v>绿金汤8级</v>
          </cell>
          <cell r="B3228">
            <v>502008</v>
          </cell>
        </row>
        <row r="3229">
          <cell r="A3229" t="str">
            <v>绿金汤9级</v>
          </cell>
          <cell r="B3229">
            <v>502009</v>
          </cell>
        </row>
        <row r="3230">
          <cell r="A3230" t="str">
            <v>绿金汤10级</v>
          </cell>
          <cell r="B3230">
            <v>502010</v>
          </cell>
        </row>
        <row r="3231">
          <cell r="A3231" t="str">
            <v>绿金汤11级</v>
          </cell>
          <cell r="B3231">
            <v>502011</v>
          </cell>
        </row>
        <row r="3232">
          <cell r="A3232" t="str">
            <v>绿金汤12级</v>
          </cell>
          <cell r="B3232">
            <v>502012</v>
          </cell>
        </row>
        <row r="3233">
          <cell r="A3233" t="str">
            <v>绿金汤13级</v>
          </cell>
          <cell r="B3233">
            <v>502013</v>
          </cell>
        </row>
        <row r="3234">
          <cell r="A3234" t="str">
            <v>绿金汤14级</v>
          </cell>
          <cell r="B3234">
            <v>502014</v>
          </cell>
        </row>
        <row r="3235">
          <cell r="A3235" t="str">
            <v>绿金汤15级</v>
          </cell>
          <cell r="B3235">
            <v>502015</v>
          </cell>
        </row>
        <row r="3236">
          <cell r="A3236" t="str">
            <v>绿金汤16级</v>
          </cell>
          <cell r="B3236">
            <v>502016</v>
          </cell>
        </row>
        <row r="3237">
          <cell r="A3237" t="str">
            <v>绿金汤17级</v>
          </cell>
          <cell r="B3237">
            <v>502017</v>
          </cell>
        </row>
        <row r="3238">
          <cell r="A3238" t="str">
            <v>绿金汤18级</v>
          </cell>
          <cell r="B3238">
            <v>502018</v>
          </cell>
        </row>
        <row r="3239">
          <cell r="A3239" t="str">
            <v>绿金汤19级</v>
          </cell>
          <cell r="B3239">
            <v>502019</v>
          </cell>
        </row>
        <row r="3240">
          <cell r="A3240" t="str">
            <v>绿金汤20级</v>
          </cell>
          <cell r="B3240">
            <v>502020</v>
          </cell>
        </row>
        <row r="3241">
          <cell r="A3241" t="str">
            <v>绿长生1级</v>
          </cell>
          <cell r="B3241">
            <v>503001</v>
          </cell>
        </row>
        <row r="3242">
          <cell r="A3242" t="str">
            <v>绿长生2级</v>
          </cell>
          <cell r="B3242">
            <v>503002</v>
          </cell>
        </row>
        <row r="3243">
          <cell r="A3243" t="str">
            <v>绿长生3级</v>
          </cell>
          <cell r="B3243">
            <v>503003</v>
          </cell>
        </row>
        <row r="3244">
          <cell r="A3244" t="str">
            <v>绿长生4级</v>
          </cell>
          <cell r="B3244">
            <v>503004</v>
          </cell>
        </row>
        <row r="3245">
          <cell r="A3245" t="str">
            <v>绿长生5级</v>
          </cell>
          <cell r="B3245">
            <v>503005</v>
          </cell>
        </row>
        <row r="3246">
          <cell r="A3246" t="str">
            <v>绿长生6级</v>
          </cell>
          <cell r="B3246">
            <v>503006</v>
          </cell>
        </row>
        <row r="3247">
          <cell r="A3247" t="str">
            <v>绿长生7级</v>
          </cell>
          <cell r="B3247">
            <v>503007</v>
          </cell>
        </row>
        <row r="3248">
          <cell r="A3248" t="str">
            <v>绿长生8级</v>
          </cell>
          <cell r="B3248">
            <v>503008</v>
          </cell>
        </row>
        <row r="3249">
          <cell r="A3249" t="str">
            <v>绿长生9级</v>
          </cell>
          <cell r="B3249">
            <v>503009</v>
          </cell>
        </row>
        <row r="3250">
          <cell r="A3250" t="str">
            <v>绿长生10级</v>
          </cell>
          <cell r="B3250">
            <v>503010</v>
          </cell>
        </row>
        <row r="3251">
          <cell r="A3251" t="str">
            <v>绿长生11级</v>
          </cell>
          <cell r="B3251">
            <v>503011</v>
          </cell>
        </row>
        <row r="3252">
          <cell r="A3252" t="str">
            <v>绿长生12级</v>
          </cell>
          <cell r="B3252">
            <v>503012</v>
          </cell>
        </row>
        <row r="3253">
          <cell r="A3253" t="str">
            <v>绿长生13级</v>
          </cell>
          <cell r="B3253">
            <v>503013</v>
          </cell>
        </row>
        <row r="3254">
          <cell r="A3254" t="str">
            <v>绿长生14级</v>
          </cell>
          <cell r="B3254">
            <v>503014</v>
          </cell>
        </row>
        <row r="3255">
          <cell r="A3255" t="str">
            <v>绿长生15级</v>
          </cell>
          <cell r="B3255">
            <v>503015</v>
          </cell>
        </row>
        <row r="3256">
          <cell r="A3256" t="str">
            <v>绿长生16级</v>
          </cell>
          <cell r="B3256">
            <v>503016</v>
          </cell>
        </row>
        <row r="3257">
          <cell r="A3257" t="str">
            <v>绿长生17级</v>
          </cell>
          <cell r="B3257">
            <v>503017</v>
          </cell>
        </row>
        <row r="3258">
          <cell r="A3258" t="str">
            <v>绿长生18级</v>
          </cell>
          <cell r="B3258">
            <v>503018</v>
          </cell>
        </row>
        <row r="3259">
          <cell r="A3259" t="str">
            <v>绿长生19级</v>
          </cell>
          <cell r="B3259">
            <v>503019</v>
          </cell>
        </row>
        <row r="3260">
          <cell r="A3260" t="str">
            <v>绿长生20级</v>
          </cell>
          <cell r="B3260">
            <v>503020</v>
          </cell>
        </row>
        <row r="3261">
          <cell r="A3261" t="str">
            <v>绿光武1级</v>
          </cell>
          <cell r="B3261">
            <v>504001</v>
          </cell>
        </row>
        <row r="3262">
          <cell r="A3262" t="str">
            <v>绿光武2级</v>
          </cell>
          <cell r="B3262">
            <v>504002</v>
          </cell>
        </row>
        <row r="3263">
          <cell r="A3263" t="str">
            <v>绿光武3级</v>
          </cell>
          <cell r="B3263">
            <v>504003</v>
          </cell>
        </row>
        <row r="3264">
          <cell r="A3264" t="str">
            <v>绿光武4级</v>
          </cell>
          <cell r="B3264">
            <v>504004</v>
          </cell>
        </row>
        <row r="3265">
          <cell r="A3265" t="str">
            <v>绿光武5级</v>
          </cell>
          <cell r="B3265">
            <v>504005</v>
          </cell>
        </row>
        <row r="3266">
          <cell r="A3266" t="str">
            <v>绿光武6级</v>
          </cell>
          <cell r="B3266">
            <v>504006</v>
          </cell>
        </row>
        <row r="3267">
          <cell r="A3267" t="str">
            <v>绿光武7级</v>
          </cell>
          <cell r="B3267">
            <v>504007</v>
          </cell>
        </row>
        <row r="3268">
          <cell r="A3268" t="str">
            <v>绿光武8级</v>
          </cell>
          <cell r="B3268">
            <v>504008</v>
          </cell>
        </row>
        <row r="3269">
          <cell r="A3269" t="str">
            <v>绿光武9级</v>
          </cell>
          <cell r="B3269">
            <v>504009</v>
          </cell>
        </row>
        <row r="3270">
          <cell r="A3270" t="str">
            <v>绿光武10级</v>
          </cell>
          <cell r="B3270">
            <v>504010</v>
          </cell>
        </row>
        <row r="3271">
          <cell r="A3271" t="str">
            <v>绿光武11级</v>
          </cell>
          <cell r="B3271">
            <v>504011</v>
          </cell>
        </row>
        <row r="3272">
          <cell r="A3272" t="str">
            <v>绿光武12级</v>
          </cell>
          <cell r="B3272">
            <v>504012</v>
          </cell>
        </row>
        <row r="3273">
          <cell r="A3273" t="str">
            <v>绿光武13级</v>
          </cell>
          <cell r="B3273">
            <v>504013</v>
          </cell>
        </row>
        <row r="3274">
          <cell r="A3274" t="str">
            <v>绿光武14级</v>
          </cell>
          <cell r="B3274">
            <v>504014</v>
          </cell>
        </row>
        <row r="3275">
          <cell r="A3275" t="str">
            <v>绿光武15级</v>
          </cell>
          <cell r="B3275">
            <v>504015</v>
          </cell>
        </row>
        <row r="3276">
          <cell r="A3276" t="str">
            <v>绿光武16级</v>
          </cell>
          <cell r="B3276">
            <v>504016</v>
          </cell>
        </row>
        <row r="3277">
          <cell r="A3277" t="str">
            <v>绿光武17级</v>
          </cell>
          <cell r="B3277">
            <v>504017</v>
          </cell>
        </row>
        <row r="3278">
          <cell r="A3278" t="str">
            <v>绿光武18级</v>
          </cell>
          <cell r="B3278">
            <v>504018</v>
          </cell>
        </row>
        <row r="3279">
          <cell r="A3279" t="str">
            <v>绿光武19级</v>
          </cell>
          <cell r="B3279">
            <v>504019</v>
          </cell>
        </row>
        <row r="3280">
          <cell r="A3280" t="str">
            <v>绿光武20级</v>
          </cell>
          <cell r="B3280">
            <v>504020</v>
          </cell>
        </row>
        <row r="3281">
          <cell r="A3281" t="str">
            <v>绿神盔1级</v>
          </cell>
          <cell r="B3281">
            <v>505001</v>
          </cell>
        </row>
        <row r="3282">
          <cell r="A3282" t="str">
            <v>绿神盔2级</v>
          </cell>
          <cell r="B3282">
            <v>505002</v>
          </cell>
        </row>
        <row r="3283">
          <cell r="A3283" t="str">
            <v>绿神盔3级</v>
          </cell>
          <cell r="B3283">
            <v>505003</v>
          </cell>
        </row>
        <row r="3284">
          <cell r="A3284" t="str">
            <v>绿神盔4级</v>
          </cell>
          <cell r="B3284">
            <v>505004</v>
          </cell>
        </row>
        <row r="3285">
          <cell r="A3285" t="str">
            <v>绿神盔5级</v>
          </cell>
          <cell r="B3285">
            <v>505005</v>
          </cell>
        </row>
        <row r="3286">
          <cell r="A3286" t="str">
            <v>绿神盔6级</v>
          </cell>
          <cell r="B3286">
            <v>505006</v>
          </cell>
        </row>
        <row r="3287">
          <cell r="A3287" t="str">
            <v>绿神盔7级</v>
          </cell>
          <cell r="B3287">
            <v>505007</v>
          </cell>
        </row>
        <row r="3288">
          <cell r="A3288" t="str">
            <v>绿神盔8级</v>
          </cell>
          <cell r="B3288">
            <v>505008</v>
          </cell>
        </row>
        <row r="3289">
          <cell r="A3289" t="str">
            <v>绿神盔9级</v>
          </cell>
          <cell r="B3289">
            <v>505009</v>
          </cell>
        </row>
        <row r="3290">
          <cell r="A3290" t="str">
            <v>绿神盔10级</v>
          </cell>
          <cell r="B3290">
            <v>505010</v>
          </cell>
        </row>
        <row r="3291">
          <cell r="A3291" t="str">
            <v>绿神盔11级</v>
          </cell>
          <cell r="B3291">
            <v>505011</v>
          </cell>
        </row>
        <row r="3292">
          <cell r="A3292" t="str">
            <v>绿神盔12级</v>
          </cell>
          <cell r="B3292">
            <v>505012</v>
          </cell>
        </row>
        <row r="3293">
          <cell r="A3293" t="str">
            <v>绿神盔13级</v>
          </cell>
          <cell r="B3293">
            <v>505013</v>
          </cell>
        </row>
        <row r="3294">
          <cell r="A3294" t="str">
            <v>绿神盔14级</v>
          </cell>
          <cell r="B3294">
            <v>505014</v>
          </cell>
        </row>
        <row r="3295">
          <cell r="A3295" t="str">
            <v>绿神盔15级</v>
          </cell>
          <cell r="B3295">
            <v>505015</v>
          </cell>
        </row>
        <row r="3296">
          <cell r="A3296" t="str">
            <v>绿神盔16级</v>
          </cell>
          <cell r="B3296">
            <v>505016</v>
          </cell>
        </row>
        <row r="3297">
          <cell r="A3297" t="str">
            <v>绿神盔17级</v>
          </cell>
          <cell r="B3297">
            <v>505017</v>
          </cell>
        </row>
        <row r="3298">
          <cell r="A3298" t="str">
            <v>绿神盔18级</v>
          </cell>
          <cell r="B3298">
            <v>505018</v>
          </cell>
        </row>
        <row r="3299">
          <cell r="A3299" t="str">
            <v>绿神盔19级</v>
          </cell>
          <cell r="B3299">
            <v>505019</v>
          </cell>
        </row>
        <row r="3300">
          <cell r="A3300" t="str">
            <v>绿神盔20级</v>
          </cell>
          <cell r="B3300">
            <v>505020</v>
          </cell>
        </row>
        <row r="3301">
          <cell r="A3301" t="str">
            <v>绿固甲1级</v>
          </cell>
          <cell r="B3301">
            <v>506001</v>
          </cell>
        </row>
        <row r="3302">
          <cell r="A3302" t="str">
            <v>绿固甲2级</v>
          </cell>
          <cell r="B3302">
            <v>506002</v>
          </cell>
        </row>
        <row r="3303">
          <cell r="A3303" t="str">
            <v>绿固甲3级</v>
          </cell>
          <cell r="B3303">
            <v>506003</v>
          </cell>
        </row>
        <row r="3304">
          <cell r="A3304" t="str">
            <v>绿固甲4级</v>
          </cell>
          <cell r="B3304">
            <v>506004</v>
          </cell>
        </row>
        <row r="3305">
          <cell r="A3305" t="str">
            <v>绿固甲5级</v>
          </cell>
          <cell r="B3305">
            <v>506005</v>
          </cell>
        </row>
        <row r="3306">
          <cell r="A3306" t="str">
            <v>绿固甲6级</v>
          </cell>
          <cell r="B3306">
            <v>506006</v>
          </cell>
        </row>
        <row r="3307">
          <cell r="A3307" t="str">
            <v>绿固甲7级</v>
          </cell>
          <cell r="B3307">
            <v>506007</v>
          </cell>
        </row>
        <row r="3308">
          <cell r="A3308" t="str">
            <v>绿固甲8级</v>
          </cell>
          <cell r="B3308">
            <v>506008</v>
          </cell>
        </row>
        <row r="3309">
          <cell r="A3309" t="str">
            <v>绿固甲9级</v>
          </cell>
          <cell r="B3309">
            <v>506009</v>
          </cell>
        </row>
        <row r="3310">
          <cell r="A3310" t="str">
            <v>绿固甲10级</v>
          </cell>
          <cell r="B3310">
            <v>506010</v>
          </cell>
        </row>
        <row r="3311">
          <cell r="A3311" t="str">
            <v>绿固甲11级</v>
          </cell>
          <cell r="B3311">
            <v>506011</v>
          </cell>
        </row>
        <row r="3312">
          <cell r="A3312" t="str">
            <v>绿固甲12级</v>
          </cell>
          <cell r="B3312">
            <v>506012</v>
          </cell>
        </row>
        <row r="3313">
          <cell r="A3313" t="str">
            <v>绿固甲13级</v>
          </cell>
          <cell r="B3313">
            <v>506013</v>
          </cell>
        </row>
        <row r="3314">
          <cell r="A3314" t="str">
            <v>绿固甲14级</v>
          </cell>
          <cell r="B3314">
            <v>506014</v>
          </cell>
        </row>
        <row r="3315">
          <cell r="A3315" t="str">
            <v>绿固甲15级</v>
          </cell>
          <cell r="B3315">
            <v>506015</v>
          </cell>
        </row>
        <row r="3316">
          <cell r="A3316" t="str">
            <v>绿固甲16级</v>
          </cell>
          <cell r="B3316">
            <v>506016</v>
          </cell>
        </row>
        <row r="3317">
          <cell r="A3317" t="str">
            <v>绿固甲17级</v>
          </cell>
          <cell r="B3317">
            <v>506017</v>
          </cell>
        </row>
        <row r="3318">
          <cell r="A3318" t="str">
            <v>绿固甲18级</v>
          </cell>
          <cell r="B3318">
            <v>506018</v>
          </cell>
        </row>
        <row r="3319">
          <cell r="A3319" t="str">
            <v>绿固甲19级</v>
          </cell>
          <cell r="B3319">
            <v>506019</v>
          </cell>
        </row>
        <row r="3320">
          <cell r="A3320" t="str">
            <v>绿固甲20级</v>
          </cell>
          <cell r="B3320">
            <v>506020</v>
          </cell>
        </row>
        <row r="3321">
          <cell r="A3321" t="str">
            <v>绿灵链1级</v>
          </cell>
          <cell r="B3321">
            <v>507001</v>
          </cell>
        </row>
        <row r="3322">
          <cell r="A3322" t="str">
            <v>绿灵链2级</v>
          </cell>
          <cell r="B3322">
            <v>507002</v>
          </cell>
        </row>
        <row r="3323">
          <cell r="A3323" t="str">
            <v>绿灵链3级</v>
          </cell>
          <cell r="B3323">
            <v>507003</v>
          </cell>
        </row>
        <row r="3324">
          <cell r="A3324" t="str">
            <v>绿灵链4级</v>
          </cell>
          <cell r="B3324">
            <v>507004</v>
          </cell>
        </row>
        <row r="3325">
          <cell r="A3325" t="str">
            <v>绿灵链5级</v>
          </cell>
          <cell r="B3325">
            <v>507005</v>
          </cell>
        </row>
        <row r="3326">
          <cell r="A3326" t="str">
            <v>绿灵链6级</v>
          </cell>
          <cell r="B3326">
            <v>507006</v>
          </cell>
        </row>
        <row r="3327">
          <cell r="A3327" t="str">
            <v>绿灵链7级</v>
          </cell>
          <cell r="B3327">
            <v>507007</v>
          </cell>
        </row>
        <row r="3328">
          <cell r="A3328" t="str">
            <v>绿灵链8级</v>
          </cell>
          <cell r="B3328">
            <v>507008</v>
          </cell>
        </row>
        <row r="3329">
          <cell r="A3329" t="str">
            <v>绿灵链9级</v>
          </cell>
          <cell r="B3329">
            <v>507009</v>
          </cell>
        </row>
        <row r="3330">
          <cell r="A3330" t="str">
            <v>绿灵链10级</v>
          </cell>
          <cell r="B3330">
            <v>507010</v>
          </cell>
        </row>
        <row r="3331">
          <cell r="A3331" t="str">
            <v>绿灵链11级</v>
          </cell>
          <cell r="B3331">
            <v>507011</v>
          </cell>
        </row>
        <row r="3332">
          <cell r="A3332" t="str">
            <v>绿灵链12级</v>
          </cell>
          <cell r="B3332">
            <v>507012</v>
          </cell>
        </row>
        <row r="3333">
          <cell r="A3333" t="str">
            <v>绿灵链13级</v>
          </cell>
          <cell r="B3333">
            <v>507013</v>
          </cell>
        </row>
        <row r="3334">
          <cell r="A3334" t="str">
            <v>绿灵链14级</v>
          </cell>
          <cell r="B3334">
            <v>507014</v>
          </cell>
        </row>
        <row r="3335">
          <cell r="A3335" t="str">
            <v>绿灵链15级</v>
          </cell>
          <cell r="B3335">
            <v>507015</v>
          </cell>
        </row>
        <row r="3336">
          <cell r="A3336" t="str">
            <v>绿灵链16级</v>
          </cell>
          <cell r="B3336">
            <v>507016</v>
          </cell>
        </row>
        <row r="3337">
          <cell r="A3337" t="str">
            <v>绿灵链17级</v>
          </cell>
          <cell r="B3337">
            <v>507017</v>
          </cell>
        </row>
        <row r="3338">
          <cell r="A3338" t="str">
            <v>绿灵链18级</v>
          </cell>
          <cell r="B3338">
            <v>507018</v>
          </cell>
        </row>
        <row r="3339">
          <cell r="A3339" t="str">
            <v>绿灵链19级</v>
          </cell>
          <cell r="B3339">
            <v>507019</v>
          </cell>
        </row>
        <row r="3340">
          <cell r="A3340" t="str">
            <v>绿灵链20级</v>
          </cell>
          <cell r="B3340">
            <v>507020</v>
          </cell>
        </row>
        <row r="3341">
          <cell r="A3341" t="str">
            <v>绿地镯1级</v>
          </cell>
          <cell r="B3341">
            <v>508001</v>
          </cell>
        </row>
        <row r="3342">
          <cell r="A3342" t="str">
            <v>绿地镯2级</v>
          </cell>
          <cell r="B3342">
            <v>508002</v>
          </cell>
        </row>
        <row r="3343">
          <cell r="A3343" t="str">
            <v>绿地镯3级</v>
          </cell>
          <cell r="B3343">
            <v>508003</v>
          </cell>
        </row>
        <row r="3344">
          <cell r="A3344" t="str">
            <v>绿地镯4级</v>
          </cell>
          <cell r="B3344">
            <v>508004</v>
          </cell>
        </row>
        <row r="3345">
          <cell r="A3345" t="str">
            <v>绿地镯5级</v>
          </cell>
          <cell r="B3345">
            <v>508005</v>
          </cell>
        </row>
        <row r="3346">
          <cell r="A3346" t="str">
            <v>绿地镯6级</v>
          </cell>
          <cell r="B3346">
            <v>508006</v>
          </cell>
        </row>
        <row r="3347">
          <cell r="A3347" t="str">
            <v>绿地镯7级</v>
          </cell>
          <cell r="B3347">
            <v>508007</v>
          </cell>
        </row>
        <row r="3348">
          <cell r="A3348" t="str">
            <v>绿地镯8级</v>
          </cell>
          <cell r="B3348">
            <v>508008</v>
          </cell>
        </row>
        <row r="3349">
          <cell r="A3349" t="str">
            <v>绿地镯9级</v>
          </cell>
          <cell r="B3349">
            <v>508009</v>
          </cell>
        </row>
        <row r="3350">
          <cell r="A3350" t="str">
            <v>绿地镯10级</v>
          </cell>
          <cell r="B3350">
            <v>508010</v>
          </cell>
        </row>
        <row r="3351">
          <cell r="A3351" t="str">
            <v>绿地镯11级</v>
          </cell>
          <cell r="B3351">
            <v>508011</v>
          </cell>
        </row>
        <row r="3352">
          <cell r="A3352" t="str">
            <v>绿地镯12级</v>
          </cell>
          <cell r="B3352">
            <v>508012</v>
          </cell>
        </row>
        <row r="3353">
          <cell r="A3353" t="str">
            <v>绿地镯13级</v>
          </cell>
          <cell r="B3353">
            <v>508013</v>
          </cell>
        </row>
        <row r="3354">
          <cell r="A3354" t="str">
            <v>绿地镯14级</v>
          </cell>
          <cell r="B3354">
            <v>508014</v>
          </cell>
        </row>
        <row r="3355">
          <cell r="A3355" t="str">
            <v>绿地镯15级</v>
          </cell>
          <cell r="B3355">
            <v>508015</v>
          </cell>
        </row>
        <row r="3356">
          <cell r="A3356" t="str">
            <v>绿地镯16级</v>
          </cell>
          <cell r="B3356">
            <v>508016</v>
          </cell>
        </row>
        <row r="3357">
          <cell r="A3357" t="str">
            <v>绿地镯17级</v>
          </cell>
          <cell r="B3357">
            <v>508017</v>
          </cell>
        </row>
        <row r="3358">
          <cell r="A3358" t="str">
            <v>绿地镯18级</v>
          </cell>
          <cell r="B3358">
            <v>508018</v>
          </cell>
        </row>
        <row r="3359">
          <cell r="A3359" t="str">
            <v>绿地镯19级</v>
          </cell>
          <cell r="B3359">
            <v>508019</v>
          </cell>
        </row>
        <row r="3360">
          <cell r="A3360" t="str">
            <v>绿地镯20级</v>
          </cell>
          <cell r="B3360">
            <v>508020</v>
          </cell>
        </row>
        <row r="3361">
          <cell r="A3361" t="str">
            <v>绿乾戒1级</v>
          </cell>
          <cell r="B3361">
            <v>509001</v>
          </cell>
        </row>
        <row r="3362">
          <cell r="A3362" t="str">
            <v>绿乾戒2级</v>
          </cell>
          <cell r="B3362">
            <v>509002</v>
          </cell>
        </row>
        <row r="3363">
          <cell r="A3363" t="str">
            <v>绿乾戒3级</v>
          </cell>
          <cell r="B3363">
            <v>509003</v>
          </cell>
        </row>
        <row r="3364">
          <cell r="A3364" t="str">
            <v>绿乾戒4级</v>
          </cell>
          <cell r="B3364">
            <v>509004</v>
          </cell>
        </row>
        <row r="3365">
          <cell r="A3365" t="str">
            <v>绿乾戒5级</v>
          </cell>
          <cell r="B3365">
            <v>509005</v>
          </cell>
        </row>
        <row r="3366">
          <cell r="A3366" t="str">
            <v>绿乾戒6级</v>
          </cell>
          <cell r="B3366">
            <v>509006</v>
          </cell>
        </row>
        <row r="3367">
          <cell r="A3367" t="str">
            <v>绿乾戒7级</v>
          </cell>
          <cell r="B3367">
            <v>509007</v>
          </cell>
        </row>
        <row r="3368">
          <cell r="A3368" t="str">
            <v>绿乾戒8级</v>
          </cell>
          <cell r="B3368">
            <v>509008</v>
          </cell>
        </row>
        <row r="3369">
          <cell r="A3369" t="str">
            <v>绿乾戒9级</v>
          </cell>
          <cell r="B3369">
            <v>509009</v>
          </cell>
        </row>
        <row r="3370">
          <cell r="A3370" t="str">
            <v>绿乾戒10级</v>
          </cell>
          <cell r="B3370">
            <v>509010</v>
          </cell>
        </row>
        <row r="3371">
          <cell r="A3371" t="str">
            <v>绿乾戒11级</v>
          </cell>
          <cell r="B3371">
            <v>509011</v>
          </cell>
        </row>
        <row r="3372">
          <cell r="A3372" t="str">
            <v>绿乾戒12级</v>
          </cell>
          <cell r="B3372">
            <v>509012</v>
          </cell>
        </row>
        <row r="3373">
          <cell r="A3373" t="str">
            <v>绿乾戒13级</v>
          </cell>
          <cell r="B3373">
            <v>509013</v>
          </cell>
        </row>
        <row r="3374">
          <cell r="A3374" t="str">
            <v>绿乾戒14级</v>
          </cell>
          <cell r="B3374">
            <v>509014</v>
          </cell>
        </row>
        <row r="3375">
          <cell r="A3375" t="str">
            <v>绿乾戒15级</v>
          </cell>
          <cell r="B3375">
            <v>509015</v>
          </cell>
        </row>
        <row r="3376">
          <cell r="A3376" t="str">
            <v>绿乾戒16级</v>
          </cell>
          <cell r="B3376">
            <v>509016</v>
          </cell>
        </row>
        <row r="3377">
          <cell r="A3377" t="str">
            <v>绿乾戒17级</v>
          </cell>
          <cell r="B3377">
            <v>509017</v>
          </cell>
        </row>
        <row r="3378">
          <cell r="A3378" t="str">
            <v>绿乾戒18级</v>
          </cell>
          <cell r="B3378">
            <v>509018</v>
          </cell>
        </row>
        <row r="3379">
          <cell r="A3379" t="str">
            <v>绿乾戒19级</v>
          </cell>
          <cell r="B3379">
            <v>509019</v>
          </cell>
        </row>
        <row r="3380">
          <cell r="A3380" t="str">
            <v>绿乾戒20级</v>
          </cell>
          <cell r="B3380">
            <v>509020</v>
          </cell>
        </row>
        <row r="3381">
          <cell r="A3381" t="str">
            <v>绿龙带1级</v>
          </cell>
          <cell r="B3381">
            <v>510001</v>
          </cell>
        </row>
        <row r="3382">
          <cell r="A3382" t="str">
            <v>绿龙带2级</v>
          </cell>
          <cell r="B3382">
            <v>510002</v>
          </cell>
        </row>
        <row r="3383">
          <cell r="A3383" t="str">
            <v>绿龙带3级</v>
          </cell>
          <cell r="B3383">
            <v>510003</v>
          </cell>
        </row>
        <row r="3384">
          <cell r="A3384" t="str">
            <v>绿龙带4级</v>
          </cell>
          <cell r="B3384">
            <v>510004</v>
          </cell>
        </row>
        <row r="3385">
          <cell r="A3385" t="str">
            <v>绿龙带5级</v>
          </cell>
          <cell r="B3385">
            <v>510005</v>
          </cell>
        </row>
        <row r="3386">
          <cell r="A3386" t="str">
            <v>绿龙带6级</v>
          </cell>
          <cell r="B3386">
            <v>510006</v>
          </cell>
        </row>
        <row r="3387">
          <cell r="A3387" t="str">
            <v>绿龙带7级</v>
          </cell>
          <cell r="B3387">
            <v>510007</v>
          </cell>
        </row>
        <row r="3388">
          <cell r="A3388" t="str">
            <v>绿龙带8级</v>
          </cell>
          <cell r="B3388">
            <v>510008</v>
          </cell>
        </row>
        <row r="3389">
          <cell r="A3389" t="str">
            <v>绿龙带9级</v>
          </cell>
          <cell r="B3389">
            <v>510009</v>
          </cell>
        </row>
        <row r="3390">
          <cell r="A3390" t="str">
            <v>绿龙带10级</v>
          </cell>
          <cell r="B3390">
            <v>510010</v>
          </cell>
        </row>
        <row r="3391">
          <cell r="A3391" t="str">
            <v>绿龙带11级</v>
          </cell>
          <cell r="B3391">
            <v>510011</v>
          </cell>
        </row>
        <row r="3392">
          <cell r="A3392" t="str">
            <v>绿龙带12级</v>
          </cell>
          <cell r="B3392">
            <v>510012</v>
          </cell>
        </row>
        <row r="3393">
          <cell r="A3393" t="str">
            <v>绿龙带13级</v>
          </cell>
          <cell r="B3393">
            <v>510013</v>
          </cell>
        </row>
        <row r="3394">
          <cell r="A3394" t="str">
            <v>绿龙带14级</v>
          </cell>
          <cell r="B3394">
            <v>510014</v>
          </cell>
        </row>
        <row r="3395">
          <cell r="A3395" t="str">
            <v>绿龙带15级</v>
          </cell>
          <cell r="B3395">
            <v>510015</v>
          </cell>
        </row>
        <row r="3396">
          <cell r="A3396" t="str">
            <v>绿龙带16级</v>
          </cell>
          <cell r="B3396">
            <v>510016</v>
          </cell>
        </row>
        <row r="3397">
          <cell r="A3397" t="str">
            <v>绿龙带17级</v>
          </cell>
          <cell r="B3397">
            <v>510017</v>
          </cell>
        </row>
        <row r="3398">
          <cell r="A3398" t="str">
            <v>绿龙带18级</v>
          </cell>
          <cell r="B3398">
            <v>510018</v>
          </cell>
        </row>
        <row r="3399">
          <cell r="A3399" t="str">
            <v>绿龙带19级</v>
          </cell>
          <cell r="B3399">
            <v>510019</v>
          </cell>
        </row>
        <row r="3400">
          <cell r="A3400" t="str">
            <v>绿龙带20级</v>
          </cell>
          <cell r="B3400">
            <v>510020</v>
          </cell>
        </row>
        <row r="3401">
          <cell r="A3401" t="str">
            <v>绿逐日1级</v>
          </cell>
          <cell r="B3401">
            <v>511001</v>
          </cell>
        </row>
        <row r="3402">
          <cell r="A3402" t="str">
            <v>绿逐日2级</v>
          </cell>
          <cell r="B3402">
            <v>511002</v>
          </cell>
        </row>
        <row r="3403">
          <cell r="A3403" t="str">
            <v>绿逐日3级</v>
          </cell>
          <cell r="B3403">
            <v>511003</v>
          </cell>
        </row>
        <row r="3404">
          <cell r="A3404" t="str">
            <v>绿逐日4级</v>
          </cell>
          <cell r="B3404">
            <v>511004</v>
          </cell>
        </row>
        <row r="3405">
          <cell r="A3405" t="str">
            <v>绿逐日5级</v>
          </cell>
          <cell r="B3405">
            <v>511005</v>
          </cell>
        </row>
        <row r="3406">
          <cell r="A3406" t="str">
            <v>绿逐日6级</v>
          </cell>
          <cell r="B3406">
            <v>511006</v>
          </cell>
        </row>
        <row r="3407">
          <cell r="A3407" t="str">
            <v>绿逐日7级</v>
          </cell>
          <cell r="B3407">
            <v>511007</v>
          </cell>
        </row>
        <row r="3408">
          <cell r="A3408" t="str">
            <v>绿逐日8级</v>
          </cell>
          <cell r="B3408">
            <v>511008</v>
          </cell>
        </row>
        <row r="3409">
          <cell r="A3409" t="str">
            <v>绿逐日9级</v>
          </cell>
          <cell r="B3409">
            <v>511009</v>
          </cell>
        </row>
        <row r="3410">
          <cell r="A3410" t="str">
            <v>绿逐日10级</v>
          </cell>
          <cell r="B3410">
            <v>511010</v>
          </cell>
        </row>
        <row r="3411">
          <cell r="A3411" t="str">
            <v>绿逐日11级</v>
          </cell>
          <cell r="B3411">
            <v>511011</v>
          </cell>
        </row>
        <row r="3412">
          <cell r="A3412" t="str">
            <v>绿逐日12级</v>
          </cell>
          <cell r="B3412">
            <v>511012</v>
          </cell>
        </row>
        <row r="3413">
          <cell r="A3413" t="str">
            <v>绿逐日13级</v>
          </cell>
          <cell r="B3413">
            <v>511013</v>
          </cell>
        </row>
        <row r="3414">
          <cell r="A3414" t="str">
            <v>绿逐日14级</v>
          </cell>
          <cell r="B3414">
            <v>511014</v>
          </cell>
        </row>
        <row r="3415">
          <cell r="A3415" t="str">
            <v>绿逐日15级</v>
          </cell>
          <cell r="B3415">
            <v>511015</v>
          </cell>
        </row>
        <row r="3416">
          <cell r="A3416" t="str">
            <v>绿逐日16级</v>
          </cell>
          <cell r="B3416">
            <v>511016</v>
          </cell>
        </row>
        <row r="3417">
          <cell r="A3417" t="str">
            <v>绿逐日17级</v>
          </cell>
          <cell r="B3417">
            <v>511017</v>
          </cell>
        </row>
        <row r="3418">
          <cell r="A3418" t="str">
            <v>绿逐日18级</v>
          </cell>
          <cell r="B3418">
            <v>511018</v>
          </cell>
        </row>
        <row r="3419">
          <cell r="A3419" t="str">
            <v>绿逐日19级</v>
          </cell>
          <cell r="B3419">
            <v>511019</v>
          </cell>
        </row>
        <row r="3420">
          <cell r="A3420" t="str">
            <v>绿逐日20级</v>
          </cell>
          <cell r="B3420">
            <v>511020</v>
          </cell>
        </row>
        <row r="3421">
          <cell r="A3421" t="str">
            <v>绿豁免1级</v>
          </cell>
          <cell r="B3421">
            <v>512001</v>
          </cell>
        </row>
        <row r="3422">
          <cell r="A3422" t="str">
            <v>绿豁免2级</v>
          </cell>
          <cell r="B3422">
            <v>512002</v>
          </cell>
        </row>
        <row r="3423">
          <cell r="A3423" t="str">
            <v>绿豁免3级</v>
          </cell>
          <cell r="B3423">
            <v>512003</v>
          </cell>
        </row>
        <row r="3424">
          <cell r="A3424" t="str">
            <v>绿豁免4级</v>
          </cell>
          <cell r="B3424">
            <v>512004</v>
          </cell>
        </row>
        <row r="3425">
          <cell r="A3425" t="str">
            <v>绿豁免5级</v>
          </cell>
          <cell r="B3425">
            <v>512005</v>
          </cell>
        </row>
        <row r="3426">
          <cell r="A3426" t="str">
            <v>绿豁免6级</v>
          </cell>
          <cell r="B3426">
            <v>512006</v>
          </cell>
        </row>
        <row r="3427">
          <cell r="A3427" t="str">
            <v>绿豁免7级</v>
          </cell>
          <cell r="B3427">
            <v>512007</v>
          </cell>
        </row>
        <row r="3428">
          <cell r="A3428" t="str">
            <v>绿豁免8级</v>
          </cell>
          <cell r="B3428">
            <v>512008</v>
          </cell>
        </row>
        <row r="3429">
          <cell r="A3429" t="str">
            <v>绿豁免9级</v>
          </cell>
          <cell r="B3429">
            <v>512009</v>
          </cell>
        </row>
        <row r="3430">
          <cell r="A3430" t="str">
            <v>绿豁免10级</v>
          </cell>
          <cell r="B3430">
            <v>512010</v>
          </cell>
        </row>
        <row r="3431">
          <cell r="A3431" t="str">
            <v>绿豁免11级</v>
          </cell>
          <cell r="B3431">
            <v>512011</v>
          </cell>
        </row>
        <row r="3432">
          <cell r="A3432" t="str">
            <v>绿豁免12级</v>
          </cell>
          <cell r="B3432">
            <v>512012</v>
          </cell>
        </row>
        <row r="3433">
          <cell r="A3433" t="str">
            <v>绿豁免13级</v>
          </cell>
          <cell r="B3433">
            <v>512013</v>
          </cell>
        </row>
        <row r="3434">
          <cell r="A3434" t="str">
            <v>绿豁免14级</v>
          </cell>
          <cell r="B3434">
            <v>512014</v>
          </cell>
        </row>
        <row r="3435">
          <cell r="A3435" t="str">
            <v>绿豁免15级</v>
          </cell>
          <cell r="B3435">
            <v>512015</v>
          </cell>
        </row>
        <row r="3436">
          <cell r="A3436" t="str">
            <v>绿豁免16级</v>
          </cell>
          <cell r="B3436">
            <v>512016</v>
          </cell>
        </row>
        <row r="3437">
          <cell r="A3437" t="str">
            <v>绿豁免17级</v>
          </cell>
          <cell r="B3437">
            <v>512017</v>
          </cell>
        </row>
        <row r="3438">
          <cell r="A3438" t="str">
            <v>绿豁免18级</v>
          </cell>
          <cell r="B3438">
            <v>512018</v>
          </cell>
        </row>
        <row r="3439">
          <cell r="A3439" t="str">
            <v>绿豁免19级</v>
          </cell>
          <cell r="B3439">
            <v>512019</v>
          </cell>
        </row>
        <row r="3440">
          <cell r="A3440" t="str">
            <v>绿豁免20级</v>
          </cell>
          <cell r="B3440">
            <v>512020</v>
          </cell>
        </row>
        <row r="3441">
          <cell r="A3441" t="str">
            <v>绿杀戮1级</v>
          </cell>
          <cell r="B3441">
            <v>513001</v>
          </cell>
        </row>
        <row r="3442">
          <cell r="A3442" t="str">
            <v>绿杀戮2级</v>
          </cell>
          <cell r="B3442">
            <v>513002</v>
          </cell>
        </row>
        <row r="3443">
          <cell r="A3443" t="str">
            <v>绿杀戮3级</v>
          </cell>
          <cell r="B3443">
            <v>513003</v>
          </cell>
        </row>
        <row r="3444">
          <cell r="A3444" t="str">
            <v>绿杀戮4级</v>
          </cell>
          <cell r="B3444">
            <v>513004</v>
          </cell>
        </row>
        <row r="3445">
          <cell r="A3445" t="str">
            <v>绿杀戮5级</v>
          </cell>
          <cell r="B3445">
            <v>513005</v>
          </cell>
        </row>
        <row r="3446">
          <cell r="A3446" t="str">
            <v>绿杀戮6级</v>
          </cell>
          <cell r="B3446">
            <v>513006</v>
          </cell>
        </row>
        <row r="3447">
          <cell r="A3447" t="str">
            <v>绿杀戮7级</v>
          </cell>
          <cell r="B3447">
            <v>513007</v>
          </cell>
        </row>
        <row r="3448">
          <cell r="A3448" t="str">
            <v>绿杀戮8级</v>
          </cell>
          <cell r="B3448">
            <v>513008</v>
          </cell>
        </row>
        <row r="3449">
          <cell r="A3449" t="str">
            <v>绿杀戮9级</v>
          </cell>
          <cell r="B3449">
            <v>513009</v>
          </cell>
        </row>
        <row r="3450">
          <cell r="A3450" t="str">
            <v>绿杀戮10级</v>
          </cell>
          <cell r="B3450">
            <v>513010</v>
          </cell>
        </row>
        <row r="3451">
          <cell r="A3451" t="str">
            <v>绿杀戮11级</v>
          </cell>
          <cell r="B3451">
            <v>513011</v>
          </cell>
        </row>
        <row r="3452">
          <cell r="A3452" t="str">
            <v>绿杀戮12级</v>
          </cell>
          <cell r="B3452">
            <v>513012</v>
          </cell>
        </row>
        <row r="3453">
          <cell r="A3453" t="str">
            <v>绿杀戮13级</v>
          </cell>
          <cell r="B3453">
            <v>513013</v>
          </cell>
        </row>
        <row r="3454">
          <cell r="A3454" t="str">
            <v>绿杀戮14级</v>
          </cell>
          <cell r="B3454">
            <v>513014</v>
          </cell>
        </row>
        <row r="3455">
          <cell r="A3455" t="str">
            <v>绿杀戮15级</v>
          </cell>
          <cell r="B3455">
            <v>513015</v>
          </cell>
        </row>
        <row r="3456">
          <cell r="A3456" t="str">
            <v>绿杀戮16级</v>
          </cell>
          <cell r="B3456">
            <v>513016</v>
          </cell>
        </row>
        <row r="3457">
          <cell r="A3457" t="str">
            <v>绿杀戮17级</v>
          </cell>
          <cell r="B3457">
            <v>513017</v>
          </cell>
        </row>
        <row r="3458">
          <cell r="A3458" t="str">
            <v>绿杀戮18级</v>
          </cell>
          <cell r="B3458">
            <v>513018</v>
          </cell>
        </row>
        <row r="3459">
          <cell r="A3459" t="str">
            <v>绿杀戮19级</v>
          </cell>
          <cell r="B3459">
            <v>513019</v>
          </cell>
        </row>
        <row r="3460">
          <cell r="A3460" t="str">
            <v>绿杀戮20级</v>
          </cell>
          <cell r="B3460">
            <v>513020</v>
          </cell>
        </row>
        <row r="3461">
          <cell r="A3461" t="str">
            <v>绿祝福1级</v>
          </cell>
          <cell r="B3461">
            <v>514001</v>
          </cell>
        </row>
        <row r="3462">
          <cell r="A3462" t="str">
            <v>绿祝福2级</v>
          </cell>
          <cell r="B3462">
            <v>514002</v>
          </cell>
        </row>
        <row r="3463">
          <cell r="A3463" t="str">
            <v>绿祝福3级</v>
          </cell>
          <cell r="B3463">
            <v>514003</v>
          </cell>
        </row>
        <row r="3464">
          <cell r="A3464" t="str">
            <v>绿祝福4级</v>
          </cell>
          <cell r="B3464">
            <v>514004</v>
          </cell>
        </row>
        <row r="3465">
          <cell r="A3465" t="str">
            <v>绿祝福5级</v>
          </cell>
          <cell r="B3465">
            <v>514005</v>
          </cell>
        </row>
        <row r="3466">
          <cell r="A3466" t="str">
            <v>绿祝福6级</v>
          </cell>
          <cell r="B3466">
            <v>514006</v>
          </cell>
        </row>
        <row r="3467">
          <cell r="A3467" t="str">
            <v>绿祝福7级</v>
          </cell>
          <cell r="B3467">
            <v>514007</v>
          </cell>
        </row>
        <row r="3468">
          <cell r="A3468" t="str">
            <v>绿祝福8级</v>
          </cell>
          <cell r="B3468">
            <v>514008</v>
          </cell>
        </row>
        <row r="3469">
          <cell r="A3469" t="str">
            <v>绿祝福9级</v>
          </cell>
          <cell r="B3469">
            <v>514009</v>
          </cell>
        </row>
        <row r="3470">
          <cell r="A3470" t="str">
            <v>绿祝福10级</v>
          </cell>
          <cell r="B3470">
            <v>514010</v>
          </cell>
        </row>
        <row r="3471">
          <cell r="A3471" t="str">
            <v>绿祝福11级</v>
          </cell>
          <cell r="B3471">
            <v>514011</v>
          </cell>
        </row>
        <row r="3472">
          <cell r="A3472" t="str">
            <v>绿祝福12级</v>
          </cell>
          <cell r="B3472">
            <v>514012</v>
          </cell>
        </row>
        <row r="3473">
          <cell r="A3473" t="str">
            <v>绿祝福13级</v>
          </cell>
          <cell r="B3473">
            <v>514013</v>
          </cell>
        </row>
        <row r="3474">
          <cell r="A3474" t="str">
            <v>绿祝福14级</v>
          </cell>
          <cell r="B3474">
            <v>514014</v>
          </cell>
        </row>
        <row r="3475">
          <cell r="A3475" t="str">
            <v>绿祝福15级</v>
          </cell>
          <cell r="B3475">
            <v>514015</v>
          </cell>
        </row>
        <row r="3476">
          <cell r="A3476" t="str">
            <v>绿祝福16级</v>
          </cell>
          <cell r="B3476">
            <v>514016</v>
          </cell>
        </row>
        <row r="3477">
          <cell r="A3477" t="str">
            <v>绿祝福17级</v>
          </cell>
          <cell r="B3477">
            <v>514017</v>
          </cell>
        </row>
        <row r="3478">
          <cell r="A3478" t="str">
            <v>绿祝福18级</v>
          </cell>
          <cell r="B3478">
            <v>514018</v>
          </cell>
        </row>
        <row r="3479">
          <cell r="A3479" t="str">
            <v>绿祝福19级</v>
          </cell>
          <cell r="B3479">
            <v>514019</v>
          </cell>
        </row>
        <row r="3480">
          <cell r="A3480" t="str">
            <v>绿祝福20级</v>
          </cell>
          <cell r="B3480">
            <v>514020</v>
          </cell>
        </row>
        <row r="3481">
          <cell r="A3481" t="str">
            <v>绿财神1级</v>
          </cell>
          <cell r="B3481">
            <v>515001</v>
          </cell>
        </row>
        <row r="3482">
          <cell r="A3482" t="str">
            <v>绿财神2级</v>
          </cell>
          <cell r="B3482">
            <v>515002</v>
          </cell>
        </row>
        <row r="3483">
          <cell r="A3483" t="str">
            <v>绿财神3级</v>
          </cell>
          <cell r="B3483">
            <v>515003</v>
          </cell>
        </row>
        <row r="3484">
          <cell r="A3484" t="str">
            <v>绿财神4级</v>
          </cell>
          <cell r="B3484">
            <v>515004</v>
          </cell>
        </row>
        <row r="3485">
          <cell r="A3485" t="str">
            <v>绿财神5级</v>
          </cell>
          <cell r="B3485">
            <v>515005</v>
          </cell>
        </row>
        <row r="3486">
          <cell r="A3486" t="str">
            <v>绿财神6级</v>
          </cell>
          <cell r="B3486">
            <v>515006</v>
          </cell>
        </row>
        <row r="3487">
          <cell r="A3487" t="str">
            <v>绿财神7级</v>
          </cell>
          <cell r="B3487">
            <v>515007</v>
          </cell>
        </row>
        <row r="3488">
          <cell r="A3488" t="str">
            <v>绿财神8级</v>
          </cell>
          <cell r="B3488">
            <v>515008</v>
          </cell>
        </row>
        <row r="3489">
          <cell r="A3489" t="str">
            <v>绿财神9级</v>
          </cell>
          <cell r="B3489">
            <v>515009</v>
          </cell>
        </row>
        <row r="3490">
          <cell r="A3490" t="str">
            <v>绿财神10级</v>
          </cell>
          <cell r="B3490">
            <v>515010</v>
          </cell>
        </row>
        <row r="3491">
          <cell r="A3491" t="str">
            <v>绿财神11级</v>
          </cell>
          <cell r="B3491">
            <v>515011</v>
          </cell>
        </row>
        <row r="3492">
          <cell r="A3492" t="str">
            <v>绿财神12级</v>
          </cell>
          <cell r="B3492">
            <v>515012</v>
          </cell>
        </row>
        <row r="3493">
          <cell r="A3493" t="str">
            <v>绿财神13级</v>
          </cell>
          <cell r="B3493">
            <v>515013</v>
          </cell>
        </row>
        <row r="3494">
          <cell r="A3494" t="str">
            <v>绿财神14级</v>
          </cell>
          <cell r="B3494">
            <v>515014</v>
          </cell>
        </row>
        <row r="3495">
          <cell r="A3495" t="str">
            <v>绿财神15级</v>
          </cell>
          <cell r="B3495">
            <v>515015</v>
          </cell>
        </row>
        <row r="3496">
          <cell r="A3496" t="str">
            <v>绿财神16级</v>
          </cell>
          <cell r="B3496">
            <v>515016</v>
          </cell>
        </row>
        <row r="3497">
          <cell r="A3497" t="str">
            <v>绿财神17级</v>
          </cell>
          <cell r="B3497">
            <v>515017</v>
          </cell>
        </row>
        <row r="3498">
          <cell r="A3498" t="str">
            <v>绿财神18级</v>
          </cell>
          <cell r="B3498">
            <v>515018</v>
          </cell>
        </row>
        <row r="3499">
          <cell r="A3499" t="str">
            <v>绿财神19级</v>
          </cell>
          <cell r="B3499">
            <v>515019</v>
          </cell>
        </row>
        <row r="3500">
          <cell r="A3500" t="str">
            <v>绿财神20级</v>
          </cell>
          <cell r="B3500">
            <v>515020</v>
          </cell>
        </row>
        <row r="3501">
          <cell r="A3501" t="str">
            <v>紫神力1级</v>
          </cell>
          <cell r="B3501">
            <v>501101</v>
          </cell>
        </row>
        <row r="3502">
          <cell r="A3502" t="str">
            <v>紫神力2级</v>
          </cell>
          <cell r="B3502">
            <v>501102</v>
          </cell>
        </row>
        <row r="3503">
          <cell r="A3503" t="str">
            <v>紫神力3级</v>
          </cell>
          <cell r="B3503">
            <v>501103</v>
          </cell>
        </row>
        <row r="3504">
          <cell r="A3504" t="str">
            <v>紫神力4级</v>
          </cell>
          <cell r="B3504">
            <v>501104</v>
          </cell>
        </row>
        <row r="3505">
          <cell r="A3505" t="str">
            <v>紫神力5级</v>
          </cell>
          <cell r="B3505">
            <v>501105</v>
          </cell>
        </row>
        <row r="3506">
          <cell r="A3506" t="str">
            <v>紫神力6级</v>
          </cell>
          <cell r="B3506">
            <v>501106</v>
          </cell>
        </row>
        <row r="3507">
          <cell r="A3507" t="str">
            <v>紫神力7级</v>
          </cell>
          <cell r="B3507">
            <v>501107</v>
          </cell>
        </row>
        <row r="3508">
          <cell r="A3508" t="str">
            <v>紫神力8级</v>
          </cell>
          <cell r="B3508">
            <v>501108</v>
          </cell>
        </row>
        <row r="3509">
          <cell r="A3509" t="str">
            <v>紫神力9级</v>
          </cell>
          <cell r="B3509">
            <v>501109</v>
          </cell>
        </row>
        <row r="3510">
          <cell r="A3510" t="str">
            <v>紫神力10级</v>
          </cell>
          <cell r="B3510">
            <v>501110</v>
          </cell>
        </row>
        <row r="3511">
          <cell r="A3511" t="str">
            <v>紫神力11级</v>
          </cell>
          <cell r="B3511">
            <v>501111</v>
          </cell>
        </row>
        <row r="3512">
          <cell r="A3512" t="str">
            <v>紫神力12级</v>
          </cell>
          <cell r="B3512">
            <v>501112</v>
          </cell>
        </row>
        <row r="3513">
          <cell r="A3513" t="str">
            <v>紫神力13级</v>
          </cell>
          <cell r="B3513">
            <v>501113</v>
          </cell>
        </row>
        <row r="3514">
          <cell r="A3514" t="str">
            <v>紫神力14级</v>
          </cell>
          <cell r="B3514">
            <v>501114</v>
          </cell>
        </row>
        <row r="3515">
          <cell r="A3515" t="str">
            <v>紫神力15级</v>
          </cell>
          <cell r="B3515">
            <v>501115</v>
          </cell>
        </row>
        <row r="3516">
          <cell r="A3516" t="str">
            <v>紫神力16级</v>
          </cell>
          <cell r="B3516">
            <v>501116</v>
          </cell>
        </row>
        <row r="3517">
          <cell r="A3517" t="str">
            <v>紫神力17级</v>
          </cell>
          <cell r="B3517">
            <v>501117</v>
          </cell>
        </row>
        <row r="3518">
          <cell r="A3518" t="str">
            <v>紫神力18级</v>
          </cell>
          <cell r="B3518">
            <v>501118</v>
          </cell>
        </row>
        <row r="3519">
          <cell r="A3519" t="str">
            <v>紫神力19级</v>
          </cell>
          <cell r="B3519">
            <v>501119</v>
          </cell>
        </row>
        <row r="3520">
          <cell r="A3520" t="str">
            <v>紫神力20级</v>
          </cell>
          <cell r="B3520">
            <v>501120</v>
          </cell>
        </row>
        <row r="3521">
          <cell r="A3521" t="str">
            <v>紫神力21级</v>
          </cell>
          <cell r="B3521">
            <v>501121</v>
          </cell>
        </row>
        <row r="3522">
          <cell r="A3522" t="str">
            <v>紫神力22级</v>
          </cell>
          <cell r="B3522">
            <v>501122</v>
          </cell>
        </row>
        <row r="3523">
          <cell r="A3523" t="str">
            <v>紫神力23级</v>
          </cell>
          <cell r="B3523">
            <v>501123</v>
          </cell>
        </row>
        <row r="3524">
          <cell r="A3524" t="str">
            <v>紫神力24级</v>
          </cell>
          <cell r="B3524">
            <v>501124</v>
          </cell>
        </row>
        <row r="3525">
          <cell r="A3525" t="str">
            <v>紫神力25级</v>
          </cell>
          <cell r="B3525">
            <v>501125</v>
          </cell>
        </row>
        <row r="3526">
          <cell r="A3526" t="str">
            <v>紫神力26级</v>
          </cell>
          <cell r="B3526">
            <v>501126</v>
          </cell>
        </row>
        <row r="3527">
          <cell r="A3527" t="str">
            <v>紫神力27级</v>
          </cell>
          <cell r="B3527">
            <v>501127</v>
          </cell>
        </row>
        <row r="3528">
          <cell r="A3528" t="str">
            <v>紫神力28级</v>
          </cell>
          <cell r="B3528">
            <v>501128</v>
          </cell>
        </row>
        <row r="3529">
          <cell r="A3529" t="str">
            <v>紫神力29级</v>
          </cell>
          <cell r="B3529">
            <v>501129</v>
          </cell>
        </row>
        <row r="3530">
          <cell r="A3530" t="str">
            <v>紫神力30级</v>
          </cell>
          <cell r="B3530">
            <v>501130</v>
          </cell>
        </row>
        <row r="3531">
          <cell r="A3531" t="str">
            <v>紫神力31级</v>
          </cell>
          <cell r="B3531">
            <v>501131</v>
          </cell>
        </row>
        <row r="3532">
          <cell r="A3532" t="str">
            <v>紫神力32级</v>
          </cell>
          <cell r="B3532">
            <v>501132</v>
          </cell>
        </row>
        <row r="3533">
          <cell r="A3533" t="str">
            <v>紫神力33级</v>
          </cell>
          <cell r="B3533">
            <v>501133</v>
          </cell>
        </row>
        <row r="3534">
          <cell r="A3534" t="str">
            <v>紫神力34级</v>
          </cell>
          <cell r="B3534">
            <v>501134</v>
          </cell>
        </row>
        <row r="3535">
          <cell r="A3535" t="str">
            <v>紫神力35级</v>
          </cell>
          <cell r="B3535">
            <v>501135</v>
          </cell>
        </row>
        <row r="3536">
          <cell r="A3536" t="str">
            <v>紫神力36级</v>
          </cell>
          <cell r="B3536">
            <v>501136</v>
          </cell>
        </row>
        <row r="3537">
          <cell r="A3537" t="str">
            <v>紫神力37级</v>
          </cell>
          <cell r="B3537">
            <v>501137</v>
          </cell>
        </row>
        <row r="3538">
          <cell r="A3538" t="str">
            <v>紫神力38级</v>
          </cell>
          <cell r="B3538">
            <v>501138</v>
          </cell>
        </row>
        <row r="3539">
          <cell r="A3539" t="str">
            <v>紫神力39级</v>
          </cell>
          <cell r="B3539">
            <v>501139</v>
          </cell>
        </row>
        <row r="3540">
          <cell r="A3540" t="str">
            <v>紫神力40级</v>
          </cell>
          <cell r="B3540">
            <v>501140</v>
          </cell>
        </row>
        <row r="3541">
          <cell r="A3541" t="str">
            <v>紫金汤1级</v>
          </cell>
          <cell r="B3541">
            <v>502101</v>
          </cell>
        </row>
        <row r="3542">
          <cell r="A3542" t="str">
            <v>紫金汤2级</v>
          </cell>
          <cell r="B3542">
            <v>502102</v>
          </cell>
        </row>
        <row r="3543">
          <cell r="A3543" t="str">
            <v>紫金汤3级</v>
          </cell>
          <cell r="B3543">
            <v>502103</v>
          </cell>
        </row>
        <row r="3544">
          <cell r="A3544" t="str">
            <v>紫金汤4级</v>
          </cell>
          <cell r="B3544">
            <v>502104</v>
          </cell>
        </row>
        <row r="3545">
          <cell r="A3545" t="str">
            <v>紫金汤5级</v>
          </cell>
          <cell r="B3545">
            <v>502105</v>
          </cell>
        </row>
        <row r="3546">
          <cell r="A3546" t="str">
            <v>紫金汤6级</v>
          </cell>
          <cell r="B3546">
            <v>502106</v>
          </cell>
        </row>
        <row r="3547">
          <cell r="A3547" t="str">
            <v>紫金汤7级</v>
          </cell>
          <cell r="B3547">
            <v>502107</v>
          </cell>
        </row>
        <row r="3548">
          <cell r="A3548" t="str">
            <v>紫金汤8级</v>
          </cell>
          <cell r="B3548">
            <v>502108</v>
          </cell>
        </row>
        <row r="3549">
          <cell r="A3549" t="str">
            <v>紫金汤9级</v>
          </cell>
          <cell r="B3549">
            <v>502109</v>
          </cell>
        </row>
        <row r="3550">
          <cell r="A3550" t="str">
            <v>紫金汤10级</v>
          </cell>
          <cell r="B3550">
            <v>502110</v>
          </cell>
        </row>
        <row r="3551">
          <cell r="A3551" t="str">
            <v>紫金汤11级</v>
          </cell>
          <cell r="B3551">
            <v>502111</v>
          </cell>
        </row>
        <row r="3552">
          <cell r="A3552" t="str">
            <v>紫金汤12级</v>
          </cell>
          <cell r="B3552">
            <v>502112</v>
          </cell>
        </row>
        <row r="3553">
          <cell r="A3553" t="str">
            <v>紫金汤13级</v>
          </cell>
          <cell r="B3553">
            <v>502113</v>
          </cell>
        </row>
        <row r="3554">
          <cell r="A3554" t="str">
            <v>紫金汤14级</v>
          </cell>
          <cell r="B3554">
            <v>502114</v>
          </cell>
        </row>
        <row r="3555">
          <cell r="A3555" t="str">
            <v>紫金汤15级</v>
          </cell>
          <cell r="B3555">
            <v>502115</v>
          </cell>
        </row>
        <row r="3556">
          <cell r="A3556" t="str">
            <v>紫金汤16级</v>
          </cell>
          <cell r="B3556">
            <v>502116</v>
          </cell>
        </row>
        <row r="3557">
          <cell r="A3557" t="str">
            <v>紫金汤17级</v>
          </cell>
          <cell r="B3557">
            <v>502117</v>
          </cell>
        </row>
        <row r="3558">
          <cell r="A3558" t="str">
            <v>紫金汤18级</v>
          </cell>
          <cell r="B3558">
            <v>502118</v>
          </cell>
        </row>
        <row r="3559">
          <cell r="A3559" t="str">
            <v>紫金汤19级</v>
          </cell>
          <cell r="B3559">
            <v>502119</v>
          </cell>
        </row>
        <row r="3560">
          <cell r="A3560" t="str">
            <v>紫金汤20级</v>
          </cell>
          <cell r="B3560">
            <v>502120</v>
          </cell>
        </row>
        <row r="3561">
          <cell r="A3561" t="str">
            <v>紫金汤21级</v>
          </cell>
          <cell r="B3561">
            <v>502121</v>
          </cell>
        </row>
        <row r="3562">
          <cell r="A3562" t="str">
            <v>紫金汤22级</v>
          </cell>
          <cell r="B3562">
            <v>502122</v>
          </cell>
        </row>
        <row r="3563">
          <cell r="A3563" t="str">
            <v>紫金汤23级</v>
          </cell>
          <cell r="B3563">
            <v>502123</v>
          </cell>
        </row>
        <row r="3564">
          <cell r="A3564" t="str">
            <v>紫金汤24级</v>
          </cell>
          <cell r="B3564">
            <v>502124</v>
          </cell>
        </row>
        <row r="3565">
          <cell r="A3565" t="str">
            <v>紫金汤25级</v>
          </cell>
          <cell r="B3565">
            <v>502125</v>
          </cell>
        </row>
        <row r="3566">
          <cell r="A3566" t="str">
            <v>紫金汤26级</v>
          </cell>
          <cell r="B3566">
            <v>502126</v>
          </cell>
        </row>
        <row r="3567">
          <cell r="A3567" t="str">
            <v>紫金汤27级</v>
          </cell>
          <cell r="B3567">
            <v>502127</v>
          </cell>
        </row>
        <row r="3568">
          <cell r="A3568" t="str">
            <v>紫金汤28级</v>
          </cell>
          <cell r="B3568">
            <v>502128</v>
          </cell>
        </row>
        <row r="3569">
          <cell r="A3569" t="str">
            <v>紫金汤29级</v>
          </cell>
          <cell r="B3569">
            <v>502129</v>
          </cell>
        </row>
        <row r="3570">
          <cell r="A3570" t="str">
            <v>紫金汤30级</v>
          </cell>
          <cell r="B3570">
            <v>502130</v>
          </cell>
        </row>
        <row r="3571">
          <cell r="A3571" t="str">
            <v>紫金汤31级</v>
          </cell>
          <cell r="B3571">
            <v>502131</v>
          </cell>
        </row>
        <row r="3572">
          <cell r="A3572" t="str">
            <v>紫金汤32级</v>
          </cell>
          <cell r="B3572">
            <v>502132</v>
          </cell>
        </row>
        <row r="3573">
          <cell r="A3573" t="str">
            <v>紫金汤33级</v>
          </cell>
          <cell r="B3573">
            <v>502133</v>
          </cell>
        </row>
        <row r="3574">
          <cell r="A3574" t="str">
            <v>紫金汤34级</v>
          </cell>
          <cell r="B3574">
            <v>502134</v>
          </cell>
        </row>
        <row r="3575">
          <cell r="A3575" t="str">
            <v>紫金汤35级</v>
          </cell>
          <cell r="B3575">
            <v>502135</v>
          </cell>
        </row>
        <row r="3576">
          <cell r="A3576" t="str">
            <v>紫金汤36级</v>
          </cell>
          <cell r="B3576">
            <v>502136</v>
          </cell>
        </row>
        <row r="3577">
          <cell r="A3577" t="str">
            <v>紫金汤37级</v>
          </cell>
          <cell r="B3577">
            <v>502137</v>
          </cell>
        </row>
        <row r="3578">
          <cell r="A3578" t="str">
            <v>紫金汤38级</v>
          </cell>
          <cell r="B3578">
            <v>502138</v>
          </cell>
        </row>
        <row r="3579">
          <cell r="A3579" t="str">
            <v>紫金汤39级</v>
          </cell>
          <cell r="B3579">
            <v>502139</v>
          </cell>
        </row>
        <row r="3580">
          <cell r="A3580" t="str">
            <v>紫金汤40级</v>
          </cell>
          <cell r="B3580">
            <v>502140</v>
          </cell>
        </row>
        <row r="3581">
          <cell r="A3581" t="str">
            <v>紫长生1级</v>
          </cell>
          <cell r="B3581">
            <v>503101</v>
          </cell>
        </row>
        <row r="3582">
          <cell r="A3582" t="str">
            <v>紫长生2级</v>
          </cell>
          <cell r="B3582">
            <v>503102</v>
          </cell>
        </row>
        <row r="3583">
          <cell r="A3583" t="str">
            <v>紫长生3级</v>
          </cell>
          <cell r="B3583">
            <v>503103</v>
          </cell>
        </row>
        <row r="3584">
          <cell r="A3584" t="str">
            <v>紫长生4级</v>
          </cell>
          <cell r="B3584">
            <v>503104</v>
          </cell>
        </row>
        <row r="3585">
          <cell r="A3585" t="str">
            <v>紫长生5级</v>
          </cell>
          <cell r="B3585">
            <v>503105</v>
          </cell>
        </row>
        <row r="3586">
          <cell r="A3586" t="str">
            <v>紫长生6级</v>
          </cell>
          <cell r="B3586">
            <v>503106</v>
          </cell>
        </row>
        <row r="3587">
          <cell r="A3587" t="str">
            <v>紫长生7级</v>
          </cell>
          <cell r="B3587">
            <v>503107</v>
          </cell>
        </row>
        <row r="3588">
          <cell r="A3588" t="str">
            <v>紫长生8级</v>
          </cell>
          <cell r="B3588">
            <v>503108</v>
          </cell>
        </row>
        <row r="3589">
          <cell r="A3589" t="str">
            <v>紫长生9级</v>
          </cell>
          <cell r="B3589">
            <v>503109</v>
          </cell>
        </row>
        <row r="3590">
          <cell r="A3590" t="str">
            <v>紫长生10级</v>
          </cell>
          <cell r="B3590">
            <v>503110</v>
          </cell>
        </row>
        <row r="3591">
          <cell r="A3591" t="str">
            <v>紫长生11级</v>
          </cell>
          <cell r="B3591">
            <v>503111</v>
          </cell>
        </row>
        <row r="3592">
          <cell r="A3592" t="str">
            <v>紫长生12级</v>
          </cell>
          <cell r="B3592">
            <v>503112</v>
          </cell>
        </row>
        <row r="3593">
          <cell r="A3593" t="str">
            <v>紫长生13级</v>
          </cell>
          <cell r="B3593">
            <v>503113</v>
          </cell>
        </row>
        <row r="3594">
          <cell r="A3594" t="str">
            <v>紫长生14级</v>
          </cell>
          <cell r="B3594">
            <v>503114</v>
          </cell>
        </row>
        <row r="3595">
          <cell r="A3595" t="str">
            <v>紫长生15级</v>
          </cell>
          <cell r="B3595">
            <v>503115</v>
          </cell>
        </row>
        <row r="3596">
          <cell r="A3596" t="str">
            <v>紫长生16级</v>
          </cell>
          <cell r="B3596">
            <v>503116</v>
          </cell>
        </row>
        <row r="3597">
          <cell r="A3597" t="str">
            <v>紫长生17级</v>
          </cell>
          <cell r="B3597">
            <v>503117</v>
          </cell>
        </row>
        <row r="3598">
          <cell r="A3598" t="str">
            <v>紫长生18级</v>
          </cell>
          <cell r="B3598">
            <v>503118</v>
          </cell>
        </row>
        <row r="3599">
          <cell r="A3599" t="str">
            <v>紫长生19级</v>
          </cell>
          <cell r="B3599">
            <v>503119</v>
          </cell>
        </row>
        <row r="3600">
          <cell r="A3600" t="str">
            <v>紫长生20级</v>
          </cell>
          <cell r="B3600">
            <v>503120</v>
          </cell>
        </row>
        <row r="3601">
          <cell r="A3601" t="str">
            <v>紫长生21级</v>
          </cell>
          <cell r="B3601">
            <v>503121</v>
          </cell>
        </row>
        <row r="3602">
          <cell r="A3602" t="str">
            <v>紫长生22级</v>
          </cell>
          <cell r="B3602">
            <v>503122</v>
          </cell>
        </row>
        <row r="3603">
          <cell r="A3603" t="str">
            <v>紫长生23级</v>
          </cell>
          <cell r="B3603">
            <v>503123</v>
          </cell>
        </row>
        <row r="3604">
          <cell r="A3604" t="str">
            <v>紫长生24级</v>
          </cell>
          <cell r="B3604">
            <v>503124</v>
          </cell>
        </row>
        <row r="3605">
          <cell r="A3605" t="str">
            <v>紫长生25级</v>
          </cell>
          <cell r="B3605">
            <v>503125</v>
          </cell>
        </row>
        <row r="3606">
          <cell r="A3606" t="str">
            <v>紫长生26级</v>
          </cell>
          <cell r="B3606">
            <v>503126</v>
          </cell>
        </row>
        <row r="3607">
          <cell r="A3607" t="str">
            <v>紫长生27级</v>
          </cell>
          <cell r="B3607">
            <v>503127</v>
          </cell>
        </row>
        <row r="3608">
          <cell r="A3608" t="str">
            <v>紫长生28级</v>
          </cell>
          <cell r="B3608">
            <v>503128</v>
          </cell>
        </row>
        <row r="3609">
          <cell r="A3609" t="str">
            <v>紫长生29级</v>
          </cell>
          <cell r="B3609">
            <v>503129</v>
          </cell>
        </row>
        <row r="3610">
          <cell r="A3610" t="str">
            <v>紫长生30级</v>
          </cell>
          <cell r="B3610">
            <v>503130</v>
          </cell>
        </row>
        <row r="3611">
          <cell r="A3611" t="str">
            <v>紫长生31级</v>
          </cell>
          <cell r="B3611">
            <v>503131</v>
          </cell>
        </row>
        <row r="3612">
          <cell r="A3612" t="str">
            <v>紫长生32级</v>
          </cell>
          <cell r="B3612">
            <v>503132</v>
          </cell>
        </row>
        <row r="3613">
          <cell r="A3613" t="str">
            <v>紫长生33级</v>
          </cell>
          <cell r="B3613">
            <v>503133</v>
          </cell>
        </row>
        <row r="3614">
          <cell r="A3614" t="str">
            <v>紫长生34级</v>
          </cell>
          <cell r="B3614">
            <v>503134</v>
          </cell>
        </row>
        <row r="3615">
          <cell r="A3615" t="str">
            <v>紫长生35级</v>
          </cell>
          <cell r="B3615">
            <v>503135</v>
          </cell>
        </row>
        <row r="3616">
          <cell r="A3616" t="str">
            <v>紫长生36级</v>
          </cell>
          <cell r="B3616">
            <v>503136</v>
          </cell>
        </row>
        <row r="3617">
          <cell r="A3617" t="str">
            <v>紫长生37级</v>
          </cell>
          <cell r="B3617">
            <v>503137</v>
          </cell>
        </row>
        <row r="3618">
          <cell r="A3618" t="str">
            <v>紫长生38级</v>
          </cell>
          <cell r="B3618">
            <v>503138</v>
          </cell>
        </row>
        <row r="3619">
          <cell r="A3619" t="str">
            <v>紫长生39级</v>
          </cell>
          <cell r="B3619">
            <v>503139</v>
          </cell>
        </row>
        <row r="3620">
          <cell r="A3620" t="str">
            <v>紫长生40级</v>
          </cell>
          <cell r="B3620">
            <v>503140</v>
          </cell>
        </row>
        <row r="3621">
          <cell r="A3621" t="str">
            <v>紫光武1级</v>
          </cell>
          <cell r="B3621">
            <v>504101</v>
          </cell>
        </row>
        <row r="3622">
          <cell r="A3622" t="str">
            <v>紫光武2级</v>
          </cell>
          <cell r="B3622">
            <v>504102</v>
          </cell>
        </row>
        <row r="3623">
          <cell r="A3623" t="str">
            <v>紫光武3级</v>
          </cell>
          <cell r="B3623">
            <v>504103</v>
          </cell>
        </row>
        <row r="3624">
          <cell r="A3624" t="str">
            <v>紫光武4级</v>
          </cell>
          <cell r="B3624">
            <v>504104</v>
          </cell>
        </row>
        <row r="3625">
          <cell r="A3625" t="str">
            <v>紫光武5级</v>
          </cell>
          <cell r="B3625">
            <v>504105</v>
          </cell>
        </row>
        <row r="3626">
          <cell r="A3626" t="str">
            <v>紫光武6级</v>
          </cell>
          <cell r="B3626">
            <v>504106</v>
          </cell>
        </row>
        <row r="3627">
          <cell r="A3627" t="str">
            <v>紫光武7级</v>
          </cell>
          <cell r="B3627">
            <v>504107</v>
          </cell>
        </row>
        <row r="3628">
          <cell r="A3628" t="str">
            <v>紫光武8级</v>
          </cell>
          <cell r="B3628">
            <v>504108</v>
          </cell>
        </row>
        <row r="3629">
          <cell r="A3629" t="str">
            <v>紫光武9级</v>
          </cell>
          <cell r="B3629">
            <v>504109</v>
          </cell>
        </row>
        <row r="3630">
          <cell r="A3630" t="str">
            <v>紫光武10级</v>
          </cell>
          <cell r="B3630">
            <v>504110</v>
          </cell>
        </row>
        <row r="3631">
          <cell r="A3631" t="str">
            <v>紫光武11级</v>
          </cell>
          <cell r="B3631">
            <v>504111</v>
          </cell>
        </row>
        <row r="3632">
          <cell r="A3632" t="str">
            <v>紫光武12级</v>
          </cell>
          <cell r="B3632">
            <v>504112</v>
          </cell>
        </row>
        <row r="3633">
          <cell r="A3633" t="str">
            <v>紫光武13级</v>
          </cell>
          <cell r="B3633">
            <v>504113</v>
          </cell>
        </row>
        <row r="3634">
          <cell r="A3634" t="str">
            <v>紫光武14级</v>
          </cell>
          <cell r="B3634">
            <v>504114</v>
          </cell>
        </row>
        <row r="3635">
          <cell r="A3635" t="str">
            <v>紫光武15级</v>
          </cell>
          <cell r="B3635">
            <v>504115</v>
          </cell>
        </row>
        <row r="3636">
          <cell r="A3636" t="str">
            <v>紫光武16级</v>
          </cell>
          <cell r="B3636">
            <v>504116</v>
          </cell>
        </row>
        <row r="3637">
          <cell r="A3637" t="str">
            <v>紫光武17级</v>
          </cell>
          <cell r="B3637">
            <v>504117</v>
          </cell>
        </row>
        <row r="3638">
          <cell r="A3638" t="str">
            <v>紫光武18级</v>
          </cell>
          <cell r="B3638">
            <v>504118</v>
          </cell>
        </row>
        <row r="3639">
          <cell r="A3639" t="str">
            <v>紫光武19级</v>
          </cell>
          <cell r="B3639">
            <v>504119</v>
          </cell>
        </row>
        <row r="3640">
          <cell r="A3640" t="str">
            <v>紫光武20级</v>
          </cell>
          <cell r="B3640">
            <v>504120</v>
          </cell>
        </row>
        <row r="3641">
          <cell r="A3641" t="str">
            <v>紫光武21级</v>
          </cell>
          <cell r="B3641">
            <v>504121</v>
          </cell>
        </row>
        <row r="3642">
          <cell r="A3642" t="str">
            <v>紫光武22级</v>
          </cell>
          <cell r="B3642">
            <v>504122</v>
          </cell>
        </row>
        <row r="3643">
          <cell r="A3643" t="str">
            <v>紫光武23级</v>
          </cell>
          <cell r="B3643">
            <v>504123</v>
          </cell>
        </row>
        <row r="3644">
          <cell r="A3644" t="str">
            <v>紫光武24级</v>
          </cell>
          <cell r="B3644">
            <v>504124</v>
          </cell>
        </row>
        <row r="3645">
          <cell r="A3645" t="str">
            <v>紫光武25级</v>
          </cell>
          <cell r="B3645">
            <v>504125</v>
          </cell>
        </row>
        <row r="3646">
          <cell r="A3646" t="str">
            <v>紫光武26级</v>
          </cell>
          <cell r="B3646">
            <v>504126</v>
          </cell>
        </row>
        <row r="3647">
          <cell r="A3647" t="str">
            <v>紫光武27级</v>
          </cell>
          <cell r="B3647">
            <v>504127</v>
          </cell>
        </row>
        <row r="3648">
          <cell r="A3648" t="str">
            <v>紫光武28级</v>
          </cell>
          <cell r="B3648">
            <v>504128</v>
          </cell>
        </row>
        <row r="3649">
          <cell r="A3649" t="str">
            <v>紫光武29级</v>
          </cell>
          <cell r="B3649">
            <v>504129</v>
          </cell>
        </row>
        <row r="3650">
          <cell r="A3650" t="str">
            <v>紫光武30级</v>
          </cell>
          <cell r="B3650">
            <v>504130</v>
          </cell>
        </row>
        <row r="3651">
          <cell r="A3651" t="str">
            <v>紫光武31级</v>
          </cell>
          <cell r="B3651">
            <v>504131</v>
          </cell>
        </row>
        <row r="3652">
          <cell r="A3652" t="str">
            <v>紫光武32级</v>
          </cell>
          <cell r="B3652">
            <v>504132</v>
          </cell>
        </row>
        <row r="3653">
          <cell r="A3653" t="str">
            <v>紫光武33级</v>
          </cell>
          <cell r="B3653">
            <v>504133</v>
          </cell>
        </row>
        <row r="3654">
          <cell r="A3654" t="str">
            <v>紫光武34级</v>
          </cell>
          <cell r="B3654">
            <v>504134</v>
          </cell>
        </row>
        <row r="3655">
          <cell r="A3655" t="str">
            <v>紫光武35级</v>
          </cell>
          <cell r="B3655">
            <v>504135</v>
          </cell>
        </row>
        <row r="3656">
          <cell r="A3656" t="str">
            <v>紫光武36级</v>
          </cell>
          <cell r="B3656">
            <v>504136</v>
          </cell>
        </row>
        <row r="3657">
          <cell r="A3657" t="str">
            <v>紫光武37级</v>
          </cell>
          <cell r="B3657">
            <v>504137</v>
          </cell>
        </row>
        <row r="3658">
          <cell r="A3658" t="str">
            <v>紫光武38级</v>
          </cell>
          <cell r="B3658">
            <v>504138</v>
          </cell>
        </row>
        <row r="3659">
          <cell r="A3659" t="str">
            <v>紫光武39级</v>
          </cell>
          <cell r="B3659">
            <v>504139</v>
          </cell>
        </row>
        <row r="3660">
          <cell r="A3660" t="str">
            <v>紫光武40级</v>
          </cell>
          <cell r="B3660">
            <v>504140</v>
          </cell>
        </row>
        <row r="3661">
          <cell r="A3661" t="str">
            <v>紫神盔1级</v>
          </cell>
          <cell r="B3661">
            <v>505101</v>
          </cell>
        </row>
        <row r="3662">
          <cell r="A3662" t="str">
            <v>紫神盔2级</v>
          </cell>
          <cell r="B3662">
            <v>505102</v>
          </cell>
        </row>
        <row r="3663">
          <cell r="A3663" t="str">
            <v>紫神盔3级</v>
          </cell>
          <cell r="B3663">
            <v>505103</v>
          </cell>
        </row>
        <row r="3664">
          <cell r="A3664" t="str">
            <v>紫神盔4级</v>
          </cell>
          <cell r="B3664">
            <v>505104</v>
          </cell>
        </row>
        <row r="3665">
          <cell r="A3665" t="str">
            <v>紫神盔5级</v>
          </cell>
          <cell r="B3665">
            <v>505105</v>
          </cell>
        </row>
        <row r="3666">
          <cell r="A3666" t="str">
            <v>紫神盔6级</v>
          </cell>
          <cell r="B3666">
            <v>505106</v>
          </cell>
        </row>
        <row r="3667">
          <cell r="A3667" t="str">
            <v>紫神盔7级</v>
          </cell>
          <cell r="B3667">
            <v>505107</v>
          </cell>
        </row>
        <row r="3668">
          <cell r="A3668" t="str">
            <v>紫神盔8级</v>
          </cell>
          <cell r="B3668">
            <v>505108</v>
          </cell>
        </row>
        <row r="3669">
          <cell r="A3669" t="str">
            <v>紫神盔9级</v>
          </cell>
          <cell r="B3669">
            <v>505109</v>
          </cell>
        </row>
        <row r="3670">
          <cell r="A3670" t="str">
            <v>紫神盔10级</v>
          </cell>
          <cell r="B3670">
            <v>505110</v>
          </cell>
        </row>
        <row r="3671">
          <cell r="A3671" t="str">
            <v>紫神盔11级</v>
          </cell>
          <cell r="B3671">
            <v>505111</v>
          </cell>
        </row>
        <row r="3672">
          <cell r="A3672" t="str">
            <v>紫神盔12级</v>
          </cell>
          <cell r="B3672">
            <v>505112</v>
          </cell>
        </row>
        <row r="3673">
          <cell r="A3673" t="str">
            <v>紫神盔13级</v>
          </cell>
          <cell r="B3673">
            <v>505113</v>
          </cell>
        </row>
        <row r="3674">
          <cell r="A3674" t="str">
            <v>紫神盔14级</v>
          </cell>
          <cell r="B3674">
            <v>505114</v>
          </cell>
        </row>
        <row r="3675">
          <cell r="A3675" t="str">
            <v>紫神盔15级</v>
          </cell>
          <cell r="B3675">
            <v>505115</v>
          </cell>
        </row>
        <row r="3676">
          <cell r="A3676" t="str">
            <v>紫神盔16级</v>
          </cell>
          <cell r="B3676">
            <v>505116</v>
          </cell>
        </row>
        <row r="3677">
          <cell r="A3677" t="str">
            <v>紫神盔17级</v>
          </cell>
          <cell r="B3677">
            <v>505117</v>
          </cell>
        </row>
        <row r="3678">
          <cell r="A3678" t="str">
            <v>紫神盔18级</v>
          </cell>
          <cell r="B3678">
            <v>505118</v>
          </cell>
        </row>
        <row r="3679">
          <cell r="A3679" t="str">
            <v>紫神盔19级</v>
          </cell>
          <cell r="B3679">
            <v>505119</v>
          </cell>
        </row>
        <row r="3680">
          <cell r="A3680" t="str">
            <v>紫神盔20级</v>
          </cell>
          <cell r="B3680">
            <v>505120</v>
          </cell>
        </row>
        <row r="3681">
          <cell r="A3681" t="str">
            <v>紫神盔21级</v>
          </cell>
          <cell r="B3681">
            <v>505121</v>
          </cell>
        </row>
        <row r="3682">
          <cell r="A3682" t="str">
            <v>紫神盔22级</v>
          </cell>
          <cell r="B3682">
            <v>505122</v>
          </cell>
        </row>
        <row r="3683">
          <cell r="A3683" t="str">
            <v>紫神盔23级</v>
          </cell>
          <cell r="B3683">
            <v>505123</v>
          </cell>
        </row>
        <row r="3684">
          <cell r="A3684" t="str">
            <v>紫神盔24级</v>
          </cell>
          <cell r="B3684">
            <v>505124</v>
          </cell>
        </row>
        <row r="3685">
          <cell r="A3685" t="str">
            <v>紫神盔25级</v>
          </cell>
          <cell r="B3685">
            <v>505125</v>
          </cell>
        </row>
        <row r="3686">
          <cell r="A3686" t="str">
            <v>紫神盔26级</v>
          </cell>
          <cell r="B3686">
            <v>505126</v>
          </cell>
        </row>
        <row r="3687">
          <cell r="A3687" t="str">
            <v>紫神盔27级</v>
          </cell>
          <cell r="B3687">
            <v>505127</v>
          </cell>
        </row>
        <row r="3688">
          <cell r="A3688" t="str">
            <v>紫神盔28级</v>
          </cell>
          <cell r="B3688">
            <v>505128</v>
          </cell>
        </row>
        <row r="3689">
          <cell r="A3689" t="str">
            <v>紫神盔29级</v>
          </cell>
          <cell r="B3689">
            <v>505129</v>
          </cell>
        </row>
        <row r="3690">
          <cell r="A3690" t="str">
            <v>紫神盔30级</v>
          </cell>
          <cell r="B3690">
            <v>505130</v>
          </cell>
        </row>
        <row r="3691">
          <cell r="A3691" t="str">
            <v>紫神盔31级</v>
          </cell>
          <cell r="B3691">
            <v>505131</v>
          </cell>
        </row>
        <row r="3692">
          <cell r="A3692" t="str">
            <v>紫神盔32级</v>
          </cell>
          <cell r="B3692">
            <v>505132</v>
          </cell>
        </row>
        <row r="3693">
          <cell r="A3693" t="str">
            <v>紫神盔33级</v>
          </cell>
          <cell r="B3693">
            <v>505133</v>
          </cell>
        </row>
        <row r="3694">
          <cell r="A3694" t="str">
            <v>紫神盔34级</v>
          </cell>
          <cell r="B3694">
            <v>505134</v>
          </cell>
        </row>
        <row r="3695">
          <cell r="A3695" t="str">
            <v>紫神盔35级</v>
          </cell>
          <cell r="B3695">
            <v>505135</v>
          </cell>
        </row>
        <row r="3696">
          <cell r="A3696" t="str">
            <v>紫神盔36级</v>
          </cell>
          <cell r="B3696">
            <v>505136</v>
          </cell>
        </row>
        <row r="3697">
          <cell r="A3697" t="str">
            <v>紫神盔37级</v>
          </cell>
          <cell r="B3697">
            <v>505137</v>
          </cell>
        </row>
        <row r="3698">
          <cell r="A3698" t="str">
            <v>紫神盔38级</v>
          </cell>
          <cell r="B3698">
            <v>505138</v>
          </cell>
        </row>
        <row r="3699">
          <cell r="A3699" t="str">
            <v>紫神盔39级</v>
          </cell>
          <cell r="B3699">
            <v>505139</v>
          </cell>
        </row>
        <row r="3700">
          <cell r="A3700" t="str">
            <v>紫神盔40级</v>
          </cell>
          <cell r="B3700">
            <v>505140</v>
          </cell>
        </row>
        <row r="3701">
          <cell r="A3701" t="str">
            <v>紫固甲1级</v>
          </cell>
          <cell r="B3701">
            <v>506101</v>
          </cell>
        </row>
        <row r="3702">
          <cell r="A3702" t="str">
            <v>紫固甲2级</v>
          </cell>
          <cell r="B3702">
            <v>506102</v>
          </cell>
        </row>
        <row r="3703">
          <cell r="A3703" t="str">
            <v>紫固甲3级</v>
          </cell>
          <cell r="B3703">
            <v>506103</v>
          </cell>
        </row>
        <row r="3704">
          <cell r="A3704" t="str">
            <v>紫固甲4级</v>
          </cell>
          <cell r="B3704">
            <v>506104</v>
          </cell>
        </row>
        <row r="3705">
          <cell r="A3705" t="str">
            <v>紫固甲5级</v>
          </cell>
          <cell r="B3705">
            <v>506105</v>
          </cell>
        </row>
        <row r="3706">
          <cell r="A3706" t="str">
            <v>紫固甲6级</v>
          </cell>
          <cell r="B3706">
            <v>506106</v>
          </cell>
        </row>
        <row r="3707">
          <cell r="A3707" t="str">
            <v>紫固甲7级</v>
          </cell>
          <cell r="B3707">
            <v>506107</v>
          </cell>
        </row>
        <row r="3708">
          <cell r="A3708" t="str">
            <v>紫固甲8级</v>
          </cell>
          <cell r="B3708">
            <v>506108</v>
          </cell>
        </row>
        <row r="3709">
          <cell r="A3709" t="str">
            <v>紫固甲9级</v>
          </cell>
          <cell r="B3709">
            <v>506109</v>
          </cell>
        </row>
        <row r="3710">
          <cell r="A3710" t="str">
            <v>紫固甲10级</v>
          </cell>
          <cell r="B3710">
            <v>506110</v>
          </cell>
        </row>
        <row r="3711">
          <cell r="A3711" t="str">
            <v>紫固甲11级</v>
          </cell>
          <cell r="B3711">
            <v>506111</v>
          </cell>
        </row>
        <row r="3712">
          <cell r="A3712" t="str">
            <v>紫固甲12级</v>
          </cell>
          <cell r="B3712">
            <v>506112</v>
          </cell>
        </row>
        <row r="3713">
          <cell r="A3713" t="str">
            <v>紫固甲13级</v>
          </cell>
          <cell r="B3713">
            <v>506113</v>
          </cell>
        </row>
        <row r="3714">
          <cell r="A3714" t="str">
            <v>紫固甲14级</v>
          </cell>
          <cell r="B3714">
            <v>506114</v>
          </cell>
        </row>
        <row r="3715">
          <cell r="A3715" t="str">
            <v>紫固甲15级</v>
          </cell>
          <cell r="B3715">
            <v>506115</v>
          </cell>
        </row>
        <row r="3716">
          <cell r="A3716" t="str">
            <v>紫固甲16级</v>
          </cell>
          <cell r="B3716">
            <v>506116</v>
          </cell>
        </row>
        <row r="3717">
          <cell r="A3717" t="str">
            <v>紫固甲17级</v>
          </cell>
          <cell r="B3717">
            <v>506117</v>
          </cell>
        </row>
        <row r="3718">
          <cell r="A3718" t="str">
            <v>紫固甲18级</v>
          </cell>
          <cell r="B3718">
            <v>506118</v>
          </cell>
        </row>
        <row r="3719">
          <cell r="A3719" t="str">
            <v>紫固甲19级</v>
          </cell>
          <cell r="B3719">
            <v>506119</v>
          </cell>
        </row>
        <row r="3720">
          <cell r="A3720" t="str">
            <v>紫固甲20级</v>
          </cell>
          <cell r="B3720">
            <v>506120</v>
          </cell>
        </row>
        <row r="3721">
          <cell r="A3721" t="str">
            <v>紫固甲21级</v>
          </cell>
          <cell r="B3721">
            <v>506121</v>
          </cell>
        </row>
        <row r="3722">
          <cell r="A3722" t="str">
            <v>紫固甲22级</v>
          </cell>
          <cell r="B3722">
            <v>506122</v>
          </cell>
        </row>
        <row r="3723">
          <cell r="A3723" t="str">
            <v>紫固甲23级</v>
          </cell>
          <cell r="B3723">
            <v>506123</v>
          </cell>
        </row>
        <row r="3724">
          <cell r="A3724" t="str">
            <v>紫固甲24级</v>
          </cell>
          <cell r="B3724">
            <v>506124</v>
          </cell>
        </row>
        <row r="3725">
          <cell r="A3725" t="str">
            <v>紫固甲25级</v>
          </cell>
          <cell r="B3725">
            <v>506125</v>
          </cell>
        </row>
        <row r="3726">
          <cell r="A3726" t="str">
            <v>紫固甲26级</v>
          </cell>
          <cell r="B3726">
            <v>506126</v>
          </cell>
        </row>
        <row r="3727">
          <cell r="A3727" t="str">
            <v>紫固甲27级</v>
          </cell>
          <cell r="B3727">
            <v>506127</v>
          </cell>
        </row>
        <row r="3728">
          <cell r="A3728" t="str">
            <v>紫固甲28级</v>
          </cell>
          <cell r="B3728">
            <v>506128</v>
          </cell>
        </row>
        <row r="3729">
          <cell r="A3729" t="str">
            <v>紫固甲29级</v>
          </cell>
          <cell r="B3729">
            <v>506129</v>
          </cell>
        </row>
        <row r="3730">
          <cell r="A3730" t="str">
            <v>紫固甲30级</v>
          </cell>
          <cell r="B3730">
            <v>506130</v>
          </cell>
        </row>
        <row r="3731">
          <cell r="A3731" t="str">
            <v>紫固甲31级</v>
          </cell>
          <cell r="B3731">
            <v>506131</v>
          </cell>
        </row>
        <row r="3732">
          <cell r="A3732" t="str">
            <v>紫固甲32级</v>
          </cell>
          <cell r="B3732">
            <v>506132</v>
          </cell>
        </row>
        <row r="3733">
          <cell r="A3733" t="str">
            <v>紫固甲33级</v>
          </cell>
          <cell r="B3733">
            <v>506133</v>
          </cell>
        </row>
        <row r="3734">
          <cell r="A3734" t="str">
            <v>紫固甲34级</v>
          </cell>
          <cell r="B3734">
            <v>506134</v>
          </cell>
        </row>
        <row r="3735">
          <cell r="A3735" t="str">
            <v>紫固甲35级</v>
          </cell>
          <cell r="B3735">
            <v>506135</v>
          </cell>
        </row>
        <row r="3736">
          <cell r="A3736" t="str">
            <v>紫固甲36级</v>
          </cell>
          <cell r="B3736">
            <v>506136</v>
          </cell>
        </row>
        <row r="3737">
          <cell r="A3737" t="str">
            <v>紫固甲37级</v>
          </cell>
          <cell r="B3737">
            <v>506137</v>
          </cell>
        </row>
        <row r="3738">
          <cell r="A3738" t="str">
            <v>紫固甲38级</v>
          </cell>
          <cell r="B3738">
            <v>506138</v>
          </cell>
        </row>
        <row r="3739">
          <cell r="A3739" t="str">
            <v>紫固甲39级</v>
          </cell>
          <cell r="B3739">
            <v>506139</v>
          </cell>
        </row>
        <row r="3740">
          <cell r="A3740" t="str">
            <v>紫固甲40级</v>
          </cell>
          <cell r="B3740">
            <v>506140</v>
          </cell>
        </row>
        <row r="3741">
          <cell r="A3741" t="str">
            <v>紫灵链1级</v>
          </cell>
          <cell r="B3741">
            <v>507101</v>
          </cell>
        </row>
        <row r="3742">
          <cell r="A3742" t="str">
            <v>紫灵链2级</v>
          </cell>
          <cell r="B3742">
            <v>507102</v>
          </cell>
        </row>
        <row r="3743">
          <cell r="A3743" t="str">
            <v>紫灵链3级</v>
          </cell>
          <cell r="B3743">
            <v>507103</v>
          </cell>
        </row>
        <row r="3744">
          <cell r="A3744" t="str">
            <v>紫灵链4级</v>
          </cell>
          <cell r="B3744">
            <v>507104</v>
          </cell>
        </row>
        <row r="3745">
          <cell r="A3745" t="str">
            <v>紫灵链5级</v>
          </cell>
          <cell r="B3745">
            <v>507105</v>
          </cell>
        </row>
        <row r="3746">
          <cell r="A3746" t="str">
            <v>紫灵链6级</v>
          </cell>
          <cell r="B3746">
            <v>507106</v>
          </cell>
        </row>
        <row r="3747">
          <cell r="A3747" t="str">
            <v>紫灵链7级</v>
          </cell>
          <cell r="B3747">
            <v>507107</v>
          </cell>
        </row>
        <row r="3748">
          <cell r="A3748" t="str">
            <v>紫灵链8级</v>
          </cell>
          <cell r="B3748">
            <v>507108</v>
          </cell>
        </row>
        <row r="3749">
          <cell r="A3749" t="str">
            <v>紫灵链9级</v>
          </cell>
          <cell r="B3749">
            <v>507109</v>
          </cell>
        </row>
        <row r="3750">
          <cell r="A3750" t="str">
            <v>紫灵链10级</v>
          </cell>
          <cell r="B3750">
            <v>507110</v>
          </cell>
        </row>
        <row r="3751">
          <cell r="A3751" t="str">
            <v>紫灵链11级</v>
          </cell>
          <cell r="B3751">
            <v>507111</v>
          </cell>
        </row>
        <row r="3752">
          <cell r="A3752" t="str">
            <v>紫灵链12级</v>
          </cell>
          <cell r="B3752">
            <v>507112</v>
          </cell>
        </row>
        <row r="3753">
          <cell r="A3753" t="str">
            <v>紫灵链13级</v>
          </cell>
          <cell r="B3753">
            <v>507113</v>
          </cell>
        </row>
        <row r="3754">
          <cell r="A3754" t="str">
            <v>紫灵链14级</v>
          </cell>
          <cell r="B3754">
            <v>507114</v>
          </cell>
        </row>
        <row r="3755">
          <cell r="A3755" t="str">
            <v>紫灵链15级</v>
          </cell>
          <cell r="B3755">
            <v>507115</v>
          </cell>
        </row>
        <row r="3756">
          <cell r="A3756" t="str">
            <v>紫灵链16级</v>
          </cell>
          <cell r="B3756">
            <v>507116</v>
          </cell>
        </row>
        <row r="3757">
          <cell r="A3757" t="str">
            <v>紫灵链17级</v>
          </cell>
          <cell r="B3757">
            <v>507117</v>
          </cell>
        </row>
        <row r="3758">
          <cell r="A3758" t="str">
            <v>紫灵链18级</v>
          </cell>
          <cell r="B3758">
            <v>507118</v>
          </cell>
        </row>
        <row r="3759">
          <cell r="A3759" t="str">
            <v>紫灵链19级</v>
          </cell>
          <cell r="B3759">
            <v>507119</v>
          </cell>
        </row>
        <row r="3760">
          <cell r="A3760" t="str">
            <v>紫灵链20级</v>
          </cell>
          <cell r="B3760">
            <v>507120</v>
          </cell>
        </row>
        <row r="3761">
          <cell r="A3761" t="str">
            <v>紫灵链21级</v>
          </cell>
          <cell r="B3761">
            <v>507121</v>
          </cell>
        </row>
        <row r="3762">
          <cell r="A3762" t="str">
            <v>紫灵链22级</v>
          </cell>
          <cell r="B3762">
            <v>507122</v>
          </cell>
        </row>
        <row r="3763">
          <cell r="A3763" t="str">
            <v>紫灵链23级</v>
          </cell>
          <cell r="B3763">
            <v>507123</v>
          </cell>
        </row>
        <row r="3764">
          <cell r="A3764" t="str">
            <v>紫灵链24级</v>
          </cell>
          <cell r="B3764">
            <v>507124</v>
          </cell>
        </row>
        <row r="3765">
          <cell r="A3765" t="str">
            <v>紫灵链25级</v>
          </cell>
          <cell r="B3765">
            <v>507125</v>
          </cell>
        </row>
        <row r="3766">
          <cell r="A3766" t="str">
            <v>紫灵链26级</v>
          </cell>
          <cell r="B3766">
            <v>507126</v>
          </cell>
        </row>
        <row r="3767">
          <cell r="A3767" t="str">
            <v>紫灵链27级</v>
          </cell>
          <cell r="B3767">
            <v>507127</v>
          </cell>
        </row>
        <row r="3768">
          <cell r="A3768" t="str">
            <v>紫灵链28级</v>
          </cell>
          <cell r="B3768">
            <v>507128</v>
          </cell>
        </row>
        <row r="3769">
          <cell r="A3769" t="str">
            <v>紫灵链29级</v>
          </cell>
          <cell r="B3769">
            <v>507129</v>
          </cell>
        </row>
        <row r="3770">
          <cell r="A3770" t="str">
            <v>紫灵链30级</v>
          </cell>
          <cell r="B3770">
            <v>507130</v>
          </cell>
        </row>
        <row r="3771">
          <cell r="A3771" t="str">
            <v>紫灵链31级</v>
          </cell>
          <cell r="B3771">
            <v>507131</v>
          </cell>
        </row>
        <row r="3772">
          <cell r="A3772" t="str">
            <v>紫灵链32级</v>
          </cell>
          <cell r="B3772">
            <v>507132</v>
          </cell>
        </row>
        <row r="3773">
          <cell r="A3773" t="str">
            <v>紫灵链33级</v>
          </cell>
          <cell r="B3773">
            <v>507133</v>
          </cell>
        </row>
        <row r="3774">
          <cell r="A3774" t="str">
            <v>紫灵链34级</v>
          </cell>
          <cell r="B3774">
            <v>507134</v>
          </cell>
        </row>
        <row r="3775">
          <cell r="A3775" t="str">
            <v>紫灵链35级</v>
          </cell>
          <cell r="B3775">
            <v>507135</v>
          </cell>
        </row>
        <row r="3776">
          <cell r="A3776" t="str">
            <v>紫灵链36级</v>
          </cell>
          <cell r="B3776">
            <v>507136</v>
          </cell>
        </row>
        <row r="3777">
          <cell r="A3777" t="str">
            <v>紫灵链37级</v>
          </cell>
          <cell r="B3777">
            <v>507137</v>
          </cell>
        </row>
        <row r="3778">
          <cell r="A3778" t="str">
            <v>紫灵链38级</v>
          </cell>
          <cell r="B3778">
            <v>507138</v>
          </cell>
        </row>
        <row r="3779">
          <cell r="A3779" t="str">
            <v>紫灵链39级</v>
          </cell>
          <cell r="B3779">
            <v>507139</v>
          </cell>
        </row>
        <row r="3780">
          <cell r="A3780" t="str">
            <v>紫灵链40级</v>
          </cell>
          <cell r="B3780">
            <v>507140</v>
          </cell>
        </row>
        <row r="3781">
          <cell r="A3781" t="str">
            <v>紫地镯1级</v>
          </cell>
          <cell r="B3781">
            <v>508101</v>
          </cell>
        </row>
        <row r="3782">
          <cell r="A3782" t="str">
            <v>紫地镯2级</v>
          </cell>
          <cell r="B3782">
            <v>508102</v>
          </cell>
        </row>
        <row r="3783">
          <cell r="A3783" t="str">
            <v>紫地镯3级</v>
          </cell>
          <cell r="B3783">
            <v>508103</v>
          </cell>
        </row>
        <row r="3784">
          <cell r="A3784" t="str">
            <v>紫地镯4级</v>
          </cell>
          <cell r="B3784">
            <v>508104</v>
          </cell>
        </row>
        <row r="3785">
          <cell r="A3785" t="str">
            <v>紫地镯5级</v>
          </cell>
          <cell r="B3785">
            <v>508105</v>
          </cell>
        </row>
        <row r="3786">
          <cell r="A3786" t="str">
            <v>紫地镯6级</v>
          </cell>
          <cell r="B3786">
            <v>508106</v>
          </cell>
        </row>
        <row r="3787">
          <cell r="A3787" t="str">
            <v>紫地镯7级</v>
          </cell>
          <cell r="B3787">
            <v>508107</v>
          </cell>
        </row>
        <row r="3788">
          <cell r="A3788" t="str">
            <v>紫地镯8级</v>
          </cell>
          <cell r="B3788">
            <v>508108</v>
          </cell>
        </row>
        <row r="3789">
          <cell r="A3789" t="str">
            <v>紫地镯9级</v>
          </cell>
          <cell r="B3789">
            <v>508109</v>
          </cell>
        </row>
        <row r="3790">
          <cell r="A3790" t="str">
            <v>紫地镯10级</v>
          </cell>
          <cell r="B3790">
            <v>508110</v>
          </cell>
        </row>
        <row r="3791">
          <cell r="A3791" t="str">
            <v>紫地镯11级</v>
          </cell>
          <cell r="B3791">
            <v>508111</v>
          </cell>
        </row>
        <row r="3792">
          <cell r="A3792" t="str">
            <v>紫地镯12级</v>
          </cell>
          <cell r="B3792">
            <v>508112</v>
          </cell>
        </row>
        <row r="3793">
          <cell r="A3793" t="str">
            <v>紫地镯13级</v>
          </cell>
          <cell r="B3793">
            <v>508113</v>
          </cell>
        </row>
        <row r="3794">
          <cell r="A3794" t="str">
            <v>紫地镯14级</v>
          </cell>
          <cell r="B3794">
            <v>508114</v>
          </cell>
        </row>
        <row r="3795">
          <cell r="A3795" t="str">
            <v>紫地镯15级</v>
          </cell>
          <cell r="B3795">
            <v>508115</v>
          </cell>
        </row>
        <row r="3796">
          <cell r="A3796" t="str">
            <v>紫地镯16级</v>
          </cell>
          <cell r="B3796">
            <v>508116</v>
          </cell>
        </row>
        <row r="3797">
          <cell r="A3797" t="str">
            <v>紫地镯17级</v>
          </cell>
          <cell r="B3797">
            <v>508117</v>
          </cell>
        </row>
        <row r="3798">
          <cell r="A3798" t="str">
            <v>紫地镯18级</v>
          </cell>
          <cell r="B3798">
            <v>508118</v>
          </cell>
        </row>
        <row r="3799">
          <cell r="A3799" t="str">
            <v>紫地镯19级</v>
          </cell>
          <cell r="B3799">
            <v>508119</v>
          </cell>
        </row>
        <row r="3800">
          <cell r="A3800" t="str">
            <v>紫地镯20级</v>
          </cell>
          <cell r="B3800">
            <v>508120</v>
          </cell>
        </row>
        <row r="3801">
          <cell r="A3801" t="str">
            <v>紫地镯21级</v>
          </cell>
          <cell r="B3801">
            <v>508121</v>
          </cell>
        </row>
        <row r="3802">
          <cell r="A3802" t="str">
            <v>紫地镯22级</v>
          </cell>
          <cell r="B3802">
            <v>508122</v>
          </cell>
        </row>
        <row r="3803">
          <cell r="A3803" t="str">
            <v>紫地镯23级</v>
          </cell>
          <cell r="B3803">
            <v>508123</v>
          </cell>
        </row>
        <row r="3804">
          <cell r="A3804" t="str">
            <v>紫地镯24级</v>
          </cell>
          <cell r="B3804">
            <v>508124</v>
          </cell>
        </row>
        <row r="3805">
          <cell r="A3805" t="str">
            <v>紫地镯25级</v>
          </cell>
          <cell r="B3805">
            <v>508125</v>
          </cell>
        </row>
        <row r="3806">
          <cell r="A3806" t="str">
            <v>紫地镯26级</v>
          </cell>
          <cell r="B3806">
            <v>508126</v>
          </cell>
        </row>
        <row r="3807">
          <cell r="A3807" t="str">
            <v>紫地镯27级</v>
          </cell>
          <cell r="B3807">
            <v>508127</v>
          </cell>
        </row>
        <row r="3808">
          <cell r="A3808" t="str">
            <v>紫地镯28级</v>
          </cell>
          <cell r="B3808">
            <v>508128</v>
          </cell>
        </row>
        <row r="3809">
          <cell r="A3809" t="str">
            <v>紫地镯29级</v>
          </cell>
          <cell r="B3809">
            <v>508129</v>
          </cell>
        </row>
        <row r="3810">
          <cell r="A3810" t="str">
            <v>紫地镯30级</v>
          </cell>
          <cell r="B3810">
            <v>508130</v>
          </cell>
        </row>
        <row r="3811">
          <cell r="A3811" t="str">
            <v>紫地镯31级</v>
          </cell>
          <cell r="B3811">
            <v>508131</v>
          </cell>
        </row>
        <row r="3812">
          <cell r="A3812" t="str">
            <v>紫地镯32级</v>
          </cell>
          <cell r="B3812">
            <v>508132</v>
          </cell>
        </row>
        <row r="3813">
          <cell r="A3813" t="str">
            <v>紫地镯33级</v>
          </cell>
          <cell r="B3813">
            <v>508133</v>
          </cell>
        </row>
        <row r="3814">
          <cell r="A3814" t="str">
            <v>紫地镯34级</v>
          </cell>
          <cell r="B3814">
            <v>508134</v>
          </cell>
        </row>
        <row r="3815">
          <cell r="A3815" t="str">
            <v>紫地镯35级</v>
          </cell>
          <cell r="B3815">
            <v>508135</v>
          </cell>
        </row>
        <row r="3816">
          <cell r="A3816" t="str">
            <v>紫地镯36级</v>
          </cell>
          <cell r="B3816">
            <v>508136</v>
          </cell>
        </row>
        <row r="3817">
          <cell r="A3817" t="str">
            <v>紫地镯37级</v>
          </cell>
          <cell r="B3817">
            <v>508137</v>
          </cell>
        </row>
        <row r="3818">
          <cell r="A3818" t="str">
            <v>紫地镯38级</v>
          </cell>
          <cell r="B3818">
            <v>508138</v>
          </cell>
        </row>
        <row r="3819">
          <cell r="A3819" t="str">
            <v>紫地镯39级</v>
          </cell>
          <cell r="B3819">
            <v>508139</v>
          </cell>
        </row>
        <row r="3820">
          <cell r="A3820" t="str">
            <v>紫地镯40级</v>
          </cell>
          <cell r="B3820">
            <v>508140</v>
          </cell>
        </row>
        <row r="3821">
          <cell r="A3821" t="str">
            <v>紫乾戒1级</v>
          </cell>
          <cell r="B3821">
            <v>509101</v>
          </cell>
        </row>
        <row r="3822">
          <cell r="A3822" t="str">
            <v>紫乾戒2级</v>
          </cell>
          <cell r="B3822">
            <v>509102</v>
          </cell>
        </row>
        <row r="3823">
          <cell r="A3823" t="str">
            <v>紫乾戒3级</v>
          </cell>
          <cell r="B3823">
            <v>509103</v>
          </cell>
        </row>
        <row r="3824">
          <cell r="A3824" t="str">
            <v>紫乾戒4级</v>
          </cell>
          <cell r="B3824">
            <v>509104</v>
          </cell>
        </row>
        <row r="3825">
          <cell r="A3825" t="str">
            <v>紫乾戒5级</v>
          </cell>
          <cell r="B3825">
            <v>509105</v>
          </cell>
        </row>
        <row r="3826">
          <cell r="A3826" t="str">
            <v>紫乾戒6级</v>
          </cell>
          <cell r="B3826">
            <v>509106</v>
          </cell>
        </row>
        <row r="3827">
          <cell r="A3827" t="str">
            <v>紫乾戒7级</v>
          </cell>
          <cell r="B3827">
            <v>509107</v>
          </cell>
        </row>
        <row r="3828">
          <cell r="A3828" t="str">
            <v>紫乾戒8级</v>
          </cell>
          <cell r="B3828">
            <v>509108</v>
          </cell>
        </row>
        <row r="3829">
          <cell r="A3829" t="str">
            <v>紫乾戒9级</v>
          </cell>
          <cell r="B3829">
            <v>509109</v>
          </cell>
        </row>
        <row r="3830">
          <cell r="A3830" t="str">
            <v>紫乾戒10级</v>
          </cell>
          <cell r="B3830">
            <v>509110</v>
          </cell>
        </row>
        <row r="3831">
          <cell r="A3831" t="str">
            <v>紫乾戒11级</v>
          </cell>
          <cell r="B3831">
            <v>509111</v>
          </cell>
        </row>
        <row r="3832">
          <cell r="A3832" t="str">
            <v>紫乾戒12级</v>
          </cell>
          <cell r="B3832">
            <v>509112</v>
          </cell>
        </row>
        <row r="3833">
          <cell r="A3833" t="str">
            <v>紫乾戒13级</v>
          </cell>
          <cell r="B3833">
            <v>509113</v>
          </cell>
        </row>
        <row r="3834">
          <cell r="A3834" t="str">
            <v>紫乾戒14级</v>
          </cell>
          <cell r="B3834">
            <v>509114</v>
          </cell>
        </row>
        <row r="3835">
          <cell r="A3835" t="str">
            <v>紫乾戒15级</v>
          </cell>
          <cell r="B3835">
            <v>509115</v>
          </cell>
        </row>
        <row r="3836">
          <cell r="A3836" t="str">
            <v>紫乾戒16级</v>
          </cell>
          <cell r="B3836">
            <v>509116</v>
          </cell>
        </row>
        <row r="3837">
          <cell r="A3837" t="str">
            <v>紫乾戒17级</v>
          </cell>
          <cell r="B3837">
            <v>509117</v>
          </cell>
        </row>
        <row r="3838">
          <cell r="A3838" t="str">
            <v>紫乾戒18级</v>
          </cell>
          <cell r="B3838">
            <v>509118</v>
          </cell>
        </row>
        <row r="3839">
          <cell r="A3839" t="str">
            <v>紫乾戒19级</v>
          </cell>
          <cell r="B3839">
            <v>509119</v>
          </cell>
        </row>
        <row r="3840">
          <cell r="A3840" t="str">
            <v>紫乾戒20级</v>
          </cell>
          <cell r="B3840">
            <v>509120</v>
          </cell>
        </row>
        <row r="3841">
          <cell r="A3841" t="str">
            <v>紫乾戒21级</v>
          </cell>
          <cell r="B3841">
            <v>509121</v>
          </cell>
        </row>
        <row r="3842">
          <cell r="A3842" t="str">
            <v>紫乾戒22级</v>
          </cell>
          <cell r="B3842">
            <v>509122</v>
          </cell>
        </row>
        <row r="3843">
          <cell r="A3843" t="str">
            <v>紫乾戒23级</v>
          </cell>
          <cell r="B3843">
            <v>509123</v>
          </cell>
        </row>
        <row r="3844">
          <cell r="A3844" t="str">
            <v>紫乾戒24级</v>
          </cell>
          <cell r="B3844">
            <v>509124</v>
          </cell>
        </row>
        <row r="3845">
          <cell r="A3845" t="str">
            <v>紫乾戒25级</v>
          </cell>
          <cell r="B3845">
            <v>509125</v>
          </cell>
        </row>
        <row r="3846">
          <cell r="A3846" t="str">
            <v>紫乾戒26级</v>
          </cell>
          <cell r="B3846">
            <v>509126</v>
          </cell>
        </row>
        <row r="3847">
          <cell r="A3847" t="str">
            <v>紫乾戒27级</v>
          </cell>
          <cell r="B3847">
            <v>509127</v>
          </cell>
        </row>
        <row r="3848">
          <cell r="A3848" t="str">
            <v>紫乾戒28级</v>
          </cell>
          <cell r="B3848">
            <v>509128</v>
          </cell>
        </row>
        <row r="3849">
          <cell r="A3849" t="str">
            <v>紫乾戒29级</v>
          </cell>
          <cell r="B3849">
            <v>509129</v>
          </cell>
        </row>
        <row r="3850">
          <cell r="A3850" t="str">
            <v>紫乾戒30级</v>
          </cell>
          <cell r="B3850">
            <v>509130</v>
          </cell>
        </row>
        <row r="3851">
          <cell r="A3851" t="str">
            <v>紫乾戒31级</v>
          </cell>
          <cell r="B3851">
            <v>509131</v>
          </cell>
        </row>
        <row r="3852">
          <cell r="A3852" t="str">
            <v>紫乾戒32级</v>
          </cell>
          <cell r="B3852">
            <v>509132</v>
          </cell>
        </row>
        <row r="3853">
          <cell r="A3853" t="str">
            <v>紫乾戒33级</v>
          </cell>
          <cell r="B3853">
            <v>509133</v>
          </cell>
        </row>
        <row r="3854">
          <cell r="A3854" t="str">
            <v>紫乾戒34级</v>
          </cell>
          <cell r="B3854">
            <v>509134</v>
          </cell>
        </row>
        <row r="3855">
          <cell r="A3855" t="str">
            <v>紫乾戒35级</v>
          </cell>
          <cell r="B3855">
            <v>509135</v>
          </cell>
        </row>
        <row r="3856">
          <cell r="A3856" t="str">
            <v>紫乾戒36级</v>
          </cell>
          <cell r="B3856">
            <v>509136</v>
          </cell>
        </row>
        <row r="3857">
          <cell r="A3857" t="str">
            <v>紫乾戒37级</v>
          </cell>
          <cell r="B3857">
            <v>509137</v>
          </cell>
        </row>
        <row r="3858">
          <cell r="A3858" t="str">
            <v>紫乾戒38级</v>
          </cell>
          <cell r="B3858">
            <v>509138</v>
          </cell>
        </row>
        <row r="3859">
          <cell r="A3859" t="str">
            <v>紫乾戒39级</v>
          </cell>
          <cell r="B3859">
            <v>509139</v>
          </cell>
        </row>
        <row r="3860">
          <cell r="A3860" t="str">
            <v>紫乾戒40级</v>
          </cell>
          <cell r="B3860">
            <v>509140</v>
          </cell>
        </row>
        <row r="3861">
          <cell r="A3861" t="str">
            <v>紫龙带1级</v>
          </cell>
          <cell r="B3861">
            <v>510101</v>
          </cell>
        </row>
        <row r="3862">
          <cell r="A3862" t="str">
            <v>紫龙带2级</v>
          </cell>
          <cell r="B3862">
            <v>510102</v>
          </cell>
        </row>
        <row r="3863">
          <cell r="A3863" t="str">
            <v>紫龙带3级</v>
          </cell>
          <cell r="B3863">
            <v>510103</v>
          </cell>
        </row>
        <row r="3864">
          <cell r="A3864" t="str">
            <v>紫龙带4级</v>
          </cell>
          <cell r="B3864">
            <v>510104</v>
          </cell>
        </row>
        <row r="3865">
          <cell r="A3865" t="str">
            <v>紫龙带5级</v>
          </cell>
          <cell r="B3865">
            <v>510105</v>
          </cell>
        </row>
        <row r="3866">
          <cell r="A3866" t="str">
            <v>紫龙带6级</v>
          </cell>
          <cell r="B3866">
            <v>510106</v>
          </cell>
        </row>
        <row r="3867">
          <cell r="A3867" t="str">
            <v>紫龙带7级</v>
          </cell>
          <cell r="B3867">
            <v>510107</v>
          </cell>
        </row>
        <row r="3868">
          <cell r="A3868" t="str">
            <v>紫龙带8级</v>
          </cell>
          <cell r="B3868">
            <v>510108</v>
          </cell>
        </row>
        <row r="3869">
          <cell r="A3869" t="str">
            <v>紫龙带9级</v>
          </cell>
          <cell r="B3869">
            <v>510109</v>
          </cell>
        </row>
        <row r="3870">
          <cell r="A3870" t="str">
            <v>紫龙带10级</v>
          </cell>
          <cell r="B3870">
            <v>510110</v>
          </cell>
        </row>
        <row r="3871">
          <cell r="A3871" t="str">
            <v>紫龙带11级</v>
          </cell>
          <cell r="B3871">
            <v>510111</v>
          </cell>
        </row>
        <row r="3872">
          <cell r="A3872" t="str">
            <v>紫龙带12级</v>
          </cell>
          <cell r="B3872">
            <v>510112</v>
          </cell>
        </row>
        <row r="3873">
          <cell r="A3873" t="str">
            <v>紫龙带13级</v>
          </cell>
          <cell r="B3873">
            <v>510113</v>
          </cell>
        </row>
        <row r="3874">
          <cell r="A3874" t="str">
            <v>紫龙带14级</v>
          </cell>
          <cell r="B3874">
            <v>510114</v>
          </cell>
        </row>
        <row r="3875">
          <cell r="A3875" t="str">
            <v>紫龙带15级</v>
          </cell>
          <cell r="B3875">
            <v>510115</v>
          </cell>
        </row>
        <row r="3876">
          <cell r="A3876" t="str">
            <v>紫龙带16级</v>
          </cell>
          <cell r="B3876">
            <v>510116</v>
          </cell>
        </row>
        <row r="3877">
          <cell r="A3877" t="str">
            <v>紫龙带17级</v>
          </cell>
          <cell r="B3877">
            <v>510117</v>
          </cell>
        </row>
        <row r="3878">
          <cell r="A3878" t="str">
            <v>紫龙带18级</v>
          </cell>
          <cell r="B3878">
            <v>510118</v>
          </cell>
        </row>
        <row r="3879">
          <cell r="A3879" t="str">
            <v>紫龙带19级</v>
          </cell>
          <cell r="B3879">
            <v>510119</v>
          </cell>
        </row>
        <row r="3880">
          <cell r="A3880" t="str">
            <v>紫龙带20级</v>
          </cell>
          <cell r="B3880">
            <v>510120</v>
          </cell>
        </row>
        <row r="3881">
          <cell r="A3881" t="str">
            <v>紫龙带21级</v>
          </cell>
          <cell r="B3881">
            <v>510121</v>
          </cell>
        </row>
        <row r="3882">
          <cell r="A3882" t="str">
            <v>紫龙带22级</v>
          </cell>
          <cell r="B3882">
            <v>510122</v>
          </cell>
        </row>
        <row r="3883">
          <cell r="A3883" t="str">
            <v>紫龙带23级</v>
          </cell>
          <cell r="B3883">
            <v>510123</v>
          </cell>
        </row>
        <row r="3884">
          <cell r="A3884" t="str">
            <v>紫龙带24级</v>
          </cell>
          <cell r="B3884">
            <v>510124</v>
          </cell>
        </row>
        <row r="3885">
          <cell r="A3885" t="str">
            <v>紫龙带25级</v>
          </cell>
          <cell r="B3885">
            <v>510125</v>
          </cell>
        </row>
        <row r="3886">
          <cell r="A3886" t="str">
            <v>紫龙带26级</v>
          </cell>
          <cell r="B3886">
            <v>510126</v>
          </cell>
        </row>
        <row r="3887">
          <cell r="A3887" t="str">
            <v>紫龙带27级</v>
          </cell>
          <cell r="B3887">
            <v>510127</v>
          </cell>
        </row>
        <row r="3888">
          <cell r="A3888" t="str">
            <v>紫龙带28级</v>
          </cell>
          <cell r="B3888">
            <v>510128</v>
          </cell>
        </row>
        <row r="3889">
          <cell r="A3889" t="str">
            <v>紫龙带29级</v>
          </cell>
          <cell r="B3889">
            <v>510129</v>
          </cell>
        </row>
        <row r="3890">
          <cell r="A3890" t="str">
            <v>紫龙带30级</v>
          </cell>
          <cell r="B3890">
            <v>510130</v>
          </cell>
        </row>
        <row r="3891">
          <cell r="A3891" t="str">
            <v>紫龙带31级</v>
          </cell>
          <cell r="B3891">
            <v>510131</v>
          </cell>
        </row>
        <row r="3892">
          <cell r="A3892" t="str">
            <v>紫龙带32级</v>
          </cell>
          <cell r="B3892">
            <v>510132</v>
          </cell>
        </row>
        <row r="3893">
          <cell r="A3893" t="str">
            <v>紫龙带33级</v>
          </cell>
          <cell r="B3893">
            <v>510133</v>
          </cell>
        </row>
        <row r="3894">
          <cell r="A3894" t="str">
            <v>紫龙带34级</v>
          </cell>
          <cell r="B3894">
            <v>510134</v>
          </cell>
        </row>
        <row r="3895">
          <cell r="A3895" t="str">
            <v>紫龙带35级</v>
          </cell>
          <cell r="B3895">
            <v>510135</v>
          </cell>
        </row>
        <row r="3896">
          <cell r="A3896" t="str">
            <v>紫龙带36级</v>
          </cell>
          <cell r="B3896">
            <v>510136</v>
          </cell>
        </row>
        <row r="3897">
          <cell r="A3897" t="str">
            <v>紫龙带37级</v>
          </cell>
          <cell r="B3897">
            <v>510137</v>
          </cell>
        </row>
        <row r="3898">
          <cell r="A3898" t="str">
            <v>紫龙带38级</v>
          </cell>
          <cell r="B3898">
            <v>510138</v>
          </cell>
        </row>
        <row r="3899">
          <cell r="A3899" t="str">
            <v>紫龙带39级</v>
          </cell>
          <cell r="B3899">
            <v>510139</v>
          </cell>
        </row>
        <row r="3900">
          <cell r="A3900" t="str">
            <v>紫龙带40级</v>
          </cell>
          <cell r="B3900">
            <v>510140</v>
          </cell>
        </row>
        <row r="3901">
          <cell r="A3901" t="str">
            <v>紫逐日1级</v>
          </cell>
          <cell r="B3901">
            <v>511101</v>
          </cell>
        </row>
        <row r="3902">
          <cell r="A3902" t="str">
            <v>紫逐日2级</v>
          </cell>
          <cell r="B3902">
            <v>511102</v>
          </cell>
        </row>
        <row r="3903">
          <cell r="A3903" t="str">
            <v>紫逐日3级</v>
          </cell>
          <cell r="B3903">
            <v>511103</v>
          </cell>
        </row>
        <row r="3904">
          <cell r="A3904" t="str">
            <v>紫逐日4级</v>
          </cell>
          <cell r="B3904">
            <v>511104</v>
          </cell>
        </row>
        <row r="3905">
          <cell r="A3905" t="str">
            <v>紫逐日5级</v>
          </cell>
          <cell r="B3905">
            <v>511105</v>
          </cell>
        </row>
        <row r="3906">
          <cell r="A3906" t="str">
            <v>紫逐日6级</v>
          </cell>
          <cell r="B3906">
            <v>511106</v>
          </cell>
        </row>
        <row r="3907">
          <cell r="A3907" t="str">
            <v>紫逐日7级</v>
          </cell>
          <cell r="B3907">
            <v>511107</v>
          </cell>
        </row>
        <row r="3908">
          <cell r="A3908" t="str">
            <v>紫逐日8级</v>
          </cell>
          <cell r="B3908">
            <v>511108</v>
          </cell>
        </row>
        <row r="3909">
          <cell r="A3909" t="str">
            <v>紫逐日9级</v>
          </cell>
          <cell r="B3909">
            <v>511109</v>
          </cell>
        </row>
        <row r="3910">
          <cell r="A3910" t="str">
            <v>紫逐日10级</v>
          </cell>
          <cell r="B3910">
            <v>511110</v>
          </cell>
        </row>
        <row r="3911">
          <cell r="A3911" t="str">
            <v>紫逐日11级</v>
          </cell>
          <cell r="B3911">
            <v>511111</v>
          </cell>
        </row>
        <row r="3912">
          <cell r="A3912" t="str">
            <v>紫逐日12级</v>
          </cell>
          <cell r="B3912">
            <v>511112</v>
          </cell>
        </row>
        <row r="3913">
          <cell r="A3913" t="str">
            <v>紫逐日13级</v>
          </cell>
          <cell r="B3913">
            <v>511113</v>
          </cell>
        </row>
        <row r="3914">
          <cell r="A3914" t="str">
            <v>紫逐日14级</v>
          </cell>
          <cell r="B3914">
            <v>511114</v>
          </cell>
        </row>
        <row r="3915">
          <cell r="A3915" t="str">
            <v>紫逐日15级</v>
          </cell>
          <cell r="B3915">
            <v>511115</v>
          </cell>
        </row>
        <row r="3916">
          <cell r="A3916" t="str">
            <v>紫逐日16级</v>
          </cell>
          <cell r="B3916">
            <v>511116</v>
          </cell>
        </row>
        <row r="3917">
          <cell r="A3917" t="str">
            <v>紫逐日17级</v>
          </cell>
          <cell r="B3917">
            <v>511117</v>
          </cell>
        </row>
        <row r="3918">
          <cell r="A3918" t="str">
            <v>紫逐日18级</v>
          </cell>
          <cell r="B3918">
            <v>511118</v>
          </cell>
        </row>
        <row r="3919">
          <cell r="A3919" t="str">
            <v>紫逐日19级</v>
          </cell>
          <cell r="B3919">
            <v>511119</v>
          </cell>
        </row>
        <row r="3920">
          <cell r="A3920" t="str">
            <v>紫逐日20级</v>
          </cell>
          <cell r="B3920">
            <v>511120</v>
          </cell>
        </row>
        <row r="3921">
          <cell r="A3921" t="str">
            <v>紫逐日21级</v>
          </cell>
          <cell r="B3921">
            <v>511121</v>
          </cell>
        </row>
        <row r="3922">
          <cell r="A3922" t="str">
            <v>紫逐日22级</v>
          </cell>
          <cell r="B3922">
            <v>511122</v>
          </cell>
        </row>
        <row r="3923">
          <cell r="A3923" t="str">
            <v>紫逐日23级</v>
          </cell>
          <cell r="B3923">
            <v>511123</v>
          </cell>
        </row>
        <row r="3924">
          <cell r="A3924" t="str">
            <v>紫逐日24级</v>
          </cell>
          <cell r="B3924">
            <v>511124</v>
          </cell>
        </row>
        <row r="3925">
          <cell r="A3925" t="str">
            <v>紫逐日25级</v>
          </cell>
          <cell r="B3925">
            <v>511125</v>
          </cell>
        </row>
        <row r="3926">
          <cell r="A3926" t="str">
            <v>紫逐日26级</v>
          </cell>
          <cell r="B3926">
            <v>511126</v>
          </cell>
        </row>
        <row r="3927">
          <cell r="A3927" t="str">
            <v>紫逐日27级</v>
          </cell>
          <cell r="B3927">
            <v>511127</v>
          </cell>
        </row>
        <row r="3928">
          <cell r="A3928" t="str">
            <v>紫逐日28级</v>
          </cell>
          <cell r="B3928">
            <v>511128</v>
          </cell>
        </row>
        <row r="3929">
          <cell r="A3929" t="str">
            <v>紫逐日29级</v>
          </cell>
          <cell r="B3929">
            <v>511129</v>
          </cell>
        </row>
        <row r="3930">
          <cell r="A3930" t="str">
            <v>紫逐日30级</v>
          </cell>
          <cell r="B3930">
            <v>511130</v>
          </cell>
        </row>
        <row r="3931">
          <cell r="A3931" t="str">
            <v>紫逐日31级</v>
          </cell>
          <cell r="B3931">
            <v>511131</v>
          </cell>
        </row>
        <row r="3932">
          <cell r="A3932" t="str">
            <v>紫逐日32级</v>
          </cell>
          <cell r="B3932">
            <v>511132</v>
          </cell>
        </row>
        <row r="3933">
          <cell r="A3933" t="str">
            <v>紫逐日33级</v>
          </cell>
          <cell r="B3933">
            <v>511133</v>
          </cell>
        </row>
        <row r="3934">
          <cell r="A3934" t="str">
            <v>紫逐日34级</v>
          </cell>
          <cell r="B3934">
            <v>511134</v>
          </cell>
        </row>
        <row r="3935">
          <cell r="A3935" t="str">
            <v>紫逐日35级</v>
          </cell>
          <cell r="B3935">
            <v>511135</v>
          </cell>
        </row>
        <row r="3936">
          <cell r="A3936" t="str">
            <v>紫逐日36级</v>
          </cell>
          <cell r="B3936">
            <v>511136</v>
          </cell>
        </row>
        <row r="3937">
          <cell r="A3937" t="str">
            <v>紫逐日37级</v>
          </cell>
          <cell r="B3937">
            <v>511137</v>
          </cell>
        </row>
        <row r="3938">
          <cell r="A3938" t="str">
            <v>紫逐日38级</v>
          </cell>
          <cell r="B3938">
            <v>511138</v>
          </cell>
        </row>
        <row r="3939">
          <cell r="A3939" t="str">
            <v>紫逐日39级</v>
          </cell>
          <cell r="B3939">
            <v>511139</v>
          </cell>
        </row>
        <row r="3940">
          <cell r="A3940" t="str">
            <v>紫逐日40级</v>
          </cell>
          <cell r="B3940">
            <v>511140</v>
          </cell>
        </row>
        <row r="3941">
          <cell r="A3941" t="str">
            <v>紫豁免1级</v>
          </cell>
          <cell r="B3941">
            <v>512101</v>
          </cell>
        </row>
        <row r="3942">
          <cell r="A3942" t="str">
            <v>紫豁免2级</v>
          </cell>
          <cell r="B3942">
            <v>512102</v>
          </cell>
        </row>
        <row r="3943">
          <cell r="A3943" t="str">
            <v>紫豁免3级</v>
          </cell>
          <cell r="B3943">
            <v>512103</v>
          </cell>
        </row>
        <row r="3944">
          <cell r="A3944" t="str">
            <v>紫豁免4级</v>
          </cell>
          <cell r="B3944">
            <v>512104</v>
          </cell>
        </row>
        <row r="3945">
          <cell r="A3945" t="str">
            <v>紫豁免5级</v>
          </cell>
          <cell r="B3945">
            <v>512105</v>
          </cell>
        </row>
        <row r="3946">
          <cell r="A3946" t="str">
            <v>紫豁免6级</v>
          </cell>
          <cell r="B3946">
            <v>512106</v>
          </cell>
        </row>
        <row r="3947">
          <cell r="A3947" t="str">
            <v>紫豁免7级</v>
          </cell>
          <cell r="B3947">
            <v>512107</v>
          </cell>
        </row>
        <row r="3948">
          <cell r="A3948" t="str">
            <v>紫豁免8级</v>
          </cell>
          <cell r="B3948">
            <v>512108</v>
          </cell>
        </row>
        <row r="3949">
          <cell r="A3949" t="str">
            <v>紫豁免9级</v>
          </cell>
          <cell r="B3949">
            <v>512109</v>
          </cell>
        </row>
        <row r="3950">
          <cell r="A3950" t="str">
            <v>紫豁免10级</v>
          </cell>
          <cell r="B3950">
            <v>512110</v>
          </cell>
        </row>
        <row r="3951">
          <cell r="A3951" t="str">
            <v>紫豁免11级</v>
          </cell>
          <cell r="B3951">
            <v>512111</v>
          </cell>
        </row>
        <row r="3952">
          <cell r="A3952" t="str">
            <v>紫豁免12级</v>
          </cell>
          <cell r="B3952">
            <v>512112</v>
          </cell>
        </row>
        <row r="3953">
          <cell r="A3953" t="str">
            <v>紫豁免13级</v>
          </cell>
          <cell r="B3953">
            <v>512113</v>
          </cell>
        </row>
        <row r="3954">
          <cell r="A3954" t="str">
            <v>紫豁免14级</v>
          </cell>
          <cell r="B3954">
            <v>512114</v>
          </cell>
        </row>
        <row r="3955">
          <cell r="A3955" t="str">
            <v>紫豁免15级</v>
          </cell>
          <cell r="B3955">
            <v>512115</v>
          </cell>
        </row>
        <row r="3956">
          <cell r="A3956" t="str">
            <v>紫豁免16级</v>
          </cell>
          <cell r="B3956">
            <v>512116</v>
          </cell>
        </row>
        <row r="3957">
          <cell r="A3957" t="str">
            <v>紫豁免17级</v>
          </cell>
          <cell r="B3957">
            <v>512117</v>
          </cell>
        </row>
        <row r="3958">
          <cell r="A3958" t="str">
            <v>紫豁免18级</v>
          </cell>
          <cell r="B3958">
            <v>512118</v>
          </cell>
        </row>
        <row r="3959">
          <cell r="A3959" t="str">
            <v>紫豁免19级</v>
          </cell>
          <cell r="B3959">
            <v>512119</v>
          </cell>
        </row>
        <row r="3960">
          <cell r="A3960" t="str">
            <v>紫豁免20级</v>
          </cell>
          <cell r="B3960">
            <v>512120</v>
          </cell>
        </row>
        <row r="3961">
          <cell r="A3961" t="str">
            <v>紫豁免21级</v>
          </cell>
          <cell r="B3961">
            <v>512121</v>
          </cell>
        </row>
        <row r="3962">
          <cell r="A3962" t="str">
            <v>紫豁免22级</v>
          </cell>
          <cell r="B3962">
            <v>512122</v>
          </cell>
        </row>
        <row r="3963">
          <cell r="A3963" t="str">
            <v>紫豁免23级</v>
          </cell>
          <cell r="B3963">
            <v>512123</v>
          </cell>
        </row>
        <row r="3964">
          <cell r="A3964" t="str">
            <v>紫豁免24级</v>
          </cell>
          <cell r="B3964">
            <v>512124</v>
          </cell>
        </row>
        <row r="3965">
          <cell r="A3965" t="str">
            <v>紫豁免25级</v>
          </cell>
          <cell r="B3965">
            <v>512125</v>
          </cell>
        </row>
        <row r="3966">
          <cell r="A3966" t="str">
            <v>紫豁免26级</v>
          </cell>
          <cell r="B3966">
            <v>512126</v>
          </cell>
        </row>
        <row r="3967">
          <cell r="A3967" t="str">
            <v>紫豁免27级</v>
          </cell>
          <cell r="B3967">
            <v>512127</v>
          </cell>
        </row>
        <row r="3968">
          <cell r="A3968" t="str">
            <v>紫豁免28级</v>
          </cell>
          <cell r="B3968">
            <v>512128</v>
          </cell>
        </row>
        <row r="3969">
          <cell r="A3969" t="str">
            <v>紫豁免29级</v>
          </cell>
          <cell r="B3969">
            <v>512129</v>
          </cell>
        </row>
        <row r="3970">
          <cell r="A3970" t="str">
            <v>紫豁免30级</v>
          </cell>
          <cell r="B3970">
            <v>512130</v>
          </cell>
        </row>
        <row r="3971">
          <cell r="A3971" t="str">
            <v>紫豁免31级</v>
          </cell>
          <cell r="B3971">
            <v>512131</v>
          </cell>
        </row>
        <row r="3972">
          <cell r="A3972" t="str">
            <v>紫豁免32级</v>
          </cell>
          <cell r="B3972">
            <v>512132</v>
          </cell>
        </row>
        <row r="3973">
          <cell r="A3973" t="str">
            <v>紫豁免33级</v>
          </cell>
          <cell r="B3973">
            <v>512133</v>
          </cell>
        </row>
        <row r="3974">
          <cell r="A3974" t="str">
            <v>紫豁免34级</v>
          </cell>
          <cell r="B3974">
            <v>512134</v>
          </cell>
        </row>
        <row r="3975">
          <cell r="A3975" t="str">
            <v>紫豁免35级</v>
          </cell>
          <cell r="B3975">
            <v>512135</v>
          </cell>
        </row>
        <row r="3976">
          <cell r="A3976" t="str">
            <v>紫豁免36级</v>
          </cell>
          <cell r="B3976">
            <v>512136</v>
          </cell>
        </row>
        <row r="3977">
          <cell r="A3977" t="str">
            <v>紫豁免37级</v>
          </cell>
          <cell r="B3977">
            <v>512137</v>
          </cell>
        </row>
        <row r="3978">
          <cell r="A3978" t="str">
            <v>紫豁免38级</v>
          </cell>
          <cell r="B3978">
            <v>512138</v>
          </cell>
        </row>
        <row r="3979">
          <cell r="A3979" t="str">
            <v>紫豁免39级</v>
          </cell>
          <cell r="B3979">
            <v>512139</v>
          </cell>
        </row>
        <row r="3980">
          <cell r="A3980" t="str">
            <v>紫豁免40级</v>
          </cell>
          <cell r="B3980">
            <v>512140</v>
          </cell>
        </row>
        <row r="3981">
          <cell r="A3981" t="str">
            <v>紫杀戮1级</v>
          </cell>
          <cell r="B3981">
            <v>513101</v>
          </cell>
        </row>
        <row r="3982">
          <cell r="A3982" t="str">
            <v>紫杀戮2级</v>
          </cell>
          <cell r="B3982">
            <v>513102</v>
          </cell>
        </row>
        <row r="3983">
          <cell r="A3983" t="str">
            <v>紫杀戮3级</v>
          </cell>
          <cell r="B3983">
            <v>513103</v>
          </cell>
        </row>
        <row r="3984">
          <cell r="A3984" t="str">
            <v>紫杀戮4级</v>
          </cell>
          <cell r="B3984">
            <v>513104</v>
          </cell>
        </row>
        <row r="3985">
          <cell r="A3985" t="str">
            <v>紫杀戮5级</v>
          </cell>
          <cell r="B3985">
            <v>513105</v>
          </cell>
        </row>
        <row r="3986">
          <cell r="A3986" t="str">
            <v>紫杀戮6级</v>
          </cell>
          <cell r="B3986">
            <v>513106</v>
          </cell>
        </row>
        <row r="3987">
          <cell r="A3987" t="str">
            <v>紫杀戮7级</v>
          </cell>
          <cell r="B3987">
            <v>513107</v>
          </cell>
        </row>
        <row r="3988">
          <cell r="A3988" t="str">
            <v>紫杀戮8级</v>
          </cell>
          <cell r="B3988">
            <v>513108</v>
          </cell>
        </row>
        <row r="3989">
          <cell r="A3989" t="str">
            <v>紫杀戮9级</v>
          </cell>
          <cell r="B3989">
            <v>513109</v>
          </cell>
        </row>
        <row r="3990">
          <cell r="A3990" t="str">
            <v>紫杀戮10级</v>
          </cell>
          <cell r="B3990">
            <v>513110</v>
          </cell>
        </row>
        <row r="3991">
          <cell r="A3991" t="str">
            <v>紫杀戮11级</v>
          </cell>
          <cell r="B3991">
            <v>513111</v>
          </cell>
        </row>
        <row r="3992">
          <cell r="A3992" t="str">
            <v>紫杀戮12级</v>
          </cell>
          <cell r="B3992">
            <v>513112</v>
          </cell>
        </row>
        <row r="3993">
          <cell r="A3993" t="str">
            <v>紫杀戮13级</v>
          </cell>
          <cell r="B3993">
            <v>513113</v>
          </cell>
        </row>
        <row r="3994">
          <cell r="A3994" t="str">
            <v>紫杀戮14级</v>
          </cell>
          <cell r="B3994">
            <v>513114</v>
          </cell>
        </row>
        <row r="3995">
          <cell r="A3995" t="str">
            <v>紫杀戮15级</v>
          </cell>
          <cell r="B3995">
            <v>513115</v>
          </cell>
        </row>
        <row r="3996">
          <cell r="A3996" t="str">
            <v>紫杀戮16级</v>
          </cell>
          <cell r="B3996">
            <v>513116</v>
          </cell>
        </row>
        <row r="3997">
          <cell r="A3997" t="str">
            <v>紫杀戮17级</v>
          </cell>
          <cell r="B3997">
            <v>513117</v>
          </cell>
        </row>
        <row r="3998">
          <cell r="A3998" t="str">
            <v>紫杀戮18级</v>
          </cell>
          <cell r="B3998">
            <v>513118</v>
          </cell>
        </row>
        <row r="3999">
          <cell r="A3999" t="str">
            <v>紫杀戮19级</v>
          </cell>
          <cell r="B3999">
            <v>513119</v>
          </cell>
        </row>
        <row r="4000">
          <cell r="A4000" t="str">
            <v>紫杀戮20级</v>
          </cell>
          <cell r="B4000">
            <v>513120</v>
          </cell>
        </row>
        <row r="4001">
          <cell r="A4001" t="str">
            <v>紫杀戮21级</v>
          </cell>
          <cell r="B4001">
            <v>513121</v>
          </cell>
        </row>
        <row r="4002">
          <cell r="A4002" t="str">
            <v>紫杀戮22级</v>
          </cell>
          <cell r="B4002">
            <v>513122</v>
          </cell>
        </row>
        <row r="4003">
          <cell r="A4003" t="str">
            <v>紫杀戮23级</v>
          </cell>
          <cell r="B4003">
            <v>513123</v>
          </cell>
        </row>
        <row r="4004">
          <cell r="A4004" t="str">
            <v>紫杀戮24级</v>
          </cell>
          <cell r="B4004">
            <v>513124</v>
          </cell>
        </row>
        <row r="4005">
          <cell r="A4005" t="str">
            <v>紫杀戮25级</v>
          </cell>
          <cell r="B4005">
            <v>513125</v>
          </cell>
        </row>
        <row r="4006">
          <cell r="A4006" t="str">
            <v>紫杀戮26级</v>
          </cell>
          <cell r="B4006">
            <v>513126</v>
          </cell>
        </row>
        <row r="4007">
          <cell r="A4007" t="str">
            <v>紫杀戮27级</v>
          </cell>
          <cell r="B4007">
            <v>513127</v>
          </cell>
        </row>
        <row r="4008">
          <cell r="A4008" t="str">
            <v>紫杀戮28级</v>
          </cell>
          <cell r="B4008">
            <v>513128</v>
          </cell>
        </row>
        <row r="4009">
          <cell r="A4009" t="str">
            <v>紫杀戮29级</v>
          </cell>
          <cell r="B4009">
            <v>513129</v>
          </cell>
        </row>
        <row r="4010">
          <cell r="A4010" t="str">
            <v>紫杀戮30级</v>
          </cell>
          <cell r="B4010">
            <v>513130</v>
          </cell>
        </row>
        <row r="4011">
          <cell r="A4011" t="str">
            <v>紫杀戮31级</v>
          </cell>
          <cell r="B4011">
            <v>513131</v>
          </cell>
        </row>
        <row r="4012">
          <cell r="A4012" t="str">
            <v>紫杀戮32级</v>
          </cell>
          <cell r="B4012">
            <v>513132</v>
          </cell>
        </row>
        <row r="4013">
          <cell r="A4013" t="str">
            <v>紫杀戮33级</v>
          </cell>
          <cell r="B4013">
            <v>513133</v>
          </cell>
        </row>
        <row r="4014">
          <cell r="A4014" t="str">
            <v>紫杀戮34级</v>
          </cell>
          <cell r="B4014">
            <v>513134</v>
          </cell>
        </row>
        <row r="4015">
          <cell r="A4015" t="str">
            <v>紫杀戮35级</v>
          </cell>
          <cell r="B4015">
            <v>513135</v>
          </cell>
        </row>
        <row r="4016">
          <cell r="A4016" t="str">
            <v>紫杀戮36级</v>
          </cell>
          <cell r="B4016">
            <v>513136</v>
          </cell>
        </row>
        <row r="4017">
          <cell r="A4017" t="str">
            <v>紫杀戮37级</v>
          </cell>
          <cell r="B4017">
            <v>513137</v>
          </cell>
        </row>
        <row r="4018">
          <cell r="A4018" t="str">
            <v>紫杀戮38级</v>
          </cell>
          <cell r="B4018">
            <v>513138</v>
          </cell>
        </row>
        <row r="4019">
          <cell r="A4019" t="str">
            <v>紫杀戮39级</v>
          </cell>
          <cell r="B4019">
            <v>513139</v>
          </cell>
        </row>
        <row r="4020">
          <cell r="A4020" t="str">
            <v>紫杀戮40级</v>
          </cell>
          <cell r="B4020">
            <v>513140</v>
          </cell>
        </row>
        <row r="4021">
          <cell r="A4021" t="str">
            <v>紫祝福1级</v>
          </cell>
          <cell r="B4021">
            <v>514101</v>
          </cell>
        </row>
        <row r="4022">
          <cell r="A4022" t="str">
            <v>紫祝福2级</v>
          </cell>
          <cell r="B4022">
            <v>514102</v>
          </cell>
        </row>
        <row r="4023">
          <cell r="A4023" t="str">
            <v>紫祝福3级</v>
          </cell>
          <cell r="B4023">
            <v>514103</v>
          </cell>
        </row>
        <row r="4024">
          <cell r="A4024" t="str">
            <v>紫祝福4级</v>
          </cell>
          <cell r="B4024">
            <v>514104</v>
          </cell>
        </row>
        <row r="4025">
          <cell r="A4025" t="str">
            <v>紫祝福5级</v>
          </cell>
          <cell r="B4025">
            <v>514105</v>
          </cell>
        </row>
        <row r="4026">
          <cell r="A4026" t="str">
            <v>紫祝福6级</v>
          </cell>
          <cell r="B4026">
            <v>514106</v>
          </cell>
        </row>
        <row r="4027">
          <cell r="A4027" t="str">
            <v>紫祝福7级</v>
          </cell>
          <cell r="B4027">
            <v>514107</v>
          </cell>
        </row>
        <row r="4028">
          <cell r="A4028" t="str">
            <v>紫祝福8级</v>
          </cell>
          <cell r="B4028">
            <v>514108</v>
          </cell>
        </row>
        <row r="4029">
          <cell r="A4029" t="str">
            <v>紫祝福9级</v>
          </cell>
          <cell r="B4029">
            <v>514109</v>
          </cell>
        </row>
        <row r="4030">
          <cell r="A4030" t="str">
            <v>紫祝福10级</v>
          </cell>
          <cell r="B4030">
            <v>514110</v>
          </cell>
        </row>
        <row r="4031">
          <cell r="A4031" t="str">
            <v>紫祝福11级</v>
          </cell>
          <cell r="B4031">
            <v>514111</v>
          </cell>
        </row>
        <row r="4032">
          <cell r="A4032" t="str">
            <v>紫祝福12级</v>
          </cell>
          <cell r="B4032">
            <v>514112</v>
          </cell>
        </row>
        <row r="4033">
          <cell r="A4033" t="str">
            <v>紫祝福13级</v>
          </cell>
          <cell r="B4033">
            <v>514113</v>
          </cell>
        </row>
        <row r="4034">
          <cell r="A4034" t="str">
            <v>紫祝福14级</v>
          </cell>
          <cell r="B4034">
            <v>514114</v>
          </cell>
        </row>
        <row r="4035">
          <cell r="A4035" t="str">
            <v>紫祝福15级</v>
          </cell>
          <cell r="B4035">
            <v>514115</v>
          </cell>
        </row>
        <row r="4036">
          <cell r="A4036" t="str">
            <v>紫祝福16级</v>
          </cell>
          <cell r="B4036">
            <v>514116</v>
          </cell>
        </row>
        <row r="4037">
          <cell r="A4037" t="str">
            <v>紫祝福17级</v>
          </cell>
          <cell r="B4037">
            <v>514117</v>
          </cell>
        </row>
        <row r="4038">
          <cell r="A4038" t="str">
            <v>紫祝福18级</v>
          </cell>
          <cell r="B4038">
            <v>514118</v>
          </cell>
        </row>
        <row r="4039">
          <cell r="A4039" t="str">
            <v>紫祝福19级</v>
          </cell>
          <cell r="B4039">
            <v>514119</v>
          </cell>
        </row>
        <row r="4040">
          <cell r="A4040" t="str">
            <v>紫祝福20级</v>
          </cell>
          <cell r="B4040">
            <v>514120</v>
          </cell>
        </row>
        <row r="4041">
          <cell r="A4041" t="str">
            <v>紫祝福21级</v>
          </cell>
          <cell r="B4041">
            <v>514121</v>
          </cell>
        </row>
        <row r="4042">
          <cell r="A4042" t="str">
            <v>紫祝福22级</v>
          </cell>
          <cell r="B4042">
            <v>514122</v>
          </cell>
        </row>
        <row r="4043">
          <cell r="A4043" t="str">
            <v>紫祝福23级</v>
          </cell>
          <cell r="B4043">
            <v>514123</v>
          </cell>
        </row>
        <row r="4044">
          <cell r="A4044" t="str">
            <v>紫祝福24级</v>
          </cell>
          <cell r="B4044">
            <v>514124</v>
          </cell>
        </row>
        <row r="4045">
          <cell r="A4045" t="str">
            <v>紫祝福25级</v>
          </cell>
          <cell r="B4045">
            <v>514125</v>
          </cell>
        </row>
        <row r="4046">
          <cell r="A4046" t="str">
            <v>紫祝福26级</v>
          </cell>
          <cell r="B4046">
            <v>514126</v>
          </cell>
        </row>
        <row r="4047">
          <cell r="A4047" t="str">
            <v>紫祝福27级</v>
          </cell>
          <cell r="B4047">
            <v>514127</v>
          </cell>
        </row>
        <row r="4048">
          <cell r="A4048" t="str">
            <v>紫祝福28级</v>
          </cell>
          <cell r="B4048">
            <v>514128</v>
          </cell>
        </row>
        <row r="4049">
          <cell r="A4049" t="str">
            <v>紫祝福29级</v>
          </cell>
          <cell r="B4049">
            <v>514129</v>
          </cell>
        </row>
        <row r="4050">
          <cell r="A4050" t="str">
            <v>紫祝福30级</v>
          </cell>
          <cell r="B4050">
            <v>514130</v>
          </cell>
        </row>
        <row r="4051">
          <cell r="A4051" t="str">
            <v>紫祝福31级</v>
          </cell>
          <cell r="B4051">
            <v>514131</v>
          </cell>
        </row>
        <row r="4052">
          <cell r="A4052" t="str">
            <v>紫祝福32级</v>
          </cell>
          <cell r="B4052">
            <v>514132</v>
          </cell>
        </row>
        <row r="4053">
          <cell r="A4053" t="str">
            <v>紫祝福33级</v>
          </cell>
          <cell r="B4053">
            <v>514133</v>
          </cell>
        </row>
        <row r="4054">
          <cell r="A4054" t="str">
            <v>紫祝福34级</v>
          </cell>
          <cell r="B4054">
            <v>514134</v>
          </cell>
        </row>
        <row r="4055">
          <cell r="A4055" t="str">
            <v>紫祝福35级</v>
          </cell>
          <cell r="B4055">
            <v>514135</v>
          </cell>
        </row>
        <row r="4056">
          <cell r="A4056" t="str">
            <v>紫祝福36级</v>
          </cell>
          <cell r="B4056">
            <v>514136</v>
          </cell>
        </row>
        <row r="4057">
          <cell r="A4057" t="str">
            <v>紫祝福37级</v>
          </cell>
          <cell r="B4057">
            <v>514137</v>
          </cell>
        </row>
        <row r="4058">
          <cell r="A4058" t="str">
            <v>紫祝福38级</v>
          </cell>
          <cell r="B4058">
            <v>514138</v>
          </cell>
        </row>
        <row r="4059">
          <cell r="A4059" t="str">
            <v>紫祝福39级</v>
          </cell>
          <cell r="B4059">
            <v>514139</v>
          </cell>
        </row>
        <row r="4060">
          <cell r="A4060" t="str">
            <v>紫祝福40级</v>
          </cell>
          <cell r="B4060">
            <v>514140</v>
          </cell>
        </row>
        <row r="4061">
          <cell r="A4061" t="str">
            <v>紫财神1级</v>
          </cell>
          <cell r="B4061">
            <v>515101</v>
          </cell>
        </row>
        <row r="4062">
          <cell r="A4062" t="str">
            <v>紫财神2级</v>
          </cell>
          <cell r="B4062">
            <v>515102</v>
          </cell>
        </row>
        <row r="4063">
          <cell r="A4063" t="str">
            <v>紫财神3级</v>
          </cell>
          <cell r="B4063">
            <v>515103</v>
          </cell>
        </row>
        <row r="4064">
          <cell r="A4064" t="str">
            <v>紫财神4级</v>
          </cell>
          <cell r="B4064">
            <v>515104</v>
          </cell>
        </row>
        <row r="4065">
          <cell r="A4065" t="str">
            <v>紫财神5级</v>
          </cell>
          <cell r="B4065">
            <v>515105</v>
          </cell>
        </row>
        <row r="4066">
          <cell r="A4066" t="str">
            <v>紫财神6级</v>
          </cell>
          <cell r="B4066">
            <v>515106</v>
          </cell>
        </row>
        <row r="4067">
          <cell r="A4067" t="str">
            <v>紫财神7级</v>
          </cell>
          <cell r="B4067">
            <v>515107</v>
          </cell>
        </row>
        <row r="4068">
          <cell r="A4068" t="str">
            <v>紫财神8级</v>
          </cell>
          <cell r="B4068">
            <v>515108</v>
          </cell>
        </row>
        <row r="4069">
          <cell r="A4069" t="str">
            <v>紫财神9级</v>
          </cell>
          <cell r="B4069">
            <v>515109</v>
          </cell>
        </row>
        <row r="4070">
          <cell r="A4070" t="str">
            <v>紫财神10级</v>
          </cell>
          <cell r="B4070">
            <v>515110</v>
          </cell>
        </row>
        <row r="4071">
          <cell r="A4071" t="str">
            <v>紫财神11级</v>
          </cell>
          <cell r="B4071">
            <v>515111</v>
          </cell>
        </row>
        <row r="4072">
          <cell r="A4072" t="str">
            <v>紫财神12级</v>
          </cell>
          <cell r="B4072">
            <v>515112</v>
          </cell>
        </row>
        <row r="4073">
          <cell r="A4073" t="str">
            <v>紫财神13级</v>
          </cell>
          <cell r="B4073">
            <v>515113</v>
          </cell>
        </row>
        <row r="4074">
          <cell r="A4074" t="str">
            <v>紫财神14级</v>
          </cell>
          <cell r="B4074">
            <v>515114</v>
          </cell>
        </row>
        <row r="4075">
          <cell r="A4075" t="str">
            <v>紫财神15级</v>
          </cell>
          <cell r="B4075">
            <v>515115</v>
          </cell>
        </row>
        <row r="4076">
          <cell r="A4076" t="str">
            <v>紫财神16级</v>
          </cell>
          <cell r="B4076">
            <v>515116</v>
          </cell>
        </row>
        <row r="4077">
          <cell r="A4077" t="str">
            <v>紫财神17级</v>
          </cell>
          <cell r="B4077">
            <v>515117</v>
          </cell>
        </row>
        <row r="4078">
          <cell r="A4078" t="str">
            <v>紫财神18级</v>
          </cell>
          <cell r="B4078">
            <v>515118</v>
          </cell>
        </row>
        <row r="4079">
          <cell r="A4079" t="str">
            <v>紫财神19级</v>
          </cell>
          <cell r="B4079">
            <v>515119</v>
          </cell>
        </row>
        <row r="4080">
          <cell r="A4080" t="str">
            <v>紫财神20级</v>
          </cell>
          <cell r="B4080">
            <v>515120</v>
          </cell>
        </row>
        <row r="4081">
          <cell r="A4081" t="str">
            <v>紫财神21级</v>
          </cell>
          <cell r="B4081">
            <v>515121</v>
          </cell>
        </row>
        <row r="4082">
          <cell r="A4082" t="str">
            <v>紫财神22级</v>
          </cell>
          <cell r="B4082">
            <v>515122</v>
          </cell>
        </row>
        <row r="4083">
          <cell r="A4083" t="str">
            <v>紫财神23级</v>
          </cell>
          <cell r="B4083">
            <v>515123</v>
          </cell>
        </row>
        <row r="4084">
          <cell r="A4084" t="str">
            <v>紫财神24级</v>
          </cell>
          <cell r="B4084">
            <v>515124</v>
          </cell>
        </row>
        <row r="4085">
          <cell r="A4085" t="str">
            <v>紫财神25级</v>
          </cell>
          <cell r="B4085">
            <v>515125</v>
          </cell>
        </row>
        <row r="4086">
          <cell r="A4086" t="str">
            <v>紫财神26级</v>
          </cell>
          <cell r="B4086">
            <v>515126</v>
          </cell>
        </row>
        <row r="4087">
          <cell r="A4087" t="str">
            <v>紫财神27级</v>
          </cell>
          <cell r="B4087">
            <v>515127</v>
          </cell>
        </row>
        <row r="4088">
          <cell r="A4088" t="str">
            <v>紫财神28级</v>
          </cell>
          <cell r="B4088">
            <v>515128</v>
          </cell>
        </row>
        <row r="4089">
          <cell r="A4089" t="str">
            <v>紫财神29级</v>
          </cell>
          <cell r="B4089">
            <v>515129</v>
          </cell>
        </row>
        <row r="4090">
          <cell r="A4090" t="str">
            <v>紫财神30级</v>
          </cell>
          <cell r="B4090">
            <v>515130</v>
          </cell>
        </row>
        <row r="4091">
          <cell r="A4091" t="str">
            <v>紫财神31级</v>
          </cell>
          <cell r="B4091">
            <v>515131</v>
          </cell>
        </row>
        <row r="4092">
          <cell r="A4092" t="str">
            <v>紫财神32级</v>
          </cell>
          <cell r="B4092">
            <v>515132</v>
          </cell>
        </row>
        <row r="4093">
          <cell r="A4093" t="str">
            <v>紫财神33级</v>
          </cell>
          <cell r="B4093">
            <v>515133</v>
          </cell>
        </row>
        <row r="4094">
          <cell r="A4094" t="str">
            <v>紫财神34级</v>
          </cell>
          <cell r="B4094">
            <v>515134</v>
          </cell>
        </row>
        <row r="4095">
          <cell r="A4095" t="str">
            <v>紫财神35级</v>
          </cell>
          <cell r="B4095">
            <v>515135</v>
          </cell>
        </row>
        <row r="4096">
          <cell r="A4096" t="str">
            <v>紫财神36级</v>
          </cell>
          <cell r="B4096">
            <v>515136</v>
          </cell>
        </row>
        <row r="4097">
          <cell r="A4097" t="str">
            <v>紫财神37级</v>
          </cell>
          <cell r="B4097">
            <v>515137</v>
          </cell>
        </row>
        <row r="4098">
          <cell r="A4098" t="str">
            <v>紫财神38级</v>
          </cell>
          <cell r="B4098">
            <v>515138</v>
          </cell>
        </row>
        <row r="4099">
          <cell r="A4099" t="str">
            <v>紫财神39级</v>
          </cell>
          <cell r="B4099">
            <v>515139</v>
          </cell>
        </row>
        <row r="4100">
          <cell r="A4100" t="str">
            <v>紫财神40级</v>
          </cell>
          <cell r="B4100">
            <v>515140</v>
          </cell>
        </row>
        <row r="4101">
          <cell r="A4101" t="str">
            <v>橙神力1级</v>
          </cell>
          <cell r="B4101">
            <v>501201</v>
          </cell>
        </row>
        <row r="4102">
          <cell r="A4102" t="str">
            <v>橙神力2级</v>
          </cell>
          <cell r="B4102">
            <v>501202</v>
          </cell>
        </row>
        <row r="4103">
          <cell r="A4103" t="str">
            <v>橙神力3级</v>
          </cell>
          <cell r="B4103">
            <v>501203</v>
          </cell>
        </row>
        <row r="4104">
          <cell r="A4104" t="str">
            <v>橙神力4级</v>
          </cell>
          <cell r="B4104">
            <v>501204</v>
          </cell>
        </row>
        <row r="4105">
          <cell r="A4105" t="str">
            <v>橙神力5级</v>
          </cell>
          <cell r="B4105">
            <v>501205</v>
          </cell>
        </row>
        <row r="4106">
          <cell r="A4106" t="str">
            <v>橙神力6级</v>
          </cell>
          <cell r="B4106">
            <v>501206</v>
          </cell>
        </row>
        <row r="4107">
          <cell r="A4107" t="str">
            <v>橙神力7级</v>
          </cell>
          <cell r="B4107">
            <v>501207</v>
          </cell>
        </row>
        <row r="4108">
          <cell r="A4108" t="str">
            <v>橙神力8级</v>
          </cell>
          <cell r="B4108">
            <v>501208</v>
          </cell>
        </row>
        <row r="4109">
          <cell r="A4109" t="str">
            <v>橙神力9级</v>
          </cell>
          <cell r="B4109">
            <v>501209</v>
          </cell>
        </row>
        <row r="4110">
          <cell r="A4110" t="str">
            <v>橙神力10级</v>
          </cell>
          <cell r="B4110">
            <v>501210</v>
          </cell>
        </row>
        <row r="4111">
          <cell r="A4111" t="str">
            <v>橙神力11级</v>
          </cell>
          <cell r="B4111">
            <v>501211</v>
          </cell>
        </row>
        <row r="4112">
          <cell r="A4112" t="str">
            <v>橙神力12级</v>
          </cell>
          <cell r="B4112">
            <v>501212</v>
          </cell>
        </row>
        <row r="4113">
          <cell r="A4113" t="str">
            <v>橙神力13级</v>
          </cell>
          <cell r="B4113">
            <v>501213</v>
          </cell>
        </row>
        <row r="4114">
          <cell r="A4114" t="str">
            <v>橙神力14级</v>
          </cell>
          <cell r="B4114">
            <v>501214</v>
          </cell>
        </row>
        <row r="4115">
          <cell r="A4115" t="str">
            <v>橙神力15级</v>
          </cell>
          <cell r="B4115">
            <v>501215</v>
          </cell>
        </row>
        <row r="4116">
          <cell r="A4116" t="str">
            <v>橙神力16级</v>
          </cell>
          <cell r="B4116">
            <v>501216</v>
          </cell>
        </row>
        <row r="4117">
          <cell r="A4117" t="str">
            <v>橙神力17级</v>
          </cell>
          <cell r="B4117">
            <v>501217</v>
          </cell>
        </row>
        <row r="4118">
          <cell r="A4118" t="str">
            <v>橙神力18级</v>
          </cell>
          <cell r="B4118">
            <v>501218</v>
          </cell>
        </row>
        <row r="4119">
          <cell r="A4119" t="str">
            <v>橙神力19级</v>
          </cell>
          <cell r="B4119">
            <v>501219</v>
          </cell>
        </row>
        <row r="4120">
          <cell r="A4120" t="str">
            <v>橙神力20级</v>
          </cell>
          <cell r="B4120">
            <v>501220</v>
          </cell>
        </row>
        <row r="4121">
          <cell r="A4121" t="str">
            <v>橙神力21级</v>
          </cell>
          <cell r="B4121">
            <v>501221</v>
          </cell>
        </row>
        <row r="4122">
          <cell r="A4122" t="str">
            <v>橙神力22级</v>
          </cell>
          <cell r="B4122">
            <v>501222</v>
          </cell>
        </row>
        <row r="4123">
          <cell r="A4123" t="str">
            <v>橙神力23级</v>
          </cell>
          <cell r="B4123">
            <v>501223</v>
          </cell>
        </row>
        <row r="4124">
          <cell r="A4124" t="str">
            <v>橙神力24级</v>
          </cell>
          <cell r="B4124">
            <v>501224</v>
          </cell>
        </row>
        <row r="4125">
          <cell r="A4125" t="str">
            <v>橙神力25级</v>
          </cell>
          <cell r="B4125">
            <v>501225</v>
          </cell>
        </row>
        <row r="4126">
          <cell r="A4126" t="str">
            <v>橙神力26级</v>
          </cell>
          <cell r="B4126">
            <v>501226</v>
          </cell>
        </row>
        <row r="4127">
          <cell r="A4127" t="str">
            <v>橙神力27级</v>
          </cell>
          <cell r="B4127">
            <v>501227</v>
          </cell>
        </row>
        <row r="4128">
          <cell r="A4128" t="str">
            <v>橙神力28级</v>
          </cell>
          <cell r="B4128">
            <v>501228</v>
          </cell>
        </row>
        <row r="4129">
          <cell r="A4129" t="str">
            <v>橙神力29级</v>
          </cell>
          <cell r="B4129">
            <v>501229</v>
          </cell>
        </row>
        <row r="4130">
          <cell r="A4130" t="str">
            <v>橙神力30级</v>
          </cell>
          <cell r="B4130">
            <v>501230</v>
          </cell>
        </row>
        <row r="4131">
          <cell r="A4131" t="str">
            <v>橙神力31级</v>
          </cell>
          <cell r="B4131">
            <v>501231</v>
          </cell>
        </row>
        <row r="4132">
          <cell r="A4132" t="str">
            <v>橙神力32级</v>
          </cell>
          <cell r="B4132">
            <v>501232</v>
          </cell>
        </row>
        <row r="4133">
          <cell r="A4133" t="str">
            <v>橙神力33级</v>
          </cell>
          <cell r="B4133">
            <v>501233</v>
          </cell>
        </row>
        <row r="4134">
          <cell r="A4134" t="str">
            <v>橙神力34级</v>
          </cell>
          <cell r="B4134">
            <v>501234</v>
          </cell>
        </row>
        <row r="4135">
          <cell r="A4135" t="str">
            <v>橙神力35级</v>
          </cell>
          <cell r="B4135">
            <v>501235</v>
          </cell>
        </row>
        <row r="4136">
          <cell r="A4136" t="str">
            <v>橙神力36级</v>
          </cell>
          <cell r="B4136">
            <v>501236</v>
          </cell>
        </row>
        <row r="4137">
          <cell r="A4137" t="str">
            <v>橙神力37级</v>
          </cell>
          <cell r="B4137">
            <v>501237</v>
          </cell>
        </row>
        <row r="4138">
          <cell r="A4138" t="str">
            <v>橙神力38级</v>
          </cell>
          <cell r="B4138">
            <v>501238</v>
          </cell>
        </row>
        <row r="4139">
          <cell r="A4139" t="str">
            <v>橙神力39级</v>
          </cell>
          <cell r="B4139">
            <v>501239</v>
          </cell>
        </row>
        <row r="4140">
          <cell r="A4140" t="str">
            <v>橙神力40级</v>
          </cell>
          <cell r="B4140">
            <v>501240</v>
          </cell>
        </row>
        <row r="4141">
          <cell r="A4141" t="str">
            <v>橙神力41级</v>
          </cell>
          <cell r="B4141">
            <v>501241</v>
          </cell>
        </row>
        <row r="4142">
          <cell r="A4142" t="str">
            <v>橙神力42级</v>
          </cell>
          <cell r="B4142">
            <v>501242</v>
          </cell>
        </row>
        <row r="4143">
          <cell r="A4143" t="str">
            <v>橙神力43级</v>
          </cell>
          <cell r="B4143">
            <v>501243</v>
          </cell>
        </row>
        <row r="4144">
          <cell r="A4144" t="str">
            <v>橙神力44级</v>
          </cell>
          <cell r="B4144">
            <v>501244</v>
          </cell>
        </row>
        <row r="4145">
          <cell r="A4145" t="str">
            <v>橙神力45级</v>
          </cell>
          <cell r="B4145">
            <v>501245</v>
          </cell>
        </row>
        <row r="4146">
          <cell r="A4146" t="str">
            <v>橙神力46级</v>
          </cell>
          <cell r="B4146">
            <v>501246</v>
          </cell>
        </row>
        <row r="4147">
          <cell r="A4147" t="str">
            <v>橙神力47级</v>
          </cell>
          <cell r="B4147">
            <v>501247</v>
          </cell>
        </row>
        <row r="4148">
          <cell r="A4148" t="str">
            <v>橙神力48级</v>
          </cell>
          <cell r="B4148">
            <v>501248</v>
          </cell>
        </row>
        <row r="4149">
          <cell r="A4149" t="str">
            <v>橙神力49级</v>
          </cell>
          <cell r="B4149">
            <v>501249</v>
          </cell>
        </row>
        <row r="4150">
          <cell r="A4150" t="str">
            <v>橙神力50级</v>
          </cell>
          <cell r="B4150">
            <v>501250</v>
          </cell>
        </row>
        <row r="4151">
          <cell r="A4151" t="str">
            <v>橙神力51级</v>
          </cell>
          <cell r="B4151">
            <v>501251</v>
          </cell>
        </row>
        <row r="4152">
          <cell r="A4152" t="str">
            <v>橙神力52级</v>
          </cell>
          <cell r="B4152">
            <v>501252</v>
          </cell>
        </row>
        <row r="4153">
          <cell r="A4153" t="str">
            <v>橙神力53级</v>
          </cell>
          <cell r="B4153">
            <v>501253</v>
          </cell>
        </row>
        <row r="4154">
          <cell r="A4154" t="str">
            <v>橙神力54级</v>
          </cell>
          <cell r="B4154">
            <v>501254</v>
          </cell>
        </row>
        <row r="4155">
          <cell r="A4155" t="str">
            <v>橙神力55级</v>
          </cell>
          <cell r="B4155">
            <v>501255</v>
          </cell>
        </row>
        <row r="4156">
          <cell r="A4156" t="str">
            <v>橙神力56级</v>
          </cell>
          <cell r="B4156">
            <v>501256</v>
          </cell>
        </row>
        <row r="4157">
          <cell r="A4157" t="str">
            <v>橙神力57级</v>
          </cell>
          <cell r="B4157">
            <v>501257</v>
          </cell>
        </row>
        <row r="4158">
          <cell r="A4158" t="str">
            <v>橙神力58级</v>
          </cell>
          <cell r="B4158">
            <v>501258</v>
          </cell>
        </row>
        <row r="4159">
          <cell r="A4159" t="str">
            <v>橙神力59级</v>
          </cell>
          <cell r="B4159">
            <v>501259</v>
          </cell>
        </row>
        <row r="4160">
          <cell r="A4160" t="str">
            <v>橙神力60级</v>
          </cell>
          <cell r="B4160">
            <v>501260</v>
          </cell>
        </row>
        <row r="4161">
          <cell r="A4161" t="str">
            <v>橙金汤1级</v>
          </cell>
          <cell r="B4161">
            <v>502201</v>
          </cell>
        </row>
        <row r="4162">
          <cell r="A4162" t="str">
            <v>橙金汤2级</v>
          </cell>
          <cell r="B4162">
            <v>502202</v>
          </cell>
        </row>
        <row r="4163">
          <cell r="A4163" t="str">
            <v>橙金汤3级</v>
          </cell>
          <cell r="B4163">
            <v>502203</v>
          </cell>
        </row>
        <row r="4164">
          <cell r="A4164" t="str">
            <v>橙金汤4级</v>
          </cell>
          <cell r="B4164">
            <v>502204</v>
          </cell>
        </row>
        <row r="4165">
          <cell r="A4165" t="str">
            <v>橙金汤5级</v>
          </cell>
          <cell r="B4165">
            <v>502205</v>
          </cell>
        </row>
        <row r="4166">
          <cell r="A4166" t="str">
            <v>橙金汤6级</v>
          </cell>
          <cell r="B4166">
            <v>502206</v>
          </cell>
        </row>
        <row r="4167">
          <cell r="A4167" t="str">
            <v>橙金汤7级</v>
          </cell>
          <cell r="B4167">
            <v>502207</v>
          </cell>
        </row>
        <row r="4168">
          <cell r="A4168" t="str">
            <v>橙金汤8级</v>
          </cell>
          <cell r="B4168">
            <v>502208</v>
          </cell>
        </row>
        <row r="4169">
          <cell r="A4169" t="str">
            <v>橙金汤9级</v>
          </cell>
          <cell r="B4169">
            <v>502209</v>
          </cell>
        </row>
        <row r="4170">
          <cell r="A4170" t="str">
            <v>橙金汤10级</v>
          </cell>
          <cell r="B4170">
            <v>502210</v>
          </cell>
        </row>
        <row r="4171">
          <cell r="A4171" t="str">
            <v>橙金汤11级</v>
          </cell>
          <cell r="B4171">
            <v>502211</v>
          </cell>
        </row>
        <row r="4172">
          <cell r="A4172" t="str">
            <v>橙金汤12级</v>
          </cell>
          <cell r="B4172">
            <v>502212</v>
          </cell>
        </row>
        <row r="4173">
          <cell r="A4173" t="str">
            <v>橙金汤13级</v>
          </cell>
          <cell r="B4173">
            <v>502213</v>
          </cell>
        </row>
        <row r="4174">
          <cell r="A4174" t="str">
            <v>橙金汤14级</v>
          </cell>
          <cell r="B4174">
            <v>502214</v>
          </cell>
        </row>
        <row r="4175">
          <cell r="A4175" t="str">
            <v>橙金汤15级</v>
          </cell>
          <cell r="B4175">
            <v>502215</v>
          </cell>
        </row>
        <row r="4176">
          <cell r="A4176" t="str">
            <v>橙金汤16级</v>
          </cell>
          <cell r="B4176">
            <v>502216</v>
          </cell>
        </row>
        <row r="4177">
          <cell r="A4177" t="str">
            <v>橙金汤17级</v>
          </cell>
          <cell r="B4177">
            <v>502217</v>
          </cell>
        </row>
        <row r="4178">
          <cell r="A4178" t="str">
            <v>橙金汤18级</v>
          </cell>
          <cell r="B4178">
            <v>502218</v>
          </cell>
        </row>
        <row r="4179">
          <cell r="A4179" t="str">
            <v>橙金汤19级</v>
          </cell>
          <cell r="B4179">
            <v>502219</v>
          </cell>
        </row>
        <row r="4180">
          <cell r="A4180" t="str">
            <v>橙金汤20级</v>
          </cell>
          <cell r="B4180">
            <v>502220</v>
          </cell>
        </row>
        <row r="4181">
          <cell r="A4181" t="str">
            <v>橙金汤21级</v>
          </cell>
          <cell r="B4181">
            <v>502221</v>
          </cell>
        </row>
        <row r="4182">
          <cell r="A4182" t="str">
            <v>橙金汤22级</v>
          </cell>
          <cell r="B4182">
            <v>502222</v>
          </cell>
        </row>
        <row r="4183">
          <cell r="A4183" t="str">
            <v>橙金汤23级</v>
          </cell>
          <cell r="B4183">
            <v>502223</v>
          </cell>
        </row>
        <row r="4184">
          <cell r="A4184" t="str">
            <v>橙金汤24级</v>
          </cell>
          <cell r="B4184">
            <v>502224</v>
          </cell>
        </row>
        <row r="4185">
          <cell r="A4185" t="str">
            <v>橙金汤25级</v>
          </cell>
          <cell r="B4185">
            <v>502225</v>
          </cell>
        </row>
        <row r="4186">
          <cell r="A4186" t="str">
            <v>橙金汤26级</v>
          </cell>
          <cell r="B4186">
            <v>502226</v>
          </cell>
        </row>
        <row r="4187">
          <cell r="A4187" t="str">
            <v>橙金汤27级</v>
          </cell>
          <cell r="B4187">
            <v>502227</v>
          </cell>
        </row>
        <row r="4188">
          <cell r="A4188" t="str">
            <v>橙金汤28级</v>
          </cell>
          <cell r="B4188">
            <v>502228</v>
          </cell>
        </row>
        <row r="4189">
          <cell r="A4189" t="str">
            <v>橙金汤29级</v>
          </cell>
          <cell r="B4189">
            <v>502229</v>
          </cell>
        </row>
        <row r="4190">
          <cell r="A4190" t="str">
            <v>橙金汤30级</v>
          </cell>
          <cell r="B4190">
            <v>502230</v>
          </cell>
        </row>
        <row r="4191">
          <cell r="A4191" t="str">
            <v>橙金汤31级</v>
          </cell>
          <cell r="B4191">
            <v>502231</v>
          </cell>
        </row>
        <row r="4192">
          <cell r="A4192" t="str">
            <v>橙金汤32级</v>
          </cell>
          <cell r="B4192">
            <v>502232</v>
          </cell>
        </row>
        <row r="4193">
          <cell r="A4193" t="str">
            <v>橙金汤33级</v>
          </cell>
          <cell r="B4193">
            <v>502233</v>
          </cell>
        </row>
        <row r="4194">
          <cell r="A4194" t="str">
            <v>橙金汤34级</v>
          </cell>
          <cell r="B4194">
            <v>502234</v>
          </cell>
        </row>
        <row r="4195">
          <cell r="A4195" t="str">
            <v>橙金汤35级</v>
          </cell>
          <cell r="B4195">
            <v>502235</v>
          </cell>
        </row>
        <row r="4196">
          <cell r="A4196" t="str">
            <v>橙金汤36级</v>
          </cell>
          <cell r="B4196">
            <v>502236</v>
          </cell>
        </row>
        <row r="4197">
          <cell r="A4197" t="str">
            <v>橙金汤37级</v>
          </cell>
          <cell r="B4197">
            <v>502237</v>
          </cell>
        </row>
        <row r="4198">
          <cell r="A4198" t="str">
            <v>橙金汤38级</v>
          </cell>
          <cell r="B4198">
            <v>502238</v>
          </cell>
        </row>
        <row r="4199">
          <cell r="A4199" t="str">
            <v>橙金汤39级</v>
          </cell>
          <cell r="B4199">
            <v>502239</v>
          </cell>
        </row>
        <row r="4200">
          <cell r="A4200" t="str">
            <v>橙金汤40级</v>
          </cell>
          <cell r="B4200">
            <v>502240</v>
          </cell>
        </row>
        <row r="4201">
          <cell r="A4201" t="str">
            <v>橙金汤41级</v>
          </cell>
          <cell r="B4201">
            <v>502241</v>
          </cell>
        </row>
        <row r="4202">
          <cell r="A4202" t="str">
            <v>橙金汤42级</v>
          </cell>
          <cell r="B4202">
            <v>502242</v>
          </cell>
        </row>
        <row r="4203">
          <cell r="A4203" t="str">
            <v>橙金汤43级</v>
          </cell>
          <cell r="B4203">
            <v>502243</v>
          </cell>
        </row>
        <row r="4204">
          <cell r="A4204" t="str">
            <v>橙金汤44级</v>
          </cell>
          <cell r="B4204">
            <v>502244</v>
          </cell>
        </row>
        <row r="4205">
          <cell r="A4205" t="str">
            <v>橙金汤45级</v>
          </cell>
          <cell r="B4205">
            <v>502245</v>
          </cell>
        </row>
        <row r="4206">
          <cell r="A4206" t="str">
            <v>橙金汤46级</v>
          </cell>
          <cell r="B4206">
            <v>502246</v>
          </cell>
        </row>
        <row r="4207">
          <cell r="A4207" t="str">
            <v>橙金汤47级</v>
          </cell>
          <cell r="B4207">
            <v>502247</v>
          </cell>
        </row>
        <row r="4208">
          <cell r="A4208" t="str">
            <v>橙金汤48级</v>
          </cell>
          <cell r="B4208">
            <v>502248</v>
          </cell>
        </row>
        <row r="4209">
          <cell r="A4209" t="str">
            <v>橙金汤49级</v>
          </cell>
          <cell r="B4209">
            <v>502249</v>
          </cell>
        </row>
        <row r="4210">
          <cell r="A4210" t="str">
            <v>橙金汤50级</v>
          </cell>
          <cell r="B4210">
            <v>502250</v>
          </cell>
        </row>
        <row r="4211">
          <cell r="A4211" t="str">
            <v>橙金汤51级</v>
          </cell>
          <cell r="B4211">
            <v>502251</v>
          </cell>
        </row>
        <row r="4212">
          <cell r="A4212" t="str">
            <v>橙金汤52级</v>
          </cell>
          <cell r="B4212">
            <v>502252</v>
          </cell>
        </row>
        <row r="4213">
          <cell r="A4213" t="str">
            <v>橙金汤53级</v>
          </cell>
          <cell r="B4213">
            <v>502253</v>
          </cell>
        </row>
        <row r="4214">
          <cell r="A4214" t="str">
            <v>橙金汤54级</v>
          </cell>
          <cell r="B4214">
            <v>502254</v>
          </cell>
        </row>
        <row r="4215">
          <cell r="A4215" t="str">
            <v>橙金汤55级</v>
          </cell>
          <cell r="B4215">
            <v>502255</v>
          </cell>
        </row>
        <row r="4216">
          <cell r="A4216" t="str">
            <v>橙金汤56级</v>
          </cell>
          <cell r="B4216">
            <v>502256</v>
          </cell>
        </row>
        <row r="4217">
          <cell r="A4217" t="str">
            <v>橙金汤57级</v>
          </cell>
          <cell r="B4217">
            <v>502257</v>
          </cell>
        </row>
        <row r="4218">
          <cell r="A4218" t="str">
            <v>橙金汤58级</v>
          </cell>
          <cell r="B4218">
            <v>502258</v>
          </cell>
        </row>
        <row r="4219">
          <cell r="A4219" t="str">
            <v>橙金汤59级</v>
          </cell>
          <cell r="B4219">
            <v>502259</v>
          </cell>
        </row>
        <row r="4220">
          <cell r="A4220" t="str">
            <v>橙金汤60级</v>
          </cell>
          <cell r="B4220">
            <v>502260</v>
          </cell>
        </row>
        <row r="4221">
          <cell r="A4221" t="str">
            <v>橙长生1级</v>
          </cell>
          <cell r="B4221">
            <v>503201</v>
          </cell>
        </row>
        <row r="4222">
          <cell r="A4222" t="str">
            <v>橙长生2级</v>
          </cell>
          <cell r="B4222">
            <v>503202</v>
          </cell>
        </row>
        <row r="4223">
          <cell r="A4223" t="str">
            <v>橙长生3级</v>
          </cell>
          <cell r="B4223">
            <v>503203</v>
          </cell>
        </row>
        <row r="4224">
          <cell r="A4224" t="str">
            <v>橙长生4级</v>
          </cell>
          <cell r="B4224">
            <v>503204</v>
          </cell>
        </row>
        <row r="4225">
          <cell r="A4225" t="str">
            <v>橙长生5级</v>
          </cell>
          <cell r="B4225">
            <v>503205</v>
          </cell>
        </row>
        <row r="4226">
          <cell r="A4226" t="str">
            <v>橙长生6级</v>
          </cell>
          <cell r="B4226">
            <v>503206</v>
          </cell>
        </row>
        <row r="4227">
          <cell r="A4227" t="str">
            <v>橙长生7级</v>
          </cell>
          <cell r="B4227">
            <v>503207</v>
          </cell>
        </row>
        <row r="4228">
          <cell r="A4228" t="str">
            <v>橙长生8级</v>
          </cell>
          <cell r="B4228">
            <v>503208</v>
          </cell>
        </row>
        <row r="4229">
          <cell r="A4229" t="str">
            <v>橙长生9级</v>
          </cell>
          <cell r="B4229">
            <v>503209</v>
          </cell>
        </row>
        <row r="4230">
          <cell r="A4230" t="str">
            <v>橙长生10级</v>
          </cell>
          <cell r="B4230">
            <v>503210</v>
          </cell>
        </row>
        <row r="4231">
          <cell r="A4231" t="str">
            <v>橙长生11级</v>
          </cell>
          <cell r="B4231">
            <v>503211</v>
          </cell>
        </row>
        <row r="4232">
          <cell r="A4232" t="str">
            <v>橙长生12级</v>
          </cell>
          <cell r="B4232">
            <v>503212</v>
          </cell>
        </row>
        <row r="4233">
          <cell r="A4233" t="str">
            <v>橙长生13级</v>
          </cell>
          <cell r="B4233">
            <v>503213</v>
          </cell>
        </row>
        <row r="4234">
          <cell r="A4234" t="str">
            <v>橙长生14级</v>
          </cell>
          <cell r="B4234">
            <v>503214</v>
          </cell>
        </row>
        <row r="4235">
          <cell r="A4235" t="str">
            <v>橙长生15级</v>
          </cell>
          <cell r="B4235">
            <v>503215</v>
          </cell>
        </row>
        <row r="4236">
          <cell r="A4236" t="str">
            <v>橙长生16级</v>
          </cell>
          <cell r="B4236">
            <v>503216</v>
          </cell>
        </row>
        <row r="4237">
          <cell r="A4237" t="str">
            <v>橙长生17级</v>
          </cell>
          <cell r="B4237">
            <v>503217</v>
          </cell>
        </row>
        <row r="4238">
          <cell r="A4238" t="str">
            <v>橙长生18级</v>
          </cell>
          <cell r="B4238">
            <v>503218</v>
          </cell>
        </row>
        <row r="4239">
          <cell r="A4239" t="str">
            <v>橙长生19级</v>
          </cell>
          <cell r="B4239">
            <v>503219</v>
          </cell>
        </row>
        <row r="4240">
          <cell r="A4240" t="str">
            <v>橙长生20级</v>
          </cell>
          <cell r="B4240">
            <v>503220</v>
          </cell>
        </row>
        <row r="4241">
          <cell r="A4241" t="str">
            <v>橙长生21级</v>
          </cell>
          <cell r="B4241">
            <v>503221</v>
          </cell>
        </row>
        <row r="4242">
          <cell r="A4242" t="str">
            <v>橙长生22级</v>
          </cell>
          <cell r="B4242">
            <v>503222</v>
          </cell>
        </row>
        <row r="4243">
          <cell r="A4243" t="str">
            <v>橙长生23级</v>
          </cell>
          <cell r="B4243">
            <v>503223</v>
          </cell>
        </row>
        <row r="4244">
          <cell r="A4244" t="str">
            <v>橙长生24级</v>
          </cell>
          <cell r="B4244">
            <v>503224</v>
          </cell>
        </row>
        <row r="4245">
          <cell r="A4245" t="str">
            <v>橙长生25级</v>
          </cell>
          <cell r="B4245">
            <v>503225</v>
          </cell>
        </row>
        <row r="4246">
          <cell r="A4246" t="str">
            <v>橙长生26级</v>
          </cell>
          <cell r="B4246">
            <v>503226</v>
          </cell>
        </row>
        <row r="4247">
          <cell r="A4247" t="str">
            <v>橙长生27级</v>
          </cell>
          <cell r="B4247">
            <v>503227</v>
          </cell>
        </row>
        <row r="4248">
          <cell r="A4248" t="str">
            <v>橙长生28级</v>
          </cell>
          <cell r="B4248">
            <v>503228</v>
          </cell>
        </row>
        <row r="4249">
          <cell r="A4249" t="str">
            <v>橙长生29级</v>
          </cell>
          <cell r="B4249">
            <v>503229</v>
          </cell>
        </row>
        <row r="4250">
          <cell r="A4250" t="str">
            <v>橙长生30级</v>
          </cell>
          <cell r="B4250">
            <v>503230</v>
          </cell>
        </row>
        <row r="4251">
          <cell r="A4251" t="str">
            <v>橙长生31级</v>
          </cell>
          <cell r="B4251">
            <v>503231</v>
          </cell>
        </row>
        <row r="4252">
          <cell r="A4252" t="str">
            <v>橙长生32级</v>
          </cell>
          <cell r="B4252">
            <v>503232</v>
          </cell>
        </row>
        <row r="4253">
          <cell r="A4253" t="str">
            <v>橙长生33级</v>
          </cell>
          <cell r="B4253">
            <v>503233</v>
          </cell>
        </row>
        <row r="4254">
          <cell r="A4254" t="str">
            <v>橙长生34级</v>
          </cell>
          <cell r="B4254">
            <v>503234</v>
          </cell>
        </row>
        <row r="4255">
          <cell r="A4255" t="str">
            <v>橙长生35级</v>
          </cell>
          <cell r="B4255">
            <v>503235</v>
          </cell>
        </row>
        <row r="4256">
          <cell r="A4256" t="str">
            <v>橙长生36级</v>
          </cell>
          <cell r="B4256">
            <v>503236</v>
          </cell>
        </row>
        <row r="4257">
          <cell r="A4257" t="str">
            <v>橙长生37级</v>
          </cell>
          <cell r="B4257">
            <v>503237</v>
          </cell>
        </row>
        <row r="4258">
          <cell r="A4258" t="str">
            <v>橙长生38级</v>
          </cell>
          <cell r="B4258">
            <v>503238</v>
          </cell>
        </row>
        <row r="4259">
          <cell r="A4259" t="str">
            <v>橙长生39级</v>
          </cell>
          <cell r="B4259">
            <v>503239</v>
          </cell>
        </row>
        <row r="4260">
          <cell r="A4260" t="str">
            <v>橙长生40级</v>
          </cell>
          <cell r="B4260">
            <v>503240</v>
          </cell>
        </row>
        <row r="4261">
          <cell r="A4261" t="str">
            <v>橙长生41级</v>
          </cell>
          <cell r="B4261">
            <v>503241</v>
          </cell>
        </row>
        <row r="4262">
          <cell r="A4262" t="str">
            <v>橙长生42级</v>
          </cell>
          <cell r="B4262">
            <v>503242</v>
          </cell>
        </row>
        <row r="4263">
          <cell r="A4263" t="str">
            <v>橙长生43级</v>
          </cell>
          <cell r="B4263">
            <v>503243</v>
          </cell>
        </row>
        <row r="4264">
          <cell r="A4264" t="str">
            <v>橙长生44级</v>
          </cell>
          <cell r="B4264">
            <v>503244</v>
          </cell>
        </row>
        <row r="4265">
          <cell r="A4265" t="str">
            <v>橙长生45级</v>
          </cell>
          <cell r="B4265">
            <v>503245</v>
          </cell>
        </row>
        <row r="4266">
          <cell r="A4266" t="str">
            <v>橙长生46级</v>
          </cell>
          <cell r="B4266">
            <v>503246</v>
          </cell>
        </row>
        <row r="4267">
          <cell r="A4267" t="str">
            <v>橙长生47级</v>
          </cell>
          <cell r="B4267">
            <v>503247</v>
          </cell>
        </row>
        <row r="4268">
          <cell r="A4268" t="str">
            <v>橙长生48级</v>
          </cell>
          <cell r="B4268">
            <v>503248</v>
          </cell>
        </row>
        <row r="4269">
          <cell r="A4269" t="str">
            <v>橙长生49级</v>
          </cell>
          <cell r="B4269">
            <v>503249</v>
          </cell>
        </row>
        <row r="4270">
          <cell r="A4270" t="str">
            <v>橙长生50级</v>
          </cell>
          <cell r="B4270">
            <v>503250</v>
          </cell>
        </row>
        <row r="4271">
          <cell r="A4271" t="str">
            <v>橙长生51级</v>
          </cell>
          <cell r="B4271">
            <v>503251</v>
          </cell>
        </row>
        <row r="4272">
          <cell r="A4272" t="str">
            <v>橙长生52级</v>
          </cell>
          <cell r="B4272">
            <v>503252</v>
          </cell>
        </row>
        <row r="4273">
          <cell r="A4273" t="str">
            <v>橙长生53级</v>
          </cell>
          <cell r="B4273">
            <v>503253</v>
          </cell>
        </row>
        <row r="4274">
          <cell r="A4274" t="str">
            <v>橙长生54级</v>
          </cell>
          <cell r="B4274">
            <v>503254</v>
          </cell>
        </row>
        <row r="4275">
          <cell r="A4275" t="str">
            <v>橙长生55级</v>
          </cell>
          <cell r="B4275">
            <v>503255</v>
          </cell>
        </row>
        <row r="4276">
          <cell r="A4276" t="str">
            <v>橙长生56级</v>
          </cell>
          <cell r="B4276">
            <v>503256</v>
          </cell>
        </row>
        <row r="4277">
          <cell r="A4277" t="str">
            <v>橙长生57级</v>
          </cell>
          <cell r="B4277">
            <v>503257</v>
          </cell>
        </row>
        <row r="4278">
          <cell r="A4278" t="str">
            <v>橙长生58级</v>
          </cell>
          <cell r="B4278">
            <v>503258</v>
          </cell>
        </row>
        <row r="4279">
          <cell r="A4279" t="str">
            <v>橙长生59级</v>
          </cell>
          <cell r="B4279">
            <v>503259</v>
          </cell>
        </row>
        <row r="4280">
          <cell r="A4280" t="str">
            <v>橙长生60级</v>
          </cell>
          <cell r="B4280">
            <v>503260</v>
          </cell>
        </row>
        <row r="4281">
          <cell r="A4281" t="str">
            <v>橙光武1级</v>
          </cell>
          <cell r="B4281">
            <v>504201</v>
          </cell>
        </row>
        <row r="4282">
          <cell r="A4282" t="str">
            <v>橙光武2级</v>
          </cell>
          <cell r="B4282">
            <v>504202</v>
          </cell>
        </row>
        <row r="4283">
          <cell r="A4283" t="str">
            <v>橙光武3级</v>
          </cell>
          <cell r="B4283">
            <v>504203</v>
          </cell>
        </row>
        <row r="4284">
          <cell r="A4284" t="str">
            <v>橙光武4级</v>
          </cell>
          <cell r="B4284">
            <v>504204</v>
          </cell>
        </row>
        <row r="4285">
          <cell r="A4285" t="str">
            <v>橙光武5级</v>
          </cell>
          <cell r="B4285">
            <v>504205</v>
          </cell>
        </row>
        <row r="4286">
          <cell r="A4286" t="str">
            <v>橙光武6级</v>
          </cell>
          <cell r="B4286">
            <v>504206</v>
          </cell>
        </row>
        <row r="4287">
          <cell r="A4287" t="str">
            <v>橙光武7级</v>
          </cell>
          <cell r="B4287">
            <v>504207</v>
          </cell>
        </row>
        <row r="4288">
          <cell r="A4288" t="str">
            <v>橙光武8级</v>
          </cell>
          <cell r="B4288">
            <v>504208</v>
          </cell>
        </row>
        <row r="4289">
          <cell r="A4289" t="str">
            <v>橙光武9级</v>
          </cell>
          <cell r="B4289">
            <v>504209</v>
          </cell>
        </row>
        <row r="4290">
          <cell r="A4290" t="str">
            <v>橙光武10级</v>
          </cell>
          <cell r="B4290">
            <v>504210</v>
          </cell>
        </row>
        <row r="4291">
          <cell r="A4291" t="str">
            <v>橙光武11级</v>
          </cell>
          <cell r="B4291">
            <v>504211</v>
          </cell>
        </row>
        <row r="4292">
          <cell r="A4292" t="str">
            <v>橙光武12级</v>
          </cell>
          <cell r="B4292">
            <v>504212</v>
          </cell>
        </row>
        <row r="4293">
          <cell r="A4293" t="str">
            <v>橙光武13级</v>
          </cell>
          <cell r="B4293">
            <v>504213</v>
          </cell>
        </row>
        <row r="4294">
          <cell r="A4294" t="str">
            <v>橙光武14级</v>
          </cell>
          <cell r="B4294">
            <v>504214</v>
          </cell>
        </row>
        <row r="4295">
          <cell r="A4295" t="str">
            <v>橙光武15级</v>
          </cell>
          <cell r="B4295">
            <v>504215</v>
          </cell>
        </row>
        <row r="4296">
          <cell r="A4296" t="str">
            <v>橙光武16级</v>
          </cell>
          <cell r="B4296">
            <v>504216</v>
          </cell>
        </row>
        <row r="4297">
          <cell r="A4297" t="str">
            <v>橙光武17级</v>
          </cell>
          <cell r="B4297">
            <v>504217</v>
          </cell>
        </row>
        <row r="4298">
          <cell r="A4298" t="str">
            <v>橙光武18级</v>
          </cell>
          <cell r="B4298">
            <v>504218</v>
          </cell>
        </row>
        <row r="4299">
          <cell r="A4299" t="str">
            <v>橙光武19级</v>
          </cell>
          <cell r="B4299">
            <v>504219</v>
          </cell>
        </row>
        <row r="4300">
          <cell r="A4300" t="str">
            <v>橙光武20级</v>
          </cell>
          <cell r="B4300">
            <v>504220</v>
          </cell>
        </row>
        <row r="4301">
          <cell r="A4301" t="str">
            <v>橙光武21级</v>
          </cell>
          <cell r="B4301">
            <v>504221</v>
          </cell>
        </row>
        <row r="4302">
          <cell r="A4302" t="str">
            <v>橙光武22级</v>
          </cell>
          <cell r="B4302">
            <v>504222</v>
          </cell>
        </row>
        <row r="4303">
          <cell r="A4303" t="str">
            <v>橙光武23级</v>
          </cell>
          <cell r="B4303">
            <v>504223</v>
          </cell>
        </row>
        <row r="4304">
          <cell r="A4304" t="str">
            <v>橙光武24级</v>
          </cell>
          <cell r="B4304">
            <v>504224</v>
          </cell>
        </row>
        <row r="4305">
          <cell r="A4305" t="str">
            <v>橙光武25级</v>
          </cell>
          <cell r="B4305">
            <v>504225</v>
          </cell>
        </row>
        <row r="4306">
          <cell r="A4306" t="str">
            <v>橙光武26级</v>
          </cell>
          <cell r="B4306">
            <v>504226</v>
          </cell>
        </row>
        <row r="4307">
          <cell r="A4307" t="str">
            <v>橙光武27级</v>
          </cell>
          <cell r="B4307">
            <v>504227</v>
          </cell>
        </row>
        <row r="4308">
          <cell r="A4308" t="str">
            <v>橙光武28级</v>
          </cell>
          <cell r="B4308">
            <v>504228</v>
          </cell>
        </row>
        <row r="4309">
          <cell r="A4309" t="str">
            <v>橙光武29级</v>
          </cell>
          <cell r="B4309">
            <v>504229</v>
          </cell>
        </row>
        <row r="4310">
          <cell r="A4310" t="str">
            <v>橙光武30级</v>
          </cell>
          <cell r="B4310">
            <v>504230</v>
          </cell>
        </row>
        <row r="4311">
          <cell r="A4311" t="str">
            <v>橙光武31级</v>
          </cell>
          <cell r="B4311">
            <v>504231</v>
          </cell>
        </row>
        <row r="4312">
          <cell r="A4312" t="str">
            <v>橙光武32级</v>
          </cell>
          <cell r="B4312">
            <v>504232</v>
          </cell>
        </row>
        <row r="4313">
          <cell r="A4313" t="str">
            <v>橙光武33级</v>
          </cell>
          <cell r="B4313">
            <v>504233</v>
          </cell>
        </row>
        <row r="4314">
          <cell r="A4314" t="str">
            <v>橙光武34级</v>
          </cell>
          <cell r="B4314">
            <v>504234</v>
          </cell>
        </row>
        <row r="4315">
          <cell r="A4315" t="str">
            <v>橙光武35级</v>
          </cell>
          <cell r="B4315">
            <v>504235</v>
          </cell>
        </row>
        <row r="4316">
          <cell r="A4316" t="str">
            <v>橙光武36级</v>
          </cell>
          <cell r="B4316">
            <v>504236</v>
          </cell>
        </row>
        <row r="4317">
          <cell r="A4317" t="str">
            <v>橙光武37级</v>
          </cell>
          <cell r="B4317">
            <v>504237</v>
          </cell>
        </row>
        <row r="4318">
          <cell r="A4318" t="str">
            <v>橙光武38级</v>
          </cell>
          <cell r="B4318">
            <v>504238</v>
          </cell>
        </row>
        <row r="4319">
          <cell r="A4319" t="str">
            <v>橙光武39级</v>
          </cell>
          <cell r="B4319">
            <v>504239</v>
          </cell>
        </row>
        <row r="4320">
          <cell r="A4320" t="str">
            <v>橙光武40级</v>
          </cell>
          <cell r="B4320">
            <v>504240</v>
          </cell>
        </row>
        <row r="4321">
          <cell r="A4321" t="str">
            <v>橙光武41级</v>
          </cell>
          <cell r="B4321">
            <v>504241</v>
          </cell>
        </row>
        <row r="4322">
          <cell r="A4322" t="str">
            <v>橙光武42级</v>
          </cell>
          <cell r="B4322">
            <v>504242</v>
          </cell>
        </row>
        <row r="4323">
          <cell r="A4323" t="str">
            <v>橙光武43级</v>
          </cell>
          <cell r="B4323">
            <v>504243</v>
          </cell>
        </row>
        <row r="4324">
          <cell r="A4324" t="str">
            <v>橙光武44级</v>
          </cell>
          <cell r="B4324">
            <v>504244</v>
          </cell>
        </row>
        <row r="4325">
          <cell r="A4325" t="str">
            <v>橙光武45级</v>
          </cell>
          <cell r="B4325">
            <v>504245</v>
          </cell>
        </row>
        <row r="4326">
          <cell r="A4326" t="str">
            <v>橙光武46级</v>
          </cell>
          <cell r="B4326">
            <v>504246</v>
          </cell>
        </row>
        <row r="4327">
          <cell r="A4327" t="str">
            <v>橙光武47级</v>
          </cell>
          <cell r="B4327">
            <v>504247</v>
          </cell>
        </row>
        <row r="4328">
          <cell r="A4328" t="str">
            <v>橙光武48级</v>
          </cell>
          <cell r="B4328">
            <v>504248</v>
          </cell>
        </row>
        <row r="4329">
          <cell r="A4329" t="str">
            <v>橙光武49级</v>
          </cell>
          <cell r="B4329">
            <v>504249</v>
          </cell>
        </row>
        <row r="4330">
          <cell r="A4330" t="str">
            <v>橙光武50级</v>
          </cell>
          <cell r="B4330">
            <v>504250</v>
          </cell>
        </row>
        <row r="4331">
          <cell r="A4331" t="str">
            <v>橙光武51级</v>
          </cell>
          <cell r="B4331">
            <v>504251</v>
          </cell>
        </row>
        <row r="4332">
          <cell r="A4332" t="str">
            <v>橙光武52级</v>
          </cell>
          <cell r="B4332">
            <v>504252</v>
          </cell>
        </row>
        <row r="4333">
          <cell r="A4333" t="str">
            <v>橙光武53级</v>
          </cell>
          <cell r="B4333">
            <v>504253</v>
          </cell>
        </row>
        <row r="4334">
          <cell r="A4334" t="str">
            <v>橙光武54级</v>
          </cell>
          <cell r="B4334">
            <v>504254</v>
          </cell>
        </row>
        <row r="4335">
          <cell r="A4335" t="str">
            <v>橙光武55级</v>
          </cell>
          <cell r="B4335">
            <v>504255</v>
          </cell>
        </row>
        <row r="4336">
          <cell r="A4336" t="str">
            <v>橙光武56级</v>
          </cell>
          <cell r="B4336">
            <v>504256</v>
          </cell>
        </row>
        <row r="4337">
          <cell r="A4337" t="str">
            <v>橙光武57级</v>
          </cell>
          <cell r="B4337">
            <v>504257</v>
          </cell>
        </row>
        <row r="4338">
          <cell r="A4338" t="str">
            <v>橙光武58级</v>
          </cell>
          <cell r="B4338">
            <v>504258</v>
          </cell>
        </row>
        <row r="4339">
          <cell r="A4339" t="str">
            <v>橙光武59级</v>
          </cell>
          <cell r="B4339">
            <v>504259</v>
          </cell>
        </row>
        <row r="4340">
          <cell r="A4340" t="str">
            <v>橙光武60级</v>
          </cell>
          <cell r="B4340">
            <v>504260</v>
          </cell>
        </row>
        <row r="4341">
          <cell r="A4341" t="str">
            <v>橙神盔1级</v>
          </cell>
          <cell r="B4341">
            <v>505201</v>
          </cell>
        </row>
        <row r="4342">
          <cell r="A4342" t="str">
            <v>橙神盔2级</v>
          </cell>
          <cell r="B4342">
            <v>505202</v>
          </cell>
        </row>
        <row r="4343">
          <cell r="A4343" t="str">
            <v>橙神盔3级</v>
          </cell>
          <cell r="B4343">
            <v>505203</v>
          </cell>
        </row>
        <row r="4344">
          <cell r="A4344" t="str">
            <v>橙神盔4级</v>
          </cell>
          <cell r="B4344">
            <v>505204</v>
          </cell>
        </row>
        <row r="4345">
          <cell r="A4345" t="str">
            <v>橙神盔5级</v>
          </cell>
          <cell r="B4345">
            <v>505205</v>
          </cell>
        </row>
        <row r="4346">
          <cell r="A4346" t="str">
            <v>橙神盔6级</v>
          </cell>
          <cell r="B4346">
            <v>505206</v>
          </cell>
        </row>
        <row r="4347">
          <cell r="A4347" t="str">
            <v>橙神盔7级</v>
          </cell>
          <cell r="B4347">
            <v>505207</v>
          </cell>
        </row>
        <row r="4348">
          <cell r="A4348" t="str">
            <v>橙神盔8级</v>
          </cell>
          <cell r="B4348">
            <v>505208</v>
          </cell>
        </row>
        <row r="4349">
          <cell r="A4349" t="str">
            <v>橙神盔9级</v>
          </cell>
          <cell r="B4349">
            <v>505209</v>
          </cell>
        </row>
        <row r="4350">
          <cell r="A4350" t="str">
            <v>橙神盔10级</v>
          </cell>
          <cell r="B4350">
            <v>505210</v>
          </cell>
        </row>
        <row r="4351">
          <cell r="A4351" t="str">
            <v>橙神盔11级</v>
          </cell>
          <cell r="B4351">
            <v>505211</v>
          </cell>
        </row>
        <row r="4352">
          <cell r="A4352" t="str">
            <v>橙神盔12级</v>
          </cell>
          <cell r="B4352">
            <v>505212</v>
          </cell>
        </row>
        <row r="4353">
          <cell r="A4353" t="str">
            <v>橙神盔13级</v>
          </cell>
          <cell r="B4353">
            <v>505213</v>
          </cell>
        </row>
        <row r="4354">
          <cell r="A4354" t="str">
            <v>橙神盔14级</v>
          </cell>
          <cell r="B4354">
            <v>505214</v>
          </cell>
        </row>
        <row r="4355">
          <cell r="A4355" t="str">
            <v>橙神盔15级</v>
          </cell>
          <cell r="B4355">
            <v>505215</v>
          </cell>
        </row>
        <row r="4356">
          <cell r="A4356" t="str">
            <v>橙神盔16级</v>
          </cell>
          <cell r="B4356">
            <v>505216</v>
          </cell>
        </row>
        <row r="4357">
          <cell r="A4357" t="str">
            <v>橙神盔17级</v>
          </cell>
          <cell r="B4357">
            <v>505217</v>
          </cell>
        </row>
        <row r="4358">
          <cell r="A4358" t="str">
            <v>橙神盔18级</v>
          </cell>
          <cell r="B4358">
            <v>505218</v>
          </cell>
        </row>
        <row r="4359">
          <cell r="A4359" t="str">
            <v>橙神盔19级</v>
          </cell>
          <cell r="B4359">
            <v>505219</v>
          </cell>
        </row>
        <row r="4360">
          <cell r="A4360" t="str">
            <v>橙神盔20级</v>
          </cell>
          <cell r="B4360">
            <v>505220</v>
          </cell>
        </row>
        <row r="4361">
          <cell r="A4361" t="str">
            <v>橙神盔21级</v>
          </cell>
          <cell r="B4361">
            <v>505221</v>
          </cell>
        </row>
        <row r="4362">
          <cell r="A4362" t="str">
            <v>橙神盔22级</v>
          </cell>
          <cell r="B4362">
            <v>505222</v>
          </cell>
        </row>
        <row r="4363">
          <cell r="A4363" t="str">
            <v>橙神盔23级</v>
          </cell>
          <cell r="B4363">
            <v>505223</v>
          </cell>
        </row>
        <row r="4364">
          <cell r="A4364" t="str">
            <v>橙神盔24级</v>
          </cell>
          <cell r="B4364">
            <v>505224</v>
          </cell>
        </row>
        <row r="4365">
          <cell r="A4365" t="str">
            <v>橙神盔25级</v>
          </cell>
          <cell r="B4365">
            <v>505225</v>
          </cell>
        </row>
        <row r="4366">
          <cell r="A4366" t="str">
            <v>橙神盔26级</v>
          </cell>
          <cell r="B4366">
            <v>505226</v>
          </cell>
        </row>
        <row r="4367">
          <cell r="A4367" t="str">
            <v>橙神盔27级</v>
          </cell>
          <cell r="B4367">
            <v>505227</v>
          </cell>
        </row>
        <row r="4368">
          <cell r="A4368" t="str">
            <v>橙神盔28级</v>
          </cell>
          <cell r="B4368">
            <v>505228</v>
          </cell>
        </row>
        <row r="4369">
          <cell r="A4369" t="str">
            <v>橙神盔29级</v>
          </cell>
          <cell r="B4369">
            <v>505229</v>
          </cell>
        </row>
        <row r="4370">
          <cell r="A4370" t="str">
            <v>橙神盔30级</v>
          </cell>
          <cell r="B4370">
            <v>505230</v>
          </cell>
        </row>
        <row r="4371">
          <cell r="A4371" t="str">
            <v>橙神盔31级</v>
          </cell>
          <cell r="B4371">
            <v>505231</v>
          </cell>
        </row>
        <row r="4372">
          <cell r="A4372" t="str">
            <v>橙神盔32级</v>
          </cell>
          <cell r="B4372">
            <v>505232</v>
          </cell>
        </row>
        <row r="4373">
          <cell r="A4373" t="str">
            <v>橙神盔33级</v>
          </cell>
          <cell r="B4373">
            <v>505233</v>
          </cell>
        </row>
        <row r="4374">
          <cell r="A4374" t="str">
            <v>橙神盔34级</v>
          </cell>
          <cell r="B4374">
            <v>505234</v>
          </cell>
        </row>
        <row r="4375">
          <cell r="A4375" t="str">
            <v>橙神盔35级</v>
          </cell>
          <cell r="B4375">
            <v>505235</v>
          </cell>
        </row>
        <row r="4376">
          <cell r="A4376" t="str">
            <v>橙神盔36级</v>
          </cell>
          <cell r="B4376">
            <v>505236</v>
          </cell>
        </row>
        <row r="4377">
          <cell r="A4377" t="str">
            <v>橙神盔37级</v>
          </cell>
          <cell r="B4377">
            <v>505237</v>
          </cell>
        </row>
        <row r="4378">
          <cell r="A4378" t="str">
            <v>橙神盔38级</v>
          </cell>
          <cell r="B4378">
            <v>505238</v>
          </cell>
        </row>
        <row r="4379">
          <cell r="A4379" t="str">
            <v>橙神盔39级</v>
          </cell>
          <cell r="B4379">
            <v>505239</v>
          </cell>
        </row>
        <row r="4380">
          <cell r="A4380" t="str">
            <v>橙神盔40级</v>
          </cell>
          <cell r="B4380">
            <v>505240</v>
          </cell>
        </row>
        <row r="4381">
          <cell r="A4381" t="str">
            <v>橙神盔41级</v>
          </cell>
          <cell r="B4381">
            <v>505241</v>
          </cell>
        </row>
        <row r="4382">
          <cell r="A4382" t="str">
            <v>橙神盔42级</v>
          </cell>
          <cell r="B4382">
            <v>505242</v>
          </cell>
        </row>
        <row r="4383">
          <cell r="A4383" t="str">
            <v>橙神盔43级</v>
          </cell>
          <cell r="B4383">
            <v>505243</v>
          </cell>
        </row>
        <row r="4384">
          <cell r="A4384" t="str">
            <v>橙神盔44级</v>
          </cell>
          <cell r="B4384">
            <v>505244</v>
          </cell>
        </row>
        <row r="4385">
          <cell r="A4385" t="str">
            <v>橙神盔45级</v>
          </cell>
          <cell r="B4385">
            <v>505245</v>
          </cell>
        </row>
        <row r="4386">
          <cell r="A4386" t="str">
            <v>橙神盔46级</v>
          </cell>
          <cell r="B4386">
            <v>505246</v>
          </cell>
        </row>
        <row r="4387">
          <cell r="A4387" t="str">
            <v>橙神盔47级</v>
          </cell>
          <cell r="B4387">
            <v>505247</v>
          </cell>
        </row>
        <row r="4388">
          <cell r="A4388" t="str">
            <v>橙神盔48级</v>
          </cell>
          <cell r="B4388">
            <v>505248</v>
          </cell>
        </row>
        <row r="4389">
          <cell r="A4389" t="str">
            <v>橙神盔49级</v>
          </cell>
          <cell r="B4389">
            <v>505249</v>
          </cell>
        </row>
        <row r="4390">
          <cell r="A4390" t="str">
            <v>橙神盔50级</v>
          </cell>
          <cell r="B4390">
            <v>505250</v>
          </cell>
        </row>
        <row r="4391">
          <cell r="A4391" t="str">
            <v>橙神盔51级</v>
          </cell>
          <cell r="B4391">
            <v>505251</v>
          </cell>
        </row>
        <row r="4392">
          <cell r="A4392" t="str">
            <v>橙神盔52级</v>
          </cell>
          <cell r="B4392">
            <v>505252</v>
          </cell>
        </row>
        <row r="4393">
          <cell r="A4393" t="str">
            <v>橙神盔53级</v>
          </cell>
          <cell r="B4393">
            <v>505253</v>
          </cell>
        </row>
        <row r="4394">
          <cell r="A4394" t="str">
            <v>橙神盔54级</v>
          </cell>
          <cell r="B4394">
            <v>505254</v>
          </cell>
        </row>
        <row r="4395">
          <cell r="A4395" t="str">
            <v>橙神盔55级</v>
          </cell>
          <cell r="B4395">
            <v>505255</v>
          </cell>
        </row>
        <row r="4396">
          <cell r="A4396" t="str">
            <v>橙神盔56级</v>
          </cell>
          <cell r="B4396">
            <v>505256</v>
          </cell>
        </row>
        <row r="4397">
          <cell r="A4397" t="str">
            <v>橙神盔57级</v>
          </cell>
          <cell r="B4397">
            <v>505257</v>
          </cell>
        </row>
        <row r="4398">
          <cell r="A4398" t="str">
            <v>橙神盔58级</v>
          </cell>
          <cell r="B4398">
            <v>505258</v>
          </cell>
        </row>
        <row r="4399">
          <cell r="A4399" t="str">
            <v>橙神盔59级</v>
          </cell>
          <cell r="B4399">
            <v>505259</v>
          </cell>
        </row>
        <row r="4400">
          <cell r="A4400" t="str">
            <v>橙神盔60级</v>
          </cell>
          <cell r="B4400">
            <v>505260</v>
          </cell>
        </row>
        <row r="4401">
          <cell r="A4401" t="str">
            <v>橙固甲1级</v>
          </cell>
          <cell r="B4401">
            <v>506201</v>
          </cell>
        </row>
        <row r="4402">
          <cell r="A4402" t="str">
            <v>橙固甲2级</v>
          </cell>
          <cell r="B4402">
            <v>506202</v>
          </cell>
        </row>
        <row r="4403">
          <cell r="A4403" t="str">
            <v>橙固甲3级</v>
          </cell>
          <cell r="B4403">
            <v>506203</v>
          </cell>
        </row>
        <row r="4404">
          <cell r="A4404" t="str">
            <v>橙固甲4级</v>
          </cell>
          <cell r="B4404">
            <v>506204</v>
          </cell>
        </row>
        <row r="4405">
          <cell r="A4405" t="str">
            <v>橙固甲5级</v>
          </cell>
          <cell r="B4405">
            <v>506205</v>
          </cell>
        </row>
        <row r="4406">
          <cell r="A4406" t="str">
            <v>橙固甲6级</v>
          </cell>
          <cell r="B4406">
            <v>506206</v>
          </cell>
        </row>
        <row r="4407">
          <cell r="A4407" t="str">
            <v>橙固甲7级</v>
          </cell>
          <cell r="B4407">
            <v>506207</v>
          </cell>
        </row>
        <row r="4408">
          <cell r="A4408" t="str">
            <v>橙固甲8级</v>
          </cell>
          <cell r="B4408">
            <v>506208</v>
          </cell>
        </row>
        <row r="4409">
          <cell r="A4409" t="str">
            <v>橙固甲9级</v>
          </cell>
          <cell r="B4409">
            <v>506209</v>
          </cell>
        </row>
        <row r="4410">
          <cell r="A4410" t="str">
            <v>橙固甲10级</v>
          </cell>
          <cell r="B4410">
            <v>506210</v>
          </cell>
        </row>
        <row r="4411">
          <cell r="A4411" t="str">
            <v>橙固甲11级</v>
          </cell>
          <cell r="B4411">
            <v>506211</v>
          </cell>
        </row>
        <row r="4412">
          <cell r="A4412" t="str">
            <v>橙固甲12级</v>
          </cell>
          <cell r="B4412">
            <v>506212</v>
          </cell>
        </row>
        <row r="4413">
          <cell r="A4413" t="str">
            <v>橙固甲13级</v>
          </cell>
          <cell r="B4413">
            <v>506213</v>
          </cell>
        </row>
        <row r="4414">
          <cell r="A4414" t="str">
            <v>橙固甲14级</v>
          </cell>
          <cell r="B4414">
            <v>506214</v>
          </cell>
        </row>
        <row r="4415">
          <cell r="A4415" t="str">
            <v>橙固甲15级</v>
          </cell>
          <cell r="B4415">
            <v>506215</v>
          </cell>
        </row>
        <row r="4416">
          <cell r="A4416" t="str">
            <v>橙固甲16级</v>
          </cell>
          <cell r="B4416">
            <v>506216</v>
          </cell>
        </row>
        <row r="4417">
          <cell r="A4417" t="str">
            <v>橙固甲17级</v>
          </cell>
          <cell r="B4417">
            <v>506217</v>
          </cell>
        </row>
        <row r="4418">
          <cell r="A4418" t="str">
            <v>橙固甲18级</v>
          </cell>
          <cell r="B4418">
            <v>506218</v>
          </cell>
        </row>
        <row r="4419">
          <cell r="A4419" t="str">
            <v>橙固甲19级</v>
          </cell>
          <cell r="B4419">
            <v>506219</v>
          </cell>
        </row>
        <row r="4420">
          <cell r="A4420" t="str">
            <v>橙固甲20级</v>
          </cell>
          <cell r="B4420">
            <v>506220</v>
          </cell>
        </row>
        <row r="4421">
          <cell r="A4421" t="str">
            <v>橙固甲21级</v>
          </cell>
          <cell r="B4421">
            <v>506221</v>
          </cell>
        </row>
        <row r="4422">
          <cell r="A4422" t="str">
            <v>橙固甲22级</v>
          </cell>
          <cell r="B4422">
            <v>506222</v>
          </cell>
        </row>
        <row r="4423">
          <cell r="A4423" t="str">
            <v>橙固甲23级</v>
          </cell>
          <cell r="B4423">
            <v>506223</v>
          </cell>
        </row>
        <row r="4424">
          <cell r="A4424" t="str">
            <v>橙固甲24级</v>
          </cell>
          <cell r="B4424">
            <v>506224</v>
          </cell>
        </row>
        <row r="4425">
          <cell r="A4425" t="str">
            <v>橙固甲25级</v>
          </cell>
          <cell r="B4425">
            <v>506225</v>
          </cell>
        </row>
        <row r="4426">
          <cell r="A4426" t="str">
            <v>橙固甲26级</v>
          </cell>
          <cell r="B4426">
            <v>506226</v>
          </cell>
        </row>
        <row r="4427">
          <cell r="A4427" t="str">
            <v>橙固甲27级</v>
          </cell>
          <cell r="B4427">
            <v>506227</v>
          </cell>
        </row>
        <row r="4428">
          <cell r="A4428" t="str">
            <v>橙固甲28级</v>
          </cell>
          <cell r="B4428">
            <v>506228</v>
          </cell>
        </row>
        <row r="4429">
          <cell r="A4429" t="str">
            <v>橙固甲29级</v>
          </cell>
          <cell r="B4429">
            <v>506229</v>
          </cell>
        </row>
        <row r="4430">
          <cell r="A4430" t="str">
            <v>橙固甲30级</v>
          </cell>
          <cell r="B4430">
            <v>506230</v>
          </cell>
        </row>
        <row r="4431">
          <cell r="A4431" t="str">
            <v>橙固甲31级</v>
          </cell>
          <cell r="B4431">
            <v>506231</v>
          </cell>
        </row>
        <row r="4432">
          <cell r="A4432" t="str">
            <v>橙固甲32级</v>
          </cell>
          <cell r="B4432">
            <v>506232</v>
          </cell>
        </row>
        <row r="4433">
          <cell r="A4433" t="str">
            <v>橙固甲33级</v>
          </cell>
          <cell r="B4433">
            <v>506233</v>
          </cell>
        </row>
        <row r="4434">
          <cell r="A4434" t="str">
            <v>橙固甲34级</v>
          </cell>
          <cell r="B4434">
            <v>506234</v>
          </cell>
        </row>
        <row r="4435">
          <cell r="A4435" t="str">
            <v>橙固甲35级</v>
          </cell>
          <cell r="B4435">
            <v>506235</v>
          </cell>
        </row>
        <row r="4436">
          <cell r="A4436" t="str">
            <v>橙固甲36级</v>
          </cell>
          <cell r="B4436">
            <v>506236</v>
          </cell>
        </row>
        <row r="4437">
          <cell r="A4437" t="str">
            <v>橙固甲37级</v>
          </cell>
          <cell r="B4437">
            <v>506237</v>
          </cell>
        </row>
        <row r="4438">
          <cell r="A4438" t="str">
            <v>橙固甲38级</v>
          </cell>
          <cell r="B4438">
            <v>506238</v>
          </cell>
        </row>
        <row r="4439">
          <cell r="A4439" t="str">
            <v>橙固甲39级</v>
          </cell>
          <cell r="B4439">
            <v>506239</v>
          </cell>
        </row>
        <row r="4440">
          <cell r="A4440" t="str">
            <v>橙固甲40级</v>
          </cell>
          <cell r="B4440">
            <v>506240</v>
          </cell>
        </row>
        <row r="4441">
          <cell r="A4441" t="str">
            <v>橙固甲41级</v>
          </cell>
          <cell r="B4441">
            <v>506241</v>
          </cell>
        </row>
        <row r="4442">
          <cell r="A4442" t="str">
            <v>橙固甲42级</v>
          </cell>
          <cell r="B4442">
            <v>506242</v>
          </cell>
        </row>
        <row r="4443">
          <cell r="A4443" t="str">
            <v>橙固甲43级</v>
          </cell>
          <cell r="B4443">
            <v>506243</v>
          </cell>
        </row>
        <row r="4444">
          <cell r="A4444" t="str">
            <v>橙固甲44级</v>
          </cell>
          <cell r="B4444">
            <v>506244</v>
          </cell>
        </row>
        <row r="4445">
          <cell r="A4445" t="str">
            <v>橙固甲45级</v>
          </cell>
          <cell r="B4445">
            <v>506245</v>
          </cell>
        </row>
        <row r="4446">
          <cell r="A4446" t="str">
            <v>橙固甲46级</v>
          </cell>
          <cell r="B4446">
            <v>506246</v>
          </cell>
        </row>
        <row r="4447">
          <cell r="A4447" t="str">
            <v>橙固甲47级</v>
          </cell>
          <cell r="B4447">
            <v>506247</v>
          </cell>
        </row>
        <row r="4448">
          <cell r="A4448" t="str">
            <v>橙固甲48级</v>
          </cell>
          <cell r="B4448">
            <v>506248</v>
          </cell>
        </row>
        <row r="4449">
          <cell r="A4449" t="str">
            <v>橙固甲49级</v>
          </cell>
          <cell r="B4449">
            <v>506249</v>
          </cell>
        </row>
        <row r="4450">
          <cell r="A4450" t="str">
            <v>橙固甲50级</v>
          </cell>
          <cell r="B4450">
            <v>506250</v>
          </cell>
        </row>
        <row r="4451">
          <cell r="A4451" t="str">
            <v>橙固甲51级</v>
          </cell>
          <cell r="B4451">
            <v>506251</v>
          </cell>
        </row>
        <row r="4452">
          <cell r="A4452" t="str">
            <v>橙固甲52级</v>
          </cell>
          <cell r="B4452">
            <v>506252</v>
          </cell>
        </row>
        <row r="4453">
          <cell r="A4453" t="str">
            <v>橙固甲53级</v>
          </cell>
          <cell r="B4453">
            <v>506253</v>
          </cell>
        </row>
        <row r="4454">
          <cell r="A4454" t="str">
            <v>橙固甲54级</v>
          </cell>
          <cell r="B4454">
            <v>506254</v>
          </cell>
        </row>
        <row r="4455">
          <cell r="A4455" t="str">
            <v>橙固甲55级</v>
          </cell>
          <cell r="B4455">
            <v>506255</v>
          </cell>
        </row>
        <row r="4456">
          <cell r="A4456" t="str">
            <v>橙固甲56级</v>
          </cell>
          <cell r="B4456">
            <v>506256</v>
          </cell>
        </row>
        <row r="4457">
          <cell r="A4457" t="str">
            <v>橙固甲57级</v>
          </cell>
          <cell r="B4457">
            <v>506257</v>
          </cell>
        </row>
        <row r="4458">
          <cell r="A4458" t="str">
            <v>橙固甲58级</v>
          </cell>
          <cell r="B4458">
            <v>506258</v>
          </cell>
        </row>
        <row r="4459">
          <cell r="A4459" t="str">
            <v>橙固甲59级</v>
          </cell>
          <cell r="B4459">
            <v>506259</v>
          </cell>
        </row>
        <row r="4460">
          <cell r="A4460" t="str">
            <v>橙固甲60级</v>
          </cell>
          <cell r="B4460">
            <v>506260</v>
          </cell>
        </row>
        <row r="4461">
          <cell r="A4461" t="str">
            <v>橙灵链1级</v>
          </cell>
          <cell r="B4461">
            <v>507201</v>
          </cell>
        </row>
        <row r="4462">
          <cell r="A4462" t="str">
            <v>橙灵链2级</v>
          </cell>
          <cell r="B4462">
            <v>507202</v>
          </cell>
        </row>
        <row r="4463">
          <cell r="A4463" t="str">
            <v>橙灵链3级</v>
          </cell>
          <cell r="B4463">
            <v>507203</v>
          </cell>
        </row>
        <row r="4464">
          <cell r="A4464" t="str">
            <v>橙灵链4级</v>
          </cell>
          <cell r="B4464">
            <v>507204</v>
          </cell>
        </row>
        <row r="4465">
          <cell r="A4465" t="str">
            <v>橙灵链5级</v>
          </cell>
          <cell r="B4465">
            <v>507205</v>
          </cell>
        </row>
        <row r="4466">
          <cell r="A4466" t="str">
            <v>橙灵链6级</v>
          </cell>
          <cell r="B4466">
            <v>507206</v>
          </cell>
        </row>
        <row r="4467">
          <cell r="A4467" t="str">
            <v>橙灵链7级</v>
          </cell>
          <cell r="B4467">
            <v>507207</v>
          </cell>
        </row>
        <row r="4468">
          <cell r="A4468" t="str">
            <v>橙灵链8级</v>
          </cell>
          <cell r="B4468">
            <v>507208</v>
          </cell>
        </row>
        <row r="4469">
          <cell r="A4469" t="str">
            <v>橙灵链9级</v>
          </cell>
          <cell r="B4469">
            <v>507209</v>
          </cell>
        </row>
        <row r="4470">
          <cell r="A4470" t="str">
            <v>橙灵链10级</v>
          </cell>
          <cell r="B4470">
            <v>507210</v>
          </cell>
        </row>
        <row r="4471">
          <cell r="A4471" t="str">
            <v>橙灵链11级</v>
          </cell>
          <cell r="B4471">
            <v>507211</v>
          </cell>
        </row>
        <row r="4472">
          <cell r="A4472" t="str">
            <v>橙灵链12级</v>
          </cell>
          <cell r="B4472">
            <v>507212</v>
          </cell>
        </row>
        <row r="4473">
          <cell r="A4473" t="str">
            <v>橙灵链13级</v>
          </cell>
          <cell r="B4473">
            <v>507213</v>
          </cell>
        </row>
        <row r="4474">
          <cell r="A4474" t="str">
            <v>橙灵链14级</v>
          </cell>
          <cell r="B4474">
            <v>507214</v>
          </cell>
        </row>
        <row r="4475">
          <cell r="A4475" t="str">
            <v>橙灵链15级</v>
          </cell>
          <cell r="B4475">
            <v>507215</v>
          </cell>
        </row>
        <row r="4476">
          <cell r="A4476" t="str">
            <v>橙灵链16级</v>
          </cell>
          <cell r="B4476">
            <v>507216</v>
          </cell>
        </row>
        <row r="4477">
          <cell r="A4477" t="str">
            <v>橙灵链17级</v>
          </cell>
          <cell r="B4477">
            <v>507217</v>
          </cell>
        </row>
        <row r="4478">
          <cell r="A4478" t="str">
            <v>橙灵链18级</v>
          </cell>
          <cell r="B4478">
            <v>507218</v>
          </cell>
        </row>
        <row r="4479">
          <cell r="A4479" t="str">
            <v>橙灵链19级</v>
          </cell>
          <cell r="B4479">
            <v>507219</v>
          </cell>
        </row>
        <row r="4480">
          <cell r="A4480" t="str">
            <v>橙灵链20级</v>
          </cell>
          <cell r="B4480">
            <v>507220</v>
          </cell>
        </row>
        <row r="4481">
          <cell r="A4481" t="str">
            <v>橙灵链21级</v>
          </cell>
          <cell r="B4481">
            <v>507221</v>
          </cell>
        </row>
        <row r="4482">
          <cell r="A4482" t="str">
            <v>橙灵链22级</v>
          </cell>
          <cell r="B4482">
            <v>507222</v>
          </cell>
        </row>
        <row r="4483">
          <cell r="A4483" t="str">
            <v>橙灵链23级</v>
          </cell>
          <cell r="B4483">
            <v>507223</v>
          </cell>
        </row>
        <row r="4484">
          <cell r="A4484" t="str">
            <v>橙灵链24级</v>
          </cell>
          <cell r="B4484">
            <v>507224</v>
          </cell>
        </row>
        <row r="4485">
          <cell r="A4485" t="str">
            <v>橙灵链25级</v>
          </cell>
          <cell r="B4485">
            <v>507225</v>
          </cell>
        </row>
        <row r="4486">
          <cell r="A4486" t="str">
            <v>橙灵链26级</v>
          </cell>
          <cell r="B4486">
            <v>507226</v>
          </cell>
        </row>
        <row r="4487">
          <cell r="A4487" t="str">
            <v>橙灵链27级</v>
          </cell>
          <cell r="B4487">
            <v>507227</v>
          </cell>
        </row>
        <row r="4488">
          <cell r="A4488" t="str">
            <v>橙灵链28级</v>
          </cell>
          <cell r="B4488">
            <v>507228</v>
          </cell>
        </row>
        <row r="4489">
          <cell r="A4489" t="str">
            <v>橙灵链29级</v>
          </cell>
          <cell r="B4489">
            <v>507229</v>
          </cell>
        </row>
        <row r="4490">
          <cell r="A4490" t="str">
            <v>橙灵链30级</v>
          </cell>
          <cell r="B4490">
            <v>507230</v>
          </cell>
        </row>
        <row r="4491">
          <cell r="A4491" t="str">
            <v>橙灵链31级</v>
          </cell>
          <cell r="B4491">
            <v>507231</v>
          </cell>
        </row>
        <row r="4492">
          <cell r="A4492" t="str">
            <v>橙灵链32级</v>
          </cell>
          <cell r="B4492">
            <v>507232</v>
          </cell>
        </row>
        <row r="4493">
          <cell r="A4493" t="str">
            <v>橙灵链33级</v>
          </cell>
          <cell r="B4493">
            <v>507233</v>
          </cell>
        </row>
        <row r="4494">
          <cell r="A4494" t="str">
            <v>橙灵链34级</v>
          </cell>
          <cell r="B4494">
            <v>507234</v>
          </cell>
        </row>
        <row r="4495">
          <cell r="A4495" t="str">
            <v>橙灵链35级</v>
          </cell>
          <cell r="B4495">
            <v>507235</v>
          </cell>
        </row>
        <row r="4496">
          <cell r="A4496" t="str">
            <v>橙灵链36级</v>
          </cell>
          <cell r="B4496">
            <v>507236</v>
          </cell>
        </row>
        <row r="4497">
          <cell r="A4497" t="str">
            <v>橙灵链37级</v>
          </cell>
          <cell r="B4497">
            <v>507237</v>
          </cell>
        </row>
        <row r="4498">
          <cell r="A4498" t="str">
            <v>橙灵链38级</v>
          </cell>
          <cell r="B4498">
            <v>507238</v>
          </cell>
        </row>
        <row r="4499">
          <cell r="A4499" t="str">
            <v>橙灵链39级</v>
          </cell>
          <cell r="B4499">
            <v>507239</v>
          </cell>
        </row>
        <row r="4500">
          <cell r="A4500" t="str">
            <v>橙灵链40级</v>
          </cell>
          <cell r="B4500">
            <v>507240</v>
          </cell>
        </row>
        <row r="4501">
          <cell r="A4501" t="str">
            <v>橙灵链41级</v>
          </cell>
          <cell r="B4501">
            <v>507241</v>
          </cell>
        </row>
        <row r="4502">
          <cell r="A4502" t="str">
            <v>橙灵链42级</v>
          </cell>
          <cell r="B4502">
            <v>507242</v>
          </cell>
        </row>
        <row r="4503">
          <cell r="A4503" t="str">
            <v>橙灵链43级</v>
          </cell>
          <cell r="B4503">
            <v>507243</v>
          </cell>
        </row>
        <row r="4504">
          <cell r="A4504" t="str">
            <v>橙灵链44级</v>
          </cell>
          <cell r="B4504">
            <v>507244</v>
          </cell>
        </row>
        <row r="4505">
          <cell r="A4505" t="str">
            <v>橙灵链45级</v>
          </cell>
          <cell r="B4505">
            <v>507245</v>
          </cell>
        </row>
        <row r="4506">
          <cell r="A4506" t="str">
            <v>橙灵链46级</v>
          </cell>
          <cell r="B4506">
            <v>507246</v>
          </cell>
        </row>
        <row r="4507">
          <cell r="A4507" t="str">
            <v>橙灵链47级</v>
          </cell>
          <cell r="B4507">
            <v>507247</v>
          </cell>
        </row>
        <row r="4508">
          <cell r="A4508" t="str">
            <v>橙灵链48级</v>
          </cell>
          <cell r="B4508">
            <v>507248</v>
          </cell>
        </row>
        <row r="4509">
          <cell r="A4509" t="str">
            <v>橙灵链49级</v>
          </cell>
          <cell r="B4509">
            <v>507249</v>
          </cell>
        </row>
        <row r="4510">
          <cell r="A4510" t="str">
            <v>橙灵链50级</v>
          </cell>
          <cell r="B4510">
            <v>507250</v>
          </cell>
        </row>
        <row r="4511">
          <cell r="A4511" t="str">
            <v>橙灵链51级</v>
          </cell>
          <cell r="B4511">
            <v>507251</v>
          </cell>
        </row>
        <row r="4512">
          <cell r="A4512" t="str">
            <v>橙灵链52级</v>
          </cell>
          <cell r="B4512">
            <v>507252</v>
          </cell>
        </row>
        <row r="4513">
          <cell r="A4513" t="str">
            <v>橙灵链53级</v>
          </cell>
          <cell r="B4513">
            <v>507253</v>
          </cell>
        </row>
        <row r="4514">
          <cell r="A4514" t="str">
            <v>橙灵链54级</v>
          </cell>
          <cell r="B4514">
            <v>507254</v>
          </cell>
        </row>
        <row r="4515">
          <cell r="A4515" t="str">
            <v>橙灵链55级</v>
          </cell>
          <cell r="B4515">
            <v>507255</v>
          </cell>
        </row>
        <row r="4516">
          <cell r="A4516" t="str">
            <v>橙灵链56级</v>
          </cell>
          <cell r="B4516">
            <v>507256</v>
          </cell>
        </row>
        <row r="4517">
          <cell r="A4517" t="str">
            <v>橙灵链57级</v>
          </cell>
          <cell r="B4517">
            <v>507257</v>
          </cell>
        </row>
        <row r="4518">
          <cell r="A4518" t="str">
            <v>橙灵链58级</v>
          </cell>
          <cell r="B4518">
            <v>507258</v>
          </cell>
        </row>
        <row r="4519">
          <cell r="A4519" t="str">
            <v>橙灵链59级</v>
          </cell>
          <cell r="B4519">
            <v>507259</v>
          </cell>
        </row>
        <row r="4520">
          <cell r="A4520" t="str">
            <v>橙灵链60级</v>
          </cell>
          <cell r="B4520">
            <v>507260</v>
          </cell>
        </row>
        <row r="4521">
          <cell r="A4521" t="str">
            <v>橙地镯1级</v>
          </cell>
          <cell r="B4521">
            <v>508201</v>
          </cell>
        </row>
        <row r="4522">
          <cell r="A4522" t="str">
            <v>橙地镯2级</v>
          </cell>
          <cell r="B4522">
            <v>508202</v>
          </cell>
        </row>
        <row r="4523">
          <cell r="A4523" t="str">
            <v>橙地镯3级</v>
          </cell>
          <cell r="B4523">
            <v>508203</v>
          </cell>
        </row>
        <row r="4524">
          <cell r="A4524" t="str">
            <v>橙地镯4级</v>
          </cell>
          <cell r="B4524">
            <v>508204</v>
          </cell>
        </row>
        <row r="4525">
          <cell r="A4525" t="str">
            <v>橙地镯5级</v>
          </cell>
          <cell r="B4525">
            <v>508205</v>
          </cell>
        </row>
        <row r="4526">
          <cell r="A4526" t="str">
            <v>橙地镯6级</v>
          </cell>
          <cell r="B4526">
            <v>508206</v>
          </cell>
        </row>
        <row r="4527">
          <cell r="A4527" t="str">
            <v>橙地镯7级</v>
          </cell>
          <cell r="B4527">
            <v>508207</v>
          </cell>
        </row>
        <row r="4528">
          <cell r="A4528" t="str">
            <v>橙地镯8级</v>
          </cell>
          <cell r="B4528">
            <v>508208</v>
          </cell>
        </row>
        <row r="4529">
          <cell r="A4529" t="str">
            <v>橙地镯9级</v>
          </cell>
          <cell r="B4529">
            <v>508209</v>
          </cell>
        </row>
        <row r="4530">
          <cell r="A4530" t="str">
            <v>橙地镯10级</v>
          </cell>
          <cell r="B4530">
            <v>508210</v>
          </cell>
        </row>
        <row r="4531">
          <cell r="A4531" t="str">
            <v>橙地镯11级</v>
          </cell>
          <cell r="B4531">
            <v>508211</v>
          </cell>
        </row>
        <row r="4532">
          <cell r="A4532" t="str">
            <v>橙地镯12级</v>
          </cell>
          <cell r="B4532">
            <v>508212</v>
          </cell>
        </row>
        <row r="4533">
          <cell r="A4533" t="str">
            <v>橙地镯13级</v>
          </cell>
          <cell r="B4533">
            <v>508213</v>
          </cell>
        </row>
        <row r="4534">
          <cell r="A4534" t="str">
            <v>橙地镯14级</v>
          </cell>
          <cell r="B4534">
            <v>508214</v>
          </cell>
        </row>
        <row r="4535">
          <cell r="A4535" t="str">
            <v>橙地镯15级</v>
          </cell>
          <cell r="B4535">
            <v>508215</v>
          </cell>
        </row>
        <row r="4536">
          <cell r="A4536" t="str">
            <v>橙地镯16级</v>
          </cell>
          <cell r="B4536">
            <v>508216</v>
          </cell>
        </row>
        <row r="4537">
          <cell r="A4537" t="str">
            <v>橙地镯17级</v>
          </cell>
          <cell r="B4537">
            <v>508217</v>
          </cell>
        </row>
        <row r="4538">
          <cell r="A4538" t="str">
            <v>橙地镯18级</v>
          </cell>
          <cell r="B4538">
            <v>508218</v>
          </cell>
        </row>
        <row r="4539">
          <cell r="A4539" t="str">
            <v>橙地镯19级</v>
          </cell>
          <cell r="B4539">
            <v>508219</v>
          </cell>
        </row>
        <row r="4540">
          <cell r="A4540" t="str">
            <v>橙地镯20级</v>
          </cell>
          <cell r="B4540">
            <v>508220</v>
          </cell>
        </row>
        <row r="4541">
          <cell r="A4541" t="str">
            <v>橙地镯21级</v>
          </cell>
          <cell r="B4541">
            <v>508221</v>
          </cell>
        </row>
        <row r="4542">
          <cell r="A4542" t="str">
            <v>橙地镯22级</v>
          </cell>
          <cell r="B4542">
            <v>508222</v>
          </cell>
        </row>
        <row r="4543">
          <cell r="A4543" t="str">
            <v>橙地镯23级</v>
          </cell>
          <cell r="B4543">
            <v>508223</v>
          </cell>
        </row>
        <row r="4544">
          <cell r="A4544" t="str">
            <v>橙地镯24级</v>
          </cell>
          <cell r="B4544">
            <v>508224</v>
          </cell>
        </row>
        <row r="4545">
          <cell r="A4545" t="str">
            <v>橙地镯25级</v>
          </cell>
          <cell r="B4545">
            <v>508225</v>
          </cell>
        </row>
        <row r="4546">
          <cell r="A4546" t="str">
            <v>橙地镯26级</v>
          </cell>
          <cell r="B4546">
            <v>508226</v>
          </cell>
        </row>
        <row r="4547">
          <cell r="A4547" t="str">
            <v>橙地镯27级</v>
          </cell>
          <cell r="B4547">
            <v>508227</v>
          </cell>
        </row>
        <row r="4548">
          <cell r="A4548" t="str">
            <v>橙地镯28级</v>
          </cell>
          <cell r="B4548">
            <v>508228</v>
          </cell>
        </row>
        <row r="4549">
          <cell r="A4549" t="str">
            <v>橙地镯29级</v>
          </cell>
          <cell r="B4549">
            <v>508229</v>
          </cell>
        </row>
        <row r="4550">
          <cell r="A4550" t="str">
            <v>橙地镯30级</v>
          </cell>
          <cell r="B4550">
            <v>508230</v>
          </cell>
        </row>
        <row r="4551">
          <cell r="A4551" t="str">
            <v>橙地镯31级</v>
          </cell>
          <cell r="B4551">
            <v>508231</v>
          </cell>
        </row>
        <row r="4552">
          <cell r="A4552" t="str">
            <v>橙地镯32级</v>
          </cell>
          <cell r="B4552">
            <v>508232</v>
          </cell>
        </row>
        <row r="4553">
          <cell r="A4553" t="str">
            <v>橙地镯33级</v>
          </cell>
          <cell r="B4553">
            <v>508233</v>
          </cell>
        </row>
        <row r="4554">
          <cell r="A4554" t="str">
            <v>橙地镯34级</v>
          </cell>
          <cell r="B4554">
            <v>508234</v>
          </cell>
        </row>
        <row r="4555">
          <cell r="A4555" t="str">
            <v>橙地镯35级</v>
          </cell>
          <cell r="B4555">
            <v>508235</v>
          </cell>
        </row>
        <row r="4556">
          <cell r="A4556" t="str">
            <v>橙地镯36级</v>
          </cell>
          <cell r="B4556">
            <v>508236</v>
          </cell>
        </row>
        <row r="4557">
          <cell r="A4557" t="str">
            <v>橙地镯37级</v>
          </cell>
          <cell r="B4557">
            <v>508237</v>
          </cell>
        </row>
        <row r="4558">
          <cell r="A4558" t="str">
            <v>橙地镯38级</v>
          </cell>
          <cell r="B4558">
            <v>508238</v>
          </cell>
        </row>
        <row r="4559">
          <cell r="A4559" t="str">
            <v>橙地镯39级</v>
          </cell>
          <cell r="B4559">
            <v>508239</v>
          </cell>
        </row>
        <row r="4560">
          <cell r="A4560" t="str">
            <v>橙地镯40级</v>
          </cell>
          <cell r="B4560">
            <v>508240</v>
          </cell>
        </row>
        <row r="4561">
          <cell r="A4561" t="str">
            <v>橙地镯41级</v>
          </cell>
          <cell r="B4561">
            <v>508241</v>
          </cell>
        </row>
        <row r="4562">
          <cell r="A4562" t="str">
            <v>橙地镯42级</v>
          </cell>
          <cell r="B4562">
            <v>508242</v>
          </cell>
        </row>
        <row r="4563">
          <cell r="A4563" t="str">
            <v>橙地镯43级</v>
          </cell>
          <cell r="B4563">
            <v>508243</v>
          </cell>
        </row>
        <row r="4564">
          <cell r="A4564" t="str">
            <v>橙地镯44级</v>
          </cell>
          <cell r="B4564">
            <v>508244</v>
          </cell>
        </row>
        <row r="4565">
          <cell r="A4565" t="str">
            <v>橙地镯45级</v>
          </cell>
          <cell r="B4565">
            <v>508245</v>
          </cell>
        </row>
        <row r="4566">
          <cell r="A4566" t="str">
            <v>橙地镯46级</v>
          </cell>
          <cell r="B4566">
            <v>508246</v>
          </cell>
        </row>
        <row r="4567">
          <cell r="A4567" t="str">
            <v>橙地镯47级</v>
          </cell>
          <cell r="B4567">
            <v>508247</v>
          </cell>
        </row>
        <row r="4568">
          <cell r="A4568" t="str">
            <v>橙地镯48级</v>
          </cell>
          <cell r="B4568">
            <v>508248</v>
          </cell>
        </row>
        <row r="4569">
          <cell r="A4569" t="str">
            <v>橙地镯49级</v>
          </cell>
          <cell r="B4569">
            <v>508249</v>
          </cell>
        </row>
        <row r="4570">
          <cell r="A4570" t="str">
            <v>橙地镯50级</v>
          </cell>
          <cell r="B4570">
            <v>508250</v>
          </cell>
        </row>
        <row r="4571">
          <cell r="A4571" t="str">
            <v>橙地镯51级</v>
          </cell>
          <cell r="B4571">
            <v>508251</v>
          </cell>
        </row>
        <row r="4572">
          <cell r="A4572" t="str">
            <v>橙地镯52级</v>
          </cell>
          <cell r="B4572">
            <v>508252</v>
          </cell>
        </row>
        <row r="4573">
          <cell r="A4573" t="str">
            <v>橙地镯53级</v>
          </cell>
          <cell r="B4573">
            <v>508253</v>
          </cell>
        </row>
        <row r="4574">
          <cell r="A4574" t="str">
            <v>橙地镯54级</v>
          </cell>
          <cell r="B4574">
            <v>508254</v>
          </cell>
        </row>
        <row r="4575">
          <cell r="A4575" t="str">
            <v>橙地镯55级</v>
          </cell>
          <cell r="B4575">
            <v>508255</v>
          </cell>
        </row>
        <row r="4576">
          <cell r="A4576" t="str">
            <v>橙地镯56级</v>
          </cell>
          <cell r="B4576">
            <v>508256</v>
          </cell>
        </row>
        <row r="4577">
          <cell r="A4577" t="str">
            <v>橙地镯57级</v>
          </cell>
          <cell r="B4577">
            <v>508257</v>
          </cell>
        </row>
        <row r="4578">
          <cell r="A4578" t="str">
            <v>橙地镯58级</v>
          </cell>
          <cell r="B4578">
            <v>508258</v>
          </cell>
        </row>
        <row r="4579">
          <cell r="A4579" t="str">
            <v>橙地镯59级</v>
          </cell>
          <cell r="B4579">
            <v>508259</v>
          </cell>
        </row>
        <row r="4580">
          <cell r="A4580" t="str">
            <v>橙地镯60级</v>
          </cell>
          <cell r="B4580">
            <v>508260</v>
          </cell>
        </row>
        <row r="4581">
          <cell r="A4581" t="str">
            <v>橙乾戒1级</v>
          </cell>
          <cell r="B4581">
            <v>509201</v>
          </cell>
        </row>
        <row r="4582">
          <cell r="A4582" t="str">
            <v>橙乾戒2级</v>
          </cell>
          <cell r="B4582">
            <v>509202</v>
          </cell>
        </row>
        <row r="4583">
          <cell r="A4583" t="str">
            <v>橙乾戒3级</v>
          </cell>
          <cell r="B4583">
            <v>509203</v>
          </cell>
        </row>
        <row r="4584">
          <cell r="A4584" t="str">
            <v>橙乾戒4级</v>
          </cell>
          <cell r="B4584">
            <v>509204</v>
          </cell>
        </row>
        <row r="4585">
          <cell r="A4585" t="str">
            <v>橙乾戒5级</v>
          </cell>
          <cell r="B4585">
            <v>509205</v>
          </cell>
        </row>
        <row r="4586">
          <cell r="A4586" t="str">
            <v>橙乾戒6级</v>
          </cell>
          <cell r="B4586">
            <v>509206</v>
          </cell>
        </row>
        <row r="4587">
          <cell r="A4587" t="str">
            <v>橙乾戒7级</v>
          </cell>
          <cell r="B4587">
            <v>509207</v>
          </cell>
        </row>
        <row r="4588">
          <cell r="A4588" t="str">
            <v>橙乾戒8级</v>
          </cell>
          <cell r="B4588">
            <v>509208</v>
          </cell>
        </row>
        <row r="4589">
          <cell r="A4589" t="str">
            <v>橙乾戒9级</v>
          </cell>
          <cell r="B4589">
            <v>509209</v>
          </cell>
        </row>
        <row r="4590">
          <cell r="A4590" t="str">
            <v>橙乾戒10级</v>
          </cell>
          <cell r="B4590">
            <v>509210</v>
          </cell>
        </row>
        <row r="4591">
          <cell r="A4591" t="str">
            <v>橙乾戒11级</v>
          </cell>
          <cell r="B4591">
            <v>509211</v>
          </cell>
        </row>
        <row r="4592">
          <cell r="A4592" t="str">
            <v>橙乾戒12级</v>
          </cell>
          <cell r="B4592">
            <v>509212</v>
          </cell>
        </row>
        <row r="4593">
          <cell r="A4593" t="str">
            <v>橙乾戒13级</v>
          </cell>
          <cell r="B4593">
            <v>509213</v>
          </cell>
        </row>
        <row r="4594">
          <cell r="A4594" t="str">
            <v>橙乾戒14级</v>
          </cell>
          <cell r="B4594">
            <v>509214</v>
          </cell>
        </row>
        <row r="4595">
          <cell r="A4595" t="str">
            <v>橙乾戒15级</v>
          </cell>
          <cell r="B4595">
            <v>509215</v>
          </cell>
        </row>
        <row r="4596">
          <cell r="A4596" t="str">
            <v>橙乾戒16级</v>
          </cell>
          <cell r="B4596">
            <v>509216</v>
          </cell>
        </row>
        <row r="4597">
          <cell r="A4597" t="str">
            <v>橙乾戒17级</v>
          </cell>
          <cell r="B4597">
            <v>509217</v>
          </cell>
        </row>
        <row r="4598">
          <cell r="A4598" t="str">
            <v>橙乾戒18级</v>
          </cell>
          <cell r="B4598">
            <v>509218</v>
          </cell>
        </row>
        <row r="4599">
          <cell r="A4599" t="str">
            <v>橙乾戒19级</v>
          </cell>
          <cell r="B4599">
            <v>509219</v>
          </cell>
        </row>
        <row r="4600">
          <cell r="A4600" t="str">
            <v>橙乾戒20级</v>
          </cell>
          <cell r="B4600">
            <v>509220</v>
          </cell>
        </row>
        <row r="4601">
          <cell r="A4601" t="str">
            <v>橙乾戒21级</v>
          </cell>
          <cell r="B4601">
            <v>509221</v>
          </cell>
        </row>
        <row r="4602">
          <cell r="A4602" t="str">
            <v>橙乾戒22级</v>
          </cell>
          <cell r="B4602">
            <v>509222</v>
          </cell>
        </row>
        <row r="4603">
          <cell r="A4603" t="str">
            <v>橙乾戒23级</v>
          </cell>
          <cell r="B4603">
            <v>509223</v>
          </cell>
        </row>
        <row r="4604">
          <cell r="A4604" t="str">
            <v>橙乾戒24级</v>
          </cell>
          <cell r="B4604">
            <v>509224</v>
          </cell>
        </row>
        <row r="4605">
          <cell r="A4605" t="str">
            <v>橙乾戒25级</v>
          </cell>
          <cell r="B4605">
            <v>509225</v>
          </cell>
        </row>
        <row r="4606">
          <cell r="A4606" t="str">
            <v>橙乾戒26级</v>
          </cell>
          <cell r="B4606">
            <v>509226</v>
          </cell>
        </row>
        <row r="4607">
          <cell r="A4607" t="str">
            <v>橙乾戒27级</v>
          </cell>
          <cell r="B4607">
            <v>509227</v>
          </cell>
        </row>
        <row r="4608">
          <cell r="A4608" t="str">
            <v>橙乾戒28级</v>
          </cell>
          <cell r="B4608">
            <v>509228</v>
          </cell>
        </row>
        <row r="4609">
          <cell r="A4609" t="str">
            <v>橙乾戒29级</v>
          </cell>
          <cell r="B4609">
            <v>509229</v>
          </cell>
        </row>
        <row r="4610">
          <cell r="A4610" t="str">
            <v>橙乾戒30级</v>
          </cell>
          <cell r="B4610">
            <v>509230</v>
          </cell>
        </row>
        <row r="4611">
          <cell r="A4611" t="str">
            <v>橙乾戒31级</v>
          </cell>
          <cell r="B4611">
            <v>509231</v>
          </cell>
        </row>
        <row r="4612">
          <cell r="A4612" t="str">
            <v>橙乾戒32级</v>
          </cell>
          <cell r="B4612">
            <v>509232</v>
          </cell>
        </row>
        <row r="4613">
          <cell r="A4613" t="str">
            <v>橙乾戒33级</v>
          </cell>
          <cell r="B4613">
            <v>509233</v>
          </cell>
        </row>
        <row r="4614">
          <cell r="A4614" t="str">
            <v>橙乾戒34级</v>
          </cell>
          <cell r="B4614">
            <v>509234</v>
          </cell>
        </row>
        <row r="4615">
          <cell r="A4615" t="str">
            <v>橙乾戒35级</v>
          </cell>
          <cell r="B4615">
            <v>509235</v>
          </cell>
        </row>
        <row r="4616">
          <cell r="A4616" t="str">
            <v>橙乾戒36级</v>
          </cell>
          <cell r="B4616">
            <v>509236</v>
          </cell>
        </row>
        <row r="4617">
          <cell r="A4617" t="str">
            <v>橙乾戒37级</v>
          </cell>
          <cell r="B4617">
            <v>509237</v>
          </cell>
        </row>
        <row r="4618">
          <cell r="A4618" t="str">
            <v>橙乾戒38级</v>
          </cell>
          <cell r="B4618">
            <v>509238</v>
          </cell>
        </row>
        <row r="4619">
          <cell r="A4619" t="str">
            <v>橙乾戒39级</v>
          </cell>
          <cell r="B4619">
            <v>509239</v>
          </cell>
        </row>
        <row r="4620">
          <cell r="A4620" t="str">
            <v>橙乾戒40级</v>
          </cell>
          <cell r="B4620">
            <v>509240</v>
          </cell>
        </row>
        <row r="4621">
          <cell r="A4621" t="str">
            <v>橙乾戒41级</v>
          </cell>
          <cell r="B4621">
            <v>509241</v>
          </cell>
        </row>
        <row r="4622">
          <cell r="A4622" t="str">
            <v>橙乾戒42级</v>
          </cell>
          <cell r="B4622">
            <v>509242</v>
          </cell>
        </row>
        <row r="4623">
          <cell r="A4623" t="str">
            <v>橙乾戒43级</v>
          </cell>
          <cell r="B4623">
            <v>509243</v>
          </cell>
        </row>
        <row r="4624">
          <cell r="A4624" t="str">
            <v>橙乾戒44级</v>
          </cell>
          <cell r="B4624">
            <v>509244</v>
          </cell>
        </row>
        <row r="4625">
          <cell r="A4625" t="str">
            <v>橙乾戒45级</v>
          </cell>
          <cell r="B4625">
            <v>509245</v>
          </cell>
        </row>
        <row r="4626">
          <cell r="A4626" t="str">
            <v>橙乾戒46级</v>
          </cell>
          <cell r="B4626">
            <v>509246</v>
          </cell>
        </row>
        <row r="4627">
          <cell r="A4627" t="str">
            <v>橙乾戒47级</v>
          </cell>
          <cell r="B4627">
            <v>509247</v>
          </cell>
        </row>
        <row r="4628">
          <cell r="A4628" t="str">
            <v>橙乾戒48级</v>
          </cell>
          <cell r="B4628">
            <v>509248</v>
          </cell>
        </row>
        <row r="4629">
          <cell r="A4629" t="str">
            <v>橙乾戒49级</v>
          </cell>
          <cell r="B4629">
            <v>509249</v>
          </cell>
        </row>
        <row r="4630">
          <cell r="A4630" t="str">
            <v>橙乾戒50级</v>
          </cell>
          <cell r="B4630">
            <v>509250</v>
          </cell>
        </row>
        <row r="4631">
          <cell r="A4631" t="str">
            <v>橙乾戒51级</v>
          </cell>
          <cell r="B4631">
            <v>509251</v>
          </cell>
        </row>
        <row r="4632">
          <cell r="A4632" t="str">
            <v>橙乾戒52级</v>
          </cell>
          <cell r="B4632">
            <v>509252</v>
          </cell>
        </row>
        <row r="4633">
          <cell r="A4633" t="str">
            <v>橙乾戒53级</v>
          </cell>
          <cell r="B4633">
            <v>509253</v>
          </cell>
        </row>
        <row r="4634">
          <cell r="A4634" t="str">
            <v>橙乾戒54级</v>
          </cell>
          <cell r="B4634">
            <v>509254</v>
          </cell>
        </row>
        <row r="4635">
          <cell r="A4635" t="str">
            <v>橙乾戒55级</v>
          </cell>
          <cell r="B4635">
            <v>509255</v>
          </cell>
        </row>
        <row r="4636">
          <cell r="A4636" t="str">
            <v>橙乾戒56级</v>
          </cell>
          <cell r="B4636">
            <v>509256</v>
          </cell>
        </row>
        <row r="4637">
          <cell r="A4637" t="str">
            <v>橙乾戒57级</v>
          </cell>
          <cell r="B4637">
            <v>509257</v>
          </cell>
        </row>
        <row r="4638">
          <cell r="A4638" t="str">
            <v>橙乾戒58级</v>
          </cell>
          <cell r="B4638">
            <v>509258</v>
          </cell>
        </row>
        <row r="4639">
          <cell r="A4639" t="str">
            <v>橙乾戒59级</v>
          </cell>
          <cell r="B4639">
            <v>509259</v>
          </cell>
        </row>
        <row r="4640">
          <cell r="A4640" t="str">
            <v>橙乾戒60级</v>
          </cell>
          <cell r="B4640">
            <v>509260</v>
          </cell>
        </row>
        <row r="4641">
          <cell r="A4641" t="str">
            <v>橙龙带1级</v>
          </cell>
          <cell r="B4641">
            <v>510201</v>
          </cell>
        </row>
        <row r="4642">
          <cell r="A4642" t="str">
            <v>橙龙带2级</v>
          </cell>
          <cell r="B4642">
            <v>510202</v>
          </cell>
        </row>
        <row r="4643">
          <cell r="A4643" t="str">
            <v>橙龙带3级</v>
          </cell>
          <cell r="B4643">
            <v>510203</v>
          </cell>
        </row>
        <row r="4644">
          <cell r="A4644" t="str">
            <v>橙龙带4级</v>
          </cell>
          <cell r="B4644">
            <v>510204</v>
          </cell>
        </row>
        <row r="4645">
          <cell r="A4645" t="str">
            <v>橙龙带5级</v>
          </cell>
          <cell r="B4645">
            <v>510205</v>
          </cell>
        </row>
        <row r="4646">
          <cell r="A4646" t="str">
            <v>橙龙带6级</v>
          </cell>
          <cell r="B4646">
            <v>510206</v>
          </cell>
        </row>
        <row r="4647">
          <cell r="A4647" t="str">
            <v>橙龙带7级</v>
          </cell>
          <cell r="B4647">
            <v>510207</v>
          </cell>
        </row>
        <row r="4648">
          <cell r="A4648" t="str">
            <v>橙龙带8级</v>
          </cell>
          <cell r="B4648">
            <v>510208</v>
          </cell>
        </row>
        <row r="4649">
          <cell r="A4649" t="str">
            <v>橙龙带9级</v>
          </cell>
          <cell r="B4649">
            <v>510209</v>
          </cell>
        </row>
        <row r="4650">
          <cell r="A4650" t="str">
            <v>橙龙带10级</v>
          </cell>
          <cell r="B4650">
            <v>510210</v>
          </cell>
        </row>
        <row r="4651">
          <cell r="A4651" t="str">
            <v>橙龙带11级</v>
          </cell>
          <cell r="B4651">
            <v>510211</v>
          </cell>
        </row>
        <row r="4652">
          <cell r="A4652" t="str">
            <v>橙龙带12级</v>
          </cell>
          <cell r="B4652">
            <v>510212</v>
          </cell>
        </row>
        <row r="4653">
          <cell r="A4653" t="str">
            <v>橙龙带13级</v>
          </cell>
          <cell r="B4653">
            <v>510213</v>
          </cell>
        </row>
        <row r="4654">
          <cell r="A4654" t="str">
            <v>橙龙带14级</v>
          </cell>
          <cell r="B4654">
            <v>510214</v>
          </cell>
        </row>
        <row r="4655">
          <cell r="A4655" t="str">
            <v>橙龙带15级</v>
          </cell>
          <cell r="B4655">
            <v>510215</v>
          </cell>
        </row>
        <row r="4656">
          <cell r="A4656" t="str">
            <v>橙龙带16级</v>
          </cell>
          <cell r="B4656">
            <v>510216</v>
          </cell>
        </row>
        <row r="4657">
          <cell r="A4657" t="str">
            <v>橙龙带17级</v>
          </cell>
          <cell r="B4657">
            <v>510217</v>
          </cell>
        </row>
        <row r="4658">
          <cell r="A4658" t="str">
            <v>橙龙带18级</v>
          </cell>
          <cell r="B4658">
            <v>510218</v>
          </cell>
        </row>
        <row r="4659">
          <cell r="A4659" t="str">
            <v>橙龙带19级</v>
          </cell>
          <cell r="B4659">
            <v>510219</v>
          </cell>
        </row>
        <row r="4660">
          <cell r="A4660" t="str">
            <v>橙龙带20级</v>
          </cell>
          <cell r="B4660">
            <v>510220</v>
          </cell>
        </row>
        <row r="4661">
          <cell r="A4661" t="str">
            <v>橙龙带21级</v>
          </cell>
          <cell r="B4661">
            <v>510221</v>
          </cell>
        </row>
        <row r="4662">
          <cell r="A4662" t="str">
            <v>橙龙带22级</v>
          </cell>
          <cell r="B4662">
            <v>510222</v>
          </cell>
        </row>
        <row r="4663">
          <cell r="A4663" t="str">
            <v>橙龙带23级</v>
          </cell>
          <cell r="B4663">
            <v>510223</v>
          </cell>
        </row>
        <row r="4664">
          <cell r="A4664" t="str">
            <v>橙龙带24级</v>
          </cell>
          <cell r="B4664">
            <v>510224</v>
          </cell>
        </row>
        <row r="4665">
          <cell r="A4665" t="str">
            <v>橙龙带25级</v>
          </cell>
          <cell r="B4665">
            <v>510225</v>
          </cell>
        </row>
        <row r="4666">
          <cell r="A4666" t="str">
            <v>橙龙带26级</v>
          </cell>
          <cell r="B4666">
            <v>510226</v>
          </cell>
        </row>
        <row r="4667">
          <cell r="A4667" t="str">
            <v>橙龙带27级</v>
          </cell>
          <cell r="B4667">
            <v>510227</v>
          </cell>
        </row>
        <row r="4668">
          <cell r="A4668" t="str">
            <v>橙龙带28级</v>
          </cell>
          <cell r="B4668">
            <v>510228</v>
          </cell>
        </row>
        <row r="4669">
          <cell r="A4669" t="str">
            <v>橙龙带29级</v>
          </cell>
          <cell r="B4669">
            <v>510229</v>
          </cell>
        </row>
        <row r="4670">
          <cell r="A4670" t="str">
            <v>橙龙带30级</v>
          </cell>
          <cell r="B4670">
            <v>510230</v>
          </cell>
        </row>
        <row r="4671">
          <cell r="A4671" t="str">
            <v>橙龙带31级</v>
          </cell>
          <cell r="B4671">
            <v>510231</v>
          </cell>
        </row>
        <row r="4672">
          <cell r="A4672" t="str">
            <v>橙龙带32级</v>
          </cell>
          <cell r="B4672">
            <v>510232</v>
          </cell>
        </row>
        <row r="4673">
          <cell r="A4673" t="str">
            <v>橙龙带33级</v>
          </cell>
          <cell r="B4673">
            <v>510233</v>
          </cell>
        </row>
        <row r="4674">
          <cell r="A4674" t="str">
            <v>橙龙带34级</v>
          </cell>
          <cell r="B4674">
            <v>510234</v>
          </cell>
        </row>
        <row r="4675">
          <cell r="A4675" t="str">
            <v>橙龙带35级</v>
          </cell>
          <cell r="B4675">
            <v>510235</v>
          </cell>
        </row>
        <row r="4676">
          <cell r="A4676" t="str">
            <v>橙龙带36级</v>
          </cell>
          <cell r="B4676">
            <v>510236</v>
          </cell>
        </row>
        <row r="4677">
          <cell r="A4677" t="str">
            <v>橙龙带37级</v>
          </cell>
          <cell r="B4677">
            <v>510237</v>
          </cell>
        </row>
        <row r="4678">
          <cell r="A4678" t="str">
            <v>橙龙带38级</v>
          </cell>
          <cell r="B4678">
            <v>510238</v>
          </cell>
        </row>
        <row r="4679">
          <cell r="A4679" t="str">
            <v>橙龙带39级</v>
          </cell>
          <cell r="B4679">
            <v>510239</v>
          </cell>
        </row>
        <row r="4680">
          <cell r="A4680" t="str">
            <v>橙龙带40级</v>
          </cell>
          <cell r="B4680">
            <v>510240</v>
          </cell>
        </row>
        <row r="4681">
          <cell r="A4681" t="str">
            <v>橙龙带41级</v>
          </cell>
          <cell r="B4681">
            <v>510241</v>
          </cell>
        </row>
        <row r="4682">
          <cell r="A4682" t="str">
            <v>橙龙带42级</v>
          </cell>
          <cell r="B4682">
            <v>510242</v>
          </cell>
        </row>
        <row r="4683">
          <cell r="A4683" t="str">
            <v>橙龙带43级</v>
          </cell>
          <cell r="B4683">
            <v>510243</v>
          </cell>
        </row>
        <row r="4684">
          <cell r="A4684" t="str">
            <v>橙龙带44级</v>
          </cell>
          <cell r="B4684">
            <v>510244</v>
          </cell>
        </row>
        <row r="4685">
          <cell r="A4685" t="str">
            <v>橙龙带45级</v>
          </cell>
          <cell r="B4685">
            <v>510245</v>
          </cell>
        </row>
        <row r="4686">
          <cell r="A4686" t="str">
            <v>橙龙带46级</v>
          </cell>
          <cell r="B4686">
            <v>510246</v>
          </cell>
        </row>
        <row r="4687">
          <cell r="A4687" t="str">
            <v>橙龙带47级</v>
          </cell>
          <cell r="B4687">
            <v>510247</v>
          </cell>
        </row>
        <row r="4688">
          <cell r="A4688" t="str">
            <v>橙龙带48级</v>
          </cell>
          <cell r="B4688">
            <v>510248</v>
          </cell>
        </row>
        <row r="4689">
          <cell r="A4689" t="str">
            <v>橙龙带49级</v>
          </cell>
          <cell r="B4689">
            <v>510249</v>
          </cell>
        </row>
        <row r="4690">
          <cell r="A4690" t="str">
            <v>橙龙带50级</v>
          </cell>
          <cell r="B4690">
            <v>510250</v>
          </cell>
        </row>
        <row r="4691">
          <cell r="A4691" t="str">
            <v>橙龙带51级</v>
          </cell>
          <cell r="B4691">
            <v>510251</v>
          </cell>
        </row>
        <row r="4692">
          <cell r="A4692" t="str">
            <v>橙龙带52级</v>
          </cell>
          <cell r="B4692">
            <v>510252</v>
          </cell>
        </row>
        <row r="4693">
          <cell r="A4693" t="str">
            <v>橙龙带53级</v>
          </cell>
          <cell r="B4693">
            <v>510253</v>
          </cell>
        </row>
        <row r="4694">
          <cell r="A4694" t="str">
            <v>橙龙带54级</v>
          </cell>
          <cell r="B4694">
            <v>510254</v>
          </cell>
        </row>
        <row r="4695">
          <cell r="A4695" t="str">
            <v>橙龙带55级</v>
          </cell>
          <cell r="B4695">
            <v>510255</v>
          </cell>
        </row>
        <row r="4696">
          <cell r="A4696" t="str">
            <v>橙龙带56级</v>
          </cell>
          <cell r="B4696">
            <v>510256</v>
          </cell>
        </row>
        <row r="4697">
          <cell r="A4697" t="str">
            <v>橙龙带57级</v>
          </cell>
          <cell r="B4697">
            <v>510257</v>
          </cell>
        </row>
        <row r="4698">
          <cell r="A4698" t="str">
            <v>橙龙带58级</v>
          </cell>
          <cell r="B4698">
            <v>510258</v>
          </cell>
        </row>
        <row r="4699">
          <cell r="A4699" t="str">
            <v>橙龙带59级</v>
          </cell>
          <cell r="B4699">
            <v>510259</v>
          </cell>
        </row>
        <row r="4700">
          <cell r="A4700" t="str">
            <v>橙龙带60级</v>
          </cell>
          <cell r="B4700">
            <v>510260</v>
          </cell>
        </row>
        <row r="4701">
          <cell r="A4701" t="str">
            <v>橙逐日1级</v>
          </cell>
          <cell r="B4701">
            <v>511201</v>
          </cell>
        </row>
        <row r="4702">
          <cell r="A4702" t="str">
            <v>橙逐日2级</v>
          </cell>
          <cell r="B4702">
            <v>511202</v>
          </cell>
        </row>
        <row r="4703">
          <cell r="A4703" t="str">
            <v>橙逐日3级</v>
          </cell>
          <cell r="B4703">
            <v>511203</v>
          </cell>
        </row>
        <row r="4704">
          <cell r="A4704" t="str">
            <v>橙逐日4级</v>
          </cell>
          <cell r="B4704">
            <v>511204</v>
          </cell>
        </row>
        <row r="4705">
          <cell r="A4705" t="str">
            <v>橙逐日5级</v>
          </cell>
          <cell r="B4705">
            <v>511205</v>
          </cell>
        </row>
        <row r="4706">
          <cell r="A4706" t="str">
            <v>橙逐日6级</v>
          </cell>
          <cell r="B4706">
            <v>511206</v>
          </cell>
        </row>
        <row r="4707">
          <cell r="A4707" t="str">
            <v>橙逐日7级</v>
          </cell>
          <cell r="B4707">
            <v>511207</v>
          </cell>
        </row>
        <row r="4708">
          <cell r="A4708" t="str">
            <v>橙逐日8级</v>
          </cell>
          <cell r="B4708">
            <v>511208</v>
          </cell>
        </row>
        <row r="4709">
          <cell r="A4709" t="str">
            <v>橙逐日9级</v>
          </cell>
          <cell r="B4709">
            <v>511209</v>
          </cell>
        </row>
        <row r="4710">
          <cell r="A4710" t="str">
            <v>橙逐日10级</v>
          </cell>
          <cell r="B4710">
            <v>511210</v>
          </cell>
        </row>
        <row r="4711">
          <cell r="A4711" t="str">
            <v>橙逐日11级</v>
          </cell>
          <cell r="B4711">
            <v>511211</v>
          </cell>
        </row>
        <row r="4712">
          <cell r="A4712" t="str">
            <v>橙逐日12级</v>
          </cell>
          <cell r="B4712">
            <v>511212</v>
          </cell>
        </row>
        <row r="4713">
          <cell r="A4713" t="str">
            <v>橙逐日13级</v>
          </cell>
          <cell r="B4713">
            <v>511213</v>
          </cell>
        </row>
        <row r="4714">
          <cell r="A4714" t="str">
            <v>橙逐日14级</v>
          </cell>
          <cell r="B4714">
            <v>511214</v>
          </cell>
        </row>
        <row r="4715">
          <cell r="A4715" t="str">
            <v>橙逐日15级</v>
          </cell>
          <cell r="B4715">
            <v>511215</v>
          </cell>
        </row>
        <row r="4716">
          <cell r="A4716" t="str">
            <v>橙逐日16级</v>
          </cell>
          <cell r="B4716">
            <v>511216</v>
          </cell>
        </row>
        <row r="4717">
          <cell r="A4717" t="str">
            <v>橙逐日17级</v>
          </cell>
          <cell r="B4717">
            <v>511217</v>
          </cell>
        </row>
        <row r="4718">
          <cell r="A4718" t="str">
            <v>橙逐日18级</v>
          </cell>
          <cell r="B4718">
            <v>511218</v>
          </cell>
        </row>
        <row r="4719">
          <cell r="A4719" t="str">
            <v>橙逐日19级</v>
          </cell>
          <cell r="B4719">
            <v>511219</v>
          </cell>
        </row>
        <row r="4720">
          <cell r="A4720" t="str">
            <v>橙逐日20级</v>
          </cell>
          <cell r="B4720">
            <v>511220</v>
          </cell>
        </row>
        <row r="4721">
          <cell r="A4721" t="str">
            <v>橙逐日21级</v>
          </cell>
          <cell r="B4721">
            <v>511221</v>
          </cell>
        </row>
        <row r="4722">
          <cell r="A4722" t="str">
            <v>橙逐日22级</v>
          </cell>
          <cell r="B4722">
            <v>511222</v>
          </cell>
        </row>
        <row r="4723">
          <cell r="A4723" t="str">
            <v>橙逐日23级</v>
          </cell>
          <cell r="B4723">
            <v>511223</v>
          </cell>
        </row>
        <row r="4724">
          <cell r="A4724" t="str">
            <v>橙逐日24级</v>
          </cell>
          <cell r="B4724">
            <v>511224</v>
          </cell>
        </row>
        <row r="4725">
          <cell r="A4725" t="str">
            <v>橙逐日25级</v>
          </cell>
          <cell r="B4725">
            <v>511225</v>
          </cell>
        </row>
        <row r="4726">
          <cell r="A4726" t="str">
            <v>橙逐日26级</v>
          </cell>
          <cell r="B4726">
            <v>511226</v>
          </cell>
        </row>
        <row r="4727">
          <cell r="A4727" t="str">
            <v>橙逐日27级</v>
          </cell>
          <cell r="B4727">
            <v>511227</v>
          </cell>
        </row>
        <row r="4728">
          <cell r="A4728" t="str">
            <v>橙逐日28级</v>
          </cell>
          <cell r="B4728">
            <v>511228</v>
          </cell>
        </row>
        <row r="4729">
          <cell r="A4729" t="str">
            <v>橙逐日29级</v>
          </cell>
          <cell r="B4729">
            <v>511229</v>
          </cell>
        </row>
        <row r="4730">
          <cell r="A4730" t="str">
            <v>橙逐日30级</v>
          </cell>
          <cell r="B4730">
            <v>511230</v>
          </cell>
        </row>
        <row r="4731">
          <cell r="A4731" t="str">
            <v>橙逐日31级</v>
          </cell>
          <cell r="B4731">
            <v>511231</v>
          </cell>
        </row>
        <row r="4732">
          <cell r="A4732" t="str">
            <v>橙逐日32级</v>
          </cell>
          <cell r="B4732">
            <v>511232</v>
          </cell>
        </row>
        <row r="4733">
          <cell r="A4733" t="str">
            <v>橙逐日33级</v>
          </cell>
          <cell r="B4733">
            <v>511233</v>
          </cell>
        </row>
        <row r="4734">
          <cell r="A4734" t="str">
            <v>橙逐日34级</v>
          </cell>
          <cell r="B4734">
            <v>511234</v>
          </cell>
        </row>
        <row r="4735">
          <cell r="A4735" t="str">
            <v>橙逐日35级</v>
          </cell>
          <cell r="B4735">
            <v>511235</v>
          </cell>
        </row>
        <row r="4736">
          <cell r="A4736" t="str">
            <v>橙逐日36级</v>
          </cell>
          <cell r="B4736">
            <v>511236</v>
          </cell>
        </row>
        <row r="4737">
          <cell r="A4737" t="str">
            <v>橙逐日37级</v>
          </cell>
          <cell r="B4737">
            <v>511237</v>
          </cell>
        </row>
        <row r="4738">
          <cell r="A4738" t="str">
            <v>橙逐日38级</v>
          </cell>
          <cell r="B4738">
            <v>511238</v>
          </cell>
        </row>
        <row r="4739">
          <cell r="A4739" t="str">
            <v>橙逐日39级</v>
          </cell>
          <cell r="B4739">
            <v>511239</v>
          </cell>
        </row>
        <row r="4740">
          <cell r="A4740" t="str">
            <v>橙逐日40级</v>
          </cell>
          <cell r="B4740">
            <v>511240</v>
          </cell>
        </row>
        <row r="4741">
          <cell r="A4741" t="str">
            <v>橙逐日41级</v>
          </cell>
          <cell r="B4741">
            <v>511241</v>
          </cell>
        </row>
        <row r="4742">
          <cell r="A4742" t="str">
            <v>橙逐日42级</v>
          </cell>
          <cell r="B4742">
            <v>511242</v>
          </cell>
        </row>
        <row r="4743">
          <cell r="A4743" t="str">
            <v>橙逐日43级</v>
          </cell>
          <cell r="B4743">
            <v>511243</v>
          </cell>
        </row>
        <row r="4744">
          <cell r="A4744" t="str">
            <v>橙逐日44级</v>
          </cell>
          <cell r="B4744">
            <v>511244</v>
          </cell>
        </row>
        <row r="4745">
          <cell r="A4745" t="str">
            <v>橙逐日45级</v>
          </cell>
          <cell r="B4745">
            <v>511245</v>
          </cell>
        </row>
        <row r="4746">
          <cell r="A4746" t="str">
            <v>橙逐日46级</v>
          </cell>
          <cell r="B4746">
            <v>511246</v>
          </cell>
        </row>
        <row r="4747">
          <cell r="A4747" t="str">
            <v>橙逐日47级</v>
          </cell>
          <cell r="B4747">
            <v>511247</v>
          </cell>
        </row>
        <row r="4748">
          <cell r="A4748" t="str">
            <v>橙逐日48级</v>
          </cell>
          <cell r="B4748">
            <v>511248</v>
          </cell>
        </row>
        <row r="4749">
          <cell r="A4749" t="str">
            <v>橙逐日49级</v>
          </cell>
          <cell r="B4749">
            <v>511249</v>
          </cell>
        </row>
        <row r="4750">
          <cell r="A4750" t="str">
            <v>橙逐日50级</v>
          </cell>
          <cell r="B4750">
            <v>511250</v>
          </cell>
        </row>
        <row r="4751">
          <cell r="A4751" t="str">
            <v>橙逐日51级</v>
          </cell>
          <cell r="B4751">
            <v>511251</v>
          </cell>
        </row>
        <row r="4752">
          <cell r="A4752" t="str">
            <v>橙逐日52级</v>
          </cell>
          <cell r="B4752">
            <v>511252</v>
          </cell>
        </row>
        <row r="4753">
          <cell r="A4753" t="str">
            <v>橙逐日53级</v>
          </cell>
          <cell r="B4753">
            <v>511253</v>
          </cell>
        </row>
        <row r="4754">
          <cell r="A4754" t="str">
            <v>橙逐日54级</v>
          </cell>
          <cell r="B4754">
            <v>511254</v>
          </cell>
        </row>
        <row r="4755">
          <cell r="A4755" t="str">
            <v>橙逐日55级</v>
          </cell>
          <cell r="B4755">
            <v>511255</v>
          </cell>
        </row>
        <row r="4756">
          <cell r="A4756" t="str">
            <v>橙逐日56级</v>
          </cell>
          <cell r="B4756">
            <v>511256</v>
          </cell>
        </row>
        <row r="4757">
          <cell r="A4757" t="str">
            <v>橙逐日57级</v>
          </cell>
          <cell r="B4757">
            <v>511257</v>
          </cell>
        </row>
        <row r="4758">
          <cell r="A4758" t="str">
            <v>橙逐日58级</v>
          </cell>
          <cell r="B4758">
            <v>511258</v>
          </cell>
        </row>
        <row r="4759">
          <cell r="A4759" t="str">
            <v>橙逐日59级</v>
          </cell>
          <cell r="B4759">
            <v>511259</v>
          </cell>
        </row>
        <row r="4760">
          <cell r="A4760" t="str">
            <v>橙逐日60级</v>
          </cell>
          <cell r="B4760">
            <v>511260</v>
          </cell>
        </row>
        <row r="4761">
          <cell r="A4761" t="str">
            <v>橙豁免1级</v>
          </cell>
          <cell r="B4761">
            <v>512201</v>
          </cell>
        </row>
        <row r="4762">
          <cell r="A4762" t="str">
            <v>橙豁免2级</v>
          </cell>
          <cell r="B4762">
            <v>512202</v>
          </cell>
        </row>
        <row r="4763">
          <cell r="A4763" t="str">
            <v>橙豁免3级</v>
          </cell>
          <cell r="B4763">
            <v>512203</v>
          </cell>
        </row>
        <row r="4764">
          <cell r="A4764" t="str">
            <v>橙豁免4级</v>
          </cell>
          <cell r="B4764">
            <v>512204</v>
          </cell>
        </row>
        <row r="4765">
          <cell r="A4765" t="str">
            <v>橙豁免5级</v>
          </cell>
          <cell r="B4765">
            <v>512205</v>
          </cell>
        </row>
        <row r="4766">
          <cell r="A4766" t="str">
            <v>橙豁免6级</v>
          </cell>
          <cell r="B4766">
            <v>512206</v>
          </cell>
        </row>
        <row r="4767">
          <cell r="A4767" t="str">
            <v>橙豁免7级</v>
          </cell>
          <cell r="B4767">
            <v>512207</v>
          </cell>
        </row>
        <row r="4768">
          <cell r="A4768" t="str">
            <v>橙豁免8级</v>
          </cell>
          <cell r="B4768">
            <v>512208</v>
          </cell>
        </row>
        <row r="4769">
          <cell r="A4769" t="str">
            <v>橙豁免9级</v>
          </cell>
          <cell r="B4769">
            <v>512209</v>
          </cell>
        </row>
        <row r="4770">
          <cell r="A4770" t="str">
            <v>橙豁免10级</v>
          </cell>
          <cell r="B4770">
            <v>512210</v>
          </cell>
        </row>
        <row r="4771">
          <cell r="A4771" t="str">
            <v>橙豁免11级</v>
          </cell>
          <cell r="B4771">
            <v>512211</v>
          </cell>
        </row>
        <row r="4772">
          <cell r="A4772" t="str">
            <v>橙豁免12级</v>
          </cell>
          <cell r="B4772">
            <v>512212</v>
          </cell>
        </row>
        <row r="4773">
          <cell r="A4773" t="str">
            <v>橙豁免13级</v>
          </cell>
          <cell r="B4773">
            <v>512213</v>
          </cell>
        </row>
        <row r="4774">
          <cell r="A4774" t="str">
            <v>橙豁免14级</v>
          </cell>
          <cell r="B4774">
            <v>512214</v>
          </cell>
        </row>
        <row r="4775">
          <cell r="A4775" t="str">
            <v>橙豁免15级</v>
          </cell>
          <cell r="B4775">
            <v>512215</v>
          </cell>
        </row>
        <row r="4776">
          <cell r="A4776" t="str">
            <v>橙豁免16级</v>
          </cell>
          <cell r="B4776">
            <v>512216</v>
          </cell>
        </row>
        <row r="4777">
          <cell r="A4777" t="str">
            <v>橙豁免17级</v>
          </cell>
          <cell r="B4777">
            <v>512217</v>
          </cell>
        </row>
        <row r="4778">
          <cell r="A4778" t="str">
            <v>橙豁免18级</v>
          </cell>
          <cell r="B4778">
            <v>512218</v>
          </cell>
        </row>
        <row r="4779">
          <cell r="A4779" t="str">
            <v>橙豁免19级</v>
          </cell>
          <cell r="B4779">
            <v>512219</v>
          </cell>
        </row>
        <row r="4780">
          <cell r="A4780" t="str">
            <v>橙豁免20级</v>
          </cell>
          <cell r="B4780">
            <v>512220</v>
          </cell>
        </row>
        <row r="4781">
          <cell r="A4781" t="str">
            <v>橙豁免21级</v>
          </cell>
          <cell r="B4781">
            <v>512221</v>
          </cell>
        </row>
        <row r="4782">
          <cell r="A4782" t="str">
            <v>橙豁免22级</v>
          </cell>
          <cell r="B4782">
            <v>512222</v>
          </cell>
        </row>
        <row r="4783">
          <cell r="A4783" t="str">
            <v>橙豁免23级</v>
          </cell>
          <cell r="B4783">
            <v>512223</v>
          </cell>
        </row>
        <row r="4784">
          <cell r="A4784" t="str">
            <v>橙豁免24级</v>
          </cell>
          <cell r="B4784">
            <v>512224</v>
          </cell>
        </row>
        <row r="4785">
          <cell r="A4785" t="str">
            <v>橙豁免25级</v>
          </cell>
          <cell r="B4785">
            <v>512225</v>
          </cell>
        </row>
        <row r="4786">
          <cell r="A4786" t="str">
            <v>橙豁免26级</v>
          </cell>
          <cell r="B4786">
            <v>512226</v>
          </cell>
        </row>
        <row r="4787">
          <cell r="A4787" t="str">
            <v>橙豁免27级</v>
          </cell>
          <cell r="B4787">
            <v>512227</v>
          </cell>
        </row>
        <row r="4788">
          <cell r="A4788" t="str">
            <v>橙豁免28级</v>
          </cell>
          <cell r="B4788">
            <v>512228</v>
          </cell>
        </row>
        <row r="4789">
          <cell r="A4789" t="str">
            <v>橙豁免29级</v>
          </cell>
          <cell r="B4789">
            <v>512229</v>
          </cell>
        </row>
        <row r="4790">
          <cell r="A4790" t="str">
            <v>橙豁免30级</v>
          </cell>
          <cell r="B4790">
            <v>512230</v>
          </cell>
        </row>
        <row r="4791">
          <cell r="A4791" t="str">
            <v>橙豁免31级</v>
          </cell>
          <cell r="B4791">
            <v>512231</v>
          </cell>
        </row>
        <row r="4792">
          <cell r="A4792" t="str">
            <v>橙豁免32级</v>
          </cell>
          <cell r="B4792">
            <v>512232</v>
          </cell>
        </row>
        <row r="4793">
          <cell r="A4793" t="str">
            <v>橙豁免33级</v>
          </cell>
          <cell r="B4793">
            <v>512233</v>
          </cell>
        </row>
        <row r="4794">
          <cell r="A4794" t="str">
            <v>橙豁免34级</v>
          </cell>
          <cell r="B4794">
            <v>512234</v>
          </cell>
        </row>
        <row r="4795">
          <cell r="A4795" t="str">
            <v>橙豁免35级</v>
          </cell>
          <cell r="B4795">
            <v>512235</v>
          </cell>
        </row>
        <row r="4796">
          <cell r="A4796" t="str">
            <v>橙豁免36级</v>
          </cell>
          <cell r="B4796">
            <v>512236</v>
          </cell>
        </row>
        <row r="4797">
          <cell r="A4797" t="str">
            <v>橙豁免37级</v>
          </cell>
          <cell r="B4797">
            <v>512237</v>
          </cell>
        </row>
        <row r="4798">
          <cell r="A4798" t="str">
            <v>橙豁免38级</v>
          </cell>
          <cell r="B4798">
            <v>512238</v>
          </cell>
        </row>
        <row r="4799">
          <cell r="A4799" t="str">
            <v>橙豁免39级</v>
          </cell>
          <cell r="B4799">
            <v>512239</v>
          </cell>
        </row>
        <row r="4800">
          <cell r="A4800" t="str">
            <v>橙豁免40级</v>
          </cell>
          <cell r="B4800">
            <v>512240</v>
          </cell>
        </row>
        <row r="4801">
          <cell r="A4801" t="str">
            <v>橙豁免41级</v>
          </cell>
          <cell r="B4801">
            <v>512241</v>
          </cell>
        </row>
        <row r="4802">
          <cell r="A4802" t="str">
            <v>橙豁免42级</v>
          </cell>
          <cell r="B4802">
            <v>512242</v>
          </cell>
        </row>
        <row r="4803">
          <cell r="A4803" t="str">
            <v>橙豁免43级</v>
          </cell>
          <cell r="B4803">
            <v>512243</v>
          </cell>
        </row>
        <row r="4804">
          <cell r="A4804" t="str">
            <v>橙豁免44级</v>
          </cell>
          <cell r="B4804">
            <v>512244</v>
          </cell>
        </row>
        <row r="4805">
          <cell r="A4805" t="str">
            <v>橙豁免45级</v>
          </cell>
          <cell r="B4805">
            <v>512245</v>
          </cell>
        </row>
        <row r="4806">
          <cell r="A4806" t="str">
            <v>橙豁免46级</v>
          </cell>
          <cell r="B4806">
            <v>512246</v>
          </cell>
        </row>
        <row r="4807">
          <cell r="A4807" t="str">
            <v>橙豁免47级</v>
          </cell>
          <cell r="B4807">
            <v>512247</v>
          </cell>
        </row>
        <row r="4808">
          <cell r="A4808" t="str">
            <v>橙豁免48级</v>
          </cell>
          <cell r="B4808">
            <v>512248</v>
          </cell>
        </row>
        <row r="4809">
          <cell r="A4809" t="str">
            <v>橙豁免49级</v>
          </cell>
          <cell r="B4809">
            <v>512249</v>
          </cell>
        </row>
        <row r="4810">
          <cell r="A4810" t="str">
            <v>橙豁免50级</v>
          </cell>
          <cell r="B4810">
            <v>512250</v>
          </cell>
        </row>
        <row r="4811">
          <cell r="A4811" t="str">
            <v>橙豁免51级</v>
          </cell>
          <cell r="B4811">
            <v>512251</v>
          </cell>
        </row>
        <row r="4812">
          <cell r="A4812" t="str">
            <v>橙豁免52级</v>
          </cell>
          <cell r="B4812">
            <v>512252</v>
          </cell>
        </row>
        <row r="4813">
          <cell r="A4813" t="str">
            <v>橙豁免53级</v>
          </cell>
          <cell r="B4813">
            <v>512253</v>
          </cell>
        </row>
        <row r="4814">
          <cell r="A4814" t="str">
            <v>橙豁免54级</v>
          </cell>
          <cell r="B4814">
            <v>512254</v>
          </cell>
        </row>
        <row r="4815">
          <cell r="A4815" t="str">
            <v>橙豁免55级</v>
          </cell>
          <cell r="B4815">
            <v>512255</v>
          </cell>
        </row>
        <row r="4816">
          <cell r="A4816" t="str">
            <v>橙豁免56级</v>
          </cell>
          <cell r="B4816">
            <v>512256</v>
          </cell>
        </row>
        <row r="4817">
          <cell r="A4817" t="str">
            <v>橙豁免57级</v>
          </cell>
          <cell r="B4817">
            <v>512257</v>
          </cell>
        </row>
        <row r="4818">
          <cell r="A4818" t="str">
            <v>橙豁免58级</v>
          </cell>
          <cell r="B4818">
            <v>512258</v>
          </cell>
        </row>
        <row r="4819">
          <cell r="A4819" t="str">
            <v>橙豁免59级</v>
          </cell>
          <cell r="B4819">
            <v>512259</v>
          </cell>
        </row>
        <row r="4820">
          <cell r="A4820" t="str">
            <v>橙豁免60级</v>
          </cell>
          <cell r="B4820">
            <v>512260</v>
          </cell>
        </row>
        <row r="4821">
          <cell r="A4821" t="str">
            <v>橙杀戮1级</v>
          </cell>
          <cell r="B4821">
            <v>513201</v>
          </cell>
        </row>
        <row r="4822">
          <cell r="A4822" t="str">
            <v>橙杀戮2级</v>
          </cell>
          <cell r="B4822">
            <v>513202</v>
          </cell>
        </row>
        <row r="4823">
          <cell r="A4823" t="str">
            <v>橙杀戮3级</v>
          </cell>
          <cell r="B4823">
            <v>513203</v>
          </cell>
        </row>
        <row r="4824">
          <cell r="A4824" t="str">
            <v>橙杀戮4级</v>
          </cell>
          <cell r="B4824">
            <v>513204</v>
          </cell>
        </row>
        <row r="4825">
          <cell r="A4825" t="str">
            <v>橙杀戮5级</v>
          </cell>
          <cell r="B4825">
            <v>513205</v>
          </cell>
        </row>
        <row r="4826">
          <cell r="A4826" t="str">
            <v>橙杀戮6级</v>
          </cell>
          <cell r="B4826">
            <v>513206</v>
          </cell>
        </row>
        <row r="4827">
          <cell r="A4827" t="str">
            <v>橙杀戮7级</v>
          </cell>
          <cell r="B4827">
            <v>513207</v>
          </cell>
        </row>
        <row r="4828">
          <cell r="A4828" t="str">
            <v>橙杀戮8级</v>
          </cell>
          <cell r="B4828">
            <v>513208</v>
          </cell>
        </row>
        <row r="4829">
          <cell r="A4829" t="str">
            <v>橙杀戮9级</v>
          </cell>
          <cell r="B4829">
            <v>513209</v>
          </cell>
        </row>
        <row r="4830">
          <cell r="A4830" t="str">
            <v>橙杀戮10级</v>
          </cell>
          <cell r="B4830">
            <v>513210</v>
          </cell>
        </row>
        <row r="4831">
          <cell r="A4831" t="str">
            <v>橙杀戮11级</v>
          </cell>
          <cell r="B4831">
            <v>513211</v>
          </cell>
        </row>
        <row r="4832">
          <cell r="A4832" t="str">
            <v>橙杀戮12级</v>
          </cell>
          <cell r="B4832">
            <v>513212</v>
          </cell>
        </row>
        <row r="4833">
          <cell r="A4833" t="str">
            <v>橙杀戮13级</v>
          </cell>
          <cell r="B4833">
            <v>513213</v>
          </cell>
        </row>
        <row r="4834">
          <cell r="A4834" t="str">
            <v>橙杀戮14级</v>
          </cell>
          <cell r="B4834">
            <v>513214</v>
          </cell>
        </row>
        <row r="4835">
          <cell r="A4835" t="str">
            <v>橙杀戮15级</v>
          </cell>
          <cell r="B4835">
            <v>513215</v>
          </cell>
        </row>
        <row r="4836">
          <cell r="A4836" t="str">
            <v>橙杀戮16级</v>
          </cell>
          <cell r="B4836">
            <v>513216</v>
          </cell>
        </row>
        <row r="4837">
          <cell r="A4837" t="str">
            <v>橙杀戮17级</v>
          </cell>
          <cell r="B4837">
            <v>513217</v>
          </cell>
        </row>
        <row r="4838">
          <cell r="A4838" t="str">
            <v>橙杀戮18级</v>
          </cell>
          <cell r="B4838">
            <v>513218</v>
          </cell>
        </row>
        <row r="4839">
          <cell r="A4839" t="str">
            <v>橙杀戮19级</v>
          </cell>
          <cell r="B4839">
            <v>513219</v>
          </cell>
        </row>
        <row r="4840">
          <cell r="A4840" t="str">
            <v>橙杀戮20级</v>
          </cell>
          <cell r="B4840">
            <v>513220</v>
          </cell>
        </row>
        <row r="4841">
          <cell r="A4841" t="str">
            <v>橙杀戮21级</v>
          </cell>
          <cell r="B4841">
            <v>513221</v>
          </cell>
        </row>
        <row r="4842">
          <cell r="A4842" t="str">
            <v>橙杀戮22级</v>
          </cell>
          <cell r="B4842">
            <v>513222</v>
          </cell>
        </row>
        <row r="4843">
          <cell r="A4843" t="str">
            <v>橙杀戮23级</v>
          </cell>
          <cell r="B4843">
            <v>513223</v>
          </cell>
        </row>
        <row r="4844">
          <cell r="A4844" t="str">
            <v>橙杀戮24级</v>
          </cell>
          <cell r="B4844">
            <v>513224</v>
          </cell>
        </row>
        <row r="4845">
          <cell r="A4845" t="str">
            <v>橙杀戮25级</v>
          </cell>
          <cell r="B4845">
            <v>513225</v>
          </cell>
        </row>
        <row r="4846">
          <cell r="A4846" t="str">
            <v>橙杀戮26级</v>
          </cell>
          <cell r="B4846">
            <v>513226</v>
          </cell>
        </row>
        <row r="4847">
          <cell r="A4847" t="str">
            <v>橙杀戮27级</v>
          </cell>
          <cell r="B4847">
            <v>513227</v>
          </cell>
        </row>
        <row r="4848">
          <cell r="A4848" t="str">
            <v>橙杀戮28级</v>
          </cell>
          <cell r="B4848">
            <v>513228</v>
          </cell>
        </row>
        <row r="4849">
          <cell r="A4849" t="str">
            <v>橙杀戮29级</v>
          </cell>
          <cell r="B4849">
            <v>513229</v>
          </cell>
        </row>
        <row r="4850">
          <cell r="A4850" t="str">
            <v>橙杀戮30级</v>
          </cell>
          <cell r="B4850">
            <v>513230</v>
          </cell>
        </row>
        <row r="4851">
          <cell r="A4851" t="str">
            <v>橙杀戮31级</v>
          </cell>
          <cell r="B4851">
            <v>513231</v>
          </cell>
        </row>
        <row r="4852">
          <cell r="A4852" t="str">
            <v>橙杀戮32级</v>
          </cell>
          <cell r="B4852">
            <v>513232</v>
          </cell>
        </row>
        <row r="4853">
          <cell r="A4853" t="str">
            <v>橙杀戮33级</v>
          </cell>
          <cell r="B4853">
            <v>513233</v>
          </cell>
        </row>
        <row r="4854">
          <cell r="A4854" t="str">
            <v>橙杀戮34级</v>
          </cell>
          <cell r="B4854">
            <v>513234</v>
          </cell>
        </row>
        <row r="4855">
          <cell r="A4855" t="str">
            <v>橙杀戮35级</v>
          </cell>
          <cell r="B4855">
            <v>513235</v>
          </cell>
        </row>
        <row r="4856">
          <cell r="A4856" t="str">
            <v>橙杀戮36级</v>
          </cell>
          <cell r="B4856">
            <v>513236</v>
          </cell>
        </row>
        <row r="4857">
          <cell r="A4857" t="str">
            <v>橙杀戮37级</v>
          </cell>
          <cell r="B4857">
            <v>513237</v>
          </cell>
        </row>
        <row r="4858">
          <cell r="A4858" t="str">
            <v>橙杀戮38级</v>
          </cell>
          <cell r="B4858">
            <v>513238</v>
          </cell>
        </row>
        <row r="4859">
          <cell r="A4859" t="str">
            <v>橙杀戮39级</v>
          </cell>
          <cell r="B4859">
            <v>513239</v>
          </cell>
        </row>
        <row r="4860">
          <cell r="A4860" t="str">
            <v>橙杀戮40级</v>
          </cell>
          <cell r="B4860">
            <v>513240</v>
          </cell>
        </row>
        <row r="4861">
          <cell r="A4861" t="str">
            <v>橙杀戮41级</v>
          </cell>
          <cell r="B4861">
            <v>513241</v>
          </cell>
        </row>
        <row r="4862">
          <cell r="A4862" t="str">
            <v>橙杀戮42级</v>
          </cell>
          <cell r="B4862">
            <v>513242</v>
          </cell>
        </row>
        <row r="4863">
          <cell r="A4863" t="str">
            <v>橙杀戮43级</v>
          </cell>
          <cell r="B4863">
            <v>513243</v>
          </cell>
        </row>
        <row r="4864">
          <cell r="A4864" t="str">
            <v>橙杀戮44级</v>
          </cell>
          <cell r="B4864">
            <v>513244</v>
          </cell>
        </row>
        <row r="4865">
          <cell r="A4865" t="str">
            <v>橙杀戮45级</v>
          </cell>
          <cell r="B4865">
            <v>513245</v>
          </cell>
        </row>
        <row r="4866">
          <cell r="A4866" t="str">
            <v>橙杀戮46级</v>
          </cell>
          <cell r="B4866">
            <v>513246</v>
          </cell>
        </row>
        <row r="4867">
          <cell r="A4867" t="str">
            <v>橙杀戮47级</v>
          </cell>
          <cell r="B4867">
            <v>513247</v>
          </cell>
        </row>
        <row r="4868">
          <cell r="A4868" t="str">
            <v>橙杀戮48级</v>
          </cell>
          <cell r="B4868">
            <v>513248</v>
          </cell>
        </row>
        <row r="4869">
          <cell r="A4869" t="str">
            <v>橙杀戮49级</v>
          </cell>
          <cell r="B4869">
            <v>513249</v>
          </cell>
        </row>
        <row r="4870">
          <cell r="A4870" t="str">
            <v>橙杀戮50级</v>
          </cell>
          <cell r="B4870">
            <v>513250</v>
          </cell>
        </row>
        <row r="4871">
          <cell r="A4871" t="str">
            <v>橙杀戮51级</v>
          </cell>
          <cell r="B4871">
            <v>513251</v>
          </cell>
        </row>
        <row r="4872">
          <cell r="A4872" t="str">
            <v>橙杀戮52级</v>
          </cell>
          <cell r="B4872">
            <v>513252</v>
          </cell>
        </row>
        <row r="4873">
          <cell r="A4873" t="str">
            <v>橙杀戮53级</v>
          </cell>
          <cell r="B4873">
            <v>513253</v>
          </cell>
        </row>
        <row r="4874">
          <cell r="A4874" t="str">
            <v>橙杀戮54级</v>
          </cell>
          <cell r="B4874">
            <v>513254</v>
          </cell>
        </row>
        <row r="4875">
          <cell r="A4875" t="str">
            <v>橙杀戮55级</v>
          </cell>
          <cell r="B4875">
            <v>513255</v>
          </cell>
        </row>
        <row r="4876">
          <cell r="A4876" t="str">
            <v>橙杀戮56级</v>
          </cell>
          <cell r="B4876">
            <v>513256</v>
          </cell>
        </row>
        <row r="4877">
          <cell r="A4877" t="str">
            <v>橙杀戮57级</v>
          </cell>
          <cell r="B4877">
            <v>513257</v>
          </cell>
        </row>
        <row r="4878">
          <cell r="A4878" t="str">
            <v>橙杀戮58级</v>
          </cell>
          <cell r="B4878">
            <v>513258</v>
          </cell>
        </row>
        <row r="4879">
          <cell r="A4879" t="str">
            <v>橙杀戮59级</v>
          </cell>
          <cell r="B4879">
            <v>513259</v>
          </cell>
        </row>
        <row r="4880">
          <cell r="A4880" t="str">
            <v>橙杀戮60级</v>
          </cell>
          <cell r="B4880">
            <v>513260</v>
          </cell>
        </row>
        <row r="4881">
          <cell r="A4881" t="str">
            <v>橙祝福1级</v>
          </cell>
          <cell r="B4881">
            <v>514201</v>
          </cell>
        </row>
        <row r="4882">
          <cell r="A4882" t="str">
            <v>橙祝福2级</v>
          </cell>
          <cell r="B4882">
            <v>514202</v>
          </cell>
        </row>
        <row r="4883">
          <cell r="A4883" t="str">
            <v>橙祝福3级</v>
          </cell>
          <cell r="B4883">
            <v>514203</v>
          </cell>
        </row>
        <row r="4884">
          <cell r="A4884" t="str">
            <v>橙祝福4级</v>
          </cell>
          <cell r="B4884">
            <v>514204</v>
          </cell>
        </row>
        <row r="4885">
          <cell r="A4885" t="str">
            <v>橙祝福5级</v>
          </cell>
          <cell r="B4885">
            <v>514205</v>
          </cell>
        </row>
        <row r="4886">
          <cell r="A4886" t="str">
            <v>橙祝福6级</v>
          </cell>
          <cell r="B4886">
            <v>514206</v>
          </cell>
        </row>
        <row r="4887">
          <cell r="A4887" t="str">
            <v>橙祝福7级</v>
          </cell>
          <cell r="B4887">
            <v>514207</v>
          </cell>
        </row>
        <row r="4888">
          <cell r="A4888" t="str">
            <v>橙祝福8级</v>
          </cell>
          <cell r="B4888">
            <v>514208</v>
          </cell>
        </row>
        <row r="4889">
          <cell r="A4889" t="str">
            <v>橙祝福9级</v>
          </cell>
          <cell r="B4889">
            <v>514209</v>
          </cell>
        </row>
        <row r="4890">
          <cell r="A4890" t="str">
            <v>橙祝福10级</v>
          </cell>
          <cell r="B4890">
            <v>514210</v>
          </cell>
        </row>
        <row r="4891">
          <cell r="A4891" t="str">
            <v>橙祝福11级</v>
          </cell>
          <cell r="B4891">
            <v>514211</v>
          </cell>
        </row>
        <row r="4892">
          <cell r="A4892" t="str">
            <v>橙祝福12级</v>
          </cell>
          <cell r="B4892">
            <v>514212</v>
          </cell>
        </row>
        <row r="4893">
          <cell r="A4893" t="str">
            <v>橙祝福13级</v>
          </cell>
          <cell r="B4893">
            <v>514213</v>
          </cell>
        </row>
        <row r="4894">
          <cell r="A4894" t="str">
            <v>橙祝福14级</v>
          </cell>
          <cell r="B4894">
            <v>514214</v>
          </cell>
        </row>
        <row r="4895">
          <cell r="A4895" t="str">
            <v>橙祝福15级</v>
          </cell>
          <cell r="B4895">
            <v>514215</v>
          </cell>
        </row>
        <row r="4896">
          <cell r="A4896" t="str">
            <v>橙祝福16级</v>
          </cell>
          <cell r="B4896">
            <v>514216</v>
          </cell>
        </row>
        <row r="4897">
          <cell r="A4897" t="str">
            <v>橙祝福17级</v>
          </cell>
          <cell r="B4897">
            <v>514217</v>
          </cell>
        </row>
        <row r="4898">
          <cell r="A4898" t="str">
            <v>橙祝福18级</v>
          </cell>
          <cell r="B4898">
            <v>514218</v>
          </cell>
        </row>
        <row r="4899">
          <cell r="A4899" t="str">
            <v>橙祝福19级</v>
          </cell>
          <cell r="B4899">
            <v>514219</v>
          </cell>
        </row>
        <row r="4900">
          <cell r="A4900" t="str">
            <v>橙祝福20级</v>
          </cell>
          <cell r="B4900">
            <v>514220</v>
          </cell>
        </row>
        <row r="4901">
          <cell r="A4901" t="str">
            <v>橙祝福21级</v>
          </cell>
          <cell r="B4901">
            <v>514221</v>
          </cell>
        </row>
        <row r="4902">
          <cell r="A4902" t="str">
            <v>橙祝福22级</v>
          </cell>
          <cell r="B4902">
            <v>514222</v>
          </cell>
        </row>
        <row r="4903">
          <cell r="A4903" t="str">
            <v>橙祝福23级</v>
          </cell>
          <cell r="B4903">
            <v>514223</v>
          </cell>
        </row>
        <row r="4904">
          <cell r="A4904" t="str">
            <v>橙祝福24级</v>
          </cell>
          <cell r="B4904">
            <v>514224</v>
          </cell>
        </row>
        <row r="4905">
          <cell r="A4905" t="str">
            <v>橙祝福25级</v>
          </cell>
          <cell r="B4905">
            <v>514225</v>
          </cell>
        </row>
        <row r="4906">
          <cell r="A4906" t="str">
            <v>橙祝福26级</v>
          </cell>
          <cell r="B4906">
            <v>514226</v>
          </cell>
        </row>
        <row r="4907">
          <cell r="A4907" t="str">
            <v>橙祝福27级</v>
          </cell>
          <cell r="B4907">
            <v>514227</v>
          </cell>
        </row>
        <row r="4908">
          <cell r="A4908" t="str">
            <v>橙祝福28级</v>
          </cell>
          <cell r="B4908">
            <v>514228</v>
          </cell>
        </row>
        <row r="4909">
          <cell r="A4909" t="str">
            <v>橙祝福29级</v>
          </cell>
          <cell r="B4909">
            <v>514229</v>
          </cell>
        </row>
        <row r="4910">
          <cell r="A4910" t="str">
            <v>橙祝福30级</v>
          </cell>
          <cell r="B4910">
            <v>514230</v>
          </cell>
        </row>
        <row r="4911">
          <cell r="A4911" t="str">
            <v>橙祝福31级</v>
          </cell>
          <cell r="B4911">
            <v>514231</v>
          </cell>
        </row>
        <row r="4912">
          <cell r="A4912" t="str">
            <v>橙祝福32级</v>
          </cell>
          <cell r="B4912">
            <v>514232</v>
          </cell>
        </row>
        <row r="4913">
          <cell r="A4913" t="str">
            <v>橙祝福33级</v>
          </cell>
          <cell r="B4913">
            <v>514233</v>
          </cell>
        </row>
        <row r="4914">
          <cell r="A4914" t="str">
            <v>橙祝福34级</v>
          </cell>
          <cell r="B4914">
            <v>514234</v>
          </cell>
        </row>
        <row r="4915">
          <cell r="A4915" t="str">
            <v>橙祝福35级</v>
          </cell>
          <cell r="B4915">
            <v>514235</v>
          </cell>
        </row>
        <row r="4916">
          <cell r="A4916" t="str">
            <v>橙祝福36级</v>
          </cell>
          <cell r="B4916">
            <v>514236</v>
          </cell>
        </row>
        <row r="4917">
          <cell r="A4917" t="str">
            <v>橙祝福37级</v>
          </cell>
          <cell r="B4917">
            <v>514237</v>
          </cell>
        </row>
        <row r="4918">
          <cell r="A4918" t="str">
            <v>橙祝福38级</v>
          </cell>
          <cell r="B4918">
            <v>514238</v>
          </cell>
        </row>
        <row r="4919">
          <cell r="A4919" t="str">
            <v>橙祝福39级</v>
          </cell>
          <cell r="B4919">
            <v>514239</v>
          </cell>
        </row>
        <row r="4920">
          <cell r="A4920" t="str">
            <v>橙祝福40级</v>
          </cell>
          <cell r="B4920">
            <v>514240</v>
          </cell>
        </row>
        <row r="4921">
          <cell r="A4921" t="str">
            <v>橙祝福41级</v>
          </cell>
          <cell r="B4921">
            <v>514241</v>
          </cell>
        </row>
        <row r="4922">
          <cell r="A4922" t="str">
            <v>橙祝福42级</v>
          </cell>
          <cell r="B4922">
            <v>514242</v>
          </cell>
        </row>
        <row r="4923">
          <cell r="A4923" t="str">
            <v>橙祝福43级</v>
          </cell>
          <cell r="B4923">
            <v>514243</v>
          </cell>
        </row>
        <row r="4924">
          <cell r="A4924" t="str">
            <v>橙祝福44级</v>
          </cell>
          <cell r="B4924">
            <v>514244</v>
          </cell>
        </row>
        <row r="4925">
          <cell r="A4925" t="str">
            <v>橙祝福45级</v>
          </cell>
          <cell r="B4925">
            <v>514245</v>
          </cell>
        </row>
        <row r="4926">
          <cell r="A4926" t="str">
            <v>橙祝福46级</v>
          </cell>
          <cell r="B4926">
            <v>514246</v>
          </cell>
        </row>
        <row r="4927">
          <cell r="A4927" t="str">
            <v>橙祝福47级</v>
          </cell>
          <cell r="B4927">
            <v>514247</v>
          </cell>
        </row>
        <row r="4928">
          <cell r="A4928" t="str">
            <v>橙祝福48级</v>
          </cell>
          <cell r="B4928">
            <v>514248</v>
          </cell>
        </row>
        <row r="4929">
          <cell r="A4929" t="str">
            <v>橙祝福49级</v>
          </cell>
          <cell r="B4929">
            <v>514249</v>
          </cell>
        </row>
        <row r="4930">
          <cell r="A4930" t="str">
            <v>橙祝福50级</v>
          </cell>
          <cell r="B4930">
            <v>514250</v>
          </cell>
        </row>
        <row r="4931">
          <cell r="A4931" t="str">
            <v>橙祝福51级</v>
          </cell>
          <cell r="B4931">
            <v>514251</v>
          </cell>
        </row>
        <row r="4932">
          <cell r="A4932" t="str">
            <v>橙祝福52级</v>
          </cell>
          <cell r="B4932">
            <v>514252</v>
          </cell>
        </row>
        <row r="4933">
          <cell r="A4933" t="str">
            <v>橙祝福53级</v>
          </cell>
          <cell r="B4933">
            <v>514253</v>
          </cell>
        </row>
        <row r="4934">
          <cell r="A4934" t="str">
            <v>橙祝福54级</v>
          </cell>
          <cell r="B4934">
            <v>514254</v>
          </cell>
        </row>
        <row r="4935">
          <cell r="A4935" t="str">
            <v>橙祝福55级</v>
          </cell>
          <cell r="B4935">
            <v>514255</v>
          </cell>
        </row>
        <row r="4936">
          <cell r="A4936" t="str">
            <v>橙祝福56级</v>
          </cell>
          <cell r="B4936">
            <v>514256</v>
          </cell>
        </row>
        <row r="4937">
          <cell r="A4937" t="str">
            <v>橙祝福57级</v>
          </cell>
          <cell r="B4937">
            <v>514257</v>
          </cell>
        </row>
        <row r="4938">
          <cell r="A4938" t="str">
            <v>橙祝福58级</v>
          </cell>
          <cell r="B4938">
            <v>514258</v>
          </cell>
        </row>
        <row r="4939">
          <cell r="A4939" t="str">
            <v>橙祝福59级</v>
          </cell>
          <cell r="B4939">
            <v>514259</v>
          </cell>
        </row>
        <row r="4940">
          <cell r="A4940" t="str">
            <v>橙祝福60级</v>
          </cell>
          <cell r="B4940">
            <v>514260</v>
          </cell>
        </row>
        <row r="4941">
          <cell r="A4941" t="str">
            <v>橙财神1级</v>
          </cell>
          <cell r="B4941">
            <v>515201</v>
          </cell>
        </row>
        <row r="4942">
          <cell r="A4942" t="str">
            <v>橙财神2级</v>
          </cell>
          <cell r="B4942">
            <v>515202</v>
          </cell>
        </row>
        <row r="4943">
          <cell r="A4943" t="str">
            <v>橙财神3级</v>
          </cell>
          <cell r="B4943">
            <v>515203</v>
          </cell>
        </row>
        <row r="4944">
          <cell r="A4944" t="str">
            <v>橙财神4级</v>
          </cell>
          <cell r="B4944">
            <v>515204</v>
          </cell>
        </row>
        <row r="4945">
          <cell r="A4945" t="str">
            <v>橙财神5级</v>
          </cell>
          <cell r="B4945">
            <v>515205</v>
          </cell>
        </row>
        <row r="4946">
          <cell r="A4946" t="str">
            <v>橙财神6级</v>
          </cell>
          <cell r="B4946">
            <v>515206</v>
          </cell>
        </row>
        <row r="4947">
          <cell r="A4947" t="str">
            <v>橙财神7级</v>
          </cell>
          <cell r="B4947">
            <v>515207</v>
          </cell>
        </row>
        <row r="4948">
          <cell r="A4948" t="str">
            <v>橙财神8级</v>
          </cell>
          <cell r="B4948">
            <v>515208</v>
          </cell>
        </row>
        <row r="4949">
          <cell r="A4949" t="str">
            <v>橙财神9级</v>
          </cell>
          <cell r="B4949">
            <v>515209</v>
          </cell>
        </row>
        <row r="4950">
          <cell r="A4950" t="str">
            <v>橙财神10级</v>
          </cell>
          <cell r="B4950">
            <v>515210</v>
          </cell>
        </row>
        <row r="4951">
          <cell r="A4951" t="str">
            <v>橙财神11级</v>
          </cell>
          <cell r="B4951">
            <v>515211</v>
          </cell>
        </row>
        <row r="4952">
          <cell r="A4952" t="str">
            <v>橙财神12级</v>
          </cell>
          <cell r="B4952">
            <v>515212</v>
          </cell>
        </row>
        <row r="4953">
          <cell r="A4953" t="str">
            <v>橙财神13级</v>
          </cell>
          <cell r="B4953">
            <v>515213</v>
          </cell>
        </row>
        <row r="4954">
          <cell r="A4954" t="str">
            <v>橙财神14级</v>
          </cell>
          <cell r="B4954">
            <v>515214</v>
          </cell>
        </row>
        <row r="4955">
          <cell r="A4955" t="str">
            <v>橙财神15级</v>
          </cell>
          <cell r="B4955">
            <v>515215</v>
          </cell>
        </row>
        <row r="4956">
          <cell r="A4956" t="str">
            <v>橙财神16级</v>
          </cell>
          <cell r="B4956">
            <v>515216</v>
          </cell>
        </row>
        <row r="4957">
          <cell r="A4957" t="str">
            <v>橙财神17级</v>
          </cell>
          <cell r="B4957">
            <v>515217</v>
          </cell>
        </row>
        <row r="4958">
          <cell r="A4958" t="str">
            <v>橙财神18级</v>
          </cell>
          <cell r="B4958">
            <v>515218</v>
          </cell>
        </row>
        <row r="4959">
          <cell r="A4959" t="str">
            <v>橙财神19级</v>
          </cell>
          <cell r="B4959">
            <v>515219</v>
          </cell>
        </row>
        <row r="4960">
          <cell r="A4960" t="str">
            <v>橙财神20级</v>
          </cell>
          <cell r="B4960">
            <v>515220</v>
          </cell>
        </row>
        <row r="4961">
          <cell r="A4961" t="str">
            <v>橙财神21级</v>
          </cell>
          <cell r="B4961">
            <v>515221</v>
          </cell>
        </row>
        <row r="4962">
          <cell r="A4962" t="str">
            <v>橙财神22级</v>
          </cell>
          <cell r="B4962">
            <v>515222</v>
          </cell>
        </row>
        <row r="4963">
          <cell r="A4963" t="str">
            <v>橙财神23级</v>
          </cell>
          <cell r="B4963">
            <v>515223</v>
          </cell>
        </row>
        <row r="4964">
          <cell r="A4964" t="str">
            <v>橙财神24级</v>
          </cell>
          <cell r="B4964">
            <v>515224</v>
          </cell>
        </row>
        <row r="4965">
          <cell r="A4965" t="str">
            <v>橙财神25级</v>
          </cell>
          <cell r="B4965">
            <v>515225</v>
          </cell>
        </row>
        <row r="4966">
          <cell r="A4966" t="str">
            <v>橙财神26级</v>
          </cell>
          <cell r="B4966">
            <v>515226</v>
          </cell>
        </row>
        <row r="4967">
          <cell r="A4967" t="str">
            <v>橙财神27级</v>
          </cell>
          <cell r="B4967">
            <v>515227</v>
          </cell>
        </row>
        <row r="4968">
          <cell r="A4968" t="str">
            <v>橙财神28级</v>
          </cell>
          <cell r="B4968">
            <v>515228</v>
          </cell>
        </row>
        <row r="4969">
          <cell r="A4969" t="str">
            <v>橙财神29级</v>
          </cell>
          <cell r="B4969">
            <v>515229</v>
          </cell>
        </row>
        <row r="4970">
          <cell r="A4970" t="str">
            <v>橙财神30级</v>
          </cell>
          <cell r="B4970">
            <v>515230</v>
          </cell>
        </row>
        <row r="4971">
          <cell r="A4971" t="str">
            <v>橙财神31级</v>
          </cell>
          <cell r="B4971">
            <v>515231</v>
          </cell>
        </row>
        <row r="4972">
          <cell r="A4972" t="str">
            <v>橙财神32级</v>
          </cell>
          <cell r="B4972">
            <v>515232</v>
          </cell>
        </row>
        <row r="4973">
          <cell r="A4973" t="str">
            <v>橙财神33级</v>
          </cell>
          <cell r="B4973">
            <v>515233</v>
          </cell>
        </row>
        <row r="4974">
          <cell r="A4974" t="str">
            <v>橙财神34级</v>
          </cell>
          <cell r="B4974">
            <v>515234</v>
          </cell>
        </row>
        <row r="4975">
          <cell r="A4975" t="str">
            <v>橙财神35级</v>
          </cell>
          <cell r="B4975">
            <v>515235</v>
          </cell>
        </row>
        <row r="4976">
          <cell r="A4976" t="str">
            <v>橙财神36级</v>
          </cell>
          <cell r="B4976">
            <v>515236</v>
          </cell>
        </row>
        <row r="4977">
          <cell r="A4977" t="str">
            <v>橙财神37级</v>
          </cell>
          <cell r="B4977">
            <v>515237</v>
          </cell>
        </row>
        <row r="4978">
          <cell r="A4978" t="str">
            <v>橙财神38级</v>
          </cell>
          <cell r="B4978">
            <v>515238</v>
          </cell>
        </row>
        <row r="4979">
          <cell r="A4979" t="str">
            <v>橙财神39级</v>
          </cell>
          <cell r="B4979">
            <v>515239</v>
          </cell>
        </row>
        <row r="4980">
          <cell r="A4980" t="str">
            <v>橙财神40级</v>
          </cell>
          <cell r="B4980">
            <v>515240</v>
          </cell>
        </row>
        <row r="4981">
          <cell r="A4981" t="str">
            <v>橙财神41级</v>
          </cell>
          <cell r="B4981">
            <v>515241</v>
          </cell>
        </row>
        <row r="4982">
          <cell r="A4982" t="str">
            <v>橙财神42级</v>
          </cell>
          <cell r="B4982">
            <v>515242</v>
          </cell>
        </row>
        <row r="4983">
          <cell r="A4983" t="str">
            <v>橙财神43级</v>
          </cell>
          <cell r="B4983">
            <v>515243</v>
          </cell>
        </row>
        <row r="4984">
          <cell r="A4984" t="str">
            <v>橙财神44级</v>
          </cell>
          <cell r="B4984">
            <v>515244</v>
          </cell>
        </row>
        <row r="4985">
          <cell r="A4985" t="str">
            <v>橙财神45级</v>
          </cell>
          <cell r="B4985">
            <v>515245</v>
          </cell>
        </row>
        <row r="4986">
          <cell r="A4986" t="str">
            <v>橙财神46级</v>
          </cell>
          <cell r="B4986">
            <v>515246</v>
          </cell>
        </row>
        <row r="4987">
          <cell r="A4987" t="str">
            <v>橙财神47级</v>
          </cell>
          <cell r="B4987">
            <v>515247</v>
          </cell>
        </row>
        <row r="4988">
          <cell r="A4988" t="str">
            <v>橙财神48级</v>
          </cell>
          <cell r="B4988">
            <v>515248</v>
          </cell>
        </row>
        <row r="4989">
          <cell r="A4989" t="str">
            <v>橙财神49级</v>
          </cell>
          <cell r="B4989">
            <v>515249</v>
          </cell>
        </row>
        <row r="4990">
          <cell r="A4990" t="str">
            <v>橙财神50级</v>
          </cell>
          <cell r="B4990">
            <v>515250</v>
          </cell>
        </row>
        <row r="4991">
          <cell r="A4991" t="str">
            <v>橙财神51级</v>
          </cell>
          <cell r="B4991">
            <v>515251</v>
          </cell>
        </row>
        <row r="4992">
          <cell r="A4992" t="str">
            <v>橙财神52级</v>
          </cell>
          <cell r="B4992">
            <v>515252</v>
          </cell>
        </row>
        <row r="4993">
          <cell r="A4993" t="str">
            <v>橙财神53级</v>
          </cell>
          <cell r="B4993">
            <v>515253</v>
          </cell>
        </row>
        <row r="4994">
          <cell r="A4994" t="str">
            <v>橙财神54级</v>
          </cell>
          <cell r="B4994">
            <v>515254</v>
          </cell>
        </row>
        <row r="4995">
          <cell r="A4995" t="str">
            <v>橙财神55级</v>
          </cell>
          <cell r="B4995">
            <v>515255</v>
          </cell>
        </row>
        <row r="4996">
          <cell r="A4996" t="str">
            <v>橙财神56级</v>
          </cell>
          <cell r="B4996">
            <v>515256</v>
          </cell>
        </row>
        <row r="4997">
          <cell r="A4997" t="str">
            <v>橙财神57级</v>
          </cell>
          <cell r="B4997">
            <v>515257</v>
          </cell>
        </row>
        <row r="4998">
          <cell r="A4998" t="str">
            <v>橙财神58级</v>
          </cell>
          <cell r="B4998">
            <v>515258</v>
          </cell>
        </row>
        <row r="4999">
          <cell r="A4999" t="str">
            <v>橙财神59级</v>
          </cell>
          <cell r="B4999">
            <v>515259</v>
          </cell>
        </row>
        <row r="5000">
          <cell r="A5000" t="str">
            <v>橙财神60级</v>
          </cell>
          <cell r="B5000">
            <v>515260</v>
          </cell>
        </row>
        <row r="5001">
          <cell r="A5001" t="str">
            <v>红神力1级</v>
          </cell>
          <cell r="B5001">
            <v>501301</v>
          </cell>
        </row>
        <row r="5002">
          <cell r="A5002" t="str">
            <v>红神力2级</v>
          </cell>
          <cell r="B5002">
            <v>501302</v>
          </cell>
        </row>
        <row r="5003">
          <cell r="A5003" t="str">
            <v>红神力3级</v>
          </cell>
          <cell r="B5003">
            <v>501303</v>
          </cell>
        </row>
        <row r="5004">
          <cell r="A5004" t="str">
            <v>红神力4级</v>
          </cell>
          <cell r="B5004">
            <v>501304</v>
          </cell>
        </row>
        <row r="5005">
          <cell r="A5005" t="str">
            <v>红神力5级</v>
          </cell>
          <cell r="B5005">
            <v>501305</v>
          </cell>
        </row>
        <row r="5006">
          <cell r="A5006" t="str">
            <v>红神力6级</v>
          </cell>
          <cell r="B5006">
            <v>501306</v>
          </cell>
        </row>
        <row r="5007">
          <cell r="A5007" t="str">
            <v>红神力7级</v>
          </cell>
          <cell r="B5007">
            <v>501307</v>
          </cell>
        </row>
        <row r="5008">
          <cell r="A5008" t="str">
            <v>红神力8级</v>
          </cell>
          <cell r="B5008">
            <v>501308</v>
          </cell>
        </row>
        <row r="5009">
          <cell r="A5009" t="str">
            <v>红神力9级</v>
          </cell>
          <cell r="B5009">
            <v>501309</v>
          </cell>
        </row>
        <row r="5010">
          <cell r="A5010" t="str">
            <v>红神力10级</v>
          </cell>
          <cell r="B5010">
            <v>501310</v>
          </cell>
        </row>
        <row r="5011">
          <cell r="A5011" t="str">
            <v>红神力11级</v>
          </cell>
          <cell r="B5011">
            <v>501311</v>
          </cell>
        </row>
        <row r="5012">
          <cell r="A5012" t="str">
            <v>红神力12级</v>
          </cell>
          <cell r="B5012">
            <v>501312</v>
          </cell>
        </row>
        <row r="5013">
          <cell r="A5013" t="str">
            <v>红神力13级</v>
          </cell>
          <cell r="B5013">
            <v>501313</v>
          </cell>
        </row>
        <row r="5014">
          <cell r="A5014" t="str">
            <v>红神力14级</v>
          </cell>
          <cell r="B5014">
            <v>501314</v>
          </cell>
        </row>
        <row r="5015">
          <cell r="A5015" t="str">
            <v>红神力15级</v>
          </cell>
          <cell r="B5015">
            <v>501315</v>
          </cell>
        </row>
        <row r="5016">
          <cell r="A5016" t="str">
            <v>红神力16级</v>
          </cell>
          <cell r="B5016">
            <v>501316</v>
          </cell>
        </row>
        <row r="5017">
          <cell r="A5017" t="str">
            <v>红神力17级</v>
          </cell>
          <cell r="B5017">
            <v>501317</v>
          </cell>
        </row>
        <row r="5018">
          <cell r="A5018" t="str">
            <v>红神力18级</v>
          </cell>
          <cell r="B5018">
            <v>501318</v>
          </cell>
        </row>
        <row r="5019">
          <cell r="A5019" t="str">
            <v>红神力19级</v>
          </cell>
          <cell r="B5019">
            <v>501319</v>
          </cell>
        </row>
        <row r="5020">
          <cell r="A5020" t="str">
            <v>红神力20级</v>
          </cell>
          <cell r="B5020">
            <v>501320</v>
          </cell>
        </row>
        <row r="5021">
          <cell r="A5021" t="str">
            <v>红神力21级</v>
          </cell>
          <cell r="B5021">
            <v>501321</v>
          </cell>
        </row>
        <row r="5022">
          <cell r="A5022" t="str">
            <v>红神力22级</v>
          </cell>
          <cell r="B5022">
            <v>501322</v>
          </cell>
        </row>
        <row r="5023">
          <cell r="A5023" t="str">
            <v>红神力23级</v>
          </cell>
          <cell r="B5023">
            <v>501323</v>
          </cell>
        </row>
        <row r="5024">
          <cell r="A5024" t="str">
            <v>红神力24级</v>
          </cell>
          <cell r="B5024">
            <v>501324</v>
          </cell>
        </row>
        <row r="5025">
          <cell r="A5025" t="str">
            <v>红神力25级</v>
          </cell>
          <cell r="B5025">
            <v>501325</v>
          </cell>
        </row>
        <row r="5026">
          <cell r="A5026" t="str">
            <v>红神力26级</v>
          </cell>
          <cell r="B5026">
            <v>501326</v>
          </cell>
        </row>
        <row r="5027">
          <cell r="A5027" t="str">
            <v>红神力27级</v>
          </cell>
          <cell r="B5027">
            <v>501327</v>
          </cell>
        </row>
        <row r="5028">
          <cell r="A5028" t="str">
            <v>红神力28级</v>
          </cell>
          <cell r="B5028">
            <v>501328</v>
          </cell>
        </row>
        <row r="5029">
          <cell r="A5029" t="str">
            <v>红神力29级</v>
          </cell>
          <cell r="B5029">
            <v>501329</v>
          </cell>
        </row>
        <row r="5030">
          <cell r="A5030" t="str">
            <v>红神力30级</v>
          </cell>
          <cell r="B5030">
            <v>501330</v>
          </cell>
        </row>
        <row r="5031">
          <cell r="A5031" t="str">
            <v>红神力31级</v>
          </cell>
          <cell r="B5031">
            <v>501331</v>
          </cell>
        </row>
        <row r="5032">
          <cell r="A5032" t="str">
            <v>红神力32级</v>
          </cell>
          <cell r="B5032">
            <v>501332</v>
          </cell>
        </row>
        <row r="5033">
          <cell r="A5033" t="str">
            <v>红神力33级</v>
          </cell>
          <cell r="B5033">
            <v>501333</v>
          </cell>
        </row>
        <row r="5034">
          <cell r="A5034" t="str">
            <v>红神力34级</v>
          </cell>
          <cell r="B5034">
            <v>501334</v>
          </cell>
        </row>
        <row r="5035">
          <cell r="A5035" t="str">
            <v>红神力35级</v>
          </cell>
          <cell r="B5035">
            <v>501335</v>
          </cell>
        </row>
        <row r="5036">
          <cell r="A5036" t="str">
            <v>红神力36级</v>
          </cell>
          <cell r="B5036">
            <v>501336</v>
          </cell>
        </row>
        <row r="5037">
          <cell r="A5037" t="str">
            <v>红神力37级</v>
          </cell>
          <cell r="B5037">
            <v>501337</v>
          </cell>
        </row>
        <row r="5038">
          <cell r="A5038" t="str">
            <v>红神力38级</v>
          </cell>
          <cell r="B5038">
            <v>501338</v>
          </cell>
        </row>
        <row r="5039">
          <cell r="A5039" t="str">
            <v>红神力39级</v>
          </cell>
          <cell r="B5039">
            <v>501339</v>
          </cell>
        </row>
        <row r="5040">
          <cell r="A5040" t="str">
            <v>红神力40级</v>
          </cell>
          <cell r="B5040">
            <v>501340</v>
          </cell>
        </row>
        <row r="5041">
          <cell r="A5041" t="str">
            <v>红神力41级</v>
          </cell>
          <cell r="B5041">
            <v>501341</v>
          </cell>
        </row>
        <row r="5042">
          <cell r="A5042" t="str">
            <v>红神力42级</v>
          </cell>
          <cell r="B5042">
            <v>501342</v>
          </cell>
        </row>
        <row r="5043">
          <cell r="A5043" t="str">
            <v>红神力43级</v>
          </cell>
          <cell r="B5043">
            <v>501343</v>
          </cell>
        </row>
        <row r="5044">
          <cell r="A5044" t="str">
            <v>红神力44级</v>
          </cell>
          <cell r="B5044">
            <v>501344</v>
          </cell>
        </row>
        <row r="5045">
          <cell r="A5045" t="str">
            <v>红神力45级</v>
          </cell>
          <cell r="B5045">
            <v>501345</v>
          </cell>
        </row>
        <row r="5046">
          <cell r="A5046" t="str">
            <v>红神力46级</v>
          </cell>
          <cell r="B5046">
            <v>501346</v>
          </cell>
        </row>
        <row r="5047">
          <cell r="A5047" t="str">
            <v>红神力47级</v>
          </cell>
          <cell r="B5047">
            <v>501347</v>
          </cell>
        </row>
        <row r="5048">
          <cell r="A5048" t="str">
            <v>红神力48级</v>
          </cell>
          <cell r="B5048">
            <v>501348</v>
          </cell>
        </row>
        <row r="5049">
          <cell r="A5049" t="str">
            <v>红神力49级</v>
          </cell>
          <cell r="B5049">
            <v>501349</v>
          </cell>
        </row>
        <row r="5050">
          <cell r="A5050" t="str">
            <v>红神力50级</v>
          </cell>
          <cell r="B5050">
            <v>501350</v>
          </cell>
        </row>
        <row r="5051">
          <cell r="A5051" t="str">
            <v>红神力51级</v>
          </cell>
          <cell r="B5051">
            <v>501351</v>
          </cell>
        </row>
        <row r="5052">
          <cell r="A5052" t="str">
            <v>红神力52级</v>
          </cell>
          <cell r="B5052">
            <v>501352</v>
          </cell>
        </row>
        <row r="5053">
          <cell r="A5053" t="str">
            <v>红神力53级</v>
          </cell>
          <cell r="B5053">
            <v>501353</v>
          </cell>
        </row>
        <row r="5054">
          <cell r="A5054" t="str">
            <v>红神力54级</v>
          </cell>
          <cell r="B5054">
            <v>501354</v>
          </cell>
        </row>
        <row r="5055">
          <cell r="A5055" t="str">
            <v>红神力55级</v>
          </cell>
          <cell r="B5055">
            <v>501355</v>
          </cell>
        </row>
        <row r="5056">
          <cell r="A5056" t="str">
            <v>红神力56级</v>
          </cell>
          <cell r="B5056">
            <v>501356</v>
          </cell>
        </row>
        <row r="5057">
          <cell r="A5057" t="str">
            <v>红神力57级</v>
          </cell>
          <cell r="B5057">
            <v>501357</v>
          </cell>
        </row>
        <row r="5058">
          <cell r="A5058" t="str">
            <v>红神力58级</v>
          </cell>
          <cell r="B5058">
            <v>501358</v>
          </cell>
        </row>
        <row r="5059">
          <cell r="A5059" t="str">
            <v>红神力59级</v>
          </cell>
          <cell r="B5059">
            <v>501359</v>
          </cell>
        </row>
        <row r="5060">
          <cell r="A5060" t="str">
            <v>红神力60级</v>
          </cell>
          <cell r="B5060">
            <v>501360</v>
          </cell>
        </row>
        <row r="5061">
          <cell r="A5061" t="str">
            <v>红神力61级</v>
          </cell>
          <cell r="B5061">
            <v>501361</v>
          </cell>
        </row>
        <row r="5062">
          <cell r="A5062" t="str">
            <v>红神力62级</v>
          </cell>
          <cell r="B5062">
            <v>501362</v>
          </cell>
        </row>
        <row r="5063">
          <cell r="A5063" t="str">
            <v>红神力63级</v>
          </cell>
          <cell r="B5063">
            <v>501363</v>
          </cell>
        </row>
        <row r="5064">
          <cell r="A5064" t="str">
            <v>红神力64级</v>
          </cell>
          <cell r="B5064">
            <v>501364</v>
          </cell>
        </row>
        <row r="5065">
          <cell r="A5065" t="str">
            <v>红神力65级</v>
          </cell>
          <cell r="B5065">
            <v>501365</v>
          </cell>
        </row>
        <row r="5066">
          <cell r="A5066" t="str">
            <v>红神力66级</v>
          </cell>
          <cell r="B5066">
            <v>501366</v>
          </cell>
        </row>
        <row r="5067">
          <cell r="A5067" t="str">
            <v>红神力67级</v>
          </cell>
          <cell r="B5067">
            <v>501367</v>
          </cell>
        </row>
        <row r="5068">
          <cell r="A5068" t="str">
            <v>红神力68级</v>
          </cell>
          <cell r="B5068">
            <v>501368</v>
          </cell>
        </row>
        <row r="5069">
          <cell r="A5069" t="str">
            <v>红神力69级</v>
          </cell>
          <cell r="B5069">
            <v>501369</v>
          </cell>
        </row>
        <row r="5070">
          <cell r="A5070" t="str">
            <v>红神力70级</v>
          </cell>
          <cell r="B5070">
            <v>501370</v>
          </cell>
        </row>
        <row r="5071">
          <cell r="A5071" t="str">
            <v>红神力71级</v>
          </cell>
          <cell r="B5071">
            <v>501371</v>
          </cell>
        </row>
        <row r="5072">
          <cell r="A5072" t="str">
            <v>红神力72级</v>
          </cell>
          <cell r="B5072">
            <v>501372</v>
          </cell>
        </row>
        <row r="5073">
          <cell r="A5073" t="str">
            <v>红神力73级</v>
          </cell>
          <cell r="B5073">
            <v>501373</v>
          </cell>
        </row>
        <row r="5074">
          <cell r="A5074" t="str">
            <v>红神力74级</v>
          </cell>
          <cell r="B5074">
            <v>501374</v>
          </cell>
        </row>
        <row r="5075">
          <cell r="A5075" t="str">
            <v>红神力75级</v>
          </cell>
          <cell r="B5075">
            <v>501375</v>
          </cell>
        </row>
        <row r="5076">
          <cell r="A5076" t="str">
            <v>红神力76级</v>
          </cell>
          <cell r="B5076">
            <v>501376</v>
          </cell>
        </row>
        <row r="5077">
          <cell r="A5077" t="str">
            <v>红神力77级</v>
          </cell>
          <cell r="B5077">
            <v>501377</v>
          </cell>
        </row>
        <row r="5078">
          <cell r="A5078" t="str">
            <v>红神力78级</v>
          </cell>
          <cell r="B5078">
            <v>501378</v>
          </cell>
        </row>
        <row r="5079">
          <cell r="A5079" t="str">
            <v>红神力79级</v>
          </cell>
          <cell r="B5079">
            <v>501379</v>
          </cell>
        </row>
        <row r="5080">
          <cell r="A5080" t="str">
            <v>红神力80级</v>
          </cell>
          <cell r="B5080">
            <v>501380</v>
          </cell>
        </row>
        <row r="5081">
          <cell r="A5081" t="str">
            <v>红金汤1级</v>
          </cell>
          <cell r="B5081">
            <v>502301</v>
          </cell>
        </row>
        <row r="5082">
          <cell r="A5082" t="str">
            <v>红金汤2级</v>
          </cell>
          <cell r="B5082">
            <v>502302</v>
          </cell>
        </row>
        <row r="5083">
          <cell r="A5083" t="str">
            <v>红金汤3级</v>
          </cell>
          <cell r="B5083">
            <v>502303</v>
          </cell>
        </row>
        <row r="5084">
          <cell r="A5084" t="str">
            <v>红金汤4级</v>
          </cell>
          <cell r="B5084">
            <v>502304</v>
          </cell>
        </row>
        <row r="5085">
          <cell r="A5085" t="str">
            <v>红金汤5级</v>
          </cell>
          <cell r="B5085">
            <v>502305</v>
          </cell>
        </row>
        <row r="5086">
          <cell r="A5086" t="str">
            <v>红金汤6级</v>
          </cell>
          <cell r="B5086">
            <v>502306</v>
          </cell>
        </row>
        <row r="5087">
          <cell r="A5087" t="str">
            <v>红金汤7级</v>
          </cell>
          <cell r="B5087">
            <v>502307</v>
          </cell>
        </row>
        <row r="5088">
          <cell r="A5088" t="str">
            <v>红金汤8级</v>
          </cell>
          <cell r="B5088">
            <v>502308</v>
          </cell>
        </row>
        <row r="5089">
          <cell r="A5089" t="str">
            <v>红金汤9级</v>
          </cell>
          <cell r="B5089">
            <v>502309</v>
          </cell>
        </row>
        <row r="5090">
          <cell r="A5090" t="str">
            <v>红金汤10级</v>
          </cell>
          <cell r="B5090">
            <v>502310</v>
          </cell>
        </row>
        <row r="5091">
          <cell r="A5091" t="str">
            <v>红金汤11级</v>
          </cell>
          <cell r="B5091">
            <v>502311</v>
          </cell>
        </row>
        <row r="5092">
          <cell r="A5092" t="str">
            <v>红金汤12级</v>
          </cell>
          <cell r="B5092">
            <v>502312</v>
          </cell>
        </row>
        <row r="5093">
          <cell r="A5093" t="str">
            <v>红金汤13级</v>
          </cell>
          <cell r="B5093">
            <v>502313</v>
          </cell>
        </row>
        <row r="5094">
          <cell r="A5094" t="str">
            <v>红金汤14级</v>
          </cell>
          <cell r="B5094">
            <v>502314</v>
          </cell>
        </row>
        <row r="5095">
          <cell r="A5095" t="str">
            <v>红金汤15级</v>
          </cell>
          <cell r="B5095">
            <v>502315</v>
          </cell>
        </row>
        <row r="5096">
          <cell r="A5096" t="str">
            <v>红金汤16级</v>
          </cell>
          <cell r="B5096">
            <v>502316</v>
          </cell>
        </row>
        <row r="5097">
          <cell r="A5097" t="str">
            <v>红金汤17级</v>
          </cell>
          <cell r="B5097">
            <v>502317</v>
          </cell>
        </row>
        <row r="5098">
          <cell r="A5098" t="str">
            <v>红金汤18级</v>
          </cell>
          <cell r="B5098">
            <v>502318</v>
          </cell>
        </row>
        <row r="5099">
          <cell r="A5099" t="str">
            <v>红金汤19级</v>
          </cell>
          <cell r="B5099">
            <v>502319</v>
          </cell>
        </row>
        <row r="5100">
          <cell r="A5100" t="str">
            <v>红金汤20级</v>
          </cell>
          <cell r="B5100">
            <v>502320</v>
          </cell>
        </row>
        <row r="5101">
          <cell r="A5101" t="str">
            <v>红金汤21级</v>
          </cell>
          <cell r="B5101">
            <v>502321</v>
          </cell>
        </row>
        <row r="5102">
          <cell r="A5102" t="str">
            <v>红金汤22级</v>
          </cell>
          <cell r="B5102">
            <v>502322</v>
          </cell>
        </row>
        <row r="5103">
          <cell r="A5103" t="str">
            <v>红金汤23级</v>
          </cell>
          <cell r="B5103">
            <v>502323</v>
          </cell>
        </row>
        <row r="5104">
          <cell r="A5104" t="str">
            <v>红金汤24级</v>
          </cell>
          <cell r="B5104">
            <v>502324</v>
          </cell>
        </row>
        <row r="5105">
          <cell r="A5105" t="str">
            <v>红金汤25级</v>
          </cell>
          <cell r="B5105">
            <v>502325</v>
          </cell>
        </row>
        <row r="5106">
          <cell r="A5106" t="str">
            <v>红金汤26级</v>
          </cell>
          <cell r="B5106">
            <v>502326</v>
          </cell>
        </row>
        <row r="5107">
          <cell r="A5107" t="str">
            <v>红金汤27级</v>
          </cell>
          <cell r="B5107">
            <v>502327</v>
          </cell>
        </row>
        <row r="5108">
          <cell r="A5108" t="str">
            <v>红金汤28级</v>
          </cell>
          <cell r="B5108">
            <v>502328</v>
          </cell>
        </row>
        <row r="5109">
          <cell r="A5109" t="str">
            <v>红金汤29级</v>
          </cell>
          <cell r="B5109">
            <v>502329</v>
          </cell>
        </row>
        <row r="5110">
          <cell r="A5110" t="str">
            <v>红金汤30级</v>
          </cell>
          <cell r="B5110">
            <v>502330</v>
          </cell>
        </row>
        <row r="5111">
          <cell r="A5111" t="str">
            <v>红金汤31级</v>
          </cell>
          <cell r="B5111">
            <v>502331</v>
          </cell>
        </row>
        <row r="5112">
          <cell r="A5112" t="str">
            <v>红金汤32级</v>
          </cell>
          <cell r="B5112">
            <v>502332</v>
          </cell>
        </row>
        <row r="5113">
          <cell r="A5113" t="str">
            <v>红金汤33级</v>
          </cell>
          <cell r="B5113">
            <v>502333</v>
          </cell>
        </row>
        <row r="5114">
          <cell r="A5114" t="str">
            <v>红金汤34级</v>
          </cell>
          <cell r="B5114">
            <v>502334</v>
          </cell>
        </row>
        <row r="5115">
          <cell r="A5115" t="str">
            <v>红金汤35级</v>
          </cell>
          <cell r="B5115">
            <v>502335</v>
          </cell>
        </row>
        <row r="5116">
          <cell r="A5116" t="str">
            <v>红金汤36级</v>
          </cell>
          <cell r="B5116">
            <v>502336</v>
          </cell>
        </row>
        <row r="5117">
          <cell r="A5117" t="str">
            <v>红金汤37级</v>
          </cell>
          <cell r="B5117">
            <v>502337</v>
          </cell>
        </row>
        <row r="5118">
          <cell r="A5118" t="str">
            <v>红金汤38级</v>
          </cell>
          <cell r="B5118">
            <v>502338</v>
          </cell>
        </row>
        <row r="5119">
          <cell r="A5119" t="str">
            <v>红金汤39级</v>
          </cell>
          <cell r="B5119">
            <v>502339</v>
          </cell>
        </row>
        <row r="5120">
          <cell r="A5120" t="str">
            <v>红金汤40级</v>
          </cell>
          <cell r="B5120">
            <v>502340</v>
          </cell>
        </row>
        <row r="5121">
          <cell r="A5121" t="str">
            <v>红金汤41级</v>
          </cell>
          <cell r="B5121">
            <v>502341</v>
          </cell>
        </row>
        <row r="5122">
          <cell r="A5122" t="str">
            <v>红金汤42级</v>
          </cell>
          <cell r="B5122">
            <v>502342</v>
          </cell>
        </row>
        <row r="5123">
          <cell r="A5123" t="str">
            <v>红金汤43级</v>
          </cell>
          <cell r="B5123">
            <v>502343</v>
          </cell>
        </row>
        <row r="5124">
          <cell r="A5124" t="str">
            <v>红金汤44级</v>
          </cell>
          <cell r="B5124">
            <v>502344</v>
          </cell>
        </row>
        <row r="5125">
          <cell r="A5125" t="str">
            <v>红金汤45级</v>
          </cell>
          <cell r="B5125">
            <v>502345</v>
          </cell>
        </row>
        <row r="5126">
          <cell r="A5126" t="str">
            <v>红金汤46级</v>
          </cell>
          <cell r="B5126">
            <v>502346</v>
          </cell>
        </row>
        <row r="5127">
          <cell r="A5127" t="str">
            <v>红金汤47级</v>
          </cell>
          <cell r="B5127">
            <v>502347</v>
          </cell>
        </row>
        <row r="5128">
          <cell r="A5128" t="str">
            <v>红金汤48级</v>
          </cell>
          <cell r="B5128">
            <v>502348</v>
          </cell>
        </row>
        <row r="5129">
          <cell r="A5129" t="str">
            <v>红金汤49级</v>
          </cell>
          <cell r="B5129">
            <v>502349</v>
          </cell>
        </row>
        <row r="5130">
          <cell r="A5130" t="str">
            <v>红金汤50级</v>
          </cell>
          <cell r="B5130">
            <v>502350</v>
          </cell>
        </row>
        <row r="5131">
          <cell r="A5131" t="str">
            <v>红金汤51级</v>
          </cell>
          <cell r="B5131">
            <v>502351</v>
          </cell>
        </row>
        <row r="5132">
          <cell r="A5132" t="str">
            <v>红金汤52级</v>
          </cell>
          <cell r="B5132">
            <v>502352</v>
          </cell>
        </row>
        <row r="5133">
          <cell r="A5133" t="str">
            <v>红金汤53级</v>
          </cell>
          <cell r="B5133">
            <v>502353</v>
          </cell>
        </row>
        <row r="5134">
          <cell r="A5134" t="str">
            <v>红金汤54级</v>
          </cell>
          <cell r="B5134">
            <v>502354</v>
          </cell>
        </row>
        <row r="5135">
          <cell r="A5135" t="str">
            <v>红金汤55级</v>
          </cell>
          <cell r="B5135">
            <v>502355</v>
          </cell>
        </row>
        <row r="5136">
          <cell r="A5136" t="str">
            <v>红金汤56级</v>
          </cell>
          <cell r="B5136">
            <v>502356</v>
          </cell>
        </row>
        <row r="5137">
          <cell r="A5137" t="str">
            <v>红金汤57级</v>
          </cell>
          <cell r="B5137">
            <v>502357</v>
          </cell>
        </row>
        <row r="5138">
          <cell r="A5138" t="str">
            <v>红金汤58级</v>
          </cell>
          <cell r="B5138">
            <v>502358</v>
          </cell>
        </row>
        <row r="5139">
          <cell r="A5139" t="str">
            <v>红金汤59级</v>
          </cell>
          <cell r="B5139">
            <v>502359</v>
          </cell>
        </row>
        <row r="5140">
          <cell r="A5140" t="str">
            <v>红金汤60级</v>
          </cell>
          <cell r="B5140">
            <v>502360</v>
          </cell>
        </row>
        <row r="5141">
          <cell r="A5141" t="str">
            <v>红金汤61级</v>
          </cell>
          <cell r="B5141">
            <v>502361</v>
          </cell>
        </row>
        <row r="5142">
          <cell r="A5142" t="str">
            <v>红金汤62级</v>
          </cell>
          <cell r="B5142">
            <v>502362</v>
          </cell>
        </row>
        <row r="5143">
          <cell r="A5143" t="str">
            <v>红金汤63级</v>
          </cell>
          <cell r="B5143">
            <v>502363</v>
          </cell>
        </row>
        <row r="5144">
          <cell r="A5144" t="str">
            <v>红金汤64级</v>
          </cell>
          <cell r="B5144">
            <v>502364</v>
          </cell>
        </row>
        <row r="5145">
          <cell r="A5145" t="str">
            <v>红金汤65级</v>
          </cell>
          <cell r="B5145">
            <v>502365</v>
          </cell>
        </row>
        <row r="5146">
          <cell r="A5146" t="str">
            <v>红金汤66级</v>
          </cell>
          <cell r="B5146">
            <v>502366</v>
          </cell>
        </row>
        <row r="5147">
          <cell r="A5147" t="str">
            <v>红金汤67级</v>
          </cell>
          <cell r="B5147">
            <v>502367</v>
          </cell>
        </row>
        <row r="5148">
          <cell r="A5148" t="str">
            <v>红金汤68级</v>
          </cell>
          <cell r="B5148">
            <v>502368</v>
          </cell>
        </row>
        <row r="5149">
          <cell r="A5149" t="str">
            <v>红金汤69级</v>
          </cell>
          <cell r="B5149">
            <v>502369</v>
          </cell>
        </row>
        <row r="5150">
          <cell r="A5150" t="str">
            <v>红金汤70级</v>
          </cell>
          <cell r="B5150">
            <v>502370</v>
          </cell>
        </row>
        <row r="5151">
          <cell r="A5151" t="str">
            <v>红金汤71级</v>
          </cell>
          <cell r="B5151">
            <v>502371</v>
          </cell>
        </row>
        <row r="5152">
          <cell r="A5152" t="str">
            <v>红金汤72级</v>
          </cell>
          <cell r="B5152">
            <v>502372</v>
          </cell>
        </row>
        <row r="5153">
          <cell r="A5153" t="str">
            <v>红金汤73级</v>
          </cell>
          <cell r="B5153">
            <v>502373</v>
          </cell>
        </row>
        <row r="5154">
          <cell r="A5154" t="str">
            <v>红金汤74级</v>
          </cell>
          <cell r="B5154">
            <v>502374</v>
          </cell>
        </row>
        <row r="5155">
          <cell r="A5155" t="str">
            <v>红金汤75级</v>
          </cell>
          <cell r="B5155">
            <v>502375</v>
          </cell>
        </row>
        <row r="5156">
          <cell r="A5156" t="str">
            <v>红金汤76级</v>
          </cell>
          <cell r="B5156">
            <v>502376</v>
          </cell>
        </row>
        <row r="5157">
          <cell r="A5157" t="str">
            <v>红金汤77级</v>
          </cell>
          <cell r="B5157">
            <v>502377</v>
          </cell>
        </row>
        <row r="5158">
          <cell r="A5158" t="str">
            <v>红金汤78级</v>
          </cell>
          <cell r="B5158">
            <v>502378</v>
          </cell>
        </row>
        <row r="5159">
          <cell r="A5159" t="str">
            <v>红金汤79级</v>
          </cell>
          <cell r="B5159">
            <v>502379</v>
          </cell>
        </row>
        <row r="5160">
          <cell r="A5160" t="str">
            <v>红金汤80级</v>
          </cell>
          <cell r="B5160">
            <v>502380</v>
          </cell>
        </row>
        <row r="5161">
          <cell r="A5161" t="str">
            <v>红长生1级</v>
          </cell>
          <cell r="B5161">
            <v>503301</v>
          </cell>
        </row>
        <row r="5162">
          <cell r="A5162" t="str">
            <v>红长生2级</v>
          </cell>
          <cell r="B5162">
            <v>503302</v>
          </cell>
        </row>
        <row r="5163">
          <cell r="A5163" t="str">
            <v>红长生3级</v>
          </cell>
          <cell r="B5163">
            <v>503303</v>
          </cell>
        </row>
        <row r="5164">
          <cell r="A5164" t="str">
            <v>红长生4级</v>
          </cell>
          <cell r="B5164">
            <v>503304</v>
          </cell>
        </row>
        <row r="5165">
          <cell r="A5165" t="str">
            <v>红长生5级</v>
          </cell>
          <cell r="B5165">
            <v>503305</v>
          </cell>
        </row>
        <row r="5166">
          <cell r="A5166" t="str">
            <v>红长生6级</v>
          </cell>
          <cell r="B5166">
            <v>503306</v>
          </cell>
        </row>
        <row r="5167">
          <cell r="A5167" t="str">
            <v>红长生7级</v>
          </cell>
          <cell r="B5167">
            <v>503307</v>
          </cell>
        </row>
        <row r="5168">
          <cell r="A5168" t="str">
            <v>红长生8级</v>
          </cell>
          <cell r="B5168">
            <v>503308</v>
          </cell>
        </row>
        <row r="5169">
          <cell r="A5169" t="str">
            <v>红长生9级</v>
          </cell>
          <cell r="B5169">
            <v>503309</v>
          </cell>
        </row>
        <row r="5170">
          <cell r="A5170" t="str">
            <v>红长生10级</v>
          </cell>
          <cell r="B5170">
            <v>503310</v>
          </cell>
        </row>
        <row r="5171">
          <cell r="A5171" t="str">
            <v>红长生11级</v>
          </cell>
          <cell r="B5171">
            <v>503311</v>
          </cell>
        </row>
        <row r="5172">
          <cell r="A5172" t="str">
            <v>红长生12级</v>
          </cell>
          <cell r="B5172">
            <v>503312</v>
          </cell>
        </row>
        <row r="5173">
          <cell r="A5173" t="str">
            <v>红长生13级</v>
          </cell>
          <cell r="B5173">
            <v>503313</v>
          </cell>
        </row>
        <row r="5174">
          <cell r="A5174" t="str">
            <v>红长生14级</v>
          </cell>
          <cell r="B5174">
            <v>503314</v>
          </cell>
        </row>
        <row r="5175">
          <cell r="A5175" t="str">
            <v>红长生15级</v>
          </cell>
          <cell r="B5175">
            <v>503315</v>
          </cell>
        </row>
        <row r="5176">
          <cell r="A5176" t="str">
            <v>红长生16级</v>
          </cell>
          <cell r="B5176">
            <v>503316</v>
          </cell>
        </row>
        <row r="5177">
          <cell r="A5177" t="str">
            <v>红长生17级</v>
          </cell>
          <cell r="B5177">
            <v>503317</v>
          </cell>
        </row>
        <row r="5178">
          <cell r="A5178" t="str">
            <v>红长生18级</v>
          </cell>
          <cell r="B5178">
            <v>503318</v>
          </cell>
        </row>
        <row r="5179">
          <cell r="A5179" t="str">
            <v>红长生19级</v>
          </cell>
          <cell r="B5179">
            <v>503319</v>
          </cell>
        </row>
        <row r="5180">
          <cell r="A5180" t="str">
            <v>红长生20级</v>
          </cell>
          <cell r="B5180">
            <v>503320</v>
          </cell>
        </row>
        <row r="5181">
          <cell r="A5181" t="str">
            <v>红长生21级</v>
          </cell>
          <cell r="B5181">
            <v>503321</v>
          </cell>
        </row>
        <row r="5182">
          <cell r="A5182" t="str">
            <v>红长生22级</v>
          </cell>
          <cell r="B5182">
            <v>503322</v>
          </cell>
        </row>
        <row r="5183">
          <cell r="A5183" t="str">
            <v>红长生23级</v>
          </cell>
          <cell r="B5183">
            <v>503323</v>
          </cell>
        </row>
        <row r="5184">
          <cell r="A5184" t="str">
            <v>红长生24级</v>
          </cell>
          <cell r="B5184">
            <v>503324</v>
          </cell>
        </row>
        <row r="5185">
          <cell r="A5185" t="str">
            <v>红长生25级</v>
          </cell>
          <cell r="B5185">
            <v>503325</v>
          </cell>
        </row>
        <row r="5186">
          <cell r="A5186" t="str">
            <v>红长生26级</v>
          </cell>
          <cell r="B5186">
            <v>503326</v>
          </cell>
        </row>
        <row r="5187">
          <cell r="A5187" t="str">
            <v>红长生27级</v>
          </cell>
          <cell r="B5187">
            <v>503327</v>
          </cell>
        </row>
        <row r="5188">
          <cell r="A5188" t="str">
            <v>红长生28级</v>
          </cell>
          <cell r="B5188">
            <v>503328</v>
          </cell>
        </row>
        <row r="5189">
          <cell r="A5189" t="str">
            <v>红长生29级</v>
          </cell>
          <cell r="B5189">
            <v>503329</v>
          </cell>
        </row>
        <row r="5190">
          <cell r="A5190" t="str">
            <v>红长生30级</v>
          </cell>
          <cell r="B5190">
            <v>503330</v>
          </cell>
        </row>
        <row r="5191">
          <cell r="A5191" t="str">
            <v>红长生31级</v>
          </cell>
          <cell r="B5191">
            <v>503331</v>
          </cell>
        </row>
        <row r="5192">
          <cell r="A5192" t="str">
            <v>红长生32级</v>
          </cell>
          <cell r="B5192">
            <v>503332</v>
          </cell>
        </row>
        <row r="5193">
          <cell r="A5193" t="str">
            <v>红长生33级</v>
          </cell>
          <cell r="B5193">
            <v>503333</v>
          </cell>
        </row>
        <row r="5194">
          <cell r="A5194" t="str">
            <v>红长生34级</v>
          </cell>
          <cell r="B5194">
            <v>503334</v>
          </cell>
        </row>
        <row r="5195">
          <cell r="A5195" t="str">
            <v>红长生35级</v>
          </cell>
          <cell r="B5195">
            <v>503335</v>
          </cell>
        </row>
        <row r="5196">
          <cell r="A5196" t="str">
            <v>红长生36级</v>
          </cell>
          <cell r="B5196">
            <v>503336</v>
          </cell>
        </row>
        <row r="5197">
          <cell r="A5197" t="str">
            <v>红长生37级</v>
          </cell>
          <cell r="B5197">
            <v>503337</v>
          </cell>
        </row>
        <row r="5198">
          <cell r="A5198" t="str">
            <v>红长生38级</v>
          </cell>
          <cell r="B5198">
            <v>503338</v>
          </cell>
        </row>
        <row r="5199">
          <cell r="A5199" t="str">
            <v>红长生39级</v>
          </cell>
          <cell r="B5199">
            <v>503339</v>
          </cell>
        </row>
        <row r="5200">
          <cell r="A5200" t="str">
            <v>红长生40级</v>
          </cell>
          <cell r="B5200">
            <v>503340</v>
          </cell>
        </row>
        <row r="5201">
          <cell r="A5201" t="str">
            <v>红长生41级</v>
          </cell>
          <cell r="B5201">
            <v>503341</v>
          </cell>
        </row>
        <row r="5202">
          <cell r="A5202" t="str">
            <v>红长生42级</v>
          </cell>
          <cell r="B5202">
            <v>503342</v>
          </cell>
        </row>
        <row r="5203">
          <cell r="A5203" t="str">
            <v>红长生43级</v>
          </cell>
          <cell r="B5203">
            <v>503343</v>
          </cell>
        </row>
        <row r="5204">
          <cell r="A5204" t="str">
            <v>红长生44级</v>
          </cell>
          <cell r="B5204">
            <v>503344</v>
          </cell>
        </row>
        <row r="5205">
          <cell r="A5205" t="str">
            <v>红长生45级</v>
          </cell>
          <cell r="B5205">
            <v>503345</v>
          </cell>
        </row>
        <row r="5206">
          <cell r="A5206" t="str">
            <v>红长生46级</v>
          </cell>
          <cell r="B5206">
            <v>503346</v>
          </cell>
        </row>
        <row r="5207">
          <cell r="A5207" t="str">
            <v>红长生47级</v>
          </cell>
          <cell r="B5207">
            <v>503347</v>
          </cell>
        </row>
        <row r="5208">
          <cell r="A5208" t="str">
            <v>红长生48级</v>
          </cell>
          <cell r="B5208">
            <v>503348</v>
          </cell>
        </row>
        <row r="5209">
          <cell r="A5209" t="str">
            <v>红长生49级</v>
          </cell>
          <cell r="B5209">
            <v>503349</v>
          </cell>
        </row>
        <row r="5210">
          <cell r="A5210" t="str">
            <v>红长生50级</v>
          </cell>
          <cell r="B5210">
            <v>503350</v>
          </cell>
        </row>
        <row r="5211">
          <cell r="A5211" t="str">
            <v>红长生51级</v>
          </cell>
          <cell r="B5211">
            <v>503351</v>
          </cell>
        </row>
        <row r="5212">
          <cell r="A5212" t="str">
            <v>红长生52级</v>
          </cell>
          <cell r="B5212">
            <v>503352</v>
          </cell>
        </row>
        <row r="5213">
          <cell r="A5213" t="str">
            <v>红长生53级</v>
          </cell>
          <cell r="B5213">
            <v>503353</v>
          </cell>
        </row>
        <row r="5214">
          <cell r="A5214" t="str">
            <v>红长生54级</v>
          </cell>
          <cell r="B5214">
            <v>503354</v>
          </cell>
        </row>
        <row r="5215">
          <cell r="A5215" t="str">
            <v>红长生55级</v>
          </cell>
          <cell r="B5215">
            <v>503355</v>
          </cell>
        </row>
        <row r="5216">
          <cell r="A5216" t="str">
            <v>红长生56级</v>
          </cell>
          <cell r="B5216">
            <v>503356</v>
          </cell>
        </row>
        <row r="5217">
          <cell r="A5217" t="str">
            <v>红长生57级</v>
          </cell>
          <cell r="B5217">
            <v>503357</v>
          </cell>
        </row>
        <row r="5218">
          <cell r="A5218" t="str">
            <v>红长生58级</v>
          </cell>
          <cell r="B5218">
            <v>503358</v>
          </cell>
        </row>
        <row r="5219">
          <cell r="A5219" t="str">
            <v>红长生59级</v>
          </cell>
          <cell r="B5219">
            <v>503359</v>
          </cell>
        </row>
        <row r="5220">
          <cell r="A5220" t="str">
            <v>红长生60级</v>
          </cell>
          <cell r="B5220">
            <v>503360</v>
          </cell>
        </row>
        <row r="5221">
          <cell r="A5221" t="str">
            <v>红长生61级</v>
          </cell>
          <cell r="B5221">
            <v>503361</v>
          </cell>
        </row>
        <row r="5222">
          <cell r="A5222" t="str">
            <v>红长生62级</v>
          </cell>
          <cell r="B5222">
            <v>503362</v>
          </cell>
        </row>
        <row r="5223">
          <cell r="A5223" t="str">
            <v>红长生63级</v>
          </cell>
          <cell r="B5223">
            <v>503363</v>
          </cell>
        </row>
        <row r="5224">
          <cell r="A5224" t="str">
            <v>红长生64级</v>
          </cell>
          <cell r="B5224">
            <v>503364</v>
          </cell>
        </row>
        <row r="5225">
          <cell r="A5225" t="str">
            <v>红长生65级</v>
          </cell>
          <cell r="B5225">
            <v>503365</v>
          </cell>
        </row>
        <row r="5226">
          <cell r="A5226" t="str">
            <v>红长生66级</v>
          </cell>
          <cell r="B5226">
            <v>503366</v>
          </cell>
        </row>
        <row r="5227">
          <cell r="A5227" t="str">
            <v>红长生67级</v>
          </cell>
          <cell r="B5227">
            <v>503367</v>
          </cell>
        </row>
        <row r="5228">
          <cell r="A5228" t="str">
            <v>红长生68级</v>
          </cell>
          <cell r="B5228">
            <v>503368</v>
          </cell>
        </row>
        <row r="5229">
          <cell r="A5229" t="str">
            <v>红长生69级</v>
          </cell>
          <cell r="B5229">
            <v>503369</v>
          </cell>
        </row>
        <row r="5230">
          <cell r="A5230" t="str">
            <v>红长生70级</v>
          </cell>
          <cell r="B5230">
            <v>503370</v>
          </cell>
        </row>
        <row r="5231">
          <cell r="A5231" t="str">
            <v>红长生71级</v>
          </cell>
          <cell r="B5231">
            <v>503371</v>
          </cell>
        </row>
        <row r="5232">
          <cell r="A5232" t="str">
            <v>红长生72级</v>
          </cell>
          <cell r="B5232">
            <v>503372</v>
          </cell>
        </row>
        <row r="5233">
          <cell r="A5233" t="str">
            <v>红长生73级</v>
          </cell>
          <cell r="B5233">
            <v>503373</v>
          </cell>
        </row>
        <row r="5234">
          <cell r="A5234" t="str">
            <v>红长生74级</v>
          </cell>
          <cell r="B5234">
            <v>503374</v>
          </cell>
        </row>
        <row r="5235">
          <cell r="A5235" t="str">
            <v>红长生75级</v>
          </cell>
          <cell r="B5235">
            <v>503375</v>
          </cell>
        </row>
        <row r="5236">
          <cell r="A5236" t="str">
            <v>红长生76级</v>
          </cell>
          <cell r="B5236">
            <v>503376</v>
          </cell>
        </row>
        <row r="5237">
          <cell r="A5237" t="str">
            <v>红长生77级</v>
          </cell>
          <cell r="B5237">
            <v>503377</v>
          </cell>
        </row>
        <row r="5238">
          <cell r="A5238" t="str">
            <v>红长生78级</v>
          </cell>
          <cell r="B5238">
            <v>503378</v>
          </cell>
        </row>
        <row r="5239">
          <cell r="A5239" t="str">
            <v>红长生79级</v>
          </cell>
          <cell r="B5239">
            <v>503379</v>
          </cell>
        </row>
        <row r="5240">
          <cell r="A5240" t="str">
            <v>红长生80级</v>
          </cell>
          <cell r="B5240">
            <v>503380</v>
          </cell>
        </row>
        <row r="5241">
          <cell r="A5241" t="str">
            <v>红光武1级</v>
          </cell>
          <cell r="B5241">
            <v>504301</v>
          </cell>
        </row>
        <row r="5242">
          <cell r="A5242" t="str">
            <v>红光武2级</v>
          </cell>
          <cell r="B5242">
            <v>504302</v>
          </cell>
        </row>
        <row r="5243">
          <cell r="A5243" t="str">
            <v>红光武3级</v>
          </cell>
          <cell r="B5243">
            <v>504303</v>
          </cell>
        </row>
        <row r="5244">
          <cell r="A5244" t="str">
            <v>红光武4级</v>
          </cell>
          <cell r="B5244">
            <v>504304</v>
          </cell>
        </row>
        <row r="5245">
          <cell r="A5245" t="str">
            <v>红光武5级</v>
          </cell>
          <cell r="B5245">
            <v>504305</v>
          </cell>
        </row>
        <row r="5246">
          <cell r="A5246" t="str">
            <v>红光武6级</v>
          </cell>
          <cell r="B5246">
            <v>504306</v>
          </cell>
        </row>
        <row r="5247">
          <cell r="A5247" t="str">
            <v>红光武7级</v>
          </cell>
          <cell r="B5247">
            <v>504307</v>
          </cell>
        </row>
        <row r="5248">
          <cell r="A5248" t="str">
            <v>红光武8级</v>
          </cell>
          <cell r="B5248">
            <v>504308</v>
          </cell>
        </row>
        <row r="5249">
          <cell r="A5249" t="str">
            <v>红光武9级</v>
          </cell>
          <cell r="B5249">
            <v>504309</v>
          </cell>
        </row>
        <row r="5250">
          <cell r="A5250" t="str">
            <v>红光武10级</v>
          </cell>
          <cell r="B5250">
            <v>504310</v>
          </cell>
        </row>
        <row r="5251">
          <cell r="A5251" t="str">
            <v>红光武11级</v>
          </cell>
          <cell r="B5251">
            <v>504311</v>
          </cell>
        </row>
        <row r="5252">
          <cell r="A5252" t="str">
            <v>红光武12级</v>
          </cell>
          <cell r="B5252">
            <v>504312</v>
          </cell>
        </row>
        <row r="5253">
          <cell r="A5253" t="str">
            <v>红光武13级</v>
          </cell>
          <cell r="B5253">
            <v>504313</v>
          </cell>
        </row>
        <row r="5254">
          <cell r="A5254" t="str">
            <v>红光武14级</v>
          </cell>
          <cell r="B5254">
            <v>504314</v>
          </cell>
        </row>
        <row r="5255">
          <cell r="A5255" t="str">
            <v>红光武15级</v>
          </cell>
          <cell r="B5255">
            <v>504315</v>
          </cell>
        </row>
        <row r="5256">
          <cell r="A5256" t="str">
            <v>红光武16级</v>
          </cell>
          <cell r="B5256">
            <v>504316</v>
          </cell>
        </row>
        <row r="5257">
          <cell r="A5257" t="str">
            <v>红光武17级</v>
          </cell>
          <cell r="B5257">
            <v>504317</v>
          </cell>
        </row>
        <row r="5258">
          <cell r="A5258" t="str">
            <v>红光武18级</v>
          </cell>
          <cell r="B5258">
            <v>504318</v>
          </cell>
        </row>
        <row r="5259">
          <cell r="A5259" t="str">
            <v>红光武19级</v>
          </cell>
          <cell r="B5259">
            <v>504319</v>
          </cell>
        </row>
        <row r="5260">
          <cell r="A5260" t="str">
            <v>红光武20级</v>
          </cell>
          <cell r="B5260">
            <v>504320</v>
          </cell>
        </row>
        <row r="5261">
          <cell r="A5261" t="str">
            <v>红光武21级</v>
          </cell>
          <cell r="B5261">
            <v>504321</v>
          </cell>
        </row>
        <row r="5262">
          <cell r="A5262" t="str">
            <v>红光武22级</v>
          </cell>
          <cell r="B5262">
            <v>504322</v>
          </cell>
        </row>
        <row r="5263">
          <cell r="A5263" t="str">
            <v>红光武23级</v>
          </cell>
          <cell r="B5263">
            <v>504323</v>
          </cell>
        </row>
        <row r="5264">
          <cell r="A5264" t="str">
            <v>红光武24级</v>
          </cell>
          <cell r="B5264">
            <v>504324</v>
          </cell>
        </row>
        <row r="5265">
          <cell r="A5265" t="str">
            <v>红光武25级</v>
          </cell>
          <cell r="B5265">
            <v>504325</v>
          </cell>
        </row>
        <row r="5266">
          <cell r="A5266" t="str">
            <v>红光武26级</v>
          </cell>
          <cell r="B5266">
            <v>504326</v>
          </cell>
        </row>
        <row r="5267">
          <cell r="A5267" t="str">
            <v>红光武27级</v>
          </cell>
          <cell r="B5267">
            <v>504327</v>
          </cell>
        </row>
        <row r="5268">
          <cell r="A5268" t="str">
            <v>红光武28级</v>
          </cell>
          <cell r="B5268">
            <v>504328</v>
          </cell>
        </row>
        <row r="5269">
          <cell r="A5269" t="str">
            <v>红光武29级</v>
          </cell>
          <cell r="B5269">
            <v>504329</v>
          </cell>
        </row>
        <row r="5270">
          <cell r="A5270" t="str">
            <v>红光武30级</v>
          </cell>
          <cell r="B5270">
            <v>504330</v>
          </cell>
        </row>
        <row r="5271">
          <cell r="A5271" t="str">
            <v>红光武31级</v>
          </cell>
          <cell r="B5271">
            <v>504331</v>
          </cell>
        </row>
        <row r="5272">
          <cell r="A5272" t="str">
            <v>红光武32级</v>
          </cell>
          <cell r="B5272">
            <v>504332</v>
          </cell>
        </row>
        <row r="5273">
          <cell r="A5273" t="str">
            <v>红光武33级</v>
          </cell>
          <cell r="B5273">
            <v>504333</v>
          </cell>
        </row>
        <row r="5274">
          <cell r="A5274" t="str">
            <v>红光武34级</v>
          </cell>
          <cell r="B5274">
            <v>504334</v>
          </cell>
        </row>
        <row r="5275">
          <cell r="A5275" t="str">
            <v>红光武35级</v>
          </cell>
          <cell r="B5275">
            <v>504335</v>
          </cell>
        </row>
        <row r="5276">
          <cell r="A5276" t="str">
            <v>红光武36级</v>
          </cell>
          <cell r="B5276">
            <v>504336</v>
          </cell>
        </row>
        <row r="5277">
          <cell r="A5277" t="str">
            <v>红光武37级</v>
          </cell>
          <cell r="B5277">
            <v>504337</v>
          </cell>
        </row>
        <row r="5278">
          <cell r="A5278" t="str">
            <v>红光武38级</v>
          </cell>
          <cell r="B5278">
            <v>504338</v>
          </cell>
        </row>
        <row r="5279">
          <cell r="A5279" t="str">
            <v>红光武39级</v>
          </cell>
          <cell r="B5279">
            <v>504339</v>
          </cell>
        </row>
        <row r="5280">
          <cell r="A5280" t="str">
            <v>红光武40级</v>
          </cell>
          <cell r="B5280">
            <v>504340</v>
          </cell>
        </row>
        <row r="5281">
          <cell r="A5281" t="str">
            <v>红光武41级</v>
          </cell>
          <cell r="B5281">
            <v>504341</v>
          </cell>
        </row>
        <row r="5282">
          <cell r="A5282" t="str">
            <v>红光武42级</v>
          </cell>
          <cell r="B5282">
            <v>504342</v>
          </cell>
        </row>
        <row r="5283">
          <cell r="A5283" t="str">
            <v>红光武43级</v>
          </cell>
          <cell r="B5283">
            <v>504343</v>
          </cell>
        </row>
        <row r="5284">
          <cell r="A5284" t="str">
            <v>红光武44级</v>
          </cell>
          <cell r="B5284">
            <v>504344</v>
          </cell>
        </row>
        <row r="5285">
          <cell r="A5285" t="str">
            <v>红光武45级</v>
          </cell>
          <cell r="B5285">
            <v>504345</v>
          </cell>
        </row>
        <row r="5286">
          <cell r="A5286" t="str">
            <v>红光武46级</v>
          </cell>
          <cell r="B5286">
            <v>504346</v>
          </cell>
        </row>
        <row r="5287">
          <cell r="A5287" t="str">
            <v>红光武47级</v>
          </cell>
          <cell r="B5287">
            <v>504347</v>
          </cell>
        </row>
        <row r="5288">
          <cell r="A5288" t="str">
            <v>红光武48级</v>
          </cell>
          <cell r="B5288">
            <v>504348</v>
          </cell>
        </row>
        <row r="5289">
          <cell r="A5289" t="str">
            <v>红光武49级</v>
          </cell>
          <cell r="B5289">
            <v>504349</v>
          </cell>
        </row>
        <row r="5290">
          <cell r="A5290" t="str">
            <v>红光武50级</v>
          </cell>
          <cell r="B5290">
            <v>504350</v>
          </cell>
        </row>
        <row r="5291">
          <cell r="A5291" t="str">
            <v>红光武51级</v>
          </cell>
          <cell r="B5291">
            <v>504351</v>
          </cell>
        </row>
        <row r="5292">
          <cell r="A5292" t="str">
            <v>红光武52级</v>
          </cell>
          <cell r="B5292">
            <v>504352</v>
          </cell>
        </row>
        <row r="5293">
          <cell r="A5293" t="str">
            <v>红光武53级</v>
          </cell>
          <cell r="B5293">
            <v>504353</v>
          </cell>
        </row>
        <row r="5294">
          <cell r="A5294" t="str">
            <v>红光武54级</v>
          </cell>
          <cell r="B5294">
            <v>504354</v>
          </cell>
        </row>
        <row r="5295">
          <cell r="A5295" t="str">
            <v>红光武55级</v>
          </cell>
          <cell r="B5295">
            <v>504355</v>
          </cell>
        </row>
        <row r="5296">
          <cell r="A5296" t="str">
            <v>红光武56级</v>
          </cell>
          <cell r="B5296">
            <v>504356</v>
          </cell>
        </row>
        <row r="5297">
          <cell r="A5297" t="str">
            <v>红光武57级</v>
          </cell>
          <cell r="B5297">
            <v>504357</v>
          </cell>
        </row>
        <row r="5298">
          <cell r="A5298" t="str">
            <v>红光武58级</v>
          </cell>
          <cell r="B5298">
            <v>504358</v>
          </cell>
        </row>
        <row r="5299">
          <cell r="A5299" t="str">
            <v>红光武59级</v>
          </cell>
          <cell r="B5299">
            <v>504359</v>
          </cell>
        </row>
        <row r="5300">
          <cell r="A5300" t="str">
            <v>红光武60级</v>
          </cell>
          <cell r="B5300">
            <v>504360</v>
          </cell>
        </row>
        <row r="5301">
          <cell r="A5301" t="str">
            <v>红光武61级</v>
          </cell>
          <cell r="B5301">
            <v>504361</v>
          </cell>
        </row>
        <row r="5302">
          <cell r="A5302" t="str">
            <v>红光武62级</v>
          </cell>
          <cell r="B5302">
            <v>504362</v>
          </cell>
        </row>
        <row r="5303">
          <cell r="A5303" t="str">
            <v>红光武63级</v>
          </cell>
          <cell r="B5303">
            <v>504363</v>
          </cell>
        </row>
        <row r="5304">
          <cell r="A5304" t="str">
            <v>红光武64级</v>
          </cell>
          <cell r="B5304">
            <v>504364</v>
          </cell>
        </row>
        <row r="5305">
          <cell r="A5305" t="str">
            <v>红光武65级</v>
          </cell>
          <cell r="B5305">
            <v>504365</v>
          </cell>
        </row>
        <row r="5306">
          <cell r="A5306" t="str">
            <v>红光武66级</v>
          </cell>
          <cell r="B5306">
            <v>504366</v>
          </cell>
        </row>
        <row r="5307">
          <cell r="A5307" t="str">
            <v>红光武67级</v>
          </cell>
          <cell r="B5307">
            <v>504367</v>
          </cell>
        </row>
        <row r="5308">
          <cell r="A5308" t="str">
            <v>红光武68级</v>
          </cell>
          <cell r="B5308">
            <v>504368</v>
          </cell>
        </row>
        <row r="5309">
          <cell r="A5309" t="str">
            <v>红光武69级</v>
          </cell>
          <cell r="B5309">
            <v>504369</v>
          </cell>
        </row>
        <row r="5310">
          <cell r="A5310" t="str">
            <v>红光武70级</v>
          </cell>
          <cell r="B5310">
            <v>504370</v>
          </cell>
        </row>
        <row r="5311">
          <cell r="A5311" t="str">
            <v>红光武71级</v>
          </cell>
          <cell r="B5311">
            <v>504371</v>
          </cell>
        </row>
        <row r="5312">
          <cell r="A5312" t="str">
            <v>红光武72级</v>
          </cell>
          <cell r="B5312">
            <v>504372</v>
          </cell>
        </row>
        <row r="5313">
          <cell r="A5313" t="str">
            <v>红光武73级</v>
          </cell>
          <cell r="B5313">
            <v>504373</v>
          </cell>
        </row>
        <row r="5314">
          <cell r="A5314" t="str">
            <v>红光武74级</v>
          </cell>
          <cell r="B5314">
            <v>504374</v>
          </cell>
        </row>
        <row r="5315">
          <cell r="A5315" t="str">
            <v>红光武75级</v>
          </cell>
          <cell r="B5315">
            <v>504375</v>
          </cell>
        </row>
        <row r="5316">
          <cell r="A5316" t="str">
            <v>红光武76级</v>
          </cell>
          <cell r="B5316">
            <v>504376</v>
          </cell>
        </row>
        <row r="5317">
          <cell r="A5317" t="str">
            <v>红光武77级</v>
          </cell>
          <cell r="B5317">
            <v>504377</v>
          </cell>
        </row>
        <row r="5318">
          <cell r="A5318" t="str">
            <v>红光武78级</v>
          </cell>
          <cell r="B5318">
            <v>504378</v>
          </cell>
        </row>
        <row r="5319">
          <cell r="A5319" t="str">
            <v>红光武79级</v>
          </cell>
          <cell r="B5319">
            <v>504379</v>
          </cell>
        </row>
        <row r="5320">
          <cell r="A5320" t="str">
            <v>红光武80级</v>
          </cell>
          <cell r="B5320">
            <v>504380</v>
          </cell>
        </row>
        <row r="5321">
          <cell r="A5321" t="str">
            <v>红神盔1级</v>
          </cell>
          <cell r="B5321">
            <v>505301</v>
          </cell>
        </row>
        <row r="5322">
          <cell r="A5322" t="str">
            <v>红神盔2级</v>
          </cell>
          <cell r="B5322">
            <v>505302</v>
          </cell>
        </row>
        <row r="5323">
          <cell r="A5323" t="str">
            <v>红神盔3级</v>
          </cell>
          <cell r="B5323">
            <v>505303</v>
          </cell>
        </row>
        <row r="5324">
          <cell r="A5324" t="str">
            <v>红神盔4级</v>
          </cell>
          <cell r="B5324">
            <v>505304</v>
          </cell>
        </row>
        <row r="5325">
          <cell r="A5325" t="str">
            <v>红神盔5级</v>
          </cell>
          <cell r="B5325">
            <v>505305</v>
          </cell>
        </row>
        <row r="5326">
          <cell r="A5326" t="str">
            <v>红神盔6级</v>
          </cell>
          <cell r="B5326">
            <v>505306</v>
          </cell>
        </row>
        <row r="5327">
          <cell r="A5327" t="str">
            <v>红神盔7级</v>
          </cell>
          <cell r="B5327">
            <v>505307</v>
          </cell>
        </row>
        <row r="5328">
          <cell r="A5328" t="str">
            <v>红神盔8级</v>
          </cell>
          <cell r="B5328">
            <v>505308</v>
          </cell>
        </row>
        <row r="5329">
          <cell r="A5329" t="str">
            <v>红神盔9级</v>
          </cell>
          <cell r="B5329">
            <v>505309</v>
          </cell>
        </row>
        <row r="5330">
          <cell r="A5330" t="str">
            <v>红神盔10级</v>
          </cell>
          <cell r="B5330">
            <v>505310</v>
          </cell>
        </row>
        <row r="5331">
          <cell r="A5331" t="str">
            <v>红神盔11级</v>
          </cell>
          <cell r="B5331">
            <v>505311</v>
          </cell>
        </row>
        <row r="5332">
          <cell r="A5332" t="str">
            <v>红神盔12级</v>
          </cell>
          <cell r="B5332">
            <v>505312</v>
          </cell>
        </row>
        <row r="5333">
          <cell r="A5333" t="str">
            <v>红神盔13级</v>
          </cell>
          <cell r="B5333">
            <v>505313</v>
          </cell>
        </row>
        <row r="5334">
          <cell r="A5334" t="str">
            <v>红神盔14级</v>
          </cell>
          <cell r="B5334">
            <v>505314</v>
          </cell>
        </row>
        <row r="5335">
          <cell r="A5335" t="str">
            <v>红神盔15级</v>
          </cell>
          <cell r="B5335">
            <v>505315</v>
          </cell>
        </row>
        <row r="5336">
          <cell r="A5336" t="str">
            <v>红神盔16级</v>
          </cell>
          <cell r="B5336">
            <v>505316</v>
          </cell>
        </row>
        <row r="5337">
          <cell r="A5337" t="str">
            <v>红神盔17级</v>
          </cell>
          <cell r="B5337">
            <v>505317</v>
          </cell>
        </row>
        <row r="5338">
          <cell r="A5338" t="str">
            <v>红神盔18级</v>
          </cell>
          <cell r="B5338">
            <v>505318</v>
          </cell>
        </row>
        <row r="5339">
          <cell r="A5339" t="str">
            <v>红神盔19级</v>
          </cell>
          <cell r="B5339">
            <v>505319</v>
          </cell>
        </row>
        <row r="5340">
          <cell r="A5340" t="str">
            <v>红神盔20级</v>
          </cell>
          <cell r="B5340">
            <v>505320</v>
          </cell>
        </row>
        <row r="5341">
          <cell r="A5341" t="str">
            <v>红神盔21级</v>
          </cell>
          <cell r="B5341">
            <v>505321</v>
          </cell>
        </row>
        <row r="5342">
          <cell r="A5342" t="str">
            <v>红神盔22级</v>
          </cell>
          <cell r="B5342">
            <v>505322</v>
          </cell>
        </row>
        <row r="5343">
          <cell r="A5343" t="str">
            <v>红神盔23级</v>
          </cell>
          <cell r="B5343">
            <v>505323</v>
          </cell>
        </row>
        <row r="5344">
          <cell r="A5344" t="str">
            <v>红神盔24级</v>
          </cell>
          <cell r="B5344">
            <v>505324</v>
          </cell>
        </row>
        <row r="5345">
          <cell r="A5345" t="str">
            <v>红神盔25级</v>
          </cell>
          <cell r="B5345">
            <v>505325</v>
          </cell>
        </row>
        <row r="5346">
          <cell r="A5346" t="str">
            <v>红神盔26级</v>
          </cell>
          <cell r="B5346">
            <v>505326</v>
          </cell>
        </row>
        <row r="5347">
          <cell r="A5347" t="str">
            <v>红神盔27级</v>
          </cell>
          <cell r="B5347">
            <v>505327</v>
          </cell>
        </row>
        <row r="5348">
          <cell r="A5348" t="str">
            <v>红神盔28级</v>
          </cell>
          <cell r="B5348">
            <v>505328</v>
          </cell>
        </row>
        <row r="5349">
          <cell r="A5349" t="str">
            <v>红神盔29级</v>
          </cell>
          <cell r="B5349">
            <v>505329</v>
          </cell>
        </row>
        <row r="5350">
          <cell r="A5350" t="str">
            <v>红神盔30级</v>
          </cell>
          <cell r="B5350">
            <v>505330</v>
          </cell>
        </row>
        <row r="5351">
          <cell r="A5351" t="str">
            <v>红神盔31级</v>
          </cell>
          <cell r="B5351">
            <v>505331</v>
          </cell>
        </row>
        <row r="5352">
          <cell r="A5352" t="str">
            <v>红神盔32级</v>
          </cell>
          <cell r="B5352">
            <v>505332</v>
          </cell>
        </row>
        <row r="5353">
          <cell r="A5353" t="str">
            <v>红神盔33级</v>
          </cell>
          <cell r="B5353">
            <v>505333</v>
          </cell>
        </row>
        <row r="5354">
          <cell r="A5354" t="str">
            <v>红神盔34级</v>
          </cell>
          <cell r="B5354">
            <v>505334</v>
          </cell>
        </row>
        <row r="5355">
          <cell r="A5355" t="str">
            <v>红神盔35级</v>
          </cell>
          <cell r="B5355">
            <v>505335</v>
          </cell>
        </row>
        <row r="5356">
          <cell r="A5356" t="str">
            <v>红神盔36级</v>
          </cell>
          <cell r="B5356">
            <v>505336</v>
          </cell>
        </row>
        <row r="5357">
          <cell r="A5357" t="str">
            <v>红神盔37级</v>
          </cell>
          <cell r="B5357">
            <v>505337</v>
          </cell>
        </row>
        <row r="5358">
          <cell r="A5358" t="str">
            <v>红神盔38级</v>
          </cell>
          <cell r="B5358">
            <v>505338</v>
          </cell>
        </row>
        <row r="5359">
          <cell r="A5359" t="str">
            <v>红神盔39级</v>
          </cell>
          <cell r="B5359">
            <v>505339</v>
          </cell>
        </row>
        <row r="5360">
          <cell r="A5360" t="str">
            <v>红神盔40级</v>
          </cell>
          <cell r="B5360">
            <v>505340</v>
          </cell>
        </row>
        <row r="5361">
          <cell r="A5361" t="str">
            <v>红神盔41级</v>
          </cell>
          <cell r="B5361">
            <v>505341</v>
          </cell>
        </row>
        <row r="5362">
          <cell r="A5362" t="str">
            <v>红神盔42级</v>
          </cell>
          <cell r="B5362">
            <v>505342</v>
          </cell>
        </row>
        <row r="5363">
          <cell r="A5363" t="str">
            <v>红神盔43级</v>
          </cell>
          <cell r="B5363">
            <v>505343</v>
          </cell>
        </row>
        <row r="5364">
          <cell r="A5364" t="str">
            <v>红神盔44级</v>
          </cell>
          <cell r="B5364">
            <v>505344</v>
          </cell>
        </row>
        <row r="5365">
          <cell r="A5365" t="str">
            <v>红神盔45级</v>
          </cell>
          <cell r="B5365">
            <v>505345</v>
          </cell>
        </row>
        <row r="5366">
          <cell r="A5366" t="str">
            <v>红神盔46级</v>
          </cell>
          <cell r="B5366">
            <v>505346</v>
          </cell>
        </row>
        <row r="5367">
          <cell r="A5367" t="str">
            <v>红神盔47级</v>
          </cell>
          <cell r="B5367">
            <v>505347</v>
          </cell>
        </row>
        <row r="5368">
          <cell r="A5368" t="str">
            <v>红神盔48级</v>
          </cell>
          <cell r="B5368">
            <v>505348</v>
          </cell>
        </row>
        <row r="5369">
          <cell r="A5369" t="str">
            <v>红神盔49级</v>
          </cell>
          <cell r="B5369">
            <v>505349</v>
          </cell>
        </row>
        <row r="5370">
          <cell r="A5370" t="str">
            <v>红神盔50级</v>
          </cell>
          <cell r="B5370">
            <v>505350</v>
          </cell>
        </row>
        <row r="5371">
          <cell r="A5371" t="str">
            <v>红神盔51级</v>
          </cell>
          <cell r="B5371">
            <v>505351</v>
          </cell>
        </row>
        <row r="5372">
          <cell r="A5372" t="str">
            <v>红神盔52级</v>
          </cell>
          <cell r="B5372">
            <v>505352</v>
          </cell>
        </row>
        <row r="5373">
          <cell r="A5373" t="str">
            <v>红神盔53级</v>
          </cell>
          <cell r="B5373">
            <v>505353</v>
          </cell>
        </row>
        <row r="5374">
          <cell r="A5374" t="str">
            <v>红神盔54级</v>
          </cell>
          <cell r="B5374">
            <v>505354</v>
          </cell>
        </row>
        <row r="5375">
          <cell r="A5375" t="str">
            <v>红神盔55级</v>
          </cell>
          <cell r="B5375">
            <v>505355</v>
          </cell>
        </row>
        <row r="5376">
          <cell r="A5376" t="str">
            <v>红神盔56级</v>
          </cell>
          <cell r="B5376">
            <v>505356</v>
          </cell>
        </row>
        <row r="5377">
          <cell r="A5377" t="str">
            <v>红神盔57级</v>
          </cell>
          <cell r="B5377">
            <v>505357</v>
          </cell>
        </row>
        <row r="5378">
          <cell r="A5378" t="str">
            <v>红神盔58级</v>
          </cell>
          <cell r="B5378">
            <v>505358</v>
          </cell>
        </row>
        <row r="5379">
          <cell r="A5379" t="str">
            <v>红神盔59级</v>
          </cell>
          <cell r="B5379">
            <v>505359</v>
          </cell>
        </row>
        <row r="5380">
          <cell r="A5380" t="str">
            <v>红神盔60级</v>
          </cell>
          <cell r="B5380">
            <v>505360</v>
          </cell>
        </row>
        <row r="5381">
          <cell r="A5381" t="str">
            <v>红神盔61级</v>
          </cell>
          <cell r="B5381">
            <v>505361</v>
          </cell>
        </row>
        <row r="5382">
          <cell r="A5382" t="str">
            <v>红神盔62级</v>
          </cell>
          <cell r="B5382">
            <v>505362</v>
          </cell>
        </row>
        <row r="5383">
          <cell r="A5383" t="str">
            <v>红神盔63级</v>
          </cell>
          <cell r="B5383">
            <v>505363</v>
          </cell>
        </row>
        <row r="5384">
          <cell r="A5384" t="str">
            <v>红神盔64级</v>
          </cell>
          <cell r="B5384">
            <v>505364</v>
          </cell>
        </row>
        <row r="5385">
          <cell r="A5385" t="str">
            <v>红神盔65级</v>
          </cell>
          <cell r="B5385">
            <v>505365</v>
          </cell>
        </row>
        <row r="5386">
          <cell r="A5386" t="str">
            <v>红神盔66级</v>
          </cell>
          <cell r="B5386">
            <v>505366</v>
          </cell>
        </row>
        <row r="5387">
          <cell r="A5387" t="str">
            <v>红神盔67级</v>
          </cell>
          <cell r="B5387">
            <v>505367</v>
          </cell>
        </row>
        <row r="5388">
          <cell r="A5388" t="str">
            <v>红神盔68级</v>
          </cell>
          <cell r="B5388">
            <v>505368</v>
          </cell>
        </row>
        <row r="5389">
          <cell r="A5389" t="str">
            <v>红神盔69级</v>
          </cell>
          <cell r="B5389">
            <v>505369</v>
          </cell>
        </row>
        <row r="5390">
          <cell r="A5390" t="str">
            <v>红神盔70级</v>
          </cell>
          <cell r="B5390">
            <v>505370</v>
          </cell>
        </row>
        <row r="5391">
          <cell r="A5391" t="str">
            <v>红神盔71级</v>
          </cell>
          <cell r="B5391">
            <v>505371</v>
          </cell>
        </row>
        <row r="5392">
          <cell r="A5392" t="str">
            <v>红神盔72级</v>
          </cell>
          <cell r="B5392">
            <v>505372</v>
          </cell>
        </row>
        <row r="5393">
          <cell r="A5393" t="str">
            <v>红神盔73级</v>
          </cell>
          <cell r="B5393">
            <v>505373</v>
          </cell>
        </row>
        <row r="5394">
          <cell r="A5394" t="str">
            <v>红神盔74级</v>
          </cell>
          <cell r="B5394">
            <v>505374</v>
          </cell>
        </row>
        <row r="5395">
          <cell r="A5395" t="str">
            <v>红神盔75级</v>
          </cell>
          <cell r="B5395">
            <v>505375</v>
          </cell>
        </row>
        <row r="5396">
          <cell r="A5396" t="str">
            <v>红神盔76级</v>
          </cell>
          <cell r="B5396">
            <v>505376</v>
          </cell>
        </row>
        <row r="5397">
          <cell r="A5397" t="str">
            <v>红神盔77级</v>
          </cell>
          <cell r="B5397">
            <v>505377</v>
          </cell>
        </row>
        <row r="5398">
          <cell r="A5398" t="str">
            <v>红神盔78级</v>
          </cell>
          <cell r="B5398">
            <v>505378</v>
          </cell>
        </row>
        <row r="5399">
          <cell r="A5399" t="str">
            <v>红神盔79级</v>
          </cell>
          <cell r="B5399">
            <v>505379</v>
          </cell>
        </row>
        <row r="5400">
          <cell r="A5400" t="str">
            <v>红神盔80级</v>
          </cell>
          <cell r="B5400">
            <v>505380</v>
          </cell>
        </row>
        <row r="5401">
          <cell r="A5401" t="str">
            <v>红固甲1级</v>
          </cell>
          <cell r="B5401">
            <v>506301</v>
          </cell>
        </row>
        <row r="5402">
          <cell r="A5402" t="str">
            <v>红固甲2级</v>
          </cell>
          <cell r="B5402">
            <v>506302</v>
          </cell>
        </row>
        <row r="5403">
          <cell r="A5403" t="str">
            <v>红固甲3级</v>
          </cell>
          <cell r="B5403">
            <v>506303</v>
          </cell>
        </row>
        <row r="5404">
          <cell r="A5404" t="str">
            <v>红固甲4级</v>
          </cell>
          <cell r="B5404">
            <v>506304</v>
          </cell>
        </row>
        <row r="5405">
          <cell r="A5405" t="str">
            <v>红固甲5级</v>
          </cell>
          <cell r="B5405">
            <v>506305</v>
          </cell>
        </row>
        <row r="5406">
          <cell r="A5406" t="str">
            <v>红固甲6级</v>
          </cell>
          <cell r="B5406">
            <v>506306</v>
          </cell>
        </row>
        <row r="5407">
          <cell r="A5407" t="str">
            <v>红固甲7级</v>
          </cell>
          <cell r="B5407">
            <v>506307</v>
          </cell>
        </row>
        <row r="5408">
          <cell r="A5408" t="str">
            <v>红固甲8级</v>
          </cell>
          <cell r="B5408">
            <v>506308</v>
          </cell>
        </row>
        <row r="5409">
          <cell r="A5409" t="str">
            <v>红固甲9级</v>
          </cell>
          <cell r="B5409">
            <v>506309</v>
          </cell>
        </row>
        <row r="5410">
          <cell r="A5410" t="str">
            <v>红固甲10级</v>
          </cell>
          <cell r="B5410">
            <v>506310</v>
          </cell>
        </row>
        <row r="5411">
          <cell r="A5411" t="str">
            <v>红固甲11级</v>
          </cell>
          <cell r="B5411">
            <v>506311</v>
          </cell>
        </row>
        <row r="5412">
          <cell r="A5412" t="str">
            <v>红固甲12级</v>
          </cell>
          <cell r="B5412">
            <v>506312</v>
          </cell>
        </row>
        <row r="5413">
          <cell r="A5413" t="str">
            <v>红固甲13级</v>
          </cell>
          <cell r="B5413">
            <v>506313</v>
          </cell>
        </row>
        <row r="5414">
          <cell r="A5414" t="str">
            <v>红固甲14级</v>
          </cell>
          <cell r="B5414">
            <v>506314</v>
          </cell>
        </row>
        <row r="5415">
          <cell r="A5415" t="str">
            <v>红固甲15级</v>
          </cell>
          <cell r="B5415">
            <v>506315</v>
          </cell>
        </row>
        <row r="5416">
          <cell r="A5416" t="str">
            <v>红固甲16级</v>
          </cell>
          <cell r="B5416">
            <v>506316</v>
          </cell>
        </row>
        <row r="5417">
          <cell r="A5417" t="str">
            <v>红固甲17级</v>
          </cell>
          <cell r="B5417">
            <v>506317</v>
          </cell>
        </row>
        <row r="5418">
          <cell r="A5418" t="str">
            <v>红固甲18级</v>
          </cell>
          <cell r="B5418">
            <v>506318</v>
          </cell>
        </row>
        <row r="5419">
          <cell r="A5419" t="str">
            <v>红固甲19级</v>
          </cell>
          <cell r="B5419">
            <v>506319</v>
          </cell>
        </row>
        <row r="5420">
          <cell r="A5420" t="str">
            <v>红固甲20级</v>
          </cell>
          <cell r="B5420">
            <v>506320</v>
          </cell>
        </row>
        <row r="5421">
          <cell r="A5421" t="str">
            <v>红固甲21级</v>
          </cell>
          <cell r="B5421">
            <v>506321</v>
          </cell>
        </row>
        <row r="5422">
          <cell r="A5422" t="str">
            <v>红固甲22级</v>
          </cell>
          <cell r="B5422">
            <v>506322</v>
          </cell>
        </row>
        <row r="5423">
          <cell r="A5423" t="str">
            <v>红固甲23级</v>
          </cell>
          <cell r="B5423">
            <v>506323</v>
          </cell>
        </row>
        <row r="5424">
          <cell r="A5424" t="str">
            <v>红固甲24级</v>
          </cell>
          <cell r="B5424">
            <v>506324</v>
          </cell>
        </row>
        <row r="5425">
          <cell r="A5425" t="str">
            <v>红固甲25级</v>
          </cell>
          <cell r="B5425">
            <v>506325</v>
          </cell>
        </row>
        <row r="5426">
          <cell r="A5426" t="str">
            <v>红固甲26级</v>
          </cell>
          <cell r="B5426">
            <v>506326</v>
          </cell>
        </row>
        <row r="5427">
          <cell r="A5427" t="str">
            <v>红固甲27级</v>
          </cell>
          <cell r="B5427">
            <v>506327</v>
          </cell>
        </row>
        <row r="5428">
          <cell r="A5428" t="str">
            <v>红固甲28级</v>
          </cell>
          <cell r="B5428">
            <v>506328</v>
          </cell>
        </row>
        <row r="5429">
          <cell r="A5429" t="str">
            <v>红固甲29级</v>
          </cell>
          <cell r="B5429">
            <v>506329</v>
          </cell>
        </row>
        <row r="5430">
          <cell r="A5430" t="str">
            <v>红固甲30级</v>
          </cell>
          <cell r="B5430">
            <v>506330</v>
          </cell>
        </row>
        <row r="5431">
          <cell r="A5431" t="str">
            <v>红固甲31级</v>
          </cell>
          <cell r="B5431">
            <v>506331</v>
          </cell>
        </row>
        <row r="5432">
          <cell r="A5432" t="str">
            <v>红固甲32级</v>
          </cell>
          <cell r="B5432">
            <v>506332</v>
          </cell>
        </row>
        <row r="5433">
          <cell r="A5433" t="str">
            <v>红固甲33级</v>
          </cell>
          <cell r="B5433">
            <v>506333</v>
          </cell>
        </row>
        <row r="5434">
          <cell r="A5434" t="str">
            <v>红固甲34级</v>
          </cell>
          <cell r="B5434">
            <v>506334</v>
          </cell>
        </row>
        <row r="5435">
          <cell r="A5435" t="str">
            <v>红固甲35级</v>
          </cell>
          <cell r="B5435">
            <v>506335</v>
          </cell>
        </row>
        <row r="5436">
          <cell r="A5436" t="str">
            <v>红固甲36级</v>
          </cell>
          <cell r="B5436">
            <v>506336</v>
          </cell>
        </row>
        <row r="5437">
          <cell r="A5437" t="str">
            <v>红固甲37级</v>
          </cell>
          <cell r="B5437">
            <v>506337</v>
          </cell>
        </row>
        <row r="5438">
          <cell r="A5438" t="str">
            <v>红固甲38级</v>
          </cell>
          <cell r="B5438">
            <v>506338</v>
          </cell>
        </row>
        <row r="5439">
          <cell r="A5439" t="str">
            <v>红固甲39级</v>
          </cell>
          <cell r="B5439">
            <v>506339</v>
          </cell>
        </row>
        <row r="5440">
          <cell r="A5440" t="str">
            <v>红固甲40级</v>
          </cell>
          <cell r="B5440">
            <v>506340</v>
          </cell>
        </row>
        <row r="5441">
          <cell r="A5441" t="str">
            <v>红固甲41级</v>
          </cell>
          <cell r="B5441">
            <v>506341</v>
          </cell>
        </row>
        <row r="5442">
          <cell r="A5442" t="str">
            <v>红固甲42级</v>
          </cell>
          <cell r="B5442">
            <v>506342</v>
          </cell>
        </row>
        <row r="5443">
          <cell r="A5443" t="str">
            <v>红固甲43级</v>
          </cell>
          <cell r="B5443">
            <v>506343</v>
          </cell>
        </row>
        <row r="5444">
          <cell r="A5444" t="str">
            <v>红固甲44级</v>
          </cell>
          <cell r="B5444">
            <v>506344</v>
          </cell>
        </row>
        <row r="5445">
          <cell r="A5445" t="str">
            <v>红固甲45级</v>
          </cell>
          <cell r="B5445">
            <v>506345</v>
          </cell>
        </row>
        <row r="5446">
          <cell r="A5446" t="str">
            <v>红固甲46级</v>
          </cell>
          <cell r="B5446">
            <v>506346</v>
          </cell>
        </row>
        <row r="5447">
          <cell r="A5447" t="str">
            <v>红固甲47级</v>
          </cell>
          <cell r="B5447">
            <v>506347</v>
          </cell>
        </row>
        <row r="5448">
          <cell r="A5448" t="str">
            <v>红固甲48级</v>
          </cell>
          <cell r="B5448">
            <v>506348</v>
          </cell>
        </row>
        <row r="5449">
          <cell r="A5449" t="str">
            <v>红固甲49级</v>
          </cell>
          <cell r="B5449">
            <v>506349</v>
          </cell>
        </row>
        <row r="5450">
          <cell r="A5450" t="str">
            <v>红固甲50级</v>
          </cell>
          <cell r="B5450">
            <v>506350</v>
          </cell>
        </row>
        <row r="5451">
          <cell r="A5451" t="str">
            <v>红固甲51级</v>
          </cell>
          <cell r="B5451">
            <v>506351</v>
          </cell>
        </row>
        <row r="5452">
          <cell r="A5452" t="str">
            <v>红固甲52级</v>
          </cell>
          <cell r="B5452">
            <v>506352</v>
          </cell>
        </row>
        <row r="5453">
          <cell r="A5453" t="str">
            <v>红固甲53级</v>
          </cell>
          <cell r="B5453">
            <v>506353</v>
          </cell>
        </row>
        <row r="5454">
          <cell r="A5454" t="str">
            <v>红固甲54级</v>
          </cell>
          <cell r="B5454">
            <v>506354</v>
          </cell>
        </row>
        <row r="5455">
          <cell r="A5455" t="str">
            <v>红固甲55级</v>
          </cell>
          <cell r="B5455">
            <v>506355</v>
          </cell>
        </row>
        <row r="5456">
          <cell r="A5456" t="str">
            <v>红固甲56级</v>
          </cell>
          <cell r="B5456">
            <v>506356</v>
          </cell>
        </row>
        <row r="5457">
          <cell r="A5457" t="str">
            <v>红固甲57级</v>
          </cell>
          <cell r="B5457">
            <v>506357</v>
          </cell>
        </row>
        <row r="5458">
          <cell r="A5458" t="str">
            <v>红固甲58级</v>
          </cell>
          <cell r="B5458">
            <v>506358</v>
          </cell>
        </row>
        <row r="5459">
          <cell r="A5459" t="str">
            <v>红固甲59级</v>
          </cell>
          <cell r="B5459">
            <v>506359</v>
          </cell>
        </row>
        <row r="5460">
          <cell r="A5460" t="str">
            <v>红固甲60级</v>
          </cell>
          <cell r="B5460">
            <v>506360</v>
          </cell>
        </row>
        <row r="5461">
          <cell r="A5461" t="str">
            <v>红固甲61级</v>
          </cell>
          <cell r="B5461">
            <v>506361</v>
          </cell>
        </row>
        <row r="5462">
          <cell r="A5462" t="str">
            <v>红固甲62级</v>
          </cell>
          <cell r="B5462">
            <v>506362</v>
          </cell>
        </row>
        <row r="5463">
          <cell r="A5463" t="str">
            <v>红固甲63级</v>
          </cell>
          <cell r="B5463">
            <v>506363</v>
          </cell>
        </row>
        <row r="5464">
          <cell r="A5464" t="str">
            <v>红固甲64级</v>
          </cell>
          <cell r="B5464">
            <v>506364</v>
          </cell>
        </row>
        <row r="5465">
          <cell r="A5465" t="str">
            <v>红固甲65级</v>
          </cell>
          <cell r="B5465">
            <v>506365</v>
          </cell>
        </row>
        <row r="5466">
          <cell r="A5466" t="str">
            <v>红固甲66级</v>
          </cell>
          <cell r="B5466">
            <v>506366</v>
          </cell>
        </row>
        <row r="5467">
          <cell r="A5467" t="str">
            <v>红固甲67级</v>
          </cell>
          <cell r="B5467">
            <v>506367</v>
          </cell>
        </row>
        <row r="5468">
          <cell r="A5468" t="str">
            <v>红固甲68级</v>
          </cell>
          <cell r="B5468">
            <v>506368</v>
          </cell>
        </row>
        <row r="5469">
          <cell r="A5469" t="str">
            <v>红固甲69级</v>
          </cell>
          <cell r="B5469">
            <v>506369</v>
          </cell>
        </row>
        <row r="5470">
          <cell r="A5470" t="str">
            <v>红固甲70级</v>
          </cell>
          <cell r="B5470">
            <v>506370</v>
          </cell>
        </row>
        <row r="5471">
          <cell r="A5471" t="str">
            <v>红固甲71级</v>
          </cell>
          <cell r="B5471">
            <v>506371</v>
          </cell>
        </row>
        <row r="5472">
          <cell r="A5472" t="str">
            <v>红固甲72级</v>
          </cell>
          <cell r="B5472">
            <v>506372</v>
          </cell>
        </row>
        <row r="5473">
          <cell r="A5473" t="str">
            <v>红固甲73级</v>
          </cell>
          <cell r="B5473">
            <v>506373</v>
          </cell>
        </row>
        <row r="5474">
          <cell r="A5474" t="str">
            <v>红固甲74级</v>
          </cell>
          <cell r="B5474">
            <v>506374</v>
          </cell>
        </row>
        <row r="5475">
          <cell r="A5475" t="str">
            <v>红固甲75级</v>
          </cell>
          <cell r="B5475">
            <v>506375</v>
          </cell>
        </row>
        <row r="5476">
          <cell r="A5476" t="str">
            <v>红固甲76级</v>
          </cell>
          <cell r="B5476">
            <v>506376</v>
          </cell>
        </row>
        <row r="5477">
          <cell r="A5477" t="str">
            <v>红固甲77级</v>
          </cell>
          <cell r="B5477">
            <v>506377</v>
          </cell>
        </row>
        <row r="5478">
          <cell r="A5478" t="str">
            <v>红固甲78级</v>
          </cell>
          <cell r="B5478">
            <v>506378</v>
          </cell>
        </row>
        <row r="5479">
          <cell r="A5479" t="str">
            <v>红固甲79级</v>
          </cell>
          <cell r="B5479">
            <v>506379</v>
          </cell>
        </row>
        <row r="5480">
          <cell r="A5480" t="str">
            <v>红固甲80级</v>
          </cell>
          <cell r="B5480">
            <v>506380</v>
          </cell>
        </row>
        <row r="5481">
          <cell r="A5481" t="str">
            <v>红灵链1级</v>
          </cell>
          <cell r="B5481">
            <v>507301</v>
          </cell>
        </row>
        <row r="5482">
          <cell r="A5482" t="str">
            <v>红灵链2级</v>
          </cell>
          <cell r="B5482">
            <v>507302</v>
          </cell>
        </row>
        <row r="5483">
          <cell r="A5483" t="str">
            <v>红灵链3级</v>
          </cell>
          <cell r="B5483">
            <v>507303</v>
          </cell>
        </row>
        <row r="5484">
          <cell r="A5484" t="str">
            <v>红灵链4级</v>
          </cell>
          <cell r="B5484">
            <v>507304</v>
          </cell>
        </row>
        <row r="5485">
          <cell r="A5485" t="str">
            <v>红灵链5级</v>
          </cell>
          <cell r="B5485">
            <v>507305</v>
          </cell>
        </row>
        <row r="5486">
          <cell r="A5486" t="str">
            <v>红灵链6级</v>
          </cell>
          <cell r="B5486">
            <v>507306</v>
          </cell>
        </row>
        <row r="5487">
          <cell r="A5487" t="str">
            <v>红灵链7级</v>
          </cell>
          <cell r="B5487">
            <v>507307</v>
          </cell>
        </row>
        <row r="5488">
          <cell r="A5488" t="str">
            <v>红灵链8级</v>
          </cell>
          <cell r="B5488">
            <v>507308</v>
          </cell>
        </row>
        <row r="5489">
          <cell r="A5489" t="str">
            <v>红灵链9级</v>
          </cell>
          <cell r="B5489">
            <v>507309</v>
          </cell>
        </row>
        <row r="5490">
          <cell r="A5490" t="str">
            <v>红灵链10级</v>
          </cell>
          <cell r="B5490">
            <v>507310</v>
          </cell>
        </row>
        <row r="5491">
          <cell r="A5491" t="str">
            <v>红灵链11级</v>
          </cell>
          <cell r="B5491">
            <v>507311</v>
          </cell>
        </row>
        <row r="5492">
          <cell r="A5492" t="str">
            <v>红灵链12级</v>
          </cell>
          <cell r="B5492">
            <v>507312</v>
          </cell>
        </row>
        <row r="5493">
          <cell r="A5493" t="str">
            <v>红灵链13级</v>
          </cell>
          <cell r="B5493">
            <v>507313</v>
          </cell>
        </row>
        <row r="5494">
          <cell r="A5494" t="str">
            <v>红灵链14级</v>
          </cell>
          <cell r="B5494">
            <v>507314</v>
          </cell>
        </row>
        <row r="5495">
          <cell r="A5495" t="str">
            <v>红灵链15级</v>
          </cell>
          <cell r="B5495">
            <v>507315</v>
          </cell>
        </row>
        <row r="5496">
          <cell r="A5496" t="str">
            <v>红灵链16级</v>
          </cell>
          <cell r="B5496">
            <v>507316</v>
          </cell>
        </row>
        <row r="5497">
          <cell r="A5497" t="str">
            <v>红灵链17级</v>
          </cell>
          <cell r="B5497">
            <v>507317</v>
          </cell>
        </row>
        <row r="5498">
          <cell r="A5498" t="str">
            <v>红灵链18级</v>
          </cell>
          <cell r="B5498">
            <v>507318</v>
          </cell>
        </row>
        <row r="5499">
          <cell r="A5499" t="str">
            <v>红灵链19级</v>
          </cell>
          <cell r="B5499">
            <v>507319</v>
          </cell>
        </row>
        <row r="5500">
          <cell r="A5500" t="str">
            <v>红灵链20级</v>
          </cell>
          <cell r="B5500">
            <v>507320</v>
          </cell>
        </row>
        <row r="5501">
          <cell r="A5501" t="str">
            <v>红灵链21级</v>
          </cell>
          <cell r="B5501">
            <v>507321</v>
          </cell>
        </row>
        <row r="5502">
          <cell r="A5502" t="str">
            <v>红灵链22级</v>
          </cell>
          <cell r="B5502">
            <v>507322</v>
          </cell>
        </row>
        <row r="5503">
          <cell r="A5503" t="str">
            <v>红灵链23级</v>
          </cell>
          <cell r="B5503">
            <v>507323</v>
          </cell>
        </row>
        <row r="5504">
          <cell r="A5504" t="str">
            <v>红灵链24级</v>
          </cell>
          <cell r="B5504">
            <v>507324</v>
          </cell>
        </row>
        <row r="5505">
          <cell r="A5505" t="str">
            <v>红灵链25级</v>
          </cell>
          <cell r="B5505">
            <v>507325</v>
          </cell>
        </row>
        <row r="5506">
          <cell r="A5506" t="str">
            <v>红灵链26级</v>
          </cell>
          <cell r="B5506">
            <v>507326</v>
          </cell>
        </row>
        <row r="5507">
          <cell r="A5507" t="str">
            <v>红灵链27级</v>
          </cell>
          <cell r="B5507">
            <v>507327</v>
          </cell>
        </row>
        <row r="5508">
          <cell r="A5508" t="str">
            <v>红灵链28级</v>
          </cell>
          <cell r="B5508">
            <v>507328</v>
          </cell>
        </row>
        <row r="5509">
          <cell r="A5509" t="str">
            <v>红灵链29级</v>
          </cell>
          <cell r="B5509">
            <v>507329</v>
          </cell>
        </row>
        <row r="5510">
          <cell r="A5510" t="str">
            <v>红灵链30级</v>
          </cell>
          <cell r="B5510">
            <v>507330</v>
          </cell>
        </row>
        <row r="5511">
          <cell r="A5511" t="str">
            <v>红灵链31级</v>
          </cell>
          <cell r="B5511">
            <v>507331</v>
          </cell>
        </row>
        <row r="5512">
          <cell r="A5512" t="str">
            <v>红灵链32级</v>
          </cell>
          <cell r="B5512">
            <v>507332</v>
          </cell>
        </row>
        <row r="5513">
          <cell r="A5513" t="str">
            <v>红灵链33级</v>
          </cell>
          <cell r="B5513">
            <v>507333</v>
          </cell>
        </row>
        <row r="5514">
          <cell r="A5514" t="str">
            <v>红灵链34级</v>
          </cell>
          <cell r="B5514">
            <v>507334</v>
          </cell>
        </row>
        <row r="5515">
          <cell r="A5515" t="str">
            <v>红灵链35级</v>
          </cell>
          <cell r="B5515">
            <v>507335</v>
          </cell>
        </row>
        <row r="5516">
          <cell r="A5516" t="str">
            <v>红灵链36级</v>
          </cell>
          <cell r="B5516">
            <v>507336</v>
          </cell>
        </row>
        <row r="5517">
          <cell r="A5517" t="str">
            <v>红灵链37级</v>
          </cell>
          <cell r="B5517">
            <v>507337</v>
          </cell>
        </row>
        <row r="5518">
          <cell r="A5518" t="str">
            <v>红灵链38级</v>
          </cell>
          <cell r="B5518">
            <v>507338</v>
          </cell>
        </row>
        <row r="5519">
          <cell r="A5519" t="str">
            <v>红灵链39级</v>
          </cell>
          <cell r="B5519">
            <v>507339</v>
          </cell>
        </row>
        <row r="5520">
          <cell r="A5520" t="str">
            <v>红灵链40级</v>
          </cell>
          <cell r="B5520">
            <v>507340</v>
          </cell>
        </row>
        <row r="5521">
          <cell r="A5521" t="str">
            <v>红灵链41级</v>
          </cell>
          <cell r="B5521">
            <v>507341</v>
          </cell>
        </row>
        <row r="5522">
          <cell r="A5522" t="str">
            <v>红灵链42级</v>
          </cell>
          <cell r="B5522">
            <v>507342</v>
          </cell>
        </row>
        <row r="5523">
          <cell r="A5523" t="str">
            <v>红灵链43级</v>
          </cell>
          <cell r="B5523">
            <v>507343</v>
          </cell>
        </row>
        <row r="5524">
          <cell r="A5524" t="str">
            <v>红灵链44级</v>
          </cell>
          <cell r="B5524">
            <v>507344</v>
          </cell>
        </row>
        <row r="5525">
          <cell r="A5525" t="str">
            <v>红灵链45级</v>
          </cell>
          <cell r="B5525">
            <v>507345</v>
          </cell>
        </row>
        <row r="5526">
          <cell r="A5526" t="str">
            <v>红灵链46级</v>
          </cell>
          <cell r="B5526">
            <v>507346</v>
          </cell>
        </row>
        <row r="5527">
          <cell r="A5527" t="str">
            <v>红灵链47级</v>
          </cell>
          <cell r="B5527">
            <v>507347</v>
          </cell>
        </row>
        <row r="5528">
          <cell r="A5528" t="str">
            <v>红灵链48级</v>
          </cell>
          <cell r="B5528">
            <v>507348</v>
          </cell>
        </row>
        <row r="5529">
          <cell r="A5529" t="str">
            <v>红灵链49级</v>
          </cell>
          <cell r="B5529">
            <v>507349</v>
          </cell>
        </row>
        <row r="5530">
          <cell r="A5530" t="str">
            <v>红灵链50级</v>
          </cell>
          <cell r="B5530">
            <v>507350</v>
          </cell>
        </row>
        <row r="5531">
          <cell r="A5531" t="str">
            <v>红灵链51级</v>
          </cell>
          <cell r="B5531">
            <v>507351</v>
          </cell>
        </row>
        <row r="5532">
          <cell r="A5532" t="str">
            <v>红灵链52级</v>
          </cell>
          <cell r="B5532">
            <v>507352</v>
          </cell>
        </row>
        <row r="5533">
          <cell r="A5533" t="str">
            <v>红灵链53级</v>
          </cell>
          <cell r="B5533">
            <v>507353</v>
          </cell>
        </row>
        <row r="5534">
          <cell r="A5534" t="str">
            <v>红灵链54级</v>
          </cell>
          <cell r="B5534">
            <v>507354</v>
          </cell>
        </row>
        <row r="5535">
          <cell r="A5535" t="str">
            <v>红灵链55级</v>
          </cell>
          <cell r="B5535">
            <v>507355</v>
          </cell>
        </row>
        <row r="5536">
          <cell r="A5536" t="str">
            <v>红灵链56级</v>
          </cell>
          <cell r="B5536">
            <v>507356</v>
          </cell>
        </row>
        <row r="5537">
          <cell r="A5537" t="str">
            <v>红灵链57级</v>
          </cell>
          <cell r="B5537">
            <v>507357</v>
          </cell>
        </row>
        <row r="5538">
          <cell r="A5538" t="str">
            <v>红灵链58级</v>
          </cell>
          <cell r="B5538">
            <v>507358</v>
          </cell>
        </row>
        <row r="5539">
          <cell r="A5539" t="str">
            <v>红灵链59级</v>
          </cell>
          <cell r="B5539">
            <v>507359</v>
          </cell>
        </row>
        <row r="5540">
          <cell r="A5540" t="str">
            <v>红灵链60级</v>
          </cell>
          <cell r="B5540">
            <v>507360</v>
          </cell>
        </row>
        <row r="5541">
          <cell r="A5541" t="str">
            <v>红灵链61级</v>
          </cell>
          <cell r="B5541">
            <v>507361</v>
          </cell>
        </row>
        <row r="5542">
          <cell r="A5542" t="str">
            <v>红灵链62级</v>
          </cell>
          <cell r="B5542">
            <v>507362</v>
          </cell>
        </row>
        <row r="5543">
          <cell r="A5543" t="str">
            <v>红灵链63级</v>
          </cell>
          <cell r="B5543">
            <v>507363</v>
          </cell>
        </row>
        <row r="5544">
          <cell r="A5544" t="str">
            <v>红灵链64级</v>
          </cell>
          <cell r="B5544">
            <v>507364</v>
          </cell>
        </row>
        <row r="5545">
          <cell r="A5545" t="str">
            <v>红灵链65级</v>
          </cell>
          <cell r="B5545">
            <v>507365</v>
          </cell>
        </row>
        <row r="5546">
          <cell r="A5546" t="str">
            <v>红灵链66级</v>
          </cell>
          <cell r="B5546">
            <v>507366</v>
          </cell>
        </row>
        <row r="5547">
          <cell r="A5547" t="str">
            <v>红灵链67级</v>
          </cell>
          <cell r="B5547">
            <v>507367</v>
          </cell>
        </row>
        <row r="5548">
          <cell r="A5548" t="str">
            <v>红灵链68级</v>
          </cell>
          <cell r="B5548">
            <v>507368</v>
          </cell>
        </row>
        <row r="5549">
          <cell r="A5549" t="str">
            <v>红灵链69级</v>
          </cell>
          <cell r="B5549">
            <v>507369</v>
          </cell>
        </row>
        <row r="5550">
          <cell r="A5550" t="str">
            <v>红灵链70级</v>
          </cell>
          <cell r="B5550">
            <v>507370</v>
          </cell>
        </row>
        <row r="5551">
          <cell r="A5551" t="str">
            <v>红灵链71级</v>
          </cell>
          <cell r="B5551">
            <v>507371</v>
          </cell>
        </row>
        <row r="5552">
          <cell r="A5552" t="str">
            <v>红灵链72级</v>
          </cell>
          <cell r="B5552">
            <v>507372</v>
          </cell>
        </row>
        <row r="5553">
          <cell r="A5553" t="str">
            <v>红灵链73级</v>
          </cell>
          <cell r="B5553">
            <v>507373</v>
          </cell>
        </row>
        <row r="5554">
          <cell r="A5554" t="str">
            <v>红灵链74级</v>
          </cell>
          <cell r="B5554">
            <v>507374</v>
          </cell>
        </row>
        <row r="5555">
          <cell r="A5555" t="str">
            <v>红灵链75级</v>
          </cell>
          <cell r="B5555">
            <v>507375</v>
          </cell>
        </row>
        <row r="5556">
          <cell r="A5556" t="str">
            <v>红灵链76级</v>
          </cell>
          <cell r="B5556">
            <v>507376</v>
          </cell>
        </row>
        <row r="5557">
          <cell r="A5557" t="str">
            <v>红灵链77级</v>
          </cell>
          <cell r="B5557">
            <v>507377</v>
          </cell>
        </row>
        <row r="5558">
          <cell r="A5558" t="str">
            <v>红灵链78级</v>
          </cell>
          <cell r="B5558">
            <v>507378</v>
          </cell>
        </row>
        <row r="5559">
          <cell r="A5559" t="str">
            <v>红灵链79级</v>
          </cell>
          <cell r="B5559">
            <v>507379</v>
          </cell>
        </row>
        <row r="5560">
          <cell r="A5560" t="str">
            <v>红灵链80级</v>
          </cell>
          <cell r="B5560">
            <v>507380</v>
          </cell>
        </row>
        <row r="5561">
          <cell r="A5561" t="str">
            <v>红地镯1级</v>
          </cell>
          <cell r="B5561">
            <v>508301</v>
          </cell>
        </row>
        <row r="5562">
          <cell r="A5562" t="str">
            <v>红地镯2级</v>
          </cell>
          <cell r="B5562">
            <v>508302</v>
          </cell>
        </row>
        <row r="5563">
          <cell r="A5563" t="str">
            <v>红地镯3级</v>
          </cell>
          <cell r="B5563">
            <v>508303</v>
          </cell>
        </row>
        <row r="5564">
          <cell r="A5564" t="str">
            <v>红地镯4级</v>
          </cell>
          <cell r="B5564">
            <v>508304</v>
          </cell>
        </row>
        <row r="5565">
          <cell r="A5565" t="str">
            <v>红地镯5级</v>
          </cell>
          <cell r="B5565">
            <v>508305</v>
          </cell>
        </row>
        <row r="5566">
          <cell r="A5566" t="str">
            <v>红地镯6级</v>
          </cell>
          <cell r="B5566">
            <v>508306</v>
          </cell>
        </row>
        <row r="5567">
          <cell r="A5567" t="str">
            <v>红地镯7级</v>
          </cell>
          <cell r="B5567">
            <v>508307</v>
          </cell>
        </row>
        <row r="5568">
          <cell r="A5568" t="str">
            <v>红地镯8级</v>
          </cell>
          <cell r="B5568">
            <v>508308</v>
          </cell>
        </row>
        <row r="5569">
          <cell r="A5569" t="str">
            <v>红地镯9级</v>
          </cell>
          <cell r="B5569">
            <v>508309</v>
          </cell>
        </row>
        <row r="5570">
          <cell r="A5570" t="str">
            <v>红地镯10级</v>
          </cell>
          <cell r="B5570">
            <v>508310</v>
          </cell>
        </row>
        <row r="5571">
          <cell r="A5571" t="str">
            <v>红地镯11级</v>
          </cell>
          <cell r="B5571">
            <v>508311</v>
          </cell>
        </row>
        <row r="5572">
          <cell r="A5572" t="str">
            <v>红地镯12级</v>
          </cell>
          <cell r="B5572">
            <v>508312</v>
          </cell>
        </row>
        <row r="5573">
          <cell r="A5573" t="str">
            <v>红地镯13级</v>
          </cell>
          <cell r="B5573">
            <v>508313</v>
          </cell>
        </row>
        <row r="5574">
          <cell r="A5574" t="str">
            <v>红地镯14级</v>
          </cell>
          <cell r="B5574">
            <v>508314</v>
          </cell>
        </row>
        <row r="5575">
          <cell r="A5575" t="str">
            <v>红地镯15级</v>
          </cell>
          <cell r="B5575">
            <v>508315</v>
          </cell>
        </row>
        <row r="5576">
          <cell r="A5576" t="str">
            <v>红地镯16级</v>
          </cell>
          <cell r="B5576">
            <v>508316</v>
          </cell>
        </row>
        <row r="5577">
          <cell r="A5577" t="str">
            <v>红地镯17级</v>
          </cell>
          <cell r="B5577">
            <v>508317</v>
          </cell>
        </row>
        <row r="5578">
          <cell r="A5578" t="str">
            <v>红地镯18级</v>
          </cell>
          <cell r="B5578">
            <v>508318</v>
          </cell>
        </row>
        <row r="5579">
          <cell r="A5579" t="str">
            <v>红地镯19级</v>
          </cell>
          <cell r="B5579">
            <v>508319</v>
          </cell>
        </row>
        <row r="5580">
          <cell r="A5580" t="str">
            <v>红地镯20级</v>
          </cell>
          <cell r="B5580">
            <v>508320</v>
          </cell>
        </row>
        <row r="5581">
          <cell r="A5581" t="str">
            <v>红地镯21级</v>
          </cell>
          <cell r="B5581">
            <v>508321</v>
          </cell>
        </row>
        <row r="5582">
          <cell r="A5582" t="str">
            <v>红地镯22级</v>
          </cell>
          <cell r="B5582">
            <v>508322</v>
          </cell>
        </row>
        <row r="5583">
          <cell r="A5583" t="str">
            <v>红地镯23级</v>
          </cell>
          <cell r="B5583">
            <v>508323</v>
          </cell>
        </row>
        <row r="5584">
          <cell r="A5584" t="str">
            <v>红地镯24级</v>
          </cell>
          <cell r="B5584">
            <v>508324</v>
          </cell>
        </row>
        <row r="5585">
          <cell r="A5585" t="str">
            <v>红地镯25级</v>
          </cell>
          <cell r="B5585">
            <v>508325</v>
          </cell>
        </row>
        <row r="5586">
          <cell r="A5586" t="str">
            <v>红地镯26级</v>
          </cell>
          <cell r="B5586">
            <v>508326</v>
          </cell>
        </row>
        <row r="5587">
          <cell r="A5587" t="str">
            <v>红地镯27级</v>
          </cell>
          <cell r="B5587">
            <v>508327</v>
          </cell>
        </row>
        <row r="5588">
          <cell r="A5588" t="str">
            <v>红地镯28级</v>
          </cell>
          <cell r="B5588">
            <v>508328</v>
          </cell>
        </row>
        <row r="5589">
          <cell r="A5589" t="str">
            <v>红地镯29级</v>
          </cell>
          <cell r="B5589">
            <v>508329</v>
          </cell>
        </row>
        <row r="5590">
          <cell r="A5590" t="str">
            <v>红地镯30级</v>
          </cell>
          <cell r="B5590">
            <v>508330</v>
          </cell>
        </row>
        <row r="5591">
          <cell r="A5591" t="str">
            <v>红地镯31级</v>
          </cell>
          <cell r="B5591">
            <v>508331</v>
          </cell>
        </row>
        <row r="5592">
          <cell r="A5592" t="str">
            <v>红地镯32级</v>
          </cell>
          <cell r="B5592">
            <v>508332</v>
          </cell>
        </row>
        <row r="5593">
          <cell r="A5593" t="str">
            <v>红地镯33级</v>
          </cell>
          <cell r="B5593">
            <v>508333</v>
          </cell>
        </row>
        <row r="5594">
          <cell r="A5594" t="str">
            <v>红地镯34级</v>
          </cell>
          <cell r="B5594">
            <v>508334</v>
          </cell>
        </row>
        <row r="5595">
          <cell r="A5595" t="str">
            <v>红地镯35级</v>
          </cell>
          <cell r="B5595">
            <v>508335</v>
          </cell>
        </row>
        <row r="5596">
          <cell r="A5596" t="str">
            <v>红地镯36级</v>
          </cell>
          <cell r="B5596">
            <v>508336</v>
          </cell>
        </row>
        <row r="5597">
          <cell r="A5597" t="str">
            <v>红地镯37级</v>
          </cell>
          <cell r="B5597">
            <v>508337</v>
          </cell>
        </row>
        <row r="5598">
          <cell r="A5598" t="str">
            <v>红地镯38级</v>
          </cell>
          <cell r="B5598">
            <v>508338</v>
          </cell>
        </row>
        <row r="5599">
          <cell r="A5599" t="str">
            <v>红地镯39级</v>
          </cell>
          <cell r="B5599">
            <v>508339</v>
          </cell>
        </row>
        <row r="5600">
          <cell r="A5600" t="str">
            <v>红地镯40级</v>
          </cell>
          <cell r="B5600">
            <v>508340</v>
          </cell>
        </row>
        <row r="5601">
          <cell r="A5601" t="str">
            <v>红地镯41级</v>
          </cell>
          <cell r="B5601">
            <v>508341</v>
          </cell>
        </row>
        <row r="5602">
          <cell r="A5602" t="str">
            <v>红地镯42级</v>
          </cell>
          <cell r="B5602">
            <v>508342</v>
          </cell>
        </row>
        <row r="5603">
          <cell r="A5603" t="str">
            <v>红地镯43级</v>
          </cell>
          <cell r="B5603">
            <v>508343</v>
          </cell>
        </row>
        <row r="5604">
          <cell r="A5604" t="str">
            <v>红地镯44级</v>
          </cell>
          <cell r="B5604">
            <v>508344</v>
          </cell>
        </row>
        <row r="5605">
          <cell r="A5605" t="str">
            <v>红地镯45级</v>
          </cell>
          <cell r="B5605">
            <v>508345</v>
          </cell>
        </row>
        <row r="5606">
          <cell r="A5606" t="str">
            <v>红地镯46级</v>
          </cell>
          <cell r="B5606">
            <v>508346</v>
          </cell>
        </row>
        <row r="5607">
          <cell r="A5607" t="str">
            <v>红地镯47级</v>
          </cell>
          <cell r="B5607">
            <v>508347</v>
          </cell>
        </row>
        <row r="5608">
          <cell r="A5608" t="str">
            <v>红地镯48级</v>
          </cell>
          <cell r="B5608">
            <v>508348</v>
          </cell>
        </row>
        <row r="5609">
          <cell r="A5609" t="str">
            <v>红地镯49级</v>
          </cell>
          <cell r="B5609">
            <v>508349</v>
          </cell>
        </row>
        <row r="5610">
          <cell r="A5610" t="str">
            <v>红地镯50级</v>
          </cell>
          <cell r="B5610">
            <v>508350</v>
          </cell>
        </row>
        <row r="5611">
          <cell r="A5611" t="str">
            <v>红地镯51级</v>
          </cell>
          <cell r="B5611">
            <v>508351</v>
          </cell>
        </row>
        <row r="5612">
          <cell r="A5612" t="str">
            <v>红地镯52级</v>
          </cell>
          <cell r="B5612">
            <v>508352</v>
          </cell>
        </row>
        <row r="5613">
          <cell r="A5613" t="str">
            <v>红地镯53级</v>
          </cell>
          <cell r="B5613">
            <v>508353</v>
          </cell>
        </row>
        <row r="5614">
          <cell r="A5614" t="str">
            <v>红地镯54级</v>
          </cell>
          <cell r="B5614">
            <v>508354</v>
          </cell>
        </row>
        <row r="5615">
          <cell r="A5615" t="str">
            <v>红地镯55级</v>
          </cell>
          <cell r="B5615">
            <v>508355</v>
          </cell>
        </row>
        <row r="5616">
          <cell r="A5616" t="str">
            <v>红地镯56级</v>
          </cell>
          <cell r="B5616">
            <v>508356</v>
          </cell>
        </row>
        <row r="5617">
          <cell r="A5617" t="str">
            <v>红地镯57级</v>
          </cell>
          <cell r="B5617">
            <v>508357</v>
          </cell>
        </row>
        <row r="5618">
          <cell r="A5618" t="str">
            <v>红地镯58级</v>
          </cell>
          <cell r="B5618">
            <v>508358</v>
          </cell>
        </row>
        <row r="5619">
          <cell r="A5619" t="str">
            <v>红地镯59级</v>
          </cell>
          <cell r="B5619">
            <v>508359</v>
          </cell>
        </row>
        <row r="5620">
          <cell r="A5620" t="str">
            <v>红地镯60级</v>
          </cell>
          <cell r="B5620">
            <v>508360</v>
          </cell>
        </row>
        <row r="5621">
          <cell r="A5621" t="str">
            <v>红地镯61级</v>
          </cell>
          <cell r="B5621">
            <v>508361</v>
          </cell>
        </row>
        <row r="5622">
          <cell r="A5622" t="str">
            <v>红地镯62级</v>
          </cell>
          <cell r="B5622">
            <v>508362</v>
          </cell>
        </row>
        <row r="5623">
          <cell r="A5623" t="str">
            <v>红地镯63级</v>
          </cell>
          <cell r="B5623">
            <v>508363</v>
          </cell>
        </row>
        <row r="5624">
          <cell r="A5624" t="str">
            <v>红地镯64级</v>
          </cell>
          <cell r="B5624">
            <v>508364</v>
          </cell>
        </row>
        <row r="5625">
          <cell r="A5625" t="str">
            <v>红地镯65级</v>
          </cell>
          <cell r="B5625">
            <v>508365</v>
          </cell>
        </row>
        <row r="5626">
          <cell r="A5626" t="str">
            <v>红地镯66级</v>
          </cell>
          <cell r="B5626">
            <v>508366</v>
          </cell>
        </row>
        <row r="5627">
          <cell r="A5627" t="str">
            <v>红地镯67级</v>
          </cell>
          <cell r="B5627">
            <v>508367</v>
          </cell>
        </row>
        <row r="5628">
          <cell r="A5628" t="str">
            <v>红地镯68级</v>
          </cell>
          <cell r="B5628">
            <v>508368</v>
          </cell>
        </row>
        <row r="5629">
          <cell r="A5629" t="str">
            <v>红地镯69级</v>
          </cell>
          <cell r="B5629">
            <v>508369</v>
          </cell>
        </row>
        <row r="5630">
          <cell r="A5630" t="str">
            <v>红地镯70级</v>
          </cell>
          <cell r="B5630">
            <v>508370</v>
          </cell>
        </row>
        <row r="5631">
          <cell r="A5631" t="str">
            <v>红地镯71级</v>
          </cell>
          <cell r="B5631">
            <v>508371</v>
          </cell>
        </row>
        <row r="5632">
          <cell r="A5632" t="str">
            <v>红地镯72级</v>
          </cell>
          <cell r="B5632">
            <v>508372</v>
          </cell>
        </row>
        <row r="5633">
          <cell r="A5633" t="str">
            <v>红地镯73级</v>
          </cell>
          <cell r="B5633">
            <v>508373</v>
          </cell>
        </row>
        <row r="5634">
          <cell r="A5634" t="str">
            <v>红地镯74级</v>
          </cell>
          <cell r="B5634">
            <v>508374</v>
          </cell>
        </row>
        <row r="5635">
          <cell r="A5635" t="str">
            <v>红地镯75级</v>
          </cell>
          <cell r="B5635">
            <v>508375</v>
          </cell>
        </row>
        <row r="5636">
          <cell r="A5636" t="str">
            <v>红地镯76级</v>
          </cell>
          <cell r="B5636">
            <v>508376</v>
          </cell>
        </row>
        <row r="5637">
          <cell r="A5637" t="str">
            <v>红地镯77级</v>
          </cell>
          <cell r="B5637">
            <v>508377</v>
          </cell>
        </row>
        <row r="5638">
          <cell r="A5638" t="str">
            <v>红地镯78级</v>
          </cell>
          <cell r="B5638">
            <v>508378</v>
          </cell>
        </row>
        <row r="5639">
          <cell r="A5639" t="str">
            <v>红地镯79级</v>
          </cell>
          <cell r="B5639">
            <v>508379</v>
          </cell>
        </row>
        <row r="5640">
          <cell r="A5640" t="str">
            <v>红地镯80级</v>
          </cell>
          <cell r="B5640">
            <v>508380</v>
          </cell>
        </row>
        <row r="5641">
          <cell r="A5641" t="str">
            <v>红乾戒1级</v>
          </cell>
          <cell r="B5641">
            <v>509301</v>
          </cell>
        </row>
        <row r="5642">
          <cell r="A5642" t="str">
            <v>红乾戒2级</v>
          </cell>
          <cell r="B5642">
            <v>509302</v>
          </cell>
        </row>
        <row r="5643">
          <cell r="A5643" t="str">
            <v>红乾戒3级</v>
          </cell>
          <cell r="B5643">
            <v>509303</v>
          </cell>
        </row>
        <row r="5644">
          <cell r="A5644" t="str">
            <v>红乾戒4级</v>
          </cell>
          <cell r="B5644">
            <v>509304</v>
          </cell>
        </row>
        <row r="5645">
          <cell r="A5645" t="str">
            <v>红乾戒5级</v>
          </cell>
          <cell r="B5645">
            <v>509305</v>
          </cell>
        </row>
        <row r="5646">
          <cell r="A5646" t="str">
            <v>红乾戒6级</v>
          </cell>
          <cell r="B5646">
            <v>509306</v>
          </cell>
        </row>
        <row r="5647">
          <cell r="A5647" t="str">
            <v>红乾戒7级</v>
          </cell>
          <cell r="B5647">
            <v>509307</v>
          </cell>
        </row>
        <row r="5648">
          <cell r="A5648" t="str">
            <v>红乾戒8级</v>
          </cell>
          <cell r="B5648">
            <v>509308</v>
          </cell>
        </row>
        <row r="5649">
          <cell r="A5649" t="str">
            <v>红乾戒9级</v>
          </cell>
          <cell r="B5649">
            <v>509309</v>
          </cell>
        </row>
        <row r="5650">
          <cell r="A5650" t="str">
            <v>红乾戒10级</v>
          </cell>
          <cell r="B5650">
            <v>509310</v>
          </cell>
        </row>
        <row r="5651">
          <cell r="A5651" t="str">
            <v>红乾戒11级</v>
          </cell>
          <cell r="B5651">
            <v>509311</v>
          </cell>
        </row>
        <row r="5652">
          <cell r="A5652" t="str">
            <v>红乾戒12级</v>
          </cell>
          <cell r="B5652">
            <v>509312</v>
          </cell>
        </row>
        <row r="5653">
          <cell r="A5653" t="str">
            <v>红乾戒13级</v>
          </cell>
          <cell r="B5653">
            <v>509313</v>
          </cell>
        </row>
        <row r="5654">
          <cell r="A5654" t="str">
            <v>红乾戒14级</v>
          </cell>
          <cell r="B5654">
            <v>509314</v>
          </cell>
        </row>
        <row r="5655">
          <cell r="A5655" t="str">
            <v>红乾戒15级</v>
          </cell>
          <cell r="B5655">
            <v>509315</v>
          </cell>
        </row>
        <row r="5656">
          <cell r="A5656" t="str">
            <v>红乾戒16级</v>
          </cell>
          <cell r="B5656">
            <v>509316</v>
          </cell>
        </row>
        <row r="5657">
          <cell r="A5657" t="str">
            <v>红乾戒17级</v>
          </cell>
          <cell r="B5657">
            <v>509317</v>
          </cell>
        </row>
        <row r="5658">
          <cell r="A5658" t="str">
            <v>红乾戒18级</v>
          </cell>
          <cell r="B5658">
            <v>509318</v>
          </cell>
        </row>
        <row r="5659">
          <cell r="A5659" t="str">
            <v>红乾戒19级</v>
          </cell>
          <cell r="B5659">
            <v>509319</v>
          </cell>
        </row>
        <row r="5660">
          <cell r="A5660" t="str">
            <v>红乾戒20级</v>
          </cell>
          <cell r="B5660">
            <v>509320</v>
          </cell>
        </row>
        <row r="5661">
          <cell r="A5661" t="str">
            <v>红乾戒21级</v>
          </cell>
          <cell r="B5661">
            <v>509321</v>
          </cell>
        </row>
        <row r="5662">
          <cell r="A5662" t="str">
            <v>红乾戒22级</v>
          </cell>
          <cell r="B5662">
            <v>509322</v>
          </cell>
        </row>
        <row r="5663">
          <cell r="A5663" t="str">
            <v>红乾戒23级</v>
          </cell>
          <cell r="B5663">
            <v>509323</v>
          </cell>
        </row>
        <row r="5664">
          <cell r="A5664" t="str">
            <v>红乾戒24级</v>
          </cell>
          <cell r="B5664">
            <v>509324</v>
          </cell>
        </row>
        <row r="5665">
          <cell r="A5665" t="str">
            <v>红乾戒25级</v>
          </cell>
          <cell r="B5665">
            <v>509325</v>
          </cell>
        </row>
        <row r="5666">
          <cell r="A5666" t="str">
            <v>红乾戒26级</v>
          </cell>
          <cell r="B5666">
            <v>509326</v>
          </cell>
        </row>
        <row r="5667">
          <cell r="A5667" t="str">
            <v>红乾戒27级</v>
          </cell>
          <cell r="B5667">
            <v>509327</v>
          </cell>
        </row>
        <row r="5668">
          <cell r="A5668" t="str">
            <v>红乾戒28级</v>
          </cell>
          <cell r="B5668">
            <v>509328</v>
          </cell>
        </row>
        <row r="5669">
          <cell r="A5669" t="str">
            <v>红乾戒29级</v>
          </cell>
          <cell r="B5669">
            <v>509329</v>
          </cell>
        </row>
        <row r="5670">
          <cell r="A5670" t="str">
            <v>红乾戒30级</v>
          </cell>
          <cell r="B5670">
            <v>509330</v>
          </cell>
        </row>
        <row r="5671">
          <cell r="A5671" t="str">
            <v>红乾戒31级</v>
          </cell>
          <cell r="B5671">
            <v>509331</v>
          </cell>
        </row>
        <row r="5672">
          <cell r="A5672" t="str">
            <v>红乾戒32级</v>
          </cell>
          <cell r="B5672">
            <v>509332</v>
          </cell>
        </row>
        <row r="5673">
          <cell r="A5673" t="str">
            <v>红乾戒33级</v>
          </cell>
          <cell r="B5673">
            <v>509333</v>
          </cell>
        </row>
        <row r="5674">
          <cell r="A5674" t="str">
            <v>红乾戒34级</v>
          </cell>
          <cell r="B5674">
            <v>509334</v>
          </cell>
        </row>
        <row r="5675">
          <cell r="A5675" t="str">
            <v>红乾戒35级</v>
          </cell>
          <cell r="B5675">
            <v>509335</v>
          </cell>
        </row>
        <row r="5676">
          <cell r="A5676" t="str">
            <v>红乾戒36级</v>
          </cell>
          <cell r="B5676">
            <v>509336</v>
          </cell>
        </row>
        <row r="5677">
          <cell r="A5677" t="str">
            <v>红乾戒37级</v>
          </cell>
          <cell r="B5677">
            <v>509337</v>
          </cell>
        </row>
        <row r="5678">
          <cell r="A5678" t="str">
            <v>红乾戒38级</v>
          </cell>
          <cell r="B5678">
            <v>509338</v>
          </cell>
        </row>
        <row r="5679">
          <cell r="A5679" t="str">
            <v>红乾戒39级</v>
          </cell>
          <cell r="B5679">
            <v>509339</v>
          </cell>
        </row>
        <row r="5680">
          <cell r="A5680" t="str">
            <v>红乾戒40级</v>
          </cell>
          <cell r="B5680">
            <v>509340</v>
          </cell>
        </row>
        <row r="5681">
          <cell r="A5681" t="str">
            <v>红乾戒41级</v>
          </cell>
          <cell r="B5681">
            <v>509341</v>
          </cell>
        </row>
        <row r="5682">
          <cell r="A5682" t="str">
            <v>红乾戒42级</v>
          </cell>
          <cell r="B5682">
            <v>509342</v>
          </cell>
        </row>
        <row r="5683">
          <cell r="A5683" t="str">
            <v>红乾戒43级</v>
          </cell>
          <cell r="B5683">
            <v>509343</v>
          </cell>
        </row>
        <row r="5684">
          <cell r="A5684" t="str">
            <v>红乾戒44级</v>
          </cell>
          <cell r="B5684">
            <v>509344</v>
          </cell>
        </row>
        <row r="5685">
          <cell r="A5685" t="str">
            <v>红乾戒45级</v>
          </cell>
          <cell r="B5685">
            <v>509345</v>
          </cell>
        </row>
        <row r="5686">
          <cell r="A5686" t="str">
            <v>红乾戒46级</v>
          </cell>
          <cell r="B5686">
            <v>509346</v>
          </cell>
        </row>
        <row r="5687">
          <cell r="A5687" t="str">
            <v>红乾戒47级</v>
          </cell>
          <cell r="B5687">
            <v>509347</v>
          </cell>
        </row>
        <row r="5688">
          <cell r="A5688" t="str">
            <v>红乾戒48级</v>
          </cell>
          <cell r="B5688">
            <v>509348</v>
          </cell>
        </row>
        <row r="5689">
          <cell r="A5689" t="str">
            <v>红乾戒49级</v>
          </cell>
          <cell r="B5689">
            <v>509349</v>
          </cell>
        </row>
        <row r="5690">
          <cell r="A5690" t="str">
            <v>红乾戒50级</v>
          </cell>
          <cell r="B5690">
            <v>509350</v>
          </cell>
        </row>
        <row r="5691">
          <cell r="A5691" t="str">
            <v>红乾戒51级</v>
          </cell>
          <cell r="B5691">
            <v>509351</v>
          </cell>
        </row>
        <row r="5692">
          <cell r="A5692" t="str">
            <v>红乾戒52级</v>
          </cell>
          <cell r="B5692">
            <v>509352</v>
          </cell>
        </row>
        <row r="5693">
          <cell r="A5693" t="str">
            <v>红乾戒53级</v>
          </cell>
          <cell r="B5693">
            <v>509353</v>
          </cell>
        </row>
        <row r="5694">
          <cell r="A5694" t="str">
            <v>红乾戒54级</v>
          </cell>
          <cell r="B5694">
            <v>509354</v>
          </cell>
        </row>
        <row r="5695">
          <cell r="A5695" t="str">
            <v>红乾戒55级</v>
          </cell>
          <cell r="B5695">
            <v>509355</v>
          </cell>
        </row>
        <row r="5696">
          <cell r="A5696" t="str">
            <v>红乾戒56级</v>
          </cell>
          <cell r="B5696">
            <v>509356</v>
          </cell>
        </row>
        <row r="5697">
          <cell r="A5697" t="str">
            <v>红乾戒57级</v>
          </cell>
          <cell r="B5697">
            <v>509357</v>
          </cell>
        </row>
        <row r="5698">
          <cell r="A5698" t="str">
            <v>红乾戒58级</v>
          </cell>
          <cell r="B5698">
            <v>509358</v>
          </cell>
        </row>
        <row r="5699">
          <cell r="A5699" t="str">
            <v>红乾戒59级</v>
          </cell>
          <cell r="B5699">
            <v>509359</v>
          </cell>
        </row>
        <row r="5700">
          <cell r="A5700" t="str">
            <v>红乾戒60级</v>
          </cell>
          <cell r="B5700">
            <v>509360</v>
          </cell>
        </row>
        <row r="5701">
          <cell r="A5701" t="str">
            <v>红乾戒61级</v>
          </cell>
          <cell r="B5701">
            <v>509361</v>
          </cell>
        </row>
        <row r="5702">
          <cell r="A5702" t="str">
            <v>红乾戒62级</v>
          </cell>
          <cell r="B5702">
            <v>509362</v>
          </cell>
        </row>
        <row r="5703">
          <cell r="A5703" t="str">
            <v>红乾戒63级</v>
          </cell>
          <cell r="B5703">
            <v>509363</v>
          </cell>
        </row>
        <row r="5704">
          <cell r="A5704" t="str">
            <v>红乾戒64级</v>
          </cell>
          <cell r="B5704">
            <v>509364</v>
          </cell>
        </row>
        <row r="5705">
          <cell r="A5705" t="str">
            <v>红乾戒65级</v>
          </cell>
          <cell r="B5705">
            <v>509365</v>
          </cell>
        </row>
        <row r="5706">
          <cell r="A5706" t="str">
            <v>红乾戒66级</v>
          </cell>
          <cell r="B5706">
            <v>509366</v>
          </cell>
        </row>
        <row r="5707">
          <cell r="A5707" t="str">
            <v>红乾戒67级</v>
          </cell>
          <cell r="B5707">
            <v>509367</v>
          </cell>
        </row>
        <row r="5708">
          <cell r="A5708" t="str">
            <v>红乾戒68级</v>
          </cell>
          <cell r="B5708">
            <v>509368</v>
          </cell>
        </row>
        <row r="5709">
          <cell r="A5709" t="str">
            <v>红乾戒69级</v>
          </cell>
          <cell r="B5709">
            <v>509369</v>
          </cell>
        </row>
        <row r="5710">
          <cell r="A5710" t="str">
            <v>红乾戒70级</v>
          </cell>
          <cell r="B5710">
            <v>509370</v>
          </cell>
        </row>
        <row r="5711">
          <cell r="A5711" t="str">
            <v>红乾戒71级</v>
          </cell>
          <cell r="B5711">
            <v>509371</v>
          </cell>
        </row>
        <row r="5712">
          <cell r="A5712" t="str">
            <v>红乾戒72级</v>
          </cell>
          <cell r="B5712">
            <v>509372</v>
          </cell>
        </row>
        <row r="5713">
          <cell r="A5713" t="str">
            <v>红乾戒73级</v>
          </cell>
          <cell r="B5713">
            <v>509373</v>
          </cell>
        </row>
        <row r="5714">
          <cell r="A5714" t="str">
            <v>红乾戒74级</v>
          </cell>
          <cell r="B5714">
            <v>509374</v>
          </cell>
        </row>
        <row r="5715">
          <cell r="A5715" t="str">
            <v>红乾戒75级</v>
          </cell>
          <cell r="B5715">
            <v>509375</v>
          </cell>
        </row>
        <row r="5716">
          <cell r="A5716" t="str">
            <v>红乾戒76级</v>
          </cell>
          <cell r="B5716">
            <v>509376</v>
          </cell>
        </row>
        <row r="5717">
          <cell r="A5717" t="str">
            <v>红乾戒77级</v>
          </cell>
          <cell r="B5717">
            <v>509377</v>
          </cell>
        </row>
        <row r="5718">
          <cell r="A5718" t="str">
            <v>红乾戒78级</v>
          </cell>
          <cell r="B5718">
            <v>509378</v>
          </cell>
        </row>
        <row r="5719">
          <cell r="A5719" t="str">
            <v>红乾戒79级</v>
          </cell>
          <cell r="B5719">
            <v>509379</v>
          </cell>
        </row>
        <row r="5720">
          <cell r="A5720" t="str">
            <v>红乾戒80级</v>
          </cell>
          <cell r="B5720">
            <v>509380</v>
          </cell>
        </row>
        <row r="5721">
          <cell r="A5721" t="str">
            <v>红龙带1级</v>
          </cell>
          <cell r="B5721">
            <v>510301</v>
          </cell>
        </row>
        <row r="5722">
          <cell r="A5722" t="str">
            <v>红龙带2级</v>
          </cell>
          <cell r="B5722">
            <v>510302</v>
          </cell>
        </row>
        <row r="5723">
          <cell r="A5723" t="str">
            <v>红龙带3级</v>
          </cell>
          <cell r="B5723">
            <v>510303</v>
          </cell>
        </row>
        <row r="5724">
          <cell r="A5724" t="str">
            <v>红龙带4级</v>
          </cell>
          <cell r="B5724">
            <v>510304</v>
          </cell>
        </row>
        <row r="5725">
          <cell r="A5725" t="str">
            <v>红龙带5级</v>
          </cell>
          <cell r="B5725">
            <v>510305</v>
          </cell>
        </row>
        <row r="5726">
          <cell r="A5726" t="str">
            <v>红龙带6级</v>
          </cell>
          <cell r="B5726">
            <v>510306</v>
          </cell>
        </row>
        <row r="5727">
          <cell r="A5727" t="str">
            <v>红龙带7级</v>
          </cell>
          <cell r="B5727">
            <v>510307</v>
          </cell>
        </row>
        <row r="5728">
          <cell r="A5728" t="str">
            <v>红龙带8级</v>
          </cell>
          <cell r="B5728">
            <v>510308</v>
          </cell>
        </row>
        <row r="5729">
          <cell r="A5729" t="str">
            <v>红龙带9级</v>
          </cell>
          <cell r="B5729">
            <v>510309</v>
          </cell>
        </row>
        <row r="5730">
          <cell r="A5730" t="str">
            <v>红龙带10级</v>
          </cell>
          <cell r="B5730">
            <v>510310</v>
          </cell>
        </row>
        <row r="5731">
          <cell r="A5731" t="str">
            <v>红龙带11级</v>
          </cell>
          <cell r="B5731">
            <v>510311</v>
          </cell>
        </row>
        <row r="5732">
          <cell r="A5732" t="str">
            <v>红龙带12级</v>
          </cell>
          <cell r="B5732">
            <v>510312</v>
          </cell>
        </row>
        <row r="5733">
          <cell r="A5733" t="str">
            <v>红龙带13级</v>
          </cell>
          <cell r="B5733">
            <v>510313</v>
          </cell>
        </row>
        <row r="5734">
          <cell r="A5734" t="str">
            <v>红龙带14级</v>
          </cell>
          <cell r="B5734">
            <v>510314</v>
          </cell>
        </row>
        <row r="5735">
          <cell r="A5735" t="str">
            <v>红龙带15级</v>
          </cell>
          <cell r="B5735">
            <v>510315</v>
          </cell>
        </row>
        <row r="5736">
          <cell r="A5736" t="str">
            <v>红龙带16级</v>
          </cell>
          <cell r="B5736">
            <v>510316</v>
          </cell>
        </row>
        <row r="5737">
          <cell r="A5737" t="str">
            <v>红龙带17级</v>
          </cell>
          <cell r="B5737">
            <v>510317</v>
          </cell>
        </row>
        <row r="5738">
          <cell r="A5738" t="str">
            <v>红龙带18级</v>
          </cell>
          <cell r="B5738">
            <v>510318</v>
          </cell>
        </row>
        <row r="5739">
          <cell r="A5739" t="str">
            <v>红龙带19级</v>
          </cell>
          <cell r="B5739">
            <v>510319</v>
          </cell>
        </row>
        <row r="5740">
          <cell r="A5740" t="str">
            <v>红龙带20级</v>
          </cell>
          <cell r="B5740">
            <v>510320</v>
          </cell>
        </row>
        <row r="5741">
          <cell r="A5741" t="str">
            <v>红龙带21级</v>
          </cell>
          <cell r="B5741">
            <v>510321</v>
          </cell>
        </row>
        <row r="5742">
          <cell r="A5742" t="str">
            <v>红龙带22级</v>
          </cell>
          <cell r="B5742">
            <v>510322</v>
          </cell>
        </row>
        <row r="5743">
          <cell r="A5743" t="str">
            <v>红龙带23级</v>
          </cell>
          <cell r="B5743">
            <v>510323</v>
          </cell>
        </row>
        <row r="5744">
          <cell r="A5744" t="str">
            <v>红龙带24级</v>
          </cell>
          <cell r="B5744">
            <v>510324</v>
          </cell>
        </row>
        <row r="5745">
          <cell r="A5745" t="str">
            <v>红龙带25级</v>
          </cell>
          <cell r="B5745">
            <v>510325</v>
          </cell>
        </row>
        <row r="5746">
          <cell r="A5746" t="str">
            <v>红龙带26级</v>
          </cell>
          <cell r="B5746">
            <v>510326</v>
          </cell>
        </row>
        <row r="5747">
          <cell r="A5747" t="str">
            <v>红龙带27级</v>
          </cell>
          <cell r="B5747">
            <v>510327</v>
          </cell>
        </row>
        <row r="5748">
          <cell r="A5748" t="str">
            <v>红龙带28级</v>
          </cell>
          <cell r="B5748">
            <v>510328</v>
          </cell>
        </row>
        <row r="5749">
          <cell r="A5749" t="str">
            <v>红龙带29级</v>
          </cell>
          <cell r="B5749">
            <v>510329</v>
          </cell>
        </row>
        <row r="5750">
          <cell r="A5750" t="str">
            <v>红龙带30级</v>
          </cell>
          <cell r="B5750">
            <v>510330</v>
          </cell>
        </row>
        <row r="5751">
          <cell r="A5751" t="str">
            <v>红龙带31级</v>
          </cell>
          <cell r="B5751">
            <v>510331</v>
          </cell>
        </row>
        <row r="5752">
          <cell r="A5752" t="str">
            <v>红龙带32级</v>
          </cell>
          <cell r="B5752">
            <v>510332</v>
          </cell>
        </row>
        <row r="5753">
          <cell r="A5753" t="str">
            <v>红龙带33级</v>
          </cell>
          <cell r="B5753">
            <v>510333</v>
          </cell>
        </row>
        <row r="5754">
          <cell r="A5754" t="str">
            <v>红龙带34级</v>
          </cell>
          <cell r="B5754">
            <v>510334</v>
          </cell>
        </row>
        <row r="5755">
          <cell r="A5755" t="str">
            <v>红龙带35级</v>
          </cell>
          <cell r="B5755">
            <v>510335</v>
          </cell>
        </row>
        <row r="5756">
          <cell r="A5756" t="str">
            <v>红龙带36级</v>
          </cell>
          <cell r="B5756">
            <v>510336</v>
          </cell>
        </row>
        <row r="5757">
          <cell r="A5757" t="str">
            <v>红龙带37级</v>
          </cell>
          <cell r="B5757">
            <v>510337</v>
          </cell>
        </row>
        <row r="5758">
          <cell r="A5758" t="str">
            <v>红龙带38级</v>
          </cell>
          <cell r="B5758">
            <v>510338</v>
          </cell>
        </row>
        <row r="5759">
          <cell r="A5759" t="str">
            <v>红龙带39级</v>
          </cell>
          <cell r="B5759">
            <v>510339</v>
          </cell>
        </row>
        <row r="5760">
          <cell r="A5760" t="str">
            <v>红龙带40级</v>
          </cell>
          <cell r="B5760">
            <v>510340</v>
          </cell>
        </row>
        <row r="5761">
          <cell r="A5761" t="str">
            <v>红龙带41级</v>
          </cell>
          <cell r="B5761">
            <v>510341</v>
          </cell>
        </row>
        <row r="5762">
          <cell r="A5762" t="str">
            <v>红龙带42级</v>
          </cell>
          <cell r="B5762">
            <v>510342</v>
          </cell>
        </row>
        <row r="5763">
          <cell r="A5763" t="str">
            <v>红龙带43级</v>
          </cell>
          <cell r="B5763">
            <v>510343</v>
          </cell>
        </row>
        <row r="5764">
          <cell r="A5764" t="str">
            <v>红龙带44级</v>
          </cell>
          <cell r="B5764">
            <v>510344</v>
          </cell>
        </row>
        <row r="5765">
          <cell r="A5765" t="str">
            <v>红龙带45级</v>
          </cell>
          <cell r="B5765">
            <v>510345</v>
          </cell>
        </row>
        <row r="5766">
          <cell r="A5766" t="str">
            <v>红龙带46级</v>
          </cell>
          <cell r="B5766">
            <v>510346</v>
          </cell>
        </row>
        <row r="5767">
          <cell r="A5767" t="str">
            <v>红龙带47级</v>
          </cell>
          <cell r="B5767">
            <v>510347</v>
          </cell>
        </row>
        <row r="5768">
          <cell r="A5768" t="str">
            <v>红龙带48级</v>
          </cell>
          <cell r="B5768">
            <v>510348</v>
          </cell>
        </row>
        <row r="5769">
          <cell r="A5769" t="str">
            <v>红龙带49级</v>
          </cell>
          <cell r="B5769">
            <v>510349</v>
          </cell>
        </row>
        <row r="5770">
          <cell r="A5770" t="str">
            <v>红龙带50级</v>
          </cell>
          <cell r="B5770">
            <v>510350</v>
          </cell>
        </row>
        <row r="5771">
          <cell r="A5771" t="str">
            <v>红龙带51级</v>
          </cell>
          <cell r="B5771">
            <v>510351</v>
          </cell>
        </row>
        <row r="5772">
          <cell r="A5772" t="str">
            <v>红龙带52级</v>
          </cell>
          <cell r="B5772">
            <v>510352</v>
          </cell>
        </row>
        <row r="5773">
          <cell r="A5773" t="str">
            <v>红龙带53级</v>
          </cell>
          <cell r="B5773">
            <v>510353</v>
          </cell>
        </row>
        <row r="5774">
          <cell r="A5774" t="str">
            <v>红龙带54级</v>
          </cell>
          <cell r="B5774">
            <v>510354</v>
          </cell>
        </row>
        <row r="5775">
          <cell r="A5775" t="str">
            <v>红龙带55级</v>
          </cell>
          <cell r="B5775">
            <v>510355</v>
          </cell>
        </row>
        <row r="5776">
          <cell r="A5776" t="str">
            <v>红龙带56级</v>
          </cell>
          <cell r="B5776">
            <v>510356</v>
          </cell>
        </row>
        <row r="5777">
          <cell r="A5777" t="str">
            <v>红龙带57级</v>
          </cell>
          <cell r="B5777">
            <v>510357</v>
          </cell>
        </row>
        <row r="5778">
          <cell r="A5778" t="str">
            <v>红龙带58级</v>
          </cell>
          <cell r="B5778">
            <v>510358</v>
          </cell>
        </row>
        <row r="5779">
          <cell r="A5779" t="str">
            <v>红龙带59级</v>
          </cell>
          <cell r="B5779">
            <v>510359</v>
          </cell>
        </row>
        <row r="5780">
          <cell r="A5780" t="str">
            <v>红龙带60级</v>
          </cell>
          <cell r="B5780">
            <v>510360</v>
          </cell>
        </row>
        <row r="5781">
          <cell r="A5781" t="str">
            <v>红龙带61级</v>
          </cell>
          <cell r="B5781">
            <v>510361</v>
          </cell>
        </row>
        <row r="5782">
          <cell r="A5782" t="str">
            <v>红龙带62级</v>
          </cell>
          <cell r="B5782">
            <v>510362</v>
          </cell>
        </row>
        <row r="5783">
          <cell r="A5783" t="str">
            <v>红龙带63级</v>
          </cell>
          <cell r="B5783">
            <v>510363</v>
          </cell>
        </row>
        <row r="5784">
          <cell r="A5784" t="str">
            <v>红龙带64级</v>
          </cell>
          <cell r="B5784">
            <v>510364</v>
          </cell>
        </row>
        <row r="5785">
          <cell r="A5785" t="str">
            <v>红龙带65级</v>
          </cell>
          <cell r="B5785">
            <v>510365</v>
          </cell>
        </row>
        <row r="5786">
          <cell r="A5786" t="str">
            <v>红龙带66级</v>
          </cell>
          <cell r="B5786">
            <v>510366</v>
          </cell>
        </row>
        <row r="5787">
          <cell r="A5787" t="str">
            <v>红龙带67级</v>
          </cell>
          <cell r="B5787">
            <v>510367</v>
          </cell>
        </row>
        <row r="5788">
          <cell r="A5788" t="str">
            <v>红龙带68级</v>
          </cell>
          <cell r="B5788">
            <v>510368</v>
          </cell>
        </row>
        <row r="5789">
          <cell r="A5789" t="str">
            <v>红龙带69级</v>
          </cell>
          <cell r="B5789">
            <v>510369</v>
          </cell>
        </row>
        <row r="5790">
          <cell r="A5790" t="str">
            <v>红龙带70级</v>
          </cell>
          <cell r="B5790">
            <v>510370</v>
          </cell>
        </row>
        <row r="5791">
          <cell r="A5791" t="str">
            <v>红龙带71级</v>
          </cell>
          <cell r="B5791">
            <v>510371</v>
          </cell>
        </row>
        <row r="5792">
          <cell r="A5792" t="str">
            <v>红龙带72级</v>
          </cell>
          <cell r="B5792">
            <v>510372</v>
          </cell>
        </row>
        <row r="5793">
          <cell r="A5793" t="str">
            <v>红龙带73级</v>
          </cell>
          <cell r="B5793">
            <v>510373</v>
          </cell>
        </row>
        <row r="5794">
          <cell r="A5794" t="str">
            <v>红龙带74级</v>
          </cell>
          <cell r="B5794">
            <v>510374</v>
          </cell>
        </row>
        <row r="5795">
          <cell r="A5795" t="str">
            <v>红龙带75级</v>
          </cell>
          <cell r="B5795">
            <v>510375</v>
          </cell>
        </row>
        <row r="5796">
          <cell r="A5796" t="str">
            <v>红龙带76级</v>
          </cell>
          <cell r="B5796">
            <v>510376</v>
          </cell>
        </row>
        <row r="5797">
          <cell r="A5797" t="str">
            <v>红龙带77级</v>
          </cell>
          <cell r="B5797">
            <v>510377</v>
          </cell>
        </row>
        <row r="5798">
          <cell r="A5798" t="str">
            <v>红龙带78级</v>
          </cell>
          <cell r="B5798">
            <v>510378</v>
          </cell>
        </row>
        <row r="5799">
          <cell r="A5799" t="str">
            <v>红龙带79级</v>
          </cell>
          <cell r="B5799">
            <v>510379</v>
          </cell>
        </row>
        <row r="5800">
          <cell r="A5800" t="str">
            <v>红龙带80级</v>
          </cell>
          <cell r="B5800">
            <v>510380</v>
          </cell>
        </row>
        <row r="5801">
          <cell r="A5801" t="str">
            <v>红逐日1级</v>
          </cell>
          <cell r="B5801">
            <v>511301</v>
          </cell>
        </row>
        <row r="5802">
          <cell r="A5802" t="str">
            <v>红逐日2级</v>
          </cell>
          <cell r="B5802">
            <v>511302</v>
          </cell>
        </row>
        <row r="5803">
          <cell r="A5803" t="str">
            <v>红逐日3级</v>
          </cell>
          <cell r="B5803">
            <v>511303</v>
          </cell>
        </row>
        <row r="5804">
          <cell r="A5804" t="str">
            <v>红逐日4级</v>
          </cell>
          <cell r="B5804">
            <v>511304</v>
          </cell>
        </row>
        <row r="5805">
          <cell r="A5805" t="str">
            <v>红逐日5级</v>
          </cell>
          <cell r="B5805">
            <v>511305</v>
          </cell>
        </row>
        <row r="5806">
          <cell r="A5806" t="str">
            <v>红逐日6级</v>
          </cell>
          <cell r="B5806">
            <v>511306</v>
          </cell>
        </row>
        <row r="5807">
          <cell r="A5807" t="str">
            <v>红逐日7级</v>
          </cell>
          <cell r="B5807">
            <v>511307</v>
          </cell>
        </row>
        <row r="5808">
          <cell r="A5808" t="str">
            <v>红逐日8级</v>
          </cell>
          <cell r="B5808">
            <v>511308</v>
          </cell>
        </row>
        <row r="5809">
          <cell r="A5809" t="str">
            <v>红逐日9级</v>
          </cell>
          <cell r="B5809">
            <v>511309</v>
          </cell>
        </row>
        <row r="5810">
          <cell r="A5810" t="str">
            <v>红逐日10级</v>
          </cell>
          <cell r="B5810">
            <v>511310</v>
          </cell>
        </row>
        <row r="5811">
          <cell r="A5811" t="str">
            <v>红逐日11级</v>
          </cell>
          <cell r="B5811">
            <v>511311</v>
          </cell>
        </row>
        <row r="5812">
          <cell r="A5812" t="str">
            <v>红逐日12级</v>
          </cell>
          <cell r="B5812">
            <v>511312</v>
          </cell>
        </row>
        <row r="5813">
          <cell r="A5813" t="str">
            <v>红逐日13级</v>
          </cell>
          <cell r="B5813">
            <v>511313</v>
          </cell>
        </row>
        <row r="5814">
          <cell r="A5814" t="str">
            <v>红逐日14级</v>
          </cell>
          <cell r="B5814">
            <v>511314</v>
          </cell>
        </row>
        <row r="5815">
          <cell r="A5815" t="str">
            <v>红逐日15级</v>
          </cell>
          <cell r="B5815">
            <v>511315</v>
          </cell>
        </row>
        <row r="5816">
          <cell r="A5816" t="str">
            <v>红逐日16级</v>
          </cell>
          <cell r="B5816">
            <v>511316</v>
          </cell>
        </row>
        <row r="5817">
          <cell r="A5817" t="str">
            <v>红逐日17级</v>
          </cell>
          <cell r="B5817">
            <v>511317</v>
          </cell>
        </row>
        <row r="5818">
          <cell r="A5818" t="str">
            <v>红逐日18级</v>
          </cell>
          <cell r="B5818">
            <v>511318</v>
          </cell>
        </row>
        <row r="5819">
          <cell r="A5819" t="str">
            <v>红逐日19级</v>
          </cell>
          <cell r="B5819">
            <v>511319</v>
          </cell>
        </row>
        <row r="5820">
          <cell r="A5820" t="str">
            <v>红逐日20级</v>
          </cell>
          <cell r="B5820">
            <v>511320</v>
          </cell>
        </row>
        <row r="5821">
          <cell r="A5821" t="str">
            <v>红逐日21级</v>
          </cell>
          <cell r="B5821">
            <v>511321</v>
          </cell>
        </row>
        <row r="5822">
          <cell r="A5822" t="str">
            <v>红逐日22级</v>
          </cell>
          <cell r="B5822">
            <v>511322</v>
          </cell>
        </row>
        <row r="5823">
          <cell r="A5823" t="str">
            <v>红逐日23级</v>
          </cell>
          <cell r="B5823">
            <v>511323</v>
          </cell>
        </row>
        <row r="5824">
          <cell r="A5824" t="str">
            <v>红逐日24级</v>
          </cell>
          <cell r="B5824">
            <v>511324</v>
          </cell>
        </row>
        <row r="5825">
          <cell r="A5825" t="str">
            <v>红逐日25级</v>
          </cell>
          <cell r="B5825">
            <v>511325</v>
          </cell>
        </row>
        <row r="5826">
          <cell r="A5826" t="str">
            <v>红逐日26级</v>
          </cell>
          <cell r="B5826">
            <v>511326</v>
          </cell>
        </row>
        <row r="5827">
          <cell r="A5827" t="str">
            <v>红逐日27级</v>
          </cell>
          <cell r="B5827">
            <v>511327</v>
          </cell>
        </row>
        <row r="5828">
          <cell r="A5828" t="str">
            <v>红逐日28级</v>
          </cell>
          <cell r="B5828">
            <v>511328</v>
          </cell>
        </row>
        <row r="5829">
          <cell r="A5829" t="str">
            <v>红逐日29级</v>
          </cell>
          <cell r="B5829">
            <v>511329</v>
          </cell>
        </row>
        <row r="5830">
          <cell r="A5830" t="str">
            <v>红逐日30级</v>
          </cell>
          <cell r="B5830">
            <v>511330</v>
          </cell>
        </row>
        <row r="5831">
          <cell r="A5831" t="str">
            <v>红逐日31级</v>
          </cell>
          <cell r="B5831">
            <v>511331</v>
          </cell>
        </row>
        <row r="5832">
          <cell r="A5832" t="str">
            <v>红逐日32级</v>
          </cell>
          <cell r="B5832">
            <v>511332</v>
          </cell>
        </row>
        <row r="5833">
          <cell r="A5833" t="str">
            <v>红逐日33级</v>
          </cell>
          <cell r="B5833">
            <v>511333</v>
          </cell>
        </row>
        <row r="5834">
          <cell r="A5834" t="str">
            <v>红逐日34级</v>
          </cell>
          <cell r="B5834">
            <v>511334</v>
          </cell>
        </row>
        <row r="5835">
          <cell r="A5835" t="str">
            <v>红逐日35级</v>
          </cell>
          <cell r="B5835">
            <v>511335</v>
          </cell>
        </row>
        <row r="5836">
          <cell r="A5836" t="str">
            <v>红逐日36级</v>
          </cell>
          <cell r="B5836">
            <v>511336</v>
          </cell>
        </row>
        <row r="5837">
          <cell r="A5837" t="str">
            <v>红逐日37级</v>
          </cell>
          <cell r="B5837">
            <v>511337</v>
          </cell>
        </row>
        <row r="5838">
          <cell r="A5838" t="str">
            <v>红逐日38级</v>
          </cell>
          <cell r="B5838">
            <v>511338</v>
          </cell>
        </row>
        <row r="5839">
          <cell r="A5839" t="str">
            <v>红逐日39级</v>
          </cell>
          <cell r="B5839">
            <v>511339</v>
          </cell>
        </row>
        <row r="5840">
          <cell r="A5840" t="str">
            <v>红逐日40级</v>
          </cell>
          <cell r="B5840">
            <v>511340</v>
          </cell>
        </row>
        <row r="5841">
          <cell r="A5841" t="str">
            <v>红逐日41级</v>
          </cell>
          <cell r="B5841">
            <v>511341</v>
          </cell>
        </row>
        <row r="5842">
          <cell r="A5842" t="str">
            <v>红逐日42级</v>
          </cell>
          <cell r="B5842">
            <v>511342</v>
          </cell>
        </row>
        <row r="5843">
          <cell r="A5843" t="str">
            <v>红逐日43级</v>
          </cell>
          <cell r="B5843">
            <v>511343</v>
          </cell>
        </row>
        <row r="5844">
          <cell r="A5844" t="str">
            <v>红逐日44级</v>
          </cell>
          <cell r="B5844">
            <v>511344</v>
          </cell>
        </row>
        <row r="5845">
          <cell r="A5845" t="str">
            <v>红逐日45级</v>
          </cell>
          <cell r="B5845">
            <v>511345</v>
          </cell>
        </row>
        <row r="5846">
          <cell r="A5846" t="str">
            <v>红逐日46级</v>
          </cell>
          <cell r="B5846">
            <v>511346</v>
          </cell>
        </row>
        <row r="5847">
          <cell r="A5847" t="str">
            <v>红逐日47级</v>
          </cell>
          <cell r="B5847">
            <v>511347</v>
          </cell>
        </row>
        <row r="5848">
          <cell r="A5848" t="str">
            <v>红逐日48级</v>
          </cell>
          <cell r="B5848">
            <v>511348</v>
          </cell>
        </row>
        <row r="5849">
          <cell r="A5849" t="str">
            <v>红逐日49级</v>
          </cell>
          <cell r="B5849">
            <v>511349</v>
          </cell>
        </row>
        <row r="5850">
          <cell r="A5850" t="str">
            <v>红逐日50级</v>
          </cell>
          <cell r="B5850">
            <v>511350</v>
          </cell>
        </row>
        <row r="5851">
          <cell r="A5851" t="str">
            <v>红逐日51级</v>
          </cell>
          <cell r="B5851">
            <v>511351</v>
          </cell>
        </row>
        <row r="5852">
          <cell r="A5852" t="str">
            <v>红逐日52级</v>
          </cell>
          <cell r="B5852">
            <v>511352</v>
          </cell>
        </row>
        <row r="5853">
          <cell r="A5853" t="str">
            <v>红逐日53级</v>
          </cell>
          <cell r="B5853">
            <v>511353</v>
          </cell>
        </row>
        <row r="5854">
          <cell r="A5854" t="str">
            <v>红逐日54级</v>
          </cell>
          <cell r="B5854">
            <v>511354</v>
          </cell>
        </row>
        <row r="5855">
          <cell r="A5855" t="str">
            <v>红逐日55级</v>
          </cell>
          <cell r="B5855">
            <v>511355</v>
          </cell>
        </row>
        <row r="5856">
          <cell r="A5856" t="str">
            <v>红逐日56级</v>
          </cell>
          <cell r="B5856">
            <v>511356</v>
          </cell>
        </row>
        <row r="5857">
          <cell r="A5857" t="str">
            <v>红逐日57级</v>
          </cell>
          <cell r="B5857">
            <v>511357</v>
          </cell>
        </row>
        <row r="5858">
          <cell r="A5858" t="str">
            <v>红逐日58级</v>
          </cell>
          <cell r="B5858">
            <v>511358</v>
          </cell>
        </row>
        <row r="5859">
          <cell r="A5859" t="str">
            <v>红逐日59级</v>
          </cell>
          <cell r="B5859">
            <v>511359</v>
          </cell>
        </row>
        <row r="5860">
          <cell r="A5860" t="str">
            <v>红逐日60级</v>
          </cell>
          <cell r="B5860">
            <v>511360</v>
          </cell>
        </row>
        <row r="5861">
          <cell r="A5861" t="str">
            <v>红逐日61级</v>
          </cell>
          <cell r="B5861">
            <v>511361</v>
          </cell>
        </row>
        <row r="5862">
          <cell r="A5862" t="str">
            <v>红逐日62级</v>
          </cell>
          <cell r="B5862">
            <v>511362</v>
          </cell>
        </row>
        <row r="5863">
          <cell r="A5863" t="str">
            <v>红逐日63级</v>
          </cell>
          <cell r="B5863">
            <v>511363</v>
          </cell>
        </row>
        <row r="5864">
          <cell r="A5864" t="str">
            <v>红逐日64级</v>
          </cell>
          <cell r="B5864">
            <v>511364</v>
          </cell>
        </row>
        <row r="5865">
          <cell r="A5865" t="str">
            <v>红逐日65级</v>
          </cell>
          <cell r="B5865">
            <v>511365</v>
          </cell>
        </row>
        <row r="5866">
          <cell r="A5866" t="str">
            <v>红逐日66级</v>
          </cell>
          <cell r="B5866">
            <v>511366</v>
          </cell>
        </row>
        <row r="5867">
          <cell r="A5867" t="str">
            <v>红逐日67级</v>
          </cell>
          <cell r="B5867">
            <v>511367</v>
          </cell>
        </row>
        <row r="5868">
          <cell r="A5868" t="str">
            <v>红逐日68级</v>
          </cell>
          <cell r="B5868">
            <v>511368</v>
          </cell>
        </row>
        <row r="5869">
          <cell r="A5869" t="str">
            <v>红逐日69级</v>
          </cell>
          <cell r="B5869">
            <v>511369</v>
          </cell>
        </row>
        <row r="5870">
          <cell r="A5870" t="str">
            <v>红逐日70级</v>
          </cell>
          <cell r="B5870">
            <v>511370</v>
          </cell>
        </row>
        <row r="5871">
          <cell r="A5871" t="str">
            <v>红逐日71级</v>
          </cell>
          <cell r="B5871">
            <v>511371</v>
          </cell>
        </row>
        <row r="5872">
          <cell r="A5872" t="str">
            <v>红逐日72级</v>
          </cell>
          <cell r="B5872">
            <v>511372</v>
          </cell>
        </row>
        <row r="5873">
          <cell r="A5873" t="str">
            <v>红逐日73级</v>
          </cell>
          <cell r="B5873">
            <v>511373</v>
          </cell>
        </row>
        <row r="5874">
          <cell r="A5874" t="str">
            <v>红逐日74级</v>
          </cell>
          <cell r="B5874">
            <v>511374</v>
          </cell>
        </row>
        <row r="5875">
          <cell r="A5875" t="str">
            <v>红逐日75级</v>
          </cell>
          <cell r="B5875">
            <v>511375</v>
          </cell>
        </row>
        <row r="5876">
          <cell r="A5876" t="str">
            <v>红逐日76级</v>
          </cell>
          <cell r="B5876">
            <v>511376</v>
          </cell>
        </row>
        <row r="5877">
          <cell r="A5877" t="str">
            <v>红逐日77级</v>
          </cell>
          <cell r="B5877">
            <v>511377</v>
          </cell>
        </row>
        <row r="5878">
          <cell r="A5878" t="str">
            <v>红逐日78级</v>
          </cell>
          <cell r="B5878">
            <v>511378</v>
          </cell>
        </row>
        <row r="5879">
          <cell r="A5879" t="str">
            <v>红逐日79级</v>
          </cell>
          <cell r="B5879">
            <v>511379</v>
          </cell>
        </row>
        <row r="5880">
          <cell r="A5880" t="str">
            <v>红逐日80级</v>
          </cell>
          <cell r="B5880">
            <v>511380</v>
          </cell>
        </row>
        <row r="5881">
          <cell r="A5881" t="str">
            <v>红豁免1级</v>
          </cell>
          <cell r="B5881">
            <v>512301</v>
          </cell>
        </row>
        <row r="5882">
          <cell r="A5882" t="str">
            <v>红豁免2级</v>
          </cell>
          <cell r="B5882">
            <v>512302</v>
          </cell>
        </row>
        <row r="5883">
          <cell r="A5883" t="str">
            <v>红豁免3级</v>
          </cell>
          <cell r="B5883">
            <v>512303</v>
          </cell>
        </row>
        <row r="5884">
          <cell r="A5884" t="str">
            <v>红豁免4级</v>
          </cell>
          <cell r="B5884">
            <v>512304</v>
          </cell>
        </row>
        <row r="5885">
          <cell r="A5885" t="str">
            <v>红豁免5级</v>
          </cell>
          <cell r="B5885">
            <v>512305</v>
          </cell>
        </row>
        <row r="5886">
          <cell r="A5886" t="str">
            <v>红豁免6级</v>
          </cell>
          <cell r="B5886">
            <v>512306</v>
          </cell>
        </row>
        <row r="5887">
          <cell r="A5887" t="str">
            <v>红豁免7级</v>
          </cell>
          <cell r="B5887">
            <v>512307</v>
          </cell>
        </row>
        <row r="5888">
          <cell r="A5888" t="str">
            <v>红豁免8级</v>
          </cell>
          <cell r="B5888">
            <v>512308</v>
          </cell>
        </row>
        <row r="5889">
          <cell r="A5889" t="str">
            <v>红豁免9级</v>
          </cell>
          <cell r="B5889">
            <v>512309</v>
          </cell>
        </row>
        <row r="5890">
          <cell r="A5890" t="str">
            <v>红豁免10级</v>
          </cell>
          <cell r="B5890">
            <v>512310</v>
          </cell>
        </row>
        <row r="5891">
          <cell r="A5891" t="str">
            <v>红豁免11级</v>
          </cell>
          <cell r="B5891">
            <v>512311</v>
          </cell>
        </row>
        <row r="5892">
          <cell r="A5892" t="str">
            <v>红豁免12级</v>
          </cell>
          <cell r="B5892">
            <v>512312</v>
          </cell>
        </row>
        <row r="5893">
          <cell r="A5893" t="str">
            <v>红豁免13级</v>
          </cell>
          <cell r="B5893">
            <v>512313</v>
          </cell>
        </row>
        <row r="5894">
          <cell r="A5894" t="str">
            <v>红豁免14级</v>
          </cell>
          <cell r="B5894">
            <v>512314</v>
          </cell>
        </row>
        <row r="5895">
          <cell r="A5895" t="str">
            <v>红豁免15级</v>
          </cell>
          <cell r="B5895">
            <v>512315</v>
          </cell>
        </row>
        <row r="5896">
          <cell r="A5896" t="str">
            <v>红豁免16级</v>
          </cell>
          <cell r="B5896">
            <v>512316</v>
          </cell>
        </row>
        <row r="5897">
          <cell r="A5897" t="str">
            <v>红豁免17级</v>
          </cell>
          <cell r="B5897">
            <v>512317</v>
          </cell>
        </row>
        <row r="5898">
          <cell r="A5898" t="str">
            <v>红豁免18级</v>
          </cell>
          <cell r="B5898">
            <v>512318</v>
          </cell>
        </row>
        <row r="5899">
          <cell r="A5899" t="str">
            <v>红豁免19级</v>
          </cell>
          <cell r="B5899">
            <v>512319</v>
          </cell>
        </row>
        <row r="5900">
          <cell r="A5900" t="str">
            <v>红豁免20级</v>
          </cell>
          <cell r="B5900">
            <v>512320</v>
          </cell>
        </row>
        <row r="5901">
          <cell r="A5901" t="str">
            <v>红豁免21级</v>
          </cell>
          <cell r="B5901">
            <v>512321</v>
          </cell>
        </row>
        <row r="5902">
          <cell r="A5902" t="str">
            <v>红豁免22级</v>
          </cell>
          <cell r="B5902">
            <v>512322</v>
          </cell>
        </row>
        <row r="5903">
          <cell r="A5903" t="str">
            <v>红豁免23级</v>
          </cell>
          <cell r="B5903">
            <v>512323</v>
          </cell>
        </row>
        <row r="5904">
          <cell r="A5904" t="str">
            <v>红豁免24级</v>
          </cell>
          <cell r="B5904">
            <v>512324</v>
          </cell>
        </row>
        <row r="5905">
          <cell r="A5905" t="str">
            <v>红豁免25级</v>
          </cell>
          <cell r="B5905">
            <v>512325</v>
          </cell>
        </row>
        <row r="5906">
          <cell r="A5906" t="str">
            <v>红豁免26级</v>
          </cell>
          <cell r="B5906">
            <v>512326</v>
          </cell>
        </row>
        <row r="5907">
          <cell r="A5907" t="str">
            <v>红豁免27级</v>
          </cell>
          <cell r="B5907">
            <v>512327</v>
          </cell>
        </row>
        <row r="5908">
          <cell r="A5908" t="str">
            <v>红豁免28级</v>
          </cell>
          <cell r="B5908">
            <v>512328</v>
          </cell>
        </row>
        <row r="5909">
          <cell r="A5909" t="str">
            <v>红豁免29级</v>
          </cell>
          <cell r="B5909">
            <v>512329</v>
          </cell>
        </row>
        <row r="5910">
          <cell r="A5910" t="str">
            <v>红豁免30级</v>
          </cell>
          <cell r="B5910">
            <v>512330</v>
          </cell>
        </row>
        <row r="5911">
          <cell r="A5911" t="str">
            <v>红豁免31级</v>
          </cell>
          <cell r="B5911">
            <v>512331</v>
          </cell>
        </row>
        <row r="5912">
          <cell r="A5912" t="str">
            <v>红豁免32级</v>
          </cell>
          <cell r="B5912">
            <v>512332</v>
          </cell>
        </row>
        <row r="5913">
          <cell r="A5913" t="str">
            <v>红豁免33级</v>
          </cell>
          <cell r="B5913">
            <v>512333</v>
          </cell>
        </row>
        <row r="5914">
          <cell r="A5914" t="str">
            <v>红豁免34级</v>
          </cell>
          <cell r="B5914">
            <v>512334</v>
          </cell>
        </row>
        <row r="5915">
          <cell r="A5915" t="str">
            <v>红豁免35级</v>
          </cell>
          <cell r="B5915">
            <v>512335</v>
          </cell>
        </row>
        <row r="5916">
          <cell r="A5916" t="str">
            <v>红豁免36级</v>
          </cell>
          <cell r="B5916">
            <v>512336</v>
          </cell>
        </row>
        <row r="5917">
          <cell r="A5917" t="str">
            <v>红豁免37级</v>
          </cell>
          <cell r="B5917">
            <v>512337</v>
          </cell>
        </row>
        <row r="5918">
          <cell r="A5918" t="str">
            <v>红豁免38级</v>
          </cell>
          <cell r="B5918">
            <v>512338</v>
          </cell>
        </row>
        <row r="5919">
          <cell r="A5919" t="str">
            <v>红豁免39级</v>
          </cell>
          <cell r="B5919">
            <v>512339</v>
          </cell>
        </row>
        <row r="5920">
          <cell r="A5920" t="str">
            <v>红豁免40级</v>
          </cell>
          <cell r="B5920">
            <v>512340</v>
          </cell>
        </row>
        <row r="5921">
          <cell r="A5921" t="str">
            <v>红豁免41级</v>
          </cell>
          <cell r="B5921">
            <v>512341</v>
          </cell>
        </row>
        <row r="5922">
          <cell r="A5922" t="str">
            <v>红豁免42级</v>
          </cell>
          <cell r="B5922">
            <v>512342</v>
          </cell>
        </row>
        <row r="5923">
          <cell r="A5923" t="str">
            <v>红豁免43级</v>
          </cell>
          <cell r="B5923">
            <v>512343</v>
          </cell>
        </row>
        <row r="5924">
          <cell r="A5924" t="str">
            <v>红豁免44级</v>
          </cell>
          <cell r="B5924">
            <v>512344</v>
          </cell>
        </row>
        <row r="5925">
          <cell r="A5925" t="str">
            <v>红豁免45级</v>
          </cell>
          <cell r="B5925">
            <v>512345</v>
          </cell>
        </row>
        <row r="5926">
          <cell r="A5926" t="str">
            <v>红豁免46级</v>
          </cell>
          <cell r="B5926">
            <v>512346</v>
          </cell>
        </row>
        <row r="5927">
          <cell r="A5927" t="str">
            <v>红豁免47级</v>
          </cell>
          <cell r="B5927">
            <v>512347</v>
          </cell>
        </row>
        <row r="5928">
          <cell r="A5928" t="str">
            <v>红豁免48级</v>
          </cell>
          <cell r="B5928">
            <v>512348</v>
          </cell>
        </row>
        <row r="5929">
          <cell r="A5929" t="str">
            <v>红豁免49级</v>
          </cell>
          <cell r="B5929">
            <v>512349</v>
          </cell>
        </row>
        <row r="5930">
          <cell r="A5930" t="str">
            <v>红豁免50级</v>
          </cell>
          <cell r="B5930">
            <v>512350</v>
          </cell>
        </row>
        <row r="5931">
          <cell r="A5931" t="str">
            <v>红豁免51级</v>
          </cell>
          <cell r="B5931">
            <v>512351</v>
          </cell>
        </row>
        <row r="5932">
          <cell r="A5932" t="str">
            <v>红豁免52级</v>
          </cell>
          <cell r="B5932">
            <v>512352</v>
          </cell>
        </row>
        <row r="5933">
          <cell r="A5933" t="str">
            <v>红豁免53级</v>
          </cell>
          <cell r="B5933">
            <v>512353</v>
          </cell>
        </row>
        <row r="5934">
          <cell r="A5934" t="str">
            <v>红豁免54级</v>
          </cell>
          <cell r="B5934">
            <v>512354</v>
          </cell>
        </row>
        <row r="5935">
          <cell r="A5935" t="str">
            <v>红豁免55级</v>
          </cell>
          <cell r="B5935">
            <v>512355</v>
          </cell>
        </row>
        <row r="5936">
          <cell r="A5936" t="str">
            <v>红豁免56级</v>
          </cell>
          <cell r="B5936">
            <v>512356</v>
          </cell>
        </row>
        <row r="5937">
          <cell r="A5937" t="str">
            <v>红豁免57级</v>
          </cell>
          <cell r="B5937">
            <v>512357</v>
          </cell>
        </row>
        <row r="5938">
          <cell r="A5938" t="str">
            <v>红豁免58级</v>
          </cell>
          <cell r="B5938">
            <v>512358</v>
          </cell>
        </row>
        <row r="5939">
          <cell r="A5939" t="str">
            <v>红豁免59级</v>
          </cell>
          <cell r="B5939">
            <v>512359</v>
          </cell>
        </row>
        <row r="5940">
          <cell r="A5940" t="str">
            <v>红豁免60级</v>
          </cell>
          <cell r="B5940">
            <v>512360</v>
          </cell>
        </row>
        <row r="5941">
          <cell r="A5941" t="str">
            <v>红豁免61级</v>
          </cell>
          <cell r="B5941">
            <v>512361</v>
          </cell>
        </row>
        <row r="5942">
          <cell r="A5942" t="str">
            <v>红豁免62级</v>
          </cell>
          <cell r="B5942">
            <v>512362</v>
          </cell>
        </row>
        <row r="5943">
          <cell r="A5943" t="str">
            <v>红豁免63级</v>
          </cell>
          <cell r="B5943">
            <v>512363</v>
          </cell>
        </row>
        <row r="5944">
          <cell r="A5944" t="str">
            <v>红豁免64级</v>
          </cell>
          <cell r="B5944">
            <v>512364</v>
          </cell>
        </row>
        <row r="5945">
          <cell r="A5945" t="str">
            <v>红豁免65级</v>
          </cell>
          <cell r="B5945">
            <v>512365</v>
          </cell>
        </row>
        <row r="5946">
          <cell r="A5946" t="str">
            <v>红豁免66级</v>
          </cell>
          <cell r="B5946">
            <v>512366</v>
          </cell>
        </row>
        <row r="5947">
          <cell r="A5947" t="str">
            <v>红豁免67级</v>
          </cell>
          <cell r="B5947">
            <v>512367</v>
          </cell>
        </row>
        <row r="5948">
          <cell r="A5948" t="str">
            <v>红豁免68级</v>
          </cell>
          <cell r="B5948">
            <v>512368</v>
          </cell>
        </row>
        <row r="5949">
          <cell r="A5949" t="str">
            <v>红豁免69级</v>
          </cell>
          <cell r="B5949">
            <v>512369</v>
          </cell>
        </row>
        <row r="5950">
          <cell r="A5950" t="str">
            <v>红豁免70级</v>
          </cell>
          <cell r="B5950">
            <v>512370</v>
          </cell>
        </row>
        <row r="5951">
          <cell r="A5951" t="str">
            <v>红豁免71级</v>
          </cell>
          <cell r="B5951">
            <v>512371</v>
          </cell>
        </row>
        <row r="5952">
          <cell r="A5952" t="str">
            <v>红豁免72级</v>
          </cell>
          <cell r="B5952">
            <v>512372</v>
          </cell>
        </row>
        <row r="5953">
          <cell r="A5953" t="str">
            <v>红豁免73级</v>
          </cell>
          <cell r="B5953">
            <v>512373</v>
          </cell>
        </row>
        <row r="5954">
          <cell r="A5954" t="str">
            <v>红豁免74级</v>
          </cell>
          <cell r="B5954">
            <v>512374</v>
          </cell>
        </row>
        <row r="5955">
          <cell r="A5955" t="str">
            <v>红豁免75级</v>
          </cell>
          <cell r="B5955">
            <v>512375</v>
          </cell>
        </row>
        <row r="5956">
          <cell r="A5956" t="str">
            <v>红豁免76级</v>
          </cell>
          <cell r="B5956">
            <v>512376</v>
          </cell>
        </row>
        <row r="5957">
          <cell r="A5957" t="str">
            <v>红豁免77级</v>
          </cell>
          <cell r="B5957">
            <v>512377</v>
          </cell>
        </row>
        <row r="5958">
          <cell r="A5958" t="str">
            <v>红豁免78级</v>
          </cell>
          <cell r="B5958">
            <v>512378</v>
          </cell>
        </row>
        <row r="5959">
          <cell r="A5959" t="str">
            <v>红豁免79级</v>
          </cell>
          <cell r="B5959">
            <v>512379</v>
          </cell>
        </row>
        <row r="5960">
          <cell r="A5960" t="str">
            <v>红豁免80级</v>
          </cell>
          <cell r="B5960">
            <v>512380</v>
          </cell>
        </row>
        <row r="5961">
          <cell r="A5961" t="str">
            <v>红杀戮1级</v>
          </cell>
          <cell r="B5961">
            <v>513301</v>
          </cell>
        </row>
        <row r="5962">
          <cell r="A5962" t="str">
            <v>红杀戮2级</v>
          </cell>
          <cell r="B5962">
            <v>513302</v>
          </cell>
        </row>
        <row r="5963">
          <cell r="A5963" t="str">
            <v>红杀戮3级</v>
          </cell>
          <cell r="B5963">
            <v>513303</v>
          </cell>
        </row>
        <row r="5964">
          <cell r="A5964" t="str">
            <v>红杀戮4级</v>
          </cell>
          <cell r="B5964">
            <v>513304</v>
          </cell>
        </row>
        <row r="5965">
          <cell r="A5965" t="str">
            <v>红杀戮5级</v>
          </cell>
          <cell r="B5965">
            <v>513305</v>
          </cell>
        </row>
        <row r="5966">
          <cell r="A5966" t="str">
            <v>红杀戮6级</v>
          </cell>
          <cell r="B5966">
            <v>513306</v>
          </cell>
        </row>
        <row r="5967">
          <cell r="A5967" t="str">
            <v>红杀戮7级</v>
          </cell>
          <cell r="B5967">
            <v>513307</v>
          </cell>
        </row>
        <row r="5968">
          <cell r="A5968" t="str">
            <v>红杀戮8级</v>
          </cell>
          <cell r="B5968">
            <v>513308</v>
          </cell>
        </row>
        <row r="5969">
          <cell r="A5969" t="str">
            <v>红杀戮9级</v>
          </cell>
          <cell r="B5969">
            <v>513309</v>
          </cell>
        </row>
        <row r="5970">
          <cell r="A5970" t="str">
            <v>红杀戮10级</v>
          </cell>
          <cell r="B5970">
            <v>513310</v>
          </cell>
        </row>
        <row r="5971">
          <cell r="A5971" t="str">
            <v>红杀戮11级</v>
          </cell>
          <cell r="B5971">
            <v>513311</v>
          </cell>
        </row>
        <row r="5972">
          <cell r="A5972" t="str">
            <v>红杀戮12级</v>
          </cell>
          <cell r="B5972">
            <v>513312</v>
          </cell>
        </row>
        <row r="5973">
          <cell r="A5973" t="str">
            <v>红杀戮13级</v>
          </cell>
          <cell r="B5973">
            <v>513313</v>
          </cell>
        </row>
        <row r="5974">
          <cell r="A5974" t="str">
            <v>红杀戮14级</v>
          </cell>
          <cell r="B5974">
            <v>513314</v>
          </cell>
        </row>
        <row r="5975">
          <cell r="A5975" t="str">
            <v>红杀戮15级</v>
          </cell>
          <cell r="B5975">
            <v>513315</v>
          </cell>
        </row>
        <row r="5976">
          <cell r="A5976" t="str">
            <v>红杀戮16级</v>
          </cell>
          <cell r="B5976">
            <v>513316</v>
          </cell>
        </row>
        <row r="5977">
          <cell r="A5977" t="str">
            <v>红杀戮17级</v>
          </cell>
          <cell r="B5977">
            <v>513317</v>
          </cell>
        </row>
        <row r="5978">
          <cell r="A5978" t="str">
            <v>红杀戮18级</v>
          </cell>
          <cell r="B5978">
            <v>513318</v>
          </cell>
        </row>
        <row r="5979">
          <cell r="A5979" t="str">
            <v>红杀戮19级</v>
          </cell>
          <cell r="B5979">
            <v>513319</v>
          </cell>
        </row>
        <row r="5980">
          <cell r="A5980" t="str">
            <v>红杀戮20级</v>
          </cell>
          <cell r="B5980">
            <v>513320</v>
          </cell>
        </row>
        <row r="5981">
          <cell r="A5981" t="str">
            <v>红杀戮21级</v>
          </cell>
          <cell r="B5981">
            <v>513321</v>
          </cell>
        </row>
        <row r="5982">
          <cell r="A5982" t="str">
            <v>红杀戮22级</v>
          </cell>
          <cell r="B5982">
            <v>513322</v>
          </cell>
        </row>
        <row r="5983">
          <cell r="A5983" t="str">
            <v>红杀戮23级</v>
          </cell>
          <cell r="B5983">
            <v>513323</v>
          </cell>
        </row>
        <row r="5984">
          <cell r="A5984" t="str">
            <v>红杀戮24级</v>
          </cell>
          <cell r="B5984">
            <v>513324</v>
          </cell>
        </row>
        <row r="5985">
          <cell r="A5985" t="str">
            <v>红杀戮25级</v>
          </cell>
          <cell r="B5985">
            <v>513325</v>
          </cell>
        </row>
        <row r="5986">
          <cell r="A5986" t="str">
            <v>红杀戮26级</v>
          </cell>
          <cell r="B5986">
            <v>513326</v>
          </cell>
        </row>
        <row r="5987">
          <cell r="A5987" t="str">
            <v>红杀戮27级</v>
          </cell>
          <cell r="B5987">
            <v>513327</v>
          </cell>
        </row>
        <row r="5988">
          <cell r="A5988" t="str">
            <v>红杀戮28级</v>
          </cell>
          <cell r="B5988">
            <v>513328</v>
          </cell>
        </row>
        <row r="5989">
          <cell r="A5989" t="str">
            <v>红杀戮29级</v>
          </cell>
          <cell r="B5989">
            <v>513329</v>
          </cell>
        </row>
        <row r="5990">
          <cell r="A5990" t="str">
            <v>红杀戮30级</v>
          </cell>
          <cell r="B5990">
            <v>513330</v>
          </cell>
        </row>
        <row r="5991">
          <cell r="A5991" t="str">
            <v>红杀戮31级</v>
          </cell>
          <cell r="B5991">
            <v>513331</v>
          </cell>
        </row>
        <row r="5992">
          <cell r="A5992" t="str">
            <v>红杀戮32级</v>
          </cell>
          <cell r="B5992">
            <v>513332</v>
          </cell>
        </row>
        <row r="5993">
          <cell r="A5993" t="str">
            <v>红杀戮33级</v>
          </cell>
          <cell r="B5993">
            <v>513333</v>
          </cell>
        </row>
        <row r="5994">
          <cell r="A5994" t="str">
            <v>红杀戮34级</v>
          </cell>
          <cell r="B5994">
            <v>513334</v>
          </cell>
        </row>
        <row r="5995">
          <cell r="A5995" t="str">
            <v>红杀戮35级</v>
          </cell>
          <cell r="B5995">
            <v>513335</v>
          </cell>
        </row>
        <row r="5996">
          <cell r="A5996" t="str">
            <v>红杀戮36级</v>
          </cell>
          <cell r="B5996">
            <v>513336</v>
          </cell>
        </row>
        <row r="5997">
          <cell r="A5997" t="str">
            <v>红杀戮37级</v>
          </cell>
          <cell r="B5997">
            <v>513337</v>
          </cell>
        </row>
        <row r="5998">
          <cell r="A5998" t="str">
            <v>红杀戮38级</v>
          </cell>
          <cell r="B5998">
            <v>513338</v>
          </cell>
        </row>
        <row r="5999">
          <cell r="A5999" t="str">
            <v>红杀戮39级</v>
          </cell>
          <cell r="B5999">
            <v>513339</v>
          </cell>
        </row>
        <row r="6000">
          <cell r="A6000" t="str">
            <v>红杀戮40级</v>
          </cell>
          <cell r="B6000">
            <v>513340</v>
          </cell>
        </row>
        <row r="6001">
          <cell r="A6001" t="str">
            <v>红杀戮41级</v>
          </cell>
          <cell r="B6001">
            <v>513341</v>
          </cell>
        </row>
        <row r="6002">
          <cell r="A6002" t="str">
            <v>红杀戮42级</v>
          </cell>
          <cell r="B6002">
            <v>513342</v>
          </cell>
        </row>
        <row r="6003">
          <cell r="A6003" t="str">
            <v>红杀戮43级</v>
          </cell>
          <cell r="B6003">
            <v>513343</v>
          </cell>
        </row>
        <row r="6004">
          <cell r="A6004" t="str">
            <v>红杀戮44级</v>
          </cell>
          <cell r="B6004">
            <v>513344</v>
          </cell>
        </row>
        <row r="6005">
          <cell r="A6005" t="str">
            <v>红杀戮45级</v>
          </cell>
          <cell r="B6005">
            <v>513345</v>
          </cell>
        </row>
        <row r="6006">
          <cell r="A6006" t="str">
            <v>红杀戮46级</v>
          </cell>
          <cell r="B6006">
            <v>513346</v>
          </cell>
        </row>
        <row r="6007">
          <cell r="A6007" t="str">
            <v>红杀戮47级</v>
          </cell>
          <cell r="B6007">
            <v>513347</v>
          </cell>
        </row>
        <row r="6008">
          <cell r="A6008" t="str">
            <v>红杀戮48级</v>
          </cell>
          <cell r="B6008">
            <v>513348</v>
          </cell>
        </row>
        <row r="6009">
          <cell r="A6009" t="str">
            <v>红杀戮49级</v>
          </cell>
          <cell r="B6009">
            <v>513349</v>
          </cell>
        </row>
        <row r="6010">
          <cell r="A6010" t="str">
            <v>红杀戮50级</v>
          </cell>
          <cell r="B6010">
            <v>513350</v>
          </cell>
        </row>
        <row r="6011">
          <cell r="A6011" t="str">
            <v>红杀戮51级</v>
          </cell>
          <cell r="B6011">
            <v>513351</v>
          </cell>
        </row>
        <row r="6012">
          <cell r="A6012" t="str">
            <v>红杀戮52级</v>
          </cell>
          <cell r="B6012">
            <v>513352</v>
          </cell>
        </row>
        <row r="6013">
          <cell r="A6013" t="str">
            <v>红杀戮53级</v>
          </cell>
          <cell r="B6013">
            <v>513353</v>
          </cell>
        </row>
        <row r="6014">
          <cell r="A6014" t="str">
            <v>红杀戮54级</v>
          </cell>
          <cell r="B6014">
            <v>513354</v>
          </cell>
        </row>
        <row r="6015">
          <cell r="A6015" t="str">
            <v>红杀戮55级</v>
          </cell>
          <cell r="B6015">
            <v>513355</v>
          </cell>
        </row>
        <row r="6016">
          <cell r="A6016" t="str">
            <v>红杀戮56级</v>
          </cell>
          <cell r="B6016">
            <v>513356</v>
          </cell>
        </row>
        <row r="6017">
          <cell r="A6017" t="str">
            <v>红杀戮57级</v>
          </cell>
          <cell r="B6017">
            <v>513357</v>
          </cell>
        </row>
        <row r="6018">
          <cell r="A6018" t="str">
            <v>红杀戮58级</v>
          </cell>
          <cell r="B6018">
            <v>513358</v>
          </cell>
        </row>
        <row r="6019">
          <cell r="A6019" t="str">
            <v>红杀戮59级</v>
          </cell>
          <cell r="B6019">
            <v>513359</v>
          </cell>
        </row>
        <row r="6020">
          <cell r="A6020" t="str">
            <v>红杀戮60级</v>
          </cell>
          <cell r="B6020">
            <v>513360</v>
          </cell>
        </row>
        <row r="6021">
          <cell r="A6021" t="str">
            <v>红杀戮61级</v>
          </cell>
          <cell r="B6021">
            <v>513361</v>
          </cell>
        </row>
        <row r="6022">
          <cell r="A6022" t="str">
            <v>红杀戮62级</v>
          </cell>
          <cell r="B6022">
            <v>513362</v>
          </cell>
        </row>
        <row r="6023">
          <cell r="A6023" t="str">
            <v>红杀戮63级</v>
          </cell>
          <cell r="B6023">
            <v>513363</v>
          </cell>
        </row>
        <row r="6024">
          <cell r="A6024" t="str">
            <v>红杀戮64级</v>
          </cell>
          <cell r="B6024">
            <v>513364</v>
          </cell>
        </row>
        <row r="6025">
          <cell r="A6025" t="str">
            <v>红杀戮65级</v>
          </cell>
          <cell r="B6025">
            <v>513365</v>
          </cell>
        </row>
        <row r="6026">
          <cell r="A6026" t="str">
            <v>红杀戮66级</v>
          </cell>
          <cell r="B6026">
            <v>513366</v>
          </cell>
        </row>
        <row r="6027">
          <cell r="A6027" t="str">
            <v>红杀戮67级</v>
          </cell>
          <cell r="B6027">
            <v>513367</v>
          </cell>
        </row>
        <row r="6028">
          <cell r="A6028" t="str">
            <v>红杀戮68级</v>
          </cell>
          <cell r="B6028">
            <v>513368</v>
          </cell>
        </row>
        <row r="6029">
          <cell r="A6029" t="str">
            <v>红杀戮69级</v>
          </cell>
          <cell r="B6029">
            <v>513369</v>
          </cell>
        </row>
        <row r="6030">
          <cell r="A6030" t="str">
            <v>红杀戮70级</v>
          </cell>
          <cell r="B6030">
            <v>513370</v>
          </cell>
        </row>
        <row r="6031">
          <cell r="A6031" t="str">
            <v>红杀戮71级</v>
          </cell>
          <cell r="B6031">
            <v>513371</v>
          </cell>
        </row>
        <row r="6032">
          <cell r="A6032" t="str">
            <v>红杀戮72级</v>
          </cell>
          <cell r="B6032">
            <v>513372</v>
          </cell>
        </row>
        <row r="6033">
          <cell r="A6033" t="str">
            <v>红杀戮73级</v>
          </cell>
          <cell r="B6033">
            <v>513373</v>
          </cell>
        </row>
        <row r="6034">
          <cell r="A6034" t="str">
            <v>红杀戮74级</v>
          </cell>
          <cell r="B6034">
            <v>513374</v>
          </cell>
        </row>
        <row r="6035">
          <cell r="A6035" t="str">
            <v>红杀戮75级</v>
          </cell>
          <cell r="B6035">
            <v>513375</v>
          </cell>
        </row>
        <row r="6036">
          <cell r="A6036" t="str">
            <v>红杀戮76级</v>
          </cell>
          <cell r="B6036">
            <v>513376</v>
          </cell>
        </row>
        <row r="6037">
          <cell r="A6037" t="str">
            <v>红杀戮77级</v>
          </cell>
          <cell r="B6037">
            <v>513377</v>
          </cell>
        </row>
        <row r="6038">
          <cell r="A6038" t="str">
            <v>红杀戮78级</v>
          </cell>
          <cell r="B6038">
            <v>513378</v>
          </cell>
        </row>
        <row r="6039">
          <cell r="A6039" t="str">
            <v>红杀戮79级</v>
          </cell>
          <cell r="B6039">
            <v>513379</v>
          </cell>
        </row>
        <row r="6040">
          <cell r="A6040" t="str">
            <v>红杀戮80级</v>
          </cell>
          <cell r="B6040">
            <v>513380</v>
          </cell>
        </row>
        <row r="6041">
          <cell r="A6041" t="str">
            <v>红祝福1级</v>
          </cell>
          <cell r="B6041">
            <v>514301</v>
          </cell>
        </row>
        <row r="6042">
          <cell r="A6042" t="str">
            <v>红祝福2级</v>
          </cell>
          <cell r="B6042">
            <v>514302</v>
          </cell>
        </row>
        <row r="6043">
          <cell r="A6043" t="str">
            <v>红祝福3级</v>
          </cell>
          <cell r="B6043">
            <v>514303</v>
          </cell>
        </row>
        <row r="6044">
          <cell r="A6044" t="str">
            <v>红祝福4级</v>
          </cell>
          <cell r="B6044">
            <v>514304</v>
          </cell>
        </row>
        <row r="6045">
          <cell r="A6045" t="str">
            <v>红祝福5级</v>
          </cell>
          <cell r="B6045">
            <v>514305</v>
          </cell>
        </row>
        <row r="6046">
          <cell r="A6046" t="str">
            <v>红祝福6级</v>
          </cell>
          <cell r="B6046">
            <v>514306</v>
          </cell>
        </row>
        <row r="6047">
          <cell r="A6047" t="str">
            <v>红祝福7级</v>
          </cell>
          <cell r="B6047">
            <v>514307</v>
          </cell>
        </row>
        <row r="6048">
          <cell r="A6048" t="str">
            <v>红祝福8级</v>
          </cell>
          <cell r="B6048">
            <v>514308</v>
          </cell>
        </row>
        <row r="6049">
          <cell r="A6049" t="str">
            <v>红祝福9级</v>
          </cell>
          <cell r="B6049">
            <v>514309</v>
          </cell>
        </row>
        <row r="6050">
          <cell r="A6050" t="str">
            <v>红祝福10级</v>
          </cell>
          <cell r="B6050">
            <v>514310</v>
          </cell>
        </row>
        <row r="6051">
          <cell r="A6051" t="str">
            <v>红祝福11级</v>
          </cell>
          <cell r="B6051">
            <v>514311</v>
          </cell>
        </row>
        <row r="6052">
          <cell r="A6052" t="str">
            <v>红祝福12级</v>
          </cell>
          <cell r="B6052">
            <v>514312</v>
          </cell>
        </row>
        <row r="6053">
          <cell r="A6053" t="str">
            <v>红祝福13级</v>
          </cell>
          <cell r="B6053">
            <v>514313</v>
          </cell>
        </row>
        <row r="6054">
          <cell r="A6054" t="str">
            <v>红祝福14级</v>
          </cell>
          <cell r="B6054">
            <v>514314</v>
          </cell>
        </row>
        <row r="6055">
          <cell r="A6055" t="str">
            <v>红祝福15级</v>
          </cell>
          <cell r="B6055">
            <v>514315</v>
          </cell>
        </row>
        <row r="6056">
          <cell r="A6056" t="str">
            <v>红祝福16级</v>
          </cell>
          <cell r="B6056">
            <v>514316</v>
          </cell>
        </row>
        <row r="6057">
          <cell r="A6057" t="str">
            <v>红祝福17级</v>
          </cell>
          <cell r="B6057">
            <v>514317</v>
          </cell>
        </row>
        <row r="6058">
          <cell r="A6058" t="str">
            <v>红祝福18级</v>
          </cell>
          <cell r="B6058">
            <v>514318</v>
          </cell>
        </row>
        <row r="6059">
          <cell r="A6059" t="str">
            <v>红祝福19级</v>
          </cell>
          <cell r="B6059">
            <v>514319</v>
          </cell>
        </row>
        <row r="6060">
          <cell r="A6060" t="str">
            <v>红祝福20级</v>
          </cell>
          <cell r="B6060">
            <v>514320</v>
          </cell>
        </row>
        <row r="6061">
          <cell r="A6061" t="str">
            <v>红祝福21级</v>
          </cell>
          <cell r="B6061">
            <v>514321</v>
          </cell>
        </row>
        <row r="6062">
          <cell r="A6062" t="str">
            <v>红祝福22级</v>
          </cell>
          <cell r="B6062">
            <v>514322</v>
          </cell>
        </row>
        <row r="6063">
          <cell r="A6063" t="str">
            <v>红祝福23级</v>
          </cell>
          <cell r="B6063">
            <v>514323</v>
          </cell>
        </row>
        <row r="6064">
          <cell r="A6064" t="str">
            <v>红祝福24级</v>
          </cell>
          <cell r="B6064">
            <v>514324</v>
          </cell>
        </row>
        <row r="6065">
          <cell r="A6065" t="str">
            <v>红祝福25级</v>
          </cell>
          <cell r="B6065">
            <v>514325</v>
          </cell>
        </row>
        <row r="6066">
          <cell r="A6066" t="str">
            <v>红祝福26级</v>
          </cell>
          <cell r="B6066">
            <v>514326</v>
          </cell>
        </row>
        <row r="6067">
          <cell r="A6067" t="str">
            <v>红祝福27级</v>
          </cell>
          <cell r="B6067">
            <v>514327</v>
          </cell>
        </row>
        <row r="6068">
          <cell r="A6068" t="str">
            <v>红祝福28级</v>
          </cell>
          <cell r="B6068">
            <v>514328</v>
          </cell>
        </row>
        <row r="6069">
          <cell r="A6069" t="str">
            <v>红祝福29级</v>
          </cell>
          <cell r="B6069">
            <v>514329</v>
          </cell>
        </row>
        <row r="6070">
          <cell r="A6070" t="str">
            <v>红祝福30级</v>
          </cell>
          <cell r="B6070">
            <v>514330</v>
          </cell>
        </row>
        <row r="6071">
          <cell r="A6071" t="str">
            <v>红祝福31级</v>
          </cell>
          <cell r="B6071">
            <v>514331</v>
          </cell>
        </row>
        <row r="6072">
          <cell r="A6072" t="str">
            <v>红祝福32级</v>
          </cell>
          <cell r="B6072">
            <v>514332</v>
          </cell>
        </row>
        <row r="6073">
          <cell r="A6073" t="str">
            <v>红祝福33级</v>
          </cell>
          <cell r="B6073">
            <v>514333</v>
          </cell>
        </row>
        <row r="6074">
          <cell r="A6074" t="str">
            <v>红祝福34级</v>
          </cell>
          <cell r="B6074">
            <v>514334</v>
          </cell>
        </row>
        <row r="6075">
          <cell r="A6075" t="str">
            <v>红祝福35级</v>
          </cell>
          <cell r="B6075">
            <v>514335</v>
          </cell>
        </row>
        <row r="6076">
          <cell r="A6076" t="str">
            <v>红祝福36级</v>
          </cell>
          <cell r="B6076">
            <v>514336</v>
          </cell>
        </row>
        <row r="6077">
          <cell r="A6077" t="str">
            <v>红祝福37级</v>
          </cell>
          <cell r="B6077">
            <v>514337</v>
          </cell>
        </row>
        <row r="6078">
          <cell r="A6078" t="str">
            <v>红祝福38级</v>
          </cell>
          <cell r="B6078">
            <v>514338</v>
          </cell>
        </row>
        <row r="6079">
          <cell r="A6079" t="str">
            <v>红祝福39级</v>
          </cell>
          <cell r="B6079">
            <v>514339</v>
          </cell>
        </row>
        <row r="6080">
          <cell r="A6080" t="str">
            <v>红祝福40级</v>
          </cell>
          <cell r="B6080">
            <v>514340</v>
          </cell>
        </row>
        <row r="6081">
          <cell r="A6081" t="str">
            <v>红祝福41级</v>
          </cell>
          <cell r="B6081">
            <v>514341</v>
          </cell>
        </row>
        <row r="6082">
          <cell r="A6082" t="str">
            <v>红祝福42级</v>
          </cell>
          <cell r="B6082">
            <v>514342</v>
          </cell>
        </row>
        <row r="6083">
          <cell r="A6083" t="str">
            <v>红祝福43级</v>
          </cell>
          <cell r="B6083">
            <v>514343</v>
          </cell>
        </row>
        <row r="6084">
          <cell r="A6084" t="str">
            <v>红祝福44级</v>
          </cell>
          <cell r="B6084">
            <v>514344</v>
          </cell>
        </row>
        <row r="6085">
          <cell r="A6085" t="str">
            <v>红祝福45级</v>
          </cell>
          <cell r="B6085">
            <v>514345</v>
          </cell>
        </row>
        <row r="6086">
          <cell r="A6086" t="str">
            <v>红祝福46级</v>
          </cell>
          <cell r="B6086">
            <v>514346</v>
          </cell>
        </row>
        <row r="6087">
          <cell r="A6087" t="str">
            <v>红祝福47级</v>
          </cell>
          <cell r="B6087">
            <v>514347</v>
          </cell>
        </row>
        <row r="6088">
          <cell r="A6088" t="str">
            <v>红祝福48级</v>
          </cell>
          <cell r="B6088">
            <v>514348</v>
          </cell>
        </row>
        <row r="6089">
          <cell r="A6089" t="str">
            <v>红祝福49级</v>
          </cell>
          <cell r="B6089">
            <v>514349</v>
          </cell>
        </row>
        <row r="6090">
          <cell r="A6090" t="str">
            <v>红祝福50级</v>
          </cell>
          <cell r="B6090">
            <v>514350</v>
          </cell>
        </row>
        <row r="6091">
          <cell r="A6091" t="str">
            <v>红祝福51级</v>
          </cell>
          <cell r="B6091">
            <v>514351</v>
          </cell>
        </row>
        <row r="6092">
          <cell r="A6092" t="str">
            <v>红祝福52级</v>
          </cell>
          <cell r="B6092">
            <v>514352</v>
          </cell>
        </row>
        <row r="6093">
          <cell r="A6093" t="str">
            <v>红祝福53级</v>
          </cell>
          <cell r="B6093">
            <v>514353</v>
          </cell>
        </row>
        <row r="6094">
          <cell r="A6094" t="str">
            <v>红祝福54级</v>
          </cell>
          <cell r="B6094">
            <v>514354</v>
          </cell>
        </row>
        <row r="6095">
          <cell r="A6095" t="str">
            <v>红祝福55级</v>
          </cell>
          <cell r="B6095">
            <v>514355</v>
          </cell>
        </row>
        <row r="6096">
          <cell r="A6096" t="str">
            <v>红祝福56级</v>
          </cell>
          <cell r="B6096">
            <v>514356</v>
          </cell>
        </row>
        <row r="6097">
          <cell r="A6097" t="str">
            <v>红祝福57级</v>
          </cell>
          <cell r="B6097">
            <v>514357</v>
          </cell>
        </row>
        <row r="6098">
          <cell r="A6098" t="str">
            <v>红祝福58级</v>
          </cell>
          <cell r="B6098">
            <v>514358</v>
          </cell>
        </row>
        <row r="6099">
          <cell r="A6099" t="str">
            <v>红祝福59级</v>
          </cell>
          <cell r="B6099">
            <v>514359</v>
          </cell>
        </row>
        <row r="6100">
          <cell r="A6100" t="str">
            <v>红祝福60级</v>
          </cell>
          <cell r="B6100">
            <v>514360</v>
          </cell>
        </row>
        <row r="6101">
          <cell r="A6101" t="str">
            <v>红祝福61级</v>
          </cell>
          <cell r="B6101">
            <v>514361</v>
          </cell>
        </row>
        <row r="6102">
          <cell r="A6102" t="str">
            <v>红祝福62级</v>
          </cell>
          <cell r="B6102">
            <v>514362</v>
          </cell>
        </row>
        <row r="6103">
          <cell r="A6103" t="str">
            <v>红祝福63级</v>
          </cell>
          <cell r="B6103">
            <v>514363</v>
          </cell>
        </row>
        <row r="6104">
          <cell r="A6104" t="str">
            <v>红祝福64级</v>
          </cell>
          <cell r="B6104">
            <v>514364</v>
          </cell>
        </row>
        <row r="6105">
          <cell r="A6105" t="str">
            <v>红祝福65级</v>
          </cell>
          <cell r="B6105">
            <v>514365</v>
          </cell>
        </row>
        <row r="6106">
          <cell r="A6106" t="str">
            <v>红祝福66级</v>
          </cell>
          <cell r="B6106">
            <v>514366</v>
          </cell>
        </row>
        <row r="6107">
          <cell r="A6107" t="str">
            <v>红祝福67级</v>
          </cell>
          <cell r="B6107">
            <v>514367</v>
          </cell>
        </row>
        <row r="6108">
          <cell r="A6108" t="str">
            <v>红祝福68级</v>
          </cell>
          <cell r="B6108">
            <v>514368</v>
          </cell>
        </row>
        <row r="6109">
          <cell r="A6109" t="str">
            <v>红祝福69级</v>
          </cell>
          <cell r="B6109">
            <v>514369</v>
          </cell>
        </row>
        <row r="6110">
          <cell r="A6110" t="str">
            <v>红祝福70级</v>
          </cell>
          <cell r="B6110">
            <v>514370</v>
          </cell>
        </row>
        <row r="6111">
          <cell r="A6111" t="str">
            <v>红祝福71级</v>
          </cell>
          <cell r="B6111">
            <v>514371</v>
          </cell>
        </row>
        <row r="6112">
          <cell r="A6112" t="str">
            <v>红祝福72级</v>
          </cell>
          <cell r="B6112">
            <v>514372</v>
          </cell>
        </row>
        <row r="6113">
          <cell r="A6113" t="str">
            <v>红祝福73级</v>
          </cell>
          <cell r="B6113">
            <v>514373</v>
          </cell>
        </row>
        <row r="6114">
          <cell r="A6114" t="str">
            <v>红祝福74级</v>
          </cell>
          <cell r="B6114">
            <v>514374</v>
          </cell>
        </row>
        <row r="6115">
          <cell r="A6115" t="str">
            <v>红祝福75级</v>
          </cell>
          <cell r="B6115">
            <v>514375</v>
          </cell>
        </row>
        <row r="6116">
          <cell r="A6116" t="str">
            <v>红祝福76级</v>
          </cell>
          <cell r="B6116">
            <v>514376</v>
          </cell>
        </row>
        <row r="6117">
          <cell r="A6117" t="str">
            <v>红祝福77级</v>
          </cell>
          <cell r="B6117">
            <v>514377</v>
          </cell>
        </row>
        <row r="6118">
          <cell r="A6118" t="str">
            <v>红祝福78级</v>
          </cell>
          <cell r="B6118">
            <v>514378</v>
          </cell>
        </row>
        <row r="6119">
          <cell r="A6119" t="str">
            <v>红祝福79级</v>
          </cell>
          <cell r="B6119">
            <v>514379</v>
          </cell>
        </row>
        <row r="6120">
          <cell r="A6120" t="str">
            <v>红祝福80级</v>
          </cell>
          <cell r="B6120">
            <v>514380</v>
          </cell>
        </row>
        <row r="6121">
          <cell r="A6121" t="str">
            <v>红财神1级</v>
          </cell>
          <cell r="B6121">
            <v>515301</v>
          </cell>
        </row>
        <row r="6122">
          <cell r="A6122" t="str">
            <v>红财神2级</v>
          </cell>
          <cell r="B6122">
            <v>515302</v>
          </cell>
        </row>
        <row r="6123">
          <cell r="A6123" t="str">
            <v>红财神3级</v>
          </cell>
          <cell r="B6123">
            <v>515303</v>
          </cell>
        </row>
        <row r="6124">
          <cell r="A6124" t="str">
            <v>红财神4级</v>
          </cell>
          <cell r="B6124">
            <v>515304</v>
          </cell>
        </row>
        <row r="6125">
          <cell r="A6125" t="str">
            <v>红财神5级</v>
          </cell>
          <cell r="B6125">
            <v>515305</v>
          </cell>
        </row>
        <row r="6126">
          <cell r="A6126" t="str">
            <v>红财神6级</v>
          </cell>
          <cell r="B6126">
            <v>515306</v>
          </cell>
        </row>
        <row r="6127">
          <cell r="A6127" t="str">
            <v>红财神7级</v>
          </cell>
          <cell r="B6127">
            <v>515307</v>
          </cell>
        </row>
        <row r="6128">
          <cell r="A6128" t="str">
            <v>红财神8级</v>
          </cell>
          <cell r="B6128">
            <v>515308</v>
          </cell>
        </row>
        <row r="6129">
          <cell r="A6129" t="str">
            <v>红财神9级</v>
          </cell>
          <cell r="B6129">
            <v>515309</v>
          </cell>
        </row>
        <row r="6130">
          <cell r="A6130" t="str">
            <v>红财神10级</v>
          </cell>
          <cell r="B6130">
            <v>515310</v>
          </cell>
        </row>
        <row r="6131">
          <cell r="A6131" t="str">
            <v>红财神11级</v>
          </cell>
          <cell r="B6131">
            <v>515311</v>
          </cell>
        </row>
        <row r="6132">
          <cell r="A6132" t="str">
            <v>红财神12级</v>
          </cell>
          <cell r="B6132">
            <v>515312</v>
          </cell>
        </row>
        <row r="6133">
          <cell r="A6133" t="str">
            <v>红财神13级</v>
          </cell>
          <cell r="B6133">
            <v>515313</v>
          </cell>
        </row>
        <row r="6134">
          <cell r="A6134" t="str">
            <v>红财神14级</v>
          </cell>
          <cell r="B6134">
            <v>515314</v>
          </cell>
        </row>
        <row r="6135">
          <cell r="A6135" t="str">
            <v>红财神15级</v>
          </cell>
          <cell r="B6135">
            <v>515315</v>
          </cell>
        </row>
        <row r="6136">
          <cell r="A6136" t="str">
            <v>红财神16级</v>
          </cell>
          <cell r="B6136">
            <v>515316</v>
          </cell>
        </row>
        <row r="6137">
          <cell r="A6137" t="str">
            <v>红财神17级</v>
          </cell>
          <cell r="B6137">
            <v>515317</v>
          </cell>
        </row>
        <row r="6138">
          <cell r="A6138" t="str">
            <v>红财神18级</v>
          </cell>
          <cell r="B6138">
            <v>515318</v>
          </cell>
        </row>
        <row r="6139">
          <cell r="A6139" t="str">
            <v>红财神19级</v>
          </cell>
          <cell r="B6139">
            <v>515319</v>
          </cell>
        </row>
        <row r="6140">
          <cell r="A6140" t="str">
            <v>红财神20级</v>
          </cell>
          <cell r="B6140">
            <v>515320</v>
          </cell>
        </row>
        <row r="6141">
          <cell r="A6141" t="str">
            <v>红财神21级</v>
          </cell>
          <cell r="B6141">
            <v>515321</v>
          </cell>
        </row>
        <row r="6142">
          <cell r="A6142" t="str">
            <v>红财神22级</v>
          </cell>
          <cell r="B6142">
            <v>515322</v>
          </cell>
        </row>
        <row r="6143">
          <cell r="A6143" t="str">
            <v>红财神23级</v>
          </cell>
          <cell r="B6143">
            <v>515323</v>
          </cell>
        </row>
        <row r="6144">
          <cell r="A6144" t="str">
            <v>红财神24级</v>
          </cell>
          <cell r="B6144">
            <v>515324</v>
          </cell>
        </row>
        <row r="6145">
          <cell r="A6145" t="str">
            <v>红财神25级</v>
          </cell>
          <cell r="B6145">
            <v>515325</v>
          </cell>
        </row>
        <row r="6146">
          <cell r="A6146" t="str">
            <v>红财神26级</v>
          </cell>
          <cell r="B6146">
            <v>515326</v>
          </cell>
        </row>
        <row r="6147">
          <cell r="A6147" t="str">
            <v>红财神27级</v>
          </cell>
          <cell r="B6147">
            <v>515327</v>
          </cell>
        </row>
        <row r="6148">
          <cell r="A6148" t="str">
            <v>红财神28级</v>
          </cell>
          <cell r="B6148">
            <v>515328</v>
          </cell>
        </row>
        <row r="6149">
          <cell r="A6149" t="str">
            <v>红财神29级</v>
          </cell>
          <cell r="B6149">
            <v>515329</v>
          </cell>
        </row>
        <row r="6150">
          <cell r="A6150" t="str">
            <v>红财神30级</v>
          </cell>
          <cell r="B6150">
            <v>515330</v>
          </cell>
        </row>
        <row r="6151">
          <cell r="A6151" t="str">
            <v>红财神31级</v>
          </cell>
          <cell r="B6151">
            <v>515331</v>
          </cell>
        </row>
        <row r="6152">
          <cell r="A6152" t="str">
            <v>红财神32级</v>
          </cell>
          <cell r="B6152">
            <v>515332</v>
          </cell>
        </row>
        <row r="6153">
          <cell r="A6153" t="str">
            <v>红财神33级</v>
          </cell>
          <cell r="B6153">
            <v>515333</v>
          </cell>
        </row>
        <row r="6154">
          <cell r="A6154" t="str">
            <v>红财神34级</v>
          </cell>
          <cell r="B6154">
            <v>515334</v>
          </cell>
        </row>
        <row r="6155">
          <cell r="A6155" t="str">
            <v>红财神35级</v>
          </cell>
          <cell r="B6155">
            <v>515335</v>
          </cell>
        </row>
        <row r="6156">
          <cell r="A6156" t="str">
            <v>红财神36级</v>
          </cell>
          <cell r="B6156">
            <v>515336</v>
          </cell>
        </row>
        <row r="6157">
          <cell r="A6157" t="str">
            <v>红财神37级</v>
          </cell>
          <cell r="B6157">
            <v>515337</v>
          </cell>
        </row>
        <row r="6158">
          <cell r="A6158" t="str">
            <v>红财神38级</v>
          </cell>
          <cell r="B6158">
            <v>515338</v>
          </cell>
        </row>
        <row r="6159">
          <cell r="A6159" t="str">
            <v>红财神39级</v>
          </cell>
          <cell r="B6159">
            <v>515339</v>
          </cell>
        </row>
        <row r="6160">
          <cell r="A6160" t="str">
            <v>红财神40级</v>
          </cell>
          <cell r="B6160">
            <v>515340</v>
          </cell>
        </row>
        <row r="6161">
          <cell r="A6161" t="str">
            <v>红财神41级</v>
          </cell>
          <cell r="B6161">
            <v>515341</v>
          </cell>
        </row>
        <row r="6162">
          <cell r="A6162" t="str">
            <v>红财神42级</v>
          </cell>
          <cell r="B6162">
            <v>515342</v>
          </cell>
        </row>
        <row r="6163">
          <cell r="A6163" t="str">
            <v>红财神43级</v>
          </cell>
          <cell r="B6163">
            <v>515343</v>
          </cell>
        </row>
        <row r="6164">
          <cell r="A6164" t="str">
            <v>红财神44级</v>
          </cell>
          <cell r="B6164">
            <v>515344</v>
          </cell>
        </row>
        <row r="6165">
          <cell r="A6165" t="str">
            <v>红财神45级</v>
          </cell>
          <cell r="B6165">
            <v>515345</v>
          </cell>
        </row>
        <row r="6166">
          <cell r="A6166" t="str">
            <v>红财神46级</v>
          </cell>
          <cell r="B6166">
            <v>515346</v>
          </cell>
        </row>
        <row r="6167">
          <cell r="A6167" t="str">
            <v>红财神47级</v>
          </cell>
          <cell r="B6167">
            <v>515347</v>
          </cell>
        </row>
        <row r="6168">
          <cell r="A6168" t="str">
            <v>红财神48级</v>
          </cell>
          <cell r="B6168">
            <v>515348</v>
          </cell>
        </row>
        <row r="6169">
          <cell r="A6169" t="str">
            <v>红财神49级</v>
          </cell>
          <cell r="B6169">
            <v>515349</v>
          </cell>
        </row>
        <row r="6170">
          <cell r="A6170" t="str">
            <v>红财神50级</v>
          </cell>
          <cell r="B6170">
            <v>515350</v>
          </cell>
        </row>
        <row r="6171">
          <cell r="A6171" t="str">
            <v>红财神51级</v>
          </cell>
          <cell r="B6171">
            <v>515351</v>
          </cell>
        </row>
        <row r="6172">
          <cell r="A6172" t="str">
            <v>红财神52级</v>
          </cell>
          <cell r="B6172">
            <v>515352</v>
          </cell>
        </row>
        <row r="6173">
          <cell r="A6173" t="str">
            <v>红财神53级</v>
          </cell>
          <cell r="B6173">
            <v>515353</v>
          </cell>
        </row>
        <row r="6174">
          <cell r="A6174" t="str">
            <v>红财神54级</v>
          </cell>
          <cell r="B6174">
            <v>515354</v>
          </cell>
        </row>
        <row r="6175">
          <cell r="A6175" t="str">
            <v>红财神55级</v>
          </cell>
          <cell r="B6175">
            <v>515355</v>
          </cell>
        </row>
        <row r="6176">
          <cell r="A6176" t="str">
            <v>红财神56级</v>
          </cell>
          <cell r="B6176">
            <v>515356</v>
          </cell>
        </row>
        <row r="6177">
          <cell r="A6177" t="str">
            <v>红财神57级</v>
          </cell>
          <cell r="B6177">
            <v>515357</v>
          </cell>
        </row>
        <row r="6178">
          <cell r="A6178" t="str">
            <v>红财神58级</v>
          </cell>
          <cell r="B6178">
            <v>515358</v>
          </cell>
        </row>
        <row r="6179">
          <cell r="A6179" t="str">
            <v>红财神59级</v>
          </cell>
          <cell r="B6179">
            <v>515359</v>
          </cell>
        </row>
        <row r="6180">
          <cell r="A6180" t="str">
            <v>红财神60级</v>
          </cell>
          <cell r="B6180">
            <v>515360</v>
          </cell>
        </row>
        <row r="6181">
          <cell r="A6181" t="str">
            <v>红财神61级</v>
          </cell>
          <cell r="B6181">
            <v>515361</v>
          </cell>
        </row>
        <row r="6182">
          <cell r="A6182" t="str">
            <v>红财神62级</v>
          </cell>
          <cell r="B6182">
            <v>515362</v>
          </cell>
        </row>
        <row r="6183">
          <cell r="A6183" t="str">
            <v>红财神63级</v>
          </cell>
          <cell r="B6183">
            <v>515363</v>
          </cell>
        </row>
        <row r="6184">
          <cell r="A6184" t="str">
            <v>红财神64级</v>
          </cell>
          <cell r="B6184">
            <v>515364</v>
          </cell>
        </row>
        <row r="6185">
          <cell r="A6185" t="str">
            <v>红财神65级</v>
          </cell>
          <cell r="B6185">
            <v>515365</v>
          </cell>
        </row>
        <row r="6186">
          <cell r="A6186" t="str">
            <v>红财神66级</v>
          </cell>
          <cell r="B6186">
            <v>515366</v>
          </cell>
        </row>
        <row r="6187">
          <cell r="A6187" t="str">
            <v>红财神67级</v>
          </cell>
          <cell r="B6187">
            <v>515367</v>
          </cell>
        </row>
        <row r="6188">
          <cell r="A6188" t="str">
            <v>红财神68级</v>
          </cell>
          <cell r="B6188">
            <v>515368</v>
          </cell>
        </row>
        <row r="6189">
          <cell r="A6189" t="str">
            <v>红财神69级</v>
          </cell>
          <cell r="B6189">
            <v>515369</v>
          </cell>
        </row>
        <row r="6190">
          <cell r="A6190" t="str">
            <v>红财神70级</v>
          </cell>
          <cell r="B6190">
            <v>515370</v>
          </cell>
        </row>
        <row r="6191">
          <cell r="A6191" t="str">
            <v>红财神71级</v>
          </cell>
          <cell r="B6191">
            <v>515371</v>
          </cell>
        </row>
        <row r="6192">
          <cell r="A6192" t="str">
            <v>红财神72级</v>
          </cell>
          <cell r="B6192">
            <v>515372</v>
          </cell>
        </row>
        <row r="6193">
          <cell r="A6193" t="str">
            <v>红财神73级</v>
          </cell>
          <cell r="B6193">
            <v>515373</v>
          </cell>
        </row>
        <row r="6194">
          <cell r="A6194" t="str">
            <v>红财神74级</v>
          </cell>
          <cell r="B6194">
            <v>515374</v>
          </cell>
        </row>
        <row r="6195">
          <cell r="A6195" t="str">
            <v>红财神75级</v>
          </cell>
          <cell r="B6195">
            <v>515375</v>
          </cell>
        </row>
        <row r="6196">
          <cell r="A6196" t="str">
            <v>红财神76级</v>
          </cell>
          <cell r="B6196">
            <v>515376</v>
          </cell>
        </row>
        <row r="6197">
          <cell r="A6197" t="str">
            <v>红财神77级</v>
          </cell>
          <cell r="B6197">
            <v>515377</v>
          </cell>
        </row>
        <row r="6198">
          <cell r="A6198" t="str">
            <v>红财神78级</v>
          </cell>
          <cell r="B6198">
            <v>515378</v>
          </cell>
        </row>
        <row r="6199">
          <cell r="A6199" t="str">
            <v>红财神79级</v>
          </cell>
          <cell r="B6199">
            <v>515379</v>
          </cell>
        </row>
        <row r="6200">
          <cell r="A6200" t="str">
            <v>红财神80级</v>
          </cell>
          <cell r="B6200">
            <v>515380</v>
          </cell>
        </row>
        <row r="6201">
          <cell r="A6201" t="str">
            <v>金神力1级</v>
          </cell>
          <cell r="B6201">
            <v>501401</v>
          </cell>
        </row>
        <row r="6202">
          <cell r="A6202" t="str">
            <v>金神力2级</v>
          </cell>
          <cell r="B6202">
            <v>501402</v>
          </cell>
        </row>
        <row r="6203">
          <cell r="A6203" t="str">
            <v>金神力3级</v>
          </cell>
          <cell r="B6203">
            <v>501403</v>
          </cell>
        </row>
        <row r="6204">
          <cell r="A6204" t="str">
            <v>金神力4级</v>
          </cell>
          <cell r="B6204">
            <v>501404</v>
          </cell>
        </row>
        <row r="6205">
          <cell r="A6205" t="str">
            <v>金神力5级</v>
          </cell>
          <cell r="B6205">
            <v>501405</v>
          </cell>
        </row>
        <row r="6206">
          <cell r="A6206" t="str">
            <v>金神力6级</v>
          </cell>
          <cell r="B6206">
            <v>501406</v>
          </cell>
        </row>
        <row r="6207">
          <cell r="A6207" t="str">
            <v>金神力7级</v>
          </cell>
          <cell r="B6207">
            <v>501407</v>
          </cell>
        </row>
        <row r="6208">
          <cell r="A6208" t="str">
            <v>金神力8级</v>
          </cell>
          <cell r="B6208">
            <v>501408</v>
          </cell>
        </row>
        <row r="6209">
          <cell r="A6209" t="str">
            <v>金神力9级</v>
          </cell>
          <cell r="B6209">
            <v>501409</v>
          </cell>
        </row>
        <row r="6210">
          <cell r="A6210" t="str">
            <v>金神力10级</v>
          </cell>
          <cell r="B6210">
            <v>501410</v>
          </cell>
        </row>
        <row r="6211">
          <cell r="A6211" t="str">
            <v>金神力11级</v>
          </cell>
          <cell r="B6211">
            <v>501411</v>
          </cell>
        </row>
        <row r="6212">
          <cell r="A6212" t="str">
            <v>金神力12级</v>
          </cell>
          <cell r="B6212">
            <v>501412</v>
          </cell>
        </row>
        <row r="6213">
          <cell r="A6213" t="str">
            <v>金神力13级</v>
          </cell>
          <cell r="B6213">
            <v>501413</v>
          </cell>
        </row>
        <row r="6214">
          <cell r="A6214" t="str">
            <v>金神力14级</v>
          </cell>
          <cell r="B6214">
            <v>501414</v>
          </cell>
        </row>
        <row r="6215">
          <cell r="A6215" t="str">
            <v>金神力15级</v>
          </cell>
          <cell r="B6215">
            <v>501415</v>
          </cell>
        </row>
        <row r="6216">
          <cell r="A6216" t="str">
            <v>金神力16级</v>
          </cell>
          <cell r="B6216">
            <v>501416</v>
          </cell>
        </row>
        <row r="6217">
          <cell r="A6217" t="str">
            <v>金神力17级</v>
          </cell>
          <cell r="B6217">
            <v>501417</v>
          </cell>
        </row>
        <row r="6218">
          <cell r="A6218" t="str">
            <v>金神力18级</v>
          </cell>
          <cell r="B6218">
            <v>501418</v>
          </cell>
        </row>
        <row r="6219">
          <cell r="A6219" t="str">
            <v>金神力19级</v>
          </cell>
          <cell r="B6219">
            <v>501419</v>
          </cell>
        </row>
        <row r="6220">
          <cell r="A6220" t="str">
            <v>金神力20级</v>
          </cell>
          <cell r="B6220">
            <v>501420</v>
          </cell>
        </row>
        <row r="6221">
          <cell r="A6221" t="str">
            <v>金神力21级</v>
          </cell>
          <cell r="B6221">
            <v>501421</v>
          </cell>
        </row>
        <row r="6222">
          <cell r="A6222" t="str">
            <v>金神力22级</v>
          </cell>
          <cell r="B6222">
            <v>501422</v>
          </cell>
        </row>
        <row r="6223">
          <cell r="A6223" t="str">
            <v>金神力23级</v>
          </cell>
          <cell r="B6223">
            <v>501423</v>
          </cell>
        </row>
        <row r="6224">
          <cell r="A6224" t="str">
            <v>金神力24级</v>
          </cell>
          <cell r="B6224">
            <v>501424</v>
          </cell>
        </row>
        <row r="6225">
          <cell r="A6225" t="str">
            <v>金神力25级</v>
          </cell>
          <cell r="B6225">
            <v>501425</v>
          </cell>
        </row>
        <row r="6226">
          <cell r="A6226" t="str">
            <v>金神力26级</v>
          </cell>
          <cell r="B6226">
            <v>501426</v>
          </cell>
        </row>
        <row r="6227">
          <cell r="A6227" t="str">
            <v>金神力27级</v>
          </cell>
          <cell r="B6227">
            <v>501427</v>
          </cell>
        </row>
        <row r="6228">
          <cell r="A6228" t="str">
            <v>金神力28级</v>
          </cell>
          <cell r="B6228">
            <v>501428</v>
          </cell>
        </row>
        <row r="6229">
          <cell r="A6229" t="str">
            <v>金神力29级</v>
          </cell>
          <cell r="B6229">
            <v>501429</v>
          </cell>
        </row>
        <row r="6230">
          <cell r="A6230" t="str">
            <v>金神力30级</v>
          </cell>
          <cell r="B6230">
            <v>501430</v>
          </cell>
        </row>
        <row r="6231">
          <cell r="A6231" t="str">
            <v>金神力31级</v>
          </cell>
          <cell r="B6231">
            <v>501431</v>
          </cell>
        </row>
        <row r="6232">
          <cell r="A6232" t="str">
            <v>金神力32级</v>
          </cell>
          <cell r="B6232">
            <v>501432</v>
          </cell>
        </row>
        <row r="6233">
          <cell r="A6233" t="str">
            <v>金神力33级</v>
          </cell>
          <cell r="B6233">
            <v>501433</v>
          </cell>
        </row>
        <row r="6234">
          <cell r="A6234" t="str">
            <v>金神力34级</v>
          </cell>
          <cell r="B6234">
            <v>501434</v>
          </cell>
        </row>
        <row r="6235">
          <cell r="A6235" t="str">
            <v>金神力35级</v>
          </cell>
          <cell r="B6235">
            <v>501435</v>
          </cell>
        </row>
        <row r="6236">
          <cell r="A6236" t="str">
            <v>金神力36级</v>
          </cell>
          <cell r="B6236">
            <v>501436</v>
          </cell>
        </row>
        <row r="6237">
          <cell r="A6237" t="str">
            <v>金神力37级</v>
          </cell>
          <cell r="B6237">
            <v>501437</v>
          </cell>
        </row>
        <row r="6238">
          <cell r="A6238" t="str">
            <v>金神力38级</v>
          </cell>
          <cell r="B6238">
            <v>501438</v>
          </cell>
        </row>
        <row r="6239">
          <cell r="A6239" t="str">
            <v>金神力39级</v>
          </cell>
          <cell r="B6239">
            <v>501439</v>
          </cell>
        </row>
        <row r="6240">
          <cell r="A6240" t="str">
            <v>金神力40级</v>
          </cell>
          <cell r="B6240">
            <v>501440</v>
          </cell>
        </row>
        <row r="6241">
          <cell r="A6241" t="str">
            <v>金神力41级</v>
          </cell>
          <cell r="B6241">
            <v>501441</v>
          </cell>
        </row>
        <row r="6242">
          <cell r="A6242" t="str">
            <v>金神力42级</v>
          </cell>
          <cell r="B6242">
            <v>501442</v>
          </cell>
        </row>
        <row r="6243">
          <cell r="A6243" t="str">
            <v>金神力43级</v>
          </cell>
          <cell r="B6243">
            <v>501443</v>
          </cell>
        </row>
        <row r="6244">
          <cell r="A6244" t="str">
            <v>金神力44级</v>
          </cell>
          <cell r="B6244">
            <v>501444</v>
          </cell>
        </row>
        <row r="6245">
          <cell r="A6245" t="str">
            <v>金神力45级</v>
          </cell>
          <cell r="B6245">
            <v>501445</v>
          </cell>
        </row>
        <row r="6246">
          <cell r="A6246" t="str">
            <v>金神力46级</v>
          </cell>
          <cell r="B6246">
            <v>501446</v>
          </cell>
        </row>
        <row r="6247">
          <cell r="A6247" t="str">
            <v>金神力47级</v>
          </cell>
          <cell r="B6247">
            <v>501447</v>
          </cell>
        </row>
        <row r="6248">
          <cell r="A6248" t="str">
            <v>金神力48级</v>
          </cell>
          <cell r="B6248">
            <v>501448</v>
          </cell>
        </row>
        <row r="6249">
          <cell r="A6249" t="str">
            <v>金神力49级</v>
          </cell>
          <cell r="B6249">
            <v>501449</v>
          </cell>
        </row>
        <row r="6250">
          <cell r="A6250" t="str">
            <v>金神力50级</v>
          </cell>
          <cell r="B6250">
            <v>501450</v>
          </cell>
        </row>
        <row r="6251">
          <cell r="A6251" t="str">
            <v>金神力51级</v>
          </cell>
          <cell r="B6251">
            <v>501451</v>
          </cell>
        </row>
        <row r="6252">
          <cell r="A6252" t="str">
            <v>金神力52级</v>
          </cell>
          <cell r="B6252">
            <v>501452</v>
          </cell>
        </row>
        <row r="6253">
          <cell r="A6253" t="str">
            <v>金神力53级</v>
          </cell>
          <cell r="B6253">
            <v>501453</v>
          </cell>
        </row>
        <row r="6254">
          <cell r="A6254" t="str">
            <v>金神力54级</v>
          </cell>
          <cell r="B6254">
            <v>501454</v>
          </cell>
        </row>
        <row r="6255">
          <cell r="A6255" t="str">
            <v>金神力55级</v>
          </cell>
          <cell r="B6255">
            <v>501455</v>
          </cell>
        </row>
        <row r="6256">
          <cell r="A6256" t="str">
            <v>金神力56级</v>
          </cell>
          <cell r="B6256">
            <v>501456</v>
          </cell>
        </row>
        <row r="6257">
          <cell r="A6257" t="str">
            <v>金神力57级</v>
          </cell>
          <cell r="B6257">
            <v>501457</v>
          </cell>
        </row>
        <row r="6258">
          <cell r="A6258" t="str">
            <v>金神力58级</v>
          </cell>
          <cell r="B6258">
            <v>501458</v>
          </cell>
        </row>
        <row r="6259">
          <cell r="A6259" t="str">
            <v>金神力59级</v>
          </cell>
          <cell r="B6259">
            <v>501459</v>
          </cell>
        </row>
        <row r="6260">
          <cell r="A6260" t="str">
            <v>金神力60级</v>
          </cell>
          <cell r="B6260">
            <v>501460</v>
          </cell>
        </row>
        <row r="6261">
          <cell r="A6261" t="str">
            <v>金神力61级</v>
          </cell>
          <cell r="B6261">
            <v>501461</v>
          </cell>
        </row>
        <row r="6262">
          <cell r="A6262" t="str">
            <v>金神力62级</v>
          </cell>
          <cell r="B6262">
            <v>501462</v>
          </cell>
        </row>
        <row r="6263">
          <cell r="A6263" t="str">
            <v>金神力63级</v>
          </cell>
          <cell r="B6263">
            <v>501463</v>
          </cell>
        </row>
        <row r="6264">
          <cell r="A6264" t="str">
            <v>金神力64级</v>
          </cell>
          <cell r="B6264">
            <v>501464</v>
          </cell>
        </row>
        <row r="6265">
          <cell r="A6265" t="str">
            <v>金神力65级</v>
          </cell>
          <cell r="B6265">
            <v>501465</v>
          </cell>
        </row>
        <row r="6266">
          <cell r="A6266" t="str">
            <v>金神力66级</v>
          </cell>
          <cell r="B6266">
            <v>501466</v>
          </cell>
        </row>
        <row r="6267">
          <cell r="A6267" t="str">
            <v>金神力67级</v>
          </cell>
          <cell r="B6267">
            <v>501467</v>
          </cell>
        </row>
        <row r="6268">
          <cell r="A6268" t="str">
            <v>金神力68级</v>
          </cell>
          <cell r="B6268">
            <v>501468</v>
          </cell>
        </row>
        <row r="6269">
          <cell r="A6269" t="str">
            <v>金神力69级</v>
          </cell>
          <cell r="B6269">
            <v>501469</v>
          </cell>
        </row>
        <row r="6270">
          <cell r="A6270" t="str">
            <v>金神力70级</v>
          </cell>
          <cell r="B6270">
            <v>501470</v>
          </cell>
        </row>
        <row r="6271">
          <cell r="A6271" t="str">
            <v>金神力71级</v>
          </cell>
          <cell r="B6271">
            <v>501471</v>
          </cell>
        </row>
        <row r="6272">
          <cell r="A6272" t="str">
            <v>金神力72级</v>
          </cell>
          <cell r="B6272">
            <v>501472</v>
          </cell>
        </row>
        <row r="6273">
          <cell r="A6273" t="str">
            <v>金神力73级</v>
          </cell>
          <cell r="B6273">
            <v>501473</v>
          </cell>
        </row>
        <row r="6274">
          <cell r="A6274" t="str">
            <v>金神力74级</v>
          </cell>
          <cell r="B6274">
            <v>501474</v>
          </cell>
        </row>
        <row r="6275">
          <cell r="A6275" t="str">
            <v>金神力75级</v>
          </cell>
          <cell r="B6275">
            <v>501475</v>
          </cell>
        </row>
        <row r="6276">
          <cell r="A6276" t="str">
            <v>金神力76级</v>
          </cell>
          <cell r="B6276">
            <v>501476</v>
          </cell>
        </row>
        <row r="6277">
          <cell r="A6277" t="str">
            <v>金神力77级</v>
          </cell>
          <cell r="B6277">
            <v>501477</v>
          </cell>
        </row>
        <row r="6278">
          <cell r="A6278" t="str">
            <v>金神力78级</v>
          </cell>
          <cell r="B6278">
            <v>501478</v>
          </cell>
        </row>
        <row r="6279">
          <cell r="A6279" t="str">
            <v>金神力79级</v>
          </cell>
          <cell r="B6279">
            <v>501479</v>
          </cell>
        </row>
        <row r="6280">
          <cell r="A6280" t="str">
            <v>金神力80级</v>
          </cell>
          <cell r="B6280">
            <v>501480</v>
          </cell>
        </row>
        <row r="6281">
          <cell r="A6281" t="str">
            <v>金神力81级</v>
          </cell>
          <cell r="B6281">
            <v>501481</v>
          </cell>
        </row>
        <row r="6282">
          <cell r="A6282" t="str">
            <v>金神力82级</v>
          </cell>
          <cell r="B6282">
            <v>501482</v>
          </cell>
        </row>
        <row r="6283">
          <cell r="A6283" t="str">
            <v>金神力83级</v>
          </cell>
          <cell r="B6283">
            <v>501483</v>
          </cell>
        </row>
        <row r="6284">
          <cell r="A6284" t="str">
            <v>金神力84级</v>
          </cell>
          <cell r="B6284">
            <v>501484</v>
          </cell>
        </row>
        <row r="6285">
          <cell r="A6285" t="str">
            <v>金神力85级</v>
          </cell>
          <cell r="B6285">
            <v>501485</v>
          </cell>
        </row>
        <row r="6286">
          <cell r="A6286" t="str">
            <v>金神力86级</v>
          </cell>
          <cell r="B6286">
            <v>501486</v>
          </cell>
        </row>
        <row r="6287">
          <cell r="A6287" t="str">
            <v>金神力87级</v>
          </cell>
          <cell r="B6287">
            <v>501487</v>
          </cell>
        </row>
        <row r="6288">
          <cell r="A6288" t="str">
            <v>金神力88级</v>
          </cell>
          <cell r="B6288">
            <v>501488</v>
          </cell>
        </row>
        <row r="6289">
          <cell r="A6289" t="str">
            <v>金神力89级</v>
          </cell>
          <cell r="B6289">
            <v>501489</v>
          </cell>
        </row>
        <row r="6290">
          <cell r="A6290" t="str">
            <v>金神力90级</v>
          </cell>
          <cell r="B6290">
            <v>501490</v>
          </cell>
        </row>
        <row r="6291">
          <cell r="A6291" t="str">
            <v>金神力91级</v>
          </cell>
          <cell r="B6291">
            <v>501491</v>
          </cell>
        </row>
        <row r="6292">
          <cell r="A6292" t="str">
            <v>金神力92级</v>
          </cell>
          <cell r="B6292">
            <v>501492</v>
          </cell>
        </row>
        <row r="6293">
          <cell r="A6293" t="str">
            <v>金神力93级</v>
          </cell>
          <cell r="B6293">
            <v>501493</v>
          </cell>
        </row>
        <row r="6294">
          <cell r="A6294" t="str">
            <v>金神力94级</v>
          </cell>
          <cell r="B6294">
            <v>501494</v>
          </cell>
        </row>
        <row r="6295">
          <cell r="A6295" t="str">
            <v>金神力95级</v>
          </cell>
          <cell r="B6295">
            <v>501495</v>
          </cell>
        </row>
        <row r="6296">
          <cell r="A6296" t="str">
            <v>金神力96级</v>
          </cell>
          <cell r="B6296">
            <v>501496</v>
          </cell>
        </row>
        <row r="6297">
          <cell r="A6297" t="str">
            <v>金神力97级</v>
          </cell>
          <cell r="B6297">
            <v>501497</v>
          </cell>
        </row>
        <row r="6298">
          <cell r="A6298" t="str">
            <v>金神力98级</v>
          </cell>
          <cell r="B6298">
            <v>501498</v>
          </cell>
        </row>
        <row r="6299">
          <cell r="A6299" t="str">
            <v>金神力99级</v>
          </cell>
          <cell r="B6299">
            <v>501499</v>
          </cell>
        </row>
        <row r="6300">
          <cell r="A6300" t="str">
            <v>金金汤1级</v>
          </cell>
          <cell r="B6300">
            <v>502401</v>
          </cell>
        </row>
        <row r="6301">
          <cell r="A6301" t="str">
            <v>金金汤2级</v>
          </cell>
          <cell r="B6301">
            <v>502402</v>
          </cell>
        </row>
        <row r="6302">
          <cell r="A6302" t="str">
            <v>金金汤3级</v>
          </cell>
          <cell r="B6302">
            <v>502403</v>
          </cell>
        </row>
        <row r="6303">
          <cell r="A6303" t="str">
            <v>金金汤4级</v>
          </cell>
          <cell r="B6303">
            <v>502404</v>
          </cell>
        </row>
        <row r="6304">
          <cell r="A6304" t="str">
            <v>金金汤5级</v>
          </cell>
          <cell r="B6304">
            <v>502405</v>
          </cell>
        </row>
        <row r="6305">
          <cell r="A6305" t="str">
            <v>金金汤6级</v>
          </cell>
          <cell r="B6305">
            <v>502406</v>
          </cell>
        </row>
        <row r="6306">
          <cell r="A6306" t="str">
            <v>金金汤7级</v>
          </cell>
          <cell r="B6306">
            <v>502407</v>
          </cell>
        </row>
        <row r="6307">
          <cell r="A6307" t="str">
            <v>金金汤8级</v>
          </cell>
          <cell r="B6307">
            <v>502408</v>
          </cell>
        </row>
        <row r="6308">
          <cell r="A6308" t="str">
            <v>金金汤9级</v>
          </cell>
          <cell r="B6308">
            <v>502409</v>
          </cell>
        </row>
        <row r="6309">
          <cell r="A6309" t="str">
            <v>金金汤10级</v>
          </cell>
          <cell r="B6309">
            <v>502410</v>
          </cell>
        </row>
        <row r="6310">
          <cell r="A6310" t="str">
            <v>金金汤11级</v>
          </cell>
          <cell r="B6310">
            <v>502411</v>
          </cell>
        </row>
        <row r="6311">
          <cell r="A6311" t="str">
            <v>金金汤12级</v>
          </cell>
          <cell r="B6311">
            <v>502412</v>
          </cell>
        </row>
        <row r="6312">
          <cell r="A6312" t="str">
            <v>金金汤13级</v>
          </cell>
          <cell r="B6312">
            <v>502413</v>
          </cell>
        </row>
        <row r="6313">
          <cell r="A6313" t="str">
            <v>金金汤14级</v>
          </cell>
          <cell r="B6313">
            <v>502414</v>
          </cell>
        </row>
        <row r="6314">
          <cell r="A6314" t="str">
            <v>金金汤15级</v>
          </cell>
          <cell r="B6314">
            <v>502415</v>
          </cell>
        </row>
        <row r="6315">
          <cell r="A6315" t="str">
            <v>金金汤16级</v>
          </cell>
          <cell r="B6315">
            <v>502416</v>
          </cell>
        </row>
        <row r="6316">
          <cell r="A6316" t="str">
            <v>金金汤17级</v>
          </cell>
          <cell r="B6316">
            <v>502417</v>
          </cell>
        </row>
        <row r="6317">
          <cell r="A6317" t="str">
            <v>金金汤18级</v>
          </cell>
          <cell r="B6317">
            <v>502418</v>
          </cell>
        </row>
        <row r="6318">
          <cell r="A6318" t="str">
            <v>金金汤19级</v>
          </cell>
          <cell r="B6318">
            <v>502419</v>
          </cell>
        </row>
        <row r="6319">
          <cell r="A6319" t="str">
            <v>金金汤20级</v>
          </cell>
          <cell r="B6319">
            <v>502420</v>
          </cell>
        </row>
        <row r="6320">
          <cell r="A6320" t="str">
            <v>金金汤21级</v>
          </cell>
          <cell r="B6320">
            <v>502421</v>
          </cell>
        </row>
        <row r="6321">
          <cell r="A6321" t="str">
            <v>金金汤22级</v>
          </cell>
          <cell r="B6321">
            <v>502422</v>
          </cell>
        </row>
        <row r="6322">
          <cell r="A6322" t="str">
            <v>金金汤23级</v>
          </cell>
          <cell r="B6322">
            <v>502423</v>
          </cell>
        </row>
        <row r="6323">
          <cell r="A6323" t="str">
            <v>金金汤24级</v>
          </cell>
          <cell r="B6323">
            <v>502424</v>
          </cell>
        </row>
        <row r="6324">
          <cell r="A6324" t="str">
            <v>金金汤25级</v>
          </cell>
          <cell r="B6324">
            <v>502425</v>
          </cell>
        </row>
        <row r="6325">
          <cell r="A6325" t="str">
            <v>金金汤26级</v>
          </cell>
          <cell r="B6325">
            <v>502426</v>
          </cell>
        </row>
        <row r="6326">
          <cell r="A6326" t="str">
            <v>金金汤27级</v>
          </cell>
          <cell r="B6326">
            <v>502427</v>
          </cell>
        </row>
        <row r="6327">
          <cell r="A6327" t="str">
            <v>金金汤28级</v>
          </cell>
          <cell r="B6327">
            <v>502428</v>
          </cell>
        </row>
        <row r="6328">
          <cell r="A6328" t="str">
            <v>金金汤29级</v>
          </cell>
          <cell r="B6328">
            <v>502429</v>
          </cell>
        </row>
        <row r="6329">
          <cell r="A6329" t="str">
            <v>金金汤30级</v>
          </cell>
          <cell r="B6329">
            <v>502430</v>
          </cell>
        </row>
        <row r="6330">
          <cell r="A6330" t="str">
            <v>金金汤31级</v>
          </cell>
          <cell r="B6330">
            <v>502431</v>
          </cell>
        </row>
        <row r="6331">
          <cell r="A6331" t="str">
            <v>金金汤32级</v>
          </cell>
          <cell r="B6331">
            <v>502432</v>
          </cell>
        </row>
        <row r="6332">
          <cell r="A6332" t="str">
            <v>金金汤33级</v>
          </cell>
          <cell r="B6332">
            <v>502433</v>
          </cell>
        </row>
        <row r="6333">
          <cell r="A6333" t="str">
            <v>金金汤34级</v>
          </cell>
          <cell r="B6333">
            <v>502434</v>
          </cell>
        </row>
        <row r="6334">
          <cell r="A6334" t="str">
            <v>金金汤35级</v>
          </cell>
          <cell r="B6334">
            <v>502435</v>
          </cell>
        </row>
        <row r="6335">
          <cell r="A6335" t="str">
            <v>金金汤36级</v>
          </cell>
          <cell r="B6335">
            <v>502436</v>
          </cell>
        </row>
        <row r="6336">
          <cell r="A6336" t="str">
            <v>金金汤37级</v>
          </cell>
          <cell r="B6336">
            <v>502437</v>
          </cell>
        </row>
        <row r="6337">
          <cell r="A6337" t="str">
            <v>金金汤38级</v>
          </cell>
          <cell r="B6337">
            <v>502438</v>
          </cell>
        </row>
        <row r="6338">
          <cell r="A6338" t="str">
            <v>金金汤39级</v>
          </cell>
          <cell r="B6338">
            <v>502439</v>
          </cell>
        </row>
        <row r="6339">
          <cell r="A6339" t="str">
            <v>金金汤40级</v>
          </cell>
          <cell r="B6339">
            <v>502440</v>
          </cell>
        </row>
        <row r="6340">
          <cell r="A6340" t="str">
            <v>金金汤41级</v>
          </cell>
          <cell r="B6340">
            <v>502441</v>
          </cell>
        </row>
        <row r="6341">
          <cell r="A6341" t="str">
            <v>金金汤42级</v>
          </cell>
          <cell r="B6341">
            <v>502442</v>
          </cell>
        </row>
        <row r="6342">
          <cell r="A6342" t="str">
            <v>金金汤43级</v>
          </cell>
          <cell r="B6342">
            <v>502443</v>
          </cell>
        </row>
        <row r="6343">
          <cell r="A6343" t="str">
            <v>金金汤44级</v>
          </cell>
          <cell r="B6343">
            <v>502444</v>
          </cell>
        </row>
        <row r="6344">
          <cell r="A6344" t="str">
            <v>金金汤45级</v>
          </cell>
          <cell r="B6344">
            <v>502445</v>
          </cell>
        </row>
        <row r="6345">
          <cell r="A6345" t="str">
            <v>金金汤46级</v>
          </cell>
          <cell r="B6345">
            <v>502446</v>
          </cell>
        </row>
        <row r="6346">
          <cell r="A6346" t="str">
            <v>金金汤47级</v>
          </cell>
          <cell r="B6346">
            <v>502447</v>
          </cell>
        </row>
        <row r="6347">
          <cell r="A6347" t="str">
            <v>金金汤48级</v>
          </cell>
          <cell r="B6347">
            <v>502448</v>
          </cell>
        </row>
        <row r="6348">
          <cell r="A6348" t="str">
            <v>金金汤49级</v>
          </cell>
          <cell r="B6348">
            <v>502449</v>
          </cell>
        </row>
        <row r="6349">
          <cell r="A6349" t="str">
            <v>金金汤50级</v>
          </cell>
          <cell r="B6349">
            <v>502450</v>
          </cell>
        </row>
        <row r="6350">
          <cell r="A6350" t="str">
            <v>金金汤51级</v>
          </cell>
          <cell r="B6350">
            <v>502451</v>
          </cell>
        </row>
        <row r="6351">
          <cell r="A6351" t="str">
            <v>金金汤52级</v>
          </cell>
          <cell r="B6351">
            <v>502452</v>
          </cell>
        </row>
        <row r="6352">
          <cell r="A6352" t="str">
            <v>金金汤53级</v>
          </cell>
          <cell r="B6352">
            <v>502453</v>
          </cell>
        </row>
        <row r="6353">
          <cell r="A6353" t="str">
            <v>金金汤54级</v>
          </cell>
          <cell r="B6353">
            <v>502454</v>
          </cell>
        </row>
        <row r="6354">
          <cell r="A6354" t="str">
            <v>金金汤55级</v>
          </cell>
          <cell r="B6354">
            <v>502455</v>
          </cell>
        </row>
        <row r="6355">
          <cell r="A6355" t="str">
            <v>金金汤56级</v>
          </cell>
          <cell r="B6355">
            <v>502456</v>
          </cell>
        </row>
        <row r="6356">
          <cell r="A6356" t="str">
            <v>金金汤57级</v>
          </cell>
          <cell r="B6356">
            <v>502457</v>
          </cell>
        </row>
        <row r="6357">
          <cell r="A6357" t="str">
            <v>金金汤58级</v>
          </cell>
          <cell r="B6357">
            <v>502458</v>
          </cell>
        </row>
        <row r="6358">
          <cell r="A6358" t="str">
            <v>金金汤59级</v>
          </cell>
          <cell r="B6358">
            <v>502459</v>
          </cell>
        </row>
        <row r="6359">
          <cell r="A6359" t="str">
            <v>金金汤60级</v>
          </cell>
          <cell r="B6359">
            <v>502460</v>
          </cell>
        </row>
        <row r="6360">
          <cell r="A6360" t="str">
            <v>金金汤61级</v>
          </cell>
          <cell r="B6360">
            <v>502461</v>
          </cell>
        </row>
        <row r="6361">
          <cell r="A6361" t="str">
            <v>金金汤62级</v>
          </cell>
          <cell r="B6361">
            <v>502462</v>
          </cell>
        </row>
        <row r="6362">
          <cell r="A6362" t="str">
            <v>金金汤63级</v>
          </cell>
          <cell r="B6362">
            <v>502463</v>
          </cell>
        </row>
        <row r="6363">
          <cell r="A6363" t="str">
            <v>金金汤64级</v>
          </cell>
          <cell r="B6363">
            <v>502464</v>
          </cell>
        </row>
        <row r="6364">
          <cell r="A6364" t="str">
            <v>金金汤65级</v>
          </cell>
          <cell r="B6364">
            <v>502465</v>
          </cell>
        </row>
        <row r="6365">
          <cell r="A6365" t="str">
            <v>金金汤66级</v>
          </cell>
          <cell r="B6365">
            <v>502466</v>
          </cell>
        </row>
        <row r="6366">
          <cell r="A6366" t="str">
            <v>金金汤67级</v>
          </cell>
          <cell r="B6366">
            <v>502467</v>
          </cell>
        </row>
        <row r="6367">
          <cell r="A6367" t="str">
            <v>金金汤68级</v>
          </cell>
          <cell r="B6367">
            <v>502468</v>
          </cell>
        </row>
        <row r="6368">
          <cell r="A6368" t="str">
            <v>金金汤69级</v>
          </cell>
          <cell r="B6368">
            <v>502469</v>
          </cell>
        </row>
        <row r="6369">
          <cell r="A6369" t="str">
            <v>金金汤70级</v>
          </cell>
          <cell r="B6369">
            <v>502470</v>
          </cell>
        </row>
        <row r="6370">
          <cell r="A6370" t="str">
            <v>金金汤71级</v>
          </cell>
          <cell r="B6370">
            <v>502471</v>
          </cell>
        </row>
        <row r="6371">
          <cell r="A6371" t="str">
            <v>金金汤72级</v>
          </cell>
          <cell r="B6371">
            <v>502472</v>
          </cell>
        </row>
        <row r="6372">
          <cell r="A6372" t="str">
            <v>金金汤73级</v>
          </cell>
          <cell r="B6372">
            <v>502473</v>
          </cell>
        </row>
        <row r="6373">
          <cell r="A6373" t="str">
            <v>金金汤74级</v>
          </cell>
          <cell r="B6373">
            <v>502474</v>
          </cell>
        </row>
        <row r="6374">
          <cell r="A6374" t="str">
            <v>金金汤75级</v>
          </cell>
          <cell r="B6374">
            <v>502475</v>
          </cell>
        </row>
        <row r="6375">
          <cell r="A6375" t="str">
            <v>金金汤76级</v>
          </cell>
          <cell r="B6375">
            <v>502476</v>
          </cell>
        </row>
        <row r="6376">
          <cell r="A6376" t="str">
            <v>金金汤77级</v>
          </cell>
          <cell r="B6376">
            <v>502477</v>
          </cell>
        </row>
        <row r="6377">
          <cell r="A6377" t="str">
            <v>金金汤78级</v>
          </cell>
          <cell r="B6377">
            <v>502478</v>
          </cell>
        </row>
        <row r="6378">
          <cell r="A6378" t="str">
            <v>金金汤79级</v>
          </cell>
          <cell r="B6378">
            <v>502479</v>
          </cell>
        </row>
        <row r="6379">
          <cell r="A6379" t="str">
            <v>金金汤80级</v>
          </cell>
          <cell r="B6379">
            <v>502480</v>
          </cell>
        </row>
        <row r="6380">
          <cell r="A6380" t="str">
            <v>金金汤81级</v>
          </cell>
          <cell r="B6380">
            <v>502481</v>
          </cell>
        </row>
        <row r="6381">
          <cell r="A6381" t="str">
            <v>金金汤82级</v>
          </cell>
          <cell r="B6381">
            <v>502482</v>
          </cell>
        </row>
        <row r="6382">
          <cell r="A6382" t="str">
            <v>金金汤83级</v>
          </cell>
          <cell r="B6382">
            <v>502483</v>
          </cell>
        </row>
        <row r="6383">
          <cell r="A6383" t="str">
            <v>金金汤84级</v>
          </cell>
          <cell r="B6383">
            <v>502484</v>
          </cell>
        </row>
        <row r="6384">
          <cell r="A6384" t="str">
            <v>金金汤85级</v>
          </cell>
          <cell r="B6384">
            <v>502485</v>
          </cell>
        </row>
        <row r="6385">
          <cell r="A6385" t="str">
            <v>金金汤86级</v>
          </cell>
          <cell r="B6385">
            <v>502486</v>
          </cell>
        </row>
        <row r="6386">
          <cell r="A6386" t="str">
            <v>金金汤87级</v>
          </cell>
          <cell r="B6386">
            <v>502487</v>
          </cell>
        </row>
        <row r="6387">
          <cell r="A6387" t="str">
            <v>金金汤88级</v>
          </cell>
          <cell r="B6387">
            <v>502488</v>
          </cell>
        </row>
        <row r="6388">
          <cell r="A6388" t="str">
            <v>金金汤89级</v>
          </cell>
          <cell r="B6388">
            <v>502489</v>
          </cell>
        </row>
        <row r="6389">
          <cell r="A6389" t="str">
            <v>金金汤90级</v>
          </cell>
          <cell r="B6389">
            <v>502490</v>
          </cell>
        </row>
        <row r="6390">
          <cell r="A6390" t="str">
            <v>金金汤91级</v>
          </cell>
          <cell r="B6390">
            <v>502491</v>
          </cell>
        </row>
        <row r="6391">
          <cell r="A6391" t="str">
            <v>金金汤92级</v>
          </cell>
          <cell r="B6391">
            <v>502492</v>
          </cell>
        </row>
        <row r="6392">
          <cell r="A6392" t="str">
            <v>金金汤93级</v>
          </cell>
          <cell r="B6392">
            <v>502493</v>
          </cell>
        </row>
        <row r="6393">
          <cell r="A6393" t="str">
            <v>金金汤94级</v>
          </cell>
          <cell r="B6393">
            <v>502494</v>
          </cell>
        </row>
        <row r="6394">
          <cell r="A6394" t="str">
            <v>金金汤95级</v>
          </cell>
          <cell r="B6394">
            <v>502495</v>
          </cell>
        </row>
        <row r="6395">
          <cell r="A6395" t="str">
            <v>金金汤96级</v>
          </cell>
          <cell r="B6395">
            <v>502496</v>
          </cell>
        </row>
        <row r="6396">
          <cell r="A6396" t="str">
            <v>金金汤97级</v>
          </cell>
          <cell r="B6396">
            <v>502497</v>
          </cell>
        </row>
        <row r="6397">
          <cell r="A6397" t="str">
            <v>金金汤98级</v>
          </cell>
          <cell r="B6397">
            <v>502498</v>
          </cell>
        </row>
        <row r="6398">
          <cell r="A6398" t="str">
            <v>金金汤99级</v>
          </cell>
          <cell r="B6398">
            <v>502499</v>
          </cell>
        </row>
        <row r="6399">
          <cell r="A6399" t="str">
            <v>金长生1级</v>
          </cell>
          <cell r="B6399">
            <v>503401</v>
          </cell>
        </row>
        <row r="6400">
          <cell r="A6400" t="str">
            <v>金长生2级</v>
          </cell>
          <cell r="B6400">
            <v>503402</v>
          </cell>
        </row>
        <row r="6401">
          <cell r="A6401" t="str">
            <v>金长生3级</v>
          </cell>
          <cell r="B6401">
            <v>503403</v>
          </cell>
        </row>
        <row r="6402">
          <cell r="A6402" t="str">
            <v>金长生4级</v>
          </cell>
          <cell r="B6402">
            <v>503404</v>
          </cell>
        </row>
        <row r="6403">
          <cell r="A6403" t="str">
            <v>金长生5级</v>
          </cell>
          <cell r="B6403">
            <v>503405</v>
          </cell>
        </row>
        <row r="6404">
          <cell r="A6404" t="str">
            <v>金长生6级</v>
          </cell>
          <cell r="B6404">
            <v>503406</v>
          </cell>
        </row>
        <row r="6405">
          <cell r="A6405" t="str">
            <v>金长生7级</v>
          </cell>
          <cell r="B6405">
            <v>503407</v>
          </cell>
        </row>
        <row r="6406">
          <cell r="A6406" t="str">
            <v>金长生8级</v>
          </cell>
          <cell r="B6406">
            <v>503408</v>
          </cell>
        </row>
        <row r="6407">
          <cell r="A6407" t="str">
            <v>金长生9级</v>
          </cell>
          <cell r="B6407">
            <v>503409</v>
          </cell>
        </row>
        <row r="6408">
          <cell r="A6408" t="str">
            <v>金长生10级</v>
          </cell>
          <cell r="B6408">
            <v>503410</v>
          </cell>
        </row>
        <row r="6409">
          <cell r="A6409" t="str">
            <v>金长生11级</v>
          </cell>
          <cell r="B6409">
            <v>503411</v>
          </cell>
        </row>
        <row r="6410">
          <cell r="A6410" t="str">
            <v>金长生12级</v>
          </cell>
          <cell r="B6410">
            <v>503412</v>
          </cell>
        </row>
        <row r="6411">
          <cell r="A6411" t="str">
            <v>金长生13级</v>
          </cell>
          <cell r="B6411">
            <v>503413</v>
          </cell>
        </row>
        <row r="6412">
          <cell r="A6412" t="str">
            <v>金长生14级</v>
          </cell>
          <cell r="B6412">
            <v>503414</v>
          </cell>
        </row>
        <row r="6413">
          <cell r="A6413" t="str">
            <v>金长生15级</v>
          </cell>
          <cell r="B6413">
            <v>503415</v>
          </cell>
        </row>
        <row r="6414">
          <cell r="A6414" t="str">
            <v>金长生16级</v>
          </cell>
          <cell r="B6414">
            <v>503416</v>
          </cell>
        </row>
        <row r="6415">
          <cell r="A6415" t="str">
            <v>金长生17级</v>
          </cell>
          <cell r="B6415">
            <v>503417</v>
          </cell>
        </row>
        <row r="6416">
          <cell r="A6416" t="str">
            <v>金长生18级</v>
          </cell>
          <cell r="B6416">
            <v>503418</v>
          </cell>
        </row>
        <row r="6417">
          <cell r="A6417" t="str">
            <v>金长生19级</v>
          </cell>
          <cell r="B6417">
            <v>503419</v>
          </cell>
        </row>
        <row r="6418">
          <cell r="A6418" t="str">
            <v>金长生20级</v>
          </cell>
          <cell r="B6418">
            <v>503420</v>
          </cell>
        </row>
        <row r="6419">
          <cell r="A6419" t="str">
            <v>金长生21级</v>
          </cell>
          <cell r="B6419">
            <v>503421</v>
          </cell>
        </row>
        <row r="6420">
          <cell r="A6420" t="str">
            <v>金长生22级</v>
          </cell>
          <cell r="B6420">
            <v>503422</v>
          </cell>
        </row>
        <row r="6421">
          <cell r="A6421" t="str">
            <v>金长生23级</v>
          </cell>
          <cell r="B6421">
            <v>503423</v>
          </cell>
        </row>
        <row r="6422">
          <cell r="A6422" t="str">
            <v>金长生24级</v>
          </cell>
          <cell r="B6422">
            <v>503424</v>
          </cell>
        </row>
        <row r="6423">
          <cell r="A6423" t="str">
            <v>金长生25级</v>
          </cell>
          <cell r="B6423">
            <v>503425</v>
          </cell>
        </row>
        <row r="6424">
          <cell r="A6424" t="str">
            <v>金长生26级</v>
          </cell>
          <cell r="B6424">
            <v>503426</v>
          </cell>
        </row>
        <row r="6425">
          <cell r="A6425" t="str">
            <v>金长生27级</v>
          </cell>
          <cell r="B6425">
            <v>503427</v>
          </cell>
        </row>
        <row r="6426">
          <cell r="A6426" t="str">
            <v>金长生28级</v>
          </cell>
          <cell r="B6426">
            <v>503428</v>
          </cell>
        </row>
        <row r="6427">
          <cell r="A6427" t="str">
            <v>金长生29级</v>
          </cell>
          <cell r="B6427">
            <v>503429</v>
          </cell>
        </row>
        <row r="6428">
          <cell r="A6428" t="str">
            <v>金长生30级</v>
          </cell>
          <cell r="B6428">
            <v>503430</v>
          </cell>
        </row>
        <row r="6429">
          <cell r="A6429" t="str">
            <v>金长生31级</v>
          </cell>
          <cell r="B6429">
            <v>503431</v>
          </cell>
        </row>
        <row r="6430">
          <cell r="A6430" t="str">
            <v>金长生32级</v>
          </cell>
          <cell r="B6430">
            <v>503432</v>
          </cell>
        </row>
        <row r="6431">
          <cell r="A6431" t="str">
            <v>金长生33级</v>
          </cell>
          <cell r="B6431">
            <v>503433</v>
          </cell>
        </row>
        <row r="6432">
          <cell r="A6432" t="str">
            <v>金长生34级</v>
          </cell>
          <cell r="B6432">
            <v>503434</v>
          </cell>
        </row>
        <row r="6433">
          <cell r="A6433" t="str">
            <v>金长生35级</v>
          </cell>
          <cell r="B6433">
            <v>503435</v>
          </cell>
        </row>
        <row r="6434">
          <cell r="A6434" t="str">
            <v>金长生36级</v>
          </cell>
          <cell r="B6434">
            <v>503436</v>
          </cell>
        </row>
        <row r="6435">
          <cell r="A6435" t="str">
            <v>金长生37级</v>
          </cell>
          <cell r="B6435">
            <v>503437</v>
          </cell>
        </row>
        <row r="6436">
          <cell r="A6436" t="str">
            <v>金长生38级</v>
          </cell>
          <cell r="B6436">
            <v>503438</v>
          </cell>
        </row>
        <row r="6437">
          <cell r="A6437" t="str">
            <v>金长生39级</v>
          </cell>
          <cell r="B6437">
            <v>503439</v>
          </cell>
        </row>
        <row r="6438">
          <cell r="A6438" t="str">
            <v>金长生40级</v>
          </cell>
          <cell r="B6438">
            <v>503440</v>
          </cell>
        </row>
        <row r="6439">
          <cell r="A6439" t="str">
            <v>金长生41级</v>
          </cell>
          <cell r="B6439">
            <v>503441</v>
          </cell>
        </row>
        <row r="6440">
          <cell r="A6440" t="str">
            <v>金长生42级</v>
          </cell>
          <cell r="B6440">
            <v>503442</v>
          </cell>
        </row>
        <row r="6441">
          <cell r="A6441" t="str">
            <v>金长生43级</v>
          </cell>
          <cell r="B6441">
            <v>503443</v>
          </cell>
        </row>
        <row r="6442">
          <cell r="A6442" t="str">
            <v>金长生44级</v>
          </cell>
          <cell r="B6442">
            <v>503444</v>
          </cell>
        </row>
        <row r="6443">
          <cell r="A6443" t="str">
            <v>金长生45级</v>
          </cell>
          <cell r="B6443">
            <v>503445</v>
          </cell>
        </row>
        <row r="6444">
          <cell r="A6444" t="str">
            <v>金长生46级</v>
          </cell>
          <cell r="B6444">
            <v>503446</v>
          </cell>
        </row>
        <row r="6445">
          <cell r="A6445" t="str">
            <v>金长生47级</v>
          </cell>
          <cell r="B6445">
            <v>503447</v>
          </cell>
        </row>
        <row r="6446">
          <cell r="A6446" t="str">
            <v>金长生48级</v>
          </cell>
          <cell r="B6446">
            <v>503448</v>
          </cell>
        </row>
        <row r="6447">
          <cell r="A6447" t="str">
            <v>金长生49级</v>
          </cell>
          <cell r="B6447">
            <v>503449</v>
          </cell>
        </row>
        <row r="6448">
          <cell r="A6448" t="str">
            <v>金长生50级</v>
          </cell>
          <cell r="B6448">
            <v>503450</v>
          </cell>
        </row>
        <row r="6449">
          <cell r="A6449" t="str">
            <v>金长生51级</v>
          </cell>
          <cell r="B6449">
            <v>503451</v>
          </cell>
        </row>
        <row r="6450">
          <cell r="A6450" t="str">
            <v>金长生52级</v>
          </cell>
          <cell r="B6450">
            <v>503452</v>
          </cell>
        </row>
        <row r="6451">
          <cell r="A6451" t="str">
            <v>金长生53级</v>
          </cell>
          <cell r="B6451">
            <v>503453</v>
          </cell>
        </row>
        <row r="6452">
          <cell r="A6452" t="str">
            <v>金长生54级</v>
          </cell>
          <cell r="B6452">
            <v>503454</v>
          </cell>
        </row>
        <row r="6453">
          <cell r="A6453" t="str">
            <v>金长生55级</v>
          </cell>
          <cell r="B6453">
            <v>503455</v>
          </cell>
        </row>
        <row r="6454">
          <cell r="A6454" t="str">
            <v>金长生56级</v>
          </cell>
          <cell r="B6454">
            <v>503456</v>
          </cell>
        </row>
        <row r="6455">
          <cell r="A6455" t="str">
            <v>金长生57级</v>
          </cell>
          <cell r="B6455">
            <v>503457</v>
          </cell>
        </row>
        <row r="6456">
          <cell r="A6456" t="str">
            <v>金长生58级</v>
          </cell>
          <cell r="B6456">
            <v>503458</v>
          </cell>
        </row>
        <row r="6457">
          <cell r="A6457" t="str">
            <v>金长生59级</v>
          </cell>
          <cell r="B6457">
            <v>503459</v>
          </cell>
        </row>
        <row r="6458">
          <cell r="A6458" t="str">
            <v>金长生60级</v>
          </cell>
          <cell r="B6458">
            <v>503460</v>
          </cell>
        </row>
        <row r="6459">
          <cell r="A6459" t="str">
            <v>金长生61级</v>
          </cell>
          <cell r="B6459">
            <v>503461</v>
          </cell>
        </row>
        <row r="6460">
          <cell r="A6460" t="str">
            <v>金长生62级</v>
          </cell>
          <cell r="B6460">
            <v>503462</v>
          </cell>
        </row>
        <row r="6461">
          <cell r="A6461" t="str">
            <v>金长生63级</v>
          </cell>
          <cell r="B6461">
            <v>503463</v>
          </cell>
        </row>
        <row r="6462">
          <cell r="A6462" t="str">
            <v>金长生64级</v>
          </cell>
          <cell r="B6462">
            <v>503464</v>
          </cell>
        </row>
        <row r="6463">
          <cell r="A6463" t="str">
            <v>金长生65级</v>
          </cell>
          <cell r="B6463">
            <v>503465</v>
          </cell>
        </row>
        <row r="6464">
          <cell r="A6464" t="str">
            <v>金长生66级</v>
          </cell>
          <cell r="B6464">
            <v>503466</v>
          </cell>
        </row>
        <row r="6465">
          <cell r="A6465" t="str">
            <v>金长生67级</v>
          </cell>
          <cell r="B6465">
            <v>503467</v>
          </cell>
        </row>
        <row r="6466">
          <cell r="A6466" t="str">
            <v>金长生68级</v>
          </cell>
          <cell r="B6466">
            <v>503468</v>
          </cell>
        </row>
        <row r="6467">
          <cell r="A6467" t="str">
            <v>金长生69级</v>
          </cell>
          <cell r="B6467">
            <v>503469</v>
          </cell>
        </row>
        <row r="6468">
          <cell r="A6468" t="str">
            <v>金长生70级</v>
          </cell>
          <cell r="B6468">
            <v>503470</v>
          </cell>
        </row>
        <row r="6469">
          <cell r="A6469" t="str">
            <v>金长生71级</v>
          </cell>
          <cell r="B6469">
            <v>503471</v>
          </cell>
        </row>
        <row r="6470">
          <cell r="A6470" t="str">
            <v>金长生72级</v>
          </cell>
          <cell r="B6470">
            <v>503472</v>
          </cell>
        </row>
        <row r="6471">
          <cell r="A6471" t="str">
            <v>金长生73级</v>
          </cell>
          <cell r="B6471">
            <v>503473</v>
          </cell>
        </row>
        <row r="6472">
          <cell r="A6472" t="str">
            <v>金长生74级</v>
          </cell>
          <cell r="B6472">
            <v>503474</v>
          </cell>
        </row>
        <row r="6473">
          <cell r="A6473" t="str">
            <v>金长生75级</v>
          </cell>
          <cell r="B6473">
            <v>503475</v>
          </cell>
        </row>
        <row r="6474">
          <cell r="A6474" t="str">
            <v>金长生76级</v>
          </cell>
          <cell r="B6474">
            <v>503476</v>
          </cell>
        </row>
        <row r="6475">
          <cell r="A6475" t="str">
            <v>金长生77级</v>
          </cell>
          <cell r="B6475">
            <v>503477</v>
          </cell>
        </row>
        <row r="6476">
          <cell r="A6476" t="str">
            <v>金长生78级</v>
          </cell>
          <cell r="B6476">
            <v>503478</v>
          </cell>
        </row>
        <row r="6477">
          <cell r="A6477" t="str">
            <v>金长生79级</v>
          </cell>
          <cell r="B6477">
            <v>503479</v>
          </cell>
        </row>
        <row r="6478">
          <cell r="A6478" t="str">
            <v>金长生80级</v>
          </cell>
          <cell r="B6478">
            <v>503480</v>
          </cell>
        </row>
        <row r="6479">
          <cell r="A6479" t="str">
            <v>金长生81级</v>
          </cell>
          <cell r="B6479">
            <v>503481</v>
          </cell>
        </row>
        <row r="6480">
          <cell r="A6480" t="str">
            <v>金长生82级</v>
          </cell>
          <cell r="B6480">
            <v>503482</v>
          </cell>
        </row>
        <row r="6481">
          <cell r="A6481" t="str">
            <v>金长生83级</v>
          </cell>
          <cell r="B6481">
            <v>503483</v>
          </cell>
        </row>
        <row r="6482">
          <cell r="A6482" t="str">
            <v>金长生84级</v>
          </cell>
          <cell r="B6482">
            <v>503484</v>
          </cell>
        </row>
        <row r="6483">
          <cell r="A6483" t="str">
            <v>金长生85级</v>
          </cell>
          <cell r="B6483">
            <v>503485</v>
          </cell>
        </row>
        <row r="6484">
          <cell r="A6484" t="str">
            <v>金长生86级</v>
          </cell>
          <cell r="B6484">
            <v>503486</v>
          </cell>
        </row>
        <row r="6485">
          <cell r="A6485" t="str">
            <v>金长生87级</v>
          </cell>
          <cell r="B6485">
            <v>503487</v>
          </cell>
        </row>
        <row r="6486">
          <cell r="A6486" t="str">
            <v>金长生88级</v>
          </cell>
          <cell r="B6486">
            <v>503488</v>
          </cell>
        </row>
        <row r="6487">
          <cell r="A6487" t="str">
            <v>金长生89级</v>
          </cell>
          <cell r="B6487">
            <v>503489</v>
          </cell>
        </row>
        <row r="6488">
          <cell r="A6488" t="str">
            <v>金长生90级</v>
          </cell>
          <cell r="B6488">
            <v>503490</v>
          </cell>
        </row>
        <row r="6489">
          <cell r="A6489" t="str">
            <v>金长生91级</v>
          </cell>
          <cell r="B6489">
            <v>503491</v>
          </cell>
        </row>
        <row r="6490">
          <cell r="A6490" t="str">
            <v>金长生92级</v>
          </cell>
          <cell r="B6490">
            <v>503492</v>
          </cell>
        </row>
        <row r="6491">
          <cell r="A6491" t="str">
            <v>金长生93级</v>
          </cell>
          <cell r="B6491">
            <v>503493</v>
          </cell>
        </row>
        <row r="6492">
          <cell r="A6492" t="str">
            <v>金长生94级</v>
          </cell>
          <cell r="B6492">
            <v>503494</v>
          </cell>
        </row>
        <row r="6493">
          <cell r="A6493" t="str">
            <v>金长生95级</v>
          </cell>
          <cell r="B6493">
            <v>503495</v>
          </cell>
        </row>
        <row r="6494">
          <cell r="A6494" t="str">
            <v>金长生96级</v>
          </cell>
          <cell r="B6494">
            <v>503496</v>
          </cell>
        </row>
        <row r="6495">
          <cell r="A6495" t="str">
            <v>金长生97级</v>
          </cell>
          <cell r="B6495">
            <v>503497</v>
          </cell>
        </row>
        <row r="6496">
          <cell r="A6496" t="str">
            <v>金长生98级</v>
          </cell>
          <cell r="B6496">
            <v>503498</v>
          </cell>
        </row>
        <row r="6497">
          <cell r="A6497" t="str">
            <v>金长生99级</v>
          </cell>
          <cell r="B6497">
            <v>503499</v>
          </cell>
        </row>
        <row r="6498">
          <cell r="A6498" t="str">
            <v>金光武1级</v>
          </cell>
          <cell r="B6498">
            <v>504401</v>
          </cell>
        </row>
        <row r="6499">
          <cell r="A6499" t="str">
            <v>金光武2级</v>
          </cell>
          <cell r="B6499">
            <v>504402</v>
          </cell>
        </row>
        <row r="6500">
          <cell r="A6500" t="str">
            <v>金光武3级</v>
          </cell>
          <cell r="B6500">
            <v>504403</v>
          </cell>
        </row>
        <row r="6501">
          <cell r="A6501" t="str">
            <v>金光武4级</v>
          </cell>
          <cell r="B6501">
            <v>504404</v>
          </cell>
        </row>
        <row r="6502">
          <cell r="A6502" t="str">
            <v>金光武5级</v>
          </cell>
          <cell r="B6502">
            <v>504405</v>
          </cell>
        </row>
        <row r="6503">
          <cell r="A6503" t="str">
            <v>金光武6级</v>
          </cell>
          <cell r="B6503">
            <v>504406</v>
          </cell>
        </row>
        <row r="6504">
          <cell r="A6504" t="str">
            <v>金光武7级</v>
          </cell>
          <cell r="B6504">
            <v>504407</v>
          </cell>
        </row>
        <row r="6505">
          <cell r="A6505" t="str">
            <v>金光武8级</v>
          </cell>
          <cell r="B6505">
            <v>504408</v>
          </cell>
        </row>
        <row r="6506">
          <cell r="A6506" t="str">
            <v>金光武9级</v>
          </cell>
          <cell r="B6506">
            <v>504409</v>
          </cell>
        </row>
        <row r="6507">
          <cell r="A6507" t="str">
            <v>金光武10级</v>
          </cell>
          <cell r="B6507">
            <v>504410</v>
          </cell>
        </row>
        <row r="6508">
          <cell r="A6508" t="str">
            <v>金光武11级</v>
          </cell>
          <cell r="B6508">
            <v>504411</v>
          </cell>
        </row>
        <row r="6509">
          <cell r="A6509" t="str">
            <v>金光武12级</v>
          </cell>
          <cell r="B6509">
            <v>504412</v>
          </cell>
        </row>
        <row r="6510">
          <cell r="A6510" t="str">
            <v>金光武13级</v>
          </cell>
          <cell r="B6510">
            <v>504413</v>
          </cell>
        </row>
        <row r="6511">
          <cell r="A6511" t="str">
            <v>金光武14级</v>
          </cell>
          <cell r="B6511">
            <v>504414</v>
          </cell>
        </row>
        <row r="6512">
          <cell r="A6512" t="str">
            <v>金光武15级</v>
          </cell>
          <cell r="B6512">
            <v>504415</v>
          </cell>
        </row>
        <row r="6513">
          <cell r="A6513" t="str">
            <v>金光武16级</v>
          </cell>
          <cell r="B6513">
            <v>504416</v>
          </cell>
        </row>
        <row r="6514">
          <cell r="A6514" t="str">
            <v>金光武17级</v>
          </cell>
          <cell r="B6514">
            <v>504417</v>
          </cell>
        </row>
        <row r="6515">
          <cell r="A6515" t="str">
            <v>金光武18级</v>
          </cell>
          <cell r="B6515">
            <v>504418</v>
          </cell>
        </row>
        <row r="6516">
          <cell r="A6516" t="str">
            <v>金光武19级</v>
          </cell>
          <cell r="B6516">
            <v>504419</v>
          </cell>
        </row>
        <row r="6517">
          <cell r="A6517" t="str">
            <v>金光武20级</v>
          </cell>
          <cell r="B6517">
            <v>504420</v>
          </cell>
        </row>
        <row r="6518">
          <cell r="A6518" t="str">
            <v>金光武21级</v>
          </cell>
          <cell r="B6518">
            <v>504421</v>
          </cell>
        </row>
        <row r="6519">
          <cell r="A6519" t="str">
            <v>金光武22级</v>
          </cell>
          <cell r="B6519">
            <v>504422</v>
          </cell>
        </row>
        <row r="6520">
          <cell r="A6520" t="str">
            <v>金光武23级</v>
          </cell>
          <cell r="B6520">
            <v>504423</v>
          </cell>
        </row>
        <row r="6521">
          <cell r="A6521" t="str">
            <v>金光武24级</v>
          </cell>
          <cell r="B6521">
            <v>504424</v>
          </cell>
        </row>
        <row r="6522">
          <cell r="A6522" t="str">
            <v>金光武25级</v>
          </cell>
          <cell r="B6522">
            <v>504425</v>
          </cell>
        </row>
        <row r="6523">
          <cell r="A6523" t="str">
            <v>金光武26级</v>
          </cell>
          <cell r="B6523">
            <v>504426</v>
          </cell>
        </row>
        <row r="6524">
          <cell r="A6524" t="str">
            <v>金光武27级</v>
          </cell>
          <cell r="B6524">
            <v>504427</v>
          </cell>
        </row>
        <row r="6525">
          <cell r="A6525" t="str">
            <v>金光武28级</v>
          </cell>
          <cell r="B6525">
            <v>504428</v>
          </cell>
        </row>
        <row r="6526">
          <cell r="A6526" t="str">
            <v>金光武29级</v>
          </cell>
          <cell r="B6526">
            <v>504429</v>
          </cell>
        </row>
        <row r="6527">
          <cell r="A6527" t="str">
            <v>金光武30级</v>
          </cell>
          <cell r="B6527">
            <v>504430</v>
          </cell>
        </row>
        <row r="6528">
          <cell r="A6528" t="str">
            <v>金光武31级</v>
          </cell>
          <cell r="B6528">
            <v>504431</v>
          </cell>
        </row>
        <row r="6529">
          <cell r="A6529" t="str">
            <v>金光武32级</v>
          </cell>
          <cell r="B6529">
            <v>504432</v>
          </cell>
        </row>
        <row r="6530">
          <cell r="A6530" t="str">
            <v>金光武33级</v>
          </cell>
          <cell r="B6530">
            <v>504433</v>
          </cell>
        </row>
        <row r="6531">
          <cell r="A6531" t="str">
            <v>金光武34级</v>
          </cell>
          <cell r="B6531">
            <v>504434</v>
          </cell>
        </row>
        <row r="6532">
          <cell r="A6532" t="str">
            <v>金光武35级</v>
          </cell>
          <cell r="B6532">
            <v>504435</v>
          </cell>
        </row>
        <row r="6533">
          <cell r="A6533" t="str">
            <v>金光武36级</v>
          </cell>
          <cell r="B6533">
            <v>504436</v>
          </cell>
        </row>
        <row r="6534">
          <cell r="A6534" t="str">
            <v>金光武37级</v>
          </cell>
          <cell r="B6534">
            <v>504437</v>
          </cell>
        </row>
        <row r="6535">
          <cell r="A6535" t="str">
            <v>金光武38级</v>
          </cell>
          <cell r="B6535">
            <v>504438</v>
          </cell>
        </row>
        <row r="6536">
          <cell r="A6536" t="str">
            <v>金光武39级</v>
          </cell>
          <cell r="B6536">
            <v>504439</v>
          </cell>
        </row>
        <row r="6537">
          <cell r="A6537" t="str">
            <v>金光武40级</v>
          </cell>
          <cell r="B6537">
            <v>504440</v>
          </cell>
        </row>
        <row r="6538">
          <cell r="A6538" t="str">
            <v>金光武41级</v>
          </cell>
          <cell r="B6538">
            <v>504441</v>
          </cell>
        </row>
        <row r="6539">
          <cell r="A6539" t="str">
            <v>金光武42级</v>
          </cell>
          <cell r="B6539">
            <v>504442</v>
          </cell>
        </row>
        <row r="6540">
          <cell r="A6540" t="str">
            <v>金光武43级</v>
          </cell>
          <cell r="B6540">
            <v>504443</v>
          </cell>
        </row>
        <row r="6541">
          <cell r="A6541" t="str">
            <v>金光武44级</v>
          </cell>
          <cell r="B6541">
            <v>504444</v>
          </cell>
        </row>
        <row r="6542">
          <cell r="A6542" t="str">
            <v>金光武45级</v>
          </cell>
          <cell r="B6542">
            <v>504445</v>
          </cell>
        </row>
        <row r="6543">
          <cell r="A6543" t="str">
            <v>金光武46级</v>
          </cell>
          <cell r="B6543">
            <v>504446</v>
          </cell>
        </row>
        <row r="6544">
          <cell r="A6544" t="str">
            <v>金光武47级</v>
          </cell>
          <cell r="B6544">
            <v>504447</v>
          </cell>
        </row>
        <row r="6545">
          <cell r="A6545" t="str">
            <v>金光武48级</v>
          </cell>
          <cell r="B6545">
            <v>504448</v>
          </cell>
        </row>
        <row r="6546">
          <cell r="A6546" t="str">
            <v>金光武49级</v>
          </cell>
          <cell r="B6546">
            <v>504449</v>
          </cell>
        </row>
        <row r="6547">
          <cell r="A6547" t="str">
            <v>金光武50级</v>
          </cell>
          <cell r="B6547">
            <v>504450</v>
          </cell>
        </row>
        <row r="6548">
          <cell r="A6548" t="str">
            <v>金光武51级</v>
          </cell>
          <cell r="B6548">
            <v>504451</v>
          </cell>
        </row>
        <row r="6549">
          <cell r="A6549" t="str">
            <v>金光武52级</v>
          </cell>
          <cell r="B6549">
            <v>504452</v>
          </cell>
        </row>
        <row r="6550">
          <cell r="A6550" t="str">
            <v>金光武53级</v>
          </cell>
          <cell r="B6550">
            <v>504453</v>
          </cell>
        </row>
        <row r="6551">
          <cell r="A6551" t="str">
            <v>金光武54级</v>
          </cell>
          <cell r="B6551">
            <v>504454</v>
          </cell>
        </row>
        <row r="6552">
          <cell r="A6552" t="str">
            <v>金光武55级</v>
          </cell>
          <cell r="B6552">
            <v>504455</v>
          </cell>
        </row>
        <row r="6553">
          <cell r="A6553" t="str">
            <v>金光武56级</v>
          </cell>
          <cell r="B6553">
            <v>504456</v>
          </cell>
        </row>
        <row r="6554">
          <cell r="A6554" t="str">
            <v>金光武57级</v>
          </cell>
          <cell r="B6554">
            <v>504457</v>
          </cell>
        </row>
        <row r="6555">
          <cell r="A6555" t="str">
            <v>金光武58级</v>
          </cell>
          <cell r="B6555">
            <v>504458</v>
          </cell>
        </row>
        <row r="6556">
          <cell r="A6556" t="str">
            <v>金光武59级</v>
          </cell>
          <cell r="B6556">
            <v>504459</v>
          </cell>
        </row>
        <row r="6557">
          <cell r="A6557" t="str">
            <v>金光武60级</v>
          </cell>
          <cell r="B6557">
            <v>504460</v>
          </cell>
        </row>
        <row r="6558">
          <cell r="A6558" t="str">
            <v>金光武61级</v>
          </cell>
          <cell r="B6558">
            <v>504461</v>
          </cell>
        </row>
        <row r="6559">
          <cell r="A6559" t="str">
            <v>金光武62级</v>
          </cell>
          <cell r="B6559">
            <v>504462</v>
          </cell>
        </row>
        <row r="6560">
          <cell r="A6560" t="str">
            <v>金光武63级</v>
          </cell>
          <cell r="B6560">
            <v>504463</v>
          </cell>
        </row>
        <row r="6561">
          <cell r="A6561" t="str">
            <v>金光武64级</v>
          </cell>
          <cell r="B6561">
            <v>504464</v>
          </cell>
        </row>
        <row r="6562">
          <cell r="A6562" t="str">
            <v>金光武65级</v>
          </cell>
          <cell r="B6562">
            <v>504465</v>
          </cell>
        </row>
        <row r="6563">
          <cell r="A6563" t="str">
            <v>金光武66级</v>
          </cell>
          <cell r="B6563">
            <v>504466</v>
          </cell>
        </row>
        <row r="6564">
          <cell r="A6564" t="str">
            <v>金光武67级</v>
          </cell>
          <cell r="B6564">
            <v>504467</v>
          </cell>
        </row>
        <row r="6565">
          <cell r="A6565" t="str">
            <v>金光武68级</v>
          </cell>
          <cell r="B6565">
            <v>504468</v>
          </cell>
        </row>
        <row r="6566">
          <cell r="A6566" t="str">
            <v>金光武69级</v>
          </cell>
          <cell r="B6566">
            <v>504469</v>
          </cell>
        </row>
        <row r="6567">
          <cell r="A6567" t="str">
            <v>金光武70级</v>
          </cell>
          <cell r="B6567">
            <v>504470</v>
          </cell>
        </row>
        <row r="6568">
          <cell r="A6568" t="str">
            <v>金光武71级</v>
          </cell>
          <cell r="B6568">
            <v>504471</v>
          </cell>
        </row>
        <row r="6569">
          <cell r="A6569" t="str">
            <v>金光武72级</v>
          </cell>
          <cell r="B6569">
            <v>504472</v>
          </cell>
        </row>
        <row r="6570">
          <cell r="A6570" t="str">
            <v>金光武73级</v>
          </cell>
          <cell r="B6570">
            <v>504473</v>
          </cell>
        </row>
        <row r="6571">
          <cell r="A6571" t="str">
            <v>金光武74级</v>
          </cell>
          <cell r="B6571">
            <v>504474</v>
          </cell>
        </row>
        <row r="6572">
          <cell r="A6572" t="str">
            <v>金光武75级</v>
          </cell>
          <cell r="B6572">
            <v>504475</v>
          </cell>
        </row>
        <row r="6573">
          <cell r="A6573" t="str">
            <v>金光武76级</v>
          </cell>
          <cell r="B6573">
            <v>504476</v>
          </cell>
        </row>
        <row r="6574">
          <cell r="A6574" t="str">
            <v>金光武77级</v>
          </cell>
          <cell r="B6574">
            <v>504477</v>
          </cell>
        </row>
        <row r="6575">
          <cell r="A6575" t="str">
            <v>金光武78级</v>
          </cell>
          <cell r="B6575">
            <v>504478</v>
          </cell>
        </row>
        <row r="6576">
          <cell r="A6576" t="str">
            <v>金光武79级</v>
          </cell>
          <cell r="B6576">
            <v>504479</v>
          </cell>
        </row>
        <row r="6577">
          <cell r="A6577" t="str">
            <v>金光武80级</v>
          </cell>
          <cell r="B6577">
            <v>504480</v>
          </cell>
        </row>
        <row r="6578">
          <cell r="A6578" t="str">
            <v>金光武81级</v>
          </cell>
          <cell r="B6578">
            <v>504481</v>
          </cell>
        </row>
        <row r="6579">
          <cell r="A6579" t="str">
            <v>金光武82级</v>
          </cell>
          <cell r="B6579">
            <v>504482</v>
          </cell>
        </row>
        <row r="6580">
          <cell r="A6580" t="str">
            <v>金光武83级</v>
          </cell>
          <cell r="B6580">
            <v>504483</v>
          </cell>
        </row>
        <row r="6581">
          <cell r="A6581" t="str">
            <v>金光武84级</v>
          </cell>
          <cell r="B6581">
            <v>504484</v>
          </cell>
        </row>
        <row r="6582">
          <cell r="A6582" t="str">
            <v>金光武85级</v>
          </cell>
          <cell r="B6582">
            <v>504485</v>
          </cell>
        </row>
        <row r="6583">
          <cell r="A6583" t="str">
            <v>金光武86级</v>
          </cell>
          <cell r="B6583">
            <v>504486</v>
          </cell>
        </row>
        <row r="6584">
          <cell r="A6584" t="str">
            <v>金光武87级</v>
          </cell>
          <cell r="B6584">
            <v>504487</v>
          </cell>
        </row>
        <row r="6585">
          <cell r="A6585" t="str">
            <v>金光武88级</v>
          </cell>
          <cell r="B6585">
            <v>504488</v>
          </cell>
        </row>
        <row r="6586">
          <cell r="A6586" t="str">
            <v>金光武89级</v>
          </cell>
          <cell r="B6586">
            <v>504489</v>
          </cell>
        </row>
        <row r="6587">
          <cell r="A6587" t="str">
            <v>金光武90级</v>
          </cell>
          <cell r="B6587">
            <v>504490</v>
          </cell>
        </row>
        <row r="6588">
          <cell r="A6588" t="str">
            <v>金光武91级</v>
          </cell>
          <cell r="B6588">
            <v>504491</v>
          </cell>
        </row>
        <row r="6589">
          <cell r="A6589" t="str">
            <v>金光武92级</v>
          </cell>
          <cell r="B6589">
            <v>504492</v>
          </cell>
        </row>
        <row r="6590">
          <cell r="A6590" t="str">
            <v>金光武93级</v>
          </cell>
          <cell r="B6590">
            <v>504493</v>
          </cell>
        </row>
        <row r="6591">
          <cell r="A6591" t="str">
            <v>金光武94级</v>
          </cell>
          <cell r="B6591">
            <v>504494</v>
          </cell>
        </row>
        <row r="6592">
          <cell r="A6592" t="str">
            <v>金光武95级</v>
          </cell>
          <cell r="B6592">
            <v>504495</v>
          </cell>
        </row>
        <row r="6593">
          <cell r="A6593" t="str">
            <v>金光武96级</v>
          </cell>
          <cell r="B6593">
            <v>504496</v>
          </cell>
        </row>
        <row r="6594">
          <cell r="A6594" t="str">
            <v>金光武97级</v>
          </cell>
          <cell r="B6594">
            <v>504497</v>
          </cell>
        </row>
        <row r="6595">
          <cell r="A6595" t="str">
            <v>金光武98级</v>
          </cell>
          <cell r="B6595">
            <v>504498</v>
          </cell>
        </row>
        <row r="6596">
          <cell r="A6596" t="str">
            <v>金光武99级</v>
          </cell>
          <cell r="B6596">
            <v>504499</v>
          </cell>
        </row>
        <row r="6597">
          <cell r="A6597" t="str">
            <v>金神盔1级</v>
          </cell>
          <cell r="B6597">
            <v>505401</v>
          </cell>
        </row>
        <row r="6598">
          <cell r="A6598" t="str">
            <v>金神盔2级</v>
          </cell>
          <cell r="B6598">
            <v>505402</v>
          </cell>
        </row>
        <row r="6599">
          <cell r="A6599" t="str">
            <v>金神盔3级</v>
          </cell>
          <cell r="B6599">
            <v>505403</v>
          </cell>
        </row>
        <row r="6600">
          <cell r="A6600" t="str">
            <v>金神盔4级</v>
          </cell>
          <cell r="B6600">
            <v>505404</v>
          </cell>
        </row>
        <row r="6601">
          <cell r="A6601" t="str">
            <v>金神盔5级</v>
          </cell>
          <cell r="B6601">
            <v>505405</v>
          </cell>
        </row>
        <row r="6602">
          <cell r="A6602" t="str">
            <v>金神盔6级</v>
          </cell>
          <cell r="B6602">
            <v>505406</v>
          </cell>
        </row>
        <row r="6603">
          <cell r="A6603" t="str">
            <v>金神盔7级</v>
          </cell>
          <cell r="B6603">
            <v>505407</v>
          </cell>
        </row>
        <row r="6604">
          <cell r="A6604" t="str">
            <v>金神盔8级</v>
          </cell>
          <cell r="B6604">
            <v>505408</v>
          </cell>
        </row>
        <row r="6605">
          <cell r="A6605" t="str">
            <v>金神盔9级</v>
          </cell>
          <cell r="B6605">
            <v>505409</v>
          </cell>
        </row>
        <row r="6606">
          <cell r="A6606" t="str">
            <v>金神盔10级</v>
          </cell>
          <cell r="B6606">
            <v>505410</v>
          </cell>
        </row>
        <row r="6607">
          <cell r="A6607" t="str">
            <v>金神盔11级</v>
          </cell>
          <cell r="B6607">
            <v>505411</v>
          </cell>
        </row>
        <row r="6608">
          <cell r="A6608" t="str">
            <v>金神盔12级</v>
          </cell>
          <cell r="B6608">
            <v>505412</v>
          </cell>
        </row>
        <row r="6609">
          <cell r="A6609" t="str">
            <v>金神盔13级</v>
          </cell>
          <cell r="B6609">
            <v>505413</v>
          </cell>
        </row>
        <row r="6610">
          <cell r="A6610" t="str">
            <v>金神盔14级</v>
          </cell>
          <cell r="B6610">
            <v>505414</v>
          </cell>
        </row>
        <row r="6611">
          <cell r="A6611" t="str">
            <v>金神盔15级</v>
          </cell>
          <cell r="B6611">
            <v>505415</v>
          </cell>
        </row>
        <row r="6612">
          <cell r="A6612" t="str">
            <v>金神盔16级</v>
          </cell>
          <cell r="B6612">
            <v>505416</v>
          </cell>
        </row>
        <row r="6613">
          <cell r="A6613" t="str">
            <v>金神盔17级</v>
          </cell>
          <cell r="B6613">
            <v>505417</v>
          </cell>
        </row>
        <row r="6614">
          <cell r="A6614" t="str">
            <v>金神盔18级</v>
          </cell>
          <cell r="B6614">
            <v>505418</v>
          </cell>
        </row>
        <row r="6615">
          <cell r="A6615" t="str">
            <v>金神盔19级</v>
          </cell>
          <cell r="B6615">
            <v>505419</v>
          </cell>
        </row>
        <row r="6616">
          <cell r="A6616" t="str">
            <v>金神盔20级</v>
          </cell>
          <cell r="B6616">
            <v>505420</v>
          </cell>
        </row>
        <row r="6617">
          <cell r="A6617" t="str">
            <v>金神盔21级</v>
          </cell>
          <cell r="B6617">
            <v>505421</v>
          </cell>
        </row>
        <row r="6618">
          <cell r="A6618" t="str">
            <v>金神盔22级</v>
          </cell>
          <cell r="B6618">
            <v>505422</v>
          </cell>
        </row>
        <row r="6619">
          <cell r="A6619" t="str">
            <v>金神盔23级</v>
          </cell>
          <cell r="B6619">
            <v>505423</v>
          </cell>
        </row>
        <row r="6620">
          <cell r="A6620" t="str">
            <v>金神盔24级</v>
          </cell>
          <cell r="B6620">
            <v>505424</v>
          </cell>
        </row>
        <row r="6621">
          <cell r="A6621" t="str">
            <v>金神盔25级</v>
          </cell>
          <cell r="B6621">
            <v>505425</v>
          </cell>
        </row>
        <row r="6622">
          <cell r="A6622" t="str">
            <v>金神盔26级</v>
          </cell>
          <cell r="B6622">
            <v>505426</v>
          </cell>
        </row>
        <row r="6623">
          <cell r="A6623" t="str">
            <v>金神盔27级</v>
          </cell>
          <cell r="B6623">
            <v>505427</v>
          </cell>
        </row>
        <row r="6624">
          <cell r="A6624" t="str">
            <v>金神盔28级</v>
          </cell>
          <cell r="B6624">
            <v>505428</v>
          </cell>
        </row>
        <row r="6625">
          <cell r="A6625" t="str">
            <v>金神盔29级</v>
          </cell>
          <cell r="B6625">
            <v>505429</v>
          </cell>
        </row>
        <row r="6626">
          <cell r="A6626" t="str">
            <v>金神盔30级</v>
          </cell>
          <cell r="B6626">
            <v>505430</v>
          </cell>
        </row>
        <row r="6627">
          <cell r="A6627" t="str">
            <v>金神盔31级</v>
          </cell>
          <cell r="B6627">
            <v>505431</v>
          </cell>
        </row>
        <row r="6628">
          <cell r="A6628" t="str">
            <v>金神盔32级</v>
          </cell>
          <cell r="B6628">
            <v>505432</v>
          </cell>
        </row>
        <row r="6629">
          <cell r="A6629" t="str">
            <v>金神盔33级</v>
          </cell>
          <cell r="B6629">
            <v>505433</v>
          </cell>
        </row>
        <row r="6630">
          <cell r="A6630" t="str">
            <v>金神盔34级</v>
          </cell>
          <cell r="B6630">
            <v>505434</v>
          </cell>
        </row>
        <row r="6631">
          <cell r="A6631" t="str">
            <v>金神盔35级</v>
          </cell>
          <cell r="B6631">
            <v>505435</v>
          </cell>
        </row>
        <row r="6632">
          <cell r="A6632" t="str">
            <v>金神盔36级</v>
          </cell>
          <cell r="B6632">
            <v>505436</v>
          </cell>
        </row>
        <row r="6633">
          <cell r="A6633" t="str">
            <v>金神盔37级</v>
          </cell>
          <cell r="B6633">
            <v>505437</v>
          </cell>
        </row>
        <row r="6634">
          <cell r="A6634" t="str">
            <v>金神盔38级</v>
          </cell>
          <cell r="B6634">
            <v>505438</v>
          </cell>
        </row>
        <row r="6635">
          <cell r="A6635" t="str">
            <v>金神盔39级</v>
          </cell>
          <cell r="B6635">
            <v>505439</v>
          </cell>
        </row>
        <row r="6636">
          <cell r="A6636" t="str">
            <v>金神盔40级</v>
          </cell>
          <cell r="B6636">
            <v>505440</v>
          </cell>
        </row>
        <row r="6637">
          <cell r="A6637" t="str">
            <v>金神盔41级</v>
          </cell>
          <cell r="B6637">
            <v>505441</v>
          </cell>
        </row>
        <row r="6638">
          <cell r="A6638" t="str">
            <v>金神盔42级</v>
          </cell>
          <cell r="B6638">
            <v>505442</v>
          </cell>
        </row>
        <row r="6639">
          <cell r="A6639" t="str">
            <v>金神盔43级</v>
          </cell>
          <cell r="B6639">
            <v>505443</v>
          </cell>
        </row>
        <row r="6640">
          <cell r="A6640" t="str">
            <v>金神盔44级</v>
          </cell>
          <cell r="B6640">
            <v>505444</v>
          </cell>
        </row>
        <row r="6641">
          <cell r="A6641" t="str">
            <v>金神盔45级</v>
          </cell>
          <cell r="B6641">
            <v>505445</v>
          </cell>
        </row>
        <row r="6642">
          <cell r="A6642" t="str">
            <v>金神盔46级</v>
          </cell>
          <cell r="B6642">
            <v>505446</v>
          </cell>
        </row>
        <row r="6643">
          <cell r="A6643" t="str">
            <v>金神盔47级</v>
          </cell>
          <cell r="B6643">
            <v>505447</v>
          </cell>
        </row>
        <row r="6644">
          <cell r="A6644" t="str">
            <v>金神盔48级</v>
          </cell>
          <cell r="B6644">
            <v>505448</v>
          </cell>
        </row>
        <row r="6645">
          <cell r="A6645" t="str">
            <v>金神盔49级</v>
          </cell>
          <cell r="B6645">
            <v>505449</v>
          </cell>
        </row>
        <row r="6646">
          <cell r="A6646" t="str">
            <v>金神盔50级</v>
          </cell>
          <cell r="B6646">
            <v>505450</v>
          </cell>
        </row>
        <row r="6647">
          <cell r="A6647" t="str">
            <v>金神盔51级</v>
          </cell>
          <cell r="B6647">
            <v>505451</v>
          </cell>
        </row>
        <row r="6648">
          <cell r="A6648" t="str">
            <v>金神盔52级</v>
          </cell>
          <cell r="B6648">
            <v>505452</v>
          </cell>
        </row>
        <row r="6649">
          <cell r="A6649" t="str">
            <v>金神盔53级</v>
          </cell>
          <cell r="B6649">
            <v>505453</v>
          </cell>
        </row>
        <row r="6650">
          <cell r="A6650" t="str">
            <v>金神盔54级</v>
          </cell>
          <cell r="B6650">
            <v>505454</v>
          </cell>
        </row>
        <row r="6651">
          <cell r="A6651" t="str">
            <v>金神盔55级</v>
          </cell>
          <cell r="B6651">
            <v>505455</v>
          </cell>
        </row>
        <row r="6652">
          <cell r="A6652" t="str">
            <v>金神盔56级</v>
          </cell>
          <cell r="B6652">
            <v>505456</v>
          </cell>
        </row>
        <row r="6653">
          <cell r="A6653" t="str">
            <v>金神盔57级</v>
          </cell>
          <cell r="B6653">
            <v>505457</v>
          </cell>
        </row>
        <row r="6654">
          <cell r="A6654" t="str">
            <v>金神盔58级</v>
          </cell>
          <cell r="B6654">
            <v>505458</v>
          </cell>
        </row>
        <row r="6655">
          <cell r="A6655" t="str">
            <v>金神盔59级</v>
          </cell>
          <cell r="B6655">
            <v>505459</v>
          </cell>
        </row>
        <row r="6656">
          <cell r="A6656" t="str">
            <v>金神盔60级</v>
          </cell>
          <cell r="B6656">
            <v>505460</v>
          </cell>
        </row>
        <row r="6657">
          <cell r="A6657" t="str">
            <v>金神盔61级</v>
          </cell>
          <cell r="B6657">
            <v>505461</v>
          </cell>
        </row>
        <row r="6658">
          <cell r="A6658" t="str">
            <v>金神盔62级</v>
          </cell>
          <cell r="B6658">
            <v>505462</v>
          </cell>
        </row>
        <row r="6659">
          <cell r="A6659" t="str">
            <v>金神盔63级</v>
          </cell>
          <cell r="B6659">
            <v>505463</v>
          </cell>
        </row>
        <row r="6660">
          <cell r="A6660" t="str">
            <v>金神盔64级</v>
          </cell>
          <cell r="B6660">
            <v>505464</v>
          </cell>
        </row>
        <row r="6661">
          <cell r="A6661" t="str">
            <v>金神盔65级</v>
          </cell>
          <cell r="B6661">
            <v>505465</v>
          </cell>
        </row>
        <row r="6662">
          <cell r="A6662" t="str">
            <v>金神盔66级</v>
          </cell>
          <cell r="B6662">
            <v>505466</v>
          </cell>
        </row>
        <row r="6663">
          <cell r="A6663" t="str">
            <v>金神盔67级</v>
          </cell>
          <cell r="B6663">
            <v>505467</v>
          </cell>
        </row>
        <row r="6664">
          <cell r="A6664" t="str">
            <v>金神盔68级</v>
          </cell>
          <cell r="B6664">
            <v>505468</v>
          </cell>
        </row>
        <row r="6665">
          <cell r="A6665" t="str">
            <v>金神盔69级</v>
          </cell>
          <cell r="B6665">
            <v>505469</v>
          </cell>
        </row>
        <row r="6666">
          <cell r="A6666" t="str">
            <v>金神盔70级</v>
          </cell>
          <cell r="B6666">
            <v>505470</v>
          </cell>
        </row>
        <row r="6667">
          <cell r="A6667" t="str">
            <v>金神盔71级</v>
          </cell>
          <cell r="B6667">
            <v>505471</v>
          </cell>
        </row>
        <row r="6668">
          <cell r="A6668" t="str">
            <v>金神盔72级</v>
          </cell>
          <cell r="B6668">
            <v>505472</v>
          </cell>
        </row>
        <row r="6669">
          <cell r="A6669" t="str">
            <v>金神盔73级</v>
          </cell>
          <cell r="B6669">
            <v>505473</v>
          </cell>
        </row>
        <row r="6670">
          <cell r="A6670" t="str">
            <v>金神盔74级</v>
          </cell>
          <cell r="B6670">
            <v>505474</v>
          </cell>
        </row>
        <row r="6671">
          <cell r="A6671" t="str">
            <v>金神盔75级</v>
          </cell>
          <cell r="B6671">
            <v>505475</v>
          </cell>
        </row>
        <row r="6672">
          <cell r="A6672" t="str">
            <v>金神盔76级</v>
          </cell>
          <cell r="B6672">
            <v>505476</v>
          </cell>
        </row>
        <row r="6673">
          <cell r="A6673" t="str">
            <v>金神盔77级</v>
          </cell>
          <cell r="B6673">
            <v>505477</v>
          </cell>
        </row>
        <row r="6674">
          <cell r="A6674" t="str">
            <v>金神盔78级</v>
          </cell>
          <cell r="B6674">
            <v>505478</v>
          </cell>
        </row>
        <row r="6675">
          <cell r="A6675" t="str">
            <v>金神盔79级</v>
          </cell>
          <cell r="B6675">
            <v>505479</v>
          </cell>
        </row>
        <row r="6676">
          <cell r="A6676" t="str">
            <v>金神盔80级</v>
          </cell>
          <cell r="B6676">
            <v>505480</v>
          </cell>
        </row>
        <row r="6677">
          <cell r="A6677" t="str">
            <v>金神盔81级</v>
          </cell>
          <cell r="B6677">
            <v>505481</v>
          </cell>
        </row>
        <row r="6678">
          <cell r="A6678" t="str">
            <v>金神盔82级</v>
          </cell>
          <cell r="B6678">
            <v>505482</v>
          </cell>
        </row>
        <row r="6679">
          <cell r="A6679" t="str">
            <v>金神盔83级</v>
          </cell>
          <cell r="B6679">
            <v>505483</v>
          </cell>
        </row>
        <row r="6680">
          <cell r="A6680" t="str">
            <v>金神盔84级</v>
          </cell>
          <cell r="B6680">
            <v>505484</v>
          </cell>
        </row>
        <row r="6681">
          <cell r="A6681" t="str">
            <v>金神盔85级</v>
          </cell>
          <cell r="B6681">
            <v>505485</v>
          </cell>
        </row>
        <row r="6682">
          <cell r="A6682" t="str">
            <v>金神盔86级</v>
          </cell>
          <cell r="B6682">
            <v>505486</v>
          </cell>
        </row>
        <row r="6683">
          <cell r="A6683" t="str">
            <v>金神盔87级</v>
          </cell>
          <cell r="B6683">
            <v>505487</v>
          </cell>
        </row>
        <row r="6684">
          <cell r="A6684" t="str">
            <v>金神盔88级</v>
          </cell>
          <cell r="B6684">
            <v>505488</v>
          </cell>
        </row>
        <row r="6685">
          <cell r="A6685" t="str">
            <v>金神盔89级</v>
          </cell>
          <cell r="B6685">
            <v>505489</v>
          </cell>
        </row>
        <row r="6686">
          <cell r="A6686" t="str">
            <v>金神盔90级</v>
          </cell>
          <cell r="B6686">
            <v>505490</v>
          </cell>
        </row>
        <row r="6687">
          <cell r="A6687" t="str">
            <v>金神盔91级</v>
          </cell>
          <cell r="B6687">
            <v>505491</v>
          </cell>
        </row>
        <row r="6688">
          <cell r="A6688" t="str">
            <v>金神盔92级</v>
          </cell>
          <cell r="B6688">
            <v>505492</v>
          </cell>
        </row>
        <row r="6689">
          <cell r="A6689" t="str">
            <v>金神盔93级</v>
          </cell>
          <cell r="B6689">
            <v>505493</v>
          </cell>
        </row>
        <row r="6690">
          <cell r="A6690" t="str">
            <v>金神盔94级</v>
          </cell>
          <cell r="B6690">
            <v>505494</v>
          </cell>
        </row>
        <row r="6691">
          <cell r="A6691" t="str">
            <v>金神盔95级</v>
          </cell>
          <cell r="B6691">
            <v>505495</v>
          </cell>
        </row>
        <row r="6692">
          <cell r="A6692" t="str">
            <v>金神盔96级</v>
          </cell>
          <cell r="B6692">
            <v>505496</v>
          </cell>
        </row>
        <row r="6693">
          <cell r="A6693" t="str">
            <v>金神盔97级</v>
          </cell>
          <cell r="B6693">
            <v>505497</v>
          </cell>
        </row>
        <row r="6694">
          <cell r="A6694" t="str">
            <v>金神盔98级</v>
          </cell>
          <cell r="B6694">
            <v>505498</v>
          </cell>
        </row>
        <row r="6695">
          <cell r="A6695" t="str">
            <v>金神盔99级</v>
          </cell>
          <cell r="B6695">
            <v>505499</v>
          </cell>
        </row>
        <row r="6696">
          <cell r="A6696" t="str">
            <v>金固甲1级</v>
          </cell>
          <cell r="B6696">
            <v>506401</v>
          </cell>
        </row>
        <row r="6697">
          <cell r="A6697" t="str">
            <v>金固甲2级</v>
          </cell>
          <cell r="B6697">
            <v>506402</v>
          </cell>
        </row>
        <row r="6698">
          <cell r="A6698" t="str">
            <v>金固甲3级</v>
          </cell>
          <cell r="B6698">
            <v>506403</v>
          </cell>
        </row>
        <row r="6699">
          <cell r="A6699" t="str">
            <v>金固甲4级</v>
          </cell>
          <cell r="B6699">
            <v>506404</v>
          </cell>
        </row>
        <row r="6700">
          <cell r="A6700" t="str">
            <v>金固甲5级</v>
          </cell>
          <cell r="B6700">
            <v>506405</v>
          </cell>
        </row>
        <row r="6701">
          <cell r="A6701" t="str">
            <v>金固甲6级</v>
          </cell>
          <cell r="B6701">
            <v>506406</v>
          </cell>
        </row>
        <row r="6702">
          <cell r="A6702" t="str">
            <v>金固甲7级</v>
          </cell>
          <cell r="B6702">
            <v>506407</v>
          </cell>
        </row>
        <row r="6703">
          <cell r="A6703" t="str">
            <v>金固甲8级</v>
          </cell>
          <cell r="B6703">
            <v>506408</v>
          </cell>
        </row>
        <row r="6704">
          <cell r="A6704" t="str">
            <v>金固甲9级</v>
          </cell>
          <cell r="B6704">
            <v>506409</v>
          </cell>
        </row>
        <row r="6705">
          <cell r="A6705" t="str">
            <v>金固甲10级</v>
          </cell>
          <cell r="B6705">
            <v>506410</v>
          </cell>
        </row>
        <row r="6706">
          <cell r="A6706" t="str">
            <v>金固甲11级</v>
          </cell>
          <cell r="B6706">
            <v>506411</v>
          </cell>
        </row>
        <row r="6707">
          <cell r="A6707" t="str">
            <v>金固甲12级</v>
          </cell>
          <cell r="B6707">
            <v>506412</v>
          </cell>
        </row>
        <row r="6708">
          <cell r="A6708" t="str">
            <v>金固甲13级</v>
          </cell>
          <cell r="B6708">
            <v>506413</v>
          </cell>
        </row>
        <row r="6709">
          <cell r="A6709" t="str">
            <v>金固甲14级</v>
          </cell>
          <cell r="B6709">
            <v>506414</v>
          </cell>
        </row>
        <row r="6710">
          <cell r="A6710" t="str">
            <v>金固甲15级</v>
          </cell>
          <cell r="B6710">
            <v>506415</v>
          </cell>
        </row>
        <row r="6711">
          <cell r="A6711" t="str">
            <v>金固甲16级</v>
          </cell>
          <cell r="B6711">
            <v>506416</v>
          </cell>
        </row>
        <row r="6712">
          <cell r="A6712" t="str">
            <v>金固甲17级</v>
          </cell>
          <cell r="B6712">
            <v>506417</v>
          </cell>
        </row>
        <row r="6713">
          <cell r="A6713" t="str">
            <v>金固甲18级</v>
          </cell>
          <cell r="B6713">
            <v>506418</v>
          </cell>
        </row>
        <row r="6714">
          <cell r="A6714" t="str">
            <v>金固甲19级</v>
          </cell>
          <cell r="B6714">
            <v>506419</v>
          </cell>
        </row>
        <row r="6715">
          <cell r="A6715" t="str">
            <v>金固甲20级</v>
          </cell>
          <cell r="B6715">
            <v>506420</v>
          </cell>
        </row>
        <row r="6716">
          <cell r="A6716" t="str">
            <v>金固甲21级</v>
          </cell>
          <cell r="B6716">
            <v>506421</v>
          </cell>
        </row>
        <row r="6717">
          <cell r="A6717" t="str">
            <v>金固甲22级</v>
          </cell>
          <cell r="B6717">
            <v>506422</v>
          </cell>
        </row>
        <row r="6718">
          <cell r="A6718" t="str">
            <v>金固甲23级</v>
          </cell>
          <cell r="B6718">
            <v>506423</v>
          </cell>
        </row>
        <row r="6719">
          <cell r="A6719" t="str">
            <v>金固甲24级</v>
          </cell>
          <cell r="B6719">
            <v>506424</v>
          </cell>
        </row>
        <row r="6720">
          <cell r="A6720" t="str">
            <v>金固甲25级</v>
          </cell>
          <cell r="B6720">
            <v>506425</v>
          </cell>
        </row>
        <row r="6721">
          <cell r="A6721" t="str">
            <v>金固甲26级</v>
          </cell>
          <cell r="B6721">
            <v>506426</v>
          </cell>
        </row>
        <row r="6722">
          <cell r="A6722" t="str">
            <v>金固甲27级</v>
          </cell>
          <cell r="B6722">
            <v>506427</v>
          </cell>
        </row>
        <row r="6723">
          <cell r="A6723" t="str">
            <v>金固甲28级</v>
          </cell>
          <cell r="B6723">
            <v>506428</v>
          </cell>
        </row>
        <row r="6724">
          <cell r="A6724" t="str">
            <v>金固甲29级</v>
          </cell>
          <cell r="B6724">
            <v>506429</v>
          </cell>
        </row>
        <row r="6725">
          <cell r="A6725" t="str">
            <v>金固甲30级</v>
          </cell>
          <cell r="B6725">
            <v>506430</v>
          </cell>
        </row>
        <row r="6726">
          <cell r="A6726" t="str">
            <v>金固甲31级</v>
          </cell>
          <cell r="B6726">
            <v>506431</v>
          </cell>
        </row>
        <row r="6727">
          <cell r="A6727" t="str">
            <v>金固甲32级</v>
          </cell>
          <cell r="B6727">
            <v>506432</v>
          </cell>
        </row>
        <row r="6728">
          <cell r="A6728" t="str">
            <v>金固甲33级</v>
          </cell>
          <cell r="B6728">
            <v>506433</v>
          </cell>
        </row>
        <row r="6729">
          <cell r="A6729" t="str">
            <v>金固甲34级</v>
          </cell>
          <cell r="B6729">
            <v>506434</v>
          </cell>
        </row>
        <row r="6730">
          <cell r="A6730" t="str">
            <v>金固甲35级</v>
          </cell>
          <cell r="B6730">
            <v>506435</v>
          </cell>
        </row>
        <row r="6731">
          <cell r="A6731" t="str">
            <v>金固甲36级</v>
          </cell>
          <cell r="B6731">
            <v>506436</v>
          </cell>
        </row>
        <row r="6732">
          <cell r="A6732" t="str">
            <v>金固甲37级</v>
          </cell>
          <cell r="B6732">
            <v>506437</v>
          </cell>
        </row>
        <row r="6733">
          <cell r="A6733" t="str">
            <v>金固甲38级</v>
          </cell>
          <cell r="B6733">
            <v>506438</v>
          </cell>
        </row>
        <row r="6734">
          <cell r="A6734" t="str">
            <v>金固甲39级</v>
          </cell>
          <cell r="B6734">
            <v>506439</v>
          </cell>
        </row>
        <row r="6735">
          <cell r="A6735" t="str">
            <v>金固甲40级</v>
          </cell>
          <cell r="B6735">
            <v>506440</v>
          </cell>
        </row>
        <row r="6736">
          <cell r="A6736" t="str">
            <v>金固甲41级</v>
          </cell>
          <cell r="B6736">
            <v>506441</v>
          </cell>
        </row>
        <row r="6737">
          <cell r="A6737" t="str">
            <v>金固甲42级</v>
          </cell>
          <cell r="B6737">
            <v>506442</v>
          </cell>
        </row>
        <row r="6738">
          <cell r="A6738" t="str">
            <v>金固甲43级</v>
          </cell>
          <cell r="B6738">
            <v>506443</v>
          </cell>
        </row>
        <row r="6739">
          <cell r="A6739" t="str">
            <v>金固甲44级</v>
          </cell>
          <cell r="B6739">
            <v>506444</v>
          </cell>
        </row>
        <row r="6740">
          <cell r="A6740" t="str">
            <v>金固甲45级</v>
          </cell>
          <cell r="B6740">
            <v>506445</v>
          </cell>
        </row>
        <row r="6741">
          <cell r="A6741" t="str">
            <v>金固甲46级</v>
          </cell>
          <cell r="B6741">
            <v>506446</v>
          </cell>
        </row>
        <row r="6742">
          <cell r="A6742" t="str">
            <v>金固甲47级</v>
          </cell>
          <cell r="B6742">
            <v>506447</v>
          </cell>
        </row>
        <row r="6743">
          <cell r="A6743" t="str">
            <v>金固甲48级</v>
          </cell>
          <cell r="B6743">
            <v>506448</v>
          </cell>
        </row>
        <row r="6744">
          <cell r="A6744" t="str">
            <v>金固甲49级</v>
          </cell>
          <cell r="B6744">
            <v>506449</v>
          </cell>
        </row>
        <row r="6745">
          <cell r="A6745" t="str">
            <v>金固甲50级</v>
          </cell>
          <cell r="B6745">
            <v>506450</v>
          </cell>
        </row>
        <row r="6746">
          <cell r="A6746" t="str">
            <v>金固甲51级</v>
          </cell>
          <cell r="B6746">
            <v>506451</v>
          </cell>
        </row>
        <row r="6747">
          <cell r="A6747" t="str">
            <v>金固甲52级</v>
          </cell>
          <cell r="B6747">
            <v>506452</v>
          </cell>
        </row>
        <row r="6748">
          <cell r="A6748" t="str">
            <v>金固甲53级</v>
          </cell>
          <cell r="B6748">
            <v>506453</v>
          </cell>
        </row>
        <row r="6749">
          <cell r="A6749" t="str">
            <v>金固甲54级</v>
          </cell>
          <cell r="B6749">
            <v>506454</v>
          </cell>
        </row>
        <row r="6750">
          <cell r="A6750" t="str">
            <v>金固甲55级</v>
          </cell>
          <cell r="B6750">
            <v>506455</v>
          </cell>
        </row>
        <row r="6751">
          <cell r="A6751" t="str">
            <v>金固甲56级</v>
          </cell>
          <cell r="B6751">
            <v>506456</v>
          </cell>
        </row>
        <row r="6752">
          <cell r="A6752" t="str">
            <v>金固甲57级</v>
          </cell>
          <cell r="B6752">
            <v>506457</v>
          </cell>
        </row>
        <row r="6753">
          <cell r="A6753" t="str">
            <v>金固甲58级</v>
          </cell>
          <cell r="B6753">
            <v>506458</v>
          </cell>
        </row>
        <row r="6754">
          <cell r="A6754" t="str">
            <v>金固甲59级</v>
          </cell>
          <cell r="B6754">
            <v>506459</v>
          </cell>
        </row>
        <row r="6755">
          <cell r="A6755" t="str">
            <v>金固甲60级</v>
          </cell>
          <cell r="B6755">
            <v>506460</v>
          </cell>
        </row>
        <row r="6756">
          <cell r="A6756" t="str">
            <v>金固甲61级</v>
          </cell>
          <cell r="B6756">
            <v>506461</v>
          </cell>
        </row>
        <row r="6757">
          <cell r="A6757" t="str">
            <v>金固甲62级</v>
          </cell>
          <cell r="B6757">
            <v>506462</v>
          </cell>
        </row>
        <row r="6758">
          <cell r="A6758" t="str">
            <v>金固甲63级</v>
          </cell>
          <cell r="B6758">
            <v>506463</v>
          </cell>
        </row>
        <row r="6759">
          <cell r="A6759" t="str">
            <v>金固甲64级</v>
          </cell>
          <cell r="B6759">
            <v>506464</v>
          </cell>
        </row>
        <row r="6760">
          <cell r="A6760" t="str">
            <v>金固甲65级</v>
          </cell>
          <cell r="B6760">
            <v>506465</v>
          </cell>
        </row>
        <row r="6761">
          <cell r="A6761" t="str">
            <v>金固甲66级</v>
          </cell>
          <cell r="B6761">
            <v>506466</v>
          </cell>
        </row>
        <row r="6762">
          <cell r="A6762" t="str">
            <v>金固甲67级</v>
          </cell>
          <cell r="B6762">
            <v>506467</v>
          </cell>
        </row>
        <row r="6763">
          <cell r="A6763" t="str">
            <v>金固甲68级</v>
          </cell>
          <cell r="B6763">
            <v>506468</v>
          </cell>
        </row>
        <row r="6764">
          <cell r="A6764" t="str">
            <v>金固甲69级</v>
          </cell>
          <cell r="B6764">
            <v>506469</v>
          </cell>
        </row>
        <row r="6765">
          <cell r="A6765" t="str">
            <v>金固甲70级</v>
          </cell>
          <cell r="B6765">
            <v>506470</v>
          </cell>
        </row>
        <row r="6766">
          <cell r="A6766" t="str">
            <v>金固甲71级</v>
          </cell>
          <cell r="B6766">
            <v>506471</v>
          </cell>
        </row>
        <row r="6767">
          <cell r="A6767" t="str">
            <v>金固甲72级</v>
          </cell>
          <cell r="B6767">
            <v>506472</v>
          </cell>
        </row>
        <row r="6768">
          <cell r="A6768" t="str">
            <v>金固甲73级</v>
          </cell>
          <cell r="B6768">
            <v>506473</v>
          </cell>
        </row>
        <row r="6769">
          <cell r="A6769" t="str">
            <v>金固甲74级</v>
          </cell>
          <cell r="B6769">
            <v>506474</v>
          </cell>
        </row>
        <row r="6770">
          <cell r="A6770" t="str">
            <v>金固甲75级</v>
          </cell>
          <cell r="B6770">
            <v>506475</v>
          </cell>
        </row>
        <row r="6771">
          <cell r="A6771" t="str">
            <v>金固甲76级</v>
          </cell>
          <cell r="B6771">
            <v>506476</v>
          </cell>
        </row>
        <row r="6772">
          <cell r="A6772" t="str">
            <v>金固甲77级</v>
          </cell>
          <cell r="B6772">
            <v>506477</v>
          </cell>
        </row>
        <row r="6773">
          <cell r="A6773" t="str">
            <v>金固甲78级</v>
          </cell>
          <cell r="B6773">
            <v>506478</v>
          </cell>
        </row>
        <row r="6774">
          <cell r="A6774" t="str">
            <v>金固甲79级</v>
          </cell>
          <cell r="B6774">
            <v>506479</v>
          </cell>
        </row>
        <row r="6775">
          <cell r="A6775" t="str">
            <v>金固甲80级</v>
          </cell>
          <cell r="B6775">
            <v>506480</v>
          </cell>
        </row>
        <row r="6776">
          <cell r="A6776" t="str">
            <v>金固甲81级</v>
          </cell>
          <cell r="B6776">
            <v>506481</v>
          </cell>
        </row>
        <row r="6777">
          <cell r="A6777" t="str">
            <v>金固甲82级</v>
          </cell>
          <cell r="B6777">
            <v>506482</v>
          </cell>
        </row>
        <row r="6778">
          <cell r="A6778" t="str">
            <v>金固甲83级</v>
          </cell>
          <cell r="B6778">
            <v>506483</v>
          </cell>
        </row>
        <row r="6779">
          <cell r="A6779" t="str">
            <v>金固甲84级</v>
          </cell>
          <cell r="B6779">
            <v>506484</v>
          </cell>
        </row>
        <row r="6780">
          <cell r="A6780" t="str">
            <v>金固甲85级</v>
          </cell>
          <cell r="B6780">
            <v>506485</v>
          </cell>
        </row>
        <row r="6781">
          <cell r="A6781" t="str">
            <v>金固甲86级</v>
          </cell>
          <cell r="B6781">
            <v>506486</v>
          </cell>
        </row>
        <row r="6782">
          <cell r="A6782" t="str">
            <v>金固甲87级</v>
          </cell>
          <cell r="B6782">
            <v>506487</v>
          </cell>
        </row>
        <row r="6783">
          <cell r="A6783" t="str">
            <v>金固甲88级</v>
          </cell>
          <cell r="B6783">
            <v>506488</v>
          </cell>
        </row>
        <row r="6784">
          <cell r="A6784" t="str">
            <v>金固甲89级</v>
          </cell>
          <cell r="B6784">
            <v>506489</v>
          </cell>
        </row>
        <row r="6785">
          <cell r="A6785" t="str">
            <v>金固甲90级</v>
          </cell>
          <cell r="B6785">
            <v>506490</v>
          </cell>
        </row>
        <row r="6786">
          <cell r="A6786" t="str">
            <v>金固甲91级</v>
          </cell>
          <cell r="B6786">
            <v>506491</v>
          </cell>
        </row>
        <row r="6787">
          <cell r="A6787" t="str">
            <v>金固甲92级</v>
          </cell>
          <cell r="B6787">
            <v>506492</v>
          </cell>
        </row>
        <row r="6788">
          <cell r="A6788" t="str">
            <v>金固甲93级</v>
          </cell>
          <cell r="B6788">
            <v>506493</v>
          </cell>
        </row>
        <row r="6789">
          <cell r="A6789" t="str">
            <v>金固甲94级</v>
          </cell>
          <cell r="B6789">
            <v>506494</v>
          </cell>
        </row>
        <row r="6790">
          <cell r="A6790" t="str">
            <v>金固甲95级</v>
          </cell>
          <cell r="B6790">
            <v>506495</v>
          </cell>
        </row>
        <row r="6791">
          <cell r="A6791" t="str">
            <v>金固甲96级</v>
          </cell>
          <cell r="B6791">
            <v>506496</v>
          </cell>
        </row>
        <row r="6792">
          <cell r="A6792" t="str">
            <v>金固甲97级</v>
          </cell>
          <cell r="B6792">
            <v>506497</v>
          </cell>
        </row>
        <row r="6793">
          <cell r="A6793" t="str">
            <v>金固甲98级</v>
          </cell>
          <cell r="B6793">
            <v>506498</v>
          </cell>
        </row>
        <row r="6794">
          <cell r="A6794" t="str">
            <v>金固甲99级</v>
          </cell>
          <cell r="B6794">
            <v>506499</v>
          </cell>
        </row>
        <row r="6795">
          <cell r="A6795" t="str">
            <v>金灵链1级</v>
          </cell>
          <cell r="B6795">
            <v>507401</v>
          </cell>
        </row>
        <row r="6796">
          <cell r="A6796" t="str">
            <v>金灵链2级</v>
          </cell>
          <cell r="B6796">
            <v>507402</v>
          </cell>
        </row>
        <row r="6797">
          <cell r="A6797" t="str">
            <v>金灵链3级</v>
          </cell>
          <cell r="B6797">
            <v>507403</v>
          </cell>
        </row>
        <row r="6798">
          <cell r="A6798" t="str">
            <v>金灵链4级</v>
          </cell>
          <cell r="B6798">
            <v>507404</v>
          </cell>
        </row>
        <row r="6799">
          <cell r="A6799" t="str">
            <v>金灵链5级</v>
          </cell>
          <cell r="B6799">
            <v>507405</v>
          </cell>
        </row>
        <row r="6800">
          <cell r="A6800" t="str">
            <v>金灵链6级</v>
          </cell>
          <cell r="B6800">
            <v>507406</v>
          </cell>
        </row>
        <row r="6801">
          <cell r="A6801" t="str">
            <v>金灵链7级</v>
          </cell>
          <cell r="B6801">
            <v>507407</v>
          </cell>
        </row>
        <row r="6802">
          <cell r="A6802" t="str">
            <v>金灵链8级</v>
          </cell>
          <cell r="B6802">
            <v>507408</v>
          </cell>
        </row>
        <row r="6803">
          <cell r="A6803" t="str">
            <v>金灵链9级</v>
          </cell>
          <cell r="B6803">
            <v>507409</v>
          </cell>
        </row>
        <row r="6804">
          <cell r="A6804" t="str">
            <v>金灵链10级</v>
          </cell>
          <cell r="B6804">
            <v>507410</v>
          </cell>
        </row>
        <row r="6805">
          <cell r="A6805" t="str">
            <v>金灵链11级</v>
          </cell>
          <cell r="B6805">
            <v>507411</v>
          </cell>
        </row>
        <row r="6806">
          <cell r="A6806" t="str">
            <v>金灵链12级</v>
          </cell>
          <cell r="B6806">
            <v>507412</v>
          </cell>
        </row>
        <row r="6807">
          <cell r="A6807" t="str">
            <v>金灵链13级</v>
          </cell>
          <cell r="B6807">
            <v>507413</v>
          </cell>
        </row>
        <row r="6808">
          <cell r="A6808" t="str">
            <v>金灵链14级</v>
          </cell>
          <cell r="B6808">
            <v>507414</v>
          </cell>
        </row>
        <row r="6809">
          <cell r="A6809" t="str">
            <v>金灵链15级</v>
          </cell>
          <cell r="B6809">
            <v>507415</v>
          </cell>
        </row>
        <row r="6810">
          <cell r="A6810" t="str">
            <v>金灵链16级</v>
          </cell>
          <cell r="B6810">
            <v>507416</v>
          </cell>
        </row>
        <row r="6811">
          <cell r="A6811" t="str">
            <v>金灵链17级</v>
          </cell>
          <cell r="B6811">
            <v>507417</v>
          </cell>
        </row>
        <row r="6812">
          <cell r="A6812" t="str">
            <v>金灵链18级</v>
          </cell>
          <cell r="B6812">
            <v>507418</v>
          </cell>
        </row>
        <row r="6813">
          <cell r="A6813" t="str">
            <v>金灵链19级</v>
          </cell>
          <cell r="B6813">
            <v>507419</v>
          </cell>
        </row>
        <row r="6814">
          <cell r="A6814" t="str">
            <v>金灵链20级</v>
          </cell>
          <cell r="B6814">
            <v>507420</v>
          </cell>
        </row>
        <row r="6815">
          <cell r="A6815" t="str">
            <v>金灵链21级</v>
          </cell>
          <cell r="B6815">
            <v>507421</v>
          </cell>
        </row>
        <row r="6816">
          <cell r="A6816" t="str">
            <v>金灵链22级</v>
          </cell>
          <cell r="B6816">
            <v>507422</v>
          </cell>
        </row>
        <row r="6817">
          <cell r="A6817" t="str">
            <v>金灵链23级</v>
          </cell>
          <cell r="B6817">
            <v>507423</v>
          </cell>
        </row>
        <row r="6818">
          <cell r="A6818" t="str">
            <v>金灵链24级</v>
          </cell>
          <cell r="B6818">
            <v>507424</v>
          </cell>
        </row>
        <row r="6819">
          <cell r="A6819" t="str">
            <v>金灵链25级</v>
          </cell>
          <cell r="B6819">
            <v>507425</v>
          </cell>
        </row>
        <row r="6820">
          <cell r="A6820" t="str">
            <v>金灵链26级</v>
          </cell>
          <cell r="B6820">
            <v>507426</v>
          </cell>
        </row>
        <row r="6821">
          <cell r="A6821" t="str">
            <v>金灵链27级</v>
          </cell>
          <cell r="B6821">
            <v>507427</v>
          </cell>
        </row>
        <row r="6822">
          <cell r="A6822" t="str">
            <v>金灵链28级</v>
          </cell>
          <cell r="B6822">
            <v>507428</v>
          </cell>
        </row>
        <row r="6823">
          <cell r="A6823" t="str">
            <v>金灵链29级</v>
          </cell>
          <cell r="B6823">
            <v>507429</v>
          </cell>
        </row>
        <row r="6824">
          <cell r="A6824" t="str">
            <v>金灵链30级</v>
          </cell>
          <cell r="B6824">
            <v>507430</v>
          </cell>
        </row>
        <row r="6825">
          <cell r="A6825" t="str">
            <v>金灵链31级</v>
          </cell>
          <cell r="B6825">
            <v>507431</v>
          </cell>
        </row>
        <row r="6826">
          <cell r="A6826" t="str">
            <v>金灵链32级</v>
          </cell>
          <cell r="B6826">
            <v>507432</v>
          </cell>
        </row>
        <row r="6827">
          <cell r="A6827" t="str">
            <v>金灵链33级</v>
          </cell>
          <cell r="B6827">
            <v>507433</v>
          </cell>
        </row>
        <row r="6828">
          <cell r="A6828" t="str">
            <v>金灵链34级</v>
          </cell>
          <cell r="B6828">
            <v>507434</v>
          </cell>
        </row>
        <row r="6829">
          <cell r="A6829" t="str">
            <v>金灵链35级</v>
          </cell>
          <cell r="B6829">
            <v>507435</v>
          </cell>
        </row>
        <row r="6830">
          <cell r="A6830" t="str">
            <v>金灵链36级</v>
          </cell>
          <cell r="B6830">
            <v>507436</v>
          </cell>
        </row>
        <row r="6831">
          <cell r="A6831" t="str">
            <v>金灵链37级</v>
          </cell>
          <cell r="B6831">
            <v>507437</v>
          </cell>
        </row>
        <row r="6832">
          <cell r="A6832" t="str">
            <v>金灵链38级</v>
          </cell>
          <cell r="B6832">
            <v>507438</v>
          </cell>
        </row>
        <row r="6833">
          <cell r="A6833" t="str">
            <v>金灵链39级</v>
          </cell>
          <cell r="B6833">
            <v>507439</v>
          </cell>
        </row>
        <row r="6834">
          <cell r="A6834" t="str">
            <v>金灵链40级</v>
          </cell>
          <cell r="B6834">
            <v>507440</v>
          </cell>
        </row>
        <row r="6835">
          <cell r="A6835" t="str">
            <v>金灵链41级</v>
          </cell>
          <cell r="B6835">
            <v>507441</v>
          </cell>
        </row>
        <row r="6836">
          <cell r="A6836" t="str">
            <v>金灵链42级</v>
          </cell>
          <cell r="B6836">
            <v>507442</v>
          </cell>
        </row>
        <row r="6837">
          <cell r="A6837" t="str">
            <v>金灵链43级</v>
          </cell>
          <cell r="B6837">
            <v>507443</v>
          </cell>
        </row>
        <row r="6838">
          <cell r="A6838" t="str">
            <v>金灵链44级</v>
          </cell>
          <cell r="B6838">
            <v>507444</v>
          </cell>
        </row>
        <row r="6839">
          <cell r="A6839" t="str">
            <v>金灵链45级</v>
          </cell>
          <cell r="B6839">
            <v>507445</v>
          </cell>
        </row>
        <row r="6840">
          <cell r="A6840" t="str">
            <v>金灵链46级</v>
          </cell>
          <cell r="B6840">
            <v>507446</v>
          </cell>
        </row>
        <row r="6841">
          <cell r="A6841" t="str">
            <v>金灵链47级</v>
          </cell>
          <cell r="B6841">
            <v>507447</v>
          </cell>
        </row>
        <row r="6842">
          <cell r="A6842" t="str">
            <v>金灵链48级</v>
          </cell>
          <cell r="B6842">
            <v>507448</v>
          </cell>
        </row>
        <row r="6843">
          <cell r="A6843" t="str">
            <v>金灵链49级</v>
          </cell>
          <cell r="B6843">
            <v>507449</v>
          </cell>
        </row>
        <row r="6844">
          <cell r="A6844" t="str">
            <v>金灵链50级</v>
          </cell>
          <cell r="B6844">
            <v>507450</v>
          </cell>
        </row>
        <row r="6845">
          <cell r="A6845" t="str">
            <v>金灵链51级</v>
          </cell>
          <cell r="B6845">
            <v>507451</v>
          </cell>
        </row>
        <row r="6846">
          <cell r="A6846" t="str">
            <v>金灵链52级</v>
          </cell>
          <cell r="B6846">
            <v>507452</v>
          </cell>
        </row>
        <row r="6847">
          <cell r="A6847" t="str">
            <v>金灵链53级</v>
          </cell>
          <cell r="B6847">
            <v>507453</v>
          </cell>
        </row>
        <row r="6848">
          <cell r="A6848" t="str">
            <v>金灵链54级</v>
          </cell>
          <cell r="B6848">
            <v>507454</v>
          </cell>
        </row>
        <row r="6849">
          <cell r="A6849" t="str">
            <v>金灵链55级</v>
          </cell>
          <cell r="B6849">
            <v>507455</v>
          </cell>
        </row>
        <row r="6850">
          <cell r="A6850" t="str">
            <v>金灵链56级</v>
          </cell>
          <cell r="B6850">
            <v>507456</v>
          </cell>
        </row>
        <row r="6851">
          <cell r="A6851" t="str">
            <v>金灵链57级</v>
          </cell>
          <cell r="B6851">
            <v>507457</v>
          </cell>
        </row>
        <row r="6852">
          <cell r="A6852" t="str">
            <v>金灵链58级</v>
          </cell>
          <cell r="B6852">
            <v>507458</v>
          </cell>
        </row>
        <row r="6853">
          <cell r="A6853" t="str">
            <v>金灵链59级</v>
          </cell>
          <cell r="B6853">
            <v>507459</v>
          </cell>
        </row>
        <row r="6854">
          <cell r="A6854" t="str">
            <v>金灵链60级</v>
          </cell>
          <cell r="B6854">
            <v>507460</v>
          </cell>
        </row>
        <row r="6855">
          <cell r="A6855" t="str">
            <v>金灵链61级</v>
          </cell>
          <cell r="B6855">
            <v>507461</v>
          </cell>
        </row>
        <row r="6856">
          <cell r="A6856" t="str">
            <v>金灵链62级</v>
          </cell>
          <cell r="B6856">
            <v>507462</v>
          </cell>
        </row>
        <row r="6857">
          <cell r="A6857" t="str">
            <v>金灵链63级</v>
          </cell>
          <cell r="B6857">
            <v>507463</v>
          </cell>
        </row>
        <row r="6858">
          <cell r="A6858" t="str">
            <v>金灵链64级</v>
          </cell>
          <cell r="B6858">
            <v>507464</v>
          </cell>
        </row>
        <row r="6859">
          <cell r="A6859" t="str">
            <v>金灵链65级</v>
          </cell>
          <cell r="B6859">
            <v>507465</v>
          </cell>
        </row>
        <row r="6860">
          <cell r="A6860" t="str">
            <v>金灵链66级</v>
          </cell>
          <cell r="B6860">
            <v>507466</v>
          </cell>
        </row>
        <row r="6861">
          <cell r="A6861" t="str">
            <v>金灵链67级</v>
          </cell>
          <cell r="B6861">
            <v>507467</v>
          </cell>
        </row>
        <row r="6862">
          <cell r="A6862" t="str">
            <v>金灵链68级</v>
          </cell>
          <cell r="B6862">
            <v>507468</v>
          </cell>
        </row>
        <row r="6863">
          <cell r="A6863" t="str">
            <v>金灵链69级</v>
          </cell>
          <cell r="B6863">
            <v>507469</v>
          </cell>
        </row>
        <row r="6864">
          <cell r="A6864" t="str">
            <v>金灵链70级</v>
          </cell>
          <cell r="B6864">
            <v>507470</v>
          </cell>
        </row>
        <row r="6865">
          <cell r="A6865" t="str">
            <v>金灵链71级</v>
          </cell>
          <cell r="B6865">
            <v>507471</v>
          </cell>
        </row>
        <row r="6866">
          <cell r="A6866" t="str">
            <v>金灵链72级</v>
          </cell>
          <cell r="B6866">
            <v>507472</v>
          </cell>
        </row>
        <row r="6867">
          <cell r="A6867" t="str">
            <v>金灵链73级</v>
          </cell>
          <cell r="B6867">
            <v>507473</v>
          </cell>
        </row>
        <row r="6868">
          <cell r="A6868" t="str">
            <v>金灵链74级</v>
          </cell>
          <cell r="B6868">
            <v>507474</v>
          </cell>
        </row>
        <row r="6869">
          <cell r="A6869" t="str">
            <v>金灵链75级</v>
          </cell>
          <cell r="B6869">
            <v>507475</v>
          </cell>
        </row>
        <row r="6870">
          <cell r="A6870" t="str">
            <v>金灵链76级</v>
          </cell>
          <cell r="B6870">
            <v>507476</v>
          </cell>
        </row>
        <row r="6871">
          <cell r="A6871" t="str">
            <v>金灵链77级</v>
          </cell>
          <cell r="B6871">
            <v>507477</v>
          </cell>
        </row>
        <row r="6872">
          <cell r="A6872" t="str">
            <v>金灵链78级</v>
          </cell>
          <cell r="B6872">
            <v>507478</v>
          </cell>
        </row>
        <row r="6873">
          <cell r="A6873" t="str">
            <v>金灵链79级</v>
          </cell>
          <cell r="B6873">
            <v>507479</v>
          </cell>
        </row>
        <row r="6874">
          <cell r="A6874" t="str">
            <v>金灵链80级</v>
          </cell>
          <cell r="B6874">
            <v>507480</v>
          </cell>
        </row>
        <row r="6875">
          <cell r="A6875" t="str">
            <v>金灵链81级</v>
          </cell>
          <cell r="B6875">
            <v>507481</v>
          </cell>
        </row>
        <row r="6876">
          <cell r="A6876" t="str">
            <v>金灵链82级</v>
          </cell>
          <cell r="B6876">
            <v>507482</v>
          </cell>
        </row>
        <row r="6877">
          <cell r="A6877" t="str">
            <v>金灵链83级</v>
          </cell>
          <cell r="B6877">
            <v>507483</v>
          </cell>
        </row>
        <row r="6878">
          <cell r="A6878" t="str">
            <v>金灵链84级</v>
          </cell>
          <cell r="B6878">
            <v>507484</v>
          </cell>
        </row>
        <row r="6879">
          <cell r="A6879" t="str">
            <v>金灵链85级</v>
          </cell>
          <cell r="B6879">
            <v>507485</v>
          </cell>
        </row>
        <row r="6880">
          <cell r="A6880" t="str">
            <v>金灵链86级</v>
          </cell>
          <cell r="B6880">
            <v>507486</v>
          </cell>
        </row>
        <row r="6881">
          <cell r="A6881" t="str">
            <v>金灵链87级</v>
          </cell>
          <cell r="B6881">
            <v>507487</v>
          </cell>
        </row>
        <row r="6882">
          <cell r="A6882" t="str">
            <v>金灵链88级</v>
          </cell>
          <cell r="B6882">
            <v>507488</v>
          </cell>
        </row>
        <row r="6883">
          <cell r="A6883" t="str">
            <v>金灵链89级</v>
          </cell>
          <cell r="B6883">
            <v>507489</v>
          </cell>
        </row>
        <row r="6884">
          <cell r="A6884" t="str">
            <v>金灵链90级</v>
          </cell>
          <cell r="B6884">
            <v>507490</v>
          </cell>
        </row>
        <row r="6885">
          <cell r="A6885" t="str">
            <v>金灵链91级</v>
          </cell>
          <cell r="B6885">
            <v>507491</v>
          </cell>
        </row>
        <row r="6886">
          <cell r="A6886" t="str">
            <v>金灵链92级</v>
          </cell>
          <cell r="B6886">
            <v>507492</v>
          </cell>
        </row>
        <row r="6887">
          <cell r="A6887" t="str">
            <v>金灵链93级</v>
          </cell>
          <cell r="B6887">
            <v>507493</v>
          </cell>
        </row>
        <row r="6888">
          <cell r="A6888" t="str">
            <v>金灵链94级</v>
          </cell>
          <cell r="B6888">
            <v>507494</v>
          </cell>
        </row>
        <row r="6889">
          <cell r="A6889" t="str">
            <v>金灵链95级</v>
          </cell>
          <cell r="B6889">
            <v>507495</v>
          </cell>
        </row>
        <row r="6890">
          <cell r="A6890" t="str">
            <v>金灵链96级</v>
          </cell>
          <cell r="B6890">
            <v>507496</v>
          </cell>
        </row>
        <row r="6891">
          <cell r="A6891" t="str">
            <v>金灵链97级</v>
          </cell>
          <cell r="B6891">
            <v>507497</v>
          </cell>
        </row>
        <row r="6892">
          <cell r="A6892" t="str">
            <v>金灵链98级</v>
          </cell>
          <cell r="B6892">
            <v>507498</v>
          </cell>
        </row>
        <row r="6893">
          <cell r="A6893" t="str">
            <v>金灵链99级</v>
          </cell>
          <cell r="B6893">
            <v>507499</v>
          </cell>
        </row>
        <row r="6894">
          <cell r="A6894" t="str">
            <v>金地镯1级</v>
          </cell>
          <cell r="B6894">
            <v>508401</v>
          </cell>
        </row>
        <row r="6895">
          <cell r="A6895" t="str">
            <v>金地镯2级</v>
          </cell>
          <cell r="B6895">
            <v>508402</v>
          </cell>
        </row>
        <row r="6896">
          <cell r="A6896" t="str">
            <v>金地镯3级</v>
          </cell>
          <cell r="B6896">
            <v>508403</v>
          </cell>
        </row>
        <row r="6897">
          <cell r="A6897" t="str">
            <v>金地镯4级</v>
          </cell>
          <cell r="B6897">
            <v>508404</v>
          </cell>
        </row>
        <row r="6898">
          <cell r="A6898" t="str">
            <v>金地镯5级</v>
          </cell>
          <cell r="B6898">
            <v>508405</v>
          </cell>
        </row>
        <row r="6899">
          <cell r="A6899" t="str">
            <v>金地镯6级</v>
          </cell>
          <cell r="B6899">
            <v>508406</v>
          </cell>
        </row>
        <row r="6900">
          <cell r="A6900" t="str">
            <v>金地镯7级</v>
          </cell>
          <cell r="B6900">
            <v>508407</v>
          </cell>
        </row>
        <row r="6901">
          <cell r="A6901" t="str">
            <v>金地镯8级</v>
          </cell>
          <cell r="B6901">
            <v>508408</v>
          </cell>
        </row>
        <row r="6902">
          <cell r="A6902" t="str">
            <v>金地镯9级</v>
          </cell>
          <cell r="B6902">
            <v>508409</v>
          </cell>
        </row>
        <row r="6903">
          <cell r="A6903" t="str">
            <v>金地镯10级</v>
          </cell>
          <cell r="B6903">
            <v>508410</v>
          </cell>
        </row>
        <row r="6904">
          <cell r="A6904" t="str">
            <v>金地镯11级</v>
          </cell>
          <cell r="B6904">
            <v>508411</v>
          </cell>
        </row>
        <row r="6905">
          <cell r="A6905" t="str">
            <v>金地镯12级</v>
          </cell>
          <cell r="B6905">
            <v>508412</v>
          </cell>
        </row>
        <row r="6906">
          <cell r="A6906" t="str">
            <v>金地镯13级</v>
          </cell>
          <cell r="B6906">
            <v>508413</v>
          </cell>
        </row>
        <row r="6907">
          <cell r="A6907" t="str">
            <v>金地镯14级</v>
          </cell>
          <cell r="B6907">
            <v>508414</v>
          </cell>
        </row>
        <row r="6908">
          <cell r="A6908" t="str">
            <v>金地镯15级</v>
          </cell>
          <cell r="B6908">
            <v>508415</v>
          </cell>
        </row>
        <row r="6909">
          <cell r="A6909" t="str">
            <v>金地镯16级</v>
          </cell>
          <cell r="B6909">
            <v>508416</v>
          </cell>
        </row>
        <row r="6910">
          <cell r="A6910" t="str">
            <v>金地镯17级</v>
          </cell>
          <cell r="B6910">
            <v>508417</v>
          </cell>
        </row>
        <row r="6911">
          <cell r="A6911" t="str">
            <v>金地镯18级</v>
          </cell>
          <cell r="B6911">
            <v>508418</v>
          </cell>
        </row>
        <row r="6912">
          <cell r="A6912" t="str">
            <v>金地镯19级</v>
          </cell>
          <cell r="B6912">
            <v>508419</v>
          </cell>
        </row>
        <row r="6913">
          <cell r="A6913" t="str">
            <v>金地镯20级</v>
          </cell>
          <cell r="B6913">
            <v>508420</v>
          </cell>
        </row>
        <row r="6914">
          <cell r="A6914" t="str">
            <v>金地镯21级</v>
          </cell>
          <cell r="B6914">
            <v>508421</v>
          </cell>
        </row>
        <row r="6915">
          <cell r="A6915" t="str">
            <v>金地镯22级</v>
          </cell>
          <cell r="B6915">
            <v>508422</v>
          </cell>
        </row>
        <row r="6916">
          <cell r="A6916" t="str">
            <v>金地镯23级</v>
          </cell>
          <cell r="B6916">
            <v>508423</v>
          </cell>
        </row>
        <row r="6917">
          <cell r="A6917" t="str">
            <v>金地镯24级</v>
          </cell>
          <cell r="B6917">
            <v>508424</v>
          </cell>
        </row>
        <row r="6918">
          <cell r="A6918" t="str">
            <v>金地镯25级</v>
          </cell>
          <cell r="B6918">
            <v>508425</v>
          </cell>
        </row>
        <row r="6919">
          <cell r="A6919" t="str">
            <v>金地镯26级</v>
          </cell>
          <cell r="B6919">
            <v>508426</v>
          </cell>
        </row>
        <row r="6920">
          <cell r="A6920" t="str">
            <v>金地镯27级</v>
          </cell>
          <cell r="B6920">
            <v>508427</v>
          </cell>
        </row>
        <row r="6921">
          <cell r="A6921" t="str">
            <v>金地镯28级</v>
          </cell>
          <cell r="B6921">
            <v>508428</v>
          </cell>
        </row>
        <row r="6922">
          <cell r="A6922" t="str">
            <v>金地镯29级</v>
          </cell>
          <cell r="B6922">
            <v>508429</v>
          </cell>
        </row>
        <row r="6923">
          <cell r="A6923" t="str">
            <v>金地镯30级</v>
          </cell>
          <cell r="B6923">
            <v>508430</v>
          </cell>
        </row>
        <row r="6924">
          <cell r="A6924" t="str">
            <v>金地镯31级</v>
          </cell>
          <cell r="B6924">
            <v>508431</v>
          </cell>
        </row>
        <row r="6925">
          <cell r="A6925" t="str">
            <v>金地镯32级</v>
          </cell>
          <cell r="B6925">
            <v>508432</v>
          </cell>
        </row>
        <row r="6926">
          <cell r="A6926" t="str">
            <v>金地镯33级</v>
          </cell>
          <cell r="B6926">
            <v>508433</v>
          </cell>
        </row>
        <row r="6927">
          <cell r="A6927" t="str">
            <v>金地镯34级</v>
          </cell>
          <cell r="B6927">
            <v>508434</v>
          </cell>
        </row>
        <row r="6928">
          <cell r="A6928" t="str">
            <v>金地镯35级</v>
          </cell>
          <cell r="B6928">
            <v>508435</v>
          </cell>
        </row>
        <row r="6929">
          <cell r="A6929" t="str">
            <v>金地镯36级</v>
          </cell>
          <cell r="B6929">
            <v>508436</v>
          </cell>
        </row>
        <row r="6930">
          <cell r="A6930" t="str">
            <v>金地镯37级</v>
          </cell>
          <cell r="B6930">
            <v>508437</v>
          </cell>
        </row>
        <row r="6931">
          <cell r="A6931" t="str">
            <v>金地镯38级</v>
          </cell>
          <cell r="B6931">
            <v>508438</v>
          </cell>
        </row>
        <row r="6932">
          <cell r="A6932" t="str">
            <v>金地镯39级</v>
          </cell>
          <cell r="B6932">
            <v>508439</v>
          </cell>
        </row>
        <row r="6933">
          <cell r="A6933" t="str">
            <v>金地镯40级</v>
          </cell>
          <cell r="B6933">
            <v>508440</v>
          </cell>
        </row>
        <row r="6934">
          <cell r="A6934" t="str">
            <v>金地镯41级</v>
          </cell>
          <cell r="B6934">
            <v>508441</v>
          </cell>
        </row>
        <row r="6935">
          <cell r="A6935" t="str">
            <v>金地镯42级</v>
          </cell>
          <cell r="B6935">
            <v>508442</v>
          </cell>
        </row>
        <row r="6936">
          <cell r="A6936" t="str">
            <v>金地镯43级</v>
          </cell>
          <cell r="B6936">
            <v>508443</v>
          </cell>
        </row>
        <row r="6937">
          <cell r="A6937" t="str">
            <v>金地镯44级</v>
          </cell>
          <cell r="B6937">
            <v>508444</v>
          </cell>
        </row>
        <row r="6938">
          <cell r="A6938" t="str">
            <v>金地镯45级</v>
          </cell>
          <cell r="B6938">
            <v>508445</v>
          </cell>
        </row>
        <row r="6939">
          <cell r="A6939" t="str">
            <v>金地镯46级</v>
          </cell>
          <cell r="B6939">
            <v>508446</v>
          </cell>
        </row>
        <row r="6940">
          <cell r="A6940" t="str">
            <v>金地镯47级</v>
          </cell>
          <cell r="B6940">
            <v>508447</v>
          </cell>
        </row>
        <row r="6941">
          <cell r="A6941" t="str">
            <v>金地镯48级</v>
          </cell>
          <cell r="B6941">
            <v>508448</v>
          </cell>
        </row>
        <row r="6942">
          <cell r="A6942" t="str">
            <v>金地镯49级</v>
          </cell>
          <cell r="B6942">
            <v>508449</v>
          </cell>
        </row>
        <row r="6943">
          <cell r="A6943" t="str">
            <v>金地镯50级</v>
          </cell>
          <cell r="B6943">
            <v>508450</v>
          </cell>
        </row>
        <row r="6944">
          <cell r="A6944" t="str">
            <v>金地镯51级</v>
          </cell>
          <cell r="B6944">
            <v>508451</v>
          </cell>
        </row>
        <row r="6945">
          <cell r="A6945" t="str">
            <v>金地镯52级</v>
          </cell>
          <cell r="B6945">
            <v>508452</v>
          </cell>
        </row>
        <row r="6946">
          <cell r="A6946" t="str">
            <v>金地镯53级</v>
          </cell>
          <cell r="B6946">
            <v>508453</v>
          </cell>
        </row>
        <row r="6947">
          <cell r="A6947" t="str">
            <v>金地镯54级</v>
          </cell>
          <cell r="B6947">
            <v>508454</v>
          </cell>
        </row>
        <row r="6948">
          <cell r="A6948" t="str">
            <v>金地镯55级</v>
          </cell>
          <cell r="B6948">
            <v>508455</v>
          </cell>
        </row>
        <row r="6949">
          <cell r="A6949" t="str">
            <v>金地镯56级</v>
          </cell>
          <cell r="B6949">
            <v>508456</v>
          </cell>
        </row>
        <row r="6950">
          <cell r="A6950" t="str">
            <v>金地镯57级</v>
          </cell>
          <cell r="B6950">
            <v>508457</v>
          </cell>
        </row>
        <row r="6951">
          <cell r="A6951" t="str">
            <v>金地镯58级</v>
          </cell>
          <cell r="B6951">
            <v>508458</v>
          </cell>
        </row>
        <row r="6952">
          <cell r="A6952" t="str">
            <v>金地镯59级</v>
          </cell>
          <cell r="B6952">
            <v>508459</v>
          </cell>
        </row>
        <row r="6953">
          <cell r="A6953" t="str">
            <v>金地镯60级</v>
          </cell>
          <cell r="B6953">
            <v>508460</v>
          </cell>
        </row>
        <row r="6954">
          <cell r="A6954" t="str">
            <v>金地镯61级</v>
          </cell>
          <cell r="B6954">
            <v>508461</v>
          </cell>
        </row>
        <row r="6955">
          <cell r="A6955" t="str">
            <v>金地镯62级</v>
          </cell>
          <cell r="B6955">
            <v>508462</v>
          </cell>
        </row>
        <row r="6956">
          <cell r="A6956" t="str">
            <v>金地镯63级</v>
          </cell>
          <cell r="B6956">
            <v>508463</v>
          </cell>
        </row>
        <row r="6957">
          <cell r="A6957" t="str">
            <v>金地镯64级</v>
          </cell>
          <cell r="B6957">
            <v>508464</v>
          </cell>
        </row>
        <row r="6958">
          <cell r="A6958" t="str">
            <v>金地镯65级</v>
          </cell>
          <cell r="B6958">
            <v>508465</v>
          </cell>
        </row>
        <row r="6959">
          <cell r="A6959" t="str">
            <v>金地镯66级</v>
          </cell>
          <cell r="B6959">
            <v>508466</v>
          </cell>
        </row>
        <row r="6960">
          <cell r="A6960" t="str">
            <v>金地镯67级</v>
          </cell>
          <cell r="B6960">
            <v>508467</v>
          </cell>
        </row>
        <row r="6961">
          <cell r="A6961" t="str">
            <v>金地镯68级</v>
          </cell>
          <cell r="B6961">
            <v>508468</v>
          </cell>
        </row>
        <row r="6962">
          <cell r="A6962" t="str">
            <v>金地镯69级</v>
          </cell>
          <cell r="B6962">
            <v>508469</v>
          </cell>
        </row>
        <row r="6963">
          <cell r="A6963" t="str">
            <v>金地镯70级</v>
          </cell>
          <cell r="B6963">
            <v>508470</v>
          </cell>
        </row>
        <row r="6964">
          <cell r="A6964" t="str">
            <v>金地镯71级</v>
          </cell>
          <cell r="B6964">
            <v>508471</v>
          </cell>
        </row>
        <row r="6965">
          <cell r="A6965" t="str">
            <v>金地镯72级</v>
          </cell>
          <cell r="B6965">
            <v>508472</v>
          </cell>
        </row>
        <row r="6966">
          <cell r="A6966" t="str">
            <v>金地镯73级</v>
          </cell>
          <cell r="B6966">
            <v>508473</v>
          </cell>
        </row>
        <row r="6967">
          <cell r="A6967" t="str">
            <v>金地镯74级</v>
          </cell>
          <cell r="B6967">
            <v>508474</v>
          </cell>
        </row>
        <row r="6968">
          <cell r="A6968" t="str">
            <v>金地镯75级</v>
          </cell>
          <cell r="B6968">
            <v>508475</v>
          </cell>
        </row>
        <row r="6969">
          <cell r="A6969" t="str">
            <v>金地镯76级</v>
          </cell>
          <cell r="B6969">
            <v>508476</v>
          </cell>
        </row>
        <row r="6970">
          <cell r="A6970" t="str">
            <v>金地镯77级</v>
          </cell>
          <cell r="B6970">
            <v>508477</v>
          </cell>
        </row>
        <row r="6971">
          <cell r="A6971" t="str">
            <v>金地镯78级</v>
          </cell>
          <cell r="B6971">
            <v>508478</v>
          </cell>
        </row>
        <row r="6972">
          <cell r="A6972" t="str">
            <v>金地镯79级</v>
          </cell>
          <cell r="B6972">
            <v>508479</v>
          </cell>
        </row>
        <row r="6973">
          <cell r="A6973" t="str">
            <v>金地镯80级</v>
          </cell>
          <cell r="B6973">
            <v>508480</v>
          </cell>
        </row>
        <row r="6974">
          <cell r="A6974" t="str">
            <v>金地镯81级</v>
          </cell>
          <cell r="B6974">
            <v>508481</v>
          </cell>
        </row>
        <row r="6975">
          <cell r="A6975" t="str">
            <v>金地镯82级</v>
          </cell>
          <cell r="B6975">
            <v>508482</v>
          </cell>
        </row>
        <row r="6976">
          <cell r="A6976" t="str">
            <v>金地镯83级</v>
          </cell>
          <cell r="B6976">
            <v>508483</v>
          </cell>
        </row>
        <row r="6977">
          <cell r="A6977" t="str">
            <v>金地镯84级</v>
          </cell>
          <cell r="B6977">
            <v>508484</v>
          </cell>
        </row>
        <row r="6978">
          <cell r="A6978" t="str">
            <v>金地镯85级</v>
          </cell>
          <cell r="B6978">
            <v>508485</v>
          </cell>
        </row>
        <row r="6979">
          <cell r="A6979" t="str">
            <v>金地镯86级</v>
          </cell>
          <cell r="B6979">
            <v>508486</v>
          </cell>
        </row>
        <row r="6980">
          <cell r="A6980" t="str">
            <v>金地镯87级</v>
          </cell>
          <cell r="B6980">
            <v>508487</v>
          </cell>
        </row>
        <row r="6981">
          <cell r="A6981" t="str">
            <v>金地镯88级</v>
          </cell>
          <cell r="B6981">
            <v>508488</v>
          </cell>
        </row>
        <row r="6982">
          <cell r="A6982" t="str">
            <v>金地镯89级</v>
          </cell>
          <cell r="B6982">
            <v>508489</v>
          </cell>
        </row>
        <row r="6983">
          <cell r="A6983" t="str">
            <v>金地镯90级</v>
          </cell>
          <cell r="B6983">
            <v>508490</v>
          </cell>
        </row>
        <row r="6984">
          <cell r="A6984" t="str">
            <v>金地镯91级</v>
          </cell>
          <cell r="B6984">
            <v>508491</v>
          </cell>
        </row>
        <row r="6985">
          <cell r="A6985" t="str">
            <v>金地镯92级</v>
          </cell>
          <cell r="B6985">
            <v>508492</v>
          </cell>
        </row>
        <row r="6986">
          <cell r="A6986" t="str">
            <v>金地镯93级</v>
          </cell>
          <cell r="B6986">
            <v>508493</v>
          </cell>
        </row>
        <row r="6987">
          <cell r="A6987" t="str">
            <v>金地镯94级</v>
          </cell>
          <cell r="B6987">
            <v>508494</v>
          </cell>
        </row>
        <row r="6988">
          <cell r="A6988" t="str">
            <v>金地镯95级</v>
          </cell>
          <cell r="B6988">
            <v>508495</v>
          </cell>
        </row>
        <row r="6989">
          <cell r="A6989" t="str">
            <v>金地镯96级</v>
          </cell>
          <cell r="B6989">
            <v>508496</v>
          </cell>
        </row>
        <row r="6990">
          <cell r="A6990" t="str">
            <v>金地镯97级</v>
          </cell>
          <cell r="B6990">
            <v>508497</v>
          </cell>
        </row>
        <row r="6991">
          <cell r="A6991" t="str">
            <v>金地镯98级</v>
          </cell>
          <cell r="B6991">
            <v>508498</v>
          </cell>
        </row>
        <row r="6992">
          <cell r="A6992" t="str">
            <v>金地镯99级</v>
          </cell>
          <cell r="B6992">
            <v>508499</v>
          </cell>
        </row>
        <row r="6993">
          <cell r="A6993" t="str">
            <v>金乾戒1级</v>
          </cell>
          <cell r="B6993">
            <v>509401</v>
          </cell>
        </row>
        <row r="6994">
          <cell r="A6994" t="str">
            <v>金乾戒2级</v>
          </cell>
          <cell r="B6994">
            <v>509402</v>
          </cell>
        </row>
        <row r="6995">
          <cell r="A6995" t="str">
            <v>金乾戒3级</v>
          </cell>
          <cell r="B6995">
            <v>509403</v>
          </cell>
        </row>
        <row r="6996">
          <cell r="A6996" t="str">
            <v>金乾戒4级</v>
          </cell>
          <cell r="B6996">
            <v>509404</v>
          </cell>
        </row>
        <row r="6997">
          <cell r="A6997" t="str">
            <v>金乾戒5级</v>
          </cell>
          <cell r="B6997">
            <v>509405</v>
          </cell>
        </row>
        <row r="6998">
          <cell r="A6998" t="str">
            <v>金乾戒6级</v>
          </cell>
          <cell r="B6998">
            <v>509406</v>
          </cell>
        </row>
        <row r="6999">
          <cell r="A6999" t="str">
            <v>金乾戒7级</v>
          </cell>
          <cell r="B6999">
            <v>509407</v>
          </cell>
        </row>
        <row r="7000">
          <cell r="A7000" t="str">
            <v>金乾戒8级</v>
          </cell>
          <cell r="B7000">
            <v>509408</v>
          </cell>
        </row>
        <row r="7001">
          <cell r="A7001" t="str">
            <v>金乾戒9级</v>
          </cell>
          <cell r="B7001">
            <v>509409</v>
          </cell>
        </row>
        <row r="7002">
          <cell r="A7002" t="str">
            <v>金乾戒10级</v>
          </cell>
          <cell r="B7002">
            <v>509410</v>
          </cell>
        </row>
        <row r="7003">
          <cell r="A7003" t="str">
            <v>金乾戒11级</v>
          </cell>
          <cell r="B7003">
            <v>509411</v>
          </cell>
        </row>
        <row r="7004">
          <cell r="A7004" t="str">
            <v>金乾戒12级</v>
          </cell>
          <cell r="B7004">
            <v>509412</v>
          </cell>
        </row>
        <row r="7005">
          <cell r="A7005" t="str">
            <v>金乾戒13级</v>
          </cell>
          <cell r="B7005">
            <v>509413</v>
          </cell>
        </row>
        <row r="7006">
          <cell r="A7006" t="str">
            <v>金乾戒14级</v>
          </cell>
          <cell r="B7006">
            <v>509414</v>
          </cell>
        </row>
        <row r="7007">
          <cell r="A7007" t="str">
            <v>金乾戒15级</v>
          </cell>
          <cell r="B7007">
            <v>509415</v>
          </cell>
        </row>
        <row r="7008">
          <cell r="A7008" t="str">
            <v>金乾戒16级</v>
          </cell>
          <cell r="B7008">
            <v>509416</v>
          </cell>
        </row>
        <row r="7009">
          <cell r="A7009" t="str">
            <v>金乾戒17级</v>
          </cell>
          <cell r="B7009">
            <v>509417</v>
          </cell>
        </row>
        <row r="7010">
          <cell r="A7010" t="str">
            <v>金乾戒18级</v>
          </cell>
          <cell r="B7010">
            <v>509418</v>
          </cell>
        </row>
        <row r="7011">
          <cell r="A7011" t="str">
            <v>金乾戒19级</v>
          </cell>
          <cell r="B7011">
            <v>509419</v>
          </cell>
        </row>
        <row r="7012">
          <cell r="A7012" t="str">
            <v>金乾戒20级</v>
          </cell>
          <cell r="B7012">
            <v>509420</v>
          </cell>
        </row>
        <row r="7013">
          <cell r="A7013" t="str">
            <v>金乾戒21级</v>
          </cell>
          <cell r="B7013">
            <v>509421</v>
          </cell>
        </row>
        <row r="7014">
          <cell r="A7014" t="str">
            <v>金乾戒22级</v>
          </cell>
          <cell r="B7014">
            <v>509422</v>
          </cell>
        </row>
        <row r="7015">
          <cell r="A7015" t="str">
            <v>金乾戒23级</v>
          </cell>
          <cell r="B7015">
            <v>509423</v>
          </cell>
        </row>
        <row r="7016">
          <cell r="A7016" t="str">
            <v>金乾戒24级</v>
          </cell>
          <cell r="B7016">
            <v>509424</v>
          </cell>
        </row>
        <row r="7017">
          <cell r="A7017" t="str">
            <v>金乾戒25级</v>
          </cell>
          <cell r="B7017">
            <v>509425</v>
          </cell>
        </row>
        <row r="7018">
          <cell r="A7018" t="str">
            <v>金乾戒26级</v>
          </cell>
          <cell r="B7018">
            <v>509426</v>
          </cell>
        </row>
        <row r="7019">
          <cell r="A7019" t="str">
            <v>金乾戒27级</v>
          </cell>
          <cell r="B7019">
            <v>509427</v>
          </cell>
        </row>
        <row r="7020">
          <cell r="A7020" t="str">
            <v>金乾戒28级</v>
          </cell>
          <cell r="B7020">
            <v>509428</v>
          </cell>
        </row>
        <row r="7021">
          <cell r="A7021" t="str">
            <v>金乾戒29级</v>
          </cell>
          <cell r="B7021">
            <v>509429</v>
          </cell>
        </row>
        <row r="7022">
          <cell r="A7022" t="str">
            <v>金乾戒30级</v>
          </cell>
          <cell r="B7022">
            <v>509430</v>
          </cell>
        </row>
        <row r="7023">
          <cell r="A7023" t="str">
            <v>金乾戒31级</v>
          </cell>
          <cell r="B7023">
            <v>509431</v>
          </cell>
        </row>
        <row r="7024">
          <cell r="A7024" t="str">
            <v>金乾戒32级</v>
          </cell>
          <cell r="B7024">
            <v>509432</v>
          </cell>
        </row>
        <row r="7025">
          <cell r="A7025" t="str">
            <v>金乾戒33级</v>
          </cell>
          <cell r="B7025">
            <v>509433</v>
          </cell>
        </row>
        <row r="7026">
          <cell r="A7026" t="str">
            <v>金乾戒34级</v>
          </cell>
          <cell r="B7026">
            <v>509434</v>
          </cell>
        </row>
        <row r="7027">
          <cell r="A7027" t="str">
            <v>金乾戒35级</v>
          </cell>
          <cell r="B7027">
            <v>509435</v>
          </cell>
        </row>
        <row r="7028">
          <cell r="A7028" t="str">
            <v>金乾戒36级</v>
          </cell>
          <cell r="B7028">
            <v>509436</v>
          </cell>
        </row>
        <row r="7029">
          <cell r="A7029" t="str">
            <v>金乾戒37级</v>
          </cell>
          <cell r="B7029">
            <v>509437</v>
          </cell>
        </row>
        <row r="7030">
          <cell r="A7030" t="str">
            <v>金乾戒38级</v>
          </cell>
          <cell r="B7030">
            <v>509438</v>
          </cell>
        </row>
        <row r="7031">
          <cell r="A7031" t="str">
            <v>金乾戒39级</v>
          </cell>
          <cell r="B7031">
            <v>509439</v>
          </cell>
        </row>
        <row r="7032">
          <cell r="A7032" t="str">
            <v>金乾戒40级</v>
          </cell>
          <cell r="B7032">
            <v>509440</v>
          </cell>
        </row>
        <row r="7033">
          <cell r="A7033" t="str">
            <v>金乾戒41级</v>
          </cell>
          <cell r="B7033">
            <v>509441</v>
          </cell>
        </row>
        <row r="7034">
          <cell r="A7034" t="str">
            <v>金乾戒42级</v>
          </cell>
          <cell r="B7034">
            <v>509442</v>
          </cell>
        </row>
        <row r="7035">
          <cell r="A7035" t="str">
            <v>金乾戒43级</v>
          </cell>
          <cell r="B7035">
            <v>509443</v>
          </cell>
        </row>
        <row r="7036">
          <cell r="A7036" t="str">
            <v>金乾戒44级</v>
          </cell>
          <cell r="B7036">
            <v>509444</v>
          </cell>
        </row>
        <row r="7037">
          <cell r="A7037" t="str">
            <v>金乾戒45级</v>
          </cell>
          <cell r="B7037">
            <v>509445</v>
          </cell>
        </row>
        <row r="7038">
          <cell r="A7038" t="str">
            <v>金乾戒46级</v>
          </cell>
          <cell r="B7038">
            <v>509446</v>
          </cell>
        </row>
        <row r="7039">
          <cell r="A7039" t="str">
            <v>金乾戒47级</v>
          </cell>
          <cell r="B7039">
            <v>509447</v>
          </cell>
        </row>
        <row r="7040">
          <cell r="A7040" t="str">
            <v>金乾戒48级</v>
          </cell>
          <cell r="B7040">
            <v>509448</v>
          </cell>
        </row>
        <row r="7041">
          <cell r="A7041" t="str">
            <v>金乾戒49级</v>
          </cell>
          <cell r="B7041">
            <v>509449</v>
          </cell>
        </row>
        <row r="7042">
          <cell r="A7042" t="str">
            <v>金乾戒50级</v>
          </cell>
          <cell r="B7042">
            <v>509450</v>
          </cell>
        </row>
        <row r="7043">
          <cell r="A7043" t="str">
            <v>金乾戒51级</v>
          </cell>
          <cell r="B7043">
            <v>509451</v>
          </cell>
        </row>
        <row r="7044">
          <cell r="A7044" t="str">
            <v>金乾戒52级</v>
          </cell>
          <cell r="B7044">
            <v>509452</v>
          </cell>
        </row>
        <row r="7045">
          <cell r="A7045" t="str">
            <v>金乾戒53级</v>
          </cell>
          <cell r="B7045">
            <v>509453</v>
          </cell>
        </row>
        <row r="7046">
          <cell r="A7046" t="str">
            <v>金乾戒54级</v>
          </cell>
          <cell r="B7046">
            <v>509454</v>
          </cell>
        </row>
        <row r="7047">
          <cell r="A7047" t="str">
            <v>金乾戒55级</v>
          </cell>
          <cell r="B7047">
            <v>509455</v>
          </cell>
        </row>
        <row r="7048">
          <cell r="A7048" t="str">
            <v>金乾戒56级</v>
          </cell>
          <cell r="B7048">
            <v>509456</v>
          </cell>
        </row>
        <row r="7049">
          <cell r="A7049" t="str">
            <v>金乾戒57级</v>
          </cell>
          <cell r="B7049">
            <v>509457</v>
          </cell>
        </row>
        <row r="7050">
          <cell r="A7050" t="str">
            <v>金乾戒58级</v>
          </cell>
          <cell r="B7050">
            <v>509458</v>
          </cell>
        </row>
        <row r="7051">
          <cell r="A7051" t="str">
            <v>金乾戒59级</v>
          </cell>
          <cell r="B7051">
            <v>509459</v>
          </cell>
        </row>
        <row r="7052">
          <cell r="A7052" t="str">
            <v>金乾戒60级</v>
          </cell>
          <cell r="B7052">
            <v>509460</v>
          </cell>
        </row>
        <row r="7053">
          <cell r="A7053" t="str">
            <v>金乾戒61级</v>
          </cell>
          <cell r="B7053">
            <v>509461</v>
          </cell>
        </row>
        <row r="7054">
          <cell r="A7054" t="str">
            <v>金乾戒62级</v>
          </cell>
          <cell r="B7054">
            <v>509462</v>
          </cell>
        </row>
        <row r="7055">
          <cell r="A7055" t="str">
            <v>金乾戒63级</v>
          </cell>
          <cell r="B7055">
            <v>509463</v>
          </cell>
        </row>
        <row r="7056">
          <cell r="A7056" t="str">
            <v>金乾戒64级</v>
          </cell>
          <cell r="B7056">
            <v>509464</v>
          </cell>
        </row>
        <row r="7057">
          <cell r="A7057" t="str">
            <v>金乾戒65级</v>
          </cell>
          <cell r="B7057">
            <v>509465</v>
          </cell>
        </row>
        <row r="7058">
          <cell r="A7058" t="str">
            <v>金乾戒66级</v>
          </cell>
          <cell r="B7058">
            <v>509466</v>
          </cell>
        </row>
        <row r="7059">
          <cell r="A7059" t="str">
            <v>金乾戒67级</v>
          </cell>
          <cell r="B7059">
            <v>509467</v>
          </cell>
        </row>
        <row r="7060">
          <cell r="A7060" t="str">
            <v>金乾戒68级</v>
          </cell>
          <cell r="B7060">
            <v>509468</v>
          </cell>
        </row>
        <row r="7061">
          <cell r="A7061" t="str">
            <v>金乾戒69级</v>
          </cell>
          <cell r="B7061">
            <v>509469</v>
          </cell>
        </row>
        <row r="7062">
          <cell r="A7062" t="str">
            <v>金乾戒70级</v>
          </cell>
          <cell r="B7062">
            <v>509470</v>
          </cell>
        </row>
        <row r="7063">
          <cell r="A7063" t="str">
            <v>金乾戒71级</v>
          </cell>
          <cell r="B7063">
            <v>509471</v>
          </cell>
        </row>
        <row r="7064">
          <cell r="A7064" t="str">
            <v>金乾戒72级</v>
          </cell>
          <cell r="B7064">
            <v>509472</v>
          </cell>
        </row>
        <row r="7065">
          <cell r="A7065" t="str">
            <v>金乾戒73级</v>
          </cell>
          <cell r="B7065">
            <v>509473</v>
          </cell>
        </row>
        <row r="7066">
          <cell r="A7066" t="str">
            <v>金乾戒74级</v>
          </cell>
          <cell r="B7066">
            <v>509474</v>
          </cell>
        </row>
        <row r="7067">
          <cell r="A7067" t="str">
            <v>金乾戒75级</v>
          </cell>
          <cell r="B7067">
            <v>509475</v>
          </cell>
        </row>
        <row r="7068">
          <cell r="A7068" t="str">
            <v>金乾戒76级</v>
          </cell>
          <cell r="B7068">
            <v>509476</v>
          </cell>
        </row>
        <row r="7069">
          <cell r="A7069" t="str">
            <v>金乾戒77级</v>
          </cell>
          <cell r="B7069">
            <v>509477</v>
          </cell>
        </row>
        <row r="7070">
          <cell r="A7070" t="str">
            <v>金乾戒78级</v>
          </cell>
          <cell r="B7070">
            <v>509478</v>
          </cell>
        </row>
        <row r="7071">
          <cell r="A7071" t="str">
            <v>金乾戒79级</v>
          </cell>
          <cell r="B7071">
            <v>509479</v>
          </cell>
        </row>
        <row r="7072">
          <cell r="A7072" t="str">
            <v>金乾戒80级</v>
          </cell>
          <cell r="B7072">
            <v>509480</v>
          </cell>
        </row>
        <row r="7073">
          <cell r="A7073" t="str">
            <v>金乾戒81级</v>
          </cell>
          <cell r="B7073">
            <v>509481</v>
          </cell>
        </row>
        <row r="7074">
          <cell r="A7074" t="str">
            <v>金乾戒82级</v>
          </cell>
          <cell r="B7074">
            <v>509482</v>
          </cell>
        </row>
        <row r="7075">
          <cell r="A7075" t="str">
            <v>金乾戒83级</v>
          </cell>
          <cell r="B7075">
            <v>509483</v>
          </cell>
        </row>
        <row r="7076">
          <cell r="A7076" t="str">
            <v>金乾戒84级</v>
          </cell>
          <cell r="B7076">
            <v>509484</v>
          </cell>
        </row>
        <row r="7077">
          <cell r="A7077" t="str">
            <v>金乾戒85级</v>
          </cell>
          <cell r="B7077">
            <v>509485</v>
          </cell>
        </row>
        <row r="7078">
          <cell r="A7078" t="str">
            <v>金乾戒86级</v>
          </cell>
          <cell r="B7078">
            <v>509486</v>
          </cell>
        </row>
        <row r="7079">
          <cell r="A7079" t="str">
            <v>金乾戒87级</v>
          </cell>
          <cell r="B7079">
            <v>509487</v>
          </cell>
        </row>
        <row r="7080">
          <cell r="A7080" t="str">
            <v>金乾戒88级</v>
          </cell>
          <cell r="B7080">
            <v>509488</v>
          </cell>
        </row>
        <row r="7081">
          <cell r="A7081" t="str">
            <v>金乾戒89级</v>
          </cell>
          <cell r="B7081">
            <v>509489</v>
          </cell>
        </row>
        <row r="7082">
          <cell r="A7082" t="str">
            <v>金乾戒90级</v>
          </cell>
          <cell r="B7082">
            <v>509490</v>
          </cell>
        </row>
        <row r="7083">
          <cell r="A7083" t="str">
            <v>金乾戒91级</v>
          </cell>
          <cell r="B7083">
            <v>509491</v>
          </cell>
        </row>
        <row r="7084">
          <cell r="A7084" t="str">
            <v>金乾戒92级</v>
          </cell>
          <cell r="B7084">
            <v>509492</v>
          </cell>
        </row>
        <row r="7085">
          <cell r="A7085" t="str">
            <v>金乾戒93级</v>
          </cell>
          <cell r="B7085">
            <v>509493</v>
          </cell>
        </row>
        <row r="7086">
          <cell r="A7086" t="str">
            <v>金乾戒94级</v>
          </cell>
          <cell r="B7086">
            <v>509494</v>
          </cell>
        </row>
        <row r="7087">
          <cell r="A7087" t="str">
            <v>金乾戒95级</v>
          </cell>
          <cell r="B7087">
            <v>509495</v>
          </cell>
        </row>
        <row r="7088">
          <cell r="A7088" t="str">
            <v>金乾戒96级</v>
          </cell>
          <cell r="B7088">
            <v>509496</v>
          </cell>
        </row>
        <row r="7089">
          <cell r="A7089" t="str">
            <v>金乾戒97级</v>
          </cell>
          <cell r="B7089">
            <v>509497</v>
          </cell>
        </row>
        <row r="7090">
          <cell r="A7090" t="str">
            <v>金乾戒98级</v>
          </cell>
          <cell r="B7090">
            <v>509498</v>
          </cell>
        </row>
        <row r="7091">
          <cell r="A7091" t="str">
            <v>金乾戒99级</v>
          </cell>
          <cell r="B7091">
            <v>509499</v>
          </cell>
        </row>
        <row r="7092">
          <cell r="A7092" t="str">
            <v>金龙带1级</v>
          </cell>
          <cell r="B7092">
            <v>510401</v>
          </cell>
        </row>
        <row r="7093">
          <cell r="A7093" t="str">
            <v>金龙带2级</v>
          </cell>
          <cell r="B7093">
            <v>510402</v>
          </cell>
        </row>
        <row r="7094">
          <cell r="A7094" t="str">
            <v>金龙带3级</v>
          </cell>
          <cell r="B7094">
            <v>510403</v>
          </cell>
        </row>
        <row r="7095">
          <cell r="A7095" t="str">
            <v>金龙带4级</v>
          </cell>
          <cell r="B7095">
            <v>510404</v>
          </cell>
        </row>
        <row r="7096">
          <cell r="A7096" t="str">
            <v>金龙带5级</v>
          </cell>
          <cell r="B7096">
            <v>510405</v>
          </cell>
        </row>
        <row r="7097">
          <cell r="A7097" t="str">
            <v>金龙带6级</v>
          </cell>
          <cell r="B7097">
            <v>510406</v>
          </cell>
        </row>
        <row r="7098">
          <cell r="A7098" t="str">
            <v>金龙带7级</v>
          </cell>
          <cell r="B7098">
            <v>510407</v>
          </cell>
        </row>
        <row r="7099">
          <cell r="A7099" t="str">
            <v>金龙带8级</v>
          </cell>
          <cell r="B7099">
            <v>510408</v>
          </cell>
        </row>
        <row r="7100">
          <cell r="A7100" t="str">
            <v>金龙带9级</v>
          </cell>
          <cell r="B7100">
            <v>510409</v>
          </cell>
        </row>
        <row r="7101">
          <cell r="A7101" t="str">
            <v>金龙带10级</v>
          </cell>
          <cell r="B7101">
            <v>510410</v>
          </cell>
        </row>
        <row r="7102">
          <cell r="A7102" t="str">
            <v>金龙带11级</v>
          </cell>
          <cell r="B7102">
            <v>510411</v>
          </cell>
        </row>
        <row r="7103">
          <cell r="A7103" t="str">
            <v>金龙带12级</v>
          </cell>
          <cell r="B7103">
            <v>510412</v>
          </cell>
        </row>
        <row r="7104">
          <cell r="A7104" t="str">
            <v>金龙带13级</v>
          </cell>
          <cell r="B7104">
            <v>510413</v>
          </cell>
        </row>
        <row r="7105">
          <cell r="A7105" t="str">
            <v>金龙带14级</v>
          </cell>
          <cell r="B7105">
            <v>510414</v>
          </cell>
        </row>
        <row r="7106">
          <cell r="A7106" t="str">
            <v>金龙带15级</v>
          </cell>
          <cell r="B7106">
            <v>510415</v>
          </cell>
        </row>
        <row r="7107">
          <cell r="A7107" t="str">
            <v>金龙带16级</v>
          </cell>
          <cell r="B7107">
            <v>510416</v>
          </cell>
        </row>
        <row r="7108">
          <cell r="A7108" t="str">
            <v>金龙带17级</v>
          </cell>
          <cell r="B7108">
            <v>510417</v>
          </cell>
        </row>
        <row r="7109">
          <cell r="A7109" t="str">
            <v>金龙带18级</v>
          </cell>
          <cell r="B7109">
            <v>510418</v>
          </cell>
        </row>
        <row r="7110">
          <cell r="A7110" t="str">
            <v>金龙带19级</v>
          </cell>
          <cell r="B7110">
            <v>510419</v>
          </cell>
        </row>
        <row r="7111">
          <cell r="A7111" t="str">
            <v>金龙带20级</v>
          </cell>
          <cell r="B7111">
            <v>510420</v>
          </cell>
        </row>
        <row r="7112">
          <cell r="A7112" t="str">
            <v>金龙带21级</v>
          </cell>
          <cell r="B7112">
            <v>510421</v>
          </cell>
        </row>
        <row r="7113">
          <cell r="A7113" t="str">
            <v>金龙带22级</v>
          </cell>
          <cell r="B7113">
            <v>510422</v>
          </cell>
        </row>
        <row r="7114">
          <cell r="A7114" t="str">
            <v>金龙带23级</v>
          </cell>
          <cell r="B7114">
            <v>510423</v>
          </cell>
        </row>
        <row r="7115">
          <cell r="A7115" t="str">
            <v>金龙带24级</v>
          </cell>
          <cell r="B7115">
            <v>510424</v>
          </cell>
        </row>
        <row r="7116">
          <cell r="A7116" t="str">
            <v>金龙带25级</v>
          </cell>
          <cell r="B7116">
            <v>510425</v>
          </cell>
        </row>
        <row r="7117">
          <cell r="A7117" t="str">
            <v>金龙带26级</v>
          </cell>
          <cell r="B7117">
            <v>510426</v>
          </cell>
        </row>
        <row r="7118">
          <cell r="A7118" t="str">
            <v>金龙带27级</v>
          </cell>
          <cell r="B7118">
            <v>510427</v>
          </cell>
        </row>
        <row r="7119">
          <cell r="A7119" t="str">
            <v>金龙带28级</v>
          </cell>
          <cell r="B7119">
            <v>510428</v>
          </cell>
        </row>
        <row r="7120">
          <cell r="A7120" t="str">
            <v>金龙带29级</v>
          </cell>
          <cell r="B7120">
            <v>510429</v>
          </cell>
        </row>
        <row r="7121">
          <cell r="A7121" t="str">
            <v>金龙带30级</v>
          </cell>
          <cell r="B7121">
            <v>510430</v>
          </cell>
        </row>
        <row r="7122">
          <cell r="A7122" t="str">
            <v>金龙带31级</v>
          </cell>
          <cell r="B7122">
            <v>510431</v>
          </cell>
        </row>
        <row r="7123">
          <cell r="A7123" t="str">
            <v>金龙带32级</v>
          </cell>
          <cell r="B7123">
            <v>510432</v>
          </cell>
        </row>
        <row r="7124">
          <cell r="A7124" t="str">
            <v>金龙带33级</v>
          </cell>
          <cell r="B7124">
            <v>510433</v>
          </cell>
        </row>
        <row r="7125">
          <cell r="A7125" t="str">
            <v>金龙带34级</v>
          </cell>
          <cell r="B7125">
            <v>510434</v>
          </cell>
        </row>
        <row r="7126">
          <cell r="A7126" t="str">
            <v>金龙带35级</v>
          </cell>
          <cell r="B7126">
            <v>510435</v>
          </cell>
        </row>
        <row r="7127">
          <cell r="A7127" t="str">
            <v>金龙带36级</v>
          </cell>
          <cell r="B7127">
            <v>510436</v>
          </cell>
        </row>
        <row r="7128">
          <cell r="A7128" t="str">
            <v>金龙带37级</v>
          </cell>
          <cell r="B7128">
            <v>510437</v>
          </cell>
        </row>
        <row r="7129">
          <cell r="A7129" t="str">
            <v>金龙带38级</v>
          </cell>
          <cell r="B7129">
            <v>510438</v>
          </cell>
        </row>
        <row r="7130">
          <cell r="A7130" t="str">
            <v>金龙带39级</v>
          </cell>
          <cell r="B7130">
            <v>510439</v>
          </cell>
        </row>
        <row r="7131">
          <cell r="A7131" t="str">
            <v>金龙带40级</v>
          </cell>
          <cell r="B7131">
            <v>510440</v>
          </cell>
        </row>
        <row r="7132">
          <cell r="A7132" t="str">
            <v>金龙带41级</v>
          </cell>
          <cell r="B7132">
            <v>510441</v>
          </cell>
        </row>
        <row r="7133">
          <cell r="A7133" t="str">
            <v>金龙带42级</v>
          </cell>
          <cell r="B7133">
            <v>510442</v>
          </cell>
        </row>
        <row r="7134">
          <cell r="A7134" t="str">
            <v>金龙带43级</v>
          </cell>
          <cell r="B7134">
            <v>510443</v>
          </cell>
        </row>
        <row r="7135">
          <cell r="A7135" t="str">
            <v>金龙带44级</v>
          </cell>
          <cell r="B7135">
            <v>510444</v>
          </cell>
        </row>
        <row r="7136">
          <cell r="A7136" t="str">
            <v>金龙带45级</v>
          </cell>
          <cell r="B7136">
            <v>510445</v>
          </cell>
        </row>
        <row r="7137">
          <cell r="A7137" t="str">
            <v>金龙带46级</v>
          </cell>
          <cell r="B7137">
            <v>510446</v>
          </cell>
        </row>
        <row r="7138">
          <cell r="A7138" t="str">
            <v>金龙带47级</v>
          </cell>
          <cell r="B7138">
            <v>510447</v>
          </cell>
        </row>
        <row r="7139">
          <cell r="A7139" t="str">
            <v>金龙带48级</v>
          </cell>
          <cell r="B7139">
            <v>510448</v>
          </cell>
        </row>
        <row r="7140">
          <cell r="A7140" t="str">
            <v>金龙带49级</v>
          </cell>
          <cell r="B7140">
            <v>510449</v>
          </cell>
        </row>
        <row r="7141">
          <cell r="A7141" t="str">
            <v>金龙带50级</v>
          </cell>
          <cell r="B7141">
            <v>510450</v>
          </cell>
        </row>
        <row r="7142">
          <cell r="A7142" t="str">
            <v>金龙带51级</v>
          </cell>
          <cell r="B7142">
            <v>510451</v>
          </cell>
        </row>
        <row r="7143">
          <cell r="A7143" t="str">
            <v>金龙带52级</v>
          </cell>
          <cell r="B7143">
            <v>510452</v>
          </cell>
        </row>
        <row r="7144">
          <cell r="A7144" t="str">
            <v>金龙带53级</v>
          </cell>
          <cell r="B7144">
            <v>510453</v>
          </cell>
        </row>
        <row r="7145">
          <cell r="A7145" t="str">
            <v>金龙带54级</v>
          </cell>
          <cell r="B7145">
            <v>510454</v>
          </cell>
        </row>
        <row r="7146">
          <cell r="A7146" t="str">
            <v>金龙带55级</v>
          </cell>
          <cell r="B7146">
            <v>510455</v>
          </cell>
        </row>
        <row r="7147">
          <cell r="A7147" t="str">
            <v>金龙带56级</v>
          </cell>
          <cell r="B7147">
            <v>510456</v>
          </cell>
        </row>
        <row r="7148">
          <cell r="A7148" t="str">
            <v>金龙带57级</v>
          </cell>
          <cell r="B7148">
            <v>510457</v>
          </cell>
        </row>
        <row r="7149">
          <cell r="A7149" t="str">
            <v>金龙带58级</v>
          </cell>
          <cell r="B7149">
            <v>510458</v>
          </cell>
        </row>
        <row r="7150">
          <cell r="A7150" t="str">
            <v>金龙带59级</v>
          </cell>
          <cell r="B7150">
            <v>510459</v>
          </cell>
        </row>
        <row r="7151">
          <cell r="A7151" t="str">
            <v>金龙带60级</v>
          </cell>
          <cell r="B7151">
            <v>510460</v>
          </cell>
        </row>
        <row r="7152">
          <cell r="A7152" t="str">
            <v>金龙带61级</v>
          </cell>
          <cell r="B7152">
            <v>510461</v>
          </cell>
        </row>
        <row r="7153">
          <cell r="A7153" t="str">
            <v>金龙带62级</v>
          </cell>
          <cell r="B7153">
            <v>510462</v>
          </cell>
        </row>
        <row r="7154">
          <cell r="A7154" t="str">
            <v>金龙带63级</v>
          </cell>
          <cell r="B7154">
            <v>510463</v>
          </cell>
        </row>
        <row r="7155">
          <cell r="A7155" t="str">
            <v>金龙带64级</v>
          </cell>
          <cell r="B7155">
            <v>510464</v>
          </cell>
        </row>
        <row r="7156">
          <cell r="A7156" t="str">
            <v>金龙带65级</v>
          </cell>
          <cell r="B7156">
            <v>510465</v>
          </cell>
        </row>
        <row r="7157">
          <cell r="A7157" t="str">
            <v>金龙带66级</v>
          </cell>
          <cell r="B7157">
            <v>510466</v>
          </cell>
        </row>
        <row r="7158">
          <cell r="A7158" t="str">
            <v>金龙带67级</v>
          </cell>
          <cell r="B7158">
            <v>510467</v>
          </cell>
        </row>
        <row r="7159">
          <cell r="A7159" t="str">
            <v>金龙带68级</v>
          </cell>
          <cell r="B7159">
            <v>510468</v>
          </cell>
        </row>
        <row r="7160">
          <cell r="A7160" t="str">
            <v>金龙带69级</v>
          </cell>
          <cell r="B7160">
            <v>510469</v>
          </cell>
        </row>
        <row r="7161">
          <cell r="A7161" t="str">
            <v>金龙带70级</v>
          </cell>
          <cell r="B7161">
            <v>510470</v>
          </cell>
        </row>
        <row r="7162">
          <cell r="A7162" t="str">
            <v>金龙带71级</v>
          </cell>
          <cell r="B7162">
            <v>510471</v>
          </cell>
        </row>
        <row r="7163">
          <cell r="A7163" t="str">
            <v>金龙带72级</v>
          </cell>
          <cell r="B7163">
            <v>510472</v>
          </cell>
        </row>
        <row r="7164">
          <cell r="A7164" t="str">
            <v>金龙带73级</v>
          </cell>
          <cell r="B7164">
            <v>510473</v>
          </cell>
        </row>
        <row r="7165">
          <cell r="A7165" t="str">
            <v>金龙带74级</v>
          </cell>
          <cell r="B7165">
            <v>510474</v>
          </cell>
        </row>
        <row r="7166">
          <cell r="A7166" t="str">
            <v>金龙带75级</v>
          </cell>
          <cell r="B7166">
            <v>510475</v>
          </cell>
        </row>
        <row r="7167">
          <cell r="A7167" t="str">
            <v>金龙带76级</v>
          </cell>
          <cell r="B7167">
            <v>510476</v>
          </cell>
        </row>
        <row r="7168">
          <cell r="A7168" t="str">
            <v>金龙带77级</v>
          </cell>
          <cell r="B7168">
            <v>510477</v>
          </cell>
        </row>
        <row r="7169">
          <cell r="A7169" t="str">
            <v>金龙带78级</v>
          </cell>
          <cell r="B7169">
            <v>510478</v>
          </cell>
        </row>
        <row r="7170">
          <cell r="A7170" t="str">
            <v>金龙带79级</v>
          </cell>
          <cell r="B7170">
            <v>510479</v>
          </cell>
        </row>
        <row r="7171">
          <cell r="A7171" t="str">
            <v>金龙带80级</v>
          </cell>
          <cell r="B7171">
            <v>510480</v>
          </cell>
        </row>
        <row r="7172">
          <cell r="A7172" t="str">
            <v>金龙带81级</v>
          </cell>
          <cell r="B7172">
            <v>510481</v>
          </cell>
        </row>
        <row r="7173">
          <cell r="A7173" t="str">
            <v>金龙带82级</v>
          </cell>
          <cell r="B7173">
            <v>510482</v>
          </cell>
        </row>
        <row r="7174">
          <cell r="A7174" t="str">
            <v>金龙带83级</v>
          </cell>
          <cell r="B7174">
            <v>510483</v>
          </cell>
        </row>
        <row r="7175">
          <cell r="A7175" t="str">
            <v>金龙带84级</v>
          </cell>
          <cell r="B7175">
            <v>510484</v>
          </cell>
        </row>
        <row r="7176">
          <cell r="A7176" t="str">
            <v>金龙带85级</v>
          </cell>
          <cell r="B7176">
            <v>510485</v>
          </cell>
        </row>
        <row r="7177">
          <cell r="A7177" t="str">
            <v>金龙带86级</v>
          </cell>
          <cell r="B7177">
            <v>510486</v>
          </cell>
        </row>
        <row r="7178">
          <cell r="A7178" t="str">
            <v>金龙带87级</v>
          </cell>
          <cell r="B7178">
            <v>510487</v>
          </cell>
        </row>
        <row r="7179">
          <cell r="A7179" t="str">
            <v>金龙带88级</v>
          </cell>
          <cell r="B7179">
            <v>510488</v>
          </cell>
        </row>
        <row r="7180">
          <cell r="A7180" t="str">
            <v>金龙带89级</v>
          </cell>
          <cell r="B7180">
            <v>510489</v>
          </cell>
        </row>
        <row r="7181">
          <cell r="A7181" t="str">
            <v>金龙带90级</v>
          </cell>
          <cell r="B7181">
            <v>510490</v>
          </cell>
        </row>
        <row r="7182">
          <cell r="A7182" t="str">
            <v>金龙带91级</v>
          </cell>
          <cell r="B7182">
            <v>510491</v>
          </cell>
        </row>
        <row r="7183">
          <cell r="A7183" t="str">
            <v>金龙带92级</v>
          </cell>
          <cell r="B7183">
            <v>510492</v>
          </cell>
        </row>
        <row r="7184">
          <cell r="A7184" t="str">
            <v>金龙带93级</v>
          </cell>
          <cell r="B7184">
            <v>510493</v>
          </cell>
        </row>
        <row r="7185">
          <cell r="A7185" t="str">
            <v>金龙带94级</v>
          </cell>
          <cell r="B7185">
            <v>510494</v>
          </cell>
        </row>
        <row r="7186">
          <cell r="A7186" t="str">
            <v>金龙带95级</v>
          </cell>
          <cell r="B7186">
            <v>510495</v>
          </cell>
        </row>
        <row r="7187">
          <cell r="A7187" t="str">
            <v>金龙带96级</v>
          </cell>
          <cell r="B7187">
            <v>510496</v>
          </cell>
        </row>
        <row r="7188">
          <cell r="A7188" t="str">
            <v>金龙带97级</v>
          </cell>
          <cell r="B7188">
            <v>510497</v>
          </cell>
        </row>
        <row r="7189">
          <cell r="A7189" t="str">
            <v>金龙带98级</v>
          </cell>
          <cell r="B7189">
            <v>510498</v>
          </cell>
        </row>
        <row r="7190">
          <cell r="A7190" t="str">
            <v>金龙带99级</v>
          </cell>
          <cell r="B7190">
            <v>510499</v>
          </cell>
        </row>
        <row r="7191">
          <cell r="A7191" t="str">
            <v>金逐日1级</v>
          </cell>
          <cell r="B7191">
            <v>511401</v>
          </cell>
        </row>
        <row r="7192">
          <cell r="A7192" t="str">
            <v>金逐日2级</v>
          </cell>
          <cell r="B7192">
            <v>511402</v>
          </cell>
        </row>
        <row r="7193">
          <cell r="A7193" t="str">
            <v>金逐日3级</v>
          </cell>
          <cell r="B7193">
            <v>511403</v>
          </cell>
        </row>
        <row r="7194">
          <cell r="A7194" t="str">
            <v>金逐日4级</v>
          </cell>
          <cell r="B7194">
            <v>511404</v>
          </cell>
        </row>
        <row r="7195">
          <cell r="A7195" t="str">
            <v>金逐日5级</v>
          </cell>
          <cell r="B7195">
            <v>511405</v>
          </cell>
        </row>
        <row r="7196">
          <cell r="A7196" t="str">
            <v>金逐日6级</v>
          </cell>
          <cell r="B7196">
            <v>511406</v>
          </cell>
        </row>
        <row r="7197">
          <cell r="A7197" t="str">
            <v>金逐日7级</v>
          </cell>
          <cell r="B7197">
            <v>511407</v>
          </cell>
        </row>
        <row r="7198">
          <cell r="A7198" t="str">
            <v>金逐日8级</v>
          </cell>
          <cell r="B7198">
            <v>511408</v>
          </cell>
        </row>
        <row r="7199">
          <cell r="A7199" t="str">
            <v>金逐日9级</v>
          </cell>
          <cell r="B7199">
            <v>511409</v>
          </cell>
        </row>
        <row r="7200">
          <cell r="A7200" t="str">
            <v>金逐日10级</v>
          </cell>
          <cell r="B7200">
            <v>511410</v>
          </cell>
        </row>
        <row r="7201">
          <cell r="A7201" t="str">
            <v>金逐日11级</v>
          </cell>
          <cell r="B7201">
            <v>511411</v>
          </cell>
        </row>
        <row r="7202">
          <cell r="A7202" t="str">
            <v>金逐日12级</v>
          </cell>
          <cell r="B7202">
            <v>511412</v>
          </cell>
        </row>
        <row r="7203">
          <cell r="A7203" t="str">
            <v>金逐日13级</v>
          </cell>
          <cell r="B7203">
            <v>511413</v>
          </cell>
        </row>
        <row r="7204">
          <cell r="A7204" t="str">
            <v>金逐日14级</v>
          </cell>
          <cell r="B7204">
            <v>511414</v>
          </cell>
        </row>
        <row r="7205">
          <cell r="A7205" t="str">
            <v>金逐日15级</v>
          </cell>
          <cell r="B7205">
            <v>511415</v>
          </cell>
        </row>
        <row r="7206">
          <cell r="A7206" t="str">
            <v>金逐日16级</v>
          </cell>
          <cell r="B7206">
            <v>511416</v>
          </cell>
        </row>
        <row r="7207">
          <cell r="A7207" t="str">
            <v>金逐日17级</v>
          </cell>
          <cell r="B7207">
            <v>511417</v>
          </cell>
        </row>
        <row r="7208">
          <cell r="A7208" t="str">
            <v>金逐日18级</v>
          </cell>
          <cell r="B7208">
            <v>511418</v>
          </cell>
        </row>
        <row r="7209">
          <cell r="A7209" t="str">
            <v>金逐日19级</v>
          </cell>
          <cell r="B7209">
            <v>511419</v>
          </cell>
        </row>
        <row r="7210">
          <cell r="A7210" t="str">
            <v>金逐日20级</v>
          </cell>
          <cell r="B7210">
            <v>511420</v>
          </cell>
        </row>
        <row r="7211">
          <cell r="A7211" t="str">
            <v>金逐日21级</v>
          </cell>
          <cell r="B7211">
            <v>511421</v>
          </cell>
        </row>
        <row r="7212">
          <cell r="A7212" t="str">
            <v>金逐日22级</v>
          </cell>
          <cell r="B7212">
            <v>511422</v>
          </cell>
        </row>
        <row r="7213">
          <cell r="A7213" t="str">
            <v>金逐日23级</v>
          </cell>
          <cell r="B7213">
            <v>511423</v>
          </cell>
        </row>
        <row r="7214">
          <cell r="A7214" t="str">
            <v>金逐日24级</v>
          </cell>
          <cell r="B7214">
            <v>511424</v>
          </cell>
        </row>
        <row r="7215">
          <cell r="A7215" t="str">
            <v>金逐日25级</v>
          </cell>
          <cell r="B7215">
            <v>511425</v>
          </cell>
        </row>
        <row r="7216">
          <cell r="A7216" t="str">
            <v>金逐日26级</v>
          </cell>
          <cell r="B7216">
            <v>511426</v>
          </cell>
        </row>
        <row r="7217">
          <cell r="A7217" t="str">
            <v>金逐日27级</v>
          </cell>
          <cell r="B7217">
            <v>511427</v>
          </cell>
        </row>
        <row r="7218">
          <cell r="A7218" t="str">
            <v>金逐日28级</v>
          </cell>
          <cell r="B7218">
            <v>511428</v>
          </cell>
        </row>
        <row r="7219">
          <cell r="A7219" t="str">
            <v>金逐日29级</v>
          </cell>
          <cell r="B7219">
            <v>511429</v>
          </cell>
        </row>
        <row r="7220">
          <cell r="A7220" t="str">
            <v>金逐日30级</v>
          </cell>
          <cell r="B7220">
            <v>511430</v>
          </cell>
        </row>
        <row r="7221">
          <cell r="A7221" t="str">
            <v>金逐日31级</v>
          </cell>
          <cell r="B7221">
            <v>511431</v>
          </cell>
        </row>
        <row r="7222">
          <cell r="A7222" t="str">
            <v>金逐日32级</v>
          </cell>
          <cell r="B7222">
            <v>511432</v>
          </cell>
        </row>
        <row r="7223">
          <cell r="A7223" t="str">
            <v>金逐日33级</v>
          </cell>
          <cell r="B7223">
            <v>511433</v>
          </cell>
        </row>
        <row r="7224">
          <cell r="A7224" t="str">
            <v>金逐日34级</v>
          </cell>
          <cell r="B7224">
            <v>511434</v>
          </cell>
        </row>
        <row r="7225">
          <cell r="A7225" t="str">
            <v>金逐日35级</v>
          </cell>
          <cell r="B7225">
            <v>511435</v>
          </cell>
        </row>
        <row r="7226">
          <cell r="A7226" t="str">
            <v>金逐日36级</v>
          </cell>
          <cell r="B7226">
            <v>511436</v>
          </cell>
        </row>
        <row r="7227">
          <cell r="A7227" t="str">
            <v>金逐日37级</v>
          </cell>
          <cell r="B7227">
            <v>511437</v>
          </cell>
        </row>
        <row r="7228">
          <cell r="A7228" t="str">
            <v>金逐日38级</v>
          </cell>
          <cell r="B7228">
            <v>511438</v>
          </cell>
        </row>
        <row r="7229">
          <cell r="A7229" t="str">
            <v>金逐日39级</v>
          </cell>
          <cell r="B7229">
            <v>511439</v>
          </cell>
        </row>
        <row r="7230">
          <cell r="A7230" t="str">
            <v>金逐日40级</v>
          </cell>
          <cell r="B7230">
            <v>511440</v>
          </cell>
        </row>
        <row r="7231">
          <cell r="A7231" t="str">
            <v>金逐日41级</v>
          </cell>
          <cell r="B7231">
            <v>511441</v>
          </cell>
        </row>
        <row r="7232">
          <cell r="A7232" t="str">
            <v>金逐日42级</v>
          </cell>
          <cell r="B7232">
            <v>511442</v>
          </cell>
        </row>
        <row r="7233">
          <cell r="A7233" t="str">
            <v>金逐日43级</v>
          </cell>
          <cell r="B7233">
            <v>511443</v>
          </cell>
        </row>
        <row r="7234">
          <cell r="A7234" t="str">
            <v>金逐日44级</v>
          </cell>
          <cell r="B7234">
            <v>511444</v>
          </cell>
        </row>
        <row r="7235">
          <cell r="A7235" t="str">
            <v>金逐日45级</v>
          </cell>
          <cell r="B7235">
            <v>511445</v>
          </cell>
        </row>
        <row r="7236">
          <cell r="A7236" t="str">
            <v>金逐日46级</v>
          </cell>
          <cell r="B7236">
            <v>511446</v>
          </cell>
        </row>
        <row r="7237">
          <cell r="A7237" t="str">
            <v>金逐日47级</v>
          </cell>
          <cell r="B7237">
            <v>511447</v>
          </cell>
        </row>
        <row r="7238">
          <cell r="A7238" t="str">
            <v>金逐日48级</v>
          </cell>
          <cell r="B7238">
            <v>511448</v>
          </cell>
        </row>
        <row r="7239">
          <cell r="A7239" t="str">
            <v>金逐日49级</v>
          </cell>
          <cell r="B7239">
            <v>511449</v>
          </cell>
        </row>
        <row r="7240">
          <cell r="A7240" t="str">
            <v>金逐日50级</v>
          </cell>
          <cell r="B7240">
            <v>511450</v>
          </cell>
        </row>
        <row r="7241">
          <cell r="A7241" t="str">
            <v>金逐日51级</v>
          </cell>
          <cell r="B7241">
            <v>511451</v>
          </cell>
        </row>
        <row r="7242">
          <cell r="A7242" t="str">
            <v>金逐日52级</v>
          </cell>
          <cell r="B7242">
            <v>511452</v>
          </cell>
        </row>
        <row r="7243">
          <cell r="A7243" t="str">
            <v>金逐日53级</v>
          </cell>
          <cell r="B7243">
            <v>511453</v>
          </cell>
        </row>
        <row r="7244">
          <cell r="A7244" t="str">
            <v>金逐日54级</v>
          </cell>
          <cell r="B7244">
            <v>511454</v>
          </cell>
        </row>
        <row r="7245">
          <cell r="A7245" t="str">
            <v>金逐日55级</v>
          </cell>
          <cell r="B7245">
            <v>511455</v>
          </cell>
        </row>
        <row r="7246">
          <cell r="A7246" t="str">
            <v>金逐日56级</v>
          </cell>
          <cell r="B7246">
            <v>511456</v>
          </cell>
        </row>
        <row r="7247">
          <cell r="A7247" t="str">
            <v>金逐日57级</v>
          </cell>
          <cell r="B7247">
            <v>511457</v>
          </cell>
        </row>
        <row r="7248">
          <cell r="A7248" t="str">
            <v>金逐日58级</v>
          </cell>
          <cell r="B7248">
            <v>511458</v>
          </cell>
        </row>
        <row r="7249">
          <cell r="A7249" t="str">
            <v>金逐日59级</v>
          </cell>
          <cell r="B7249">
            <v>511459</v>
          </cell>
        </row>
        <row r="7250">
          <cell r="A7250" t="str">
            <v>金逐日60级</v>
          </cell>
          <cell r="B7250">
            <v>511460</v>
          </cell>
        </row>
        <row r="7251">
          <cell r="A7251" t="str">
            <v>金逐日61级</v>
          </cell>
          <cell r="B7251">
            <v>511461</v>
          </cell>
        </row>
        <row r="7252">
          <cell r="A7252" t="str">
            <v>金逐日62级</v>
          </cell>
          <cell r="B7252">
            <v>511462</v>
          </cell>
        </row>
        <row r="7253">
          <cell r="A7253" t="str">
            <v>金逐日63级</v>
          </cell>
          <cell r="B7253">
            <v>511463</v>
          </cell>
        </row>
        <row r="7254">
          <cell r="A7254" t="str">
            <v>金逐日64级</v>
          </cell>
          <cell r="B7254">
            <v>511464</v>
          </cell>
        </row>
        <row r="7255">
          <cell r="A7255" t="str">
            <v>金逐日65级</v>
          </cell>
          <cell r="B7255">
            <v>511465</v>
          </cell>
        </row>
        <row r="7256">
          <cell r="A7256" t="str">
            <v>金逐日66级</v>
          </cell>
          <cell r="B7256">
            <v>511466</v>
          </cell>
        </row>
        <row r="7257">
          <cell r="A7257" t="str">
            <v>金逐日67级</v>
          </cell>
          <cell r="B7257">
            <v>511467</v>
          </cell>
        </row>
        <row r="7258">
          <cell r="A7258" t="str">
            <v>金逐日68级</v>
          </cell>
          <cell r="B7258">
            <v>511468</v>
          </cell>
        </row>
        <row r="7259">
          <cell r="A7259" t="str">
            <v>金逐日69级</v>
          </cell>
          <cell r="B7259">
            <v>511469</v>
          </cell>
        </row>
        <row r="7260">
          <cell r="A7260" t="str">
            <v>金逐日70级</v>
          </cell>
          <cell r="B7260">
            <v>511470</v>
          </cell>
        </row>
        <row r="7261">
          <cell r="A7261" t="str">
            <v>金逐日71级</v>
          </cell>
          <cell r="B7261">
            <v>511471</v>
          </cell>
        </row>
        <row r="7262">
          <cell r="A7262" t="str">
            <v>金逐日72级</v>
          </cell>
          <cell r="B7262">
            <v>511472</v>
          </cell>
        </row>
        <row r="7263">
          <cell r="A7263" t="str">
            <v>金逐日73级</v>
          </cell>
          <cell r="B7263">
            <v>511473</v>
          </cell>
        </row>
        <row r="7264">
          <cell r="A7264" t="str">
            <v>金逐日74级</v>
          </cell>
          <cell r="B7264">
            <v>511474</v>
          </cell>
        </row>
        <row r="7265">
          <cell r="A7265" t="str">
            <v>金逐日75级</v>
          </cell>
          <cell r="B7265">
            <v>511475</v>
          </cell>
        </row>
        <row r="7266">
          <cell r="A7266" t="str">
            <v>金逐日76级</v>
          </cell>
          <cell r="B7266">
            <v>511476</v>
          </cell>
        </row>
        <row r="7267">
          <cell r="A7267" t="str">
            <v>金逐日77级</v>
          </cell>
          <cell r="B7267">
            <v>511477</v>
          </cell>
        </row>
        <row r="7268">
          <cell r="A7268" t="str">
            <v>金逐日78级</v>
          </cell>
          <cell r="B7268">
            <v>511478</v>
          </cell>
        </row>
        <row r="7269">
          <cell r="A7269" t="str">
            <v>金逐日79级</v>
          </cell>
          <cell r="B7269">
            <v>511479</v>
          </cell>
        </row>
        <row r="7270">
          <cell r="A7270" t="str">
            <v>金逐日80级</v>
          </cell>
          <cell r="B7270">
            <v>511480</v>
          </cell>
        </row>
        <row r="7271">
          <cell r="A7271" t="str">
            <v>金逐日81级</v>
          </cell>
          <cell r="B7271">
            <v>511481</v>
          </cell>
        </row>
        <row r="7272">
          <cell r="A7272" t="str">
            <v>金逐日82级</v>
          </cell>
          <cell r="B7272">
            <v>511482</v>
          </cell>
        </row>
        <row r="7273">
          <cell r="A7273" t="str">
            <v>金逐日83级</v>
          </cell>
          <cell r="B7273">
            <v>511483</v>
          </cell>
        </row>
        <row r="7274">
          <cell r="A7274" t="str">
            <v>金逐日84级</v>
          </cell>
          <cell r="B7274">
            <v>511484</v>
          </cell>
        </row>
        <row r="7275">
          <cell r="A7275" t="str">
            <v>金逐日85级</v>
          </cell>
          <cell r="B7275">
            <v>511485</v>
          </cell>
        </row>
        <row r="7276">
          <cell r="A7276" t="str">
            <v>金逐日86级</v>
          </cell>
          <cell r="B7276">
            <v>511486</v>
          </cell>
        </row>
        <row r="7277">
          <cell r="A7277" t="str">
            <v>金逐日87级</v>
          </cell>
          <cell r="B7277">
            <v>511487</v>
          </cell>
        </row>
        <row r="7278">
          <cell r="A7278" t="str">
            <v>金逐日88级</v>
          </cell>
          <cell r="B7278">
            <v>511488</v>
          </cell>
        </row>
        <row r="7279">
          <cell r="A7279" t="str">
            <v>金逐日89级</v>
          </cell>
          <cell r="B7279">
            <v>511489</v>
          </cell>
        </row>
        <row r="7280">
          <cell r="A7280" t="str">
            <v>金逐日90级</v>
          </cell>
          <cell r="B7280">
            <v>511490</v>
          </cell>
        </row>
        <row r="7281">
          <cell r="A7281" t="str">
            <v>金逐日91级</v>
          </cell>
          <cell r="B7281">
            <v>511491</v>
          </cell>
        </row>
        <row r="7282">
          <cell r="A7282" t="str">
            <v>金逐日92级</v>
          </cell>
          <cell r="B7282">
            <v>511492</v>
          </cell>
        </row>
        <row r="7283">
          <cell r="A7283" t="str">
            <v>金逐日93级</v>
          </cell>
          <cell r="B7283">
            <v>511493</v>
          </cell>
        </row>
        <row r="7284">
          <cell r="A7284" t="str">
            <v>金逐日94级</v>
          </cell>
          <cell r="B7284">
            <v>511494</v>
          </cell>
        </row>
        <row r="7285">
          <cell r="A7285" t="str">
            <v>金逐日95级</v>
          </cell>
          <cell r="B7285">
            <v>511495</v>
          </cell>
        </row>
        <row r="7286">
          <cell r="A7286" t="str">
            <v>金逐日96级</v>
          </cell>
          <cell r="B7286">
            <v>511496</v>
          </cell>
        </row>
        <row r="7287">
          <cell r="A7287" t="str">
            <v>金逐日97级</v>
          </cell>
          <cell r="B7287">
            <v>511497</v>
          </cell>
        </row>
        <row r="7288">
          <cell r="A7288" t="str">
            <v>金逐日98级</v>
          </cell>
          <cell r="B7288">
            <v>511498</v>
          </cell>
        </row>
        <row r="7289">
          <cell r="A7289" t="str">
            <v>金逐日99级</v>
          </cell>
          <cell r="B7289">
            <v>511499</v>
          </cell>
        </row>
        <row r="7290">
          <cell r="A7290" t="str">
            <v>金豁免1级</v>
          </cell>
          <cell r="B7290">
            <v>512401</v>
          </cell>
        </row>
        <row r="7291">
          <cell r="A7291" t="str">
            <v>金豁免2级</v>
          </cell>
          <cell r="B7291">
            <v>512402</v>
          </cell>
        </row>
        <row r="7292">
          <cell r="A7292" t="str">
            <v>金豁免3级</v>
          </cell>
          <cell r="B7292">
            <v>512403</v>
          </cell>
        </row>
        <row r="7293">
          <cell r="A7293" t="str">
            <v>金豁免4级</v>
          </cell>
          <cell r="B7293">
            <v>512404</v>
          </cell>
        </row>
        <row r="7294">
          <cell r="A7294" t="str">
            <v>金豁免5级</v>
          </cell>
          <cell r="B7294">
            <v>512405</v>
          </cell>
        </row>
        <row r="7295">
          <cell r="A7295" t="str">
            <v>金豁免6级</v>
          </cell>
          <cell r="B7295">
            <v>512406</v>
          </cell>
        </row>
        <row r="7296">
          <cell r="A7296" t="str">
            <v>金豁免7级</v>
          </cell>
          <cell r="B7296">
            <v>512407</v>
          </cell>
        </row>
        <row r="7297">
          <cell r="A7297" t="str">
            <v>金豁免8级</v>
          </cell>
          <cell r="B7297">
            <v>512408</v>
          </cell>
        </row>
        <row r="7298">
          <cell r="A7298" t="str">
            <v>金豁免9级</v>
          </cell>
          <cell r="B7298">
            <v>512409</v>
          </cell>
        </row>
        <row r="7299">
          <cell r="A7299" t="str">
            <v>金豁免10级</v>
          </cell>
          <cell r="B7299">
            <v>512410</v>
          </cell>
        </row>
        <row r="7300">
          <cell r="A7300" t="str">
            <v>金豁免11级</v>
          </cell>
          <cell r="B7300">
            <v>512411</v>
          </cell>
        </row>
        <row r="7301">
          <cell r="A7301" t="str">
            <v>金豁免12级</v>
          </cell>
          <cell r="B7301">
            <v>512412</v>
          </cell>
        </row>
        <row r="7302">
          <cell r="A7302" t="str">
            <v>金豁免13级</v>
          </cell>
          <cell r="B7302">
            <v>512413</v>
          </cell>
        </row>
        <row r="7303">
          <cell r="A7303" t="str">
            <v>金豁免14级</v>
          </cell>
          <cell r="B7303">
            <v>512414</v>
          </cell>
        </row>
        <row r="7304">
          <cell r="A7304" t="str">
            <v>金豁免15级</v>
          </cell>
          <cell r="B7304">
            <v>512415</v>
          </cell>
        </row>
        <row r="7305">
          <cell r="A7305" t="str">
            <v>金豁免16级</v>
          </cell>
          <cell r="B7305">
            <v>512416</v>
          </cell>
        </row>
        <row r="7306">
          <cell r="A7306" t="str">
            <v>金豁免17级</v>
          </cell>
          <cell r="B7306">
            <v>512417</v>
          </cell>
        </row>
        <row r="7307">
          <cell r="A7307" t="str">
            <v>金豁免18级</v>
          </cell>
          <cell r="B7307">
            <v>512418</v>
          </cell>
        </row>
        <row r="7308">
          <cell r="A7308" t="str">
            <v>金豁免19级</v>
          </cell>
          <cell r="B7308">
            <v>512419</v>
          </cell>
        </row>
        <row r="7309">
          <cell r="A7309" t="str">
            <v>金豁免20级</v>
          </cell>
          <cell r="B7309">
            <v>512420</v>
          </cell>
        </row>
        <row r="7310">
          <cell r="A7310" t="str">
            <v>金豁免21级</v>
          </cell>
          <cell r="B7310">
            <v>512421</v>
          </cell>
        </row>
        <row r="7311">
          <cell r="A7311" t="str">
            <v>金豁免22级</v>
          </cell>
          <cell r="B7311">
            <v>512422</v>
          </cell>
        </row>
        <row r="7312">
          <cell r="A7312" t="str">
            <v>金豁免23级</v>
          </cell>
          <cell r="B7312">
            <v>512423</v>
          </cell>
        </row>
        <row r="7313">
          <cell r="A7313" t="str">
            <v>金豁免24级</v>
          </cell>
          <cell r="B7313">
            <v>512424</v>
          </cell>
        </row>
        <row r="7314">
          <cell r="A7314" t="str">
            <v>金豁免25级</v>
          </cell>
          <cell r="B7314">
            <v>512425</v>
          </cell>
        </row>
        <row r="7315">
          <cell r="A7315" t="str">
            <v>金豁免26级</v>
          </cell>
          <cell r="B7315">
            <v>512426</v>
          </cell>
        </row>
        <row r="7316">
          <cell r="A7316" t="str">
            <v>金豁免27级</v>
          </cell>
          <cell r="B7316">
            <v>512427</v>
          </cell>
        </row>
        <row r="7317">
          <cell r="A7317" t="str">
            <v>金豁免28级</v>
          </cell>
          <cell r="B7317">
            <v>512428</v>
          </cell>
        </row>
        <row r="7318">
          <cell r="A7318" t="str">
            <v>金豁免29级</v>
          </cell>
          <cell r="B7318">
            <v>512429</v>
          </cell>
        </row>
        <row r="7319">
          <cell r="A7319" t="str">
            <v>金豁免30级</v>
          </cell>
          <cell r="B7319">
            <v>512430</v>
          </cell>
        </row>
        <row r="7320">
          <cell r="A7320" t="str">
            <v>金豁免31级</v>
          </cell>
          <cell r="B7320">
            <v>512431</v>
          </cell>
        </row>
        <row r="7321">
          <cell r="A7321" t="str">
            <v>金豁免32级</v>
          </cell>
          <cell r="B7321">
            <v>512432</v>
          </cell>
        </row>
        <row r="7322">
          <cell r="A7322" t="str">
            <v>金豁免33级</v>
          </cell>
          <cell r="B7322">
            <v>512433</v>
          </cell>
        </row>
        <row r="7323">
          <cell r="A7323" t="str">
            <v>金豁免34级</v>
          </cell>
          <cell r="B7323">
            <v>512434</v>
          </cell>
        </row>
        <row r="7324">
          <cell r="A7324" t="str">
            <v>金豁免35级</v>
          </cell>
          <cell r="B7324">
            <v>512435</v>
          </cell>
        </row>
        <row r="7325">
          <cell r="A7325" t="str">
            <v>金豁免36级</v>
          </cell>
          <cell r="B7325">
            <v>512436</v>
          </cell>
        </row>
        <row r="7326">
          <cell r="A7326" t="str">
            <v>金豁免37级</v>
          </cell>
          <cell r="B7326">
            <v>512437</v>
          </cell>
        </row>
        <row r="7327">
          <cell r="A7327" t="str">
            <v>金豁免38级</v>
          </cell>
          <cell r="B7327">
            <v>512438</v>
          </cell>
        </row>
        <row r="7328">
          <cell r="A7328" t="str">
            <v>金豁免39级</v>
          </cell>
          <cell r="B7328">
            <v>512439</v>
          </cell>
        </row>
        <row r="7329">
          <cell r="A7329" t="str">
            <v>金豁免40级</v>
          </cell>
          <cell r="B7329">
            <v>512440</v>
          </cell>
        </row>
        <row r="7330">
          <cell r="A7330" t="str">
            <v>金豁免41级</v>
          </cell>
          <cell r="B7330">
            <v>512441</v>
          </cell>
        </row>
        <row r="7331">
          <cell r="A7331" t="str">
            <v>金豁免42级</v>
          </cell>
          <cell r="B7331">
            <v>512442</v>
          </cell>
        </row>
        <row r="7332">
          <cell r="A7332" t="str">
            <v>金豁免43级</v>
          </cell>
          <cell r="B7332">
            <v>512443</v>
          </cell>
        </row>
        <row r="7333">
          <cell r="A7333" t="str">
            <v>金豁免44级</v>
          </cell>
          <cell r="B7333">
            <v>512444</v>
          </cell>
        </row>
        <row r="7334">
          <cell r="A7334" t="str">
            <v>金豁免45级</v>
          </cell>
          <cell r="B7334">
            <v>512445</v>
          </cell>
        </row>
        <row r="7335">
          <cell r="A7335" t="str">
            <v>金豁免46级</v>
          </cell>
          <cell r="B7335">
            <v>512446</v>
          </cell>
        </row>
        <row r="7336">
          <cell r="A7336" t="str">
            <v>金豁免47级</v>
          </cell>
          <cell r="B7336">
            <v>512447</v>
          </cell>
        </row>
        <row r="7337">
          <cell r="A7337" t="str">
            <v>金豁免48级</v>
          </cell>
          <cell r="B7337">
            <v>512448</v>
          </cell>
        </row>
        <row r="7338">
          <cell r="A7338" t="str">
            <v>金豁免49级</v>
          </cell>
          <cell r="B7338">
            <v>512449</v>
          </cell>
        </row>
        <row r="7339">
          <cell r="A7339" t="str">
            <v>金豁免50级</v>
          </cell>
          <cell r="B7339">
            <v>512450</v>
          </cell>
        </row>
        <row r="7340">
          <cell r="A7340" t="str">
            <v>金豁免51级</v>
          </cell>
          <cell r="B7340">
            <v>512451</v>
          </cell>
        </row>
        <row r="7341">
          <cell r="A7341" t="str">
            <v>金豁免52级</v>
          </cell>
          <cell r="B7341">
            <v>512452</v>
          </cell>
        </row>
        <row r="7342">
          <cell r="A7342" t="str">
            <v>金豁免53级</v>
          </cell>
          <cell r="B7342">
            <v>512453</v>
          </cell>
        </row>
        <row r="7343">
          <cell r="A7343" t="str">
            <v>金豁免54级</v>
          </cell>
          <cell r="B7343">
            <v>512454</v>
          </cell>
        </row>
        <row r="7344">
          <cell r="A7344" t="str">
            <v>金豁免55级</v>
          </cell>
          <cell r="B7344">
            <v>512455</v>
          </cell>
        </row>
        <row r="7345">
          <cell r="A7345" t="str">
            <v>金豁免56级</v>
          </cell>
          <cell r="B7345">
            <v>512456</v>
          </cell>
        </row>
        <row r="7346">
          <cell r="A7346" t="str">
            <v>金豁免57级</v>
          </cell>
          <cell r="B7346">
            <v>512457</v>
          </cell>
        </row>
        <row r="7347">
          <cell r="A7347" t="str">
            <v>金豁免58级</v>
          </cell>
          <cell r="B7347">
            <v>512458</v>
          </cell>
        </row>
        <row r="7348">
          <cell r="A7348" t="str">
            <v>金豁免59级</v>
          </cell>
          <cell r="B7348">
            <v>512459</v>
          </cell>
        </row>
        <row r="7349">
          <cell r="A7349" t="str">
            <v>金豁免60级</v>
          </cell>
          <cell r="B7349">
            <v>512460</v>
          </cell>
        </row>
        <row r="7350">
          <cell r="A7350" t="str">
            <v>金豁免61级</v>
          </cell>
          <cell r="B7350">
            <v>512461</v>
          </cell>
        </row>
        <row r="7351">
          <cell r="A7351" t="str">
            <v>金豁免62级</v>
          </cell>
          <cell r="B7351">
            <v>512462</v>
          </cell>
        </row>
        <row r="7352">
          <cell r="A7352" t="str">
            <v>金豁免63级</v>
          </cell>
          <cell r="B7352">
            <v>512463</v>
          </cell>
        </row>
        <row r="7353">
          <cell r="A7353" t="str">
            <v>金豁免64级</v>
          </cell>
          <cell r="B7353">
            <v>512464</v>
          </cell>
        </row>
        <row r="7354">
          <cell r="A7354" t="str">
            <v>金豁免65级</v>
          </cell>
          <cell r="B7354">
            <v>512465</v>
          </cell>
        </row>
        <row r="7355">
          <cell r="A7355" t="str">
            <v>金豁免66级</v>
          </cell>
          <cell r="B7355">
            <v>512466</v>
          </cell>
        </row>
        <row r="7356">
          <cell r="A7356" t="str">
            <v>金豁免67级</v>
          </cell>
          <cell r="B7356">
            <v>512467</v>
          </cell>
        </row>
        <row r="7357">
          <cell r="A7357" t="str">
            <v>金豁免68级</v>
          </cell>
          <cell r="B7357">
            <v>512468</v>
          </cell>
        </row>
        <row r="7358">
          <cell r="A7358" t="str">
            <v>金豁免69级</v>
          </cell>
          <cell r="B7358">
            <v>512469</v>
          </cell>
        </row>
        <row r="7359">
          <cell r="A7359" t="str">
            <v>金豁免70级</v>
          </cell>
          <cell r="B7359">
            <v>512470</v>
          </cell>
        </row>
        <row r="7360">
          <cell r="A7360" t="str">
            <v>金豁免71级</v>
          </cell>
          <cell r="B7360">
            <v>512471</v>
          </cell>
        </row>
        <row r="7361">
          <cell r="A7361" t="str">
            <v>金豁免72级</v>
          </cell>
          <cell r="B7361">
            <v>512472</v>
          </cell>
        </row>
        <row r="7362">
          <cell r="A7362" t="str">
            <v>金豁免73级</v>
          </cell>
          <cell r="B7362">
            <v>512473</v>
          </cell>
        </row>
        <row r="7363">
          <cell r="A7363" t="str">
            <v>金豁免74级</v>
          </cell>
          <cell r="B7363">
            <v>512474</v>
          </cell>
        </row>
        <row r="7364">
          <cell r="A7364" t="str">
            <v>金豁免75级</v>
          </cell>
          <cell r="B7364">
            <v>512475</v>
          </cell>
        </row>
        <row r="7365">
          <cell r="A7365" t="str">
            <v>金豁免76级</v>
          </cell>
          <cell r="B7365">
            <v>512476</v>
          </cell>
        </row>
        <row r="7366">
          <cell r="A7366" t="str">
            <v>金豁免77级</v>
          </cell>
          <cell r="B7366">
            <v>512477</v>
          </cell>
        </row>
        <row r="7367">
          <cell r="A7367" t="str">
            <v>金豁免78级</v>
          </cell>
          <cell r="B7367">
            <v>512478</v>
          </cell>
        </row>
        <row r="7368">
          <cell r="A7368" t="str">
            <v>金豁免79级</v>
          </cell>
          <cell r="B7368">
            <v>512479</v>
          </cell>
        </row>
        <row r="7369">
          <cell r="A7369" t="str">
            <v>金豁免80级</v>
          </cell>
          <cell r="B7369">
            <v>512480</v>
          </cell>
        </row>
        <row r="7370">
          <cell r="A7370" t="str">
            <v>金豁免81级</v>
          </cell>
          <cell r="B7370">
            <v>512481</v>
          </cell>
        </row>
        <row r="7371">
          <cell r="A7371" t="str">
            <v>金豁免82级</v>
          </cell>
          <cell r="B7371">
            <v>512482</v>
          </cell>
        </row>
        <row r="7372">
          <cell r="A7372" t="str">
            <v>金豁免83级</v>
          </cell>
          <cell r="B7372">
            <v>512483</v>
          </cell>
        </row>
        <row r="7373">
          <cell r="A7373" t="str">
            <v>金豁免84级</v>
          </cell>
          <cell r="B7373">
            <v>512484</v>
          </cell>
        </row>
        <row r="7374">
          <cell r="A7374" t="str">
            <v>金豁免85级</v>
          </cell>
          <cell r="B7374">
            <v>512485</v>
          </cell>
        </row>
        <row r="7375">
          <cell r="A7375" t="str">
            <v>金豁免86级</v>
          </cell>
          <cell r="B7375">
            <v>512486</v>
          </cell>
        </row>
        <row r="7376">
          <cell r="A7376" t="str">
            <v>金豁免87级</v>
          </cell>
          <cell r="B7376">
            <v>512487</v>
          </cell>
        </row>
        <row r="7377">
          <cell r="A7377" t="str">
            <v>金豁免88级</v>
          </cell>
          <cell r="B7377">
            <v>512488</v>
          </cell>
        </row>
        <row r="7378">
          <cell r="A7378" t="str">
            <v>金豁免89级</v>
          </cell>
          <cell r="B7378">
            <v>512489</v>
          </cell>
        </row>
        <row r="7379">
          <cell r="A7379" t="str">
            <v>金豁免90级</v>
          </cell>
          <cell r="B7379">
            <v>512490</v>
          </cell>
        </row>
        <row r="7380">
          <cell r="A7380" t="str">
            <v>金豁免91级</v>
          </cell>
          <cell r="B7380">
            <v>512491</v>
          </cell>
        </row>
        <row r="7381">
          <cell r="A7381" t="str">
            <v>金豁免92级</v>
          </cell>
          <cell r="B7381">
            <v>512492</v>
          </cell>
        </row>
        <row r="7382">
          <cell r="A7382" t="str">
            <v>金豁免93级</v>
          </cell>
          <cell r="B7382">
            <v>512493</v>
          </cell>
        </row>
        <row r="7383">
          <cell r="A7383" t="str">
            <v>金豁免94级</v>
          </cell>
          <cell r="B7383">
            <v>512494</v>
          </cell>
        </row>
        <row r="7384">
          <cell r="A7384" t="str">
            <v>金豁免95级</v>
          </cell>
          <cell r="B7384">
            <v>512495</v>
          </cell>
        </row>
        <row r="7385">
          <cell r="A7385" t="str">
            <v>金豁免96级</v>
          </cell>
          <cell r="B7385">
            <v>512496</v>
          </cell>
        </row>
        <row r="7386">
          <cell r="A7386" t="str">
            <v>金豁免97级</v>
          </cell>
          <cell r="B7386">
            <v>512497</v>
          </cell>
        </row>
        <row r="7387">
          <cell r="A7387" t="str">
            <v>金豁免98级</v>
          </cell>
          <cell r="B7387">
            <v>512498</v>
          </cell>
        </row>
        <row r="7388">
          <cell r="A7388" t="str">
            <v>金豁免99级</v>
          </cell>
          <cell r="B7388">
            <v>512499</v>
          </cell>
        </row>
        <row r="7389">
          <cell r="A7389" t="str">
            <v>金杀戮1级</v>
          </cell>
          <cell r="B7389">
            <v>513401</v>
          </cell>
        </row>
        <row r="7390">
          <cell r="A7390" t="str">
            <v>金杀戮2级</v>
          </cell>
          <cell r="B7390">
            <v>513402</v>
          </cell>
        </row>
        <row r="7391">
          <cell r="A7391" t="str">
            <v>金杀戮3级</v>
          </cell>
          <cell r="B7391">
            <v>513403</v>
          </cell>
        </row>
        <row r="7392">
          <cell r="A7392" t="str">
            <v>金杀戮4级</v>
          </cell>
          <cell r="B7392">
            <v>513404</v>
          </cell>
        </row>
        <row r="7393">
          <cell r="A7393" t="str">
            <v>金杀戮5级</v>
          </cell>
          <cell r="B7393">
            <v>513405</v>
          </cell>
        </row>
        <row r="7394">
          <cell r="A7394" t="str">
            <v>金杀戮6级</v>
          </cell>
          <cell r="B7394">
            <v>513406</v>
          </cell>
        </row>
        <row r="7395">
          <cell r="A7395" t="str">
            <v>金杀戮7级</v>
          </cell>
          <cell r="B7395">
            <v>513407</v>
          </cell>
        </row>
        <row r="7396">
          <cell r="A7396" t="str">
            <v>金杀戮8级</v>
          </cell>
          <cell r="B7396">
            <v>513408</v>
          </cell>
        </row>
        <row r="7397">
          <cell r="A7397" t="str">
            <v>金杀戮9级</v>
          </cell>
          <cell r="B7397">
            <v>513409</v>
          </cell>
        </row>
        <row r="7398">
          <cell r="A7398" t="str">
            <v>金杀戮10级</v>
          </cell>
          <cell r="B7398">
            <v>513410</v>
          </cell>
        </row>
        <row r="7399">
          <cell r="A7399" t="str">
            <v>金杀戮11级</v>
          </cell>
          <cell r="B7399">
            <v>513411</v>
          </cell>
        </row>
        <row r="7400">
          <cell r="A7400" t="str">
            <v>金杀戮12级</v>
          </cell>
          <cell r="B7400">
            <v>513412</v>
          </cell>
        </row>
        <row r="7401">
          <cell r="A7401" t="str">
            <v>金杀戮13级</v>
          </cell>
          <cell r="B7401">
            <v>513413</v>
          </cell>
        </row>
        <row r="7402">
          <cell r="A7402" t="str">
            <v>金杀戮14级</v>
          </cell>
          <cell r="B7402">
            <v>513414</v>
          </cell>
        </row>
        <row r="7403">
          <cell r="A7403" t="str">
            <v>金杀戮15级</v>
          </cell>
          <cell r="B7403">
            <v>513415</v>
          </cell>
        </row>
        <row r="7404">
          <cell r="A7404" t="str">
            <v>金杀戮16级</v>
          </cell>
          <cell r="B7404">
            <v>513416</v>
          </cell>
        </row>
        <row r="7405">
          <cell r="A7405" t="str">
            <v>金杀戮17级</v>
          </cell>
          <cell r="B7405">
            <v>513417</v>
          </cell>
        </row>
        <row r="7406">
          <cell r="A7406" t="str">
            <v>金杀戮18级</v>
          </cell>
          <cell r="B7406">
            <v>513418</v>
          </cell>
        </row>
        <row r="7407">
          <cell r="A7407" t="str">
            <v>金杀戮19级</v>
          </cell>
          <cell r="B7407">
            <v>513419</v>
          </cell>
        </row>
        <row r="7408">
          <cell r="A7408" t="str">
            <v>金杀戮20级</v>
          </cell>
          <cell r="B7408">
            <v>513420</v>
          </cell>
        </row>
        <row r="7409">
          <cell r="A7409" t="str">
            <v>金杀戮21级</v>
          </cell>
          <cell r="B7409">
            <v>513421</v>
          </cell>
        </row>
        <row r="7410">
          <cell r="A7410" t="str">
            <v>金杀戮22级</v>
          </cell>
          <cell r="B7410">
            <v>513422</v>
          </cell>
        </row>
        <row r="7411">
          <cell r="A7411" t="str">
            <v>金杀戮23级</v>
          </cell>
          <cell r="B7411">
            <v>513423</v>
          </cell>
        </row>
        <row r="7412">
          <cell r="A7412" t="str">
            <v>金杀戮24级</v>
          </cell>
          <cell r="B7412">
            <v>513424</v>
          </cell>
        </row>
        <row r="7413">
          <cell r="A7413" t="str">
            <v>金杀戮25级</v>
          </cell>
          <cell r="B7413">
            <v>513425</v>
          </cell>
        </row>
        <row r="7414">
          <cell r="A7414" t="str">
            <v>金杀戮26级</v>
          </cell>
          <cell r="B7414">
            <v>513426</v>
          </cell>
        </row>
        <row r="7415">
          <cell r="A7415" t="str">
            <v>金杀戮27级</v>
          </cell>
          <cell r="B7415">
            <v>513427</v>
          </cell>
        </row>
        <row r="7416">
          <cell r="A7416" t="str">
            <v>金杀戮28级</v>
          </cell>
          <cell r="B7416">
            <v>513428</v>
          </cell>
        </row>
        <row r="7417">
          <cell r="A7417" t="str">
            <v>金杀戮29级</v>
          </cell>
          <cell r="B7417">
            <v>513429</v>
          </cell>
        </row>
        <row r="7418">
          <cell r="A7418" t="str">
            <v>金杀戮30级</v>
          </cell>
          <cell r="B7418">
            <v>513430</v>
          </cell>
        </row>
        <row r="7419">
          <cell r="A7419" t="str">
            <v>金杀戮31级</v>
          </cell>
          <cell r="B7419">
            <v>513431</v>
          </cell>
        </row>
        <row r="7420">
          <cell r="A7420" t="str">
            <v>金杀戮32级</v>
          </cell>
          <cell r="B7420">
            <v>513432</v>
          </cell>
        </row>
        <row r="7421">
          <cell r="A7421" t="str">
            <v>金杀戮33级</v>
          </cell>
          <cell r="B7421">
            <v>513433</v>
          </cell>
        </row>
        <row r="7422">
          <cell r="A7422" t="str">
            <v>金杀戮34级</v>
          </cell>
          <cell r="B7422">
            <v>513434</v>
          </cell>
        </row>
        <row r="7423">
          <cell r="A7423" t="str">
            <v>金杀戮35级</v>
          </cell>
          <cell r="B7423">
            <v>513435</v>
          </cell>
        </row>
        <row r="7424">
          <cell r="A7424" t="str">
            <v>金杀戮36级</v>
          </cell>
          <cell r="B7424">
            <v>513436</v>
          </cell>
        </row>
        <row r="7425">
          <cell r="A7425" t="str">
            <v>金杀戮37级</v>
          </cell>
          <cell r="B7425">
            <v>513437</v>
          </cell>
        </row>
        <row r="7426">
          <cell r="A7426" t="str">
            <v>金杀戮38级</v>
          </cell>
          <cell r="B7426">
            <v>513438</v>
          </cell>
        </row>
        <row r="7427">
          <cell r="A7427" t="str">
            <v>金杀戮39级</v>
          </cell>
          <cell r="B7427">
            <v>513439</v>
          </cell>
        </row>
        <row r="7428">
          <cell r="A7428" t="str">
            <v>金杀戮40级</v>
          </cell>
          <cell r="B7428">
            <v>513440</v>
          </cell>
        </row>
        <row r="7429">
          <cell r="A7429" t="str">
            <v>金杀戮41级</v>
          </cell>
          <cell r="B7429">
            <v>513441</v>
          </cell>
        </row>
        <row r="7430">
          <cell r="A7430" t="str">
            <v>金杀戮42级</v>
          </cell>
          <cell r="B7430">
            <v>513442</v>
          </cell>
        </row>
        <row r="7431">
          <cell r="A7431" t="str">
            <v>金杀戮43级</v>
          </cell>
          <cell r="B7431">
            <v>513443</v>
          </cell>
        </row>
        <row r="7432">
          <cell r="A7432" t="str">
            <v>金杀戮44级</v>
          </cell>
          <cell r="B7432">
            <v>513444</v>
          </cell>
        </row>
        <row r="7433">
          <cell r="A7433" t="str">
            <v>金杀戮45级</v>
          </cell>
          <cell r="B7433">
            <v>513445</v>
          </cell>
        </row>
        <row r="7434">
          <cell r="A7434" t="str">
            <v>金杀戮46级</v>
          </cell>
          <cell r="B7434">
            <v>513446</v>
          </cell>
        </row>
        <row r="7435">
          <cell r="A7435" t="str">
            <v>金杀戮47级</v>
          </cell>
          <cell r="B7435">
            <v>513447</v>
          </cell>
        </row>
        <row r="7436">
          <cell r="A7436" t="str">
            <v>金杀戮48级</v>
          </cell>
          <cell r="B7436">
            <v>513448</v>
          </cell>
        </row>
        <row r="7437">
          <cell r="A7437" t="str">
            <v>金杀戮49级</v>
          </cell>
          <cell r="B7437">
            <v>513449</v>
          </cell>
        </row>
        <row r="7438">
          <cell r="A7438" t="str">
            <v>金杀戮50级</v>
          </cell>
          <cell r="B7438">
            <v>513450</v>
          </cell>
        </row>
        <row r="7439">
          <cell r="A7439" t="str">
            <v>金杀戮51级</v>
          </cell>
          <cell r="B7439">
            <v>513451</v>
          </cell>
        </row>
        <row r="7440">
          <cell r="A7440" t="str">
            <v>金杀戮52级</v>
          </cell>
          <cell r="B7440">
            <v>513452</v>
          </cell>
        </row>
        <row r="7441">
          <cell r="A7441" t="str">
            <v>金杀戮53级</v>
          </cell>
          <cell r="B7441">
            <v>513453</v>
          </cell>
        </row>
        <row r="7442">
          <cell r="A7442" t="str">
            <v>金杀戮54级</v>
          </cell>
          <cell r="B7442">
            <v>513454</v>
          </cell>
        </row>
        <row r="7443">
          <cell r="A7443" t="str">
            <v>金杀戮55级</v>
          </cell>
          <cell r="B7443">
            <v>513455</v>
          </cell>
        </row>
        <row r="7444">
          <cell r="A7444" t="str">
            <v>金杀戮56级</v>
          </cell>
          <cell r="B7444">
            <v>513456</v>
          </cell>
        </row>
        <row r="7445">
          <cell r="A7445" t="str">
            <v>金杀戮57级</v>
          </cell>
          <cell r="B7445">
            <v>513457</v>
          </cell>
        </row>
        <row r="7446">
          <cell r="A7446" t="str">
            <v>金杀戮58级</v>
          </cell>
          <cell r="B7446">
            <v>513458</v>
          </cell>
        </row>
        <row r="7447">
          <cell r="A7447" t="str">
            <v>金杀戮59级</v>
          </cell>
          <cell r="B7447">
            <v>513459</v>
          </cell>
        </row>
        <row r="7448">
          <cell r="A7448" t="str">
            <v>金杀戮60级</v>
          </cell>
          <cell r="B7448">
            <v>513460</v>
          </cell>
        </row>
        <row r="7449">
          <cell r="A7449" t="str">
            <v>金杀戮61级</v>
          </cell>
          <cell r="B7449">
            <v>513461</v>
          </cell>
        </row>
        <row r="7450">
          <cell r="A7450" t="str">
            <v>金杀戮62级</v>
          </cell>
          <cell r="B7450">
            <v>513462</v>
          </cell>
        </row>
        <row r="7451">
          <cell r="A7451" t="str">
            <v>金杀戮63级</v>
          </cell>
          <cell r="B7451">
            <v>513463</v>
          </cell>
        </row>
        <row r="7452">
          <cell r="A7452" t="str">
            <v>金杀戮64级</v>
          </cell>
          <cell r="B7452">
            <v>513464</v>
          </cell>
        </row>
        <row r="7453">
          <cell r="A7453" t="str">
            <v>金杀戮65级</v>
          </cell>
          <cell r="B7453">
            <v>513465</v>
          </cell>
        </row>
        <row r="7454">
          <cell r="A7454" t="str">
            <v>金杀戮66级</v>
          </cell>
          <cell r="B7454">
            <v>513466</v>
          </cell>
        </row>
        <row r="7455">
          <cell r="A7455" t="str">
            <v>金杀戮67级</v>
          </cell>
          <cell r="B7455">
            <v>513467</v>
          </cell>
        </row>
        <row r="7456">
          <cell r="A7456" t="str">
            <v>金杀戮68级</v>
          </cell>
          <cell r="B7456">
            <v>513468</v>
          </cell>
        </row>
        <row r="7457">
          <cell r="A7457" t="str">
            <v>金杀戮69级</v>
          </cell>
          <cell r="B7457">
            <v>513469</v>
          </cell>
        </row>
        <row r="7458">
          <cell r="A7458" t="str">
            <v>金杀戮70级</v>
          </cell>
          <cell r="B7458">
            <v>513470</v>
          </cell>
        </row>
        <row r="7459">
          <cell r="A7459" t="str">
            <v>金杀戮71级</v>
          </cell>
          <cell r="B7459">
            <v>513471</v>
          </cell>
        </row>
        <row r="7460">
          <cell r="A7460" t="str">
            <v>金杀戮72级</v>
          </cell>
          <cell r="B7460">
            <v>513472</v>
          </cell>
        </row>
        <row r="7461">
          <cell r="A7461" t="str">
            <v>金杀戮73级</v>
          </cell>
          <cell r="B7461">
            <v>513473</v>
          </cell>
        </row>
        <row r="7462">
          <cell r="A7462" t="str">
            <v>金杀戮74级</v>
          </cell>
          <cell r="B7462">
            <v>513474</v>
          </cell>
        </row>
        <row r="7463">
          <cell r="A7463" t="str">
            <v>金杀戮75级</v>
          </cell>
          <cell r="B7463">
            <v>513475</v>
          </cell>
        </row>
        <row r="7464">
          <cell r="A7464" t="str">
            <v>金杀戮76级</v>
          </cell>
          <cell r="B7464">
            <v>513476</v>
          </cell>
        </row>
        <row r="7465">
          <cell r="A7465" t="str">
            <v>金杀戮77级</v>
          </cell>
          <cell r="B7465">
            <v>513477</v>
          </cell>
        </row>
        <row r="7466">
          <cell r="A7466" t="str">
            <v>金杀戮78级</v>
          </cell>
          <cell r="B7466">
            <v>513478</v>
          </cell>
        </row>
        <row r="7467">
          <cell r="A7467" t="str">
            <v>金杀戮79级</v>
          </cell>
          <cell r="B7467">
            <v>513479</v>
          </cell>
        </row>
        <row r="7468">
          <cell r="A7468" t="str">
            <v>金杀戮80级</v>
          </cell>
          <cell r="B7468">
            <v>513480</v>
          </cell>
        </row>
        <row r="7469">
          <cell r="A7469" t="str">
            <v>金杀戮81级</v>
          </cell>
          <cell r="B7469">
            <v>513481</v>
          </cell>
        </row>
        <row r="7470">
          <cell r="A7470" t="str">
            <v>金杀戮82级</v>
          </cell>
          <cell r="B7470">
            <v>513482</v>
          </cell>
        </row>
        <row r="7471">
          <cell r="A7471" t="str">
            <v>金杀戮83级</v>
          </cell>
          <cell r="B7471">
            <v>513483</v>
          </cell>
        </row>
        <row r="7472">
          <cell r="A7472" t="str">
            <v>金杀戮84级</v>
          </cell>
          <cell r="B7472">
            <v>513484</v>
          </cell>
        </row>
        <row r="7473">
          <cell r="A7473" t="str">
            <v>金杀戮85级</v>
          </cell>
          <cell r="B7473">
            <v>513485</v>
          </cell>
        </row>
        <row r="7474">
          <cell r="A7474" t="str">
            <v>金杀戮86级</v>
          </cell>
          <cell r="B7474">
            <v>513486</v>
          </cell>
        </row>
        <row r="7475">
          <cell r="A7475" t="str">
            <v>金杀戮87级</v>
          </cell>
          <cell r="B7475">
            <v>513487</v>
          </cell>
        </row>
        <row r="7476">
          <cell r="A7476" t="str">
            <v>金杀戮88级</v>
          </cell>
          <cell r="B7476">
            <v>513488</v>
          </cell>
        </row>
        <row r="7477">
          <cell r="A7477" t="str">
            <v>金杀戮89级</v>
          </cell>
          <cell r="B7477">
            <v>513489</v>
          </cell>
        </row>
        <row r="7478">
          <cell r="A7478" t="str">
            <v>金杀戮90级</v>
          </cell>
          <cell r="B7478">
            <v>513490</v>
          </cell>
        </row>
        <row r="7479">
          <cell r="A7479" t="str">
            <v>金杀戮91级</v>
          </cell>
          <cell r="B7479">
            <v>513491</v>
          </cell>
        </row>
        <row r="7480">
          <cell r="A7480" t="str">
            <v>金杀戮92级</v>
          </cell>
          <cell r="B7480">
            <v>513492</v>
          </cell>
        </row>
        <row r="7481">
          <cell r="A7481" t="str">
            <v>金杀戮93级</v>
          </cell>
          <cell r="B7481">
            <v>513493</v>
          </cell>
        </row>
        <row r="7482">
          <cell r="A7482" t="str">
            <v>金杀戮94级</v>
          </cell>
          <cell r="B7482">
            <v>513494</v>
          </cell>
        </row>
        <row r="7483">
          <cell r="A7483" t="str">
            <v>金杀戮95级</v>
          </cell>
          <cell r="B7483">
            <v>513495</v>
          </cell>
        </row>
        <row r="7484">
          <cell r="A7484" t="str">
            <v>金杀戮96级</v>
          </cell>
          <cell r="B7484">
            <v>513496</v>
          </cell>
        </row>
        <row r="7485">
          <cell r="A7485" t="str">
            <v>金杀戮97级</v>
          </cell>
          <cell r="B7485">
            <v>513497</v>
          </cell>
        </row>
        <row r="7486">
          <cell r="A7486" t="str">
            <v>金杀戮98级</v>
          </cell>
          <cell r="B7486">
            <v>513498</v>
          </cell>
        </row>
        <row r="7487">
          <cell r="A7487" t="str">
            <v>金杀戮99级</v>
          </cell>
          <cell r="B7487">
            <v>513499</v>
          </cell>
        </row>
        <row r="7488">
          <cell r="A7488" t="str">
            <v>金祝福1级</v>
          </cell>
          <cell r="B7488">
            <v>514401</v>
          </cell>
        </row>
        <row r="7489">
          <cell r="A7489" t="str">
            <v>金祝福2级</v>
          </cell>
          <cell r="B7489">
            <v>514402</v>
          </cell>
        </row>
        <row r="7490">
          <cell r="A7490" t="str">
            <v>金祝福3级</v>
          </cell>
          <cell r="B7490">
            <v>514403</v>
          </cell>
        </row>
        <row r="7491">
          <cell r="A7491" t="str">
            <v>金祝福4级</v>
          </cell>
          <cell r="B7491">
            <v>514404</v>
          </cell>
        </row>
        <row r="7492">
          <cell r="A7492" t="str">
            <v>金祝福5级</v>
          </cell>
          <cell r="B7492">
            <v>514405</v>
          </cell>
        </row>
        <row r="7493">
          <cell r="A7493" t="str">
            <v>金祝福6级</v>
          </cell>
          <cell r="B7493">
            <v>514406</v>
          </cell>
        </row>
        <row r="7494">
          <cell r="A7494" t="str">
            <v>金祝福7级</v>
          </cell>
          <cell r="B7494">
            <v>514407</v>
          </cell>
        </row>
        <row r="7495">
          <cell r="A7495" t="str">
            <v>金祝福8级</v>
          </cell>
          <cell r="B7495">
            <v>514408</v>
          </cell>
        </row>
        <row r="7496">
          <cell r="A7496" t="str">
            <v>金祝福9级</v>
          </cell>
          <cell r="B7496">
            <v>514409</v>
          </cell>
        </row>
        <row r="7497">
          <cell r="A7497" t="str">
            <v>金祝福10级</v>
          </cell>
          <cell r="B7497">
            <v>514410</v>
          </cell>
        </row>
        <row r="7498">
          <cell r="A7498" t="str">
            <v>金祝福11级</v>
          </cell>
          <cell r="B7498">
            <v>514411</v>
          </cell>
        </row>
        <row r="7499">
          <cell r="A7499" t="str">
            <v>金祝福12级</v>
          </cell>
          <cell r="B7499">
            <v>514412</v>
          </cell>
        </row>
        <row r="7500">
          <cell r="A7500" t="str">
            <v>金祝福13级</v>
          </cell>
          <cell r="B7500">
            <v>514413</v>
          </cell>
        </row>
        <row r="7501">
          <cell r="A7501" t="str">
            <v>金祝福14级</v>
          </cell>
          <cell r="B7501">
            <v>514414</v>
          </cell>
        </row>
        <row r="7502">
          <cell r="A7502" t="str">
            <v>金祝福15级</v>
          </cell>
          <cell r="B7502">
            <v>514415</v>
          </cell>
        </row>
        <row r="7503">
          <cell r="A7503" t="str">
            <v>金祝福16级</v>
          </cell>
          <cell r="B7503">
            <v>514416</v>
          </cell>
        </row>
        <row r="7504">
          <cell r="A7504" t="str">
            <v>金祝福17级</v>
          </cell>
          <cell r="B7504">
            <v>514417</v>
          </cell>
        </row>
        <row r="7505">
          <cell r="A7505" t="str">
            <v>金祝福18级</v>
          </cell>
          <cell r="B7505">
            <v>514418</v>
          </cell>
        </row>
        <row r="7506">
          <cell r="A7506" t="str">
            <v>金祝福19级</v>
          </cell>
          <cell r="B7506">
            <v>514419</v>
          </cell>
        </row>
        <row r="7507">
          <cell r="A7507" t="str">
            <v>金祝福20级</v>
          </cell>
          <cell r="B7507">
            <v>514420</v>
          </cell>
        </row>
        <row r="7508">
          <cell r="A7508" t="str">
            <v>金祝福21级</v>
          </cell>
          <cell r="B7508">
            <v>514421</v>
          </cell>
        </row>
        <row r="7509">
          <cell r="A7509" t="str">
            <v>金祝福22级</v>
          </cell>
          <cell r="B7509">
            <v>514422</v>
          </cell>
        </row>
        <row r="7510">
          <cell r="A7510" t="str">
            <v>金祝福23级</v>
          </cell>
          <cell r="B7510">
            <v>514423</v>
          </cell>
        </row>
        <row r="7511">
          <cell r="A7511" t="str">
            <v>金祝福24级</v>
          </cell>
          <cell r="B7511">
            <v>514424</v>
          </cell>
        </row>
        <row r="7512">
          <cell r="A7512" t="str">
            <v>金祝福25级</v>
          </cell>
          <cell r="B7512">
            <v>514425</v>
          </cell>
        </row>
        <row r="7513">
          <cell r="A7513" t="str">
            <v>金祝福26级</v>
          </cell>
          <cell r="B7513">
            <v>514426</v>
          </cell>
        </row>
        <row r="7514">
          <cell r="A7514" t="str">
            <v>金祝福27级</v>
          </cell>
          <cell r="B7514">
            <v>514427</v>
          </cell>
        </row>
        <row r="7515">
          <cell r="A7515" t="str">
            <v>金祝福28级</v>
          </cell>
          <cell r="B7515">
            <v>514428</v>
          </cell>
        </row>
        <row r="7516">
          <cell r="A7516" t="str">
            <v>金祝福29级</v>
          </cell>
          <cell r="B7516">
            <v>514429</v>
          </cell>
        </row>
        <row r="7517">
          <cell r="A7517" t="str">
            <v>金祝福30级</v>
          </cell>
          <cell r="B7517">
            <v>514430</v>
          </cell>
        </row>
        <row r="7518">
          <cell r="A7518" t="str">
            <v>金祝福31级</v>
          </cell>
          <cell r="B7518">
            <v>514431</v>
          </cell>
        </row>
        <row r="7519">
          <cell r="A7519" t="str">
            <v>金祝福32级</v>
          </cell>
          <cell r="B7519">
            <v>514432</v>
          </cell>
        </row>
        <row r="7520">
          <cell r="A7520" t="str">
            <v>金祝福33级</v>
          </cell>
          <cell r="B7520">
            <v>514433</v>
          </cell>
        </row>
        <row r="7521">
          <cell r="A7521" t="str">
            <v>金祝福34级</v>
          </cell>
          <cell r="B7521">
            <v>514434</v>
          </cell>
        </row>
        <row r="7522">
          <cell r="A7522" t="str">
            <v>金祝福35级</v>
          </cell>
          <cell r="B7522">
            <v>514435</v>
          </cell>
        </row>
        <row r="7523">
          <cell r="A7523" t="str">
            <v>金祝福36级</v>
          </cell>
          <cell r="B7523">
            <v>514436</v>
          </cell>
        </row>
        <row r="7524">
          <cell r="A7524" t="str">
            <v>金祝福37级</v>
          </cell>
          <cell r="B7524">
            <v>514437</v>
          </cell>
        </row>
        <row r="7525">
          <cell r="A7525" t="str">
            <v>金祝福38级</v>
          </cell>
          <cell r="B7525">
            <v>514438</v>
          </cell>
        </row>
        <row r="7526">
          <cell r="A7526" t="str">
            <v>金祝福39级</v>
          </cell>
          <cell r="B7526">
            <v>514439</v>
          </cell>
        </row>
        <row r="7527">
          <cell r="A7527" t="str">
            <v>金祝福40级</v>
          </cell>
          <cell r="B7527">
            <v>514440</v>
          </cell>
        </row>
        <row r="7528">
          <cell r="A7528" t="str">
            <v>金祝福41级</v>
          </cell>
          <cell r="B7528">
            <v>514441</v>
          </cell>
        </row>
        <row r="7529">
          <cell r="A7529" t="str">
            <v>金祝福42级</v>
          </cell>
          <cell r="B7529">
            <v>514442</v>
          </cell>
        </row>
        <row r="7530">
          <cell r="A7530" t="str">
            <v>金祝福43级</v>
          </cell>
          <cell r="B7530">
            <v>514443</v>
          </cell>
        </row>
        <row r="7531">
          <cell r="A7531" t="str">
            <v>金祝福44级</v>
          </cell>
          <cell r="B7531">
            <v>514444</v>
          </cell>
        </row>
        <row r="7532">
          <cell r="A7532" t="str">
            <v>金祝福45级</v>
          </cell>
          <cell r="B7532">
            <v>514445</v>
          </cell>
        </row>
        <row r="7533">
          <cell r="A7533" t="str">
            <v>金祝福46级</v>
          </cell>
          <cell r="B7533">
            <v>514446</v>
          </cell>
        </row>
        <row r="7534">
          <cell r="A7534" t="str">
            <v>金祝福47级</v>
          </cell>
          <cell r="B7534">
            <v>514447</v>
          </cell>
        </row>
        <row r="7535">
          <cell r="A7535" t="str">
            <v>金祝福48级</v>
          </cell>
          <cell r="B7535">
            <v>514448</v>
          </cell>
        </row>
        <row r="7536">
          <cell r="A7536" t="str">
            <v>金祝福49级</v>
          </cell>
          <cell r="B7536">
            <v>514449</v>
          </cell>
        </row>
        <row r="7537">
          <cell r="A7537" t="str">
            <v>金祝福50级</v>
          </cell>
          <cell r="B7537">
            <v>514450</v>
          </cell>
        </row>
        <row r="7538">
          <cell r="A7538" t="str">
            <v>金祝福51级</v>
          </cell>
          <cell r="B7538">
            <v>514451</v>
          </cell>
        </row>
        <row r="7539">
          <cell r="A7539" t="str">
            <v>金祝福52级</v>
          </cell>
          <cell r="B7539">
            <v>514452</v>
          </cell>
        </row>
        <row r="7540">
          <cell r="A7540" t="str">
            <v>金祝福53级</v>
          </cell>
          <cell r="B7540">
            <v>514453</v>
          </cell>
        </row>
        <row r="7541">
          <cell r="A7541" t="str">
            <v>金祝福54级</v>
          </cell>
          <cell r="B7541">
            <v>514454</v>
          </cell>
        </row>
        <row r="7542">
          <cell r="A7542" t="str">
            <v>金祝福55级</v>
          </cell>
          <cell r="B7542">
            <v>514455</v>
          </cell>
        </row>
        <row r="7543">
          <cell r="A7543" t="str">
            <v>金祝福56级</v>
          </cell>
          <cell r="B7543">
            <v>514456</v>
          </cell>
        </row>
        <row r="7544">
          <cell r="A7544" t="str">
            <v>金祝福57级</v>
          </cell>
          <cell r="B7544">
            <v>514457</v>
          </cell>
        </row>
        <row r="7545">
          <cell r="A7545" t="str">
            <v>金祝福58级</v>
          </cell>
          <cell r="B7545">
            <v>514458</v>
          </cell>
        </row>
        <row r="7546">
          <cell r="A7546" t="str">
            <v>金祝福59级</v>
          </cell>
          <cell r="B7546">
            <v>514459</v>
          </cell>
        </row>
        <row r="7547">
          <cell r="A7547" t="str">
            <v>金祝福60级</v>
          </cell>
          <cell r="B7547">
            <v>514460</v>
          </cell>
        </row>
        <row r="7548">
          <cell r="A7548" t="str">
            <v>金祝福61级</v>
          </cell>
          <cell r="B7548">
            <v>514461</v>
          </cell>
        </row>
        <row r="7549">
          <cell r="A7549" t="str">
            <v>金祝福62级</v>
          </cell>
          <cell r="B7549">
            <v>514462</v>
          </cell>
        </row>
        <row r="7550">
          <cell r="A7550" t="str">
            <v>金祝福63级</v>
          </cell>
          <cell r="B7550">
            <v>514463</v>
          </cell>
        </row>
        <row r="7551">
          <cell r="A7551" t="str">
            <v>金祝福64级</v>
          </cell>
          <cell r="B7551">
            <v>514464</v>
          </cell>
        </row>
        <row r="7552">
          <cell r="A7552" t="str">
            <v>金祝福65级</v>
          </cell>
          <cell r="B7552">
            <v>514465</v>
          </cell>
        </row>
        <row r="7553">
          <cell r="A7553" t="str">
            <v>金祝福66级</v>
          </cell>
          <cell r="B7553">
            <v>514466</v>
          </cell>
        </row>
        <row r="7554">
          <cell r="A7554" t="str">
            <v>金祝福67级</v>
          </cell>
          <cell r="B7554">
            <v>514467</v>
          </cell>
        </row>
        <row r="7555">
          <cell r="A7555" t="str">
            <v>金祝福68级</v>
          </cell>
          <cell r="B7555">
            <v>514468</v>
          </cell>
        </row>
        <row r="7556">
          <cell r="A7556" t="str">
            <v>金祝福69级</v>
          </cell>
          <cell r="B7556">
            <v>514469</v>
          </cell>
        </row>
        <row r="7557">
          <cell r="A7557" t="str">
            <v>金祝福70级</v>
          </cell>
          <cell r="B7557">
            <v>514470</v>
          </cell>
        </row>
        <row r="7558">
          <cell r="A7558" t="str">
            <v>金祝福71级</v>
          </cell>
          <cell r="B7558">
            <v>514471</v>
          </cell>
        </row>
        <row r="7559">
          <cell r="A7559" t="str">
            <v>金祝福72级</v>
          </cell>
          <cell r="B7559">
            <v>514472</v>
          </cell>
        </row>
        <row r="7560">
          <cell r="A7560" t="str">
            <v>金祝福73级</v>
          </cell>
          <cell r="B7560">
            <v>514473</v>
          </cell>
        </row>
        <row r="7561">
          <cell r="A7561" t="str">
            <v>金祝福74级</v>
          </cell>
          <cell r="B7561">
            <v>514474</v>
          </cell>
        </row>
        <row r="7562">
          <cell r="A7562" t="str">
            <v>金祝福75级</v>
          </cell>
          <cell r="B7562">
            <v>514475</v>
          </cell>
        </row>
        <row r="7563">
          <cell r="A7563" t="str">
            <v>金祝福76级</v>
          </cell>
          <cell r="B7563">
            <v>514476</v>
          </cell>
        </row>
        <row r="7564">
          <cell r="A7564" t="str">
            <v>金祝福77级</v>
          </cell>
          <cell r="B7564">
            <v>514477</v>
          </cell>
        </row>
        <row r="7565">
          <cell r="A7565" t="str">
            <v>金祝福78级</v>
          </cell>
          <cell r="B7565">
            <v>514478</v>
          </cell>
        </row>
        <row r="7566">
          <cell r="A7566" t="str">
            <v>金祝福79级</v>
          </cell>
          <cell r="B7566">
            <v>514479</v>
          </cell>
        </row>
        <row r="7567">
          <cell r="A7567" t="str">
            <v>金祝福80级</v>
          </cell>
          <cell r="B7567">
            <v>514480</v>
          </cell>
        </row>
        <row r="7568">
          <cell r="A7568" t="str">
            <v>金祝福81级</v>
          </cell>
          <cell r="B7568">
            <v>514481</v>
          </cell>
        </row>
        <row r="7569">
          <cell r="A7569" t="str">
            <v>金祝福82级</v>
          </cell>
          <cell r="B7569">
            <v>514482</v>
          </cell>
        </row>
        <row r="7570">
          <cell r="A7570" t="str">
            <v>金祝福83级</v>
          </cell>
          <cell r="B7570">
            <v>514483</v>
          </cell>
        </row>
        <row r="7571">
          <cell r="A7571" t="str">
            <v>金祝福84级</v>
          </cell>
          <cell r="B7571">
            <v>514484</v>
          </cell>
        </row>
        <row r="7572">
          <cell r="A7572" t="str">
            <v>金祝福85级</v>
          </cell>
          <cell r="B7572">
            <v>514485</v>
          </cell>
        </row>
        <row r="7573">
          <cell r="A7573" t="str">
            <v>金祝福86级</v>
          </cell>
          <cell r="B7573">
            <v>514486</v>
          </cell>
        </row>
        <row r="7574">
          <cell r="A7574" t="str">
            <v>金祝福87级</v>
          </cell>
          <cell r="B7574">
            <v>514487</v>
          </cell>
        </row>
        <row r="7575">
          <cell r="A7575" t="str">
            <v>金祝福88级</v>
          </cell>
          <cell r="B7575">
            <v>514488</v>
          </cell>
        </row>
        <row r="7576">
          <cell r="A7576" t="str">
            <v>金祝福89级</v>
          </cell>
          <cell r="B7576">
            <v>514489</v>
          </cell>
        </row>
        <row r="7577">
          <cell r="A7577" t="str">
            <v>金祝福90级</v>
          </cell>
          <cell r="B7577">
            <v>514490</v>
          </cell>
        </row>
        <row r="7578">
          <cell r="A7578" t="str">
            <v>金祝福91级</v>
          </cell>
          <cell r="B7578">
            <v>514491</v>
          </cell>
        </row>
        <row r="7579">
          <cell r="A7579" t="str">
            <v>金祝福92级</v>
          </cell>
          <cell r="B7579">
            <v>514492</v>
          </cell>
        </row>
        <row r="7580">
          <cell r="A7580" t="str">
            <v>金祝福93级</v>
          </cell>
          <cell r="B7580">
            <v>514493</v>
          </cell>
        </row>
        <row r="7581">
          <cell r="A7581" t="str">
            <v>金祝福94级</v>
          </cell>
          <cell r="B7581">
            <v>514494</v>
          </cell>
        </row>
        <row r="7582">
          <cell r="A7582" t="str">
            <v>金祝福95级</v>
          </cell>
          <cell r="B7582">
            <v>514495</v>
          </cell>
        </row>
        <row r="7583">
          <cell r="A7583" t="str">
            <v>金祝福96级</v>
          </cell>
          <cell r="B7583">
            <v>514496</v>
          </cell>
        </row>
        <row r="7584">
          <cell r="A7584" t="str">
            <v>金祝福97级</v>
          </cell>
          <cell r="B7584">
            <v>514497</v>
          </cell>
        </row>
        <row r="7585">
          <cell r="A7585" t="str">
            <v>金祝福98级</v>
          </cell>
          <cell r="B7585">
            <v>514498</v>
          </cell>
        </row>
        <row r="7586">
          <cell r="A7586" t="str">
            <v>金祝福99级</v>
          </cell>
          <cell r="B7586">
            <v>514499</v>
          </cell>
        </row>
        <row r="7587">
          <cell r="A7587" t="str">
            <v>金财神1级</v>
          </cell>
          <cell r="B7587">
            <v>515401</v>
          </cell>
        </row>
        <row r="7588">
          <cell r="A7588" t="str">
            <v>金财神2级</v>
          </cell>
          <cell r="B7588">
            <v>515402</v>
          </cell>
        </row>
        <row r="7589">
          <cell r="A7589" t="str">
            <v>金财神3级</v>
          </cell>
          <cell r="B7589">
            <v>515403</v>
          </cell>
        </row>
        <row r="7590">
          <cell r="A7590" t="str">
            <v>金财神4级</v>
          </cell>
          <cell r="B7590">
            <v>515404</v>
          </cell>
        </row>
        <row r="7591">
          <cell r="A7591" t="str">
            <v>金财神5级</v>
          </cell>
          <cell r="B7591">
            <v>515405</v>
          </cell>
        </row>
        <row r="7592">
          <cell r="A7592" t="str">
            <v>金财神6级</v>
          </cell>
          <cell r="B7592">
            <v>515406</v>
          </cell>
        </row>
        <row r="7593">
          <cell r="A7593" t="str">
            <v>金财神7级</v>
          </cell>
          <cell r="B7593">
            <v>515407</v>
          </cell>
        </row>
        <row r="7594">
          <cell r="A7594" t="str">
            <v>金财神8级</v>
          </cell>
          <cell r="B7594">
            <v>515408</v>
          </cell>
        </row>
        <row r="7595">
          <cell r="A7595" t="str">
            <v>金财神9级</v>
          </cell>
          <cell r="B7595">
            <v>515409</v>
          </cell>
        </row>
        <row r="7596">
          <cell r="A7596" t="str">
            <v>金财神10级</v>
          </cell>
          <cell r="B7596">
            <v>515410</v>
          </cell>
        </row>
        <row r="7597">
          <cell r="A7597" t="str">
            <v>金财神11级</v>
          </cell>
          <cell r="B7597">
            <v>515411</v>
          </cell>
        </row>
        <row r="7598">
          <cell r="A7598" t="str">
            <v>金财神12级</v>
          </cell>
          <cell r="B7598">
            <v>515412</v>
          </cell>
        </row>
        <row r="7599">
          <cell r="A7599" t="str">
            <v>金财神13级</v>
          </cell>
          <cell r="B7599">
            <v>515413</v>
          </cell>
        </row>
        <row r="7600">
          <cell r="A7600" t="str">
            <v>金财神14级</v>
          </cell>
          <cell r="B7600">
            <v>515414</v>
          </cell>
        </row>
        <row r="7601">
          <cell r="A7601" t="str">
            <v>金财神15级</v>
          </cell>
          <cell r="B7601">
            <v>515415</v>
          </cell>
        </row>
        <row r="7602">
          <cell r="A7602" t="str">
            <v>金财神16级</v>
          </cell>
          <cell r="B7602">
            <v>515416</v>
          </cell>
        </row>
        <row r="7603">
          <cell r="A7603" t="str">
            <v>金财神17级</v>
          </cell>
          <cell r="B7603">
            <v>515417</v>
          </cell>
        </row>
        <row r="7604">
          <cell r="A7604" t="str">
            <v>金财神18级</v>
          </cell>
          <cell r="B7604">
            <v>515418</v>
          </cell>
        </row>
        <row r="7605">
          <cell r="A7605" t="str">
            <v>金财神19级</v>
          </cell>
          <cell r="B7605">
            <v>515419</v>
          </cell>
        </row>
        <row r="7606">
          <cell r="A7606" t="str">
            <v>金财神20级</v>
          </cell>
          <cell r="B7606">
            <v>515420</v>
          </cell>
        </row>
        <row r="7607">
          <cell r="A7607" t="str">
            <v>金财神21级</v>
          </cell>
          <cell r="B7607">
            <v>515421</v>
          </cell>
        </row>
        <row r="7608">
          <cell r="A7608" t="str">
            <v>金财神22级</v>
          </cell>
          <cell r="B7608">
            <v>515422</v>
          </cell>
        </row>
        <row r="7609">
          <cell r="A7609" t="str">
            <v>金财神23级</v>
          </cell>
          <cell r="B7609">
            <v>515423</v>
          </cell>
        </row>
        <row r="7610">
          <cell r="A7610" t="str">
            <v>金财神24级</v>
          </cell>
          <cell r="B7610">
            <v>515424</v>
          </cell>
        </row>
        <row r="7611">
          <cell r="A7611" t="str">
            <v>金财神25级</v>
          </cell>
          <cell r="B7611">
            <v>515425</v>
          </cell>
        </row>
        <row r="7612">
          <cell r="A7612" t="str">
            <v>金财神26级</v>
          </cell>
          <cell r="B7612">
            <v>515426</v>
          </cell>
        </row>
        <row r="7613">
          <cell r="A7613" t="str">
            <v>金财神27级</v>
          </cell>
          <cell r="B7613">
            <v>515427</v>
          </cell>
        </row>
        <row r="7614">
          <cell r="A7614" t="str">
            <v>金财神28级</v>
          </cell>
          <cell r="B7614">
            <v>515428</v>
          </cell>
        </row>
        <row r="7615">
          <cell r="A7615" t="str">
            <v>金财神29级</v>
          </cell>
          <cell r="B7615">
            <v>515429</v>
          </cell>
        </row>
        <row r="7616">
          <cell r="A7616" t="str">
            <v>金财神30级</v>
          </cell>
          <cell r="B7616">
            <v>515430</v>
          </cell>
        </row>
        <row r="7617">
          <cell r="A7617" t="str">
            <v>金财神31级</v>
          </cell>
          <cell r="B7617">
            <v>515431</v>
          </cell>
        </row>
        <row r="7618">
          <cell r="A7618" t="str">
            <v>金财神32级</v>
          </cell>
          <cell r="B7618">
            <v>515432</v>
          </cell>
        </row>
        <row r="7619">
          <cell r="A7619" t="str">
            <v>金财神33级</v>
          </cell>
          <cell r="B7619">
            <v>515433</v>
          </cell>
        </row>
        <row r="7620">
          <cell r="A7620" t="str">
            <v>金财神34级</v>
          </cell>
          <cell r="B7620">
            <v>515434</v>
          </cell>
        </row>
        <row r="7621">
          <cell r="A7621" t="str">
            <v>金财神35级</v>
          </cell>
          <cell r="B7621">
            <v>515435</v>
          </cell>
        </row>
        <row r="7622">
          <cell r="A7622" t="str">
            <v>金财神36级</v>
          </cell>
          <cell r="B7622">
            <v>515436</v>
          </cell>
        </row>
        <row r="7623">
          <cell r="A7623" t="str">
            <v>金财神37级</v>
          </cell>
          <cell r="B7623">
            <v>515437</v>
          </cell>
        </row>
        <row r="7624">
          <cell r="A7624" t="str">
            <v>金财神38级</v>
          </cell>
          <cell r="B7624">
            <v>515438</v>
          </cell>
        </row>
        <row r="7625">
          <cell r="A7625" t="str">
            <v>金财神39级</v>
          </cell>
          <cell r="B7625">
            <v>515439</v>
          </cell>
        </row>
        <row r="7626">
          <cell r="A7626" t="str">
            <v>金财神40级</v>
          </cell>
          <cell r="B7626">
            <v>515440</v>
          </cell>
        </row>
        <row r="7627">
          <cell r="A7627" t="str">
            <v>金财神41级</v>
          </cell>
          <cell r="B7627">
            <v>515441</v>
          </cell>
        </row>
        <row r="7628">
          <cell r="A7628" t="str">
            <v>金财神42级</v>
          </cell>
          <cell r="B7628">
            <v>515442</v>
          </cell>
        </row>
        <row r="7629">
          <cell r="A7629" t="str">
            <v>金财神43级</v>
          </cell>
          <cell r="B7629">
            <v>515443</v>
          </cell>
        </row>
        <row r="7630">
          <cell r="A7630" t="str">
            <v>金财神44级</v>
          </cell>
          <cell r="B7630">
            <v>515444</v>
          </cell>
        </row>
        <row r="7631">
          <cell r="A7631" t="str">
            <v>金财神45级</v>
          </cell>
          <cell r="B7631">
            <v>515445</v>
          </cell>
        </row>
        <row r="7632">
          <cell r="A7632" t="str">
            <v>金财神46级</v>
          </cell>
          <cell r="B7632">
            <v>515446</v>
          </cell>
        </row>
        <row r="7633">
          <cell r="A7633" t="str">
            <v>金财神47级</v>
          </cell>
          <cell r="B7633">
            <v>515447</v>
          </cell>
        </row>
        <row r="7634">
          <cell r="A7634" t="str">
            <v>金财神48级</v>
          </cell>
          <cell r="B7634">
            <v>515448</v>
          </cell>
        </row>
        <row r="7635">
          <cell r="A7635" t="str">
            <v>金财神49级</v>
          </cell>
          <cell r="B7635">
            <v>515449</v>
          </cell>
        </row>
        <row r="7636">
          <cell r="A7636" t="str">
            <v>金财神50级</v>
          </cell>
          <cell r="B7636">
            <v>515450</v>
          </cell>
        </row>
        <row r="7637">
          <cell r="A7637" t="str">
            <v>金财神51级</v>
          </cell>
          <cell r="B7637">
            <v>515451</v>
          </cell>
        </row>
        <row r="7638">
          <cell r="A7638" t="str">
            <v>金财神52级</v>
          </cell>
          <cell r="B7638">
            <v>515452</v>
          </cell>
        </row>
        <row r="7639">
          <cell r="A7639" t="str">
            <v>金财神53级</v>
          </cell>
          <cell r="B7639">
            <v>515453</v>
          </cell>
        </row>
        <row r="7640">
          <cell r="A7640" t="str">
            <v>金财神54级</v>
          </cell>
          <cell r="B7640">
            <v>515454</v>
          </cell>
        </row>
        <row r="7641">
          <cell r="A7641" t="str">
            <v>金财神55级</v>
          </cell>
          <cell r="B7641">
            <v>515455</v>
          </cell>
        </row>
        <row r="7642">
          <cell r="A7642" t="str">
            <v>金财神56级</v>
          </cell>
          <cell r="B7642">
            <v>515456</v>
          </cell>
        </row>
        <row r="7643">
          <cell r="A7643" t="str">
            <v>金财神57级</v>
          </cell>
          <cell r="B7643">
            <v>515457</v>
          </cell>
        </row>
        <row r="7644">
          <cell r="A7644" t="str">
            <v>金财神58级</v>
          </cell>
          <cell r="B7644">
            <v>515458</v>
          </cell>
        </row>
        <row r="7645">
          <cell r="A7645" t="str">
            <v>金财神59级</v>
          </cell>
          <cell r="B7645">
            <v>515459</v>
          </cell>
        </row>
        <row r="7646">
          <cell r="A7646" t="str">
            <v>金财神60级</v>
          </cell>
          <cell r="B7646">
            <v>515460</v>
          </cell>
        </row>
        <row r="7647">
          <cell r="A7647" t="str">
            <v>金财神61级</v>
          </cell>
          <cell r="B7647">
            <v>515461</v>
          </cell>
        </row>
        <row r="7648">
          <cell r="A7648" t="str">
            <v>金财神62级</v>
          </cell>
          <cell r="B7648">
            <v>515462</v>
          </cell>
        </row>
        <row r="7649">
          <cell r="A7649" t="str">
            <v>金财神63级</v>
          </cell>
          <cell r="B7649">
            <v>515463</v>
          </cell>
        </row>
        <row r="7650">
          <cell r="A7650" t="str">
            <v>金财神64级</v>
          </cell>
          <cell r="B7650">
            <v>515464</v>
          </cell>
        </row>
        <row r="7651">
          <cell r="A7651" t="str">
            <v>金财神65级</v>
          </cell>
          <cell r="B7651">
            <v>515465</v>
          </cell>
        </row>
        <row r="7652">
          <cell r="A7652" t="str">
            <v>金财神66级</v>
          </cell>
          <cell r="B7652">
            <v>515466</v>
          </cell>
        </row>
        <row r="7653">
          <cell r="A7653" t="str">
            <v>金财神67级</v>
          </cell>
          <cell r="B7653">
            <v>515467</v>
          </cell>
        </row>
        <row r="7654">
          <cell r="A7654" t="str">
            <v>金财神68级</v>
          </cell>
          <cell r="B7654">
            <v>515468</v>
          </cell>
        </row>
        <row r="7655">
          <cell r="A7655" t="str">
            <v>金财神69级</v>
          </cell>
          <cell r="B7655">
            <v>515469</v>
          </cell>
        </row>
        <row r="7656">
          <cell r="A7656" t="str">
            <v>金财神70级</v>
          </cell>
          <cell r="B7656">
            <v>515470</v>
          </cell>
        </row>
        <row r="7657">
          <cell r="A7657" t="str">
            <v>金财神71级</v>
          </cell>
          <cell r="B7657">
            <v>515471</v>
          </cell>
        </row>
        <row r="7658">
          <cell r="A7658" t="str">
            <v>金财神72级</v>
          </cell>
          <cell r="B7658">
            <v>515472</v>
          </cell>
        </row>
        <row r="7659">
          <cell r="A7659" t="str">
            <v>金财神73级</v>
          </cell>
          <cell r="B7659">
            <v>515473</v>
          </cell>
        </row>
        <row r="7660">
          <cell r="A7660" t="str">
            <v>金财神74级</v>
          </cell>
          <cell r="B7660">
            <v>515474</v>
          </cell>
        </row>
        <row r="7661">
          <cell r="A7661" t="str">
            <v>金财神75级</v>
          </cell>
          <cell r="B7661">
            <v>515475</v>
          </cell>
        </row>
        <row r="7662">
          <cell r="A7662" t="str">
            <v>金财神76级</v>
          </cell>
          <cell r="B7662">
            <v>515476</v>
          </cell>
        </row>
        <row r="7663">
          <cell r="A7663" t="str">
            <v>金财神77级</v>
          </cell>
          <cell r="B7663">
            <v>515477</v>
          </cell>
        </row>
        <row r="7664">
          <cell r="A7664" t="str">
            <v>金财神78级</v>
          </cell>
          <cell r="B7664">
            <v>515478</v>
          </cell>
        </row>
        <row r="7665">
          <cell r="A7665" t="str">
            <v>金财神79级</v>
          </cell>
          <cell r="B7665">
            <v>515479</v>
          </cell>
        </row>
        <row r="7666">
          <cell r="A7666" t="str">
            <v>金财神80级</v>
          </cell>
          <cell r="B7666">
            <v>515480</v>
          </cell>
        </row>
        <row r="7667">
          <cell r="A7667" t="str">
            <v>金财神81级</v>
          </cell>
          <cell r="B7667">
            <v>515481</v>
          </cell>
        </row>
        <row r="7668">
          <cell r="A7668" t="str">
            <v>金财神82级</v>
          </cell>
          <cell r="B7668">
            <v>515482</v>
          </cell>
        </row>
        <row r="7669">
          <cell r="A7669" t="str">
            <v>金财神83级</v>
          </cell>
          <cell r="B7669">
            <v>515483</v>
          </cell>
        </row>
        <row r="7670">
          <cell r="A7670" t="str">
            <v>金财神84级</v>
          </cell>
          <cell r="B7670">
            <v>515484</v>
          </cell>
        </row>
        <row r="7671">
          <cell r="A7671" t="str">
            <v>金财神85级</v>
          </cell>
          <cell r="B7671">
            <v>515485</v>
          </cell>
        </row>
        <row r="7672">
          <cell r="A7672" t="str">
            <v>金财神86级</v>
          </cell>
          <cell r="B7672">
            <v>515486</v>
          </cell>
        </row>
        <row r="7673">
          <cell r="A7673" t="str">
            <v>金财神87级</v>
          </cell>
          <cell r="B7673">
            <v>515487</v>
          </cell>
        </row>
        <row r="7674">
          <cell r="A7674" t="str">
            <v>金财神88级</v>
          </cell>
          <cell r="B7674">
            <v>515488</v>
          </cell>
        </row>
        <row r="7675">
          <cell r="A7675" t="str">
            <v>金财神89级</v>
          </cell>
          <cell r="B7675">
            <v>515489</v>
          </cell>
        </row>
        <row r="7676">
          <cell r="A7676" t="str">
            <v>金财神90级</v>
          </cell>
          <cell r="B7676">
            <v>515490</v>
          </cell>
        </row>
        <row r="7677">
          <cell r="A7677" t="str">
            <v>金财神91级</v>
          </cell>
          <cell r="B7677">
            <v>515491</v>
          </cell>
        </row>
        <row r="7678">
          <cell r="A7678" t="str">
            <v>金财神92级</v>
          </cell>
          <cell r="B7678">
            <v>515492</v>
          </cell>
        </row>
        <row r="7679">
          <cell r="A7679" t="str">
            <v>金财神93级</v>
          </cell>
          <cell r="B7679">
            <v>515493</v>
          </cell>
        </row>
        <row r="7680">
          <cell r="A7680" t="str">
            <v>金财神94级</v>
          </cell>
          <cell r="B7680">
            <v>515494</v>
          </cell>
        </row>
        <row r="7681">
          <cell r="A7681" t="str">
            <v>金财神95级</v>
          </cell>
          <cell r="B7681">
            <v>515495</v>
          </cell>
        </row>
        <row r="7682">
          <cell r="A7682" t="str">
            <v>金财神96级</v>
          </cell>
          <cell r="B7682">
            <v>515496</v>
          </cell>
        </row>
        <row r="7683">
          <cell r="A7683" t="str">
            <v>金财神97级</v>
          </cell>
          <cell r="B7683">
            <v>515497</v>
          </cell>
        </row>
        <row r="7684">
          <cell r="A7684" t="str">
            <v>金财神98级</v>
          </cell>
          <cell r="B7684">
            <v>515498</v>
          </cell>
        </row>
        <row r="7685">
          <cell r="A7685" t="str">
            <v>金财神99级</v>
          </cell>
          <cell r="B7685">
            <v>515499</v>
          </cell>
        </row>
        <row r="7686">
          <cell r="A7686" t="str">
            <v>绿强攻1级</v>
          </cell>
          <cell r="B7686">
            <v>516001</v>
          </cell>
        </row>
        <row r="7687">
          <cell r="A7687" t="str">
            <v>绿强攻2级</v>
          </cell>
          <cell r="B7687">
            <v>516002</v>
          </cell>
        </row>
        <row r="7688">
          <cell r="A7688" t="str">
            <v>绿强攻3级</v>
          </cell>
          <cell r="B7688">
            <v>516003</v>
          </cell>
        </row>
        <row r="7689">
          <cell r="A7689" t="str">
            <v>绿强攻4级</v>
          </cell>
          <cell r="B7689">
            <v>516004</v>
          </cell>
        </row>
        <row r="7690">
          <cell r="A7690" t="str">
            <v>绿强攻5级</v>
          </cell>
          <cell r="B7690">
            <v>516005</v>
          </cell>
        </row>
        <row r="7691">
          <cell r="A7691" t="str">
            <v>绿强攻6级</v>
          </cell>
          <cell r="B7691">
            <v>516006</v>
          </cell>
        </row>
        <row r="7692">
          <cell r="A7692" t="str">
            <v>绿强攻7级</v>
          </cell>
          <cell r="B7692">
            <v>516007</v>
          </cell>
        </row>
        <row r="7693">
          <cell r="A7693" t="str">
            <v>绿强攻8级</v>
          </cell>
          <cell r="B7693">
            <v>516008</v>
          </cell>
        </row>
        <row r="7694">
          <cell r="A7694" t="str">
            <v>绿强攻9级</v>
          </cell>
          <cell r="B7694">
            <v>516009</v>
          </cell>
        </row>
        <row r="7695">
          <cell r="A7695" t="str">
            <v>绿强攻10级</v>
          </cell>
          <cell r="B7695">
            <v>516010</v>
          </cell>
        </row>
        <row r="7696">
          <cell r="A7696" t="str">
            <v>绿强攻11级</v>
          </cell>
          <cell r="B7696">
            <v>516011</v>
          </cell>
        </row>
        <row r="7697">
          <cell r="A7697" t="str">
            <v>绿强攻12级</v>
          </cell>
          <cell r="B7697">
            <v>516012</v>
          </cell>
        </row>
        <row r="7698">
          <cell r="A7698" t="str">
            <v>绿强攻13级</v>
          </cell>
          <cell r="B7698">
            <v>516013</v>
          </cell>
        </row>
        <row r="7699">
          <cell r="A7699" t="str">
            <v>绿强攻14级</v>
          </cell>
          <cell r="B7699">
            <v>516014</v>
          </cell>
        </row>
        <row r="7700">
          <cell r="A7700" t="str">
            <v>绿强攻15级</v>
          </cell>
          <cell r="B7700">
            <v>516015</v>
          </cell>
        </row>
        <row r="7701">
          <cell r="A7701" t="str">
            <v>绿强攻16级</v>
          </cell>
          <cell r="B7701">
            <v>516016</v>
          </cell>
        </row>
        <row r="7702">
          <cell r="A7702" t="str">
            <v>绿强攻17级</v>
          </cell>
          <cell r="B7702">
            <v>516017</v>
          </cell>
        </row>
        <row r="7703">
          <cell r="A7703" t="str">
            <v>绿强攻18级</v>
          </cell>
          <cell r="B7703">
            <v>516018</v>
          </cell>
        </row>
        <row r="7704">
          <cell r="A7704" t="str">
            <v>绿强攻19级</v>
          </cell>
          <cell r="B7704">
            <v>516019</v>
          </cell>
        </row>
        <row r="7705">
          <cell r="A7705" t="str">
            <v>绿强攻20级</v>
          </cell>
          <cell r="B7705">
            <v>516020</v>
          </cell>
        </row>
        <row r="7706">
          <cell r="A7706" t="str">
            <v>紫强攻1级</v>
          </cell>
          <cell r="B7706">
            <v>516101</v>
          </cell>
        </row>
        <row r="7707">
          <cell r="A7707" t="str">
            <v>紫强攻2级</v>
          </cell>
          <cell r="B7707">
            <v>516102</v>
          </cell>
        </row>
        <row r="7708">
          <cell r="A7708" t="str">
            <v>紫强攻3级</v>
          </cell>
          <cell r="B7708">
            <v>516103</v>
          </cell>
        </row>
        <row r="7709">
          <cell r="A7709" t="str">
            <v>紫强攻4级</v>
          </cell>
          <cell r="B7709">
            <v>516104</v>
          </cell>
        </row>
        <row r="7710">
          <cell r="A7710" t="str">
            <v>紫强攻5级</v>
          </cell>
          <cell r="B7710">
            <v>516105</v>
          </cell>
        </row>
        <row r="7711">
          <cell r="A7711" t="str">
            <v>紫强攻6级</v>
          </cell>
          <cell r="B7711">
            <v>516106</v>
          </cell>
        </row>
        <row r="7712">
          <cell r="A7712" t="str">
            <v>紫强攻7级</v>
          </cell>
          <cell r="B7712">
            <v>516107</v>
          </cell>
        </row>
        <row r="7713">
          <cell r="A7713" t="str">
            <v>紫强攻8级</v>
          </cell>
          <cell r="B7713">
            <v>516108</v>
          </cell>
        </row>
        <row r="7714">
          <cell r="A7714" t="str">
            <v>紫强攻9级</v>
          </cell>
          <cell r="B7714">
            <v>516109</v>
          </cell>
        </row>
        <row r="7715">
          <cell r="A7715" t="str">
            <v>紫强攻10级</v>
          </cell>
          <cell r="B7715">
            <v>516110</v>
          </cell>
        </row>
        <row r="7716">
          <cell r="A7716" t="str">
            <v>紫强攻11级</v>
          </cell>
          <cell r="B7716">
            <v>516111</v>
          </cell>
        </row>
        <row r="7717">
          <cell r="A7717" t="str">
            <v>紫强攻12级</v>
          </cell>
          <cell r="B7717">
            <v>516112</v>
          </cell>
        </row>
        <row r="7718">
          <cell r="A7718" t="str">
            <v>紫强攻13级</v>
          </cell>
          <cell r="B7718">
            <v>516113</v>
          </cell>
        </row>
        <row r="7719">
          <cell r="A7719" t="str">
            <v>紫强攻14级</v>
          </cell>
          <cell r="B7719">
            <v>516114</v>
          </cell>
        </row>
        <row r="7720">
          <cell r="A7720" t="str">
            <v>紫强攻15级</v>
          </cell>
          <cell r="B7720">
            <v>516115</v>
          </cell>
        </row>
        <row r="7721">
          <cell r="A7721" t="str">
            <v>紫强攻16级</v>
          </cell>
          <cell r="B7721">
            <v>516116</v>
          </cell>
        </row>
        <row r="7722">
          <cell r="A7722" t="str">
            <v>紫强攻17级</v>
          </cell>
          <cell r="B7722">
            <v>516117</v>
          </cell>
        </row>
        <row r="7723">
          <cell r="A7723" t="str">
            <v>紫强攻18级</v>
          </cell>
          <cell r="B7723">
            <v>516118</v>
          </cell>
        </row>
        <row r="7724">
          <cell r="A7724" t="str">
            <v>紫强攻19级</v>
          </cell>
          <cell r="B7724">
            <v>516119</v>
          </cell>
        </row>
        <row r="7725">
          <cell r="A7725" t="str">
            <v>紫强攻20级</v>
          </cell>
          <cell r="B7725">
            <v>516120</v>
          </cell>
        </row>
        <row r="7726">
          <cell r="A7726" t="str">
            <v>紫强攻21级</v>
          </cell>
          <cell r="B7726">
            <v>516121</v>
          </cell>
        </row>
        <row r="7727">
          <cell r="A7727" t="str">
            <v>紫强攻22级</v>
          </cell>
          <cell r="B7727">
            <v>516122</v>
          </cell>
        </row>
        <row r="7728">
          <cell r="A7728" t="str">
            <v>紫强攻23级</v>
          </cell>
          <cell r="B7728">
            <v>516123</v>
          </cell>
        </row>
        <row r="7729">
          <cell r="A7729" t="str">
            <v>紫强攻24级</v>
          </cell>
          <cell r="B7729">
            <v>516124</v>
          </cell>
        </row>
        <row r="7730">
          <cell r="A7730" t="str">
            <v>紫强攻25级</v>
          </cell>
          <cell r="B7730">
            <v>516125</v>
          </cell>
        </row>
        <row r="7731">
          <cell r="A7731" t="str">
            <v>紫强攻26级</v>
          </cell>
          <cell r="B7731">
            <v>516126</v>
          </cell>
        </row>
        <row r="7732">
          <cell r="A7732" t="str">
            <v>紫强攻27级</v>
          </cell>
          <cell r="B7732">
            <v>516127</v>
          </cell>
        </row>
        <row r="7733">
          <cell r="A7733" t="str">
            <v>紫强攻28级</v>
          </cell>
          <cell r="B7733">
            <v>516128</v>
          </cell>
        </row>
        <row r="7734">
          <cell r="A7734" t="str">
            <v>紫强攻29级</v>
          </cell>
          <cell r="B7734">
            <v>516129</v>
          </cell>
        </row>
        <row r="7735">
          <cell r="A7735" t="str">
            <v>紫强攻30级</v>
          </cell>
          <cell r="B7735">
            <v>516130</v>
          </cell>
        </row>
        <row r="7736">
          <cell r="A7736" t="str">
            <v>紫强攻31级</v>
          </cell>
          <cell r="B7736">
            <v>516131</v>
          </cell>
        </row>
        <row r="7737">
          <cell r="A7737" t="str">
            <v>紫强攻32级</v>
          </cell>
          <cell r="B7737">
            <v>516132</v>
          </cell>
        </row>
        <row r="7738">
          <cell r="A7738" t="str">
            <v>紫强攻33级</v>
          </cell>
          <cell r="B7738">
            <v>516133</v>
          </cell>
        </row>
        <row r="7739">
          <cell r="A7739" t="str">
            <v>紫强攻34级</v>
          </cell>
          <cell r="B7739">
            <v>516134</v>
          </cell>
        </row>
        <row r="7740">
          <cell r="A7740" t="str">
            <v>紫强攻35级</v>
          </cell>
          <cell r="B7740">
            <v>516135</v>
          </cell>
        </row>
        <row r="7741">
          <cell r="A7741" t="str">
            <v>紫强攻36级</v>
          </cell>
          <cell r="B7741">
            <v>516136</v>
          </cell>
        </row>
        <row r="7742">
          <cell r="A7742" t="str">
            <v>紫强攻37级</v>
          </cell>
          <cell r="B7742">
            <v>516137</v>
          </cell>
        </row>
        <row r="7743">
          <cell r="A7743" t="str">
            <v>紫强攻38级</v>
          </cell>
          <cell r="B7743">
            <v>516138</v>
          </cell>
        </row>
        <row r="7744">
          <cell r="A7744" t="str">
            <v>紫强攻39级</v>
          </cell>
          <cell r="B7744">
            <v>516139</v>
          </cell>
        </row>
        <row r="7745">
          <cell r="A7745" t="str">
            <v>紫强攻40级</v>
          </cell>
          <cell r="B7745">
            <v>516140</v>
          </cell>
        </row>
        <row r="7746">
          <cell r="A7746" t="str">
            <v>橙强攻1级</v>
          </cell>
          <cell r="B7746">
            <v>516201</v>
          </cell>
        </row>
        <row r="7747">
          <cell r="A7747" t="str">
            <v>橙强攻2级</v>
          </cell>
          <cell r="B7747">
            <v>516202</v>
          </cell>
        </row>
        <row r="7748">
          <cell r="A7748" t="str">
            <v>橙强攻3级</v>
          </cell>
          <cell r="B7748">
            <v>516203</v>
          </cell>
        </row>
        <row r="7749">
          <cell r="A7749" t="str">
            <v>橙强攻4级</v>
          </cell>
          <cell r="B7749">
            <v>516204</v>
          </cell>
        </row>
        <row r="7750">
          <cell r="A7750" t="str">
            <v>橙强攻5级</v>
          </cell>
          <cell r="B7750">
            <v>516205</v>
          </cell>
        </row>
        <row r="7751">
          <cell r="A7751" t="str">
            <v>橙强攻6级</v>
          </cell>
          <cell r="B7751">
            <v>516206</v>
          </cell>
        </row>
        <row r="7752">
          <cell r="A7752" t="str">
            <v>橙强攻7级</v>
          </cell>
          <cell r="B7752">
            <v>516207</v>
          </cell>
        </row>
        <row r="7753">
          <cell r="A7753" t="str">
            <v>橙强攻8级</v>
          </cell>
          <cell r="B7753">
            <v>516208</v>
          </cell>
        </row>
        <row r="7754">
          <cell r="A7754" t="str">
            <v>橙强攻9级</v>
          </cell>
          <cell r="B7754">
            <v>516209</v>
          </cell>
        </row>
        <row r="7755">
          <cell r="A7755" t="str">
            <v>橙强攻10级</v>
          </cell>
          <cell r="B7755">
            <v>516210</v>
          </cell>
        </row>
        <row r="7756">
          <cell r="A7756" t="str">
            <v>橙强攻11级</v>
          </cell>
          <cell r="B7756">
            <v>516211</v>
          </cell>
        </row>
        <row r="7757">
          <cell r="A7757" t="str">
            <v>橙强攻12级</v>
          </cell>
          <cell r="B7757">
            <v>516212</v>
          </cell>
        </row>
        <row r="7758">
          <cell r="A7758" t="str">
            <v>橙强攻13级</v>
          </cell>
          <cell r="B7758">
            <v>516213</v>
          </cell>
        </row>
        <row r="7759">
          <cell r="A7759" t="str">
            <v>橙强攻14级</v>
          </cell>
          <cell r="B7759">
            <v>516214</v>
          </cell>
        </row>
        <row r="7760">
          <cell r="A7760" t="str">
            <v>橙强攻15级</v>
          </cell>
          <cell r="B7760">
            <v>516215</v>
          </cell>
        </row>
        <row r="7761">
          <cell r="A7761" t="str">
            <v>橙强攻16级</v>
          </cell>
          <cell r="B7761">
            <v>516216</v>
          </cell>
        </row>
        <row r="7762">
          <cell r="A7762" t="str">
            <v>橙强攻17级</v>
          </cell>
          <cell r="B7762">
            <v>516217</v>
          </cell>
        </row>
        <row r="7763">
          <cell r="A7763" t="str">
            <v>橙强攻18级</v>
          </cell>
          <cell r="B7763">
            <v>516218</v>
          </cell>
        </row>
        <row r="7764">
          <cell r="A7764" t="str">
            <v>橙强攻19级</v>
          </cell>
          <cell r="B7764">
            <v>516219</v>
          </cell>
        </row>
        <row r="7765">
          <cell r="A7765" t="str">
            <v>橙强攻20级</v>
          </cell>
          <cell r="B7765">
            <v>516220</v>
          </cell>
        </row>
        <row r="7766">
          <cell r="A7766" t="str">
            <v>橙强攻21级</v>
          </cell>
          <cell r="B7766">
            <v>516221</v>
          </cell>
        </row>
        <row r="7767">
          <cell r="A7767" t="str">
            <v>橙强攻22级</v>
          </cell>
          <cell r="B7767">
            <v>516222</v>
          </cell>
        </row>
        <row r="7768">
          <cell r="A7768" t="str">
            <v>橙强攻23级</v>
          </cell>
          <cell r="B7768">
            <v>516223</v>
          </cell>
        </row>
        <row r="7769">
          <cell r="A7769" t="str">
            <v>橙强攻24级</v>
          </cell>
          <cell r="B7769">
            <v>516224</v>
          </cell>
        </row>
        <row r="7770">
          <cell r="A7770" t="str">
            <v>橙强攻25级</v>
          </cell>
          <cell r="B7770">
            <v>516225</v>
          </cell>
        </row>
        <row r="7771">
          <cell r="A7771" t="str">
            <v>橙强攻26级</v>
          </cell>
          <cell r="B7771">
            <v>516226</v>
          </cell>
        </row>
        <row r="7772">
          <cell r="A7772" t="str">
            <v>橙强攻27级</v>
          </cell>
          <cell r="B7772">
            <v>516227</v>
          </cell>
        </row>
        <row r="7773">
          <cell r="A7773" t="str">
            <v>橙强攻28级</v>
          </cell>
          <cell r="B7773">
            <v>516228</v>
          </cell>
        </row>
        <row r="7774">
          <cell r="A7774" t="str">
            <v>橙强攻29级</v>
          </cell>
          <cell r="B7774">
            <v>516229</v>
          </cell>
        </row>
        <row r="7775">
          <cell r="A7775" t="str">
            <v>橙强攻30级</v>
          </cell>
          <cell r="B7775">
            <v>516230</v>
          </cell>
        </row>
        <row r="7776">
          <cell r="A7776" t="str">
            <v>橙强攻31级</v>
          </cell>
          <cell r="B7776">
            <v>516231</v>
          </cell>
        </row>
        <row r="7777">
          <cell r="A7777" t="str">
            <v>橙强攻32级</v>
          </cell>
          <cell r="B7777">
            <v>516232</v>
          </cell>
        </row>
        <row r="7778">
          <cell r="A7778" t="str">
            <v>橙强攻33级</v>
          </cell>
          <cell r="B7778">
            <v>516233</v>
          </cell>
        </row>
        <row r="7779">
          <cell r="A7779" t="str">
            <v>橙强攻34级</v>
          </cell>
          <cell r="B7779">
            <v>516234</v>
          </cell>
        </row>
        <row r="7780">
          <cell r="A7780" t="str">
            <v>橙强攻35级</v>
          </cell>
          <cell r="B7780">
            <v>516235</v>
          </cell>
        </row>
        <row r="7781">
          <cell r="A7781" t="str">
            <v>橙强攻36级</v>
          </cell>
          <cell r="B7781">
            <v>516236</v>
          </cell>
        </row>
        <row r="7782">
          <cell r="A7782" t="str">
            <v>橙强攻37级</v>
          </cell>
          <cell r="B7782">
            <v>516237</v>
          </cell>
        </row>
        <row r="7783">
          <cell r="A7783" t="str">
            <v>橙强攻38级</v>
          </cell>
          <cell r="B7783">
            <v>516238</v>
          </cell>
        </row>
        <row r="7784">
          <cell r="A7784" t="str">
            <v>橙强攻39级</v>
          </cell>
          <cell r="B7784">
            <v>516239</v>
          </cell>
        </row>
        <row r="7785">
          <cell r="A7785" t="str">
            <v>橙强攻40级</v>
          </cell>
          <cell r="B7785">
            <v>516240</v>
          </cell>
        </row>
        <row r="7786">
          <cell r="A7786" t="str">
            <v>橙强攻41级</v>
          </cell>
          <cell r="B7786">
            <v>516241</v>
          </cell>
        </row>
        <row r="7787">
          <cell r="A7787" t="str">
            <v>橙强攻42级</v>
          </cell>
          <cell r="B7787">
            <v>516242</v>
          </cell>
        </row>
        <row r="7788">
          <cell r="A7788" t="str">
            <v>橙强攻43级</v>
          </cell>
          <cell r="B7788">
            <v>516243</v>
          </cell>
        </row>
        <row r="7789">
          <cell r="A7789" t="str">
            <v>橙强攻44级</v>
          </cell>
          <cell r="B7789">
            <v>516244</v>
          </cell>
        </row>
        <row r="7790">
          <cell r="A7790" t="str">
            <v>橙强攻45级</v>
          </cell>
          <cell r="B7790">
            <v>516245</v>
          </cell>
        </row>
        <row r="7791">
          <cell r="A7791" t="str">
            <v>橙强攻46级</v>
          </cell>
          <cell r="B7791">
            <v>516246</v>
          </cell>
        </row>
        <row r="7792">
          <cell r="A7792" t="str">
            <v>橙强攻47级</v>
          </cell>
          <cell r="B7792">
            <v>516247</v>
          </cell>
        </row>
        <row r="7793">
          <cell r="A7793" t="str">
            <v>橙强攻48级</v>
          </cell>
          <cell r="B7793">
            <v>516248</v>
          </cell>
        </row>
        <row r="7794">
          <cell r="A7794" t="str">
            <v>橙强攻49级</v>
          </cell>
          <cell r="B7794">
            <v>516249</v>
          </cell>
        </row>
        <row r="7795">
          <cell r="A7795" t="str">
            <v>橙强攻50级</v>
          </cell>
          <cell r="B7795">
            <v>516250</v>
          </cell>
        </row>
        <row r="7796">
          <cell r="A7796" t="str">
            <v>橙强攻51级</v>
          </cell>
          <cell r="B7796">
            <v>516251</v>
          </cell>
        </row>
        <row r="7797">
          <cell r="A7797" t="str">
            <v>橙强攻52级</v>
          </cell>
          <cell r="B7797">
            <v>516252</v>
          </cell>
        </row>
        <row r="7798">
          <cell r="A7798" t="str">
            <v>橙强攻53级</v>
          </cell>
          <cell r="B7798">
            <v>516253</v>
          </cell>
        </row>
        <row r="7799">
          <cell r="A7799" t="str">
            <v>橙强攻54级</v>
          </cell>
          <cell r="B7799">
            <v>516254</v>
          </cell>
        </row>
        <row r="7800">
          <cell r="A7800" t="str">
            <v>橙强攻55级</v>
          </cell>
          <cell r="B7800">
            <v>516255</v>
          </cell>
        </row>
        <row r="7801">
          <cell r="A7801" t="str">
            <v>橙强攻56级</v>
          </cell>
          <cell r="B7801">
            <v>516256</v>
          </cell>
        </row>
        <row r="7802">
          <cell r="A7802" t="str">
            <v>橙强攻57级</v>
          </cell>
          <cell r="B7802">
            <v>516257</v>
          </cell>
        </row>
        <row r="7803">
          <cell r="A7803" t="str">
            <v>橙强攻58级</v>
          </cell>
          <cell r="B7803">
            <v>516258</v>
          </cell>
        </row>
        <row r="7804">
          <cell r="A7804" t="str">
            <v>橙强攻59级</v>
          </cell>
          <cell r="B7804">
            <v>516259</v>
          </cell>
        </row>
        <row r="7805">
          <cell r="A7805" t="str">
            <v>橙强攻60级</v>
          </cell>
          <cell r="B7805">
            <v>516260</v>
          </cell>
        </row>
        <row r="7806">
          <cell r="A7806" t="str">
            <v>红强攻1级</v>
          </cell>
          <cell r="B7806">
            <v>516301</v>
          </cell>
        </row>
        <row r="7807">
          <cell r="A7807" t="str">
            <v>红强攻2级</v>
          </cell>
          <cell r="B7807">
            <v>516302</v>
          </cell>
        </row>
        <row r="7808">
          <cell r="A7808" t="str">
            <v>红强攻3级</v>
          </cell>
          <cell r="B7808">
            <v>516303</v>
          </cell>
        </row>
        <row r="7809">
          <cell r="A7809" t="str">
            <v>红强攻4级</v>
          </cell>
          <cell r="B7809">
            <v>516304</v>
          </cell>
        </row>
        <row r="7810">
          <cell r="A7810" t="str">
            <v>红强攻5级</v>
          </cell>
          <cell r="B7810">
            <v>516305</v>
          </cell>
        </row>
        <row r="7811">
          <cell r="A7811" t="str">
            <v>红强攻6级</v>
          </cell>
          <cell r="B7811">
            <v>516306</v>
          </cell>
        </row>
        <row r="7812">
          <cell r="A7812" t="str">
            <v>红强攻7级</v>
          </cell>
          <cell r="B7812">
            <v>516307</v>
          </cell>
        </row>
        <row r="7813">
          <cell r="A7813" t="str">
            <v>红强攻8级</v>
          </cell>
          <cell r="B7813">
            <v>516308</v>
          </cell>
        </row>
        <row r="7814">
          <cell r="A7814" t="str">
            <v>红强攻9级</v>
          </cell>
          <cell r="B7814">
            <v>516309</v>
          </cell>
        </row>
        <row r="7815">
          <cell r="A7815" t="str">
            <v>红强攻10级</v>
          </cell>
          <cell r="B7815">
            <v>516310</v>
          </cell>
        </row>
        <row r="7816">
          <cell r="A7816" t="str">
            <v>红强攻11级</v>
          </cell>
          <cell r="B7816">
            <v>516311</v>
          </cell>
        </row>
        <row r="7817">
          <cell r="A7817" t="str">
            <v>红强攻12级</v>
          </cell>
          <cell r="B7817">
            <v>516312</v>
          </cell>
        </row>
        <row r="7818">
          <cell r="A7818" t="str">
            <v>红强攻13级</v>
          </cell>
          <cell r="B7818">
            <v>516313</v>
          </cell>
        </row>
        <row r="7819">
          <cell r="A7819" t="str">
            <v>红强攻14级</v>
          </cell>
          <cell r="B7819">
            <v>516314</v>
          </cell>
        </row>
        <row r="7820">
          <cell r="A7820" t="str">
            <v>红强攻15级</v>
          </cell>
          <cell r="B7820">
            <v>516315</v>
          </cell>
        </row>
        <row r="7821">
          <cell r="A7821" t="str">
            <v>红强攻16级</v>
          </cell>
          <cell r="B7821">
            <v>516316</v>
          </cell>
        </row>
        <row r="7822">
          <cell r="A7822" t="str">
            <v>红强攻17级</v>
          </cell>
          <cell r="B7822">
            <v>516317</v>
          </cell>
        </row>
        <row r="7823">
          <cell r="A7823" t="str">
            <v>红强攻18级</v>
          </cell>
          <cell r="B7823">
            <v>516318</v>
          </cell>
        </row>
        <row r="7824">
          <cell r="A7824" t="str">
            <v>红强攻19级</v>
          </cell>
          <cell r="B7824">
            <v>516319</v>
          </cell>
        </row>
        <row r="7825">
          <cell r="A7825" t="str">
            <v>红强攻20级</v>
          </cell>
          <cell r="B7825">
            <v>516320</v>
          </cell>
        </row>
        <row r="7826">
          <cell r="A7826" t="str">
            <v>红强攻21级</v>
          </cell>
          <cell r="B7826">
            <v>516321</v>
          </cell>
        </row>
        <row r="7827">
          <cell r="A7827" t="str">
            <v>红强攻22级</v>
          </cell>
          <cell r="B7827">
            <v>516322</v>
          </cell>
        </row>
        <row r="7828">
          <cell r="A7828" t="str">
            <v>红强攻23级</v>
          </cell>
          <cell r="B7828">
            <v>516323</v>
          </cell>
        </row>
        <row r="7829">
          <cell r="A7829" t="str">
            <v>红强攻24级</v>
          </cell>
          <cell r="B7829">
            <v>516324</v>
          </cell>
        </row>
        <row r="7830">
          <cell r="A7830" t="str">
            <v>红强攻25级</v>
          </cell>
          <cell r="B7830">
            <v>516325</v>
          </cell>
        </row>
        <row r="7831">
          <cell r="A7831" t="str">
            <v>红强攻26级</v>
          </cell>
          <cell r="B7831">
            <v>516326</v>
          </cell>
        </row>
        <row r="7832">
          <cell r="A7832" t="str">
            <v>红强攻27级</v>
          </cell>
          <cell r="B7832">
            <v>516327</v>
          </cell>
        </row>
        <row r="7833">
          <cell r="A7833" t="str">
            <v>红强攻28级</v>
          </cell>
          <cell r="B7833">
            <v>516328</v>
          </cell>
        </row>
        <row r="7834">
          <cell r="A7834" t="str">
            <v>红强攻29级</v>
          </cell>
          <cell r="B7834">
            <v>516329</v>
          </cell>
        </row>
        <row r="7835">
          <cell r="A7835" t="str">
            <v>红强攻30级</v>
          </cell>
          <cell r="B7835">
            <v>516330</v>
          </cell>
        </row>
        <row r="7836">
          <cell r="A7836" t="str">
            <v>红强攻31级</v>
          </cell>
          <cell r="B7836">
            <v>516331</v>
          </cell>
        </row>
        <row r="7837">
          <cell r="A7837" t="str">
            <v>红强攻32级</v>
          </cell>
          <cell r="B7837">
            <v>516332</v>
          </cell>
        </row>
        <row r="7838">
          <cell r="A7838" t="str">
            <v>红强攻33级</v>
          </cell>
          <cell r="B7838">
            <v>516333</v>
          </cell>
        </row>
        <row r="7839">
          <cell r="A7839" t="str">
            <v>红强攻34级</v>
          </cell>
          <cell r="B7839">
            <v>516334</v>
          </cell>
        </row>
        <row r="7840">
          <cell r="A7840" t="str">
            <v>红强攻35级</v>
          </cell>
          <cell r="B7840">
            <v>516335</v>
          </cell>
        </row>
        <row r="7841">
          <cell r="A7841" t="str">
            <v>红强攻36级</v>
          </cell>
          <cell r="B7841">
            <v>516336</v>
          </cell>
        </row>
        <row r="7842">
          <cell r="A7842" t="str">
            <v>红强攻37级</v>
          </cell>
          <cell r="B7842">
            <v>516337</v>
          </cell>
        </row>
        <row r="7843">
          <cell r="A7843" t="str">
            <v>红强攻38级</v>
          </cell>
          <cell r="B7843">
            <v>516338</v>
          </cell>
        </row>
        <row r="7844">
          <cell r="A7844" t="str">
            <v>红强攻39级</v>
          </cell>
          <cell r="B7844">
            <v>516339</v>
          </cell>
        </row>
        <row r="7845">
          <cell r="A7845" t="str">
            <v>红强攻40级</v>
          </cell>
          <cell r="B7845">
            <v>516340</v>
          </cell>
        </row>
        <row r="7846">
          <cell r="A7846" t="str">
            <v>红强攻41级</v>
          </cell>
          <cell r="B7846">
            <v>516341</v>
          </cell>
        </row>
        <row r="7847">
          <cell r="A7847" t="str">
            <v>红强攻42级</v>
          </cell>
          <cell r="B7847">
            <v>516342</v>
          </cell>
        </row>
        <row r="7848">
          <cell r="A7848" t="str">
            <v>红强攻43级</v>
          </cell>
          <cell r="B7848">
            <v>516343</v>
          </cell>
        </row>
        <row r="7849">
          <cell r="A7849" t="str">
            <v>红强攻44级</v>
          </cell>
          <cell r="B7849">
            <v>516344</v>
          </cell>
        </row>
        <row r="7850">
          <cell r="A7850" t="str">
            <v>红强攻45级</v>
          </cell>
          <cell r="B7850">
            <v>516345</v>
          </cell>
        </row>
        <row r="7851">
          <cell r="A7851" t="str">
            <v>红强攻46级</v>
          </cell>
          <cell r="B7851">
            <v>516346</v>
          </cell>
        </row>
        <row r="7852">
          <cell r="A7852" t="str">
            <v>红强攻47级</v>
          </cell>
          <cell r="B7852">
            <v>516347</v>
          </cell>
        </row>
        <row r="7853">
          <cell r="A7853" t="str">
            <v>红强攻48级</v>
          </cell>
          <cell r="B7853">
            <v>516348</v>
          </cell>
        </row>
        <row r="7854">
          <cell r="A7854" t="str">
            <v>红强攻49级</v>
          </cell>
          <cell r="B7854">
            <v>516349</v>
          </cell>
        </row>
        <row r="7855">
          <cell r="A7855" t="str">
            <v>红强攻50级</v>
          </cell>
          <cell r="B7855">
            <v>516350</v>
          </cell>
        </row>
        <row r="7856">
          <cell r="A7856" t="str">
            <v>红强攻51级</v>
          </cell>
          <cell r="B7856">
            <v>516351</v>
          </cell>
        </row>
        <row r="7857">
          <cell r="A7857" t="str">
            <v>红强攻52级</v>
          </cell>
          <cell r="B7857">
            <v>516352</v>
          </cell>
        </row>
        <row r="7858">
          <cell r="A7858" t="str">
            <v>红强攻53级</v>
          </cell>
          <cell r="B7858">
            <v>516353</v>
          </cell>
        </row>
        <row r="7859">
          <cell r="A7859" t="str">
            <v>红强攻54级</v>
          </cell>
          <cell r="B7859">
            <v>516354</v>
          </cell>
        </row>
        <row r="7860">
          <cell r="A7860" t="str">
            <v>红强攻55级</v>
          </cell>
          <cell r="B7860">
            <v>516355</v>
          </cell>
        </row>
        <row r="7861">
          <cell r="A7861" t="str">
            <v>红强攻56级</v>
          </cell>
          <cell r="B7861">
            <v>516356</v>
          </cell>
        </row>
        <row r="7862">
          <cell r="A7862" t="str">
            <v>红强攻57级</v>
          </cell>
          <cell r="B7862">
            <v>516357</v>
          </cell>
        </row>
        <row r="7863">
          <cell r="A7863" t="str">
            <v>红强攻58级</v>
          </cell>
          <cell r="B7863">
            <v>516358</v>
          </cell>
        </row>
        <row r="7864">
          <cell r="A7864" t="str">
            <v>红强攻59级</v>
          </cell>
          <cell r="B7864">
            <v>516359</v>
          </cell>
        </row>
        <row r="7865">
          <cell r="A7865" t="str">
            <v>红强攻60级</v>
          </cell>
          <cell r="B7865">
            <v>516360</v>
          </cell>
        </row>
        <row r="7866">
          <cell r="A7866" t="str">
            <v>红强攻61级</v>
          </cell>
          <cell r="B7866">
            <v>516361</v>
          </cell>
        </row>
        <row r="7867">
          <cell r="A7867" t="str">
            <v>红强攻62级</v>
          </cell>
          <cell r="B7867">
            <v>516362</v>
          </cell>
        </row>
        <row r="7868">
          <cell r="A7868" t="str">
            <v>红强攻63级</v>
          </cell>
          <cell r="B7868">
            <v>516363</v>
          </cell>
        </row>
        <row r="7869">
          <cell r="A7869" t="str">
            <v>红强攻64级</v>
          </cell>
          <cell r="B7869">
            <v>516364</v>
          </cell>
        </row>
        <row r="7870">
          <cell r="A7870" t="str">
            <v>红强攻65级</v>
          </cell>
          <cell r="B7870">
            <v>516365</v>
          </cell>
        </row>
        <row r="7871">
          <cell r="A7871" t="str">
            <v>红强攻66级</v>
          </cell>
          <cell r="B7871">
            <v>516366</v>
          </cell>
        </row>
        <row r="7872">
          <cell r="A7872" t="str">
            <v>红强攻67级</v>
          </cell>
          <cell r="B7872">
            <v>516367</v>
          </cell>
        </row>
        <row r="7873">
          <cell r="A7873" t="str">
            <v>红强攻68级</v>
          </cell>
          <cell r="B7873">
            <v>516368</v>
          </cell>
        </row>
        <row r="7874">
          <cell r="A7874" t="str">
            <v>红强攻69级</v>
          </cell>
          <cell r="B7874">
            <v>516369</v>
          </cell>
        </row>
        <row r="7875">
          <cell r="A7875" t="str">
            <v>红强攻70级</v>
          </cell>
          <cell r="B7875">
            <v>516370</v>
          </cell>
        </row>
        <row r="7876">
          <cell r="A7876" t="str">
            <v>红强攻71级</v>
          </cell>
          <cell r="B7876">
            <v>516371</v>
          </cell>
        </row>
        <row r="7877">
          <cell r="A7877" t="str">
            <v>红强攻72级</v>
          </cell>
          <cell r="B7877">
            <v>516372</v>
          </cell>
        </row>
        <row r="7878">
          <cell r="A7878" t="str">
            <v>红强攻73级</v>
          </cell>
          <cell r="B7878">
            <v>516373</v>
          </cell>
        </row>
        <row r="7879">
          <cell r="A7879" t="str">
            <v>红强攻74级</v>
          </cell>
          <cell r="B7879">
            <v>516374</v>
          </cell>
        </row>
        <row r="7880">
          <cell r="A7880" t="str">
            <v>红强攻75级</v>
          </cell>
          <cell r="B7880">
            <v>516375</v>
          </cell>
        </row>
        <row r="7881">
          <cell r="A7881" t="str">
            <v>红强攻76级</v>
          </cell>
          <cell r="B7881">
            <v>516376</v>
          </cell>
        </row>
        <row r="7882">
          <cell r="A7882" t="str">
            <v>红强攻77级</v>
          </cell>
          <cell r="B7882">
            <v>516377</v>
          </cell>
        </row>
        <row r="7883">
          <cell r="A7883" t="str">
            <v>红强攻78级</v>
          </cell>
          <cell r="B7883">
            <v>516378</v>
          </cell>
        </row>
        <row r="7884">
          <cell r="A7884" t="str">
            <v>红强攻79级</v>
          </cell>
          <cell r="B7884">
            <v>516379</v>
          </cell>
        </row>
        <row r="7885">
          <cell r="A7885" t="str">
            <v>红强攻80级</v>
          </cell>
          <cell r="B7885">
            <v>516380</v>
          </cell>
        </row>
        <row r="7886">
          <cell r="A7886" t="str">
            <v>金强攻1级</v>
          </cell>
          <cell r="B7886">
            <v>516401</v>
          </cell>
        </row>
        <row r="7887">
          <cell r="A7887" t="str">
            <v>金强攻2级</v>
          </cell>
          <cell r="B7887">
            <v>516402</v>
          </cell>
        </row>
        <row r="7888">
          <cell r="A7888" t="str">
            <v>金强攻3级</v>
          </cell>
          <cell r="B7888">
            <v>516403</v>
          </cell>
        </row>
        <row r="7889">
          <cell r="A7889" t="str">
            <v>金强攻4级</v>
          </cell>
          <cell r="B7889">
            <v>516404</v>
          </cell>
        </row>
        <row r="7890">
          <cell r="A7890" t="str">
            <v>金强攻5级</v>
          </cell>
          <cell r="B7890">
            <v>516405</v>
          </cell>
        </row>
        <row r="7891">
          <cell r="A7891" t="str">
            <v>金强攻6级</v>
          </cell>
          <cell r="B7891">
            <v>516406</v>
          </cell>
        </row>
        <row r="7892">
          <cell r="A7892" t="str">
            <v>金强攻7级</v>
          </cell>
          <cell r="B7892">
            <v>516407</v>
          </cell>
        </row>
        <row r="7893">
          <cell r="A7893" t="str">
            <v>金强攻8级</v>
          </cell>
          <cell r="B7893">
            <v>516408</v>
          </cell>
        </row>
        <row r="7894">
          <cell r="A7894" t="str">
            <v>金强攻9级</v>
          </cell>
          <cell r="B7894">
            <v>516409</v>
          </cell>
        </row>
        <row r="7895">
          <cell r="A7895" t="str">
            <v>金强攻10级</v>
          </cell>
          <cell r="B7895">
            <v>516410</v>
          </cell>
        </row>
        <row r="7896">
          <cell r="A7896" t="str">
            <v>金强攻11级</v>
          </cell>
          <cell r="B7896">
            <v>516411</v>
          </cell>
        </row>
        <row r="7897">
          <cell r="A7897" t="str">
            <v>金强攻12级</v>
          </cell>
          <cell r="B7897">
            <v>516412</v>
          </cell>
        </row>
        <row r="7898">
          <cell r="A7898" t="str">
            <v>金强攻13级</v>
          </cell>
          <cell r="B7898">
            <v>516413</v>
          </cell>
        </row>
        <row r="7899">
          <cell r="A7899" t="str">
            <v>金强攻14级</v>
          </cell>
          <cell r="B7899">
            <v>516414</v>
          </cell>
        </row>
        <row r="7900">
          <cell r="A7900" t="str">
            <v>金强攻15级</v>
          </cell>
          <cell r="B7900">
            <v>516415</v>
          </cell>
        </row>
        <row r="7901">
          <cell r="A7901" t="str">
            <v>金强攻16级</v>
          </cell>
          <cell r="B7901">
            <v>516416</v>
          </cell>
        </row>
        <row r="7902">
          <cell r="A7902" t="str">
            <v>金强攻17级</v>
          </cell>
          <cell r="B7902">
            <v>516417</v>
          </cell>
        </row>
        <row r="7903">
          <cell r="A7903" t="str">
            <v>金强攻18级</v>
          </cell>
          <cell r="B7903">
            <v>516418</v>
          </cell>
        </row>
        <row r="7904">
          <cell r="A7904" t="str">
            <v>金强攻19级</v>
          </cell>
          <cell r="B7904">
            <v>516419</v>
          </cell>
        </row>
        <row r="7905">
          <cell r="A7905" t="str">
            <v>金强攻20级</v>
          </cell>
          <cell r="B7905">
            <v>516420</v>
          </cell>
        </row>
        <row r="7906">
          <cell r="A7906" t="str">
            <v>金强攻21级</v>
          </cell>
          <cell r="B7906">
            <v>516421</v>
          </cell>
        </row>
        <row r="7907">
          <cell r="A7907" t="str">
            <v>金强攻22级</v>
          </cell>
          <cell r="B7907">
            <v>516422</v>
          </cell>
        </row>
        <row r="7908">
          <cell r="A7908" t="str">
            <v>金强攻23级</v>
          </cell>
          <cell r="B7908">
            <v>516423</v>
          </cell>
        </row>
        <row r="7909">
          <cell r="A7909" t="str">
            <v>金强攻24级</v>
          </cell>
          <cell r="B7909">
            <v>516424</v>
          </cell>
        </row>
        <row r="7910">
          <cell r="A7910" t="str">
            <v>金强攻25级</v>
          </cell>
          <cell r="B7910">
            <v>516425</v>
          </cell>
        </row>
        <row r="7911">
          <cell r="A7911" t="str">
            <v>金强攻26级</v>
          </cell>
          <cell r="B7911">
            <v>516426</v>
          </cell>
        </row>
        <row r="7912">
          <cell r="A7912" t="str">
            <v>金强攻27级</v>
          </cell>
          <cell r="B7912">
            <v>516427</v>
          </cell>
        </row>
        <row r="7913">
          <cell r="A7913" t="str">
            <v>金强攻28级</v>
          </cell>
          <cell r="B7913">
            <v>516428</v>
          </cell>
        </row>
        <row r="7914">
          <cell r="A7914" t="str">
            <v>金强攻29级</v>
          </cell>
          <cell r="B7914">
            <v>516429</v>
          </cell>
        </row>
        <row r="7915">
          <cell r="A7915" t="str">
            <v>金强攻30级</v>
          </cell>
          <cell r="B7915">
            <v>516430</v>
          </cell>
        </row>
        <row r="7916">
          <cell r="A7916" t="str">
            <v>金强攻31级</v>
          </cell>
          <cell r="B7916">
            <v>516431</v>
          </cell>
        </row>
        <row r="7917">
          <cell r="A7917" t="str">
            <v>金强攻32级</v>
          </cell>
          <cell r="B7917">
            <v>516432</v>
          </cell>
        </row>
        <row r="7918">
          <cell r="A7918" t="str">
            <v>金强攻33级</v>
          </cell>
          <cell r="B7918">
            <v>516433</v>
          </cell>
        </row>
        <row r="7919">
          <cell r="A7919" t="str">
            <v>金强攻34级</v>
          </cell>
          <cell r="B7919">
            <v>516434</v>
          </cell>
        </row>
        <row r="7920">
          <cell r="A7920" t="str">
            <v>金强攻35级</v>
          </cell>
          <cell r="B7920">
            <v>516435</v>
          </cell>
        </row>
        <row r="7921">
          <cell r="A7921" t="str">
            <v>金强攻36级</v>
          </cell>
          <cell r="B7921">
            <v>516436</v>
          </cell>
        </row>
        <row r="7922">
          <cell r="A7922" t="str">
            <v>金强攻37级</v>
          </cell>
          <cell r="B7922">
            <v>516437</v>
          </cell>
        </row>
        <row r="7923">
          <cell r="A7923" t="str">
            <v>金强攻38级</v>
          </cell>
          <cell r="B7923">
            <v>516438</v>
          </cell>
        </row>
        <row r="7924">
          <cell r="A7924" t="str">
            <v>金强攻39级</v>
          </cell>
          <cell r="B7924">
            <v>516439</v>
          </cell>
        </row>
        <row r="7925">
          <cell r="A7925" t="str">
            <v>金强攻40级</v>
          </cell>
          <cell r="B7925">
            <v>516440</v>
          </cell>
        </row>
        <row r="7926">
          <cell r="A7926" t="str">
            <v>金强攻41级</v>
          </cell>
          <cell r="B7926">
            <v>516441</v>
          </cell>
        </row>
        <row r="7927">
          <cell r="A7927" t="str">
            <v>金强攻42级</v>
          </cell>
          <cell r="B7927">
            <v>516442</v>
          </cell>
        </row>
        <row r="7928">
          <cell r="A7928" t="str">
            <v>金强攻43级</v>
          </cell>
          <cell r="B7928">
            <v>516443</v>
          </cell>
        </row>
        <row r="7929">
          <cell r="A7929" t="str">
            <v>金强攻44级</v>
          </cell>
          <cell r="B7929">
            <v>516444</v>
          </cell>
        </row>
        <row r="7930">
          <cell r="A7930" t="str">
            <v>金强攻45级</v>
          </cell>
          <cell r="B7930">
            <v>516445</v>
          </cell>
        </row>
        <row r="7931">
          <cell r="A7931" t="str">
            <v>金强攻46级</v>
          </cell>
          <cell r="B7931">
            <v>516446</v>
          </cell>
        </row>
        <row r="7932">
          <cell r="A7932" t="str">
            <v>金强攻47级</v>
          </cell>
          <cell r="B7932">
            <v>516447</v>
          </cell>
        </row>
        <row r="7933">
          <cell r="A7933" t="str">
            <v>金强攻48级</v>
          </cell>
          <cell r="B7933">
            <v>516448</v>
          </cell>
        </row>
        <row r="7934">
          <cell r="A7934" t="str">
            <v>金强攻49级</v>
          </cell>
          <cell r="B7934">
            <v>516449</v>
          </cell>
        </row>
        <row r="7935">
          <cell r="A7935" t="str">
            <v>金强攻50级</v>
          </cell>
          <cell r="B7935">
            <v>516450</v>
          </cell>
        </row>
        <row r="7936">
          <cell r="A7936" t="str">
            <v>金强攻51级</v>
          </cell>
          <cell r="B7936">
            <v>516451</v>
          </cell>
        </row>
        <row r="7937">
          <cell r="A7937" t="str">
            <v>金强攻52级</v>
          </cell>
          <cell r="B7937">
            <v>516452</v>
          </cell>
        </row>
        <row r="7938">
          <cell r="A7938" t="str">
            <v>金强攻53级</v>
          </cell>
          <cell r="B7938">
            <v>516453</v>
          </cell>
        </row>
        <row r="7939">
          <cell r="A7939" t="str">
            <v>金强攻54级</v>
          </cell>
          <cell r="B7939">
            <v>516454</v>
          </cell>
        </row>
        <row r="7940">
          <cell r="A7940" t="str">
            <v>金强攻55级</v>
          </cell>
          <cell r="B7940">
            <v>516455</v>
          </cell>
        </row>
        <row r="7941">
          <cell r="A7941" t="str">
            <v>金强攻56级</v>
          </cell>
          <cell r="B7941">
            <v>516456</v>
          </cell>
        </row>
        <row r="7942">
          <cell r="A7942" t="str">
            <v>金强攻57级</v>
          </cell>
          <cell r="B7942">
            <v>516457</v>
          </cell>
        </row>
        <row r="7943">
          <cell r="A7943" t="str">
            <v>金强攻58级</v>
          </cell>
          <cell r="B7943">
            <v>516458</v>
          </cell>
        </row>
        <row r="7944">
          <cell r="A7944" t="str">
            <v>金强攻59级</v>
          </cell>
          <cell r="B7944">
            <v>516459</v>
          </cell>
        </row>
        <row r="7945">
          <cell r="A7945" t="str">
            <v>金强攻60级</v>
          </cell>
          <cell r="B7945">
            <v>516460</v>
          </cell>
        </row>
        <row r="7946">
          <cell r="A7946" t="str">
            <v>金强攻61级</v>
          </cell>
          <cell r="B7946">
            <v>516461</v>
          </cell>
        </row>
        <row r="7947">
          <cell r="A7947" t="str">
            <v>金强攻62级</v>
          </cell>
          <cell r="B7947">
            <v>516462</v>
          </cell>
        </row>
        <row r="7948">
          <cell r="A7948" t="str">
            <v>金强攻63级</v>
          </cell>
          <cell r="B7948">
            <v>516463</v>
          </cell>
        </row>
        <row r="7949">
          <cell r="A7949" t="str">
            <v>金强攻64级</v>
          </cell>
          <cell r="B7949">
            <v>516464</v>
          </cell>
        </row>
        <row r="7950">
          <cell r="A7950" t="str">
            <v>金强攻65级</v>
          </cell>
          <cell r="B7950">
            <v>516465</v>
          </cell>
        </row>
        <row r="7951">
          <cell r="A7951" t="str">
            <v>金强攻66级</v>
          </cell>
          <cell r="B7951">
            <v>516466</v>
          </cell>
        </row>
        <row r="7952">
          <cell r="A7952" t="str">
            <v>金强攻67级</v>
          </cell>
          <cell r="B7952">
            <v>516467</v>
          </cell>
        </row>
        <row r="7953">
          <cell r="A7953" t="str">
            <v>金强攻68级</v>
          </cell>
          <cell r="B7953">
            <v>516468</v>
          </cell>
        </row>
        <row r="7954">
          <cell r="A7954" t="str">
            <v>金强攻69级</v>
          </cell>
          <cell r="B7954">
            <v>516469</v>
          </cell>
        </row>
        <row r="7955">
          <cell r="A7955" t="str">
            <v>金强攻70级</v>
          </cell>
          <cell r="B7955">
            <v>516470</v>
          </cell>
        </row>
        <row r="7956">
          <cell r="A7956" t="str">
            <v>金强攻71级</v>
          </cell>
          <cell r="B7956">
            <v>516471</v>
          </cell>
        </row>
        <row r="7957">
          <cell r="A7957" t="str">
            <v>金强攻72级</v>
          </cell>
          <cell r="B7957">
            <v>516472</v>
          </cell>
        </row>
        <row r="7958">
          <cell r="A7958" t="str">
            <v>金强攻73级</v>
          </cell>
          <cell r="B7958">
            <v>516473</v>
          </cell>
        </row>
        <row r="7959">
          <cell r="A7959" t="str">
            <v>金强攻74级</v>
          </cell>
          <cell r="B7959">
            <v>516474</v>
          </cell>
        </row>
        <row r="7960">
          <cell r="A7960" t="str">
            <v>金强攻75级</v>
          </cell>
          <cell r="B7960">
            <v>516475</v>
          </cell>
        </row>
        <row r="7961">
          <cell r="A7961" t="str">
            <v>金强攻76级</v>
          </cell>
          <cell r="B7961">
            <v>516476</v>
          </cell>
        </row>
        <row r="7962">
          <cell r="A7962" t="str">
            <v>金强攻77级</v>
          </cell>
          <cell r="B7962">
            <v>516477</v>
          </cell>
        </row>
        <row r="7963">
          <cell r="A7963" t="str">
            <v>金强攻78级</v>
          </cell>
          <cell r="B7963">
            <v>516478</v>
          </cell>
        </row>
        <row r="7964">
          <cell r="A7964" t="str">
            <v>金强攻79级</v>
          </cell>
          <cell r="B7964">
            <v>516479</v>
          </cell>
        </row>
        <row r="7965">
          <cell r="A7965" t="str">
            <v>金强攻80级</v>
          </cell>
          <cell r="B7965">
            <v>516480</v>
          </cell>
        </row>
        <row r="7966">
          <cell r="A7966" t="str">
            <v>金强攻81级</v>
          </cell>
          <cell r="B7966">
            <v>516481</v>
          </cell>
        </row>
        <row r="7967">
          <cell r="A7967" t="str">
            <v>金强攻82级</v>
          </cell>
          <cell r="B7967">
            <v>516482</v>
          </cell>
        </row>
        <row r="7968">
          <cell r="A7968" t="str">
            <v>金强攻83级</v>
          </cell>
          <cell r="B7968">
            <v>516483</v>
          </cell>
        </row>
        <row r="7969">
          <cell r="A7969" t="str">
            <v>金强攻84级</v>
          </cell>
          <cell r="B7969">
            <v>516484</v>
          </cell>
        </row>
        <row r="7970">
          <cell r="A7970" t="str">
            <v>金强攻85级</v>
          </cell>
          <cell r="B7970">
            <v>516485</v>
          </cell>
        </row>
        <row r="7971">
          <cell r="A7971" t="str">
            <v>金强攻86级</v>
          </cell>
          <cell r="B7971">
            <v>516486</v>
          </cell>
        </row>
        <row r="7972">
          <cell r="A7972" t="str">
            <v>金强攻87级</v>
          </cell>
          <cell r="B7972">
            <v>516487</v>
          </cell>
        </row>
        <row r="7973">
          <cell r="A7973" t="str">
            <v>金强攻88级</v>
          </cell>
          <cell r="B7973">
            <v>516488</v>
          </cell>
        </row>
        <row r="7974">
          <cell r="A7974" t="str">
            <v>金强攻89级</v>
          </cell>
          <cell r="B7974">
            <v>516489</v>
          </cell>
        </row>
        <row r="7975">
          <cell r="A7975" t="str">
            <v>金强攻90级</v>
          </cell>
          <cell r="B7975">
            <v>516490</v>
          </cell>
        </row>
        <row r="7976">
          <cell r="A7976" t="str">
            <v>金强攻91级</v>
          </cell>
          <cell r="B7976">
            <v>516491</v>
          </cell>
        </row>
        <row r="7977">
          <cell r="A7977" t="str">
            <v>金强攻92级</v>
          </cell>
          <cell r="B7977">
            <v>516492</v>
          </cell>
        </row>
        <row r="7978">
          <cell r="A7978" t="str">
            <v>金强攻93级</v>
          </cell>
          <cell r="B7978">
            <v>516493</v>
          </cell>
        </row>
        <row r="7979">
          <cell r="A7979" t="str">
            <v>金强攻94级</v>
          </cell>
          <cell r="B7979">
            <v>516494</v>
          </cell>
        </row>
        <row r="7980">
          <cell r="A7980" t="str">
            <v>金强攻95级</v>
          </cell>
          <cell r="B7980">
            <v>516495</v>
          </cell>
        </row>
        <row r="7981">
          <cell r="A7981" t="str">
            <v>金强攻96级</v>
          </cell>
          <cell r="B7981">
            <v>516496</v>
          </cell>
        </row>
        <row r="7982">
          <cell r="A7982" t="str">
            <v>金强攻97级</v>
          </cell>
          <cell r="B7982">
            <v>516497</v>
          </cell>
        </row>
        <row r="7983">
          <cell r="A7983" t="str">
            <v>金强攻98级</v>
          </cell>
          <cell r="B7983">
            <v>516498</v>
          </cell>
        </row>
        <row r="7984">
          <cell r="A7984" t="str">
            <v>金强攻99级</v>
          </cell>
          <cell r="B7984">
            <v>516499</v>
          </cell>
        </row>
        <row r="7985">
          <cell r="A7985" t="str">
            <v>绿毁灭1级</v>
          </cell>
          <cell r="B7985">
            <v>517001</v>
          </cell>
        </row>
        <row r="7986">
          <cell r="A7986" t="str">
            <v>绿毁灭2级</v>
          </cell>
          <cell r="B7986">
            <v>517002</v>
          </cell>
        </row>
        <row r="7987">
          <cell r="A7987" t="str">
            <v>绿毁灭3级</v>
          </cell>
          <cell r="B7987">
            <v>517003</v>
          </cell>
        </row>
        <row r="7988">
          <cell r="A7988" t="str">
            <v>绿毁灭4级</v>
          </cell>
          <cell r="B7988">
            <v>517004</v>
          </cell>
        </row>
        <row r="7989">
          <cell r="A7989" t="str">
            <v>绿毁灭5级</v>
          </cell>
          <cell r="B7989">
            <v>517005</v>
          </cell>
        </row>
        <row r="7990">
          <cell r="A7990" t="str">
            <v>绿毁灭6级</v>
          </cell>
          <cell r="B7990">
            <v>517006</v>
          </cell>
        </row>
        <row r="7991">
          <cell r="A7991" t="str">
            <v>绿毁灭7级</v>
          </cell>
          <cell r="B7991">
            <v>517007</v>
          </cell>
        </row>
        <row r="7992">
          <cell r="A7992" t="str">
            <v>绿毁灭8级</v>
          </cell>
          <cell r="B7992">
            <v>517008</v>
          </cell>
        </row>
        <row r="7993">
          <cell r="A7993" t="str">
            <v>绿毁灭9级</v>
          </cell>
          <cell r="B7993">
            <v>517009</v>
          </cell>
        </row>
        <row r="7994">
          <cell r="A7994" t="str">
            <v>绿毁灭10级</v>
          </cell>
          <cell r="B7994">
            <v>517010</v>
          </cell>
        </row>
        <row r="7995">
          <cell r="A7995" t="str">
            <v>绿毁灭11级</v>
          </cell>
          <cell r="B7995">
            <v>517011</v>
          </cell>
        </row>
        <row r="7996">
          <cell r="A7996" t="str">
            <v>绿毁灭12级</v>
          </cell>
          <cell r="B7996">
            <v>517012</v>
          </cell>
        </row>
        <row r="7997">
          <cell r="A7997" t="str">
            <v>绿毁灭13级</v>
          </cell>
          <cell r="B7997">
            <v>517013</v>
          </cell>
        </row>
        <row r="7998">
          <cell r="A7998" t="str">
            <v>绿毁灭14级</v>
          </cell>
          <cell r="B7998">
            <v>517014</v>
          </cell>
        </row>
        <row r="7999">
          <cell r="A7999" t="str">
            <v>绿毁灭15级</v>
          </cell>
          <cell r="B7999">
            <v>517015</v>
          </cell>
        </row>
        <row r="8000">
          <cell r="A8000" t="str">
            <v>绿毁灭16级</v>
          </cell>
          <cell r="B8000">
            <v>517016</v>
          </cell>
        </row>
        <row r="8001">
          <cell r="A8001" t="str">
            <v>绿毁灭17级</v>
          </cell>
          <cell r="B8001">
            <v>517017</v>
          </cell>
        </row>
        <row r="8002">
          <cell r="A8002" t="str">
            <v>绿毁灭18级</v>
          </cell>
          <cell r="B8002">
            <v>517018</v>
          </cell>
        </row>
        <row r="8003">
          <cell r="A8003" t="str">
            <v>绿毁灭19级</v>
          </cell>
          <cell r="B8003">
            <v>517019</v>
          </cell>
        </row>
        <row r="8004">
          <cell r="A8004" t="str">
            <v>绿毁灭20级</v>
          </cell>
          <cell r="B8004">
            <v>517020</v>
          </cell>
        </row>
        <row r="8005">
          <cell r="A8005" t="str">
            <v>紫毁灭1级</v>
          </cell>
          <cell r="B8005">
            <v>517101</v>
          </cell>
        </row>
        <row r="8006">
          <cell r="A8006" t="str">
            <v>紫毁灭2级</v>
          </cell>
          <cell r="B8006">
            <v>517102</v>
          </cell>
        </row>
        <row r="8007">
          <cell r="A8007" t="str">
            <v>紫毁灭3级</v>
          </cell>
          <cell r="B8007">
            <v>517103</v>
          </cell>
        </row>
        <row r="8008">
          <cell r="A8008" t="str">
            <v>紫毁灭4级</v>
          </cell>
          <cell r="B8008">
            <v>517104</v>
          </cell>
        </row>
        <row r="8009">
          <cell r="A8009" t="str">
            <v>紫毁灭5级</v>
          </cell>
          <cell r="B8009">
            <v>517105</v>
          </cell>
        </row>
        <row r="8010">
          <cell r="A8010" t="str">
            <v>紫毁灭6级</v>
          </cell>
          <cell r="B8010">
            <v>517106</v>
          </cell>
        </row>
        <row r="8011">
          <cell r="A8011" t="str">
            <v>紫毁灭7级</v>
          </cell>
          <cell r="B8011">
            <v>517107</v>
          </cell>
        </row>
        <row r="8012">
          <cell r="A8012" t="str">
            <v>紫毁灭8级</v>
          </cell>
          <cell r="B8012">
            <v>517108</v>
          </cell>
        </row>
        <row r="8013">
          <cell r="A8013" t="str">
            <v>紫毁灭9级</v>
          </cell>
          <cell r="B8013">
            <v>517109</v>
          </cell>
        </row>
        <row r="8014">
          <cell r="A8014" t="str">
            <v>紫毁灭10级</v>
          </cell>
          <cell r="B8014">
            <v>517110</v>
          </cell>
        </row>
        <row r="8015">
          <cell r="A8015" t="str">
            <v>紫毁灭11级</v>
          </cell>
          <cell r="B8015">
            <v>517111</v>
          </cell>
        </row>
        <row r="8016">
          <cell r="A8016" t="str">
            <v>紫毁灭12级</v>
          </cell>
          <cell r="B8016">
            <v>517112</v>
          </cell>
        </row>
        <row r="8017">
          <cell r="A8017" t="str">
            <v>紫毁灭13级</v>
          </cell>
          <cell r="B8017">
            <v>517113</v>
          </cell>
        </row>
        <row r="8018">
          <cell r="A8018" t="str">
            <v>紫毁灭14级</v>
          </cell>
          <cell r="B8018">
            <v>517114</v>
          </cell>
        </row>
        <row r="8019">
          <cell r="A8019" t="str">
            <v>紫毁灭15级</v>
          </cell>
          <cell r="B8019">
            <v>517115</v>
          </cell>
        </row>
        <row r="8020">
          <cell r="A8020" t="str">
            <v>紫毁灭16级</v>
          </cell>
          <cell r="B8020">
            <v>517116</v>
          </cell>
        </row>
        <row r="8021">
          <cell r="A8021" t="str">
            <v>紫毁灭17级</v>
          </cell>
          <cell r="B8021">
            <v>517117</v>
          </cell>
        </row>
        <row r="8022">
          <cell r="A8022" t="str">
            <v>紫毁灭18级</v>
          </cell>
          <cell r="B8022">
            <v>517118</v>
          </cell>
        </row>
        <row r="8023">
          <cell r="A8023" t="str">
            <v>紫毁灭19级</v>
          </cell>
          <cell r="B8023">
            <v>517119</v>
          </cell>
        </row>
        <row r="8024">
          <cell r="A8024" t="str">
            <v>紫毁灭20级</v>
          </cell>
          <cell r="B8024">
            <v>517120</v>
          </cell>
        </row>
        <row r="8025">
          <cell r="A8025" t="str">
            <v>紫毁灭21级</v>
          </cell>
          <cell r="B8025">
            <v>517121</v>
          </cell>
        </row>
        <row r="8026">
          <cell r="A8026" t="str">
            <v>紫毁灭22级</v>
          </cell>
          <cell r="B8026">
            <v>517122</v>
          </cell>
        </row>
        <row r="8027">
          <cell r="A8027" t="str">
            <v>紫毁灭23级</v>
          </cell>
          <cell r="B8027">
            <v>517123</v>
          </cell>
        </row>
        <row r="8028">
          <cell r="A8028" t="str">
            <v>紫毁灭24级</v>
          </cell>
          <cell r="B8028">
            <v>517124</v>
          </cell>
        </row>
        <row r="8029">
          <cell r="A8029" t="str">
            <v>紫毁灭25级</v>
          </cell>
          <cell r="B8029">
            <v>517125</v>
          </cell>
        </row>
        <row r="8030">
          <cell r="A8030" t="str">
            <v>紫毁灭26级</v>
          </cell>
          <cell r="B8030">
            <v>517126</v>
          </cell>
        </row>
        <row r="8031">
          <cell r="A8031" t="str">
            <v>紫毁灭27级</v>
          </cell>
          <cell r="B8031">
            <v>517127</v>
          </cell>
        </row>
        <row r="8032">
          <cell r="A8032" t="str">
            <v>紫毁灭28级</v>
          </cell>
          <cell r="B8032">
            <v>517128</v>
          </cell>
        </row>
        <row r="8033">
          <cell r="A8033" t="str">
            <v>紫毁灭29级</v>
          </cell>
          <cell r="B8033">
            <v>517129</v>
          </cell>
        </row>
        <row r="8034">
          <cell r="A8034" t="str">
            <v>紫毁灭30级</v>
          </cell>
          <cell r="B8034">
            <v>517130</v>
          </cell>
        </row>
        <row r="8035">
          <cell r="A8035" t="str">
            <v>紫毁灭31级</v>
          </cell>
          <cell r="B8035">
            <v>517131</v>
          </cell>
        </row>
        <row r="8036">
          <cell r="A8036" t="str">
            <v>紫毁灭32级</v>
          </cell>
          <cell r="B8036">
            <v>517132</v>
          </cell>
        </row>
        <row r="8037">
          <cell r="A8037" t="str">
            <v>紫毁灭33级</v>
          </cell>
          <cell r="B8037">
            <v>517133</v>
          </cell>
        </row>
        <row r="8038">
          <cell r="A8038" t="str">
            <v>紫毁灭34级</v>
          </cell>
          <cell r="B8038">
            <v>517134</v>
          </cell>
        </row>
        <row r="8039">
          <cell r="A8039" t="str">
            <v>紫毁灭35级</v>
          </cell>
          <cell r="B8039">
            <v>517135</v>
          </cell>
        </row>
        <row r="8040">
          <cell r="A8040" t="str">
            <v>紫毁灭36级</v>
          </cell>
          <cell r="B8040">
            <v>517136</v>
          </cell>
        </row>
        <row r="8041">
          <cell r="A8041" t="str">
            <v>紫毁灭37级</v>
          </cell>
          <cell r="B8041">
            <v>517137</v>
          </cell>
        </row>
        <row r="8042">
          <cell r="A8042" t="str">
            <v>紫毁灭38级</v>
          </cell>
          <cell r="B8042">
            <v>517138</v>
          </cell>
        </row>
        <row r="8043">
          <cell r="A8043" t="str">
            <v>紫毁灭39级</v>
          </cell>
          <cell r="B8043">
            <v>517139</v>
          </cell>
        </row>
        <row r="8044">
          <cell r="A8044" t="str">
            <v>紫毁灭40级</v>
          </cell>
          <cell r="B8044">
            <v>517140</v>
          </cell>
        </row>
        <row r="8045">
          <cell r="A8045" t="str">
            <v>橙毁灭1级</v>
          </cell>
          <cell r="B8045">
            <v>517201</v>
          </cell>
        </row>
        <row r="8046">
          <cell r="A8046" t="str">
            <v>橙毁灭2级</v>
          </cell>
          <cell r="B8046">
            <v>517202</v>
          </cell>
        </row>
        <row r="8047">
          <cell r="A8047" t="str">
            <v>橙毁灭3级</v>
          </cell>
          <cell r="B8047">
            <v>517203</v>
          </cell>
        </row>
        <row r="8048">
          <cell r="A8048" t="str">
            <v>橙毁灭4级</v>
          </cell>
          <cell r="B8048">
            <v>517204</v>
          </cell>
        </row>
        <row r="8049">
          <cell r="A8049" t="str">
            <v>橙毁灭5级</v>
          </cell>
          <cell r="B8049">
            <v>517205</v>
          </cell>
        </row>
        <row r="8050">
          <cell r="A8050" t="str">
            <v>橙毁灭6级</v>
          </cell>
          <cell r="B8050">
            <v>517206</v>
          </cell>
        </row>
        <row r="8051">
          <cell r="A8051" t="str">
            <v>橙毁灭7级</v>
          </cell>
          <cell r="B8051">
            <v>517207</v>
          </cell>
        </row>
        <row r="8052">
          <cell r="A8052" t="str">
            <v>橙毁灭8级</v>
          </cell>
          <cell r="B8052">
            <v>517208</v>
          </cell>
        </row>
        <row r="8053">
          <cell r="A8053" t="str">
            <v>橙毁灭9级</v>
          </cell>
          <cell r="B8053">
            <v>517209</v>
          </cell>
        </row>
        <row r="8054">
          <cell r="A8054" t="str">
            <v>橙毁灭10级</v>
          </cell>
          <cell r="B8054">
            <v>517210</v>
          </cell>
        </row>
        <row r="8055">
          <cell r="A8055" t="str">
            <v>橙毁灭11级</v>
          </cell>
          <cell r="B8055">
            <v>517211</v>
          </cell>
        </row>
        <row r="8056">
          <cell r="A8056" t="str">
            <v>橙毁灭12级</v>
          </cell>
          <cell r="B8056">
            <v>517212</v>
          </cell>
        </row>
        <row r="8057">
          <cell r="A8057" t="str">
            <v>橙毁灭13级</v>
          </cell>
          <cell r="B8057">
            <v>517213</v>
          </cell>
        </row>
        <row r="8058">
          <cell r="A8058" t="str">
            <v>橙毁灭14级</v>
          </cell>
          <cell r="B8058">
            <v>517214</v>
          </cell>
        </row>
        <row r="8059">
          <cell r="A8059" t="str">
            <v>橙毁灭15级</v>
          </cell>
          <cell r="B8059">
            <v>517215</v>
          </cell>
        </row>
        <row r="8060">
          <cell r="A8060" t="str">
            <v>橙毁灭16级</v>
          </cell>
          <cell r="B8060">
            <v>517216</v>
          </cell>
        </row>
        <row r="8061">
          <cell r="A8061" t="str">
            <v>橙毁灭17级</v>
          </cell>
          <cell r="B8061">
            <v>517217</v>
          </cell>
        </row>
        <row r="8062">
          <cell r="A8062" t="str">
            <v>橙毁灭18级</v>
          </cell>
          <cell r="B8062">
            <v>517218</v>
          </cell>
        </row>
        <row r="8063">
          <cell r="A8063" t="str">
            <v>橙毁灭19级</v>
          </cell>
          <cell r="B8063">
            <v>517219</v>
          </cell>
        </row>
        <row r="8064">
          <cell r="A8064" t="str">
            <v>橙毁灭20级</v>
          </cell>
          <cell r="B8064">
            <v>517220</v>
          </cell>
        </row>
        <row r="8065">
          <cell r="A8065" t="str">
            <v>橙毁灭21级</v>
          </cell>
          <cell r="B8065">
            <v>517221</v>
          </cell>
        </row>
        <row r="8066">
          <cell r="A8066" t="str">
            <v>橙毁灭22级</v>
          </cell>
          <cell r="B8066">
            <v>517222</v>
          </cell>
        </row>
        <row r="8067">
          <cell r="A8067" t="str">
            <v>橙毁灭23级</v>
          </cell>
          <cell r="B8067">
            <v>517223</v>
          </cell>
        </row>
        <row r="8068">
          <cell r="A8068" t="str">
            <v>橙毁灭24级</v>
          </cell>
          <cell r="B8068">
            <v>517224</v>
          </cell>
        </row>
        <row r="8069">
          <cell r="A8069" t="str">
            <v>橙毁灭25级</v>
          </cell>
          <cell r="B8069">
            <v>517225</v>
          </cell>
        </row>
        <row r="8070">
          <cell r="A8070" t="str">
            <v>橙毁灭26级</v>
          </cell>
          <cell r="B8070">
            <v>517226</v>
          </cell>
        </row>
        <row r="8071">
          <cell r="A8071" t="str">
            <v>橙毁灭27级</v>
          </cell>
          <cell r="B8071">
            <v>517227</v>
          </cell>
        </row>
        <row r="8072">
          <cell r="A8072" t="str">
            <v>橙毁灭28级</v>
          </cell>
          <cell r="B8072">
            <v>517228</v>
          </cell>
        </row>
        <row r="8073">
          <cell r="A8073" t="str">
            <v>橙毁灭29级</v>
          </cell>
          <cell r="B8073">
            <v>517229</v>
          </cell>
        </row>
        <row r="8074">
          <cell r="A8074" t="str">
            <v>橙毁灭30级</v>
          </cell>
          <cell r="B8074">
            <v>517230</v>
          </cell>
        </row>
        <row r="8075">
          <cell r="A8075" t="str">
            <v>橙毁灭31级</v>
          </cell>
          <cell r="B8075">
            <v>517231</v>
          </cell>
        </row>
        <row r="8076">
          <cell r="A8076" t="str">
            <v>橙毁灭32级</v>
          </cell>
          <cell r="B8076">
            <v>517232</v>
          </cell>
        </row>
        <row r="8077">
          <cell r="A8077" t="str">
            <v>橙毁灭33级</v>
          </cell>
          <cell r="B8077">
            <v>517233</v>
          </cell>
        </row>
        <row r="8078">
          <cell r="A8078" t="str">
            <v>橙毁灭34级</v>
          </cell>
          <cell r="B8078">
            <v>517234</v>
          </cell>
        </row>
        <row r="8079">
          <cell r="A8079" t="str">
            <v>橙毁灭35级</v>
          </cell>
          <cell r="B8079">
            <v>517235</v>
          </cell>
        </row>
        <row r="8080">
          <cell r="A8080" t="str">
            <v>橙毁灭36级</v>
          </cell>
          <cell r="B8080">
            <v>517236</v>
          </cell>
        </row>
        <row r="8081">
          <cell r="A8081" t="str">
            <v>橙毁灭37级</v>
          </cell>
          <cell r="B8081">
            <v>517237</v>
          </cell>
        </row>
        <row r="8082">
          <cell r="A8082" t="str">
            <v>橙毁灭38级</v>
          </cell>
          <cell r="B8082">
            <v>517238</v>
          </cell>
        </row>
        <row r="8083">
          <cell r="A8083" t="str">
            <v>橙毁灭39级</v>
          </cell>
          <cell r="B8083">
            <v>517239</v>
          </cell>
        </row>
        <row r="8084">
          <cell r="A8084" t="str">
            <v>橙毁灭40级</v>
          </cell>
          <cell r="B8084">
            <v>517240</v>
          </cell>
        </row>
        <row r="8085">
          <cell r="A8085" t="str">
            <v>橙毁灭41级</v>
          </cell>
          <cell r="B8085">
            <v>517241</v>
          </cell>
        </row>
        <row r="8086">
          <cell r="A8086" t="str">
            <v>橙毁灭42级</v>
          </cell>
          <cell r="B8086">
            <v>517242</v>
          </cell>
        </row>
        <row r="8087">
          <cell r="A8087" t="str">
            <v>橙毁灭43级</v>
          </cell>
          <cell r="B8087">
            <v>517243</v>
          </cell>
        </row>
        <row r="8088">
          <cell r="A8088" t="str">
            <v>橙毁灭44级</v>
          </cell>
          <cell r="B8088">
            <v>517244</v>
          </cell>
        </row>
        <row r="8089">
          <cell r="A8089" t="str">
            <v>橙毁灭45级</v>
          </cell>
          <cell r="B8089">
            <v>517245</v>
          </cell>
        </row>
        <row r="8090">
          <cell r="A8090" t="str">
            <v>橙毁灭46级</v>
          </cell>
          <cell r="B8090">
            <v>517246</v>
          </cell>
        </row>
        <row r="8091">
          <cell r="A8091" t="str">
            <v>橙毁灭47级</v>
          </cell>
          <cell r="B8091">
            <v>517247</v>
          </cell>
        </row>
        <row r="8092">
          <cell r="A8092" t="str">
            <v>橙毁灭48级</v>
          </cell>
          <cell r="B8092">
            <v>517248</v>
          </cell>
        </row>
        <row r="8093">
          <cell r="A8093" t="str">
            <v>橙毁灭49级</v>
          </cell>
          <cell r="B8093">
            <v>517249</v>
          </cell>
        </row>
        <row r="8094">
          <cell r="A8094" t="str">
            <v>橙毁灭50级</v>
          </cell>
          <cell r="B8094">
            <v>517250</v>
          </cell>
        </row>
        <row r="8095">
          <cell r="A8095" t="str">
            <v>橙毁灭51级</v>
          </cell>
          <cell r="B8095">
            <v>517251</v>
          </cell>
        </row>
        <row r="8096">
          <cell r="A8096" t="str">
            <v>橙毁灭52级</v>
          </cell>
          <cell r="B8096">
            <v>517252</v>
          </cell>
        </row>
        <row r="8097">
          <cell r="A8097" t="str">
            <v>橙毁灭53级</v>
          </cell>
          <cell r="B8097">
            <v>517253</v>
          </cell>
        </row>
        <row r="8098">
          <cell r="A8098" t="str">
            <v>橙毁灭54级</v>
          </cell>
          <cell r="B8098">
            <v>517254</v>
          </cell>
        </row>
        <row r="8099">
          <cell r="A8099" t="str">
            <v>橙毁灭55级</v>
          </cell>
          <cell r="B8099">
            <v>517255</v>
          </cell>
        </row>
        <row r="8100">
          <cell r="A8100" t="str">
            <v>橙毁灭56级</v>
          </cell>
          <cell r="B8100">
            <v>517256</v>
          </cell>
        </row>
        <row r="8101">
          <cell r="A8101" t="str">
            <v>橙毁灭57级</v>
          </cell>
          <cell r="B8101">
            <v>517257</v>
          </cell>
        </row>
        <row r="8102">
          <cell r="A8102" t="str">
            <v>橙毁灭58级</v>
          </cell>
          <cell r="B8102">
            <v>517258</v>
          </cell>
        </row>
        <row r="8103">
          <cell r="A8103" t="str">
            <v>橙毁灭59级</v>
          </cell>
          <cell r="B8103">
            <v>517259</v>
          </cell>
        </row>
        <row r="8104">
          <cell r="A8104" t="str">
            <v>橙毁灭60级</v>
          </cell>
          <cell r="B8104">
            <v>517260</v>
          </cell>
        </row>
        <row r="8105">
          <cell r="A8105" t="str">
            <v>红毁灭1级</v>
          </cell>
          <cell r="B8105">
            <v>517301</v>
          </cell>
        </row>
        <row r="8106">
          <cell r="A8106" t="str">
            <v>红毁灭2级</v>
          </cell>
          <cell r="B8106">
            <v>517302</v>
          </cell>
        </row>
        <row r="8107">
          <cell r="A8107" t="str">
            <v>红毁灭3级</v>
          </cell>
          <cell r="B8107">
            <v>517303</v>
          </cell>
        </row>
        <row r="8108">
          <cell r="A8108" t="str">
            <v>红毁灭4级</v>
          </cell>
          <cell r="B8108">
            <v>517304</v>
          </cell>
        </row>
        <row r="8109">
          <cell r="A8109" t="str">
            <v>红毁灭5级</v>
          </cell>
          <cell r="B8109">
            <v>517305</v>
          </cell>
        </row>
        <row r="8110">
          <cell r="A8110" t="str">
            <v>红毁灭6级</v>
          </cell>
          <cell r="B8110">
            <v>517306</v>
          </cell>
        </row>
        <row r="8111">
          <cell r="A8111" t="str">
            <v>红毁灭7级</v>
          </cell>
          <cell r="B8111">
            <v>517307</v>
          </cell>
        </row>
        <row r="8112">
          <cell r="A8112" t="str">
            <v>红毁灭8级</v>
          </cell>
          <cell r="B8112">
            <v>517308</v>
          </cell>
        </row>
        <row r="8113">
          <cell r="A8113" t="str">
            <v>红毁灭9级</v>
          </cell>
          <cell r="B8113">
            <v>517309</v>
          </cell>
        </row>
        <row r="8114">
          <cell r="A8114" t="str">
            <v>红毁灭10级</v>
          </cell>
          <cell r="B8114">
            <v>517310</v>
          </cell>
        </row>
        <row r="8115">
          <cell r="A8115" t="str">
            <v>红毁灭11级</v>
          </cell>
          <cell r="B8115">
            <v>517311</v>
          </cell>
        </row>
        <row r="8116">
          <cell r="A8116" t="str">
            <v>红毁灭12级</v>
          </cell>
          <cell r="B8116">
            <v>517312</v>
          </cell>
        </row>
        <row r="8117">
          <cell r="A8117" t="str">
            <v>红毁灭13级</v>
          </cell>
          <cell r="B8117">
            <v>517313</v>
          </cell>
        </row>
        <row r="8118">
          <cell r="A8118" t="str">
            <v>红毁灭14级</v>
          </cell>
          <cell r="B8118">
            <v>517314</v>
          </cell>
        </row>
        <row r="8119">
          <cell r="A8119" t="str">
            <v>红毁灭15级</v>
          </cell>
          <cell r="B8119">
            <v>517315</v>
          </cell>
        </row>
        <row r="8120">
          <cell r="A8120" t="str">
            <v>红毁灭16级</v>
          </cell>
          <cell r="B8120">
            <v>517316</v>
          </cell>
        </row>
        <row r="8121">
          <cell r="A8121" t="str">
            <v>红毁灭17级</v>
          </cell>
          <cell r="B8121">
            <v>517317</v>
          </cell>
        </row>
        <row r="8122">
          <cell r="A8122" t="str">
            <v>红毁灭18级</v>
          </cell>
          <cell r="B8122">
            <v>517318</v>
          </cell>
        </row>
        <row r="8123">
          <cell r="A8123" t="str">
            <v>红毁灭19级</v>
          </cell>
          <cell r="B8123">
            <v>517319</v>
          </cell>
        </row>
        <row r="8124">
          <cell r="A8124" t="str">
            <v>红毁灭20级</v>
          </cell>
          <cell r="B8124">
            <v>517320</v>
          </cell>
        </row>
        <row r="8125">
          <cell r="A8125" t="str">
            <v>红毁灭21级</v>
          </cell>
          <cell r="B8125">
            <v>517321</v>
          </cell>
        </row>
        <row r="8126">
          <cell r="A8126" t="str">
            <v>红毁灭22级</v>
          </cell>
          <cell r="B8126">
            <v>517322</v>
          </cell>
        </row>
        <row r="8127">
          <cell r="A8127" t="str">
            <v>红毁灭23级</v>
          </cell>
          <cell r="B8127">
            <v>517323</v>
          </cell>
        </row>
        <row r="8128">
          <cell r="A8128" t="str">
            <v>红毁灭24级</v>
          </cell>
          <cell r="B8128">
            <v>517324</v>
          </cell>
        </row>
        <row r="8129">
          <cell r="A8129" t="str">
            <v>红毁灭25级</v>
          </cell>
          <cell r="B8129">
            <v>517325</v>
          </cell>
        </row>
        <row r="8130">
          <cell r="A8130" t="str">
            <v>红毁灭26级</v>
          </cell>
          <cell r="B8130">
            <v>517326</v>
          </cell>
        </row>
        <row r="8131">
          <cell r="A8131" t="str">
            <v>红毁灭27级</v>
          </cell>
          <cell r="B8131">
            <v>517327</v>
          </cell>
        </row>
        <row r="8132">
          <cell r="A8132" t="str">
            <v>红毁灭28级</v>
          </cell>
          <cell r="B8132">
            <v>517328</v>
          </cell>
        </row>
        <row r="8133">
          <cell r="A8133" t="str">
            <v>红毁灭29级</v>
          </cell>
          <cell r="B8133">
            <v>517329</v>
          </cell>
        </row>
        <row r="8134">
          <cell r="A8134" t="str">
            <v>红毁灭30级</v>
          </cell>
          <cell r="B8134">
            <v>517330</v>
          </cell>
        </row>
        <row r="8135">
          <cell r="A8135" t="str">
            <v>红毁灭31级</v>
          </cell>
          <cell r="B8135">
            <v>517331</v>
          </cell>
        </row>
        <row r="8136">
          <cell r="A8136" t="str">
            <v>红毁灭32级</v>
          </cell>
          <cell r="B8136">
            <v>517332</v>
          </cell>
        </row>
        <row r="8137">
          <cell r="A8137" t="str">
            <v>红毁灭33级</v>
          </cell>
          <cell r="B8137">
            <v>517333</v>
          </cell>
        </row>
        <row r="8138">
          <cell r="A8138" t="str">
            <v>红毁灭34级</v>
          </cell>
          <cell r="B8138">
            <v>517334</v>
          </cell>
        </row>
        <row r="8139">
          <cell r="A8139" t="str">
            <v>红毁灭35级</v>
          </cell>
          <cell r="B8139">
            <v>517335</v>
          </cell>
        </row>
        <row r="8140">
          <cell r="A8140" t="str">
            <v>红毁灭36级</v>
          </cell>
          <cell r="B8140">
            <v>517336</v>
          </cell>
        </row>
        <row r="8141">
          <cell r="A8141" t="str">
            <v>红毁灭37级</v>
          </cell>
          <cell r="B8141">
            <v>517337</v>
          </cell>
        </row>
        <row r="8142">
          <cell r="A8142" t="str">
            <v>红毁灭38级</v>
          </cell>
          <cell r="B8142">
            <v>517338</v>
          </cell>
        </row>
        <row r="8143">
          <cell r="A8143" t="str">
            <v>红毁灭39级</v>
          </cell>
          <cell r="B8143">
            <v>517339</v>
          </cell>
        </row>
        <row r="8144">
          <cell r="A8144" t="str">
            <v>红毁灭40级</v>
          </cell>
          <cell r="B8144">
            <v>517340</v>
          </cell>
        </row>
        <row r="8145">
          <cell r="A8145" t="str">
            <v>红毁灭41级</v>
          </cell>
          <cell r="B8145">
            <v>517341</v>
          </cell>
        </row>
        <row r="8146">
          <cell r="A8146" t="str">
            <v>红毁灭42级</v>
          </cell>
          <cell r="B8146">
            <v>517342</v>
          </cell>
        </row>
        <row r="8147">
          <cell r="A8147" t="str">
            <v>红毁灭43级</v>
          </cell>
          <cell r="B8147">
            <v>517343</v>
          </cell>
        </row>
        <row r="8148">
          <cell r="A8148" t="str">
            <v>红毁灭44级</v>
          </cell>
          <cell r="B8148">
            <v>517344</v>
          </cell>
        </row>
        <row r="8149">
          <cell r="A8149" t="str">
            <v>红毁灭45级</v>
          </cell>
          <cell r="B8149">
            <v>517345</v>
          </cell>
        </row>
        <row r="8150">
          <cell r="A8150" t="str">
            <v>红毁灭46级</v>
          </cell>
          <cell r="B8150">
            <v>517346</v>
          </cell>
        </row>
        <row r="8151">
          <cell r="A8151" t="str">
            <v>红毁灭47级</v>
          </cell>
          <cell r="B8151">
            <v>517347</v>
          </cell>
        </row>
        <row r="8152">
          <cell r="A8152" t="str">
            <v>红毁灭48级</v>
          </cell>
          <cell r="B8152">
            <v>517348</v>
          </cell>
        </row>
        <row r="8153">
          <cell r="A8153" t="str">
            <v>红毁灭49级</v>
          </cell>
          <cell r="B8153">
            <v>517349</v>
          </cell>
        </row>
        <row r="8154">
          <cell r="A8154" t="str">
            <v>红毁灭50级</v>
          </cell>
          <cell r="B8154">
            <v>517350</v>
          </cell>
        </row>
        <row r="8155">
          <cell r="A8155" t="str">
            <v>红毁灭51级</v>
          </cell>
          <cell r="B8155">
            <v>517351</v>
          </cell>
        </row>
        <row r="8156">
          <cell r="A8156" t="str">
            <v>红毁灭52级</v>
          </cell>
          <cell r="B8156">
            <v>517352</v>
          </cell>
        </row>
        <row r="8157">
          <cell r="A8157" t="str">
            <v>红毁灭53级</v>
          </cell>
          <cell r="B8157">
            <v>517353</v>
          </cell>
        </row>
        <row r="8158">
          <cell r="A8158" t="str">
            <v>红毁灭54级</v>
          </cell>
          <cell r="B8158">
            <v>517354</v>
          </cell>
        </row>
        <row r="8159">
          <cell r="A8159" t="str">
            <v>红毁灭55级</v>
          </cell>
          <cell r="B8159">
            <v>517355</v>
          </cell>
        </row>
        <row r="8160">
          <cell r="A8160" t="str">
            <v>红毁灭56级</v>
          </cell>
          <cell r="B8160">
            <v>517356</v>
          </cell>
        </row>
        <row r="8161">
          <cell r="A8161" t="str">
            <v>红毁灭57级</v>
          </cell>
          <cell r="B8161">
            <v>517357</v>
          </cell>
        </row>
        <row r="8162">
          <cell r="A8162" t="str">
            <v>红毁灭58级</v>
          </cell>
          <cell r="B8162">
            <v>517358</v>
          </cell>
        </row>
        <row r="8163">
          <cell r="A8163" t="str">
            <v>红毁灭59级</v>
          </cell>
          <cell r="B8163">
            <v>517359</v>
          </cell>
        </row>
        <row r="8164">
          <cell r="A8164" t="str">
            <v>红毁灭60级</v>
          </cell>
          <cell r="B8164">
            <v>517360</v>
          </cell>
        </row>
        <row r="8165">
          <cell r="A8165" t="str">
            <v>红毁灭61级</v>
          </cell>
          <cell r="B8165">
            <v>517361</v>
          </cell>
        </row>
        <row r="8166">
          <cell r="A8166" t="str">
            <v>红毁灭62级</v>
          </cell>
          <cell r="B8166">
            <v>517362</v>
          </cell>
        </row>
        <row r="8167">
          <cell r="A8167" t="str">
            <v>红毁灭63级</v>
          </cell>
          <cell r="B8167">
            <v>517363</v>
          </cell>
        </row>
        <row r="8168">
          <cell r="A8168" t="str">
            <v>红毁灭64级</v>
          </cell>
          <cell r="B8168">
            <v>517364</v>
          </cell>
        </row>
        <row r="8169">
          <cell r="A8169" t="str">
            <v>红毁灭65级</v>
          </cell>
          <cell r="B8169">
            <v>517365</v>
          </cell>
        </row>
        <row r="8170">
          <cell r="A8170" t="str">
            <v>红毁灭66级</v>
          </cell>
          <cell r="B8170">
            <v>517366</v>
          </cell>
        </row>
        <row r="8171">
          <cell r="A8171" t="str">
            <v>红毁灭67级</v>
          </cell>
          <cell r="B8171">
            <v>517367</v>
          </cell>
        </row>
        <row r="8172">
          <cell r="A8172" t="str">
            <v>红毁灭68级</v>
          </cell>
          <cell r="B8172">
            <v>517368</v>
          </cell>
        </row>
        <row r="8173">
          <cell r="A8173" t="str">
            <v>红毁灭69级</v>
          </cell>
          <cell r="B8173">
            <v>517369</v>
          </cell>
        </row>
        <row r="8174">
          <cell r="A8174" t="str">
            <v>红毁灭70级</v>
          </cell>
          <cell r="B8174">
            <v>517370</v>
          </cell>
        </row>
        <row r="8175">
          <cell r="A8175" t="str">
            <v>红毁灭71级</v>
          </cell>
          <cell r="B8175">
            <v>517371</v>
          </cell>
        </row>
        <row r="8176">
          <cell r="A8176" t="str">
            <v>红毁灭72级</v>
          </cell>
          <cell r="B8176">
            <v>517372</v>
          </cell>
        </row>
        <row r="8177">
          <cell r="A8177" t="str">
            <v>红毁灭73级</v>
          </cell>
          <cell r="B8177">
            <v>517373</v>
          </cell>
        </row>
        <row r="8178">
          <cell r="A8178" t="str">
            <v>红毁灭74级</v>
          </cell>
          <cell r="B8178">
            <v>517374</v>
          </cell>
        </row>
        <row r="8179">
          <cell r="A8179" t="str">
            <v>红毁灭75级</v>
          </cell>
          <cell r="B8179">
            <v>517375</v>
          </cell>
        </row>
        <row r="8180">
          <cell r="A8180" t="str">
            <v>红毁灭76级</v>
          </cell>
          <cell r="B8180">
            <v>517376</v>
          </cell>
        </row>
        <row r="8181">
          <cell r="A8181" t="str">
            <v>红毁灭77级</v>
          </cell>
          <cell r="B8181">
            <v>517377</v>
          </cell>
        </row>
        <row r="8182">
          <cell r="A8182" t="str">
            <v>红毁灭78级</v>
          </cell>
          <cell r="B8182">
            <v>517378</v>
          </cell>
        </row>
        <row r="8183">
          <cell r="A8183" t="str">
            <v>红毁灭79级</v>
          </cell>
          <cell r="B8183">
            <v>517379</v>
          </cell>
        </row>
        <row r="8184">
          <cell r="A8184" t="str">
            <v>红毁灭80级</v>
          </cell>
          <cell r="B8184">
            <v>517380</v>
          </cell>
        </row>
        <row r="8185">
          <cell r="A8185" t="str">
            <v>金毁灭1级</v>
          </cell>
          <cell r="B8185">
            <v>517401</v>
          </cell>
        </row>
        <row r="8186">
          <cell r="A8186" t="str">
            <v>金毁灭2级</v>
          </cell>
          <cell r="B8186">
            <v>517402</v>
          </cell>
        </row>
        <row r="8187">
          <cell r="A8187" t="str">
            <v>金毁灭3级</v>
          </cell>
          <cell r="B8187">
            <v>517403</v>
          </cell>
        </row>
        <row r="8188">
          <cell r="A8188" t="str">
            <v>金毁灭4级</v>
          </cell>
          <cell r="B8188">
            <v>517404</v>
          </cell>
        </row>
        <row r="8189">
          <cell r="A8189" t="str">
            <v>金毁灭5级</v>
          </cell>
          <cell r="B8189">
            <v>517405</v>
          </cell>
        </row>
        <row r="8190">
          <cell r="A8190" t="str">
            <v>金毁灭6级</v>
          </cell>
          <cell r="B8190">
            <v>517406</v>
          </cell>
        </row>
        <row r="8191">
          <cell r="A8191" t="str">
            <v>金毁灭7级</v>
          </cell>
          <cell r="B8191">
            <v>517407</v>
          </cell>
        </row>
        <row r="8192">
          <cell r="A8192" t="str">
            <v>金毁灭8级</v>
          </cell>
          <cell r="B8192">
            <v>517408</v>
          </cell>
        </row>
        <row r="8193">
          <cell r="A8193" t="str">
            <v>金毁灭9级</v>
          </cell>
          <cell r="B8193">
            <v>517409</v>
          </cell>
        </row>
        <row r="8194">
          <cell r="A8194" t="str">
            <v>金毁灭10级</v>
          </cell>
          <cell r="B8194">
            <v>517410</v>
          </cell>
        </row>
        <row r="8195">
          <cell r="A8195" t="str">
            <v>金毁灭11级</v>
          </cell>
          <cell r="B8195">
            <v>517411</v>
          </cell>
        </row>
        <row r="8196">
          <cell r="A8196" t="str">
            <v>金毁灭12级</v>
          </cell>
          <cell r="B8196">
            <v>517412</v>
          </cell>
        </row>
        <row r="8197">
          <cell r="A8197" t="str">
            <v>金毁灭13级</v>
          </cell>
          <cell r="B8197">
            <v>517413</v>
          </cell>
        </row>
        <row r="8198">
          <cell r="A8198" t="str">
            <v>金毁灭14级</v>
          </cell>
          <cell r="B8198">
            <v>517414</v>
          </cell>
        </row>
        <row r="8199">
          <cell r="A8199" t="str">
            <v>金毁灭15级</v>
          </cell>
          <cell r="B8199">
            <v>517415</v>
          </cell>
        </row>
        <row r="8200">
          <cell r="A8200" t="str">
            <v>金毁灭16级</v>
          </cell>
          <cell r="B8200">
            <v>517416</v>
          </cell>
        </row>
        <row r="8201">
          <cell r="A8201" t="str">
            <v>金毁灭17级</v>
          </cell>
          <cell r="B8201">
            <v>517417</v>
          </cell>
        </row>
        <row r="8202">
          <cell r="A8202" t="str">
            <v>金毁灭18级</v>
          </cell>
          <cell r="B8202">
            <v>517418</v>
          </cell>
        </row>
        <row r="8203">
          <cell r="A8203" t="str">
            <v>金毁灭19级</v>
          </cell>
          <cell r="B8203">
            <v>517419</v>
          </cell>
        </row>
        <row r="8204">
          <cell r="A8204" t="str">
            <v>金毁灭20级</v>
          </cell>
          <cell r="B8204">
            <v>517420</v>
          </cell>
        </row>
        <row r="8205">
          <cell r="A8205" t="str">
            <v>金毁灭21级</v>
          </cell>
          <cell r="B8205">
            <v>517421</v>
          </cell>
        </row>
        <row r="8206">
          <cell r="A8206" t="str">
            <v>金毁灭22级</v>
          </cell>
          <cell r="B8206">
            <v>517422</v>
          </cell>
        </row>
        <row r="8207">
          <cell r="A8207" t="str">
            <v>金毁灭23级</v>
          </cell>
          <cell r="B8207">
            <v>517423</v>
          </cell>
        </row>
        <row r="8208">
          <cell r="A8208" t="str">
            <v>金毁灭24级</v>
          </cell>
          <cell r="B8208">
            <v>517424</v>
          </cell>
        </row>
        <row r="8209">
          <cell r="A8209" t="str">
            <v>金毁灭25级</v>
          </cell>
          <cell r="B8209">
            <v>517425</v>
          </cell>
        </row>
        <row r="8210">
          <cell r="A8210" t="str">
            <v>金毁灭26级</v>
          </cell>
          <cell r="B8210">
            <v>517426</v>
          </cell>
        </row>
        <row r="8211">
          <cell r="A8211" t="str">
            <v>金毁灭27级</v>
          </cell>
          <cell r="B8211">
            <v>517427</v>
          </cell>
        </row>
        <row r="8212">
          <cell r="A8212" t="str">
            <v>金毁灭28级</v>
          </cell>
          <cell r="B8212">
            <v>517428</v>
          </cell>
        </row>
        <row r="8213">
          <cell r="A8213" t="str">
            <v>金毁灭29级</v>
          </cell>
          <cell r="B8213">
            <v>517429</v>
          </cell>
        </row>
        <row r="8214">
          <cell r="A8214" t="str">
            <v>金毁灭30级</v>
          </cell>
          <cell r="B8214">
            <v>517430</v>
          </cell>
        </row>
        <row r="8215">
          <cell r="A8215" t="str">
            <v>金毁灭31级</v>
          </cell>
          <cell r="B8215">
            <v>517431</v>
          </cell>
        </row>
        <row r="8216">
          <cell r="A8216" t="str">
            <v>金毁灭32级</v>
          </cell>
          <cell r="B8216">
            <v>517432</v>
          </cell>
        </row>
        <row r="8217">
          <cell r="A8217" t="str">
            <v>金毁灭33级</v>
          </cell>
          <cell r="B8217">
            <v>517433</v>
          </cell>
        </row>
        <row r="8218">
          <cell r="A8218" t="str">
            <v>金毁灭34级</v>
          </cell>
          <cell r="B8218">
            <v>517434</v>
          </cell>
        </row>
        <row r="8219">
          <cell r="A8219" t="str">
            <v>金毁灭35级</v>
          </cell>
          <cell r="B8219">
            <v>517435</v>
          </cell>
        </row>
        <row r="8220">
          <cell r="A8220" t="str">
            <v>金毁灭36级</v>
          </cell>
          <cell r="B8220">
            <v>517436</v>
          </cell>
        </row>
        <row r="8221">
          <cell r="A8221" t="str">
            <v>金毁灭37级</v>
          </cell>
          <cell r="B8221">
            <v>517437</v>
          </cell>
        </row>
        <row r="8222">
          <cell r="A8222" t="str">
            <v>金毁灭38级</v>
          </cell>
          <cell r="B8222">
            <v>517438</v>
          </cell>
        </row>
        <row r="8223">
          <cell r="A8223" t="str">
            <v>金毁灭39级</v>
          </cell>
          <cell r="B8223">
            <v>517439</v>
          </cell>
        </row>
        <row r="8224">
          <cell r="A8224" t="str">
            <v>金毁灭40级</v>
          </cell>
          <cell r="B8224">
            <v>517440</v>
          </cell>
        </row>
        <row r="8225">
          <cell r="A8225" t="str">
            <v>金毁灭41级</v>
          </cell>
          <cell r="B8225">
            <v>517441</v>
          </cell>
        </row>
        <row r="8226">
          <cell r="A8226" t="str">
            <v>金毁灭42级</v>
          </cell>
          <cell r="B8226">
            <v>517442</v>
          </cell>
        </row>
        <row r="8227">
          <cell r="A8227" t="str">
            <v>金毁灭43级</v>
          </cell>
          <cell r="B8227">
            <v>517443</v>
          </cell>
        </row>
        <row r="8228">
          <cell r="A8228" t="str">
            <v>金毁灭44级</v>
          </cell>
          <cell r="B8228">
            <v>517444</v>
          </cell>
        </row>
        <row r="8229">
          <cell r="A8229" t="str">
            <v>金毁灭45级</v>
          </cell>
          <cell r="B8229">
            <v>517445</v>
          </cell>
        </row>
        <row r="8230">
          <cell r="A8230" t="str">
            <v>金毁灭46级</v>
          </cell>
          <cell r="B8230">
            <v>517446</v>
          </cell>
        </row>
        <row r="8231">
          <cell r="A8231" t="str">
            <v>金毁灭47级</v>
          </cell>
          <cell r="B8231">
            <v>517447</v>
          </cell>
        </row>
        <row r="8232">
          <cell r="A8232" t="str">
            <v>金毁灭48级</v>
          </cell>
          <cell r="B8232">
            <v>517448</v>
          </cell>
        </row>
        <row r="8233">
          <cell r="A8233" t="str">
            <v>金毁灭49级</v>
          </cell>
          <cell r="B8233">
            <v>517449</v>
          </cell>
        </row>
        <row r="8234">
          <cell r="A8234" t="str">
            <v>金毁灭50级</v>
          </cell>
          <cell r="B8234">
            <v>517450</v>
          </cell>
        </row>
        <row r="8235">
          <cell r="A8235" t="str">
            <v>金毁灭51级</v>
          </cell>
          <cell r="B8235">
            <v>517451</v>
          </cell>
        </row>
        <row r="8236">
          <cell r="A8236" t="str">
            <v>金毁灭52级</v>
          </cell>
          <cell r="B8236">
            <v>517452</v>
          </cell>
        </row>
        <row r="8237">
          <cell r="A8237" t="str">
            <v>金毁灭53级</v>
          </cell>
          <cell r="B8237">
            <v>517453</v>
          </cell>
        </row>
        <row r="8238">
          <cell r="A8238" t="str">
            <v>金毁灭54级</v>
          </cell>
          <cell r="B8238">
            <v>517454</v>
          </cell>
        </row>
        <row r="8239">
          <cell r="A8239" t="str">
            <v>金毁灭55级</v>
          </cell>
          <cell r="B8239">
            <v>517455</v>
          </cell>
        </row>
        <row r="8240">
          <cell r="A8240" t="str">
            <v>金毁灭56级</v>
          </cell>
          <cell r="B8240">
            <v>517456</v>
          </cell>
        </row>
        <row r="8241">
          <cell r="A8241" t="str">
            <v>金毁灭57级</v>
          </cell>
          <cell r="B8241">
            <v>517457</v>
          </cell>
        </row>
        <row r="8242">
          <cell r="A8242" t="str">
            <v>金毁灭58级</v>
          </cell>
          <cell r="B8242">
            <v>517458</v>
          </cell>
        </row>
        <row r="8243">
          <cell r="A8243" t="str">
            <v>金毁灭59级</v>
          </cell>
          <cell r="B8243">
            <v>517459</v>
          </cell>
        </row>
        <row r="8244">
          <cell r="A8244" t="str">
            <v>金毁灭60级</v>
          </cell>
          <cell r="B8244">
            <v>517460</v>
          </cell>
        </row>
        <row r="8245">
          <cell r="A8245" t="str">
            <v>金毁灭61级</v>
          </cell>
          <cell r="B8245">
            <v>517461</v>
          </cell>
        </row>
        <row r="8246">
          <cell r="A8246" t="str">
            <v>金毁灭62级</v>
          </cell>
          <cell r="B8246">
            <v>517462</v>
          </cell>
        </row>
        <row r="8247">
          <cell r="A8247" t="str">
            <v>金毁灭63级</v>
          </cell>
          <cell r="B8247">
            <v>517463</v>
          </cell>
        </row>
        <row r="8248">
          <cell r="A8248" t="str">
            <v>金毁灭64级</v>
          </cell>
          <cell r="B8248">
            <v>517464</v>
          </cell>
        </row>
        <row r="8249">
          <cell r="A8249" t="str">
            <v>金毁灭65级</v>
          </cell>
          <cell r="B8249">
            <v>517465</v>
          </cell>
        </row>
        <row r="8250">
          <cell r="A8250" t="str">
            <v>金毁灭66级</v>
          </cell>
          <cell r="B8250">
            <v>517466</v>
          </cell>
        </row>
        <row r="8251">
          <cell r="A8251" t="str">
            <v>金毁灭67级</v>
          </cell>
          <cell r="B8251">
            <v>517467</v>
          </cell>
        </row>
        <row r="8252">
          <cell r="A8252" t="str">
            <v>金毁灭68级</v>
          </cell>
          <cell r="B8252">
            <v>517468</v>
          </cell>
        </row>
        <row r="8253">
          <cell r="A8253" t="str">
            <v>金毁灭69级</v>
          </cell>
          <cell r="B8253">
            <v>517469</v>
          </cell>
        </row>
        <row r="8254">
          <cell r="A8254" t="str">
            <v>金毁灭70级</v>
          </cell>
          <cell r="B8254">
            <v>517470</v>
          </cell>
        </row>
        <row r="8255">
          <cell r="A8255" t="str">
            <v>金毁灭71级</v>
          </cell>
          <cell r="B8255">
            <v>517471</v>
          </cell>
        </row>
        <row r="8256">
          <cell r="A8256" t="str">
            <v>金毁灭72级</v>
          </cell>
          <cell r="B8256">
            <v>517472</v>
          </cell>
        </row>
        <row r="8257">
          <cell r="A8257" t="str">
            <v>金毁灭73级</v>
          </cell>
          <cell r="B8257">
            <v>517473</v>
          </cell>
        </row>
        <row r="8258">
          <cell r="A8258" t="str">
            <v>金毁灭74级</v>
          </cell>
          <cell r="B8258">
            <v>517474</v>
          </cell>
        </row>
        <row r="8259">
          <cell r="A8259" t="str">
            <v>金毁灭75级</v>
          </cell>
          <cell r="B8259">
            <v>517475</v>
          </cell>
        </row>
        <row r="8260">
          <cell r="A8260" t="str">
            <v>金毁灭76级</v>
          </cell>
          <cell r="B8260">
            <v>517476</v>
          </cell>
        </row>
        <row r="8261">
          <cell r="A8261" t="str">
            <v>金毁灭77级</v>
          </cell>
          <cell r="B8261">
            <v>517477</v>
          </cell>
        </row>
        <row r="8262">
          <cell r="A8262" t="str">
            <v>金毁灭78级</v>
          </cell>
          <cell r="B8262">
            <v>517478</v>
          </cell>
        </row>
        <row r="8263">
          <cell r="A8263" t="str">
            <v>金毁灭79级</v>
          </cell>
          <cell r="B8263">
            <v>517479</v>
          </cell>
        </row>
        <row r="8264">
          <cell r="A8264" t="str">
            <v>金毁灭80级</v>
          </cell>
          <cell r="B8264">
            <v>517480</v>
          </cell>
        </row>
        <row r="8265">
          <cell r="A8265" t="str">
            <v>金毁灭81级</v>
          </cell>
          <cell r="B8265">
            <v>517481</v>
          </cell>
        </row>
        <row r="8266">
          <cell r="A8266" t="str">
            <v>金毁灭82级</v>
          </cell>
          <cell r="B8266">
            <v>517482</v>
          </cell>
        </row>
        <row r="8267">
          <cell r="A8267" t="str">
            <v>金毁灭83级</v>
          </cell>
          <cell r="B8267">
            <v>517483</v>
          </cell>
        </row>
        <row r="8268">
          <cell r="A8268" t="str">
            <v>金毁灭84级</v>
          </cell>
          <cell r="B8268">
            <v>517484</v>
          </cell>
        </row>
        <row r="8269">
          <cell r="A8269" t="str">
            <v>金毁灭85级</v>
          </cell>
          <cell r="B8269">
            <v>517485</v>
          </cell>
        </row>
        <row r="8270">
          <cell r="A8270" t="str">
            <v>金毁灭86级</v>
          </cell>
          <cell r="B8270">
            <v>517486</v>
          </cell>
        </row>
        <row r="8271">
          <cell r="A8271" t="str">
            <v>金毁灭87级</v>
          </cell>
          <cell r="B8271">
            <v>517487</v>
          </cell>
        </row>
        <row r="8272">
          <cell r="A8272" t="str">
            <v>金毁灭88级</v>
          </cell>
          <cell r="B8272">
            <v>517488</v>
          </cell>
        </row>
        <row r="8273">
          <cell r="A8273" t="str">
            <v>金毁灭89级</v>
          </cell>
          <cell r="B8273">
            <v>517489</v>
          </cell>
        </row>
        <row r="8274">
          <cell r="A8274" t="str">
            <v>金毁灭90级</v>
          </cell>
          <cell r="B8274">
            <v>517490</v>
          </cell>
        </row>
        <row r="8275">
          <cell r="A8275" t="str">
            <v>金毁灭91级</v>
          </cell>
          <cell r="B8275">
            <v>517491</v>
          </cell>
        </row>
        <row r="8276">
          <cell r="A8276" t="str">
            <v>金毁灭92级</v>
          </cell>
          <cell r="B8276">
            <v>517492</v>
          </cell>
        </row>
        <row r="8277">
          <cell r="A8277" t="str">
            <v>金毁灭93级</v>
          </cell>
          <cell r="B8277">
            <v>517493</v>
          </cell>
        </row>
        <row r="8278">
          <cell r="A8278" t="str">
            <v>金毁灭94级</v>
          </cell>
          <cell r="B8278">
            <v>517494</v>
          </cell>
        </row>
        <row r="8279">
          <cell r="A8279" t="str">
            <v>金毁灭95级</v>
          </cell>
          <cell r="B8279">
            <v>517495</v>
          </cell>
        </row>
        <row r="8280">
          <cell r="A8280" t="str">
            <v>金毁灭96级</v>
          </cell>
          <cell r="B8280">
            <v>517496</v>
          </cell>
        </row>
        <row r="8281">
          <cell r="A8281" t="str">
            <v>金毁灭97级</v>
          </cell>
          <cell r="B8281">
            <v>517497</v>
          </cell>
        </row>
        <row r="8282">
          <cell r="A8282" t="str">
            <v>金毁灭98级</v>
          </cell>
          <cell r="B8282">
            <v>517498</v>
          </cell>
        </row>
        <row r="8283">
          <cell r="A8283" t="str">
            <v>金毁灭99级</v>
          </cell>
          <cell r="B8283">
            <v>517499</v>
          </cell>
        </row>
        <row r="8284">
          <cell r="A8284" t="str">
            <v>绿泰坦1级</v>
          </cell>
          <cell r="B8284">
            <v>518001</v>
          </cell>
        </row>
        <row r="8285">
          <cell r="A8285" t="str">
            <v>绿泰坦2级</v>
          </cell>
          <cell r="B8285">
            <v>518002</v>
          </cell>
        </row>
        <row r="8286">
          <cell r="A8286" t="str">
            <v>绿泰坦3级</v>
          </cell>
          <cell r="B8286">
            <v>518003</v>
          </cell>
        </row>
        <row r="8287">
          <cell r="A8287" t="str">
            <v>绿泰坦4级</v>
          </cell>
          <cell r="B8287">
            <v>518004</v>
          </cell>
        </row>
        <row r="8288">
          <cell r="A8288" t="str">
            <v>绿泰坦5级</v>
          </cell>
          <cell r="B8288">
            <v>518005</v>
          </cell>
        </row>
        <row r="8289">
          <cell r="A8289" t="str">
            <v>绿泰坦6级</v>
          </cell>
          <cell r="B8289">
            <v>518006</v>
          </cell>
        </row>
        <row r="8290">
          <cell r="A8290" t="str">
            <v>绿泰坦7级</v>
          </cell>
          <cell r="B8290">
            <v>518007</v>
          </cell>
        </row>
        <row r="8291">
          <cell r="A8291" t="str">
            <v>绿泰坦8级</v>
          </cell>
          <cell r="B8291">
            <v>518008</v>
          </cell>
        </row>
        <row r="8292">
          <cell r="A8292" t="str">
            <v>绿泰坦9级</v>
          </cell>
          <cell r="B8292">
            <v>518009</v>
          </cell>
        </row>
        <row r="8293">
          <cell r="A8293" t="str">
            <v>绿泰坦10级</v>
          </cell>
          <cell r="B8293">
            <v>518010</v>
          </cell>
        </row>
        <row r="8294">
          <cell r="A8294" t="str">
            <v>绿泰坦11级</v>
          </cell>
          <cell r="B8294">
            <v>518011</v>
          </cell>
        </row>
        <row r="8295">
          <cell r="A8295" t="str">
            <v>绿泰坦12级</v>
          </cell>
          <cell r="B8295">
            <v>518012</v>
          </cell>
        </row>
        <row r="8296">
          <cell r="A8296" t="str">
            <v>绿泰坦13级</v>
          </cell>
          <cell r="B8296">
            <v>518013</v>
          </cell>
        </row>
        <row r="8297">
          <cell r="A8297" t="str">
            <v>绿泰坦14级</v>
          </cell>
          <cell r="B8297">
            <v>518014</v>
          </cell>
        </row>
        <row r="8298">
          <cell r="A8298" t="str">
            <v>绿泰坦15级</v>
          </cell>
          <cell r="B8298">
            <v>518015</v>
          </cell>
        </row>
        <row r="8299">
          <cell r="A8299" t="str">
            <v>绿泰坦16级</v>
          </cell>
          <cell r="B8299">
            <v>518016</v>
          </cell>
        </row>
        <row r="8300">
          <cell r="A8300" t="str">
            <v>绿泰坦17级</v>
          </cell>
          <cell r="B8300">
            <v>518017</v>
          </cell>
        </row>
        <row r="8301">
          <cell r="A8301" t="str">
            <v>绿泰坦18级</v>
          </cell>
          <cell r="B8301">
            <v>518018</v>
          </cell>
        </row>
        <row r="8302">
          <cell r="A8302" t="str">
            <v>绿泰坦19级</v>
          </cell>
          <cell r="B8302">
            <v>518019</v>
          </cell>
        </row>
        <row r="8303">
          <cell r="A8303" t="str">
            <v>绿泰坦20级</v>
          </cell>
          <cell r="B8303">
            <v>518020</v>
          </cell>
        </row>
        <row r="8304">
          <cell r="A8304" t="str">
            <v>紫泰坦1级</v>
          </cell>
          <cell r="B8304">
            <v>518101</v>
          </cell>
        </row>
        <row r="8305">
          <cell r="A8305" t="str">
            <v>紫泰坦2级</v>
          </cell>
          <cell r="B8305">
            <v>518102</v>
          </cell>
        </row>
        <row r="8306">
          <cell r="A8306" t="str">
            <v>紫泰坦3级</v>
          </cell>
          <cell r="B8306">
            <v>518103</v>
          </cell>
        </row>
        <row r="8307">
          <cell r="A8307" t="str">
            <v>紫泰坦4级</v>
          </cell>
          <cell r="B8307">
            <v>518104</v>
          </cell>
        </row>
        <row r="8308">
          <cell r="A8308" t="str">
            <v>紫泰坦5级</v>
          </cell>
          <cell r="B8308">
            <v>518105</v>
          </cell>
        </row>
        <row r="8309">
          <cell r="A8309" t="str">
            <v>紫泰坦6级</v>
          </cell>
          <cell r="B8309">
            <v>518106</v>
          </cell>
        </row>
        <row r="8310">
          <cell r="A8310" t="str">
            <v>紫泰坦7级</v>
          </cell>
          <cell r="B8310">
            <v>518107</v>
          </cell>
        </row>
        <row r="8311">
          <cell r="A8311" t="str">
            <v>紫泰坦8级</v>
          </cell>
          <cell r="B8311">
            <v>518108</v>
          </cell>
        </row>
        <row r="8312">
          <cell r="A8312" t="str">
            <v>紫泰坦9级</v>
          </cell>
          <cell r="B8312">
            <v>518109</v>
          </cell>
        </row>
        <row r="8313">
          <cell r="A8313" t="str">
            <v>紫泰坦10级</v>
          </cell>
          <cell r="B8313">
            <v>518110</v>
          </cell>
        </row>
        <row r="8314">
          <cell r="A8314" t="str">
            <v>紫泰坦11级</v>
          </cell>
          <cell r="B8314">
            <v>518111</v>
          </cell>
        </row>
        <row r="8315">
          <cell r="A8315" t="str">
            <v>紫泰坦12级</v>
          </cell>
          <cell r="B8315">
            <v>518112</v>
          </cell>
        </row>
        <row r="8316">
          <cell r="A8316" t="str">
            <v>紫泰坦13级</v>
          </cell>
          <cell r="B8316">
            <v>518113</v>
          </cell>
        </row>
        <row r="8317">
          <cell r="A8317" t="str">
            <v>紫泰坦14级</v>
          </cell>
          <cell r="B8317">
            <v>518114</v>
          </cell>
        </row>
        <row r="8318">
          <cell r="A8318" t="str">
            <v>紫泰坦15级</v>
          </cell>
          <cell r="B8318">
            <v>518115</v>
          </cell>
        </row>
        <row r="8319">
          <cell r="A8319" t="str">
            <v>紫泰坦16级</v>
          </cell>
          <cell r="B8319">
            <v>518116</v>
          </cell>
        </row>
        <row r="8320">
          <cell r="A8320" t="str">
            <v>紫泰坦17级</v>
          </cell>
          <cell r="B8320">
            <v>518117</v>
          </cell>
        </row>
        <row r="8321">
          <cell r="A8321" t="str">
            <v>紫泰坦18级</v>
          </cell>
          <cell r="B8321">
            <v>518118</v>
          </cell>
        </row>
        <row r="8322">
          <cell r="A8322" t="str">
            <v>紫泰坦19级</v>
          </cell>
          <cell r="B8322">
            <v>518119</v>
          </cell>
        </row>
        <row r="8323">
          <cell r="A8323" t="str">
            <v>紫泰坦20级</v>
          </cell>
          <cell r="B8323">
            <v>518120</v>
          </cell>
        </row>
        <row r="8324">
          <cell r="A8324" t="str">
            <v>紫泰坦21级</v>
          </cell>
          <cell r="B8324">
            <v>518121</v>
          </cell>
        </row>
        <row r="8325">
          <cell r="A8325" t="str">
            <v>紫泰坦22级</v>
          </cell>
          <cell r="B8325">
            <v>518122</v>
          </cell>
        </row>
        <row r="8326">
          <cell r="A8326" t="str">
            <v>紫泰坦23级</v>
          </cell>
          <cell r="B8326">
            <v>518123</v>
          </cell>
        </row>
        <row r="8327">
          <cell r="A8327" t="str">
            <v>紫泰坦24级</v>
          </cell>
          <cell r="B8327">
            <v>518124</v>
          </cell>
        </row>
        <row r="8328">
          <cell r="A8328" t="str">
            <v>紫泰坦25级</v>
          </cell>
          <cell r="B8328">
            <v>518125</v>
          </cell>
        </row>
        <row r="8329">
          <cell r="A8329" t="str">
            <v>紫泰坦26级</v>
          </cell>
          <cell r="B8329">
            <v>518126</v>
          </cell>
        </row>
        <row r="8330">
          <cell r="A8330" t="str">
            <v>紫泰坦27级</v>
          </cell>
          <cell r="B8330">
            <v>518127</v>
          </cell>
        </row>
        <row r="8331">
          <cell r="A8331" t="str">
            <v>紫泰坦28级</v>
          </cell>
          <cell r="B8331">
            <v>518128</v>
          </cell>
        </row>
        <row r="8332">
          <cell r="A8332" t="str">
            <v>紫泰坦29级</v>
          </cell>
          <cell r="B8332">
            <v>518129</v>
          </cell>
        </row>
        <row r="8333">
          <cell r="A8333" t="str">
            <v>紫泰坦30级</v>
          </cell>
          <cell r="B8333">
            <v>518130</v>
          </cell>
        </row>
        <row r="8334">
          <cell r="A8334" t="str">
            <v>紫泰坦31级</v>
          </cell>
          <cell r="B8334">
            <v>518131</v>
          </cell>
        </row>
        <row r="8335">
          <cell r="A8335" t="str">
            <v>紫泰坦32级</v>
          </cell>
          <cell r="B8335">
            <v>518132</v>
          </cell>
        </row>
        <row r="8336">
          <cell r="A8336" t="str">
            <v>紫泰坦33级</v>
          </cell>
          <cell r="B8336">
            <v>518133</v>
          </cell>
        </row>
        <row r="8337">
          <cell r="A8337" t="str">
            <v>紫泰坦34级</v>
          </cell>
          <cell r="B8337">
            <v>518134</v>
          </cell>
        </row>
        <row r="8338">
          <cell r="A8338" t="str">
            <v>紫泰坦35级</v>
          </cell>
          <cell r="B8338">
            <v>518135</v>
          </cell>
        </row>
        <row r="8339">
          <cell r="A8339" t="str">
            <v>紫泰坦36级</v>
          </cell>
          <cell r="B8339">
            <v>518136</v>
          </cell>
        </row>
        <row r="8340">
          <cell r="A8340" t="str">
            <v>紫泰坦37级</v>
          </cell>
          <cell r="B8340">
            <v>518137</v>
          </cell>
        </row>
        <row r="8341">
          <cell r="A8341" t="str">
            <v>紫泰坦38级</v>
          </cell>
          <cell r="B8341">
            <v>518138</v>
          </cell>
        </row>
        <row r="8342">
          <cell r="A8342" t="str">
            <v>紫泰坦39级</v>
          </cell>
          <cell r="B8342">
            <v>518139</v>
          </cell>
        </row>
        <row r="8343">
          <cell r="A8343" t="str">
            <v>紫泰坦40级</v>
          </cell>
          <cell r="B8343">
            <v>518140</v>
          </cell>
        </row>
        <row r="8344">
          <cell r="A8344" t="str">
            <v>橙泰坦1级</v>
          </cell>
          <cell r="B8344">
            <v>518201</v>
          </cell>
        </row>
        <row r="8345">
          <cell r="A8345" t="str">
            <v>橙泰坦2级</v>
          </cell>
          <cell r="B8345">
            <v>518202</v>
          </cell>
        </row>
        <row r="8346">
          <cell r="A8346" t="str">
            <v>橙泰坦3级</v>
          </cell>
          <cell r="B8346">
            <v>518203</v>
          </cell>
        </row>
        <row r="8347">
          <cell r="A8347" t="str">
            <v>橙泰坦4级</v>
          </cell>
          <cell r="B8347">
            <v>518204</v>
          </cell>
        </row>
        <row r="8348">
          <cell r="A8348" t="str">
            <v>橙泰坦5级</v>
          </cell>
          <cell r="B8348">
            <v>518205</v>
          </cell>
        </row>
        <row r="8349">
          <cell r="A8349" t="str">
            <v>橙泰坦6级</v>
          </cell>
          <cell r="B8349">
            <v>518206</v>
          </cell>
        </row>
        <row r="8350">
          <cell r="A8350" t="str">
            <v>橙泰坦7级</v>
          </cell>
          <cell r="B8350">
            <v>518207</v>
          </cell>
        </row>
        <row r="8351">
          <cell r="A8351" t="str">
            <v>橙泰坦8级</v>
          </cell>
          <cell r="B8351">
            <v>518208</v>
          </cell>
        </row>
        <row r="8352">
          <cell r="A8352" t="str">
            <v>橙泰坦9级</v>
          </cell>
          <cell r="B8352">
            <v>518209</v>
          </cell>
        </row>
        <row r="8353">
          <cell r="A8353" t="str">
            <v>橙泰坦10级</v>
          </cell>
          <cell r="B8353">
            <v>518210</v>
          </cell>
        </row>
        <row r="8354">
          <cell r="A8354" t="str">
            <v>橙泰坦11级</v>
          </cell>
          <cell r="B8354">
            <v>518211</v>
          </cell>
        </row>
        <row r="8355">
          <cell r="A8355" t="str">
            <v>橙泰坦12级</v>
          </cell>
          <cell r="B8355">
            <v>518212</v>
          </cell>
        </row>
        <row r="8356">
          <cell r="A8356" t="str">
            <v>橙泰坦13级</v>
          </cell>
          <cell r="B8356">
            <v>518213</v>
          </cell>
        </row>
        <row r="8357">
          <cell r="A8357" t="str">
            <v>橙泰坦14级</v>
          </cell>
          <cell r="B8357">
            <v>518214</v>
          </cell>
        </row>
        <row r="8358">
          <cell r="A8358" t="str">
            <v>橙泰坦15级</v>
          </cell>
          <cell r="B8358">
            <v>518215</v>
          </cell>
        </row>
        <row r="8359">
          <cell r="A8359" t="str">
            <v>橙泰坦16级</v>
          </cell>
          <cell r="B8359">
            <v>518216</v>
          </cell>
        </row>
        <row r="8360">
          <cell r="A8360" t="str">
            <v>橙泰坦17级</v>
          </cell>
          <cell r="B8360">
            <v>518217</v>
          </cell>
        </row>
        <row r="8361">
          <cell r="A8361" t="str">
            <v>橙泰坦18级</v>
          </cell>
          <cell r="B8361">
            <v>518218</v>
          </cell>
        </row>
        <row r="8362">
          <cell r="A8362" t="str">
            <v>橙泰坦19级</v>
          </cell>
          <cell r="B8362">
            <v>518219</v>
          </cell>
        </row>
        <row r="8363">
          <cell r="A8363" t="str">
            <v>橙泰坦20级</v>
          </cell>
          <cell r="B8363">
            <v>518220</v>
          </cell>
        </row>
        <row r="8364">
          <cell r="A8364" t="str">
            <v>橙泰坦21级</v>
          </cell>
          <cell r="B8364">
            <v>518221</v>
          </cell>
        </row>
        <row r="8365">
          <cell r="A8365" t="str">
            <v>橙泰坦22级</v>
          </cell>
          <cell r="B8365">
            <v>518222</v>
          </cell>
        </row>
        <row r="8366">
          <cell r="A8366" t="str">
            <v>橙泰坦23级</v>
          </cell>
          <cell r="B8366">
            <v>518223</v>
          </cell>
        </row>
        <row r="8367">
          <cell r="A8367" t="str">
            <v>橙泰坦24级</v>
          </cell>
          <cell r="B8367">
            <v>518224</v>
          </cell>
        </row>
        <row r="8368">
          <cell r="A8368" t="str">
            <v>橙泰坦25级</v>
          </cell>
          <cell r="B8368">
            <v>518225</v>
          </cell>
        </row>
        <row r="8369">
          <cell r="A8369" t="str">
            <v>橙泰坦26级</v>
          </cell>
          <cell r="B8369">
            <v>518226</v>
          </cell>
        </row>
        <row r="8370">
          <cell r="A8370" t="str">
            <v>橙泰坦27级</v>
          </cell>
          <cell r="B8370">
            <v>518227</v>
          </cell>
        </row>
        <row r="8371">
          <cell r="A8371" t="str">
            <v>橙泰坦28级</v>
          </cell>
          <cell r="B8371">
            <v>518228</v>
          </cell>
        </row>
        <row r="8372">
          <cell r="A8372" t="str">
            <v>橙泰坦29级</v>
          </cell>
          <cell r="B8372">
            <v>518229</v>
          </cell>
        </row>
        <row r="8373">
          <cell r="A8373" t="str">
            <v>橙泰坦30级</v>
          </cell>
          <cell r="B8373">
            <v>518230</v>
          </cell>
        </row>
        <row r="8374">
          <cell r="A8374" t="str">
            <v>橙泰坦31级</v>
          </cell>
          <cell r="B8374">
            <v>518231</v>
          </cell>
        </row>
        <row r="8375">
          <cell r="A8375" t="str">
            <v>橙泰坦32级</v>
          </cell>
          <cell r="B8375">
            <v>518232</v>
          </cell>
        </row>
        <row r="8376">
          <cell r="A8376" t="str">
            <v>橙泰坦33级</v>
          </cell>
          <cell r="B8376">
            <v>518233</v>
          </cell>
        </row>
        <row r="8377">
          <cell r="A8377" t="str">
            <v>橙泰坦34级</v>
          </cell>
          <cell r="B8377">
            <v>518234</v>
          </cell>
        </row>
        <row r="8378">
          <cell r="A8378" t="str">
            <v>橙泰坦35级</v>
          </cell>
          <cell r="B8378">
            <v>518235</v>
          </cell>
        </row>
        <row r="8379">
          <cell r="A8379" t="str">
            <v>橙泰坦36级</v>
          </cell>
          <cell r="B8379">
            <v>518236</v>
          </cell>
        </row>
        <row r="8380">
          <cell r="A8380" t="str">
            <v>橙泰坦37级</v>
          </cell>
          <cell r="B8380">
            <v>518237</v>
          </cell>
        </row>
        <row r="8381">
          <cell r="A8381" t="str">
            <v>橙泰坦38级</v>
          </cell>
          <cell r="B8381">
            <v>518238</v>
          </cell>
        </row>
        <row r="8382">
          <cell r="A8382" t="str">
            <v>橙泰坦39级</v>
          </cell>
          <cell r="B8382">
            <v>518239</v>
          </cell>
        </row>
        <row r="8383">
          <cell r="A8383" t="str">
            <v>橙泰坦40级</v>
          </cell>
          <cell r="B8383">
            <v>518240</v>
          </cell>
        </row>
        <row r="8384">
          <cell r="A8384" t="str">
            <v>橙泰坦41级</v>
          </cell>
          <cell r="B8384">
            <v>518241</v>
          </cell>
        </row>
        <row r="8385">
          <cell r="A8385" t="str">
            <v>橙泰坦42级</v>
          </cell>
          <cell r="B8385">
            <v>518242</v>
          </cell>
        </row>
        <row r="8386">
          <cell r="A8386" t="str">
            <v>橙泰坦43级</v>
          </cell>
          <cell r="B8386">
            <v>518243</v>
          </cell>
        </row>
        <row r="8387">
          <cell r="A8387" t="str">
            <v>橙泰坦44级</v>
          </cell>
          <cell r="B8387">
            <v>518244</v>
          </cell>
        </row>
        <row r="8388">
          <cell r="A8388" t="str">
            <v>橙泰坦45级</v>
          </cell>
          <cell r="B8388">
            <v>518245</v>
          </cell>
        </row>
        <row r="8389">
          <cell r="A8389" t="str">
            <v>橙泰坦46级</v>
          </cell>
          <cell r="B8389">
            <v>518246</v>
          </cell>
        </row>
        <row r="8390">
          <cell r="A8390" t="str">
            <v>橙泰坦47级</v>
          </cell>
          <cell r="B8390">
            <v>518247</v>
          </cell>
        </row>
        <row r="8391">
          <cell r="A8391" t="str">
            <v>橙泰坦48级</v>
          </cell>
          <cell r="B8391">
            <v>518248</v>
          </cell>
        </row>
        <row r="8392">
          <cell r="A8392" t="str">
            <v>橙泰坦49级</v>
          </cell>
          <cell r="B8392">
            <v>518249</v>
          </cell>
        </row>
        <row r="8393">
          <cell r="A8393" t="str">
            <v>橙泰坦50级</v>
          </cell>
          <cell r="B8393">
            <v>518250</v>
          </cell>
        </row>
        <row r="8394">
          <cell r="A8394" t="str">
            <v>橙泰坦51级</v>
          </cell>
          <cell r="B8394">
            <v>518251</v>
          </cell>
        </row>
        <row r="8395">
          <cell r="A8395" t="str">
            <v>橙泰坦52级</v>
          </cell>
          <cell r="B8395">
            <v>518252</v>
          </cell>
        </row>
        <row r="8396">
          <cell r="A8396" t="str">
            <v>橙泰坦53级</v>
          </cell>
          <cell r="B8396">
            <v>518253</v>
          </cell>
        </row>
        <row r="8397">
          <cell r="A8397" t="str">
            <v>橙泰坦54级</v>
          </cell>
          <cell r="B8397">
            <v>518254</v>
          </cell>
        </row>
        <row r="8398">
          <cell r="A8398" t="str">
            <v>橙泰坦55级</v>
          </cell>
          <cell r="B8398">
            <v>518255</v>
          </cell>
        </row>
        <row r="8399">
          <cell r="A8399" t="str">
            <v>橙泰坦56级</v>
          </cell>
          <cell r="B8399">
            <v>518256</v>
          </cell>
        </row>
        <row r="8400">
          <cell r="A8400" t="str">
            <v>橙泰坦57级</v>
          </cell>
          <cell r="B8400">
            <v>518257</v>
          </cell>
        </row>
        <row r="8401">
          <cell r="A8401" t="str">
            <v>橙泰坦58级</v>
          </cell>
          <cell r="B8401">
            <v>518258</v>
          </cell>
        </row>
        <row r="8402">
          <cell r="A8402" t="str">
            <v>橙泰坦59级</v>
          </cell>
          <cell r="B8402">
            <v>518259</v>
          </cell>
        </row>
        <row r="8403">
          <cell r="A8403" t="str">
            <v>橙泰坦60级</v>
          </cell>
          <cell r="B8403">
            <v>518260</v>
          </cell>
        </row>
        <row r="8404">
          <cell r="A8404" t="str">
            <v>红泰坦1级</v>
          </cell>
          <cell r="B8404">
            <v>518301</v>
          </cell>
        </row>
        <row r="8405">
          <cell r="A8405" t="str">
            <v>红泰坦2级</v>
          </cell>
          <cell r="B8405">
            <v>518302</v>
          </cell>
        </row>
        <row r="8406">
          <cell r="A8406" t="str">
            <v>红泰坦3级</v>
          </cell>
          <cell r="B8406">
            <v>518303</v>
          </cell>
        </row>
        <row r="8407">
          <cell r="A8407" t="str">
            <v>红泰坦4级</v>
          </cell>
          <cell r="B8407">
            <v>518304</v>
          </cell>
        </row>
        <row r="8408">
          <cell r="A8408" t="str">
            <v>红泰坦5级</v>
          </cell>
          <cell r="B8408">
            <v>518305</v>
          </cell>
        </row>
        <row r="8409">
          <cell r="A8409" t="str">
            <v>红泰坦6级</v>
          </cell>
          <cell r="B8409">
            <v>518306</v>
          </cell>
        </row>
        <row r="8410">
          <cell r="A8410" t="str">
            <v>红泰坦7级</v>
          </cell>
          <cell r="B8410">
            <v>518307</v>
          </cell>
        </row>
        <row r="8411">
          <cell r="A8411" t="str">
            <v>红泰坦8级</v>
          </cell>
          <cell r="B8411">
            <v>518308</v>
          </cell>
        </row>
        <row r="8412">
          <cell r="A8412" t="str">
            <v>红泰坦9级</v>
          </cell>
          <cell r="B8412">
            <v>518309</v>
          </cell>
        </row>
        <row r="8413">
          <cell r="A8413" t="str">
            <v>红泰坦10级</v>
          </cell>
          <cell r="B8413">
            <v>518310</v>
          </cell>
        </row>
        <row r="8414">
          <cell r="A8414" t="str">
            <v>红泰坦11级</v>
          </cell>
          <cell r="B8414">
            <v>518311</v>
          </cell>
        </row>
        <row r="8415">
          <cell r="A8415" t="str">
            <v>红泰坦12级</v>
          </cell>
          <cell r="B8415">
            <v>518312</v>
          </cell>
        </row>
        <row r="8416">
          <cell r="A8416" t="str">
            <v>红泰坦13级</v>
          </cell>
          <cell r="B8416">
            <v>518313</v>
          </cell>
        </row>
        <row r="8417">
          <cell r="A8417" t="str">
            <v>红泰坦14级</v>
          </cell>
          <cell r="B8417">
            <v>518314</v>
          </cell>
        </row>
        <row r="8418">
          <cell r="A8418" t="str">
            <v>红泰坦15级</v>
          </cell>
          <cell r="B8418">
            <v>518315</v>
          </cell>
        </row>
        <row r="8419">
          <cell r="A8419" t="str">
            <v>红泰坦16级</v>
          </cell>
          <cell r="B8419">
            <v>518316</v>
          </cell>
        </row>
        <row r="8420">
          <cell r="A8420" t="str">
            <v>红泰坦17级</v>
          </cell>
          <cell r="B8420">
            <v>518317</v>
          </cell>
        </row>
        <row r="8421">
          <cell r="A8421" t="str">
            <v>红泰坦18级</v>
          </cell>
          <cell r="B8421">
            <v>518318</v>
          </cell>
        </row>
        <row r="8422">
          <cell r="A8422" t="str">
            <v>红泰坦19级</v>
          </cell>
          <cell r="B8422">
            <v>518319</v>
          </cell>
        </row>
        <row r="8423">
          <cell r="A8423" t="str">
            <v>红泰坦20级</v>
          </cell>
          <cell r="B8423">
            <v>518320</v>
          </cell>
        </row>
        <row r="8424">
          <cell r="A8424" t="str">
            <v>红泰坦21级</v>
          </cell>
          <cell r="B8424">
            <v>518321</v>
          </cell>
        </row>
        <row r="8425">
          <cell r="A8425" t="str">
            <v>红泰坦22级</v>
          </cell>
          <cell r="B8425">
            <v>518322</v>
          </cell>
        </row>
        <row r="8426">
          <cell r="A8426" t="str">
            <v>红泰坦23级</v>
          </cell>
          <cell r="B8426">
            <v>518323</v>
          </cell>
        </row>
        <row r="8427">
          <cell r="A8427" t="str">
            <v>红泰坦24级</v>
          </cell>
          <cell r="B8427">
            <v>518324</v>
          </cell>
        </row>
        <row r="8428">
          <cell r="A8428" t="str">
            <v>红泰坦25级</v>
          </cell>
          <cell r="B8428">
            <v>518325</v>
          </cell>
        </row>
        <row r="8429">
          <cell r="A8429" t="str">
            <v>红泰坦26级</v>
          </cell>
          <cell r="B8429">
            <v>518326</v>
          </cell>
        </row>
        <row r="8430">
          <cell r="A8430" t="str">
            <v>红泰坦27级</v>
          </cell>
          <cell r="B8430">
            <v>518327</v>
          </cell>
        </row>
        <row r="8431">
          <cell r="A8431" t="str">
            <v>红泰坦28级</v>
          </cell>
          <cell r="B8431">
            <v>518328</v>
          </cell>
        </row>
        <row r="8432">
          <cell r="A8432" t="str">
            <v>红泰坦29级</v>
          </cell>
          <cell r="B8432">
            <v>518329</v>
          </cell>
        </row>
        <row r="8433">
          <cell r="A8433" t="str">
            <v>红泰坦30级</v>
          </cell>
          <cell r="B8433">
            <v>518330</v>
          </cell>
        </row>
        <row r="8434">
          <cell r="A8434" t="str">
            <v>红泰坦31级</v>
          </cell>
          <cell r="B8434">
            <v>518331</v>
          </cell>
        </row>
        <row r="8435">
          <cell r="A8435" t="str">
            <v>红泰坦32级</v>
          </cell>
          <cell r="B8435">
            <v>518332</v>
          </cell>
        </row>
        <row r="8436">
          <cell r="A8436" t="str">
            <v>红泰坦33级</v>
          </cell>
          <cell r="B8436">
            <v>518333</v>
          </cell>
        </row>
        <row r="8437">
          <cell r="A8437" t="str">
            <v>红泰坦34级</v>
          </cell>
          <cell r="B8437">
            <v>518334</v>
          </cell>
        </row>
        <row r="8438">
          <cell r="A8438" t="str">
            <v>红泰坦35级</v>
          </cell>
          <cell r="B8438">
            <v>518335</v>
          </cell>
        </row>
        <row r="8439">
          <cell r="A8439" t="str">
            <v>红泰坦36级</v>
          </cell>
          <cell r="B8439">
            <v>518336</v>
          </cell>
        </row>
        <row r="8440">
          <cell r="A8440" t="str">
            <v>红泰坦37级</v>
          </cell>
          <cell r="B8440">
            <v>518337</v>
          </cell>
        </row>
        <row r="8441">
          <cell r="A8441" t="str">
            <v>红泰坦38级</v>
          </cell>
          <cell r="B8441">
            <v>518338</v>
          </cell>
        </row>
        <row r="8442">
          <cell r="A8442" t="str">
            <v>红泰坦39级</v>
          </cell>
          <cell r="B8442">
            <v>518339</v>
          </cell>
        </row>
        <row r="8443">
          <cell r="A8443" t="str">
            <v>红泰坦40级</v>
          </cell>
          <cell r="B8443">
            <v>518340</v>
          </cell>
        </row>
        <row r="8444">
          <cell r="A8444" t="str">
            <v>红泰坦41级</v>
          </cell>
          <cell r="B8444">
            <v>518341</v>
          </cell>
        </row>
        <row r="8445">
          <cell r="A8445" t="str">
            <v>红泰坦42级</v>
          </cell>
          <cell r="B8445">
            <v>518342</v>
          </cell>
        </row>
        <row r="8446">
          <cell r="A8446" t="str">
            <v>红泰坦43级</v>
          </cell>
          <cell r="B8446">
            <v>518343</v>
          </cell>
        </row>
        <row r="8447">
          <cell r="A8447" t="str">
            <v>红泰坦44级</v>
          </cell>
          <cell r="B8447">
            <v>518344</v>
          </cell>
        </row>
        <row r="8448">
          <cell r="A8448" t="str">
            <v>红泰坦45级</v>
          </cell>
          <cell r="B8448">
            <v>518345</v>
          </cell>
        </row>
        <row r="8449">
          <cell r="A8449" t="str">
            <v>红泰坦46级</v>
          </cell>
          <cell r="B8449">
            <v>518346</v>
          </cell>
        </row>
        <row r="8450">
          <cell r="A8450" t="str">
            <v>红泰坦47级</v>
          </cell>
          <cell r="B8450">
            <v>518347</v>
          </cell>
        </row>
        <row r="8451">
          <cell r="A8451" t="str">
            <v>红泰坦48级</v>
          </cell>
          <cell r="B8451">
            <v>518348</v>
          </cell>
        </row>
        <row r="8452">
          <cell r="A8452" t="str">
            <v>红泰坦49级</v>
          </cell>
          <cell r="B8452">
            <v>518349</v>
          </cell>
        </row>
        <row r="8453">
          <cell r="A8453" t="str">
            <v>红泰坦50级</v>
          </cell>
          <cell r="B8453">
            <v>518350</v>
          </cell>
        </row>
        <row r="8454">
          <cell r="A8454" t="str">
            <v>红泰坦51级</v>
          </cell>
          <cell r="B8454">
            <v>518351</v>
          </cell>
        </row>
        <row r="8455">
          <cell r="A8455" t="str">
            <v>红泰坦52级</v>
          </cell>
          <cell r="B8455">
            <v>518352</v>
          </cell>
        </row>
        <row r="8456">
          <cell r="A8456" t="str">
            <v>红泰坦53级</v>
          </cell>
          <cell r="B8456">
            <v>518353</v>
          </cell>
        </row>
        <row r="8457">
          <cell r="A8457" t="str">
            <v>红泰坦54级</v>
          </cell>
          <cell r="B8457">
            <v>518354</v>
          </cell>
        </row>
        <row r="8458">
          <cell r="A8458" t="str">
            <v>红泰坦55级</v>
          </cell>
          <cell r="B8458">
            <v>518355</v>
          </cell>
        </row>
        <row r="8459">
          <cell r="A8459" t="str">
            <v>红泰坦56级</v>
          </cell>
          <cell r="B8459">
            <v>518356</v>
          </cell>
        </row>
        <row r="8460">
          <cell r="A8460" t="str">
            <v>红泰坦57级</v>
          </cell>
          <cell r="B8460">
            <v>518357</v>
          </cell>
        </row>
        <row r="8461">
          <cell r="A8461" t="str">
            <v>红泰坦58级</v>
          </cell>
          <cell r="B8461">
            <v>518358</v>
          </cell>
        </row>
        <row r="8462">
          <cell r="A8462" t="str">
            <v>红泰坦59级</v>
          </cell>
          <cell r="B8462">
            <v>518359</v>
          </cell>
        </row>
        <row r="8463">
          <cell r="A8463" t="str">
            <v>红泰坦60级</v>
          </cell>
          <cell r="B8463">
            <v>518360</v>
          </cell>
        </row>
        <row r="8464">
          <cell r="A8464" t="str">
            <v>红泰坦61级</v>
          </cell>
          <cell r="B8464">
            <v>518361</v>
          </cell>
        </row>
        <row r="8465">
          <cell r="A8465" t="str">
            <v>红泰坦62级</v>
          </cell>
          <cell r="B8465">
            <v>518362</v>
          </cell>
        </row>
        <row r="8466">
          <cell r="A8466" t="str">
            <v>红泰坦63级</v>
          </cell>
          <cell r="B8466">
            <v>518363</v>
          </cell>
        </row>
        <row r="8467">
          <cell r="A8467" t="str">
            <v>红泰坦64级</v>
          </cell>
          <cell r="B8467">
            <v>518364</v>
          </cell>
        </row>
        <row r="8468">
          <cell r="A8468" t="str">
            <v>红泰坦65级</v>
          </cell>
          <cell r="B8468">
            <v>518365</v>
          </cell>
        </row>
        <row r="8469">
          <cell r="A8469" t="str">
            <v>红泰坦66级</v>
          </cell>
          <cell r="B8469">
            <v>518366</v>
          </cell>
        </row>
        <row r="8470">
          <cell r="A8470" t="str">
            <v>红泰坦67级</v>
          </cell>
          <cell r="B8470">
            <v>518367</v>
          </cell>
        </row>
        <row r="8471">
          <cell r="A8471" t="str">
            <v>红泰坦68级</v>
          </cell>
          <cell r="B8471">
            <v>518368</v>
          </cell>
        </row>
        <row r="8472">
          <cell r="A8472" t="str">
            <v>红泰坦69级</v>
          </cell>
          <cell r="B8472">
            <v>518369</v>
          </cell>
        </row>
        <row r="8473">
          <cell r="A8473" t="str">
            <v>红泰坦70级</v>
          </cell>
          <cell r="B8473">
            <v>518370</v>
          </cell>
        </row>
        <row r="8474">
          <cell r="A8474" t="str">
            <v>红泰坦71级</v>
          </cell>
          <cell r="B8474">
            <v>518371</v>
          </cell>
        </row>
        <row r="8475">
          <cell r="A8475" t="str">
            <v>红泰坦72级</v>
          </cell>
          <cell r="B8475">
            <v>518372</v>
          </cell>
        </row>
        <row r="8476">
          <cell r="A8476" t="str">
            <v>红泰坦73级</v>
          </cell>
          <cell r="B8476">
            <v>518373</v>
          </cell>
        </row>
        <row r="8477">
          <cell r="A8477" t="str">
            <v>红泰坦74级</v>
          </cell>
          <cell r="B8477">
            <v>518374</v>
          </cell>
        </row>
        <row r="8478">
          <cell r="A8478" t="str">
            <v>红泰坦75级</v>
          </cell>
          <cell r="B8478">
            <v>518375</v>
          </cell>
        </row>
        <row r="8479">
          <cell r="A8479" t="str">
            <v>红泰坦76级</v>
          </cell>
          <cell r="B8479">
            <v>518376</v>
          </cell>
        </row>
        <row r="8480">
          <cell r="A8480" t="str">
            <v>红泰坦77级</v>
          </cell>
          <cell r="B8480">
            <v>518377</v>
          </cell>
        </row>
        <row r="8481">
          <cell r="A8481" t="str">
            <v>红泰坦78级</v>
          </cell>
          <cell r="B8481">
            <v>518378</v>
          </cell>
        </row>
        <row r="8482">
          <cell r="A8482" t="str">
            <v>红泰坦79级</v>
          </cell>
          <cell r="B8482">
            <v>518379</v>
          </cell>
        </row>
        <row r="8483">
          <cell r="A8483" t="str">
            <v>红泰坦80级</v>
          </cell>
          <cell r="B8483">
            <v>518380</v>
          </cell>
        </row>
        <row r="8484">
          <cell r="A8484" t="str">
            <v>金泰坦1级</v>
          </cell>
          <cell r="B8484">
            <v>518401</v>
          </cell>
        </row>
        <row r="8485">
          <cell r="A8485" t="str">
            <v>金泰坦2级</v>
          </cell>
          <cell r="B8485">
            <v>518402</v>
          </cell>
        </row>
        <row r="8486">
          <cell r="A8486" t="str">
            <v>金泰坦3级</v>
          </cell>
          <cell r="B8486">
            <v>518403</v>
          </cell>
        </row>
        <row r="8487">
          <cell r="A8487" t="str">
            <v>金泰坦4级</v>
          </cell>
          <cell r="B8487">
            <v>518404</v>
          </cell>
        </row>
        <row r="8488">
          <cell r="A8488" t="str">
            <v>金泰坦5级</v>
          </cell>
          <cell r="B8488">
            <v>518405</v>
          </cell>
        </row>
        <row r="8489">
          <cell r="A8489" t="str">
            <v>金泰坦6级</v>
          </cell>
          <cell r="B8489">
            <v>518406</v>
          </cell>
        </row>
        <row r="8490">
          <cell r="A8490" t="str">
            <v>金泰坦7级</v>
          </cell>
          <cell r="B8490">
            <v>518407</v>
          </cell>
        </row>
        <row r="8491">
          <cell r="A8491" t="str">
            <v>金泰坦8级</v>
          </cell>
          <cell r="B8491">
            <v>518408</v>
          </cell>
        </row>
        <row r="8492">
          <cell r="A8492" t="str">
            <v>金泰坦9级</v>
          </cell>
          <cell r="B8492">
            <v>518409</v>
          </cell>
        </row>
        <row r="8493">
          <cell r="A8493" t="str">
            <v>金泰坦10级</v>
          </cell>
          <cell r="B8493">
            <v>518410</v>
          </cell>
        </row>
        <row r="8494">
          <cell r="A8494" t="str">
            <v>金泰坦11级</v>
          </cell>
          <cell r="B8494">
            <v>518411</v>
          </cell>
        </row>
        <row r="8495">
          <cell r="A8495" t="str">
            <v>金泰坦12级</v>
          </cell>
          <cell r="B8495">
            <v>518412</v>
          </cell>
        </row>
        <row r="8496">
          <cell r="A8496" t="str">
            <v>金泰坦13级</v>
          </cell>
          <cell r="B8496">
            <v>518413</v>
          </cell>
        </row>
        <row r="8497">
          <cell r="A8497" t="str">
            <v>金泰坦14级</v>
          </cell>
          <cell r="B8497">
            <v>518414</v>
          </cell>
        </row>
        <row r="8498">
          <cell r="A8498" t="str">
            <v>金泰坦15级</v>
          </cell>
          <cell r="B8498">
            <v>518415</v>
          </cell>
        </row>
        <row r="8499">
          <cell r="A8499" t="str">
            <v>金泰坦16级</v>
          </cell>
          <cell r="B8499">
            <v>518416</v>
          </cell>
        </row>
        <row r="8500">
          <cell r="A8500" t="str">
            <v>金泰坦17级</v>
          </cell>
          <cell r="B8500">
            <v>518417</v>
          </cell>
        </row>
        <row r="8501">
          <cell r="A8501" t="str">
            <v>金泰坦18级</v>
          </cell>
          <cell r="B8501">
            <v>518418</v>
          </cell>
        </row>
        <row r="8502">
          <cell r="A8502" t="str">
            <v>金泰坦19级</v>
          </cell>
          <cell r="B8502">
            <v>518419</v>
          </cell>
        </row>
        <row r="8503">
          <cell r="A8503" t="str">
            <v>金泰坦20级</v>
          </cell>
          <cell r="B8503">
            <v>518420</v>
          </cell>
        </row>
        <row r="8504">
          <cell r="A8504" t="str">
            <v>金泰坦21级</v>
          </cell>
          <cell r="B8504">
            <v>518421</v>
          </cell>
        </row>
        <row r="8505">
          <cell r="A8505" t="str">
            <v>金泰坦22级</v>
          </cell>
          <cell r="B8505">
            <v>518422</v>
          </cell>
        </row>
        <row r="8506">
          <cell r="A8506" t="str">
            <v>金泰坦23级</v>
          </cell>
          <cell r="B8506">
            <v>518423</v>
          </cell>
        </row>
        <row r="8507">
          <cell r="A8507" t="str">
            <v>金泰坦24级</v>
          </cell>
          <cell r="B8507">
            <v>518424</v>
          </cell>
        </row>
        <row r="8508">
          <cell r="A8508" t="str">
            <v>金泰坦25级</v>
          </cell>
          <cell r="B8508">
            <v>518425</v>
          </cell>
        </row>
        <row r="8509">
          <cell r="A8509" t="str">
            <v>金泰坦26级</v>
          </cell>
          <cell r="B8509">
            <v>518426</v>
          </cell>
        </row>
        <row r="8510">
          <cell r="A8510" t="str">
            <v>金泰坦27级</v>
          </cell>
          <cell r="B8510">
            <v>518427</v>
          </cell>
        </row>
        <row r="8511">
          <cell r="A8511" t="str">
            <v>金泰坦28级</v>
          </cell>
          <cell r="B8511">
            <v>518428</v>
          </cell>
        </row>
        <row r="8512">
          <cell r="A8512" t="str">
            <v>金泰坦29级</v>
          </cell>
          <cell r="B8512">
            <v>518429</v>
          </cell>
        </row>
        <row r="8513">
          <cell r="A8513" t="str">
            <v>金泰坦30级</v>
          </cell>
          <cell r="B8513">
            <v>518430</v>
          </cell>
        </row>
        <row r="8514">
          <cell r="A8514" t="str">
            <v>金泰坦31级</v>
          </cell>
          <cell r="B8514">
            <v>518431</v>
          </cell>
        </row>
        <row r="8515">
          <cell r="A8515" t="str">
            <v>金泰坦32级</v>
          </cell>
          <cell r="B8515">
            <v>518432</v>
          </cell>
        </row>
        <row r="8516">
          <cell r="A8516" t="str">
            <v>金泰坦33级</v>
          </cell>
          <cell r="B8516">
            <v>518433</v>
          </cell>
        </row>
        <row r="8517">
          <cell r="A8517" t="str">
            <v>金泰坦34级</v>
          </cell>
          <cell r="B8517">
            <v>518434</v>
          </cell>
        </row>
        <row r="8518">
          <cell r="A8518" t="str">
            <v>金泰坦35级</v>
          </cell>
          <cell r="B8518">
            <v>518435</v>
          </cell>
        </row>
        <row r="8519">
          <cell r="A8519" t="str">
            <v>金泰坦36级</v>
          </cell>
          <cell r="B8519">
            <v>518436</v>
          </cell>
        </row>
        <row r="8520">
          <cell r="A8520" t="str">
            <v>金泰坦37级</v>
          </cell>
          <cell r="B8520">
            <v>518437</v>
          </cell>
        </row>
        <row r="8521">
          <cell r="A8521" t="str">
            <v>金泰坦38级</v>
          </cell>
          <cell r="B8521">
            <v>518438</v>
          </cell>
        </row>
        <row r="8522">
          <cell r="A8522" t="str">
            <v>金泰坦39级</v>
          </cell>
          <cell r="B8522">
            <v>518439</v>
          </cell>
        </row>
        <row r="8523">
          <cell r="A8523" t="str">
            <v>金泰坦40级</v>
          </cell>
          <cell r="B8523">
            <v>518440</v>
          </cell>
        </row>
        <row r="8524">
          <cell r="A8524" t="str">
            <v>金泰坦41级</v>
          </cell>
          <cell r="B8524">
            <v>518441</v>
          </cell>
        </row>
        <row r="8525">
          <cell r="A8525" t="str">
            <v>金泰坦42级</v>
          </cell>
          <cell r="B8525">
            <v>518442</v>
          </cell>
        </row>
        <row r="8526">
          <cell r="A8526" t="str">
            <v>金泰坦43级</v>
          </cell>
          <cell r="B8526">
            <v>518443</v>
          </cell>
        </row>
        <row r="8527">
          <cell r="A8527" t="str">
            <v>金泰坦44级</v>
          </cell>
          <cell r="B8527">
            <v>518444</v>
          </cell>
        </row>
        <row r="8528">
          <cell r="A8528" t="str">
            <v>金泰坦45级</v>
          </cell>
          <cell r="B8528">
            <v>518445</v>
          </cell>
        </row>
        <row r="8529">
          <cell r="A8529" t="str">
            <v>金泰坦46级</v>
          </cell>
          <cell r="B8529">
            <v>518446</v>
          </cell>
        </row>
        <row r="8530">
          <cell r="A8530" t="str">
            <v>金泰坦47级</v>
          </cell>
          <cell r="B8530">
            <v>518447</v>
          </cell>
        </row>
        <row r="8531">
          <cell r="A8531" t="str">
            <v>金泰坦48级</v>
          </cell>
          <cell r="B8531">
            <v>518448</v>
          </cell>
        </row>
        <row r="8532">
          <cell r="A8532" t="str">
            <v>金泰坦49级</v>
          </cell>
          <cell r="B8532">
            <v>518449</v>
          </cell>
        </row>
        <row r="8533">
          <cell r="A8533" t="str">
            <v>金泰坦50级</v>
          </cell>
          <cell r="B8533">
            <v>518450</v>
          </cell>
        </row>
        <row r="8534">
          <cell r="A8534" t="str">
            <v>金泰坦51级</v>
          </cell>
          <cell r="B8534">
            <v>518451</v>
          </cell>
        </row>
        <row r="8535">
          <cell r="A8535" t="str">
            <v>金泰坦52级</v>
          </cell>
          <cell r="B8535">
            <v>518452</v>
          </cell>
        </row>
        <row r="8536">
          <cell r="A8536" t="str">
            <v>金泰坦53级</v>
          </cell>
          <cell r="B8536">
            <v>518453</v>
          </cell>
        </row>
        <row r="8537">
          <cell r="A8537" t="str">
            <v>金泰坦54级</v>
          </cell>
          <cell r="B8537">
            <v>518454</v>
          </cell>
        </row>
        <row r="8538">
          <cell r="A8538" t="str">
            <v>金泰坦55级</v>
          </cell>
          <cell r="B8538">
            <v>518455</v>
          </cell>
        </row>
        <row r="8539">
          <cell r="A8539" t="str">
            <v>金泰坦56级</v>
          </cell>
          <cell r="B8539">
            <v>518456</v>
          </cell>
        </row>
        <row r="8540">
          <cell r="A8540" t="str">
            <v>金泰坦57级</v>
          </cell>
          <cell r="B8540">
            <v>518457</v>
          </cell>
        </row>
        <row r="8541">
          <cell r="A8541" t="str">
            <v>金泰坦58级</v>
          </cell>
          <cell r="B8541">
            <v>518458</v>
          </cell>
        </row>
        <row r="8542">
          <cell r="A8542" t="str">
            <v>金泰坦59级</v>
          </cell>
          <cell r="B8542">
            <v>518459</v>
          </cell>
        </row>
        <row r="8543">
          <cell r="A8543" t="str">
            <v>金泰坦60级</v>
          </cell>
          <cell r="B8543">
            <v>518460</v>
          </cell>
        </row>
        <row r="8544">
          <cell r="A8544" t="str">
            <v>金泰坦61级</v>
          </cell>
          <cell r="B8544">
            <v>518461</v>
          </cell>
        </row>
        <row r="8545">
          <cell r="A8545" t="str">
            <v>金泰坦62级</v>
          </cell>
          <cell r="B8545">
            <v>518462</v>
          </cell>
        </row>
        <row r="8546">
          <cell r="A8546" t="str">
            <v>金泰坦63级</v>
          </cell>
          <cell r="B8546">
            <v>518463</v>
          </cell>
        </row>
        <row r="8547">
          <cell r="A8547" t="str">
            <v>金泰坦64级</v>
          </cell>
          <cell r="B8547">
            <v>518464</v>
          </cell>
        </row>
        <row r="8548">
          <cell r="A8548" t="str">
            <v>金泰坦65级</v>
          </cell>
          <cell r="B8548">
            <v>518465</v>
          </cell>
        </row>
        <row r="8549">
          <cell r="A8549" t="str">
            <v>金泰坦66级</v>
          </cell>
          <cell r="B8549">
            <v>518466</v>
          </cell>
        </row>
        <row r="8550">
          <cell r="A8550" t="str">
            <v>金泰坦67级</v>
          </cell>
          <cell r="B8550">
            <v>518467</v>
          </cell>
        </row>
        <row r="8551">
          <cell r="A8551" t="str">
            <v>金泰坦68级</v>
          </cell>
          <cell r="B8551">
            <v>518468</v>
          </cell>
        </row>
        <row r="8552">
          <cell r="A8552" t="str">
            <v>金泰坦69级</v>
          </cell>
          <cell r="B8552">
            <v>518469</v>
          </cell>
        </row>
        <row r="8553">
          <cell r="A8553" t="str">
            <v>金泰坦70级</v>
          </cell>
          <cell r="B8553">
            <v>518470</v>
          </cell>
        </row>
        <row r="8554">
          <cell r="A8554" t="str">
            <v>金泰坦71级</v>
          </cell>
          <cell r="B8554">
            <v>518471</v>
          </cell>
        </row>
        <row r="8555">
          <cell r="A8555" t="str">
            <v>金泰坦72级</v>
          </cell>
          <cell r="B8555">
            <v>518472</v>
          </cell>
        </row>
        <row r="8556">
          <cell r="A8556" t="str">
            <v>金泰坦73级</v>
          </cell>
          <cell r="B8556">
            <v>518473</v>
          </cell>
        </row>
        <row r="8557">
          <cell r="A8557" t="str">
            <v>金泰坦74级</v>
          </cell>
          <cell r="B8557">
            <v>518474</v>
          </cell>
        </row>
        <row r="8558">
          <cell r="A8558" t="str">
            <v>金泰坦75级</v>
          </cell>
          <cell r="B8558">
            <v>518475</v>
          </cell>
        </row>
        <row r="8559">
          <cell r="A8559" t="str">
            <v>金泰坦76级</v>
          </cell>
          <cell r="B8559">
            <v>518476</v>
          </cell>
        </row>
        <row r="8560">
          <cell r="A8560" t="str">
            <v>金泰坦77级</v>
          </cell>
          <cell r="B8560">
            <v>518477</v>
          </cell>
        </row>
        <row r="8561">
          <cell r="A8561" t="str">
            <v>金泰坦78级</v>
          </cell>
          <cell r="B8561">
            <v>518478</v>
          </cell>
        </row>
        <row r="8562">
          <cell r="A8562" t="str">
            <v>金泰坦79级</v>
          </cell>
          <cell r="B8562">
            <v>518479</v>
          </cell>
        </row>
        <row r="8563">
          <cell r="A8563" t="str">
            <v>金泰坦80级</v>
          </cell>
          <cell r="B8563">
            <v>518480</v>
          </cell>
        </row>
        <row r="8564">
          <cell r="A8564" t="str">
            <v>金泰坦81级</v>
          </cell>
          <cell r="B8564">
            <v>518481</v>
          </cell>
        </row>
        <row r="8565">
          <cell r="A8565" t="str">
            <v>金泰坦82级</v>
          </cell>
          <cell r="B8565">
            <v>518482</v>
          </cell>
        </row>
        <row r="8566">
          <cell r="A8566" t="str">
            <v>金泰坦83级</v>
          </cell>
          <cell r="B8566">
            <v>518483</v>
          </cell>
        </row>
        <row r="8567">
          <cell r="A8567" t="str">
            <v>金泰坦84级</v>
          </cell>
          <cell r="B8567">
            <v>518484</v>
          </cell>
        </row>
        <row r="8568">
          <cell r="A8568" t="str">
            <v>金泰坦85级</v>
          </cell>
          <cell r="B8568">
            <v>518485</v>
          </cell>
        </row>
        <row r="8569">
          <cell r="A8569" t="str">
            <v>金泰坦86级</v>
          </cell>
          <cell r="B8569">
            <v>518486</v>
          </cell>
        </row>
        <row r="8570">
          <cell r="A8570" t="str">
            <v>金泰坦87级</v>
          </cell>
          <cell r="B8570">
            <v>518487</v>
          </cell>
        </row>
        <row r="8571">
          <cell r="A8571" t="str">
            <v>金泰坦88级</v>
          </cell>
          <cell r="B8571">
            <v>518488</v>
          </cell>
        </row>
        <row r="8572">
          <cell r="A8572" t="str">
            <v>金泰坦89级</v>
          </cell>
          <cell r="B8572">
            <v>518489</v>
          </cell>
        </row>
        <row r="8573">
          <cell r="A8573" t="str">
            <v>金泰坦90级</v>
          </cell>
          <cell r="B8573">
            <v>518490</v>
          </cell>
        </row>
        <row r="8574">
          <cell r="A8574" t="str">
            <v>金泰坦91级</v>
          </cell>
          <cell r="B8574">
            <v>518491</v>
          </cell>
        </row>
        <row r="8575">
          <cell r="A8575" t="str">
            <v>金泰坦92级</v>
          </cell>
          <cell r="B8575">
            <v>518492</v>
          </cell>
        </row>
        <row r="8576">
          <cell r="A8576" t="str">
            <v>金泰坦93级</v>
          </cell>
          <cell r="B8576">
            <v>518493</v>
          </cell>
        </row>
        <row r="8577">
          <cell r="A8577" t="str">
            <v>金泰坦94级</v>
          </cell>
          <cell r="B8577">
            <v>518494</v>
          </cell>
        </row>
        <row r="8578">
          <cell r="A8578" t="str">
            <v>金泰坦95级</v>
          </cell>
          <cell r="B8578">
            <v>518495</v>
          </cell>
        </row>
        <row r="8579">
          <cell r="A8579" t="str">
            <v>金泰坦96级</v>
          </cell>
          <cell r="B8579">
            <v>518496</v>
          </cell>
        </row>
        <row r="8580">
          <cell r="A8580" t="str">
            <v>金泰坦97级</v>
          </cell>
          <cell r="B8580">
            <v>518497</v>
          </cell>
        </row>
        <row r="8581">
          <cell r="A8581" t="str">
            <v>金泰坦98级</v>
          </cell>
          <cell r="B8581">
            <v>518498</v>
          </cell>
        </row>
        <row r="8582">
          <cell r="A8582" t="str">
            <v>金泰坦99级</v>
          </cell>
          <cell r="B8582">
            <v>518499</v>
          </cell>
        </row>
        <row r="8583">
          <cell r="A8583" t="str">
            <v>闯天关每日奖励1</v>
          </cell>
          <cell r="B8583">
            <v>250001</v>
          </cell>
        </row>
        <row r="8584">
          <cell r="A8584" t="str">
            <v>闯天关每日奖励2</v>
          </cell>
          <cell r="B8584">
            <v>250002</v>
          </cell>
        </row>
        <row r="8585">
          <cell r="A8585" t="str">
            <v>闯天关每日奖励3</v>
          </cell>
          <cell r="B8585">
            <v>250003</v>
          </cell>
        </row>
        <row r="8586">
          <cell r="A8586" t="str">
            <v>闯天关每日奖励4</v>
          </cell>
          <cell r="B8586">
            <v>250004</v>
          </cell>
        </row>
        <row r="8587">
          <cell r="A8587" t="str">
            <v>闯天关每日奖励5</v>
          </cell>
          <cell r="B8587">
            <v>250005</v>
          </cell>
        </row>
        <row r="8588">
          <cell r="A8588" t="str">
            <v>闯天关每日奖励6</v>
          </cell>
          <cell r="B8588">
            <v>250006</v>
          </cell>
        </row>
        <row r="8589">
          <cell r="A8589" t="str">
            <v>闯天关每日奖励7</v>
          </cell>
          <cell r="B8589">
            <v>250007</v>
          </cell>
        </row>
        <row r="8590">
          <cell r="A8590" t="str">
            <v>闯天关每日奖励8</v>
          </cell>
          <cell r="B8590">
            <v>250008</v>
          </cell>
        </row>
        <row r="8591">
          <cell r="A8591" t="str">
            <v>闯天关每日奖励9</v>
          </cell>
          <cell r="B8591">
            <v>250009</v>
          </cell>
        </row>
        <row r="8592">
          <cell r="A8592" t="str">
            <v>闯天关每日奖励10</v>
          </cell>
          <cell r="B8592">
            <v>250010</v>
          </cell>
        </row>
        <row r="8593">
          <cell r="A8593" t="str">
            <v>闯天关每日奖励11</v>
          </cell>
          <cell r="B8593">
            <v>250011</v>
          </cell>
        </row>
        <row r="8594">
          <cell r="A8594" t="str">
            <v>闯天关每日奖励12</v>
          </cell>
          <cell r="B8594">
            <v>250012</v>
          </cell>
        </row>
        <row r="8595">
          <cell r="A8595" t="str">
            <v>闯天关每日奖励13</v>
          </cell>
          <cell r="B8595">
            <v>250013</v>
          </cell>
        </row>
        <row r="8596">
          <cell r="A8596" t="str">
            <v>闯天关每日奖励14</v>
          </cell>
          <cell r="B8596">
            <v>250014</v>
          </cell>
        </row>
        <row r="8597">
          <cell r="A8597" t="str">
            <v>闯天关每日奖励15</v>
          </cell>
          <cell r="B8597">
            <v>250015</v>
          </cell>
        </row>
        <row r="8598">
          <cell r="A8598" t="str">
            <v>闯天关每日奖励16</v>
          </cell>
          <cell r="B8598">
            <v>250016</v>
          </cell>
        </row>
        <row r="8599">
          <cell r="A8599" t="str">
            <v>闯天关每日奖励17</v>
          </cell>
          <cell r="B8599">
            <v>250017</v>
          </cell>
        </row>
        <row r="8600">
          <cell r="A8600" t="str">
            <v>闯天关每日奖励18</v>
          </cell>
          <cell r="B8600">
            <v>250018</v>
          </cell>
        </row>
        <row r="8601">
          <cell r="A8601" t="str">
            <v>闯天关每日奖励19</v>
          </cell>
          <cell r="B8601">
            <v>250019</v>
          </cell>
        </row>
        <row r="8602">
          <cell r="A8602" t="str">
            <v>闯天关每日奖励20</v>
          </cell>
          <cell r="B8602">
            <v>250020</v>
          </cell>
        </row>
        <row r="8603">
          <cell r="A8603" t="str">
            <v>闯天关每日奖励21</v>
          </cell>
          <cell r="B8603">
            <v>250021</v>
          </cell>
        </row>
        <row r="8604">
          <cell r="A8604" t="str">
            <v>闯天关每日奖励22</v>
          </cell>
          <cell r="B8604">
            <v>250022</v>
          </cell>
        </row>
        <row r="8605">
          <cell r="A8605" t="str">
            <v>闯天关每日奖励23</v>
          </cell>
          <cell r="B8605">
            <v>250023</v>
          </cell>
        </row>
        <row r="8606">
          <cell r="A8606" t="str">
            <v>闯天关每日奖励24</v>
          </cell>
          <cell r="B8606">
            <v>250024</v>
          </cell>
        </row>
        <row r="8607">
          <cell r="A8607" t="str">
            <v>闯天关每日奖励25</v>
          </cell>
          <cell r="B8607">
            <v>250025</v>
          </cell>
        </row>
        <row r="8608">
          <cell r="A8608" t="str">
            <v>闯天关每日奖励26</v>
          </cell>
          <cell r="B8608">
            <v>250026</v>
          </cell>
        </row>
        <row r="8609">
          <cell r="A8609" t="str">
            <v>闯天关每日奖励27</v>
          </cell>
          <cell r="B8609">
            <v>250027</v>
          </cell>
        </row>
        <row r="8610">
          <cell r="A8610" t="str">
            <v>闯天关每日奖励28</v>
          </cell>
          <cell r="B8610">
            <v>250028</v>
          </cell>
        </row>
        <row r="8611">
          <cell r="A8611" t="str">
            <v>闯天关每日奖励29</v>
          </cell>
          <cell r="B8611">
            <v>250029</v>
          </cell>
        </row>
        <row r="8612">
          <cell r="A8612" t="str">
            <v>闯天关每日奖励30</v>
          </cell>
          <cell r="B8612">
            <v>250030</v>
          </cell>
        </row>
        <row r="8613">
          <cell r="A8613" t="str">
            <v>闯天关每日奖励31</v>
          </cell>
          <cell r="B8613">
            <v>250031</v>
          </cell>
        </row>
        <row r="8614">
          <cell r="A8614" t="str">
            <v>闯天关每日奖励32</v>
          </cell>
          <cell r="B8614">
            <v>250032</v>
          </cell>
        </row>
        <row r="8615">
          <cell r="A8615" t="str">
            <v>闯天关每日奖励33</v>
          </cell>
          <cell r="B8615">
            <v>250033</v>
          </cell>
        </row>
        <row r="8616">
          <cell r="A8616" t="str">
            <v>闯天关每日奖励34</v>
          </cell>
          <cell r="B8616">
            <v>250034</v>
          </cell>
        </row>
        <row r="8617">
          <cell r="A8617" t="str">
            <v>闯天关每日奖励35</v>
          </cell>
          <cell r="B8617">
            <v>250035</v>
          </cell>
        </row>
        <row r="8618">
          <cell r="A8618" t="str">
            <v>闯天关每日奖励36</v>
          </cell>
          <cell r="B8618">
            <v>250036</v>
          </cell>
        </row>
        <row r="8619">
          <cell r="A8619" t="str">
            <v>闯天关每日奖励37</v>
          </cell>
          <cell r="B8619">
            <v>250037</v>
          </cell>
        </row>
        <row r="8620">
          <cell r="A8620" t="str">
            <v>闯天关每日奖励38</v>
          </cell>
          <cell r="B8620">
            <v>250038</v>
          </cell>
        </row>
        <row r="8621">
          <cell r="A8621" t="str">
            <v>闯天关每日奖励39</v>
          </cell>
          <cell r="B8621">
            <v>250039</v>
          </cell>
        </row>
        <row r="8622">
          <cell r="A8622" t="str">
            <v>闯天关每日奖励40</v>
          </cell>
          <cell r="B8622">
            <v>250040</v>
          </cell>
        </row>
        <row r="8623">
          <cell r="A8623" t="str">
            <v>闯天关每日奖励41</v>
          </cell>
          <cell r="B8623">
            <v>250041</v>
          </cell>
        </row>
        <row r="8624">
          <cell r="A8624" t="str">
            <v>闯天关每日奖励42</v>
          </cell>
          <cell r="B8624">
            <v>250042</v>
          </cell>
        </row>
        <row r="8625">
          <cell r="A8625" t="str">
            <v>闯天关每日奖励43</v>
          </cell>
          <cell r="B8625">
            <v>250043</v>
          </cell>
        </row>
        <row r="8626">
          <cell r="A8626" t="str">
            <v>闯天关每日奖励44</v>
          </cell>
          <cell r="B8626">
            <v>250044</v>
          </cell>
        </row>
        <row r="8627">
          <cell r="A8627" t="str">
            <v>闯天关每日奖励45</v>
          </cell>
          <cell r="B8627">
            <v>250045</v>
          </cell>
        </row>
        <row r="8628">
          <cell r="A8628" t="str">
            <v>闯天关每日奖励46</v>
          </cell>
          <cell r="B8628">
            <v>250046</v>
          </cell>
        </row>
        <row r="8629">
          <cell r="A8629" t="str">
            <v>闯天关每日奖励47</v>
          </cell>
          <cell r="B8629">
            <v>250047</v>
          </cell>
        </row>
        <row r="8630">
          <cell r="A8630" t="str">
            <v>闯天关每日奖励48</v>
          </cell>
          <cell r="B8630">
            <v>250048</v>
          </cell>
        </row>
        <row r="8631">
          <cell r="A8631" t="str">
            <v>闯天关每日奖励49</v>
          </cell>
          <cell r="B8631">
            <v>250049</v>
          </cell>
        </row>
        <row r="8632">
          <cell r="A8632" t="str">
            <v>闯天关每日奖励50</v>
          </cell>
          <cell r="B8632">
            <v>250050</v>
          </cell>
        </row>
        <row r="8633">
          <cell r="A8633" t="str">
            <v>闯天关每日奖励51</v>
          </cell>
          <cell r="B8633">
            <v>250051</v>
          </cell>
        </row>
        <row r="8634">
          <cell r="A8634" t="str">
            <v>闯天关每日奖励52</v>
          </cell>
          <cell r="B8634">
            <v>250052</v>
          </cell>
        </row>
        <row r="8635">
          <cell r="A8635" t="str">
            <v>闯天关每日奖励53</v>
          </cell>
          <cell r="B8635">
            <v>250053</v>
          </cell>
        </row>
        <row r="8636">
          <cell r="A8636" t="str">
            <v>闯天关每日奖励54</v>
          </cell>
          <cell r="B8636">
            <v>250054</v>
          </cell>
        </row>
        <row r="8637">
          <cell r="A8637" t="str">
            <v>闯天关每日奖励55</v>
          </cell>
          <cell r="B8637">
            <v>250055</v>
          </cell>
        </row>
        <row r="8638">
          <cell r="A8638" t="str">
            <v>闯天关每日奖励56</v>
          </cell>
          <cell r="B8638">
            <v>250056</v>
          </cell>
        </row>
        <row r="8639">
          <cell r="A8639" t="str">
            <v>闯天关每日奖励57</v>
          </cell>
          <cell r="B8639">
            <v>250057</v>
          </cell>
        </row>
        <row r="8640">
          <cell r="A8640" t="str">
            <v>闯天关每日奖励58</v>
          </cell>
          <cell r="B8640">
            <v>250058</v>
          </cell>
        </row>
        <row r="8641">
          <cell r="A8641" t="str">
            <v>闯天关每日奖励59</v>
          </cell>
          <cell r="B8641">
            <v>250059</v>
          </cell>
        </row>
        <row r="8642">
          <cell r="A8642" t="str">
            <v>闯天关每日奖励60</v>
          </cell>
          <cell r="B8642">
            <v>250060</v>
          </cell>
        </row>
        <row r="8643">
          <cell r="A8643" t="str">
            <v>闯天关每日奖励61</v>
          </cell>
          <cell r="B8643">
            <v>250061</v>
          </cell>
        </row>
        <row r="8644">
          <cell r="A8644" t="str">
            <v>闯天关每日奖励62</v>
          </cell>
          <cell r="B8644">
            <v>250062</v>
          </cell>
        </row>
        <row r="8645">
          <cell r="A8645" t="str">
            <v>闯天关每日奖励63</v>
          </cell>
          <cell r="B8645">
            <v>250063</v>
          </cell>
        </row>
        <row r="8646">
          <cell r="A8646" t="str">
            <v>闯天关每日奖励64</v>
          </cell>
          <cell r="B8646">
            <v>250064</v>
          </cell>
        </row>
        <row r="8647">
          <cell r="A8647" t="str">
            <v>闯天关每日奖励65</v>
          </cell>
          <cell r="B8647">
            <v>250065</v>
          </cell>
        </row>
        <row r="8648">
          <cell r="A8648" t="str">
            <v>闯天关每日奖励66</v>
          </cell>
          <cell r="B8648">
            <v>250066</v>
          </cell>
        </row>
        <row r="8649">
          <cell r="A8649" t="str">
            <v>闯天关每日奖励67</v>
          </cell>
          <cell r="B8649">
            <v>250067</v>
          </cell>
        </row>
        <row r="8650">
          <cell r="A8650" t="str">
            <v>闯天关每日奖励68</v>
          </cell>
          <cell r="B8650">
            <v>250068</v>
          </cell>
        </row>
        <row r="8651">
          <cell r="A8651" t="str">
            <v>闯天关每日奖励69</v>
          </cell>
          <cell r="B8651">
            <v>250069</v>
          </cell>
        </row>
        <row r="8652">
          <cell r="A8652" t="str">
            <v>闯天关每日奖励70</v>
          </cell>
          <cell r="B8652">
            <v>250070</v>
          </cell>
        </row>
        <row r="8653">
          <cell r="A8653" t="str">
            <v>闯天关每日奖励71</v>
          </cell>
          <cell r="B8653">
            <v>250071</v>
          </cell>
        </row>
        <row r="8654">
          <cell r="A8654" t="str">
            <v>闯天关每日奖励72</v>
          </cell>
          <cell r="B8654">
            <v>250072</v>
          </cell>
        </row>
        <row r="8655">
          <cell r="A8655" t="str">
            <v>闯天关每日奖励73</v>
          </cell>
          <cell r="B8655">
            <v>250073</v>
          </cell>
        </row>
        <row r="8656">
          <cell r="A8656" t="str">
            <v>闯天关每日奖励74</v>
          </cell>
          <cell r="B8656">
            <v>250074</v>
          </cell>
        </row>
        <row r="8657">
          <cell r="A8657" t="str">
            <v>闯天关每日奖励75</v>
          </cell>
          <cell r="B8657">
            <v>250075</v>
          </cell>
        </row>
        <row r="8658">
          <cell r="A8658" t="str">
            <v>闯天关每日奖励76</v>
          </cell>
          <cell r="B8658">
            <v>250076</v>
          </cell>
        </row>
        <row r="8659">
          <cell r="A8659" t="str">
            <v>闯天关每日奖励77</v>
          </cell>
          <cell r="B8659">
            <v>250077</v>
          </cell>
        </row>
        <row r="8660">
          <cell r="A8660" t="str">
            <v>闯天关每日奖励78</v>
          </cell>
          <cell r="B8660">
            <v>250078</v>
          </cell>
        </row>
        <row r="8661">
          <cell r="A8661" t="str">
            <v>闯天关每日奖励79</v>
          </cell>
          <cell r="B8661">
            <v>250079</v>
          </cell>
        </row>
        <row r="8662">
          <cell r="A8662" t="str">
            <v>闯天关每日奖励80</v>
          </cell>
          <cell r="B8662">
            <v>250080</v>
          </cell>
        </row>
        <row r="8663">
          <cell r="A8663" t="str">
            <v>闯天关每日奖励81</v>
          </cell>
          <cell r="B8663">
            <v>250081</v>
          </cell>
        </row>
        <row r="8664">
          <cell r="A8664" t="str">
            <v>闯天关每日奖励82</v>
          </cell>
          <cell r="B8664">
            <v>250082</v>
          </cell>
        </row>
        <row r="8665">
          <cell r="A8665" t="str">
            <v>闯天关每日奖励83</v>
          </cell>
          <cell r="B8665">
            <v>250083</v>
          </cell>
        </row>
        <row r="8666">
          <cell r="A8666" t="str">
            <v>闯天关每日奖励84</v>
          </cell>
          <cell r="B8666">
            <v>250084</v>
          </cell>
        </row>
        <row r="8667">
          <cell r="A8667" t="str">
            <v>闯天关每日奖励85</v>
          </cell>
          <cell r="B8667">
            <v>250085</v>
          </cell>
        </row>
        <row r="8668">
          <cell r="A8668" t="str">
            <v>闯天关每日奖励86</v>
          </cell>
          <cell r="B8668">
            <v>250086</v>
          </cell>
        </row>
        <row r="8669">
          <cell r="A8669" t="str">
            <v>闯天关每日奖励87</v>
          </cell>
          <cell r="B8669">
            <v>250087</v>
          </cell>
        </row>
        <row r="8670">
          <cell r="A8670" t="str">
            <v>闯天关每日奖励88</v>
          </cell>
          <cell r="B8670">
            <v>250088</v>
          </cell>
        </row>
        <row r="8671">
          <cell r="A8671" t="str">
            <v>闯天关每日奖励89</v>
          </cell>
          <cell r="B8671">
            <v>250089</v>
          </cell>
        </row>
        <row r="8672">
          <cell r="A8672" t="str">
            <v>闯天关每日奖励90</v>
          </cell>
          <cell r="B8672">
            <v>250090</v>
          </cell>
        </row>
        <row r="8673">
          <cell r="A8673" t="str">
            <v>闯天关每日奖励91</v>
          </cell>
          <cell r="B8673">
            <v>250091</v>
          </cell>
        </row>
        <row r="8674">
          <cell r="A8674" t="str">
            <v>闯天关每日奖励92</v>
          </cell>
          <cell r="B8674">
            <v>250092</v>
          </cell>
        </row>
        <row r="8675">
          <cell r="A8675" t="str">
            <v>闯天关每日奖励93</v>
          </cell>
          <cell r="B8675">
            <v>250093</v>
          </cell>
        </row>
        <row r="8676">
          <cell r="A8676" t="str">
            <v>闯天关每日奖励94</v>
          </cell>
          <cell r="B8676">
            <v>250094</v>
          </cell>
        </row>
        <row r="8677">
          <cell r="A8677" t="str">
            <v>闯天关每日奖励95</v>
          </cell>
          <cell r="B8677">
            <v>250095</v>
          </cell>
        </row>
        <row r="8678">
          <cell r="A8678" t="str">
            <v>闯天关每日奖励96</v>
          </cell>
          <cell r="B8678">
            <v>250096</v>
          </cell>
        </row>
        <row r="8679">
          <cell r="A8679" t="str">
            <v>闯天关每日奖励97</v>
          </cell>
          <cell r="B8679">
            <v>250097</v>
          </cell>
        </row>
        <row r="8680">
          <cell r="A8680" t="str">
            <v>闯天关每日奖励98</v>
          </cell>
          <cell r="B8680">
            <v>250098</v>
          </cell>
        </row>
        <row r="8681">
          <cell r="A8681" t="str">
            <v>闯天关每日奖励99</v>
          </cell>
          <cell r="B8681">
            <v>250099</v>
          </cell>
        </row>
        <row r="8682">
          <cell r="A8682" t="str">
            <v>闯天关每日奖励100</v>
          </cell>
          <cell r="B8682">
            <v>250100</v>
          </cell>
        </row>
        <row r="8683">
          <cell r="A8683" t="str">
            <v>闯天关每日奖励101</v>
          </cell>
          <cell r="B8683">
            <v>250101</v>
          </cell>
        </row>
        <row r="8684">
          <cell r="A8684" t="str">
            <v>闯天关每日奖励102</v>
          </cell>
          <cell r="B8684">
            <v>250102</v>
          </cell>
        </row>
        <row r="8685">
          <cell r="A8685" t="str">
            <v>闯天关每日奖励103</v>
          </cell>
          <cell r="B8685">
            <v>250103</v>
          </cell>
        </row>
        <row r="8686">
          <cell r="A8686" t="str">
            <v>闯天关每日奖励104</v>
          </cell>
          <cell r="B8686">
            <v>250104</v>
          </cell>
        </row>
        <row r="8687">
          <cell r="A8687" t="str">
            <v>闯天关每日奖励105</v>
          </cell>
          <cell r="B8687">
            <v>250105</v>
          </cell>
        </row>
        <row r="8688">
          <cell r="A8688" t="str">
            <v>闯天关每日奖励106</v>
          </cell>
          <cell r="B8688">
            <v>250106</v>
          </cell>
        </row>
        <row r="8689">
          <cell r="A8689" t="str">
            <v>闯天关每日奖励107</v>
          </cell>
          <cell r="B8689">
            <v>250107</v>
          </cell>
        </row>
        <row r="8690">
          <cell r="A8690" t="str">
            <v>闯天关每日奖励108</v>
          </cell>
          <cell r="B8690">
            <v>250108</v>
          </cell>
        </row>
        <row r="8691">
          <cell r="A8691" t="str">
            <v>闯天关每日奖励109</v>
          </cell>
          <cell r="B8691">
            <v>250109</v>
          </cell>
        </row>
        <row r="8692">
          <cell r="A8692" t="str">
            <v>闯天关每日奖励110</v>
          </cell>
          <cell r="B8692">
            <v>250110</v>
          </cell>
        </row>
        <row r="8693">
          <cell r="A8693" t="str">
            <v>闯天关每日奖励111</v>
          </cell>
          <cell r="B8693">
            <v>250111</v>
          </cell>
        </row>
        <row r="8694">
          <cell r="A8694" t="str">
            <v>闯天关每日奖励112</v>
          </cell>
          <cell r="B8694">
            <v>250112</v>
          </cell>
        </row>
        <row r="8695">
          <cell r="A8695" t="str">
            <v>闯天关每日奖励113</v>
          </cell>
          <cell r="B8695">
            <v>250113</v>
          </cell>
        </row>
        <row r="8696">
          <cell r="A8696" t="str">
            <v>闯天关每日奖励114</v>
          </cell>
          <cell r="B8696">
            <v>250114</v>
          </cell>
        </row>
        <row r="8697">
          <cell r="A8697" t="str">
            <v>闯天关每日奖励115</v>
          </cell>
          <cell r="B8697">
            <v>250115</v>
          </cell>
        </row>
        <row r="8698">
          <cell r="A8698" t="str">
            <v>闯天关每日奖励116</v>
          </cell>
          <cell r="B8698">
            <v>250116</v>
          </cell>
        </row>
        <row r="8699">
          <cell r="A8699" t="str">
            <v>闯天关每日奖励117</v>
          </cell>
          <cell r="B8699">
            <v>250117</v>
          </cell>
        </row>
        <row r="8700">
          <cell r="A8700" t="str">
            <v>闯天关每日奖励118</v>
          </cell>
          <cell r="B8700">
            <v>250118</v>
          </cell>
        </row>
        <row r="8701">
          <cell r="A8701" t="str">
            <v>闯天关每日奖励119</v>
          </cell>
          <cell r="B8701">
            <v>250119</v>
          </cell>
        </row>
        <row r="8702">
          <cell r="A8702" t="str">
            <v>闯天关每日奖励120</v>
          </cell>
          <cell r="B8702">
            <v>250120</v>
          </cell>
        </row>
        <row r="8703">
          <cell r="A8703" t="str">
            <v>闯天关每日奖励121</v>
          </cell>
          <cell r="B8703">
            <v>250121</v>
          </cell>
        </row>
        <row r="8704">
          <cell r="A8704" t="str">
            <v>闯天关每日奖励122</v>
          </cell>
          <cell r="B8704">
            <v>250122</v>
          </cell>
        </row>
        <row r="8705">
          <cell r="A8705" t="str">
            <v>闯天关每日奖励123</v>
          </cell>
          <cell r="B8705">
            <v>250123</v>
          </cell>
        </row>
        <row r="8706">
          <cell r="A8706" t="str">
            <v>闯天关每日奖励124</v>
          </cell>
          <cell r="B8706">
            <v>250124</v>
          </cell>
        </row>
        <row r="8707">
          <cell r="A8707" t="str">
            <v>闯天关每日奖励125</v>
          </cell>
          <cell r="B8707">
            <v>250125</v>
          </cell>
        </row>
        <row r="8708">
          <cell r="A8708" t="str">
            <v>闯天关每日奖励126</v>
          </cell>
          <cell r="B8708">
            <v>250126</v>
          </cell>
        </row>
        <row r="8709">
          <cell r="A8709" t="str">
            <v>闯天关每日奖励127</v>
          </cell>
          <cell r="B8709">
            <v>250127</v>
          </cell>
        </row>
        <row r="8710">
          <cell r="A8710" t="str">
            <v>闯天关每日奖励128</v>
          </cell>
          <cell r="B8710">
            <v>250128</v>
          </cell>
        </row>
        <row r="8711">
          <cell r="A8711" t="str">
            <v>闯天关每日奖励129</v>
          </cell>
          <cell r="B8711">
            <v>250129</v>
          </cell>
        </row>
        <row r="8712">
          <cell r="A8712" t="str">
            <v>闯天关每日奖励130</v>
          </cell>
          <cell r="B8712">
            <v>250130</v>
          </cell>
        </row>
        <row r="8713">
          <cell r="A8713" t="str">
            <v>闯天关每日奖励131</v>
          </cell>
          <cell r="B8713">
            <v>250131</v>
          </cell>
        </row>
        <row r="8714">
          <cell r="A8714" t="str">
            <v>闯天关每日奖励132</v>
          </cell>
          <cell r="B8714">
            <v>250132</v>
          </cell>
        </row>
        <row r="8715">
          <cell r="A8715" t="str">
            <v>闯天关每日奖励133</v>
          </cell>
          <cell r="B8715">
            <v>250133</v>
          </cell>
        </row>
        <row r="8716">
          <cell r="A8716" t="str">
            <v>闯天关每日奖励134</v>
          </cell>
          <cell r="B8716">
            <v>250134</v>
          </cell>
        </row>
        <row r="8717">
          <cell r="A8717" t="str">
            <v>闯天关每日奖励135</v>
          </cell>
          <cell r="B8717">
            <v>250135</v>
          </cell>
        </row>
        <row r="8718">
          <cell r="A8718" t="str">
            <v>闯天关每日奖励136</v>
          </cell>
          <cell r="B8718">
            <v>250136</v>
          </cell>
        </row>
        <row r="8719">
          <cell r="A8719" t="str">
            <v>闯天关每日奖励137</v>
          </cell>
          <cell r="B8719">
            <v>250137</v>
          </cell>
        </row>
        <row r="8720">
          <cell r="A8720" t="str">
            <v>闯天关每日奖励138</v>
          </cell>
          <cell r="B8720">
            <v>250138</v>
          </cell>
        </row>
        <row r="8721">
          <cell r="A8721" t="str">
            <v>闯天关每日奖励139</v>
          </cell>
          <cell r="B8721">
            <v>250139</v>
          </cell>
        </row>
        <row r="8722">
          <cell r="A8722" t="str">
            <v>闯天关每日奖励140</v>
          </cell>
          <cell r="B8722">
            <v>250140</v>
          </cell>
        </row>
        <row r="8723">
          <cell r="A8723" t="str">
            <v>闯天关每日奖励141</v>
          </cell>
          <cell r="B8723">
            <v>250141</v>
          </cell>
        </row>
        <row r="8724">
          <cell r="A8724" t="str">
            <v>闯天关每日奖励142</v>
          </cell>
          <cell r="B8724">
            <v>250142</v>
          </cell>
        </row>
        <row r="8725">
          <cell r="A8725" t="str">
            <v>闯天关每日奖励143</v>
          </cell>
          <cell r="B8725">
            <v>250143</v>
          </cell>
        </row>
        <row r="8726">
          <cell r="A8726" t="str">
            <v>闯天关每日奖励144</v>
          </cell>
          <cell r="B8726">
            <v>250144</v>
          </cell>
        </row>
        <row r="8727">
          <cell r="A8727" t="str">
            <v>闯天关每日奖励145</v>
          </cell>
          <cell r="B8727">
            <v>250145</v>
          </cell>
        </row>
        <row r="8728">
          <cell r="A8728" t="str">
            <v>闯天关每日奖励146</v>
          </cell>
          <cell r="B8728">
            <v>250146</v>
          </cell>
        </row>
        <row r="8729">
          <cell r="A8729" t="str">
            <v>闯天关每日奖励147</v>
          </cell>
          <cell r="B8729">
            <v>250147</v>
          </cell>
        </row>
        <row r="8730">
          <cell r="A8730" t="str">
            <v>闯天关每日奖励148</v>
          </cell>
          <cell r="B8730">
            <v>250148</v>
          </cell>
        </row>
        <row r="8731">
          <cell r="A8731" t="str">
            <v>闯天关每日奖励149</v>
          </cell>
          <cell r="B8731">
            <v>250149</v>
          </cell>
        </row>
        <row r="8732">
          <cell r="A8732" t="str">
            <v>闯天关每日奖励150</v>
          </cell>
          <cell r="B8732">
            <v>250150</v>
          </cell>
        </row>
        <row r="8733">
          <cell r="A8733" t="str">
            <v>闯天关每日奖励151</v>
          </cell>
          <cell r="B8733">
            <v>250151</v>
          </cell>
        </row>
        <row r="8734">
          <cell r="A8734" t="str">
            <v>闯天关每日奖励152</v>
          </cell>
          <cell r="B8734">
            <v>250152</v>
          </cell>
        </row>
        <row r="8735">
          <cell r="A8735" t="str">
            <v>闯天关每日奖励153</v>
          </cell>
          <cell r="B8735">
            <v>250153</v>
          </cell>
        </row>
        <row r="8736">
          <cell r="A8736" t="str">
            <v>闯天关每日奖励154</v>
          </cell>
          <cell r="B8736">
            <v>250154</v>
          </cell>
        </row>
        <row r="8737">
          <cell r="A8737" t="str">
            <v>闯天关每日奖励155</v>
          </cell>
          <cell r="B8737">
            <v>250155</v>
          </cell>
        </row>
        <row r="8738">
          <cell r="A8738" t="str">
            <v>闯天关每日奖励156</v>
          </cell>
          <cell r="B8738">
            <v>250156</v>
          </cell>
        </row>
        <row r="8739">
          <cell r="A8739" t="str">
            <v>闯天关每日奖励157</v>
          </cell>
          <cell r="B8739">
            <v>250157</v>
          </cell>
        </row>
        <row r="8740">
          <cell r="A8740" t="str">
            <v>闯天关每日奖励158</v>
          </cell>
          <cell r="B8740">
            <v>250158</v>
          </cell>
        </row>
        <row r="8741">
          <cell r="A8741" t="str">
            <v>闯天关每日奖励159</v>
          </cell>
          <cell r="B8741">
            <v>250159</v>
          </cell>
        </row>
        <row r="8742">
          <cell r="A8742" t="str">
            <v>闯天关每日奖励160</v>
          </cell>
          <cell r="B8742">
            <v>250160</v>
          </cell>
        </row>
        <row r="8743">
          <cell r="A8743" t="str">
            <v>闯天关每日奖励161</v>
          </cell>
          <cell r="B8743">
            <v>250161</v>
          </cell>
        </row>
        <row r="8744">
          <cell r="A8744" t="str">
            <v>闯天关每日奖励162</v>
          </cell>
          <cell r="B8744">
            <v>250162</v>
          </cell>
        </row>
        <row r="8745">
          <cell r="A8745" t="str">
            <v>闯天关每日奖励163</v>
          </cell>
          <cell r="B8745">
            <v>250163</v>
          </cell>
        </row>
        <row r="8746">
          <cell r="A8746" t="str">
            <v>闯天关每日奖励164</v>
          </cell>
          <cell r="B8746">
            <v>250164</v>
          </cell>
        </row>
        <row r="8747">
          <cell r="A8747" t="str">
            <v>闯天关每日奖励165</v>
          </cell>
          <cell r="B8747">
            <v>250165</v>
          </cell>
        </row>
        <row r="8748">
          <cell r="A8748" t="str">
            <v>闯天关每日奖励166</v>
          </cell>
          <cell r="B8748">
            <v>250166</v>
          </cell>
        </row>
        <row r="8749">
          <cell r="A8749" t="str">
            <v>闯天关每日奖励167</v>
          </cell>
          <cell r="B8749">
            <v>250167</v>
          </cell>
        </row>
        <row r="8750">
          <cell r="A8750" t="str">
            <v>闯天关每日奖励168</v>
          </cell>
          <cell r="B8750">
            <v>250168</v>
          </cell>
        </row>
        <row r="8751">
          <cell r="A8751" t="str">
            <v>闯天关每日奖励169</v>
          </cell>
          <cell r="B8751">
            <v>250169</v>
          </cell>
        </row>
        <row r="8752">
          <cell r="A8752" t="str">
            <v>闯天关每日奖励170</v>
          </cell>
          <cell r="B8752">
            <v>250170</v>
          </cell>
        </row>
        <row r="8753">
          <cell r="A8753" t="str">
            <v>闯天关每日奖励171</v>
          </cell>
          <cell r="B8753">
            <v>250171</v>
          </cell>
        </row>
        <row r="8754">
          <cell r="A8754" t="str">
            <v>闯天关每日奖励172</v>
          </cell>
          <cell r="B8754">
            <v>250172</v>
          </cell>
        </row>
        <row r="8755">
          <cell r="A8755" t="str">
            <v>闯天关每日奖励173</v>
          </cell>
          <cell r="B8755">
            <v>250173</v>
          </cell>
        </row>
        <row r="8756">
          <cell r="A8756" t="str">
            <v>闯天关每日奖励174</v>
          </cell>
          <cell r="B8756">
            <v>250174</v>
          </cell>
        </row>
        <row r="8757">
          <cell r="A8757" t="str">
            <v>闯天关每日奖励175</v>
          </cell>
          <cell r="B8757">
            <v>250175</v>
          </cell>
        </row>
        <row r="8758">
          <cell r="A8758" t="str">
            <v>闯天关每日奖励176</v>
          </cell>
          <cell r="B8758">
            <v>250176</v>
          </cell>
        </row>
        <row r="8759">
          <cell r="A8759" t="str">
            <v>闯天关每日奖励177</v>
          </cell>
          <cell r="B8759">
            <v>250177</v>
          </cell>
        </row>
        <row r="8760">
          <cell r="A8760" t="str">
            <v>闯天关每日奖励178</v>
          </cell>
          <cell r="B8760">
            <v>250178</v>
          </cell>
        </row>
        <row r="8761">
          <cell r="A8761" t="str">
            <v>闯天关每日奖励179</v>
          </cell>
          <cell r="B8761">
            <v>250179</v>
          </cell>
        </row>
        <row r="8762">
          <cell r="A8762" t="str">
            <v>闯天关每日奖励180</v>
          </cell>
          <cell r="B8762">
            <v>250180</v>
          </cell>
        </row>
        <row r="8763">
          <cell r="A8763" t="str">
            <v>闯天关每日奖励181</v>
          </cell>
          <cell r="B8763">
            <v>250181</v>
          </cell>
        </row>
        <row r="8764">
          <cell r="A8764" t="str">
            <v>闯天关每日奖励182</v>
          </cell>
          <cell r="B8764">
            <v>250182</v>
          </cell>
        </row>
        <row r="8765">
          <cell r="A8765" t="str">
            <v>闯天关每日奖励183</v>
          </cell>
          <cell r="B8765">
            <v>250183</v>
          </cell>
        </row>
        <row r="8766">
          <cell r="A8766" t="str">
            <v>闯天关每日奖励184</v>
          </cell>
          <cell r="B8766">
            <v>250184</v>
          </cell>
        </row>
        <row r="8767">
          <cell r="A8767" t="str">
            <v>闯天关每日奖励185</v>
          </cell>
          <cell r="B8767">
            <v>250185</v>
          </cell>
        </row>
        <row r="8768">
          <cell r="A8768" t="str">
            <v>闯天关每日奖励186</v>
          </cell>
          <cell r="B8768">
            <v>250186</v>
          </cell>
        </row>
        <row r="8769">
          <cell r="A8769" t="str">
            <v>闯天关每日奖励187</v>
          </cell>
          <cell r="B8769">
            <v>250187</v>
          </cell>
        </row>
        <row r="8770">
          <cell r="A8770" t="str">
            <v>闯天关每日奖励188</v>
          </cell>
          <cell r="B8770">
            <v>250188</v>
          </cell>
        </row>
        <row r="8771">
          <cell r="A8771" t="str">
            <v>闯天关每日奖励189</v>
          </cell>
          <cell r="B8771">
            <v>250189</v>
          </cell>
        </row>
        <row r="8772">
          <cell r="A8772" t="str">
            <v>闯天关每日奖励190</v>
          </cell>
          <cell r="B8772">
            <v>250190</v>
          </cell>
        </row>
        <row r="8773">
          <cell r="A8773" t="str">
            <v>闯天关每日奖励191</v>
          </cell>
          <cell r="B8773">
            <v>250191</v>
          </cell>
        </row>
        <row r="8774">
          <cell r="A8774" t="str">
            <v>闯天关每日奖励192</v>
          </cell>
          <cell r="B8774">
            <v>250192</v>
          </cell>
        </row>
        <row r="8775">
          <cell r="A8775" t="str">
            <v>闯天关每日奖励193</v>
          </cell>
          <cell r="B8775">
            <v>250193</v>
          </cell>
        </row>
        <row r="8776">
          <cell r="A8776" t="str">
            <v>闯天关每日奖励194</v>
          </cell>
          <cell r="B8776">
            <v>250194</v>
          </cell>
        </row>
        <row r="8777">
          <cell r="A8777" t="str">
            <v>闯天关每日奖励195</v>
          </cell>
          <cell r="B8777">
            <v>250195</v>
          </cell>
        </row>
        <row r="8778">
          <cell r="A8778" t="str">
            <v>闯天关每日奖励196</v>
          </cell>
          <cell r="B8778">
            <v>250196</v>
          </cell>
        </row>
        <row r="8779">
          <cell r="A8779" t="str">
            <v>闯天关每日奖励197</v>
          </cell>
          <cell r="B8779">
            <v>250197</v>
          </cell>
        </row>
        <row r="8780">
          <cell r="A8780" t="str">
            <v>闯天关每日奖励198</v>
          </cell>
          <cell r="B8780">
            <v>250198</v>
          </cell>
        </row>
        <row r="8781">
          <cell r="A8781" t="str">
            <v>闯天关每日奖励199</v>
          </cell>
          <cell r="B8781">
            <v>250199</v>
          </cell>
        </row>
        <row r="8782">
          <cell r="A8782" t="str">
            <v>闯天关每日奖励200</v>
          </cell>
          <cell r="B8782">
            <v>250200</v>
          </cell>
        </row>
        <row r="8783">
          <cell r="A8783" t="str">
            <v>闯天关每日奖励201</v>
          </cell>
          <cell r="B8783">
            <v>250201</v>
          </cell>
        </row>
        <row r="8784">
          <cell r="A8784" t="str">
            <v>闯天关每日奖励202</v>
          </cell>
          <cell r="B8784">
            <v>250202</v>
          </cell>
        </row>
        <row r="8785">
          <cell r="A8785" t="str">
            <v>闯天关每日奖励203</v>
          </cell>
          <cell r="B8785">
            <v>250203</v>
          </cell>
        </row>
        <row r="8786">
          <cell r="A8786" t="str">
            <v>闯天关每日奖励204</v>
          </cell>
          <cell r="B8786">
            <v>250204</v>
          </cell>
        </row>
        <row r="8787">
          <cell r="A8787" t="str">
            <v>闯天关每日奖励205</v>
          </cell>
          <cell r="B8787">
            <v>250205</v>
          </cell>
        </row>
        <row r="8788">
          <cell r="A8788" t="str">
            <v>闯天关每日奖励206</v>
          </cell>
          <cell r="B8788">
            <v>250206</v>
          </cell>
        </row>
        <row r="8789">
          <cell r="A8789" t="str">
            <v>闯天关每日奖励207</v>
          </cell>
          <cell r="B8789">
            <v>250207</v>
          </cell>
        </row>
        <row r="8790">
          <cell r="A8790" t="str">
            <v>闯天关每日奖励208</v>
          </cell>
          <cell r="B8790">
            <v>250208</v>
          </cell>
        </row>
        <row r="8791">
          <cell r="A8791" t="str">
            <v>闯天关每日奖励209</v>
          </cell>
          <cell r="B8791">
            <v>250209</v>
          </cell>
        </row>
        <row r="8792">
          <cell r="A8792" t="str">
            <v>闯天关每日奖励210</v>
          </cell>
          <cell r="B8792">
            <v>250210</v>
          </cell>
        </row>
        <row r="8793">
          <cell r="A8793" t="str">
            <v>闯天关每日奖励211</v>
          </cell>
          <cell r="B8793">
            <v>250211</v>
          </cell>
        </row>
        <row r="8794">
          <cell r="A8794" t="str">
            <v>闯天关每日奖励212</v>
          </cell>
          <cell r="B8794">
            <v>250212</v>
          </cell>
        </row>
        <row r="8795">
          <cell r="A8795" t="str">
            <v>闯天关每日奖励213</v>
          </cell>
          <cell r="B8795">
            <v>250213</v>
          </cell>
        </row>
        <row r="8796">
          <cell r="A8796" t="str">
            <v>闯天关每日奖励214</v>
          </cell>
          <cell r="B8796">
            <v>250214</v>
          </cell>
        </row>
        <row r="8797">
          <cell r="A8797" t="str">
            <v>闯天关每日奖励215</v>
          </cell>
          <cell r="B8797">
            <v>250215</v>
          </cell>
        </row>
        <row r="8798">
          <cell r="A8798" t="str">
            <v>闯天关每日奖励216</v>
          </cell>
          <cell r="B8798">
            <v>250216</v>
          </cell>
        </row>
        <row r="8799">
          <cell r="A8799" t="str">
            <v>闯天关每日奖励217</v>
          </cell>
          <cell r="B8799">
            <v>250217</v>
          </cell>
        </row>
        <row r="8800">
          <cell r="A8800" t="str">
            <v>闯天关每日奖励218</v>
          </cell>
          <cell r="B8800">
            <v>250218</v>
          </cell>
        </row>
        <row r="8801">
          <cell r="A8801" t="str">
            <v>闯天关每日奖励219</v>
          </cell>
          <cell r="B8801">
            <v>250219</v>
          </cell>
        </row>
        <row r="8802">
          <cell r="A8802" t="str">
            <v>闯天关每日奖励220</v>
          </cell>
          <cell r="B8802">
            <v>250220</v>
          </cell>
        </row>
        <row r="8803">
          <cell r="A8803" t="str">
            <v>闯天关每日奖励221</v>
          </cell>
          <cell r="B8803">
            <v>250221</v>
          </cell>
        </row>
        <row r="8804">
          <cell r="A8804" t="str">
            <v>闯天关每日奖励222</v>
          </cell>
          <cell r="B8804">
            <v>250222</v>
          </cell>
        </row>
        <row r="8805">
          <cell r="A8805" t="str">
            <v>闯天关每日奖励223</v>
          </cell>
          <cell r="B8805">
            <v>250223</v>
          </cell>
        </row>
        <row r="8806">
          <cell r="A8806" t="str">
            <v>闯天关每日奖励224</v>
          </cell>
          <cell r="B8806">
            <v>250224</v>
          </cell>
        </row>
        <row r="8807">
          <cell r="A8807" t="str">
            <v>闯天关每日奖励225</v>
          </cell>
          <cell r="B8807">
            <v>250225</v>
          </cell>
        </row>
        <row r="8808">
          <cell r="A8808" t="str">
            <v>闯天关每日奖励226</v>
          </cell>
          <cell r="B8808">
            <v>250226</v>
          </cell>
        </row>
        <row r="8809">
          <cell r="A8809" t="str">
            <v>闯天关每日奖励227</v>
          </cell>
          <cell r="B8809">
            <v>250227</v>
          </cell>
        </row>
        <row r="8810">
          <cell r="A8810" t="str">
            <v>闯天关每日奖励228</v>
          </cell>
          <cell r="B8810">
            <v>250228</v>
          </cell>
        </row>
        <row r="8811">
          <cell r="A8811" t="str">
            <v>闯天关每日奖励229</v>
          </cell>
          <cell r="B8811">
            <v>250229</v>
          </cell>
        </row>
        <row r="8812">
          <cell r="A8812" t="str">
            <v>闯天关每日奖励230</v>
          </cell>
          <cell r="B8812">
            <v>250230</v>
          </cell>
        </row>
        <row r="8813">
          <cell r="A8813" t="str">
            <v>闯天关每日奖励231</v>
          </cell>
          <cell r="B8813">
            <v>250231</v>
          </cell>
        </row>
        <row r="8814">
          <cell r="A8814" t="str">
            <v>闯天关每日奖励232</v>
          </cell>
          <cell r="B8814">
            <v>250232</v>
          </cell>
        </row>
        <row r="8815">
          <cell r="A8815" t="str">
            <v>闯天关每日奖励233</v>
          </cell>
          <cell r="B8815">
            <v>250233</v>
          </cell>
        </row>
        <row r="8816">
          <cell r="A8816" t="str">
            <v>闯天关每日奖励234</v>
          </cell>
          <cell r="B8816">
            <v>250234</v>
          </cell>
        </row>
        <row r="8817">
          <cell r="A8817" t="str">
            <v>闯天关每日奖励235</v>
          </cell>
          <cell r="B8817">
            <v>250235</v>
          </cell>
        </row>
        <row r="8818">
          <cell r="A8818" t="str">
            <v>闯天关每日奖励236</v>
          </cell>
          <cell r="B8818">
            <v>250236</v>
          </cell>
        </row>
        <row r="8819">
          <cell r="A8819" t="str">
            <v>闯天关每日奖励237</v>
          </cell>
          <cell r="B8819">
            <v>250237</v>
          </cell>
        </row>
        <row r="8820">
          <cell r="A8820" t="str">
            <v>闯天关每日奖励238</v>
          </cell>
          <cell r="B8820">
            <v>250238</v>
          </cell>
        </row>
        <row r="8821">
          <cell r="A8821" t="str">
            <v>闯天关每日奖励239</v>
          </cell>
          <cell r="B8821">
            <v>250239</v>
          </cell>
        </row>
        <row r="8822">
          <cell r="A8822" t="str">
            <v>闯天关每日奖励240</v>
          </cell>
          <cell r="B8822">
            <v>250240</v>
          </cell>
        </row>
        <row r="8823">
          <cell r="A8823" t="str">
            <v>闯天关每日奖励241</v>
          </cell>
          <cell r="B8823">
            <v>250241</v>
          </cell>
        </row>
        <row r="8824">
          <cell r="A8824" t="str">
            <v>闯天关每日奖励242</v>
          </cell>
          <cell r="B8824">
            <v>250242</v>
          </cell>
        </row>
        <row r="8825">
          <cell r="A8825" t="str">
            <v>闯天关每日奖励243</v>
          </cell>
          <cell r="B8825">
            <v>250243</v>
          </cell>
        </row>
        <row r="8826">
          <cell r="A8826" t="str">
            <v>闯天关每日奖励244</v>
          </cell>
          <cell r="B8826">
            <v>250244</v>
          </cell>
        </row>
        <row r="8827">
          <cell r="A8827" t="str">
            <v>闯天关每日奖励245</v>
          </cell>
          <cell r="B8827">
            <v>250245</v>
          </cell>
        </row>
        <row r="8828">
          <cell r="A8828" t="str">
            <v>闯天关每日奖励246</v>
          </cell>
          <cell r="B8828">
            <v>250246</v>
          </cell>
        </row>
        <row r="8829">
          <cell r="A8829" t="str">
            <v>闯天关每日奖励247</v>
          </cell>
          <cell r="B8829">
            <v>250247</v>
          </cell>
        </row>
        <row r="8830">
          <cell r="A8830" t="str">
            <v>闯天关每日奖励248</v>
          </cell>
          <cell r="B8830">
            <v>250248</v>
          </cell>
        </row>
        <row r="8831">
          <cell r="A8831" t="str">
            <v>闯天关每日奖励249</v>
          </cell>
          <cell r="B8831">
            <v>250249</v>
          </cell>
        </row>
        <row r="8832">
          <cell r="A8832" t="str">
            <v>闯天关每日奖励250</v>
          </cell>
          <cell r="B8832">
            <v>250250</v>
          </cell>
        </row>
        <row r="8833">
          <cell r="A8833" t="str">
            <v>闯天关每日奖励251</v>
          </cell>
          <cell r="B8833">
            <v>250251</v>
          </cell>
        </row>
        <row r="8834">
          <cell r="A8834" t="str">
            <v>闯天关每日奖励252</v>
          </cell>
          <cell r="B8834">
            <v>250252</v>
          </cell>
        </row>
        <row r="8835">
          <cell r="A8835" t="str">
            <v>闯天关每日奖励253</v>
          </cell>
          <cell r="B8835">
            <v>250253</v>
          </cell>
        </row>
        <row r="8836">
          <cell r="A8836" t="str">
            <v>闯天关每日奖励254</v>
          </cell>
          <cell r="B8836">
            <v>250254</v>
          </cell>
        </row>
        <row r="8837">
          <cell r="A8837" t="str">
            <v>闯天关每日奖励255</v>
          </cell>
          <cell r="B8837">
            <v>250255</v>
          </cell>
        </row>
        <row r="8838">
          <cell r="A8838" t="str">
            <v>闯天关每日奖励256</v>
          </cell>
          <cell r="B8838">
            <v>250256</v>
          </cell>
        </row>
        <row r="8839">
          <cell r="A8839" t="str">
            <v>闯天关每日奖励257</v>
          </cell>
          <cell r="B8839">
            <v>250257</v>
          </cell>
        </row>
        <row r="8840">
          <cell r="A8840" t="str">
            <v>闯天关每日奖励258</v>
          </cell>
          <cell r="B8840">
            <v>250258</v>
          </cell>
        </row>
        <row r="8841">
          <cell r="A8841" t="str">
            <v>闯天关每日奖励259</v>
          </cell>
          <cell r="B8841">
            <v>250259</v>
          </cell>
        </row>
        <row r="8842">
          <cell r="A8842" t="str">
            <v>闯天关每日奖励260</v>
          </cell>
          <cell r="B8842">
            <v>250260</v>
          </cell>
        </row>
        <row r="8843">
          <cell r="A8843" t="str">
            <v>闯天关每日奖励261</v>
          </cell>
          <cell r="B8843">
            <v>250261</v>
          </cell>
        </row>
        <row r="8844">
          <cell r="A8844" t="str">
            <v>闯天关每日奖励262</v>
          </cell>
          <cell r="B8844">
            <v>250262</v>
          </cell>
        </row>
        <row r="8845">
          <cell r="A8845" t="str">
            <v>闯天关每日奖励263</v>
          </cell>
          <cell r="B8845">
            <v>250263</v>
          </cell>
        </row>
        <row r="8846">
          <cell r="A8846" t="str">
            <v>闯天关每日奖励264</v>
          </cell>
          <cell r="B8846">
            <v>250264</v>
          </cell>
        </row>
        <row r="8847">
          <cell r="A8847" t="str">
            <v>闯天关每日奖励265</v>
          </cell>
          <cell r="B8847">
            <v>250265</v>
          </cell>
        </row>
        <row r="8848">
          <cell r="A8848" t="str">
            <v>闯天关每日奖励266</v>
          </cell>
          <cell r="B8848">
            <v>250266</v>
          </cell>
        </row>
        <row r="8849">
          <cell r="A8849" t="str">
            <v>闯天关每日奖励267</v>
          </cell>
          <cell r="B8849">
            <v>250267</v>
          </cell>
        </row>
        <row r="8850">
          <cell r="A8850" t="str">
            <v>闯天关每日奖励268</v>
          </cell>
          <cell r="B8850">
            <v>250268</v>
          </cell>
        </row>
        <row r="8851">
          <cell r="A8851" t="str">
            <v>闯天关每日奖励269</v>
          </cell>
          <cell r="B8851">
            <v>250269</v>
          </cell>
        </row>
        <row r="8852">
          <cell r="A8852" t="str">
            <v>闯天关每日奖励270</v>
          </cell>
          <cell r="B8852">
            <v>250270</v>
          </cell>
        </row>
        <row r="8853">
          <cell r="A8853" t="str">
            <v>闯天关每日奖励271</v>
          </cell>
          <cell r="B8853">
            <v>250271</v>
          </cell>
        </row>
        <row r="8854">
          <cell r="A8854" t="str">
            <v>闯天关每日奖励272</v>
          </cell>
          <cell r="B8854">
            <v>250272</v>
          </cell>
        </row>
        <row r="8855">
          <cell r="A8855" t="str">
            <v>闯天关每日奖励273</v>
          </cell>
          <cell r="B8855">
            <v>250273</v>
          </cell>
        </row>
        <row r="8856">
          <cell r="A8856" t="str">
            <v>闯天关每日奖励274</v>
          </cell>
          <cell r="B8856">
            <v>250274</v>
          </cell>
        </row>
        <row r="8857">
          <cell r="A8857" t="str">
            <v>闯天关每日奖励275</v>
          </cell>
          <cell r="B8857">
            <v>250275</v>
          </cell>
        </row>
        <row r="8858">
          <cell r="A8858" t="str">
            <v>闯天关每日奖励276</v>
          </cell>
          <cell r="B8858">
            <v>250276</v>
          </cell>
        </row>
        <row r="8859">
          <cell r="A8859" t="str">
            <v>闯天关每日奖励277</v>
          </cell>
          <cell r="B8859">
            <v>250277</v>
          </cell>
        </row>
        <row r="8860">
          <cell r="A8860" t="str">
            <v>闯天关每日奖励278</v>
          </cell>
          <cell r="B8860">
            <v>250278</v>
          </cell>
        </row>
        <row r="8861">
          <cell r="A8861" t="str">
            <v>闯天关每日奖励279</v>
          </cell>
          <cell r="B8861">
            <v>250279</v>
          </cell>
        </row>
        <row r="8862">
          <cell r="A8862" t="str">
            <v>闯天关每日奖励280</v>
          </cell>
          <cell r="B8862">
            <v>250280</v>
          </cell>
        </row>
        <row r="8863">
          <cell r="A8863" t="str">
            <v>闯天关每日奖励281</v>
          </cell>
          <cell r="B8863">
            <v>250281</v>
          </cell>
        </row>
        <row r="8864">
          <cell r="A8864" t="str">
            <v>闯天关每日奖励282</v>
          </cell>
          <cell r="B8864">
            <v>250282</v>
          </cell>
        </row>
        <row r="8865">
          <cell r="A8865" t="str">
            <v>闯天关每日奖励283</v>
          </cell>
          <cell r="B8865">
            <v>250283</v>
          </cell>
        </row>
        <row r="8866">
          <cell r="A8866" t="str">
            <v>闯天关每日奖励284</v>
          </cell>
          <cell r="B8866">
            <v>250284</v>
          </cell>
        </row>
        <row r="8867">
          <cell r="A8867" t="str">
            <v>闯天关每日奖励285</v>
          </cell>
          <cell r="B8867">
            <v>250285</v>
          </cell>
        </row>
        <row r="8868">
          <cell r="A8868" t="str">
            <v>闯天关每日奖励286</v>
          </cell>
          <cell r="B8868">
            <v>250286</v>
          </cell>
        </row>
        <row r="8869">
          <cell r="A8869" t="str">
            <v>闯天关每日奖励287</v>
          </cell>
          <cell r="B8869">
            <v>250287</v>
          </cell>
        </row>
        <row r="8870">
          <cell r="A8870" t="str">
            <v>闯天关每日奖励288</v>
          </cell>
          <cell r="B8870">
            <v>250288</v>
          </cell>
        </row>
        <row r="8871">
          <cell r="A8871" t="str">
            <v>闯天关每日奖励289</v>
          </cell>
          <cell r="B8871">
            <v>250289</v>
          </cell>
        </row>
        <row r="8872">
          <cell r="A8872" t="str">
            <v>闯天关每日奖励290</v>
          </cell>
          <cell r="B8872">
            <v>250290</v>
          </cell>
        </row>
        <row r="8873">
          <cell r="A8873" t="str">
            <v>闯天关每日奖励291</v>
          </cell>
          <cell r="B8873">
            <v>250291</v>
          </cell>
        </row>
        <row r="8874">
          <cell r="A8874" t="str">
            <v>闯天关每日奖励292</v>
          </cell>
          <cell r="B8874">
            <v>250292</v>
          </cell>
        </row>
        <row r="8875">
          <cell r="A8875" t="str">
            <v>闯天关每日奖励293</v>
          </cell>
          <cell r="B8875">
            <v>250293</v>
          </cell>
        </row>
        <row r="8876">
          <cell r="A8876" t="str">
            <v>闯天关每日奖励294</v>
          </cell>
          <cell r="B8876">
            <v>250294</v>
          </cell>
        </row>
        <row r="8877">
          <cell r="A8877" t="str">
            <v>闯天关每日奖励295</v>
          </cell>
          <cell r="B8877">
            <v>250295</v>
          </cell>
        </row>
        <row r="8878">
          <cell r="A8878" t="str">
            <v>闯天关每日奖励296</v>
          </cell>
          <cell r="B8878">
            <v>250296</v>
          </cell>
        </row>
        <row r="8879">
          <cell r="A8879" t="str">
            <v>闯天关每日奖励297</v>
          </cell>
          <cell r="B8879">
            <v>250297</v>
          </cell>
        </row>
        <row r="8880">
          <cell r="A8880" t="str">
            <v>闯天关每日奖励298</v>
          </cell>
          <cell r="B8880">
            <v>250298</v>
          </cell>
        </row>
        <row r="8881">
          <cell r="A8881" t="str">
            <v>闯天关每日奖励299</v>
          </cell>
          <cell r="B8881">
            <v>250299</v>
          </cell>
        </row>
        <row r="8882">
          <cell r="A8882" t="str">
            <v>闯天关每日奖励300</v>
          </cell>
          <cell r="B8882">
            <v>250300</v>
          </cell>
        </row>
        <row r="8883">
          <cell r="A8883" t="str">
            <v>闯天关每日奖励301</v>
          </cell>
          <cell r="B8883">
            <v>250301</v>
          </cell>
        </row>
        <row r="8884">
          <cell r="A8884" t="str">
            <v>闯天关每日奖励302</v>
          </cell>
          <cell r="B8884">
            <v>250302</v>
          </cell>
        </row>
        <row r="8885">
          <cell r="A8885" t="str">
            <v>闯天关每日奖励303</v>
          </cell>
          <cell r="B8885">
            <v>250303</v>
          </cell>
        </row>
        <row r="8886">
          <cell r="A8886" t="str">
            <v>闯天关每日奖励304</v>
          </cell>
          <cell r="B8886">
            <v>250304</v>
          </cell>
        </row>
        <row r="8887">
          <cell r="A8887" t="str">
            <v>闯天关每日奖励305</v>
          </cell>
          <cell r="B8887">
            <v>250305</v>
          </cell>
        </row>
        <row r="8888">
          <cell r="A8888" t="str">
            <v>闯天关每日奖励306</v>
          </cell>
          <cell r="B8888">
            <v>250306</v>
          </cell>
        </row>
        <row r="8889">
          <cell r="A8889" t="str">
            <v>闯天关每日奖励307</v>
          </cell>
          <cell r="B8889">
            <v>250307</v>
          </cell>
        </row>
        <row r="8890">
          <cell r="A8890" t="str">
            <v>闯天关每日奖励308</v>
          </cell>
          <cell r="B8890">
            <v>250308</v>
          </cell>
        </row>
        <row r="8891">
          <cell r="A8891" t="str">
            <v>闯天关每日奖励309</v>
          </cell>
          <cell r="B8891">
            <v>250309</v>
          </cell>
        </row>
        <row r="8892">
          <cell r="A8892" t="str">
            <v>闯天关每日奖励310</v>
          </cell>
          <cell r="B8892">
            <v>250310</v>
          </cell>
        </row>
        <row r="8893">
          <cell r="A8893" t="str">
            <v>闯天关每日奖励311</v>
          </cell>
          <cell r="B8893">
            <v>250311</v>
          </cell>
        </row>
        <row r="8894">
          <cell r="A8894" t="str">
            <v>闯天关每日奖励312</v>
          </cell>
          <cell r="B8894">
            <v>250312</v>
          </cell>
        </row>
        <row r="8895">
          <cell r="A8895" t="str">
            <v>闯天关每日奖励313</v>
          </cell>
          <cell r="B8895">
            <v>250313</v>
          </cell>
        </row>
        <row r="8896">
          <cell r="A8896" t="str">
            <v>闯天关每日奖励314</v>
          </cell>
          <cell r="B8896">
            <v>250314</v>
          </cell>
        </row>
        <row r="8897">
          <cell r="A8897" t="str">
            <v>闯天关每日奖励315</v>
          </cell>
          <cell r="B8897">
            <v>250315</v>
          </cell>
        </row>
        <row r="8898">
          <cell r="A8898" t="str">
            <v>闯天关每日奖励316</v>
          </cell>
          <cell r="B8898">
            <v>250316</v>
          </cell>
        </row>
        <row r="8899">
          <cell r="A8899" t="str">
            <v>闯天关每日奖励317</v>
          </cell>
          <cell r="B8899">
            <v>250317</v>
          </cell>
        </row>
        <row r="8900">
          <cell r="A8900" t="str">
            <v>闯天关每日奖励318</v>
          </cell>
          <cell r="B8900">
            <v>250318</v>
          </cell>
        </row>
        <row r="8901">
          <cell r="A8901" t="str">
            <v>闯天关每日奖励319</v>
          </cell>
          <cell r="B8901">
            <v>250319</v>
          </cell>
        </row>
        <row r="8902">
          <cell r="A8902" t="str">
            <v>闯天关每日奖励320</v>
          </cell>
          <cell r="B8902">
            <v>250320</v>
          </cell>
        </row>
        <row r="8903">
          <cell r="A8903" t="str">
            <v>闯天关每日奖励321</v>
          </cell>
          <cell r="B8903">
            <v>250321</v>
          </cell>
        </row>
        <row r="8904">
          <cell r="A8904" t="str">
            <v>闯天关每日奖励322</v>
          </cell>
          <cell r="B8904">
            <v>250322</v>
          </cell>
        </row>
        <row r="8905">
          <cell r="A8905" t="str">
            <v>闯天关每日奖励323</v>
          </cell>
          <cell r="B8905">
            <v>250323</v>
          </cell>
        </row>
        <row r="8906">
          <cell r="A8906" t="str">
            <v>闯天关每日奖励324</v>
          </cell>
          <cell r="B8906">
            <v>250324</v>
          </cell>
        </row>
        <row r="8907">
          <cell r="A8907" t="str">
            <v>闯天关每日奖励325</v>
          </cell>
          <cell r="B8907">
            <v>250325</v>
          </cell>
        </row>
        <row r="8908">
          <cell r="A8908" t="str">
            <v>闯天关每日奖励326</v>
          </cell>
          <cell r="B8908">
            <v>250326</v>
          </cell>
        </row>
        <row r="8909">
          <cell r="A8909" t="str">
            <v>闯天关每日奖励327</v>
          </cell>
          <cell r="B8909">
            <v>250327</v>
          </cell>
        </row>
        <row r="8910">
          <cell r="A8910" t="str">
            <v>闯天关每日奖励328</v>
          </cell>
          <cell r="B8910">
            <v>250328</v>
          </cell>
        </row>
        <row r="8911">
          <cell r="A8911" t="str">
            <v>闯天关每日奖励329</v>
          </cell>
          <cell r="B8911">
            <v>250329</v>
          </cell>
        </row>
        <row r="8912">
          <cell r="A8912" t="str">
            <v>闯天关每日奖励330</v>
          </cell>
          <cell r="B8912">
            <v>250330</v>
          </cell>
        </row>
        <row r="8913">
          <cell r="A8913" t="str">
            <v>闯天关每日奖励331</v>
          </cell>
          <cell r="B8913">
            <v>250331</v>
          </cell>
        </row>
        <row r="8914">
          <cell r="A8914" t="str">
            <v>闯天关每日奖励332</v>
          </cell>
          <cell r="B8914">
            <v>250332</v>
          </cell>
        </row>
        <row r="8915">
          <cell r="A8915" t="str">
            <v>闯天关每日奖励333</v>
          </cell>
          <cell r="B8915">
            <v>250333</v>
          </cell>
        </row>
        <row r="8916">
          <cell r="A8916" t="str">
            <v>闯天关每日奖励334</v>
          </cell>
          <cell r="B8916">
            <v>250334</v>
          </cell>
        </row>
        <row r="8917">
          <cell r="A8917" t="str">
            <v>闯天关每日奖励335</v>
          </cell>
          <cell r="B8917">
            <v>250335</v>
          </cell>
        </row>
        <row r="8918">
          <cell r="A8918" t="str">
            <v>闯天关每日奖励336</v>
          </cell>
          <cell r="B8918">
            <v>250336</v>
          </cell>
        </row>
        <row r="8919">
          <cell r="A8919" t="str">
            <v>闯天关每日奖励337</v>
          </cell>
          <cell r="B8919">
            <v>250337</v>
          </cell>
        </row>
        <row r="8920">
          <cell r="A8920" t="str">
            <v>闯天关每日奖励338</v>
          </cell>
          <cell r="B8920">
            <v>250338</v>
          </cell>
        </row>
        <row r="8921">
          <cell r="A8921" t="str">
            <v>闯天关每日奖励339</v>
          </cell>
          <cell r="B8921">
            <v>250339</v>
          </cell>
        </row>
        <row r="8922">
          <cell r="A8922" t="str">
            <v>闯天关每日奖励340</v>
          </cell>
          <cell r="B8922">
            <v>250340</v>
          </cell>
        </row>
        <row r="8923">
          <cell r="A8923" t="str">
            <v>闯天关每日奖励341</v>
          </cell>
          <cell r="B8923">
            <v>250341</v>
          </cell>
        </row>
        <row r="8924">
          <cell r="A8924" t="str">
            <v>闯天关每日奖励342</v>
          </cell>
          <cell r="B8924">
            <v>250342</v>
          </cell>
        </row>
        <row r="8925">
          <cell r="A8925" t="str">
            <v>闯天关每日奖励343</v>
          </cell>
          <cell r="B8925">
            <v>250343</v>
          </cell>
        </row>
        <row r="8926">
          <cell r="A8926" t="str">
            <v>闯天关每日奖励344</v>
          </cell>
          <cell r="B8926">
            <v>250344</v>
          </cell>
        </row>
        <row r="8927">
          <cell r="A8927" t="str">
            <v>闯天关每日奖励345</v>
          </cell>
          <cell r="B8927">
            <v>250345</v>
          </cell>
        </row>
        <row r="8928">
          <cell r="A8928" t="str">
            <v>闯天关每日奖励346</v>
          </cell>
          <cell r="B8928">
            <v>250346</v>
          </cell>
        </row>
        <row r="8929">
          <cell r="A8929" t="str">
            <v>闯天关每日奖励347</v>
          </cell>
          <cell r="B8929">
            <v>250347</v>
          </cell>
        </row>
        <row r="8930">
          <cell r="A8930" t="str">
            <v>闯天关每日奖励348</v>
          </cell>
          <cell r="B8930">
            <v>250348</v>
          </cell>
        </row>
        <row r="8931">
          <cell r="A8931" t="str">
            <v>闯天关每日奖励349</v>
          </cell>
          <cell r="B8931">
            <v>250349</v>
          </cell>
        </row>
        <row r="8932">
          <cell r="A8932" t="str">
            <v>闯天关每日奖励350</v>
          </cell>
          <cell r="B8932">
            <v>250350</v>
          </cell>
        </row>
        <row r="8933">
          <cell r="A8933" t="str">
            <v>闯天关每日奖励351</v>
          </cell>
          <cell r="B8933">
            <v>250351</v>
          </cell>
        </row>
        <row r="8934">
          <cell r="A8934" t="str">
            <v>闯天关每日奖励352</v>
          </cell>
          <cell r="B8934">
            <v>250352</v>
          </cell>
        </row>
        <row r="8935">
          <cell r="A8935" t="str">
            <v>闯天关每日奖励353</v>
          </cell>
          <cell r="B8935">
            <v>250353</v>
          </cell>
        </row>
        <row r="8936">
          <cell r="A8936" t="str">
            <v>闯天关每日奖励354</v>
          </cell>
          <cell r="B8936">
            <v>250354</v>
          </cell>
        </row>
        <row r="8937">
          <cell r="A8937" t="str">
            <v>闯天关每日奖励355</v>
          </cell>
          <cell r="B8937">
            <v>250355</v>
          </cell>
        </row>
        <row r="8938">
          <cell r="A8938" t="str">
            <v>闯天关每日奖励356</v>
          </cell>
          <cell r="B8938">
            <v>250356</v>
          </cell>
        </row>
        <row r="8939">
          <cell r="A8939" t="str">
            <v>闯天关每日奖励357</v>
          </cell>
          <cell r="B8939">
            <v>250357</v>
          </cell>
        </row>
        <row r="8940">
          <cell r="A8940" t="str">
            <v>闯天关每日奖励358</v>
          </cell>
          <cell r="B8940">
            <v>250358</v>
          </cell>
        </row>
        <row r="8941">
          <cell r="A8941" t="str">
            <v>闯天关每日奖励359</v>
          </cell>
          <cell r="B8941">
            <v>250359</v>
          </cell>
        </row>
        <row r="8942">
          <cell r="A8942" t="str">
            <v>闯天关每日奖励360</v>
          </cell>
          <cell r="B8942">
            <v>250360</v>
          </cell>
        </row>
        <row r="8943">
          <cell r="A8943" t="str">
            <v>闯天关每日奖励361</v>
          </cell>
          <cell r="B8943">
            <v>250361</v>
          </cell>
        </row>
        <row r="8944">
          <cell r="A8944" t="str">
            <v>闯天关每日奖励362</v>
          </cell>
          <cell r="B8944">
            <v>250362</v>
          </cell>
        </row>
        <row r="8945">
          <cell r="A8945" t="str">
            <v>闯天关每日奖励363</v>
          </cell>
          <cell r="B8945">
            <v>250363</v>
          </cell>
        </row>
        <row r="8946">
          <cell r="A8946" t="str">
            <v>闯天关每日奖励364</v>
          </cell>
          <cell r="B8946">
            <v>250364</v>
          </cell>
        </row>
        <row r="8947">
          <cell r="A8947" t="str">
            <v>闯天关每日奖励365</v>
          </cell>
          <cell r="B8947">
            <v>250365</v>
          </cell>
        </row>
        <row r="8948">
          <cell r="A8948" t="str">
            <v>闯天关每日奖励366</v>
          </cell>
          <cell r="B8948">
            <v>250366</v>
          </cell>
        </row>
        <row r="8949">
          <cell r="A8949" t="str">
            <v>闯天关每日奖励367</v>
          </cell>
          <cell r="B8949">
            <v>250367</v>
          </cell>
        </row>
        <row r="8950">
          <cell r="A8950" t="str">
            <v>闯天关每日奖励368</v>
          </cell>
          <cell r="B8950">
            <v>250368</v>
          </cell>
        </row>
        <row r="8951">
          <cell r="A8951" t="str">
            <v>闯天关每日奖励369</v>
          </cell>
          <cell r="B8951">
            <v>250369</v>
          </cell>
        </row>
        <row r="8952">
          <cell r="A8952" t="str">
            <v>闯天关每日奖励370</v>
          </cell>
          <cell r="B8952">
            <v>250370</v>
          </cell>
        </row>
        <row r="8953">
          <cell r="A8953" t="str">
            <v>闯天关每日奖励371</v>
          </cell>
          <cell r="B8953">
            <v>250371</v>
          </cell>
        </row>
        <row r="8954">
          <cell r="A8954" t="str">
            <v>闯天关每日奖励372</v>
          </cell>
          <cell r="B8954">
            <v>250372</v>
          </cell>
        </row>
        <row r="8955">
          <cell r="A8955" t="str">
            <v>闯天关每日奖励373</v>
          </cell>
          <cell r="B8955">
            <v>250373</v>
          </cell>
        </row>
        <row r="8956">
          <cell r="A8956" t="str">
            <v>闯天关每日奖励374</v>
          </cell>
          <cell r="B8956">
            <v>250374</v>
          </cell>
        </row>
        <row r="8957">
          <cell r="A8957" t="str">
            <v>闯天关每日奖励375</v>
          </cell>
          <cell r="B8957">
            <v>250375</v>
          </cell>
        </row>
        <row r="8958">
          <cell r="A8958" t="str">
            <v>闯天关每日奖励376</v>
          </cell>
          <cell r="B8958">
            <v>250376</v>
          </cell>
        </row>
        <row r="8959">
          <cell r="A8959" t="str">
            <v>闯天关每日奖励377</v>
          </cell>
          <cell r="B8959">
            <v>250377</v>
          </cell>
        </row>
        <row r="8960">
          <cell r="A8960" t="str">
            <v>闯天关每日奖励378</v>
          </cell>
          <cell r="B8960">
            <v>250378</v>
          </cell>
        </row>
        <row r="8961">
          <cell r="A8961" t="str">
            <v>闯天关每日奖励379</v>
          </cell>
          <cell r="B8961">
            <v>250379</v>
          </cell>
        </row>
        <row r="8962">
          <cell r="A8962" t="str">
            <v>闯天关每日奖励380</v>
          </cell>
          <cell r="B8962">
            <v>250380</v>
          </cell>
        </row>
        <row r="8963">
          <cell r="A8963" t="str">
            <v>闯天关每日奖励381</v>
          </cell>
          <cell r="B8963">
            <v>250381</v>
          </cell>
        </row>
        <row r="8964">
          <cell r="A8964" t="str">
            <v>闯天关每日奖励382</v>
          </cell>
          <cell r="B8964">
            <v>250382</v>
          </cell>
        </row>
        <row r="8965">
          <cell r="A8965" t="str">
            <v>闯天关每日奖励383</v>
          </cell>
          <cell r="B8965">
            <v>250383</v>
          </cell>
        </row>
        <row r="8966">
          <cell r="A8966" t="str">
            <v>闯天关每日奖励384</v>
          </cell>
          <cell r="B8966">
            <v>250384</v>
          </cell>
        </row>
        <row r="8967">
          <cell r="A8967" t="str">
            <v>闯天关每日奖励385</v>
          </cell>
          <cell r="B8967">
            <v>250385</v>
          </cell>
        </row>
        <row r="8968">
          <cell r="A8968" t="str">
            <v>闯天关每日奖励386</v>
          </cell>
          <cell r="B8968">
            <v>250386</v>
          </cell>
        </row>
        <row r="8969">
          <cell r="A8969" t="str">
            <v>闯天关每日奖励387</v>
          </cell>
          <cell r="B8969">
            <v>250387</v>
          </cell>
        </row>
        <row r="8970">
          <cell r="A8970" t="str">
            <v>闯天关每日奖励388</v>
          </cell>
          <cell r="B8970">
            <v>250388</v>
          </cell>
        </row>
        <row r="8971">
          <cell r="A8971" t="str">
            <v>闯天关每日奖励389</v>
          </cell>
          <cell r="B8971">
            <v>250389</v>
          </cell>
        </row>
        <row r="8972">
          <cell r="A8972" t="str">
            <v>闯天关每日奖励390</v>
          </cell>
          <cell r="B8972">
            <v>250390</v>
          </cell>
        </row>
        <row r="8973">
          <cell r="A8973" t="str">
            <v>闯天关每日奖励391</v>
          </cell>
          <cell r="B8973">
            <v>250391</v>
          </cell>
        </row>
        <row r="8974">
          <cell r="A8974" t="str">
            <v>闯天关每日奖励392</v>
          </cell>
          <cell r="B8974">
            <v>250392</v>
          </cell>
        </row>
        <row r="8975">
          <cell r="A8975" t="str">
            <v>闯天关每日奖励393</v>
          </cell>
          <cell r="B8975">
            <v>250393</v>
          </cell>
        </row>
        <row r="8976">
          <cell r="A8976" t="str">
            <v>闯天关每日奖励394</v>
          </cell>
          <cell r="B8976">
            <v>250394</v>
          </cell>
        </row>
        <row r="8977">
          <cell r="A8977" t="str">
            <v>闯天关每日奖励395</v>
          </cell>
          <cell r="B8977">
            <v>250395</v>
          </cell>
        </row>
        <row r="8978">
          <cell r="A8978" t="str">
            <v>闯天关每日奖励396</v>
          </cell>
          <cell r="B8978">
            <v>250396</v>
          </cell>
        </row>
        <row r="8979">
          <cell r="A8979" t="str">
            <v>闯天关每日奖励397</v>
          </cell>
          <cell r="B8979">
            <v>250397</v>
          </cell>
        </row>
        <row r="8980">
          <cell r="A8980" t="str">
            <v>闯天关每日奖励398</v>
          </cell>
          <cell r="B8980">
            <v>250398</v>
          </cell>
        </row>
        <row r="8981">
          <cell r="A8981" t="str">
            <v>闯天关每日奖励399</v>
          </cell>
          <cell r="B8981">
            <v>250399</v>
          </cell>
        </row>
        <row r="8982">
          <cell r="A8982" t="str">
            <v>闯天关每日奖励400</v>
          </cell>
          <cell r="B8982">
            <v>250400</v>
          </cell>
        </row>
        <row r="8983">
          <cell r="A8983" t="str">
            <v>闯天关每日奖励401</v>
          </cell>
          <cell r="B8983">
            <v>250401</v>
          </cell>
        </row>
        <row r="8984">
          <cell r="A8984" t="str">
            <v>闯天关每日奖励402</v>
          </cell>
          <cell r="B8984">
            <v>250402</v>
          </cell>
        </row>
        <row r="8985">
          <cell r="A8985" t="str">
            <v>闯天关每日奖励403</v>
          </cell>
          <cell r="B8985">
            <v>250403</v>
          </cell>
        </row>
        <row r="8986">
          <cell r="A8986" t="str">
            <v>闯天关每日奖励404</v>
          </cell>
          <cell r="B8986">
            <v>250404</v>
          </cell>
        </row>
        <row r="8987">
          <cell r="A8987" t="str">
            <v>闯天关每日奖励405</v>
          </cell>
          <cell r="B8987">
            <v>250405</v>
          </cell>
        </row>
        <row r="8988">
          <cell r="A8988" t="str">
            <v>闯天关每日奖励406</v>
          </cell>
          <cell r="B8988">
            <v>250406</v>
          </cell>
        </row>
        <row r="8989">
          <cell r="A8989" t="str">
            <v>闯天关每日奖励407</v>
          </cell>
          <cell r="B8989">
            <v>250407</v>
          </cell>
        </row>
        <row r="8990">
          <cell r="A8990" t="str">
            <v>闯天关每日奖励408</v>
          </cell>
          <cell r="B8990">
            <v>250408</v>
          </cell>
        </row>
        <row r="8991">
          <cell r="A8991" t="str">
            <v>闯天关每日奖励409</v>
          </cell>
          <cell r="B8991">
            <v>250409</v>
          </cell>
        </row>
        <row r="8992">
          <cell r="A8992" t="str">
            <v>闯天关每日奖励410</v>
          </cell>
          <cell r="B8992">
            <v>250410</v>
          </cell>
        </row>
        <row r="8993">
          <cell r="A8993" t="str">
            <v>闯天关每日奖励411</v>
          </cell>
          <cell r="B8993">
            <v>250411</v>
          </cell>
        </row>
        <row r="8994">
          <cell r="A8994" t="str">
            <v>闯天关每日奖励412</v>
          </cell>
          <cell r="B8994">
            <v>250412</v>
          </cell>
        </row>
        <row r="8995">
          <cell r="A8995" t="str">
            <v>闯天关每日奖励413</v>
          </cell>
          <cell r="B8995">
            <v>250413</v>
          </cell>
        </row>
        <row r="8996">
          <cell r="A8996" t="str">
            <v>闯天关每日奖励414</v>
          </cell>
          <cell r="B8996">
            <v>250414</v>
          </cell>
        </row>
        <row r="8997">
          <cell r="A8997" t="str">
            <v>闯天关每日奖励415</v>
          </cell>
          <cell r="B8997">
            <v>250415</v>
          </cell>
        </row>
        <row r="8998">
          <cell r="A8998" t="str">
            <v>闯天关每日奖励416</v>
          </cell>
          <cell r="B8998">
            <v>250416</v>
          </cell>
        </row>
        <row r="8999">
          <cell r="A8999" t="str">
            <v>闯天关每日奖励417</v>
          </cell>
          <cell r="B8999">
            <v>250417</v>
          </cell>
        </row>
        <row r="9000">
          <cell r="A9000" t="str">
            <v>闯天关每日奖励418</v>
          </cell>
          <cell r="B9000">
            <v>250418</v>
          </cell>
        </row>
        <row r="9001">
          <cell r="A9001" t="str">
            <v>闯天关每日奖励419</v>
          </cell>
          <cell r="B9001">
            <v>250419</v>
          </cell>
        </row>
        <row r="9002">
          <cell r="A9002" t="str">
            <v>闯天关每日奖励420</v>
          </cell>
          <cell r="B9002">
            <v>250420</v>
          </cell>
        </row>
        <row r="9003">
          <cell r="A9003" t="str">
            <v>闯天关每日奖励421</v>
          </cell>
          <cell r="B9003">
            <v>250421</v>
          </cell>
        </row>
        <row r="9004">
          <cell r="A9004" t="str">
            <v>闯天关每日奖励422</v>
          </cell>
          <cell r="B9004">
            <v>250422</v>
          </cell>
        </row>
        <row r="9005">
          <cell r="A9005" t="str">
            <v>闯天关每日奖励423</v>
          </cell>
          <cell r="B9005">
            <v>250423</v>
          </cell>
        </row>
        <row r="9006">
          <cell r="A9006" t="str">
            <v>闯天关每日奖励424</v>
          </cell>
          <cell r="B9006">
            <v>250424</v>
          </cell>
        </row>
        <row r="9007">
          <cell r="A9007" t="str">
            <v>闯天关每日奖励425</v>
          </cell>
          <cell r="B9007">
            <v>250425</v>
          </cell>
        </row>
        <row r="9008">
          <cell r="A9008" t="str">
            <v>闯天关每日奖励426</v>
          </cell>
          <cell r="B9008">
            <v>250426</v>
          </cell>
        </row>
        <row r="9009">
          <cell r="A9009" t="str">
            <v>闯天关每日奖励427</v>
          </cell>
          <cell r="B9009">
            <v>250427</v>
          </cell>
        </row>
        <row r="9010">
          <cell r="A9010" t="str">
            <v>闯天关每日奖励428</v>
          </cell>
          <cell r="B9010">
            <v>250428</v>
          </cell>
        </row>
        <row r="9011">
          <cell r="A9011" t="str">
            <v>闯天关每日奖励429</v>
          </cell>
          <cell r="B9011">
            <v>250429</v>
          </cell>
        </row>
        <row r="9012">
          <cell r="A9012" t="str">
            <v>闯天关每日奖励430</v>
          </cell>
          <cell r="B9012">
            <v>250430</v>
          </cell>
        </row>
        <row r="9013">
          <cell r="A9013" t="str">
            <v>闯天关每日奖励431</v>
          </cell>
          <cell r="B9013">
            <v>250431</v>
          </cell>
        </row>
        <row r="9014">
          <cell r="A9014" t="str">
            <v>闯天关每日奖励432</v>
          </cell>
          <cell r="B9014">
            <v>250432</v>
          </cell>
        </row>
        <row r="9015">
          <cell r="A9015" t="str">
            <v>闯天关每日奖励433</v>
          </cell>
          <cell r="B9015">
            <v>250433</v>
          </cell>
        </row>
        <row r="9016">
          <cell r="A9016" t="str">
            <v>闯天关每日奖励434</v>
          </cell>
          <cell r="B9016">
            <v>250434</v>
          </cell>
        </row>
        <row r="9017">
          <cell r="A9017" t="str">
            <v>闯天关每日奖励435</v>
          </cell>
          <cell r="B9017">
            <v>250435</v>
          </cell>
        </row>
        <row r="9018">
          <cell r="A9018" t="str">
            <v>闯天关每日奖励436</v>
          </cell>
          <cell r="B9018">
            <v>250436</v>
          </cell>
        </row>
        <row r="9019">
          <cell r="A9019" t="str">
            <v>闯天关每日奖励437</v>
          </cell>
          <cell r="B9019">
            <v>250437</v>
          </cell>
        </row>
        <row r="9020">
          <cell r="A9020" t="str">
            <v>闯天关每日奖励438</v>
          </cell>
          <cell r="B9020">
            <v>250438</v>
          </cell>
        </row>
        <row r="9021">
          <cell r="A9021" t="str">
            <v>闯天关每日奖励439</v>
          </cell>
          <cell r="B9021">
            <v>250439</v>
          </cell>
        </row>
        <row r="9022">
          <cell r="A9022" t="str">
            <v>闯天关每日奖励440</v>
          </cell>
          <cell r="B9022">
            <v>250440</v>
          </cell>
        </row>
        <row r="9023">
          <cell r="A9023" t="str">
            <v>闯天关每日奖励441</v>
          </cell>
          <cell r="B9023">
            <v>250441</v>
          </cell>
        </row>
        <row r="9024">
          <cell r="A9024" t="str">
            <v>闯天关每日奖励442</v>
          </cell>
          <cell r="B9024">
            <v>250442</v>
          </cell>
        </row>
        <row r="9025">
          <cell r="A9025" t="str">
            <v>闯天关每日奖励443</v>
          </cell>
          <cell r="B9025">
            <v>250443</v>
          </cell>
        </row>
        <row r="9026">
          <cell r="A9026" t="str">
            <v>闯天关每日奖励444</v>
          </cell>
          <cell r="B9026">
            <v>250444</v>
          </cell>
        </row>
        <row r="9027">
          <cell r="A9027" t="str">
            <v>闯天关每日奖励445</v>
          </cell>
          <cell r="B9027">
            <v>250445</v>
          </cell>
        </row>
        <row r="9028">
          <cell r="A9028" t="str">
            <v>闯天关每日奖励446</v>
          </cell>
          <cell r="B9028">
            <v>250446</v>
          </cell>
        </row>
        <row r="9029">
          <cell r="A9029" t="str">
            <v>闯天关每日奖励447</v>
          </cell>
          <cell r="B9029">
            <v>250447</v>
          </cell>
        </row>
        <row r="9030">
          <cell r="A9030" t="str">
            <v>闯天关每日奖励448</v>
          </cell>
          <cell r="B9030">
            <v>250448</v>
          </cell>
        </row>
        <row r="9031">
          <cell r="A9031" t="str">
            <v>闯天关每日奖励449</v>
          </cell>
          <cell r="B9031">
            <v>250449</v>
          </cell>
        </row>
        <row r="9032">
          <cell r="A9032" t="str">
            <v>闯天关每日奖励450</v>
          </cell>
          <cell r="B9032">
            <v>250450</v>
          </cell>
        </row>
        <row r="9033">
          <cell r="A9033" t="str">
            <v>闯天关每日奖励451</v>
          </cell>
          <cell r="B9033">
            <v>250451</v>
          </cell>
        </row>
        <row r="9034">
          <cell r="A9034" t="str">
            <v>闯天关每日奖励452</v>
          </cell>
          <cell r="B9034">
            <v>250452</v>
          </cell>
        </row>
        <row r="9035">
          <cell r="A9035" t="str">
            <v>闯天关每日奖励453</v>
          </cell>
          <cell r="B9035">
            <v>250453</v>
          </cell>
        </row>
        <row r="9036">
          <cell r="A9036" t="str">
            <v>闯天关每日奖励454</v>
          </cell>
          <cell r="B9036">
            <v>250454</v>
          </cell>
        </row>
        <row r="9037">
          <cell r="A9037" t="str">
            <v>闯天关每日奖励455</v>
          </cell>
          <cell r="B9037">
            <v>250455</v>
          </cell>
        </row>
        <row r="9038">
          <cell r="A9038" t="str">
            <v>闯天关每日奖励456</v>
          </cell>
          <cell r="B9038">
            <v>250456</v>
          </cell>
        </row>
        <row r="9039">
          <cell r="A9039" t="str">
            <v>闯天关每日奖励457</v>
          </cell>
          <cell r="B9039">
            <v>250457</v>
          </cell>
        </row>
        <row r="9040">
          <cell r="A9040" t="str">
            <v>闯天关每日奖励458</v>
          </cell>
          <cell r="B9040">
            <v>250458</v>
          </cell>
        </row>
        <row r="9041">
          <cell r="A9041" t="str">
            <v>闯天关每日奖励459</v>
          </cell>
          <cell r="B9041">
            <v>250459</v>
          </cell>
        </row>
        <row r="9042">
          <cell r="A9042" t="str">
            <v>闯天关每日奖励460</v>
          </cell>
          <cell r="B9042">
            <v>250460</v>
          </cell>
        </row>
        <row r="9043">
          <cell r="A9043" t="str">
            <v>闯天关每日奖励461</v>
          </cell>
          <cell r="B9043">
            <v>250461</v>
          </cell>
        </row>
        <row r="9044">
          <cell r="A9044" t="str">
            <v>闯天关每日奖励462</v>
          </cell>
          <cell r="B9044">
            <v>250462</v>
          </cell>
        </row>
        <row r="9045">
          <cell r="A9045" t="str">
            <v>闯天关每日奖励463</v>
          </cell>
          <cell r="B9045">
            <v>250463</v>
          </cell>
        </row>
        <row r="9046">
          <cell r="A9046" t="str">
            <v>闯天关每日奖励464</v>
          </cell>
          <cell r="B9046">
            <v>250464</v>
          </cell>
        </row>
        <row r="9047">
          <cell r="A9047" t="str">
            <v>闯天关每日奖励465</v>
          </cell>
          <cell r="B9047">
            <v>250465</v>
          </cell>
        </row>
        <row r="9048">
          <cell r="A9048" t="str">
            <v>闯天关每日奖励466</v>
          </cell>
          <cell r="B9048">
            <v>250466</v>
          </cell>
        </row>
        <row r="9049">
          <cell r="A9049" t="str">
            <v>闯天关每日奖励467</v>
          </cell>
          <cell r="B9049">
            <v>250467</v>
          </cell>
        </row>
        <row r="9050">
          <cell r="A9050" t="str">
            <v>闯天关每日奖励468</v>
          </cell>
          <cell r="B9050">
            <v>250468</v>
          </cell>
        </row>
        <row r="9051">
          <cell r="A9051" t="str">
            <v>闯天关每日奖励469</v>
          </cell>
          <cell r="B9051">
            <v>250469</v>
          </cell>
        </row>
        <row r="9052">
          <cell r="A9052" t="str">
            <v>闯天关每日奖励470</v>
          </cell>
          <cell r="B9052">
            <v>250470</v>
          </cell>
        </row>
        <row r="9053">
          <cell r="A9053" t="str">
            <v>闯天关每日奖励471</v>
          </cell>
          <cell r="B9053">
            <v>250471</v>
          </cell>
        </row>
        <row r="9054">
          <cell r="A9054" t="str">
            <v>闯天关每日奖励472</v>
          </cell>
          <cell r="B9054">
            <v>250472</v>
          </cell>
        </row>
        <row r="9055">
          <cell r="A9055" t="str">
            <v>闯天关每日奖励473</v>
          </cell>
          <cell r="B9055">
            <v>250473</v>
          </cell>
        </row>
        <row r="9056">
          <cell r="A9056" t="str">
            <v>闯天关每日奖励474</v>
          </cell>
          <cell r="B9056">
            <v>250474</v>
          </cell>
        </row>
        <row r="9057">
          <cell r="A9057" t="str">
            <v>闯天关每日奖励475</v>
          </cell>
          <cell r="B9057">
            <v>250475</v>
          </cell>
        </row>
        <row r="9058">
          <cell r="A9058" t="str">
            <v>闯天关每日奖励476</v>
          </cell>
          <cell r="B9058">
            <v>250476</v>
          </cell>
        </row>
        <row r="9059">
          <cell r="A9059" t="str">
            <v>闯天关每日奖励477</v>
          </cell>
          <cell r="B9059">
            <v>250477</v>
          </cell>
        </row>
        <row r="9060">
          <cell r="A9060" t="str">
            <v>闯天关每日奖励478</v>
          </cell>
          <cell r="B9060">
            <v>250478</v>
          </cell>
        </row>
        <row r="9061">
          <cell r="A9061" t="str">
            <v>闯天关每日奖励479</v>
          </cell>
          <cell r="B9061">
            <v>250479</v>
          </cell>
        </row>
        <row r="9062">
          <cell r="A9062" t="str">
            <v>闯天关每日奖励480</v>
          </cell>
          <cell r="B9062">
            <v>250480</v>
          </cell>
        </row>
        <row r="9063">
          <cell r="A9063" t="str">
            <v>闯天关每日奖励481</v>
          </cell>
          <cell r="B9063">
            <v>250481</v>
          </cell>
        </row>
        <row r="9064">
          <cell r="A9064" t="str">
            <v>闯天关每日奖励482</v>
          </cell>
          <cell r="B9064">
            <v>250482</v>
          </cell>
        </row>
        <row r="9065">
          <cell r="A9065" t="str">
            <v>闯天关每日奖励483</v>
          </cell>
          <cell r="B9065">
            <v>250483</v>
          </cell>
        </row>
        <row r="9066">
          <cell r="A9066" t="str">
            <v>闯天关每日奖励484</v>
          </cell>
          <cell r="B9066">
            <v>250484</v>
          </cell>
        </row>
        <row r="9067">
          <cell r="A9067" t="str">
            <v>闯天关每日奖励485</v>
          </cell>
          <cell r="B9067">
            <v>250485</v>
          </cell>
        </row>
        <row r="9068">
          <cell r="A9068" t="str">
            <v>闯天关每日奖励486</v>
          </cell>
          <cell r="B9068">
            <v>250486</v>
          </cell>
        </row>
        <row r="9069">
          <cell r="A9069" t="str">
            <v>闯天关每日奖励487</v>
          </cell>
          <cell r="B9069">
            <v>250487</v>
          </cell>
        </row>
        <row r="9070">
          <cell r="A9070" t="str">
            <v>闯天关每日奖励488</v>
          </cell>
          <cell r="B9070">
            <v>250488</v>
          </cell>
        </row>
        <row r="9071">
          <cell r="A9071" t="str">
            <v>闯天关每日奖励489</v>
          </cell>
          <cell r="B9071">
            <v>250489</v>
          </cell>
        </row>
        <row r="9072">
          <cell r="A9072" t="str">
            <v>闯天关每日奖励490</v>
          </cell>
          <cell r="B9072">
            <v>250490</v>
          </cell>
        </row>
        <row r="9073">
          <cell r="A9073" t="str">
            <v>闯天关每日奖励491</v>
          </cell>
          <cell r="B9073">
            <v>250491</v>
          </cell>
        </row>
        <row r="9074">
          <cell r="A9074" t="str">
            <v>闯天关每日奖励492</v>
          </cell>
          <cell r="B9074">
            <v>250492</v>
          </cell>
        </row>
        <row r="9075">
          <cell r="A9075" t="str">
            <v>闯天关每日奖励493</v>
          </cell>
          <cell r="B9075">
            <v>250493</v>
          </cell>
        </row>
        <row r="9076">
          <cell r="A9076" t="str">
            <v>闯天关每日奖励494</v>
          </cell>
          <cell r="B9076">
            <v>250494</v>
          </cell>
        </row>
        <row r="9077">
          <cell r="A9077" t="str">
            <v>闯天关每日奖励495</v>
          </cell>
          <cell r="B9077">
            <v>250495</v>
          </cell>
        </row>
        <row r="9078">
          <cell r="A9078" t="str">
            <v>闯天关每日奖励496</v>
          </cell>
          <cell r="B9078">
            <v>250496</v>
          </cell>
        </row>
        <row r="9079">
          <cell r="A9079" t="str">
            <v>闯天关每日奖励497</v>
          </cell>
          <cell r="B9079">
            <v>250497</v>
          </cell>
        </row>
        <row r="9080">
          <cell r="A9080" t="str">
            <v>闯天关每日奖励498</v>
          </cell>
          <cell r="B9080">
            <v>250498</v>
          </cell>
        </row>
        <row r="9081">
          <cell r="A9081" t="str">
            <v>闯天关每日奖励499</v>
          </cell>
          <cell r="B9081">
            <v>250499</v>
          </cell>
        </row>
        <row r="9082">
          <cell r="A9082" t="str">
            <v>闯天关每日奖励500</v>
          </cell>
          <cell r="B9082">
            <v>250500</v>
          </cell>
        </row>
        <row r="9083">
          <cell r="A9083" t="str">
            <v>闯天关每日奖励501</v>
          </cell>
          <cell r="B9083">
            <v>250501</v>
          </cell>
        </row>
        <row r="9084">
          <cell r="A9084" t="str">
            <v>闯天关每日奖励502</v>
          </cell>
          <cell r="B9084">
            <v>250502</v>
          </cell>
        </row>
        <row r="9085">
          <cell r="A9085" t="str">
            <v>闯天关每日奖励503</v>
          </cell>
          <cell r="B9085">
            <v>250503</v>
          </cell>
        </row>
        <row r="9086">
          <cell r="A9086" t="str">
            <v>闯天关每日奖励504</v>
          </cell>
          <cell r="B9086">
            <v>250504</v>
          </cell>
        </row>
        <row r="9087">
          <cell r="A9087" t="str">
            <v>闯天关每日奖励505</v>
          </cell>
          <cell r="B9087">
            <v>250505</v>
          </cell>
        </row>
        <row r="9088">
          <cell r="A9088" t="str">
            <v>闯天关每日奖励506</v>
          </cell>
          <cell r="B9088">
            <v>250506</v>
          </cell>
        </row>
        <row r="9089">
          <cell r="A9089" t="str">
            <v>闯天关每日奖励507</v>
          </cell>
          <cell r="B9089">
            <v>250507</v>
          </cell>
        </row>
        <row r="9090">
          <cell r="A9090" t="str">
            <v>闯天关每日奖励508</v>
          </cell>
          <cell r="B9090">
            <v>250508</v>
          </cell>
        </row>
        <row r="9091">
          <cell r="A9091" t="str">
            <v>闯天关每日奖励509</v>
          </cell>
          <cell r="B9091">
            <v>250509</v>
          </cell>
        </row>
        <row r="9092">
          <cell r="A9092" t="str">
            <v>闯天关每日奖励510</v>
          </cell>
          <cell r="B9092">
            <v>250510</v>
          </cell>
        </row>
        <row r="9093">
          <cell r="A9093" t="str">
            <v>闯天关每日奖励511</v>
          </cell>
          <cell r="B9093">
            <v>250511</v>
          </cell>
        </row>
        <row r="9094">
          <cell r="A9094" t="str">
            <v>闯天关每日奖励512</v>
          </cell>
          <cell r="B9094">
            <v>250512</v>
          </cell>
        </row>
        <row r="9095">
          <cell r="A9095" t="str">
            <v>闯天关每日奖励513</v>
          </cell>
          <cell r="B9095">
            <v>250513</v>
          </cell>
        </row>
        <row r="9096">
          <cell r="A9096" t="str">
            <v>闯天关每日奖励514</v>
          </cell>
          <cell r="B9096">
            <v>250514</v>
          </cell>
        </row>
        <row r="9097">
          <cell r="A9097" t="str">
            <v>闯天关每日奖励515</v>
          </cell>
          <cell r="B9097">
            <v>250515</v>
          </cell>
        </row>
        <row r="9098">
          <cell r="A9098" t="str">
            <v>闯天关每日奖励516</v>
          </cell>
          <cell r="B9098">
            <v>250516</v>
          </cell>
        </row>
        <row r="9099">
          <cell r="A9099" t="str">
            <v>闯天关每日奖励517</v>
          </cell>
          <cell r="B9099">
            <v>250517</v>
          </cell>
        </row>
        <row r="9100">
          <cell r="A9100" t="str">
            <v>闯天关每日奖励518</v>
          </cell>
          <cell r="B9100">
            <v>250518</v>
          </cell>
        </row>
        <row r="9101">
          <cell r="A9101" t="str">
            <v>闯天关每日奖励519</v>
          </cell>
          <cell r="B9101">
            <v>250519</v>
          </cell>
        </row>
        <row r="9102">
          <cell r="A9102" t="str">
            <v>闯天关每日奖励520</v>
          </cell>
          <cell r="B9102">
            <v>250520</v>
          </cell>
        </row>
        <row r="9103">
          <cell r="A9103" t="str">
            <v>闯天关每日奖励521</v>
          </cell>
          <cell r="B9103">
            <v>250521</v>
          </cell>
        </row>
        <row r="9104">
          <cell r="A9104" t="str">
            <v>闯天关每日奖励522</v>
          </cell>
          <cell r="B9104">
            <v>250522</v>
          </cell>
        </row>
        <row r="9105">
          <cell r="A9105" t="str">
            <v>闯天关每日奖励523</v>
          </cell>
          <cell r="B9105">
            <v>250523</v>
          </cell>
        </row>
        <row r="9106">
          <cell r="A9106" t="str">
            <v>闯天关每日奖励524</v>
          </cell>
          <cell r="B9106">
            <v>250524</v>
          </cell>
        </row>
        <row r="9107">
          <cell r="A9107" t="str">
            <v>闯天关每日奖励525</v>
          </cell>
          <cell r="B9107">
            <v>250525</v>
          </cell>
        </row>
        <row r="9108">
          <cell r="A9108" t="str">
            <v>闯天关每日奖励526</v>
          </cell>
          <cell r="B9108">
            <v>250526</v>
          </cell>
        </row>
        <row r="9109">
          <cell r="A9109" t="str">
            <v>闯天关每日奖励527</v>
          </cell>
          <cell r="B9109">
            <v>250527</v>
          </cell>
        </row>
        <row r="9110">
          <cell r="A9110" t="str">
            <v>闯天关每日奖励528</v>
          </cell>
          <cell r="B9110">
            <v>250528</v>
          </cell>
        </row>
        <row r="9111">
          <cell r="A9111" t="str">
            <v>闯天关每日奖励529</v>
          </cell>
          <cell r="B9111">
            <v>250529</v>
          </cell>
        </row>
        <row r="9112">
          <cell r="A9112" t="str">
            <v>闯天关每日奖励530</v>
          </cell>
          <cell r="B9112">
            <v>250530</v>
          </cell>
        </row>
        <row r="9113">
          <cell r="A9113" t="str">
            <v>闯天关每日奖励531</v>
          </cell>
          <cell r="B9113">
            <v>250531</v>
          </cell>
        </row>
        <row r="9114">
          <cell r="A9114" t="str">
            <v>闯天关每日奖励532</v>
          </cell>
          <cell r="B9114">
            <v>250532</v>
          </cell>
        </row>
        <row r="9115">
          <cell r="A9115" t="str">
            <v>闯天关每日奖励533</v>
          </cell>
          <cell r="B9115">
            <v>250533</v>
          </cell>
        </row>
        <row r="9116">
          <cell r="A9116" t="str">
            <v>闯天关每日奖励534</v>
          </cell>
          <cell r="B9116">
            <v>250534</v>
          </cell>
        </row>
        <row r="9117">
          <cell r="A9117" t="str">
            <v>闯天关每日奖励535</v>
          </cell>
          <cell r="B9117">
            <v>250535</v>
          </cell>
        </row>
        <row r="9118">
          <cell r="A9118" t="str">
            <v>闯天关每日奖励536</v>
          </cell>
          <cell r="B9118">
            <v>250536</v>
          </cell>
        </row>
        <row r="9119">
          <cell r="A9119" t="str">
            <v>闯天关每日奖励537</v>
          </cell>
          <cell r="B9119">
            <v>250537</v>
          </cell>
        </row>
        <row r="9120">
          <cell r="A9120" t="str">
            <v>闯天关每日奖励538</v>
          </cell>
          <cell r="B9120">
            <v>250538</v>
          </cell>
        </row>
        <row r="9121">
          <cell r="A9121" t="str">
            <v>闯天关每日奖励539</v>
          </cell>
          <cell r="B9121">
            <v>250539</v>
          </cell>
        </row>
        <row r="9122">
          <cell r="A9122" t="str">
            <v>闯天关每日奖励540</v>
          </cell>
          <cell r="B9122">
            <v>250540</v>
          </cell>
        </row>
        <row r="9123">
          <cell r="A9123" t="str">
            <v>闯天关每日奖励541</v>
          </cell>
          <cell r="B9123">
            <v>250541</v>
          </cell>
        </row>
        <row r="9124">
          <cell r="A9124" t="str">
            <v>闯天关每日奖励542</v>
          </cell>
          <cell r="B9124">
            <v>250542</v>
          </cell>
        </row>
        <row r="9125">
          <cell r="A9125" t="str">
            <v>闯天关每日奖励543</v>
          </cell>
          <cell r="B9125">
            <v>250543</v>
          </cell>
        </row>
        <row r="9126">
          <cell r="A9126" t="str">
            <v>闯天关每日奖励544</v>
          </cell>
          <cell r="B9126">
            <v>250544</v>
          </cell>
        </row>
        <row r="9127">
          <cell r="A9127" t="str">
            <v>闯天关每日奖励545</v>
          </cell>
          <cell r="B9127">
            <v>250545</v>
          </cell>
        </row>
        <row r="9128">
          <cell r="A9128" t="str">
            <v>闯天关每日奖励546</v>
          </cell>
          <cell r="B9128">
            <v>250546</v>
          </cell>
        </row>
        <row r="9129">
          <cell r="A9129" t="str">
            <v>闯天关每日奖励547</v>
          </cell>
          <cell r="B9129">
            <v>250547</v>
          </cell>
        </row>
        <row r="9130">
          <cell r="A9130" t="str">
            <v>闯天关每日奖励548</v>
          </cell>
          <cell r="B9130">
            <v>250548</v>
          </cell>
        </row>
        <row r="9131">
          <cell r="A9131" t="str">
            <v>闯天关每日奖励549</v>
          </cell>
          <cell r="B9131">
            <v>250549</v>
          </cell>
        </row>
        <row r="9132">
          <cell r="A9132" t="str">
            <v>闯天关每日奖励550</v>
          </cell>
          <cell r="B9132">
            <v>250550</v>
          </cell>
        </row>
        <row r="9133">
          <cell r="A9133" t="str">
            <v>闯天关每日奖励551</v>
          </cell>
          <cell r="B9133">
            <v>250551</v>
          </cell>
        </row>
        <row r="9134">
          <cell r="A9134" t="str">
            <v>闯天关每日奖励552</v>
          </cell>
          <cell r="B9134">
            <v>250552</v>
          </cell>
        </row>
        <row r="9135">
          <cell r="A9135" t="str">
            <v>闯天关每日奖励553</v>
          </cell>
          <cell r="B9135">
            <v>250553</v>
          </cell>
        </row>
        <row r="9136">
          <cell r="A9136" t="str">
            <v>闯天关每日奖励554</v>
          </cell>
          <cell r="B9136">
            <v>250554</v>
          </cell>
        </row>
        <row r="9137">
          <cell r="A9137" t="str">
            <v>闯天关每日奖励555</v>
          </cell>
          <cell r="B9137">
            <v>250555</v>
          </cell>
        </row>
        <row r="9138">
          <cell r="A9138" t="str">
            <v>闯天关每日奖励556</v>
          </cell>
          <cell r="B9138">
            <v>250556</v>
          </cell>
        </row>
        <row r="9139">
          <cell r="A9139" t="str">
            <v>闯天关每日奖励557</v>
          </cell>
          <cell r="B9139">
            <v>250557</v>
          </cell>
        </row>
        <row r="9140">
          <cell r="A9140" t="str">
            <v>闯天关每日奖励558</v>
          </cell>
          <cell r="B9140">
            <v>250558</v>
          </cell>
        </row>
        <row r="9141">
          <cell r="A9141" t="str">
            <v>闯天关每日奖励559</v>
          </cell>
          <cell r="B9141">
            <v>250559</v>
          </cell>
        </row>
        <row r="9142">
          <cell r="A9142" t="str">
            <v>闯天关每日奖励560</v>
          </cell>
          <cell r="B9142">
            <v>250560</v>
          </cell>
        </row>
        <row r="9143">
          <cell r="A9143" t="str">
            <v>闯天关每日奖励561</v>
          </cell>
          <cell r="B9143">
            <v>250561</v>
          </cell>
        </row>
        <row r="9144">
          <cell r="A9144" t="str">
            <v>闯天关每日奖励562</v>
          </cell>
          <cell r="B9144">
            <v>250562</v>
          </cell>
        </row>
        <row r="9145">
          <cell r="A9145" t="str">
            <v>闯天关每日奖励563</v>
          </cell>
          <cell r="B9145">
            <v>250563</v>
          </cell>
        </row>
        <row r="9146">
          <cell r="A9146" t="str">
            <v>闯天关每日奖励564</v>
          </cell>
          <cell r="B9146">
            <v>250564</v>
          </cell>
        </row>
        <row r="9147">
          <cell r="A9147" t="str">
            <v>闯天关每日奖励565</v>
          </cell>
          <cell r="B9147">
            <v>250565</v>
          </cell>
        </row>
        <row r="9148">
          <cell r="A9148" t="str">
            <v>闯天关每日奖励566</v>
          </cell>
          <cell r="B9148">
            <v>250566</v>
          </cell>
        </row>
        <row r="9149">
          <cell r="A9149" t="str">
            <v>闯天关每日奖励567</v>
          </cell>
          <cell r="B9149">
            <v>250567</v>
          </cell>
        </row>
        <row r="9150">
          <cell r="A9150" t="str">
            <v>闯天关每日奖励568</v>
          </cell>
          <cell r="B9150">
            <v>250568</v>
          </cell>
        </row>
        <row r="9151">
          <cell r="A9151" t="str">
            <v>闯天关每日奖励569</v>
          </cell>
          <cell r="B9151">
            <v>250569</v>
          </cell>
        </row>
        <row r="9152">
          <cell r="A9152" t="str">
            <v>闯天关每日奖励570</v>
          </cell>
          <cell r="B9152">
            <v>250570</v>
          </cell>
        </row>
        <row r="9153">
          <cell r="A9153" t="str">
            <v>闯天关每日奖励571</v>
          </cell>
          <cell r="B9153">
            <v>250571</v>
          </cell>
        </row>
        <row r="9154">
          <cell r="A9154" t="str">
            <v>闯天关每日奖励572</v>
          </cell>
          <cell r="B9154">
            <v>250572</v>
          </cell>
        </row>
        <row r="9155">
          <cell r="A9155" t="str">
            <v>闯天关每日奖励573</v>
          </cell>
          <cell r="B9155">
            <v>250573</v>
          </cell>
        </row>
        <row r="9156">
          <cell r="A9156" t="str">
            <v>闯天关每日奖励574</v>
          </cell>
          <cell r="B9156">
            <v>250574</v>
          </cell>
        </row>
        <row r="9157">
          <cell r="A9157" t="str">
            <v>闯天关每日奖励575</v>
          </cell>
          <cell r="B9157">
            <v>250575</v>
          </cell>
        </row>
        <row r="9158">
          <cell r="A9158" t="str">
            <v>闯天关每日奖励576</v>
          </cell>
          <cell r="B9158">
            <v>250576</v>
          </cell>
        </row>
        <row r="9159">
          <cell r="A9159" t="str">
            <v>闯天关每日奖励577</v>
          </cell>
          <cell r="B9159">
            <v>250577</v>
          </cell>
        </row>
        <row r="9160">
          <cell r="A9160" t="str">
            <v>闯天关每日奖励578</v>
          </cell>
          <cell r="B9160">
            <v>250578</v>
          </cell>
        </row>
        <row r="9161">
          <cell r="A9161" t="str">
            <v>闯天关每日奖励579</v>
          </cell>
          <cell r="B9161">
            <v>250579</v>
          </cell>
        </row>
        <row r="9162">
          <cell r="A9162" t="str">
            <v>闯天关每日奖励580</v>
          </cell>
          <cell r="B9162">
            <v>250580</v>
          </cell>
        </row>
        <row r="9163">
          <cell r="A9163" t="str">
            <v>闯天关每日奖励581</v>
          </cell>
          <cell r="B9163">
            <v>250581</v>
          </cell>
        </row>
        <row r="9164">
          <cell r="A9164" t="str">
            <v>闯天关每日奖励582</v>
          </cell>
          <cell r="B9164">
            <v>250582</v>
          </cell>
        </row>
        <row r="9165">
          <cell r="A9165" t="str">
            <v>闯天关每日奖励583</v>
          </cell>
          <cell r="B9165">
            <v>250583</v>
          </cell>
        </row>
        <row r="9166">
          <cell r="A9166" t="str">
            <v>闯天关每日奖励584</v>
          </cell>
          <cell r="B9166">
            <v>250584</v>
          </cell>
        </row>
        <row r="9167">
          <cell r="A9167" t="str">
            <v>闯天关每日奖励585</v>
          </cell>
          <cell r="B9167">
            <v>250585</v>
          </cell>
        </row>
        <row r="9168">
          <cell r="A9168" t="str">
            <v>闯天关每日奖励586</v>
          </cell>
          <cell r="B9168">
            <v>250586</v>
          </cell>
        </row>
        <row r="9169">
          <cell r="A9169" t="str">
            <v>闯天关每日奖励587</v>
          </cell>
          <cell r="B9169">
            <v>250587</v>
          </cell>
        </row>
        <row r="9170">
          <cell r="A9170" t="str">
            <v>闯天关每日奖励588</v>
          </cell>
          <cell r="B9170">
            <v>250588</v>
          </cell>
        </row>
        <row r="9171">
          <cell r="A9171" t="str">
            <v>闯天关每日奖励589</v>
          </cell>
          <cell r="B9171">
            <v>250589</v>
          </cell>
        </row>
        <row r="9172">
          <cell r="A9172" t="str">
            <v>闯天关每日奖励590</v>
          </cell>
          <cell r="B9172">
            <v>250590</v>
          </cell>
        </row>
        <row r="9173">
          <cell r="A9173" t="str">
            <v>闯天关每日奖励591</v>
          </cell>
          <cell r="B9173">
            <v>250591</v>
          </cell>
        </row>
        <row r="9174">
          <cell r="A9174" t="str">
            <v>闯天关每日奖励592</v>
          </cell>
          <cell r="B9174">
            <v>250592</v>
          </cell>
        </row>
        <row r="9175">
          <cell r="A9175" t="str">
            <v>闯天关每日奖励593</v>
          </cell>
          <cell r="B9175">
            <v>250593</v>
          </cell>
        </row>
        <row r="9176">
          <cell r="A9176" t="str">
            <v>闯天关每日奖励594</v>
          </cell>
          <cell r="B9176">
            <v>250594</v>
          </cell>
        </row>
        <row r="9177">
          <cell r="A9177" t="str">
            <v>闯天关每日奖励595</v>
          </cell>
          <cell r="B9177">
            <v>250595</v>
          </cell>
        </row>
        <row r="9178">
          <cell r="A9178" t="str">
            <v>闯天关每日奖励596</v>
          </cell>
          <cell r="B9178">
            <v>250596</v>
          </cell>
        </row>
        <row r="9179">
          <cell r="A9179" t="str">
            <v>闯天关每日奖励597</v>
          </cell>
          <cell r="B9179">
            <v>250597</v>
          </cell>
        </row>
        <row r="9180">
          <cell r="A9180" t="str">
            <v>闯天关每日奖励598</v>
          </cell>
          <cell r="B9180">
            <v>250598</v>
          </cell>
        </row>
        <row r="9181">
          <cell r="A9181" t="str">
            <v>闯天关每日奖励599</v>
          </cell>
          <cell r="B9181">
            <v>250599</v>
          </cell>
        </row>
        <row r="9182">
          <cell r="A9182" t="str">
            <v>闯天关每日奖励600</v>
          </cell>
          <cell r="B9182">
            <v>250600</v>
          </cell>
        </row>
        <row r="9183">
          <cell r="A9183" t="str">
            <v>闯天关展示礼包1</v>
          </cell>
          <cell r="B9183">
            <v>251001</v>
          </cell>
        </row>
        <row r="9184">
          <cell r="A9184" t="str">
            <v>闯天关展示礼包2</v>
          </cell>
          <cell r="B9184">
            <v>251002</v>
          </cell>
        </row>
        <row r="9185">
          <cell r="A9185" t="str">
            <v>闯天关展示礼包3</v>
          </cell>
          <cell r="B9185">
            <v>251003</v>
          </cell>
        </row>
        <row r="9186">
          <cell r="A9186" t="str">
            <v>闯天关展示礼包4</v>
          </cell>
          <cell r="B9186">
            <v>251004</v>
          </cell>
        </row>
        <row r="9187">
          <cell r="A9187" t="str">
            <v>闯天关展示礼包5</v>
          </cell>
          <cell r="B9187">
            <v>251005</v>
          </cell>
        </row>
        <row r="9188">
          <cell r="A9188" t="str">
            <v>闯天关展示礼包6</v>
          </cell>
          <cell r="B9188">
            <v>251006</v>
          </cell>
        </row>
        <row r="9189">
          <cell r="A9189" t="str">
            <v>闯天关展示礼包7</v>
          </cell>
          <cell r="B9189">
            <v>251007</v>
          </cell>
        </row>
        <row r="9190">
          <cell r="A9190" t="str">
            <v>闯天关展示礼包8</v>
          </cell>
          <cell r="B9190">
            <v>251008</v>
          </cell>
        </row>
        <row r="9191">
          <cell r="A9191" t="str">
            <v>闯天关展示礼包9</v>
          </cell>
          <cell r="B9191">
            <v>251009</v>
          </cell>
        </row>
        <row r="9192">
          <cell r="A9192" t="str">
            <v>闯天关展示礼包10</v>
          </cell>
          <cell r="B9192">
            <v>251010</v>
          </cell>
        </row>
        <row r="9193">
          <cell r="A9193" t="str">
            <v>闯天关展示礼包11</v>
          </cell>
          <cell r="B9193">
            <v>251011</v>
          </cell>
        </row>
        <row r="9194">
          <cell r="A9194" t="str">
            <v>闯天关展示礼包12</v>
          </cell>
          <cell r="B9194">
            <v>251012</v>
          </cell>
        </row>
        <row r="9195">
          <cell r="A9195" t="str">
            <v>闯天关展示礼包13</v>
          </cell>
          <cell r="B9195">
            <v>251013</v>
          </cell>
        </row>
        <row r="9196">
          <cell r="A9196" t="str">
            <v>70级乾碎片</v>
          </cell>
          <cell r="B9196">
            <v>252001</v>
          </cell>
        </row>
        <row r="9197">
          <cell r="A9197" t="str">
            <v>1转乾碎片</v>
          </cell>
          <cell r="B9197">
            <v>252002</v>
          </cell>
        </row>
        <row r="9198">
          <cell r="A9198" t="str">
            <v>3转乾碎片</v>
          </cell>
          <cell r="B9198">
            <v>252003</v>
          </cell>
        </row>
        <row r="9199">
          <cell r="A9199" t="str">
            <v>4转乾碎片</v>
          </cell>
          <cell r="B9199">
            <v>252004</v>
          </cell>
        </row>
        <row r="9200">
          <cell r="A9200" t="str">
            <v>5转乾碎片</v>
          </cell>
          <cell r="B9200">
            <v>252005</v>
          </cell>
        </row>
        <row r="9201">
          <cell r="A9201" t="str">
            <v>6转乾碎片</v>
          </cell>
          <cell r="B9201">
            <v>252006</v>
          </cell>
        </row>
        <row r="9202">
          <cell r="A9202" t="str">
            <v>橙色1级世界BOSS装备展示</v>
          </cell>
          <cell r="B9202">
            <v>252101</v>
          </cell>
        </row>
        <row r="9203">
          <cell r="A9203" t="str">
            <v>橙色10级世界BOSS装备展示</v>
          </cell>
          <cell r="B9203">
            <v>252102</v>
          </cell>
        </row>
        <row r="9204">
          <cell r="A9204" t="str">
            <v>橙色20级世界BOSS装备展示</v>
          </cell>
          <cell r="B9204">
            <v>252103</v>
          </cell>
        </row>
        <row r="9205">
          <cell r="A9205" t="str">
            <v>橙色30级世界BOSS装备展示</v>
          </cell>
          <cell r="B9205">
            <v>252104</v>
          </cell>
        </row>
        <row r="9206">
          <cell r="A9206" t="str">
            <v>橙色40级世界BOSS装备展示</v>
          </cell>
          <cell r="B9206">
            <v>252105</v>
          </cell>
        </row>
        <row r="9207">
          <cell r="A9207" t="str">
            <v>橙色50级世界BOSS装备展示</v>
          </cell>
          <cell r="B9207">
            <v>252106</v>
          </cell>
        </row>
        <row r="9208">
          <cell r="A9208" t="str">
            <v>橙色60级世界BOSS装备展示</v>
          </cell>
          <cell r="B9208">
            <v>252107</v>
          </cell>
        </row>
        <row r="9209">
          <cell r="A9209" t="str">
            <v>橙色70级世界BOSS装备展示</v>
          </cell>
          <cell r="B9209">
            <v>252108</v>
          </cell>
        </row>
        <row r="9210">
          <cell r="A9210" t="str">
            <v>橙色80级世界BOSS装备展示</v>
          </cell>
          <cell r="B9210">
            <v>252109</v>
          </cell>
        </row>
        <row r="9211">
          <cell r="A9211" t="str">
            <v>橙色1转世界BOSS装备展示</v>
          </cell>
          <cell r="B9211">
            <v>252110</v>
          </cell>
        </row>
        <row r="9212">
          <cell r="A9212" t="str">
            <v>橙色2转世界BOSS装备展示</v>
          </cell>
          <cell r="B9212">
            <v>252111</v>
          </cell>
        </row>
        <row r="9213">
          <cell r="A9213" t="str">
            <v>橙色3转世界BOSS装备展示</v>
          </cell>
          <cell r="B9213">
            <v>252112</v>
          </cell>
        </row>
        <row r="9214">
          <cell r="A9214" t="str">
            <v>橙色4转世界BOSS装备展示</v>
          </cell>
          <cell r="B9214">
            <v>252113</v>
          </cell>
        </row>
        <row r="9215">
          <cell r="A9215" t="str">
            <v>橙色5转世界BOSS装备展示</v>
          </cell>
          <cell r="B9215">
            <v>252114</v>
          </cell>
        </row>
        <row r="9216">
          <cell r="A9216" t="str">
            <v>橙色6转世界BOSS装备展示</v>
          </cell>
          <cell r="B9216">
            <v>252115</v>
          </cell>
        </row>
        <row r="9217">
          <cell r="A9217" t="str">
            <v>橙色7转世界BOSS装备展示</v>
          </cell>
          <cell r="B9217">
            <v>252116</v>
          </cell>
        </row>
        <row r="9218">
          <cell r="A9218" t="str">
            <v>橙色8转世界BOSS装备展示</v>
          </cell>
          <cell r="B9218">
            <v>252117</v>
          </cell>
        </row>
        <row r="9219">
          <cell r="A9219" t="str">
            <v>橙色9转世界BOSS装备展示</v>
          </cell>
          <cell r="B9219">
            <v>252118</v>
          </cell>
        </row>
        <row r="9220">
          <cell r="A9220" t="str">
            <v>橙色10转世界BOSS装备展示</v>
          </cell>
          <cell r="B9220">
            <v>252119</v>
          </cell>
        </row>
        <row r="9221">
          <cell r="A9221" t="str">
            <v>橙色11转世界BOSS装备展示</v>
          </cell>
          <cell r="B9221">
            <v>252120</v>
          </cell>
        </row>
        <row r="9222">
          <cell r="A9222" t="str">
            <v>橙色12转世界BOSS装备展示</v>
          </cell>
          <cell r="B9222">
            <v>252121</v>
          </cell>
        </row>
        <row r="9223">
          <cell r="A9223" t="str">
            <v>红色1级世界BOSS装备展示</v>
          </cell>
          <cell r="B9223">
            <v>252201</v>
          </cell>
        </row>
        <row r="9224">
          <cell r="A9224" t="str">
            <v>红色10级世界BOSS装备展示</v>
          </cell>
          <cell r="B9224">
            <v>252202</v>
          </cell>
        </row>
        <row r="9225">
          <cell r="A9225" t="str">
            <v>红色20级世界BOSS装备展示</v>
          </cell>
          <cell r="B9225">
            <v>252203</v>
          </cell>
        </row>
        <row r="9226">
          <cell r="A9226" t="str">
            <v>红色30级世界BOSS装备展示</v>
          </cell>
          <cell r="B9226">
            <v>252204</v>
          </cell>
        </row>
        <row r="9227">
          <cell r="A9227" t="str">
            <v>红色40级世界BOSS装备展示</v>
          </cell>
          <cell r="B9227">
            <v>252205</v>
          </cell>
        </row>
        <row r="9228">
          <cell r="A9228" t="str">
            <v>红色50级世界BOSS装备展示</v>
          </cell>
          <cell r="B9228">
            <v>252206</v>
          </cell>
        </row>
        <row r="9229">
          <cell r="A9229" t="str">
            <v>红色60级世界BOSS装备展示</v>
          </cell>
          <cell r="B9229">
            <v>252207</v>
          </cell>
        </row>
        <row r="9230">
          <cell r="A9230" t="str">
            <v>红色70级世界BOSS装备展示</v>
          </cell>
          <cell r="B9230">
            <v>252208</v>
          </cell>
        </row>
        <row r="9231">
          <cell r="A9231" t="str">
            <v>红色80级世界BOSS装备展示</v>
          </cell>
          <cell r="B9231">
            <v>252209</v>
          </cell>
        </row>
        <row r="9232">
          <cell r="A9232" t="str">
            <v>红色1转世界BOSS装备展示</v>
          </cell>
          <cell r="B9232">
            <v>252210</v>
          </cell>
        </row>
        <row r="9233">
          <cell r="A9233" t="str">
            <v>红色2转世界BOSS装备展示</v>
          </cell>
          <cell r="B9233">
            <v>252211</v>
          </cell>
        </row>
        <row r="9234">
          <cell r="A9234" t="str">
            <v>红色3转世界BOSS装备展示</v>
          </cell>
          <cell r="B9234">
            <v>252212</v>
          </cell>
        </row>
        <row r="9235">
          <cell r="A9235" t="str">
            <v>红色4转世界BOSS装备展示</v>
          </cell>
          <cell r="B9235">
            <v>252213</v>
          </cell>
        </row>
        <row r="9236">
          <cell r="A9236" t="str">
            <v>红色5转世界BOSS装备展示</v>
          </cell>
          <cell r="B9236">
            <v>252214</v>
          </cell>
        </row>
        <row r="9237">
          <cell r="A9237" t="str">
            <v>红色6转世界BOSS装备展示</v>
          </cell>
          <cell r="B9237">
            <v>252215</v>
          </cell>
        </row>
        <row r="9238">
          <cell r="A9238" t="str">
            <v>红色7转世界BOSS装备展示</v>
          </cell>
          <cell r="B9238">
            <v>252216</v>
          </cell>
        </row>
        <row r="9239">
          <cell r="A9239" t="str">
            <v>红色8转世界BOSS装备展示</v>
          </cell>
          <cell r="B9239">
            <v>252217</v>
          </cell>
        </row>
        <row r="9240">
          <cell r="A9240" t="str">
            <v>红色9转世界BOSS装备展示</v>
          </cell>
          <cell r="B9240">
            <v>252218</v>
          </cell>
        </row>
        <row r="9241">
          <cell r="A9241" t="str">
            <v>红色10转世界BOSS装备展示</v>
          </cell>
          <cell r="B9241">
            <v>252219</v>
          </cell>
        </row>
        <row r="9242">
          <cell r="A9242" t="str">
            <v>红色11转世界BOSS装备展示</v>
          </cell>
          <cell r="B9242">
            <v>252220</v>
          </cell>
        </row>
        <row r="9243">
          <cell r="A9243" t="str">
            <v>红色12转世界BOSS装备展示</v>
          </cell>
          <cell r="B9243">
            <v>252221</v>
          </cell>
        </row>
        <row r="9244">
          <cell r="A9244" t="str">
            <v>行会Boss初级图鉴礼包</v>
          </cell>
          <cell r="B9244">
            <v>252222</v>
          </cell>
        </row>
        <row r="9245">
          <cell r="A9245" t="str">
            <v>行会Boss中级图鉴礼包</v>
          </cell>
          <cell r="B9245">
            <v>252223</v>
          </cell>
        </row>
        <row r="9246">
          <cell r="A9246" t="str">
            <v>行会Boss击杀奖励</v>
          </cell>
          <cell r="B9246">
            <v>252224</v>
          </cell>
        </row>
        <row r="9247">
          <cell r="A9247" t="str">
            <v>行会Boss血量特殊奖励</v>
          </cell>
          <cell r="B9247">
            <v>252225</v>
          </cell>
        </row>
        <row r="9248">
          <cell r="A9248" t="str">
            <v>战士职业图鉴包</v>
          </cell>
          <cell r="B9248">
            <v>252226</v>
          </cell>
        </row>
        <row r="9249">
          <cell r="A9249" t="str">
            <v>法师职业图鉴包</v>
          </cell>
          <cell r="B9249">
            <v>252227</v>
          </cell>
        </row>
        <row r="9250">
          <cell r="A9250" t="str">
            <v>道士职业图鉴包</v>
          </cell>
          <cell r="B9250">
            <v>252228</v>
          </cell>
        </row>
        <row r="9251">
          <cell r="A9251" t="str">
            <v>1-4转红装宝箱</v>
          </cell>
          <cell r="B9251">
            <v>252229</v>
          </cell>
        </row>
        <row r="9252">
          <cell r="A9252" t="str">
            <v>5-8转红装宝箱</v>
          </cell>
          <cell r="B9252">
            <v>252230</v>
          </cell>
        </row>
        <row r="9253">
          <cell r="A9253" t="str">
            <v>1阶官印</v>
          </cell>
          <cell r="B9253">
            <v>600005</v>
          </cell>
        </row>
        <row r="9254">
          <cell r="A9254" t="str">
            <v>2阶官印</v>
          </cell>
          <cell r="B9254">
            <v>600006</v>
          </cell>
        </row>
        <row r="9255">
          <cell r="A9255" t="str">
            <v>3阶官印</v>
          </cell>
          <cell r="B9255">
            <v>600007</v>
          </cell>
        </row>
        <row r="9256">
          <cell r="A9256" t="str">
            <v>4阶官印</v>
          </cell>
          <cell r="B9256">
            <v>600008</v>
          </cell>
        </row>
        <row r="9257">
          <cell r="A9257" t="str">
            <v>5阶官印</v>
          </cell>
          <cell r="B9257">
            <v>600009</v>
          </cell>
        </row>
        <row r="9258">
          <cell r="A9258" t="str">
            <v>6阶官印</v>
          </cell>
          <cell r="B9258">
            <v>600010</v>
          </cell>
        </row>
        <row r="9259">
          <cell r="A9259" t="str">
            <v>7阶官印</v>
          </cell>
          <cell r="B9259">
            <v>600011</v>
          </cell>
        </row>
        <row r="9260">
          <cell r="A9260" t="str">
            <v>8阶官印</v>
          </cell>
          <cell r="B9260">
            <v>600012</v>
          </cell>
        </row>
        <row r="9261">
          <cell r="A9261" t="str">
            <v>9阶官印</v>
          </cell>
          <cell r="B9261">
            <v>600013</v>
          </cell>
        </row>
        <row r="9262">
          <cell r="A9262" t="str">
            <v>10阶官印</v>
          </cell>
          <cell r="B9262">
            <v>600014</v>
          </cell>
        </row>
        <row r="9263">
          <cell r="A9263" t="str">
            <v>11阶官印</v>
          </cell>
          <cell r="B9263">
            <v>600015</v>
          </cell>
        </row>
        <row r="9264">
          <cell r="A9264" t="str">
            <v>12阶官印</v>
          </cell>
          <cell r="B9264">
            <v>600016</v>
          </cell>
        </row>
        <row r="9265">
          <cell r="A9265" t="str">
            <v>13阶官印</v>
          </cell>
          <cell r="B9265">
            <v>600017</v>
          </cell>
        </row>
        <row r="9266">
          <cell r="A9266" t="str">
            <v>14阶官印</v>
          </cell>
          <cell r="B9266">
            <v>600018</v>
          </cell>
        </row>
        <row r="9267">
          <cell r="A9267" t="str">
            <v>15阶官印</v>
          </cell>
          <cell r="B9267">
            <v>600019</v>
          </cell>
        </row>
        <row r="9268">
          <cell r="A9268" t="str">
            <v>16阶官印</v>
          </cell>
          <cell r="B9268">
            <v>600020</v>
          </cell>
        </row>
        <row r="9269">
          <cell r="A9269" t="str">
            <v>17阶官印</v>
          </cell>
          <cell r="B9269">
            <v>600021</v>
          </cell>
        </row>
        <row r="9270">
          <cell r="A9270" t="str">
            <v>18阶官印</v>
          </cell>
          <cell r="B9270">
            <v>600022</v>
          </cell>
        </row>
        <row r="9271">
          <cell r="A9271" t="str">
            <v>19阶官印</v>
          </cell>
          <cell r="B9271">
            <v>600023</v>
          </cell>
        </row>
        <row r="9272">
          <cell r="A9272" t="str">
            <v>20阶官印</v>
          </cell>
          <cell r="B9272">
            <v>600024</v>
          </cell>
        </row>
        <row r="9273">
          <cell r="A9273" t="str">
            <v>神羽碎片</v>
          </cell>
          <cell r="B9273">
            <v>601000</v>
          </cell>
        </row>
        <row r="9274">
          <cell r="A9274" t="str">
            <v>飞羽(1阶)</v>
          </cell>
          <cell r="B9274">
            <v>601101</v>
          </cell>
        </row>
        <row r="9275">
          <cell r="A9275" t="str">
            <v>飞羽(2阶)</v>
          </cell>
          <cell r="B9275">
            <v>601102</v>
          </cell>
        </row>
        <row r="9276">
          <cell r="A9276" t="str">
            <v>飞羽(3阶)</v>
          </cell>
          <cell r="B9276">
            <v>601103</v>
          </cell>
        </row>
        <row r="9277">
          <cell r="A9277" t="str">
            <v>飞羽(4阶)</v>
          </cell>
          <cell r="B9277">
            <v>601104</v>
          </cell>
        </row>
        <row r="9278">
          <cell r="A9278" t="str">
            <v>飞羽(5阶)</v>
          </cell>
          <cell r="B9278">
            <v>601105</v>
          </cell>
        </row>
        <row r="9279">
          <cell r="A9279" t="str">
            <v>纤羽(1阶)</v>
          </cell>
          <cell r="B9279">
            <v>601201</v>
          </cell>
        </row>
        <row r="9280">
          <cell r="A9280" t="str">
            <v>纤羽(2阶)</v>
          </cell>
          <cell r="B9280">
            <v>601202</v>
          </cell>
        </row>
        <row r="9281">
          <cell r="A9281" t="str">
            <v>纤羽(3阶)</v>
          </cell>
          <cell r="B9281">
            <v>601203</v>
          </cell>
        </row>
        <row r="9282">
          <cell r="A9282" t="str">
            <v>纤羽(4阶)</v>
          </cell>
          <cell r="B9282">
            <v>601204</v>
          </cell>
        </row>
        <row r="9283">
          <cell r="A9283" t="str">
            <v>纤羽(5阶)</v>
          </cell>
          <cell r="B9283">
            <v>601205</v>
          </cell>
        </row>
        <row r="9284">
          <cell r="A9284" t="str">
            <v>绒羽(1阶)</v>
          </cell>
          <cell r="B9284">
            <v>601301</v>
          </cell>
        </row>
        <row r="9285">
          <cell r="A9285" t="str">
            <v>绒羽(2阶)</v>
          </cell>
          <cell r="B9285">
            <v>601302</v>
          </cell>
        </row>
        <row r="9286">
          <cell r="A9286" t="str">
            <v>绒羽(3阶)</v>
          </cell>
          <cell r="B9286">
            <v>601303</v>
          </cell>
        </row>
        <row r="9287">
          <cell r="A9287" t="str">
            <v>绒羽(4阶)</v>
          </cell>
          <cell r="B9287">
            <v>601304</v>
          </cell>
        </row>
        <row r="9288">
          <cell r="A9288" t="str">
            <v>绒羽(5阶)</v>
          </cell>
          <cell r="B9288">
            <v>601305</v>
          </cell>
        </row>
        <row r="9289">
          <cell r="A9289" t="str">
            <v>翎羽(1阶)</v>
          </cell>
          <cell r="B9289">
            <v>601401</v>
          </cell>
        </row>
        <row r="9290">
          <cell r="A9290" t="str">
            <v>翎羽(2阶)</v>
          </cell>
          <cell r="B9290">
            <v>601402</v>
          </cell>
        </row>
        <row r="9291">
          <cell r="A9291" t="str">
            <v>翎羽(3阶)</v>
          </cell>
          <cell r="B9291">
            <v>601403</v>
          </cell>
        </row>
        <row r="9292">
          <cell r="A9292" t="str">
            <v>翎羽(4阶)</v>
          </cell>
          <cell r="B9292">
            <v>601404</v>
          </cell>
        </row>
        <row r="9293">
          <cell r="A9293" t="str">
            <v>翎羽(5阶)</v>
          </cell>
          <cell r="B9293">
            <v>601405</v>
          </cell>
        </row>
        <row r="9294">
          <cell r="A9294" t="str">
            <v>神羽宝箱</v>
          </cell>
          <cell r="B9294">
            <v>601601</v>
          </cell>
        </row>
        <row r="9295">
          <cell r="A9295" t="str">
            <v>炫彩神羽礼包</v>
          </cell>
          <cell r="B9295">
            <v>601602</v>
          </cell>
        </row>
        <row r="9296">
          <cell r="A9296" t="str">
            <v>2阶神羽宝箱</v>
          </cell>
          <cell r="B9296">
            <v>601603</v>
          </cell>
        </row>
        <row r="9297">
          <cell r="A9297" t="str">
            <v>星☆传世宝箱</v>
          </cell>
          <cell r="B9297">
            <v>200997</v>
          </cell>
        </row>
        <row r="9298">
          <cell r="A9298" t="str">
            <v>传世寻宝卷</v>
          </cell>
          <cell r="B9298">
            <v>200300</v>
          </cell>
        </row>
        <row r="9299">
          <cell r="A9299" t="str">
            <v>传世宝钻</v>
          </cell>
          <cell r="B9299">
            <v>200301</v>
          </cell>
        </row>
        <row r="9300">
          <cell r="A9300" t="str">
            <v>传世至宝</v>
          </cell>
          <cell r="B9300">
            <v>200302</v>
          </cell>
        </row>
        <row r="9301">
          <cell r="A9301" t="str">
            <v>至尊金箱0转</v>
          </cell>
          <cell r="B9301">
            <v>200400</v>
          </cell>
        </row>
        <row r="9302">
          <cell r="A9302" t="str">
            <v>至尊金箱1转</v>
          </cell>
          <cell r="B9302">
            <v>200401</v>
          </cell>
        </row>
        <row r="9303">
          <cell r="A9303" t="str">
            <v>至尊金箱2转</v>
          </cell>
          <cell r="B9303">
            <v>200402</v>
          </cell>
        </row>
        <row r="9304">
          <cell r="A9304" t="str">
            <v>至尊金箱3转</v>
          </cell>
          <cell r="B9304">
            <v>200403</v>
          </cell>
        </row>
        <row r="9305">
          <cell r="A9305" t="str">
            <v>至尊金箱4转</v>
          </cell>
          <cell r="B9305">
            <v>200404</v>
          </cell>
        </row>
        <row r="9306">
          <cell r="A9306" t="str">
            <v>至尊金箱5转</v>
          </cell>
          <cell r="B9306">
            <v>200405</v>
          </cell>
        </row>
        <row r="9307">
          <cell r="A9307" t="str">
            <v>至尊金箱6转</v>
          </cell>
          <cell r="B9307">
            <v>200406</v>
          </cell>
        </row>
        <row r="9308">
          <cell r="A9308" t="str">
            <v>至尊金箱7转</v>
          </cell>
          <cell r="B9308">
            <v>200407</v>
          </cell>
        </row>
        <row r="9309">
          <cell r="A9309" t="str">
            <v>至尊金箱8转</v>
          </cell>
          <cell r="B9309">
            <v>200408</v>
          </cell>
        </row>
        <row r="9310">
          <cell r="A9310" t="str">
            <v>至尊金箱9转</v>
          </cell>
          <cell r="B9310">
            <v>200409</v>
          </cell>
        </row>
        <row r="9311">
          <cell r="A9311" t="str">
            <v>至尊金箱10转</v>
          </cell>
          <cell r="B9311">
            <v>200410</v>
          </cell>
        </row>
        <row r="9312">
          <cell r="A9312" t="str">
            <v>至尊金箱11转</v>
          </cell>
          <cell r="B9312">
            <v>200411</v>
          </cell>
        </row>
        <row r="9313">
          <cell r="A9313" t="str">
            <v>至尊金箱12转</v>
          </cell>
          <cell r="B9313">
            <v>200412</v>
          </cell>
        </row>
        <row r="9314">
          <cell r="A9314" t="str">
            <v>至尊银箱0转</v>
          </cell>
          <cell r="B9314">
            <v>200500</v>
          </cell>
        </row>
        <row r="9315">
          <cell r="A9315" t="str">
            <v>至尊银箱1转</v>
          </cell>
          <cell r="B9315">
            <v>200501</v>
          </cell>
        </row>
        <row r="9316">
          <cell r="A9316" t="str">
            <v>至尊银箱2转</v>
          </cell>
          <cell r="B9316">
            <v>200502</v>
          </cell>
        </row>
        <row r="9317">
          <cell r="A9317" t="str">
            <v>至尊银箱3转</v>
          </cell>
          <cell r="B9317">
            <v>200503</v>
          </cell>
        </row>
        <row r="9318">
          <cell r="A9318" t="str">
            <v>至尊银箱4转</v>
          </cell>
          <cell r="B9318">
            <v>200504</v>
          </cell>
        </row>
        <row r="9319">
          <cell r="A9319" t="str">
            <v>至尊银箱5转</v>
          </cell>
          <cell r="B9319">
            <v>200505</v>
          </cell>
        </row>
        <row r="9320">
          <cell r="A9320" t="str">
            <v>至尊银箱6转</v>
          </cell>
          <cell r="B9320">
            <v>200506</v>
          </cell>
        </row>
        <row r="9321">
          <cell r="A9321" t="str">
            <v>至尊银箱7转</v>
          </cell>
          <cell r="B9321">
            <v>200507</v>
          </cell>
        </row>
        <row r="9322">
          <cell r="A9322" t="str">
            <v>至尊银箱8转</v>
          </cell>
          <cell r="B9322">
            <v>200508</v>
          </cell>
        </row>
        <row r="9323">
          <cell r="A9323" t="str">
            <v>至尊银箱9转</v>
          </cell>
          <cell r="B9323">
            <v>200509</v>
          </cell>
        </row>
        <row r="9324">
          <cell r="A9324" t="str">
            <v>至尊银箱10转</v>
          </cell>
          <cell r="B9324">
            <v>200510</v>
          </cell>
        </row>
        <row r="9325">
          <cell r="A9325" t="str">
            <v>至尊银箱11转</v>
          </cell>
          <cell r="B9325">
            <v>200511</v>
          </cell>
        </row>
        <row r="9326">
          <cell r="A9326" t="str">
            <v>至尊银箱12转</v>
          </cell>
          <cell r="B9326">
            <v>200512</v>
          </cell>
        </row>
        <row r="9327">
          <cell r="A9327" t="str">
            <v>至尊金箱（80级至12转）</v>
          </cell>
          <cell r="B9327">
            <v>200601</v>
          </cell>
        </row>
        <row r="9328">
          <cell r="A9328" t="str">
            <v>至尊银箱（80级至12转）</v>
          </cell>
          <cell r="B9328">
            <v>200602</v>
          </cell>
        </row>
        <row r="9329">
          <cell r="A9329" t="str">
            <v>尾刀称号“屠龙勇士”</v>
          </cell>
          <cell r="B9329">
            <v>900020</v>
          </cell>
        </row>
        <row r="9330">
          <cell r="A9330" t="str">
            <v>兵魂礼包碎片</v>
          </cell>
          <cell r="B9330">
            <v>200303</v>
          </cell>
        </row>
        <row r="9331">
          <cell r="A9331" t="str">
            <v>神兵幻境卷</v>
          </cell>
          <cell r="B9331">
            <v>299999</v>
          </cell>
        </row>
        <row r="9332">
          <cell r="A9332" t="str">
            <v>战士1技能白圣物</v>
          </cell>
          <cell r="B9332">
            <v>300001</v>
          </cell>
        </row>
        <row r="9333">
          <cell r="A9333" t="str">
            <v>战士2技能白圣物</v>
          </cell>
          <cell r="B9333">
            <v>300002</v>
          </cell>
        </row>
        <row r="9334">
          <cell r="A9334" t="str">
            <v>战士3技能白圣物</v>
          </cell>
          <cell r="B9334">
            <v>300003</v>
          </cell>
        </row>
        <row r="9335">
          <cell r="A9335" t="str">
            <v>战士4技能白圣物</v>
          </cell>
          <cell r="B9335">
            <v>300004</v>
          </cell>
        </row>
        <row r="9336">
          <cell r="A9336" t="str">
            <v>战士5技能白圣物</v>
          </cell>
          <cell r="B9336">
            <v>300005</v>
          </cell>
        </row>
        <row r="9337">
          <cell r="A9337" t="str">
            <v>战士6技能白圣物</v>
          </cell>
          <cell r="B9337">
            <v>300006</v>
          </cell>
        </row>
        <row r="9338">
          <cell r="A9338" t="str">
            <v>战士7技能白圣物</v>
          </cell>
          <cell r="B9338">
            <v>300007</v>
          </cell>
        </row>
        <row r="9339">
          <cell r="A9339" t="str">
            <v>战士8技能白圣物</v>
          </cell>
          <cell r="B9339">
            <v>300008</v>
          </cell>
        </row>
        <row r="9340">
          <cell r="A9340" t="str">
            <v>战士9技能白圣物</v>
          </cell>
          <cell r="B9340">
            <v>300009</v>
          </cell>
        </row>
        <row r="9341">
          <cell r="A9341" t="str">
            <v>战士10技能白圣物</v>
          </cell>
          <cell r="B9341">
            <v>300010</v>
          </cell>
        </row>
        <row r="9342">
          <cell r="A9342" t="str">
            <v>战士11技能白圣物</v>
          </cell>
          <cell r="B9342">
            <v>300011</v>
          </cell>
        </row>
        <row r="9343">
          <cell r="A9343" t="str">
            <v>战士12技能白圣物</v>
          </cell>
          <cell r="B9343">
            <v>300012</v>
          </cell>
        </row>
        <row r="9344">
          <cell r="A9344" t="str">
            <v>战士13技能白圣物</v>
          </cell>
          <cell r="B9344">
            <v>300013</v>
          </cell>
        </row>
        <row r="9345">
          <cell r="A9345" t="str">
            <v>战士14技能白圣物</v>
          </cell>
          <cell r="B9345">
            <v>300014</v>
          </cell>
        </row>
        <row r="9346">
          <cell r="A9346" t="str">
            <v>战士15技能白圣物</v>
          </cell>
          <cell r="B9346">
            <v>300015</v>
          </cell>
        </row>
        <row r="9347">
          <cell r="A9347" t="str">
            <v>战士1技能紫圣物</v>
          </cell>
          <cell r="B9347">
            <v>300201</v>
          </cell>
        </row>
        <row r="9348">
          <cell r="A9348" t="str">
            <v>战士2技能紫圣物</v>
          </cell>
          <cell r="B9348">
            <v>300202</v>
          </cell>
        </row>
        <row r="9349">
          <cell r="A9349" t="str">
            <v>战士3技能紫圣物</v>
          </cell>
          <cell r="B9349">
            <v>300203</v>
          </cell>
        </row>
        <row r="9350">
          <cell r="A9350" t="str">
            <v>战士4技能紫圣物</v>
          </cell>
          <cell r="B9350">
            <v>300204</v>
          </cell>
        </row>
        <row r="9351">
          <cell r="A9351" t="str">
            <v>战士5技能紫圣物</v>
          </cell>
          <cell r="B9351">
            <v>300205</v>
          </cell>
        </row>
        <row r="9352">
          <cell r="A9352" t="str">
            <v>战士6技能紫圣物</v>
          </cell>
          <cell r="B9352">
            <v>300206</v>
          </cell>
        </row>
        <row r="9353">
          <cell r="A9353" t="str">
            <v>战士7技能紫圣物</v>
          </cell>
          <cell r="B9353">
            <v>300207</v>
          </cell>
        </row>
        <row r="9354">
          <cell r="A9354" t="str">
            <v>战士8技能紫圣物</v>
          </cell>
          <cell r="B9354">
            <v>300208</v>
          </cell>
        </row>
        <row r="9355">
          <cell r="A9355" t="str">
            <v>战士9技能紫圣物</v>
          </cell>
          <cell r="B9355">
            <v>300209</v>
          </cell>
        </row>
        <row r="9356">
          <cell r="A9356" t="str">
            <v>战士10技能紫圣物</v>
          </cell>
          <cell r="B9356">
            <v>300210</v>
          </cell>
        </row>
        <row r="9357">
          <cell r="A9357" t="str">
            <v>战士11技能紫圣物</v>
          </cell>
          <cell r="B9357">
            <v>300211</v>
          </cell>
        </row>
        <row r="9358">
          <cell r="A9358" t="str">
            <v>战士12技能紫圣物</v>
          </cell>
          <cell r="B9358">
            <v>300212</v>
          </cell>
        </row>
        <row r="9359">
          <cell r="A9359" t="str">
            <v>战士13技能紫圣物</v>
          </cell>
          <cell r="B9359">
            <v>300213</v>
          </cell>
        </row>
        <row r="9360">
          <cell r="A9360" t="str">
            <v>战士14技能紫圣物</v>
          </cell>
          <cell r="B9360">
            <v>300214</v>
          </cell>
        </row>
        <row r="9361">
          <cell r="A9361" t="str">
            <v>战士15技能紫圣物</v>
          </cell>
          <cell r="B9361">
            <v>300215</v>
          </cell>
        </row>
        <row r="9362">
          <cell r="A9362" t="str">
            <v>战士1技能橙圣物</v>
          </cell>
          <cell r="B9362">
            <v>300301</v>
          </cell>
        </row>
        <row r="9363">
          <cell r="A9363" t="str">
            <v>战士2技能橙圣物</v>
          </cell>
          <cell r="B9363">
            <v>300302</v>
          </cell>
        </row>
        <row r="9364">
          <cell r="A9364" t="str">
            <v>战士3技能橙圣物</v>
          </cell>
          <cell r="B9364">
            <v>300303</v>
          </cell>
        </row>
        <row r="9365">
          <cell r="A9365" t="str">
            <v>战士4技能橙圣物</v>
          </cell>
          <cell r="B9365">
            <v>300304</v>
          </cell>
        </row>
        <row r="9366">
          <cell r="A9366" t="str">
            <v>战士5技能橙圣物</v>
          </cell>
          <cell r="B9366">
            <v>300305</v>
          </cell>
        </row>
        <row r="9367">
          <cell r="A9367" t="str">
            <v>战士6技能橙圣物</v>
          </cell>
          <cell r="B9367">
            <v>300306</v>
          </cell>
        </row>
        <row r="9368">
          <cell r="A9368" t="str">
            <v>战士7技能橙圣物</v>
          </cell>
          <cell r="B9368">
            <v>300307</v>
          </cell>
        </row>
        <row r="9369">
          <cell r="A9369" t="str">
            <v>战士8技能橙圣物</v>
          </cell>
          <cell r="B9369">
            <v>300308</v>
          </cell>
        </row>
        <row r="9370">
          <cell r="A9370" t="str">
            <v>战士9技能橙圣物</v>
          </cell>
          <cell r="B9370">
            <v>300309</v>
          </cell>
        </row>
        <row r="9371">
          <cell r="A9371" t="str">
            <v>战士10技能橙圣物</v>
          </cell>
          <cell r="B9371">
            <v>300310</v>
          </cell>
        </row>
        <row r="9372">
          <cell r="A9372" t="str">
            <v>战士11技能橙圣物</v>
          </cell>
          <cell r="B9372">
            <v>300311</v>
          </cell>
        </row>
        <row r="9373">
          <cell r="A9373" t="str">
            <v>战士12技能橙圣物</v>
          </cell>
          <cell r="B9373">
            <v>300312</v>
          </cell>
        </row>
        <row r="9374">
          <cell r="A9374" t="str">
            <v>战士13技能橙圣物</v>
          </cell>
          <cell r="B9374">
            <v>300313</v>
          </cell>
        </row>
        <row r="9375">
          <cell r="A9375" t="str">
            <v>战士14技能橙圣物</v>
          </cell>
          <cell r="B9375">
            <v>300314</v>
          </cell>
        </row>
        <row r="9376">
          <cell r="A9376" t="str">
            <v>战士15技能橙圣物</v>
          </cell>
          <cell r="B9376">
            <v>300315</v>
          </cell>
        </row>
        <row r="9377">
          <cell r="A9377" t="str">
            <v>战士1技能红圣物</v>
          </cell>
          <cell r="B9377">
            <v>300401</v>
          </cell>
        </row>
        <row r="9378">
          <cell r="A9378" t="str">
            <v>战士2技能红圣物</v>
          </cell>
          <cell r="B9378">
            <v>300402</v>
          </cell>
        </row>
        <row r="9379">
          <cell r="A9379" t="str">
            <v>战士3技能红圣物</v>
          </cell>
          <cell r="B9379">
            <v>300403</v>
          </cell>
        </row>
        <row r="9380">
          <cell r="A9380" t="str">
            <v>战士4技能红圣物</v>
          </cell>
          <cell r="B9380">
            <v>300404</v>
          </cell>
        </row>
        <row r="9381">
          <cell r="A9381" t="str">
            <v>战士5技能红圣物</v>
          </cell>
          <cell r="B9381">
            <v>300405</v>
          </cell>
        </row>
        <row r="9382">
          <cell r="A9382" t="str">
            <v>战士6技能红圣物</v>
          </cell>
          <cell r="B9382">
            <v>300406</v>
          </cell>
        </row>
        <row r="9383">
          <cell r="A9383" t="str">
            <v>战士7技能红圣物</v>
          </cell>
          <cell r="B9383">
            <v>300407</v>
          </cell>
        </row>
        <row r="9384">
          <cell r="A9384" t="str">
            <v>战士8技能红圣物</v>
          </cell>
          <cell r="B9384">
            <v>300408</v>
          </cell>
        </row>
        <row r="9385">
          <cell r="A9385" t="str">
            <v>战士9技能红圣物</v>
          </cell>
          <cell r="B9385">
            <v>300409</v>
          </cell>
        </row>
        <row r="9386">
          <cell r="A9386" t="str">
            <v>战士10技能红圣物</v>
          </cell>
          <cell r="B9386">
            <v>300410</v>
          </cell>
        </row>
        <row r="9387">
          <cell r="A9387" t="str">
            <v>战士11技能红圣物</v>
          </cell>
          <cell r="B9387">
            <v>300411</v>
          </cell>
        </row>
        <row r="9388">
          <cell r="A9388" t="str">
            <v>战士12技能红圣物</v>
          </cell>
          <cell r="B9388">
            <v>300412</v>
          </cell>
        </row>
        <row r="9389">
          <cell r="A9389" t="str">
            <v>战士13技能红圣物</v>
          </cell>
          <cell r="B9389">
            <v>300413</v>
          </cell>
        </row>
        <row r="9390">
          <cell r="A9390" t="str">
            <v>战士14技能红圣物</v>
          </cell>
          <cell r="B9390">
            <v>300414</v>
          </cell>
        </row>
        <row r="9391">
          <cell r="A9391" t="str">
            <v>战士15技能红圣物</v>
          </cell>
          <cell r="B9391">
            <v>300415</v>
          </cell>
        </row>
        <row r="9392">
          <cell r="A9392" t="str">
            <v>法师1技能白圣物</v>
          </cell>
          <cell r="B9392">
            <v>301001</v>
          </cell>
        </row>
        <row r="9393">
          <cell r="A9393" t="str">
            <v>法师2技能白圣物</v>
          </cell>
          <cell r="B9393">
            <v>301002</v>
          </cell>
        </row>
        <row r="9394">
          <cell r="A9394" t="str">
            <v>法师3技能白圣物</v>
          </cell>
          <cell r="B9394">
            <v>301003</v>
          </cell>
        </row>
        <row r="9395">
          <cell r="A9395" t="str">
            <v>法师4技能白圣物</v>
          </cell>
          <cell r="B9395">
            <v>301004</v>
          </cell>
        </row>
        <row r="9396">
          <cell r="A9396" t="str">
            <v>法师5技能白圣物</v>
          </cell>
          <cell r="B9396">
            <v>301005</v>
          </cell>
        </row>
        <row r="9397">
          <cell r="A9397" t="str">
            <v>法师6技能白圣物</v>
          </cell>
          <cell r="B9397">
            <v>301006</v>
          </cell>
        </row>
        <row r="9398">
          <cell r="A9398" t="str">
            <v>法师7技能白圣物</v>
          </cell>
          <cell r="B9398">
            <v>301007</v>
          </cell>
        </row>
        <row r="9399">
          <cell r="A9399" t="str">
            <v>法师8技能白圣物</v>
          </cell>
          <cell r="B9399">
            <v>301008</v>
          </cell>
        </row>
        <row r="9400">
          <cell r="A9400" t="str">
            <v>法师9技能白圣物</v>
          </cell>
          <cell r="B9400">
            <v>301009</v>
          </cell>
        </row>
        <row r="9401">
          <cell r="A9401" t="str">
            <v>法师10技能白圣物</v>
          </cell>
          <cell r="B9401">
            <v>301010</v>
          </cell>
        </row>
        <row r="9402">
          <cell r="A9402" t="str">
            <v>法师11技能白圣物</v>
          </cell>
          <cell r="B9402">
            <v>301011</v>
          </cell>
        </row>
        <row r="9403">
          <cell r="A9403" t="str">
            <v>法师12技能白圣物</v>
          </cell>
          <cell r="B9403">
            <v>301012</v>
          </cell>
        </row>
        <row r="9404">
          <cell r="A9404" t="str">
            <v>法师13技能白圣物</v>
          </cell>
          <cell r="B9404">
            <v>301013</v>
          </cell>
        </row>
        <row r="9405">
          <cell r="A9405" t="str">
            <v>法师14技能白圣物</v>
          </cell>
          <cell r="B9405">
            <v>301014</v>
          </cell>
        </row>
        <row r="9406">
          <cell r="A9406" t="str">
            <v>法师15技能白圣物</v>
          </cell>
          <cell r="B9406">
            <v>301015</v>
          </cell>
        </row>
        <row r="9407">
          <cell r="A9407" t="str">
            <v>法师1技能紫圣物</v>
          </cell>
          <cell r="B9407">
            <v>301201</v>
          </cell>
        </row>
        <row r="9408">
          <cell r="A9408" t="str">
            <v>法师2技能紫圣物</v>
          </cell>
          <cell r="B9408">
            <v>301202</v>
          </cell>
        </row>
        <row r="9409">
          <cell r="A9409" t="str">
            <v>法师3技能紫圣物</v>
          </cell>
          <cell r="B9409">
            <v>301203</v>
          </cell>
        </row>
        <row r="9410">
          <cell r="A9410" t="str">
            <v>法师4技能紫圣物</v>
          </cell>
          <cell r="B9410">
            <v>301204</v>
          </cell>
        </row>
        <row r="9411">
          <cell r="A9411" t="str">
            <v>法师5技能紫圣物</v>
          </cell>
          <cell r="B9411">
            <v>301205</v>
          </cell>
        </row>
        <row r="9412">
          <cell r="A9412" t="str">
            <v>法师6技能紫圣物</v>
          </cell>
          <cell r="B9412">
            <v>301206</v>
          </cell>
        </row>
        <row r="9413">
          <cell r="A9413" t="str">
            <v>法师7技能紫圣物</v>
          </cell>
          <cell r="B9413">
            <v>301207</v>
          </cell>
        </row>
        <row r="9414">
          <cell r="A9414" t="str">
            <v>法师8技能紫圣物</v>
          </cell>
          <cell r="B9414">
            <v>301208</v>
          </cell>
        </row>
        <row r="9415">
          <cell r="A9415" t="str">
            <v>法师9技能紫圣物</v>
          </cell>
          <cell r="B9415">
            <v>301209</v>
          </cell>
        </row>
        <row r="9416">
          <cell r="A9416" t="str">
            <v>法师10技能紫圣物</v>
          </cell>
          <cell r="B9416">
            <v>301210</v>
          </cell>
        </row>
        <row r="9417">
          <cell r="A9417" t="str">
            <v>法师11技能紫圣物</v>
          </cell>
          <cell r="B9417">
            <v>301211</v>
          </cell>
        </row>
        <row r="9418">
          <cell r="A9418" t="str">
            <v>法师12技能紫圣物</v>
          </cell>
          <cell r="B9418">
            <v>301212</v>
          </cell>
        </row>
        <row r="9419">
          <cell r="A9419" t="str">
            <v>法师13技能紫圣物</v>
          </cell>
          <cell r="B9419">
            <v>301213</v>
          </cell>
        </row>
        <row r="9420">
          <cell r="A9420" t="str">
            <v>法师14技能紫圣物</v>
          </cell>
          <cell r="B9420">
            <v>301214</v>
          </cell>
        </row>
        <row r="9421">
          <cell r="A9421" t="str">
            <v>法师15技能紫圣物</v>
          </cell>
          <cell r="B9421">
            <v>301215</v>
          </cell>
        </row>
        <row r="9422">
          <cell r="A9422" t="str">
            <v>法师1技能橙圣物</v>
          </cell>
          <cell r="B9422">
            <v>301301</v>
          </cell>
        </row>
        <row r="9423">
          <cell r="A9423" t="str">
            <v>法师2技能橙圣物</v>
          </cell>
          <cell r="B9423">
            <v>301302</v>
          </cell>
        </row>
        <row r="9424">
          <cell r="A9424" t="str">
            <v>法师3技能橙圣物</v>
          </cell>
          <cell r="B9424">
            <v>301303</v>
          </cell>
        </row>
        <row r="9425">
          <cell r="A9425" t="str">
            <v>法师4技能橙圣物</v>
          </cell>
          <cell r="B9425">
            <v>301304</v>
          </cell>
        </row>
        <row r="9426">
          <cell r="A9426" t="str">
            <v>法师5技能橙圣物</v>
          </cell>
          <cell r="B9426">
            <v>301305</v>
          </cell>
        </row>
        <row r="9427">
          <cell r="A9427" t="str">
            <v>法师6技能橙圣物</v>
          </cell>
          <cell r="B9427">
            <v>301306</v>
          </cell>
        </row>
        <row r="9428">
          <cell r="A9428" t="str">
            <v>法师7技能橙圣物</v>
          </cell>
          <cell r="B9428">
            <v>301307</v>
          </cell>
        </row>
        <row r="9429">
          <cell r="A9429" t="str">
            <v>法师8技能橙圣物</v>
          </cell>
          <cell r="B9429">
            <v>301308</v>
          </cell>
        </row>
        <row r="9430">
          <cell r="A9430" t="str">
            <v>法师9技能橙圣物</v>
          </cell>
          <cell r="B9430">
            <v>301309</v>
          </cell>
        </row>
        <row r="9431">
          <cell r="A9431" t="str">
            <v>法师10技能橙圣物</v>
          </cell>
          <cell r="B9431">
            <v>301310</v>
          </cell>
        </row>
        <row r="9432">
          <cell r="A9432" t="str">
            <v>法师11技能橙圣物</v>
          </cell>
          <cell r="B9432">
            <v>301311</v>
          </cell>
        </row>
        <row r="9433">
          <cell r="A9433" t="str">
            <v>法师12技能橙圣物</v>
          </cell>
          <cell r="B9433">
            <v>301312</v>
          </cell>
        </row>
        <row r="9434">
          <cell r="A9434" t="str">
            <v>法师13技能橙圣物</v>
          </cell>
          <cell r="B9434">
            <v>301313</v>
          </cell>
        </row>
        <row r="9435">
          <cell r="A9435" t="str">
            <v>法师14技能橙圣物</v>
          </cell>
          <cell r="B9435">
            <v>301314</v>
          </cell>
        </row>
        <row r="9436">
          <cell r="A9436" t="str">
            <v>法师15技能橙圣物</v>
          </cell>
          <cell r="B9436">
            <v>301315</v>
          </cell>
        </row>
        <row r="9437">
          <cell r="A9437" t="str">
            <v>法师1技能红圣物</v>
          </cell>
          <cell r="B9437">
            <v>301401</v>
          </cell>
        </row>
        <row r="9438">
          <cell r="A9438" t="str">
            <v>法师2技能红圣物</v>
          </cell>
          <cell r="B9438">
            <v>301402</v>
          </cell>
        </row>
        <row r="9439">
          <cell r="A9439" t="str">
            <v>法师3技能红圣物</v>
          </cell>
          <cell r="B9439">
            <v>301403</v>
          </cell>
        </row>
        <row r="9440">
          <cell r="A9440" t="str">
            <v>法师4技能红圣物</v>
          </cell>
          <cell r="B9440">
            <v>301404</v>
          </cell>
        </row>
        <row r="9441">
          <cell r="A9441" t="str">
            <v>法师5技能红圣物</v>
          </cell>
          <cell r="B9441">
            <v>301405</v>
          </cell>
        </row>
        <row r="9442">
          <cell r="A9442" t="str">
            <v>法师6技能红圣物</v>
          </cell>
          <cell r="B9442">
            <v>301406</v>
          </cell>
        </row>
        <row r="9443">
          <cell r="A9443" t="str">
            <v>法师7技能红圣物</v>
          </cell>
          <cell r="B9443">
            <v>301407</v>
          </cell>
        </row>
        <row r="9444">
          <cell r="A9444" t="str">
            <v>法师8技能红圣物</v>
          </cell>
          <cell r="B9444">
            <v>301408</v>
          </cell>
        </row>
        <row r="9445">
          <cell r="A9445" t="str">
            <v>法师9技能红圣物</v>
          </cell>
          <cell r="B9445">
            <v>301409</v>
          </cell>
        </row>
        <row r="9446">
          <cell r="A9446" t="str">
            <v>法师10技能红圣物</v>
          </cell>
          <cell r="B9446">
            <v>301410</v>
          </cell>
        </row>
        <row r="9447">
          <cell r="A9447" t="str">
            <v>法师11技能红圣物</v>
          </cell>
          <cell r="B9447">
            <v>301411</v>
          </cell>
        </row>
        <row r="9448">
          <cell r="A9448" t="str">
            <v>法师12技能红圣物</v>
          </cell>
          <cell r="B9448">
            <v>301412</v>
          </cell>
        </row>
        <row r="9449">
          <cell r="A9449" t="str">
            <v>法师13技能红圣物</v>
          </cell>
          <cell r="B9449">
            <v>301413</v>
          </cell>
        </row>
        <row r="9450">
          <cell r="A9450" t="str">
            <v>法师14技能红圣物</v>
          </cell>
          <cell r="B9450">
            <v>301414</v>
          </cell>
        </row>
        <row r="9451">
          <cell r="A9451" t="str">
            <v>法师15技能红圣物</v>
          </cell>
          <cell r="B9451">
            <v>301415</v>
          </cell>
        </row>
        <row r="9452">
          <cell r="A9452" t="str">
            <v>道士1技能白圣物</v>
          </cell>
          <cell r="B9452">
            <v>302001</v>
          </cell>
        </row>
        <row r="9453">
          <cell r="A9453" t="str">
            <v>道士2技能白圣物</v>
          </cell>
          <cell r="B9453">
            <v>302002</v>
          </cell>
        </row>
        <row r="9454">
          <cell r="A9454" t="str">
            <v>道士3技能白圣物</v>
          </cell>
          <cell r="B9454">
            <v>302003</v>
          </cell>
        </row>
        <row r="9455">
          <cell r="A9455" t="str">
            <v>道士4技能白圣物</v>
          </cell>
          <cell r="B9455">
            <v>302004</v>
          </cell>
        </row>
        <row r="9456">
          <cell r="A9456" t="str">
            <v>道士5技能白圣物</v>
          </cell>
          <cell r="B9456">
            <v>302005</v>
          </cell>
        </row>
        <row r="9457">
          <cell r="A9457" t="str">
            <v>道士6技能白圣物</v>
          </cell>
          <cell r="B9457">
            <v>302006</v>
          </cell>
        </row>
        <row r="9458">
          <cell r="A9458" t="str">
            <v>道士7技能白圣物</v>
          </cell>
          <cell r="B9458">
            <v>302007</v>
          </cell>
        </row>
        <row r="9459">
          <cell r="A9459" t="str">
            <v>道士8技能白圣物</v>
          </cell>
          <cell r="B9459">
            <v>302008</v>
          </cell>
        </row>
        <row r="9460">
          <cell r="A9460" t="str">
            <v>道士9技能白圣物</v>
          </cell>
          <cell r="B9460">
            <v>302009</v>
          </cell>
        </row>
        <row r="9461">
          <cell r="A9461" t="str">
            <v>道士10技能白圣物</v>
          </cell>
          <cell r="B9461">
            <v>302010</v>
          </cell>
        </row>
        <row r="9462">
          <cell r="A9462" t="str">
            <v>道士11技能白圣物</v>
          </cell>
          <cell r="B9462">
            <v>302011</v>
          </cell>
        </row>
        <row r="9463">
          <cell r="A9463" t="str">
            <v>道士12技能白圣物</v>
          </cell>
          <cell r="B9463">
            <v>302012</v>
          </cell>
        </row>
        <row r="9464">
          <cell r="A9464" t="str">
            <v>道士13技能白圣物</v>
          </cell>
          <cell r="B9464">
            <v>302013</v>
          </cell>
        </row>
        <row r="9465">
          <cell r="A9465" t="str">
            <v>道士14技能白圣物</v>
          </cell>
          <cell r="B9465">
            <v>302014</v>
          </cell>
        </row>
        <row r="9466">
          <cell r="A9466" t="str">
            <v>道士15技能白圣物</v>
          </cell>
          <cell r="B9466">
            <v>302015</v>
          </cell>
        </row>
        <row r="9467">
          <cell r="A9467" t="str">
            <v>道士1技能紫圣物</v>
          </cell>
          <cell r="B9467">
            <v>302201</v>
          </cell>
        </row>
        <row r="9468">
          <cell r="A9468" t="str">
            <v>道士2技能紫圣物</v>
          </cell>
          <cell r="B9468">
            <v>302202</v>
          </cell>
        </row>
        <row r="9469">
          <cell r="A9469" t="str">
            <v>道士3技能紫圣物</v>
          </cell>
          <cell r="B9469">
            <v>302203</v>
          </cell>
        </row>
        <row r="9470">
          <cell r="A9470" t="str">
            <v>道士4技能紫圣物</v>
          </cell>
          <cell r="B9470">
            <v>302204</v>
          </cell>
        </row>
        <row r="9471">
          <cell r="A9471" t="str">
            <v>道士5技能紫圣物</v>
          </cell>
          <cell r="B9471">
            <v>302205</v>
          </cell>
        </row>
        <row r="9472">
          <cell r="A9472" t="str">
            <v>道士6技能紫圣物</v>
          </cell>
          <cell r="B9472">
            <v>302206</v>
          </cell>
        </row>
        <row r="9473">
          <cell r="A9473" t="str">
            <v>道士7技能紫圣物</v>
          </cell>
          <cell r="B9473">
            <v>302207</v>
          </cell>
        </row>
        <row r="9474">
          <cell r="A9474" t="str">
            <v>道士8技能紫圣物</v>
          </cell>
          <cell r="B9474">
            <v>302208</v>
          </cell>
        </row>
        <row r="9475">
          <cell r="A9475" t="str">
            <v>道士9技能紫圣物</v>
          </cell>
          <cell r="B9475">
            <v>302209</v>
          </cell>
        </row>
        <row r="9476">
          <cell r="A9476" t="str">
            <v>道士10技能紫圣物</v>
          </cell>
          <cell r="B9476">
            <v>302210</v>
          </cell>
        </row>
        <row r="9477">
          <cell r="A9477" t="str">
            <v>道士11技能紫圣物</v>
          </cell>
          <cell r="B9477">
            <v>302211</v>
          </cell>
        </row>
        <row r="9478">
          <cell r="A9478" t="str">
            <v>道士12技能紫圣物</v>
          </cell>
          <cell r="B9478">
            <v>302212</v>
          </cell>
        </row>
        <row r="9479">
          <cell r="A9479" t="str">
            <v>道士13技能紫圣物</v>
          </cell>
          <cell r="B9479">
            <v>302213</v>
          </cell>
        </row>
        <row r="9480">
          <cell r="A9480" t="str">
            <v>道士14技能紫圣物</v>
          </cell>
          <cell r="B9480">
            <v>302214</v>
          </cell>
        </row>
        <row r="9481">
          <cell r="A9481" t="str">
            <v>道士15技能紫圣物</v>
          </cell>
          <cell r="B9481">
            <v>302215</v>
          </cell>
        </row>
        <row r="9482">
          <cell r="A9482" t="str">
            <v>道士1技能橙圣物</v>
          </cell>
          <cell r="B9482">
            <v>302301</v>
          </cell>
        </row>
        <row r="9483">
          <cell r="A9483" t="str">
            <v>道士2技能橙圣物</v>
          </cell>
          <cell r="B9483">
            <v>302302</v>
          </cell>
        </row>
        <row r="9484">
          <cell r="A9484" t="str">
            <v>道士3技能橙圣物</v>
          </cell>
          <cell r="B9484">
            <v>302303</v>
          </cell>
        </row>
        <row r="9485">
          <cell r="A9485" t="str">
            <v>道士4技能橙圣物</v>
          </cell>
          <cell r="B9485">
            <v>302304</v>
          </cell>
        </row>
        <row r="9486">
          <cell r="A9486" t="str">
            <v>道士5技能橙圣物</v>
          </cell>
          <cell r="B9486">
            <v>302305</v>
          </cell>
        </row>
        <row r="9487">
          <cell r="A9487" t="str">
            <v>道士6技能橙圣物</v>
          </cell>
          <cell r="B9487">
            <v>302306</v>
          </cell>
        </row>
        <row r="9488">
          <cell r="A9488" t="str">
            <v>道士7技能橙圣物</v>
          </cell>
          <cell r="B9488">
            <v>302307</v>
          </cell>
        </row>
        <row r="9489">
          <cell r="A9489" t="str">
            <v>道士8技能橙圣物</v>
          </cell>
          <cell r="B9489">
            <v>302308</v>
          </cell>
        </row>
        <row r="9490">
          <cell r="A9490" t="str">
            <v>道士9技能橙圣物</v>
          </cell>
          <cell r="B9490">
            <v>302309</v>
          </cell>
        </row>
        <row r="9491">
          <cell r="A9491" t="str">
            <v>道士10技能橙圣物</v>
          </cell>
          <cell r="B9491">
            <v>302310</v>
          </cell>
        </row>
        <row r="9492">
          <cell r="A9492" t="str">
            <v>道士11技能橙圣物</v>
          </cell>
          <cell r="B9492">
            <v>302311</v>
          </cell>
        </row>
        <row r="9493">
          <cell r="A9493" t="str">
            <v>道士12技能橙圣物</v>
          </cell>
          <cell r="B9493">
            <v>302312</v>
          </cell>
        </row>
        <row r="9494">
          <cell r="A9494" t="str">
            <v>道士13技能橙圣物</v>
          </cell>
          <cell r="B9494">
            <v>302313</v>
          </cell>
        </row>
        <row r="9495">
          <cell r="A9495" t="str">
            <v>道士14技能橙圣物</v>
          </cell>
          <cell r="B9495">
            <v>302314</v>
          </cell>
        </row>
        <row r="9496">
          <cell r="A9496" t="str">
            <v>道士15技能橙圣物</v>
          </cell>
          <cell r="B9496">
            <v>302315</v>
          </cell>
        </row>
        <row r="9497">
          <cell r="A9497" t="str">
            <v>道士1技能红圣物</v>
          </cell>
          <cell r="B9497">
            <v>302401</v>
          </cell>
        </row>
        <row r="9498">
          <cell r="A9498" t="str">
            <v>道士2技能红圣物</v>
          </cell>
          <cell r="B9498">
            <v>302402</v>
          </cell>
        </row>
        <row r="9499">
          <cell r="A9499" t="str">
            <v>道士3技能红圣物</v>
          </cell>
          <cell r="B9499">
            <v>302403</v>
          </cell>
        </row>
        <row r="9500">
          <cell r="A9500" t="str">
            <v>道士4技能红圣物</v>
          </cell>
          <cell r="B9500">
            <v>302404</v>
          </cell>
        </row>
        <row r="9501">
          <cell r="A9501" t="str">
            <v>道士5技能红圣物</v>
          </cell>
          <cell r="B9501">
            <v>302405</v>
          </cell>
        </row>
        <row r="9502">
          <cell r="A9502" t="str">
            <v>道士6技能红圣物</v>
          </cell>
          <cell r="B9502">
            <v>302406</v>
          </cell>
        </row>
        <row r="9503">
          <cell r="A9503" t="str">
            <v>道士7技能红圣物</v>
          </cell>
          <cell r="B9503">
            <v>302407</v>
          </cell>
        </row>
        <row r="9504">
          <cell r="A9504" t="str">
            <v>道士8技能红圣物</v>
          </cell>
          <cell r="B9504">
            <v>302408</v>
          </cell>
        </row>
        <row r="9505">
          <cell r="A9505" t="str">
            <v>道士9技能红圣物</v>
          </cell>
          <cell r="B9505">
            <v>302409</v>
          </cell>
        </row>
        <row r="9506">
          <cell r="A9506" t="str">
            <v>道士10技能红圣物</v>
          </cell>
          <cell r="B9506">
            <v>302410</v>
          </cell>
        </row>
        <row r="9507">
          <cell r="A9507" t="str">
            <v>道士11技能红圣物</v>
          </cell>
          <cell r="B9507">
            <v>302411</v>
          </cell>
        </row>
        <row r="9508">
          <cell r="A9508" t="str">
            <v>道士12技能红圣物</v>
          </cell>
          <cell r="B9508">
            <v>302412</v>
          </cell>
        </row>
        <row r="9509">
          <cell r="A9509" t="str">
            <v>道士13技能红圣物</v>
          </cell>
          <cell r="B9509">
            <v>302413</v>
          </cell>
        </row>
        <row r="9510">
          <cell r="A9510" t="str">
            <v>道士14技能红圣物</v>
          </cell>
          <cell r="B9510">
            <v>302414</v>
          </cell>
        </row>
        <row r="9511">
          <cell r="A9511" t="str">
            <v>道士15技能红圣物</v>
          </cell>
          <cell r="B9511">
            <v>302415</v>
          </cell>
        </row>
        <row r="9512">
          <cell r="A9512" t="str">
            <v>战士双技能红圣物1</v>
          </cell>
          <cell r="B9512">
            <v>410101</v>
          </cell>
        </row>
        <row r="9513">
          <cell r="A9513" t="str">
            <v>战士双技能红圣物2</v>
          </cell>
          <cell r="B9513">
            <v>410102</v>
          </cell>
        </row>
        <row r="9514">
          <cell r="A9514" t="str">
            <v>战士双技能红圣物3</v>
          </cell>
          <cell r="B9514">
            <v>410103</v>
          </cell>
        </row>
        <row r="9515">
          <cell r="A9515" t="str">
            <v>战士双技能红圣物4</v>
          </cell>
          <cell r="B9515">
            <v>410104</v>
          </cell>
        </row>
        <row r="9516">
          <cell r="A9516" t="str">
            <v>战士双技能红圣物5</v>
          </cell>
          <cell r="B9516">
            <v>410105</v>
          </cell>
        </row>
        <row r="9517">
          <cell r="A9517" t="str">
            <v>战士双技能红圣物6</v>
          </cell>
          <cell r="B9517">
            <v>410106</v>
          </cell>
        </row>
        <row r="9518">
          <cell r="A9518" t="str">
            <v>战士双技能红圣物7</v>
          </cell>
          <cell r="B9518">
            <v>410107</v>
          </cell>
        </row>
        <row r="9519">
          <cell r="A9519" t="str">
            <v>战士双技能红圣物8</v>
          </cell>
          <cell r="B9519">
            <v>410108</v>
          </cell>
        </row>
        <row r="9520">
          <cell r="A9520" t="str">
            <v>战士双技能红圣物9</v>
          </cell>
          <cell r="B9520">
            <v>410109</v>
          </cell>
        </row>
        <row r="9521">
          <cell r="A9521" t="str">
            <v>战士双技能红圣物10</v>
          </cell>
          <cell r="B9521">
            <v>410110</v>
          </cell>
        </row>
        <row r="9522">
          <cell r="A9522" t="str">
            <v>战士双技能红圣物11</v>
          </cell>
          <cell r="B9522">
            <v>410111</v>
          </cell>
        </row>
        <row r="9523">
          <cell r="A9523" t="str">
            <v>战士双技能红圣物12</v>
          </cell>
          <cell r="B9523">
            <v>410112</v>
          </cell>
        </row>
        <row r="9524">
          <cell r="A9524" t="str">
            <v>战士双技能红圣物13</v>
          </cell>
          <cell r="B9524">
            <v>410113</v>
          </cell>
        </row>
        <row r="9525">
          <cell r="A9525" t="str">
            <v>战士双技能红圣物14</v>
          </cell>
          <cell r="B9525">
            <v>410114</v>
          </cell>
        </row>
        <row r="9526">
          <cell r="A9526" t="str">
            <v>战士双技能红圣物15</v>
          </cell>
          <cell r="B9526">
            <v>410201</v>
          </cell>
        </row>
        <row r="9527">
          <cell r="A9527" t="str">
            <v>战士双技能红圣物16</v>
          </cell>
          <cell r="B9527">
            <v>410202</v>
          </cell>
        </row>
        <row r="9528">
          <cell r="A9528" t="str">
            <v>战士双技能红圣物17</v>
          </cell>
          <cell r="B9528">
            <v>410203</v>
          </cell>
        </row>
        <row r="9529">
          <cell r="A9529" t="str">
            <v>战士双技能红圣物18</v>
          </cell>
          <cell r="B9529">
            <v>410204</v>
          </cell>
        </row>
        <row r="9530">
          <cell r="A9530" t="str">
            <v>战士双技能红圣物19</v>
          </cell>
          <cell r="B9530">
            <v>410205</v>
          </cell>
        </row>
        <row r="9531">
          <cell r="A9531" t="str">
            <v>战士双技能红圣物20</v>
          </cell>
          <cell r="B9531">
            <v>410206</v>
          </cell>
        </row>
        <row r="9532">
          <cell r="A9532" t="str">
            <v>战士双技能红圣物21</v>
          </cell>
          <cell r="B9532">
            <v>410207</v>
          </cell>
        </row>
        <row r="9533">
          <cell r="A9533" t="str">
            <v>战士双技能红圣物22</v>
          </cell>
          <cell r="B9533">
            <v>410208</v>
          </cell>
        </row>
        <row r="9534">
          <cell r="A9534" t="str">
            <v>战士双技能红圣物23</v>
          </cell>
          <cell r="B9534">
            <v>410209</v>
          </cell>
        </row>
        <row r="9535">
          <cell r="A9535" t="str">
            <v>战士双技能红圣物24</v>
          </cell>
          <cell r="B9535">
            <v>410210</v>
          </cell>
        </row>
        <row r="9536">
          <cell r="A9536" t="str">
            <v>战士双技能红圣物25</v>
          </cell>
          <cell r="B9536">
            <v>410211</v>
          </cell>
        </row>
        <row r="9537">
          <cell r="A9537" t="str">
            <v>战士双技能红圣物26</v>
          </cell>
          <cell r="B9537">
            <v>410212</v>
          </cell>
        </row>
        <row r="9538">
          <cell r="A9538" t="str">
            <v>战士双技能红圣物27</v>
          </cell>
          <cell r="B9538">
            <v>410213</v>
          </cell>
        </row>
        <row r="9539">
          <cell r="A9539" t="str">
            <v>战士双技能红圣物28</v>
          </cell>
          <cell r="B9539">
            <v>410301</v>
          </cell>
        </row>
        <row r="9540">
          <cell r="A9540" t="str">
            <v>战士双技能红圣物29</v>
          </cell>
          <cell r="B9540">
            <v>410302</v>
          </cell>
        </row>
        <row r="9541">
          <cell r="A9541" t="str">
            <v>战士双技能红圣物30</v>
          </cell>
          <cell r="B9541">
            <v>410303</v>
          </cell>
        </row>
        <row r="9542">
          <cell r="A9542" t="str">
            <v>战士双技能红圣物31</v>
          </cell>
          <cell r="B9542">
            <v>410304</v>
          </cell>
        </row>
        <row r="9543">
          <cell r="A9543" t="str">
            <v>战士双技能红圣物32</v>
          </cell>
          <cell r="B9543">
            <v>410305</v>
          </cell>
        </row>
        <row r="9544">
          <cell r="A9544" t="str">
            <v>战士双技能红圣物33</v>
          </cell>
          <cell r="B9544">
            <v>410306</v>
          </cell>
        </row>
        <row r="9545">
          <cell r="A9545" t="str">
            <v>战士双技能红圣物34</v>
          </cell>
          <cell r="B9545">
            <v>410307</v>
          </cell>
        </row>
        <row r="9546">
          <cell r="A9546" t="str">
            <v>战士双技能红圣物35</v>
          </cell>
          <cell r="B9546">
            <v>410308</v>
          </cell>
        </row>
        <row r="9547">
          <cell r="A9547" t="str">
            <v>战士双技能红圣物36</v>
          </cell>
          <cell r="B9547">
            <v>410309</v>
          </cell>
        </row>
        <row r="9548">
          <cell r="A9548" t="str">
            <v>战士双技能红圣物37</v>
          </cell>
          <cell r="B9548">
            <v>410310</v>
          </cell>
        </row>
        <row r="9549">
          <cell r="A9549" t="str">
            <v>战士双技能红圣物38</v>
          </cell>
          <cell r="B9549">
            <v>410311</v>
          </cell>
        </row>
        <row r="9550">
          <cell r="A9550" t="str">
            <v>战士双技能红圣物39</v>
          </cell>
          <cell r="B9550">
            <v>410312</v>
          </cell>
        </row>
        <row r="9551">
          <cell r="A9551" t="str">
            <v>战士双技能红圣物40</v>
          </cell>
          <cell r="B9551">
            <v>410401</v>
          </cell>
        </row>
        <row r="9552">
          <cell r="A9552" t="str">
            <v>战士双技能红圣物41</v>
          </cell>
          <cell r="B9552">
            <v>410402</v>
          </cell>
        </row>
        <row r="9553">
          <cell r="A9553" t="str">
            <v>战士双技能红圣物42</v>
          </cell>
          <cell r="B9553">
            <v>410403</v>
          </cell>
        </row>
        <row r="9554">
          <cell r="A9554" t="str">
            <v>战士双技能红圣物43</v>
          </cell>
          <cell r="B9554">
            <v>410404</v>
          </cell>
        </row>
        <row r="9555">
          <cell r="A9555" t="str">
            <v>战士双技能红圣物44</v>
          </cell>
          <cell r="B9555">
            <v>410405</v>
          </cell>
        </row>
        <row r="9556">
          <cell r="A9556" t="str">
            <v>战士双技能红圣物45</v>
          </cell>
          <cell r="B9556">
            <v>410406</v>
          </cell>
        </row>
        <row r="9557">
          <cell r="A9557" t="str">
            <v>战士双技能红圣物46</v>
          </cell>
          <cell r="B9557">
            <v>410407</v>
          </cell>
        </row>
        <row r="9558">
          <cell r="A9558" t="str">
            <v>战士双技能红圣物47</v>
          </cell>
          <cell r="B9558">
            <v>410408</v>
          </cell>
        </row>
        <row r="9559">
          <cell r="A9559" t="str">
            <v>战士双技能红圣物48</v>
          </cell>
          <cell r="B9559">
            <v>410409</v>
          </cell>
        </row>
        <row r="9560">
          <cell r="A9560" t="str">
            <v>战士双技能红圣物49</v>
          </cell>
          <cell r="B9560">
            <v>410410</v>
          </cell>
        </row>
        <row r="9561">
          <cell r="A9561" t="str">
            <v>战士双技能红圣物50</v>
          </cell>
          <cell r="B9561">
            <v>410411</v>
          </cell>
        </row>
        <row r="9562">
          <cell r="A9562" t="str">
            <v>战士双技能红圣物51</v>
          </cell>
          <cell r="B9562">
            <v>410501</v>
          </cell>
        </row>
        <row r="9563">
          <cell r="A9563" t="str">
            <v>战士双技能红圣物52</v>
          </cell>
          <cell r="B9563">
            <v>410502</v>
          </cell>
        </row>
        <row r="9564">
          <cell r="A9564" t="str">
            <v>战士双技能红圣物53</v>
          </cell>
          <cell r="B9564">
            <v>410503</v>
          </cell>
        </row>
        <row r="9565">
          <cell r="A9565" t="str">
            <v>战士双技能红圣物54</v>
          </cell>
          <cell r="B9565">
            <v>410504</v>
          </cell>
        </row>
        <row r="9566">
          <cell r="A9566" t="str">
            <v>战士双技能红圣物55</v>
          </cell>
          <cell r="B9566">
            <v>410505</v>
          </cell>
        </row>
        <row r="9567">
          <cell r="A9567" t="str">
            <v>战士双技能红圣物56</v>
          </cell>
          <cell r="B9567">
            <v>410506</v>
          </cell>
        </row>
        <row r="9568">
          <cell r="A9568" t="str">
            <v>战士双技能红圣物57</v>
          </cell>
          <cell r="B9568">
            <v>410507</v>
          </cell>
        </row>
        <row r="9569">
          <cell r="A9569" t="str">
            <v>战士双技能红圣物58</v>
          </cell>
          <cell r="B9569">
            <v>410508</v>
          </cell>
        </row>
        <row r="9570">
          <cell r="A9570" t="str">
            <v>战士双技能红圣物59</v>
          </cell>
          <cell r="B9570">
            <v>410509</v>
          </cell>
        </row>
        <row r="9571">
          <cell r="A9571" t="str">
            <v>战士双技能红圣物60</v>
          </cell>
          <cell r="B9571">
            <v>410510</v>
          </cell>
        </row>
        <row r="9572">
          <cell r="A9572" t="str">
            <v>战士双技能红圣物61</v>
          </cell>
          <cell r="B9572">
            <v>410601</v>
          </cell>
        </row>
        <row r="9573">
          <cell r="A9573" t="str">
            <v>战士双技能红圣物62</v>
          </cell>
          <cell r="B9573">
            <v>410602</v>
          </cell>
        </row>
        <row r="9574">
          <cell r="A9574" t="str">
            <v>战士双技能红圣物63</v>
          </cell>
          <cell r="B9574">
            <v>410603</v>
          </cell>
        </row>
        <row r="9575">
          <cell r="A9575" t="str">
            <v>战士双技能红圣物64</v>
          </cell>
          <cell r="B9575">
            <v>410604</v>
          </cell>
        </row>
        <row r="9576">
          <cell r="A9576" t="str">
            <v>战士双技能红圣物65</v>
          </cell>
          <cell r="B9576">
            <v>410605</v>
          </cell>
        </row>
        <row r="9577">
          <cell r="A9577" t="str">
            <v>战士双技能红圣物66</v>
          </cell>
          <cell r="B9577">
            <v>410606</v>
          </cell>
        </row>
        <row r="9578">
          <cell r="A9578" t="str">
            <v>战士双技能红圣物67</v>
          </cell>
          <cell r="B9578">
            <v>410607</v>
          </cell>
        </row>
        <row r="9579">
          <cell r="A9579" t="str">
            <v>战士双技能红圣物68</v>
          </cell>
          <cell r="B9579">
            <v>410608</v>
          </cell>
        </row>
        <row r="9580">
          <cell r="A9580" t="str">
            <v>战士双技能红圣物69</v>
          </cell>
          <cell r="B9580">
            <v>410609</v>
          </cell>
        </row>
        <row r="9581">
          <cell r="A9581" t="str">
            <v>战士双技能红圣物70</v>
          </cell>
          <cell r="B9581">
            <v>410701</v>
          </cell>
        </row>
        <row r="9582">
          <cell r="A9582" t="str">
            <v>战士双技能红圣物71</v>
          </cell>
          <cell r="B9582">
            <v>410702</v>
          </cell>
        </row>
        <row r="9583">
          <cell r="A9583" t="str">
            <v>战士双技能红圣物72</v>
          </cell>
          <cell r="B9583">
            <v>410703</v>
          </cell>
        </row>
        <row r="9584">
          <cell r="A9584" t="str">
            <v>战士双技能红圣物73</v>
          </cell>
          <cell r="B9584">
            <v>410704</v>
          </cell>
        </row>
        <row r="9585">
          <cell r="A9585" t="str">
            <v>战士双技能红圣物74</v>
          </cell>
          <cell r="B9585">
            <v>410705</v>
          </cell>
        </row>
        <row r="9586">
          <cell r="A9586" t="str">
            <v>战士双技能红圣物75</v>
          </cell>
          <cell r="B9586">
            <v>410706</v>
          </cell>
        </row>
        <row r="9587">
          <cell r="A9587" t="str">
            <v>战士双技能红圣物76</v>
          </cell>
          <cell r="B9587">
            <v>410707</v>
          </cell>
        </row>
        <row r="9588">
          <cell r="A9588" t="str">
            <v>战士双技能红圣物77</v>
          </cell>
          <cell r="B9588">
            <v>410708</v>
          </cell>
        </row>
        <row r="9589">
          <cell r="A9589" t="str">
            <v>战士双技能红圣物78</v>
          </cell>
          <cell r="B9589">
            <v>410801</v>
          </cell>
        </row>
        <row r="9590">
          <cell r="A9590" t="str">
            <v>战士双技能红圣物79</v>
          </cell>
          <cell r="B9590">
            <v>410802</v>
          </cell>
        </row>
        <row r="9591">
          <cell r="A9591" t="str">
            <v>战士双技能红圣物80</v>
          </cell>
          <cell r="B9591">
            <v>410803</v>
          </cell>
        </row>
        <row r="9592">
          <cell r="A9592" t="str">
            <v>战士双技能红圣物81</v>
          </cell>
          <cell r="B9592">
            <v>410804</v>
          </cell>
        </row>
        <row r="9593">
          <cell r="A9593" t="str">
            <v>战士双技能红圣物82</v>
          </cell>
          <cell r="B9593">
            <v>410805</v>
          </cell>
        </row>
        <row r="9594">
          <cell r="A9594" t="str">
            <v>战士双技能红圣物83</v>
          </cell>
          <cell r="B9594">
            <v>410806</v>
          </cell>
        </row>
        <row r="9595">
          <cell r="A9595" t="str">
            <v>战士双技能红圣物84</v>
          </cell>
          <cell r="B9595">
            <v>410807</v>
          </cell>
        </row>
        <row r="9596">
          <cell r="A9596" t="str">
            <v>战士双技能红圣物85</v>
          </cell>
          <cell r="B9596">
            <v>410901</v>
          </cell>
        </row>
        <row r="9597">
          <cell r="A9597" t="str">
            <v>战士双技能红圣物86</v>
          </cell>
          <cell r="B9597">
            <v>410902</v>
          </cell>
        </row>
        <row r="9598">
          <cell r="A9598" t="str">
            <v>战士双技能红圣物87</v>
          </cell>
          <cell r="B9598">
            <v>410903</v>
          </cell>
        </row>
        <row r="9599">
          <cell r="A9599" t="str">
            <v>战士双技能红圣物88</v>
          </cell>
          <cell r="B9599">
            <v>410904</v>
          </cell>
        </row>
        <row r="9600">
          <cell r="A9600" t="str">
            <v>战士双技能红圣物89</v>
          </cell>
          <cell r="B9600">
            <v>410905</v>
          </cell>
        </row>
        <row r="9601">
          <cell r="A9601" t="str">
            <v>战士双技能红圣物90</v>
          </cell>
          <cell r="B9601">
            <v>410906</v>
          </cell>
        </row>
        <row r="9602">
          <cell r="A9602" t="str">
            <v>战士双技能红圣物91</v>
          </cell>
          <cell r="B9602">
            <v>411001</v>
          </cell>
        </row>
        <row r="9603">
          <cell r="A9603" t="str">
            <v>战士双技能红圣物92</v>
          </cell>
          <cell r="B9603">
            <v>411002</v>
          </cell>
        </row>
        <row r="9604">
          <cell r="A9604" t="str">
            <v>战士双技能红圣物93</v>
          </cell>
          <cell r="B9604">
            <v>411003</v>
          </cell>
        </row>
        <row r="9605">
          <cell r="A9605" t="str">
            <v>战士双技能红圣物94</v>
          </cell>
          <cell r="B9605">
            <v>411004</v>
          </cell>
        </row>
        <row r="9606">
          <cell r="A9606" t="str">
            <v>战士双技能红圣物95</v>
          </cell>
          <cell r="B9606">
            <v>411005</v>
          </cell>
        </row>
        <row r="9607">
          <cell r="A9607" t="str">
            <v>战士双技能红圣物96</v>
          </cell>
          <cell r="B9607">
            <v>411101</v>
          </cell>
        </row>
        <row r="9608">
          <cell r="A9608" t="str">
            <v>战士双技能红圣物97</v>
          </cell>
          <cell r="B9608">
            <v>411102</v>
          </cell>
        </row>
        <row r="9609">
          <cell r="A9609" t="str">
            <v>战士双技能红圣物98</v>
          </cell>
          <cell r="B9609">
            <v>411103</v>
          </cell>
        </row>
        <row r="9610">
          <cell r="A9610" t="str">
            <v>战士双技能红圣物99</v>
          </cell>
          <cell r="B9610">
            <v>411104</v>
          </cell>
        </row>
        <row r="9611">
          <cell r="A9611" t="str">
            <v>战士双技能红圣物100</v>
          </cell>
          <cell r="B9611">
            <v>411201</v>
          </cell>
        </row>
        <row r="9612">
          <cell r="A9612" t="str">
            <v>战士双技能红圣物101</v>
          </cell>
          <cell r="B9612">
            <v>411202</v>
          </cell>
        </row>
        <row r="9613">
          <cell r="A9613" t="str">
            <v>战士双技能红圣物102</v>
          </cell>
          <cell r="B9613">
            <v>411203</v>
          </cell>
        </row>
        <row r="9614">
          <cell r="A9614" t="str">
            <v>战士双技能红圣物103</v>
          </cell>
          <cell r="B9614">
            <v>411301</v>
          </cell>
        </row>
        <row r="9615">
          <cell r="A9615" t="str">
            <v>战士双技能红圣物104</v>
          </cell>
          <cell r="B9615">
            <v>411302</v>
          </cell>
        </row>
        <row r="9616">
          <cell r="A9616" t="str">
            <v>战士双技能红圣物105</v>
          </cell>
          <cell r="B9616">
            <v>411401</v>
          </cell>
        </row>
        <row r="9617">
          <cell r="A9617" t="str">
            <v>法师双技能红圣物1</v>
          </cell>
          <cell r="B9617">
            <v>420101</v>
          </cell>
        </row>
        <row r="9618">
          <cell r="A9618" t="str">
            <v>法师双技能红圣物2</v>
          </cell>
          <cell r="B9618">
            <v>420102</v>
          </cell>
        </row>
        <row r="9619">
          <cell r="A9619" t="str">
            <v>法师双技能红圣物3</v>
          </cell>
          <cell r="B9619">
            <v>420103</v>
          </cell>
        </row>
        <row r="9620">
          <cell r="A9620" t="str">
            <v>法师双技能红圣物4</v>
          </cell>
          <cell r="B9620">
            <v>420104</v>
          </cell>
        </row>
        <row r="9621">
          <cell r="A9621" t="str">
            <v>法师双技能红圣物5</v>
          </cell>
          <cell r="B9621">
            <v>420105</v>
          </cell>
        </row>
        <row r="9622">
          <cell r="A9622" t="str">
            <v>法师双技能红圣物6</v>
          </cell>
          <cell r="B9622">
            <v>420106</v>
          </cell>
        </row>
        <row r="9623">
          <cell r="A9623" t="str">
            <v>法师双技能红圣物7</v>
          </cell>
          <cell r="B9623">
            <v>420107</v>
          </cell>
        </row>
        <row r="9624">
          <cell r="A9624" t="str">
            <v>法师双技能红圣物8</v>
          </cell>
          <cell r="B9624">
            <v>420108</v>
          </cell>
        </row>
        <row r="9625">
          <cell r="A9625" t="str">
            <v>法师双技能红圣物9</v>
          </cell>
          <cell r="B9625">
            <v>420109</v>
          </cell>
        </row>
        <row r="9626">
          <cell r="A9626" t="str">
            <v>法师双技能红圣物10</v>
          </cell>
          <cell r="B9626">
            <v>420110</v>
          </cell>
        </row>
        <row r="9627">
          <cell r="A9627" t="str">
            <v>法师双技能红圣物11</v>
          </cell>
          <cell r="B9627">
            <v>420111</v>
          </cell>
        </row>
        <row r="9628">
          <cell r="A9628" t="str">
            <v>法师双技能红圣物12</v>
          </cell>
          <cell r="B9628">
            <v>420112</v>
          </cell>
        </row>
        <row r="9629">
          <cell r="A9629" t="str">
            <v>法师双技能红圣物13</v>
          </cell>
          <cell r="B9629">
            <v>420113</v>
          </cell>
        </row>
        <row r="9630">
          <cell r="A9630" t="str">
            <v>法师双技能红圣物14</v>
          </cell>
          <cell r="B9630">
            <v>420114</v>
          </cell>
        </row>
        <row r="9631">
          <cell r="A9631" t="str">
            <v>法师双技能红圣物15</v>
          </cell>
          <cell r="B9631">
            <v>420201</v>
          </cell>
        </row>
        <row r="9632">
          <cell r="A9632" t="str">
            <v>法师双技能红圣物16</v>
          </cell>
          <cell r="B9632">
            <v>420202</v>
          </cell>
        </row>
        <row r="9633">
          <cell r="A9633" t="str">
            <v>法师双技能红圣物17</v>
          </cell>
          <cell r="B9633">
            <v>420203</v>
          </cell>
        </row>
        <row r="9634">
          <cell r="A9634" t="str">
            <v>法师双技能红圣物18</v>
          </cell>
          <cell r="B9634">
            <v>420204</v>
          </cell>
        </row>
        <row r="9635">
          <cell r="A9635" t="str">
            <v>法师双技能红圣物19</v>
          </cell>
          <cell r="B9635">
            <v>420205</v>
          </cell>
        </row>
        <row r="9636">
          <cell r="A9636" t="str">
            <v>法师双技能红圣物20</v>
          </cell>
          <cell r="B9636">
            <v>420206</v>
          </cell>
        </row>
        <row r="9637">
          <cell r="A9637" t="str">
            <v>法师双技能红圣物21</v>
          </cell>
          <cell r="B9637">
            <v>420207</v>
          </cell>
        </row>
        <row r="9638">
          <cell r="A9638" t="str">
            <v>法师双技能红圣物22</v>
          </cell>
          <cell r="B9638">
            <v>420208</v>
          </cell>
        </row>
        <row r="9639">
          <cell r="A9639" t="str">
            <v>法师双技能红圣物23</v>
          </cell>
          <cell r="B9639">
            <v>420209</v>
          </cell>
        </row>
        <row r="9640">
          <cell r="A9640" t="str">
            <v>法师双技能红圣物24</v>
          </cell>
          <cell r="B9640">
            <v>420210</v>
          </cell>
        </row>
        <row r="9641">
          <cell r="A9641" t="str">
            <v>法师双技能红圣物25</v>
          </cell>
          <cell r="B9641">
            <v>420211</v>
          </cell>
        </row>
        <row r="9642">
          <cell r="A9642" t="str">
            <v>法师双技能红圣物26</v>
          </cell>
          <cell r="B9642">
            <v>420212</v>
          </cell>
        </row>
        <row r="9643">
          <cell r="A9643" t="str">
            <v>法师双技能红圣物27</v>
          </cell>
          <cell r="B9643">
            <v>420213</v>
          </cell>
        </row>
        <row r="9644">
          <cell r="A9644" t="str">
            <v>法师双技能红圣物28</v>
          </cell>
          <cell r="B9644">
            <v>420301</v>
          </cell>
        </row>
        <row r="9645">
          <cell r="A9645" t="str">
            <v>法师双技能红圣物29</v>
          </cell>
          <cell r="B9645">
            <v>420302</v>
          </cell>
        </row>
        <row r="9646">
          <cell r="A9646" t="str">
            <v>法师双技能红圣物30</v>
          </cell>
          <cell r="B9646">
            <v>420303</v>
          </cell>
        </row>
        <row r="9647">
          <cell r="A9647" t="str">
            <v>法师双技能红圣物31</v>
          </cell>
          <cell r="B9647">
            <v>420304</v>
          </cell>
        </row>
        <row r="9648">
          <cell r="A9648" t="str">
            <v>法师双技能红圣物32</v>
          </cell>
          <cell r="B9648">
            <v>420305</v>
          </cell>
        </row>
        <row r="9649">
          <cell r="A9649" t="str">
            <v>法师双技能红圣物33</v>
          </cell>
          <cell r="B9649">
            <v>420306</v>
          </cell>
        </row>
        <row r="9650">
          <cell r="A9650" t="str">
            <v>法师双技能红圣物34</v>
          </cell>
          <cell r="B9650">
            <v>420307</v>
          </cell>
        </row>
        <row r="9651">
          <cell r="A9651" t="str">
            <v>法师双技能红圣物35</v>
          </cell>
          <cell r="B9651">
            <v>420308</v>
          </cell>
        </row>
        <row r="9652">
          <cell r="A9652" t="str">
            <v>法师双技能红圣物36</v>
          </cell>
          <cell r="B9652">
            <v>420309</v>
          </cell>
        </row>
        <row r="9653">
          <cell r="A9653" t="str">
            <v>法师双技能红圣物37</v>
          </cell>
          <cell r="B9653">
            <v>420310</v>
          </cell>
        </row>
        <row r="9654">
          <cell r="A9654" t="str">
            <v>法师双技能红圣物38</v>
          </cell>
          <cell r="B9654">
            <v>420311</v>
          </cell>
        </row>
        <row r="9655">
          <cell r="A9655" t="str">
            <v>法师双技能红圣物39</v>
          </cell>
          <cell r="B9655">
            <v>420312</v>
          </cell>
        </row>
        <row r="9656">
          <cell r="A9656" t="str">
            <v>法师双技能红圣物40</v>
          </cell>
          <cell r="B9656">
            <v>420401</v>
          </cell>
        </row>
        <row r="9657">
          <cell r="A9657" t="str">
            <v>法师双技能红圣物41</v>
          </cell>
          <cell r="B9657">
            <v>420402</v>
          </cell>
        </row>
        <row r="9658">
          <cell r="A9658" t="str">
            <v>法师双技能红圣物42</v>
          </cell>
          <cell r="B9658">
            <v>420403</v>
          </cell>
        </row>
        <row r="9659">
          <cell r="A9659" t="str">
            <v>法师双技能红圣物43</v>
          </cell>
          <cell r="B9659">
            <v>420404</v>
          </cell>
        </row>
        <row r="9660">
          <cell r="A9660" t="str">
            <v>法师双技能红圣物44</v>
          </cell>
          <cell r="B9660">
            <v>420405</v>
          </cell>
        </row>
        <row r="9661">
          <cell r="A9661" t="str">
            <v>法师双技能红圣物45</v>
          </cell>
          <cell r="B9661">
            <v>420406</v>
          </cell>
        </row>
        <row r="9662">
          <cell r="A9662" t="str">
            <v>法师双技能红圣物46</v>
          </cell>
          <cell r="B9662">
            <v>420407</v>
          </cell>
        </row>
        <row r="9663">
          <cell r="A9663" t="str">
            <v>法师双技能红圣物47</v>
          </cell>
          <cell r="B9663">
            <v>420408</v>
          </cell>
        </row>
        <row r="9664">
          <cell r="A9664" t="str">
            <v>法师双技能红圣物48</v>
          </cell>
          <cell r="B9664">
            <v>420409</v>
          </cell>
        </row>
        <row r="9665">
          <cell r="A9665" t="str">
            <v>法师双技能红圣物49</v>
          </cell>
          <cell r="B9665">
            <v>420410</v>
          </cell>
        </row>
        <row r="9666">
          <cell r="A9666" t="str">
            <v>法师双技能红圣物50</v>
          </cell>
          <cell r="B9666">
            <v>420411</v>
          </cell>
        </row>
        <row r="9667">
          <cell r="A9667" t="str">
            <v>法师双技能红圣物51</v>
          </cell>
          <cell r="B9667">
            <v>420501</v>
          </cell>
        </row>
        <row r="9668">
          <cell r="A9668" t="str">
            <v>法师双技能红圣物52</v>
          </cell>
          <cell r="B9668">
            <v>420502</v>
          </cell>
        </row>
        <row r="9669">
          <cell r="A9669" t="str">
            <v>法师双技能红圣物53</v>
          </cell>
          <cell r="B9669">
            <v>420503</v>
          </cell>
        </row>
        <row r="9670">
          <cell r="A9670" t="str">
            <v>法师双技能红圣物54</v>
          </cell>
          <cell r="B9670">
            <v>420504</v>
          </cell>
        </row>
        <row r="9671">
          <cell r="A9671" t="str">
            <v>法师双技能红圣物55</v>
          </cell>
          <cell r="B9671">
            <v>420505</v>
          </cell>
        </row>
        <row r="9672">
          <cell r="A9672" t="str">
            <v>法师双技能红圣物56</v>
          </cell>
          <cell r="B9672">
            <v>420506</v>
          </cell>
        </row>
        <row r="9673">
          <cell r="A9673" t="str">
            <v>法师双技能红圣物57</v>
          </cell>
          <cell r="B9673">
            <v>420507</v>
          </cell>
        </row>
        <row r="9674">
          <cell r="A9674" t="str">
            <v>法师双技能红圣物58</v>
          </cell>
          <cell r="B9674">
            <v>420508</v>
          </cell>
        </row>
        <row r="9675">
          <cell r="A9675" t="str">
            <v>法师双技能红圣物59</v>
          </cell>
          <cell r="B9675">
            <v>420509</v>
          </cell>
        </row>
        <row r="9676">
          <cell r="A9676" t="str">
            <v>法师双技能红圣物60</v>
          </cell>
          <cell r="B9676">
            <v>420510</v>
          </cell>
        </row>
        <row r="9677">
          <cell r="A9677" t="str">
            <v>法师双技能红圣物61</v>
          </cell>
          <cell r="B9677">
            <v>420601</v>
          </cell>
        </row>
        <row r="9678">
          <cell r="A9678" t="str">
            <v>法师双技能红圣物62</v>
          </cell>
          <cell r="B9678">
            <v>420602</v>
          </cell>
        </row>
        <row r="9679">
          <cell r="A9679" t="str">
            <v>法师双技能红圣物63</v>
          </cell>
          <cell r="B9679">
            <v>420603</v>
          </cell>
        </row>
        <row r="9680">
          <cell r="A9680" t="str">
            <v>法师双技能红圣物64</v>
          </cell>
          <cell r="B9680">
            <v>420604</v>
          </cell>
        </row>
        <row r="9681">
          <cell r="A9681" t="str">
            <v>法师双技能红圣物65</v>
          </cell>
          <cell r="B9681">
            <v>420605</v>
          </cell>
        </row>
        <row r="9682">
          <cell r="A9682" t="str">
            <v>法师双技能红圣物66</v>
          </cell>
          <cell r="B9682">
            <v>420606</v>
          </cell>
        </row>
        <row r="9683">
          <cell r="A9683" t="str">
            <v>法师双技能红圣物67</v>
          </cell>
          <cell r="B9683">
            <v>420607</v>
          </cell>
        </row>
        <row r="9684">
          <cell r="A9684" t="str">
            <v>法师双技能红圣物68</v>
          </cell>
          <cell r="B9684">
            <v>420608</v>
          </cell>
        </row>
        <row r="9685">
          <cell r="A9685" t="str">
            <v>法师双技能红圣物69</v>
          </cell>
          <cell r="B9685">
            <v>420609</v>
          </cell>
        </row>
        <row r="9686">
          <cell r="A9686" t="str">
            <v>法师双技能红圣物70</v>
          </cell>
          <cell r="B9686">
            <v>420701</v>
          </cell>
        </row>
        <row r="9687">
          <cell r="A9687" t="str">
            <v>法师双技能红圣物71</v>
          </cell>
          <cell r="B9687">
            <v>420702</v>
          </cell>
        </row>
        <row r="9688">
          <cell r="A9688" t="str">
            <v>法师双技能红圣物72</v>
          </cell>
          <cell r="B9688">
            <v>420703</v>
          </cell>
        </row>
        <row r="9689">
          <cell r="A9689" t="str">
            <v>法师双技能红圣物73</v>
          </cell>
          <cell r="B9689">
            <v>420704</v>
          </cell>
        </row>
        <row r="9690">
          <cell r="A9690" t="str">
            <v>法师双技能红圣物74</v>
          </cell>
          <cell r="B9690">
            <v>420705</v>
          </cell>
        </row>
        <row r="9691">
          <cell r="A9691" t="str">
            <v>法师双技能红圣物75</v>
          </cell>
          <cell r="B9691">
            <v>420706</v>
          </cell>
        </row>
        <row r="9692">
          <cell r="A9692" t="str">
            <v>法师双技能红圣物76</v>
          </cell>
          <cell r="B9692">
            <v>420707</v>
          </cell>
        </row>
        <row r="9693">
          <cell r="A9693" t="str">
            <v>法师双技能红圣物77</v>
          </cell>
          <cell r="B9693">
            <v>420708</v>
          </cell>
        </row>
        <row r="9694">
          <cell r="A9694" t="str">
            <v>法师双技能红圣物78</v>
          </cell>
          <cell r="B9694">
            <v>420801</v>
          </cell>
        </row>
        <row r="9695">
          <cell r="A9695" t="str">
            <v>法师双技能红圣物79</v>
          </cell>
          <cell r="B9695">
            <v>420802</v>
          </cell>
        </row>
        <row r="9696">
          <cell r="A9696" t="str">
            <v>法师双技能红圣物80</v>
          </cell>
          <cell r="B9696">
            <v>420803</v>
          </cell>
        </row>
        <row r="9697">
          <cell r="A9697" t="str">
            <v>法师双技能红圣物81</v>
          </cell>
          <cell r="B9697">
            <v>420804</v>
          </cell>
        </row>
        <row r="9698">
          <cell r="A9698" t="str">
            <v>法师双技能红圣物82</v>
          </cell>
          <cell r="B9698">
            <v>420805</v>
          </cell>
        </row>
        <row r="9699">
          <cell r="A9699" t="str">
            <v>法师双技能红圣物83</v>
          </cell>
          <cell r="B9699">
            <v>420806</v>
          </cell>
        </row>
        <row r="9700">
          <cell r="A9700" t="str">
            <v>法师双技能红圣物84</v>
          </cell>
          <cell r="B9700">
            <v>420807</v>
          </cell>
        </row>
        <row r="9701">
          <cell r="A9701" t="str">
            <v>法师双技能红圣物85</v>
          </cell>
          <cell r="B9701">
            <v>420901</v>
          </cell>
        </row>
        <row r="9702">
          <cell r="A9702" t="str">
            <v>法师双技能红圣物86</v>
          </cell>
          <cell r="B9702">
            <v>420902</v>
          </cell>
        </row>
        <row r="9703">
          <cell r="A9703" t="str">
            <v>法师双技能红圣物87</v>
          </cell>
          <cell r="B9703">
            <v>420903</v>
          </cell>
        </row>
        <row r="9704">
          <cell r="A9704" t="str">
            <v>法师双技能红圣物88</v>
          </cell>
          <cell r="B9704">
            <v>420904</v>
          </cell>
        </row>
        <row r="9705">
          <cell r="A9705" t="str">
            <v>法师双技能红圣物89</v>
          </cell>
          <cell r="B9705">
            <v>420905</v>
          </cell>
        </row>
        <row r="9706">
          <cell r="A9706" t="str">
            <v>法师双技能红圣物90</v>
          </cell>
          <cell r="B9706">
            <v>420906</v>
          </cell>
        </row>
        <row r="9707">
          <cell r="A9707" t="str">
            <v>法师双技能红圣物91</v>
          </cell>
          <cell r="B9707">
            <v>421001</v>
          </cell>
        </row>
        <row r="9708">
          <cell r="A9708" t="str">
            <v>法师双技能红圣物92</v>
          </cell>
          <cell r="B9708">
            <v>421002</v>
          </cell>
        </row>
        <row r="9709">
          <cell r="A9709" t="str">
            <v>法师双技能红圣物93</v>
          </cell>
          <cell r="B9709">
            <v>421003</v>
          </cell>
        </row>
        <row r="9710">
          <cell r="A9710" t="str">
            <v>法师双技能红圣物94</v>
          </cell>
          <cell r="B9710">
            <v>421004</v>
          </cell>
        </row>
        <row r="9711">
          <cell r="A9711" t="str">
            <v>法师双技能红圣物95</v>
          </cell>
          <cell r="B9711">
            <v>421005</v>
          </cell>
        </row>
        <row r="9712">
          <cell r="A9712" t="str">
            <v>法师双技能红圣物96</v>
          </cell>
          <cell r="B9712">
            <v>421101</v>
          </cell>
        </row>
        <row r="9713">
          <cell r="A9713" t="str">
            <v>法师双技能红圣物97</v>
          </cell>
          <cell r="B9713">
            <v>421102</v>
          </cell>
        </row>
        <row r="9714">
          <cell r="A9714" t="str">
            <v>法师双技能红圣物98</v>
          </cell>
          <cell r="B9714">
            <v>421103</v>
          </cell>
        </row>
        <row r="9715">
          <cell r="A9715" t="str">
            <v>法师双技能红圣物99</v>
          </cell>
          <cell r="B9715">
            <v>421104</v>
          </cell>
        </row>
        <row r="9716">
          <cell r="A9716" t="str">
            <v>法师双技能红圣物100</v>
          </cell>
          <cell r="B9716">
            <v>421201</v>
          </cell>
        </row>
        <row r="9717">
          <cell r="A9717" t="str">
            <v>法师双技能红圣物101</v>
          </cell>
          <cell r="B9717">
            <v>421202</v>
          </cell>
        </row>
        <row r="9718">
          <cell r="A9718" t="str">
            <v>法师双技能红圣物102</v>
          </cell>
          <cell r="B9718">
            <v>421203</v>
          </cell>
        </row>
        <row r="9719">
          <cell r="A9719" t="str">
            <v>法师双技能红圣物103</v>
          </cell>
          <cell r="B9719">
            <v>421301</v>
          </cell>
        </row>
        <row r="9720">
          <cell r="A9720" t="str">
            <v>法师双技能红圣物104</v>
          </cell>
          <cell r="B9720">
            <v>421302</v>
          </cell>
        </row>
        <row r="9721">
          <cell r="A9721" t="str">
            <v>法师双技能红圣物105</v>
          </cell>
          <cell r="B9721">
            <v>421401</v>
          </cell>
        </row>
        <row r="9722">
          <cell r="A9722" t="str">
            <v>道士双技能红圣物1</v>
          </cell>
          <cell r="B9722">
            <v>430101</v>
          </cell>
        </row>
        <row r="9723">
          <cell r="A9723" t="str">
            <v>道士双技能红圣物2</v>
          </cell>
          <cell r="B9723">
            <v>430102</v>
          </cell>
        </row>
        <row r="9724">
          <cell r="A9724" t="str">
            <v>道士双技能红圣物3</v>
          </cell>
          <cell r="B9724">
            <v>430103</v>
          </cell>
        </row>
        <row r="9725">
          <cell r="A9725" t="str">
            <v>道士双技能红圣物4</v>
          </cell>
          <cell r="B9725">
            <v>430104</v>
          </cell>
        </row>
        <row r="9726">
          <cell r="A9726" t="str">
            <v>道士双技能红圣物5</v>
          </cell>
          <cell r="B9726">
            <v>430105</v>
          </cell>
        </row>
        <row r="9727">
          <cell r="A9727" t="str">
            <v>道士双技能红圣物6</v>
          </cell>
          <cell r="B9727">
            <v>430106</v>
          </cell>
        </row>
        <row r="9728">
          <cell r="A9728" t="str">
            <v>道士双技能红圣物7</v>
          </cell>
          <cell r="B9728">
            <v>430107</v>
          </cell>
        </row>
        <row r="9729">
          <cell r="A9729" t="str">
            <v>道士双技能红圣物8</v>
          </cell>
          <cell r="B9729">
            <v>430108</v>
          </cell>
        </row>
        <row r="9730">
          <cell r="A9730" t="str">
            <v>道士双技能红圣物9</v>
          </cell>
          <cell r="B9730">
            <v>430109</v>
          </cell>
        </row>
        <row r="9731">
          <cell r="A9731" t="str">
            <v>道士双技能红圣物10</v>
          </cell>
          <cell r="B9731">
            <v>430110</v>
          </cell>
        </row>
        <row r="9732">
          <cell r="A9732" t="str">
            <v>道士双技能红圣物11</v>
          </cell>
          <cell r="B9732">
            <v>430111</v>
          </cell>
        </row>
        <row r="9733">
          <cell r="A9733" t="str">
            <v>道士双技能红圣物12</v>
          </cell>
          <cell r="B9733">
            <v>430112</v>
          </cell>
        </row>
        <row r="9734">
          <cell r="A9734" t="str">
            <v>道士双技能红圣物13</v>
          </cell>
          <cell r="B9734">
            <v>430113</v>
          </cell>
        </row>
        <row r="9735">
          <cell r="A9735" t="str">
            <v>道士双技能红圣物14</v>
          </cell>
          <cell r="B9735">
            <v>430114</v>
          </cell>
        </row>
        <row r="9736">
          <cell r="A9736" t="str">
            <v>道士双技能红圣物15</v>
          </cell>
          <cell r="B9736">
            <v>430201</v>
          </cell>
        </row>
        <row r="9737">
          <cell r="A9737" t="str">
            <v>道士双技能红圣物16</v>
          </cell>
          <cell r="B9737">
            <v>430202</v>
          </cell>
        </row>
        <row r="9738">
          <cell r="A9738" t="str">
            <v>道士双技能红圣物17</v>
          </cell>
          <cell r="B9738">
            <v>430203</v>
          </cell>
        </row>
        <row r="9739">
          <cell r="A9739" t="str">
            <v>道士双技能红圣物18</v>
          </cell>
          <cell r="B9739">
            <v>430204</v>
          </cell>
        </row>
        <row r="9740">
          <cell r="A9740" t="str">
            <v>道士双技能红圣物19</v>
          </cell>
          <cell r="B9740">
            <v>430205</v>
          </cell>
        </row>
        <row r="9741">
          <cell r="A9741" t="str">
            <v>道士双技能红圣物20</v>
          </cell>
          <cell r="B9741">
            <v>430206</v>
          </cell>
        </row>
        <row r="9742">
          <cell r="A9742" t="str">
            <v>道士双技能红圣物21</v>
          </cell>
          <cell r="B9742">
            <v>430207</v>
          </cell>
        </row>
        <row r="9743">
          <cell r="A9743" t="str">
            <v>道士双技能红圣物22</v>
          </cell>
          <cell r="B9743">
            <v>430208</v>
          </cell>
        </row>
        <row r="9744">
          <cell r="A9744" t="str">
            <v>道士双技能红圣物23</v>
          </cell>
          <cell r="B9744">
            <v>430209</v>
          </cell>
        </row>
        <row r="9745">
          <cell r="A9745" t="str">
            <v>道士双技能红圣物24</v>
          </cell>
          <cell r="B9745">
            <v>430210</v>
          </cell>
        </row>
        <row r="9746">
          <cell r="A9746" t="str">
            <v>道士双技能红圣物25</v>
          </cell>
          <cell r="B9746">
            <v>430211</v>
          </cell>
        </row>
        <row r="9747">
          <cell r="A9747" t="str">
            <v>道士双技能红圣物26</v>
          </cell>
          <cell r="B9747">
            <v>430212</v>
          </cell>
        </row>
        <row r="9748">
          <cell r="A9748" t="str">
            <v>道士双技能红圣物27</v>
          </cell>
          <cell r="B9748">
            <v>430213</v>
          </cell>
        </row>
        <row r="9749">
          <cell r="A9749" t="str">
            <v>道士双技能红圣物28</v>
          </cell>
          <cell r="B9749">
            <v>430301</v>
          </cell>
        </row>
        <row r="9750">
          <cell r="A9750" t="str">
            <v>道士双技能红圣物29</v>
          </cell>
          <cell r="B9750">
            <v>430302</v>
          </cell>
        </row>
        <row r="9751">
          <cell r="A9751" t="str">
            <v>道士双技能红圣物30</v>
          </cell>
          <cell r="B9751">
            <v>430303</v>
          </cell>
        </row>
        <row r="9752">
          <cell r="A9752" t="str">
            <v>道士双技能红圣物31</v>
          </cell>
          <cell r="B9752">
            <v>430304</v>
          </cell>
        </row>
        <row r="9753">
          <cell r="A9753" t="str">
            <v>道士双技能红圣物32</v>
          </cell>
          <cell r="B9753">
            <v>430305</v>
          </cell>
        </row>
        <row r="9754">
          <cell r="A9754" t="str">
            <v>道士双技能红圣物33</v>
          </cell>
          <cell r="B9754">
            <v>430306</v>
          </cell>
        </row>
        <row r="9755">
          <cell r="A9755" t="str">
            <v>道士双技能红圣物34</v>
          </cell>
          <cell r="B9755">
            <v>430307</v>
          </cell>
        </row>
        <row r="9756">
          <cell r="A9756" t="str">
            <v>道士双技能红圣物35</v>
          </cell>
          <cell r="B9756">
            <v>430308</v>
          </cell>
        </row>
        <row r="9757">
          <cell r="A9757" t="str">
            <v>道士双技能红圣物36</v>
          </cell>
          <cell r="B9757">
            <v>430309</v>
          </cell>
        </row>
        <row r="9758">
          <cell r="A9758" t="str">
            <v>道士双技能红圣物37</v>
          </cell>
          <cell r="B9758">
            <v>430310</v>
          </cell>
        </row>
        <row r="9759">
          <cell r="A9759" t="str">
            <v>道士双技能红圣物38</v>
          </cell>
          <cell r="B9759">
            <v>430311</v>
          </cell>
        </row>
        <row r="9760">
          <cell r="A9760" t="str">
            <v>道士双技能红圣物39</v>
          </cell>
          <cell r="B9760">
            <v>430312</v>
          </cell>
        </row>
        <row r="9761">
          <cell r="A9761" t="str">
            <v>道士双技能红圣物40</v>
          </cell>
          <cell r="B9761">
            <v>430401</v>
          </cell>
        </row>
        <row r="9762">
          <cell r="A9762" t="str">
            <v>道士双技能红圣物41</v>
          </cell>
          <cell r="B9762">
            <v>430402</v>
          </cell>
        </row>
        <row r="9763">
          <cell r="A9763" t="str">
            <v>道士双技能红圣物42</v>
          </cell>
          <cell r="B9763">
            <v>430403</v>
          </cell>
        </row>
        <row r="9764">
          <cell r="A9764" t="str">
            <v>道士双技能红圣物43</v>
          </cell>
          <cell r="B9764">
            <v>430404</v>
          </cell>
        </row>
        <row r="9765">
          <cell r="A9765" t="str">
            <v>道士双技能红圣物44</v>
          </cell>
          <cell r="B9765">
            <v>430405</v>
          </cell>
        </row>
        <row r="9766">
          <cell r="A9766" t="str">
            <v>道士双技能红圣物45</v>
          </cell>
          <cell r="B9766">
            <v>430406</v>
          </cell>
        </row>
        <row r="9767">
          <cell r="A9767" t="str">
            <v>道士双技能红圣物46</v>
          </cell>
          <cell r="B9767">
            <v>430407</v>
          </cell>
        </row>
        <row r="9768">
          <cell r="A9768" t="str">
            <v>道士双技能红圣物47</v>
          </cell>
          <cell r="B9768">
            <v>430408</v>
          </cell>
        </row>
        <row r="9769">
          <cell r="A9769" t="str">
            <v>道士双技能红圣物48</v>
          </cell>
          <cell r="B9769">
            <v>430409</v>
          </cell>
        </row>
        <row r="9770">
          <cell r="A9770" t="str">
            <v>道士双技能红圣物49</v>
          </cell>
          <cell r="B9770">
            <v>430410</v>
          </cell>
        </row>
        <row r="9771">
          <cell r="A9771" t="str">
            <v>道士双技能红圣物50</v>
          </cell>
          <cell r="B9771">
            <v>430411</v>
          </cell>
        </row>
        <row r="9772">
          <cell r="A9772" t="str">
            <v>道士双技能红圣物51</v>
          </cell>
          <cell r="B9772">
            <v>430501</v>
          </cell>
        </row>
        <row r="9773">
          <cell r="A9773" t="str">
            <v>道士双技能红圣物52</v>
          </cell>
          <cell r="B9773">
            <v>430502</v>
          </cell>
        </row>
        <row r="9774">
          <cell r="A9774" t="str">
            <v>道士双技能红圣物53</v>
          </cell>
          <cell r="B9774">
            <v>430503</v>
          </cell>
        </row>
        <row r="9775">
          <cell r="A9775" t="str">
            <v>道士双技能红圣物54</v>
          </cell>
          <cell r="B9775">
            <v>430504</v>
          </cell>
        </row>
        <row r="9776">
          <cell r="A9776" t="str">
            <v>道士双技能红圣物55</v>
          </cell>
          <cell r="B9776">
            <v>430505</v>
          </cell>
        </row>
        <row r="9777">
          <cell r="A9777" t="str">
            <v>道士双技能红圣物56</v>
          </cell>
          <cell r="B9777">
            <v>430506</v>
          </cell>
        </row>
        <row r="9778">
          <cell r="A9778" t="str">
            <v>道士双技能红圣物57</v>
          </cell>
          <cell r="B9778">
            <v>430507</v>
          </cell>
        </row>
        <row r="9779">
          <cell r="A9779" t="str">
            <v>道士双技能红圣物58</v>
          </cell>
          <cell r="B9779">
            <v>430508</v>
          </cell>
        </row>
        <row r="9780">
          <cell r="A9780" t="str">
            <v>道士双技能红圣物59</v>
          </cell>
          <cell r="B9780">
            <v>430509</v>
          </cell>
        </row>
        <row r="9781">
          <cell r="A9781" t="str">
            <v>道士双技能红圣物60</v>
          </cell>
          <cell r="B9781">
            <v>430510</v>
          </cell>
        </row>
        <row r="9782">
          <cell r="A9782" t="str">
            <v>道士双技能红圣物61</v>
          </cell>
          <cell r="B9782">
            <v>430601</v>
          </cell>
        </row>
        <row r="9783">
          <cell r="A9783" t="str">
            <v>道士双技能红圣物62</v>
          </cell>
          <cell r="B9783">
            <v>430602</v>
          </cell>
        </row>
        <row r="9784">
          <cell r="A9784" t="str">
            <v>道士双技能红圣物63</v>
          </cell>
          <cell r="B9784">
            <v>430603</v>
          </cell>
        </row>
        <row r="9785">
          <cell r="A9785" t="str">
            <v>道士双技能红圣物64</v>
          </cell>
          <cell r="B9785">
            <v>430604</v>
          </cell>
        </row>
        <row r="9786">
          <cell r="A9786" t="str">
            <v>道士双技能红圣物65</v>
          </cell>
          <cell r="B9786">
            <v>430605</v>
          </cell>
        </row>
        <row r="9787">
          <cell r="A9787" t="str">
            <v>道士双技能红圣物66</v>
          </cell>
          <cell r="B9787">
            <v>430606</v>
          </cell>
        </row>
        <row r="9788">
          <cell r="A9788" t="str">
            <v>道士双技能红圣物67</v>
          </cell>
          <cell r="B9788">
            <v>430607</v>
          </cell>
        </row>
        <row r="9789">
          <cell r="A9789" t="str">
            <v>道士双技能红圣物68</v>
          </cell>
          <cell r="B9789">
            <v>430608</v>
          </cell>
        </row>
        <row r="9790">
          <cell r="A9790" t="str">
            <v>道士双技能红圣物69</v>
          </cell>
          <cell r="B9790">
            <v>430609</v>
          </cell>
        </row>
        <row r="9791">
          <cell r="A9791" t="str">
            <v>道士双技能红圣物70</v>
          </cell>
          <cell r="B9791">
            <v>430701</v>
          </cell>
        </row>
        <row r="9792">
          <cell r="A9792" t="str">
            <v>道士双技能红圣物71</v>
          </cell>
          <cell r="B9792">
            <v>430702</v>
          </cell>
        </row>
        <row r="9793">
          <cell r="A9793" t="str">
            <v>道士双技能红圣物72</v>
          </cell>
          <cell r="B9793">
            <v>430703</v>
          </cell>
        </row>
        <row r="9794">
          <cell r="A9794" t="str">
            <v>道士双技能红圣物73</v>
          </cell>
          <cell r="B9794">
            <v>430704</v>
          </cell>
        </row>
        <row r="9795">
          <cell r="A9795" t="str">
            <v>道士双技能红圣物74</v>
          </cell>
          <cell r="B9795">
            <v>430705</v>
          </cell>
        </row>
        <row r="9796">
          <cell r="A9796" t="str">
            <v>道士双技能红圣物75</v>
          </cell>
          <cell r="B9796">
            <v>430706</v>
          </cell>
        </row>
        <row r="9797">
          <cell r="A9797" t="str">
            <v>道士双技能红圣物76</v>
          </cell>
          <cell r="B9797">
            <v>430707</v>
          </cell>
        </row>
        <row r="9798">
          <cell r="A9798" t="str">
            <v>道士双技能红圣物77</v>
          </cell>
          <cell r="B9798">
            <v>430708</v>
          </cell>
        </row>
        <row r="9799">
          <cell r="A9799" t="str">
            <v>道士双技能红圣物78</v>
          </cell>
          <cell r="B9799">
            <v>430801</v>
          </cell>
        </row>
        <row r="9800">
          <cell r="A9800" t="str">
            <v>道士双技能红圣物79</v>
          </cell>
          <cell r="B9800">
            <v>430802</v>
          </cell>
        </row>
        <row r="9801">
          <cell r="A9801" t="str">
            <v>道士双技能红圣物80</v>
          </cell>
          <cell r="B9801">
            <v>430803</v>
          </cell>
        </row>
        <row r="9802">
          <cell r="A9802" t="str">
            <v>道士双技能红圣物81</v>
          </cell>
          <cell r="B9802">
            <v>430804</v>
          </cell>
        </row>
        <row r="9803">
          <cell r="A9803" t="str">
            <v>道士双技能红圣物82</v>
          </cell>
          <cell r="B9803">
            <v>430805</v>
          </cell>
        </row>
        <row r="9804">
          <cell r="A9804" t="str">
            <v>道士双技能红圣物83</v>
          </cell>
          <cell r="B9804">
            <v>430806</v>
          </cell>
        </row>
        <row r="9805">
          <cell r="A9805" t="str">
            <v>道士双技能红圣物84</v>
          </cell>
          <cell r="B9805">
            <v>430807</v>
          </cell>
        </row>
        <row r="9806">
          <cell r="A9806" t="str">
            <v>道士双技能红圣物85</v>
          </cell>
          <cell r="B9806">
            <v>430901</v>
          </cell>
        </row>
        <row r="9807">
          <cell r="A9807" t="str">
            <v>道士双技能红圣物86</v>
          </cell>
          <cell r="B9807">
            <v>430902</v>
          </cell>
        </row>
        <row r="9808">
          <cell r="A9808" t="str">
            <v>道士双技能红圣物87</v>
          </cell>
          <cell r="B9808">
            <v>430903</v>
          </cell>
        </row>
        <row r="9809">
          <cell r="A9809" t="str">
            <v>道士双技能红圣物88</v>
          </cell>
          <cell r="B9809">
            <v>430904</v>
          </cell>
        </row>
        <row r="9810">
          <cell r="A9810" t="str">
            <v>道士双技能红圣物89</v>
          </cell>
          <cell r="B9810">
            <v>430905</v>
          </cell>
        </row>
        <row r="9811">
          <cell r="A9811" t="str">
            <v>道士双技能红圣物90</v>
          </cell>
          <cell r="B9811">
            <v>430906</v>
          </cell>
        </row>
        <row r="9812">
          <cell r="A9812" t="str">
            <v>道士双技能红圣物91</v>
          </cell>
          <cell r="B9812">
            <v>431001</v>
          </cell>
        </row>
        <row r="9813">
          <cell r="A9813" t="str">
            <v>道士双技能红圣物92</v>
          </cell>
          <cell r="B9813">
            <v>431002</v>
          </cell>
        </row>
        <row r="9814">
          <cell r="A9814" t="str">
            <v>道士双技能红圣物93</v>
          </cell>
          <cell r="B9814">
            <v>431003</v>
          </cell>
        </row>
        <row r="9815">
          <cell r="A9815" t="str">
            <v>道士双技能红圣物94</v>
          </cell>
          <cell r="B9815">
            <v>431004</v>
          </cell>
        </row>
        <row r="9816">
          <cell r="A9816" t="str">
            <v>道士双技能红圣物95</v>
          </cell>
          <cell r="B9816">
            <v>431005</v>
          </cell>
        </row>
        <row r="9817">
          <cell r="A9817" t="str">
            <v>道士双技能红圣物96</v>
          </cell>
          <cell r="B9817">
            <v>431101</v>
          </cell>
        </row>
        <row r="9818">
          <cell r="A9818" t="str">
            <v>道士双技能红圣物97</v>
          </cell>
          <cell r="B9818">
            <v>431102</v>
          </cell>
        </row>
        <row r="9819">
          <cell r="A9819" t="str">
            <v>道士双技能红圣物98</v>
          </cell>
          <cell r="B9819">
            <v>431103</v>
          </cell>
        </row>
        <row r="9820">
          <cell r="A9820" t="str">
            <v>道士双技能红圣物99</v>
          </cell>
          <cell r="B9820">
            <v>431104</v>
          </cell>
        </row>
        <row r="9821">
          <cell r="A9821" t="str">
            <v>道士双技能红圣物100</v>
          </cell>
          <cell r="B9821">
            <v>431201</v>
          </cell>
        </row>
        <row r="9822">
          <cell r="A9822" t="str">
            <v>道士双技能红圣物101</v>
          </cell>
          <cell r="B9822">
            <v>431202</v>
          </cell>
        </row>
        <row r="9823">
          <cell r="A9823" t="str">
            <v>道士双技能红圣物102</v>
          </cell>
          <cell r="B9823">
            <v>431203</v>
          </cell>
        </row>
        <row r="9824">
          <cell r="A9824" t="str">
            <v>道士双技能红圣物103</v>
          </cell>
          <cell r="B9824">
            <v>431301</v>
          </cell>
        </row>
        <row r="9825">
          <cell r="A9825" t="str">
            <v>道士双技能红圣物104</v>
          </cell>
          <cell r="B9825">
            <v>431302</v>
          </cell>
        </row>
        <row r="9826">
          <cell r="A9826" t="str">
            <v>道士双技能红圣物105</v>
          </cell>
          <cell r="B9826">
            <v>431401</v>
          </cell>
        </row>
        <row r="9827">
          <cell r="A9827" t="str">
            <v>红色1级法师BOSS装备展示</v>
          </cell>
          <cell r="B9827">
            <v>200700</v>
          </cell>
        </row>
        <row r="9828">
          <cell r="A9828" t="str">
            <v>红色10级法师BOSS装备展示</v>
          </cell>
          <cell r="B9828">
            <v>200701</v>
          </cell>
        </row>
        <row r="9829">
          <cell r="A9829" t="str">
            <v>红色20级法师BOSS装备展示</v>
          </cell>
          <cell r="B9829">
            <v>200702</v>
          </cell>
        </row>
        <row r="9830">
          <cell r="A9830" t="str">
            <v>红色30级法师BOSS装备展示</v>
          </cell>
          <cell r="B9830">
            <v>200703</v>
          </cell>
        </row>
        <row r="9831">
          <cell r="A9831" t="str">
            <v>红色40级法师BOSS装备展示</v>
          </cell>
          <cell r="B9831">
            <v>200704</v>
          </cell>
        </row>
        <row r="9832">
          <cell r="A9832" t="str">
            <v>红色50级法师BOSS装备展示</v>
          </cell>
          <cell r="B9832">
            <v>200705</v>
          </cell>
        </row>
        <row r="9833">
          <cell r="A9833" t="str">
            <v>红色60级法师BOSS装备展示</v>
          </cell>
          <cell r="B9833">
            <v>200706</v>
          </cell>
        </row>
        <row r="9834">
          <cell r="A9834" t="str">
            <v>红色70级法师BOSS装备展示</v>
          </cell>
          <cell r="B9834">
            <v>200707</v>
          </cell>
        </row>
        <row r="9835">
          <cell r="A9835" t="str">
            <v>红色80级法师BOSS装备展示</v>
          </cell>
          <cell r="B9835">
            <v>200708</v>
          </cell>
        </row>
        <row r="9836">
          <cell r="A9836" t="str">
            <v>红色1转法师BOSS装备展示</v>
          </cell>
          <cell r="B9836">
            <v>200709</v>
          </cell>
        </row>
        <row r="9837">
          <cell r="A9837" t="str">
            <v>红色2转法师BOSS装备展示</v>
          </cell>
          <cell r="B9837">
            <v>200710</v>
          </cell>
        </row>
        <row r="9838">
          <cell r="A9838" t="str">
            <v>红色3转法师BOSS装备展示</v>
          </cell>
          <cell r="B9838">
            <v>200711</v>
          </cell>
        </row>
        <row r="9839">
          <cell r="A9839" t="str">
            <v>红色4转法师BOSS装备展示</v>
          </cell>
          <cell r="B9839">
            <v>200712</v>
          </cell>
        </row>
        <row r="9840">
          <cell r="A9840" t="str">
            <v>红色5转法师BOSS装备展示</v>
          </cell>
          <cell r="B9840">
            <v>200713</v>
          </cell>
        </row>
        <row r="9841">
          <cell r="A9841" t="str">
            <v>红色6转法师BOSS装备展示</v>
          </cell>
          <cell r="B9841">
            <v>200714</v>
          </cell>
        </row>
        <row r="9842">
          <cell r="A9842" t="str">
            <v>红色7转法师BOSS装备展示</v>
          </cell>
          <cell r="B9842">
            <v>200715</v>
          </cell>
        </row>
        <row r="9843">
          <cell r="A9843" t="str">
            <v>红色8转法师BOSS装备展示</v>
          </cell>
          <cell r="B9843">
            <v>200716</v>
          </cell>
        </row>
        <row r="9844">
          <cell r="A9844" t="str">
            <v>红色9转法师BOSS装备展示</v>
          </cell>
          <cell r="B9844">
            <v>200717</v>
          </cell>
        </row>
        <row r="9845">
          <cell r="A9845" t="str">
            <v>红色10转法师BOSS装备展示</v>
          </cell>
          <cell r="B9845">
            <v>200718</v>
          </cell>
        </row>
        <row r="9846">
          <cell r="A9846" t="str">
            <v>红色11转法师BOSS装备展示</v>
          </cell>
          <cell r="B9846">
            <v>200719</v>
          </cell>
        </row>
        <row r="9847">
          <cell r="A9847" t="str">
            <v>红色12转法师BOSS装备展示</v>
          </cell>
          <cell r="B9847">
            <v>200720</v>
          </cell>
        </row>
        <row r="9848">
          <cell r="A9848" t="str">
            <v>红色1级道士BOSS装备展示</v>
          </cell>
          <cell r="B9848">
            <v>200721</v>
          </cell>
        </row>
        <row r="9849">
          <cell r="A9849" t="str">
            <v>红色10级道士BOSS装备展示</v>
          </cell>
          <cell r="B9849">
            <v>200722</v>
          </cell>
        </row>
        <row r="9850">
          <cell r="A9850" t="str">
            <v>红色20级道士BOSS装备展示</v>
          </cell>
          <cell r="B9850">
            <v>200723</v>
          </cell>
        </row>
        <row r="9851">
          <cell r="A9851" t="str">
            <v>红色30级道士BOSS装备展示</v>
          </cell>
          <cell r="B9851">
            <v>200724</v>
          </cell>
        </row>
        <row r="9852">
          <cell r="A9852" t="str">
            <v>红色40级道士BOSS装备展示</v>
          </cell>
          <cell r="B9852">
            <v>200725</v>
          </cell>
        </row>
        <row r="9853">
          <cell r="A9853" t="str">
            <v>红色50级道士BOSS装备展示</v>
          </cell>
          <cell r="B9853">
            <v>200726</v>
          </cell>
        </row>
        <row r="9854">
          <cell r="A9854" t="str">
            <v>红色60级道士BOSS装备展示</v>
          </cell>
          <cell r="B9854">
            <v>200727</v>
          </cell>
        </row>
        <row r="9855">
          <cell r="A9855" t="str">
            <v>红色70级道士BOSS装备展示</v>
          </cell>
          <cell r="B9855">
            <v>200728</v>
          </cell>
        </row>
        <row r="9856">
          <cell r="A9856" t="str">
            <v>红色80级道士BOSS装备展示</v>
          </cell>
          <cell r="B9856">
            <v>200729</v>
          </cell>
        </row>
        <row r="9857">
          <cell r="A9857" t="str">
            <v>红色1转道士BOSS装备展示</v>
          </cell>
          <cell r="B9857">
            <v>200730</v>
          </cell>
        </row>
        <row r="9858">
          <cell r="A9858" t="str">
            <v>红色2转道士BOSS装备展示</v>
          </cell>
          <cell r="B9858">
            <v>200731</v>
          </cell>
        </row>
        <row r="9859">
          <cell r="A9859" t="str">
            <v>红色3转道士BOSS装备展示</v>
          </cell>
          <cell r="B9859">
            <v>200732</v>
          </cell>
        </row>
        <row r="9860">
          <cell r="A9860" t="str">
            <v>红色4转道士BOSS装备展示</v>
          </cell>
          <cell r="B9860">
            <v>200733</v>
          </cell>
        </row>
        <row r="9861">
          <cell r="A9861" t="str">
            <v>红色5转道士BOSS装备展示</v>
          </cell>
          <cell r="B9861">
            <v>200734</v>
          </cell>
        </row>
        <row r="9862">
          <cell r="A9862" t="str">
            <v>红色6转道士BOSS装备展示</v>
          </cell>
          <cell r="B9862">
            <v>200735</v>
          </cell>
        </row>
        <row r="9863">
          <cell r="A9863" t="str">
            <v>红色7转道士BOSS装备展示</v>
          </cell>
          <cell r="B9863">
            <v>200736</v>
          </cell>
        </row>
        <row r="9864">
          <cell r="A9864" t="str">
            <v>红色8转道士BOSS装备展示</v>
          </cell>
          <cell r="B9864">
            <v>200737</v>
          </cell>
        </row>
        <row r="9865">
          <cell r="A9865" t="str">
            <v>红色9转道士BOSS装备展示</v>
          </cell>
          <cell r="B9865">
            <v>200738</v>
          </cell>
        </row>
        <row r="9866">
          <cell r="A9866" t="str">
            <v>红色10转道士BOSS装备展示</v>
          </cell>
          <cell r="B9866">
            <v>200739</v>
          </cell>
        </row>
        <row r="9867">
          <cell r="A9867" t="str">
            <v>红色11转道士BOSS装备展示</v>
          </cell>
          <cell r="B9867">
            <v>200740</v>
          </cell>
        </row>
        <row r="9868">
          <cell r="A9868" t="str">
            <v>红色12转道士BOSS装备展示</v>
          </cell>
          <cell r="B9868">
            <v>200741</v>
          </cell>
        </row>
        <row r="9869">
          <cell r="A9869" t="str">
            <v>紫色圣物宝箱</v>
          </cell>
          <cell r="B9869">
            <v>200801</v>
          </cell>
        </row>
        <row r="9870">
          <cell r="A9870" t="str">
            <v>橙色圣物宝箱</v>
          </cell>
          <cell r="B9870">
            <v>200802</v>
          </cell>
        </row>
        <row r="9871">
          <cell r="A9871" t="str">
            <v>红色圣物宝箱</v>
          </cell>
          <cell r="B9871">
            <v>200803</v>
          </cell>
        </row>
        <row r="9872">
          <cell r="A9872" t="str">
            <v>紫色圣物宝箱（必出紫</v>
          </cell>
          <cell r="B9872">
            <v>200804</v>
          </cell>
        </row>
        <row r="9873">
          <cell r="A9873" t="str">
            <v>至尊圣物宝箱</v>
          </cell>
          <cell r="B9873">
            <v>200805</v>
          </cell>
        </row>
        <row r="9874">
          <cell r="A9874" t="str">
            <v>烈焰戒指副本卷</v>
          </cell>
          <cell r="B9874">
            <v>202000</v>
          </cell>
        </row>
        <row r="9875">
          <cell r="A9875" t="str">
            <v>烈焰戒指技能1书</v>
          </cell>
          <cell r="B9875">
            <v>202001</v>
          </cell>
        </row>
        <row r="9876">
          <cell r="A9876" t="str">
            <v>烈焰戒指技能2书</v>
          </cell>
          <cell r="B9876">
            <v>202002</v>
          </cell>
        </row>
        <row r="9877">
          <cell r="A9877" t="str">
            <v>烈焰戒指技能3书</v>
          </cell>
          <cell r="B9877">
            <v>202003</v>
          </cell>
        </row>
        <row r="9878">
          <cell r="A9878" t="str">
            <v>烈焰戒指技能4书</v>
          </cell>
          <cell r="B9878">
            <v>202004</v>
          </cell>
        </row>
        <row r="9879">
          <cell r="A9879" t="str">
            <v>烈焰戒指技能5书</v>
          </cell>
          <cell r="B9879">
            <v>202005</v>
          </cell>
        </row>
        <row r="9880">
          <cell r="A9880" t="str">
            <v>烈焰戒指技能6书</v>
          </cell>
          <cell r="B9880">
            <v>202006</v>
          </cell>
        </row>
        <row r="9881">
          <cell r="A9881" t="str">
            <v>烈焰戒指技能7书</v>
          </cell>
          <cell r="B9881">
            <v>202007</v>
          </cell>
        </row>
        <row r="9882">
          <cell r="A9882" t="str">
            <v>烈焰戒指技能8书</v>
          </cell>
          <cell r="B9882">
            <v>202008</v>
          </cell>
        </row>
        <row r="9883">
          <cell r="A9883" t="str">
            <v>神烈焰戒指</v>
          </cell>
          <cell r="B9883">
            <v>202009</v>
          </cell>
        </row>
        <row r="9884">
          <cell r="A9884" t="str">
            <v>功勋宝盒</v>
          </cell>
          <cell r="B9884">
            <v>200901</v>
          </cell>
        </row>
        <row r="9885">
          <cell r="A9885" t="str">
            <v>材料礼包</v>
          </cell>
          <cell r="B9885">
            <v>200902</v>
          </cell>
        </row>
        <row r="9886">
          <cell r="A9886" t="str">
            <v>活跃度礼包</v>
          </cell>
          <cell r="B9886">
            <v>200903</v>
          </cell>
        </row>
        <row r="9887">
          <cell r="A9887" t="str">
            <v>活跃度礼包</v>
          </cell>
          <cell r="B9887">
            <v>200904</v>
          </cell>
        </row>
        <row r="9888">
          <cell r="A9888" t="str">
            <v>BOSS积分宝盒</v>
          </cell>
          <cell r="B9888">
            <v>200905</v>
          </cell>
        </row>
        <row r="9889">
          <cell r="A9889" t="str">
            <v>功勋商店称号（我不做大哥好多年</v>
          </cell>
          <cell r="B9889">
            <v>900021</v>
          </cell>
        </row>
        <row r="9890">
          <cell r="A9890" t="str">
            <v>神兵经验丹（1W</v>
          </cell>
          <cell r="B9890">
            <v>200906</v>
          </cell>
        </row>
        <row r="9891">
          <cell r="A9891" t="str">
            <v>玉佩碎片</v>
          </cell>
          <cell r="B9891">
            <v>200304</v>
          </cell>
        </row>
        <row r="9892">
          <cell r="A9892" t="str">
            <v>神秘商店极品预览紫装展示</v>
          </cell>
          <cell r="B9892">
            <v>200305</v>
          </cell>
        </row>
        <row r="9893">
          <cell r="A9893" t="str">
            <v>神秘商店极品预览橙装展示</v>
          </cell>
          <cell r="B9893">
            <v>200306</v>
          </cell>
        </row>
        <row r="9894">
          <cell r="A9894" t="str">
            <v>神兵塔门票</v>
          </cell>
          <cell r="B9894">
            <v>200307</v>
          </cell>
        </row>
        <row r="9895">
          <cell r="A9895" t="str">
            <v>神兵圣域门票</v>
          </cell>
          <cell r="B9895">
            <v>200308</v>
          </cell>
        </row>
        <row r="9896">
          <cell r="A9896" t="str">
            <v>挥金如土称号</v>
          </cell>
          <cell r="B9896">
            <v>900022</v>
          </cell>
        </row>
        <row r="9897">
          <cell r="A9897" t="str">
            <v>抽奖钥匙</v>
          </cell>
          <cell r="B9897">
            <v>200309</v>
          </cell>
        </row>
        <row r="9898">
          <cell r="A9898" t="str">
            <v>2阶一套神羽礼包</v>
          </cell>
          <cell r="B9898">
            <v>601604</v>
          </cell>
        </row>
        <row r="9899">
          <cell r="A9899" t="str">
            <v>魅惑兵魂一套</v>
          </cell>
          <cell r="B9899">
            <v>200996</v>
          </cell>
        </row>
        <row r="9900">
          <cell r="A9900" t="str">
            <v>战神兵魂任选礼包</v>
          </cell>
          <cell r="B9900">
            <v>200311</v>
          </cell>
        </row>
        <row r="9901">
          <cell r="A9901" t="str">
            <v>缤纷兵魂任选礼包</v>
          </cell>
          <cell r="B9901">
            <v>200312</v>
          </cell>
        </row>
        <row r="9902">
          <cell r="A9902" t="str">
            <v>缤纷兵魂一套</v>
          </cell>
          <cell r="B9902">
            <v>200313</v>
          </cell>
        </row>
        <row r="9903">
          <cell r="A9903" t="str">
            <v>感恩礼包</v>
          </cell>
          <cell r="B9903">
            <v>200907</v>
          </cell>
        </row>
        <row r="9904">
          <cell r="A9904" t="str">
            <v>节日礼包</v>
          </cell>
          <cell r="B9904">
            <v>200908</v>
          </cell>
        </row>
        <row r="9905">
          <cell r="A9905" t="str">
            <v>送豪礼礼包</v>
          </cell>
          <cell r="B9905">
            <v>200909</v>
          </cell>
        </row>
        <row r="9906">
          <cell r="A9906" t="str">
            <v>紫色圣物宝箱</v>
          </cell>
          <cell r="B9906">
            <v>200910</v>
          </cell>
        </row>
        <row r="9907">
          <cell r="A9907" t="str">
            <v>橙色圣物宝箱</v>
          </cell>
          <cell r="B9907">
            <v>200911</v>
          </cell>
        </row>
        <row r="9908">
          <cell r="A9908" t="str">
            <v>红色圣物宝箱</v>
          </cell>
          <cell r="B9908">
            <v>200912</v>
          </cell>
        </row>
        <row r="9909">
          <cell r="A9909" t="str">
            <v>1转神装宝箱</v>
          </cell>
          <cell r="B9909">
            <v>200913</v>
          </cell>
        </row>
        <row r="9910">
          <cell r="A9910" t="str">
            <v>2转神装宝箱</v>
          </cell>
          <cell r="B9910">
            <v>200914</v>
          </cell>
        </row>
        <row r="9911">
          <cell r="A9911" t="str">
            <v>3转神装宝箱</v>
          </cell>
          <cell r="B9911">
            <v>200915</v>
          </cell>
        </row>
        <row r="9912">
          <cell r="A9912" t="str">
            <v>4转神装宝箱</v>
          </cell>
          <cell r="B9912">
            <v>200916</v>
          </cell>
        </row>
        <row r="9913">
          <cell r="A9913" t="str">
            <v>5转神装宝箱</v>
          </cell>
          <cell r="B9913">
            <v>200917</v>
          </cell>
        </row>
        <row r="9914">
          <cell r="A9914" t="str">
            <v>6转神装宝箱</v>
          </cell>
          <cell r="B9914">
            <v>200918</v>
          </cell>
        </row>
        <row r="9915">
          <cell r="A9915" t="str">
            <v>7转神装宝箱</v>
          </cell>
          <cell r="B9915">
            <v>200919</v>
          </cell>
        </row>
        <row r="9916">
          <cell r="A9916" t="str">
            <v>8转神装宝箱</v>
          </cell>
          <cell r="B9916">
            <v>200920</v>
          </cell>
        </row>
        <row r="9917">
          <cell r="A9917" t="str">
            <v>9转神装宝箱</v>
          </cell>
          <cell r="B9917">
            <v>200921</v>
          </cell>
        </row>
        <row r="9918">
          <cell r="A9918" t="str">
            <v>10转神装宝箱</v>
          </cell>
          <cell r="B9918">
            <v>200922</v>
          </cell>
        </row>
        <row r="9919">
          <cell r="A9919" t="str">
            <v>11转神装宝箱</v>
          </cell>
          <cell r="B9919">
            <v>200923</v>
          </cell>
        </row>
        <row r="9920">
          <cell r="A9920" t="str">
            <v>12转神装宝箱</v>
          </cell>
          <cell r="B9920">
            <v>200924</v>
          </cell>
        </row>
        <row r="9921">
          <cell r="A9921" t="str">
            <v>红色战纹任选宝箱</v>
          </cell>
          <cell r="B9921">
            <v>200925</v>
          </cell>
        </row>
        <row r="9922">
          <cell r="A9922" t="str">
            <v>神兵大招1三选一</v>
          </cell>
          <cell r="B9922">
            <v>200926</v>
          </cell>
        </row>
        <row r="9923">
          <cell r="A9923" t="str">
            <v>神兵大招2三选一</v>
          </cell>
          <cell r="B9923">
            <v>200927</v>
          </cell>
        </row>
        <row r="9924">
          <cell r="A9924" t="str">
            <v>神兵大招3三选一</v>
          </cell>
          <cell r="B9924">
            <v>200928</v>
          </cell>
        </row>
        <row r="9925">
          <cell r="A9925" t="str">
            <v>合服消费第1名</v>
          </cell>
          <cell r="B9925">
            <v>200929</v>
          </cell>
        </row>
        <row r="9926">
          <cell r="A9926" t="str">
            <v>合服消费第2-3名</v>
          </cell>
          <cell r="B9926">
            <v>200930</v>
          </cell>
        </row>
        <row r="9927">
          <cell r="A9927" t="str">
            <v>合服消费第4-5名</v>
          </cell>
          <cell r="B9927">
            <v>200931</v>
          </cell>
        </row>
        <row r="9928">
          <cell r="A9928" t="str">
            <v>合服消费第6-20名</v>
          </cell>
          <cell r="B9928">
            <v>200932</v>
          </cell>
        </row>
        <row r="9929">
          <cell r="A9929" t="str">
            <v>战士极品圣魂</v>
          </cell>
          <cell r="B9929">
            <v>200933</v>
          </cell>
        </row>
        <row r="9930">
          <cell r="A9930" t="str">
            <v>法师极品圣魂</v>
          </cell>
          <cell r="B9930">
            <v>200934</v>
          </cell>
        </row>
        <row r="9931">
          <cell r="A9931" t="str">
            <v>道士极品圣魂</v>
          </cell>
          <cell r="B9931">
            <v>200935</v>
          </cell>
        </row>
        <row r="9932">
          <cell r="A9932" t="str">
            <v>矿锄</v>
          </cell>
          <cell r="B9932">
            <v>200936</v>
          </cell>
        </row>
        <row r="9933">
          <cell r="A9933" t="str">
            <v>中级活跃礼包</v>
          </cell>
          <cell r="B9933">
            <v>200937</v>
          </cell>
        </row>
        <row r="9934">
          <cell r="A9934" t="str">
            <v>高级活跃礼包</v>
          </cell>
          <cell r="B9934">
            <v>200938</v>
          </cell>
        </row>
        <row r="9935">
          <cell r="A9935" t="str">
            <v>双十二抽奖钥匙</v>
          </cell>
          <cell r="B9935">
            <v>200310</v>
          </cell>
        </row>
        <row r="9936">
          <cell r="A9936" t="str">
            <v>蛊毒兵魂任选礼包</v>
          </cell>
          <cell r="B9936">
            <v>200314</v>
          </cell>
        </row>
        <row r="9937">
          <cell r="A9937" t="str">
            <v>节日礼包</v>
          </cell>
          <cell r="B9937">
            <v>200939</v>
          </cell>
        </row>
        <row r="9938">
          <cell r="A9938" t="str">
            <v>狂欢礼包</v>
          </cell>
          <cell r="B9938">
            <v>200940</v>
          </cell>
        </row>
        <row r="9939">
          <cell r="A9939" t="str">
            <v>送豪礼礼包</v>
          </cell>
          <cell r="B9939">
            <v>200941</v>
          </cell>
        </row>
        <row r="9940">
          <cell r="A9940" t="str">
            <v>2阶神羽宝箱</v>
          </cell>
          <cell r="B9940">
            <v>200315</v>
          </cell>
        </row>
        <row r="9941">
          <cell r="A9941" t="str">
            <v>3阶神羽宝箱</v>
          </cell>
          <cell r="B9941">
            <v>200316</v>
          </cell>
        </row>
        <row r="9942">
          <cell r="A9942" t="str">
            <v>4阶神羽宝箱</v>
          </cell>
          <cell r="B9942">
            <v>200317</v>
          </cell>
        </row>
        <row r="9943">
          <cell r="A9943" t="str">
            <v>威望令牌</v>
          </cell>
          <cell r="B9943">
            <v>200318</v>
          </cell>
        </row>
        <row r="9944">
          <cell r="A9944" t="str">
            <v>高级合击符文</v>
          </cell>
          <cell r="B9944">
            <v>200319</v>
          </cell>
        </row>
        <row r="9945">
          <cell r="A9945" t="str">
            <v>至尊令牌</v>
          </cell>
          <cell r="B9945">
            <v>200320</v>
          </cell>
        </row>
        <row r="9946">
          <cell r="A9946" t="str">
            <v>至尊特权</v>
          </cell>
          <cell r="B9946">
            <v>200321</v>
          </cell>
        </row>
        <row r="9947">
          <cell r="A9947" t="str">
            <v>极品如意圣魂（战法道）</v>
          </cell>
          <cell r="B9947">
            <v>200325</v>
          </cell>
        </row>
        <row r="9948">
          <cell r="A9948" t="str">
            <v>元宝卡10000</v>
          </cell>
          <cell r="B9948">
            <v>201100</v>
          </cell>
        </row>
        <row r="9949">
          <cell r="A9949" t="str">
            <v>元宝卡30000</v>
          </cell>
          <cell r="B9949">
            <v>201101</v>
          </cell>
        </row>
        <row r="9950">
          <cell r="A9950" t="str">
            <v>元宝卡50000</v>
          </cell>
          <cell r="B9950">
            <v>201102</v>
          </cell>
        </row>
        <row r="9951">
          <cell r="A9951" t="str">
            <v>元宝卡100000</v>
          </cell>
          <cell r="B9951">
            <v>201103</v>
          </cell>
        </row>
        <row r="9952">
          <cell r="A9952" t="str">
            <v>高级轮回丹</v>
          </cell>
          <cell r="B9952">
            <v>201104</v>
          </cell>
        </row>
        <row r="9953">
          <cell r="A9953" t="str">
            <v>超级轮回丹</v>
          </cell>
          <cell r="B9953">
            <v>201105</v>
          </cell>
        </row>
        <row r="9954">
          <cell r="A9954" t="str">
            <v>地狱斗笠·战</v>
          </cell>
          <cell r="B9954">
            <v>410911</v>
          </cell>
        </row>
        <row r="9955">
          <cell r="A9955" t="str">
            <v>神·地狱斗笠·战</v>
          </cell>
          <cell r="B9955">
            <v>410912</v>
          </cell>
        </row>
        <row r="9956">
          <cell r="A9956" t="str">
            <v>圣·地狱斗笠·战</v>
          </cell>
          <cell r="B9956">
            <v>410913</v>
          </cell>
        </row>
        <row r="9957">
          <cell r="A9957" t="str">
            <v>饿鬼斗笠·战</v>
          </cell>
          <cell r="B9957">
            <v>410921</v>
          </cell>
        </row>
        <row r="9958">
          <cell r="A9958" t="str">
            <v>神·饿鬼斗笠·战</v>
          </cell>
          <cell r="B9958">
            <v>410922</v>
          </cell>
        </row>
        <row r="9959">
          <cell r="A9959" t="str">
            <v>圣·饿鬼斗笠·战</v>
          </cell>
          <cell r="B9959">
            <v>410923</v>
          </cell>
        </row>
        <row r="9960">
          <cell r="A9960" t="str">
            <v>畜生斗笠·战</v>
          </cell>
          <cell r="B9960">
            <v>410931</v>
          </cell>
        </row>
        <row r="9961">
          <cell r="A9961" t="str">
            <v>神·畜生斗笠·战</v>
          </cell>
          <cell r="B9961">
            <v>410932</v>
          </cell>
        </row>
        <row r="9962">
          <cell r="A9962" t="str">
            <v>圣·畜生斗笠·战</v>
          </cell>
          <cell r="B9962">
            <v>410933</v>
          </cell>
        </row>
        <row r="9963">
          <cell r="A9963" t="str">
            <v>修罗斗笠·战</v>
          </cell>
          <cell r="B9963">
            <v>410941</v>
          </cell>
        </row>
        <row r="9964">
          <cell r="A9964" t="str">
            <v>神·修罗斗笠·战</v>
          </cell>
          <cell r="B9964">
            <v>410942</v>
          </cell>
        </row>
        <row r="9965">
          <cell r="A9965" t="str">
            <v>圣·修罗斗笠·战</v>
          </cell>
          <cell r="B9965">
            <v>410943</v>
          </cell>
        </row>
        <row r="9966">
          <cell r="A9966" t="str">
            <v>人间斗笠·战</v>
          </cell>
          <cell r="B9966">
            <v>410951</v>
          </cell>
        </row>
        <row r="9967">
          <cell r="A9967" t="str">
            <v>神·人间斗笠·战</v>
          </cell>
          <cell r="B9967">
            <v>410952</v>
          </cell>
        </row>
        <row r="9968">
          <cell r="A9968" t="str">
            <v>圣·人间斗笠·战</v>
          </cell>
          <cell r="B9968">
            <v>410953</v>
          </cell>
        </row>
        <row r="9969">
          <cell r="A9969" t="str">
            <v>天道斗笠·战</v>
          </cell>
          <cell r="B9969">
            <v>410961</v>
          </cell>
        </row>
        <row r="9970">
          <cell r="A9970" t="str">
            <v>神·天道斗笠·战</v>
          </cell>
          <cell r="B9970">
            <v>410962</v>
          </cell>
        </row>
        <row r="9971">
          <cell r="A9971" t="str">
            <v>圣·天道斗笠·战</v>
          </cell>
          <cell r="B9971">
            <v>410963</v>
          </cell>
        </row>
        <row r="9972">
          <cell r="A9972" t="str">
            <v>地狱面甲·战</v>
          </cell>
          <cell r="B9972">
            <v>411011</v>
          </cell>
        </row>
        <row r="9973">
          <cell r="A9973" t="str">
            <v>神·地狱面甲·战</v>
          </cell>
          <cell r="B9973">
            <v>411012</v>
          </cell>
        </row>
        <row r="9974">
          <cell r="A9974" t="str">
            <v>圣·地狱面甲·战</v>
          </cell>
          <cell r="B9974">
            <v>411013</v>
          </cell>
        </row>
        <row r="9975">
          <cell r="A9975" t="str">
            <v>饿鬼面甲·战</v>
          </cell>
          <cell r="B9975">
            <v>411021</v>
          </cell>
        </row>
        <row r="9976">
          <cell r="A9976" t="str">
            <v>神·饿鬼面甲·战</v>
          </cell>
          <cell r="B9976">
            <v>411022</v>
          </cell>
        </row>
        <row r="9977">
          <cell r="A9977" t="str">
            <v>圣·饿鬼面甲·战</v>
          </cell>
          <cell r="B9977">
            <v>411023</v>
          </cell>
        </row>
        <row r="9978">
          <cell r="A9978" t="str">
            <v>畜生面甲·战</v>
          </cell>
          <cell r="B9978">
            <v>411031</v>
          </cell>
        </row>
        <row r="9979">
          <cell r="A9979" t="str">
            <v>神·畜生面甲·战</v>
          </cell>
          <cell r="B9979">
            <v>411032</v>
          </cell>
        </row>
        <row r="9980">
          <cell r="A9980" t="str">
            <v>圣·畜生面甲·战</v>
          </cell>
          <cell r="B9980">
            <v>411033</v>
          </cell>
        </row>
        <row r="9981">
          <cell r="A9981" t="str">
            <v>修罗面甲·战</v>
          </cell>
          <cell r="B9981">
            <v>411041</v>
          </cell>
        </row>
        <row r="9982">
          <cell r="A9982" t="str">
            <v>神·修罗面甲·战</v>
          </cell>
          <cell r="B9982">
            <v>411042</v>
          </cell>
        </row>
        <row r="9983">
          <cell r="A9983" t="str">
            <v>圣·修罗面甲·战</v>
          </cell>
          <cell r="B9983">
            <v>411043</v>
          </cell>
        </row>
        <row r="9984">
          <cell r="A9984" t="str">
            <v>人间面甲·战</v>
          </cell>
          <cell r="B9984">
            <v>411051</v>
          </cell>
        </row>
        <row r="9985">
          <cell r="A9985" t="str">
            <v>神·人间面甲·战</v>
          </cell>
          <cell r="B9985">
            <v>411052</v>
          </cell>
        </row>
        <row r="9986">
          <cell r="A9986" t="str">
            <v>圣·人间面甲·战</v>
          </cell>
          <cell r="B9986">
            <v>411053</v>
          </cell>
        </row>
        <row r="9987">
          <cell r="A9987" t="str">
            <v>天道面甲·战</v>
          </cell>
          <cell r="B9987">
            <v>411061</v>
          </cell>
        </row>
        <row r="9988">
          <cell r="A9988" t="str">
            <v>神·天道面甲·战</v>
          </cell>
          <cell r="B9988">
            <v>411062</v>
          </cell>
        </row>
        <row r="9989">
          <cell r="A9989" t="str">
            <v>圣·天道面甲·战</v>
          </cell>
          <cell r="B9989">
            <v>411063</v>
          </cell>
        </row>
        <row r="9990">
          <cell r="A9990" t="str">
            <v>地狱披风·战</v>
          </cell>
          <cell r="B9990">
            <v>411111</v>
          </cell>
        </row>
        <row r="9991">
          <cell r="A9991" t="str">
            <v>神·地狱披风·战</v>
          </cell>
          <cell r="B9991">
            <v>411112</v>
          </cell>
        </row>
        <row r="9992">
          <cell r="A9992" t="str">
            <v>圣·地狱披风·战</v>
          </cell>
          <cell r="B9992">
            <v>411113</v>
          </cell>
        </row>
        <row r="9993">
          <cell r="A9993" t="str">
            <v>饿鬼披风·战</v>
          </cell>
          <cell r="B9993">
            <v>411121</v>
          </cell>
        </row>
        <row r="9994">
          <cell r="A9994" t="str">
            <v>神·饿鬼披风·战</v>
          </cell>
          <cell r="B9994">
            <v>411122</v>
          </cell>
        </row>
        <row r="9995">
          <cell r="A9995" t="str">
            <v>圣·饿鬼披风·战</v>
          </cell>
          <cell r="B9995">
            <v>411123</v>
          </cell>
        </row>
        <row r="9996">
          <cell r="A9996" t="str">
            <v>畜生披风·战</v>
          </cell>
          <cell r="B9996">
            <v>411131</v>
          </cell>
        </row>
        <row r="9997">
          <cell r="A9997" t="str">
            <v>神·畜生披风·战</v>
          </cell>
          <cell r="B9997">
            <v>411132</v>
          </cell>
        </row>
        <row r="9998">
          <cell r="A9998" t="str">
            <v>圣·畜生披风·战</v>
          </cell>
          <cell r="B9998">
            <v>411133</v>
          </cell>
        </row>
        <row r="9999">
          <cell r="A9999" t="str">
            <v>修罗披风·战</v>
          </cell>
          <cell r="B9999">
            <v>411141</v>
          </cell>
        </row>
        <row r="10000">
          <cell r="A10000" t="str">
            <v>神·修罗披风·战</v>
          </cell>
          <cell r="B10000">
            <v>411142</v>
          </cell>
        </row>
        <row r="10001">
          <cell r="A10001" t="str">
            <v>圣·修罗披风·战</v>
          </cell>
          <cell r="B10001">
            <v>411143</v>
          </cell>
        </row>
        <row r="10002">
          <cell r="A10002" t="str">
            <v>人间披风·战</v>
          </cell>
          <cell r="B10002">
            <v>411151</v>
          </cell>
        </row>
        <row r="10003">
          <cell r="A10003" t="str">
            <v>神·人间披风·战</v>
          </cell>
          <cell r="B10003">
            <v>411152</v>
          </cell>
        </row>
        <row r="10004">
          <cell r="A10004" t="str">
            <v>圣·人间披风·战</v>
          </cell>
          <cell r="B10004">
            <v>411153</v>
          </cell>
        </row>
        <row r="10005">
          <cell r="A10005" t="str">
            <v>天道披风·战</v>
          </cell>
          <cell r="B10005">
            <v>411161</v>
          </cell>
        </row>
        <row r="10006">
          <cell r="A10006" t="str">
            <v>神·天道披风·战</v>
          </cell>
          <cell r="B10006">
            <v>411162</v>
          </cell>
        </row>
        <row r="10007">
          <cell r="A10007" t="str">
            <v>圣·天道披风·战</v>
          </cell>
          <cell r="B10007">
            <v>411163</v>
          </cell>
        </row>
        <row r="10008">
          <cell r="A10008" t="str">
            <v>地狱盾牌·战</v>
          </cell>
          <cell r="B10008">
            <v>411211</v>
          </cell>
        </row>
        <row r="10009">
          <cell r="A10009" t="str">
            <v>神·地狱盾牌·战</v>
          </cell>
          <cell r="B10009">
            <v>411212</v>
          </cell>
        </row>
        <row r="10010">
          <cell r="A10010" t="str">
            <v>圣·地狱盾牌·战</v>
          </cell>
          <cell r="B10010">
            <v>411213</v>
          </cell>
        </row>
        <row r="10011">
          <cell r="A10011" t="str">
            <v>饿鬼盾牌·战</v>
          </cell>
          <cell r="B10011">
            <v>411221</v>
          </cell>
        </row>
        <row r="10012">
          <cell r="A10012" t="str">
            <v>神·饿鬼盾牌·战</v>
          </cell>
          <cell r="B10012">
            <v>411222</v>
          </cell>
        </row>
        <row r="10013">
          <cell r="A10013" t="str">
            <v>圣·饿鬼盾牌·战</v>
          </cell>
          <cell r="B10013">
            <v>411223</v>
          </cell>
        </row>
        <row r="10014">
          <cell r="A10014" t="str">
            <v>畜生盾牌·战</v>
          </cell>
          <cell r="B10014">
            <v>411231</v>
          </cell>
        </row>
        <row r="10015">
          <cell r="A10015" t="str">
            <v>神·畜生盾牌·战</v>
          </cell>
          <cell r="B10015">
            <v>411232</v>
          </cell>
        </row>
        <row r="10016">
          <cell r="A10016" t="str">
            <v>圣·畜生盾牌·战</v>
          </cell>
          <cell r="B10016">
            <v>411233</v>
          </cell>
        </row>
        <row r="10017">
          <cell r="A10017" t="str">
            <v>修罗盾牌·战</v>
          </cell>
          <cell r="B10017">
            <v>411241</v>
          </cell>
        </row>
        <row r="10018">
          <cell r="A10018" t="str">
            <v>神·修罗盾牌·战</v>
          </cell>
          <cell r="B10018">
            <v>411242</v>
          </cell>
        </row>
        <row r="10019">
          <cell r="A10019" t="str">
            <v>圣·修罗盾牌·战</v>
          </cell>
          <cell r="B10019">
            <v>411243</v>
          </cell>
        </row>
        <row r="10020">
          <cell r="A10020" t="str">
            <v>人间盾牌·战</v>
          </cell>
          <cell r="B10020">
            <v>411251</v>
          </cell>
        </row>
        <row r="10021">
          <cell r="A10021" t="str">
            <v>神·人间盾牌·战</v>
          </cell>
          <cell r="B10021">
            <v>411252</v>
          </cell>
        </row>
        <row r="10022">
          <cell r="A10022" t="str">
            <v>圣·人间盾牌·战</v>
          </cell>
          <cell r="B10022">
            <v>411253</v>
          </cell>
        </row>
        <row r="10023">
          <cell r="A10023" t="str">
            <v>天道盾牌·战</v>
          </cell>
          <cell r="B10023">
            <v>411261</v>
          </cell>
        </row>
        <row r="10024">
          <cell r="A10024" t="str">
            <v>神·天道盾牌·战</v>
          </cell>
          <cell r="B10024">
            <v>411262</v>
          </cell>
        </row>
        <row r="10025">
          <cell r="A10025" t="str">
            <v>圣·天道盾牌·战</v>
          </cell>
          <cell r="B10025">
            <v>411263</v>
          </cell>
        </row>
        <row r="10026">
          <cell r="A10026" t="str">
            <v>地狱斗笠·法</v>
          </cell>
          <cell r="B10026">
            <v>420911</v>
          </cell>
        </row>
        <row r="10027">
          <cell r="A10027" t="str">
            <v>神·地狱斗笠·法</v>
          </cell>
          <cell r="B10027">
            <v>420912</v>
          </cell>
        </row>
        <row r="10028">
          <cell r="A10028" t="str">
            <v>圣·地狱斗笠·法</v>
          </cell>
          <cell r="B10028">
            <v>420913</v>
          </cell>
        </row>
        <row r="10029">
          <cell r="A10029" t="str">
            <v>饿鬼斗笠·法</v>
          </cell>
          <cell r="B10029">
            <v>420921</v>
          </cell>
        </row>
        <row r="10030">
          <cell r="A10030" t="str">
            <v>神·饿鬼斗笠·法</v>
          </cell>
          <cell r="B10030">
            <v>420922</v>
          </cell>
        </row>
        <row r="10031">
          <cell r="A10031" t="str">
            <v>圣·饿鬼斗笠·法</v>
          </cell>
          <cell r="B10031">
            <v>420923</v>
          </cell>
        </row>
        <row r="10032">
          <cell r="A10032" t="str">
            <v>畜生斗笠·法</v>
          </cell>
          <cell r="B10032">
            <v>420931</v>
          </cell>
        </row>
        <row r="10033">
          <cell r="A10033" t="str">
            <v>神·畜生斗笠·法</v>
          </cell>
          <cell r="B10033">
            <v>420932</v>
          </cell>
        </row>
        <row r="10034">
          <cell r="A10034" t="str">
            <v>圣·畜生斗笠·法</v>
          </cell>
          <cell r="B10034">
            <v>420933</v>
          </cell>
        </row>
        <row r="10035">
          <cell r="A10035" t="str">
            <v>修罗斗笠·法</v>
          </cell>
          <cell r="B10035">
            <v>420941</v>
          </cell>
        </row>
        <row r="10036">
          <cell r="A10036" t="str">
            <v>神·修罗斗笠·法</v>
          </cell>
          <cell r="B10036">
            <v>420942</v>
          </cell>
        </row>
        <row r="10037">
          <cell r="A10037" t="str">
            <v>圣·修罗斗笠·法</v>
          </cell>
          <cell r="B10037">
            <v>420943</v>
          </cell>
        </row>
        <row r="10038">
          <cell r="A10038" t="str">
            <v>人间斗笠·法</v>
          </cell>
          <cell r="B10038">
            <v>420951</v>
          </cell>
        </row>
        <row r="10039">
          <cell r="A10039" t="str">
            <v>神·人间斗笠·法</v>
          </cell>
          <cell r="B10039">
            <v>420952</v>
          </cell>
        </row>
        <row r="10040">
          <cell r="A10040" t="str">
            <v>圣·人间斗笠·法</v>
          </cell>
          <cell r="B10040">
            <v>420953</v>
          </cell>
        </row>
        <row r="10041">
          <cell r="A10041" t="str">
            <v>天道斗笠·法</v>
          </cell>
          <cell r="B10041">
            <v>420961</v>
          </cell>
        </row>
        <row r="10042">
          <cell r="A10042" t="str">
            <v>神·天道斗笠·法</v>
          </cell>
          <cell r="B10042">
            <v>420962</v>
          </cell>
        </row>
        <row r="10043">
          <cell r="A10043" t="str">
            <v>圣·天道斗笠·法</v>
          </cell>
          <cell r="B10043">
            <v>420963</v>
          </cell>
        </row>
        <row r="10044">
          <cell r="A10044" t="str">
            <v>地狱面甲·法</v>
          </cell>
          <cell r="B10044">
            <v>421011</v>
          </cell>
        </row>
        <row r="10045">
          <cell r="A10045" t="str">
            <v>神·地狱面甲·法</v>
          </cell>
          <cell r="B10045">
            <v>421012</v>
          </cell>
        </row>
        <row r="10046">
          <cell r="A10046" t="str">
            <v>圣·地狱面甲·法</v>
          </cell>
          <cell r="B10046">
            <v>421013</v>
          </cell>
        </row>
        <row r="10047">
          <cell r="A10047" t="str">
            <v>饿鬼面甲·法</v>
          </cell>
          <cell r="B10047">
            <v>421021</v>
          </cell>
        </row>
        <row r="10048">
          <cell r="A10048" t="str">
            <v>神·饿鬼面甲·法</v>
          </cell>
          <cell r="B10048">
            <v>421022</v>
          </cell>
        </row>
        <row r="10049">
          <cell r="A10049" t="str">
            <v>圣·饿鬼面甲·法</v>
          </cell>
          <cell r="B10049">
            <v>421023</v>
          </cell>
        </row>
        <row r="10050">
          <cell r="A10050" t="str">
            <v>畜生面甲·法</v>
          </cell>
          <cell r="B10050">
            <v>421031</v>
          </cell>
        </row>
        <row r="10051">
          <cell r="A10051" t="str">
            <v>神·畜生面甲·法</v>
          </cell>
          <cell r="B10051">
            <v>421032</v>
          </cell>
        </row>
        <row r="10052">
          <cell r="A10052" t="str">
            <v>圣·畜生面甲·法</v>
          </cell>
          <cell r="B10052">
            <v>421033</v>
          </cell>
        </row>
        <row r="10053">
          <cell r="A10053" t="str">
            <v>修罗面甲·法</v>
          </cell>
          <cell r="B10053">
            <v>421041</v>
          </cell>
        </row>
        <row r="10054">
          <cell r="A10054" t="str">
            <v>神·修罗面甲·法</v>
          </cell>
          <cell r="B10054">
            <v>421042</v>
          </cell>
        </row>
        <row r="10055">
          <cell r="A10055" t="str">
            <v>圣·修罗面甲·法</v>
          </cell>
          <cell r="B10055">
            <v>421043</v>
          </cell>
        </row>
        <row r="10056">
          <cell r="A10056" t="str">
            <v>人间面甲·法</v>
          </cell>
          <cell r="B10056">
            <v>421051</v>
          </cell>
        </row>
        <row r="10057">
          <cell r="A10057" t="str">
            <v>神·人间面甲·法</v>
          </cell>
          <cell r="B10057">
            <v>421052</v>
          </cell>
        </row>
        <row r="10058">
          <cell r="A10058" t="str">
            <v>圣·人间面甲·法</v>
          </cell>
          <cell r="B10058">
            <v>421053</v>
          </cell>
        </row>
        <row r="10059">
          <cell r="A10059" t="str">
            <v>天道面甲·法</v>
          </cell>
          <cell r="B10059">
            <v>421061</v>
          </cell>
        </row>
        <row r="10060">
          <cell r="A10060" t="str">
            <v>神·天道面甲·法</v>
          </cell>
          <cell r="B10060">
            <v>421062</v>
          </cell>
        </row>
        <row r="10061">
          <cell r="A10061" t="str">
            <v>圣·天道面甲·法</v>
          </cell>
          <cell r="B10061">
            <v>421063</v>
          </cell>
        </row>
        <row r="10062">
          <cell r="A10062" t="str">
            <v>地狱披风·法</v>
          </cell>
          <cell r="B10062">
            <v>421111</v>
          </cell>
        </row>
        <row r="10063">
          <cell r="A10063" t="str">
            <v>神·地狱披风·法</v>
          </cell>
          <cell r="B10063">
            <v>421112</v>
          </cell>
        </row>
        <row r="10064">
          <cell r="A10064" t="str">
            <v>圣·地狱披风·法</v>
          </cell>
          <cell r="B10064">
            <v>421113</v>
          </cell>
        </row>
        <row r="10065">
          <cell r="A10065" t="str">
            <v>饿鬼披风·法</v>
          </cell>
          <cell r="B10065">
            <v>421121</v>
          </cell>
        </row>
        <row r="10066">
          <cell r="A10066" t="str">
            <v>神·饿鬼披风·法</v>
          </cell>
          <cell r="B10066">
            <v>421122</v>
          </cell>
        </row>
        <row r="10067">
          <cell r="A10067" t="str">
            <v>圣·饿鬼披风·法</v>
          </cell>
          <cell r="B10067">
            <v>421123</v>
          </cell>
        </row>
        <row r="10068">
          <cell r="A10068" t="str">
            <v>畜生披风·法</v>
          </cell>
          <cell r="B10068">
            <v>421131</v>
          </cell>
        </row>
        <row r="10069">
          <cell r="A10069" t="str">
            <v>神·畜生披风·法</v>
          </cell>
          <cell r="B10069">
            <v>421132</v>
          </cell>
        </row>
        <row r="10070">
          <cell r="A10070" t="str">
            <v>圣·畜生披风·法</v>
          </cell>
          <cell r="B10070">
            <v>421133</v>
          </cell>
        </row>
        <row r="10071">
          <cell r="A10071" t="str">
            <v>修罗披风·法</v>
          </cell>
          <cell r="B10071">
            <v>421141</v>
          </cell>
        </row>
        <row r="10072">
          <cell r="A10072" t="str">
            <v>神·修罗披风·法</v>
          </cell>
          <cell r="B10072">
            <v>421142</v>
          </cell>
        </row>
        <row r="10073">
          <cell r="A10073" t="str">
            <v>圣·修罗披风·法</v>
          </cell>
          <cell r="B10073">
            <v>421143</v>
          </cell>
        </row>
        <row r="10074">
          <cell r="A10074" t="str">
            <v>人间披风·法</v>
          </cell>
          <cell r="B10074">
            <v>421151</v>
          </cell>
        </row>
        <row r="10075">
          <cell r="A10075" t="str">
            <v>神·人间披风·法</v>
          </cell>
          <cell r="B10075">
            <v>421152</v>
          </cell>
        </row>
        <row r="10076">
          <cell r="A10076" t="str">
            <v>圣·人间披风·法</v>
          </cell>
          <cell r="B10076">
            <v>421153</v>
          </cell>
        </row>
        <row r="10077">
          <cell r="A10077" t="str">
            <v>天道披风·法</v>
          </cell>
          <cell r="B10077">
            <v>421161</v>
          </cell>
        </row>
        <row r="10078">
          <cell r="A10078" t="str">
            <v>神·天道披风·法</v>
          </cell>
          <cell r="B10078">
            <v>421162</v>
          </cell>
        </row>
        <row r="10079">
          <cell r="A10079" t="str">
            <v>圣·天道披风·法</v>
          </cell>
          <cell r="B10079">
            <v>421163</v>
          </cell>
        </row>
        <row r="10080">
          <cell r="A10080" t="str">
            <v>地狱盾牌·法</v>
          </cell>
          <cell r="B10080">
            <v>421211</v>
          </cell>
        </row>
        <row r="10081">
          <cell r="A10081" t="str">
            <v>神·地狱盾牌·法</v>
          </cell>
          <cell r="B10081">
            <v>421212</v>
          </cell>
        </row>
        <row r="10082">
          <cell r="A10082" t="str">
            <v>圣·地狱盾牌·法</v>
          </cell>
          <cell r="B10082">
            <v>421213</v>
          </cell>
        </row>
        <row r="10083">
          <cell r="A10083" t="str">
            <v>饿鬼盾牌·法</v>
          </cell>
          <cell r="B10083">
            <v>421221</v>
          </cell>
        </row>
        <row r="10084">
          <cell r="A10084" t="str">
            <v>神·饿鬼盾牌·法</v>
          </cell>
          <cell r="B10084">
            <v>421222</v>
          </cell>
        </row>
        <row r="10085">
          <cell r="A10085" t="str">
            <v>圣·饿鬼盾牌·法</v>
          </cell>
          <cell r="B10085">
            <v>421223</v>
          </cell>
        </row>
        <row r="10086">
          <cell r="A10086" t="str">
            <v>畜生盾牌·法</v>
          </cell>
          <cell r="B10086">
            <v>421231</v>
          </cell>
        </row>
        <row r="10087">
          <cell r="A10087" t="str">
            <v>神·畜生盾牌·法</v>
          </cell>
          <cell r="B10087">
            <v>421232</v>
          </cell>
        </row>
        <row r="10088">
          <cell r="A10088" t="str">
            <v>圣·畜生盾牌·法</v>
          </cell>
          <cell r="B10088">
            <v>421233</v>
          </cell>
        </row>
        <row r="10089">
          <cell r="A10089" t="str">
            <v>修罗盾牌·法</v>
          </cell>
          <cell r="B10089">
            <v>421241</v>
          </cell>
        </row>
        <row r="10090">
          <cell r="A10090" t="str">
            <v>神·修罗盾牌·法</v>
          </cell>
          <cell r="B10090">
            <v>421242</v>
          </cell>
        </row>
        <row r="10091">
          <cell r="A10091" t="str">
            <v>圣·修罗盾牌·法</v>
          </cell>
          <cell r="B10091">
            <v>421243</v>
          </cell>
        </row>
        <row r="10092">
          <cell r="A10092" t="str">
            <v>人间盾牌·法</v>
          </cell>
          <cell r="B10092">
            <v>421251</v>
          </cell>
        </row>
        <row r="10093">
          <cell r="A10093" t="str">
            <v>神·人间盾牌·法</v>
          </cell>
          <cell r="B10093">
            <v>421252</v>
          </cell>
        </row>
        <row r="10094">
          <cell r="A10094" t="str">
            <v>圣·人间盾牌·法</v>
          </cell>
          <cell r="B10094">
            <v>421253</v>
          </cell>
        </row>
        <row r="10095">
          <cell r="A10095" t="str">
            <v>天道盾牌·法</v>
          </cell>
          <cell r="B10095">
            <v>421261</v>
          </cell>
        </row>
        <row r="10096">
          <cell r="A10096" t="str">
            <v>神·天道盾牌·法</v>
          </cell>
          <cell r="B10096">
            <v>421262</v>
          </cell>
        </row>
        <row r="10097">
          <cell r="A10097" t="str">
            <v>圣·天道盾牌·法</v>
          </cell>
          <cell r="B10097">
            <v>421263</v>
          </cell>
        </row>
        <row r="10098">
          <cell r="A10098" t="str">
            <v>地狱斗笠·道</v>
          </cell>
          <cell r="B10098">
            <v>430911</v>
          </cell>
        </row>
        <row r="10099">
          <cell r="A10099" t="str">
            <v>神·地狱斗笠·道</v>
          </cell>
          <cell r="B10099">
            <v>430912</v>
          </cell>
        </row>
        <row r="10100">
          <cell r="A10100" t="str">
            <v>圣·地狱斗笠·道</v>
          </cell>
          <cell r="B10100">
            <v>430913</v>
          </cell>
        </row>
        <row r="10101">
          <cell r="A10101" t="str">
            <v>饿鬼斗笠·道</v>
          </cell>
          <cell r="B10101">
            <v>430921</v>
          </cell>
        </row>
        <row r="10102">
          <cell r="A10102" t="str">
            <v>神·饿鬼斗笠·道</v>
          </cell>
          <cell r="B10102">
            <v>430922</v>
          </cell>
        </row>
        <row r="10103">
          <cell r="A10103" t="str">
            <v>圣·饿鬼斗笠·道</v>
          </cell>
          <cell r="B10103">
            <v>430923</v>
          </cell>
        </row>
        <row r="10104">
          <cell r="A10104" t="str">
            <v>畜生斗笠·道</v>
          </cell>
          <cell r="B10104">
            <v>430931</v>
          </cell>
        </row>
        <row r="10105">
          <cell r="A10105" t="str">
            <v>神·畜生斗笠·道</v>
          </cell>
          <cell r="B10105">
            <v>430932</v>
          </cell>
        </row>
        <row r="10106">
          <cell r="A10106" t="str">
            <v>圣·畜生斗笠·道</v>
          </cell>
          <cell r="B10106">
            <v>430933</v>
          </cell>
        </row>
        <row r="10107">
          <cell r="A10107" t="str">
            <v>修罗斗笠·道</v>
          </cell>
          <cell r="B10107">
            <v>430941</v>
          </cell>
        </row>
        <row r="10108">
          <cell r="A10108" t="str">
            <v>神·修罗斗笠·道</v>
          </cell>
          <cell r="B10108">
            <v>430942</v>
          </cell>
        </row>
        <row r="10109">
          <cell r="A10109" t="str">
            <v>圣·修罗斗笠·道</v>
          </cell>
          <cell r="B10109">
            <v>430943</v>
          </cell>
        </row>
        <row r="10110">
          <cell r="A10110" t="str">
            <v>人间斗笠·道</v>
          </cell>
          <cell r="B10110">
            <v>430951</v>
          </cell>
        </row>
        <row r="10111">
          <cell r="A10111" t="str">
            <v>神·人间斗笠·道</v>
          </cell>
          <cell r="B10111">
            <v>430952</v>
          </cell>
        </row>
        <row r="10112">
          <cell r="A10112" t="str">
            <v>圣·人间斗笠·道</v>
          </cell>
          <cell r="B10112">
            <v>430953</v>
          </cell>
        </row>
        <row r="10113">
          <cell r="A10113" t="str">
            <v>天道斗笠·道</v>
          </cell>
          <cell r="B10113">
            <v>430961</v>
          </cell>
        </row>
        <row r="10114">
          <cell r="A10114" t="str">
            <v>神·天道斗笠·道</v>
          </cell>
          <cell r="B10114">
            <v>430962</v>
          </cell>
        </row>
        <row r="10115">
          <cell r="A10115" t="str">
            <v>圣·天道斗笠·道</v>
          </cell>
          <cell r="B10115">
            <v>430963</v>
          </cell>
        </row>
        <row r="10116">
          <cell r="A10116" t="str">
            <v>地狱面甲·道</v>
          </cell>
          <cell r="B10116">
            <v>431011</v>
          </cell>
        </row>
        <row r="10117">
          <cell r="A10117" t="str">
            <v>神·地狱面甲·道</v>
          </cell>
          <cell r="B10117">
            <v>431012</v>
          </cell>
        </row>
        <row r="10118">
          <cell r="A10118" t="str">
            <v>圣·地狱面甲·道</v>
          </cell>
          <cell r="B10118">
            <v>431013</v>
          </cell>
        </row>
        <row r="10119">
          <cell r="A10119" t="str">
            <v>饿鬼面甲·道</v>
          </cell>
          <cell r="B10119">
            <v>431021</v>
          </cell>
        </row>
        <row r="10120">
          <cell r="A10120" t="str">
            <v>神·饿鬼面甲·道</v>
          </cell>
          <cell r="B10120">
            <v>431022</v>
          </cell>
        </row>
        <row r="10121">
          <cell r="A10121" t="str">
            <v>圣·饿鬼面甲·道</v>
          </cell>
          <cell r="B10121">
            <v>431023</v>
          </cell>
        </row>
        <row r="10122">
          <cell r="A10122" t="str">
            <v>畜生面甲·道</v>
          </cell>
          <cell r="B10122">
            <v>431031</v>
          </cell>
        </row>
        <row r="10123">
          <cell r="A10123" t="str">
            <v>神·畜生面甲·道</v>
          </cell>
          <cell r="B10123">
            <v>431032</v>
          </cell>
        </row>
        <row r="10124">
          <cell r="A10124" t="str">
            <v>圣·畜生面甲·道</v>
          </cell>
          <cell r="B10124">
            <v>431033</v>
          </cell>
        </row>
        <row r="10125">
          <cell r="A10125" t="str">
            <v>修罗面甲·道</v>
          </cell>
          <cell r="B10125">
            <v>431041</v>
          </cell>
        </row>
        <row r="10126">
          <cell r="A10126" t="str">
            <v>神·修罗面甲·道</v>
          </cell>
          <cell r="B10126">
            <v>431042</v>
          </cell>
        </row>
        <row r="10127">
          <cell r="A10127" t="str">
            <v>圣·修罗面甲·道</v>
          </cell>
          <cell r="B10127">
            <v>431043</v>
          </cell>
        </row>
        <row r="10128">
          <cell r="A10128" t="str">
            <v>人间面甲·道</v>
          </cell>
          <cell r="B10128">
            <v>431051</v>
          </cell>
        </row>
        <row r="10129">
          <cell r="A10129" t="str">
            <v>神·人间面甲·道</v>
          </cell>
          <cell r="B10129">
            <v>431052</v>
          </cell>
        </row>
        <row r="10130">
          <cell r="A10130" t="str">
            <v>圣·人间面甲·道</v>
          </cell>
          <cell r="B10130">
            <v>431053</v>
          </cell>
        </row>
        <row r="10131">
          <cell r="A10131" t="str">
            <v>天道面甲·道</v>
          </cell>
          <cell r="B10131">
            <v>431061</v>
          </cell>
        </row>
        <row r="10132">
          <cell r="A10132" t="str">
            <v>神·天道面甲·道</v>
          </cell>
          <cell r="B10132">
            <v>431062</v>
          </cell>
        </row>
        <row r="10133">
          <cell r="A10133" t="str">
            <v>圣·天道面甲·道</v>
          </cell>
          <cell r="B10133">
            <v>431063</v>
          </cell>
        </row>
        <row r="10134">
          <cell r="A10134" t="str">
            <v>地狱披风·道</v>
          </cell>
          <cell r="B10134">
            <v>431111</v>
          </cell>
        </row>
        <row r="10135">
          <cell r="A10135" t="str">
            <v>神·地狱披风·道</v>
          </cell>
          <cell r="B10135">
            <v>431112</v>
          </cell>
        </row>
        <row r="10136">
          <cell r="A10136" t="str">
            <v>圣·地狱披风·道</v>
          </cell>
          <cell r="B10136">
            <v>431113</v>
          </cell>
        </row>
        <row r="10137">
          <cell r="A10137" t="str">
            <v>饿鬼披风·道</v>
          </cell>
          <cell r="B10137">
            <v>431121</v>
          </cell>
        </row>
        <row r="10138">
          <cell r="A10138" t="str">
            <v>神·饿鬼披风·道</v>
          </cell>
          <cell r="B10138">
            <v>431122</v>
          </cell>
        </row>
        <row r="10139">
          <cell r="A10139" t="str">
            <v>圣·饿鬼披风·道</v>
          </cell>
          <cell r="B10139">
            <v>431123</v>
          </cell>
        </row>
        <row r="10140">
          <cell r="A10140" t="str">
            <v>畜生披风·道</v>
          </cell>
          <cell r="B10140">
            <v>431131</v>
          </cell>
        </row>
        <row r="10141">
          <cell r="A10141" t="str">
            <v>神·畜生披风·道</v>
          </cell>
          <cell r="B10141">
            <v>431132</v>
          </cell>
        </row>
        <row r="10142">
          <cell r="A10142" t="str">
            <v>圣·畜生披风·道</v>
          </cell>
          <cell r="B10142">
            <v>431133</v>
          </cell>
        </row>
        <row r="10143">
          <cell r="A10143" t="str">
            <v>修罗披风·道</v>
          </cell>
          <cell r="B10143">
            <v>431141</v>
          </cell>
        </row>
        <row r="10144">
          <cell r="A10144" t="str">
            <v>神·修罗披风·道</v>
          </cell>
          <cell r="B10144">
            <v>431142</v>
          </cell>
        </row>
        <row r="10145">
          <cell r="A10145" t="str">
            <v>圣·修罗披风·道</v>
          </cell>
          <cell r="B10145">
            <v>431143</v>
          </cell>
        </row>
        <row r="10146">
          <cell r="A10146" t="str">
            <v>人间披风·道</v>
          </cell>
          <cell r="B10146">
            <v>431151</v>
          </cell>
        </row>
        <row r="10147">
          <cell r="A10147" t="str">
            <v>神·人间披风·道</v>
          </cell>
          <cell r="B10147">
            <v>431152</v>
          </cell>
        </row>
        <row r="10148">
          <cell r="A10148" t="str">
            <v>圣·人间披风·道</v>
          </cell>
          <cell r="B10148">
            <v>431153</v>
          </cell>
        </row>
        <row r="10149">
          <cell r="A10149" t="str">
            <v>天道披风·道</v>
          </cell>
          <cell r="B10149">
            <v>431161</v>
          </cell>
        </row>
        <row r="10150">
          <cell r="A10150" t="str">
            <v>神·天道披风·道</v>
          </cell>
          <cell r="B10150">
            <v>431162</v>
          </cell>
        </row>
        <row r="10151">
          <cell r="A10151" t="str">
            <v>圣·天道披风·道</v>
          </cell>
          <cell r="B10151">
            <v>431163</v>
          </cell>
        </row>
        <row r="10152">
          <cell r="A10152" t="str">
            <v>地狱盾牌·道</v>
          </cell>
          <cell r="B10152">
            <v>431211</v>
          </cell>
        </row>
        <row r="10153">
          <cell r="A10153" t="str">
            <v>神·地狱盾牌·道</v>
          </cell>
          <cell r="B10153">
            <v>431212</v>
          </cell>
        </row>
        <row r="10154">
          <cell r="A10154" t="str">
            <v>圣·地狱盾牌·道</v>
          </cell>
          <cell r="B10154">
            <v>431213</v>
          </cell>
        </row>
        <row r="10155">
          <cell r="A10155" t="str">
            <v>饿鬼盾牌·道</v>
          </cell>
          <cell r="B10155">
            <v>431221</v>
          </cell>
        </row>
        <row r="10156">
          <cell r="A10156" t="str">
            <v>神·饿鬼盾牌·道</v>
          </cell>
          <cell r="B10156">
            <v>431222</v>
          </cell>
        </row>
        <row r="10157">
          <cell r="A10157" t="str">
            <v>圣·饿鬼盾牌·道</v>
          </cell>
          <cell r="B10157">
            <v>431223</v>
          </cell>
        </row>
        <row r="10158">
          <cell r="A10158" t="str">
            <v>畜生盾牌·道</v>
          </cell>
          <cell r="B10158">
            <v>431231</v>
          </cell>
        </row>
        <row r="10159">
          <cell r="A10159" t="str">
            <v>神·畜生盾牌·道</v>
          </cell>
          <cell r="B10159">
            <v>431232</v>
          </cell>
        </row>
        <row r="10160">
          <cell r="A10160" t="str">
            <v>圣·畜生盾牌·道</v>
          </cell>
          <cell r="B10160">
            <v>431233</v>
          </cell>
        </row>
        <row r="10161">
          <cell r="A10161" t="str">
            <v>修罗盾牌·道</v>
          </cell>
          <cell r="B10161">
            <v>431241</v>
          </cell>
        </row>
        <row r="10162">
          <cell r="A10162" t="str">
            <v>神·修罗盾牌·道</v>
          </cell>
          <cell r="B10162">
            <v>431242</v>
          </cell>
        </row>
        <row r="10163">
          <cell r="A10163" t="str">
            <v>圣·修罗盾牌·道</v>
          </cell>
          <cell r="B10163">
            <v>431243</v>
          </cell>
        </row>
        <row r="10164">
          <cell r="A10164" t="str">
            <v>人间盾牌·道</v>
          </cell>
          <cell r="B10164">
            <v>431251</v>
          </cell>
        </row>
        <row r="10165">
          <cell r="A10165" t="str">
            <v>神·人间盾牌·道</v>
          </cell>
          <cell r="B10165">
            <v>431252</v>
          </cell>
        </row>
        <row r="10166">
          <cell r="A10166" t="str">
            <v>圣·人间盾牌·道</v>
          </cell>
          <cell r="B10166">
            <v>431253</v>
          </cell>
        </row>
        <row r="10167">
          <cell r="A10167" t="str">
            <v>天道盾牌·道</v>
          </cell>
          <cell r="B10167">
            <v>431261</v>
          </cell>
        </row>
        <row r="10168">
          <cell r="A10168" t="str">
            <v>神·天道盾牌·道</v>
          </cell>
          <cell r="B10168">
            <v>431262</v>
          </cell>
        </row>
        <row r="10169">
          <cell r="A10169" t="str">
            <v>圣·天道盾牌·道</v>
          </cell>
          <cell r="B10169">
            <v>431263</v>
          </cell>
        </row>
        <row r="10170">
          <cell r="A10170" t="str">
            <v>兵魂之灵</v>
          </cell>
          <cell r="B10170">
            <v>200326</v>
          </cell>
        </row>
        <row r="10171">
          <cell r="A10171" t="str">
            <v>圣诞树</v>
          </cell>
          <cell r="B10171">
            <v>200327</v>
          </cell>
        </row>
        <row r="10172">
          <cell r="A10172" t="str">
            <v>高级轮回丹·无限制</v>
          </cell>
          <cell r="B10172">
            <v>201106</v>
          </cell>
        </row>
        <row r="10173">
          <cell r="A10173" t="str">
            <v>超级轮回丹·无限制</v>
          </cell>
          <cell r="B10173">
            <v>201107</v>
          </cell>
        </row>
        <row r="10174">
          <cell r="A10174" t="str">
            <v>上古魔魂斗笠</v>
          </cell>
          <cell r="B10174">
            <v>410001</v>
          </cell>
        </row>
        <row r="10175">
          <cell r="A10175" t="str">
            <v>上古魔魂面甲</v>
          </cell>
          <cell r="B10175">
            <v>410002</v>
          </cell>
        </row>
        <row r="10176">
          <cell r="A10176" t="str">
            <v>上古魔魂披风</v>
          </cell>
          <cell r="B10176">
            <v>410003</v>
          </cell>
        </row>
        <row r="10177">
          <cell r="A10177" t="str">
            <v>上古魔魂盾牌</v>
          </cell>
          <cell r="B10177">
            <v>410004</v>
          </cell>
        </row>
        <row r="10178">
          <cell r="A10178" t="str">
            <v>金色战纹任选宝箱</v>
          </cell>
          <cell r="B10178">
            <v>200951</v>
          </cell>
        </row>
        <row r="10179">
          <cell r="A10179" t="str">
            <v>圣诞礼包</v>
          </cell>
          <cell r="B10179">
            <v>200952</v>
          </cell>
        </row>
        <row r="10180">
          <cell r="A10180" t="str">
            <v>圣诞福袋1</v>
          </cell>
          <cell r="B10180">
            <v>200953</v>
          </cell>
        </row>
        <row r="10181">
          <cell r="A10181" t="str">
            <v>圣诞福袋2</v>
          </cell>
          <cell r="B10181">
            <v>200954</v>
          </cell>
        </row>
        <row r="10182">
          <cell r="A10182" t="str">
            <v>圣诞福袋3</v>
          </cell>
          <cell r="B10182">
            <v>200955</v>
          </cell>
        </row>
        <row r="10183">
          <cell r="A10183" t="str">
            <v>圣诞福袋4</v>
          </cell>
          <cell r="B10183">
            <v>200956</v>
          </cell>
        </row>
        <row r="10184">
          <cell r="A10184" t="str">
            <v>圣诞福袋5</v>
          </cell>
          <cell r="B10184">
            <v>200957</v>
          </cell>
        </row>
        <row r="10185">
          <cell r="A10185" t="str">
            <v>圣诞福袋6</v>
          </cell>
          <cell r="B10185">
            <v>200958</v>
          </cell>
        </row>
        <row r="10186">
          <cell r="A10186" t="str">
            <v>圣诞福袋7</v>
          </cell>
          <cell r="B10186">
            <v>200959</v>
          </cell>
        </row>
        <row r="10187">
          <cell r="A10187" t="str">
            <v>圣诞福袋8</v>
          </cell>
          <cell r="B10187">
            <v>200960</v>
          </cell>
        </row>
        <row r="10188">
          <cell r="A10188" t="str">
            <v>圣诞福袋9</v>
          </cell>
          <cell r="B10188">
            <v>200961</v>
          </cell>
        </row>
        <row r="10189">
          <cell r="A10189" t="str">
            <v>圣诞福袋10</v>
          </cell>
          <cell r="B10189">
            <v>200962</v>
          </cell>
        </row>
        <row r="10190">
          <cell r="A10190" t="str">
            <v>圣诞福袋11</v>
          </cell>
          <cell r="B10190">
            <v>200963</v>
          </cell>
        </row>
        <row r="10191">
          <cell r="A10191" t="str">
            <v>圣诞福袋12</v>
          </cell>
          <cell r="B10191">
            <v>200964</v>
          </cell>
        </row>
        <row r="10192">
          <cell r="A10192" t="str">
            <v>圣诞福袋13</v>
          </cell>
          <cell r="B10192">
            <v>200965</v>
          </cell>
        </row>
        <row r="10193">
          <cell r="A10193" t="str">
            <v>圣诞福袋14</v>
          </cell>
          <cell r="B10193">
            <v>200966</v>
          </cell>
        </row>
        <row r="10194">
          <cell r="A10194" t="str">
            <v>圣诞福袋15</v>
          </cell>
          <cell r="B10194">
            <v>200967</v>
          </cell>
        </row>
        <row r="10195">
          <cell r="A10195" t="str">
            <v>圣诞福袋16</v>
          </cell>
          <cell r="B10195">
            <v>200968</v>
          </cell>
        </row>
        <row r="10196">
          <cell r="A10196" t="str">
            <v>魅惑兵魂任选礼包</v>
          </cell>
          <cell r="B10196">
            <v>200969</v>
          </cell>
        </row>
        <row r="10197">
          <cell r="A10197" t="str">
            <v>神·轮回宝箱（7转）</v>
          </cell>
          <cell r="B10197">
            <v>204001</v>
          </cell>
        </row>
        <row r="10198">
          <cell r="A10198" t="str">
            <v>神·轮回宝箱（8转）</v>
          </cell>
          <cell r="B10198">
            <v>204002</v>
          </cell>
        </row>
        <row r="10199">
          <cell r="A10199" t="str">
            <v>神·轮回宝箱（9转）</v>
          </cell>
          <cell r="B10199">
            <v>204003</v>
          </cell>
        </row>
        <row r="10200">
          <cell r="A10200" t="str">
            <v>神·轮回宝箱（10转）</v>
          </cell>
          <cell r="B10200">
            <v>204004</v>
          </cell>
        </row>
        <row r="10201">
          <cell r="A10201" t="str">
            <v>神·轮回宝箱（11转）</v>
          </cell>
          <cell r="B10201">
            <v>204005</v>
          </cell>
        </row>
        <row r="10202">
          <cell r="A10202" t="str">
            <v>神·轮回宝箱（12转）</v>
          </cell>
          <cell r="B10202">
            <v>204006</v>
          </cell>
        </row>
        <row r="10203">
          <cell r="A10203" t="str">
            <v>圣·轮回宝箱（7转）</v>
          </cell>
          <cell r="B10203">
            <v>204007</v>
          </cell>
        </row>
        <row r="10204">
          <cell r="A10204" t="str">
            <v>圣·轮回宝箱（8转）</v>
          </cell>
          <cell r="B10204">
            <v>204008</v>
          </cell>
        </row>
        <row r="10205">
          <cell r="A10205" t="str">
            <v>圣·轮回宝箱（9转）</v>
          </cell>
          <cell r="B10205">
            <v>204009</v>
          </cell>
        </row>
        <row r="10206">
          <cell r="A10206" t="str">
            <v>圣·轮回宝箱（10转）</v>
          </cell>
          <cell r="B10206">
            <v>204010</v>
          </cell>
        </row>
        <row r="10207">
          <cell r="A10207" t="str">
            <v>圣·轮回宝箱（11转）</v>
          </cell>
          <cell r="B10207">
            <v>204011</v>
          </cell>
        </row>
        <row r="10208">
          <cell r="A10208" t="str">
            <v>圣·轮回宝箱（12转）</v>
          </cell>
          <cell r="B10208">
            <v>204012</v>
          </cell>
        </row>
        <row r="10209">
          <cell r="A10209" t="str">
            <v>轮回披风宝箱（神7转）</v>
          </cell>
          <cell r="B10209">
            <v>204021</v>
          </cell>
        </row>
        <row r="10210">
          <cell r="A10210" t="str">
            <v>轮回盾牌宝箱（神7转）</v>
          </cell>
          <cell r="B10210">
            <v>204022</v>
          </cell>
        </row>
        <row r="10211">
          <cell r="A10211" t="str">
            <v>轮回面甲宝箱（神7转）</v>
          </cell>
          <cell r="B10211">
            <v>204023</v>
          </cell>
        </row>
        <row r="10212">
          <cell r="A10212" t="str">
            <v>轮回斗笠宝箱（神7转）</v>
          </cell>
          <cell r="B10212">
            <v>204024</v>
          </cell>
        </row>
        <row r="10213">
          <cell r="A10213" t="str">
            <v>轮回披风宝箱（神8转）</v>
          </cell>
          <cell r="B10213">
            <v>204025</v>
          </cell>
        </row>
        <row r="10214">
          <cell r="A10214" t="str">
            <v>轮回盾牌宝箱（神8转）</v>
          </cell>
          <cell r="B10214">
            <v>204026</v>
          </cell>
        </row>
        <row r="10215">
          <cell r="A10215" t="str">
            <v>轮回面甲宝箱（神8转）</v>
          </cell>
          <cell r="B10215">
            <v>204027</v>
          </cell>
        </row>
        <row r="10216">
          <cell r="A10216" t="str">
            <v>轮回斗笠宝箱（神8转）</v>
          </cell>
          <cell r="B10216">
            <v>204028</v>
          </cell>
        </row>
        <row r="10217">
          <cell r="A10217" t="str">
            <v>魔魂礼包</v>
          </cell>
          <cell r="B10217">
            <v>204029</v>
          </cell>
        </row>
        <row r="10218">
          <cell r="A10218" t="str">
            <v>元旦兑换</v>
          </cell>
          <cell r="B10218">
            <v>204030</v>
          </cell>
        </row>
        <row r="10219">
          <cell r="A10219" t="str">
            <v>9转神斗笠</v>
          </cell>
          <cell r="B10219">
            <v>204031</v>
          </cell>
        </row>
        <row r="10220">
          <cell r="A10220" t="str">
            <v>9转圣斗笠</v>
          </cell>
          <cell r="B10220">
            <v>204032</v>
          </cell>
        </row>
        <row r="10221">
          <cell r="A10221" t="str">
            <v>7转斗笠</v>
          </cell>
          <cell r="B10221">
            <v>204033</v>
          </cell>
        </row>
        <row r="10222">
          <cell r="A10222" t="str">
            <v>7转面甲</v>
          </cell>
          <cell r="B10222">
            <v>204034</v>
          </cell>
        </row>
        <row r="10223">
          <cell r="A10223" t="str">
            <v>7转披风</v>
          </cell>
          <cell r="B10223">
            <v>204035</v>
          </cell>
        </row>
        <row r="10224">
          <cell r="A10224" t="str">
            <v>7转盾牌</v>
          </cell>
          <cell r="B10224">
            <v>204036</v>
          </cell>
        </row>
        <row r="10225">
          <cell r="A10225" t="str">
            <v>8转斗笠</v>
          </cell>
          <cell r="B10225">
            <v>204037</v>
          </cell>
        </row>
        <row r="10226">
          <cell r="A10226" t="str">
            <v>8转面甲</v>
          </cell>
          <cell r="B10226">
            <v>204038</v>
          </cell>
        </row>
        <row r="10227">
          <cell r="A10227" t="str">
            <v>8转披风</v>
          </cell>
          <cell r="B10227">
            <v>204039</v>
          </cell>
        </row>
        <row r="10228">
          <cell r="A10228" t="str">
            <v>8转盾牌</v>
          </cell>
          <cell r="B10228">
            <v>204040</v>
          </cell>
        </row>
        <row r="10229">
          <cell r="A10229" t="str">
            <v>9转斗笠</v>
          </cell>
          <cell r="B10229">
            <v>204041</v>
          </cell>
        </row>
        <row r="10230">
          <cell r="A10230" t="str">
            <v>9转面甲</v>
          </cell>
          <cell r="B10230">
            <v>204042</v>
          </cell>
        </row>
        <row r="10231">
          <cell r="A10231" t="str">
            <v>9转披风</v>
          </cell>
          <cell r="B10231">
            <v>204043</v>
          </cell>
        </row>
        <row r="10232">
          <cell r="A10232" t="str">
            <v>9转盾牌</v>
          </cell>
          <cell r="B10232">
            <v>204044</v>
          </cell>
        </row>
        <row r="10233">
          <cell r="A10233" t="str">
            <v>1阶神羽宝箱</v>
          </cell>
          <cell r="B10233">
            <v>204051</v>
          </cell>
        </row>
        <row r="10234">
          <cell r="A10234" t="str">
            <v>狂欢福袋</v>
          </cell>
          <cell r="B10234">
            <v>204052</v>
          </cell>
        </row>
        <row r="10235">
          <cell r="A10235" t="str">
            <v>狂欢宝袋</v>
          </cell>
          <cell r="B10235">
            <v>204053</v>
          </cell>
        </row>
        <row r="10236">
          <cell r="A10236" t="str">
            <v>七日狂欢1</v>
          </cell>
          <cell r="B10236">
            <v>204054</v>
          </cell>
        </row>
        <row r="10237">
          <cell r="A10237" t="str">
            <v>七日狂欢2</v>
          </cell>
          <cell r="B10237">
            <v>204055</v>
          </cell>
        </row>
        <row r="10238">
          <cell r="A10238" t="str">
            <v>七日狂欢3</v>
          </cell>
          <cell r="B10238">
            <v>204056</v>
          </cell>
        </row>
        <row r="10239">
          <cell r="A10239" t="str">
            <v>七日狂欢4</v>
          </cell>
          <cell r="B10239">
            <v>204057</v>
          </cell>
        </row>
        <row r="10240">
          <cell r="A10240" t="str">
            <v>七日狂欢5</v>
          </cell>
          <cell r="B10240">
            <v>204058</v>
          </cell>
        </row>
        <row r="10241">
          <cell r="A10241" t="str">
            <v>七日狂欢6</v>
          </cell>
          <cell r="B10241">
            <v>204059</v>
          </cell>
        </row>
        <row r="10242">
          <cell r="A10242" t="str">
            <v>七日狂欢7</v>
          </cell>
          <cell r="B10242">
            <v>204060</v>
          </cell>
        </row>
        <row r="10243">
          <cell r="A10243" t="str">
            <v>七日狂欢8</v>
          </cell>
          <cell r="B10243">
            <v>204061</v>
          </cell>
        </row>
        <row r="10244">
          <cell r="A10244" t="str">
            <v>七日狂欢9</v>
          </cell>
          <cell r="B10244">
            <v>204062</v>
          </cell>
        </row>
        <row r="10245">
          <cell r="A10245" t="str">
            <v>七日狂欢10</v>
          </cell>
          <cell r="B10245">
            <v>204063</v>
          </cell>
        </row>
        <row r="10246">
          <cell r="A10246" t="str">
            <v>高级转生轮回礼包</v>
          </cell>
          <cell r="B10246">
            <v>204064</v>
          </cell>
        </row>
        <row r="10247">
          <cell r="A10247" t="str">
            <v>超级转生轮回礼包</v>
          </cell>
          <cell r="B10247">
            <v>204065</v>
          </cell>
        </row>
        <row r="10248">
          <cell r="A10248" t="str">
            <v>心法提升道具</v>
          </cell>
          <cell r="B10248">
            <v>311000</v>
          </cell>
        </row>
        <row r="10249">
          <cell r="A10249" t="str">
            <v>心法展示奖励1</v>
          </cell>
          <cell r="B10249">
            <v>311001</v>
          </cell>
        </row>
        <row r="10250">
          <cell r="A10250" t="str">
            <v>心法展示奖励2</v>
          </cell>
          <cell r="B10250">
            <v>311002</v>
          </cell>
        </row>
        <row r="10251">
          <cell r="A10251" t="str">
            <v>心法展示奖励3</v>
          </cell>
          <cell r="B10251">
            <v>311003</v>
          </cell>
        </row>
        <row r="10252">
          <cell r="A10252" t="str">
            <v>心法展示奖励4</v>
          </cell>
          <cell r="B10252">
            <v>311004</v>
          </cell>
        </row>
        <row r="10253">
          <cell r="A10253" t="str">
            <v>心法1部位1绿色0星</v>
          </cell>
          <cell r="B10253">
            <v>311100</v>
          </cell>
        </row>
        <row r="10254">
          <cell r="A10254" t="str">
            <v>心法1部位1绿色1星</v>
          </cell>
          <cell r="B10254">
            <v>311101</v>
          </cell>
        </row>
        <row r="10255">
          <cell r="A10255" t="str">
            <v>心法1部位1绿色2星</v>
          </cell>
          <cell r="B10255">
            <v>311102</v>
          </cell>
        </row>
        <row r="10256">
          <cell r="A10256" t="str">
            <v>心法1部位1绿色3星</v>
          </cell>
          <cell r="B10256">
            <v>311103</v>
          </cell>
        </row>
        <row r="10257">
          <cell r="A10257" t="str">
            <v>心法1部位1紫色0星</v>
          </cell>
          <cell r="B10257">
            <v>311200</v>
          </cell>
        </row>
        <row r="10258">
          <cell r="A10258" t="str">
            <v>心法1部位1紫色1星</v>
          </cell>
          <cell r="B10258">
            <v>311201</v>
          </cell>
        </row>
        <row r="10259">
          <cell r="A10259" t="str">
            <v>心法1部位1紫色2星</v>
          </cell>
          <cell r="B10259">
            <v>311202</v>
          </cell>
        </row>
        <row r="10260">
          <cell r="A10260" t="str">
            <v>心法1部位1紫色3星</v>
          </cell>
          <cell r="B10260">
            <v>311203</v>
          </cell>
        </row>
        <row r="10261">
          <cell r="A10261" t="str">
            <v>心法1部位1紫色4星</v>
          </cell>
          <cell r="B10261">
            <v>311204</v>
          </cell>
        </row>
        <row r="10262">
          <cell r="A10262" t="str">
            <v>心法1部位1紫色5星</v>
          </cell>
          <cell r="B10262">
            <v>311205</v>
          </cell>
        </row>
        <row r="10263">
          <cell r="A10263" t="str">
            <v>心法1部位1橙色0星</v>
          </cell>
          <cell r="B10263">
            <v>311300</v>
          </cell>
        </row>
        <row r="10264">
          <cell r="A10264" t="str">
            <v>心法1部位1橙色1星</v>
          </cell>
          <cell r="B10264">
            <v>311301</v>
          </cell>
        </row>
        <row r="10265">
          <cell r="A10265" t="str">
            <v>心法1部位1橙色2星</v>
          </cell>
          <cell r="B10265">
            <v>311302</v>
          </cell>
        </row>
        <row r="10266">
          <cell r="A10266" t="str">
            <v>心法1部位1橙色3星</v>
          </cell>
          <cell r="B10266">
            <v>311303</v>
          </cell>
        </row>
        <row r="10267">
          <cell r="A10267" t="str">
            <v>心法1部位1橙色4星</v>
          </cell>
          <cell r="B10267">
            <v>311304</v>
          </cell>
        </row>
        <row r="10268">
          <cell r="A10268" t="str">
            <v>心法1部位1橙色5星</v>
          </cell>
          <cell r="B10268">
            <v>311305</v>
          </cell>
        </row>
        <row r="10269">
          <cell r="A10269" t="str">
            <v>心法1部位1红色0星</v>
          </cell>
          <cell r="B10269">
            <v>311400</v>
          </cell>
        </row>
        <row r="10270">
          <cell r="A10270" t="str">
            <v>心法1部位1红色1星</v>
          </cell>
          <cell r="B10270">
            <v>311401</v>
          </cell>
        </row>
        <row r="10271">
          <cell r="A10271" t="str">
            <v>心法1部位1红色2星</v>
          </cell>
          <cell r="B10271">
            <v>311402</v>
          </cell>
        </row>
        <row r="10272">
          <cell r="A10272" t="str">
            <v>心法1部位1红色3星</v>
          </cell>
          <cell r="B10272">
            <v>311403</v>
          </cell>
        </row>
        <row r="10273">
          <cell r="A10273" t="str">
            <v>心法1部位1红色4星</v>
          </cell>
          <cell r="B10273">
            <v>311404</v>
          </cell>
        </row>
        <row r="10274">
          <cell r="A10274" t="str">
            <v>心法1部位1红色5星</v>
          </cell>
          <cell r="B10274">
            <v>311405</v>
          </cell>
        </row>
        <row r="10275">
          <cell r="A10275" t="str">
            <v>心法1部位2绿色0星</v>
          </cell>
          <cell r="B10275">
            <v>312100</v>
          </cell>
        </row>
        <row r="10276">
          <cell r="A10276" t="str">
            <v>心法1部位2绿色1星</v>
          </cell>
          <cell r="B10276">
            <v>312101</v>
          </cell>
        </row>
        <row r="10277">
          <cell r="A10277" t="str">
            <v>心法1部位2绿色2星</v>
          </cell>
          <cell r="B10277">
            <v>312102</v>
          </cell>
        </row>
        <row r="10278">
          <cell r="A10278" t="str">
            <v>心法1部位2绿色3星</v>
          </cell>
          <cell r="B10278">
            <v>312103</v>
          </cell>
        </row>
        <row r="10279">
          <cell r="A10279" t="str">
            <v>心法1部位2紫色0星</v>
          </cell>
          <cell r="B10279">
            <v>312200</v>
          </cell>
        </row>
        <row r="10280">
          <cell r="A10280" t="str">
            <v>心法1部位2紫色1星</v>
          </cell>
          <cell r="B10280">
            <v>312201</v>
          </cell>
        </row>
        <row r="10281">
          <cell r="A10281" t="str">
            <v>心法1部位2紫色2星</v>
          </cell>
          <cell r="B10281">
            <v>312202</v>
          </cell>
        </row>
        <row r="10282">
          <cell r="A10282" t="str">
            <v>心法1部位2紫色3星</v>
          </cell>
          <cell r="B10282">
            <v>312203</v>
          </cell>
        </row>
        <row r="10283">
          <cell r="A10283" t="str">
            <v>心法1部位2紫色4星</v>
          </cell>
          <cell r="B10283">
            <v>312204</v>
          </cell>
        </row>
        <row r="10284">
          <cell r="A10284" t="str">
            <v>心法1部位2紫色5星</v>
          </cell>
          <cell r="B10284">
            <v>312205</v>
          </cell>
        </row>
        <row r="10285">
          <cell r="A10285" t="str">
            <v>心法1部位2橙色0星</v>
          </cell>
          <cell r="B10285">
            <v>312300</v>
          </cell>
        </row>
        <row r="10286">
          <cell r="A10286" t="str">
            <v>心法1部位2橙色1星</v>
          </cell>
          <cell r="B10286">
            <v>312301</v>
          </cell>
        </row>
        <row r="10287">
          <cell r="A10287" t="str">
            <v>心法1部位2橙色2星</v>
          </cell>
          <cell r="B10287">
            <v>312302</v>
          </cell>
        </row>
        <row r="10288">
          <cell r="A10288" t="str">
            <v>心法1部位2橙色3星</v>
          </cell>
          <cell r="B10288">
            <v>312303</v>
          </cell>
        </row>
        <row r="10289">
          <cell r="A10289" t="str">
            <v>心法1部位2橙色4星</v>
          </cell>
          <cell r="B10289">
            <v>312304</v>
          </cell>
        </row>
        <row r="10290">
          <cell r="A10290" t="str">
            <v>心法1部位2橙色5星</v>
          </cell>
          <cell r="B10290">
            <v>312305</v>
          </cell>
        </row>
        <row r="10291">
          <cell r="A10291" t="str">
            <v>心法1部位2红色0星</v>
          </cell>
          <cell r="B10291">
            <v>312400</v>
          </cell>
        </row>
        <row r="10292">
          <cell r="A10292" t="str">
            <v>心法1部位2红色1星</v>
          </cell>
          <cell r="B10292">
            <v>312401</v>
          </cell>
        </row>
        <row r="10293">
          <cell r="A10293" t="str">
            <v>心法1部位2红色2星</v>
          </cell>
          <cell r="B10293">
            <v>312402</v>
          </cell>
        </row>
        <row r="10294">
          <cell r="A10294" t="str">
            <v>心法1部位2红色3星</v>
          </cell>
          <cell r="B10294">
            <v>312403</v>
          </cell>
        </row>
        <row r="10295">
          <cell r="A10295" t="str">
            <v>心法1部位2红色4星</v>
          </cell>
          <cell r="B10295">
            <v>312404</v>
          </cell>
        </row>
        <row r="10296">
          <cell r="A10296" t="str">
            <v>心法1部位2红色5星</v>
          </cell>
          <cell r="B10296">
            <v>312405</v>
          </cell>
        </row>
        <row r="10297">
          <cell r="A10297" t="str">
            <v>心法1部位3绿色0星</v>
          </cell>
          <cell r="B10297">
            <v>313100</v>
          </cell>
        </row>
        <row r="10298">
          <cell r="A10298" t="str">
            <v>心法1部位3绿色1星</v>
          </cell>
          <cell r="B10298">
            <v>313101</v>
          </cell>
        </row>
        <row r="10299">
          <cell r="A10299" t="str">
            <v>心法1部位3绿色2星</v>
          </cell>
          <cell r="B10299">
            <v>313102</v>
          </cell>
        </row>
        <row r="10300">
          <cell r="A10300" t="str">
            <v>心法1部位3绿色3星</v>
          </cell>
          <cell r="B10300">
            <v>313103</v>
          </cell>
        </row>
        <row r="10301">
          <cell r="A10301" t="str">
            <v>心法1部位3紫色0星</v>
          </cell>
          <cell r="B10301">
            <v>313200</v>
          </cell>
        </row>
        <row r="10302">
          <cell r="A10302" t="str">
            <v>心法1部位3紫色1星</v>
          </cell>
          <cell r="B10302">
            <v>313201</v>
          </cell>
        </row>
        <row r="10303">
          <cell r="A10303" t="str">
            <v>心法1部位3紫色2星</v>
          </cell>
          <cell r="B10303">
            <v>313202</v>
          </cell>
        </row>
        <row r="10304">
          <cell r="A10304" t="str">
            <v>心法1部位3紫色3星</v>
          </cell>
          <cell r="B10304">
            <v>313203</v>
          </cell>
        </row>
        <row r="10305">
          <cell r="A10305" t="str">
            <v>心法1部位3紫色4星</v>
          </cell>
          <cell r="B10305">
            <v>313204</v>
          </cell>
        </row>
        <row r="10306">
          <cell r="A10306" t="str">
            <v>心法1部位3紫色5星</v>
          </cell>
          <cell r="B10306">
            <v>313205</v>
          </cell>
        </row>
        <row r="10307">
          <cell r="A10307" t="str">
            <v>心法1部位3橙色0星</v>
          </cell>
          <cell r="B10307">
            <v>313300</v>
          </cell>
        </row>
        <row r="10308">
          <cell r="A10308" t="str">
            <v>心法1部位3橙色1星</v>
          </cell>
          <cell r="B10308">
            <v>313301</v>
          </cell>
        </row>
        <row r="10309">
          <cell r="A10309" t="str">
            <v>心法1部位3橙色2星</v>
          </cell>
          <cell r="B10309">
            <v>313302</v>
          </cell>
        </row>
        <row r="10310">
          <cell r="A10310" t="str">
            <v>心法1部位3橙色3星</v>
          </cell>
          <cell r="B10310">
            <v>313303</v>
          </cell>
        </row>
        <row r="10311">
          <cell r="A10311" t="str">
            <v>心法1部位3橙色4星</v>
          </cell>
          <cell r="B10311">
            <v>313304</v>
          </cell>
        </row>
        <row r="10312">
          <cell r="A10312" t="str">
            <v>心法1部位3橙色5星</v>
          </cell>
          <cell r="B10312">
            <v>313305</v>
          </cell>
        </row>
        <row r="10313">
          <cell r="A10313" t="str">
            <v>心法1部位3红色0星</v>
          </cell>
          <cell r="B10313">
            <v>313400</v>
          </cell>
        </row>
        <row r="10314">
          <cell r="A10314" t="str">
            <v>心法1部位3红色1星</v>
          </cell>
          <cell r="B10314">
            <v>313401</v>
          </cell>
        </row>
        <row r="10315">
          <cell r="A10315" t="str">
            <v>心法1部位3红色2星</v>
          </cell>
          <cell r="B10315">
            <v>313402</v>
          </cell>
        </row>
        <row r="10316">
          <cell r="A10316" t="str">
            <v>心法1部位3红色3星</v>
          </cell>
          <cell r="B10316">
            <v>313403</v>
          </cell>
        </row>
        <row r="10317">
          <cell r="A10317" t="str">
            <v>心法1部位3红色4星</v>
          </cell>
          <cell r="B10317">
            <v>313404</v>
          </cell>
        </row>
        <row r="10318">
          <cell r="A10318" t="str">
            <v>心法1部位3红色5星</v>
          </cell>
          <cell r="B10318">
            <v>313405</v>
          </cell>
        </row>
        <row r="10319">
          <cell r="A10319" t="str">
            <v>心法1部位4绿色0星</v>
          </cell>
          <cell r="B10319">
            <v>314100</v>
          </cell>
        </row>
        <row r="10320">
          <cell r="A10320" t="str">
            <v>心法1部位4绿色1星</v>
          </cell>
          <cell r="B10320">
            <v>314101</v>
          </cell>
        </row>
        <row r="10321">
          <cell r="A10321" t="str">
            <v>心法1部位4绿色2星</v>
          </cell>
          <cell r="B10321">
            <v>314102</v>
          </cell>
        </row>
        <row r="10322">
          <cell r="A10322" t="str">
            <v>心法1部位4绿色3星</v>
          </cell>
          <cell r="B10322">
            <v>314103</v>
          </cell>
        </row>
        <row r="10323">
          <cell r="A10323" t="str">
            <v>心法1部位4紫色0星</v>
          </cell>
          <cell r="B10323">
            <v>314200</v>
          </cell>
        </row>
        <row r="10324">
          <cell r="A10324" t="str">
            <v>心法1部位4紫色1星</v>
          </cell>
          <cell r="B10324">
            <v>314201</v>
          </cell>
        </row>
        <row r="10325">
          <cell r="A10325" t="str">
            <v>心法1部位4紫色2星</v>
          </cell>
          <cell r="B10325">
            <v>314202</v>
          </cell>
        </row>
        <row r="10326">
          <cell r="A10326" t="str">
            <v>心法1部位4紫色3星</v>
          </cell>
          <cell r="B10326">
            <v>314203</v>
          </cell>
        </row>
        <row r="10327">
          <cell r="A10327" t="str">
            <v>心法1部位4紫色4星</v>
          </cell>
          <cell r="B10327">
            <v>314204</v>
          </cell>
        </row>
        <row r="10328">
          <cell r="A10328" t="str">
            <v>心法1部位4紫色5星</v>
          </cell>
          <cell r="B10328">
            <v>314205</v>
          </cell>
        </row>
        <row r="10329">
          <cell r="A10329" t="str">
            <v>心法1部位4橙色0星</v>
          </cell>
          <cell r="B10329">
            <v>314300</v>
          </cell>
        </row>
        <row r="10330">
          <cell r="A10330" t="str">
            <v>心法1部位4橙色1星</v>
          </cell>
          <cell r="B10330">
            <v>314301</v>
          </cell>
        </row>
        <row r="10331">
          <cell r="A10331" t="str">
            <v>心法1部位4橙色2星</v>
          </cell>
          <cell r="B10331">
            <v>314302</v>
          </cell>
        </row>
        <row r="10332">
          <cell r="A10332" t="str">
            <v>心法1部位4橙色3星</v>
          </cell>
          <cell r="B10332">
            <v>314303</v>
          </cell>
        </row>
        <row r="10333">
          <cell r="A10333" t="str">
            <v>心法1部位4橙色4星</v>
          </cell>
          <cell r="B10333">
            <v>314304</v>
          </cell>
        </row>
        <row r="10334">
          <cell r="A10334" t="str">
            <v>心法1部位4橙色5星</v>
          </cell>
          <cell r="B10334">
            <v>314305</v>
          </cell>
        </row>
        <row r="10335">
          <cell r="A10335" t="str">
            <v>心法1部位4红色0星</v>
          </cell>
          <cell r="B10335">
            <v>314400</v>
          </cell>
        </row>
        <row r="10336">
          <cell r="A10336" t="str">
            <v>心法1部位4红色1星</v>
          </cell>
          <cell r="B10336">
            <v>314401</v>
          </cell>
        </row>
        <row r="10337">
          <cell r="A10337" t="str">
            <v>心法1部位4红色2星</v>
          </cell>
          <cell r="B10337">
            <v>314402</v>
          </cell>
        </row>
        <row r="10338">
          <cell r="A10338" t="str">
            <v>心法1部位4红色3星</v>
          </cell>
          <cell r="B10338">
            <v>314403</v>
          </cell>
        </row>
        <row r="10339">
          <cell r="A10339" t="str">
            <v>心法1部位4红色4星</v>
          </cell>
          <cell r="B10339">
            <v>314404</v>
          </cell>
        </row>
        <row r="10340">
          <cell r="A10340" t="str">
            <v>心法1部位4红色5星</v>
          </cell>
          <cell r="B10340">
            <v>314405</v>
          </cell>
        </row>
        <row r="10341">
          <cell r="A10341" t="str">
            <v>心法1部位5绿色0星</v>
          </cell>
          <cell r="B10341">
            <v>315100</v>
          </cell>
        </row>
        <row r="10342">
          <cell r="A10342" t="str">
            <v>心法1部位5绿色1星</v>
          </cell>
          <cell r="B10342">
            <v>315101</v>
          </cell>
        </row>
        <row r="10343">
          <cell r="A10343" t="str">
            <v>心法1部位5绿色2星</v>
          </cell>
          <cell r="B10343">
            <v>315102</v>
          </cell>
        </row>
        <row r="10344">
          <cell r="A10344" t="str">
            <v>心法1部位5绿色3星</v>
          </cell>
          <cell r="B10344">
            <v>315103</v>
          </cell>
        </row>
        <row r="10345">
          <cell r="A10345" t="str">
            <v>心法1部位5紫色0星</v>
          </cell>
          <cell r="B10345">
            <v>315200</v>
          </cell>
        </row>
        <row r="10346">
          <cell r="A10346" t="str">
            <v>心法1部位5紫色1星</v>
          </cell>
          <cell r="B10346">
            <v>315201</v>
          </cell>
        </row>
        <row r="10347">
          <cell r="A10347" t="str">
            <v>心法1部位5紫色2星</v>
          </cell>
          <cell r="B10347">
            <v>315202</v>
          </cell>
        </row>
        <row r="10348">
          <cell r="A10348" t="str">
            <v>心法1部位5紫色3星</v>
          </cell>
          <cell r="B10348">
            <v>315203</v>
          </cell>
        </row>
        <row r="10349">
          <cell r="A10349" t="str">
            <v>心法1部位5紫色4星</v>
          </cell>
          <cell r="B10349">
            <v>315204</v>
          </cell>
        </row>
        <row r="10350">
          <cell r="A10350" t="str">
            <v>心法1部位5紫色5星</v>
          </cell>
          <cell r="B10350">
            <v>315205</v>
          </cell>
        </row>
        <row r="10351">
          <cell r="A10351" t="str">
            <v>心法1部位5橙色0星</v>
          </cell>
          <cell r="B10351">
            <v>315300</v>
          </cell>
        </row>
        <row r="10352">
          <cell r="A10352" t="str">
            <v>心法1部位5橙色1星</v>
          </cell>
          <cell r="B10352">
            <v>315301</v>
          </cell>
        </row>
        <row r="10353">
          <cell r="A10353" t="str">
            <v>心法1部位5橙色2星</v>
          </cell>
          <cell r="B10353">
            <v>315302</v>
          </cell>
        </row>
        <row r="10354">
          <cell r="A10354" t="str">
            <v>心法1部位5橙色3星</v>
          </cell>
          <cell r="B10354">
            <v>315303</v>
          </cell>
        </row>
        <row r="10355">
          <cell r="A10355" t="str">
            <v>心法1部位5橙色4星</v>
          </cell>
          <cell r="B10355">
            <v>315304</v>
          </cell>
        </row>
        <row r="10356">
          <cell r="A10356" t="str">
            <v>心法1部位5橙色5星</v>
          </cell>
          <cell r="B10356">
            <v>315305</v>
          </cell>
        </row>
        <row r="10357">
          <cell r="A10357" t="str">
            <v>心法1部位5红色0星</v>
          </cell>
          <cell r="B10357">
            <v>315400</v>
          </cell>
        </row>
        <row r="10358">
          <cell r="A10358" t="str">
            <v>心法1部位5红色1星</v>
          </cell>
          <cell r="B10358">
            <v>315401</v>
          </cell>
        </row>
        <row r="10359">
          <cell r="A10359" t="str">
            <v>心法1部位5红色2星</v>
          </cell>
          <cell r="B10359">
            <v>315402</v>
          </cell>
        </row>
        <row r="10360">
          <cell r="A10360" t="str">
            <v>心法1部位5红色3星</v>
          </cell>
          <cell r="B10360">
            <v>315403</v>
          </cell>
        </row>
        <row r="10361">
          <cell r="A10361" t="str">
            <v>心法1部位5红色4星</v>
          </cell>
          <cell r="B10361">
            <v>315404</v>
          </cell>
        </row>
        <row r="10362">
          <cell r="A10362" t="str">
            <v>心法1部位5红色5星</v>
          </cell>
          <cell r="B10362">
            <v>315405</v>
          </cell>
        </row>
        <row r="10363">
          <cell r="A10363" t="str">
            <v>玉佩升级道具1</v>
          </cell>
          <cell r="B10363">
            <v>204066</v>
          </cell>
        </row>
        <row r="10364">
          <cell r="A10364" t="str">
            <v>玉佩升级道具2</v>
          </cell>
          <cell r="B10364">
            <v>204067</v>
          </cell>
        </row>
        <row r="10365">
          <cell r="A10365" t="str">
            <v>玉佩升级道具3</v>
          </cell>
          <cell r="B10365">
            <v>204068</v>
          </cell>
        </row>
        <row r="10366">
          <cell r="A10366" t="str">
            <v>玉佩温养道具1</v>
          </cell>
          <cell r="B10366">
            <v>204069</v>
          </cell>
        </row>
        <row r="10367">
          <cell r="A10367" t="str">
            <v>玉佩温养道具2</v>
          </cell>
          <cell r="B10367">
            <v>204070</v>
          </cell>
        </row>
        <row r="10368">
          <cell r="A10368" t="str">
            <v>玉佩温养道具3</v>
          </cell>
          <cell r="B10368">
            <v>204071</v>
          </cell>
        </row>
        <row r="10369">
          <cell r="A10369" t="str">
            <v>传奇助飞礼包</v>
          </cell>
          <cell r="B10369">
            <v>204072</v>
          </cell>
        </row>
        <row r="10370">
          <cell r="A10370" t="str">
            <v>VIP认证礼包</v>
          </cell>
          <cell r="B10370">
            <v>204073</v>
          </cell>
        </row>
        <row r="10371">
          <cell r="A10371" t="str">
            <v>每日超值礼包</v>
          </cell>
          <cell r="B10371">
            <v>204074</v>
          </cell>
        </row>
        <row r="10372">
          <cell r="A10372" t="str">
            <v>轮回装备礼包</v>
          </cell>
          <cell r="B10372">
            <v>204075</v>
          </cell>
        </row>
        <row r="10373">
          <cell r="A10373" t="str">
            <v>烈焰印记低级升级材料</v>
          </cell>
          <cell r="B10373">
            <v>200208</v>
          </cell>
        </row>
        <row r="10374">
          <cell r="A10374" t="str">
            <v>烈焰印记中级升级材料</v>
          </cell>
          <cell r="B10374">
            <v>200209</v>
          </cell>
        </row>
        <row r="10375">
          <cell r="A10375" t="str">
            <v>烈焰印记高级升级材料</v>
          </cell>
          <cell r="B10375">
            <v>200210</v>
          </cell>
        </row>
        <row r="10376">
          <cell r="A10376" t="str">
            <v>烈焰印记加持技能书</v>
          </cell>
          <cell r="B10376">
            <v>200211</v>
          </cell>
        </row>
        <row r="10377">
          <cell r="A10377" t="str">
            <v>烈焰印记迅疾技能书</v>
          </cell>
          <cell r="B10377">
            <v>200212</v>
          </cell>
        </row>
        <row r="10378">
          <cell r="A10378" t="str">
            <v>烈焰印记爆裂技能书</v>
          </cell>
          <cell r="B10378">
            <v>200213</v>
          </cell>
        </row>
        <row r="10379">
          <cell r="A10379" t="str">
            <v>心法②部位1绿色0星</v>
          </cell>
          <cell r="B10379">
            <v>321100</v>
          </cell>
        </row>
        <row r="10380">
          <cell r="A10380" t="str">
            <v>心法②部位1绿色1星</v>
          </cell>
          <cell r="B10380">
            <v>321101</v>
          </cell>
        </row>
        <row r="10381">
          <cell r="A10381" t="str">
            <v>心法②部位1绿色2星</v>
          </cell>
          <cell r="B10381">
            <v>321102</v>
          </cell>
        </row>
        <row r="10382">
          <cell r="A10382" t="str">
            <v>心法②部位1绿色3星</v>
          </cell>
          <cell r="B10382">
            <v>321103</v>
          </cell>
        </row>
        <row r="10383">
          <cell r="A10383" t="str">
            <v>心法②部位1紫色0星</v>
          </cell>
          <cell r="B10383">
            <v>321200</v>
          </cell>
        </row>
        <row r="10384">
          <cell r="A10384" t="str">
            <v>心法②部位1紫色1星</v>
          </cell>
          <cell r="B10384">
            <v>321201</v>
          </cell>
        </row>
        <row r="10385">
          <cell r="A10385" t="str">
            <v>心法②部位1紫色2星</v>
          </cell>
          <cell r="B10385">
            <v>321202</v>
          </cell>
        </row>
        <row r="10386">
          <cell r="A10386" t="str">
            <v>心法②部位1紫色3星</v>
          </cell>
          <cell r="B10386">
            <v>321203</v>
          </cell>
        </row>
        <row r="10387">
          <cell r="A10387" t="str">
            <v>心法②部位1紫色4星</v>
          </cell>
          <cell r="B10387">
            <v>321204</v>
          </cell>
        </row>
        <row r="10388">
          <cell r="A10388" t="str">
            <v>心法②部位1紫色5星</v>
          </cell>
          <cell r="B10388">
            <v>321205</v>
          </cell>
        </row>
        <row r="10389">
          <cell r="A10389" t="str">
            <v>心法②部位1橙色0星</v>
          </cell>
          <cell r="B10389">
            <v>321300</v>
          </cell>
        </row>
        <row r="10390">
          <cell r="A10390" t="str">
            <v>心法②部位1橙色1星</v>
          </cell>
          <cell r="B10390">
            <v>321301</v>
          </cell>
        </row>
        <row r="10391">
          <cell r="A10391" t="str">
            <v>心法②部位1橙色2星</v>
          </cell>
          <cell r="B10391">
            <v>321302</v>
          </cell>
        </row>
        <row r="10392">
          <cell r="A10392" t="str">
            <v>心法②部位1橙色3星</v>
          </cell>
          <cell r="B10392">
            <v>321303</v>
          </cell>
        </row>
        <row r="10393">
          <cell r="A10393" t="str">
            <v>心法②部位1橙色4星</v>
          </cell>
          <cell r="B10393">
            <v>321304</v>
          </cell>
        </row>
        <row r="10394">
          <cell r="A10394" t="str">
            <v>心法②部位1橙色5星</v>
          </cell>
          <cell r="B10394">
            <v>321305</v>
          </cell>
        </row>
        <row r="10395">
          <cell r="A10395" t="str">
            <v>心法②部位1红色0星</v>
          </cell>
          <cell r="B10395">
            <v>321400</v>
          </cell>
        </row>
        <row r="10396">
          <cell r="A10396" t="str">
            <v>心法②部位1红色1星</v>
          </cell>
          <cell r="B10396">
            <v>321401</v>
          </cell>
        </row>
        <row r="10397">
          <cell r="A10397" t="str">
            <v>心法②部位1红色2星</v>
          </cell>
          <cell r="B10397">
            <v>321402</v>
          </cell>
        </row>
        <row r="10398">
          <cell r="A10398" t="str">
            <v>心法②部位1红色3星</v>
          </cell>
          <cell r="B10398">
            <v>321403</v>
          </cell>
        </row>
        <row r="10399">
          <cell r="A10399" t="str">
            <v>心法②部位1红色4星</v>
          </cell>
          <cell r="B10399">
            <v>321404</v>
          </cell>
        </row>
        <row r="10400">
          <cell r="A10400" t="str">
            <v>心法②部位1红色5星</v>
          </cell>
          <cell r="B10400">
            <v>321405</v>
          </cell>
        </row>
        <row r="10401">
          <cell r="A10401" t="str">
            <v>心法②部位2绿色0星</v>
          </cell>
          <cell r="B10401">
            <v>322100</v>
          </cell>
        </row>
        <row r="10402">
          <cell r="A10402" t="str">
            <v>心法②部位2绿色1星</v>
          </cell>
          <cell r="B10402">
            <v>322101</v>
          </cell>
        </row>
        <row r="10403">
          <cell r="A10403" t="str">
            <v>心法②部位2绿色2星</v>
          </cell>
          <cell r="B10403">
            <v>322102</v>
          </cell>
        </row>
        <row r="10404">
          <cell r="A10404" t="str">
            <v>心法②部位2绿色3星</v>
          </cell>
          <cell r="B10404">
            <v>322103</v>
          </cell>
        </row>
        <row r="10405">
          <cell r="A10405" t="str">
            <v>心法②部位2紫色0星</v>
          </cell>
          <cell r="B10405">
            <v>322200</v>
          </cell>
        </row>
        <row r="10406">
          <cell r="A10406" t="str">
            <v>心法②部位2紫色1星</v>
          </cell>
          <cell r="B10406">
            <v>322201</v>
          </cell>
        </row>
        <row r="10407">
          <cell r="A10407" t="str">
            <v>心法②部位2紫色2星</v>
          </cell>
          <cell r="B10407">
            <v>322202</v>
          </cell>
        </row>
        <row r="10408">
          <cell r="A10408" t="str">
            <v>心法②部位2紫色3星</v>
          </cell>
          <cell r="B10408">
            <v>322203</v>
          </cell>
        </row>
        <row r="10409">
          <cell r="A10409" t="str">
            <v>心法②部位2紫色4星</v>
          </cell>
          <cell r="B10409">
            <v>322204</v>
          </cell>
        </row>
        <row r="10410">
          <cell r="A10410" t="str">
            <v>心法②部位2紫色5星</v>
          </cell>
          <cell r="B10410">
            <v>322205</v>
          </cell>
        </row>
        <row r="10411">
          <cell r="A10411" t="str">
            <v>心法②部位2橙色0星</v>
          </cell>
          <cell r="B10411">
            <v>322300</v>
          </cell>
        </row>
        <row r="10412">
          <cell r="A10412" t="str">
            <v>心法②部位2橙色1星</v>
          </cell>
          <cell r="B10412">
            <v>322301</v>
          </cell>
        </row>
        <row r="10413">
          <cell r="A10413" t="str">
            <v>心法②部位2橙色2星</v>
          </cell>
          <cell r="B10413">
            <v>322302</v>
          </cell>
        </row>
        <row r="10414">
          <cell r="A10414" t="str">
            <v>心法②部位2橙色3星</v>
          </cell>
          <cell r="B10414">
            <v>322303</v>
          </cell>
        </row>
        <row r="10415">
          <cell r="A10415" t="str">
            <v>心法②部位2橙色4星</v>
          </cell>
          <cell r="B10415">
            <v>322304</v>
          </cell>
        </row>
        <row r="10416">
          <cell r="A10416" t="str">
            <v>心法②部位2橙色5星</v>
          </cell>
          <cell r="B10416">
            <v>322305</v>
          </cell>
        </row>
        <row r="10417">
          <cell r="A10417" t="str">
            <v>心法②部位2红色0星</v>
          </cell>
          <cell r="B10417">
            <v>322400</v>
          </cell>
        </row>
        <row r="10418">
          <cell r="A10418" t="str">
            <v>心法②部位2红色1星</v>
          </cell>
          <cell r="B10418">
            <v>322401</v>
          </cell>
        </row>
        <row r="10419">
          <cell r="A10419" t="str">
            <v>心法②部位2红色2星</v>
          </cell>
          <cell r="B10419">
            <v>322402</v>
          </cell>
        </row>
        <row r="10420">
          <cell r="A10420" t="str">
            <v>心法②部位2红色3星</v>
          </cell>
          <cell r="B10420">
            <v>322403</v>
          </cell>
        </row>
        <row r="10421">
          <cell r="A10421" t="str">
            <v>心法②部位2红色4星</v>
          </cell>
          <cell r="B10421">
            <v>322404</v>
          </cell>
        </row>
        <row r="10422">
          <cell r="A10422" t="str">
            <v>心法②部位2红色5星</v>
          </cell>
          <cell r="B10422">
            <v>322405</v>
          </cell>
        </row>
        <row r="10423">
          <cell r="A10423" t="str">
            <v>心法②部位3绿色0星</v>
          </cell>
          <cell r="B10423">
            <v>323100</v>
          </cell>
        </row>
        <row r="10424">
          <cell r="A10424" t="str">
            <v>心法②部位3绿色1星</v>
          </cell>
          <cell r="B10424">
            <v>323101</v>
          </cell>
        </row>
        <row r="10425">
          <cell r="A10425" t="str">
            <v>心法②部位3绿色2星</v>
          </cell>
          <cell r="B10425">
            <v>323102</v>
          </cell>
        </row>
        <row r="10426">
          <cell r="A10426" t="str">
            <v>心法②部位3绿色3星</v>
          </cell>
          <cell r="B10426">
            <v>323103</v>
          </cell>
        </row>
        <row r="10427">
          <cell r="A10427" t="str">
            <v>心法②部位3紫色0星</v>
          </cell>
          <cell r="B10427">
            <v>323200</v>
          </cell>
        </row>
        <row r="10428">
          <cell r="A10428" t="str">
            <v>心法②部位3紫色1星</v>
          </cell>
          <cell r="B10428">
            <v>323201</v>
          </cell>
        </row>
        <row r="10429">
          <cell r="A10429" t="str">
            <v>心法②部位3紫色2星</v>
          </cell>
          <cell r="B10429">
            <v>323202</v>
          </cell>
        </row>
        <row r="10430">
          <cell r="A10430" t="str">
            <v>心法②部位3紫色3星</v>
          </cell>
          <cell r="B10430">
            <v>323203</v>
          </cell>
        </row>
        <row r="10431">
          <cell r="A10431" t="str">
            <v>心法②部位3紫色4星</v>
          </cell>
          <cell r="B10431">
            <v>323204</v>
          </cell>
        </row>
        <row r="10432">
          <cell r="A10432" t="str">
            <v>心法②部位3紫色5星</v>
          </cell>
          <cell r="B10432">
            <v>323205</v>
          </cell>
        </row>
        <row r="10433">
          <cell r="A10433" t="str">
            <v>心法②部位3橙色0星</v>
          </cell>
          <cell r="B10433">
            <v>323300</v>
          </cell>
        </row>
        <row r="10434">
          <cell r="A10434" t="str">
            <v>心法②部位3橙色1星</v>
          </cell>
          <cell r="B10434">
            <v>323301</v>
          </cell>
        </row>
        <row r="10435">
          <cell r="A10435" t="str">
            <v>心法②部位3橙色2星</v>
          </cell>
          <cell r="B10435">
            <v>323302</v>
          </cell>
        </row>
        <row r="10436">
          <cell r="A10436" t="str">
            <v>心法②部位3橙色3星</v>
          </cell>
          <cell r="B10436">
            <v>323303</v>
          </cell>
        </row>
        <row r="10437">
          <cell r="A10437" t="str">
            <v>心法②部位3橙色4星</v>
          </cell>
          <cell r="B10437">
            <v>323304</v>
          </cell>
        </row>
        <row r="10438">
          <cell r="A10438" t="str">
            <v>心法②部位3橙色5星</v>
          </cell>
          <cell r="B10438">
            <v>323305</v>
          </cell>
        </row>
        <row r="10439">
          <cell r="A10439" t="str">
            <v>心法②部位3红色0星</v>
          </cell>
          <cell r="B10439">
            <v>323400</v>
          </cell>
        </row>
        <row r="10440">
          <cell r="A10440" t="str">
            <v>心法②部位3红色1星</v>
          </cell>
          <cell r="B10440">
            <v>323401</v>
          </cell>
        </row>
        <row r="10441">
          <cell r="A10441" t="str">
            <v>心法②部位3红色2星</v>
          </cell>
          <cell r="B10441">
            <v>323402</v>
          </cell>
        </row>
        <row r="10442">
          <cell r="A10442" t="str">
            <v>心法②部位3红色3星</v>
          </cell>
          <cell r="B10442">
            <v>323403</v>
          </cell>
        </row>
        <row r="10443">
          <cell r="A10443" t="str">
            <v>心法②部位3红色4星</v>
          </cell>
          <cell r="B10443">
            <v>323404</v>
          </cell>
        </row>
        <row r="10444">
          <cell r="A10444" t="str">
            <v>心法②部位3红色5星</v>
          </cell>
          <cell r="B10444">
            <v>323405</v>
          </cell>
        </row>
        <row r="10445">
          <cell r="A10445" t="str">
            <v>心法②部位4绿色0星</v>
          </cell>
          <cell r="B10445">
            <v>324100</v>
          </cell>
        </row>
        <row r="10446">
          <cell r="A10446" t="str">
            <v>心法②部位4绿色1星</v>
          </cell>
          <cell r="B10446">
            <v>324101</v>
          </cell>
        </row>
        <row r="10447">
          <cell r="A10447" t="str">
            <v>心法②部位4绿色2星</v>
          </cell>
          <cell r="B10447">
            <v>324102</v>
          </cell>
        </row>
        <row r="10448">
          <cell r="A10448" t="str">
            <v>心法②部位4绿色3星</v>
          </cell>
          <cell r="B10448">
            <v>324103</v>
          </cell>
        </row>
        <row r="10449">
          <cell r="A10449" t="str">
            <v>心法②部位4紫色0星</v>
          </cell>
          <cell r="B10449">
            <v>324200</v>
          </cell>
        </row>
        <row r="10450">
          <cell r="A10450" t="str">
            <v>心法②部位4紫色1星</v>
          </cell>
          <cell r="B10450">
            <v>324201</v>
          </cell>
        </row>
        <row r="10451">
          <cell r="A10451" t="str">
            <v>心法②部位4紫色2星</v>
          </cell>
          <cell r="B10451">
            <v>324202</v>
          </cell>
        </row>
        <row r="10452">
          <cell r="A10452" t="str">
            <v>心法②部位4紫色3星</v>
          </cell>
          <cell r="B10452">
            <v>324203</v>
          </cell>
        </row>
        <row r="10453">
          <cell r="A10453" t="str">
            <v>心法②部位4紫色4星</v>
          </cell>
          <cell r="B10453">
            <v>324204</v>
          </cell>
        </row>
        <row r="10454">
          <cell r="A10454" t="str">
            <v>心法②部位4紫色5星</v>
          </cell>
          <cell r="B10454">
            <v>324205</v>
          </cell>
        </row>
        <row r="10455">
          <cell r="A10455" t="str">
            <v>心法②部位4橙色0星</v>
          </cell>
          <cell r="B10455">
            <v>324300</v>
          </cell>
        </row>
        <row r="10456">
          <cell r="A10456" t="str">
            <v>心法②部位4橙色1星</v>
          </cell>
          <cell r="B10456">
            <v>324301</v>
          </cell>
        </row>
        <row r="10457">
          <cell r="A10457" t="str">
            <v>心法②部位4橙色2星</v>
          </cell>
          <cell r="B10457">
            <v>324302</v>
          </cell>
        </row>
        <row r="10458">
          <cell r="A10458" t="str">
            <v>心法②部位4橙色3星</v>
          </cell>
          <cell r="B10458">
            <v>324303</v>
          </cell>
        </row>
        <row r="10459">
          <cell r="A10459" t="str">
            <v>心法②部位4橙色4星</v>
          </cell>
          <cell r="B10459">
            <v>324304</v>
          </cell>
        </row>
        <row r="10460">
          <cell r="A10460" t="str">
            <v>心法②部位4橙色5星</v>
          </cell>
          <cell r="B10460">
            <v>324305</v>
          </cell>
        </row>
        <row r="10461">
          <cell r="A10461" t="str">
            <v>心法②部位4红色0星</v>
          </cell>
          <cell r="B10461">
            <v>324400</v>
          </cell>
        </row>
        <row r="10462">
          <cell r="A10462" t="str">
            <v>心法②部位4红色1星</v>
          </cell>
          <cell r="B10462">
            <v>324401</v>
          </cell>
        </row>
        <row r="10463">
          <cell r="A10463" t="str">
            <v>心法②部位4红色2星</v>
          </cell>
          <cell r="B10463">
            <v>324402</v>
          </cell>
        </row>
        <row r="10464">
          <cell r="A10464" t="str">
            <v>心法②部位4红色3星</v>
          </cell>
          <cell r="B10464">
            <v>324403</v>
          </cell>
        </row>
        <row r="10465">
          <cell r="A10465" t="str">
            <v>心法②部位4红色4星</v>
          </cell>
          <cell r="B10465">
            <v>324404</v>
          </cell>
        </row>
        <row r="10466">
          <cell r="A10466" t="str">
            <v>心法②部位4红色5星</v>
          </cell>
          <cell r="B10466">
            <v>324405</v>
          </cell>
        </row>
        <row r="10467">
          <cell r="A10467" t="str">
            <v>心法②部位5绿色0星</v>
          </cell>
          <cell r="B10467">
            <v>325100</v>
          </cell>
        </row>
        <row r="10468">
          <cell r="A10468" t="str">
            <v>心法②部位5绿色1星</v>
          </cell>
          <cell r="B10468">
            <v>325101</v>
          </cell>
        </row>
        <row r="10469">
          <cell r="A10469" t="str">
            <v>心法②部位5绿色2星</v>
          </cell>
          <cell r="B10469">
            <v>325102</v>
          </cell>
        </row>
        <row r="10470">
          <cell r="A10470" t="str">
            <v>心法②部位5绿色3星</v>
          </cell>
          <cell r="B10470">
            <v>325103</v>
          </cell>
        </row>
        <row r="10471">
          <cell r="A10471" t="str">
            <v>心法②部位5紫色0星</v>
          </cell>
          <cell r="B10471">
            <v>325200</v>
          </cell>
        </row>
        <row r="10472">
          <cell r="A10472" t="str">
            <v>心法②部位5紫色1星</v>
          </cell>
          <cell r="B10472">
            <v>325201</v>
          </cell>
        </row>
        <row r="10473">
          <cell r="A10473" t="str">
            <v>心法②部位5紫色2星</v>
          </cell>
          <cell r="B10473">
            <v>325202</v>
          </cell>
        </row>
        <row r="10474">
          <cell r="A10474" t="str">
            <v>心法②部位5紫色3星</v>
          </cell>
          <cell r="B10474">
            <v>325203</v>
          </cell>
        </row>
        <row r="10475">
          <cell r="A10475" t="str">
            <v>心法②部位5紫色4星</v>
          </cell>
          <cell r="B10475">
            <v>325204</v>
          </cell>
        </row>
        <row r="10476">
          <cell r="A10476" t="str">
            <v>心法②部位5紫色5星</v>
          </cell>
          <cell r="B10476">
            <v>325205</v>
          </cell>
        </row>
        <row r="10477">
          <cell r="A10477" t="str">
            <v>心法②部位5橙色0星</v>
          </cell>
          <cell r="B10477">
            <v>325300</v>
          </cell>
        </row>
        <row r="10478">
          <cell r="A10478" t="str">
            <v>心法②部位5橙色1星</v>
          </cell>
          <cell r="B10478">
            <v>325301</v>
          </cell>
        </row>
        <row r="10479">
          <cell r="A10479" t="str">
            <v>心法②部位5橙色2星</v>
          </cell>
          <cell r="B10479">
            <v>325302</v>
          </cell>
        </row>
        <row r="10480">
          <cell r="A10480" t="str">
            <v>心法②部位5橙色3星</v>
          </cell>
          <cell r="B10480">
            <v>325303</v>
          </cell>
        </row>
        <row r="10481">
          <cell r="A10481" t="str">
            <v>心法②部位5橙色4星</v>
          </cell>
          <cell r="B10481">
            <v>325304</v>
          </cell>
        </row>
        <row r="10482">
          <cell r="A10482" t="str">
            <v>心法②部位5橙色5星</v>
          </cell>
          <cell r="B10482">
            <v>325305</v>
          </cell>
        </row>
        <row r="10483">
          <cell r="A10483" t="str">
            <v>心法②部位5红色0星</v>
          </cell>
          <cell r="B10483">
            <v>325400</v>
          </cell>
        </row>
        <row r="10484">
          <cell r="A10484" t="str">
            <v>心法②部位5红色1星</v>
          </cell>
          <cell r="B10484">
            <v>325401</v>
          </cell>
        </row>
        <row r="10485">
          <cell r="A10485" t="str">
            <v>心法②部位5红色2星</v>
          </cell>
          <cell r="B10485">
            <v>325402</v>
          </cell>
        </row>
        <row r="10486">
          <cell r="A10486" t="str">
            <v>心法②部位5红色3星</v>
          </cell>
          <cell r="B10486">
            <v>325403</v>
          </cell>
        </row>
        <row r="10487">
          <cell r="A10487" t="str">
            <v>心法②部位5红色4星</v>
          </cell>
          <cell r="B10487">
            <v>325404</v>
          </cell>
        </row>
        <row r="10488">
          <cell r="A10488" t="str">
            <v>心法②部位5红色5星</v>
          </cell>
          <cell r="B10488">
            <v>325405</v>
          </cell>
        </row>
        <row r="10489">
          <cell r="A10489" t="str">
            <v>巅峰令</v>
          </cell>
          <cell r="B10489">
            <v>204076</v>
          </cell>
        </row>
        <row r="10490">
          <cell r="A10490" t="str">
            <v>至尊武器</v>
          </cell>
          <cell r="B10490">
            <v>204077</v>
          </cell>
        </row>
        <row r="10491">
          <cell r="A10491" t="str">
            <v>至尊头盔</v>
          </cell>
          <cell r="B10491">
            <v>204078</v>
          </cell>
        </row>
        <row r="10492">
          <cell r="A10492" t="str">
            <v>至尊衣服</v>
          </cell>
          <cell r="B10492">
            <v>204079</v>
          </cell>
        </row>
        <row r="10493">
          <cell r="A10493" t="str">
            <v>至尊项链</v>
          </cell>
          <cell r="B10493">
            <v>204080</v>
          </cell>
        </row>
        <row r="10494">
          <cell r="A10494" t="str">
            <v>至尊手镯</v>
          </cell>
          <cell r="B10494">
            <v>204081</v>
          </cell>
        </row>
        <row r="10495">
          <cell r="A10495" t="str">
            <v>至尊戒指</v>
          </cell>
          <cell r="B10495">
            <v>204082</v>
          </cell>
        </row>
        <row r="10496">
          <cell r="A10496" t="str">
            <v>至尊腰带</v>
          </cell>
          <cell r="B10496">
            <v>204083</v>
          </cell>
        </row>
        <row r="10497">
          <cell r="A10497" t="str">
            <v>至尊鞋子</v>
          </cell>
          <cell r="B10497">
            <v>204084</v>
          </cell>
        </row>
        <row r="10498">
          <cell r="A10498" t="str">
            <v>心法2宝箱（绿）</v>
          </cell>
          <cell r="B10498">
            <v>204091</v>
          </cell>
        </row>
        <row r="10499">
          <cell r="A10499" t="str">
            <v>心法2宝箱（紫）</v>
          </cell>
          <cell r="B10499">
            <v>204092</v>
          </cell>
        </row>
        <row r="10500">
          <cell r="A10500" t="str">
            <v>心法2宝箱（橙）</v>
          </cell>
          <cell r="B10500">
            <v>204093</v>
          </cell>
        </row>
        <row r="10501">
          <cell r="A10501" t="str">
            <v>心法2宝箱（红）</v>
          </cell>
          <cell r="B10501">
            <v>204094</v>
          </cell>
        </row>
        <row r="10502">
          <cell r="A10502" t="str">
            <v>心法2宝箱</v>
          </cell>
          <cell r="B10502">
            <v>204095</v>
          </cell>
        </row>
        <row r="10503">
          <cell r="A10503" t="str">
            <v>跨服冠军</v>
          </cell>
          <cell r="B10503">
            <v>204096</v>
          </cell>
        </row>
        <row r="10504">
          <cell r="A10504" t="str">
            <v>跨服亚军</v>
          </cell>
          <cell r="B10504">
            <v>204097</v>
          </cell>
        </row>
        <row r="10505">
          <cell r="A10505" t="str">
            <v>跨服四强</v>
          </cell>
          <cell r="B10505">
            <v>204098</v>
          </cell>
        </row>
        <row r="10506">
          <cell r="A10506" t="str">
            <v>跨服八强</v>
          </cell>
          <cell r="B10506">
            <v>204099</v>
          </cell>
        </row>
        <row r="10507">
          <cell r="A10507" t="str">
            <v>跨服十六强</v>
          </cell>
          <cell r="B10507">
            <v>204100</v>
          </cell>
        </row>
        <row r="10508">
          <cell r="A10508" t="str">
            <v>跨服三十二强</v>
          </cell>
          <cell r="B10508">
            <v>204101</v>
          </cell>
        </row>
        <row r="10509">
          <cell r="A10509" t="str">
            <v>跨服六十四强</v>
          </cell>
          <cell r="B10509">
            <v>204102</v>
          </cell>
        </row>
        <row r="10510">
          <cell r="A10510" t="str">
            <v>巅峰战神神甲</v>
          </cell>
          <cell r="B10510">
            <v>204103</v>
          </cell>
        </row>
        <row r="10511">
          <cell r="A10511" t="str">
            <v>巅峰枭雄神甲</v>
          </cell>
          <cell r="B10511">
            <v>204104</v>
          </cell>
        </row>
        <row r="10512">
          <cell r="A10512" t="str">
            <v>至尊至宝</v>
          </cell>
          <cell r="B10512">
            <v>204105</v>
          </cell>
        </row>
        <row r="10513">
          <cell r="A10513" t="str">
            <v>极品至尊至宝</v>
          </cell>
          <cell r="B10513">
            <v>204106</v>
          </cell>
        </row>
        <row r="10514">
          <cell r="A10514" t="str">
            <v>赤血魔翼</v>
          </cell>
          <cell r="B10514">
            <v>204107</v>
          </cell>
        </row>
        <row r="10515">
          <cell r="A10515" t="str">
            <v>八宝米</v>
          </cell>
          <cell r="B10515">
            <v>204108</v>
          </cell>
        </row>
        <row r="10516">
          <cell r="A10516" t="str">
            <v>腊八辅料</v>
          </cell>
          <cell r="B10516">
            <v>204109</v>
          </cell>
        </row>
        <row r="10517">
          <cell r="A10517" t="str">
            <v>豪华辅料</v>
          </cell>
          <cell r="B10517">
            <v>204110</v>
          </cell>
        </row>
        <row r="10518">
          <cell r="A10518" t="str">
            <v>腊八粥</v>
          </cell>
          <cell r="B10518">
            <v>204111</v>
          </cell>
        </row>
        <row r="10519">
          <cell r="A10519" t="str">
            <v>高级腊八粥</v>
          </cell>
          <cell r="B10519">
            <v>204112</v>
          </cell>
        </row>
        <row r="10520">
          <cell r="A10520" t="str">
            <v>限时掉落礼包</v>
          </cell>
          <cell r="B10520">
            <v>204113</v>
          </cell>
        </row>
        <row r="10521">
          <cell r="A10521" t="str">
            <v>BOSS腊八粥</v>
          </cell>
          <cell r="B10521">
            <v>204114</v>
          </cell>
        </row>
        <row r="10522">
          <cell r="A10522" t="str">
            <v>节日腊八粥(没用）</v>
          </cell>
          <cell r="B10522">
            <v>204115</v>
          </cell>
        </row>
        <row r="10523">
          <cell r="A10523" t="str">
            <v>腊八福袋1</v>
          </cell>
          <cell r="B10523">
            <v>204116</v>
          </cell>
        </row>
        <row r="10524">
          <cell r="A10524" t="str">
            <v>腊八福袋2</v>
          </cell>
          <cell r="B10524">
            <v>204117</v>
          </cell>
        </row>
        <row r="10525">
          <cell r="A10525" t="str">
            <v>腊八福袋3</v>
          </cell>
          <cell r="B10525">
            <v>204118</v>
          </cell>
        </row>
        <row r="10526">
          <cell r="A10526" t="str">
            <v>腊八福袋4</v>
          </cell>
          <cell r="B10526">
            <v>204119</v>
          </cell>
        </row>
        <row r="10527">
          <cell r="A10527" t="str">
            <v>腊八福袋5</v>
          </cell>
          <cell r="B10527">
            <v>204120</v>
          </cell>
        </row>
        <row r="10528">
          <cell r="A10528" t="str">
            <v>腊八福袋6</v>
          </cell>
          <cell r="B10528">
            <v>204121</v>
          </cell>
        </row>
        <row r="10529">
          <cell r="A10529" t="str">
            <v>腊八福袋7</v>
          </cell>
          <cell r="B10529">
            <v>204122</v>
          </cell>
        </row>
        <row r="10530">
          <cell r="A10530" t="str">
            <v>腊八福袋8</v>
          </cell>
          <cell r="B10530">
            <v>204123</v>
          </cell>
        </row>
        <row r="10531">
          <cell r="A10531" t="str">
            <v>腊八福袋9</v>
          </cell>
          <cell r="B10531">
            <v>204124</v>
          </cell>
        </row>
        <row r="10532">
          <cell r="A10532" t="str">
            <v>腊八福袋10</v>
          </cell>
          <cell r="B10532">
            <v>204125</v>
          </cell>
        </row>
        <row r="10533">
          <cell r="A10533" t="str">
            <v>腊八福袋11</v>
          </cell>
          <cell r="B10533">
            <v>204126</v>
          </cell>
        </row>
        <row r="10534">
          <cell r="A10534" t="str">
            <v>腊八福袋12</v>
          </cell>
          <cell r="B10534">
            <v>204127</v>
          </cell>
        </row>
        <row r="10535">
          <cell r="A10535" t="str">
            <v>腊八福袋13</v>
          </cell>
          <cell r="B10535">
            <v>204128</v>
          </cell>
        </row>
        <row r="10536">
          <cell r="A10536" t="str">
            <v>腊八福袋14</v>
          </cell>
          <cell r="B10536">
            <v>204129</v>
          </cell>
        </row>
        <row r="10537">
          <cell r="A10537" t="str">
            <v>腊八福袋15</v>
          </cell>
          <cell r="B10537">
            <v>204130</v>
          </cell>
        </row>
        <row r="10538">
          <cell r="A10538" t="str">
            <v>腊八福袋16</v>
          </cell>
          <cell r="B10538">
            <v>204131</v>
          </cell>
        </row>
        <row r="10539">
          <cell r="A10539" t="str">
            <v>橙色图鉴包·倾国倾城</v>
          </cell>
          <cell r="B10539">
            <v>204132</v>
          </cell>
        </row>
        <row r="10540">
          <cell r="A10540" t="str">
            <v>红色图鉴包·倾国倾城</v>
          </cell>
          <cell r="B10540">
            <v>204133</v>
          </cell>
        </row>
        <row r="10541">
          <cell r="A10541" t="str">
            <v>金色图鉴包·倾国倾城</v>
          </cell>
          <cell r="B10541">
            <v>204134</v>
          </cell>
        </row>
        <row r="10542">
          <cell r="A10542" t="str">
            <v>轮回宝箱（7转）</v>
          </cell>
          <cell r="B10542">
            <v>204135</v>
          </cell>
        </row>
        <row r="10543">
          <cell r="A10543" t="str">
            <v>轮回宝箱（8转）</v>
          </cell>
          <cell r="B10543">
            <v>204136</v>
          </cell>
        </row>
        <row r="10544">
          <cell r="A10544" t="str">
            <v>轮回宝箱（9转）</v>
          </cell>
          <cell r="B10544">
            <v>204137</v>
          </cell>
        </row>
        <row r="10545">
          <cell r="A10545" t="str">
            <v>轮回宝箱（10转）</v>
          </cell>
          <cell r="B10545">
            <v>204138</v>
          </cell>
        </row>
        <row r="10546">
          <cell r="A10546" t="str">
            <v>轮回宝箱（11转）</v>
          </cell>
          <cell r="B10546">
            <v>204139</v>
          </cell>
        </row>
        <row r="10547">
          <cell r="A10547" t="str">
            <v>轮回宝箱（12转）</v>
          </cell>
          <cell r="B10547">
            <v>204140</v>
          </cell>
        </row>
        <row r="10548">
          <cell r="A10548" t="str">
            <v>雪域傲雪</v>
          </cell>
          <cell r="B10548">
            <v>260098</v>
          </cell>
        </row>
        <row r="10549">
          <cell r="A10549" t="str">
            <v>袅袅素女</v>
          </cell>
          <cell r="B10549">
            <v>260099</v>
          </cell>
        </row>
        <row r="10550">
          <cell r="A10550" t="str">
            <v>红藕香残</v>
          </cell>
          <cell r="B10550">
            <v>260100</v>
          </cell>
        </row>
        <row r="10551">
          <cell r="A10551" t="str">
            <v>艳竞芳华</v>
          </cell>
          <cell r="B10551">
            <v>260101</v>
          </cell>
        </row>
        <row r="10552">
          <cell r="A10552" t="str">
            <v>怀中藏月</v>
          </cell>
          <cell r="B10552">
            <v>260102</v>
          </cell>
        </row>
        <row r="10553">
          <cell r="A10553" t="str">
            <v>紫袖红弦</v>
          </cell>
          <cell r="B10553">
            <v>260103</v>
          </cell>
        </row>
        <row r="10554">
          <cell r="A10554" t="str">
            <v>半月红妆</v>
          </cell>
          <cell r="B10554">
            <v>260104</v>
          </cell>
        </row>
        <row r="10555">
          <cell r="A10555" t="str">
            <v>夕阳沐枫</v>
          </cell>
          <cell r="B10555">
            <v>260105</v>
          </cell>
        </row>
        <row r="10556">
          <cell r="A10556" t="str">
            <v>巧笑倩兮</v>
          </cell>
          <cell r="B10556">
            <v>260106</v>
          </cell>
        </row>
        <row r="10557">
          <cell r="A10557" t="str">
            <v>美目盼兮</v>
          </cell>
          <cell r="B10557">
            <v>260107</v>
          </cell>
        </row>
        <row r="10558">
          <cell r="A10558" t="str">
            <v>春水浣纱</v>
          </cell>
          <cell r="B10558">
            <v>260108</v>
          </cell>
        </row>
        <row r="10559">
          <cell r="A10559" t="str">
            <v>恨倚黄昏</v>
          </cell>
          <cell r="B10559">
            <v>260109</v>
          </cell>
        </row>
        <row r="10560">
          <cell r="A10560" t="str">
            <v>青女飞霜</v>
          </cell>
          <cell r="B10560">
            <v>260110</v>
          </cell>
        </row>
        <row r="10561">
          <cell r="A10561" t="str">
            <v>九霄明月</v>
          </cell>
          <cell r="B10561">
            <v>260111</v>
          </cell>
        </row>
        <row r="10562">
          <cell r="A10562" t="str">
            <v>时空刺客</v>
          </cell>
          <cell r="B10562">
            <v>204141</v>
          </cell>
        </row>
        <row r="10563">
          <cell r="A10563" t="str">
            <v>时空之刃</v>
          </cell>
          <cell r="B10563">
            <v>204142</v>
          </cell>
        </row>
        <row r="10564">
          <cell r="A10564" t="str">
            <v>战灵进阶丹</v>
          </cell>
          <cell r="B10564">
            <v>205000</v>
          </cell>
        </row>
        <row r="10565">
          <cell r="A10565" t="str">
            <v>战灵潜能丹</v>
          </cell>
          <cell r="B10565">
            <v>205001</v>
          </cell>
        </row>
        <row r="10566">
          <cell r="A10566" t="str">
            <v>战灵飞升丹</v>
          </cell>
          <cell r="B10566">
            <v>205002</v>
          </cell>
        </row>
        <row r="10567">
          <cell r="A10567" t="str">
            <v>乌木灵谕</v>
          </cell>
          <cell r="B10567">
            <v>206001</v>
          </cell>
        </row>
        <row r="10568">
          <cell r="A10568" t="str">
            <v>古铜灵谕</v>
          </cell>
          <cell r="B10568">
            <v>206002</v>
          </cell>
        </row>
        <row r="10569">
          <cell r="A10569" t="str">
            <v>寒铁灵谕</v>
          </cell>
          <cell r="B10569">
            <v>206003</v>
          </cell>
        </row>
        <row r="10570">
          <cell r="A10570" t="str">
            <v>青铜灵谕</v>
          </cell>
          <cell r="B10570">
            <v>206004</v>
          </cell>
        </row>
        <row r="10571">
          <cell r="A10571" t="str">
            <v>海魂灵谕</v>
          </cell>
          <cell r="B10571">
            <v>206005</v>
          </cell>
        </row>
        <row r="10572">
          <cell r="A10572" t="str">
            <v>八荒灵谕</v>
          </cell>
          <cell r="B10572">
            <v>206006</v>
          </cell>
        </row>
        <row r="10573">
          <cell r="A10573" t="str">
            <v>降魔灵谕</v>
          </cell>
          <cell r="B10573">
            <v>206007</v>
          </cell>
        </row>
        <row r="10574">
          <cell r="A10574" t="str">
            <v>修罗灵谕</v>
          </cell>
          <cell r="B10574">
            <v>206008</v>
          </cell>
        </row>
        <row r="10575">
          <cell r="A10575" t="str">
            <v>炼狱灵谕</v>
          </cell>
          <cell r="B10575">
            <v>206009</v>
          </cell>
        </row>
        <row r="10576">
          <cell r="A10576" t="str">
            <v>龙牙灵谕</v>
          </cell>
          <cell r="B10576">
            <v>206010</v>
          </cell>
        </row>
        <row r="10577">
          <cell r="A10577" t="str">
            <v>乌木灵冠</v>
          </cell>
          <cell r="B10577">
            <v>206011</v>
          </cell>
        </row>
        <row r="10578">
          <cell r="A10578" t="str">
            <v>古铜灵冠</v>
          </cell>
          <cell r="B10578">
            <v>206012</v>
          </cell>
        </row>
        <row r="10579">
          <cell r="A10579" t="str">
            <v>寒铁灵冠</v>
          </cell>
          <cell r="B10579">
            <v>206013</v>
          </cell>
        </row>
        <row r="10580">
          <cell r="A10580" t="str">
            <v>青铜灵冠</v>
          </cell>
          <cell r="B10580">
            <v>206014</v>
          </cell>
        </row>
        <row r="10581">
          <cell r="A10581" t="str">
            <v>海魂灵冠</v>
          </cell>
          <cell r="B10581">
            <v>206015</v>
          </cell>
        </row>
        <row r="10582">
          <cell r="A10582" t="str">
            <v>八荒灵冠</v>
          </cell>
          <cell r="B10582">
            <v>206016</v>
          </cell>
        </row>
        <row r="10583">
          <cell r="A10583" t="str">
            <v>降魔灵冠</v>
          </cell>
          <cell r="B10583">
            <v>206017</v>
          </cell>
        </row>
        <row r="10584">
          <cell r="A10584" t="str">
            <v>修罗灵冠</v>
          </cell>
          <cell r="B10584">
            <v>206018</v>
          </cell>
        </row>
        <row r="10585">
          <cell r="A10585" t="str">
            <v>炼狱灵冠</v>
          </cell>
          <cell r="B10585">
            <v>206019</v>
          </cell>
        </row>
        <row r="10586">
          <cell r="A10586" t="str">
            <v>龙牙灵冠</v>
          </cell>
          <cell r="B10586">
            <v>206020</v>
          </cell>
        </row>
        <row r="10587">
          <cell r="A10587" t="str">
            <v>乌木灵佩</v>
          </cell>
          <cell r="B10587">
            <v>206021</v>
          </cell>
        </row>
        <row r="10588">
          <cell r="A10588" t="str">
            <v>古铜灵佩</v>
          </cell>
          <cell r="B10588">
            <v>206022</v>
          </cell>
        </row>
        <row r="10589">
          <cell r="A10589" t="str">
            <v>寒铁灵佩</v>
          </cell>
          <cell r="B10589">
            <v>206023</v>
          </cell>
        </row>
        <row r="10590">
          <cell r="A10590" t="str">
            <v>青铜灵佩</v>
          </cell>
          <cell r="B10590">
            <v>206024</v>
          </cell>
        </row>
        <row r="10591">
          <cell r="A10591" t="str">
            <v>海魂灵佩</v>
          </cell>
          <cell r="B10591">
            <v>206025</v>
          </cell>
        </row>
        <row r="10592">
          <cell r="A10592" t="str">
            <v>八荒灵佩</v>
          </cell>
          <cell r="B10592">
            <v>206026</v>
          </cell>
        </row>
        <row r="10593">
          <cell r="A10593" t="str">
            <v>降魔灵佩</v>
          </cell>
          <cell r="B10593">
            <v>206027</v>
          </cell>
        </row>
        <row r="10594">
          <cell r="A10594" t="str">
            <v>修罗灵佩</v>
          </cell>
          <cell r="B10594">
            <v>206028</v>
          </cell>
        </row>
        <row r="10595">
          <cell r="A10595" t="str">
            <v>炼狱灵佩</v>
          </cell>
          <cell r="B10595">
            <v>206029</v>
          </cell>
        </row>
        <row r="10596">
          <cell r="A10596" t="str">
            <v>龙牙灵佩</v>
          </cell>
          <cell r="B10596">
            <v>206030</v>
          </cell>
        </row>
        <row r="10597">
          <cell r="A10597" t="str">
            <v>乌木灵珠</v>
          </cell>
          <cell r="B10597">
            <v>206031</v>
          </cell>
        </row>
        <row r="10598">
          <cell r="A10598" t="str">
            <v>古铜灵珠</v>
          </cell>
          <cell r="B10598">
            <v>206032</v>
          </cell>
        </row>
        <row r="10599">
          <cell r="A10599" t="str">
            <v>寒铁灵珠</v>
          </cell>
          <cell r="B10599">
            <v>206033</v>
          </cell>
        </row>
        <row r="10600">
          <cell r="A10600" t="str">
            <v>青铜灵珠</v>
          </cell>
          <cell r="B10600">
            <v>206034</v>
          </cell>
        </row>
        <row r="10601">
          <cell r="A10601" t="str">
            <v>海魂灵珠</v>
          </cell>
          <cell r="B10601">
            <v>206035</v>
          </cell>
        </row>
        <row r="10602">
          <cell r="A10602" t="str">
            <v>八荒灵珠</v>
          </cell>
          <cell r="B10602">
            <v>206036</v>
          </cell>
        </row>
        <row r="10603">
          <cell r="A10603" t="str">
            <v>降魔灵珠</v>
          </cell>
          <cell r="B10603">
            <v>206037</v>
          </cell>
        </row>
        <row r="10604">
          <cell r="A10604" t="str">
            <v>修罗灵珠</v>
          </cell>
          <cell r="B10604">
            <v>206038</v>
          </cell>
        </row>
        <row r="10605">
          <cell r="A10605" t="str">
            <v>炼狱灵珠</v>
          </cell>
          <cell r="B10605">
            <v>206039</v>
          </cell>
        </row>
        <row r="10606">
          <cell r="A10606" t="str">
            <v>龙牙灵珠</v>
          </cell>
          <cell r="B10606">
            <v>206040</v>
          </cell>
        </row>
        <row r="10607">
          <cell r="A10607" t="str">
            <v>庚金白虎</v>
          </cell>
          <cell r="B10607">
            <v>205003</v>
          </cell>
        </row>
        <row r="10608">
          <cell r="A10608" t="str">
            <v>太阳星君</v>
          </cell>
          <cell r="B10608">
            <v>205004</v>
          </cell>
        </row>
        <row r="10609">
          <cell r="A10609" t="str">
            <v>火德星君</v>
          </cell>
          <cell r="B10609">
            <v>205005</v>
          </cell>
        </row>
        <row r="10610">
          <cell r="A10610" t="str">
            <v>九幽冥女</v>
          </cell>
          <cell r="B10610">
            <v>205006</v>
          </cell>
        </row>
        <row r="10611">
          <cell r="A10611" t="str">
            <v>九霄神女</v>
          </cell>
          <cell r="B10611">
            <v>205007</v>
          </cell>
        </row>
        <row r="10612">
          <cell r="A10612" t="str">
            <v>东皇战魂</v>
          </cell>
          <cell r="B10612">
            <v>205008</v>
          </cell>
        </row>
        <row r="10613">
          <cell r="A10613" t="str">
            <v>东皇战魄</v>
          </cell>
          <cell r="B10613">
            <v>205009</v>
          </cell>
        </row>
        <row r="10614">
          <cell r="A10614" t="str">
            <v>不死血魔</v>
          </cell>
          <cell r="B10614">
            <v>205010</v>
          </cell>
        </row>
        <row r="10615">
          <cell r="A10615" t="str">
            <v>尸王宝箱</v>
          </cell>
          <cell r="B10615">
            <v>204143</v>
          </cell>
        </row>
        <row r="10616">
          <cell r="A10616" t="str">
            <v>白猪宝箱</v>
          </cell>
          <cell r="B10616">
            <v>204144</v>
          </cell>
        </row>
        <row r="10617">
          <cell r="A10617" t="str">
            <v>白日门宝箱</v>
          </cell>
          <cell r="B10617">
            <v>204145</v>
          </cell>
        </row>
        <row r="10618">
          <cell r="A10618" t="str">
            <v>赤月宝箱</v>
          </cell>
          <cell r="B10618">
            <v>204146</v>
          </cell>
        </row>
        <row r="10619">
          <cell r="A10619" t="str">
            <v>腾飞礼包(公众号每日充值1000R</v>
          </cell>
          <cell r="B10619">
            <v>204147</v>
          </cell>
        </row>
        <row r="10620">
          <cell r="A10620" t="str">
            <v>称霸礼包(公众号每日充值3000R</v>
          </cell>
          <cell r="B10620">
            <v>204148</v>
          </cell>
        </row>
        <row r="10621">
          <cell r="A10621" t="str">
            <v>至尊礼包(公众号每日充值6000R</v>
          </cell>
          <cell r="B10621">
            <v>204149</v>
          </cell>
        </row>
        <row r="10622">
          <cell r="A10622" t="str">
            <v>传奇礼包(公众号每日充值10000R</v>
          </cell>
          <cell r="B10622">
            <v>204150</v>
          </cell>
        </row>
        <row r="10623">
          <cell r="A10623" t="str">
            <v>荣耀战旗宝箱</v>
          </cell>
          <cell r="B10623">
            <v>204151</v>
          </cell>
        </row>
        <row r="10624">
          <cell r="A10624" t="str">
            <v>奇遇刷新卷</v>
          </cell>
          <cell r="B10624">
            <v>204152</v>
          </cell>
        </row>
        <row r="10625">
          <cell r="A10625" t="str">
            <v>传奇之路礼包</v>
          </cell>
          <cell r="B10625">
            <v>204153</v>
          </cell>
        </row>
        <row r="10626">
          <cell r="A10626" t="str">
            <v>1阶战灵装备</v>
          </cell>
          <cell r="B10626">
            <v>204154</v>
          </cell>
        </row>
        <row r="10627">
          <cell r="A10627" t="str">
            <v>2阶战灵装备</v>
          </cell>
          <cell r="B10627">
            <v>204155</v>
          </cell>
        </row>
        <row r="10628">
          <cell r="A10628" t="str">
            <v>3阶战灵装备</v>
          </cell>
          <cell r="B10628">
            <v>204156</v>
          </cell>
        </row>
        <row r="10629">
          <cell r="A10629" t="str">
            <v>4阶战灵装备</v>
          </cell>
          <cell r="B10629">
            <v>204157</v>
          </cell>
        </row>
        <row r="10630">
          <cell r="A10630" t="str">
            <v>5阶战灵装备</v>
          </cell>
          <cell r="B10630">
            <v>204158</v>
          </cell>
        </row>
        <row r="10631">
          <cell r="A10631" t="str">
            <v>6阶战灵装备</v>
          </cell>
          <cell r="B10631">
            <v>204159</v>
          </cell>
        </row>
        <row r="10632">
          <cell r="A10632" t="str">
            <v>7阶战灵装备</v>
          </cell>
          <cell r="B10632">
            <v>204160</v>
          </cell>
        </row>
        <row r="10633">
          <cell r="A10633" t="str">
            <v>8阶战灵装备</v>
          </cell>
          <cell r="B10633">
            <v>204161</v>
          </cell>
        </row>
        <row r="10634">
          <cell r="A10634" t="str">
            <v>9阶战灵装备</v>
          </cell>
          <cell r="B10634">
            <v>204162</v>
          </cell>
        </row>
        <row r="10635">
          <cell r="A10635" t="str">
            <v>10阶战灵装备</v>
          </cell>
          <cell r="B10635">
            <v>204163</v>
          </cell>
        </row>
        <row r="10636">
          <cell r="A10636" t="str">
            <v>青春岁月</v>
          </cell>
          <cell r="B10636">
            <v>204164</v>
          </cell>
        </row>
        <row r="10637">
          <cell r="A10637" t="str">
            <v>羽翼资质丹</v>
          </cell>
          <cell r="B10637">
            <v>200328</v>
          </cell>
        </row>
        <row r="10638">
          <cell r="A10638" t="str">
            <v>羽翼飞升丹</v>
          </cell>
          <cell r="B10638">
            <v>200329</v>
          </cell>
        </row>
        <row r="10639">
          <cell r="A10639" t="str">
            <v>玫瑰恋人</v>
          </cell>
          <cell r="B10639">
            <v>204165</v>
          </cell>
        </row>
        <row r="10640">
          <cell r="A10640" t="str">
            <v>"龙翔九天"</v>
          </cell>
          <cell r="B10640">
            <v>204166</v>
          </cell>
        </row>
        <row r="10641">
          <cell r="A10641" t="str">
            <v>"梦幻金装"</v>
          </cell>
          <cell r="B10641">
            <v>204167</v>
          </cell>
        </row>
        <row r="10642">
          <cell r="A10642" t="str">
            <v>白1星血瞳1级</v>
          </cell>
          <cell r="B10642">
            <v>1100001</v>
          </cell>
        </row>
        <row r="10643">
          <cell r="A10643" t="str">
            <v>白1星血瞳2级</v>
          </cell>
          <cell r="B10643">
            <v>1100002</v>
          </cell>
        </row>
        <row r="10644">
          <cell r="A10644" t="str">
            <v>白1星血瞳3级</v>
          </cell>
          <cell r="B10644">
            <v>1100003</v>
          </cell>
        </row>
        <row r="10645">
          <cell r="A10645" t="str">
            <v>白1星血瞳4级</v>
          </cell>
          <cell r="B10645">
            <v>1100004</v>
          </cell>
        </row>
        <row r="10646">
          <cell r="A10646" t="str">
            <v>白1星血瞳5级</v>
          </cell>
          <cell r="B10646">
            <v>1100005</v>
          </cell>
        </row>
        <row r="10647">
          <cell r="A10647" t="str">
            <v>白1星血瞳6级</v>
          </cell>
          <cell r="B10647">
            <v>1100006</v>
          </cell>
        </row>
        <row r="10648">
          <cell r="A10648" t="str">
            <v>白1星血瞳7级</v>
          </cell>
          <cell r="B10648">
            <v>1100007</v>
          </cell>
        </row>
        <row r="10649">
          <cell r="A10649" t="str">
            <v>白1星血瞳8级</v>
          </cell>
          <cell r="B10649">
            <v>1100008</v>
          </cell>
        </row>
        <row r="10650">
          <cell r="A10650" t="str">
            <v>白1星血瞳9级</v>
          </cell>
          <cell r="B10650">
            <v>1100009</v>
          </cell>
        </row>
        <row r="10651">
          <cell r="A10651" t="str">
            <v>白1星血瞳10级</v>
          </cell>
          <cell r="B10651">
            <v>1100010</v>
          </cell>
        </row>
        <row r="10652">
          <cell r="A10652" t="str">
            <v>白1星血瞳11级</v>
          </cell>
          <cell r="B10652">
            <v>1100011</v>
          </cell>
        </row>
        <row r="10653">
          <cell r="A10653" t="str">
            <v>白1星血瞳12级</v>
          </cell>
          <cell r="B10653">
            <v>1100012</v>
          </cell>
        </row>
        <row r="10654">
          <cell r="A10654" t="str">
            <v>白1星血瞳13级</v>
          </cell>
          <cell r="B10654">
            <v>1100013</v>
          </cell>
        </row>
        <row r="10655">
          <cell r="A10655" t="str">
            <v>白1星血瞳14级</v>
          </cell>
          <cell r="B10655">
            <v>1100014</v>
          </cell>
        </row>
        <row r="10656">
          <cell r="A10656" t="str">
            <v>白1星血瞳15级</v>
          </cell>
          <cell r="B10656">
            <v>1100015</v>
          </cell>
        </row>
        <row r="10657">
          <cell r="A10657" t="str">
            <v>白1星血瞳16级</v>
          </cell>
          <cell r="B10657">
            <v>1100016</v>
          </cell>
        </row>
        <row r="10658">
          <cell r="A10658" t="str">
            <v>白1星血瞳17级</v>
          </cell>
          <cell r="B10658">
            <v>1100017</v>
          </cell>
        </row>
        <row r="10659">
          <cell r="A10659" t="str">
            <v>白1星血瞳18级</v>
          </cell>
          <cell r="B10659">
            <v>1100018</v>
          </cell>
        </row>
        <row r="10660">
          <cell r="A10660" t="str">
            <v>白1星血瞳19级</v>
          </cell>
          <cell r="B10660">
            <v>1100019</v>
          </cell>
        </row>
        <row r="10661">
          <cell r="A10661" t="str">
            <v>白1星血瞳20级</v>
          </cell>
          <cell r="B10661">
            <v>1100020</v>
          </cell>
        </row>
        <row r="10662">
          <cell r="A10662" t="str">
            <v>白1星血瞳21级</v>
          </cell>
          <cell r="B10662">
            <v>1100021</v>
          </cell>
        </row>
        <row r="10663">
          <cell r="A10663" t="str">
            <v>白1星血瞳22级</v>
          </cell>
          <cell r="B10663">
            <v>1100022</v>
          </cell>
        </row>
        <row r="10664">
          <cell r="A10664" t="str">
            <v>白1星血瞳23级</v>
          </cell>
          <cell r="B10664">
            <v>1100023</v>
          </cell>
        </row>
        <row r="10665">
          <cell r="A10665" t="str">
            <v>白1星血瞳24级</v>
          </cell>
          <cell r="B10665">
            <v>1100024</v>
          </cell>
        </row>
        <row r="10666">
          <cell r="A10666" t="str">
            <v>白1星血瞳25级</v>
          </cell>
          <cell r="B10666">
            <v>1100025</v>
          </cell>
        </row>
        <row r="10667">
          <cell r="A10667" t="str">
            <v>白1星血瞳26级</v>
          </cell>
          <cell r="B10667">
            <v>1100026</v>
          </cell>
        </row>
        <row r="10668">
          <cell r="A10668" t="str">
            <v>白1星血瞳27级</v>
          </cell>
          <cell r="B10668">
            <v>1100027</v>
          </cell>
        </row>
        <row r="10669">
          <cell r="A10669" t="str">
            <v>白1星血瞳28级</v>
          </cell>
          <cell r="B10669">
            <v>1100028</v>
          </cell>
        </row>
        <row r="10670">
          <cell r="A10670" t="str">
            <v>白1星血瞳29级</v>
          </cell>
          <cell r="B10670">
            <v>1100029</v>
          </cell>
        </row>
        <row r="10671">
          <cell r="A10671" t="str">
            <v>白1星血瞳30级</v>
          </cell>
          <cell r="B10671">
            <v>1100030</v>
          </cell>
        </row>
        <row r="10672">
          <cell r="A10672" t="str">
            <v>白1星血瞳31级</v>
          </cell>
          <cell r="B10672">
            <v>1100031</v>
          </cell>
        </row>
        <row r="10673">
          <cell r="A10673" t="str">
            <v>白1星血瞳32级</v>
          </cell>
          <cell r="B10673">
            <v>1100032</v>
          </cell>
        </row>
        <row r="10674">
          <cell r="A10674" t="str">
            <v>白1星血瞳33级</v>
          </cell>
          <cell r="B10674">
            <v>1100033</v>
          </cell>
        </row>
        <row r="10675">
          <cell r="A10675" t="str">
            <v>白1星血瞳34级</v>
          </cell>
          <cell r="B10675">
            <v>1100034</v>
          </cell>
        </row>
        <row r="10676">
          <cell r="A10676" t="str">
            <v>白1星血瞳35级</v>
          </cell>
          <cell r="B10676">
            <v>1100035</v>
          </cell>
        </row>
        <row r="10677">
          <cell r="A10677" t="str">
            <v>白1星血瞳36级</v>
          </cell>
          <cell r="B10677">
            <v>1100036</v>
          </cell>
        </row>
        <row r="10678">
          <cell r="A10678" t="str">
            <v>白1星血瞳37级</v>
          </cell>
          <cell r="B10678">
            <v>1100037</v>
          </cell>
        </row>
        <row r="10679">
          <cell r="A10679" t="str">
            <v>白1星血瞳38级</v>
          </cell>
          <cell r="B10679">
            <v>1100038</v>
          </cell>
        </row>
        <row r="10680">
          <cell r="A10680" t="str">
            <v>白1星血瞳39级</v>
          </cell>
          <cell r="B10680">
            <v>1100039</v>
          </cell>
        </row>
        <row r="10681">
          <cell r="A10681" t="str">
            <v>白1星血瞳40级</v>
          </cell>
          <cell r="B10681">
            <v>1100040</v>
          </cell>
        </row>
        <row r="10682">
          <cell r="A10682" t="str">
            <v>白1星血瞳41级</v>
          </cell>
          <cell r="B10682">
            <v>1100041</v>
          </cell>
        </row>
        <row r="10683">
          <cell r="A10683" t="str">
            <v>白1星血瞳42级</v>
          </cell>
          <cell r="B10683">
            <v>1100042</v>
          </cell>
        </row>
        <row r="10684">
          <cell r="A10684" t="str">
            <v>白1星血瞳43级</v>
          </cell>
          <cell r="B10684">
            <v>1100043</v>
          </cell>
        </row>
        <row r="10685">
          <cell r="A10685" t="str">
            <v>白1星血瞳44级</v>
          </cell>
          <cell r="B10685">
            <v>1100044</v>
          </cell>
        </row>
        <row r="10686">
          <cell r="A10686" t="str">
            <v>白1星血瞳45级</v>
          </cell>
          <cell r="B10686">
            <v>1100045</v>
          </cell>
        </row>
        <row r="10687">
          <cell r="A10687" t="str">
            <v>白1星血瞳46级</v>
          </cell>
          <cell r="B10687">
            <v>1100046</v>
          </cell>
        </row>
        <row r="10688">
          <cell r="A10688" t="str">
            <v>白1星血瞳47级</v>
          </cell>
          <cell r="B10688">
            <v>1100047</v>
          </cell>
        </row>
        <row r="10689">
          <cell r="A10689" t="str">
            <v>白1星血瞳48级</v>
          </cell>
          <cell r="B10689">
            <v>1100048</v>
          </cell>
        </row>
        <row r="10690">
          <cell r="A10690" t="str">
            <v>白1星血瞳49级</v>
          </cell>
          <cell r="B10690">
            <v>1100049</v>
          </cell>
        </row>
        <row r="10691">
          <cell r="A10691" t="str">
            <v>白1星血瞳50级</v>
          </cell>
          <cell r="B10691">
            <v>1100050</v>
          </cell>
        </row>
        <row r="10692">
          <cell r="A10692" t="str">
            <v>白1星血瞳51级</v>
          </cell>
          <cell r="B10692">
            <v>1100051</v>
          </cell>
        </row>
        <row r="10693">
          <cell r="A10693" t="str">
            <v>白1星血瞳52级</v>
          </cell>
          <cell r="B10693">
            <v>1100052</v>
          </cell>
        </row>
        <row r="10694">
          <cell r="A10694" t="str">
            <v>白1星血瞳53级</v>
          </cell>
          <cell r="B10694">
            <v>1100053</v>
          </cell>
        </row>
        <row r="10695">
          <cell r="A10695" t="str">
            <v>白1星血瞳54级</v>
          </cell>
          <cell r="B10695">
            <v>1100054</v>
          </cell>
        </row>
        <row r="10696">
          <cell r="A10696" t="str">
            <v>白1星血瞳55级</v>
          </cell>
          <cell r="B10696">
            <v>1100055</v>
          </cell>
        </row>
        <row r="10697">
          <cell r="A10697" t="str">
            <v>白1星血瞳56级</v>
          </cell>
          <cell r="B10697">
            <v>1100056</v>
          </cell>
        </row>
        <row r="10698">
          <cell r="A10698" t="str">
            <v>白1星血瞳57级</v>
          </cell>
          <cell r="B10698">
            <v>1100057</v>
          </cell>
        </row>
        <row r="10699">
          <cell r="A10699" t="str">
            <v>白1星血瞳58级</v>
          </cell>
          <cell r="B10699">
            <v>1100058</v>
          </cell>
        </row>
        <row r="10700">
          <cell r="A10700" t="str">
            <v>白1星血瞳59级</v>
          </cell>
          <cell r="B10700">
            <v>1100059</v>
          </cell>
        </row>
        <row r="10701">
          <cell r="A10701" t="str">
            <v>白1星血瞳60级</v>
          </cell>
          <cell r="B10701">
            <v>1100060</v>
          </cell>
        </row>
        <row r="10702">
          <cell r="A10702" t="str">
            <v>白1星血瞳61级</v>
          </cell>
          <cell r="B10702">
            <v>1100061</v>
          </cell>
        </row>
        <row r="10703">
          <cell r="A10703" t="str">
            <v>白1星血瞳62级</v>
          </cell>
          <cell r="B10703">
            <v>1100062</v>
          </cell>
        </row>
        <row r="10704">
          <cell r="A10704" t="str">
            <v>白1星血瞳63级</v>
          </cell>
          <cell r="B10704">
            <v>1100063</v>
          </cell>
        </row>
        <row r="10705">
          <cell r="A10705" t="str">
            <v>白1星血瞳64级</v>
          </cell>
          <cell r="B10705">
            <v>1100064</v>
          </cell>
        </row>
        <row r="10706">
          <cell r="A10706" t="str">
            <v>白1星血瞳65级</v>
          </cell>
          <cell r="B10706">
            <v>1100065</v>
          </cell>
        </row>
        <row r="10707">
          <cell r="A10707" t="str">
            <v>白1星血瞳66级</v>
          </cell>
          <cell r="B10707">
            <v>1100066</v>
          </cell>
        </row>
        <row r="10708">
          <cell r="A10708" t="str">
            <v>白1星血瞳67级</v>
          </cell>
          <cell r="B10708">
            <v>1100067</v>
          </cell>
        </row>
        <row r="10709">
          <cell r="A10709" t="str">
            <v>白1星血瞳68级</v>
          </cell>
          <cell r="B10709">
            <v>1100068</v>
          </cell>
        </row>
        <row r="10710">
          <cell r="A10710" t="str">
            <v>白1星血瞳69级</v>
          </cell>
          <cell r="B10710">
            <v>1100069</v>
          </cell>
        </row>
        <row r="10711">
          <cell r="A10711" t="str">
            <v>白1星血瞳70级</v>
          </cell>
          <cell r="B10711">
            <v>1100070</v>
          </cell>
        </row>
        <row r="10712">
          <cell r="A10712" t="str">
            <v>白1星血瞳71级</v>
          </cell>
          <cell r="B10712">
            <v>1100071</v>
          </cell>
        </row>
        <row r="10713">
          <cell r="A10713" t="str">
            <v>白1星血瞳72级</v>
          </cell>
          <cell r="B10713">
            <v>1100072</v>
          </cell>
        </row>
        <row r="10714">
          <cell r="A10714" t="str">
            <v>白1星血瞳73级</v>
          </cell>
          <cell r="B10714">
            <v>1100073</v>
          </cell>
        </row>
        <row r="10715">
          <cell r="A10715" t="str">
            <v>白1星血瞳74级</v>
          </cell>
          <cell r="B10715">
            <v>1100074</v>
          </cell>
        </row>
        <row r="10716">
          <cell r="A10716" t="str">
            <v>白1星血瞳75级</v>
          </cell>
          <cell r="B10716">
            <v>1100075</v>
          </cell>
        </row>
        <row r="10717">
          <cell r="A10717" t="str">
            <v>白1星血瞳76级</v>
          </cell>
          <cell r="B10717">
            <v>1100076</v>
          </cell>
        </row>
        <row r="10718">
          <cell r="A10718" t="str">
            <v>白1星血瞳77级</v>
          </cell>
          <cell r="B10718">
            <v>1100077</v>
          </cell>
        </row>
        <row r="10719">
          <cell r="A10719" t="str">
            <v>白1星血瞳78级</v>
          </cell>
          <cell r="B10719">
            <v>1100078</v>
          </cell>
        </row>
        <row r="10720">
          <cell r="A10720" t="str">
            <v>白1星血瞳79级</v>
          </cell>
          <cell r="B10720">
            <v>1100079</v>
          </cell>
        </row>
        <row r="10721">
          <cell r="A10721" t="str">
            <v>白1星血瞳80级</v>
          </cell>
          <cell r="B10721">
            <v>1100080</v>
          </cell>
        </row>
        <row r="10722">
          <cell r="A10722" t="str">
            <v>白1星血瞳81级</v>
          </cell>
          <cell r="B10722">
            <v>1100081</v>
          </cell>
        </row>
        <row r="10723">
          <cell r="A10723" t="str">
            <v>白1星血瞳82级</v>
          </cell>
          <cell r="B10723">
            <v>1100082</v>
          </cell>
        </row>
        <row r="10724">
          <cell r="A10724" t="str">
            <v>白1星血瞳83级</v>
          </cell>
          <cell r="B10724">
            <v>1100083</v>
          </cell>
        </row>
        <row r="10725">
          <cell r="A10725" t="str">
            <v>白1星血瞳84级</v>
          </cell>
          <cell r="B10725">
            <v>1100084</v>
          </cell>
        </row>
        <row r="10726">
          <cell r="A10726" t="str">
            <v>白1星血瞳85级</v>
          </cell>
          <cell r="B10726">
            <v>1100085</v>
          </cell>
        </row>
        <row r="10727">
          <cell r="A10727" t="str">
            <v>白1星血瞳86级</v>
          </cell>
          <cell r="B10727">
            <v>1100086</v>
          </cell>
        </row>
        <row r="10728">
          <cell r="A10728" t="str">
            <v>白1星血瞳87级</v>
          </cell>
          <cell r="B10728">
            <v>1100087</v>
          </cell>
        </row>
        <row r="10729">
          <cell r="A10729" t="str">
            <v>白1星血瞳88级</v>
          </cell>
          <cell r="B10729">
            <v>1100088</v>
          </cell>
        </row>
        <row r="10730">
          <cell r="A10730" t="str">
            <v>白1星血瞳89级</v>
          </cell>
          <cell r="B10730">
            <v>1100089</v>
          </cell>
        </row>
        <row r="10731">
          <cell r="A10731" t="str">
            <v>白1星血瞳90级</v>
          </cell>
          <cell r="B10731">
            <v>1100090</v>
          </cell>
        </row>
        <row r="10732">
          <cell r="A10732" t="str">
            <v>白1星血瞳91级</v>
          </cell>
          <cell r="B10732">
            <v>1100091</v>
          </cell>
        </row>
        <row r="10733">
          <cell r="A10733" t="str">
            <v>白1星血瞳92级</v>
          </cell>
          <cell r="B10733">
            <v>1100092</v>
          </cell>
        </row>
        <row r="10734">
          <cell r="A10734" t="str">
            <v>白1星血瞳93级</v>
          </cell>
          <cell r="B10734">
            <v>1100093</v>
          </cell>
        </row>
        <row r="10735">
          <cell r="A10735" t="str">
            <v>白1星血瞳94级</v>
          </cell>
          <cell r="B10735">
            <v>1100094</v>
          </cell>
        </row>
        <row r="10736">
          <cell r="A10736" t="str">
            <v>白1星血瞳95级</v>
          </cell>
          <cell r="B10736">
            <v>1100095</v>
          </cell>
        </row>
        <row r="10737">
          <cell r="A10737" t="str">
            <v>白1星血瞳96级</v>
          </cell>
          <cell r="B10737">
            <v>1100096</v>
          </cell>
        </row>
        <row r="10738">
          <cell r="A10738" t="str">
            <v>白1星血瞳97级</v>
          </cell>
          <cell r="B10738">
            <v>1100097</v>
          </cell>
        </row>
        <row r="10739">
          <cell r="A10739" t="str">
            <v>白1星血瞳98级</v>
          </cell>
          <cell r="B10739">
            <v>1100098</v>
          </cell>
        </row>
        <row r="10740">
          <cell r="A10740" t="str">
            <v>白1星血瞳99级</v>
          </cell>
          <cell r="B10740">
            <v>1100099</v>
          </cell>
        </row>
        <row r="10741">
          <cell r="A10741" t="str">
            <v>白1星血瞳100级</v>
          </cell>
          <cell r="B10741">
            <v>1100100</v>
          </cell>
        </row>
        <row r="10742">
          <cell r="A10742" t="str">
            <v>白2星血瞳1级</v>
          </cell>
          <cell r="B10742">
            <v>1101001</v>
          </cell>
        </row>
        <row r="10743">
          <cell r="A10743" t="str">
            <v>白2星血瞳2级</v>
          </cell>
          <cell r="B10743">
            <v>1101002</v>
          </cell>
        </row>
        <row r="10744">
          <cell r="A10744" t="str">
            <v>白2星血瞳3级</v>
          </cell>
          <cell r="B10744">
            <v>1101003</v>
          </cell>
        </row>
        <row r="10745">
          <cell r="A10745" t="str">
            <v>白2星血瞳4级</v>
          </cell>
          <cell r="B10745">
            <v>1101004</v>
          </cell>
        </row>
        <row r="10746">
          <cell r="A10746" t="str">
            <v>白2星血瞳5级</v>
          </cell>
          <cell r="B10746">
            <v>1101005</v>
          </cell>
        </row>
        <row r="10747">
          <cell r="A10747" t="str">
            <v>白2星血瞳6级</v>
          </cell>
          <cell r="B10747">
            <v>1101006</v>
          </cell>
        </row>
        <row r="10748">
          <cell r="A10748" t="str">
            <v>白2星血瞳7级</v>
          </cell>
          <cell r="B10748">
            <v>1101007</v>
          </cell>
        </row>
        <row r="10749">
          <cell r="A10749" t="str">
            <v>白2星血瞳8级</v>
          </cell>
          <cell r="B10749">
            <v>1101008</v>
          </cell>
        </row>
        <row r="10750">
          <cell r="A10750" t="str">
            <v>白2星血瞳9级</v>
          </cell>
          <cell r="B10750">
            <v>1101009</v>
          </cell>
        </row>
        <row r="10751">
          <cell r="A10751" t="str">
            <v>白2星血瞳10级</v>
          </cell>
          <cell r="B10751">
            <v>1101010</v>
          </cell>
        </row>
        <row r="10752">
          <cell r="A10752" t="str">
            <v>白2星血瞳11级</v>
          </cell>
          <cell r="B10752">
            <v>1101011</v>
          </cell>
        </row>
        <row r="10753">
          <cell r="A10753" t="str">
            <v>白2星血瞳12级</v>
          </cell>
          <cell r="B10753">
            <v>1101012</v>
          </cell>
        </row>
        <row r="10754">
          <cell r="A10754" t="str">
            <v>白2星血瞳13级</v>
          </cell>
          <cell r="B10754">
            <v>1101013</v>
          </cell>
        </row>
        <row r="10755">
          <cell r="A10755" t="str">
            <v>白2星血瞳14级</v>
          </cell>
          <cell r="B10755">
            <v>1101014</v>
          </cell>
        </row>
        <row r="10756">
          <cell r="A10756" t="str">
            <v>白2星血瞳15级</v>
          </cell>
          <cell r="B10756">
            <v>1101015</v>
          </cell>
        </row>
        <row r="10757">
          <cell r="A10757" t="str">
            <v>白2星血瞳16级</v>
          </cell>
          <cell r="B10757">
            <v>1101016</v>
          </cell>
        </row>
        <row r="10758">
          <cell r="A10758" t="str">
            <v>白2星血瞳17级</v>
          </cell>
          <cell r="B10758">
            <v>1101017</v>
          </cell>
        </row>
        <row r="10759">
          <cell r="A10759" t="str">
            <v>白2星血瞳18级</v>
          </cell>
          <cell r="B10759">
            <v>1101018</v>
          </cell>
        </row>
        <row r="10760">
          <cell r="A10760" t="str">
            <v>白2星血瞳19级</v>
          </cell>
          <cell r="B10760">
            <v>1101019</v>
          </cell>
        </row>
        <row r="10761">
          <cell r="A10761" t="str">
            <v>白2星血瞳20级</v>
          </cell>
          <cell r="B10761">
            <v>1101020</v>
          </cell>
        </row>
        <row r="10762">
          <cell r="A10762" t="str">
            <v>白2星血瞳21级</v>
          </cell>
          <cell r="B10762">
            <v>1101021</v>
          </cell>
        </row>
        <row r="10763">
          <cell r="A10763" t="str">
            <v>白2星血瞳22级</v>
          </cell>
          <cell r="B10763">
            <v>1101022</v>
          </cell>
        </row>
        <row r="10764">
          <cell r="A10764" t="str">
            <v>白2星血瞳23级</v>
          </cell>
          <cell r="B10764">
            <v>1101023</v>
          </cell>
        </row>
        <row r="10765">
          <cell r="A10765" t="str">
            <v>白2星血瞳24级</v>
          </cell>
          <cell r="B10765">
            <v>1101024</v>
          </cell>
        </row>
        <row r="10766">
          <cell r="A10766" t="str">
            <v>白2星血瞳25级</v>
          </cell>
          <cell r="B10766">
            <v>1101025</v>
          </cell>
        </row>
        <row r="10767">
          <cell r="A10767" t="str">
            <v>白2星血瞳26级</v>
          </cell>
          <cell r="B10767">
            <v>1101026</v>
          </cell>
        </row>
        <row r="10768">
          <cell r="A10768" t="str">
            <v>白2星血瞳27级</v>
          </cell>
          <cell r="B10768">
            <v>1101027</v>
          </cell>
        </row>
        <row r="10769">
          <cell r="A10769" t="str">
            <v>白2星血瞳28级</v>
          </cell>
          <cell r="B10769">
            <v>1101028</v>
          </cell>
        </row>
        <row r="10770">
          <cell r="A10770" t="str">
            <v>白2星血瞳29级</v>
          </cell>
          <cell r="B10770">
            <v>1101029</v>
          </cell>
        </row>
        <row r="10771">
          <cell r="A10771" t="str">
            <v>白2星血瞳30级</v>
          </cell>
          <cell r="B10771">
            <v>1101030</v>
          </cell>
        </row>
        <row r="10772">
          <cell r="A10772" t="str">
            <v>白2星血瞳31级</v>
          </cell>
          <cell r="B10772">
            <v>1101031</v>
          </cell>
        </row>
        <row r="10773">
          <cell r="A10773" t="str">
            <v>白2星血瞳32级</v>
          </cell>
          <cell r="B10773">
            <v>1101032</v>
          </cell>
        </row>
        <row r="10774">
          <cell r="A10774" t="str">
            <v>白2星血瞳33级</v>
          </cell>
          <cell r="B10774">
            <v>1101033</v>
          </cell>
        </row>
        <row r="10775">
          <cell r="A10775" t="str">
            <v>白2星血瞳34级</v>
          </cell>
          <cell r="B10775">
            <v>1101034</v>
          </cell>
        </row>
        <row r="10776">
          <cell r="A10776" t="str">
            <v>白2星血瞳35级</v>
          </cell>
          <cell r="B10776">
            <v>1101035</v>
          </cell>
        </row>
        <row r="10777">
          <cell r="A10777" t="str">
            <v>白2星血瞳36级</v>
          </cell>
          <cell r="B10777">
            <v>1101036</v>
          </cell>
        </row>
        <row r="10778">
          <cell r="A10778" t="str">
            <v>白2星血瞳37级</v>
          </cell>
          <cell r="B10778">
            <v>1101037</v>
          </cell>
        </row>
        <row r="10779">
          <cell r="A10779" t="str">
            <v>白2星血瞳38级</v>
          </cell>
          <cell r="B10779">
            <v>1101038</v>
          </cell>
        </row>
        <row r="10780">
          <cell r="A10780" t="str">
            <v>白2星血瞳39级</v>
          </cell>
          <cell r="B10780">
            <v>1101039</v>
          </cell>
        </row>
        <row r="10781">
          <cell r="A10781" t="str">
            <v>白2星血瞳40级</v>
          </cell>
          <cell r="B10781">
            <v>1101040</v>
          </cell>
        </row>
        <row r="10782">
          <cell r="A10782" t="str">
            <v>白2星血瞳41级</v>
          </cell>
          <cell r="B10782">
            <v>1101041</v>
          </cell>
        </row>
        <row r="10783">
          <cell r="A10783" t="str">
            <v>白2星血瞳42级</v>
          </cell>
          <cell r="B10783">
            <v>1101042</v>
          </cell>
        </row>
        <row r="10784">
          <cell r="A10784" t="str">
            <v>白2星血瞳43级</v>
          </cell>
          <cell r="B10784">
            <v>1101043</v>
          </cell>
        </row>
        <row r="10785">
          <cell r="A10785" t="str">
            <v>白2星血瞳44级</v>
          </cell>
          <cell r="B10785">
            <v>1101044</v>
          </cell>
        </row>
        <row r="10786">
          <cell r="A10786" t="str">
            <v>白2星血瞳45级</v>
          </cell>
          <cell r="B10786">
            <v>1101045</v>
          </cell>
        </row>
        <row r="10787">
          <cell r="A10787" t="str">
            <v>白2星血瞳46级</v>
          </cell>
          <cell r="B10787">
            <v>1101046</v>
          </cell>
        </row>
        <row r="10788">
          <cell r="A10788" t="str">
            <v>白2星血瞳47级</v>
          </cell>
          <cell r="B10788">
            <v>1101047</v>
          </cell>
        </row>
        <row r="10789">
          <cell r="A10789" t="str">
            <v>白2星血瞳48级</v>
          </cell>
          <cell r="B10789">
            <v>1101048</v>
          </cell>
        </row>
        <row r="10790">
          <cell r="A10790" t="str">
            <v>白2星血瞳49级</v>
          </cell>
          <cell r="B10790">
            <v>1101049</v>
          </cell>
        </row>
        <row r="10791">
          <cell r="A10791" t="str">
            <v>白2星血瞳50级</v>
          </cell>
          <cell r="B10791">
            <v>1101050</v>
          </cell>
        </row>
        <row r="10792">
          <cell r="A10792" t="str">
            <v>白2星血瞳51级</v>
          </cell>
          <cell r="B10792">
            <v>1101051</v>
          </cell>
        </row>
        <row r="10793">
          <cell r="A10793" t="str">
            <v>白2星血瞳52级</v>
          </cell>
          <cell r="B10793">
            <v>1101052</v>
          </cell>
        </row>
        <row r="10794">
          <cell r="A10794" t="str">
            <v>白2星血瞳53级</v>
          </cell>
          <cell r="B10794">
            <v>1101053</v>
          </cell>
        </row>
        <row r="10795">
          <cell r="A10795" t="str">
            <v>白2星血瞳54级</v>
          </cell>
          <cell r="B10795">
            <v>1101054</v>
          </cell>
        </row>
        <row r="10796">
          <cell r="A10796" t="str">
            <v>白2星血瞳55级</v>
          </cell>
          <cell r="B10796">
            <v>1101055</v>
          </cell>
        </row>
        <row r="10797">
          <cell r="A10797" t="str">
            <v>白2星血瞳56级</v>
          </cell>
          <cell r="B10797">
            <v>1101056</v>
          </cell>
        </row>
        <row r="10798">
          <cell r="A10798" t="str">
            <v>白2星血瞳57级</v>
          </cell>
          <cell r="B10798">
            <v>1101057</v>
          </cell>
        </row>
        <row r="10799">
          <cell r="A10799" t="str">
            <v>白2星血瞳58级</v>
          </cell>
          <cell r="B10799">
            <v>1101058</v>
          </cell>
        </row>
        <row r="10800">
          <cell r="A10800" t="str">
            <v>白2星血瞳59级</v>
          </cell>
          <cell r="B10800">
            <v>1101059</v>
          </cell>
        </row>
        <row r="10801">
          <cell r="A10801" t="str">
            <v>白2星血瞳60级</v>
          </cell>
          <cell r="B10801">
            <v>1101060</v>
          </cell>
        </row>
        <row r="10802">
          <cell r="A10802" t="str">
            <v>白2星血瞳61级</v>
          </cell>
          <cell r="B10802">
            <v>1101061</v>
          </cell>
        </row>
        <row r="10803">
          <cell r="A10803" t="str">
            <v>白2星血瞳62级</v>
          </cell>
          <cell r="B10803">
            <v>1101062</v>
          </cell>
        </row>
        <row r="10804">
          <cell r="A10804" t="str">
            <v>白2星血瞳63级</v>
          </cell>
          <cell r="B10804">
            <v>1101063</v>
          </cell>
        </row>
        <row r="10805">
          <cell r="A10805" t="str">
            <v>白2星血瞳64级</v>
          </cell>
          <cell r="B10805">
            <v>1101064</v>
          </cell>
        </row>
        <row r="10806">
          <cell r="A10806" t="str">
            <v>白2星血瞳65级</v>
          </cell>
          <cell r="B10806">
            <v>1101065</v>
          </cell>
        </row>
        <row r="10807">
          <cell r="A10807" t="str">
            <v>白2星血瞳66级</v>
          </cell>
          <cell r="B10807">
            <v>1101066</v>
          </cell>
        </row>
        <row r="10808">
          <cell r="A10808" t="str">
            <v>白2星血瞳67级</v>
          </cell>
          <cell r="B10808">
            <v>1101067</v>
          </cell>
        </row>
        <row r="10809">
          <cell r="A10809" t="str">
            <v>白2星血瞳68级</v>
          </cell>
          <cell r="B10809">
            <v>1101068</v>
          </cell>
        </row>
        <row r="10810">
          <cell r="A10810" t="str">
            <v>白2星血瞳69级</v>
          </cell>
          <cell r="B10810">
            <v>1101069</v>
          </cell>
        </row>
        <row r="10811">
          <cell r="A10811" t="str">
            <v>白2星血瞳70级</v>
          </cell>
          <cell r="B10811">
            <v>1101070</v>
          </cell>
        </row>
        <row r="10812">
          <cell r="A10812" t="str">
            <v>白2星血瞳71级</v>
          </cell>
          <cell r="B10812">
            <v>1101071</v>
          </cell>
        </row>
        <row r="10813">
          <cell r="A10813" t="str">
            <v>白2星血瞳72级</v>
          </cell>
          <cell r="B10813">
            <v>1101072</v>
          </cell>
        </row>
        <row r="10814">
          <cell r="A10814" t="str">
            <v>白2星血瞳73级</v>
          </cell>
          <cell r="B10814">
            <v>1101073</v>
          </cell>
        </row>
        <row r="10815">
          <cell r="A10815" t="str">
            <v>白2星血瞳74级</v>
          </cell>
          <cell r="B10815">
            <v>1101074</v>
          </cell>
        </row>
        <row r="10816">
          <cell r="A10816" t="str">
            <v>白2星血瞳75级</v>
          </cell>
          <cell r="B10816">
            <v>1101075</v>
          </cell>
        </row>
        <row r="10817">
          <cell r="A10817" t="str">
            <v>白2星血瞳76级</v>
          </cell>
          <cell r="B10817">
            <v>1101076</v>
          </cell>
        </row>
        <row r="10818">
          <cell r="A10818" t="str">
            <v>白2星血瞳77级</v>
          </cell>
          <cell r="B10818">
            <v>1101077</v>
          </cell>
        </row>
        <row r="10819">
          <cell r="A10819" t="str">
            <v>白2星血瞳78级</v>
          </cell>
          <cell r="B10819">
            <v>1101078</v>
          </cell>
        </row>
        <row r="10820">
          <cell r="A10820" t="str">
            <v>白2星血瞳79级</v>
          </cell>
          <cell r="B10820">
            <v>1101079</v>
          </cell>
        </row>
        <row r="10821">
          <cell r="A10821" t="str">
            <v>白2星血瞳80级</v>
          </cell>
          <cell r="B10821">
            <v>1101080</v>
          </cell>
        </row>
        <row r="10822">
          <cell r="A10822" t="str">
            <v>白2星血瞳81级</v>
          </cell>
          <cell r="B10822">
            <v>1101081</v>
          </cell>
        </row>
        <row r="10823">
          <cell r="A10823" t="str">
            <v>白2星血瞳82级</v>
          </cell>
          <cell r="B10823">
            <v>1101082</v>
          </cell>
        </row>
        <row r="10824">
          <cell r="A10824" t="str">
            <v>白2星血瞳83级</v>
          </cell>
          <cell r="B10824">
            <v>1101083</v>
          </cell>
        </row>
        <row r="10825">
          <cell r="A10825" t="str">
            <v>白2星血瞳84级</v>
          </cell>
          <cell r="B10825">
            <v>1101084</v>
          </cell>
        </row>
        <row r="10826">
          <cell r="A10826" t="str">
            <v>白2星血瞳85级</v>
          </cell>
          <cell r="B10826">
            <v>1101085</v>
          </cell>
        </row>
        <row r="10827">
          <cell r="A10827" t="str">
            <v>白2星血瞳86级</v>
          </cell>
          <cell r="B10827">
            <v>1101086</v>
          </cell>
        </row>
        <row r="10828">
          <cell r="A10828" t="str">
            <v>白2星血瞳87级</v>
          </cell>
          <cell r="B10828">
            <v>1101087</v>
          </cell>
        </row>
        <row r="10829">
          <cell r="A10829" t="str">
            <v>白2星血瞳88级</v>
          </cell>
          <cell r="B10829">
            <v>1101088</v>
          </cell>
        </row>
        <row r="10830">
          <cell r="A10830" t="str">
            <v>白2星血瞳89级</v>
          </cell>
          <cell r="B10830">
            <v>1101089</v>
          </cell>
        </row>
        <row r="10831">
          <cell r="A10831" t="str">
            <v>白2星血瞳90级</v>
          </cell>
          <cell r="B10831">
            <v>1101090</v>
          </cell>
        </row>
        <row r="10832">
          <cell r="A10832" t="str">
            <v>白2星血瞳91级</v>
          </cell>
          <cell r="B10832">
            <v>1101091</v>
          </cell>
        </row>
        <row r="10833">
          <cell r="A10833" t="str">
            <v>白2星血瞳92级</v>
          </cell>
          <cell r="B10833">
            <v>1101092</v>
          </cell>
        </row>
        <row r="10834">
          <cell r="A10834" t="str">
            <v>白2星血瞳93级</v>
          </cell>
          <cell r="B10834">
            <v>1101093</v>
          </cell>
        </row>
        <row r="10835">
          <cell r="A10835" t="str">
            <v>白2星血瞳94级</v>
          </cell>
          <cell r="B10835">
            <v>1101094</v>
          </cell>
        </row>
        <row r="10836">
          <cell r="A10836" t="str">
            <v>白2星血瞳95级</v>
          </cell>
          <cell r="B10836">
            <v>1101095</v>
          </cell>
        </row>
        <row r="10837">
          <cell r="A10837" t="str">
            <v>白2星血瞳96级</v>
          </cell>
          <cell r="B10837">
            <v>1101096</v>
          </cell>
        </row>
        <row r="10838">
          <cell r="A10838" t="str">
            <v>白2星血瞳97级</v>
          </cell>
          <cell r="B10838">
            <v>1101097</v>
          </cell>
        </row>
        <row r="10839">
          <cell r="A10839" t="str">
            <v>白2星血瞳98级</v>
          </cell>
          <cell r="B10839">
            <v>1101098</v>
          </cell>
        </row>
        <row r="10840">
          <cell r="A10840" t="str">
            <v>白2星血瞳99级</v>
          </cell>
          <cell r="B10840">
            <v>1101099</v>
          </cell>
        </row>
        <row r="10841">
          <cell r="A10841" t="str">
            <v>白2星血瞳100级</v>
          </cell>
          <cell r="B10841">
            <v>1101100</v>
          </cell>
        </row>
        <row r="10842">
          <cell r="A10842" t="str">
            <v>紫1星血瞳1级</v>
          </cell>
          <cell r="B10842">
            <v>1102001</v>
          </cell>
        </row>
        <row r="10843">
          <cell r="A10843" t="str">
            <v>紫1星血瞳2级</v>
          </cell>
          <cell r="B10843">
            <v>1102002</v>
          </cell>
        </row>
        <row r="10844">
          <cell r="A10844" t="str">
            <v>紫1星血瞳3级</v>
          </cell>
          <cell r="B10844">
            <v>1102003</v>
          </cell>
        </row>
        <row r="10845">
          <cell r="A10845" t="str">
            <v>紫1星血瞳4级</v>
          </cell>
          <cell r="B10845">
            <v>1102004</v>
          </cell>
        </row>
        <row r="10846">
          <cell r="A10846" t="str">
            <v>紫1星血瞳5级</v>
          </cell>
          <cell r="B10846">
            <v>1102005</v>
          </cell>
        </row>
        <row r="10847">
          <cell r="A10847" t="str">
            <v>紫1星血瞳6级</v>
          </cell>
          <cell r="B10847">
            <v>1102006</v>
          </cell>
        </row>
        <row r="10848">
          <cell r="A10848" t="str">
            <v>紫1星血瞳7级</v>
          </cell>
          <cell r="B10848">
            <v>1102007</v>
          </cell>
        </row>
        <row r="10849">
          <cell r="A10849" t="str">
            <v>紫1星血瞳8级</v>
          </cell>
          <cell r="B10849">
            <v>1102008</v>
          </cell>
        </row>
        <row r="10850">
          <cell r="A10850" t="str">
            <v>紫1星血瞳9级</v>
          </cell>
          <cell r="B10850">
            <v>1102009</v>
          </cell>
        </row>
        <row r="10851">
          <cell r="A10851" t="str">
            <v>紫1星血瞳10级</v>
          </cell>
          <cell r="B10851">
            <v>1102010</v>
          </cell>
        </row>
        <row r="10852">
          <cell r="A10852" t="str">
            <v>紫1星血瞳11级</v>
          </cell>
          <cell r="B10852">
            <v>1102011</v>
          </cell>
        </row>
        <row r="10853">
          <cell r="A10853" t="str">
            <v>紫1星血瞳12级</v>
          </cell>
          <cell r="B10853">
            <v>1102012</v>
          </cell>
        </row>
        <row r="10854">
          <cell r="A10854" t="str">
            <v>紫1星血瞳13级</v>
          </cell>
          <cell r="B10854">
            <v>1102013</v>
          </cell>
        </row>
        <row r="10855">
          <cell r="A10855" t="str">
            <v>紫1星血瞳14级</v>
          </cell>
          <cell r="B10855">
            <v>1102014</v>
          </cell>
        </row>
        <row r="10856">
          <cell r="A10856" t="str">
            <v>紫1星血瞳15级</v>
          </cell>
          <cell r="B10856">
            <v>1102015</v>
          </cell>
        </row>
        <row r="10857">
          <cell r="A10857" t="str">
            <v>紫1星血瞳16级</v>
          </cell>
          <cell r="B10857">
            <v>1102016</v>
          </cell>
        </row>
        <row r="10858">
          <cell r="A10858" t="str">
            <v>紫1星血瞳17级</v>
          </cell>
          <cell r="B10858">
            <v>1102017</v>
          </cell>
        </row>
        <row r="10859">
          <cell r="A10859" t="str">
            <v>紫1星血瞳18级</v>
          </cell>
          <cell r="B10859">
            <v>1102018</v>
          </cell>
        </row>
        <row r="10860">
          <cell r="A10860" t="str">
            <v>紫1星血瞳19级</v>
          </cell>
          <cell r="B10860">
            <v>1102019</v>
          </cell>
        </row>
        <row r="10861">
          <cell r="A10861" t="str">
            <v>紫1星血瞳20级</v>
          </cell>
          <cell r="B10861">
            <v>1102020</v>
          </cell>
        </row>
        <row r="10862">
          <cell r="A10862" t="str">
            <v>紫1星血瞳21级</v>
          </cell>
          <cell r="B10862">
            <v>1102021</v>
          </cell>
        </row>
        <row r="10863">
          <cell r="A10863" t="str">
            <v>紫1星血瞳22级</v>
          </cell>
          <cell r="B10863">
            <v>1102022</v>
          </cell>
        </row>
        <row r="10864">
          <cell r="A10864" t="str">
            <v>紫1星血瞳23级</v>
          </cell>
          <cell r="B10864">
            <v>1102023</v>
          </cell>
        </row>
        <row r="10865">
          <cell r="A10865" t="str">
            <v>紫1星血瞳24级</v>
          </cell>
          <cell r="B10865">
            <v>1102024</v>
          </cell>
        </row>
        <row r="10866">
          <cell r="A10866" t="str">
            <v>紫1星血瞳25级</v>
          </cell>
          <cell r="B10866">
            <v>1102025</v>
          </cell>
        </row>
        <row r="10867">
          <cell r="A10867" t="str">
            <v>紫1星血瞳26级</v>
          </cell>
          <cell r="B10867">
            <v>1102026</v>
          </cell>
        </row>
        <row r="10868">
          <cell r="A10868" t="str">
            <v>紫1星血瞳27级</v>
          </cell>
          <cell r="B10868">
            <v>1102027</v>
          </cell>
        </row>
        <row r="10869">
          <cell r="A10869" t="str">
            <v>紫1星血瞳28级</v>
          </cell>
          <cell r="B10869">
            <v>1102028</v>
          </cell>
        </row>
        <row r="10870">
          <cell r="A10870" t="str">
            <v>紫1星血瞳29级</v>
          </cell>
          <cell r="B10870">
            <v>1102029</v>
          </cell>
        </row>
        <row r="10871">
          <cell r="A10871" t="str">
            <v>紫1星血瞳30级</v>
          </cell>
          <cell r="B10871">
            <v>1102030</v>
          </cell>
        </row>
        <row r="10872">
          <cell r="A10872" t="str">
            <v>紫1星血瞳31级</v>
          </cell>
          <cell r="B10872">
            <v>1102031</v>
          </cell>
        </row>
        <row r="10873">
          <cell r="A10873" t="str">
            <v>紫1星血瞳32级</v>
          </cell>
          <cell r="B10873">
            <v>1102032</v>
          </cell>
        </row>
        <row r="10874">
          <cell r="A10874" t="str">
            <v>紫1星血瞳33级</v>
          </cell>
          <cell r="B10874">
            <v>1102033</v>
          </cell>
        </row>
        <row r="10875">
          <cell r="A10875" t="str">
            <v>紫1星血瞳34级</v>
          </cell>
          <cell r="B10875">
            <v>1102034</v>
          </cell>
        </row>
        <row r="10876">
          <cell r="A10876" t="str">
            <v>紫1星血瞳35级</v>
          </cell>
          <cell r="B10876">
            <v>1102035</v>
          </cell>
        </row>
        <row r="10877">
          <cell r="A10877" t="str">
            <v>紫1星血瞳36级</v>
          </cell>
          <cell r="B10877">
            <v>1102036</v>
          </cell>
        </row>
        <row r="10878">
          <cell r="A10878" t="str">
            <v>紫1星血瞳37级</v>
          </cell>
          <cell r="B10878">
            <v>1102037</v>
          </cell>
        </row>
        <row r="10879">
          <cell r="A10879" t="str">
            <v>紫1星血瞳38级</v>
          </cell>
          <cell r="B10879">
            <v>1102038</v>
          </cell>
        </row>
        <row r="10880">
          <cell r="A10880" t="str">
            <v>紫1星血瞳39级</v>
          </cell>
          <cell r="B10880">
            <v>1102039</v>
          </cell>
        </row>
        <row r="10881">
          <cell r="A10881" t="str">
            <v>紫1星血瞳40级</v>
          </cell>
          <cell r="B10881">
            <v>1102040</v>
          </cell>
        </row>
        <row r="10882">
          <cell r="A10882" t="str">
            <v>紫1星血瞳41级</v>
          </cell>
          <cell r="B10882">
            <v>1102041</v>
          </cell>
        </row>
        <row r="10883">
          <cell r="A10883" t="str">
            <v>紫1星血瞳42级</v>
          </cell>
          <cell r="B10883">
            <v>1102042</v>
          </cell>
        </row>
        <row r="10884">
          <cell r="A10884" t="str">
            <v>紫1星血瞳43级</v>
          </cell>
          <cell r="B10884">
            <v>1102043</v>
          </cell>
        </row>
        <row r="10885">
          <cell r="A10885" t="str">
            <v>紫1星血瞳44级</v>
          </cell>
          <cell r="B10885">
            <v>1102044</v>
          </cell>
        </row>
        <row r="10886">
          <cell r="A10886" t="str">
            <v>紫1星血瞳45级</v>
          </cell>
          <cell r="B10886">
            <v>1102045</v>
          </cell>
        </row>
        <row r="10887">
          <cell r="A10887" t="str">
            <v>紫1星血瞳46级</v>
          </cell>
          <cell r="B10887">
            <v>1102046</v>
          </cell>
        </row>
        <row r="10888">
          <cell r="A10888" t="str">
            <v>紫1星血瞳47级</v>
          </cell>
          <cell r="B10888">
            <v>1102047</v>
          </cell>
        </row>
        <row r="10889">
          <cell r="A10889" t="str">
            <v>紫1星血瞳48级</v>
          </cell>
          <cell r="B10889">
            <v>1102048</v>
          </cell>
        </row>
        <row r="10890">
          <cell r="A10890" t="str">
            <v>紫1星血瞳49级</v>
          </cell>
          <cell r="B10890">
            <v>1102049</v>
          </cell>
        </row>
        <row r="10891">
          <cell r="A10891" t="str">
            <v>紫1星血瞳50级</v>
          </cell>
          <cell r="B10891">
            <v>1102050</v>
          </cell>
        </row>
        <row r="10892">
          <cell r="A10892" t="str">
            <v>紫1星血瞳51级</v>
          </cell>
          <cell r="B10892">
            <v>1102051</v>
          </cell>
        </row>
        <row r="10893">
          <cell r="A10893" t="str">
            <v>紫1星血瞳52级</v>
          </cell>
          <cell r="B10893">
            <v>1102052</v>
          </cell>
        </row>
        <row r="10894">
          <cell r="A10894" t="str">
            <v>紫1星血瞳53级</v>
          </cell>
          <cell r="B10894">
            <v>1102053</v>
          </cell>
        </row>
        <row r="10895">
          <cell r="A10895" t="str">
            <v>紫1星血瞳54级</v>
          </cell>
          <cell r="B10895">
            <v>1102054</v>
          </cell>
        </row>
        <row r="10896">
          <cell r="A10896" t="str">
            <v>紫1星血瞳55级</v>
          </cell>
          <cell r="B10896">
            <v>1102055</v>
          </cell>
        </row>
        <row r="10897">
          <cell r="A10897" t="str">
            <v>紫1星血瞳56级</v>
          </cell>
          <cell r="B10897">
            <v>1102056</v>
          </cell>
        </row>
        <row r="10898">
          <cell r="A10898" t="str">
            <v>紫1星血瞳57级</v>
          </cell>
          <cell r="B10898">
            <v>1102057</v>
          </cell>
        </row>
        <row r="10899">
          <cell r="A10899" t="str">
            <v>紫1星血瞳58级</v>
          </cell>
          <cell r="B10899">
            <v>1102058</v>
          </cell>
        </row>
        <row r="10900">
          <cell r="A10900" t="str">
            <v>紫1星血瞳59级</v>
          </cell>
          <cell r="B10900">
            <v>1102059</v>
          </cell>
        </row>
        <row r="10901">
          <cell r="A10901" t="str">
            <v>紫1星血瞳60级</v>
          </cell>
          <cell r="B10901">
            <v>1102060</v>
          </cell>
        </row>
        <row r="10902">
          <cell r="A10902" t="str">
            <v>紫1星血瞳61级</v>
          </cell>
          <cell r="B10902">
            <v>1102061</v>
          </cell>
        </row>
        <row r="10903">
          <cell r="A10903" t="str">
            <v>紫1星血瞳62级</v>
          </cell>
          <cell r="B10903">
            <v>1102062</v>
          </cell>
        </row>
        <row r="10904">
          <cell r="A10904" t="str">
            <v>紫1星血瞳63级</v>
          </cell>
          <cell r="B10904">
            <v>1102063</v>
          </cell>
        </row>
        <row r="10905">
          <cell r="A10905" t="str">
            <v>紫1星血瞳64级</v>
          </cell>
          <cell r="B10905">
            <v>1102064</v>
          </cell>
        </row>
        <row r="10906">
          <cell r="A10906" t="str">
            <v>紫1星血瞳65级</v>
          </cell>
          <cell r="B10906">
            <v>1102065</v>
          </cell>
        </row>
        <row r="10907">
          <cell r="A10907" t="str">
            <v>紫1星血瞳66级</v>
          </cell>
          <cell r="B10907">
            <v>1102066</v>
          </cell>
        </row>
        <row r="10908">
          <cell r="A10908" t="str">
            <v>紫1星血瞳67级</v>
          </cell>
          <cell r="B10908">
            <v>1102067</v>
          </cell>
        </row>
        <row r="10909">
          <cell r="A10909" t="str">
            <v>紫1星血瞳68级</v>
          </cell>
          <cell r="B10909">
            <v>1102068</v>
          </cell>
        </row>
        <row r="10910">
          <cell r="A10910" t="str">
            <v>紫1星血瞳69级</v>
          </cell>
          <cell r="B10910">
            <v>1102069</v>
          </cell>
        </row>
        <row r="10911">
          <cell r="A10911" t="str">
            <v>紫1星血瞳70级</v>
          </cell>
          <cell r="B10911">
            <v>1102070</v>
          </cell>
        </row>
        <row r="10912">
          <cell r="A10912" t="str">
            <v>紫1星血瞳71级</v>
          </cell>
          <cell r="B10912">
            <v>1102071</v>
          </cell>
        </row>
        <row r="10913">
          <cell r="A10913" t="str">
            <v>紫1星血瞳72级</v>
          </cell>
          <cell r="B10913">
            <v>1102072</v>
          </cell>
        </row>
        <row r="10914">
          <cell r="A10914" t="str">
            <v>紫1星血瞳73级</v>
          </cell>
          <cell r="B10914">
            <v>1102073</v>
          </cell>
        </row>
        <row r="10915">
          <cell r="A10915" t="str">
            <v>紫1星血瞳74级</v>
          </cell>
          <cell r="B10915">
            <v>1102074</v>
          </cell>
        </row>
        <row r="10916">
          <cell r="A10916" t="str">
            <v>紫1星血瞳75级</v>
          </cell>
          <cell r="B10916">
            <v>1102075</v>
          </cell>
        </row>
        <row r="10917">
          <cell r="A10917" t="str">
            <v>紫1星血瞳76级</v>
          </cell>
          <cell r="B10917">
            <v>1102076</v>
          </cell>
        </row>
        <row r="10918">
          <cell r="A10918" t="str">
            <v>紫1星血瞳77级</v>
          </cell>
          <cell r="B10918">
            <v>1102077</v>
          </cell>
        </row>
        <row r="10919">
          <cell r="A10919" t="str">
            <v>紫1星血瞳78级</v>
          </cell>
          <cell r="B10919">
            <v>1102078</v>
          </cell>
        </row>
        <row r="10920">
          <cell r="A10920" t="str">
            <v>紫1星血瞳79级</v>
          </cell>
          <cell r="B10920">
            <v>1102079</v>
          </cell>
        </row>
        <row r="10921">
          <cell r="A10921" t="str">
            <v>紫1星血瞳80级</v>
          </cell>
          <cell r="B10921">
            <v>1102080</v>
          </cell>
        </row>
        <row r="10922">
          <cell r="A10922" t="str">
            <v>紫1星血瞳81级</v>
          </cell>
          <cell r="B10922">
            <v>1102081</v>
          </cell>
        </row>
        <row r="10923">
          <cell r="A10923" t="str">
            <v>紫1星血瞳82级</v>
          </cell>
          <cell r="B10923">
            <v>1102082</v>
          </cell>
        </row>
        <row r="10924">
          <cell r="A10924" t="str">
            <v>紫1星血瞳83级</v>
          </cell>
          <cell r="B10924">
            <v>1102083</v>
          </cell>
        </row>
        <row r="10925">
          <cell r="A10925" t="str">
            <v>紫1星血瞳84级</v>
          </cell>
          <cell r="B10925">
            <v>1102084</v>
          </cell>
        </row>
        <row r="10926">
          <cell r="A10926" t="str">
            <v>紫1星血瞳85级</v>
          </cell>
          <cell r="B10926">
            <v>1102085</v>
          </cell>
        </row>
        <row r="10927">
          <cell r="A10927" t="str">
            <v>紫1星血瞳86级</v>
          </cell>
          <cell r="B10927">
            <v>1102086</v>
          </cell>
        </row>
        <row r="10928">
          <cell r="A10928" t="str">
            <v>紫1星血瞳87级</v>
          </cell>
          <cell r="B10928">
            <v>1102087</v>
          </cell>
        </row>
        <row r="10929">
          <cell r="A10929" t="str">
            <v>紫1星血瞳88级</v>
          </cell>
          <cell r="B10929">
            <v>1102088</v>
          </cell>
        </row>
        <row r="10930">
          <cell r="A10930" t="str">
            <v>紫1星血瞳89级</v>
          </cell>
          <cell r="B10930">
            <v>1102089</v>
          </cell>
        </row>
        <row r="10931">
          <cell r="A10931" t="str">
            <v>紫1星血瞳90级</v>
          </cell>
          <cell r="B10931">
            <v>1102090</v>
          </cell>
        </row>
        <row r="10932">
          <cell r="A10932" t="str">
            <v>紫1星血瞳91级</v>
          </cell>
          <cell r="B10932">
            <v>1102091</v>
          </cell>
        </row>
        <row r="10933">
          <cell r="A10933" t="str">
            <v>紫1星血瞳92级</v>
          </cell>
          <cell r="B10933">
            <v>1102092</v>
          </cell>
        </row>
        <row r="10934">
          <cell r="A10934" t="str">
            <v>紫1星血瞳93级</v>
          </cell>
          <cell r="B10934">
            <v>1102093</v>
          </cell>
        </row>
        <row r="10935">
          <cell r="A10935" t="str">
            <v>紫1星血瞳94级</v>
          </cell>
          <cell r="B10935">
            <v>1102094</v>
          </cell>
        </row>
        <row r="10936">
          <cell r="A10936" t="str">
            <v>紫1星血瞳95级</v>
          </cell>
          <cell r="B10936">
            <v>1102095</v>
          </cell>
        </row>
        <row r="10937">
          <cell r="A10937" t="str">
            <v>紫1星血瞳96级</v>
          </cell>
          <cell r="B10937">
            <v>1102096</v>
          </cell>
        </row>
        <row r="10938">
          <cell r="A10938" t="str">
            <v>紫1星血瞳97级</v>
          </cell>
          <cell r="B10938">
            <v>1102097</v>
          </cell>
        </row>
        <row r="10939">
          <cell r="A10939" t="str">
            <v>紫1星血瞳98级</v>
          </cell>
          <cell r="B10939">
            <v>1102098</v>
          </cell>
        </row>
        <row r="10940">
          <cell r="A10940" t="str">
            <v>紫1星血瞳99级</v>
          </cell>
          <cell r="B10940">
            <v>1102099</v>
          </cell>
        </row>
        <row r="10941">
          <cell r="A10941" t="str">
            <v>紫1星血瞳100级</v>
          </cell>
          <cell r="B10941">
            <v>1102100</v>
          </cell>
        </row>
        <row r="10942">
          <cell r="A10942" t="str">
            <v>紫2星血瞳1级</v>
          </cell>
          <cell r="B10942">
            <v>1103001</v>
          </cell>
        </row>
        <row r="10943">
          <cell r="A10943" t="str">
            <v>紫2星血瞳2级</v>
          </cell>
          <cell r="B10943">
            <v>1103002</v>
          </cell>
        </row>
        <row r="10944">
          <cell r="A10944" t="str">
            <v>紫2星血瞳3级</v>
          </cell>
          <cell r="B10944">
            <v>1103003</v>
          </cell>
        </row>
        <row r="10945">
          <cell r="A10945" t="str">
            <v>紫2星血瞳4级</v>
          </cell>
          <cell r="B10945">
            <v>1103004</v>
          </cell>
        </row>
        <row r="10946">
          <cell r="A10946" t="str">
            <v>紫2星血瞳5级</v>
          </cell>
          <cell r="B10946">
            <v>1103005</v>
          </cell>
        </row>
        <row r="10947">
          <cell r="A10947" t="str">
            <v>紫2星血瞳6级</v>
          </cell>
          <cell r="B10947">
            <v>1103006</v>
          </cell>
        </row>
        <row r="10948">
          <cell r="A10948" t="str">
            <v>紫2星血瞳7级</v>
          </cell>
          <cell r="B10948">
            <v>1103007</v>
          </cell>
        </row>
        <row r="10949">
          <cell r="A10949" t="str">
            <v>紫2星血瞳8级</v>
          </cell>
          <cell r="B10949">
            <v>1103008</v>
          </cell>
        </row>
        <row r="10950">
          <cell r="A10950" t="str">
            <v>紫2星血瞳9级</v>
          </cell>
          <cell r="B10950">
            <v>1103009</v>
          </cell>
        </row>
        <row r="10951">
          <cell r="A10951" t="str">
            <v>紫2星血瞳10级</v>
          </cell>
          <cell r="B10951">
            <v>1103010</v>
          </cell>
        </row>
        <row r="10952">
          <cell r="A10952" t="str">
            <v>紫2星血瞳11级</v>
          </cell>
          <cell r="B10952">
            <v>1103011</v>
          </cell>
        </row>
        <row r="10953">
          <cell r="A10953" t="str">
            <v>紫2星血瞳12级</v>
          </cell>
          <cell r="B10953">
            <v>1103012</v>
          </cell>
        </row>
        <row r="10954">
          <cell r="A10954" t="str">
            <v>紫2星血瞳13级</v>
          </cell>
          <cell r="B10954">
            <v>1103013</v>
          </cell>
        </row>
        <row r="10955">
          <cell r="A10955" t="str">
            <v>紫2星血瞳14级</v>
          </cell>
          <cell r="B10955">
            <v>1103014</v>
          </cell>
        </row>
        <row r="10956">
          <cell r="A10956" t="str">
            <v>紫2星血瞳15级</v>
          </cell>
          <cell r="B10956">
            <v>1103015</v>
          </cell>
        </row>
        <row r="10957">
          <cell r="A10957" t="str">
            <v>紫2星血瞳16级</v>
          </cell>
          <cell r="B10957">
            <v>1103016</v>
          </cell>
        </row>
        <row r="10958">
          <cell r="A10958" t="str">
            <v>紫2星血瞳17级</v>
          </cell>
          <cell r="B10958">
            <v>1103017</v>
          </cell>
        </row>
        <row r="10959">
          <cell r="A10959" t="str">
            <v>紫2星血瞳18级</v>
          </cell>
          <cell r="B10959">
            <v>1103018</v>
          </cell>
        </row>
        <row r="10960">
          <cell r="A10960" t="str">
            <v>紫2星血瞳19级</v>
          </cell>
          <cell r="B10960">
            <v>1103019</v>
          </cell>
        </row>
        <row r="10961">
          <cell r="A10961" t="str">
            <v>紫2星血瞳20级</v>
          </cell>
          <cell r="B10961">
            <v>1103020</v>
          </cell>
        </row>
        <row r="10962">
          <cell r="A10962" t="str">
            <v>紫2星血瞳21级</v>
          </cell>
          <cell r="B10962">
            <v>1103021</v>
          </cell>
        </row>
        <row r="10963">
          <cell r="A10963" t="str">
            <v>紫2星血瞳22级</v>
          </cell>
          <cell r="B10963">
            <v>1103022</v>
          </cell>
        </row>
        <row r="10964">
          <cell r="A10964" t="str">
            <v>紫2星血瞳23级</v>
          </cell>
          <cell r="B10964">
            <v>1103023</v>
          </cell>
        </row>
        <row r="10965">
          <cell r="A10965" t="str">
            <v>紫2星血瞳24级</v>
          </cell>
          <cell r="B10965">
            <v>1103024</v>
          </cell>
        </row>
        <row r="10966">
          <cell r="A10966" t="str">
            <v>紫2星血瞳25级</v>
          </cell>
          <cell r="B10966">
            <v>1103025</v>
          </cell>
        </row>
        <row r="10967">
          <cell r="A10967" t="str">
            <v>紫2星血瞳26级</v>
          </cell>
          <cell r="B10967">
            <v>1103026</v>
          </cell>
        </row>
        <row r="10968">
          <cell r="A10968" t="str">
            <v>紫2星血瞳27级</v>
          </cell>
          <cell r="B10968">
            <v>1103027</v>
          </cell>
        </row>
        <row r="10969">
          <cell r="A10969" t="str">
            <v>紫2星血瞳28级</v>
          </cell>
          <cell r="B10969">
            <v>1103028</v>
          </cell>
        </row>
        <row r="10970">
          <cell r="A10970" t="str">
            <v>紫2星血瞳29级</v>
          </cell>
          <cell r="B10970">
            <v>1103029</v>
          </cell>
        </row>
        <row r="10971">
          <cell r="A10971" t="str">
            <v>紫2星血瞳30级</v>
          </cell>
          <cell r="B10971">
            <v>1103030</v>
          </cell>
        </row>
        <row r="10972">
          <cell r="A10972" t="str">
            <v>紫2星血瞳31级</v>
          </cell>
          <cell r="B10972">
            <v>1103031</v>
          </cell>
        </row>
        <row r="10973">
          <cell r="A10973" t="str">
            <v>紫2星血瞳32级</v>
          </cell>
          <cell r="B10973">
            <v>1103032</v>
          </cell>
        </row>
        <row r="10974">
          <cell r="A10974" t="str">
            <v>紫2星血瞳33级</v>
          </cell>
          <cell r="B10974">
            <v>1103033</v>
          </cell>
        </row>
        <row r="10975">
          <cell r="A10975" t="str">
            <v>紫2星血瞳34级</v>
          </cell>
          <cell r="B10975">
            <v>1103034</v>
          </cell>
        </row>
        <row r="10976">
          <cell r="A10976" t="str">
            <v>紫2星血瞳35级</v>
          </cell>
          <cell r="B10976">
            <v>1103035</v>
          </cell>
        </row>
        <row r="10977">
          <cell r="A10977" t="str">
            <v>紫2星血瞳36级</v>
          </cell>
          <cell r="B10977">
            <v>1103036</v>
          </cell>
        </row>
        <row r="10978">
          <cell r="A10978" t="str">
            <v>紫2星血瞳37级</v>
          </cell>
          <cell r="B10978">
            <v>1103037</v>
          </cell>
        </row>
        <row r="10979">
          <cell r="A10979" t="str">
            <v>紫2星血瞳38级</v>
          </cell>
          <cell r="B10979">
            <v>1103038</v>
          </cell>
        </row>
        <row r="10980">
          <cell r="A10980" t="str">
            <v>紫2星血瞳39级</v>
          </cell>
          <cell r="B10980">
            <v>1103039</v>
          </cell>
        </row>
        <row r="10981">
          <cell r="A10981" t="str">
            <v>紫2星血瞳40级</v>
          </cell>
          <cell r="B10981">
            <v>1103040</v>
          </cell>
        </row>
        <row r="10982">
          <cell r="A10982" t="str">
            <v>紫2星血瞳41级</v>
          </cell>
          <cell r="B10982">
            <v>1103041</v>
          </cell>
        </row>
        <row r="10983">
          <cell r="A10983" t="str">
            <v>紫2星血瞳42级</v>
          </cell>
          <cell r="B10983">
            <v>1103042</v>
          </cell>
        </row>
        <row r="10984">
          <cell r="A10984" t="str">
            <v>紫2星血瞳43级</v>
          </cell>
          <cell r="B10984">
            <v>1103043</v>
          </cell>
        </row>
        <row r="10985">
          <cell r="A10985" t="str">
            <v>紫2星血瞳44级</v>
          </cell>
          <cell r="B10985">
            <v>1103044</v>
          </cell>
        </row>
        <row r="10986">
          <cell r="A10986" t="str">
            <v>紫2星血瞳45级</v>
          </cell>
          <cell r="B10986">
            <v>1103045</v>
          </cell>
        </row>
        <row r="10987">
          <cell r="A10987" t="str">
            <v>紫2星血瞳46级</v>
          </cell>
          <cell r="B10987">
            <v>1103046</v>
          </cell>
        </row>
        <row r="10988">
          <cell r="A10988" t="str">
            <v>紫2星血瞳47级</v>
          </cell>
          <cell r="B10988">
            <v>1103047</v>
          </cell>
        </row>
        <row r="10989">
          <cell r="A10989" t="str">
            <v>紫2星血瞳48级</v>
          </cell>
          <cell r="B10989">
            <v>1103048</v>
          </cell>
        </row>
        <row r="10990">
          <cell r="A10990" t="str">
            <v>紫2星血瞳49级</v>
          </cell>
          <cell r="B10990">
            <v>1103049</v>
          </cell>
        </row>
        <row r="10991">
          <cell r="A10991" t="str">
            <v>紫2星血瞳50级</v>
          </cell>
          <cell r="B10991">
            <v>1103050</v>
          </cell>
        </row>
        <row r="10992">
          <cell r="A10992" t="str">
            <v>紫2星血瞳51级</v>
          </cell>
          <cell r="B10992">
            <v>1103051</v>
          </cell>
        </row>
        <row r="10993">
          <cell r="A10993" t="str">
            <v>紫2星血瞳52级</v>
          </cell>
          <cell r="B10993">
            <v>1103052</v>
          </cell>
        </row>
        <row r="10994">
          <cell r="A10994" t="str">
            <v>紫2星血瞳53级</v>
          </cell>
          <cell r="B10994">
            <v>1103053</v>
          </cell>
        </row>
        <row r="10995">
          <cell r="A10995" t="str">
            <v>紫2星血瞳54级</v>
          </cell>
          <cell r="B10995">
            <v>1103054</v>
          </cell>
        </row>
        <row r="10996">
          <cell r="A10996" t="str">
            <v>紫2星血瞳55级</v>
          </cell>
          <cell r="B10996">
            <v>1103055</v>
          </cell>
        </row>
        <row r="10997">
          <cell r="A10997" t="str">
            <v>紫2星血瞳56级</v>
          </cell>
          <cell r="B10997">
            <v>1103056</v>
          </cell>
        </row>
        <row r="10998">
          <cell r="A10998" t="str">
            <v>紫2星血瞳57级</v>
          </cell>
          <cell r="B10998">
            <v>1103057</v>
          </cell>
        </row>
        <row r="10999">
          <cell r="A10999" t="str">
            <v>紫2星血瞳58级</v>
          </cell>
          <cell r="B10999">
            <v>1103058</v>
          </cell>
        </row>
        <row r="11000">
          <cell r="A11000" t="str">
            <v>紫2星血瞳59级</v>
          </cell>
          <cell r="B11000">
            <v>1103059</v>
          </cell>
        </row>
        <row r="11001">
          <cell r="A11001" t="str">
            <v>紫2星血瞳60级</v>
          </cell>
          <cell r="B11001">
            <v>1103060</v>
          </cell>
        </row>
        <row r="11002">
          <cell r="A11002" t="str">
            <v>紫2星血瞳61级</v>
          </cell>
          <cell r="B11002">
            <v>1103061</v>
          </cell>
        </row>
        <row r="11003">
          <cell r="A11003" t="str">
            <v>紫2星血瞳62级</v>
          </cell>
          <cell r="B11003">
            <v>1103062</v>
          </cell>
        </row>
        <row r="11004">
          <cell r="A11004" t="str">
            <v>紫2星血瞳63级</v>
          </cell>
          <cell r="B11004">
            <v>1103063</v>
          </cell>
        </row>
        <row r="11005">
          <cell r="A11005" t="str">
            <v>紫2星血瞳64级</v>
          </cell>
          <cell r="B11005">
            <v>1103064</v>
          </cell>
        </row>
        <row r="11006">
          <cell r="A11006" t="str">
            <v>紫2星血瞳65级</v>
          </cell>
          <cell r="B11006">
            <v>1103065</v>
          </cell>
        </row>
        <row r="11007">
          <cell r="A11007" t="str">
            <v>紫2星血瞳66级</v>
          </cell>
          <cell r="B11007">
            <v>1103066</v>
          </cell>
        </row>
        <row r="11008">
          <cell r="A11008" t="str">
            <v>紫2星血瞳67级</v>
          </cell>
          <cell r="B11008">
            <v>1103067</v>
          </cell>
        </row>
        <row r="11009">
          <cell r="A11009" t="str">
            <v>紫2星血瞳68级</v>
          </cell>
          <cell r="B11009">
            <v>1103068</v>
          </cell>
        </row>
        <row r="11010">
          <cell r="A11010" t="str">
            <v>紫2星血瞳69级</v>
          </cell>
          <cell r="B11010">
            <v>1103069</v>
          </cell>
        </row>
        <row r="11011">
          <cell r="A11011" t="str">
            <v>紫2星血瞳70级</v>
          </cell>
          <cell r="B11011">
            <v>1103070</v>
          </cell>
        </row>
        <row r="11012">
          <cell r="A11012" t="str">
            <v>紫2星血瞳71级</v>
          </cell>
          <cell r="B11012">
            <v>1103071</v>
          </cell>
        </row>
        <row r="11013">
          <cell r="A11013" t="str">
            <v>紫2星血瞳72级</v>
          </cell>
          <cell r="B11013">
            <v>1103072</v>
          </cell>
        </row>
        <row r="11014">
          <cell r="A11014" t="str">
            <v>紫2星血瞳73级</v>
          </cell>
          <cell r="B11014">
            <v>1103073</v>
          </cell>
        </row>
        <row r="11015">
          <cell r="A11015" t="str">
            <v>紫2星血瞳74级</v>
          </cell>
          <cell r="B11015">
            <v>1103074</v>
          </cell>
        </row>
        <row r="11016">
          <cell r="A11016" t="str">
            <v>紫2星血瞳75级</v>
          </cell>
          <cell r="B11016">
            <v>1103075</v>
          </cell>
        </row>
        <row r="11017">
          <cell r="A11017" t="str">
            <v>紫2星血瞳76级</v>
          </cell>
          <cell r="B11017">
            <v>1103076</v>
          </cell>
        </row>
        <row r="11018">
          <cell r="A11018" t="str">
            <v>紫2星血瞳77级</v>
          </cell>
          <cell r="B11018">
            <v>1103077</v>
          </cell>
        </row>
        <row r="11019">
          <cell r="A11019" t="str">
            <v>紫2星血瞳78级</v>
          </cell>
          <cell r="B11019">
            <v>1103078</v>
          </cell>
        </row>
        <row r="11020">
          <cell r="A11020" t="str">
            <v>紫2星血瞳79级</v>
          </cell>
          <cell r="B11020">
            <v>1103079</v>
          </cell>
        </row>
        <row r="11021">
          <cell r="A11021" t="str">
            <v>紫2星血瞳80级</v>
          </cell>
          <cell r="B11021">
            <v>1103080</v>
          </cell>
        </row>
        <row r="11022">
          <cell r="A11022" t="str">
            <v>紫2星血瞳81级</v>
          </cell>
          <cell r="B11022">
            <v>1103081</v>
          </cell>
        </row>
        <row r="11023">
          <cell r="A11023" t="str">
            <v>紫2星血瞳82级</v>
          </cell>
          <cell r="B11023">
            <v>1103082</v>
          </cell>
        </row>
        <row r="11024">
          <cell r="A11024" t="str">
            <v>紫2星血瞳83级</v>
          </cell>
          <cell r="B11024">
            <v>1103083</v>
          </cell>
        </row>
        <row r="11025">
          <cell r="A11025" t="str">
            <v>紫2星血瞳84级</v>
          </cell>
          <cell r="B11025">
            <v>1103084</v>
          </cell>
        </row>
        <row r="11026">
          <cell r="A11026" t="str">
            <v>紫2星血瞳85级</v>
          </cell>
          <cell r="B11026">
            <v>1103085</v>
          </cell>
        </row>
        <row r="11027">
          <cell r="A11027" t="str">
            <v>紫2星血瞳86级</v>
          </cell>
          <cell r="B11027">
            <v>1103086</v>
          </cell>
        </row>
        <row r="11028">
          <cell r="A11028" t="str">
            <v>紫2星血瞳87级</v>
          </cell>
          <cell r="B11028">
            <v>1103087</v>
          </cell>
        </row>
        <row r="11029">
          <cell r="A11029" t="str">
            <v>紫2星血瞳88级</v>
          </cell>
          <cell r="B11029">
            <v>1103088</v>
          </cell>
        </row>
        <row r="11030">
          <cell r="A11030" t="str">
            <v>紫2星血瞳89级</v>
          </cell>
          <cell r="B11030">
            <v>1103089</v>
          </cell>
        </row>
        <row r="11031">
          <cell r="A11031" t="str">
            <v>紫2星血瞳90级</v>
          </cell>
          <cell r="B11031">
            <v>1103090</v>
          </cell>
        </row>
        <row r="11032">
          <cell r="A11032" t="str">
            <v>紫2星血瞳91级</v>
          </cell>
          <cell r="B11032">
            <v>1103091</v>
          </cell>
        </row>
        <row r="11033">
          <cell r="A11033" t="str">
            <v>紫2星血瞳92级</v>
          </cell>
          <cell r="B11033">
            <v>1103092</v>
          </cell>
        </row>
        <row r="11034">
          <cell r="A11034" t="str">
            <v>紫2星血瞳93级</v>
          </cell>
          <cell r="B11034">
            <v>1103093</v>
          </cell>
        </row>
        <row r="11035">
          <cell r="A11035" t="str">
            <v>紫2星血瞳94级</v>
          </cell>
          <cell r="B11035">
            <v>1103094</v>
          </cell>
        </row>
        <row r="11036">
          <cell r="A11036" t="str">
            <v>紫2星血瞳95级</v>
          </cell>
          <cell r="B11036">
            <v>1103095</v>
          </cell>
        </row>
        <row r="11037">
          <cell r="A11037" t="str">
            <v>紫2星血瞳96级</v>
          </cell>
          <cell r="B11037">
            <v>1103096</v>
          </cell>
        </row>
        <row r="11038">
          <cell r="A11038" t="str">
            <v>紫2星血瞳97级</v>
          </cell>
          <cell r="B11038">
            <v>1103097</v>
          </cell>
        </row>
        <row r="11039">
          <cell r="A11039" t="str">
            <v>紫2星血瞳98级</v>
          </cell>
          <cell r="B11039">
            <v>1103098</v>
          </cell>
        </row>
        <row r="11040">
          <cell r="A11040" t="str">
            <v>紫2星血瞳99级</v>
          </cell>
          <cell r="B11040">
            <v>1103099</v>
          </cell>
        </row>
        <row r="11041">
          <cell r="A11041" t="str">
            <v>紫2星血瞳100级</v>
          </cell>
          <cell r="B11041">
            <v>1103100</v>
          </cell>
        </row>
        <row r="11042">
          <cell r="A11042" t="str">
            <v>紫3星血瞳1级</v>
          </cell>
          <cell r="B11042">
            <v>1104001</v>
          </cell>
        </row>
        <row r="11043">
          <cell r="A11043" t="str">
            <v>紫3星血瞳2级</v>
          </cell>
          <cell r="B11043">
            <v>1104002</v>
          </cell>
        </row>
        <row r="11044">
          <cell r="A11044" t="str">
            <v>紫3星血瞳3级</v>
          </cell>
          <cell r="B11044">
            <v>1104003</v>
          </cell>
        </row>
        <row r="11045">
          <cell r="A11045" t="str">
            <v>紫3星血瞳4级</v>
          </cell>
          <cell r="B11045">
            <v>1104004</v>
          </cell>
        </row>
        <row r="11046">
          <cell r="A11046" t="str">
            <v>紫3星血瞳5级</v>
          </cell>
          <cell r="B11046">
            <v>1104005</v>
          </cell>
        </row>
        <row r="11047">
          <cell r="A11047" t="str">
            <v>紫3星血瞳6级</v>
          </cell>
          <cell r="B11047">
            <v>1104006</v>
          </cell>
        </row>
        <row r="11048">
          <cell r="A11048" t="str">
            <v>紫3星血瞳7级</v>
          </cell>
          <cell r="B11048">
            <v>1104007</v>
          </cell>
        </row>
        <row r="11049">
          <cell r="A11049" t="str">
            <v>紫3星血瞳8级</v>
          </cell>
          <cell r="B11049">
            <v>1104008</v>
          </cell>
        </row>
        <row r="11050">
          <cell r="A11050" t="str">
            <v>紫3星血瞳9级</v>
          </cell>
          <cell r="B11050">
            <v>1104009</v>
          </cell>
        </row>
        <row r="11051">
          <cell r="A11051" t="str">
            <v>紫3星血瞳10级</v>
          </cell>
          <cell r="B11051">
            <v>1104010</v>
          </cell>
        </row>
        <row r="11052">
          <cell r="A11052" t="str">
            <v>紫3星血瞳11级</v>
          </cell>
          <cell r="B11052">
            <v>1104011</v>
          </cell>
        </row>
        <row r="11053">
          <cell r="A11053" t="str">
            <v>紫3星血瞳12级</v>
          </cell>
          <cell r="B11053">
            <v>1104012</v>
          </cell>
        </row>
        <row r="11054">
          <cell r="A11054" t="str">
            <v>紫3星血瞳13级</v>
          </cell>
          <cell r="B11054">
            <v>1104013</v>
          </cell>
        </row>
        <row r="11055">
          <cell r="A11055" t="str">
            <v>紫3星血瞳14级</v>
          </cell>
          <cell r="B11055">
            <v>1104014</v>
          </cell>
        </row>
        <row r="11056">
          <cell r="A11056" t="str">
            <v>紫3星血瞳15级</v>
          </cell>
          <cell r="B11056">
            <v>1104015</v>
          </cell>
        </row>
        <row r="11057">
          <cell r="A11057" t="str">
            <v>紫3星血瞳16级</v>
          </cell>
          <cell r="B11057">
            <v>1104016</v>
          </cell>
        </row>
        <row r="11058">
          <cell r="A11058" t="str">
            <v>紫3星血瞳17级</v>
          </cell>
          <cell r="B11058">
            <v>1104017</v>
          </cell>
        </row>
        <row r="11059">
          <cell r="A11059" t="str">
            <v>紫3星血瞳18级</v>
          </cell>
          <cell r="B11059">
            <v>1104018</v>
          </cell>
        </row>
        <row r="11060">
          <cell r="A11060" t="str">
            <v>紫3星血瞳19级</v>
          </cell>
          <cell r="B11060">
            <v>1104019</v>
          </cell>
        </row>
        <row r="11061">
          <cell r="A11061" t="str">
            <v>紫3星血瞳20级</v>
          </cell>
          <cell r="B11061">
            <v>1104020</v>
          </cell>
        </row>
        <row r="11062">
          <cell r="A11062" t="str">
            <v>紫3星血瞳21级</v>
          </cell>
          <cell r="B11062">
            <v>1104021</v>
          </cell>
        </row>
        <row r="11063">
          <cell r="A11063" t="str">
            <v>紫3星血瞳22级</v>
          </cell>
          <cell r="B11063">
            <v>1104022</v>
          </cell>
        </row>
        <row r="11064">
          <cell r="A11064" t="str">
            <v>紫3星血瞳23级</v>
          </cell>
          <cell r="B11064">
            <v>1104023</v>
          </cell>
        </row>
        <row r="11065">
          <cell r="A11065" t="str">
            <v>紫3星血瞳24级</v>
          </cell>
          <cell r="B11065">
            <v>1104024</v>
          </cell>
        </row>
        <row r="11066">
          <cell r="A11066" t="str">
            <v>紫3星血瞳25级</v>
          </cell>
          <cell r="B11066">
            <v>1104025</v>
          </cell>
        </row>
        <row r="11067">
          <cell r="A11067" t="str">
            <v>紫3星血瞳26级</v>
          </cell>
          <cell r="B11067">
            <v>1104026</v>
          </cell>
        </row>
        <row r="11068">
          <cell r="A11068" t="str">
            <v>紫3星血瞳27级</v>
          </cell>
          <cell r="B11068">
            <v>1104027</v>
          </cell>
        </row>
        <row r="11069">
          <cell r="A11069" t="str">
            <v>紫3星血瞳28级</v>
          </cell>
          <cell r="B11069">
            <v>1104028</v>
          </cell>
        </row>
        <row r="11070">
          <cell r="A11070" t="str">
            <v>紫3星血瞳29级</v>
          </cell>
          <cell r="B11070">
            <v>1104029</v>
          </cell>
        </row>
        <row r="11071">
          <cell r="A11071" t="str">
            <v>紫3星血瞳30级</v>
          </cell>
          <cell r="B11071">
            <v>1104030</v>
          </cell>
        </row>
        <row r="11072">
          <cell r="A11072" t="str">
            <v>紫3星血瞳31级</v>
          </cell>
          <cell r="B11072">
            <v>1104031</v>
          </cell>
        </row>
        <row r="11073">
          <cell r="A11073" t="str">
            <v>紫3星血瞳32级</v>
          </cell>
          <cell r="B11073">
            <v>1104032</v>
          </cell>
        </row>
        <row r="11074">
          <cell r="A11074" t="str">
            <v>紫3星血瞳33级</v>
          </cell>
          <cell r="B11074">
            <v>1104033</v>
          </cell>
        </row>
        <row r="11075">
          <cell r="A11075" t="str">
            <v>紫3星血瞳34级</v>
          </cell>
          <cell r="B11075">
            <v>1104034</v>
          </cell>
        </row>
        <row r="11076">
          <cell r="A11076" t="str">
            <v>紫3星血瞳35级</v>
          </cell>
          <cell r="B11076">
            <v>1104035</v>
          </cell>
        </row>
        <row r="11077">
          <cell r="A11077" t="str">
            <v>紫3星血瞳36级</v>
          </cell>
          <cell r="B11077">
            <v>1104036</v>
          </cell>
        </row>
        <row r="11078">
          <cell r="A11078" t="str">
            <v>紫3星血瞳37级</v>
          </cell>
          <cell r="B11078">
            <v>1104037</v>
          </cell>
        </row>
        <row r="11079">
          <cell r="A11079" t="str">
            <v>紫3星血瞳38级</v>
          </cell>
          <cell r="B11079">
            <v>1104038</v>
          </cell>
        </row>
        <row r="11080">
          <cell r="A11080" t="str">
            <v>紫3星血瞳39级</v>
          </cell>
          <cell r="B11080">
            <v>1104039</v>
          </cell>
        </row>
        <row r="11081">
          <cell r="A11081" t="str">
            <v>紫3星血瞳40级</v>
          </cell>
          <cell r="B11081">
            <v>1104040</v>
          </cell>
        </row>
        <row r="11082">
          <cell r="A11082" t="str">
            <v>紫3星血瞳41级</v>
          </cell>
          <cell r="B11082">
            <v>1104041</v>
          </cell>
        </row>
        <row r="11083">
          <cell r="A11083" t="str">
            <v>紫3星血瞳42级</v>
          </cell>
          <cell r="B11083">
            <v>1104042</v>
          </cell>
        </row>
        <row r="11084">
          <cell r="A11084" t="str">
            <v>紫3星血瞳43级</v>
          </cell>
          <cell r="B11084">
            <v>1104043</v>
          </cell>
        </row>
        <row r="11085">
          <cell r="A11085" t="str">
            <v>紫3星血瞳44级</v>
          </cell>
          <cell r="B11085">
            <v>1104044</v>
          </cell>
        </row>
        <row r="11086">
          <cell r="A11086" t="str">
            <v>紫3星血瞳45级</v>
          </cell>
          <cell r="B11086">
            <v>1104045</v>
          </cell>
        </row>
        <row r="11087">
          <cell r="A11087" t="str">
            <v>紫3星血瞳46级</v>
          </cell>
          <cell r="B11087">
            <v>1104046</v>
          </cell>
        </row>
        <row r="11088">
          <cell r="A11088" t="str">
            <v>紫3星血瞳47级</v>
          </cell>
          <cell r="B11088">
            <v>1104047</v>
          </cell>
        </row>
        <row r="11089">
          <cell r="A11089" t="str">
            <v>紫3星血瞳48级</v>
          </cell>
          <cell r="B11089">
            <v>1104048</v>
          </cell>
        </row>
        <row r="11090">
          <cell r="A11090" t="str">
            <v>紫3星血瞳49级</v>
          </cell>
          <cell r="B11090">
            <v>1104049</v>
          </cell>
        </row>
        <row r="11091">
          <cell r="A11091" t="str">
            <v>紫3星血瞳50级</v>
          </cell>
          <cell r="B11091">
            <v>1104050</v>
          </cell>
        </row>
        <row r="11092">
          <cell r="A11092" t="str">
            <v>紫3星血瞳51级</v>
          </cell>
          <cell r="B11092">
            <v>1104051</v>
          </cell>
        </row>
        <row r="11093">
          <cell r="A11093" t="str">
            <v>紫3星血瞳52级</v>
          </cell>
          <cell r="B11093">
            <v>1104052</v>
          </cell>
        </row>
        <row r="11094">
          <cell r="A11094" t="str">
            <v>紫3星血瞳53级</v>
          </cell>
          <cell r="B11094">
            <v>1104053</v>
          </cell>
        </row>
        <row r="11095">
          <cell r="A11095" t="str">
            <v>紫3星血瞳54级</v>
          </cell>
          <cell r="B11095">
            <v>1104054</v>
          </cell>
        </row>
        <row r="11096">
          <cell r="A11096" t="str">
            <v>紫3星血瞳55级</v>
          </cell>
          <cell r="B11096">
            <v>1104055</v>
          </cell>
        </row>
        <row r="11097">
          <cell r="A11097" t="str">
            <v>紫3星血瞳56级</v>
          </cell>
          <cell r="B11097">
            <v>1104056</v>
          </cell>
        </row>
        <row r="11098">
          <cell r="A11098" t="str">
            <v>紫3星血瞳57级</v>
          </cell>
          <cell r="B11098">
            <v>1104057</v>
          </cell>
        </row>
        <row r="11099">
          <cell r="A11099" t="str">
            <v>紫3星血瞳58级</v>
          </cell>
          <cell r="B11099">
            <v>1104058</v>
          </cell>
        </row>
        <row r="11100">
          <cell r="A11100" t="str">
            <v>紫3星血瞳59级</v>
          </cell>
          <cell r="B11100">
            <v>1104059</v>
          </cell>
        </row>
        <row r="11101">
          <cell r="A11101" t="str">
            <v>紫3星血瞳60级</v>
          </cell>
          <cell r="B11101">
            <v>1104060</v>
          </cell>
        </row>
        <row r="11102">
          <cell r="A11102" t="str">
            <v>紫3星血瞳61级</v>
          </cell>
          <cell r="B11102">
            <v>1104061</v>
          </cell>
        </row>
        <row r="11103">
          <cell r="A11103" t="str">
            <v>紫3星血瞳62级</v>
          </cell>
          <cell r="B11103">
            <v>1104062</v>
          </cell>
        </row>
        <row r="11104">
          <cell r="A11104" t="str">
            <v>紫3星血瞳63级</v>
          </cell>
          <cell r="B11104">
            <v>1104063</v>
          </cell>
        </row>
        <row r="11105">
          <cell r="A11105" t="str">
            <v>紫3星血瞳64级</v>
          </cell>
          <cell r="B11105">
            <v>1104064</v>
          </cell>
        </row>
        <row r="11106">
          <cell r="A11106" t="str">
            <v>紫3星血瞳65级</v>
          </cell>
          <cell r="B11106">
            <v>1104065</v>
          </cell>
        </row>
        <row r="11107">
          <cell r="A11107" t="str">
            <v>紫3星血瞳66级</v>
          </cell>
          <cell r="B11107">
            <v>1104066</v>
          </cell>
        </row>
        <row r="11108">
          <cell r="A11108" t="str">
            <v>紫3星血瞳67级</v>
          </cell>
          <cell r="B11108">
            <v>1104067</v>
          </cell>
        </row>
        <row r="11109">
          <cell r="A11109" t="str">
            <v>紫3星血瞳68级</v>
          </cell>
          <cell r="B11109">
            <v>1104068</v>
          </cell>
        </row>
        <row r="11110">
          <cell r="A11110" t="str">
            <v>紫3星血瞳69级</v>
          </cell>
          <cell r="B11110">
            <v>1104069</v>
          </cell>
        </row>
        <row r="11111">
          <cell r="A11111" t="str">
            <v>紫3星血瞳70级</v>
          </cell>
          <cell r="B11111">
            <v>1104070</v>
          </cell>
        </row>
        <row r="11112">
          <cell r="A11112" t="str">
            <v>紫3星血瞳71级</v>
          </cell>
          <cell r="B11112">
            <v>1104071</v>
          </cell>
        </row>
        <row r="11113">
          <cell r="A11113" t="str">
            <v>紫3星血瞳72级</v>
          </cell>
          <cell r="B11113">
            <v>1104072</v>
          </cell>
        </row>
        <row r="11114">
          <cell r="A11114" t="str">
            <v>紫3星血瞳73级</v>
          </cell>
          <cell r="B11114">
            <v>1104073</v>
          </cell>
        </row>
        <row r="11115">
          <cell r="A11115" t="str">
            <v>紫3星血瞳74级</v>
          </cell>
          <cell r="B11115">
            <v>1104074</v>
          </cell>
        </row>
        <row r="11116">
          <cell r="A11116" t="str">
            <v>紫3星血瞳75级</v>
          </cell>
          <cell r="B11116">
            <v>1104075</v>
          </cell>
        </row>
        <row r="11117">
          <cell r="A11117" t="str">
            <v>紫3星血瞳76级</v>
          </cell>
          <cell r="B11117">
            <v>1104076</v>
          </cell>
        </row>
        <row r="11118">
          <cell r="A11118" t="str">
            <v>紫3星血瞳77级</v>
          </cell>
          <cell r="B11118">
            <v>1104077</v>
          </cell>
        </row>
        <row r="11119">
          <cell r="A11119" t="str">
            <v>紫3星血瞳78级</v>
          </cell>
          <cell r="B11119">
            <v>1104078</v>
          </cell>
        </row>
        <row r="11120">
          <cell r="A11120" t="str">
            <v>紫3星血瞳79级</v>
          </cell>
          <cell r="B11120">
            <v>1104079</v>
          </cell>
        </row>
        <row r="11121">
          <cell r="A11121" t="str">
            <v>紫3星血瞳80级</v>
          </cell>
          <cell r="B11121">
            <v>1104080</v>
          </cell>
        </row>
        <row r="11122">
          <cell r="A11122" t="str">
            <v>紫3星血瞳81级</v>
          </cell>
          <cell r="B11122">
            <v>1104081</v>
          </cell>
        </row>
        <row r="11123">
          <cell r="A11123" t="str">
            <v>紫3星血瞳82级</v>
          </cell>
          <cell r="B11123">
            <v>1104082</v>
          </cell>
        </row>
        <row r="11124">
          <cell r="A11124" t="str">
            <v>紫3星血瞳83级</v>
          </cell>
          <cell r="B11124">
            <v>1104083</v>
          </cell>
        </row>
        <row r="11125">
          <cell r="A11125" t="str">
            <v>紫3星血瞳84级</v>
          </cell>
          <cell r="B11125">
            <v>1104084</v>
          </cell>
        </row>
        <row r="11126">
          <cell r="A11126" t="str">
            <v>紫3星血瞳85级</v>
          </cell>
          <cell r="B11126">
            <v>1104085</v>
          </cell>
        </row>
        <row r="11127">
          <cell r="A11127" t="str">
            <v>紫3星血瞳86级</v>
          </cell>
          <cell r="B11127">
            <v>1104086</v>
          </cell>
        </row>
        <row r="11128">
          <cell r="A11128" t="str">
            <v>紫3星血瞳87级</v>
          </cell>
          <cell r="B11128">
            <v>1104087</v>
          </cell>
        </row>
        <row r="11129">
          <cell r="A11129" t="str">
            <v>紫3星血瞳88级</v>
          </cell>
          <cell r="B11129">
            <v>1104088</v>
          </cell>
        </row>
        <row r="11130">
          <cell r="A11130" t="str">
            <v>紫3星血瞳89级</v>
          </cell>
          <cell r="B11130">
            <v>1104089</v>
          </cell>
        </row>
        <row r="11131">
          <cell r="A11131" t="str">
            <v>紫3星血瞳90级</v>
          </cell>
          <cell r="B11131">
            <v>1104090</v>
          </cell>
        </row>
        <row r="11132">
          <cell r="A11132" t="str">
            <v>紫3星血瞳91级</v>
          </cell>
          <cell r="B11132">
            <v>1104091</v>
          </cell>
        </row>
        <row r="11133">
          <cell r="A11133" t="str">
            <v>紫3星血瞳92级</v>
          </cell>
          <cell r="B11133">
            <v>1104092</v>
          </cell>
        </row>
        <row r="11134">
          <cell r="A11134" t="str">
            <v>紫3星血瞳93级</v>
          </cell>
          <cell r="B11134">
            <v>1104093</v>
          </cell>
        </row>
        <row r="11135">
          <cell r="A11135" t="str">
            <v>紫3星血瞳94级</v>
          </cell>
          <cell r="B11135">
            <v>1104094</v>
          </cell>
        </row>
        <row r="11136">
          <cell r="A11136" t="str">
            <v>紫3星血瞳95级</v>
          </cell>
          <cell r="B11136">
            <v>1104095</v>
          </cell>
        </row>
        <row r="11137">
          <cell r="A11137" t="str">
            <v>紫3星血瞳96级</v>
          </cell>
          <cell r="B11137">
            <v>1104096</v>
          </cell>
        </row>
        <row r="11138">
          <cell r="A11138" t="str">
            <v>紫3星血瞳97级</v>
          </cell>
          <cell r="B11138">
            <v>1104097</v>
          </cell>
        </row>
        <row r="11139">
          <cell r="A11139" t="str">
            <v>紫3星血瞳98级</v>
          </cell>
          <cell r="B11139">
            <v>1104098</v>
          </cell>
        </row>
        <row r="11140">
          <cell r="A11140" t="str">
            <v>紫3星血瞳99级</v>
          </cell>
          <cell r="B11140">
            <v>1104099</v>
          </cell>
        </row>
        <row r="11141">
          <cell r="A11141" t="str">
            <v>紫3星血瞳100级</v>
          </cell>
          <cell r="B11141">
            <v>1104100</v>
          </cell>
        </row>
        <row r="11142">
          <cell r="A11142" t="str">
            <v>橙1星血瞳1级</v>
          </cell>
          <cell r="B11142">
            <v>1105001</v>
          </cell>
        </row>
        <row r="11143">
          <cell r="A11143" t="str">
            <v>橙1星血瞳2级</v>
          </cell>
          <cell r="B11143">
            <v>1105002</v>
          </cell>
        </row>
        <row r="11144">
          <cell r="A11144" t="str">
            <v>橙1星血瞳3级</v>
          </cell>
          <cell r="B11144">
            <v>1105003</v>
          </cell>
        </row>
        <row r="11145">
          <cell r="A11145" t="str">
            <v>橙1星血瞳4级</v>
          </cell>
          <cell r="B11145">
            <v>1105004</v>
          </cell>
        </row>
        <row r="11146">
          <cell r="A11146" t="str">
            <v>橙1星血瞳5级</v>
          </cell>
          <cell r="B11146">
            <v>1105005</v>
          </cell>
        </row>
        <row r="11147">
          <cell r="A11147" t="str">
            <v>橙1星血瞳6级</v>
          </cell>
          <cell r="B11147">
            <v>1105006</v>
          </cell>
        </row>
        <row r="11148">
          <cell r="A11148" t="str">
            <v>橙1星血瞳7级</v>
          </cell>
          <cell r="B11148">
            <v>1105007</v>
          </cell>
        </row>
        <row r="11149">
          <cell r="A11149" t="str">
            <v>橙1星血瞳8级</v>
          </cell>
          <cell r="B11149">
            <v>1105008</v>
          </cell>
        </row>
        <row r="11150">
          <cell r="A11150" t="str">
            <v>橙1星血瞳9级</v>
          </cell>
          <cell r="B11150">
            <v>1105009</v>
          </cell>
        </row>
        <row r="11151">
          <cell r="A11151" t="str">
            <v>橙1星血瞳10级</v>
          </cell>
          <cell r="B11151">
            <v>1105010</v>
          </cell>
        </row>
        <row r="11152">
          <cell r="A11152" t="str">
            <v>橙1星血瞳11级</v>
          </cell>
          <cell r="B11152">
            <v>1105011</v>
          </cell>
        </row>
        <row r="11153">
          <cell r="A11153" t="str">
            <v>橙1星血瞳12级</v>
          </cell>
          <cell r="B11153">
            <v>1105012</v>
          </cell>
        </row>
        <row r="11154">
          <cell r="A11154" t="str">
            <v>橙1星血瞳13级</v>
          </cell>
          <cell r="B11154">
            <v>1105013</v>
          </cell>
        </row>
        <row r="11155">
          <cell r="A11155" t="str">
            <v>橙1星血瞳14级</v>
          </cell>
          <cell r="B11155">
            <v>1105014</v>
          </cell>
        </row>
        <row r="11156">
          <cell r="A11156" t="str">
            <v>橙1星血瞳15级</v>
          </cell>
          <cell r="B11156">
            <v>1105015</v>
          </cell>
        </row>
        <row r="11157">
          <cell r="A11157" t="str">
            <v>橙1星血瞳16级</v>
          </cell>
          <cell r="B11157">
            <v>1105016</v>
          </cell>
        </row>
        <row r="11158">
          <cell r="A11158" t="str">
            <v>橙1星血瞳17级</v>
          </cell>
          <cell r="B11158">
            <v>1105017</v>
          </cell>
        </row>
        <row r="11159">
          <cell r="A11159" t="str">
            <v>橙1星血瞳18级</v>
          </cell>
          <cell r="B11159">
            <v>1105018</v>
          </cell>
        </row>
        <row r="11160">
          <cell r="A11160" t="str">
            <v>橙1星血瞳19级</v>
          </cell>
          <cell r="B11160">
            <v>1105019</v>
          </cell>
        </row>
        <row r="11161">
          <cell r="A11161" t="str">
            <v>橙1星血瞳20级</v>
          </cell>
          <cell r="B11161">
            <v>1105020</v>
          </cell>
        </row>
        <row r="11162">
          <cell r="A11162" t="str">
            <v>橙1星血瞳21级</v>
          </cell>
          <cell r="B11162">
            <v>1105021</v>
          </cell>
        </row>
        <row r="11163">
          <cell r="A11163" t="str">
            <v>橙1星血瞳22级</v>
          </cell>
          <cell r="B11163">
            <v>1105022</v>
          </cell>
        </row>
        <row r="11164">
          <cell r="A11164" t="str">
            <v>橙1星血瞳23级</v>
          </cell>
          <cell r="B11164">
            <v>1105023</v>
          </cell>
        </row>
        <row r="11165">
          <cell r="A11165" t="str">
            <v>橙1星血瞳24级</v>
          </cell>
          <cell r="B11165">
            <v>1105024</v>
          </cell>
        </row>
        <row r="11166">
          <cell r="A11166" t="str">
            <v>橙1星血瞳25级</v>
          </cell>
          <cell r="B11166">
            <v>1105025</v>
          </cell>
        </row>
        <row r="11167">
          <cell r="A11167" t="str">
            <v>橙1星血瞳26级</v>
          </cell>
          <cell r="B11167">
            <v>1105026</v>
          </cell>
        </row>
        <row r="11168">
          <cell r="A11168" t="str">
            <v>橙1星血瞳27级</v>
          </cell>
          <cell r="B11168">
            <v>1105027</v>
          </cell>
        </row>
        <row r="11169">
          <cell r="A11169" t="str">
            <v>橙1星血瞳28级</v>
          </cell>
          <cell r="B11169">
            <v>1105028</v>
          </cell>
        </row>
        <row r="11170">
          <cell r="A11170" t="str">
            <v>橙1星血瞳29级</v>
          </cell>
          <cell r="B11170">
            <v>1105029</v>
          </cell>
        </row>
        <row r="11171">
          <cell r="A11171" t="str">
            <v>橙1星血瞳30级</v>
          </cell>
          <cell r="B11171">
            <v>1105030</v>
          </cell>
        </row>
        <row r="11172">
          <cell r="A11172" t="str">
            <v>橙1星血瞳31级</v>
          </cell>
          <cell r="B11172">
            <v>1105031</v>
          </cell>
        </row>
        <row r="11173">
          <cell r="A11173" t="str">
            <v>橙1星血瞳32级</v>
          </cell>
          <cell r="B11173">
            <v>1105032</v>
          </cell>
        </row>
        <row r="11174">
          <cell r="A11174" t="str">
            <v>橙1星血瞳33级</v>
          </cell>
          <cell r="B11174">
            <v>1105033</v>
          </cell>
        </row>
        <row r="11175">
          <cell r="A11175" t="str">
            <v>橙1星血瞳34级</v>
          </cell>
          <cell r="B11175">
            <v>1105034</v>
          </cell>
        </row>
        <row r="11176">
          <cell r="A11176" t="str">
            <v>橙1星血瞳35级</v>
          </cell>
          <cell r="B11176">
            <v>1105035</v>
          </cell>
        </row>
        <row r="11177">
          <cell r="A11177" t="str">
            <v>橙1星血瞳36级</v>
          </cell>
          <cell r="B11177">
            <v>1105036</v>
          </cell>
        </row>
        <row r="11178">
          <cell r="A11178" t="str">
            <v>橙1星血瞳37级</v>
          </cell>
          <cell r="B11178">
            <v>1105037</v>
          </cell>
        </row>
        <row r="11179">
          <cell r="A11179" t="str">
            <v>橙1星血瞳38级</v>
          </cell>
          <cell r="B11179">
            <v>1105038</v>
          </cell>
        </row>
        <row r="11180">
          <cell r="A11180" t="str">
            <v>橙1星血瞳39级</v>
          </cell>
          <cell r="B11180">
            <v>1105039</v>
          </cell>
        </row>
        <row r="11181">
          <cell r="A11181" t="str">
            <v>橙1星血瞳40级</v>
          </cell>
          <cell r="B11181">
            <v>1105040</v>
          </cell>
        </row>
        <row r="11182">
          <cell r="A11182" t="str">
            <v>橙1星血瞳41级</v>
          </cell>
          <cell r="B11182">
            <v>1105041</v>
          </cell>
        </row>
        <row r="11183">
          <cell r="A11183" t="str">
            <v>橙1星血瞳42级</v>
          </cell>
          <cell r="B11183">
            <v>1105042</v>
          </cell>
        </row>
        <row r="11184">
          <cell r="A11184" t="str">
            <v>橙1星血瞳43级</v>
          </cell>
          <cell r="B11184">
            <v>1105043</v>
          </cell>
        </row>
        <row r="11185">
          <cell r="A11185" t="str">
            <v>橙1星血瞳44级</v>
          </cell>
          <cell r="B11185">
            <v>1105044</v>
          </cell>
        </row>
        <row r="11186">
          <cell r="A11186" t="str">
            <v>橙1星血瞳45级</v>
          </cell>
          <cell r="B11186">
            <v>1105045</v>
          </cell>
        </row>
        <row r="11187">
          <cell r="A11187" t="str">
            <v>橙1星血瞳46级</v>
          </cell>
          <cell r="B11187">
            <v>1105046</v>
          </cell>
        </row>
        <row r="11188">
          <cell r="A11188" t="str">
            <v>橙1星血瞳47级</v>
          </cell>
          <cell r="B11188">
            <v>1105047</v>
          </cell>
        </row>
        <row r="11189">
          <cell r="A11189" t="str">
            <v>橙1星血瞳48级</v>
          </cell>
          <cell r="B11189">
            <v>1105048</v>
          </cell>
        </row>
        <row r="11190">
          <cell r="A11190" t="str">
            <v>橙1星血瞳49级</v>
          </cell>
          <cell r="B11190">
            <v>1105049</v>
          </cell>
        </row>
        <row r="11191">
          <cell r="A11191" t="str">
            <v>橙1星血瞳50级</v>
          </cell>
          <cell r="B11191">
            <v>1105050</v>
          </cell>
        </row>
        <row r="11192">
          <cell r="A11192" t="str">
            <v>橙1星血瞳51级</v>
          </cell>
          <cell r="B11192">
            <v>1105051</v>
          </cell>
        </row>
        <row r="11193">
          <cell r="A11193" t="str">
            <v>橙1星血瞳52级</v>
          </cell>
          <cell r="B11193">
            <v>1105052</v>
          </cell>
        </row>
        <row r="11194">
          <cell r="A11194" t="str">
            <v>橙1星血瞳53级</v>
          </cell>
          <cell r="B11194">
            <v>1105053</v>
          </cell>
        </row>
        <row r="11195">
          <cell r="A11195" t="str">
            <v>橙1星血瞳54级</v>
          </cell>
          <cell r="B11195">
            <v>1105054</v>
          </cell>
        </row>
        <row r="11196">
          <cell r="A11196" t="str">
            <v>橙1星血瞳55级</v>
          </cell>
          <cell r="B11196">
            <v>1105055</v>
          </cell>
        </row>
        <row r="11197">
          <cell r="A11197" t="str">
            <v>橙1星血瞳56级</v>
          </cell>
          <cell r="B11197">
            <v>1105056</v>
          </cell>
        </row>
        <row r="11198">
          <cell r="A11198" t="str">
            <v>橙1星血瞳57级</v>
          </cell>
          <cell r="B11198">
            <v>1105057</v>
          </cell>
        </row>
        <row r="11199">
          <cell r="A11199" t="str">
            <v>橙1星血瞳58级</v>
          </cell>
          <cell r="B11199">
            <v>1105058</v>
          </cell>
        </row>
        <row r="11200">
          <cell r="A11200" t="str">
            <v>橙1星血瞳59级</v>
          </cell>
          <cell r="B11200">
            <v>1105059</v>
          </cell>
        </row>
        <row r="11201">
          <cell r="A11201" t="str">
            <v>橙1星血瞳60级</v>
          </cell>
          <cell r="B11201">
            <v>1105060</v>
          </cell>
        </row>
        <row r="11202">
          <cell r="A11202" t="str">
            <v>橙1星血瞳61级</v>
          </cell>
          <cell r="B11202">
            <v>1105061</v>
          </cell>
        </row>
        <row r="11203">
          <cell r="A11203" t="str">
            <v>橙1星血瞳62级</v>
          </cell>
          <cell r="B11203">
            <v>1105062</v>
          </cell>
        </row>
        <row r="11204">
          <cell r="A11204" t="str">
            <v>橙1星血瞳63级</v>
          </cell>
          <cell r="B11204">
            <v>1105063</v>
          </cell>
        </row>
        <row r="11205">
          <cell r="A11205" t="str">
            <v>橙1星血瞳64级</v>
          </cell>
          <cell r="B11205">
            <v>1105064</v>
          </cell>
        </row>
        <row r="11206">
          <cell r="A11206" t="str">
            <v>橙1星血瞳65级</v>
          </cell>
          <cell r="B11206">
            <v>1105065</v>
          </cell>
        </row>
        <row r="11207">
          <cell r="A11207" t="str">
            <v>橙1星血瞳66级</v>
          </cell>
          <cell r="B11207">
            <v>1105066</v>
          </cell>
        </row>
        <row r="11208">
          <cell r="A11208" t="str">
            <v>橙1星血瞳67级</v>
          </cell>
          <cell r="B11208">
            <v>1105067</v>
          </cell>
        </row>
        <row r="11209">
          <cell r="A11209" t="str">
            <v>橙1星血瞳68级</v>
          </cell>
          <cell r="B11209">
            <v>1105068</v>
          </cell>
        </row>
        <row r="11210">
          <cell r="A11210" t="str">
            <v>橙1星血瞳69级</v>
          </cell>
          <cell r="B11210">
            <v>1105069</v>
          </cell>
        </row>
        <row r="11211">
          <cell r="A11211" t="str">
            <v>橙1星血瞳70级</v>
          </cell>
          <cell r="B11211">
            <v>1105070</v>
          </cell>
        </row>
        <row r="11212">
          <cell r="A11212" t="str">
            <v>橙1星血瞳71级</v>
          </cell>
          <cell r="B11212">
            <v>1105071</v>
          </cell>
        </row>
        <row r="11213">
          <cell r="A11213" t="str">
            <v>橙1星血瞳72级</v>
          </cell>
          <cell r="B11213">
            <v>1105072</v>
          </cell>
        </row>
        <row r="11214">
          <cell r="A11214" t="str">
            <v>橙1星血瞳73级</v>
          </cell>
          <cell r="B11214">
            <v>1105073</v>
          </cell>
        </row>
        <row r="11215">
          <cell r="A11215" t="str">
            <v>橙1星血瞳74级</v>
          </cell>
          <cell r="B11215">
            <v>1105074</v>
          </cell>
        </row>
        <row r="11216">
          <cell r="A11216" t="str">
            <v>橙1星血瞳75级</v>
          </cell>
          <cell r="B11216">
            <v>1105075</v>
          </cell>
        </row>
        <row r="11217">
          <cell r="A11217" t="str">
            <v>橙1星血瞳76级</v>
          </cell>
          <cell r="B11217">
            <v>1105076</v>
          </cell>
        </row>
        <row r="11218">
          <cell r="A11218" t="str">
            <v>橙1星血瞳77级</v>
          </cell>
          <cell r="B11218">
            <v>1105077</v>
          </cell>
        </row>
        <row r="11219">
          <cell r="A11219" t="str">
            <v>橙1星血瞳78级</v>
          </cell>
          <cell r="B11219">
            <v>1105078</v>
          </cell>
        </row>
        <row r="11220">
          <cell r="A11220" t="str">
            <v>橙1星血瞳79级</v>
          </cell>
          <cell r="B11220">
            <v>1105079</v>
          </cell>
        </row>
        <row r="11221">
          <cell r="A11221" t="str">
            <v>橙1星血瞳80级</v>
          </cell>
          <cell r="B11221">
            <v>1105080</v>
          </cell>
        </row>
        <row r="11222">
          <cell r="A11222" t="str">
            <v>橙1星血瞳81级</v>
          </cell>
          <cell r="B11222">
            <v>1105081</v>
          </cell>
        </row>
        <row r="11223">
          <cell r="A11223" t="str">
            <v>橙1星血瞳82级</v>
          </cell>
          <cell r="B11223">
            <v>1105082</v>
          </cell>
        </row>
        <row r="11224">
          <cell r="A11224" t="str">
            <v>橙1星血瞳83级</v>
          </cell>
          <cell r="B11224">
            <v>1105083</v>
          </cell>
        </row>
        <row r="11225">
          <cell r="A11225" t="str">
            <v>橙1星血瞳84级</v>
          </cell>
          <cell r="B11225">
            <v>1105084</v>
          </cell>
        </row>
        <row r="11226">
          <cell r="A11226" t="str">
            <v>橙1星血瞳85级</v>
          </cell>
          <cell r="B11226">
            <v>1105085</v>
          </cell>
        </row>
        <row r="11227">
          <cell r="A11227" t="str">
            <v>橙1星血瞳86级</v>
          </cell>
          <cell r="B11227">
            <v>1105086</v>
          </cell>
        </row>
        <row r="11228">
          <cell r="A11228" t="str">
            <v>橙1星血瞳87级</v>
          </cell>
          <cell r="B11228">
            <v>1105087</v>
          </cell>
        </row>
        <row r="11229">
          <cell r="A11229" t="str">
            <v>橙1星血瞳88级</v>
          </cell>
          <cell r="B11229">
            <v>1105088</v>
          </cell>
        </row>
        <row r="11230">
          <cell r="A11230" t="str">
            <v>橙1星血瞳89级</v>
          </cell>
          <cell r="B11230">
            <v>1105089</v>
          </cell>
        </row>
        <row r="11231">
          <cell r="A11231" t="str">
            <v>橙1星血瞳90级</v>
          </cell>
          <cell r="B11231">
            <v>1105090</v>
          </cell>
        </row>
        <row r="11232">
          <cell r="A11232" t="str">
            <v>橙1星血瞳91级</v>
          </cell>
          <cell r="B11232">
            <v>1105091</v>
          </cell>
        </row>
        <row r="11233">
          <cell r="A11233" t="str">
            <v>橙1星血瞳92级</v>
          </cell>
          <cell r="B11233">
            <v>1105092</v>
          </cell>
        </row>
        <row r="11234">
          <cell r="A11234" t="str">
            <v>橙1星血瞳93级</v>
          </cell>
          <cell r="B11234">
            <v>1105093</v>
          </cell>
        </row>
        <row r="11235">
          <cell r="A11235" t="str">
            <v>橙1星血瞳94级</v>
          </cell>
          <cell r="B11235">
            <v>1105094</v>
          </cell>
        </row>
        <row r="11236">
          <cell r="A11236" t="str">
            <v>橙1星血瞳95级</v>
          </cell>
          <cell r="B11236">
            <v>1105095</v>
          </cell>
        </row>
        <row r="11237">
          <cell r="A11237" t="str">
            <v>橙1星血瞳96级</v>
          </cell>
          <cell r="B11237">
            <v>1105096</v>
          </cell>
        </row>
        <row r="11238">
          <cell r="A11238" t="str">
            <v>橙1星血瞳97级</v>
          </cell>
          <cell r="B11238">
            <v>1105097</v>
          </cell>
        </row>
        <row r="11239">
          <cell r="A11239" t="str">
            <v>橙1星血瞳98级</v>
          </cell>
          <cell r="B11239">
            <v>1105098</v>
          </cell>
        </row>
        <row r="11240">
          <cell r="A11240" t="str">
            <v>橙1星血瞳99级</v>
          </cell>
          <cell r="B11240">
            <v>1105099</v>
          </cell>
        </row>
        <row r="11241">
          <cell r="A11241" t="str">
            <v>橙1星血瞳100级</v>
          </cell>
          <cell r="B11241">
            <v>1105100</v>
          </cell>
        </row>
        <row r="11242">
          <cell r="A11242" t="str">
            <v>橙2星血瞳1级</v>
          </cell>
          <cell r="B11242">
            <v>1106001</v>
          </cell>
        </row>
        <row r="11243">
          <cell r="A11243" t="str">
            <v>橙2星血瞳2级</v>
          </cell>
          <cell r="B11243">
            <v>1106002</v>
          </cell>
        </row>
        <row r="11244">
          <cell r="A11244" t="str">
            <v>橙2星血瞳3级</v>
          </cell>
          <cell r="B11244">
            <v>1106003</v>
          </cell>
        </row>
        <row r="11245">
          <cell r="A11245" t="str">
            <v>橙2星血瞳4级</v>
          </cell>
          <cell r="B11245">
            <v>1106004</v>
          </cell>
        </row>
        <row r="11246">
          <cell r="A11246" t="str">
            <v>橙2星血瞳5级</v>
          </cell>
          <cell r="B11246">
            <v>1106005</v>
          </cell>
        </row>
        <row r="11247">
          <cell r="A11247" t="str">
            <v>橙2星血瞳6级</v>
          </cell>
          <cell r="B11247">
            <v>1106006</v>
          </cell>
        </row>
        <row r="11248">
          <cell r="A11248" t="str">
            <v>橙2星血瞳7级</v>
          </cell>
          <cell r="B11248">
            <v>1106007</v>
          </cell>
        </row>
        <row r="11249">
          <cell r="A11249" t="str">
            <v>橙2星血瞳8级</v>
          </cell>
          <cell r="B11249">
            <v>1106008</v>
          </cell>
        </row>
        <row r="11250">
          <cell r="A11250" t="str">
            <v>橙2星血瞳9级</v>
          </cell>
          <cell r="B11250">
            <v>1106009</v>
          </cell>
        </row>
        <row r="11251">
          <cell r="A11251" t="str">
            <v>橙2星血瞳10级</v>
          </cell>
          <cell r="B11251">
            <v>1106010</v>
          </cell>
        </row>
        <row r="11252">
          <cell r="A11252" t="str">
            <v>橙2星血瞳11级</v>
          </cell>
          <cell r="B11252">
            <v>1106011</v>
          </cell>
        </row>
        <row r="11253">
          <cell r="A11253" t="str">
            <v>橙2星血瞳12级</v>
          </cell>
          <cell r="B11253">
            <v>1106012</v>
          </cell>
        </row>
        <row r="11254">
          <cell r="A11254" t="str">
            <v>橙2星血瞳13级</v>
          </cell>
          <cell r="B11254">
            <v>1106013</v>
          </cell>
        </row>
        <row r="11255">
          <cell r="A11255" t="str">
            <v>橙2星血瞳14级</v>
          </cell>
          <cell r="B11255">
            <v>1106014</v>
          </cell>
        </row>
        <row r="11256">
          <cell r="A11256" t="str">
            <v>橙2星血瞳15级</v>
          </cell>
          <cell r="B11256">
            <v>1106015</v>
          </cell>
        </row>
        <row r="11257">
          <cell r="A11257" t="str">
            <v>橙2星血瞳16级</v>
          </cell>
          <cell r="B11257">
            <v>1106016</v>
          </cell>
        </row>
        <row r="11258">
          <cell r="A11258" t="str">
            <v>橙2星血瞳17级</v>
          </cell>
          <cell r="B11258">
            <v>1106017</v>
          </cell>
        </row>
        <row r="11259">
          <cell r="A11259" t="str">
            <v>橙2星血瞳18级</v>
          </cell>
          <cell r="B11259">
            <v>1106018</v>
          </cell>
        </row>
        <row r="11260">
          <cell r="A11260" t="str">
            <v>橙2星血瞳19级</v>
          </cell>
          <cell r="B11260">
            <v>1106019</v>
          </cell>
        </row>
        <row r="11261">
          <cell r="A11261" t="str">
            <v>橙2星血瞳20级</v>
          </cell>
          <cell r="B11261">
            <v>1106020</v>
          </cell>
        </row>
        <row r="11262">
          <cell r="A11262" t="str">
            <v>橙2星血瞳21级</v>
          </cell>
          <cell r="B11262">
            <v>1106021</v>
          </cell>
        </row>
        <row r="11263">
          <cell r="A11263" t="str">
            <v>橙2星血瞳22级</v>
          </cell>
          <cell r="B11263">
            <v>1106022</v>
          </cell>
        </row>
        <row r="11264">
          <cell r="A11264" t="str">
            <v>橙2星血瞳23级</v>
          </cell>
          <cell r="B11264">
            <v>1106023</v>
          </cell>
        </row>
        <row r="11265">
          <cell r="A11265" t="str">
            <v>橙2星血瞳24级</v>
          </cell>
          <cell r="B11265">
            <v>1106024</v>
          </cell>
        </row>
        <row r="11266">
          <cell r="A11266" t="str">
            <v>橙2星血瞳25级</v>
          </cell>
          <cell r="B11266">
            <v>1106025</v>
          </cell>
        </row>
        <row r="11267">
          <cell r="A11267" t="str">
            <v>橙2星血瞳26级</v>
          </cell>
          <cell r="B11267">
            <v>1106026</v>
          </cell>
        </row>
        <row r="11268">
          <cell r="A11268" t="str">
            <v>橙2星血瞳27级</v>
          </cell>
          <cell r="B11268">
            <v>1106027</v>
          </cell>
        </row>
        <row r="11269">
          <cell r="A11269" t="str">
            <v>橙2星血瞳28级</v>
          </cell>
          <cell r="B11269">
            <v>1106028</v>
          </cell>
        </row>
        <row r="11270">
          <cell r="A11270" t="str">
            <v>橙2星血瞳29级</v>
          </cell>
          <cell r="B11270">
            <v>1106029</v>
          </cell>
        </row>
        <row r="11271">
          <cell r="A11271" t="str">
            <v>橙2星血瞳30级</v>
          </cell>
          <cell r="B11271">
            <v>1106030</v>
          </cell>
        </row>
        <row r="11272">
          <cell r="A11272" t="str">
            <v>橙2星血瞳31级</v>
          </cell>
          <cell r="B11272">
            <v>1106031</v>
          </cell>
        </row>
        <row r="11273">
          <cell r="A11273" t="str">
            <v>橙2星血瞳32级</v>
          </cell>
          <cell r="B11273">
            <v>1106032</v>
          </cell>
        </row>
        <row r="11274">
          <cell r="A11274" t="str">
            <v>橙2星血瞳33级</v>
          </cell>
          <cell r="B11274">
            <v>1106033</v>
          </cell>
        </row>
        <row r="11275">
          <cell r="A11275" t="str">
            <v>橙2星血瞳34级</v>
          </cell>
          <cell r="B11275">
            <v>1106034</v>
          </cell>
        </row>
        <row r="11276">
          <cell r="A11276" t="str">
            <v>橙2星血瞳35级</v>
          </cell>
          <cell r="B11276">
            <v>1106035</v>
          </cell>
        </row>
        <row r="11277">
          <cell r="A11277" t="str">
            <v>橙2星血瞳36级</v>
          </cell>
          <cell r="B11277">
            <v>1106036</v>
          </cell>
        </row>
        <row r="11278">
          <cell r="A11278" t="str">
            <v>橙2星血瞳37级</v>
          </cell>
          <cell r="B11278">
            <v>1106037</v>
          </cell>
        </row>
        <row r="11279">
          <cell r="A11279" t="str">
            <v>橙2星血瞳38级</v>
          </cell>
          <cell r="B11279">
            <v>1106038</v>
          </cell>
        </row>
        <row r="11280">
          <cell r="A11280" t="str">
            <v>橙2星血瞳39级</v>
          </cell>
          <cell r="B11280">
            <v>1106039</v>
          </cell>
        </row>
        <row r="11281">
          <cell r="A11281" t="str">
            <v>橙2星血瞳40级</v>
          </cell>
          <cell r="B11281">
            <v>1106040</v>
          </cell>
        </row>
        <row r="11282">
          <cell r="A11282" t="str">
            <v>橙2星血瞳41级</v>
          </cell>
          <cell r="B11282">
            <v>1106041</v>
          </cell>
        </row>
        <row r="11283">
          <cell r="A11283" t="str">
            <v>橙2星血瞳42级</v>
          </cell>
          <cell r="B11283">
            <v>1106042</v>
          </cell>
        </row>
        <row r="11284">
          <cell r="A11284" t="str">
            <v>橙2星血瞳43级</v>
          </cell>
          <cell r="B11284">
            <v>1106043</v>
          </cell>
        </row>
        <row r="11285">
          <cell r="A11285" t="str">
            <v>橙2星血瞳44级</v>
          </cell>
          <cell r="B11285">
            <v>1106044</v>
          </cell>
        </row>
        <row r="11286">
          <cell r="A11286" t="str">
            <v>橙2星血瞳45级</v>
          </cell>
          <cell r="B11286">
            <v>1106045</v>
          </cell>
        </row>
        <row r="11287">
          <cell r="A11287" t="str">
            <v>橙2星血瞳46级</v>
          </cell>
          <cell r="B11287">
            <v>1106046</v>
          </cell>
        </row>
        <row r="11288">
          <cell r="A11288" t="str">
            <v>橙2星血瞳47级</v>
          </cell>
          <cell r="B11288">
            <v>1106047</v>
          </cell>
        </row>
        <row r="11289">
          <cell r="A11289" t="str">
            <v>橙2星血瞳48级</v>
          </cell>
          <cell r="B11289">
            <v>1106048</v>
          </cell>
        </row>
        <row r="11290">
          <cell r="A11290" t="str">
            <v>橙2星血瞳49级</v>
          </cell>
          <cell r="B11290">
            <v>1106049</v>
          </cell>
        </row>
        <row r="11291">
          <cell r="A11291" t="str">
            <v>橙2星血瞳50级</v>
          </cell>
          <cell r="B11291">
            <v>1106050</v>
          </cell>
        </row>
        <row r="11292">
          <cell r="A11292" t="str">
            <v>橙2星血瞳51级</v>
          </cell>
          <cell r="B11292">
            <v>1106051</v>
          </cell>
        </row>
        <row r="11293">
          <cell r="A11293" t="str">
            <v>橙2星血瞳52级</v>
          </cell>
          <cell r="B11293">
            <v>1106052</v>
          </cell>
        </row>
        <row r="11294">
          <cell r="A11294" t="str">
            <v>橙2星血瞳53级</v>
          </cell>
          <cell r="B11294">
            <v>1106053</v>
          </cell>
        </row>
        <row r="11295">
          <cell r="A11295" t="str">
            <v>橙2星血瞳54级</v>
          </cell>
          <cell r="B11295">
            <v>1106054</v>
          </cell>
        </row>
        <row r="11296">
          <cell r="A11296" t="str">
            <v>橙2星血瞳55级</v>
          </cell>
          <cell r="B11296">
            <v>1106055</v>
          </cell>
        </row>
        <row r="11297">
          <cell r="A11297" t="str">
            <v>橙2星血瞳56级</v>
          </cell>
          <cell r="B11297">
            <v>1106056</v>
          </cell>
        </row>
        <row r="11298">
          <cell r="A11298" t="str">
            <v>橙2星血瞳57级</v>
          </cell>
          <cell r="B11298">
            <v>1106057</v>
          </cell>
        </row>
        <row r="11299">
          <cell r="A11299" t="str">
            <v>橙2星血瞳58级</v>
          </cell>
          <cell r="B11299">
            <v>1106058</v>
          </cell>
        </row>
        <row r="11300">
          <cell r="A11300" t="str">
            <v>橙2星血瞳59级</v>
          </cell>
          <cell r="B11300">
            <v>1106059</v>
          </cell>
        </row>
        <row r="11301">
          <cell r="A11301" t="str">
            <v>橙2星血瞳60级</v>
          </cell>
          <cell r="B11301">
            <v>1106060</v>
          </cell>
        </row>
        <row r="11302">
          <cell r="A11302" t="str">
            <v>橙2星血瞳61级</v>
          </cell>
          <cell r="B11302">
            <v>1106061</v>
          </cell>
        </row>
        <row r="11303">
          <cell r="A11303" t="str">
            <v>橙2星血瞳62级</v>
          </cell>
          <cell r="B11303">
            <v>1106062</v>
          </cell>
        </row>
        <row r="11304">
          <cell r="A11304" t="str">
            <v>橙2星血瞳63级</v>
          </cell>
          <cell r="B11304">
            <v>1106063</v>
          </cell>
        </row>
        <row r="11305">
          <cell r="A11305" t="str">
            <v>橙2星血瞳64级</v>
          </cell>
          <cell r="B11305">
            <v>1106064</v>
          </cell>
        </row>
        <row r="11306">
          <cell r="A11306" t="str">
            <v>橙2星血瞳65级</v>
          </cell>
          <cell r="B11306">
            <v>1106065</v>
          </cell>
        </row>
        <row r="11307">
          <cell r="A11307" t="str">
            <v>橙2星血瞳66级</v>
          </cell>
          <cell r="B11307">
            <v>1106066</v>
          </cell>
        </row>
        <row r="11308">
          <cell r="A11308" t="str">
            <v>橙2星血瞳67级</v>
          </cell>
          <cell r="B11308">
            <v>1106067</v>
          </cell>
        </row>
        <row r="11309">
          <cell r="A11309" t="str">
            <v>橙2星血瞳68级</v>
          </cell>
          <cell r="B11309">
            <v>1106068</v>
          </cell>
        </row>
        <row r="11310">
          <cell r="A11310" t="str">
            <v>橙2星血瞳69级</v>
          </cell>
          <cell r="B11310">
            <v>1106069</v>
          </cell>
        </row>
        <row r="11311">
          <cell r="A11311" t="str">
            <v>橙2星血瞳70级</v>
          </cell>
          <cell r="B11311">
            <v>1106070</v>
          </cell>
        </row>
        <row r="11312">
          <cell r="A11312" t="str">
            <v>橙2星血瞳71级</v>
          </cell>
          <cell r="B11312">
            <v>1106071</v>
          </cell>
        </row>
        <row r="11313">
          <cell r="A11313" t="str">
            <v>橙2星血瞳72级</v>
          </cell>
          <cell r="B11313">
            <v>1106072</v>
          </cell>
        </row>
        <row r="11314">
          <cell r="A11314" t="str">
            <v>橙2星血瞳73级</v>
          </cell>
          <cell r="B11314">
            <v>1106073</v>
          </cell>
        </row>
        <row r="11315">
          <cell r="A11315" t="str">
            <v>橙2星血瞳74级</v>
          </cell>
          <cell r="B11315">
            <v>1106074</v>
          </cell>
        </row>
        <row r="11316">
          <cell r="A11316" t="str">
            <v>橙2星血瞳75级</v>
          </cell>
          <cell r="B11316">
            <v>1106075</v>
          </cell>
        </row>
        <row r="11317">
          <cell r="A11317" t="str">
            <v>橙2星血瞳76级</v>
          </cell>
          <cell r="B11317">
            <v>1106076</v>
          </cell>
        </row>
        <row r="11318">
          <cell r="A11318" t="str">
            <v>橙2星血瞳77级</v>
          </cell>
          <cell r="B11318">
            <v>1106077</v>
          </cell>
        </row>
        <row r="11319">
          <cell r="A11319" t="str">
            <v>橙2星血瞳78级</v>
          </cell>
          <cell r="B11319">
            <v>1106078</v>
          </cell>
        </row>
        <row r="11320">
          <cell r="A11320" t="str">
            <v>橙2星血瞳79级</v>
          </cell>
          <cell r="B11320">
            <v>1106079</v>
          </cell>
        </row>
        <row r="11321">
          <cell r="A11321" t="str">
            <v>橙2星血瞳80级</v>
          </cell>
          <cell r="B11321">
            <v>1106080</v>
          </cell>
        </row>
        <row r="11322">
          <cell r="A11322" t="str">
            <v>橙2星血瞳81级</v>
          </cell>
          <cell r="B11322">
            <v>1106081</v>
          </cell>
        </row>
        <row r="11323">
          <cell r="A11323" t="str">
            <v>橙2星血瞳82级</v>
          </cell>
          <cell r="B11323">
            <v>1106082</v>
          </cell>
        </row>
        <row r="11324">
          <cell r="A11324" t="str">
            <v>橙2星血瞳83级</v>
          </cell>
          <cell r="B11324">
            <v>1106083</v>
          </cell>
        </row>
        <row r="11325">
          <cell r="A11325" t="str">
            <v>橙2星血瞳84级</v>
          </cell>
          <cell r="B11325">
            <v>1106084</v>
          </cell>
        </row>
        <row r="11326">
          <cell r="A11326" t="str">
            <v>橙2星血瞳85级</v>
          </cell>
          <cell r="B11326">
            <v>1106085</v>
          </cell>
        </row>
        <row r="11327">
          <cell r="A11327" t="str">
            <v>橙2星血瞳86级</v>
          </cell>
          <cell r="B11327">
            <v>1106086</v>
          </cell>
        </row>
        <row r="11328">
          <cell r="A11328" t="str">
            <v>橙2星血瞳87级</v>
          </cell>
          <cell r="B11328">
            <v>1106087</v>
          </cell>
        </row>
        <row r="11329">
          <cell r="A11329" t="str">
            <v>橙2星血瞳88级</v>
          </cell>
          <cell r="B11329">
            <v>1106088</v>
          </cell>
        </row>
        <row r="11330">
          <cell r="A11330" t="str">
            <v>橙2星血瞳89级</v>
          </cell>
          <cell r="B11330">
            <v>1106089</v>
          </cell>
        </row>
        <row r="11331">
          <cell r="A11331" t="str">
            <v>橙2星血瞳90级</v>
          </cell>
          <cell r="B11331">
            <v>1106090</v>
          </cell>
        </row>
        <row r="11332">
          <cell r="A11332" t="str">
            <v>橙2星血瞳91级</v>
          </cell>
          <cell r="B11332">
            <v>1106091</v>
          </cell>
        </row>
        <row r="11333">
          <cell r="A11333" t="str">
            <v>橙2星血瞳92级</v>
          </cell>
          <cell r="B11333">
            <v>1106092</v>
          </cell>
        </row>
        <row r="11334">
          <cell r="A11334" t="str">
            <v>橙2星血瞳93级</v>
          </cell>
          <cell r="B11334">
            <v>1106093</v>
          </cell>
        </row>
        <row r="11335">
          <cell r="A11335" t="str">
            <v>橙2星血瞳94级</v>
          </cell>
          <cell r="B11335">
            <v>1106094</v>
          </cell>
        </row>
        <row r="11336">
          <cell r="A11336" t="str">
            <v>橙2星血瞳95级</v>
          </cell>
          <cell r="B11336">
            <v>1106095</v>
          </cell>
        </row>
        <row r="11337">
          <cell r="A11337" t="str">
            <v>橙2星血瞳96级</v>
          </cell>
          <cell r="B11337">
            <v>1106096</v>
          </cell>
        </row>
        <row r="11338">
          <cell r="A11338" t="str">
            <v>橙2星血瞳97级</v>
          </cell>
          <cell r="B11338">
            <v>1106097</v>
          </cell>
        </row>
        <row r="11339">
          <cell r="A11339" t="str">
            <v>橙2星血瞳98级</v>
          </cell>
          <cell r="B11339">
            <v>1106098</v>
          </cell>
        </row>
        <row r="11340">
          <cell r="A11340" t="str">
            <v>橙2星血瞳99级</v>
          </cell>
          <cell r="B11340">
            <v>1106099</v>
          </cell>
        </row>
        <row r="11341">
          <cell r="A11341" t="str">
            <v>橙2星血瞳100级</v>
          </cell>
          <cell r="B11341">
            <v>1106100</v>
          </cell>
        </row>
        <row r="11342">
          <cell r="A11342" t="str">
            <v>橙3星血瞳1级</v>
          </cell>
          <cell r="B11342">
            <v>1107001</v>
          </cell>
        </row>
        <row r="11343">
          <cell r="A11343" t="str">
            <v>橙3星血瞳2级</v>
          </cell>
          <cell r="B11343">
            <v>1107002</v>
          </cell>
        </row>
        <row r="11344">
          <cell r="A11344" t="str">
            <v>橙3星血瞳3级</v>
          </cell>
          <cell r="B11344">
            <v>1107003</v>
          </cell>
        </row>
        <row r="11345">
          <cell r="A11345" t="str">
            <v>橙3星血瞳4级</v>
          </cell>
          <cell r="B11345">
            <v>1107004</v>
          </cell>
        </row>
        <row r="11346">
          <cell r="A11346" t="str">
            <v>橙3星血瞳5级</v>
          </cell>
          <cell r="B11346">
            <v>1107005</v>
          </cell>
        </row>
        <row r="11347">
          <cell r="A11347" t="str">
            <v>橙3星血瞳6级</v>
          </cell>
          <cell r="B11347">
            <v>1107006</v>
          </cell>
        </row>
        <row r="11348">
          <cell r="A11348" t="str">
            <v>橙3星血瞳7级</v>
          </cell>
          <cell r="B11348">
            <v>1107007</v>
          </cell>
        </row>
        <row r="11349">
          <cell r="A11349" t="str">
            <v>橙3星血瞳8级</v>
          </cell>
          <cell r="B11349">
            <v>1107008</v>
          </cell>
        </row>
        <row r="11350">
          <cell r="A11350" t="str">
            <v>橙3星血瞳9级</v>
          </cell>
          <cell r="B11350">
            <v>1107009</v>
          </cell>
        </row>
        <row r="11351">
          <cell r="A11351" t="str">
            <v>橙3星血瞳10级</v>
          </cell>
          <cell r="B11351">
            <v>1107010</v>
          </cell>
        </row>
        <row r="11352">
          <cell r="A11352" t="str">
            <v>橙3星血瞳11级</v>
          </cell>
          <cell r="B11352">
            <v>1107011</v>
          </cell>
        </row>
        <row r="11353">
          <cell r="A11353" t="str">
            <v>橙3星血瞳12级</v>
          </cell>
          <cell r="B11353">
            <v>1107012</v>
          </cell>
        </row>
        <row r="11354">
          <cell r="A11354" t="str">
            <v>橙3星血瞳13级</v>
          </cell>
          <cell r="B11354">
            <v>1107013</v>
          </cell>
        </row>
        <row r="11355">
          <cell r="A11355" t="str">
            <v>橙3星血瞳14级</v>
          </cell>
          <cell r="B11355">
            <v>1107014</v>
          </cell>
        </row>
        <row r="11356">
          <cell r="A11356" t="str">
            <v>橙3星血瞳15级</v>
          </cell>
          <cell r="B11356">
            <v>1107015</v>
          </cell>
        </row>
        <row r="11357">
          <cell r="A11357" t="str">
            <v>橙3星血瞳16级</v>
          </cell>
          <cell r="B11357">
            <v>1107016</v>
          </cell>
        </row>
        <row r="11358">
          <cell r="A11358" t="str">
            <v>橙3星血瞳17级</v>
          </cell>
          <cell r="B11358">
            <v>1107017</v>
          </cell>
        </row>
        <row r="11359">
          <cell r="A11359" t="str">
            <v>橙3星血瞳18级</v>
          </cell>
          <cell r="B11359">
            <v>1107018</v>
          </cell>
        </row>
        <row r="11360">
          <cell r="A11360" t="str">
            <v>橙3星血瞳19级</v>
          </cell>
          <cell r="B11360">
            <v>1107019</v>
          </cell>
        </row>
        <row r="11361">
          <cell r="A11361" t="str">
            <v>橙3星血瞳20级</v>
          </cell>
          <cell r="B11361">
            <v>1107020</v>
          </cell>
        </row>
        <row r="11362">
          <cell r="A11362" t="str">
            <v>橙3星血瞳21级</v>
          </cell>
          <cell r="B11362">
            <v>1107021</v>
          </cell>
        </row>
        <row r="11363">
          <cell r="A11363" t="str">
            <v>橙3星血瞳22级</v>
          </cell>
          <cell r="B11363">
            <v>1107022</v>
          </cell>
        </row>
        <row r="11364">
          <cell r="A11364" t="str">
            <v>橙3星血瞳23级</v>
          </cell>
          <cell r="B11364">
            <v>1107023</v>
          </cell>
        </row>
        <row r="11365">
          <cell r="A11365" t="str">
            <v>橙3星血瞳24级</v>
          </cell>
          <cell r="B11365">
            <v>1107024</v>
          </cell>
        </row>
        <row r="11366">
          <cell r="A11366" t="str">
            <v>橙3星血瞳25级</v>
          </cell>
          <cell r="B11366">
            <v>1107025</v>
          </cell>
        </row>
        <row r="11367">
          <cell r="A11367" t="str">
            <v>橙3星血瞳26级</v>
          </cell>
          <cell r="B11367">
            <v>1107026</v>
          </cell>
        </row>
        <row r="11368">
          <cell r="A11368" t="str">
            <v>橙3星血瞳27级</v>
          </cell>
          <cell r="B11368">
            <v>1107027</v>
          </cell>
        </row>
        <row r="11369">
          <cell r="A11369" t="str">
            <v>橙3星血瞳28级</v>
          </cell>
          <cell r="B11369">
            <v>1107028</v>
          </cell>
        </row>
        <row r="11370">
          <cell r="A11370" t="str">
            <v>橙3星血瞳29级</v>
          </cell>
          <cell r="B11370">
            <v>1107029</v>
          </cell>
        </row>
        <row r="11371">
          <cell r="A11371" t="str">
            <v>橙3星血瞳30级</v>
          </cell>
          <cell r="B11371">
            <v>1107030</v>
          </cell>
        </row>
        <row r="11372">
          <cell r="A11372" t="str">
            <v>橙3星血瞳31级</v>
          </cell>
          <cell r="B11372">
            <v>1107031</v>
          </cell>
        </row>
        <row r="11373">
          <cell r="A11373" t="str">
            <v>橙3星血瞳32级</v>
          </cell>
          <cell r="B11373">
            <v>1107032</v>
          </cell>
        </row>
        <row r="11374">
          <cell r="A11374" t="str">
            <v>橙3星血瞳33级</v>
          </cell>
          <cell r="B11374">
            <v>1107033</v>
          </cell>
        </row>
        <row r="11375">
          <cell r="A11375" t="str">
            <v>橙3星血瞳34级</v>
          </cell>
          <cell r="B11375">
            <v>1107034</v>
          </cell>
        </row>
        <row r="11376">
          <cell r="A11376" t="str">
            <v>橙3星血瞳35级</v>
          </cell>
          <cell r="B11376">
            <v>1107035</v>
          </cell>
        </row>
        <row r="11377">
          <cell r="A11377" t="str">
            <v>橙3星血瞳36级</v>
          </cell>
          <cell r="B11377">
            <v>1107036</v>
          </cell>
        </row>
        <row r="11378">
          <cell r="A11378" t="str">
            <v>橙3星血瞳37级</v>
          </cell>
          <cell r="B11378">
            <v>1107037</v>
          </cell>
        </row>
        <row r="11379">
          <cell r="A11379" t="str">
            <v>橙3星血瞳38级</v>
          </cell>
          <cell r="B11379">
            <v>1107038</v>
          </cell>
        </row>
        <row r="11380">
          <cell r="A11380" t="str">
            <v>橙3星血瞳39级</v>
          </cell>
          <cell r="B11380">
            <v>1107039</v>
          </cell>
        </row>
        <row r="11381">
          <cell r="A11381" t="str">
            <v>橙3星血瞳40级</v>
          </cell>
          <cell r="B11381">
            <v>1107040</v>
          </cell>
        </row>
        <row r="11382">
          <cell r="A11382" t="str">
            <v>橙3星血瞳41级</v>
          </cell>
          <cell r="B11382">
            <v>1107041</v>
          </cell>
        </row>
        <row r="11383">
          <cell r="A11383" t="str">
            <v>橙3星血瞳42级</v>
          </cell>
          <cell r="B11383">
            <v>1107042</v>
          </cell>
        </row>
        <row r="11384">
          <cell r="A11384" t="str">
            <v>橙3星血瞳43级</v>
          </cell>
          <cell r="B11384">
            <v>1107043</v>
          </cell>
        </row>
        <row r="11385">
          <cell r="A11385" t="str">
            <v>橙3星血瞳44级</v>
          </cell>
          <cell r="B11385">
            <v>1107044</v>
          </cell>
        </row>
        <row r="11386">
          <cell r="A11386" t="str">
            <v>橙3星血瞳45级</v>
          </cell>
          <cell r="B11386">
            <v>1107045</v>
          </cell>
        </row>
        <row r="11387">
          <cell r="A11387" t="str">
            <v>橙3星血瞳46级</v>
          </cell>
          <cell r="B11387">
            <v>1107046</v>
          </cell>
        </row>
        <row r="11388">
          <cell r="A11388" t="str">
            <v>橙3星血瞳47级</v>
          </cell>
          <cell r="B11388">
            <v>1107047</v>
          </cell>
        </row>
        <row r="11389">
          <cell r="A11389" t="str">
            <v>橙3星血瞳48级</v>
          </cell>
          <cell r="B11389">
            <v>1107048</v>
          </cell>
        </row>
        <row r="11390">
          <cell r="A11390" t="str">
            <v>橙3星血瞳49级</v>
          </cell>
          <cell r="B11390">
            <v>1107049</v>
          </cell>
        </row>
        <row r="11391">
          <cell r="A11391" t="str">
            <v>橙3星血瞳50级</v>
          </cell>
          <cell r="B11391">
            <v>1107050</v>
          </cell>
        </row>
        <row r="11392">
          <cell r="A11392" t="str">
            <v>橙3星血瞳51级</v>
          </cell>
          <cell r="B11392">
            <v>1107051</v>
          </cell>
        </row>
        <row r="11393">
          <cell r="A11393" t="str">
            <v>橙3星血瞳52级</v>
          </cell>
          <cell r="B11393">
            <v>1107052</v>
          </cell>
        </row>
        <row r="11394">
          <cell r="A11394" t="str">
            <v>橙3星血瞳53级</v>
          </cell>
          <cell r="B11394">
            <v>1107053</v>
          </cell>
        </row>
        <row r="11395">
          <cell r="A11395" t="str">
            <v>橙3星血瞳54级</v>
          </cell>
          <cell r="B11395">
            <v>1107054</v>
          </cell>
        </row>
        <row r="11396">
          <cell r="A11396" t="str">
            <v>橙3星血瞳55级</v>
          </cell>
          <cell r="B11396">
            <v>1107055</v>
          </cell>
        </row>
        <row r="11397">
          <cell r="A11397" t="str">
            <v>橙3星血瞳56级</v>
          </cell>
          <cell r="B11397">
            <v>1107056</v>
          </cell>
        </row>
        <row r="11398">
          <cell r="A11398" t="str">
            <v>橙3星血瞳57级</v>
          </cell>
          <cell r="B11398">
            <v>1107057</v>
          </cell>
        </row>
        <row r="11399">
          <cell r="A11399" t="str">
            <v>橙3星血瞳58级</v>
          </cell>
          <cell r="B11399">
            <v>1107058</v>
          </cell>
        </row>
        <row r="11400">
          <cell r="A11400" t="str">
            <v>橙3星血瞳59级</v>
          </cell>
          <cell r="B11400">
            <v>1107059</v>
          </cell>
        </row>
        <row r="11401">
          <cell r="A11401" t="str">
            <v>橙3星血瞳60级</v>
          </cell>
          <cell r="B11401">
            <v>1107060</v>
          </cell>
        </row>
        <row r="11402">
          <cell r="A11402" t="str">
            <v>橙3星血瞳61级</v>
          </cell>
          <cell r="B11402">
            <v>1107061</v>
          </cell>
        </row>
        <row r="11403">
          <cell r="A11403" t="str">
            <v>橙3星血瞳62级</v>
          </cell>
          <cell r="B11403">
            <v>1107062</v>
          </cell>
        </row>
        <row r="11404">
          <cell r="A11404" t="str">
            <v>橙3星血瞳63级</v>
          </cell>
          <cell r="B11404">
            <v>1107063</v>
          </cell>
        </row>
        <row r="11405">
          <cell r="A11405" t="str">
            <v>橙3星血瞳64级</v>
          </cell>
          <cell r="B11405">
            <v>1107064</v>
          </cell>
        </row>
        <row r="11406">
          <cell r="A11406" t="str">
            <v>橙3星血瞳65级</v>
          </cell>
          <cell r="B11406">
            <v>1107065</v>
          </cell>
        </row>
        <row r="11407">
          <cell r="A11407" t="str">
            <v>橙3星血瞳66级</v>
          </cell>
          <cell r="B11407">
            <v>1107066</v>
          </cell>
        </row>
        <row r="11408">
          <cell r="A11408" t="str">
            <v>橙3星血瞳67级</v>
          </cell>
          <cell r="B11408">
            <v>1107067</v>
          </cell>
        </row>
        <row r="11409">
          <cell r="A11409" t="str">
            <v>橙3星血瞳68级</v>
          </cell>
          <cell r="B11409">
            <v>1107068</v>
          </cell>
        </row>
        <row r="11410">
          <cell r="A11410" t="str">
            <v>橙3星血瞳69级</v>
          </cell>
          <cell r="B11410">
            <v>1107069</v>
          </cell>
        </row>
        <row r="11411">
          <cell r="A11411" t="str">
            <v>橙3星血瞳70级</v>
          </cell>
          <cell r="B11411">
            <v>1107070</v>
          </cell>
        </row>
        <row r="11412">
          <cell r="A11412" t="str">
            <v>橙3星血瞳71级</v>
          </cell>
          <cell r="B11412">
            <v>1107071</v>
          </cell>
        </row>
        <row r="11413">
          <cell r="A11413" t="str">
            <v>橙3星血瞳72级</v>
          </cell>
          <cell r="B11413">
            <v>1107072</v>
          </cell>
        </row>
        <row r="11414">
          <cell r="A11414" t="str">
            <v>橙3星血瞳73级</v>
          </cell>
          <cell r="B11414">
            <v>1107073</v>
          </cell>
        </row>
        <row r="11415">
          <cell r="A11415" t="str">
            <v>橙3星血瞳74级</v>
          </cell>
          <cell r="B11415">
            <v>1107074</v>
          </cell>
        </row>
        <row r="11416">
          <cell r="A11416" t="str">
            <v>橙3星血瞳75级</v>
          </cell>
          <cell r="B11416">
            <v>1107075</v>
          </cell>
        </row>
        <row r="11417">
          <cell r="A11417" t="str">
            <v>橙3星血瞳76级</v>
          </cell>
          <cell r="B11417">
            <v>1107076</v>
          </cell>
        </row>
        <row r="11418">
          <cell r="A11418" t="str">
            <v>橙3星血瞳77级</v>
          </cell>
          <cell r="B11418">
            <v>1107077</v>
          </cell>
        </row>
        <row r="11419">
          <cell r="A11419" t="str">
            <v>橙3星血瞳78级</v>
          </cell>
          <cell r="B11419">
            <v>1107078</v>
          </cell>
        </row>
        <row r="11420">
          <cell r="A11420" t="str">
            <v>橙3星血瞳79级</v>
          </cell>
          <cell r="B11420">
            <v>1107079</v>
          </cell>
        </row>
        <row r="11421">
          <cell r="A11421" t="str">
            <v>橙3星血瞳80级</v>
          </cell>
          <cell r="B11421">
            <v>1107080</v>
          </cell>
        </row>
        <row r="11422">
          <cell r="A11422" t="str">
            <v>橙3星血瞳81级</v>
          </cell>
          <cell r="B11422">
            <v>1107081</v>
          </cell>
        </row>
        <row r="11423">
          <cell r="A11423" t="str">
            <v>橙3星血瞳82级</v>
          </cell>
          <cell r="B11423">
            <v>1107082</v>
          </cell>
        </row>
        <row r="11424">
          <cell r="A11424" t="str">
            <v>橙3星血瞳83级</v>
          </cell>
          <cell r="B11424">
            <v>1107083</v>
          </cell>
        </row>
        <row r="11425">
          <cell r="A11425" t="str">
            <v>橙3星血瞳84级</v>
          </cell>
          <cell r="B11425">
            <v>1107084</v>
          </cell>
        </row>
        <row r="11426">
          <cell r="A11426" t="str">
            <v>橙3星血瞳85级</v>
          </cell>
          <cell r="B11426">
            <v>1107085</v>
          </cell>
        </row>
        <row r="11427">
          <cell r="A11427" t="str">
            <v>橙3星血瞳86级</v>
          </cell>
          <cell r="B11427">
            <v>1107086</v>
          </cell>
        </row>
        <row r="11428">
          <cell r="A11428" t="str">
            <v>橙3星血瞳87级</v>
          </cell>
          <cell r="B11428">
            <v>1107087</v>
          </cell>
        </row>
        <row r="11429">
          <cell r="A11429" t="str">
            <v>橙3星血瞳88级</v>
          </cell>
          <cell r="B11429">
            <v>1107088</v>
          </cell>
        </row>
        <row r="11430">
          <cell r="A11430" t="str">
            <v>橙3星血瞳89级</v>
          </cell>
          <cell r="B11430">
            <v>1107089</v>
          </cell>
        </row>
        <row r="11431">
          <cell r="A11431" t="str">
            <v>橙3星血瞳90级</v>
          </cell>
          <cell r="B11431">
            <v>1107090</v>
          </cell>
        </row>
        <row r="11432">
          <cell r="A11432" t="str">
            <v>橙3星血瞳91级</v>
          </cell>
          <cell r="B11432">
            <v>1107091</v>
          </cell>
        </row>
        <row r="11433">
          <cell r="A11433" t="str">
            <v>橙3星血瞳92级</v>
          </cell>
          <cell r="B11433">
            <v>1107092</v>
          </cell>
        </row>
        <row r="11434">
          <cell r="A11434" t="str">
            <v>橙3星血瞳93级</v>
          </cell>
          <cell r="B11434">
            <v>1107093</v>
          </cell>
        </row>
        <row r="11435">
          <cell r="A11435" t="str">
            <v>橙3星血瞳94级</v>
          </cell>
          <cell r="B11435">
            <v>1107094</v>
          </cell>
        </row>
        <row r="11436">
          <cell r="A11436" t="str">
            <v>橙3星血瞳95级</v>
          </cell>
          <cell r="B11436">
            <v>1107095</v>
          </cell>
        </row>
        <row r="11437">
          <cell r="A11437" t="str">
            <v>橙3星血瞳96级</v>
          </cell>
          <cell r="B11437">
            <v>1107096</v>
          </cell>
        </row>
        <row r="11438">
          <cell r="A11438" t="str">
            <v>橙3星血瞳97级</v>
          </cell>
          <cell r="B11438">
            <v>1107097</v>
          </cell>
        </row>
        <row r="11439">
          <cell r="A11439" t="str">
            <v>橙3星血瞳98级</v>
          </cell>
          <cell r="B11439">
            <v>1107098</v>
          </cell>
        </row>
        <row r="11440">
          <cell r="A11440" t="str">
            <v>橙3星血瞳99级</v>
          </cell>
          <cell r="B11440">
            <v>1107099</v>
          </cell>
        </row>
        <row r="11441">
          <cell r="A11441" t="str">
            <v>橙3星血瞳100级</v>
          </cell>
          <cell r="B11441">
            <v>1107100</v>
          </cell>
        </row>
        <row r="11442">
          <cell r="A11442" t="str">
            <v>红3星血瞳1级</v>
          </cell>
          <cell r="B11442">
            <v>1108001</v>
          </cell>
        </row>
        <row r="11443">
          <cell r="A11443" t="str">
            <v>红3星血瞳2级</v>
          </cell>
          <cell r="B11443">
            <v>1108002</v>
          </cell>
        </row>
        <row r="11444">
          <cell r="A11444" t="str">
            <v>红3星血瞳3级</v>
          </cell>
          <cell r="B11444">
            <v>1108003</v>
          </cell>
        </row>
        <row r="11445">
          <cell r="A11445" t="str">
            <v>红3星血瞳4级</v>
          </cell>
          <cell r="B11445">
            <v>1108004</v>
          </cell>
        </row>
        <row r="11446">
          <cell r="A11446" t="str">
            <v>红3星血瞳5级</v>
          </cell>
          <cell r="B11446">
            <v>1108005</v>
          </cell>
        </row>
        <row r="11447">
          <cell r="A11447" t="str">
            <v>红3星血瞳6级</v>
          </cell>
          <cell r="B11447">
            <v>1108006</v>
          </cell>
        </row>
        <row r="11448">
          <cell r="A11448" t="str">
            <v>红3星血瞳7级</v>
          </cell>
          <cell r="B11448">
            <v>1108007</v>
          </cell>
        </row>
        <row r="11449">
          <cell r="A11449" t="str">
            <v>红3星血瞳8级</v>
          </cell>
          <cell r="B11449">
            <v>1108008</v>
          </cell>
        </row>
        <row r="11450">
          <cell r="A11450" t="str">
            <v>红3星血瞳9级</v>
          </cell>
          <cell r="B11450">
            <v>1108009</v>
          </cell>
        </row>
        <row r="11451">
          <cell r="A11451" t="str">
            <v>红3星血瞳10级</v>
          </cell>
          <cell r="B11451">
            <v>1108010</v>
          </cell>
        </row>
        <row r="11452">
          <cell r="A11452" t="str">
            <v>红3星血瞳11级</v>
          </cell>
          <cell r="B11452">
            <v>1108011</v>
          </cell>
        </row>
        <row r="11453">
          <cell r="A11453" t="str">
            <v>红3星血瞳12级</v>
          </cell>
          <cell r="B11453">
            <v>1108012</v>
          </cell>
        </row>
        <row r="11454">
          <cell r="A11454" t="str">
            <v>红3星血瞳13级</v>
          </cell>
          <cell r="B11454">
            <v>1108013</v>
          </cell>
        </row>
        <row r="11455">
          <cell r="A11455" t="str">
            <v>红3星血瞳14级</v>
          </cell>
          <cell r="B11455">
            <v>1108014</v>
          </cell>
        </row>
        <row r="11456">
          <cell r="A11456" t="str">
            <v>红3星血瞳15级</v>
          </cell>
          <cell r="B11456">
            <v>1108015</v>
          </cell>
        </row>
        <row r="11457">
          <cell r="A11457" t="str">
            <v>红3星血瞳16级</v>
          </cell>
          <cell r="B11457">
            <v>1108016</v>
          </cell>
        </row>
        <row r="11458">
          <cell r="A11458" t="str">
            <v>红3星血瞳17级</v>
          </cell>
          <cell r="B11458">
            <v>1108017</v>
          </cell>
        </row>
        <row r="11459">
          <cell r="A11459" t="str">
            <v>红3星血瞳18级</v>
          </cell>
          <cell r="B11459">
            <v>1108018</v>
          </cell>
        </row>
        <row r="11460">
          <cell r="A11460" t="str">
            <v>红3星血瞳19级</v>
          </cell>
          <cell r="B11460">
            <v>1108019</v>
          </cell>
        </row>
        <row r="11461">
          <cell r="A11461" t="str">
            <v>红3星血瞳20级</v>
          </cell>
          <cell r="B11461">
            <v>1108020</v>
          </cell>
        </row>
        <row r="11462">
          <cell r="A11462" t="str">
            <v>红3星血瞳21级</v>
          </cell>
          <cell r="B11462">
            <v>1108021</v>
          </cell>
        </row>
        <row r="11463">
          <cell r="A11463" t="str">
            <v>红3星血瞳22级</v>
          </cell>
          <cell r="B11463">
            <v>1108022</v>
          </cell>
        </row>
        <row r="11464">
          <cell r="A11464" t="str">
            <v>红3星血瞳23级</v>
          </cell>
          <cell r="B11464">
            <v>1108023</v>
          </cell>
        </row>
        <row r="11465">
          <cell r="A11465" t="str">
            <v>红3星血瞳24级</v>
          </cell>
          <cell r="B11465">
            <v>1108024</v>
          </cell>
        </row>
        <row r="11466">
          <cell r="A11466" t="str">
            <v>红3星血瞳25级</v>
          </cell>
          <cell r="B11466">
            <v>1108025</v>
          </cell>
        </row>
        <row r="11467">
          <cell r="A11467" t="str">
            <v>红3星血瞳26级</v>
          </cell>
          <cell r="B11467">
            <v>1108026</v>
          </cell>
        </row>
        <row r="11468">
          <cell r="A11468" t="str">
            <v>红3星血瞳27级</v>
          </cell>
          <cell r="B11468">
            <v>1108027</v>
          </cell>
        </row>
        <row r="11469">
          <cell r="A11469" t="str">
            <v>红3星血瞳28级</v>
          </cell>
          <cell r="B11469">
            <v>1108028</v>
          </cell>
        </row>
        <row r="11470">
          <cell r="A11470" t="str">
            <v>红3星血瞳29级</v>
          </cell>
          <cell r="B11470">
            <v>1108029</v>
          </cell>
        </row>
        <row r="11471">
          <cell r="A11471" t="str">
            <v>红3星血瞳30级</v>
          </cell>
          <cell r="B11471">
            <v>1108030</v>
          </cell>
        </row>
        <row r="11472">
          <cell r="A11472" t="str">
            <v>红3星血瞳31级</v>
          </cell>
          <cell r="B11472">
            <v>1108031</v>
          </cell>
        </row>
        <row r="11473">
          <cell r="A11473" t="str">
            <v>红3星血瞳32级</v>
          </cell>
          <cell r="B11473">
            <v>1108032</v>
          </cell>
        </row>
        <row r="11474">
          <cell r="A11474" t="str">
            <v>红3星血瞳33级</v>
          </cell>
          <cell r="B11474">
            <v>1108033</v>
          </cell>
        </row>
        <row r="11475">
          <cell r="A11475" t="str">
            <v>红3星血瞳34级</v>
          </cell>
          <cell r="B11475">
            <v>1108034</v>
          </cell>
        </row>
        <row r="11476">
          <cell r="A11476" t="str">
            <v>红3星血瞳35级</v>
          </cell>
          <cell r="B11476">
            <v>1108035</v>
          </cell>
        </row>
        <row r="11477">
          <cell r="A11477" t="str">
            <v>红3星血瞳36级</v>
          </cell>
          <cell r="B11477">
            <v>1108036</v>
          </cell>
        </row>
        <row r="11478">
          <cell r="A11478" t="str">
            <v>红3星血瞳37级</v>
          </cell>
          <cell r="B11478">
            <v>1108037</v>
          </cell>
        </row>
        <row r="11479">
          <cell r="A11479" t="str">
            <v>红3星血瞳38级</v>
          </cell>
          <cell r="B11479">
            <v>1108038</v>
          </cell>
        </row>
        <row r="11480">
          <cell r="A11480" t="str">
            <v>红3星血瞳39级</v>
          </cell>
          <cell r="B11480">
            <v>1108039</v>
          </cell>
        </row>
        <row r="11481">
          <cell r="A11481" t="str">
            <v>红3星血瞳40级</v>
          </cell>
          <cell r="B11481">
            <v>1108040</v>
          </cell>
        </row>
        <row r="11482">
          <cell r="A11482" t="str">
            <v>红3星血瞳41级</v>
          </cell>
          <cell r="B11482">
            <v>1108041</v>
          </cell>
        </row>
        <row r="11483">
          <cell r="A11483" t="str">
            <v>红3星血瞳42级</v>
          </cell>
          <cell r="B11483">
            <v>1108042</v>
          </cell>
        </row>
        <row r="11484">
          <cell r="A11484" t="str">
            <v>红3星血瞳43级</v>
          </cell>
          <cell r="B11484">
            <v>1108043</v>
          </cell>
        </row>
        <row r="11485">
          <cell r="A11485" t="str">
            <v>红3星血瞳44级</v>
          </cell>
          <cell r="B11485">
            <v>1108044</v>
          </cell>
        </row>
        <row r="11486">
          <cell r="A11486" t="str">
            <v>红3星血瞳45级</v>
          </cell>
          <cell r="B11486">
            <v>1108045</v>
          </cell>
        </row>
        <row r="11487">
          <cell r="A11487" t="str">
            <v>红3星血瞳46级</v>
          </cell>
          <cell r="B11487">
            <v>1108046</v>
          </cell>
        </row>
        <row r="11488">
          <cell r="A11488" t="str">
            <v>红3星血瞳47级</v>
          </cell>
          <cell r="B11488">
            <v>1108047</v>
          </cell>
        </row>
        <row r="11489">
          <cell r="A11489" t="str">
            <v>红3星血瞳48级</v>
          </cell>
          <cell r="B11489">
            <v>1108048</v>
          </cell>
        </row>
        <row r="11490">
          <cell r="A11490" t="str">
            <v>红3星血瞳49级</v>
          </cell>
          <cell r="B11490">
            <v>1108049</v>
          </cell>
        </row>
        <row r="11491">
          <cell r="A11491" t="str">
            <v>红3星血瞳50级</v>
          </cell>
          <cell r="B11491">
            <v>1108050</v>
          </cell>
        </row>
        <row r="11492">
          <cell r="A11492" t="str">
            <v>红3星血瞳51级</v>
          </cell>
          <cell r="B11492">
            <v>1108051</v>
          </cell>
        </row>
        <row r="11493">
          <cell r="A11493" t="str">
            <v>红3星血瞳52级</v>
          </cell>
          <cell r="B11493">
            <v>1108052</v>
          </cell>
        </row>
        <row r="11494">
          <cell r="A11494" t="str">
            <v>红3星血瞳53级</v>
          </cell>
          <cell r="B11494">
            <v>1108053</v>
          </cell>
        </row>
        <row r="11495">
          <cell r="A11495" t="str">
            <v>红3星血瞳54级</v>
          </cell>
          <cell r="B11495">
            <v>1108054</v>
          </cell>
        </row>
        <row r="11496">
          <cell r="A11496" t="str">
            <v>红3星血瞳55级</v>
          </cell>
          <cell r="B11496">
            <v>1108055</v>
          </cell>
        </row>
        <row r="11497">
          <cell r="A11497" t="str">
            <v>红3星血瞳56级</v>
          </cell>
          <cell r="B11497">
            <v>1108056</v>
          </cell>
        </row>
        <row r="11498">
          <cell r="A11498" t="str">
            <v>红3星血瞳57级</v>
          </cell>
          <cell r="B11498">
            <v>1108057</v>
          </cell>
        </row>
        <row r="11499">
          <cell r="A11499" t="str">
            <v>红3星血瞳58级</v>
          </cell>
          <cell r="B11499">
            <v>1108058</v>
          </cell>
        </row>
        <row r="11500">
          <cell r="A11500" t="str">
            <v>红3星血瞳59级</v>
          </cell>
          <cell r="B11500">
            <v>1108059</v>
          </cell>
        </row>
        <row r="11501">
          <cell r="A11501" t="str">
            <v>红3星血瞳60级</v>
          </cell>
          <cell r="B11501">
            <v>1108060</v>
          </cell>
        </row>
        <row r="11502">
          <cell r="A11502" t="str">
            <v>红3星血瞳61级</v>
          </cell>
          <cell r="B11502">
            <v>1108061</v>
          </cell>
        </row>
        <row r="11503">
          <cell r="A11503" t="str">
            <v>红3星血瞳62级</v>
          </cell>
          <cell r="B11503">
            <v>1108062</v>
          </cell>
        </row>
        <row r="11504">
          <cell r="A11504" t="str">
            <v>红3星血瞳63级</v>
          </cell>
          <cell r="B11504">
            <v>1108063</v>
          </cell>
        </row>
        <row r="11505">
          <cell r="A11505" t="str">
            <v>红3星血瞳64级</v>
          </cell>
          <cell r="B11505">
            <v>1108064</v>
          </cell>
        </row>
        <row r="11506">
          <cell r="A11506" t="str">
            <v>红3星血瞳65级</v>
          </cell>
          <cell r="B11506">
            <v>1108065</v>
          </cell>
        </row>
        <row r="11507">
          <cell r="A11507" t="str">
            <v>红3星血瞳66级</v>
          </cell>
          <cell r="B11507">
            <v>1108066</v>
          </cell>
        </row>
        <row r="11508">
          <cell r="A11508" t="str">
            <v>红3星血瞳67级</v>
          </cell>
          <cell r="B11508">
            <v>1108067</v>
          </cell>
        </row>
        <row r="11509">
          <cell r="A11509" t="str">
            <v>红3星血瞳68级</v>
          </cell>
          <cell r="B11509">
            <v>1108068</v>
          </cell>
        </row>
        <row r="11510">
          <cell r="A11510" t="str">
            <v>红3星血瞳69级</v>
          </cell>
          <cell r="B11510">
            <v>1108069</v>
          </cell>
        </row>
        <row r="11511">
          <cell r="A11511" t="str">
            <v>红3星血瞳70级</v>
          </cell>
          <cell r="B11511">
            <v>1108070</v>
          </cell>
        </row>
        <row r="11512">
          <cell r="A11512" t="str">
            <v>红3星血瞳71级</v>
          </cell>
          <cell r="B11512">
            <v>1108071</v>
          </cell>
        </row>
        <row r="11513">
          <cell r="A11513" t="str">
            <v>红3星血瞳72级</v>
          </cell>
          <cell r="B11513">
            <v>1108072</v>
          </cell>
        </row>
        <row r="11514">
          <cell r="A11514" t="str">
            <v>红3星血瞳73级</v>
          </cell>
          <cell r="B11514">
            <v>1108073</v>
          </cell>
        </row>
        <row r="11515">
          <cell r="A11515" t="str">
            <v>红3星血瞳74级</v>
          </cell>
          <cell r="B11515">
            <v>1108074</v>
          </cell>
        </row>
        <row r="11516">
          <cell r="A11516" t="str">
            <v>红3星血瞳75级</v>
          </cell>
          <cell r="B11516">
            <v>1108075</v>
          </cell>
        </row>
        <row r="11517">
          <cell r="A11517" t="str">
            <v>红3星血瞳76级</v>
          </cell>
          <cell r="B11517">
            <v>1108076</v>
          </cell>
        </row>
        <row r="11518">
          <cell r="A11518" t="str">
            <v>红3星血瞳77级</v>
          </cell>
          <cell r="B11518">
            <v>1108077</v>
          </cell>
        </row>
        <row r="11519">
          <cell r="A11519" t="str">
            <v>红3星血瞳78级</v>
          </cell>
          <cell r="B11519">
            <v>1108078</v>
          </cell>
        </row>
        <row r="11520">
          <cell r="A11520" t="str">
            <v>红3星血瞳79级</v>
          </cell>
          <cell r="B11520">
            <v>1108079</v>
          </cell>
        </row>
        <row r="11521">
          <cell r="A11521" t="str">
            <v>红3星血瞳80级</v>
          </cell>
          <cell r="B11521">
            <v>1108080</v>
          </cell>
        </row>
        <row r="11522">
          <cell r="A11522" t="str">
            <v>红3星血瞳81级</v>
          </cell>
          <cell r="B11522">
            <v>1108081</v>
          </cell>
        </row>
        <row r="11523">
          <cell r="A11523" t="str">
            <v>红3星血瞳82级</v>
          </cell>
          <cell r="B11523">
            <v>1108082</v>
          </cell>
        </row>
        <row r="11524">
          <cell r="A11524" t="str">
            <v>红3星血瞳83级</v>
          </cell>
          <cell r="B11524">
            <v>1108083</v>
          </cell>
        </row>
        <row r="11525">
          <cell r="A11525" t="str">
            <v>红3星血瞳84级</v>
          </cell>
          <cell r="B11525">
            <v>1108084</v>
          </cell>
        </row>
        <row r="11526">
          <cell r="A11526" t="str">
            <v>红3星血瞳85级</v>
          </cell>
          <cell r="B11526">
            <v>1108085</v>
          </cell>
        </row>
        <row r="11527">
          <cell r="A11527" t="str">
            <v>红3星血瞳86级</v>
          </cell>
          <cell r="B11527">
            <v>1108086</v>
          </cell>
        </row>
        <row r="11528">
          <cell r="A11528" t="str">
            <v>红3星血瞳87级</v>
          </cell>
          <cell r="B11528">
            <v>1108087</v>
          </cell>
        </row>
        <row r="11529">
          <cell r="A11529" t="str">
            <v>红3星血瞳88级</v>
          </cell>
          <cell r="B11529">
            <v>1108088</v>
          </cell>
        </row>
        <row r="11530">
          <cell r="A11530" t="str">
            <v>红3星血瞳89级</v>
          </cell>
          <cell r="B11530">
            <v>1108089</v>
          </cell>
        </row>
        <row r="11531">
          <cell r="A11531" t="str">
            <v>红3星血瞳90级</v>
          </cell>
          <cell r="B11531">
            <v>1108090</v>
          </cell>
        </row>
        <row r="11532">
          <cell r="A11532" t="str">
            <v>红3星血瞳91级</v>
          </cell>
          <cell r="B11532">
            <v>1108091</v>
          </cell>
        </row>
        <row r="11533">
          <cell r="A11533" t="str">
            <v>红3星血瞳92级</v>
          </cell>
          <cell r="B11533">
            <v>1108092</v>
          </cell>
        </row>
        <row r="11534">
          <cell r="A11534" t="str">
            <v>红3星血瞳93级</v>
          </cell>
          <cell r="B11534">
            <v>1108093</v>
          </cell>
        </row>
        <row r="11535">
          <cell r="A11535" t="str">
            <v>红3星血瞳94级</v>
          </cell>
          <cell r="B11535">
            <v>1108094</v>
          </cell>
        </row>
        <row r="11536">
          <cell r="A11536" t="str">
            <v>红3星血瞳95级</v>
          </cell>
          <cell r="B11536">
            <v>1108095</v>
          </cell>
        </row>
        <row r="11537">
          <cell r="A11537" t="str">
            <v>红3星血瞳96级</v>
          </cell>
          <cell r="B11537">
            <v>1108096</v>
          </cell>
        </row>
        <row r="11538">
          <cell r="A11538" t="str">
            <v>红3星血瞳97级</v>
          </cell>
          <cell r="B11538">
            <v>1108097</v>
          </cell>
        </row>
        <row r="11539">
          <cell r="A11539" t="str">
            <v>红3星血瞳98级</v>
          </cell>
          <cell r="B11539">
            <v>1108098</v>
          </cell>
        </row>
        <row r="11540">
          <cell r="A11540" t="str">
            <v>红3星血瞳99级</v>
          </cell>
          <cell r="B11540">
            <v>1108099</v>
          </cell>
        </row>
        <row r="11541">
          <cell r="A11541" t="str">
            <v>红3星血瞳100级</v>
          </cell>
          <cell r="B11541">
            <v>1108100</v>
          </cell>
        </row>
        <row r="11542">
          <cell r="A11542" t="str">
            <v>神红3星血瞳1级</v>
          </cell>
          <cell r="B11542">
            <v>1109001</v>
          </cell>
        </row>
        <row r="11543">
          <cell r="A11543" t="str">
            <v>神红3星血瞳2级</v>
          </cell>
          <cell r="B11543">
            <v>1109002</v>
          </cell>
        </row>
        <row r="11544">
          <cell r="A11544" t="str">
            <v>神红3星血瞳3级</v>
          </cell>
          <cell r="B11544">
            <v>1109003</v>
          </cell>
        </row>
        <row r="11545">
          <cell r="A11545" t="str">
            <v>神红3星血瞳4级</v>
          </cell>
          <cell r="B11545">
            <v>1109004</v>
          </cell>
        </row>
        <row r="11546">
          <cell r="A11546" t="str">
            <v>神红3星血瞳5级</v>
          </cell>
          <cell r="B11546">
            <v>1109005</v>
          </cell>
        </row>
        <row r="11547">
          <cell r="A11547" t="str">
            <v>神红3星血瞳6级</v>
          </cell>
          <cell r="B11547">
            <v>1109006</v>
          </cell>
        </row>
        <row r="11548">
          <cell r="A11548" t="str">
            <v>神红3星血瞳7级</v>
          </cell>
          <cell r="B11548">
            <v>1109007</v>
          </cell>
        </row>
        <row r="11549">
          <cell r="A11549" t="str">
            <v>神红3星血瞳8级</v>
          </cell>
          <cell r="B11549">
            <v>1109008</v>
          </cell>
        </row>
        <row r="11550">
          <cell r="A11550" t="str">
            <v>神红3星血瞳9级</v>
          </cell>
          <cell r="B11550">
            <v>1109009</v>
          </cell>
        </row>
        <row r="11551">
          <cell r="A11551" t="str">
            <v>神红3星血瞳10级</v>
          </cell>
          <cell r="B11551">
            <v>1109010</v>
          </cell>
        </row>
        <row r="11552">
          <cell r="A11552" t="str">
            <v>神红3星血瞳11级</v>
          </cell>
          <cell r="B11552">
            <v>1109011</v>
          </cell>
        </row>
        <row r="11553">
          <cell r="A11553" t="str">
            <v>神红3星血瞳12级</v>
          </cell>
          <cell r="B11553">
            <v>1109012</v>
          </cell>
        </row>
        <row r="11554">
          <cell r="A11554" t="str">
            <v>神红3星血瞳13级</v>
          </cell>
          <cell r="B11554">
            <v>1109013</v>
          </cell>
        </row>
        <row r="11555">
          <cell r="A11555" t="str">
            <v>神红3星血瞳14级</v>
          </cell>
          <cell r="B11555">
            <v>1109014</v>
          </cell>
        </row>
        <row r="11556">
          <cell r="A11556" t="str">
            <v>神红3星血瞳15级</v>
          </cell>
          <cell r="B11556">
            <v>1109015</v>
          </cell>
        </row>
        <row r="11557">
          <cell r="A11557" t="str">
            <v>神红3星血瞳16级</v>
          </cell>
          <cell r="B11557">
            <v>1109016</v>
          </cell>
        </row>
        <row r="11558">
          <cell r="A11558" t="str">
            <v>神红3星血瞳17级</v>
          </cell>
          <cell r="B11558">
            <v>1109017</v>
          </cell>
        </row>
        <row r="11559">
          <cell r="A11559" t="str">
            <v>神红3星血瞳18级</v>
          </cell>
          <cell r="B11559">
            <v>1109018</v>
          </cell>
        </row>
        <row r="11560">
          <cell r="A11560" t="str">
            <v>神红3星血瞳19级</v>
          </cell>
          <cell r="B11560">
            <v>1109019</v>
          </cell>
        </row>
        <row r="11561">
          <cell r="A11561" t="str">
            <v>神红3星血瞳20级</v>
          </cell>
          <cell r="B11561">
            <v>1109020</v>
          </cell>
        </row>
        <row r="11562">
          <cell r="A11562" t="str">
            <v>神红3星血瞳21级</v>
          </cell>
          <cell r="B11562">
            <v>1109021</v>
          </cell>
        </row>
        <row r="11563">
          <cell r="A11563" t="str">
            <v>神红3星血瞳22级</v>
          </cell>
          <cell r="B11563">
            <v>1109022</v>
          </cell>
        </row>
        <row r="11564">
          <cell r="A11564" t="str">
            <v>神红3星血瞳23级</v>
          </cell>
          <cell r="B11564">
            <v>1109023</v>
          </cell>
        </row>
        <row r="11565">
          <cell r="A11565" t="str">
            <v>神红3星血瞳24级</v>
          </cell>
          <cell r="B11565">
            <v>1109024</v>
          </cell>
        </row>
        <row r="11566">
          <cell r="A11566" t="str">
            <v>神红3星血瞳25级</v>
          </cell>
          <cell r="B11566">
            <v>1109025</v>
          </cell>
        </row>
        <row r="11567">
          <cell r="A11567" t="str">
            <v>神红3星血瞳26级</v>
          </cell>
          <cell r="B11567">
            <v>1109026</v>
          </cell>
        </row>
        <row r="11568">
          <cell r="A11568" t="str">
            <v>神红3星血瞳27级</v>
          </cell>
          <cell r="B11568">
            <v>1109027</v>
          </cell>
        </row>
        <row r="11569">
          <cell r="A11569" t="str">
            <v>神红3星血瞳28级</v>
          </cell>
          <cell r="B11569">
            <v>1109028</v>
          </cell>
        </row>
        <row r="11570">
          <cell r="A11570" t="str">
            <v>神红3星血瞳29级</v>
          </cell>
          <cell r="B11570">
            <v>1109029</v>
          </cell>
        </row>
        <row r="11571">
          <cell r="A11571" t="str">
            <v>神红3星血瞳30级</v>
          </cell>
          <cell r="B11571">
            <v>1109030</v>
          </cell>
        </row>
        <row r="11572">
          <cell r="A11572" t="str">
            <v>神红3星血瞳31级</v>
          </cell>
          <cell r="B11572">
            <v>1109031</v>
          </cell>
        </row>
        <row r="11573">
          <cell r="A11573" t="str">
            <v>神红3星血瞳32级</v>
          </cell>
          <cell r="B11573">
            <v>1109032</v>
          </cell>
        </row>
        <row r="11574">
          <cell r="A11574" t="str">
            <v>神红3星血瞳33级</v>
          </cell>
          <cell r="B11574">
            <v>1109033</v>
          </cell>
        </row>
        <row r="11575">
          <cell r="A11575" t="str">
            <v>神红3星血瞳34级</v>
          </cell>
          <cell r="B11575">
            <v>1109034</v>
          </cell>
        </row>
        <row r="11576">
          <cell r="A11576" t="str">
            <v>神红3星血瞳35级</v>
          </cell>
          <cell r="B11576">
            <v>1109035</v>
          </cell>
        </row>
        <row r="11577">
          <cell r="A11577" t="str">
            <v>神红3星血瞳36级</v>
          </cell>
          <cell r="B11577">
            <v>1109036</v>
          </cell>
        </row>
        <row r="11578">
          <cell r="A11578" t="str">
            <v>神红3星血瞳37级</v>
          </cell>
          <cell r="B11578">
            <v>1109037</v>
          </cell>
        </row>
        <row r="11579">
          <cell r="A11579" t="str">
            <v>神红3星血瞳38级</v>
          </cell>
          <cell r="B11579">
            <v>1109038</v>
          </cell>
        </row>
        <row r="11580">
          <cell r="A11580" t="str">
            <v>神红3星血瞳39级</v>
          </cell>
          <cell r="B11580">
            <v>1109039</v>
          </cell>
        </row>
        <row r="11581">
          <cell r="A11581" t="str">
            <v>神红3星血瞳40级</v>
          </cell>
          <cell r="B11581">
            <v>1109040</v>
          </cell>
        </row>
        <row r="11582">
          <cell r="A11582" t="str">
            <v>神红3星血瞳41级</v>
          </cell>
          <cell r="B11582">
            <v>1109041</v>
          </cell>
        </row>
        <row r="11583">
          <cell r="A11583" t="str">
            <v>神红3星血瞳42级</v>
          </cell>
          <cell r="B11583">
            <v>1109042</v>
          </cell>
        </row>
        <row r="11584">
          <cell r="A11584" t="str">
            <v>神红3星血瞳43级</v>
          </cell>
          <cell r="B11584">
            <v>1109043</v>
          </cell>
        </row>
        <row r="11585">
          <cell r="A11585" t="str">
            <v>神红3星血瞳44级</v>
          </cell>
          <cell r="B11585">
            <v>1109044</v>
          </cell>
        </row>
        <row r="11586">
          <cell r="A11586" t="str">
            <v>神红3星血瞳45级</v>
          </cell>
          <cell r="B11586">
            <v>1109045</v>
          </cell>
        </row>
        <row r="11587">
          <cell r="A11587" t="str">
            <v>神红3星血瞳46级</v>
          </cell>
          <cell r="B11587">
            <v>1109046</v>
          </cell>
        </row>
        <row r="11588">
          <cell r="A11588" t="str">
            <v>神红3星血瞳47级</v>
          </cell>
          <cell r="B11588">
            <v>1109047</v>
          </cell>
        </row>
        <row r="11589">
          <cell r="A11589" t="str">
            <v>神红3星血瞳48级</v>
          </cell>
          <cell r="B11589">
            <v>1109048</v>
          </cell>
        </row>
        <row r="11590">
          <cell r="A11590" t="str">
            <v>神红3星血瞳49级</v>
          </cell>
          <cell r="B11590">
            <v>1109049</v>
          </cell>
        </row>
        <row r="11591">
          <cell r="A11591" t="str">
            <v>神红3星血瞳50级</v>
          </cell>
          <cell r="B11591">
            <v>1109050</v>
          </cell>
        </row>
        <row r="11592">
          <cell r="A11592" t="str">
            <v>神红3星血瞳51级</v>
          </cell>
          <cell r="B11592">
            <v>1109051</v>
          </cell>
        </row>
        <row r="11593">
          <cell r="A11593" t="str">
            <v>神红3星血瞳52级</v>
          </cell>
          <cell r="B11593">
            <v>1109052</v>
          </cell>
        </row>
        <row r="11594">
          <cell r="A11594" t="str">
            <v>神红3星血瞳53级</v>
          </cell>
          <cell r="B11594">
            <v>1109053</v>
          </cell>
        </row>
        <row r="11595">
          <cell r="A11595" t="str">
            <v>神红3星血瞳54级</v>
          </cell>
          <cell r="B11595">
            <v>1109054</v>
          </cell>
        </row>
        <row r="11596">
          <cell r="A11596" t="str">
            <v>神红3星血瞳55级</v>
          </cell>
          <cell r="B11596">
            <v>1109055</v>
          </cell>
        </row>
        <row r="11597">
          <cell r="A11597" t="str">
            <v>神红3星血瞳56级</v>
          </cell>
          <cell r="B11597">
            <v>1109056</v>
          </cell>
        </row>
        <row r="11598">
          <cell r="A11598" t="str">
            <v>神红3星血瞳57级</v>
          </cell>
          <cell r="B11598">
            <v>1109057</v>
          </cell>
        </row>
        <row r="11599">
          <cell r="A11599" t="str">
            <v>神红3星血瞳58级</v>
          </cell>
          <cell r="B11599">
            <v>1109058</v>
          </cell>
        </row>
        <row r="11600">
          <cell r="A11600" t="str">
            <v>神红3星血瞳59级</v>
          </cell>
          <cell r="B11600">
            <v>1109059</v>
          </cell>
        </row>
        <row r="11601">
          <cell r="A11601" t="str">
            <v>神红3星血瞳60级</v>
          </cell>
          <cell r="B11601">
            <v>1109060</v>
          </cell>
        </row>
        <row r="11602">
          <cell r="A11602" t="str">
            <v>神红3星血瞳61级</v>
          </cell>
          <cell r="B11602">
            <v>1109061</v>
          </cell>
        </row>
        <row r="11603">
          <cell r="A11603" t="str">
            <v>神红3星血瞳62级</v>
          </cell>
          <cell r="B11603">
            <v>1109062</v>
          </cell>
        </row>
        <row r="11604">
          <cell r="A11604" t="str">
            <v>神红3星血瞳63级</v>
          </cell>
          <cell r="B11604">
            <v>1109063</v>
          </cell>
        </row>
        <row r="11605">
          <cell r="A11605" t="str">
            <v>神红3星血瞳64级</v>
          </cell>
          <cell r="B11605">
            <v>1109064</v>
          </cell>
        </row>
        <row r="11606">
          <cell r="A11606" t="str">
            <v>神红3星血瞳65级</v>
          </cell>
          <cell r="B11606">
            <v>1109065</v>
          </cell>
        </row>
        <row r="11607">
          <cell r="A11607" t="str">
            <v>神红3星血瞳66级</v>
          </cell>
          <cell r="B11607">
            <v>1109066</v>
          </cell>
        </row>
        <row r="11608">
          <cell r="A11608" t="str">
            <v>神红3星血瞳67级</v>
          </cell>
          <cell r="B11608">
            <v>1109067</v>
          </cell>
        </row>
        <row r="11609">
          <cell r="A11609" t="str">
            <v>神红3星血瞳68级</v>
          </cell>
          <cell r="B11609">
            <v>1109068</v>
          </cell>
        </row>
        <row r="11610">
          <cell r="A11610" t="str">
            <v>神红3星血瞳69级</v>
          </cell>
          <cell r="B11610">
            <v>1109069</v>
          </cell>
        </row>
        <row r="11611">
          <cell r="A11611" t="str">
            <v>神红3星血瞳70级</v>
          </cell>
          <cell r="B11611">
            <v>1109070</v>
          </cell>
        </row>
        <row r="11612">
          <cell r="A11612" t="str">
            <v>神红3星血瞳71级</v>
          </cell>
          <cell r="B11612">
            <v>1109071</v>
          </cell>
        </row>
        <row r="11613">
          <cell r="A11613" t="str">
            <v>神红3星血瞳72级</v>
          </cell>
          <cell r="B11613">
            <v>1109072</v>
          </cell>
        </row>
        <row r="11614">
          <cell r="A11614" t="str">
            <v>神红3星血瞳73级</v>
          </cell>
          <cell r="B11614">
            <v>1109073</v>
          </cell>
        </row>
        <row r="11615">
          <cell r="A11615" t="str">
            <v>神红3星血瞳74级</v>
          </cell>
          <cell r="B11615">
            <v>1109074</v>
          </cell>
        </row>
        <row r="11616">
          <cell r="A11616" t="str">
            <v>神红3星血瞳75级</v>
          </cell>
          <cell r="B11616">
            <v>1109075</v>
          </cell>
        </row>
        <row r="11617">
          <cell r="A11617" t="str">
            <v>神红3星血瞳76级</v>
          </cell>
          <cell r="B11617">
            <v>1109076</v>
          </cell>
        </row>
        <row r="11618">
          <cell r="A11618" t="str">
            <v>神红3星血瞳77级</v>
          </cell>
          <cell r="B11618">
            <v>1109077</v>
          </cell>
        </row>
        <row r="11619">
          <cell r="A11619" t="str">
            <v>神红3星血瞳78级</v>
          </cell>
          <cell r="B11619">
            <v>1109078</v>
          </cell>
        </row>
        <row r="11620">
          <cell r="A11620" t="str">
            <v>神红3星血瞳79级</v>
          </cell>
          <cell r="B11620">
            <v>1109079</v>
          </cell>
        </row>
        <row r="11621">
          <cell r="A11621" t="str">
            <v>神红3星血瞳80级</v>
          </cell>
          <cell r="B11621">
            <v>1109080</v>
          </cell>
        </row>
        <row r="11622">
          <cell r="A11622" t="str">
            <v>神红3星血瞳81级</v>
          </cell>
          <cell r="B11622">
            <v>1109081</v>
          </cell>
        </row>
        <row r="11623">
          <cell r="A11623" t="str">
            <v>神红3星血瞳82级</v>
          </cell>
          <cell r="B11623">
            <v>1109082</v>
          </cell>
        </row>
        <row r="11624">
          <cell r="A11624" t="str">
            <v>神红3星血瞳83级</v>
          </cell>
          <cell r="B11624">
            <v>1109083</v>
          </cell>
        </row>
        <row r="11625">
          <cell r="A11625" t="str">
            <v>神红3星血瞳84级</v>
          </cell>
          <cell r="B11625">
            <v>1109084</v>
          </cell>
        </row>
        <row r="11626">
          <cell r="A11626" t="str">
            <v>神红3星血瞳85级</v>
          </cell>
          <cell r="B11626">
            <v>1109085</v>
          </cell>
        </row>
        <row r="11627">
          <cell r="A11627" t="str">
            <v>神红3星血瞳86级</v>
          </cell>
          <cell r="B11627">
            <v>1109086</v>
          </cell>
        </row>
        <row r="11628">
          <cell r="A11628" t="str">
            <v>神红3星血瞳87级</v>
          </cell>
          <cell r="B11628">
            <v>1109087</v>
          </cell>
        </row>
        <row r="11629">
          <cell r="A11629" t="str">
            <v>神红3星血瞳88级</v>
          </cell>
          <cell r="B11629">
            <v>1109088</v>
          </cell>
        </row>
        <row r="11630">
          <cell r="A11630" t="str">
            <v>神红3星血瞳89级</v>
          </cell>
          <cell r="B11630">
            <v>1109089</v>
          </cell>
        </row>
        <row r="11631">
          <cell r="A11631" t="str">
            <v>神红3星血瞳90级</v>
          </cell>
          <cell r="B11631">
            <v>1109090</v>
          </cell>
        </row>
        <row r="11632">
          <cell r="A11632" t="str">
            <v>神红3星血瞳91级</v>
          </cell>
          <cell r="B11632">
            <v>1109091</v>
          </cell>
        </row>
        <row r="11633">
          <cell r="A11633" t="str">
            <v>神红3星血瞳92级</v>
          </cell>
          <cell r="B11633">
            <v>1109092</v>
          </cell>
        </row>
        <row r="11634">
          <cell r="A11634" t="str">
            <v>神红3星血瞳93级</v>
          </cell>
          <cell r="B11634">
            <v>1109093</v>
          </cell>
        </row>
        <row r="11635">
          <cell r="A11635" t="str">
            <v>神红3星血瞳94级</v>
          </cell>
          <cell r="B11635">
            <v>1109094</v>
          </cell>
        </row>
        <row r="11636">
          <cell r="A11636" t="str">
            <v>神红3星血瞳95级</v>
          </cell>
          <cell r="B11636">
            <v>1109095</v>
          </cell>
        </row>
        <row r="11637">
          <cell r="A11637" t="str">
            <v>神红3星血瞳96级</v>
          </cell>
          <cell r="B11637">
            <v>1109096</v>
          </cell>
        </row>
        <row r="11638">
          <cell r="A11638" t="str">
            <v>神红3星血瞳97级</v>
          </cell>
          <cell r="B11638">
            <v>1109097</v>
          </cell>
        </row>
        <row r="11639">
          <cell r="A11639" t="str">
            <v>神红3星血瞳98级</v>
          </cell>
          <cell r="B11639">
            <v>1109098</v>
          </cell>
        </row>
        <row r="11640">
          <cell r="A11640" t="str">
            <v>神红3星血瞳99级</v>
          </cell>
          <cell r="B11640">
            <v>1109099</v>
          </cell>
        </row>
        <row r="11641">
          <cell r="A11641" t="str">
            <v>神红3星血瞳100级</v>
          </cell>
          <cell r="B11641">
            <v>1109100</v>
          </cell>
        </row>
        <row r="11642">
          <cell r="A11642" t="str">
            <v>圣红3星血瞳1级</v>
          </cell>
          <cell r="B11642">
            <v>1110001</v>
          </cell>
        </row>
        <row r="11643">
          <cell r="A11643" t="str">
            <v>圣红3星血瞳2级</v>
          </cell>
          <cell r="B11643">
            <v>1110002</v>
          </cell>
        </row>
        <row r="11644">
          <cell r="A11644" t="str">
            <v>圣红3星血瞳3级</v>
          </cell>
          <cell r="B11644">
            <v>1110003</v>
          </cell>
        </row>
        <row r="11645">
          <cell r="A11645" t="str">
            <v>圣红3星血瞳4级</v>
          </cell>
          <cell r="B11645">
            <v>1110004</v>
          </cell>
        </row>
        <row r="11646">
          <cell r="A11646" t="str">
            <v>圣红3星血瞳5级</v>
          </cell>
          <cell r="B11646">
            <v>1110005</v>
          </cell>
        </row>
        <row r="11647">
          <cell r="A11647" t="str">
            <v>圣红3星血瞳6级</v>
          </cell>
          <cell r="B11647">
            <v>1110006</v>
          </cell>
        </row>
        <row r="11648">
          <cell r="A11648" t="str">
            <v>圣红3星血瞳7级</v>
          </cell>
          <cell r="B11648">
            <v>1110007</v>
          </cell>
        </row>
        <row r="11649">
          <cell r="A11649" t="str">
            <v>圣红3星血瞳8级</v>
          </cell>
          <cell r="B11649">
            <v>1110008</v>
          </cell>
        </row>
        <row r="11650">
          <cell r="A11650" t="str">
            <v>圣红3星血瞳9级</v>
          </cell>
          <cell r="B11650">
            <v>1110009</v>
          </cell>
        </row>
        <row r="11651">
          <cell r="A11651" t="str">
            <v>圣红3星血瞳10级</v>
          </cell>
          <cell r="B11651">
            <v>1110010</v>
          </cell>
        </row>
        <row r="11652">
          <cell r="A11652" t="str">
            <v>圣红3星血瞳11级</v>
          </cell>
          <cell r="B11652">
            <v>1110011</v>
          </cell>
        </row>
        <row r="11653">
          <cell r="A11653" t="str">
            <v>圣红3星血瞳12级</v>
          </cell>
          <cell r="B11653">
            <v>1110012</v>
          </cell>
        </row>
        <row r="11654">
          <cell r="A11654" t="str">
            <v>圣红3星血瞳13级</v>
          </cell>
          <cell r="B11654">
            <v>1110013</v>
          </cell>
        </row>
        <row r="11655">
          <cell r="A11655" t="str">
            <v>圣红3星血瞳14级</v>
          </cell>
          <cell r="B11655">
            <v>1110014</v>
          </cell>
        </row>
        <row r="11656">
          <cell r="A11656" t="str">
            <v>圣红3星血瞳15级</v>
          </cell>
          <cell r="B11656">
            <v>1110015</v>
          </cell>
        </row>
        <row r="11657">
          <cell r="A11657" t="str">
            <v>圣红3星血瞳16级</v>
          </cell>
          <cell r="B11657">
            <v>1110016</v>
          </cell>
        </row>
        <row r="11658">
          <cell r="A11658" t="str">
            <v>圣红3星血瞳17级</v>
          </cell>
          <cell r="B11658">
            <v>1110017</v>
          </cell>
        </row>
        <row r="11659">
          <cell r="A11659" t="str">
            <v>圣红3星血瞳18级</v>
          </cell>
          <cell r="B11659">
            <v>1110018</v>
          </cell>
        </row>
        <row r="11660">
          <cell r="A11660" t="str">
            <v>圣红3星血瞳19级</v>
          </cell>
          <cell r="B11660">
            <v>1110019</v>
          </cell>
        </row>
        <row r="11661">
          <cell r="A11661" t="str">
            <v>圣红3星血瞳20级</v>
          </cell>
          <cell r="B11661">
            <v>1110020</v>
          </cell>
        </row>
        <row r="11662">
          <cell r="A11662" t="str">
            <v>圣红3星血瞳21级</v>
          </cell>
          <cell r="B11662">
            <v>1110021</v>
          </cell>
        </row>
        <row r="11663">
          <cell r="A11663" t="str">
            <v>圣红3星血瞳22级</v>
          </cell>
          <cell r="B11663">
            <v>1110022</v>
          </cell>
        </row>
        <row r="11664">
          <cell r="A11664" t="str">
            <v>圣红3星血瞳23级</v>
          </cell>
          <cell r="B11664">
            <v>1110023</v>
          </cell>
        </row>
        <row r="11665">
          <cell r="A11665" t="str">
            <v>圣红3星血瞳24级</v>
          </cell>
          <cell r="B11665">
            <v>1110024</v>
          </cell>
        </row>
        <row r="11666">
          <cell r="A11666" t="str">
            <v>圣红3星血瞳25级</v>
          </cell>
          <cell r="B11666">
            <v>1110025</v>
          </cell>
        </row>
        <row r="11667">
          <cell r="A11667" t="str">
            <v>圣红3星血瞳26级</v>
          </cell>
          <cell r="B11667">
            <v>1110026</v>
          </cell>
        </row>
        <row r="11668">
          <cell r="A11668" t="str">
            <v>圣红3星血瞳27级</v>
          </cell>
          <cell r="B11668">
            <v>1110027</v>
          </cell>
        </row>
        <row r="11669">
          <cell r="A11669" t="str">
            <v>圣红3星血瞳28级</v>
          </cell>
          <cell r="B11669">
            <v>1110028</v>
          </cell>
        </row>
        <row r="11670">
          <cell r="A11670" t="str">
            <v>圣红3星血瞳29级</v>
          </cell>
          <cell r="B11670">
            <v>1110029</v>
          </cell>
        </row>
        <row r="11671">
          <cell r="A11671" t="str">
            <v>圣红3星血瞳30级</v>
          </cell>
          <cell r="B11671">
            <v>1110030</v>
          </cell>
        </row>
        <row r="11672">
          <cell r="A11672" t="str">
            <v>圣红3星血瞳31级</v>
          </cell>
          <cell r="B11672">
            <v>1110031</v>
          </cell>
        </row>
        <row r="11673">
          <cell r="A11673" t="str">
            <v>圣红3星血瞳32级</v>
          </cell>
          <cell r="B11673">
            <v>1110032</v>
          </cell>
        </row>
        <row r="11674">
          <cell r="A11674" t="str">
            <v>圣红3星血瞳33级</v>
          </cell>
          <cell r="B11674">
            <v>1110033</v>
          </cell>
        </row>
        <row r="11675">
          <cell r="A11675" t="str">
            <v>圣红3星血瞳34级</v>
          </cell>
          <cell r="B11675">
            <v>1110034</v>
          </cell>
        </row>
        <row r="11676">
          <cell r="A11676" t="str">
            <v>圣红3星血瞳35级</v>
          </cell>
          <cell r="B11676">
            <v>1110035</v>
          </cell>
        </row>
        <row r="11677">
          <cell r="A11677" t="str">
            <v>圣红3星血瞳36级</v>
          </cell>
          <cell r="B11677">
            <v>1110036</v>
          </cell>
        </row>
        <row r="11678">
          <cell r="A11678" t="str">
            <v>圣红3星血瞳37级</v>
          </cell>
          <cell r="B11678">
            <v>1110037</v>
          </cell>
        </row>
        <row r="11679">
          <cell r="A11679" t="str">
            <v>圣红3星血瞳38级</v>
          </cell>
          <cell r="B11679">
            <v>1110038</v>
          </cell>
        </row>
        <row r="11680">
          <cell r="A11680" t="str">
            <v>圣红3星血瞳39级</v>
          </cell>
          <cell r="B11680">
            <v>1110039</v>
          </cell>
        </row>
        <row r="11681">
          <cell r="A11681" t="str">
            <v>圣红3星血瞳40级</v>
          </cell>
          <cell r="B11681">
            <v>1110040</v>
          </cell>
        </row>
        <row r="11682">
          <cell r="A11682" t="str">
            <v>圣红3星血瞳41级</v>
          </cell>
          <cell r="B11682">
            <v>1110041</v>
          </cell>
        </row>
        <row r="11683">
          <cell r="A11683" t="str">
            <v>圣红3星血瞳42级</v>
          </cell>
          <cell r="B11683">
            <v>1110042</v>
          </cell>
        </row>
        <row r="11684">
          <cell r="A11684" t="str">
            <v>圣红3星血瞳43级</v>
          </cell>
          <cell r="B11684">
            <v>1110043</v>
          </cell>
        </row>
        <row r="11685">
          <cell r="A11685" t="str">
            <v>圣红3星血瞳44级</v>
          </cell>
          <cell r="B11685">
            <v>1110044</v>
          </cell>
        </row>
        <row r="11686">
          <cell r="A11686" t="str">
            <v>圣红3星血瞳45级</v>
          </cell>
          <cell r="B11686">
            <v>1110045</v>
          </cell>
        </row>
        <row r="11687">
          <cell r="A11687" t="str">
            <v>圣红3星血瞳46级</v>
          </cell>
          <cell r="B11687">
            <v>1110046</v>
          </cell>
        </row>
        <row r="11688">
          <cell r="A11688" t="str">
            <v>圣红3星血瞳47级</v>
          </cell>
          <cell r="B11688">
            <v>1110047</v>
          </cell>
        </row>
        <row r="11689">
          <cell r="A11689" t="str">
            <v>圣红3星血瞳48级</v>
          </cell>
          <cell r="B11689">
            <v>1110048</v>
          </cell>
        </row>
        <row r="11690">
          <cell r="A11690" t="str">
            <v>圣红3星血瞳49级</v>
          </cell>
          <cell r="B11690">
            <v>1110049</v>
          </cell>
        </row>
        <row r="11691">
          <cell r="A11691" t="str">
            <v>圣红3星血瞳50级</v>
          </cell>
          <cell r="B11691">
            <v>1110050</v>
          </cell>
        </row>
        <row r="11692">
          <cell r="A11692" t="str">
            <v>圣红3星血瞳51级</v>
          </cell>
          <cell r="B11692">
            <v>1110051</v>
          </cell>
        </row>
        <row r="11693">
          <cell r="A11693" t="str">
            <v>圣红3星血瞳52级</v>
          </cell>
          <cell r="B11693">
            <v>1110052</v>
          </cell>
        </row>
        <row r="11694">
          <cell r="A11694" t="str">
            <v>圣红3星血瞳53级</v>
          </cell>
          <cell r="B11694">
            <v>1110053</v>
          </cell>
        </row>
        <row r="11695">
          <cell r="A11695" t="str">
            <v>圣红3星血瞳54级</v>
          </cell>
          <cell r="B11695">
            <v>1110054</v>
          </cell>
        </row>
        <row r="11696">
          <cell r="A11696" t="str">
            <v>圣红3星血瞳55级</v>
          </cell>
          <cell r="B11696">
            <v>1110055</v>
          </cell>
        </row>
        <row r="11697">
          <cell r="A11697" t="str">
            <v>圣红3星血瞳56级</v>
          </cell>
          <cell r="B11697">
            <v>1110056</v>
          </cell>
        </row>
        <row r="11698">
          <cell r="A11698" t="str">
            <v>圣红3星血瞳57级</v>
          </cell>
          <cell r="B11698">
            <v>1110057</v>
          </cell>
        </row>
        <row r="11699">
          <cell r="A11699" t="str">
            <v>圣红3星血瞳58级</v>
          </cell>
          <cell r="B11699">
            <v>1110058</v>
          </cell>
        </row>
        <row r="11700">
          <cell r="A11700" t="str">
            <v>圣红3星血瞳59级</v>
          </cell>
          <cell r="B11700">
            <v>1110059</v>
          </cell>
        </row>
        <row r="11701">
          <cell r="A11701" t="str">
            <v>圣红3星血瞳60级</v>
          </cell>
          <cell r="B11701">
            <v>1110060</v>
          </cell>
        </row>
        <row r="11702">
          <cell r="A11702" t="str">
            <v>圣红3星血瞳61级</v>
          </cell>
          <cell r="B11702">
            <v>1110061</v>
          </cell>
        </row>
        <row r="11703">
          <cell r="A11703" t="str">
            <v>圣红3星血瞳62级</v>
          </cell>
          <cell r="B11703">
            <v>1110062</v>
          </cell>
        </row>
        <row r="11704">
          <cell r="A11704" t="str">
            <v>圣红3星血瞳63级</v>
          </cell>
          <cell r="B11704">
            <v>1110063</v>
          </cell>
        </row>
        <row r="11705">
          <cell r="A11705" t="str">
            <v>圣红3星血瞳64级</v>
          </cell>
          <cell r="B11705">
            <v>1110064</v>
          </cell>
        </row>
        <row r="11706">
          <cell r="A11706" t="str">
            <v>圣红3星血瞳65级</v>
          </cell>
          <cell r="B11706">
            <v>1110065</v>
          </cell>
        </row>
        <row r="11707">
          <cell r="A11707" t="str">
            <v>圣红3星血瞳66级</v>
          </cell>
          <cell r="B11707">
            <v>1110066</v>
          </cell>
        </row>
        <row r="11708">
          <cell r="A11708" t="str">
            <v>圣红3星血瞳67级</v>
          </cell>
          <cell r="B11708">
            <v>1110067</v>
          </cell>
        </row>
        <row r="11709">
          <cell r="A11709" t="str">
            <v>圣红3星血瞳68级</v>
          </cell>
          <cell r="B11709">
            <v>1110068</v>
          </cell>
        </row>
        <row r="11710">
          <cell r="A11710" t="str">
            <v>圣红3星血瞳69级</v>
          </cell>
          <cell r="B11710">
            <v>1110069</v>
          </cell>
        </row>
        <row r="11711">
          <cell r="A11711" t="str">
            <v>圣红3星血瞳70级</v>
          </cell>
          <cell r="B11711">
            <v>1110070</v>
          </cell>
        </row>
        <row r="11712">
          <cell r="A11712" t="str">
            <v>圣红3星血瞳71级</v>
          </cell>
          <cell r="B11712">
            <v>1110071</v>
          </cell>
        </row>
        <row r="11713">
          <cell r="A11713" t="str">
            <v>圣红3星血瞳72级</v>
          </cell>
          <cell r="B11713">
            <v>1110072</v>
          </cell>
        </row>
        <row r="11714">
          <cell r="A11714" t="str">
            <v>圣红3星血瞳73级</v>
          </cell>
          <cell r="B11714">
            <v>1110073</v>
          </cell>
        </row>
        <row r="11715">
          <cell r="A11715" t="str">
            <v>圣红3星血瞳74级</v>
          </cell>
          <cell r="B11715">
            <v>1110074</v>
          </cell>
        </row>
        <row r="11716">
          <cell r="A11716" t="str">
            <v>圣红3星血瞳75级</v>
          </cell>
          <cell r="B11716">
            <v>1110075</v>
          </cell>
        </row>
        <row r="11717">
          <cell r="A11717" t="str">
            <v>圣红3星血瞳76级</v>
          </cell>
          <cell r="B11717">
            <v>1110076</v>
          </cell>
        </row>
        <row r="11718">
          <cell r="A11718" t="str">
            <v>圣红3星血瞳77级</v>
          </cell>
          <cell r="B11718">
            <v>1110077</v>
          </cell>
        </row>
        <row r="11719">
          <cell r="A11719" t="str">
            <v>圣红3星血瞳78级</v>
          </cell>
          <cell r="B11719">
            <v>1110078</v>
          </cell>
        </row>
        <row r="11720">
          <cell r="A11720" t="str">
            <v>圣红3星血瞳79级</v>
          </cell>
          <cell r="B11720">
            <v>1110079</v>
          </cell>
        </row>
        <row r="11721">
          <cell r="A11721" t="str">
            <v>圣红3星血瞳80级</v>
          </cell>
          <cell r="B11721">
            <v>1110080</v>
          </cell>
        </row>
        <row r="11722">
          <cell r="A11722" t="str">
            <v>圣红3星血瞳81级</v>
          </cell>
          <cell r="B11722">
            <v>1110081</v>
          </cell>
        </row>
        <row r="11723">
          <cell r="A11723" t="str">
            <v>圣红3星血瞳82级</v>
          </cell>
          <cell r="B11723">
            <v>1110082</v>
          </cell>
        </row>
        <row r="11724">
          <cell r="A11724" t="str">
            <v>圣红3星血瞳83级</v>
          </cell>
          <cell r="B11724">
            <v>1110083</v>
          </cell>
        </row>
        <row r="11725">
          <cell r="A11725" t="str">
            <v>圣红3星血瞳84级</v>
          </cell>
          <cell r="B11725">
            <v>1110084</v>
          </cell>
        </row>
        <row r="11726">
          <cell r="A11726" t="str">
            <v>圣红3星血瞳85级</v>
          </cell>
          <cell r="B11726">
            <v>1110085</v>
          </cell>
        </row>
        <row r="11727">
          <cell r="A11727" t="str">
            <v>圣红3星血瞳86级</v>
          </cell>
          <cell r="B11727">
            <v>1110086</v>
          </cell>
        </row>
        <row r="11728">
          <cell r="A11728" t="str">
            <v>圣红3星血瞳87级</v>
          </cell>
          <cell r="B11728">
            <v>1110087</v>
          </cell>
        </row>
        <row r="11729">
          <cell r="A11729" t="str">
            <v>圣红3星血瞳88级</v>
          </cell>
          <cell r="B11729">
            <v>1110088</v>
          </cell>
        </row>
        <row r="11730">
          <cell r="A11730" t="str">
            <v>圣红3星血瞳89级</v>
          </cell>
          <cell r="B11730">
            <v>1110089</v>
          </cell>
        </row>
        <row r="11731">
          <cell r="A11731" t="str">
            <v>圣红3星血瞳90级</v>
          </cell>
          <cell r="B11731">
            <v>1110090</v>
          </cell>
        </row>
        <row r="11732">
          <cell r="A11732" t="str">
            <v>圣红3星血瞳91级</v>
          </cell>
          <cell r="B11732">
            <v>1110091</v>
          </cell>
        </row>
        <row r="11733">
          <cell r="A11733" t="str">
            <v>圣红3星血瞳92级</v>
          </cell>
          <cell r="B11733">
            <v>1110092</v>
          </cell>
        </row>
        <row r="11734">
          <cell r="A11734" t="str">
            <v>圣红3星血瞳93级</v>
          </cell>
          <cell r="B11734">
            <v>1110093</v>
          </cell>
        </row>
        <row r="11735">
          <cell r="A11735" t="str">
            <v>圣红3星血瞳94级</v>
          </cell>
          <cell r="B11735">
            <v>1110094</v>
          </cell>
        </row>
        <row r="11736">
          <cell r="A11736" t="str">
            <v>圣红3星血瞳95级</v>
          </cell>
          <cell r="B11736">
            <v>1110095</v>
          </cell>
        </row>
        <row r="11737">
          <cell r="A11737" t="str">
            <v>圣红3星血瞳96级</v>
          </cell>
          <cell r="B11737">
            <v>1110096</v>
          </cell>
        </row>
        <row r="11738">
          <cell r="A11738" t="str">
            <v>圣红3星血瞳97级</v>
          </cell>
          <cell r="B11738">
            <v>1110097</v>
          </cell>
        </row>
        <row r="11739">
          <cell r="A11739" t="str">
            <v>圣红3星血瞳98级</v>
          </cell>
          <cell r="B11739">
            <v>1110098</v>
          </cell>
        </row>
        <row r="11740">
          <cell r="A11740" t="str">
            <v>圣红3星血瞳99级</v>
          </cell>
          <cell r="B11740">
            <v>1110099</v>
          </cell>
        </row>
        <row r="11741">
          <cell r="A11741" t="str">
            <v>圣红3星血瞳100级</v>
          </cell>
          <cell r="B11741">
            <v>1110100</v>
          </cell>
        </row>
        <row r="11742">
          <cell r="A11742" t="str">
            <v>白1星魔躯1级</v>
          </cell>
          <cell r="B11742">
            <v>1200001</v>
          </cell>
        </row>
        <row r="11743">
          <cell r="A11743" t="str">
            <v>白1星魔躯2级</v>
          </cell>
          <cell r="B11743">
            <v>1200002</v>
          </cell>
        </row>
        <row r="11744">
          <cell r="A11744" t="str">
            <v>白1星魔躯3级</v>
          </cell>
          <cell r="B11744">
            <v>1200003</v>
          </cell>
        </row>
        <row r="11745">
          <cell r="A11745" t="str">
            <v>白1星魔躯4级</v>
          </cell>
          <cell r="B11745">
            <v>1200004</v>
          </cell>
        </row>
        <row r="11746">
          <cell r="A11746" t="str">
            <v>白1星魔躯5级</v>
          </cell>
          <cell r="B11746">
            <v>1200005</v>
          </cell>
        </row>
        <row r="11747">
          <cell r="A11747" t="str">
            <v>白1星魔躯6级</v>
          </cell>
          <cell r="B11747">
            <v>1200006</v>
          </cell>
        </row>
        <row r="11748">
          <cell r="A11748" t="str">
            <v>白1星魔躯7级</v>
          </cell>
          <cell r="B11748">
            <v>1200007</v>
          </cell>
        </row>
        <row r="11749">
          <cell r="A11749" t="str">
            <v>白1星魔躯8级</v>
          </cell>
          <cell r="B11749">
            <v>1200008</v>
          </cell>
        </row>
        <row r="11750">
          <cell r="A11750" t="str">
            <v>白1星魔躯9级</v>
          </cell>
          <cell r="B11750">
            <v>1200009</v>
          </cell>
        </row>
        <row r="11751">
          <cell r="A11751" t="str">
            <v>白1星魔躯10级</v>
          </cell>
          <cell r="B11751">
            <v>1200010</v>
          </cell>
        </row>
        <row r="11752">
          <cell r="A11752" t="str">
            <v>白1星魔躯11级</v>
          </cell>
          <cell r="B11752">
            <v>1200011</v>
          </cell>
        </row>
        <row r="11753">
          <cell r="A11753" t="str">
            <v>白1星魔躯12级</v>
          </cell>
          <cell r="B11753">
            <v>1200012</v>
          </cell>
        </row>
        <row r="11754">
          <cell r="A11754" t="str">
            <v>白1星魔躯13级</v>
          </cell>
          <cell r="B11754">
            <v>1200013</v>
          </cell>
        </row>
        <row r="11755">
          <cell r="A11755" t="str">
            <v>白1星魔躯14级</v>
          </cell>
          <cell r="B11755">
            <v>1200014</v>
          </cell>
        </row>
        <row r="11756">
          <cell r="A11756" t="str">
            <v>白1星魔躯15级</v>
          </cell>
          <cell r="B11756">
            <v>1200015</v>
          </cell>
        </row>
        <row r="11757">
          <cell r="A11757" t="str">
            <v>白1星魔躯16级</v>
          </cell>
          <cell r="B11757">
            <v>1200016</v>
          </cell>
        </row>
        <row r="11758">
          <cell r="A11758" t="str">
            <v>白1星魔躯17级</v>
          </cell>
          <cell r="B11758">
            <v>1200017</v>
          </cell>
        </row>
        <row r="11759">
          <cell r="A11759" t="str">
            <v>白1星魔躯18级</v>
          </cell>
          <cell r="B11759">
            <v>1200018</v>
          </cell>
        </row>
        <row r="11760">
          <cell r="A11760" t="str">
            <v>白1星魔躯19级</v>
          </cell>
          <cell r="B11760">
            <v>1200019</v>
          </cell>
        </row>
        <row r="11761">
          <cell r="A11761" t="str">
            <v>白1星魔躯20级</v>
          </cell>
          <cell r="B11761">
            <v>1200020</v>
          </cell>
        </row>
        <row r="11762">
          <cell r="A11762" t="str">
            <v>白1星魔躯21级</v>
          </cell>
          <cell r="B11762">
            <v>1200021</v>
          </cell>
        </row>
        <row r="11763">
          <cell r="A11763" t="str">
            <v>白1星魔躯22级</v>
          </cell>
          <cell r="B11763">
            <v>1200022</v>
          </cell>
        </row>
        <row r="11764">
          <cell r="A11764" t="str">
            <v>白1星魔躯23级</v>
          </cell>
          <cell r="B11764">
            <v>1200023</v>
          </cell>
        </row>
        <row r="11765">
          <cell r="A11765" t="str">
            <v>白1星魔躯24级</v>
          </cell>
          <cell r="B11765">
            <v>1200024</v>
          </cell>
        </row>
        <row r="11766">
          <cell r="A11766" t="str">
            <v>白1星魔躯25级</v>
          </cell>
          <cell r="B11766">
            <v>1200025</v>
          </cell>
        </row>
        <row r="11767">
          <cell r="A11767" t="str">
            <v>白1星魔躯26级</v>
          </cell>
          <cell r="B11767">
            <v>1200026</v>
          </cell>
        </row>
        <row r="11768">
          <cell r="A11768" t="str">
            <v>白1星魔躯27级</v>
          </cell>
          <cell r="B11768">
            <v>1200027</v>
          </cell>
        </row>
        <row r="11769">
          <cell r="A11769" t="str">
            <v>白1星魔躯28级</v>
          </cell>
          <cell r="B11769">
            <v>1200028</v>
          </cell>
        </row>
        <row r="11770">
          <cell r="A11770" t="str">
            <v>白1星魔躯29级</v>
          </cell>
          <cell r="B11770">
            <v>1200029</v>
          </cell>
        </row>
        <row r="11771">
          <cell r="A11771" t="str">
            <v>白1星魔躯30级</v>
          </cell>
          <cell r="B11771">
            <v>1200030</v>
          </cell>
        </row>
        <row r="11772">
          <cell r="A11772" t="str">
            <v>白1星魔躯31级</v>
          </cell>
          <cell r="B11772">
            <v>1200031</v>
          </cell>
        </row>
        <row r="11773">
          <cell r="A11773" t="str">
            <v>白1星魔躯32级</v>
          </cell>
          <cell r="B11773">
            <v>1200032</v>
          </cell>
        </row>
        <row r="11774">
          <cell r="A11774" t="str">
            <v>白1星魔躯33级</v>
          </cell>
          <cell r="B11774">
            <v>1200033</v>
          </cell>
        </row>
        <row r="11775">
          <cell r="A11775" t="str">
            <v>白1星魔躯34级</v>
          </cell>
          <cell r="B11775">
            <v>1200034</v>
          </cell>
        </row>
        <row r="11776">
          <cell r="A11776" t="str">
            <v>白1星魔躯35级</v>
          </cell>
          <cell r="B11776">
            <v>1200035</v>
          </cell>
        </row>
        <row r="11777">
          <cell r="A11777" t="str">
            <v>白1星魔躯36级</v>
          </cell>
          <cell r="B11777">
            <v>1200036</v>
          </cell>
        </row>
        <row r="11778">
          <cell r="A11778" t="str">
            <v>白1星魔躯37级</v>
          </cell>
          <cell r="B11778">
            <v>1200037</v>
          </cell>
        </row>
        <row r="11779">
          <cell r="A11779" t="str">
            <v>白1星魔躯38级</v>
          </cell>
          <cell r="B11779">
            <v>1200038</v>
          </cell>
        </row>
        <row r="11780">
          <cell r="A11780" t="str">
            <v>白1星魔躯39级</v>
          </cell>
          <cell r="B11780">
            <v>1200039</v>
          </cell>
        </row>
        <row r="11781">
          <cell r="A11781" t="str">
            <v>白1星魔躯40级</v>
          </cell>
          <cell r="B11781">
            <v>1200040</v>
          </cell>
        </row>
        <row r="11782">
          <cell r="A11782" t="str">
            <v>白1星魔躯41级</v>
          </cell>
          <cell r="B11782">
            <v>1200041</v>
          </cell>
        </row>
        <row r="11783">
          <cell r="A11783" t="str">
            <v>白1星魔躯42级</v>
          </cell>
          <cell r="B11783">
            <v>1200042</v>
          </cell>
        </row>
        <row r="11784">
          <cell r="A11784" t="str">
            <v>白1星魔躯43级</v>
          </cell>
          <cell r="B11784">
            <v>1200043</v>
          </cell>
        </row>
        <row r="11785">
          <cell r="A11785" t="str">
            <v>白1星魔躯44级</v>
          </cell>
          <cell r="B11785">
            <v>1200044</v>
          </cell>
        </row>
        <row r="11786">
          <cell r="A11786" t="str">
            <v>白1星魔躯45级</v>
          </cell>
          <cell r="B11786">
            <v>1200045</v>
          </cell>
        </row>
        <row r="11787">
          <cell r="A11787" t="str">
            <v>白1星魔躯46级</v>
          </cell>
          <cell r="B11787">
            <v>1200046</v>
          </cell>
        </row>
        <row r="11788">
          <cell r="A11788" t="str">
            <v>白1星魔躯47级</v>
          </cell>
          <cell r="B11788">
            <v>1200047</v>
          </cell>
        </row>
        <row r="11789">
          <cell r="A11789" t="str">
            <v>白1星魔躯48级</v>
          </cell>
          <cell r="B11789">
            <v>1200048</v>
          </cell>
        </row>
        <row r="11790">
          <cell r="A11790" t="str">
            <v>白1星魔躯49级</v>
          </cell>
          <cell r="B11790">
            <v>1200049</v>
          </cell>
        </row>
        <row r="11791">
          <cell r="A11791" t="str">
            <v>白1星魔躯50级</v>
          </cell>
          <cell r="B11791">
            <v>1200050</v>
          </cell>
        </row>
        <row r="11792">
          <cell r="A11792" t="str">
            <v>白1星魔躯51级</v>
          </cell>
          <cell r="B11792">
            <v>1200051</v>
          </cell>
        </row>
        <row r="11793">
          <cell r="A11793" t="str">
            <v>白1星魔躯52级</v>
          </cell>
          <cell r="B11793">
            <v>1200052</v>
          </cell>
        </row>
        <row r="11794">
          <cell r="A11794" t="str">
            <v>白1星魔躯53级</v>
          </cell>
          <cell r="B11794">
            <v>1200053</v>
          </cell>
        </row>
        <row r="11795">
          <cell r="A11795" t="str">
            <v>白1星魔躯54级</v>
          </cell>
          <cell r="B11795">
            <v>1200054</v>
          </cell>
        </row>
        <row r="11796">
          <cell r="A11796" t="str">
            <v>白1星魔躯55级</v>
          </cell>
          <cell r="B11796">
            <v>1200055</v>
          </cell>
        </row>
        <row r="11797">
          <cell r="A11797" t="str">
            <v>白1星魔躯56级</v>
          </cell>
          <cell r="B11797">
            <v>1200056</v>
          </cell>
        </row>
        <row r="11798">
          <cell r="A11798" t="str">
            <v>白1星魔躯57级</v>
          </cell>
          <cell r="B11798">
            <v>1200057</v>
          </cell>
        </row>
        <row r="11799">
          <cell r="A11799" t="str">
            <v>白1星魔躯58级</v>
          </cell>
          <cell r="B11799">
            <v>1200058</v>
          </cell>
        </row>
        <row r="11800">
          <cell r="A11800" t="str">
            <v>白1星魔躯59级</v>
          </cell>
          <cell r="B11800">
            <v>1200059</v>
          </cell>
        </row>
        <row r="11801">
          <cell r="A11801" t="str">
            <v>白1星魔躯60级</v>
          </cell>
          <cell r="B11801">
            <v>1200060</v>
          </cell>
        </row>
        <row r="11802">
          <cell r="A11802" t="str">
            <v>白1星魔躯61级</v>
          </cell>
          <cell r="B11802">
            <v>1200061</v>
          </cell>
        </row>
        <row r="11803">
          <cell r="A11803" t="str">
            <v>白1星魔躯62级</v>
          </cell>
          <cell r="B11803">
            <v>1200062</v>
          </cell>
        </row>
        <row r="11804">
          <cell r="A11804" t="str">
            <v>白1星魔躯63级</v>
          </cell>
          <cell r="B11804">
            <v>1200063</v>
          </cell>
        </row>
        <row r="11805">
          <cell r="A11805" t="str">
            <v>白1星魔躯64级</v>
          </cell>
          <cell r="B11805">
            <v>1200064</v>
          </cell>
        </row>
        <row r="11806">
          <cell r="A11806" t="str">
            <v>白1星魔躯65级</v>
          </cell>
          <cell r="B11806">
            <v>1200065</v>
          </cell>
        </row>
        <row r="11807">
          <cell r="A11807" t="str">
            <v>白1星魔躯66级</v>
          </cell>
          <cell r="B11807">
            <v>1200066</v>
          </cell>
        </row>
        <row r="11808">
          <cell r="A11808" t="str">
            <v>白1星魔躯67级</v>
          </cell>
          <cell r="B11808">
            <v>1200067</v>
          </cell>
        </row>
        <row r="11809">
          <cell r="A11809" t="str">
            <v>白1星魔躯68级</v>
          </cell>
          <cell r="B11809">
            <v>1200068</v>
          </cell>
        </row>
        <row r="11810">
          <cell r="A11810" t="str">
            <v>白1星魔躯69级</v>
          </cell>
          <cell r="B11810">
            <v>1200069</v>
          </cell>
        </row>
        <row r="11811">
          <cell r="A11811" t="str">
            <v>白1星魔躯70级</v>
          </cell>
          <cell r="B11811">
            <v>1200070</v>
          </cell>
        </row>
        <row r="11812">
          <cell r="A11812" t="str">
            <v>白1星魔躯71级</v>
          </cell>
          <cell r="B11812">
            <v>1200071</v>
          </cell>
        </row>
        <row r="11813">
          <cell r="A11813" t="str">
            <v>白1星魔躯72级</v>
          </cell>
          <cell r="B11813">
            <v>1200072</v>
          </cell>
        </row>
        <row r="11814">
          <cell r="A11814" t="str">
            <v>白1星魔躯73级</v>
          </cell>
          <cell r="B11814">
            <v>1200073</v>
          </cell>
        </row>
        <row r="11815">
          <cell r="A11815" t="str">
            <v>白1星魔躯74级</v>
          </cell>
          <cell r="B11815">
            <v>1200074</v>
          </cell>
        </row>
        <row r="11816">
          <cell r="A11816" t="str">
            <v>白1星魔躯75级</v>
          </cell>
          <cell r="B11816">
            <v>1200075</v>
          </cell>
        </row>
        <row r="11817">
          <cell r="A11817" t="str">
            <v>白1星魔躯76级</v>
          </cell>
          <cell r="B11817">
            <v>1200076</v>
          </cell>
        </row>
        <row r="11818">
          <cell r="A11818" t="str">
            <v>白1星魔躯77级</v>
          </cell>
          <cell r="B11818">
            <v>1200077</v>
          </cell>
        </row>
        <row r="11819">
          <cell r="A11819" t="str">
            <v>白1星魔躯78级</v>
          </cell>
          <cell r="B11819">
            <v>1200078</v>
          </cell>
        </row>
        <row r="11820">
          <cell r="A11820" t="str">
            <v>白1星魔躯79级</v>
          </cell>
          <cell r="B11820">
            <v>1200079</v>
          </cell>
        </row>
        <row r="11821">
          <cell r="A11821" t="str">
            <v>白1星魔躯80级</v>
          </cell>
          <cell r="B11821">
            <v>1200080</v>
          </cell>
        </row>
        <row r="11822">
          <cell r="A11822" t="str">
            <v>白1星魔躯81级</v>
          </cell>
          <cell r="B11822">
            <v>1200081</v>
          </cell>
        </row>
        <row r="11823">
          <cell r="A11823" t="str">
            <v>白1星魔躯82级</v>
          </cell>
          <cell r="B11823">
            <v>1200082</v>
          </cell>
        </row>
        <row r="11824">
          <cell r="A11824" t="str">
            <v>白1星魔躯83级</v>
          </cell>
          <cell r="B11824">
            <v>1200083</v>
          </cell>
        </row>
        <row r="11825">
          <cell r="A11825" t="str">
            <v>白1星魔躯84级</v>
          </cell>
          <cell r="B11825">
            <v>1200084</v>
          </cell>
        </row>
        <row r="11826">
          <cell r="A11826" t="str">
            <v>白1星魔躯85级</v>
          </cell>
          <cell r="B11826">
            <v>1200085</v>
          </cell>
        </row>
        <row r="11827">
          <cell r="A11827" t="str">
            <v>白1星魔躯86级</v>
          </cell>
          <cell r="B11827">
            <v>1200086</v>
          </cell>
        </row>
        <row r="11828">
          <cell r="A11828" t="str">
            <v>白1星魔躯87级</v>
          </cell>
          <cell r="B11828">
            <v>1200087</v>
          </cell>
        </row>
        <row r="11829">
          <cell r="A11829" t="str">
            <v>白1星魔躯88级</v>
          </cell>
          <cell r="B11829">
            <v>1200088</v>
          </cell>
        </row>
        <row r="11830">
          <cell r="A11830" t="str">
            <v>白1星魔躯89级</v>
          </cell>
          <cell r="B11830">
            <v>1200089</v>
          </cell>
        </row>
        <row r="11831">
          <cell r="A11831" t="str">
            <v>白1星魔躯90级</v>
          </cell>
          <cell r="B11831">
            <v>1200090</v>
          </cell>
        </row>
        <row r="11832">
          <cell r="A11832" t="str">
            <v>白1星魔躯91级</v>
          </cell>
          <cell r="B11832">
            <v>1200091</v>
          </cell>
        </row>
        <row r="11833">
          <cell r="A11833" t="str">
            <v>白1星魔躯92级</v>
          </cell>
          <cell r="B11833">
            <v>1200092</v>
          </cell>
        </row>
        <row r="11834">
          <cell r="A11834" t="str">
            <v>白1星魔躯93级</v>
          </cell>
          <cell r="B11834">
            <v>1200093</v>
          </cell>
        </row>
        <row r="11835">
          <cell r="A11835" t="str">
            <v>白1星魔躯94级</v>
          </cell>
          <cell r="B11835">
            <v>1200094</v>
          </cell>
        </row>
        <row r="11836">
          <cell r="A11836" t="str">
            <v>白1星魔躯95级</v>
          </cell>
          <cell r="B11836">
            <v>1200095</v>
          </cell>
        </row>
        <row r="11837">
          <cell r="A11837" t="str">
            <v>白1星魔躯96级</v>
          </cell>
          <cell r="B11837">
            <v>1200096</v>
          </cell>
        </row>
        <row r="11838">
          <cell r="A11838" t="str">
            <v>白1星魔躯97级</v>
          </cell>
          <cell r="B11838">
            <v>1200097</v>
          </cell>
        </row>
        <row r="11839">
          <cell r="A11839" t="str">
            <v>白1星魔躯98级</v>
          </cell>
          <cell r="B11839">
            <v>1200098</v>
          </cell>
        </row>
        <row r="11840">
          <cell r="A11840" t="str">
            <v>白1星魔躯99级</v>
          </cell>
          <cell r="B11840">
            <v>1200099</v>
          </cell>
        </row>
        <row r="11841">
          <cell r="A11841" t="str">
            <v>白1星魔躯100级</v>
          </cell>
          <cell r="B11841">
            <v>1200100</v>
          </cell>
        </row>
        <row r="11842">
          <cell r="A11842" t="str">
            <v>白2星魔躯1级</v>
          </cell>
          <cell r="B11842">
            <v>1201001</v>
          </cell>
        </row>
        <row r="11843">
          <cell r="A11843" t="str">
            <v>白2星魔躯2级</v>
          </cell>
          <cell r="B11843">
            <v>1201002</v>
          </cell>
        </row>
        <row r="11844">
          <cell r="A11844" t="str">
            <v>白2星魔躯3级</v>
          </cell>
          <cell r="B11844">
            <v>1201003</v>
          </cell>
        </row>
        <row r="11845">
          <cell r="A11845" t="str">
            <v>白2星魔躯4级</v>
          </cell>
          <cell r="B11845">
            <v>1201004</v>
          </cell>
        </row>
        <row r="11846">
          <cell r="A11846" t="str">
            <v>白2星魔躯5级</v>
          </cell>
          <cell r="B11846">
            <v>1201005</v>
          </cell>
        </row>
        <row r="11847">
          <cell r="A11847" t="str">
            <v>白2星魔躯6级</v>
          </cell>
          <cell r="B11847">
            <v>1201006</v>
          </cell>
        </row>
        <row r="11848">
          <cell r="A11848" t="str">
            <v>白2星魔躯7级</v>
          </cell>
          <cell r="B11848">
            <v>1201007</v>
          </cell>
        </row>
        <row r="11849">
          <cell r="A11849" t="str">
            <v>白2星魔躯8级</v>
          </cell>
          <cell r="B11849">
            <v>1201008</v>
          </cell>
        </row>
        <row r="11850">
          <cell r="A11850" t="str">
            <v>白2星魔躯9级</v>
          </cell>
          <cell r="B11850">
            <v>1201009</v>
          </cell>
        </row>
        <row r="11851">
          <cell r="A11851" t="str">
            <v>白2星魔躯10级</v>
          </cell>
          <cell r="B11851">
            <v>1201010</v>
          </cell>
        </row>
        <row r="11852">
          <cell r="A11852" t="str">
            <v>白2星魔躯11级</v>
          </cell>
          <cell r="B11852">
            <v>1201011</v>
          </cell>
        </row>
        <row r="11853">
          <cell r="A11853" t="str">
            <v>白2星魔躯12级</v>
          </cell>
          <cell r="B11853">
            <v>1201012</v>
          </cell>
        </row>
        <row r="11854">
          <cell r="A11854" t="str">
            <v>白2星魔躯13级</v>
          </cell>
          <cell r="B11854">
            <v>1201013</v>
          </cell>
        </row>
        <row r="11855">
          <cell r="A11855" t="str">
            <v>白2星魔躯14级</v>
          </cell>
          <cell r="B11855">
            <v>1201014</v>
          </cell>
        </row>
        <row r="11856">
          <cell r="A11856" t="str">
            <v>白2星魔躯15级</v>
          </cell>
          <cell r="B11856">
            <v>1201015</v>
          </cell>
        </row>
        <row r="11857">
          <cell r="A11857" t="str">
            <v>白2星魔躯16级</v>
          </cell>
          <cell r="B11857">
            <v>1201016</v>
          </cell>
        </row>
        <row r="11858">
          <cell r="A11858" t="str">
            <v>白2星魔躯17级</v>
          </cell>
          <cell r="B11858">
            <v>1201017</v>
          </cell>
        </row>
        <row r="11859">
          <cell r="A11859" t="str">
            <v>白2星魔躯18级</v>
          </cell>
          <cell r="B11859">
            <v>1201018</v>
          </cell>
        </row>
        <row r="11860">
          <cell r="A11860" t="str">
            <v>白2星魔躯19级</v>
          </cell>
          <cell r="B11860">
            <v>1201019</v>
          </cell>
        </row>
        <row r="11861">
          <cell r="A11861" t="str">
            <v>白2星魔躯20级</v>
          </cell>
          <cell r="B11861">
            <v>1201020</v>
          </cell>
        </row>
        <row r="11862">
          <cell r="A11862" t="str">
            <v>白2星魔躯21级</v>
          </cell>
          <cell r="B11862">
            <v>1201021</v>
          </cell>
        </row>
        <row r="11863">
          <cell r="A11863" t="str">
            <v>白2星魔躯22级</v>
          </cell>
          <cell r="B11863">
            <v>1201022</v>
          </cell>
        </row>
        <row r="11864">
          <cell r="A11864" t="str">
            <v>白2星魔躯23级</v>
          </cell>
          <cell r="B11864">
            <v>1201023</v>
          </cell>
        </row>
        <row r="11865">
          <cell r="A11865" t="str">
            <v>白2星魔躯24级</v>
          </cell>
          <cell r="B11865">
            <v>1201024</v>
          </cell>
        </row>
        <row r="11866">
          <cell r="A11866" t="str">
            <v>白2星魔躯25级</v>
          </cell>
          <cell r="B11866">
            <v>1201025</v>
          </cell>
        </row>
        <row r="11867">
          <cell r="A11867" t="str">
            <v>白2星魔躯26级</v>
          </cell>
          <cell r="B11867">
            <v>1201026</v>
          </cell>
        </row>
        <row r="11868">
          <cell r="A11868" t="str">
            <v>白2星魔躯27级</v>
          </cell>
          <cell r="B11868">
            <v>1201027</v>
          </cell>
        </row>
        <row r="11869">
          <cell r="A11869" t="str">
            <v>白2星魔躯28级</v>
          </cell>
          <cell r="B11869">
            <v>1201028</v>
          </cell>
        </row>
        <row r="11870">
          <cell r="A11870" t="str">
            <v>白2星魔躯29级</v>
          </cell>
          <cell r="B11870">
            <v>1201029</v>
          </cell>
        </row>
        <row r="11871">
          <cell r="A11871" t="str">
            <v>白2星魔躯30级</v>
          </cell>
          <cell r="B11871">
            <v>1201030</v>
          </cell>
        </row>
        <row r="11872">
          <cell r="A11872" t="str">
            <v>白2星魔躯31级</v>
          </cell>
          <cell r="B11872">
            <v>1201031</v>
          </cell>
        </row>
        <row r="11873">
          <cell r="A11873" t="str">
            <v>白2星魔躯32级</v>
          </cell>
          <cell r="B11873">
            <v>1201032</v>
          </cell>
        </row>
        <row r="11874">
          <cell r="A11874" t="str">
            <v>白2星魔躯33级</v>
          </cell>
          <cell r="B11874">
            <v>1201033</v>
          </cell>
        </row>
        <row r="11875">
          <cell r="A11875" t="str">
            <v>白2星魔躯34级</v>
          </cell>
          <cell r="B11875">
            <v>1201034</v>
          </cell>
        </row>
        <row r="11876">
          <cell r="A11876" t="str">
            <v>白2星魔躯35级</v>
          </cell>
          <cell r="B11876">
            <v>1201035</v>
          </cell>
        </row>
        <row r="11877">
          <cell r="A11877" t="str">
            <v>白2星魔躯36级</v>
          </cell>
          <cell r="B11877">
            <v>1201036</v>
          </cell>
        </row>
        <row r="11878">
          <cell r="A11878" t="str">
            <v>白2星魔躯37级</v>
          </cell>
          <cell r="B11878">
            <v>1201037</v>
          </cell>
        </row>
        <row r="11879">
          <cell r="A11879" t="str">
            <v>白2星魔躯38级</v>
          </cell>
          <cell r="B11879">
            <v>1201038</v>
          </cell>
        </row>
        <row r="11880">
          <cell r="A11880" t="str">
            <v>白2星魔躯39级</v>
          </cell>
          <cell r="B11880">
            <v>1201039</v>
          </cell>
        </row>
        <row r="11881">
          <cell r="A11881" t="str">
            <v>白2星魔躯40级</v>
          </cell>
          <cell r="B11881">
            <v>1201040</v>
          </cell>
        </row>
        <row r="11882">
          <cell r="A11882" t="str">
            <v>白2星魔躯41级</v>
          </cell>
          <cell r="B11882">
            <v>1201041</v>
          </cell>
        </row>
        <row r="11883">
          <cell r="A11883" t="str">
            <v>白2星魔躯42级</v>
          </cell>
          <cell r="B11883">
            <v>1201042</v>
          </cell>
        </row>
        <row r="11884">
          <cell r="A11884" t="str">
            <v>白2星魔躯43级</v>
          </cell>
          <cell r="B11884">
            <v>1201043</v>
          </cell>
        </row>
        <row r="11885">
          <cell r="A11885" t="str">
            <v>白2星魔躯44级</v>
          </cell>
          <cell r="B11885">
            <v>1201044</v>
          </cell>
        </row>
        <row r="11886">
          <cell r="A11886" t="str">
            <v>白2星魔躯45级</v>
          </cell>
          <cell r="B11886">
            <v>1201045</v>
          </cell>
        </row>
        <row r="11887">
          <cell r="A11887" t="str">
            <v>白2星魔躯46级</v>
          </cell>
          <cell r="B11887">
            <v>1201046</v>
          </cell>
        </row>
        <row r="11888">
          <cell r="A11888" t="str">
            <v>白2星魔躯47级</v>
          </cell>
          <cell r="B11888">
            <v>1201047</v>
          </cell>
        </row>
        <row r="11889">
          <cell r="A11889" t="str">
            <v>白2星魔躯48级</v>
          </cell>
          <cell r="B11889">
            <v>1201048</v>
          </cell>
        </row>
        <row r="11890">
          <cell r="A11890" t="str">
            <v>白2星魔躯49级</v>
          </cell>
          <cell r="B11890">
            <v>1201049</v>
          </cell>
        </row>
        <row r="11891">
          <cell r="A11891" t="str">
            <v>白2星魔躯50级</v>
          </cell>
          <cell r="B11891">
            <v>1201050</v>
          </cell>
        </row>
        <row r="11892">
          <cell r="A11892" t="str">
            <v>白2星魔躯51级</v>
          </cell>
          <cell r="B11892">
            <v>1201051</v>
          </cell>
        </row>
        <row r="11893">
          <cell r="A11893" t="str">
            <v>白2星魔躯52级</v>
          </cell>
          <cell r="B11893">
            <v>1201052</v>
          </cell>
        </row>
        <row r="11894">
          <cell r="A11894" t="str">
            <v>白2星魔躯53级</v>
          </cell>
          <cell r="B11894">
            <v>1201053</v>
          </cell>
        </row>
        <row r="11895">
          <cell r="A11895" t="str">
            <v>白2星魔躯54级</v>
          </cell>
          <cell r="B11895">
            <v>1201054</v>
          </cell>
        </row>
        <row r="11896">
          <cell r="A11896" t="str">
            <v>白2星魔躯55级</v>
          </cell>
          <cell r="B11896">
            <v>1201055</v>
          </cell>
        </row>
        <row r="11897">
          <cell r="A11897" t="str">
            <v>白2星魔躯56级</v>
          </cell>
          <cell r="B11897">
            <v>1201056</v>
          </cell>
        </row>
        <row r="11898">
          <cell r="A11898" t="str">
            <v>白2星魔躯57级</v>
          </cell>
          <cell r="B11898">
            <v>1201057</v>
          </cell>
        </row>
        <row r="11899">
          <cell r="A11899" t="str">
            <v>白2星魔躯58级</v>
          </cell>
          <cell r="B11899">
            <v>1201058</v>
          </cell>
        </row>
        <row r="11900">
          <cell r="A11900" t="str">
            <v>白2星魔躯59级</v>
          </cell>
          <cell r="B11900">
            <v>1201059</v>
          </cell>
        </row>
        <row r="11901">
          <cell r="A11901" t="str">
            <v>白2星魔躯60级</v>
          </cell>
          <cell r="B11901">
            <v>1201060</v>
          </cell>
        </row>
        <row r="11902">
          <cell r="A11902" t="str">
            <v>白2星魔躯61级</v>
          </cell>
          <cell r="B11902">
            <v>1201061</v>
          </cell>
        </row>
        <row r="11903">
          <cell r="A11903" t="str">
            <v>白2星魔躯62级</v>
          </cell>
          <cell r="B11903">
            <v>1201062</v>
          </cell>
        </row>
        <row r="11904">
          <cell r="A11904" t="str">
            <v>白2星魔躯63级</v>
          </cell>
          <cell r="B11904">
            <v>1201063</v>
          </cell>
        </row>
        <row r="11905">
          <cell r="A11905" t="str">
            <v>白2星魔躯64级</v>
          </cell>
          <cell r="B11905">
            <v>1201064</v>
          </cell>
        </row>
        <row r="11906">
          <cell r="A11906" t="str">
            <v>白2星魔躯65级</v>
          </cell>
          <cell r="B11906">
            <v>1201065</v>
          </cell>
        </row>
        <row r="11907">
          <cell r="A11907" t="str">
            <v>白2星魔躯66级</v>
          </cell>
          <cell r="B11907">
            <v>1201066</v>
          </cell>
        </row>
        <row r="11908">
          <cell r="A11908" t="str">
            <v>白2星魔躯67级</v>
          </cell>
          <cell r="B11908">
            <v>1201067</v>
          </cell>
        </row>
        <row r="11909">
          <cell r="A11909" t="str">
            <v>白2星魔躯68级</v>
          </cell>
          <cell r="B11909">
            <v>1201068</v>
          </cell>
        </row>
        <row r="11910">
          <cell r="A11910" t="str">
            <v>白2星魔躯69级</v>
          </cell>
          <cell r="B11910">
            <v>1201069</v>
          </cell>
        </row>
        <row r="11911">
          <cell r="A11911" t="str">
            <v>白2星魔躯70级</v>
          </cell>
          <cell r="B11911">
            <v>1201070</v>
          </cell>
        </row>
        <row r="11912">
          <cell r="A11912" t="str">
            <v>白2星魔躯71级</v>
          </cell>
          <cell r="B11912">
            <v>1201071</v>
          </cell>
        </row>
        <row r="11913">
          <cell r="A11913" t="str">
            <v>白2星魔躯72级</v>
          </cell>
          <cell r="B11913">
            <v>1201072</v>
          </cell>
        </row>
        <row r="11914">
          <cell r="A11914" t="str">
            <v>白2星魔躯73级</v>
          </cell>
          <cell r="B11914">
            <v>1201073</v>
          </cell>
        </row>
        <row r="11915">
          <cell r="A11915" t="str">
            <v>白2星魔躯74级</v>
          </cell>
          <cell r="B11915">
            <v>1201074</v>
          </cell>
        </row>
        <row r="11916">
          <cell r="A11916" t="str">
            <v>白2星魔躯75级</v>
          </cell>
          <cell r="B11916">
            <v>1201075</v>
          </cell>
        </row>
        <row r="11917">
          <cell r="A11917" t="str">
            <v>白2星魔躯76级</v>
          </cell>
          <cell r="B11917">
            <v>1201076</v>
          </cell>
        </row>
        <row r="11918">
          <cell r="A11918" t="str">
            <v>白2星魔躯77级</v>
          </cell>
          <cell r="B11918">
            <v>1201077</v>
          </cell>
        </row>
        <row r="11919">
          <cell r="A11919" t="str">
            <v>白2星魔躯78级</v>
          </cell>
          <cell r="B11919">
            <v>1201078</v>
          </cell>
        </row>
        <row r="11920">
          <cell r="A11920" t="str">
            <v>白2星魔躯79级</v>
          </cell>
          <cell r="B11920">
            <v>1201079</v>
          </cell>
        </row>
        <row r="11921">
          <cell r="A11921" t="str">
            <v>白2星魔躯80级</v>
          </cell>
          <cell r="B11921">
            <v>1201080</v>
          </cell>
        </row>
        <row r="11922">
          <cell r="A11922" t="str">
            <v>白2星魔躯81级</v>
          </cell>
          <cell r="B11922">
            <v>1201081</v>
          </cell>
        </row>
        <row r="11923">
          <cell r="A11923" t="str">
            <v>白2星魔躯82级</v>
          </cell>
          <cell r="B11923">
            <v>1201082</v>
          </cell>
        </row>
        <row r="11924">
          <cell r="A11924" t="str">
            <v>白2星魔躯83级</v>
          </cell>
          <cell r="B11924">
            <v>1201083</v>
          </cell>
        </row>
        <row r="11925">
          <cell r="A11925" t="str">
            <v>白2星魔躯84级</v>
          </cell>
          <cell r="B11925">
            <v>1201084</v>
          </cell>
        </row>
        <row r="11926">
          <cell r="A11926" t="str">
            <v>白2星魔躯85级</v>
          </cell>
          <cell r="B11926">
            <v>1201085</v>
          </cell>
        </row>
        <row r="11927">
          <cell r="A11927" t="str">
            <v>白2星魔躯86级</v>
          </cell>
          <cell r="B11927">
            <v>1201086</v>
          </cell>
        </row>
        <row r="11928">
          <cell r="A11928" t="str">
            <v>白2星魔躯87级</v>
          </cell>
          <cell r="B11928">
            <v>1201087</v>
          </cell>
        </row>
        <row r="11929">
          <cell r="A11929" t="str">
            <v>白2星魔躯88级</v>
          </cell>
          <cell r="B11929">
            <v>1201088</v>
          </cell>
        </row>
        <row r="11930">
          <cell r="A11930" t="str">
            <v>白2星魔躯89级</v>
          </cell>
          <cell r="B11930">
            <v>1201089</v>
          </cell>
        </row>
        <row r="11931">
          <cell r="A11931" t="str">
            <v>白2星魔躯90级</v>
          </cell>
          <cell r="B11931">
            <v>1201090</v>
          </cell>
        </row>
        <row r="11932">
          <cell r="A11932" t="str">
            <v>白2星魔躯91级</v>
          </cell>
          <cell r="B11932">
            <v>1201091</v>
          </cell>
        </row>
        <row r="11933">
          <cell r="A11933" t="str">
            <v>白2星魔躯92级</v>
          </cell>
          <cell r="B11933">
            <v>1201092</v>
          </cell>
        </row>
        <row r="11934">
          <cell r="A11934" t="str">
            <v>白2星魔躯93级</v>
          </cell>
          <cell r="B11934">
            <v>1201093</v>
          </cell>
        </row>
        <row r="11935">
          <cell r="A11935" t="str">
            <v>白2星魔躯94级</v>
          </cell>
          <cell r="B11935">
            <v>1201094</v>
          </cell>
        </row>
        <row r="11936">
          <cell r="A11936" t="str">
            <v>白2星魔躯95级</v>
          </cell>
          <cell r="B11936">
            <v>1201095</v>
          </cell>
        </row>
        <row r="11937">
          <cell r="A11937" t="str">
            <v>白2星魔躯96级</v>
          </cell>
          <cell r="B11937">
            <v>1201096</v>
          </cell>
        </row>
        <row r="11938">
          <cell r="A11938" t="str">
            <v>白2星魔躯97级</v>
          </cell>
          <cell r="B11938">
            <v>1201097</v>
          </cell>
        </row>
        <row r="11939">
          <cell r="A11939" t="str">
            <v>白2星魔躯98级</v>
          </cell>
          <cell r="B11939">
            <v>1201098</v>
          </cell>
        </row>
        <row r="11940">
          <cell r="A11940" t="str">
            <v>白2星魔躯99级</v>
          </cell>
          <cell r="B11940">
            <v>1201099</v>
          </cell>
        </row>
        <row r="11941">
          <cell r="A11941" t="str">
            <v>白2星魔躯100级</v>
          </cell>
          <cell r="B11941">
            <v>1201100</v>
          </cell>
        </row>
        <row r="11942">
          <cell r="A11942" t="str">
            <v>紫1星魔躯1级</v>
          </cell>
          <cell r="B11942">
            <v>1202001</v>
          </cell>
        </row>
        <row r="11943">
          <cell r="A11943" t="str">
            <v>紫1星魔躯2级</v>
          </cell>
          <cell r="B11943">
            <v>1202002</v>
          </cell>
        </row>
        <row r="11944">
          <cell r="A11944" t="str">
            <v>紫1星魔躯3级</v>
          </cell>
          <cell r="B11944">
            <v>1202003</v>
          </cell>
        </row>
        <row r="11945">
          <cell r="A11945" t="str">
            <v>紫1星魔躯4级</v>
          </cell>
          <cell r="B11945">
            <v>1202004</v>
          </cell>
        </row>
        <row r="11946">
          <cell r="A11946" t="str">
            <v>紫1星魔躯5级</v>
          </cell>
          <cell r="B11946">
            <v>1202005</v>
          </cell>
        </row>
        <row r="11947">
          <cell r="A11947" t="str">
            <v>紫1星魔躯6级</v>
          </cell>
          <cell r="B11947">
            <v>1202006</v>
          </cell>
        </row>
        <row r="11948">
          <cell r="A11948" t="str">
            <v>紫1星魔躯7级</v>
          </cell>
          <cell r="B11948">
            <v>1202007</v>
          </cell>
        </row>
        <row r="11949">
          <cell r="A11949" t="str">
            <v>紫1星魔躯8级</v>
          </cell>
          <cell r="B11949">
            <v>1202008</v>
          </cell>
        </row>
        <row r="11950">
          <cell r="A11950" t="str">
            <v>紫1星魔躯9级</v>
          </cell>
          <cell r="B11950">
            <v>1202009</v>
          </cell>
        </row>
        <row r="11951">
          <cell r="A11951" t="str">
            <v>紫1星魔躯10级</v>
          </cell>
          <cell r="B11951">
            <v>1202010</v>
          </cell>
        </row>
        <row r="11952">
          <cell r="A11952" t="str">
            <v>紫1星魔躯11级</v>
          </cell>
          <cell r="B11952">
            <v>1202011</v>
          </cell>
        </row>
        <row r="11953">
          <cell r="A11953" t="str">
            <v>紫1星魔躯12级</v>
          </cell>
          <cell r="B11953">
            <v>1202012</v>
          </cell>
        </row>
        <row r="11954">
          <cell r="A11954" t="str">
            <v>紫1星魔躯13级</v>
          </cell>
          <cell r="B11954">
            <v>1202013</v>
          </cell>
        </row>
        <row r="11955">
          <cell r="A11955" t="str">
            <v>紫1星魔躯14级</v>
          </cell>
          <cell r="B11955">
            <v>1202014</v>
          </cell>
        </row>
        <row r="11956">
          <cell r="A11956" t="str">
            <v>紫1星魔躯15级</v>
          </cell>
          <cell r="B11956">
            <v>1202015</v>
          </cell>
        </row>
        <row r="11957">
          <cell r="A11957" t="str">
            <v>紫1星魔躯16级</v>
          </cell>
          <cell r="B11957">
            <v>1202016</v>
          </cell>
        </row>
        <row r="11958">
          <cell r="A11958" t="str">
            <v>紫1星魔躯17级</v>
          </cell>
          <cell r="B11958">
            <v>1202017</v>
          </cell>
        </row>
        <row r="11959">
          <cell r="A11959" t="str">
            <v>紫1星魔躯18级</v>
          </cell>
          <cell r="B11959">
            <v>1202018</v>
          </cell>
        </row>
        <row r="11960">
          <cell r="A11960" t="str">
            <v>紫1星魔躯19级</v>
          </cell>
          <cell r="B11960">
            <v>1202019</v>
          </cell>
        </row>
        <row r="11961">
          <cell r="A11961" t="str">
            <v>紫1星魔躯20级</v>
          </cell>
          <cell r="B11961">
            <v>1202020</v>
          </cell>
        </row>
        <row r="11962">
          <cell r="A11962" t="str">
            <v>紫1星魔躯21级</v>
          </cell>
          <cell r="B11962">
            <v>1202021</v>
          </cell>
        </row>
        <row r="11963">
          <cell r="A11963" t="str">
            <v>紫1星魔躯22级</v>
          </cell>
          <cell r="B11963">
            <v>1202022</v>
          </cell>
        </row>
        <row r="11964">
          <cell r="A11964" t="str">
            <v>紫1星魔躯23级</v>
          </cell>
          <cell r="B11964">
            <v>1202023</v>
          </cell>
        </row>
        <row r="11965">
          <cell r="A11965" t="str">
            <v>紫1星魔躯24级</v>
          </cell>
          <cell r="B11965">
            <v>1202024</v>
          </cell>
        </row>
        <row r="11966">
          <cell r="A11966" t="str">
            <v>紫1星魔躯25级</v>
          </cell>
          <cell r="B11966">
            <v>1202025</v>
          </cell>
        </row>
        <row r="11967">
          <cell r="A11967" t="str">
            <v>紫1星魔躯26级</v>
          </cell>
          <cell r="B11967">
            <v>1202026</v>
          </cell>
        </row>
        <row r="11968">
          <cell r="A11968" t="str">
            <v>紫1星魔躯27级</v>
          </cell>
          <cell r="B11968">
            <v>1202027</v>
          </cell>
        </row>
        <row r="11969">
          <cell r="A11969" t="str">
            <v>紫1星魔躯28级</v>
          </cell>
          <cell r="B11969">
            <v>1202028</v>
          </cell>
        </row>
        <row r="11970">
          <cell r="A11970" t="str">
            <v>紫1星魔躯29级</v>
          </cell>
          <cell r="B11970">
            <v>1202029</v>
          </cell>
        </row>
        <row r="11971">
          <cell r="A11971" t="str">
            <v>紫1星魔躯30级</v>
          </cell>
          <cell r="B11971">
            <v>1202030</v>
          </cell>
        </row>
        <row r="11972">
          <cell r="A11972" t="str">
            <v>紫1星魔躯31级</v>
          </cell>
          <cell r="B11972">
            <v>1202031</v>
          </cell>
        </row>
        <row r="11973">
          <cell r="A11973" t="str">
            <v>紫1星魔躯32级</v>
          </cell>
          <cell r="B11973">
            <v>1202032</v>
          </cell>
        </row>
        <row r="11974">
          <cell r="A11974" t="str">
            <v>紫1星魔躯33级</v>
          </cell>
          <cell r="B11974">
            <v>1202033</v>
          </cell>
        </row>
        <row r="11975">
          <cell r="A11975" t="str">
            <v>紫1星魔躯34级</v>
          </cell>
          <cell r="B11975">
            <v>1202034</v>
          </cell>
        </row>
        <row r="11976">
          <cell r="A11976" t="str">
            <v>紫1星魔躯35级</v>
          </cell>
          <cell r="B11976">
            <v>1202035</v>
          </cell>
        </row>
        <row r="11977">
          <cell r="A11977" t="str">
            <v>紫1星魔躯36级</v>
          </cell>
          <cell r="B11977">
            <v>1202036</v>
          </cell>
        </row>
        <row r="11978">
          <cell r="A11978" t="str">
            <v>紫1星魔躯37级</v>
          </cell>
          <cell r="B11978">
            <v>1202037</v>
          </cell>
        </row>
        <row r="11979">
          <cell r="A11979" t="str">
            <v>紫1星魔躯38级</v>
          </cell>
          <cell r="B11979">
            <v>1202038</v>
          </cell>
        </row>
        <row r="11980">
          <cell r="A11980" t="str">
            <v>紫1星魔躯39级</v>
          </cell>
          <cell r="B11980">
            <v>1202039</v>
          </cell>
        </row>
        <row r="11981">
          <cell r="A11981" t="str">
            <v>紫1星魔躯40级</v>
          </cell>
          <cell r="B11981">
            <v>1202040</v>
          </cell>
        </row>
        <row r="11982">
          <cell r="A11982" t="str">
            <v>紫1星魔躯41级</v>
          </cell>
          <cell r="B11982">
            <v>1202041</v>
          </cell>
        </row>
        <row r="11983">
          <cell r="A11983" t="str">
            <v>紫1星魔躯42级</v>
          </cell>
          <cell r="B11983">
            <v>1202042</v>
          </cell>
        </row>
        <row r="11984">
          <cell r="A11984" t="str">
            <v>紫1星魔躯43级</v>
          </cell>
          <cell r="B11984">
            <v>1202043</v>
          </cell>
        </row>
        <row r="11985">
          <cell r="A11985" t="str">
            <v>紫1星魔躯44级</v>
          </cell>
          <cell r="B11985">
            <v>1202044</v>
          </cell>
        </row>
        <row r="11986">
          <cell r="A11986" t="str">
            <v>紫1星魔躯45级</v>
          </cell>
          <cell r="B11986">
            <v>1202045</v>
          </cell>
        </row>
        <row r="11987">
          <cell r="A11987" t="str">
            <v>紫1星魔躯46级</v>
          </cell>
          <cell r="B11987">
            <v>1202046</v>
          </cell>
        </row>
        <row r="11988">
          <cell r="A11988" t="str">
            <v>紫1星魔躯47级</v>
          </cell>
          <cell r="B11988">
            <v>1202047</v>
          </cell>
        </row>
        <row r="11989">
          <cell r="A11989" t="str">
            <v>紫1星魔躯48级</v>
          </cell>
          <cell r="B11989">
            <v>1202048</v>
          </cell>
        </row>
        <row r="11990">
          <cell r="A11990" t="str">
            <v>紫1星魔躯49级</v>
          </cell>
          <cell r="B11990">
            <v>1202049</v>
          </cell>
        </row>
        <row r="11991">
          <cell r="A11991" t="str">
            <v>紫1星魔躯50级</v>
          </cell>
          <cell r="B11991">
            <v>1202050</v>
          </cell>
        </row>
        <row r="11992">
          <cell r="A11992" t="str">
            <v>紫1星魔躯51级</v>
          </cell>
          <cell r="B11992">
            <v>1202051</v>
          </cell>
        </row>
        <row r="11993">
          <cell r="A11993" t="str">
            <v>紫1星魔躯52级</v>
          </cell>
          <cell r="B11993">
            <v>1202052</v>
          </cell>
        </row>
        <row r="11994">
          <cell r="A11994" t="str">
            <v>紫1星魔躯53级</v>
          </cell>
          <cell r="B11994">
            <v>1202053</v>
          </cell>
        </row>
        <row r="11995">
          <cell r="A11995" t="str">
            <v>紫1星魔躯54级</v>
          </cell>
          <cell r="B11995">
            <v>1202054</v>
          </cell>
        </row>
        <row r="11996">
          <cell r="A11996" t="str">
            <v>紫1星魔躯55级</v>
          </cell>
          <cell r="B11996">
            <v>1202055</v>
          </cell>
        </row>
        <row r="11997">
          <cell r="A11997" t="str">
            <v>紫1星魔躯56级</v>
          </cell>
          <cell r="B11997">
            <v>1202056</v>
          </cell>
        </row>
        <row r="11998">
          <cell r="A11998" t="str">
            <v>紫1星魔躯57级</v>
          </cell>
          <cell r="B11998">
            <v>1202057</v>
          </cell>
        </row>
        <row r="11999">
          <cell r="A11999" t="str">
            <v>紫1星魔躯58级</v>
          </cell>
          <cell r="B11999">
            <v>1202058</v>
          </cell>
        </row>
        <row r="12000">
          <cell r="A12000" t="str">
            <v>紫1星魔躯59级</v>
          </cell>
          <cell r="B12000">
            <v>1202059</v>
          </cell>
        </row>
        <row r="12001">
          <cell r="A12001" t="str">
            <v>紫1星魔躯60级</v>
          </cell>
          <cell r="B12001">
            <v>1202060</v>
          </cell>
        </row>
        <row r="12002">
          <cell r="A12002" t="str">
            <v>紫1星魔躯61级</v>
          </cell>
          <cell r="B12002">
            <v>1202061</v>
          </cell>
        </row>
        <row r="12003">
          <cell r="A12003" t="str">
            <v>紫1星魔躯62级</v>
          </cell>
          <cell r="B12003">
            <v>1202062</v>
          </cell>
        </row>
        <row r="12004">
          <cell r="A12004" t="str">
            <v>紫1星魔躯63级</v>
          </cell>
          <cell r="B12004">
            <v>1202063</v>
          </cell>
        </row>
        <row r="12005">
          <cell r="A12005" t="str">
            <v>紫1星魔躯64级</v>
          </cell>
          <cell r="B12005">
            <v>1202064</v>
          </cell>
        </row>
        <row r="12006">
          <cell r="A12006" t="str">
            <v>紫1星魔躯65级</v>
          </cell>
          <cell r="B12006">
            <v>1202065</v>
          </cell>
        </row>
        <row r="12007">
          <cell r="A12007" t="str">
            <v>紫1星魔躯66级</v>
          </cell>
          <cell r="B12007">
            <v>1202066</v>
          </cell>
        </row>
        <row r="12008">
          <cell r="A12008" t="str">
            <v>紫1星魔躯67级</v>
          </cell>
          <cell r="B12008">
            <v>1202067</v>
          </cell>
        </row>
        <row r="12009">
          <cell r="A12009" t="str">
            <v>紫1星魔躯68级</v>
          </cell>
          <cell r="B12009">
            <v>1202068</v>
          </cell>
        </row>
        <row r="12010">
          <cell r="A12010" t="str">
            <v>紫1星魔躯69级</v>
          </cell>
          <cell r="B12010">
            <v>1202069</v>
          </cell>
        </row>
        <row r="12011">
          <cell r="A12011" t="str">
            <v>紫1星魔躯70级</v>
          </cell>
          <cell r="B12011">
            <v>1202070</v>
          </cell>
        </row>
        <row r="12012">
          <cell r="A12012" t="str">
            <v>紫1星魔躯71级</v>
          </cell>
          <cell r="B12012">
            <v>1202071</v>
          </cell>
        </row>
        <row r="12013">
          <cell r="A12013" t="str">
            <v>紫1星魔躯72级</v>
          </cell>
          <cell r="B12013">
            <v>1202072</v>
          </cell>
        </row>
        <row r="12014">
          <cell r="A12014" t="str">
            <v>紫1星魔躯73级</v>
          </cell>
          <cell r="B12014">
            <v>1202073</v>
          </cell>
        </row>
        <row r="12015">
          <cell r="A12015" t="str">
            <v>紫1星魔躯74级</v>
          </cell>
          <cell r="B12015">
            <v>1202074</v>
          </cell>
        </row>
        <row r="12016">
          <cell r="A12016" t="str">
            <v>紫1星魔躯75级</v>
          </cell>
          <cell r="B12016">
            <v>1202075</v>
          </cell>
        </row>
        <row r="12017">
          <cell r="A12017" t="str">
            <v>紫1星魔躯76级</v>
          </cell>
          <cell r="B12017">
            <v>1202076</v>
          </cell>
        </row>
        <row r="12018">
          <cell r="A12018" t="str">
            <v>紫1星魔躯77级</v>
          </cell>
          <cell r="B12018">
            <v>1202077</v>
          </cell>
        </row>
        <row r="12019">
          <cell r="A12019" t="str">
            <v>紫1星魔躯78级</v>
          </cell>
          <cell r="B12019">
            <v>1202078</v>
          </cell>
        </row>
        <row r="12020">
          <cell r="A12020" t="str">
            <v>紫1星魔躯79级</v>
          </cell>
          <cell r="B12020">
            <v>1202079</v>
          </cell>
        </row>
        <row r="12021">
          <cell r="A12021" t="str">
            <v>紫1星魔躯80级</v>
          </cell>
          <cell r="B12021">
            <v>1202080</v>
          </cell>
        </row>
        <row r="12022">
          <cell r="A12022" t="str">
            <v>紫1星魔躯81级</v>
          </cell>
          <cell r="B12022">
            <v>1202081</v>
          </cell>
        </row>
        <row r="12023">
          <cell r="A12023" t="str">
            <v>紫1星魔躯82级</v>
          </cell>
          <cell r="B12023">
            <v>1202082</v>
          </cell>
        </row>
        <row r="12024">
          <cell r="A12024" t="str">
            <v>紫1星魔躯83级</v>
          </cell>
          <cell r="B12024">
            <v>1202083</v>
          </cell>
        </row>
        <row r="12025">
          <cell r="A12025" t="str">
            <v>紫1星魔躯84级</v>
          </cell>
          <cell r="B12025">
            <v>1202084</v>
          </cell>
        </row>
        <row r="12026">
          <cell r="A12026" t="str">
            <v>紫1星魔躯85级</v>
          </cell>
          <cell r="B12026">
            <v>1202085</v>
          </cell>
        </row>
        <row r="12027">
          <cell r="A12027" t="str">
            <v>紫1星魔躯86级</v>
          </cell>
          <cell r="B12027">
            <v>1202086</v>
          </cell>
        </row>
        <row r="12028">
          <cell r="A12028" t="str">
            <v>紫1星魔躯87级</v>
          </cell>
          <cell r="B12028">
            <v>1202087</v>
          </cell>
        </row>
        <row r="12029">
          <cell r="A12029" t="str">
            <v>紫1星魔躯88级</v>
          </cell>
          <cell r="B12029">
            <v>1202088</v>
          </cell>
        </row>
        <row r="12030">
          <cell r="A12030" t="str">
            <v>紫1星魔躯89级</v>
          </cell>
          <cell r="B12030">
            <v>1202089</v>
          </cell>
        </row>
        <row r="12031">
          <cell r="A12031" t="str">
            <v>紫1星魔躯90级</v>
          </cell>
          <cell r="B12031">
            <v>1202090</v>
          </cell>
        </row>
        <row r="12032">
          <cell r="A12032" t="str">
            <v>紫1星魔躯91级</v>
          </cell>
          <cell r="B12032">
            <v>1202091</v>
          </cell>
        </row>
        <row r="12033">
          <cell r="A12033" t="str">
            <v>紫1星魔躯92级</v>
          </cell>
          <cell r="B12033">
            <v>1202092</v>
          </cell>
        </row>
        <row r="12034">
          <cell r="A12034" t="str">
            <v>紫1星魔躯93级</v>
          </cell>
          <cell r="B12034">
            <v>1202093</v>
          </cell>
        </row>
        <row r="12035">
          <cell r="A12035" t="str">
            <v>紫1星魔躯94级</v>
          </cell>
          <cell r="B12035">
            <v>1202094</v>
          </cell>
        </row>
        <row r="12036">
          <cell r="A12036" t="str">
            <v>紫1星魔躯95级</v>
          </cell>
          <cell r="B12036">
            <v>1202095</v>
          </cell>
        </row>
        <row r="12037">
          <cell r="A12037" t="str">
            <v>紫1星魔躯96级</v>
          </cell>
          <cell r="B12037">
            <v>1202096</v>
          </cell>
        </row>
        <row r="12038">
          <cell r="A12038" t="str">
            <v>紫1星魔躯97级</v>
          </cell>
          <cell r="B12038">
            <v>1202097</v>
          </cell>
        </row>
        <row r="12039">
          <cell r="A12039" t="str">
            <v>紫1星魔躯98级</v>
          </cell>
          <cell r="B12039">
            <v>1202098</v>
          </cell>
        </row>
        <row r="12040">
          <cell r="A12040" t="str">
            <v>紫1星魔躯99级</v>
          </cell>
          <cell r="B12040">
            <v>1202099</v>
          </cell>
        </row>
        <row r="12041">
          <cell r="A12041" t="str">
            <v>紫1星魔躯100级</v>
          </cell>
          <cell r="B12041">
            <v>1202100</v>
          </cell>
        </row>
        <row r="12042">
          <cell r="A12042" t="str">
            <v>紫2星魔躯1级</v>
          </cell>
          <cell r="B12042">
            <v>1203001</v>
          </cell>
        </row>
        <row r="12043">
          <cell r="A12043" t="str">
            <v>紫2星魔躯2级</v>
          </cell>
          <cell r="B12043">
            <v>1203002</v>
          </cell>
        </row>
        <row r="12044">
          <cell r="A12044" t="str">
            <v>紫2星魔躯3级</v>
          </cell>
          <cell r="B12044">
            <v>1203003</v>
          </cell>
        </row>
        <row r="12045">
          <cell r="A12045" t="str">
            <v>紫2星魔躯4级</v>
          </cell>
          <cell r="B12045">
            <v>1203004</v>
          </cell>
        </row>
        <row r="12046">
          <cell r="A12046" t="str">
            <v>紫2星魔躯5级</v>
          </cell>
          <cell r="B12046">
            <v>1203005</v>
          </cell>
        </row>
        <row r="12047">
          <cell r="A12047" t="str">
            <v>紫2星魔躯6级</v>
          </cell>
          <cell r="B12047">
            <v>1203006</v>
          </cell>
        </row>
        <row r="12048">
          <cell r="A12048" t="str">
            <v>紫2星魔躯7级</v>
          </cell>
          <cell r="B12048">
            <v>1203007</v>
          </cell>
        </row>
        <row r="12049">
          <cell r="A12049" t="str">
            <v>紫2星魔躯8级</v>
          </cell>
          <cell r="B12049">
            <v>1203008</v>
          </cell>
        </row>
        <row r="12050">
          <cell r="A12050" t="str">
            <v>紫2星魔躯9级</v>
          </cell>
          <cell r="B12050">
            <v>1203009</v>
          </cell>
        </row>
        <row r="12051">
          <cell r="A12051" t="str">
            <v>紫2星魔躯10级</v>
          </cell>
          <cell r="B12051">
            <v>1203010</v>
          </cell>
        </row>
        <row r="12052">
          <cell r="A12052" t="str">
            <v>紫2星魔躯11级</v>
          </cell>
          <cell r="B12052">
            <v>1203011</v>
          </cell>
        </row>
        <row r="12053">
          <cell r="A12053" t="str">
            <v>紫2星魔躯12级</v>
          </cell>
          <cell r="B12053">
            <v>1203012</v>
          </cell>
        </row>
        <row r="12054">
          <cell r="A12054" t="str">
            <v>紫2星魔躯13级</v>
          </cell>
          <cell r="B12054">
            <v>1203013</v>
          </cell>
        </row>
        <row r="12055">
          <cell r="A12055" t="str">
            <v>紫2星魔躯14级</v>
          </cell>
          <cell r="B12055">
            <v>1203014</v>
          </cell>
        </row>
        <row r="12056">
          <cell r="A12056" t="str">
            <v>紫2星魔躯15级</v>
          </cell>
          <cell r="B12056">
            <v>1203015</v>
          </cell>
        </row>
        <row r="12057">
          <cell r="A12057" t="str">
            <v>紫2星魔躯16级</v>
          </cell>
          <cell r="B12057">
            <v>1203016</v>
          </cell>
        </row>
        <row r="12058">
          <cell r="A12058" t="str">
            <v>紫2星魔躯17级</v>
          </cell>
          <cell r="B12058">
            <v>1203017</v>
          </cell>
        </row>
        <row r="12059">
          <cell r="A12059" t="str">
            <v>紫2星魔躯18级</v>
          </cell>
          <cell r="B12059">
            <v>1203018</v>
          </cell>
        </row>
        <row r="12060">
          <cell r="A12060" t="str">
            <v>紫2星魔躯19级</v>
          </cell>
          <cell r="B12060">
            <v>1203019</v>
          </cell>
        </row>
        <row r="12061">
          <cell r="A12061" t="str">
            <v>紫2星魔躯20级</v>
          </cell>
          <cell r="B12061">
            <v>1203020</v>
          </cell>
        </row>
        <row r="12062">
          <cell r="A12062" t="str">
            <v>紫2星魔躯21级</v>
          </cell>
          <cell r="B12062">
            <v>1203021</v>
          </cell>
        </row>
        <row r="12063">
          <cell r="A12063" t="str">
            <v>紫2星魔躯22级</v>
          </cell>
          <cell r="B12063">
            <v>1203022</v>
          </cell>
        </row>
        <row r="12064">
          <cell r="A12064" t="str">
            <v>紫2星魔躯23级</v>
          </cell>
          <cell r="B12064">
            <v>1203023</v>
          </cell>
        </row>
        <row r="12065">
          <cell r="A12065" t="str">
            <v>紫2星魔躯24级</v>
          </cell>
          <cell r="B12065">
            <v>1203024</v>
          </cell>
        </row>
        <row r="12066">
          <cell r="A12066" t="str">
            <v>紫2星魔躯25级</v>
          </cell>
          <cell r="B12066">
            <v>1203025</v>
          </cell>
        </row>
        <row r="12067">
          <cell r="A12067" t="str">
            <v>紫2星魔躯26级</v>
          </cell>
          <cell r="B12067">
            <v>1203026</v>
          </cell>
        </row>
        <row r="12068">
          <cell r="A12068" t="str">
            <v>紫2星魔躯27级</v>
          </cell>
          <cell r="B12068">
            <v>1203027</v>
          </cell>
        </row>
        <row r="12069">
          <cell r="A12069" t="str">
            <v>紫2星魔躯28级</v>
          </cell>
          <cell r="B12069">
            <v>1203028</v>
          </cell>
        </row>
        <row r="12070">
          <cell r="A12070" t="str">
            <v>紫2星魔躯29级</v>
          </cell>
          <cell r="B12070">
            <v>1203029</v>
          </cell>
        </row>
        <row r="12071">
          <cell r="A12071" t="str">
            <v>紫2星魔躯30级</v>
          </cell>
          <cell r="B12071">
            <v>1203030</v>
          </cell>
        </row>
        <row r="12072">
          <cell r="A12072" t="str">
            <v>紫2星魔躯31级</v>
          </cell>
          <cell r="B12072">
            <v>1203031</v>
          </cell>
        </row>
        <row r="12073">
          <cell r="A12073" t="str">
            <v>紫2星魔躯32级</v>
          </cell>
          <cell r="B12073">
            <v>1203032</v>
          </cell>
        </row>
        <row r="12074">
          <cell r="A12074" t="str">
            <v>紫2星魔躯33级</v>
          </cell>
          <cell r="B12074">
            <v>1203033</v>
          </cell>
        </row>
        <row r="12075">
          <cell r="A12075" t="str">
            <v>紫2星魔躯34级</v>
          </cell>
          <cell r="B12075">
            <v>1203034</v>
          </cell>
        </row>
        <row r="12076">
          <cell r="A12076" t="str">
            <v>紫2星魔躯35级</v>
          </cell>
          <cell r="B12076">
            <v>1203035</v>
          </cell>
        </row>
        <row r="12077">
          <cell r="A12077" t="str">
            <v>紫2星魔躯36级</v>
          </cell>
          <cell r="B12077">
            <v>1203036</v>
          </cell>
        </row>
        <row r="12078">
          <cell r="A12078" t="str">
            <v>紫2星魔躯37级</v>
          </cell>
          <cell r="B12078">
            <v>1203037</v>
          </cell>
        </row>
        <row r="12079">
          <cell r="A12079" t="str">
            <v>紫2星魔躯38级</v>
          </cell>
          <cell r="B12079">
            <v>1203038</v>
          </cell>
        </row>
        <row r="12080">
          <cell r="A12080" t="str">
            <v>紫2星魔躯39级</v>
          </cell>
          <cell r="B12080">
            <v>1203039</v>
          </cell>
        </row>
        <row r="12081">
          <cell r="A12081" t="str">
            <v>紫2星魔躯40级</v>
          </cell>
          <cell r="B12081">
            <v>1203040</v>
          </cell>
        </row>
        <row r="12082">
          <cell r="A12082" t="str">
            <v>紫2星魔躯41级</v>
          </cell>
          <cell r="B12082">
            <v>1203041</v>
          </cell>
        </row>
        <row r="12083">
          <cell r="A12083" t="str">
            <v>紫2星魔躯42级</v>
          </cell>
          <cell r="B12083">
            <v>1203042</v>
          </cell>
        </row>
        <row r="12084">
          <cell r="A12084" t="str">
            <v>紫2星魔躯43级</v>
          </cell>
          <cell r="B12084">
            <v>1203043</v>
          </cell>
        </row>
        <row r="12085">
          <cell r="A12085" t="str">
            <v>紫2星魔躯44级</v>
          </cell>
          <cell r="B12085">
            <v>1203044</v>
          </cell>
        </row>
        <row r="12086">
          <cell r="A12086" t="str">
            <v>紫2星魔躯45级</v>
          </cell>
          <cell r="B12086">
            <v>1203045</v>
          </cell>
        </row>
        <row r="12087">
          <cell r="A12087" t="str">
            <v>紫2星魔躯46级</v>
          </cell>
          <cell r="B12087">
            <v>1203046</v>
          </cell>
        </row>
        <row r="12088">
          <cell r="A12088" t="str">
            <v>紫2星魔躯47级</v>
          </cell>
          <cell r="B12088">
            <v>1203047</v>
          </cell>
        </row>
        <row r="12089">
          <cell r="A12089" t="str">
            <v>紫2星魔躯48级</v>
          </cell>
          <cell r="B12089">
            <v>1203048</v>
          </cell>
        </row>
        <row r="12090">
          <cell r="A12090" t="str">
            <v>紫2星魔躯49级</v>
          </cell>
          <cell r="B12090">
            <v>1203049</v>
          </cell>
        </row>
        <row r="12091">
          <cell r="A12091" t="str">
            <v>紫2星魔躯50级</v>
          </cell>
          <cell r="B12091">
            <v>1203050</v>
          </cell>
        </row>
        <row r="12092">
          <cell r="A12092" t="str">
            <v>紫2星魔躯51级</v>
          </cell>
          <cell r="B12092">
            <v>1203051</v>
          </cell>
        </row>
        <row r="12093">
          <cell r="A12093" t="str">
            <v>紫2星魔躯52级</v>
          </cell>
          <cell r="B12093">
            <v>1203052</v>
          </cell>
        </row>
        <row r="12094">
          <cell r="A12094" t="str">
            <v>紫2星魔躯53级</v>
          </cell>
          <cell r="B12094">
            <v>1203053</v>
          </cell>
        </row>
        <row r="12095">
          <cell r="A12095" t="str">
            <v>紫2星魔躯54级</v>
          </cell>
          <cell r="B12095">
            <v>1203054</v>
          </cell>
        </row>
        <row r="12096">
          <cell r="A12096" t="str">
            <v>紫2星魔躯55级</v>
          </cell>
          <cell r="B12096">
            <v>1203055</v>
          </cell>
        </row>
        <row r="12097">
          <cell r="A12097" t="str">
            <v>紫2星魔躯56级</v>
          </cell>
          <cell r="B12097">
            <v>1203056</v>
          </cell>
        </row>
        <row r="12098">
          <cell r="A12098" t="str">
            <v>紫2星魔躯57级</v>
          </cell>
          <cell r="B12098">
            <v>1203057</v>
          </cell>
        </row>
        <row r="12099">
          <cell r="A12099" t="str">
            <v>紫2星魔躯58级</v>
          </cell>
          <cell r="B12099">
            <v>1203058</v>
          </cell>
        </row>
        <row r="12100">
          <cell r="A12100" t="str">
            <v>紫2星魔躯59级</v>
          </cell>
          <cell r="B12100">
            <v>1203059</v>
          </cell>
        </row>
        <row r="12101">
          <cell r="A12101" t="str">
            <v>紫2星魔躯60级</v>
          </cell>
          <cell r="B12101">
            <v>1203060</v>
          </cell>
        </row>
        <row r="12102">
          <cell r="A12102" t="str">
            <v>紫2星魔躯61级</v>
          </cell>
          <cell r="B12102">
            <v>1203061</v>
          </cell>
        </row>
        <row r="12103">
          <cell r="A12103" t="str">
            <v>紫2星魔躯62级</v>
          </cell>
          <cell r="B12103">
            <v>1203062</v>
          </cell>
        </row>
        <row r="12104">
          <cell r="A12104" t="str">
            <v>紫2星魔躯63级</v>
          </cell>
          <cell r="B12104">
            <v>1203063</v>
          </cell>
        </row>
        <row r="12105">
          <cell r="A12105" t="str">
            <v>紫2星魔躯64级</v>
          </cell>
          <cell r="B12105">
            <v>1203064</v>
          </cell>
        </row>
        <row r="12106">
          <cell r="A12106" t="str">
            <v>紫2星魔躯65级</v>
          </cell>
          <cell r="B12106">
            <v>1203065</v>
          </cell>
        </row>
        <row r="12107">
          <cell r="A12107" t="str">
            <v>紫2星魔躯66级</v>
          </cell>
          <cell r="B12107">
            <v>1203066</v>
          </cell>
        </row>
        <row r="12108">
          <cell r="A12108" t="str">
            <v>紫2星魔躯67级</v>
          </cell>
          <cell r="B12108">
            <v>1203067</v>
          </cell>
        </row>
        <row r="12109">
          <cell r="A12109" t="str">
            <v>紫2星魔躯68级</v>
          </cell>
          <cell r="B12109">
            <v>1203068</v>
          </cell>
        </row>
        <row r="12110">
          <cell r="A12110" t="str">
            <v>紫2星魔躯69级</v>
          </cell>
          <cell r="B12110">
            <v>1203069</v>
          </cell>
        </row>
        <row r="12111">
          <cell r="A12111" t="str">
            <v>紫2星魔躯70级</v>
          </cell>
          <cell r="B12111">
            <v>1203070</v>
          </cell>
        </row>
        <row r="12112">
          <cell r="A12112" t="str">
            <v>紫2星魔躯71级</v>
          </cell>
          <cell r="B12112">
            <v>1203071</v>
          </cell>
        </row>
        <row r="12113">
          <cell r="A12113" t="str">
            <v>紫2星魔躯72级</v>
          </cell>
          <cell r="B12113">
            <v>1203072</v>
          </cell>
        </row>
        <row r="12114">
          <cell r="A12114" t="str">
            <v>紫2星魔躯73级</v>
          </cell>
          <cell r="B12114">
            <v>1203073</v>
          </cell>
        </row>
        <row r="12115">
          <cell r="A12115" t="str">
            <v>紫2星魔躯74级</v>
          </cell>
          <cell r="B12115">
            <v>1203074</v>
          </cell>
        </row>
        <row r="12116">
          <cell r="A12116" t="str">
            <v>紫2星魔躯75级</v>
          </cell>
          <cell r="B12116">
            <v>1203075</v>
          </cell>
        </row>
        <row r="12117">
          <cell r="A12117" t="str">
            <v>紫2星魔躯76级</v>
          </cell>
          <cell r="B12117">
            <v>1203076</v>
          </cell>
        </row>
        <row r="12118">
          <cell r="A12118" t="str">
            <v>紫2星魔躯77级</v>
          </cell>
          <cell r="B12118">
            <v>1203077</v>
          </cell>
        </row>
        <row r="12119">
          <cell r="A12119" t="str">
            <v>紫2星魔躯78级</v>
          </cell>
          <cell r="B12119">
            <v>1203078</v>
          </cell>
        </row>
        <row r="12120">
          <cell r="A12120" t="str">
            <v>紫2星魔躯79级</v>
          </cell>
          <cell r="B12120">
            <v>1203079</v>
          </cell>
        </row>
        <row r="12121">
          <cell r="A12121" t="str">
            <v>紫2星魔躯80级</v>
          </cell>
          <cell r="B12121">
            <v>1203080</v>
          </cell>
        </row>
        <row r="12122">
          <cell r="A12122" t="str">
            <v>紫2星魔躯81级</v>
          </cell>
          <cell r="B12122">
            <v>1203081</v>
          </cell>
        </row>
        <row r="12123">
          <cell r="A12123" t="str">
            <v>紫2星魔躯82级</v>
          </cell>
          <cell r="B12123">
            <v>1203082</v>
          </cell>
        </row>
        <row r="12124">
          <cell r="A12124" t="str">
            <v>紫2星魔躯83级</v>
          </cell>
          <cell r="B12124">
            <v>1203083</v>
          </cell>
        </row>
        <row r="12125">
          <cell r="A12125" t="str">
            <v>紫2星魔躯84级</v>
          </cell>
          <cell r="B12125">
            <v>1203084</v>
          </cell>
        </row>
        <row r="12126">
          <cell r="A12126" t="str">
            <v>紫2星魔躯85级</v>
          </cell>
          <cell r="B12126">
            <v>1203085</v>
          </cell>
        </row>
        <row r="12127">
          <cell r="A12127" t="str">
            <v>紫2星魔躯86级</v>
          </cell>
          <cell r="B12127">
            <v>1203086</v>
          </cell>
        </row>
        <row r="12128">
          <cell r="A12128" t="str">
            <v>紫2星魔躯87级</v>
          </cell>
          <cell r="B12128">
            <v>1203087</v>
          </cell>
        </row>
        <row r="12129">
          <cell r="A12129" t="str">
            <v>紫2星魔躯88级</v>
          </cell>
          <cell r="B12129">
            <v>1203088</v>
          </cell>
        </row>
        <row r="12130">
          <cell r="A12130" t="str">
            <v>紫2星魔躯89级</v>
          </cell>
          <cell r="B12130">
            <v>1203089</v>
          </cell>
        </row>
        <row r="12131">
          <cell r="A12131" t="str">
            <v>紫2星魔躯90级</v>
          </cell>
          <cell r="B12131">
            <v>1203090</v>
          </cell>
        </row>
        <row r="12132">
          <cell r="A12132" t="str">
            <v>紫2星魔躯91级</v>
          </cell>
          <cell r="B12132">
            <v>1203091</v>
          </cell>
        </row>
        <row r="12133">
          <cell r="A12133" t="str">
            <v>紫2星魔躯92级</v>
          </cell>
          <cell r="B12133">
            <v>1203092</v>
          </cell>
        </row>
        <row r="12134">
          <cell r="A12134" t="str">
            <v>紫2星魔躯93级</v>
          </cell>
          <cell r="B12134">
            <v>1203093</v>
          </cell>
        </row>
        <row r="12135">
          <cell r="A12135" t="str">
            <v>紫2星魔躯94级</v>
          </cell>
          <cell r="B12135">
            <v>1203094</v>
          </cell>
        </row>
        <row r="12136">
          <cell r="A12136" t="str">
            <v>紫2星魔躯95级</v>
          </cell>
          <cell r="B12136">
            <v>1203095</v>
          </cell>
        </row>
        <row r="12137">
          <cell r="A12137" t="str">
            <v>紫2星魔躯96级</v>
          </cell>
          <cell r="B12137">
            <v>1203096</v>
          </cell>
        </row>
        <row r="12138">
          <cell r="A12138" t="str">
            <v>紫2星魔躯97级</v>
          </cell>
          <cell r="B12138">
            <v>1203097</v>
          </cell>
        </row>
        <row r="12139">
          <cell r="A12139" t="str">
            <v>紫2星魔躯98级</v>
          </cell>
          <cell r="B12139">
            <v>1203098</v>
          </cell>
        </row>
        <row r="12140">
          <cell r="A12140" t="str">
            <v>紫2星魔躯99级</v>
          </cell>
          <cell r="B12140">
            <v>1203099</v>
          </cell>
        </row>
        <row r="12141">
          <cell r="A12141" t="str">
            <v>紫2星魔躯100级</v>
          </cell>
          <cell r="B12141">
            <v>1203100</v>
          </cell>
        </row>
        <row r="12142">
          <cell r="A12142" t="str">
            <v>紫3星魔躯1级</v>
          </cell>
          <cell r="B12142">
            <v>1204001</v>
          </cell>
        </row>
        <row r="12143">
          <cell r="A12143" t="str">
            <v>紫3星魔躯2级</v>
          </cell>
          <cell r="B12143">
            <v>1204002</v>
          </cell>
        </row>
        <row r="12144">
          <cell r="A12144" t="str">
            <v>紫3星魔躯3级</v>
          </cell>
          <cell r="B12144">
            <v>1204003</v>
          </cell>
        </row>
        <row r="12145">
          <cell r="A12145" t="str">
            <v>紫3星魔躯4级</v>
          </cell>
          <cell r="B12145">
            <v>1204004</v>
          </cell>
        </row>
        <row r="12146">
          <cell r="A12146" t="str">
            <v>紫3星魔躯5级</v>
          </cell>
          <cell r="B12146">
            <v>1204005</v>
          </cell>
        </row>
        <row r="12147">
          <cell r="A12147" t="str">
            <v>紫3星魔躯6级</v>
          </cell>
          <cell r="B12147">
            <v>1204006</v>
          </cell>
        </row>
        <row r="12148">
          <cell r="A12148" t="str">
            <v>紫3星魔躯7级</v>
          </cell>
          <cell r="B12148">
            <v>1204007</v>
          </cell>
        </row>
        <row r="12149">
          <cell r="A12149" t="str">
            <v>紫3星魔躯8级</v>
          </cell>
          <cell r="B12149">
            <v>1204008</v>
          </cell>
        </row>
        <row r="12150">
          <cell r="A12150" t="str">
            <v>紫3星魔躯9级</v>
          </cell>
          <cell r="B12150">
            <v>1204009</v>
          </cell>
        </row>
        <row r="12151">
          <cell r="A12151" t="str">
            <v>紫3星魔躯10级</v>
          </cell>
          <cell r="B12151">
            <v>1204010</v>
          </cell>
        </row>
        <row r="12152">
          <cell r="A12152" t="str">
            <v>紫3星魔躯11级</v>
          </cell>
          <cell r="B12152">
            <v>1204011</v>
          </cell>
        </row>
        <row r="12153">
          <cell r="A12153" t="str">
            <v>紫3星魔躯12级</v>
          </cell>
          <cell r="B12153">
            <v>1204012</v>
          </cell>
        </row>
        <row r="12154">
          <cell r="A12154" t="str">
            <v>紫3星魔躯13级</v>
          </cell>
          <cell r="B12154">
            <v>1204013</v>
          </cell>
        </row>
        <row r="12155">
          <cell r="A12155" t="str">
            <v>紫3星魔躯14级</v>
          </cell>
          <cell r="B12155">
            <v>1204014</v>
          </cell>
        </row>
        <row r="12156">
          <cell r="A12156" t="str">
            <v>紫3星魔躯15级</v>
          </cell>
          <cell r="B12156">
            <v>1204015</v>
          </cell>
        </row>
        <row r="12157">
          <cell r="A12157" t="str">
            <v>紫3星魔躯16级</v>
          </cell>
          <cell r="B12157">
            <v>1204016</v>
          </cell>
        </row>
        <row r="12158">
          <cell r="A12158" t="str">
            <v>紫3星魔躯17级</v>
          </cell>
          <cell r="B12158">
            <v>1204017</v>
          </cell>
        </row>
        <row r="12159">
          <cell r="A12159" t="str">
            <v>紫3星魔躯18级</v>
          </cell>
          <cell r="B12159">
            <v>1204018</v>
          </cell>
        </row>
        <row r="12160">
          <cell r="A12160" t="str">
            <v>紫3星魔躯19级</v>
          </cell>
          <cell r="B12160">
            <v>1204019</v>
          </cell>
        </row>
        <row r="12161">
          <cell r="A12161" t="str">
            <v>紫3星魔躯20级</v>
          </cell>
          <cell r="B12161">
            <v>1204020</v>
          </cell>
        </row>
        <row r="12162">
          <cell r="A12162" t="str">
            <v>紫3星魔躯21级</v>
          </cell>
          <cell r="B12162">
            <v>1204021</v>
          </cell>
        </row>
        <row r="12163">
          <cell r="A12163" t="str">
            <v>紫3星魔躯22级</v>
          </cell>
          <cell r="B12163">
            <v>1204022</v>
          </cell>
        </row>
        <row r="12164">
          <cell r="A12164" t="str">
            <v>紫3星魔躯23级</v>
          </cell>
          <cell r="B12164">
            <v>1204023</v>
          </cell>
        </row>
        <row r="12165">
          <cell r="A12165" t="str">
            <v>紫3星魔躯24级</v>
          </cell>
          <cell r="B12165">
            <v>1204024</v>
          </cell>
        </row>
        <row r="12166">
          <cell r="A12166" t="str">
            <v>紫3星魔躯25级</v>
          </cell>
          <cell r="B12166">
            <v>1204025</v>
          </cell>
        </row>
        <row r="12167">
          <cell r="A12167" t="str">
            <v>紫3星魔躯26级</v>
          </cell>
          <cell r="B12167">
            <v>1204026</v>
          </cell>
        </row>
        <row r="12168">
          <cell r="A12168" t="str">
            <v>紫3星魔躯27级</v>
          </cell>
          <cell r="B12168">
            <v>1204027</v>
          </cell>
        </row>
        <row r="12169">
          <cell r="A12169" t="str">
            <v>紫3星魔躯28级</v>
          </cell>
          <cell r="B12169">
            <v>1204028</v>
          </cell>
        </row>
        <row r="12170">
          <cell r="A12170" t="str">
            <v>紫3星魔躯29级</v>
          </cell>
          <cell r="B12170">
            <v>1204029</v>
          </cell>
        </row>
        <row r="12171">
          <cell r="A12171" t="str">
            <v>紫3星魔躯30级</v>
          </cell>
          <cell r="B12171">
            <v>1204030</v>
          </cell>
        </row>
        <row r="12172">
          <cell r="A12172" t="str">
            <v>紫3星魔躯31级</v>
          </cell>
          <cell r="B12172">
            <v>1204031</v>
          </cell>
        </row>
        <row r="12173">
          <cell r="A12173" t="str">
            <v>紫3星魔躯32级</v>
          </cell>
          <cell r="B12173">
            <v>1204032</v>
          </cell>
        </row>
        <row r="12174">
          <cell r="A12174" t="str">
            <v>紫3星魔躯33级</v>
          </cell>
          <cell r="B12174">
            <v>1204033</v>
          </cell>
        </row>
        <row r="12175">
          <cell r="A12175" t="str">
            <v>紫3星魔躯34级</v>
          </cell>
          <cell r="B12175">
            <v>1204034</v>
          </cell>
        </row>
        <row r="12176">
          <cell r="A12176" t="str">
            <v>紫3星魔躯35级</v>
          </cell>
          <cell r="B12176">
            <v>1204035</v>
          </cell>
        </row>
        <row r="12177">
          <cell r="A12177" t="str">
            <v>紫3星魔躯36级</v>
          </cell>
          <cell r="B12177">
            <v>1204036</v>
          </cell>
        </row>
        <row r="12178">
          <cell r="A12178" t="str">
            <v>紫3星魔躯37级</v>
          </cell>
          <cell r="B12178">
            <v>1204037</v>
          </cell>
        </row>
        <row r="12179">
          <cell r="A12179" t="str">
            <v>紫3星魔躯38级</v>
          </cell>
          <cell r="B12179">
            <v>1204038</v>
          </cell>
        </row>
        <row r="12180">
          <cell r="A12180" t="str">
            <v>紫3星魔躯39级</v>
          </cell>
          <cell r="B12180">
            <v>1204039</v>
          </cell>
        </row>
        <row r="12181">
          <cell r="A12181" t="str">
            <v>紫3星魔躯40级</v>
          </cell>
          <cell r="B12181">
            <v>1204040</v>
          </cell>
        </row>
        <row r="12182">
          <cell r="A12182" t="str">
            <v>紫3星魔躯41级</v>
          </cell>
          <cell r="B12182">
            <v>1204041</v>
          </cell>
        </row>
        <row r="12183">
          <cell r="A12183" t="str">
            <v>紫3星魔躯42级</v>
          </cell>
          <cell r="B12183">
            <v>1204042</v>
          </cell>
        </row>
        <row r="12184">
          <cell r="A12184" t="str">
            <v>紫3星魔躯43级</v>
          </cell>
          <cell r="B12184">
            <v>1204043</v>
          </cell>
        </row>
        <row r="12185">
          <cell r="A12185" t="str">
            <v>紫3星魔躯44级</v>
          </cell>
          <cell r="B12185">
            <v>1204044</v>
          </cell>
        </row>
        <row r="12186">
          <cell r="A12186" t="str">
            <v>紫3星魔躯45级</v>
          </cell>
          <cell r="B12186">
            <v>1204045</v>
          </cell>
        </row>
        <row r="12187">
          <cell r="A12187" t="str">
            <v>紫3星魔躯46级</v>
          </cell>
          <cell r="B12187">
            <v>1204046</v>
          </cell>
        </row>
        <row r="12188">
          <cell r="A12188" t="str">
            <v>紫3星魔躯47级</v>
          </cell>
          <cell r="B12188">
            <v>1204047</v>
          </cell>
        </row>
        <row r="12189">
          <cell r="A12189" t="str">
            <v>紫3星魔躯48级</v>
          </cell>
          <cell r="B12189">
            <v>1204048</v>
          </cell>
        </row>
        <row r="12190">
          <cell r="A12190" t="str">
            <v>紫3星魔躯49级</v>
          </cell>
          <cell r="B12190">
            <v>1204049</v>
          </cell>
        </row>
        <row r="12191">
          <cell r="A12191" t="str">
            <v>紫3星魔躯50级</v>
          </cell>
          <cell r="B12191">
            <v>1204050</v>
          </cell>
        </row>
        <row r="12192">
          <cell r="A12192" t="str">
            <v>紫3星魔躯51级</v>
          </cell>
          <cell r="B12192">
            <v>1204051</v>
          </cell>
        </row>
        <row r="12193">
          <cell r="A12193" t="str">
            <v>紫3星魔躯52级</v>
          </cell>
          <cell r="B12193">
            <v>1204052</v>
          </cell>
        </row>
        <row r="12194">
          <cell r="A12194" t="str">
            <v>紫3星魔躯53级</v>
          </cell>
          <cell r="B12194">
            <v>1204053</v>
          </cell>
        </row>
        <row r="12195">
          <cell r="A12195" t="str">
            <v>紫3星魔躯54级</v>
          </cell>
          <cell r="B12195">
            <v>1204054</v>
          </cell>
        </row>
        <row r="12196">
          <cell r="A12196" t="str">
            <v>紫3星魔躯55级</v>
          </cell>
          <cell r="B12196">
            <v>1204055</v>
          </cell>
        </row>
        <row r="12197">
          <cell r="A12197" t="str">
            <v>紫3星魔躯56级</v>
          </cell>
          <cell r="B12197">
            <v>1204056</v>
          </cell>
        </row>
        <row r="12198">
          <cell r="A12198" t="str">
            <v>紫3星魔躯57级</v>
          </cell>
          <cell r="B12198">
            <v>1204057</v>
          </cell>
        </row>
        <row r="12199">
          <cell r="A12199" t="str">
            <v>紫3星魔躯58级</v>
          </cell>
          <cell r="B12199">
            <v>1204058</v>
          </cell>
        </row>
        <row r="12200">
          <cell r="A12200" t="str">
            <v>紫3星魔躯59级</v>
          </cell>
          <cell r="B12200">
            <v>1204059</v>
          </cell>
        </row>
        <row r="12201">
          <cell r="A12201" t="str">
            <v>紫3星魔躯60级</v>
          </cell>
          <cell r="B12201">
            <v>1204060</v>
          </cell>
        </row>
        <row r="12202">
          <cell r="A12202" t="str">
            <v>紫3星魔躯61级</v>
          </cell>
          <cell r="B12202">
            <v>1204061</v>
          </cell>
        </row>
        <row r="12203">
          <cell r="A12203" t="str">
            <v>紫3星魔躯62级</v>
          </cell>
          <cell r="B12203">
            <v>1204062</v>
          </cell>
        </row>
        <row r="12204">
          <cell r="A12204" t="str">
            <v>紫3星魔躯63级</v>
          </cell>
          <cell r="B12204">
            <v>1204063</v>
          </cell>
        </row>
        <row r="12205">
          <cell r="A12205" t="str">
            <v>紫3星魔躯64级</v>
          </cell>
          <cell r="B12205">
            <v>1204064</v>
          </cell>
        </row>
        <row r="12206">
          <cell r="A12206" t="str">
            <v>紫3星魔躯65级</v>
          </cell>
          <cell r="B12206">
            <v>1204065</v>
          </cell>
        </row>
        <row r="12207">
          <cell r="A12207" t="str">
            <v>紫3星魔躯66级</v>
          </cell>
          <cell r="B12207">
            <v>1204066</v>
          </cell>
        </row>
        <row r="12208">
          <cell r="A12208" t="str">
            <v>紫3星魔躯67级</v>
          </cell>
          <cell r="B12208">
            <v>1204067</v>
          </cell>
        </row>
        <row r="12209">
          <cell r="A12209" t="str">
            <v>紫3星魔躯68级</v>
          </cell>
          <cell r="B12209">
            <v>1204068</v>
          </cell>
        </row>
        <row r="12210">
          <cell r="A12210" t="str">
            <v>紫3星魔躯69级</v>
          </cell>
          <cell r="B12210">
            <v>1204069</v>
          </cell>
        </row>
        <row r="12211">
          <cell r="A12211" t="str">
            <v>紫3星魔躯70级</v>
          </cell>
          <cell r="B12211">
            <v>1204070</v>
          </cell>
        </row>
        <row r="12212">
          <cell r="A12212" t="str">
            <v>紫3星魔躯71级</v>
          </cell>
          <cell r="B12212">
            <v>1204071</v>
          </cell>
        </row>
        <row r="12213">
          <cell r="A12213" t="str">
            <v>紫3星魔躯72级</v>
          </cell>
          <cell r="B12213">
            <v>1204072</v>
          </cell>
        </row>
        <row r="12214">
          <cell r="A12214" t="str">
            <v>紫3星魔躯73级</v>
          </cell>
          <cell r="B12214">
            <v>1204073</v>
          </cell>
        </row>
        <row r="12215">
          <cell r="A12215" t="str">
            <v>紫3星魔躯74级</v>
          </cell>
          <cell r="B12215">
            <v>1204074</v>
          </cell>
        </row>
        <row r="12216">
          <cell r="A12216" t="str">
            <v>紫3星魔躯75级</v>
          </cell>
          <cell r="B12216">
            <v>1204075</v>
          </cell>
        </row>
        <row r="12217">
          <cell r="A12217" t="str">
            <v>紫3星魔躯76级</v>
          </cell>
          <cell r="B12217">
            <v>1204076</v>
          </cell>
        </row>
        <row r="12218">
          <cell r="A12218" t="str">
            <v>紫3星魔躯77级</v>
          </cell>
          <cell r="B12218">
            <v>1204077</v>
          </cell>
        </row>
        <row r="12219">
          <cell r="A12219" t="str">
            <v>紫3星魔躯78级</v>
          </cell>
          <cell r="B12219">
            <v>1204078</v>
          </cell>
        </row>
        <row r="12220">
          <cell r="A12220" t="str">
            <v>紫3星魔躯79级</v>
          </cell>
          <cell r="B12220">
            <v>1204079</v>
          </cell>
        </row>
        <row r="12221">
          <cell r="A12221" t="str">
            <v>紫3星魔躯80级</v>
          </cell>
          <cell r="B12221">
            <v>1204080</v>
          </cell>
        </row>
        <row r="12222">
          <cell r="A12222" t="str">
            <v>紫3星魔躯81级</v>
          </cell>
          <cell r="B12222">
            <v>1204081</v>
          </cell>
        </row>
        <row r="12223">
          <cell r="A12223" t="str">
            <v>紫3星魔躯82级</v>
          </cell>
          <cell r="B12223">
            <v>1204082</v>
          </cell>
        </row>
        <row r="12224">
          <cell r="A12224" t="str">
            <v>紫3星魔躯83级</v>
          </cell>
          <cell r="B12224">
            <v>1204083</v>
          </cell>
        </row>
        <row r="12225">
          <cell r="A12225" t="str">
            <v>紫3星魔躯84级</v>
          </cell>
          <cell r="B12225">
            <v>1204084</v>
          </cell>
        </row>
        <row r="12226">
          <cell r="A12226" t="str">
            <v>紫3星魔躯85级</v>
          </cell>
          <cell r="B12226">
            <v>1204085</v>
          </cell>
        </row>
        <row r="12227">
          <cell r="A12227" t="str">
            <v>紫3星魔躯86级</v>
          </cell>
          <cell r="B12227">
            <v>1204086</v>
          </cell>
        </row>
        <row r="12228">
          <cell r="A12228" t="str">
            <v>紫3星魔躯87级</v>
          </cell>
          <cell r="B12228">
            <v>1204087</v>
          </cell>
        </row>
        <row r="12229">
          <cell r="A12229" t="str">
            <v>紫3星魔躯88级</v>
          </cell>
          <cell r="B12229">
            <v>1204088</v>
          </cell>
        </row>
        <row r="12230">
          <cell r="A12230" t="str">
            <v>紫3星魔躯89级</v>
          </cell>
          <cell r="B12230">
            <v>1204089</v>
          </cell>
        </row>
        <row r="12231">
          <cell r="A12231" t="str">
            <v>紫3星魔躯90级</v>
          </cell>
          <cell r="B12231">
            <v>1204090</v>
          </cell>
        </row>
        <row r="12232">
          <cell r="A12232" t="str">
            <v>紫3星魔躯91级</v>
          </cell>
          <cell r="B12232">
            <v>1204091</v>
          </cell>
        </row>
        <row r="12233">
          <cell r="A12233" t="str">
            <v>紫3星魔躯92级</v>
          </cell>
          <cell r="B12233">
            <v>1204092</v>
          </cell>
        </row>
        <row r="12234">
          <cell r="A12234" t="str">
            <v>紫3星魔躯93级</v>
          </cell>
          <cell r="B12234">
            <v>1204093</v>
          </cell>
        </row>
        <row r="12235">
          <cell r="A12235" t="str">
            <v>紫3星魔躯94级</v>
          </cell>
          <cell r="B12235">
            <v>1204094</v>
          </cell>
        </row>
        <row r="12236">
          <cell r="A12236" t="str">
            <v>紫3星魔躯95级</v>
          </cell>
          <cell r="B12236">
            <v>1204095</v>
          </cell>
        </row>
        <row r="12237">
          <cell r="A12237" t="str">
            <v>紫3星魔躯96级</v>
          </cell>
          <cell r="B12237">
            <v>1204096</v>
          </cell>
        </row>
        <row r="12238">
          <cell r="A12238" t="str">
            <v>紫3星魔躯97级</v>
          </cell>
          <cell r="B12238">
            <v>1204097</v>
          </cell>
        </row>
        <row r="12239">
          <cell r="A12239" t="str">
            <v>紫3星魔躯98级</v>
          </cell>
          <cell r="B12239">
            <v>1204098</v>
          </cell>
        </row>
        <row r="12240">
          <cell r="A12240" t="str">
            <v>紫3星魔躯99级</v>
          </cell>
          <cell r="B12240">
            <v>1204099</v>
          </cell>
        </row>
        <row r="12241">
          <cell r="A12241" t="str">
            <v>紫3星魔躯100级</v>
          </cell>
          <cell r="B12241">
            <v>1204100</v>
          </cell>
        </row>
        <row r="12242">
          <cell r="A12242" t="str">
            <v>橙1星魔躯1级</v>
          </cell>
          <cell r="B12242">
            <v>1205001</v>
          </cell>
        </row>
        <row r="12243">
          <cell r="A12243" t="str">
            <v>橙1星魔躯2级</v>
          </cell>
          <cell r="B12243">
            <v>1205002</v>
          </cell>
        </row>
        <row r="12244">
          <cell r="A12244" t="str">
            <v>橙1星魔躯3级</v>
          </cell>
          <cell r="B12244">
            <v>1205003</v>
          </cell>
        </row>
        <row r="12245">
          <cell r="A12245" t="str">
            <v>橙1星魔躯4级</v>
          </cell>
          <cell r="B12245">
            <v>1205004</v>
          </cell>
        </row>
        <row r="12246">
          <cell r="A12246" t="str">
            <v>橙1星魔躯5级</v>
          </cell>
          <cell r="B12246">
            <v>1205005</v>
          </cell>
        </row>
        <row r="12247">
          <cell r="A12247" t="str">
            <v>橙1星魔躯6级</v>
          </cell>
          <cell r="B12247">
            <v>1205006</v>
          </cell>
        </row>
        <row r="12248">
          <cell r="A12248" t="str">
            <v>橙1星魔躯7级</v>
          </cell>
          <cell r="B12248">
            <v>1205007</v>
          </cell>
        </row>
        <row r="12249">
          <cell r="A12249" t="str">
            <v>橙1星魔躯8级</v>
          </cell>
          <cell r="B12249">
            <v>1205008</v>
          </cell>
        </row>
        <row r="12250">
          <cell r="A12250" t="str">
            <v>橙1星魔躯9级</v>
          </cell>
          <cell r="B12250">
            <v>1205009</v>
          </cell>
        </row>
        <row r="12251">
          <cell r="A12251" t="str">
            <v>橙1星魔躯10级</v>
          </cell>
          <cell r="B12251">
            <v>1205010</v>
          </cell>
        </row>
        <row r="12252">
          <cell r="A12252" t="str">
            <v>橙1星魔躯11级</v>
          </cell>
          <cell r="B12252">
            <v>1205011</v>
          </cell>
        </row>
        <row r="12253">
          <cell r="A12253" t="str">
            <v>橙1星魔躯12级</v>
          </cell>
          <cell r="B12253">
            <v>1205012</v>
          </cell>
        </row>
        <row r="12254">
          <cell r="A12254" t="str">
            <v>橙1星魔躯13级</v>
          </cell>
          <cell r="B12254">
            <v>1205013</v>
          </cell>
        </row>
        <row r="12255">
          <cell r="A12255" t="str">
            <v>橙1星魔躯14级</v>
          </cell>
          <cell r="B12255">
            <v>1205014</v>
          </cell>
        </row>
        <row r="12256">
          <cell r="A12256" t="str">
            <v>橙1星魔躯15级</v>
          </cell>
          <cell r="B12256">
            <v>1205015</v>
          </cell>
        </row>
        <row r="12257">
          <cell r="A12257" t="str">
            <v>橙1星魔躯16级</v>
          </cell>
          <cell r="B12257">
            <v>1205016</v>
          </cell>
        </row>
        <row r="12258">
          <cell r="A12258" t="str">
            <v>橙1星魔躯17级</v>
          </cell>
          <cell r="B12258">
            <v>1205017</v>
          </cell>
        </row>
        <row r="12259">
          <cell r="A12259" t="str">
            <v>橙1星魔躯18级</v>
          </cell>
          <cell r="B12259">
            <v>1205018</v>
          </cell>
        </row>
        <row r="12260">
          <cell r="A12260" t="str">
            <v>橙1星魔躯19级</v>
          </cell>
          <cell r="B12260">
            <v>1205019</v>
          </cell>
        </row>
        <row r="12261">
          <cell r="A12261" t="str">
            <v>橙1星魔躯20级</v>
          </cell>
          <cell r="B12261">
            <v>1205020</v>
          </cell>
        </row>
        <row r="12262">
          <cell r="A12262" t="str">
            <v>橙1星魔躯21级</v>
          </cell>
          <cell r="B12262">
            <v>1205021</v>
          </cell>
        </row>
        <row r="12263">
          <cell r="A12263" t="str">
            <v>橙1星魔躯22级</v>
          </cell>
          <cell r="B12263">
            <v>1205022</v>
          </cell>
        </row>
        <row r="12264">
          <cell r="A12264" t="str">
            <v>橙1星魔躯23级</v>
          </cell>
          <cell r="B12264">
            <v>1205023</v>
          </cell>
        </row>
        <row r="12265">
          <cell r="A12265" t="str">
            <v>橙1星魔躯24级</v>
          </cell>
          <cell r="B12265">
            <v>1205024</v>
          </cell>
        </row>
        <row r="12266">
          <cell r="A12266" t="str">
            <v>橙1星魔躯25级</v>
          </cell>
          <cell r="B12266">
            <v>1205025</v>
          </cell>
        </row>
        <row r="12267">
          <cell r="A12267" t="str">
            <v>橙1星魔躯26级</v>
          </cell>
          <cell r="B12267">
            <v>1205026</v>
          </cell>
        </row>
        <row r="12268">
          <cell r="A12268" t="str">
            <v>橙1星魔躯27级</v>
          </cell>
          <cell r="B12268">
            <v>1205027</v>
          </cell>
        </row>
        <row r="12269">
          <cell r="A12269" t="str">
            <v>橙1星魔躯28级</v>
          </cell>
          <cell r="B12269">
            <v>1205028</v>
          </cell>
        </row>
        <row r="12270">
          <cell r="A12270" t="str">
            <v>橙1星魔躯29级</v>
          </cell>
          <cell r="B12270">
            <v>1205029</v>
          </cell>
        </row>
        <row r="12271">
          <cell r="A12271" t="str">
            <v>橙1星魔躯30级</v>
          </cell>
          <cell r="B12271">
            <v>1205030</v>
          </cell>
        </row>
        <row r="12272">
          <cell r="A12272" t="str">
            <v>橙1星魔躯31级</v>
          </cell>
          <cell r="B12272">
            <v>1205031</v>
          </cell>
        </row>
        <row r="12273">
          <cell r="A12273" t="str">
            <v>橙1星魔躯32级</v>
          </cell>
          <cell r="B12273">
            <v>1205032</v>
          </cell>
        </row>
        <row r="12274">
          <cell r="A12274" t="str">
            <v>橙1星魔躯33级</v>
          </cell>
          <cell r="B12274">
            <v>1205033</v>
          </cell>
        </row>
        <row r="12275">
          <cell r="A12275" t="str">
            <v>橙1星魔躯34级</v>
          </cell>
          <cell r="B12275">
            <v>1205034</v>
          </cell>
        </row>
        <row r="12276">
          <cell r="A12276" t="str">
            <v>橙1星魔躯35级</v>
          </cell>
          <cell r="B12276">
            <v>1205035</v>
          </cell>
        </row>
        <row r="12277">
          <cell r="A12277" t="str">
            <v>橙1星魔躯36级</v>
          </cell>
          <cell r="B12277">
            <v>1205036</v>
          </cell>
        </row>
        <row r="12278">
          <cell r="A12278" t="str">
            <v>橙1星魔躯37级</v>
          </cell>
          <cell r="B12278">
            <v>1205037</v>
          </cell>
        </row>
        <row r="12279">
          <cell r="A12279" t="str">
            <v>橙1星魔躯38级</v>
          </cell>
          <cell r="B12279">
            <v>1205038</v>
          </cell>
        </row>
        <row r="12280">
          <cell r="A12280" t="str">
            <v>橙1星魔躯39级</v>
          </cell>
          <cell r="B12280">
            <v>1205039</v>
          </cell>
        </row>
        <row r="12281">
          <cell r="A12281" t="str">
            <v>橙1星魔躯40级</v>
          </cell>
          <cell r="B12281">
            <v>1205040</v>
          </cell>
        </row>
        <row r="12282">
          <cell r="A12282" t="str">
            <v>橙1星魔躯41级</v>
          </cell>
          <cell r="B12282">
            <v>1205041</v>
          </cell>
        </row>
        <row r="12283">
          <cell r="A12283" t="str">
            <v>橙1星魔躯42级</v>
          </cell>
          <cell r="B12283">
            <v>1205042</v>
          </cell>
        </row>
        <row r="12284">
          <cell r="A12284" t="str">
            <v>橙1星魔躯43级</v>
          </cell>
          <cell r="B12284">
            <v>1205043</v>
          </cell>
        </row>
        <row r="12285">
          <cell r="A12285" t="str">
            <v>橙1星魔躯44级</v>
          </cell>
          <cell r="B12285">
            <v>1205044</v>
          </cell>
        </row>
        <row r="12286">
          <cell r="A12286" t="str">
            <v>橙1星魔躯45级</v>
          </cell>
          <cell r="B12286">
            <v>1205045</v>
          </cell>
        </row>
        <row r="12287">
          <cell r="A12287" t="str">
            <v>橙1星魔躯46级</v>
          </cell>
          <cell r="B12287">
            <v>1205046</v>
          </cell>
        </row>
        <row r="12288">
          <cell r="A12288" t="str">
            <v>橙1星魔躯47级</v>
          </cell>
          <cell r="B12288">
            <v>1205047</v>
          </cell>
        </row>
        <row r="12289">
          <cell r="A12289" t="str">
            <v>橙1星魔躯48级</v>
          </cell>
          <cell r="B12289">
            <v>1205048</v>
          </cell>
        </row>
        <row r="12290">
          <cell r="A12290" t="str">
            <v>橙1星魔躯49级</v>
          </cell>
          <cell r="B12290">
            <v>1205049</v>
          </cell>
        </row>
        <row r="12291">
          <cell r="A12291" t="str">
            <v>橙1星魔躯50级</v>
          </cell>
          <cell r="B12291">
            <v>1205050</v>
          </cell>
        </row>
        <row r="12292">
          <cell r="A12292" t="str">
            <v>橙1星魔躯51级</v>
          </cell>
          <cell r="B12292">
            <v>1205051</v>
          </cell>
        </row>
        <row r="12293">
          <cell r="A12293" t="str">
            <v>橙1星魔躯52级</v>
          </cell>
          <cell r="B12293">
            <v>1205052</v>
          </cell>
        </row>
        <row r="12294">
          <cell r="A12294" t="str">
            <v>橙1星魔躯53级</v>
          </cell>
          <cell r="B12294">
            <v>1205053</v>
          </cell>
        </row>
        <row r="12295">
          <cell r="A12295" t="str">
            <v>橙1星魔躯54级</v>
          </cell>
          <cell r="B12295">
            <v>1205054</v>
          </cell>
        </row>
        <row r="12296">
          <cell r="A12296" t="str">
            <v>橙1星魔躯55级</v>
          </cell>
          <cell r="B12296">
            <v>1205055</v>
          </cell>
        </row>
        <row r="12297">
          <cell r="A12297" t="str">
            <v>橙1星魔躯56级</v>
          </cell>
          <cell r="B12297">
            <v>1205056</v>
          </cell>
        </row>
        <row r="12298">
          <cell r="A12298" t="str">
            <v>橙1星魔躯57级</v>
          </cell>
          <cell r="B12298">
            <v>1205057</v>
          </cell>
        </row>
        <row r="12299">
          <cell r="A12299" t="str">
            <v>橙1星魔躯58级</v>
          </cell>
          <cell r="B12299">
            <v>1205058</v>
          </cell>
        </row>
        <row r="12300">
          <cell r="A12300" t="str">
            <v>橙1星魔躯59级</v>
          </cell>
          <cell r="B12300">
            <v>1205059</v>
          </cell>
        </row>
        <row r="12301">
          <cell r="A12301" t="str">
            <v>橙1星魔躯60级</v>
          </cell>
          <cell r="B12301">
            <v>1205060</v>
          </cell>
        </row>
        <row r="12302">
          <cell r="A12302" t="str">
            <v>橙1星魔躯61级</v>
          </cell>
          <cell r="B12302">
            <v>1205061</v>
          </cell>
        </row>
        <row r="12303">
          <cell r="A12303" t="str">
            <v>橙1星魔躯62级</v>
          </cell>
          <cell r="B12303">
            <v>1205062</v>
          </cell>
        </row>
        <row r="12304">
          <cell r="A12304" t="str">
            <v>橙1星魔躯63级</v>
          </cell>
          <cell r="B12304">
            <v>1205063</v>
          </cell>
        </row>
        <row r="12305">
          <cell r="A12305" t="str">
            <v>橙1星魔躯64级</v>
          </cell>
          <cell r="B12305">
            <v>1205064</v>
          </cell>
        </row>
        <row r="12306">
          <cell r="A12306" t="str">
            <v>橙1星魔躯65级</v>
          </cell>
          <cell r="B12306">
            <v>1205065</v>
          </cell>
        </row>
        <row r="12307">
          <cell r="A12307" t="str">
            <v>橙1星魔躯66级</v>
          </cell>
          <cell r="B12307">
            <v>1205066</v>
          </cell>
        </row>
        <row r="12308">
          <cell r="A12308" t="str">
            <v>橙1星魔躯67级</v>
          </cell>
          <cell r="B12308">
            <v>1205067</v>
          </cell>
        </row>
        <row r="12309">
          <cell r="A12309" t="str">
            <v>橙1星魔躯68级</v>
          </cell>
          <cell r="B12309">
            <v>1205068</v>
          </cell>
        </row>
        <row r="12310">
          <cell r="A12310" t="str">
            <v>橙1星魔躯69级</v>
          </cell>
          <cell r="B12310">
            <v>1205069</v>
          </cell>
        </row>
        <row r="12311">
          <cell r="A12311" t="str">
            <v>橙1星魔躯70级</v>
          </cell>
          <cell r="B12311">
            <v>1205070</v>
          </cell>
        </row>
        <row r="12312">
          <cell r="A12312" t="str">
            <v>橙1星魔躯71级</v>
          </cell>
          <cell r="B12312">
            <v>1205071</v>
          </cell>
        </row>
        <row r="12313">
          <cell r="A12313" t="str">
            <v>橙1星魔躯72级</v>
          </cell>
          <cell r="B12313">
            <v>1205072</v>
          </cell>
        </row>
        <row r="12314">
          <cell r="A12314" t="str">
            <v>橙1星魔躯73级</v>
          </cell>
          <cell r="B12314">
            <v>1205073</v>
          </cell>
        </row>
        <row r="12315">
          <cell r="A12315" t="str">
            <v>橙1星魔躯74级</v>
          </cell>
          <cell r="B12315">
            <v>1205074</v>
          </cell>
        </row>
        <row r="12316">
          <cell r="A12316" t="str">
            <v>橙1星魔躯75级</v>
          </cell>
          <cell r="B12316">
            <v>1205075</v>
          </cell>
        </row>
        <row r="12317">
          <cell r="A12317" t="str">
            <v>橙1星魔躯76级</v>
          </cell>
          <cell r="B12317">
            <v>1205076</v>
          </cell>
        </row>
        <row r="12318">
          <cell r="A12318" t="str">
            <v>橙1星魔躯77级</v>
          </cell>
          <cell r="B12318">
            <v>1205077</v>
          </cell>
        </row>
        <row r="12319">
          <cell r="A12319" t="str">
            <v>橙1星魔躯78级</v>
          </cell>
          <cell r="B12319">
            <v>1205078</v>
          </cell>
        </row>
        <row r="12320">
          <cell r="A12320" t="str">
            <v>橙1星魔躯79级</v>
          </cell>
          <cell r="B12320">
            <v>1205079</v>
          </cell>
        </row>
        <row r="12321">
          <cell r="A12321" t="str">
            <v>橙1星魔躯80级</v>
          </cell>
          <cell r="B12321">
            <v>1205080</v>
          </cell>
        </row>
        <row r="12322">
          <cell r="A12322" t="str">
            <v>橙1星魔躯81级</v>
          </cell>
          <cell r="B12322">
            <v>1205081</v>
          </cell>
        </row>
        <row r="12323">
          <cell r="A12323" t="str">
            <v>橙1星魔躯82级</v>
          </cell>
          <cell r="B12323">
            <v>1205082</v>
          </cell>
        </row>
        <row r="12324">
          <cell r="A12324" t="str">
            <v>橙1星魔躯83级</v>
          </cell>
          <cell r="B12324">
            <v>1205083</v>
          </cell>
        </row>
        <row r="12325">
          <cell r="A12325" t="str">
            <v>橙1星魔躯84级</v>
          </cell>
          <cell r="B12325">
            <v>1205084</v>
          </cell>
        </row>
        <row r="12326">
          <cell r="A12326" t="str">
            <v>橙1星魔躯85级</v>
          </cell>
          <cell r="B12326">
            <v>1205085</v>
          </cell>
        </row>
        <row r="12327">
          <cell r="A12327" t="str">
            <v>橙1星魔躯86级</v>
          </cell>
          <cell r="B12327">
            <v>1205086</v>
          </cell>
        </row>
        <row r="12328">
          <cell r="A12328" t="str">
            <v>橙1星魔躯87级</v>
          </cell>
          <cell r="B12328">
            <v>1205087</v>
          </cell>
        </row>
        <row r="12329">
          <cell r="A12329" t="str">
            <v>橙1星魔躯88级</v>
          </cell>
          <cell r="B12329">
            <v>1205088</v>
          </cell>
        </row>
        <row r="12330">
          <cell r="A12330" t="str">
            <v>橙1星魔躯89级</v>
          </cell>
          <cell r="B12330">
            <v>1205089</v>
          </cell>
        </row>
        <row r="12331">
          <cell r="A12331" t="str">
            <v>橙1星魔躯90级</v>
          </cell>
          <cell r="B12331">
            <v>1205090</v>
          </cell>
        </row>
        <row r="12332">
          <cell r="A12332" t="str">
            <v>橙1星魔躯91级</v>
          </cell>
          <cell r="B12332">
            <v>1205091</v>
          </cell>
        </row>
        <row r="12333">
          <cell r="A12333" t="str">
            <v>橙1星魔躯92级</v>
          </cell>
          <cell r="B12333">
            <v>1205092</v>
          </cell>
        </row>
        <row r="12334">
          <cell r="A12334" t="str">
            <v>橙1星魔躯93级</v>
          </cell>
          <cell r="B12334">
            <v>1205093</v>
          </cell>
        </row>
        <row r="12335">
          <cell r="A12335" t="str">
            <v>橙1星魔躯94级</v>
          </cell>
          <cell r="B12335">
            <v>1205094</v>
          </cell>
        </row>
        <row r="12336">
          <cell r="A12336" t="str">
            <v>橙1星魔躯95级</v>
          </cell>
          <cell r="B12336">
            <v>1205095</v>
          </cell>
        </row>
        <row r="12337">
          <cell r="A12337" t="str">
            <v>橙1星魔躯96级</v>
          </cell>
          <cell r="B12337">
            <v>1205096</v>
          </cell>
        </row>
        <row r="12338">
          <cell r="A12338" t="str">
            <v>橙1星魔躯97级</v>
          </cell>
          <cell r="B12338">
            <v>1205097</v>
          </cell>
        </row>
        <row r="12339">
          <cell r="A12339" t="str">
            <v>橙1星魔躯98级</v>
          </cell>
          <cell r="B12339">
            <v>1205098</v>
          </cell>
        </row>
        <row r="12340">
          <cell r="A12340" t="str">
            <v>橙1星魔躯99级</v>
          </cell>
          <cell r="B12340">
            <v>1205099</v>
          </cell>
        </row>
        <row r="12341">
          <cell r="A12341" t="str">
            <v>橙1星魔躯100级</v>
          </cell>
          <cell r="B12341">
            <v>1205100</v>
          </cell>
        </row>
        <row r="12342">
          <cell r="A12342" t="str">
            <v>橙2星魔躯1级</v>
          </cell>
          <cell r="B12342">
            <v>1206001</v>
          </cell>
        </row>
        <row r="12343">
          <cell r="A12343" t="str">
            <v>橙2星魔躯2级</v>
          </cell>
          <cell r="B12343">
            <v>1206002</v>
          </cell>
        </row>
        <row r="12344">
          <cell r="A12344" t="str">
            <v>橙2星魔躯3级</v>
          </cell>
          <cell r="B12344">
            <v>1206003</v>
          </cell>
        </row>
        <row r="12345">
          <cell r="A12345" t="str">
            <v>橙2星魔躯4级</v>
          </cell>
          <cell r="B12345">
            <v>1206004</v>
          </cell>
        </row>
        <row r="12346">
          <cell r="A12346" t="str">
            <v>橙2星魔躯5级</v>
          </cell>
          <cell r="B12346">
            <v>1206005</v>
          </cell>
        </row>
        <row r="12347">
          <cell r="A12347" t="str">
            <v>橙2星魔躯6级</v>
          </cell>
          <cell r="B12347">
            <v>1206006</v>
          </cell>
        </row>
        <row r="12348">
          <cell r="A12348" t="str">
            <v>橙2星魔躯7级</v>
          </cell>
          <cell r="B12348">
            <v>1206007</v>
          </cell>
        </row>
        <row r="12349">
          <cell r="A12349" t="str">
            <v>橙2星魔躯8级</v>
          </cell>
          <cell r="B12349">
            <v>1206008</v>
          </cell>
        </row>
        <row r="12350">
          <cell r="A12350" t="str">
            <v>橙2星魔躯9级</v>
          </cell>
          <cell r="B12350">
            <v>1206009</v>
          </cell>
        </row>
        <row r="12351">
          <cell r="A12351" t="str">
            <v>橙2星魔躯10级</v>
          </cell>
          <cell r="B12351">
            <v>1206010</v>
          </cell>
        </row>
        <row r="12352">
          <cell r="A12352" t="str">
            <v>橙2星魔躯11级</v>
          </cell>
          <cell r="B12352">
            <v>1206011</v>
          </cell>
        </row>
        <row r="12353">
          <cell r="A12353" t="str">
            <v>橙2星魔躯12级</v>
          </cell>
          <cell r="B12353">
            <v>1206012</v>
          </cell>
        </row>
        <row r="12354">
          <cell r="A12354" t="str">
            <v>橙2星魔躯13级</v>
          </cell>
          <cell r="B12354">
            <v>1206013</v>
          </cell>
        </row>
        <row r="12355">
          <cell r="A12355" t="str">
            <v>橙2星魔躯14级</v>
          </cell>
          <cell r="B12355">
            <v>1206014</v>
          </cell>
        </row>
        <row r="12356">
          <cell r="A12356" t="str">
            <v>橙2星魔躯15级</v>
          </cell>
          <cell r="B12356">
            <v>1206015</v>
          </cell>
        </row>
        <row r="12357">
          <cell r="A12357" t="str">
            <v>橙2星魔躯16级</v>
          </cell>
          <cell r="B12357">
            <v>1206016</v>
          </cell>
        </row>
        <row r="12358">
          <cell r="A12358" t="str">
            <v>橙2星魔躯17级</v>
          </cell>
          <cell r="B12358">
            <v>1206017</v>
          </cell>
        </row>
        <row r="12359">
          <cell r="A12359" t="str">
            <v>橙2星魔躯18级</v>
          </cell>
          <cell r="B12359">
            <v>1206018</v>
          </cell>
        </row>
        <row r="12360">
          <cell r="A12360" t="str">
            <v>橙2星魔躯19级</v>
          </cell>
          <cell r="B12360">
            <v>1206019</v>
          </cell>
        </row>
        <row r="12361">
          <cell r="A12361" t="str">
            <v>橙2星魔躯20级</v>
          </cell>
          <cell r="B12361">
            <v>1206020</v>
          </cell>
        </row>
        <row r="12362">
          <cell r="A12362" t="str">
            <v>橙2星魔躯21级</v>
          </cell>
          <cell r="B12362">
            <v>1206021</v>
          </cell>
        </row>
        <row r="12363">
          <cell r="A12363" t="str">
            <v>橙2星魔躯22级</v>
          </cell>
          <cell r="B12363">
            <v>1206022</v>
          </cell>
        </row>
        <row r="12364">
          <cell r="A12364" t="str">
            <v>橙2星魔躯23级</v>
          </cell>
          <cell r="B12364">
            <v>1206023</v>
          </cell>
        </row>
        <row r="12365">
          <cell r="A12365" t="str">
            <v>橙2星魔躯24级</v>
          </cell>
          <cell r="B12365">
            <v>1206024</v>
          </cell>
        </row>
        <row r="12366">
          <cell r="A12366" t="str">
            <v>橙2星魔躯25级</v>
          </cell>
          <cell r="B12366">
            <v>1206025</v>
          </cell>
        </row>
        <row r="12367">
          <cell r="A12367" t="str">
            <v>橙2星魔躯26级</v>
          </cell>
          <cell r="B12367">
            <v>1206026</v>
          </cell>
        </row>
        <row r="12368">
          <cell r="A12368" t="str">
            <v>橙2星魔躯27级</v>
          </cell>
          <cell r="B12368">
            <v>1206027</v>
          </cell>
        </row>
        <row r="12369">
          <cell r="A12369" t="str">
            <v>橙2星魔躯28级</v>
          </cell>
          <cell r="B12369">
            <v>1206028</v>
          </cell>
        </row>
        <row r="12370">
          <cell r="A12370" t="str">
            <v>橙2星魔躯29级</v>
          </cell>
          <cell r="B12370">
            <v>1206029</v>
          </cell>
        </row>
        <row r="12371">
          <cell r="A12371" t="str">
            <v>橙2星魔躯30级</v>
          </cell>
          <cell r="B12371">
            <v>1206030</v>
          </cell>
        </row>
        <row r="12372">
          <cell r="A12372" t="str">
            <v>橙2星魔躯31级</v>
          </cell>
          <cell r="B12372">
            <v>1206031</v>
          </cell>
        </row>
        <row r="12373">
          <cell r="A12373" t="str">
            <v>橙2星魔躯32级</v>
          </cell>
          <cell r="B12373">
            <v>1206032</v>
          </cell>
        </row>
        <row r="12374">
          <cell r="A12374" t="str">
            <v>橙2星魔躯33级</v>
          </cell>
          <cell r="B12374">
            <v>1206033</v>
          </cell>
        </row>
        <row r="12375">
          <cell r="A12375" t="str">
            <v>橙2星魔躯34级</v>
          </cell>
          <cell r="B12375">
            <v>1206034</v>
          </cell>
        </row>
        <row r="12376">
          <cell r="A12376" t="str">
            <v>橙2星魔躯35级</v>
          </cell>
          <cell r="B12376">
            <v>1206035</v>
          </cell>
        </row>
        <row r="12377">
          <cell r="A12377" t="str">
            <v>橙2星魔躯36级</v>
          </cell>
          <cell r="B12377">
            <v>1206036</v>
          </cell>
        </row>
        <row r="12378">
          <cell r="A12378" t="str">
            <v>橙2星魔躯37级</v>
          </cell>
          <cell r="B12378">
            <v>1206037</v>
          </cell>
        </row>
        <row r="12379">
          <cell r="A12379" t="str">
            <v>橙2星魔躯38级</v>
          </cell>
          <cell r="B12379">
            <v>1206038</v>
          </cell>
        </row>
        <row r="12380">
          <cell r="A12380" t="str">
            <v>橙2星魔躯39级</v>
          </cell>
          <cell r="B12380">
            <v>1206039</v>
          </cell>
        </row>
        <row r="12381">
          <cell r="A12381" t="str">
            <v>橙2星魔躯40级</v>
          </cell>
          <cell r="B12381">
            <v>1206040</v>
          </cell>
        </row>
        <row r="12382">
          <cell r="A12382" t="str">
            <v>橙2星魔躯41级</v>
          </cell>
          <cell r="B12382">
            <v>1206041</v>
          </cell>
        </row>
        <row r="12383">
          <cell r="A12383" t="str">
            <v>橙2星魔躯42级</v>
          </cell>
          <cell r="B12383">
            <v>1206042</v>
          </cell>
        </row>
        <row r="12384">
          <cell r="A12384" t="str">
            <v>橙2星魔躯43级</v>
          </cell>
          <cell r="B12384">
            <v>1206043</v>
          </cell>
        </row>
        <row r="12385">
          <cell r="A12385" t="str">
            <v>橙2星魔躯44级</v>
          </cell>
          <cell r="B12385">
            <v>1206044</v>
          </cell>
        </row>
        <row r="12386">
          <cell r="A12386" t="str">
            <v>橙2星魔躯45级</v>
          </cell>
          <cell r="B12386">
            <v>1206045</v>
          </cell>
        </row>
        <row r="12387">
          <cell r="A12387" t="str">
            <v>橙2星魔躯46级</v>
          </cell>
          <cell r="B12387">
            <v>1206046</v>
          </cell>
        </row>
        <row r="12388">
          <cell r="A12388" t="str">
            <v>橙2星魔躯47级</v>
          </cell>
          <cell r="B12388">
            <v>1206047</v>
          </cell>
        </row>
        <row r="12389">
          <cell r="A12389" t="str">
            <v>橙2星魔躯48级</v>
          </cell>
          <cell r="B12389">
            <v>1206048</v>
          </cell>
        </row>
        <row r="12390">
          <cell r="A12390" t="str">
            <v>橙2星魔躯49级</v>
          </cell>
          <cell r="B12390">
            <v>1206049</v>
          </cell>
        </row>
        <row r="12391">
          <cell r="A12391" t="str">
            <v>橙2星魔躯50级</v>
          </cell>
          <cell r="B12391">
            <v>1206050</v>
          </cell>
        </row>
        <row r="12392">
          <cell r="A12392" t="str">
            <v>橙2星魔躯51级</v>
          </cell>
          <cell r="B12392">
            <v>1206051</v>
          </cell>
        </row>
        <row r="12393">
          <cell r="A12393" t="str">
            <v>橙2星魔躯52级</v>
          </cell>
          <cell r="B12393">
            <v>1206052</v>
          </cell>
        </row>
        <row r="12394">
          <cell r="A12394" t="str">
            <v>橙2星魔躯53级</v>
          </cell>
          <cell r="B12394">
            <v>1206053</v>
          </cell>
        </row>
        <row r="12395">
          <cell r="A12395" t="str">
            <v>橙2星魔躯54级</v>
          </cell>
          <cell r="B12395">
            <v>1206054</v>
          </cell>
        </row>
        <row r="12396">
          <cell r="A12396" t="str">
            <v>橙2星魔躯55级</v>
          </cell>
          <cell r="B12396">
            <v>1206055</v>
          </cell>
        </row>
        <row r="12397">
          <cell r="A12397" t="str">
            <v>橙2星魔躯56级</v>
          </cell>
          <cell r="B12397">
            <v>1206056</v>
          </cell>
        </row>
        <row r="12398">
          <cell r="A12398" t="str">
            <v>橙2星魔躯57级</v>
          </cell>
          <cell r="B12398">
            <v>1206057</v>
          </cell>
        </row>
        <row r="12399">
          <cell r="A12399" t="str">
            <v>橙2星魔躯58级</v>
          </cell>
          <cell r="B12399">
            <v>1206058</v>
          </cell>
        </row>
        <row r="12400">
          <cell r="A12400" t="str">
            <v>橙2星魔躯59级</v>
          </cell>
          <cell r="B12400">
            <v>1206059</v>
          </cell>
        </row>
        <row r="12401">
          <cell r="A12401" t="str">
            <v>橙2星魔躯60级</v>
          </cell>
          <cell r="B12401">
            <v>1206060</v>
          </cell>
        </row>
        <row r="12402">
          <cell r="A12402" t="str">
            <v>橙2星魔躯61级</v>
          </cell>
          <cell r="B12402">
            <v>1206061</v>
          </cell>
        </row>
        <row r="12403">
          <cell r="A12403" t="str">
            <v>橙2星魔躯62级</v>
          </cell>
          <cell r="B12403">
            <v>1206062</v>
          </cell>
        </row>
        <row r="12404">
          <cell r="A12404" t="str">
            <v>橙2星魔躯63级</v>
          </cell>
          <cell r="B12404">
            <v>1206063</v>
          </cell>
        </row>
        <row r="12405">
          <cell r="A12405" t="str">
            <v>橙2星魔躯64级</v>
          </cell>
          <cell r="B12405">
            <v>1206064</v>
          </cell>
        </row>
        <row r="12406">
          <cell r="A12406" t="str">
            <v>橙2星魔躯65级</v>
          </cell>
          <cell r="B12406">
            <v>1206065</v>
          </cell>
        </row>
        <row r="12407">
          <cell r="A12407" t="str">
            <v>橙2星魔躯66级</v>
          </cell>
          <cell r="B12407">
            <v>1206066</v>
          </cell>
        </row>
        <row r="12408">
          <cell r="A12408" t="str">
            <v>橙2星魔躯67级</v>
          </cell>
          <cell r="B12408">
            <v>1206067</v>
          </cell>
        </row>
        <row r="12409">
          <cell r="A12409" t="str">
            <v>橙2星魔躯68级</v>
          </cell>
          <cell r="B12409">
            <v>1206068</v>
          </cell>
        </row>
        <row r="12410">
          <cell r="A12410" t="str">
            <v>橙2星魔躯69级</v>
          </cell>
          <cell r="B12410">
            <v>1206069</v>
          </cell>
        </row>
        <row r="12411">
          <cell r="A12411" t="str">
            <v>橙2星魔躯70级</v>
          </cell>
          <cell r="B12411">
            <v>1206070</v>
          </cell>
        </row>
        <row r="12412">
          <cell r="A12412" t="str">
            <v>橙2星魔躯71级</v>
          </cell>
          <cell r="B12412">
            <v>1206071</v>
          </cell>
        </row>
        <row r="12413">
          <cell r="A12413" t="str">
            <v>橙2星魔躯72级</v>
          </cell>
          <cell r="B12413">
            <v>1206072</v>
          </cell>
        </row>
        <row r="12414">
          <cell r="A12414" t="str">
            <v>橙2星魔躯73级</v>
          </cell>
          <cell r="B12414">
            <v>1206073</v>
          </cell>
        </row>
        <row r="12415">
          <cell r="A12415" t="str">
            <v>橙2星魔躯74级</v>
          </cell>
          <cell r="B12415">
            <v>1206074</v>
          </cell>
        </row>
        <row r="12416">
          <cell r="A12416" t="str">
            <v>橙2星魔躯75级</v>
          </cell>
          <cell r="B12416">
            <v>1206075</v>
          </cell>
        </row>
        <row r="12417">
          <cell r="A12417" t="str">
            <v>橙2星魔躯76级</v>
          </cell>
          <cell r="B12417">
            <v>1206076</v>
          </cell>
        </row>
        <row r="12418">
          <cell r="A12418" t="str">
            <v>橙2星魔躯77级</v>
          </cell>
          <cell r="B12418">
            <v>1206077</v>
          </cell>
        </row>
        <row r="12419">
          <cell r="A12419" t="str">
            <v>橙2星魔躯78级</v>
          </cell>
          <cell r="B12419">
            <v>1206078</v>
          </cell>
        </row>
        <row r="12420">
          <cell r="A12420" t="str">
            <v>橙2星魔躯79级</v>
          </cell>
          <cell r="B12420">
            <v>1206079</v>
          </cell>
        </row>
        <row r="12421">
          <cell r="A12421" t="str">
            <v>橙2星魔躯80级</v>
          </cell>
          <cell r="B12421">
            <v>1206080</v>
          </cell>
        </row>
        <row r="12422">
          <cell r="A12422" t="str">
            <v>橙2星魔躯81级</v>
          </cell>
          <cell r="B12422">
            <v>1206081</v>
          </cell>
        </row>
        <row r="12423">
          <cell r="A12423" t="str">
            <v>橙2星魔躯82级</v>
          </cell>
          <cell r="B12423">
            <v>1206082</v>
          </cell>
        </row>
        <row r="12424">
          <cell r="A12424" t="str">
            <v>橙2星魔躯83级</v>
          </cell>
          <cell r="B12424">
            <v>1206083</v>
          </cell>
        </row>
        <row r="12425">
          <cell r="A12425" t="str">
            <v>橙2星魔躯84级</v>
          </cell>
          <cell r="B12425">
            <v>1206084</v>
          </cell>
        </row>
        <row r="12426">
          <cell r="A12426" t="str">
            <v>橙2星魔躯85级</v>
          </cell>
          <cell r="B12426">
            <v>1206085</v>
          </cell>
        </row>
        <row r="12427">
          <cell r="A12427" t="str">
            <v>橙2星魔躯86级</v>
          </cell>
          <cell r="B12427">
            <v>1206086</v>
          </cell>
        </row>
        <row r="12428">
          <cell r="A12428" t="str">
            <v>橙2星魔躯87级</v>
          </cell>
          <cell r="B12428">
            <v>1206087</v>
          </cell>
        </row>
        <row r="12429">
          <cell r="A12429" t="str">
            <v>橙2星魔躯88级</v>
          </cell>
          <cell r="B12429">
            <v>1206088</v>
          </cell>
        </row>
        <row r="12430">
          <cell r="A12430" t="str">
            <v>橙2星魔躯89级</v>
          </cell>
          <cell r="B12430">
            <v>1206089</v>
          </cell>
        </row>
        <row r="12431">
          <cell r="A12431" t="str">
            <v>橙2星魔躯90级</v>
          </cell>
          <cell r="B12431">
            <v>1206090</v>
          </cell>
        </row>
        <row r="12432">
          <cell r="A12432" t="str">
            <v>橙2星魔躯91级</v>
          </cell>
          <cell r="B12432">
            <v>1206091</v>
          </cell>
        </row>
        <row r="12433">
          <cell r="A12433" t="str">
            <v>橙2星魔躯92级</v>
          </cell>
          <cell r="B12433">
            <v>1206092</v>
          </cell>
        </row>
        <row r="12434">
          <cell r="A12434" t="str">
            <v>橙2星魔躯93级</v>
          </cell>
          <cell r="B12434">
            <v>1206093</v>
          </cell>
        </row>
        <row r="12435">
          <cell r="A12435" t="str">
            <v>橙2星魔躯94级</v>
          </cell>
          <cell r="B12435">
            <v>1206094</v>
          </cell>
        </row>
        <row r="12436">
          <cell r="A12436" t="str">
            <v>橙2星魔躯95级</v>
          </cell>
          <cell r="B12436">
            <v>1206095</v>
          </cell>
        </row>
        <row r="12437">
          <cell r="A12437" t="str">
            <v>橙2星魔躯96级</v>
          </cell>
          <cell r="B12437">
            <v>1206096</v>
          </cell>
        </row>
        <row r="12438">
          <cell r="A12438" t="str">
            <v>橙2星魔躯97级</v>
          </cell>
          <cell r="B12438">
            <v>1206097</v>
          </cell>
        </row>
        <row r="12439">
          <cell r="A12439" t="str">
            <v>橙2星魔躯98级</v>
          </cell>
          <cell r="B12439">
            <v>1206098</v>
          </cell>
        </row>
        <row r="12440">
          <cell r="A12440" t="str">
            <v>橙2星魔躯99级</v>
          </cell>
          <cell r="B12440">
            <v>1206099</v>
          </cell>
        </row>
        <row r="12441">
          <cell r="A12441" t="str">
            <v>橙2星魔躯100级</v>
          </cell>
          <cell r="B12441">
            <v>1206100</v>
          </cell>
        </row>
        <row r="12442">
          <cell r="A12442" t="str">
            <v>橙3星魔躯1级</v>
          </cell>
          <cell r="B12442">
            <v>1207001</v>
          </cell>
        </row>
        <row r="12443">
          <cell r="A12443" t="str">
            <v>橙3星魔躯2级</v>
          </cell>
          <cell r="B12443">
            <v>1207002</v>
          </cell>
        </row>
        <row r="12444">
          <cell r="A12444" t="str">
            <v>橙3星魔躯3级</v>
          </cell>
          <cell r="B12444">
            <v>1207003</v>
          </cell>
        </row>
        <row r="12445">
          <cell r="A12445" t="str">
            <v>橙3星魔躯4级</v>
          </cell>
          <cell r="B12445">
            <v>1207004</v>
          </cell>
        </row>
        <row r="12446">
          <cell r="A12446" t="str">
            <v>橙3星魔躯5级</v>
          </cell>
          <cell r="B12446">
            <v>1207005</v>
          </cell>
        </row>
        <row r="12447">
          <cell r="A12447" t="str">
            <v>橙3星魔躯6级</v>
          </cell>
          <cell r="B12447">
            <v>1207006</v>
          </cell>
        </row>
        <row r="12448">
          <cell r="A12448" t="str">
            <v>橙3星魔躯7级</v>
          </cell>
          <cell r="B12448">
            <v>1207007</v>
          </cell>
        </row>
        <row r="12449">
          <cell r="A12449" t="str">
            <v>橙3星魔躯8级</v>
          </cell>
          <cell r="B12449">
            <v>1207008</v>
          </cell>
        </row>
        <row r="12450">
          <cell r="A12450" t="str">
            <v>橙3星魔躯9级</v>
          </cell>
          <cell r="B12450">
            <v>1207009</v>
          </cell>
        </row>
        <row r="12451">
          <cell r="A12451" t="str">
            <v>橙3星魔躯10级</v>
          </cell>
          <cell r="B12451">
            <v>1207010</v>
          </cell>
        </row>
        <row r="12452">
          <cell r="A12452" t="str">
            <v>橙3星魔躯11级</v>
          </cell>
          <cell r="B12452">
            <v>1207011</v>
          </cell>
        </row>
        <row r="12453">
          <cell r="A12453" t="str">
            <v>橙3星魔躯12级</v>
          </cell>
          <cell r="B12453">
            <v>1207012</v>
          </cell>
        </row>
        <row r="12454">
          <cell r="A12454" t="str">
            <v>橙3星魔躯13级</v>
          </cell>
          <cell r="B12454">
            <v>1207013</v>
          </cell>
        </row>
        <row r="12455">
          <cell r="A12455" t="str">
            <v>橙3星魔躯14级</v>
          </cell>
          <cell r="B12455">
            <v>1207014</v>
          </cell>
        </row>
        <row r="12456">
          <cell r="A12456" t="str">
            <v>橙3星魔躯15级</v>
          </cell>
          <cell r="B12456">
            <v>1207015</v>
          </cell>
        </row>
        <row r="12457">
          <cell r="A12457" t="str">
            <v>橙3星魔躯16级</v>
          </cell>
          <cell r="B12457">
            <v>1207016</v>
          </cell>
        </row>
        <row r="12458">
          <cell r="A12458" t="str">
            <v>橙3星魔躯17级</v>
          </cell>
          <cell r="B12458">
            <v>1207017</v>
          </cell>
        </row>
        <row r="12459">
          <cell r="A12459" t="str">
            <v>橙3星魔躯18级</v>
          </cell>
          <cell r="B12459">
            <v>1207018</v>
          </cell>
        </row>
        <row r="12460">
          <cell r="A12460" t="str">
            <v>橙3星魔躯19级</v>
          </cell>
          <cell r="B12460">
            <v>1207019</v>
          </cell>
        </row>
        <row r="12461">
          <cell r="A12461" t="str">
            <v>橙3星魔躯20级</v>
          </cell>
          <cell r="B12461">
            <v>1207020</v>
          </cell>
        </row>
        <row r="12462">
          <cell r="A12462" t="str">
            <v>橙3星魔躯21级</v>
          </cell>
          <cell r="B12462">
            <v>1207021</v>
          </cell>
        </row>
        <row r="12463">
          <cell r="A12463" t="str">
            <v>橙3星魔躯22级</v>
          </cell>
          <cell r="B12463">
            <v>1207022</v>
          </cell>
        </row>
        <row r="12464">
          <cell r="A12464" t="str">
            <v>橙3星魔躯23级</v>
          </cell>
          <cell r="B12464">
            <v>1207023</v>
          </cell>
        </row>
        <row r="12465">
          <cell r="A12465" t="str">
            <v>橙3星魔躯24级</v>
          </cell>
          <cell r="B12465">
            <v>1207024</v>
          </cell>
        </row>
        <row r="12466">
          <cell r="A12466" t="str">
            <v>橙3星魔躯25级</v>
          </cell>
          <cell r="B12466">
            <v>1207025</v>
          </cell>
        </row>
        <row r="12467">
          <cell r="A12467" t="str">
            <v>橙3星魔躯26级</v>
          </cell>
          <cell r="B12467">
            <v>1207026</v>
          </cell>
        </row>
        <row r="12468">
          <cell r="A12468" t="str">
            <v>橙3星魔躯27级</v>
          </cell>
          <cell r="B12468">
            <v>1207027</v>
          </cell>
        </row>
        <row r="12469">
          <cell r="A12469" t="str">
            <v>橙3星魔躯28级</v>
          </cell>
          <cell r="B12469">
            <v>1207028</v>
          </cell>
        </row>
        <row r="12470">
          <cell r="A12470" t="str">
            <v>橙3星魔躯29级</v>
          </cell>
          <cell r="B12470">
            <v>1207029</v>
          </cell>
        </row>
        <row r="12471">
          <cell r="A12471" t="str">
            <v>橙3星魔躯30级</v>
          </cell>
          <cell r="B12471">
            <v>1207030</v>
          </cell>
        </row>
        <row r="12472">
          <cell r="A12472" t="str">
            <v>橙3星魔躯31级</v>
          </cell>
          <cell r="B12472">
            <v>1207031</v>
          </cell>
        </row>
        <row r="12473">
          <cell r="A12473" t="str">
            <v>橙3星魔躯32级</v>
          </cell>
          <cell r="B12473">
            <v>1207032</v>
          </cell>
        </row>
        <row r="12474">
          <cell r="A12474" t="str">
            <v>橙3星魔躯33级</v>
          </cell>
          <cell r="B12474">
            <v>1207033</v>
          </cell>
        </row>
        <row r="12475">
          <cell r="A12475" t="str">
            <v>橙3星魔躯34级</v>
          </cell>
          <cell r="B12475">
            <v>1207034</v>
          </cell>
        </row>
        <row r="12476">
          <cell r="A12476" t="str">
            <v>橙3星魔躯35级</v>
          </cell>
          <cell r="B12476">
            <v>1207035</v>
          </cell>
        </row>
        <row r="12477">
          <cell r="A12477" t="str">
            <v>橙3星魔躯36级</v>
          </cell>
          <cell r="B12477">
            <v>1207036</v>
          </cell>
        </row>
        <row r="12478">
          <cell r="A12478" t="str">
            <v>橙3星魔躯37级</v>
          </cell>
          <cell r="B12478">
            <v>1207037</v>
          </cell>
        </row>
        <row r="12479">
          <cell r="A12479" t="str">
            <v>橙3星魔躯38级</v>
          </cell>
          <cell r="B12479">
            <v>1207038</v>
          </cell>
        </row>
        <row r="12480">
          <cell r="A12480" t="str">
            <v>橙3星魔躯39级</v>
          </cell>
          <cell r="B12480">
            <v>1207039</v>
          </cell>
        </row>
        <row r="12481">
          <cell r="A12481" t="str">
            <v>橙3星魔躯40级</v>
          </cell>
          <cell r="B12481">
            <v>1207040</v>
          </cell>
        </row>
        <row r="12482">
          <cell r="A12482" t="str">
            <v>橙3星魔躯41级</v>
          </cell>
          <cell r="B12482">
            <v>1207041</v>
          </cell>
        </row>
        <row r="12483">
          <cell r="A12483" t="str">
            <v>橙3星魔躯42级</v>
          </cell>
          <cell r="B12483">
            <v>1207042</v>
          </cell>
        </row>
        <row r="12484">
          <cell r="A12484" t="str">
            <v>橙3星魔躯43级</v>
          </cell>
          <cell r="B12484">
            <v>1207043</v>
          </cell>
        </row>
        <row r="12485">
          <cell r="A12485" t="str">
            <v>橙3星魔躯44级</v>
          </cell>
          <cell r="B12485">
            <v>1207044</v>
          </cell>
        </row>
        <row r="12486">
          <cell r="A12486" t="str">
            <v>橙3星魔躯45级</v>
          </cell>
          <cell r="B12486">
            <v>1207045</v>
          </cell>
        </row>
        <row r="12487">
          <cell r="A12487" t="str">
            <v>橙3星魔躯46级</v>
          </cell>
          <cell r="B12487">
            <v>1207046</v>
          </cell>
        </row>
        <row r="12488">
          <cell r="A12488" t="str">
            <v>橙3星魔躯47级</v>
          </cell>
          <cell r="B12488">
            <v>1207047</v>
          </cell>
        </row>
        <row r="12489">
          <cell r="A12489" t="str">
            <v>橙3星魔躯48级</v>
          </cell>
          <cell r="B12489">
            <v>1207048</v>
          </cell>
        </row>
        <row r="12490">
          <cell r="A12490" t="str">
            <v>橙3星魔躯49级</v>
          </cell>
          <cell r="B12490">
            <v>1207049</v>
          </cell>
        </row>
        <row r="12491">
          <cell r="A12491" t="str">
            <v>橙3星魔躯50级</v>
          </cell>
          <cell r="B12491">
            <v>1207050</v>
          </cell>
        </row>
        <row r="12492">
          <cell r="A12492" t="str">
            <v>橙3星魔躯51级</v>
          </cell>
          <cell r="B12492">
            <v>1207051</v>
          </cell>
        </row>
        <row r="12493">
          <cell r="A12493" t="str">
            <v>橙3星魔躯52级</v>
          </cell>
          <cell r="B12493">
            <v>1207052</v>
          </cell>
        </row>
        <row r="12494">
          <cell r="A12494" t="str">
            <v>橙3星魔躯53级</v>
          </cell>
          <cell r="B12494">
            <v>1207053</v>
          </cell>
        </row>
        <row r="12495">
          <cell r="A12495" t="str">
            <v>橙3星魔躯54级</v>
          </cell>
          <cell r="B12495">
            <v>1207054</v>
          </cell>
        </row>
        <row r="12496">
          <cell r="A12496" t="str">
            <v>橙3星魔躯55级</v>
          </cell>
          <cell r="B12496">
            <v>1207055</v>
          </cell>
        </row>
        <row r="12497">
          <cell r="A12497" t="str">
            <v>橙3星魔躯56级</v>
          </cell>
          <cell r="B12497">
            <v>1207056</v>
          </cell>
        </row>
        <row r="12498">
          <cell r="A12498" t="str">
            <v>橙3星魔躯57级</v>
          </cell>
          <cell r="B12498">
            <v>1207057</v>
          </cell>
        </row>
        <row r="12499">
          <cell r="A12499" t="str">
            <v>橙3星魔躯58级</v>
          </cell>
          <cell r="B12499">
            <v>1207058</v>
          </cell>
        </row>
        <row r="12500">
          <cell r="A12500" t="str">
            <v>橙3星魔躯59级</v>
          </cell>
          <cell r="B12500">
            <v>1207059</v>
          </cell>
        </row>
        <row r="12501">
          <cell r="A12501" t="str">
            <v>橙3星魔躯60级</v>
          </cell>
          <cell r="B12501">
            <v>1207060</v>
          </cell>
        </row>
        <row r="12502">
          <cell r="A12502" t="str">
            <v>橙3星魔躯61级</v>
          </cell>
          <cell r="B12502">
            <v>1207061</v>
          </cell>
        </row>
        <row r="12503">
          <cell r="A12503" t="str">
            <v>橙3星魔躯62级</v>
          </cell>
          <cell r="B12503">
            <v>1207062</v>
          </cell>
        </row>
        <row r="12504">
          <cell r="A12504" t="str">
            <v>橙3星魔躯63级</v>
          </cell>
          <cell r="B12504">
            <v>1207063</v>
          </cell>
        </row>
        <row r="12505">
          <cell r="A12505" t="str">
            <v>橙3星魔躯64级</v>
          </cell>
          <cell r="B12505">
            <v>1207064</v>
          </cell>
        </row>
        <row r="12506">
          <cell r="A12506" t="str">
            <v>橙3星魔躯65级</v>
          </cell>
          <cell r="B12506">
            <v>1207065</v>
          </cell>
        </row>
        <row r="12507">
          <cell r="A12507" t="str">
            <v>橙3星魔躯66级</v>
          </cell>
          <cell r="B12507">
            <v>1207066</v>
          </cell>
        </row>
        <row r="12508">
          <cell r="A12508" t="str">
            <v>橙3星魔躯67级</v>
          </cell>
          <cell r="B12508">
            <v>1207067</v>
          </cell>
        </row>
        <row r="12509">
          <cell r="A12509" t="str">
            <v>橙3星魔躯68级</v>
          </cell>
          <cell r="B12509">
            <v>1207068</v>
          </cell>
        </row>
        <row r="12510">
          <cell r="A12510" t="str">
            <v>橙3星魔躯69级</v>
          </cell>
          <cell r="B12510">
            <v>1207069</v>
          </cell>
        </row>
        <row r="12511">
          <cell r="A12511" t="str">
            <v>橙3星魔躯70级</v>
          </cell>
          <cell r="B12511">
            <v>1207070</v>
          </cell>
        </row>
        <row r="12512">
          <cell r="A12512" t="str">
            <v>橙3星魔躯71级</v>
          </cell>
          <cell r="B12512">
            <v>1207071</v>
          </cell>
        </row>
        <row r="12513">
          <cell r="A12513" t="str">
            <v>橙3星魔躯72级</v>
          </cell>
          <cell r="B12513">
            <v>1207072</v>
          </cell>
        </row>
        <row r="12514">
          <cell r="A12514" t="str">
            <v>橙3星魔躯73级</v>
          </cell>
          <cell r="B12514">
            <v>1207073</v>
          </cell>
        </row>
        <row r="12515">
          <cell r="A12515" t="str">
            <v>橙3星魔躯74级</v>
          </cell>
          <cell r="B12515">
            <v>1207074</v>
          </cell>
        </row>
        <row r="12516">
          <cell r="A12516" t="str">
            <v>橙3星魔躯75级</v>
          </cell>
          <cell r="B12516">
            <v>1207075</v>
          </cell>
        </row>
        <row r="12517">
          <cell r="A12517" t="str">
            <v>橙3星魔躯76级</v>
          </cell>
          <cell r="B12517">
            <v>1207076</v>
          </cell>
        </row>
        <row r="12518">
          <cell r="A12518" t="str">
            <v>橙3星魔躯77级</v>
          </cell>
          <cell r="B12518">
            <v>1207077</v>
          </cell>
        </row>
        <row r="12519">
          <cell r="A12519" t="str">
            <v>橙3星魔躯78级</v>
          </cell>
          <cell r="B12519">
            <v>1207078</v>
          </cell>
        </row>
        <row r="12520">
          <cell r="A12520" t="str">
            <v>橙3星魔躯79级</v>
          </cell>
          <cell r="B12520">
            <v>1207079</v>
          </cell>
        </row>
        <row r="12521">
          <cell r="A12521" t="str">
            <v>橙3星魔躯80级</v>
          </cell>
          <cell r="B12521">
            <v>1207080</v>
          </cell>
        </row>
        <row r="12522">
          <cell r="A12522" t="str">
            <v>橙3星魔躯81级</v>
          </cell>
          <cell r="B12522">
            <v>1207081</v>
          </cell>
        </row>
        <row r="12523">
          <cell r="A12523" t="str">
            <v>橙3星魔躯82级</v>
          </cell>
          <cell r="B12523">
            <v>1207082</v>
          </cell>
        </row>
        <row r="12524">
          <cell r="A12524" t="str">
            <v>橙3星魔躯83级</v>
          </cell>
          <cell r="B12524">
            <v>1207083</v>
          </cell>
        </row>
        <row r="12525">
          <cell r="A12525" t="str">
            <v>橙3星魔躯84级</v>
          </cell>
          <cell r="B12525">
            <v>1207084</v>
          </cell>
        </row>
        <row r="12526">
          <cell r="A12526" t="str">
            <v>橙3星魔躯85级</v>
          </cell>
          <cell r="B12526">
            <v>1207085</v>
          </cell>
        </row>
        <row r="12527">
          <cell r="A12527" t="str">
            <v>橙3星魔躯86级</v>
          </cell>
          <cell r="B12527">
            <v>1207086</v>
          </cell>
        </row>
        <row r="12528">
          <cell r="A12528" t="str">
            <v>橙3星魔躯87级</v>
          </cell>
          <cell r="B12528">
            <v>1207087</v>
          </cell>
        </row>
        <row r="12529">
          <cell r="A12529" t="str">
            <v>橙3星魔躯88级</v>
          </cell>
          <cell r="B12529">
            <v>1207088</v>
          </cell>
        </row>
        <row r="12530">
          <cell r="A12530" t="str">
            <v>橙3星魔躯89级</v>
          </cell>
          <cell r="B12530">
            <v>1207089</v>
          </cell>
        </row>
        <row r="12531">
          <cell r="A12531" t="str">
            <v>橙3星魔躯90级</v>
          </cell>
          <cell r="B12531">
            <v>1207090</v>
          </cell>
        </row>
        <row r="12532">
          <cell r="A12532" t="str">
            <v>橙3星魔躯91级</v>
          </cell>
          <cell r="B12532">
            <v>1207091</v>
          </cell>
        </row>
        <row r="12533">
          <cell r="A12533" t="str">
            <v>橙3星魔躯92级</v>
          </cell>
          <cell r="B12533">
            <v>1207092</v>
          </cell>
        </row>
        <row r="12534">
          <cell r="A12534" t="str">
            <v>橙3星魔躯93级</v>
          </cell>
          <cell r="B12534">
            <v>1207093</v>
          </cell>
        </row>
        <row r="12535">
          <cell r="A12535" t="str">
            <v>橙3星魔躯94级</v>
          </cell>
          <cell r="B12535">
            <v>1207094</v>
          </cell>
        </row>
        <row r="12536">
          <cell r="A12536" t="str">
            <v>橙3星魔躯95级</v>
          </cell>
          <cell r="B12536">
            <v>1207095</v>
          </cell>
        </row>
        <row r="12537">
          <cell r="A12537" t="str">
            <v>橙3星魔躯96级</v>
          </cell>
          <cell r="B12537">
            <v>1207096</v>
          </cell>
        </row>
        <row r="12538">
          <cell r="A12538" t="str">
            <v>橙3星魔躯97级</v>
          </cell>
          <cell r="B12538">
            <v>1207097</v>
          </cell>
        </row>
        <row r="12539">
          <cell r="A12539" t="str">
            <v>橙3星魔躯98级</v>
          </cell>
          <cell r="B12539">
            <v>1207098</v>
          </cell>
        </row>
        <row r="12540">
          <cell r="A12540" t="str">
            <v>橙3星魔躯99级</v>
          </cell>
          <cell r="B12540">
            <v>1207099</v>
          </cell>
        </row>
        <row r="12541">
          <cell r="A12541" t="str">
            <v>橙3星魔躯100级</v>
          </cell>
          <cell r="B12541">
            <v>1207100</v>
          </cell>
        </row>
        <row r="12542">
          <cell r="A12542" t="str">
            <v>红3星魔躯1级</v>
          </cell>
          <cell r="B12542">
            <v>1208001</v>
          </cell>
        </row>
        <row r="12543">
          <cell r="A12543" t="str">
            <v>红3星魔躯2级</v>
          </cell>
          <cell r="B12543">
            <v>1208002</v>
          </cell>
        </row>
        <row r="12544">
          <cell r="A12544" t="str">
            <v>红3星魔躯3级</v>
          </cell>
          <cell r="B12544">
            <v>1208003</v>
          </cell>
        </row>
        <row r="12545">
          <cell r="A12545" t="str">
            <v>红3星魔躯4级</v>
          </cell>
          <cell r="B12545">
            <v>1208004</v>
          </cell>
        </row>
        <row r="12546">
          <cell r="A12546" t="str">
            <v>红3星魔躯5级</v>
          </cell>
          <cell r="B12546">
            <v>1208005</v>
          </cell>
        </row>
        <row r="12547">
          <cell r="A12547" t="str">
            <v>红3星魔躯6级</v>
          </cell>
          <cell r="B12547">
            <v>1208006</v>
          </cell>
        </row>
        <row r="12548">
          <cell r="A12548" t="str">
            <v>红3星魔躯7级</v>
          </cell>
          <cell r="B12548">
            <v>1208007</v>
          </cell>
        </row>
        <row r="12549">
          <cell r="A12549" t="str">
            <v>红3星魔躯8级</v>
          </cell>
          <cell r="B12549">
            <v>1208008</v>
          </cell>
        </row>
        <row r="12550">
          <cell r="A12550" t="str">
            <v>红3星魔躯9级</v>
          </cell>
          <cell r="B12550">
            <v>1208009</v>
          </cell>
        </row>
        <row r="12551">
          <cell r="A12551" t="str">
            <v>红3星魔躯10级</v>
          </cell>
          <cell r="B12551">
            <v>1208010</v>
          </cell>
        </row>
        <row r="12552">
          <cell r="A12552" t="str">
            <v>红3星魔躯11级</v>
          </cell>
          <cell r="B12552">
            <v>1208011</v>
          </cell>
        </row>
        <row r="12553">
          <cell r="A12553" t="str">
            <v>红3星魔躯12级</v>
          </cell>
          <cell r="B12553">
            <v>1208012</v>
          </cell>
        </row>
        <row r="12554">
          <cell r="A12554" t="str">
            <v>红3星魔躯13级</v>
          </cell>
          <cell r="B12554">
            <v>1208013</v>
          </cell>
        </row>
        <row r="12555">
          <cell r="A12555" t="str">
            <v>红3星魔躯14级</v>
          </cell>
          <cell r="B12555">
            <v>1208014</v>
          </cell>
        </row>
        <row r="12556">
          <cell r="A12556" t="str">
            <v>红3星魔躯15级</v>
          </cell>
          <cell r="B12556">
            <v>1208015</v>
          </cell>
        </row>
        <row r="12557">
          <cell r="A12557" t="str">
            <v>红3星魔躯16级</v>
          </cell>
          <cell r="B12557">
            <v>1208016</v>
          </cell>
        </row>
        <row r="12558">
          <cell r="A12558" t="str">
            <v>红3星魔躯17级</v>
          </cell>
          <cell r="B12558">
            <v>1208017</v>
          </cell>
        </row>
        <row r="12559">
          <cell r="A12559" t="str">
            <v>红3星魔躯18级</v>
          </cell>
          <cell r="B12559">
            <v>1208018</v>
          </cell>
        </row>
        <row r="12560">
          <cell r="A12560" t="str">
            <v>红3星魔躯19级</v>
          </cell>
          <cell r="B12560">
            <v>1208019</v>
          </cell>
        </row>
        <row r="12561">
          <cell r="A12561" t="str">
            <v>红3星魔躯20级</v>
          </cell>
          <cell r="B12561">
            <v>1208020</v>
          </cell>
        </row>
        <row r="12562">
          <cell r="A12562" t="str">
            <v>红3星魔躯21级</v>
          </cell>
          <cell r="B12562">
            <v>1208021</v>
          </cell>
        </row>
        <row r="12563">
          <cell r="A12563" t="str">
            <v>红3星魔躯22级</v>
          </cell>
          <cell r="B12563">
            <v>1208022</v>
          </cell>
        </row>
        <row r="12564">
          <cell r="A12564" t="str">
            <v>红3星魔躯23级</v>
          </cell>
          <cell r="B12564">
            <v>1208023</v>
          </cell>
        </row>
        <row r="12565">
          <cell r="A12565" t="str">
            <v>红3星魔躯24级</v>
          </cell>
          <cell r="B12565">
            <v>1208024</v>
          </cell>
        </row>
        <row r="12566">
          <cell r="A12566" t="str">
            <v>红3星魔躯25级</v>
          </cell>
          <cell r="B12566">
            <v>1208025</v>
          </cell>
        </row>
        <row r="12567">
          <cell r="A12567" t="str">
            <v>红3星魔躯26级</v>
          </cell>
          <cell r="B12567">
            <v>1208026</v>
          </cell>
        </row>
        <row r="12568">
          <cell r="A12568" t="str">
            <v>红3星魔躯27级</v>
          </cell>
          <cell r="B12568">
            <v>1208027</v>
          </cell>
        </row>
        <row r="12569">
          <cell r="A12569" t="str">
            <v>红3星魔躯28级</v>
          </cell>
          <cell r="B12569">
            <v>1208028</v>
          </cell>
        </row>
        <row r="12570">
          <cell r="A12570" t="str">
            <v>红3星魔躯29级</v>
          </cell>
          <cell r="B12570">
            <v>1208029</v>
          </cell>
        </row>
        <row r="12571">
          <cell r="A12571" t="str">
            <v>红3星魔躯30级</v>
          </cell>
          <cell r="B12571">
            <v>1208030</v>
          </cell>
        </row>
        <row r="12572">
          <cell r="A12572" t="str">
            <v>红3星魔躯31级</v>
          </cell>
          <cell r="B12572">
            <v>1208031</v>
          </cell>
        </row>
        <row r="12573">
          <cell r="A12573" t="str">
            <v>红3星魔躯32级</v>
          </cell>
          <cell r="B12573">
            <v>1208032</v>
          </cell>
        </row>
        <row r="12574">
          <cell r="A12574" t="str">
            <v>红3星魔躯33级</v>
          </cell>
          <cell r="B12574">
            <v>1208033</v>
          </cell>
        </row>
        <row r="12575">
          <cell r="A12575" t="str">
            <v>红3星魔躯34级</v>
          </cell>
          <cell r="B12575">
            <v>1208034</v>
          </cell>
        </row>
        <row r="12576">
          <cell r="A12576" t="str">
            <v>红3星魔躯35级</v>
          </cell>
          <cell r="B12576">
            <v>1208035</v>
          </cell>
        </row>
        <row r="12577">
          <cell r="A12577" t="str">
            <v>红3星魔躯36级</v>
          </cell>
          <cell r="B12577">
            <v>1208036</v>
          </cell>
        </row>
        <row r="12578">
          <cell r="A12578" t="str">
            <v>红3星魔躯37级</v>
          </cell>
          <cell r="B12578">
            <v>1208037</v>
          </cell>
        </row>
        <row r="12579">
          <cell r="A12579" t="str">
            <v>红3星魔躯38级</v>
          </cell>
          <cell r="B12579">
            <v>1208038</v>
          </cell>
        </row>
        <row r="12580">
          <cell r="A12580" t="str">
            <v>红3星魔躯39级</v>
          </cell>
          <cell r="B12580">
            <v>1208039</v>
          </cell>
        </row>
        <row r="12581">
          <cell r="A12581" t="str">
            <v>红3星魔躯40级</v>
          </cell>
          <cell r="B12581">
            <v>1208040</v>
          </cell>
        </row>
        <row r="12582">
          <cell r="A12582" t="str">
            <v>红3星魔躯41级</v>
          </cell>
          <cell r="B12582">
            <v>1208041</v>
          </cell>
        </row>
        <row r="12583">
          <cell r="A12583" t="str">
            <v>红3星魔躯42级</v>
          </cell>
          <cell r="B12583">
            <v>1208042</v>
          </cell>
        </row>
        <row r="12584">
          <cell r="A12584" t="str">
            <v>红3星魔躯43级</v>
          </cell>
          <cell r="B12584">
            <v>1208043</v>
          </cell>
        </row>
        <row r="12585">
          <cell r="A12585" t="str">
            <v>红3星魔躯44级</v>
          </cell>
          <cell r="B12585">
            <v>1208044</v>
          </cell>
        </row>
        <row r="12586">
          <cell r="A12586" t="str">
            <v>红3星魔躯45级</v>
          </cell>
          <cell r="B12586">
            <v>1208045</v>
          </cell>
        </row>
        <row r="12587">
          <cell r="A12587" t="str">
            <v>红3星魔躯46级</v>
          </cell>
          <cell r="B12587">
            <v>1208046</v>
          </cell>
        </row>
        <row r="12588">
          <cell r="A12588" t="str">
            <v>红3星魔躯47级</v>
          </cell>
          <cell r="B12588">
            <v>1208047</v>
          </cell>
        </row>
        <row r="12589">
          <cell r="A12589" t="str">
            <v>红3星魔躯48级</v>
          </cell>
          <cell r="B12589">
            <v>1208048</v>
          </cell>
        </row>
        <row r="12590">
          <cell r="A12590" t="str">
            <v>红3星魔躯49级</v>
          </cell>
          <cell r="B12590">
            <v>1208049</v>
          </cell>
        </row>
        <row r="12591">
          <cell r="A12591" t="str">
            <v>红3星魔躯50级</v>
          </cell>
          <cell r="B12591">
            <v>1208050</v>
          </cell>
        </row>
        <row r="12592">
          <cell r="A12592" t="str">
            <v>红3星魔躯51级</v>
          </cell>
          <cell r="B12592">
            <v>1208051</v>
          </cell>
        </row>
        <row r="12593">
          <cell r="A12593" t="str">
            <v>红3星魔躯52级</v>
          </cell>
          <cell r="B12593">
            <v>1208052</v>
          </cell>
        </row>
        <row r="12594">
          <cell r="A12594" t="str">
            <v>红3星魔躯53级</v>
          </cell>
          <cell r="B12594">
            <v>1208053</v>
          </cell>
        </row>
        <row r="12595">
          <cell r="A12595" t="str">
            <v>红3星魔躯54级</v>
          </cell>
          <cell r="B12595">
            <v>1208054</v>
          </cell>
        </row>
        <row r="12596">
          <cell r="A12596" t="str">
            <v>红3星魔躯55级</v>
          </cell>
          <cell r="B12596">
            <v>1208055</v>
          </cell>
        </row>
        <row r="12597">
          <cell r="A12597" t="str">
            <v>红3星魔躯56级</v>
          </cell>
          <cell r="B12597">
            <v>1208056</v>
          </cell>
        </row>
        <row r="12598">
          <cell r="A12598" t="str">
            <v>红3星魔躯57级</v>
          </cell>
          <cell r="B12598">
            <v>1208057</v>
          </cell>
        </row>
        <row r="12599">
          <cell r="A12599" t="str">
            <v>红3星魔躯58级</v>
          </cell>
          <cell r="B12599">
            <v>1208058</v>
          </cell>
        </row>
        <row r="12600">
          <cell r="A12600" t="str">
            <v>红3星魔躯59级</v>
          </cell>
          <cell r="B12600">
            <v>1208059</v>
          </cell>
        </row>
        <row r="12601">
          <cell r="A12601" t="str">
            <v>红3星魔躯60级</v>
          </cell>
          <cell r="B12601">
            <v>1208060</v>
          </cell>
        </row>
        <row r="12602">
          <cell r="A12602" t="str">
            <v>红3星魔躯61级</v>
          </cell>
          <cell r="B12602">
            <v>1208061</v>
          </cell>
        </row>
        <row r="12603">
          <cell r="A12603" t="str">
            <v>红3星魔躯62级</v>
          </cell>
          <cell r="B12603">
            <v>1208062</v>
          </cell>
        </row>
        <row r="12604">
          <cell r="A12604" t="str">
            <v>红3星魔躯63级</v>
          </cell>
          <cell r="B12604">
            <v>1208063</v>
          </cell>
        </row>
        <row r="12605">
          <cell r="A12605" t="str">
            <v>红3星魔躯64级</v>
          </cell>
          <cell r="B12605">
            <v>1208064</v>
          </cell>
        </row>
        <row r="12606">
          <cell r="A12606" t="str">
            <v>红3星魔躯65级</v>
          </cell>
          <cell r="B12606">
            <v>1208065</v>
          </cell>
        </row>
        <row r="12607">
          <cell r="A12607" t="str">
            <v>红3星魔躯66级</v>
          </cell>
          <cell r="B12607">
            <v>1208066</v>
          </cell>
        </row>
        <row r="12608">
          <cell r="A12608" t="str">
            <v>红3星魔躯67级</v>
          </cell>
          <cell r="B12608">
            <v>1208067</v>
          </cell>
        </row>
        <row r="12609">
          <cell r="A12609" t="str">
            <v>红3星魔躯68级</v>
          </cell>
          <cell r="B12609">
            <v>1208068</v>
          </cell>
        </row>
        <row r="12610">
          <cell r="A12610" t="str">
            <v>红3星魔躯69级</v>
          </cell>
          <cell r="B12610">
            <v>1208069</v>
          </cell>
        </row>
        <row r="12611">
          <cell r="A12611" t="str">
            <v>红3星魔躯70级</v>
          </cell>
          <cell r="B12611">
            <v>1208070</v>
          </cell>
        </row>
        <row r="12612">
          <cell r="A12612" t="str">
            <v>红3星魔躯71级</v>
          </cell>
          <cell r="B12612">
            <v>1208071</v>
          </cell>
        </row>
        <row r="12613">
          <cell r="A12613" t="str">
            <v>红3星魔躯72级</v>
          </cell>
          <cell r="B12613">
            <v>1208072</v>
          </cell>
        </row>
        <row r="12614">
          <cell r="A12614" t="str">
            <v>红3星魔躯73级</v>
          </cell>
          <cell r="B12614">
            <v>1208073</v>
          </cell>
        </row>
        <row r="12615">
          <cell r="A12615" t="str">
            <v>红3星魔躯74级</v>
          </cell>
          <cell r="B12615">
            <v>1208074</v>
          </cell>
        </row>
        <row r="12616">
          <cell r="A12616" t="str">
            <v>红3星魔躯75级</v>
          </cell>
          <cell r="B12616">
            <v>1208075</v>
          </cell>
        </row>
        <row r="12617">
          <cell r="A12617" t="str">
            <v>红3星魔躯76级</v>
          </cell>
          <cell r="B12617">
            <v>1208076</v>
          </cell>
        </row>
        <row r="12618">
          <cell r="A12618" t="str">
            <v>红3星魔躯77级</v>
          </cell>
          <cell r="B12618">
            <v>1208077</v>
          </cell>
        </row>
        <row r="12619">
          <cell r="A12619" t="str">
            <v>红3星魔躯78级</v>
          </cell>
          <cell r="B12619">
            <v>1208078</v>
          </cell>
        </row>
        <row r="12620">
          <cell r="A12620" t="str">
            <v>红3星魔躯79级</v>
          </cell>
          <cell r="B12620">
            <v>1208079</v>
          </cell>
        </row>
        <row r="12621">
          <cell r="A12621" t="str">
            <v>红3星魔躯80级</v>
          </cell>
          <cell r="B12621">
            <v>1208080</v>
          </cell>
        </row>
        <row r="12622">
          <cell r="A12622" t="str">
            <v>红3星魔躯81级</v>
          </cell>
          <cell r="B12622">
            <v>1208081</v>
          </cell>
        </row>
        <row r="12623">
          <cell r="A12623" t="str">
            <v>红3星魔躯82级</v>
          </cell>
          <cell r="B12623">
            <v>1208082</v>
          </cell>
        </row>
        <row r="12624">
          <cell r="A12624" t="str">
            <v>红3星魔躯83级</v>
          </cell>
          <cell r="B12624">
            <v>1208083</v>
          </cell>
        </row>
        <row r="12625">
          <cell r="A12625" t="str">
            <v>红3星魔躯84级</v>
          </cell>
          <cell r="B12625">
            <v>1208084</v>
          </cell>
        </row>
        <row r="12626">
          <cell r="A12626" t="str">
            <v>红3星魔躯85级</v>
          </cell>
          <cell r="B12626">
            <v>1208085</v>
          </cell>
        </row>
        <row r="12627">
          <cell r="A12627" t="str">
            <v>红3星魔躯86级</v>
          </cell>
          <cell r="B12627">
            <v>1208086</v>
          </cell>
        </row>
        <row r="12628">
          <cell r="A12628" t="str">
            <v>红3星魔躯87级</v>
          </cell>
          <cell r="B12628">
            <v>1208087</v>
          </cell>
        </row>
        <row r="12629">
          <cell r="A12629" t="str">
            <v>红3星魔躯88级</v>
          </cell>
          <cell r="B12629">
            <v>1208088</v>
          </cell>
        </row>
        <row r="12630">
          <cell r="A12630" t="str">
            <v>红3星魔躯89级</v>
          </cell>
          <cell r="B12630">
            <v>1208089</v>
          </cell>
        </row>
        <row r="12631">
          <cell r="A12631" t="str">
            <v>红3星魔躯90级</v>
          </cell>
          <cell r="B12631">
            <v>1208090</v>
          </cell>
        </row>
        <row r="12632">
          <cell r="A12632" t="str">
            <v>红3星魔躯91级</v>
          </cell>
          <cell r="B12632">
            <v>1208091</v>
          </cell>
        </row>
        <row r="12633">
          <cell r="A12633" t="str">
            <v>红3星魔躯92级</v>
          </cell>
          <cell r="B12633">
            <v>1208092</v>
          </cell>
        </row>
        <row r="12634">
          <cell r="A12634" t="str">
            <v>红3星魔躯93级</v>
          </cell>
          <cell r="B12634">
            <v>1208093</v>
          </cell>
        </row>
        <row r="12635">
          <cell r="A12635" t="str">
            <v>红3星魔躯94级</v>
          </cell>
          <cell r="B12635">
            <v>1208094</v>
          </cell>
        </row>
        <row r="12636">
          <cell r="A12636" t="str">
            <v>红3星魔躯95级</v>
          </cell>
          <cell r="B12636">
            <v>1208095</v>
          </cell>
        </row>
        <row r="12637">
          <cell r="A12637" t="str">
            <v>红3星魔躯96级</v>
          </cell>
          <cell r="B12637">
            <v>1208096</v>
          </cell>
        </row>
        <row r="12638">
          <cell r="A12638" t="str">
            <v>红3星魔躯97级</v>
          </cell>
          <cell r="B12638">
            <v>1208097</v>
          </cell>
        </row>
        <row r="12639">
          <cell r="A12639" t="str">
            <v>红3星魔躯98级</v>
          </cell>
          <cell r="B12639">
            <v>1208098</v>
          </cell>
        </row>
        <row r="12640">
          <cell r="A12640" t="str">
            <v>红3星魔躯99级</v>
          </cell>
          <cell r="B12640">
            <v>1208099</v>
          </cell>
        </row>
        <row r="12641">
          <cell r="A12641" t="str">
            <v>红3星魔躯100级</v>
          </cell>
          <cell r="B12641">
            <v>1208100</v>
          </cell>
        </row>
        <row r="12642">
          <cell r="A12642" t="str">
            <v>神红3星魔躯1级</v>
          </cell>
          <cell r="B12642">
            <v>1209001</v>
          </cell>
        </row>
        <row r="12643">
          <cell r="A12643" t="str">
            <v>神红3星魔躯2级</v>
          </cell>
          <cell r="B12643">
            <v>1209002</v>
          </cell>
        </row>
        <row r="12644">
          <cell r="A12644" t="str">
            <v>神红3星魔躯3级</v>
          </cell>
          <cell r="B12644">
            <v>1209003</v>
          </cell>
        </row>
        <row r="12645">
          <cell r="A12645" t="str">
            <v>神红3星魔躯4级</v>
          </cell>
          <cell r="B12645">
            <v>1209004</v>
          </cell>
        </row>
        <row r="12646">
          <cell r="A12646" t="str">
            <v>神红3星魔躯5级</v>
          </cell>
          <cell r="B12646">
            <v>1209005</v>
          </cell>
        </row>
        <row r="12647">
          <cell r="A12647" t="str">
            <v>神红3星魔躯6级</v>
          </cell>
          <cell r="B12647">
            <v>1209006</v>
          </cell>
        </row>
        <row r="12648">
          <cell r="A12648" t="str">
            <v>神红3星魔躯7级</v>
          </cell>
          <cell r="B12648">
            <v>1209007</v>
          </cell>
        </row>
        <row r="12649">
          <cell r="A12649" t="str">
            <v>神红3星魔躯8级</v>
          </cell>
          <cell r="B12649">
            <v>1209008</v>
          </cell>
        </row>
        <row r="12650">
          <cell r="A12650" t="str">
            <v>神红3星魔躯9级</v>
          </cell>
          <cell r="B12650">
            <v>1209009</v>
          </cell>
        </row>
        <row r="12651">
          <cell r="A12651" t="str">
            <v>神红3星魔躯10级</v>
          </cell>
          <cell r="B12651">
            <v>1209010</v>
          </cell>
        </row>
        <row r="12652">
          <cell r="A12652" t="str">
            <v>神红3星魔躯11级</v>
          </cell>
          <cell r="B12652">
            <v>1209011</v>
          </cell>
        </row>
        <row r="12653">
          <cell r="A12653" t="str">
            <v>神红3星魔躯12级</v>
          </cell>
          <cell r="B12653">
            <v>1209012</v>
          </cell>
        </row>
        <row r="12654">
          <cell r="A12654" t="str">
            <v>神红3星魔躯13级</v>
          </cell>
          <cell r="B12654">
            <v>1209013</v>
          </cell>
        </row>
        <row r="12655">
          <cell r="A12655" t="str">
            <v>神红3星魔躯14级</v>
          </cell>
          <cell r="B12655">
            <v>1209014</v>
          </cell>
        </row>
        <row r="12656">
          <cell r="A12656" t="str">
            <v>神红3星魔躯15级</v>
          </cell>
          <cell r="B12656">
            <v>1209015</v>
          </cell>
        </row>
        <row r="12657">
          <cell r="A12657" t="str">
            <v>神红3星魔躯16级</v>
          </cell>
          <cell r="B12657">
            <v>1209016</v>
          </cell>
        </row>
        <row r="12658">
          <cell r="A12658" t="str">
            <v>神红3星魔躯17级</v>
          </cell>
          <cell r="B12658">
            <v>1209017</v>
          </cell>
        </row>
        <row r="12659">
          <cell r="A12659" t="str">
            <v>神红3星魔躯18级</v>
          </cell>
          <cell r="B12659">
            <v>1209018</v>
          </cell>
        </row>
        <row r="12660">
          <cell r="A12660" t="str">
            <v>神红3星魔躯19级</v>
          </cell>
          <cell r="B12660">
            <v>1209019</v>
          </cell>
        </row>
        <row r="12661">
          <cell r="A12661" t="str">
            <v>神红3星魔躯20级</v>
          </cell>
          <cell r="B12661">
            <v>1209020</v>
          </cell>
        </row>
        <row r="12662">
          <cell r="A12662" t="str">
            <v>神红3星魔躯21级</v>
          </cell>
          <cell r="B12662">
            <v>1209021</v>
          </cell>
        </row>
        <row r="12663">
          <cell r="A12663" t="str">
            <v>神红3星魔躯22级</v>
          </cell>
          <cell r="B12663">
            <v>1209022</v>
          </cell>
        </row>
        <row r="12664">
          <cell r="A12664" t="str">
            <v>神红3星魔躯23级</v>
          </cell>
          <cell r="B12664">
            <v>1209023</v>
          </cell>
        </row>
        <row r="12665">
          <cell r="A12665" t="str">
            <v>神红3星魔躯24级</v>
          </cell>
          <cell r="B12665">
            <v>1209024</v>
          </cell>
        </row>
        <row r="12666">
          <cell r="A12666" t="str">
            <v>神红3星魔躯25级</v>
          </cell>
          <cell r="B12666">
            <v>1209025</v>
          </cell>
        </row>
        <row r="12667">
          <cell r="A12667" t="str">
            <v>神红3星魔躯26级</v>
          </cell>
          <cell r="B12667">
            <v>1209026</v>
          </cell>
        </row>
        <row r="12668">
          <cell r="A12668" t="str">
            <v>神红3星魔躯27级</v>
          </cell>
          <cell r="B12668">
            <v>1209027</v>
          </cell>
        </row>
        <row r="12669">
          <cell r="A12669" t="str">
            <v>神红3星魔躯28级</v>
          </cell>
          <cell r="B12669">
            <v>1209028</v>
          </cell>
        </row>
        <row r="12670">
          <cell r="A12670" t="str">
            <v>神红3星魔躯29级</v>
          </cell>
          <cell r="B12670">
            <v>1209029</v>
          </cell>
        </row>
        <row r="12671">
          <cell r="A12671" t="str">
            <v>神红3星魔躯30级</v>
          </cell>
          <cell r="B12671">
            <v>1209030</v>
          </cell>
        </row>
        <row r="12672">
          <cell r="A12672" t="str">
            <v>神红3星魔躯31级</v>
          </cell>
          <cell r="B12672">
            <v>1209031</v>
          </cell>
        </row>
        <row r="12673">
          <cell r="A12673" t="str">
            <v>神红3星魔躯32级</v>
          </cell>
          <cell r="B12673">
            <v>1209032</v>
          </cell>
        </row>
        <row r="12674">
          <cell r="A12674" t="str">
            <v>神红3星魔躯33级</v>
          </cell>
          <cell r="B12674">
            <v>1209033</v>
          </cell>
        </row>
        <row r="12675">
          <cell r="A12675" t="str">
            <v>神红3星魔躯34级</v>
          </cell>
          <cell r="B12675">
            <v>1209034</v>
          </cell>
        </row>
        <row r="12676">
          <cell r="A12676" t="str">
            <v>神红3星魔躯35级</v>
          </cell>
          <cell r="B12676">
            <v>1209035</v>
          </cell>
        </row>
        <row r="12677">
          <cell r="A12677" t="str">
            <v>神红3星魔躯36级</v>
          </cell>
          <cell r="B12677">
            <v>1209036</v>
          </cell>
        </row>
        <row r="12678">
          <cell r="A12678" t="str">
            <v>神红3星魔躯37级</v>
          </cell>
          <cell r="B12678">
            <v>1209037</v>
          </cell>
        </row>
        <row r="12679">
          <cell r="A12679" t="str">
            <v>神红3星魔躯38级</v>
          </cell>
          <cell r="B12679">
            <v>1209038</v>
          </cell>
        </row>
        <row r="12680">
          <cell r="A12680" t="str">
            <v>神红3星魔躯39级</v>
          </cell>
          <cell r="B12680">
            <v>1209039</v>
          </cell>
        </row>
        <row r="12681">
          <cell r="A12681" t="str">
            <v>神红3星魔躯40级</v>
          </cell>
          <cell r="B12681">
            <v>1209040</v>
          </cell>
        </row>
        <row r="12682">
          <cell r="A12682" t="str">
            <v>神红3星魔躯41级</v>
          </cell>
          <cell r="B12682">
            <v>1209041</v>
          </cell>
        </row>
        <row r="12683">
          <cell r="A12683" t="str">
            <v>神红3星魔躯42级</v>
          </cell>
          <cell r="B12683">
            <v>1209042</v>
          </cell>
        </row>
        <row r="12684">
          <cell r="A12684" t="str">
            <v>神红3星魔躯43级</v>
          </cell>
          <cell r="B12684">
            <v>1209043</v>
          </cell>
        </row>
        <row r="12685">
          <cell r="A12685" t="str">
            <v>神红3星魔躯44级</v>
          </cell>
          <cell r="B12685">
            <v>1209044</v>
          </cell>
        </row>
        <row r="12686">
          <cell r="A12686" t="str">
            <v>神红3星魔躯45级</v>
          </cell>
          <cell r="B12686">
            <v>1209045</v>
          </cell>
        </row>
        <row r="12687">
          <cell r="A12687" t="str">
            <v>神红3星魔躯46级</v>
          </cell>
          <cell r="B12687">
            <v>1209046</v>
          </cell>
        </row>
        <row r="12688">
          <cell r="A12688" t="str">
            <v>神红3星魔躯47级</v>
          </cell>
          <cell r="B12688">
            <v>1209047</v>
          </cell>
        </row>
        <row r="12689">
          <cell r="A12689" t="str">
            <v>神红3星魔躯48级</v>
          </cell>
          <cell r="B12689">
            <v>1209048</v>
          </cell>
        </row>
        <row r="12690">
          <cell r="A12690" t="str">
            <v>神红3星魔躯49级</v>
          </cell>
          <cell r="B12690">
            <v>1209049</v>
          </cell>
        </row>
        <row r="12691">
          <cell r="A12691" t="str">
            <v>神红3星魔躯50级</v>
          </cell>
          <cell r="B12691">
            <v>1209050</v>
          </cell>
        </row>
        <row r="12692">
          <cell r="A12692" t="str">
            <v>神红3星魔躯51级</v>
          </cell>
          <cell r="B12692">
            <v>1209051</v>
          </cell>
        </row>
        <row r="12693">
          <cell r="A12693" t="str">
            <v>神红3星魔躯52级</v>
          </cell>
          <cell r="B12693">
            <v>1209052</v>
          </cell>
        </row>
        <row r="12694">
          <cell r="A12694" t="str">
            <v>神红3星魔躯53级</v>
          </cell>
          <cell r="B12694">
            <v>1209053</v>
          </cell>
        </row>
        <row r="12695">
          <cell r="A12695" t="str">
            <v>神红3星魔躯54级</v>
          </cell>
          <cell r="B12695">
            <v>1209054</v>
          </cell>
        </row>
        <row r="12696">
          <cell r="A12696" t="str">
            <v>神红3星魔躯55级</v>
          </cell>
          <cell r="B12696">
            <v>1209055</v>
          </cell>
        </row>
        <row r="12697">
          <cell r="A12697" t="str">
            <v>神红3星魔躯56级</v>
          </cell>
          <cell r="B12697">
            <v>1209056</v>
          </cell>
        </row>
        <row r="12698">
          <cell r="A12698" t="str">
            <v>神红3星魔躯57级</v>
          </cell>
          <cell r="B12698">
            <v>1209057</v>
          </cell>
        </row>
        <row r="12699">
          <cell r="A12699" t="str">
            <v>神红3星魔躯58级</v>
          </cell>
          <cell r="B12699">
            <v>1209058</v>
          </cell>
        </row>
        <row r="12700">
          <cell r="A12700" t="str">
            <v>神红3星魔躯59级</v>
          </cell>
          <cell r="B12700">
            <v>1209059</v>
          </cell>
        </row>
        <row r="12701">
          <cell r="A12701" t="str">
            <v>神红3星魔躯60级</v>
          </cell>
          <cell r="B12701">
            <v>1209060</v>
          </cell>
        </row>
        <row r="12702">
          <cell r="A12702" t="str">
            <v>神红3星魔躯61级</v>
          </cell>
          <cell r="B12702">
            <v>1209061</v>
          </cell>
        </row>
        <row r="12703">
          <cell r="A12703" t="str">
            <v>神红3星魔躯62级</v>
          </cell>
          <cell r="B12703">
            <v>1209062</v>
          </cell>
        </row>
        <row r="12704">
          <cell r="A12704" t="str">
            <v>神红3星魔躯63级</v>
          </cell>
          <cell r="B12704">
            <v>1209063</v>
          </cell>
        </row>
        <row r="12705">
          <cell r="A12705" t="str">
            <v>神红3星魔躯64级</v>
          </cell>
          <cell r="B12705">
            <v>1209064</v>
          </cell>
        </row>
        <row r="12706">
          <cell r="A12706" t="str">
            <v>神红3星魔躯65级</v>
          </cell>
          <cell r="B12706">
            <v>1209065</v>
          </cell>
        </row>
        <row r="12707">
          <cell r="A12707" t="str">
            <v>神红3星魔躯66级</v>
          </cell>
          <cell r="B12707">
            <v>1209066</v>
          </cell>
        </row>
        <row r="12708">
          <cell r="A12708" t="str">
            <v>神红3星魔躯67级</v>
          </cell>
          <cell r="B12708">
            <v>1209067</v>
          </cell>
        </row>
        <row r="12709">
          <cell r="A12709" t="str">
            <v>神红3星魔躯68级</v>
          </cell>
          <cell r="B12709">
            <v>1209068</v>
          </cell>
        </row>
        <row r="12710">
          <cell r="A12710" t="str">
            <v>神红3星魔躯69级</v>
          </cell>
          <cell r="B12710">
            <v>1209069</v>
          </cell>
        </row>
        <row r="12711">
          <cell r="A12711" t="str">
            <v>神红3星魔躯70级</v>
          </cell>
          <cell r="B12711">
            <v>1209070</v>
          </cell>
        </row>
        <row r="12712">
          <cell r="A12712" t="str">
            <v>神红3星魔躯71级</v>
          </cell>
          <cell r="B12712">
            <v>1209071</v>
          </cell>
        </row>
        <row r="12713">
          <cell r="A12713" t="str">
            <v>神红3星魔躯72级</v>
          </cell>
          <cell r="B12713">
            <v>1209072</v>
          </cell>
        </row>
        <row r="12714">
          <cell r="A12714" t="str">
            <v>神红3星魔躯73级</v>
          </cell>
          <cell r="B12714">
            <v>1209073</v>
          </cell>
        </row>
        <row r="12715">
          <cell r="A12715" t="str">
            <v>神红3星魔躯74级</v>
          </cell>
          <cell r="B12715">
            <v>1209074</v>
          </cell>
        </row>
        <row r="12716">
          <cell r="A12716" t="str">
            <v>神红3星魔躯75级</v>
          </cell>
          <cell r="B12716">
            <v>1209075</v>
          </cell>
        </row>
        <row r="12717">
          <cell r="A12717" t="str">
            <v>神红3星魔躯76级</v>
          </cell>
          <cell r="B12717">
            <v>1209076</v>
          </cell>
        </row>
        <row r="12718">
          <cell r="A12718" t="str">
            <v>神红3星魔躯77级</v>
          </cell>
          <cell r="B12718">
            <v>1209077</v>
          </cell>
        </row>
        <row r="12719">
          <cell r="A12719" t="str">
            <v>神红3星魔躯78级</v>
          </cell>
          <cell r="B12719">
            <v>1209078</v>
          </cell>
        </row>
        <row r="12720">
          <cell r="A12720" t="str">
            <v>神红3星魔躯79级</v>
          </cell>
          <cell r="B12720">
            <v>1209079</v>
          </cell>
        </row>
        <row r="12721">
          <cell r="A12721" t="str">
            <v>神红3星魔躯80级</v>
          </cell>
          <cell r="B12721">
            <v>1209080</v>
          </cell>
        </row>
        <row r="12722">
          <cell r="A12722" t="str">
            <v>神红3星魔躯81级</v>
          </cell>
          <cell r="B12722">
            <v>1209081</v>
          </cell>
        </row>
        <row r="12723">
          <cell r="A12723" t="str">
            <v>神红3星魔躯82级</v>
          </cell>
          <cell r="B12723">
            <v>1209082</v>
          </cell>
        </row>
        <row r="12724">
          <cell r="A12724" t="str">
            <v>神红3星魔躯83级</v>
          </cell>
          <cell r="B12724">
            <v>1209083</v>
          </cell>
        </row>
        <row r="12725">
          <cell r="A12725" t="str">
            <v>神红3星魔躯84级</v>
          </cell>
          <cell r="B12725">
            <v>1209084</v>
          </cell>
        </row>
        <row r="12726">
          <cell r="A12726" t="str">
            <v>神红3星魔躯85级</v>
          </cell>
          <cell r="B12726">
            <v>1209085</v>
          </cell>
        </row>
        <row r="12727">
          <cell r="A12727" t="str">
            <v>神红3星魔躯86级</v>
          </cell>
          <cell r="B12727">
            <v>1209086</v>
          </cell>
        </row>
        <row r="12728">
          <cell r="A12728" t="str">
            <v>神红3星魔躯87级</v>
          </cell>
          <cell r="B12728">
            <v>1209087</v>
          </cell>
        </row>
        <row r="12729">
          <cell r="A12729" t="str">
            <v>神红3星魔躯88级</v>
          </cell>
          <cell r="B12729">
            <v>1209088</v>
          </cell>
        </row>
        <row r="12730">
          <cell r="A12730" t="str">
            <v>神红3星魔躯89级</v>
          </cell>
          <cell r="B12730">
            <v>1209089</v>
          </cell>
        </row>
        <row r="12731">
          <cell r="A12731" t="str">
            <v>神红3星魔躯90级</v>
          </cell>
          <cell r="B12731">
            <v>1209090</v>
          </cell>
        </row>
        <row r="12732">
          <cell r="A12732" t="str">
            <v>神红3星魔躯91级</v>
          </cell>
          <cell r="B12732">
            <v>1209091</v>
          </cell>
        </row>
        <row r="12733">
          <cell r="A12733" t="str">
            <v>神红3星魔躯92级</v>
          </cell>
          <cell r="B12733">
            <v>1209092</v>
          </cell>
        </row>
        <row r="12734">
          <cell r="A12734" t="str">
            <v>神红3星魔躯93级</v>
          </cell>
          <cell r="B12734">
            <v>1209093</v>
          </cell>
        </row>
        <row r="12735">
          <cell r="A12735" t="str">
            <v>神红3星魔躯94级</v>
          </cell>
          <cell r="B12735">
            <v>1209094</v>
          </cell>
        </row>
        <row r="12736">
          <cell r="A12736" t="str">
            <v>神红3星魔躯95级</v>
          </cell>
          <cell r="B12736">
            <v>1209095</v>
          </cell>
        </row>
        <row r="12737">
          <cell r="A12737" t="str">
            <v>神红3星魔躯96级</v>
          </cell>
          <cell r="B12737">
            <v>1209096</v>
          </cell>
        </row>
        <row r="12738">
          <cell r="A12738" t="str">
            <v>神红3星魔躯97级</v>
          </cell>
          <cell r="B12738">
            <v>1209097</v>
          </cell>
        </row>
        <row r="12739">
          <cell r="A12739" t="str">
            <v>神红3星魔躯98级</v>
          </cell>
          <cell r="B12739">
            <v>1209098</v>
          </cell>
        </row>
        <row r="12740">
          <cell r="A12740" t="str">
            <v>神红3星魔躯99级</v>
          </cell>
          <cell r="B12740">
            <v>1209099</v>
          </cell>
        </row>
        <row r="12741">
          <cell r="A12741" t="str">
            <v>神红3星魔躯100级</v>
          </cell>
          <cell r="B12741">
            <v>1209100</v>
          </cell>
        </row>
        <row r="12742">
          <cell r="A12742" t="str">
            <v>圣红3星魔躯1级</v>
          </cell>
          <cell r="B12742">
            <v>1210001</v>
          </cell>
        </row>
        <row r="12743">
          <cell r="A12743" t="str">
            <v>圣红3星魔躯2级</v>
          </cell>
          <cell r="B12743">
            <v>1210002</v>
          </cell>
        </row>
        <row r="12744">
          <cell r="A12744" t="str">
            <v>圣红3星魔躯3级</v>
          </cell>
          <cell r="B12744">
            <v>1210003</v>
          </cell>
        </row>
        <row r="12745">
          <cell r="A12745" t="str">
            <v>圣红3星魔躯4级</v>
          </cell>
          <cell r="B12745">
            <v>1210004</v>
          </cell>
        </row>
        <row r="12746">
          <cell r="A12746" t="str">
            <v>圣红3星魔躯5级</v>
          </cell>
          <cell r="B12746">
            <v>1210005</v>
          </cell>
        </row>
        <row r="12747">
          <cell r="A12747" t="str">
            <v>圣红3星魔躯6级</v>
          </cell>
          <cell r="B12747">
            <v>1210006</v>
          </cell>
        </row>
        <row r="12748">
          <cell r="A12748" t="str">
            <v>圣红3星魔躯7级</v>
          </cell>
          <cell r="B12748">
            <v>1210007</v>
          </cell>
        </row>
        <row r="12749">
          <cell r="A12749" t="str">
            <v>圣红3星魔躯8级</v>
          </cell>
          <cell r="B12749">
            <v>1210008</v>
          </cell>
        </row>
        <row r="12750">
          <cell r="A12750" t="str">
            <v>圣红3星魔躯9级</v>
          </cell>
          <cell r="B12750">
            <v>1210009</v>
          </cell>
        </row>
        <row r="12751">
          <cell r="A12751" t="str">
            <v>圣红3星魔躯10级</v>
          </cell>
          <cell r="B12751">
            <v>1210010</v>
          </cell>
        </row>
        <row r="12752">
          <cell r="A12752" t="str">
            <v>圣红3星魔躯11级</v>
          </cell>
          <cell r="B12752">
            <v>1210011</v>
          </cell>
        </row>
        <row r="12753">
          <cell r="A12753" t="str">
            <v>圣红3星魔躯12级</v>
          </cell>
          <cell r="B12753">
            <v>1210012</v>
          </cell>
        </row>
        <row r="12754">
          <cell r="A12754" t="str">
            <v>圣红3星魔躯13级</v>
          </cell>
          <cell r="B12754">
            <v>1210013</v>
          </cell>
        </row>
        <row r="12755">
          <cell r="A12755" t="str">
            <v>圣红3星魔躯14级</v>
          </cell>
          <cell r="B12755">
            <v>1210014</v>
          </cell>
        </row>
        <row r="12756">
          <cell r="A12756" t="str">
            <v>圣红3星魔躯15级</v>
          </cell>
          <cell r="B12756">
            <v>1210015</v>
          </cell>
        </row>
        <row r="12757">
          <cell r="A12757" t="str">
            <v>圣红3星魔躯16级</v>
          </cell>
          <cell r="B12757">
            <v>1210016</v>
          </cell>
        </row>
        <row r="12758">
          <cell r="A12758" t="str">
            <v>圣红3星魔躯17级</v>
          </cell>
          <cell r="B12758">
            <v>1210017</v>
          </cell>
        </row>
        <row r="12759">
          <cell r="A12759" t="str">
            <v>圣红3星魔躯18级</v>
          </cell>
          <cell r="B12759">
            <v>1210018</v>
          </cell>
        </row>
        <row r="12760">
          <cell r="A12760" t="str">
            <v>圣红3星魔躯19级</v>
          </cell>
          <cell r="B12760">
            <v>1210019</v>
          </cell>
        </row>
        <row r="12761">
          <cell r="A12761" t="str">
            <v>圣红3星魔躯20级</v>
          </cell>
          <cell r="B12761">
            <v>1210020</v>
          </cell>
        </row>
        <row r="12762">
          <cell r="A12762" t="str">
            <v>圣红3星魔躯21级</v>
          </cell>
          <cell r="B12762">
            <v>1210021</v>
          </cell>
        </row>
        <row r="12763">
          <cell r="A12763" t="str">
            <v>圣红3星魔躯22级</v>
          </cell>
          <cell r="B12763">
            <v>1210022</v>
          </cell>
        </row>
        <row r="12764">
          <cell r="A12764" t="str">
            <v>圣红3星魔躯23级</v>
          </cell>
          <cell r="B12764">
            <v>1210023</v>
          </cell>
        </row>
        <row r="12765">
          <cell r="A12765" t="str">
            <v>圣红3星魔躯24级</v>
          </cell>
          <cell r="B12765">
            <v>1210024</v>
          </cell>
        </row>
        <row r="12766">
          <cell r="A12766" t="str">
            <v>圣红3星魔躯25级</v>
          </cell>
          <cell r="B12766">
            <v>1210025</v>
          </cell>
        </row>
        <row r="12767">
          <cell r="A12767" t="str">
            <v>圣红3星魔躯26级</v>
          </cell>
          <cell r="B12767">
            <v>1210026</v>
          </cell>
        </row>
        <row r="12768">
          <cell r="A12768" t="str">
            <v>圣红3星魔躯27级</v>
          </cell>
          <cell r="B12768">
            <v>1210027</v>
          </cell>
        </row>
        <row r="12769">
          <cell r="A12769" t="str">
            <v>圣红3星魔躯28级</v>
          </cell>
          <cell r="B12769">
            <v>1210028</v>
          </cell>
        </row>
        <row r="12770">
          <cell r="A12770" t="str">
            <v>圣红3星魔躯29级</v>
          </cell>
          <cell r="B12770">
            <v>1210029</v>
          </cell>
        </row>
        <row r="12771">
          <cell r="A12771" t="str">
            <v>圣红3星魔躯30级</v>
          </cell>
          <cell r="B12771">
            <v>1210030</v>
          </cell>
        </row>
        <row r="12772">
          <cell r="A12772" t="str">
            <v>圣红3星魔躯31级</v>
          </cell>
          <cell r="B12772">
            <v>1210031</v>
          </cell>
        </row>
        <row r="12773">
          <cell r="A12773" t="str">
            <v>圣红3星魔躯32级</v>
          </cell>
          <cell r="B12773">
            <v>1210032</v>
          </cell>
        </row>
        <row r="12774">
          <cell r="A12774" t="str">
            <v>圣红3星魔躯33级</v>
          </cell>
          <cell r="B12774">
            <v>1210033</v>
          </cell>
        </row>
        <row r="12775">
          <cell r="A12775" t="str">
            <v>圣红3星魔躯34级</v>
          </cell>
          <cell r="B12775">
            <v>1210034</v>
          </cell>
        </row>
        <row r="12776">
          <cell r="A12776" t="str">
            <v>圣红3星魔躯35级</v>
          </cell>
          <cell r="B12776">
            <v>1210035</v>
          </cell>
        </row>
        <row r="12777">
          <cell r="A12777" t="str">
            <v>圣红3星魔躯36级</v>
          </cell>
          <cell r="B12777">
            <v>1210036</v>
          </cell>
        </row>
        <row r="12778">
          <cell r="A12778" t="str">
            <v>圣红3星魔躯37级</v>
          </cell>
          <cell r="B12778">
            <v>1210037</v>
          </cell>
        </row>
        <row r="12779">
          <cell r="A12779" t="str">
            <v>圣红3星魔躯38级</v>
          </cell>
          <cell r="B12779">
            <v>1210038</v>
          </cell>
        </row>
        <row r="12780">
          <cell r="A12780" t="str">
            <v>圣红3星魔躯39级</v>
          </cell>
          <cell r="B12780">
            <v>1210039</v>
          </cell>
        </row>
        <row r="12781">
          <cell r="A12781" t="str">
            <v>圣红3星魔躯40级</v>
          </cell>
          <cell r="B12781">
            <v>1210040</v>
          </cell>
        </row>
        <row r="12782">
          <cell r="A12782" t="str">
            <v>圣红3星魔躯41级</v>
          </cell>
          <cell r="B12782">
            <v>1210041</v>
          </cell>
        </row>
        <row r="12783">
          <cell r="A12783" t="str">
            <v>圣红3星魔躯42级</v>
          </cell>
          <cell r="B12783">
            <v>1210042</v>
          </cell>
        </row>
        <row r="12784">
          <cell r="A12784" t="str">
            <v>圣红3星魔躯43级</v>
          </cell>
          <cell r="B12784">
            <v>1210043</v>
          </cell>
        </row>
        <row r="12785">
          <cell r="A12785" t="str">
            <v>圣红3星魔躯44级</v>
          </cell>
          <cell r="B12785">
            <v>1210044</v>
          </cell>
        </row>
        <row r="12786">
          <cell r="A12786" t="str">
            <v>圣红3星魔躯45级</v>
          </cell>
          <cell r="B12786">
            <v>1210045</v>
          </cell>
        </row>
        <row r="12787">
          <cell r="A12787" t="str">
            <v>圣红3星魔躯46级</v>
          </cell>
          <cell r="B12787">
            <v>1210046</v>
          </cell>
        </row>
        <row r="12788">
          <cell r="A12788" t="str">
            <v>圣红3星魔躯47级</v>
          </cell>
          <cell r="B12788">
            <v>1210047</v>
          </cell>
        </row>
        <row r="12789">
          <cell r="A12789" t="str">
            <v>圣红3星魔躯48级</v>
          </cell>
          <cell r="B12789">
            <v>1210048</v>
          </cell>
        </row>
        <row r="12790">
          <cell r="A12790" t="str">
            <v>圣红3星魔躯49级</v>
          </cell>
          <cell r="B12790">
            <v>1210049</v>
          </cell>
        </row>
        <row r="12791">
          <cell r="A12791" t="str">
            <v>圣红3星魔躯50级</v>
          </cell>
          <cell r="B12791">
            <v>1210050</v>
          </cell>
        </row>
        <row r="12792">
          <cell r="A12792" t="str">
            <v>圣红3星魔躯51级</v>
          </cell>
          <cell r="B12792">
            <v>1210051</v>
          </cell>
        </row>
        <row r="12793">
          <cell r="A12793" t="str">
            <v>圣红3星魔躯52级</v>
          </cell>
          <cell r="B12793">
            <v>1210052</v>
          </cell>
        </row>
        <row r="12794">
          <cell r="A12794" t="str">
            <v>圣红3星魔躯53级</v>
          </cell>
          <cell r="B12794">
            <v>1210053</v>
          </cell>
        </row>
        <row r="12795">
          <cell r="A12795" t="str">
            <v>圣红3星魔躯54级</v>
          </cell>
          <cell r="B12795">
            <v>1210054</v>
          </cell>
        </row>
        <row r="12796">
          <cell r="A12796" t="str">
            <v>圣红3星魔躯55级</v>
          </cell>
          <cell r="B12796">
            <v>1210055</v>
          </cell>
        </row>
        <row r="12797">
          <cell r="A12797" t="str">
            <v>圣红3星魔躯56级</v>
          </cell>
          <cell r="B12797">
            <v>1210056</v>
          </cell>
        </row>
        <row r="12798">
          <cell r="A12798" t="str">
            <v>圣红3星魔躯57级</v>
          </cell>
          <cell r="B12798">
            <v>1210057</v>
          </cell>
        </row>
        <row r="12799">
          <cell r="A12799" t="str">
            <v>圣红3星魔躯58级</v>
          </cell>
          <cell r="B12799">
            <v>1210058</v>
          </cell>
        </row>
        <row r="12800">
          <cell r="A12800" t="str">
            <v>圣红3星魔躯59级</v>
          </cell>
          <cell r="B12800">
            <v>1210059</v>
          </cell>
        </row>
        <row r="12801">
          <cell r="A12801" t="str">
            <v>圣红3星魔躯60级</v>
          </cell>
          <cell r="B12801">
            <v>1210060</v>
          </cell>
        </row>
        <row r="12802">
          <cell r="A12802" t="str">
            <v>圣红3星魔躯61级</v>
          </cell>
          <cell r="B12802">
            <v>1210061</v>
          </cell>
        </row>
        <row r="12803">
          <cell r="A12803" t="str">
            <v>圣红3星魔躯62级</v>
          </cell>
          <cell r="B12803">
            <v>1210062</v>
          </cell>
        </row>
        <row r="12804">
          <cell r="A12804" t="str">
            <v>圣红3星魔躯63级</v>
          </cell>
          <cell r="B12804">
            <v>1210063</v>
          </cell>
        </row>
        <row r="12805">
          <cell r="A12805" t="str">
            <v>圣红3星魔躯64级</v>
          </cell>
          <cell r="B12805">
            <v>1210064</v>
          </cell>
        </row>
        <row r="12806">
          <cell r="A12806" t="str">
            <v>圣红3星魔躯65级</v>
          </cell>
          <cell r="B12806">
            <v>1210065</v>
          </cell>
        </row>
        <row r="12807">
          <cell r="A12807" t="str">
            <v>圣红3星魔躯66级</v>
          </cell>
          <cell r="B12807">
            <v>1210066</v>
          </cell>
        </row>
        <row r="12808">
          <cell r="A12808" t="str">
            <v>圣红3星魔躯67级</v>
          </cell>
          <cell r="B12808">
            <v>1210067</v>
          </cell>
        </row>
        <row r="12809">
          <cell r="A12809" t="str">
            <v>圣红3星魔躯68级</v>
          </cell>
          <cell r="B12809">
            <v>1210068</v>
          </cell>
        </row>
        <row r="12810">
          <cell r="A12810" t="str">
            <v>圣红3星魔躯69级</v>
          </cell>
          <cell r="B12810">
            <v>1210069</v>
          </cell>
        </row>
        <row r="12811">
          <cell r="A12811" t="str">
            <v>圣红3星魔躯70级</v>
          </cell>
          <cell r="B12811">
            <v>1210070</v>
          </cell>
        </row>
        <row r="12812">
          <cell r="A12812" t="str">
            <v>圣红3星魔躯71级</v>
          </cell>
          <cell r="B12812">
            <v>1210071</v>
          </cell>
        </row>
        <row r="12813">
          <cell r="A12813" t="str">
            <v>圣红3星魔躯72级</v>
          </cell>
          <cell r="B12813">
            <v>1210072</v>
          </cell>
        </row>
        <row r="12814">
          <cell r="A12814" t="str">
            <v>圣红3星魔躯73级</v>
          </cell>
          <cell r="B12814">
            <v>1210073</v>
          </cell>
        </row>
        <row r="12815">
          <cell r="A12815" t="str">
            <v>圣红3星魔躯74级</v>
          </cell>
          <cell r="B12815">
            <v>1210074</v>
          </cell>
        </row>
        <row r="12816">
          <cell r="A12816" t="str">
            <v>圣红3星魔躯75级</v>
          </cell>
          <cell r="B12816">
            <v>1210075</v>
          </cell>
        </row>
        <row r="12817">
          <cell r="A12817" t="str">
            <v>圣红3星魔躯76级</v>
          </cell>
          <cell r="B12817">
            <v>1210076</v>
          </cell>
        </row>
        <row r="12818">
          <cell r="A12818" t="str">
            <v>圣红3星魔躯77级</v>
          </cell>
          <cell r="B12818">
            <v>1210077</v>
          </cell>
        </row>
        <row r="12819">
          <cell r="A12819" t="str">
            <v>圣红3星魔躯78级</v>
          </cell>
          <cell r="B12819">
            <v>1210078</v>
          </cell>
        </row>
        <row r="12820">
          <cell r="A12820" t="str">
            <v>圣红3星魔躯79级</v>
          </cell>
          <cell r="B12820">
            <v>1210079</v>
          </cell>
        </row>
        <row r="12821">
          <cell r="A12821" t="str">
            <v>圣红3星魔躯80级</v>
          </cell>
          <cell r="B12821">
            <v>1210080</v>
          </cell>
        </row>
        <row r="12822">
          <cell r="A12822" t="str">
            <v>圣红3星魔躯81级</v>
          </cell>
          <cell r="B12822">
            <v>1210081</v>
          </cell>
        </row>
        <row r="12823">
          <cell r="A12823" t="str">
            <v>圣红3星魔躯82级</v>
          </cell>
          <cell r="B12823">
            <v>1210082</v>
          </cell>
        </row>
        <row r="12824">
          <cell r="A12824" t="str">
            <v>圣红3星魔躯83级</v>
          </cell>
          <cell r="B12824">
            <v>1210083</v>
          </cell>
        </row>
        <row r="12825">
          <cell r="A12825" t="str">
            <v>圣红3星魔躯84级</v>
          </cell>
          <cell r="B12825">
            <v>1210084</v>
          </cell>
        </row>
        <row r="12826">
          <cell r="A12826" t="str">
            <v>圣红3星魔躯85级</v>
          </cell>
          <cell r="B12826">
            <v>1210085</v>
          </cell>
        </row>
        <row r="12827">
          <cell r="A12827" t="str">
            <v>圣红3星魔躯86级</v>
          </cell>
          <cell r="B12827">
            <v>1210086</v>
          </cell>
        </row>
        <row r="12828">
          <cell r="A12828" t="str">
            <v>圣红3星魔躯87级</v>
          </cell>
          <cell r="B12828">
            <v>1210087</v>
          </cell>
        </row>
        <row r="12829">
          <cell r="A12829" t="str">
            <v>圣红3星魔躯88级</v>
          </cell>
          <cell r="B12829">
            <v>1210088</v>
          </cell>
        </row>
        <row r="12830">
          <cell r="A12830" t="str">
            <v>圣红3星魔躯89级</v>
          </cell>
          <cell r="B12830">
            <v>1210089</v>
          </cell>
        </row>
        <row r="12831">
          <cell r="A12831" t="str">
            <v>圣红3星魔躯90级</v>
          </cell>
          <cell r="B12831">
            <v>1210090</v>
          </cell>
        </row>
        <row r="12832">
          <cell r="A12832" t="str">
            <v>圣红3星魔躯91级</v>
          </cell>
          <cell r="B12832">
            <v>1210091</v>
          </cell>
        </row>
        <row r="12833">
          <cell r="A12833" t="str">
            <v>圣红3星魔躯92级</v>
          </cell>
          <cell r="B12833">
            <v>1210092</v>
          </cell>
        </row>
        <row r="12834">
          <cell r="A12834" t="str">
            <v>圣红3星魔躯93级</v>
          </cell>
          <cell r="B12834">
            <v>1210093</v>
          </cell>
        </row>
        <row r="12835">
          <cell r="A12835" t="str">
            <v>圣红3星魔躯94级</v>
          </cell>
          <cell r="B12835">
            <v>1210094</v>
          </cell>
        </row>
        <row r="12836">
          <cell r="A12836" t="str">
            <v>圣红3星魔躯95级</v>
          </cell>
          <cell r="B12836">
            <v>1210095</v>
          </cell>
        </row>
        <row r="12837">
          <cell r="A12837" t="str">
            <v>圣红3星魔躯96级</v>
          </cell>
          <cell r="B12837">
            <v>1210096</v>
          </cell>
        </row>
        <row r="12838">
          <cell r="A12838" t="str">
            <v>圣红3星魔躯97级</v>
          </cell>
          <cell r="B12838">
            <v>1210097</v>
          </cell>
        </row>
        <row r="12839">
          <cell r="A12839" t="str">
            <v>圣红3星魔躯98级</v>
          </cell>
          <cell r="B12839">
            <v>1210098</v>
          </cell>
        </row>
        <row r="12840">
          <cell r="A12840" t="str">
            <v>圣红3星魔躯99级</v>
          </cell>
          <cell r="B12840">
            <v>1210099</v>
          </cell>
        </row>
        <row r="12841">
          <cell r="A12841" t="str">
            <v>圣红3星魔躯100级</v>
          </cell>
          <cell r="B12841">
            <v>1210100</v>
          </cell>
        </row>
        <row r="12842">
          <cell r="A12842" t="str">
            <v>白1星妖尾1级</v>
          </cell>
          <cell r="B12842">
            <v>1300001</v>
          </cell>
        </row>
        <row r="12843">
          <cell r="A12843" t="str">
            <v>白1星妖尾2级</v>
          </cell>
          <cell r="B12843">
            <v>1300002</v>
          </cell>
        </row>
        <row r="12844">
          <cell r="A12844" t="str">
            <v>白1星妖尾3级</v>
          </cell>
          <cell r="B12844">
            <v>1300003</v>
          </cell>
        </row>
        <row r="12845">
          <cell r="A12845" t="str">
            <v>白1星妖尾4级</v>
          </cell>
          <cell r="B12845">
            <v>1300004</v>
          </cell>
        </row>
        <row r="12846">
          <cell r="A12846" t="str">
            <v>白1星妖尾5级</v>
          </cell>
          <cell r="B12846">
            <v>1300005</v>
          </cell>
        </row>
        <row r="12847">
          <cell r="A12847" t="str">
            <v>白1星妖尾6级</v>
          </cell>
          <cell r="B12847">
            <v>1300006</v>
          </cell>
        </row>
        <row r="12848">
          <cell r="A12848" t="str">
            <v>白1星妖尾7级</v>
          </cell>
          <cell r="B12848">
            <v>1300007</v>
          </cell>
        </row>
        <row r="12849">
          <cell r="A12849" t="str">
            <v>白1星妖尾8级</v>
          </cell>
          <cell r="B12849">
            <v>1300008</v>
          </cell>
        </row>
        <row r="12850">
          <cell r="A12850" t="str">
            <v>白1星妖尾9级</v>
          </cell>
          <cell r="B12850">
            <v>1300009</v>
          </cell>
        </row>
        <row r="12851">
          <cell r="A12851" t="str">
            <v>白1星妖尾10级</v>
          </cell>
          <cell r="B12851">
            <v>1300010</v>
          </cell>
        </row>
        <row r="12852">
          <cell r="A12852" t="str">
            <v>白1星妖尾11级</v>
          </cell>
          <cell r="B12852">
            <v>1300011</v>
          </cell>
        </row>
        <row r="12853">
          <cell r="A12853" t="str">
            <v>白1星妖尾12级</v>
          </cell>
          <cell r="B12853">
            <v>1300012</v>
          </cell>
        </row>
        <row r="12854">
          <cell r="A12854" t="str">
            <v>白1星妖尾13级</v>
          </cell>
          <cell r="B12854">
            <v>1300013</v>
          </cell>
        </row>
        <row r="12855">
          <cell r="A12855" t="str">
            <v>白1星妖尾14级</v>
          </cell>
          <cell r="B12855">
            <v>1300014</v>
          </cell>
        </row>
        <row r="12856">
          <cell r="A12856" t="str">
            <v>白1星妖尾15级</v>
          </cell>
          <cell r="B12856">
            <v>1300015</v>
          </cell>
        </row>
        <row r="12857">
          <cell r="A12857" t="str">
            <v>白1星妖尾16级</v>
          </cell>
          <cell r="B12857">
            <v>1300016</v>
          </cell>
        </row>
        <row r="12858">
          <cell r="A12858" t="str">
            <v>白1星妖尾17级</v>
          </cell>
          <cell r="B12858">
            <v>1300017</v>
          </cell>
        </row>
        <row r="12859">
          <cell r="A12859" t="str">
            <v>白1星妖尾18级</v>
          </cell>
          <cell r="B12859">
            <v>1300018</v>
          </cell>
        </row>
        <row r="12860">
          <cell r="A12860" t="str">
            <v>白1星妖尾19级</v>
          </cell>
          <cell r="B12860">
            <v>1300019</v>
          </cell>
        </row>
        <row r="12861">
          <cell r="A12861" t="str">
            <v>白1星妖尾20级</v>
          </cell>
          <cell r="B12861">
            <v>1300020</v>
          </cell>
        </row>
        <row r="12862">
          <cell r="A12862" t="str">
            <v>白1星妖尾21级</v>
          </cell>
          <cell r="B12862">
            <v>1300021</v>
          </cell>
        </row>
        <row r="12863">
          <cell r="A12863" t="str">
            <v>白1星妖尾22级</v>
          </cell>
          <cell r="B12863">
            <v>1300022</v>
          </cell>
        </row>
        <row r="12864">
          <cell r="A12864" t="str">
            <v>白1星妖尾23级</v>
          </cell>
          <cell r="B12864">
            <v>1300023</v>
          </cell>
        </row>
        <row r="12865">
          <cell r="A12865" t="str">
            <v>白1星妖尾24级</v>
          </cell>
          <cell r="B12865">
            <v>1300024</v>
          </cell>
        </row>
        <row r="12866">
          <cell r="A12866" t="str">
            <v>白1星妖尾25级</v>
          </cell>
          <cell r="B12866">
            <v>1300025</v>
          </cell>
        </row>
        <row r="12867">
          <cell r="A12867" t="str">
            <v>白1星妖尾26级</v>
          </cell>
          <cell r="B12867">
            <v>1300026</v>
          </cell>
        </row>
        <row r="12868">
          <cell r="A12868" t="str">
            <v>白1星妖尾27级</v>
          </cell>
          <cell r="B12868">
            <v>1300027</v>
          </cell>
        </row>
        <row r="12869">
          <cell r="A12869" t="str">
            <v>白1星妖尾28级</v>
          </cell>
          <cell r="B12869">
            <v>1300028</v>
          </cell>
        </row>
        <row r="12870">
          <cell r="A12870" t="str">
            <v>白1星妖尾29级</v>
          </cell>
          <cell r="B12870">
            <v>1300029</v>
          </cell>
        </row>
        <row r="12871">
          <cell r="A12871" t="str">
            <v>白1星妖尾30级</v>
          </cell>
          <cell r="B12871">
            <v>1300030</v>
          </cell>
        </row>
        <row r="12872">
          <cell r="A12872" t="str">
            <v>白1星妖尾31级</v>
          </cell>
          <cell r="B12872">
            <v>1300031</v>
          </cell>
        </row>
        <row r="12873">
          <cell r="A12873" t="str">
            <v>白1星妖尾32级</v>
          </cell>
          <cell r="B12873">
            <v>1300032</v>
          </cell>
        </row>
        <row r="12874">
          <cell r="A12874" t="str">
            <v>白1星妖尾33级</v>
          </cell>
          <cell r="B12874">
            <v>1300033</v>
          </cell>
        </row>
        <row r="12875">
          <cell r="A12875" t="str">
            <v>白1星妖尾34级</v>
          </cell>
          <cell r="B12875">
            <v>1300034</v>
          </cell>
        </row>
        <row r="12876">
          <cell r="A12876" t="str">
            <v>白1星妖尾35级</v>
          </cell>
          <cell r="B12876">
            <v>1300035</v>
          </cell>
        </row>
        <row r="12877">
          <cell r="A12877" t="str">
            <v>白1星妖尾36级</v>
          </cell>
          <cell r="B12877">
            <v>1300036</v>
          </cell>
        </row>
        <row r="12878">
          <cell r="A12878" t="str">
            <v>白1星妖尾37级</v>
          </cell>
          <cell r="B12878">
            <v>1300037</v>
          </cell>
        </row>
        <row r="12879">
          <cell r="A12879" t="str">
            <v>白1星妖尾38级</v>
          </cell>
          <cell r="B12879">
            <v>1300038</v>
          </cell>
        </row>
        <row r="12880">
          <cell r="A12880" t="str">
            <v>白1星妖尾39级</v>
          </cell>
          <cell r="B12880">
            <v>1300039</v>
          </cell>
        </row>
        <row r="12881">
          <cell r="A12881" t="str">
            <v>白1星妖尾40级</v>
          </cell>
          <cell r="B12881">
            <v>1300040</v>
          </cell>
        </row>
        <row r="12882">
          <cell r="A12882" t="str">
            <v>白1星妖尾41级</v>
          </cell>
          <cell r="B12882">
            <v>1300041</v>
          </cell>
        </row>
        <row r="12883">
          <cell r="A12883" t="str">
            <v>白1星妖尾42级</v>
          </cell>
          <cell r="B12883">
            <v>1300042</v>
          </cell>
        </row>
        <row r="12884">
          <cell r="A12884" t="str">
            <v>白1星妖尾43级</v>
          </cell>
          <cell r="B12884">
            <v>1300043</v>
          </cell>
        </row>
        <row r="12885">
          <cell r="A12885" t="str">
            <v>白1星妖尾44级</v>
          </cell>
          <cell r="B12885">
            <v>1300044</v>
          </cell>
        </row>
        <row r="12886">
          <cell r="A12886" t="str">
            <v>白1星妖尾45级</v>
          </cell>
          <cell r="B12886">
            <v>1300045</v>
          </cell>
        </row>
        <row r="12887">
          <cell r="A12887" t="str">
            <v>白1星妖尾46级</v>
          </cell>
          <cell r="B12887">
            <v>1300046</v>
          </cell>
        </row>
        <row r="12888">
          <cell r="A12888" t="str">
            <v>白1星妖尾47级</v>
          </cell>
          <cell r="B12888">
            <v>1300047</v>
          </cell>
        </row>
        <row r="12889">
          <cell r="A12889" t="str">
            <v>白1星妖尾48级</v>
          </cell>
          <cell r="B12889">
            <v>1300048</v>
          </cell>
        </row>
        <row r="12890">
          <cell r="A12890" t="str">
            <v>白1星妖尾49级</v>
          </cell>
          <cell r="B12890">
            <v>1300049</v>
          </cell>
        </row>
        <row r="12891">
          <cell r="A12891" t="str">
            <v>白1星妖尾50级</v>
          </cell>
          <cell r="B12891">
            <v>1300050</v>
          </cell>
        </row>
        <row r="12892">
          <cell r="A12892" t="str">
            <v>白1星妖尾51级</v>
          </cell>
          <cell r="B12892">
            <v>1300051</v>
          </cell>
        </row>
        <row r="12893">
          <cell r="A12893" t="str">
            <v>白1星妖尾52级</v>
          </cell>
          <cell r="B12893">
            <v>1300052</v>
          </cell>
        </row>
        <row r="12894">
          <cell r="A12894" t="str">
            <v>白1星妖尾53级</v>
          </cell>
          <cell r="B12894">
            <v>1300053</v>
          </cell>
        </row>
        <row r="12895">
          <cell r="A12895" t="str">
            <v>白1星妖尾54级</v>
          </cell>
          <cell r="B12895">
            <v>1300054</v>
          </cell>
        </row>
        <row r="12896">
          <cell r="A12896" t="str">
            <v>白1星妖尾55级</v>
          </cell>
          <cell r="B12896">
            <v>1300055</v>
          </cell>
        </row>
        <row r="12897">
          <cell r="A12897" t="str">
            <v>白1星妖尾56级</v>
          </cell>
          <cell r="B12897">
            <v>1300056</v>
          </cell>
        </row>
        <row r="12898">
          <cell r="A12898" t="str">
            <v>白1星妖尾57级</v>
          </cell>
          <cell r="B12898">
            <v>1300057</v>
          </cell>
        </row>
        <row r="12899">
          <cell r="A12899" t="str">
            <v>白1星妖尾58级</v>
          </cell>
          <cell r="B12899">
            <v>1300058</v>
          </cell>
        </row>
        <row r="12900">
          <cell r="A12900" t="str">
            <v>白1星妖尾59级</v>
          </cell>
          <cell r="B12900">
            <v>1300059</v>
          </cell>
        </row>
        <row r="12901">
          <cell r="A12901" t="str">
            <v>白1星妖尾60级</v>
          </cell>
          <cell r="B12901">
            <v>1300060</v>
          </cell>
        </row>
        <row r="12902">
          <cell r="A12902" t="str">
            <v>白1星妖尾61级</v>
          </cell>
          <cell r="B12902">
            <v>1300061</v>
          </cell>
        </row>
        <row r="12903">
          <cell r="A12903" t="str">
            <v>白1星妖尾62级</v>
          </cell>
          <cell r="B12903">
            <v>1300062</v>
          </cell>
        </row>
        <row r="12904">
          <cell r="A12904" t="str">
            <v>白1星妖尾63级</v>
          </cell>
          <cell r="B12904">
            <v>1300063</v>
          </cell>
        </row>
        <row r="12905">
          <cell r="A12905" t="str">
            <v>白1星妖尾64级</v>
          </cell>
          <cell r="B12905">
            <v>1300064</v>
          </cell>
        </row>
        <row r="12906">
          <cell r="A12906" t="str">
            <v>白1星妖尾65级</v>
          </cell>
          <cell r="B12906">
            <v>1300065</v>
          </cell>
        </row>
        <row r="12907">
          <cell r="A12907" t="str">
            <v>白1星妖尾66级</v>
          </cell>
          <cell r="B12907">
            <v>1300066</v>
          </cell>
        </row>
        <row r="12908">
          <cell r="A12908" t="str">
            <v>白1星妖尾67级</v>
          </cell>
          <cell r="B12908">
            <v>1300067</v>
          </cell>
        </row>
        <row r="12909">
          <cell r="A12909" t="str">
            <v>白1星妖尾68级</v>
          </cell>
          <cell r="B12909">
            <v>1300068</v>
          </cell>
        </row>
        <row r="12910">
          <cell r="A12910" t="str">
            <v>白1星妖尾69级</v>
          </cell>
          <cell r="B12910">
            <v>1300069</v>
          </cell>
        </row>
        <row r="12911">
          <cell r="A12911" t="str">
            <v>白1星妖尾70级</v>
          </cell>
          <cell r="B12911">
            <v>1300070</v>
          </cell>
        </row>
        <row r="12912">
          <cell r="A12912" t="str">
            <v>白1星妖尾71级</v>
          </cell>
          <cell r="B12912">
            <v>1300071</v>
          </cell>
        </row>
        <row r="12913">
          <cell r="A12913" t="str">
            <v>白1星妖尾72级</v>
          </cell>
          <cell r="B12913">
            <v>1300072</v>
          </cell>
        </row>
        <row r="12914">
          <cell r="A12914" t="str">
            <v>白1星妖尾73级</v>
          </cell>
          <cell r="B12914">
            <v>1300073</v>
          </cell>
        </row>
        <row r="12915">
          <cell r="A12915" t="str">
            <v>白1星妖尾74级</v>
          </cell>
          <cell r="B12915">
            <v>1300074</v>
          </cell>
        </row>
        <row r="12916">
          <cell r="A12916" t="str">
            <v>白1星妖尾75级</v>
          </cell>
          <cell r="B12916">
            <v>1300075</v>
          </cell>
        </row>
        <row r="12917">
          <cell r="A12917" t="str">
            <v>白1星妖尾76级</v>
          </cell>
          <cell r="B12917">
            <v>1300076</v>
          </cell>
        </row>
        <row r="12918">
          <cell r="A12918" t="str">
            <v>白1星妖尾77级</v>
          </cell>
          <cell r="B12918">
            <v>1300077</v>
          </cell>
        </row>
        <row r="12919">
          <cell r="A12919" t="str">
            <v>白1星妖尾78级</v>
          </cell>
          <cell r="B12919">
            <v>1300078</v>
          </cell>
        </row>
        <row r="12920">
          <cell r="A12920" t="str">
            <v>白1星妖尾79级</v>
          </cell>
          <cell r="B12920">
            <v>1300079</v>
          </cell>
        </row>
        <row r="12921">
          <cell r="A12921" t="str">
            <v>白1星妖尾80级</v>
          </cell>
          <cell r="B12921">
            <v>1300080</v>
          </cell>
        </row>
        <row r="12922">
          <cell r="A12922" t="str">
            <v>白1星妖尾81级</v>
          </cell>
          <cell r="B12922">
            <v>1300081</v>
          </cell>
        </row>
        <row r="12923">
          <cell r="A12923" t="str">
            <v>白1星妖尾82级</v>
          </cell>
          <cell r="B12923">
            <v>1300082</v>
          </cell>
        </row>
        <row r="12924">
          <cell r="A12924" t="str">
            <v>白1星妖尾83级</v>
          </cell>
          <cell r="B12924">
            <v>1300083</v>
          </cell>
        </row>
        <row r="12925">
          <cell r="A12925" t="str">
            <v>白1星妖尾84级</v>
          </cell>
          <cell r="B12925">
            <v>1300084</v>
          </cell>
        </row>
        <row r="12926">
          <cell r="A12926" t="str">
            <v>白1星妖尾85级</v>
          </cell>
          <cell r="B12926">
            <v>1300085</v>
          </cell>
        </row>
        <row r="12927">
          <cell r="A12927" t="str">
            <v>白1星妖尾86级</v>
          </cell>
          <cell r="B12927">
            <v>1300086</v>
          </cell>
        </row>
        <row r="12928">
          <cell r="A12928" t="str">
            <v>白1星妖尾87级</v>
          </cell>
          <cell r="B12928">
            <v>1300087</v>
          </cell>
        </row>
        <row r="12929">
          <cell r="A12929" t="str">
            <v>白1星妖尾88级</v>
          </cell>
          <cell r="B12929">
            <v>1300088</v>
          </cell>
        </row>
        <row r="12930">
          <cell r="A12930" t="str">
            <v>白1星妖尾89级</v>
          </cell>
          <cell r="B12930">
            <v>1300089</v>
          </cell>
        </row>
        <row r="12931">
          <cell r="A12931" t="str">
            <v>白1星妖尾90级</v>
          </cell>
          <cell r="B12931">
            <v>1300090</v>
          </cell>
        </row>
        <row r="12932">
          <cell r="A12932" t="str">
            <v>白1星妖尾91级</v>
          </cell>
          <cell r="B12932">
            <v>1300091</v>
          </cell>
        </row>
        <row r="12933">
          <cell r="A12933" t="str">
            <v>白1星妖尾92级</v>
          </cell>
          <cell r="B12933">
            <v>1300092</v>
          </cell>
        </row>
        <row r="12934">
          <cell r="A12934" t="str">
            <v>白1星妖尾93级</v>
          </cell>
          <cell r="B12934">
            <v>1300093</v>
          </cell>
        </row>
        <row r="12935">
          <cell r="A12935" t="str">
            <v>白1星妖尾94级</v>
          </cell>
          <cell r="B12935">
            <v>1300094</v>
          </cell>
        </row>
        <row r="12936">
          <cell r="A12936" t="str">
            <v>白1星妖尾95级</v>
          </cell>
          <cell r="B12936">
            <v>1300095</v>
          </cell>
        </row>
        <row r="12937">
          <cell r="A12937" t="str">
            <v>白1星妖尾96级</v>
          </cell>
          <cell r="B12937">
            <v>1300096</v>
          </cell>
        </row>
        <row r="12938">
          <cell r="A12938" t="str">
            <v>白1星妖尾97级</v>
          </cell>
          <cell r="B12938">
            <v>1300097</v>
          </cell>
        </row>
        <row r="12939">
          <cell r="A12939" t="str">
            <v>白1星妖尾98级</v>
          </cell>
          <cell r="B12939">
            <v>1300098</v>
          </cell>
        </row>
        <row r="12940">
          <cell r="A12940" t="str">
            <v>白1星妖尾99级</v>
          </cell>
          <cell r="B12940">
            <v>1300099</v>
          </cell>
        </row>
        <row r="12941">
          <cell r="A12941" t="str">
            <v>白1星妖尾100级</v>
          </cell>
          <cell r="B12941">
            <v>1300100</v>
          </cell>
        </row>
        <row r="12942">
          <cell r="A12942" t="str">
            <v>白2星妖尾1级</v>
          </cell>
          <cell r="B12942">
            <v>1301001</v>
          </cell>
        </row>
        <row r="12943">
          <cell r="A12943" t="str">
            <v>白2星妖尾2级</v>
          </cell>
          <cell r="B12943">
            <v>1301002</v>
          </cell>
        </row>
        <row r="12944">
          <cell r="A12944" t="str">
            <v>白2星妖尾3级</v>
          </cell>
          <cell r="B12944">
            <v>1301003</v>
          </cell>
        </row>
        <row r="12945">
          <cell r="A12945" t="str">
            <v>白2星妖尾4级</v>
          </cell>
          <cell r="B12945">
            <v>1301004</v>
          </cell>
        </row>
        <row r="12946">
          <cell r="A12946" t="str">
            <v>白2星妖尾5级</v>
          </cell>
          <cell r="B12946">
            <v>1301005</v>
          </cell>
        </row>
        <row r="12947">
          <cell r="A12947" t="str">
            <v>白2星妖尾6级</v>
          </cell>
          <cell r="B12947">
            <v>1301006</v>
          </cell>
        </row>
        <row r="12948">
          <cell r="A12948" t="str">
            <v>白2星妖尾7级</v>
          </cell>
          <cell r="B12948">
            <v>1301007</v>
          </cell>
        </row>
        <row r="12949">
          <cell r="A12949" t="str">
            <v>白2星妖尾8级</v>
          </cell>
          <cell r="B12949">
            <v>1301008</v>
          </cell>
        </row>
        <row r="12950">
          <cell r="A12950" t="str">
            <v>白2星妖尾9级</v>
          </cell>
          <cell r="B12950">
            <v>1301009</v>
          </cell>
        </row>
        <row r="12951">
          <cell r="A12951" t="str">
            <v>白2星妖尾10级</v>
          </cell>
          <cell r="B12951">
            <v>1301010</v>
          </cell>
        </row>
        <row r="12952">
          <cell r="A12952" t="str">
            <v>白2星妖尾11级</v>
          </cell>
          <cell r="B12952">
            <v>1301011</v>
          </cell>
        </row>
        <row r="12953">
          <cell r="A12953" t="str">
            <v>白2星妖尾12级</v>
          </cell>
          <cell r="B12953">
            <v>1301012</v>
          </cell>
        </row>
        <row r="12954">
          <cell r="A12954" t="str">
            <v>白2星妖尾13级</v>
          </cell>
          <cell r="B12954">
            <v>1301013</v>
          </cell>
        </row>
        <row r="12955">
          <cell r="A12955" t="str">
            <v>白2星妖尾14级</v>
          </cell>
          <cell r="B12955">
            <v>1301014</v>
          </cell>
        </row>
        <row r="12956">
          <cell r="A12956" t="str">
            <v>白2星妖尾15级</v>
          </cell>
          <cell r="B12956">
            <v>1301015</v>
          </cell>
        </row>
        <row r="12957">
          <cell r="A12957" t="str">
            <v>白2星妖尾16级</v>
          </cell>
          <cell r="B12957">
            <v>1301016</v>
          </cell>
        </row>
        <row r="12958">
          <cell r="A12958" t="str">
            <v>白2星妖尾17级</v>
          </cell>
          <cell r="B12958">
            <v>1301017</v>
          </cell>
        </row>
        <row r="12959">
          <cell r="A12959" t="str">
            <v>白2星妖尾18级</v>
          </cell>
          <cell r="B12959">
            <v>1301018</v>
          </cell>
        </row>
        <row r="12960">
          <cell r="A12960" t="str">
            <v>白2星妖尾19级</v>
          </cell>
          <cell r="B12960">
            <v>1301019</v>
          </cell>
        </row>
        <row r="12961">
          <cell r="A12961" t="str">
            <v>白2星妖尾20级</v>
          </cell>
          <cell r="B12961">
            <v>1301020</v>
          </cell>
        </row>
        <row r="12962">
          <cell r="A12962" t="str">
            <v>白2星妖尾21级</v>
          </cell>
          <cell r="B12962">
            <v>1301021</v>
          </cell>
        </row>
        <row r="12963">
          <cell r="A12963" t="str">
            <v>白2星妖尾22级</v>
          </cell>
          <cell r="B12963">
            <v>1301022</v>
          </cell>
        </row>
        <row r="12964">
          <cell r="A12964" t="str">
            <v>白2星妖尾23级</v>
          </cell>
          <cell r="B12964">
            <v>1301023</v>
          </cell>
        </row>
        <row r="12965">
          <cell r="A12965" t="str">
            <v>白2星妖尾24级</v>
          </cell>
          <cell r="B12965">
            <v>1301024</v>
          </cell>
        </row>
        <row r="12966">
          <cell r="A12966" t="str">
            <v>白2星妖尾25级</v>
          </cell>
          <cell r="B12966">
            <v>1301025</v>
          </cell>
        </row>
        <row r="12967">
          <cell r="A12967" t="str">
            <v>白2星妖尾26级</v>
          </cell>
          <cell r="B12967">
            <v>1301026</v>
          </cell>
        </row>
        <row r="12968">
          <cell r="A12968" t="str">
            <v>白2星妖尾27级</v>
          </cell>
          <cell r="B12968">
            <v>1301027</v>
          </cell>
        </row>
        <row r="12969">
          <cell r="A12969" t="str">
            <v>白2星妖尾28级</v>
          </cell>
          <cell r="B12969">
            <v>1301028</v>
          </cell>
        </row>
        <row r="12970">
          <cell r="A12970" t="str">
            <v>白2星妖尾29级</v>
          </cell>
          <cell r="B12970">
            <v>1301029</v>
          </cell>
        </row>
        <row r="12971">
          <cell r="A12971" t="str">
            <v>白2星妖尾30级</v>
          </cell>
          <cell r="B12971">
            <v>1301030</v>
          </cell>
        </row>
        <row r="12972">
          <cell r="A12972" t="str">
            <v>白2星妖尾31级</v>
          </cell>
          <cell r="B12972">
            <v>1301031</v>
          </cell>
        </row>
        <row r="12973">
          <cell r="A12973" t="str">
            <v>白2星妖尾32级</v>
          </cell>
          <cell r="B12973">
            <v>1301032</v>
          </cell>
        </row>
        <row r="12974">
          <cell r="A12974" t="str">
            <v>白2星妖尾33级</v>
          </cell>
          <cell r="B12974">
            <v>1301033</v>
          </cell>
        </row>
        <row r="12975">
          <cell r="A12975" t="str">
            <v>白2星妖尾34级</v>
          </cell>
          <cell r="B12975">
            <v>1301034</v>
          </cell>
        </row>
        <row r="12976">
          <cell r="A12976" t="str">
            <v>白2星妖尾35级</v>
          </cell>
          <cell r="B12976">
            <v>1301035</v>
          </cell>
        </row>
        <row r="12977">
          <cell r="A12977" t="str">
            <v>白2星妖尾36级</v>
          </cell>
          <cell r="B12977">
            <v>1301036</v>
          </cell>
        </row>
        <row r="12978">
          <cell r="A12978" t="str">
            <v>白2星妖尾37级</v>
          </cell>
          <cell r="B12978">
            <v>1301037</v>
          </cell>
        </row>
        <row r="12979">
          <cell r="A12979" t="str">
            <v>白2星妖尾38级</v>
          </cell>
          <cell r="B12979">
            <v>1301038</v>
          </cell>
        </row>
        <row r="12980">
          <cell r="A12980" t="str">
            <v>白2星妖尾39级</v>
          </cell>
          <cell r="B12980">
            <v>1301039</v>
          </cell>
        </row>
        <row r="12981">
          <cell r="A12981" t="str">
            <v>白2星妖尾40级</v>
          </cell>
          <cell r="B12981">
            <v>1301040</v>
          </cell>
        </row>
        <row r="12982">
          <cell r="A12982" t="str">
            <v>白2星妖尾41级</v>
          </cell>
          <cell r="B12982">
            <v>1301041</v>
          </cell>
        </row>
        <row r="12983">
          <cell r="A12983" t="str">
            <v>白2星妖尾42级</v>
          </cell>
          <cell r="B12983">
            <v>1301042</v>
          </cell>
        </row>
        <row r="12984">
          <cell r="A12984" t="str">
            <v>白2星妖尾43级</v>
          </cell>
          <cell r="B12984">
            <v>1301043</v>
          </cell>
        </row>
        <row r="12985">
          <cell r="A12985" t="str">
            <v>白2星妖尾44级</v>
          </cell>
          <cell r="B12985">
            <v>1301044</v>
          </cell>
        </row>
        <row r="12986">
          <cell r="A12986" t="str">
            <v>白2星妖尾45级</v>
          </cell>
          <cell r="B12986">
            <v>1301045</v>
          </cell>
        </row>
        <row r="12987">
          <cell r="A12987" t="str">
            <v>白2星妖尾46级</v>
          </cell>
          <cell r="B12987">
            <v>1301046</v>
          </cell>
        </row>
        <row r="12988">
          <cell r="A12988" t="str">
            <v>白2星妖尾47级</v>
          </cell>
          <cell r="B12988">
            <v>1301047</v>
          </cell>
        </row>
        <row r="12989">
          <cell r="A12989" t="str">
            <v>白2星妖尾48级</v>
          </cell>
          <cell r="B12989">
            <v>1301048</v>
          </cell>
        </row>
        <row r="12990">
          <cell r="A12990" t="str">
            <v>白2星妖尾49级</v>
          </cell>
          <cell r="B12990">
            <v>1301049</v>
          </cell>
        </row>
        <row r="12991">
          <cell r="A12991" t="str">
            <v>白2星妖尾50级</v>
          </cell>
          <cell r="B12991">
            <v>1301050</v>
          </cell>
        </row>
        <row r="12992">
          <cell r="A12992" t="str">
            <v>白2星妖尾51级</v>
          </cell>
          <cell r="B12992">
            <v>1301051</v>
          </cell>
        </row>
        <row r="12993">
          <cell r="A12993" t="str">
            <v>白2星妖尾52级</v>
          </cell>
          <cell r="B12993">
            <v>1301052</v>
          </cell>
        </row>
        <row r="12994">
          <cell r="A12994" t="str">
            <v>白2星妖尾53级</v>
          </cell>
          <cell r="B12994">
            <v>1301053</v>
          </cell>
        </row>
        <row r="12995">
          <cell r="A12995" t="str">
            <v>白2星妖尾54级</v>
          </cell>
          <cell r="B12995">
            <v>1301054</v>
          </cell>
        </row>
        <row r="12996">
          <cell r="A12996" t="str">
            <v>白2星妖尾55级</v>
          </cell>
          <cell r="B12996">
            <v>1301055</v>
          </cell>
        </row>
        <row r="12997">
          <cell r="A12997" t="str">
            <v>白2星妖尾56级</v>
          </cell>
          <cell r="B12997">
            <v>1301056</v>
          </cell>
        </row>
        <row r="12998">
          <cell r="A12998" t="str">
            <v>白2星妖尾57级</v>
          </cell>
          <cell r="B12998">
            <v>1301057</v>
          </cell>
        </row>
        <row r="12999">
          <cell r="A12999" t="str">
            <v>白2星妖尾58级</v>
          </cell>
          <cell r="B12999">
            <v>1301058</v>
          </cell>
        </row>
        <row r="13000">
          <cell r="A13000" t="str">
            <v>白2星妖尾59级</v>
          </cell>
          <cell r="B13000">
            <v>1301059</v>
          </cell>
        </row>
        <row r="13001">
          <cell r="A13001" t="str">
            <v>白2星妖尾60级</v>
          </cell>
          <cell r="B13001">
            <v>1301060</v>
          </cell>
        </row>
        <row r="13002">
          <cell r="A13002" t="str">
            <v>白2星妖尾61级</v>
          </cell>
          <cell r="B13002">
            <v>1301061</v>
          </cell>
        </row>
        <row r="13003">
          <cell r="A13003" t="str">
            <v>白2星妖尾62级</v>
          </cell>
          <cell r="B13003">
            <v>1301062</v>
          </cell>
        </row>
        <row r="13004">
          <cell r="A13004" t="str">
            <v>白2星妖尾63级</v>
          </cell>
          <cell r="B13004">
            <v>1301063</v>
          </cell>
        </row>
        <row r="13005">
          <cell r="A13005" t="str">
            <v>白2星妖尾64级</v>
          </cell>
          <cell r="B13005">
            <v>1301064</v>
          </cell>
        </row>
        <row r="13006">
          <cell r="A13006" t="str">
            <v>白2星妖尾65级</v>
          </cell>
          <cell r="B13006">
            <v>1301065</v>
          </cell>
        </row>
        <row r="13007">
          <cell r="A13007" t="str">
            <v>白2星妖尾66级</v>
          </cell>
          <cell r="B13007">
            <v>1301066</v>
          </cell>
        </row>
        <row r="13008">
          <cell r="A13008" t="str">
            <v>白2星妖尾67级</v>
          </cell>
          <cell r="B13008">
            <v>1301067</v>
          </cell>
        </row>
        <row r="13009">
          <cell r="A13009" t="str">
            <v>白2星妖尾68级</v>
          </cell>
          <cell r="B13009">
            <v>1301068</v>
          </cell>
        </row>
        <row r="13010">
          <cell r="A13010" t="str">
            <v>白2星妖尾69级</v>
          </cell>
          <cell r="B13010">
            <v>1301069</v>
          </cell>
        </row>
        <row r="13011">
          <cell r="A13011" t="str">
            <v>白2星妖尾70级</v>
          </cell>
          <cell r="B13011">
            <v>1301070</v>
          </cell>
        </row>
        <row r="13012">
          <cell r="A13012" t="str">
            <v>白2星妖尾71级</v>
          </cell>
          <cell r="B13012">
            <v>1301071</v>
          </cell>
        </row>
        <row r="13013">
          <cell r="A13013" t="str">
            <v>白2星妖尾72级</v>
          </cell>
          <cell r="B13013">
            <v>1301072</v>
          </cell>
        </row>
        <row r="13014">
          <cell r="A13014" t="str">
            <v>白2星妖尾73级</v>
          </cell>
          <cell r="B13014">
            <v>1301073</v>
          </cell>
        </row>
        <row r="13015">
          <cell r="A13015" t="str">
            <v>白2星妖尾74级</v>
          </cell>
          <cell r="B13015">
            <v>1301074</v>
          </cell>
        </row>
        <row r="13016">
          <cell r="A13016" t="str">
            <v>白2星妖尾75级</v>
          </cell>
          <cell r="B13016">
            <v>1301075</v>
          </cell>
        </row>
        <row r="13017">
          <cell r="A13017" t="str">
            <v>白2星妖尾76级</v>
          </cell>
          <cell r="B13017">
            <v>1301076</v>
          </cell>
        </row>
        <row r="13018">
          <cell r="A13018" t="str">
            <v>白2星妖尾77级</v>
          </cell>
          <cell r="B13018">
            <v>1301077</v>
          </cell>
        </row>
        <row r="13019">
          <cell r="A13019" t="str">
            <v>白2星妖尾78级</v>
          </cell>
          <cell r="B13019">
            <v>1301078</v>
          </cell>
        </row>
        <row r="13020">
          <cell r="A13020" t="str">
            <v>白2星妖尾79级</v>
          </cell>
          <cell r="B13020">
            <v>1301079</v>
          </cell>
        </row>
        <row r="13021">
          <cell r="A13021" t="str">
            <v>白2星妖尾80级</v>
          </cell>
          <cell r="B13021">
            <v>1301080</v>
          </cell>
        </row>
        <row r="13022">
          <cell r="A13022" t="str">
            <v>白2星妖尾81级</v>
          </cell>
          <cell r="B13022">
            <v>1301081</v>
          </cell>
        </row>
        <row r="13023">
          <cell r="A13023" t="str">
            <v>白2星妖尾82级</v>
          </cell>
          <cell r="B13023">
            <v>1301082</v>
          </cell>
        </row>
        <row r="13024">
          <cell r="A13024" t="str">
            <v>白2星妖尾83级</v>
          </cell>
          <cell r="B13024">
            <v>1301083</v>
          </cell>
        </row>
        <row r="13025">
          <cell r="A13025" t="str">
            <v>白2星妖尾84级</v>
          </cell>
          <cell r="B13025">
            <v>1301084</v>
          </cell>
        </row>
        <row r="13026">
          <cell r="A13026" t="str">
            <v>白2星妖尾85级</v>
          </cell>
          <cell r="B13026">
            <v>1301085</v>
          </cell>
        </row>
        <row r="13027">
          <cell r="A13027" t="str">
            <v>白2星妖尾86级</v>
          </cell>
          <cell r="B13027">
            <v>1301086</v>
          </cell>
        </row>
        <row r="13028">
          <cell r="A13028" t="str">
            <v>白2星妖尾87级</v>
          </cell>
          <cell r="B13028">
            <v>1301087</v>
          </cell>
        </row>
        <row r="13029">
          <cell r="A13029" t="str">
            <v>白2星妖尾88级</v>
          </cell>
          <cell r="B13029">
            <v>1301088</v>
          </cell>
        </row>
        <row r="13030">
          <cell r="A13030" t="str">
            <v>白2星妖尾89级</v>
          </cell>
          <cell r="B13030">
            <v>1301089</v>
          </cell>
        </row>
        <row r="13031">
          <cell r="A13031" t="str">
            <v>白2星妖尾90级</v>
          </cell>
          <cell r="B13031">
            <v>1301090</v>
          </cell>
        </row>
        <row r="13032">
          <cell r="A13032" t="str">
            <v>白2星妖尾91级</v>
          </cell>
          <cell r="B13032">
            <v>1301091</v>
          </cell>
        </row>
        <row r="13033">
          <cell r="A13033" t="str">
            <v>白2星妖尾92级</v>
          </cell>
          <cell r="B13033">
            <v>1301092</v>
          </cell>
        </row>
        <row r="13034">
          <cell r="A13034" t="str">
            <v>白2星妖尾93级</v>
          </cell>
          <cell r="B13034">
            <v>1301093</v>
          </cell>
        </row>
        <row r="13035">
          <cell r="A13035" t="str">
            <v>白2星妖尾94级</v>
          </cell>
          <cell r="B13035">
            <v>1301094</v>
          </cell>
        </row>
        <row r="13036">
          <cell r="A13036" t="str">
            <v>白2星妖尾95级</v>
          </cell>
          <cell r="B13036">
            <v>1301095</v>
          </cell>
        </row>
        <row r="13037">
          <cell r="A13037" t="str">
            <v>白2星妖尾96级</v>
          </cell>
          <cell r="B13037">
            <v>1301096</v>
          </cell>
        </row>
        <row r="13038">
          <cell r="A13038" t="str">
            <v>白2星妖尾97级</v>
          </cell>
          <cell r="B13038">
            <v>1301097</v>
          </cell>
        </row>
        <row r="13039">
          <cell r="A13039" t="str">
            <v>白2星妖尾98级</v>
          </cell>
          <cell r="B13039">
            <v>1301098</v>
          </cell>
        </row>
        <row r="13040">
          <cell r="A13040" t="str">
            <v>白2星妖尾99级</v>
          </cell>
          <cell r="B13040">
            <v>1301099</v>
          </cell>
        </row>
        <row r="13041">
          <cell r="A13041" t="str">
            <v>白2星妖尾100级</v>
          </cell>
          <cell r="B13041">
            <v>1301100</v>
          </cell>
        </row>
        <row r="13042">
          <cell r="A13042" t="str">
            <v>紫1星妖尾1级</v>
          </cell>
          <cell r="B13042">
            <v>1302001</v>
          </cell>
        </row>
        <row r="13043">
          <cell r="A13043" t="str">
            <v>紫1星妖尾2级</v>
          </cell>
          <cell r="B13043">
            <v>1302002</v>
          </cell>
        </row>
        <row r="13044">
          <cell r="A13044" t="str">
            <v>紫1星妖尾3级</v>
          </cell>
          <cell r="B13044">
            <v>1302003</v>
          </cell>
        </row>
        <row r="13045">
          <cell r="A13045" t="str">
            <v>紫1星妖尾4级</v>
          </cell>
          <cell r="B13045">
            <v>1302004</v>
          </cell>
        </row>
        <row r="13046">
          <cell r="A13046" t="str">
            <v>紫1星妖尾5级</v>
          </cell>
          <cell r="B13046">
            <v>1302005</v>
          </cell>
        </row>
        <row r="13047">
          <cell r="A13047" t="str">
            <v>紫1星妖尾6级</v>
          </cell>
          <cell r="B13047">
            <v>1302006</v>
          </cell>
        </row>
        <row r="13048">
          <cell r="A13048" t="str">
            <v>紫1星妖尾7级</v>
          </cell>
          <cell r="B13048">
            <v>1302007</v>
          </cell>
        </row>
        <row r="13049">
          <cell r="A13049" t="str">
            <v>紫1星妖尾8级</v>
          </cell>
          <cell r="B13049">
            <v>1302008</v>
          </cell>
        </row>
        <row r="13050">
          <cell r="A13050" t="str">
            <v>紫1星妖尾9级</v>
          </cell>
          <cell r="B13050">
            <v>1302009</v>
          </cell>
        </row>
        <row r="13051">
          <cell r="A13051" t="str">
            <v>紫1星妖尾10级</v>
          </cell>
          <cell r="B13051">
            <v>1302010</v>
          </cell>
        </row>
        <row r="13052">
          <cell r="A13052" t="str">
            <v>紫1星妖尾11级</v>
          </cell>
          <cell r="B13052">
            <v>1302011</v>
          </cell>
        </row>
        <row r="13053">
          <cell r="A13053" t="str">
            <v>紫1星妖尾12级</v>
          </cell>
          <cell r="B13053">
            <v>1302012</v>
          </cell>
        </row>
        <row r="13054">
          <cell r="A13054" t="str">
            <v>紫1星妖尾13级</v>
          </cell>
          <cell r="B13054">
            <v>1302013</v>
          </cell>
        </row>
        <row r="13055">
          <cell r="A13055" t="str">
            <v>紫1星妖尾14级</v>
          </cell>
          <cell r="B13055">
            <v>1302014</v>
          </cell>
        </row>
        <row r="13056">
          <cell r="A13056" t="str">
            <v>紫1星妖尾15级</v>
          </cell>
          <cell r="B13056">
            <v>1302015</v>
          </cell>
        </row>
        <row r="13057">
          <cell r="A13057" t="str">
            <v>紫1星妖尾16级</v>
          </cell>
          <cell r="B13057">
            <v>1302016</v>
          </cell>
        </row>
        <row r="13058">
          <cell r="A13058" t="str">
            <v>紫1星妖尾17级</v>
          </cell>
          <cell r="B13058">
            <v>1302017</v>
          </cell>
        </row>
        <row r="13059">
          <cell r="A13059" t="str">
            <v>紫1星妖尾18级</v>
          </cell>
          <cell r="B13059">
            <v>1302018</v>
          </cell>
        </row>
        <row r="13060">
          <cell r="A13060" t="str">
            <v>紫1星妖尾19级</v>
          </cell>
          <cell r="B13060">
            <v>1302019</v>
          </cell>
        </row>
        <row r="13061">
          <cell r="A13061" t="str">
            <v>紫1星妖尾20级</v>
          </cell>
          <cell r="B13061">
            <v>1302020</v>
          </cell>
        </row>
        <row r="13062">
          <cell r="A13062" t="str">
            <v>紫1星妖尾21级</v>
          </cell>
          <cell r="B13062">
            <v>1302021</v>
          </cell>
        </row>
        <row r="13063">
          <cell r="A13063" t="str">
            <v>紫1星妖尾22级</v>
          </cell>
          <cell r="B13063">
            <v>1302022</v>
          </cell>
        </row>
        <row r="13064">
          <cell r="A13064" t="str">
            <v>紫1星妖尾23级</v>
          </cell>
          <cell r="B13064">
            <v>1302023</v>
          </cell>
        </row>
        <row r="13065">
          <cell r="A13065" t="str">
            <v>紫1星妖尾24级</v>
          </cell>
          <cell r="B13065">
            <v>1302024</v>
          </cell>
        </row>
        <row r="13066">
          <cell r="A13066" t="str">
            <v>紫1星妖尾25级</v>
          </cell>
          <cell r="B13066">
            <v>1302025</v>
          </cell>
        </row>
        <row r="13067">
          <cell r="A13067" t="str">
            <v>紫1星妖尾26级</v>
          </cell>
          <cell r="B13067">
            <v>1302026</v>
          </cell>
        </row>
        <row r="13068">
          <cell r="A13068" t="str">
            <v>紫1星妖尾27级</v>
          </cell>
          <cell r="B13068">
            <v>1302027</v>
          </cell>
        </row>
        <row r="13069">
          <cell r="A13069" t="str">
            <v>紫1星妖尾28级</v>
          </cell>
          <cell r="B13069">
            <v>1302028</v>
          </cell>
        </row>
        <row r="13070">
          <cell r="A13070" t="str">
            <v>紫1星妖尾29级</v>
          </cell>
          <cell r="B13070">
            <v>1302029</v>
          </cell>
        </row>
        <row r="13071">
          <cell r="A13071" t="str">
            <v>紫1星妖尾30级</v>
          </cell>
          <cell r="B13071">
            <v>1302030</v>
          </cell>
        </row>
        <row r="13072">
          <cell r="A13072" t="str">
            <v>紫1星妖尾31级</v>
          </cell>
          <cell r="B13072">
            <v>1302031</v>
          </cell>
        </row>
        <row r="13073">
          <cell r="A13073" t="str">
            <v>紫1星妖尾32级</v>
          </cell>
          <cell r="B13073">
            <v>1302032</v>
          </cell>
        </row>
        <row r="13074">
          <cell r="A13074" t="str">
            <v>紫1星妖尾33级</v>
          </cell>
          <cell r="B13074">
            <v>1302033</v>
          </cell>
        </row>
        <row r="13075">
          <cell r="A13075" t="str">
            <v>紫1星妖尾34级</v>
          </cell>
          <cell r="B13075">
            <v>1302034</v>
          </cell>
        </row>
        <row r="13076">
          <cell r="A13076" t="str">
            <v>紫1星妖尾35级</v>
          </cell>
          <cell r="B13076">
            <v>1302035</v>
          </cell>
        </row>
        <row r="13077">
          <cell r="A13077" t="str">
            <v>紫1星妖尾36级</v>
          </cell>
          <cell r="B13077">
            <v>1302036</v>
          </cell>
        </row>
        <row r="13078">
          <cell r="A13078" t="str">
            <v>紫1星妖尾37级</v>
          </cell>
          <cell r="B13078">
            <v>1302037</v>
          </cell>
        </row>
        <row r="13079">
          <cell r="A13079" t="str">
            <v>紫1星妖尾38级</v>
          </cell>
          <cell r="B13079">
            <v>1302038</v>
          </cell>
        </row>
        <row r="13080">
          <cell r="A13080" t="str">
            <v>紫1星妖尾39级</v>
          </cell>
          <cell r="B13080">
            <v>1302039</v>
          </cell>
        </row>
        <row r="13081">
          <cell r="A13081" t="str">
            <v>紫1星妖尾40级</v>
          </cell>
          <cell r="B13081">
            <v>1302040</v>
          </cell>
        </row>
        <row r="13082">
          <cell r="A13082" t="str">
            <v>紫1星妖尾41级</v>
          </cell>
          <cell r="B13082">
            <v>1302041</v>
          </cell>
        </row>
        <row r="13083">
          <cell r="A13083" t="str">
            <v>紫1星妖尾42级</v>
          </cell>
          <cell r="B13083">
            <v>1302042</v>
          </cell>
        </row>
        <row r="13084">
          <cell r="A13084" t="str">
            <v>紫1星妖尾43级</v>
          </cell>
          <cell r="B13084">
            <v>1302043</v>
          </cell>
        </row>
        <row r="13085">
          <cell r="A13085" t="str">
            <v>紫1星妖尾44级</v>
          </cell>
          <cell r="B13085">
            <v>1302044</v>
          </cell>
        </row>
        <row r="13086">
          <cell r="A13086" t="str">
            <v>紫1星妖尾45级</v>
          </cell>
          <cell r="B13086">
            <v>1302045</v>
          </cell>
        </row>
        <row r="13087">
          <cell r="A13087" t="str">
            <v>紫1星妖尾46级</v>
          </cell>
          <cell r="B13087">
            <v>1302046</v>
          </cell>
        </row>
        <row r="13088">
          <cell r="A13088" t="str">
            <v>紫1星妖尾47级</v>
          </cell>
          <cell r="B13088">
            <v>1302047</v>
          </cell>
        </row>
        <row r="13089">
          <cell r="A13089" t="str">
            <v>紫1星妖尾48级</v>
          </cell>
          <cell r="B13089">
            <v>1302048</v>
          </cell>
        </row>
        <row r="13090">
          <cell r="A13090" t="str">
            <v>紫1星妖尾49级</v>
          </cell>
          <cell r="B13090">
            <v>1302049</v>
          </cell>
        </row>
        <row r="13091">
          <cell r="A13091" t="str">
            <v>紫1星妖尾50级</v>
          </cell>
          <cell r="B13091">
            <v>1302050</v>
          </cell>
        </row>
        <row r="13092">
          <cell r="A13092" t="str">
            <v>紫1星妖尾51级</v>
          </cell>
          <cell r="B13092">
            <v>1302051</v>
          </cell>
        </row>
        <row r="13093">
          <cell r="A13093" t="str">
            <v>紫1星妖尾52级</v>
          </cell>
          <cell r="B13093">
            <v>1302052</v>
          </cell>
        </row>
        <row r="13094">
          <cell r="A13094" t="str">
            <v>紫1星妖尾53级</v>
          </cell>
          <cell r="B13094">
            <v>1302053</v>
          </cell>
        </row>
        <row r="13095">
          <cell r="A13095" t="str">
            <v>紫1星妖尾54级</v>
          </cell>
          <cell r="B13095">
            <v>1302054</v>
          </cell>
        </row>
        <row r="13096">
          <cell r="A13096" t="str">
            <v>紫1星妖尾55级</v>
          </cell>
          <cell r="B13096">
            <v>1302055</v>
          </cell>
        </row>
        <row r="13097">
          <cell r="A13097" t="str">
            <v>紫1星妖尾56级</v>
          </cell>
          <cell r="B13097">
            <v>1302056</v>
          </cell>
        </row>
        <row r="13098">
          <cell r="A13098" t="str">
            <v>紫1星妖尾57级</v>
          </cell>
          <cell r="B13098">
            <v>1302057</v>
          </cell>
        </row>
        <row r="13099">
          <cell r="A13099" t="str">
            <v>紫1星妖尾58级</v>
          </cell>
          <cell r="B13099">
            <v>1302058</v>
          </cell>
        </row>
        <row r="13100">
          <cell r="A13100" t="str">
            <v>紫1星妖尾59级</v>
          </cell>
          <cell r="B13100">
            <v>1302059</v>
          </cell>
        </row>
        <row r="13101">
          <cell r="A13101" t="str">
            <v>紫1星妖尾60级</v>
          </cell>
          <cell r="B13101">
            <v>1302060</v>
          </cell>
        </row>
        <row r="13102">
          <cell r="A13102" t="str">
            <v>紫1星妖尾61级</v>
          </cell>
          <cell r="B13102">
            <v>1302061</v>
          </cell>
        </row>
        <row r="13103">
          <cell r="A13103" t="str">
            <v>紫1星妖尾62级</v>
          </cell>
          <cell r="B13103">
            <v>1302062</v>
          </cell>
        </row>
        <row r="13104">
          <cell r="A13104" t="str">
            <v>紫1星妖尾63级</v>
          </cell>
          <cell r="B13104">
            <v>1302063</v>
          </cell>
        </row>
        <row r="13105">
          <cell r="A13105" t="str">
            <v>紫1星妖尾64级</v>
          </cell>
          <cell r="B13105">
            <v>1302064</v>
          </cell>
        </row>
        <row r="13106">
          <cell r="A13106" t="str">
            <v>紫1星妖尾65级</v>
          </cell>
          <cell r="B13106">
            <v>1302065</v>
          </cell>
        </row>
        <row r="13107">
          <cell r="A13107" t="str">
            <v>紫1星妖尾66级</v>
          </cell>
          <cell r="B13107">
            <v>1302066</v>
          </cell>
        </row>
        <row r="13108">
          <cell r="A13108" t="str">
            <v>紫1星妖尾67级</v>
          </cell>
          <cell r="B13108">
            <v>1302067</v>
          </cell>
        </row>
        <row r="13109">
          <cell r="A13109" t="str">
            <v>紫1星妖尾68级</v>
          </cell>
          <cell r="B13109">
            <v>1302068</v>
          </cell>
        </row>
        <row r="13110">
          <cell r="A13110" t="str">
            <v>紫1星妖尾69级</v>
          </cell>
          <cell r="B13110">
            <v>1302069</v>
          </cell>
        </row>
        <row r="13111">
          <cell r="A13111" t="str">
            <v>紫1星妖尾70级</v>
          </cell>
          <cell r="B13111">
            <v>1302070</v>
          </cell>
        </row>
        <row r="13112">
          <cell r="A13112" t="str">
            <v>紫1星妖尾71级</v>
          </cell>
          <cell r="B13112">
            <v>1302071</v>
          </cell>
        </row>
        <row r="13113">
          <cell r="A13113" t="str">
            <v>紫1星妖尾72级</v>
          </cell>
          <cell r="B13113">
            <v>1302072</v>
          </cell>
        </row>
        <row r="13114">
          <cell r="A13114" t="str">
            <v>紫1星妖尾73级</v>
          </cell>
          <cell r="B13114">
            <v>1302073</v>
          </cell>
        </row>
        <row r="13115">
          <cell r="A13115" t="str">
            <v>紫1星妖尾74级</v>
          </cell>
          <cell r="B13115">
            <v>1302074</v>
          </cell>
        </row>
        <row r="13116">
          <cell r="A13116" t="str">
            <v>紫1星妖尾75级</v>
          </cell>
          <cell r="B13116">
            <v>1302075</v>
          </cell>
        </row>
        <row r="13117">
          <cell r="A13117" t="str">
            <v>紫1星妖尾76级</v>
          </cell>
          <cell r="B13117">
            <v>1302076</v>
          </cell>
        </row>
        <row r="13118">
          <cell r="A13118" t="str">
            <v>紫1星妖尾77级</v>
          </cell>
          <cell r="B13118">
            <v>1302077</v>
          </cell>
        </row>
        <row r="13119">
          <cell r="A13119" t="str">
            <v>紫1星妖尾78级</v>
          </cell>
          <cell r="B13119">
            <v>1302078</v>
          </cell>
        </row>
        <row r="13120">
          <cell r="A13120" t="str">
            <v>紫1星妖尾79级</v>
          </cell>
          <cell r="B13120">
            <v>1302079</v>
          </cell>
        </row>
        <row r="13121">
          <cell r="A13121" t="str">
            <v>紫1星妖尾80级</v>
          </cell>
          <cell r="B13121">
            <v>1302080</v>
          </cell>
        </row>
        <row r="13122">
          <cell r="A13122" t="str">
            <v>紫1星妖尾81级</v>
          </cell>
          <cell r="B13122">
            <v>1302081</v>
          </cell>
        </row>
        <row r="13123">
          <cell r="A13123" t="str">
            <v>紫1星妖尾82级</v>
          </cell>
          <cell r="B13123">
            <v>1302082</v>
          </cell>
        </row>
        <row r="13124">
          <cell r="A13124" t="str">
            <v>紫1星妖尾83级</v>
          </cell>
          <cell r="B13124">
            <v>1302083</v>
          </cell>
        </row>
        <row r="13125">
          <cell r="A13125" t="str">
            <v>紫1星妖尾84级</v>
          </cell>
          <cell r="B13125">
            <v>1302084</v>
          </cell>
        </row>
        <row r="13126">
          <cell r="A13126" t="str">
            <v>紫1星妖尾85级</v>
          </cell>
          <cell r="B13126">
            <v>1302085</v>
          </cell>
        </row>
        <row r="13127">
          <cell r="A13127" t="str">
            <v>紫1星妖尾86级</v>
          </cell>
          <cell r="B13127">
            <v>1302086</v>
          </cell>
        </row>
        <row r="13128">
          <cell r="A13128" t="str">
            <v>紫1星妖尾87级</v>
          </cell>
          <cell r="B13128">
            <v>1302087</v>
          </cell>
        </row>
        <row r="13129">
          <cell r="A13129" t="str">
            <v>紫1星妖尾88级</v>
          </cell>
          <cell r="B13129">
            <v>1302088</v>
          </cell>
        </row>
        <row r="13130">
          <cell r="A13130" t="str">
            <v>紫1星妖尾89级</v>
          </cell>
          <cell r="B13130">
            <v>1302089</v>
          </cell>
        </row>
        <row r="13131">
          <cell r="A13131" t="str">
            <v>紫1星妖尾90级</v>
          </cell>
          <cell r="B13131">
            <v>1302090</v>
          </cell>
        </row>
        <row r="13132">
          <cell r="A13132" t="str">
            <v>紫1星妖尾91级</v>
          </cell>
          <cell r="B13132">
            <v>1302091</v>
          </cell>
        </row>
        <row r="13133">
          <cell r="A13133" t="str">
            <v>紫1星妖尾92级</v>
          </cell>
          <cell r="B13133">
            <v>1302092</v>
          </cell>
        </row>
        <row r="13134">
          <cell r="A13134" t="str">
            <v>紫1星妖尾93级</v>
          </cell>
          <cell r="B13134">
            <v>1302093</v>
          </cell>
        </row>
        <row r="13135">
          <cell r="A13135" t="str">
            <v>紫1星妖尾94级</v>
          </cell>
          <cell r="B13135">
            <v>1302094</v>
          </cell>
        </row>
        <row r="13136">
          <cell r="A13136" t="str">
            <v>紫1星妖尾95级</v>
          </cell>
          <cell r="B13136">
            <v>1302095</v>
          </cell>
        </row>
        <row r="13137">
          <cell r="A13137" t="str">
            <v>紫1星妖尾96级</v>
          </cell>
          <cell r="B13137">
            <v>1302096</v>
          </cell>
        </row>
        <row r="13138">
          <cell r="A13138" t="str">
            <v>紫1星妖尾97级</v>
          </cell>
          <cell r="B13138">
            <v>1302097</v>
          </cell>
        </row>
        <row r="13139">
          <cell r="A13139" t="str">
            <v>紫1星妖尾98级</v>
          </cell>
          <cell r="B13139">
            <v>1302098</v>
          </cell>
        </row>
        <row r="13140">
          <cell r="A13140" t="str">
            <v>紫1星妖尾99级</v>
          </cell>
          <cell r="B13140">
            <v>1302099</v>
          </cell>
        </row>
        <row r="13141">
          <cell r="A13141" t="str">
            <v>紫1星妖尾100级</v>
          </cell>
          <cell r="B13141">
            <v>1302100</v>
          </cell>
        </row>
        <row r="13142">
          <cell r="A13142" t="str">
            <v>紫2星妖尾1级</v>
          </cell>
          <cell r="B13142">
            <v>1303001</v>
          </cell>
        </row>
        <row r="13143">
          <cell r="A13143" t="str">
            <v>紫2星妖尾2级</v>
          </cell>
          <cell r="B13143">
            <v>1303002</v>
          </cell>
        </row>
        <row r="13144">
          <cell r="A13144" t="str">
            <v>紫2星妖尾3级</v>
          </cell>
          <cell r="B13144">
            <v>1303003</v>
          </cell>
        </row>
        <row r="13145">
          <cell r="A13145" t="str">
            <v>紫2星妖尾4级</v>
          </cell>
          <cell r="B13145">
            <v>1303004</v>
          </cell>
        </row>
        <row r="13146">
          <cell r="A13146" t="str">
            <v>紫2星妖尾5级</v>
          </cell>
          <cell r="B13146">
            <v>1303005</v>
          </cell>
        </row>
        <row r="13147">
          <cell r="A13147" t="str">
            <v>紫2星妖尾6级</v>
          </cell>
          <cell r="B13147">
            <v>1303006</v>
          </cell>
        </row>
        <row r="13148">
          <cell r="A13148" t="str">
            <v>紫2星妖尾7级</v>
          </cell>
          <cell r="B13148">
            <v>1303007</v>
          </cell>
        </row>
        <row r="13149">
          <cell r="A13149" t="str">
            <v>紫2星妖尾8级</v>
          </cell>
          <cell r="B13149">
            <v>1303008</v>
          </cell>
        </row>
        <row r="13150">
          <cell r="A13150" t="str">
            <v>紫2星妖尾9级</v>
          </cell>
          <cell r="B13150">
            <v>1303009</v>
          </cell>
        </row>
        <row r="13151">
          <cell r="A13151" t="str">
            <v>紫2星妖尾10级</v>
          </cell>
          <cell r="B13151">
            <v>1303010</v>
          </cell>
        </row>
        <row r="13152">
          <cell r="A13152" t="str">
            <v>紫2星妖尾11级</v>
          </cell>
          <cell r="B13152">
            <v>1303011</v>
          </cell>
        </row>
        <row r="13153">
          <cell r="A13153" t="str">
            <v>紫2星妖尾12级</v>
          </cell>
          <cell r="B13153">
            <v>1303012</v>
          </cell>
        </row>
        <row r="13154">
          <cell r="A13154" t="str">
            <v>紫2星妖尾13级</v>
          </cell>
          <cell r="B13154">
            <v>1303013</v>
          </cell>
        </row>
        <row r="13155">
          <cell r="A13155" t="str">
            <v>紫2星妖尾14级</v>
          </cell>
          <cell r="B13155">
            <v>1303014</v>
          </cell>
        </row>
        <row r="13156">
          <cell r="A13156" t="str">
            <v>紫2星妖尾15级</v>
          </cell>
          <cell r="B13156">
            <v>1303015</v>
          </cell>
        </row>
        <row r="13157">
          <cell r="A13157" t="str">
            <v>紫2星妖尾16级</v>
          </cell>
          <cell r="B13157">
            <v>1303016</v>
          </cell>
        </row>
        <row r="13158">
          <cell r="A13158" t="str">
            <v>紫2星妖尾17级</v>
          </cell>
          <cell r="B13158">
            <v>1303017</v>
          </cell>
        </row>
        <row r="13159">
          <cell r="A13159" t="str">
            <v>紫2星妖尾18级</v>
          </cell>
          <cell r="B13159">
            <v>1303018</v>
          </cell>
        </row>
        <row r="13160">
          <cell r="A13160" t="str">
            <v>紫2星妖尾19级</v>
          </cell>
          <cell r="B13160">
            <v>1303019</v>
          </cell>
        </row>
        <row r="13161">
          <cell r="A13161" t="str">
            <v>紫2星妖尾20级</v>
          </cell>
          <cell r="B13161">
            <v>1303020</v>
          </cell>
        </row>
        <row r="13162">
          <cell r="A13162" t="str">
            <v>紫2星妖尾21级</v>
          </cell>
          <cell r="B13162">
            <v>1303021</v>
          </cell>
        </row>
        <row r="13163">
          <cell r="A13163" t="str">
            <v>紫2星妖尾22级</v>
          </cell>
          <cell r="B13163">
            <v>1303022</v>
          </cell>
        </row>
        <row r="13164">
          <cell r="A13164" t="str">
            <v>紫2星妖尾23级</v>
          </cell>
          <cell r="B13164">
            <v>1303023</v>
          </cell>
        </row>
        <row r="13165">
          <cell r="A13165" t="str">
            <v>紫2星妖尾24级</v>
          </cell>
          <cell r="B13165">
            <v>1303024</v>
          </cell>
        </row>
        <row r="13166">
          <cell r="A13166" t="str">
            <v>紫2星妖尾25级</v>
          </cell>
          <cell r="B13166">
            <v>1303025</v>
          </cell>
        </row>
        <row r="13167">
          <cell r="A13167" t="str">
            <v>紫2星妖尾26级</v>
          </cell>
          <cell r="B13167">
            <v>1303026</v>
          </cell>
        </row>
        <row r="13168">
          <cell r="A13168" t="str">
            <v>紫2星妖尾27级</v>
          </cell>
          <cell r="B13168">
            <v>1303027</v>
          </cell>
        </row>
        <row r="13169">
          <cell r="A13169" t="str">
            <v>紫2星妖尾28级</v>
          </cell>
          <cell r="B13169">
            <v>1303028</v>
          </cell>
        </row>
        <row r="13170">
          <cell r="A13170" t="str">
            <v>紫2星妖尾29级</v>
          </cell>
          <cell r="B13170">
            <v>1303029</v>
          </cell>
        </row>
        <row r="13171">
          <cell r="A13171" t="str">
            <v>紫2星妖尾30级</v>
          </cell>
          <cell r="B13171">
            <v>1303030</v>
          </cell>
        </row>
        <row r="13172">
          <cell r="A13172" t="str">
            <v>紫2星妖尾31级</v>
          </cell>
          <cell r="B13172">
            <v>1303031</v>
          </cell>
        </row>
        <row r="13173">
          <cell r="A13173" t="str">
            <v>紫2星妖尾32级</v>
          </cell>
          <cell r="B13173">
            <v>1303032</v>
          </cell>
        </row>
        <row r="13174">
          <cell r="A13174" t="str">
            <v>紫2星妖尾33级</v>
          </cell>
          <cell r="B13174">
            <v>1303033</v>
          </cell>
        </row>
        <row r="13175">
          <cell r="A13175" t="str">
            <v>紫2星妖尾34级</v>
          </cell>
          <cell r="B13175">
            <v>1303034</v>
          </cell>
        </row>
        <row r="13176">
          <cell r="A13176" t="str">
            <v>紫2星妖尾35级</v>
          </cell>
          <cell r="B13176">
            <v>1303035</v>
          </cell>
        </row>
        <row r="13177">
          <cell r="A13177" t="str">
            <v>紫2星妖尾36级</v>
          </cell>
          <cell r="B13177">
            <v>1303036</v>
          </cell>
        </row>
        <row r="13178">
          <cell r="A13178" t="str">
            <v>紫2星妖尾37级</v>
          </cell>
          <cell r="B13178">
            <v>1303037</v>
          </cell>
        </row>
        <row r="13179">
          <cell r="A13179" t="str">
            <v>紫2星妖尾38级</v>
          </cell>
          <cell r="B13179">
            <v>1303038</v>
          </cell>
        </row>
        <row r="13180">
          <cell r="A13180" t="str">
            <v>紫2星妖尾39级</v>
          </cell>
          <cell r="B13180">
            <v>1303039</v>
          </cell>
        </row>
        <row r="13181">
          <cell r="A13181" t="str">
            <v>紫2星妖尾40级</v>
          </cell>
          <cell r="B13181">
            <v>1303040</v>
          </cell>
        </row>
        <row r="13182">
          <cell r="A13182" t="str">
            <v>紫2星妖尾41级</v>
          </cell>
          <cell r="B13182">
            <v>1303041</v>
          </cell>
        </row>
        <row r="13183">
          <cell r="A13183" t="str">
            <v>紫2星妖尾42级</v>
          </cell>
          <cell r="B13183">
            <v>1303042</v>
          </cell>
        </row>
        <row r="13184">
          <cell r="A13184" t="str">
            <v>紫2星妖尾43级</v>
          </cell>
          <cell r="B13184">
            <v>1303043</v>
          </cell>
        </row>
        <row r="13185">
          <cell r="A13185" t="str">
            <v>紫2星妖尾44级</v>
          </cell>
          <cell r="B13185">
            <v>1303044</v>
          </cell>
        </row>
        <row r="13186">
          <cell r="A13186" t="str">
            <v>紫2星妖尾45级</v>
          </cell>
          <cell r="B13186">
            <v>1303045</v>
          </cell>
        </row>
        <row r="13187">
          <cell r="A13187" t="str">
            <v>紫2星妖尾46级</v>
          </cell>
          <cell r="B13187">
            <v>1303046</v>
          </cell>
        </row>
        <row r="13188">
          <cell r="A13188" t="str">
            <v>紫2星妖尾47级</v>
          </cell>
          <cell r="B13188">
            <v>1303047</v>
          </cell>
        </row>
        <row r="13189">
          <cell r="A13189" t="str">
            <v>紫2星妖尾48级</v>
          </cell>
          <cell r="B13189">
            <v>1303048</v>
          </cell>
        </row>
        <row r="13190">
          <cell r="A13190" t="str">
            <v>紫2星妖尾49级</v>
          </cell>
          <cell r="B13190">
            <v>1303049</v>
          </cell>
        </row>
        <row r="13191">
          <cell r="A13191" t="str">
            <v>紫2星妖尾50级</v>
          </cell>
          <cell r="B13191">
            <v>1303050</v>
          </cell>
        </row>
        <row r="13192">
          <cell r="A13192" t="str">
            <v>紫2星妖尾51级</v>
          </cell>
          <cell r="B13192">
            <v>1303051</v>
          </cell>
        </row>
        <row r="13193">
          <cell r="A13193" t="str">
            <v>紫2星妖尾52级</v>
          </cell>
          <cell r="B13193">
            <v>1303052</v>
          </cell>
        </row>
        <row r="13194">
          <cell r="A13194" t="str">
            <v>紫2星妖尾53级</v>
          </cell>
          <cell r="B13194">
            <v>1303053</v>
          </cell>
        </row>
        <row r="13195">
          <cell r="A13195" t="str">
            <v>紫2星妖尾54级</v>
          </cell>
          <cell r="B13195">
            <v>1303054</v>
          </cell>
        </row>
        <row r="13196">
          <cell r="A13196" t="str">
            <v>紫2星妖尾55级</v>
          </cell>
          <cell r="B13196">
            <v>1303055</v>
          </cell>
        </row>
        <row r="13197">
          <cell r="A13197" t="str">
            <v>紫2星妖尾56级</v>
          </cell>
          <cell r="B13197">
            <v>1303056</v>
          </cell>
        </row>
        <row r="13198">
          <cell r="A13198" t="str">
            <v>紫2星妖尾57级</v>
          </cell>
          <cell r="B13198">
            <v>1303057</v>
          </cell>
        </row>
        <row r="13199">
          <cell r="A13199" t="str">
            <v>紫2星妖尾58级</v>
          </cell>
          <cell r="B13199">
            <v>1303058</v>
          </cell>
        </row>
        <row r="13200">
          <cell r="A13200" t="str">
            <v>紫2星妖尾59级</v>
          </cell>
          <cell r="B13200">
            <v>1303059</v>
          </cell>
        </row>
        <row r="13201">
          <cell r="A13201" t="str">
            <v>紫2星妖尾60级</v>
          </cell>
          <cell r="B13201">
            <v>1303060</v>
          </cell>
        </row>
        <row r="13202">
          <cell r="A13202" t="str">
            <v>紫2星妖尾61级</v>
          </cell>
          <cell r="B13202">
            <v>1303061</v>
          </cell>
        </row>
        <row r="13203">
          <cell r="A13203" t="str">
            <v>紫2星妖尾62级</v>
          </cell>
          <cell r="B13203">
            <v>1303062</v>
          </cell>
        </row>
        <row r="13204">
          <cell r="A13204" t="str">
            <v>紫2星妖尾63级</v>
          </cell>
          <cell r="B13204">
            <v>1303063</v>
          </cell>
        </row>
        <row r="13205">
          <cell r="A13205" t="str">
            <v>紫2星妖尾64级</v>
          </cell>
          <cell r="B13205">
            <v>1303064</v>
          </cell>
        </row>
        <row r="13206">
          <cell r="A13206" t="str">
            <v>紫2星妖尾65级</v>
          </cell>
          <cell r="B13206">
            <v>1303065</v>
          </cell>
        </row>
        <row r="13207">
          <cell r="A13207" t="str">
            <v>紫2星妖尾66级</v>
          </cell>
          <cell r="B13207">
            <v>1303066</v>
          </cell>
        </row>
        <row r="13208">
          <cell r="A13208" t="str">
            <v>紫2星妖尾67级</v>
          </cell>
          <cell r="B13208">
            <v>1303067</v>
          </cell>
        </row>
        <row r="13209">
          <cell r="A13209" t="str">
            <v>紫2星妖尾68级</v>
          </cell>
          <cell r="B13209">
            <v>1303068</v>
          </cell>
        </row>
        <row r="13210">
          <cell r="A13210" t="str">
            <v>紫2星妖尾69级</v>
          </cell>
          <cell r="B13210">
            <v>1303069</v>
          </cell>
        </row>
        <row r="13211">
          <cell r="A13211" t="str">
            <v>紫2星妖尾70级</v>
          </cell>
          <cell r="B13211">
            <v>1303070</v>
          </cell>
        </row>
        <row r="13212">
          <cell r="A13212" t="str">
            <v>紫2星妖尾71级</v>
          </cell>
          <cell r="B13212">
            <v>1303071</v>
          </cell>
        </row>
        <row r="13213">
          <cell r="A13213" t="str">
            <v>紫2星妖尾72级</v>
          </cell>
          <cell r="B13213">
            <v>1303072</v>
          </cell>
        </row>
        <row r="13214">
          <cell r="A13214" t="str">
            <v>紫2星妖尾73级</v>
          </cell>
          <cell r="B13214">
            <v>1303073</v>
          </cell>
        </row>
        <row r="13215">
          <cell r="A13215" t="str">
            <v>紫2星妖尾74级</v>
          </cell>
          <cell r="B13215">
            <v>1303074</v>
          </cell>
        </row>
        <row r="13216">
          <cell r="A13216" t="str">
            <v>紫2星妖尾75级</v>
          </cell>
          <cell r="B13216">
            <v>1303075</v>
          </cell>
        </row>
        <row r="13217">
          <cell r="A13217" t="str">
            <v>紫2星妖尾76级</v>
          </cell>
          <cell r="B13217">
            <v>1303076</v>
          </cell>
        </row>
        <row r="13218">
          <cell r="A13218" t="str">
            <v>紫2星妖尾77级</v>
          </cell>
          <cell r="B13218">
            <v>1303077</v>
          </cell>
        </row>
        <row r="13219">
          <cell r="A13219" t="str">
            <v>紫2星妖尾78级</v>
          </cell>
          <cell r="B13219">
            <v>1303078</v>
          </cell>
        </row>
        <row r="13220">
          <cell r="A13220" t="str">
            <v>紫2星妖尾79级</v>
          </cell>
          <cell r="B13220">
            <v>1303079</v>
          </cell>
        </row>
        <row r="13221">
          <cell r="A13221" t="str">
            <v>紫2星妖尾80级</v>
          </cell>
          <cell r="B13221">
            <v>1303080</v>
          </cell>
        </row>
        <row r="13222">
          <cell r="A13222" t="str">
            <v>紫2星妖尾81级</v>
          </cell>
          <cell r="B13222">
            <v>1303081</v>
          </cell>
        </row>
        <row r="13223">
          <cell r="A13223" t="str">
            <v>紫2星妖尾82级</v>
          </cell>
          <cell r="B13223">
            <v>1303082</v>
          </cell>
        </row>
        <row r="13224">
          <cell r="A13224" t="str">
            <v>紫2星妖尾83级</v>
          </cell>
          <cell r="B13224">
            <v>1303083</v>
          </cell>
        </row>
        <row r="13225">
          <cell r="A13225" t="str">
            <v>紫2星妖尾84级</v>
          </cell>
          <cell r="B13225">
            <v>1303084</v>
          </cell>
        </row>
        <row r="13226">
          <cell r="A13226" t="str">
            <v>紫2星妖尾85级</v>
          </cell>
          <cell r="B13226">
            <v>1303085</v>
          </cell>
        </row>
        <row r="13227">
          <cell r="A13227" t="str">
            <v>紫2星妖尾86级</v>
          </cell>
          <cell r="B13227">
            <v>1303086</v>
          </cell>
        </row>
        <row r="13228">
          <cell r="A13228" t="str">
            <v>紫2星妖尾87级</v>
          </cell>
          <cell r="B13228">
            <v>1303087</v>
          </cell>
        </row>
        <row r="13229">
          <cell r="A13229" t="str">
            <v>紫2星妖尾88级</v>
          </cell>
          <cell r="B13229">
            <v>1303088</v>
          </cell>
        </row>
        <row r="13230">
          <cell r="A13230" t="str">
            <v>紫2星妖尾89级</v>
          </cell>
          <cell r="B13230">
            <v>1303089</v>
          </cell>
        </row>
        <row r="13231">
          <cell r="A13231" t="str">
            <v>紫2星妖尾90级</v>
          </cell>
          <cell r="B13231">
            <v>1303090</v>
          </cell>
        </row>
        <row r="13232">
          <cell r="A13232" t="str">
            <v>紫2星妖尾91级</v>
          </cell>
          <cell r="B13232">
            <v>1303091</v>
          </cell>
        </row>
        <row r="13233">
          <cell r="A13233" t="str">
            <v>紫2星妖尾92级</v>
          </cell>
          <cell r="B13233">
            <v>1303092</v>
          </cell>
        </row>
        <row r="13234">
          <cell r="A13234" t="str">
            <v>紫2星妖尾93级</v>
          </cell>
          <cell r="B13234">
            <v>1303093</v>
          </cell>
        </row>
        <row r="13235">
          <cell r="A13235" t="str">
            <v>紫2星妖尾94级</v>
          </cell>
          <cell r="B13235">
            <v>1303094</v>
          </cell>
        </row>
        <row r="13236">
          <cell r="A13236" t="str">
            <v>紫2星妖尾95级</v>
          </cell>
          <cell r="B13236">
            <v>1303095</v>
          </cell>
        </row>
        <row r="13237">
          <cell r="A13237" t="str">
            <v>紫2星妖尾96级</v>
          </cell>
          <cell r="B13237">
            <v>1303096</v>
          </cell>
        </row>
        <row r="13238">
          <cell r="A13238" t="str">
            <v>紫2星妖尾97级</v>
          </cell>
          <cell r="B13238">
            <v>1303097</v>
          </cell>
        </row>
        <row r="13239">
          <cell r="A13239" t="str">
            <v>紫2星妖尾98级</v>
          </cell>
          <cell r="B13239">
            <v>1303098</v>
          </cell>
        </row>
        <row r="13240">
          <cell r="A13240" t="str">
            <v>紫2星妖尾99级</v>
          </cell>
          <cell r="B13240">
            <v>1303099</v>
          </cell>
        </row>
        <row r="13241">
          <cell r="A13241" t="str">
            <v>紫2星妖尾100级</v>
          </cell>
          <cell r="B13241">
            <v>1303100</v>
          </cell>
        </row>
        <row r="13242">
          <cell r="A13242" t="str">
            <v>紫3星妖尾1级</v>
          </cell>
          <cell r="B13242">
            <v>1304001</v>
          </cell>
        </row>
        <row r="13243">
          <cell r="A13243" t="str">
            <v>紫3星妖尾2级</v>
          </cell>
          <cell r="B13243">
            <v>1304002</v>
          </cell>
        </row>
        <row r="13244">
          <cell r="A13244" t="str">
            <v>紫3星妖尾3级</v>
          </cell>
          <cell r="B13244">
            <v>1304003</v>
          </cell>
        </row>
        <row r="13245">
          <cell r="A13245" t="str">
            <v>紫3星妖尾4级</v>
          </cell>
          <cell r="B13245">
            <v>1304004</v>
          </cell>
        </row>
        <row r="13246">
          <cell r="A13246" t="str">
            <v>紫3星妖尾5级</v>
          </cell>
          <cell r="B13246">
            <v>1304005</v>
          </cell>
        </row>
        <row r="13247">
          <cell r="A13247" t="str">
            <v>紫3星妖尾6级</v>
          </cell>
          <cell r="B13247">
            <v>1304006</v>
          </cell>
        </row>
        <row r="13248">
          <cell r="A13248" t="str">
            <v>紫3星妖尾7级</v>
          </cell>
          <cell r="B13248">
            <v>1304007</v>
          </cell>
        </row>
        <row r="13249">
          <cell r="A13249" t="str">
            <v>紫3星妖尾8级</v>
          </cell>
          <cell r="B13249">
            <v>1304008</v>
          </cell>
        </row>
        <row r="13250">
          <cell r="A13250" t="str">
            <v>紫3星妖尾9级</v>
          </cell>
          <cell r="B13250">
            <v>1304009</v>
          </cell>
        </row>
        <row r="13251">
          <cell r="A13251" t="str">
            <v>紫3星妖尾10级</v>
          </cell>
          <cell r="B13251">
            <v>1304010</v>
          </cell>
        </row>
        <row r="13252">
          <cell r="A13252" t="str">
            <v>紫3星妖尾11级</v>
          </cell>
          <cell r="B13252">
            <v>1304011</v>
          </cell>
        </row>
        <row r="13253">
          <cell r="A13253" t="str">
            <v>紫3星妖尾12级</v>
          </cell>
          <cell r="B13253">
            <v>1304012</v>
          </cell>
        </row>
        <row r="13254">
          <cell r="A13254" t="str">
            <v>紫3星妖尾13级</v>
          </cell>
          <cell r="B13254">
            <v>1304013</v>
          </cell>
        </row>
        <row r="13255">
          <cell r="A13255" t="str">
            <v>紫3星妖尾14级</v>
          </cell>
          <cell r="B13255">
            <v>1304014</v>
          </cell>
        </row>
        <row r="13256">
          <cell r="A13256" t="str">
            <v>紫3星妖尾15级</v>
          </cell>
          <cell r="B13256">
            <v>1304015</v>
          </cell>
        </row>
        <row r="13257">
          <cell r="A13257" t="str">
            <v>紫3星妖尾16级</v>
          </cell>
          <cell r="B13257">
            <v>1304016</v>
          </cell>
        </row>
        <row r="13258">
          <cell r="A13258" t="str">
            <v>紫3星妖尾17级</v>
          </cell>
          <cell r="B13258">
            <v>1304017</v>
          </cell>
        </row>
        <row r="13259">
          <cell r="A13259" t="str">
            <v>紫3星妖尾18级</v>
          </cell>
          <cell r="B13259">
            <v>1304018</v>
          </cell>
        </row>
        <row r="13260">
          <cell r="A13260" t="str">
            <v>紫3星妖尾19级</v>
          </cell>
          <cell r="B13260">
            <v>1304019</v>
          </cell>
        </row>
        <row r="13261">
          <cell r="A13261" t="str">
            <v>紫3星妖尾20级</v>
          </cell>
          <cell r="B13261">
            <v>1304020</v>
          </cell>
        </row>
        <row r="13262">
          <cell r="A13262" t="str">
            <v>紫3星妖尾21级</v>
          </cell>
          <cell r="B13262">
            <v>1304021</v>
          </cell>
        </row>
        <row r="13263">
          <cell r="A13263" t="str">
            <v>紫3星妖尾22级</v>
          </cell>
          <cell r="B13263">
            <v>1304022</v>
          </cell>
        </row>
        <row r="13264">
          <cell r="A13264" t="str">
            <v>紫3星妖尾23级</v>
          </cell>
          <cell r="B13264">
            <v>1304023</v>
          </cell>
        </row>
        <row r="13265">
          <cell r="A13265" t="str">
            <v>紫3星妖尾24级</v>
          </cell>
          <cell r="B13265">
            <v>1304024</v>
          </cell>
        </row>
        <row r="13266">
          <cell r="A13266" t="str">
            <v>紫3星妖尾25级</v>
          </cell>
          <cell r="B13266">
            <v>1304025</v>
          </cell>
        </row>
        <row r="13267">
          <cell r="A13267" t="str">
            <v>紫3星妖尾26级</v>
          </cell>
          <cell r="B13267">
            <v>1304026</v>
          </cell>
        </row>
        <row r="13268">
          <cell r="A13268" t="str">
            <v>紫3星妖尾27级</v>
          </cell>
          <cell r="B13268">
            <v>1304027</v>
          </cell>
        </row>
        <row r="13269">
          <cell r="A13269" t="str">
            <v>紫3星妖尾28级</v>
          </cell>
          <cell r="B13269">
            <v>1304028</v>
          </cell>
        </row>
        <row r="13270">
          <cell r="A13270" t="str">
            <v>紫3星妖尾29级</v>
          </cell>
          <cell r="B13270">
            <v>1304029</v>
          </cell>
        </row>
        <row r="13271">
          <cell r="A13271" t="str">
            <v>紫3星妖尾30级</v>
          </cell>
          <cell r="B13271">
            <v>1304030</v>
          </cell>
        </row>
        <row r="13272">
          <cell r="A13272" t="str">
            <v>紫3星妖尾31级</v>
          </cell>
          <cell r="B13272">
            <v>1304031</v>
          </cell>
        </row>
        <row r="13273">
          <cell r="A13273" t="str">
            <v>紫3星妖尾32级</v>
          </cell>
          <cell r="B13273">
            <v>1304032</v>
          </cell>
        </row>
        <row r="13274">
          <cell r="A13274" t="str">
            <v>紫3星妖尾33级</v>
          </cell>
          <cell r="B13274">
            <v>1304033</v>
          </cell>
        </row>
        <row r="13275">
          <cell r="A13275" t="str">
            <v>紫3星妖尾34级</v>
          </cell>
          <cell r="B13275">
            <v>1304034</v>
          </cell>
        </row>
        <row r="13276">
          <cell r="A13276" t="str">
            <v>紫3星妖尾35级</v>
          </cell>
          <cell r="B13276">
            <v>1304035</v>
          </cell>
        </row>
        <row r="13277">
          <cell r="A13277" t="str">
            <v>紫3星妖尾36级</v>
          </cell>
          <cell r="B13277">
            <v>1304036</v>
          </cell>
        </row>
        <row r="13278">
          <cell r="A13278" t="str">
            <v>紫3星妖尾37级</v>
          </cell>
          <cell r="B13278">
            <v>1304037</v>
          </cell>
        </row>
        <row r="13279">
          <cell r="A13279" t="str">
            <v>紫3星妖尾38级</v>
          </cell>
          <cell r="B13279">
            <v>1304038</v>
          </cell>
        </row>
        <row r="13280">
          <cell r="A13280" t="str">
            <v>紫3星妖尾39级</v>
          </cell>
          <cell r="B13280">
            <v>1304039</v>
          </cell>
        </row>
        <row r="13281">
          <cell r="A13281" t="str">
            <v>紫3星妖尾40级</v>
          </cell>
          <cell r="B13281">
            <v>1304040</v>
          </cell>
        </row>
        <row r="13282">
          <cell r="A13282" t="str">
            <v>紫3星妖尾41级</v>
          </cell>
          <cell r="B13282">
            <v>1304041</v>
          </cell>
        </row>
        <row r="13283">
          <cell r="A13283" t="str">
            <v>紫3星妖尾42级</v>
          </cell>
          <cell r="B13283">
            <v>1304042</v>
          </cell>
        </row>
        <row r="13284">
          <cell r="A13284" t="str">
            <v>紫3星妖尾43级</v>
          </cell>
          <cell r="B13284">
            <v>1304043</v>
          </cell>
        </row>
        <row r="13285">
          <cell r="A13285" t="str">
            <v>紫3星妖尾44级</v>
          </cell>
          <cell r="B13285">
            <v>1304044</v>
          </cell>
        </row>
        <row r="13286">
          <cell r="A13286" t="str">
            <v>紫3星妖尾45级</v>
          </cell>
          <cell r="B13286">
            <v>1304045</v>
          </cell>
        </row>
        <row r="13287">
          <cell r="A13287" t="str">
            <v>紫3星妖尾46级</v>
          </cell>
          <cell r="B13287">
            <v>1304046</v>
          </cell>
        </row>
        <row r="13288">
          <cell r="A13288" t="str">
            <v>紫3星妖尾47级</v>
          </cell>
          <cell r="B13288">
            <v>1304047</v>
          </cell>
        </row>
        <row r="13289">
          <cell r="A13289" t="str">
            <v>紫3星妖尾48级</v>
          </cell>
          <cell r="B13289">
            <v>1304048</v>
          </cell>
        </row>
        <row r="13290">
          <cell r="A13290" t="str">
            <v>紫3星妖尾49级</v>
          </cell>
          <cell r="B13290">
            <v>1304049</v>
          </cell>
        </row>
        <row r="13291">
          <cell r="A13291" t="str">
            <v>紫3星妖尾50级</v>
          </cell>
          <cell r="B13291">
            <v>1304050</v>
          </cell>
        </row>
        <row r="13292">
          <cell r="A13292" t="str">
            <v>紫3星妖尾51级</v>
          </cell>
          <cell r="B13292">
            <v>1304051</v>
          </cell>
        </row>
        <row r="13293">
          <cell r="A13293" t="str">
            <v>紫3星妖尾52级</v>
          </cell>
          <cell r="B13293">
            <v>1304052</v>
          </cell>
        </row>
        <row r="13294">
          <cell r="A13294" t="str">
            <v>紫3星妖尾53级</v>
          </cell>
          <cell r="B13294">
            <v>1304053</v>
          </cell>
        </row>
        <row r="13295">
          <cell r="A13295" t="str">
            <v>紫3星妖尾54级</v>
          </cell>
          <cell r="B13295">
            <v>1304054</v>
          </cell>
        </row>
        <row r="13296">
          <cell r="A13296" t="str">
            <v>紫3星妖尾55级</v>
          </cell>
          <cell r="B13296">
            <v>1304055</v>
          </cell>
        </row>
        <row r="13297">
          <cell r="A13297" t="str">
            <v>紫3星妖尾56级</v>
          </cell>
          <cell r="B13297">
            <v>1304056</v>
          </cell>
        </row>
        <row r="13298">
          <cell r="A13298" t="str">
            <v>紫3星妖尾57级</v>
          </cell>
          <cell r="B13298">
            <v>1304057</v>
          </cell>
        </row>
        <row r="13299">
          <cell r="A13299" t="str">
            <v>紫3星妖尾58级</v>
          </cell>
          <cell r="B13299">
            <v>1304058</v>
          </cell>
        </row>
        <row r="13300">
          <cell r="A13300" t="str">
            <v>紫3星妖尾59级</v>
          </cell>
          <cell r="B13300">
            <v>1304059</v>
          </cell>
        </row>
        <row r="13301">
          <cell r="A13301" t="str">
            <v>紫3星妖尾60级</v>
          </cell>
          <cell r="B13301">
            <v>1304060</v>
          </cell>
        </row>
        <row r="13302">
          <cell r="A13302" t="str">
            <v>紫3星妖尾61级</v>
          </cell>
          <cell r="B13302">
            <v>1304061</v>
          </cell>
        </row>
        <row r="13303">
          <cell r="A13303" t="str">
            <v>紫3星妖尾62级</v>
          </cell>
          <cell r="B13303">
            <v>1304062</v>
          </cell>
        </row>
        <row r="13304">
          <cell r="A13304" t="str">
            <v>紫3星妖尾63级</v>
          </cell>
          <cell r="B13304">
            <v>1304063</v>
          </cell>
        </row>
        <row r="13305">
          <cell r="A13305" t="str">
            <v>紫3星妖尾64级</v>
          </cell>
          <cell r="B13305">
            <v>1304064</v>
          </cell>
        </row>
        <row r="13306">
          <cell r="A13306" t="str">
            <v>紫3星妖尾65级</v>
          </cell>
          <cell r="B13306">
            <v>1304065</v>
          </cell>
        </row>
        <row r="13307">
          <cell r="A13307" t="str">
            <v>紫3星妖尾66级</v>
          </cell>
          <cell r="B13307">
            <v>1304066</v>
          </cell>
        </row>
        <row r="13308">
          <cell r="A13308" t="str">
            <v>紫3星妖尾67级</v>
          </cell>
          <cell r="B13308">
            <v>1304067</v>
          </cell>
        </row>
        <row r="13309">
          <cell r="A13309" t="str">
            <v>紫3星妖尾68级</v>
          </cell>
          <cell r="B13309">
            <v>1304068</v>
          </cell>
        </row>
        <row r="13310">
          <cell r="A13310" t="str">
            <v>紫3星妖尾69级</v>
          </cell>
          <cell r="B13310">
            <v>1304069</v>
          </cell>
        </row>
        <row r="13311">
          <cell r="A13311" t="str">
            <v>紫3星妖尾70级</v>
          </cell>
          <cell r="B13311">
            <v>1304070</v>
          </cell>
        </row>
        <row r="13312">
          <cell r="A13312" t="str">
            <v>紫3星妖尾71级</v>
          </cell>
          <cell r="B13312">
            <v>1304071</v>
          </cell>
        </row>
        <row r="13313">
          <cell r="A13313" t="str">
            <v>紫3星妖尾72级</v>
          </cell>
          <cell r="B13313">
            <v>1304072</v>
          </cell>
        </row>
        <row r="13314">
          <cell r="A13314" t="str">
            <v>紫3星妖尾73级</v>
          </cell>
          <cell r="B13314">
            <v>1304073</v>
          </cell>
        </row>
        <row r="13315">
          <cell r="A13315" t="str">
            <v>紫3星妖尾74级</v>
          </cell>
          <cell r="B13315">
            <v>1304074</v>
          </cell>
        </row>
        <row r="13316">
          <cell r="A13316" t="str">
            <v>紫3星妖尾75级</v>
          </cell>
          <cell r="B13316">
            <v>1304075</v>
          </cell>
        </row>
        <row r="13317">
          <cell r="A13317" t="str">
            <v>紫3星妖尾76级</v>
          </cell>
          <cell r="B13317">
            <v>1304076</v>
          </cell>
        </row>
        <row r="13318">
          <cell r="A13318" t="str">
            <v>紫3星妖尾77级</v>
          </cell>
          <cell r="B13318">
            <v>1304077</v>
          </cell>
        </row>
        <row r="13319">
          <cell r="A13319" t="str">
            <v>紫3星妖尾78级</v>
          </cell>
          <cell r="B13319">
            <v>1304078</v>
          </cell>
        </row>
        <row r="13320">
          <cell r="A13320" t="str">
            <v>紫3星妖尾79级</v>
          </cell>
          <cell r="B13320">
            <v>1304079</v>
          </cell>
        </row>
        <row r="13321">
          <cell r="A13321" t="str">
            <v>紫3星妖尾80级</v>
          </cell>
          <cell r="B13321">
            <v>1304080</v>
          </cell>
        </row>
        <row r="13322">
          <cell r="A13322" t="str">
            <v>紫3星妖尾81级</v>
          </cell>
          <cell r="B13322">
            <v>1304081</v>
          </cell>
        </row>
        <row r="13323">
          <cell r="A13323" t="str">
            <v>紫3星妖尾82级</v>
          </cell>
          <cell r="B13323">
            <v>1304082</v>
          </cell>
        </row>
        <row r="13324">
          <cell r="A13324" t="str">
            <v>紫3星妖尾83级</v>
          </cell>
          <cell r="B13324">
            <v>1304083</v>
          </cell>
        </row>
        <row r="13325">
          <cell r="A13325" t="str">
            <v>紫3星妖尾84级</v>
          </cell>
          <cell r="B13325">
            <v>1304084</v>
          </cell>
        </row>
        <row r="13326">
          <cell r="A13326" t="str">
            <v>紫3星妖尾85级</v>
          </cell>
          <cell r="B13326">
            <v>1304085</v>
          </cell>
        </row>
        <row r="13327">
          <cell r="A13327" t="str">
            <v>紫3星妖尾86级</v>
          </cell>
          <cell r="B13327">
            <v>1304086</v>
          </cell>
        </row>
        <row r="13328">
          <cell r="A13328" t="str">
            <v>紫3星妖尾87级</v>
          </cell>
          <cell r="B13328">
            <v>1304087</v>
          </cell>
        </row>
        <row r="13329">
          <cell r="A13329" t="str">
            <v>紫3星妖尾88级</v>
          </cell>
          <cell r="B13329">
            <v>1304088</v>
          </cell>
        </row>
        <row r="13330">
          <cell r="A13330" t="str">
            <v>紫3星妖尾89级</v>
          </cell>
          <cell r="B13330">
            <v>1304089</v>
          </cell>
        </row>
        <row r="13331">
          <cell r="A13331" t="str">
            <v>紫3星妖尾90级</v>
          </cell>
          <cell r="B13331">
            <v>1304090</v>
          </cell>
        </row>
        <row r="13332">
          <cell r="A13332" t="str">
            <v>紫3星妖尾91级</v>
          </cell>
          <cell r="B13332">
            <v>1304091</v>
          </cell>
        </row>
        <row r="13333">
          <cell r="A13333" t="str">
            <v>紫3星妖尾92级</v>
          </cell>
          <cell r="B13333">
            <v>1304092</v>
          </cell>
        </row>
        <row r="13334">
          <cell r="A13334" t="str">
            <v>紫3星妖尾93级</v>
          </cell>
          <cell r="B13334">
            <v>1304093</v>
          </cell>
        </row>
        <row r="13335">
          <cell r="A13335" t="str">
            <v>紫3星妖尾94级</v>
          </cell>
          <cell r="B13335">
            <v>1304094</v>
          </cell>
        </row>
        <row r="13336">
          <cell r="A13336" t="str">
            <v>紫3星妖尾95级</v>
          </cell>
          <cell r="B13336">
            <v>1304095</v>
          </cell>
        </row>
        <row r="13337">
          <cell r="A13337" t="str">
            <v>紫3星妖尾96级</v>
          </cell>
          <cell r="B13337">
            <v>1304096</v>
          </cell>
        </row>
        <row r="13338">
          <cell r="A13338" t="str">
            <v>紫3星妖尾97级</v>
          </cell>
          <cell r="B13338">
            <v>1304097</v>
          </cell>
        </row>
        <row r="13339">
          <cell r="A13339" t="str">
            <v>紫3星妖尾98级</v>
          </cell>
          <cell r="B13339">
            <v>1304098</v>
          </cell>
        </row>
        <row r="13340">
          <cell r="A13340" t="str">
            <v>紫3星妖尾99级</v>
          </cell>
          <cell r="B13340">
            <v>1304099</v>
          </cell>
        </row>
        <row r="13341">
          <cell r="A13341" t="str">
            <v>紫3星妖尾100级</v>
          </cell>
          <cell r="B13341">
            <v>1304100</v>
          </cell>
        </row>
        <row r="13342">
          <cell r="A13342" t="str">
            <v>橙1星妖尾1级</v>
          </cell>
          <cell r="B13342">
            <v>1305001</v>
          </cell>
        </row>
        <row r="13343">
          <cell r="A13343" t="str">
            <v>橙1星妖尾2级</v>
          </cell>
          <cell r="B13343">
            <v>1305002</v>
          </cell>
        </row>
        <row r="13344">
          <cell r="A13344" t="str">
            <v>橙1星妖尾3级</v>
          </cell>
          <cell r="B13344">
            <v>1305003</v>
          </cell>
        </row>
        <row r="13345">
          <cell r="A13345" t="str">
            <v>橙1星妖尾4级</v>
          </cell>
          <cell r="B13345">
            <v>1305004</v>
          </cell>
        </row>
        <row r="13346">
          <cell r="A13346" t="str">
            <v>橙1星妖尾5级</v>
          </cell>
          <cell r="B13346">
            <v>1305005</v>
          </cell>
        </row>
        <row r="13347">
          <cell r="A13347" t="str">
            <v>橙1星妖尾6级</v>
          </cell>
          <cell r="B13347">
            <v>1305006</v>
          </cell>
        </row>
        <row r="13348">
          <cell r="A13348" t="str">
            <v>橙1星妖尾7级</v>
          </cell>
          <cell r="B13348">
            <v>1305007</v>
          </cell>
        </row>
        <row r="13349">
          <cell r="A13349" t="str">
            <v>橙1星妖尾8级</v>
          </cell>
          <cell r="B13349">
            <v>1305008</v>
          </cell>
        </row>
        <row r="13350">
          <cell r="A13350" t="str">
            <v>橙1星妖尾9级</v>
          </cell>
          <cell r="B13350">
            <v>1305009</v>
          </cell>
        </row>
        <row r="13351">
          <cell r="A13351" t="str">
            <v>橙1星妖尾10级</v>
          </cell>
          <cell r="B13351">
            <v>1305010</v>
          </cell>
        </row>
        <row r="13352">
          <cell r="A13352" t="str">
            <v>橙1星妖尾11级</v>
          </cell>
          <cell r="B13352">
            <v>1305011</v>
          </cell>
        </row>
        <row r="13353">
          <cell r="A13353" t="str">
            <v>橙1星妖尾12级</v>
          </cell>
          <cell r="B13353">
            <v>1305012</v>
          </cell>
        </row>
        <row r="13354">
          <cell r="A13354" t="str">
            <v>橙1星妖尾13级</v>
          </cell>
          <cell r="B13354">
            <v>1305013</v>
          </cell>
        </row>
        <row r="13355">
          <cell r="A13355" t="str">
            <v>橙1星妖尾14级</v>
          </cell>
          <cell r="B13355">
            <v>1305014</v>
          </cell>
        </row>
        <row r="13356">
          <cell r="A13356" t="str">
            <v>橙1星妖尾15级</v>
          </cell>
          <cell r="B13356">
            <v>1305015</v>
          </cell>
        </row>
        <row r="13357">
          <cell r="A13357" t="str">
            <v>橙1星妖尾16级</v>
          </cell>
          <cell r="B13357">
            <v>1305016</v>
          </cell>
        </row>
        <row r="13358">
          <cell r="A13358" t="str">
            <v>橙1星妖尾17级</v>
          </cell>
          <cell r="B13358">
            <v>1305017</v>
          </cell>
        </row>
        <row r="13359">
          <cell r="A13359" t="str">
            <v>橙1星妖尾18级</v>
          </cell>
          <cell r="B13359">
            <v>1305018</v>
          </cell>
        </row>
        <row r="13360">
          <cell r="A13360" t="str">
            <v>橙1星妖尾19级</v>
          </cell>
          <cell r="B13360">
            <v>1305019</v>
          </cell>
        </row>
        <row r="13361">
          <cell r="A13361" t="str">
            <v>橙1星妖尾20级</v>
          </cell>
          <cell r="B13361">
            <v>1305020</v>
          </cell>
        </row>
        <row r="13362">
          <cell r="A13362" t="str">
            <v>橙1星妖尾21级</v>
          </cell>
          <cell r="B13362">
            <v>1305021</v>
          </cell>
        </row>
        <row r="13363">
          <cell r="A13363" t="str">
            <v>橙1星妖尾22级</v>
          </cell>
          <cell r="B13363">
            <v>1305022</v>
          </cell>
        </row>
        <row r="13364">
          <cell r="A13364" t="str">
            <v>橙1星妖尾23级</v>
          </cell>
          <cell r="B13364">
            <v>1305023</v>
          </cell>
        </row>
        <row r="13365">
          <cell r="A13365" t="str">
            <v>橙1星妖尾24级</v>
          </cell>
          <cell r="B13365">
            <v>1305024</v>
          </cell>
        </row>
        <row r="13366">
          <cell r="A13366" t="str">
            <v>橙1星妖尾25级</v>
          </cell>
          <cell r="B13366">
            <v>1305025</v>
          </cell>
        </row>
        <row r="13367">
          <cell r="A13367" t="str">
            <v>橙1星妖尾26级</v>
          </cell>
          <cell r="B13367">
            <v>1305026</v>
          </cell>
        </row>
        <row r="13368">
          <cell r="A13368" t="str">
            <v>橙1星妖尾27级</v>
          </cell>
          <cell r="B13368">
            <v>1305027</v>
          </cell>
        </row>
        <row r="13369">
          <cell r="A13369" t="str">
            <v>橙1星妖尾28级</v>
          </cell>
          <cell r="B13369">
            <v>1305028</v>
          </cell>
        </row>
        <row r="13370">
          <cell r="A13370" t="str">
            <v>橙1星妖尾29级</v>
          </cell>
          <cell r="B13370">
            <v>1305029</v>
          </cell>
        </row>
        <row r="13371">
          <cell r="A13371" t="str">
            <v>橙1星妖尾30级</v>
          </cell>
          <cell r="B13371">
            <v>1305030</v>
          </cell>
        </row>
        <row r="13372">
          <cell r="A13372" t="str">
            <v>橙1星妖尾31级</v>
          </cell>
          <cell r="B13372">
            <v>1305031</v>
          </cell>
        </row>
        <row r="13373">
          <cell r="A13373" t="str">
            <v>橙1星妖尾32级</v>
          </cell>
          <cell r="B13373">
            <v>1305032</v>
          </cell>
        </row>
        <row r="13374">
          <cell r="A13374" t="str">
            <v>橙1星妖尾33级</v>
          </cell>
          <cell r="B13374">
            <v>1305033</v>
          </cell>
        </row>
        <row r="13375">
          <cell r="A13375" t="str">
            <v>橙1星妖尾34级</v>
          </cell>
          <cell r="B13375">
            <v>1305034</v>
          </cell>
        </row>
        <row r="13376">
          <cell r="A13376" t="str">
            <v>橙1星妖尾35级</v>
          </cell>
          <cell r="B13376">
            <v>1305035</v>
          </cell>
        </row>
        <row r="13377">
          <cell r="A13377" t="str">
            <v>橙1星妖尾36级</v>
          </cell>
          <cell r="B13377">
            <v>1305036</v>
          </cell>
        </row>
        <row r="13378">
          <cell r="A13378" t="str">
            <v>橙1星妖尾37级</v>
          </cell>
          <cell r="B13378">
            <v>1305037</v>
          </cell>
        </row>
        <row r="13379">
          <cell r="A13379" t="str">
            <v>橙1星妖尾38级</v>
          </cell>
          <cell r="B13379">
            <v>1305038</v>
          </cell>
        </row>
        <row r="13380">
          <cell r="A13380" t="str">
            <v>橙1星妖尾39级</v>
          </cell>
          <cell r="B13380">
            <v>1305039</v>
          </cell>
        </row>
        <row r="13381">
          <cell r="A13381" t="str">
            <v>橙1星妖尾40级</v>
          </cell>
          <cell r="B13381">
            <v>1305040</v>
          </cell>
        </row>
        <row r="13382">
          <cell r="A13382" t="str">
            <v>橙1星妖尾41级</v>
          </cell>
          <cell r="B13382">
            <v>1305041</v>
          </cell>
        </row>
        <row r="13383">
          <cell r="A13383" t="str">
            <v>橙1星妖尾42级</v>
          </cell>
          <cell r="B13383">
            <v>1305042</v>
          </cell>
        </row>
        <row r="13384">
          <cell r="A13384" t="str">
            <v>橙1星妖尾43级</v>
          </cell>
          <cell r="B13384">
            <v>1305043</v>
          </cell>
        </row>
        <row r="13385">
          <cell r="A13385" t="str">
            <v>橙1星妖尾44级</v>
          </cell>
          <cell r="B13385">
            <v>1305044</v>
          </cell>
        </row>
        <row r="13386">
          <cell r="A13386" t="str">
            <v>橙1星妖尾45级</v>
          </cell>
          <cell r="B13386">
            <v>1305045</v>
          </cell>
        </row>
        <row r="13387">
          <cell r="A13387" t="str">
            <v>橙1星妖尾46级</v>
          </cell>
          <cell r="B13387">
            <v>1305046</v>
          </cell>
        </row>
        <row r="13388">
          <cell r="A13388" t="str">
            <v>橙1星妖尾47级</v>
          </cell>
          <cell r="B13388">
            <v>1305047</v>
          </cell>
        </row>
        <row r="13389">
          <cell r="A13389" t="str">
            <v>橙1星妖尾48级</v>
          </cell>
          <cell r="B13389">
            <v>1305048</v>
          </cell>
        </row>
        <row r="13390">
          <cell r="A13390" t="str">
            <v>橙1星妖尾49级</v>
          </cell>
          <cell r="B13390">
            <v>1305049</v>
          </cell>
        </row>
        <row r="13391">
          <cell r="A13391" t="str">
            <v>橙1星妖尾50级</v>
          </cell>
          <cell r="B13391">
            <v>1305050</v>
          </cell>
        </row>
        <row r="13392">
          <cell r="A13392" t="str">
            <v>橙1星妖尾51级</v>
          </cell>
          <cell r="B13392">
            <v>1305051</v>
          </cell>
        </row>
        <row r="13393">
          <cell r="A13393" t="str">
            <v>橙1星妖尾52级</v>
          </cell>
          <cell r="B13393">
            <v>1305052</v>
          </cell>
        </row>
        <row r="13394">
          <cell r="A13394" t="str">
            <v>橙1星妖尾53级</v>
          </cell>
          <cell r="B13394">
            <v>1305053</v>
          </cell>
        </row>
        <row r="13395">
          <cell r="A13395" t="str">
            <v>橙1星妖尾54级</v>
          </cell>
          <cell r="B13395">
            <v>1305054</v>
          </cell>
        </row>
        <row r="13396">
          <cell r="A13396" t="str">
            <v>橙1星妖尾55级</v>
          </cell>
          <cell r="B13396">
            <v>1305055</v>
          </cell>
        </row>
        <row r="13397">
          <cell r="A13397" t="str">
            <v>橙1星妖尾56级</v>
          </cell>
          <cell r="B13397">
            <v>1305056</v>
          </cell>
        </row>
        <row r="13398">
          <cell r="A13398" t="str">
            <v>橙1星妖尾57级</v>
          </cell>
          <cell r="B13398">
            <v>1305057</v>
          </cell>
        </row>
        <row r="13399">
          <cell r="A13399" t="str">
            <v>橙1星妖尾58级</v>
          </cell>
          <cell r="B13399">
            <v>1305058</v>
          </cell>
        </row>
        <row r="13400">
          <cell r="A13400" t="str">
            <v>橙1星妖尾59级</v>
          </cell>
          <cell r="B13400">
            <v>1305059</v>
          </cell>
        </row>
        <row r="13401">
          <cell r="A13401" t="str">
            <v>橙1星妖尾60级</v>
          </cell>
          <cell r="B13401">
            <v>1305060</v>
          </cell>
        </row>
        <row r="13402">
          <cell r="A13402" t="str">
            <v>橙1星妖尾61级</v>
          </cell>
          <cell r="B13402">
            <v>1305061</v>
          </cell>
        </row>
        <row r="13403">
          <cell r="A13403" t="str">
            <v>橙1星妖尾62级</v>
          </cell>
          <cell r="B13403">
            <v>1305062</v>
          </cell>
        </row>
        <row r="13404">
          <cell r="A13404" t="str">
            <v>橙1星妖尾63级</v>
          </cell>
          <cell r="B13404">
            <v>1305063</v>
          </cell>
        </row>
        <row r="13405">
          <cell r="A13405" t="str">
            <v>橙1星妖尾64级</v>
          </cell>
          <cell r="B13405">
            <v>1305064</v>
          </cell>
        </row>
        <row r="13406">
          <cell r="A13406" t="str">
            <v>橙1星妖尾65级</v>
          </cell>
          <cell r="B13406">
            <v>1305065</v>
          </cell>
        </row>
        <row r="13407">
          <cell r="A13407" t="str">
            <v>橙1星妖尾66级</v>
          </cell>
          <cell r="B13407">
            <v>1305066</v>
          </cell>
        </row>
        <row r="13408">
          <cell r="A13408" t="str">
            <v>橙1星妖尾67级</v>
          </cell>
          <cell r="B13408">
            <v>1305067</v>
          </cell>
        </row>
        <row r="13409">
          <cell r="A13409" t="str">
            <v>橙1星妖尾68级</v>
          </cell>
          <cell r="B13409">
            <v>1305068</v>
          </cell>
        </row>
        <row r="13410">
          <cell r="A13410" t="str">
            <v>橙1星妖尾69级</v>
          </cell>
          <cell r="B13410">
            <v>1305069</v>
          </cell>
        </row>
        <row r="13411">
          <cell r="A13411" t="str">
            <v>橙1星妖尾70级</v>
          </cell>
          <cell r="B13411">
            <v>1305070</v>
          </cell>
        </row>
        <row r="13412">
          <cell r="A13412" t="str">
            <v>橙1星妖尾71级</v>
          </cell>
          <cell r="B13412">
            <v>1305071</v>
          </cell>
        </row>
        <row r="13413">
          <cell r="A13413" t="str">
            <v>橙1星妖尾72级</v>
          </cell>
          <cell r="B13413">
            <v>1305072</v>
          </cell>
        </row>
        <row r="13414">
          <cell r="A13414" t="str">
            <v>橙1星妖尾73级</v>
          </cell>
          <cell r="B13414">
            <v>1305073</v>
          </cell>
        </row>
        <row r="13415">
          <cell r="A13415" t="str">
            <v>橙1星妖尾74级</v>
          </cell>
          <cell r="B13415">
            <v>1305074</v>
          </cell>
        </row>
        <row r="13416">
          <cell r="A13416" t="str">
            <v>橙1星妖尾75级</v>
          </cell>
          <cell r="B13416">
            <v>1305075</v>
          </cell>
        </row>
        <row r="13417">
          <cell r="A13417" t="str">
            <v>橙1星妖尾76级</v>
          </cell>
          <cell r="B13417">
            <v>1305076</v>
          </cell>
        </row>
        <row r="13418">
          <cell r="A13418" t="str">
            <v>橙1星妖尾77级</v>
          </cell>
          <cell r="B13418">
            <v>1305077</v>
          </cell>
        </row>
        <row r="13419">
          <cell r="A13419" t="str">
            <v>橙1星妖尾78级</v>
          </cell>
          <cell r="B13419">
            <v>1305078</v>
          </cell>
        </row>
        <row r="13420">
          <cell r="A13420" t="str">
            <v>橙1星妖尾79级</v>
          </cell>
          <cell r="B13420">
            <v>1305079</v>
          </cell>
        </row>
        <row r="13421">
          <cell r="A13421" t="str">
            <v>橙1星妖尾80级</v>
          </cell>
          <cell r="B13421">
            <v>1305080</v>
          </cell>
        </row>
        <row r="13422">
          <cell r="A13422" t="str">
            <v>橙1星妖尾81级</v>
          </cell>
          <cell r="B13422">
            <v>1305081</v>
          </cell>
        </row>
        <row r="13423">
          <cell r="A13423" t="str">
            <v>橙1星妖尾82级</v>
          </cell>
          <cell r="B13423">
            <v>1305082</v>
          </cell>
        </row>
        <row r="13424">
          <cell r="A13424" t="str">
            <v>橙1星妖尾83级</v>
          </cell>
          <cell r="B13424">
            <v>1305083</v>
          </cell>
        </row>
        <row r="13425">
          <cell r="A13425" t="str">
            <v>橙1星妖尾84级</v>
          </cell>
          <cell r="B13425">
            <v>1305084</v>
          </cell>
        </row>
        <row r="13426">
          <cell r="A13426" t="str">
            <v>橙1星妖尾85级</v>
          </cell>
          <cell r="B13426">
            <v>1305085</v>
          </cell>
        </row>
        <row r="13427">
          <cell r="A13427" t="str">
            <v>橙1星妖尾86级</v>
          </cell>
          <cell r="B13427">
            <v>1305086</v>
          </cell>
        </row>
        <row r="13428">
          <cell r="A13428" t="str">
            <v>橙1星妖尾87级</v>
          </cell>
          <cell r="B13428">
            <v>1305087</v>
          </cell>
        </row>
        <row r="13429">
          <cell r="A13429" t="str">
            <v>橙1星妖尾88级</v>
          </cell>
          <cell r="B13429">
            <v>1305088</v>
          </cell>
        </row>
        <row r="13430">
          <cell r="A13430" t="str">
            <v>橙1星妖尾89级</v>
          </cell>
          <cell r="B13430">
            <v>1305089</v>
          </cell>
        </row>
        <row r="13431">
          <cell r="A13431" t="str">
            <v>橙1星妖尾90级</v>
          </cell>
          <cell r="B13431">
            <v>1305090</v>
          </cell>
        </row>
        <row r="13432">
          <cell r="A13432" t="str">
            <v>橙1星妖尾91级</v>
          </cell>
          <cell r="B13432">
            <v>1305091</v>
          </cell>
        </row>
        <row r="13433">
          <cell r="A13433" t="str">
            <v>橙1星妖尾92级</v>
          </cell>
          <cell r="B13433">
            <v>1305092</v>
          </cell>
        </row>
        <row r="13434">
          <cell r="A13434" t="str">
            <v>橙1星妖尾93级</v>
          </cell>
          <cell r="B13434">
            <v>1305093</v>
          </cell>
        </row>
        <row r="13435">
          <cell r="A13435" t="str">
            <v>橙1星妖尾94级</v>
          </cell>
          <cell r="B13435">
            <v>1305094</v>
          </cell>
        </row>
        <row r="13436">
          <cell r="A13436" t="str">
            <v>橙1星妖尾95级</v>
          </cell>
          <cell r="B13436">
            <v>1305095</v>
          </cell>
        </row>
        <row r="13437">
          <cell r="A13437" t="str">
            <v>橙1星妖尾96级</v>
          </cell>
          <cell r="B13437">
            <v>1305096</v>
          </cell>
        </row>
        <row r="13438">
          <cell r="A13438" t="str">
            <v>橙1星妖尾97级</v>
          </cell>
          <cell r="B13438">
            <v>1305097</v>
          </cell>
        </row>
        <row r="13439">
          <cell r="A13439" t="str">
            <v>橙1星妖尾98级</v>
          </cell>
          <cell r="B13439">
            <v>1305098</v>
          </cell>
        </row>
        <row r="13440">
          <cell r="A13440" t="str">
            <v>橙1星妖尾99级</v>
          </cell>
          <cell r="B13440">
            <v>1305099</v>
          </cell>
        </row>
        <row r="13441">
          <cell r="A13441" t="str">
            <v>橙1星妖尾100级</v>
          </cell>
          <cell r="B13441">
            <v>1305100</v>
          </cell>
        </row>
        <row r="13442">
          <cell r="A13442" t="str">
            <v>橙2星妖尾1级</v>
          </cell>
          <cell r="B13442">
            <v>1306001</v>
          </cell>
        </row>
        <row r="13443">
          <cell r="A13443" t="str">
            <v>橙2星妖尾2级</v>
          </cell>
          <cell r="B13443">
            <v>1306002</v>
          </cell>
        </row>
        <row r="13444">
          <cell r="A13444" t="str">
            <v>橙2星妖尾3级</v>
          </cell>
          <cell r="B13444">
            <v>1306003</v>
          </cell>
        </row>
        <row r="13445">
          <cell r="A13445" t="str">
            <v>橙2星妖尾4级</v>
          </cell>
          <cell r="B13445">
            <v>1306004</v>
          </cell>
        </row>
        <row r="13446">
          <cell r="A13446" t="str">
            <v>橙2星妖尾5级</v>
          </cell>
          <cell r="B13446">
            <v>1306005</v>
          </cell>
        </row>
        <row r="13447">
          <cell r="A13447" t="str">
            <v>橙2星妖尾6级</v>
          </cell>
          <cell r="B13447">
            <v>1306006</v>
          </cell>
        </row>
        <row r="13448">
          <cell r="A13448" t="str">
            <v>橙2星妖尾7级</v>
          </cell>
          <cell r="B13448">
            <v>1306007</v>
          </cell>
        </row>
        <row r="13449">
          <cell r="A13449" t="str">
            <v>橙2星妖尾8级</v>
          </cell>
          <cell r="B13449">
            <v>1306008</v>
          </cell>
        </row>
        <row r="13450">
          <cell r="A13450" t="str">
            <v>橙2星妖尾9级</v>
          </cell>
          <cell r="B13450">
            <v>1306009</v>
          </cell>
        </row>
        <row r="13451">
          <cell r="A13451" t="str">
            <v>橙2星妖尾10级</v>
          </cell>
          <cell r="B13451">
            <v>1306010</v>
          </cell>
        </row>
        <row r="13452">
          <cell r="A13452" t="str">
            <v>橙2星妖尾11级</v>
          </cell>
          <cell r="B13452">
            <v>1306011</v>
          </cell>
        </row>
        <row r="13453">
          <cell r="A13453" t="str">
            <v>橙2星妖尾12级</v>
          </cell>
          <cell r="B13453">
            <v>1306012</v>
          </cell>
        </row>
        <row r="13454">
          <cell r="A13454" t="str">
            <v>橙2星妖尾13级</v>
          </cell>
          <cell r="B13454">
            <v>1306013</v>
          </cell>
        </row>
        <row r="13455">
          <cell r="A13455" t="str">
            <v>橙2星妖尾14级</v>
          </cell>
          <cell r="B13455">
            <v>1306014</v>
          </cell>
        </row>
        <row r="13456">
          <cell r="A13456" t="str">
            <v>橙2星妖尾15级</v>
          </cell>
          <cell r="B13456">
            <v>1306015</v>
          </cell>
        </row>
        <row r="13457">
          <cell r="A13457" t="str">
            <v>橙2星妖尾16级</v>
          </cell>
          <cell r="B13457">
            <v>1306016</v>
          </cell>
        </row>
        <row r="13458">
          <cell r="A13458" t="str">
            <v>橙2星妖尾17级</v>
          </cell>
          <cell r="B13458">
            <v>1306017</v>
          </cell>
        </row>
        <row r="13459">
          <cell r="A13459" t="str">
            <v>橙2星妖尾18级</v>
          </cell>
          <cell r="B13459">
            <v>1306018</v>
          </cell>
        </row>
        <row r="13460">
          <cell r="A13460" t="str">
            <v>橙2星妖尾19级</v>
          </cell>
          <cell r="B13460">
            <v>1306019</v>
          </cell>
        </row>
        <row r="13461">
          <cell r="A13461" t="str">
            <v>橙2星妖尾20级</v>
          </cell>
          <cell r="B13461">
            <v>1306020</v>
          </cell>
        </row>
        <row r="13462">
          <cell r="A13462" t="str">
            <v>橙2星妖尾21级</v>
          </cell>
          <cell r="B13462">
            <v>1306021</v>
          </cell>
        </row>
        <row r="13463">
          <cell r="A13463" t="str">
            <v>橙2星妖尾22级</v>
          </cell>
          <cell r="B13463">
            <v>1306022</v>
          </cell>
        </row>
        <row r="13464">
          <cell r="A13464" t="str">
            <v>橙2星妖尾23级</v>
          </cell>
          <cell r="B13464">
            <v>1306023</v>
          </cell>
        </row>
        <row r="13465">
          <cell r="A13465" t="str">
            <v>橙2星妖尾24级</v>
          </cell>
          <cell r="B13465">
            <v>1306024</v>
          </cell>
        </row>
        <row r="13466">
          <cell r="A13466" t="str">
            <v>橙2星妖尾25级</v>
          </cell>
          <cell r="B13466">
            <v>1306025</v>
          </cell>
        </row>
        <row r="13467">
          <cell r="A13467" t="str">
            <v>橙2星妖尾26级</v>
          </cell>
          <cell r="B13467">
            <v>1306026</v>
          </cell>
        </row>
        <row r="13468">
          <cell r="A13468" t="str">
            <v>橙2星妖尾27级</v>
          </cell>
          <cell r="B13468">
            <v>1306027</v>
          </cell>
        </row>
        <row r="13469">
          <cell r="A13469" t="str">
            <v>橙2星妖尾28级</v>
          </cell>
          <cell r="B13469">
            <v>1306028</v>
          </cell>
        </row>
        <row r="13470">
          <cell r="A13470" t="str">
            <v>橙2星妖尾29级</v>
          </cell>
          <cell r="B13470">
            <v>1306029</v>
          </cell>
        </row>
        <row r="13471">
          <cell r="A13471" t="str">
            <v>橙2星妖尾30级</v>
          </cell>
          <cell r="B13471">
            <v>1306030</v>
          </cell>
        </row>
        <row r="13472">
          <cell r="A13472" t="str">
            <v>橙2星妖尾31级</v>
          </cell>
          <cell r="B13472">
            <v>1306031</v>
          </cell>
        </row>
        <row r="13473">
          <cell r="A13473" t="str">
            <v>橙2星妖尾32级</v>
          </cell>
          <cell r="B13473">
            <v>1306032</v>
          </cell>
        </row>
        <row r="13474">
          <cell r="A13474" t="str">
            <v>橙2星妖尾33级</v>
          </cell>
          <cell r="B13474">
            <v>1306033</v>
          </cell>
        </row>
        <row r="13475">
          <cell r="A13475" t="str">
            <v>橙2星妖尾34级</v>
          </cell>
          <cell r="B13475">
            <v>1306034</v>
          </cell>
        </row>
        <row r="13476">
          <cell r="A13476" t="str">
            <v>橙2星妖尾35级</v>
          </cell>
          <cell r="B13476">
            <v>1306035</v>
          </cell>
        </row>
        <row r="13477">
          <cell r="A13477" t="str">
            <v>橙2星妖尾36级</v>
          </cell>
          <cell r="B13477">
            <v>1306036</v>
          </cell>
        </row>
        <row r="13478">
          <cell r="A13478" t="str">
            <v>橙2星妖尾37级</v>
          </cell>
          <cell r="B13478">
            <v>1306037</v>
          </cell>
        </row>
        <row r="13479">
          <cell r="A13479" t="str">
            <v>橙2星妖尾38级</v>
          </cell>
          <cell r="B13479">
            <v>1306038</v>
          </cell>
        </row>
        <row r="13480">
          <cell r="A13480" t="str">
            <v>橙2星妖尾39级</v>
          </cell>
          <cell r="B13480">
            <v>1306039</v>
          </cell>
        </row>
        <row r="13481">
          <cell r="A13481" t="str">
            <v>橙2星妖尾40级</v>
          </cell>
          <cell r="B13481">
            <v>1306040</v>
          </cell>
        </row>
        <row r="13482">
          <cell r="A13482" t="str">
            <v>橙2星妖尾41级</v>
          </cell>
          <cell r="B13482">
            <v>1306041</v>
          </cell>
        </row>
        <row r="13483">
          <cell r="A13483" t="str">
            <v>橙2星妖尾42级</v>
          </cell>
          <cell r="B13483">
            <v>1306042</v>
          </cell>
        </row>
        <row r="13484">
          <cell r="A13484" t="str">
            <v>橙2星妖尾43级</v>
          </cell>
          <cell r="B13484">
            <v>1306043</v>
          </cell>
        </row>
        <row r="13485">
          <cell r="A13485" t="str">
            <v>橙2星妖尾44级</v>
          </cell>
          <cell r="B13485">
            <v>1306044</v>
          </cell>
        </row>
        <row r="13486">
          <cell r="A13486" t="str">
            <v>橙2星妖尾45级</v>
          </cell>
          <cell r="B13486">
            <v>1306045</v>
          </cell>
        </row>
        <row r="13487">
          <cell r="A13487" t="str">
            <v>橙2星妖尾46级</v>
          </cell>
          <cell r="B13487">
            <v>1306046</v>
          </cell>
        </row>
        <row r="13488">
          <cell r="A13488" t="str">
            <v>橙2星妖尾47级</v>
          </cell>
          <cell r="B13488">
            <v>1306047</v>
          </cell>
        </row>
        <row r="13489">
          <cell r="A13489" t="str">
            <v>橙2星妖尾48级</v>
          </cell>
          <cell r="B13489">
            <v>1306048</v>
          </cell>
        </row>
        <row r="13490">
          <cell r="A13490" t="str">
            <v>橙2星妖尾49级</v>
          </cell>
          <cell r="B13490">
            <v>1306049</v>
          </cell>
        </row>
        <row r="13491">
          <cell r="A13491" t="str">
            <v>橙2星妖尾50级</v>
          </cell>
          <cell r="B13491">
            <v>1306050</v>
          </cell>
        </row>
        <row r="13492">
          <cell r="A13492" t="str">
            <v>橙2星妖尾51级</v>
          </cell>
          <cell r="B13492">
            <v>1306051</v>
          </cell>
        </row>
        <row r="13493">
          <cell r="A13493" t="str">
            <v>橙2星妖尾52级</v>
          </cell>
          <cell r="B13493">
            <v>1306052</v>
          </cell>
        </row>
        <row r="13494">
          <cell r="A13494" t="str">
            <v>橙2星妖尾53级</v>
          </cell>
          <cell r="B13494">
            <v>1306053</v>
          </cell>
        </row>
        <row r="13495">
          <cell r="A13495" t="str">
            <v>橙2星妖尾54级</v>
          </cell>
          <cell r="B13495">
            <v>1306054</v>
          </cell>
        </row>
        <row r="13496">
          <cell r="A13496" t="str">
            <v>橙2星妖尾55级</v>
          </cell>
          <cell r="B13496">
            <v>1306055</v>
          </cell>
        </row>
        <row r="13497">
          <cell r="A13497" t="str">
            <v>橙2星妖尾56级</v>
          </cell>
          <cell r="B13497">
            <v>1306056</v>
          </cell>
        </row>
        <row r="13498">
          <cell r="A13498" t="str">
            <v>橙2星妖尾57级</v>
          </cell>
          <cell r="B13498">
            <v>1306057</v>
          </cell>
        </row>
        <row r="13499">
          <cell r="A13499" t="str">
            <v>橙2星妖尾58级</v>
          </cell>
          <cell r="B13499">
            <v>1306058</v>
          </cell>
        </row>
        <row r="13500">
          <cell r="A13500" t="str">
            <v>橙2星妖尾59级</v>
          </cell>
          <cell r="B13500">
            <v>1306059</v>
          </cell>
        </row>
        <row r="13501">
          <cell r="A13501" t="str">
            <v>橙2星妖尾60级</v>
          </cell>
          <cell r="B13501">
            <v>1306060</v>
          </cell>
        </row>
        <row r="13502">
          <cell r="A13502" t="str">
            <v>橙2星妖尾61级</v>
          </cell>
          <cell r="B13502">
            <v>1306061</v>
          </cell>
        </row>
        <row r="13503">
          <cell r="A13503" t="str">
            <v>橙2星妖尾62级</v>
          </cell>
          <cell r="B13503">
            <v>1306062</v>
          </cell>
        </row>
        <row r="13504">
          <cell r="A13504" t="str">
            <v>橙2星妖尾63级</v>
          </cell>
          <cell r="B13504">
            <v>1306063</v>
          </cell>
        </row>
        <row r="13505">
          <cell r="A13505" t="str">
            <v>橙2星妖尾64级</v>
          </cell>
          <cell r="B13505">
            <v>1306064</v>
          </cell>
        </row>
        <row r="13506">
          <cell r="A13506" t="str">
            <v>橙2星妖尾65级</v>
          </cell>
          <cell r="B13506">
            <v>1306065</v>
          </cell>
        </row>
        <row r="13507">
          <cell r="A13507" t="str">
            <v>橙2星妖尾66级</v>
          </cell>
          <cell r="B13507">
            <v>1306066</v>
          </cell>
        </row>
        <row r="13508">
          <cell r="A13508" t="str">
            <v>橙2星妖尾67级</v>
          </cell>
          <cell r="B13508">
            <v>1306067</v>
          </cell>
        </row>
        <row r="13509">
          <cell r="A13509" t="str">
            <v>橙2星妖尾68级</v>
          </cell>
          <cell r="B13509">
            <v>1306068</v>
          </cell>
        </row>
        <row r="13510">
          <cell r="A13510" t="str">
            <v>橙2星妖尾69级</v>
          </cell>
          <cell r="B13510">
            <v>1306069</v>
          </cell>
        </row>
        <row r="13511">
          <cell r="A13511" t="str">
            <v>橙2星妖尾70级</v>
          </cell>
          <cell r="B13511">
            <v>1306070</v>
          </cell>
        </row>
        <row r="13512">
          <cell r="A13512" t="str">
            <v>橙2星妖尾71级</v>
          </cell>
          <cell r="B13512">
            <v>1306071</v>
          </cell>
        </row>
        <row r="13513">
          <cell r="A13513" t="str">
            <v>橙2星妖尾72级</v>
          </cell>
          <cell r="B13513">
            <v>1306072</v>
          </cell>
        </row>
        <row r="13514">
          <cell r="A13514" t="str">
            <v>橙2星妖尾73级</v>
          </cell>
          <cell r="B13514">
            <v>1306073</v>
          </cell>
        </row>
        <row r="13515">
          <cell r="A13515" t="str">
            <v>橙2星妖尾74级</v>
          </cell>
          <cell r="B13515">
            <v>1306074</v>
          </cell>
        </row>
        <row r="13516">
          <cell r="A13516" t="str">
            <v>橙2星妖尾75级</v>
          </cell>
          <cell r="B13516">
            <v>1306075</v>
          </cell>
        </row>
        <row r="13517">
          <cell r="A13517" t="str">
            <v>橙2星妖尾76级</v>
          </cell>
          <cell r="B13517">
            <v>1306076</v>
          </cell>
        </row>
        <row r="13518">
          <cell r="A13518" t="str">
            <v>橙2星妖尾77级</v>
          </cell>
          <cell r="B13518">
            <v>1306077</v>
          </cell>
        </row>
        <row r="13519">
          <cell r="A13519" t="str">
            <v>橙2星妖尾78级</v>
          </cell>
          <cell r="B13519">
            <v>1306078</v>
          </cell>
        </row>
        <row r="13520">
          <cell r="A13520" t="str">
            <v>橙2星妖尾79级</v>
          </cell>
          <cell r="B13520">
            <v>1306079</v>
          </cell>
        </row>
        <row r="13521">
          <cell r="A13521" t="str">
            <v>橙2星妖尾80级</v>
          </cell>
          <cell r="B13521">
            <v>1306080</v>
          </cell>
        </row>
        <row r="13522">
          <cell r="A13522" t="str">
            <v>橙2星妖尾81级</v>
          </cell>
          <cell r="B13522">
            <v>1306081</v>
          </cell>
        </row>
        <row r="13523">
          <cell r="A13523" t="str">
            <v>橙2星妖尾82级</v>
          </cell>
          <cell r="B13523">
            <v>1306082</v>
          </cell>
        </row>
        <row r="13524">
          <cell r="A13524" t="str">
            <v>橙2星妖尾83级</v>
          </cell>
          <cell r="B13524">
            <v>1306083</v>
          </cell>
        </row>
        <row r="13525">
          <cell r="A13525" t="str">
            <v>橙2星妖尾84级</v>
          </cell>
          <cell r="B13525">
            <v>1306084</v>
          </cell>
        </row>
        <row r="13526">
          <cell r="A13526" t="str">
            <v>橙2星妖尾85级</v>
          </cell>
          <cell r="B13526">
            <v>1306085</v>
          </cell>
        </row>
        <row r="13527">
          <cell r="A13527" t="str">
            <v>橙2星妖尾86级</v>
          </cell>
          <cell r="B13527">
            <v>1306086</v>
          </cell>
        </row>
        <row r="13528">
          <cell r="A13528" t="str">
            <v>橙2星妖尾87级</v>
          </cell>
          <cell r="B13528">
            <v>1306087</v>
          </cell>
        </row>
        <row r="13529">
          <cell r="A13529" t="str">
            <v>橙2星妖尾88级</v>
          </cell>
          <cell r="B13529">
            <v>1306088</v>
          </cell>
        </row>
        <row r="13530">
          <cell r="A13530" t="str">
            <v>橙2星妖尾89级</v>
          </cell>
          <cell r="B13530">
            <v>1306089</v>
          </cell>
        </row>
        <row r="13531">
          <cell r="A13531" t="str">
            <v>橙2星妖尾90级</v>
          </cell>
          <cell r="B13531">
            <v>1306090</v>
          </cell>
        </row>
        <row r="13532">
          <cell r="A13532" t="str">
            <v>橙2星妖尾91级</v>
          </cell>
          <cell r="B13532">
            <v>1306091</v>
          </cell>
        </row>
        <row r="13533">
          <cell r="A13533" t="str">
            <v>橙2星妖尾92级</v>
          </cell>
          <cell r="B13533">
            <v>1306092</v>
          </cell>
        </row>
        <row r="13534">
          <cell r="A13534" t="str">
            <v>橙2星妖尾93级</v>
          </cell>
          <cell r="B13534">
            <v>1306093</v>
          </cell>
        </row>
        <row r="13535">
          <cell r="A13535" t="str">
            <v>橙2星妖尾94级</v>
          </cell>
          <cell r="B13535">
            <v>1306094</v>
          </cell>
        </row>
        <row r="13536">
          <cell r="A13536" t="str">
            <v>橙2星妖尾95级</v>
          </cell>
          <cell r="B13536">
            <v>1306095</v>
          </cell>
        </row>
        <row r="13537">
          <cell r="A13537" t="str">
            <v>橙2星妖尾96级</v>
          </cell>
          <cell r="B13537">
            <v>1306096</v>
          </cell>
        </row>
        <row r="13538">
          <cell r="A13538" t="str">
            <v>橙2星妖尾97级</v>
          </cell>
          <cell r="B13538">
            <v>1306097</v>
          </cell>
        </row>
        <row r="13539">
          <cell r="A13539" t="str">
            <v>橙2星妖尾98级</v>
          </cell>
          <cell r="B13539">
            <v>1306098</v>
          </cell>
        </row>
        <row r="13540">
          <cell r="A13540" t="str">
            <v>橙2星妖尾99级</v>
          </cell>
          <cell r="B13540">
            <v>1306099</v>
          </cell>
        </row>
        <row r="13541">
          <cell r="A13541" t="str">
            <v>橙2星妖尾100级</v>
          </cell>
          <cell r="B13541">
            <v>1306100</v>
          </cell>
        </row>
        <row r="13542">
          <cell r="A13542" t="str">
            <v>橙3星妖尾1级</v>
          </cell>
          <cell r="B13542">
            <v>1307001</v>
          </cell>
        </row>
        <row r="13543">
          <cell r="A13543" t="str">
            <v>橙3星妖尾2级</v>
          </cell>
          <cell r="B13543">
            <v>1307002</v>
          </cell>
        </row>
        <row r="13544">
          <cell r="A13544" t="str">
            <v>橙3星妖尾3级</v>
          </cell>
          <cell r="B13544">
            <v>1307003</v>
          </cell>
        </row>
        <row r="13545">
          <cell r="A13545" t="str">
            <v>橙3星妖尾4级</v>
          </cell>
          <cell r="B13545">
            <v>1307004</v>
          </cell>
        </row>
        <row r="13546">
          <cell r="A13546" t="str">
            <v>橙3星妖尾5级</v>
          </cell>
          <cell r="B13546">
            <v>1307005</v>
          </cell>
        </row>
        <row r="13547">
          <cell r="A13547" t="str">
            <v>橙3星妖尾6级</v>
          </cell>
          <cell r="B13547">
            <v>1307006</v>
          </cell>
        </row>
        <row r="13548">
          <cell r="A13548" t="str">
            <v>橙3星妖尾7级</v>
          </cell>
          <cell r="B13548">
            <v>1307007</v>
          </cell>
        </row>
        <row r="13549">
          <cell r="A13549" t="str">
            <v>橙3星妖尾8级</v>
          </cell>
          <cell r="B13549">
            <v>1307008</v>
          </cell>
        </row>
        <row r="13550">
          <cell r="A13550" t="str">
            <v>橙3星妖尾9级</v>
          </cell>
          <cell r="B13550">
            <v>1307009</v>
          </cell>
        </row>
        <row r="13551">
          <cell r="A13551" t="str">
            <v>橙3星妖尾10级</v>
          </cell>
          <cell r="B13551">
            <v>1307010</v>
          </cell>
        </row>
        <row r="13552">
          <cell r="A13552" t="str">
            <v>橙3星妖尾11级</v>
          </cell>
          <cell r="B13552">
            <v>1307011</v>
          </cell>
        </row>
        <row r="13553">
          <cell r="A13553" t="str">
            <v>橙3星妖尾12级</v>
          </cell>
          <cell r="B13553">
            <v>1307012</v>
          </cell>
        </row>
        <row r="13554">
          <cell r="A13554" t="str">
            <v>橙3星妖尾13级</v>
          </cell>
          <cell r="B13554">
            <v>1307013</v>
          </cell>
        </row>
        <row r="13555">
          <cell r="A13555" t="str">
            <v>橙3星妖尾14级</v>
          </cell>
          <cell r="B13555">
            <v>1307014</v>
          </cell>
        </row>
        <row r="13556">
          <cell r="A13556" t="str">
            <v>橙3星妖尾15级</v>
          </cell>
          <cell r="B13556">
            <v>1307015</v>
          </cell>
        </row>
        <row r="13557">
          <cell r="A13557" t="str">
            <v>橙3星妖尾16级</v>
          </cell>
          <cell r="B13557">
            <v>1307016</v>
          </cell>
        </row>
        <row r="13558">
          <cell r="A13558" t="str">
            <v>橙3星妖尾17级</v>
          </cell>
          <cell r="B13558">
            <v>1307017</v>
          </cell>
        </row>
        <row r="13559">
          <cell r="A13559" t="str">
            <v>橙3星妖尾18级</v>
          </cell>
          <cell r="B13559">
            <v>1307018</v>
          </cell>
        </row>
        <row r="13560">
          <cell r="A13560" t="str">
            <v>橙3星妖尾19级</v>
          </cell>
          <cell r="B13560">
            <v>1307019</v>
          </cell>
        </row>
        <row r="13561">
          <cell r="A13561" t="str">
            <v>橙3星妖尾20级</v>
          </cell>
          <cell r="B13561">
            <v>1307020</v>
          </cell>
        </row>
        <row r="13562">
          <cell r="A13562" t="str">
            <v>橙3星妖尾21级</v>
          </cell>
          <cell r="B13562">
            <v>1307021</v>
          </cell>
        </row>
        <row r="13563">
          <cell r="A13563" t="str">
            <v>橙3星妖尾22级</v>
          </cell>
          <cell r="B13563">
            <v>1307022</v>
          </cell>
        </row>
        <row r="13564">
          <cell r="A13564" t="str">
            <v>橙3星妖尾23级</v>
          </cell>
          <cell r="B13564">
            <v>1307023</v>
          </cell>
        </row>
        <row r="13565">
          <cell r="A13565" t="str">
            <v>橙3星妖尾24级</v>
          </cell>
          <cell r="B13565">
            <v>1307024</v>
          </cell>
        </row>
        <row r="13566">
          <cell r="A13566" t="str">
            <v>橙3星妖尾25级</v>
          </cell>
          <cell r="B13566">
            <v>1307025</v>
          </cell>
        </row>
        <row r="13567">
          <cell r="A13567" t="str">
            <v>橙3星妖尾26级</v>
          </cell>
          <cell r="B13567">
            <v>1307026</v>
          </cell>
        </row>
        <row r="13568">
          <cell r="A13568" t="str">
            <v>橙3星妖尾27级</v>
          </cell>
          <cell r="B13568">
            <v>1307027</v>
          </cell>
        </row>
        <row r="13569">
          <cell r="A13569" t="str">
            <v>橙3星妖尾28级</v>
          </cell>
          <cell r="B13569">
            <v>1307028</v>
          </cell>
        </row>
        <row r="13570">
          <cell r="A13570" t="str">
            <v>橙3星妖尾29级</v>
          </cell>
          <cell r="B13570">
            <v>1307029</v>
          </cell>
        </row>
        <row r="13571">
          <cell r="A13571" t="str">
            <v>橙3星妖尾30级</v>
          </cell>
          <cell r="B13571">
            <v>1307030</v>
          </cell>
        </row>
        <row r="13572">
          <cell r="A13572" t="str">
            <v>橙3星妖尾31级</v>
          </cell>
          <cell r="B13572">
            <v>1307031</v>
          </cell>
        </row>
        <row r="13573">
          <cell r="A13573" t="str">
            <v>橙3星妖尾32级</v>
          </cell>
          <cell r="B13573">
            <v>1307032</v>
          </cell>
        </row>
        <row r="13574">
          <cell r="A13574" t="str">
            <v>橙3星妖尾33级</v>
          </cell>
          <cell r="B13574">
            <v>1307033</v>
          </cell>
        </row>
        <row r="13575">
          <cell r="A13575" t="str">
            <v>橙3星妖尾34级</v>
          </cell>
          <cell r="B13575">
            <v>1307034</v>
          </cell>
        </row>
        <row r="13576">
          <cell r="A13576" t="str">
            <v>橙3星妖尾35级</v>
          </cell>
          <cell r="B13576">
            <v>1307035</v>
          </cell>
        </row>
        <row r="13577">
          <cell r="A13577" t="str">
            <v>橙3星妖尾36级</v>
          </cell>
          <cell r="B13577">
            <v>1307036</v>
          </cell>
        </row>
        <row r="13578">
          <cell r="A13578" t="str">
            <v>橙3星妖尾37级</v>
          </cell>
          <cell r="B13578">
            <v>1307037</v>
          </cell>
        </row>
        <row r="13579">
          <cell r="A13579" t="str">
            <v>橙3星妖尾38级</v>
          </cell>
          <cell r="B13579">
            <v>1307038</v>
          </cell>
        </row>
        <row r="13580">
          <cell r="A13580" t="str">
            <v>橙3星妖尾39级</v>
          </cell>
          <cell r="B13580">
            <v>1307039</v>
          </cell>
        </row>
        <row r="13581">
          <cell r="A13581" t="str">
            <v>橙3星妖尾40级</v>
          </cell>
          <cell r="B13581">
            <v>1307040</v>
          </cell>
        </row>
        <row r="13582">
          <cell r="A13582" t="str">
            <v>橙3星妖尾41级</v>
          </cell>
          <cell r="B13582">
            <v>1307041</v>
          </cell>
        </row>
        <row r="13583">
          <cell r="A13583" t="str">
            <v>橙3星妖尾42级</v>
          </cell>
          <cell r="B13583">
            <v>1307042</v>
          </cell>
        </row>
        <row r="13584">
          <cell r="A13584" t="str">
            <v>橙3星妖尾43级</v>
          </cell>
          <cell r="B13584">
            <v>1307043</v>
          </cell>
        </row>
        <row r="13585">
          <cell r="A13585" t="str">
            <v>橙3星妖尾44级</v>
          </cell>
          <cell r="B13585">
            <v>1307044</v>
          </cell>
        </row>
        <row r="13586">
          <cell r="A13586" t="str">
            <v>橙3星妖尾45级</v>
          </cell>
          <cell r="B13586">
            <v>1307045</v>
          </cell>
        </row>
        <row r="13587">
          <cell r="A13587" t="str">
            <v>橙3星妖尾46级</v>
          </cell>
          <cell r="B13587">
            <v>1307046</v>
          </cell>
        </row>
        <row r="13588">
          <cell r="A13588" t="str">
            <v>橙3星妖尾47级</v>
          </cell>
          <cell r="B13588">
            <v>1307047</v>
          </cell>
        </row>
        <row r="13589">
          <cell r="A13589" t="str">
            <v>橙3星妖尾48级</v>
          </cell>
          <cell r="B13589">
            <v>1307048</v>
          </cell>
        </row>
        <row r="13590">
          <cell r="A13590" t="str">
            <v>橙3星妖尾49级</v>
          </cell>
          <cell r="B13590">
            <v>1307049</v>
          </cell>
        </row>
        <row r="13591">
          <cell r="A13591" t="str">
            <v>橙3星妖尾50级</v>
          </cell>
          <cell r="B13591">
            <v>1307050</v>
          </cell>
        </row>
        <row r="13592">
          <cell r="A13592" t="str">
            <v>橙3星妖尾51级</v>
          </cell>
          <cell r="B13592">
            <v>1307051</v>
          </cell>
        </row>
        <row r="13593">
          <cell r="A13593" t="str">
            <v>橙3星妖尾52级</v>
          </cell>
          <cell r="B13593">
            <v>1307052</v>
          </cell>
        </row>
        <row r="13594">
          <cell r="A13594" t="str">
            <v>橙3星妖尾53级</v>
          </cell>
          <cell r="B13594">
            <v>1307053</v>
          </cell>
        </row>
        <row r="13595">
          <cell r="A13595" t="str">
            <v>橙3星妖尾54级</v>
          </cell>
          <cell r="B13595">
            <v>1307054</v>
          </cell>
        </row>
        <row r="13596">
          <cell r="A13596" t="str">
            <v>橙3星妖尾55级</v>
          </cell>
          <cell r="B13596">
            <v>1307055</v>
          </cell>
        </row>
        <row r="13597">
          <cell r="A13597" t="str">
            <v>橙3星妖尾56级</v>
          </cell>
          <cell r="B13597">
            <v>1307056</v>
          </cell>
        </row>
        <row r="13598">
          <cell r="A13598" t="str">
            <v>橙3星妖尾57级</v>
          </cell>
          <cell r="B13598">
            <v>1307057</v>
          </cell>
        </row>
        <row r="13599">
          <cell r="A13599" t="str">
            <v>橙3星妖尾58级</v>
          </cell>
          <cell r="B13599">
            <v>1307058</v>
          </cell>
        </row>
        <row r="13600">
          <cell r="A13600" t="str">
            <v>橙3星妖尾59级</v>
          </cell>
          <cell r="B13600">
            <v>1307059</v>
          </cell>
        </row>
        <row r="13601">
          <cell r="A13601" t="str">
            <v>橙3星妖尾60级</v>
          </cell>
          <cell r="B13601">
            <v>1307060</v>
          </cell>
        </row>
        <row r="13602">
          <cell r="A13602" t="str">
            <v>橙3星妖尾61级</v>
          </cell>
          <cell r="B13602">
            <v>1307061</v>
          </cell>
        </row>
        <row r="13603">
          <cell r="A13603" t="str">
            <v>橙3星妖尾62级</v>
          </cell>
          <cell r="B13603">
            <v>1307062</v>
          </cell>
        </row>
        <row r="13604">
          <cell r="A13604" t="str">
            <v>橙3星妖尾63级</v>
          </cell>
          <cell r="B13604">
            <v>1307063</v>
          </cell>
        </row>
        <row r="13605">
          <cell r="A13605" t="str">
            <v>橙3星妖尾64级</v>
          </cell>
          <cell r="B13605">
            <v>1307064</v>
          </cell>
        </row>
        <row r="13606">
          <cell r="A13606" t="str">
            <v>橙3星妖尾65级</v>
          </cell>
          <cell r="B13606">
            <v>1307065</v>
          </cell>
        </row>
        <row r="13607">
          <cell r="A13607" t="str">
            <v>橙3星妖尾66级</v>
          </cell>
          <cell r="B13607">
            <v>1307066</v>
          </cell>
        </row>
        <row r="13608">
          <cell r="A13608" t="str">
            <v>橙3星妖尾67级</v>
          </cell>
          <cell r="B13608">
            <v>1307067</v>
          </cell>
        </row>
        <row r="13609">
          <cell r="A13609" t="str">
            <v>橙3星妖尾68级</v>
          </cell>
          <cell r="B13609">
            <v>1307068</v>
          </cell>
        </row>
        <row r="13610">
          <cell r="A13610" t="str">
            <v>橙3星妖尾69级</v>
          </cell>
          <cell r="B13610">
            <v>1307069</v>
          </cell>
        </row>
        <row r="13611">
          <cell r="A13611" t="str">
            <v>橙3星妖尾70级</v>
          </cell>
          <cell r="B13611">
            <v>1307070</v>
          </cell>
        </row>
        <row r="13612">
          <cell r="A13612" t="str">
            <v>橙3星妖尾71级</v>
          </cell>
          <cell r="B13612">
            <v>1307071</v>
          </cell>
        </row>
        <row r="13613">
          <cell r="A13613" t="str">
            <v>橙3星妖尾72级</v>
          </cell>
          <cell r="B13613">
            <v>1307072</v>
          </cell>
        </row>
        <row r="13614">
          <cell r="A13614" t="str">
            <v>橙3星妖尾73级</v>
          </cell>
          <cell r="B13614">
            <v>1307073</v>
          </cell>
        </row>
        <row r="13615">
          <cell r="A13615" t="str">
            <v>橙3星妖尾74级</v>
          </cell>
          <cell r="B13615">
            <v>1307074</v>
          </cell>
        </row>
        <row r="13616">
          <cell r="A13616" t="str">
            <v>橙3星妖尾75级</v>
          </cell>
          <cell r="B13616">
            <v>1307075</v>
          </cell>
        </row>
        <row r="13617">
          <cell r="A13617" t="str">
            <v>橙3星妖尾76级</v>
          </cell>
          <cell r="B13617">
            <v>1307076</v>
          </cell>
        </row>
        <row r="13618">
          <cell r="A13618" t="str">
            <v>橙3星妖尾77级</v>
          </cell>
          <cell r="B13618">
            <v>1307077</v>
          </cell>
        </row>
        <row r="13619">
          <cell r="A13619" t="str">
            <v>橙3星妖尾78级</v>
          </cell>
          <cell r="B13619">
            <v>1307078</v>
          </cell>
        </row>
        <row r="13620">
          <cell r="A13620" t="str">
            <v>橙3星妖尾79级</v>
          </cell>
          <cell r="B13620">
            <v>1307079</v>
          </cell>
        </row>
        <row r="13621">
          <cell r="A13621" t="str">
            <v>橙3星妖尾80级</v>
          </cell>
          <cell r="B13621">
            <v>1307080</v>
          </cell>
        </row>
        <row r="13622">
          <cell r="A13622" t="str">
            <v>橙3星妖尾81级</v>
          </cell>
          <cell r="B13622">
            <v>1307081</v>
          </cell>
        </row>
        <row r="13623">
          <cell r="A13623" t="str">
            <v>橙3星妖尾82级</v>
          </cell>
          <cell r="B13623">
            <v>1307082</v>
          </cell>
        </row>
        <row r="13624">
          <cell r="A13624" t="str">
            <v>橙3星妖尾83级</v>
          </cell>
          <cell r="B13624">
            <v>1307083</v>
          </cell>
        </row>
        <row r="13625">
          <cell r="A13625" t="str">
            <v>橙3星妖尾84级</v>
          </cell>
          <cell r="B13625">
            <v>1307084</v>
          </cell>
        </row>
        <row r="13626">
          <cell r="A13626" t="str">
            <v>橙3星妖尾85级</v>
          </cell>
          <cell r="B13626">
            <v>1307085</v>
          </cell>
        </row>
        <row r="13627">
          <cell r="A13627" t="str">
            <v>橙3星妖尾86级</v>
          </cell>
          <cell r="B13627">
            <v>1307086</v>
          </cell>
        </row>
        <row r="13628">
          <cell r="A13628" t="str">
            <v>橙3星妖尾87级</v>
          </cell>
          <cell r="B13628">
            <v>1307087</v>
          </cell>
        </row>
        <row r="13629">
          <cell r="A13629" t="str">
            <v>橙3星妖尾88级</v>
          </cell>
          <cell r="B13629">
            <v>1307088</v>
          </cell>
        </row>
        <row r="13630">
          <cell r="A13630" t="str">
            <v>橙3星妖尾89级</v>
          </cell>
          <cell r="B13630">
            <v>1307089</v>
          </cell>
        </row>
        <row r="13631">
          <cell r="A13631" t="str">
            <v>橙3星妖尾90级</v>
          </cell>
          <cell r="B13631">
            <v>1307090</v>
          </cell>
        </row>
        <row r="13632">
          <cell r="A13632" t="str">
            <v>橙3星妖尾91级</v>
          </cell>
          <cell r="B13632">
            <v>1307091</v>
          </cell>
        </row>
        <row r="13633">
          <cell r="A13633" t="str">
            <v>橙3星妖尾92级</v>
          </cell>
          <cell r="B13633">
            <v>1307092</v>
          </cell>
        </row>
        <row r="13634">
          <cell r="A13634" t="str">
            <v>橙3星妖尾93级</v>
          </cell>
          <cell r="B13634">
            <v>1307093</v>
          </cell>
        </row>
        <row r="13635">
          <cell r="A13635" t="str">
            <v>橙3星妖尾94级</v>
          </cell>
          <cell r="B13635">
            <v>1307094</v>
          </cell>
        </row>
        <row r="13636">
          <cell r="A13636" t="str">
            <v>橙3星妖尾95级</v>
          </cell>
          <cell r="B13636">
            <v>1307095</v>
          </cell>
        </row>
        <row r="13637">
          <cell r="A13637" t="str">
            <v>橙3星妖尾96级</v>
          </cell>
          <cell r="B13637">
            <v>1307096</v>
          </cell>
        </row>
        <row r="13638">
          <cell r="A13638" t="str">
            <v>橙3星妖尾97级</v>
          </cell>
          <cell r="B13638">
            <v>1307097</v>
          </cell>
        </row>
        <row r="13639">
          <cell r="A13639" t="str">
            <v>橙3星妖尾98级</v>
          </cell>
          <cell r="B13639">
            <v>1307098</v>
          </cell>
        </row>
        <row r="13640">
          <cell r="A13640" t="str">
            <v>橙3星妖尾99级</v>
          </cell>
          <cell r="B13640">
            <v>1307099</v>
          </cell>
        </row>
        <row r="13641">
          <cell r="A13641" t="str">
            <v>橙3星妖尾100级</v>
          </cell>
          <cell r="B13641">
            <v>1307100</v>
          </cell>
        </row>
        <row r="13642">
          <cell r="A13642" t="str">
            <v>红3星妖尾1级</v>
          </cell>
          <cell r="B13642">
            <v>1308001</v>
          </cell>
        </row>
        <row r="13643">
          <cell r="A13643" t="str">
            <v>红3星妖尾2级</v>
          </cell>
          <cell r="B13643">
            <v>1308002</v>
          </cell>
        </row>
        <row r="13644">
          <cell r="A13644" t="str">
            <v>红3星妖尾3级</v>
          </cell>
          <cell r="B13644">
            <v>1308003</v>
          </cell>
        </row>
        <row r="13645">
          <cell r="A13645" t="str">
            <v>红3星妖尾4级</v>
          </cell>
          <cell r="B13645">
            <v>1308004</v>
          </cell>
        </row>
        <row r="13646">
          <cell r="A13646" t="str">
            <v>红3星妖尾5级</v>
          </cell>
          <cell r="B13646">
            <v>1308005</v>
          </cell>
        </row>
        <row r="13647">
          <cell r="A13647" t="str">
            <v>红3星妖尾6级</v>
          </cell>
          <cell r="B13647">
            <v>1308006</v>
          </cell>
        </row>
        <row r="13648">
          <cell r="A13648" t="str">
            <v>红3星妖尾7级</v>
          </cell>
          <cell r="B13648">
            <v>1308007</v>
          </cell>
        </row>
        <row r="13649">
          <cell r="A13649" t="str">
            <v>红3星妖尾8级</v>
          </cell>
          <cell r="B13649">
            <v>1308008</v>
          </cell>
        </row>
        <row r="13650">
          <cell r="A13650" t="str">
            <v>红3星妖尾9级</v>
          </cell>
          <cell r="B13650">
            <v>1308009</v>
          </cell>
        </row>
        <row r="13651">
          <cell r="A13651" t="str">
            <v>红3星妖尾10级</v>
          </cell>
          <cell r="B13651">
            <v>1308010</v>
          </cell>
        </row>
        <row r="13652">
          <cell r="A13652" t="str">
            <v>红3星妖尾11级</v>
          </cell>
          <cell r="B13652">
            <v>1308011</v>
          </cell>
        </row>
        <row r="13653">
          <cell r="A13653" t="str">
            <v>红3星妖尾12级</v>
          </cell>
          <cell r="B13653">
            <v>1308012</v>
          </cell>
        </row>
        <row r="13654">
          <cell r="A13654" t="str">
            <v>红3星妖尾13级</v>
          </cell>
          <cell r="B13654">
            <v>1308013</v>
          </cell>
        </row>
        <row r="13655">
          <cell r="A13655" t="str">
            <v>红3星妖尾14级</v>
          </cell>
          <cell r="B13655">
            <v>1308014</v>
          </cell>
        </row>
        <row r="13656">
          <cell r="A13656" t="str">
            <v>红3星妖尾15级</v>
          </cell>
          <cell r="B13656">
            <v>1308015</v>
          </cell>
        </row>
        <row r="13657">
          <cell r="A13657" t="str">
            <v>红3星妖尾16级</v>
          </cell>
          <cell r="B13657">
            <v>1308016</v>
          </cell>
        </row>
        <row r="13658">
          <cell r="A13658" t="str">
            <v>红3星妖尾17级</v>
          </cell>
          <cell r="B13658">
            <v>1308017</v>
          </cell>
        </row>
        <row r="13659">
          <cell r="A13659" t="str">
            <v>红3星妖尾18级</v>
          </cell>
          <cell r="B13659">
            <v>1308018</v>
          </cell>
        </row>
        <row r="13660">
          <cell r="A13660" t="str">
            <v>红3星妖尾19级</v>
          </cell>
          <cell r="B13660">
            <v>1308019</v>
          </cell>
        </row>
        <row r="13661">
          <cell r="A13661" t="str">
            <v>红3星妖尾20级</v>
          </cell>
          <cell r="B13661">
            <v>1308020</v>
          </cell>
        </row>
        <row r="13662">
          <cell r="A13662" t="str">
            <v>红3星妖尾21级</v>
          </cell>
          <cell r="B13662">
            <v>1308021</v>
          </cell>
        </row>
        <row r="13663">
          <cell r="A13663" t="str">
            <v>红3星妖尾22级</v>
          </cell>
          <cell r="B13663">
            <v>1308022</v>
          </cell>
        </row>
        <row r="13664">
          <cell r="A13664" t="str">
            <v>红3星妖尾23级</v>
          </cell>
          <cell r="B13664">
            <v>1308023</v>
          </cell>
        </row>
        <row r="13665">
          <cell r="A13665" t="str">
            <v>红3星妖尾24级</v>
          </cell>
          <cell r="B13665">
            <v>1308024</v>
          </cell>
        </row>
        <row r="13666">
          <cell r="A13666" t="str">
            <v>红3星妖尾25级</v>
          </cell>
          <cell r="B13666">
            <v>1308025</v>
          </cell>
        </row>
        <row r="13667">
          <cell r="A13667" t="str">
            <v>红3星妖尾26级</v>
          </cell>
          <cell r="B13667">
            <v>1308026</v>
          </cell>
        </row>
        <row r="13668">
          <cell r="A13668" t="str">
            <v>红3星妖尾27级</v>
          </cell>
          <cell r="B13668">
            <v>1308027</v>
          </cell>
        </row>
        <row r="13669">
          <cell r="A13669" t="str">
            <v>红3星妖尾28级</v>
          </cell>
          <cell r="B13669">
            <v>1308028</v>
          </cell>
        </row>
        <row r="13670">
          <cell r="A13670" t="str">
            <v>红3星妖尾29级</v>
          </cell>
          <cell r="B13670">
            <v>1308029</v>
          </cell>
        </row>
        <row r="13671">
          <cell r="A13671" t="str">
            <v>红3星妖尾30级</v>
          </cell>
          <cell r="B13671">
            <v>1308030</v>
          </cell>
        </row>
        <row r="13672">
          <cell r="A13672" t="str">
            <v>红3星妖尾31级</v>
          </cell>
          <cell r="B13672">
            <v>1308031</v>
          </cell>
        </row>
        <row r="13673">
          <cell r="A13673" t="str">
            <v>红3星妖尾32级</v>
          </cell>
          <cell r="B13673">
            <v>1308032</v>
          </cell>
        </row>
        <row r="13674">
          <cell r="A13674" t="str">
            <v>红3星妖尾33级</v>
          </cell>
          <cell r="B13674">
            <v>1308033</v>
          </cell>
        </row>
        <row r="13675">
          <cell r="A13675" t="str">
            <v>红3星妖尾34级</v>
          </cell>
          <cell r="B13675">
            <v>1308034</v>
          </cell>
        </row>
        <row r="13676">
          <cell r="A13676" t="str">
            <v>红3星妖尾35级</v>
          </cell>
          <cell r="B13676">
            <v>1308035</v>
          </cell>
        </row>
        <row r="13677">
          <cell r="A13677" t="str">
            <v>红3星妖尾36级</v>
          </cell>
          <cell r="B13677">
            <v>1308036</v>
          </cell>
        </row>
        <row r="13678">
          <cell r="A13678" t="str">
            <v>红3星妖尾37级</v>
          </cell>
          <cell r="B13678">
            <v>1308037</v>
          </cell>
        </row>
        <row r="13679">
          <cell r="A13679" t="str">
            <v>红3星妖尾38级</v>
          </cell>
          <cell r="B13679">
            <v>1308038</v>
          </cell>
        </row>
        <row r="13680">
          <cell r="A13680" t="str">
            <v>红3星妖尾39级</v>
          </cell>
          <cell r="B13680">
            <v>1308039</v>
          </cell>
        </row>
        <row r="13681">
          <cell r="A13681" t="str">
            <v>红3星妖尾40级</v>
          </cell>
          <cell r="B13681">
            <v>1308040</v>
          </cell>
        </row>
        <row r="13682">
          <cell r="A13682" t="str">
            <v>红3星妖尾41级</v>
          </cell>
          <cell r="B13682">
            <v>1308041</v>
          </cell>
        </row>
        <row r="13683">
          <cell r="A13683" t="str">
            <v>红3星妖尾42级</v>
          </cell>
          <cell r="B13683">
            <v>1308042</v>
          </cell>
        </row>
        <row r="13684">
          <cell r="A13684" t="str">
            <v>红3星妖尾43级</v>
          </cell>
          <cell r="B13684">
            <v>1308043</v>
          </cell>
        </row>
        <row r="13685">
          <cell r="A13685" t="str">
            <v>红3星妖尾44级</v>
          </cell>
          <cell r="B13685">
            <v>1308044</v>
          </cell>
        </row>
        <row r="13686">
          <cell r="A13686" t="str">
            <v>红3星妖尾45级</v>
          </cell>
          <cell r="B13686">
            <v>1308045</v>
          </cell>
        </row>
        <row r="13687">
          <cell r="A13687" t="str">
            <v>红3星妖尾46级</v>
          </cell>
          <cell r="B13687">
            <v>1308046</v>
          </cell>
        </row>
        <row r="13688">
          <cell r="A13688" t="str">
            <v>红3星妖尾47级</v>
          </cell>
          <cell r="B13688">
            <v>1308047</v>
          </cell>
        </row>
        <row r="13689">
          <cell r="A13689" t="str">
            <v>红3星妖尾48级</v>
          </cell>
          <cell r="B13689">
            <v>1308048</v>
          </cell>
        </row>
        <row r="13690">
          <cell r="A13690" t="str">
            <v>红3星妖尾49级</v>
          </cell>
          <cell r="B13690">
            <v>1308049</v>
          </cell>
        </row>
        <row r="13691">
          <cell r="A13691" t="str">
            <v>红3星妖尾50级</v>
          </cell>
          <cell r="B13691">
            <v>1308050</v>
          </cell>
        </row>
        <row r="13692">
          <cell r="A13692" t="str">
            <v>红3星妖尾51级</v>
          </cell>
          <cell r="B13692">
            <v>1308051</v>
          </cell>
        </row>
        <row r="13693">
          <cell r="A13693" t="str">
            <v>红3星妖尾52级</v>
          </cell>
          <cell r="B13693">
            <v>1308052</v>
          </cell>
        </row>
        <row r="13694">
          <cell r="A13694" t="str">
            <v>红3星妖尾53级</v>
          </cell>
          <cell r="B13694">
            <v>1308053</v>
          </cell>
        </row>
        <row r="13695">
          <cell r="A13695" t="str">
            <v>红3星妖尾54级</v>
          </cell>
          <cell r="B13695">
            <v>1308054</v>
          </cell>
        </row>
        <row r="13696">
          <cell r="A13696" t="str">
            <v>红3星妖尾55级</v>
          </cell>
          <cell r="B13696">
            <v>1308055</v>
          </cell>
        </row>
        <row r="13697">
          <cell r="A13697" t="str">
            <v>红3星妖尾56级</v>
          </cell>
          <cell r="B13697">
            <v>1308056</v>
          </cell>
        </row>
        <row r="13698">
          <cell r="A13698" t="str">
            <v>红3星妖尾57级</v>
          </cell>
          <cell r="B13698">
            <v>1308057</v>
          </cell>
        </row>
        <row r="13699">
          <cell r="A13699" t="str">
            <v>红3星妖尾58级</v>
          </cell>
          <cell r="B13699">
            <v>1308058</v>
          </cell>
        </row>
        <row r="13700">
          <cell r="A13700" t="str">
            <v>红3星妖尾59级</v>
          </cell>
          <cell r="B13700">
            <v>1308059</v>
          </cell>
        </row>
        <row r="13701">
          <cell r="A13701" t="str">
            <v>红3星妖尾60级</v>
          </cell>
          <cell r="B13701">
            <v>1308060</v>
          </cell>
        </row>
        <row r="13702">
          <cell r="A13702" t="str">
            <v>红3星妖尾61级</v>
          </cell>
          <cell r="B13702">
            <v>1308061</v>
          </cell>
        </row>
        <row r="13703">
          <cell r="A13703" t="str">
            <v>红3星妖尾62级</v>
          </cell>
          <cell r="B13703">
            <v>1308062</v>
          </cell>
        </row>
        <row r="13704">
          <cell r="A13704" t="str">
            <v>红3星妖尾63级</v>
          </cell>
          <cell r="B13704">
            <v>1308063</v>
          </cell>
        </row>
        <row r="13705">
          <cell r="A13705" t="str">
            <v>红3星妖尾64级</v>
          </cell>
          <cell r="B13705">
            <v>1308064</v>
          </cell>
        </row>
        <row r="13706">
          <cell r="A13706" t="str">
            <v>红3星妖尾65级</v>
          </cell>
          <cell r="B13706">
            <v>1308065</v>
          </cell>
        </row>
        <row r="13707">
          <cell r="A13707" t="str">
            <v>红3星妖尾66级</v>
          </cell>
          <cell r="B13707">
            <v>1308066</v>
          </cell>
        </row>
        <row r="13708">
          <cell r="A13708" t="str">
            <v>红3星妖尾67级</v>
          </cell>
          <cell r="B13708">
            <v>1308067</v>
          </cell>
        </row>
        <row r="13709">
          <cell r="A13709" t="str">
            <v>红3星妖尾68级</v>
          </cell>
          <cell r="B13709">
            <v>1308068</v>
          </cell>
        </row>
        <row r="13710">
          <cell r="A13710" t="str">
            <v>红3星妖尾69级</v>
          </cell>
          <cell r="B13710">
            <v>1308069</v>
          </cell>
        </row>
        <row r="13711">
          <cell r="A13711" t="str">
            <v>红3星妖尾70级</v>
          </cell>
          <cell r="B13711">
            <v>1308070</v>
          </cell>
        </row>
        <row r="13712">
          <cell r="A13712" t="str">
            <v>红3星妖尾71级</v>
          </cell>
          <cell r="B13712">
            <v>1308071</v>
          </cell>
        </row>
        <row r="13713">
          <cell r="A13713" t="str">
            <v>红3星妖尾72级</v>
          </cell>
          <cell r="B13713">
            <v>1308072</v>
          </cell>
        </row>
        <row r="13714">
          <cell r="A13714" t="str">
            <v>红3星妖尾73级</v>
          </cell>
          <cell r="B13714">
            <v>1308073</v>
          </cell>
        </row>
        <row r="13715">
          <cell r="A13715" t="str">
            <v>红3星妖尾74级</v>
          </cell>
          <cell r="B13715">
            <v>1308074</v>
          </cell>
        </row>
        <row r="13716">
          <cell r="A13716" t="str">
            <v>红3星妖尾75级</v>
          </cell>
          <cell r="B13716">
            <v>1308075</v>
          </cell>
        </row>
        <row r="13717">
          <cell r="A13717" t="str">
            <v>红3星妖尾76级</v>
          </cell>
          <cell r="B13717">
            <v>1308076</v>
          </cell>
        </row>
        <row r="13718">
          <cell r="A13718" t="str">
            <v>红3星妖尾77级</v>
          </cell>
          <cell r="B13718">
            <v>1308077</v>
          </cell>
        </row>
        <row r="13719">
          <cell r="A13719" t="str">
            <v>红3星妖尾78级</v>
          </cell>
          <cell r="B13719">
            <v>1308078</v>
          </cell>
        </row>
        <row r="13720">
          <cell r="A13720" t="str">
            <v>红3星妖尾79级</v>
          </cell>
          <cell r="B13720">
            <v>1308079</v>
          </cell>
        </row>
        <row r="13721">
          <cell r="A13721" t="str">
            <v>红3星妖尾80级</v>
          </cell>
          <cell r="B13721">
            <v>1308080</v>
          </cell>
        </row>
        <row r="13722">
          <cell r="A13722" t="str">
            <v>红3星妖尾81级</v>
          </cell>
          <cell r="B13722">
            <v>1308081</v>
          </cell>
        </row>
        <row r="13723">
          <cell r="A13723" t="str">
            <v>红3星妖尾82级</v>
          </cell>
          <cell r="B13723">
            <v>1308082</v>
          </cell>
        </row>
        <row r="13724">
          <cell r="A13724" t="str">
            <v>红3星妖尾83级</v>
          </cell>
          <cell r="B13724">
            <v>1308083</v>
          </cell>
        </row>
        <row r="13725">
          <cell r="A13725" t="str">
            <v>红3星妖尾84级</v>
          </cell>
          <cell r="B13725">
            <v>1308084</v>
          </cell>
        </row>
        <row r="13726">
          <cell r="A13726" t="str">
            <v>红3星妖尾85级</v>
          </cell>
          <cell r="B13726">
            <v>1308085</v>
          </cell>
        </row>
        <row r="13727">
          <cell r="A13727" t="str">
            <v>红3星妖尾86级</v>
          </cell>
          <cell r="B13727">
            <v>1308086</v>
          </cell>
        </row>
        <row r="13728">
          <cell r="A13728" t="str">
            <v>红3星妖尾87级</v>
          </cell>
          <cell r="B13728">
            <v>1308087</v>
          </cell>
        </row>
        <row r="13729">
          <cell r="A13729" t="str">
            <v>红3星妖尾88级</v>
          </cell>
          <cell r="B13729">
            <v>1308088</v>
          </cell>
        </row>
        <row r="13730">
          <cell r="A13730" t="str">
            <v>红3星妖尾89级</v>
          </cell>
          <cell r="B13730">
            <v>1308089</v>
          </cell>
        </row>
        <row r="13731">
          <cell r="A13731" t="str">
            <v>红3星妖尾90级</v>
          </cell>
          <cell r="B13731">
            <v>1308090</v>
          </cell>
        </row>
        <row r="13732">
          <cell r="A13732" t="str">
            <v>红3星妖尾91级</v>
          </cell>
          <cell r="B13732">
            <v>1308091</v>
          </cell>
        </row>
        <row r="13733">
          <cell r="A13733" t="str">
            <v>红3星妖尾92级</v>
          </cell>
          <cell r="B13733">
            <v>1308092</v>
          </cell>
        </row>
        <row r="13734">
          <cell r="A13734" t="str">
            <v>红3星妖尾93级</v>
          </cell>
          <cell r="B13734">
            <v>1308093</v>
          </cell>
        </row>
        <row r="13735">
          <cell r="A13735" t="str">
            <v>红3星妖尾94级</v>
          </cell>
          <cell r="B13735">
            <v>1308094</v>
          </cell>
        </row>
        <row r="13736">
          <cell r="A13736" t="str">
            <v>红3星妖尾95级</v>
          </cell>
          <cell r="B13736">
            <v>1308095</v>
          </cell>
        </row>
        <row r="13737">
          <cell r="A13737" t="str">
            <v>红3星妖尾96级</v>
          </cell>
          <cell r="B13737">
            <v>1308096</v>
          </cell>
        </row>
        <row r="13738">
          <cell r="A13738" t="str">
            <v>红3星妖尾97级</v>
          </cell>
          <cell r="B13738">
            <v>1308097</v>
          </cell>
        </row>
        <row r="13739">
          <cell r="A13739" t="str">
            <v>红3星妖尾98级</v>
          </cell>
          <cell r="B13739">
            <v>1308098</v>
          </cell>
        </row>
        <row r="13740">
          <cell r="A13740" t="str">
            <v>红3星妖尾99级</v>
          </cell>
          <cell r="B13740">
            <v>1308099</v>
          </cell>
        </row>
        <row r="13741">
          <cell r="A13741" t="str">
            <v>红3星妖尾100级</v>
          </cell>
          <cell r="B13741">
            <v>1308100</v>
          </cell>
        </row>
        <row r="13742">
          <cell r="A13742" t="str">
            <v>神红3星妖尾1级</v>
          </cell>
          <cell r="B13742">
            <v>1309001</v>
          </cell>
        </row>
        <row r="13743">
          <cell r="A13743" t="str">
            <v>神红3星妖尾2级</v>
          </cell>
          <cell r="B13743">
            <v>1309002</v>
          </cell>
        </row>
        <row r="13744">
          <cell r="A13744" t="str">
            <v>神红3星妖尾3级</v>
          </cell>
          <cell r="B13744">
            <v>1309003</v>
          </cell>
        </row>
        <row r="13745">
          <cell r="A13745" t="str">
            <v>神红3星妖尾4级</v>
          </cell>
          <cell r="B13745">
            <v>1309004</v>
          </cell>
        </row>
        <row r="13746">
          <cell r="A13746" t="str">
            <v>神红3星妖尾5级</v>
          </cell>
          <cell r="B13746">
            <v>1309005</v>
          </cell>
        </row>
        <row r="13747">
          <cell r="A13747" t="str">
            <v>神红3星妖尾6级</v>
          </cell>
          <cell r="B13747">
            <v>1309006</v>
          </cell>
        </row>
        <row r="13748">
          <cell r="A13748" t="str">
            <v>神红3星妖尾7级</v>
          </cell>
          <cell r="B13748">
            <v>1309007</v>
          </cell>
        </row>
        <row r="13749">
          <cell r="A13749" t="str">
            <v>神红3星妖尾8级</v>
          </cell>
          <cell r="B13749">
            <v>1309008</v>
          </cell>
        </row>
        <row r="13750">
          <cell r="A13750" t="str">
            <v>神红3星妖尾9级</v>
          </cell>
          <cell r="B13750">
            <v>1309009</v>
          </cell>
        </row>
        <row r="13751">
          <cell r="A13751" t="str">
            <v>神红3星妖尾10级</v>
          </cell>
          <cell r="B13751">
            <v>1309010</v>
          </cell>
        </row>
        <row r="13752">
          <cell r="A13752" t="str">
            <v>神红3星妖尾11级</v>
          </cell>
          <cell r="B13752">
            <v>1309011</v>
          </cell>
        </row>
        <row r="13753">
          <cell r="A13753" t="str">
            <v>神红3星妖尾12级</v>
          </cell>
          <cell r="B13753">
            <v>1309012</v>
          </cell>
        </row>
        <row r="13754">
          <cell r="A13754" t="str">
            <v>神红3星妖尾13级</v>
          </cell>
          <cell r="B13754">
            <v>1309013</v>
          </cell>
        </row>
        <row r="13755">
          <cell r="A13755" t="str">
            <v>神红3星妖尾14级</v>
          </cell>
          <cell r="B13755">
            <v>1309014</v>
          </cell>
        </row>
        <row r="13756">
          <cell r="A13756" t="str">
            <v>神红3星妖尾15级</v>
          </cell>
          <cell r="B13756">
            <v>1309015</v>
          </cell>
        </row>
        <row r="13757">
          <cell r="A13757" t="str">
            <v>神红3星妖尾16级</v>
          </cell>
          <cell r="B13757">
            <v>1309016</v>
          </cell>
        </row>
        <row r="13758">
          <cell r="A13758" t="str">
            <v>神红3星妖尾17级</v>
          </cell>
          <cell r="B13758">
            <v>1309017</v>
          </cell>
        </row>
        <row r="13759">
          <cell r="A13759" t="str">
            <v>神红3星妖尾18级</v>
          </cell>
          <cell r="B13759">
            <v>1309018</v>
          </cell>
        </row>
        <row r="13760">
          <cell r="A13760" t="str">
            <v>神红3星妖尾19级</v>
          </cell>
          <cell r="B13760">
            <v>1309019</v>
          </cell>
        </row>
        <row r="13761">
          <cell r="A13761" t="str">
            <v>神红3星妖尾20级</v>
          </cell>
          <cell r="B13761">
            <v>1309020</v>
          </cell>
        </row>
        <row r="13762">
          <cell r="A13762" t="str">
            <v>神红3星妖尾21级</v>
          </cell>
          <cell r="B13762">
            <v>1309021</v>
          </cell>
        </row>
        <row r="13763">
          <cell r="A13763" t="str">
            <v>神红3星妖尾22级</v>
          </cell>
          <cell r="B13763">
            <v>1309022</v>
          </cell>
        </row>
        <row r="13764">
          <cell r="A13764" t="str">
            <v>神红3星妖尾23级</v>
          </cell>
          <cell r="B13764">
            <v>1309023</v>
          </cell>
        </row>
        <row r="13765">
          <cell r="A13765" t="str">
            <v>神红3星妖尾24级</v>
          </cell>
          <cell r="B13765">
            <v>1309024</v>
          </cell>
        </row>
        <row r="13766">
          <cell r="A13766" t="str">
            <v>神红3星妖尾25级</v>
          </cell>
          <cell r="B13766">
            <v>1309025</v>
          </cell>
        </row>
        <row r="13767">
          <cell r="A13767" t="str">
            <v>神红3星妖尾26级</v>
          </cell>
          <cell r="B13767">
            <v>1309026</v>
          </cell>
        </row>
        <row r="13768">
          <cell r="A13768" t="str">
            <v>神红3星妖尾27级</v>
          </cell>
          <cell r="B13768">
            <v>1309027</v>
          </cell>
        </row>
        <row r="13769">
          <cell r="A13769" t="str">
            <v>神红3星妖尾28级</v>
          </cell>
          <cell r="B13769">
            <v>1309028</v>
          </cell>
        </row>
        <row r="13770">
          <cell r="A13770" t="str">
            <v>神红3星妖尾29级</v>
          </cell>
          <cell r="B13770">
            <v>1309029</v>
          </cell>
        </row>
        <row r="13771">
          <cell r="A13771" t="str">
            <v>神红3星妖尾30级</v>
          </cell>
          <cell r="B13771">
            <v>1309030</v>
          </cell>
        </row>
        <row r="13772">
          <cell r="A13772" t="str">
            <v>神红3星妖尾31级</v>
          </cell>
          <cell r="B13772">
            <v>1309031</v>
          </cell>
        </row>
        <row r="13773">
          <cell r="A13773" t="str">
            <v>神红3星妖尾32级</v>
          </cell>
          <cell r="B13773">
            <v>1309032</v>
          </cell>
        </row>
        <row r="13774">
          <cell r="A13774" t="str">
            <v>神红3星妖尾33级</v>
          </cell>
          <cell r="B13774">
            <v>1309033</v>
          </cell>
        </row>
        <row r="13775">
          <cell r="A13775" t="str">
            <v>神红3星妖尾34级</v>
          </cell>
          <cell r="B13775">
            <v>1309034</v>
          </cell>
        </row>
        <row r="13776">
          <cell r="A13776" t="str">
            <v>神红3星妖尾35级</v>
          </cell>
          <cell r="B13776">
            <v>1309035</v>
          </cell>
        </row>
        <row r="13777">
          <cell r="A13777" t="str">
            <v>神红3星妖尾36级</v>
          </cell>
          <cell r="B13777">
            <v>1309036</v>
          </cell>
        </row>
        <row r="13778">
          <cell r="A13778" t="str">
            <v>神红3星妖尾37级</v>
          </cell>
          <cell r="B13778">
            <v>1309037</v>
          </cell>
        </row>
        <row r="13779">
          <cell r="A13779" t="str">
            <v>神红3星妖尾38级</v>
          </cell>
          <cell r="B13779">
            <v>1309038</v>
          </cell>
        </row>
        <row r="13780">
          <cell r="A13780" t="str">
            <v>神红3星妖尾39级</v>
          </cell>
          <cell r="B13780">
            <v>1309039</v>
          </cell>
        </row>
        <row r="13781">
          <cell r="A13781" t="str">
            <v>神红3星妖尾40级</v>
          </cell>
          <cell r="B13781">
            <v>1309040</v>
          </cell>
        </row>
        <row r="13782">
          <cell r="A13782" t="str">
            <v>神红3星妖尾41级</v>
          </cell>
          <cell r="B13782">
            <v>1309041</v>
          </cell>
        </row>
        <row r="13783">
          <cell r="A13783" t="str">
            <v>神红3星妖尾42级</v>
          </cell>
          <cell r="B13783">
            <v>1309042</v>
          </cell>
        </row>
        <row r="13784">
          <cell r="A13784" t="str">
            <v>神红3星妖尾43级</v>
          </cell>
          <cell r="B13784">
            <v>1309043</v>
          </cell>
        </row>
        <row r="13785">
          <cell r="A13785" t="str">
            <v>神红3星妖尾44级</v>
          </cell>
          <cell r="B13785">
            <v>1309044</v>
          </cell>
        </row>
        <row r="13786">
          <cell r="A13786" t="str">
            <v>神红3星妖尾45级</v>
          </cell>
          <cell r="B13786">
            <v>1309045</v>
          </cell>
        </row>
        <row r="13787">
          <cell r="A13787" t="str">
            <v>神红3星妖尾46级</v>
          </cell>
          <cell r="B13787">
            <v>1309046</v>
          </cell>
        </row>
        <row r="13788">
          <cell r="A13788" t="str">
            <v>神红3星妖尾47级</v>
          </cell>
          <cell r="B13788">
            <v>1309047</v>
          </cell>
        </row>
        <row r="13789">
          <cell r="A13789" t="str">
            <v>神红3星妖尾48级</v>
          </cell>
          <cell r="B13789">
            <v>1309048</v>
          </cell>
        </row>
        <row r="13790">
          <cell r="A13790" t="str">
            <v>神红3星妖尾49级</v>
          </cell>
          <cell r="B13790">
            <v>1309049</v>
          </cell>
        </row>
        <row r="13791">
          <cell r="A13791" t="str">
            <v>神红3星妖尾50级</v>
          </cell>
          <cell r="B13791">
            <v>1309050</v>
          </cell>
        </row>
        <row r="13792">
          <cell r="A13792" t="str">
            <v>神红3星妖尾51级</v>
          </cell>
          <cell r="B13792">
            <v>1309051</v>
          </cell>
        </row>
        <row r="13793">
          <cell r="A13793" t="str">
            <v>神红3星妖尾52级</v>
          </cell>
          <cell r="B13793">
            <v>1309052</v>
          </cell>
        </row>
        <row r="13794">
          <cell r="A13794" t="str">
            <v>神红3星妖尾53级</v>
          </cell>
          <cell r="B13794">
            <v>1309053</v>
          </cell>
        </row>
        <row r="13795">
          <cell r="A13795" t="str">
            <v>神红3星妖尾54级</v>
          </cell>
          <cell r="B13795">
            <v>1309054</v>
          </cell>
        </row>
        <row r="13796">
          <cell r="A13796" t="str">
            <v>神红3星妖尾55级</v>
          </cell>
          <cell r="B13796">
            <v>1309055</v>
          </cell>
        </row>
        <row r="13797">
          <cell r="A13797" t="str">
            <v>神红3星妖尾56级</v>
          </cell>
          <cell r="B13797">
            <v>1309056</v>
          </cell>
        </row>
        <row r="13798">
          <cell r="A13798" t="str">
            <v>神红3星妖尾57级</v>
          </cell>
          <cell r="B13798">
            <v>1309057</v>
          </cell>
        </row>
        <row r="13799">
          <cell r="A13799" t="str">
            <v>神红3星妖尾58级</v>
          </cell>
          <cell r="B13799">
            <v>1309058</v>
          </cell>
        </row>
        <row r="13800">
          <cell r="A13800" t="str">
            <v>神红3星妖尾59级</v>
          </cell>
          <cell r="B13800">
            <v>1309059</v>
          </cell>
        </row>
        <row r="13801">
          <cell r="A13801" t="str">
            <v>神红3星妖尾60级</v>
          </cell>
          <cell r="B13801">
            <v>1309060</v>
          </cell>
        </row>
        <row r="13802">
          <cell r="A13802" t="str">
            <v>神红3星妖尾61级</v>
          </cell>
          <cell r="B13802">
            <v>1309061</v>
          </cell>
        </row>
        <row r="13803">
          <cell r="A13803" t="str">
            <v>神红3星妖尾62级</v>
          </cell>
          <cell r="B13803">
            <v>1309062</v>
          </cell>
        </row>
        <row r="13804">
          <cell r="A13804" t="str">
            <v>神红3星妖尾63级</v>
          </cell>
          <cell r="B13804">
            <v>1309063</v>
          </cell>
        </row>
        <row r="13805">
          <cell r="A13805" t="str">
            <v>神红3星妖尾64级</v>
          </cell>
          <cell r="B13805">
            <v>1309064</v>
          </cell>
        </row>
        <row r="13806">
          <cell r="A13806" t="str">
            <v>神红3星妖尾65级</v>
          </cell>
          <cell r="B13806">
            <v>1309065</v>
          </cell>
        </row>
        <row r="13807">
          <cell r="A13807" t="str">
            <v>神红3星妖尾66级</v>
          </cell>
          <cell r="B13807">
            <v>1309066</v>
          </cell>
        </row>
        <row r="13808">
          <cell r="A13808" t="str">
            <v>神红3星妖尾67级</v>
          </cell>
          <cell r="B13808">
            <v>1309067</v>
          </cell>
        </row>
        <row r="13809">
          <cell r="A13809" t="str">
            <v>神红3星妖尾68级</v>
          </cell>
          <cell r="B13809">
            <v>1309068</v>
          </cell>
        </row>
        <row r="13810">
          <cell r="A13810" t="str">
            <v>神红3星妖尾69级</v>
          </cell>
          <cell r="B13810">
            <v>1309069</v>
          </cell>
        </row>
        <row r="13811">
          <cell r="A13811" t="str">
            <v>神红3星妖尾70级</v>
          </cell>
          <cell r="B13811">
            <v>1309070</v>
          </cell>
        </row>
        <row r="13812">
          <cell r="A13812" t="str">
            <v>神红3星妖尾71级</v>
          </cell>
          <cell r="B13812">
            <v>1309071</v>
          </cell>
        </row>
        <row r="13813">
          <cell r="A13813" t="str">
            <v>神红3星妖尾72级</v>
          </cell>
          <cell r="B13813">
            <v>1309072</v>
          </cell>
        </row>
        <row r="13814">
          <cell r="A13814" t="str">
            <v>神红3星妖尾73级</v>
          </cell>
          <cell r="B13814">
            <v>1309073</v>
          </cell>
        </row>
        <row r="13815">
          <cell r="A13815" t="str">
            <v>神红3星妖尾74级</v>
          </cell>
          <cell r="B13815">
            <v>1309074</v>
          </cell>
        </row>
        <row r="13816">
          <cell r="A13816" t="str">
            <v>神红3星妖尾75级</v>
          </cell>
          <cell r="B13816">
            <v>1309075</v>
          </cell>
        </row>
        <row r="13817">
          <cell r="A13817" t="str">
            <v>神红3星妖尾76级</v>
          </cell>
          <cell r="B13817">
            <v>1309076</v>
          </cell>
        </row>
        <row r="13818">
          <cell r="A13818" t="str">
            <v>神红3星妖尾77级</v>
          </cell>
          <cell r="B13818">
            <v>1309077</v>
          </cell>
        </row>
        <row r="13819">
          <cell r="A13819" t="str">
            <v>神红3星妖尾78级</v>
          </cell>
          <cell r="B13819">
            <v>1309078</v>
          </cell>
        </row>
        <row r="13820">
          <cell r="A13820" t="str">
            <v>神红3星妖尾79级</v>
          </cell>
          <cell r="B13820">
            <v>1309079</v>
          </cell>
        </row>
        <row r="13821">
          <cell r="A13821" t="str">
            <v>神红3星妖尾80级</v>
          </cell>
          <cell r="B13821">
            <v>1309080</v>
          </cell>
        </row>
        <row r="13822">
          <cell r="A13822" t="str">
            <v>神红3星妖尾81级</v>
          </cell>
          <cell r="B13822">
            <v>1309081</v>
          </cell>
        </row>
        <row r="13823">
          <cell r="A13823" t="str">
            <v>神红3星妖尾82级</v>
          </cell>
          <cell r="B13823">
            <v>1309082</v>
          </cell>
        </row>
        <row r="13824">
          <cell r="A13824" t="str">
            <v>神红3星妖尾83级</v>
          </cell>
          <cell r="B13824">
            <v>1309083</v>
          </cell>
        </row>
        <row r="13825">
          <cell r="A13825" t="str">
            <v>神红3星妖尾84级</v>
          </cell>
          <cell r="B13825">
            <v>1309084</v>
          </cell>
        </row>
        <row r="13826">
          <cell r="A13826" t="str">
            <v>神红3星妖尾85级</v>
          </cell>
          <cell r="B13826">
            <v>1309085</v>
          </cell>
        </row>
        <row r="13827">
          <cell r="A13827" t="str">
            <v>神红3星妖尾86级</v>
          </cell>
          <cell r="B13827">
            <v>1309086</v>
          </cell>
        </row>
        <row r="13828">
          <cell r="A13828" t="str">
            <v>神红3星妖尾87级</v>
          </cell>
          <cell r="B13828">
            <v>1309087</v>
          </cell>
        </row>
        <row r="13829">
          <cell r="A13829" t="str">
            <v>神红3星妖尾88级</v>
          </cell>
          <cell r="B13829">
            <v>1309088</v>
          </cell>
        </row>
        <row r="13830">
          <cell r="A13830" t="str">
            <v>神红3星妖尾89级</v>
          </cell>
          <cell r="B13830">
            <v>1309089</v>
          </cell>
        </row>
        <row r="13831">
          <cell r="A13831" t="str">
            <v>神红3星妖尾90级</v>
          </cell>
          <cell r="B13831">
            <v>1309090</v>
          </cell>
        </row>
        <row r="13832">
          <cell r="A13832" t="str">
            <v>神红3星妖尾91级</v>
          </cell>
          <cell r="B13832">
            <v>1309091</v>
          </cell>
        </row>
        <row r="13833">
          <cell r="A13833" t="str">
            <v>神红3星妖尾92级</v>
          </cell>
          <cell r="B13833">
            <v>1309092</v>
          </cell>
        </row>
        <row r="13834">
          <cell r="A13834" t="str">
            <v>神红3星妖尾93级</v>
          </cell>
          <cell r="B13834">
            <v>1309093</v>
          </cell>
        </row>
        <row r="13835">
          <cell r="A13835" t="str">
            <v>神红3星妖尾94级</v>
          </cell>
          <cell r="B13835">
            <v>1309094</v>
          </cell>
        </row>
        <row r="13836">
          <cell r="A13836" t="str">
            <v>神红3星妖尾95级</v>
          </cell>
          <cell r="B13836">
            <v>1309095</v>
          </cell>
        </row>
        <row r="13837">
          <cell r="A13837" t="str">
            <v>神红3星妖尾96级</v>
          </cell>
          <cell r="B13837">
            <v>1309096</v>
          </cell>
        </row>
        <row r="13838">
          <cell r="A13838" t="str">
            <v>神红3星妖尾97级</v>
          </cell>
          <cell r="B13838">
            <v>1309097</v>
          </cell>
        </row>
        <row r="13839">
          <cell r="A13839" t="str">
            <v>神红3星妖尾98级</v>
          </cell>
          <cell r="B13839">
            <v>1309098</v>
          </cell>
        </row>
        <row r="13840">
          <cell r="A13840" t="str">
            <v>神红3星妖尾99级</v>
          </cell>
          <cell r="B13840">
            <v>1309099</v>
          </cell>
        </row>
        <row r="13841">
          <cell r="A13841" t="str">
            <v>神红3星妖尾100级</v>
          </cell>
          <cell r="B13841">
            <v>1309100</v>
          </cell>
        </row>
        <row r="13842">
          <cell r="A13842" t="str">
            <v>圣红3星妖尾1级</v>
          </cell>
          <cell r="B13842">
            <v>1310001</v>
          </cell>
        </row>
        <row r="13843">
          <cell r="A13843" t="str">
            <v>圣红3星妖尾2级</v>
          </cell>
          <cell r="B13843">
            <v>1310002</v>
          </cell>
        </row>
        <row r="13844">
          <cell r="A13844" t="str">
            <v>圣红3星妖尾3级</v>
          </cell>
          <cell r="B13844">
            <v>1310003</v>
          </cell>
        </row>
        <row r="13845">
          <cell r="A13845" t="str">
            <v>圣红3星妖尾4级</v>
          </cell>
          <cell r="B13845">
            <v>1310004</v>
          </cell>
        </row>
        <row r="13846">
          <cell r="A13846" t="str">
            <v>圣红3星妖尾5级</v>
          </cell>
          <cell r="B13846">
            <v>1310005</v>
          </cell>
        </row>
        <row r="13847">
          <cell r="A13847" t="str">
            <v>圣红3星妖尾6级</v>
          </cell>
          <cell r="B13847">
            <v>1310006</v>
          </cell>
        </row>
        <row r="13848">
          <cell r="A13848" t="str">
            <v>圣红3星妖尾7级</v>
          </cell>
          <cell r="B13848">
            <v>1310007</v>
          </cell>
        </row>
        <row r="13849">
          <cell r="A13849" t="str">
            <v>圣红3星妖尾8级</v>
          </cell>
          <cell r="B13849">
            <v>1310008</v>
          </cell>
        </row>
        <row r="13850">
          <cell r="A13850" t="str">
            <v>圣红3星妖尾9级</v>
          </cell>
          <cell r="B13850">
            <v>1310009</v>
          </cell>
        </row>
        <row r="13851">
          <cell r="A13851" t="str">
            <v>圣红3星妖尾10级</v>
          </cell>
          <cell r="B13851">
            <v>1310010</v>
          </cell>
        </row>
        <row r="13852">
          <cell r="A13852" t="str">
            <v>圣红3星妖尾11级</v>
          </cell>
          <cell r="B13852">
            <v>1310011</v>
          </cell>
        </row>
        <row r="13853">
          <cell r="A13853" t="str">
            <v>圣红3星妖尾12级</v>
          </cell>
          <cell r="B13853">
            <v>1310012</v>
          </cell>
        </row>
        <row r="13854">
          <cell r="A13854" t="str">
            <v>圣红3星妖尾13级</v>
          </cell>
          <cell r="B13854">
            <v>1310013</v>
          </cell>
        </row>
        <row r="13855">
          <cell r="A13855" t="str">
            <v>圣红3星妖尾14级</v>
          </cell>
          <cell r="B13855">
            <v>1310014</v>
          </cell>
        </row>
        <row r="13856">
          <cell r="A13856" t="str">
            <v>圣红3星妖尾15级</v>
          </cell>
          <cell r="B13856">
            <v>1310015</v>
          </cell>
        </row>
        <row r="13857">
          <cell r="A13857" t="str">
            <v>圣红3星妖尾16级</v>
          </cell>
          <cell r="B13857">
            <v>1310016</v>
          </cell>
        </row>
        <row r="13858">
          <cell r="A13858" t="str">
            <v>圣红3星妖尾17级</v>
          </cell>
          <cell r="B13858">
            <v>1310017</v>
          </cell>
        </row>
        <row r="13859">
          <cell r="A13859" t="str">
            <v>圣红3星妖尾18级</v>
          </cell>
          <cell r="B13859">
            <v>1310018</v>
          </cell>
        </row>
        <row r="13860">
          <cell r="A13860" t="str">
            <v>圣红3星妖尾19级</v>
          </cell>
          <cell r="B13860">
            <v>1310019</v>
          </cell>
        </row>
        <row r="13861">
          <cell r="A13861" t="str">
            <v>圣红3星妖尾20级</v>
          </cell>
          <cell r="B13861">
            <v>1310020</v>
          </cell>
        </row>
        <row r="13862">
          <cell r="A13862" t="str">
            <v>圣红3星妖尾21级</v>
          </cell>
          <cell r="B13862">
            <v>1310021</v>
          </cell>
        </row>
        <row r="13863">
          <cell r="A13863" t="str">
            <v>圣红3星妖尾22级</v>
          </cell>
          <cell r="B13863">
            <v>1310022</v>
          </cell>
        </row>
        <row r="13864">
          <cell r="A13864" t="str">
            <v>圣红3星妖尾23级</v>
          </cell>
          <cell r="B13864">
            <v>1310023</v>
          </cell>
        </row>
        <row r="13865">
          <cell r="A13865" t="str">
            <v>圣红3星妖尾24级</v>
          </cell>
          <cell r="B13865">
            <v>1310024</v>
          </cell>
        </row>
        <row r="13866">
          <cell r="A13866" t="str">
            <v>圣红3星妖尾25级</v>
          </cell>
          <cell r="B13866">
            <v>1310025</v>
          </cell>
        </row>
        <row r="13867">
          <cell r="A13867" t="str">
            <v>圣红3星妖尾26级</v>
          </cell>
          <cell r="B13867">
            <v>1310026</v>
          </cell>
        </row>
        <row r="13868">
          <cell r="A13868" t="str">
            <v>圣红3星妖尾27级</v>
          </cell>
          <cell r="B13868">
            <v>1310027</v>
          </cell>
        </row>
        <row r="13869">
          <cell r="A13869" t="str">
            <v>圣红3星妖尾28级</v>
          </cell>
          <cell r="B13869">
            <v>1310028</v>
          </cell>
        </row>
        <row r="13870">
          <cell r="A13870" t="str">
            <v>圣红3星妖尾29级</v>
          </cell>
          <cell r="B13870">
            <v>1310029</v>
          </cell>
        </row>
        <row r="13871">
          <cell r="A13871" t="str">
            <v>圣红3星妖尾30级</v>
          </cell>
          <cell r="B13871">
            <v>1310030</v>
          </cell>
        </row>
        <row r="13872">
          <cell r="A13872" t="str">
            <v>圣红3星妖尾31级</v>
          </cell>
          <cell r="B13872">
            <v>1310031</v>
          </cell>
        </row>
        <row r="13873">
          <cell r="A13873" t="str">
            <v>圣红3星妖尾32级</v>
          </cell>
          <cell r="B13873">
            <v>1310032</v>
          </cell>
        </row>
        <row r="13874">
          <cell r="A13874" t="str">
            <v>圣红3星妖尾33级</v>
          </cell>
          <cell r="B13874">
            <v>1310033</v>
          </cell>
        </row>
        <row r="13875">
          <cell r="A13875" t="str">
            <v>圣红3星妖尾34级</v>
          </cell>
          <cell r="B13875">
            <v>1310034</v>
          </cell>
        </row>
        <row r="13876">
          <cell r="A13876" t="str">
            <v>圣红3星妖尾35级</v>
          </cell>
          <cell r="B13876">
            <v>1310035</v>
          </cell>
        </row>
        <row r="13877">
          <cell r="A13877" t="str">
            <v>圣红3星妖尾36级</v>
          </cell>
          <cell r="B13877">
            <v>1310036</v>
          </cell>
        </row>
        <row r="13878">
          <cell r="A13878" t="str">
            <v>圣红3星妖尾37级</v>
          </cell>
          <cell r="B13878">
            <v>1310037</v>
          </cell>
        </row>
        <row r="13879">
          <cell r="A13879" t="str">
            <v>圣红3星妖尾38级</v>
          </cell>
          <cell r="B13879">
            <v>1310038</v>
          </cell>
        </row>
        <row r="13880">
          <cell r="A13880" t="str">
            <v>圣红3星妖尾39级</v>
          </cell>
          <cell r="B13880">
            <v>1310039</v>
          </cell>
        </row>
        <row r="13881">
          <cell r="A13881" t="str">
            <v>圣红3星妖尾40级</v>
          </cell>
          <cell r="B13881">
            <v>1310040</v>
          </cell>
        </row>
        <row r="13882">
          <cell r="A13882" t="str">
            <v>圣红3星妖尾41级</v>
          </cell>
          <cell r="B13882">
            <v>1310041</v>
          </cell>
        </row>
        <row r="13883">
          <cell r="A13883" t="str">
            <v>圣红3星妖尾42级</v>
          </cell>
          <cell r="B13883">
            <v>1310042</v>
          </cell>
        </row>
        <row r="13884">
          <cell r="A13884" t="str">
            <v>圣红3星妖尾43级</v>
          </cell>
          <cell r="B13884">
            <v>1310043</v>
          </cell>
        </row>
        <row r="13885">
          <cell r="A13885" t="str">
            <v>圣红3星妖尾44级</v>
          </cell>
          <cell r="B13885">
            <v>1310044</v>
          </cell>
        </row>
        <row r="13886">
          <cell r="A13886" t="str">
            <v>圣红3星妖尾45级</v>
          </cell>
          <cell r="B13886">
            <v>1310045</v>
          </cell>
        </row>
        <row r="13887">
          <cell r="A13887" t="str">
            <v>圣红3星妖尾46级</v>
          </cell>
          <cell r="B13887">
            <v>1310046</v>
          </cell>
        </row>
        <row r="13888">
          <cell r="A13888" t="str">
            <v>圣红3星妖尾47级</v>
          </cell>
          <cell r="B13888">
            <v>1310047</v>
          </cell>
        </row>
        <row r="13889">
          <cell r="A13889" t="str">
            <v>圣红3星妖尾48级</v>
          </cell>
          <cell r="B13889">
            <v>1310048</v>
          </cell>
        </row>
        <row r="13890">
          <cell r="A13890" t="str">
            <v>圣红3星妖尾49级</v>
          </cell>
          <cell r="B13890">
            <v>1310049</v>
          </cell>
        </row>
        <row r="13891">
          <cell r="A13891" t="str">
            <v>圣红3星妖尾50级</v>
          </cell>
          <cell r="B13891">
            <v>1310050</v>
          </cell>
        </row>
        <row r="13892">
          <cell r="A13892" t="str">
            <v>圣红3星妖尾51级</v>
          </cell>
          <cell r="B13892">
            <v>1310051</v>
          </cell>
        </row>
        <row r="13893">
          <cell r="A13893" t="str">
            <v>圣红3星妖尾52级</v>
          </cell>
          <cell r="B13893">
            <v>1310052</v>
          </cell>
        </row>
        <row r="13894">
          <cell r="A13894" t="str">
            <v>圣红3星妖尾53级</v>
          </cell>
          <cell r="B13894">
            <v>1310053</v>
          </cell>
        </row>
        <row r="13895">
          <cell r="A13895" t="str">
            <v>圣红3星妖尾54级</v>
          </cell>
          <cell r="B13895">
            <v>1310054</v>
          </cell>
        </row>
        <row r="13896">
          <cell r="A13896" t="str">
            <v>圣红3星妖尾55级</v>
          </cell>
          <cell r="B13896">
            <v>1310055</v>
          </cell>
        </row>
        <row r="13897">
          <cell r="A13897" t="str">
            <v>圣红3星妖尾56级</v>
          </cell>
          <cell r="B13897">
            <v>1310056</v>
          </cell>
        </row>
        <row r="13898">
          <cell r="A13898" t="str">
            <v>圣红3星妖尾57级</v>
          </cell>
          <cell r="B13898">
            <v>1310057</v>
          </cell>
        </row>
        <row r="13899">
          <cell r="A13899" t="str">
            <v>圣红3星妖尾58级</v>
          </cell>
          <cell r="B13899">
            <v>1310058</v>
          </cell>
        </row>
        <row r="13900">
          <cell r="A13900" t="str">
            <v>圣红3星妖尾59级</v>
          </cell>
          <cell r="B13900">
            <v>1310059</v>
          </cell>
        </row>
        <row r="13901">
          <cell r="A13901" t="str">
            <v>圣红3星妖尾60级</v>
          </cell>
          <cell r="B13901">
            <v>1310060</v>
          </cell>
        </row>
        <row r="13902">
          <cell r="A13902" t="str">
            <v>圣红3星妖尾61级</v>
          </cell>
          <cell r="B13902">
            <v>1310061</v>
          </cell>
        </row>
        <row r="13903">
          <cell r="A13903" t="str">
            <v>圣红3星妖尾62级</v>
          </cell>
          <cell r="B13903">
            <v>1310062</v>
          </cell>
        </row>
        <row r="13904">
          <cell r="A13904" t="str">
            <v>圣红3星妖尾63级</v>
          </cell>
          <cell r="B13904">
            <v>1310063</v>
          </cell>
        </row>
        <row r="13905">
          <cell r="A13905" t="str">
            <v>圣红3星妖尾64级</v>
          </cell>
          <cell r="B13905">
            <v>1310064</v>
          </cell>
        </row>
        <row r="13906">
          <cell r="A13906" t="str">
            <v>圣红3星妖尾65级</v>
          </cell>
          <cell r="B13906">
            <v>1310065</v>
          </cell>
        </row>
        <row r="13907">
          <cell r="A13907" t="str">
            <v>圣红3星妖尾66级</v>
          </cell>
          <cell r="B13907">
            <v>1310066</v>
          </cell>
        </row>
        <row r="13908">
          <cell r="A13908" t="str">
            <v>圣红3星妖尾67级</v>
          </cell>
          <cell r="B13908">
            <v>1310067</v>
          </cell>
        </row>
        <row r="13909">
          <cell r="A13909" t="str">
            <v>圣红3星妖尾68级</v>
          </cell>
          <cell r="B13909">
            <v>1310068</v>
          </cell>
        </row>
        <row r="13910">
          <cell r="A13910" t="str">
            <v>圣红3星妖尾69级</v>
          </cell>
          <cell r="B13910">
            <v>1310069</v>
          </cell>
        </row>
        <row r="13911">
          <cell r="A13911" t="str">
            <v>圣红3星妖尾70级</v>
          </cell>
          <cell r="B13911">
            <v>1310070</v>
          </cell>
        </row>
        <row r="13912">
          <cell r="A13912" t="str">
            <v>圣红3星妖尾71级</v>
          </cell>
          <cell r="B13912">
            <v>1310071</v>
          </cell>
        </row>
        <row r="13913">
          <cell r="A13913" t="str">
            <v>圣红3星妖尾72级</v>
          </cell>
          <cell r="B13913">
            <v>1310072</v>
          </cell>
        </row>
        <row r="13914">
          <cell r="A13914" t="str">
            <v>圣红3星妖尾73级</v>
          </cell>
          <cell r="B13914">
            <v>1310073</v>
          </cell>
        </row>
        <row r="13915">
          <cell r="A13915" t="str">
            <v>圣红3星妖尾74级</v>
          </cell>
          <cell r="B13915">
            <v>1310074</v>
          </cell>
        </row>
        <row r="13916">
          <cell r="A13916" t="str">
            <v>圣红3星妖尾75级</v>
          </cell>
          <cell r="B13916">
            <v>1310075</v>
          </cell>
        </row>
        <row r="13917">
          <cell r="A13917" t="str">
            <v>圣红3星妖尾76级</v>
          </cell>
          <cell r="B13917">
            <v>1310076</v>
          </cell>
        </row>
        <row r="13918">
          <cell r="A13918" t="str">
            <v>圣红3星妖尾77级</v>
          </cell>
          <cell r="B13918">
            <v>1310077</v>
          </cell>
        </row>
        <row r="13919">
          <cell r="A13919" t="str">
            <v>圣红3星妖尾78级</v>
          </cell>
          <cell r="B13919">
            <v>1310078</v>
          </cell>
        </row>
        <row r="13920">
          <cell r="A13920" t="str">
            <v>圣红3星妖尾79级</v>
          </cell>
          <cell r="B13920">
            <v>1310079</v>
          </cell>
        </row>
        <row r="13921">
          <cell r="A13921" t="str">
            <v>圣红3星妖尾80级</v>
          </cell>
          <cell r="B13921">
            <v>1310080</v>
          </cell>
        </row>
        <row r="13922">
          <cell r="A13922" t="str">
            <v>圣红3星妖尾81级</v>
          </cell>
          <cell r="B13922">
            <v>1310081</v>
          </cell>
        </row>
        <row r="13923">
          <cell r="A13923" t="str">
            <v>圣红3星妖尾82级</v>
          </cell>
          <cell r="B13923">
            <v>1310082</v>
          </cell>
        </row>
        <row r="13924">
          <cell r="A13924" t="str">
            <v>圣红3星妖尾83级</v>
          </cell>
          <cell r="B13924">
            <v>1310083</v>
          </cell>
        </row>
        <row r="13925">
          <cell r="A13925" t="str">
            <v>圣红3星妖尾84级</v>
          </cell>
          <cell r="B13925">
            <v>1310084</v>
          </cell>
        </row>
        <row r="13926">
          <cell r="A13926" t="str">
            <v>圣红3星妖尾85级</v>
          </cell>
          <cell r="B13926">
            <v>1310085</v>
          </cell>
        </row>
        <row r="13927">
          <cell r="A13927" t="str">
            <v>圣红3星妖尾86级</v>
          </cell>
          <cell r="B13927">
            <v>1310086</v>
          </cell>
        </row>
        <row r="13928">
          <cell r="A13928" t="str">
            <v>圣红3星妖尾87级</v>
          </cell>
          <cell r="B13928">
            <v>1310087</v>
          </cell>
        </row>
        <row r="13929">
          <cell r="A13929" t="str">
            <v>圣红3星妖尾88级</v>
          </cell>
          <cell r="B13929">
            <v>1310088</v>
          </cell>
        </row>
        <row r="13930">
          <cell r="A13930" t="str">
            <v>圣红3星妖尾89级</v>
          </cell>
          <cell r="B13930">
            <v>1310089</v>
          </cell>
        </row>
        <row r="13931">
          <cell r="A13931" t="str">
            <v>圣红3星妖尾90级</v>
          </cell>
          <cell r="B13931">
            <v>1310090</v>
          </cell>
        </row>
        <row r="13932">
          <cell r="A13932" t="str">
            <v>圣红3星妖尾91级</v>
          </cell>
          <cell r="B13932">
            <v>1310091</v>
          </cell>
        </row>
        <row r="13933">
          <cell r="A13933" t="str">
            <v>圣红3星妖尾92级</v>
          </cell>
          <cell r="B13933">
            <v>1310092</v>
          </cell>
        </row>
        <row r="13934">
          <cell r="A13934" t="str">
            <v>圣红3星妖尾93级</v>
          </cell>
          <cell r="B13934">
            <v>1310093</v>
          </cell>
        </row>
        <row r="13935">
          <cell r="A13935" t="str">
            <v>圣红3星妖尾94级</v>
          </cell>
          <cell r="B13935">
            <v>1310094</v>
          </cell>
        </row>
        <row r="13936">
          <cell r="A13936" t="str">
            <v>圣红3星妖尾95级</v>
          </cell>
          <cell r="B13936">
            <v>1310095</v>
          </cell>
        </row>
        <row r="13937">
          <cell r="A13937" t="str">
            <v>圣红3星妖尾96级</v>
          </cell>
          <cell r="B13937">
            <v>1310096</v>
          </cell>
        </row>
        <row r="13938">
          <cell r="A13938" t="str">
            <v>圣红3星妖尾97级</v>
          </cell>
          <cell r="B13938">
            <v>1310097</v>
          </cell>
        </row>
        <row r="13939">
          <cell r="A13939" t="str">
            <v>圣红3星妖尾98级</v>
          </cell>
          <cell r="B13939">
            <v>1310098</v>
          </cell>
        </row>
        <row r="13940">
          <cell r="A13940" t="str">
            <v>圣红3星妖尾99级</v>
          </cell>
          <cell r="B13940">
            <v>1310099</v>
          </cell>
        </row>
        <row r="13941">
          <cell r="A13941" t="str">
            <v>圣红3星妖尾100级</v>
          </cell>
          <cell r="B13941">
            <v>1310100</v>
          </cell>
        </row>
        <row r="13942">
          <cell r="A13942" t="str">
            <v>白1星圣角1级</v>
          </cell>
          <cell r="B13942">
            <v>1400001</v>
          </cell>
        </row>
        <row r="13943">
          <cell r="A13943" t="str">
            <v>白1星圣角2级</v>
          </cell>
          <cell r="B13943">
            <v>1400002</v>
          </cell>
        </row>
        <row r="13944">
          <cell r="A13944" t="str">
            <v>白1星圣角3级</v>
          </cell>
          <cell r="B13944">
            <v>1400003</v>
          </cell>
        </row>
        <row r="13945">
          <cell r="A13945" t="str">
            <v>白1星圣角4级</v>
          </cell>
          <cell r="B13945">
            <v>1400004</v>
          </cell>
        </row>
        <row r="13946">
          <cell r="A13946" t="str">
            <v>白1星圣角5级</v>
          </cell>
          <cell r="B13946">
            <v>1400005</v>
          </cell>
        </row>
        <row r="13947">
          <cell r="A13947" t="str">
            <v>白1星圣角6级</v>
          </cell>
          <cell r="B13947">
            <v>1400006</v>
          </cell>
        </row>
        <row r="13948">
          <cell r="A13948" t="str">
            <v>白1星圣角7级</v>
          </cell>
          <cell r="B13948">
            <v>1400007</v>
          </cell>
        </row>
        <row r="13949">
          <cell r="A13949" t="str">
            <v>白1星圣角8级</v>
          </cell>
          <cell r="B13949">
            <v>1400008</v>
          </cell>
        </row>
        <row r="13950">
          <cell r="A13950" t="str">
            <v>白1星圣角9级</v>
          </cell>
          <cell r="B13950">
            <v>1400009</v>
          </cell>
        </row>
        <row r="13951">
          <cell r="A13951" t="str">
            <v>白1星圣角10级</v>
          </cell>
          <cell r="B13951">
            <v>1400010</v>
          </cell>
        </row>
        <row r="13952">
          <cell r="A13952" t="str">
            <v>白1星圣角11级</v>
          </cell>
          <cell r="B13952">
            <v>1400011</v>
          </cell>
        </row>
        <row r="13953">
          <cell r="A13953" t="str">
            <v>白1星圣角12级</v>
          </cell>
          <cell r="B13953">
            <v>1400012</v>
          </cell>
        </row>
        <row r="13954">
          <cell r="A13954" t="str">
            <v>白1星圣角13级</v>
          </cell>
          <cell r="B13954">
            <v>1400013</v>
          </cell>
        </row>
        <row r="13955">
          <cell r="A13955" t="str">
            <v>白1星圣角14级</v>
          </cell>
          <cell r="B13955">
            <v>1400014</v>
          </cell>
        </row>
        <row r="13956">
          <cell r="A13956" t="str">
            <v>白1星圣角15级</v>
          </cell>
          <cell r="B13956">
            <v>1400015</v>
          </cell>
        </row>
        <row r="13957">
          <cell r="A13957" t="str">
            <v>白1星圣角16级</v>
          </cell>
          <cell r="B13957">
            <v>1400016</v>
          </cell>
        </row>
        <row r="13958">
          <cell r="A13958" t="str">
            <v>白1星圣角17级</v>
          </cell>
          <cell r="B13958">
            <v>1400017</v>
          </cell>
        </row>
        <row r="13959">
          <cell r="A13959" t="str">
            <v>白1星圣角18级</v>
          </cell>
          <cell r="B13959">
            <v>1400018</v>
          </cell>
        </row>
        <row r="13960">
          <cell r="A13960" t="str">
            <v>白1星圣角19级</v>
          </cell>
          <cell r="B13960">
            <v>1400019</v>
          </cell>
        </row>
        <row r="13961">
          <cell r="A13961" t="str">
            <v>白1星圣角20级</v>
          </cell>
          <cell r="B13961">
            <v>1400020</v>
          </cell>
        </row>
        <row r="13962">
          <cell r="A13962" t="str">
            <v>白1星圣角21级</v>
          </cell>
          <cell r="B13962">
            <v>1400021</v>
          </cell>
        </row>
        <row r="13963">
          <cell r="A13963" t="str">
            <v>白1星圣角22级</v>
          </cell>
          <cell r="B13963">
            <v>1400022</v>
          </cell>
        </row>
        <row r="13964">
          <cell r="A13964" t="str">
            <v>白1星圣角23级</v>
          </cell>
          <cell r="B13964">
            <v>1400023</v>
          </cell>
        </row>
        <row r="13965">
          <cell r="A13965" t="str">
            <v>白1星圣角24级</v>
          </cell>
          <cell r="B13965">
            <v>1400024</v>
          </cell>
        </row>
        <row r="13966">
          <cell r="A13966" t="str">
            <v>白1星圣角25级</v>
          </cell>
          <cell r="B13966">
            <v>1400025</v>
          </cell>
        </row>
        <row r="13967">
          <cell r="A13967" t="str">
            <v>白1星圣角26级</v>
          </cell>
          <cell r="B13967">
            <v>1400026</v>
          </cell>
        </row>
        <row r="13968">
          <cell r="A13968" t="str">
            <v>白1星圣角27级</v>
          </cell>
          <cell r="B13968">
            <v>1400027</v>
          </cell>
        </row>
        <row r="13969">
          <cell r="A13969" t="str">
            <v>白1星圣角28级</v>
          </cell>
          <cell r="B13969">
            <v>1400028</v>
          </cell>
        </row>
        <row r="13970">
          <cell r="A13970" t="str">
            <v>白1星圣角29级</v>
          </cell>
          <cell r="B13970">
            <v>1400029</v>
          </cell>
        </row>
        <row r="13971">
          <cell r="A13971" t="str">
            <v>白1星圣角30级</v>
          </cell>
          <cell r="B13971">
            <v>1400030</v>
          </cell>
        </row>
        <row r="13972">
          <cell r="A13972" t="str">
            <v>白1星圣角31级</v>
          </cell>
          <cell r="B13972">
            <v>1400031</v>
          </cell>
        </row>
        <row r="13973">
          <cell r="A13973" t="str">
            <v>白1星圣角32级</v>
          </cell>
          <cell r="B13973">
            <v>1400032</v>
          </cell>
        </row>
        <row r="13974">
          <cell r="A13974" t="str">
            <v>白1星圣角33级</v>
          </cell>
          <cell r="B13974">
            <v>1400033</v>
          </cell>
        </row>
        <row r="13975">
          <cell r="A13975" t="str">
            <v>白1星圣角34级</v>
          </cell>
          <cell r="B13975">
            <v>1400034</v>
          </cell>
        </row>
        <row r="13976">
          <cell r="A13976" t="str">
            <v>白1星圣角35级</v>
          </cell>
          <cell r="B13976">
            <v>1400035</v>
          </cell>
        </row>
        <row r="13977">
          <cell r="A13977" t="str">
            <v>白1星圣角36级</v>
          </cell>
          <cell r="B13977">
            <v>1400036</v>
          </cell>
        </row>
        <row r="13978">
          <cell r="A13978" t="str">
            <v>白1星圣角37级</v>
          </cell>
          <cell r="B13978">
            <v>1400037</v>
          </cell>
        </row>
        <row r="13979">
          <cell r="A13979" t="str">
            <v>白1星圣角38级</v>
          </cell>
          <cell r="B13979">
            <v>1400038</v>
          </cell>
        </row>
        <row r="13980">
          <cell r="A13980" t="str">
            <v>白1星圣角39级</v>
          </cell>
          <cell r="B13980">
            <v>1400039</v>
          </cell>
        </row>
        <row r="13981">
          <cell r="A13981" t="str">
            <v>白1星圣角40级</v>
          </cell>
          <cell r="B13981">
            <v>1400040</v>
          </cell>
        </row>
        <row r="13982">
          <cell r="A13982" t="str">
            <v>白1星圣角41级</v>
          </cell>
          <cell r="B13982">
            <v>1400041</v>
          </cell>
        </row>
        <row r="13983">
          <cell r="A13983" t="str">
            <v>白1星圣角42级</v>
          </cell>
          <cell r="B13983">
            <v>1400042</v>
          </cell>
        </row>
        <row r="13984">
          <cell r="A13984" t="str">
            <v>白1星圣角43级</v>
          </cell>
          <cell r="B13984">
            <v>1400043</v>
          </cell>
        </row>
        <row r="13985">
          <cell r="A13985" t="str">
            <v>白1星圣角44级</v>
          </cell>
          <cell r="B13985">
            <v>1400044</v>
          </cell>
        </row>
        <row r="13986">
          <cell r="A13986" t="str">
            <v>白1星圣角45级</v>
          </cell>
          <cell r="B13986">
            <v>1400045</v>
          </cell>
        </row>
        <row r="13987">
          <cell r="A13987" t="str">
            <v>白1星圣角46级</v>
          </cell>
          <cell r="B13987">
            <v>1400046</v>
          </cell>
        </row>
        <row r="13988">
          <cell r="A13988" t="str">
            <v>白1星圣角47级</v>
          </cell>
          <cell r="B13988">
            <v>1400047</v>
          </cell>
        </row>
        <row r="13989">
          <cell r="A13989" t="str">
            <v>白1星圣角48级</v>
          </cell>
          <cell r="B13989">
            <v>1400048</v>
          </cell>
        </row>
        <row r="13990">
          <cell r="A13990" t="str">
            <v>白1星圣角49级</v>
          </cell>
          <cell r="B13990">
            <v>1400049</v>
          </cell>
        </row>
        <row r="13991">
          <cell r="A13991" t="str">
            <v>白1星圣角50级</v>
          </cell>
          <cell r="B13991">
            <v>1400050</v>
          </cell>
        </row>
        <row r="13992">
          <cell r="A13992" t="str">
            <v>白1星圣角51级</v>
          </cell>
          <cell r="B13992">
            <v>1400051</v>
          </cell>
        </row>
        <row r="13993">
          <cell r="A13993" t="str">
            <v>白1星圣角52级</v>
          </cell>
          <cell r="B13993">
            <v>1400052</v>
          </cell>
        </row>
        <row r="13994">
          <cell r="A13994" t="str">
            <v>白1星圣角53级</v>
          </cell>
          <cell r="B13994">
            <v>1400053</v>
          </cell>
        </row>
        <row r="13995">
          <cell r="A13995" t="str">
            <v>白1星圣角54级</v>
          </cell>
          <cell r="B13995">
            <v>1400054</v>
          </cell>
        </row>
        <row r="13996">
          <cell r="A13996" t="str">
            <v>白1星圣角55级</v>
          </cell>
          <cell r="B13996">
            <v>1400055</v>
          </cell>
        </row>
        <row r="13997">
          <cell r="A13997" t="str">
            <v>白1星圣角56级</v>
          </cell>
          <cell r="B13997">
            <v>1400056</v>
          </cell>
        </row>
        <row r="13998">
          <cell r="A13998" t="str">
            <v>白1星圣角57级</v>
          </cell>
          <cell r="B13998">
            <v>1400057</v>
          </cell>
        </row>
        <row r="13999">
          <cell r="A13999" t="str">
            <v>白1星圣角58级</v>
          </cell>
          <cell r="B13999">
            <v>1400058</v>
          </cell>
        </row>
        <row r="14000">
          <cell r="A14000" t="str">
            <v>白1星圣角59级</v>
          </cell>
          <cell r="B14000">
            <v>1400059</v>
          </cell>
        </row>
        <row r="14001">
          <cell r="A14001" t="str">
            <v>白1星圣角60级</v>
          </cell>
          <cell r="B14001">
            <v>1400060</v>
          </cell>
        </row>
        <row r="14002">
          <cell r="A14002" t="str">
            <v>白1星圣角61级</v>
          </cell>
          <cell r="B14002">
            <v>1400061</v>
          </cell>
        </row>
        <row r="14003">
          <cell r="A14003" t="str">
            <v>白1星圣角62级</v>
          </cell>
          <cell r="B14003">
            <v>1400062</v>
          </cell>
        </row>
        <row r="14004">
          <cell r="A14004" t="str">
            <v>白1星圣角63级</v>
          </cell>
          <cell r="B14004">
            <v>1400063</v>
          </cell>
        </row>
        <row r="14005">
          <cell r="A14005" t="str">
            <v>白1星圣角64级</v>
          </cell>
          <cell r="B14005">
            <v>1400064</v>
          </cell>
        </row>
        <row r="14006">
          <cell r="A14006" t="str">
            <v>白1星圣角65级</v>
          </cell>
          <cell r="B14006">
            <v>1400065</v>
          </cell>
        </row>
        <row r="14007">
          <cell r="A14007" t="str">
            <v>白1星圣角66级</v>
          </cell>
          <cell r="B14007">
            <v>1400066</v>
          </cell>
        </row>
        <row r="14008">
          <cell r="A14008" t="str">
            <v>白1星圣角67级</v>
          </cell>
          <cell r="B14008">
            <v>1400067</v>
          </cell>
        </row>
        <row r="14009">
          <cell r="A14009" t="str">
            <v>白1星圣角68级</v>
          </cell>
          <cell r="B14009">
            <v>1400068</v>
          </cell>
        </row>
        <row r="14010">
          <cell r="A14010" t="str">
            <v>白1星圣角69级</v>
          </cell>
          <cell r="B14010">
            <v>1400069</v>
          </cell>
        </row>
        <row r="14011">
          <cell r="A14011" t="str">
            <v>白1星圣角70级</v>
          </cell>
          <cell r="B14011">
            <v>1400070</v>
          </cell>
        </row>
        <row r="14012">
          <cell r="A14012" t="str">
            <v>白1星圣角71级</v>
          </cell>
          <cell r="B14012">
            <v>1400071</v>
          </cell>
        </row>
        <row r="14013">
          <cell r="A14013" t="str">
            <v>白1星圣角72级</v>
          </cell>
          <cell r="B14013">
            <v>1400072</v>
          </cell>
        </row>
        <row r="14014">
          <cell r="A14014" t="str">
            <v>白1星圣角73级</v>
          </cell>
          <cell r="B14014">
            <v>1400073</v>
          </cell>
        </row>
        <row r="14015">
          <cell r="A14015" t="str">
            <v>白1星圣角74级</v>
          </cell>
          <cell r="B14015">
            <v>1400074</v>
          </cell>
        </row>
        <row r="14016">
          <cell r="A14016" t="str">
            <v>白1星圣角75级</v>
          </cell>
          <cell r="B14016">
            <v>1400075</v>
          </cell>
        </row>
        <row r="14017">
          <cell r="A14017" t="str">
            <v>白1星圣角76级</v>
          </cell>
          <cell r="B14017">
            <v>1400076</v>
          </cell>
        </row>
        <row r="14018">
          <cell r="A14018" t="str">
            <v>白1星圣角77级</v>
          </cell>
          <cell r="B14018">
            <v>1400077</v>
          </cell>
        </row>
        <row r="14019">
          <cell r="A14019" t="str">
            <v>白1星圣角78级</v>
          </cell>
          <cell r="B14019">
            <v>1400078</v>
          </cell>
        </row>
        <row r="14020">
          <cell r="A14020" t="str">
            <v>白1星圣角79级</v>
          </cell>
          <cell r="B14020">
            <v>1400079</v>
          </cell>
        </row>
        <row r="14021">
          <cell r="A14021" t="str">
            <v>白1星圣角80级</v>
          </cell>
          <cell r="B14021">
            <v>1400080</v>
          </cell>
        </row>
        <row r="14022">
          <cell r="A14022" t="str">
            <v>白1星圣角81级</v>
          </cell>
          <cell r="B14022">
            <v>1400081</v>
          </cell>
        </row>
        <row r="14023">
          <cell r="A14023" t="str">
            <v>白1星圣角82级</v>
          </cell>
          <cell r="B14023">
            <v>1400082</v>
          </cell>
        </row>
        <row r="14024">
          <cell r="A14024" t="str">
            <v>白1星圣角83级</v>
          </cell>
          <cell r="B14024">
            <v>1400083</v>
          </cell>
        </row>
        <row r="14025">
          <cell r="A14025" t="str">
            <v>白1星圣角84级</v>
          </cell>
          <cell r="B14025">
            <v>1400084</v>
          </cell>
        </row>
        <row r="14026">
          <cell r="A14026" t="str">
            <v>白1星圣角85级</v>
          </cell>
          <cell r="B14026">
            <v>1400085</v>
          </cell>
        </row>
        <row r="14027">
          <cell r="A14027" t="str">
            <v>白1星圣角86级</v>
          </cell>
          <cell r="B14027">
            <v>1400086</v>
          </cell>
        </row>
        <row r="14028">
          <cell r="A14028" t="str">
            <v>白1星圣角87级</v>
          </cell>
          <cell r="B14028">
            <v>1400087</v>
          </cell>
        </row>
        <row r="14029">
          <cell r="A14029" t="str">
            <v>白1星圣角88级</v>
          </cell>
          <cell r="B14029">
            <v>1400088</v>
          </cell>
        </row>
        <row r="14030">
          <cell r="A14030" t="str">
            <v>白1星圣角89级</v>
          </cell>
          <cell r="B14030">
            <v>1400089</v>
          </cell>
        </row>
        <row r="14031">
          <cell r="A14031" t="str">
            <v>白1星圣角90级</v>
          </cell>
          <cell r="B14031">
            <v>1400090</v>
          </cell>
        </row>
        <row r="14032">
          <cell r="A14032" t="str">
            <v>白1星圣角91级</v>
          </cell>
          <cell r="B14032">
            <v>1400091</v>
          </cell>
        </row>
        <row r="14033">
          <cell r="A14033" t="str">
            <v>白1星圣角92级</v>
          </cell>
          <cell r="B14033">
            <v>1400092</v>
          </cell>
        </row>
        <row r="14034">
          <cell r="A14034" t="str">
            <v>白1星圣角93级</v>
          </cell>
          <cell r="B14034">
            <v>1400093</v>
          </cell>
        </row>
        <row r="14035">
          <cell r="A14035" t="str">
            <v>白1星圣角94级</v>
          </cell>
          <cell r="B14035">
            <v>1400094</v>
          </cell>
        </row>
        <row r="14036">
          <cell r="A14036" t="str">
            <v>白1星圣角95级</v>
          </cell>
          <cell r="B14036">
            <v>1400095</v>
          </cell>
        </row>
        <row r="14037">
          <cell r="A14037" t="str">
            <v>白1星圣角96级</v>
          </cell>
          <cell r="B14037">
            <v>1400096</v>
          </cell>
        </row>
        <row r="14038">
          <cell r="A14038" t="str">
            <v>白1星圣角97级</v>
          </cell>
          <cell r="B14038">
            <v>1400097</v>
          </cell>
        </row>
        <row r="14039">
          <cell r="A14039" t="str">
            <v>白1星圣角98级</v>
          </cell>
          <cell r="B14039">
            <v>1400098</v>
          </cell>
        </row>
        <row r="14040">
          <cell r="A14040" t="str">
            <v>白1星圣角99级</v>
          </cell>
          <cell r="B14040">
            <v>1400099</v>
          </cell>
        </row>
        <row r="14041">
          <cell r="A14041" t="str">
            <v>白1星圣角100级</v>
          </cell>
          <cell r="B14041">
            <v>1400100</v>
          </cell>
        </row>
        <row r="14042">
          <cell r="A14042" t="str">
            <v>白2星圣角1级</v>
          </cell>
          <cell r="B14042">
            <v>1401001</v>
          </cell>
        </row>
        <row r="14043">
          <cell r="A14043" t="str">
            <v>白2星圣角2级</v>
          </cell>
          <cell r="B14043">
            <v>1401002</v>
          </cell>
        </row>
        <row r="14044">
          <cell r="A14044" t="str">
            <v>白2星圣角3级</v>
          </cell>
          <cell r="B14044">
            <v>1401003</v>
          </cell>
        </row>
        <row r="14045">
          <cell r="A14045" t="str">
            <v>白2星圣角4级</v>
          </cell>
          <cell r="B14045">
            <v>1401004</v>
          </cell>
        </row>
        <row r="14046">
          <cell r="A14046" t="str">
            <v>白2星圣角5级</v>
          </cell>
          <cell r="B14046">
            <v>1401005</v>
          </cell>
        </row>
        <row r="14047">
          <cell r="A14047" t="str">
            <v>白2星圣角6级</v>
          </cell>
          <cell r="B14047">
            <v>1401006</v>
          </cell>
        </row>
        <row r="14048">
          <cell r="A14048" t="str">
            <v>白2星圣角7级</v>
          </cell>
          <cell r="B14048">
            <v>1401007</v>
          </cell>
        </row>
        <row r="14049">
          <cell r="A14049" t="str">
            <v>白2星圣角8级</v>
          </cell>
          <cell r="B14049">
            <v>1401008</v>
          </cell>
        </row>
        <row r="14050">
          <cell r="A14050" t="str">
            <v>白2星圣角9级</v>
          </cell>
          <cell r="B14050">
            <v>1401009</v>
          </cell>
        </row>
        <row r="14051">
          <cell r="A14051" t="str">
            <v>白2星圣角10级</v>
          </cell>
          <cell r="B14051">
            <v>1401010</v>
          </cell>
        </row>
        <row r="14052">
          <cell r="A14052" t="str">
            <v>白2星圣角11级</v>
          </cell>
          <cell r="B14052">
            <v>1401011</v>
          </cell>
        </row>
        <row r="14053">
          <cell r="A14053" t="str">
            <v>白2星圣角12级</v>
          </cell>
          <cell r="B14053">
            <v>1401012</v>
          </cell>
        </row>
        <row r="14054">
          <cell r="A14054" t="str">
            <v>白2星圣角13级</v>
          </cell>
          <cell r="B14054">
            <v>1401013</v>
          </cell>
        </row>
        <row r="14055">
          <cell r="A14055" t="str">
            <v>白2星圣角14级</v>
          </cell>
          <cell r="B14055">
            <v>1401014</v>
          </cell>
        </row>
        <row r="14056">
          <cell r="A14056" t="str">
            <v>白2星圣角15级</v>
          </cell>
          <cell r="B14056">
            <v>1401015</v>
          </cell>
        </row>
        <row r="14057">
          <cell r="A14057" t="str">
            <v>白2星圣角16级</v>
          </cell>
          <cell r="B14057">
            <v>1401016</v>
          </cell>
        </row>
        <row r="14058">
          <cell r="A14058" t="str">
            <v>白2星圣角17级</v>
          </cell>
          <cell r="B14058">
            <v>1401017</v>
          </cell>
        </row>
        <row r="14059">
          <cell r="A14059" t="str">
            <v>白2星圣角18级</v>
          </cell>
          <cell r="B14059">
            <v>1401018</v>
          </cell>
        </row>
        <row r="14060">
          <cell r="A14060" t="str">
            <v>白2星圣角19级</v>
          </cell>
          <cell r="B14060">
            <v>1401019</v>
          </cell>
        </row>
        <row r="14061">
          <cell r="A14061" t="str">
            <v>白2星圣角20级</v>
          </cell>
          <cell r="B14061">
            <v>1401020</v>
          </cell>
        </row>
        <row r="14062">
          <cell r="A14062" t="str">
            <v>白2星圣角21级</v>
          </cell>
          <cell r="B14062">
            <v>1401021</v>
          </cell>
        </row>
        <row r="14063">
          <cell r="A14063" t="str">
            <v>白2星圣角22级</v>
          </cell>
          <cell r="B14063">
            <v>1401022</v>
          </cell>
        </row>
        <row r="14064">
          <cell r="A14064" t="str">
            <v>白2星圣角23级</v>
          </cell>
          <cell r="B14064">
            <v>1401023</v>
          </cell>
        </row>
        <row r="14065">
          <cell r="A14065" t="str">
            <v>白2星圣角24级</v>
          </cell>
          <cell r="B14065">
            <v>1401024</v>
          </cell>
        </row>
        <row r="14066">
          <cell r="A14066" t="str">
            <v>白2星圣角25级</v>
          </cell>
          <cell r="B14066">
            <v>1401025</v>
          </cell>
        </row>
        <row r="14067">
          <cell r="A14067" t="str">
            <v>白2星圣角26级</v>
          </cell>
          <cell r="B14067">
            <v>1401026</v>
          </cell>
        </row>
        <row r="14068">
          <cell r="A14068" t="str">
            <v>白2星圣角27级</v>
          </cell>
          <cell r="B14068">
            <v>1401027</v>
          </cell>
        </row>
        <row r="14069">
          <cell r="A14069" t="str">
            <v>白2星圣角28级</v>
          </cell>
          <cell r="B14069">
            <v>1401028</v>
          </cell>
        </row>
        <row r="14070">
          <cell r="A14070" t="str">
            <v>白2星圣角29级</v>
          </cell>
          <cell r="B14070">
            <v>1401029</v>
          </cell>
        </row>
        <row r="14071">
          <cell r="A14071" t="str">
            <v>白2星圣角30级</v>
          </cell>
          <cell r="B14071">
            <v>1401030</v>
          </cell>
        </row>
        <row r="14072">
          <cell r="A14072" t="str">
            <v>白2星圣角31级</v>
          </cell>
          <cell r="B14072">
            <v>1401031</v>
          </cell>
        </row>
        <row r="14073">
          <cell r="A14073" t="str">
            <v>白2星圣角32级</v>
          </cell>
          <cell r="B14073">
            <v>1401032</v>
          </cell>
        </row>
        <row r="14074">
          <cell r="A14074" t="str">
            <v>白2星圣角33级</v>
          </cell>
          <cell r="B14074">
            <v>1401033</v>
          </cell>
        </row>
        <row r="14075">
          <cell r="A14075" t="str">
            <v>白2星圣角34级</v>
          </cell>
          <cell r="B14075">
            <v>1401034</v>
          </cell>
        </row>
        <row r="14076">
          <cell r="A14076" t="str">
            <v>白2星圣角35级</v>
          </cell>
          <cell r="B14076">
            <v>1401035</v>
          </cell>
        </row>
        <row r="14077">
          <cell r="A14077" t="str">
            <v>白2星圣角36级</v>
          </cell>
          <cell r="B14077">
            <v>1401036</v>
          </cell>
        </row>
        <row r="14078">
          <cell r="A14078" t="str">
            <v>白2星圣角37级</v>
          </cell>
          <cell r="B14078">
            <v>1401037</v>
          </cell>
        </row>
        <row r="14079">
          <cell r="A14079" t="str">
            <v>白2星圣角38级</v>
          </cell>
          <cell r="B14079">
            <v>1401038</v>
          </cell>
        </row>
        <row r="14080">
          <cell r="A14080" t="str">
            <v>白2星圣角39级</v>
          </cell>
          <cell r="B14080">
            <v>1401039</v>
          </cell>
        </row>
        <row r="14081">
          <cell r="A14081" t="str">
            <v>白2星圣角40级</v>
          </cell>
          <cell r="B14081">
            <v>1401040</v>
          </cell>
        </row>
        <row r="14082">
          <cell r="A14082" t="str">
            <v>白2星圣角41级</v>
          </cell>
          <cell r="B14082">
            <v>1401041</v>
          </cell>
        </row>
        <row r="14083">
          <cell r="A14083" t="str">
            <v>白2星圣角42级</v>
          </cell>
          <cell r="B14083">
            <v>1401042</v>
          </cell>
        </row>
        <row r="14084">
          <cell r="A14084" t="str">
            <v>白2星圣角43级</v>
          </cell>
          <cell r="B14084">
            <v>1401043</v>
          </cell>
        </row>
        <row r="14085">
          <cell r="A14085" t="str">
            <v>白2星圣角44级</v>
          </cell>
          <cell r="B14085">
            <v>1401044</v>
          </cell>
        </row>
        <row r="14086">
          <cell r="A14086" t="str">
            <v>白2星圣角45级</v>
          </cell>
          <cell r="B14086">
            <v>1401045</v>
          </cell>
        </row>
        <row r="14087">
          <cell r="A14087" t="str">
            <v>白2星圣角46级</v>
          </cell>
          <cell r="B14087">
            <v>1401046</v>
          </cell>
        </row>
        <row r="14088">
          <cell r="A14088" t="str">
            <v>白2星圣角47级</v>
          </cell>
          <cell r="B14088">
            <v>1401047</v>
          </cell>
        </row>
        <row r="14089">
          <cell r="A14089" t="str">
            <v>白2星圣角48级</v>
          </cell>
          <cell r="B14089">
            <v>1401048</v>
          </cell>
        </row>
        <row r="14090">
          <cell r="A14090" t="str">
            <v>白2星圣角49级</v>
          </cell>
          <cell r="B14090">
            <v>1401049</v>
          </cell>
        </row>
        <row r="14091">
          <cell r="A14091" t="str">
            <v>白2星圣角50级</v>
          </cell>
          <cell r="B14091">
            <v>1401050</v>
          </cell>
        </row>
        <row r="14092">
          <cell r="A14092" t="str">
            <v>白2星圣角51级</v>
          </cell>
          <cell r="B14092">
            <v>1401051</v>
          </cell>
        </row>
        <row r="14093">
          <cell r="A14093" t="str">
            <v>白2星圣角52级</v>
          </cell>
          <cell r="B14093">
            <v>1401052</v>
          </cell>
        </row>
        <row r="14094">
          <cell r="A14094" t="str">
            <v>白2星圣角53级</v>
          </cell>
          <cell r="B14094">
            <v>1401053</v>
          </cell>
        </row>
        <row r="14095">
          <cell r="A14095" t="str">
            <v>白2星圣角54级</v>
          </cell>
          <cell r="B14095">
            <v>1401054</v>
          </cell>
        </row>
        <row r="14096">
          <cell r="A14096" t="str">
            <v>白2星圣角55级</v>
          </cell>
          <cell r="B14096">
            <v>1401055</v>
          </cell>
        </row>
        <row r="14097">
          <cell r="A14097" t="str">
            <v>白2星圣角56级</v>
          </cell>
          <cell r="B14097">
            <v>1401056</v>
          </cell>
        </row>
        <row r="14098">
          <cell r="A14098" t="str">
            <v>白2星圣角57级</v>
          </cell>
          <cell r="B14098">
            <v>1401057</v>
          </cell>
        </row>
        <row r="14099">
          <cell r="A14099" t="str">
            <v>白2星圣角58级</v>
          </cell>
          <cell r="B14099">
            <v>1401058</v>
          </cell>
        </row>
        <row r="14100">
          <cell r="A14100" t="str">
            <v>白2星圣角59级</v>
          </cell>
          <cell r="B14100">
            <v>1401059</v>
          </cell>
        </row>
        <row r="14101">
          <cell r="A14101" t="str">
            <v>白2星圣角60级</v>
          </cell>
          <cell r="B14101">
            <v>1401060</v>
          </cell>
        </row>
        <row r="14102">
          <cell r="A14102" t="str">
            <v>白2星圣角61级</v>
          </cell>
          <cell r="B14102">
            <v>1401061</v>
          </cell>
        </row>
        <row r="14103">
          <cell r="A14103" t="str">
            <v>白2星圣角62级</v>
          </cell>
          <cell r="B14103">
            <v>1401062</v>
          </cell>
        </row>
        <row r="14104">
          <cell r="A14104" t="str">
            <v>白2星圣角63级</v>
          </cell>
          <cell r="B14104">
            <v>1401063</v>
          </cell>
        </row>
        <row r="14105">
          <cell r="A14105" t="str">
            <v>白2星圣角64级</v>
          </cell>
          <cell r="B14105">
            <v>1401064</v>
          </cell>
        </row>
        <row r="14106">
          <cell r="A14106" t="str">
            <v>白2星圣角65级</v>
          </cell>
          <cell r="B14106">
            <v>1401065</v>
          </cell>
        </row>
        <row r="14107">
          <cell r="A14107" t="str">
            <v>白2星圣角66级</v>
          </cell>
          <cell r="B14107">
            <v>1401066</v>
          </cell>
        </row>
        <row r="14108">
          <cell r="A14108" t="str">
            <v>白2星圣角67级</v>
          </cell>
          <cell r="B14108">
            <v>1401067</v>
          </cell>
        </row>
        <row r="14109">
          <cell r="A14109" t="str">
            <v>白2星圣角68级</v>
          </cell>
          <cell r="B14109">
            <v>1401068</v>
          </cell>
        </row>
        <row r="14110">
          <cell r="A14110" t="str">
            <v>白2星圣角69级</v>
          </cell>
          <cell r="B14110">
            <v>1401069</v>
          </cell>
        </row>
        <row r="14111">
          <cell r="A14111" t="str">
            <v>白2星圣角70级</v>
          </cell>
          <cell r="B14111">
            <v>1401070</v>
          </cell>
        </row>
        <row r="14112">
          <cell r="A14112" t="str">
            <v>白2星圣角71级</v>
          </cell>
          <cell r="B14112">
            <v>1401071</v>
          </cell>
        </row>
        <row r="14113">
          <cell r="A14113" t="str">
            <v>白2星圣角72级</v>
          </cell>
          <cell r="B14113">
            <v>1401072</v>
          </cell>
        </row>
        <row r="14114">
          <cell r="A14114" t="str">
            <v>白2星圣角73级</v>
          </cell>
          <cell r="B14114">
            <v>1401073</v>
          </cell>
        </row>
        <row r="14115">
          <cell r="A14115" t="str">
            <v>白2星圣角74级</v>
          </cell>
          <cell r="B14115">
            <v>1401074</v>
          </cell>
        </row>
        <row r="14116">
          <cell r="A14116" t="str">
            <v>白2星圣角75级</v>
          </cell>
          <cell r="B14116">
            <v>1401075</v>
          </cell>
        </row>
        <row r="14117">
          <cell r="A14117" t="str">
            <v>白2星圣角76级</v>
          </cell>
          <cell r="B14117">
            <v>1401076</v>
          </cell>
        </row>
        <row r="14118">
          <cell r="A14118" t="str">
            <v>白2星圣角77级</v>
          </cell>
          <cell r="B14118">
            <v>1401077</v>
          </cell>
        </row>
        <row r="14119">
          <cell r="A14119" t="str">
            <v>白2星圣角78级</v>
          </cell>
          <cell r="B14119">
            <v>1401078</v>
          </cell>
        </row>
        <row r="14120">
          <cell r="A14120" t="str">
            <v>白2星圣角79级</v>
          </cell>
          <cell r="B14120">
            <v>1401079</v>
          </cell>
        </row>
        <row r="14121">
          <cell r="A14121" t="str">
            <v>白2星圣角80级</v>
          </cell>
          <cell r="B14121">
            <v>1401080</v>
          </cell>
        </row>
        <row r="14122">
          <cell r="A14122" t="str">
            <v>白2星圣角81级</v>
          </cell>
          <cell r="B14122">
            <v>1401081</v>
          </cell>
        </row>
        <row r="14123">
          <cell r="A14123" t="str">
            <v>白2星圣角82级</v>
          </cell>
          <cell r="B14123">
            <v>1401082</v>
          </cell>
        </row>
        <row r="14124">
          <cell r="A14124" t="str">
            <v>白2星圣角83级</v>
          </cell>
          <cell r="B14124">
            <v>1401083</v>
          </cell>
        </row>
        <row r="14125">
          <cell r="A14125" t="str">
            <v>白2星圣角84级</v>
          </cell>
          <cell r="B14125">
            <v>1401084</v>
          </cell>
        </row>
        <row r="14126">
          <cell r="A14126" t="str">
            <v>白2星圣角85级</v>
          </cell>
          <cell r="B14126">
            <v>1401085</v>
          </cell>
        </row>
        <row r="14127">
          <cell r="A14127" t="str">
            <v>白2星圣角86级</v>
          </cell>
          <cell r="B14127">
            <v>1401086</v>
          </cell>
        </row>
        <row r="14128">
          <cell r="A14128" t="str">
            <v>白2星圣角87级</v>
          </cell>
          <cell r="B14128">
            <v>1401087</v>
          </cell>
        </row>
        <row r="14129">
          <cell r="A14129" t="str">
            <v>白2星圣角88级</v>
          </cell>
          <cell r="B14129">
            <v>1401088</v>
          </cell>
        </row>
        <row r="14130">
          <cell r="A14130" t="str">
            <v>白2星圣角89级</v>
          </cell>
          <cell r="B14130">
            <v>1401089</v>
          </cell>
        </row>
        <row r="14131">
          <cell r="A14131" t="str">
            <v>白2星圣角90级</v>
          </cell>
          <cell r="B14131">
            <v>1401090</v>
          </cell>
        </row>
        <row r="14132">
          <cell r="A14132" t="str">
            <v>白2星圣角91级</v>
          </cell>
          <cell r="B14132">
            <v>1401091</v>
          </cell>
        </row>
        <row r="14133">
          <cell r="A14133" t="str">
            <v>白2星圣角92级</v>
          </cell>
          <cell r="B14133">
            <v>1401092</v>
          </cell>
        </row>
        <row r="14134">
          <cell r="A14134" t="str">
            <v>白2星圣角93级</v>
          </cell>
          <cell r="B14134">
            <v>1401093</v>
          </cell>
        </row>
        <row r="14135">
          <cell r="A14135" t="str">
            <v>白2星圣角94级</v>
          </cell>
          <cell r="B14135">
            <v>1401094</v>
          </cell>
        </row>
        <row r="14136">
          <cell r="A14136" t="str">
            <v>白2星圣角95级</v>
          </cell>
          <cell r="B14136">
            <v>1401095</v>
          </cell>
        </row>
        <row r="14137">
          <cell r="A14137" t="str">
            <v>白2星圣角96级</v>
          </cell>
          <cell r="B14137">
            <v>1401096</v>
          </cell>
        </row>
        <row r="14138">
          <cell r="A14138" t="str">
            <v>白2星圣角97级</v>
          </cell>
          <cell r="B14138">
            <v>1401097</v>
          </cell>
        </row>
        <row r="14139">
          <cell r="A14139" t="str">
            <v>白2星圣角98级</v>
          </cell>
          <cell r="B14139">
            <v>1401098</v>
          </cell>
        </row>
        <row r="14140">
          <cell r="A14140" t="str">
            <v>白2星圣角99级</v>
          </cell>
          <cell r="B14140">
            <v>1401099</v>
          </cell>
        </row>
        <row r="14141">
          <cell r="A14141" t="str">
            <v>白2星圣角100级</v>
          </cell>
          <cell r="B14141">
            <v>1401100</v>
          </cell>
        </row>
        <row r="14142">
          <cell r="A14142" t="str">
            <v>紫1星圣角1级</v>
          </cell>
          <cell r="B14142">
            <v>1402001</v>
          </cell>
        </row>
        <row r="14143">
          <cell r="A14143" t="str">
            <v>紫1星圣角2级</v>
          </cell>
          <cell r="B14143">
            <v>1402002</v>
          </cell>
        </row>
        <row r="14144">
          <cell r="A14144" t="str">
            <v>紫1星圣角3级</v>
          </cell>
          <cell r="B14144">
            <v>1402003</v>
          </cell>
        </row>
        <row r="14145">
          <cell r="A14145" t="str">
            <v>紫1星圣角4级</v>
          </cell>
          <cell r="B14145">
            <v>1402004</v>
          </cell>
        </row>
        <row r="14146">
          <cell r="A14146" t="str">
            <v>紫1星圣角5级</v>
          </cell>
          <cell r="B14146">
            <v>1402005</v>
          </cell>
        </row>
        <row r="14147">
          <cell r="A14147" t="str">
            <v>紫1星圣角6级</v>
          </cell>
          <cell r="B14147">
            <v>1402006</v>
          </cell>
        </row>
        <row r="14148">
          <cell r="A14148" t="str">
            <v>紫1星圣角7级</v>
          </cell>
          <cell r="B14148">
            <v>1402007</v>
          </cell>
        </row>
        <row r="14149">
          <cell r="A14149" t="str">
            <v>紫1星圣角8级</v>
          </cell>
          <cell r="B14149">
            <v>1402008</v>
          </cell>
        </row>
        <row r="14150">
          <cell r="A14150" t="str">
            <v>紫1星圣角9级</v>
          </cell>
          <cell r="B14150">
            <v>1402009</v>
          </cell>
        </row>
        <row r="14151">
          <cell r="A14151" t="str">
            <v>紫1星圣角10级</v>
          </cell>
          <cell r="B14151">
            <v>1402010</v>
          </cell>
        </row>
        <row r="14152">
          <cell r="A14152" t="str">
            <v>紫1星圣角11级</v>
          </cell>
          <cell r="B14152">
            <v>1402011</v>
          </cell>
        </row>
        <row r="14153">
          <cell r="A14153" t="str">
            <v>紫1星圣角12级</v>
          </cell>
          <cell r="B14153">
            <v>1402012</v>
          </cell>
        </row>
        <row r="14154">
          <cell r="A14154" t="str">
            <v>紫1星圣角13级</v>
          </cell>
          <cell r="B14154">
            <v>1402013</v>
          </cell>
        </row>
        <row r="14155">
          <cell r="A14155" t="str">
            <v>紫1星圣角14级</v>
          </cell>
          <cell r="B14155">
            <v>1402014</v>
          </cell>
        </row>
        <row r="14156">
          <cell r="A14156" t="str">
            <v>紫1星圣角15级</v>
          </cell>
          <cell r="B14156">
            <v>1402015</v>
          </cell>
        </row>
        <row r="14157">
          <cell r="A14157" t="str">
            <v>紫1星圣角16级</v>
          </cell>
          <cell r="B14157">
            <v>1402016</v>
          </cell>
        </row>
        <row r="14158">
          <cell r="A14158" t="str">
            <v>紫1星圣角17级</v>
          </cell>
          <cell r="B14158">
            <v>1402017</v>
          </cell>
        </row>
        <row r="14159">
          <cell r="A14159" t="str">
            <v>紫1星圣角18级</v>
          </cell>
          <cell r="B14159">
            <v>1402018</v>
          </cell>
        </row>
        <row r="14160">
          <cell r="A14160" t="str">
            <v>紫1星圣角19级</v>
          </cell>
          <cell r="B14160">
            <v>1402019</v>
          </cell>
        </row>
        <row r="14161">
          <cell r="A14161" t="str">
            <v>紫1星圣角20级</v>
          </cell>
          <cell r="B14161">
            <v>1402020</v>
          </cell>
        </row>
        <row r="14162">
          <cell r="A14162" t="str">
            <v>紫1星圣角21级</v>
          </cell>
          <cell r="B14162">
            <v>1402021</v>
          </cell>
        </row>
        <row r="14163">
          <cell r="A14163" t="str">
            <v>紫1星圣角22级</v>
          </cell>
          <cell r="B14163">
            <v>1402022</v>
          </cell>
        </row>
        <row r="14164">
          <cell r="A14164" t="str">
            <v>紫1星圣角23级</v>
          </cell>
          <cell r="B14164">
            <v>1402023</v>
          </cell>
        </row>
        <row r="14165">
          <cell r="A14165" t="str">
            <v>紫1星圣角24级</v>
          </cell>
          <cell r="B14165">
            <v>1402024</v>
          </cell>
        </row>
        <row r="14166">
          <cell r="A14166" t="str">
            <v>紫1星圣角25级</v>
          </cell>
          <cell r="B14166">
            <v>1402025</v>
          </cell>
        </row>
        <row r="14167">
          <cell r="A14167" t="str">
            <v>紫1星圣角26级</v>
          </cell>
          <cell r="B14167">
            <v>1402026</v>
          </cell>
        </row>
        <row r="14168">
          <cell r="A14168" t="str">
            <v>紫1星圣角27级</v>
          </cell>
          <cell r="B14168">
            <v>1402027</v>
          </cell>
        </row>
        <row r="14169">
          <cell r="A14169" t="str">
            <v>紫1星圣角28级</v>
          </cell>
          <cell r="B14169">
            <v>1402028</v>
          </cell>
        </row>
        <row r="14170">
          <cell r="A14170" t="str">
            <v>紫1星圣角29级</v>
          </cell>
          <cell r="B14170">
            <v>1402029</v>
          </cell>
        </row>
        <row r="14171">
          <cell r="A14171" t="str">
            <v>紫1星圣角30级</v>
          </cell>
          <cell r="B14171">
            <v>1402030</v>
          </cell>
        </row>
        <row r="14172">
          <cell r="A14172" t="str">
            <v>紫1星圣角31级</v>
          </cell>
          <cell r="B14172">
            <v>1402031</v>
          </cell>
        </row>
        <row r="14173">
          <cell r="A14173" t="str">
            <v>紫1星圣角32级</v>
          </cell>
          <cell r="B14173">
            <v>1402032</v>
          </cell>
        </row>
        <row r="14174">
          <cell r="A14174" t="str">
            <v>紫1星圣角33级</v>
          </cell>
          <cell r="B14174">
            <v>1402033</v>
          </cell>
        </row>
        <row r="14175">
          <cell r="A14175" t="str">
            <v>紫1星圣角34级</v>
          </cell>
          <cell r="B14175">
            <v>1402034</v>
          </cell>
        </row>
        <row r="14176">
          <cell r="A14176" t="str">
            <v>紫1星圣角35级</v>
          </cell>
          <cell r="B14176">
            <v>1402035</v>
          </cell>
        </row>
        <row r="14177">
          <cell r="A14177" t="str">
            <v>紫1星圣角36级</v>
          </cell>
          <cell r="B14177">
            <v>1402036</v>
          </cell>
        </row>
        <row r="14178">
          <cell r="A14178" t="str">
            <v>紫1星圣角37级</v>
          </cell>
          <cell r="B14178">
            <v>1402037</v>
          </cell>
        </row>
        <row r="14179">
          <cell r="A14179" t="str">
            <v>紫1星圣角38级</v>
          </cell>
          <cell r="B14179">
            <v>1402038</v>
          </cell>
        </row>
        <row r="14180">
          <cell r="A14180" t="str">
            <v>紫1星圣角39级</v>
          </cell>
          <cell r="B14180">
            <v>1402039</v>
          </cell>
        </row>
        <row r="14181">
          <cell r="A14181" t="str">
            <v>紫1星圣角40级</v>
          </cell>
          <cell r="B14181">
            <v>1402040</v>
          </cell>
        </row>
        <row r="14182">
          <cell r="A14182" t="str">
            <v>紫1星圣角41级</v>
          </cell>
          <cell r="B14182">
            <v>1402041</v>
          </cell>
        </row>
        <row r="14183">
          <cell r="A14183" t="str">
            <v>紫1星圣角42级</v>
          </cell>
          <cell r="B14183">
            <v>1402042</v>
          </cell>
        </row>
        <row r="14184">
          <cell r="A14184" t="str">
            <v>紫1星圣角43级</v>
          </cell>
          <cell r="B14184">
            <v>1402043</v>
          </cell>
        </row>
        <row r="14185">
          <cell r="A14185" t="str">
            <v>紫1星圣角44级</v>
          </cell>
          <cell r="B14185">
            <v>1402044</v>
          </cell>
        </row>
        <row r="14186">
          <cell r="A14186" t="str">
            <v>紫1星圣角45级</v>
          </cell>
          <cell r="B14186">
            <v>1402045</v>
          </cell>
        </row>
        <row r="14187">
          <cell r="A14187" t="str">
            <v>紫1星圣角46级</v>
          </cell>
          <cell r="B14187">
            <v>1402046</v>
          </cell>
        </row>
        <row r="14188">
          <cell r="A14188" t="str">
            <v>紫1星圣角47级</v>
          </cell>
          <cell r="B14188">
            <v>1402047</v>
          </cell>
        </row>
        <row r="14189">
          <cell r="A14189" t="str">
            <v>紫1星圣角48级</v>
          </cell>
          <cell r="B14189">
            <v>1402048</v>
          </cell>
        </row>
        <row r="14190">
          <cell r="A14190" t="str">
            <v>紫1星圣角49级</v>
          </cell>
          <cell r="B14190">
            <v>1402049</v>
          </cell>
        </row>
        <row r="14191">
          <cell r="A14191" t="str">
            <v>紫1星圣角50级</v>
          </cell>
          <cell r="B14191">
            <v>1402050</v>
          </cell>
        </row>
        <row r="14192">
          <cell r="A14192" t="str">
            <v>紫1星圣角51级</v>
          </cell>
          <cell r="B14192">
            <v>1402051</v>
          </cell>
        </row>
        <row r="14193">
          <cell r="A14193" t="str">
            <v>紫1星圣角52级</v>
          </cell>
          <cell r="B14193">
            <v>1402052</v>
          </cell>
        </row>
        <row r="14194">
          <cell r="A14194" t="str">
            <v>紫1星圣角53级</v>
          </cell>
          <cell r="B14194">
            <v>1402053</v>
          </cell>
        </row>
        <row r="14195">
          <cell r="A14195" t="str">
            <v>紫1星圣角54级</v>
          </cell>
          <cell r="B14195">
            <v>1402054</v>
          </cell>
        </row>
        <row r="14196">
          <cell r="A14196" t="str">
            <v>紫1星圣角55级</v>
          </cell>
          <cell r="B14196">
            <v>1402055</v>
          </cell>
        </row>
        <row r="14197">
          <cell r="A14197" t="str">
            <v>紫1星圣角56级</v>
          </cell>
          <cell r="B14197">
            <v>1402056</v>
          </cell>
        </row>
        <row r="14198">
          <cell r="A14198" t="str">
            <v>紫1星圣角57级</v>
          </cell>
          <cell r="B14198">
            <v>1402057</v>
          </cell>
        </row>
        <row r="14199">
          <cell r="A14199" t="str">
            <v>紫1星圣角58级</v>
          </cell>
          <cell r="B14199">
            <v>1402058</v>
          </cell>
        </row>
        <row r="14200">
          <cell r="A14200" t="str">
            <v>紫1星圣角59级</v>
          </cell>
          <cell r="B14200">
            <v>1402059</v>
          </cell>
        </row>
        <row r="14201">
          <cell r="A14201" t="str">
            <v>紫1星圣角60级</v>
          </cell>
          <cell r="B14201">
            <v>1402060</v>
          </cell>
        </row>
        <row r="14202">
          <cell r="A14202" t="str">
            <v>紫1星圣角61级</v>
          </cell>
          <cell r="B14202">
            <v>1402061</v>
          </cell>
        </row>
        <row r="14203">
          <cell r="A14203" t="str">
            <v>紫1星圣角62级</v>
          </cell>
          <cell r="B14203">
            <v>1402062</v>
          </cell>
        </row>
        <row r="14204">
          <cell r="A14204" t="str">
            <v>紫1星圣角63级</v>
          </cell>
          <cell r="B14204">
            <v>1402063</v>
          </cell>
        </row>
        <row r="14205">
          <cell r="A14205" t="str">
            <v>紫1星圣角64级</v>
          </cell>
          <cell r="B14205">
            <v>1402064</v>
          </cell>
        </row>
        <row r="14206">
          <cell r="A14206" t="str">
            <v>紫1星圣角65级</v>
          </cell>
          <cell r="B14206">
            <v>1402065</v>
          </cell>
        </row>
        <row r="14207">
          <cell r="A14207" t="str">
            <v>紫1星圣角66级</v>
          </cell>
          <cell r="B14207">
            <v>1402066</v>
          </cell>
        </row>
        <row r="14208">
          <cell r="A14208" t="str">
            <v>紫1星圣角67级</v>
          </cell>
          <cell r="B14208">
            <v>1402067</v>
          </cell>
        </row>
        <row r="14209">
          <cell r="A14209" t="str">
            <v>紫1星圣角68级</v>
          </cell>
          <cell r="B14209">
            <v>1402068</v>
          </cell>
        </row>
        <row r="14210">
          <cell r="A14210" t="str">
            <v>紫1星圣角69级</v>
          </cell>
          <cell r="B14210">
            <v>1402069</v>
          </cell>
        </row>
        <row r="14211">
          <cell r="A14211" t="str">
            <v>紫1星圣角70级</v>
          </cell>
          <cell r="B14211">
            <v>1402070</v>
          </cell>
        </row>
        <row r="14212">
          <cell r="A14212" t="str">
            <v>紫1星圣角71级</v>
          </cell>
          <cell r="B14212">
            <v>1402071</v>
          </cell>
        </row>
        <row r="14213">
          <cell r="A14213" t="str">
            <v>紫1星圣角72级</v>
          </cell>
          <cell r="B14213">
            <v>1402072</v>
          </cell>
        </row>
        <row r="14214">
          <cell r="A14214" t="str">
            <v>紫1星圣角73级</v>
          </cell>
          <cell r="B14214">
            <v>1402073</v>
          </cell>
        </row>
        <row r="14215">
          <cell r="A14215" t="str">
            <v>紫1星圣角74级</v>
          </cell>
          <cell r="B14215">
            <v>1402074</v>
          </cell>
        </row>
        <row r="14216">
          <cell r="A14216" t="str">
            <v>紫1星圣角75级</v>
          </cell>
          <cell r="B14216">
            <v>1402075</v>
          </cell>
        </row>
        <row r="14217">
          <cell r="A14217" t="str">
            <v>紫1星圣角76级</v>
          </cell>
          <cell r="B14217">
            <v>1402076</v>
          </cell>
        </row>
        <row r="14218">
          <cell r="A14218" t="str">
            <v>紫1星圣角77级</v>
          </cell>
          <cell r="B14218">
            <v>1402077</v>
          </cell>
        </row>
        <row r="14219">
          <cell r="A14219" t="str">
            <v>紫1星圣角78级</v>
          </cell>
          <cell r="B14219">
            <v>1402078</v>
          </cell>
        </row>
        <row r="14220">
          <cell r="A14220" t="str">
            <v>紫1星圣角79级</v>
          </cell>
          <cell r="B14220">
            <v>1402079</v>
          </cell>
        </row>
        <row r="14221">
          <cell r="A14221" t="str">
            <v>紫1星圣角80级</v>
          </cell>
          <cell r="B14221">
            <v>1402080</v>
          </cell>
        </row>
        <row r="14222">
          <cell r="A14222" t="str">
            <v>紫1星圣角81级</v>
          </cell>
          <cell r="B14222">
            <v>1402081</v>
          </cell>
        </row>
        <row r="14223">
          <cell r="A14223" t="str">
            <v>紫1星圣角82级</v>
          </cell>
          <cell r="B14223">
            <v>1402082</v>
          </cell>
        </row>
        <row r="14224">
          <cell r="A14224" t="str">
            <v>紫1星圣角83级</v>
          </cell>
          <cell r="B14224">
            <v>1402083</v>
          </cell>
        </row>
        <row r="14225">
          <cell r="A14225" t="str">
            <v>紫1星圣角84级</v>
          </cell>
          <cell r="B14225">
            <v>1402084</v>
          </cell>
        </row>
        <row r="14226">
          <cell r="A14226" t="str">
            <v>紫1星圣角85级</v>
          </cell>
          <cell r="B14226">
            <v>1402085</v>
          </cell>
        </row>
        <row r="14227">
          <cell r="A14227" t="str">
            <v>紫1星圣角86级</v>
          </cell>
          <cell r="B14227">
            <v>1402086</v>
          </cell>
        </row>
        <row r="14228">
          <cell r="A14228" t="str">
            <v>紫1星圣角87级</v>
          </cell>
          <cell r="B14228">
            <v>1402087</v>
          </cell>
        </row>
        <row r="14229">
          <cell r="A14229" t="str">
            <v>紫1星圣角88级</v>
          </cell>
          <cell r="B14229">
            <v>1402088</v>
          </cell>
        </row>
        <row r="14230">
          <cell r="A14230" t="str">
            <v>紫1星圣角89级</v>
          </cell>
          <cell r="B14230">
            <v>1402089</v>
          </cell>
        </row>
        <row r="14231">
          <cell r="A14231" t="str">
            <v>紫1星圣角90级</v>
          </cell>
          <cell r="B14231">
            <v>1402090</v>
          </cell>
        </row>
        <row r="14232">
          <cell r="A14232" t="str">
            <v>紫1星圣角91级</v>
          </cell>
          <cell r="B14232">
            <v>1402091</v>
          </cell>
        </row>
        <row r="14233">
          <cell r="A14233" t="str">
            <v>紫1星圣角92级</v>
          </cell>
          <cell r="B14233">
            <v>1402092</v>
          </cell>
        </row>
        <row r="14234">
          <cell r="A14234" t="str">
            <v>紫1星圣角93级</v>
          </cell>
          <cell r="B14234">
            <v>1402093</v>
          </cell>
        </row>
        <row r="14235">
          <cell r="A14235" t="str">
            <v>紫1星圣角94级</v>
          </cell>
          <cell r="B14235">
            <v>1402094</v>
          </cell>
        </row>
        <row r="14236">
          <cell r="A14236" t="str">
            <v>紫1星圣角95级</v>
          </cell>
          <cell r="B14236">
            <v>1402095</v>
          </cell>
        </row>
        <row r="14237">
          <cell r="A14237" t="str">
            <v>紫1星圣角96级</v>
          </cell>
          <cell r="B14237">
            <v>1402096</v>
          </cell>
        </row>
        <row r="14238">
          <cell r="A14238" t="str">
            <v>紫1星圣角97级</v>
          </cell>
          <cell r="B14238">
            <v>1402097</v>
          </cell>
        </row>
        <row r="14239">
          <cell r="A14239" t="str">
            <v>紫1星圣角98级</v>
          </cell>
          <cell r="B14239">
            <v>1402098</v>
          </cell>
        </row>
        <row r="14240">
          <cell r="A14240" t="str">
            <v>紫1星圣角99级</v>
          </cell>
          <cell r="B14240">
            <v>1402099</v>
          </cell>
        </row>
        <row r="14241">
          <cell r="A14241" t="str">
            <v>紫1星圣角100级</v>
          </cell>
          <cell r="B14241">
            <v>1402100</v>
          </cell>
        </row>
        <row r="14242">
          <cell r="A14242" t="str">
            <v>紫2星圣角1级</v>
          </cell>
          <cell r="B14242">
            <v>1403001</v>
          </cell>
        </row>
        <row r="14243">
          <cell r="A14243" t="str">
            <v>紫2星圣角2级</v>
          </cell>
          <cell r="B14243">
            <v>1403002</v>
          </cell>
        </row>
        <row r="14244">
          <cell r="A14244" t="str">
            <v>紫2星圣角3级</v>
          </cell>
          <cell r="B14244">
            <v>1403003</v>
          </cell>
        </row>
        <row r="14245">
          <cell r="A14245" t="str">
            <v>紫2星圣角4级</v>
          </cell>
          <cell r="B14245">
            <v>1403004</v>
          </cell>
        </row>
        <row r="14246">
          <cell r="A14246" t="str">
            <v>紫2星圣角5级</v>
          </cell>
          <cell r="B14246">
            <v>1403005</v>
          </cell>
        </row>
        <row r="14247">
          <cell r="A14247" t="str">
            <v>紫2星圣角6级</v>
          </cell>
          <cell r="B14247">
            <v>1403006</v>
          </cell>
        </row>
        <row r="14248">
          <cell r="A14248" t="str">
            <v>紫2星圣角7级</v>
          </cell>
          <cell r="B14248">
            <v>1403007</v>
          </cell>
        </row>
        <row r="14249">
          <cell r="A14249" t="str">
            <v>紫2星圣角8级</v>
          </cell>
          <cell r="B14249">
            <v>1403008</v>
          </cell>
        </row>
        <row r="14250">
          <cell r="A14250" t="str">
            <v>紫2星圣角9级</v>
          </cell>
          <cell r="B14250">
            <v>1403009</v>
          </cell>
        </row>
        <row r="14251">
          <cell r="A14251" t="str">
            <v>紫2星圣角10级</v>
          </cell>
          <cell r="B14251">
            <v>1403010</v>
          </cell>
        </row>
        <row r="14252">
          <cell r="A14252" t="str">
            <v>紫2星圣角11级</v>
          </cell>
          <cell r="B14252">
            <v>1403011</v>
          </cell>
        </row>
        <row r="14253">
          <cell r="A14253" t="str">
            <v>紫2星圣角12级</v>
          </cell>
          <cell r="B14253">
            <v>1403012</v>
          </cell>
        </row>
        <row r="14254">
          <cell r="A14254" t="str">
            <v>紫2星圣角13级</v>
          </cell>
          <cell r="B14254">
            <v>1403013</v>
          </cell>
        </row>
        <row r="14255">
          <cell r="A14255" t="str">
            <v>紫2星圣角14级</v>
          </cell>
          <cell r="B14255">
            <v>1403014</v>
          </cell>
        </row>
        <row r="14256">
          <cell r="A14256" t="str">
            <v>紫2星圣角15级</v>
          </cell>
          <cell r="B14256">
            <v>1403015</v>
          </cell>
        </row>
        <row r="14257">
          <cell r="A14257" t="str">
            <v>紫2星圣角16级</v>
          </cell>
          <cell r="B14257">
            <v>1403016</v>
          </cell>
        </row>
        <row r="14258">
          <cell r="A14258" t="str">
            <v>紫2星圣角17级</v>
          </cell>
          <cell r="B14258">
            <v>1403017</v>
          </cell>
        </row>
        <row r="14259">
          <cell r="A14259" t="str">
            <v>紫2星圣角18级</v>
          </cell>
          <cell r="B14259">
            <v>1403018</v>
          </cell>
        </row>
        <row r="14260">
          <cell r="A14260" t="str">
            <v>紫2星圣角19级</v>
          </cell>
          <cell r="B14260">
            <v>1403019</v>
          </cell>
        </row>
        <row r="14261">
          <cell r="A14261" t="str">
            <v>紫2星圣角20级</v>
          </cell>
          <cell r="B14261">
            <v>1403020</v>
          </cell>
        </row>
        <row r="14262">
          <cell r="A14262" t="str">
            <v>紫2星圣角21级</v>
          </cell>
          <cell r="B14262">
            <v>1403021</v>
          </cell>
        </row>
        <row r="14263">
          <cell r="A14263" t="str">
            <v>紫2星圣角22级</v>
          </cell>
          <cell r="B14263">
            <v>1403022</v>
          </cell>
        </row>
        <row r="14264">
          <cell r="A14264" t="str">
            <v>紫2星圣角23级</v>
          </cell>
          <cell r="B14264">
            <v>1403023</v>
          </cell>
        </row>
        <row r="14265">
          <cell r="A14265" t="str">
            <v>紫2星圣角24级</v>
          </cell>
          <cell r="B14265">
            <v>1403024</v>
          </cell>
        </row>
        <row r="14266">
          <cell r="A14266" t="str">
            <v>紫2星圣角25级</v>
          </cell>
          <cell r="B14266">
            <v>1403025</v>
          </cell>
        </row>
        <row r="14267">
          <cell r="A14267" t="str">
            <v>紫2星圣角26级</v>
          </cell>
          <cell r="B14267">
            <v>1403026</v>
          </cell>
        </row>
        <row r="14268">
          <cell r="A14268" t="str">
            <v>紫2星圣角27级</v>
          </cell>
          <cell r="B14268">
            <v>1403027</v>
          </cell>
        </row>
        <row r="14269">
          <cell r="A14269" t="str">
            <v>紫2星圣角28级</v>
          </cell>
          <cell r="B14269">
            <v>1403028</v>
          </cell>
        </row>
        <row r="14270">
          <cell r="A14270" t="str">
            <v>紫2星圣角29级</v>
          </cell>
          <cell r="B14270">
            <v>1403029</v>
          </cell>
        </row>
        <row r="14271">
          <cell r="A14271" t="str">
            <v>紫2星圣角30级</v>
          </cell>
          <cell r="B14271">
            <v>1403030</v>
          </cell>
        </row>
        <row r="14272">
          <cell r="A14272" t="str">
            <v>紫2星圣角31级</v>
          </cell>
          <cell r="B14272">
            <v>1403031</v>
          </cell>
        </row>
        <row r="14273">
          <cell r="A14273" t="str">
            <v>紫2星圣角32级</v>
          </cell>
          <cell r="B14273">
            <v>1403032</v>
          </cell>
        </row>
        <row r="14274">
          <cell r="A14274" t="str">
            <v>紫2星圣角33级</v>
          </cell>
          <cell r="B14274">
            <v>1403033</v>
          </cell>
        </row>
        <row r="14275">
          <cell r="A14275" t="str">
            <v>紫2星圣角34级</v>
          </cell>
          <cell r="B14275">
            <v>1403034</v>
          </cell>
        </row>
        <row r="14276">
          <cell r="A14276" t="str">
            <v>紫2星圣角35级</v>
          </cell>
          <cell r="B14276">
            <v>1403035</v>
          </cell>
        </row>
        <row r="14277">
          <cell r="A14277" t="str">
            <v>紫2星圣角36级</v>
          </cell>
          <cell r="B14277">
            <v>1403036</v>
          </cell>
        </row>
        <row r="14278">
          <cell r="A14278" t="str">
            <v>紫2星圣角37级</v>
          </cell>
          <cell r="B14278">
            <v>1403037</v>
          </cell>
        </row>
        <row r="14279">
          <cell r="A14279" t="str">
            <v>紫2星圣角38级</v>
          </cell>
          <cell r="B14279">
            <v>1403038</v>
          </cell>
        </row>
        <row r="14280">
          <cell r="A14280" t="str">
            <v>紫2星圣角39级</v>
          </cell>
          <cell r="B14280">
            <v>1403039</v>
          </cell>
        </row>
        <row r="14281">
          <cell r="A14281" t="str">
            <v>紫2星圣角40级</v>
          </cell>
          <cell r="B14281">
            <v>1403040</v>
          </cell>
        </row>
        <row r="14282">
          <cell r="A14282" t="str">
            <v>紫2星圣角41级</v>
          </cell>
          <cell r="B14282">
            <v>1403041</v>
          </cell>
        </row>
        <row r="14283">
          <cell r="A14283" t="str">
            <v>紫2星圣角42级</v>
          </cell>
          <cell r="B14283">
            <v>1403042</v>
          </cell>
        </row>
        <row r="14284">
          <cell r="A14284" t="str">
            <v>紫2星圣角43级</v>
          </cell>
          <cell r="B14284">
            <v>1403043</v>
          </cell>
        </row>
        <row r="14285">
          <cell r="A14285" t="str">
            <v>紫2星圣角44级</v>
          </cell>
          <cell r="B14285">
            <v>1403044</v>
          </cell>
        </row>
        <row r="14286">
          <cell r="A14286" t="str">
            <v>紫2星圣角45级</v>
          </cell>
          <cell r="B14286">
            <v>1403045</v>
          </cell>
        </row>
        <row r="14287">
          <cell r="A14287" t="str">
            <v>紫2星圣角46级</v>
          </cell>
          <cell r="B14287">
            <v>1403046</v>
          </cell>
        </row>
        <row r="14288">
          <cell r="A14288" t="str">
            <v>紫2星圣角47级</v>
          </cell>
          <cell r="B14288">
            <v>1403047</v>
          </cell>
        </row>
        <row r="14289">
          <cell r="A14289" t="str">
            <v>紫2星圣角48级</v>
          </cell>
          <cell r="B14289">
            <v>1403048</v>
          </cell>
        </row>
        <row r="14290">
          <cell r="A14290" t="str">
            <v>紫2星圣角49级</v>
          </cell>
          <cell r="B14290">
            <v>1403049</v>
          </cell>
        </row>
        <row r="14291">
          <cell r="A14291" t="str">
            <v>紫2星圣角50级</v>
          </cell>
          <cell r="B14291">
            <v>1403050</v>
          </cell>
        </row>
        <row r="14292">
          <cell r="A14292" t="str">
            <v>紫2星圣角51级</v>
          </cell>
          <cell r="B14292">
            <v>1403051</v>
          </cell>
        </row>
        <row r="14293">
          <cell r="A14293" t="str">
            <v>紫2星圣角52级</v>
          </cell>
          <cell r="B14293">
            <v>1403052</v>
          </cell>
        </row>
        <row r="14294">
          <cell r="A14294" t="str">
            <v>紫2星圣角53级</v>
          </cell>
          <cell r="B14294">
            <v>1403053</v>
          </cell>
        </row>
        <row r="14295">
          <cell r="A14295" t="str">
            <v>紫2星圣角54级</v>
          </cell>
          <cell r="B14295">
            <v>1403054</v>
          </cell>
        </row>
        <row r="14296">
          <cell r="A14296" t="str">
            <v>紫2星圣角55级</v>
          </cell>
          <cell r="B14296">
            <v>1403055</v>
          </cell>
        </row>
        <row r="14297">
          <cell r="A14297" t="str">
            <v>紫2星圣角56级</v>
          </cell>
          <cell r="B14297">
            <v>1403056</v>
          </cell>
        </row>
        <row r="14298">
          <cell r="A14298" t="str">
            <v>紫2星圣角57级</v>
          </cell>
          <cell r="B14298">
            <v>1403057</v>
          </cell>
        </row>
        <row r="14299">
          <cell r="A14299" t="str">
            <v>紫2星圣角58级</v>
          </cell>
          <cell r="B14299">
            <v>1403058</v>
          </cell>
        </row>
        <row r="14300">
          <cell r="A14300" t="str">
            <v>紫2星圣角59级</v>
          </cell>
          <cell r="B14300">
            <v>1403059</v>
          </cell>
        </row>
        <row r="14301">
          <cell r="A14301" t="str">
            <v>紫2星圣角60级</v>
          </cell>
          <cell r="B14301">
            <v>1403060</v>
          </cell>
        </row>
        <row r="14302">
          <cell r="A14302" t="str">
            <v>紫2星圣角61级</v>
          </cell>
          <cell r="B14302">
            <v>1403061</v>
          </cell>
        </row>
        <row r="14303">
          <cell r="A14303" t="str">
            <v>紫2星圣角62级</v>
          </cell>
          <cell r="B14303">
            <v>1403062</v>
          </cell>
        </row>
        <row r="14304">
          <cell r="A14304" t="str">
            <v>紫2星圣角63级</v>
          </cell>
          <cell r="B14304">
            <v>1403063</v>
          </cell>
        </row>
        <row r="14305">
          <cell r="A14305" t="str">
            <v>紫2星圣角64级</v>
          </cell>
          <cell r="B14305">
            <v>1403064</v>
          </cell>
        </row>
        <row r="14306">
          <cell r="A14306" t="str">
            <v>紫2星圣角65级</v>
          </cell>
          <cell r="B14306">
            <v>1403065</v>
          </cell>
        </row>
        <row r="14307">
          <cell r="A14307" t="str">
            <v>紫2星圣角66级</v>
          </cell>
          <cell r="B14307">
            <v>1403066</v>
          </cell>
        </row>
        <row r="14308">
          <cell r="A14308" t="str">
            <v>紫2星圣角67级</v>
          </cell>
          <cell r="B14308">
            <v>1403067</v>
          </cell>
        </row>
        <row r="14309">
          <cell r="A14309" t="str">
            <v>紫2星圣角68级</v>
          </cell>
          <cell r="B14309">
            <v>1403068</v>
          </cell>
        </row>
        <row r="14310">
          <cell r="A14310" t="str">
            <v>紫2星圣角69级</v>
          </cell>
          <cell r="B14310">
            <v>1403069</v>
          </cell>
        </row>
        <row r="14311">
          <cell r="A14311" t="str">
            <v>紫2星圣角70级</v>
          </cell>
          <cell r="B14311">
            <v>1403070</v>
          </cell>
        </row>
        <row r="14312">
          <cell r="A14312" t="str">
            <v>紫2星圣角71级</v>
          </cell>
          <cell r="B14312">
            <v>1403071</v>
          </cell>
        </row>
        <row r="14313">
          <cell r="A14313" t="str">
            <v>紫2星圣角72级</v>
          </cell>
          <cell r="B14313">
            <v>1403072</v>
          </cell>
        </row>
        <row r="14314">
          <cell r="A14314" t="str">
            <v>紫2星圣角73级</v>
          </cell>
          <cell r="B14314">
            <v>1403073</v>
          </cell>
        </row>
        <row r="14315">
          <cell r="A14315" t="str">
            <v>紫2星圣角74级</v>
          </cell>
          <cell r="B14315">
            <v>1403074</v>
          </cell>
        </row>
        <row r="14316">
          <cell r="A14316" t="str">
            <v>紫2星圣角75级</v>
          </cell>
          <cell r="B14316">
            <v>1403075</v>
          </cell>
        </row>
        <row r="14317">
          <cell r="A14317" t="str">
            <v>紫2星圣角76级</v>
          </cell>
          <cell r="B14317">
            <v>1403076</v>
          </cell>
        </row>
        <row r="14318">
          <cell r="A14318" t="str">
            <v>紫2星圣角77级</v>
          </cell>
          <cell r="B14318">
            <v>1403077</v>
          </cell>
        </row>
        <row r="14319">
          <cell r="A14319" t="str">
            <v>紫2星圣角78级</v>
          </cell>
          <cell r="B14319">
            <v>1403078</v>
          </cell>
        </row>
        <row r="14320">
          <cell r="A14320" t="str">
            <v>紫2星圣角79级</v>
          </cell>
          <cell r="B14320">
            <v>1403079</v>
          </cell>
        </row>
        <row r="14321">
          <cell r="A14321" t="str">
            <v>紫2星圣角80级</v>
          </cell>
          <cell r="B14321">
            <v>1403080</v>
          </cell>
        </row>
        <row r="14322">
          <cell r="A14322" t="str">
            <v>紫2星圣角81级</v>
          </cell>
          <cell r="B14322">
            <v>1403081</v>
          </cell>
        </row>
        <row r="14323">
          <cell r="A14323" t="str">
            <v>紫2星圣角82级</v>
          </cell>
          <cell r="B14323">
            <v>1403082</v>
          </cell>
        </row>
        <row r="14324">
          <cell r="A14324" t="str">
            <v>紫2星圣角83级</v>
          </cell>
          <cell r="B14324">
            <v>1403083</v>
          </cell>
        </row>
        <row r="14325">
          <cell r="A14325" t="str">
            <v>紫2星圣角84级</v>
          </cell>
          <cell r="B14325">
            <v>1403084</v>
          </cell>
        </row>
        <row r="14326">
          <cell r="A14326" t="str">
            <v>紫2星圣角85级</v>
          </cell>
          <cell r="B14326">
            <v>1403085</v>
          </cell>
        </row>
        <row r="14327">
          <cell r="A14327" t="str">
            <v>紫2星圣角86级</v>
          </cell>
          <cell r="B14327">
            <v>1403086</v>
          </cell>
        </row>
        <row r="14328">
          <cell r="A14328" t="str">
            <v>紫2星圣角87级</v>
          </cell>
          <cell r="B14328">
            <v>1403087</v>
          </cell>
        </row>
        <row r="14329">
          <cell r="A14329" t="str">
            <v>紫2星圣角88级</v>
          </cell>
          <cell r="B14329">
            <v>1403088</v>
          </cell>
        </row>
        <row r="14330">
          <cell r="A14330" t="str">
            <v>紫2星圣角89级</v>
          </cell>
          <cell r="B14330">
            <v>1403089</v>
          </cell>
        </row>
        <row r="14331">
          <cell r="A14331" t="str">
            <v>紫2星圣角90级</v>
          </cell>
          <cell r="B14331">
            <v>1403090</v>
          </cell>
        </row>
        <row r="14332">
          <cell r="A14332" t="str">
            <v>紫2星圣角91级</v>
          </cell>
          <cell r="B14332">
            <v>1403091</v>
          </cell>
        </row>
        <row r="14333">
          <cell r="A14333" t="str">
            <v>紫2星圣角92级</v>
          </cell>
          <cell r="B14333">
            <v>1403092</v>
          </cell>
        </row>
        <row r="14334">
          <cell r="A14334" t="str">
            <v>紫2星圣角93级</v>
          </cell>
          <cell r="B14334">
            <v>1403093</v>
          </cell>
        </row>
        <row r="14335">
          <cell r="A14335" t="str">
            <v>紫2星圣角94级</v>
          </cell>
          <cell r="B14335">
            <v>1403094</v>
          </cell>
        </row>
        <row r="14336">
          <cell r="A14336" t="str">
            <v>紫2星圣角95级</v>
          </cell>
          <cell r="B14336">
            <v>1403095</v>
          </cell>
        </row>
        <row r="14337">
          <cell r="A14337" t="str">
            <v>紫2星圣角96级</v>
          </cell>
          <cell r="B14337">
            <v>1403096</v>
          </cell>
        </row>
        <row r="14338">
          <cell r="A14338" t="str">
            <v>紫2星圣角97级</v>
          </cell>
          <cell r="B14338">
            <v>1403097</v>
          </cell>
        </row>
        <row r="14339">
          <cell r="A14339" t="str">
            <v>紫2星圣角98级</v>
          </cell>
          <cell r="B14339">
            <v>1403098</v>
          </cell>
        </row>
        <row r="14340">
          <cell r="A14340" t="str">
            <v>紫2星圣角99级</v>
          </cell>
          <cell r="B14340">
            <v>1403099</v>
          </cell>
        </row>
        <row r="14341">
          <cell r="A14341" t="str">
            <v>紫2星圣角100级</v>
          </cell>
          <cell r="B14341">
            <v>1403100</v>
          </cell>
        </row>
        <row r="14342">
          <cell r="A14342" t="str">
            <v>紫3星圣角1级</v>
          </cell>
          <cell r="B14342">
            <v>1404001</v>
          </cell>
        </row>
        <row r="14343">
          <cell r="A14343" t="str">
            <v>紫3星圣角2级</v>
          </cell>
          <cell r="B14343">
            <v>1404002</v>
          </cell>
        </row>
        <row r="14344">
          <cell r="A14344" t="str">
            <v>紫3星圣角3级</v>
          </cell>
          <cell r="B14344">
            <v>1404003</v>
          </cell>
        </row>
        <row r="14345">
          <cell r="A14345" t="str">
            <v>紫3星圣角4级</v>
          </cell>
          <cell r="B14345">
            <v>1404004</v>
          </cell>
        </row>
        <row r="14346">
          <cell r="A14346" t="str">
            <v>紫3星圣角5级</v>
          </cell>
          <cell r="B14346">
            <v>1404005</v>
          </cell>
        </row>
        <row r="14347">
          <cell r="A14347" t="str">
            <v>紫3星圣角6级</v>
          </cell>
          <cell r="B14347">
            <v>1404006</v>
          </cell>
        </row>
        <row r="14348">
          <cell r="A14348" t="str">
            <v>紫3星圣角7级</v>
          </cell>
          <cell r="B14348">
            <v>1404007</v>
          </cell>
        </row>
        <row r="14349">
          <cell r="A14349" t="str">
            <v>紫3星圣角8级</v>
          </cell>
          <cell r="B14349">
            <v>1404008</v>
          </cell>
        </row>
        <row r="14350">
          <cell r="A14350" t="str">
            <v>紫3星圣角9级</v>
          </cell>
          <cell r="B14350">
            <v>1404009</v>
          </cell>
        </row>
        <row r="14351">
          <cell r="A14351" t="str">
            <v>紫3星圣角10级</v>
          </cell>
          <cell r="B14351">
            <v>1404010</v>
          </cell>
        </row>
        <row r="14352">
          <cell r="A14352" t="str">
            <v>紫3星圣角11级</v>
          </cell>
          <cell r="B14352">
            <v>1404011</v>
          </cell>
        </row>
        <row r="14353">
          <cell r="A14353" t="str">
            <v>紫3星圣角12级</v>
          </cell>
          <cell r="B14353">
            <v>1404012</v>
          </cell>
        </row>
        <row r="14354">
          <cell r="A14354" t="str">
            <v>紫3星圣角13级</v>
          </cell>
          <cell r="B14354">
            <v>1404013</v>
          </cell>
        </row>
        <row r="14355">
          <cell r="A14355" t="str">
            <v>紫3星圣角14级</v>
          </cell>
          <cell r="B14355">
            <v>1404014</v>
          </cell>
        </row>
        <row r="14356">
          <cell r="A14356" t="str">
            <v>紫3星圣角15级</v>
          </cell>
          <cell r="B14356">
            <v>1404015</v>
          </cell>
        </row>
        <row r="14357">
          <cell r="A14357" t="str">
            <v>紫3星圣角16级</v>
          </cell>
          <cell r="B14357">
            <v>1404016</v>
          </cell>
        </row>
        <row r="14358">
          <cell r="A14358" t="str">
            <v>紫3星圣角17级</v>
          </cell>
          <cell r="B14358">
            <v>1404017</v>
          </cell>
        </row>
        <row r="14359">
          <cell r="A14359" t="str">
            <v>紫3星圣角18级</v>
          </cell>
          <cell r="B14359">
            <v>1404018</v>
          </cell>
        </row>
        <row r="14360">
          <cell r="A14360" t="str">
            <v>紫3星圣角19级</v>
          </cell>
          <cell r="B14360">
            <v>1404019</v>
          </cell>
        </row>
        <row r="14361">
          <cell r="A14361" t="str">
            <v>紫3星圣角20级</v>
          </cell>
          <cell r="B14361">
            <v>1404020</v>
          </cell>
        </row>
        <row r="14362">
          <cell r="A14362" t="str">
            <v>紫3星圣角21级</v>
          </cell>
          <cell r="B14362">
            <v>1404021</v>
          </cell>
        </row>
        <row r="14363">
          <cell r="A14363" t="str">
            <v>紫3星圣角22级</v>
          </cell>
          <cell r="B14363">
            <v>1404022</v>
          </cell>
        </row>
        <row r="14364">
          <cell r="A14364" t="str">
            <v>紫3星圣角23级</v>
          </cell>
          <cell r="B14364">
            <v>1404023</v>
          </cell>
        </row>
        <row r="14365">
          <cell r="A14365" t="str">
            <v>紫3星圣角24级</v>
          </cell>
          <cell r="B14365">
            <v>1404024</v>
          </cell>
        </row>
        <row r="14366">
          <cell r="A14366" t="str">
            <v>紫3星圣角25级</v>
          </cell>
          <cell r="B14366">
            <v>1404025</v>
          </cell>
        </row>
        <row r="14367">
          <cell r="A14367" t="str">
            <v>紫3星圣角26级</v>
          </cell>
          <cell r="B14367">
            <v>1404026</v>
          </cell>
        </row>
        <row r="14368">
          <cell r="A14368" t="str">
            <v>紫3星圣角27级</v>
          </cell>
          <cell r="B14368">
            <v>1404027</v>
          </cell>
        </row>
        <row r="14369">
          <cell r="A14369" t="str">
            <v>紫3星圣角28级</v>
          </cell>
          <cell r="B14369">
            <v>1404028</v>
          </cell>
        </row>
        <row r="14370">
          <cell r="A14370" t="str">
            <v>紫3星圣角29级</v>
          </cell>
          <cell r="B14370">
            <v>1404029</v>
          </cell>
        </row>
        <row r="14371">
          <cell r="A14371" t="str">
            <v>紫3星圣角30级</v>
          </cell>
          <cell r="B14371">
            <v>1404030</v>
          </cell>
        </row>
        <row r="14372">
          <cell r="A14372" t="str">
            <v>紫3星圣角31级</v>
          </cell>
          <cell r="B14372">
            <v>1404031</v>
          </cell>
        </row>
        <row r="14373">
          <cell r="A14373" t="str">
            <v>紫3星圣角32级</v>
          </cell>
          <cell r="B14373">
            <v>1404032</v>
          </cell>
        </row>
        <row r="14374">
          <cell r="A14374" t="str">
            <v>紫3星圣角33级</v>
          </cell>
          <cell r="B14374">
            <v>1404033</v>
          </cell>
        </row>
        <row r="14375">
          <cell r="A14375" t="str">
            <v>紫3星圣角34级</v>
          </cell>
          <cell r="B14375">
            <v>1404034</v>
          </cell>
        </row>
        <row r="14376">
          <cell r="A14376" t="str">
            <v>紫3星圣角35级</v>
          </cell>
          <cell r="B14376">
            <v>1404035</v>
          </cell>
        </row>
        <row r="14377">
          <cell r="A14377" t="str">
            <v>紫3星圣角36级</v>
          </cell>
          <cell r="B14377">
            <v>1404036</v>
          </cell>
        </row>
        <row r="14378">
          <cell r="A14378" t="str">
            <v>紫3星圣角37级</v>
          </cell>
          <cell r="B14378">
            <v>1404037</v>
          </cell>
        </row>
        <row r="14379">
          <cell r="A14379" t="str">
            <v>紫3星圣角38级</v>
          </cell>
          <cell r="B14379">
            <v>1404038</v>
          </cell>
        </row>
        <row r="14380">
          <cell r="A14380" t="str">
            <v>紫3星圣角39级</v>
          </cell>
          <cell r="B14380">
            <v>1404039</v>
          </cell>
        </row>
        <row r="14381">
          <cell r="A14381" t="str">
            <v>紫3星圣角40级</v>
          </cell>
          <cell r="B14381">
            <v>1404040</v>
          </cell>
        </row>
        <row r="14382">
          <cell r="A14382" t="str">
            <v>紫3星圣角41级</v>
          </cell>
          <cell r="B14382">
            <v>1404041</v>
          </cell>
        </row>
        <row r="14383">
          <cell r="A14383" t="str">
            <v>紫3星圣角42级</v>
          </cell>
          <cell r="B14383">
            <v>1404042</v>
          </cell>
        </row>
        <row r="14384">
          <cell r="A14384" t="str">
            <v>紫3星圣角43级</v>
          </cell>
          <cell r="B14384">
            <v>1404043</v>
          </cell>
        </row>
        <row r="14385">
          <cell r="A14385" t="str">
            <v>紫3星圣角44级</v>
          </cell>
          <cell r="B14385">
            <v>1404044</v>
          </cell>
        </row>
        <row r="14386">
          <cell r="A14386" t="str">
            <v>紫3星圣角45级</v>
          </cell>
          <cell r="B14386">
            <v>1404045</v>
          </cell>
        </row>
        <row r="14387">
          <cell r="A14387" t="str">
            <v>紫3星圣角46级</v>
          </cell>
          <cell r="B14387">
            <v>1404046</v>
          </cell>
        </row>
        <row r="14388">
          <cell r="A14388" t="str">
            <v>紫3星圣角47级</v>
          </cell>
          <cell r="B14388">
            <v>1404047</v>
          </cell>
        </row>
        <row r="14389">
          <cell r="A14389" t="str">
            <v>紫3星圣角48级</v>
          </cell>
          <cell r="B14389">
            <v>1404048</v>
          </cell>
        </row>
        <row r="14390">
          <cell r="A14390" t="str">
            <v>紫3星圣角49级</v>
          </cell>
          <cell r="B14390">
            <v>1404049</v>
          </cell>
        </row>
        <row r="14391">
          <cell r="A14391" t="str">
            <v>紫3星圣角50级</v>
          </cell>
          <cell r="B14391">
            <v>1404050</v>
          </cell>
        </row>
        <row r="14392">
          <cell r="A14392" t="str">
            <v>紫3星圣角51级</v>
          </cell>
          <cell r="B14392">
            <v>1404051</v>
          </cell>
        </row>
        <row r="14393">
          <cell r="A14393" t="str">
            <v>紫3星圣角52级</v>
          </cell>
          <cell r="B14393">
            <v>1404052</v>
          </cell>
        </row>
        <row r="14394">
          <cell r="A14394" t="str">
            <v>紫3星圣角53级</v>
          </cell>
          <cell r="B14394">
            <v>1404053</v>
          </cell>
        </row>
        <row r="14395">
          <cell r="A14395" t="str">
            <v>紫3星圣角54级</v>
          </cell>
          <cell r="B14395">
            <v>1404054</v>
          </cell>
        </row>
        <row r="14396">
          <cell r="A14396" t="str">
            <v>紫3星圣角55级</v>
          </cell>
          <cell r="B14396">
            <v>1404055</v>
          </cell>
        </row>
        <row r="14397">
          <cell r="A14397" t="str">
            <v>紫3星圣角56级</v>
          </cell>
          <cell r="B14397">
            <v>1404056</v>
          </cell>
        </row>
        <row r="14398">
          <cell r="A14398" t="str">
            <v>紫3星圣角57级</v>
          </cell>
          <cell r="B14398">
            <v>1404057</v>
          </cell>
        </row>
        <row r="14399">
          <cell r="A14399" t="str">
            <v>紫3星圣角58级</v>
          </cell>
          <cell r="B14399">
            <v>1404058</v>
          </cell>
        </row>
        <row r="14400">
          <cell r="A14400" t="str">
            <v>紫3星圣角59级</v>
          </cell>
          <cell r="B14400">
            <v>1404059</v>
          </cell>
        </row>
        <row r="14401">
          <cell r="A14401" t="str">
            <v>紫3星圣角60级</v>
          </cell>
          <cell r="B14401">
            <v>1404060</v>
          </cell>
        </row>
        <row r="14402">
          <cell r="A14402" t="str">
            <v>紫3星圣角61级</v>
          </cell>
          <cell r="B14402">
            <v>1404061</v>
          </cell>
        </row>
        <row r="14403">
          <cell r="A14403" t="str">
            <v>紫3星圣角62级</v>
          </cell>
          <cell r="B14403">
            <v>1404062</v>
          </cell>
        </row>
        <row r="14404">
          <cell r="A14404" t="str">
            <v>紫3星圣角63级</v>
          </cell>
          <cell r="B14404">
            <v>1404063</v>
          </cell>
        </row>
        <row r="14405">
          <cell r="A14405" t="str">
            <v>紫3星圣角64级</v>
          </cell>
          <cell r="B14405">
            <v>1404064</v>
          </cell>
        </row>
        <row r="14406">
          <cell r="A14406" t="str">
            <v>紫3星圣角65级</v>
          </cell>
          <cell r="B14406">
            <v>1404065</v>
          </cell>
        </row>
        <row r="14407">
          <cell r="A14407" t="str">
            <v>紫3星圣角66级</v>
          </cell>
          <cell r="B14407">
            <v>1404066</v>
          </cell>
        </row>
        <row r="14408">
          <cell r="A14408" t="str">
            <v>紫3星圣角67级</v>
          </cell>
          <cell r="B14408">
            <v>1404067</v>
          </cell>
        </row>
        <row r="14409">
          <cell r="A14409" t="str">
            <v>紫3星圣角68级</v>
          </cell>
          <cell r="B14409">
            <v>1404068</v>
          </cell>
        </row>
        <row r="14410">
          <cell r="A14410" t="str">
            <v>紫3星圣角69级</v>
          </cell>
          <cell r="B14410">
            <v>1404069</v>
          </cell>
        </row>
        <row r="14411">
          <cell r="A14411" t="str">
            <v>紫3星圣角70级</v>
          </cell>
          <cell r="B14411">
            <v>1404070</v>
          </cell>
        </row>
        <row r="14412">
          <cell r="A14412" t="str">
            <v>紫3星圣角71级</v>
          </cell>
          <cell r="B14412">
            <v>1404071</v>
          </cell>
        </row>
        <row r="14413">
          <cell r="A14413" t="str">
            <v>紫3星圣角72级</v>
          </cell>
          <cell r="B14413">
            <v>1404072</v>
          </cell>
        </row>
        <row r="14414">
          <cell r="A14414" t="str">
            <v>紫3星圣角73级</v>
          </cell>
          <cell r="B14414">
            <v>1404073</v>
          </cell>
        </row>
        <row r="14415">
          <cell r="A14415" t="str">
            <v>紫3星圣角74级</v>
          </cell>
          <cell r="B14415">
            <v>1404074</v>
          </cell>
        </row>
        <row r="14416">
          <cell r="A14416" t="str">
            <v>紫3星圣角75级</v>
          </cell>
          <cell r="B14416">
            <v>1404075</v>
          </cell>
        </row>
        <row r="14417">
          <cell r="A14417" t="str">
            <v>紫3星圣角76级</v>
          </cell>
          <cell r="B14417">
            <v>1404076</v>
          </cell>
        </row>
        <row r="14418">
          <cell r="A14418" t="str">
            <v>紫3星圣角77级</v>
          </cell>
          <cell r="B14418">
            <v>1404077</v>
          </cell>
        </row>
        <row r="14419">
          <cell r="A14419" t="str">
            <v>紫3星圣角78级</v>
          </cell>
          <cell r="B14419">
            <v>1404078</v>
          </cell>
        </row>
        <row r="14420">
          <cell r="A14420" t="str">
            <v>紫3星圣角79级</v>
          </cell>
          <cell r="B14420">
            <v>1404079</v>
          </cell>
        </row>
        <row r="14421">
          <cell r="A14421" t="str">
            <v>紫3星圣角80级</v>
          </cell>
          <cell r="B14421">
            <v>1404080</v>
          </cell>
        </row>
        <row r="14422">
          <cell r="A14422" t="str">
            <v>紫3星圣角81级</v>
          </cell>
          <cell r="B14422">
            <v>1404081</v>
          </cell>
        </row>
        <row r="14423">
          <cell r="A14423" t="str">
            <v>紫3星圣角82级</v>
          </cell>
          <cell r="B14423">
            <v>1404082</v>
          </cell>
        </row>
        <row r="14424">
          <cell r="A14424" t="str">
            <v>紫3星圣角83级</v>
          </cell>
          <cell r="B14424">
            <v>1404083</v>
          </cell>
        </row>
        <row r="14425">
          <cell r="A14425" t="str">
            <v>紫3星圣角84级</v>
          </cell>
          <cell r="B14425">
            <v>1404084</v>
          </cell>
        </row>
        <row r="14426">
          <cell r="A14426" t="str">
            <v>紫3星圣角85级</v>
          </cell>
          <cell r="B14426">
            <v>1404085</v>
          </cell>
        </row>
        <row r="14427">
          <cell r="A14427" t="str">
            <v>紫3星圣角86级</v>
          </cell>
          <cell r="B14427">
            <v>1404086</v>
          </cell>
        </row>
        <row r="14428">
          <cell r="A14428" t="str">
            <v>紫3星圣角87级</v>
          </cell>
          <cell r="B14428">
            <v>1404087</v>
          </cell>
        </row>
        <row r="14429">
          <cell r="A14429" t="str">
            <v>紫3星圣角88级</v>
          </cell>
          <cell r="B14429">
            <v>1404088</v>
          </cell>
        </row>
        <row r="14430">
          <cell r="A14430" t="str">
            <v>紫3星圣角89级</v>
          </cell>
          <cell r="B14430">
            <v>1404089</v>
          </cell>
        </row>
        <row r="14431">
          <cell r="A14431" t="str">
            <v>紫3星圣角90级</v>
          </cell>
          <cell r="B14431">
            <v>1404090</v>
          </cell>
        </row>
        <row r="14432">
          <cell r="A14432" t="str">
            <v>紫3星圣角91级</v>
          </cell>
          <cell r="B14432">
            <v>1404091</v>
          </cell>
        </row>
        <row r="14433">
          <cell r="A14433" t="str">
            <v>紫3星圣角92级</v>
          </cell>
          <cell r="B14433">
            <v>1404092</v>
          </cell>
        </row>
        <row r="14434">
          <cell r="A14434" t="str">
            <v>紫3星圣角93级</v>
          </cell>
          <cell r="B14434">
            <v>1404093</v>
          </cell>
        </row>
        <row r="14435">
          <cell r="A14435" t="str">
            <v>紫3星圣角94级</v>
          </cell>
          <cell r="B14435">
            <v>1404094</v>
          </cell>
        </row>
        <row r="14436">
          <cell r="A14436" t="str">
            <v>紫3星圣角95级</v>
          </cell>
          <cell r="B14436">
            <v>1404095</v>
          </cell>
        </row>
        <row r="14437">
          <cell r="A14437" t="str">
            <v>紫3星圣角96级</v>
          </cell>
          <cell r="B14437">
            <v>1404096</v>
          </cell>
        </row>
        <row r="14438">
          <cell r="A14438" t="str">
            <v>紫3星圣角97级</v>
          </cell>
          <cell r="B14438">
            <v>1404097</v>
          </cell>
        </row>
        <row r="14439">
          <cell r="A14439" t="str">
            <v>紫3星圣角98级</v>
          </cell>
          <cell r="B14439">
            <v>1404098</v>
          </cell>
        </row>
        <row r="14440">
          <cell r="A14440" t="str">
            <v>紫3星圣角99级</v>
          </cell>
          <cell r="B14440">
            <v>1404099</v>
          </cell>
        </row>
        <row r="14441">
          <cell r="A14441" t="str">
            <v>紫3星圣角100级</v>
          </cell>
          <cell r="B14441">
            <v>1404100</v>
          </cell>
        </row>
        <row r="14442">
          <cell r="A14442" t="str">
            <v>橙1星圣角1级</v>
          </cell>
          <cell r="B14442">
            <v>1405001</v>
          </cell>
        </row>
        <row r="14443">
          <cell r="A14443" t="str">
            <v>橙1星圣角2级</v>
          </cell>
          <cell r="B14443">
            <v>1405002</v>
          </cell>
        </row>
        <row r="14444">
          <cell r="A14444" t="str">
            <v>橙1星圣角3级</v>
          </cell>
          <cell r="B14444">
            <v>1405003</v>
          </cell>
        </row>
        <row r="14445">
          <cell r="A14445" t="str">
            <v>橙1星圣角4级</v>
          </cell>
          <cell r="B14445">
            <v>1405004</v>
          </cell>
        </row>
        <row r="14446">
          <cell r="A14446" t="str">
            <v>橙1星圣角5级</v>
          </cell>
          <cell r="B14446">
            <v>1405005</v>
          </cell>
        </row>
        <row r="14447">
          <cell r="A14447" t="str">
            <v>橙1星圣角6级</v>
          </cell>
          <cell r="B14447">
            <v>1405006</v>
          </cell>
        </row>
        <row r="14448">
          <cell r="A14448" t="str">
            <v>橙1星圣角7级</v>
          </cell>
          <cell r="B14448">
            <v>1405007</v>
          </cell>
        </row>
        <row r="14449">
          <cell r="A14449" t="str">
            <v>橙1星圣角8级</v>
          </cell>
          <cell r="B14449">
            <v>1405008</v>
          </cell>
        </row>
        <row r="14450">
          <cell r="A14450" t="str">
            <v>橙1星圣角9级</v>
          </cell>
          <cell r="B14450">
            <v>1405009</v>
          </cell>
        </row>
        <row r="14451">
          <cell r="A14451" t="str">
            <v>橙1星圣角10级</v>
          </cell>
          <cell r="B14451">
            <v>1405010</v>
          </cell>
        </row>
        <row r="14452">
          <cell r="A14452" t="str">
            <v>橙1星圣角11级</v>
          </cell>
          <cell r="B14452">
            <v>1405011</v>
          </cell>
        </row>
        <row r="14453">
          <cell r="A14453" t="str">
            <v>橙1星圣角12级</v>
          </cell>
          <cell r="B14453">
            <v>1405012</v>
          </cell>
        </row>
        <row r="14454">
          <cell r="A14454" t="str">
            <v>橙1星圣角13级</v>
          </cell>
          <cell r="B14454">
            <v>1405013</v>
          </cell>
        </row>
        <row r="14455">
          <cell r="A14455" t="str">
            <v>橙1星圣角14级</v>
          </cell>
          <cell r="B14455">
            <v>1405014</v>
          </cell>
        </row>
        <row r="14456">
          <cell r="A14456" t="str">
            <v>橙1星圣角15级</v>
          </cell>
          <cell r="B14456">
            <v>1405015</v>
          </cell>
        </row>
        <row r="14457">
          <cell r="A14457" t="str">
            <v>橙1星圣角16级</v>
          </cell>
          <cell r="B14457">
            <v>1405016</v>
          </cell>
        </row>
        <row r="14458">
          <cell r="A14458" t="str">
            <v>橙1星圣角17级</v>
          </cell>
          <cell r="B14458">
            <v>1405017</v>
          </cell>
        </row>
        <row r="14459">
          <cell r="A14459" t="str">
            <v>橙1星圣角18级</v>
          </cell>
          <cell r="B14459">
            <v>1405018</v>
          </cell>
        </row>
        <row r="14460">
          <cell r="A14460" t="str">
            <v>橙1星圣角19级</v>
          </cell>
          <cell r="B14460">
            <v>1405019</v>
          </cell>
        </row>
        <row r="14461">
          <cell r="A14461" t="str">
            <v>橙1星圣角20级</v>
          </cell>
          <cell r="B14461">
            <v>1405020</v>
          </cell>
        </row>
        <row r="14462">
          <cell r="A14462" t="str">
            <v>橙1星圣角21级</v>
          </cell>
          <cell r="B14462">
            <v>1405021</v>
          </cell>
        </row>
        <row r="14463">
          <cell r="A14463" t="str">
            <v>橙1星圣角22级</v>
          </cell>
          <cell r="B14463">
            <v>1405022</v>
          </cell>
        </row>
        <row r="14464">
          <cell r="A14464" t="str">
            <v>橙1星圣角23级</v>
          </cell>
          <cell r="B14464">
            <v>1405023</v>
          </cell>
        </row>
        <row r="14465">
          <cell r="A14465" t="str">
            <v>橙1星圣角24级</v>
          </cell>
          <cell r="B14465">
            <v>1405024</v>
          </cell>
        </row>
        <row r="14466">
          <cell r="A14466" t="str">
            <v>橙1星圣角25级</v>
          </cell>
          <cell r="B14466">
            <v>1405025</v>
          </cell>
        </row>
        <row r="14467">
          <cell r="A14467" t="str">
            <v>橙1星圣角26级</v>
          </cell>
          <cell r="B14467">
            <v>1405026</v>
          </cell>
        </row>
        <row r="14468">
          <cell r="A14468" t="str">
            <v>橙1星圣角27级</v>
          </cell>
          <cell r="B14468">
            <v>1405027</v>
          </cell>
        </row>
        <row r="14469">
          <cell r="A14469" t="str">
            <v>橙1星圣角28级</v>
          </cell>
          <cell r="B14469">
            <v>1405028</v>
          </cell>
        </row>
        <row r="14470">
          <cell r="A14470" t="str">
            <v>橙1星圣角29级</v>
          </cell>
          <cell r="B14470">
            <v>1405029</v>
          </cell>
        </row>
        <row r="14471">
          <cell r="A14471" t="str">
            <v>橙1星圣角30级</v>
          </cell>
          <cell r="B14471">
            <v>1405030</v>
          </cell>
        </row>
        <row r="14472">
          <cell r="A14472" t="str">
            <v>橙1星圣角31级</v>
          </cell>
          <cell r="B14472">
            <v>1405031</v>
          </cell>
        </row>
        <row r="14473">
          <cell r="A14473" t="str">
            <v>橙1星圣角32级</v>
          </cell>
          <cell r="B14473">
            <v>1405032</v>
          </cell>
        </row>
        <row r="14474">
          <cell r="A14474" t="str">
            <v>橙1星圣角33级</v>
          </cell>
          <cell r="B14474">
            <v>1405033</v>
          </cell>
        </row>
        <row r="14475">
          <cell r="A14475" t="str">
            <v>橙1星圣角34级</v>
          </cell>
          <cell r="B14475">
            <v>1405034</v>
          </cell>
        </row>
        <row r="14476">
          <cell r="A14476" t="str">
            <v>橙1星圣角35级</v>
          </cell>
          <cell r="B14476">
            <v>1405035</v>
          </cell>
        </row>
        <row r="14477">
          <cell r="A14477" t="str">
            <v>橙1星圣角36级</v>
          </cell>
          <cell r="B14477">
            <v>1405036</v>
          </cell>
        </row>
        <row r="14478">
          <cell r="A14478" t="str">
            <v>橙1星圣角37级</v>
          </cell>
          <cell r="B14478">
            <v>1405037</v>
          </cell>
        </row>
        <row r="14479">
          <cell r="A14479" t="str">
            <v>橙1星圣角38级</v>
          </cell>
          <cell r="B14479">
            <v>1405038</v>
          </cell>
        </row>
        <row r="14480">
          <cell r="A14480" t="str">
            <v>橙1星圣角39级</v>
          </cell>
          <cell r="B14480">
            <v>1405039</v>
          </cell>
        </row>
        <row r="14481">
          <cell r="A14481" t="str">
            <v>橙1星圣角40级</v>
          </cell>
          <cell r="B14481">
            <v>1405040</v>
          </cell>
        </row>
        <row r="14482">
          <cell r="A14482" t="str">
            <v>橙1星圣角41级</v>
          </cell>
          <cell r="B14482">
            <v>1405041</v>
          </cell>
        </row>
        <row r="14483">
          <cell r="A14483" t="str">
            <v>橙1星圣角42级</v>
          </cell>
          <cell r="B14483">
            <v>1405042</v>
          </cell>
        </row>
        <row r="14484">
          <cell r="A14484" t="str">
            <v>橙1星圣角43级</v>
          </cell>
          <cell r="B14484">
            <v>1405043</v>
          </cell>
        </row>
        <row r="14485">
          <cell r="A14485" t="str">
            <v>橙1星圣角44级</v>
          </cell>
          <cell r="B14485">
            <v>1405044</v>
          </cell>
        </row>
        <row r="14486">
          <cell r="A14486" t="str">
            <v>橙1星圣角45级</v>
          </cell>
          <cell r="B14486">
            <v>1405045</v>
          </cell>
        </row>
        <row r="14487">
          <cell r="A14487" t="str">
            <v>橙1星圣角46级</v>
          </cell>
          <cell r="B14487">
            <v>1405046</v>
          </cell>
        </row>
        <row r="14488">
          <cell r="A14488" t="str">
            <v>橙1星圣角47级</v>
          </cell>
          <cell r="B14488">
            <v>1405047</v>
          </cell>
        </row>
        <row r="14489">
          <cell r="A14489" t="str">
            <v>橙1星圣角48级</v>
          </cell>
          <cell r="B14489">
            <v>1405048</v>
          </cell>
        </row>
        <row r="14490">
          <cell r="A14490" t="str">
            <v>橙1星圣角49级</v>
          </cell>
          <cell r="B14490">
            <v>1405049</v>
          </cell>
        </row>
        <row r="14491">
          <cell r="A14491" t="str">
            <v>橙1星圣角50级</v>
          </cell>
          <cell r="B14491">
            <v>1405050</v>
          </cell>
        </row>
        <row r="14492">
          <cell r="A14492" t="str">
            <v>橙1星圣角51级</v>
          </cell>
          <cell r="B14492">
            <v>1405051</v>
          </cell>
        </row>
        <row r="14493">
          <cell r="A14493" t="str">
            <v>橙1星圣角52级</v>
          </cell>
          <cell r="B14493">
            <v>1405052</v>
          </cell>
        </row>
        <row r="14494">
          <cell r="A14494" t="str">
            <v>橙1星圣角53级</v>
          </cell>
          <cell r="B14494">
            <v>1405053</v>
          </cell>
        </row>
        <row r="14495">
          <cell r="A14495" t="str">
            <v>橙1星圣角54级</v>
          </cell>
          <cell r="B14495">
            <v>1405054</v>
          </cell>
        </row>
        <row r="14496">
          <cell r="A14496" t="str">
            <v>橙1星圣角55级</v>
          </cell>
          <cell r="B14496">
            <v>1405055</v>
          </cell>
        </row>
        <row r="14497">
          <cell r="A14497" t="str">
            <v>橙1星圣角56级</v>
          </cell>
          <cell r="B14497">
            <v>1405056</v>
          </cell>
        </row>
        <row r="14498">
          <cell r="A14498" t="str">
            <v>橙1星圣角57级</v>
          </cell>
          <cell r="B14498">
            <v>1405057</v>
          </cell>
        </row>
        <row r="14499">
          <cell r="A14499" t="str">
            <v>橙1星圣角58级</v>
          </cell>
          <cell r="B14499">
            <v>1405058</v>
          </cell>
        </row>
        <row r="14500">
          <cell r="A14500" t="str">
            <v>橙1星圣角59级</v>
          </cell>
          <cell r="B14500">
            <v>1405059</v>
          </cell>
        </row>
        <row r="14501">
          <cell r="A14501" t="str">
            <v>橙1星圣角60级</v>
          </cell>
          <cell r="B14501">
            <v>1405060</v>
          </cell>
        </row>
        <row r="14502">
          <cell r="A14502" t="str">
            <v>橙1星圣角61级</v>
          </cell>
          <cell r="B14502">
            <v>1405061</v>
          </cell>
        </row>
        <row r="14503">
          <cell r="A14503" t="str">
            <v>橙1星圣角62级</v>
          </cell>
          <cell r="B14503">
            <v>1405062</v>
          </cell>
        </row>
        <row r="14504">
          <cell r="A14504" t="str">
            <v>橙1星圣角63级</v>
          </cell>
          <cell r="B14504">
            <v>1405063</v>
          </cell>
        </row>
        <row r="14505">
          <cell r="A14505" t="str">
            <v>橙1星圣角64级</v>
          </cell>
          <cell r="B14505">
            <v>1405064</v>
          </cell>
        </row>
        <row r="14506">
          <cell r="A14506" t="str">
            <v>橙1星圣角65级</v>
          </cell>
          <cell r="B14506">
            <v>1405065</v>
          </cell>
        </row>
        <row r="14507">
          <cell r="A14507" t="str">
            <v>橙1星圣角66级</v>
          </cell>
          <cell r="B14507">
            <v>1405066</v>
          </cell>
        </row>
        <row r="14508">
          <cell r="A14508" t="str">
            <v>橙1星圣角67级</v>
          </cell>
          <cell r="B14508">
            <v>1405067</v>
          </cell>
        </row>
        <row r="14509">
          <cell r="A14509" t="str">
            <v>橙1星圣角68级</v>
          </cell>
          <cell r="B14509">
            <v>1405068</v>
          </cell>
        </row>
        <row r="14510">
          <cell r="A14510" t="str">
            <v>橙1星圣角69级</v>
          </cell>
          <cell r="B14510">
            <v>1405069</v>
          </cell>
        </row>
        <row r="14511">
          <cell r="A14511" t="str">
            <v>橙1星圣角70级</v>
          </cell>
          <cell r="B14511">
            <v>1405070</v>
          </cell>
        </row>
        <row r="14512">
          <cell r="A14512" t="str">
            <v>橙1星圣角71级</v>
          </cell>
          <cell r="B14512">
            <v>1405071</v>
          </cell>
        </row>
        <row r="14513">
          <cell r="A14513" t="str">
            <v>橙1星圣角72级</v>
          </cell>
          <cell r="B14513">
            <v>1405072</v>
          </cell>
        </row>
        <row r="14514">
          <cell r="A14514" t="str">
            <v>橙1星圣角73级</v>
          </cell>
          <cell r="B14514">
            <v>1405073</v>
          </cell>
        </row>
        <row r="14515">
          <cell r="A14515" t="str">
            <v>橙1星圣角74级</v>
          </cell>
          <cell r="B14515">
            <v>1405074</v>
          </cell>
        </row>
        <row r="14516">
          <cell r="A14516" t="str">
            <v>橙1星圣角75级</v>
          </cell>
          <cell r="B14516">
            <v>1405075</v>
          </cell>
        </row>
        <row r="14517">
          <cell r="A14517" t="str">
            <v>橙1星圣角76级</v>
          </cell>
          <cell r="B14517">
            <v>1405076</v>
          </cell>
        </row>
        <row r="14518">
          <cell r="A14518" t="str">
            <v>橙1星圣角77级</v>
          </cell>
          <cell r="B14518">
            <v>1405077</v>
          </cell>
        </row>
        <row r="14519">
          <cell r="A14519" t="str">
            <v>橙1星圣角78级</v>
          </cell>
          <cell r="B14519">
            <v>1405078</v>
          </cell>
        </row>
        <row r="14520">
          <cell r="A14520" t="str">
            <v>橙1星圣角79级</v>
          </cell>
          <cell r="B14520">
            <v>1405079</v>
          </cell>
        </row>
        <row r="14521">
          <cell r="A14521" t="str">
            <v>橙1星圣角80级</v>
          </cell>
          <cell r="B14521">
            <v>1405080</v>
          </cell>
        </row>
        <row r="14522">
          <cell r="A14522" t="str">
            <v>橙1星圣角81级</v>
          </cell>
          <cell r="B14522">
            <v>1405081</v>
          </cell>
        </row>
        <row r="14523">
          <cell r="A14523" t="str">
            <v>橙1星圣角82级</v>
          </cell>
          <cell r="B14523">
            <v>1405082</v>
          </cell>
        </row>
        <row r="14524">
          <cell r="A14524" t="str">
            <v>橙1星圣角83级</v>
          </cell>
          <cell r="B14524">
            <v>1405083</v>
          </cell>
        </row>
        <row r="14525">
          <cell r="A14525" t="str">
            <v>橙1星圣角84级</v>
          </cell>
          <cell r="B14525">
            <v>1405084</v>
          </cell>
        </row>
        <row r="14526">
          <cell r="A14526" t="str">
            <v>橙1星圣角85级</v>
          </cell>
          <cell r="B14526">
            <v>1405085</v>
          </cell>
        </row>
        <row r="14527">
          <cell r="A14527" t="str">
            <v>橙1星圣角86级</v>
          </cell>
          <cell r="B14527">
            <v>1405086</v>
          </cell>
        </row>
        <row r="14528">
          <cell r="A14528" t="str">
            <v>橙1星圣角87级</v>
          </cell>
          <cell r="B14528">
            <v>1405087</v>
          </cell>
        </row>
        <row r="14529">
          <cell r="A14529" t="str">
            <v>橙1星圣角88级</v>
          </cell>
          <cell r="B14529">
            <v>1405088</v>
          </cell>
        </row>
        <row r="14530">
          <cell r="A14530" t="str">
            <v>橙1星圣角89级</v>
          </cell>
          <cell r="B14530">
            <v>1405089</v>
          </cell>
        </row>
        <row r="14531">
          <cell r="A14531" t="str">
            <v>橙1星圣角90级</v>
          </cell>
          <cell r="B14531">
            <v>1405090</v>
          </cell>
        </row>
        <row r="14532">
          <cell r="A14532" t="str">
            <v>橙1星圣角91级</v>
          </cell>
          <cell r="B14532">
            <v>1405091</v>
          </cell>
        </row>
        <row r="14533">
          <cell r="A14533" t="str">
            <v>橙1星圣角92级</v>
          </cell>
          <cell r="B14533">
            <v>1405092</v>
          </cell>
        </row>
        <row r="14534">
          <cell r="A14534" t="str">
            <v>橙1星圣角93级</v>
          </cell>
          <cell r="B14534">
            <v>1405093</v>
          </cell>
        </row>
        <row r="14535">
          <cell r="A14535" t="str">
            <v>橙1星圣角94级</v>
          </cell>
          <cell r="B14535">
            <v>1405094</v>
          </cell>
        </row>
        <row r="14536">
          <cell r="A14536" t="str">
            <v>橙1星圣角95级</v>
          </cell>
          <cell r="B14536">
            <v>1405095</v>
          </cell>
        </row>
        <row r="14537">
          <cell r="A14537" t="str">
            <v>橙1星圣角96级</v>
          </cell>
          <cell r="B14537">
            <v>1405096</v>
          </cell>
        </row>
        <row r="14538">
          <cell r="A14538" t="str">
            <v>橙1星圣角97级</v>
          </cell>
          <cell r="B14538">
            <v>1405097</v>
          </cell>
        </row>
        <row r="14539">
          <cell r="A14539" t="str">
            <v>橙1星圣角98级</v>
          </cell>
          <cell r="B14539">
            <v>1405098</v>
          </cell>
        </row>
        <row r="14540">
          <cell r="A14540" t="str">
            <v>橙1星圣角99级</v>
          </cell>
          <cell r="B14540">
            <v>1405099</v>
          </cell>
        </row>
        <row r="14541">
          <cell r="A14541" t="str">
            <v>橙1星圣角100级</v>
          </cell>
          <cell r="B14541">
            <v>1405100</v>
          </cell>
        </row>
        <row r="14542">
          <cell r="A14542" t="str">
            <v>橙2星圣角1级</v>
          </cell>
          <cell r="B14542">
            <v>1406001</v>
          </cell>
        </row>
        <row r="14543">
          <cell r="A14543" t="str">
            <v>橙2星圣角2级</v>
          </cell>
          <cell r="B14543">
            <v>1406002</v>
          </cell>
        </row>
        <row r="14544">
          <cell r="A14544" t="str">
            <v>橙2星圣角3级</v>
          </cell>
          <cell r="B14544">
            <v>1406003</v>
          </cell>
        </row>
        <row r="14545">
          <cell r="A14545" t="str">
            <v>橙2星圣角4级</v>
          </cell>
          <cell r="B14545">
            <v>1406004</v>
          </cell>
        </row>
        <row r="14546">
          <cell r="A14546" t="str">
            <v>橙2星圣角5级</v>
          </cell>
          <cell r="B14546">
            <v>1406005</v>
          </cell>
        </row>
        <row r="14547">
          <cell r="A14547" t="str">
            <v>橙2星圣角6级</v>
          </cell>
          <cell r="B14547">
            <v>1406006</v>
          </cell>
        </row>
        <row r="14548">
          <cell r="A14548" t="str">
            <v>橙2星圣角7级</v>
          </cell>
          <cell r="B14548">
            <v>1406007</v>
          </cell>
        </row>
        <row r="14549">
          <cell r="A14549" t="str">
            <v>橙2星圣角8级</v>
          </cell>
          <cell r="B14549">
            <v>1406008</v>
          </cell>
        </row>
        <row r="14550">
          <cell r="A14550" t="str">
            <v>橙2星圣角9级</v>
          </cell>
          <cell r="B14550">
            <v>1406009</v>
          </cell>
        </row>
        <row r="14551">
          <cell r="A14551" t="str">
            <v>橙2星圣角10级</v>
          </cell>
          <cell r="B14551">
            <v>1406010</v>
          </cell>
        </row>
        <row r="14552">
          <cell r="A14552" t="str">
            <v>橙2星圣角11级</v>
          </cell>
          <cell r="B14552">
            <v>1406011</v>
          </cell>
        </row>
        <row r="14553">
          <cell r="A14553" t="str">
            <v>橙2星圣角12级</v>
          </cell>
          <cell r="B14553">
            <v>1406012</v>
          </cell>
        </row>
        <row r="14554">
          <cell r="A14554" t="str">
            <v>橙2星圣角13级</v>
          </cell>
          <cell r="B14554">
            <v>1406013</v>
          </cell>
        </row>
        <row r="14555">
          <cell r="A14555" t="str">
            <v>橙2星圣角14级</v>
          </cell>
          <cell r="B14555">
            <v>1406014</v>
          </cell>
        </row>
        <row r="14556">
          <cell r="A14556" t="str">
            <v>橙2星圣角15级</v>
          </cell>
          <cell r="B14556">
            <v>1406015</v>
          </cell>
        </row>
        <row r="14557">
          <cell r="A14557" t="str">
            <v>橙2星圣角16级</v>
          </cell>
          <cell r="B14557">
            <v>1406016</v>
          </cell>
        </row>
        <row r="14558">
          <cell r="A14558" t="str">
            <v>橙2星圣角17级</v>
          </cell>
          <cell r="B14558">
            <v>1406017</v>
          </cell>
        </row>
        <row r="14559">
          <cell r="A14559" t="str">
            <v>橙2星圣角18级</v>
          </cell>
          <cell r="B14559">
            <v>1406018</v>
          </cell>
        </row>
        <row r="14560">
          <cell r="A14560" t="str">
            <v>橙2星圣角19级</v>
          </cell>
          <cell r="B14560">
            <v>1406019</v>
          </cell>
        </row>
        <row r="14561">
          <cell r="A14561" t="str">
            <v>橙2星圣角20级</v>
          </cell>
          <cell r="B14561">
            <v>1406020</v>
          </cell>
        </row>
        <row r="14562">
          <cell r="A14562" t="str">
            <v>橙2星圣角21级</v>
          </cell>
          <cell r="B14562">
            <v>1406021</v>
          </cell>
        </row>
        <row r="14563">
          <cell r="A14563" t="str">
            <v>橙2星圣角22级</v>
          </cell>
          <cell r="B14563">
            <v>1406022</v>
          </cell>
        </row>
        <row r="14564">
          <cell r="A14564" t="str">
            <v>橙2星圣角23级</v>
          </cell>
          <cell r="B14564">
            <v>1406023</v>
          </cell>
        </row>
        <row r="14565">
          <cell r="A14565" t="str">
            <v>橙2星圣角24级</v>
          </cell>
          <cell r="B14565">
            <v>1406024</v>
          </cell>
        </row>
        <row r="14566">
          <cell r="A14566" t="str">
            <v>橙2星圣角25级</v>
          </cell>
          <cell r="B14566">
            <v>1406025</v>
          </cell>
        </row>
        <row r="14567">
          <cell r="A14567" t="str">
            <v>橙2星圣角26级</v>
          </cell>
          <cell r="B14567">
            <v>1406026</v>
          </cell>
        </row>
        <row r="14568">
          <cell r="A14568" t="str">
            <v>橙2星圣角27级</v>
          </cell>
          <cell r="B14568">
            <v>1406027</v>
          </cell>
        </row>
        <row r="14569">
          <cell r="A14569" t="str">
            <v>橙2星圣角28级</v>
          </cell>
          <cell r="B14569">
            <v>1406028</v>
          </cell>
        </row>
        <row r="14570">
          <cell r="A14570" t="str">
            <v>橙2星圣角29级</v>
          </cell>
          <cell r="B14570">
            <v>1406029</v>
          </cell>
        </row>
        <row r="14571">
          <cell r="A14571" t="str">
            <v>橙2星圣角30级</v>
          </cell>
          <cell r="B14571">
            <v>1406030</v>
          </cell>
        </row>
        <row r="14572">
          <cell r="A14572" t="str">
            <v>橙2星圣角31级</v>
          </cell>
          <cell r="B14572">
            <v>1406031</v>
          </cell>
        </row>
        <row r="14573">
          <cell r="A14573" t="str">
            <v>橙2星圣角32级</v>
          </cell>
          <cell r="B14573">
            <v>1406032</v>
          </cell>
        </row>
        <row r="14574">
          <cell r="A14574" t="str">
            <v>橙2星圣角33级</v>
          </cell>
          <cell r="B14574">
            <v>1406033</v>
          </cell>
        </row>
        <row r="14575">
          <cell r="A14575" t="str">
            <v>橙2星圣角34级</v>
          </cell>
          <cell r="B14575">
            <v>1406034</v>
          </cell>
        </row>
        <row r="14576">
          <cell r="A14576" t="str">
            <v>橙2星圣角35级</v>
          </cell>
          <cell r="B14576">
            <v>1406035</v>
          </cell>
        </row>
        <row r="14577">
          <cell r="A14577" t="str">
            <v>橙2星圣角36级</v>
          </cell>
          <cell r="B14577">
            <v>1406036</v>
          </cell>
        </row>
        <row r="14578">
          <cell r="A14578" t="str">
            <v>橙2星圣角37级</v>
          </cell>
          <cell r="B14578">
            <v>1406037</v>
          </cell>
        </row>
        <row r="14579">
          <cell r="A14579" t="str">
            <v>橙2星圣角38级</v>
          </cell>
          <cell r="B14579">
            <v>1406038</v>
          </cell>
        </row>
        <row r="14580">
          <cell r="A14580" t="str">
            <v>橙2星圣角39级</v>
          </cell>
          <cell r="B14580">
            <v>1406039</v>
          </cell>
        </row>
        <row r="14581">
          <cell r="A14581" t="str">
            <v>橙2星圣角40级</v>
          </cell>
          <cell r="B14581">
            <v>1406040</v>
          </cell>
        </row>
        <row r="14582">
          <cell r="A14582" t="str">
            <v>橙2星圣角41级</v>
          </cell>
          <cell r="B14582">
            <v>1406041</v>
          </cell>
        </row>
        <row r="14583">
          <cell r="A14583" t="str">
            <v>橙2星圣角42级</v>
          </cell>
          <cell r="B14583">
            <v>1406042</v>
          </cell>
        </row>
        <row r="14584">
          <cell r="A14584" t="str">
            <v>橙2星圣角43级</v>
          </cell>
          <cell r="B14584">
            <v>1406043</v>
          </cell>
        </row>
        <row r="14585">
          <cell r="A14585" t="str">
            <v>橙2星圣角44级</v>
          </cell>
          <cell r="B14585">
            <v>1406044</v>
          </cell>
        </row>
        <row r="14586">
          <cell r="A14586" t="str">
            <v>橙2星圣角45级</v>
          </cell>
          <cell r="B14586">
            <v>1406045</v>
          </cell>
        </row>
        <row r="14587">
          <cell r="A14587" t="str">
            <v>橙2星圣角46级</v>
          </cell>
          <cell r="B14587">
            <v>1406046</v>
          </cell>
        </row>
        <row r="14588">
          <cell r="A14588" t="str">
            <v>橙2星圣角47级</v>
          </cell>
          <cell r="B14588">
            <v>1406047</v>
          </cell>
        </row>
        <row r="14589">
          <cell r="A14589" t="str">
            <v>橙2星圣角48级</v>
          </cell>
          <cell r="B14589">
            <v>1406048</v>
          </cell>
        </row>
        <row r="14590">
          <cell r="A14590" t="str">
            <v>橙2星圣角49级</v>
          </cell>
          <cell r="B14590">
            <v>1406049</v>
          </cell>
        </row>
        <row r="14591">
          <cell r="A14591" t="str">
            <v>橙2星圣角50级</v>
          </cell>
          <cell r="B14591">
            <v>1406050</v>
          </cell>
        </row>
        <row r="14592">
          <cell r="A14592" t="str">
            <v>橙2星圣角51级</v>
          </cell>
          <cell r="B14592">
            <v>1406051</v>
          </cell>
        </row>
        <row r="14593">
          <cell r="A14593" t="str">
            <v>橙2星圣角52级</v>
          </cell>
          <cell r="B14593">
            <v>1406052</v>
          </cell>
        </row>
        <row r="14594">
          <cell r="A14594" t="str">
            <v>橙2星圣角53级</v>
          </cell>
          <cell r="B14594">
            <v>1406053</v>
          </cell>
        </row>
        <row r="14595">
          <cell r="A14595" t="str">
            <v>橙2星圣角54级</v>
          </cell>
          <cell r="B14595">
            <v>1406054</v>
          </cell>
        </row>
        <row r="14596">
          <cell r="A14596" t="str">
            <v>橙2星圣角55级</v>
          </cell>
          <cell r="B14596">
            <v>1406055</v>
          </cell>
        </row>
        <row r="14597">
          <cell r="A14597" t="str">
            <v>橙2星圣角56级</v>
          </cell>
          <cell r="B14597">
            <v>1406056</v>
          </cell>
        </row>
        <row r="14598">
          <cell r="A14598" t="str">
            <v>橙2星圣角57级</v>
          </cell>
          <cell r="B14598">
            <v>1406057</v>
          </cell>
        </row>
        <row r="14599">
          <cell r="A14599" t="str">
            <v>橙2星圣角58级</v>
          </cell>
          <cell r="B14599">
            <v>1406058</v>
          </cell>
        </row>
        <row r="14600">
          <cell r="A14600" t="str">
            <v>橙2星圣角59级</v>
          </cell>
          <cell r="B14600">
            <v>1406059</v>
          </cell>
        </row>
        <row r="14601">
          <cell r="A14601" t="str">
            <v>橙2星圣角60级</v>
          </cell>
          <cell r="B14601">
            <v>1406060</v>
          </cell>
        </row>
        <row r="14602">
          <cell r="A14602" t="str">
            <v>橙2星圣角61级</v>
          </cell>
          <cell r="B14602">
            <v>1406061</v>
          </cell>
        </row>
        <row r="14603">
          <cell r="A14603" t="str">
            <v>橙2星圣角62级</v>
          </cell>
          <cell r="B14603">
            <v>1406062</v>
          </cell>
        </row>
        <row r="14604">
          <cell r="A14604" t="str">
            <v>橙2星圣角63级</v>
          </cell>
          <cell r="B14604">
            <v>1406063</v>
          </cell>
        </row>
        <row r="14605">
          <cell r="A14605" t="str">
            <v>橙2星圣角64级</v>
          </cell>
          <cell r="B14605">
            <v>1406064</v>
          </cell>
        </row>
        <row r="14606">
          <cell r="A14606" t="str">
            <v>橙2星圣角65级</v>
          </cell>
          <cell r="B14606">
            <v>1406065</v>
          </cell>
        </row>
        <row r="14607">
          <cell r="A14607" t="str">
            <v>橙2星圣角66级</v>
          </cell>
          <cell r="B14607">
            <v>1406066</v>
          </cell>
        </row>
        <row r="14608">
          <cell r="A14608" t="str">
            <v>橙2星圣角67级</v>
          </cell>
          <cell r="B14608">
            <v>1406067</v>
          </cell>
        </row>
        <row r="14609">
          <cell r="A14609" t="str">
            <v>橙2星圣角68级</v>
          </cell>
          <cell r="B14609">
            <v>1406068</v>
          </cell>
        </row>
        <row r="14610">
          <cell r="A14610" t="str">
            <v>橙2星圣角69级</v>
          </cell>
          <cell r="B14610">
            <v>1406069</v>
          </cell>
        </row>
        <row r="14611">
          <cell r="A14611" t="str">
            <v>橙2星圣角70级</v>
          </cell>
          <cell r="B14611">
            <v>1406070</v>
          </cell>
        </row>
        <row r="14612">
          <cell r="A14612" t="str">
            <v>橙2星圣角71级</v>
          </cell>
          <cell r="B14612">
            <v>1406071</v>
          </cell>
        </row>
        <row r="14613">
          <cell r="A14613" t="str">
            <v>橙2星圣角72级</v>
          </cell>
          <cell r="B14613">
            <v>1406072</v>
          </cell>
        </row>
        <row r="14614">
          <cell r="A14614" t="str">
            <v>橙2星圣角73级</v>
          </cell>
          <cell r="B14614">
            <v>1406073</v>
          </cell>
        </row>
        <row r="14615">
          <cell r="A14615" t="str">
            <v>橙2星圣角74级</v>
          </cell>
          <cell r="B14615">
            <v>1406074</v>
          </cell>
        </row>
        <row r="14616">
          <cell r="A14616" t="str">
            <v>橙2星圣角75级</v>
          </cell>
          <cell r="B14616">
            <v>1406075</v>
          </cell>
        </row>
        <row r="14617">
          <cell r="A14617" t="str">
            <v>橙2星圣角76级</v>
          </cell>
          <cell r="B14617">
            <v>1406076</v>
          </cell>
        </row>
        <row r="14618">
          <cell r="A14618" t="str">
            <v>橙2星圣角77级</v>
          </cell>
          <cell r="B14618">
            <v>1406077</v>
          </cell>
        </row>
        <row r="14619">
          <cell r="A14619" t="str">
            <v>橙2星圣角78级</v>
          </cell>
          <cell r="B14619">
            <v>1406078</v>
          </cell>
        </row>
        <row r="14620">
          <cell r="A14620" t="str">
            <v>橙2星圣角79级</v>
          </cell>
          <cell r="B14620">
            <v>1406079</v>
          </cell>
        </row>
        <row r="14621">
          <cell r="A14621" t="str">
            <v>橙2星圣角80级</v>
          </cell>
          <cell r="B14621">
            <v>1406080</v>
          </cell>
        </row>
        <row r="14622">
          <cell r="A14622" t="str">
            <v>橙2星圣角81级</v>
          </cell>
          <cell r="B14622">
            <v>1406081</v>
          </cell>
        </row>
        <row r="14623">
          <cell r="A14623" t="str">
            <v>橙2星圣角82级</v>
          </cell>
          <cell r="B14623">
            <v>1406082</v>
          </cell>
        </row>
        <row r="14624">
          <cell r="A14624" t="str">
            <v>橙2星圣角83级</v>
          </cell>
          <cell r="B14624">
            <v>1406083</v>
          </cell>
        </row>
        <row r="14625">
          <cell r="A14625" t="str">
            <v>橙2星圣角84级</v>
          </cell>
          <cell r="B14625">
            <v>1406084</v>
          </cell>
        </row>
        <row r="14626">
          <cell r="A14626" t="str">
            <v>橙2星圣角85级</v>
          </cell>
          <cell r="B14626">
            <v>1406085</v>
          </cell>
        </row>
        <row r="14627">
          <cell r="A14627" t="str">
            <v>橙2星圣角86级</v>
          </cell>
          <cell r="B14627">
            <v>1406086</v>
          </cell>
        </row>
        <row r="14628">
          <cell r="A14628" t="str">
            <v>橙2星圣角87级</v>
          </cell>
          <cell r="B14628">
            <v>1406087</v>
          </cell>
        </row>
        <row r="14629">
          <cell r="A14629" t="str">
            <v>橙2星圣角88级</v>
          </cell>
          <cell r="B14629">
            <v>1406088</v>
          </cell>
        </row>
        <row r="14630">
          <cell r="A14630" t="str">
            <v>橙2星圣角89级</v>
          </cell>
          <cell r="B14630">
            <v>1406089</v>
          </cell>
        </row>
        <row r="14631">
          <cell r="A14631" t="str">
            <v>橙2星圣角90级</v>
          </cell>
          <cell r="B14631">
            <v>1406090</v>
          </cell>
        </row>
        <row r="14632">
          <cell r="A14632" t="str">
            <v>橙2星圣角91级</v>
          </cell>
          <cell r="B14632">
            <v>1406091</v>
          </cell>
        </row>
        <row r="14633">
          <cell r="A14633" t="str">
            <v>橙2星圣角92级</v>
          </cell>
          <cell r="B14633">
            <v>1406092</v>
          </cell>
        </row>
        <row r="14634">
          <cell r="A14634" t="str">
            <v>橙2星圣角93级</v>
          </cell>
          <cell r="B14634">
            <v>1406093</v>
          </cell>
        </row>
        <row r="14635">
          <cell r="A14635" t="str">
            <v>橙2星圣角94级</v>
          </cell>
          <cell r="B14635">
            <v>1406094</v>
          </cell>
        </row>
        <row r="14636">
          <cell r="A14636" t="str">
            <v>橙2星圣角95级</v>
          </cell>
          <cell r="B14636">
            <v>1406095</v>
          </cell>
        </row>
        <row r="14637">
          <cell r="A14637" t="str">
            <v>橙2星圣角96级</v>
          </cell>
          <cell r="B14637">
            <v>1406096</v>
          </cell>
        </row>
        <row r="14638">
          <cell r="A14638" t="str">
            <v>橙2星圣角97级</v>
          </cell>
          <cell r="B14638">
            <v>1406097</v>
          </cell>
        </row>
        <row r="14639">
          <cell r="A14639" t="str">
            <v>橙2星圣角98级</v>
          </cell>
          <cell r="B14639">
            <v>1406098</v>
          </cell>
        </row>
        <row r="14640">
          <cell r="A14640" t="str">
            <v>橙2星圣角99级</v>
          </cell>
          <cell r="B14640">
            <v>1406099</v>
          </cell>
        </row>
        <row r="14641">
          <cell r="A14641" t="str">
            <v>橙2星圣角100级</v>
          </cell>
          <cell r="B14641">
            <v>1406100</v>
          </cell>
        </row>
        <row r="14642">
          <cell r="A14642" t="str">
            <v>橙3星圣角1级</v>
          </cell>
          <cell r="B14642">
            <v>1407001</v>
          </cell>
        </row>
        <row r="14643">
          <cell r="A14643" t="str">
            <v>橙3星圣角2级</v>
          </cell>
          <cell r="B14643">
            <v>1407002</v>
          </cell>
        </row>
        <row r="14644">
          <cell r="A14644" t="str">
            <v>橙3星圣角3级</v>
          </cell>
          <cell r="B14644">
            <v>1407003</v>
          </cell>
        </row>
        <row r="14645">
          <cell r="A14645" t="str">
            <v>橙3星圣角4级</v>
          </cell>
          <cell r="B14645">
            <v>1407004</v>
          </cell>
        </row>
        <row r="14646">
          <cell r="A14646" t="str">
            <v>橙3星圣角5级</v>
          </cell>
          <cell r="B14646">
            <v>1407005</v>
          </cell>
        </row>
        <row r="14647">
          <cell r="A14647" t="str">
            <v>橙3星圣角6级</v>
          </cell>
          <cell r="B14647">
            <v>1407006</v>
          </cell>
        </row>
        <row r="14648">
          <cell r="A14648" t="str">
            <v>橙3星圣角7级</v>
          </cell>
          <cell r="B14648">
            <v>1407007</v>
          </cell>
        </row>
        <row r="14649">
          <cell r="A14649" t="str">
            <v>橙3星圣角8级</v>
          </cell>
          <cell r="B14649">
            <v>1407008</v>
          </cell>
        </row>
        <row r="14650">
          <cell r="A14650" t="str">
            <v>橙3星圣角9级</v>
          </cell>
          <cell r="B14650">
            <v>1407009</v>
          </cell>
        </row>
        <row r="14651">
          <cell r="A14651" t="str">
            <v>橙3星圣角10级</v>
          </cell>
          <cell r="B14651">
            <v>1407010</v>
          </cell>
        </row>
        <row r="14652">
          <cell r="A14652" t="str">
            <v>橙3星圣角11级</v>
          </cell>
          <cell r="B14652">
            <v>1407011</v>
          </cell>
        </row>
        <row r="14653">
          <cell r="A14653" t="str">
            <v>橙3星圣角12级</v>
          </cell>
          <cell r="B14653">
            <v>1407012</v>
          </cell>
        </row>
        <row r="14654">
          <cell r="A14654" t="str">
            <v>橙3星圣角13级</v>
          </cell>
          <cell r="B14654">
            <v>1407013</v>
          </cell>
        </row>
        <row r="14655">
          <cell r="A14655" t="str">
            <v>橙3星圣角14级</v>
          </cell>
          <cell r="B14655">
            <v>1407014</v>
          </cell>
        </row>
        <row r="14656">
          <cell r="A14656" t="str">
            <v>橙3星圣角15级</v>
          </cell>
          <cell r="B14656">
            <v>1407015</v>
          </cell>
        </row>
        <row r="14657">
          <cell r="A14657" t="str">
            <v>橙3星圣角16级</v>
          </cell>
          <cell r="B14657">
            <v>1407016</v>
          </cell>
        </row>
        <row r="14658">
          <cell r="A14658" t="str">
            <v>橙3星圣角17级</v>
          </cell>
          <cell r="B14658">
            <v>1407017</v>
          </cell>
        </row>
        <row r="14659">
          <cell r="A14659" t="str">
            <v>橙3星圣角18级</v>
          </cell>
          <cell r="B14659">
            <v>1407018</v>
          </cell>
        </row>
        <row r="14660">
          <cell r="A14660" t="str">
            <v>橙3星圣角19级</v>
          </cell>
          <cell r="B14660">
            <v>1407019</v>
          </cell>
        </row>
        <row r="14661">
          <cell r="A14661" t="str">
            <v>橙3星圣角20级</v>
          </cell>
          <cell r="B14661">
            <v>1407020</v>
          </cell>
        </row>
        <row r="14662">
          <cell r="A14662" t="str">
            <v>橙3星圣角21级</v>
          </cell>
          <cell r="B14662">
            <v>1407021</v>
          </cell>
        </row>
        <row r="14663">
          <cell r="A14663" t="str">
            <v>橙3星圣角22级</v>
          </cell>
          <cell r="B14663">
            <v>1407022</v>
          </cell>
        </row>
        <row r="14664">
          <cell r="A14664" t="str">
            <v>橙3星圣角23级</v>
          </cell>
          <cell r="B14664">
            <v>1407023</v>
          </cell>
        </row>
        <row r="14665">
          <cell r="A14665" t="str">
            <v>橙3星圣角24级</v>
          </cell>
          <cell r="B14665">
            <v>1407024</v>
          </cell>
        </row>
        <row r="14666">
          <cell r="A14666" t="str">
            <v>橙3星圣角25级</v>
          </cell>
          <cell r="B14666">
            <v>1407025</v>
          </cell>
        </row>
        <row r="14667">
          <cell r="A14667" t="str">
            <v>橙3星圣角26级</v>
          </cell>
          <cell r="B14667">
            <v>1407026</v>
          </cell>
        </row>
        <row r="14668">
          <cell r="A14668" t="str">
            <v>橙3星圣角27级</v>
          </cell>
          <cell r="B14668">
            <v>1407027</v>
          </cell>
        </row>
        <row r="14669">
          <cell r="A14669" t="str">
            <v>橙3星圣角28级</v>
          </cell>
          <cell r="B14669">
            <v>1407028</v>
          </cell>
        </row>
        <row r="14670">
          <cell r="A14670" t="str">
            <v>橙3星圣角29级</v>
          </cell>
          <cell r="B14670">
            <v>1407029</v>
          </cell>
        </row>
        <row r="14671">
          <cell r="A14671" t="str">
            <v>橙3星圣角30级</v>
          </cell>
          <cell r="B14671">
            <v>1407030</v>
          </cell>
        </row>
        <row r="14672">
          <cell r="A14672" t="str">
            <v>橙3星圣角31级</v>
          </cell>
          <cell r="B14672">
            <v>1407031</v>
          </cell>
        </row>
        <row r="14673">
          <cell r="A14673" t="str">
            <v>橙3星圣角32级</v>
          </cell>
          <cell r="B14673">
            <v>1407032</v>
          </cell>
        </row>
        <row r="14674">
          <cell r="A14674" t="str">
            <v>橙3星圣角33级</v>
          </cell>
          <cell r="B14674">
            <v>1407033</v>
          </cell>
        </row>
        <row r="14675">
          <cell r="A14675" t="str">
            <v>橙3星圣角34级</v>
          </cell>
          <cell r="B14675">
            <v>1407034</v>
          </cell>
        </row>
        <row r="14676">
          <cell r="A14676" t="str">
            <v>橙3星圣角35级</v>
          </cell>
          <cell r="B14676">
            <v>1407035</v>
          </cell>
        </row>
        <row r="14677">
          <cell r="A14677" t="str">
            <v>橙3星圣角36级</v>
          </cell>
          <cell r="B14677">
            <v>1407036</v>
          </cell>
        </row>
        <row r="14678">
          <cell r="A14678" t="str">
            <v>橙3星圣角37级</v>
          </cell>
          <cell r="B14678">
            <v>1407037</v>
          </cell>
        </row>
        <row r="14679">
          <cell r="A14679" t="str">
            <v>橙3星圣角38级</v>
          </cell>
          <cell r="B14679">
            <v>1407038</v>
          </cell>
        </row>
        <row r="14680">
          <cell r="A14680" t="str">
            <v>橙3星圣角39级</v>
          </cell>
          <cell r="B14680">
            <v>1407039</v>
          </cell>
        </row>
        <row r="14681">
          <cell r="A14681" t="str">
            <v>橙3星圣角40级</v>
          </cell>
          <cell r="B14681">
            <v>1407040</v>
          </cell>
        </row>
        <row r="14682">
          <cell r="A14682" t="str">
            <v>橙3星圣角41级</v>
          </cell>
          <cell r="B14682">
            <v>1407041</v>
          </cell>
        </row>
        <row r="14683">
          <cell r="A14683" t="str">
            <v>橙3星圣角42级</v>
          </cell>
          <cell r="B14683">
            <v>1407042</v>
          </cell>
        </row>
        <row r="14684">
          <cell r="A14684" t="str">
            <v>橙3星圣角43级</v>
          </cell>
          <cell r="B14684">
            <v>1407043</v>
          </cell>
        </row>
        <row r="14685">
          <cell r="A14685" t="str">
            <v>橙3星圣角44级</v>
          </cell>
          <cell r="B14685">
            <v>1407044</v>
          </cell>
        </row>
        <row r="14686">
          <cell r="A14686" t="str">
            <v>橙3星圣角45级</v>
          </cell>
          <cell r="B14686">
            <v>1407045</v>
          </cell>
        </row>
        <row r="14687">
          <cell r="A14687" t="str">
            <v>橙3星圣角46级</v>
          </cell>
          <cell r="B14687">
            <v>1407046</v>
          </cell>
        </row>
        <row r="14688">
          <cell r="A14688" t="str">
            <v>橙3星圣角47级</v>
          </cell>
          <cell r="B14688">
            <v>1407047</v>
          </cell>
        </row>
        <row r="14689">
          <cell r="A14689" t="str">
            <v>橙3星圣角48级</v>
          </cell>
          <cell r="B14689">
            <v>1407048</v>
          </cell>
        </row>
        <row r="14690">
          <cell r="A14690" t="str">
            <v>橙3星圣角49级</v>
          </cell>
          <cell r="B14690">
            <v>1407049</v>
          </cell>
        </row>
        <row r="14691">
          <cell r="A14691" t="str">
            <v>橙3星圣角50级</v>
          </cell>
          <cell r="B14691">
            <v>1407050</v>
          </cell>
        </row>
        <row r="14692">
          <cell r="A14692" t="str">
            <v>橙3星圣角51级</v>
          </cell>
          <cell r="B14692">
            <v>1407051</v>
          </cell>
        </row>
        <row r="14693">
          <cell r="A14693" t="str">
            <v>橙3星圣角52级</v>
          </cell>
          <cell r="B14693">
            <v>1407052</v>
          </cell>
        </row>
        <row r="14694">
          <cell r="A14694" t="str">
            <v>橙3星圣角53级</v>
          </cell>
          <cell r="B14694">
            <v>1407053</v>
          </cell>
        </row>
        <row r="14695">
          <cell r="A14695" t="str">
            <v>橙3星圣角54级</v>
          </cell>
          <cell r="B14695">
            <v>1407054</v>
          </cell>
        </row>
        <row r="14696">
          <cell r="A14696" t="str">
            <v>橙3星圣角55级</v>
          </cell>
          <cell r="B14696">
            <v>1407055</v>
          </cell>
        </row>
        <row r="14697">
          <cell r="A14697" t="str">
            <v>橙3星圣角56级</v>
          </cell>
          <cell r="B14697">
            <v>1407056</v>
          </cell>
        </row>
        <row r="14698">
          <cell r="A14698" t="str">
            <v>橙3星圣角57级</v>
          </cell>
          <cell r="B14698">
            <v>1407057</v>
          </cell>
        </row>
        <row r="14699">
          <cell r="A14699" t="str">
            <v>橙3星圣角58级</v>
          </cell>
          <cell r="B14699">
            <v>1407058</v>
          </cell>
        </row>
        <row r="14700">
          <cell r="A14700" t="str">
            <v>橙3星圣角59级</v>
          </cell>
          <cell r="B14700">
            <v>1407059</v>
          </cell>
        </row>
        <row r="14701">
          <cell r="A14701" t="str">
            <v>橙3星圣角60级</v>
          </cell>
          <cell r="B14701">
            <v>1407060</v>
          </cell>
        </row>
        <row r="14702">
          <cell r="A14702" t="str">
            <v>橙3星圣角61级</v>
          </cell>
          <cell r="B14702">
            <v>1407061</v>
          </cell>
        </row>
        <row r="14703">
          <cell r="A14703" t="str">
            <v>橙3星圣角62级</v>
          </cell>
          <cell r="B14703">
            <v>1407062</v>
          </cell>
        </row>
        <row r="14704">
          <cell r="A14704" t="str">
            <v>橙3星圣角63级</v>
          </cell>
          <cell r="B14704">
            <v>1407063</v>
          </cell>
        </row>
        <row r="14705">
          <cell r="A14705" t="str">
            <v>橙3星圣角64级</v>
          </cell>
          <cell r="B14705">
            <v>1407064</v>
          </cell>
        </row>
        <row r="14706">
          <cell r="A14706" t="str">
            <v>橙3星圣角65级</v>
          </cell>
          <cell r="B14706">
            <v>1407065</v>
          </cell>
        </row>
        <row r="14707">
          <cell r="A14707" t="str">
            <v>橙3星圣角66级</v>
          </cell>
          <cell r="B14707">
            <v>1407066</v>
          </cell>
        </row>
        <row r="14708">
          <cell r="A14708" t="str">
            <v>橙3星圣角67级</v>
          </cell>
          <cell r="B14708">
            <v>1407067</v>
          </cell>
        </row>
        <row r="14709">
          <cell r="A14709" t="str">
            <v>橙3星圣角68级</v>
          </cell>
          <cell r="B14709">
            <v>1407068</v>
          </cell>
        </row>
        <row r="14710">
          <cell r="A14710" t="str">
            <v>橙3星圣角69级</v>
          </cell>
          <cell r="B14710">
            <v>1407069</v>
          </cell>
        </row>
        <row r="14711">
          <cell r="A14711" t="str">
            <v>橙3星圣角70级</v>
          </cell>
          <cell r="B14711">
            <v>1407070</v>
          </cell>
        </row>
        <row r="14712">
          <cell r="A14712" t="str">
            <v>橙3星圣角71级</v>
          </cell>
          <cell r="B14712">
            <v>1407071</v>
          </cell>
        </row>
        <row r="14713">
          <cell r="A14713" t="str">
            <v>橙3星圣角72级</v>
          </cell>
          <cell r="B14713">
            <v>1407072</v>
          </cell>
        </row>
        <row r="14714">
          <cell r="A14714" t="str">
            <v>橙3星圣角73级</v>
          </cell>
          <cell r="B14714">
            <v>1407073</v>
          </cell>
        </row>
        <row r="14715">
          <cell r="A14715" t="str">
            <v>橙3星圣角74级</v>
          </cell>
          <cell r="B14715">
            <v>1407074</v>
          </cell>
        </row>
        <row r="14716">
          <cell r="A14716" t="str">
            <v>橙3星圣角75级</v>
          </cell>
          <cell r="B14716">
            <v>1407075</v>
          </cell>
        </row>
        <row r="14717">
          <cell r="A14717" t="str">
            <v>橙3星圣角76级</v>
          </cell>
          <cell r="B14717">
            <v>1407076</v>
          </cell>
        </row>
        <row r="14718">
          <cell r="A14718" t="str">
            <v>橙3星圣角77级</v>
          </cell>
          <cell r="B14718">
            <v>1407077</v>
          </cell>
        </row>
        <row r="14719">
          <cell r="A14719" t="str">
            <v>橙3星圣角78级</v>
          </cell>
          <cell r="B14719">
            <v>1407078</v>
          </cell>
        </row>
        <row r="14720">
          <cell r="A14720" t="str">
            <v>橙3星圣角79级</v>
          </cell>
          <cell r="B14720">
            <v>1407079</v>
          </cell>
        </row>
        <row r="14721">
          <cell r="A14721" t="str">
            <v>橙3星圣角80级</v>
          </cell>
          <cell r="B14721">
            <v>1407080</v>
          </cell>
        </row>
        <row r="14722">
          <cell r="A14722" t="str">
            <v>橙3星圣角81级</v>
          </cell>
          <cell r="B14722">
            <v>1407081</v>
          </cell>
        </row>
        <row r="14723">
          <cell r="A14723" t="str">
            <v>橙3星圣角82级</v>
          </cell>
          <cell r="B14723">
            <v>1407082</v>
          </cell>
        </row>
        <row r="14724">
          <cell r="A14724" t="str">
            <v>橙3星圣角83级</v>
          </cell>
          <cell r="B14724">
            <v>1407083</v>
          </cell>
        </row>
        <row r="14725">
          <cell r="A14725" t="str">
            <v>橙3星圣角84级</v>
          </cell>
          <cell r="B14725">
            <v>1407084</v>
          </cell>
        </row>
        <row r="14726">
          <cell r="A14726" t="str">
            <v>橙3星圣角85级</v>
          </cell>
          <cell r="B14726">
            <v>1407085</v>
          </cell>
        </row>
        <row r="14727">
          <cell r="A14727" t="str">
            <v>橙3星圣角86级</v>
          </cell>
          <cell r="B14727">
            <v>1407086</v>
          </cell>
        </row>
        <row r="14728">
          <cell r="A14728" t="str">
            <v>橙3星圣角87级</v>
          </cell>
          <cell r="B14728">
            <v>1407087</v>
          </cell>
        </row>
        <row r="14729">
          <cell r="A14729" t="str">
            <v>橙3星圣角88级</v>
          </cell>
          <cell r="B14729">
            <v>1407088</v>
          </cell>
        </row>
        <row r="14730">
          <cell r="A14730" t="str">
            <v>橙3星圣角89级</v>
          </cell>
          <cell r="B14730">
            <v>1407089</v>
          </cell>
        </row>
        <row r="14731">
          <cell r="A14731" t="str">
            <v>橙3星圣角90级</v>
          </cell>
          <cell r="B14731">
            <v>1407090</v>
          </cell>
        </row>
        <row r="14732">
          <cell r="A14732" t="str">
            <v>橙3星圣角91级</v>
          </cell>
          <cell r="B14732">
            <v>1407091</v>
          </cell>
        </row>
        <row r="14733">
          <cell r="A14733" t="str">
            <v>橙3星圣角92级</v>
          </cell>
          <cell r="B14733">
            <v>1407092</v>
          </cell>
        </row>
        <row r="14734">
          <cell r="A14734" t="str">
            <v>橙3星圣角93级</v>
          </cell>
          <cell r="B14734">
            <v>1407093</v>
          </cell>
        </row>
        <row r="14735">
          <cell r="A14735" t="str">
            <v>橙3星圣角94级</v>
          </cell>
          <cell r="B14735">
            <v>1407094</v>
          </cell>
        </row>
        <row r="14736">
          <cell r="A14736" t="str">
            <v>橙3星圣角95级</v>
          </cell>
          <cell r="B14736">
            <v>1407095</v>
          </cell>
        </row>
        <row r="14737">
          <cell r="A14737" t="str">
            <v>橙3星圣角96级</v>
          </cell>
          <cell r="B14737">
            <v>1407096</v>
          </cell>
        </row>
        <row r="14738">
          <cell r="A14738" t="str">
            <v>橙3星圣角97级</v>
          </cell>
          <cell r="B14738">
            <v>1407097</v>
          </cell>
        </row>
        <row r="14739">
          <cell r="A14739" t="str">
            <v>橙3星圣角98级</v>
          </cell>
          <cell r="B14739">
            <v>1407098</v>
          </cell>
        </row>
        <row r="14740">
          <cell r="A14740" t="str">
            <v>橙3星圣角99级</v>
          </cell>
          <cell r="B14740">
            <v>1407099</v>
          </cell>
        </row>
        <row r="14741">
          <cell r="A14741" t="str">
            <v>橙3星圣角100级</v>
          </cell>
          <cell r="B14741">
            <v>1407100</v>
          </cell>
        </row>
        <row r="14742">
          <cell r="A14742" t="str">
            <v>红3星圣角1级</v>
          </cell>
          <cell r="B14742">
            <v>1408001</v>
          </cell>
        </row>
        <row r="14743">
          <cell r="A14743" t="str">
            <v>红3星圣角2级</v>
          </cell>
          <cell r="B14743">
            <v>1408002</v>
          </cell>
        </row>
        <row r="14744">
          <cell r="A14744" t="str">
            <v>红3星圣角3级</v>
          </cell>
          <cell r="B14744">
            <v>1408003</v>
          </cell>
        </row>
        <row r="14745">
          <cell r="A14745" t="str">
            <v>红3星圣角4级</v>
          </cell>
          <cell r="B14745">
            <v>1408004</v>
          </cell>
        </row>
        <row r="14746">
          <cell r="A14746" t="str">
            <v>红3星圣角5级</v>
          </cell>
          <cell r="B14746">
            <v>1408005</v>
          </cell>
        </row>
        <row r="14747">
          <cell r="A14747" t="str">
            <v>红3星圣角6级</v>
          </cell>
          <cell r="B14747">
            <v>1408006</v>
          </cell>
        </row>
        <row r="14748">
          <cell r="A14748" t="str">
            <v>红3星圣角7级</v>
          </cell>
          <cell r="B14748">
            <v>1408007</v>
          </cell>
        </row>
        <row r="14749">
          <cell r="A14749" t="str">
            <v>红3星圣角8级</v>
          </cell>
          <cell r="B14749">
            <v>1408008</v>
          </cell>
        </row>
        <row r="14750">
          <cell r="A14750" t="str">
            <v>红3星圣角9级</v>
          </cell>
          <cell r="B14750">
            <v>1408009</v>
          </cell>
        </row>
        <row r="14751">
          <cell r="A14751" t="str">
            <v>红3星圣角10级</v>
          </cell>
          <cell r="B14751">
            <v>1408010</v>
          </cell>
        </row>
        <row r="14752">
          <cell r="A14752" t="str">
            <v>红3星圣角11级</v>
          </cell>
          <cell r="B14752">
            <v>1408011</v>
          </cell>
        </row>
        <row r="14753">
          <cell r="A14753" t="str">
            <v>红3星圣角12级</v>
          </cell>
          <cell r="B14753">
            <v>1408012</v>
          </cell>
        </row>
        <row r="14754">
          <cell r="A14754" t="str">
            <v>红3星圣角13级</v>
          </cell>
          <cell r="B14754">
            <v>1408013</v>
          </cell>
        </row>
        <row r="14755">
          <cell r="A14755" t="str">
            <v>红3星圣角14级</v>
          </cell>
          <cell r="B14755">
            <v>1408014</v>
          </cell>
        </row>
        <row r="14756">
          <cell r="A14756" t="str">
            <v>红3星圣角15级</v>
          </cell>
          <cell r="B14756">
            <v>1408015</v>
          </cell>
        </row>
        <row r="14757">
          <cell r="A14757" t="str">
            <v>红3星圣角16级</v>
          </cell>
          <cell r="B14757">
            <v>1408016</v>
          </cell>
        </row>
        <row r="14758">
          <cell r="A14758" t="str">
            <v>红3星圣角17级</v>
          </cell>
          <cell r="B14758">
            <v>1408017</v>
          </cell>
        </row>
        <row r="14759">
          <cell r="A14759" t="str">
            <v>红3星圣角18级</v>
          </cell>
          <cell r="B14759">
            <v>1408018</v>
          </cell>
        </row>
        <row r="14760">
          <cell r="A14760" t="str">
            <v>红3星圣角19级</v>
          </cell>
          <cell r="B14760">
            <v>1408019</v>
          </cell>
        </row>
        <row r="14761">
          <cell r="A14761" t="str">
            <v>红3星圣角20级</v>
          </cell>
          <cell r="B14761">
            <v>1408020</v>
          </cell>
        </row>
        <row r="14762">
          <cell r="A14762" t="str">
            <v>红3星圣角21级</v>
          </cell>
          <cell r="B14762">
            <v>1408021</v>
          </cell>
        </row>
        <row r="14763">
          <cell r="A14763" t="str">
            <v>红3星圣角22级</v>
          </cell>
          <cell r="B14763">
            <v>1408022</v>
          </cell>
        </row>
        <row r="14764">
          <cell r="A14764" t="str">
            <v>红3星圣角23级</v>
          </cell>
          <cell r="B14764">
            <v>1408023</v>
          </cell>
        </row>
        <row r="14765">
          <cell r="A14765" t="str">
            <v>红3星圣角24级</v>
          </cell>
          <cell r="B14765">
            <v>1408024</v>
          </cell>
        </row>
        <row r="14766">
          <cell r="A14766" t="str">
            <v>红3星圣角25级</v>
          </cell>
          <cell r="B14766">
            <v>1408025</v>
          </cell>
        </row>
        <row r="14767">
          <cell r="A14767" t="str">
            <v>红3星圣角26级</v>
          </cell>
          <cell r="B14767">
            <v>1408026</v>
          </cell>
        </row>
        <row r="14768">
          <cell r="A14768" t="str">
            <v>红3星圣角27级</v>
          </cell>
          <cell r="B14768">
            <v>1408027</v>
          </cell>
        </row>
        <row r="14769">
          <cell r="A14769" t="str">
            <v>红3星圣角28级</v>
          </cell>
          <cell r="B14769">
            <v>1408028</v>
          </cell>
        </row>
        <row r="14770">
          <cell r="A14770" t="str">
            <v>红3星圣角29级</v>
          </cell>
          <cell r="B14770">
            <v>1408029</v>
          </cell>
        </row>
        <row r="14771">
          <cell r="A14771" t="str">
            <v>红3星圣角30级</v>
          </cell>
          <cell r="B14771">
            <v>1408030</v>
          </cell>
        </row>
        <row r="14772">
          <cell r="A14772" t="str">
            <v>红3星圣角31级</v>
          </cell>
          <cell r="B14772">
            <v>1408031</v>
          </cell>
        </row>
        <row r="14773">
          <cell r="A14773" t="str">
            <v>红3星圣角32级</v>
          </cell>
          <cell r="B14773">
            <v>1408032</v>
          </cell>
        </row>
        <row r="14774">
          <cell r="A14774" t="str">
            <v>红3星圣角33级</v>
          </cell>
          <cell r="B14774">
            <v>1408033</v>
          </cell>
        </row>
        <row r="14775">
          <cell r="A14775" t="str">
            <v>红3星圣角34级</v>
          </cell>
          <cell r="B14775">
            <v>1408034</v>
          </cell>
        </row>
        <row r="14776">
          <cell r="A14776" t="str">
            <v>红3星圣角35级</v>
          </cell>
          <cell r="B14776">
            <v>1408035</v>
          </cell>
        </row>
        <row r="14777">
          <cell r="A14777" t="str">
            <v>红3星圣角36级</v>
          </cell>
          <cell r="B14777">
            <v>1408036</v>
          </cell>
        </row>
        <row r="14778">
          <cell r="A14778" t="str">
            <v>红3星圣角37级</v>
          </cell>
          <cell r="B14778">
            <v>1408037</v>
          </cell>
        </row>
        <row r="14779">
          <cell r="A14779" t="str">
            <v>红3星圣角38级</v>
          </cell>
          <cell r="B14779">
            <v>1408038</v>
          </cell>
        </row>
        <row r="14780">
          <cell r="A14780" t="str">
            <v>红3星圣角39级</v>
          </cell>
          <cell r="B14780">
            <v>1408039</v>
          </cell>
        </row>
        <row r="14781">
          <cell r="A14781" t="str">
            <v>红3星圣角40级</v>
          </cell>
          <cell r="B14781">
            <v>1408040</v>
          </cell>
        </row>
        <row r="14782">
          <cell r="A14782" t="str">
            <v>红3星圣角41级</v>
          </cell>
          <cell r="B14782">
            <v>1408041</v>
          </cell>
        </row>
        <row r="14783">
          <cell r="A14783" t="str">
            <v>红3星圣角42级</v>
          </cell>
          <cell r="B14783">
            <v>1408042</v>
          </cell>
        </row>
        <row r="14784">
          <cell r="A14784" t="str">
            <v>红3星圣角43级</v>
          </cell>
          <cell r="B14784">
            <v>1408043</v>
          </cell>
        </row>
        <row r="14785">
          <cell r="A14785" t="str">
            <v>红3星圣角44级</v>
          </cell>
          <cell r="B14785">
            <v>1408044</v>
          </cell>
        </row>
        <row r="14786">
          <cell r="A14786" t="str">
            <v>红3星圣角45级</v>
          </cell>
          <cell r="B14786">
            <v>1408045</v>
          </cell>
        </row>
        <row r="14787">
          <cell r="A14787" t="str">
            <v>红3星圣角46级</v>
          </cell>
          <cell r="B14787">
            <v>1408046</v>
          </cell>
        </row>
        <row r="14788">
          <cell r="A14788" t="str">
            <v>红3星圣角47级</v>
          </cell>
          <cell r="B14788">
            <v>1408047</v>
          </cell>
        </row>
        <row r="14789">
          <cell r="A14789" t="str">
            <v>红3星圣角48级</v>
          </cell>
          <cell r="B14789">
            <v>1408048</v>
          </cell>
        </row>
        <row r="14790">
          <cell r="A14790" t="str">
            <v>红3星圣角49级</v>
          </cell>
          <cell r="B14790">
            <v>1408049</v>
          </cell>
        </row>
        <row r="14791">
          <cell r="A14791" t="str">
            <v>红3星圣角50级</v>
          </cell>
          <cell r="B14791">
            <v>1408050</v>
          </cell>
        </row>
        <row r="14792">
          <cell r="A14792" t="str">
            <v>红3星圣角51级</v>
          </cell>
          <cell r="B14792">
            <v>1408051</v>
          </cell>
        </row>
        <row r="14793">
          <cell r="A14793" t="str">
            <v>红3星圣角52级</v>
          </cell>
          <cell r="B14793">
            <v>1408052</v>
          </cell>
        </row>
        <row r="14794">
          <cell r="A14794" t="str">
            <v>红3星圣角53级</v>
          </cell>
          <cell r="B14794">
            <v>1408053</v>
          </cell>
        </row>
        <row r="14795">
          <cell r="A14795" t="str">
            <v>红3星圣角54级</v>
          </cell>
          <cell r="B14795">
            <v>1408054</v>
          </cell>
        </row>
        <row r="14796">
          <cell r="A14796" t="str">
            <v>红3星圣角55级</v>
          </cell>
          <cell r="B14796">
            <v>1408055</v>
          </cell>
        </row>
        <row r="14797">
          <cell r="A14797" t="str">
            <v>红3星圣角56级</v>
          </cell>
          <cell r="B14797">
            <v>1408056</v>
          </cell>
        </row>
        <row r="14798">
          <cell r="A14798" t="str">
            <v>红3星圣角57级</v>
          </cell>
          <cell r="B14798">
            <v>1408057</v>
          </cell>
        </row>
        <row r="14799">
          <cell r="A14799" t="str">
            <v>红3星圣角58级</v>
          </cell>
          <cell r="B14799">
            <v>1408058</v>
          </cell>
        </row>
        <row r="14800">
          <cell r="A14800" t="str">
            <v>红3星圣角59级</v>
          </cell>
          <cell r="B14800">
            <v>1408059</v>
          </cell>
        </row>
        <row r="14801">
          <cell r="A14801" t="str">
            <v>红3星圣角60级</v>
          </cell>
          <cell r="B14801">
            <v>1408060</v>
          </cell>
        </row>
        <row r="14802">
          <cell r="A14802" t="str">
            <v>红3星圣角61级</v>
          </cell>
          <cell r="B14802">
            <v>1408061</v>
          </cell>
        </row>
        <row r="14803">
          <cell r="A14803" t="str">
            <v>红3星圣角62级</v>
          </cell>
          <cell r="B14803">
            <v>1408062</v>
          </cell>
        </row>
        <row r="14804">
          <cell r="A14804" t="str">
            <v>红3星圣角63级</v>
          </cell>
          <cell r="B14804">
            <v>1408063</v>
          </cell>
        </row>
        <row r="14805">
          <cell r="A14805" t="str">
            <v>红3星圣角64级</v>
          </cell>
          <cell r="B14805">
            <v>1408064</v>
          </cell>
        </row>
        <row r="14806">
          <cell r="A14806" t="str">
            <v>红3星圣角65级</v>
          </cell>
          <cell r="B14806">
            <v>1408065</v>
          </cell>
        </row>
        <row r="14807">
          <cell r="A14807" t="str">
            <v>红3星圣角66级</v>
          </cell>
          <cell r="B14807">
            <v>1408066</v>
          </cell>
        </row>
        <row r="14808">
          <cell r="A14808" t="str">
            <v>红3星圣角67级</v>
          </cell>
          <cell r="B14808">
            <v>1408067</v>
          </cell>
        </row>
        <row r="14809">
          <cell r="A14809" t="str">
            <v>红3星圣角68级</v>
          </cell>
          <cell r="B14809">
            <v>1408068</v>
          </cell>
        </row>
        <row r="14810">
          <cell r="A14810" t="str">
            <v>红3星圣角69级</v>
          </cell>
          <cell r="B14810">
            <v>1408069</v>
          </cell>
        </row>
        <row r="14811">
          <cell r="A14811" t="str">
            <v>红3星圣角70级</v>
          </cell>
          <cell r="B14811">
            <v>1408070</v>
          </cell>
        </row>
        <row r="14812">
          <cell r="A14812" t="str">
            <v>红3星圣角71级</v>
          </cell>
          <cell r="B14812">
            <v>1408071</v>
          </cell>
        </row>
        <row r="14813">
          <cell r="A14813" t="str">
            <v>红3星圣角72级</v>
          </cell>
          <cell r="B14813">
            <v>1408072</v>
          </cell>
        </row>
        <row r="14814">
          <cell r="A14814" t="str">
            <v>红3星圣角73级</v>
          </cell>
          <cell r="B14814">
            <v>1408073</v>
          </cell>
        </row>
        <row r="14815">
          <cell r="A14815" t="str">
            <v>红3星圣角74级</v>
          </cell>
          <cell r="B14815">
            <v>1408074</v>
          </cell>
        </row>
        <row r="14816">
          <cell r="A14816" t="str">
            <v>红3星圣角75级</v>
          </cell>
          <cell r="B14816">
            <v>1408075</v>
          </cell>
        </row>
        <row r="14817">
          <cell r="A14817" t="str">
            <v>红3星圣角76级</v>
          </cell>
          <cell r="B14817">
            <v>1408076</v>
          </cell>
        </row>
        <row r="14818">
          <cell r="A14818" t="str">
            <v>红3星圣角77级</v>
          </cell>
          <cell r="B14818">
            <v>1408077</v>
          </cell>
        </row>
        <row r="14819">
          <cell r="A14819" t="str">
            <v>红3星圣角78级</v>
          </cell>
          <cell r="B14819">
            <v>1408078</v>
          </cell>
        </row>
        <row r="14820">
          <cell r="A14820" t="str">
            <v>红3星圣角79级</v>
          </cell>
          <cell r="B14820">
            <v>1408079</v>
          </cell>
        </row>
        <row r="14821">
          <cell r="A14821" t="str">
            <v>红3星圣角80级</v>
          </cell>
          <cell r="B14821">
            <v>1408080</v>
          </cell>
        </row>
        <row r="14822">
          <cell r="A14822" t="str">
            <v>红3星圣角81级</v>
          </cell>
          <cell r="B14822">
            <v>1408081</v>
          </cell>
        </row>
        <row r="14823">
          <cell r="A14823" t="str">
            <v>红3星圣角82级</v>
          </cell>
          <cell r="B14823">
            <v>1408082</v>
          </cell>
        </row>
        <row r="14824">
          <cell r="A14824" t="str">
            <v>红3星圣角83级</v>
          </cell>
          <cell r="B14824">
            <v>1408083</v>
          </cell>
        </row>
        <row r="14825">
          <cell r="A14825" t="str">
            <v>红3星圣角84级</v>
          </cell>
          <cell r="B14825">
            <v>1408084</v>
          </cell>
        </row>
        <row r="14826">
          <cell r="A14826" t="str">
            <v>红3星圣角85级</v>
          </cell>
          <cell r="B14826">
            <v>1408085</v>
          </cell>
        </row>
        <row r="14827">
          <cell r="A14827" t="str">
            <v>红3星圣角86级</v>
          </cell>
          <cell r="B14827">
            <v>1408086</v>
          </cell>
        </row>
        <row r="14828">
          <cell r="A14828" t="str">
            <v>红3星圣角87级</v>
          </cell>
          <cell r="B14828">
            <v>1408087</v>
          </cell>
        </row>
        <row r="14829">
          <cell r="A14829" t="str">
            <v>红3星圣角88级</v>
          </cell>
          <cell r="B14829">
            <v>1408088</v>
          </cell>
        </row>
        <row r="14830">
          <cell r="A14830" t="str">
            <v>红3星圣角89级</v>
          </cell>
          <cell r="B14830">
            <v>1408089</v>
          </cell>
        </row>
        <row r="14831">
          <cell r="A14831" t="str">
            <v>红3星圣角90级</v>
          </cell>
          <cell r="B14831">
            <v>1408090</v>
          </cell>
        </row>
        <row r="14832">
          <cell r="A14832" t="str">
            <v>红3星圣角91级</v>
          </cell>
          <cell r="B14832">
            <v>1408091</v>
          </cell>
        </row>
        <row r="14833">
          <cell r="A14833" t="str">
            <v>红3星圣角92级</v>
          </cell>
          <cell r="B14833">
            <v>1408092</v>
          </cell>
        </row>
        <row r="14834">
          <cell r="A14834" t="str">
            <v>红3星圣角93级</v>
          </cell>
          <cell r="B14834">
            <v>1408093</v>
          </cell>
        </row>
        <row r="14835">
          <cell r="A14835" t="str">
            <v>红3星圣角94级</v>
          </cell>
          <cell r="B14835">
            <v>1408094</v>
          </cell>
        </row>
        <row r="14836">
          <cell r="A14836" t="str">
            <v>红3星圣角95级</v>
          </cell>
          <cell r="B14836">
            <v>1408095</v>
          </cell>
        </row>
        <row r="14837">
          <cell r="A14837" t="str">
            <v>红3星圣角96级</v>
          </cell>
          <cell r="B14837">
            <v>1408096</v>
          </cell>
        </row>
        <row r="14838">
          <cell r="A14838" t="str">
            <v>红3星圣角97级</v>
          </cell>
          <cell r="B14838">
            <v>1408097</v>
          </cell>
        </row>
        <row r="14839">
          <cell r="A14839" t="str">
            <v>红3星圣角98级</v>
          </cell>
          <cell r="B14839">
            <v>1408098</v>
          </cell>
        </row>
        <row r="14840">
          <cell r="A14840" t="str">
            <v>红3星圣角99级</v>
          </cell>
          <cell r="B14840">
            <v>1408099</v>
          </cell>
        </row>
        <row r="14841">
          <cell r="A14841" t="str">
            <v>红3星圣角100级</v>
          </cell>
          <cell r="B14841">
            <v>1408100</v>
          </cell>
        </row>
        <row r="14842">
          <cell r="A14842" t="str">
            <v>神红3星圣角1级</v>
          </cell>
          <cell r="B14842">
            <v>1409001</v>
          </cell>
        </row>
        <row r="14843">
          <cell r="A14843" t="str">
            <v>神红3星圣角2级</v>
          </cell>
          <cell r="B14843">
            <v>1409002</v>
          </cell>
        </row>
        <row r="14844">
          <cell r="A14844" t="str">
            <v>神红3星圣角3级</v>
          </cell>
          <cell r="B14844">
            <v>1409003</v>
          </cell>
        </row>
        <row r="14845">
          <cell r="A14845" t="str">
            <v>神红3星圣角4级</v>
          </cell>
          <cell r="B14845">
            <v>1409004</v>
          </cell>
        </row>
        <row r="14846">
          <cell r="A14846" t="str">
            <v>神红3星圣角5级</v>
          </cell>
          <cell r="B14846">
            <v>1409005</v>
          </cell>
        </row>
        <row r="14847">
          <cell r="A14847" t="str">
            <v>神红3星圣角6级</v>
          </cell>
          <cell r="B14847">
            <v>1409006</v>
          </cell>
        </row>
        <row r="14848">
          <cell r="A14848" t="str">
            <v>神红3星圣角7级</v>
          </cell>
          <cell r="B14848">
            <v>1409007</v>
          </cell>
        </row>
        <row r="14849">
          <cell r="A14849" t="str">
            <v>神红3星圣角8级</v>
          </cell>
          <cell r="B14849">
            <v>1409008</v>
          </cell>
        </row>
        <row r="14850">
          <cell r="A14850" t="str">
            <v>神红3星圣角9级</v>
          </cell>
          <cell r="B14850">
            <v>1409009</v>
          </cell>
        </row>
        <row r="14851">
          <cell r="A14851" t="str">
            <v>神红3星圣角10级</v>
          </cell>
          <cell r="B14851">
            <v>1409010</v>
          </cell>
        </row>
        <row r="14852">
          <cell r="A14852" t="str">
            <v>神红3星圣角11级</v>
          </cell>
          <cell r="B14852">
            <v>1409011</v>
          </cell>
        </row>
        <row r="14853">
          <cell r="A14853" t="str">
            <v>神红3星圣角12级</v>
          </cell>
          <cell r="B14853">
            <v>1409012</v>
          </cell>
        </row>
        <row r="14854">
          <cell r="A14854" t="str">
            <v>神红3星圣角13级</v>
          </cell>
          <cell r="B14854">
            <v>1409013</v>
          </cell>
        </row>
        <row r="14855">
          <cell r="A14855" t="str">
            <v>神红3星圣角14级</v>
          </cell>
          <cell r="B14855">
            <v>1409014</v>
          </cell>
        </row>
        <row r="14856">
          <cell r="A14856" t="str">
            <v>神红3星圣角15级</v>
          </cell>
          <cell r="B14856">
            <v>1409015</v>
          </cell>
        </row>
        <row r="14857">
          <cell r="A14857" t="str">
            <v>神红3星圣角16级</v>
          </cell>
          <cell r="B14857">
            <v>1409016</v>
          </cell>
        </row>
        <row r="14858">
          <cell r="A14858" t="str">
            <v>神红3星圣角17级</v>
          </cell>
          <cell r="B14858">
            <v>1409017</v>
          </cell>
        </row>
        <row r="14859">
          <cell r="A14859" t="str">
            <v>神红3星圣角18级</v>
          </cell>
          <cell r="B14859">
            <v>1409018</v>
          </cell>
        </row>
        <row r="14860">
          <cell r="A14860" t="str">
            <v>神红3星圣角19级</v>
          </cell>
          <cell r="B14860">
            <v>1409019</v>
          </cell>
        </row>
        <row r="14861">
          <cell r="A14861" t="str">
            <v>神红3星圣角20级</v>
          </cell>
          <cell r="B14861">
            <v>1409020</v>
          </cell>
        </row>
        <row r="14862">
          <cell r="A14862" t="str">
            <v>神红3星圣角21级</v>
          </cell>
          <cell r="B14862">
            <v>1409021</v>
          </cell>
        </row>
        <row r="14863">
          <cell r="A14863" t="str">
            <v>神红3星圣角22级</v>
          </cell>
          <cell r="B14863">
            <v>1409022</v>
          </cell>
        </row>
        <row r="14864">
          <cell r="A14864" t="str">
            <v>神红3星圣角23级</v>
          </cell>
          <cell r="B14864">
            <v>1409023</v>
          </cell>
        </row>
        <row r="14865">
          <cell r="A14865" t="str">
            <v>神红3星圣角24级</v>
          </cell>
          <cell r="B14865">
            <v>1409024</v>
          </cell>
        </row>
        <row r="14866">
          <cell r="A14866" t="str">
            <v>神红3星圣角25级</v>
          </cell>
          <cell r="B14866">
            <v>1409025</v>
          </cell>
        </row>
        <row r="14867">
          <cell r="A14867" t="str">
            <v>神红3星圣角26级</v>
          </cell>
          <cell r="B14867">
            <v>1409026</v>
          </cell>
        </row>
        <row r="14868">
          <cell r="A14868" t="str">
            <v>神红3星圣角27级</v>
          </cell>
          <cell r="B14868">
            <v>1409027</v>
          </cell>
        </row>
        <row r="14869">
          <cell r="A14869" t="str">
            <v>神红3星圣角28级</v>
          </cell>
          <cell r="B14869">
            <v>1409028</v>
          </cell>
        </row>
        <row r="14870">
          <cell r="A14870" t="str">
            <v>神红3星圣角29级</v>
          </cell>
          <cell r="B14870">
            <v>1409029</v>
          </cell>
        </row>
        <row r="14871">
          <cell r="A14871" t="str">
            <v>神红3星圣角30级</v>
          </cell>
          <cell r="B14871">
            <v>1409030</v>
          </cell>
        </row>
        <row r="14872">
          <cell r="A14872" t="str">
            <v>神红3星圣角31级</v>
          </cell>
          <cell r="B14872">
            <v>1409031</v>
          </cell>
        </row>
        <row r="14873">
          <cell r="A14873" t="str">
            <v>神红3星圣角32级</v>
          </cell>
          <cell r="B14873">
            <v>1409032</v>
          </cell>
        </row>
        <row r="14874">
          <cell r="A14874" t="str">
            <v>神红3星圣角33级</v>
          </cell>
          <cell r="B14874">
            <v>1409033</v>
          </cell>
        </row>
        <row r="14875">
          <cell r="A14875" t="str">
            <v>神红3星圣角34级</v>
          </cell>
          <cell r="B14875">
            <v>1409034</v>
          </cell>
        </row>
        <row r="14876">
          <cell r="A14876" t="str">
            <v>神红3星圣角35级</v>
          </cell>
          <cell r="B14876">
            <v>1409035</v>
          </cell>
        </row>
        <row r="14877">
          <cell r="A14877" t="str">
            <v>神红3星圣角36级</v>
          </cell>
          <cell r="B14877">
            <v>1409036</v>
          </cell>
        </row>
        <row r="14878">
          <cell r="A14878" t="str">
            <v>神红3星圣角37级</v>
          </cell>
          <cell r="B14878">
            <v>1409037</v>
          </cell>
        </row>
        <row r="14879">
          <cell r="A14879" t="str">
            <v>神红3星圣角38级</v>
          </cell>
          <cell r="B14879">
            <v>1409038</v>
          </cell>
        </row>
        <row r="14880">
          <cell r="A14880" t="str">
            <v>神红3星圣角39级</v>
          </cell>
          <cell r="B14880">
            <v>1409039</v>
          </cell>
        </row>
        <row r="14881">
          <cell r="A14881" t="str">
            <v>神红3星圣角40级</v>
          </cell>
          <cell r="B14881">
            <v>1409040</v>
          </cell>
        </row>
        <row r="14882">
          <cell r="A14882" t="str">
            <v>神红3星圣角41级</v>
          </cell>
          <cell r="B14882">
            <v>1409041</v>
          </cell>
        </row>
        <row r="14883">
          <cell r="A14883" t="str">
            <v>神红3星圣角42级</v>
          </cell>
          <cell r="B14883">
            <v>1409042</v>
          </cell>
        </row>
        <row r="14884">
          <cell r="A14884" t="str">
            <v>神红3星圣角43级</v>
          </cell>
          <cell r="B14884">
            <v>1409043</v>
          </cell>
        </row>
        <row r="14885">
          <cell r="A14885" t="str">
            <v>神红3星圣角44级</v>
          </cell>
          <cell r="B14885">
            <v>1409044</v>
          </cell>
        </row>
        <row r="14886">
          <cell r="A14886" t="str">
            <v>神红3星圣角45级</v>
          </cell>
          <cell r="B14886">
            <v>1409045</v>
          </cell>
        </row>
        <row r="14887">
          <cell r="A14887" t="str">
            <v>神红3星圣角46级</v>
          </cell>
          <cell r="B14887">
            <v>1409046</v>
          </cell>
        </row>
        <row r="14888">
          <cell r="A14888" t="str">
            <v>神红3星圣角47级</v>
          </cell>
          <cell r="B14888">
            <v>1409047</v>
          </cell>
        </row>
        <row r="14889">
          <cell r="A14889" t="str">
            <v>神红3星圣角48级</v>
          </cell>
          <cell r="B14889">
            <v>1409048</v>
          </cell>
        </row>
        <row r="14890">
          <cell r="A14890" t="str">
            <v>神红3星圣角49级</v>
          </cell>
          <cell r="B14890">
            <v>1409049</v>
          </cell>
        </row>
        <row r="14891">
          <cell r="A14891" t="str">
            <v>神红3星圣角50级</v>
          </cell>
          <cell r="B14891">
            <v>1409050</v>
          </cell>
        </row>
        <row r="14892">
          <cell r="A14892" t="str">
            <v>神红3星圣角51级</v>
          </cell>
          <cell r="B14892">
            <v>1409051</v>
          </cell>
        </row>
        <row r="14893">
          <cell r="A14893" t="str">
            <v>神红3星圣角52级</v>
          </cell>
          <cell r="B14893">
            <v>1409052</v>
          </cell>
        </row>
        <row r="14894">
          <cell r="A14894" t="str">
            <v>神红3星圣角53级</v>
          </cell>
          <cell r="B14894">
            <v>1409053</v>
          </cell>
        </row>
        <row r="14895">
          <cell r="A14895" t="str">
            <v>神红3星圣角54级</v>
          </cell>
          <cell r="B14895">
            <v>1409054</v>
          </cell>
        </row>
        <row r="14896">
          <cell r="A14896" t="str">
            <v>神红3星圣角55级</v>
          </cell>
          <cell r="B14896">
            <v>1409055</v>
          </cell>
        </row>
        <row r="14897">
          <cell r="A14897" t="str">
            <v>神红3星圣角56级</v>
          </cell>
          <cell r="B14897">
            <v>1409056</v>
          </cell>
        </row>
        <row r="14898">
          <cell r="A14898" t="str">
            <v>神红3星圣角57级</v>
          </cell>
          <cell r="B14898">
            <v>1409057</v>
          </cell>
        </row>
        <row r="14899">
          <cell r="A14899" t="str">
            <v>神红3星圣角58级</v>
          </cell>
          <cell r="B14899">
            <v>1409058</v>
          </cell>
        </row>
        <row r="14900">
          <cell r="A14900" t="str">
            <v>神红3星圣角59级</v>
          </cell>
          <cell r="B14900">
            <v>1409059</v>
          </cell>
        </row>
        <row r="14901">
          <cell r="A14901" t="str">
            <v>神红3星圣角60级</v>
          </cell>
          <cell r="B14901">
            <v>1409060</v>
          </cell>
        </row>
        <row r="14902">
          <cell r="A14902" t="str">
            <v>神红3星圣角61级</v>
          </cell>
          <cell r="B14902">
            <v>1409061</v>
          </cell>
        </row>
        <row r="14903">
          <cell r="A14903" t="str">
            <v>神红3星圣角62级</v>
          </cell>
          <cell r="B14903">
            <v>1409062</v>
          </cell>
        </row>
        <row r="14904">
          <cell r="A14904" t="str">
            <v>神红3星圣角63级</v>
          </cell>
          <cell r="B14904">
            <v>1409063</v>
          </cell>
        </row>
        <row r="14905">
          <cell r="A14905" t="str">
            <v>神红3星圣角64级</v>
          </cell>
          <cell r="B14905">
            <v>1409064</v>
          </cell>
        </row>
        <row r="14906">
          <cell r="A14906" t="str">
            <v>神红3星圣角65级</v>
          </cell>
          <cell r="B14906">
            <v>1409065</v>
          </cell>
        </row>
        <row r="14907">
          <cell r="A14907" t="str">
            <v>神红3星圣角66级</v>
          </cell>
          <cell r="B14907">
            <v>1409066</v>
          </cell>
        </row>
        <row r="14908">
          <cell r="A14908" t="str">
            <v>神红3星圣角67级</v>
          </cell>
          <cell r="B14908">
            <v>1409067</v>
          </cell>
        </row>
        <row r="14909">
          <cell r="A14909" t="str">
            <v>神红3星圣角68级</v>
          </cell>
          <cell r="B14909">
            <v>1409068</v>
          </cell>
        </row>
        <row r="14910">
          <cell r="A14910" t="str">
            <v>神红3星圣角69级</v>
          </cell>
          <cell r="B14910">
            <v>1409069</v>
          </cell>
        </row>
        <row r="14911">
          <cell r="A14911" t="str">
            <v>神红3星圣角70级</v>
          </cell>
          <cell r="B14911">
            <v>1409070</v>
          </cell>
        </row>
        <row r="14912">
          <cell r="A14912" t="str">
            <v>神红3星圣角71级</v>
          </cell>
          <cell r="B14912">
            <v>1409071</v>
          </cell>
        </row>
        <row r="14913">
          <cell r="A14913" t="str">
            <v>神红3星圣角72级</v>
          </cell>
          <cell r="B14913">
            <v>1409072</v>
          </cell>
        </row>
        <row r="14914">
          <cell r="A14914" t="str">
            <v>神红3星圣角73级</v>
          </cell>
          <cell r="B14914">
            <v>1409073</v>
          </cell>
        </row>
        <row r="14915">
          <cell r="A14915" t="str">
            <v>神红3星圣角74级</v>
          </cell>
          <cell r="B14915">
            <v>1409074</v>
          </cell>
        </row>
        <row r="14916">
          <cell r="A14916" t="str">
            <v>神红3星圣角75级</v>
          </cell>
          <cell r="B14916">
            <v>1409075</v>
          </cell>
        </row>
        <row r="14917">
          <cell r="A14917" t="str">
            <v>神红3星圣角76级</v>
          </cell>
          <cell r="B14917">
            <v>1409076</v>
          </cell>
        </row>
        <row r="14918">
          <cell r="A14918" t="str">
            <v>神红3星圣角77级</v>
          </cell>
          <cell r="B14918">
            <v>1409077</v>
          </cell>
        </row>
        <row r="14919">
          <cell r="A14919" t="str">
            <v>神红3星圣角78级</v>
          </cell>
          <cell r="B14919">
            <v>1409078</v>
          </cell>
        </row>
        <row r="14920">
          <cell r="A14920" t="str">
            <v>神红3星圣角79级</v>
          </cell>
          <cell r="B14920">
            <v>1409079</v>
          </cell>
        </row>
        <row r="14921">
          <cell r="A14921" t="str">
            <v>神红3星圣角80级</v>
          </cell>
          <cell r="B14921">
            <v>1409080</v>
          </cell>
        </row>
        <row r="14922">
          <cell r="A14922" t="str">
            <v>神红3星圣角81级</v>
          </cell>
          <cell r="B14922">
            <v>1409081</v>
          </cell>
        </row>
        <row r="14923">
          <cell r="A14923" t="str">
            <v>神红3星圣角82级</v>
          </cell>
          <cell r="B14923">
            <v>1409082</v>
          </cell>
        </row>
        <row r="14924">
          <cell r="A14924" t="str">
            <v>神红3星圣角83级</v>
          </cell>
          <cell r="B14924">
            <v>1409083</v>
          </cell>
        </row>
        <row r="14925">
          <cell r="A14925" t="str">
            <v>神红3星圣角84级</v>
          </cell>
          <cell r="B14925">
            <v>1409084</v>
          </cell>
        </row>
        <row r="14926">
          <cell r="A14926" t="str">
            <v>神红3星圣角85级</v>
          </cell>
          <cell r="B14926">
            <v>1409085</v>
          </cell>
        </row>
        <row r="14927">
          <cell r="A14927" t="str">
            <v>神红3星圣角86级</v>
          </cell>
          <cell r="B14927">
            <v>1409086</v>
          </cell>
        </row>
        <row r="14928">
          <cell r="A14928" t="str">
            <v>神红3星圣角87级</v>
          </cell>
          <cell r="B14928">
            <v>1409087</v>
          </cell>
        </row>
        <row r="14929">
          <cell r="A14929" t="str">
            <v>神红3星圣角88级</v>
          </cell>
          <cell r="B14929">
            <v>1409088</v>
          </cell>
        </row>
        <row r="14930">
          <cell r="A14930" t="str">
            <v>神红3星圣角89级</v>
          </cell>
          <cell r="B14930">
            <v>1409089</v>
          </cell>
        </row>
        <row r="14931">
          <cell r="A14931" t="str">
            <v>神红3星圣角90级</v>
          </cell>
          <cell r="B14931">
            <v>1409090</v>
          </cell>
        </row>
        <row r="14932">
          <cell r="A14932" t="str">
            <v>神红3星圣角91级</v>
          </cell>
          <cell r="B14932">
            <v>1409091</v>
          </cell>
        </row>
        <row r="14933">
          <cell r="A14933" t="str">
            <v>神红3星圣角92级</v>
          </cell>
          <cell r="B14933">
            <v>1409092</v>
          </cell>
        </row>
        <row r="14934">
          <cell r="A14934" t="str">
            <v>神红3星圣角93级</v>
          </cell>
          <cell r="B14934">
            <v>1409093</v>
          </cell>
        </row>
        <row r="14935">
          <cell r="A14935" t="str">
            <v>神红3星圣角94级</v>
          </cell>
          <cell r="B14935">
            <v>1409094</v>
          </cell>
        </row>
        <row r="14936">
          <cell r="A14936" t="str">
            <v>神红3星圣角95级</v>
          </cell>
          <cell r="B14936">
            <v>1409095</v>
          </cell>
        </row>
        <row r="14937">
          <cell r="A14937" t="str">
            <v>神红3星圣角96级</v>
          </cell>
          <cell r="B14937">
            <v>1409096</v>
          </cell>
        </row>
        <row r="14938">
          <cell r="A14938" t="str">
            <v>神红3星圣角97级</v>
          </cell>
          <cell r="B14938">
            <v>1409097</v>
          </cell>
        </row>
        <row r="14939">
          <cell r="A14939" t="str">
            <v>神红3星圣角98级</v>
          </cell>
          <cell r="B14939">
            <v>1409098</v>
          </cell>
        </row>
        <row r="14940">
          <cell r="A14940" t="str">
            <v>神红3星圣角99级</v>
          </cell>
          <cell r="B14940">
            <v>1409099</v>
          </cell>
        </row>
        <row r="14941">
          <cell r="A14941" t="str">
            <v>神红3星圣角100级</v>
          </cell>
          <cell r="B14941">
            <v>1409100</v>
          </cell>
        </row>
        <row r="14942">
          <cell r="A14942" t="str">
            <v>圣红3星圣角1级</v>
          </cell>
          <cell r="B14942">
            <v>1410001</v>
          </cell>
        </row>
        <row r="14943">
          <cell r="A14943" t="str">
            <v>圣红3星圣角2级</v>
          </cell>
          <cell r="B14943">
            <v>1410002</v>
          </cell>
        </row>
        <row r="14944">
          <cell r="A14944" t="str">
            <v>圣红3星圣角3级</v>
          </cell>
          <cell r="B14944">
            <v>1410003</v>
          </cell>
        </row>
        <row r="14945">
          <cell r="A14945" t="str">
            <v>圣红3星圣角4级</v>
          </cell>
          <cell r="B14945">
            <v>1410004</v>
          </cell>
        </row>
        <row r="14946">
          <cell r="A14946" t="str">
            <v>圣红3星圣角5级</v>
          </cell>
          <cell r="B14946">
            <v>1410005</v>
          </cell>
        </row>
        <row r="14947">
          <cell r="A14947" t="str">
            <v>圣红3星圣角6级</v>
          </cell>
          <cell r="B14947">
            <v>1410006</v>
          </cell>
        </row>
        <row r="14948">
          <cell r="A14948" t="str">
            <v>圣红3星圣角7级</v>
          </cell>
          <cell r="B14948">
            <v>1410007</v>
          </cell>
        </row>
        <row r="14949">
          <cell r="A14949" t="str">
            <v>圣红3星圣角8级</v>
          </cell>
          <cell r="B14949">
            <v>1410008</v>
          </cell>
        </row>
        <row r="14950">
          <cell r="A14950" t="str">
            <v>圣红3星圣角9级</v>
          </cell>
          <cell r="B14950">
            <v>1410009</v>
          </cell>
        </row>
        <row r="14951">
          <cell r="A14951" t="str">
            <v>圣红3星圣角10级</v>
          </cell>
          <cell r="B14951">
            <v>1410010</v>
          </cell>
        </row>
        <row r="14952">
          <cell r="A14952" t="str">
            <v>圣红3星圣角11级</v>
          </cell>
          <cell r="B14952">
            <v>1410011</v>
          </cell>
        </row>
        <row r="14953">
          <cell r="A14953" t="str">
            <v>圣红3星圣角12级</v>
          </cell>
          <cell r="B14953">
            <v>1410012</v>
          </cell>
        </row>
        <row r="14954">
          <cell r="A14954" t="str">
            <v>圣红3星圣角13级</v>
          </cell>
          <cell r="B14954">
            <v>1410013</v>
          </cell>
        </row>
        <row r="14955">
          <cell r="A14955" t="str">
            <v>圣红3星圣角14级</v>
          </cell>
          <cell r="B14955">
            <v>1410014</v>
          </cell>
        </row>
        <row r="14956">
          <cell r="A14956" t="str">
            <v>圣红3星圣角15级</v>
          </cell>
          <cell r="B14956">
            <v>1410015</v>
          </cell>
        </row>
        <row r="14957">
          <cell r="A14957" t="str">
            <v>圣红3星圣角16级</v>
          </cell>
          <cell r="B14957">
            <v>1410016</v>
          </cell>
        </row>
        <row r="14958">
          <cell r="A14958" t="str">
            <v>圣红3星圣角17级</v>
          </cell>
          <cell r="B14958">
            <v>1410017</v>
          </cell>
        </row>
        <row r="14959">
          <cell r="A14959" t="str">
            <v>圣红3星圣角18级</v>
          </cell>
          <cell r="B14959">
            <v>1410018</v>
          </cell>
        </row>
        <row r="14960">
          <cell r="A14960" t="str">
            <v>圣红3星圣角19级</v>
          </cell>
          <cell r="B14960">
            <v>1410019</v>
          </cell>
        </row>
        <row r="14961">
          <cell r="A14961" t="str">
            <v>圣红3星圣角20级</v>
          </cell>
          <cell r="B14961">
            <v>1410020</v>
          </cell>
        </row>
        <row r="14962">
          <cell r="A14962" t="str">
            <v>圣红3星圣角21级</v>
          </cell>
          <cell r="B14962">
            <v>1410021</v>
          </cell>
        </row>
        <row r="14963">
          <cell r="A14963" t="str">
            <v>圣红3星圣角22级</v>
          </cell>
          <cell r="B14963">
            <v>1410022</v>
          </cell>
        </row>
        <row r="14964">
          <cell r="A14964" t="str">
            <v>圣红3星圣角23级</v>
          </cell>
          <cell r="B14964">
            <v>1410023</v>
          </cell>
        </row>
        <row r="14965">
          <cell r="A14965" t="str">
            <v>圣红3星圣角24级</v>
          </cell>
          <cell r="B14965">
            <v>1410024</v>
          </cell>
        </row>
        <row r="14966">
          <cell r="A14966" t="str">
            <v>圣红3星圣角25级</v>
          </cell>
          <cell r="B14966">
            <v>1410025</v>
          </cell>
        </row>
        <row r="14967">
          <cell r="A14967" t="str">
            <v>圣红3星圣角26级</v>
          </cell>
          <cell r="B14967">
            <v>1410026</v>
          </cell>
        </row>
        <row r="14968">
          <cell r="A14968" t="str">
            <v>圣红3星圣角27级</v>
          </cell>
          <cell r="B14968">
            <v>1410027</v>
          </cell>
        </row>
        <row r="14969">
          <cell r="A14969" t="str">
            <v>圣红3星圣角28级</v>
          </cell>
          <cell r="B14969">
            <v>1410028</v>
          </cell>
        </row>
        <row r="14970">
          <cell r="A14970" t="str">
            <v>圣红3星圣角29级</v>
          </cell>
          <cell r="B14970">
            <v>1410029</v>
          </cell>
        </row>
        <row r="14971">
          <cell r="A14971" t="str">
            <v>圣红3星圣角30级</v>
          </cell>
          <cell r="B14971">
            <v>1410030</v>
          </cell>
        </row>
        <row r="14972">
          <cell r="A14972" t="str">
            <v>圣红3星圣角31级</v>
          </cell>
          <cell r="B14972">
            <v>1410031</v>
          </cell>
        </row>
        <row r="14973">
          <cell r="A14973" t="str">
            <v>圣红3星圣角32级</v>
          </cell>
          <cell r="B14973">
            <v>1410032</v>
          </cell>
        </row>
        <row r="14974">
          <cell r="A14974" t="str">
            <v>圣红3星圣角33级</v>
          </cell>
          <cell r="B14974">
            <v>1410033</v>
          </cell>
        </row>
        <row r="14975">
          <cell r="A14975" t="str">
            <v>圣红3星圣角34级</v>
          </cell>
          <cell r="B14975">
            <v>1410034</v>
          </cell>
        </row>
        <row r="14976">
          <cell r="A14976" t="str">
            <v>圣红3星圣角35级</v>
          </cell>
          <cell r="B14976">
            <v>1410035</v>
          </cell>
        </row>
        <row r="14977">
          <cell r="A14977" t="str">
            <v>圣红3星圣角36级</v>
          </cell>
          <cell r="B14977">
            <v>1410036</v>
          </cell>
        </row>
        <row r="14978">
          <cell r="A14978" t="str">
            <v>圣红3星圣角37级</v>
          </cell>
          <cell r="B14978">
            <v>1410037</v>
          </cell>
        </row>
        <row r="14979">
          <cell r="A14979" t="str">
            <v>圣红3星圣角38级</v>
          </cell>
          <cell r="B14979">
            <v>1410038</v>
          </cell>
        </row>
        <row r="14980">
          <cell r="A14980" t="str">
            <v>圣红3星圣角39级</v>
          </cell>
          <cell r="B14980">
            <v>1410039</v>
          </cell>
        </row>
        <row r="14981">
          <cell r="A14981" t="str">
            <v>圣红3星圣角40级</v>
          </cell>
          <cell r="B14981">
            <v>1410040</v>
          </cell>
        </row>
        <row r="14982">
          <cell r="A14982" t="str">
            <v>圣红3星圣角41级</v>
          </cell>
          <cell r="B14982">
            <v>1410041</v>
          </cell>
        </row>
        <row r="14983">
          <cell r="A14983" t="str">
            <v>圣红3星圣角42级</v>
          </cell>
          <cell r="B14983">
            <v>1410042</v>
          </cell>
        </row>
        <row r="14984">
          <cell r="A14984" t="str">
            <v>圣红3星圣角43级</v>
          </cell>
          <cell r="B14984">
            <v>1410043</v>
          </cell>
        </row>
        <row r="14985">
          <cell r="A14985" t="str">
            <v>圣红3星圣角44级</v>
          </cell>
          <cell r="B14985">
            <v>1410044</v>
          </cell>
        </row>
        <row r="14986">
          <cell r="A14986" t="str">
            <v>圣红3星圣角45级</v>
          </cell>
          <cell r="B14986">
            <v>1410045</v>
          </cell>
        </row>
        <row r="14987">
          <cell r="A14987" t="str">
            <v>圣红3星圣角46级</v>
          </cell>
          <cell r="B14987">
            <v>1410046</v>
          </cell>
        </row>
        <row r="14988">
          <cell r="A14988" t="str">
            <v>圣红3星圣角47级</v>
          </cell>
          <cell r="B14988">
            <v>1410047</v>
          </cell>
        </row>
        <row r="14989">
          <cell r="A14989" t="str">
            <v>圣红3星圣角48级</v>
          </cell>
          <cell r="B14989">
            <v>1410048</v>
          </cell>
        </row>
        <row r="14990">
          <cell r="A14990" t="str">
            <v>圣红3星圣角49级</v>
          </cell>
          <cell r="B14990">
            <v>1410049</v>
          </cell>
        </row>
        <row r="14991">
          <cell r="A14991" t="str">
            <v>圣红3星圣角50级</v>
          </cell>
          <cell r="B14991">
            <v>1410050</v>
          </cell>
        </row>
        <row r="14992">
          <cell r="A14992" t="str">
            <v>圣红3星圣角51级</v>
          </cell>
          <cell r="B14992">
            <v>1410051</v>
          </cell>
        </row>
        <row r="14993">
          <cell r="A14993" t="str">
            <v>圣红3星圣角52级</v>
          </cell>
          <cell r="B14993">
            <v>1410052</v>
          </cell>
        </row>
        <row r="14994">
          <cell r="A14994" t="str">
            <v>圣红3星圣角53级</v>
          </cell>
          <cell r="B14994">
            <v>1410053</v>
          </cell>
        </row>
        <row r="14995">
          <cell r="A14995" t="str">
            <v>圣红3星圣角54级</v>
          </cell>
          <cell r="B14995">
            <v>1410054</v>
          </cell>
        </row>
        <row r="14996">
          <cell r="A14996" t="str">
            <v>圣红3星圣角55级</v>
          </cell>
          <cell r="B14996">
            <v>1410055</v>
          </cell>
        </row>
        <row r="14997">
          <cell r="A14997" t="str">
            <v>圣红3星圣角56级</v>
          </cell>
          <cell r="B14997">
            <v>1410056</v>
          </cell>
        </row>
        <row r="14998">
          <cell r="A14998" t="str">
            <v>圣红3星圣角57级</v>
          </cell>
          <cell r="B14998">
            <v>1410057</v>
          </cell>
        </row>
        <row r="14999">
          <cell r="A14999" t="str">
            <v>圣红3星圣角58级</v>
          </cell>
          <cell r="B14999">
            <v>1410058</v>
          </cell>
        </row>
        <row r="15000">
          <cell r="A15000" t="str">
            <v>圣红3星圣角59级</v>
          </cell>
          <cell r="B15000">
            <v>1410059</v>
          </cell>
        </row>
        <row r="15001">
          <cell r="A15001" t="str">
            <v>圣红3星圣角60级</v>
          </cell>
          <cell r="B15001">
            <v>1410060</v>
          </cell>
        </row>
        <row r="15002">
          <cell r="A15002" t="str">
            <v>圣红3星圣角61级</v>
          </cell>
          <cell r="B15002">
            <v>1410061</v>
          </cell>
        </row>
        <row r="15003">
          <cell r="A15003" t="str">
            <v>圣红3星圣角62级</v>
          </cell>
          <cell r="B15003">
            <v>1410062</v>
          </cell>
        </row>
        <row r="15004">
          <cell r="A15004" t="str">
            <v>圣红3星圣角63级</v>
          </cell>
          <cell r="B15004">
            <v>1410063</v>
          </cell>
        </row>
        <row r="15005">
          <cell r="A15005" t="str">
            <v>圣红3星圣角64级</v>
          </cell>
          <cell r="B15005">
            <v>1410064</v>
          </cell>
        </row>
        <row r="15006">
          <cell r="A15006" t="str">
            <v>圣红3星圣角65级</v>
          </cell>
          <cell r="B15006">
            <v>1410065</v>
          </cell>
        </row>
        <row r="15007">
          <cell r="A15007" t="str">
            <v>圣红3星圣角66级</v>
          </cell>
          <cell r="B15007">
            <v>1410066</v>
          </cell>
        </row>
        <row r="15008">
          <cell r="A15008" t="str">
            <v>圣红3星圣角67级</v>
          </cell>
          <cell r="B15008">
            <v>1410067</v>
          </cell>
        </row>
        <row r="15009">
          <cell r="A15009" t="str">
            <v>圣红3星圣角68级</v>
          </cell>
          <cell r="B15009">
            <v>1410068</v>
          </cell>
        </row>
        <row r="15010">
          <cell r="A15010" t="str">
            <v>圣红3星圣角69级</v>
          </cell>
          <cell r="B15010">
            <v>1410069</v>
          </cell>
        </row>
        <row r="15011">
          <cell r="A15011" t="str">
            <v>圣红3星圣角70级</v>
          </cell>
          <cell r="B15011">
            <v>1410070</v>
          </cell>
        </row>
        <row r="15012">
          <cell r="A15012" t="str">
            <v>圣红3星圣角71级</v>
          </cell>
          <cell r="B15012">
            <v>1410071</v>
          </cell>
        </row>
        <row r="15013">
          <cell r="A15013" t="str">
            <v>圣红3星圣角72级</v>
          </cell>
          <cell r="B15013">
            <v>1410072</v>
          </cell>
        </row>
        <row r="15014">
          <cell r="A15014" t="str">
            <v>圣红3星圣角73级</v>
          </cell>
          <cell r="B15014">
            <v>1410073</v>
          </cell>
        </row>
        <row r="15015">
          <cell r="A15015" t="str">
            <v>圣红3星圣角74级</v>
          </cell>
          <cell r="B15015">
            <v>1410074</v>
          </cell>
        </row>
        <row r="15016">
          <cell r="A15016" t="str">
            <v>圣红3星圣角75级</v>
          </cell>
          <cell r="B15016">
            <v>1410075</v>
          </cell>
        </row>
        <row r="15017">
          <cell r="A15017" t="str">
            <v>圣红3星圣角76级</v>
          </cell>
          <cell r="B15017">
            <v>1410076</v>
          </cell>
        </row>
        <row r="15018">
          <cell r="A15018" t="str">
            <v>圣红3星圣角77级</v>
          </cell>
          <cell r="B15018">
            <v>1410077</v>
          </cell>
        </row>
        <row r="15019">
          <cell r="A15019" t="str">
            <v>圣红3星圣角78级</v>
          </cell>
          <cell r="B15019">
            <v>1410078</v>
          </cell>
        </row>
        <row r="15020">
          <cell r="A15020" t="str">
            <v>圣红3星圣角79级</v>
          </cell>
          <cell r="B15020">
            <v>1410079</v>
          </cell>
        </row>
        <row r="15021">
          <cell r="A15021" t="str">
            <v>圣红3星圣角80级</v>
          </cell>
          <cell r="B15021">
            <v>1410080</v>
          </cell>
        </row>
        <row r="15022">
          <cell r="A15022" t="str">
            <v>圣红3星圣角81级</v>
          </cell>
          <cell r="B15022">
            <v>1410081</v>
          </cell>
        </row>
        <row r="15023">
          <cell r="A15023" t="str">
            <v>圣红3星圣角82级</v>
          </cell>
          <cell r="B15023">
            <v>1410082</v>
          </cell>
        </row>
        <row r="15024">
          <cell r="A15024" t="str">
            <v>圣红3星圣角83级</v>
          </cell>
          <cell r="B15024">
            <v>1410083</v>
          </cell>
        </row>
        <row r="15025">
          <cell r="A15025" t="str">
            <v>圣红3星圣角84级</v>
          </cell>
          <cell r="B15025">
            <v>1410084</v>
          </cell>
        </row>
        <row r="15026">
          <cell r="A15026" t="str">
            <v>圣红3星圣角85级</v>
          </cell>
          <cell r="B15026">
            <v>1410085</v>
          </cell>
        </row>
        <row r="15027">
          <cell r="A15027" t="str">
            <v>圣红3星圣角86级</v>
          </cell>
          <cell r="B15027">
            <v>1410086</v>
          </cell>
        </row>
        <row r="15028">
          <cell r="A15028" t="str">
            <v>圣红3星圣角87级</v>
          </cell>
          <cell r="B15028">
            <v>1410087</v>
          </cell>
        </row>
        <row r="15029">
          <cell r="A15029" t="str">
            <v>圣红3星圣角88级</v>
          </cell>
          <cell r="B15029">
            <v>1410088</v>
          </cell>
        </row>
        <row r="15030">
          <cell r="A15030" t="str">
            <v>圣红3星圣角89级</v>
          </cell>
          <cell r="B15030">
            <v>1410089</v>
          </cell>
        </row>
        <row r="15031">
          <cell r="A15031" t="str">
            <v>圣红3星圣角90级</v>
          </cell>
          <cell r="B15031">
            <v>1410090</v>
          </cell>
        </row>
        <row r="15032">
          <cell r="A15032" t="str">
            <v>圣红3星圣角91级</v>
          </cell>
          <cell r="B15032">
            <v>1410091</v>
          </cell>
        </row>
        <row r="15033">
          <cell r="A15033" t="str">
            <v>圣红3星圣角92级</v>
          </cell>
          <cell r="B15033">
            <v>1410092</v>
          </cell>
        </row>
        <row r="15034">
          <cell r="A15034" t="str">
            <v>圣红3星圣角93级</v>
          </cell>
          <cell r="B15034">
            <v>1410093</v>
          </cell>
        </row>
        <row r="15035">
          <cell r="A15035" t="str">
            <v>圣红3星圣角94级</v>
          </cell>
          <cell r="B15035">
            <v>1410094</v>
          </cell>
        </row>
        <row r="15036">
          <cell r="A15036" t="str">
            <v>圣红3星圣角95级</v>
          </cell>
          <cell r="B15036">
            <v>1410095</v>
          </cell>
        </row>
        <row r="15037">
          <cell r="A15037" t="str">
            <v>圣红3星圣角96级</v>
          </cell>
          <cell r="B15037">
            <v>1410096</v>
          </cell>
        </row>
        <row r="15038">
          <cell r="A15038" t="str">
            <v>圣红3星圣角97级</v>
          </cell>
          <cell r="B15038">
            <v>1410097</v>
          </cell>
        </row>
        <row r="15039">
          <cell r="A15039" t="str">
            <v>圣红3星圣角98级</v>
          </cell>
          <cell r="B15039">
            <v>1410098</v>
          </cell>
        </row>
        <row r="15040">
          <cell r="A15040" t="str">
            <v>圣红3星圣角99级</v>
          </cell>
          <cell r="B15040">
            <v>1410099</v>
          </cell>
        </row>
        <row r="15041">
          <cell r="A15041" t="str">
            <v>圣红3星圣角100级</v>
          </cell>
          <cell r="B15041">
            <v>1410100</v>
          </cell>
        </row>
        <row r="15042">
          <cell r="A15042" t="str">
            <v>白1星鬼爪1级</v>
          </cell>
          <cell r="B15042">
            <v>1500001</v>
          </cell>
        </row>
        <row r="15043">
          <cell r="A15043" t="str">
            <v>白1星鬼爪2级</v>
          </cell>
          <cell r="B15043">
            <v>1500002</v>
          </cell>
        </row>
        <row r="15044">
          <cell r="A15044" t="str">
            <v>白1星鬼爪3级</v>
          </cell>
          <cell r="B15044">
            <v>1500003</v>
          </cell>
        </row>
        <row r="15045">
          <cell r="A15045" t="str">
            <v>白1星鬼爪4级</v>
          </cell>
          <cell r="B15045">
            <v>1500004</v>
          </cell>
        </row>
        <row r="15046">
          <cell r="A15046" t="str">
            <v>白1星鬼爪5级</v>
          </cell>
          <cell r="B15046">
            <v>1500005</v>
          </cell>
        </row>
        <row r="15047">
          <cell r="A15047" t="str">
            <v>白1星鬼爪6级</v>
          </cell>
          <cell r="B15047">
            <v>1500006</v>
          </cell>
        </row>
        <row r="15048">
          <cell r="A15048" t="str">
            <v>白1星鬼爪7级</v>
          </cell>
          <cell r="B15048">
            <v>1500007</v>
          </cell>
        </row>
        <row r="15049">
          <cell r="A15049" t="str">
            <v>白1星鬼爪8级</v>
          </cell>
          <cell r="B15049">
            <v>1500008</v>
          </cell>
        </row>
        <row r="15050">
          <cell r="A15050" t="str">
            <v>白1星鬼爪9级</v>
          </cell>
          <cell r="B15050">
            <v>1500009</v>
          </cell>
        </row>
        <row r="15051">
          <cell r="A15051" t="str">
            <v>白1星鬼爪10级</v>
          </cell>
          <cell r="B15051">
            <v>1500010</v>
          </cell>
        </row>
        <row r="15052">
          <cell r="A15052" t="str">
            <v>白1星鬼爪11级</v>
          </cell>
          <cell r="B15052">
            <v>1500011</v>
          </cell>
        </row>
        <row r="15053">
          <cell r="A15053" t="str">
            <v>白1星鬼爪12级</v>
          </cell>
          <cell r="B15053">
            <v>1500012</v>
          </cell>
        </row>
        <row r="15054">
          <cell r="A15054" t="str">
            <v>白1星鬼爪13级</v>
          </cell>
          <cell r="B15054">
            <v>1500013</v>
          </cell>
        </row>
        <row r="15055">
          <cell r="A15055" t="str">
            <v>白1星鬼爪14级</v>
          </cell>
          <cell r="B15055">
            <v>1500014</v>
          </cell>
        </row>
        <row r="15056">
          <cell r="A15056" t="str">
            <v>白1星鬼爪15级</v>
          </cell>
          <cell r="B15056">
            <v>1500015</v>
          </cell>
        </row>
        <row r="15057">
          <cell r="A15057" t="str">
            <v>白1星鬼爪16级</v>
          </cell>
          <cell r="B15057">
            <v>1500016</v>
          </cell>
        </row>
        <row r="15058">
          <cell r="A15058" t="str">
            <v>白1星鬼爪17级</v>
          </cell>
          <cell r="B15058">
            <v>1500017</v>
          </cell>
        </row>
        <row r="15059">
          <cell r="A15059" t="str">
            <v>白1星鬼爪18级</v>
          </cell>
          <cell r="B15059">
            <v>1500018</v>
          </cell>
        </row>
        <row r="15060">
          <cell r="A15060" t="str">
            <v>白1星鬼爪19级</v>
          </cell>
          <cell r="B15060">
            <v>1500019</v>
          </cell>
        </row>
        <row r="15061">
          <cell r="A15061" t="str">
            <v>白1星鬼爪20级</v>
          </cell>
          <cell r="B15061">
            <v>1500020</v>
          </cell>
        </row>
        <row r="15062">
          <cell r="A15062" t="str">
            <v>白1星鬼爪21级</v>
          </cell>
          <cell r="B15062">
            <v>1500021</v>
          </cell>
        </row>
        <row r="15063">
          <cell r="A15063" t="str">
            <v>白1星鬼爪22级</v>
          </cell>
          <cell r="B15063">
            <v>1500022</v>
          </cell>
        </row>
        <row r="15064">
          <cell r="A15064" t="str">
            <v>白1星鬼爪23级</v>
          </cell>
          <cell r="B15064">
            <v>1500023</v>
          </cell>
        </row>
        <row r="15065">
          <cell r="A15065" t="str">
            <v>白1星鬼爪24级</v>
          </cell>
          <cell r="B15065">
            <v>1500024</v>
          </cell>
        </row>
        <row r="15066">
          <cell r="A15066" t="str">
            <v>白1星鬼爪25级</v>
          </cell>
          <cell r="B15066">
            <v>1500025</v>
          </cell>
        </row>
        <row r="15067">
          <cell r="A15067" t="str">
            <v>白1星鬼爪26级</v>
          </cell>
          <cell r="B15067">
            <v>1500026</v>
          </cell>
        </row>
        <row r="15068">
          <cell r="A15068" t="str">
            <v>白1星鬼爪27级</v>
          </cell>
          <cell r="B15068">
            <v>1500027</v>
          </cell>
        </row>
        <row r="15069">
          <cell r="A15069" t="str">
            <v>白1星鬼爪28级</v>
          </cell>
          <cell r="B15069">
            <v>1500028</v>
          </cell>
        </row>
        <row r="15070">
          <cell r="A15070" t="str">
            <v>白1星鬼爪29级</v>
          </cell>
          <cell r="B15070">
            <v>1500029</v>
          </cell>
        </row>
        <row r="15071">
          <cell r="A15071" t="str">
            <v>白1星鬼爪30级</v>
          </cell>
          <cell r="B15071">
            <v>1500030</v>
          </cell>
        </row>
        <row r="15072">
          <cell r="A15072" t="str">
            <v>白1星鬼爪31级</v>
          </cell>
          <cell r="B15072">
            <v>1500031</v>
          </cell>
        </row>
        <row r="15073">
          <cell r="A15073" t="str">
            <v>白1星鬼爪32级</v>
          </cell>
          <cell r="B15073">
            <v>1500032</v>
          </cell>
        </row>
        <row r="15074">
          <cell r="A15074" t="str">
            <v>白1星鬼爪33级</v>
          </cell>
          <cell r="B15074">
            <v>1500033</v>
          </cell>
        </row>
        <row r="15075">
          <cell r="A15075" t="str">
            <v>白1星鬼爪34级</v>
          </cell>
          <cell r="B15075">
            <v>1500034</v>
          </cell>
        </row>
        <row r="15076">
          <cell r="A15076" t="str">
            <v>白1星鬼爪35级</v>
          </cell>
          <cell r="B15076">
            <v>1500035</v>
          </cell>
        </row>
        <row r="15077">
          <cell r="A15077" t="str">
            <v>白1星鬼爪36级</v>
          </cell>
          <cell r="B15077">
            <v>1500036</v>
          </cell>
        </row>
        <row r="15078">
          <cell r="A15078" t="str">
            <v>白1星鬼爪37级</v>
          </cell>
          <cell r="B15078">
            <v>1500037</v>
          </cell>
        </row>
        <row r="15079">
          <cell r="A15079" t="str">
            <v>白1星鬼爪38级</v>
          </cell>
          <cell r="B15079">
            <v>1500038</v>
          </cell>
        </row>
        <row r="15080">
          <cell r="A15080" t="str">
            <v>白1星鬼爪39级</v>
          </cell>
          <cell r="B15080">
            <v>1500039</v>
          </cell>
        </row>
        <row r="15081">
          <cell r="A15081" t="str">
            <v>白1星鬼爪40级</v>
          </cell>
          <cell r="B15081">
            <v>1500040</v>
          </cell>
        </row>
        <row r="15082">
          <cell r="A15082" t="str">
            <v>白1星鬼爪41级</v>
          </cell>
          <cell r="B15082">
            <v>1500041</v>
          </cell>
        </row>
        <row r="15083">
          <cell r="A15083" t="str">
            <v>白1星鬼爪42级</v>
          </cell>
          <cell r="B15083">
            <v>1500042</v>
          </cell>
        </row>
        <row r="15084">
          <cell r="A15084" t="str">
            <v>白1星鬼爪43级</v>
          </cell>
          <cell r="B15084">
            <v>1500043</v>
          </cell>
        </row>
        <row r="15085">
          <cell r="A15085" t="str">
            <v>白1星鬼爪44级</v>
          </cell>
          <cell r="B15085">
            <v>1500044</v>
          </cell>
        </row>
        <row r="15086">
          <cell r="A15086" t="str">
            <v>白1星鬼爪45级</v>
          </cell>
          <cell r="B15086">
            <v>1500045</v>
          </cell>
        </row>
        <row r="15087">
          <cell r="A15087" t="str">
            <v>白1星鬼爪46级</v>
          </cell>
          <cell r="B15087">
            <v>1500046</v>
          </cell>
        </row>
        <row r="15088">
          <cell r="A15088" t="str">
            <v>白1星鬼爪47级</v>
          </cell>
          <cell r="B15088">
            <v>1500047</v>
          </cell>
        </row>
        <row r="15089">
          <cell r="A15089" t="str">
            <v>白1星鬼爪48级</v>
          </cell>
          <cell r="B15089">
            <v>1500048</v>
          </cell>
        </row>
        <row r="15090">
          <cell r="A15090" t="str">
            <v>白1星鬼爪49级</v>
          </cell>
          <cell r="B15090">
            <v>1500049</v>
          </cell>
        </row>
        <row r="15091">
          <cell r="A15091" t="str">
            <v>白1星鬼爪50级</v>
          </cell>
          <cell r="B15091">
            <v>1500050</v>
          </cell>
        </row>
        <row r="15092">
          <cell r="A15092" t="str">
            <v>白1星鬼爪51级</v>
          </cell>
          <cell r="B15092">
            <v>1500051</v>
          </cell>
        </row>
        <row r="15093">
          <cell r="A15093" t="str">
            <v>白1星鬼爪52级</v>
          </cell>
          <cell r="B15093">
            <v>1500052</v>
          </cell>
        </row>
        <row r="15094">
          <cell r="A15094" t="str">
            <v>白1星鬼爪53级</v>
          </cell>
          <cell r="B15094">
            <v>1500053</v>
          </cell>
        </row>
        <row r="15095">
          <cell r="A15095" t="str">
            <v>白1星鬼爪54级</v>
          </cell>
          <cell r="B15095">
            <v>1500054</v>
          </cell>
        </row>
        <row r="15096">
          <cell r="A15096" t="str">
            <v>白1星鬼爪55级</v>
          </cell>
          <cell r="B15096">
            <v>1500055</v>
          </cell>
        </row>
        <row r="15097">
          <cell r="A15097" t="str">
            <v>白1星鬼爪56级</v>
          </cell>
          <cell r="B15097">
            <v>1500056</v>
          </cell>
        </row>
        <row r="15098">
          <cell r="A15098" t="str">
            <v>白1星鬼爪57级</v>
          </cell>
          <cell r="B15098">
            <v>1500057</v>
          </cell>
        </row>
        <row r="15099">
          <cell r="A15099" t="str">
            <v>白1星鬼爪58级</v>
          </cell>
          <cell r="B15099">
            <v>1500058</v>
          </cell>
        </row>
        <row r="15100">
          <cell r="A15100" t="str">
            <v>白1星鬼爪59级</v>
          </cell>
          <cell r="B15100">
            <v>1500059</v>
          </cell>
        </row>
        <row r="15101">
          <cell r="A15101" t="str">
            <v>白1星鬼爪60级</v>
          </cell>
          <cell r="B15101">
            <v>1500060</v>
          </cell>
        </row>
        <row r="15102">
          <cell r="A15102" t="str">
            <v>白1星鬼爪61级</v>
          </cell>
          <cell r="B15102">
            <v>1500061</v>
          </cell>
        </row>
        <row r="15103">
          <cell r="A15103" t="str">
            <v>白1星鬼爪62级</v>
          </cell>
          <cell r="B15103">
            <v>1500062</v>
          </cell>
        </row>
        <row r="15104">
          <cell r="A15104" t="str">
            <v>白1星鬼爪63级</v>
          </cell>
          <cell r="B15104">
            <v>1500063</v>
          </cell>
        </row>
        <row r="15105">
          <cell r="A15105" t="str">
            <v>白1星鬼爪64级</v>
          </cell>
          <cell r="B15105">
            <v>1500064</v>
          </cell>
        </row>
        <row r="15106">
          <cell r="A15106" t="str">
            <v>白1星鬼爪65级</v>
          </cell>
          <cell r="B15106">
            <v>1500065</v>
          </cell>
        </row>
        <row r="15107">
          <cell r="A15107" t="str">
            <v>白1星鬼爪66级</v>
          </cell>
          <cell r="B15107">
            <v>1500066</v>
          </cell>
        </row>
        <row r="15108">
          <cell r="A15108" t="str">
            <v>白1星鬼爪67级</v>
          </cell>
          <cell r="B15108">
            <v>1500067</v>
          </cell>
        </row>
        <row r="15109">
          <cell r="A15109" t="str">
            <v>白1星鬼爪68级</v>
          </cell>
          <cell r="B15109">
            <v>1500068</v>
          </cell>
        </row>
        <row r="15110">
          <cell r="A15110" t="str">
            <v>白1星鬼爪69级</v>
          </cell>
          <cell r="B15110">
            <v>1500069</v>
          </cell>
        </row>
        <row r="15111">
          <cell r="A15111" t="str">
            <v>白1星鬼爪70级</v>
          </cell>
          <cell r="B15111">
            <v>1500070</v>
          </cell>
        </row>
        <row r="15112">
          <cell r="A15112" t="str">
            <v>白1星鬼爪71级</v>
          </cell>
          <cell r="B15112">
            <v>1500071</v>
          </cell>
        </row>
        <row r="15113">
          <cell r="A15113" t="str">
            <v>白1星鬼爪72级</v>
          </cell>
          <cell r="B15113">
            <v>1500072</v>
          </cell>
        </row>
        <row r="15114">
          <cell r="A15114" t="str">
            <v>白1星鬼爪73级</v>
          </cell>
          <cell r="B15114">
            <v>1500073</v>
          </cell>
        </row>
        <row r="15115">
          <cell r="A15115" t="str">
            <v>白1星鬼爪74级</v>
          </cell>
          <cell r="B15115">
            <v>1500074</v>
          </cell>
        </row>
        <row r="15116">
          <cell r="A15116" t="str">
            <v>白1星鬼爪75级</v>
          </cell>
          <cell r="B15116">
            <v>1500075</v>
          </cell>
        </row>
        <row r="15117">
          <cell r="A15117" t="str">
            <v>白1星鬼爪76级</v>
          </cell>
          <cell r="B15117">
            <v>1500076</v>
          </cell>
        </row>
        <row r="15118">
          <cell r="A15118" t="str">
            <v>白1星鬼爪77级</v>
          </cell>
          <cell r="B15118">
            <v>1500077</v>
          </cell>
        </row>
        <row r="15119">
          <cell r="A15119" t="str">
            <v>白1星鬼爪78级</v>
          </cell>
          <cell r="B15119">
            <v>1500078</v>
          </cell>
        </row>
        <row r="15120">
          <cell r="A15120" t="str">
            <v>白1星鬼爪79级</v>
          </cell>
          <cell r="B15120">
            <v>1500079</v>
          </cell>
        </row>
        <row r="15121">
          <cell r="A15121" t="str">
            <v>白1星鬼爪80级</v>
          </cell>
          <cell r="B15121">
            <v>1500080</v>
          </cell>
        </row>
        <row r="15122">
          <cell r="A15122" t="str">
            <v>白1星鬼爪81级</v>
          </cell>
          <cell r="B15122">
            <v>1500081</v>
          </cell>
        </row>
        <row r="15123">
          <cell r="A15123" t="str">
            <v>白1星鬼爪82级</v>
          </cell>
          <cell r="B15123">
            <v>1500082</v>
          </cell>
        </row>
        <row r="15124">
          <cell r="A15124" t="str">
            <v>白1星鬼爪83级</v>
          </cell>
          <cell r="B15124">
            <v>1500083</v>
          </cell>
        </row>
        <row r="15125">
          <cell r="A15125" t="str">
            <v>白1星鬼爪84级</v>
          </cell>
          <cell r="B15125">
            <v>1500084</v>
          </cell>
        </row>
        <row r="15126">
          <cell r="A15126" t="str">
            <v>白1星鬼爪85级</v>
          </cell>
          <cell r="B15126">
            <v>1500085</v>
          </cell>
        </row>
        <row r="15127">
          <cell r="A15127" t="str">
            <v>白1星鬼爪86级</v>
          </cell>
          <cell r="B15127">
            <v>1500086</v>
          </cell>
        </row>
        <row r="15128">
          <cell r="A15128" t="str">
            <v>白1星鬼爪87级</v>
          </cell>
          <cell r="B15128">
            <v>1500087</v>
          </cell>
        </row>
        <row r="15129">
          <cell r="A15129" t="str">
            <v>白1星鬼爪88级</v>
          </cell>
          <cell r="B15129">
            <v>1500088</v>
          </cell>
        </row>
        <row r="15130">
          <cell r="A15130" t="str">
            <v>白1星鬼爪89级</v>
          </cell>
          <cell r="B15130">
            <v>1500089</v>
          </cell>
        </row>
        <row r="15131">
          <cell r="A15131" t="str">
            <v>白1星鬼爪90级</v>
          </cell>
          <cell r="B15131">
            <v>1500090</v>
          </cell>
        </row>
        <row r="15132">
          <cell r="A15132" t="str">
            <v>白1星鬼爪91级</v>
          </cell>
          <cell r="B15132">
            <v>1500091</v>
          </cell>
        </row>
        <row r="15133">
          <cell r="A15133" t="str">
            <v>白1星鬼爪92级</v>
          </cell>
          <cell r="B15133">
            <v>1500092</v>
          </cell>
        </row>
        <row r="15134">
          <cell r="A15134" t="str">
            <v>白1星鬼爪93级</v>
          </cell>
          <cell r="B15134">
            <v>1500093</v>
          </cell>
        </row>
        <row r="15135">
          <cell r="A15135" t="str">
            <v>白1星鬼爪94级</v>
          </cell>
          <cell r="B15135">
            <v>1500094</v>
          </cell>
        </row>
        <row r="15136">
          <cell r="A15136" t="str">
            <v>白1星鬼爪95级</v>
          </cell>
          <cell r="B15136">
            <v>1500095</v>
          </cell>
        </row>
        <row r="15137">
          <cell r="A15137" t="str">
            <v>白1星鬼爪96级</v>
          </cell>
          <cell r="B15137">
            <v>1500096</v>
          </cell>
        </row>
        <row r="15138">
          <cell r="A15138" t="str">
            <v>白1星鬼爪97级</v>
          </cell>
          <cell r="B15138">
            <v>1500097</v>
          </cell>
        </row>
        <row r="15139">
          <cell r="A15139" t="str">
            <v>白1星鬼爪98级</v>
          </cell>
          <cell r="B15139">
            <v>1500098</v>
          </cell>
        </row>
        <row r="15140">
          <cell r="A15140" t="str">
            <v>白1星鬼爪99级</v>
          </cell>
          <cell r="B15140">
            <v>1500099</v>
          </cell>
        </row>
        <row r="15141">
          <cell r="A15141" t="str">
            <v>白1星鬼爪100级</v>
          </cell>
          <cell r="B15141">
            <v>1500100</v>
          </cell>
        </row>
        <row r="15142">
          <cell r="A15142" t="str">
            <v>白2星鬼爪1级</v>
          </cell>
          <cell r="B15142">
            <v>1501001</v>
          </cell>
        </row>
        <row r="15143">
          <cell r="A15143" t="str">
            <v>白2星鬼爪2级</v>
          </cell>
          <cell r="B15143">
            <v>1501002</v>
          </cell>
        </row>
        <row r="15144">
          <cell r="A15144" t="str">
            <v>白2星鬼爪3级</v>
          </cell>
          <cell r="B15144">
            <v>1501003</v>
          </cell>
        </row>
        <row r="15145">
          <cell r="A15145" t="str">
            <v>白2星鬼爪4级</v>
          </cell>
          <cell r="B15145">
            <v>1501004</v>
          </cell>
        </row>
        <row r="15146">
          <cell r="A15146" t="str">
            <v>白2星鬼爪5级</v>
          </cell>
          <cell r="B15146">
            <v>1501005</v>
          </cell>
        </row>
        <row r="15147">
          <cell r="A15147" t="str">
            <v>白2星鬼爪6级</v>
          </cell>
          <cell r="B15147">
            <v>1501006</v>
          </cell>
        </row>
        <row r="15148">
          <cell r="A15148" t="str">
            <v>白2星鬼爪7级</v>
          </cell>
          <cell r="B15148">
            <v>1501007</v>
          </cell>
        </row>
        <row r="15149">
          <cell r="A15149" t="str">
            <v>白2星鬼爪8级</v>
          </cell>
          <cell r="B15149">
            <v>1501008</v>
          </cell>
        </row>
        <row r="15150">
          <cell r="A15150" t="str">
            <v>白2星鬼爪9级</v>
          </cell>
          <cell r="B15150">
            <v>1501009</v>
          </cell>
        </row>
        <row r="15151">
          <cell r="A15151" t="str">
            <v>白2星鬼爪10级</v>
          </cell>
          <cell r="B15151">
            <v>1501010</v>
          </cell>
        </row>
        <row r="15152">
          <cell r="A15152" t="str">
            <v>白2星鬼爪11级</v>
          </cell>
          <cell r="B15152">
            <v>1501011</v>
          </cell>
        </row>
        <row r="15153">
          <cell r="A15153" t="str">
            <v>白2星鬼爪12级</v>
          </cell>
          <cell r="B15153">
            <v>1501012</v>
          </cell>
        </row>
        <row r="15154">
          <cell r="A15154" t="str">
            <v>白2星鬼爪13级</v>
          </cell>
          <cell r="B15154">
            <v>1501013</v>
          </cell>
        </row>
        <row r="15155">
          <cell r="A15155" t="str">
            <v>白2星鬼爪14级</v>
          </cell>
          <cell r="B15155">
            <v>1501014</v>
          </cell>
        </row>
        <row r="15156">
          <cell r="A15156" t="str">
            <v>白2星鬼爪15级</v>
          </cell>
          <cell r="B15156">
            <v>1501015</v>
          </cell>
        </row>
        <row r="15157">
          <cell r="A15157" t="str">
            <v>白2星鬼爪16级</v>
          </cell>
          <cell r="B15157">
            <v>1501016</v>
          </cell>
        </row>
        <row r="15158">
          <cell r="A15158" t="str">
            <v>白2星鬼爪17级</v>
          </cell>
          <cell r="B15158">
            <v>1501017</v>
          </cell>
        </row>
        <row r="15159">
          <cell r="A15159" t="str">
            <v>白2星鬼爪18级</v>
          </cell>
          <cell r="B15159">
            <v>1501018</v>
          </cell>
        </row>
        <row r="15160">
          <cell r="A15160" t="str">
            <v>白2星鬼爪19级</v>
          </cell>
          <cell r="B15160">
            <v>1501019</v>
          </cell>
        </row>
        <row r="15161">
          <cell r="A15161" t="str">
            <v>白2星鬼爪20级</v>
          </cell>
          <cell r="B15161">
            <v>1501020</v>
          </cell>
        </row>
        <row r="15162">
          <cell r="A15162" t="str">
            <v>白2星鬼爪21级</v>
          </cell>
          <cell r="B15162">
            <v>1501021</v>
          </cell>
        </row>
        <row r="15163">
          <cell r="A15163" t="str">
            <v>白2星鬼爪22级</v>
          </cell>
          <cell r="B15163">
            <v>1501022</v>
          </cell>
        </row>
        <row r="15164">
          <cell r="A15164" t="str">
            <v>白2星鬼爪23级</v>
          </cell>
          <cell r="B15164">
            <v>1501023</v>
          </cell>
        </row>
        <row r="15165">
          <cell r="A15165" t="str">
            <v>白2星鬼爪24级</v>
          </cell>
          <cell r="B15165">
            <v>1501024</v>
          </cell>
        </row>
        <row r="15166">
          <cell r="A15166" t="str">
            <v>白2星鬼爪25级</v>
          </cell>
          <cell r="B15166">
            <v>1501025</v>
          </cell>
        </row>
        <row r="15167">
          <cell r="A15167" t="str">
            <v>白2星鬼爪26级</v>
          </cell>
          <cell r="B15167">
            <v>1501026</v>
          </cell>
        </row>
        <row r="15168">
          <cell r="A15168" t="str">
            <v>白2星鬼爪27级</v>
          </cell>
          <cell r="B15168">
            <v>1501027</v>
          </cell>
        </row>
        <row r="15169">
          <cell r="A15169" t="str">
            <v>白2星鬼爪28级</v>
          </cell>
          <cell r="B15169">
            <v>1501028</v>
          </cell>
        </row>
        <row r="15170">
          <cell r="A15170" t="str">
            <v>白2星鬼爪29级</v>
          </cell>
          <cell r="B15170">
            <v>1501029</v>
          </cell>
        </row>
        <row r="15171">
          <cell r="A15171" t="str">
            <v>白2星鬼爪30级</v>
          </cell>
          <cell r="B15171">
            <v>1501030</v>
          </cell>
        </row>
        <row r="15172">
          <cell r="A15172" t="str">
            <v>白2星鬼爪31级</v>
          </cell>
          <cell r="B15172">
            <v>1501031</v>
          </cell>
        </row>
        <row r="15173">
          <cell r="A15173" t="str">
            <v>白2星鬼爪32级</v>
          </cell>
          <cell r="B15173">
            <v>1501032</v>
          </cell>
        </row>
        <row r="15174">
          <cell r="A15174" t="str">
            <v>白2星鬼爪33级</v>
          </cell>
          <cell r="B15174">
            <v>1501033</v>
          </cell>
        </row>
        <row r="15175">
          <cell r="A15175" t="str">
            <v>白2星鬼爪34级</v>
          </cell>
          <cell r="B15175">
            <v>1501034</v>
          </cell>
        </row>
        <row r="15176">
          <cell r="A15176" t="str">
            <v>白2星鬼爪35级</v>
          </cell>
          <cell r="B15176">
            <v>1501035</v>
          </cell>
        </row>
        <row r="15177">
          <cell r="A15177" t="str">
            <v>白2星鬼爪36级</v>
          </cell>
          <cell r="B15177">
            <v>1501036</v>
          </cell>
        </row>
        <row r="15178">
          <cell r="A15178" t="str">
            <v>白2星鬼爪37级</v>
          </cell>
          <cell r="B15178">
            <v>1501037</v>
          </cell>
        </row>
        <row r="15179">
          <cell r="A15179" t="str">
            <v>白2星鬼爪38级</v>
          </cell>
          <cell r="B15179">
            <v>1501038</v>
          </cell>
        </row>
        <row r="15180">
          <cell r="A15180" t="str">
            <v>白2星鬼爪39级</v>
          </cell>
          <cell r="B15180">
            <v>1501039</v>
          </cell>
        </row>
        <row r="15181">
          <cell r="A15181" t="str">
            <v>白2星鬼爪40级</v>
          </cell>
          <cell r="B15181">
            <v>1501040</v>
          </cell>
        </row>
        <row r="15182">
          <cell r="A15182" t="str">
            <v>白2星鬼爪41级</v>
          </cell>
          <cell r="B15182">
            <v>1501041</v>
          </cell>
        </row>
        <row r="15183">
          <cell r="A15183" t="str">
            <v>白2星鬼爪42级</v>
          </cell>
          <cell r="B15183">
            <v>1501042</v>
          </cell>
        </row>
        <row r="15184">
          <cell r="A15184" t="str">
            <v>白2星鬼爪43级</v>
          </cell>
          <cell r="B15184">
            <v>1501043</v>
          </cell>
        </row>
        <row r="15185">
          <cell r="A15185" t="str">
            <v>白2星鬼爪44级</v>
          </cell>
          <cell r="B15185">
            <v>1501044</v>
          </cell>
        </row>
        <row r="15186">
          <cell r="A15186" t="str">
            <v>白2星鬼爪45级</v>
          </cell>
          <cell r="B15186">
            <v>1501045</v>
          </cell>
        </row>
        <row r="15187">
          <cell r="A15187" t="str">
            <v>白2星鬼爪46级</v>
          </cell>
          <cell r="B15187">
            <v>1501046</v>
          </cell>
        </row>
        <row r="15188">
          <cell r="A15188" t="str">
            <v>白2星鬼爪47级</v>
          </cell>
          <cell r="B15188">
            <v>1501047</v>
          </cell>
        </row>
        <row r="15189">
          <cell r="A15189" t="str">
            <v>白2星鬼爪48级</v>
          </cell>
          <cell r="B15189">
            <v>1501048</v>
          </cell>
        </row>
        <row r="15190">
          <cell r="A15190" t="str">
            <v>白2星鬼爪49级</v>
          </cell>
          <cell r="B15190">
            <v>1501049</v>
          </cell>
        </row>
        <row r="15191">
          <cell r="A15191" t="str">
            <v>白2星鬼爪50级</v>
          </cell>
          <cell r="B15191">
            <v>1501050</v>
          </cell>
        </row>
        <row r="15192">
          <cell r="A15192" t="str">
            <v>白2星鬼爪51级</v>
          </cell>
          <cell r="B15192">
            <v>1501051</v>
          </cell>
        </row>
        <row r="15193">
          <cell r="A15193" t="str">
            <v>白2星鬼爪52级</v>
          </cell>
          <cell r="B15193">
            <v>1501052</v>
          </cell>
        </row>
        <row r="15194">
          <cell r="A15194" t="str">
            <v>白2星鬼爪53级</v>
          </cell>
          <cell r="B15194">
            <v>1501053</v>
          </cell>
        </row>
        <row r="15195">
          <cell r="A15195" t="str">
            <v>白2星鬼爪54级</v>
          </cell>
          <cell r="B15195">
            <v>1501054</v>
          </cell>
        </row>
        <row r="15196">
          <cell r="A15196" t="str">
            <v>白2星鬼爪55级</v>
          </cell>
          <cell r="B15196">
            <v>1501055</v>
          </cell>
        </row>
        <row r="15197">
          <cell r="A15197" t="str">
            <v>白2星鬼爪56级</v>
          </cell>
          <cell r="B15197">
            <v>1501056</v>
          </cell>
        </row>
        <row r="15198">
          <cell r="A15198" t="str">
            <v>白2星鬼爪57级</v>
          </cell>
          <cell r="B15198">
            <v>1501057</v>
          </cell>
        </row>
        <row r="15199">
          <cell r="A15199" t="str">
            <v>白2星鬼爪58级</v>
          </cell>
          <cell r="B15199">
            <v>1501058</v>
          </cell>
        </row>
        <row r="15200">
          <cell r="A15200" t="str">
            <v>白2星鬼爪59级</v>
          </cell>
          <cell r="B15200">
            <v>1501059</v>
          </cell>
        </row>
        <row r="15201">
          <cell r="A15201" t="str">
            <v>白2星鬼爪60级</v>
          </cell>
          <cell r="B15201">
            <v>1501060</v>
          </cell>
        </row>
        <row r="15202">
          <cell r="A15202" t="str">
            <v>白2星鬼爪61级</v>
          </cell>
          <cell r="B15202">
            <v>1501061</v>
          </cell>
        </row>
        <row r="15203">
          <cell r="A15203" t="str">
            <v>白2星鬼爪62级</v>
          </cell>
          <cell r="B15203">
            <v>1501062</v>
          </cell>
        </row>
        <row r="15204">
          <cell r="A15204" t="str">
            <v>白2星鬼爪63级</v>
          </cell>
          <cell r="B15204">
            <v>1501063</v>
          </cell>
        </row>
        <row r="15205">
          <cell r="A15205" t="str">
            <v>白2星鬼爪64级</v>
          </cell>
          <cell r="B15205">
            <v>1501064</v>
          </cell>
        </row>
        <row r="15206">
          <cell r="A15206" t="str">
            <v>白2星鬼爪65级</v>
          </cell>
          <cell r="B15206">
            <v>1501065</v>
          </cell>
        </row>
        <row r="15207">
          <cell r="A15207" t="str">
            <v>白2星鬼爪66级</v>
          </cell>
          <cell r="B15207">
            <v>1501066</v>
          </cell>
        </row>
        <row r="15208">
          <cell r="A15208" t="str">
            <v>白2星鬼爪67级</v>
          </cell>
          <cell r="B15208">
            <v>1501067</v>
          </cell>
        </row>
        <row r="15209">
          <cell r="A15209" t="str">
            <v>白2星鬼爪68级</v>
          </cell>
          <cell r="B15209">
            <v>1501068</v>
          </cell>
        </row>
        <row r="15210">
          <cell r="A15210" t="str">
            <v>白2星鬼爪69级</v>
          </cell>
          <cell r="B15210">
            <v>1501069</v>
          </cell>
        </row>
        <row r="15211">
          <cell r="A15211" t="str">
            <v>白2星鬼爪70级</v>
          </cell>
          <cell r="B15211">
            <v>1501070</v>
          </cell>
        </row>
        <row r="15212">
          <cell r="A15212" t="str">
            <v>白2星鬼爪71级</v>
          </cell>
          <cell r="B15212">
            <v>1501071</v>
          </cell>
        </row>
        <row r="15213">
          <cell r="A15213" t="str">
            <v>白2星鬼爪72级</v>
          </cell>
          <cell r="B15213">
            <v>1501072</v>
          </cell>
        </row>
        <row r="15214">
          <cell r="A15214" t="str">
            <v>白2星鬼爪73级</v>
          </cell>
          <cell r="B15214">
            <v>1501073</v>
          </cell>
        </row>
        <row r="15215">
          <cell r="A15215" t="str">
            <v>白2星鬼爪74级</v>
          </cell>
          <cell r="B15215">
            <v>1501074</v>
          </cell>
        </row>
        <row r="15216">
          <cell r="A15216" t="str">
            <v>白2星鬼爪75级</v>
          </cell>
          <cell r="B15216">
            <v>1501075</v>
          </cell>
        </row>
        <row r="15217">
          <cell r="A15217" t="str">
            <v>白2星鬼爪76级</v>
          </cell>
          <cell r="B15217">
            <v>1501076</v>
          </cell>
        </row>
        <row r="15218">
          <cell r="A15218" t="str">
            <v>白2星鬼爪77级</v>
          </cell>
          <cell r="B15218">
            <v>1501077</v>
          </cell>
        </row>
        <row r="15219">
          <cell r="A15219" t="str">
            <v>白2星鬼爪78级</v>
          </cell>
          <cell r="B15219">
            <v>1501078</v>
          </cell>
        </row>
        <row r="15220">
          <cell r="A15220" t="str">
            <v>白2星鬼爪79级</v>
          </cell>
          <cell r="B15220">
            <v>1501079</v>
          </cell>
        </row>
        <row r="15221">
          <cell r="A15221" t="str">
            <v>白2星鬼爪80级</v>
          </cell>
          <cell r="B15221">
            <v>1501080</v>
          </cell>
        </row>
        <row r="15222">
          <cell r="A15222" t="str">
            <v>白2星鬼爪81级</v>
          </cell>
          <cell r="B15222">
            <v>1501081</v>
          </cell>
        </row>
        <row r="15223">
          <cell r="A15223" t="str">
            <v>白2星鬼爪82级</v>
          </cell>
          <cell r="B15223">
            <v>1501082</v>
          </cell>
        </row>
        <row r="15224">
          <cell r="A15224" t="str">
            <v>白2星鬼爪83级</v>
          </cell>
          <cell r="B15224">
            <v>1501083</v>
          </cell>
        </row>
        <row r="15225">
          <cell r="A15225" t="str">
            <v>白2星鬼爪84级</v>
          </cell>
          <cell r="B15225">
            <v>1501084</v>
          </cell>
        </row>
        <row r="15226">
          <cell r="A15226" t="str">
            <v>白2星鬼爪85级</v>
          </cell>
          <cell r="B15226">
            <v>1501085</v>
          </cell>
        </row>
        <row r="15227">
          <cell r="A15227" t="str">
            <v>白2星鬼爪86级</v>
          </cell>
          <cell r="B15227">
            <v>1501086</v>
          </cell>
        </row>
        <row r="15228">
          <cell r="A15228" t="str">
            <v>白2星鬼爪87级</v>
          </cell>
          <cell r="B15228">
            <v>1501087</v>
          </cell>
        </row>
        <row r="15229">
          <cell r="A15229" t="str">
            <v>白2星鬼爪88级</v>
          </cell>
          <cell r="B15229">
            <v>1501088</v>
          </cell>
        </row>
        <row r="15230">
          <cell r="A15230" t="str">
            <v>白2星鬼爪89级</v>
          </cell>
          <cell r="B15230">
            <v>1501089</v>
          </cell>
        </row>
        <row r="15231">
          <cell r="A15231" t="str">
            <v>白2星鬼爪90级</v>
          </cell>
          <cell r="B15231">
            <v>1501090</v>
          </cell>
        </row>
        <row r="15232">
          <cell r="A15232" t="str">
            <v>白2星鬼爪91级</v>
          </cell>
          <cell r="B15232">
            <v>1501091</v>
          </cell>
        </row>
        <row r="15233">
          <cell r="A15233" t="str">
            <v>白2星鬼爪92级</v>
          </cell>
          <cell r="B15233">
            <v>1501092</v>
          </cell>
        </row>
        <row r="15234">
          <cell r="A15234" t="str">
            <v>白2星鬼爪93级</v>
          </cell>
          <cell r="B15234">
            <v>1501093</v>
          </cell>
        </row>
        <row r="15235">
          <cell r="A15235" t="str">
            <v>白2星鬼爪94级</v>
          </cell>
          <cell r="B15235">
            <v>1501094</v>
          </cell>
        </row>
        <row r="15236">
          <cell r="A15236" t="str">
            <v>白2星鬼爪95级</v>
          </cell>
          <cell r="B15236">
            <v>1501095</v>
          </cell>
        </row>
        <row r="15237">
          <cell r="A15237" t="str">
            <v>白2星鬼爪96级</v>
          </cell>
          <cell r="B15237">
            <v>1501096</v>
          </cell>
        </row>
        <row r="15238">
          <cell r="A15238" t="str">
            <v>白2星鬼爪97级</v>
          </cell>
          <cell r="B15238">
            <v>1501097</v>
          </cell>
        </row>
        <row r="15239">
          <cell r="A15239" t="str">
            <v>白2星鬼爪98级</v>
          </cell>
          <cell r="B15239">
            <v>1501098</v>
          </cell>
        </row>
        <row r="15240">
          <cell r="A15240" t="str">
            <v>白2星鬼爪99级</v>
          </cell>
          <cell r="B15240">
            <v>1501099</v>
          </cell>
        </row>
        <row r="15241">
          <cell r="A15241" t="str">
            <v>白2星鬼爪100级</v>
          </cell>
          <cell r="B15241">
            <v>1501100</v>
          </cell>
        </row>
        <row r="15242">
          <cell r="A15242" t="str">
            <v>紫1星鬼爪1级</v>
          </cell>
          <cell r="B15242">
            <v>1502001</v>
          </cell>
        </row>
        <row r="15243">
          <cell r="A15243" t="str">
            <v>紫1星鬼爪2级</v>
          </cell>
          <cell r="B15243">
            <v>1502002</v>
          </cell>
        </row>
        <row r="15244">
          <cell r="A15244" t="str">
            <v>紫1星鬼爪3级</v>
          </cell>
          <cell r="B15244">
            <v>1502003</v>
          </cell>
        </row>
        <row r="15245">
          <cell r="A15245" t="str">
            <v>紫1星鬼爪4级</v>
          </cell>
          <cell r="B15245">
            <v>1502004</v>
          </cell>
        </row>
        <row r="15246">
          <cell r="A15246" t="str">
            <v>紫1星鬼爪5级</v>
          </cell>
          <cell r="B15246">
            <v>1502005</v>
          </cell>
        </row>
        <row r="15247">
          <cell r="A15247" t="str">
            <v>紫1星鬼爪6级</v>
          </cell>
          <cell r="B15247">
            <v>1502006</v>
          </cell>
        </row>
        <row r="15248">
          <cell r="A15248" t="str">
            <v>紫1星鬼爪7级</v>
          </cell>
          <cell r="B15248">
            <v>1502007</v>
          </cell>
        </row>
        <row r="15249">
          <cell r="A15249" t="str">
            <v>紫1星鬼爪8级</v>
          </cell>
          <cell r="B15249">
            <v>1502008</v>
          </cell>
        </row>
        <row r="15250">
          <cell r="A15250" t="str">
            <v>紫1星鬼爪9级</v>
          </cell>
          <cell r="B15250">
            <v>1502009</v>
          </cell>
        </row>
        <row r="15251">
          <cell r="A15251" t="str">
            <v>紫1星鬼爪10级</v>
          </cell>
          <cell r="B15251">
            <v>1502010</v>
          </cell>
        </row>
        <row r="15252">
          <cell r="A15252" t="str">
            <v>紫1星鬼爪11级</v>
          </cell>
          <cell r="B15252">
            <v>1502011</v>
          </cell>
        </row>
        <row r="15253">
          <cell r="A15253" t="str">
            <v>紫1星鬼爪12级</v>
          </cell>
          <cell r="B15253">
            <v>1502012</v>
          </cell>
        </row>
        <row r="15254">
          <cell r="A15254" t="str">
            <v>紫1星鬼爪13级</v>
          </cell>
          <cell r="B15254">
            <v>1502013</v>
          </cell>
        </row>
        <row r="15255">
          <cell r="A15255" t="str">
            <v>紫1星鬼爪14级</v>
          </cell>
          <cell r="B15255">
            <v>1502014</v>
          </cell>
        </row>
        <row r="15256">
          <cell r="A15256" t="str">
            <v>紫1星鬼爪15级</v>
          </cell>
          <cell r="B15256">
            <v>1502015</v>
          </cell>
        </row>
        <row r="15257">
          <cell r="A15257" t="str">
            <v>紫1星鬼爪16级</v>
          </cell>
          <cell r="B15257">
            <v>1502016</v>
          </cell>
        </row>
        <row r="15258">
          <cell r="A15258" t="str">
            <v>紫1星鬼爪17级</v>
          </cell>
          <cell r="B15258">
            <v>1502017</v>
          </cell>
        </row>
        <row r="15259">
          <cell r="A15259" t="str">
            <v>紫1星鬼爪18级</v>
          </cell>
          <cell r="B15259">
            <v>1502018</v>
          </cell>
        </row>
        <row r="15260">
          <cell r="A15260" t="str">
            <v>紫1星鬼爪19级</v>
          </cell>
          <cell r="B15260">
            <v>1502019</v>
          </cell>
        </row>
        <row r="15261">
          <cell r="A15261" t="str">
            <v>紫1星鬼爪20级</v>
          </cell>
          <cell r="B15261">
            <v>1502020</v>
          </cell>
        </row>
        <row r="15262">
          <cell r="A15262" t="str">
            <v>紫1星鬼爪21级</v>
          </cell>
          <cell r="B15262">
            <v>1502021</v>
          </cell>
        </row>
        <row r="15263">
          <cell r="A15263" t="str">
            <v>紫1星鬼爪22级</v>
          </cell>
          <cell r="B15263">
            <v>1502022</v>
          </cell>
        </row>
        <row r="15264">
          <cell r="A15264" t="str">
            <v>紫1星鬼爪23级</v>
          </cell>
          <cell r="B15264">
            <v>1502023</v>
          </cell>
        </row>
        <row r="15265">
          <cell r="A15265" t="str">
            <v>紫1星鬼爪24级</v>
          </cell>
          <cell r="B15265">
            <v>1502024</v>
          </cell>
        </row>
        <row r="15266">
          <cell r="A15266" t="str">
            <v>紫1星鬼爪25级</v>
          </cell>
          <cell r="B15266">
            <v>1502025</v>
          </cell>
        </row>
        <row r="15267">
          <cell r="A15267" t="str">
            <v>紫1星鬼爪26级</v>
          </cell>
          <cell r="B15267">
            <v>1502026</v>
          </cell>
        </row>
        <row r="15268">
          <cell r="A15268" t="str">
            <v>紫1星鬼爪27级</v>
          </cell>
          <cell r="B15268">
            <v>1502027</v>
          </cell>
        </row>
        <row r="15269">
          <cell r="A15269" t="str">
            <v>紫1星鬼爪28级</v>
          </cell>
          <cell r="B15269">
            <v>1502028</v>
          </cell>
        </row>
        <row r="15270">
          <cell r="A15270" t="str">
            <v>紫1星鬼爪29级</v>
          </cell>
          <cell r="B15270">
            <v>1502029</v>
          </cell>
        </row>
        <row r="15271">
          <cell r="A15271" t="str">
            <v>紫1星鬼爪30级</v>
          </cell>
          <cell r="B15271">
            <v>1502030</v>
          </cell>
        </row>
        <row r="15272">
          <cell r="A15272" t="str">
            <v>紫1星鬼爪31级</v>
          </cell>
          <cell r="B15272">
            <v>1502031</v>
          </cell>
        </row>
        <row r="15273">
          <cell r="A15273" t="str">
            <v>紫1星鬼爪32级</v>
          </cell>
          <cell r="B15273">
            <v>1502032</v>
          </cell>
        </row>
        <row r="15274">
          <cell r="A15274" t="str">
            <v>紫1星鬼爪33级</v>
          </cell>
          <cell r="B15274">
            <v>1502033</v>
          </cell>
        </row>
        <row r="15275">
          <cell r="A15275" t="str">
            <v>紫1星鬼爪34级</v>
          </cell>
          <cell r="B15275">
            <v>1502034</v>
          </cell>
        </row>
        <row r="15276">
          <cell r="A15276" t="str">
            <v>紫1星鬼爪35级</v>
          </cell>
          <cell r="B15276">
            <v>1502035</v>
          </cell>
        </row>
        <row r="15277">
          <cell r="A15277" t="str">
            <v>紫1星鬼爪36级</v>
          </cell>
          <cell r="B15277">
            <v>1502036</v>
          </cell>
        </row>
        <row r="15278">
          <cell r="A15278" t="str">
            <v>紫1星鬼爪37级</v>
          </cell>
          <cell r="B15278">
            <v>1502037</v>
          </cell>
        </row>
        <row r="15279">
          <cell r="A15279" t="str">
            <v>紫1星鬼爪38级</v>
          </cell>
          <cell r="B15279">
            <v>1502038</v>
          </cell>
        </row>
        <row r="15280">
          <cell r="A15280" t="str">
            <v>紫1星鬼爪39级</v>
          </cell>
          <cell r="B15280">
            <v>1502039</v>
          </cell>
        </row>
        <row r="15281">
          <cell r="A15281" t="str">
            <v>紫1星鬼爪40级</v>
          </cell>
          <cell r="B15281">
            <v>1502040</v>
          </cell>
        </row>
        <row r="15282">
          <cell r="A15282" t="str">
            <v>紫1星鬼爪41级</v>
          </cell>
          <cell r="B15282">
            <v>1502041</v>
          </cell>
        </row>
        <row r="15283">
          <cell r="A15283" t="str">
            <v>紫1星鬼爪42级</v>
          </cell>
          <cell r="B15283">
            <v>1502042</v>
          </cell>
        </row>
        <row r="15284">
          <cell r="A15284" t="str">
            <v>紫1星鬼爪43级</v>
          </cell>
          <cell r="B15284">
            <v>1502043</v>
          </cell>
        </row>
        <row r="15285">
          <cell r="A15285" t="str">
            <v>紫1星鬼爪44级</v>
          </cell>
          <cell r="B15285">
            <v>1502044</v>
          </cell>
        </row>
        <row r="15286">
          <cell r="A15286" t="str">
            <v>紫1星鬼爪45级</v>
          </cell>
          <cell r="B15286">
            <v>1502045</v>
          </cell>
        </row>
        <row r="15287">
          <cell r="A15287" t="str">
            <v>紫1星鬼爪46级</v>
          </cell>
          <cell r="B15287">
            <v>1502046</v>
          </cell>
        </row>
        <row r="15288">
          <cell r="A15288" t="str">
            <v>紫1星鬼爪47级</v>
          </cell>
          <cell r="B15288">
            <v>1502047</v>
          </cell>
        </row>
        <row r="15289">
          <cell r="A15289" t="str">
            <v>紫1星鬼爪48级</v>
          </cell>
          <cell r="B15289">
            <v>1502048</v>
          </cell>
        </row>
        <row r="15290">
          <cell r="A15290" t="str">
            <v>紫1星鬼爪49级</v>
          </cell>
          <cell r="B15290">
            <v>1502049</v>
          </cell>
        </row>
        <row r="15291">
          <cell r="A15291" t="str">
            <v>紫1星鬼爪50级</v>
          </cell>
          <cell r="B15291">
            <v>1502050</v>
          </cell>
        </row>
        <row r="15292">
          <cell r="A15292" t="str">
            <v>紫1星鬼爪51级</v>
          </cell>
          <cell r="B15292">
            <v>1502051</v>
          </cell>
        </row>
        <row r="15293">
          <cell r="A15293" t="str">
            <v>紫1星鬼爪52级</v>
          </cell>
          <cell r="B15293">
            <v>1502052</v>
          </cell>
        </row>
        <row r="15294">
          <cell r="A15294" t="str">
            <v>紫1星鬼爪53级</v>
          </cell>
          <cell r="B15294">
            <v>1502053</v>
          </cell>
        </row>
        <row r="15295">
          <cell r="A15295" t="str">
            <v>紫1星鬼爪54级</v>
          </cell>
          <cell r="B15295">
            <v>1502054</v>
          </cell>
        </row>
        <row r="15296">
          <cell r="A15296" t="str">
            <v>紫1星鬼爪55级</v>
          </cell>
          <cell r="B15296">
            <v>1502055</v>
          </cell>
        </row>
        <row r="15297">
          <cell r="A15297" t="str">
            <v>紫1星鬼爪56级</v>
          </cell>
          <cell r="B15297">
            <v>1502056</v>
          </cell>
        </row>
        <row r="15298">
          <cell r="A15298" t="str">
            <v>紫1星鬼爪57级</v>
          </cell>
          <cell r="B15298">
            <v>1502057</v>
          </cell>
        </row>
        <row r="15299">
          <cell r="A15299" t="str">
            <v>紫1星鬼爪58级</v>
          </cell>
          <cell r="B15299">
            <v>1502058</v>
          </cell>
        </row>
        <row r="15300">
          <cell r="A15300" t="str">
            <v>紫1星鬼爪59级</v>
          </cell>
          <cell r="B15300">
            <v>1502059</v>
          </cell>
        </row>
        <row r="15301">
          <cell r="A15301" t="str">
            <v>紫1星鬼爪60级</v>
          </cell>
          <cell r="B15301">
            <v>1502060</v>
          </cell>
        </row>
        <row r="15302">
          <cell r="A15302" t="str">
            <v>紫1星鬼爪61级</v>
          </cell>
          <cell r="B15302">
            <v>1502061</v>
          </cell>
        </row>
        <row r="15303">
          <cell r="A15303" t="str">
            <v>紫1星鬼爪62级</v>
          </cell>
          <cell r="B15303">
            <v>1502062</v>
          </cell>
        </row>
        <row r="15304">
          <cell r="A15304" t="str">
            <v>紫1星鬼爪63级</v>
          </cell>
          <cell r="B15304">
            <v>1502063</v>
          </cell>
        </row>
        <row r="15305">
          <cell r="A15305" t="str">
            <v>紫1星鬼爪64级</v>
          </cell>
          <cell r="B15305">
            <v>1502064</v>
          </cell>
        </row>
        <row r="15306">
          <cell r="A15306" t="str">
            <v>紫1星鬼爪65级</v>
          </cell>
          <cell r="B15306">
            <v>1502065</v>
          </cell>
        </row>
        <row r="15307">
          <cell r="A15307" t="str">
            <v>紫1星鬼爪66级</v>
          </cell>
          <cell r="B15307">
            <v>1502066</v>
          </cell>
        </row>
        <row r="15308">
          <cell r="A15308" t="str">
            <v>紫1星鬼爪67级</v>
          </cell>
          <cell r="B15308">
            <v>1502067</v>
          </cell>
        </row>
        <row r="15309">
          <cell r="A15309" t="str">
            <v>紫1星鬼爪68级</v>
          </cell>
          <cell r="B15309">
            <v>1502068</v>
          </cell>
        </row>
        <row r="15310">
          <cell r="A15310" t="str">
            <v>紫1星鬼爪69级</v>
          </cell>
          <cell r="B15310">
            <v>1502069</v>
          </cell>
        </row>
        <row r="15311">
          <cell r="A15311" t="str">
            <v>紫1星鬼爪70级</v>
          </cell>
          <cell r="B15311">
            <v>1502070</v>
          </cell>
        </row>
        <row r="15312">
          <cell r="A15312" t="str">
            <v>紫1星鬼爪71级</v>
          </cell>
          <cell r="B15312">
            <v>1502071</v>
          </cell>
        </row>
        <row r="15313">
          <cell r="A15313" t="str">
            <v>紫1星鬼爪72级</v>
          </cell>
          <cell r="B15313">
            <v>1502072</v>
          </cell>
        </row>
        <row r="15314">
          <cell r="A15314" t="str">
            <v>紫1星鬼爪73级</v>
          </cell>
          <cell r="B15314">
            <v>1502073</v>
          </cell>
        </row>
        <row r="15315">
          <cell r="A15315" t="str">
            <v>紫1星鬼爪74级</v>
          </cell>
          <cell r="B15315">
            <v>1502074</v>
          </cell>
        </row>
        <row r="15316">
          <cell r="A15316" t="str">
            <v>紫1星鬼爪75级</v>
          </cell>
          <cell r="B15316">
            <v>1502075</v>
          </cell>
        </row>
        <row r="15317">
          <cell r="A15317" t="str">
            <v>紫1星鬼爪76级</v>
          </cell>
          <cell r="B15317">
            <v>1502076</v>
          </cell>
        </row>
        <row r="15318">
          <cell r="A15318" t="str">
            <v>紫1星鬼爪77级</v>
          </cell>
          <cell r="B15318">
            <v>1502077</v>
          </cell>
        </row>
        <row r="15319">
          <cell r="A15319" t="str">
            <v>紫1星鬼爪78级</v>
          </cell>
          <cell r="B15319">
            <v>1502078</v>
          </cell>
        </row>
        <row r="15320">
          <cell r="A15320" t="str">
            <v>紫1星鬼爪79级</v>
          </cell>
          <cell r="B15320">
            <v>1502079</v>
          </cell>
        </row>
        <row r="15321">
          <cell r="A15321" t="str">
            <v>紫1星鬼爪80级</v>
          </cell>
          <cell r="B15321">
            <v>1502080</v>
          </cell>
        </row>
        <row r="15322">
          <cell r="A15322" t="str">
            <v>紫1星鬼爪81级</v>
          </cell>
          <cell r="B15322">
            <v>1502081</v>
          </cell>
        </row>
        <row r="15323">
          <cell r="A15323" t="str">
            <v>紫1星鬼爪82级</v>
          </cell>
          <cell r="B15323">
            <v>1502082</v>
          </cell>
        </row>
        <row r="15324">
          <cell r="A15324" t="str">
            <v>紫1星鬼爪83级</v>
          </cell>
          <cell r="B15324">
            <v>1502083</v>
          </cell>
        </row>
        <row r="15325">
          <cell r="A15325" t="str">
            <v>紫1星鬼爪84级</v>
          </cell>
          <cell r="B15325">
            <v>1502084</v>
          </cell>
        </row>
        <row r="15326">
          <cell r="A15326" t="str">
            <v>紫1星鬼爪85级</v>
          </cell>
          <cell r="B15326">
            <v>1502085</v>
          </cell>
        </row>
        <row r="15327">
          <cell r="A15327" t="str">
            <v>紫1星鬼爪86级</v>
          </cell>
          <cell r="B15327">
            <v>1502086</v>
          </cell>
        </row>
        <row r="15328">
          <cell r="A15328" t="str">
            <v>紫1星鬼爪87级</v>
          </cell>
          <cell r="B15328">
            <v>1502087</v>
          </cell>
        </row>
        <row r="15329">
          <cell r="A15329" t="str">
            <v>紫1星鬼爪88级</v>
          </cell>
          <cell r="B15329">
            <v>1502088</v>
          </cell>
        </row>
        <row r="15330">
          <cell r="A15330" t="str">
            <v>紫1星鬼爪89级</v>
          </cell>
          <cell r="B15330">
            <v>1502089</v>
          </cell>
        </row>
        <row r="15331">
          <cell r="A15331" t="str">
            <v>紫1星鬼爪90级</v>
          </cell>
          <cell r="B15331">
            <v>1502090</v>
          </cell>
        </row>
        <row r="15332">
          <cell r="A15332" t="str">
            <v>紫1星鬼爪91级</v>
          </cell>
          <cell r="B15332">
            <v>1502091</v>
          </cell>
        </row>
        <row r="15333">
          <cell r="A15333" t="str">
            <v>紫1星鬼爪92级</v>
          </cell>
          <cell r="B15333">
            <v>1502092</v>
          </cell>
        </row>
        <row r="15334">
          <cell r="A15334" t="str">
            <v>紫1星鬼爪93级</v>
          </cell>
          <cell r="B15334">
            <v>1502093</v>
          </cell>
        </row>
        <row r="15335">
          <cell r="A15335" t="str">
            <v>紫1星鬼爪94级</v>
          </cell>
          <cell r="B15335">
            <v>1502094</v>
          </cell>
        </row>
        <row r="15336">
          <cell r="A15336" t="str">
            <v>紫1星鬼爪95级</v>
          </cell>
          <cell r="B15336">
            <v>1502095</v>
          </cell>
        </row>
        <row r="15337">
          <cell r="A15337" t="str">
            <v>紫1星鬼爪96级</v>
          </cell>
          <cell r="B15337">
            <v>1502096</v>
          </cell>
        </row>
        <row r="15338">
          <cell r="A15338" t="str">
            <v>紫1星鬼爪97级</v>
          </cell>
          <cell r="B15338">
            <v>1502097</v>
          </cell>
        </row>
        <row r="15339">
          <cell r="A15339" t="str">
            <v>紫1星鬼爪98级</v>
          </cell>
          <cell r="B15339">
            <v>1502098</v>
          </cell>
        </row>
        <row r="15340">
          <cell r="A15340" t="str">
            <v>紫1星鬼爪99级</v>
          </cell>
          <cell r="B15340">
            <v>1502099</v>
          </cell>
        </row>
        <row r="15341">
          <cell r="A15341" t="str">
            <v>紫1星鬼爪100级</v>
          </cell>
          <cell r="B15341">
            <v>1502100</v>
          </cell>
        </row>
        <row r="15342">
          <cell r="A15342" t="str">
            <v>紫2星鬼爪1级</v>
          </cell>
          <cell r="B15342">
            <v>1503001</v>
          </cell>
        </row>
        <row r="15343">
          <cell r="A15343" t="str">
            <v>紫2星鬼爪2级</v>
          </cell>
          <cell r="B15343">
            <v>1503002</v>
          </cell>
        </row>
        <row r="15344">
          <cell r="A15344" t="str">
            <v>紫2星鬼爪3级</v>
          </cell>
          <cell r="B15344">
            <v>1503003</v>
          </cell>
        </row>
        <row r="15345">
          <cell r="A15345" t="str">
            <v>紫2星鬼爪4级</v>
          </cell>
          <cell r="B15345">
            <v>1503004</v>
          </cell>
        </row>
        <row r="15346">
          <cell r="A15346" t="str">
            <v>紫2星鬼爪5级</v>
          </cell>
          <cell r="B15346">
            <v>1503005</v>
          </cell>
        </row>
        <row r="15347">
          <cell r="A15347" t="str">
            <v>紫2星鬼爪6级</v>
          </cell>
          <cell r="B15347">
            <v>1503006</v>
          </cell>
        </row>
        <row r="15348">
          <cell r="A15348" t="str">
            <v>紫2星鬼爪7级</v>
          </cell>
          <cell r="B15348">
            <v>1503007</v>
          </cell>
        </row>
        <row r="15349">
          <cell r="A15349" t="str">
            <v>紫2星鬼爪8级</v>
          </cell>
          <cell r="B15349">
            <v>1503008</v>
          </cell>
        </row>
        <row r="15350">
          <cell r="A15350" t="str">
            <v>紫2星鬼爪9级</v>
          </cell>
          <cell r="B15350">
            <v>1503009</v>
          </cell>
        </row>
        <row r="15351">
          <cell r="A15351" t="str">
            <v>紫2星鬼爪10级</v>
          </cell>
          <cell r="B15351">
            <v>1503010</v>
          </cell>
        </row>
        <row r="15352">
          <cell r="A15352" t="str">
            <v>紫2星鬼爪11级</v>
          </cell>
          <cell r="B15352">
            <v>1503011</v>
          </cell>
        </row>
        <row r="15353">
          <cell r="A15353" t="str">
            <v>紫2星鬼爪12级</v>
          </cell>
          <cell r="B15353">
            <v>1503012</v>
          </cell>
        </row>
        <row r="15354">
          <cell r="A15354" t="str">
            <v>紫2星鬼爪13级</v>
          </cell>
          <cell r="B15354">
            <v>1503013</v>
          </cell>
        </row>
        <row r="15355">
          <cell r="A15355" t="str">
            <v>紫2星鬼爪14级</v>
          </cell>
          <cell r="B15355">
            <v>1503014</v>
          </cell>
        </row>
        <row r="15356">
          <cell r="A15356" t="str">
            <v>紫2星鬼爪15级</v>
          </cell>
          <cell r="B15356">
            <v>1503015</v>
          </cell>
        </row>
        <row r="15357">
          <cell r="A15357" t="str">
            <v>紫2星鬼爪16级</v>
          </cell>
          <cell r="B15357">
            <v>1503016</v>
          </cell>
        </row>
        <row r="15358">
          <cell r="A15358" t="str">
            <v>紫2星鬼爪17级</v>
          </cell>
          <cell r="B15358">
            <v>1503017</v>
          </cell>
        </row>
        <row r="15359">
          <cell r="A15359" t="str">
            <v>紫2星鬼爪18级</v>
          </cell>
          <cell r="B15359">
            <v>1503018</v>
          </cell>
        </row>
        <row r="15360">
          <cell r="A15360" t="str">
            <v>紫2星鬼爪19级</v>
          </cell>
          <cell r="B15360">
            <v>1503019</v>
          </cell>
        </row>
        <row r="15361">
          <cell r="A15361" t="str">
            <v>紫2星鬼爪20级</v>
          </cell>
          <cell r="B15361">
            <v>1503020</v>
          </cell>
        </row>
        <row r="15362">
          <cell r="A15362" t="str">
            <v>紫2星鬼爪21级</v>
          </cell>
          <cell r="B15362">
            <v>1503021</v>
          </cell>
        </row>
        <row r="15363">
          <cell r="A15363" t="str">
            <v>紫2星鬼爪22级</v>
          </cell>
          <cell r="B15363">
            <v>1503022</v>
          </cell>
        </row>
        <row r="15364">
          <cell r="A15364" t="str">
            <v>紫2星鬼爪23级</v>
          </cell>
          <cell r="B15364">
            <v>1503023</v>
          </cell>
        </row>
        <row r="15365">
          <cell r="A15365" t="str">
            <v>紫2星鬼爪24级</v>
          </cell>
          <cell r="B15365">
            <v>1503024</v>
          </cell>
        </row>
        <row r="15366">
          <cell r="A15366" t="str">
            <v>紫2星鬼爪25级</v>
          </cell>
          <cell r="B15366">
            <v>1503025</v>
          </cell>
        </row>
        <row r="15367">
          <cell r="A15367" t="str">
            <v>紫2星鬼爪26级</v>
          </cell>
          <cell r="B15367">
            <v>1503026</v>
          </cell>
        </row>
        <row r="15368">
          <cell r="A15368" t="str">
            <v>紫2星鬼爪27级</v>
          </cell>
          <cell r="B15368">
            <v>1503027</v>
          </cell>
        </row>
        <row r="15369">
          <cell r="A15369" t="str">
            <v>紫2星鬼爪28级</v>
          </cell>
          <cell r="B15369">
            <v>1503028</v>
          </cell>
        </row>
        <row r="15370">
          <cell r="A15370" t="str">
            <v>紫2星鬼爪29级</v>
          </cell>
          <cell r="B15370">
            <v>1503029</v>
          </cell>
        </row>
        <row r="15371">
          <cell r="A15371" t="str">
            <v>紫2星鬼爪30级</v>
          </cell>
          <cell r="B15371">
            <v>1503030</v>
          </cell>
        </row>
        <row r="15372">
          <cell r="A15372" t="str">
            <v>紫2星鬼爪31级</v>
          </cell>
          <cell r="B15372">
            <v>1503031</v>
          </cell>
        </row>
        <row r="15373">
          <cell r="A15373" t="str">
            <v>紫2星鬼爪32级</v>
          </cell>
          <cell r="B15373">
            <v>1503032</v>
          </cell>
        </row>
        <row r="15374">
          <cell r="A15374" t="str">
            <v>紫2星鬼爪33级</v>
          </cell>
          <cell r="B15374">
            <v>1503033</v>
          </cell>
        </row>
        <row r="15375">
          <cell r="A15375" t="str">
            <v>紫2星鬼爪34级</v>
          </cell>
          <cell r="B15375">
            <v>1503034</v>
          </cell>
        </row>
        <row r="15376">
          <cell r="A15376" t="str">
            <v>紫2星鬼爪35级</v>
          </cell>
          <cell r="B15376">
            <v>1503035</v>
          </cell>
        </row>
        <row r="15377">
          <cell r="A15377" t="str">
            <v>紫2星鬼爪36级</v>
          </cell>
          <cell r="B15377">
            <v>1503036</v>
          </cell>
        </row>
        <row r="15378">
          <cell r="A15378" t="str">
            <v>紫2星鬼爪37级</v>
          </cell>
          <cell r="B15378">
            <v>1503037</v>
          </cell>
        </row>
        <row r="15379">
          <cell r="A15379" t="str">
            <v>紫2星鬼爪38级</v>
          </cell>
          <cell r="B15379">
            <v>1503038</v>
          </cell>
        </row>
        <row r="15380">
          <cell r="A15380" t="str">
            <v>紫2星鬼爪39级</v>
          </cell>
          <cell r="B15380">
            <v>1503039</v>
          </cell>
        </row>
        <row r="15381">
          <cell r="A15381" t="str">
            <v>紫2星鬼爪40级</v>
          </cell>
          <cell r="B15381">
            <v>1503040</v>
          </cell>
        </row>
        <row r="15382">
          <cell r="A15382" t="str">
            <v>紫2星鬼爪41级</v>
          </cell>
          <cell r="B15382">
            <v>1503041</v>
          </cell>
        </row>
        <row r="15383">
          <cell r="A15383" t="str">
            <v>紫2星鬼爪42级</v>
          </cell>
          <cell r="B15383">
            <v>1503042</v>
          </cell>
        </row>
        <row r="15384">
          <cell r="A15384" t="str">
            <v>紫2星鬼爪43级</v>
          </cell>
          <cell r="B15384">
            <v>1503043</v>
          </cell>
        </row>
        <row r="15385">
          <cell r="A15385" t="str">
            <v>紫2星鬼爪44级</v>
          </cell>
          <cell r="B15385">
            <v>1503044</v>
          </cell>
        </row>
        <row r="15386">
          <cell r="A15386" t="str">
            <v>紫2星鬼爪45级</v>
          </cell>
          <cell r="B15386">
            <v>1503045</v>
          </cell>
        </row>
        <row r="15387">
          <cell r="A15387" t="str">
            <v>紫2星鬼爪46级</v>
          </cell>
          <cell r="B15387">
            <v>1503046</v>
          </cell>
        </row>
        <row r="15388">
          <cell r="A15388" t="str">
            <v>紫2星鬼爪47级</v>
          </cell>
          <cell r="B15388">
            <v>1503047</v>
          </cell>
        </row>
        <row r="15389">
          <cell r="A15389" t="str">
            <v>紫2星鬼爪48级</v>
          </cell>
          <cell r="B15389">
            <v>1503048</v>
          </cell>
        </row>
        <row r="15390">
          <cell r="A15390" t="str">
            <v>紫2星鬼爪49级</v>
          </cell>
          <cell r="B15390">
            <v>1503049</v>
          </cell>
        </row>
        <row r="15391">
          <cell r="A15391" t="str">
            <v>紫2星鬼爪50级</v>
          </cell>
          <cell r="B15391">
            <v>1503050</v>
          </cell>
        </row>
        <row r="15392">
          <cell r="A15392" t="str">
            <v>紫2星鬼爪51级</v>
          </cell>
          <cell r="B15392">
            <v>1503051</v>
          </cell>
        </row>
        <row r="15393">
          <cell r="A15393" t="str">
            <v>紫2星鬼爪52级</v>
          </cell>
          <cell r="B15393">
            <v>1503052</v>
          </cell>
        </row>
        <row r="15394">
          <cell r="A15394" t="str">
            <v>紫2星鬼爪53级</v>
          </cell>
          <cell r="B15394">
            <v>1503053</v>
          </cell>
        </row>
        <row r="15395">
          <cell r="A15395" t="str">
            <v>紫2星鬼爪54级</v>
          </cell>
          <cell r="B15395">
            <v>1503054</v>
          </cell>
        </row>
        <row r="15396">
          <cell r="A15396" t="str">
            <v>紫2星鬼爪55级</v>
          </cell>
          <cell r="B15396">
            <v>1503055</v>
          </cell>
        </row>
        <row r="15397">
          <cell r="A15397" t="str">
            <v>紫2星鬼爪56级</v>
          </cell>
          <cell r="B15397">
            <v>1503056</v>
          </cell>
        </row>
        <row r="15398">
          <cell r="A15398" t="str">
            <v>紫2星鬼爪57级</v>
          </cell>
          <cell r="B15398">
            <v>1503057</v>
          </cell>
        </row>
        <row r="15399">
          <cell r="A15399" t="str">
            <v>紫2星鬼爪58级</v>
          </cell>
          <cell r="B15399">
            <v>1503058</v>
          </cell>
        </row>
        <row r="15400">
          <cell r="A15400" t="str">
            <v>紫2星鬼爪59级</v>
          </cell>
          <cell r="B15400">
            <v>1503059</v>
          </cell>
        </row>
        <row r="15401">
          <cell r="A15401" t="str">
            <v>紫2星鬼爪60级</v>
          </cell>
          <cell r="B15401">
            <v>1503060</v>
          </cell>
        </row>
        <row r="15402">
          <cell r="A15402" t="str">
            <v>紫2星鬼爪61级</v>
          </cell>
          <cell r="B15402">
            <v>1503061</v>
          </cell>
        </row>
        <row r="15403">
          <cell r="A15403" t="str">
            <v>紫2星鬼爪62级</v>
          </cell>
          <cell r="B15403">
            <v>1503062</v>
          </cell>
        </row>
        <row r="15404">
          <cell r="A15404" t="str">
            <v>紫2星鬼爪63级</v>
          </cell>
          <cell r="B15404">
            <v>1503063</v>
          </cell>
        </row>
        <row r="15405">
          <cell r="A15405" t="str">
            <v>紫2星鬼爪64级</v>
          </cell>
          <cell r="B15405">
            <v>1503064</v>
          </cell>
        </row>
        <row r="15406">
          <cell r="A15406" t="str">
            <v>紫2星鬼爪65级</v>
          </cell>
          <cell r="B15406">
            <v>1503065</v>
          </cell>
        </row>
        <row r="15407">
          <cell r="A15407" t="str">
            <v>紫2星鬼爪66级</v>
          </cell>
          <cell r="B15407">
            <v>1503066</v>
          </cell>
        </row>
        <row r="15408">
          <cell r="A15408" t="str">
            <v>紫2星鬼爪67级</v>
          </cell>
          <cell r="B15408">
            <v>1503067</v>
          </cell>
        </row>
        <row r="15409">
          <cell r="A15409" t="str">
            <v>紫2星鬼爪68级</v>
          </cell>
          <cell r="B15409">
            <v>1503068</v>
          </cell>
        </row>
        <row r="15410">
          <cell r="A15410" t="str">
            <v>紫2星鬼爪69级</v>
          </cell>
          <cell r="B15410">
            <v>1503069</v>
          </cell>
        </row>
        <row r="15411">
          <cell r="A15411" t="str">
            <v>紫2星鬼爪70级</v>
          </cell>
          <cell r="B15411">
            <v>1503070</v>
          </cell>
        </row>
        <row r="15412">
          <cell r="A15412" t="str">
            <v>紫2星鬼爪71级</v>
          </cell>
          <cell r="B15412">
            <v>1503071</v>
          </cell>
        </row>
        <row r="15413">
          <cell r="A15413" t="str">
            <v>紫2星鬼爪72级</v>
          </cell>
          <cell r="B15413">
            <v>1503072</v>
          </cell>
        </row>
        <row r="15414">
          <cell r="A15414" t="str">
            <v>紫2星鬼爪73级</v>
          </cell>
          <cell r="B15414">
            <v>1503073</v>
          </cell>
        </row>
        <row r="15415">
          <cell r="A15415" t="str">
            <v>紫2星鬼爪74级</v>
          </cell>
          <cell r="B15415">
            <v>1503074</v>
          </cell>
        </row>
        <row r="15416">
          <cell r="A15416" t="str">
            <v>紫2星鬼爪75级</v>
          </cell>
          <cell r="B15416">
            <v>1503075</v>
          </cell>
        </row>
        <row r="15417">
          <cell r="A15417" t="str">
            <v>紫2星鬼爪76级</v>
          </cell>
          <cell r="B15417">
            <v>1503076</v>
          </cell>
        </row>
        <row r="15418">
          <cell r="A15418" t="str">
            <v>紫2星鬼爪77级</v>
          </cell>
          <cell r="B15418">
            <v>1503077</v>
          </cell>
        </row>
        <row r="15419">
          <cell r="A15419" t="str">
            <v>紫2星鬼爪78级</v>
          </cell>
          <cell r="B15419">
            <v>1503078</v>
          </cell>
        </row>
        <row r="15420">
          <cell r="A15420" t="str">
            <v>紫2星鬼爪79级</v>
          </cell>
          <cell r="B15420">
            <v>1503079</v>
          </cell>
        </row>
        <row r="15421">
          <cell r="A15421" t="str">
            <v>紫2星鬼爪80级</v>
          </cell>
          <cell r="B15421">
            <v>1503080</v>
          </cell>
        </row>
        <row r="15422">
          <cell r="A15422" t="str">
            <v>紫2星鬼爪81级</v>
          </cell>
          <cell r="B15422">
            <v>1503081</v>
          </cell>
        </row>
        <row r="15423">
          <cell r="A15423" t="str">
            <v>紫2星鬼爪82级</v>
          </cell>
          <cell r="B15423">
            <v>1503082</v>
          </cell>
        </row>
        <row r="15424">
          <cell r="A15424" t="str">
            <v>紫2星鬼爪83级</v>
          </cell>
          <cell r="B15424">
            <v>1503083</v>
          </cell>
        </row>
        <row r="15425">
          <cell r="A15425" t="str">
            <v>紫2星鬼爪84级</v>
          </cell>
          <cell r="B15425">
            <v>1503084</v>
          </cell>
        </row>
        <row r="15426">
          <cell r="A15426" t="str">
            <v>紫2星鬼爪85级</v>
          </cell>
          <cell r="B15426">
            <v>1503085</v>
          </cell>
        </row>
        <row r="15427">
          <cell r="A15427" t="str">
            <v>紫2星鬼爪86级</v>
          </cell>
          <cell r="B15427">
            <v>1503086</v>
          </cell>
        </row>
        <row r="15428">
          <cell r="A15428" t="str">
            <v>紫2星鬼爪87级</v>
          </cell>
          <cell r="B15428">
            <v>1503087</v>
          </cell>
        </row>
        <row r="15429">
          <cell r="A15429" t="str">
            <v>紫2星鬼爪88级</v>
          </cell>
          <cell r="B15429">
            <v>1503088</v>
          </cell>
        </row>
        <row r="15430">
          <cell r="A15430" t="str">
            <v>紫2星鬼爪89级</v>
          </cell>
          <cell r="B15430">
            <v>1503089</v>
          </cell>
        </row>
        <row r="15431">
          <cell r="A15431" t="str">
            <v>紫2星鬼爪90级</v>
          </cell>
          <cell r="B15431">
            <v>1503090</v>
          </cell>
        </row>
        <row r="15432">
          <cell r="A15432" t="str">
            <v>紫2星鬼爪91级</v>
          </cell>
          <cell r="B15432">
            <v>1503091</v>
          </cell>
        </row>
        <row r="15433">
          <cell r="A15433" t="str">
            <v>紫2星鬼爪92级</v>
          </cell>
          <cell r="B15433">
            <v>1503092</v>
          </cell>
        </row>
        <row r="15434">
          <cell r="A15434" t="str">
            <v>紫2星鬼爪93级</v>
          </cell>
          <cell r="B15434">
            <v>1503093</v>
          </cell>
        </row>
        <row r="15435">
          <cell r="A15435" t="str">
            <v>紫2星鬼爪94级</v>
          </cell>
          <cell r="B15435">
            <v>1503094</v>
          </cell>
        </row>
        <row r="15436">
          <cell r="A15436" t="str">
            <v>紫2星鬼爪95级</v>
          </cell>
          <cell r="B15436">
            <v>1503095</v>
          </cell>
        </row>
        <row r="15437">
          <cell r="A15437" t="str">
            <v>紫2星鬼爪96级</v>
          </cell>
          <cell r="B15437">
            <v>1503096</v>
          </cell>
        </row>
        <row r="15438">
          <cell r="A15438" t="str">
            <v>紫2星鬼爪97级</v>
          </cell>
          <cell r="B15438">
            <v>1503097</v>
          </cell>
        </row>
        <row r="15439">
          <cell r="A15439" t="str">
            <v>紫2星鬼爪98级</v>
          </cell>
          <cell r="B15439">
            <v>1503098</v>
          </cell>
        </row>
        <row r="15440">
          <cell r="A15440" t="str">
            <v>紫2星鬼爪99级</v>
          </cell>
          <cell r="B15440">
            <v>1503099</v>
          </cell>
        </row>
        <row r="15441">
          <cell r="A15441" t="str">
            <v>紫2星鬼爪100级</v>
          </cell>
          <cell r="B15441">
            <v>1503100</v>
          </cell>
        </row>
        <row r="15442">
          <cell r="A15442" t="str">
            <v>紫3星鬼爪1级</v>
          </cell>
          <cell r="B15442">
            <v>1504001</v>
          </cell>
        </row>
        <row r="15443">
          <cell r="A15443" t="str">
            <v>紫3星鬼爪2级</v>
          </cell>
          <cell r="B15443">
            <v>1504002</v>
          </cell>
        </row>
        <row r="15444">
          <cell r="A15444" t="str">
            <v>紫3星鬼爪3级</v>
          </cell>
          <cell r="B15444">
            <v>1504003</v>
          </cell>
        </row>
        <row r="15445">
          <cell r="A15445" t="str">
            <v>紫3星鬼爪4级</v>
          </cell>
          <cell r="B15445">
            <v>1504004</v>
          </cell>
        </row>
        <row r="15446">
          <cell r="A15446" t="str">
            <v>紫3星鬼爪5级</v>
          </cell>
          <cell r="B15446">
            <v>1504005</v>
          </cell>
        </row>
        <row r="15447">
          <cell r="A15447" t="str">
            <v>紫3星鬼爪6级</v>
          </cell>
          <cell r="B15447">
            <v>1504006</v>
          </cell>
        </row>
        <row r="15448">
          <cell r="A15448" t="str">
            <v>紫3星鬼爪7级</v>
          </cell>
          <cell r="B15448">
            <v>1504007</v>
          </cell>
        </row>
        <row r="15449">
          <cell r="A15449" t="str">
            <v>紫3星鬼爪8级</v>
          </cell>
          <cell r="B15449">
            <v>1504008</v>
          </cell>
        </row>
        <row r="15450">
          <cell r="A15450" t="str">
            <v>紫3星鬼爪9级</v>
          </cell>
          <cell r="B15450">
            <v>1504009</v>
          </cell>
        </row>
        <row r="15451">
          <cell r="A15451" t="str">
            <v>紫3星鬼爪10级</v>
          </cell>
          <cell r="B15451">
            <v>1504010</v>
          </cell>
        </row>
        <row r="15452">
          <cell r="A15452" t="str">
            <v>紫3星鬼爪11级</v>
          </cell>
          <cell r="B15452">
            <v>1504011</v>
          </cell>
        </row>
        <row r="15453">
          <cell r="A15453" t="str">
            <v>紫3星鬼爪12级</v>
          </cell>
          <cell r="B15453">
            <v>1504012</v>
          </cell>
        </row>
        <row r="15454">
          <cell r="A15454" t="str">
            <v>紫3星鬼爪13级</v>
          </cell>
          <cell r="B15454">
            <v>1504013</v>
          </cell>
        </row>
        <row r="15455">
          <cell r="A15455" t="str">
            <v>紫3星鬼爪14级</v>
          </cell>
          <cell r="B15455">
            <v>1504014</v>
          </cell>
        </row>
        <row r="15456">
          <cell r="A15456" t="str">
            <v>紫3星鬼爪15级</v>
          </cell>
          <cell r="B15456">
            <v>1504015</v>
          </cell>
        </row>
        <row r="15457">
          <cell r="A15457" t="str">
            <v>紫3星鬼爪16级</v>
          </cell>
          <cell r="B15457">
            <v>1504016</v>
          </cell>
        </row>
        <row r="15458">
          <cell r="A15458" t="str">
            <v>紫3星鬼爪17级</v>
          </cell>
          <cell r="B15458">
            <v>1504017</v>
          </cell>
        </row>
        <row r="15459">
          <cell r="A15459" t="str">
            <v>紫3星鬼爪18级</v>
          </cell>
          <cell r="B15459">
            <v>1504018</v>
          </cell>
        </row>
        <row r="15460">
          <cell r="A15460" t="str">
            <v>紫3星鬼爪19级</v>
          </cell>
          <cell r="B15460">
            <v>1504019</v>
          </cell>
        </row>
        <row r="15461">
          <cell r="A15461" t="str">
            <v>紫3星鬼爪20级</v>
          </cell>
          <cell r="B15461">
            <v>1504020</v>
          </cell>
        </row>
        <row r="15462">
          <cell r="A15462" t="str">
            <v>紫3星鬼爪21级</v>
          </cell>
          <cell r="B15462">
            <v>1504021</v>
          </cell>
        </row>
        <row r="15463">
          <cell r="A15463" t="str">
            <v>紫3星鬼爪22级</v>
          </cell>
          <cell r="B15463">
            <v>1504022</v>
          </cell>
        </row>
        <row r="15464">
          <cell r="A15464" t="str">
            <v>紫3星鬼爪23级</v>
          </cell>
          <cell r="B15464">
            <v>1504023</v>
          </cell>
        </row>
        <row r="15465">
          <cell r="A15465" t="str">
            <v>紫3星鬼爪24级</v>
          </cell>
          <cell r="B15465">
            <v>1504024</v>
          </cell>
        </row>
        <row r="15466">
          <cell r="A15466" t="str">
            <v>紫3星鬼爪25级</v>
          </cell>
          <cell r="B15466">
            <v>1504025</v>
          </cell>
        </row>
        <row r="15467">
          <cell r="A15467" t="str">
            <v>紫3星鬼爪26级</v>
          </cell>
          <cell r="B15467">
            <v>1504026</v>
          </cell>
        </row>
        <row r="15468">
          <cell r="A15468" t="str">
            <v>紫3星鬼爪27级</v>
          </cell>
          <cell r="B15468">
            <v>1504027</v>
          </cell>
        </row>
        <row r="15469">
          <cell r="A15469" t="str">
            <v>紫3星鬼爪28级</v>
          </cell>
          <cell r="B15469">
            <v>1504028</v>
          </cell>
        </row>
        <row r="15470">
          <cell r="A15470" t="str">
            <v>紫3星鬼爪29级</v>
          </cell>
          <cell r="B15470">
            <v>1504029</v>
          </cell>
        </row>
        <row r="15471">
          <cell r="A15471" t="str">
            <v>紫3星鬼爪30级</v>
          </cell>
          <cell r="B15471">
            <v>1504030</v>
          </cell>
        </row>
        <row r="15472">
          <cell r="A15472" t="str">
            <v>紫3星鬼爪31级</v>
          </cell>
          <cell r="B15472">
            <v>1504031</v>
          </cell>
        </row>
        <row r="15473">
          <cell r="A15473" t="str">
            <v>紫3星鬼爪32级</v>
          </cell>
          <cell r="B15473">
            <v>1504032</v>
          </cell>
        </row>
        <row r="15474">
          <cell r="A15474" t="str">
            <v>紫3星鬼爪33级</v>
          </cell>
          <cell r="B15474">
            <v>1504033</v>
          </cell>
        </row>
        <row r="15475">
          <cell r="A15475" t="str">
            <v>紫3星鬼爪34级</v>
          </cell>
          <cell r="B15475">
            <v>1504034</v>
          </cell>
        </row>
        <row r="15476">
          <cell r="A15476" t="str">
            <v>紫3星鬼爪35级</v>
          </cell>
          <cell r="B15476">
            <v>1504035</v>
          </cell>
        </row>
        <row r="15477">
          <cell r="A15477" t="str">
            <v>紫3星鬼爪36级</v>
          </cell>
          <cell r="B15477">
            <v>1504036</v>
          </cell>
        </row>
        <row r="15478">
          <cell r="A15478" t="str">
            <v>紫3星鬼爪37级</v>
          </cell>
          <cell r="B15478">
            <v>1504037</v>
          </cell>
        </row>
        <row r="15479">
          <cell r="A15479" t="str">
            <v>紫3星鬼爪38级</v>
          </cell>
          <cell r="B15479">
            <v>1504038</v>
          </cell>
        </row>
        <row r="15480">
          <cell r="A15480" t="str">
            <v>紫3星鬼爪39级</v>
          </cell>
          <cell r="B15480">
            <v>1504039</v>
          </cell>
        </row>
        <row r="15481">
          <cell r="A15481" t="str">
            <v>紫3星鬼爪40级</v>
          </cell>
          <cell r="B15481">
            <v>1504040</v>
          </cell>
        </row>
        <row r="15482">
          <cell r="A15482" t="str">
            <v>紫3星鬼爪41级</v>
          </cell>
          <cell r="B15482">
            <v>1504041</v>
          </cell>
        </row>
        <row r="15483">
          <cell r="A15483" t="str">
            <v>紫3星鬼爪42级</v>
          </cell>
          <cell r="B15483">
            <v>1504042</v>
          </cell>
        </row>
        <row r="15484">
          <cell r="A15484" t="str">
            <v>紫3星鬼爪43级</v>
          </cell>
          <cell r="B15484">
            <v>1504043</v>
          </cell>
        </row>
        <row r="15485">
          <cell r="A15485" t="str">
            <v>紫3星鬼爪44级</v>
          </cell>
          <cell r="B15485">
            <v>1504044</v>
          </cell>
        </row>
        <row r="15486">
          <cell r="A15486" t="str">
            <v>紫3星鬼爪45级</v>
          </cell>
          <cell r="B15486">
            <v>1504045</v>
          </cell>
        </row>
        <row r="15487">
          <cell r="A15487" t="str">
            <v>紫3星鬼爪46级</v>
          </cell>
          <cell r="B15487">
            <v>1504046</v>
          </cell>
        </row>
        <row r="15488">
          <cell r="A15488" t="str">
            <v>紫3星鬼爪47级</v>
          </cell>
          <cell r="B15488">
            <v>1504047</v>
          </cell>
        </row>
        <row r="15489">
          <cell r="A15489" t="str">
            <v>紫3星鬼爪48级</v>
          </cell>
          <cell r="B15489">
            <v>1504048</v>
          </cell>
        </row>
        <row r="15490">
          <cell r="A15490" t="str">
            <v>紫3星鬼爪49级</v>
          </cell>
          <cell r="B15490">
            <v>1504049</v>
          </cell>
        </row>
        <row r="15491">
          <cell r="A15491" t="str">
            <v>紫3星鬼爪50级</v>
          </cell>
          <cell r="B15491">
            <v>1504050</v>
          </cell>
        </row>
        <row r="15492">
          <cell r="A15492" t="str">
            <v>紫3星鬼爪51级</v>
          </cell>
          <cell r="B15492">
            <v>1504051</v>
          </cell>
        </row>
        <row r="15493">
          <cell r="A15493" t="str">
            <v>紫3星鬼爪52级</v>
          </cell>
          <cell r="B15493">
            <v>1504052</v>
          </cell>
        </row>
        <row r="15494">
          <cell r="A15494" t="str">
            <v>紫3星鬼爪53级</v>
          </cell>
          <cell r="B15494">
            <v>1504053</v>
          </cell>
        </row>
        <row r="15495">
          <cell r="A15495" t="str">
            <v>紫3星鬼爪54级</v>
          </cell>
          <cell r="B15495">
            <v>1504054</v>
          </cell>
        </row>
        <row r="15496">
          <cell r="A15496" t="str">
            <v>紫3星鬼爪55级</v>
          </cell>
          <cell r="B15496">
            <v>1504055</v>
          </cell>
        </row>
        <row r="15497">
          <cell r="A15497" t="str">
            <v>紫3星鬼爪56级</v>
          </cell>
          <cell r="B15497">
            <v>1504056</v>
          </cell>
        </row>
        <row r="15498">
          <cell r="A15498" t="str">
            <v>紫3星鬼爪57级</v>
          </cell>
          <cell r="B15498">
            <v>1504057</v>
          </cell>
        </row>
        <row r="15499">
          <cell r="A15499" t="str">
            <v>紫3星鬼爪58级</v>
          </cell>
          <cell r="B15499">
            <v>1504058</v>
          </cell>
        </row>
        <row r="15500">
          <cell r="A15500" t="str">
            <v>紫3星鬼爪59级</v>
          </cell>
          <cell r="B15500">
            <v>1504059</v>
          </cell>
        </row>
        <row r="15501">
          <cell r="A15501" t="str">
            <v>紫3星鬼爪60级</v>
          </cell>
          <cell r="B15501">
            <v>1504060</v>
          </cell>
        </row>
        <row r="15502">
          <cell r="A15502" t="str">
            <v>紫3星鬼爪61级</v>
          </cell>
          <cell r="B15502">
            <v>1504061</v>
          </cell>
        </row>
        <row r="15503">
          <cell r="A15503" t="str">
            <v>紫3星鬼爪62级</v>
          </cell>
          <cell r="B15503">
            <v>1504062</v>
          </cell>
        </row>
        <row r="15504">
          <cell r="A15504" t="str">
            <v>紫3星鬼爪63级</v>
          </cell>
          <cell r="B15504">
            <v>1504063</v>
          </cell>
        </row>
        <row r="15505">
          <cell r="A15505" t="str">
            <v>紫3星鬼爪64级</v>
          </cell>
          <cell r="B15505">
            <v>1504064</v>
          </cell>
        </row>
        <row r="15506">
          <cell r="A15506" t="str">
            <v>紫3星鬼爪65级</v>
          </cell>
          <cell r="B15506">
            <v>1504065</v>
          </cell>
        </row>
        <row r="15507">
          <cell r="A15507" t="str">
            <v>紫3星鬼爪66级</v>
          </cell>
          <cell r="B15507">
            <v>1504066</v>
          </cell>
        </row>
        <row r="15508">
          <cell r="A15508" t="str">
            <v>紫3星鬼爪67级</v>
          </cell>
          <cell r="B15508">
            <v>1504067</v>
          </cell>
        </row>
        <row r="15509">
          <cell r="A15509" t="str">
            <v>紫3星鬼爪68级</v>
          </cell>
          <cell r="B15509">
            <v>1504068</v>
          </cell>
        </row>
        <row r="15510">
          <cell r="A15510" t="str">
            <v>紫3星鬼爪69级</v>
          </cell>
          <cell r="B15510">
            <v>1504069</v>
          </cell>
        </row>
        <row r="15511">
          <cell r="A15511" t="str">
            <v>紫3星鬼爪70级</v>
          </cell>
          <cell r="B15511">
            <v>1504070</v>
          </cell>
        </row>
        <row r="15512">
          <cell r="A15512" t="str">
            <v>紫3星鬼爪71级</v>
          </cell>
          <cell r="B15512">
            <v>1504071</v>
          </cell>
        </row>
        <row r="15513">
          <cell r="A15513" t="str">
            <v>紫3星鬼爪72级</v>
          </cell>
          <cell r="B15513">
            <v>1504072</v>
          </cell>
        </row>
        <row r="15514">
          <cell r="A15514" t="str">
            <v>紫3星鬼爪73级</v>
          </cell>
          <cell r="B15514">
            <v>1504073</v>
          </cell>
        </row>
        <row r="15515">
          <cell r="A15515" t="str">
            <v>紫3星鬼爪74级</v>
          </cell>
          <cell r="B15515">
            <v>1504074</v>
          </cell>
        </row>
        <row r="15516">
          <cell r="A15516" t="str">
            <v>紫3星鬼爪75级</v>
          </cell>
          <cell r="B15516">
            <v>1504075</v>
          </cell>
        </row>
        <row r="15517">
          <cell r="A15517" t="str">
            <v>紫3星鬼爪76级</v>
          </cell>
          <cell r="B15517">
            <v>1504076</v>
          </cell>
        </row>
        <row r="15518">
          <cell r="A15518" t="str">
            <v>紫3星鬼爪77级</v>
          </cell>
          <cell r="B15518">
            <v>1504077</v>
          </cell>
        </row>
        <row r="15519">
          <cell r="A15519" t="str">
            <v>紫3星鬼爪78级</v>
          </cell>
          <cell r="B15519">
            <v>1504078</v>
          </cell>
        </row>
        <row r="15520">
          <cell r="A15520" t="str">
            <v>紫3星鬼爪79级</v>
          </cell>
          <cell r="B15520">
            <v>1504079</v>
          </cell>
        </row>
        <row r="15521">
          <cell r="A15521" t="str">
            <v>紫3星鬼爪80级</v>
          </cell>
          <cell r="B15521">
            <v>1504080</v>
          </cell>
        </row>
        <row r="15522">
          <cell r="A15522" t="str">
            <v>紫3星鬼爪81级</v>
          </cell>
          <cell r="B15522">
            <v>1504081</v>
          </cell>
        </row>
        <row r="15523">
          <cell r="A15523" t="str">
            <v>紫3星鬼爪82级</v>
          </cell>
          <cell r="B15523">
            <v>1504082</v>
          </cell>
        </row>
        <row r="15524">
          <cell r="A15524" t="str">
            <v>紫3星鬼爪83级</v>
          </cell>
          <cell r="B15524">
            <v>1504083</v>
          </cell>
        </row>
        <row r="15525">
          <cell r="A15525" t="str">
            <v>紫3星鬼爪84级</v>
          </cell>
          <cell r="B15525">
            <v>1504084</v>
          </cell>
        </row>
        <row r="15526">
          <cell r="A15526" t="str">
            <v>紫3星鬼爪85级</v>
          </cell>
          <cell r="B15526">
            <v>1504085</v>
          </cell>
        </row>
        <row r="15527">
          <cell r="A15527" t="str">
            <v>紫3星鬼爪86级</v>
          </cell>
          <cell r="B15527">
            <v>1504086</v>
          </cell>
        </row>
        <row r="15528">
          <cell r="A15528" t="str">
            <v>紫3星鬼爪87级</v>
          </cell>
          <cell r="B15528">
            <v>1504087</v>
          </cell>
        </row>
        <row r="15529">
          <cell r="A15529" t="str">
            <v>紫3星鬼爪88级</v>
          </cell>
          <cell r="B15529">
            <v>1504088</v>
          </cell>
        </row>
        <row r="15530">
          <cell r="A15530" t="str">
            <v>紫3星鬼爪89级</v>
          </cell>
          <cell r="B15530">
            <v>1504089</v>
          </cell>
        </row>
        <row r="15531">
          <cell r="A15531" t="str">
            <v>紫3星鬼爪90级</v>
          </cell>
          <cell r="B15531">
            <v>1504090</v>
          </cell>
        </row>
        <row r="15532">
          <cell r="A15532" t="str">
            <v>紫3星鬼爪91级</v>
          </cell>
          <cell r="B15532">
            <v>1504091</v>
          </cell>
        </row>
        <row r="15533">
          <cell r="A15533" t="str">
            <v>紫3星鬼爪92级</v>
          </cell>
          <cell r="B15533">
            <v>1504092</v>
          </cell>
        </row>
        <row r="15534">
          <cell r="A15534" t="str">
            <v>紫3星鬼爪93级</v>
          </cell>
          <cell r="B15534">
            <v>1504093</v>
          </cell>
        </row>
        <row r="15535">
          <cell r="A15535" t="str">
            <v>紫3星鬼爪94级</v>
          </cell>
          <cell r="B15535">
            <v>1504094</v>
          </cell>
        </row>
        <row r="15536">
          <cell r="A15536" t="str">
            <v>紫3星鬼爪95级</v>
          </cell>
          <cell r="B15536">
            <v>1504095</v>
          </cell>
        </row>
        <row r="15537">
          <cell r="A15537" t="str">
            <v>紫3星鬼爪96级</v>
          </cell>
          <cell r="B15537">
            <v>1504096</v>
          </cell>
        </row>
        <row r="15538">
          <cell r="A15538" t="str">
            <v>紫3星鬼爪97级</v>
          </cell>
          <cell r="B15538">
            <v>1504097</v>
          </cell>
        </row>
        <row r="15539">
          <cell r="A15539" t="str">
            <v>紫3星鬼爪98级</v>
          </cell>
          <cell r="B15539">
            <v>1504098</v>
          </cell>
        </row>
        <row r="15540">
          <cell r="A15540" t="str">
            <v>紫3星鬼爪99级</v>
          </cell>
          <cell r="B15540">
            <v>1504099</v>
          </cell>
        </row>
        <row r="15541">
          <cell r="A15541" t="str">
            <v>紫3星鬼爪100级</v>
          </cell>
          <cell r="B15541">
            <v>1504100</v>
          </cell>
        </row>
        <row r="15542">
          <cell r="A15542" t="str">
            <v>橙1星鬼爪1级</v>
          </cell>
          <cell r="B15542">
            <v>1505001</v>
          </cell>
        </row>
        <row r="15543">
          <cell r="A15543" t="str">
            <v>橙1星鬼爪2级</v>
          </cell>
          <cell r="B15543">
            <v>1505002</v>
          </cell>
        </row>
        <row r="15544">
          <cell r="A15544" t="str">
            <v>橙1星鬼爪3级</v>
          </cell>
          <cell r="B15544">
            <v>1505003</v>
          </cell>
        </row>
        <row r="15545">
          <cell r="A15545" t="str">
            <v>橙1星鬼爪4级</v>
          </cell>
          <cell r="B15545">
            <v>1505004</v>
          </cell>
        </row>
        <row r="15546">
          <cell r="A15546" t="str">
            <v>橙1星鬼爪5级</v>
          </cell>
          <cell r="B15546">
            <v>1505005</v>
          </cell>
        </row>
        <row r="15547">
          <cell r="A15547" t="str">
            <v>橙1星鬼爪6级</v>
          </cell>
          <cell r="B15547">
            <v>1505006</v>
          </cell>
        </row>
        <row r="15548">
          <cell r="A15548" t="str">
            <v>橙1星鬼爪7级</v>
          </cell>
          <cell r="B15548">
            <v>1505007</v>
          </cell>
        </row>
        <row r="15549">
          <cell r="A15549" t="str">
            <v>橙1星鬼爪8级</v>
          </cell>
          <cell r="B15549">
            <v>1505008</v>
          </cell>
        </row>
        <row r="15550">
          <cell r="A15550" t="str">
            <v>橙1星鬼爪9级</v>
          </cell>
          <cell r="B15550">
            <v>1505009</v>
          </cell>
        </row>
        <row r="15551">
          <cell r="A15551" t="str">
            <v>橙1星鬼爪10级</v>
          </cell>
          <cell r="B15551">
            <v>1505010</v>
          </cell>
        </row>
        <row r="15552">
          <cell r="A15552" t="str">
            <v>橙1星鬼爪11级</v>
          </cell>
          <cell r="B15552">
            <v>1505011</v>
          </cell>
        </row>
        <row r="15553">
          <cell r="A15553" t="str">
            <v>橙1星鬼爪12级</v>
          </cell>
          <cell r="B15553">
            <v>1505012</v>
          </cell>
        </row>
        <row r="15554">
          <cell r="A15554" t="str">
            <v>橙1星鬼爪13级</v>
          </cell>
          <cell r="B15554">
            <v>1505013</v>
          </cell>
        </row>
        <row r="15555">
          <cell r="A15555" t="str">
            <v>橙1星鬼爪14级</v>
          </cell>
          <cell r="B15555">
            <v>1505014</v>
          </cell>
        </row>
        <row r="15556">
          <cell r="A15556" t="str">
            <v>橙1星鬼爪15级</v>
          </cell>
          <cell r="B15556">
            <v>1505015</v>
          </cell>
        </row>
        <row r="15557">
          <cell r="A15557" t="str">
            <v>橙1星鬼爪16级</v>
          </cell>
          <cell r="B15557">
            <v>1505016</v>
          </cell>
        </row>
        <row r="15558">
          <cell r="A15558" t="str">
            <v>橙1星鬼爪17级</v>
          </cell>
          <cell r="B15558">
            <v>1505017</v>
          </cell>
        </row>
        <row r="15559">
          <cell r="A15559" t="str">
            <v>橙1星鬼爪18级</v>
          </cell>
          <cell r="B15559">
            <v>1505018</v>
          </cell>
        </row>
        <row r="15560">
          <cell r="A15560" t="str">
            <v>橙1星鬼爪19级</v>
          </cell>
          <cell r="B15560">
            <v>1505019</v>
          </cell>
        </row>
        <row r="15561">
          <cell r="A15561" t="str">
            <v>橙1星鬼爪20级</v>
          </cell>
          <cell r="B15561">
            <v>1505020</v>
          </cell>
        </row>
        <row r="15562">
          <cell r="A15562" t="str">
            <v>橙1星鬼爪21级</v>
          </cell>
          <cell r="B15562">
            <v>1505021</v>
          </cell>
        </row>
        <row r="15563">
          <cell r="A15563" t="str">
            <v>橙1星鬼爪22级</v>
          </cell>
          <cell r="B15563">
            <v>1505022</v>
          </cell>
        </row>
        <row r="15564">
          <cell r="A15564" t="str">
            <v>橙1星鬼爪23级</v>
          </cell>
          <cell r="B15564">
            <v>1505023</v>
          </cell>
        </row>
        <row r="15565">
          <cell r="A15565" t="str">
            <v>橙1星鬼爪24级</v>
          </cell>
          <cell r="B15565">
            <v>1505024</v>
          </cell>
        </row>
        <row r="15566">
          <cell r="A15566" t="str">
            <v>橙1星鬼爪25级</v>
          </cell>
          <cell r="B15566">
            <v>1505025</v>
          </cell>
        </row>
        <row r="15567">
          <cell r="A15567" t="str">
            <v>橙1星鬼爪26级</v>
          </cell>
          <cell r="B15567">
            <v>1505026</v>
          </cell>
        </row>
        <row r="15568">
          <cell r="A15568" t="str">
            <v>橙1星鬼爪27级</v>
          </cell>
          <cell r="B15568">
            <v>1505027</v>
          </cell>
        </row>
        <row r="15569">
          <cell r="A15569" t="str">
            <v>橙1星鬼爪28级</v>
          </cell>
          <cell r="B15569">
            <v>1505028</v>
          </cell>
        </row>
        <row r="15570">
          <cell r="A15570" t="str">
            <v>橙1星鬼爪29级</v>
          </cell>
          <cell r="B15570">
            <v>1505029</v>
          </cell>
        </row>
        <row r="15571">
          <cell r="A15571" t="str">
            <v>橙1星鬼爪30级</v>
          </cell>
          <cell r="B15571">
            <v>1505030</v>
          </cell>
        </row>
        <row r="15572">
          <cell r="A15572" t="str">
            <v>橙1星鬼爪31级</v>
          </cell>
          <cell r="B15572">
            <v>1505031</v>
          </cell>
        </row>
        <row r="15573">
          <cell r="A15573" t="str">
            <v>橙1星鬼爪32级</v>
          </cell>
          <cell r="B15573">
            <v>1505032</v>
          </cell>
        </row>
        <row r="15574">
          <cell r="A15574" t="str">
            <v>橙1星鬼爪33级</v>
          </cell>
          <cell r="B15574">
            <v>1505033</v>
          </cell>
        </row>
        <row r="15575">
          <cell r="A15575" t="str">
            <v>橙1星鬼爪34级</v>
          </cell>
          <cell r="B15575">
            <v>1505034</v>
          </cell>
        </row>
        <row r="15576">
          <cell r="A15576" t="str">
            <v>橙1星鬼爪35级</v>
          </cell>
          <cell r="B15576">
            <v>1505035</v>
          </cell>
        </row>
        <row r="15577">
          <cell r="A15577" t="str">
            <v>橙1星鬼爪36级</v>
          </cell>
          <cell r="B15577">
            <v>1505036</v>
          </cell>
        </row>
        <row r="15578">
          <cell r="A15578" t="str">
            <v>橙1星鬼爪37级</v>
          </cell>
          <cell r="B15578">
            <v>1505037</v>
          </cell>
        </row>
        <row r="15579">
          <cell r="A15579" t="str">
            <v>橙1星鬼爪38级</v>
          </cell>
          <cell r="B15579">
            <v>1505038</v>
          </cell>
        </row>
        <row r="15580">
          <cell r="A15580" t="str">
            <v>橙1星鬼爪39级</v>
          </cell>
          <cell r="B15580">
            <v>1505039</v>
          </cell>
        </row>
        <row r="15581">
          <cell r="A15581" t="str">
            <v>橙1星鬼爪40级</v>
          </cell>
          <cell r="B15581">
            <v>1505040</v>
          </cell>
        </row>
        <row r="15582">
          <cell r="A15582" t="str">
            <v>橙1星鬼爪41级</v>
          </cell>
          <cell r="B15582">
            <v>1505041</v>
          </cell>
        </row>
        <row r="15583">
          <cell r="A15583" t="str">
            <v>橙1星鬼爪42级</v>
          </cell>
          <cell r="B15583">
            <v>1505042</v>
          </cell>
        </row>
        <row r="15584">
          <cell r="A15584" t="str">
            <v>橙1星鬼爪43级</v>
          </cell>
          <cell r="B15584">
            <v>1505043</v>
          </cell>
        </row>
        <row r="15585">
          <cell r="A15585" t="str">
            <v>橙1星鬼爪44级</v>
          </cell>
          <cell r="B15585">
            <v>1505044</v>
          </cell>
        </row>
        <row r="15586">
          <cell r="A15586" t="str">
            <v>橙1星鬼爪45级</v>
          </cell>
          <cell r="B15586">
            <v>1505045</v>
          </cell>
        </row>
        <row r="15587">
          <cell r="A15587" t="str">
            <v>橙1星鬼爪46级</v>
          </cell>
          <cell r="B15587">
            <v>1505046</v>
          </cell>
        </row>
        <row r="15588">
          <cell r="A15588" t="str">
            <v>橙1星鬼爪47级</v>
          </cell>
          <cell r="B15588">
            <v>1505047</v>
          </cell>
        </row>
        <row r="15589">
          <cell r="A15589" t="str">
            <v>橙1星鬼爪48级</v>
          </cell>
          <cell r="B15589">
            <v>1505048</v>
          </cell>
        </row>
        <row r="15590">
          <cell r="A15590" t="str">
            <v>橙1星鬼爪49级</v>
          </cell>
          <cell r="B15590">
            <v>1505049</v>
          </cell>
        </row>
        <row r="15591">
          <cell r="A15591" t="str">
            <v>橙1星鬼爪50级</v>
          </cell>
          <cell r="B15591">
            <v>1505050</v>
          </cell>
        </row>
        <row r="15592">
          <cell r="A15592" t="str">
            <v>橙1星鬼爪51级</v>
          </cell>
          <cell r="B15592">
            <v>1505051</v>
          </cell>
        </row>
        <row r="15593">
          <cell r="A15593" t="str">
            <v>橙1星鬼爪52级</v>
          </cell>
          <cell r="B15593">
            <v>1505052</v>
          </cell>
        </row>
        <row r="15594">
          <cell r="A15594" t="str">
            <v>橙1星鬼爪53级</v>
          </cell>
          <cell r="B15594">
            <v>1505053</v>
          </cell>
        </row>
        <row r="15595">
          <cell r="A15595" t="str">
            <v>橙1星鬼爪54级</v>
          </cell>
          <cell r="B15595">
            <v>1505054</v>
          </cell>
        </row>
        <row r="15596">
          <cell r="A15596" t="str">
            <v>橙1星鬼爪55级</v>
          </cell>
          <cell r="B15596">
            <v>1505055</v>
          </cell>
        </row>
        <row r="15597">
          <cell r="A15597" t="str">
            <v>橙1星鬼爪56级</v>
          </cell>
          <cell r="B15597">
            <v>1505056</v>
          </cell>
        </row>
        <row r="15598">
          <cell r="A15598" t="str">
            <v>橙1星鬼爪57级</v>
          </cell>
          <cell r="B15598">
            <v>1505057</v>
          </cell>
        </row>
        <row r="15599">
          <cell r="A15599" t="str">
            <v>橙1星鬼爪58级</v>
          </cell>
          <cell r="B15599">
            <v>1505058</v>
          </cell>
        </row>
        <row r="15600">
          <cell r="A15600" t="str">
            <v>橙1星鬼爪59级</v>
          </cell>
          <cell r="B15600">
            <v>1505059</v>
          </cell>
        </row>
        <row r="15601">
          <cell r="A15601" t="str">
            <v>橙1星鬼爪60级</v>
          </cell>
          <cell r="B15601">
            <v>1505060</v>
          </cell>
        </row>
        <row r="15602">
          <cell r="A15602" t="str">
            <v>橙1星鬼爪61级</v>
          </cell>
          <cell r="B15602">
            <v>1505061</v>
          </cell>
        </row>
        <row r="15603">
          <cell r="A15603" t="str">
            <v>橙1星鬼爪62级</v>
          </cell>
          <cell r="B15603">
            <v>1505062</v>
          </cell>
        </row>
        <row r="15604">
          <cell r="A15604" t="str">
            <v>橙1星鬼爪63级</v>
          </cell>
          <cell r="B15604">
            <v>1505063</v>
          </cell>
        </row>
        <row r="15605">
          <cell r="A15605" t="str">
            <v>橙1星鬼爪64级</v>
          </cell>
          <cell r="B15605">
            <v>1505064</v>
          </cell>
        </row>
        <row r="15606">
          <cell r="A15606" t="str">
            <v>橙1星鬼爪65级</v>
          </cell>
          <cell r="B15606">
            <v>1505065</v>
          </cell>
        </row>
        <row r="15607">
          <cell r="A15607" t="str">
            <v>橙1星鬼爪66级</v>
          </cell>
          <cell r="B15607">
            <v>1505066</v>
          </cell>
        </row>
        <row r="15608">
          <cell r="A15608" t="str">
            <v>橙1星鬼爪67级</v>
          </cell>
          <cell r="B15608">
            <v>1505067</v>
          </cell>
        </row>
        <row r="15609">
          <cell r="A15609" t="str">
            <v>橙1星鬼爪68级</v>
          </cell>
          <cell r="B15609">
            <v>1505068</v>
          </cell>
        </row>
        <row r="15610">
          <cell r="A15610" t="str">
            <v>橙1星鬼爪69级</v>
          </cell>
          <cell r="B15610">
            <v>1505069</v>
          </cell>
        </row>
        <row r="15611">
          <cell r="A15611" t="str">
            <v>橙1星鬼爪70级</v>
          </cell>
          <cell r="B15611">
            <v>1505070</v>
          </cell>
        </row>
        <row r="15612">
          <cell r="A15612" t="str">
            <v>橙1星鬼爪71级</v>
          </cell>
          <cell r="B15612">
            <v>1505071</v>
          </cell>
        </row>
        <row r="15613">
          <cell r="A15613" t="str">
            <v>橙1星鬼爪72级</v>
          </cell>
          <cell r="B15613">
            <v>1505072</v>
          </cell>
        </row>
        <row r="15614">
          <cell r="A15614" t="str">
            <v>橙1星鬼爪73级</v>
          </cell>
          <cell r="B15614">
            <v>1505073</v>
          </cell>
        </row>
        <row r="15615">
          <cell r="A15615" t="str">
            <v>橙1星鬼爪74级</v>
          </cell>
          <cell r="B15615">
            <v>1505074</v>
          </cell>
        </row>
        <row r="15616">
          <cell r="A15616" t="str">
            <v>橙1星鬼爪75级</v>
          </cell>
          <cell r="B15616">
            <v>1505075</v>
          </cell>
        </row>
        <row r="15617">
          <cell r="A15617" t="str">
            <v>橙1星鬼爪76级</v>
          </cell>
          <cell r="B15617">
            <v>1505076</v>
          </cell>
        </row>
        <row r="15618">
          <cell r="A15618" t="str">
            <v>橙1星鬼爪77级</v>
          </cell>
          <cell r="B15618">
            <v>1505077</v>
          </cell>
        </row>
        <row r="15619">
          <cell r="A15619" t="str">
            <v>橙1星鬼爪78级</v>
          </cell>
          <cell r="B15619">
            <v>1505078</v>
          </cell>
        </row>
        <row r="15620">
          <cell r="A15620" t="str">
            <v>橙1星鬼爪79级</v>
          </cell>
          <cell r="B15620">
            <v>1505079</v>
          </cell>
        </row>
        <row r="15621">
          <cell r="A15621" t="str">
            <v>橙1星鬼爪80级</v>
          </cell>
          <cell r="B15621">
            <v>1505080</v>
          </cell>
        </row>
        <row r="15622">
          <cell r="A15622" t="str">
            <v>橙1星鬼爪81级</v>
          </cell>
          <cell r="B15622">
            <v>1505081</v>
          </cell>
        </row>
        <row r="15623">
          <cell r="A15623" t="str">
            <v>橙1星鬼爪82级</v>
          </cell>
          <cell r="B15623">
            <v>1505082</v>
          </cell>
        </row>
        <row r="15624">
          <cell r="A15624" t="str">
            <v>橙1星鬼爪83级</v>
          </cell>
          <cell r="B15624">
            <v>1505083</v>
          </cell>
        </row>
        <row r="15625">
          <cell r="A15625" t="str">
            <v>橙1星鬼爪84级</v>
          </cell>
          <cell r="B15625">
            <v>1505084</v>
          </cell>
        </row>
        <row r="15626">
          <cell r="A15626" t="str">
            <v>橙1星鬼爪85级</v>
          </cell>
          <cell r="B15626">
            <v>1505085</v>
          </cell>
        </row>
        <row r="15627">
          <cell r="A15627" t="str">
            <v>橙1星鬼爪86级</v>
          </cell>
          <cell r="B15627">
            <v>1505086</v>
          </cell>
        </row>
        <row r="15628">
          <cell r="A15628" t="str">
            <v>橙1星鬼爪87级</v>
          </cell>
          <cell r="B15628">
            <v>1505087</v>
          </cell>
        </row>
        <row r="15629">
          <cell r="A15629" t="str">
            <v>橙1星鬼爪88级</v>
          </cell>
          <cell r="B15629">
            <v>1505088</v>
          </cell>
        </row>
        <row r="15630">
          <cell r="A15630" t="str">
            <v>橙1星鬼爪89级</v>
          </cell>
          <cell r="B15630">
            <v>1505089</v>
          </cell>
        </row>
        <row r="15631">
          <cell r="A15631" t="str">
            <v>橙1星鬼爪90级</v>
          </cell>
          <cell r="B15631">
            <v>1505090</v>
          </cell>
        </row>
        <row r="15632">
          <cell r="A15632" t="str">
            <v>橙1星鬼爪91级</v>
          </cell>
          <cell r="B15632">
            <v>1505091</v>
          </cell>
        </row>
        <row r="15633">
          <cell r="A15633" t="str">
            <v>橙1星鬼爪92级</v>
          </cell>
          <cell r="B15633">
            <v>1505092</v>
          </cell>
        </row>
        <row r="15634">
          <cell r="A15634" t="str">
            <v>橙1星鬼爪93级</v>
          </cell>
          <cell r="B15634">
            <v>1505093</v>
          </cell>
        </row>
        <row r="15635">
          <cell r="A15635" t="str">
            <v>橙1星鬼爪94级</v>
          </cell>
          <cell r="B15635">
            <v>1505094</v>
          </cell>
        </row>
        <row r="15636">
          <cell r="A15636" t="str">
            <v>橙1星鬼爪95级</v>
          </cell>
          <cell r="B15636">
            <v>1505095</v>
          </cell>
        </row>
        <row r="15637">
          <cell r="A15637" t="str">
            <v>橙1星鬼爪96级</v>
          </cell>
          <cell r="B15637">
            <v>1505096</v>
          </cell>
        </row>
        <row r="15638">
          <cell r="A15638" t="str">
            <v>橙1星鬼爪97级</v>
          </cell>
          <cell r="B15638">
            <v>1505097</v>
          </cell>
        </row>
        <row r="15639">
          <cell r="A15639" t="str">
            <v>橙1星鬼爪98级</v>
          </cell>
          <cell r="B15639">
            <v>1505098</v>
          </cell>
        </row>
        <row r="15640">
          <cell r="A15640" t="str">
            <v>橙1星鬼爪99级</v>
          </cell>
          <cell r="B15640">
            <v>1505099</v>
          </cell>
        </row>
        <row r="15641">
          <cell r="A15641" t="str">
            <v>橙1星鬼爪100级</v>
          </cell>
          <cell r="B15641">
            <v>1505100</v>
          </cell>
        </row>
        <row r="15642">
          <cell r="A15642" t="str">
            <v>橙2星鬼爪1级</v>
          </cell>
          <cell r="B15642">
            <v>1506001</v>
          </cell>
        </row>
        <row r="15643">
          <cell r="A15643" t="str">
            <v>橙2星鬼爪2级</v>
          </cell>
          <cell r="B15643">
            <v>1506002</v>
          </cell>
        </row>
        <row r="15644">
          <cell r="A15644" t="str">
            <v>橙2星鬼爪3级</v>
          </cell>
          <cell r="B15644">
            <v>1506003</v>
          </cell>
        </row>
        <row r="15645">
          <cell r="A15645" t="str">
            <v>橙2星鬼爪4级</v>
          </cell>
          <cell r="B15645">
            <v>1506004</v>
          </cell>
        </row>
        <row r="15646">
          <cell r="A15646" t="str">
            <v>橙2星鬼爪5级</v>
          </cell>
          <cell r="B15646">
            <v>1506005</v>
          </cell>
        </row>
        <row r="15647">
          <cell r="A15647" t="str">
            <v>橙2星鬼爪6级</v>
          </cell>
          <cell r="B15647">
            <v>1506006</v>
          </cell>
        </row>
        <row r="15648">
          <cell r="A15648" t="str">
            <v>橙2星鬼爪7级</v>
          </cell>
          <cell r="B15648">
            <v>1506007</v>
          </cell>
        </row>
        <row r="15649">
          <cell r="A15649" t="str">
            <v>橙2星鬼爪8级</v>
          </cell>
          <cell r="B15649">
            <v>1506008</v>
          </cell>
        </row>
        <row r="15650">
          <cell r="A15650" t="str">
            <v>橙2星鬼爪9级</v>
          </cell>
          <cell r="B15650">
            <v>1506009</v>
          </cell>
        </row>
        <row r="15651">
          <cell r="A15651" t="str">
            <v>橙2星鬼爪10级</v>
          </cell>
          <cell r="B15651">
            <v>1506010</v>
          </cell>
        </row>
        <row r="15652">
          <cell r="A15652" t="str">
            <v>橙2星鬼爪11级</v>
          </cell>
          <cell r="B15652">
            <v>1506011</v>
          </cell>
        </row>
        <row r="15653">
          <cell r="A15653" t="str">
            <v>橙2星鬼爪12级</v>
          </cell>
          <cell r="B15653">
            <v>1506012</v>
          </cell>
        </row>
        <row r="15654">
          <cell r="A15654" t="str">
            <v>橙2星鬼爪13级</v>
          </cell>
          <cell r="B15654">
            <v>1506013</v>
          </cell>
        </row>
        <row r="15655">
          <cell r="A15655" t="str">
            <v>橙2星鬼爪14级</v>
          </cell>
          <cell r="B15655">
            <v>1506014</v>
          </cell>
        </row>
        <row r="15656">
          <cell r="A15656" t="str">
            <v>橙2星鬼爪15级</v>
          </cell>
          <cell r="B15656">
            <v>1506015</v>
          </cell>
        </row>
        <row r="15657">
          <cell r="A15657" t="str">
            <v>橙2星鬼爪16级</v>
          </cell>
          <cell r="B15657">
            <v>1506016</v>
          </cell>
        </row>
        <row r="15658">
          <cell r="A15658" t="str">
            <v>橙2星鬼爪17级</v>
          </cell>
          <cell r="B15658">
            <v>1506017</v>
          </cell>
        </row>
        <row r="15659">
          <cell r="A15659" t="str">
            <v>橙2星鬼爪18级</v>
          </cell>
          <cell r="B15659">
            <v>1506018</v>
          </cell>
        </row>
        <row r="15660">
          <cell r="A15660" t="str">
            <v>橙2星鬼爪19级</v>
          </cell>
          <cell r="B15660">
            <v>1506019</v>
          </cell>
        </row>
        <row r="15661">
          <cell r="A15661" t="str">
            <v>橙2星鬼爪20级</v>
          </cell>
          <cell r="B15661">
            <v>1506020</v>
          </cell>
        </row>
        <row r="15662">
          <cell r="A15662" t="str">
            <v>橙2星鬼爪21级</v>
          </cell>
          <cell r="B15662">
            <v>1506021</v>
          </cell>
        </row>
        <row r="15663">
          <cell r="A15663" t="str">
            <v>橙2星鬼爪22级</v>
          </cell>
          <cell r="B15663">
            <v>1506022</v>
          </cell>
        </row>
        <row r="15664">
          <cell r="A15664" t="str">
            <v>橙2星鬼爪23级</v>
          </cell>
          <cell r="B15664">
            <v>1506023</v>
          </cell>
        </row>
        <row r="15665">
          <cell r="A15665" t="str">
            <v>橙2星鬼爪24级</v>
          </cell>
          <cell r="B15665">
            <v>1506024</v>
          </cell>
        </row>
        <row r="15666">
          <cell r="A15666" t="str">
            <v>橙2星鬼爪25级</v>
          </cell>
          <cell r="B15666">
            <v>1506025</v>
          </cell>
        </row>
        <row r="15667">
          <cell r="A15667" t="str">
            <v>橙2星鬼爪26级</v>
          </cell>
          <cell r="B15667">
            <v>1506026</v>
          </cell>
        </row>
        <row r="15668">
          <cell r="A15668" t="str">
            <v>橙2星鬼爪27级</v>
          </cell>
          <cell r="B15668">
            <v>1506027</v>
          </cell>
        </row>
        <row r="15669">
          <cell r="A15669" t="str">
            <v>橙2星鬼爪28级</v>
          </cell>
          <cell r="B15669">
            <v>1506028</v>
          </cell>
        </row>
        <row r="15670">
          <cell r="A15670" t="str">
            <v>橙2星鬼爪29级</v>
          </cell>
          <cell r="B15670">
            <v>1506029</v>
          </cell>
        </row>
        <row r="15671">
          <cell r="A15671" t="str">
            <v>橙2星鬼爪30级</v>
          </cell>
          <cell r="B15671">
            <v>1506030</v>
          </cell>
        </row>
        <row r="15672">
          <cell r="A15672" t="str">
            <v>橙2星鬼爪31级</v>
          </cell>
          <cell r="B15672">
            <v>1506031</v>
          </cell>
        </row>
        <row r="15673">
          <cell r="A15673" t="str">
            <v>橙2星鬼爪32级</v>
          </cell>
          <cell r="B15673">
            <v>1506032</v>
          </cell>
        </row>
        <row r="15674">
          <cell r="A15674" t="str">
            <v>橙2星鬼爪33级</v>
          </cell>
          <cell r="B15674">
            <v>1506033</v>
          </cell>
        </row>
        <row r="15675">
          <cell r="A15675" t="str">
            <v>橙2星鬼爪34级</v>
          </cell>
          <cell r="B15675">
            <v>1506034</v>
          </cell>
        </row>
        <row r="15676">
          <cell r="A15676" t="str">
            <v>橙2星鬼爪35级</v>
          </cell>
          <cell r="B15676">
            <v>1506035</v>
          </cell>
        </row>
        <row r="15677">
          <cell r="A15677" t="str">
            <v>橙2星鬼爪36级</v>
          </cell>
          <cell r="B15677">
            <v>1506036</v>
          </cell>
        </row>
        <row r="15678">
          <cell r="A15678" t="str">
            <v>橙2星鬼爪37级</v>
          </cell>
          <cell r="B15678">
            <v>1506037</v>
          </cell>
        </row>
        <row r="15679">
          <cell r="A15679" t="str">
            <v>橙2星鬼爪38级</v>
          </cell>
          <cell r="B15679">
            <v>1506038</v>
          </cell>
        </row>
        <row r="15680">
          <cell r="A15680" t="str">
            <v>橙2星鬼爪39级</v>
          </cell>
          <cell r="B15680">
            <v>1506039</v>
          </cell>
        </row>
        <row r="15681">
          <cell r="A15681" t="str">
            <v>橙2星鬼爪40级</v>
          </cell>
          <cell r="B15681">
            <v>1506040</v>
          </cell>
        </row>
        <row r="15682">
          <cell r="A15682" t="str">
            <v>橙2星鬼爪41级</v>
          </cell>
          <cell r="B15682">
            <v>1506041</v>
          </cell>
        </row>
        <row r="15683">
          <cell r="A15683" t="str">
            <v>橙2星鬼爪42级</v>
          </cell>
          <cell r="B15683">
            <v>1506042</v>
          </cell>
        </row>
        <row r="15684">
          <cell r="A15684" t="str">
            <v>橙2星鬼爪43级</v>
          </cell>
          <cell r="B15684">
            <v>1506043</v>
          </cell>
        </row>
        <row r="15685">
          <cell r="A15685" t="str">
            <v>橙2星鬼爪44级</v>
          </cell>
          <cell r="B15685">
            <v>1506044</v>
          </cell>
        </row>
        <row r="15686">
          <cell r="A15686" t="str">
            <v>橙2星鬼爪45级</v>
          </cell>
          <cell r="B15686">
            <v>1506045</v>
          </cell>
        </row>
        <row r="15687">
          <cell r="A15687" t="str">
            <v>橙2星鬼爪46级</v>
          </cell>
          <cell r="B15687">
            <v>1506046</v>
          </cell>
        </row>
        <row r="15688">
          <cell r="A15688" t="str">
            <v>橙2星鬼爪47级</v>
          </cell>
          <cell r="B15688">
            <v>1506047</v>
          </cell>
        </row>
        <row r="15689">
          <cell r="A15689" t="str">
            <v>橙2星鬼爪48级</v>
          </cell>
          <cell r="B15689">
            <v>1506048</v>
          </cell>
        </row>
        <row r="15690">
          <cell r="A15690" t="str">
            <v>橙2星鬼爪49级</v>
          </cell>
          <cell r="B15690">
            <v>1506049</v>
          </cell>
        </row>
        <row r="15691">
          <cell r="A15691" t="str">
            <v>橙2星鬼爪50级</v>
          </cell>
          <cell r="B15691">
            <v>1506050</v>
          </cell>
        </row>
        <row r="15692">
          <cell r="A15692" t="str">
            <v>橙2星鬼爪51级</v>
          </cell>
          <cell r="B15692">
            <v>1506051</v>
          </cell>
        </row>
        <row r="15693">
          <cell r="A15693" t="str">
            <v>橙2星鬼爪52级</v>
          </cell>
          <cell r="B15693">
            <v>1506052</v>
          </cell>
        </row>
        <row r="15694">
          <cell r="A15694" t="str">
            <v>橙2星鬼爪53级</v>
          </cell>
          <cell r="B15694">
            <v>1506053</v>
          </cell>
        </row>
        <row r="15695">
          <cell r="A15695" t="str">
            <v>橙2星鬼爪54级</v>
          </cell>
          <cell r="B15695">
            <v>1506054</v>
          </cell>
        </row>
        <row r="15696">
          <cell r="A15696" t="str">
            <v>橙2星鬼爪55级</v>
          </cell>
          <cell r="B15696">
            <v>1506055</v>
          </cell>
        </row>
        <row r="15697">
          <cell r="A15697" t="str">
            <v>橙2星鬼爪56级</v>
          </cell>
          <cell r="B15697">
            <v>1506056</v>
          </cell>
        </row>
        <row r="15698">
          <cell r="A15698" t="str">
            <v>橙2星鬼爪57级</v>
          </cell>
          <cell r="B15698">
            <v>1506057</v>
          </cell>
        </row>
        <row r="15699">
          <cell r="A15699" t="str">
            <v>橙2星鬼爪58级</v>
          </cell>
          <cell r="B15699">
            <v>1506058</v>
          </cell>
        </row>
        <row r="15700">
          <cell r="A15700" t="str">
            <v>橙2星鬼爪59级</v>
          </cell>
          <cell r="B15700">
            <v>1506059</v>
          </cell>
        </row>
        <row r="15701">
          <cell r="A15701" t="str">
            <v>橙2星鬼爪60级</v>
          </cell>
          <cell r="B15701">
            <v>1506060</v>
          </cell>
        </row>
        <row r="15702">
          <cell r="A15702" t="str">
            <v>橙2星鬼爪61级</v>
          </cell>
          <cell r="B15702">
            <v>1506061</v>
          </cell>
        </row>
        <row r="15703">
          <cell r="A15703" t="str">
            <v>橙2星鬼爪62级</v>
          </cell>
          <cell r="B15703">
            <v>1506062</v>
          </cell>
        </row>
        <row r="15704">
          <cell r="A15704" t="str">
            <v>橙2星鬼爪63级</v>
          </cell>
          <cell r="B15704">
            <v>1506063</v>
          </cell>
        </row>
        <row r="15705">
          <cell r="A15705" t="str">
            <v>橙2星鬼爪64级</v>
          </cell>
          <cell r="B15705">
            <v>1506064</v>
          </cell>
        </row>
        <row r="15706">
          <cell r="A15706" t="str">
            <v>橙2星鬼爪65级</v>
          </cell>
          <cell r="B15706">
            <v>1506065</v>
          </cell>
        </row>
        <row r="15707">
          <cell r="A15707" t="str">
            <v>橙2星鬼爪66级</v>
          </cell>
          <cell r="B15707">
            <v>1506066</v>
          </cell>
        </row>
        <row r="15708">
          <cell r="A15708" t="str">
            <v>橙2星鬼爪67级</v>
          </cell>
          <cell r="B15708">
            <v>1506067</v>
          </cell>
        </row>
        <row r="15709">
          <cell r="A15709" t="str">
            <v>橙2星鬼爪68级</v>
          </cell>
          <cell r="B15709">
            <v>1506068</v>
          </cell>
        </row>
        <row r="15710">
          <cell r="A15710" t="str">
            <v>橙2星鬼爪69级</v>
          </cell>
          <cell r="B15710">
            <v>1506069</v>
          </cell>
        </row>
        <row r="15711">
          <cell r="A15711" t="str">
            <v>橙2星鬼爪70级</v>
          </cell>
          <cell r="B15711">
            <v>1506070</v>
          </cell>
        </row>
        <row r="15712">
          <cell r="A15712" t="str">
            <v>橙2星鬼爪71级</v>
          </cell>
          <cell r="B15712">
            <v>1506071</v>
          </cell>
        </row>
        <row r="15713">
          <cell r="A15713" t="str">
            <v>橙2星鬼爪72级</v>
          </cell>
          <cell r="B15713">
            <v>1506072</v>
          </cell>
        </row>
        <row r="15714">
          <cell r="A15714" t="str">
            <v>橙2星鬼爪73级</v>
          </cell>
          <cell r="B15714">
            <v>1506073</v>
          </cell>
        </row>
        <row r="15715">
          <cell r="A15715" t="str">
            <v>橙2星鬼爪74级</v>
          </cell>
          <cell r="B15715">
            <v>1506074</v>
          </cell>
        </row>
        <row r="15716">
          <cell r="A15716" t="str">
            <v>橙2星鬼爪75级</v>
          </cell>
          <cell r="B15716">
            <v>1506075</v>
          </cell>
        </row>
        <row r="15717">
          <cell r="A15717" t="str">
            <v>橙2星鬼爪76级</v>
          </cell>
          <cell r="B15717">
            <v>1506076</v>
          </cell>
        </row>
        <row r="15718">
          <cell r="A15718" t="str">
            <v>橙2星鬼爪77级</v>
          </cell>
          <cell r="B15718">
            <v>1506077</v>
          </cell>
        </row>
        <row r="15719">
          <cell r="A15719" t="str">
            <v>橙2星鬼爪78级</v>
          </cell>
          <cell r="B15719">
            <v>1506078</v>
          </cell>
        </row>
        <row r="15720">
          <cell r="A15720" t="str">
            <v>橙2星鬼爪79级</v>
          </cell>
          <cell r="B15720">
            <v>1506079</v>
          </cell>
        </row>
        <row r="15721">
          <cell r="A15721" t="str">
            <v>橙2星鬼爪80级</v>
          </cell>
          <cell r="B15721">
            <v>1506080</v>
          </cell>
        </row>
        <row r="15722">
          <cell r="A15722" t="str">
            <v>橙2星鬼爪81级</v>
          </cell>
          <cell r="B15722">
            <v>1506081</v>
          </cell>
        </row>
        <row r="15723">
          <cell r="A15723" t="str">
            <v>橙2星鬼爪82级</v>
          </cell>
          <cell r="B15723">
            <v>1506082</v>
          </cell>
        </row>
        <row r="15724">
          <cell r="A15724" t="str">
            <v>橙2星鬼爪83级</v>
          </cell>
          <cell r="B15724">
            <v>1506083</v>
          </cell>
        </row>
        <row r="15725">
          <cell r="A15725" t="str">
            <v>橙2星鬼爪84级</v>
          </cell>
          <cell r="B15725">
            <v>1506084</v>
          </cell>
        </row>
        <row r="15726">
          <cell r="A15726" t="str">
            <v>橙2星鬼爪85级</v>
          </cell>
          <cell r="B15726">
            <v>1506085</v>
          </cell>
        </row>
        <row r="15727">
          <cell r="A15727" t="str">
            <v>橙2星鬼爪86级</v>
          </cell>
          <cell r="B15727">
            <v>1506086</v>
          </cell>
        </row>
        <row r="15728">
          <cell r="A15728" t="str">
            <v>橙2星鬼爪87级</v>
          </cell>
          <cell r="B15728">
            <v>1506087</v>
          </cell>
        </row>
        <row r="15729">
          <cell r="A15729" t="str">
            <v>橙2星鬼爪88级</v>
          </cell>
          <cell r="B15729">
            <v>1506088</v>
          </cell>
        </row>
        <row r="15730">
          <cell r="A15730" t="str">
            <v>橙2星鬼爪89级</v>
          </cell>
          <cell r="B15730">
            <v>1506089</v>
          </cell>
        </row>
        <row r="15731">
          <cell r="A15731" t="str">
            <v>橙2星鬼爪90级</v>
          </cell>
          <cell r="B15731">
            <v>1506090</v>
          </cell>
        </row>
        <row r="15732">
          <cell r="A15732" t="str">
            <v>橙2星鬼爪91级</v>
          </cell>
          <cell r="B15732">
            <v>1506091</v>
          </cell>
        </row>
        <row r="15733">
          <cell r="A15733" t="str">
            <v>橙2星鬼爪92级</v>
          </cell>
          <cell r="B15733">
            <v>1506092</v>
          </cell>
        </row>
        <row r="15734">
          <cell r="A15734" t="str">
            <v>橙2星鬼爪93级</v>
          </cell>
          <cell r="B15734">
            <v>1506093</v>
          </cell>
        </row>
        <row r="15735">
          <cell r="A15735" t="str">
            <v>橙2星鬼爪94级</v>
          </cell>
          <cell r="B15735">
            <v>1506094</v>
          </cell>
        </row>
        <row r="15736">
          <cell r="A15736" t="str">
            <v>橙2星鬼爪95级</v>
          </cell>
          <cell r="B15736">
            <v>1506095</v>
          </cell>
        </row>
        <row r="15737">
          <cell r="A15737" t="str">
            <v>橙2星鬼爪96级</v>
          </cell>
          <cell r="B15737">
            <v>1506096</v>
          </cell>
        </row>
        <row r="15738">
          <cell r="A15738" t="str">
            <v>橙2星鬼爪97级</v>
          </cell>
          <cell r="B15738">
            <v>1506097</v>
          </cell>
        </row>
        <row r="15739">
          <cell r="A15739" t="str">
            <v>橙2星鬼爪98级</v>
          </cell>
          <cell r="B15739">
            <v>1506098</v>
          </cell>
        </row>
        <row r="15740">
          <cell r="A15740" t="str">
            <v>橙2星鬼爪99级</v>
          </cell>
          <cell r="B15740">
            <v>1506099</v>
          </cell>
        </row>
        <row r="15741">
          <cell r="A15741" t="str">
            <v>橙2星鬼爪100级</v>
          </cell>
          <cell r="B15741">
            <v>1506100</v>
          </cell>
        </row>
        <row r="15742">
          <cell r="A15742" t="str">
            <v>橙3星鬼爪1级</v>
          </cell>
          <cell r="B15742">
            <v>1507001</v>
          </cell>
        </row>
        <row r="15743">
          <cell r="A15743" t="str">
            <v>橙3星鬼爪2级</v>
          </cell>
          <cell r="B15743">
            <v>1507002</v>
          </cell>
        </row>
        <row r="15744">
          <cell r="A15744" t="str">
            <v>橙3星鬼爪3级</v>
          </cell>
          <cell r="B15744">
            <v>1507003</v>
          </cell>
        </row>
        <row r="15745">
          <cell r="A15745" t="str">
            <v>橙3星鬼爪4级</v>
          </cell>
          <cell r="B15745">
            <v>1507004</v>
          </cell>
        </row>
        <row r="15746">
          <cell r="A15746" t="str">
            <v>橙3星鬼爪5级</v>
          </cell>
          <cell r="B15746">
            <v>1507005</v>
          </cell>
        </row>
        <row r="15747">
          <cell r="A15747" t="str">
            <v>橙3星鬼爪6级</v>
          </cell>
          <cell r="B15747">
            <v>1507006</v>
          </cell>
        </row>
        <row r="15748">
          <cell r="A15748" t="str">
            <v>橙3星鬼爪7级</v>
          </cell>
          <cell r="B15748">
            <v>1507007</v>
          </cell>
        </row>
        <row r="15749">
          <cell r="A15749" t="str">
            <v>橙3星鬼爪8级</v>
          </cell>
          <cell r="B15749">
            <v>1507008</v>
          </cell>
        </row>
        <row r="15750">
          <cell r="A15750" t="str">
            <v>橙3星鬼爪9级</v>
          </cell>
          <cell r="B15750">
            <v>1507009</v>
          </cell>
        </row>
        <row r="15751">
          <cell r="A15751" t="str">
            <v>橙3星鬼爪10级</v>
          </cell>
          <cell r="B15751">
            <v>1507010</v>
          </cell>
        </row>
        <row r="15752">
          <cell r="A15752" t="str">
            <v>橙3星鬼爪11级</v>
          </cell>
          <cell r="B15752">
            <v>1507011</v>
          </cell>
        </row>
        <row r="15753">
          <cell r="A15753" t="str">
            <v>橙3星鬼爪12级</v>
          </cell>
          <cell r="B15753">
            <v>1507012</v>
          </cell>
        </row>
        <row r="15754">
          <cell r="A15754" t="str">
            <v>橙3星鬼爪13级</v>
          </cell>
          <cell r="B15754">
            <v>1507013</v>
          </cell>
        </row>
        <row r="15755">
          <cell r="A15755" t="str">
            <v>橙3星鬼爪14级</v>
          </cell>
          <cell r="B15755">
            <v>1507014</v>
          </cell>
        </row>
        <row r="15756">
          <cell r="A15756" t="str">
            <v>橙3星鬼爪15级</v>
          </cell>
          <cell r="B15756">
            <v>1507015</v>
          </cell>
        </row>
        <row r="15757">
          <cell r="A15757" t="str">
            <v>橙3星鬼爪16级</v>
          </cell>
          <cell r="B15757">
            <v>1507016</v>
          </cell>
        </row>
        <row r="15758">
          <cell r="A15758" t="str">
            <v>橙3星鬼爪17级</v>
          </cell>
          <cell r="B15758">
            <v>1507017</v>
          </cell>
        </row>
        <row r="15759">
          <cell r="A15759" t="str">
            <v>橙3星鬼爪18级</v>
          </cell>
          <cell r="B15759">
            <v>1507018</v>
          </cell>
        </row>
        <row r="15760">
          <cell r="A15760" t="str">
            <v>橙3星鬼爪19级</v>
          </cell>
          <cell r="B15760">
            <v>1507019</v>
          </cell>
        </row>
        <row r="15761">
          <cell r="A15761" t="str">
            <v>橙3星鬼爪20级</v>
          </cell>
          <cell r="B15761">
            <v>1507020</v>
          </cell>
        </row>
        <row r="15762">
          <cell r="A15762" t="str">
            <v>橙3星鬼爪21级</v>
          </cell>
          <cell r="B15762">
            <v>1507021</v>
          </cell>
        </row>
        <row r="15763">
          <cell r="A15763" t="str">
            <v>橙3星鬼爪22级</v>
          </cell>
          <cell r="B15763">
            <v>1507022</v>
          </cell>
        </row>
        <row r="15764">
          <cell r="A15764" t="str">
            <v>橙3星鬼爪23级</v>
          </cell>
          <cell r="B15764">
            <v>1507023</v>
          </cell>
        </row>
        <row r="15765">
          <cell r="A15765" t="str">
            <v>橙3星鬼爪24级</v>
          </cell>
          <cell r="B15765">
            <v>1507024</v>
          </cell>
        </row>
        <row r="15766">
          <cell r="A15766" t="str">
            <v>橙3星鬼爪25级</v>
          </cell>
          <cell r="B15766">
            <v>1507025</v>
          </cell>
        </row>
        <row r="15767">
          <cell r="A15767" t="str">
            <v>橙3星鬼爪26级</v>
          </cell>
          <cell r="B15767">
            <v>1507026</v>
          </cell>
        </row>
        <row r="15768">
          <cell r="A15768" t="str">
            <v>橙3星鬼爪27级</v>
          </cell>
          <cell r="B15768">
            <v>1507027</v>
          </cell>
        </row>
        <row r="15769">
          <cell r="A15769" t="str">
            <v>橙3星鬼爪28级</v>
          </cell>
          <cell r="B15769">
            <v>1507028</v>
          </cell>
        </row>
        <row r="15770">
          <cell r="A15770" t="str">
            <v>橙3星鬼爪29级</v>
          </cell>
          <cell r="B15770">
            <v>1507029</v>
          </cell>
        </row>
        <row r="15771">
          <cell r="A15771" t="str">
            <v>橙3星鬼爪30级</v>
          </cell>
          <cell r="B15771">
            <v>1507030</v>
          </cell>
        </row>
        <row r="15772">
          <cell r="A15772" t="str">
            <v>橙3星鬼爪31级</v>
          </cell>
          <cell r="B15772">
            <v>1507031</v>
          </cell>
        </row>
        <row r="15773">
          <cell r="A15773" t="str">
            <v>橙3星鬼爪32级</v>
          </cell>
          <cell r="B15773">
            <v>1507032</v>
          </cell>
        </row>
        <row r="15774">
          <cell r="A15774" t="str">
            <v>橙3星鬼爪33级</v>
          </cell>
          <cell r="B15774">
            <v>1507033</v>
          </cell>
        </row>
        <row r="15775">
          <cell r="A15775" t="str">
            <v>橙3星鬼爪34级</v>
          </cell>
          <cell r="B15775">
            <v>1507034</v>
          </cell>
        </row>
        <row r="15776">
          <cell r="A15776" t="str">
            <v>橙3星鬼爪35级</v>
          </cell>
          <cell r="B15776">
            <v>1507035</v>
          </cell>
        </row>
        <row r="15777">
          <cell r="A15777" t="str">
            <v>橙3星鬼爪36级</v>
          </cell>
          <cell r="B15777">
            <v>1507036</v>
          </cell>
        </row>
        <row r="15778">
          <cell r="A15778" t="str">
            <v>橙3星鬼爪37级</v>
          </cell>
          <cell r="B15778">
            <v>1507037</v>
          </cell>
        </row>
        <row r="15779">
          <cell r="A15779" t="str">
            <v>橙3星鬼爪38级</v>
          </cell>
          <cell r="B15779">
            <v>1507038</v>
          </cell>
        </row>
        <row r="15780">
          <cell r="A15780" t="str">
            <v>橙3星鬼爪39级</v>
          </cell>
          <cell r="B15780">
            <v>1507039</v>
          </cell>
        </row>
        <row r="15781">
          <cell r="A15781" t="str">
            <v>橙3星鬼爪40级</v>
          </cell>
          <cell r="B15781">
            <v>1507040</v>
          </cell>
        </row>
        <row r="15782">
          <cell r="A15782" t="str">
            <v>橙3星鬼爪41级</v>
          </cell>
          <cell r="B15782">
            <v>1507041</v>
          </cell>
        </row>
        <row r="15783">
          <cell r="A15783" t="str">
            <v>橙3星鬼爪42级</v>
          </cell>
          <cell r="B15783">
            <v>1507042</v>
          </cell>
        </row>
        <row r="15784">
          <cell r="A15784" t="str">
            <v>橙3星鬼爪43级</v>
          </cell>
          <cell r="B15784">
            <v>1507043</v>
          </cell>
        </row>
        <row r="15785">
          <cell r="A15785" t="str">
            <v>橙3星鬼爪44级</v>
          </cell>
          <cell r="B15785">
            <v>1507044</v>
          </cell>
        </row>
        <row r="15786">
          <cell r="A15786" t="str">
            <v>橙3星鬼爪45级</v>
          </cell>
          <cell r="B15786">
            <v>1507045</v>
          </cell>
        </row>
        <row r="15787">
          <cell r="A15787" t="str">
            <v>橙3星鬼爪46级</v>
          </cell>
          <cell r="B15787">
            <v>1507046</v>
          </cell>
        </row>
        <row r="15788">
          <cell r="A15788" t="str">
            <v>橙3星鬼爪47级</v>
          </cell>
          <cell r="B15788">
            <v>1507047</v>
          </cell>
        </row>
        <row r="15789">
          <cell r="A15789" t="str">
            <v>橙3星鬼爪48级</v>
          </cell>
          <cell r="B15789">
            <v>1507048</v>
          </cell>
        </row>
        <row r="15790">
          <cell r="A15790" t="str">
            <v>橙3星鬼爪49级</v>
          </cell>
          <cell r="B15790">
            <v>1507049</v>
          </cell>
        </row>
        <row r="15791">
          <cell r="A15791" t="str">
            <v>橙3星鬼爪50级</v>
          </cell>
          <cell r="B15791">
            <v>1507050</v>
          </cell>
        </row>
        <row r="15792">
          <cell r="A15792" t="str">
            <v>橙3星鬼爪51级</v>
          </cell>
          <cell r="B15792">
            <v>1507051</v>
          </cell>
        </row>
        <row r="15793">
          <cell r="A15793" t="str">
            <v>橙3星鬼爪52级</v>
          </cell>
          <cell r="B15793">
            <v>1507052</v>
          </cell>
        </row>
        <row r="15794">
          <cell r="A15794" t="str">
            <v>橙3星鬼爪53级</v>
          </cell>
          <cell r="B15794">
            <v>1507053</v>
          </cell>
        </row>
        <row r="15795">
          <cell r="A15795" t="str">
            <v>橙3星鬼爪54级</v>
          </cell>
          <cell r="B15795">
            <v>1507054</v>
          </cell>
        </row>
        <row r="15796">
          <cell r="A15796" t="str">
            <v>橙3星鬼爪55级</v>
          </cell>
          <cell r="B15796">
            <v>1507055</v>
          </cell>
        </row>
        <row r="15797">
          <cell r="A15797" t="str">
            <v>橙3星鬼爪56级</v>
          </cell>
          <cell r="B15797">
            <v>1507056</v>
          </cell>
        </row>
        <row r="15798">
          <cell r="A15798" t="str">
            <v>橙3星鬼爪57级</v>
          </cell>
          <cell r="B15798">
            <v>1507057</v>
          </cell>
        </row>
        <row r="15799">
          <cell r="A15799" t="str">
            <v>橙3星鬼爪58级</v>
          </cell>
          <cell r="B15799">
            <v>1507058</v>
          </cell>
        </row>
        <row r="15800">
          <cell r="A15800" t="str">
            <v>橙3星鬼爪59级</v>
          </cell>
          <cell r="B15800">
            <v>1507059</v>
          </cell>
        </row>
        <row r="15801">
          <cell r="A15801" t="str">
            <v>橙3星鬼爪60级</v>
          </cell>
          <cell r="B15801">
            <v>1507060</v>
          </cell>
        </row>
        <row r="15802">
          <cell r="A15802" t="str">
            <v>橙3星鬼爪61级</v>
          </cell>
          <cell r="B15802">
            <v>1507061</v>
          </cell>
        </row>
        <row r="15803">
          <cell r="A15803" t="str">
            <v>橙3星鬼爪62级</v>
          </cell>
          <cell r="B15803">
            <v>1507062</v>
          </cell>
        </row>
        <row r="15804">
          <cell r="A15804" t="str">
            <v>橙3星鬼爪63级</v>
          </cell>
          <cell r="B15804">
            <v>1507063</v>
          </cell>
        </row>
        <row r="15805">
          <cell r="A15805" t="str">
            <v>橙3星鬼爪64级</v>
          </cell>
          <cell r="B15805">
            <v>1507064</v>
          </cell>
        </row>
        <row r="15806">
          <cell r="A15806" t="str">
            <v>橙3星鬼爪65级</v>
          </cell>
          <cell r="B15806">
            <v>1507065</v>
          </cell>
        </row>
        <row r="15807">
          <cell r="A15807" t="str">
            <v>橙3星鬼爪66级</v>
          </cell>
          <cell r="B15807">
            <v>1507066</v>
          </cell>
        </row>
        <row r="15808">
          <cell r="A15808" t="str">
            <v>橙3星鬼爪67级</v>
          </cell>
          <cell r="B15808">
            <v>1507067</v>
          </cell>
        </row>
        <row r="15809">
          <cell r="A15809" t="str">
            <v>橙3星鬼爪68级</v>
          </cell>
          <cell r="B15809">
            <v>1507068</v>
          </cell>
        </row>
        <row r="15810">
          <cell r="A15810" t="str">
            <v>橙3星鬼爪69级</v>
          </cell>
          <cell r="B15810">
            <v>1507069</v>
          </cell>
        </row>
        <row r="15811">
          <cell r="A15811" t="str">
            <v>橙3星鬼爪70级</v>
          </cell>
          <cell r="B15811">
            <v>1507070</v>
          </cell>
        </row>
        <row r="15812">
          <cell r="A15812" t="str">
            <v>橙3星鬼爪71级</v>
          </cell>
          <cell r="B15812">
            <v>1507071</v>
          </cell>
        </row>
        <row r="15813">
          <cell r="A15813" t="str">
            <v>橙3星鬼爪72级</v>
          </cell>
          <cell r="B15813">
            <v>1507072</v>
          </cell>
        </row>
        <row r="15814">
          <cell r="A15814" t="str">
            <v>橙3星鬼爪73级</v>
          </cell>
          <cell r="B15814">
            <v>1507073</v>
          </cell>
        </row>
        <row r="15815">
          <cell r="A15815" t="str">
            <v>橙3星鬼爪74级</v>
          </cell>
          <cell r="B15815">
            <v>1507074</v>
          </cell>
        </row>
        <row r="15816">
          <cell r="A15816" t="str">
            <v>橙3星鬼爪75级</v>
          </cell>
          <cell r="B15816">
            <v>1507075</v>
          </cell>
        </row>
        <row r="15817">
          <cell r="A15817" t="str">
            <v>橙3星鬼爪76级</v>
          </cell>
          <cell r="B15817">
            <v>1507076</v>
          </cell>
        </row>
        <row r="15818">
          <cell r="A15818" t="str">
            <v>橙3星鬼爪77级</v>
          </cell>
          <cell r="B15818">
            <v>1507077</v>
          </cell>
        </row>
        <row r="15819">
          <cell r="A15819" t="str">
            <v>橙3星鬼爪78级</v>
          </cell>
          <cell r="B15819">
            <v>1507078</v>
          </cell>
        </row>
        <row r="15820">
          <cell r="A15820" t="str">
            <v>橙3星鬼爪79级</v>
          </cell>
          <cell r="B15820">
            <v>1507079</v>
          </cell>
        </row>
        <row r="15821">
          <cell r="A15821" t="str">
            <v>橙3星鬼爪80级</v>
          </cell>
          <cell r="B15821">
            <v>1507080</v>
          </cell>
        </row>
        <row r="15822">
          <cell r="A15822" t="str">
            <v>橙3星鬼爪81级</v>
          </cell>
          <cell r="B15822">
            <v>1507081</v>
          </cell>
        </row>
        <row r="15823">
          <cell r="A15823" t="str">
            <v>橙3星鬼爪82级</v>
          </cell>
          <cell r="B15823">
            <v>1507082</v>
          </cell>
        </row>
        <row r="15824">
          <cell r="A15824" t="str">
            <v>橙3星鬼爪83级</v>
          </cell>
          <cell r="B15824">
            <v>1507083</v>
          </cell>
        </row>
        <row r="15825">
          <cell r="A15825" t="str">
            <v>橙3星鬼爪84级</v>
          </cell>
          <cell r="B15825">
            <v>1507084</v>
          </cell>
        </row>
        <row r="15826">
          <cell r="A15826" t="str">
            <v>橙3星鬼爪85级</v>
          </cell>
          <cell r="B15826">
            <v>1507085</v>
          </cell>
        </row>
        <row r="15827">
          <cell r="A15827" t="str">
            <v>橙3星鬼爪86级</v>
          </cell>
          <cell r="B15827">
            <v>1507086</v>
          </cell>
        </row>
        <row r="15828">
          <cell r="A15828" t="str">
            <v>橙3星鬼爪87级</v>
          </cell>
          <cell r="B15828">
            <v>1507087</v>
          </cell>
        </row>
        <row r="15829">
          <cell r="A15829" t="str">
            <v>橙3星鬼爪88级</v>
          </cell>
          <cell r="B15829">
            <v>1507088</v>
          </cell>
        </row>
        <row r="15830">
          <cell r="A15830" t="str">
            <v>橙3星鬼爪89级</v>
          </cell>
          <cell r="B15830">
            <v>1507089</v>
          </cell>
        </row>
        <row r="15831">
          <cell r="A15831" t="str">
            <v>橙3星鬼爪90级</v>
          </cell>
          <cell r="B15831">
            <v>1507090</v>
          </cell>
        </row>
        <row r="15832">
          <cell r="A15832" t="str">
            <v>橙3星鬼爪91级</v>
          </cell>
          <cell r="B15832">
            <v>1507091</v>
          </cell>
        </row>
        <row r="15833">
          <cell r="A15833" t="str">
            <v>橙3星鬼爪92级</v>
          </cell>
          <cell r="B15833">
            <v>1507092</v>
          </cell>
        </row>
        <row r="15834">
          <cell r="A15834" t="str">
            <v>橙3星鬼爪93级</v>
          </cell>
          <cell r="B15834">
            <v>1507093</v>
          </cell>
        </row>
        <row r="15835">
          <cell r="A15835" t="str">
            <v>橙3星鬼爪94级</v>
          </cell>
          <cell r="B15835">
            <v>1507094</v>
          </cell>
        </row>
        <row r="15836">
          <cell r="A15836" t="str">
            <v>橙3星鬼爪95级</v>
          </cell>
          <cell r="B15836">
            <v>1507095</v>
          </cell>
        </row>
        <row r="15837">
          <cell r="A15837" t="str">
            <v>橙3星鬼爪96级</v>
          </cell>
          <cell r="B15837">
            <v>1507096</v>
          </cell>
        </row>
        <row r="15838">
          <cell r="A15838" t="str">
            <v>橙3星鬼爪97级</v>
          </cell>
          <cell r="B15838">
            <v>1507097</v>
          </cell>
        </row>
        <row r="15839">
          <cell r="A15839" t="str">
            <v>橙3星鬼爪98级</v>
          </cell>
          <cell r="B15839">
            <v>1507098</v>
          </cell>
        </row>
        <row r="15840">
          <cell r="A15840" t="str">
            <v>橙3星鬼爪99级</v>
          </cell>
          <cell r="B15840">
            <v>1507099</v>
          </cell>
        </row>
        <row r="15841">
          <cell r="A15841" t="str">
            <v>橙3星鬼爪100级</v>
          </cell>
          <cell r="B15841">
            <v>1507100</v>
          </cell>
        </row>
        <row r="15842">
          <cell r="A15842" t="str">
            <v>红3星鬼爪1级</v>
          </cell>
          <cell r="B15842">
            <v>1508001</v>
          </cell>
        </row>
        <row r="15843">
          <cell r="A15843" t="str">
            <v>红3星鬼爪2级</v>
          </cell>
          <cell r="B15843">
            <v>1508002</v>
          </cell>
        </row>
        <row r="15844">
          <cell r="A15844" t="str">
            <v>红3星鬼爪3级</v>
          </cell>
          <cell r="B15844">
            <v>1508003</v>
          </cell>
        </row>
        <row r="15845">
          <cell r="A15845" t="str">
            <v>红3星鬼爪4级</v>
          </cell>
          <cell r="B15845">
            <v>1508004</v>
          </cell>
        </row>
        <row r="15846">
          <cell r="A15846" t="str">
            <v>红3星鬼爪5级</v>
          </cell>
          <cell r="B15846">
            <v>1508005</v>
          </cell>
        </row>
        <row r="15847">
          <cell r="A15847" t="str">
            <v>红3星鬼爪6级</v>
          </cell>
          <cell r="B15847">
            <v>1508006</v>
          </cell>
        </row>
        <row r="15848">
          <cell r="A15848" t="str">
            <v>红3星鬼爪7级</v>
          </cell>
          <cell r="B15848">
            <v>1508007</v>
          </cell>
        </row>
        <row r="15849">
          <cell r="A15849" t="str">
            <v>红3星鬼爪8级</v>
          </cell>
          <cell r="B15849">
            <v>1508008</v>
          </cell>
        </row>
        <row r="15850">
          <cell r="A15850" t="str">
            <v>红3星鬼爪9级</v>
          </cell>
          <cell r="B15850">
            <v>1508009</v>
          </cell>
        </row>
        <row r="15851">
          <cell r="A15851" t="str">
            <v>红3星鬼爪10级</v>
          </cell>
          <cell r="B15851">
            <v>1508010</v>
          </cell>
        </row>
        <row r="15852">
          <cell r="A15852" t="str">
            <v>红3星鬼爪11级</v>
          </cell>
          <cell r="B15852">
            <v>1508011</v>
          </cell>
        </row>
        <row r="15853">
          <cell r="A15853" t="str">
            <v>红3星鬼爪12级</v>
          </cell>
          <cell r="B15853">
            <v>1508012</v>
          </cell>
        </row>
        <row r="15854">
          <cell r="A15854" t="str">
            <v>红3星鬼爪13级</v>
          </cell>
          <cell r="B15854">
            <v>1508013</v>
          </cell>
        </row>
        <row r="15855">
          <cell r="A15855" t="str">
            <v>红3星鬼爪14级</v>
          </cell>
          <cell r="B15855">
            <v>1508014</v>
          </cell>
        </row>
        <row r="15856">
          <cell r="A15856" t="str">
            <v>红3星鬼爪15级</v>
          </cell>
          <cell r="B15856">
            <v>1508015</v>
          </cell>
        </row>
        <row r="15857">
          <cell r="A15857" t="str">
            <v>红3星鬼爪16级</v>
          </cell>
          <cell r="B15857">
            <v>1508016</v>
          </cell>
        </row>
        <row r="15858">
          <cell r="A15858" t="str">
            <v>红3星鬼爪17级</v>
          </cell>
          <cell r="B15858">
            <v>1508017</v>
          </cell>
        </row>
        <row r="15859">
          <cell r="A15859" t="str">
            <v>红3星鬼爪18级</v>
          </cell>
          <cell r="B15859">
            <v>1508018</v>
          </cell>
        </row>
        <row r="15860">
          <cell r="A15860" t="str">
            <v>红3星鬼爪19级</v>
          </cell>
          <cell r="B15860">
            <v>1508019</v>
          </cell>
        </row>
        <row r="15861">
          <cell r="A15861" t="str">
            <v>红3星鬼爪20级</v>
          </cell>
          <cell r="B15861">
            <v>1508020</v>
          </cell>
        </row>
        <row r="15862">
          <cell r="A15862" t="str">
            <v>红3星鬼爪21级</v>
          </cell>
          <cell r="B15862">
            <v>1508021</v>
          </cell>
        </row>
        <row r="15863">
          <cell r="A15863" t="str">
            <v>红3星鬼爪22级</v>
          </cell>
          <cell r="B15863">
            <v>1508022</v>
          </cell>
        </row>
        <row r="15864">
          <cell r="A15864" t="str">
            <v>红3星鬼爪23级</v>
          </cell>
          <cell r="B15864">
            <v>1508023</v>
          </cell>
        </row>
        <row r="15865">
          <cell r="A15865" t="str">
            <v>红3星鬼爪24级</v>
          </cell>
          <cell r="B15865">
            <v>1508024</v>
          </cell>
        </row>
        <row r="15866">
          <cell r="A15866" t="str">
            <v>红3星鬼爪25级</v>
          </cell>
          <cell r="B15866">
            <v>1508025</v>
          </cell>
        </row>
        <row r="15867">
          <cell r="A15867" t="str">
            <v>红3星鬼爪26级</v>
          </cell>
          <cell r="B15867">
            <v>1508026</v>
          </cell>
        </row>
        <row r="15868">
          <cell r="A15868" t="str">
            <v>红3星鬼爪27级</v>
          </cell>
          <cell r="B15868">
            <v>1508027</v>
          </cell>
        </row>
        <row r="15869">
          <cell r="A15869" t="str">
            <v>红3星鬼爪28级</v>
          </cell>
          <cell r="B15869">
            <v>1508028</v>
          </cell>
        </row>
        <row r="15870">
          <cell r="A15870" t="str">
            <v>红3星鬼爪29级</v>
          </cell>
          <cell r="B15870">
            <v>1508029</v>
          </cell>
        </row>
        <row r="15871">
          <cell r="A15871" t="str">
            <v>红3星鬼爪30级</v>
          </cell>
          <cell r="B15871">
            <v>1508030</v>
          </cell>
        </row>
        <row r="15872">
          <cell r="A15872" t="str">
            <v>红3星鬼爪31级</v>
          </cell>
          <cell r="B15872">
            <v>1508031</v>
          </cell>
        </row>
        <row r="15873">
          <cell r="A15873" t="str">
            <v>红3星鬼爪32级</v>
          </cell>
          <cell r="B15873">
            <v>1508032</v>
          </cell>
        </row>
        <row r="15874">
          <cell r="A15874" t="str">
            <v>红3星鬼爪33级</v>
          </cell>
          <cell r="B15874">
            <v>1508033</v>
          </cell>
        </row>
        <row r="15875">
          <cell r="A15875" t="str">
            <v>红3星鬼爪34级</v>
          </cell>
          <cell r="B15875">
            <v>1508034</v>
          </cell>
        </row>
        <row r="15876">
          <cell r="A15876" t="str">
            <v>红3星鬼爪35级</v>
          </cell>
          <cell r="B15876">
            <v>1508035</v>
          </cell>
        </row>
        <row r="15877">
          <cell r="A15877" t="str">
            <v>红3星鬼爪36级</v>
          </cell>
          <cell r="B15877">
            <v>1508036</v>
          </cell>
        </row>
        <row r="15878">
          <cell r="A15878" t="str">
            <v>红3星鬼爪37级</v>
          </cell>
          <cell r="B15878">
            <v>1508037</v>
          </cell>
        </row>
        <row r="15879">
          <cell r="A15879" t="str">
            <v>红3星鬼爪38级</v>
          </cell>
          <cell r="B15879">
            <v>1508038</v>
          </cell>
        </row>
        <row r="15880">
          <cell r="A15880" t="str">
            <v>红3星鬼爪39级</v>
          </cell>
          <cell r="B15880">
            <v>1508039</v>
          </cell>
        </row>
        <row r="15881">
          <cell r="A15881" t="str">
            <v>红3星鬼爪40级</v>
          </cell>
          <cell r="B15881">
            <v>1508040</v>
          </cell>
        </row>
        <row r="15882">
          <cell r="A15882" t="str">
            <v>红3星鬼爪41级</v>
          </cell>
          <cell r="B15882">
            <v>1508041</v>
          </cell>
        </row>
        <row r="15883">
          <cell r="A15883" t="str">
            <v>红3星鬼爪42级</v>
          </cell>
          <cell r="B15883">
            <v>1508042</v>
          </cell>
        </row>
        <row r="15884">
          <cell r="A15884" t="str">
            <v>红3星鬼爪43级</v>
          </cell>
          <cell r="B15884">
            <v>1508043</v>
          </cell>
        </row>
        <row r="15885">
          <cell r="A15885" t="str">
            <v>红3星鬼爪44级</v>
          </cell>
          <cell r="B15885">
            <v>1508044</v>
          </cell>
        </row>
        <row r="15886">
          <cell r="A15886" t="str">
            <v>红3星鬼爪45级</v>
          </cell>
          <cell r="B15886">
            <v>1508045</v>
          </cell>
        </row>
        <row r="15887">
          <cell r="A15887" t="str">
            <v>红3星鬼爪46级</v>
          </cell>
          <cell r="B15887">
            <v>1508046</v>
          </cell>
        </row>
        <row r="15888">
          <cell r="A15888" t="str">
            <v>红3星鬼爪47级</v>
          </cell>
          <cell r="B15888">
            <v>1508047</v>
          </cell>
        </row>
        <row r="15889">
          <cell r="A15889" t="str">
            <v>红3星鬼爪48级</v>
          </cell>
          <cell r="B15889">
            <v>1508048</v>
          </cell>
        </row>
        <row r="15890">
          <cell r="A15890" t="str">
            <v>红3星鬼爪49级</v>
          </cell>
          <cell r="B15890">
            <v>1508049</v>
          </cell>
        </row>
        <row r="15891">
          <cell r="A15891" t="str">
            <v>红3星鬼爪50级</v>
          </cell>
          <cell r="B15891">
            <v>1508050</v>
          </cell>
        </row>
        <row r="15892">
          <cell r="A15892" t="str">
            <v>红3星鬼爪51级</v>
          </cell>
          <cell r="B15892">
            <v>1508051</v>
          </cell>
        </row>
        <row r="15893">
          <cell r="A15893" t="str">
            <v>红3星鬼爪52级</v>
          </cell>
          <cell r="B15893">
            <v>1508052</v>
          </cell>
        </row>
        <row r="15894">
          <cell r="A15894" t="str">
            <v>红3星鬼爪53级</v>
          </cell>
          <cell r="B15894">
            <v>1508053</v>
          </cell>
        </row>
        <row r="15895">
          <cell r="A15895" t="str">
            <v>红3星鬼爪54级</v>
          </cell>
          <cell r="B15895">
            <v>1508054</v>
          </cell>
        </row>
        <row r="15896">
          <cell r="A15896" t="str">
            <v>红3星鬼爪55级</v>
          </cell>
          <cell r="B15896">
            <v>1508055</v>
          </cell>
        </row>
        <row r="15897">
          <cell r="A15897" t="str">
            <v>红3星鬼爪56级</v>
          </cell>
          <cell r="B15897">
            <v>1508056</v>
          </cell>
        </row>
        <row r="15898">
          <cell r="A15898" t="str">
            <v>红3星鬼爪57级</v>
          </cell>
          <cell r="B15898">
            <v>1508057</v>
          </cell>
        </row>
        <row r="15899">
          <cell r="A15899" t="str">
            <v>红3星鬼爪58级</v>
          </cell>
          <cell r="B15899">
            <v>1508058</v>
          </cell>
        </row>
        <row r="15900">
          <cell r="A15900" t="str">
            <v>红3星鬼爪59级</v>
          </cell>
          <cell r="B15900">
            <v>1508059</v>
          </cell>
        </row>
        <row r="15901">
          <cell r="A15901" t="str">
            <v>红3星鬼爪60级</v>
          </cell>
          <cell r="B15901">
            <v>1508060</v>
          </cell>
        </row>
        <row r="15902">
          <cell r="A15902" t="str">
            <v>红3星鬼爪61级</v>
          </cell>
          <cell r="B15902">
            <v>1508061</v>
          </cell>
        </row>
        <row r="15903">
          <cell r="A15903" t="str">
            <v>红3星鬼爪62级</v>
          </cell>
          <cell r="B15903">
            <v>1508062</v>
          </cell>
        </row>
        <row r="15904">
          <cell r="A15904" t="str">
            <v>红3星鬼爪63级</v>
          </cell>
          <cell r="B15904">
            <v>1508063</v>
          </cell>
        </row>
        <row r="15905">
          <cell r="A15905" t="str">
            <v>红3星鬼爪64级</v>
          </cell>
          <cell r="B15905">
            <v>1508064</v>
          </cell>
        </row>
        <row r="15906">
          <cell r="A15906" t="str">
            <v>红3星鬼爪65级</v>
          </cell>
          <cell r="B15906">
            <v>1508065</v>
          </cell>
        </row>
        <row r="15907">
          <cell r="A15907" t="str">
            <v>红3星鬼爪66级</v>
          </cell>
          <cell r="B15907">
            <v>1508066</v>
          </cell>
        </row>
        <row r="15908">
          <cell r="A15908" t="str">
            <v>红3星鬼爪67级</v>
          </cell>
          <cell r="B15908">
            <v>1508067</v>
          </cell>
        </row>
        <row r="15909">
          <cell r="A15909" t="str">
            <v>红3星鬼爪68级</v>
          </cell>
          <cell r="B15909">
            <v>1508068</v>
          </cell>
        </row>
        <row r="15910">
          <cell r="A15910" t="str">
            <v>红3星鬼爪69级</v>
          </cell>
          <cell r="B15910">
            <v>1508069</v>
          </cell>
        </row>
        <row r="15911">
          <cell r="A15911" t="str">
            <v>红3星鬼爪70级</v>
          </cell>
          <cell r="B15911">
            <v>1508070</v>
          </cell>
        </row>
        <row r="15912">
          <cell r="A15912" t="str">
            <v>红3星鬼爪71级</v>
          </cell>
          <cell r="B15912">
            <v>1508071</v>
          </cell>
        </row>
        <row r="15913">
          <cell r="A15913" t="str">
            <v>红3星鬼爪72级</v>
          </cell>
          <cell r="B15913">
            <v>1508072</v>
          </cell>
        </row>
        <row r="15914">
          <cell r="A15914" t="str">
            <v>红3星鬼爪73级</v>
          </cell>
          <cell r="B15914">
            <v>1508073</v>
          </cell>
        </row>
        <row r="15915">
          <cell r="A15915" t="str">
            <v>红3星鬼爪74级</v>
          </cell>
          <cell r="B15915">
            <v>1508074</v>
          </cell>
        </row>
        <row r="15916">
          <cell r="A15916" t="str">
            <v>红3星鬼爪75级</v>
          </cell>
          <cell r="B15916">
            <v>1508075</v>
          </cell>
        </row>
        <row r="15917">
          <cell r="A15917" t="str">
            <v>红3星鬼爪76级</v>
          </cell>
          <cell r="B15917">
            <v>1508076</v>
          </cell>
        </row>
        <row r="15918">
          <cell r="A15918" t="str">
            <v>红3星鬼爪77级</v>
          </cell>
          <cell r="B15918">
            <v>1508077</v>
          </cell>
        </row>
        <row r="15919">
          <cell r="A15919" t="str">
            <v>红3星鬼爪78级</v>
          </cell>
          <cell r="B15919">
            <v>1508078</v>
          </cell>
        </row>
        <row r="15920">
          <cell r="A15920" t="str">
            <v>红3星鬼爪79级</v>
          </cell>
          <cell r="B15920">
            <v>1508079</v>
          </cell>
        </row>
        <row r="15921">
          <cell r="A15921" t="str">
            <v>红3星鬼爪80级</v>
          </cell>
          <cell r="B15921">
            <v>1508080</v>
          </cell>
        </row>
        <row r="15922">
          <cell r="A15922" t="str">
            <v>红3星鬼爪81级</v>
          </cell>
          <cell r="B15922">
            <v>1508081</v>
          </cell>
        </row>
        <row r="15923">
          <cell r="A15923" t="str">
            <v>红3星鬼爪82级</v>
          </cell>
          <cell r="B15923">
            <v>1508082</v>
          </cell>
        </row>
        <row r="15924">
          <cell r="A15924" t="str">
            <v>红3星鬼爪83级</v>
          </cell>
          <cell r="B15924">
            <v>1508083</v>
          </cell>
        </row>
        <row r="15925">
          <cell r="A15925" t="str">
            <v>红3星鬼爪84级</v>
          </cell>
          <cell r="B15925">
            <v>1508084</v>
          </cell>
        </row>
        <row r="15926">
          <cell r="A15926" t="str">
            <v>红3星鬼爪85级</v>
          </cell>
          <cell r="B15926">
            <v>1508085</v>
          </cell>
        </row>
        <row r="15927">
          <cell r="A15927" t="str">
            <v>红3星鬼爪86级</v>
          </cell>
          <cell r="B15927">
            <v>1508086</v>
          </cell>
        </row>
        <row r="15928">
          <cell r="A15928" t="str">
            <v>红3星鬼爪87级</v>
          </cell>
          <cell r="B15928">
            <v>1508087</v>
          </cell>
        </row>
        <row r="15929">
          <cell r="A15929" t="str">
            <v>红3星鬼爪88级</v>
          </cell>
          <cell r="B15929">
            <v>1508088</v>
          </cell>
        </row>
        <row r="15930">
          <cell r="A15930" t="str">
            <v>红3星鬼爪89级</v>
          </cell>
          <cell r="B15930">
            <v>1508089</v>
          </cell>
        </row>
        <row r="15931">
          <cell r="A15931" t="str">
            <v>红3星鬼爪90级</v>
          </cell>
          <cell r="B15931">
            <v>1508090</v>
          </cell>
        </row>
        <row r="15932">
          <cell r="A15932" t="str">
            <v>红3星鬼爪91级</v>
          </cell>
          <cell r="B15932">
            <v>1508091</v>
          </cell>
        </row>
        <row r="15933">
          <cell r="A15933" t="str">
            <v>红3星鬼爪92级</v>
          </cell>
          <cell r="B15933">
            <v>1508092</v>
          </cell>
        </row>
        <row r="15934">
          <cell r="A15934" t="str">
            <v>红3星鬼爪93级</v>
          </cell>
          <cell r="B15934">
            <v>1508093</v>
          </cell>
        </row>
        <row r="15935">
          <cell r="A15935" t="str">
            <v>红3星鬼爪94级</v>
          </cell>
          <cell r="B15935">
            <v>1508094</v>
          </cell>
        </row>
        <row r="15936">
          <cell r="A15936" t="str">
            <v>红3星鬼爪95级</v>
          </cell>
          <cell r="B15936">
            <v>1508095</v>
          </cell>
        </row>
        <row r="15937">
          <cell r="A15937" t="str">
            <v>红3星鬼爪96级</v>
          </cell>
          <cell r="B15937">
            <v>1508096</v>
          </cell>
        </row>
        <row r="15938">
          <cell r="A15938" t="str">
            <v>红3星鬼爪97级</v>
          </cell>
          <cell r="B15938">
            <v>1508097</v>
          </cell>
        </row>
        <row r="15939">
          <cell r="A15939" t="str">
            <v>红3星鬼爪98级</v>
          </cell>
          <cell r="B15939">
            <v>1508098</v>
          </cell>
        </row>
        <row r="15940">
          <cell r="A15940" t="str">
            <v>红3星鬼爪99级</v>
          </cell>
          <cell r="B15940">
            <v>1508099</v>
          </cell>
        </row>
        <row r="15941">
          <cell r="A15941" t="str">
            <v>红3星鬼爪100级</v>
          </cell>
          <cell r="B15941">
            <v>1508100</v>
          </cell>
        </row>
        <row r="15942">
          <cell r="A15942" t="str">
            <v>神红3星鬼爪1级</v>
          </cell>
          <cell r="B15942">
            <v>1509001</v>
          </cell>
        </row>
        <row r="15943">
          <cell r="A15943" t="str">
            <v>神红3星鬼爪2级</v>
          </cell>
          <cell r="B15943">
            <v>1509002</v>
          </cell>
        </row>
        <row r="15944">
          <cell r="A15944" t="str">
            <v>神红3星鬼爪3级</v>
          </cell>
          <cell r="B15944">
            <v>1509003</v>
          </cell>
        </row>
        <row r="15945">
          <cell r="A15945" t="str">
            <v>神红3星鬼爪4级</v>
          </cell>
          <cell r="B15945">
            <v>1509004</v>
          </cell>
        </row>
        <row r="15946">
          <cell r="A15946" t="str">
            <v>神红3星鬼爪5级</v>
          </cell>
          <cell r="B15946">
            <v>1509005</v>
          </cell>
        </row>
        <row r="15947">
          <cell r="A15947" t="str">
            <v>神红3星鬼爪6级</v>
          </cell>
          <cell r="B15947">
            <v>1509006</v>
          </cell>
        </row>
        <row r="15948">
          <cell r="A15948" t="str">
            <v>神红3星鬼爪7级</v>
          </cell>
          <cell r="B15948">
            <v>1509007</v>
          </cell>
        </row>
        <row r="15949">
          <cell r="A15949" t="str">
            <v>神红3星鬼爪8级</v>
          </cell>
          <cell r="B15949">
            <v>1509008</v>
          </cell>
        </row>
        <row r="15950">
          <cell r="A15950" t="str">
            <v>神红3星鬼爪9级</v>
          </cell>
          <cell r="B15950">
            <v>1509009</v>
          </cell>
        </row>
        <row r="15951">
          <cell r="A15951" t="str">
            <v>神红3星鬼爪10级</v>
          </cell>
          <cell r="B15951">
            <v>1509010</v>
          </cell>
        </row>
        <row r="15952">
          <cell r="A15952" t="str">
            <v>神红3星鬼爪11级</v>
          </cell>
          <cell r="B15952">
            <v>1509011</v>
          </cell>
        </row>
        <row r="15953">
          <cell r="A15953" t="str">
            <v>神红3星鬼爪12级</v>
          </cell>
          <cell r="B15953">
            <v>1509012</v>
          </cell>
        </row>
        <row r="15954">
          <cell r="A15954" t="str">
            <v>神红3星鬼爪13级</v>
          </cell>
          <cell r="B15954">
            <v>1509013</v>
          </cell>
        </row>
        <row r="15955">
          <cell r="A15955" t="str">
            <v>神红3星鬼爪14级</v>
          </cell>
          <cell r="B15955">
            <v>1509014</v>
          </cell>
        </row>
        <row r="15956">
          <cell r="A15956" t="str">
            <v>神红3星鬼爪15级</v>
          </cell>
          <cell r="B15956">
            <v>1509015</v>
          </cell>
        </row>
        <row r="15957">
          <cell r="A15957" t="str">
            <v>神红3星鬼爪16级</v>
          </cell>
          <cell r="B15957">
            <v>1509016</v>
          </cell>
        </row>
        <row r="15958">
          <cell r="A15958" t="str">
            <v>神红3星鬼爪17级</v>
          </cell>
          <cell r="B15958">
            <v>1509017</v>
          </cell>
        </row>
        <row r="15959">
          <cell r="A15959" t="str">
            <v>神红3星鬼爪18级</v>
          </cell>
          <cell r="B15959">
            <v>1509018</v>
          </cell>
        </row>
        <row r="15960">
          <cell r="A15960" t="str">
            <v>神红3星鬼爪19级</v>
          </cell>
          <cell r="B15960">
            <v>1509019</v>
          </cell>
        </row>
        <row r="15961">
          <cell r="A15961" t="str">
            <v>神红3星鬼爪20级</v>
          </cell>
          <cell r="B15961">
            <v>1509020</v>
          </cell>
        </row>
        <row r="15962">
          <cell r="A15962" t="str">
            <v>神红3星鬼爪21级</v>
          </cell>
          <cell r="B15962">
            <v>1509021</v>
          </cell>
        </row>
        <row r="15963">
          <cell r="A15963" t="str">
            <v>神红3星鬼爪22级</v>
          </cell>
          <cell r="B15963">
            <v>1509022</v>
          </cell>
        </row>
        <row r="15964">
          <cell r="A15964" t="str">
            <v>神红3星鬼爪23级</v>
          </cell>
          <cell r="B15964">
            <v>1509023</v>
          </cell>
        </row>
        <row r="15965">
          <cell r="A15965" t="str">
            <v>神红3星鬼爪24级</v>
          </cell>
          <cell r="B15965">
            <v>1509024</v>
          </cell>
        </row>
        <row r="15966">
          <cell r="A15966" t="str">
            <v>神红3星鬼爪25级</v>
          </cell>
          <cell r="B15966">
            <v>1509025</v>
          </cell>
        </row>
        <row r="15967">
          <cell r="A15967" t="str">
            <v>神红3星鬼爪26级</v>
          </cell>
          <cell r="B15967">
            <v>1509026</v>
          </cell>
        </row>
        <row r="15968">
          <cell r="A15968" t="str">
            <v>神红3星鬼爪27级</v>
          </cell>
          <cell r="B15968">
            <v>1509027</v>
          </cell>
        </row>
        <row r="15969">
          <cell r="A15969" t="str">
            <v>神红3星鬼爪28级</v>
          </cell>
          <cell r="B15969">
            <v>1509028</v>
          </cell>
        </row>
        <row r="15970">
          <cell r="A15970" t="str">
            <v>神红3星鬼爪29级</v>
          </cell>
          <cell r="B15970">
            <v>1509029</v>
          </cell>
        </row>
        <row r="15971">
          <cell r="A15971" t="str">
            <v>神红3星鬼爪30级</v>
          </cell>
          <cell r="B15971">
            <v>1509030</v>
          </cell>
        </row>
        <row r="15972">
          <cell r="A15972" t="str">
            <v>神红3星鬼爪31级</v>
          </cell>
          <cell r="B15972">
            <v>1509031</v>
          </cell>
        </row>
        <row r="15973">
          <cell r="A15973" t="str">
            <v>神红3星鬼爪32级</v>
          </cell>
          <cell r="B15973">
            <v>1509032</v>
          </cell>
        </row>
        <row r="15974">
          <cell r="A15974" t="str">
            <v>神红3星鬼爪33级</v>
          </cell>
          <cell r="B15974">
            <v>1509033</v>
          </cell>
        </row>
        <row r="15975">
          <cell r="A15975" t="str">
            <v>神红3星鬼爪34级</v>
          </cell>
          <cell r="B15975">
            <v>1509034</v>
          </cell>
        </row>
        <row r="15976">
          <cell r="A15976" t="str">
            <v>神红3星鬼爪35级</v>
          </cell>
          <cell r="B15976">
            <v>1509035</v>
          </cell>
        </row>
        <row r="15977">
          <cell r="A15977" t="str">
            <v>神红3星鬼爪36级</v>
          </cell>
          <cell r="B15977">
            <v>1509036</v>
          </cell>
        </row>
        <row r="15978">
          <cell r="A15978" t="str">
            <v>神红3星鬼爪37级</v>
          </cell>
          <cell r="B15978">
            <v>1509037</v>
          </cell>
        </row>
        <row r="15979">
          <cell r="A15979" t="str">
            <v>神红3星鬼爪38级</v>
          </cell>
          <cell r="B15979">
            <v>1509038</v>
          </cell>
        </row>
        <row r="15980">
          <cell r="A15980" t="str">
            <v>神红3星鬼爪39级</v>
          </cell>
          <cell r="B15980">
            <v>1509039</v>
          </cell>
        </row>
        <row r="15981">
          <cell r="A15981" t="str">
            <v>神红3星鬼爪40级</v>
          </cell>
          <cell r="B15981">
            <v>1509040</v>
          </cell>
        </row>
        <row r="15982">
          <cell r="A15982" t="str">
            <v>神红3星鬼爪41级</v>
          </cell>
          <cell r="B15982">
            <v>1509041</v>
          </cell>
        </row>
        <row r="15983">
          <cell r="A15983" t="str">
            <v>神红3星鬼爪42级</v>
          </cell>
          <cell r="B15983">
            <v>1509042</v>
          </cell>
        </row>
        <row r="15984">
          <cell r="A15984" t="str">
            <v>神红3星鬼爪43级</v>
          </cell>
          <cell r="B15984">
            <v>1509043</v>
          </cell>
        </row>
        <row r="15985">
          <cell r="A15985" t="str">
            <v>神红3星鬼爪44级</v>
          </cell>
          <cell r="B15985">
            <v>1509044</v>
          </cell>
        </row>
        <row r="15986">
          <cell r="A15986" t="str">
            <v>神红3星鬼爪45级</v>
          </cell>
          <cell r="B15986">
            <v>1509045</v>
          </cell>
        </row>
        <row r="15987">
          <cell r="A15987" t="str">
            <v>神红3星鬼爪46级</v>
          </cell>
          <cell r="B15987">
            <v>1509046</v>
          </cell>
        </row>
        <row r="15988">
          <cell r="A15988" t="str">
            <v>神红3星鬼爪47级</v>
          </cell>
          <cell r="B15988">
            <v>1509047</v>
          </cell>
        </row>
        <row r="15989">
          <cell r="A15989" t="str">
            <v>神红3星鬼爪48级</v>
          </cell>
          <cell r="B15989">
            <v>1509048</v>
          </cell>
        </row>
        <row r="15990">
          <cell r="A15990" t="str">
            <v>神红3星鬼爪49级</v>
          </cell>
          <cell r="B15990">
            <v>1509049</v>
          </cell>
        </row>
        <row r="15991">
          <cell r="A15991" t="str">
            <v>神红3星鬼爪50级</v>
          </cell>
          <cell r="B15991">
            <v>1509050</v>
          </cell>
        </row>
        <row r="15992">
          <cell r="A15992" t="str">
            <v>神红3星鬼爪51级</v>
          </cell>
          <cell r="B15992">
            <v>1509051</v>
          </cell>
        </row>
        <row r="15993">
          <cell r="A15993" t="str">
            <v>神红3星鬼爪52级</v>
          </cell>
          <cell r="B15993">
            <v>1509052</v>
          </cell>
        </row>
        <row r="15994">
          <cell r="A15994" t="str">
            <v>神红3星鬼爪53级</v>
          </cell>
          <cell r="B15994">
            <v>1509053</v>
          </cell>
        </row>
        <row r="15995">
          <cell r="A15995" t="str">
            <v>神红3星鬼爪54级</v>
          </cell>
          <cell r="B15995">
            <v>1509054</v>
          </cell>
        </row>
        <row r="15996">
          <cell r="A15996" t="str">
            <v>神红3星鬼爪55级</v>
          </cell>
          <cell r="B15996">
            <v>1509055</v>
          </cell>
        </row>
        <row r="15997">
          <cell r="A15997" t="str">
            <v>神红3星鬼爪56级</v>
          </cell>
          <cell r="B15997">
            <v>1509056</v>
          </cell>
        </row>
        <row r="15998">
          <cell r="A15998" t="str">
            <v>神红3星鬼爪57级</v>
          </cell>
          <cell r="B15998">
            <v>1509057</v>
          </cell>
        </row>
        <row r="15999">
          <cell r="A15999" t="str">
            <v>神红3星鬼爪58级</v>
          </cell>
          <cell r="B15999">
            <v>1509058</v>
          </cell>
        </row>
        <row r="16000">
          <cell r="A16000" t="str">
            <v>神红3星鬼爪59级</v>
          </cell>
          <cell r="B16000">
            <v>1509059</v>
          </cell>
        </row>
        <row r="16001">
          <cell r="A16001" t="str">
            <v>神红3星鬼爪60级</v>
          </cell>
          <cell r="B16001">
            <v>1509060</v>
          </cell>
        </row>
        <row r="16002">
          <cell r="A16002" t="str">
            <v>神红3星鬼爪61级</v>
          </cell>
          <cell r="B16002">
            <v>1509061</v>
          </cell>
        </row>
        <row r="16003">
          <cell r="A16003" t="str">
            <v>神红3星鬼爪62级</v>
          </cell>
          <cell r="B16003">
            <v>1509062</v>
          </cell>
        </row>
        <row r="16004">
          <cell r="A16004" t="str">
            <v>神红3星鬼爪63级</v>
          </cell>
          <cell r="B16004">
            <v>1509063</v>
          </cell>
        </row>
        <row r="16005">
          <cell r="A16005" t="str">
            <v>神红3星鬼爪64级</v>
          </cell>
          <cell r="B16005">
            <v>1509064</v>
          </cell>
        </row>
        <row r="16006">
          <cell r="A16006" t="str">
            <v>神红3星鬼爪65级</v>
          </cell>
          <cell r="B16006">
            <v>1509065</v>
          </cell>
        </row>
        <row r="16007">
          <cell r="A16007" t="str">
            <v>神红3星鬼爪66级</v>
          </cell>
          <cell r="B16007">
            <v>1509066</v>
          </cell>
        </row>
        <row r="16008">
          <cell r="A16008" t="str">
            <v>神红3星鬼爪67级</v>
          </cell>
          <cell r="B16008">
            <v>1509067</v>
          </cell>
        </row>
        <row r="16009">
          <cell r="A16009" t="str">
            <v>神红3星鬼爪68级</v>
          </cell>
          <cell r="B16009">
            <v>1509068</v>
          </cell>
        </row>
        <row r="16010">
          <cell r="A16010" t="str">
            <v>神红3星鬼爪69级</v>
          </cell>
          <cell r="B16010">
            <v>1509069</v>
          </cell>
        </row>
        <row r="16011">
          <cell r="A16011" t="str">
            <v>神红3星鬼爪70级</v>
          </cell>
          <cell r="B16011">
            <v>1509070</v>
          </cell>
        </row>
        <row r="16012">
          <cell r="A16012" t="str">
            <v>神红3星鬼爪71级</v>
          </cell>
          <cell r="B16012">
            <v>1509071</v>
          </cell>
        </row>
        <row r="16013">
          <cell r="A16013" t="str">
            <v>神红3星鬼爪72级</v>
          </cell>
          <cell r="B16013">
            <v>1509072</v>
          </cell>
        </row>
        <row r="16014">
          <cell r="A16014" t="str">
            <v>神红3星鬼爪73级</v>
          </cell>
          <cell r="B16014">
            <v>1509073</v>
          </cell>
        </row>
        <row r="16015">
          <cell r="A16015" t="str">
            <v>神红3星鬼爪74级</v>
          </cell>
          <cell r="B16015">
            <v>1509074</v>
          </cell>
        </row>
        <row r="16016">
          <cell r="A16016" t="str">
            <v>神红3星鬼爪75级</v>
          </cell>
          <cell r="B16016">
            <v>1509075</v>
          </cell>
        </row>
        <row r="16017">
          <cell r="A16017" t="str">
            <v>神红3星鬼爪76级</v>
          </cell>
          <cell r="B16017">
            <v>1509076</v>
          </cell>
        </row>
        <row r="16018">
          <cell r="A16018" t="str">
            <v>神红3星鬼爪77级</v>
          </cell>
          <cell r="B16018">
            <v>1509077</v>
          </cell>
        </row>
        <row r="16019">
          <cell r="A16019" t="str">
            <v>神红3星鬼爪78级</v>
          </cell>
          <cell r="B16019">
            <v>1509078</v>
          </cell>
        </row>
        <row r="16020">
          <cell r="A16020" t="str">
            <v>神红3星鬼爪79级</v>
          </cell>
          <cell r="B16020">
            <v>1509079</v>
          </cell>
        </row>
        <row r="16021">
          <cell r="A16021" t="str">
            <v>神红3星鬼爪80级</v>
          </cell>
          <cell r="B16021">
            <v>1509080</v>
          </cell>
        </row>
        <row r="16022">
          <cell r="A16022" t="str">
            <v>神红3星鬼爪81级</v>
          </cell>
          <cell r="B16022">
            <v>1509081</v>
          </cell>
        </row>
        <row r="16023">
          <cell r="A16023" t="str">
            <v>神红3星鬼爪82级</v>
          </cell>
          <cell r="B16023">
            <v>1509082</v>
          </cell>
        </row>
        <row r="16024">
          <cell r="A16024" t="str">
            <v>神红3星鬼爪83级</v>
          </cell>
          <cell r="B16024">
            <v>1509083</v>
          </cell>
        </row>
        <row r="16025">
          <cell r="A16025" t="str">
            <v>神红3星鬼爪84级</v>
          </cell>
          <cell r="B16025">
            <v>1509084</v>
          </cell>
        </row>
        <row r="16026">
          <cell r="A16026" t="str">
            <v>神红3星鬼爪85级</v>
          </cell>
          <cell r="B16026">
            <v>1509085</v>
          </cell>
        </row>
        <row r="16027">
          <cell r="A16027" t="str">
            <v>神红3星鬼爪86级</v>
          </cell>
          <cell r="B16027">
            <v>1509086</v>
          </cell>
        </row>
        <row r="16028">
          <cell r="A16028" t="str">
            <v>神红3星鬼爪87级</v>
          </cell>
          <cell r="B16028">
            <v>1509087</v>
          </cell>
        </row>
        <row r="16029">
          <cell r="A16029" t="str">
            <v>神红3星鬼爪88级</v>
          </cell>
          <cell r="B16029">
            <v>1509088</v>
          </cell>
        </row>
        <row r="16030">
          <cell r="A16030" t="str">
            <v>神红3星鬼爪89级</v>
          </cell>
          <cell r="B16030">
            <v>1509089</v>
          </cell>
        </row>
        <row r="16031">
          <cell r="A16031" t="str">
            <v>神红3星鬼爪90级</v>
          </cell>
          <cell r="B16031">
            <v>1509090</v>
          </cell>
        </row>
        <row r="16032">
          <cell r="A16032" t="str">
            <v>神红3星鬼爪91级</v>
          </cell>
          <cell r="B16032">
            <v>1509091</v>
          </cell>
        </row>
        <row r="16033">
          <cell r="A16033" t="str">
            <v>神红3星鬼爪92级</v>
          </cell>
          <cell r="B16033">
            <v>1509092</v>
          </cell>
        </row>
        <row r="16034">
          <cell r="A16034" t="str">
            <v>神红3星鬼爪93级</v>
          </cell>
          <cell r="B16034">
            <v>1509093</v>
          </cell>
        </row>
        <row r="16035">
          <cell r="A16035" t="str">
            <v>神红3星鬼爪94级</v>
          </cell>
          <cell r="B16035">
            <v>1509094</v>
          </cell>
        </row>
        <row r="16036">
          <cell r="A16036" t="str">
            <v>神红3星鬼爪95级</v>
          </cell>
          <cell r="B16036">
            <v>1509095</v>
          </cell>
        </row>
        <row r="16037">
          <cell r="A16037" t="str">
            <v>神红3星鬼爪96级</v>
          </cell>
          <cell r="B16037">
            <v>1509096</v>
          </cell>
        </row>
        <row r="16038">
          <cell r="A16038" t="str">
            <v>神红3星鬼爪97级</v>
          </cell>
          <cell r="B16038">
            <v>1509097</v>
          </cell>
        </row>
        <row r="16039">
          <cell r="A16039" t="str">
            <v>神红3星鬼爪98级</v>
          </cell>
          <cell r="B16039">
            <v>1509098</v>
          </cell>
        </row>
        <row r="16040">
          <cell r="A16040" t="str">
            <v>神红3星鬼爪99级</v>
          </cell>
          <cell r="B16040">
            <v>1509099</v>
          </cell>
        </row>
        <row r="16041">
          <cell r="A16041" t="str">
            <v>神红3星鬼爪100级</v>
          </cell>
          <cell r="B16041">
            <v>1509100</v>
          </cell>
        </row>
        <row r="16042">
          <cell r="A16042" t="str">
            <v>圣红3星鬼爪1级</v>
          </cell>
          <cell r="B16042">
            <v>1510001</v>
          </cell>
        </row>
        <row r="16043">
          <cell r="A16043" t="str">
            <v>圣红3星鬼爪2级</v>
          </cell>
          <cell r="B16043">
            <v>1510002</v>
          </cell>
        </row>
        <row r="16044">
          <cell r="A16044" t="str">
            <v>圣红3星鬼爪3级</v>
          </cell>
          <cell r="B16044">
            <v>1510003</v>
          </cell>
        </row>
        <row r="16045">
          <cell r="A16045" t="str">
            <v>圣红3星鬼爪4级</v>
          </cell>
          <cell r="B16045">
            <v>1510004</v>
          </cell>
        </row>
        <row r="16046">
          <cell r="A16046" t="str">
            <v>圣红3星鬼爪5级</v>
          </cell>
          <cell r="B16046">
            <v>1510005</v>
          </cell>
        </row>
        <row r="16047">
          <cell r="A16047" t="str">
            <v>圣红3星鬼爪6级</v>
          </cell>
          <cell r="B16047">
            <v>1510006</v>
          </cell>
        </row>
        <row r="16048">
          <cell r="A16048" t="str">
            <v>圣红3星鬼爪7级</v>
          </cell>
          <cell r="B16048">
            <v>1510007</v>
          </cell>
        </row>
        <row r="16049">
          <cell r="A16049" t="str">
            <v>圣红3星鬼爪8级</v>
          </cell>
          <cell r="B16049">
            <v>1510008</v>
          </cell>
        </row>
        <row r="16050">
          <cell r="A16050" t="str">
            <v>圣红3星鬼爪9级</v>
          </cell>
          <cell r="B16050">
            <v>1510009</v>
          </cell>
        </row>
        <row r="16051">
          <cell r="A16051" t="str">
            <v>圣红3星鬼爪10级</v>
          </cell>
          <cell r="B16051">
            <v>1510010</v>
          </cell>
        </row>
        <row r="16052">
          <cell r="A16052" t="str">
            <v>圣红3星鬼爪11级</v>
          </cell>
          <cell r="B16052">
            <v>1510011</v>
          </cell>
        </row>
        <row r="16053">
          <cell r="A16053" t="str">
            <v>圣红3星鬼爪12级</v>
          </cell>
          <cell r="B16053">
            <v>1510012</v>
          </cell>
        </row>
        <row r="16054">
          <cell r="A16054" t="str">
            <v>圣红3星鬼爪13级</v>
          </cell>
          <cell r="B16054">
            <v>1510013</v>
          </cell>
        </row>
        <row r="16055">
          <cell r="A16055" t="str">
            <v>圣红3星鬼爪14级</v>
          </cell>
          <cell r="B16055">
            <v>1510014</v>
          </cell>
        </row>
        <row r="16056">
          <cell r="A16056" t="str">
            <v>圣红3星鬼爪15级</v>
          </cell>
          <cell r="B16056">
            <v>1510015</v>
          </cell>
        </row>
        <row r="16057">
          <cell r="A16057" t="str">
            <v>圣红3星鬼爪16级</v>
          </cell>
          <cell r="B16057">
            <v>1510016</v>
          </cell>
        </row>
        <row r="16058">
          <cell r="A16058" t="str">
            <v>圣红3星鬼爪17级</v>
          </cell>
          <cell r="B16058">
            <v>1510017</v>
          </cell>
        </row>
        <row r="16059">
          <cell r="A16059" t="str">
            <v>圣红3星鬼爪18级</v>
          </cell>
          <cell r="B16059">
            <v>1510018</v>
          </cell>
        </row>
        <row r="16060">
          <cell r="A16060" t="str">
            <v>圣红3星鬼爪19级</v>
          </cell>
          <cell r="B16060">
            <v>1510019</v>
          </cell>
        </row>
        <row r="16061">
          <cell r="A16061" t="str">
            <v>圣红3星鬼爪20级</v>
          </cell>
          <cell r="B16061">
            <v>1510020</v>
          </cell>
        </row>
        <row r="16062">
          <cell r="A16062" t="str">
            <v>圣红3星鬼爪21级</v>
          </cell>
          <cell r="B16062">
            <v>1510021</v>
          </cell>
        </row>
        <row r="16063">
          <cell r="A16063" t="str">
            <v>圣红3星鬼爪22级</v>
          </cell>
          <cell r="B16063">
            <v>1510022</v>
          </cell>
        </row>
        <row r="16064">
          <cell r="A16064" t="str">
            <v>圣红3星鬼爪23级</v>
          </cell>
          <cell r="B16064">
            <v>1510023</v>
          </cell>
        </row>
        <row r="16065">
          <cell r="A16065" t="str">
            <v>圣红3星鬼爪24级</v>
          </cell>
          <cell r="B16065">
            <v>1510024</v>
          </cell>
        </row>
        <row r="16066">
          <cell r="A16066" t="str">
            <v>圣红3星鬼爪25级</v>
          </cell>
          <cell r="B16066">
            <v>1510025</v>
          </cell>
        </row>
        <row r="16067">
          <cell r="A16067" t="str">
            <v>圣红3星鬼爪26级</v>
          </cell>
          <cell r="B16067">
            <v>1510026</v>
          </cell>
        </row>
        <row r="16068">
          <cell r="A16068" t="str">
            <v>圣红3星鬼爪27级</v>
          </cell>
          <cell r="B16068">
            <v>1510027</v>
          </cell>
        </row>
        <row r="16069">
          <cell r="A16069" t="str">
            <v>圣红3星鬼爪28级</v>
          </cell>
          <cell r="B16069">
            <v>1510028</v>
          </cell>
        </row>
        <row r="16070">
          <cell r="A16070" t="str">
            <v>圣红3星鬼爪29级</v>
          </cell>
          <cell r="B16070">
            <v>1510029</v>
          </cell>
        </row>
        <row r="16071">
          <cell r="A16071" t="str">
            <v>圣红3星鬼爪30级</v>
          </cell>
          <cell r="B16071">
            <v>1510030</v>
          </cell>
        </row>
        <row r="16072">
          <cell r="A16072" t="str">
            <v>圣红3星鬼爪31级</v>
          </cell>
          <cell r="B16072">
            <v>1510031</v>
          </cell>
        </row>
        <row r="16073">
          <cell r="A16073" t="str">
            <v>圣红3星鬼爪32级</v>
          </cell>
          <cell r="B16073">
            <v>1510032</v>
          </cell>
        </row>
        <row r="16074">
          <cell r="A16074" t="str">
            <v>圣红3星鬼爪33级</v>
          </cell>
          <cell r="B16074">
            <v>1510033</v>
          </cell>
        </row>
        <row r="16075">
          <cell r="A16075" t="str">
            <v>圣红3星鬼爪34级</v>
          </cell>
          <cell r="B16075">
            <v>1510034</v>
          </cell>
        </row>
        <row r="16076">
          <cell r="A16076" t="str">
            <v>圣红3星鬼爪35级</v>
          </cell>
          <cell r="B16076">
            <v>1510035</v>
          </cell>
        </row>
        <row r="16077">
          <cell r="A16077" t="str">
            <v>圣红3星鬼爪36级</v>
          </cell>
          <cell r="B16077">
            <v>1510036</v>
          </cell>
        </row>
        <row r="16078">
          <cell r="A16078" t="str">
            <v>圣红3星鬼爪37级</v>
          </cell>
          <cell r="B16078">
            <v>1510037</v>
          </cell>
        </row>
        <row r="16079">
          <cell r="A16079" t="str">
            <v>圣红3星鬼爪38级</v>
          </cell>
          <cell r="B16079">
            <v>1510038</v>
          </cell>
        </row>
        <row r="16080">
          <cell r="A16080" t="str">
            <v>圣红3星鬼爪39级</v>
          </cell>
          <cell r="B16080">
            <v>1510039</v>
          </cell>
        </row>
        <row r="16081">
          <cell r="A16081" t="str">
            <v>圣红3星鬼爪40级</v>
          </cell>
          <cell r="B16081">
            <v>1510040</v>
          </cell>
        </row>
        <row r="16082">
          <cell r="A16082" t="str">
            <v>圣红3星鬼爪41级</v>
          </cell>
          <cell r="B16082">
            <v>1510041</v>
          </cell>
        </row>
        <row r="16083">
          <cell r="A16083" t="str">
            <v>圣红3星鬼爪42级</v>
          </cell>
          <cell r="B16083">
            <v>1510042</v>
          </cell>
        </row>
        <row r="16084">
          <cell r="A16084" t="str">
            <v>圣红3星鬼爪43级</v>
          </cell>
          <cell r="B16084">
            <v>1510043</v>
          </cell>
        </row>
        <row r="16085">
          <cell r="A16085" t="str">
            <v>圣红3星鬼爪44级</v>
          </cell>
          <cell r="B16085">
            <v>1510044</v>
          </cell>
        </row>
        <row r="16086">
          <cell r="A16086" t="str">
            <v>圣红3星鬼爪45级</v>
          </cell>
          <cell r="B16086">
            <v>1510045</v>
          </cell>
        </row>
        <row r="16087">
          <cell r="A16087" t="str">
            <v>圣红3星鬼爪46级</v>
          </cell>
          <cell r="B16087">
            <v>1510046</v>
          </cell>
        </row>
        <row r="16088">
          <cell r="A16088" t="str">
            <v>圣红3星鬼爪47级</v>
          </cell>
          <cell r="B16088">
            <v>1510047</v>
          </cell>
        </row>
        <row r="16089">
          <cell r="A16089" t="str">
            <v>圣红3星鬼爪48级</v>
          </cell>
          <cell r="B16089">
            <v>1510048</v>
          </cell>
        </row>
        <row r="16090">
          <cell r="A16090" t="str">
            <v>圣红3星鬼爪49级</v>
          </cell>
          <cell r="B16090">
            <v>1510049</v>
          </cell>
        </row>
        <row r="16091">
          <cell r="A16091" t="str">
            <v>圣红3星鬼爪50级</v>
          </cell>
          <cell r="B16091">
            <v>1510050</v>
          </cell>
        </row>
        <row r="16092">
          <cell r="A16092" t="str">
            <v>圣红3星鬼爪51级</v>
          </cell>
          <cell r="B16092">
            <v>1510051</v>
          </cell>
        </row>
        <row r="16093">
          <cell r="A16093" t="str">
            <v>圣红3星鬼爪52级</v>
          </cell>
          <cell r="B16093">
            <v>1510052</v>
          </cell>
        </row>
        <row r="16094">
          <cell r="A16094" t="str">
            <v>圣红3星鬼爪53级</v>
          </cell>
          <cell r="B16094">
            <v>1510053</v>
          </cell>
        </row>
        <row r="16095">
          <cell r="A16095" t="str">
            <v>圣红3星鬼爪54级</v>
          </cell>
          <cell r="B16095">
            <v>1510054</v>
          </cell>
        </row>
        <row r="16096">
          <cell r="A16096" t="str">
            <v>圣红3星鬼爪55级</v>
          </cell>
          <cell r="B16096">
            <v>1510055</v>
          </cell>
        </row>
        <row r="16097">
          <cell r="A16097" t="str">
            <v>圣红3星鬼爪56级</v>
          </cell>
          <cell r="B16097">
            <v>1510056</v>
          </cell>
        </row>
        <row r="16098">
          <cell r="A16098" t="str">
            <v>圣红3星鬼爪57级</v>
          </cell>
          <cell r="B16098">
            <v>1510057</v>
          </cell>
        </row>
        <row r="16099">
          <cell r="A16099" t="str">
            <v>圣红3星鬼爪58级</v>
          </cell>
          <cell r="B16099">
            <v>1510058</v>
          </cell>
        </row>
        <row r="16100">
          <cell r="A16100" t="str">
            <v>圣红3星鬼爪59级</v>
          </cell>
          <cell r="B16100">
            <v>1510059</v>
          </cell>
        </row>
        <row r="16101">
          <cell r="A16101" t="str">
            <v>圣红3星鬼爪60级</v>
          </cell>
          <cell r="B16101">
            <v>1510060</v>
          </cell>
        </row>
        <row r="16102">
          <cell r="A16102" t="str">
            <v>圣红3星鬼爪61级</v>
          </cell>
          <cell r="B16102">
            <v>1510061</v>
          </cell>
        </row>
        <row r="16103">
          <cell r="A16103" t="str">
            <v>圣红3星鬼爪62级</v>
          </cell>
          <cell r="B16103">
            <v>1510062</v>
          </cell>
        </row>
        <row r="16104">
          <cell r="A16104" t="str">
            <v>圣红3星鬼爪63级</v>
          </cell>
          <cell r="B16104">
            <v>1510063</v>
          </cell>
        </row>
        <row r="16105">
          <cell r="A16105" t="str">
            <v>圣红3星鬼爪64级</v>
          </cell>
          <cell r="B16105">
            <v>1510064</v>
          </cell>
        </row>
        <row r="16106">
          <cell r="A16106" t="str">
            <v>圣红3星鬼爪65级</v>
          </cell>
          <cell r="B16106">
            <v>1510065</v>
          </cell>
        </row>
        <row r="16107">
          <cell r="A16107" t="str">
            <v>圣红3星鬼爪66级</v>
          </cell>
          <cell r="B16107">
            <v>1510066</v>
          </cell>
        </row>
        <row r="16108">
          <cell r="A16108" t="str">
            <v>圣红3星鬼爪67级</v>
          </cell>
          <cell r="B16108">
            <v>1510067</v>
          </cell>
        </row>
        <row r="16109">
          <cell r="A16109" t="str">
            <v>圣红3星鬼爪68级</v>
          </cell>
          <cell r="B16109">
            <v>1510068</v>
          </cell>
        </row>
        <row r="16110">
          <cell r="A16110" t="str">
            <v>圣红3星鬼爪69级</v>
          </cell>
          <cell r="B16110">
            <v>1510069</v>
          </cell>
        </row>
        <row r="16111">
          <cell r="A16111" t="str">
            <v>圣红3星鬼爪70级</v>
          </cell>
          <cell r="B16111">
            <v>1510070</v>
          </cell>
        </row>
        <row r="16112">
          <cell r="A16112" t="str">
            <v>圣红3星鬼爪71级</v>
          </cell>
          <cell r="B16112">
            <v>1510071</v>
          </cell>
        </row>
        <row r="16113">
          <cell r="A16113" t="str">
            <v>圣红3星鬼爪72级</v>
          </cell>
          <cell r="B16113">
            <v>1510072</v>
          </cell>
        </row>
        <row r="16114">
          <cell r="A16114" t="str">
            <v>圣红3星鬼爪73级</v>
          </cell>
          <cell r="B16114">
            <v>1510073</v>
          </cell>
        </row>
        <row r="16115">
          <cell r="A16115" t="str">
            <v>圣红3星鬼爪74级</v>
          </cell>
          <cell r="B16115">
            <v>1510074</v>
          </cell>
        </row>
        <row r="16116">
          <cell r="A16116" t="str">
            <v>圣红3星鬼爪75级</v>
          </cell>
          <cell r="B16116">
            <v>1510075</v>
          </cell>
        </row>
        <row r="16117">
          <cell r="A16117" t="str">
            <v>圣红3星鬼爪76级</v>
          </cell>
          <cell r="B16117">
            <v>1510076</v>
          </cell>
        </row>
        <row r="16118">
          <cell r="A16118" t="str">
            <v>圣红3星鬼爪77级</v>
          </cell>
          <cell r="B16118">
            <v>1510077</v>
          </cell>
        </row>
        <row r="16119">
          <cell r="A16119" t="str">
            <v>圣红3星鬼爪78级</v>
          </cell>
          <cell r="B16119">
            <v>1510078</v>
          </cell>
        </row>
        <row r="16120">
          <cell r="A16120" t="str">
            <v>圣红3星鬼爪79级</v>
          </cell>
          <cell r="B16120">
            <v>1510079</v>
          </cell>
        </row>
        <row r="16121">
          <cell r="A16121" t="str">
            <v>圣红3星鬼爪80级</v>
          </cell>
          <cell r="B16121">
            <v>1510080</v>
          </cell>
        </row>
        <row r="16122">
          <cell r="A16122" t="str">
            <v>圣红3星鬼爪81级</v>
          </cell>
          <cell r="B16122">
            <v>1510081</v>
          </cell>
        </row>
        <row r="16123">
          <cell r="A16123" t="str">
            <v>圣红3星鬼爪82级</v>
          </cell>
          <cell r="B16123">
            <v>1510082</v>
          </cell>
        </row>
        <row r="16124">
          <cell r="A16124" t="str">
            <v>圣红3星鬼爪83级</v>
          </cell>
          <cell r="B16124">
            <v>1510083</v>
          </cell>
        </row>
        <row r="16125">
          <cell r="A16125" t="str">
            <v>圣红3星鬼爪84级</v>
          </cell>
          <cell r="B16125">
            <v>1510084</v>
          </cell>
        </row>
        <row r="16126">
          <cell r="A16126" t="str">
            <v>圣红3星鬼爪85级</v>
          </cell>
          <cell r="B16126">
            <v>1510085</v>
          </cell>
        </row>
        <row r="16127">
          <cell r="A16127" t="str">
            <v>圣红3星鬼爪86级</v>
          </cell>
          <cell r="B16127">
            <v>1510086</v>
          </cell>
        </row>
        <row r="16128">
          <cell r="A16128" t="str">
            <v>圣红3星鬼爪87级</v>
          </cell>
          <cell r="B16128">
            <v>1510087</v>
          </cell>
        </row>
        <row r="16129">
          <cell r="A16129" t="str">
            <v>圣红3星鬼爪88级</v>
          </cell>
          <cell r="B16129">
            <v>1510088</v>
          </cell>
        </row>
        <row r="16130">
          <cell r="A16130" t="str">
            <v>圣红3星鬼爪89级</v>
          </cell>
          <cell r="B16130">
            <v>1510089</v>
          </cell>
        </row>
        <row r="16131">
          <cell r="A16131" t="str">
            <v>圣红3星鬼爪90级</v>
          </cell>
          <cell r="B16131">
            <v>1510090</v>
          </cell>
        </row>
        <row r="16132">
          <cell r="A16132" t="str">
            <v>圣红3星鬼爪91级</v>
          </cell>
          <cell r="B16132">
            <v>1510091</v>
          </cell>
        </row>
        <row r="16133">
          <cell r="A16133" t="str">
            <v>圣红3星鬼爪92级</v>
          </cell>
          <cell r="B16133">
            <v>1510092</v>
          </cell>
        </row>
        <row r="16134">
          <cell r="A16134" t="str">
            <v>圣红3星鬼爪93级</v>
          </cell>
          <cell r="B16134">
            <v>1510093</v>
          </cell>
        </row>
        <row r="16135">
          <cell r="A16135" t="str">
            <v>圣红3星鬼爪94级</v>
          </cell>
          <cell r="B16135">
            <v>1510094</v>
          </cell>
        </row>
        <row r="16136">
          <cell r="A16136" t="str">
            <v>圣红3星鬼爪95级</v>
          </cell>
          <cell r="B16136">
            <v>1510095</v>
          </cell>
        </row>
        <row r="16137">
          <cell r="A16137" t="str">
            <v>圣红3星鬼爪96级</v>
          </cell>
          <cell r="B16137">
            <v>1510096</v>
          </cell>
        </row>
        <row r="16138">
          <cell r="A16138" t="str">
            <v>圣红3星鬼爪97级</v>
          </cell>
          <cell r="B16138">
            <v>1510097</v>
          </cell>
        </row>
        <row r="16139">
          <cell r="A16139" t="str">
            <v>圣红3星鬼爪98级</v>
          </cell>
          <cell r="B16139">
            <v>1510098</v>
          </cell>
        </row>
        <row r="16140">
          <cell r="A16140" t="str">
            <v>圣红3星鬼爪99级</v>
          </cell>
          <cell r="B16140">
            <v>1510099</v>
          </cell>
        </row>
        <row r="16141">
          <cell r="A16141" t="str">
            <v>圣红3星鬼爪100级</v>
          </cell>
          <cell r="B16141">
            <v>1510100</v>
          </cell>
        </row>
        <row r="16142">
          <cell r="A16142" t="str">
            <v>兽神拓展卡</v>
          </cell>
          <cell r="B16142">
            <v>204168</v>
          </cell>
        </row>
        <row r="16143">
          <cell r="A16143" t="str">
            <v>初级兽神石</v>
          </cell>
          <cell r="B16143">
            <v>204169</v>
          </cell>
        </row>
        <row r="16144">
          <cell r="A16144" t="str">
            <v>中级兽神石</v>
          </cell>
          <cell r="B16144">
            <v>204170</v>
          </cell>
        </row>
        <row r="16145">
          <cell r="A16145" t="str">
            <v>高级兽神石</v>
          </cell>
          <cell r="B16145">
            <v>204171</v>
          </cell>
        </row>
        <row r="16146">
          <cell r="A16146" t="str">
            <v>白色兽神装备任选宝箱</v>
          </cell>
          <cell r="B16146">
            <v>200970</v>
          </cell>
        </row>
        <row r="16147">
          <cell r="A16147" t="str">
            <v>紫色兽神装备任选宝箱</v>
          </cell>
          <cell r="B16147">
            <v>200971</v>
          </cell>
        </row>
        <row r="16148">
          <cell r="A16148" t="str">
            <v>橙色兽神装备任选宝箱</v>
          </cell>
          <cell r="B16148">
            <v>200972</v>
          </cell>
        </row>
        <row r="16149">
          <cell r="A16149" t="str">
            <v>极品橙色兽神装备任选宝箱</v>
          </cell>
          <cell r="B16149">
            <v>200973</v>
          </cell>
        </row>
        <row r="16150">
          <cell r="A16150" t="str">
            <v>极品战纹任选宝箱</v>
          </cell>
          <cell r="B16150">
            <v>200974</v>
          </cell>
        </row>
        <row r="16151">
          <cell r="A16151" t="str">
            <v>神品战纹任选宝箱</v>
          </cell>
          <cell r="B16151">
            <v>200975</v>
          </cell>
        </row>
        <row r="16152">
          <cell r="A16152" t="str">
            <v>极品红色兽神装备任选宝箱</v>
          </cell>
          <cell r="B16152">
            <v>200976</v>
          </cell>
        </row>
        <row r="16153">
          <cell r="A16153" t="str">
            <v>红色无相诀心法任选宝箱</v>
          </cell>
          <cell r="B16153">
            <v>200977</v>
          </cell>
        </row>
        <row r="16154">
          <cell r="A16154" t="str">
            <v>冰糖葫芦</v>
          </cell>
          <cell r="B16154">
            <v>900023</v>
          </cell>
        </row>
        <row r="16155">
          <cell r="A16155" t="str">
            <v>新春小红包</v>
          </cell>
          <cell r="B16155">
            <v>200978</v>
          </cell>
        </row>
        <row r="16156">
          <cell r="A16156" t="str">
            <v>新春大红包</v>
          </cell>
          <cell r="B16156">
            <v>200979</v>
          </cell>
        </row>
        <row r="16157">
          <cell r="A16157" t="str">
            <v>4-6转神装宝箱</v>
          </cell>
          <cell r="B16157">
            <v>200980</v>
          </cell>
        </row>
        <row r="16158">
          <cell r="A16158" t="str">
            <v>开门利是</v>
          </cell>
          <cell r="B16158">
            <v>200981</v>
          </cell>
        </row>
        <row r="16159">
          <cell r="A16159" t="str">
            <v>活动寻宝卷</v>
          </cell>
          <cell r="B16159">
            <v>200982</v>
          </cell>
        </row>
        <row r="16160">
          <cell r="A16160" t="str">
            <v>元宵材料1</v>
          </cell>
          <cell r="B16160">
            <v>200983</v>
          </cell>
        </row>
        <row r="16161">
          <cell r="A16161" t="str">
            <v>元宵材料2</v>
          </cell>
          <cell r="B16161">
            <v>200984</v>
          </cell>
        </row>
        <row r="16162">
          <cell r="A16162" t="str">
            <v>元宵材料3</v>
          </cell>
          <cell r="B16162">
            <v>200985</v>
          </cell>
        </row>
        <row r="16163">
          <cell r="A16163" t="str">
            <v>元宵中级礼包</v>
          </cell>
          <cell r="B16163">
            <v>200986</v>
          </cell>
        </row>
        <row r="16164">
          <cell r="A16164" t="str">
            <v>元宵高级礼包</v>
          </cell>
          <cell r="B16164">
            <v>200987</v>
          </cell>
        </row>
        <row r="16165">
          <cell r="A16165" t="str">
            <v>元宵BOSS礼包</v>
          </cell>
          <cell r="B16165">
            <v>200988</v>
          </cell>
        </row>
        <row r="16166">
          <cell r="A16166" t="str">
            <v>（15-40）元宵福袋1</v>
          </cell>
          <cell r="B16166">
            <v>201201</v>
          </cell>
        </row>
        <row r="16167">
          <cell r="A16167" t="str">
            <v>（15-40）元宵福袋2</v>
          </cell>
          <cell r="B16167">
            <v>201202</v>
          </cell>
        </row>
        <row r="16168">
          <cell r="A16168" t="str">
            <v>（15-40）元宵福袋3</v>
          </cell>
          <cell r="B16168">
            <v>201203</v>
          </cell>
        </row>
        <row r="16169">
          <cell r="A16169" t="str">
            <v>（15-40）元宵福袋4</v>
          </cell>
          <cell r="B16169">
            <v>201204</v>
          </cell>
        </row>
        <row r="16170">
          <cell r="A16170" t="str">
            <v>（15-40）元宵福袋5</v>
          </cell>
          <cell r="B16170">
            <v>201205</v>
          </cell>
        </row>
        <row r="16171">
          <cell r="A16171" t="str">
            <v>（15-40）元宵福袋6</v>
          </cell>
          <cell r="B16171">
            <v>201206</v>
          </cell>
        </row>
        <row r="16172">
          <cell r="A16172" t="str">
            <v>（15-40）元宵福袋7</v>
          </cell>
          <cell r="B16172">
            <v>201207</v>
          </cell>
        </row>
        <row r="16173">
          <cell r="A16173" t="str">
            <v>（15-40）元宵福袋8</v>
          </cell>
          <cell r="B16173">
            <v>201208</v>
          </cell>
        </row>
        <row r="16174">
          <cell r="A16174" t="str">
            <v>（15-40）元宵福袋9</v>
          </cell>
          <cell r="B16174">
            <v>201209</v>
          </cell>
        </row>
        <row r="16175">
          <cell r="A16175" t="str">
            <v>（15-40）元宵福袋10</v>
          </cell>
          <cell r="B16175">
            <v>201210</v>
          </cell>
        </row>
        <row r="16176">
          <cell r="A16176" t="str">
            <v>（15-40）元宵福袋11</v>
          </cell>
          <cell r="B16176">
            <v>201211</v>
          </cell>
        </row>
        <row r="16177">
          <cell r="A16177" t="str">
            <v>（15-40）元宵福袋12</v>
          </cell>
          <cell r="B16177">
            <v>201212</v>
          </cell>
        </row>
        <row r="16178">
          <cell r="A16178" t="str">
            <v>（15-40）元宵福袋13</v>
          </cell>
          <cell r="B16178">
            <v>201213</v>
          </cell>
        </row>
        <row r="16179">
          <cell r="A16179" t="str">
            <v>（15-40）元宵福袋14</v>
          </cell>
          <cell r="B16179">
            <v>201214</v>
          </cell>
        </row>
        <row r="16180">
          <cell r="A16180" t="str">
            <v>（15-40）元宵福袋15</v>
          </cell>
          <cell r="B16180">
            <v>201215</v>
          </cell>
        </row>
        <row r="16181">
          <cell r="A16181" t="str">
            <v>（15-40）元宵福袋16</v>
          </cell>
          <cell r="B16181">
            <v>201216</v>
          </cell>
        </row>
        <row r="16182">
          <cell r="A16182" t="str">
            <v>（41+）元宵福袋1</v>
          </cell>
          <cell r="B16182">
            <v>201217</v>
          </cell>
        </row>
        <row r="16183">
          <cell r="A16183" t="str">
            <v>（41+）元宵福袋2</v>
          </cell>
          <cell r="B16183">
            <v>201218</v>
          </cell>
        </row>
        <row r="16184">
          <cell r="A16184" t="str">
            <v>（41+）元宵福袋3</v>
          </cell>
          <cell r="B16184">
            <v>201219</v>
          </cell>
        </row>
        <row r="16185">
          <cell r="A16185" t="str">
            <v>（41+）元宵福袋4</v>
          </cell>
          <cell r="B16185">
            <v>201220</v>
          </cell>
        </row>
        <row r="16186">
          <cell r="A16186" t="str">
            <v>（41+）元宵福袋5</v>
          </cell>
          <cell r="B16186">
            <v>201221</v>
          </cell>
        </row>
        <row r="16187">
          <cell r="A16187" t="str">
            <v>（41+）元宵福袋6</v>
          </cell>
          <cell r="B16187">
            <v>201222</v>
          </cell>
        </row>
        <row r="16188">
          <cell r="A16188" t="str">
            <v>（41+）元宵福袋7</v>
          </cell>
          <cell r="B16188">
            <v>201223</v>
          </cell>
        </row>
        <row r="16189">
          <cell r="A16189" t="str">
            <v>（41+）元宵福袋8</v>
          </cell>
          <cell r="B16189">
            <v>201224</v>
          </cell>
        </row>
        <row r="16190">
          <cell r="A16190" t="str">
            <v>（41+）元宵福袋9</v>
          </cell>
          <cell r="B16190">
            <v>201225</v>
          </cell>
        </row>
        <row r="16191">
          <cell r="A16191" t="str">
            <v>（41+）元宵福袋10</v>
          </cell>
          <cell r="B16191">
            <v>201226</v>
          </cell>
        </row>
        <row r="16192">
          <cell r="A16192" t="str">
            <v>（41+）元宵福袋11</v>
          </cell>
          <cell r="B16192">
            <v>201227</v>
          </cell>
        </row>
        <row r="16193">
          <cell r="A16193" t="str">
            <v>（41+）元宵福袋12</v>
          </cell>
          <cell r="B16193">
            <v>201228</v>
          </cell>
        </row>
        <row r="16194">
          <cell r="A16194" t="str">
            <v>（41+）元宵福袋13</v>
          </cell>
          <cell r="B16194">
            <v>201229</v>
          </cell>
        </row>
        <row r="16195">
          <cell r="A16195" t="str">
            <v>（41+）元宵福袋14</v>
          </cell>
          <cell r="B16195">
            <v>201230</v>
          </cell>
        </row>
        <row r="16196">
          <cell r="A16196" t="str">
            <v>（41+）元宵福袋15</v>
          </cell>
          <cell r="B16196">
            <v>201231</v>
          </cell>
        </row>
        <row r="16197">
          <cell r="A16197" t="str">
            <v>（41+）元宵福袋16</v>
          </cell>
          <cell r="B16197">
            <v>201232</v>
          </cell>
        </row>
        <row r="16198">
          <cell r="A16198" t="str">
            <v>泣血神花</v>
          </cell>
          <cell r="B16198">
            <v>200330</v>
          </cell>
        </row>
        <row r="16199">
          <cell r="A16199" t="str">
            <v>魂骨</v>
          </cell>
          <cell r="B16199">
            <v>279999</v>
          </cell>
        </row>
        <row r="16200">
          <cell r="A16200" t="str">
            <v>魂玉精华</v>
          </cell>
          <cell r="B16200">
            <v>280000</v>
          </cell>
        </row>
        <row r="16201">
          <cell r="A16201" t="str">
            <v>躯干魂骨(凡品)</v>
          </cell>
          <cell r="B16201">
            <v>280001</v>
          </cell>
        </row>
        <row r="16202">
          <cell r="A16202" t="str">
            <v>躯干魂骨(中品)</v>
          </cell>
          <cell r="B16202">
            <v>280002</v>
          </cell>
        </row>
        <row r="16203">
          <cell r="A16203" t="str">
            <v>躯干魂骨(上品)</v>
          </cell>
          <cell r="B16203">
            <v>280003</v>
          </cell>
        </row>
        <row r="16204">
          <cell r="A16204" t="str">
            <v>躯干魂骨(极品)</v>
          </cell>
          <cell r="B16204">
            <v>280004</v>
          </cell>
        </row>
        <row r="16205">
          <cell r="A16205" t="str">
            <v>躯干魂骨(神品)</v>
          </cell>
          <cell r="B16205">
            <v>280005</v>
          </cell>
        </row>
        <row r="16206">
          <cell r="A16206" t="str">
            <v>头部魂骨(凡品)</v>
          </cell>
          <cell r="B16206">
            <v>280011</v>
          </cell>
        </row>
        <row r="16207">
          <cell r="A16207" t="str">
            <v>头部魂骨(中品)</v>
          </cell>
          <cell r="B16207">
            <v>280012</v>
          </cell>
        </row>
        <row r="16208">
          <cell r="A16208" t="str">
            <v>头部魂骨(上品)</v>
          </cell>
          <cell r="B16208">
            <v>280013</v>
          </cell>
        </row>
        <row r="16209">
          <cell r="A16209" t="str">
            <v>头部魂骨(极品)</v>
          </cell>
          <cell r="B16209">
            <v>280014</v>
          </cell>
        </row>
        <row r="16210">
          <cell r="A16210" t="str">
            <v>头部魂骨(神品)</v>
          </cell>
          <cell r="B16210">
            <v>280015</v>
          </cell>
        </row>
        <row r="16211">
          <cell r="A16211" t="str">
            <v>腰椎魂骨(凡品)</v>
          </cell>
          <cell r="B16211">
            <v>280021</v>
          </cell>
        </row>
        <row r="16212">
          <cell r="A16212" t="str">
            <v>腰椎魂骨(中品)</v>
          </cell>
          <cell r="B16212">
            <v>280022</v>
          </cell>
        </row>
        <row r="16213">
          <cell r="A16213" t="str">
            <v>腰椎魂骨(上品)</v>
          </cell>
          <cell r="B16213">
            <v>280023</v>
          </cell>
        </row>
        <row r="16214">
          <cell r="A16214" t="str">
            <v>腰椎魂骨(极品)</v>
          </cell>
          <cell r="B16214">
            <v>280024</v>
          </cell>
        </row>
        <row r="16215">
          <cell r="A16215" t="str">
            <v>腰椎魂骨(神品)</v>
          </cell>
          <cell r="B16215">
            <v>280025</v>
          </cell>
        </row>
        <row r="16216">
          <cell r="A16216" t="str">
            <v>颈椎魂骨(凡品)</v>
          </cell>
          <cell r="B16216">
            <v>280031</v>
          </cell>
        </row>
        <row r="16217">
          <cell r="A16217" t="str">
            <v>颈椎魂骨(中品)</v>
          </cell>
          <cell r="B16217">
            <v>280032</v>
          </cell>
        </row>
        <row r="16218">
          <cell r="A16218" t="str">
            <v>颈椎魂骨(上品)</v>
          </cell>
          <cell r="B16218">
            <v>280033</v>
          </cell>
        </row>
        <row r="16219">
          <cell r="A16219" t="str">
            <v>颈椎魂骨(极品)</v>
          </cell>
          <cell r="B16219">
            <v>280034</v>
          </cell>
        </row>
        <row r="16220">
          <cell r="A16220" t="str">
            <v>颈椎魂骨(神品)</v>
          </cell>
          <cell r="B16220">
            <v>280035</v>
          </cell>
        </row>
        <row r="16221">
          <cell r="A16221" t="str">
            <v>右手魂骨(凡品)</v>
          </cell>
          <cell r="B16221">
            <v>280041</v>
          </cell>
        </row>
        <row r="16222">
          <cell r="A16222" t="str">
            <v>右手魂骨(中品)</v>
          </cell>
          <cell r="B16222">
            <v>280042</v>
          </cell>
        </row>
        <row r="16223">
          <cell r="A16223" t="str">
            <v>右手魂骨(上品)</v>
          </cell>
          <cell r="B16223">
            <v>280043</v>
          </cell>
        </row>
        <row r="16224">
          <cell r="A16224" t="str">
            <v>右手魂骨(极品)</v>
          </cell>
          <cell r="B16224">
            <v>280044</v>
          </cell>
        </row>
        <row r="16225">
          <cell r="A16225" t="str">
            <v>右手魂骨(神品)</v>
          </cell>
          <cell r="B16225">
            <v>280045</v>
          </cell>
        </row>
        <row r="16226">
          <cell r="A16226" t="str">
            <v>左手魂骨(凡品)</v>
          </cell>
          <cell r="B16226">
            <v>280051</v>
          </cell>
        </row>
        <row r="16227">
          <cell r="A16227" t="str">
            <v>左手魂骨(中品)</v>
          </cell>
          <cell r="B16227">
            <v>280052</v>
          </cell>
        </row>
        <row r="16228">
          <cell r="A16228" t="str">
            <v>左手魂骨(上品)</v>
          </cell>
          <cell r="B16228">
            <v>280053</v>
          </cell>
        </row>
        <row r="16229">
          <cell r="A16229" t="str">
            <v>左手魂骨(极品)</v>
          </cell>
          <cell r="B16229">
            <v>280054</v>
          </cell>
        </row>
        <row r="16230">
          <cell r="A16230" t="str">
            <v>左手魂骨(神品)</v>
          </cell>
          <cell r="B16230">
            <v>280055</v>
          </cell>
        </row>
        <row r="16231">
          <cell r="A16231" t="str">
            <v>右腿魂骨(凡品)</v>
          </cell>
          <cell r="B16231">
            <v>280061</v>
          </cell>
        </row>
        <row r="16232">
          <cell r="A16232" t="str">
            <v>右腿魂骨(中品)</v>
          </cell>
          <cell r="B16232">
            <v>280062</v>
          </cell>
        </row>
        <row r="16233">
          <cell r="A16233" t="str">
            <v>右腿魂骨(上品)</v>
          </cell>
          <cell r="B16233">
            <v>280063</v>
          </cell>
        </row>
        <row r="16234">
          <cell r="A16234" t="str">
            <v>右腿魂骨(极品)</v>
          </cell>
          <cell r="B16234">
            <v>280064</v>
          </cell>
        </row>
        <row r="16235">
          <cell r="A16235" t="str">
            <v>右腿魂骨(神品)</v>
          </cell>
          <cell r="B16235">
            <v>280065</v>
          </cell>
        </row>
        <row r="16236">
          <cell r="A16236" t="str">
            <v>左腿魂骨(凡品)</v>
          </cell>
          <cell r="B16236">
            <v>280071</v>
          </cell>
        </row>
        <row r="16237">
          <cell r="A16237" t="str">
            <v>左腿魂骨(中品)</v>
          </cell>
          <cell r="B16237">
            <v>280072</v>
          </cell>
        </row>
        <row r="16238">
          <cell r="A16238" t="str">
            <v>左腿魂骨(上品)</v>
          </cell>
          <cell r="B16238">
            <v>280073</v>
          </cell>
        </row>
        <row r="16239">
          <cell r="A16239" t="str">
            <v>左腿魂骨(极品)</v>
          </cell>
          <cell r="B16239">
            <v>280074</v>
          </cell>
        </row>
        <row r="16240">
          <cell r="A16240" t="str">
            <v>左腿魂骨(神品)</v>
          </cell>
          <cell r="B16240">
            <v>280075</v>
          </cell>
        </row>
        <row r="16241">
          <cell r="A16241" t="str">
            <v>中品躯干</v>
          </cell>
          <cell r="B16241">
            <v>280201</v>
          </cell>
        </row>
        <row r="16242">
          <cell r="A16242" t="str">
            <v>上品躯干</v>
          </cell>
          <cell r="B16242">
            <v>280202</v>
          </cell>
        </row>
        <row r="16243">
          <cell r="A16243" t="str">
            <v>极品躯干</v>
          </cell>
          <cell r="B16243">
            <v>280203</v>
          </cell>
        </row>
        <row r="16244">
          <cell r="A16244" t="str">
            <v>神品躯干</v>
          </cell>
          <cell r="B16244">
            <v>280204</v>
          </cell>
        </row>
        <row r="16245">
          <cell r="A16245" t="str">
            <v>中品头部</v>
          </cell>
          <cell r="B16245">
            <v>280205</v>
          </cell>
        </row>
        <row r="16246">
          <cell r="A16246" t="str">
            <v>上品头部</v>
          </cell>
          <cell r="B16246">
            <v>280206</v>
          </cell>
        </row>
        <row r="16247">
          <cell r="A16247" t="str">
            <v>极品头部</v>
          </cell>
          <cell r="B16247">
            <v>280207</v>
          </cell>
        </row>
        <row r="16248">
          <cell r="A16248" t="str">
            <v>神品头部</v>
          </cell>
          <cell r="B16248">
            <v>280208</v>
          </cell>
        </row>
        <row r="16249">
          <cell r="A16249" t="str">
            <v>中品腰椎</v>
          </cell>
          <cell r="B16249">
            <v>280209</v>
          </cell>
        </row>
        <row r="16250">
          <cell r="A16250" t="str">
            <v>上品腰椎</v>
          </cell>
          <cell r="B16250">
            <v>280210</v>
          </cell>
        </row>
        <row r="16251">
          <cell r="A16251" t="str">
            <v>极品腰椎</v>
          </cell>
          <cell r="B16251">
            <v>280211</v>
          </cell>
        </row>
        <row r="16252">
          <cell r="A16252" t="str">
            <v>神品腰椎</v>
          </cell>
          <cell r="B16252">
            <v>280212</v>
          </cell>
        </row>
        <row r="16253">
          <cell r="A16253" t="str">
            <v>中品脊椎</v>
          </cell>
          <cell r="B16253">
            <v>280213</v>
          </cell>
        </row>
        <row r="16254">
          <cell r="A16254" t="str">
            <v>上品脊椎</v>
          </cell>
          <cell r="B16254">
            <v>280214</v>
          </cell>
        </row>
        <row r="16255">
          <cell r="A16255" t="str">
            <v>极品脊椎</v>
          </cell>
          <cell r="B16255">
            <v>280215</v>
          </cell>
        </row>
        <row r="16256">
          <cell r="A16256" t="str">
            <v>神品脊椎</v>
          </cell>
          <cell r="B16256">
            <v>280216</v>
          </cell>
        </row>
        <row r="16257">
          <cell r="A16257" t="str">
            <v>中品右手</v>
          </cell>
          <cell r="B16257">
            <v>280217</v>
          </cell>
        </row>
        <row r="16258">
          <cell r="A16258" t="str">
            <v>上品右手</v>
          </cell>
          <cell r="B16258">
            <v>280218</v>
          </cell>
        </row>
        <row r="16259">
          <cell r="A16259" t="str">
            <v>极品右手</v>
          </cell>
          <cell r="B16259">
            <v>280219</v>
          </cell>
        </row>
        <row r="16260">
          <cell r="A16260" t="str">
            <v>神品右手</v>
          </cell>
          <cell r="B16260">
            <v>280220</v>
          </cell>
        </row>
        <row r="16261">
          <cell r="A16261" t="str">
            <v>中品左手</v>
          </cell>
          <cell r="B16261">
            <v>280221</v>
          </cell>
        </row>
        <row r="16262">
          <cell r="A16262" t="str">
            <v>上品左手</v>
          </cell>
          <cell r="B16262">
            <v>280222</v>
          </cell>
        </row>
        <row r="16263">
          <cell r="A16263" t="str">
            <v>极品左手</v>
          </cell>
          <cell r="B16263">
            <v>280223</v>
          </cell>
        </row>
        <row r="16264">
          <cell r="A16264" t="str">
            <v>神品左手</v>
          </cell>
          <cell r="B16264">
            <v>280224</v>
          </cell>
        </row>
        <row r="16265">
          <cell r="A16265" t="str">
            <v>中品右腿</v>
          </cell>
          <cell r="B16265">
            <v>280225</v>
          </cell>
        </row>
        <row r="16266">
          <cell r="A16266" t="str">
            <v>上品右腿</v>
          </cell>
          <cell r="B16266">
            <v>280226</v>
          </cell>
        </row>
        <row r="16267">
          <cell r="A16267" t="str">
            <v>极品右腿</v>
          </cell>
          <cell r="B16267">
            <v>280227</v>
          </cell>
        </row>
        <row r="16268">
          <cell r="A16268" t="str">
            <v>神品右腿</v>
          </cell>
          <cell r="B16268">
            <v>280228</v>
          </cell>
        </row>
        <row r="16269">
          <cell r="A16269" t="str">
            <v>中品左腿</v>
          </cell>
          <cell r="B16269">
            <v>280229</v>
          </cell>
        </row>
        <row r="16270">
          <cell r="A16270" t="str">
            <v>上品左腿</v>
          </cell>
          <cell r="B16270">
            <v>280230</v>
          </cell>
        </row>
        <row r="16271">
          <cell r="A16271" t="str">
            <v>极品左腿</v>
          </cell>
          <cell r="B16271">
            <v>280231</v>
          </cell>
        </row>
        <row r="16272">
          <cell r="A16272" t="str">
            <v>神品左腿</v>
          </cell>
          <cell r="B16272">
            <v>280232</v>
          </cell>
        </row>
        <row r="16273">
          <cell r="A16273" t="str">
            <v>"热血礼包（爱微游100R）"</v>
          </cell>
          <cell r="B16273">
            <v>200989</v>
          </cell>
        </row>
        <row r="16274">
          <cell r="A16274" t="str">
            <v>"传奇礼包（爱微游200R）"</v>
          </cell>
          <cell r="B16274">
            <v>200990</v>
          </cell>
        </row>
        <row r="16275">
          <cell r="A16275" t="str">
            <v>"王者礼包（爱微游500R）"</v>
          </cell>
          <cell r="B16275">
            <v>200991</v>
          </cell>
        </row>
        <row r="16276">
          <cell r="A16276" t="str">
            <v>"至尊礼包（爱微游1000R）"</v>
          </cell>
          <cell r="B16276">
            <v>200992</v>
          </cell>
        </row>
        <row r="16277">
          <cell r="A16277" t="str">
            <v>光芒礼包(公众号每日充值1000R</v>
          </cell>
          <cell r="B16277">
            <v>201233</v>
          </cell>
        </row>
        <row r="16278">
          <cell r="A16278" t="str">
            <v>烈焰礼包(公众号每日充值3000R</v>
          </cell>
          <cell r="B16278">
            <v>201234</v>
          </cell>
        </row>
        <row r="16279">
          <cell r="A16279" t="str">
            <v>雷霆礼包(公众号每日充值6000R</v>
          </cell>
          <cell r="B16279">
            <v>201235</v>
          </cell>
        </row>
        <row r="16280">
          <cell r="A16280" t="str">
            <v>战法道礼包(公众号每日充值10000R</v>
          </cell>
          <cell r="B16280">
            <v>201236</v>
          </cell>
        </row>
        <row r="16281">
          <cell r="A16281" t="str">
            <v>高级狂怒</v>
          </cell>
          <cell r="B16281">
            <v>210114</v>
          </cell>
        </row>
        <row r="16282">
          <cell r="A16282" t="str">
            <v>高级追魂</v>
          </cell>
          <cell r="B16282">
            <v>210115</v>
          </cell>
        </row>
        <row r="16283">
          <cell r="A16283" t="str">
            <v>高级不屈</v>
          </cell>
          <cell r="B16283">
            <v>210116</v>
          </cell>
        </row>
        <row r="16284">
          <cell r="A16284" t="str">
            <v>秘籍锁</v>
          </cell>
          <cell r="B16284">
            <v>200331</v>
          </cell>
        </row>
        <row r="16285">
          <cell r="A16285" t="str">
            <v>精金</v>
          </cell>
          <cell r="B16285">
            <v>200332</v>
          </cell>
        </row>
        <row r="16286">
          <cell r="A16286" t="str">
            <v>圣魂精华</v>
          </cell>
          <cell r="B16286">
            <v>200333</v>
          </cell>
        </row>
        <row r="16287">
          <cell r="A16287" t="str">
            <v>红破军1级</v>
          </cell>
          <cell r="B16287">
            <v>519301</v>
          </cell>
        </row>
        <row r="16288">
          <cell r="A16288" t="str">
            <v>红破军2级</v>
          </cell>
          <cell r="B16288">
            <v>519302</v>
          </cell>
        </row>
        <row r="16289">
          <cell r="A16289" t="str">
            <v>红破军3级</v>
          </cell>
          <cell r="B16289">
            <v>519303</v>
          </cell>
        </row>
        <row r="16290">
          <cell r="A16290" t="str">
            <v>红破军4级</v>
          </cell>
          <cell r="B16290">
            <v>519304</v>
          </cell>
        </row>
        <row r="16291">
          <cell r="A16291" t="str">
            <v>红破军5级</v>
          </cell>
          <cell r="B16291">
            <v>519305</v>
          </cell>
        </row>
        <row r="16292">
          <cell r="A16292" t="str">
            <v>红破军6级</v>
          </cell>
          <cell r="B16292">
            <v>519306</v>
          </cell>
        </row>
        <row r="16293">
          <cell r="A16293" t="str">
            <v>红破军7级</v>
          </cell>
          <cell r="B16293">
            <v>519307</v>
          </cell>
        </row>
        <row r="16294">
          <cell r="A16294" t="str">
            <v>红破军8级</v>
          </cell>
          <cell r="B16294">
            <v>519308</v>
          </cell>
        </row>
        <row r="16295">
          <cell r="A16295" t="str">
            <v>红破军9级</v>
          </cell>
          <cell r="B16295">
            <v>519309</v>
          </cell>
        </row>
        <row r="16296">
          <cell r="A16296" t="str">
            <v>红破军10级</v>
          </cell>
          <cell r="B16296">
            <v>519310</v>
          </cell>
        </row>
        <row r="16297">
          <cell r="A16297" t="str">
            <v>红破军11级</v>
          </cell>
          <cell r="B16297">
            <v>519311</v>
          </cell>
        </row>
        <row r="16298">
          <cell r="A16298" t="str">
            <v>红破军12级</v>
          </cell>
          <cell r="B16298">
            <v>519312</v>
          </cell>
        </row>
        <row r="16299">
          <cell r="A16299" t="str">
            <v>红破军13级</v>
          </cell>
          <cell r="B16299">
            <v>519313</v>
          </cell>
        </row>
        <row r="16300">
          <cell r="A16300" t="str">
            <v>红破军14级</v>
          </cell>
          <cell r="B16300">
            <v>519314</v>
          </cell>
        </row>
        <row r="16301">
          <cell r="A16301" t="str">
            <v>红破军15级</v>
          </cell>
          <cell r="B16301">
            <v>519315</v>
          </cell>
        </row>
        <row r="16302">
          <cell r="A16302" t="str">
            <v>红破军16级</v>
          </cell>
          <cell r="B16302">
            <v>519316</v>
          </cell>
        </row>
        <row r="16303">
          <cell r="A16303" t="str">
            <v>红破军17级</v>
          </cell>
          <cell r="B16303">
            <v>519317</v>
          </cell>
        </row>
        <row r="16304">
          <cell r="A16304" t="str">
            <v>红破军18级</v>
          </cell>
          <cell r="B16304">
            <v>519318</v>
          </cell>
        </row>
        <row r="16305">
          <cell r="A16305" t="str">
            <v>红破军19级</v>
          </cell>
          <cell r="B16305">
            <v>519319</v>
          </cell>
        </row>
        <row r="16306">
          <cell r="A16306" t="str">
            <v>红破军20级</v>
          </cell>
          <cell r="B16306">
            <v>519320</v>
          </cell>
        </row>
        <row r="16307">
          <cell r="A16307" t="str">
            <v>红破军21级</v>
          </cell>
          <cell r="B16307">
            <v>519321</v>
          </cell>
        </row>
        <row r="16308">
          <cell r="A16308" t="str">
            <v>红破军22级</v>
          </cell>
          <cell r="B16308">
            <v>519322</v>
          </cell>
        </row>
        <row r="16309">
          <cell r="A16309" t="str">
            <v>红破军23级</v>
          </cell>
          <cell r="B16309">
            <v>519323</v>
          </cell>
        </row>
        <row r="16310">
          <cell r="A16310" t="str">
            <v>红破军24级</v>
          </cell>
          <cell r="B16310">
            <v>519324</v>
          </cell>
        </row>
        <row r="16311">
          <cell r="A16311" t="str">
            <v>红破军25级</v>
          </cell>
          <cell r="B16311">
            <v>519325</v>
          </cell>
        </row>
        <row r="16312">
          <cell r="A16312" t="str">
            <v>红破军26级</v>
          </cell>
          <cell r="B16312">
            <v>519326</v>
          </cell>
        </row>
        <row r="16313">
          <cell r="A16313" t="str">
            <v>红破军27级</v>
          </cell>
          <cell r="B16313">
            <v>519327</v>
          </cell>
        </row>
        <row r="16314">
          <cell r="A16314" t="str">
            <v>红破军28级</v>
          </cell>
          <cell r="B16314">
            <v>519328</v>
          </cell>
        </row>
        <row r="16315">
          <cell r="A16315" t="str">
            <v>红破军29级</v>
          </cell>
          <cell r="B16315">
            <v>519329</v>
          </cell>
        </row>
        <row r="16316">
          <cell r="A16316" t="str">
            <v>红破军30级</v>
          </cell>
          <cell r="B16316">
            <v>519330</v>
          </cell>
        </row>
        <row r="16317">
          <cell r="A16317" t="str">
            <v>红破军31级</v>
          </cell>
          <cell r="B16317">
            <v>519331</v>
          </cell>
        </row>
        <row r="16318">
          <cell r="A16318" t="str">
            <v>红破军32级</v>
          </cell>
          <cell r="B16318">
            <v>519332</v>
          </cell>
        </row>
        <row r="16319">
          <cell r="A16319" t="str">
            <v>红破军33级</v>
          </cell>
          <cell r="B16319">
            <v>519333</v>
          </cell>
        </row>
        <row r="16320">
          <cell r="A16320" t="str">
            <v>红破军34级</v>
          </cell>
          <cell r="B16320">
            <v>519334</v>
          </cell>
        </row>
        <row r="16321">
          <cell r="A16321" t="str">
            <v>红破军35级</v>
          </cell>
          <cell r="B16321">
            <v>519335</v>
          </cell>
        </row>
        <row r="16322">
          <cell r="A16322" t="str">
            <v>红破军36级</v>
          </cell>
          <cell r="B16322">
            <v>519336</v>
          </cell>
        </row>
        <row r="16323">
          <cell r="A16323" t="str">
            <v>红破军37级</v>
          </cell>
          <cell r="B16323">
            <v>519337</v>
          </cell>
        </row>
        <row r="16324">
          <cell r="A16324" t="str">
            <v>红破军38级</v>
          </cell>
          <cell r="B16324">
            <v>519338</v>
          </cell>
        </row>
        <row r="16325">
          <cell r="A16325" t="str">
            <v>红破军39级</v>
          </cell>
          <cell r="B16325">
            <v>519339</v>
          </cell>
        </row>
        <row r="16326">
          <cell r="A16326" t="str">
            <v>红破军40级</v>
          </cell>
          <cell r="B16326">
            <v>519340</v>
          </cell>
        </row>
        <row r="16327">
          <cell r="A16327" t="str">
            <v>红破军41级</v>
          </cell>
          <cell r="B16327">
            <v>519341</v>
          </cell>
        </row>
        <row r="16328">
          <cell r="A16328" t="str">
            <v>红破军42级</v>
          </cell>
          <cell r="B16328">
            <v>519342</v>
          </cell>
        </row>
        <row r="16329">
          <cell r="A16329" t="str">
            <v>红破军43级</v>
          </cell>
          <cell r="B16329">
            <v>519343</v>
          </cell>
        </row>
        <row r="16330">
          <cell r="A16330" t="str">
            <v>红破军44级</v>
          </cell>
          <cell r="B16330">
            <v>519344</v>
          </cell>
        </row>
        <row r="16331">
          <cell r="A16331" t="str">
            <v>红破军45级</v>
          </cell>
          <cell r="B16331">
            <v>519345</v>
          </cell>
        </row>
        <row r="16332">
          <cell r="A16332" t="str">
            <v>红破军46级</v>
          </cell>
          <cell r="B16332">
            <v>519346</v>
          </cell>
        </row>
        <row r="16333">
          <cell r="A16333" t="str">
            <v>红破军47级</v>
          </cell>
          <cell r="B16333">
            <v>519347</v>
          </cell>
        </row>
        <row r="16334">
          <cell r="A16334" t="str">
            <v>红破军48级</v>
          </cell>
          <cell r="B16334">
            <v>519348</v>
          </cell>
        </row>
        <row r="16335">
          <cell r="A16335" t="str">
            <v>红破军49级</v>
          </cell>
          <cell r="B16335">
            <v>519349</v>
          </cell>
        </row>
        <row r="16336">
          <cell r="A16336" t="str">
            <v>红破军50级</v>
          </cell>
          <cell r="B16336">
            <v>519350</v>
          </cell>
        </row>
        <row r="16337">
          <cell r="A16337" t="str">
            <v>红破军51级</v>
          </cell>
          <cell r="B16337">
            <v>519351</v>
          </cell>
        </row>
        <row r="16338">
          <cell r="A16338" t="str">
            <v>红破军52级</v>
          </cell>
          <cell r="B16338">
            <v>519352</v>
          </cell>
        </row>
        <row r="16339">
          <cell r="A16339" t="str">
            <v>红破军53级</v>
          </cell>
          <cell r="B16339">
            <v>519353</v>
          </cell>
        </row>
        <row r="16340">
          <cell r="A16340" t="str">
            <v>红破军54级</v>
          </cell>
          <cell r="B16340">
            <v>519354</v>
          </cell>
        </row>
        <row r="16341">
          <cell r="A16341" t="str">
            <v>红破军55级</v>
          </cell>
          <cell r="B16341">
            <v>519355</v>
          </cell>
        </row>
        <row r="16342">
          <cell r="A16342" t="str">
            <v>红破军56级</v>
          </cell>
          <cell r="B16342">
            <v>519356</v>
          </cell>
        </row>
        <row r="16343">
          <cell r="A16343" t="str">
            <v>红破军57级</v>
          </cell>
          <cell r="B16343">
            <v>519357</v>
          </cell>
        </row>
        <row r="16344">
          <cell r="A16344" t="str">
            <v>红破军58级</v>
          </cell>
          <cell r="B16344">
            <v>519358</v>
          </cell>
        </row>
        <row r="16345">
          <cell r="A16345" t="str">
            <v>红破军59级</v>
          </cell>
          <cell r="B16345">
            <v>519359</v>
          </cell>
        </row>
        <row r="16346">
          <cell r="A16346" t="str">
            <v>红破军60级</v>
          </cell>
          <cell r="B16346">
            <v>519360</v>
          </cell>
        </row>
        <row r="16347">
          <cell r="A16347" t="str">
            <v>红破军61级</v>
          </cell>
          <cell r="B16347">
            <v>519361</v>
          </cell>
        </row>
        <row r="16348">
          <cell r="A16348" t="str">
            <v>红破军62级</v>
          </cell>
          <cell r="B16348">
            <v>519362</v>
          </cell>
        </row>
        <row r="16349">
          <cell r="A16349" t="str">
            <v>红破军63级</v>
          </cell>
          <cell r="B16349">
            <v>519363</v>
          </cell>
        </row>
        <row r="16350">
          <cell r="A16350" t="str">
            <v>红破军64级</v>
          </cell>
          <cell r="B16350">
            <v>519364</v>
          </cell>
        </row>
        <row r="16351">
          <cell r="A16351" t="str">
            <v>红破军65级</v>
          </cell>
          <cell r="B16351">
            <v>519365</v>
          </cell>
        </row>
        <row r="16352">
          <cell r="A16352" t="str">
            <v>红破军66级</v>
          </cell>
          <cell r="B16352">
            <v>519366</v>
          </cell>
        </row>
        <row r="16353">
          <cell r="A16353" t="str">
            <v>红破军67级</v>
          </cell>
          <cell r="B16353">
            <v>519367</v>
          </cell>
        </row>
        <row r="16354">
          <cell r="A16354" t="str">
            <v>红破军68级</v>
          </cell>
          <cell r="B16354">
            <v>519368</v>
          </cell>
        </row>
        <row r="16355">
          <cell r="A16355" t="str">
            <v>红破军69级</v>
          </cell>
          <cell r="B16355">
            <v>519369</v>
          </cell>
        </row>
        <row r="16356">
          <cell r="A16356" t="str">
            <v>红破军70级</v>
          </cell>
          <cell r="B16356">
            <v>519370</v>
          </cell>
        </row>
        <row r="16357">
          <cell r="A16357" t="str">
            <v>红破军71级</v>
          </cell>
          <cell r="B16357">
            <v>519371</v>
          </cell>
        </row>
        <row r="16358">
          <cell r="A16358" t="str">
            <v>红破军72级</v>
          </cell>
          <cell r="B16358">
            <v>519372</v>
          </cell>
        </row>
        <row r="16359">
          <cell r="A16359" t="str">
            <v>红破军73级</v>
          </cell>
          <cell r="B16359">
            <v>519373</v>
          </cell>
        </row>
        <row r="16360">
          <cell r="A16360" t="str">
            <v>红破军74级</v>
          </cell>
          <cell r="B16360">
            <v>519374</v>
          </cell>
        </row>
        <row r="16361">
          <cell r="A16361" t="str">
            <v>红破军75级</v>
          </cell>
          <cell r="B16361">
            <v>519375</v>
          </cell>
        </row>
        <row r="16362">
          <cell r="A16362" t="str">
            <v>红破军76级</v>
          </cell>
          <cell r="B16362">
            <v>519376</v>
          </cell>
        </row>
        <row r="16363">
          <cell r="A16363" t="str">
            <v>红破军77级</v>
          </cell>
          <cell r="B16363">
            <v>519377</v>
          </cell>
        </row>
        <row r="16364">
          <cell r="A16364" t="str">
            <v>红破军78级</v>
          </cell>
          <cell r="B16364">
            <v>519378</v>
          </cell>
        </row>
        <row r="16365">
          <cell r="A16365" t="str">
            <v>红破军79级</v>
          </cell>
          <cell r="B16365">
            <v>519379</v>
          </cell>
        </row>
        <row r="16366">
          <cell r="A16366" t="str">
            <v>红破军80级</v>
          </cell>
          <cell r="B16366">
            <v>519380</v>
          </cell>
        </row>
        <row r="16367">
          <cell r="A16367" t="str">
            <v>红铁蒺1级</v>
          </cell>
          <cell r="B16367">
            <v>520301</v>
          </cell>
        </row>
        <row r="16368">
          <cell r="A16368" t="str">
            <v>红铁蒺2级</v>
          </cell>
          <cell r="B16368">
            <v>520302</v>
          </cell>
        </row>
        <row r="16369">
          <cell r="A16369" t="str">
            <v>红铁蒺3级</v>
          </cell>
          <cell r="B16369">
            <v>520303</v>
          </cell>
        </row>
        <row r="16370">
          <cell r="A16370" t="str">
            <v>红铁蒺4级</v>
          </cell>
          <cell r="B16370">
            <v>520304</v>
          </cell>
        </row>
        <row r="16371">
          <cell r="A16371" t="str">
            <v>红铁蒺5级</v>
          </cell>
          <cell r="B16371">
            <v>520305</v>
          </cell>
        </row>
        <row r="16372">
          <cell r="A16372" t="str">
            <v>红铁蒺6级</v>
          </cell>
          <cell r="B16372">
            <v>520306</v>
          </cell>
        </row>
        <row r="16373">
          <cell r="A16373" t="str">
            <v>红铁蒺7级</v>
          </cell>
          <cell r="B16373">
            <v>520307</v>
          </cell>
        </row>
        <row r="16374">
          <cell r="A16374" t="str">
            <v>红铁蒺8级</v>
          </cell>
          <cell r="B16374">
            <v>520308</v>
          </cell>
        </row>
        <row r="16375">
          <cell r="A16375" t="str">
            <v>红铁蒺9级</v>
          </cell>
          <cell r="B16375">
            <v>520309</v>
          </cell>
        </row>
        <row r="16376">
          <cell r="A16376" t="str">
            <v>红铁蒺10级</v>
          </cell>
          <cell r="B16376">
            <v>520310</v>
          </cell>
        </row>
        <row r="16377">
          <cell r="A16377" t="str">
            <v>红铁蒺11级</v>
          </cell>
          <cell r="B16377">
            <v>520311</v>
          </cell>
        </row>
        <row r="16378">
          <cell r="A16378" t="str">
            <v>红铁蒺12级</v>
          </cell>
          <cell r="B16378">
            <v>520312</v>
          </cell>
        </row>
        <row r="16379">
          <cell r="A16379" t="str">
            <v>红铁蒺13级</v>
          </cell>
          <cell r="B16379">
            <v>520313</v>
          </cell>
        </row>
        <row r="16380">
          <cell r="A16380" t="str">
            <v>红铁蒺14级</v>
          </cell>
          <cell r="B16380">
            <v>520314</v>
          </cell>
        </row>
        <row r="16381">
          <cell r="A16381" t="str">
            <v>红铁蒺15级</v>
          </cell>
          <cell r="B16381">
            <v>520315</v>
          </cell>
        </row>
        <row r="16382">
          <cell r="A16382" t="str">
            <v>红铁蒺16级</v>
          </cell>
          <cell r="B16382">
            <v>520316</v>
          </cell>
        </row>
        <row r="16383">
          <cell r="A16383" t="str">
            <v>红铁蒺17级</v>
          </cell>
          <cell r="B16383">
            <v>520317</v>
          </cell>
        </row>
        <row r="16384">
          <cell r="A16384" t="str">
            <v>红铁蒺18级</v>
          </cell>
          <cell r="B16384">
            <v>520318</v>
          </cell>
        </row>
        <row r="16385">
          <cell r="A16385" t="str">
            <v>红铁蒺19级</v>
          </cell>
          <cell r="B16385">
            <v>520319</v>
          </cell>
        </row>
        <row r="16386">
          <cell r="A16386" t="str">
            <v>红铁蒺20级</v>
          </cell>
          <cell r="B16386">
            <v>520320</v>
          </cell>
        </row>
        <row r="16387">
          <cell r="A16387" t="str">
            <v>红铁蒺21级</v>
          </cell>
          <cell r="B16387">
            <v>520321</v>
          </cell>
        </row>
        <row r="16388">
          <cell r="A16388" t="str">
            <v>红铁蒺22级</v>
          </cell>
          <cell r="B16388">
            <v>520322</v>
          </cell>
        </row>
        <row r="16389">
          <cell r="A16389" t="str">
            <v>红铁蒺23级</v>
          </cell>
          <cell r="B16389">
            <v>520323</v>
          </cell>
        </row>
        <row r="16390">
          <cell r="A16390" t="str">
            <v>红铁蒺24级</v>
          </cell>
          <cell r="B16390">
            <v>520324</v>
          </cell>
        </row>
        <row r="16391">
          <cell r="A16391" t="str">
            <v>红铁蒺25级</v>
          </cell>
          <cell r="B16391">
            <v>520325</v>
          </cell>
        </row>
        <row r="16392">
          <cell r="A16392" t="str">
            <v>红铁蒺26级</v>
          </cell>
          <cell r="B16392">
            <v>520326</v>
          </cell>
        </row>
        <row r="16393">
          <cell r="A16393" t="str">
            <v>红铁蒺27级</v>
          </cell>
          <cell r="B16393">
            <v>520327</v>
          </cell>
        </row>
        <row r="16394">
          <cell r="A16394" t="str">
            <v>红铁蒺28级</v>
          </cell>
          <cell r="B16394">
            <v>520328</v>
          </cell>
        </row>
        <row r="16395">
          <cell r="A16395" t="str">
            <v>红铁蒺29级</v>
          </cell>
          <cell r="B16395">
            <v>520329</v>
          </cell>
        </row>
        <row r="16396">
          <cell r="A16396" t="str">
            <v>红铁蒺30级</v>
          </cell>
          <cell r="B16396">
            <v>520330</v>
          </cell>
        </row>
        <row r="16397">
          <cell r="A16397" t="str">
            <v>红铁蒺31级</v>
          </cell>
          <cell r="B16397">
            <v>520331</v>
          </cell>
        </row>
        <row r="16398">
          <cell r="A16398" t="str">
            <v>红铁蒺32级</v>
          </cell>
          <cell r="B16398">
            <v>520332</v>
          </cell>
        </row>
        <row r="16399">
          <cell r="A16399" t="str">
            <v>红铁蒺33级</v>
          </cell>
          <cell r="B16399">
            <v>520333</v>
          </cell>
        </row>
        <row r="16400">
          <cell r="A16400" t="str">
            <v>红铁蒺34级</v>
          </cell>
          <cell r="B16400">
            <v>520334</v>
          </cell>
        </row>
        <row r="16401">
          <cell r="A16401" t="str">
            <v>红铁蒺35级</v>
          </cell>
          <cell r="B16401">
            <v>520335</v>
          </cell>
        </row>
        <row r="16402">
          <cell r="A16402" t="str">
            <v>红铁蒺36级</v>
          </cell>
          <cell r="B16402">
            <v>520336</v>
          </cell>
        </row>
        <row r="16403">
          <cell r="A16403" t="str">
            <v>红铁蒺37级</v>
          </cell>
          <cell r="B16403">
            <v>520337</v>
          </cell>
        </row>
        <row r="16404">
          <cell r="A16404" t="str">
            <v>红铁蒺38级</v>
          </cell>
          <cell r="B16404">
            <v>520338</v>
          </cell>
        </row>
        <row r="16405">
          <cell r="A16405" t="str">
            <v>红铁蒺39级</v>
          </cell>
          <cell r="B16405">
            <v>520339</v>
          </cell>
        </row>
        <row r="16406">
          <cell r="A16406" t="str">
            <v>红铁蒺40级</v>
          </cell>
          <cell r="B16406">
            <v>520340</v>
          </cell>
        </row>
        <row r="16407">
          <cell r="A16407" t="str">
            <v>红铁蒺41级</v>
          </cell>
          <cell r="B16407">
            <v>520341</v>
          </cell>
        </row>
        <row r="16408">
          <cell r="A16408" t="str">
            <v>红铁蒺42级</v>
          </cell>
          <cell r="B16408">
            <v>520342</v>
          </cell>
        </row>
        <row r="16409">
          <cell r="A16409" t="str">
            <v>红铁蒺43级</v>
          </cell>
          <cell r="B16409">
            <v>520343</v>
          </cell>
        </row>
        <row r="16410">
          <cell r="A16410" t="str">
            <v>红铁蒺44级</v>
          </cell>
          <cell r="B16410">
            <v>520344</v>
          </cell>
        </row>
        <row r="16411">
          <cell r="A16411" t="str">
            <v>红铁蒺45级</v>
          </cell>
          <cell r="B16411">
            <v>520345</v>
          </cell>
        </row>
        <row r="16412">
          <cell r="A16412" t="str">
            <v>红铁蒺46级</v>
          </cell>
          <cell r="B16412">
            <v>520346</v>
          </cell>
        </row>
        <row r="16413">
          <cell r="A16413" t="str">
            <v>红铁蒺47级</v>
          </cell>
          <cell r="B16413">
            <v>520347</v>
          </cell>
        </row>
        <row r="16414">
          <cell r="A16414" t="str">
            <v>红铁蒺48级</v>
          </cell>
          <cell r="B16414">
            <v>520348</v>
          </cell>
        </row>
        <row r="16415">
          <cell r="A16415" t="str">
            <v>红铁蒺49级</v>
          </cell>
          <cell r="B16415">
            <v>520349</v>
          </cell>
        </row>
        <row r="16416">
          <cell r="A16416" t="str">
            <v>红铁蒺50级</v>
          </cell>
          <cell r="B16416">
            <v>520350</v>
          </cell>
        </row>
        <row r="16417">
          <cell r="A16417" t="str">
            <v>红铁蒺51级</v>
          </cell>
          <cell r="B16417">
            <v>520351</v>
          </cell>
        </row>
        <row r="16418">
          <cell r="A16418" t="str">
            <v>红铁蒺52级</v>
          </cell>
          <cell r="B16418">
            <v>520352</v>
          </cell>
        </row>
        <row r="16419">
          <cell r="A16419" t="str">
            <v>红铁蒺53级</v>
          </cell>
          <cell r="B16419">
            <v>520353</v>
          </cell>
        </row>
        <row r="16420">
          <cell r="A16420" t="str">
            <v>红铁蒺54级</v>
          </cell>
          <cell r="B16420">
            <v>520354</v>
          </cell>
        </row>
        <row r="16421">
          <cell r="A16421" t="str">
            <v>红铁蒺55级</v>
          </cell>
          <cell r="B16421">
            <v>520355</v>
          </cell>
        </row>
        <row r="16422">
          <cell r="A16422" t="str">
            <v>红铁蒺56级</v>
          </cell>
          <cell r="B16422">
            <v>520356</v>
          </cell>
        </row>
        <row r="16423">
          <cell r="A16423" t="str">
            <v>红铁蒺57级</v>
          </cell>
          <cell r="B16423">
            <v>520357</v>
          </cell>
        </row>
        <row r="16424">
          <cell r="A16424" t="str">
            <v>红铁蒺58级</v>
          </cell>
          <cell r="B16424">
            <v>520358</v>
          </cell>
        </row>
        <row r="16425">
          <cell r="A16425" t="str">
            <v>红铁蒺59级</v>
          </cell>
          <cell r="B16425">
            <v>520359</v>
          </cell>
        </row>
        <row r="16426">
          <cell r="A16426" t="str">
            <v>红铁蒺60级</v>
          </cell>
          <cell r="B16426">
            <v>520360</v>
          </cell>
        </row>
        <row r="16427">
          <cell r="A16427" t="str">
            <v>红铁蒺61级</v>
          </cell>
          <cell r="B16427">
            <v>520361</v>
          </cell>
        </row>
        <row r="16428">
          <cell r="A16428" t="str">
            <v>红铁蒺62级</v>
          </cell>
          <cell r="B16428">
            <v>520362</v>
          </cell>
        </row>
        <row r="16429">
          <cell r="A16429" t="str">
            <v>红铁蒺63级</v>
          </cell>
          <cell r="B16429">
            <v>520363</v>
          </cell>
        </row>
        <row r="16430">
          <cell r="A16430" t="str">
            <v>红铁蒺64级</v>
          </cell>
          <cell r="B16430">
            <v>520364</v>
          </cell>
        </row>
        <row r="16431">
          <cell r="A16431" t="str">
            <v>红铁蒺65级</v>
          </cell>
          <cell r="B16431">
            <v>520365</v>
          </cell>
        </row>
        <row r="16432">
          <cell r="A16432" t="str">
            <v>红铁蒺66级</v>
          </cell>
          <cell r="B16432">
            <v>520366</v>
          </cell>
        </row>
        <row r="16433">
          <cell r="A16433" t="str">
            <v>红铁蒺67级</v>
          </cell>
          <cell r="B16433">
            <v>520367</v>
          </cell>
        </row>
        <row r="16434">
          <cell r="A16434" t="str">
            <v>红铁蒺68级</v>
          </cell>
          <cell r="B16434">
            <v>520368</v>
          </cell>
        </row>
        <row r="16435">
          <cell r="A16435" t="str">
            <v>红铁蒺69级</v>
          </cell>
          <cell r="B16435">
            <v>520369</v>
          </cell>
        </row>
        <row r="16436">
          <cell r="A16436" t="str">
            <v>红铁蒺70级</v>
          </cell>
          <cell r="B16436">
            <v>520370</v>
          </cell>
        </row>
        <row r="16437">
          <cell r="A16437" t="str">
            <v>红铁蒺71级</v>
          </cell>
          <cell r="B16437">
            <v>520371</v>
          </cell>
        </row>
        <row r="16438">
          <cell r="A16438" t="str">
            <v>红铁蒺72级</v>
          </cell>
          <cell r="B16438">
            <v>520372</v>
          </cell>
        </row>
        <row r="16439">
          <cell r="A16439" t="str">
            <v>红铁蒺73级</v>
          </cell>
          <cell r="B16439">
            <v>520373</v>
          </cell>
        </row>
        <row r="16440">
          <cell r="A16440" t="str">
            <v>红铁蒺74级</v>
          </cell>
          <cell r="B16440">
            <v>520374</v>
          </cell>
        </row>
        <row r="16441">
          <cell r="A16441" t="str">
            <v>红铁蒺75级</v>
          </cell>
          <cell r="B16441">
            <v>520375</v>
          </cell>
        </row>
        <row r="16442">
          <cell r="A16442" t="str">
            <v>红铁蒺76级</v>
          </cell>
          <cell r="B16442">
            <v>520376</v>
          </cell>
        </row>
        <row r="16443">
          <cell r="A16443" t="str">
            <v>红铁蒺77级</v>
          </cell>
          <cell r="B16443">
            <v>520377</v>
          </cell>
        </row>
        <row r="16444">
          <cell r="A16444" t="str">
            <v>红铁蒺78级</v>
          </cell>
          <cell r="B16444">
            <v>520378</v>
          </cell>
        </row>
        <row r="16445">
          <cell r="A16445" t="str">
            <v>红铁蒺79级</v>
          </cell>
          <cell r="B16445">
            <v>520379</v>
          </cell>
        </row>
        <row r="16446">
          <cell r="A16446" t="str">
            <v>红铁蒺80级</v>
          </cell>
          <cell r="B16446">
            <v>520380</v>
          </cell>
        </row>
        <row r="16447">
          <cell r="A16447" t="str">
            <v>红往生1级</v>
          </cell>
          <cell r="B16447">
            <v>521301</v>
          </cell>
        </row>
        <row r="16448">
          <cell r="A16448" t="str">
            <v>红往生2级</v>
          </cell>
          <cell r="B16448">
            <v>521302</v>
          </cell>
        </row>
        <row r="16449">
          <cell r="A16449" t="str">
            <v>红往生3级</v>
          </cell>
          <cell r="B16449">
            <v>521303</v>
          </cell>
        </row>
        <row r="16450">
          <cell r="A16450" t="str">
            <v>红往生4级</v>
          </cell>
          <cell r="B16450">
            <v>521304</v>
          </cell>
        </row>
        <row r="16451">
          <cell r="A16451" t="str">
            <v>红往生5级</v>
          </cell>
          <cell r="B16451">
            <v>521305</v>
          </cell>
        </row>
        <row r="16452">
          <cell r="A16452" t="str">
            <v>红往生6级</v>
          </cell>
          <cell r="B16452">
            <v>521306</v>
          </cell>
        </row>
        <row r="16453">
          <cell r="A16453" t="str">
            <v>红往生7级</v>
          </cell>
          <cell r="B16453">
            <v>521307</v>
          </cell>
        </row>
        <row r="16454">
          <cell r="A16454" t="str">
            <v>红往生8级</v>
          </cell>
          <cell r="B16454">
            <v>521308</v>
          </cell>
        </row>
        <row r="16455">
          <cell r="A16455" t="str">
            <v>红往生9级</v>
          </cell>
          <cell r="B16455">
            <v>521309</v>
          </cell>
        </row>
        <row r="16456">
          <cell r="A16456" t="str">
            <v>红往生10级</v>
          </cell>
          <cell r="B16456">
            <v>521310</v>
          </cell>
        </row>
        <row r="16457">
          <cell r="A16457" t="str">
            <v>红往生11级</v>
          </cell>
          <cell r="B16457">
            <v>521311</v>
          </cell>
        </row>
        <row r="16458">
          <cell r="A16458" t="str">
            <v>红往生12级</v>
          </cell>
          <cell r="B16458">
            <v>521312</v>
          </cell>
        </row>
        <row r="16459">
          <cell r="A16459" t="str">
            <v>红往生13级</v>
          </cell>
          <cell r="B16459">
            <v>521313</v>
          </cell>
        </row>
        <row r="16460">
          <cell r="A16460" t="str">
            <v>红往生14级</v>
          </cell>
          <cell r="B16460">
            <v>521314</v>
          </cell>
        </row>
        <row r="16461">
          <cell r="A16461" t="str">
            <v>红往生15级</v>
          </cell>
          <cell r="B16461">
            <v>521315</v>
          </cell>
        </row>
        <row r="16462">
          <cell r="A16462" t="str">
            <v>红往生16级</v>
          </cell>
          <cell r="B16462">
            <v>521316</v>
          </cell>
        </row>
        <row r="16463">
          <cell r="A16463" t="str">
            <v>红往生17级</v>
          </cell>
          <cell r="B16463">
            <v>521317</v>
          </cell>
        </row>
        <row r="16464">
          <cell r="A16464" t="str">
            <v>红往生18级</v>
          </cell>
          <cell r="B16464">
            <v>521318</v>
          </cell>
        </row>
        <row r="16465">
          <cell r="A16465" t="str">
            <v>红往生19级</v>
          </cell>
          <cell r="B16465">
            <v>521319</v>
          </cell>
        </row>
        <row r="16466">
          <cell r="A16466" t="str">
            <v>红往生20级</v>
          </cell>
          <cell r="B16466">
            <v>521320</v>
          </cell>
        </row>
        <row r="16467">
          <cell r="A16467" t="str">
            <v>红往生21级</v>
          </cell>
          <cell r="B16467">
            <v>521321</v>
          </cell>
        </row>
        <row r="16468">
          <cell r="A16468" t="str">
            <v>红往生22级</v>
          </cell>
          <cell r="B16468">
            <v>521322</v>
          </cell>
        </row>
        <row r="16469">
          <cell r="A16469" t="str">
            <v>红往生23级</v>
          </cell>
          <cell r="B16469">
            <v>521323</v>
          </cell>
        </row>
        <row r="16470">
          <cell r="A16470" t="str">
            <v>红往生24级</v>
          </cell>
          <cell r="B16470">
            <v>521324</v>
          </cell>
        </row>
        <row r="16471">
          <cell r="A16471" t="str">
            <v>红往生25级</v>
          </cell>
          <cell r="B16471">
            <v>521325</v>
          </cell>
        </row>
        <row r="16472">
          <cell r="A16472" t="str">
            <v>红往生26级</v>
          </cell>
          <cell r="B16472">
            <v>521326</v>
          </cell>
        </row>
        <row r="16473">
          <cell r="A16473" t="str">
            <v>红往生27级</v>
          </cell>
          <cell r="B16473">
            <v>521327</v>
          </cell>
        </row>
        <row r="16474">
          <cell r="A16474" t="str">
            <v>红往生28级</v>
          </cell>
          <cell r="B16474">
            <v>521328</v>
          </cell>
        </row>
        <row r="16475">
          <cell r="A16475" t="str">
            <v>红往生29级</v>
          </cell>
          <cell r="B16475">
            <v>521329</v>
          </cell>
        </row>
        <row r="16476">
          <cell r="A16476" t="str">
            <v>红往生30级</v>
          </cell>
          <cell r="B16476">
            <v>521330</v>
          </cell>
        </row>
        <row r="16477">
          <cell r="A16477" t="str">
            <v>红往生31级</v>
          </cell>
          <cell r="B16477">
            <v>521331</v>
          </cell>
        </row>
        <row r="16478">
          <cell r="A16478" t="str">
            <v>红往生32级</v>
          </cell>
          <cell r="B16478">
            <v>521332</v>
          </cell>
        </row>
        <row r="16479">
          <cell r="A16479" t="str">
            <v>红往生33级</v>
          </cell>
          <cell r="B16479">
            <v>521333</v>
          </cell>
        </row>
        <row r="16480">
          <cell r="A16480" t="str">
            <v>红往生34级</v>
          </cell>
          <cell r="B16480">
            <v>521334</v>
          </cell>
        </row>
        <row r="16481">
          <cell r="A16481" t="str">
            <v>红往生35级</v>
          </cell>
          <cell r="B16481">
            <v>521335</v>
          </cell>
        </row>
        <row r="16482">
          <cell r="A16482" t="str">
            <v>红往生36级</v>
          </cell>
          <cell r="B16482">
            <v>521336</v>
          </cell>
        </row>
        <row r="16483">
          <cell r="A16483" t="str">
            <v>红往生37级</v>
          </cell>
          <cell r="B16483">
            <v>521337</v>
          </cell>
        </row>
        <row r="16484">
          <cell r="A16484" t="str">
            <v>红往生38级</v>
          </cell>
          <cell r="B16484">
            <v>521338</v>
          </cell>
        </row>
        <row r="16485">
          <cell r="A16485" t="str">
            <v>红往生39级</v>
          </cell>
          <cell r="B16485">
            <v>521339</v>
          </cell>
        </row>
        <row r="16486">
          <cell r="A16486" t="str">
            <v>红往生40级</v>
          </cell>
          <cell r="B16486">
            <v>521340</v>
          </cell>
        </row>
        <row r="16487">
          <cell r="A16487" t="str">
            <v>红往生41级</v>
          </cell>
          <cell r="B16487">
            <v>521341</v>
          </cell>
        </row>
        <row r="16488">
          <cell r="A16488" t="str">
            <v>红往生42级</v>
          </cell>
          <cell r="B16488">
            <v>521342</v>
          </cell>
        </row>
        <row r="16489">
          <cell r="A16489" t="str">
            <v>红往生43级</v>
          </cell>
          <cell r="B16489">
            <v>521343</v>
          </cell>
        </row>
        <row r="16490">
          <cell r="A16490" t="str">
            <v>红往生44级</v>
          </cell>
          <cell r="B16490">
            <v>521344</v>
          </cell>
        </row>
        <row r="16491">
          <cell r="A16491" t="str">
            <v>红往生45级</v>
          </cell>
          <cell r="B16491">
            <v>521345</v>
          </cell>
        </row>
        <row r="16492">
          <cell r="A16492" t="str">
            <v>红往生46级</v>
          </cell>
          <cell r="B16492">
            <v>521346</v>
          </cell>
        </row>
        <row r="16493">
          <cell r="A16493" t="str">
            <v>红往生47级</v>
          </cell>
          <cell r="B16493">
            <v>521347</v>
          </cell>
        </row>
        <row r="16494">
          <cell r="A16494" t="str">
            <v>红往生48级</v>
          </cell>
          <cell r="B16494">
            <v>521348</v>
          </cell>
        </row>
        <row r="16495">
          <cell r="A16495" t="str">
            <v>红往生49级</v>
          </cell>
          <cell r="B16495">
            <v>521349</v>
          </cell>
        </row>
        <row r="16496">
          <cell r="A16496" t="str">
            <v>红往生50级</v>
          </cell>
          <cell r="B16496">
            <v>521350</v>
          </cell>
        </row>
        <row r="16497">
          <cell r="A16497" t="str">
            <v>红往生51级</v>
          </cell>
          <cell r="B16497">
            <v>521351</v>
          </cell>
        </row>
        <row r="16498">
          <cell r="A16498" t="str">
            <v>红往生52级</v>
          </cell>
          <cell r="B16498">
            <v>521352</v>
          </cell>
        </row>
        <row r="16499">
          <cell r="A16499" t="str">
            <v>红往生53级</v>
          </cell>
          <cell r="B16499">
            <v>521353</v>
          </cell>
        </row>
        <row r="16500">
          <cell r="A16500" t="str">
            <v>红往生54级</v>
          </cell>
          <cell r="B16500">
            <v>521354</v>
          </cell>
        </row>
        <row r="16501">
          <cell r="A16501" t="str">
            <v>红往生55级</v>
          </cell>
          <cell r="B16501">
            <v>521355</v>
          </cell>
        </row>
        <row r="16502">
          <cell r="A16502" t="str">
            <v>红往生56级</v>
          </cell>
          <cell r="B16502">
            <v>521356</v>
          </cell>
        </row>
        <row r="16503">
          <cell r="A16503" t="str">
            <v>红往生57级</v>
          </cell>
          <cell r="B16503">
            <v>521357</v>
          </cell>
        </row>
        <row r="16504">
          <cell r="A16504" t="str">
            <v>红往生58级</v>
          </cell>
          <cell r="B16504">
            <v>521358</v>
          </cell>
        </row>
        <row r="16505">
          <cell r="A16505" t="str">
            <v>红往生59级</v>
          </cell>
          <cell r="B16505">
            <v>521359</v>
          </cell>
        </row>
        <row r="16506">
          <cell r="A16506" t="str">
            <v>红往生60级</v>
          </cell>
          <cell r="B16506">
            <v>521360</v>
          </cell>
        </row>
        <row r="16507">
          <cell r="A16507" t="str">
            <v>红往生61级</v>
          </cell>
          <cell r="B16507">
            <v>521361</v>
          </cell>
        </row>
        <row r="16508">
          <cell r="A16508" t="str">
            <v>红往生62级</v>
          </cell>
          <cell r="B16508">
            <v>521362</v>
          </cell>
        </row>
        <row r="16509">
          <cell r="A16509" t="str">
            <v>红往生63级</v>
          </cell>
          <cell r="B16509">
            <v>521363</v>
          </cell>
        </row>
        <row r="16510">
          <cell r="A16510" t="str">
            <v>红往生64级</v>
          </cell>
          <cell r="B16510">
            <v>521364</v>
          </cell>
        </row>
        <row r="16511">
          <cell r="A16511" t="str">
            <v>红往生65级</v>
          </cell>
          <cell r="B16511">
            <v>521365</v>
          </cell>
        </row>
        <row r="16512">
          <cell r="A16512" t="str">
            <v>红往生66级</v>
          </cell>
          <cell r="B16512">
            <v>521366</v>
          </cell>
        </row>
        <row r="16513">
          <cell r="A16513" t="str">
            <v>红往生67级</v>
          </cell>
          <cell r="B16513">
            <v>521367</v>
          </cell>
        </row>
        <row r="16514">
          <cell r="A16514" t="str">
            <v>红往生68级</v>
          </cell>
          <cell r="B16514">
            <v>521368</v>
          </cell>
        </row>
        <row r="16515">
          <cell r="A16515" t="str">
            <v>红往生69级</v>
          </cell>
          <cell r="B16515">
            <v>521369</v>
          </cell>
        </row>
        <row r="16516">
          <cell r="A16516" t="str">
            <v>红往生70级</v>
          </cell>
          <cell r="B16516">
            <v>521370</v>
          </cell>
        </row>
        <row r="16517">
          <cell r="A16517" t="str">
            <v>红往生71级</v>
          </cell>
          <cell r="B16517">
            <v>521371</v>
          </cell>
        </row>
        <row r="16518">
          <cell r="A16518" t="str">
            <v>红往生72级</v>
          </cell>
          <cell r="B16518">
            <v>521372</v>
          </cell>
        </row>
        <row r="16519">
          <cell r="A16519" t="str">
            <v>红往生73级</v>
          </cell>
          <cell r="B16519">
            <v>521373</v>
          </cell>
        </row>
        <row r="16520">
          <cell r="A16520" t="str">
            <v>红往生74级</v>
          </cell>
          <cell r="B16520">
            <v>521374</v>
          </cell>
        </row>
        <row r="16521">
          <cell r="A16521" t="str">
            <v>红往生75级</v>
          </cell>
          <cell r="B16521">
            <v>521375</v>
          </cell>
        </row>
        <row r="16522">
          <cell r="A16522" t="str">
            <v>红往生76级</v>
          </cell>
          <cell r="B16522">
            <v>521376</v>
          </cell>
        </row>
        <row r="16523">
          <cell r="A16523" t="str">
            <v>红往生77级</v>
          </cell>
          <cell r="B16523">
            <v>521377</v>
          </cell>
        </row>
        <row r="16524">
          <cell r="A16524" t="str">
            <v>红往生78级</v>
          </cell>
          <cell r="B16524">
            <v>521378</v>
          </cell>
        </row>
        <row r="16525">
          <cell r="A16525" t="str">
            <v>红往生79级</v>
          </cell>
          <cell r="B16525">
            <v>521379</v>
          </cell>
        </row>
        <row r="16526">
          <cell r="A16526" t="str">
            <v>红往生80级</v>
          </cell>
          <cell r="B16526">
            <v>521380</v>
          </cell>
        </row>
        <row r="16527">
          <cell r="A16527" t="str">
            <v>红止殇1级</v>
          </cell>
          <cell r="B16527">
            <v>522301</v>
          </cell>
        </row>
        <row r="16528">
          <cell r="A16528" t="str">
            <v>红止殇2级</v>
          </cell>
          <cell r="B16528">
            <v>522302</v>
          </cell>
        </row>
        <row r="16529">
          <cell r="A16529" t="str">
            <v>红止殇3级</v>
          </cell>
          <cell r="B16529">
            <v>522303</v>
          </cell>
        </row>
        <row r="16530">
          <cell r="A16530" t="str">
            <v>红止殇4级</v>
          </cell>
          <cell r="B16530">
            <v>522304</v>
          </cell>
        </row>
        <row r="16531">
          <cell r="A16531" t="str">
            <v>红止殇5级</v>
          </cell>
          <cell r="B16531">
            <v>522305</v>
          </cell>
        </row>
        <row r="16532">
          <cell r="A16532" t="str">
            <v>红止殇6级</v>
          </cell>
          <cell r="B16532">
            <v>522306</v>
          </cell>
        </row>
        <row r="16533">
          <cell r="A16533" t="str">
            <v>红止殇7级</v>
          </cell>
          <cell r="B16533">
            <v>522307</v>
          </cell>
        </row>
        <row r="16534">
          <cell r="A16534" t="str">
            <v>红止殇8级</v>
          </cell>
          <cell r="B16534">
            <v>522308</v>
          </cell>
        </row>
        <row r="16535">
          <cell r="A16535" t="str">
            <v>红止殇9级</v>
          </cell>
          <cell r="B16535">
            <v>522309</v>
          </cell>
        </row>
        <row r="16536">
          <cell r="A16536" t="str">
            <v>红止殇10级</v>
          </cell>
          <cell r="B16536">
            <v>522310</v>
          </cell>
        </row>
        <row r="16537">
          <cell r="A16537" t="str">
            <v>红止殇11级</v>
          </cell>
          <cell r="B16537">
            <v>522311</v>
          </cell>
        </row>
        <row r="16538">
          <cell r="A16538" t="str">
            <v>红止殇12级</v>
          </cell>
          <cell r="B16538">
            <v>522312</v>
          </cell>
        </row>
        <row r="16539">
          <cell r="A16539" t="str">
            <v>红止殇13级</v>
          </cell>
          <cell r="B16539">
            <v>522313</v>
          </cell>
        </row>
        <row r="16540">
          <cell r="A16540" t="str">
            <v>红止殇14级</v>
          </cell>
          <cell r="B16540">
            <v>522314</v>
          </cell>
        </row>
        <row r="16541">
          <cell r="A16541" t="str">
            <v>红止殇15级</v>
          </cell>
          <cell r="B16541">
            <v>522315</v>
          </cell>
        </row>
        <row r="16542">
          <cell r="A16542" t="str">
            <v>红止殇16级</v>
          </cell>
          <cell r="B16542">
            <v>522316</v>
          </cell>
        </row>
        <row r="16543">
          <cell r="A16543" t="str">
            <v>红止殇17级</v>
          </cell>
          <cell r="B16543">
            <v>522317</v>
          </cell>
        </row>
        <row r="16544">
          <cell r="A16544" t="str">
            <v>红止殇18级</v>
          </cell>
          <cell r="B16544">
            <v>522318</v>
          </cell>
        </row>
        <row r="16545">
          <cell r="A16545" t="str">
            <v>红止殇19级</v>
          </cell>
          <cell r="B16545">
            <v>522319</v>
          </cell>
        </row>
        <row r="16546">
          <cell r="A16546" t="str">
            <v>红止殇20级</v>
          </cell>
          <cell r="B16546">
            <v>522320</v>
          </cell>
        </row>
        <row r="16547">
          <cell r="A16547" t="str">
            <v>红止殇21级</v>
          </cell>
          <cell r="B16547">
            <v>522321</v>
          </cell>
        </row>
        <row r="16548">
          <cell r="A16548" t="str">
            <v>红止殇22级</v>
          </cell>
          <cell r="B16548">
            <v>522322</v>
          </cell>
        </row>
        <row r="16549">
          <cell r="A16549" t="str">
            <v>红止殇23级</v>
          </cell>
          <cell r="B16549">
            <v>522323</v>
          </cell>
        </row>
        <row r="16550">
          <cell r="A16550" t="str">
            <v>红止殇24级</v>
          </cell>
          <cell r="B16550">
            <v>522324</v>
          </cell>
        </row>
        <row r="16551">
          <cell r="A16551" t="str">
            <v>红止殇25级</v>
          </cell>
          <cell r="B16551">
            <v>522325</v>
          </cell>
        </row>
        <row r="16552">
          <cell r="A16552" t="str">
            <v>红止殇26级</v>
          </cell>
          <cell r="B16552">
            <v>522326</v>
          </cell>
        </row>
        <row r="16553">
          <cell r="A16553" t="str">
            <v>红止殇27级</v>
          </cell>
          <cell r="B16553">
            <v>522327</v>
          </cell>
        </row>
        <row r="16554">
          <cell r="A16554" t="str">
            <v>红止殇28级</v>
          </cell>
          <cell r="B16554">
            <v>522328</v>
          </cell>
        </row>
        <row r="16555">
          <cell r="A16555" t="str">
            <v>红止殇29级</v>
          </cell>
          <cell r="B16555">
            <v>522329</v>
          </cell>
        </row>
        <row r="16556">
          <cell r="A16556" t="str">
            <v>红止殇30级</v>
          </cell>
          <cell r="B16556">
            <v>522330</v>
          </cell>
        </row>
        <row r="16557">
          <cell r="A16557" t="str">
            <v>红止殇31级</v>
          </cell>
          <cell r="B16557">
            <v>522331</v>
          </cell>
        </row>
        <row r="16558">
          <cell r="A16558" t="str">
            <v>红止殇32级</v>
          </cell>
          <cell r="B16558">
            <v>522332</v>
          </cell>
        </row>
        <row r="16559">
          <cell r="A16559" t="str">
            <v>红止殇33级</v>
          </cell>
          <cell r="B16559">
            <v>522333</v>
          </cell>
        </row>
        <row r="16560">
          <cell r="A16560" t="str">
            <v>红止殇34级</v>
          </cell>
          <cell r="B16560">
            <v>522334</v>
          </cell>
        </row>
        <row r="16561">
          <cell r="A16561" t="str">
            <v>红止殇35级</v>
          </cell>
          <cell r="B16561">
            <v>522335</v>
          </cell>
        </row>
        <row r="16562">
          <cell r="A16562" t="str">
            <v>红止殇36级</v>
          </cell>
          <cell r="B16562">
            <v>522336</v>
          </cell>
        </row>
        <row r="16563">
          <cell r="A16563" t="str">
            <v>红止殇37级</v>
          </cell>
          <cell r="B16563">
            <v>522337</v>
          </cell>
        </row>
        <row r="16564">
          <cell r="A16564" t="str">
            <v>红止殇38级</v>
          </cell>
          <cell r="B16564">
            <v>522338</v>
          </cell>
        </row>
        <row r="16565">
          <cell r="A16565" t="str">
            <v>红止殇39级</v>
          </cell>
          <cell r="B16565">
            <v>522339</v>
          </cell>
        </row>
        <row r="16566">
          <cell r="A16566" t="str">
            <v>红止殇40级</v>
          </cell>
          <cell r="B16566">
            <v>522340</v>
          </cell>
        </row>
        <row r="16567">
          <cell r="A16567" t="str">
            <v>红止殇41级</v>
          </cell>
          <cell r="B16567">
            <v>522341</v>
          </cell>
        </row>
        <row r="16568">
          <cell r="A16568" t="str">
            <v>红止殇42级</v>
          </cell>
          <cell r="B16568">
            <v>522342</v>
          </cell>
        </row>
        <row r="16569">
          <cell r="A16569" t="str">
            <v>红止殇43级</v>
          </cell>
          <cell r="B16569">
            <v>522343</v>
          </cell>
        </row>
        <row r="16570">
          <cell r="A16570" t="str">
            <v>红止殇44级</v>
          </cell>
          <cell r="B16570">
            <v>522344</v>
          </cell>
        </row>
        <row r="16571">
          <cell r="A16571" t="str">
            <v>红止殇45级</v>
          </cell>
          <cell r="B16571">
            <v>522345</v>
          </cell>
        </row>
        <row r="16572">
          <cell r="A16572" t="str">
            <v>红止殇46级</v>
          </cell>
          <cell r="B16572">
            <v>522346</v>
          </cell>
        </row>
        <row r="16573">
          <cell r="A16573" t="str">
            <v>红止殇47级</v>
          </cell>
          <cell r="B16573">
            <v>522347</v>
          </cell>
        </row>
        <row r="16574">
          <cell r="A16574" t="str">
            <v>红止殇48级</v>
          </cell>
          <cell r="B16574">
            <v>522348</v>
          </cell>
        </row>
        <row r="16575">
          <cell r="A16575" t="str">
            <v>红止殇49级</v>
          </cell>
          <cell r="B16575">
            <v>522349</v>
          </cell>
        </row>
        <row r="16576">
          <cell r="A16576" t="str">
            <v>红止殇50级</v>
          </cell>
          <cell r="B16576">
            <v>522350</v>
          </cell>
        </row>
        <row r="16577">
          <cell r="A16577" t="str">
            <v>红止殇51级</v>
          </cell>
          <cell r="B16577">
            <v>522351</v>
          </cell>
        </row>
        <row r="16578">
          <cell r="A16578" t="str">
            <v>红止殇52级</v>
          </cell>
          <cell r="B16578">
            <v>522352</v>
          </cell>
        </row>
        <row r="16579">
          <cell r="A16579" t="str">
            <v>红止殇53级</v>
          </cell>
          <cell r="B16579">
            <v>522353</v>
          </cell>
        </row>
        <row r="16580">
          <cell r="A16580" t="str">
            <v>红止殇54级</v>
          </cell>
          <cell r="B16580">
            <v>522354</v>
          </cell>
        </row>
        <row r="16581">
          <cell r="A16581" t="str">
            <v>红止殇55级</v>
          </cell>
          <cell r="B16581">
            <v>522355</v>
          </cell>
        </row>
        <row r="16582">
          <cell r="A16582" t="str">
            <v>红止殇56级</v>
          </cell>
          <cell r="B16582">
            <v>522356</v>
          </cell>
        </row>
        <row r="16583">
          <cell r="A16583" t="str">
            <v>红止殇57级</v>
          </cell>
          <cell r="B16583">
            <v>522357</v>
          </cell>
        </row>
        <row r="16584">
          <cell r="A16584" t="str">
            <v>红止殇58级</v>
          </cell>
          <cell r="B16584">
            <v>522358</v>
          </cell>
        </row>
        <row r="16585">
          <cell r="A16585" t="str">
            <v>红止殇59级</v>
          </cell>
          <cell r="B16585">
            <v>522359</v>
          </cell>
        </row>
        <row r="16586">
          <cell r="A16586" t="str">
            <v>红止殇60级</v>
          </cell>
          <cell r="B16586">
            <v>522360</v>
          </cell>
        </row>
        <row r="16587">
          <cell r="A16587" t="str">
            <v>红止殇61级</v>
          </cell>
          <cell r="B16587">
            <v>522361</v>
          </cell>
        </row>
        <row r="16588">
          <cell r="A16588" t="str">
            <v>红止殇62级</v>
          </cell>
          <cell r="B16588">
            <v>522362</v>
          </cell>
        </row>
        <row r="16589">
          <cell r="A16589" t="str">
            <v>红止殇63级</v>
          </cell>
          <cell r="B16589">
            <v>522363</v>
          </cell>
        </row>
        <row r="16590">
          <cell r="A16590" t="str">
            <v>红止殇64级</v>
          </cell>
          <cell r="B16590">
            <v>522364</v>
          </cell>
        </row>
        <row r="16591">
          <cell r="A16591" t="str">
            <v>红止殇65级</v>
          </cell>
          <cell r="B16591">
            <v>522365</v>
          </cell>
        </row>
        <row r="16592">
          <cell r="A16592" t="str">
            <v>红止殇66级</v>
          </cell>
          <cell r="B16592">
            <v>522366</v>
          </cell>
        </row>
        <row r="16593">
          <cell r="A16593" t="str">
            <v>红止殇67级</v>
          </cell>
          <cell r="B16593">
            <v>522367</v>
          </cell>
        </row>
        <row r="16594">
          <cell r="A16594" t="str">
            <v>红止殇68级</v>
          </cell>
          <cell r="B16594">
            <v>522368</v>
          </cell>
        </row>
        <row r="16595">
          <cell r="A16595" t="str">
            <v>红止殇69级</v>
          </cell>
          <cell r="B16595">
            <v>522369</v>
          </cell>
        </row>
        <row r="16596">
          <cell r="A16596" t="str">
            <v>红止殇70级</v>
          </cell>
          <cell r="B16596">
            <v>522370</v>
          </cell>
        </row>
        <row r="16597">
          <cell r="A16597" t="str">
            <v>红止殇71级</v>
          </cell>
          <cell r="B16597">
            <v>522371</v>
          </cell>
        </row>
        <row r="16598">
          <cell r="A16598" t="str">
            <v>红止殇72级</v>
          </cell>
          <cell r="B16598">
            <v>522372</v>
          </cell>
        </row>
        <row r="16599">
          <cell r="A16599" t="str">
            <v>红止殇73级</v>
          </cell>
          <cell r="B16599">
            <v>522373</v>
          </cell>
        </row>
        <row r="16600">
          <cell r="A16600" t="str">
            <v>红止殇74级</v>
          </cell>
          <cell r="B16600">
            <v>522374</v>
          </cell>
        </row>
        <row r="16601">
          <cell r="A16601" t="str">
            <v>红止殇75级</v>
          </cell>
          <cell r="B16601">
            <v>522375</v>
          </cell>
        </row>
        <row r="16602">
          <cell r="A16602" t="str">
            <v>红止殇76级</v>
          </cell>
          <cell r="B16602">
            <v>522376</v>
          </cell>
        </row>
        <row r="16603">
          <cell r="A16603" t="str">
            <v>红止殇77级</v>
          </cell>
          <cell r="B16603">
            <v>522377</v>
          </cell>
        </row>
        <row r="16604">
          <cell r="A16604" t="str">
            <v>红止殇78级</v>
          </cell>
          <cell r="B16604">
            <v>522378</v>
          </cell>
        </row>
        <row r="16605">
          <cell r="A16605" t="str">
            <v>红止殇79级</v>
          </cell>
          <cell r="B16605">
            <v>522379</v>
          </cell>
        </row>
        <row r="16606">
          <cell r="A16606" t="str">
            <v>红止殇80级</v>
          </cell>
          <cell r="B16606">
            <v>522380</v>
          </cell>
        </row>
        <row r="16607">
          <cell r="A16607" t="str">
            <v>红金甲1级</v>
          </cell>
          <cell r="B16607">
            <v>523301</v>
          </cell>
        </row>
        <row r="16608">
          <cell r="A16608" t="str">
            <v>红金甲2级</v>
          </cell>
          <cell r="B16608">
            <v>523302</v>
          </cell>
        </row>
        <row r="16609">
          <cell r="A16609" t="str">
            <v>红金甲3级</v>
          </cell>
          <cell r="B16609">
            <v>523303</v>
          </cell>
        </row>
        <row r="16610">
          <cell r="A16610" t="str">
            <v>红金甲4级</v>
          </cell>
          <cell r="B16610">
            <v>523304</v>
          </cell>
        </row>
        <row r="16611">
          <cell r="A16611" t="str">
            <v>红金甲5级</v>
          </cell>
          <cell r="B16611">
            <v>523305</v>
          </cell>
        </row>
        <row r="16612">
          <cell r="A16612" t="str">
            <v>红金甲6级</v>
          </cell>
          <cell r="B16612">
            <v>523306</v>
          </cell>
        </row>
        <row r="16613">
          <cell r="A16613" t="str">
            <v>红金甲7级</v>
          </cell>
          <cell r="B16613">
            <v>523307</v>
          </cell>
        </row>
        <row r="16614">
          <cell r="A16614" t="str">
            <v>红金甲8级</v>
          </cell>
          <cell r="B16614">
            <v>523308</v>
          </cell>
        </row>
        <row r="16615">
          <cell r="A16615" t="str">
            <v>红金甲9级</v>
          </cell>
          <cell r="B16615">
            <v>523309</v>
          </cell>
        </row>
        <row r="16616">
          <cell r="A16616" t="str">
            <v>红金甲10级</v>
          </cell>
          <cell r="B16616">
            <v>523310</v>
          </cell>
        </row>
        <row r="16617">
          <cell r="A16617" t="str">
            <v>红金甲11级</v>
          </cell>
          <cell r="B16617">
            <v>523311</v>
          </cell>
        </row>
        <row r="16618">
          <cell r="A16618" t="str">
            <v>红金甲12级</v>
          </cell>
          <cell r="B16618">
            <v>523312</v>
          </cell>
        </row>
        <row r="16619">
          <cell r="A16619" t="str">
            <v>红金甲13级</v>
          </cell>
          <cell r="B16619">
            <v>523313</v>
          </cell>
        </row>
        <row r="16620">
          <cell r="A16620" t="str">
            <v>红金甲14级</v>
          </cell>
          <cell r="B16620">
            <v>523314</v>
          </cell>
        </row>
        <row r="16621">
          <cell r="A16621" t="str">
            <v>红金甲15级</v>
          </cell>
          <cell r="B16621">
            <v>523315</v>
          </cell>
        </row>
        <row r="16622">
          <cell r="A16622" t="str">
            <v>红金甲16级</v>
          </cell>
          <cell r="B16622">
            <v>523316</v>
          </cell>
        </row>
        <row r="16623">
          <cell r="A16623" t="str">
            <v>红金甲17级</v>
          </cell>
          <cell r="B16623">
            <v>523317</v>
          </cell>
        </row>
        <row r="16624">
          <cell r="A16624" t="str">
            <v>红金甲18级</v>
          </cell>
          <cell r="B16624">
            <v>523318</v>
          </cell>
        </row>
        <row r="16625">
          <cell r="A16625" t="str">
            <v>红金甲19级</v>
          </cell>
          <cell r="B16625">
            <v>523319</v>
          </cell>
        </row>
        <row r="16626">
          <cell r="A16626" t="str">
            <v>红金甲20级</v>
          </cell>
          <cell r="B16626">
            <v>523320</v>
          </cell>
        </row>
        <row r="16627">
          <cell r="A16627" t="str">
            <v>红金甲21级</v>
          </cell>
          <cell r="B16627">
            <v>523321</v>
          </cell>
        </row>
        <row r="16628">
          <cell r="A16628" t="str">
            <v>红金甲22级</v>
          </cell>
          <cell r="B16628">
            <v>523322</v>
          </cell>
        </row>
        <row r="16629">
          <cell r="A16629" t="str">
            <v>红金甲23级</v>
          </cell>
          <cell r="B16629">
            <v>523323</v>
          </cell>
        </row>
        <row r="16630">
          <cell r="A16630" t="str">
            <v>红金甲24级</v>
          </cell>
          <cell r="B16630">
            <v>523324</v>
          </cell>
        </row>
        <row r="16631">
          <cell r="A16631" t="str">
            <v>红金甲25级</v>
          </cell>
          <cell r="B16631">
            <v>523325</v>
          </cell>
        </row>
        <row r="16632">
          <cell r="A16632" t="str">
            <v>红金甲26级</v>
          </cell>
          <cell r="B16632">
            <v>523326</v>
          </cell>
        </row>
        <row r="16633">
          <cell r="A16633" t="str">
            <v>红金甲27级</v>
          </cell>
          <cell r="B16633">
            <v>523327</v>
          </cell>
        </row>
        <row r="16634">
          <cell r="A16634" t="str">
            <v>红金甲28级</v>
          </cell>
          <cell r="B16634">
            <v>523328</v>
          </cell>
        </row>
        <row r="16635">
          <cell r="A16635" t="str">
            <v>红金甲29级</v>
          </cell>
          <cell r="B16635">
            <v>523329</v>
          </cell>
        </row>
        <row r="16636">
          <cell r="A16636" t="str">
            <v>红金甲30级</v>
          </cell>
          <cell r="B16636">
            <v>523330</v>
          </cell>
        </row>
        <row r="16637">
          <cell r="A16637" t="str">
            <v>红金甲31级</v>
          </cell>
          <cell r="B16637">
            <v>523331</v>
          </cell>
        </row>
        <row r="16638">
          <cell r="A16638" t="str">
            <v>红金甲32级</v>
          </cell>
          <cell r="B16638">
            <v>523332</v>
          </cell>
        </row>
        <row r="16639">
          <cell r="A16639" t="str">
            <v>红金甲33级</v>
          </cell>
          <cell r="B16639">
            <v>523333</v>
          </cell>
        </row>
        <row r="16640">
          <cell r="A16640" t="str">
            <v>红金甲34级</v>
          </cell>
          <cell r="B16640">
            <v>523334</v>
          </cell>
        </row>
        <row r="16641">
          <cell r="A16641" t="str">
            <v>红金甲35级</v>
          </cell>
          <cell r="B16641">
            <v>523335</v>
          </cell>
        </row>
        <row r="16642">
          <cell r="A16642" t="str">
            <v>红金甲36级</v>
          </cell>
          <cell r="B16642">
            <v>523336</v>
          </cell>
        </row>
        <row r="16643">
          <cell r="A16643" t="str">
            <v>红金甲37级</v>
          </cell>
          <cell r="B16643">
            <v>523337</v>
          </cell>
        </row>
        <row r="16644">
          <cell r="A16644" t="str">
            <v>红金甲38级</v>
          </cell>
          <cell r="B16644">
            <v>523338</v>
          </cell>
        </row>
        <row r="16645">
          <cell r="A16645" t="str">
            <v>红金甲39级</v>
          </cell>
          <cell r="B16645">
            <v>523339</v>
          </cell>
        </row>
        <row r="16646">
          <cell r="A16646" t="str">
            <v>红金甲40级</v>
          </cell>
          <cell r="B16646">
            <v>523340</v>
          </cell>
        </row>
        <row r="16647">
          <cell r="A16647" t="str">
            <v>红金甲41级</v>
          </cell>
          <cell r="B16647">
            <v>523341</v>
          </cell>
        </row>
        <row r="16648">
          <cell r="A16648" t="str">
            <v>红金甲42级</v>
          </cell>
          <cell r="B16648">
            <v>523342</v>
          </cell>
        </row>
        <row r="16649">
          <cell r="A16649" t="str">
            <v>红金甲43级</v>
          </cell>
          <cell r="B16649">
            <v>523343</v>
          </cell>
        </row>
        <row r="16650">
          <cell r="A16650" t="str">
            <v>红金甲44级</v>
          </cell>
          <cell r="B16650">
            <v>523344</v>
          </cell>
        </row>
        <row r="16651">
          <cell r="A16651" t="str">
            <v>红金甲45级</v>
          </cell>
          <cell r="B16651">
            <v>523345</v>
          </cell>
        </row>
        <row r="16652">
          <cell r="A16652" t="str">
            <v>红金甲46级</v>
          </cell>
          <cell r="B16652">
            <v>523346</v>
          </cell>
        </row>
        <row r="16653">
          <cell r="A16653" t="str">
            <v>红金甲47级</v>
          </cell>
          <cell r="B16653">
            <v>523347</v>
          </cell>
        </row>
        <row r="16654">
          <cell r="A16654" t="str">
            <v>红金甲48级</v>
          </cell>
          <cell r="B16654">
            <v>523348</v>
          </cell>
        </row>
        <row r="16655">
          <cell r="A16655" t="str">
            <v>红金甲49级</v>
          </cell>
          <cell r="B16655">
            <v>523349</v>
          </cell>
        </row>
        <row r="16656">
          <cell r="A16656" t="str">
            <v>红金甲50级</v>
          </cell>
          <cell r="B16656">
            <v>523350</v>
          </cell>
        </row>
        <row r="16657">
          <cell r="A16657" t="str">
            <v>红金甲51级</v>
          </cell>
          <cell r="B16657">
            <v>523351</v>
          </cell>
        </row>
        <row r="16658">
          <cell r="A16658" t="str">
            <v>红金甲52级</v>
          </cell>
          <cell r="B16658">
            <v>523352</v>
          </cell>
        </row>
        <row r="16659">
          <cell r="A16659" t="str">
            <v>红金甲53级</v>
          </cell>
          <cell r="B16659">
            <v>523353</v>
          </cell>
        </row>
        <row r="16660">
          <cell r="A16660" t="str">
            <v>红金甲54级</v>
          </cell>
          <cell r="B16660">
            <v>523354</v>
          </cell>
        </row>
        <row r="16661">
          <cell r="A16661" t="str">
            <v>红金甲55级</v>
          </cell>
          <cell r="B16661">
            <v>523355</v>
          </cell>
        </row>
        <row r="16662">
          <cell r="A16662" t="str">
            <v>红金甲56级</v>
          </cell>
          <cell r="B16662">
            <v>523356</v>
          </cell>
        </row>
        <row r="16663">
          <cell r="A16663" t="str">
            <v>红金甲57级</v>
          </cell>
          <cell r="B16663">
            <v>523357</v>
          </cell>
        </row>
        <row r="16664">
          <cell r="A16664" t="str">
            <v>红金甲58级</v>
          </cell>
          <cell r="B16664">
            <v>523358</v>
          </cell>
        </row>
        <row r="16665">
          <cell r="A16665" t="str">
            <v>红金甲59级</v>
          </cell>
          <cell r="B16665">
            <v>523359</v>
          </cell>
        </row>
        <row r="16666">
          <cell r="A16666" t="str">
            <v>红金甲60级</v>
          </cell>
          <cell r="B16666">
            <v>523360</v>
          </cell>
        </row>
        <row r="16667">
          <cell r="A16667" t="str">
            <v>红金甲61级</v>
          </cell>
          <cell r="B16667">
            <v>523361</v>
          </cell>
        </row>
        <row r="16668">
          <cell r="A16668" t="str">
            <v>红金甲62级</v>
          </cell>
          <cell r="B16668">
            <v>523362</v>
          </cell>
        </row>
        <row r="16669">
          <cell r="A16669" t="str">
            <v>红金甲63级</v>
          </cell>
          <cell r="B16669">
            <v>523363</v>
          </cell>
        </row>
        <row r="16670">
          <cell r="A16670" t="str">
            <v>红金甲64级</v>
          </cell>
          <cell r="B16670">
            <v>523364</v>
          </cell>
        </row>
        <row r="16671">
          <cell r="A16671" t="str">
            <v>红金甲65级</v>
          </cell>
          <cell r="B16671">
            <v>523365</v>
          </cell>
        </row>
        <row r="16672">
          <cell r="A16672" t="str">
            <v>红金甲66级</v>
          </cell>
          <cell r="B16672">
            <v>523366</v>
          </cell>
        </row>
        <row r="16673">
          <cell r="A16673" t="str">
            <v>红金甲67级</v>
          </cell>
          <cell r="B16673">
            <v>523367</v>
          </cell>
        </row>
        <row r="16674">
          <cell r="A16674" t="str">
            <v>红金甲68级</v>
          </cell>
          <cell r="B16674">
            <v>523368</v>
          </cell>
        </row>
        <row r="16675">
          <cell r="A16675" t="str">
            <v>红金甲69级</v>
          </cell>
          <cell r="B16675">
            <v>523369</v>
          </cell>
        </row>
        <row r="16676">
          <cell r="A16676" t="str">
            <v>红金甲70级</v>
          </cell>
          <cell r="B16676">
            <v>523370</v>
          </cell>
        </row>
        <row r="16677">
          <cell r="A16677" t="str">
            <v>红金甲71级</v>
          </cell>
          <cell r="B16677">
            <v>523371</v>
          </cell>
        </row>
        <row r="16678">
          <cell r="A16678" t="str">
            <v>红金甲72级</v>
          </cell>
          <cell r="B16678">
            <v>523372</v>
          </cell>
        </row>
        <row r="16679">
          <cell r="A16679" t="str">
            <v>红金甲73级</v>
          </cell>
          <cell r="B16679">
            <v>523373</v>
          </cell>
        </row>
        <row r="16680">
          <cell r="A16680" t="str">
            <v>红金甲74级</v>
          </cell>
          <cell r="B16680">
            <v>523374</v>
          </cell>
        </row>
        <row r="16681">
          <cell r="A16681" t="str">
            <v>红金甲75级</v>
          </cell>
          <cell r="B16681">
            <v>523375</v>
          </cell>
        </row>
        <row r="16682">
          <cell r="A16682" t="str">
            <v>红金甲76级</v>
          </cell>
          <cell r="B16682">
            <v>523376</v>
          </cell>
        </row>
        <row r="16683">
          <cell r="A16683" t="str">
            <v>红金甲77级</v>
          </cell>
          <cell r="B16683">
            <v>523377</v>
          </cell>
        </row>
        <row r="16684">
          <cell r="A16684" t="str">
            <v>红金甲78级</v>
          </cell>
          <cell r="B16684">
            <v>523378</v>
          </cell>
        </row>
        <row r="16685">
          <cell r="A16685" t="str">
            <v>红金甲79级</v>
          </cell>
          <cell r="B16685">
            <v>523379</v>
          </cell>
        </row>
        <row r="16686">
          <cell r="A16686" t="str">
            <v>红金甲80级</v>
          </cell>
          <cell r="B16686">
            <v>523380</v>
          </cell>
        </row>
        <row r="16687">
          <cell r="A16687" t="str">
            <v>红乾坤1级</v>
          </cell>
          <cell r="B16687">
            <v>524301</v>
          </cell>
        </row>
        <row r="16688">
          <cell r="A16688" t="str">
            <v>红乾坤2级</v>
          </cell>
          <cell r="B16688">
            <v>524302</v>
          </cell>
        </row>
        <row r="16689">
          <cell r="A16689" t="str">
            <v>红乾坤3级</v>
          </cell>
          <cell r="B16689">
            <v>524303</v>
          </cell>
        </row>
        <row r="16690">
          <cell r="A16690" t="str">
            <v>红乾坤4级</v>
          </cell>
          <cell r="B16690">
            <v>524304</v>
          </cell>
        </row>
        <row r="16691">
          <cell r="A16691" t="str">
            <v>红乾坤5级</v>
          </cell>
          <cell r="B16691">
            <v>524305</v>
          </cell>
        </row>
        <row r="16692">
          <cell r="A16692" t="str">
            <v>红乾坤6级</v>
          </cell>
          <cell r="B16692">
            <v>524306</v>
          </cell>
        </row>
        <row r="16693">
          <cell r="A16693" t="str">
            <v>红乾坤7级</v>
          </cell>
          <cell r="B16693">
            <v>524307</v>
          </cell>
        </row>
        <row r="16694">
          <cell r="A16694" t="str">
            <v>红乾坤8级</v>
          </cell>
          <cell r="B16694">
            <v>524308</v>
          </cell>
        </row>
        <row r="16695">
          <cell r="A16695" t="str">
            <v>红乾坤9级</v>
          </cell>
          <cell r="B16695">
            <v>524309</v>
          </cell>
        </row>
        <row r="16696">
          <cell r="A16696" t="str">
            <v>红乾坤10级</v>
          </cell>
          <cell r="B16696">
            <v>524310</v>
          </cell>
        </row>
        <row r="16697">
          <cell r="A16697" t="str">
            <v>红乾坤11级</v>
          </cell>
          <cell r="B16697">
            <v>524311</v>
          </cell>
        </row>
        <row r="16698">
          <cell r="A16698" t="str">
            <v>红乾坤12级</v>
          </cell>
          <cell r="B16698">
            <v>524312</v>
          </cell>
        </row>
        <row r="16699">
          <cell r="A16699" t="str">
            <v>红乾坤13级</v>
          </cell>
          <cell r="B16699">
            <v>524313</v>
          </cell>
        </row>
        <row r="16700">
          <cell r="A16700" t="str">
            <v>红乾坤14级</v>
          </cell>
          <cell r="B16700">
            <v>524314</v>
          </cell>
        </row>
        <row r="16701">
          <cell r="A16701" t="str">
            <v>红乾坤15级</v>
          </cell>
          <cell r="B16701">
            <v>524315</v>
          </cell>
        </row>
        <row r="16702">
          <cell r="A16702" t="str">
            <v>红乾坤16级</v>
          </cell>
          <cell r="B16702">
            <v>524316</v>
          </cell>
        </row>
        <row r="16703">
          <cell r="A16703" t="str">
            <v>红乾坤17级</v>
          </cell>
          <cell r="B16703">
            <v>524317</v>
          </cell>
        </row>
        <row r="16704">
          <cell r="A16704" t="str">
            <v>红乾坤18级</v>
          </cell>
          <cell r="B16704">
            <v>524318</v>
          </cell>
        </row>
        <row r="16705">
          <cell r="A16705" t="str">
            <v>红乾坤19级</v>
          </cell>
          <cell r="B16705">
            <v>524319</v>
          </cell>
        </row>
        <row r="16706">
          <cell r="A16706" t="str">
            <v>红乾坤20级</v>
          </cell>
          <cell r="B16706">
            <v>524320</v>
          </cell>
        </row>
        <row r="16707">
          <cell r="A16707" t="str">
            <v>红乾坤21级</v>
          </cell>
          <cell r="B16707">
            <v>524321</v>
          </cell>
        </row>
        <row r="16708">
          <cell r="A16708" t="str">
            <v>红乾坤22级</v>
          </cell>
          <cell r="B16708">
            <v>524322</v>
          </cell>
        </row>
        <row r="16709">
          <cell r="A16709" t="str">
            <v>红乾坤23级</v>
          </cell>
          <cell r="B16709">
            <v>524323</v>
          </cell>
        </row>
        <row r="16710">
          <cell r="A16710" t="str">
            <v>红乾坤24级</v>
          </cell>
          <cell r="B16710">
            <v>524324</v>
          </cell>
        </row>
        <row r="16711">
          <cell r="A16711" t="str">
            <v>红乾坤25级</v>
          </cell>
          <cell r="B16711">
            <v>524325</v>
          </cell>
        </row>
        <row r="16712">
          <cell r="A16712" t="str">
            <v>红乾坤26级</v>
          </cell>
          <cell r="B16712">
            <v>524326</v>
          </cell>
        </row>
        <row r="16713">
          <cell r="A16713" t="str">
            <v>红乾坤27级</v>
          </cell>
          <cell r="B16713">
            <v>524327</v>
          </cell>
        </row>
        <row r="16714">
          <cell r="A16714" t="str">
            <v>红乾坤28级</v>
          </cell>
          <cell r="B16714">
            <v>524328</v>
          </cell>
        </row>
        <row r="16715">
          <cell r="A16715" t="str">
            <v>红乾坤29级</v>
          </cell>
          <cell r="B16715">
            <v>524329</v>
          </cell>
        </row>
        <row r="16716">
          <cell r="A16716" t="str">
            <v>红乾坤30级</v>
          </cell>
          <cell r="B16716">
            <v>524330</v>
          </cell>
        </row>
        <row r="16717">
          <cell r="A16717" t="str">
            <v>红乾坤31级</v>
          </cell>
          <cell r="B16717">
            <v>524331</v>
          </cell>
        </row>
        <row r="16718">
          <cell r="A16718" t="str">
            <v>红乾坤32级</v>
          </cell>
          <cell r="B16718">
            <v>524332</v>
          </cell>
        </row>
        <row r="16719">
          <cell r="A16719" t="str">
            <v>红乾坤33级</v>
          </cell>
          <cell r="B16719">
            <v>524333</v>
          </cell>
        </row>
        <row r="16720">
          <cell r="A16720" t="str">
            <v>红乾坤34级</v>
          </cell>
          <cell r="B16720">
            <v>524334</v>
          </cell>
        </row>
        <row r="16721">
          <cell r="A16721" t="str">
            <v>红乾坤35级</v>
          </cell>
          <cell r="B16721">
            <v>524335</v>
          </cell>
        </row>
        <row r="16722">
          <cell r="A16722" t="str">
            <v>红乾坤36级</v>
          </cell>
          <cell r="B16722">
            <v>524336</v>
          </cell>
        </row>
        <row r="16723">
          <cell r="A16723" t="str">
            <v>红乾坤37级</v>
          </cell>
          <cell r="B16723">
            <v>524337</v>
          </cell>
        </row>
        <row r="16724">
          <cell r="A16724" t="str">
            <v>红乾坤38级</v>
          </cell>
          <cell r="B16724">
            <v>524338</v>
          </cell>
        </row>
        <row r="16725">
          <cell r="A16725" t="str">
            <v>红乾坤39级</v>
          </cell>
          <cell r="B16725">
            <v>524339</v>
          </cell>
        </row>
        <row r="16726">
          <cell r="A16726" t="str">
            <v>红乾坤40级</v>
          </cell>
          <cell r="B16726">
            <v>524340</v>
          </cell>
        </row>
        <row r="16727">
          <cell r="A16727" t="str">
            <v>红乾坤41级</v>
          </cell>
          <cell r="B16727">
            <v>524341</v>
          </cell>
        </row>
        <row r="16728">
          <cell r="A16728" t="str">
            <v>红乾坤42级</v>
          </cell>
          <cell r="B16728">
            <v>524342</v>
          </cell>
        </row>
        <row r="16729">
          <cell r="A16729" t="str">
            <v>红乾坤43级</v>
          </cell>
          <cell r="B16729">
            <v>524343</v>
          </cell>
        </row>
        <row r="16730">
          <cell r="A16730" t="str">
            <v>红乾坤44级</v>
          </cell>
          <cell r="B16730">
            <v>524344</v>
          </cell>
        </row>
        <row r="16731">
          <cell r="A16731" t="str">
            <v>红乾坤45级</v>
          </cell>
          <cell r="B16731">
            <v>524345</v>
          </cell>
        </row>
        <row r="16732">
          <cell r="A16732" t="str">
            <v>红乾坤46级</v>
          </cell>
          <cell r="B16732">
            <v>524346</v>
          </cell>
        </row>
        <row r="16733">
          <cell r="A16733" t="str">
            <v>红乾坤47级</v>
          </cell>
          <cell r="B16733">
            <v>524347</v>
          </cell>
        </row>
        <row r="16734">
          <cell r="A16734" t="str">
            <v>红乾坤48级</v>
          </cell>
          <cell r="B16734">
            <v>524348</v>
          </cell>
        </row>
        <row r="16735">
          <cell r="A16735" t="str">
            <v>红乾坤49级</v>
          </cell>
          <cell r="B16735">
            <v>524349</v>
          </cell>
        </row>
        <row r="16736">
          <cell r="A16736" t="str">
            <v>红乾坤50级</v>
          </cell>
          <cell r="B16736">
            <v>524350</v>
          </cell>
        </row>
        <row r="16737">
          <cell r="A16737" t="str">
            <v>红乾坤51级</v>
          </cell>
          <cell r="B16737">
            <v>524351</v>
          </cell>
        </row>
        <row r="16738">
          <cell r="A16738" t="str">
            <v>红乾坤52级</v>
          </cell>
          <cell r="B16738">
            <v>524352</v>
          </cell>
        </row>
        <row r="16739">
          <cell r="A16739" t="str">
            <v>红乾坤53级</v>
          </cell>
          <cell r="B16739">
            <v>524353</v>
          </cell>
        </row>
        <row r="16740">
          <cell r="A16740" t="str">
            <v>红乾坤54级</v>
          </cell>
          <cell r="B16740">
            <v>524354</v>
          </cell>
        </row>
        <row r="16741">
          <cell r="A16741" t="str">
            <v>红乾坤55级</v>
          </cell>
          <cell r="B16741">
            <v>524355</v>
          </cell>
        </row>
        <row r="16742">
          <cell r="A16742" t="str">
            <v>红乾坤56级</v>
          </cell>
          <cell r="B16742">
            <v>524356</v>
          </cell>
        </row>
        <row r="16743">
          <cell r="A16743" t="str">
            <v>红乾坤57级</v>
          </cell>
          <cell r="B16743">
            <v>524357</v>
          </cell>
        </row>
        <row r="16744">
          <cell r="A16744" t="str">
            <v>红乾坤58级</v>
          </cell>
          <cell r="B16744">
            <v>524358</v>
          </cell>
        </row>
        <row r="16745">
          <cell r="A16745" t="str">
            <v>红乾坤59级</v>
          </cell>
          <cell r="B16745">
            <v>524359</v>
          </cell>
        </row>
        <row r="16746">
          <cell r="A16746" t="str">
            <v>红乾坤60级</v>
          </cell>
          <cell r="B16746">
            <v>524360</v>
          </cell>
        </row>
        <row r="16747">
          <cell r="A16747" t="str">
            <v>红乾坤61级</v>
          </cell>
          <cell r="B16747">
            <v>524361</v>
          </cell>
        </row>
        <row r="16748">
          <cell r="A16748" t="str">
            <v>红乾坤62级</v>
          </cell>
          <cell r="B16748">
            <v>524362</v>
          </cell>
        </row>
        <row r="16749">
          <cell r="A16749" t="str">
            <v>红乾坤63级</v>
          </cell>
          <cell r="B16749">
            <v>524363</v>
          </cell>
        </row>
        <row r="16750">
          <cell r="A16750" t="str">
            <v>红乾坤64级</v>
          </cell>
          <cell r="B16750">
            <v>524364</v>
          </cell>
        </row>
        <row r="16751">
          <cell r="A16751" t="str">
            <v>红乾坤65级</v>
          </cell>
          <cell r="B16751">
            <v>524365</v>
          </cell>
        </row>
        <row r="16752">
          <cell r="A16752" t="str">
            <v>红乾坤66级</v>
          </cell>
          <cell r="B16752">
            <v>524366</v>
          </cell>
        </row>
        <row r="16753">
          <cell r="A16753" t="str">
            <v>红乾坤67级</v>
          </cell>
          <cell r="B16753">
            <v>524367</v>
          </cell>
        </row>
        <row r="16754">
          <cell r="A16754" t="str">
            <v>红乾坤68级</v>
          </cell>
          <cell r="B16754">
            <v>524368</v>
          </cell>
        </row>
        <row r="16755">
          <cell r="A16755" t="str">
            <v>红乾坤69级</v>
          </cell>
          <cell r="B16755">
            <v>524369</v>
          </cell>
        </row>
        <row r="16756">
          <cell r="A16756" t="str">
            <v>红乾坤70级</v>
          </cell>
          <cell r="B16756">
            <v>524370</v>
          </cell>
        </row>
        <row r="16757">
          <cell r="A16757" t="str">
            <v>红乾坤71级</v>
          </cell>
          <cell r="B16757">
            <v>524371</v>
          </cell>
        </row>
        <row r="16758">
          <cell r="A16758" t="str">
            <v>红乾坤72级</v>
          </cell>
          <cell r="B16758">
            <v>524372</v>
          </cell>
        </row>
        <row r="16759">
          <cell r="A16759" t="str">
            <v>红乾坤73级</v>
          </cell>
          <cell r="B16759">
            <v>524373</v>
          </cell>
        </row>
        <row r="16760">
          <cell r="A16760" t="str">
            <v>红乾坤74级</v>
          </cell>
          <cell r="B16760">
            <v>524374</v>
          </cell>
        </row>
        <row r="16761">
          <cell r="A16761" t="str">
            <v>红乾坤75级</v>
          </cell>
          <cell r="B16761">
            <v>524375</v>
          </cell>
        </row>
        <row r="16762">
          <cell r="A16762" t="str">
            <v>红乾坤76级</v>
          </cell>
          <cell r="B16762">
            <v>524376</v>
          </cell>
        </row>
        <row r="16763">
          <cell r="A16763" t="str">
            <v>红乾坤77级</v>
          </cell>
          <cell r="B16763">
            <v>524377</v>
          </cell>
        </row>
        <row r="16764">
          <cell r="A16764" t="str">
            <v>红乾坤78级</v>
          </cell>
          <cell r="B16764">
            <v>524378</v>
          </cell>
        </row>
        <row r="16765">
          <cell r="A16765" t="str">
            <v>红乾坤79级</v>
          </cell>
          <cell r="B16765">
            <v>524379</v>
          </cell>
        </row>
        <row r="16766">
          <cell r="A16766" t="str">
            <v>红乾坤80级</v>
          </cell>
          <cell r="B16766">
            <v>524380</v>
          </cell>
        </row>
        <row r="16767">
          <cell r="A16767" t="str">
            <v>红流云1级</v>
          </cell>
          <cell r="B16767">
            <v>525301</v>
          </cell>
        </row>
        <row r="16768">
          <cell r="A16768" t="str">
            <v>红流云2级</v>
          </cell>
          <cell r="B16768">
            <v>525302</v>
          </cell>
        </row>
        <row r="16769">
          <cell r="A16769" t="str">
            <v>红流云3级</v>
          </cell>
          <cell r="B16769">
            <v>525303</v>
          </cell>
        </row>
        <row r="16770">
          <cell r="A16770" t="str">
            <v>红流云4级</v>
          </cell>
          <cell r="B16770">
            <v>525304</v>
          </cell>
        </row>
        <row r="16771">
          <cell r="A16771" t="str">
            <v>红流云5级</v>
          </cell>
          <cell r="B16771">
            <v>525305</v>
          </cell>
        </row>
        <row r="16772">
          <cell r="A16772" t="str">
            <v>红流云6级</v>
          </cell>
          <cell r="B16772">
            <v>525306</v>
          </cell>
        </row>
        <row r="16773">
          <cell r="A16773" t="str">
            <v>红流云7级</v>
          </cell>
          <cell r="B16773">
            <v>525307</v>
          </cell>
        </row>
        <row r="16774">
          <cell r="A16774" t="str">
            <v>红流云8级</v>
          </cell>
          <cell r="B16774">
            <v>525308</v>
          </cell>
        </row>
        <row r="16775">
          <cell r="A16775" t="str">
            <v>红流云9级</v>
          </cell>
          <cell r="B16775">
            <v>525309</v>
          </cell>
        </row>
        <row r="16776">
          <cell r="A16776" t="str">
            <v>红流云10级</v>
          </cell>
          <cell r="B16776">
            <v>525310</v>
          </cell>
        </row>
        <row r="16777">
          <cell r="A16777" t="str">
            <v>红流云11级</v>
          </cell>
          <cell r="B16777">
            <v>525311</v>
          </cell>
        </row>
        <row r="16778">
          <cell r="A16778" t="str">
            <v>红流云12级</v>
          </cell>
          <cell r="B16778">
            <v>525312</v>
          </cell>
        </row>
        <row r="16779">
          <cell r="A16779" t="str">
            <v>红流云13级</v>
          </cell>
          <cell r="B16779">
            <v>525313</v>
          </cell>
        </row>
        <row r="16780">
          <cell r="A16780" t="str">
            <v>红流云14级</v>
          </cell>
          <cell r="B16780">
            <v>525314</v>
          </cell>
        </row>
        <row r="16781">
          <cell r="A16781" t="str">
            <v>红流云15级</v>
          </cell>
          <cell r="B16781">
            <v>525315</v>
          </cell>
        </row>
        <row r="16782">
          <cell r="A16782" t="str">
            <v>红流云16级</v>
          </cell>
          <cell r="B16782">
            <v>525316</v>
          </cell>
        </row>
        <row r="16783">
          <cell r="A16783" t="str">
            <v>红流云17级</v>
          </cell>
          <cell r="B16783">
            <v>525317</v>
          </cell>
        </row>
        <row r="16784">
          <cell r="A16784" t="str">
            <v>红流云18级</v>
          </cell>
          <cell r="B16784">
            <v>525318</v>
          </cell>
        </row>
        <row r="16785">
          <cell r="A16785" t="str">
            <v>红流云19级</v>
          </cell>
          <cell r="B16785">
            <v>525319</v>
          </cell>
        </row>
        <row r="16786">
          <cell r="A16786" t="str">
            <v>红流云20级</v>
          </cell>
          <cell r="B16786">
            <v>525320</v>
          </cell>
        </row>
        <row r="16787">
          <cell r="A16787" t="str">
            <v>红流云21级</v>
          </cell>
          <cell r="B16787">
            <v>525321</v>
          </cell>
        </row>
        <row r="16788">
          <cell r="A16788" t="str">
            <v>红流云22级</v>
          </cell>
          <cell r="B16788">
            <v>525322</v>
          </cell>
        </row>
        <row r="16789">
          <cell r="A16789" t="str">
            <v>红流云23级</v>
          </cell>
          <cell r="B16789">
            <v>525323</v>
          </cell>
        </row>
        <row r="16790">
          <cell r="A16790" t="str">
            <v>红流云24级</v>
          </cell>
          <cell r="B16790">
            <v>525324</v>
          </cell>
        </row>
        <row r="16791">
          <cell r="A16791" t="str">
            <v>红流云25级</v>
          </cell>
          <cell r="B16791">
            <v>525325</v>
          </cell>
        </row>
        <row r="16792">
          <cell r="A16792" t="str">
            <v>红流云26级</v>
          </cell>
          <cell r="B16792">
            <v>525326</v>
          </cell>
        </row>
        <row r="16793">
          <cell r="A16793" t="str">
            <v>红流云27级</v>
          </cell>
          <cell r="B16793">
            <v>525327</v>
          </cell>
        </row>
        <row r="16794">
          <cell r="A16794" t="str">
            <v>红流云28级</v>
          </cell>
          <cell r="B16794">
            <v>525328</v>
          </cell>
        </row>
        <row r="16795">
          <cell r="A16795" t="str">
            <v>红流云29级</v>
          </cell>
          <cell r="B16795">
            <v>525329</v>
          </cell>
        </row>
        <row r="16796">
          <cell r="A16796" t="str">
            <v>红流云30级</v>
          </cell>
          <cell r="B16796">
            <v>525330</v>
          </cell>
        </row>
        <row r="16797">
          <cell r="A16797" t="str">
            <v>红流云31级</v>
          </cell>
          <cell r="B16797">
            <v>525331</v>
          </cell>
        </row>
        <row r="16798">
          <cell r="A16798" t="str">
            <v>红流云32级</v>
          </cell>
          <cell r="B16798">
            <v>525332</v>
          </cell>
        </row>
        <row r="16799">
          <cell r="A16799" t="str">
            <v>红流云33级</v>
          </cell>
          <cell r="B16799">
            <v>525333</v>
          </cell>
        </row>
        <row r="16800">
          <cell r="A16800" t="str">
            <v>红流云34级</v>
          </cell>
          <cell r="B16800">
            <v>525334</v>
          </cell>
        </row>
        <row r="16801">
          <cell r="A16801" t="str">
            <v>红流云35级</v>
          </cell>
          <cell r="B16801">
            <v>525335</v>
          </cell>
        </row>
        <row r="16802">
          <cell r="A16802" t="str">
            <v>红流云36级</v>
          </cell>
          <cell r="B16802">
            <v>525336</v>
          </cell>
        </row>
        <row r="16803">
          <cell r="A16803" t="str">
            <v>红流云37级</v>
          </cell>
          <cell r="B16803">
            <v>525337</v>
          </cell>
        </row>
        <row r="16804">
          <cell r="A16804" t="str">
            <v>红流云38级</v>
          </cell>
          <cell r="B16804">
            <v>525338</v>
          </cell>
        </row>
        <row r="16805">
          <cell r="A16805" t="str">
            <v>红流云39级</v>
          </cell>
          <cell r="B16805">
            <v>525339</v>
          </cell>
        </row>
        <row r="16806">
          <cell r="A16806" t="str">
            <v>红流云40级</v>
          </cell>
          <cell r="B16806">
            <v>525340</v>
          </cell>
        </row>
        <row r="16807">
          <cell r="A16807" t="str">
            <v>红流云41级</v>
          </cell>
          <cell r="B16807">
            <v>525341</v>
          </cell>
        </row>
        <row r="16808">
          <cell r="A16808" t="str">
            <v>红流云42级</v>
          </cell>
          <cell r="B16808">
            <v>525342</v>
          </cell>
        </row>
        <row r="16809">
          <cell r="A16809" t="str">
            <v>红流云43级</v>
          </cell>
          <cell r="B16809">
            <v>525343</v>
          </cell>
        </row>
        <row r="16810">
          <cell r="A16810" t="str">
            <v>红流云44级</v>
          </cell>
          <cell r="B16810">
            <v>525344</v>
          </cell>
        </row>
        <row r="16811">
          <cell r="A16811" t="str">
            <v>红流云45级</v>
          </cell>
          <cell r="B16811">
            <v>525345</v>
          </cell>
        </row>
        <row r="16812">
          <cell r="A16812" t="str">
            <v>红流云46级</v>
          </cell>
          <cell r="B16812">
            <v>525346</v>
          </cell>
        </row>
        <row r="16813">
          <cell r="A16813" t="str">
            <v>红流云47级</v>
          </cell>
          <cell r="B16813">
            <v>525347</v>
          </cell>
        </row>
        <row r="16814">
          <cell r="A16814" t="str">
            <v>红流云48级</v>
          </cell>
          <cell r="B16814">
            <v>525348</v>
          </cell>
        </row>
        <row r="16815">
          <cell r="A16815" t="str">
            <v>红流云49级</v>
          </cell>
          <cell r="B16815">
            <v>525349</v>
          </cell>
        </row>
        <row r="16816">
          <cell r="A16816" t="str">
            <v>红流云50级</v>
          </cell>
          <cell r="B16816">
            <v>525350</v>
          </cell>
        </row>
        <row r="16817">
          <cell r="A16817" t="str">
            <v>红流云51级</v>
          </cell>
          <cell r="B16817">
            <v>525351</v>
          </cell>
        </row>
        <row r="16818">
          <cell r="A16818" t="str">
            <v>红流云52级</v>
          </cell>
          <cell r="B16818">
            <v>525352</v>
          </cell>
        </row>
        <row r="16819">
          <cell r="A16819" t="str">
            <v>红流云53级</v>
          </cell>
          <cell r="B16819">
            <v>525353</v>
          </cell>
        </row>
        <row r="16820">
          <cell r="A16820" t="str">
            <v>红流云54级</v>
          </cell>
          <cell r="B16820">
            <v>525354</v>
          </cell>
        </row>
        <row r="16821">
          <cell r="A16821" t="str">
            <v>红流云55级</v>
          </cell>
          <cell r="B16821">
            <v>525355</v>
          </cell>
        </row>
        <row r="16822">
          <cell r="A16822" t="str">
            <v>红流云56级</v>
          </cell>
          <cell r="B16822">
            <v>525356</v>
          </cell>
        </row>
        <row r="16823">
          <cell r="A16823" t="str">
            <v>红流云57级</v>
          </cell>
          <cell r="B16823">
            <v>525357</v>
          </cell>
        </row>
        <row r="16824">
          <cell r="A16824" t="str">
            <v>红流云58级</v>
          </cell>
          <cell r="B16824">
            <v>525358</v>
          </cell>
        </row>
        <row r="16825">
          <cell r="A16825" t="str">
            <v>红流云59级</v>
          </cell>
          <cell r="B16825">
            <v>525359</v>
          </cell>
        </row>
        <row r="16826">
          <cell r="A16826" t="str">
            <v>红流云60级</v>
          </cell>
          <cell r="B16826">
            <v>525360</v>
          </cell>
        </row>
        <row r="16827">
          <cell r="A16827" t="str">
            <v>红流云61级</v>
          </cell>
          <cell r="B16827">
            <v>525361</v>
          </cell>
        </row>
        <row r="16828">
          <cell r="A16828" t="str">
            <v>红流云62级</v>
          </cell>
          <cell r="B16828">
            <v>525362</v>
          </cell>
        </row>
        <row r="16829">
          <cell r="A16829" t="str">
            <v>红流云63级</v>
          </cell>
          <cell r="B16829">
            <v>525363</v>
          </cell>
        </row>
        <row r="16830">
          <cell r="A16830" t="str">
            <v>红流云64级</v>
          </cell>
          <cell r="B16830">
            <v>525364</v>
          </cell>
        </row>
        <row r="16831">
          <cell r="A16831" t="str">
            <v>红流云65级</v>
          </cell>
          <cell r="B16831">
            <v>525365</v>
          </cell>
        </row>
        <row r="16832">
          <cell r="A16832" t="str">
            <v>红流云66级</v>
          </cell>
          <cell r="B16832">
            <v>525366</v>
          </cell>
        </row>
        <row r="16833">
          <cell r="A16833" t="str">
            <v>红流云67级</v>
          </cell>
          <cell r="B16833">
            <v>525367</v>
          </cell>
        </row>
        <row r="16834">
          <cell r="A16834" t="str">
            <v>红流云68级</v>
          </cell>
          <cell r="B16834">
            <v>525368</v>
          </cell>
        </row>
        <row r="16835">
          <cell r="A16835" t="str">
            <v>红流云69级</v>
          </cell>
          <cell r="B16835">
            <v>525369</v>
          </cell>
        </row>
        <row r="16836">
          <cell r="A16836" t="str">
            <v>红流云70级</v>
          </cell>
          <cell r="B16836">
            <v>525370</v>
          </cell>
        </row>
        <row r="16837">
          <cell r="A16837" t="str">
            <v>红流云71级</v>
          </cell>
          <cell r="B16837">
            <v>525371</v>
          </cell>
        </row>
        <row r="16838">
          <cell r="A16838" t="str">
            <v>红流云72级</v>
          </cell>
          <cell r="B16838">
            <v>525372</v>
          </cell>
        </row>
        <row r="16839">
          <cell r="A16839" t="str">
            <v>红流云73级</v>
          </cell>
          <cell r="B16839">
            <v>525373</v>
          </cell>
        </row>
        <row r="16840">
          <cell r="A16840" t="str">
            <v>红流云74级</v>
          </cell>
          <cell r="B16840">
            <v>525374</v>
          </cell>
        </row>
        <row r="16841">
          <cell r="A16841" t="str">
            <v>红流云75级</v>
          </cell>
          <cell r="B16841">
            <v>525375</v>
          </cell>
        </row>
        <row r="16842">
          <cell r="A16842" t="str">
            <v>红流云76级</v>
          </cell>
          <cell r="B16842">
            <v>525376</v>
          </cell>
        </row>
        <row r="16843">
          <cell r="A16843" t="str">
            <v>红流云77级</v>
          </cell>
          <cell r="B16843">
            <v>525377</v>
          </cell>
        </row>
        <row r="16844">
          <cell r="A16844" t="str">
            <v>红流云78级</v>
          </cell>
          <cell r="B16844">
            <v>525378</v>
          </cell>
        </row>
        <row r="16845">
          <cell r="A16845" t="str">
            <v>红流云79级</v>
          </cell>
          <cell r="B16845">
            <v>525379</v>
          </cell>
        </row>
        <row r="16846">
          <cell r="A16846" t="str">
            <v>红流云80级</v>
          </cell>
          <cell r="B16846">
            <v>525380</v>
          </cell>
        </row>
        <row r="16847">
          <cell r="A16847" t="str">
            <v>红阴阳1级</v>
          </cell>
          <cell r="B16847">
            <v>526301</v>
          </cell>
        </row>
        <row r="16848">
          <cell r="A16848" t="str">
            <v>红阴阳2级</v>
          </cell>
          <cell r="B16848">
            <v>526302</v>
          </cell>
        </row>
        <row r="16849">
          <cell r="A16849" t="str">
            <v>红阴阳3级</v>
          </cell>
          <cell r="B16849">
            <v>526303</v>
          </cell>
        </row>
        <row r="16850">
          <cell r="A16850" t="str">
            <v>红阴阳4级</v>
          </cell>
          <cell r="B16850">
            <v>526304</v>
          </cell>
        </row>
        <row r="16851">
          <cell r="A16851" t="str">
            <v>红阴阳5级</v>
          </cell>
          <cell r="B16851">
            <v>526305</v>
          </cell>
        </row>
        <row r="16852">
          <cell r="A16852" t="str">
            <v>红阴阳6级</v>
          </cell>
          <cell r="B16852">
            <v>526306</v>
          </cell>
        </row>
        <row r="16853">
          <cell r="A16853" t="str">
            <v>红阴阳7级</v>
          </cell>
          <cell r="B16853">
            <v>526307</v>
          </cell>
        </row>
        <row r="16854">
          <cell r="A16854" t="str">
            <v>红阴阳8级</v>
          </cell>
          <cell r="B16854">
            <v>526308</v>
          </cell>
        </row>
        <row r="16855">
          <cell r="A16855" t="str">
            <v>红阴阳9级</v>
          </cell>
          <cell r="B16855">
            <v>526309</v>
          </cell>
        </row>
        <row r="16856">
          <cell r="A16856" t="str">
            <v>红阴阳10级</v>
          </cell>
          <cell r="B16856">
            <v>526310</v>
          </cell>
        </row>
        <row r="16857">
          <cell r="A16857" t="str">
            <v>红阴阳11级</v>
          </cell>
          <cell r="B16857">
            <v>526311</v>
          </cell>
        </row>
        <row r="16858">
          <cell r="A16858" t="str">
            <v>红阴阳12级</v>
          </cell>
          <cell r="B16858">
            <v>526312</v>
          </cell>
        </row>
        <row r="16859">
          <cell r="A16859" t="str">
            <v>红阴阳13级</v>
          </cell>
          <cell r="B16859">
            <v>526313</v>
          </cell>
        </row>
        <row r="16860">
          <cell r="A16860" t="str">
            <v>红阴阳14级</v>
          </cell>
          <cell r="B16860">
            <v>526314</v>
          </cell>
        </row>
        <row r="16861">
          <cell r="A16861" t="str">
            <v>红阴阳15级</v>
          </cell>
          <cell r="B16861">
            <v>526315</v>
          </cell>
        </row>
        <row r="16862">
          <cell r="A16862" t="str">
            <v>红阴阳16级</v>
          </cell>
          <cell r="B16862">
            <v>526316</v>
          </cell>
        </row>
        <row r="16863">
          <cell r="A16863" t="str">
            <v>红阴阳17级</v>
          </cell>
          <cell r="B16863">
            <v>526317</v>
          </cell>
        </row>
        <row r="16864">
          <cell r="A16864" t="str">
            <v>红阴阳18级</v>
          </cell>
          <cell r="B16864">
            <v>526318</v>
          </cell>
        </row>
        <row r="16865">
          <cell r="A16865" t="str">
            <v>红阴阳19级</v>
          </cell>
          <cell r="B16865">
            <v>526319</v>
          </cell>
        </row>
        <row r="16866">
          <cell r="A16866" t="str">
            <v>红阴阳20级</v>
          </cell>
          <cell r="B16866">
            <v>526320</v>
          </cell>
        </row>
        <row r="16867">
          <cell r="A16867" t="str">
            <v>红阴阳21级</v>
          </cell>
          <cell r="B16867">
            <v>526321</v>
          </cell>
        </row>
        <row r="16868">
          <cell r="A16868" t="str">
            <v>红阴阳22级</v>
          </cell>
          <cell r="B16868">
            <v>526322</v>
          </cell>
        </row>
        <row r="16869">
          <cell r="A16869" t="str">
            <v>红阴阳23级</v>
          </cell>
          <cell r="B16869">
            <v>526323</v>
          </cell>
        </row>
        <row r="16870">
          <cell r="A16870" t="str">
            <v>红阴阳24级</v>
          </cell>
          <cell r="B16870">
            <v>526324</v>
          </cell>
        </row>
        <row r="16871">
          <cell r="A16871" t="str">
            <v>红阴阳25级</v>
          </cell>
          <cell r="B16871">
            <v>526325</v>
          </cell>
        </row>
        <row r="16872">
          <cell r="A16872" t="str">
            <v>红阴阳26级</v>
          </cell>
          <cell r="B16872">
            <v>526326</v>
          </cell>
        </row>
        <row r="16873">
          <cell r="A16873" t="str">
            <v>红阴阳27级</v>
          </cell>
          <cell r="B16873">
            <v>526327</v>
          </cell>
        </row>
        <row r="16874">
          <cell r="A16874" t="str">
            <v>红阴阳28级</v>
          </cell>
          <cell r="B16874">
            <v>526328</v>
          </cell>
        </row>
        <row r="16875">
          <cell r="A16875" t="str">
            <v>红阴阳29级</v>
          </cell>
          <cell r="B16875">
            <v>526329</v>
          </cell>
        </row>
        <row r="16876">
          <cell r="A16876" t="str">
            <v>红阴阳30级</v>
          </cell>
          <cell r="B16876">
            <v>526330</v>
          </cell>
        </row>
        <row r="16877">
          <cell r="A16877" t="str">
            <v>红阴阳31级</v>
          </cell>
          <cell r="B16877">
            <v>526331</v>
          </cell>
        </row>
        <row r="16878">
          <cell r="A16878" t="str">
            <v>红阴阳32级</v>
          </cell>
          <cell r="B16878">
            <v>526332</v>
          </cell>
        </row>
        <row r="16879">
          <cell r="A16879" t="str">
            <v>红阴阳33级</v>
          </cell>
          <cell r="B16879">
            <v>526333</v>
          </cell>
        </row>
        <row r="16880">
          <cell r="A16880" t="str">
            <v>红阴阳34级</v>
          </cell>
          <cell r="B16880">
            <v>526334</v>
          </cell>
        </row>
        <row r="16881">
          <cell r="A16881" t="str">
            <v>红阴阳35级</v>
          </cell>
          <cell r="B16881">
            <v>526335</v>
          </cell>
        </row>
        <row r="16882">
          <cell r="A16882" t="str">
            <v>红阴阳36级</v>
          </cell>
          <cell r="B16882">
            <v>526336</v>
          </cell>
        </row>
        <row r="16883">
          <cell r="A16883" t="str">
            <v>红阴阳37级</v>
          </cell>
          <cell r="B16883">
            <v>526337</v>
          </cell>
        </row>
        <row r="16884">
          <cell r="A16884" t="str">
            <v>红阴阳38级</v>
          </cell>
          <cell r="B16884">
            <v>526338</v>
          </cell>
        </row>
        <row r="16885">
          <cell r="A16885" t="str">
            <v>红阴阳39级</v>
          </cell>
          <cell r="B16885">
            <v>526339</v>
          </cell>
        </row>
        <row r="16886">
          <cell r="A16886" t="str">
            <v>红阴阳40级</v>
          </cell>
          <cell r="B16886">
            <v>526340</v>
          </cell>
        </row>
        <row r="16887">
          <cell r="A16887" t="str">
            <v>红阴阳41级</v>
          </cell>
          <cell r="B16887">
            <v>526341</v>
          </cell>
        </row>
        <row r="16888">
          <cell r="A16888" t="str">
            <v>红阴阳42级</v>
          </cell>
          <cell r="B16888">
            <v>526342</v>
          </cell>
        </row>
        <row r="16889">
          <cell r="A16889" t="str">
            <v>红阴阳43级</v>
          </cell>
          <cell r="B16889">
            <v>526343</v>
          </cell>
        </row>
        <row r="16890">
          <cell r="A16890" t="str">
            <v>红阴阳44级</v>
          </cell>
          <cell r="B16890">
            <v>526344</v>
          </cell>
        </row>
        <row r="16891">
          <cell r="A16891" t="str">
            <v>红阴阳45级</v>
          </cell>
          <cell r="B16891">
            <v>526345</v>
          </cell>
        </row>
        <row r="16892">
          <cell r="A16892" t="str">
            <v>红阴阳46级</v>
          </cell>
          <cell r="B16892">
            <v>526346</v>
          </cell>
        </row>
        <row r="16893">
          <cell r="A16893" t="str">
            <v>红阴阳47级</v>
          </cell>
          <cell r="B16893">
            <v>526347</v>
          </cell>
        </row>
        <row r="16894">
          <cell r="A16894" t="str">
            <v>红阴阳48级</v>
          </cell>
          <cell r="B16894">
            <v>526348</v>
          </cell>
        </row>
        <row r="16895">
          <cell r="A16895" t="str">
            <v>红阴阳49级</v>
          </cell>
          <cell r="B16895">
            <v>526349</v>
          </cell>
        </row>
        <row r="16896">
          <cell r="A16896" t="str">
            <v>红阴阳50级</v>
          </cell>
          <cell r="B16896">
            <v>526350</v>
          </cell>
        </row>
        <row r="16897">
          <cell r="A16897" t="str">
            <v>红阴阳51级</v>
          </cell>
          <cell r="B16897">
            <v>526351</v>
          </cell>
        </row>
        <row r="16898">
          <cell r="A16898" t="str">
            <v>红阴阳52级</v>
          </cell>
          <cell r="B16898">
            <v>526352</v>
          </cell>
        </row>
        <row r="16899">
          <cell r="A16899" t="str">
            <v>红阴阳53级</v>
          </cell>
          <cell r="B16899">
            <v>526353</v>
          </cell>
        </row>
        <row r="16900">
          <cell r="A16900" t="str">
            <v>红阴阳54级</v>
          </cell>
          <cell r="B16900">
            <v>526354</v>
          </cell>
        </row>
        <row r="16901">
          <cell r="A16901" t="str">
            <v>红阴阳55级</v>
          </cell>
          <cell r="B16901">
            <v>526355</v>
          </cell>
        </row>
        <row r="16902">
          <cell r="A16902" t="str">
            <v>红阴阳56级</v>
          </cell>
          <cell r="B16902">
            <v>526356</v>
          </cell>
        </row>
        <row r="16903">
          <cell r="A16903" t="str">
            <v>红阴阳57级</v>
          </cell>
          <cell r="B16903">
            <v>526357</v>
          </cell>
        </row>
        <row r="16904">
          <cell r="A16904" t="str">
            <v>红阴阳58级</v>
          </cell>
          <cell r="B16904">
            <v>526358</v>
          </cell>
        </row>
        <row r="16905">
          <cell r="A16905" t="str">
            <v>红阴阳59级</v>
          </cell>
          <cell r="B16905">
            <v>526359</v>
          </cell>
        </row>
        <row r="16906">
          <cell r="A16906" t="str">
            <v>红阴阳60级</v>
          </cell>
          <cell r="B16906">
            <v>526360</v>
          </cell>
        </row>
        <row r="16907">
          <cell r="A16907" t="str">
            <v>红阴阳61级</v>
          </cell>
          <cell r="B16907">
            <v>526361</v>
          </cell>
        </row>
        <row r="16908">
          <cell r="A16908" t="str">
            <v>红阴阳62级</v>
          </cell>
          <cell r="B16908">
            <v>526362</v>
          </cell>
        </row>
        <row r="16909">
          <cell r="A16909" t="str">
            <v>红阴阳63级</v>
          </cell>
          <cell r="B16909">
            <v>526363</v>
          </cell>
        </row>
        <row r="16910">
          <cell r="A16910" t="str">
            <v>红阴阳64级</v>
          </cell>
          <cell r="B16910">
            <v>526364</v>
          </cell>
        </row>
        <row r="16911">
          <cell r="A16911" t="str">
            <v>红阴阳65级</v>
          </cell>
          <cell r="B16911">
            <v>526365</v>
          </cell>
        </row>
        <row r="16912">
          <cell r="A16912" t="str">
            <v>红阴阳66级</v>
          </cell>
          <cell r="B16912">
            <v>526366</v>
          </cell>
        </row>
        <row r="16913">
          <cell r="A16913" t="str">
            <v>红阴阳67级</v>
          </cell>
          <cell r="B16913">
            <v>526367</v>
          </cell>
        </row>
        <row r="16914">
          <cell r="A16914" t="str">
            <v>红阴阳68级</v>
          </cell>
          <cell r="B16914">
            <v>526368</v>
          </cell>
        </row>
        <row r="16915">
          <cell r="A16915" t="str">
            <v>红阴阳69级</v>
          </cell>
          <cell r="B16915">
            <v>526369</v>
          </cell>
        </row>
        <row r="16916">
          <cell r="A16916" t="str">
            <v>红阴阳70级</v>
          </cell>
          <cell r="B16916">
            <v>526370</v>
          </cell>
        </row>
        <row r="16917">
          <cell r="A16917" t="str">
            <v>红阴阳71级</v>
          </cell>
          <cell r="B16917">
            <v>526371</v>
          </cell>
        </row>
        <row r="16918">
          <cell r="A16918" t="str">
            <v>红阴阳72级</v>
          </cell>
          <cell r="B16918">
            <v>526372</v>
          </cell>
        </row>
        <row r="16919">
          <cell r="A16919" t="str">
            <v>红阴阳73级</v>
          </cell>
          <cell r="B16919">
            <v>526373</v>
          </cell>
        </row>
        <row r="16920">
          <cell r="A16920" t="str">
            <v>红阴阳74级</v>
          </cell>
          <cell r="B16920">
            <v>526374</v>
          </cell>
        </row>
        <row r="16921">
          <cell r="A16921" t="str">
            <v>红阴阳75级</v>
          </cell>
          <cell r="B16921">
            <v>526375</v>
          </cell>
        </row>
        <row r="16922">
          <cell r="A16922" t="str">
            <v>红阴阳76级</v>
          </cell>
          <cell r="B16922">
            <v>526376</v>
          </cell>
        </row>
        <row r="16923">
          <cell r="A16923" t="str">
            <v>红阴阳77级</v>
          </cell>
          <cell r="B16923">
            <v>526377</v>
          </cell>
        </row>
        <row r="16924">
          <cell r="A16924" t="str">
            <v>红阴阳78级</v>
          </cell>
          <cell r="B16924">
            <v>526378</v>
          </cell>
        </row>
        <row r="16925">
          <cell r="A16925" t="str">
            <v>红阴阳79级</v>
          </cell>
          <cell r="B16925">
            <v>526379</v>
          </cell>
        </row>
        <row r="16926">
          <cell r="A16926" t="str">
            <v>红阴阳80级</v>
          </cell>
          <cell r="B16926">
            <v>526380</v>
          </cell>
        </row>
        <row r="16927">
          <cell r="A16927" t="str">
            <v>红善财1级</v>
          </cell>
          <cell r="B16927">
            <v>527301</v>
          </cell>
        </row>
        <row r="16928">
          <cell r="A16928" t="str">
            <v>红善财2级</v>
          </cell>
          <cell r="B16928">
            <v>527302</v>
          </cell>
        </row>
        <row r="16929">
          <cell r="A16929" t="str">
            <v>红善财3级</v>
          </cell>
          <cell r="B16929">
            <v>527303</v>
          </cell>
        </row>
        <row r="16930">
          <cell r="A16930" t="str">
            <v>红善财4级</v>
          </cell>
          <cell r="B16930">
            <v>527304</v>
          </cell>
        </row>
        <row r="16931">
          <cell r="A16931" t="str">
            <v>红善财5级</v>
          </cell>
          <cell r="B16931">
            <v>527305</v>
          </cell>
        </row>
        <row r="16932">
          <cell r="A16932" t="str">
            <v>红善财6级</v>
          </cell>
          <cell r="B16932">
            <v>527306</v>
          </cell>
        </row>
        <row r="16933">
          <cell r="A16933" t="str">
            <v>红善财7级</v>
          </cell>
          <cell r="B16933">
            <v>527307</v>
          </cell>
        </row>
        <row r="16934">
          <cell r="A16934" t="str">
            <v>红善财8级</v>
          </cell>
          <cell r="B16934">
            <v>527308</v>
          </cell>
        </row>
        <row r="16935">
          <cell r="A16935" t="str">
            <v>红善财9级</v>
          </cell>
          <cell r="B16935">
            <v>527309</v>
          </cell>
        </row>
        <row r="16936">
          <cell r="A16936" t="str">
            <v>红善财10级</v>
          </cell>
          <cell r="B16936">
            <v>527310</v>
          </cell>
        </row>
        <row r="16937">
          <cell r="A16937" t="str">
            <v>红善财11级</v>
          </cell>
          <cell r="B16937">
            <v>527311</v>
          </cell>
        </row>
        <row r="16938">
          <cell r="A16938" t="str">
            <v>红善财12级</v>
          </cell>
          <cell r="B16938">
            <v>527312</v>
          </cell>
        </row>
        <row r="16939">
          <cell r="A16939" t="str">
            <v>红善财13级</v>
          </cell>
          <cell r="B16939">
            <v>527313</v>
          </cell>
        </row>
        <row r="16940">
          <cell r="A16940" t="str">
            <v>红善财14级</v>
          </cell>
          <cell r="B16940">
            <v>527314</v>
          </cell>
        </row>
        <row r="16941">
          <cell r="A16941" t="str">
            <v>红善财15级</v>
          </cell>
          <cell r="B16941">
            <v>527315</v>
          </cell>
        </row>
        <row r="16942">
          <cell r="A16942" t="str">
            <v>红善财16级</v>
          </cell>
          <cell r="B16942">
            <v>527316</v>
          </cell>
        </row>
        <row r="16943">
          <cell r="A16943" t="str">
            <v>红善财17级</v>
          </cell>
          <cell r="B16943">
            <v>527317</v>
          </cell>
        </row>
        <row r="16944">
          <cell r="A16944" t="str">
            <v>红善财18级</v>
          </cell>
          <cell r="B16944">
            <v>527318</v>
          </cell>
        </row>
        <row r="16945">
          <cell r="A16945" t="str">
            <v>红善财19级</v>
          </cell>
          <cell r="B16945">
            <v>527319</v>
          </cell>
        </row>
        <row r="16946">
          <cell r="A16946" t="str">
            <v>红善财20级</v>
          </cell>
          <cell r="B16946">
            <v>527320</v>
          </cell>
        </row>
        <row r="16947">
          <cell r="A16947" t="str">
            <v>红善财21级</v>
          </cell>
          <cell r="B16947">
            <v>527321</v>
          </cell>
        </row>
        <row r="16948">
          <cell r="A16948" t="str">
            <v>红善财22级</v>
          </cell>
          <cell r="B16948">
            <v>527322</v>
          </cell>
        </row>
        <row r="16949">
          <cell r="A16949" t="str">
            <v>红善财23级</v>
          </cell>
          <cell r="B16949">
            <v>527323</v>
          </cell>
        </row>
        <row r="16950">
          <cell r="A16950" t="str">
            <v>红善财24级</v>
          </cell>
          <cell r="B16950">
            <v>527324</v>
          </cell>
        </row>
        <row r="16951">
          <cell r="A16951" t="str">
            <v>红善财25级</v>
          </cell>
          <cell r="B16951">
            <v>527325</v>
          </cell>
        </row>
        <row r="16952">
          <cell r="A16952" t="str">
            <v>红善财26级</v>
          </cell>
          <cell r="B16952">
            <v>527326</v>
          </cell>
        </row>
        <row r="16953">
          <cell r="A16953" t="str">
            <v>红善财27级</v>
          </cell>
          <cell r="B16953">
            <v>527327</v>
          </cell>
        </row>
        <row r="16954">
          <cell r="A16954" t="str">
            <v>红善财28级</v>
          </cell>
          <cell r="B16954">
            <v>527328</v>
          </cell>
        </row>
        <row r="16955">
          <cell r="A16955" t="str">
            <v>红善财29级</v>
          </cell>
          <cell r="B16955">
            <v>527329</v>
          </cell>
        </row>
        <row r="16956">
          <cell r="A16956" t="str">
            <v>红善财30级</v>
          </cell>
          <cell r="B16956">
            <v>527330</v>
          </cell>
        </row>
        <row r="16957">
          <cell r="A16957" t="str">
            <v>红善财31级</v>
          </cell>
          <cell r="B16957">
            <v>527331</v>
          </cell>
        </row>
        <row r="16958">
          <cell r="A16958" t="str">
            <v>红善财32级</v>
          </cell>
          <cell r="B16958">
            <v>527332</v>
          </cell>
        </row>
        <row r="16959">
          <cell r="A16959" t="str">
            <v>红善财33级</v>
          </cell>
          <cell r="B16959">
            <v>527333</v>
          </cell>
        </row>
        <row r="16960">
          <cell r="A16960" t="str">
            <v>红善财34级</v>
          </cell>
          <cell r="B16960">
            <v>527334</v>
          </cell>
        </row>
        <row r="16961">
          <cell r="A16961" t="str">
            <v>红善财35级</v>
          </cell>
          <cell r="B16961">
            <v>527335</v>
          </cell>
        </row>
        <row r="16962">
          <cell r="A16962" t="str">
            <v>红善财36级</v>
          </cell>
          <cell r="B16962">
            <v>527336</v>
          </cell>
        </row>
        <row r="16963">
          <cell r="A16963" t="str">
            <v>红善财37级</v>
          </cell>
          <cell r="B16963">
            <v>527337</v>
          </cell>
        </row>
        <row r="16964">
          <cell r="A16964" t="str">
            <v>红善财38级</v>
          </cell>
          <cell r="B16964">
            <v>527338</v>
          </cell>
        </row>
        <row r="16965">
          <cell r="A16965" t="str">
            <v>红善财39级</v>
          </cell>
          <cell r="B16965">
            <v>527339</v>
          </cell>
        </row>
        <row r="16966">
          <cell r="A16966" t="str">
            <v>红善财40级</v>
          </cell>
          <cell r="B16966">
            <v>527340</v>
          </cell>
        </row>
        <row r="16967">
          <cell r="A16967" t="str">
            <v>红善财41级</v>
          </cell>
          <cell r="B16967">
            <v>527341</v>
          </cell>
        </row>
        <row r="16968">
          <cell r="A16968" t="str">
            <v>红善财42级</v>
          </cell>
          <cell r="B16968">
            <v>527342</v>
          </cell>
        </row>
        <row r="16969">
          <cell r="A16969" t="str">
            <v>红善财43级</v>
          </cell>
          <cell r="B16969">
            <v>527343</v>
          </cell>
        </row>
        <row r="16970">
          <cell r="A16970" t="str">
            <v>红善财44级</v>
          </cell>
          <cell r="B16970">
            <v>527344</v>
          </cell>
        </row>
        <row r="16971">
          <cell r="A16971" t="str">
            <v>红善财45级</v>
          </cell>
          <cell r="B16971">
            <v>527345</v>
          </cell>
        </row>
        <row r="16972">
          <cell r="A16972" t="str">
            <v>红善财46级</v>
          </cell>
          <cell r="B16972">
            <v>527346</v>
          </cell>
        </row>
        <row r="16973">
          <cell r="A16973" t="str">
            <v>红善财47级</v>
          </cell>
          <cell r="B16973">
            <v>527347</v>
          </cell>
        </row>
        <row r="16974">
          <cell r="A16974" t="str">
            <v>红善财48级</v>
          </cell>
          <cell r="B16974">
            <v>527348</v>
          </cell>
        </row>
        <row r="16975">
          <cell r="A16975" t="str">
            <v>红善财49级</v>
          </cell>
          <cell r="B16975">
            <v>527349</v>
          </cell>
        </row>
        <row r="16976">
          <cell r="A16976" t="str">
            <v>红善财50级</v>
          </cell>
          <cell r="B16976">
            <v>527350</v>
          </cell>
        </row>
        <row r="16977">
          <cell r="A16977" t="str">
            <v>红善财51级</v>
          </cell>
          <cell r="B16977">
            <v>527351</v>
          </cell>
        </row>
        <row r="16978">
          <cell r="A16978" t="str">
            <v>红善财52级</v>
          </cell>
          <cell r="B16978">
            <v>527352</v>
          </cell>
        </row>
        <row r="16979">
          <cell r="A16979" t="str">
            <v>红善财53级</v>
          </cell>
          <cell r="B16979">
            <v>527353</v>
          </cell>
        </row>
        <row r="16980">
          <cell r="A16980" t="str">
            <v>红善财54级</v>
          </cell>
          <cell r="B16980">
            <v>527354</v>
          </cell>
        </row>
        <row r="16981">
          <cell r="A16981" t="str">
            <v>红善财55级</v>
          </cell>
          <cell r="B16981">
            <v>527355</v>
          </cell>
        </row>
        <row r="16982">
          <cell r="A16982" t="str">
            <v>红善财56级</v>
          </cell>
          <cell r="B16982">
            <v>527356</v>
          </cell>
        </row>
        <row r="16983">
          <cell r="A16983" t="str">
            <v>红善财57级</v>
          </cell>
          <cell r="B16983">
            <v>527357</v>
          </cell>
        </row>
        <row r="16984">
          <cell r="A16984" t="str">
            <v>红善财58级</v>
          </cell>
          <cell r="B16984">
            <v>527358</v>
          </cell>
        </row>
        <row r="16985">
          <cell r="A16985" t="str">
            <v>红善财59级</v>
          </cell>
          <cell r="B16985">
            <v>527359</v>
          </cell>
        </row>
        <row r="16986">
          <cell r="A16986" t="str">
            <v>红善财60级</v>
          </cell>
          <cell r="B16986">
            <v>527360</v>
          </cell>
        </row>
        <row r="16987">
          <cell r="A16987" t="str">
            <v>红善财61级</v>
          </cell>
          <cell r="B16987">
            <v>527361</v>
          </cell>
        </row>
        <row r="16988">
          <cell r="A16988" t="str">
            <v>红善财62级</v>
          </cell>
          <cell r="B16988">
            <v>527362</v>
          </cell>
        </row>
        <row r="16989">
          <cell r="A16989" t="str">
            <v>红善财63级</v>
          </cell>
          <cell r="B16989">
            <v>527363</v>
          </cell>
        </row>
        <row r="16990">
          <cell r="A16990" t="str">
            <v>红善财64级</v>
          </cell>
          <cell r="B16990">
            <v>527364</v>
          </cell>
        </row>
        <row r="16991">
          <cell r="A16991" t="str">
            <v>红善财65级</v>
          </cell>
          <cell r="B16991">
            <v>527365</v>
          </cell>
        </row>
        <row r="16992">
          <cell r="A16992" t="str">
            <v>红善财66级</v>
          </cell>
          <cell r="B16992">
            <v>527366</v>
          </cell>
        </row>
        <row r="16993">
          <cell r="A16993" t="str">
            <v>红善财67级</v>
          </cell>
          <cell r="B16993">
            <v>527367</v>
          </cell>
        </row>
        <row r="16994">
          <cell r="A16994" t="str">
            <v>红善财68级</v>
          </cell>
          <cell r="B16994">
            <v>527368</v>
          </cell>
        </row>
        <row r="16995">
          <cell r="A16995" t="str">
            <v>红善财69级</v>
          </cell>
          <cell r="B16995">
            <v>527369</v>
          </cell>
        </row>
        <row r="16996">
          <cell r="A16996" t="str">
            <v>红善财70级</v>
          </cell>
          <cell r="B16996">
            <v>527370</v>
          </cell>
        </row>
        <row r="16997">
          <cell r="A16997" t="str">
            <v>红善财71级</v>
          </cell>
          <cell r="B16997">
            <v>527371</v>
          </cell>
        </row>
        <row r="16998">
          <cell r="A16998" t="str">
            <v>红善财72级</v>
          </cell>
          <cell r="B16998">
            <v>527372</v>
          </cell>
        </row>
        <row r="16999">
          <cell r="A16999" t="str">
            <v>红善财73级</v>
          </cell>
          <cell r="B16999">
            <v>527373</v>
          </cell>
        </row>
        <row r="17000">
          <cell r="A17000" t="str">
            <v>红善财74级</v>
          </cell>
          <cell r="B17000">
            <v>527374</v>
          </cell>
        </row>
        <row r="17001">
          <cell r="A17001" t="str">
            <v>红善财75级</v>
          </cell>
          <cell r="B17001">
            <v>527375</v>
          </cell>
        </row>
        <row r="17002">
          <cell r="A17002" t="str">
            <v>红善财76级</v>
          </cell>
          <cell r="B17002">
            <v>527376</v>
          </cell>
        </row>
        <row r="17003">
          <cell r="A17003" t="str">
            <v>红善财77级</v>
          </cell>
          <cell r="B17003">
            <v>527377</v>
          </cell>
        </row>
        <row r="17004">
          <cell r="A17004" t="str">
            <v>红善财78级</v>
          </cell>
          <cell r="B17004">
            <v>527378</v>
          </cell>
        </row>
        <row r="17005">
          <cell r="A17005" t="str">
            <v>红善财79级</v>
          </cell>
          <cell r="B17005">
            <v>527379</v>
          </cell>
        </row>
        <row r="17006">
          <cell r="A17006" t="str">
            <v>红善财80级</v>
          </cell>
          <cell r="B17006">
            <v>527380</v>
          </cell>
        </row>
        <row r="17007">
          <cell r="A17007" t="str">
            <v>金破军1级</v>
          </cell>
          <cell r="B17007">
            <v>519401</v>
          </cell>
        </row>
        <row r="17008">
          <cell r="A17008" t="str">
            <v>金破军2级</v>
          </cell>
          <cell r="B17008">
            <v>519402</v>
          </cell>
        </row>
        <row r="17009">
          <cell r="A17009" t="str">
            <v>金破军3级</v>
          </cell>
          <cell r="B17009">
            <v>519403</v>
          </cell>
        </row>
        <row r="17010">
          <cell r="A17010" t="str">
            <v>金破军4级</v>
          </cell>
          <cell r="B17010">
            <v>519404</v>
          </cell>
        </row>
        <row r="17011">
          <cell r="A17011" t="str">
            <v>金破军5级</v>
          </cell>
          <cell r="B17011">
            <v>519405</v>
          </cell>
        </row>
        <row r="17012">
          <cell r="A17012" t="str">
            <v>金破军6级</v>
          </cell>
          <cell r="B17012">
            <v>519406</v>
          </cell>
        </row>
        <row r="17013">
          <cell r="A17013" t="str">
            <v>金破军7级</v>
          </cell>
          <cell r="B17013">
            <v>519407</v>
          </cell>
        </row>
        <row r="17014">
          <cell r="A17014" t="str">
            <v>金破军8级</v>
          </cell>
          <cell r="B17014">
            <v>519408</v>
          </cell>
        </row>
        <row r="17015">
          <cell r="A17015" t="str">
            <v>金破军9级</v>
          </cell>
          <cell r="B17015">
            <v>519409</v>
          </cell>
        </row>
        <row r="17016">
          <cell r="A17016" t="str">
            <v>金破军10级</v>
          </cell>
          <cell r="B17016">
            <v>519410</v>
          </cell>
        </row>
        <row r="17017">
          <cell r="A17017" t="str">
            <v>金破军11级</v>
          </cell>
          <cell r="B17017">
            <v>519411</v>
          </cell>
        </row>
        <row r="17018">
          <cell r="A17018" t="str">
            <v>金破军12级</v>
          </cell>
          <cell r="B17018">
            <v>519412</v>
          </cell>
        </row>
        <row r="17019">
          <cell r="A17019" t="str">
            <v>金破军13级</v>
          </cell>
          <cell r="B17019">
            <v>519413</v>
          </cell>
        </row>
        <row r="17020">
          <cell r="A17020" t="str">
            <v>金破军14级</v>
          </cell>
          <cell r="B17020">
            <v>519414</v>
          </cell>
        </row>
        <row r="17021">
          <cell r="A17021" t="str">
            <v>金破军15级</v>
          </cell>
          <cell r="B17021">
            <v>519415</v>
          </cell>
        </row>
        <row r="17022">
          <cell r="A17022" t="str">
            <v>金破军16级</v>
          </cell>
          <cell r="B17022">
            <v>519416</v>
          </cell>
        </row>
        <row r="17023">
          <cell r="A17023" t="str">
            <v>金破军17级</v>
          </cell>
          <cell r="B17023">
            <v>519417</v>
          </cell>
        </row>
        <row r="17024">
          <cell r="A17024" t="str">
            <v>金破军18级</v>
          </cell>
          <cell r="B17024">
            <v>519418</v>
          </cell>
        </row>
        <row r="17025">
          <cell r="A17025" t="str">
            <v>金破军19级</v>
          </cell>
          <cell r="B17025">
            <v>519419</v>
          </cell>
        </row>
        <row r="17026">
          <cell r="A17026" t="str">
            <v>金破军20级</v>
          </cell>
          <cell r="B17026">
            <v>519420</v>
          </cell>
        </row>
        <row r="17027">
          <cell r="A17027" t="str">
            <v>金破军21级</v>
          </cell>
          <cell r="B17027">
            <v>519421</v>
          </cell>
        </row>
        <row r="17028">
          <cell r="A17028" t="str">
            <v>金破军22级</v>
          </cell>
          <cell r="B17028">
            <v>519422</v>
          </cell>
        </row>
        <row r="17029">
          <cell r="A17029" t="str">
            <v>金破军23级</v>
          </cell>
          <cell r="B17029">
            <v>519423</v>
          </cell>
        </row>
        <row r="17030">
          <cell r="A17030" t="str">
            <v>金破军24级</v>
          </cell>
          <cell r="B17030">
            <v>519424</v>
          </cell>
        </row>
        <row r="17031">
          <cell r="A17031" t="str">
            <v>金破军25级</v>
          </cell>
          <cell r="B17031">
            <v>519425</v>
          </cell>
        </row>
        <row r="17032">
          <cell r="A17032" t="str">
            <v>金破军26级</v>
          </cell>
          <cell r="B17032">
            <v>519426</v>
          </cell>
        </row>
        <row r="17033">
          <cell r="A17033" t="str">
            <v>金破军27级</v>
          </cell>
          <cell r="B17033">
            <v>519427</v>
          </cell>
        </row>
        <row r="17034">
          <cell r="A17034" t="str">
            <v>金破军28级</v>
          </cell>
          <cell r="B17034">
            <v>519428</v>
          </cell>
        </row>
        <row r="17035">
          <cell r="A17035" t="str">
            <v>金破军29级</v>
          </cell>
          <cell r="B17035">
            <v>519429</v>
          </cell>
        </row>
        <row r="17036">
          <cell r="A17036" t="str">
            <v>金破军30级</v>
          </cell>
          <cell r="B17036">
            <v>519430</v>
          </cell>
        </row>
        <row r="17037">
          <cell r="A17037" t="str">
            <v>金破军31级</v>
          </cell>
          <cell r="B17037">
            <v>519431</v>
          </cell>
        </row>
        <row r="17038">
          <cell r="A17038" t="str">
            <v>金破军32级</v>
          </cell>
          <cell r="B17038">
            <v>519432</v>
          </cell>
        </row>
        <row r="17039">
          <cell r="A17039" t="str">
            <v>金破军33级</v>
          </cell>
          <cell r="B17039">
            <v>519433</v>
          </cell>
        </row>
        <row r="17040">
          <cell r="A17040" t="str">
            <v>金破军34级</v>
          </cell>
          <cell r="B17040">
            <v>519434</v>
          </cell>
        </row>
        <row r="17041">
          <cell r="A17041" t="str">
            <v>金破军35级</v>
          </cell>
          <cell r="B17041">
            <v>519435</v>
          </cell>
        </row>
        <row r="17042">
          <cell r="A17042" t="str">
            <v>金破军36级</v>
          </cell>
          <cell r="B17042">
            <v>519436</v>
          </cell>
        </row>
        <row r="17043">
          <cell r="A17043" t="str">
            <v>金破军37级</v>
          </cell>
          <cell r="B17043">
            <v>519437</v>
          </cell>
        </row>
        <row r="17044">
          <cell r="A17044" t="str">
            <v>金破军38级</v>
          </cell>
          <cell r="B17044">
            <v>519438</v>
          </cell>
        </row>
        <row r="17045">
          <cell r="A17045" t="str">
            <v>金破军39级</v>
          </cell>
          <cell r="B17045">
            <v>519439</v>
          </cell>
        </row>
        <row r="17046">
          <cell r="A17046" t="str">
            <v>金破军40级</v>
          </cell>
          <cell r="B17046">
            <v>519440</v>
          </cell>
        </row>
        <row r="17047">
          <cell r="A17047" t="str">
            <v>金破军41级</v>
          </cell>
          <cell r="B17047">
            <v>519441</v>
          </cell>
        </row>
        <row r="17048">
          <cell r="A17048" t="str">
            <v>金破军42级</v>
          </cell>
          <cell r="B17048">
            <v>519442</v>
          </cell>
        </row>
        <row r="17049">
          <cell r="A17049" t="str">
            <v>金破军43级</v>
          </cell>
          <cell r="B17049">
            <v>519443</v>
          </cell>
        </row>
        <row r="17050">
          <cell r="A17050" t="str">
            <v>金破军44级</v>
          </cell>
          <cell r="B17050">
            <v>519444</v>
          </cell>
        </row>
        <row r="17051">
          <cell r="A17051" t="str">
            <v>金破军45级</v>
          </cell>
          <cell r="B17051">
            <v>519445</v>
          </cell>
        </row>
        <row r="17052">
          <cell r="A17052" t="str">
            <v>金破军46级</v>
          </cell>
          <cell r="B17052">
            <v>519446</v>
          </cell>
        </row>
        <row r="17053">
          <cell r="A17053" t="str">
            <v>金破军47级</v>
          </cell>
          <cell r="B17053">
            <v>519447</v>
          </cell>
        </row>
        <row r="17054">
          <cell r="A17054" t="str">
            <v>金破军48级</v>
          </cell>
          <cell r="B17054">
            <v>519448</v>
          </cell>
        </row>
        <row r="17055">
          <cell r="A17055" t="str">
            <v>金破军49级</v>
          </cell>
          <cell r="B17055">
            <v>519449</v>
          </cell>
        </row>
        <row r="17056">
          <cell r="A17056" t="str">
            <v>金破军50级</v>
          </cell>
          <cell r="B17056">
            <v>519450</v>
          </cell>
        </row>
        <row r="17057">
          <cell r="A17057" t="str">
            <v>金破军51级</v>
          </cell>
          <cell r="B17057">
            <v>519451</v>
          </cell>
        </row>
        <row r="17058">
          <cell r="A17058" t="str">
            <v>金破军52级</v>
          </cell>
          <cell r="B17058">
            <v>519452</v>
          </cell>
        </row>
        <row r="17059">
          <cell r="A17059" t="str">
            <v>金破军53级</v>
          </cell>
          <cell r="B17059">
            <v>519453</v>
          </cell>
        </row>
        <row r="17060">
          <cell r="A17060" t="str">
            <v>金破军54级</v>
          </cell>
          <cell r="B17060">
            <v>519454</v>
          </cell>
        </row>
        <row r="17061">
          <cell r="A17061" t="str">
            <v>金破军55级</v>
          </cell>
          <cell r="B17061">
            <v>519455</v>
          </cell>
        </row>
        <row r="17062">
          <cell r="A17062" t="str">
            <v>金破军56级</v>
          </cell>
          <cell r="B17062">
            <v>519456</v>
          </cell>
        </row>
        <row r="17063">
          <cell r="A17063" t="str">
            <v>金破军57级</v>
          </cell>
          <cell r="B17063">
            <v>519457</v>
          </cell>
        </row>
        <row r="17064">
          <cell r="A17064" t="str">
            <v>金破军58级</v>
          </cell>
          <cell r="B17064">
            <v>519458</v>
          </cell>
        </row>
        <row r="17065">
          <cell r="A17065" t="str">
            <v>金破军59级</v>
          </cell>
          <cell r="B17065">
            <v>519459</v>
          </cell>
        </row>
        <row r="17066">
          <cell r="A17066" t="str">
            <v>金破军60级</v>
          </cell>
          <cell r="B17066">
            <v>519460</v>
          </cell>
        </row>
        <row r="17067">
          <cell r="A17067" t="str">
            <v>金破军61级</v>
          </cell>
          <cell r="B17067">
            <v>519461</v>
          </cell>
        </row>
        <row r="17068">
          <cell r="A17068" t="str">
            <v>金破军62级</v>
          </cell>
          <cell r="B17068">
            <v>519462</v>
          </cell>
        </row>
        <row r="17069">
          <cell r="A17069" t="str">
            <v>金破军63级</v>
          </cell>
          <cell r="B17069">
            <v>519463</v>
          </cell>
        </row>
        <row r="17070">
          <cell r="A17070" t="str">
            <v>金破军64级</v>
          </cell>
          <cell r="B17070">
            <v>519464</v>
          </cell>
        </row>
        <row r="17071">
          <cell r="A17071" t="str">
            <v>金破军65级</v>
          </cell>
          <cell r="B17071">
            <v>519465</v>
          </cell>
        </row>
        <row r="17072">
          <cell r="A17072" t="str">
            <v>金破军66级</v>
          </cell>
          <cell r="B17072">
            <v>519466</v>
          </cell>
        </row>
        <row r="17073">
          <cell r="A17073" t="str">
            <v>金破军67级</v>
          </cell>
          <cell r="B17073">
            <v>519467</v>
          </cell>
        </row>
        <row r="17074">
          <cell r="A17074" t="str">
            <v>金破军68级</v>
          </cell>
          <cell r="B17074">
            <v>519468</v>
          </cell>
        </row>
        <row r="17075">
          <cell r="A17075" t="str">
            <v>金破军69级</v>
          </cell>
          <cell r="B17075">
            <v>519469</v>
          </cell>
        </row>
        <row r="17076">
          <cell r="A17076" t="str">
            <v>金破军70级</v>
          </cell>
          <cell r="B17076">
            <v>519470</v>
          </cell>
        </row>
        <row r="17077">
          <cell r="A17077" t="str">
            <v>金破军71级</v>
          </cell>
          <cell r="B17077">
            <v>519471</v>
          </cell>
        </row>
        <row r="17078">
          <cell r="A17078" t="str">
            <v>金破军72级</v>
          </cell>
          <cell r="B17078">
            <v>519472</v>
          </cell>
        </row>
        <row r="17079">
          <cell r="A17079" t="str">
            <v>金破军73级</v>
          </cell>
          <cell r="B17079">
            <v>519473</v>
          </cell>
        </row>
        <row r="17080">
          <cell r="A17080" t="str">
            <v>金破军74级</v>
          </cell>
          <cell r="B17080">
            <v>519474</v>
          </cell>
        </row>
        <row r="17081">
          <cell r="A17081" t="str">
            <v>金破军75级</v>
          </cell>
          <cell r="B17081">
            <v>519475</v>
          </cell>
        </row>
        <row r="17082">
          <cell r="A17082" t="str">
            <v>金破军76级</v>
          </cell>
          <cell r="B17082">
            <v>519476</v>
          </cell>
        </row>
        <row r="17083">
          <cell r="A17083" t="str">
            <v>金破军77级</v>
          </cell>
          <cell r="B17083">
            <v>519477</v>
          </cell>
        </row>
        <row r="17084">
          <cell r="A17084" t="str">
            <v>金破军78级</v>
          </cell>
          <cell r="B17084">
            <v>519478</v>
          </cell>
        </row>
        <row r="17085">
          <cell r="A17085" t="str">
            <v>金破军79级</v>
          </cell>
          <cell r="B17085">
            <v>519479</v>
          </cell>
        </row>
        <row r="17086">
          <cell r="A17086" t="str">
            <v>金破军80级</v>
          </cell>
          <cell r="B17086">
            <v>519480</v>
          </cell>
        </row>
        <row r="17087">
          <cell r="A17087" t="str">
            <v>金破军81级</v>
          </cell>
          <cell r="B17087">
            <v>519481</v>
          </cell>
        </row>
        <row r="17088">
          <cell r="A17088" t="str">
            <v>金破军82级</v>
          </cell>
          <cell r="B17088">
            <v>519482</v>
          </cell>
        </row>
        <row r="17089">
          <cell r="A17089" t="str">
            <v>金破军83级</v>
          </cell>
          <cell r="B17089">
            <v>519483</v>
          </cell>
        </row>
        <row r="17090">
          <cell r="A17090" t="str">
            <v>金破军84级</v>
          </cell>
          <cell r="B17090">
            <v>519484</v>
          </cell>
        </row>
        <row r="17091">
          <cell r="A17091" t="str">
            <v>金破军85级</v>
          </cell>
          <cell r="B17091">
            <v>519485</v>
          </cell>
        </row>
        <row r="17092">
          <cell r="A17092" t="str">
            <v>金破军86级</v>
          </cell>
          <cell r="B17092">
            <v>519486</v>
          </cell>
        </row>
        <row r="17093">
          <cell r="A17093" t="str">
            <v>金破军87级</v>
          </cell>
          <cell r="B17093">
            <v>519487</v>
          </cell>
        </row>
        <row r="17094">
          <cell r="A17094" t="str">
            <v>金破军88级</v>
          </cell>
          <cell r="B17094">
            <v>519488</v>
          </cell>
        </row>
        <row r="17095">
          <cell r="A17095" t="str">
            <v>金破军89级</v>
          </cell>
          <cell r="B17095">
            <v>519489</v>
          </cell>
        </row>
        <row r="17096">
          <cell r="A17096" t="str">
            <v>金破军90级</v>
          </cell>
          <cell r="B17096">
            <v>519490</v>
          </cell>
        </row>
        <row r="17097">
          <cell r="A17097" t="str">
            <v>金破军91级</v>
          </cell>
          <cell r="B17097">
            <v>519491</v>
          </cell>
        </row>
        <row r="17098">
          <cell r="A17098" t="str">
            <v>金破军92级</v>
          </cell>
          <cell r="B17098">
            <v>519492</v>
          </cell>
        </row>
        <row r="17099">
          <cell r="A17099" t="str">
            <v>金破军93级</v>
          </cell>
          <cell r="B17099">
            <v>519493</v>
          </cell>
        </row>
        <row r="17100">
          <cell r="A17100" t="str">
            <v>金破军94级</v>
          </cell>
          <cell r="B17100">
            <v>519494</v>
          </cell>
        </row>
        <row r="17101">
          <cell r="A17101" t="str">
            <v>金破军95级</v>
          </cell>
          <cell r="B17101">
            <v>519495</v>
          </cell>
        </row>
        <row r="17102">
          <cell r="A17102" t="str">
            <v>金破军96级</v>
          </cell>
          <cell r="B17102">
            <v>519496</v>
          </cell>
        </row>
        <row r="17103">
          <cell r="A17103" t="str">
            <v>金破军97级</v>
          </cell>
          <cell r="B17103">
            <v>519497</v>
          </cell>
        </row>
        <row r="17104">
          <cell r="A17104" t="str">
            <v>金破军98级</v>
          </cell>
          <cell r="B17104">
            <v>519498</v>
          </cell>
        </row>
        <row r="17105">
          <cell r="A17105" t="str">
            <v>金破军99级</v>
          </cell>
          <cell r="B17105">
            <v>519499</v>
          </cell>
        </row>
        <row r="17106">
          <cell r="A17106" t="str">
            <v>金铁蒺1级</v>
          </cell>
          <cell r="B17106">
            <v>520401</v>
          </cell>
        </row>
        <row r="17107">
          <cell r="A17107" t="str">
            <v>金铁蒺2级</v>
          </cell>
          <cell r="B17107">
            <v>520402</v>
          </cell>
        </row>
        <row r="17108">
          <cell r="A17108" t="str">
            <v>金铁蒺3级</v>
          </cell>
          <cell r="B17108">
            <v>520403</v>
          </cell>
        </row>
        <row r="17109">
          <cell r="A17109" t="str">
            <v>金铁蒺4级</v>
          </cell>
          <cell r="B17109">
            <v>520404</v>
          </cell>
        </row>
        <row r="17110">
          <cell r="A17110" t="str">
            <v>金铁蒺5级</v>
          </cell>
          <cell r="B17110">
            <v>520405</v>
          </cell>
        </row>
        <row r="17111">
          <cell r="A17111" t="str">
            <v>金铁蒺6级</v>
          </cell>
          <cell r="B17111">
            <v>520406</v>
          </cell>
        </row>
        <row r="17112">
          <cell r="A17112" t="str">
            <v>金铁蒺7级</v>
          </cell>
          <cell r="B17112">
            <v>520407</v>
          </cell>
        </row>
        <row r="17113">
          <cell r="A17113" t="str">
            <v>金铁蒺8级</v>
          </cell>
          <cell r="B17113">
            <v>520408</v>
          </cell>
        </row>
        <row r="17114">
          <cell r="A17114" t="str">
            <v>金铁蒺9级</v>
          </cell>
          <cell r="B17114">
            <v>520409</v>
          </cell>
        </row>
        <row r="17115">
          <cell r="A17115" t="str">
            <v>金铁蒺10级</v>
          </cell>
          <cell r="B17115">
            <v>520410</v>
          </cell>
        </row>
        <row r="17116">
          <cell r="A17116" t="str">
            <v>金铁蒺11级</v>
          </cell>
          <cell r="B17116">
            <v>520411</v>
          </cell>
        </row>
        <row r="17117">
          <cell r="A17117" t="str">
            <v>金铁蒺12级</v>
          </cell>
          <cell r="B17117">
            <v>520412</v>
          </cell>
        </row>
        <row r="17118">
          <cell r="A17118" t="str">
            <v>金铁蒺13级</v>
          </cell>
          <cell r="B17118">
            <v>520413</v>
          </cell>
        </row>
        <row r="17119">
          <cell r="A17119" t="str">
            <v>金铁蒺14级</v>
          </cell>
          <cell r="B17119">
            <v>520414</v>
          </cell>
        </row>
        <row r="17120">
          <cell r="A17120" t="str">
            <v>金铁蒺15级</v>
          </cell>
          <cell r="B17120">
            <v>520415</v>
          </cell>
        </row>
        <row r="17121">
          <cell r="A17121" t="str">
            <v>金铁蒺16级</v>
          </cell>
          <cell r="B17121">
            <v>520416</v>
          </cell>
        </row>
        <row r="17122">
          <cell r="A17122" t="str">
            <v>金铁蒺17级</v>
          </cell>
          <cell r="B17122">
            <v>520417</v>
          </cell>
        </row>
        <row r="17123">
          <cell r="A17123" t="str">
            <v>金铁蒺18级</v>
          </cell>
          <cell r="B17123">
            <v>520418</v>
          </cell>
        </row>
        <row r="17124">
          <cell r="A17124" t="str">
            <v>金铁蒺19级</v>
          </cell>
          <cell r="B17124">
            <v>520419</v>
          </cell>
        </row>
        <row r="17125">
          <cell r="A17125" t="str">
            <v>金铁蒺20级</v>
          </cell>
          <cell r="B17125">
            <v>520420</v>
          </cell>
        </row>
        <row r="17126">
          <cell r="A17126" t="str">
            <v>金铁蒺21级</v>
          </cell>
          <cell r="B17126">
            <v>520421</v>
          </cell>
        </row>
        <row r="17127">
          <cell r="A17127" t="str">
            <v>金铁蒺22级</v>
          </cell>
          <cell r="B17127">
            <v>520422</v>
          </cell>
        </row>
        <row r="17128">
          <cell r="A17128" t="str">
            <v>金铁蒺23级</v>
          </cell>
          <cell r="B17128">
            <v>520423</v>
          </cell>
        </row>
        <row r="17129">
          <cell r="A17129" t="str">
            <v>金铁蒺24级</v>
          </cell>
          <cell r="B17129">
            <v>520424</v>
          </cell>
        </row>
        <row r="17130">
          <cell r="A17130" t="str">
            <v>金铁蒺25级</v>
          </cell>
          <cell r="B17130">
            <v>520425</v>
          </cell>
        </row>
        <row r="17131">
          <cell r="A17131" t="str">
            <v>金铁蒺26级</v>
          </cell>
          <cell r="B17131">
            <v>520426</v>
          </cell>
        </row>
        <row r="17132">
          <cell r="A17132" t="str">
            <v>金铁蒺27级</v>
          </cell>
          <cell r="B17132">
            <v>520427</v>
          </cell>
        </row>
        <row r="17133">
          <cell r="A17133" t="str">
            <v>金铁蒺28级</v>
          </cell>
          <cell r="B17133">
            <v>520428</v>
          </cell>
        </row>
        <row r="17134">
          <cell r="A17134" t="str">
            <v>金铁蒺29级</v>
          </cell>
          <cell r="B17134">
            <v>520429</v>
          </cell>
        </row>
        <row r="17135">
          <cell r="A17135" t="str">
            <v>金铁蒺30级</v>
          </cell>
          <cell r="B17135">
            <v>520430</v>
          </cell>
        </row>
        <row r="17136">
          <cell r="A17136" t="str">
            <v>金铁蒺31级</v>
          </cell>
          <cell r="B17136">
            <v>520431</v>
          </cell>
        </row>
        <row r="17137">
          <cell r="A17137" t="str">
            <v>金铁蒺32级</v>
          </cell>
          <cell r="B17137">
            <v>520432</v>
          </cell>
        </row>
        <row r="17138">
          <cell r="A17138" t="str">
            <v>金铁蒺33级</v>
          </cell>
          <cell r="B17138">
            <v>520433</v>
          </cell>
        </row>
        <row r="17139">
          <cell r="A17139" t="str">
            <v>金铁蒺34级</v>
          </cell>
          <cell r="B17139">
            <v>520434</v>
          </cell>
        </row>
        <row r="17140">
          <cell r="A17140" t="str">
            <v>金铁蒺35级</v>
          </cell>
          <cell r="B17140">
            <v>520435</v>
          </cell>
        </row>
        <row r="17141">
          <cell r="A17141" t="str">
            <v>金铁蒺36级</v>
          </cell>
          <cell r="B17141">
            <v>520436</v>
          </cell>
        </row>
        <row r="17142">
          <cell r="A17142" t="str">
            <v>金铁蒺37级</v>
          </cell>
          <cell r="B17142">
            <v>520437</v>
          </cell>
        </row>
        <row r="17143">
          <cell r="A17143" t="str">
            <v>金铁蒺38级</v>
          </cell>
          <cell r="B17143">
            <v>520438</v>
          </cell>
        </row>
        <row r="17144">
          <cell r="A17144" t="str">
            <v>金铁蒺39级</v>
          </cell>
          <cell r="B17144">
            <v>520439</v>
          </cell>
        </row>
        <row r="17145">
          <cell r="A17145" t="str">
            <v>金铁蒺40级</v>
          </cell>
          <cell r="B17145">
            <v>520440</v>
          </cell>
        </row>
        <row r="17146">
          <cell r="A17146" t="str">
            <v>金铁蒺41级</v>
          </cell>
          <cell r="B17146">
            <v>520441</v>
          </cell>
        </row>
        <row r="17147">
          <cell r="A17147" t="str">
            <v>金铁蒺42级</v>
          </cell>
          <cell r="B17147">
            <v>520442</v>
          </cell>
        </row>
        <row r="17148">
          <cell r="A17148" t="str">
            <v>金铁蒺43级</v>
          </cell>
          <cell r="B17148">
            <v>520443</v>
          </cell>
        </row>
        <row r="17149">
          <cell r="A17149" t="str">
            <v>金铁蒺44级</v>
          </cell>
          <cell r="B17149">
            <v>520444</v>
          </cell>
        </row>
        <row r="17150">
          <cell r="A17150" t="str">
            <v>金铁蒺45级</v>
          </cell>
          <cell r="B17150">
            <v>520445</v>
          </cell>
        </row>
        <row r="17151">
          <cell r="A17151" t="str">
            <v>金铁蒺46级</v>
          </cell>
          <cell r="B17151">
            <v>520446</v>
          </cell>
        </row>
        <row r="17152">
          <cell r="A17152" t="str">
            <v>金铁蒺47级</v>
          </cell>
          <cell r="B17152">
            <v>520447</v>
          </cell>
        </row>
        <row r="17153">
          <cell r="A17153" t="str">
            <v>金铁蒺48级</v>
          </cell>
          <cell r="B17153">
            <v>520448</v>
          </cell>
        </row>
        <row r="17154">
          <cell r="A17154" t="str">
            <v>金铁蒺49级</v>
          </cell>
          <cell r="B17154">
            <v>520449</v>
          </cell>
        </row>
        <row r="17155">
          <cell r="A17155" t="str">
            <v>金铁蒺50级</v>
          </cell>
          <cell r="B17155">
            <v>520450</v>
          </cell>
        </row>
        <row r="17156">
          <cell r="A17156" t="str">
            <v>金铁蒺51级</v>
          </cell>
          <cell r="B17156">
            <v>520451</v>
          </cell>
        </row>
        <row r="17157">
          <cell r="A17157" t="str">
            <v>金铁蒺52级</v>
          </cell>
          <cell r="B17157">
            <v>520452</v>
          </cell>
        </row>
        <row r="17158">
          <cell r="A17158" t="str">
            <v>金铁蒺53级</v>
          </cell>
          <cell r="B17158">
            <v>520453</v>
          </cell>
        </row>
        <row r="17159">
          <cell r="A17159" t="str">
            <v>金铁蒺54级</v>
          </cell>
          <cell r="B17159">
            <v>520454</v>
          </cell>
        </row>
        <row r="17160">
          <cell r="A17160" t="str">
            <v>金铁蒺55级</v>
          </cell>
          <cell r="B17160">
            <v>520455</v>
          </cell>
        </row>
        <row r="17161">
          <cell r="A17161" t="str">
            <v>金铁蒺56级</v>
          </cell>
          <cell r="B17161">
            <v>520456</v>
          </cell>
        </row>
        <row r="17162">
          <cell r="A17162" t="str">
            <v>金铁蒺57级</v>
          </cell>
          <cell r="B17162">
            <v>520457</v>
          </cell>
        </row>
        <row r="17163">
          <cell r="A17163" t="str">
            <v>金铁蒺58级</v>
          </cell>
          <cell r="B17163">
            <v>520458</v>
          </cell>
        </row>
        <row r="17164">
          <cell r="A17164" t="str">
            <v>金铁蒺59级</v>
          </cell>
          <cell r="B17164">
            <v>520459</v>
          </cell>
        </row>
        <row r="17165">
          <cell r="A17165" t="str">
            <v>金铁蒺60级</v>
          </cell>
          <cell r="B17165">
            <v>520460</v>
          </cell>
        </row>
        <row r="17166">
          <cell r="A17166" t="str">
            <v>金铁蒺61级</v>
          </cell>
          <cell r="B17166">
            <v>520461</v>
          </cell>
        </row>
        <row r="17167">
          <cell r="A17167" t="str">
            <v>金铁蒺62级</v>
          </cell>
          <cell r="B17167">
            <v>520462</v>
          </cell>
        </row>
        <row r="17168">
          <cell r="A17168" t="str">
            <v>金铁蒺63级</v>
          </cell>
          <cell r="B17168">
            <v>520463</v>
          </cell>
        </row>
        <row r="17169">
          <cell r="A17169" t="str">
            <v>金铁蒺64级</v>
          </cell>
          <cell r="B17169">
            <v>520464</v>
          </cell>
        </row>
        <row r="17170">
          <cell r="A17170" t="str">
            <v>金铁蒺65级</v>
          </cell>
          <cell r="B17170">
            <v>520465</v>
          </cell>
        </row>
        <row r="17171">
          <cell r="A17171" t="str">
            <v>金铁蒺66级</v>
          </cell>
          <cell r="B17171">
            <v>520466</v>
          </cell>
        </row>
        <row r="17172">
          <cell r="A17172" t="str">
            <v>金铁蒺67级</v>
          </cell>
          <cell r="B17172">
            <v>520467</v>
          </cell>
        </row>
        <row r="17173">
          <cell r="A17173" t="str">
            <v>金铁蒺68级</v>
          </cell>
          <cell r="B17173">
            <v>520468</v>
          </cell>
        </row>
        <row r="17174">
          <cell r="A17174" t="str">
            <v>金铁蒺69级</v>
          </cell>
          <cell r="B17174">
            <v>520469</v>
          </cell>
        </row>
        <row r="17175">
          <cell r="A17175" t="str">
            <v>金铁蒺70级</v>
          </cell>
          <cell r="B17175">
            <v>520470</v>
          </cell>
        </row>
        <row r="17176">
          <cell r="A17176" t="str">
            <v>金铁蒺71级</v>
          </cell>
          <cell r="B17176">
            <v>520471</v>
          </cell>
        </row>
        <row r="17177">
          <cell r="A17177" t="str">
            <v>金铁蒺72级</v>
          </cell>
          <cell r="B17177">
            <v>520472</v>
          </cell>
        </row>
        <row r="17178">
          <cell r="A17178" t="str">
            <v>金铁蒺73级</v>
          </cell>
          <cell r="B17178">
            <v>520473</v>
          </cell>
        </row>
        <row r="17179">
          <cell r="A17179" t="str">
            <v>金铁蒺74级</v>
          </cell>
          <cell r="B17179">
            <v>520474</v>
          </cell>
        </row>
        <row r="17180">
          <cell r="A17180" t="str">
            <v>金铁蒺75级</v>
          </cell>
          <cell r="B17180">
            <v>520475</v>
          </cell>
        </row>
        <row r="17181">
          <cell r="A17181" t="str">
            <v>金铁蒺76级</v>
          </cell>
          <cell r="B17181">
            <v>520476</v>
          </cell>
        </row>
        <row r="17182">
          <cell r="A17182" t="str">
            <v>金铁蒺77级</v>
          </cell>
          <cell r="B17182">
            <v>520477</v>
          </cell>
        </row>
        <row r="17183">
          <cell r="A17183" t="str">
            <v>金铁蒺78级</v>
          </cell>
          <cell r="B17183">
            <v>520478</v>
          </cell>
        </row>
        <row r="17184">
          <cell r="A17184" t="str">
            <v>金铁蒺79级</v>
          </cell>
          <cell r="B17184">
            <v>520479</v>
          </cell>
        </row>
        <row r="17185">
          <cell r="A17185" t="str">
            <v>金铁蒺80级</v>
          </cell>
          <cell r="B17185">
            <v>520480</v>
          </cell>
        </row>
        <row r="17186">
          <cell r="A17186" t="str">
            <v>金铁蒺81级</v>
          </cell>
          <cell r="B17186">
            <v>520481</v>
          </cell>
        </row>
        <row r="17187">
          <cell r="A17187" t="str">
            <v>金铁蒺82级</v>
          </cell>
          <cell r="B17187">
            <v>520482</v>
          </cell>
        </row>
        <row r="17188">
          <cell r="A17188" t="str">
            <v>金铁蒺83级</v>
          </cell>
          <cell r="B17188">
            <v>520483</v>
          </cell>
        </row>
        <row r="17189">
          <cell r="A17189" t="str">
            <v>金铁蒺84级</v>
          </cell>
          <cell r="B17189">
            <v>520484</v>
          </cell>
        </row>
        <row r="17190">
          <cell r="A17190" t="str">
            <v>金铁蒺85级</v>
          </cell>
          <cell r="B17190">
            <v>520485</v>
          </cell>
        </row>
        <row r="17191">
          <cell r="A17191" t="str">
            <v>金铁蒺86级</v>
          </cell>
          <cell r="B17191">
            <v>520486</v>
          </cell>
        </row>
        <row r="17192">
          <cell r="A17192" t="str">
            <v>金铁蒺87级</v>
          </cell>
          <cell r="B17192">
            <v>520487</v>
          </cell>
        </row>
        <row r="17193">
          <cell r="A17193" t="str">
            <v>金铁蒺88级</v>
          </cell>
          <cell r="B17193">
            <v>520488</v>
          </cell>
        </row>
        <row r="17194">
          <cell r="A17194" t="str">
            <v>金铁蒺89级</v>
          </cell>
          <cell r="B17194">
            <v>520489</v>
          </cell>
        </row>
        <row r="17195">
          <cell r="A17195" t="str">
            <v>金铁蒺90级</v>
          </cell>
          <cell r="B17195">
            <v>520490</v>
          </cell>
        </row>
        <row r="17196">
          <cell r="A17196" t="str">
            <v>金铁蒺91级</v>
          </cell>
          <cell r="B17196">
            <v>520491</v>
          </cell>
        </row>
        <row r="17197">
          <cell r="A17197" t="str">
            <v>金铁蒺92级</v>
          </cell>
          <cell r="B17197">
            <v>520492</v>
          </cell>
        </row>
        <row r="17198">
          <cell r="A17198" t="str">
            <v>金铁蒺93级</v>
          </cell>
          <cell r="B17198">
            <v>520493</v>
          </cell>
        </row>
        <row r="17199">
          <cell r="A17199" t="str">
            <v>金铁蒺94级</v>
          </cell>
          <cell r="B17199">
            <v>520494</v>
          </cell>
        </row>
        <row r="17200">
          <cell r="A17200" t="str">
            <v>金铁蒺95级</v>
          </cell>
          <cell r="B17200">
            <v>520495</v>
          </cell>
        </row>
        <row r="17201">
          <cell r="A17201" t="str">
            <v>金铁蒺96级</v>
          </cell>
          <cell r="B17201">
            <v>520496</v>
          </cell>
        </row>
        <row r="17202">
          <cell r="A17202" t="str">
            <v>金铁蒺97级</v>
          </cell>
          <cell r="B17202">
            <v>520497</v>
          </cell>
        </row>
        <row r="17203">
          <cell r="A17203" t="str">
            <v>金铁蒺98级</v>
          </cell>
          <cell r="B17203">
            <v>520498</v>
          </cell>
        </row>
        <row r="17204">
          <cell r="A17204" t="str">
            <v>金铁蒺99级</v>
          </cell>
          <cell r="B17204">
            <v>520499</v>
          </cell>
        </row>
        <row r="17205">
          <cell r="A17205" t="str">
            <v>金往生1级</v>
          </cell>
          <cell r="B17205">
            <v>521401</v>
          </cell>
        </row>
        <row r="17206">
          <cell r="A17206" t="str">
            <v>金往生2级</v>
          </cell>
          <cell r="B17206">
            <v>521402</v>
          </cell>
        </row>
        <row r="17207">
          <cell r="A17207" t="str">
            <v>金往生3级</v>
          </cell>
          <cell r="B17207">
            <v>521403</v>
          </cell>
        </row>
        <row r="17208">
          <cell r="A17208" t="str">
            <v>金往生4级</v>
          </cell>
          <cell r="B17208">
            <v>521404</v>
          </cell>
        </row>
        <row r="17209">
          <cell r="A17209" t="str">
            <v>金往生5级</v>
          </cell>
          <cell r="B17209">
            <v>521405</v>
          </cell>
        </row>
        <row r="17210">
          <cell r="A17210" t="str">
            <v>金往生6级</v>
          </cell>
          <cell r="B17210">
            <v>521406</v>
          </cell>
        </row>
        <row r="17211">
          <cell r="A17211" t="str">
            <v>金往生7级</v>
          </cell>
          <cell r="B17211">
            <v>521407</v>
          </cell>
        </row>
        <row r="17212">
          <cell r="A17212" t="str">
            <v>金往生8级</v>
          </cell>
          <cell r="B17212">
            <v>521408</v>
          </cell>
        </row>
        <row r="17213">
          <cell r="A17213" t="str">
            <v>金往生9级</v>
          </cell>
          <cell r="B17213">
            <v>521409</v>
          </cell>
        </row>
        <row r="17214">
          <cell r="A17214" t="str">
            <v>金往生10级</v>
          </cell>
          <cell r="B17214">
            <v>521410</v>
          </cell>
        </row>
        <row r="17215">
          <cell r="A17215" t="str">
            <v>金往生11级</v>
          </cell>
          <cell r="B17215">
            <v>521411</v>
          </cell>
        </row>
        <row r="17216">
          <cell r="A17216" t="str">
            <v>金往生12级</v>
          </cell>
          <cell r="B17216">
            <v>521412</v>
          </cell>
        </row>
        <row r="17217">
          <cell r="A17217" t="str">
            <v>金往生13级</v>
          </cell>
          <cell r="B17217">
            <v>521413</v>
          </cell>
        </row>
        <row r="17218">
          <cell r="A17218" t="str">
            <v>金往生14级</v>
          </cell>
          <cell r="B17218">
            <v>521414</v>
          </cell>
        </row>
        <row r="17219">
          <cell r="A17219" t="str">
            <v>金往生15级</v>
          </cell>
          <cell r="B17219">
            <v>521415</v>
          </cell>
        </row>
        <row r="17220">
          <cell r="A17220" t="str">
            <v>金往生16级</v>
          </cell>
          <cell r="B17220">
            <v>521416</v>
          </cell>
        </row>
        <row r="17221">
          <cell r="A17221" t="str">
            <v>金往生17级</v>
          </cell>
          <cell r="B17221">
            <v>521417</v>
          </cell>
        </row>
        <row r="17222">
          <cell r="A17222" t="str">
            <v>金往生18级</v>
          </cell>
          <cell r="B17222">
            <v>521418</v>
          </cell>
        </row>
        <row r="17223">
          <cell r="A17223" t="str">
            <v>金往生19级</v>
          </cell>
          <cell r="B17223">
            <v>521419</v>
          </cell>
        </row>
        <row r="17224">
          <cell r="A17224" t="str">
            <v>金往生20级</v>
          </cell>
          <cell r="B17224">
            <v>521420</v>
          </cell>
        </row>
        <row r="17225">
          <cell r="A17225" t="str">
            <v>金往生21级</v>
          </cell>
          <cell r="B17225">
            <v>521421</v>
          </cell>
        </row>
        <row r="17226">
          <cell r="A17226" t="str">
            <v>金往生22级</v>
          </cell>
          <cell r="B17226">
            <v>521422</v>
          </cell>
        </row>
        <row r="17227">
          <cell r="A17227" t="str">
            <v>金往生23级</v>
          </cell>
          <cell r="B17227">
            <v>521423</v>
          </cell>
        </row>
        <row r="17228">
          <cell r="A17228" t="str">
            <v>金往生24级</v>
          </cell>
          <cell r="B17228">
            <v>521424</v>
          </cell>
        </row>
        <row r="17229">
          <cell r="A17229" t="str">
            <v>金往生25级</v>
          </cell>
          <cell r="B17229">
            <v>521425</v>
          </cell>
        </row>
        <row r="17230">
          <cell r="A17230" t="str">
            <v>金往生26级</v>
          </cell>
          <cell r="B17230">
            <v>521426</v>
          </cell>
        </row>
        <row r="17231">
          <cell r="A17231" t="str">
            <v>金往生27级</v>
          </cell>
          <cell r="B17231">
            <v>521427</v>
          </cell>
        </row>
        <row r="17232">
          <cell r="A17232" t="str">
            <v>金往生28级</v>
          </cell>
          <cell r="B17232">
            <v>521428</v>
          </cell>
        </row>
        <row r="17233">
          <cell r="A17233" t="str">
            <v>金往生29级</v>
          </cell>
          <cell r="B17233">
            <v>521429</v>
          </cell>
        </row>
        <row r="17234">
          <cell r="A17234" t="str">
            <v>金往生30级</v>
          </cell>
          <cell r="B17234">
            <v>521430</v>
          </cell>
        </row>
        <row r="17235">
          <cell r="A17235" t="str">
            <v>金往生31级</v>
          </cell>
          <cell r="B17235">
            <v>521431</v>
          </cell>
        </row>
        <row r="17236">
          <cell r="A17236" t="str">
            <v>金往生32级</v>
          </cell>
          <cell r="B17236">
            <v>521432</v>
          </cell>
        </row>
        <row r="17237">
          <cell r="A17237" t="str">
            <v>金往生33级</v>
          </cell>
          <cell r="B17237">
            <v>521433</v>
          </cell>
        </row>
        <row r="17238">
          <cell r="A17238" t="str">
            <v>金往生34级</v>
          </cell>
          <cell r="B17238">
            <v>521434</v>
          </cell>
        </row>
        <row r="17239">
          <cell r="A17239" t="str">
            <v>金往生35级</v>
          </cell>
          <cell r="B17239">
            <v>521435</v>
          </cell>
        </row>
        <row r="17240">
          <cell r="A17240" t="str">
            <v>金往生36级</v>
          </cell>
          <cell r="B17240">
            <v>521436</v>
          </cell>
        </row>
        <row r="17241">
          <cell r="A17241" t="str">
            <v>金往生37级</v>
          </cell>
          <cell r="B17241">
            <v>521437</v>
          </cell>
        </row>
        <row r="17242">
          <cell r="A17242" t="str">
            <v>金往生38级</v>
          </cell>
          <cell r="B17242">
            <v>521438</v>
          </cell>
        </row>
        <row r="17243">
          <cell r="A17243" t="str">
            <v>金往生39级</v>
          </cell>
          <cell r="B17243">
            <v>521439</v>
          </cell>
        </row>
        <row r="17244">
          <cell r="A17244" t="str">
            <v>金往生40级</v>
          </cell>
          <cell r="B17244">
            <v>521440</v>
          </cell>
        </row>
        <row r="17245">
          <cell r="A17245" t="str">
            <v>金往生41级</v>
          </cell>
          <cell r="B17245">
            <v>521441</v>
          </cell>
        </row>
        <row r="17246">
          <cell r="A17246" t="str">
            <v>金往生42级</v>
          </cell>
          <cell r="B17246">
            <v>521442</v>
          </cell>
        </row>
        <row r="17247">
          <cell r="A17247" t="str">
            <v>金往生43级</v>
          </cell>
          <cell r="B17247">
            <v>521443</v>
          </cell>
        </row>
        <row r="17248">
          <cell r="A17248" t="str">
            <v>金往生44级</v>
          </cell>
          <cell r="B17248">
            <v>521444</v>
          </cell>
        </row>
        <row r="17249">
          <cell r="A17249" t="str">
            <v>金往生45级</v>
          </cell>
          <cell r="B17249">
            <v>521445</v>
          </cell>
        </row>
        <row r="17250">
          <cell r="A17250" t="str">
            <v>金往生46级</v>
          </cell>
          <cell r="B17250">
            <v>521446</v>
          </cell>
        </row>
        <row r="17251">
          <cell r="A17251" t="str">
            <v>金往生47级</v>
          </cell>
          <cell r="B17251">
            <v>521447</v>
          </cell>
        </row>
        <row r="17252">
          <cell r="A17252" t="str">
            <v>金往生48级</v>
          </cell>
          <cell r="B17252">
            <v>521448</v>
          </cell>
        </row>
        <row r="17253">
          <cell r="A17253" t="str">
            <v>金往生49级</v>
          </cell>
          <cell r="B17253">
            <v>521449</v>
          </cell>
        </row>
        <row r="17254">
          <cell r="A17254" t="str">
            <v>金往生50级</v>
          </cell>
          <cell r="B17254">
            <v>521450</v>
          </cell>
        </row>
        <row r="17255">
          <cell r="A17255" t="str">
            <v>金往生51级</v>
          </cell>
          <cell r="B17255">
            <v>521451</v>
          </cell>
        </row>
        <row r="17256">
          <cell r="A17256" t="str">
            <v>金往生52级</v>
          </cell>
          <cell r="B17256">
            <v>521452</v>
          </cell>
        </row>
        <row r="17257">
          <cell r="A17257" t="str">
            <v>金往生53级</v>
          </cell>
          <cell r="B17257">
            <v>521453</v>
          </cell>
        </row>
        <row r="17258">
          <cell r="A17258" t="str">
            <v>金往生54级</v>
          </cell>
          <cell r="B17258">
            <v>521454</v>
          </cell>
        </row>
        <row r="17259">
          <cell r="A17259" t="str">
            <v>金往生55级</v>
          </cell>
          <cell r="B17259">
            <v>521455</v>
          </cell>
        </row>
        <row r="17260">
          <cell r="A17260" t="str">
            <v>金往生56级</v>
          </cell>
          <cell r="B17260">
            <v>521456</v>
          </cell>
        </row>
        <row r="17261">
          <cell r="A17261" t="str">
            <v>金往生57级</v>
          </cell>
          <cell r="B17261">
            <v>521457</v>
          </cell>
        </row>
        <row r="17262">
          <cell r="A17262" t="str">
            <v>金往生58级</v>
          </cell>
          <cell r="B17262">
            <v>521458</v>
          </cell>
        </row>
        <row r="17263">
          <cell r="A17263" t="str">
            <v>金往生59级</v>
          </cell>
          <cell r="B17263">
            <v>521459</v>
          </cell>
        </row>
        <row r="17264">
          <cell r="A17264" t="str">
            <v>金往生60级</v>
          </cell>
          <cell r="B17264">
            <v>521460</v>
          </cell>
        </row>
        <row r="17265">
          <cell r="A17265" t="str">
            <v>金往生61级</v>
          </cell>
          <cell r="B17265">
            <v>521461</v>
          </cell>
        </row>
        <row r="17266">
          <cell r="A17266" t="str">
            <v>金往生62级</v>
          </cell>
          <cell r="B17266">
            <v>521462</v>
          </cell>
        </row>
        <row r="17267">
          <cell r="A17267" t="str">
            <v>金往生63级</v>
          </cell>
          <cell r="B17267">
            <v>521463</v>
          </cell>
        </row>
        <row r="17268">
          <cell r="A17268" t="str">
            <v>金往生64级</v>
          </cell>
          <cell r="B17268">
            <v>521464</v>
          </cell>
        </row>
        <row r="17269">
          <cell r="A17269" t="str">
            <v>金往生65级</v>
          </cell>
          <cell r="B17269">
            <v>521465</v>
          </cell>
        </row>
        <row r="17270">
          <cell r="A17270" t="str">
            <v>金往生66级</v>
          </cell>
          <cell r="B17270">
            <v>521466</v>
          </cell>
        </row>
        <row r="17271">
          <cell r="A17271" t="str">
            <v>金往生67级</v>
          </cell>
          <cell r="B17271">
            <v>521467</v>
          </cell>
        </row>
        <row r="17272">
          <cell r="A17272" t="str">
            <v>金往生68级</v>
          </cell>
          <cell r="B17272">
            <v>521468</v>
          </cell>
        </row>
        <row r="17273">
          <cell r="A17273" t="str">
            <v>金往生69级</v>
          </cell>
          <cell r="B17273">
            <v>521469</v>
          </cell>
        </row>
        <row r="17274">
          <cell r="A17274" t="str">
            <v>金往生70级</v>
          </cell>
          <cell r="B17274">
            <v>521470</v>
          </cell>
        </row>
        <row r="17275">
          <cell r="A17275" t="str">
            <v>金往生71级</v>
          </cell>
          <cell r="B17275">
            <v>521471</v>
          </cell>
        </row>
        <row r="17276">
          <cell r="A17276" t="str">
            <v>金往生72级</v>
          </cell>
          <cell r="B17276">
            <v>521472</v>
          </cell>
        </row>
        <row r="17277">
          <cell r="A17277" t="str">
            <v>金往生73级</v>
          </cell>
          <cell r="B17277">
            <v>521473</v>
          </cell>
        </row>
        <row r="17278">
          <cell r="A17278" t="str">
            <v>金往生74级</v>
          </cell>
          <cell r="B17278">
            <v>521474</v>
          </cell>
        </row>
        <row r="17279">
          <cell r="A17279" t="str">
            <v>金往生75级</v>
          </cell>
          <cell r="B17279">
            <v>521475</v>
          </cell>
        </row>
        <row r="17280">
          <cell r="A17280" t="str">
            <v>金往生76级</v>
          </cell>
          <cell r="B17280">
            <v>521476</v>
          </cell>
        </row>
        <row r="17281">
          <cell r="A17281" t="str">
            <v>金往生77级</v>
          </cell>
          <cell r="B17281">
            <v>521477</v>
          </cell>
        </row>
        <row r="17282">
          <cell r="A17282" t="str">
            <v>金往生78级</v>
          </cell>
          <cell r="B17282">
            <v>521478</v>
          </cell>
        </row>
        <row r="17283">
          <cell r="A17283" t="str">
            <v>金往生79级</v>
          </cell>
          <cell r="B17283">
            <v>521479</v>
          </cell>
        </row>
        <row r="17284">
          <cell r="A17284" t="str">
            <v>金往生80级</v>
          </cell>
          <cell r="B17284">
            <v>521480</v>
          </cell>
        </row>
        <row r="17285">
          <cell r="A17285" t="str">
            <v>金往生81级</v>
          </cell>
          <cell r="B17285">
            <v>521481</v>
          </cell>
        </row>
        <row r="17286">
          <cell r="A17286" t="str">
            <v>金往生82级</v>
          </cell>
          <cell r="B17286">
            <v>521482</v>
          </cell>
        </row>
        <row r="17287">
          <cell r="A17287" t="str">
            <v>金往生83级</v>
          </cell>
          <cell r="B17287">
            <v>521483</v>
          </cell>
        </row>
        <row r="17288">
          <cell r="A17288" t="str">
            <v>金往生84级</v>
          </cell>
          <cell r="B17288">
            <v>521484</v>
          </cell>
        </row>
        <row r="17289">
          <cell r="A17289" t="str">
            <v>金往生85级</v>
          </cell>
          <cell r="B17289">
            <v>521485</v>
          </cell>
        </row>
        <row r="17290">
          <cell r="A17290" t="str">
            <v>金往生86级</v>
          </cell>
          <cell r="B17290">
            <v>521486</v>
          </cell>
        </row>
        <row r="17291">
          <cell r="A17291" t="str">
            <v>金往生87级</v>
          </cell>
          <cell r="B17291">
            <v>521487</v>
          </cell>
        </row>
        <row r="17292">
          <cell r="A17292" t="str">
            <v>金往生88级</v>
          </cell>
          <cell r="B17292">
            <v>521488</v>
          </cell>
        </row>
        <row r="17293">
          <cell r="A17293" t="str">
            <v>金往生89级</v>
          </cell>
          <cell r="B17293">
            <v>521489</v>
          </cell>
        </row>
        <row r="17294">
          <cell r="A17294" t="str">
            <v>金往生90级</v>
          </cell>
          <cell r="B17294">
            <v>521490</v>
          </cell>
        </row>
        <row r="17295">
          <cell r="A17295" t="str">
            <v>金往生91级</v>
          </cell>
          <cell r="B17295">
            <v>521491</v>
          </cell>
        </row>
        <row r="17296">
          <cell r="A17296" t="str">
            <v>金往生92级</v>
          </cell>
          <cell r="B17296">
            <v>521492</v>
          </cell>
        </row>
        <row r="17297">
          <cell r="A17297" t="str">
            <v>金往生93级</v>
          </cell>
          <cell r="B17297">
            <v>521493</v>
          </cell>
        </row>
        <row r="17298">
          <cell r="A17298" t="str">
            <v>金往生94级</v>
          </cell>
          <cell r="B17298">
            <v>521494</v>
          </cell>
        </row>
        <row r="17299">
          <cell r="A17299" t="str">
            <v>金往生95级</v>
          </cell>
          <cell r="B17299">
            <v>521495</v>
          </cell>
        </row>
        <row r="17300">
          <cell r="A17300" t="str">
            <v>金往生96级</v>
          </cell>
          <cell r="B17300">
            <v>521496</v>
          </cell>
        </row>
        <row r="17301">
          <cell r="A17301" t="str">
            <v>金往生97级</v>
          </cell>
          <cell r="B17301">
            <v>521497</v>
          </cell>
        </row>
        <row r="17302">
          <cell r="A17302" t="str">
            <v>金往生98级</v>
          </cell>
          <cell r="B17302">
            <v>521498</v>
          </cell>
        </row>
        <row r="17303">
          <cell r="A17303" t="str">
            <v>金往生99级</v>
          </cell>
          <cell r="B17303">
            <v>521499</v>
          </cell>
        </row>
        <row r="17304">
          <cell r="A17304" t="str">
            <v>金止殇1级</v>
          </cell>
          <cell r="B17304">
            <v>522401</v>
          </cell>
        </row>
        <row r="17305">
          <cell r="A17305" t="str">
            <v>金止殇2级</v>
          </cell>
          <cell r="B17305">
            <v>522402</v>
          </cell>
        </row>
        <row r="17306">
          <cell r="A17306" t="str">
            <v>金止殇3级</v>
          </cell>
          <cell r="B17306">
            <v>522403</v>
          </cell>
        </row>
        <row r="17307">
          <cell r="A17307" t="str">
            <v>金止殇4级</v>
          </cell>
          <cell r="B17307">
            <v>522404</v>
          </cell>
        </row>
        <row r="17308">
          <cell r="A17308" t="str">
            <v>金止殇5级</v>
          </cell>
          <cell r="B17308">
            <v>522405</v>
          </cell>
        </row>
        <row r="17309">
          <cell r="A17309" t="str">
            <v>金止殇6级</v>
          </cell>
          <cell r="B17309">
            <v>522406</v>
          </cell>
        </row>
        <row r="17310">
          <cell r="A17310" t="str">
            <v>金止殇7级</v>
          </cell>
          <cell r="B17310">
            <v>522407</v>
          </cell>
        </row>
        <row r="17311">
          <cell r="A17311" t="str">
            <v>金止殇8级</v>
          </cell>
          <cell r="B17311">
            <v>522408</v>
          </cell>
        </row>
        <row r="17312">
          <cell r="A17312" t="str">
            <v>金止殇9级</v>
          </cell>
          <cell r="B17312">
            <v>522409</v>
          </cell>
        </row>
        <row r="17313">
          <cell r="A17313" t="str">
            <v>金止殇10级</v>
          </cell>
          <cell r="B17313">
            <v>522410</v>
          </cell>
        </row>
        <row r="17314">
          <cell r="A17314" t="str">
            <v>金止殇11级</v>
          </cell>
          <cell r="B17314">
            <v>522411</v>
          </cell>
        </row>
        <row r="17315">
          <cell r="A17315" t="str">
            <v>金止殇12级</v>
          </cell>
          <cell r="B17315">
            <v>522412</v>
          </cell>
        </row>
        <row r="17316">
          <cell r="A17316" t="str">
            <v>金止殇13级</v>
          </cell>
          <cell r="B17316">
            <v>522413</v>
          </cell>
        </row>
        <row r="17317">
          <cell r="A17317" t="str">
            <v>金止殇14级</v>
          </cell>
          <cell r="B17317">
            <v>522414</v>
          </cell>
        </row>
        <row r="17318">
          <cell r="A17318" t="str">
            <v>金止殇15级</v>
          </cell>
          <cell r="B17318">
            <v>522415</v>
          </cell>
        </row>
        <row r="17319">
          <cell r="A17319" t="str">
            <v>金止殇16级</v>
          </cell>
          <cell r="B17319">
            <v>522416</v>
          </cell>
        </row>
        <row r="17320">
          <cell r="A17320" t="str">
            <v>金止殇17级</v>
          </cell>
          <cell r="B17320">
            <v>522417</v>
          </cell>
        </row>
        <row r="17321">
          <cell r="A17321" t="str">
            <v>金止殇18级</v>
          </cell>
          <cell r="B17321">
            <v>522418</v>
          </cell>
        </row>
        <row r="17322">
          <cell r="A17322" t="str">
            <v>金止殇19级</v>
          </cell>
          <cell r="B17322">
            <v>522419</v>
          </cell>
        </row>
        <row r="17323">
          <cell r="A17323" t="str">
            <v>金止殇20级</v>
          </cell>
          <cell r="B17323">
            <v>522420</v>
          </cell>
        </row>
        <row r="17324">
          <cell r="A17324" t="str">
            <v>金止殇21级</v>
          </cell>
          <cell r="B17324">
            <v>522421</v>
          </cell>
        </row>
        <row r="17325">
          <cell r="A17325" t="str">
            <v>金止殇22级</v>
          </cell>
          <cell r="B17325">
            <v>522422</v>
          </cell>
        </row>
        <row r="17326">
          <cell r="A17326" t="str">
            <v>金止殇23级</v>
          </cell>
          <cell r="B17326">
            <v>522423</v>
          </cell>
        </row>
        <row r="17327">
          <cell r="A17327" t="str">
            <v>金止殇24级</v>
          </cell>
          <cell r="B17327">
            <v>522424</v>
          </cell>
        </row>
        <row r="17328">
          <cell r="A17328" t="str">
            <v>金止殇25级</v>
          </cell>
          <cell r="B17328">
            <v>522425</v>
          </cell>
        </row>
        <row r="17329">
          <cell r="A17329" t="str">
            <v>金止殇26级</v>
          </cell>
          <cell r="B17329">
            <v>522426</v>
          </cell>
        </row>
        <row r="17330">
          <cell r="A17330" t="str">
            <v>金止殇27级</v>
          </cell>
          <cell r="B17330">
            <v>522427</v>
          </cell>
        </row>
        <row r="17331">
          <cell r="A17331" t="str">
            <v>金止殇28级</v>
          </cell>
          <cell r="B17331">
            <v>522428</v>
          </cell>
        </row>
        <row r="17332">
          <cell r="A17332" t="str">
            <v>金止殇29级</v>
          </cell>
          <cell r="B17332">
            <v>522429</v>
          </cell>
        </row>
        <row r="17333">
          <cell r="A17333" t="str">
            <v>金止殇30级</v>
          </cell>
          <cell r="B17333">
            <v>522430</v>
          </cell>
        </row>
        <row r="17334">
          <cell r="A17334" t="str">
            <v>金止殇31级</v>
          </cell>
          <cell r="B17334">
            <v>522431</v>
          </cell>
        </row>
        <row r="17335">
          <cell r="A17335" t="str">
            <v>金止殇32级</v>
          </cell>
          <cell r="B17335">
            <v>522432</v>
          </cell>
        </row>
        <row r="17336">
          <cell r="A17336" t="str">
            <v>金止殇33级</v>
          </cell>
          <cell r="B17336">
            <v>522433</v>
          </cell>
        </row>
        <row r="17337">
          <cell r="A17337" t="str">
            <v>金止殇34级</v>
          </cell>
          <cell r="B17337">
            <v>522434</v>
          </cell>
        </row>
        <row r="17338">
          <cell r="A17338" t="str">
            <v>金止殇35级</v>
          </cell>
          <cell r="B17338">
            <v>522435</v>
          </cell>
        </row>
        <row r="17339">
          <cell r="A17339" t="str">
            <v>金止殇36级</v>
          </cell>
          <cell r="B17339">
            <v>522436</v>
          </cell>
        </row>
        <row r="17340">
          <cell r="A17340" t="str">
            <v>金止殇37级</v>
          </cell>
          <cell r="B17340">
            <v>522437</v>
          </cell>
        </row>
        <row r="17341">
          <cell r="A17341" t="str">
            <v>金止殇38级</v>
          </cell>
          <cell r="B17341">
            <v>522438</v>
          </cell>
        </row>
        <row r="17342">
          <cell r="A17342" t="str">
            <v>金止殇39级</v>
          </cell>
          <cell r="B17342">
            <v>522439</v>
          </cell>
        </row>
        <row r="17343">
          <cell r="A17343" t="str">
            <v>金止殇40级</v>
          </cell>
          <cell r="B17343">
            <v>522440</v>
          </cell>
        </row>
        <row r="17344">
          <cell r="A17344" t="str">
            <v>金止殇41级</v>
          </cell>
          <cell r="B17344">
            <v>522441</v>
          </cell>
        </row>
        <row r="17345">
          <cell r="A17345" t="str">
            <v>金止殇42级</v>
          </cell>
          <cell r="B17345">
            <v>522442</v>
          </cell>
        </row>
        <row r="17346">
          <cell r="A17346" t="str">
            <v>金止殇43级</v>
          </cell>
          <cell r="B17346">
            <v>522443</v>
          </cell>
        </row>
        <row r="17347">
          <cell r="A17347" t="str">
            <v>金止殇44级</v>
          </cell>
          <cell r="B17347">
            <v>522444</v>
          </cell>
        </row>
        <row r="17348">
          <cell r="A17348" t="str">
            <v>金止殇45级</v>
          </cell>
          <cell r="B17348">
            <v>522445</v>
          </cell>
        </row>
        <row r="17349">
          <cell r="A17349" t="str">
            <v>金止殇46级</v>
          </cell>
          <cell r="B17349">
            <v>522446</v>
          </cell>
        </row>
        <row r="17350">
          <cell r="A17350" t="str">
            <v>金止殇47级</v>
          </cell>
          <cell r="B17350">
            <v>522447</v>
          </cell>
        </row>
        <row r="17351">
          <cell r="A17351" t="str">
            <v>金止殇48级</v>
          </cell>
          <cell r="B17351">
            <v>522448</v>
          </cell>
        </row>
        <row r="17352">
          <cell r="A17352" t="str">
            <v>金止殇49级</v>
          </cell>
          <cell r="B17352">
            <v>522449</v>
          </cell>
        </row>
        <row r="17353">
          <cell r="A17353" t="str">
            <v>金止殇50级</v>
          </cell>
          <cell r="B17353">
            <v>522450</v>
          </cell>
        </row>
        <row r="17354">
          <cell r="A17354" t="str">
            <v>金止殇51级</v>
          </cell>
          <cell r="B17354">
            <v>522451</v>
          </cell>
        </row>
        <row r="17355">
          <cell r="A17355" t="str">
            <v>金止殇52级</v>
          </cell>
          <cell r="B17355">
            <v>522452</v>
          </cell>
        </row>
        <row r="17356">
          <cell r="A17356" t="str">
            <v>金止殇53级</v>
          </cell>
          <cell r="B17356">
            <v>522453</v>
          </cell>
        </row>
        <row r="17357">
          <cell r="A17357" t="str">
            <v>金止殇54级</v>
          </cell>
          <cell r="B17357">
            <v>522454</v>
          </cell>
        </row>
        <row r="17358">
          <cell r="A17358" t="str">
            <v>金止殇55级</v>
          </cell>
          <cell r="B17358">
            <v>522455</v>
          </cell>
        </row>
        <row r="17359">
          <cell r="A17359" t="str">
            <v>金止殇56级</v>
          </cell>
          <cell r="B17359">
            <v>522456</v>
          </cell>
        </row>
        <row r="17360">
          <cell r="A17360" t="str">
            <v>金止殇57级</v>
          </cell>
          <cell r="B17360">
            <v>522457</v>
          </cell>
        </row>
        <row r="17361">
          <cell r="A17361" t="str">
            <v>金止殇58级</v>
          </cell>
          <cell r="B17361">
            <v>522458</v>
          </cell>
        </row>
        <row r="17362">
          <cell r="A17362" t="str">
            <v>金止殇59级</v>
          </cell>
          <cell r="B17362">
            <v>522459</v>
          </cell>
        </row>
        <row r="17363">
          <cell r="A17363" t="str">
            <v>金止殇60级</v>
          </cell>
          <cell r="B17363">
            <v>522460</v>
          </cell>
        </row>
        <row r="17364">
          <cell r="A17364" t="str">
            <v>金止殇61级</v>
          </cell>
          <cell r="B17364">
            <v>522461</v>
          </cell>
        </row>
        <row r="17365">
          <cell r="A17365" t="str">
            <v>金止殇62级</v>
          </cell>
          <cell r="B17365">
            <v>522462</v>
          </cell>
        </row>
        <row r="17366">
          <cell r="A17366" t="str">
            <v>金止殇63级</v>
          </cell>
          <cell r="B17366">
            <v>522463</v>
          </cell>
        </row>
        <row r="17367">
          <cell r="A17367" t="str">
            <v>金止殇64级</v>
          </cell>
          <cell r="B17367">
            <v>522464</v>
          </cell>
        </row>
        <row r="17368">
          <cell r="A17368" t="str">
            <v>金止殇65级</v>
          </cell>
          <cell r="B17368">
            <v>522465</v>
          </cell>
        </row>
        <row r="17369">
          <cell r="A17369" t="str">
            <v>金止殇66级</v>
          </cell>
          <cell r="B17369">
            <v>522466</v>
          </cell>
        </row>
        <row r="17370">
          <cell r="A17370" t="str">
            <v>金止殇67级</v>
          </cell>
          <cell r="B17370">
            <v>522467</v>
          </cell>
        </row>
        <row r="17371">
          <cell r="A17371" t="str">
            <v>金止殇68级</v>
          </cell>
          <cell r="B17371">
            <v>522468</v>
          </cell>
        </row>
        <row r="17372">
          <cell r="A17372" t="str">
            <v>金止殇69级</v>
          </cell>
          <cell r="B17372">
            <v>522469</v>
          </cell>
        </row>
        <row r="17373">
          <cell r="A17373" t="str">
            <v>金止殇70级</v>
          </cell>
          <cell r="B17373">
            <v>522470</v>
          </cell>
        </row>
        <row r="17374">
          <cell r="A17374" t="str">
            <v>金止殇71级</v>
          </cell>
          <cell r="B17374">
            <v>522471</v>
          </cell>
        </row>
        <row r="17375">
          <cell r="A17375" t="str">
            <v>金止殇72级</v>
          </cell>
          <cell r="B17375">
            <v>522472</v>
          </cell>
        </row>
        <row r="17376">
          <cell r="A17376" t="str">
            <v>金止殇73级</v>
          </cell>
          <cell r="B17376">
            <v>522473</v>
          </cell>
        </row>
        <row r="17377">
          <cell r="A17377" t="str">
            <v>金止殇74级</v>
          </cell>
          <cell r="B17377">
            <v>522474</v>
          </cell>
        </row>
        <row r="17378">
          <cell r="A17378" t="str">
            <v>金止殇75级</v>
          </cell>
          <cell r="B17378">
            <v>522475</v>
          </cell>
        </row>
        <row r="17379">
          <cell r="A17379" t="str">
            <v>金止殇76级</v>
          </cell>
          <cell r="B17379">
            <v>522476</v>
          </cell>
        </row>
        <row r="17380">
          <cell r="A17380" t="str">
            <v>金止殇77级</v>
          </cell>
          <cell r="B17380">
            <v>522477</v>
          </cell>
        </row>
        <row r="17381">
          <cell r="A17381" t="str">
            <v>金止殇78级</v>
          </cell>
          <cell r="B17381">
            <v>522478</v>
          </cell>
        </row>
        <row r="17382">
          <cell r="A17382" t="str">
            <v>金止殇79级</v>
          </cell>
          <cell r="B17382">
            <v>522479</v>
          </cell>
        </row>
        <row r="17383">
          <cell r="A17383" t="str">
            <v>金止殇80级</v>
          </cell>
          <cell r="B17383">
            <v>522480</v>
          </cell>
        </row>
        <row r="17384">
          <cell r="A17384" t="str">
            <v>金止殇81级</v>
          </cell>
          <cell r="B17384">
            <v>522481</v>
          </cell>
        </row>
        <row r="17385">
          <cell r="A17385" t="str">
            <v>金止殇82级</v>
          </cell>
          <cell r="B17385">
            <v>522482</v>
          </cell>
        </row>
        <row r="17386">
          <cell r="A17386" t="str">
            <v>金止殇83级</v>
          </cell>
          <cell r="B17386">
            <v>522483</v>
          </cell>
        </row>
        <row r="17387">
          <cell r="A17387" t="str">
            <v>金止殇84级</v>
          </cell>
          <cell r="B17387">
            <v>522484</v>
          </cell>
        </row>
        <row r="17388">
          <cell r="A17388" t="str">
            <v>金止殇85级</v>
          </cell>
          <cell r="B17388">
            <v>522485</v>
          </cell>
        </row>
        <row r="17389">
          <cell r="A17389" t="str">
            <v>金止殇86级</v>
          </cell>
          <cell r="B17389">
            <v>522486</v>
          </cell>
        </row>
        <row r="17390">
          <cell r="A17390" t="str">
            <v>金止殇87级</v>
          </cell>
          <cell r="B17390">
            <v>522487</v>
          </cell>
        </row>
        <row r="17391">
          <cell r="A17391" t="str">
            <v>金止殇88级</v>
          </cell>
          <cell r="B17391">
            <v>522488</v>
          </cell>
        </row>
        <row r="17392">
          <cell r="A17392" t="str">
            <v>金止殇89级</v>
          </cell>
          <cell r="B17392">
            <v>522489</v>
          </cell>
        </row>
        <row r="17393">
          <cell r="A17393" t="str">
            <v>金止殇90级</v>
          </cell>
          <cell r="B17393">
            <v>522490</v>
          </cell>
        </row>
        <row r="17394">
          <cell r="A17394" t="str">
            <v>金止殇91级</v>
          </cell>
          <cell r="B17394">
            <v>522491</v>
          </cell>
        </row>
        <row r="17395">
          <cell r="A17395" t="str">
            <v>金止殇92级</v>
          </cell>
          <cell r="B17395">
            <v>522492</v>
          </cell>
        </row>
        <row r="17396">
          <cell r="A17396" t="str">
            <v>金止殇93级</v>
          </cell>
          <cell r="B17396">
            <v>522493</v>
          </cell>
        </row>
        <row r="17397">
          <cell r="A17397" t="str">
            <v>金止殇94级</v>
          </cell>
          <cell r="B17397">
            <v>522494</v>
          </cell>
        </row>
        <row r="17398">
          <cell r="A17398" t="str">
            <v>金止殇95级</v>
          </cell>
          <cell r="B17398">
            <v>522495</v>
          </cell>
        </row>
        <row r="17399">
          <cell r="A17399" t="str">
            <v>金止殇96级</v>
          </cell>
          <cell r="B17399">
            <v>522496</v>
          </cell>
        </row>
        <row r="17400">
          <cell r="A17400" t="str">
            <v>金止殇97级</v>
          </cell>
          <cell r="B17400">
            <v>522497</v>
          </cell>
        </row>
        <row r="17401">
          <cell r="A17401" t="str">
            <v>金止殇98级</v>
          </cell>
          <cell r="B17401">
            <v>522498</v>
          </cell>
        </row>
        <row r="17402">
          <cell r="A17402" t="str">
            <v>金止殇99级</v>
          </cell>
          <cell r="B17402">
            <v>522499</v>
          </cell>
        </row>
        <row r="17403">
          <cell r="A17403" t="str">
            <v>金金甲1级</v>
          </cell>
          <cell r="B17403">
            <v>523401</v>
          </cell>
        </row>
        <row r="17404">
          <cell r="A17404" t="str">
            <v>金金甲2级</v>
          </cell>
          <cell r="B17404">
            <v>523402</v>
          </cell>
        </row>
        <row r="17405">
          <cell r="A17405" t="str">
            <v>金金甲3级</v>
          </cell>
          <cell r="B17405">
            <v>523403</v>
          </cell>
        </row>
        <row r="17406">
          <cell r="A17406" t="str">
            <v>金金甲4级</v>
          </cell>
          <cell r="B17406">
            <v>523404</v>
          </cell>
        </row>
        <row r="17407">
          <cell r="A17407" t="str">
            <v>金金甲5级</v>
          </cell>
          <cell r="B17407">
            <v>523405</v>
          </cell>
        </row>
        <row r="17408">
          <cell r="A17408" t="str">
            <v>金金甲6级</v>
          </cell>
          <cell r="B17408">
            <v>523406</v>
          </cell>
        </row>
        <row r="17409">
          <cell r="A17409" t="str">
            <v>金金甲7级</v>
          </cell>
          <cell r="B17409">
            <v>523407</v>
          </cell>
        </row>
        <row r="17410">
          <cell r="A17410" t="str">
            <v>金金甲8级</v>
          </cell>
          <cell r="B17410">
            <v>523408</v>
          </cell>
        </row>
        <row r="17411">
          <cell r="A17411" t="str">
            <v>金金甲9级</v>
          </cell>
          <cell r="B17411">
            <v>523409</v>
          </cell>
        </row>
        <row r="17412">
          <cell r="A17412" t="str">
            <v>金金甲10级</v>
          </cell>
          <cell r="B17412">
            <v>523410</v>
          </cell>
        </row>
        <row r="17413">
          <cell r="A17413" t="str">
            <v>金金甲11级</v>
          </cell>
          <cell r="B17413">
            <v>523411</v>
          </cell>
        </row>
        <row r="17414">
          <cell r="A17414" t="str">
            <v>金金甲12级</v>
          </cell>
          <cell r="B17414">
            <v>523412</v>
          </cell>
        </row>
        <row r="17415">
          <cell r="A17415" t="str">
            <v>金金甲13级</v>
          </cell>
          <cell r="B17415">
            <v>523413</v>
          </cell>
        </row>
        <row r="17416">
          <cell r="A17416" t="str">
            <v>金金甲14级</v>
          </cell>
          <cell r="B17416">
            <v>523414</v>
          </cell>
        </row>
        <row r="17417">
          <cell r="A17417" t="str">
            <v>金金甲15级</v>
          </cell>
          <cell r="B17417">
            <v>523415</v>
          </cell>
        </row>
        <row r="17418">
          <cell r="A17418" t="str">
            <v>金金甲16级</v>
          </cell>
          <cell r="B17418">
            <v>523416</v>
          </cell>
        </row>
        <row r="17419">
          <cell r="A17419" t="str">
            <v>金金甲17级</v>
          </cell>
          <cell r="B17419">
            <v>523417</v>
          </cell>
        </row>
        <row r="17420">
          <cell r="A17420" t="str">
            <v>金金甲18级</v>
          </cell>
          <cell r="B17420">
            <v>523418</v>
          </cell>
        </row>
        <row r="17421">
          <cell r="A17421" t="str">
            <v>金金甲19级</v>
          </cell>
          <cell r="B17421">
            <v>523419</v>
          </cell>
        </row>
        <row r="17422">
          <cell r="A17422" t="str">
            <v>金金甲20级</v>
          </cell>
          <cell r="B17422">
            <v>523420</v>
          </cell>
        </row>
        <row r="17423">
          <cell r="A17423" t="str">
            <v>金金甲21级</v>
          </cell>
          <cell r="B17423">
            <v>523421</v>
          </cell>
        </row>
        <row r="17424">
          <cell r="A17424" t="str">
            <v>金金甲22级</v>
          </cell>
          <cell r="B17424">
            <v>523422</v>
          </cell>
        </row>
        <row r="17425">
          <cell r="A17425" t="str">
            <v>金金甲23级</v>
          </cell>
          <cell r="B17425">
            <v>523423</v>
          </cell>
        </row>
        <row r="17426">
          <cell r="A17426" t="str">
            <v>金金甲24级</v>
          </cell>
          <cell r="B17426">
            <v>523424</v>
          </cell>
        </row>
        <row r="17427">
          <cell r="A17427" t="str">
            <v>金金甲25级</v>
          </cell>
          <cell r="B17427">
            <v>523425</v>
          </cell>
        </row>
        <row r="17428">
          <cell r="A17428" t="str">
            <v>金金甲26级</v>
          </cell>
          <cell r="B17428">
            <v>523426</v>
          </cell>
        </row>
        <row r="17429">
          <cell r="A17429" t="str">
            <v>金金甲27级</v>
          </cell>
          <cell r="B17429">
            <v>523427</v>
          </cell>
        </row>
        <row r="17430">
          <cell r="A17430" t="str">
            <v>金金甲28级</v>
          </cell>
          <cell r="B17430">
            <v>523428</v>
          </cell>
        </row>
        <row r="17431">
          <cell r="A17431" t="str">
            <v>金金甲29级</v>
          </cell>
          <cell r="B17431">
            <v>523429</v>
          </cell>
        </row>
        <row r="17432">
          <cell r="A17432" t="str">
            <v>金金甲30级</v>
          </cell>
          <cell r="B17432">
            <v>523430</v>
          </cell>
        </row>
        <row r="17433">
          <cell r="A17433" t="str">
            <v>金金甲31级</v>
          </cell>
          <cell r="B17433">
            <v>523431</v>
          </cell>
        </row>
        <row r="17434">
          <cell r="A17434" t="str">
            <v>金金甲32级</v>
          </cell>
          <cell r="B17434">
            <v>523432</v>
          </cell>
        </row>
        <row r="17435">
          <cell r="A17435" t="str">
            <v>金金甲33级</v>
          </cell>
          <cell r="B17435">
            <v>523433</v>
          </cell>
        </row>
        <row r="17436">
          <cell r="A17436" t="str">
            <v>金金甲34级</v>
          </cell>
          <cell r="B17436">
            <v>523434</v>
          </cell>
        </row>
        <row r="17437">
          <cell r="A17437" t="str">
            <v>金金甲35级</v>
          </cell>
          <cell r="B17437">
            <v>523435</v>
          </cell>
        </row>
        <row r="17438">
          <cell r="A17438" t="str">
            <v>金金甲36级</v>
          </cell>
          <cell r="B17438">
            <v>523436</v>
          </cell>
        </row>
        <row r="17439">
          <cell r="A17439" t="str">
            <v>金金甲37级</v>
          </cell>
          <cell r="B17439">
            <v>523437</v>
          </cell>
        </row>
        <row r="17440">
          <cell r="A17440" t="str">
            <v>金金甲38级</v>
          </cell>
          <cell r="B17440">
            <v>523438</v>
          </cell>
        </row>
        <row r="17441">
          <cell r="A17441" t="str">
            <v>金金甲39级</v>
          </cell>
          <cell r="B17441">
            <v>523439</v>
          </cell>
        </row>
        <row r="17442">
          <cell r="A17442" t="str">
            <v>金金甲40级</v>
          </cell>
          <cell r="B17442">
            <v>523440</v>
          </cell>
        </row>
        <row r="17443">
          <cell r="A17443" t="str">
            <v>金金甲41级</v>
          </cell>
          <cell r="B17443">
            <v>523441</v>
          </cell>
        </row>
        <row r="17444">
          <cell r="A17444" t="str">
            <v>金金甲42级</v>
          </cell>
          <cell r="B17444">
            <v>523442</v>
          </cell>
        </row>
        <row r="17445">
          <cell r="A17445" t="str">
            <v>金金甲43级</v>
          </cell>
          <cell r="B17445">
            <v>523443</v>
          </cell>
        </row>
        <row r="17446">
          <cell r="A17446" t="str">
            <v>金金甲44级</v>
          </cell>
          <cell r="B17446">
            <v>523444</v>
          </cell>
        </row>
        <row r="17447">
          <cell r="A17447" t="str">
            <v>金金甲45级</v>
          </cell>
          <cell r="B17447">
            <v>523445</v>
          </cell>
        </row>
        <row r="17448">
          <cell r="A17448" t="str">
            <v>金金甲46级</v>
          </cell>
          <cell r="B17448">
            <v>523446</v>
          </cell>
        </row>
        <row r="17449">
          <cell r="A17449" t="str">
            <v>金金甲47级</v>
          </cell>
          <cell r="B17449">
            <v>523447</v>
          </cell>
        </row>
        <row r="17450">
          <cell r="A17450" t="str">
            <v>金金甲48级</v>
          </cell>
          <cell r="B17450">
            <v>523448</v>
          </cell>
        </row>
        <row r="17451">
          <cell r="A17451" t="str">
            <v>金金甲49级</v>
          </cell>
          <cell r="B17451">
            <v>523449</v>
          </cell>
        </row>
        <row r="17452">
          <cell r="A17452" t="str">
            <v>金金甲50级</v>
          </cell>
          <cell r="B17452">
            <v>523450</v>
          </cell>
        </row>
        <row r="17453">
          <cell r="A17453" t="str">
            <v>金金甲51级</v>
          </cell>
          <cell r="B17453">
            <v>523451</v>
          </cell>
        </row>
        <row r="17454">
          <cell r="A17454" t="str">
            <v>金金甲52级</v>
          </cell>
          <cell r="B17454">
            <v>523452</v>
          </cell>
        </row>
        <row r="17455">
          <cell r="A17455" t="str">
            <v>金金甲53级</v>
          </cell>
          <cell r="B17455">
            <v>523453</v>
          </cell>
        </row>
        <row r="17456">
          <cell r="A17456" t="str">
            <v>金金甲54级</v>
          </cell>
          <cell r="B17456">
            <v>523454</v>
          </cell>
        </row>
        <row r="17457">
          <cell r="A17457" t="str">
            <v>金金甲55级</v>
          </cell>
          <cell r="B17457">
            <v>523455</v>
          </cell>
        </row>
        <row r="17458">
          <cell r="A17458" t="str">
            <v>金金甲56级</v>
          </cell>
          <cell r="B17458">
            <v>523456</v>
          </cell>
        </row>
        <row r="17459">
          <cell r="A17459" t="str">
            <v>金金甲57级</v>
          </cell>
          <cell r="B17459">
            <v>523457</v>
          </cell>
        </row>
        <row r="17460">
          <cell r="A17460" t="str">
            <v>金金甲58级</v>
          </cell>
          <cell r="B17460">
            <v>523458</v>
          </cell>
        </row>
        <row r="17461">
          <cell r="A17461" t="str">
            <v>金金甲59级</v>
          </cell>
          <cell r="B17461">
            <v>523459</v>
          </cell>
        </row>
        <row r="17462">
          <cell r="A17462" t="str">
            <v>金金甲60级</v>
          </cell>
          <cell r="B17462">
            <v>523460</v>
          </cell>
        </row>
        <row r="17463">
          <cell r="A17463" t="str">
            <v>金金甲61级</v>
          </cell>
          <cell r="B17463">
            <v>523461</v>
          </cell>
        </row>
        <row r="17464">
          <cell r="A17464" t="str">
            <v>金金甲62级</v>
          </cell>
          <cell r="B17464">
            <v>523462</v>
          </cell>
        </row>
        <row r="17465">
          <cell r="A17465" t="str">
            <v>金金甲63级</v>
          </cell>
          <cell r="B17465">
            <v>523463</v>
          </cell>
        </row>
        <row r="17466">
          <cell r="A17466" t="str">
            <v>金金甲64级</v>
          </cell>
          <cell r="B17466">
            <v>523464</v>
          </cell>
        </row>
        <row r="17467">
          <cell r="A17467" t="str">
            <v>金金甲65级</v>
          </cell>
          <cell r="B17467">
            <v>523465</v>
          </cell>
        </row>
        <row r="17468">
          <cell r="A17468" t="str">
            <v>金金甲66级</v>
          </cell>
          <cell r="B17468">
            <v>523466</v>
          </cell>
        </row>
        <row r="17469">
          <cell r="A17469" t="str">
            <v>金金甲67级</v>
          </cell>
          <cell r="B17469">
            <v>523467</v>
          </cell>
        </row>
        <row r="17470">
          <cell r="A17470" t="str">
            <v>金金甲68级</v>
          </cell>
          <cell r="B17470">
            <v>523468</v>
          </cell>
        </row>
        <row r="17471">
          <cell r="A17471" t="str">
            <v>金金甲69级</v>
          </cell>
          <cell r="B17471">
            <v>523469</v>
          </cell>
        </row>
        <row r="17472">
          <cell r="A17472" t="str">
            <v>金金甲70级</v>
          </cell>
          <cell r="B17472">
            <v>523470</v>
          </cell>
        </row>
        <row r="17473">
          <cell r="A17473" t="str">
            <v>金金甲71级</v>
          </cell>
          <cell r="B17473">
            <v>523471</v>
          </cell>
        </row>
        <row r="17474">
          <cell r="A17474" t="str">
            <v>金金甲72级</v>
          </cell>
          <cell r="B17474">
            <v>523472</v>
          </cell>
        </row>
        <row r="17475">
          <cell r="A17475" t="str">
            <v>金金甲73级</v>
          </cell>
          <cell r="B17475">
            <v>523473</v>
          </cell>
        </row>
        <row r="17476">
          <cell r="A17476" t="str">
            <v>金金甲74级</v>
          </cell>
          <cell r="B17476">
            <v>523474</v>
          </cell>
        </row>
        <row r="17477">
          <cell r="A17477" t="str">
            <v>金金甲75级</v>
          </cell>
          <cell r="B17477">
            <v>523475</v>
          </cell>
        </row>
        <row r="17478">
          <cell r="A17478" t="str">
            <v>金金甲76级</v>
          </cell>
          <cell r="B17478">
            <v>523476</v>
          </cell>
        </row>
        <row r="17479">
          <cell r="A17479" t="str">
            <v>金金甲77级</v>
          </cell>
          <cell r="B17479">
            <v>523477</v>
          </cell>
        </row>
        <row r="17480">
          <cell r="A17480" t="str">
            <v>金金甲78级</v>
          </cell>
          <cell r="B17480">
            <v>523478</v>
          </cell>
        </row>
        <row r="17481">
          <cell r="A17481" t="str">
            <v>金金甲79级</v>
          </cell>
          <cell r="B17481">
            <v>523479</v>
          </cell>
        </row>
        <row r="17482">
          <cell r="A17482" t="str">
            <v>金金甲80级</v>
          </cell>
          <cell r="B17482">
            <v>523480</v>
          </cell>
        </row>
        <row r="17483">
          <cell r="A17483" t="str">
            <v>金金甲81级</v>
          </cell>
          <cell r="B17483">
            <v>523481</v>
          </cell>
        </row>
        <row r="17484">
          <cell r="A17484" t="str">
            <v>金金甲82级</v>
          </cell>
          <cell r="B17484">
            <v>523482</v>
          </cell>
        </row>
        <row r="17485">
          <cell r="A17485" t="str">
            <v>金金甲83级</v>
          </cell>
          <cell r="B17485">
            <v>523483</v>
          </cell>
        </row>
        <row r="17486">
          <cell r="A17486" t="str">
            <v>金金甲84级</v>
          </cell>
          <cell r="B17486">
            <v>523484</v>
          </cell>
        </row>
        <row r="17487">
          <cell r="A17487" t="str">
            <v>金金甲85级</v>
          </cell>
          <cell r="B17487">
            <v>523485</v>
          </cell>
        </row>
        <row r="17488">
          <cell r="A17488" t="str">
            <v>金金甲86级</v>
          </cell>
          <cell r="B17488">
            <v>523486</v>
          </cell>
        </row>
        <row r="17489">
          <cell r="A17489" t="str">
            <v>金金甲87级</v>
          </cell>
          <cell r="B17489">
            <v>523487</v>
          </cell>
        </row>
        <row r="17490">
          <cell r="A17490" t="str">
            <v>金金甲88级</v>
          </cell>
          <cell r="B17490">
            <v>523488</v>
          </cell>
        </row>
        <row r="17491">
          <cell r="A17491" t="str">
            <v>金金甲89级</v>
          </cell>
          <cell r="B17491">
            <v>523489</v>
          </cell>
        </row>
        <row r="17492">
          <cell r="A17492" t="str">
            <v>金金甲90级</v>
          </cell>
          <cell r="B17492">
            <v>523490</v>
          </cell>
        </row>
        <row r="17493">
          <cell r="A17493" t="str">
            <v>金金甲91级</v>
          </cell>
          <cell r="B17493">
            <v>523491</v>
          </cell>
        </row>
        <row r="17494">
          <cell r="A17494" t="str">
            <v>金金甲92级</v>
          </cell>
          <cell r="B17494">
            <v>523492</v>
          </cell>
        </row>
        <row r="17495">
          <cell r="A17495" t="str">
            <v>金金甲93级</v>
          </cell>
          <cell r="B17495">
            <v>523493</v>
          </cell>
        </row>
        <row r="17496">
          <cell r="A17496" t="str">
            <v>金金甲94级</v>
          </cell>
          <cell r="B17496">
            <v>523494</v>
          </cell>
        </row>
        <row r="17497">
          <cell r="A17497" t="str">
            <v>金金甲95级</v>
          </cell>
          <cell r="B17497">
            <v>523495</v>
          </cell>
        </row>
        <row r="17498">
          <cell r="A17498" t="str">
            <v>金金甲96级</v>
          </cell>
          <cell r="B17498">
            <v>523496</v>
          </cell>
        </row>
        <row r="17499">
          <cell r="A17499" t="str">
            <v>金金甲97级</v>
          </cell>
          <cell r="B17499">
            <v>523497</v>
          </cell>
        </row>
        <row r="17500">
          <cell r="A17500" t="str">
            <v>金金甲98级</v>
          </cell>
          <cell r="B17500">
            <v>523498</v>
          </cell>
        </row>
        <row r="17501">
          <cell r="A17501" t="str">
            <v>金金甲99级</v>
          </cell>
          <cell r="B17501">
            <v>523499</v>
          </cell>
        </row>
        <row r="17502">
          <cell r="A17502" t="str">
            <v>金乾坤1级</v>
          </cell>
          <cell r="B17502">
            <v>524401</v>
          </cell>
        </row>
        <row r="17503">
          <cell r="A17503" t="str">
            <v>金乾坤2级</v>
          </cell>
          <cell r="B17503">
            <v>524402</v>
          </cell>
        </row>
        <row r="17504">
          <cell r="A17504" t="str">
            <v>金乾坤3级</v>
          </cell>
          <cell r="B17504">
            <v>524403</v>
          </cell>
        </row>
        <row r="17505">
          <cell r="A17505" t="str">
            <v>金乾坤4级</v>
          </cell>
          <cell r="B17505">
            <v>524404</v>
          </cell>
        </row>
        <row r="17506">
          <cell r="A17506" t="str">
            <v>金乾坤5级</v>
          </cell>
          <cell r="B17506">
            <v>524405</v>
          </cell>
        </row>
        <row r="17507">
          <cell r="A17507" t="str">
            <v>金乾坤6级</v>
          </cell>
          <cell r="B17507">
            <v>524406</v>
          </cell>
        </row>
        <row r="17508">
          <cell r="A17508" t="str">
            <v>金乾坤7级</v>
          </cell>
          <cell r="B17508">
            <v>524407</v>
          </cell>
        </row>
        <row r="17509">
          <cell r="A17509" t="str">
            <v>金乾坤8级</v>
          </cell>
          <cell r="B17509">
            <v>524408</v>
          </cell>
        </row>
        <row r="17510">
          <cell r="A17510" t="str">
            <v>金乾坤9级</v>
          </cell>
          <cell r="B17510">
            <v>524409</v>
          </cell>
        </row>
        <row r="17511">
          <cell r="A17511" t="str">
            <v>金乾坤10级</v>
          </cell>
          <cell r="B17511">
            <v>524410</v>
          </cell>
        </row>
        <row r="17512">
          <cell r="A17512" t="str">
            <v>金乾坤11级</v>
          </cell>
          <cell r="B17512">
            <v>524411</v>
          </cell>
        </row>
        <row r="17513">
          <cell r="A17513" t="str">
            <v>金乾坤12级</v>
          </cell>
          <cell r="B17513">
            <v>524412</v>
          </cell>
        </row>
        <row r="17514">
          <cell r="A17514" t="str">
            <v>金乾坤13级</v>
          </cell>
          <cell r="B17514">
            <v>524413</v>
          </cell>
        </row>
        <row r="17515">
          <cell r="A17515" t="str">
            <v>金乾坤14级</v>
          </cell>
          <cell r="B17515">
            <v>524414</v>
          </cell>
        </row>
        <row r="17516">
          <cell r="A17516" t="str">
            <v>金乾坤15级</v>
          </cell>
          <cell r="B17516">
            <v>524415</v>
          </cell>
        </row>
        <row r="17517">
          <cell r="A17517" t="str">
            <v>金乾坤16级</v>
          </cell>
          <cell r="B17517">
            <v>524416</v>
          </cell>
        </row>
        <row r="17518">
          <cell r="A17518" t="str">
            <v>金乾坤17级</v>
          </cell>
          <cell r="B17518">
            <v>524417</v>
          </cell>
        </row>
        <row r="17519">
          <cell r="A17519" t="str">
            <v>金乾坤18级</v>
          </cell>
          <cell r="B17519">
            <v>524418</v>
          </cell>
        </row>
        <row r="17520">
          <cell r="A17520" t="str">
            <v>金乾坤19级</v>
          </cell>
          <cell r="B17520">
            <v>524419</v>
          </cell>
        </row>
        <row r="17521">
          <cell r="A17521" t="str">
            <v>金乾坤20级</v>
          </cell>
          <cell r="B17521">
            <v>524420</v>
          </cell>
        </row>
        <row r="17522">
          <cell r="A17522" t="str">
            <v>金乾坤21级</v>
          </cell>
          <cell r="B17522">
            <v>524421</v>
          </cell>
        </row>
        <row r="17523">
          <cell r="A17523" t="str">
            <v>金乾坤22级</v>
          </cell>
          <cell r="B17523">
            <v>524422</v>
          </cell>
        </row>
        <row r="17524">
          <cell r="A17524" t="str">
            <v>金乾坤23级</v>
          </cell>
          <cell r="B17524">
            <v>524423</v>
          </cell>
        </row>
        <row r="17525">
          <cell r="A17525" t="str">
            <v>金乾坤24级</v>
          </cell>
          <cell r="B17525">
            <v>524424</v>
          </cell>
        </row>
        <row r="17526">
          <cell r="A17526" t="str">
            <v>金乾坤25级</v>
          </cell>
          <cell r="B17526">
            <v>524425</v>
          </cell>
        </row>
        <row r="17527">
          <cell r="A17527" t="str">
            <v>金乾坤26级</v>
          </cell>
          <cell r="B17527">
            <v>524426</v>
          </cell>
        </row>
        <row r="17528">
          <cell r="A17528" t="str">
            <v>金乾坤27级</v>
          </cell>
          <cell r="B17528">
            <v>524427</v>
          </cell>
        </row>
        <row r="17529">
          <cell r="A17529" t="str">
            <v>金乾坤28级</v>
          </cell>
          <cell r="B17529">
            <v>524428</v>
          </cell>
        </row>
        <row r="17530">
          <cell r="A17530" t="str">
            <v>金乾坤29级</v>
          </cell>
          <cell r="B17530">
            <v>524429</v>
          </cell>
        </row>
        <row r="17531">
          <cell r="A17531" t="str">
            <v>金乾坤30级</v>
          </cell>
          <cell r="B17531">
            <v>524430</v>
          </cell>
        </row>
        <row r="17532">
          <cell r="A17532" t="str">
            <v>金乾坤31级</v>
          </cell>
          <cell r="B17532">
            <v>524431</v>
          </cell>
        </row>
        <row r="17533">
          <cell r="A17533" t="str">
            <v>金乾坤32级</v>
          </cell>
          <cell r="B17533">
            <v>524432</v>
          </cell>
        </row>
        <row r="17534">
          <cell r="A17534" t="str">
            <v>金乾坤33级</v>
          </cell>
          <cell r="B17534">
            <v>524433</v>
          </cell>
        </row>
        <row r="17535">
          <cell r="A17535" t="str">
            <v>金乾坤34级</v>
          </cell>
          <cell r="B17535">
            <v>524434</v>
          </cell>
        </row>
        <row r="17536">
          <cell r="A17536" t="str">
            <v>金乾坤35级</v>
          </cell>
          <cell r="B17536">
            <v>524435</v>
          </cell>
        </row>
        <row r="17537">
          <cell r="A17537" t="str">
            <v>金乾坤36级</v>
          </cell>
          <cell r="B17537">
            <v>524436</v>
          </cell>
        </row>
        <row r="17538">
          <cell r="A17538" t="str">
            <v>金乾坤37级</v>
          </cell>
          <cell r="B17538">
            <v>524437</v>
          </cell>
        </row>
        <row r="17539">
          <cell r="A17539" t="str">
            <v>金乾坤38级</v>
          </cell>
          <cell r="B17539">
            <v>524438</v>
          </cell>
        </row>
        <row r="17540">
          <cell r="A17540" t="str">
            <v>金乾坤39级</v>
          </cell>
          <cell r="B17540">
            <v>524439</v>
          </cell>
        </row>
        <row r="17541">
          <cell r="A17541" t="str">
            <v>金乾坤40级</v>
          </cell>
          <cell r="B17541">
            <v>524440</v>
          </cell>
        </row>
        <row r="17542">
          <cell r="A17542" t="str">
            <v>金乾坤41级</v>
          </cell>
          <cell r="B17542">
            <v>524441</v>
          </cell>
        </row>
        <row r="17543">
          <cell r="A17543" t="str">
            <v>金乾坤42级</v>
          </cell>
          <cell r="B17543">
            <v>524442</v>
          </cell>
        </row>
        <row r="17544">
          <cell r="A17544" t="str">
            <v>金乾坤43级</v>
          </cell>
          <cell r="B17544">
            <v>524443</v>
          </cell>
        </row>
        <row r="17545">
          <cell r="A17545" t="str">
            <v>金乾坤44级</v>
          </cell>
          <cell r="B17545">
            <v>524444</v>
          </cell>
        </row>
        <row r="17546">
          <cell r="A17546" t="str">
            <v>金乾坤45级</v>
          </cell>
          <cell r="B17546">
            <v>524445</v>
          </cell>
        </row>
        <row r="17547">
          <cell r="A17547" t="str">
            <v>金乾坤46级</v>
          </cell>
          <cell r="B17547">
            <v>524446</v>
          </cell>
        </row>
        <row r="17548">
          <cell r="A17548" t="str">
            <v>金乾坤47级</v>
          </cell>
          <cell r="B17548">
            <v>524447</v>
          </cell>
        </row>
        <row r="17549">
          <cell r="A17549" t="str">
            <v>金乾坤48级</v>
          </cell>
          <cell r="B17549">
            <v>524448</v>
          </cell>
        </row>
        <row r="17550">
          <cell r="A17550" t="str">
            <v>金乾坤49级</v>
          </cell>
          <cell r="B17550">
            <v>524449</v>
          </cell>
        </row>
        <row r="17551">
          <cell r="A17551" t="str">
            <v>金乾坤50级</v>
          </cell>
          <cell r="B17551">
            <v>524450</v>
          </cell>
        </row>
        <row r="17552">
          <cell r="A17552" t="str">
            <v>金乾坤51级</v>
          </cell>
          <cell r="B17552">
            <v>524451</v>
          </cell>
        </row>
        <row r="17553">
          <cell r="A17553" t="str">
            <v>金乾坤52级</v>
          </cell>
          <cell r="B17553">
            <v>524452</v>
          </cell>
        </row>
        <row r="17554">
          <cell r="A17554" t="str">
            <v>金乾坤53级</v>
          </cell>
          <cell r="B17554">
            <v>524453</v>
          </cell>
        </row>
        <row r="17555">
          <cell r="A17555" t="str">
            <v>金乾坤54级</v>
          </cell>
          <cell r="B17555">
            <v>524454</v>
          </cell>
        </row>
        <row r="17556">
          <cell r="A17556" t="str">
            <v>金乾坤55级</v>
          </cell>
          <cell r="B17556">
            <v>524455</v>
          </cell>
        </row>
        <row r="17557">
          <cell r="A17557" t="str">
            <v>金乾坤56级</v>
          </cell>
          <cell r="B17557">
            <v>524456</v>
          </cell>
        </row>
        <row r="17558">
          <cell r="A17558" t="str">
            <v>金乾坤57级</v>
          </cell>
          <cell r="B17558">
            <v>524457</v>
          </cell>
        </row>
        <row r="17559">
          <cell r="A17559" t="str">
            <v>金乾坤58级</v>
          </cell>
          <cell r="B17559">
            <v>524458</v>
          </cell>
        </row>
        <row r="17560">
          <cell r="A17560" t="str">
            <v>金乾坤59级</v>
          </cell>
          <cell r="B17560">
            <v>524459</v>
          </cell>
        </row>
        <row r="17561">
          <cell r="A17561" t="str">
            <v>金乾坤60级</v>
          </cell>
          <cell r="B17561">
            <v>524460</v>
          </cell>
        </row>
        <row r="17562">
          <cell r="A17562" t="str">
            <v>金乾坤61级</v>
          </cell>
          <cell r="B17562">
            <v>524461</v>
          </cell>
        </row>
        <row r="17563">
          <cell r="A17563" t="str">
            <v>金乾坤62级</v>
          </cell>
          <cell r="B17563">
            <v>524462</v>
          </cell>
        </row>
        <row r="17564">
          <cell r="A17564" t="str">
            <v>金乾坤63级</v>
          </cell>
          <cell r="B17564">
            <v>524463</v>
          </cell>
        </row>
        <row r="17565">
          <cell r="A17565" t="str">
            <v>金乾坤64级</v>
          </cell>
          <cell r="B17565">
            <v>524464</v>
          </cell>
        </row>
        <row r="17566">
          <cell r="A17566" t="str">
            <v>金乾坤65级</v>
          </cell>
          <cell r="B17566">
            <v>524465</v>
          </cell>
        </row>
        <row r="17567">
          <cell r="A17567" t="str">
            <v>金乾坤66级</v>
          </cell>
          <cell r="B17567">
            <v>524466</v>
          </cell>
        </row>
        <row r="17568">
          <cell r="A17568" t="str">
            <v>金乾坤67级</v>
          </cell>
          <cell r="B17568">
            <v>524467</v>
          </cell>
        </row>
        <row r="17569">
          <cell r="A17569" t="str">
            <v>金乾坤68级</v>
          </cell>
          <cell r="B17569">
            <v>524468</v>
          </cell>
        </row>
        <row r="17570">
          <cell r="A17570" t="str">
            <v>金乾坤69级</v>
          </cell>
          <cell r="B17570">
            <v>524469</v>
          </cell>
        </row>
        <row r="17571">
          <cell r="A17571" t="str">
            <v>金乾坤70级</v>
          </cell>
          <cell r="B17571">
            <v>524470</v>
          </cell>
        </row>
        <row r="17572">
          <cell r="A17572" t="str">
            <v>金乾坤71级</v>
          </cell>
          <cell r="B17572">
            <v>524471</v>
          </cell>
        </row>
        <row r="17573">
          <cell r="A17573" t="str">
            <v>金乾坤72级</v>
          </cell>
          <cell r="B17573">
            <v>524472</v>
          </cell>
        </row>
        <row r="17574">
          <cell r="A17574" t="str">
            <v>金乾坤73级</v>
          </cell>
          <cell r="B17574">
            <v>524473</v>
          </cell>
        </row>
        <row r="17575">
          <cell r="A17575" t="str">
            <v>金乾坤74级</v>
          </cell>
          <cell r="B17575">
            <v>524474</v>
          </cell>
        </row>
        <row r="17576">
          <cell r="A17576" t="str">
            <v>金乾坤75级</v>
          </cell>
          <cell r="B17576">
            <v>524475</v>
          </cell>
        </row>
        <row r="17577">
          <cell r="A17577" t="str">
            <v>金乾坤76级</v>
          </cell>
          <cell r="B17577">
            <v>524476</v>
          </cell>
        </row>
        <row r="17578">
          <cell r="A17578" t="str">
            <v>金乾坤77级</v>
          </cell>
          <cell r="B17578">
            <v>524477</v>
          </cell>
        </row>
        <row r="17579">
          <cell r="A17579" t="str">
            <v>金乾坤78级</v>
          </cell>
          <cell r="B17579">
            <v>524478</v>
          </cell>
        </row>
        <row r="17580">
          <cell r="A17580" t="str">
            <v>金乾坤79级</v>
          </cell>
          <cell r="B17580">
            <v>524479</v>
          </cell>
        </row>
        <row r="17581">
          <cell r="A17581" t="str">
            <v>金乾坤80级</v>
          </cell>
          <cell r="B17581">
            <v>524480</v>
          </cell>
        </row>
        <row r="17582">
          <cell r="A17582" t="str">
            <v>金乾坤81级</v>
          </cell>
          <cell r="B17582">
            <v>524481</v>
          </cell>
        </row>
        <row r="17583">
          <cell r="A17583" t="str">
            <v>金乾坤82级</v>
          </cell>
          <cell r="B17583">
            <v>524482</v>
          </cell>
        </row>
        <row r="17584">
          <cell r="A17584" t="str">
            <v>金乾坤83级</v>
          </cell>
          <cell r="B17584">
            <v>524483</v>
          </cell>
        </row>
        <row r="17585">
          <cell r="A17585" t="str">
            <v>金乾坤84级</v>
          </cell>
          <cell r="B17585">
            <v>524484</v>
          </cell>
        </row>
        <row r="17586">
          <cell r="A17586" t="str">
            <v>金乾坤85级</v>
          </cell>
          <cell r="B17586">
            <v>524485</v>
          </cell>
        </row>
        <row r="17587">
          <cell r="A17587" t="str">
            <v>金乾坤86级</v>
          </cell>
          <cell r="B17587">
            <v>524486</v>
          </cell>
        </row>
        <row r="17588">
          <cell r="A17588" t="str">
            <v>金乾坤87级</v>
          </cell>
          <cell r="B17588">
            <v>524487</v>
          </cell>
        </row>
        <row r="17589">
          <cell r="A17589" t="str">
            <v>金乾坤88级</v>
          </cell>
          <cell r="B17589">
            <v>524488</v>
          </cell>
        </row>
        <row r="17590">
          <cell r="A17590" t="str">
            <v>金乾坤89级</v>
          </cell>
          <cell r="B17590">
            <v>524489</v>
          </cell>
        </row>
        <row r="17591">
          <cell r="A17591" t="str">
            <v>金乾坤90级</v>
          </cell>
          <cell r="B17591">
            <v>524490</v>
          </cell>
        </row>
        <row r="17592">
          <cell r="A17592" t="str">
            <v>金乾坤91级</v>
          </cell>
          <cell r="B17592">
            <v>524491</v>
          </cell>
        </row>
        <row r="17593">
          <cell r="A17593" t="str">
            <v>金乾坤92级</v>
          </cell>
          <cell r="B17593">
            <v>524492</v>
          </cell>
        </row>
        <row r="17594">
          <cell r="A17594" t="str">
            <v>金乾坤93级</v>
          </cell>
          <cell r="B17594">
            <v>524493</v>
          </cell>
        </row>
        <row r="17595">
          <cell r="A17595" t="str">
            <v>金乾坤94级</v>
          </cell>
          <cell r="B17595">
            <v>524494</v>
          </cell>
        </row>
        <row r="17596">
          <cell r="A17596" t="str">
            <v>金乾坤95级</v>
          </cell>
          <cell r="B17596">
            <v>524495</v>
          </cell>
        </row>
        <row r="17597">
          <cell r="A17597" t="str">
            <v>金乾坤96级</v>
          </cell>
          <cell r="B17597">
            <v>524496</v>
          </cell>
        </row>
        <row r="17598">
          <cell r="A17598" t="str">
            <v>金乾坤97级</v>
          </cell>
          <cell r="B17598">
            <v>524497</v>
          </cell>
        </row>
        <row r="17599">
          <cell r="A17599" t="str">
            <v>金乾坤98级</v>
          </cell>
          <cell r="B17599">
            <v>524498</v>
          </cell>
        </row>
        <row r="17600">
          <cell r="A17600" t="str">
            <v>金乾坤99级</v>
          </cell>
          <cell r="B17600">
            <v>524499</v>
          </cell>
        </row>
        <row r="17601">
          <cell r="A17601" t="str">
            <v>金流云1级</v>
          </cell>
          <cell r="B17601">
            <v>525401</v>
          </cell>
        </row>
        <row r="17602">
          <cell r="A17602" t="str">
            <v>金流云2级</v>
          </cell>
          <cell r="B17602">
            <v>525402</v>
          </cell>
        </row>
        <row r="17603">
          <cell r="A17603" t="str">
            <v>金流云3级</v>
          </cell>
          <cell r="B17603">
            <v>525403</v>
          </cell>
        </row>
        <row r="17604">
          <cell r="A17604" t="str">
            <v>金流云4级</v>
          </cell>
          <cell r="B17604">
            <v>525404</v>
          </cell>
        </row>
        <row r="17605">
          <cell r="A17605" t="str">
            <v>金流云5级</v>
          </cell>
          <cell r="B17605">
            <v>525405</v>
          </cell>
        </row>
        <row r="17606">
          <cell r="A17606" t="str">
            <v>金流云6级</v>
          </cell>
          <cell r="B17606">
            <v>525406</v>
          </cell>
        </row>
        <row r="17607">
          <cell r="A17607" t="str">
            <v>金流云7级</v>
          </cell>
          <cell r="B17607">
            <v>525407</v>
          </cell>
        </row>
        <row r="17608">
          <cell r="A17608" t="str">
            <v>金流云8级</v>
          </cell>
          <cell r="B17608">
            <v>525408</v>
          </cell>
        </row>
        <row r="17609">
          <cell r="A17609" t="str">
            <v>金流云9级</v>
          </cell>
          <cell r="B17609">
            <v>525409</v>
          </cell>
        </row>
        <row r="17610">
          <cell r="A17610" t="str">
            <v>金流云10级</v>
          </cell>
          <cell r="B17610">
            <v>525410</v>
          </cell>
        </row>
        <row r="17611">
          <cell r="A17611" t="str">
            <v>金流云11级</v>
          </cell>
          <cell r="B17611">
            <v>525411</v>
          </cell>
        </row>
        <row r="17612">
          <cell r="A17612" t="str">
            <v>金流云12级</v>
          </cell>
          <cell r="B17612">
            <v>525412</v>
          </cell>
        </row>
        <row r="17613">
          <cell r="A17613" t="str">
            <v>金流云13级</v>
          </cell>
          <cell r="B17613">
            <v>525413</v>
          </cell>
        </row>
        <row r="17614">
          <cell r="A17614" t="str">
            <v>金流云14级</v>
          </cell>
          <cell r="B17614">
            <v>525414</v>
          </cell>
        </row>
        <row r="17615">
          <cell r="A17615" t="str">
            <v>金流云15级</v>
          </cell>
          <cell r="B17615">
            <v>525415</v>
          </cell>
        </row>
        <row r="17616">
          <cell r="A17616" t="str">
            <v>金流云16级</v>
          </cell>
          <cell r="B17616">
            <v>525416</v>
          </cell>
        </row>
        <row r="17617">
          <cell r="A17617" t="str">
            <v>金流云17级</v>
          </cell>
          <cell r="B17617">
            <v>525417</v>
          </cell>
        </row>
        <row r="17618">
          <cell r="A17618" t="str">
            <v>金流云18级</v>
          </cell>
          <cell r="B17618">
            <v>525418</v>
          </cell>
        </row>
        <row r="17619">
          <cell r="A17619" t="str">
            <v>金流云19级</v>
          </cell>
          <cell r="B17619">
            <v>525419</v>
          </cell>
        </row>
        <row r="17620">
          <cell r="A17620" t="str">
            <v>金流云20级</v>
          </cell>
          <cell r="B17620">
            <v>525420</v>
          </cell>
        </row>
        <row r="17621">
          <cell r="A17621" t="str">
            <v>金流云21级</v>
          </cell>
          <cell r="B17621">
            <v>525421</v>
          </cell>
        </row>
        <row r="17622">
          <cell r="A17622" t="str">
            <v>金流云22级</v>
          </cell>
          <cell r="B17622">
            <v>525422</v>
          </cell>
        </row>
        <row r="17623">
          <cell r="A17623" t="str">
            <v>金流云23级</v>
          </cell>
          <cell r="B17623">
            <v>525423</v>
          </cell>
        </row>
        <row r="17624">
          <cell r="A17624" t="str">
            <v>金流云24级</v>
          </cell>
          <cell r="B17624">
            <v>525424</v>
          </cell>
        </row>
        <row r="17625">
          <cell r="A17625" t="str">
            <v>金流云25级</v>
          </cell>
          <cell r="B17625">
            <v>525425</v>
          </cell>
        </row>
        <row r="17626">
          <cell r="A17626" t="str">
            <v>金流云26级</v>
          </cell>
          <cell r="B17626">
            <v>525426</v>
          </cell>
        </row>
        <row r="17627">
          <cell r="A17627" t="str">
            <v>金流云27级</v>
          </cell>
          <cell r="B17627">
            <v>525427</v>
          </cell>
        </row>
        <row r="17628">
          <cell r="A17628" t="str">
            <v>金流云28级</v>
          </cell>
          <cell r="B17628">
            <v>525428</v>
          </cell>
        </row>
        <row r="17629">
          <cell r="A17629" t="str">
            <v>金流云29级</v>
          </cell>
          <cell r="B17629">
            <v>525429</v>
          </cell>
        </row>
        <row r="17630">
          <cell r="A17630" t="str">
            <v>金流云30级</v>
          </cell>
          <cell r="B17630">
            <v>525430</v>
          </cell>
        </row>
        <row r="17631">
          <cell r="A17631" t="str">
            <v>金流云31级</v>
          </cell>
          <cell r="B17631">
            <v>525431</v>
          </cell>
        </row>
        <row r="17632">
          <cell r="A17632" t="str">
            <v>金流云32级</v>
          </cell>
          <cell r="B17632">
            <v>525432</v>
          </cell>
        </row>
        <row r="17633">
          <cell r="A17633" t="str">
            <v>金流云33级</v>
          </cell>
          <cell r="B17633">
            <v>525433</v>
          </cell>
        </row>
        <row r="17634">
          <cell r="A17634" t="str">
            <v>金流云34级</v>
          </cell>
          <cell r="B17634">
            <v>525434</v>
          </cell>
        </row>
        <row r="17635">
          <cell r="A17635" t="str">
            <v>金流云35级</v>
          </cell>
          <cell r="B17635">
            <v>525435</v>
          </cell>
        </row>
        <row r="17636">
          <cell r="A17636" t="str">
            <v>金流云36级</v>
          </cell>
          <cell r="B17636">
            <v>525436</v>
          </cell>
        </row>
        <row r="17637">
          <cell r="A17637" t="str">
            <v>金流云37级</v>
          </cell>
          <cell r="B17637">
            <v>525437</v>
          </cell>
        </row>
        <row r="17638">
          <cell r="A17638" t="str">
            <v>金流云38级</v>
          </cell>
          <cell r="B17638">
            <v>525438</v>
          </cell>
        </row>
        <row r="17639">
          <cell r="A17639" t="str">
            <v>金流云39级</v>
          </cell>
          <cell r="B17639">
            <v>525439</v>
          </cell>
        </row>
        <row r="17640">
          <cell r="A17640" t="str">
            <v>金流云40级</v>
          </cell>
          <cell r="B17640">
            <v>525440</v>
          </cell>
        </row>
        <row r="17641">
          <cell r="A17641" t="str">
            <v>金流云41级</v>
          </cell>
          <cell r="B17641">
            <v>525441</v>
          </cell>
        </row>
        <row r="17642">
          <cell r="A17642" t="str">
            <v>金流云42级</v>
          </cell>
          <cell r="B17642">
            <v>525442</v>
          </cell>
        </row>
        <row r="17643">
          <cell r="A17643" t="str">
            <v>金流云43级</v>
          </cell>
          <cell r="B17643">
            <v>525443</v>
          </cell>
        </row>
        <row r="17644">
          <cell r="A17644" t="str">
            <v>金流云44级</v>
          </cell>
          <cell r="B17644">
            <v>525444</v>
          </cell>
        </row>
        <row r="17645">
          <cell r="A17645" t="str">
            <v>金流云45级</v>
          </cell>
          <cell r="B17645">
            <v>525445</v>
          </cell>
        </row>
        <row r="17646">
          <cell r="A17646" t="str">
            <v>金流云46级</v>
          </cell>
          <cell r="B17646">
            <v>525446</v>
          </cell>
        </row>
        <row r="17647">
          <cell r="A17647" t="str">
            <v>金流云47级</v>
          </cell>
          <cell r="B17647">
            <v>525447</v>
          </cell>
        </row>
        <row r="17648">
          <cell r="A17648" t="str">
            <v>金流云48级</v>
          </cell>
          <cell r="B17648">
            <v>525448</v>
          </cell>
        </row>
        <row r="17649">
          <cell r="A17649" t="str">
            <v>金流云49级</v>
          </cell>
          <cell r="B17649">
            <v>525449</v>
          </cell>
        </row>
        <row r="17650">
          <cell r="A17650" t="str">
            <v>金流云50级</v>
          </cell>
          <cell r="B17650">
            <v>525450</v>
          </cell>
        </row>
        <row r="17651">
          <cell r="A17651" t="str">
            <v>金流云51级</v>
          </cell>
          <cell r="B17651">
            <v>525451</v>
          </cell>
        </row>
        <row r="17652">
          <cell r="A17652" t="str">
            <v>金流云52级</v>
          </cell>
          <cell r="B17652">
            <v>525452</v>
          </cell>
        </row>
        <row r="17653">
          <cell r="A17653" t="str">
            <v>金流云53级</v>
          </cell>
          <cell r="B17653">
            <v>525453</v>
          </cell>
        </row>
        <row r="17654">
          <cell r="A17654" t="str">
            <v>金流云54级</v>
          </cell>
          <cell r="B17654">
            <v>525454</v>
          </cell>
        </row>
        <row r="17655">
          <cell r="A17655" t="str">
            <v>金流云55级</v>
          </cell>
          <cell r="B17655">
            <v>525455</v>
          </cell>
        </row>
        <row r="17656">
          <cell r="A17656" t="str">
            <v>金流云56级</v>
          </cell>
          <cell r="B17656">
            <v>525456</v>
          </cell>
        </row>
        <row r="17657">
          <cell r="A17657" t="str">
            <v>金流云57级</v>
          </cell>
          <cell r="B17657">
            <v>525457</v>
          </cell>
        </row>
        <row r="17658">
          <cell r="A17658" t="str">
            <v>金流云58级</v>
          </cell>
          <cell r="B17658">
            <v>525458</v>
          </cell>
        </row>
        <row r="17659">
          <cell r="A17659" t="str">
            <v>金流云59级</v>
          </cell>
          <cell r="B17659">
            <v>525459</v>
          </cell>
        </row>
        <row r="17660">
          <cell r="A17660" t="str">
            <v>金流云60级</v>
          </cell>
          <cell r="B17660">
            <v>525460</v>
          </cell>
        </row>
        <row r="17661">
          <cell r="A17661" t="str">
            <v>金流云61级</v>
          </cell>
          <cell r="B17661">
            <v>525461</v>
          </cell>
        </row>
        <row r="17662">
          <cell r="A17662" t="str">
            <v>金流云62级</v>
          </cell>
          <cell r="B17662">
            <v>525462</v>
          </cell>
        </row>
        <row r="17663">
          <cell r="A17663" t="str">
            <v>金流云63级</v>
          </cell>
          <cell r="B17663">
            <v>525463</v>
          </cell>
        </row>
        <row r="17664">
          <cell r="A17664" t="str">
            <v>金流云64级</v>
          </cell>
          <cell r="B17664">
            <v>525464</v>
          </cell>
        </row>
        <row r="17665">
          <cell r="A17665" t="str">
            <v>金流云65级</v>
          </cell>
          <cell r="B17665">
            <v>525465</v>
          </cell>
        </row>
        <row r="17666">
          <cell r="A17666" t="str">
            <v>金流云66级</v>
          </cell>
          <cell r="B17666">
            <v>525466</v>
          </cell>
        </row>
        <row r="17667">
          <cell r="A17667" t="str">
            <v>金流云67级</v>
          </cell>
          <cell r="B17667">
            <v>525467</v>
          </cell>
        </row>
        <row r="17668">
          <cell r="A17668" t="str">
            <v>金流云68级</v>
          </cell>
          <cell r="B17668">
            <v>525468</v>
          </cell>
        </row>
        <row r="17669">
          <cell r="A17669" t="str">
            <v>金流云69级</v>
          </cell>
          <cell r="B17669">
            <v>525469</v>
          </cell>
        </row>
        <row r="17670">
          <cell r="A17670" t="str">
            <v>金流云70级</v>
          </cell>
          <cell r="B17670">
            <v>525470</v>
          </cell>
        </row>
        <row r="17671">
          <cell r="A17671" t="str">
            <v>金流云71级</v>
          </cell>
          <cell r="B17671">
            <v>525471</v>
          </cell>
        </row>
        <row r="17672">
          <cell r="A17672" t="str">
            <v>金流云72级</v>
          </cell>
          <cell r="B17672">
            <v>525472</v>
          </cell>
        </row>
        <row r="17673">
          <cell r="A17673" t="str">
            <v>金流云73级</v>
          </cell>
          <cell r="B17673">
            <v>525473</v>
          </cell>
        </row>
        <row r="17674">
          <cell r="A17674" t="str">
            <v>金流云74级</v>
          </cell>
          <cell r="B17674">
            <v>525474</v>
          </cell>
        </row>
        <row r="17675">
          <cell r="A17675" t="str">
            <v>金流云75级</v>
          </cell>
          <cell r="B17675">
            <v>525475</v>
          </cell>
        </row>
        <row r="17676">
          <cell r="A17676" t="str">
            <v>金流云76级</v>
          </cell>
          <cell r="B17676">
            <v>525476</v>
          </cell>
        </row>
        <row r="17677">
          <cell r="A17677" t="str">
            <v>金流云77级</v>
          </cell>
          <cell r="B17677">
            <v>525477</v>
          </cell>
        </row>
        <row r="17678">
          <cell r="A17678" t="str">
            <v>金流云78级</v>
          </cell>
          <cell r="B17678">
            <v>525478</v>
          </cell>
        </row>
        <row r="17679">
          <cell r="A17679" t="str">
            <v>金流云79级</v>
          </cell>
          <cell r="B17679">
            <v>525479</v>
          </cell>
        </row>
        <row r="17680">
          <cell r="A17680" t="str">
            <v>金流云80级</v>
          </cell>
          <cell r="B17680">
            <v>525480</v>
          </cell>
        </row>
        <row r="17681">
          <cell r="A17681" t="str">
            <v>金流云81级</v>
          </cell>
          <cell r="B17681">
            <v>525481</v>
          </cell>
        </row>
        <row r="17682">
          <cell r="A17682" t="str">
            <v>金流云82级</v>
          </cell>
          <cell r="B17682">
            <v>525482</v>
          </cell>
        </row>
        <row r="17683">
          <cell r="A17683" t="str">
            <v>金流云83级</v>
          </cell>
          <cell r="B17683">
            <v>525483</v>
          </cell>
        </row>
        <row r="17684">
          <cell r="A17684" t="str">
            <v>金流云84级</v>
          </cell>
          <cell r="B17684">
            <v>525484</v>
          </cell>
        </row>
        <row r="17685">
          <cell r="A17685" t="str">
            <v>金流云85级</v>
          </cell>
          <cell r="B17685">
            <v>525485</v>
          </cell>
        </row>
        <row r="17686">
          <cell r="A17686" t="str">
            <v>金流云86级</v>
          </cell>
          <cell r="B17686">
            <v>525486</v>
          </cell>
        </row>
        <row r="17687">
          <cell r="A17687" t="str">
            <v>金流云87级</v>
          </cell>
          <cell r="B17687">
            <v>525487</v>
          </cell>
        </row>
        <row r="17688">
          <cell r="A17688" t="str">
            <v>金流云88级</v>
          </cell>
          <cell r="B17688">
            <v>525488</v>
          </cell>
        </row>
        <row r="17689">
          <cell r="A17689" t="str">
            <v>金流云89级</v>
          </cell>
          <cell r="B17689">
            <v>525489</v>
          </cell>
        </row>
        <row r="17690">
          <cell r="A17690" t="str">
            <v>金流云90级</v>
          </cell>
          <cell r="B17690">
            <v>525490</v>
          </cell>
        </row>
        <row r="17691">
          <cell r="A17691" t="str">
            <v>金流云91级</v>
          </cell>
          <cell r="B17691">
            <v>525491</v>
          </cell>
        </row>
        <row r="17692">
          <cell r="A17692" t="str">
            <v>金流云92级</v>
          </cell>
          <cell r="B17692">
            <v>525492</v>
          </cell>
        </row>
        <row r="17693">
          <cell r="A17693" t="str">
            <v>金流云93级</v>
          </cell>
          <cell r="B17693">
            <v>525493</v>
          </cell>
        </row>
        <row r="17694">
          <cell r="A17694" t="str">
            <v>金流云94级</v>
          </cell>
          <cell r="B17694">
            <v>525494</v>
          </cell>
        </row>
        <row r="17695">
          <cell r="A17695" t="str">
            <v>金流云95级</v>
          </cell>
          <cell r="B17695">
            <v>525495</v>
          </cell>
        </row>
        <row r="17696">
          <cell r="A17696" t="str">
            <v>金流云96级</v>
          </cell>
          <cell r="B17696">
            <v>525496</v>
          </cell>
        </row>
        <row r="17697">
          <cell r="A17697" t="str">
            <v>金流云97级</v>
          </cell>
          <cell r="B17697">
            <v>525497</v>
          </cell>
        </row>
        <row r="17698">
          <cell r="A17698" t="str">
            <v>金流云98级</v>
          </cell>
          <cell r="B17698">
            <v>525498</v>
          </cell>
        </row>
        <row r="17699">
          <cell r="A17699" t="str">
            <v>金流云99级</v>
          </cell>
          <cell r="B17699">
            <v>525499</v>
          </cell>
        </row>
        <row r="17700">
          <cell r="A17700" t="str">
            <v>金阴阳1级</v>
          </cell>
          <cell r="B17700">
            <v>526401</v>
          </cell>
        </row>
        <row r="17701">
          <cell r="A17701" t="str">
            <v>金阴阳2级</v>
          </cell>
          <cell r="B17701">
            <v>526402</v>
          </cell>
        </row>
        <row r="17702">
          <cell r="A17702" t="str">
            <v>金阴阳3级</v>
          </cell>
          <cell r="B17702">
            <v>526403</v>
          </cell>
        </row>
        <row r="17703">
          <cell r="A17703" t="str">
            <v>金阴阳4级</v>
          </cell>
          <cell r="B17703">
            <v>526404</v>
          </cell>
        </row>
        <row r="17704">
          <cell r="A17704" t="str">
            <v>金阴阳5级</v>
          </cell>
          <cell r="B17704">
            <v>526405</v>
          </cell>
        </row>
        <row r="17705">
          <cell r="A17705" t="str">
            <v>金阴阳6级</v>
          </cell>
          <cell r="B17705">
            <v>526406</v>
          </cell>
        </row>
        <row r="17706">
          <cell r="A17706" t="str">
            <v>金阴阳7级</v>
          </cell>
          <cell r="B17706">
            <v>526407</v>
          </cell>
        </row>
        <row r="17707">
          <cell r="A17707" t="str">
            <v>金阴阳8级</v>
          </cell>
          <cell r="B17707">
            <v>526408</v>
          </cell>
        </row>
        <row r="17708">
          <cell r="A17708" t="str">
            <v>金阴阳9级</v>
          </cell>
          <cell r="B17708">
            <v>526409</v>
          </cell>
        </row>
        <row r="17709">
          <cell r="A17709" t="str">
            <v>金阴阳10级</v>
          </cell>
          <cell r="B17709">
            <v>526410</v>
          </cell>
        </row>
        <row r="17710">
          <cell r="A17710" t="str">
            <v>金阴阳11级</v>
          </cell>
          <cell r="B17710">
            <v>526411</v>
          </cell>
        </row>
        <row r="17711">
          <cell r="A17711" t="str">
            <v>金阴阳12级</v>
          </cell>
          <cell r="B17711">
            <v>526412</v>
          </cell>
        </row>
        <row r="17712">
          <cell r="A17712" t="str">
            <v>金阴阳13级</v>
          </cell>
          <cell r="B17712">
            <v>526413</v>
          </cell>
        </row>
        <row r="17713">
          <cell r="A17713" t="str">
            <v>金阴阳14级</v>
          </cell>
          <cell r="B17713">
            <v>526414</v>
          </cell>
        </row>
        <row r="17714">
          <cell r="A17714" t="str">
            <v>金阴阳15级</v>
          </cell>
          <cell r="B17714">
            <v>526415</v>
          </cell>
        </row>
        <row r="17715">
          <cell r="A17715" t="str">
            <v>金阴阳16级</v>
          </cell>
          <cell r="B17715">
            <v>526416</v>
          </cell>
        </row>
        <row r="17716">
          <cell r="A17716" t="str">
            <v>金阴阳17级</v>
          </cell>
          <cell r="B17716">
            <v>526417</v>
          </cell>
        </row>
        <row r="17717">
          <cell r="A17717" t="str">
            <v>金阴阳18级</v>
          </cell>
          <cell r="B17717">
            <v>526418</v>
          </cell>
        </row>
        <row r="17718">
          <cell r="A17718" t="str">
            <v>金阴阳19级</v>
          </cell>
          <cell r="B17718">
            <v>526419</v>
          </cell>
        </row>
        <row r="17719">
          <cell r="A17719" t="str">
            <v>金阴阳20级</v>
          </cell>
          <cell r="B17719">
            <v>526420</v>
          </cell>
        </row>
        <row r="17720">
          <cell r="A17720" t="str">
            <v>金阴阳21级</v>
          </cell>
          <cell r="B17720">
            <v>526421</v>
          </cell>
        </row>
        <row r="17721">
          <cell r="A17721" t="str">
            <v>金阴阳22级</v>
          </cell>
          <cell r="B17721">
            <v>526422</v>
          </cell>
        </row>
        <row r="17722">
          <cell r="A17722" t="str">
            <v>金阴阳23级</v>
          </cell>
          <cell r="B17722">
            <v>526423</v>
          </cell>
        </row>
        <row r="17723">
          <cell r="A17723" t="str">
            <v>金阴阳24级</v>
          </cell>
          <cell r="B17723">
            <v>526424</v>
          </cell>
        </row>
        <row r="17724">
          <cell r="A17724" t="str">
            <v>金阴阳25级</v>
          </cell>
          <cell r="B17724">
            <v>526425</v>
          </cell>
        </row>
        <row r="17725">
          <cell r="A17725" t="str">
            <v>金阴阳26级</v>
          </cell>
          <cell r="B17725">
            <v>526426</v>
          </cell>
        </row>
        <row r="17726">
          <cell r="A17726" t="str">
            <v>金阴阳27级</v>
          </cell>
          <cell r="B17726">
            <v>526427</v>
          </cell>
        </row>
        <row r="17727">
          <cell r="A17727" t="str">
            <v>金阴阳28级</v>
          </cell>
          <cell r="B17727">
            <v>526428</v>
          </cell>
        </row>
        <row r="17728">
          <cell r="A17728" t="str">
            <v>金阴阳29级</v>
          </cell>
          <cell r="B17728">
            <v>526429</v>
          </cell>
        </row>
        <row r="17729">
          <cell r="A17729" t="str">
            <v>金阴阳30级</v>
          </cell>
          <cell r="B17729">
            <v>526430</v>
          </cell>
        </row>
        <row r="17730">
          <cell r="A17730" t="str">
            <v>金阴阳31级</v>
          </cell>
          <cell r="B17730">
            <v>526431</v>
          </cell>
        </row>
        <row r="17731">
          <cell r="A17731" t="str">
            <v>金阴阳32级</v>
          </cell>
          <cell r="B17731">
            <v>526432</v>
          </cell>
        </row>
        <row r="17732">
          <cell r="A17732" t="str">
            <v>金阴阳33级</v>
          </cell>
          <cell r="B17732">
            <v>526433</v>
          </cell>
        </row>
        <row r="17733">
          <cell r="A17733" t="str">
            <v>金阴阳34级</v>
          </cell>
          <cell r="B17733">
            <v>526434</v>
          </cell>
        </row>
        <row r="17734">
          <cell r="A17734" t="str">
            <v>金阴阳35级</v>
          </cell>
          <cell r="B17734">
            <v>526435</v>
          </cell>
        </row>
        <row r="17735">
          <cell r="A17735" t="str">
            <v>金阴阳36级</v>
          </cell>
          <cell r="B17735">
            <v>526436</v>
          </cell>
        </row>
        <row r="17736">
          <cell r="A17736" t="str">
            <v>金阴阳37级</v>
          </cell>
          <cell r="B17736">
            <v>526437</v>
          </cell>
        </row>
        <row r="17737">
          <cell r="A17737" t="str">
            <v>金阴阳38级</v>
          </cell>
          <cell r="B17737">
            <v>526438</v>
          </cell>
        </row>
        <row r="17738">
          <cell r="A17738" t="str">
            <v>金阴阳39级</v>
          </cell>
          <cell r="B17738">
            <v>526439</v>
          </cell>
        </row>
        <row r="17739">
          <cell r="A17739" t="str">
            <v>金阴阳40级</v>
          </cell>
          <cell r="B17739">
            <v>526440</v>
          </cell>
        </row>
        <row r="17740">
          <cell r="A17740" t="str">
            <v>金阴阳41级</v>
          </cell>
          <cell r="B17740">
            <v>526441</v>
          </cell>
        </row>
        <row r="17741">
          <cell r="A17741" t="str">
            <v>金阴阳42级</v>
          </cell>
          <cell r="B17741">
            <v>526442</v>
          </cell>
        </row>
        <row r="17742">
          <cell r="A17742" t="str">
            <v>金阴阳43级</v>
          </cell>
          <cell r="B17742">
            <v>526443</v>
          </cell>
        </row>
        <row r="17743">
          <cell r="A17743" t="str">
            <v>金阴阳44级</v>
          </cell>
          <cell r="B17743">
            <v>526444</v>
          </cell>
        </row>
        <row r="17744">
          <cell r="A17744" t="str">
            <v>金阴阳45级</v>
          </cell>
          <cell r="B17744">
            <v>526445</v>
          </cell>
        </row>
        <row r="17745">
          <cell r="A17745" t="str">
            <v>金阴阳46级</v>
          </cell>
          <cell r="B17745">
            <v>526446</v>
          </cell>
        </row>
        <row r="17746">
          <cell r="A17746" t="str">
            <v>金阴阳47级</v>
          </cell>
          <cell r="B17746">
            <v>526447</v>
          </cell>
        </row>
        <row r="17747">
          <cell r="A17747" t="str">
            <v>金阴阳48级</v>
          </cell>
          <cell r="B17747">
            <v>526448</v>
          </cell>
        </row>
        <row r="17748">
          <cell r="A17748" t="str">
            <v>金阴阳49级</v>
          </cell>
          <cell r="B17748">
            <v>526449</v>
          </cell>
        </row>
        <row r="17749">
          <cell r="A17749" t="str">
            <v>金阴阳50级</v>
          </cell>
          <cell r="B17749">
            <v>526450</v>
          </cell>
        </row>
        <row r="17750">
          <cell r="A17750" t="str">
            <v>金阴阳51级</v>
          </cell>
          <cell r="B17750">
            <v>526451</v>
          </cell>
        </row>
        <row r="17751">
          <cell r="A17751" t="str">
            <v>金阴阳52级</v>
          </cell>
          <cell r="B17751">
            <v>526452</v>
          </cell>
        </row>
        <row r="17752">
          <cell r="A17752" t="str">
            <v>金阴阳53级</v>
          </cell>
          <cell r="B17752">
            <v>526453</v>
          </cell>
        </row>
        <row r="17753">
          <cell r="A17753" t="str">
            <v>金阴阳54级</v>
          </cell>
          <cell r="B17753">
            <v>526454</v>
          </cell>
        </row>
        <row r="17754">
          <cell r="A17754" t="str">
            <v>金阴阳55级</v>
          </cell>
          <cell r="B17754">
            <v>526455</v>
          </cell>
        </row>
        <row r="17755">
          <cell r="A17755" t="str">
            <v>金阴阳56级</v>
          </cell>
          <cell r="B17755">
            <v>526456</v>
          </cell>
        </row>
        <row r="17756">
          <cell r="A17756" t="str">
            <v>金阴阳57级</v>
          </cell>
          <cell r="B17756">
            <v>526457</v>
          </cell>
        </row>
        <row r="17757">
          <cell r="A17757" t="str">
            <v>金阴阳58级</v>
          </cell>
          <cell r="B17757">
            <v>526458</v>
          </cell>
        </row>
        <row r="17758">
          <cell r="A17758" t="str">
            <v>金阴阳59级</v>
          </cell>
          <cell r="B17758">
            <v>526459</v>
          </cell>
        </row>
        <row r="17759">
          <cell r="A17759" t="str">
            <v>金阴阳60级</v>
          </cell>
          <cell r="B17759">
            <v>526460</v>
          </cell>
        </row>
        <row r="17760">
          <cell r="A17760" t="str">
            <v>金阴阳61级</v>
          </cell>
          <cell r="B17760">
            <v>526461</v>
          </cell>
        </row>
        <row r="17761">
          <cell r="A17761" t="str">
            <v>金阴阳62级</v>
          </cell>
          <cell r="B17761">
            <v>526462</v>
          </cell>
        </row>
        <row r="17762">
          <cell r="A17762" t="str">
            <v>金阴阳63级</v>
          </cell>
          <cell r="B17762">
            <v>526463</v>
          </cell>
        </row>
        <row r="17763">
          <cell r="A17763" t="str">
            <v>金阴阳64级</v>
          </cell>
          <cell r="B17763">
            <v>526464</v>
          </cell>
        </row>
        <row r="17764">
          <cell r="A17764" t="str">
            <v>金阴阳65级</v>
          </cell>
          <cell r="B17764">
            <v>526465</v>
          </cell>
        </row>
        <row r="17765">
          <cell r="A17765" t="str">
            <v>金阴阳66级</v>
          </cell>
          <cell r="B17765">
            <v>526466</v>
          </cell>
        </row>
        <row r="17766">
          <cell r="A17766" t="str">
            <v>金阴阳67级</v>
          </cell>
          <cell r="B17766">
            <v>526467</v>
          </cell>
        </row>
        <row r="17767">
          <cell r="A17767" t="str">
            <v>金阴阳68级</v>
          </cell>
          <cell r="B17767">
            <v>526468</v>
          </cell>
        </row>
        <row r="17768">
          <cell r="A17768" t="str">
            <v>金阴阳69级</v>
          </cell>
          <cell r="B17768">
            <v>526469</v>
          </cell>
        </row>
        <row r="17769">
          <cell r="A17769" t="str">
            <v>金阴阳70级</v>
          </cell>
          <cell r="B17769">
            <v>526470</v>
          </cell>
        </row>
        <row r="17770">
          <cell r="A17770" t="str">
            <v>金阴阳71级</v>
          </cell>
          <cell r="B17770">
            <v>526471</v>
          </cell>
        </row>
        <row r="17771">
          <cell r="A17771" t="str">
            <v>金阴阳72级</v>
          </cell>
          <cell r="B17771">
            <v>526472</v>
          </cell>
        </row>
        <row r="17772">
          <cell r="A17772" t="str">
            <v>金阴阳73级</v>
          </cell>
          <cell r="B17772">
            <v>526473</v>
          </cell>
        </row>
        <row r="17773">
          <cell r="A17773" t="str">
            <v>金阴阳74级</v>
          </cell>
          <cell r="B17773">
            <v>526474</v>
          </cell>
        </row>
        <row r="17774">
          <cell r="A17774" t="str">
            <v>金阴阳75级</v>
          </cell>
          <cell r="B17774">
            <v>526475</v>
          </cell>
        </row>
        <row r="17775">
          <cell r="A17775" t="str">
            <v>金阴阳76级</v>
          </cell>
          <cell r="B17775">
            <v>526476</v>
          </cell>
        </row>
        <row r="17776">
          <cell r="A17776" t="str">
            <v>金阴阳77级</v>
          </cell>
          <cell r="B17776">
            <v>526477</v>
          </cell>
        </row>
        <row r="17777">
          <cell r="A17777" t="str">
            <v>金阴阳78级</v>
          </cell>
          <cell r="B17777">
            <v>526478</v>
          </cell>
        </row>
        <row r="17778">
          <cell r="A17778" t="str">
            <v>金阴阳79级</v>
          </cell>
          <cell r="B17778">
            <v>526479</v>
          </cell>
        </row>
        <row r="17779">
          <cell r="A17779" t="str">
            <v>金阴阳80级</v>
          </cell>
          <cell r="B17779">
            <v>526480</v>
          </cell>
        </row>
        <row r="17780">
          <cell r="A17780" t="str">
            <v>金阴阳81级</v>
          </cell>
          <cell r="B17780">
            <v>526481</v>
          </cell>
        </row>
        <row r="17781">
          <cell r="A17781" t="str">
            <v>金阴阳82级</v>
          </cell>
          <cell r="B17781">
            <v>526482</v>
          </cell>
        </row>
        <row r="17782">
          <cell r="A17782" t="str">
            <v>金阴阳83级</v>
          </cell>
          <cell r="B17782">
            <v>526483</v>
          </cell>
        </row>
        <row r="17783">
          <cell r="A17783" t="str">
            <v>金阴阳84级</v>
          </cell>
          <cell r="B17783">
            <v>526484</v>
          </cell>
        </row>
        <row r="17784">
          <cell r="A17784" t="str">
            <v>金阴阳85级</v>
          </cell>
          <cell r="B17784">
            <v>526485</v>
          </cell>
        </row>
        <row r="17785">
          <cell r="A17785" t="str">
            <v>金阴阳86级</v>
          </cell>
          <cell r="B17785">
            <v>526486</v>
          </cell>
        </row>
        <row r="17786">
          <cell r="A17786" t="str">
            <v>金阴阳87级</v>
          </cell>
          <cell r="B17786">
            <v>526487</v>
          </cell>
        </row>
        <row r="17787">
          <cell r="A17787" t="str">
            <v>金阴阳88级</v>
          </cell>
          <cell r="B17787">
            <v>526488</v>
          </cell>
        </row>
        <row r="17788">
          <cell r="A17788" t="str">
            <v>金阴阳89级</v>
          </cell>
          <cell r="B17788">
            <v>526489</v>
          </cell>
        </row>
        <row r="17789">
          <cell r="A17789" t="str">
            <v>金阴阳90级</v>
          </cell>
          <cell r="B17789">
            <v>526490</v>
          </cell>
        </row>
        <row r="17790">
          <cell r="A17790" t="str">
            <v>金阴阳91级</v>
          </cell>
          <cell r="B17790">
            <v>526491</v>
          </cell>
        </row>
        <row r="17791">
          <cell r="A17791" t="str">
            <v>金阴阳92级</v>
          </cell>
          <cell r="B17791">
            <v>526492</v>
          </cell>
        </row>
        <row r="17792">
          <cell r="A17792" t="str">
            <v>金阴阳93级</v>
          </cell>
          <cell r="B17792">
            <v>526493</v>
          </cell>
        </row>
        <row r="17793">
          <cell r="A17793" t="str">
            <v>金阴阳94级</v>
          </cell>
          <cell r="B17793">
            <v>526494</v>
          </cell>
        </row>
        <row r="17794">
          <cell r="A17794" t="str">
            <v>金阴阳95级</v>
          </cell>
          <cell r="B17794">
            <v>526495</v>
          </cell>
        </row>
        <row r="17795">
          <cell r="A17795" t="str">
            <v>金阴阳96级</v>
          </cell>
          <cell r="B17795">
            <v>526496</v>
          </cell>
        </row>
        <row r="17796">
          <cell r="A17796" t="str">
            <v>金阴阳97级</v>
          </cell>
          <cell r="B17796">
            <v>526497</v>
          </cell>
        </row>
        <row r="17797">
          <cell r="A17797" t="str">
            <v>金阴阳98级</v>
          </cell>
          <cell r="B17797">
            <v>526498</v>
          </cell>
        </row>
        <row r="17798">
          <cell r="A17798" t="str">
            <v>金阴阳99级</v>
          </cell>
          <cell r="B17798">
            <v>526499</v>
          </cell>
        </row>
        <row r="17799">
          <cell r="A17799" t="str">
            <v>金善财1级</v>
          </cell>
          <cell r="B17799">
            <v>527401</v>
          </cell>
        </row>
        <row r="17800">
          <cell r="A17800" t="str">
            <v>金善财2级</v>
          </cell>
          <cell r="B17800">
            <v>527402</v>
          </cell>
        </row>
        <row r="17801">
          <cell r="A17801" t="str">
            <v>金善财3级</v>
          </cell>
          <cell r="B17801">
            <v>527403</v>
          </cell>
        </row>
        <row r="17802">
          <cell r="A17802" t="str">
            <v>金善财4级</v>
          </cell>
          <cell r="B17802">
            <v>527404</v>
          </cell>
        </row>
        <row r="17803">
          <cell r="A17803" t="str">
            <v>金善财5级</v>
          </cell>
          <cell r="B17803">
            <v>527405</v>
          </cell>
        </row>
        <row r="17804">
          <cell r="A17804" t="str">
            <v>金善财6级</v>
          </cell>
          <cell r="B17804">
            <v>527406</v>
          </cell>
        </row>
        <row r="17805">
          <cell r="A17805" t="str">
            <v>金善财7级</v>
          </cell>
          <cell r="B17805">
            <v>527407</v>
          </cell>
        </row>
        <row r="17806">
          <cell r="A17806" t="str">
            <v>金善财8级</v>
          </cell>
          <cell r="B17806">
            <v>527408</v>
          </cell>
        </row>
        <row r="17807">
          <cell r="A17807" t="str">
            <v>金善财9级</v>
          </cell>
          <cell r="B17807">
            <v>527409</v>
          </cell>
        </row>
        <row r="17808">
          <cell r="A17808" t="str">
            <v>金善财10级</v>
          </cell>
          <cell r="B17808">
            <v>527410</v>
          </cell>
        </row>
        <row r="17809">
          <cell r="A17809" t="str">
            <v>金善财11级</v>
          </cell>
          <cell r="B17809">
            <v>527411</v>
          </cell>
        </row>
        <row r="17810">
          <cell r="A17810" t="str">
            <v>金善财12级</v>
          </cell>
          <cell r="B17810">
            <v>527412</v>
          </cell>
        </row>
        <row r="17811">
          <cell r="A17811" t="str">
            <v>金善财13级</v>
          </cell>
          <cell r="B17811">
            <v>527413</v>
          </cell>
        </row>
        <row r="17812">
          <cell r="A17812" t="str">
            <v>金善财14级</v>
          </cell>
          <cell r="B17812">
            <v>527414</v>
          </cell>
        </row>
        <row r="17813">
          <cell r="A17813" t="str">
            <v>金善财15级</v>
          </cell>
          <cell r="B17813">
            <v>527415</v>
          </cell>
        </row>
        <row r="17814">
          <cell r="A17814" t="str">
            <v>金善财16级</v>
          </cell>
          <cell r="B17814">
            <v>527416</v>
          </cell>
        </row>
        <row r="17815">
          <cell r="A17815" t="str">
            <v>金善财17级</v>
          </cell>
          <cell r="B17815">
            <v>527417</v>
          </cell>
        </row>
        <row r="17816">
          <cell r="A17816" t="str">
            <v>金善财18级</v>
          </cell>
          <cell r="B17816">
            <v>527418</v>
          </cell>
        </row>
        <row r="17817">
          <cell r="A17817" t="str">
            <v>金善财19级</v>
          </cell>
          <cell r="B17817">
            <v>527419</v>
          </cell>
        </row>
        <row r="17818">
          <cell r="A17818" t="str">
            <v>金善财20级</v>
          </cell>
          <cell r="B17818">
            <v>527420</v>
          </cell>
        </row>
        <row r="17819">
          <cell r="A17819" t="str">
            <v>金善财21级</v>
          </cell>
          <cell r="B17819">
            <v>527421</v>
          </cell>
        </row>
        <row r="17820">
          <cell r="A17820" t="str">
            <v>金善财22级</v>
          </cell>
          <cell r="B17820">
            <v>527422</v>
          </cell>
        </row>
        <row r="17821">
          <cell r="A17821" t="str">
            <v>金善财23级</v>
          </cell>
          <cell r="B17821">
            <v>527423</v>
          </cell>
        </row>
        <row r="17822">
          <cell r="A17822" t="str">
            <v>金善财24级</v>
          </cell>
          <cell r="B17822">
            <v>527424</v>
          </cell>
        </row>
        <row r="17823">
          <cell r="A17823" t="str">
            <v>金善财25级</v>
          </cell>
          <cell r="B17823">
            <v>527425</v>
          </cell>
        </row>
        <row r="17824">
          <cell r="A17824" t="str">
            <v>金善财26级</v>
          </cell>
          <cell r="B17824">
            <v>527426</v>
          </cell>
        </row>
        <row r="17825">
          <cell r="A17825" t="str">
            <v>金善财27级</v>
          </cell>
          <cell r="B17825">
            <v>527427</v>
          </cell>
        </row>
        <row r="17826">
          <cell r="A17826" t="str">
            <v>金善财28级</v>
          </cell>
          <cell r="B17826">
            <v>527428</v>
          </cell>
        </row>
        <row r="17827">
          <cell r="A17827" t="str">
            <v>金善财29级</v>
          </cell>
          <cell r="B17827">
            <v>527429</v>
          </cell>
        </row>
        <row r="17828">
          <cell r="A17828" t="str">
            <v>金善财30级</v>
          </cell>
          <cell r="B17828">
            <v>527430</v>
          </cell>
        </row>
        <row r="17829">
          <cell r="A17829" t="str">
            <v>金善财31级</v>
          </cell>
          <cell r="B17829">
            <v>527431</v>
          </cell>
        </row>
        <row r="17830">
          <cell r="A17830" t="str">
            <v>金善财32级</v>
          </cell>
          <cell r="B17830">
            <v>527432</v>
          </cell>
        </row>
        <row r="17831">
          <cell r="A17831" t="str">
            <v>金善财33级</v>
          </cell>
          <cell r="B17831">
            <v>527433</v>
          </cell>
        </row>
        <row r="17832">
          <cell r="A17832" t="str">
            <v>金善财34级</v>
          </cell>
          <cell r="B17832">
            <v>527434</v>
          </cell>
        </row>
        <row r="17833">
          <cell r="A17833" t="str">
            <v>金善财35级</v>
          </cell>
          <cell r="B17833">
            <v>527435</v>
          </cell>
        </row>
        <row r="17834">
          <cell r="A17834" t="str">
            <v>金善财36级</v>
          </cell>
          <cell r="B17834">
            <v>527436</v>
          </cell>
        </row>
        <row r="17835">
          <cell r="A17835" t="str">
            <v>金善财37级</v>
          </cell>
          <cell r="B17835">
            <v>527437</v>
          </cell>
        </row>
        <row r="17836">
          <cell r="A17836" t="str">
            <v>金善财38级</v>
          </cell>
          <cell r="B17836">
            <v>527438</v>
          </cell>
        </row>
        <row r="17837">
          <cell r="A17837" t="str">
            <v>金善财39级</v>
          </cell>
          <cell r="B17837">
            <v>527439</v>
          </cell>
        </row>
        <row r="17838">
          <cell r="A17838" t="str">
            <v>金善财40级</v>
          </cell>
          <cell r="B17838">
            <v>527440</v>
          </cell>
        </row>
        <row r="17839">
          <cell r="A17839" t="str">
            <v>金善财41级</v>
          </cell>
          <cell r="B17839">
            <v>527441</v>
          </cell>
        </row>
        <row r="17840">
          <cell r="A17840" t="str">
            <v>金善财42级</v>
          </cell>
          <cell r="B17840">
            <v>527442</v>
          </cell>
        </row>
        <row r="17841">
          <cell r="A17841" t="str">
            <v>金善财43级</v>
          </cell>
          <cell r="B17841">
            <v>527443</v>
          </cell>
        </row>
        <row r="17842">
          <cell r="A17842" t="str">
            <v>金善财44级</v>
          </cell>
          <cell r="B17842">
            <v>527444</v>
          </cell>
        </row>
        <row r="17843">
          <cell r="A17843" t="str">
            <v>金善财45级</v>
          </cell>
          <cell r="B17843">
            <v>527445</v>
          </cell>
        </row>
        <row r="17844">
          <cell r="A17844" t="str">
            <v>金善财46级</v>
          </cell>
          <cell r="B17844">
            <v>527446</v>
          </cell>
        </row>
        <row r="17845">
          <cell r="A17845" t="str">
            <v>金善财47级</v>
          </cell>
          <cell r="B17845">
            <v>527447</v>
          </cell>
        </row>
        <row r="17846">
          <cell r="A17846" t="str">
            <v>金善财48级</v>
          </cell>
          <cell r="B17846">
            <v>527448</v>
          </cell>
        </row>
        <row r="17847">
          <cell r="A17847" t="str">
            <v>金善财49级</v>
          </cell>
          <cell r="B17847">
            <v>527449</v>
          </cell>
        </row>
        <row r="17848">
          <cell r="A17848" t="str">
            <v>金善财50级</v>
          </cell>
          <cell r="B17848">
            <v>527450</v>
          </cell>
        </row>
        <row r="17849">
          <cell r="A17849" t="str">
            <v>金善财51级</v>
          </cell>
          <cell r="B17849">
            <v>527451</v>
          </cell>
        </row>
        <row r="17850">
          <cell r="A17850" t="str">
            <v>金善财52级</v>
          </cell>
          <cell r="B17850">
            <v>527452</v>
          </cell>
        </row>
        <row r="17851">
          <cell r="A17851" t="str">
            <v>金善财53级</v>
          </cell>
          <cell r="B17851">
            <v>527453</v>
          </cell>
        </row>
        <row r="17852">
          <cell r="A17852" t="str">
            <v>金善财54级</v>
          </cell>
          <cell r="B17852">
            <v>527454</v>
          </cell>
        </row>
        <row r="17853">
          <cell r="A17853" t="str">
            <v>金善财55级</v>
          </cell>
          <cell r="B17853">
            <v>527455</v>
          </cell>
        </row>
        <row r="17854">
          <cell r="A17854" t="str">
            <v>金善财56级</v>
          </cell>
          <cell r="B17854">
            <v>527456</v>
          </cell>
        </row>
        <row r="17855">
          <cell r="A17855" t="str">
            <v>金善财57级</v>
          </cell>
          <cell r="B17855">
            <v>527457</v>
          </cell>
        </row>
        <row r="17856">
          <cell r="A17856" t="str">
            <v>金善财58级</v>
          </cell>
          <cell r="B17856">
            <v>527458</v>
          </cell>
        </row>
        <row r="17857">
          <cell r="A17857" t="str">
            <v>金善财59级</v>
          </cell>
          <cell r="B17857">
            <v>527459</v>
          </cell>
        </row>
        <row r="17858">
          <cell r="A17858" t="str">
            <v>金善财60级</v>
          </cell>
          <cell r="B17858">
            <v>527460</v>
          </cell>
        </row>
        <row r="17859">
          <cell r="A17859" t="str">
            <v>金善财61级</v>
          </cell>
          <cell r="B17859">
            <v>527461</v>
          </cell>
        </row>
        <row r="17860">
          <cell r="A17860" t="str">
            <v>金善财62级</v>
          </cell>
          <cell r="B17860">
            <v>527462</v>
          </cell>
        </row>
        <row r="17861">
          <cell r="A17861" t="str">
            <v>金善财63级</v>
          </cell>
          <cell r="B17861">
            <v>527463</v>
          </cell>
        </row>
        <row r="17862">
          <cell r="A17862" t="str">
            <v>金善财64级</v>
          </cell>
          <cell r="B17862">
            <v>527464</v>
          </cell>
        </row>
        <row r="17863">
          <cell r="A17863" t="str">
            <v>金善财65级</v>
          </cell>
          <cell r="B17863">
            <v>527465</v>
          </cell>
        </row>
        <row r="17864">
          <cell r="A17864" t="str">
            <v>金善财66级</v>
          </cell>
          <cell r="B17864">
            <v>527466</v>
          </cell>
        </row>
        <row r="17865">
          <cell r="A17865" t="str">
            <v>金善财67级</v>
          </cell>
          <cell r="B17865">
            <v>527467</v>
          </cell>
        </row>
        <row r="17866">
          <cell r="A17866" t="str">
            <v>金善财68级</v>
          </cell>
          <cell r="B17866">
            <v>527468</v>
          </cell>
        </row>
        <row r="17867">
          <cell r="A17867" t="str">
            <v>金善财69级</v>
          </cell>
          <cell r="B17867">
            <v>527469</v>
          </cell>
        </row>
        <row r="17868">
          <cell r="A17868" t="str">
            <v>金善财70级</v>
          </cell>
          <cell r="B17868">
            <v>527470</v>
          </cell>
        </row>
        <row r="17869">
          <cell r="A17869" t="str">
            <v>金善财71级</v>
          </cell>
          <cell r="B17869">
            <v>527471</v>
          </cell>
        </row>
        <row r="17870">
          <cell r="A17870" t="str">
            <v>金善财72级</v>
          </cell>
          <cell r="B17870">
            <v>527472</v>
          </cell>
        </row>
        <row r="17871">
          <cell r="A17871" t="str">
            <v>金善财73级</v>
          </cell>
          <cell r="B17871">
            <v>527473</v>
          </cell>
        </row>
        <row r="17872">
          <cell r="A17872" t="str">
            <v>金善财74级</v>
          </cell>
          <cell r="B17872">
            <v>527474</v>
          </cell>
        </row>
        <row r="17873">
          <cell r="A17873" t="str">
            <v>金善财75级</v>
          </cell>
          <cell r="B17873">
            <v>527475</v>
          </cell>
        </row>
        <row r="17874">
          <cell r="A17874" t="str">
            <v>金善财76级</v>
          </cell>
          <cell r="B17874">
            <v>527476</v>
          </cell>
        </row>
        <row r="17875">
          <cell r="A17875" t="str">
            <v>金善财77级</v>
          </cell>
          <cell r="B17875">
            <v>527477</v>
          </cell>
        </row>
        <row r="17876">
          <cell r="A17876" t="str">
            <v>金善财78级</v>
          </cell>
          <cell r="B17876">
            <v>527478</v>
          </cell>
        </row>
        <row r="17877">
          <cell r="A17877" t="str">
            <v>金善财79级</v>
          </cell>
          <cell r="B17877">
            <v>527479</v>
          </cell>
        </row>
        <row r="17878">
          <cell r="A17878" t="str">
            <v>金善财80级</v>
          </cell>
          <cell r="B17878">
            <v>527480</v>
          </cell>
        </row>
        <row r="17879">
          <cell r="A17879" t="str">
            <v>金善财81级</v>
          </cell>
          <cell r="B17879">
            <v>527481</v>
          </cell>
        </row>
        <row r="17880">
          <cell r="A17880" t="str">
            <v>金善财82级</v>
          </cell>
          <cell r="B17880">
            <v>527482</v>
          </cell>
        </row>
        <row r="17881">
          <cell r="A17881" t="str">
            <v>金善财83级</v>
          </cell>
          <cell r="B17881">
            <v>527483</v>
          </cell>
        </row>
        <row r="17882">
          <cell r="A17882" t="str">
            <v>金善财84级</v>
          </cell>
          <cell r="B17882">
            <v>527484</v>
          </cell>
        </row>
        <row r="17883">
          <cell r="A17883" t="str">
            <v>金善财85级</v>
          </cell>
          <cell r="B17883">
            <v>527485</v>
          </cell>
        </row>
        <row r="17884">
          <cell r="A17884" t="str">
            <v>金善财86级</v>
          </cell>
          <cell r="B17884">
            <v>527486</v>
          </cell>
        </row>
        <row r="17885">
          <cell r="A17885" t="str">
            <v>金善财87级</v>
          </cell>
          <cell r="B17885">
            <v>527487</v>
          </cell>
        </row>
        <row r="17886">
          <cell r="A17886" t="str">
            <v>金善财88级</v>
          </cell>
          <cell r="B17886">
            <v>527488</v>
          </cell>
        </row>
        <row r="17887">
          <cell r="A17887" t="str">
            <v>金善财89级</v>
          </cell>
          <cell r="B17887">
            <v>527489</v>
          </cell>
        </row>
        <row r="17888">
          <cell r="A17888" t="str">
            <v>金善财90级</v>
          </cell>
          <cell r="B17888">
            <v>527490</v>
          </cell>
        </row>
        <row r="17889">
          <cell r="A17889" t="str">
            <v>金善财91级</v>
          </cell>
          <cell r="B17889">
            <v>527491</v>
          </cell>
        </row>
        <row r="17890">
          <cell r="A17890" t="str">
            <v>金善财92级</v>
          </cell>
          <cell r="B17890">
            <v>527492</v>
          </cell>
        </row>
        <row r="17891">
          <cell r="A17891" t="str">
            <v>金善财93级</v>
          </cell>
          <cell r="B17891">
            <v>527493</v>
          </cell>
        </row>
        <row r="17892">
          <cell r="A17892" t="str">
            <v>金善财94级</v>
          </cell>
          <cell r="B17892">
            <v>527494</v>
          </cell>
        </row>
        <row r="17893">
          <cell r="A17893" t="str">
            <v>金善财95级</v>
          </cell>
          <cell r="B17893">
            <v>527495</v>
          </cell>
        </row>
        <row r="17894">
          <cell r="A17894" t="str">
            <v>金善财96级</v>
          </cell>
          <cell r="B17894">
            <v>527496</v>
          </cell>
        </row>
        <row r="17895">
          <cell r="A17895" t="str">
            <v>金善财97级</v>
          </cell>
          <cell r="B17895">
            <v>527497</v>
          </cell>
        </row>
        <row r="17896">
          <cell r="A17896" t="str">
            <v>金善财98级</v>
          </cell>
          <cell r="B17896">
            <v>527498</v>
          </cell>
        </row>
        <row r="17897">
          <cell r="A17897" t="str">
            <v>金善财99级</v>
          </cell>
          <cell r="B17897">
            <v>527499</v>
          </cell>
        </row>
        <row r="17898">
          <cell r="A17898" t="str">
            <v>心法3拍卖盒1</v>
          </cell>
          <cell r="B17898">
            <v>240001</v>
          </cell>
        </row>
        <row r="17899">
          <cell r="A17899" t="str">
            <v>心法3拍卖盒2</v>
          </cell>
          <cell r="B17899">
            <v>240002</v>
          </cell>
        </row>
        <row r="17900">
          <cell r="A17900" t="str">
            <v>心法3拍卖盒3</v>
          </cell>
          <cell r="B17900">
            <v>240003</v>
          </cell>
        </row>
        <row r="17901">
          <cell r="A17901" t="str">
            <v>心法3拍卖盒4</v>
          </cell>
          <cell r="B17901">
            <v>240004</v>
          </cell>
        </row>
        <row r="17902">
          <cell r="A17902" t="str">
            <v>心法3拍卖盒5</v>
          </cell>
          <cell r="B17902">
            <v>240005</v>
          </cell>
        </row>
        <row r="17903">
          <cell r="A17903" t="str">
            <v>秘籍拍卖盒</v>
          </cell>
          <cell r="B17903">
            <v>240006</v>
          </cell>
        </row>
        <row r="17904">
          <cell r="A17904" t="str">
            <v>秘籍拍卖盒</v>
          </cell>
          <cell r="B17904">
            <v>240007</v>
          </cell>
        </row>
        <row r="17905">
          <cell r="A17905" t="str">
            <v>材料拍卖盒1</v>
          </cell>
          <cell r="B17905">
            <v>240008</v>
          </cell>
        </row>
        <row r="17906">
          <cell r="A17906" t="str">
            <v>材料拍卖盒2</v>
          </cell>
          <cell r="B17906">
            <v>240009</v>
          </cell>
        </row>
        <row r="17907">
          <cell r="A17907" t="str">
            <v>心法③部位1绿色0星</v>
          </cell>
          <cell r="B17907">
            <v>331100</v>
          </cell>
        </row>
        <row r="17908">
          <cell r="A17908" t="str">
            <v>心法③部位1绿色1星</v>
          </cell>
          <cell r="B17908">
            <v>331101</v>
          </cell>
        </row>
        <row r="17909">
          <cell r="A17909" t="str">
            <v>心法③部位1绿色2星</v>
          </cell>
          <cell r="B17909">
            <v>331102</v>
          </cell>
        </row>
        <row r="17910">
          <cell r="A17910" t="str">
            <v>心法③部位1绿色3星</v>
          </cell>
          <cell r="B17910">
            <v>331103</v>
          </cell>
        </row>
        <row r="17911">
          <cell r="A17911" t="str">
            <v>心法③部位1紫色0星</v>
          </cell>
          <cell r="B17911">
            <v>331200</v>
          </cell>
        </row>
        <row r="17912">
          <cell r="A17912" t="str">
            <v>心法③部位1紫色1星</v>
          </cell>
          <cell r="B17912">
            <v>331201</v>
          </cell>
        </row>
        <row r="17913">
          <cell r="A17913" t="str">
            <v>心法③部位1紫色2星</v>
          </cell>
          <cell r="B17913">
            <v>331202</v>
          </cell>
        </row>
        <row r="17914">
          <cell r="A17914" t="str">
            <v>心法③部位1紫色3星</v>
          </cell>
          <cell r="B17914">
            <v>331203</v>
          </cell>
        </row>
        <row r="17915">
          <cell r="A17915" t="str">
            <v>心法③部位1紫色4星</v>
          </cell>
          <cell r="B17915">
            <v>331204</v>
          </cell>
        </row>
        <row r="17916">
          <cell r="A17916" t="str">
            <v>心法③部位1紫色5星</v>
          </cell>
          <cell r="B17916">
            <v>331205</v>
          </cell>
        </row>
        <row r="17917">
          <cell r="A17917" t="str">
            <v>心法③部位1橙色0星</v>
          </cell>
          <cell r="B17917">
            <v>331300</v>
          </cell>
        </row>
        <row r="17918">
          <cell r="A17918" t="str">
            <v>心法③部位1橙色1星</v>
          </cell>
          <cell r="B17918">
            <v>331301</v>
          </cell>
        </row>
        <row r="17919">
          <cell r="A17919" t="str">
            <v>心法③部位1橙色2星</v>
          </cell>
          <cell r="B17919">
            <v>331302</v>
          </cell>
        </row>
        <row r="17920">
          <cell r="A17920" t="str">
            <v>心法③部位1橙色3星</v>
          </cell>
          <cell r="B17920">
            <v>331303</v>
          </cell>
        </row>
        <row r="17921">
          <cell r="A17921" t="str">
            <v>心法③部位1橙色4星</v>
          </cell>
          <cell r="B17921">
            <v>331304</v>
          </cell>
        </row>
        <row r="17922">
          <cell r="A17922" t="str">
            <v>心法③部位1橙色5星</v>
          </cell>
          <cell r="B17922">
            <v>331305</v>
          </cell>
        </row>
        <row r="17923">
          <cell r="A17923" t="str">
            <v>心法③部位1红色0星</v>
          </cell>
          <cell r="B17923">
            <v>331400</v>
          </cell>
        </row>
        <row r="17924">
          <cell r="A17924" t="str">
            <v>心法③部位1红色1星</v>
          </cell>
          <cell r="B17924">
            <v>331401</v>
          </cell>
        </row>
        <row r="17925">
          <cell r="A17925" t="str">
            <v>心法③部位1红色2星</v>
          </cell>
          <cell r="B17925">
            <v>331402</v>
          </cell>
        </row>
        <row r="17926">
          <cell r="A17926" t="str">
            <v>心法③部位1红色3星</v>
          </cell>
          <cell r="B17926">
            <v>331403</v>
          </cell>
        </row>
        <row r="17927">
          <cell r="A17927" t="str">
            <v>心法③部位1红色4星</v>
          </cell>
          <cell r="B17927">
            <v>331404</v>
          </cell>
        </row>
        <row r="17928">
          <cell r="A17928" t="str">
            <v>心法③部位1红色5星</v>
          </cell>
          <cell r="B17928">
            <v>331405</v>
          </cell>
        </row>
        <row r="17929">
          <cell r="A17929" t="str">
            <v>心法③部位2绿色0星</v>
          </cell>
          <cell r="B17929">
            <v>332100</v>
          </cell>
        </row>
        <row r="17930">
          <cell r="A17930" t="str">
            <v>心法③部位2绿色1星</v>
          </cell>
          <cell r="B17930">
            <v>332101</v>
          </cell>
        </row>
        <row r="17931">
          <cell r="A17931" t="str">
            <v>心法③部位2绿色2星</v>
          </cell>
          <cell r="B17931">
            <v>332102</v>
          </cell>
        </row>
        <row r="17932">
          <cell r="A17932" t="str">
            <v>心法③部位2绿色3星</v>
          </cell>
          <cell r="B17932">
            <v>332103</v>
          </cell>
        </row>
        <row r="17933">
          <cell r="A17933" t="str">
            <v>心法③部位2紫色0星</v>
          </cell>
          <cell r="B17933">
            <v>332200</v>
          </cell>
        </row>
        <row r="17934">
          <cell r="A17934" t="str">
            <v>心法③部位2紫色1星</v>
          </cell>
          <cell r="B17934">
            <v>332201</v>
          </cell>
        </row>
        <row r="17935">
          <cell r="A17935" t="str">
            <v>心法③部位2紫色2星</v>
          </cell>
          <cell r="B17935">
            <v>332202</v>
          </cell>
        </row>
        <row r="17936">
          <cell r="A17936" t="str">
            <v>心法③部位2紫色3星</v>
          </cell>
          <cell r="B17936">
            <v>332203</v>
          </cell>
        </row>
        <row r="17937">
          <cell r="A17937" t="str">
            <v>心法③部位2紫色4星</v>
          </cell>
          <cell r="B17937">
            <v>332204</v>
          </cell>
        </row>
        <row r="17938">
          <cell r="A17938" t="str">
            <v>心法③部位2紫色5星</v>
          </cell>
          <cell r="B17938">
            <v>332205</v>
          </cell>
        </row>
        <row r="17939">
          <cell r="A17939" t="str">
            <v>心法③部位2橙色0星</v>
          </cell>
          <cell r="B17939">
            <v>332300</v>
          </cell>
        </row>
        <row r="17940">
          <cell r="A17940" t="str">
            <v>心法③部位2橙色1星</v>
          </cell>
          <cell r="B17940">
            <v>332301</v>
          </cell>
        </row>
        <row r="17941">
          <cell r="A17941" t="str">
            <v>心法③部位2橙色2星</v>
          </cell>
          <cell r="B17941">
            <v>332302</v>
          </cell>
        </row>
        <row r="17942">
          <cell r="A17942" t="str">
            <v>心法③部位2橙色3星</v>
          </cell>
          <cell r="B17942">
            <v>332303</v>
          </cell>
        </row>
        <row r="17943">
          <cell r="A17943" t="str">
            <v>心法③部位2橙色4星</v>
          </cell>
          <cell r="B17943">
            <v>332304</v>
          </cell>
        </row>
        <row r="17944">
          <cell r="A17944" t="str">
            <v>心法③部位2橙色5星</v>
          </cell>
          <cell r="B17944">
            <v>332305</v>
          </cell>
        </row>
        <row r="17945">
          <cell r="A17945" t="str">
            <v>心法③部位2红色0星</v>
          </cell>
          <cell r="B17945">
            <v>332400</v>
          </cell>
        </row>
        <row r="17946">
          <cell r="A17946" t="str">
            <v>心法③部位2红色1星</v>
          </cell>
          <cell r="B17946">
            <v>332401</v>
          </cell>
        </row>
        <row r="17947">
          <cell r="A17947" t="str">
            <v>心法③部位2红色2星</v>
          </cell>
          <cell r="B17947">
            <v>332402</v>
          </cell>
        </row>
        <row r="17948">
          <cell r="A17948" t="str">
            <v>心法③部位2红色3星</v>
          </cell>
          <cell r="B17948">
            <v>332403</v>
          </cell>
        </row>
        <row r="17949">
          <cell r="A17949" t="str">
            <v>心法③部位2红色4星</v>
          </cell>
          <cell r="B17949">
            <v>332404</v>
          </cell>
        </row>
        <row r="17950">
          <cell r="A17950" t="str">
            <v>心法③部位2红色5星</v>
          </cell>
          <cell r="B17950">
            <v>332405</v>
          </cell>
        </row>
        <row r="17951">
          <cell r="A17951" t="str">
            <v>心法③部位3绿色0星</v>
          </cell>
          <cell r="B17951">
            <v>333100</v>
          </cell>
        </row>
        <row r="17952">
          <cell r="A17952" t="str">
            <v>心法③部位3绿色1星</v>
          </cell>
          <cell r="B17952">
            <v>333101</v>
          </cell>
        </row>
        <row r="17953">
          <cell r="A17953" t="str">
            <v>心法③部位3绿色2星</v>
          </cell>
          <cell r="B17953">
            <v>333102</v>
          </cell>
        </row>
        <row r="17954">
          <cell r="A17954" t="str">
            <v>心法③部位3绿色3星</v>
          </cell>
          <cell r="B17954">
            <v>333103</v>
          </cell>
        </row>
        <row r="17955">
          <cell r="A17955" t="str">
            <v>心法③部位3紫色0星</v>
          </cell>
          <cell r="B17955">
            <v>333200</v>
          </cell>
        </row>
        <row r="17956">
          <cell r="A17956" t="str">
            <v>心法③部位3紫色1星</v>
          </cell>
          <cell r="B17956">
            <v>333201</v>
          </cell>
        </row>
        <row r="17957">
          <cell r="A17957" t="str">
            <v>心法③部位3紫色2星</v>
          </cell>
          <cell r="B17957">
            <v>333202</v>
          </cell>
        </row>
        <row r="17958">
          <cell r="A17958" t="str">
            <v>心法③部位3紫色3星</v>
          </cell>
          <cell r="B17958">
            <v>333203</v>
          </cell>
        </row>
        <row r="17959">
          <cell r="A17959" t="str">
            <v>心法③部位3紫色4星</v>
          </cell>
          <cell r="B17959">
            <v>333204</v>
          </cell>
        </row>
        <row r="17960">
          <cell r="A17960" t="str">
            <v>心法③部位3紫色5星</v>
          </cell>
          <cell r="B17960">
            <v>333205</v>
          </cell>
        </row>
        <row r="17961">
          <cell r="A17961" t="str">
            <v>心法③部位3橙色0星</v>
          </cell>
          <cell r="B17961">
            <v>333300</v>
          </cell>
        </row>
        <row r="17962">
          <cell r="A17962" t="str">
            <v>心法③部位3橙色1星</v>
          </cell>
          <cell r="B17962">
            <v>333301</v>
          </cell>
        </row>
        <row r="17963">
          <cell r="A17963" t="str">
            <v>心法③部位3橙色2星</v>
          </cell>
          <cell r="B17963">
            <v>333302</v>
          </cell>
        </row>
        <row r="17964">
          <cell r="A17964" t="str">
            <v>心法③部位3橙色3星</v>
          </cell>
          <cell r="B17964">
            <v>333303</v>
          </cell>
        </row>
        <row r="17965">
          <cell r="A17965" t="str">
            <v>心法③部位3橙色4星</v>
          </cell>
          <cell r="B17965">
            <v>333304</v>
          </cell>
        </row>
        <row r="17966">
          <cell r="A17966" t="str">
            <v>心法③部位3橙色5星</v>
          </cell>
          <cell r="B17966">
            <v>333305</v>
          </cell>
        </row>
        <row r="17967">
          <cell r="A17967" t="str">
            <v>心法③部位3红色0星</v>
          </cell>
          <cell r="B17967">
            <v>333400</v>
          </cell>
        </row>
        <row r="17968">
          <cell r="A17968" t="str">
            <v>心法③部位3红色1星</v>
          </cell>
          <cell r="B17968">
            <v>333401</v>
          </cell>
        </row>
        <row r="17969">
          <cell r="A17969" t="str">
            <v>心法③部位3红色2星</v>
          </cell>
          <cell r="B17969">
            <v>333402</v>
          </cell>
        </row>
        <row r="17970">
          <cell r="A17970" t="str">
            <v>心法③部位3红色3星</v>
          </cell>
          <cell r="B17970">
            <v>333403</v>
          </cell>
        </row>
        <row r="17971">
          <cell r="A17971" t="str">
            <v>心法③部位3红色4星</v>
          </cell>
          <cell r="B17971">
            <v>333404</v>
          </cell>
        </row>
        <row r="17972">
          <cell r="A17972" t="str">
            <v>心法③部位3红色5星</v>
          </cell>
          <cell r="B17972">
            <v>333405</v>
          </cell>
        </row>
        <row r="17973">
          <cell r="A17973" t="str">
            <v>心法③部位4绿色0星</v>
          </cell>
          <cell r="B17973">
            <v>334100</v>
          </cell>
        </row>
        <row r="17974">
          <cell r="A17974" t="str">
            <v>心法③部位4绿色1星</v>
          </cell>
          <cell r="B17974">
            <v>334101</v>
          </cell>
        </row>
        <row r="17975">
          <cell r="A17975" t="str">
            <v>心法③部位4绿色2星</v>
          </cell>
          <cell r="B17975">
            <v>334102</v>
          </cell>
        </row>
        <row r="17976">
          <cell r="A17976" t="str">
            <v>心法③部位4绿色3星</v>
          </cell>
          <cell r="B17976">
            <v>334103</v>
          </cell>
        </row>
        <row r="17977">
          <cell r="A17977" t="str">
            <v>心法③部位4紫色0星</v>
          </cell>
          <cell r="B17977">
            <v>334200</v>
          </cell>
        </row>
        <row r="17978">
          <cell r="A17978" t="str">
            <v>心法③部位4紫色1星</v>
          </cell>
          <cell r="B17978">
            <v>334201</v>
          </cell>
        </row>
        <row r="17979">
          <cell r="A17979" t="str">
            <v>心法③部位4紫色2星</v>
          </cell>
          <cell r="B17979">
            <v>334202</v>
          </cell>
        </row>
        <row r="17980">
          <cell r="A17980" t="str">
            <v>心法③部位4紫色3星</v>
          </cell>
          <cell r="B17980">
            <v>334203</v>
          </cell>
        </row>
        <row r="17981">
          <cell r="A17981" t="str">
            <v>心法③部位4紫色4星</v>
          </cell>
          <cell r="B17981">
            <v>334204</v>
          </cell>
        </row>
        <row r="17982">
          <cell r="A17982" t="str">
            <v>心法③部位4紫色5星</v>
          </cell>
          <cell r="B17982">
            <v>334205</v>
          </cell>
        </row>
        <row r="17983">
          <cell r="A17983" t="str">
            <v>心法③部位4橙色0星</v>
          </cell>
          <cell r="B17983">
            <v>334300</v>
          </cell>
        </row>
        <row r="17984">
          <cell r="A17984" t="str">
            <v>心法③部位4橙色1星</v>
          </cell>
          <cell r="B17984">
            <v>334301</v>
          </cell>
        </row>
        <row r="17985">
          <cell r="A17985" t="str">
            <v>心法③部位4橙色2星</v>
          </cell>
          <cell r="B17985">
            <v>334302</v>
          </cell>
        </row>
        <row r="17986">
          <cell r="A17986" t="str">
            <v>心法③部位4橙色3星</v>
          </cell>
          <cell r="B17986">
            <v>334303</v>
          </cell>
        </row>
        <row r="17987">
          <cell r="A17987" t="str">
            <v>心法③部位4橙色4星</v>
          </cell>
          <cell r="B17987">
            <v>334304</v>
          </cell>
        </row>
        <row r="17988">
          <cell r="A17988" t="str">
            <v>心法③部位4橙色5星</v>
          </cell>
          <cell r="B17988">
            <v>334305</v>
          </cell>
        </row>
        <row r="17989">
          <cell r="A17989" t="str">
            <v>心法③部位4红色0星</v>
          </cell>
          <cell r="B17989">
            <v>334400</v>
          </cell>
        </row>
        <row r="17990">
          <cell r="A17990" t="str">
            <v>心法③部位4红色1星</v>
          </cell>
          <cell r="B17990">
            <v>334401</v>
          </cell>
        </row>
        <row r="17991">
          <cell r="A17991" t="str">
            <v>心法③部位4红色2星</v>
          </cell>
          <cell r="B17991">
            <v>334402</v>
          </cell>
        </row>
        <row r="17992">
          <cell r="A17992" t="str">
            <v>心法③部位4红色3星</v>
          </cell>
          <cell r="B17992">
            <v>334403</v>
          </cell>
        </row>
        <row r="17993">
          <cell r="A17993" t="str">
            <v>心法③部位4红色4星</v>
          </cell>
          <cell r="B17993">
            <v>334404</v>
          </cell>
        </row>
        <row r="17994">
          <cell r="A17994" t="str">
            <v>心法③部位4红色5星</v>
          </cell>
          <cell r="B17994">
            <v>334405</v>
          </cell>
        </row>
        <row r="17995">
          <cell r="A17995" t="str">
            <v>心法③部位5绿色0星</v>
          </cell>
          <cell r="B17995">
            <v>335100</v>
          </cell>
        </row>
        <row r="17996">
          <cell r="A17996" t="str">
            <v>心法③部位5绿色1星</v>
          </cell>
          <cell r="B17996">
            <v>335101</v>
          </cell>
        </row>
        <row r="17997">
          <cell r="A17997" t="str">
            <v>心法③部位5绿色2星</v>
          </cell>
          <cell r="B17997">
            <v>335102</v>
          </cell>
        </row>
        <row r="17998">
          <cell r="A17998" t="str">
            <v>心法③部位5绿色3星</v>
          </cell>
          <cell r="B17998">
            <v>335103</v>
          </cell>
        </row>
        <row r="17999">
          <cell r="A17999" t="str">
            <v>心法③部位5紫色0星</v>
          </cell>
          <cell r="B17999">
            <v>335200</v>
          </cell>
        </row>
        <row r="18000">
          <cell r="A18000" t="str">
            <v>心法③部位5紫色1星</v>
          </cell>
          <cell r="B18000">
            <v>335201</v>
          </cell>
        </row>
        <row r="18001">
          <cell r="A18001" t="str">
            <v>心法③部位5紫色2星</v>
          </cell>
          <cell r="B18001">
            <v>335202</v>
          </cell>
        </row>
        <row r="18002">
          <cell r="A18002" t="str">
            <v>心法③部位5紫色3星</v>
          </cell>
          <cell r="B18002">
            <v>335203</v>
          </cell>
        </row>
        <row r="18003">
          <cell r="A18003" t="str">
            <v>心法③部位5紫色4星</v>
          </cell>
          <cell r="B18003">
            <v>335204</v>
          </cell>
        </row>
        <row r="18004">
          <cell r="A18004" t="str">
            <v>心法③部位5紫色5星</v>
          </cell>
          <cell r="B18004">
            <v>335205</v>
          </cell>
        </row>
        <row r="18005">
          <cell r="A18005" t="str">
            <v>心法③部位5橙色0星</v>
          </cell>
          <cell r="B18005">
            <v>335300</v>
          </cell>
        </row>
        <row r="18006">
          <cell r="A18006" t="str">
            <v>心法③部位5橙色1星</v>
          </cell>
          <cell r="B18006">
            <v>335301</v>
          </cell>
        </row>
        <row r="18007">
          <cell r="A18007" t="str">
            <v>心法③部位5橙色2星</v>
          </cell>
          <cell r="B18007">
            <v>335302</v>
          </cell>
        </row>
        <row r="18008">
          <cell r="A18008" t="str">
            <v>心法③部位5橙色3星</v>
          </cell>
          <cell r="B18008">
            <v>335303</v>
          </cell>
        </row>
        <row r="18009">
          <cell r="A18009" t="str">
            <v>心法③部位5橙色4星</v>
          </cell>
          <cell r="B18009">
            <v>335304</v>
          </cell>
        </row>
        <row r="18010">
          <cell r="A18010" t="str">
            <v>心法③部位5橙色5星</v>
          </cell>
          <cell r="B18010">
            <v>335305</v>
          </cell>
        </row>
        <row r="18011">
          <cell r="A18011" t="str">
            <v>心法③部位5红色0星</v>
          </cell>
          <cell r="B18011">
            <v>335400</v>
          </cell>
        </row>
        <row r="18012">
          <cell r="A18012" t="str">
            <v>心法③部位5红色1星</v>
          </cell>
          <cell r="B18012">
            <v>335401</v>
          </cell>
        </row>
        <row r="18013">
          <cell r="A18013" t="str">
            <v>心法③部位5红色2星</v>
          </cell>
          <cell r="B18013">
            <v>335402</v>
          </cell>
        </row>
        <row r="18014">
          <cell r="A18014" t="str">
            <v>心法③部位5红色3星</v>
          </cell>
          <cell r="B18014">
            <v>335403</v>
          </cell>
        </row>
        <row r="18015">
          <cell r="A18015" t="str">
            <v>心法③部位5红色4星</v>
          </cell>
          <cell r="B18015">
            <v>335404</v>
          </cell>
        </row>
        <row r="18016">
          <cell r="A18016" t="str">
            <v>心法③部位5红色5星</v>
          </cell>
          <cell r="B18016">
            <v>335405</v>
          </cell>
        </row>
        <row r="18017">
          <cell r="A18017" t="str">
            <v>龙抬头抽奖道具</v>
          </cell>
          <cell r="B18017">
            <v>200334</v>
          </cell>
        </row>
        <row r="18018">
          <cell r="A18018" t="str">
            <v>心法3部位1宝箱</v>
          </cell>
          <cell r="B18018">
            <v>200335</v>
          </cell>
        </row>
        <row r="18019">
          <cell r="A18019" t="str">
            <v>心法3部位2宝箱</v>
          </cell>
          <cell r="B18019">
            <v>200336</v>
          </cell>
        </row>
        <row r="18020">
          <cell r="A18020" t="str">
            <v>心法3部位3宝箱</v>
          </cell>
          <cell r="B18020">
            <v>200337</v>
          </cell>
        </row>
        <row r="18021">
          <cell r="A18021" t="str">
            <v>心法3部位4宝箱</v>
          </cell>
          <cell r="B18021">
            <v>200338</v>
          </cell>
        </row>
        <row r="18022">
          <cell r="A18022" t="str">
            <v>心法3部位5宝箱</v>
          </cell>
          <cell r="B18022">
            <v>200339</v>
          </cell>
        </row>
        <row r="18023">
          <cell r="A18023" t="str">
            <v>魔界入侵宝箱</v>
          </cell>
          <cell r="B18023">
            <v>200340</v>
          </cell>
        </row>
        <row r="18024">
          <cell r="A18024" t="str">
            <v>"军团指挥官"</v>
          </cell>
          <cell r="B18024">
            <v>200341</v>
          </cell>
        </row>
        <row r="18025">
          <cell r="A18025" t="str">
            <v>心法④部位1绿色0星</v>
          </cell>
          <cell r="B18025">
            <v>341100</v>
          </cell>
        </row>
        <row r="18026">
          <cell r="A18026" t="str">
            <v>心法④部位1绿色1星</v>
          </cell>
          <cell r="B18026">
            <v>341101</v>
          </cell>
        </row>
        <row r="18027">
          <cell r="A18027" t="str">
            <v>心法④部位1绿色2星</v>
          </cell>
          <cell r="B18027">
            <v>341102</v>
          </cell>
        </row>
        <row r="18028">
          <cell r="A18028" t="str">
            <v>心法④部位1绿色3星</v>
          </cell>
          <cell r="B18028">
            <v>341103</v>
          </cell>
        </row>
        <row r="18029">
          <cell r="A18029" t="str">
            <v>心法④部位1紫色0星</v>
          </cell>
          <cell r="B18029">
            <v>341200</v>
          </cell>
        </row>
        <row r="18030">
          <cell r="A18030" t="str">
            <v>心法④部位1紫色1星</v>
          </cell>
          <cell r="B18030">
            <v>341201</v>
          </cell>
        </row>
        <row r="18031">
          <cell r="A18031" t="str">
            <v>心法④部位1紫色2星</v>
          </cell>
          <cell r="B18031">
            <v>341202</v>
          </cell>
        </row>
        <row r="18032">
          <cell r="A18032" t="str">
            <v>心法④部位1紫色3星</v>
          </cell>
          <cell r="B18032">
            <v>341203</v>
          </cell>
        </row>
        <row r="18033">
          <cell r="A18033" t="str">
            <v>心法④部位1紫色4星</v>
          </cell>
          <cell r="B18033">
            <v>341204</v>
          </cell>
        </row>
        <row r="18034">
          <cell r="A18034" t="str">
            <v>心法④部位1紫色5星</v>
          </cell>
          <cell r="B18034">
            <v>341205</v>
          </cell>
        </row>
        <row r="18035">
          <cell r="A18035" t="str">
            <v>心法④部位1橙色0星</v>
          </cell>
          <cell r="B18035">
            <v>341300</v>
          </cell>
        </row>
        <row r="18036">
          <cell r="A18036" t="str">
            <v>心法④部位1橙色1星</v>
          </cell>
          <cell r="B18036">
            <v>341301</v>
          </cell>
        </row>
        <row r="18037">
          <cell r="A18037" t="str">
            <v>心法④部位1橙色2星</v>
          </cell>
          <cell r="B18037">
            <v>341302</v>
          </cell>
        </row>
        <row r="18038">
          <cell r="A18038" t="str">
            <v>心法④部位1橙色3星</v>
          </cell>
          <cell r="B18038">
            <v>341303</v>
          </cell>
        </row>
        <row r="18039">
          <cell r="A18039" t="str">
            <v>心法④部位1橙色4星</v>
          </cell>
          <cell r="B18039">
            <v>341304</v>
          </cell>
        </row>
        <row r="18040">
          <cell r="A18040" t="str">
            <v>心法④部位1橙色5星</v>
          </cell>
          <cell r="B18040">
            <v>341305</v>
          </cell>
        </row>
        <row r="18041">
          <cell r="A18041" t="str">
            <v>心法④部位1红色0星</v>
          </cell>
          <cell r="B18041">
            <v>341400</v>
          </cell>
        </row>
        <row r="18042">
          <cell r="A18042" t="str">
            <v>心法④部位1红色1星</v>
          </cell>
          <cell r="B18042">
            <v>341401</v>
          </cell>
        </row>
        <row r="18043">
          <cell r="A18043" t="str">
            <v>心法④部位1红色2星</v>
          </cell>
          <cell r="B18043">
            <v>341402</v>
          </cell>
        </row>
        <row r="18044">
          <cell r="A18044" t="str">
            <v>心法④部位1红色3星</v>
          </cell>
          <cell r="B18044">
            <v>341403</v>
          </cell>
        </row>
        <row r="18045">
          <cell r="A18045" t="str">
            <v>心法④部位1红色4星</v>
          </cell>
          <cell r="B18045">
            <v>341404</v>
          </cell>
        </row>
        <row r="18046">
          <cell r="A18046" t="str">
            <v>心法④部位1红色5星</v>
          </cell>
          <cell r="B18046">
            <v>341405</v>
          </cell>
        </row>
        <row r="18047">
          <cell r="A18047" t="str">
            <v>心法④部位2绿色0星</v>
          </cell>
          <cell r="B18047">
            <v>342100</v>
          </cell>
        </row>
        <row r="18048">
          <cell r="A18048" t="str">
            <v>心法④部位2绿色1星</v>
          </cell>
          <cell r="B18048">
            <v>342101</v>
          </cell>
        </row>
        <row r="18049">
          <cell r="A18049" t="str">
            <v>心法④部位2绿色2星</v>
          </cell>
          <cell r="B18049">
            <v>342102</v>
          </cell>
        </row>
        <row r="18050">
          <cell r="A18050" t="str">
            <v>心法④部位2绿色3星</v>
          </cell>
          <cell r="B18050">
            <v>342103</v>
          </cell>
        </row>
        <row r="18051">
          <cell r="A18051" t="str">
            <v>心法④部位2紫色0星</v>
          </cell>
          <cell r="B18051">
            <v>342200</v>
          </cell>
        </row>
        <row r="18052">
          <cell r="A18052" t="str">
            <v>心法④部位2紫色1星</v>
          </cell>
          <cell r="B18052">
            <v>342201</v>
          </cell>
        </row>
        <row r="18053">
          <cell r="A18053" t="str">
            <v>心法④部位2紫色2星</v>
          </cell>
          <cell r="B18053">
            <v>342202</v>
          </cell>
        </row>
        <row r="18054">
          <cell r="A18054" t="str">
            <v>心法④部位2紫色3星</v>
          </cell>
          <cell r="B18054">
            <v>342203</v>
          </cell>
        </row>
        <row r="18055">
          <cell r="A18055" t="str">
            <v>心法④部位2紫色4星</v>
          </cell>
          <cell r="B18055">
            <v>342204</v>
          </cell>
        </row>
        <row r="18056">
          <cell r="A18056" t="str">
            <v>心法④部位2紫色5星</v>
          </cell>
          <cell r="B18056">
            <v>342205</v>
          </cell>
        </row>
        <row r="18057">
          <cell r="A18057" t="str">
            <v>心法④部位2橙色0星</v>
          </cell>
          <cell r="B18057">
            <v>342300</v>
          </cell>
        </row>
        <row r="18058">
          <cell r="A18058" t="str">
            <v>心法④部位2橙色1星</v>
          </cell>
          <cell r="B18058">
            <v>342301</v>
          </cell>
        </row>
        <row r="18059">
          <cell r="A18059" t="str">
            <v>心法④部位2橙色2星</v>
          </cell>
          <cell r="B18059">
            <v>342302</v>
          </cell>
        </row>
        <row r="18060">
          <cell r="A18060" t="str">
            <v>心法④部位2橙色3星</v>
          </cell>
          <cell r="B18060">
            <v>342303</v>
          </cell>
        </row>
        <row r="18061">
          <cell r="A18061" t="str">
            <v>心法④部位2橙色4星</v>
          </cell>
          <cell r="B18061">
            <v>342304</v>
          </cell>
        </row>
        <row r="18062">
          <cell r="A18062" t="str">
            <v>心法④部位2橙色5星</v>
          </cell>
          <cell r="B18062">
            <v>342305</v>
          </cell>
        </row>
        <row r="18063">
          <cell r="A18063" t="str">
            <v>心法④部位2红色0星</v>
          </cell>
          <cell r="B18063">
            <v>342400</v>
          </cell>
        </row>
        <row r="18064">
          <cell r="A18064" t="str">
            <v>心法④部位2红色1星</v>
          </cell>
          <cell r="B18064">
            <v>342401</v>
          </cell>
        </row>
        <row r="18065">
          <cell r="A18065" t="str">
            <v>心法④部位2红色2星</v>
          </cell>
          <cell r="B18065">
            <v>342402</v>
          </cell>
        </row>
        <row r="18066">
          <cell r="A18066" t="str">
            <v>心法④部位2红色3星</v>
          </cell>
          <cell r="B18066">
            <v>342403</v>
          </cell>
        </row>
        <row r="18067">
          <cell r="A18067" t="str">
            <v>心法④部位2红色4星</v>
          </cell>
          <cell r="B18067">
            <v>342404</v>
          </cell>
        </row>
        <row r="18068">
          <cell r="A18068" t="str">
            <v>心法④部位2红色5星</v>
          </cell>
          <cell r="B18068">
            <v>342405</v>
          </cell>
        </row>
        <row r="18069">
          <cell r="A18069" t="str">
            <v>心法④部位3绿色0星</v>
          </cell>
          <cell r="B18069">
            <v>343100</v>
          </cell>
        </row>
        <row r="18070">
          <cell r="A18070" t="str">
            <v>心法④部位3绿色1星</v>
          </cell>
          <cell r="B18070">
            <v>343101</v>
          </cell>
        </row>
        <row r="18071">
          <cell r="A18071" t="str">
            <v>心法④部位3绿色2星</v>
          </cell>
          <cell r="B18071">
            <v>343102</v>
          </cell>
        </row>
        <row r="18072">
          <cell r="A18072" t="str">
            <v>心法④部位3绿色3星</v>
          </cell>
          <cell r="B18072">
            <v>343103</v>
          </cell>
        </row>
        <row r="18073">
          <cell r="A18073" t="str">
            <v>心法④部位3紫色0星</v>
          </cell>
          <cell r="B18073">
            <v>343200</v>
          </cell>
        </row>
        <row r="18074">
          <cell r="A18074" t="str">
            <v>心法④部位3紫色1星</v>
          </cell>
          <cell r="B18074">
            <v>343201</v>
          </cell>
        </row>
        <row r="18075">
          <cell r="A18075" t="str">
            <v>心法④部位3紫色2星</v>
          </cell>
          <cell r="B18075">
            <v>343202</v>
          </cell>
        </row>
        <row r="18076">
          <cell r="A18076" t="str">
            <v>心法④部位3紫色3星</v>
          </cell>
          <cell r="B18076">
            <v>343203</v>
          </cell>
        </row>
        <row r="18077">
          <cell r="A18077" t="str">
            <v>心法④部位3紫色4星</v>
          </cell>
          <cell r="B18077">
            <v>343204</v>
          </cell>
        </row>
        <row r="18078">
          <cell r="A18078" t="str">
            <v>心法④部位3紫色5星</v>
          </cell>
          <cell r="B18078">
            <v>343205</v>
          </cell>
        </row>
        <row r="18079">
          <cell r="A18079" t="str">
            <v>心法④部位3橙色0星</v>
          </cell>
          <cell r="B18079">
            <v>343300</v>
          </cell>
        </row>
        <row r="18080">
          <cell r="A18080" t="str">
            <v>心法④部位3橙色1星</v>
          </cell>
          <cell r="B18080">
            <v>343301</v>
          </cell>
        </row>
        <row r="18081">
          <cell r="A18081" t="str">
            <v>心法④部位3橙色2星</v>
          </cell>
          <cell r="B18081">
            <v>343302</v>
          </cell>
        </row>
        <row r="18082">
          <cell r="A18082" t="str">
            <v>心法④部位3橙色3星</v>
          </cell>
          <cell r="B18082">
            <v>343303</v>
          </cell>
        </row>
        <row r="18083">
          <cell r="A18083" t="str">
            <v>心法④部位3橙色4星</v>
          </cell>
          <cell r="B18083">
            <v>343304</v>
          </cell>
        </row>
        <row r="18084">
          <cell r="A18084" t="str">
            <v>心法④部位3橙色5星</v>
          </cell>
          <cell r="B18084">
            <v>343305</v>
          </cell>
        </row>
        <row r="18085">
          <cell r="A18085" t="str">
            <v>心法④部位3红色0星</v>
          </cell>
          <cell r="B18085">
            <v>343400</v>
          </cell>
        </row>
        <row r="18086">
          <cell r="A18086" t="str">
            <v>心法④部位3红色1星</v>
          </cell>
          <cell r="B18086">
            <v>343401</v>
          </cell>
        </row>
        <row r="18087">
          <cell r="A18087" t="str">
            <v>心法④部位3红色2星</v>
          </cell>
          <cell r="B18087">
            <v>343402</v>
          </cell>
        </row>
        <row r="18088">
          <cell r="A18088" t="str">
            <v>心法④部位3红色3星</v>
          </cell>
          <cell r="B18088">
            <v>343403</v>
          </cell>
        </row>
        <row r="18089">
          <cell r="A18089" t="str">
            <v>心法④部位3红色4星</v>
          </cell>
          <cell r="B18089">
            <v>343404</v>
          </cell>
        </row>
        <row r="18090">
          <cell r="A18090" t="str">
            <v>心法④部位3红色5星</v>
          </cell>
          <cell r="B18090">
            <v>343405</v>
          </cell>
        </row>
        <row r="18091">
          <cell r="A18091" t="str">
            <v>心法④部位4绿色0星</v>
          </cell>
          <cell r="B18091">
            <v>344100</v>
          </cell>
        </row>
        <row r="18092">
          <cell r="A18092" t="str">
            <v>心法④部位4绿色1星</v>
          </cell>
          <cell r="B18092">
            <v>344101</v>
          </cell>
        </row>
        <row r="18093">
          <cell r="A18093" t="str">
            <v>心法④部位4绿色2星</v>
          </cell>
          <cell r="B18093">
            <v>344102</v>
          </cell>
        </row>
        <row r="18094">
          <cell r="A18094" t="str">
            <v>心法④部位4绿色3星</v>
          </cell>
          <cell r="B18094">
            <v>344103</v>
          </cell>
        </row>
        <row r="18095">
          <cell r="A18095" t="str">
            <v>心法④部位4紫色0星</v>
          </cell>
          <cell r="B18095">
            <v>344200</v>
          </cell>
        </row>
        <row r="18096">
          <cell r="A18096" t="str">
            <v>心法④部位4紫色1星</v>
          </cell>
          <cell r="B18096">
            <v>344201</v>
          </cell>
        </row>
        <row r="18097">
          <cell r="A18097" t="str">
            <v>心法④部位4紫色2星</v>
          </cell>
          <cell r="B18097">
            <v>344202</v>
          </cell>
        </row>
        <row r="18098">
          <cell r="A18098" t="str">
            <v>心法④部位4紫色3星</v>
          </cell>
          <cell r="B18098">
            <v>344203</v>
          </cell>
        </row>
        <row r="18099">
          <cell r="A18099" t="str">
            <v>心法④部位4紫色4星</v>
          </cell>
          <cell r="B18099">
            <v>344204</v>
          </cell>
        </row>
        <row r="18100">
          <cell r="A18100" t="str">
            <v>心法④部位4紫色5星</v>
          </cell>
          <cell r="B18100">
            <v>344205</v>
          </cell>
        </row>
        <row r="18101">
          <cell r="A18101" t="str">
            <v>心法④部位4橙色0星</v>
          </cell>
          <cell r="B18101">
            <v>344300</v>
          </cell>
        </row>
        <row r="18102">
          <cell r="A18102" t="str">
            <v>心法④部位4橙色1星</v>
          </cell>
          <cell r="B18102">
            <v>344301</v>
          </cell>
        </row>
        <row r="18103">
          <cell r="A18103" t="str">
            <v>心法④部位4橙色2星</v>
          </cell>
          <cell r="B18103">
            <v>344302</v>
          </cell>
        </row>
        <row r="18104">
          <cell r="A18104" t="str">
            <v>心法④部位4橙色3星</v>
          </cell>
          <cell r="B18104">
            <v>344303</v>
          </cell>
        </row>
        <row r="18105">
          <cell r="A18105" t="str">
            <v>心法④部位4橙色4星</v>
          </cell>
          <cell r="B18105">
            <v>344304</v>
          </cell>
        </row>
        <row r="18106">
          <cell r="A18106" t="str">
            <v>心法④部位4橙色5星</v>
          </cell>
          <cell r="B18106">
            <v>344305</v>
          </cell>
        </row>
        <row r="18107">
          <cell r="A18107" t="str">
            <v>心法④部位4红色0星</v>
          </cell>
          <cell r="B18107">
            <v>344400</v>
          </cell>
        </row>
        <row r="18108">
          <cell r="A18108" t="str">
            <v>心法④部位4红色1星</v>
          </cell>
          <cell r="B18108">
            <v>344401</v>
          </cell>
        </row>
        <row r="18109">
          <cell r="A18109" t="str">
            <v>心法④部位4红色2星</v>
          </cell>
          <cell r="B18109">
            <v>344402</v>
          </cell>
        </row>
        <row r="18110">
          <cell r="A18110" t="str">
            <v>心法④部位4红色3星</v>
          </cell>
          <cell r="B18110">
            <v>344403</v>
          </cell>
        </row>
        <row r="18111">
          <cell r="A18111" t="str">
            <v>心法④部位4红色4星</v>
          </cell>
          <cell r="B18111">
            <v>344404</v>
          </cell>
        </row>
        <row r="18112">
          <cell r="A18112" t="str">
            <v>心法④部位4红色5星</v>
          </cell>
          <cell r="B18112">
            <v>344405</v>
          </cell>
        </row>
        <row r="18113">
          <cell r="A18113" t="str">
            <v>心法④部位5绿色0星</v>
          </cell>
          <cell r="B18113">
            <v>345100</v>
          </cell>
        </row>
        <row r="18114">
          <cell r="A18114" t="str">
            <v>心法④部位5绿色1星</v>
          </cell>
          <cell r="B18114">
            <v>345101</v>
          </cell>
        </row>
        <row r="18115">
          <cell r="A18115" t="str">
            <v>心法④部位5绿色2星</v>
          </cell>
          <cell r="B18115">
            <v>345102</v>
          </cell>
        </row>
        <row r="18116">
          <cell r="A18116" t="str">
            <v>心法④部位5绿色3星</v>
          </cell>
          <cell r="B18116">
            <v>345103</v>
          </cell>
        </row>
        <row r="18117">
          <cell r="A18117" t="str">
            <v>心法④部位5紫色0星</v>
          </cell>
          <cell r="B18117">
            <v>345200</v>
          </cell>
        </row>
        <row r="18118">
          <cell r="A18118" t="str">
            <v>心法④部位5紫色1星</v>
          </cell>
          <cell r="B18118">
            <v>345201</v>
          </cell>
        </row>
        <row r="18119">
          <cell r="A18119" t="str">
            <v>心法④部位5紫色2星</v>
          </cell>
          <cell r="B18119">
            <v>345202</v>
          </cell>
        </row>
        <row r="18120">
          <cell r="A18120" t="str">
            <v>心法④部位5紫色3星</v>
          </cell>
          <cell r="B18120">
            <v>345203</v>
          </cell>
        </row>
        <row r="18121">
          <cell r="A18121" t="str">
            <v>心法④部位5紫色4星</v>
          </cell>
          <cell r="B18121">
            <v>345204</v>
          </cell>
        </row>
        <row r="18122">
          <cell r="A18122" t="str">
            <v>心法④部位5紫色5星</v>
          </cell>
          <cell r="B18122">
            <v>345205</v>
          </cell>
        </row>
        <row r="18123">
          <cell r="A18123" t="str">
            <v>心法④部位5橙色0星</v>
          </cell>
          <cell r="B18123">
            <v>345300</v>
          </cell>
        </row>
        <row r="18124">
          <cell r="A18124" t="str">
            <v>心法④部位5橙色1星</v>
          </cell>
          <cell r="B18124">
            <v>345301</v>
          </cell>
        </row>
        <row r="18125">
          <cell r="A18125" t="str">
            <v>心法④部位5橙色2星</v>
          </cell>
          <cell r="B18125">
            <v>345302</v>
          </cell>
        </row>
        <row r="18126">
          <cell r="A18126" t="str">
            <v>心法④部位5橙色3星</v>
          </cell>
          <cell r="B18126">
            <v>345303</v>
          </cell>
        </row>
        <row r="18127">
          <cell r="A18127" t="str">
            <v>心法④部位5橙色4星</v>
          </cell>
          <cell r="B18127">
            <v>345304</v>
          </cell>
        </row>
        <row r="18128">
          <cell r="A18128" t="str">
            <v>心法④部位5橙色5星</v>
          </cell>
          <cell r="B18128">
            <v>345305</v>
          </cell>
        </row>
        <row r="18129">
          <cell r="A18129" t="str">
            <v>心法④部位5红色0星</v>
          </cell>
          <cell r="B18129">
            <v>345400</v>
          </cell>
        </row>
        <row r="18130">
          <cell r="A18130" t="str">
            <v>心法④部位5红色1星</v>
          </cell>
          <cell r="B18130">
            <v>345401</v>
          </cell>
        </row>
        <row r="18131">
          <cell r="A18131" t="str">
            <v>心法④部位5红色2星</v>
          </cell>
          <cell r="B18131">
            <v>345402</v>
          </cell>
        </row>
        <row r="18132">
          <cell r="A18132" t="str">
            <v>心法④部位5红色3星</v>
          </cell>
          <cell r="B18132">
            <v>345403</v>
          </cell>
        </row>
        <row r="18133">
          <cell r="A18133" t="str">
            <v>心法④部位5红色4星</v>
          </cell>
          <cell r="B18133">
            <v>345404</v>
          </cell>
        </row>
        <row r="18134">
          <cell r="A18134" t="str">
            <v>心法④部位5红色5星</v>
          </cell>
          <cell r="B18134">
            <v>345405</v>
          </cell>
        </row>
        <row r="18135">
          <cell r="A18135" t="str">
            <v>白色战士210级武器</v>
          </cell>
          <cell r="B18135">
            <v>101022</v>
          </cell>
        </row>
        <row r="18136">
          <cell r="A18136" t="str">
            <v>白色法师210级武器</v>
          </cell>
          <cell r="B18136">
            <v>102022</v>
          </cell>
        </row>
        <row r="18137">
          <cell r="A18137" t="str">
            <v>白色道士210级武器</v>
          </cell>
          <cell r="B18137">
            <v>103022</v>
          </cell>
        </row>
        <row r="18138">
          <cell r="A18138" t="str">
            <v>白色战士210级头盔</v>
          </cell>
          <cell r="B18138">
            <v>111022</v>
          </cell>
        </row>
        <row r="18139">
          <cell r="A18139" t="str">
            <v>白色法师210级头盔</v>
          </cell>
          <cell r="B18139">
            <v>112022</v>
          </cell>
        </row>
        <row r="18140">
          <cell r="A18140" t="str">
            <v>白色道士210级头盔</v>
          </cell>
          <cell r="B18140">
            <v>113022</v>
          </cell>
        </row>
        <row r="18141">
          <cell r="A18141" t="str">
            <v>白色战士210级衣服</v>
          </cell>
          <cell r="B18141">
            <v>121022</v>
          </cell>
        </row>
        <row r="18142">
          <cell r="A18142" t="str">
            <v>白色法师210级衣服</v>
          </cell>
          <cell r="B18142">
            <v>122022</v>
          </cell>
        </row>
        <row r="18143">
          <cell r="A18143" t="str">
            <v>白色道士210级衣服</v>
          </cell>
          <cell r="B18143">
            <v>123022</v>
          </cell>
        </row>
        <row r="18144">
          <cell r="A18144" t="str">
            <v>白色战士210级项链</v>
          </cell>
          <cell r="B18144">
            <v>131022</v>
          </cell>
        </row>
        <row r="18145">
          <cell r="A18145" t="str">
            <v>白色法师210级项链</v>
          </cell>
          <cell r="B18145">
            <v>132022</v>
          </cell>
        </row>
        <row r="18146">
          <cell r="A18146" t="str">
            <v>白色道士210级项链</v>
          </cell>
          <cell r="B18146">
            <v>133022</v>
          </cell>
        </row>
        <row r="18147">
          <cell r="A18147" t="str">
            <v>白色战士210级手镯</v>
          </cell>
          <cell r="B18147">
            <v>141022</v>
          </cell>
        </row>
        <row r="18148">
          <cell r="A18148" t="str">
            <v>白色法师210级手镯</v>
          </cell>
          <cell r="B18148">
            <v>142022</v>
          </cell>
        </row>
        <row r="18149">
          <cell r="A18149" t="str">
            <v>白色道士210级手镯</v>
          </cell>
          <cell r="B18149">
            <v>143022</v>
          </cell>
        </row>
        <row r="18150">
          <cell r="A18150" t="str">
            <v>白色战士210级腰带</v>
          </cell>
          <cell r="B18150">
            <v>151022</v>
          </cell>
        </row>
        <row r="18151">
          <cell r="A18151" t="str">
            <v>白色法师210级腰带</v>
          </cell>
          <cell r="B18151">
            <v>152022</v>
          </cell>
        </row>
        <row r="18152">
          <cell r="A18152" t="str">
            <v>白色道士210级腰带</v>
          </cell>
          <cell r="B18152">
            <v>153022</v>
          </cell>
        </row>
        <row r="18153">
          <cell r="A18153" t="str">
            <v>白色战士210级戒指</v>
          </cell>
          <cell r="B18153">
            <v>161022</v>
          </cell>
        </row>
        <row r="18154">
          <cell r="A18154" t="str">
            <v>白色法师210级戒指</v>
          </cell>
          <cell r="B18154">
            <v>162022</v>
          </cell>
        </row>
        <row r="18155">
          <cell r="A18155" t="str">
            <v>白色道士210级戒指</v>
          </cell>
          <cell r="B18155">
            <v>163022</v>
          </cell>
        </row>
        <row r="18156">
          <cell r="A18156" t="str">
            <v>白色战士210级鞋子</v>
          </cell>
          <cell r="B18156">
            <v>171022</v>
          </cell>
        </row>
        <row r="18157">
          <cell r="A18157" t="str">
            <v>白色法师210级鞋子</v>
          </cell>
          <cell r="B18157">
            <v>172022</v>
          </cell>
        </row>
        <row r="18158">
          <cell r="A18158" t="str">
            <v>白色道士210级鞋子</v>
          </cell>
          <cell r="B18158">
            <v>173022</v>
          </cell>
        </row>
        <row r="18159">
          <cell r="A18159" t="str">
            <v>绿色战士210级武器</v>
          </cell>
          <cell r="B18159">
            <v>101122</v>
          </cell>
        </row>
        <row r="18160">
          <cell r="A18160" t="str">
            <v>绿色法师210级武器</v>
          </cell>
          <cell r="B18160">
            <v>102122</v>
          </cell>
        </row>
        <row r="18161">
          <cell r="A18161" t="str">
            <v>绿色道士210级武器</v>
          </cell>
          <cell r="B18161">
            <v>103122</v>
          </cell>
        </row>
        <row r="18162">
          <cell r="A18162" t="str">
            <v>绿色战士210级头盔</v>
          </cell>
          <cell r="B18162">
            <v>111122</v>
          </cell>
        </row>
        <row r="18163">
          <cell r="A18163" t="str">
            <v>绿色法师210级头盔</v>
          </cell>
          <cell r="B18163">
            <v>112122</v>
          </cell>
        </row>
        <row r="18164">
          <cell r="A18164" t="str">
            <v>绿色道士210级头盔</v>
          </cell>
          <cell r="B18164">
            <v>113122</v>
          </cell>
        </row>
        <row r="18165">
          <cell r="A18165" t="str">
            <v>绿色战士210级衣服</v>
          </cell>
          <cell r="B18165">
            <v>121122</v>
          </cell>
        </row>
        <row r="18166">
          <cell r="A18166" t="str">
            <v>绿色法师210级衣服</v>
          </cell>
          <cell r="B18166">
            <v>122122</v>
          </cell>
        </row>
        <row r="18167">
          <cell r="A18167" t="str">
            <v>绿色道士210级衣服</v>
          </cell>
          <cell r="B18167">
            <v>123122</v>
          </cell>
        </row>
        <row r="18168">
          <cell r="A18168" t="str">
            <v>绿色战士210级项链</v>
          </cell>
          <cell r="B18168">
            <v>131122</v>
          </cell>
        </row>
        <row r="18169">
          <cell r="A18169" t="str">
            <v>绿色法师210级项链</v>
          </cell>
          <cell r="B18169">
            <v>132122</v>
          </cell>
        </row>
        <row r="18170">
          <cell r="A18170" t="str">
            <v>绿色道士210级项链</v>
          </cell>
          <cell r="B18170">
            <v>133122</v>
          </cell>
        </row>
        <row r="18171">
          <cell r="A18171" t="str">
            <v>绿色战士210级手镯</v>
          </cell>
          <cell r="B18171">
            <v>141122</v>
          </cell>
        </row>
        <row r="18172">
          <cell r="A18172" t="str">
            <v>绿色法师210级手镯</v>
          </cell>
          <cell r="B18172">
            <v>142122</v>
          </cell>
        </row>
        <row r="18173">
          <cell r="A18173" t="str">
            <v>绿色道士210级手镯</v>
          </cell>
          <cell r="B18173">
            <v>143122</v>
          </cell>
        </row>
        <row r="18174">
          <cell r="A18174" t="str">
            <v>绿色战士210级腰带</v>
          </cell>
          <cell r="B18174">
            <v>151122</v>
          </cell>
        </row>
        <row r="18175">
          <cell r="A18175" t="str">
            <v>绿色法师210级腰带</v>
          </cell>
          <cell r="B18175">
            <v>152122</v>
          </cell>
        </row>
        <row r="18176">
          <cell r="A18176" t="str">
            <v>绿色道士210级腰带</v>
          </cell>
          <cell r="B18176">
            <v>153122</v>
          </cell>
        </row>
        <row r="18177">
          <cell r="A18177" t="str">
            <v>绿色战士210级戒指</v>
          </cell>
          <cell r="B18177">
            <v>161122</v>
          </cell>
        </row>
        <row r="18178">
          <cell r="A18178" t="str">
            <v>绿色法师210级戒指</v>
          </cell>
          <cell r="B18178">
            <v>162122</v>
          </cell>
        </row>
        <row r="18179">
          <cell r="A18179" t="str">
            <v>绿色道士210级戒指</v>
          </cell>
          <cell r="B18179">
            <v>163122</v>
          </cell>
        </row>
        <row r="18180">
          <cell r="A18180" t="str">
            <v>绿色战士210级鞋子</v>
          </cell>
          <cell r="B18180">
            <v>171122</v>
          </cell>
        </row>
        <row r="18181">
          <cell r="A18181" t="str">
            <v>绿色法师210级鞋子</v>
          </cell>
          <cell r="B18181">
            <v>172122</v>
          </cell>
        </row>
        <row r="18182">
          <cell r="A18182" t="str">
            <v>绿色道士210级鞋子</v>
          </cell>
          <cell r="B18182">
            <v>173122</v>
          </cell>
        </row>
        <row r="18183">
          <cell r="A18183" t="str">
            <v>紫色战士210级武器</v>
          </cell>
          <cell r="B18183">
            <v>101222</v>
          </cell>
        </row>
        <row r="18184">
          <cell r="A18184" t="str">
            <v>紫色法师210级武器</v>
          </cell>
          <cell r="B18184">
            <v>102222</v>
          </cell>
        </row>
        <row r="18185">
          <cell r="A18185" t="str">
            <v>紫色道士210级武器</v>
          </cell>
          <cell r="B18185">
            <v>103222</v>
          </cell>
        </row>
        <row r="18186">
          <cell r="A18186" t="str">
            <v>紫色战士210级头盔</v>
          </cell>
          <cell r="B18186">
            <v>111222</v>
          </cell>
        </row>
        <row r="18187">
          <cell r="A18187" t="str">
            <v>紫色法师210级头盔</v>
          </cell>
          <cell r="B18187">
            <v>112222</v>
          </cell>
        </row>
        <row r="18188">
          <cell r="A18188" t="str">
            <v>紫色道士210级头盔</v>
          </cell>
          <cell r="B18188">
            <v>113222</v>
          </cell>
        </row>
        <row r="18189">
          <cell r="A18189" t="str">
            <v>紫色战士210级衣服</v>
          </cell>
          <cell r="B18189">
            <v>121222</v>
          </cell>
        </row>
        <row r="18190">
          <cell r="A18190" t="str">
            <v>紫色法师210级衣服</v>
          </cell>
          <cell r="B18190">
            <v>122222</v>
          </cell>
        </row>
        <row r="18191">
          <cell r="A18191" t="str">
            <v>紫色道士210级衣服</v>
          </cell>
          <cell r="B18191">
            <v>123222</v>
          </cell>
        </row>
        <row r="18192">
          <cell r="A18192" t="str">
            <v>紫色战士210级项链</v>
          </cell>
          <cell r="B18192">
            <v>131222</v>
          </cell>
        </row>
        <row r="18193">
          <cell r="A18193" t="str">
            <v>紫色法师210级项链</v>
          </cell>
          <cell r="B18193">
            <v>132222</v>
          </cell>
        </row>
        <row r="18194">
          <cell r="A18194" t="str">
            <v>紫色道士210级项链</v>
          </cell>
          <cell r="B18194">
            <v>133222</v>
          </cell>
        </row>
        <row r="18195">
          <cell r="A18195" t="str">
            <v>紫色战士210级手镯</v>
          </cell>
          <cell r="B18195">
            <v>141222</v>
          </cell>
        </row>
        <row r="18196">
          <cell r="A18196" t="str">
            <v>紫色法师210级手镯</v>
          </cell>
          <cell r="B18196">
            <v>142222</v>
          </cell>
        </row>
        <row r="18197">
          <cell r="A18197" t="str">
            <v>紫色道士210级手镯</v>
          </cell>
          <cell r="B18197">
            <v>143222</v>
          </cell>
        </row>
        <row r="18198">
          <cell r="A18198" t="str">
            <v>紫色战士210级腰带</v>
          </cell>
          <cell r="B18198">
            <v>151222</v>
          </cell>
        </row>
        <row r="18199">
          <cell r="A18199" t="str">
            <v>紫色法师210级腰带</v>
          </cell>
          <cell r="B18199">
            <v>152222</v>
          </cell>
        </row>
        <row r="18200">
          <cell r="A18200" t="str">
            <v>紫色道士210级腰带</v>
          </cell>
          <cell r="B18200">
            <v>153222</v>
          </cell>
        </row>
        <row r="18201">
          <cell r="A18201" t="str">
            <v>紫色战士210级戒指</v>
          </cell>
          <cell r="B18201">
            <v>161222</v>
          </cell>
        </row>
        <row r="18202">
          <cell r="A18202" t="str">
            <v>紫色法师210级戒指</v>
          </cell>
          <cell r="B18202">
            <v>162222</v>
          </cell>
        </row>
        <row r="18203">
          <cell r="A18203" t="str">
            <v>紫色道士210级戒指</v>
          </cell>
          <cell r="B18203">
            <v>163222</v>
          </cell>
        </row>
        <row r="18204">
          <cell r="A18204" t="str">
            <v>紫色战士210级鞋子</v>
          </cell>
          <cell r="B18204">
            <v>171222</v>
          </cell>
        </row>
        <row r="18205">
          <cell r="A18205" t="str">
            <v>紫色法师210级鞋子</v>
          </cell>
          <cell r="B18205">
            <v>172222</v>
          </cell>
        </row>
        <row r="18206">
          <cell r="A18206" t="str">
            <v>紫色道士210级鞋子</v>
          </cell>
          <cell r="B18206">
            <v>173222</v>
          </cell>
        </row>
        <row r="18207">
          <cell r="A18207" t="str">
            <v>橙色战士210级武器</v>
          </cell>
          <cell r="B18207">
            <v>101322</v>
          </cell>
        </row>
        <row r="18208">
          <cell r="A18208" t="str">
            <v>橙色法师210级武器</v>
          </cell>
          <cell r="B18208">
            <v>102322</v>
          </cell>
        </row>
        <row r="18209">
          <cell r="A18209" t="str">
            <v>橙色道士210级武器</v>
          </cell>
          <cell r="B18209">
            <v>103322</v>
          </cell>
        </row>
        <row r="18210">
          <cell r="A18210" t="str">
            <v>橙色战士210级头盔</v>
          </cell>
          <cell r="B18210">
            <v>111322</v>
          </cell>
        </row>
        <row r="18211">
          <cell r="A18211" t="str">
            <v>橙色法师210级头盔</v>
          </cell>
          <cell r="B18211">
            <v>112322</v>
          </cell>
        </row>
        <row r="18212">
          <cell r="A18212" t="str">
            <v>橙色道士210级头盔</v>
          </cell>
          <cell r="B18212">
            <v>113322</v>
          </cell>
        </row>
        <row r="18213">
          <cell r="A18213" t="str">
            <v>橙色战士210级衣服</v>
          </cell>
          <cell r="B18213">
            <v>121322</v>
          </cell>
        </row>
        <row r="18214">
          <cell r="A18214" t="str">
            <v>橙色法师210级衣服</v>
          </cell>
          <cell r="B18214">
            <v>122322</v>
          </cell>
        </row>
        <row r="18215">
          <cell r="A18215" t="str">
            <v>橙色道士210级衣服</v>
          </cell>
          <cell r="B18215">
            <v>123322</v>
          </cell>
        </row>
        <row r="18216">
          <cell r="A18216" t="str">
            <v>橙色战士210级项链</v>
          </cell>
          <cell r="B18216">
            <v>131322</v>
          </cell>
        </row>
        <row r="18217">
          <cell r="A18217" t="str">
            <v>橙色法师210级项链</v>
          </cell>
          <cell r="B18217">
            <v>132322</v>
          </cell>
        </row>
        <row r="18218">
          <cell r="A18218" t="str">
            <v>橙色道士210级项链</v>
          </cell>
          <cell r="B18218">
            <v>133322</v>
          </cell>
        </row>
        <row r="18219">
          <cell r="A18219" t="str">
            <v>橙色战士210级手镯</v>
          </cell>
          <cell r="B18219">
            <v>141322</v>
          </cell>
        </row>
        <row r="18220">
          <cell r="A18220" t="str">
            <v>橙色法师210级手镯</v>
          </cell>
          <cell r="B18220">
            <v>142322</v>
          </cell>
        </row>
        <row r="18221">
          <cell r="A18221" t="str">
            <v>橙色道士210级手镯</v>
          </cell>
          <cell r="B18221">
            <v>143322</v>
          </cell>
        </row>
        <row r="18222">
          <cell r="A18222" t="str">
            <v>橙色战士210级腰带</v>
          </cell>
          <cell r="B18222">
            <v>151322</v>
          </cell>
        </row>
        <row r="18223">
          <cell r="A18223" t="str">
            <v>橙色法师210级腰带</v>
          </cell>
          <cell r="B18223">
            <v>152322</v>
          </cell>
        </row>
        <row r="18224">
          <cell r="A18224" t="str">
            <v>橙色道士210级腰带</v>
          </cell>
          <cell r="B18224">
            <v>153322</v>
          </cell>
        </row>
        <row r="18225">
          <cell r="A18225" t="str">
            <v>橙色战士210级戒指</v>
          </cell>
          <cell r="B18225">
            <v>161322</v>
          </cell>
        </row>
        <row r="18226">
          <cell r="A18226" t="str">
            <v>橙色法师210级戒指</v>
          </cell>
          <cell r="B18226">
            <v>162322</v>
          </cell>
        </row>
        <row r="18227">
          <cell r="A18227" t="str">
            <v>橙色道士210级戒指</v>
          </cell>
          <cell r="B18227">
            <v>163322</v>
          </cell>
        </row>
        <row r="18228">
          <cell r="A18228" t="str">
            <v>橙色战士210级鞋子</v>
          </cell>
          <cell r="B18228">
            <v>171322</v>
          </cell>
        </row>
        <row r="18229">
          <cell r="A18229" t="str">
            <v>橙色法师210级鞋子</v>
          </cell>
          <cell r="B18229">
            <v>172322</v>
          </cell>
        </row>
        <row r="18230">
          <cell r="A18230" t="str">
            <v>橙色道士210级鞋子</v>
          </cell>
          <cell r="B18230">
            <v>173322</v>
          </cell>
        </row>
        <row r="18231">
          <cell r="A18231" t="str">
            <v>红色战士210级武器</v>
          </cell>
          <cell r="B18231">
            <v>101422</v>
          </cell>
        </row>
        <row r="18232">
          <cell r="A18232" t="str">
            <v>红色法师210级武器</v>
          </cell>
          <cell r="B18232">
            <v>102422</v>
          </cell>
        </row>
        <row r="18233">
          <cell r="A18233" t="str">
            <v>红色道士210级武器</v>
          </cell>
          <cell r="B18233">
            <v>103422</v>
          </cell>
        </row>
        <row r="18234">
          <cell r="A18234" t="str">
            <v>红色战士210级头盔</v>
          </cell>
          <cell r="B18234">
            <v>111422</v>
          </cell>
        </row>
        <row r="18235">
          <cell r="A18235" t="str">
            <v>红色法师210级头盔</v>
          </cell>
          <cell r="B18235">
            <v>112422</v>
          </cell>
        </row>
        <row r="18236">
          <cell r="A18236" t="str">
            <v>红色道士210级头盔</v>
          </cell>
          <cell r="B18236">
            <v>113422</v>
          </cell>
        </row>
        <row r="18237">
          <cell r="A18237" t="str">
            <v>红色战士210级衣服</v>
          </cell>
          <cell r="B18237">
            <v>121422</v>
          </cell>
        </row>
        <row r="18238">
          <cell r="A18238" t="str">
            <v>红色法师210级衣服</v>
          </cell>
          <cell r="B18238">
            <v>122422</v>
          </cell>
        </row>
        <row r="18239">
          <cell r="A18239" t="str">
            <v>红色道士210级衣服</v>
          </cell>
          <cell r="B18239">
            <v>123422</v>
          </cell>
        </row>
        <row r="18240">
          <cell r="A18240" t="str">
            <v>红色战士210级项链</v>
          </cell>
          <cell r="B18240">
            <v>131422</v>
          </cell>
        </row>
        <row r="18241">
          <cell r="A18241" t="str">
            <v>红色法师210级项链</v>
          </cell>
          <cell r="B18241">
            <v>132422</v>
          </cell>
        </row>
        <row r="18242">
          <cell r="A18242" t="str">
            <v>红色道士210级项链</v>
          </cell>
          <cell r="B18242">
            <v>133422</v>
          </cell>
        </row>
        <row r="18243">
          <cell r="A18243" t="str">
            <v>红色战士210级手镯</v>
          </cell>
          <cell r="B18243">
            <v>141422</v>
          </cell>
        </row>
        <row r="18244">
          <cell r="A18244" t="str">
            <v>红色法师210级手镯</v>
          </cell>
          <cell r="B18244">
            <v>142422</v>
          </cell>
        </row>
        <row r="18245">
          <cell r="A18245" t="str">
            <v>红色道士210级手镯</v>
          </cell>
          <cell r="B18245">
            <v>143422</v>
          </cell>
        </row>
        <row r="18246">
          <cell r="A18246" t="str">
            <v>红色战士210级腰带</v>
          </cell>
          <cell r="B18246">
            <v>151422</v>
          </cell>
        </row>
        <row r="18247">
          <cell r="A18247" t="str">
            <v>红色法师210级腰带</v>
          </cell>
          <cell r="B18247">
            <v>152422</v>
          </cell>
        </row>
        <row r="18248">
          <cell r="A18248" t="str">
            <v>红色道士210级腰带</v>
          </cell>
          <cell r="B18248">
            <v>153422</v>
          </cell>
        </row>
        <row r="18249">
          <cell r="A18249" t="str">
            <v>红色战士210级戒指</v>
          </cell>
          <cell r="B18249">
            <v>161422</v>
          </cell>
        </row>
        <row r="18250">
          <cell r="A18250" t="str">
            <v>红色法师210级戒指</v>
          </cell>
          <cell r="B18250">
            <v>162422</v>
          </cell>
        </row>
        <row r="18251">
          <cell r="A18251" t="str">
            <v>红色道士210级戒指</v>
          </cell>
          <cell r="B18251">
            <v>163422</v>
          </cell>
        </row>
        <row r="18252">
          <cell r="A18252" t="str">
            <v>红色战士210级鞋子</v>
          </cell>
          <cell r="B18252">
            <v>171422</v>
          </cell>
        </row>
        <row r="18253">
          <cell r="A18253" t="str">
            <v>红色法师210级鞋子</v>
          </cell>
          <cell r="B18253">
            <v>172422</v>
          </cell>
        </row>
        <row r="18254">
          <cell r="A18254" t="str">
            <v>红色道士210级鞋子</v>
          </cell>
          <cell r="B18254">
            <v>173422</v>
          </cell>
        </row>
        <row r="18255">
          <cell r="A18255" t="str">
            <v>龙抬头抽奖道具</v>
          </cell>
          <cell r="B18255">
            <v>200342</v>
          </cell>
        </row>
      </sheetData>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活动总表"/>
      <sheetName val="按钮配置"/>
      <sheetName val="类型1"/>
      <sheetName val="类型2"/>
      <sheetName val="类型3"/>
      <sheetName val="类型4"/>
      <sheetName val="类型5"/>
      <sheetName val="类型6"/>
      <sheetName val="类型7"/>
      <sheetName val="类型8"/>
      <sheetName val="类型9"/>
      <sheetName val="类型10"/>
      <sheetName val="类型11-1"/>
      <sheetName val="类型11-2"/>
      <sheetName val="类型12"/>
      <sheetName val="类型17-1(废弃）"/>
      <sheetName val="类型17-2(废弃）"/>
      <sheetName val="类型17-3(废弃）"/>
      <sheetName val="类型18"/>
      <sheetName val="类型19"/>
      <sheetName val="20"/>
      <sheetName val="21"/>
      <sheetName val="22-1"/>
      <sheetName val="22-2"/>
      <sheetName val="22-3"/>
    </sheetNames>
    <sheetDataSet>
      <sheetData sheetId="0" refreshError="1"/>
      <sheetData sheetId="1">
        <row r="8">
          <cell r="A8" t="str">
            <v>开服活动-等级达标</v>
          </cell>
          <cell r="B8">
            <v>0</v>
          </cell>
        </row>
        <row r="9">
          <cell r="A9" t="str">
            <v>开服活动-翅膀达标</v>
          </cell>
          <cell r="B9">
            <v>1</v>
          </cell>
        </row>
        <row r="10">
          <cell r="A10" t="str">
            <v>开服活动-铸造达标</v>
          </cell>
          <cell r="B10">
            <v>2</v>
          </cell>
        </row>
        <row r="11">
          <cell r="A11" t="str">
            <v>开服活动-龙魂达标</v>
          </cell>
          <cell r="B11">
            <v>3</v>
          </cell>
        </row>
        <row r="12">
          <cell r="A12" t="str">
            <v>开服活动-图鉴达标</v>
          </cell>
          <cell r="B12">
            <v>4</v>
          </cell>
        </row>
        <row r="13">
          <cell r="A13" t="str">
            <v>开服活动-全民BOSS</v>
          </cell>
          <cell r="B13">
            <v>5</v>
          </cell>
        </row>
        <row r="14">
          <cell r="A14" t="str">
            <v>开服活动-开服礼包</v>
          </cell>
          <cell r="B14">
            <v>6</v>
          </cell>
        </row>
        <row r="15">
          <cell r="A15" t="str">
            <v>开服活动-铸造榜</v>
          </cell>
          <cell r="B15">
            <v>7</v>
          </cell>
        </row>
        <row r="16">
          <cell r="A16" t="str">
            <v>开服活动-龙魂榜</v>
          </cell>
          <cell r="B16">
            <v>8</v>
          </cell>
        </row>
        <row r="17">
          <cell r="A17" t="str">
            <v>开服活动-翅膀榜</v>
          </cell>
          <cell r="B17">
            <v>9</v>
          </cell>
        </row>
        <row r="18">
          <cell r="A18" t="str">
            <v>开服活动-图鉴榜</v>
          </cell>
          <cell r="B18">
            <v>10</v>
          </cell>
        </row>
        <row r="19">
          <cell r="A19" t="str">
            <v>开服活动-转生榜</v>
          </cell>
          <cell r="B19">
            <v>11</v>
          </cell>
        </row>
        <row r="20">
          <cell r="A20" t="str">
            <v>开服活动-装备总评分榜</v>
          </cell>
          <cell r="B20">
            <v>12</v>
          </cell>
        </row>
        <row r="21">
          <cell r="A21" t="str">
            <v>开服活动-七日连充</v>
          </cell>
          <cell r="B21">
            <v>13</v>
          </cell>
        </row>
        <row r="22">
          <cell r="A22" t="str">
            <v>开服活动-七日累充</v>
          </cell>
          <cell r="B22">
            <v>14</v>
          </cell>
        </row>
        <row r="23">
          <cell r="A23" t="str">
            <v>开服活动-转生达标</v>
          </cell>
          <cell r="B23">
            <v>15</v>
          </cell>
        </row>
        <row r="24">
          <cell r="A24" t="str">
            <v>开服活动-装备达标</v>
          </cell>
          <cell r="B24">
            <v>16</v>
          </cell>
        </row>
        <row r="25">
          <cell r="A25" t="str">
            <v>开服活动-限购礼包1</v>
          </cell>
          <cell r="B25">
            <v>17</v>
          </cell>
        </row>
        <row r="26">
          <cell r="A26" t="str">
            <v>开服活动-限购礼包2</v>
          </cell>
          <cell r="B26">
            <v>18</v>
          </cell>
        </row>
        <row r="27">
          <cell r="A27" t="str">
            <v>开服活动-限购礼包3</v>
          </cell>
          <cell r="B27">
            <v>19</v>
          </cell>
        </row>
        <row r="28">
          <cell r="A28" t="str">
            <v>开服活动-限购礼包4</v>
          </cell>
          <cell r="B28">
            <v>20</v>
          </cell>
        </row>
        <row r="29">
          <cell r="A29" t="str">
            <v>开服活动-限购礼包5</v>
          </cell>
          <cell r="B29">
            <v>21</v>
          </cell>
        </row>
        <row r="30">
          <cell r="A30" t="str">
            <v>开服活动-限购礼包6</v>
          </cell>
          <cell r="B30">
            <v>22</v>
          </cell>
        </row>
        <row r="31">
          <cell r="A31" t="str">
            <v>开服活动-限购礼包7</v>
          </cell>
          <cell r="B31">
            <v>23</v>
          </cell>
        </row>
        <row r="32">
          <cell r="A32" t="str">
            <v>开服活动-次周累充返利</v>
          </cell>
          <cell r="B32">
            <v>101</v>
          </cell>
        </row>
        <row r="33">
          <cell r="A33" t="str">
            <v>次周活动-限购礼包1</v>
          </cell>
          <cell r="B33">
            <v>102</v>
          </cell>
        </row>
        <row r="34">
          <cell r="A34" t="str">
            <v>次周活动-限购礼包2</v>
          </cell>
          <cell r="B34">
            <v>103</v>
          </cell>
        </row>
        <row r="35">
          <cell r="A35" t="str">
            <v>次周活动-限购礼包3</v>
          </cell>
          <cell r="B35">
            <v>104</v>
          </cell>
        </row>
        <row r="36">
          <cell r="A36" t="str">
            <v>次周活动-限购礼包4</v>
          </cell>
          <cell r="B36">
            <v>105</v>
          </cell>
        </row>
        <row r="37">
          <cell r="A37" t="str">
            <v>次周活动-烈焰达标</v>
          </cell>
          <cell r="B37">
            <v>200</v>
          </cell>
        </row>
        <row r="38">
          <cell r="A38" t="str">
            <v>次周活动-烈焰副本</v>
          </cell>
          <cell r="B38">
            <v>201</v>
          </cell>
        </row>
        <row r="39">
          <cell r="A39" t="str">
            <v>次周活动-烈焰积分</v>
          </cell>
          <cell r="B39">
            <v>202</v>
          </cell>
        </row>
        <row r="40">
          <cell r="A40" t="str">
            <v>累计充值</v>
          </cell>
          <cell r="B40">
            <v>117</v>
          </cell>
        </row>
        <row r="41">
          <cell r="A41" t="str">
            <v>双11活动-限购礼包</v>
          </cell>
          <cell r="B41">
            <v>130</v>
          </cell>
        </row>
        <row r="42">
          <cell r="A42" t="str">
            <v>双11活动-准点抢购1</v>
          </cell>
          <cell r="B42">
            <v>150</v>
          </cell>
        </row>
        <row r="43">
          <cell r="A43" t="str">
            <v>双11活动-准点抢购2</v>
          </cell>
          <cell r="B43">
            <v>151</v>
          </cell>
        </row>
        <row r="44">
          <cell r="A44" t="str">
            <v>双11活动-准点抢购3</v>
          </cell>
          <cell r="B44">
            <v>152</v>
          </cell>
        </row>
        <row r="45">
          <cell r="A45" t="str">
            <v>双11活动-准点抢购4</v>
          </cell>
          <cell r="B45">
            <v>153</v>
          </cell>
        </row>
        <row r="46">
          <cell r="A46" t="str">
            <v>双11活动-充值返利</v>
          </cell>
          <cell r="B46">
            <v>156</v>
          </cell>
        </row>
        <row r="47">
          <cell r="A47" t="str">
            <v>合服登录活动</v>
          </cell>
          <cell r="B47">
            <v>157</v>
          </cell>
        </row>
        <row r="48">
          <cell r="A48" t="str">
            <v>合服累消排行</v>
          </cell>
          <cell r="B48">
            <v>159</v>
          </cell>
        </row>
        <row r="49">
          <cell r="A49" t="str">
            <v>合服累消达标</v>
          </cell>
          <cell r="B49">
            <v>160</v>
          </cell>
        </row>
        <row r="50">
          <cell r="A50" t="str">
            <v>合服BOSS积分</v>
          </cell>
          <cell r="B50">
            <v>161</v>
          </cell>
        </row>
        <row r="51">
          <cell r="A51" t="str">
            <v>合服特惠礼包</v>
          </cell>
          <cell r="B51">
            <v>162</v>
          </cell>
        </row>
        <row r="52">
          <cell r="A52" t="str">
            <v>合服限购礼包1</v>
          </cell>
          <cell r="B52">
            <v>163</v>
          </cell>
        </row>
        <row r="53">
          <cell r="A53" t="str">
            <v>合服限购礼包2</v>
          </cell>
          <cell r="B53">
            <v>164</v>
          </cell>
        </row>
        <row r="54">
          <cell r="A54" t="str">
            <v>合服限购礼包3</v>
          </cell>
          <cell r="B54">
            <v>165</v>
          </cell>
        </row>
        <row r="55">
          <cell r="A55" t="str">
            <v>合服限购礼包4</v>
          </cell>
          <cell r="B55">
            <v>166</v>
          </cell>
        </row>
        <row r="56">
          <cell r="A56" t="str">
            <v>合服限购礼包5</v>
          </cell>
          <cell r="B56">
            <v>167</v>
          </cell>
        </row>
        <row r="57">
          <cell r="A57" t="str">
            <v>合服限购礼包6</v>
          </cell>
          <cell r="B57">
            <v>168</v>
          </cell>
        </row>
        <row r="58">
          <cell r="A58" t="str">
            <v>合服限购礼包7</v>
          </cell>
          <cell r="B58">
            <v>169</v>
          </cell>
        </row>
        <row r="59">
          <cell r="A59" t="str">
            <v>合服元宝转盘</v>
          </cell>
          <cell r="B59">
            <v>170</v>
          </cell>
        </row>
        <row r="60">
          <cell r="A60" t="str">
            <v>合服限时兑换</v>
          </cell>
          <cell r="B60">
            <v>171</v>
          </cell>
        </row>
        <row r="61">
          <cell r="A61" t="str">
            <v>合服累充162</v>
          </cell>
          <cell r="B61">
            <v>172</v>
          </cell>
        </row>
        <row r="62">
          <cell r="A62" t="str">
            <v>合服连充162-100元</v>
          </cell>
          <cell r="B62">
            <v>173</v>
          </cell>
        </row>
        <row r="63">
          <cell r="A63" t="str">
            <v>合服连充新-10元</v>
          </cell>
          <cell r="B63">
            <v>174</v>
          </cell>
        </row>
        <row r="64">
          <cell r="A64" t="str">
            <v>感恩节-登录奖励</v>
          </cell>
          <cell r="B64">
            <v>210</v>
          </cell>
        </row>
        <row r="65">
          <cell r="A65" t="str">
            <v>感恩节BOSS积分</v>
          </cell>
          <cell r="B65">
            <v>211</v>
          </cell>
        </row>
        <row r="66">
          <cell r="A66" t="str">
            <v>感恩节累充</v>
          </cell>
          <cell r="B66">
            <v>212</v>
          </cell>
        </row>
        <row r="67">
          <cell r="A67" t="str">
            <v>感恩节特惠礼包</v>
          </cell>
          <cell r="B67">
            <v>213</v>
          </cell>
        </row>
        <row r="68">
          <cell r="A68" t="str">
            <v>感恩节幸运转盘</v>
          </cell>
          <cell r="B68">
            <v>214</v>
          </cell>
        </row>
        <row r="69">
          <cell r="A69" t="str">
            <v>双12活动-第一天转盘</v>
          </cell>
          <cell r="B69">
            <v>221</v>
          </cell>
        </row>
        <row r="70">
          <cell r="A70" t="str">
            <v>双12活动-第二天转盘</v>
          </cell>
          <cell r="B70">
            <v>222</v>
          </cell>
        </row>
        <row r="71">
          <cell r="A71" t="str">
            <v>双12活动-第三天转盘</v>
          </cell>
          <cell r="B71">
            <v>223</v>
          </cell>
        </row>
        <row r="72">
          <cell r="A72" t="str">
            <v>双12活动-特惠</v>
          </cell>
          <cell r="B72">
            <v>224</v>
          </cell>
        </row>
        <row r="73">
          <cell r="A73" t="str">
            <v>双12活动-累充第1档</v>
          </cell>
          <cell r="B73">
            <v>225</v>
          </cell>
        </row>
        <row r="74">
          <cell r="A74" t="str">
            <v>双12活动-累充第2档</v>
          </cell>
          <cell r="B74">
            <v>226</v>
          </cell>
        </row>
        <row r="75">
          <cell r="A75" t="str">
            <v>双12活动-累充第3档</v>
          </cell>
          <cell r="B75">
            <v>227</v>
          </cell>
        </row>
        <row r="76">
          <cell r="A76" t="str">
            <v>元旦登录</v>
          </cell>
          <cell r="B76">
            <v>230</v>
          </cell>
        </row>
        <row r="77">
          <cell r="A77" t="str">
            <v>元旦-爆竹1</v>
          </cell>
          <cell r="B77">
            <v>231</v>
          </cell>
        </row>
        <row r="78">
          <cell r="A78" t="str">
            <v>元旦-累消达标</v>
          </cell>
          <cell r="B78">
            <v>236</v>
          </cell>
        </row>
        <row r="79">
          <cell r="A79" t="str">
            <v>元旦-限购礼包1</v>
          </cell>
          <cell r="B79">
            <v>237</v>
          </cell>
        </row>
        <row r="80">
          <cell r="A80" t="str">
            <v>元旦-限购礼包2</v>
          </cell>
          <cell r="B80">
            <v>238</v>
          </cell>
        </row>
        <row r="81">
          <cell r="A81" t="str">
            <v>元旦-限购礼包3</v>
          </cell>
          <cell r="B81">
            <v>239</v>
          </cell>
        </row>
        <row r="82">
          <cell r="A82" t="str">
            <v>元旦-限购礼包4</v>
          </cell>
          <cell r="B82">
            <v>240</v>
          </cell>
        </row>
        <row r="83">
          <cell r="A83" t="str">
            <v>元旦-限购礼包5</v>
          </cell>
          <cell r="B83">
            <v>241</v>
          </cell>
        </row>
        <row r="84">
          <cell r="A84" t="str">
            <v>元旦-限时兑换</v>
          </cell>
          <cell r="B84">
            <v>242</v>
          </cell>
        </row>
        <row r="85">
          <cell r="A85" t="str">
            <v>元旦-嗨翻天</v>
          </cell>
          <cell r="B85">
            <v>243</v>
          </cell>
        </row>
        <row r="86">
          <cell r="A86" t="str">
            <v>元旦-每日累充1天</v>
          </cell>
          <cell r="B86">
            <v>244</v>
          </cell>
        </row>
        <row r="87">
          <cell r="A87" t="str">
            <v>元旦-每日累充2天</v>
          </cell>
          <cell r="B87">
            <v>245</v>
          </cell>
        </row>
        <row r="88">
          <cell r="A88" t="str">
            <v>元旦-每日累充3天</v>
          </cell>
          <cell r="B88">
            <v>246</v>
          </cell>
        </row>
        <row r="89">
          <cell r="A89" t="str">
            <v>元旦-每日累充4天</v>
          </cell>
          <cell r="B89">
            <v>247</v>
          </cell>
        </row>
        <row r="90">
          <cell r="A90" t="str">
            <v>元旦-每日累充5天</v>
          </cell>
          <cell r="B90">
            <v>248</v>
          </cell>
        </row>
        <row r="91">
          <cell r="A91" t="str">
            <v>圣诞登录</v>
          </cell>
          <cell r="B91">
            <v>250</v>
          </cell>
        </row>
        <row r="92">
          <cell r="A92" t="str">
            <v>圣诞-堆雪人</v>
          </cell>
          <cell r="B92">
            <v>251</v>
          </cell>
        </row>
        <row r="93">
          <cell r="A93" t="str">
            <v>圣诞-累冲1档</v>
          </cell>
          <cell r="B93">
            <v>252</v>
          </cell>
        </row>
        <row r="94">
          <cell r="A94" t="str">
            <v>圣诞-雪娃1</v>
          </cell>
          <cell r="B94">
            <v>253</v>
          </cell>
        </row>
        <row r="95">
          <cell r="A95" t="str">
            <v>圣诞-特惠</v>
          </cell>
          <cell r="B95">
            <v>256</v>
          </cell>
        </row>
        <row r="96">
          <cell r="A96" t="str">
            <v>轮回-达标</v>
          </cell>
          <cell r="B96">
            <v>260</v>
          </cell>
        </row>
        <row r="97">
          <cell r="A97" t="str">
            <v>轮回-累充返利</v>
          </cell>
          <cell r="B97">
            <v>262</v>
          </cell>
        </row>
        <row r="98">
          <cell r="A98" t="str">
            <v>轮回-限购礼包1</v>
          </cell>
          <cell r="B98">
            <v>263</v>
          </cell>
        </row>
        <row r="99">
          <cell r="A99" t="str">
            <v>轮回-限购礼包2</v>
          </cell>
          <cell r="B99">
            <v>264</v>
          </cell>
        </row>
        <row r="100">
          <cell r="A100" t="str">
            <v>轮回-限购礼包3</v>
          </cell>
          <cell r="B100">
            <v>265</v>
          </cell>
        </row>
        <row r="101">
          <cell r="A101" t="str">
            <v>暖冬活动-累充1</v>
          </cell>
          <cell r="B101">
            <v>266</v>
          </cell>
        </row>
        <row r="102">
          <cell r="A102" t="str">
            <v>暖冬活动-累充2</v>
          </cell>
          <cell r="B102">
            <v>267</v>
          </cell>
        </row>
        <row r="103">
          <cell r="A103" t="str">
            <v>暖冬活动-累充3</v>
          </cell>
          <cell r="B103">
            <v>268</v>
          </cell>
        </row>
        <row r="104">
          <cell r="A104" t="str">
            <v>暖冬活动-限购礼包1</v>
          </cell>
          <cell r="B104">
            <v>269</v>
          </cell>
        </row>
        <row r="105">
          <cell r="A105" t="str">
            <v>暖冬活动-限购礼包2</v>
          </cell>
          <cell r="B105">
            <v>270</v>
          </cell>
        </row>
        <row r="106">
          <cell r="A106" t="str">
            <v>暖冬活动-限购礼包3</v>
          </cell>
          <cell r="B106">
            <v>271</v>
          </cell>
        </row>
        <row r="107">
          <cell r="A107" t="str">
            <v>暖冬活动-幸运转盘</v>
          </cell>
          <cell r="B107">
            <v>272</v>
          </cell>
        </row>
        <row r="108">
          <cell r="A108" t="str">
            <v>2周七天乐</v>
          </cell>
          <cell r="B108">
            <v>120</v>
          </cell>
        </row>
        <row r="109">
          <cell r="A109" t="str">
            <v>1.11限购</v>
          </cell>
          <cell r="B109">
            <v>273</v>
          </cell>
        </row>
        <row r="110">
          <cell r="A110" t="str">
            <v>1.11限购</v>
          </cell>
          <cell r="B110">
            <v>274</v>
          </cell>
        </row>
        <row r="111">
          <cell r="A111" t="str">
            <v>1.11限购</v>
          </cell>
          <cell r="B111">
            <v>275</v>
          </cell>
        </row>
        <row r="112">
          <cell r="A112" t="str">
            <v>跨服消费榜嵌套的达标</v>
          </cell>
          <cell r="B112">
            <v>300</v>
          </cell>
        </row>
        <row r="113">
          <cell r="A113" t="str">
            <v>跨服消耗排行榜</v>
          </cell>
          <cell r="B113">
            <v>301</v>
          </cell>
        </row>
        <row r="114">
          <cell r="A114" t="str">
            <v>版本庆典-寻宝</v>
          </cell>
          <cell r="B114">
            <v>302</v>
          </cell>
        </row>
        <row r="115">
          <cell r="A115" t="str">
            <v>版本庆典-特惠礼包</v>
          </cell>
          <cell r="B115">
            <v>303</v>
          </cell>
        </row>
        <row r="116">
          <cell r="A116" t="str">
            <v>版本庆典-登录</v>
          </cell>
          <cell r="B116">
            <v>309</v>
          </cell>
        </row>
        <row r="117">
          <cell r="A117" t="str">
            <v>版本庆典-积分兑换</v>
          </cell>
          <cell r="B117">
            <v>310</v>
          </cell>
        </row>
        <row r="118">
          <cell r="A118" t="str">
            <v>版本庆典-累充</v>
          </cell>
          <cell r="B118">
            <v>311</v>
          </cell>
        </row>
        <row r="119">
          <cell r="A119" t="str">
            <v>版本庆典元宝转盘</v>
          </cell>
          <cell r="B119">
            <v>312</v>
          </cell>
        </row>
        <row r="120">
          <cell r="A120" t="str">
            <v>腊八-限时玩法掉落（15-30天）</v>
          </cell>
          <cell r="B120">
            <v>401</v>
          </cell>
        </row>
        <row r="121">
          <cell r="A121" t="str">
            <v>腊八-节日BOSS</v>
          </cell>
          <cell r="B121">
            <v>402</v>
          </cell>
        </row>
        <row r="122">
          <cell r="A122" t="str">
            <v>腊八-节日兑换</v>
          </cell>
          <cell r="B122">
            <v>403</v>
          </cell>
        </row>
        <row r="123">
          <cell r="A123" t="str">
            <v>腊八-福袋（15-30天）</v>
          </cell>
          <cell r="B123">
            <v>404</v>
          </cell>
        </row>
        <row r="124">
          <cell r="A124" t="str">
            <v>腊八-限购礼包（15-30天）1</v>
          </cell>
          <cell r="B124">
            <v>405</v>
          </cell>
        </row>
        <row r="125">
          <cell r="A125" t="str">
            <v>腊八-限购礼包（15-30天）2</v>
          </cell>
          <cell r="B125">
            <v>406</v>
          </cell>
        </row>
        <row r="126">
          <cell r="A126" t="str">
            <v>腊八-限购礼包（15-30天）3</v>
          </cell>
          <cell r="B126">
            <v>407</v>
          </cell>
        </row>
        <row r="127">
          <cell r="A127" t="str">
            <v>腊八-限购礼包（15-30天）4</v>
          </cell>
          <cell r="B127">
            <v>408</v>
          </cell>
        </row>
        <row r="128">
          <cell r="A128" t="str">
            <v>腊八-限购礼包（15-30天）5</v>
          </cell>
          <cell r="B128">
            <v>409</v>
          </cell>
        </row>
        <row r="129">
          <cell r="A129" t="str">
            <v>腊八-限时玩法掉落（31-60天）</v>
          </cell>
          <cell r="B129">
            <v>410</v>
          </cell>
        </row>
        <row r="130">
          <cell r="A130" t="str">
            <v>腊八-福袋（31-60天）</v>
          </cell>
          <cell r="B130">
            <v>411</v>
          </cell>
        </row>
        <row r="131">
          <cell r="A131" t="str">
            <v>腊八-限购礼包（31-60天）1</v>
          </cell>
          <cell r="B131">
            <v>412</v>
          </cell>
        </row>
        <row r="132">
          <cell r="A132" t="str">
            <v>腊八-限购礼包（31-60天）2</v>
          </cell>
          <cell r="B132">
            <v>413</v>
          </cell>
        </row>
        <row r="133">
          <cell r="A133" t="str">
            <v>腊八-限购礼包（31-60天）3</v>
          </cell>
          <cell r="B133">
            <v>414</v>
          </cell>
        </row>
        <row r="134">
          <cell r="A134" t="str">
            <v>腊八-限购礼包（31-60天）4</v>
          </cell>
          <cell r="B134">
            <v>415</v>
          </cell>
        </row>
        <row r="135">
          <cell r="A135" t="str">
            <v>腊八-限购礼包（31-60天）5</v>
          </cell>
          <cell r="B135">
            <v>416</v>
          </cell>
        </row>
        <row r="136">
          <cell r="A136" t="str">
            <v>腊八-限时玩法掉落（61-无限天）</v>
          </cell>
          <cell r="B136">
            <v>417</v>
          </cell>
        </row>
        <row r="137">
          <cell r="A137" t="str">
            <v>腊八-福袋（61-无限天）</v>
          </cell>
          <cell r="B137">
            <v>418</v>
          </cell>
        </row>
        <row r="138">
          <cell r="A138" t="str">
            <v>腊八-限购礼包（61-无限天）1</v>
          </cell>
          <cell r="B138">
            <v>419</v>
          </cell>
        </row>
        <row r="139">
          <cell r="A139" t="str">
            <v>腊八-限购礼包（61-无限天）2</v>
          </cell>
          <cell r="B139">
            <v>420</v>
          </cell>
        </row>
        <row r="140">
          <cell r="A140" t="str">
            <v>腊八-限购礼包（61-无限天）3</v>
          </cell>
          <cell r="B140">
            <v>421</v>
          </cell>
        </row>
        <row r="141">
          <cell r="A141" t="str">
            <v>腊八-限购礼包（61-无限天）4</v>
          </cell>
          <cell r="B141">
            <v>422</v>
          </cell>
        </row>
        <row r="142">
          <cell r="A142" t="str">
            <v>腊八-限购礼包（61-无限天）5</v>
          </cell>
          <cell r="B142">
            <v>423</v>
          </cell>
        </row>
        <row r="143">
          <cell r="A143" t="str">
            <v>腊八活动-累充（15-30天）1</v>
          </cell>
          <cell r="B143">
            <v>424</v>
          </cell>
        </row>
        <row r="144">
          <cell r="A144" t="str">
            <v>腊八活动-累充（15-30天）2</v>
          </cell>
          <cell r="B144">
            <v>425</v>
          </cell>
        </row>
        <row r="145">
          <cell r="A145" t="str">
            <v>腊八活动-累充（15-30天）3</v>
          </cell>
          <cell r="B145">
            <v>426</v>
          </cell>
        </row>
        <row r="146">
          <cell r="A146" t="str">
            <v>腊八活动-累充（15-30天）4</v>
          </cell>
          <cell r="B146">
            <v>427</v>
          </cell>
        </row>
        <row r="147">
          <cell r="A147" t="str">
            <v>腊八活动-累充（15-30天）5</v>
          </cell>
          <cell r="B147">
            <v>428</v>
          </cell>
        </row>
        <row r="148">
          <cell r="A148" t="str">
            <v>腊八活动-累充（31-60天）1</v>
          </cell>
          <cell r="B148">
            <v>429</v>
          </cell>
        </row>
        <row r="149">
          <cell r="A149" t="str">
            <v>腊八活动-累充（31-60天）2</v>
          </cell>
          <cell r="B149">
            <v>430</v>
          </cell>
        </row>
        <row r="150">
          <cell r="A150" t="str">
            <v>腊八活动-累充（31-60天）3</v>
          </cell>
          <cell r="B150">
            <v>431</v>
          </cell>
        </row>
        <row r="151">
          <cell r="A151" t="str">
            <v>腊八活动-累充（31-60天）4</v>
          </cell>
          <cell r="B151">
            <v>432</v>
          </cell>
        </row>
        <row r="152">
          <cell r="A152" t="str">
            <v>腊八活动-累充（31-60天）5</v>
          </cell>
          <cell r="B152">
            <v>433</v>
          </cell>
        </row>
        <row r="153">
          <cell r="A153" t="str">
            <v>腊八活动-累充（61天以上）1</v>
          </cell>
          <cell r="B153">
            <v>434</v>
          </cell>
        </row>
        <row r="154">
          <cell r="A154" t="str">
            <v>腊八活动-累充（61天以上）2</v>
          </cell>
          <cell r="B154">
            <v>435</v>
          </cell>
        </row>
        <row r="155">
          <cell r="A155" t="str">
            <v>腊八活动-累充（61天以上）3</v>
          </cell>
          <cell r="B155">
            <v>436</v>
          </cell>
        </row>
        <row r="156">
          <cell r="A156" t="str">
            <v>腊八活动-累充（61天以上）4</v>
          </cell>
          <cell r="B156">
            <v>437</v>
          </cell>
        </row>
        <row r="157">
          <cell r="A157" t="str">
            <v>腊八活动-累充（61天以上）5</v>
          </cell>
          <cell r="B157">
            <v>438</v>
          </cell>
        </row>
        <row r="158">
          <cell r="A158" t="str">
            <v>战灵活动-达标奖励</v>
          </cell>
          <cell r="B158">
            <v>313</v>
          </cell>
        </row>
        <row r="159">
          <cell r="A159" t="str">
            <v>战灵活动-抽奖</v>
          </cell>
          <cell r="B159">
            <v>314</v>
          </cell>
        </row>
        <row r="160">
          <cell r="A160" t="str">
            <v>战灵活动-限购礼包1</v>
          </cell>
          <cell r="B160">
            <v>315</v>
          </cell>
        </row>
        <row r="161">
          <cell r="A161" t="str">
            <v>战灵活动-限购礼包2</v>
          </cell>
          <cell r="B161">
            <v>316</v>
          </cell>
        </row>
        <row r="162">
          <cell r="A162" t="str">
            <v>战灵活动-限购礼包3</v>
          </cell>
          <cell r="B162">
            <v>317</v>
          </cell>
        </row>
        <row r="163">
          <cell r="A163" t="str">
            <v>战灵累计消费1</v>
          </cell>
          <cell r="B163">
            <v>318</v>
          </cell>
        </row>
        <row r="164">
          <cell r="A164" t="str">
            <v>战灵累计消费2</v>
          </cell>
          <cell r="B164">
            <v>319</v>
          </cell>
        </row>
        <row r="165">
          <cell r="A165" t="str">
            <v>战灵累计消费3</v>
          </cell>
          <cell r="B165">
            <v>320</v>
          </cell>
        </row>
        <row r="166">
          <cell r="A166" t="str">
            <v>战灵活动-达标奖励</v>
          </cell>
          <cell r="B166">
            <v>350</v>
          </cell>
        </row>
        <row r="167">
          <cell r="A167" t="str">
            <v>战灵活动-抽奖A</v>
          </cell>
          <cell r="B167">
            <v>351</v>
          </cell>
        </row>
        <row r="168">
          <cell r="A168" t="str">
            <v>战灵活动-抽奖B</v>
          </cell>
          <cell r="B168">
            <v>352</v>
          </cell>
        </row>
        <row r="169">
          <cell r="A169" t="str">
            <v>战灵活动-抽奖C</v>
          </cell>
          <cell r="B169">
            <v>353</v>
          </cell>
        </row>
        <row r="170">
          <cell r="A170" t="str">
            <v>战灵活动-限购礼包1</v>
          </cell>
          <cell r="B170">
            <v>354</v>
          </cell>
        </row>
        <row r="171">
          <cell r="A171" t="str">
            <v>战灵活动-限购礼包2</v>
          </cell>
          <cell r="B171">
            <v>355</v>
          </cell>
        </row>
        <row r="172">
          <cell r="A172" t="str">
            <v>战灵活动-限购礼包3</v>
          </cell>
          <cell r="B172">
            <v>356</v>
          </cell>
        </row>
        <row r="173">
          <cell r="A173" t="str">
            <v>战灵累计消费1</v>
          </cell>
          <cell r="B173">
            <v>357</v>
          </cell>
        </row>
        <row r="174">
          <cell r="A174" t="str">
            <v>战灵累计消费2</v>
          </cell>
          <cell r="B174">
            <v>358</v>
          </cell>
        </row>
        <row r="175">
          <cell r="A175" t="str">
            <v>战灵累计消费3</v>
          </cell>
          <cell r="B175">
            <v>359</v>
          </cell>
        </row>
        <row r="176">
          <cell r="A176" t="str">
            <v>第2次合服登录活动</v>
          </cell>
          <cell r="B176">
            <v>326</v>
          </cell>
        </row>
        <row r="177">
          <cell r="A177" t="str">
            <v>第2次合服限时兑换</v>
          </cell>
          <cell r="B177">
            <v>327</v>
          </cell>
        </row>
        <row r="178">
          <cell r="A178" t="str">
            <v>第2次合服累消排行</v>
          </cell>
          <cell r="B178">
            <v>328</v>
          </cell>
        </row>
        <row r="179">
          <cell r="A179" t="str">
            <v>第2次合服累消达标</v>
          </cell>
          <cell r="B179">
            <v>329</v>
          </cell>
        </row>
        <row r="180">
          <cell r="A180" t="str">
            <v>第2次合服累充162</v>
          </cell>
          <cell r="B180">
            <v>331</v>
          </cell>
        </row>
        <row r="181">
          <cell r="A181" t="str">
            <v>第2次合服连充162</v>
          </cell>
          <cell r="B181">
            <v>332</v>
          </cell>
        </row>
        <row r="182">
          <cell r="A182" t="str">
            <v>第2次合服BOSS积分</v>
          </cell>
          <cell r="B182">
            <v>333</v>
          </cell>
        </row>
        <row r="183">
          <cell r="A183" t="str">
            <v>第2次合服特惠礼包</v>
          </cell>
          <cell r="B183">
            <v>334</v>
          </cell>
        </row>
        <row r="184">
          <cell r="A184" t="str">
            <v>第2次合服限购礼包1</v>
          </cell>
          <cell r="B184">
            <v>335</v>
          </cell>
        </row>
        <row r="185">
          <cell r="A185" t="str">
            <v>第2次合服限购礼包2</v>
          </cell>
          <cell r="B185">
            <v>336</v>
          </cell>
        </row>
        <row r="186">
          <cell r="A186" t="str">
            <v>第2次合服限购礼包3</v>
          </cell>
          <cell r="B186">
            <v>337</v>
          </cell>
        </row>
        <row r="187">
          <cell r="A187" t="str">
            <v>第2次合服限购礼包4</v>
          </cell>
          <cell r="B187">
            <v>338</v>
          </cell>
        </row>
        <row r="188">
          <cell r="A188" t="str">
            <v>第2次合服限购礼包5</v>
          </cell>
          <cell r="B188">
            <v>339</v>
          </cell>
        </row>
        <row r="189">
          <cell r="A189" t="str">
            <v>第2次合服限购礼包6</v>
          </cell>
          <cell r="B189">
            <v>340</v>
          </cell>
        </row>
        <row r="190">
          <cell r="A190" t="str">
            <v>第2次合服限购礼包7</v>
          </cell>
          <cell r="B190">
            <v>341</v>
          </cell>
        </row>
        <row r="191">
          <cell r="A191" t="str">
            <v>第2次合服连充-10元</v>
          </cell>
          <cell r="B191">
            <v>342</v>
          </cell>
        </row>
        <row r="192">
          <cell r="A192" t="str">
            <v>战灵充值转盘</v>
          </cell>
          <cell r="B192">
            <v>360</v>
          </cell>
        </row>
        <row r="193">
          <cell r="A193" t="str">
            <v>战灵版本-累充（15-30天）1</v>
          </cell>
          <cell r="B193">
            <v>361</v>
          </cell>
        </row>
        <row r="194">
          <cell r="A194" t="str">
            <v>战灵版本-累充（31-60天）1</v>
          </cell>
          <cell r="B194">
            <v>362</v>
          </cell>
        </row>
        <row r="195">
          <cell r="A195" t="str">
            <v>战灵版本-累充（61天以上）1</v>
          </cell>
          <cell r="B195">
            <v>363</v>
          </cell>
        </row>
        <row r="196">
          <cell r="A196" t="str">
            <v>立春-登录</v>
          </cell>
          <cell r="B196">
            <v>323</v>
          </cell>
        </row>
        <row r="197">
          <cell r="A197" t="str">
            <v>立春-累充</v>
          </cell>
          <cell r="B197">
            <v>324</v>
          </cell>
        </row>
        <row r="198">
          <cell r="A198" t="str">
            <v>节日商店</v>
          </cell>
          <cell r="B198">
            <v>325</v>
          </cell>
        </row>
        <row r="199">
          <cell r="A199" t="str">
            <v>战灵活动-达标奖励</v>
          </cell>
          <cell r="B199">
            <v>364</v>
          </cell>
        </row>
        <row r="200">
          <cell r="A200" t="str">
            <v>立春-登录</v>
          </cell>
          <cell r="B200">
            <v>365</v>
          </cell>
        </row>
        <row r="201">
          <cell r="A201" t="str">
            <v>立春-累充</v>
          </cell>
          <cell r="B201">
            <v>366</v>
          </cell>
        </row>
        <row r="202">
          <cell r="A202" t="str">
            <v>节日商店(60天以内</v>
          </cell>
          <cell r="B202">
            <v>367</v>
          </cell>
        </row>
        <row r="203">
          <cell r="A203" t="str">
            <v>节日商店（61天以及以上</v>
          </cell>
          <cell r="B203">
            <v>368</v>
          </cell>
        </row>
        <row r="204">
          <cell r="A204" t="str">
            <v>小年红包雨</v>
          </cell>
          <cell r="B204">
            <v>439</v>
          </cell>
        </row>
        <row r="205">
          <cell r="A205" t="str">
            <v>小年神羽转盘</v>
          </cell>
          <cell r="B205">
            <v>440</v>
          </cell>
        </row>
        <row r="206">
          <cell r="A206" t="str">
            <v>小年限购礼包1</v>
          </cell>
          <cell r="B206">
            <v>441</v>
          </cell>
        </row>
        <row r="207">
          <cell r="A207" t="str">
            <v>小年限购礼包2</v>
          </cell>
          <cell r="B207">
            <v>442</v>
          </cell>
        </row>
        <row r="208">
          <cell r="A208" t="str">
            <v>小年限购礼包3</v>
          </cell>
          <cell r="B208">
            <v>443</v>
          </cell>
        </row>
        <row r="209">
          <cell r="A209" t="str">
            <v>小年每日消费1</v>
          </cell>
          <cell r="B209">
            <v>444</v>
          </cell>
        </row>
        <row r="210">
          <cell r="A210" t="str">
            <v>小年每日消费2</v>
          </cell>
          <cell r="B210">
            <v>445</v>
          </cell>
        </row>
        <row r="211">
          <cell r="A211" t="str">
            <v>小年每日消费3</v>
          </cell>
          <cell r="B211">
            <v>446</v>
          </cell>
        </row>
        <row r="212">
          <cell r="A212" t="str">
            <v>小年红包雨</v>
          </cell>
          <cell r="B212">
            <v>447</v>
          </cell>
        </row>
        <row r="213">
          <cell r="A213" t="str">
            <v>小年神羽转盘（15-30天）</v>
          </cell>
          <cell r="B213">
            <v>448</v>
          </cell>
        </row>
        <row r="214">
          <cell r="A214" t="str">
            <v>小年限购礼包1（15-60天）</v>
          </cell>
          <cell r="B214">
            <v>449</v>
          </cell>
        </row>
        <row r="215">
          <cell r="A215" t="str">
            <v>小年限购礼包2（15-60天）</v>
          </cell>
          <cell r="B215">
            <v>450</v>
          </cell>
        </row>
        <row r="216">
          <cell r="A216" t="str">
            <v>小年限购礼包3（15-60天）</v>
          </cell>
          <cell r="B216">
            <v>451</v>
          </cell>
        </row>
        <row r="217">
          <cell r="A217" t="str">
            <v>小年每日消费1</v>
          </cell>
          <cell r="B217">
            <v>452</v>
          </cell>
        </row>
        <row r="218">
          <cell r="A218" t="str">
            <v>小年每日消费2</v>
          </cell>
          <cell r="B218">
            <v>453</v>
          </cell>
        </row>
        <row r="219">
          <cell r="A219" t="str">
            <v>小年每日消费3</v>
          </cell>
          <cell r="B219">
            <v>454</v>
          </cell>
        </row>
        <row r="220">
          <cell r="A220" t="str">
            <v>小年神羽转盘（31-60天）</v>
          </cell>
          <cell r="B220">
            <v>455</v>
          </cell>
        </row>
        <row r="221">
          <cell r="A221" t="str">
            <v>小年神羽转盘（61天以上）</v>
          </cell>
          <cell r="B221">
            <v>456</v>
          </cell>
        </row>
        <row r="222">
          <cell r="A222" t="str">
            <v>小年限购礼包1（61天以上）</v>
          </cell>
          <cell r="B222">
            <v>457</v>
          </cell>
        </row>
        <row r="223">
          <cell r="A223" t="str">
            <v>小年限购礼包2（61天以上）</v>
          </cell>
          <cell r="B223">
            <v>458</v>
          </cell>
        </row>
        <row r="224">
          <cell r="A224" t="str">
            <v>小年限购礼包3（61天以上）</v>
          </cell>
          <cell r="B224">
            <v>459</v>
          </cell>
        </row>
        <row r="225">
          <cell r="A225" t="str">
            <v>谁与争锋-跨服消费榜嵌套的达标</v>
          </cell>
          <cell r="B225">
            <v>500</v>
          </cell>
        </row>
        <row r="226">
          <cell r="A226" t="str">
            <v>谁与争锋-跨服消耗排行榜</v>
          </cell>
          <cell r="B226">
            <v>501</v>
          </cell>
        </row>
        <row r="227">
          <cell r="A227" t="str">
            <v>谁与争锋-寻宝</v>
          </cell>
          <cell r="B227">
            <v>502</v>
          </cell>
        </row>
        <row r="228">
          <cell r="A228" t="str">
            <v>谁与争锋-特惠礼包</v>
          </cell>
          <cell r="B228">
            <v>503</v>
          </cell>
        </row>
        <row r="229">
          <cell r="A229" t="str">
            <v>谁与争锋-登录</v>
          </cell>
          <cell r="B229">
            <v>504</v>
          </cell>
        </row>
        <row r="230">
          <cell r="A230" t="str">
            <v>谁与争锋-积分兑换</v>
          </cell>
          <cell r="B230">
            <v>505</v>
          </cell>
        </row>
        <row r="231">
          <cell r="A231" t="str">
            <v>谁与争锋-累充</v>
          </cell>
          <cell r="B231">
            <v>506</v>
          </cell>
        </row>
        <row r="232">
          <cell r="A232" t="str">
            <v>谁与争锋元宝转盘</v>
          </cell>
          <cell r="B232">
            <v>507</v>
          </cell>
        </row>
        <row r="233">
          <cell r="A233" t="str">
            <v>谁与争锋-跨服消费榜嵌套的达标</v>
          </cell>
          <cell r="B233">
            <v>508</v>
          </cell>
        </row>
        <row r="234">
          <cell r="A234" t="str">
            <v>谁与争锋-跨服消耗排行榜</v>
          </cell>
          <cell r="B234">
            <v>509</v>
          </cell>
        </row>
        <row r="235">
          <cell r="A235" t="str">
            <v>谁与争锋-寻宝</v>
          </cell>
          <cell r="B235">
            <v>510</v>
          </cell>
        </row>
        <row r="236">
          <cell r="A236" t="str">
            <v>谁与争锋-特惠礼包</v>
          </cell>
          <cell r="B236">
            <v>511</v>
          </cell>
        </row>
        <row r="237">
          <cell r="A237" t="str">
            <v>谁与争锋-登录</v>
          </cell>
          <cell r="B237">
            <v>512</v>
          </cell>
        </row>
        <row r="238">
          <cell r="A238" t="str">
            <v>谁与争锋-积分兑换</v>
          </cell>
          <cell r="B238">
            <v>513</v>
          </cell>
        </row>
        <row r="239">
          <cell r="A239" t="str">
            <v>谁与争锋-累充</v>
          </cell>
          <cell r="B239">
            <v>514</v>
          </cell>
        </row>
        <row r="240">
          <cell r="A240" t="str">
            <v>谁与争锋元宝转盘</v>
          </cell>
          <cell r="B240">
            <v>516</v>
          </cell>
        </row>
        <row r="241">
          <cell r="A241" t="str">
            <v>2.31更新福利-暗之BOSS</v>
          </cell>
          <cell r="B241">
            <v>515</v>
          </cell>
        </row>
        <row r="242">
          <cell r="A242" t="str">
            <v>小年红包雨</v>
          </cell>
          <cell r="B242">
            <v>550</v>
          </cell>
        </row>
        <row r="243">
          <cell r="A243" t="str">
            <v>春节登录</v>
          </cell>
          <cell r="B243">
            <v>551</v>
          </cell>
        </row>
        <row r="244">
          <cell r="A244" t="str">
            <v>春节BOSS积分</v>
          </cell>
          <cell r="B244">
            <v>552</v>
          </cell>
        </row>
        <row r="245">
          <cell r="A245" t="str">
            <v>春节VIP限购</v>
          </cell>
          <cell r="B245">
            <v>553</v>
          </cell>
        </row>
        <row r="246">
          <cell r="A246" t="str">
            <v>春节限购1</v>
          </cell>
          <cell r="B246">
            <v>554</v>
          </cell>
        </row>
        <row r="247">
          <cell r="A247" t="str">
            <v>春节限购2</v>
          </cell>
          <cell r="B247">
            <v>555</v>
          </cell>
        </row>
        <row r="248">
          <cell r="A248" t="str">
            <v>春节限购3</v>
          </cell>
          <cell r="B248">
            <v>556</v>
          </cell>
        </row>
        <row r="249">
          <cell r="A249" t="str">
            <v>春节限购4</v>
          </cell>
          <cell r="B249">
            <v>557</v>
          </cell>
        </row>
        <row r="250">
          <cell r="A250" t="str">
            <v>春节限购5</v>
          </cell>
          <cell r="B250">
            <v>558</v>
          </cell>
        </row>
        <row r="251">
          <cell r="A251" t="str">
            <v>春节限购6</v>
          </cell>
          <cell r="B251">
            <v>559</v>
          </cell>
        </row>
        <row r="252">
          <cell r="A252" t="str">
            <v>春节限购7</v>
          </cell>
          <cell r="B252">
            <v>560</v>
          </cell>
        </row>
        <row r="253">
          <cell r="A253" t="str">
            <v>春节限购8</v>
          </cell>
          <cell r="B253">
            <v>561</v>
          </cell>
        </row>
        <row r="254">
          <cell r="A254" t="str">
            <v>春节抽奖</v>
          </cell>
          <cell r="B254">
            <v>562</v>
          </cell>
        </row>
        <row r="255">
          <cell r="A255" t="str">
            <v>春节八天乐</v>
          </cell>
          <cell r="B255">
            <v>563</v>
          </cell>
        </row>
        <row r="256">
          <cell r="A256" t="str">
            <v>春节-累充</v>
          </cell>
          <cell r="B256">
            <v>564</v>
          </cell>
        </row>
        <row r="257">
          <cell r="A257" t="str">
            <v>小年红包雨</v>
          </cell>
          <cell r="B257">
            <v>565</v>
          </cell>
        </row>
        <row r="258">
          <cell r="A258" t="str">
            <v>春节BOSS积分</v>
          </cell>
          <cell r="B258">
            <v>566</v>
          </cell>
        </row>
        <row r="259">
          <cell r="A259" t="str">
            <v>春节VIP限购</v>
          </cell>
          <cell r="B259">
            <v>567</v>
          </cell>
        </row>
        <row r="260">
          <cell r="A260" t="str">
            <v>春节八天乐</v>
          </cell>
          <cell r="B260">
            <v>568</v>
          </cell>
        </row>
        <row r="261">
          <cell r="A261" t="str">
            <v>春节-累充</v>
          </cell>
          <cell r="B261">
            <v>569</v>
          </cell>
        </row>
        <row r="262">
          <cell r="A262" t="str">
            <v>春节登录(1-30</v>
          </cell>
          <cell r="B262">
            <v>570</v>
          </cell>
        </row>
        <row r="263">
          <cell r="A263" t="str">
            <v>春节登录(31-60</v>
          </cell>
          <cell r="B263">
            <v>571</v>
          </cell>
        </row>
        <row r="264">
          <cell r="A264" t="str">
            <v>春节登录(61+</v>
          </cell>
          <cell r="B264">
            <v>572</v>
          </cell>
        </row>
        <row r="265">
          <cell r="A265" t="str">
            <v>春节抽奖(15-60</v>
          </cell>
          <cell r="B265">
            <v>573</v>
          </cell>
        </row>
        <row r="266">
          <cell r="A266" t="str">
            <v>春节抽奖(61+</v>
          </cell>
          <cell r="B266">
            <v>574</v>
          </cell>
        </row>
        <row r="267">
          <cell r="A267" t="str">
            <v>（15-60）春节限购1</v>
          </cell>
          <cell r="B267">
            <v>575</v>
          </cell>
        </row>
        <row r="268">
          <cell r="A268" t="str">
            <v>（15-60）春节限购2</v>
          </cell>
          <cell r="B268">
            <v>576</v>
          </cell>
        </row>
        <row r="269">
          <cell r="A269" t="str">
            <v>（15-60）春节限购3</v>
          </cell>
          <cell r="B269">
            <v>577</v>
          </cell>
        </row>
        <row r="270">
          <cell r="A270" t="str">
            <v>（15-60）春节限购4</v>
          </cell>
          <cell r="B270">
            <v>578</v>
          </cell>
        </row>
        <row r="271">
          <cell r="A271" t="str">
            <v>（15-60）春节限购5</v>
          </cell>
          <cell r="B271">
            <v>579</v>
          </cell>
        </row>
        <row r="272">
          <cell r="A272" t="str">
            <v>（15-60）春节限购6</v>
          </cell>
          <cell r="B272">
            <v>580</v>
          </cell>
        </row>
        <row r="273">
          <cell r="A273" t="str">
            <v>（15-60）春节限购7</v>
          </cell>
          <cell r="B273">
            <v>581</v>
          </cell>
        </row>
        <row r="274">
          <cell r="A274" t="str">
            <v>（15-60）春节限购8</v>
          </cell>
          <cell r="B274">
            <v>582</v>
          </cell>
        </row>
        <row r="275">
          <cell r="A275" t="str">
            <v>（61+）春节限购1</v>
          </cell>
          <cell r="B275">
            <v>583</v>
          </cell>
        </row>
        <row r="276">
          <cell r="A276" t="str">
            <v>（61+）春节限购2</v>
          </cell>
          <cell r="B276">
            <v>584</v>
          </cell>
        </row>
        <row r="277">
          <cell r="A277" t="str">
            <v>（61+）春节限购3</v>
          </cell>
          <cell r="B277">
            <v>585</v>
          </cell>
        </row>
        <row r="278">
          <cell r="A278" t="str">
            <v>（61+）春节限购4</v>
          </cell>
          <cell r="B278">
            <v>586</v>
          </cell>
        </row>
        <row r="279">
          <cell r="A279" t="str">
            <v>（61+）春节限购5</v>
          </cell>
          <cell r="B279">
            <v>587</v>
          </cell>
        </row>
        <row r="280">
          <cell r="A280" t="str">
            <v>（61+）春节限购6</v>
          </cell>
          <cell r="B280">
            <v>588</v>
          </cell>
        </row>
        <row r="281">
          <cell r="A281" t="str">
            <v>（61+）春节限购7</v>
          </cell>
          <cell r="B281">
            <v>589</v>
          </cell>
        </row>
        <row r="282">
          <cell r="A282" t="str">
            <v>（61+）春节限购8</v>
          </cell>
          <cell r="B282">
            <v>590</v>
          </cell>
        </row>
        <row r="283">
          <cell r="A283" t="str">
            <v>开门红活动-新连冲</v>
          </cell>
          <cell r="B283">
            <v>600</v>
          </cell>
        </row>
        <row r="284">
          <cell r="A284" t="str">
            <v>开门红活动-新连冲</v>
          </cell>
          <cell r="B284">
            <v>601</v>
          </cell>
        </row>
        <row r="285">
          <cell r="A285" t="str">
            <v>开门红活动-新连冲</v>
          </cell>
          <cell r="B285">
            <v>602</v>
          </cell>
        </row>
        <row r="286">
          <cell r="A286" t="str">
            <v>开门利是</v>
          </cell>
          <cell r="B286">
            <v>603</v>
          </cell>
        </row>
        <row r="287">
          <cell r="A287" t="str">
            <v>开门红-特惠礼包</v>
          </cell>
          <cell r="B287">
            <v>604</v>
          </cell>
        </row>
        <row r="288">
          <cell r="A288" t="str">
            <v>开门红限购1</v>
          </cell>
          <cell r="B288">
            <v>605</v>
          </cell>
        </row>
        <row r="289">
          <cell r="A289" t="str">
            <v>开门红限购2</v>
          </cell>
          <cell r="B289">
            <v>606</v>
          </cell>
        </row>
        <row r="290">
          <cell r="A290" t="str">
            <v>开门红限购3</v>
          </cell>
          <cell r="B290">
            <v>607</v>
          </cell>
        </row>
        <row r="291">
          <cell r="A291" t="str">
            <v>开门红活动-新连冲</v>
          </cell>
          <cell r="B291">
            <v>608</v>
          </cell>
        </row>
        <row r="292">
          <cell r="A292" t="str">
            <v>开门红活动-新连冲</v>
          </cell>
          <cell r="B292">
            <v>609</v>
          </cell>
        </row>
        <row r="293">
          <cell r="A293" t="str">
            <v>开门红活动-新连冲</v>
          </cell>
          <cell r="B293">
            <v>610</v>
          </cell>
        </row>
        <row r="294">
          <cell r="A294" t="str">
            <v>开门利是</v>
          </cell>
          <cell r="B294">
            <v>611</v>
          </cell>
        </row>
        <row r="295">
          <cell r="A295" t="str">
            <v>开门红-特惠礼包</v>
          </cell>
          <cell r="B295">
            <v>612</v>
          </cell>
        </row>
        <row r="296">
          <cell r="A296" t="str">
            <v>(61+)开门红限购1</v>
          </cell>
          <cell r="B296">
            <v>613</v>
          </cell>
        </row>
        <row r="297">
          <cell r="A297" t="str">
            <v>(61+)开门红限购2</v>
          </cell>
          <cell r="B297">
            <v>614</v>
          </cell>
        </row>
        <row r="298">
          <cell r="A298" t="str">
            <v>(61+)开门红限购3</v>
          </cell>
          <cell r="B298">
            <v>615</v>
          </cell>
        </row>
        <row r="299">
          <cell r="A299" t="str">
            <v>(15-60)开门红限购1</v>
          </cell>
          <cell r="B299">
            <v>616</v>
          </cell>
        </row>
        <row r="300">
          <cell r="A300" t="str">
            <v>(15-60)开门红限购2</v>
          </cell>
          <cell r="B300">
            <v>617</v>
          </cell>
        </row>
        <row r="301">
          <cell r="A301" t="str">
            <v>(15-60)开门红限购3</v>
          </cell>
          <cell r="B301">
            <v>618</v>
          </cell>
        </row>
        <row r="302">
          <cell r="A302" t="str">
            <v>开门红活动-新连冲</v>
          </cell>
          <cell r="B302">
            <v>620</v>
          </cell>
        </row>
        <row r="303">
          <cell r="A303" t="str">
            <v>开门红活动-新连冲</v>
          </cell>
          <cell r="B303">
            <v>621</v>
          </cell>
        </row>
        <row r="304">
          <cell r="A304" t="str">
            <v>开门红活动-新连冲</v>
          </cell>
          <cell r="B304">
            <v>622</v>
          </cell>
        </row>
        <row r="305">
          <cell r="A305" t="str">
            <v>开门利是</v>
          </cell>
          <cell r="B305">
            <v>623</v>
          </cell>
        </row>
        <row r="306">
          <cell r="A306" t="str">
            <v>开门红限购1</v>
          </cell>
          <cell r="B306">
            <v>624</v>
          </cell>
        </row>
        <row r="307">
          <cell r="A307" t="str">
            <v>开门红限购2</v>
          </cell>
          <cell r="B307">
            <v>625</v>
          </cell>
        </row>
        <row r="308">
          <cell r="A308" t="str">
            <v>开门红限购3</v>
          </cell>
          <cell r="B308">
            <v>626</v>
          </cell>
        </row>
        <row r="309">
          <cell r="A309" t="str">
            <v>元宵-限时玩法掉落</v>
          </cell>
          <cell r="B309">
            <v>650</v>
          </cell>
        </row>
        <row r="310">
          <cell r="A310" t="str">
            <v>元宵-节日兑换</v>
          </cell>
          <cell r="B310">
            <v>652</v>
          </cell>
        </row>
        <row r="311">
          <cell r="A311" t="str">
            <v>元宵-福袋</v>
          </cell>
          <cell r="B311">
            <v>653</v>
          </cell>
        </row>
        <row r="312">
          <cell r="A312" t="str">
            <v>元宵-累充</v>
          </cell>
          <cell r="B312">
            <v>663</v>
          </cell>
        </row>
        <row r="313">
          <cell r="A313" t="str">
            <v>元宵限购1</v>
          </cell>
          <cell r="B313">
            <v>654</v>
          </cell>
        </row>
        <row r="314">
          <cell r="A314" t="str">
            <v>元宵限购2</v>
          </cell>
          <cell r="B314">
            <v>655</v>
          </cell>
        </row>
        <row r="315">
          <cell r="A315" t="str">
            <v>元宵限购3</v>
          </cell>
          <cell r="B315">
            <v>656</v>
          </cell>
        </row>
        <row r="316">
          <cell r="A316" t="str">
            <v>元宵-节日兑换</v>
          </cell>
          <cell r="B316">
            <v>701</v>
          </cell>
        </row>
        <row r="317">
          <cell r="A317" t="str">
            <v>元宵-限时玩法掉落（15-30天）</v>
          </cell>
          <cell r="B317">
            <v>702</v>
          </cell>
        </row>
        <row r="318">
          <cell r="A318" t="str">
            <v>元宵-限时玩法掉落（31-60天）</v>
          </cell>
          <cell r="B318">
            <v>703</v>
          </cell>
        </row>
        <row r="319">
          <cell r="A319" t="str">
            <v>元宵-限时玩法掉落（61天）</v>
          </cell>
          <cell r="B319">
            <v>704</v>
          </cell>
        </row>
        <row r="320">
          <cell r="A320" t="str">
            <v>元宵-福袋(15-40天)</v>
          </cell>
          <cell r="B320">
            <v>705</v>
          </cell>
        </row>
        <row r="321">
          <cell r="A321" t="str">
            <v>元宵-福袋(41+天)</v>
          </cell>
          <cell r="B321">
            <v>706</v>
          </cell>
        </row>
        <row r="322">
          <cell r="A322" t="str">
            <v>元宵-累充</v>
          </cell>
          <cell r="B322">
            <v>740</v>
          </cell>
        </row>
        <row r="323">
          <cell r="A323" t="str">
            <v>（15-30）元宵限购1</v>
          </cell>
          <cell r="B323">
            <v>707</v>
          </cell>
        </row>
        <row r="324">
          <cell r="A324" t="str">
            <v>（15-30）元宵限购2</v>
          </cell>
          <cell r="B324">
            <v>708</v>
          </cell>
        </row>
        <row r="325">
          <cell r="A325" t="str">
            <v>（15-30）元宵限购3</v>
          </cell>
          <cell r="B325">
            <v>709</v>
          </cell>
        </row>
        <row r="326">
          <cell r="A326" t="str">
            <v>（31-60）元宵限购1</v>
          </cell>
          <cell r="B326">
            <v>712</v>
          </cell>
        </row>
        <row r="327">
          <cell r="A327" t="str">
            <v>（31-60）元宵限购2</v>
          </cell>
          <cell r="B327">
            <v>713</v>
          </cell>
        </row>
        <row r="328">
          <cell r="A328" t="str">
            <v>（31-60）元宵限购3</v>
          </cell>
          <cell r="B328">
            <v>714</v>
          </cell>
        </row>
        <row r="329">
          <cell r="A329" t="str">
            <v>（61+）元宵限购1</v>
          </cell>
          <cell r="B329">
            <v>717</v>
          </cell>
        </row>
        <row r="330">
          <cell r="A330" t="str">
            <v>（61+）元宵限购2</v>
          </cell>
          <cell r="B330">
            <v>718</v>
          </cell>
        </row>
        <row r="331">
          <cell r="A331" t="str">
            <v>（61+）元宵限购3</v>
          </cell>
          <cell r="B331">
            <v>719</v>
          </cell>
        </row>
        <row r="332">
          <cell r="A332" t="str">
            <v>妇女节嗨点</v>
          </cell>
          <cell r="B332">
            <v>750</v>
          </cell>
        </row>
        <row r="333">
          <cell r="A333" t="str">
            <v>妇女节特惠</v>
          </cell>
          <cell r="B333">
            <v>751</v>
          </cell>
        </row>
        <row r="334">
          <cell r="A334" t="str">
            <v>妇女节嗨点(15-30天)</v>
          </cell>
          <cell r="B334">
            <v>752</v>
          </cell>
        </row>
        <row r="335">
          <cell r="A335" t="str">
            <v>妇女节特惠(15-30天)</v>
          </cell>
          <cell r="B335">
            <v>753</v>
          </cell>
        </row>
        <row r="336">
          <cell r="A336" t="str">
            <v>妇女节嗨点(30-60天)</v>
          </cell>
          <cell r="B336">
            <v>754</v>
          </cell>
        </row>
        <row r="337">
          <cell r="A337" t="str">
            <v>妇女节特惠(30-60天)</v>
          </cell>
          <cell r="B337">
            <v>755</v>
          </cell>
        </row>
        <row r="338">
          <cell r="A338" t="str">
            <v>妇女节嗨点(61+天)</v>
          </cell>
          <cell r="B338">
            <v>756</v>
          </cell>
        </row>
        <row r="339">
          <cell r="A339" t="str">
            <v>妇女节特惠(61+天)</v>
          </cell>
          <cell r="B339">
            <v>757</v>
          </cell>
        </row>
        <row r="340">
          <cell r="A340" t="str">
            <v>谁与争锋-跨服消费榜嵌套的达标</v>
          </cell>
          <cell r="B340">
            <v>800</v>
          </cell>
        </row>
        <row r="341">
          <cell r="A341" t="str">
            <v>谁与争锋-跨服消耗排行榜</v>
          </cell>
          <cell r="B341">
            <v>801</v>
          </cell>
        </row>
        <row r="342">
          <cell r="A342" t="str">
            <v>谁与争锋-寻宝</v>
          </cell>
          <cell r="B342">
            <v>802</v>
          </cell>
        </row>
        <row r="343">
          <cell r="A343" t="str">
            <v>谁与争锋-特惠礼包</v>
          </cell>
          <cell r="B343">
            <v>803</v>
          </cell>
        </row>
        <row r="344">
          <cell r="A344" t="str">
            <v>谁与争锋-登录</v>
          </cell>
          <cell r="B344">
            <v>804</v>
          </cell>
        </row>
        <row r="345">
          <cell r="A345" t="str">
            <v>谁与争锋-积分兑换</v>
          </cell>
          <cell r="B345">
            <v>805</v>
          </cell>
        </row>
        <row r="346">
          <cell r="A346" t="str">
            <v>谁与争锋-累充</v>
          </cell>
          <cell r="B346">
            <v>806</v>
          </cell>
        </row>
        <row r="347">
          <cell r="A347" t="str">
            <v>谁与争锋元宝转盘</v>
          </cell>
          <cell r="B347">
            <v>807</v>
          </cell>
        </row>
        <row r="348">
          <cell r="A348" t="str">
            <v>谁与争锋-跨服消费榜嵌套的达标（15-60天）</v>
          </cell>
          <cell r="B348">
            <v>808</v>
          </cell>
        </row>
        <row r="349">
          <cell r="A349" t="str">
            <v>谁与争锋-跨服消耗排行榜（15-60天）</v>
          </cell>
          <cell r="B349">
            <v>809</v>
          </cell>
        </row>
        <row r="350">
          <cell r="A350" t="str">
            <v>谁与争锋-寻宝（15-60天）</v>
          </cell>
          <cell r="B350">
            <v>810</v>
          </cell>
        </row>
        <row r="351">
          <cell r="A351" t="str">
            <v>谁与争锋-特惠礼包（15-60天）</v>
          </cell>
          <cell r="B351">
            <v>811</v>
          </cell>
        </row>
        <row r="352">
          <cell r="A352" t="str">
            <v>谁与争锋-登录</v>
          </cell>
          <cell r="B352">
            <v>812</v>
          </cell>
        </row>
        <row r="353">
          <cell r="A353" t="str">
            <v>谁与争锋-积分兑换</v>
          </cell>
          <cell r="B353">
            <v>813</v>
          </cell>
        </row>
        <row r="354">
          <cell r="A354" t="str">
            <v>谁与争锋-累充（15-30天）</v>
          </cell>
          <cell r="B354">
            <v>814</v>
          </cell>
        </row>
        <row r="355">
          <cell r="A355" t="str">
            <v>谁与争锋元宝转盘</v>
          </cell>
          <cell r="B355">
            <v>815</v>
          </cell>
        </row>
        <row r="356">
          <cell r="A356" t="str">
            <v>谁与争锋-跨服消费榜嵌套的达标（61+天）</v>
          </cell>
          <cell r="B356">
            <v>816</v>
          </cell>
        </row>
        <row r="357">
          <cell r="A357" t="str">
            <v>谁与争锋-跨服消耗排行榜（61+天）</v>
          </cell>
          <cell r="B357">
            <v>817</v>
          </cell>
        </row>
        <row r="358">
          <cell r="A358" t="str">
            <v>谁与争锋-特惠礼包（61+天）</v>
          </cell>
          <cell r="B358">
            <v>818</v>
          </cell>
        </row>
        <row r="359">
          <cell r="A359" t="str">
            <v>谁与争锋-累充（31-60天）</v>
          </cell>
          <cell r="B359">
            <v>819</v>
          </cell>
        </row>
        <row r="360">
          <cell r="A360" t="str">
            <v>谁与争锋-累充（61+天）</v>
          </cell>
          <cell r="B360">
            <v>820</v>
          </cell>
        </row>
        <row r="361">
          <cell r="A361" t="str">
            <v>谁与争锋-寻宝（61+天）</v>
          </cell>
          <cell r="B361">
            <v>821</v>
          </cell>
        </row>
        <row r="362">
          <cell r="A362" t="str">
            <v>龙抬头-限时掉落</v>
          </cell>
          <cell r="B362">
            <v>901</v>
          </cell>
        </row>
        <row r="363">
          <cell r="A363" t="str">
            <v>龙抬头-转盘</v>
          </cell>
          <cell r="B363">
            <v>902</v>
          </cell>
        </row>
        <row r="364">
          <cell r="A364" t="str">
            <v>龙抬头-新连冲</v>
          </cell>
          <cell r="B364">
            <v>903</v>
          </cell>
        </row>
        <row r="365">
          <cell r="A365" t="str">
            <v>龙抬头-新连冲</v>
          </cell>
          <cell r="B365">
            <v>904</v>
          </cell>
        </row>
        <row r="366">
          <cell r="A366" t="str">
            <v>龙抬头-新连冲</v>
          </cell>
          <cell r="B366">
            <v>905</v>
          </cell>
        </row>
        <row r="367">
          <cell r="A367" t="str">
            <v>龙抬头-限购-特戒碎片</v>
          </cell>
          <cell r="B367">
            <v>906</v>
          </cell>
        </row>
        <row r="368">
          <cell r="A368" t="str">
            <v>龙抬头-限购-特戒碎片</v>
          </cell>
          <cell r="B368">
            <v>907</v>
          </cell>
        </row>
        <row r="369">
          <cell r="A369" t="str">
            <v>龙抬头-限购-特戒碎片</v>
          </cell>
          <cell r="B369">
            <v>908</v>
          </cell>
        </row>
        <row r="370">
          <cell r="A370" t="str">
            <v>龙抬头-限购-符石</v>
          </cell>
          <cell r="B370">
            <v>909</v>
          </cell>
        </row>
        <row r="371">
          <cell r="A371" t="str">
            <v>龙抬头-限购-符石</v>
          </cell>
          <cell r="B371">
            <v>910</v>
          </cell>
        </row>
        <row r="372">
          <cell r="A372" t="str">
            <v>龙抬头-限购-符石</v>
          </cell>
          <cell r="B372">
            <v>911</v>
          </cell>
        </row>
        <row r="373">
          <cell r="A373" t="str">
            <v>龙抬头-限时掉落</v>
          </cell>
          <cell r="B373">
            <v>921</v>
          </cell>
        </row>
        <row r="374">
          <cell r="A374" t="str">
            <v>龙抬头-转盘（15-60天）</v>
          </cell>
          <cell r="B374">
            <v>922</v>
          </cell>
        </row>
        <row r="375">
          <cell r="A375" t="str">
            <v>龙抬头-转盘（61+天）</v>
          </cell>
          <cell r="B375">
            <v>923</v>
          </cell>
        </row>
        <row r="376">
          <cell r="A376" t="str">
            <v>龙抬头-新连冲（15-60天）</v>
          </cell>
          <cell r="B376">
            <v>924</v>
          </cell>
        </row>
        <row r="377">
          <cell r="A377" t="str">
            <v>龙抬头-新连冲（15-60天）</v>
          </cell>
          <cell r="B377">
            <v>925</v>
          </cell>
        </row>
        <row r="378">
          <cell r="A378" t="str">
            <v>龙抬头-新连冲（15-60天）</v>
          </cell>
          <cell r="B378">
            <v>926</v>
          </cell>
        </row>
        <row r="379">
          <cell r="A379" t="str">
            <v>龙抬头-新连冲（61+天）</v>
          </cell>
          <cell r="B379">
            <v>927</v>
          </cell>
        </row>
        <row r="380">
          <cell r="A380" t="str">
            <v>龙抬头-新连冲（61+天）</v>
          </cell>
          <cell r="B380">
            <v>928</v>
          </cell>
        </row>
        <row r="381">
          <cell r="A381" t="str">
            <v>龙抬头-新连冲（61+天）</v>
          </cell>
          <cell r="B381">
            <v>929</v>
          </cell>
        </row>
        <row r="382">
          <cell r="A382" t="str">
            <v>龙抬头-限购-特戒碎片（15-60天）</v>
          </cell>
          <cell r="B382">
            <v>930</v>
          </cell>
        </row>
        <row r="383">
          <cell r="A383" t="str">
            <v>龙抬头-限购-特戒碎片（15-60天）</v>
          </cell>
          <cell r="B383">
            <v>931</v>
          </cell>
        </row>
        <row r="384">
          <cell r="A384" t="str">
            <v>龙抬头-限购-特戒碎片（15-60天）</v>
          </cell>
          <cell r="B384">
            <v>932</v>
          </cell>
        </row>
        <row r="385">
          <cell r="A385" t="str">
            <v>龙抬头-限购-符石（15-60天）</v>
          </cell>
          <cell r="B385">
            <v>933</v>
          </cell>
        </row>
        <row r="386">
          <cell r="A386" t="str">
            <v>龙抬头-限购-符石（15-60天）</v>
          </cell>
          <cell r="B386">
            <v>934</v>
          </cell>
        </row>
        <row r="387">
          <cell r="A387" t="str">
            <v>龙抬头-限购-符石（15-60天）</v>
          </cell>
          <cell r="B387">
            <v>935</v>
          </cell>
        </row>
        <row r="388">
          <cell r="A388" t="str">
            <v>龙抬头-限购-特戒碎片（61+天）</v>
          </cell>
          <cell r="B388">
            <v>936</v>
          </cell>
        </row>
        <row r="389">
          <cell r="A389" t="str">
            <v>龙抬头-限购-特戒碎片（61+天）</v>
          </cell>
          <cell r="B389">
            <v>937</v>
          </cell>
        </row>
        <row r="390">
          <cell r="A390" t="str">
            <v>龙抬头-限购-特戒碎片（61+天）</v>
          </cell>
          <cell r="B390">
            <v>938</v>
          </cell>
        </row>
        <row r="391">
          <cell r="A391" t="str">
            <v>龙抬头-限购-符石（61+天）</v>
          </cell>
          <cell r="B391">
            <v>939</v>
          </cell>
        </row>
        <row r="392">
          <cell r="A392" t="str">
            <v>龙抬头-限购-符石（61+天）</v>
          </cell>
          <cell r="B392">
            <v>940</v>
          </cell>
        </row>
        <row r="393">
          <cell r="A393" t="str">
            <v>龙抬头-限购-符石（61+天）</v>
          </cell>
          <cell r="B393">
            <v>941</v>
          </cell>
        </row>
        <row r="394">
          <cell r="A394" t="str">
            <v>版本庆典-5日活跃</v>
          </cell>
          <cell r="B394">
            <v>1001</v>
          </cell>
        </row>
        <row r="395">
          <cell r="A395" t="str">
            <v>版本庆典-5日商城</v>
          </cell>
          <cell r="B395">
            <v>1002</v>
          </cell>
        </row>
        <row r="396">
          <cell r="A396" t="str">
            <v>月末狂欢-跨服团购</v>
          </cell>
          <cell r="B396">
            <v>1003</v>
          </cell>
        </row>
        <row r="397">
          <cell r="A397" t="str">
            <v>版本庆典-5日登录</v>
          </cell>
          <cell r="B397">
            <v>1004</v>
          </cell>
        </row>
        <row r="406">
          <cell r="A406" t="str">
            <v>元宵-节日BOSS</v>
          </cell>
          <cell r="B406">
            <v>651</v>
          </cell>
        </row>
        <row r="407">
          <cell r="A407" t="str">
            <v>元宵-节日BOSS</v>
          </cell>
          <cell r="B407">
            <v>700</v>
          </cell>
        </row>
        <row r="411">
          <cell r="A411" t="str">
            <v>元宵活动-累充1</v>
          </cell>
          <cell r="B411">
            <v>659</v>
          </cell>
        </row>
        <row r="412">
          <cell r="A412" t="str">
            <v>元宵活动-累充2</v>
          </cell>
          <cell r="B412">
            <v>660</v>
          </cell>
        </row>
        <row r="413">
          <cell r="A413" t="str">
            <v>元宵活动-累充3</v>
          </cell>
          <cell r="B413">
            <v>661</v>
          </cell>
        </row>
        <row r="414">
          <cell r="A414" t="str">
            <v>元宵活动-累充4</v>
          </cell>
          <cell r="B414">
            <v>662</v>
          </cell>
        </row>
        <row r="418">
          <cell r="A418" t="str">
            <v>（15-30）元宵活动-累充1</v>
          </cell>
          <cell r="B418">
            <v>722</v>
          </cell>
        </row>
        <row r="419">
          <cell r="A419" t="str">
            <v>（15-30）元宵活动-累充2</v>
          </cell>
          <cell r="B419">
            <v>723</v>
          </cell>
        </row>
        <row r="420">
          <cell r="A420" t="str">
            <v>（15-30）元宵活动-累充3</v>
          </cell>
          <cell r="B420">
            <v>724</v>
          </cell>
        </row>
        <row r="421">
          <cell r="A421" t="str">
            <v>（15-30）元宵活动-累充4</v>
          </cell>
          <cell r="B421">
            <v>725</v>
          </cell>
        </row>
        <row r="422">
          <cell r="A422" t="str">
            <v>（31-60）元宵活动-累充1</v>
          </cell>
          <cell r="B422">
            <v>727</v>
          </cell>
        </row>
        <row r="423">
          <cell r="A423" t="str">
            <v>（31-60）元宵活动-累充2</v>
          </cell>
          <cell r="B423">
            <v>728</v>
          </cell>
        </row>
        <row r="424">
          <cell r="A424" t="str">
            <v>（31-60）元宵活动-累充3</v>
          </cell>
          <cell r="B424">
            <v>729</v>
          </cell>
        </row>
        <row r="425">
          <cell r="A425" t="str">
            <v>（31-60）元宵活动-累充4</v>
          </cell>
          <cell r="B425">
            <v>730</v>
          </cell>
        </row>
        <row r="426">
          <cell r="A426" t="str">
            <v>（61+）元宵活动-累充1</v>
          </cell>
          <cell r="B426">
            <v>732</v>
          </cell>
        </row>
        <row r="427">
          <cell r="A427" t="str">
            <v>（61+）元宵活动-累充2</v>
          </cell>
          <cell r="B427">
            <v>733</v>
          </cell>
        </row>
        <row r="428">
          <cell r="A428" t="str">
            <v>（61+）元宵活动-累充3</v>
          </cell>
          <cell r="B428">
            <v>734</v>
          </cell>
        </row>
        <row r="429">
          <cell r="A429" t="str">
            <v>（61+）元宵活动-累充4</v>
          </cell>
          <cell r="B429">
            <v>735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1.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J409"/>
  <sheetViews>
    <sheetView workbookViewId="0">
      <selection activeCell="E7" sqref="E7"/>
    </sheetView>
  </sheetViews>
  <sheetFormatPr defaultRowHeight="13.5"/>
  <cols>
    <col min="1" max="1" width="15.25" style="1" bestFit="1" customWidth="1"/>
    <col min="2" max="3" width="9" style="1"/>
    <col min="4" max="4" width="15.125" style="1" bestFit="1" customWidth="1"/>
    <col min="5" max="6" width="9" style="1"/>
    <col min="7" max="7" width="42.625" style="1" bestFit="1" customWidth="1"/>
    <col min="8" max="8" width="5.5" style="1" bestFit="1" customWidth="1"/>
    <col min="9" max="16384" width="9" style="1"/>
  </cols>
  <sheetData>
    <row r="1" spans="1:10" ht="14.25">
      <c r="A1" s="3" t="s">
        <v>1416</v>
      </c>
      <c r="B1" s="4" t="s">
        <v>1405</v>
      </c>
      <c r="D1" s="3" t="s">
        <v>1415</v>
      </c>
      <c r="E1" s="4" t="s">
        <v>1405</v>
      </c>
      <c r="G1" s="24" t="s">
        <v>44</v>
      </c>
      <c r="H1" s="24" t="s">
        <v>17</v>
      </c>
      <c r="I1" s="27" t="s">
        <v>22</v>
      </c>
      <c r="J1" s="4" t="s">
        <v>1405</v>
      </c>
    </row>
    <row r="2" spans="1:10">
      <c r="A2" s="1" t="s">
        <v>1406</v>
      </c>
      <c r="B2" s="98" t="s">
        <v>1417</v>
      </c>
      <c r="D2" s="1" t="s">
        <v>1410</v>
      </c>
      <c r="E2" s="98" t="s">
        <v>1417</v>
      </c>
      <c r="G2" s="1" t="s">
        <v>130</v>
      </c>
      <c r="H2" s="1">
        <v>0</v>
      </c>
      <c r="I2" s="1">
        <v>1</v>
      </c>
      <c r="J2" s="98" t="s">
        <v>1418</v>
      </c>
    </row>
    <row r="3" spans="1:10">
      <c r="A3" s="1" t="s">
        <v>1407</v>
      </c>
      <c r="B3" s="98" t="s">
        <v>1417</v>
      </c>
      <c r="D3" s="1" t="s">
        <v>1411</v>
      </c>
      <c r="E3" s="98" t="s">
        <v>1417</v>
      </c>
      <c r="G3" s="1" t="s">
        <v>135</v>
      </c>
      <c r="H3" s="1">
        <v>1</v>
      </c>
      <c r="I3" s="1">
        <v>1</v>
      </c>
      <c r="J3" s="98" t="s">
        <v>1418</v>
      </c>
    </row>
    <row r="4" spans="1:10">
      <c r="A4" s="1" t="s">
        <v>1408</v>
      </c>
      <c r="B4" s="98" t="s">
        <v>1417</v>
      </c>
      <c r="D4" s="1" t="s">
        <v>1412</v>
      </c>
      <c r="E4" s="98" t="s">
        <v>1417</v>
      </c>
      <c r="G4" s="1" t="s">
        <v>139</v>
      </c>
      <c r="H4" s="1">
        <v>2</v>
      </c>
      <c r="I4" s="1">
        <v>1</v>
      </c>
      <c r="J4" s="98" t="s">
        <v>1418</v>
      </c>
    </row>
    <row r="5" spans="1:10">
      <c r="A5" s="1" t="s">
        <v>1409</v>
      </c>
      <c r="B5" s="98" t="s">
        <v>1417</v>
      </c>
      <c r="D5" s="1" t="s">
        <v>1413</v>
      </c>
      <c r="E5" s="98" t="s">
        <v>1417</v>
      </c>
      <c r="G5" s="1" t="s">
        <v>142</v>
      </c>
      <c r="H5" s="1">
        <v>3</v>
      </c>
      <c r="I5" s="1">
        <v>1</v>
      </c>
      <c r="J5" s="98" t="s">
        <v>1418</v>
      </c>
    </row>
    <row r="6" spans="1:10">
      <c r="A6" s="1" t="s">
        <v>25</v>
      </c>
      <c r="B6" s="98" t="s">
        <v>1417</v>
      </c>
      <c r="D6" s="1" t="s">
        <v>1414</v>
      </c>
      <c r="E6" s="98" t="s">
        <v>1417</v>
      </c>
      <c r="G6" s="1" t="s">
        <v>144</v>
      </c>
      <c r="H6" s="1">
        <v>4</v>
      </c>
      <c r="I6" s="1">
        <v>1</v>
      </c>
      <c r="J6" s="98" t="s">
        <v>1418</v>
      </c>
    </row>
    <row r="7" spans="1:10">
      <c r="A7" s="1" t="s">
        <v>26</v>
      </c>
      <c r="B7" s="98" t="s">
        <v>1417</v>
      </c>
      <c r="D7" s="1" t="s">
        <v>1420</v>
      </c>
      <c r="E7" s="98" t="s">
        <v>1417</v>
      </c>
      <c r="G7" s="1" t="s">
        <v>147</v>
      </c>
      <c r="H7" s="1">
        <v>5</v>
      </c>
      <c r="I7" s="1">
        <v>6</v>
      </c>
      <c r="J7" s="98" t="s">
        <v>1418</v>
      </c>
    </row>
    <row r="8" spans="1:10">
      <c r="A8" s="1" t="s">
        <v>27</v>
      </c>
      <c r="B8" s="98" t="s">
        <v>1417</v>
      </c>
      <c r="G8" s="1" t="s">
        <v>150</v>
      </c>
      <c r="H8" s="1">
        <v>6</v>
      </c>
      <c r="I8" s="1">
        <v>2</v>
      </c>
      <c r="J8" s="98" t="s">
        <v>1418</v>
      </c>
    </row>
    <row r="9" spans="1:10">
      <c r="A9" s="1" t="s">
        <v>28</v>
      </c>
      <c r="B9" s="98" t="s">
        <v>1417</v>
      </c>
      <c r="G9" s="1" t="s">
        <v>153</v>
      </c>
      <c r="H9" s="1">
        <v>7</v>
      </c>
      <c r="I9" s="1">
        <v>4</v>
      </c>
      <c r="J9" s="98" t="s">
        <v>1418</v>
      </c>
    </row>
    <row r="10" spans="1:10">
      <c r="A10" s="1" t="s">
        <v>29</v>
      </c>
      <c r="B10" s="98" t="s">
        <v>1417</v>
      </c>
      <c r="G10" s="1" t="s">
        <v>156</v>
      </c>
      <c r="H10" s="1">
        <v>8</v>
      </c>
      <c r="I10" s="1">
        <v>4</v>
      </c>
      <c r="J10" s="98" t="s">
        <v>1418</v>
      </c>
    </row>
    <row r="11" spans="1:10">
      <c r="A11" s="1" t="s">
        <v>30</v>
      </c>
      <c r="B11" s="98" t="s">
        <v>1417</v>
      </c>
      <c r="G11" s="1" t="s">
        <v>158</v>
      </c>
      <c r="H11" s="1">
        <v>9</v>
      </c>
      <c r="I11" s="1">
        <v>4</v>
      </c>
      <c r="J11" s="98" t="s">
        <v>1418</v>
      </c>
    </row>
    <row r="12" spans="1:10">
      <c r="G12" s="1" t="s">
        <v>160</v>
      </c>
      <c r="H12" s="1">
        <v>10</v>
      </c>
      <c r="I12" s="1">
        <v>4</v>
      </c>
      <c r="J12" s="98" t="s">
        <v>1418</v>
      </c>
    </row>
    <row r="13" spans="1:10">
      <c r="G13" s="1" t="s">
        <v>162</v>
      </c>
      <c r="H13" s="1">
        <v>11</v>
      </c>
      <c r="I13" s="1">
        <v>4</v>
      </c>
      <c r="J13" s="98" t="s">
        <v>1418</v>
      </c>
    </row>
    <row r="14" spans="1:10">
      <c r="G14" s="1" t="s">
        <v>165</v>
      </c>
      <c r="H14" s="1">
        <v>12</v>
      </c>
      <c r="I14" s="1">
        <v>4</v>
      </c>
      <c r="J14" s="98" t="s">
        <v>1418</v>
      </c>
    </row>
    <row r="15" spans="1:10">
      <c r="G15" s="1" t="s">
        <v>167</v>
      </c>
      <c r="H15" s="1">
        <v>13</v>
      </c>
      <c r="I15" s="1">
        <v>3</v>
      </c>
      <c r="J15" s="98" t="s">
        <v>1418</v>
      </c>
    </row>
    <row r="16" spans="1:10">
      <c r="G16" s="1" t="s">
        <v>171</v>
      </c>
      <c r="H16" s="1">
        <v>14</v>
      </c>
      <c r="I16" s="1">
        <v>3</v>
      </c>
      <c r="J16" s="98" t="s">
        <v>1418</v>
      </c>
    </row>
    <row r="17" spans="7:10">
      <c r="G17" s="1" t="s">
        <v>173</v>
      </c>
      <c r="H17" s="1">
        <v>15</v>
      </c>
      <c r="I17" s="1">
        <v>1</v>
      </c>
      <c r="J17" s="98" t="s">
        <v>1418</v>
      </c>
    </row>
    <row r="18" spans="7:10">
      <c r="G18" s="1" t="s">
        <v>175</v>
      </c>
      <c r="H18" s="1">
        <v>16</v>
      </c>
      <c r="I18" s="1">
        <v>1</v>
      </c>
      <c r="J18" s="98" t="s">
        <v>1418</v>
      </c>
    </row>
    <row r="19" spans="7:10">
      <c r="G19" s="1" t="s">
        <v>177</v>
      </c>
      <c r="H19" s="1">
        <v>17</v>
      </c>
      <c r="I19" s="1">
        <v>2</v>
      </c>
      <c r="J19" s="98" t="s">
        <v>1418</v>
      </c>
    </row>
    <row r="20" spans="7:10">
      <c r="G20" s="1" t="s">
        <v>179</v>
      </c>
      <c r="H20" s="1">
        <v>18</v>
      </c>
      <c r="I20" s="1">
        <v>2</v>
      </c>
      <c r="J20" s="98" t="s">
        <v>1418</v>
      </c>
    </row>
    <row r="21" spans="7:10">
      <c r="G21" s="1" t="s">
        <v>180</v>
      </c>
      <c r="H21" s="1">
        <v>19</v>
      </c>
      <c r="I21" s="1">
        <v>2</v>
      </c>
      <c r="J21" s="98" t="s">
        <v>1418</v>
      </c>
    </row>
    <row r="22" spans="7:10">
      <c r="G22" s="1" t="s">
        <v>181</v>
      </c>
      <c r="H22" s="1">
        <v>20</v>
      </c>
      <c r="I22" s="1">
        <v>2</v>
      </c>
      <c r="J22" s="98" t="s">
        <v>1418</v>
      </c>
    </row>
    <row r="23" spans="7:10">
      <c r="G23" s="1" t="s">
        <v>182</v>
      </c>
      <c r="H23" s="1">
        <v>21</v>
      </c>
      <c r="I23" s="1">
        <v>2</v>
      </c>
      <c r="J23" s="98" t="s">
        <v>1418</v>
      </c>
    </row>
    <row r="24" spans="7:10">
      <c r="G24" s="1" t="s">
        <v>183</v>
      </c>
      <c r="H24" s="1">
        <v>22</v>
      </c>
      <c r="I24" s="1">
        <v>2</v>
      </c>
      <c r="J24" s="98" t="s">
        <v>1418</v>
      </c>
    </row>
    <row r="25" spans="7:10">
      <c r="G25" s="1" t="s">
        <v>185</v>
      </c>
      <c r="H25" s="1">
        <v>23</v>
      </c>
      <c r="I25" s="1">
        <v>2</v>
      </c>
      <c r="J25" s="98" t="s">
        <v>1418</v>
      </c>
    </row>
    <row r="26" spans="7:10">
      <c r="G26" s="1" t="s">
        <v>186</v>
      </c>
      <c r="H26" s="1">
        <v>101</v>
      </c>
      <c r="I26" s="1">
        <v>3</v>
      </c>
      <c r="J26" s="98" t="s">
        <v>1418</v>
      </c>
    </row>
    <row r="27" spans="7:10">
      <c r="G27" s="1" t="s">
        <v>189</v>
      </c>
      <c r="H27" s="1">
        <v>102</v>
      </c>
      <c r="I27" s="1">
        <v>2</v>
      </c>
      <c r="J27" s="98" t="s">
        <v>1418</v>
      </c>
    </row>
    <row r="28" spans="7:10">
      <c r="G28" s="1" t="s">
        <v>192</v>
      </c>
      <c r="H28" s="1">
        <v>103</v>
      </c>
      <c r="I28" s="1">
        <v>2</v>
      </c>
      <c r="J28" s="98" t="s">
        <v>1418</v>
      </c>
    </row>
    <row r="29" spans="7:10">
      <c r="G29" s="1" t="s">
        <v>194</v>
      </c>
      <c r="H29" s="1">
        <v>104</v>
      </c>
      <c r="I29" s="1">
        <v>2</v>
      </c>
      <c r="J29" s="98" t="s">
        <v>1418</v>
      </c>
    </row>
    <row r="30" spans="7:10">
      <c r="G30" s="1" t="s">
        <v>196</v>
      </c>
      <c r="H30" s="1">
        <v>105</v>
      </c>
      <c r="I30" s="1">
        <v>2</v>
      </c>
      <c r="J30" s="98" t="s">
        <v>1418</v>
      </c>
    </row>
    <row r="31" spans="7:10">
      <c r="G31" s="1" t="s">
        <v>197</v>
      </c>
      <c r="H31" s="1">
        <v>200</v>
      </c>
      <c r="I31" s="1">
        <v>1</v>
      </c>
      <c r="J31" s="98" t="s">
        <v>1418</v>
      </c>
    </row>
    <row r="32" spans="7:10">
      <c r="G32" s="1" t="s">
        <v>199</v>
      </c>
      <c r="H32" s="1">
        <v>201</v>
      </c>
      <c r="I32" s="1">
        <v>8</v>
      </c>
      <c r="J32" s="98" t="s">
        <v>1418</v>
      </c>
    </row>
    <row r="33" spans="7:10">
      <c r="G33" s="1" t="s">
        <v>201</v>
      </c>
      <c r="H33" s="1">
        <v>202</v>
      </c>
      <c r="I33" s="1">
        <v>7</v>
      </c>
      <c r="J33" s="98" t="s">
        <v>1418</v>
      </c>
    </row>
    <row r="34" spans="7:10">
      <c r="G34" s="1" t="s">
        <v>203</v>
      </c>
      <c r="H34" s="1">
        <v>117</v>
      </c>
      <c r="I34" s="1">
        <v>3</v>
      </c>
      <c r="J34" s="98" t="s">
        <v>1418</v>
      </c>
    </row>
    <row r="35" spans="7:10">
      <c r="G35" s="1" t="s">
        <v>205</v>
      </c>
      <c r="H35" s="1">
        <v>130</v>
      </c>
      <c r="I35" s="1">
        <v>2</v>
      </c>
      <c r="J35" s="98" t="s">
        <v>1418</v>
      </c>
    </row>
    <row r="36" spans="7:10">
      <c r="G36" s="1" t="s">
        <v>210</v>
      </c>
      <c r="H36" s="1">
        <v>150</v>
      </c>
      <c r="I36" s="1">
        <v>2</v>
      </c>
      <c r="J36" s="98" t="s">
        <v>1418</v>
      </c>
    </row>
    <row r="37" spans="7:10">
      <c r="G37" s="1" t="s">
        <v>214</v>
      </c>
      <c r="H37" s="1">
        <v>151</v>
      </c>
      <c r="I37" s="1">
        <v>2</v>
      </c>
      <c r="J37" s="98" t="s">
        <v>1418</v>
      </c>
    </row>
    <row r="38" spans="7:10">
      <c r="G38" s="1" t="s">
        <v>215</v>
      </c>
      <c r="H38" s="1">
        <v>152</v>
      </c>
      <c r="I38" s="1">
        <v>2</v>
      </c>
      <c r="J38" s="98" t="s">
        <v>1418</v>
      </c>
    </row>
    <row r="39" spans="7:10">
      <c r="G39" s="1" t="s">
        <v>216</v>
      </c>
      <c r="H39" s="1">
        <v>153</v>
      </c>
      <c r="I39" s="1">
        <v>2</v>
      </c>
      <c r="J39" s="98" t="s">
        <v>1418</v>
      </c>
    </row>
    <row r="40" spans="7:10">
      <c r="G40" s="1" t="s">
        <v>217</v>
      </c>
      <c r="H40" s="1">
        <v>156</v>
      </c>
      <c r="I40" s="1">
        <v>3</v>
      </c>
      <c r="J40" s="98" t="s">
        <v>1418</v>
      </c>
    </row>
    <row r="41" spans="7:10">
      <c r="G41" s="1" t="s">
        <v>219</v>
      </c>
      <c r="H41" s="1">
        <v>157</v>
      </c>
      <c r="I41" s="1">
        <v>5</v>
      </c>
      <c r="J41" s="98" t="s">
        <v>1418</v>
      </c>
    </row>
    <row r="42" spans="7:10">
      <c r="G42" s="1" t="s">
        <v>221</v>
      </c>
      <c r="H42" s="1">
        <v>159</v>
      </c>
      <c r="I42" s="1">
        <v>4</v>
      </c>
      <c r="J42" s="98" t="s">
        <v>1418</v>
      </c>
    </row>
    <row r="43" spans="7:10">
      <c r="G43" s="1" t="s">
        <v>223</v>
      </c>
      <c r="H43" s="1">
        <v>160</v>
      </c>
      <c r="I43" s="1">
        <v>1</v>
      </c>
      <c r="J43" s="98" t="s">
        <v>1418</v>
      </c>
    </row>
    <row r="44" spans="7:10">
      <c r="G44" s="1" t="s">
        <v>225</v>
      </c>
      <c r="H44" s="1">
        <v>161</v>
      </c>
      <c r="I44" s="1">
        <v>7</v>
      </c>
      <c r="J44" s="98" t="s">
        <v>1418</v>
      </c>
    </row>
    <row r="45" spans="7:10">
      <c r="G45" s="1" t="s">
        <v>227</v>
      </c>
      <c r="H45" s="1">
        <v>162</v>
      </c>
      <c r="I45" s="1">
        <v>2</v>
      </c>
      <c r="J45" s="98" t="s">
        <v>1418</v>
      </c>
    </row>
    <row r="46" spans="7:10">
      <c r="G46" s="1" t="s">
        <v>229</v>
      </c>
      <c r="H46" s="1">
        <v>163</v>
      </c>
      <c r="I46" s="1">
        <v>2</v>
      </c>
      <c r="J46" s="98" t="s">
        <v>1418</v>
      </c>
    </row>
    <row r="47" spans="7:10">
      <c r="G47" s="1" t="s">
        <v>231</v>
      </c>
      <c r="H47" s="1">
        <v>164</v>
      </c>
      <c r="I47" s="1">
        <v>2</v>
      </c>
      <c r="J47" s="98" t="s">
        <v>1418</v>
      </c>
    </row>
    <row r="48" spans="7:10">
      <c r="G48" s="1" t="s">
        <v>232</v>
      </c>
      <c r="H48" s="1">
        <v>165</v>
      </c>
      <c r="I48" s="1">
        <v>2</v>
      </c>
      <c r="J48" s="98" t="s">
        <v>1418</v>
      </c>
    </row>
    <row r="49" spans="7:10">
      <c r="G49" s="1" t="s">
        <v>233</v>
      </c>
      <c r="H49" s="1">
        <v>166</v>
      </c>
      <c r="I49" s="1">
        <v>2</v>
      </c>
      <c r="J49" s="98" t="s">
        <v>1418</v>
      </c>
    </row>
    <row r="50" spans="7:10">
      <c r="G50" s="1" t="s">
        <v>234</v>
      </c>
      <c r="H50" s="1">
        <v>167</v>
      </c>
      <c r="I50" s="1">
        <v>2</v>
      </c>
      <c r="J50" s="98" t="s">
        <v>1418</v>
      </c>
    </row>
    <row r="51" spans="7:10">
      <c r="G51" s="1" t="s">
        <v>235</v>
      </c>
      <c r="H51" s="1">
        <v>168</v>
      </c>
      <c r="I51" s="1">
        <v>2</v>
      </c>
      <c r="J51" s="98" t="s">
        <v>1418</v>
      </c>
    </row>
    <row r="52" spans="7:10">
      <c r="G52" s="1" t="s">
        <v>236</v>
      </c>
      <c r="H52" s="1">
        <v>169</v>
      </c>
      <c r="I52" s="1">
        <v>2</v>
      </c>
      <c r="J52" s="98" t="s">
        <v>1418</v>
      </c>
    </row>
    <row r="53" spans="7:10">
      <c r="G53" s="1" t="s">
        <v>237</v>
      </c>
      <c r="H53" s="1">
        <v>170</v>
      </c>
      <c r="I53" s="1">
        <v>10</v>
      </c>
      <c r="J53" s="98" t="s">
        <v>1418</v>
      </c>
    </row>
    <row r="54" spans="7:10">
      <c r="G54" s="1" t="s">
        <v>239</v>
      </c>
      <c r="H54" s="1">
        <v>171</v>
      </c>
      <c r="I54" s="1">
        <v>7</v>
      </c>
      <c r="J54" s="98" t="s">
        <v>1418</v>
      </c>
    </row>
    <row r="55" spans="7:10">
      <c r="G55" s="1" t="s">
        <v>241</v>
      </c>
      <c r="H55" s="1">
        <v>172</v>
      </c>
      <c r="I55" s="1">
        <v>3</v>
      </c>
      <c r="J55" s="98" t="s">
        <v>1418</v>
      </c>
    </row>
    <row r="56" spans="7:10">
      <c r="G56" s="1" t="s">
        <v>243</v>
      </c>
      <c r="H56" s="1">
        <v>173</v>
      </c>
      <c r="I56" s="1">
        <v>3</v>
      </c>
      <c r="J56" s="98" t="s">
        <v>1418</v>
      </c>
    </row>
    <row r="57" spans="7:10">
      <c r="G57" s="1" t="s">
        <v>245</v>
      </c>
      <c r="H57" s="1">
        <v>174</v>
      </c>
      <c r="I57" s="1">
        <v>3</v>
      </c>
      <c r="J57" s="98" t="s">
        <v>1418</v>
      </c>
    </row>
    <row r="58" spans="7:10">
      <c r="G58" s="1" t="s">
        <v>247</v>
      </c>
      <c r="H58" s="1">
        <v>210</v>
      </c>
      <c r="I58" s="1">
        <v>5</v>
      </c>
      <c r="J58" s="98" t="s">
        <v>1418</v>
      </c>
    </row>
    <row r="59" spans="7:10">
      <c r="G59" s="1" t="s">
        <v>252</v>
      </c>
      <c r="H59" s="1">
        <v>211</v>
      </c>
      <c r="I59" s="1">
        <v>7</v>
      </c>
      <c r="J59" s="98" t="s">
        <v>1418</v>
      </c>
    </row>
    <row r="60" spans="7:10">
      <c r="G60" s="1" t="s">
        <v>254</v>
      </c>
      <c r="H60" s="1">
        <v>212</v>
      </c>
      <c r="I60" s="1">
        <v>3</v>
      </c>
      <c r="J60" s="98" t="s">
        <v>1418</v>
      </c>
    </row>
    <row r="61" spans="7:10">
      <c r="G61" s="1" t="s">
        <v>256</v>
      </c>
      <c r="H61" s="1">
        <v>213</v>
      </c>
      <c r="I61" s="1">
        <v>2</v>
      </c>
      <c r="J61" s="98" t="s">
        <v>1418</v>
      </c>
    </row>
    <row r="62" spans="7:10">
      <c r="G62" s="1" t="s">
        <v>258</v>
      </c>
      <c r="H62" s="1">
        <v>214</v>
      </c>
      <c r="I62" s="1">
        <v>9</v>
      </c>
      <c r="J62" s="98" t="s">
        <v>1418</v>
      </c>
    </row>
    <row r="63" spans="7:10">
      <c r="G63" s="1" t="s">
        <v>260</v>
      </c>
      <c r="H63" s="1">
        <v>221</v>
      </c>
      <c r="I63" s="1">
        <v>9</v>
      </c>
      <c r="J63" s="98" t="s">
        <v>1418</v>
      </c>
    </row>
    <row r="64" spans="7:10">
      <c r="G64" s="1" t="s">
        <v>265</v>
      </c>
      <c r="H64" s="1">
        <v>222</v>
      </c>
      <c r="I64" s="1">
        <v>9</v>
      </c>
      <c r="J64" s="98" t="s">
        <v>1418</v>
      </c>
    </row>
    <row r="65" spans="7:10">
      <c r="G65" s="1" t="s">
        <v>267</v>
      </c>
      <c r="H65" s="1">
        <v>223</v>
      </c>
      <c r="I65" s="1">
        <v>9</v>
      </c>
      <c r="J65" s="98" t="s">
        <v>1418</v>
      </c>
    </row>
    <row r="66" spans="7:10">
      <c r="G66" s="1" t="s">
        <v>269</v>
      </c>
      <c r="H66" s="1">
        <v>224</v>
      </c>
      <c r="I66" s="1">
        <v>2</v>
      </c>
      <c r="J66" s="98" t="s">
        <v>1418</v>
      </c>
    </row>
    <row r="67" spans="7:10">
      <c r="G67" s="1" t="s">
        <v>271</v>
      </c>
      <c r="H67" s="1">
        <v>225</v>
      </c>
      <c r="I67" s="1">
        <v>3</v>
      </c>
      <c r="J67" s="98" t="s">
        <v>1418</v>
      </c>
    </row>
    <row r="68" spans="7:10">
      <c r="G68" s="1" t="s">
        <v>273</v>
      </c>
      <c r="H68" s="1">
        <v>226</v>
      </c>
      <c r="I68" s="1">
        <v>3</v>
      </c>
      <c r="J68" s="98" t="s">
        <v>1418</v>
      </c>
    </row>
    <row r="69" spans="7:10">
      <c r="G69" s="1" t="s">
        <v>274</v>
      </c>
      <c r="H69" s="1">
        <v>227</v>
      </c>
      <c r="I69" s="1">
        <v>3</v>
      </c>
      <c r="J69" s="98" t="s">
        <v>1418</v>
      </c>
    </row>
    <row r="70" spans="7:10">
      <c r="G70" s="1" t="s">
        <v>275</v>
      </c>
      <c r="H70" s="1">
        <v>230</v>
      </c>
      <c r="I70" s="1">
        <v>5</v>
      </c>
      <c r="J70" s="98" t="s">
        <v>1418</v>
      </c>
    </row>
    <row r="71" spans="7:10">
      <c r="G71" s="1" t="s">
        <v>280</v>
      </c>
      <c r="H71" s="1">
        <v>231</v>
      </c>
      <c r="I71" s="1">
        <v>9</v>
      </c>
      <c r="J71" s="98" t="s">
        <v>1418</v>
      </c>
    </row>
    <row r="72" spans="7:10">
      <c r="G72" s="1" t="s">
        <v>282</v>
      </c>
      <c r="H72" s="1">
        <v>236</v>
      </c>
      <c r="I72" s="1">
        <v>1</v>
      </c>
      <c r="J72" s="98" t="s">
        <v>1418</v>
      </c>
    </row>
    <row r="73" spans="7:10">
      <c r="G73" s="1" t="s">
        <v>284</v>
      </c>
      <c r="H73" s="1">
        <v>237</v>
      </c>
      <c r="I73" s="1">
        <v>2</v>
      </c>
      <c r="J73" s="98" t="s">
        <v>1418</v>
      </c>
    </row>
    <row r="74" spans="7:10">
      <c r="G74" s="1" t="s">
        <v>287</v>
      </c>
      <c r="H74" s="1">
        <v>238</v>
      </c>
      <c r="I74" s="1">
        <v>2</v>
      </c>
      <c r="J74" s="98" t="s">
        <v>1418</v>
      </c>
    </row>
    <row r="75" spans="7:10">
      <c r="G75" s="1" t="s">
        <v>290</v>
      </c>
      <c r="H75" s="1">
        <v>239</v>
      </c>
      <c r="I75" s="1">
        <v>2</v>
      </c>
      <c r="J75" s="98" t="s">
        <v>1418</v>
      </c>
    </row>
    <row r="76" spans="7:10">
      <c r="G76" s="1" t="s">
        <v>293</v>
      </c>
      <c r="H76" s="1">
        <v>240</v>
      </c>
      <c r="I76" s="1">
        <v>2</v>
      </c>
      <c r="J76" s="98" t="s">
        <v>1418</v>
      </c>
    </row>
    <row r="77" spans="7:10">
      <c r="G77" s="1" t="s">
        <v>296</v>
      </c>
      <c r="H77" s="1">
        <v>241</v>
      </c>
      <c r="I77" s="1">
        <v>2</v>
      </c>
      <c r="J77" s="98" t="s">
        <v>1418</v>
      </c>
    </row>
    <row r="78" spans="7:10">
      <c r="G78" s="1" t="s">
        <v>298</v>
      </c>
      <c r="H78" s="1">
        <v>242</v>
      </c>
      <c r="I78" s="1">
        <v>7</v>
      </c>
      <c r="J78" s="98" t="s">
        <v>1418</v>
      </c>
    </row>
    <row r="79" spans="7:10">
      <c r="G79" s="1" t="s">
        <v>300</v>
      </c>
      <c r="H79" s="1">
        <v>243</v>
      </c>
      <c r="I79" s="1">
        <v>11</v>
      </c>
      <c r="J79" s="98" t="s">
        <v>1418</v>
      </c>
    </row>
    <row r="80" spans="7:10">
      <c r="G80" s="1" t="s">
        <v>302</v>
      </c>
      <c r="H80" s="1">
        <v>244</v>
      </c>
      <c r="I80" s="1">
        <v>3</v>
      </c>
      <c r="J80" s="98" t="s">
        <v>1418</v>
      </c>
    </row>
    <row r="81" spans="7:10">
      <c r="G81" s="1" t="s">
        <v>303</v>
      </c>
      <c r="H81" s="1">
        <v>245</v>
      </c>
      <c r="I81" s="1">
        <v>3</v>
      </c>
      <c r="J81" s="98" t="s">
        <v>1418</v>
      </c>
    </row>
    <row r="82" spans="7:10">
      <c r="G82" s="1" t="s">
        <v>304</v>
      </c>
      <c r="H82" s="1">
        <v>246</v>
      </c>
      <c r="I82" s="1">
        <v>3</v>
      </c>
      <c r="J82" s="98" t="s">
        <v>1418</v>
      </c>
    </row>
    <row r="83" spans="7:10">
      <c r="G83" s="1" t="s">
        <v>305</v>
      </c>
      <c r="H83" s="1">
        <v>247</v>
      </c>
      <c r="I83" s="1">
        <v>3</v>
      </c>
      <c r="J83" s="98" t="s">
        <v>1418</v>
      </c>
    </row>
    <row r="84" spans="7:10">
      <c r="G84" s="1" t="s">
        <v>306</v>
      </c>
      <c r="H84" s="1">
        <v>248</v>
      </c>
      <c r="I84" s="1">
        <v>3</v>
      </c>
      <c r="J84" s="98" t="s">
        <v>1418</v>
      </c>
    </row>
    <row r="85" spans="7:10">
      <c r="G85" s="1" t="s">
        <v>307</v>
      </c>
      <c r="H85" s="1">
        <v>250</v>
      </c>
      <c r="I85" s="1">
        <v>5</v>
      </c>
      <c r="J85" s="98" t="s">
        <v>1418</v>
      </c>
    </row>
    <row r="86" spans="7:10">
      <c r="G86" s="1" t="s">
        <v>311</v>
      </c>
      <c r="H86" s="1">
        <v>251</v>
      </c>
      <c r="I86" s="1">
        <v>7</v>
      </c>
      <c r="J86" s="98" t="s">
        <v>1418</v>
      </c>
    </row>
    <row r="87" spans="7:10">
      <c r="G87" s="1" t="s">
        <v>313</v>
      </c>
      <c r="H87" s="1">
        <v>252</v>
      </c>
      <c r="I87" s="1">
        <v>3</v>
      </c>
      <c r="J87" s="98" t="s">
        <v>1418</v>
      </c>
    </row>
    <row r="88" spans="7:10">
      <c r="G88" s="1" t="s">
        <v>315</v>
      </c>
      <c r="H88" s="1">
        <v>253</v>
      </c>
      <c r="I88" s="1">
        <v>9</v>
      </c>
      <c r="J88" s="98" t="s">
        <v>1418</v>
      </c>
    </row>
    <row r="89" spans="7:10">
      <c r="G89" s="1" t="s">
        <v>317</v>
      </c>
      <c r="H89" s="1">
        <v>256</v>
      </c>
      <c r="I89" s="1">
        <v>2</v>
      </c>
      <c r="J89" s="98" t="s">
        <v>1418</v>
      </c>
    </row>
    <row r="90" spans="7:10">
      <c r="G90" s="1" t="s">
        <v>319</v>
      </c>
      <c r="H90" s="1">
        <v>260</v>
      </c>
      <c r="I90" s="1">
        <v>1</v>
      </c>
      <c r="J90" s="98" t="s">
        <v>1418</v>
      </c>
    </row>
    <row r="91" spans="7:10">
      <c r="G91" s="1" t="s">
        <v>25</v>
      </c>
      <c r="H91" s="1">
        <v>262</v>
      </c>
      <c r="I91" s="1">
        <v>3</v>
      </c>
      <c r="J91" s="98" t="s">
        <v>1418</v>
      </c>
    </row>
    <row r="92" spans="7:10">
      <c r="G92" s="1" t="s">
        <v>26</v>
      </c>
      <c r="H92" s="1">
        <v>263</v>
      </c>
      <c r="I92" s="1">
        <v>2</v>
      </c>
      <c r="J92" s="98" t="s">
        <v>1418</v>
      </c>
    </row>
    <row r="93" spans="7:10">
      <c r="G93" s="1" t="s">
        <v>322</v>
      </c>
      <c r="H93" s="1">
        <v>264</v>
      </c>
      <c r="I93" s="1">
        <v>2</v>
      </c>
      <c r="J93" s="98" t="s">
        <v>1418</v>
      </c>
    </row>
    <row r="94" spans="7:10">
      <c r="G94" s="1" t="s">
        <v>324</v>
      </c>
      <c r="H94" s="1">
        <v>265</v>
      </c>
      <c r="I94" s="1">
        <v>2</v>
      </c>
      <c r="J94" s="98" t="s">
        <v>1418</v>
      </c>
    </row>
    <row r="95" spans="7:10">
      <c r="G95" s="1" t="s">
        <v>325</v>
      </c>
      <c r="H95" s="1">
        <v>266</v>
      </c>
      <c r="I95" s="1">
        <v>3</v>
      </c>
      <c r="J95" s="98" t="s">
        <v>1418</v>
      </c>
    </row>
    <row r="96" spans="7:10">
      <c r="G96" s="1" t="s">
        <v>329</v>
      </c>
      <c r="H96" s="1">
        <v>267</v>
      </c>
      <c r="I96" s="1">
        <v>3</v>
      </c>
      <c r="J96" s="98" t="s">
        <v>1418</v>
      </c>
    </row>
    <row r="97" spans="7:10">
      <c r="G97" s="1" t="s">
        <v>331</v>
      </c>
      <c r="H97" s="1">
        <v>268</v>
      </c>
      <c r="I97" s="1">
        <v>3</v>
      </c>
      <c r="J97" s="98" t="s">
        <v>1418</v>
      </c>
    </row>
    <row r="98" spans="7:10">
      <c r="G98" s="1" t="s">
        <v>333</v>
      </c>
      <c r="H98" s="1">
        <v>269</v>
      </c>
      <c r="I98" s="1">
        <v>2</v>
      </c>
      <c r="J98" s="98" t="s">
        <v>1418</v>
      </c>
    </row>
    <row r="99" spans="7:10">
      <c r="G99" s="1" t="s">
        <v>335</v>
      </c>
      <c r="H99" s="1">
        <v>270</v>
      </c>
      <c r="I99" s="1">
        <v>2</v>
      </c>
      <c r="J99" s="98" t="s">
        <v>1418</v>
      </c>
    </row>
    <row r="100" spans="7:10">
      <c r="G100" s="1" t="s">
        <v>336</v>
      </c>
      <c r="H100" s="1">
        <v>271</v>
      </c>
      <c r="I100" s="1">
        <v>2</v>
      </c>
      <c r="J100" s="98" t="s">
        <v>1418</v>
      </c>
    </row>
    <row r="101" spans="7:10">
      <c r="G101" s="1" t="s">
        <v>337</v>
      </c>
      <c r="H101" s="1">
        <v>272</v>
      </c>
      <c r="I101" s="1">
        <v>9</v>
      </c>
      <c r="J101" s="98" t="s">
        <v>1418</v>
      </c>
    </row>
    <row r="102" spans="7:10">
      <c r="G102" s="1" t="s">
        <v>339</v>
      </c>
      <c r="H102" s="1">
        <v>120</v>
      </c>
      <c r="I102" s="1">
        <v>11</v>
      </c>
      <c r="J102" s="98" t="s">
        <v>1418</v>
      </c>
    </row>
    <row r="103" spans="7:10">
      <c r="G103" s="1" t="s">
        <v>341</v>
      </c>
      <c r="H103" s="1">
        <v>273</v>
      </c>
      <c r="I103" s="1">
        <v>2</v>
      </c>
      <c r="J103" s="98" t="s">
        <v>1418</v>
      </c>
    </row>
    <row r="104" spans="7:10">
      <c r="G104" s="1" t="s">
        <v>341</v>
      </c>
      <c r="H104" s="1">
        <v>274</v>
      </c>
      <c r="I104" s="1">
        <v>2</v>
      </c>
      <c r="J104" s="98" t="s">
        <v>1418</v>
      </c>
    </row>
    <row r="105" spans="7:10">
      <c r="G105" s="1" t="s">
        <v>341</v>
      </c>
      <c r="H105" s="1">
        <v>275</v>
      </c>
      <c r="I105" s="1">
        <v>2</v>
      </c>
      <c r="J105" s="98" t="s">
        <v>1418</v>
      </c>
    </row>
    <row r="106" spans="7:10">
      <c r="G106" s="1" t="s">
        <v>347</v>
      </c>
      <c r="H106" s="1">
        <v>300</v>
      </c>
      <c r="I106" s="1">
        <v>1</v>
      </c>
      <c r="J106" s="98" t="s">
        <v>1418</v>
      </c>
    </row>
    <row r="107" spans="7:10">
      <c r="G107" s="1" t="s">
        <v>350</v>
      </c>
      <c r="H107" s="1">
        <v>301</v>
      </c>
      <c r="I107" s="1">
        <v>19</v>
      </c>
      <c r="J107" s="98" t="s">
        <v>1418</v>
      </c>
    </row>
    <row r="108" spans="7:10">
      <c r="G108" s="1" t="s">
        <v>352</v>
      </c>
      <c r="H108" s="1">
        <v>302</v>
      </c>
      <c r="I108" s="1">
        <v>18</v>
      </c>
      <c r="J108" s="98" t="s">
        <v>1418</v>
      </c>
    </row>
    <row r="109" spans="7:10">
      <c r="G109" s="1" t="s">
        <v>354</v>
      </c>
      <c r="H109" s="1">
        <v>303</v>
      </c>
      <c r="I109" s="1">
        <v>2</v>
      </c>
      <c r="J109" s="98" t="s">
        <v>1418</v>
      </c>
    </row>
    <row r="110" spans="7:10">
      <c r="G110" s="1" t="s">
        <v>356</v>
      </c>
      <c r="H110" s="1">
        <v>309</v>
      </c>
      <c r="I110" s="1">
        <v>5</v>
      </c>
      <c r="J110" s="98" t="s">
        <v>1418</v>
      </c>
    </row>
    <row r="111" spans="7:10">
      <c r="G111" s="1" t="s">
        <v>358</v>
      </c>
      <c r="H111" s="1">
        <v>310</v>
      </c>
      <c r="I111" s="1">
        <v>7</v>
      </c>
      <c r="J111" s="98" t="s">
        <v>1418</v>
      </c>
    </row>
    <row r="112" spans="7:10">
      <c r="G112" s="1" t="s">
        <v>359</v>
      </c>
      <c r="H112" s="1">
        <v>311</v>
      </c>
      <c r="I112" s="1">
        <v>3</v>
      </c>
      <c r="J112" s="98" t="s">
        <v>1418</v>
      </c>
    </row>
    <row r="113" spans="7:10">
      <c r="G113" s="1" t="s">
        <v>361</v>
      </c>
      <c r="H113" s="1">
        <v>312</v>
      </c>
      <c r="I113" s="1">
        <v>10</v>
      </c>
      <c r="J113" s="98" t="s">
        <v>1418</v>
      </c>
    </row>
    <row r="114" spans="7:10">
      <c r="G114" s="1" t="s">
        <v>364</v>
      </c>
      <c r="H114" s="1">
        <v>401</v>
      </c>
      <c r="I114" s="1">
        <v>21</v>
      </c>
      <c r="J114" s="98" t="s">
        <v>1418</v>
      </c>
    </row>
    <row r="115" spans="7:10">
      <c r="G115" s="1" t="s">
        <v>368</v>
      </c>
      <c r="H115" s="1">
        <v>402</v>
      </c>
      <c r="I115" s="1">
        <v>20</v>
      </c>
      <c r="J115" s="98" t="s">
        <v>1418</v>
      </c>
    </row>
    <row r="116" spans="7:10">
      <c r="G116" s="1" t="s">
        <v>370</v>
      </c>
      <c r="H116" s="1">
        <v>403</v>
      </c>
      <c r="I116" s="1">
        <v>7</v>
      </c>
      <c r="J116" s="98" t="s">
        <v>1418</v>
      </c>
    </row>
    <row r="117" spans="7:10">
      <c r="G117" s="1" t="s">
        <v>372</v>
      </c>
      <c r="H117" s="1">
        <v>404</v>
      </c>
      <c r="I117" s="1">
        <v>9</v>
      </c>
      <c r="J117" s="98" t="s">
        <v>1418</v>
      </c>
    </row>
    <row r="118" spans="7:10">
      <c r="G118" s="1" t="s">
        <v>374</v>
      </c>
      <c r="H118" s="1">
        <v>405</v>
      </c>
      <c r="I118" s="1">
        <v>2</v>
      </c>
      <c r="J118" s="98" t="s">
        <v>1418</v>
      </c>
    </row>
    <row r="119" spans="7:10">
      <c r="G119" s="1" t="s">
        <v>376</v>
      </c>
      <c r="H119" s="1">
        <v>406</v>
      </c>
      <c r="I119" s="1">
        <v>2</v>
      </c>
      <c r="J119" s="98" t="s">
        <v>1418</v>
      </c>
    </row>
    <row r="120" spans="7:10">
      <c r="G120" s="1" t="s">
        <v>378</v>
      </c>
      <c r="H120" s="1">
        <v>407</v>
      </c>
      <c r="I120" s="1">
        <v>2</v>
      </c>
      <c r="J120" s="98" t="s">
        <v>1418</v>
      </c>
    </row>
    <row r="121" spans="7:10">
      <c r="G121" s="1" t="s">
        <v>380</v>
      </c>
      <c r="H121" s="1">
        <v>408</v>
      </c>
      <c r="I121" s="1">
        <v>2</v>
      </c>
      <c r="J121" s="98" t="s">
        <v>1418</v>
      </c>
    </row>
    <row r="122" spans="7:10">
      <c r="G122" s="1" t="s">
        <v>382</v>
      </c>
      <c r="H122" s="1">
        <v>409</v>
      </c>
      <c r="I122" s="1">
        <v>2</v>
      </c>
      <c r="J122" s="98" t="s">
        <v>1418</v>
      </c>
    </row>
    <row r="123" spans="7:10">
      <c r="G123" s="1" t="s">
        <v>383</v>
      </c>
      <c r="H123" s="1">
        <v>410</v>
      </c>
      <c r="I123" s="1">
        <v>21</v>
      </c>
      <c r="J123" s="98" t="s">
        <v>1418</v>
      </c>
    </row>
    <row r="124" spans="7:10">
      <c r="G124" s="1" t="s">
        <v>386</v>
      </c>
      <c r="H124" s="1">
        <v>411</v>
      </c>
      <c r="I124" s="1">
        <v>9</v>
      </c>
      <c r="J124" s="98" t="s">
        <v>1418</v>
      </c>
    </row>
    <row r="125" spans="7:10">
      <c r="G125" s="1" t="s">
        <v>387</v>
      </c>
      <c r="H125" s="1">
        <v>412</v>
      </c>
      <c r="I125" s="1">
        <v>2</v>
      </c>
      <c r="J125" s="98" t="s">
        <v>1418</v>
      </c>
    </row>
    <row r="126" spans="7:10">
      <c r="G126" s="1" t="s">
        <v>388</v>
      </c>
      <c r="H126" s="1">
        <v>413</v>
      </c>
      <c r="I126" s="1">
        <v>2</v>
      </c>
      <c r="J126" s="98" t="s">
        <v>1418</v>
      </c>
    </row>
    <row r="127" spans="7:10">
      <c r="G127" s="1" t="s">
        <v>389</v>
      </c>
      <c r="H127" s="1">
        <v>414</v>
      </c>
      <c r="I127" s="1">
        <v>2</v>
      </c>
      <c r="J127" s="98" t="s">
        <v>1418</v>
      </c>
    </row>
    <row r="128" spans="7:10">
      <c r="G128" s="1" t="s">
        <v>390</v>
      </c>
      <c r="H128" s="1">
        <v>415</v>
      </c>
      <c r="I128" s="1">
        <v>2</v>
      </c>
      <c r="J128" s="98" t="s">
        <v>1418</v>
      </c>
    </row>
    <row r="129" spans="7:10">
      <c r="G129" s="1" t="s">
        <v>391</v>
      </c>
      <c r="H129" s="1">
        <v>416</v>
      </c>
      <c r="I129" s="1">
        <v>2</v>
      </c>
      <c r="J129" s="98" t="s">
        <v>1418</v>
      </c>
    </row>
    <row r="130" spans="7:10">
      <c r="G130" s="1" t="s">
        <v>392</v>
      </c>
      <c r="H130" s="1">
        <v>417</v>
      </c>
      <c r="I130" s="1">
        <v>21</v>
      </c>
      <c r="J130" s="98" t="s">
        <v>1418</v>
      </c>
    </row>
    <row r="131" spans="7:10">
      <c r="G131" s="1" t="s">
        <v>393</v>
      </c>
      <c r="H131" s="1">
        <v>418</v>
      </c>
      <c r="I131" s="1">
        <v>9</v>
      </c>
      <c r="J131" s="98" t="s">
        <v>1418</v>
      </c>
    </row>
    <row r="132" spans="7:10">
      <c r="G132" s="1" t="s">
        <v>394</v>
      </c>
      <c r="H132" s="1">
        <v>419</v>
      </c>
      <c r="I132" s="1">
        <v>2</v>
      </c>
      <c r="J132" s="98" t="s">
        <v>1418</v>
      </c>
    </row>
    <row r="133" spans="7:10">
      <c r="G133" s="1" t="s">
        <v>395</v>
      </c>
      <c r="H133" s="1">
        <v>420</v>
      </c>
      <c r="I133" s="1">
        <v>2</v>
      </c>
      <c r="J133" s="98" t="s">
        <v>1418</v>
      </c>
    </row>
    <row r="134" spans="7:10">
      <c r="G134" s="1" t="s">
        <v>396</v>
      </c>
      <c r="H134" s="1">
        <v>421</v>
      </c>
      <c r="I134" s="1">
        <v>2</v>
      </c>
      <c r="J134" s="98" t="s">
        <v>1418</v>
      </c>
    </row>
    <row r="135" spans="7:10">
      <c r="G135" s="1" t="s">
        <v>397</v>
      </c>
      <c r="H135" s="1">
        <v>422</v>
      </c>
      <c r="I135" s="1">
        <v>2</v>
      </c>
      <c r="J135" s="98" t="s">
        <v>1418</v>
      </c>
    </row>
    <row r="136" spans="7:10">
      <c r="G136" s="1" t="s">
        <v>398</v>
      </c>
      <c r="H136" s="1">
        <v>423</v>
      </c>
      <c r="I136" s="1">
        <v>2</v>
      </c>
      <c r="J136" s="98" t="s">
        <v>1418</v>
      </c>
    </row>
    <row r="137" spans="7:10">
      <c r="G137" s="1" t="s">
        <v>399</v>
      </c>
      <c r="H137" s="1">
        <v>424</v>
      </c>
      <c r="I137" s="1">
        <v>3</v>
      </c>
      <c r="J137" s="98" t="s">
        <v>1418</v>
      </c>
    </row>
    <row r="138" spans="7:10">
      <c r="G138" s="1" t="s">
        <v>400</v>
      </c>
      <c r="H138" s="1">
        <v>425</v>
      </c>
      <c r="I138" s="1">
        <v>3</v>
      </c>
      <c r="J138" s="98" t="s">
        <v>1418</v>
      </c>
    </row>
    <row r="139" spans="7:10">
      <c r="G139" s="1" t="s">
        <v>401</v>
      </c>
      <c r="H139" s="1">
        <v>426</v>
      </c>
      <c r="I139" s="1">
        <v>3</v>
      </c>
      <c r="J139" s="98" t="s">
        <v>1418</v>
      </c>
    </row>
    <row r="140" spans="7:10">
      <c r="G140" s="1" t="s">
        <v>402</v>
      </c>
      <c r="H140" s="1">
        <v>427</v>
      </c>
      <c r="I140" s="1">
        <v>3</v>
      </c>
      <c r="J140" s="98" t="s">
        <v>1418</v>
      </c>
    </row>
    <row r="141" spans="7:10">
      <c r="G141" s="1" t="s">
        <v>403</v>
      </c>
      <c r="H141" s="1">
        <v>428</v>
      </c>
      <c r="I141" s="1">
        <v>3</v>
      </c>
      <c r="J141" s="98" t="s">
        <v>1418</v>
      </c>
    </row>
    <row r="142" spans="7:10">
      <c r="G142" s="1" t="s">
        <v>404</v>
      </c>
      <c r="H142" s="1">
        <v>429</v>
      </c>
      <c r="I142" s="1">
        <v>3</v>
      </c>
      <c r="J142" s="98" t="s">
        <v>1418</v>
      </c>
    </row>
    <row r="143" spans="7:10">
      <c r="G143" s="1" t="s">
        <v>405</v>
      </c>
      <c r="H143" s="1">
        <v>430</v>
      </c>
      <c r="I143" s="1">
        <v>3</v>
      </c>
      <c r="J143" s="98" t="s">
        <v>1418</v>
      </c>
    </row>
    <row r="144" spans="7:10">
      <c r="G144" s="1" t="s">
        <v>406</v>
      </c>
      <c r="H144" s="1">
        <v>431</v>
      </c>
      <c r="I144" s="1">
        <v>3</v>
      </c>
      <c r="J144" s="98" t="s">
        <v>1418</v>
      </c>
    </row>
    <row r="145" spans="7:10">
      <c r="G145" s="1" t="s">
        <v>407</v>
      </c>
      <c r="H145" s="1">
        <v>432</v>
      </c>
      <c r="I145" s="1">
        <v>3</v>
      </c>
      <c r="J145" s="98" t="s">
        <v>1418</v>
      </c>
    </row>
    <row r="146" spans="7:10">
      <c r="G146" s="1" t="s">
        <v>408</v>
      </c>
      <c r="H146" s="1">
        <v>433</v>
      </c>
      <c r="I146" s="1">
        <v>3</v>
      </c>
      <c r="J146" s="98" t="s">
        <v>1418</v>
      </c>
    </row>
    <row r="147" spans="7:10">
      <c r="G147" s="1" t="s">
        <v>409</v>
      </c>
      <c r="H147" s="1">
        <v>434</v>
      </c>
      <c r="I147" s="1">
        <v>3</v>
      </c>
      <c r="J147" s="98" t="s">
        <v>1418</v>
      </c>
    </row>
    <row r="148" spans="7:10">
      <c r="G148" s="1" t="s">
        <v>410</v>
      </c>
      <c r="H148" s="1">
        <v>435</v>
      </c>
      <c r="I148" s="1">
        <v>3</v>
      </c>
      <c r="J148" s="98" t="s">
        <v>1418</v>
      </c>
    </row>
    <row r="149" spans="7:10">
      <c r="G149" s="1" t="s">
        <v>411</v>
      </c>
      <c r="H149" s="1">
        <v>436</v>
      </c>
      <c r="I149" s="1">
        <v>3</v>
      </c>
      <c r="J149" s="98" t="s">
        <v>1418</v>
      </c>
    </row>
    <row r="150" spans="7:10">
      <c r="G150" s="1" t="s">
        <v>412</v>
      </c>
      <c r="H150" s="1">
        <v>437</v>
      </c>
      <c r="I150" s="1">
        <v>3</v>
      </c>
      <c r="J150" s="98" t="s">
        <v>1418</v>
      </c>
    </row>
    <row r="151" spans="7:10">
      <c r="G151" s="1" t="s">
        <v>413</v>
      </c>
      <c r="H151" s="1">
        <v>438</v>
      </c>
      <c r="I151" s="1">
        <v>3</v>
      </c>
      <c r="J151" s="98" t="s">
        <v>1418</v>
      </c>
    </row>
    <row r="152" spans="7:10">
      <c r="G152" s="1" t="s">
        <v>414</v>
      </c>
      <c r="H152" s="1">
        <v>313</v>
      </c>
      <c r="I152" s="1">
        <v>1</v>
      </c>
      <c r="J152" s="98" t="s">
        <v>1418</v>
      </c>
    </row>
    <row r="153" spans="7:10">
      <c r="G153" s="1" t="s">
        <v>419</v>
      </c>
      <c r="H153" s="1">
        <v>314</v>
      </c>
      <c r="I153" s="1">
        <v>9</v>
      </c>
      <c r="J153" s="98" t="s">
        <v>1418</v>
      </c>
    </row>
    <row r="154" spans="7:10">
      <c r="G154" s="1" t="s">
        <v>420</v>
      </c>
      <c r="H154" s="1">
        <v>315</v>
      </c>
      <c r="I154" s="1">
        <v>2</v>
      </c>
      <c r="J154" s="98" t="s">
        <v>1418</v>
      </c>
    </row>
    <row r="155" spans="7:10">
      <c r="G155" s="1" t="s">
        <v>422</v>
      </c>
      <c r="H155" s="1">
        <v>316</v>
      </c>
      <c r="I155" s="1">
        <v>2</v>
      </c>
      <c r="J155" s="98" t="s">
        <v>1418</v>
      </c>
    </row>
    <row r="156" spans="7:10">
      <c r="G156" s="1" t="s">
        <v>424</v>
      </c>
      <c r="H156" s="1">
        <v>317</v>
      </c>
      <c r="I156" s="1">
        <v>2</v>
      </c>
      <c r="J156" s="98" t="s">
        <v>1418</v>
      </c>
    </row>
    <row r="157" spans="7:10">
      <c r="G157" s="1" t="s">
        <v>425</v>
      </c>
      <c r="H157" s="1">
        <v>318</v>
      </c>
      <c r="I157" s="1">
        <v>1</v>
      </c>
      <c r="J157" s="98" t="s">
        <v>1418</v>
      </c>
    </row>
    <row r="158" spans="7:10">
      <c r="G158" s="1" t="s">
        <v>427</v>
      </c>
      <c r="H158" s="1">
        <v>319</v>
      </c>
      <c r="I158" s="1">
        <v>1</v>
      </c>
      <c r="J158" s="98" t="s">
        <v>1418</v>
      </c>
    </row>
    <row r="159" spans="7:10">
      <c r="G159" s="1" t="s">
        <v>428</v>
      </c>
      <c r="H159" s="1">
        <v>320</v>
      </c>
      <c r="I159" s="1">
        <v>1</v>
      </c>
      <c r="J159" s="98" t="s">
        <v>1418</v>
      </c>
    </row>
    <row r="160" spans="7:10">
      <c r="G160" s="1" t="s">
        <v>414</v>
      </c>
      <c r="H160" s="1">
        <v>350</v>
      </c>
      <c r="I160" s="1">
        <v>1</v>
      </c>
      <c r="J160" s="98" t="s">
        <v>1418</v>
      </c>
    </row>
    <row r="161" spans="7:10">
      <c r="G161" s="1" t="s">
        <v>430</v>
      </c>
      <c r="H161" s="1">
        <v>351</v>
      </c>
      <c r="I161" s="1">
        <v>9</v>
      </c>
      <c r="J161" s="98" t="s">
        <v>1418</v>
      </c>
    </row>
    <row r="162" spans="7:10">
      <c r="G162" s="1" t="s">
        <v>431</v>
      </c>
      <c r="H162" s="1">
        <v>352</v>
      </c>
      <c r="I162" s="1">
        <v>9</v>
      </c>
      <c r="J162" s="98" t="s">
        <v>1418</v>
      </c>
    </row>
    <row r="163" spans="7:10">
      <c r="G163" s="1" t="s">
        <v>433</v>
      </c>
      <c r="H163" s="1">
        <v>353</v>
      </c>
      <c r="I163" s="1">
        <v>9</v>
      </c>
      <c r="J163" s="98" t="s">
        <v>1418</v>
      </c>
    </row>
    <row r="164" spans="7:10">
      <c r="G164" s="1" t="s">
        <v>420</v>
      </c>
      <c r="H164" s="1">
        <v>354</v>
      </c>
      <c r="I164" s="1">
        <v>2</v>
      </c>
      <c r="J164" s="98" t="s">
        <v>1418</v>
      </c>
    </row>
    <row r="165" spans="7:10">
      <c r="G165" s="1" t="s">
        <v>422</v>
      </c>
      <c r="H165" s="1">
        <v>355</v>
      </c>
      <c r="I165" s="1">
        <v>2</v>
      </c>
      <c r="J165" s="98" t="s">
        <v>1418</v>
      </c>
    </row>
    <row r="166" spans="7:10">
      <c r="G166" s="1" t="s">
        <v>424</v>
      </c>
      <c r="H166" s="1">
        <v>356</v>
      </c>
      <c r="I166" s="1">
        <v>2</v>
      </c>
      <c r="J166" s="98" t="s">
        <v>1418</v>
      </c>
    </row>
    <row r="167" spans="7:10">
      <c r="G167" s="1" t="s">
        <v>425</v>
      </c>
      <c r="H167" s="1">
        <v>357</v>
      </c>
      <c r="I167" s="1">
        <v>1</v>
      </c>
      <c r="J167" s="98" t="s">
        <v>1418</v>
      </c>
    </row>
    <row r="168" spans="7:10">
      <c r="G168" s="1" t="s">
        <v>427</v>
      </c>
      <c r="H168" s="1">
        <v>358</v>
      </c>
      <c r="I168" s="1">
        <v>1</v>
      </c>
      <c r="J168" s="98" t="s">
        <v>1418</v>
      </c>
    </row>
    <row r="169" spans="7:10">
      <c r="G169" s="1" t="s">
        <v>428</v>
      </c>
      <c r="H169" s="1">
        <v>359</v>
      </c>
      <c r="I169" s="1">
        <v>1</v>
      </c>
      <c r="J169" s="98" t="s">
        <v>1418</v>
      </c>
    </row>
    <row r="170" spans="7:10">
      <c r="G170" s="1" t="s">
        <v>434</v>
      </c>
      <c r="H170" s="1">
        <v>326</v>
      </c>
      <c r="I170" s="1">
        <v>5</v>
      </c>
      <c r="J170" s="98" t="s">
        <v>1418</v>
      </c>
    </row>
    <row r="171" spans="7:10">
      <c r="G171" s="1" t="s">
        <v>435</v>
      </c>
      <c r="H171" s="1">
        <v>327</v>
      </c>
      <c r="I171" s="1">
        <v>7</v>
      </c>
      <c r="J171" s="98" t="s">
        <v>1418</v>
      </c>
    </row>
    <row r="172" spans="7:10">
      <c r="G172" s="1" t="s">
        <v>436</v>
      </c>
      <c r="H172" s="1">
        <v>328</v>
      </c>
      <c r="I172" s="1">
        <v>4</v>
      </c>
      <c r="J172" s="98" t="s">
        <v>1418</v>
      </c>
    </row>
    <row r="173" spans="7:10">
      <c r="G173" s="1" t="s">
        <v>437</v>
      </c>
      <c r="H173" s="1">
        <v>329</v>
      </c>
      <c r="I173" s="1">
        <v>1</v>
      </c>
      <c r="J173" s="98" t="s">
        <v>1418</v>
      </c>
    </row>
    <row r="174" spans="7:10">
      <c r="G174" s="1" t="s">
        <v>438</v>
      </c>
      <c r="H174" s="1">
        <v>331</v>
      </c>
      <c r="I174" s="1">
        <v>3</v>
      </c>
      <c r="J174" s="98" t="s">
        <v>1418</v>
      </c>
    </row>
    <row r="175" spans="7:10">
      <c r="G175" s="1" t="s">
        <v>439</v>
      </c>
      <c r="H175" s="1">
        <v>332</v>
      </c>
      <c r="I175" s="1">
        <v>3</v>
      </c>
      <c r="J175" s="98" t="s">
        <v>1418</v>
      </c>
    </row>
    <row r="176" spans="7:10">
      <c r="G176" s="1" t="s">
        <v>440</v>
      </c>
      <c r="H176" s="1">
        <v>333</v>
      </c>
      <c r="I176" s="1">
        <v>7</v>
      </c>
      <c r="J176" s="98" t="s">
        <v>1418</v>
      </c>
    </row>
    <row r="177" spans="7:10">
      <c r="G177" s="1" t="s">
        <v>441</v>
      </c>
      <c r="H177" s="1">
        <v>334</v>
      </c>
      <c r="I177" s="1">
        <v>2</v>
      </c>
      <c r="J177" s="98" t="s">
        <v>1418</v>
      </c>
    </row>
    <row r="178" spans="7:10">
      <c r="G178" s="1" t="s">
        <v>442</v>
      </c>
      <c r="H178" s="1">
        <v>335</v>
      </c>
      <c r="I178" s="1">
        <v>2</v>
      </c>
      <c r="J178" s="98" t="s">
        <v>1418</v>
      </c>
    </row>
    <row r="179" spans="7:10">
      <c r="G179" s="1" t="s">
        <v>443</v>
      </c>
      <c r="H179" s="1">
        <v>336</v>
      </c>
      <c r="I179" s="1">
        <v>2</v>
      </c>
      <c r="J179" s="98" t="s">
        <v>1418</v>
      </c>
    </row>
    <row r="180" spans="7:10">
      <c r="G180" s="1" t="s">
        <v>444</v>
      </c>
      <c r="H180" s="1">
        <v>337</v>
      </c>
      <c r="I180" s="1">
        <v>2</v>
      </c>
      <c r="J180" s="98" t="s">
        <v>1418</v>
      </c>
    </row>
    <row r="181" spans="7:10">
      <c r="G181" s="1" t="s">
        <v>445</v>
      </c>
      <c r="H181" s="1">
        <v>338</v>
      </c>
      <c r="I181" s="1">
        <v>2</v>
      </c>
      <c r="J181" s="98" t="s">
        <v>1418</v>
      </c>
    </row>
    <row r="182" spans="7:10">
      <c r="G182" s="1" t="s">
        <v>446</v>
      </c>
      <c r="H182" s="1">
        <v>339</v>
      </c>
      <c r="I182" s="1">
        <v>2</v>
      </c>
      <c r="J182" s="98" t="s">
        <v>1418</v>
      </c>
    </row>
    <row r="183" spans="7:10">
      <c r="G183" s="1" t="s">
        <v>447</v>
      </c>
      <c r="H183" s="1">
        <v>340</v>
      </c>
      <c r="I183" s="1">
        <v>2</v>
      </c>
      <c r="J183" s="98" t="s">
        <v>1418</v>
      </c>
    </row>
    <row r="184" spans="7:10">
      <c r="G184" s="1" t="s">
        <v>448</v>
      </c>
      <c r="H184" s="1">
        <v>341</v>
      </c>
      <c r="I184" s="1">
        <v>2</v>
      </c>
      <c r="J184" s="98" t="s">
        <v>1418</v>
      </c>
    </row>
    <row r="185" spans="7:10">
      <c r="G185" s="1" t="s">
        <v>449</v>
      </c>
      <c r="H185" s="1">
        <v>342</v>
      </c>
      <c r="I185" s="1">
        <v>3</v>
      </c>
      <c r="J185" s="98" t="s">
        <v>1418</v>
      </c>
    </row>
    <row r="186" spans="7:10">
      <c r="G186" s="1" t="s">
        <v>450</v>
      </c>
      <c r="H186" s="1">
        <v>360</v>
      </c>
      <c r="I186" s="1">
        <v>10</v>
      </c>
      <c r="J186" s="98" t="s">
        <v>1418</v>
      </c>
    </row>
    <row r="187" spans="7:10">
      <c r="G187" s="1" t="s">
        <v>452</v>
      </c>
      <c r="H187" s="1">
        <v>361</v>
      </c>
      <c r="I187" s="1">
        <v>3</v>
      </c>
      <c r="J187" s="98" t="s">
        <v>1418</v>
      </c>
    </row>
    <row r="188" spans="7:10">
      <c r="G188" s="1" t="s">
        <v>453</v>
      </c>
      <c r="H188" s="1">
        <v>362</v>
      </c>
      <c r="I188" s="1">
        <v>3</v>
      </c>
      <c r="J188" s="98" t="s">
        <v>1418</v>
      </c>
    </row>
    <row r="189" spans="7:10">
      <c r="G189" s="1" t="s">
        <v>454</v>
      </c>
      <c r="H189" s="1">
        <v>363</v>
      </c>
      <c r="I189" s="1">
        <v>3</v>
      </c>
      <c r="J189" s="98" t="s">
        <v>1418</v>
      </c>
    </row>
    <row r="190" spans="7:10">
      <c r="G190" s="1" t="s">
        <v>455</v>
      </c>
      <c r="H190" s="1">
        <v>323</v>
      </c>
      <c r="I190" s="1">
        <v>5</v>
      </c>
      <c r="J190" s="98" t="s">
        <v>1418</v>
      </c>
    </row>
    <row r="191" spans="7:10">
      <c r="G191" s="1" t="s">
        <v>459</v>
      </c>
      <c r="H191" s="1">
        <v>324</v>
      </c>
      <c r="I191" s="1">
        <v>3</v>
      </c>
      <c r="J191" s="98" t="s">
        <v>1418</v>
      </c>
    </row>
    <row r="192" spans="7:10">
      <c r="G192" s="1" t="s">
        <v>460</v>
      </c>
      <c r="H192" s="1">
        <v>325</v>
      </c>
      <c r="I192" s="1">
        <v>22</v>
      </c>
      <c r="J192" s="98" t="s">
        <v>1418</v>
      </c>
    </row>
    <row r="193" spans="7:10">
      <c r="G193" s="1" t="s">
        <v>414</v>
      </c>
      <c r="H193" s="1">
        <v>364</v>
      </c>
      <c r="I193" s="1">
        <v>1</v>
      </c>
      <c r="J193" s="98" t="s">
        <v>1418</v>
      </c>
    </row>
    <row r="194" spans="7:10">
      <c r="G194" s="1" t="s">
        <v>455</v>
      </c>
      <c r="H194" s="1">
        <v>365</v>
      </c>
      <c r="I194" s="1">
        <v>5</v>
      </c>
      <c r="J194" s="98" t="s">
        <v>1418</v>
      </c>
    </row>
    <row r="195" spans="7:10">
      <c r="G195" s="1" t="s">
        <v>459</v>
      </c>
      <c r="H195" s="1">
        <v>366</v>
      </c>
      <c r="I195" s="1">
        <v>3</v>
      </c>
      <c r="J195" s="98" t="s">
        <v>1418</v>
      </c>
    </row>
    <row r="196" spans="7:10">
      <c r="G196" s="1" t="s">
        <v>467</v>
      </c>
      <c r="H196" s="1">
        <v>367</v>
      </c>
      <c r="I196" s="1">
        <v>22</v>
      </c>
      <c r="J196" s="98" t="s">
        <v>1418</v>
      </c>
    </row>
    <row r="197" spans="7:10">
      <c r="G197" s="1" t="s">
        <v>469</v>
      </c>
      <c r="H197" s="1">
        <v>368</v>
      </c>
      <c r="I197" s="1">
        <v>22</v>
      </c>
      <c r="J197" s="98" t="s">
        <v>1418</v>
      </c>
    </row>
    <row r="198" spans="7:10">
      <c r="G198" s="1" t="s">
        <v>470</v>
      </c>
      <c r="H198" s="1">
        <v>439</v>
      </c>
      <c r="I198" s="1">
        <v>12</v>
      </c>
      <c r="J198" s="98" t="s">
        <v>1418</v>
      </c>
    </row>
    <row r="199" spans="7:10">
      <c r="G199" s="1" t="s">
        <v>473</v>
      </c>
      <c r="H199" s="1">
        <v>440</v>
      </c>
      <c r="I199" s="1">
        <v>9</v>
      </c>
      <c r="J199" s="98" t="s">
        <v>1418</v>
      </c>
    </row>
    <row r="200" spans="7:10">
      <c r="G200" s="1" t="s">
        <v>474</v>
      </c>
      <c r="H200" s="1">
        <v>441</v>
      </c>
      <c r="I200" s="1">
        <v>2</v>
      </c>
      <c r="J200" s="98" t="s">
        <v>1418</v>
      </c>
    </row>
    <row r="201" spans="7:10">
      <c r="G201" s="1" t="s">
        <v>475</v>
      </c>
      <c r="H201" s="1">
        <v>442</v>
      </c>
      <c r="I201" s="1">
        <v>2</v>
      </c>
      <c r="J201" s="98" t="s">
        <v>1418</v>
      </c>
    </row>
    <row r="202" spans="7:10">
      <c r="G202" s="1" t="s">
        <v>477</v>
      </c>
      <c r="H202" s="1">
        <v>443</v>
      </c>
      <c r="I202" s="1">
        <v>2</v>
      </c>
      <c r="J202" s="98" t="s">
        <v>1418</v>
      </c>
    </row>
    <row r="203" spans="7:10">
      <c r="G203" s="1" t="s">
        <v>478</v>
      </c>
      <c r="H203" s="1">
        <v>444</v>
      </c>
      <c r="I203" s="1">
        <v>1</v>
      </c>
      <c r="J203" s="98" t="s">
        <v>1418</v>
      </c>
    </row>
    <row r="204" spans="7:10">
      <c r="G204" s="1" t="s">
        <v>479</v>
      </c>
      <c r="H204" s="1">
        <v>445</v>
      </c>
      <c r="I204" s="1">
        <v>1</v>
      </c>
      <c r="J204" s="98" t="s">
        <v>1418</v>
      </c>
    </row>
    <row r="205" spans="7:10">
      <c r="G205" s="1" t="s">
        <v>480</v>
      </c>
      <c r="H205" s="1">
        <v>446</v>
      </c>
      <c r="I205" s="1">
        <v>1</v>
      </c>
      <c r="J205" s="98" t="s">
        <v>1418</v>
      </c>
    </row>
    <row r="206" spans="7:10">
      <c r="G206" s="1" t="s">
        <v>470</v>
      </c>
      <c r="H206" s="1">
        <v>447</v>
      </c>
      <c r="I206" s="1">
        <v>12</v>
      </c>
      <c r="J206" s="98" t="s">
        <v>1418</v>
      </c>
    </row>
    <row r="207" spans="7:10">
      <c r="G207" s="1" t="s">
        <v>482</v>
      </c>
      <c r="H207" s="1">
        <v>448</v>
      </c>
      <c r="I207" s="1">
        <v>9</v>
      </c>
      <c r="J207" s="98" t="s">
        <v>1418</v>
      </c>
    </row>
    <row r="208" spans="7:10">
      <c r="G208" s="1" t="s">
        <v>483</v>
      </c>
      <c r="H208" s="1">
        <v>449</v>
      </c>
      <c r="I208" s="1">
        <v>2</v>
      </c>
      <c r="J208" s="98" t="s">
        <v>1418</v>
      </c>
    </row>
    <row r="209" spans="7:10">
      <c r="G209" s="1" t="s">
        <v>485</v>
      </c>
      <c r="H209" s="1">
        <v>450</v>
      </c>
      <c r="I209" s="1">
        <v>2</v>
      </c>
      <c r="J209" s="98" t="s">
        <v>1418</v>
      </c>
    </row>
    <row r="210" spans="7:10">
      <c r="G210" s="1" t="s">
        <v>487</v>
      </c>
      <c r="H210" s="1">
        <v>451</v>
      </c>
      <c r="I210" s="1">
        <v>2</v>
      </c>
      <c r="J210" s="98" t="s">
        <v>1418</v>
      </c>
    </row>
    <row r="211" spans="7:10">
      <c r="G211" s="1" t="s">
        <v>478</v>
      </c>
      <c r="H211" s="1">
        <v>452</v>
      </c>
      <c r="I211" s="1">
        <v>1</v>
      </c>
      <c r="J211" s="98" t="s">
        <v>1418</v>
      </c>
    </row>
    <row r="212" spans="7:10">
      <c r="G212" s="1" t="s">
        <v>479</v>
      </c>
      <c r="H212" s="1">
        <v>453</v>
      </c>
      <c r="I212" s="1">
        <v>1</v>
      </c>
      <c r="J212" s="98" t="s">
        <v>1418</v>
      </c>
    </row>
    <row r="213" spans="7:10">
      <c r="G213" s="1" t="s">
        <v>480</v>
      </c>
      <c r="H213" s="1">
        <v>454</v>
      </c>
      <c r="I213" s="1">
        <v>1</v>
      </c>
      <c r="J213" s="98" t="s">
        <v>1418</v>
      </c>
    </row>
    <row r="214" spans="7:10">
      <c r="G214" s="1" t="s">
        <v>488</v>
      </c>
      <c r="H214" s="1">
        <v>455</v>
      </c>
      <c r="I214" s="1">
        <v>9</v>
      </c>
      <c r="J214" s="98" t="s">
        <v>1418</v>
      </c>
    </row>
    <row r="215" spans="7:10">
      <c r="G215" s="1" t="s">
        <v>489</v>
      </c>
      <c r="H215" s="1">
        <v>456</v>
      </c>
      <c r="I215" s="1">
        <v>9</v>
      </c>
      <c r="J215" s="98" t="s">
        <v>1418</v>
      </c>
    </row>
    <row r="216" spans="7:10">
      <c r="G216" s="1" t="s">
        <v>490</v>
      </c>
      <c r="H216" s="1">
        <v>457</v>
      </c>
      <c r="I216" s="1">
        <v>2</v>
      </c>
      <c r="J216" s="98" t="s">
        <v>1418</v>
      </c>
    </row>
    <row r="217" spans="7:10">
      <c r="G217" s="1" t="s">
        <v>491</v>
      </c>
      <c r="H217" s="1">
        <v>458</v>
      </c>
      <c r="I217" s="1">
        <v>2</v>
      </c>
      <c r="J217" s="98" t="s">
        <v>1418</v>
      </c>
    </row>
    <row r="218" spans="7:10">
      <c r="G218" s="1" t="s">
        <v>492</v>
      </c>
      <c r="H218" s="1">
        <v>459</v>
      </c>
      <c r="I218" s="1">
        <v>2</v>
      </c>
      <c r="J218" s="98" t="s">
        <v>1418</v>
      </c>
    </row>
    <row r="219" spans="7:10">
      <c r="G219" s="1" t="s">
        <v>493</v>
      </c>
      <c r="H219" s="1">
        <v>500</v>
      </c>
      <c r="I219" s="1">
        <v>1</v>
      </c>
      <c r="J219" s="98" t="s">
        <v>1418</v>
      </c>
    </row>
    <row r="220" spans="7:10">
      <c r="G220" s="1" t="s">
        <v>495</v>
      </c>
      <c r="H220" s="1">
        <v>501</v>
      </c>
      <c r="I220" s="1">
        <v>19</v>
      </c>
      <c r="J220" s="98" t="s">
        <v>1418</v>
      </c>
    </row>
    <row r="221" spans="7:10">
      <c r="G221" s="1" t="s">
        <v>496</v>
      </c>
      <c r="H221" s="1">
        <v>502</v>
      </c>
      <c r="I221" s="1">
        <v>18</v>
      </c>
      <c r="J221" s="98" t="s">
        <v>1418</v>
      </c>
    </row>
    <row r="222" spans="7:10">
      <c r="G222" s="1" t="s">
        <v>498</v>
      </c>
      <c r="H222" s="1">
        <v>503</v>
      </c>
      <c r="I222" s="1">
        <v>2</v>
      </c>
      <c r="J222" s="98" t="s">
        <v>1418</v>
      </c>
    </row>
    <row r="223" spans="7:10">
      <c r="G223" s="1" t="s">
        <v>500</v>
      </c>
      <c r="H223" s="1">
        <v>504</v>
      </c>
      <c r="I223" s="1">
        <v>5</v>
      </c>
      <c r="J223" s="98" t="s">
        <v>1418</v>
      </c>
    </row>
    <row r="224" spans="7:10">
      <c r="G224" s="1" t="s">
        <v>502</v>
      </c>
      <c r="H224" s="1">
        <v>505</v>
      </c>
      <c r="I224" s="1">
        <v>7</v>
      </c>
      <c r="J224" s="98" t="s">
        <v>1418</v>
      </c>
    </row>
    <row r="225" spans="7:10">
      <c r="G225" s="1" t="s">
        <v>503</v>
      </c>
      <c r="H225" s="1">
        <v>506</v>
      </c>
      <c r="I225" s="1">
        <v>3</v>
      </c>
      <c r="J225" s="98" t="s">
        <v>1418</v>
      </c>
    </row>
    <row r="226" spans="7:10">
      <c r="G226" s="1" t="s">
        <v>504</v>
      </c>
      <c r="H226" s="1">
        <v>507</v>
      </c>
      <c r="I226" s="1">
        <v>10</v>
      </c>
      <c r="J226" s="98" t="s">
        <v>1418</v>
      </c>
    </row>
    <row r="227" spans="7:10">
      <c r="G227" s="1" t="s">
        <v>493</v>
      </c>
      <c r="H227" s="1">
        <v>508</v>
      </c>
      <c r="I227" s="1">
        <v>1</v>
      </c>
      <c r="J227" s="98" t="s">
        <v>1418</v>
      </c>
    </row>
    <row r="228" spans="7:10">
      <c r="G228" s="1" t="s">
        <v>495</v>
      </c>
      <c r="H228" s="1">
        <v>509</v>
      </c>
      <c r="I228" s="1">
        <v>19</v>
      </c>
      <c r="J228" s="98" t="s">
        <v>1418</v>
      </c>
    </row>
    <row r="229" spans="7:10">
      <c r="G229" s="1" t="s">
        <v>496</v>
      </c>
      <c r="H229" s="1">
        <v>510</v>
      </c>
      <c r="I229" s="1">
        <v>18</v>
      </c>
      <c r="J229" s="98" t="s">
        <v>1418</v>
      </c>
    </row>
    <row r="230" spans="7:10">
      <c r="G230" s="1" t="s">
        <v>498</v>
      </c>
      <c r="H230" s="1">
        <v>511</v>
      </c>
      <c r="I230" s="1">
        <v>2</v>
      </c>
      <c r="J230" s="98" t="s">
        <v>1418</v>
      </c>
    </row>
    <row r="231" spans="7:10">
      <c r="G231" s="1" t="s">
        <v>500</v>
      </c>
      <c r="H231" s="1">
        <v>512</v>
      </c>
      <c r="I231" s="1">
        <v>5</v>
      </c>
      <c r="J231" s="98" t="s">
        <v>1418</v>
      </c>
    </row>
    <row r="232" spans="7:10">
      <c r="G232" s="1" t="s">
        <v>502</v>
      </c>
      <c r="H232" s="1">
        <v>513</v>
      </c>
      <c r="I232" s="1">
        <v>7</v>
      </c>
      <c r="J232" s="98" t="s">
        <v>1418</v>
      </c>
    </row>
    <row r="233" spans="7:10">
      <c r="G233" s="1" t="s">
        <v>503</v>
      </c>
      <c r="H233" s="1">
        <v>514</v>
      </c>
      <c r="I233" s="1">
        <v>3</v>
      </c>
      <c r="J233" s="98" t="s">
        <v>1418</v>
      </c>
    </row>
    <row r="234" spans="7:10">
      <c r="G234" s="1" t="s">
        <v>504</v>
      </c>
      <c r="H234" s="1">
        <v>516</v>
      </c>
      <c r="I234" s="1">
        <v>10</v>
      </c>
      <c r="J234" s="98" t="s">
        <v>1418</v>
      </c>
    </row>
    <row r="235" spans="7:10">
      <c r="G235" s="1" t="s">
        <v>509</v>
      </c>
      <c r="H235" s="1">
        <v>515</v>
      </c>
      <c r="I235" s="1">
        <v>1</v>
      </c>
      <c r="J235" s="98" t="s">
        <v>1418</v>
      </c>
    </row>
    <row r="236" spans="7:10">
      <c r="G236" s="1" t="s">
        <v>470</v>
      </c>
      <c r="H236" s="1">
        <v>550</v>
      </c>
      <c r="I236" s="1">
        <v>12</v>
      </c>
      <c r="J236" s="98" t="s">
        <v>1418</v>
      </c>
    </row>
    <row r="237" spans="7:10">
      <c r="G237" s="1" t="s">
        <v>512</v>
      </c>
      <c r="H237" s="1">
        <v>551</v>
      </c>
      <c r="I237" s="1">
        <v>5</v>
      </c>
      <c r="J237" s="98" t="s">
        <v>1418</v>
      </c>
    </row>
    <row r="238" spans="7:10">
      <c r="G238" s="1" t="s">
        <v>514</v>
      </c>
      <c r="H238" s="1">
        <v>552</v>
      </c>
      <c r="I238" s="1">
        <v>7</v>
      </c>
      <c r="J238" s="98" t="s">
        <v>1418</v>
      </c>
    </row>
    <row r="239" spans="7:10">
      <c r="G239" s="1" t="s">
        <v>515</v>
      </c>
      <c r="H239" s="1">
        <v>553</v>
      </c>
      <c r="I239" s="1">
        <v>2</v>
      </c>
      <c r="J239" s="98" t="s">
        <v>1418</v>
      </c>
    </row>
    <row r="240" spans="7:10">
      <c r="G240" s="1" t="s">
        <v>517</v>
      </c>
      <c r="H240" s="1">
        <v>554</v>
      </c>
      <c r="I240" s="1">
        <v>2</v>
      </c>
      <c r="J240" s="98" t="s">
        <v>1418</v>
      </c>
    </row>
    <row r="241" spans="7:10">
      <c r="G241" s="1" t="s">
        <v>518</v>
      </c>
      <c r="H241" s="1">
        <v>555</v>
      </c>
      <c r="I241" s="1">
        <v>2</v>
      </c>
      <c r="J241" s="98" t="s">
        <v>1418</v>
      </c>
    </row>
    <row r="242" spans="7:10">
      <c r="G242" s="1" t="s">
        <v>519</v>
      </c>
      <c r="H242" s="1">
        <v>556</v>
      </c>
      <c r="I242" s="1">
        <v>2</v>
      </c>
      <c r="J242" s="98" t="s">
        <v>1418</v>
      </c>
    </row>
    <row r="243" spans="7:10">
      <c r="G243" s="1" t="s">
        <v>521</v>
      </c>
      <c r="H243" s="1">
        <v>557</v>
      </c>
      <c r="I243" s="1">
        <v>2</v>
      </c>
      <c r="J243" s="98" t="s">
        <v>1418</v>
      </c>
    </row>
    <row r="244" spans="7:10">
      <c r="G244" s="1" t="s">
        <v>522</v>
      </c>
      <c r="H244" s="1">
        <v>558</v>
      </c>
      <c r="I244" s="1">
        <v>2</v>
      </c>
      <c r="J244" s="98" t="s">
        <v>1418</v>
      </c>
    </row>
    <row r="245" spans="7:10">
      <c r="G245" s="1" t="s">
        <v>524</v>
      </c>
      <c r="H245" s="1">
        <v>559</v>
      </c>
      <c r="I245" s="1">
        <v>2</v>
      </c>
      <c r="J245" s="98" t="s">
        <v>1418</v>
      </c>
    </row>
    <row r="246" spans="7:10">
      <c r="G246" s="1" t="s">
        <v>526</v>
      </c>
      <c r="H246" s="1">
        <v>560</v>
      </c>
      <c r="I246" s="1">
        <v>2</v>
      </c>
      <c r="J246" s="98" t="s">
        <v>1418</v>
      </c>
    </row>
    <row r="247" spans="7:10">
      <c r="G247" s="1" t="s">
        <v>528</v>
      </c>
      <c r="H247" s="1">
        <v>561</v>
      </c>
      <c r="I247" s="1">
        <v>2</v>
      </c>
      <c r="J247" s="98" t="s">
        <v>1418</v>
      </c>
    </row>
    <row r="248" spans="7:10">
      <c r="G248" s="1" t="s">
        <v>529</v>
      </c>
      <c r="H248" s="1">
        <v>562</v>
      </c>
      <c r="I248" s="1">
        <v>18</v>
      </c>
      <c r="J248" s="98" t="s">
        <v>1418</v>
      </c>
    </row>
    <row r="249" spans="7:10">
      <c r="G249" s="1" t="s">
        <v>530</v>
      </c>
      <c r="H249" s="1">
        <v>563</v>
      </c>
      <c r="I249" s="1">
        <v>11</v>
      </c>
      <c r="J249" s="98" t="s">
        <v>1418</v>
      </c>
    </row>
    <row r="250" spans="7:10">
      <c r="G250" s="1" t="s">
        <v>532</v>
      </c>
      <c r="H250" s="1">
        <v>564</v>
      </c>
      <c r="I250" s="1">
        <v>3</v>
      </c>
      <c r="J250" s="98" t="s">
        <v>1418</v>
      </c>
    </row>
    <row r="251" spans="7:10">
      <c r="G251" s="1" t="s">
        <v>470</v>
      </c>
      <c r="H251" s="1">
        <v>565</v>
      </c>
      <c r="I251" s="1">
        <v>12</v>
      </c>
      <c r="J251" s="98" t="s">
        <v>1418</v>
      </c>
    </row>
    <row r="252" spans="7:10">
      <c r="G252" s="1" t="s">
        <v>514</v>
      </c>
      <c r="H252" s="1">
        <v>566</v>
      </c>
      <c r="I252" s="1">
        <v>7</v>
      </c>
      <c r="J252" s="98" t="s">
        <v>1418</v>
      </c>
    </row>
    <row r="253" spans="7:10">
      <c r="G253" s="1" t="s">
        <v>515</v>
      </c>
      <c r="H253" s="1">
        <v>567</v>
      </c>
      <c r="I253" s="1">
        <v>2</v>
      </c>
      <c r="J253" s="98" t="s">
        <v>1418</v>
      </c>
    </row>
    <row r="254" spans="7:10">
      <c r="G254" s="1" t="s">
        <v>530</v>
      </c>
      <c r="H254" s="1">
        <v>568</v>
      </c>
      <c r="I254" s="1">
        <v>11</v>
      </c>
      <c r="J254" s="98" t="s">
        <v>1418</v>
      </c>
    </row>
    <row r="255" spans="7:10">
      <c r="G255" s="1" t="s">
        <v>532</v>
      </c>
      <c r="H255" s="1">
        <v>569</v>
      </c>
      <c r="I255" s="1">
        <v>3</v>
      </c>
      <c r="J255" s="98" t="s">
        <v>1418</v>
      </c>
    </row>
    <row r="256" spans="7:10">
      <c r="G256" s="1" t="s">
        <v>534</v>
      </c>
      <c r="H256" s="1">
        <v>570</v>
      </c>
      <c r="I256" s="1">
        <v>5</v>
      </c>
      <c r="J256" s="98" t="s">
        <v>1418</v>
      </c>
    </row>
    <row r="257" spans="7:10">
      <c r="G257" s="1" t="s">
        <v>535</v>
      </c>
      <c r="H257" s="1">
        <v>571</v>
      </c>
      <c r="I257" s="1">
        <v>5</v>
      </c>
      <c r="J257" s="98" t="s">
        <v>1418</v>
      </c>
    </row>
    <row r="258" spans="7:10">
      <c r="G258" s="1" t="s">
        <v>536</v>
      </c>
      <c r="H258" s="1">
        <v>572</v>
      </c>
      <c r="I258" s="1">
        <v>5</v>
      </c>
      <c r="J258" s="98" t="s">
        <v>1418</v>
      </c>
    </row>
    <row r="259" spans="7:10">
      <c r="G259" s="1" t="s">
        <v>537</v>
      </c>
      <c r="H259" s="1">
        <v>573</v>
      </c>
      <c r="I259" s="1">
        <v>18</v>
      </c>
      <c r="J259" s="98" t="s">
        <v>1418</v>
      </c>
    </row>
    <row r="260" spans="7:10">
      <c r="G260" s="1" t="s">
        <v>538</v>
      </c>
      <c r="H260" s="1">
        <v>574</v>
      </c>
      <c r="I260" s="1">
        <v>18</v>
      </c>
      <c r="J260" s="98" t="s">
        <v>1418</v>
      </c>
    </row>
    <row r="261" spans="7:10">
      <c r="G261" s="1" t="s">
        <v>539</v>
      </c>
      <c r="H261" s="1">
        <v>575</v>
      </c>
      <c r="I261" s="1">
        <v>2</v>
      </c>
      <c r="J261" s="98" t="s">
        <v>1418</v>
      </c>
    </row>
    <row r="262" spans="7:10">
      <c r="G262" s="1" t="s">
        <v>540</v>
      </c>
      <c r="H262" s="1">
        <v>576</v>
      </c>
      <c r="I262" s="1">
        <v>2</v>
      </c>
      <c r="J262" s="98" t="s">
        <v>1418</v>
      </c>
    </row>
    <row r="263" spans="7:10">
      <c r="G263" s="1" t="s">
        <v>541</v>
      </c>
      <c r="H263" s="1">
        <v>577</v>
      </c>
      <c r="I263" s="1">
        <v>2</v>
      </c>
      <c r="J263" s="98" t="s">
        <v>1418</v>
      </c>
    </row>
    <row r="264" spans="7:10">
      <c r="G264" s="1" t="s">
        <v>542</v>
      </c>
      <c r="H264" s="1">
        <v>578</v>
      </c>
      <c r="I264" s="1">
        <v>2</v>
      </c>
      <c r="J264" s="98" t="s">
        <v>1418</v>
      </c>
    </row>
    <row r="265" spans="7:10">
      <c r="G265" s="1" t="s">
        <v>543</v>
      </c>
      <c r="H265" s="1">
        <v>579</v>
      </c>
      <c r="I265" s="1">
        <v>2</v>
      </c>
      <c r="J265" s="98" t="s">
        <v>1418</v>
      </c>
    </row>
    <row r="266" spans="7:10">
      <c r="G266" s="1" t="s">
        <v>544</v>
      </c>
      <c r="H266" s="1">
        <v>580</v>
      </c>
      <c r="I266" s="1">
        <v>2</v>
      </c>
      <c r="J266" s="98" t="s">
        <v>1418</v>
      </c>
    </row>
    <row r="267" spans="7:10">
      <c r="G267" s="1" t="s">
        <v>545</v>
      </c>
      <c r="H267" s="1">
        <v>581</v>
      </c>
      <c r="I267" s="1">
        <v>2</v>
      </c>
      <c r="J267" s="98" t="s">
        <v>1418</v>
      </c>
    </row>
    <row r="268" spans="7:10">
      <c r="G268" s="1" t="s">
        <v>546</v>
      </c>
      <c r="H268" s="1">
        <v>582</v>
      </c>
      <c r="I268" s="1">
        <v>2</v>
      </c>
      <c r="J268" s="98" t="s">
        <v>1418</v>
      </c>
    </row>
    <row r="269" spans="7:10">
      <c r="G269" s="1" t="s">
        <v>547</v>
      </c>
      <c r="H269" s="1">
        <v>583</v>
      </c>
      <c r="I269" s="1">
        <v>2</v>
      </c>
      <c r="J269" s="98" t="s">
        <v>1418</v>
      </c>
    </row>
    <row r="270" spans="7:10">
      <c r="G270" s="1" t="s">
        <v>548</v>
      </c>
      <c r="H270" s="1">
        <v>584</v>
      </c>
      <c r="I270" s="1">
        <v>2</v>
      </c>
      <c r="J270" s="98" t="s">
        <v>1418</v>
      </c>
    </row>
    <row r="271" spans="7:10">
      <c r="G271" s="1" t="s">
        <v>549</v>
      </c>
      <c r="H271" s="1">
        <v>585</v>
      </c>
      <c r="I271" s="1">
        <v>2</v>
      </c>
      <c r="J271" s="98" t="s">
        <v>1418</v>
      </c>
    </row>
    <row r="272" spans="7:10">
      <c r="G272" s="1" t="s">
        <v>550</v>
      </c>
      <c r="H272" s="1">
        <v>586</v>
      </c>
      <c r="I272" s="1">
        <v>2</v>
      </c>
      <c r="J272" s="98" t="s">
        <v>1418</v>
      </c>
    </row>
    <row r="273" spans="7:10">
      <c r="G273" s="1" t="s">
        <v>551</v>
      </c>
      <c r="H273" s="1">
        <v>587</v>
      </c>
      <c r="I273" s="1">
        <v>2</v>
      </c>
      <c r="J273" s="98" t="s">
        <v>1418</v>
      </c>
    </row>
    <row r="274" spans="7:10">
      <c r="G274" s="1" t="s">
        <v>552</v>
      </c>
      <c r="H274" s="1">
        <v>588</v>
      </c>
      <c r="I274" s="1">
        <v>2</v>
      </c>
      <c r="J274" s="98" t="s">
        <v>1418</v>
      </c>
    </row>
    <row r="275" spans="7:10">
      <c r="G275" s="1" t="s">
        <v>553</v>
      </c>
      <c r="H275" s="1">
        <v>589</v>
      </c>
      <c r="I275" s="1">
        <v>2</v>
      </c>
      <c r="J275" s="98" t="s">
        <v>1418</v>
      </c>
    </row>
    <row r="276" spans="7:10">
      <c r="G276" s="1" t="s">
        <v>554</v>
      </c>
      <c r="H276" s="1">
        <v>590</v>
      </c>
      <c r="I276" s="1">
        <v>2</v>
      </c>
      <c r="J276" s="98" t="s">
        <v>1418</v>
      </c>
    </row>
    <row r="277" spans="7:10">
      <c r="G277" s="1" t="s">
        <v>555</v>
      </c>
      <c r="H277" s="1">
        <v>600</v>
      </c>
      <c r="I277" s="1">
        <v>3</v>
      </c>
      <c r="J277" s="98" t="s">
        <v>1418</v>
      </c>
    </row>
    <row r="278" spans="7:10">
      <c r="G278" s="1" t="s">
        <v>555</v>
      </c>
      <c r="H278" s="1">
        <v>601</v>
      </c>
      <c r="I278" s="1">
        <v>3</v>
      </c>
      <c r="J278" s="98" t="s">
        <v>1418</v>
      </c>
    </row>
    <row r="279" spans="7:10">
      <c r="G279" s="1" t="s">
        <v>555</v>
      </c>
      <c r="H279" s="1">
        <v>602</v>
      </c>
      <c r="I279" s="1">
        <v>3</v>
      </c>
      <c r="J279" s="98" t="s">
        <v>1418</v>
      </c>
    </row>
    <row r="280" spans="7:10">
      <c r="G280" s="1" t="s">
        <v>558</v>
      </c>
      <c r="H280" s="1">
        <v>603</v>
      </c>
      <c r="I280" s="1">
        <v>21</v>
      </c>
      <c r="J280" s="98" t="s">
        <v>1418</v>
      </c>
    </row>
    <row r="281" spans="7:10">
      <c r="G281" s="1" t="s">
        <v>559</v>
      </c>
      <c r="H281" s="1">
        <v>604</v>
      </c>
      <c r="I281" s="1">
        <v>2</v>
      </c>
      <c r="J281" s="98" t="s">
        <v>1418</v>
      </c>
    </row>
    <row r="282" spans="7:10">
      <c r="G282" s="1" t="s">
        <v>561</v>
      </c>
      <c r="H282" s="1">
        <v>605</v>
      </c>
      <c r="I282" s="1">
        <v>2</v>
      </c>
      <c r="J282" s="98" t="s">
        <v>1418</v>
      </c>
    </row>
    <row r="283" spans="7:10">
      <c r="G283" s="1" t="s">
        <v>562</v>
      </c>
      <c r="H283" s="1">
        <v>606</v>
      </c>
      <c r="I283" s="1">
        <v>2</v>
      </c>
      <c r="J283" s="98" t="s">
        <v>1418</v>
      </c>
    </row>
    <row r="284" spans="7:10">
      <c r="G284" s="1" t="s">
        <v>564</v>
      </c>
      <c r="H284" s="1">
        <v>607</v>
      </c>
      <c r="I284" s="1">
        <v>2</v>
      </c>
      <c r="J284" s="98" t="s">
        <v>1418</v>
      </c>
    </row>
    <row r="285" spans="7:10">
      <c r="G285" s="1" t="s">
        <v>555</v>
      </c>
      <c r="H285" s="1">
        <v>608</v>
      </c>
      <c r="I285" s="1">
        <v>3</v>
      </c>
      <c r="J285" s="98" t="s">
        <v>1418</v>
      </c>
    </row>
    <row r="286" spans="7:10">
      <c r="G286" s="1" t="s">
        <v>555</v>
      </c>
      <c r="H286" s="1">
        <v>609</v>
      </c>
      <c r="I286" s="1">
        <v>3</v>
      </c>
      <c r="J286" s="98" t="s">
        <v>1418</v>
      </c>
    </row>
    <row r="287" spans="7:10">
      <c r="G287" s="1" t="s">
        <v>555</v>
      </c>
      <c r="H287" s="1">
        <v>610</v>
      </c>
      <c r="I287" s="1">
        <v>3</v>
      </c>
      <c r="J287" s="98" t="s">
        <v>1418</v>
      </c>
    </row>
    <row r="288" spans="7:10">
      <c r="G288" s="1" t="s">
        <v>558</v>
      </c>
      <c r="H288" s="1">
        <v>611</v>
      </c>
      <c r="I288" s="1">
        <v>21</v>
      </c>
      <c r="J288" s="98" t="s">
        <v>1418</v>
      </c>
    </row>
    <row r="289" spans="7:10">
      <c r="G289" s="1" t="s">
        <v>559</v>
      </c>
      <c r="H289" s="1">
        <v>612</v>
      </c>
      <c r="I289" s="1">
        <v>2</v>
      </c>
      <c r="J289" s="98" t="s">
        <v>1418</v>
      </c>
    </row>
    <row r="290" spans="7:10">
      <c r="G290" s="1" t="s">
        <v>566</v>
      </c>
      <c r="H290" s="1">
        <v>613</v>
      </c>
      <c r="I290" s="1">
        <v>2</v>
      </c>
      <c r="J290" s="98" t="s">
        <v>1418</v>
      </c>
    </row>
    <row r="291" spans="7:10">
      <c r="G291" s="1" t="s">
        <v>567</v>
      </c>
      <c r="H291" s="1">
        <v>614</v>
      </c>
      <c r="I291" s="1">
        <v>2</v>
      </c>
      <c r="J291" s="98" t="s">
        <v>1418</v>
      </c>
    </row>
    <row r="292" spans="7:10">
      <c r="G292" s="1" t="s">
        <v>568</v>
      </c>
      <c r="H292" s="1">
        <v>615</v>
      </c>
      <c r="I292" s="1">
        <v>2</v>
      </c>
      <c r="J292" s="98" t="s">
        <v>1418</v>
      </c>
    </row>
    <row r="293" spans="7:10">
      <c r="G293" s="1" t="s">
        <v>569</v>
      </c>
      <c r="H293" s="1">
        <v>616</v>
      </c>
      <c r="I293" s="1">
        <v>2</v>
      </c>
      <c r="J293" s="98" t="s">
        <v>1418</v>
      </c>
    </row>
    <row r="294" spans="7:10">
      <c r="G294" s="1" t="s">
        <v>570</v>
      </c>
      <c r="H294" s="1">
        <v>617</v>
      </c>
      <c r="I294" s="1">
        <v>2</v>
      </c>
      <c r="J294" s="98" t="s">
        <v>1418</v>
      </c>
    </row>
    <row r="295" spans="7:10">
      <c r="G295" s="1" t="s">
        <v>571</v>
      </c>
      <c r="H295" s="1">
        <v>618</v>
      </c>
      <c r="I295" s="1">
        <v>2</v>
      </c>
      <c r="J295" s="98" t="s">
        <v>1418</v>
      </c>
    </row>
    <row r="296" spans="7:10">
      <c r="G296" s="1" t="s">
        <v>555</v>
      </c>
      <c r="H296" s="1">
        <v>620</v>
      </c>
      <c r="I296" s="1">
        <v>3</v>
      </c>
      <c r="J296" s="98" t="s">
        <v>1418</v>
      </c>
    </row>
    <row r="297" spans="7:10">
      <c r="G297" s="1" t="s">
        <v>555</v>
      </c>
      <c r="H297" s="1">
        <v>621</v>
      </c>
      <c r="I297" s="1">
        <v>3</v>
      </c>
      <c r="J297" s="98" t="s">
        <v>1418</v>
      </c>
    </row>
    <row r="298" spans="7:10">
      <c r="G298" s="1" t="s">
        <v>555</v>
      </c>
      <c r="H298" s="1">
        <v>622</v>
      </c>
      <c r="I298" s="1">
        <v>3</v>
      </c>
      <c r="J298" s="98" t="s">
        <v>1418</v>
      </c>
    </row>
    <row r="299" spans="7:10">
      <c r="G299" s="1" t="s">
        <v>558</v>
      </c>
      <c r="H299" s="1">
        <v>623</v>
      </c>
      <c r="I299" s="1">
        <v>21</v>
      </c>
      <c r="J299" s="98" t="s">
        <v>1418</v>
      </c>
    </row>
    <row r="300" spans="7:10">
      <c r="G300" s="1" t="s">
        <v>561</v>
      </c>
      <c r="H300" s="1">
        <v>624</v>
      </c>
      <c r="I300" s="1">
        <v>2</v>
      </c>
      <c r="J300" s="98" t="s">
        <v>1418</v>
      </c>
    </row>
    <row r="301" spans="7:10">
      <c r="G301" s="1" t="s">
        <v>562</v>
      </c>
      <c r="H301" s="1">
        <v>625</v>
      </c>
      <c r="I301" s="1">
        <v>2</v>
      </c>
      <c r="J301" s="98" t="s">
        <v>1418</v>
      </c>
    </row>
    <row r="302" spans="7:10">
      <c r="G302" s="1" t="s">
        <v>564</v>
      </c>
      <c r="H302" s="1">
        <v>626</v>
      </c>
      <c r="I302" s="1">
        <v>2</v>
      </c>
      <c r="J302" s="98" t="s">
        <v>1418</v>
      </c>
    </row>
    <row r="303" spans="7:10">
      <c r="G303" s="1" t="s">
        <v>572</v>
      </c>
      <c r="H303" s="1">
        <v>650</v>
      </c>
      <c r="I303" s="1">
        <v>21</v>
      </c>
      <c r="J303" s="98" t="s">
        <v>1418</v>
      </c>
    </row>
    <row r="304" spans="7:10">
      <c r="G304" s="1" t="s">
        <v>575</v>
      </c>
      <c r="H304" s="1">
        <v>652</v>
      </c>
      <c r="I304" s="1">
        <v>7</v>
      </c>
      <c r="J304" s="98" t="s">
        <v>1418</v>
      </c>
    </row>
    <row r="305" spans="7:10">
      <c r="G305" s="1" t="s">
        <v>577</v>
      </c>
      <c r="H305" s="1">
        <v>653</v>
      </c>
      <c r="I305" s="1">
        <v>9</v>
      </c>
      <c r="J305" s="98" t="s">
        <v>1418</v>
      </c>
    </row>
    <row r="306" spans="7:10">
      <c r="G306" s="1" t="s">
        <v>579</v>
      </c>
      <c r="H306" s="1">
        <v>663</v>
      </c>
      <c r="I306" s="1">
        <v>3</v>
      </c>
      <c r="J306" s="98" t="s">
        <v>1418</v>
      </c>
    </row>
    <row r="307" spans="7:10">
      <c r="G307" s="1" t="s">
        <v>580</v>
      </c>
      <c r="H307" s="1">
        <v>654</v>
      </c>
      <c r="I307" s="1">
        <v>2</v>
      </c>
      <c r="J307" s="98" t="s">
        <v>1418</v>
      </c>
    </row>
    <row r="308" spans="7:10">
      <c r="G308" s="1" t="s">
        <v>582</v>
      </c>
      <c r="H308" s="1">
        <v>655</v>
      </c>
      <c r="I308" s="1">
        <v>2</v>
      </c>
      <c r="J308" s="98" t="s">
        <v>1418</v>
      </c>
    </row>
    <row r="309" spans="7:10">
      <c r="G309" s="1" t="s">
        <v>584</v>
      </c>
      <c r="H309" s="1">
        <v>656</v>
      </c>
      <c r="I309" s="1">
        <v>2</v>
      </c>
      <c r="J309" s="98" t="s">
        <v>1418</v>
      </c>
    </row>
    <row r="310" spans="7:10">
      <c r="G310" s="1" t="s">
        <v>575</v>
      </c>
      <c r="H310" s="1">
        <v>701</v>
      </c>
      <c r="I310" s="1">
        <v>7</v>
      </c>
      <c r="J310" s="98" t="s">
        <v>1418</v>
      </c>
    </row>
    <row r="311" spans="7:10">
      <c r="G311" s="1" t="s">
        <v>587</v>
      </c>
      <c r="H311" s="1">
        <v>702</v>
      </c>
      <c r="I311" s="1">
        <v>21</v>
      </c>
      <c r="J311" s="98" t="s">
        <v>1418</v>
      </c>
    </row>
    <row r="312" spans="7:10">
      <c r="G312" s="1" t="s">
        <v>588</v>
      </c>
      <c r="H312" s="1">
        <v>703</v>
      </c>
      <c r="I312" s="1">
        <v>21</v>
      </c>
      <c r="J312" s="98" t="s">
        <v>1418</v>
      </c>
    </row>
    <row r="313" spans="7:10">
      <c r="G313" s="1" t="s">
        <v>589</v>
      </c>
      <c r="H313" s="1">
        <v>704</v>
      </c>
      <c r="I313" s="1">
        <v>21</v>
      </c>
      <c r="J313" s="98" t="s">
        <v>1418</v>
      </c>
    </row>
    <row r="314" spans="7:10">
      <c r="G314" s="1" t="s">
        <v>590</v>
      </c>
      <c r="H314" s="1">
        <v>705</v>
      </c>
      <c r="I314" s="1">
        <v>9</v>
      </c>
      <c r="J314" s="98" t="s">
        <v>1418</v>
      </c>
    </row>
    <row r="315" spans="7:10">
      <c r="G315" s="1" t="s">
        <v>591</v>
      </c>
      <c r="H315" s="1">
        <v>706</v>
      </c>
      <c r="I315" s="1">
        <v>9</v>
      </c>
      <c r="J315" s="98" t="s">
        <v>1418</v>
      </c>
    </row>
    <row r="316" spans="7:10">
      <c r="G316" s="1" t="s">
        <v>579</v>
      </c>
      <c r="H316" s="1">
        <v>740</v>
      </c>
      <c r="I316" s="1">
        <v>3</v>
      </c>
      <c r="J316" s="98" t="s">
        <v>1418</v>
      </c>
    </row>
    <row r="317" spans="7:10">
      <c r="G317" s="1" t="s">
        <v>592</v>
      </c>
      <c r="H317" s="1">
        <v>707</v>
      </c>
      <c r="I317" s="1">
        <v>2</v>
      </c>
      <c r="J317" s="98" t="s">
        <v>1418</v>
      </c>
    </row>
    <row r="318" spans="7:10">
      <c r="G318" s="1" t="s">
        <v>593</v>
      </c>
      <c r="H318" s="1">
        <v>708</v>
      </c>
      <c r="I318" s="1">
        <v>2</v>
      </c>
      <c r="J318" s="98" t="s">
        <v>1418</v>
      </c>
    </row>
    <row r="319" spans="7:10">
      <c r="G319" s="1" t="s">
        <v>595</v>
      </c>
      <c r="H319" s="1">
        <v>709</v>
      </c>
      <c r="I319" s="1">
        <v>2</v>
      </c>
      <c r="J319" s="98" t="s">
        <v>1418</v>
      </c>
    </row>
    <row r="320" spans="7:10">
      <c r="G320" s="1" t="s">
        <v>596</v>
      </c>
      <c r="H320" s="1">
        <v>712</v>
      </c>
      <c r="I320" s="1">
        <v>2</v>
      </c>
      <c r="J320" s="98" t="s">
        <v>1418</v>
      </c>
    </row>
    <row r="321" spans="7:10">
      <c r="G321" s="1" t="s">
        <v>597</v>
      </c>
      <c r="H321" s="1">
        <v>713</v>
      </c>
      <c r="I321" s="1">
        <v>2</v>
      </c>
      <c r="J321" s="98" t="s">
        <v>1418</v>
      </c>
    </row>
    <row r="322" spans="7:10">
      <c r="G322" s="1" t="s">
        <v>598</v>
      </c>
      <c r="H322" s="1">
        <v>714</v>
      </c>
      <c r="I322" s="1">
        <v>2</v>
      </c>
      <c r="J322" s="98" t="s">
        <v>1418</v>
      </c>
    </row>
    <row r="323" spans="7:10">
      <c r="G323" s="1" t="s">
        <v>599</v>
      </c>
      <c r="H323" s="1">
        <v>717</v>
      </c>
      <c r="I323" s="1">
        <v>2</v>
      </c>
      <c r="J323" s="98" t="s">
        <v>1418</v>
      </c>
    </row>
    <row r="324" spans="7:10">
      <c r="G324" s="1" t="s">
        <v>600</v>
      </c>
      <c r="H324" s="1">
        <v>718</v>
      </c>
      <c r="I324" s="1">
        <v>2</v>
      </c>
      <c r="J324" s="98" t="s">
        <v>1418</v>
      </c>
    </row>
    <row r="325" spans="7:10">
      <c r="G325" s="1" t="s">
        <v>601</v>
      </c>
      <c r="H325" s="1">
        <v>719</v>
      </c>
      <c r="I325" s="1">
        <v>2</v>
      </c>
      <c r="J325" s="98" t="s">
        <v>1418</v>
      </c>
    </row>
    <row r="326" spans="7:10">
      <c r="G326" s="1" t="s">
        <v>602</v>
      </c>
      <c r="H326" s="1">
        <v>750</v>
      </c>
      <c r="I326" s="1">
        <v>11</v>
      </c>
      <c r="J326" s="98" t="s">
        <v>1418</v>
      </c>
    </row>
    <row r="327" spans="7:10">
      <c r="G327" s="1" t="s">
        <v>606</v>
      </c>
      <c r="H327" s="1">
        <v>751</v>
      </c>
      <c r="I327" s="1">
        <v>2</v>
      </c>
      <c r="J327" s="98" t="s">
        <v>1418</v>
      </c>
    </row>
    <row r="328" spans="7:10">
      <c r="G328" s="1" t="s">
        <v>607</v>
      </c>
      <c r="H328" s="1">
        <v>752</v>
      </c>
      <c r="I328" s="1">
        <v>11</v>
      </c>
      <c r="J328" s="98" t="s">
        <v>1418</v>
      </c>
    </row>
    <row r="329" spans="7:10">
      <c r="G329" s="1" t="s">
        <v>610</v>
      </c>
      <c r="H329" s="1">
        <v>753</v>
      </c>
      <c r="I329" s="1">
        <v>2</v>
      </c>
      <c r="J329" s="98" t="s">
        <v>1418</v>
      </c>
    </row>
    <row r="330" spans="7:10">
      <c r="G330" s="1" t="s">
        <v>611</v>
      </c>
      <c r="H330" s="1">
        <v>754</v>
      </c>
      <c r="I330" s="1">
        <v>11</v>
      </c>
      <c r="J330" s="98" t="s">
        <v>1418</v>
      </c>
    </row>
    <row r="331" spans="7:10">
      <c r="G331" s="1" t="s">
        <v>612</v>
      </c>
      <c r="H331" s="1">
        <v>755</v>
      </c>
      <c r="I331" s="1">
        <v>2</v>
      </c>
      <c r="J331" s="98" t="s">
        <v>1418</v>
      </c>
    </row>
    <row r="332" spans="7:10">
      <c r="G332" s="1" t="s">
        <v>613</v>
      </c>
      <c r="H332" s="1">
        <v>756</v>
      </c>
      <c r="I332" s="1">
        <v>11</v>
      </c>
      <c r="J332" s="98" t="s">
        <v>1418</v>
      </c>
    </row>
    <row r="333" spans="7:10">
      <c r="G333" s="1" t="s">
        <v>614</v>
      </c>
      <c r="H333" s="1">
        <v>757</v>
      </c>
      <c r="I333" s="1">
        <v>2</v>
      </c>
      <c r="J333" s="98" t="s">
        <v>1418</v>
      </c>
    </row>
    <row r="334" spans="7:10">
      <c r="G334" s="1" t="s">
        <v>493</v>
      </c>
      <c r="H334" s="1">
        <v>800</v>
      </c>
      <c r="I334" s="1">
        <v>1</v>
      </c>
      <c r="J334" s="98" t="s">
        <v>1418</v>
      </c>
    </row>
    <row r="335" spans="7:10">
      <c r="G335" s="1" t="s">
        <v>495</v>
      </c>
      <c r="H335" s="1">
        <v>801</v>
      </c>
      <c r="I335" s="1">
        <v>19</v>
      </c>
      <c r="J335" s="98" t="s">
        <v>1418</v>
      </c>
    </row>
    <row r="336" spans="7:10">
      <c r="G336" s="1" t="s">
        <v>496</v>
      </c>
      <c r="H336" s="1">
        <v>802</v>
      </c>
      <c r="I336" s="1">
        <v>18</v>
      </c>
      <c r="J336" s="98" t="s">
        <v>1418</v>
      </c>
    </row>
    <row r="337" spans="7:10">
      <c r="G337" s="1" t="s">
        <v>498</v>
      </c>
      <c r="H337" s="1">
        <v>803</v>
      </c>
      <c r="I337" s="1">
        <v>2</v>
      </c>
      <c r="J337" s="98" t="s">
        <v>1418</v>
      </c>
    </row>
    <row r="338" spans="7:10">
      <c r="G338" s="1" t="s">
        <v>500</v>
      </c>
      <c r="H338" s="1">
        <v>804</v>
      </c>
      <c r="I338" s="1">
        <v>5</v>
      </c>
      <c r="J338" s="98" t="s">
        <v>1418</v>
      </c>
    </row>
    <row r="339" spans="7:10">
      <c r="G339" s="1" t="s">
        <v>502</v>
      </c>
      <c r="H339" s="1">
        <v>805</v>
      </c>
      <c r="I339" s="1">
        <v>7</v>
      </c>
      <c r="J339" s="98" t="s">
        <v>1418</v>
      </c>
    </row>
    <row r="340" spans="7:10">
      <c r="G340" s="1" t="s">
        <v>503</v>
      </c>
      <c r="H340" s="1">
        <v>806</v>
      </c>
      <c r="I340" s="1">
        <v>3</v>
      </c>
      <c r="J340" s="98" t="s">
        <v>1418</v>
      </c>
    </row>
    <row r="341" spans="7:10">
      <c r="G341" s="1" t="s">
        <v>504</v>
      </c>
      <c r="H341" s="1">
        <v>807</v>
      </c>
      <c r="I341" s="1">
        <v>10</v>
      </c>
      <c r="J341" s="98" t="s">
        <v>1418</v>
      </c>
    </row>
    <row r="342" spans="7:10">
      <c r="G342" s="1" t="s">
        <v>619</v>
      </c>
      <c r="H342" s="1">
        <v>808</v>
      </c>
      <c r="I342" s="1">
        <v>1</v>
      </c>
      <c r="J342" s="98" t="s">
        <v>1418</v>
      </c>
    </row>
    <row r="343" spans="7:10">
      <c r="G343" s="1" t="s">
        <v>622</v>
      </c>
      <c r="H343" s="1">
        <v>809</v>
      </c>
      <c r="I343" s="1">
        <v>19</v>
      </c>
      <c r="J343" s="98" t="s">
        <v>1418</v>
      </c>
    </row>
    <row r="344" spans="7:10">
      <c r="G344" s="1" t="s">
        <v>623</v>
      </c>
      <c r="H344" s="1">
        <v>810</v>
      </c>
      <c r="I344" s="1">
        <v>18</v>
      </c>
      <c r="J344" s="98" t="s">
        <v>1418</v>
      </c>
    </row>
    <row r="345" spans="7:10">
      <c r="G345" s="1" t="s">
        <v>624</v>
      </c>
      <c r="H345" s="1">
        <v>811</v>
      </c>
      <c r="I345" s="1">
        <v>2</v>
      </c>
      <c r="J345" s="98" t="s">
        <v>1418</v>
      </c>
    </row>
    <row r="346" spans="7:10">
      <c r="G346" s="1" t="s">
        <v>500</v>
      </c>
      <c r="H346" s="1">
        <v>812</v>
      </c>
      <c r="I346" s="1">
        <v>5</v>
      </c>
      <c r="J346" s="98" t="s">
        <v>1418</v>
      </c>
    </row>
    <row r="347" spans="7:10">
      <c r="G347" s="1" t="s">
        <v>502</v>
      </c>
      <c r="H347" s="1">
        <v>813</v>
      </c>
      <c r="I347" s="1">
        <v>7</v>
      </c>
      <c r="J347" s="98" t="s">
        <v>1418</v>
      </c>
    </row>
    <row r="348" spans="7:10">
      <c r="G348" s="1" t="s">
        <v>625</v>
      </c>
      <c r="H348" s="1">
        <v>814</v>
      </c>
      <c r="I348" s="1">
        <v>3</v>
      </c>
      <c r="J348" s="98" t="s">
        <v>1418</v>
      </c>
    </row>
    <row r="349" spans="7:10">
      <c r="G349" s="1" t="s">
        <v>504</v>
      </c>
      <c r="H349" s="1">
        <v>815</v>
      </c>
      <c r="I349" s="1">
        <v>10</v>
      </c>
      <c r="J349" s="98" t="s">
        <v>1418</v>
      </c>
    </row>
    <row r="350" spans="7:10">
      <c r="G350" s="1" t="s">
        <v>627</v>
      </c>
      <c r="H350" s="1">
        <v>816</v>
      </c>
      <c r="I350" s="1">
        <v>1</v>
      </c>
      <c r="J350" s="98" t="s">
        <v>1418</v>
      </c>
    </row>
    <row r="351" spans="7:10">
      <c r="G351" s="1" t="s">
        <v>628</v>
      </c>
      <c r="H351" s="1">
        <v>817</v>
      </c>
      <c r="I351" s="1">
        <v>19</v>
      </c>
      <c r="J351" s="98" t="s">
        <v>1418</v>
      </c>
    </row>
    <row r="352" spans="7:10">
      <c r="G352" s="1" t="s">
        <v>629</v>
      </c>
      <c r="H352" s="1">
        <v>818</v>
      </c>
      <c r="I352" s="1">
        <v>2</v>
      </c>
      <c r="J352" s="98" t="s">
        <v>1418</v>
      </c>
    </row>
    <row r="353" spans="7:10">
      <c r="G353" s="1" t="s">
        <v>630</v>
      </c>
      <c r="H353" s="1">
        <v>819</v>
      </c>
      <c r="I353" s="1">
        <v>3</v>
      </c>
      <c r="J353" s="98" t="s">
        <v>1418</v>
      </c>
    </row>
    <row r="354" spans="7:10">
      <c r="G354" s="1" t="s">
        <v>631</v>
      </c>
      <c r="H354" s="1">
        <v>820</v>
      </c>
      <c r="I354" s="1">
        <v>3</v>
      </c>
      <c r="J354" s="98" t="s">
        <v>1418</v>
      </c>
    </row>
    <row r="355" spans="7:10">
      <c r="G355" s="1" t="s">
        <v>632</v>
      </c>
      <c r="H355" s="1">
        <v>821</v>
      </c>
      <c r="I355" s="1">
        <v>18</v>
      </c>
      <c r="J355" s="98" t="s">
        <v>1418</v>
      </c>
    </row>
    <row r="356" spans="7:10">
      <c r="G356" s="1" t="s">
        <v>633</v>
      </c>
      <c r="H356" s="1">
        <v>901</v>
      </c>
      <c r="I356" s="1">
        <v>21</v>
      </c>
      <c r="J356" s="98" t="s">
        <v>1418</v>
      </c>
    </row>
    <row r="357" spans="7:10">
      <c r="G357" s="1" t="s">
        <v>636</v>
      </c>
      <c r="H357" s="1">
        <v>902</v>
      </c>
      <c r="I357" s="1">
        <v>9</v>
      </c>
      <c r="J357" s="98" t="s">
        <v>1418</v>
      </c>
    </row>
    <row r="358" spans="7:10">
      <c r="G358" s="1" t="s">
        <v>637</v>
      </c>
      <c r="H358" s="1">
        <v>903</v>
      </c>
      <c r="I358" s="1">
        <v>3</v>
      </c>
      <c r="J358" s="98" t="s">
        <v>1418</v>
      </c>
    </row>
    <row r="359" spans="7:10">
      <c r="G359" s="1" t="s">
        <v>637</v>
      </c>
      <c r="H359" s="1">
        <v>904</v>
      </c>
      <c r="I359" s="1">
        <v>3</v>
      </c>
      <c r="J359" s="98" t="s">
        <v>1418</v>
      </c>
    </row>
    <row r="360" spans="7:10">
      <c r="G360" s="1" t="s">
        <v>637</v>
      </c>
      <c r="H360" s="1">
        <v>905</v>
      </c>
      <c r="I360" s="1">
        <v>3</v>
      </c>
      <c r="J360" s="98" t="s">
        <v>1418</v>
      </c>
    </row>
    <row r="361" spans="7:10">
      <c r="G361" s="1" t="s">
        <v>638</v>
      </c>
      <c r="H361" s="1">
        <v>906</v>
      </c>
      <c r="I361" s="1">
        <v>2</v>
      </c>
      <c r="J361" s="98" t="s">
        <v>1418</v>
      </c>
    </row>
    <row r="362" spans="7:10">
      <c r="G362" s="1" t="s">
        <v>638</v>
      </c>
      <c r="H362" s="1">
        <v>907</v>
      </c>
      <c r="I362" s="1">
        <v>2</v>
      </c>
      <c r="J362" s="98" t="s">
        <v>1418</v>
      </c>
    </row>
    <row r="363" spans="7:10">
      <c r="G363" s="1" t="s">
        <v>638</v>
      </c>
      <c r="H363" s="1">
        <v>908</v>
      </c>
      <c r="I363" s="1">
        <v>2</v>
      </c>
      <c r="J363" s="98" t="s">
        <v>1418</v>
      </c>
    </row>
    <row r="364" spans="7:10">
      <c r="G364" s="1" t="s">
        <v>641</v>
      </c>
      <c r="H364" s="1">
        <v>909</v>
      </c>
      <c r="I364" s="1">
        <v>2</v>
      </c>
      <c r="J364" s="98" t="s">
        <v>1418</v>
      </c>
    </row>
    <row r="365" spans="7:10">
      <c r="G365" s="1" t="s">
        <v>641</v>
      </c>
      <c r="H365" s="1">
        <v>910</v>
      </c>
      <c r="I365" s="1">
        <v>2</v>
      </c>
      <c r="J365" s="98" t="s">
        <v>1418</v>
      </c>
    </row>
    <row r="366" spans="7:10">
      <c r="G366" s="1" t="s">
        <v>641</v>
      </c>
      <c r="H366" s="1">
        <v>911</v>
      </c>
      <c r="I366" s="1">
        <v>2</v>
      </c>
      <c r="J366" s="98" t="s">
        <v>1418</v>
      </c>
    </row>
    <row r="367" spans="7:10">
      <c r="G367" s="1" t="s">
        <v>633</v>
      </c>
      <c r="H367" s="1">
        <v>921</v>
      </c>
      <c r="I367" s="1">
        <v>21</v>
      </c>
      <c r="J367" s="98" t="s">
        <v>1418</v>
      </c>
    </row>
    <row r="368" spans="7:10">
      <c r="G368" s="1" t="s">
        <v>643</v>
      </c>
      <c r="H368" s="1">
        <v>922</v>
      </c>
      <c r="I368" s="1">
        <v>9</v>
      </c>
      <c r="J368" s="98" t="s">
        <v>1418</v>
      </c>
    </row>
    <row r="369" spans="7:10">
      <c r="G369" s="1" t="s">
        <v>644</v>
      </c>
      <c r="H369" s="1">
        <v>923</v>
      </c>
      <c r="I369" s="1">
        <v>9</v>
      </c>
      <c r="J369" s="98" t="s">
        <v>1418</v>
      </c>
    </row>
    <row r="370" spans="7:10">
      <c r="G370" s="1" t="s">
        <v>645</v>
      </c>
      <c r="H370" s="1">
        <v>924</v>
      </c>
      <c r="I370" s="1">
        <v>3</v>
      </c>
      <c r="J370" s="98" t="s">
        <v>1418</v>
      </c>
    </row>
    <row r="371" spans="7:10">
      <c r="G371" s="1" t="s">
        <v>645</v>
      </c>
      <c r="H371" s="1">
        <v>925</v>
      </c>
      <c r="I371" s="1">
        <v>3</v>
      </c>
      <c r="J371" s="98" t="s">
        <v>1418</v>
      </c>
    </row>
    <row r="372" spans="7:10">
      <c r="G372" s="1" t="s">
        <v>645</v>
      </c>
      <c r="H372" s="1">
        <v>926</v>
      </c>
      <c r="I372" s="1">
        <v>3</v>
      </c>
      <c r="J372" s="98" t="s">
        <v>1418</v>
      </c>
    </row>
    <row r="373" spans="7:10">
      <c r="G373" s="1" t="s">
        <v>646</v>
      </c>
      <c r="H373" s="1">
        <v>927</v>
      </c>
      <c r="I373" s="1">
        <v>3</v>
      </c>
      <c r="J373" s="98" t="s">
        <v>1418</v>
      </c>
    </row>
    <row r="374" spans="7:10">
      <c r="G374" s="1" t="s">
        <v>646</v>
      </c>
      <c r="H374" s="1">
        <v>928</v>
      </c>
      <c r="I374" s="1">
        <v>3</v>
      </c>
      <c r="J374" s="98" t="s">
        <v>1418</v>
      </c>
    </row>
    <row r="375" spans="7:10">
      <c r="G375" s="1" t="s">
        <v>646</v>
      </c>
      <c r="H375" s="1">
        <v>929</v>
      </c>
      <c r="I375" s="1">
        <v>3</v>
      </c>
      <c r="J375" s="98" t="s">
        <v>1418</v>
      </c>
    </row>
    <row r="376" spans="7:10">
      <c r="G376" s="1" t="s">
        <v>647</v>
      </c>
      <c r="H376" s="1">
        <v>930</v>
      </c>
      <c r="I376" s="1">
        <v>2</v>
      </c>
      <c r="J376" s="98" t="s">
        <v>1418</v>
      </c>
    </row>
    <row r="377" spans="7:10">
      <c r="G377" s="1" t="s">
        <v>647</v>
      </c>
      <c r="H377" s="1">
        <v>931</v>
      </c>
      <c r="I377" s="1">
        <v>2</v>
      </c>
      <c r="J377" s="98" t="s">
        <v>1418</v>
      </c>
    </row>
    <row r="378" spans="7:10">
      <c r="G378" s="1" t="s">
        <v>647</v>
      </c>
      <c r="H378" s="1">
        <v>932</v>
      </c>
      <c r="I378" s="1">
        <v>2</v>
      </c>
      <c r="J378" s="98" t="s">
        <v>1418</v>
      </c>
    </row>
    <row r="379" spans="7:10">
      <c r="G379" s="1" t="s">
        <v>648</v>
      </c>
      <c r="H379" s="1">
        <v>933</v>
      </c>
      <c r="I379" s="1">
        <v>2</v>
      </c>
      <c r="J379" s="98" t="s">
        <v>1418</v>
      </c>
    </row>
    <row r="380" spans="7:10">
      <c r="G380" s="1" t="s">
        <v>648</v>
      </c>
      <c r="H380" s="1">
        <v>934</v>
      </c>
      <c r="I380" s="1">
        <v>2</v>
      </c>
      <c r="J380" s="98" t="s">
        <v>1418</v>
      </c>
    </row>
    <row r="381" spans="7:10">
      <c r="G381" s="1" t="s">
        <v>648</v>
      </c>
      <c r="H381" s="1">
        <v>935</v>
      </c>
      <c r="I381" s="1">
        <v>2</v>
      </c>
      <c r="J381" s="98" t="s">
        <v>1418</v>
      </c>
    </row>
    <row r="382" spans="7:10">
      <c r="G382" s="1" t="s">
        <v>649</v>
      </c>
      <c r="H382" s="1">
        <v>936</v>
      </c>
      <c r="I382" s="1">
        <v>2</v>
      </c>
      <c r="J382" s="98" t="s">
        <v>1418</v>
      </c>
    </row>
    <row r="383" spans="7:10">
      <c r="G383" s="1" t="s">
        <v>649</v>
      </c>
      <c r="H383" s="1">
        <v>937</v>
      </c>
      <c r="I383" s="1">
        <v>2</v>
      </c>
      <c r="J383" s="98" t="s">
        <v>1418</v>
      </c>
    </row>
    <row r="384" spans="7:10">
      <c r="G384" s="1" t="s">
        <v>649</v>
      </c>
      <c r="H384" s="1">
        <v>938</v>
      </c>
      <c r="I384" s="1">
        <v>2</v>
      </c>
      <c r="J384" s="98" t="s">
        <v>1418</v>
      </c>
    </row>
    <row r="385" spans="7:10">
      <c r="G385" s="1" t="s">
        <v>650</v>
      </c>
      <c r="H385" s="1">
        <v>939</v>
      </c>
      <c r="I385" s="1">
        <v>2</v>
      </c>
      <c r="J385" s="98" t="s">
        <v>1418</v>
      </c>
    </row>
    <row r="386" spans="7:10">
      <c r="G386" s="1" t="s">
        <v>650</v>
      </c>
      <c r="H386" s="1">
        <v>940</v>
      </c>
      <c r="I386" s="1">
        <v>2</v>
      </c>
      <c r="J386" s="98" t="s">
        <v>1418</v>
      </c>
    </row>
    <row r="387" spans="7:10">
      <c r="G387" s="1" t="s">
        <v>650</v>
      </c>
      <c r="H387" s="1">
        <v>941</v>
      </c>
      <c r="I387" s="1">
        <v>2</v>
      </c>
      <c r="J387" s="98" t="s">
        <v>1418</v>
      </c>
    </row>
    <row r="388" spans="7:10">
      <c r="G388" s="1" t="s">
        <v>651</v>
      </c>
      <c r="H388" s="1">
        <v>1001</v>
      </c>
      <c r="I388" s="1">
        <v>11</v>
      </c>
      <c r="J388" s="98" t="s">
        <v>1418</v>
      </c>
    </row>
    <row r="389" spans="7:10">
      <c r="G389" s="1" t="s">
        <v>653</v>
      </c>
      <c r="H389" s="1">
        <v>1002</v>
      </c>
      <c r="I389" s="1">
        <v>22</v>
      </c>
      <c r="J389" s="98" t="s">
        <v>1418</v>
      </c>
    </row>
    <row r="390" spans="7:10">
      <c r="G390" s="1" t="s">
        <v>654</v>
      </c>
      <c r="H390" s="1">
        <v>1003</v>
      </c>
      <c r="I390" s="1">
        <v>2</v>
      </c>
      <c r="J390" s="98" t="s">
        <v>1418</v>
      </c>
    </row>
    <row r="391" spans="7:10">
      <c r="G391" s="1" t="s">
        <v>655</v>
      </c>
      <c r="H391" s="1">
        <v>1004</v>
      </c>
      <c r="I391" s="1">
        <v>5</v>
      </c>
      <c r="J391" s="98" t="s">
        <v>1418</v>
      </c>
    </row>
    <row r="392" spans="7:10">
      <c r="G392" s="1" t="s">
        <v>656</v>
      </c>
      <c r="H392" s="1">
        <v>651</v>
      </c>
      <c r="I392" s="1">
        <v>20</v>
      </c>
      <c r="J392" s="98" t="s">
        <v>1418</v>
      </c>
    </row>
    <row r="393" spans="7:10">
      <c r="G393" s="1" t="s">
        <v>656</v>
      </c>
      <c r="H393" s="1">
        <v>700</v>
      </c>
      <c r="I393" s="1">
        <v>20</v>
      </c>
      <c r="J393" s="98" t="s">
        <v>1418</v>
      </c>
    </row>
    <row r="394" spans="7:10">
      <c r="G394" s="1" t="s">
        <v>658</v>
      </c>
      <c r="H394" s="1">
        <v>659</v>
      </c>
      <c r="I394" s="1">
        <v>3</v>
      </c>
      <c r="J394" s="98" t="s">
        <v>1418</v>
      </c>
    </row>
    <row r="395" spans="7:10">
      <c r="G395" s="1" t="s">
        <v>659</v>
      </c>
      <c r="H395" s="1">
        <v>660</v>
      </c>
      <c r="I395" s="1">
        <v>3</v>
      </c>
      <c r="J395" s="98" t="s">
        <v>1418</v>
      </c>
    </row>
    <row r="396" spans="7:10">
      <c r="G396" s="1" t="s">
        <v>660</v>
      </c>
      <c r="H396" s="1">
        <v>661</v>
      </c>
      <c r="I396" s="1">
        <v>3</v>
      </c>
      <c r="J396" s="98" t="s">
        <v>1418</v>
      </c>
    </row>
    <row r="397" spans="7:10">
      <c r="G397" s="1" t="s">
        <v>661</v>
      </c>
      <c r="H397" s="1">
        <v>662</v>
      </c>
      <c r="I397" s="1">
        <v>3</v>
      </c>
      <c r="J397" s="98" t="s">
        <v>1418</v>
      </c>
    </row>
    <row r="398" spans="7:10">
      <c r="G398" s="1" t="s">
        <v>662</v>
      </c>
      <c r="H398" s="1">
        <v>722</v>
      </c>
      <c r="I398" s="1">
        <v>3</v>
      </c>
      <c r="J398" s="98" t="s">
        <v>1418</v>
      </c>
    </row>
    <row r="399" spans="7:10">
      <c r="G399" s="1" t="s">
        <v>663</v>
      </c>
      <c r="H399" s="1">
        <v>723</v>
      </c>
      <c r="I399" s="1">
        <v>3</v>
      </c>
      <c r="J399" s="98" t="s">
        <v>1418</v>
      </c>
    </row>
    <row r="400" spans="7:10">
      <c r="G400" s="1" t="s">
        <v>664</v>
      </c>
      <c r="H400" s="1">
        <v>724</v>
      </c>
      <c r="I400" s="1">
        <v>3</v>
      </c>
      <c r="J400" s="98" t="s">
        <v>1418</v>
      </c>
    </row>
    <row r="401" spans="7:10">
      <c r="G401" s="1" t="s">
        <v>665</v>
      </c>
      <c r="H401" s="1">
        <v>725</v>
      </c>
      <c r="I401" s="1">
        <v>3</v>
      </c>
      <c r="J401" s="98" t="s">
        <v>1418</v>
      </c>
    </row>
    <row r="402" spans="7:10">
      <c r="G402" s="1" t="s">
        <v>666</v>
      </c>
      <c r="H402" s="1">
        <v>727</v>
      </c>
      <c r="I402" s="1">
        <v>3</v>
      </c>
      <c r="J402" s="98" t="s">
        <v>1418</v>
      </c>
    </row>
    <row r="403" spans="7:10">
      <c r="G403" s="1" t="s">
        <v>667</v>
      </c>
      <c r="H403" s="1">
        <v>728</v>
      </c>
      <c r="I403" s="1">
        <v>3</v>
      </c>
      <c r="J403" s="98" t="s">
        <v>1418</v>
      </c>
    </row>
    <row r="404" spans="7:10">
      <c r="G404" s="1" t="s">
        <v>668</v>
      </c>
      <c r="H404" s="1">
        <v>729</v>
      </c>
      <c r="I404" s="1">
        <v>3</v>
      </c>
      <c r="J404" s="98" t="s">
        <v>1418</v>
      </c>
    </row>
    <row r="405" spans="7:10">
      <c r="G405" s="1" t="s">
        <v>669</v>
      </c>
      <c r="H405" s="1">
        <v>730</v>
      </c>
      <c r="I405" s="1">
        <v>3</v>
      </c>
      <c r="J405" s="98" t="s">
        <v>1418</v>
      </c>
    </row>
    <row r="406" spans="7:10">
      <c r="G406" s="1" t="s">
        <v>670</v>
      </c>
      <c r="H406" s="1">
        <v>732</v>
      </c>
      <c r="I406" s="1">
        <v>3</v>
      </c>
      <c r="J406" s="98" t="s">
        <v>1418</v>
      </c>
    </row>
    <row r="407" spans="7:10">
      <c r="G407" s="1" t="s">
        <v>671</v>
      </c>
      <c r="H407" s="1">
        <v>733</v>
      </c>
      <c r="I407" s="1">
        <v>3</v>
      </c>
      <c r="J407" s="98" t="s">
        <v>1418</v>
      </c>
    </row>
    <row r="408" spans="7:10">
      <c r="G408" s="1" t="s">
        <v>672</v>
      </c>
      <c r="H408" s="1">
        <v>734</v>
      </c>
      <c r="I408" s="1">
        <v>3</v>
      </c>
      <c r="J408" s="98" t="s">
        <v>1418</v>
      </c>
    </row>
    <row r="409" spans="7:10">
      <c r="G409" s="1" t="s">
        <v>673</v>
      </c>
      <c r="H409" s="1">
        <v>735</v>
      </c>
      <c r="I409" s="1">
        <v>3</v>
      </c>
      <c r="J409" s="98" t="s">
        <v>1418</v>
      </c>
    </row>
  </sheetData>
  <phoneticPr fontId="1" type="noConversion"/>
  <conditionalFormatting sqref="H1">
    <cfRule type="duplicateValues" dxfId="15" priority="3"/>
  </conditionalFormatting>
  <conditionalFormatting sqref="H1">
    <cfRule type="duplicateValues" dxfId="14" priority="4"/>
  </conditionalFormatting>
  <conditionalFormatting sqref="H1">
    <cfRule type="duplicateValues" dxfId="13" priority="5"/>
  </conditionalFormatting>
  <conditionalFormatting sqref="H1">
    <cfRule type="duplicateValues" dxfId="12" priority="6"/>
  </conditionalFormatting>
  <conditionalFormatting sqref="H1">
    <cfRule type="duplicateValues" dxfId="11" priority="7"/>
  </conditionalFormatting>
  <conditionalFormatting sqref="H1">
    <cfRule type="duplicateValues" dxfId="10" priority="8"/>
  </conditionalFormatting>
  <conditionalFormatting sqref="H1">
    <cfRule type="duplicateValues" dxfId="9" priority="2"/>
  </conditionalFormatting>
  <conditionalFormatting sqref="H1">
    <cfRule type="duplicateValues" dxfId="8" priority="1"/>
  </conditionalFormatting>
  <hyperlinks>
    <hyperlink ref="B2" location="签到!A1" display="活动详情"/>
    <hyperlink ref="B3" location="登陆!A1" display="活动详情"/>
    <hyperlink ref="B4" location="其他!A1" display="活动详情"/>
    <hyperlink ref="B5" location="其他!A1" display="活动详情"/>
    <hyperlink ref="B6" location="个人活动!A1" display="活动详情"/>
    <hyperlink ref="B7:B11" location="个人活动!A1" display="活动详情"/>
    <hyperlink ref="E2" location="开服前几天充值!A1" display="活动详情"/>
    <hyperlink ref="E3" location="每日累充!A1" display="活动详情"/>
    <hyperlink ref="E4" location="天天返利!A1" display="活动详情"/>
    <hyperlink ref="E5" location="三日连充!A1" display="活动详情"/>
    <hyperlink ref="E6" location="首充!A1" display="活动详情"/>
    <hyperlink ref="J2" location="类型1!A1" display="活动详情"/>
    <hyperlink ref="J3:J6" location="类型1!A1" display="活动详情"/>
    <hyperlink ref="J17:J18" location="类型1!A1" display="活动详情"/>
    <hyperlink ref="J31" location="类型1!A1" display="活动详情"/>
    <hyperlink ref="J43" location="类型1!A1" display="活动详情"/>
    <hyperlink ref="J72" location="类型1!A1" display="活动详情"/>
    <hyperlink ref="J90" location="类型1!A1" display="活动详情"/>
    <hyperlink ref="J106" location="类型1!A1" display="活动详情"/>
    <hyperlink ref="J152" location="类型1!A1" display="活动详情"/>
    <hyperlink ref="J157:J160" location="类型1!A1" display="活动详情"/>
    <hyperlink ref="J167:J169" location="类型1!A1" display="活动详情"/>
    <hyperlink ref="J173" location="类型1!A1" display="活动详情"/>
    <hyperlink ref="J193" location="类型1!A1" display="活动详情"/>
    <hyperlink ref="J203:J205" location="类型1!A1" display="活动详情"/>
    <hyperlink ref="J211:J213" location="类型1!A1" display="活动详情"/>
    <hyperlink ref="J219" location="类型1!A1" display="活动详情"/>
    <hyperlink ref="J227" location="类型1!A1" display="活动详情"/>
    <hyperlink ref="J235" location="类型1!A1" display="活动详情"/>
    <hyperlink ref="J334" location="类型1!A1" display="活动详情"/>
    <hyperlink ref="J342" location="类型1!A1" display="活动详情"/>
    <hyperlink ref="J350" location="类型1!A1" display="活动详情"/>
    <hyperlink ref="J8" location="类型2!A1" display="活动详情"/>
    <hyperlink ref="J19:J25" location="类型2!A1" display="活动详情"/>
    <hyperlink ref="J27:J30" location="类型2!A1" display="活动详情"/>
    <hyperlink ref="J35:J39" location="类型2!A1" display="活动详情"/>
    <hyperlink ref="J45:J52" location="类型2!A1" display="活动详情"/>
    <hyperlink ref="J61" location="类型2!A1" display="活动详情"/>
    <hyperlink ref="J66" location="类型2!A1" display="活动详情"/>
    <hyperlink ref="J73:J77" location="类型2!A1" display="活动详情"/>
    <hyperlink ref="J89" location="类型2!A1" display="活动详情"/>
    <hyperlink ref="J92:J94" location="类型2!A1" display="活动详情"/>
    <hyperlink ref="J98:J100" location="类型2!A1" display="活动详情"/>
    <hyperlink ref="J103:J105" location="类型2!A1" display="活动详情"/>
    <hyperlink ref="J118:J122" location="类型2!A1" display="活动详情"/>
    <hyperlink ref="J125:J129" location="类型2!A1" display="活动详情"/>
    <hyperlink ref="J132:J136" location="类型2!A1" display="活动详情"/>
    <hyperlink ref="J154:J156" location="类型2!A1" display="活动详情"/>
    <hyperlink ref="J164:J166" location="类型2!A1" display="活动详情"/>
    <hyperlink ref="J177:J184" location="类型2!A1" display="活动详情"/>
    <hyperlink ref="J200:J202" location="类型2!A1" display="活动详情"/>
    <hyperlink ref="J208:J210" location="类型2!A1" display="活动详情"/>
    <hyperlink ref="J216:J218" location="类型2!A1" display="活动详情"/>
    <hyperlink ref="J222" location="类型2!A1" display="活动详情"/>
    <hyperlink ref="J230" location="类型2!A1" display="活动详情"/>
    <hyperlink ref="J239:J247" location="类型2!A1" display="活动详情"/>
    <hyperlink ref="J253" location="类型2!A1" display="活动详情"/>
    <hyperlink ref="J261:J276" location="类型2!A1" display="活动详情"/>
    <hyperlink ref="J281:J284" location="类型2!A1" display="活动详情"/>
    <hyperlink ref="J289:J295" location="类型2!A1" display="活动详情"/>
    <hyperlink ref="J300:J302" location="类型2!A1" display="活动详情"/>
    <hyperlink ref="J307:J309" location="类型2!A1" display="活动详情"/>
    <hyperlink ref="J317:J325" location="类型2!A1" display="活动详情"/>
    <hyperlink ref="J327" location="类型2!A1" display="活动详情"/>
    <hyperlink ref="J329" location="类型2!A1" display="活动详情"/>
    <hyperlink ref="J331" location="类型2!A1" display="活动详情"/>
    <hyperlink ref="J333" location="类型2!A1" display="活动详情"/>
    <hyperlink ref="J337" location="类型2!A1" display="活动详情"/>
    <hyperlink ref="J345" location="类型2!A1" display="活动详情"/>
    <hyperlink ref="J352" location="类型2!A1" display="活动详情"/>
    <hyperlink ref="J361:J366" location="类型2!A1" display="活动详情"/>
    <hyperlink ref="J376:J387" location="类型2!A1" display="活动详情"/>
    <hyperlink ref="J390" location="类型2!A1" display="活动详情"/>
    <hyperlink ref="J15" location="类型3!A1" display="活动详情"/>
    <hyperlink ref="J16" location="类型3!A1" display="活动详情"/>
    <hyperlink ref="J26" location="类型3!A1" display="活动详情"/>
    <hyperlink ref="J34" location="类型3!A1" display="活动详情"/>
    <hyperlink ref="J40" location="类型3!A1" display="活动详情"/>
    <hyperlink ref="J55:J57" location="类型3!A1" display="活动详情"/>
    <hyperlink ref="J60" location="类型3!A1" display="活动详情"/>
    <hyperlink ref="J67:J69" location="类型3!A1" display="活动详情"/>
    <hyperlink ref="J80:J84" location="类型3!A1" display="活动详情"/>
    <hyperlink ref="J87" location="类型3!A1" display="活动详情"/>
    <hyperlink ref="J91" location="类型3!A1" display="活动详情"/>
    <hyperlink ref="J95:J97" location="类型3!A1" display="活动详情"/>
    <hyperlink ref="J112" location="类型3!A1" display="活动详情"/>
    <hyperlink ref="J137:J151" location="类型3!A1" display="活动详情"/>
    <hyperlink ref="J174:J175" location="类型3!A1" display="活动详情"/>
    <hyperlink ref="J185" location="类型3!A1" display="活动详情"/>
    <hyperlink ref="J187:J189" location="类型3!A1" display="活动详情"/>
    <hyperlink ref="J191" location="类型3!A1" display="活动详情"/>
    <hyperlink ref="J195" location="类型3!A1" display="活动详情"/>
    <hyperlink ref="J225" location="类型3!A1" display="活动详情"/>
    <hyperlink ref="J233" location="类型3!A1" display="活动详情"/>
    <hyperlink ref="J250" location="类型3!A1" display="活动详情"/>
    <hyperlink ref="J255" location="类型3!A1" display="活动详情"/>
    <hyperlink ref="J277:J279" location="类型3!A1" display="活动详情"/>
    <hyperlink ref="J285:J287" location="类型3!A1" display="活动详情"/>
    <hyperlink ref="J296:J298" location="类型3!A1" display="活动详情"/>
    <hyperlink ref="J306" location="类型3!A1" display="活动详情"/>
    <hyperlink ref="J316" location="类型3!A1" display="活动详情"/>
    <hyperlink ref="J340" location="类型3!A1" display="活动详情"/>
    <hyperlink ref="J348" location="类型3!A1" display="活动详情"/>
    <hyperlink ref="J353:J354" location="类型3!A1" display="活动详情"/>
    <hyperlink ref="J358:J360" location="类型3!A1" display="活动详情"/>
    <hyperlink ref="J370:J375" location="类型3!A1" display="活动详情"/>
    <hyperlink ref="J394:J409" location="类型3!A1" display="活动详情"/>
    <hyperlink ref="J9" location="类型4!A1" display="活动详情"/>
    <hyperlink ref="J10:J14" location="类型4!A1" display="活动详情"/>
    <hyperlink ref="J42" location="类型4!A1" display="活动详情"/>
    <hyperlink ref="J172" location="类型4!A1" display="活动详情"/>
    <hyperlink ref="J41" location="类型5!A1" display="活动详情"/>
    <hyperlink ref="J58" location="类型5!A1" display="活动详情"/>
    <hyperlink ref="J70" location="类型5!A1" display="活动详情"/>
    <hyperlink ref="J85" location="类型5!A1" display="活动详情"/>
    <hyperlink ref="J170" location="类型5!A1" display="活动详情"/>
    <hyperlink ref="J190" location="类型5!A1" display="活动详情"/>
    <hyperlink ref="J194" location="类型5!A1" display="活动详情"/>
    <hyperlink ref="J223" location="类型5!A1" display="活动详情"/>
    <hyperlink ref="J231" location="类型5!A1" display="活动详情"/>
    <hyperlink ref="J237" location="类型5!A1" display="活动详情"/>
    <hyperlink ref="J256:J258" location="类型5!A1" display="活动详情"/>
    <hyperlink ref="J338" location="类型5!A1" display="活动详情"/>
    <hyperlink ref="J346" location="类型5!A1" display="活动详情"/>
    <hyperlink ref="J391" location="类型5!A1" display="活动详情"/>
    <hyperlink ref="J7" location="类型6!A1" display="活动详情"/>
    <hyperlink ref="J33" location="类型7!A1" display="活动详情"/>
    <hyperlink ref="J44" location="类型7!A1" display="活动详情"/>
    <hyperlink ref="J54" location="类型7!A1" display="活动详情"/>
    <hyperlink ref="J59" location="类型7!A1" display="活动详情"/>
    <hyperlink ref="J78" location="类型7!A1" display="活动详情"/>
    <hyperlink ref="J86" location="类型7!A1" display="活动详情"/>
    <hyperlink ref="J111" location="类型7!A1" display="活动详情"/>
    <hyperlink ref="J116" location="类型7!A1" display="活动详情"/>
    <hyperlink ref="J171" location="类型7!A1" display="活动详情"/>
    <hyperlink ref="J176" location="类型7!A1" display="活动详情"/>
    <hyperlink ref="J224" location="类型7!A1" display="活动详情"/>
    <hyperlink ref="J232" location="类型7!A1" display="活动详情"/>
    <hyperlink ref="J238" location="类型7!A1" display="活动详情"/>
    <hyperlink ref="J252" location="类型7!A1" display="活动详情"/>
    <hyperlink ref="J304" location="类型7!A1" display="活动详情"/>
    <hyperlink ref="J310" location="类型7!A1" display="活动详情"/>
    <hyperlink ref="J339" location="类型7!A1" display="活动详情"/>
    <hyperlink ref="J347" location="类型7!A1" display="活动详情"/>
    <hyperlink ref="J32" location="类型8!A1" display="活动详情"/>
    <hyperlink ref="J62" location="类型9!A1" display="活动详情"/>
    <hyperlink ref="J63:J65" location="类型9!A1" display="活动详情"/>
    <hyperlink ref="J71" location="类型9!A1" display="活动详情"/>
    <hyperlink ref="J88" location="类型9!A1" display="活动详情"/>
    <hyperlink ref="J101" location="类型9!A1" display="活动详情"/>
    <hyperlink ref="J117" location="类型9!A1" display="活动详情"/>
    <hyperlink ref="J124" location="类型9!A1" display="活动详情"/>
    <hyperlink ref="J131" location="类型9!A1" display="活动详情"/>
    <hyperlink ref="J153" location="类型9!A1" display="活动详情"/>
    <hyperlink ref="J161:J163" location="类型9!A1" display="活动详情"/>
    <hyperlink ref="J199" location="类型9!A1" display="活动详情"/>
    <hyperlink ref="J207" location="类型9!A1" display="活动详情"/>
    <hyperlink ref="J214:J215" location="类型9!A1" display="活动详情"/>
    <hyperlink ref="J305" location="类型9!A1" display="活动详情"/>
    <hyperlink ref="J314:J315" location="类型9!A1" display="活动详情"/>
    <hyperlink ref="J357" location="类型9!A1" display="活动详情"/>
    <hyperlink ref="J368:J369" location="类型9!A1" display="活动详情"/>
    <hyperlink ref="J53" location="类型10!A1" display="活动详情"/>
    <hyperlink ref="J113" location="类型10!A1" display="活动详情"/>
    <hyperlink ref="J186" location="类型10!A1" display="活动详情"/>
    <hyperlink ref="J226" location="类型10!A1" display="活动详情"/>
    <hyperlink ref="J234" location="类型10!A1" display="活动详情"/>
    <hyperlink ref="J341" location="类型10!A1" display="活动详情"/>
    <hyperlink ref="J349" location="类型10!A1" display="活动详情"/>
    <hyperlink ref="J79" location="'类型11-1'!A1" display="活动详情"/>
    <hyperlink ref="J102" location="'类型11-1'!A1" display="活动详情"/>
    <hyperlink ref="J249" location="'类型11-1'!A1" display="活动详情"/>
    <hyperlink ref="J254" location="'类型11-1'!A1" display="活动详情"/>
    <hyperlink ref="J326" location="'类型11-1'!A1" display="活动详情"/>
    <hyperlink ref="J328" location="'类型11-1'!A1" display="活动详情"/>
    <hyperlink ref="J330" location="'类型11-1'!A1" display="活动详情"/>
    <hyperlink ref="J332" location="'类型11-1'!A1" display="活动详情"/>
    <hyperlink ref="J388" location="'类型11-1'!A1" display="活动详情"/>
    <hyperlink ref="J198" location="类型12!A1" display="活动详情"/>
    <hyperlink ref="J206" location="类型12!A1" display="活动详情"/>
    <hyperlink ref="J236" location="类型12!A1" display="活动详情"/>
    <hyperlink ref="J251" location="类型12!A1" display="活动详情"/>
    <hyperlink ref="J221" location="类型18!A1" display="活动详情"/>
    <hyperlink ref="J229" location="类型18!A1" display="活动详情"/>
    <hyperlink ref="J248" location="类型18!A1" display="活动详情"/>
    <hyperlink ref="J259:J260" location="类型18!A1" display="活动详情"/>
    <hyperlink ref="J336" location="类型18!A1" display="活动详情"/>
    <hyperlink ref="J344" location="类型18!A1" display="活动详情"/>
    <hyperlink ref="J355" location="类型18!A1" display="活动详情"/>
    <hyperlink ref="J110" location="'类型22-1'!A1" display="活动详情"/>
    <hyperlink ref="J109" location="类型21!A1" display="活动详情"/>
    <hyperlink ref="J108" location="类型20!A1" display="活动详情"/>
    <hyperlink ref="J107" location="类型19!A1" display="活动详情"/>
    <hyperlink ref="J220" location="类型19!A1" display="活动详情"/>
    <hyperlink ref="J228" location="类型19!A1" display="活动详情"/>
    <hyperlink ref="J335" location="类型19!A1" display="活动详情"/>
    <hyperlink ref="J343" location="类型19!A1" display="活动详情"/>
    <hyperlink ref="J351" location="类型19!A1" display="活动详情"/>
    <hyperlink ref="J115" location="类型20!A1" display="活动详情"/>
    <hyperlink ref="J392:J393" location="类型20!A1" display="活动详情"/>
    <hyperlink ref="J114" location="类型21!A1" display="活动详情"/>
    <hyperlink ref="J123" location="类型21!A1" display="活动详情"/>
    <hyperlink ref="J130" location="类型21!A1" display="活动详情"/>
    <hyperlink ref="J280" location="类型21!A1" display="活动详情"/>
    <hyperlink ref="J288" location="类型21!A1" display="活动详情"/>
    <hyperlink ref="J299" location="类型21!A1" display="活动详情"/>
    <hyperlink ref="J303" location="类型21!A1" display="活动详情"/>
    <hyperlink ref="J311:J313" location="类型21!A1" display="活动详情"/>
    <hyperlink ref="J356" location="类型21!A1" display="活动详情"/>
    <hyperlink ref="J367" location="类型21!A1" display="活动详情"/>
    <hyperlink ref="J192" location="'类型22-1'!A1" display="活动详情"/>
    <hyperlink ref="J196:J197" location="'类型22-1'!A1" display="活动详情"/>
    <hyperlink ref="J389" location="'类型22-1'!A1" display="活动详情"/>
    <hyperlink ref="E7" location="vip!A1" display="活动详情"/>
  </hyperlink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5"/>
  <sheetViews>
    <sheetView tabSelected="1" workbookViewId="0">
      <selection activeCell="D31" sqref="D31:D37"/>
    </sheetView>
  </sheetViews>
  <sheetFormatPr defaultRowHeight="13.5"/>
  <cols>
    <col min="1" max="1" width="9" style="1"/>
    <col min="2" max="2" width="11" style="1" bestFit="1" customWidth="1"/>
    <col min="3" max="3" width="8.25" style="1" bestFit="1" customWidth="1"/>
    <col min="4" max="4" width="11" style="1" bestFit="1" customWidth="1"/>
    <col min="5" max="5" width="9" style="1" bestFit="1" customWidth="1"/>
    <col min="6" max="6" width="17.5" style="1" bestFit="1" customWidth="1"/>
    <col min="7" max="7" width="17.375" style="1" bestFit="1" customWidth="1"/>
    <col min="8" max="8" width="9" style="1" bestFit="1" customWidth="1"/>
    <col min="9" max="9" width="17.5" style="1" bestFit="1" customWidth="1"/>
    <col min="10" max="10" width="17.375" style="1" bestFit="1" customWidth="1"/>
    <col min="11" max="11" width="9" style="1" bestFit="1" customWidth="1"/>
    <col min="12" max="12" width="17.5" style="1" bestFit="1" customWidth="1"/>
    <col min="13" max="13" width="17.375" style="1" bestFit="1" customWidth="1"/>
    <col min="14" max="14" width="9" style="1" bestFit="1" customWidth="1"/>
    <col min="15" max="15" width="13" style="1" bestFit="1" customWidth="1"/>
    <col min="16" max="16" width="9.5" style="1" bestFit="1" customWidth="1"/>
    <col min="17" max="16384" width="9" style="1"/>
  </cols>
  <sheetData>
    <row r="1" spans="1:16">
      <c r="A1" s="3" t="s">
        <v>19</v>
      </c>
      <c r="B1" s="4" t="s">
        <v>1421</v>
      </c>
      <c r="C1" s="4" t="s">
        <v>1422</v>
      </c>
      <c r="D1" s="4" t="s">
        <v>1423</v>
      </c>
      <c r="E1" s="4" t="s">
        <v>2</v>
      </c>
      <c r="F1" s="4" t="s">
        <v>3</v>
      </c>
      <c r="G1" s="4" t="s">
        <v>5</v>
      </c>
      <c r="H1" s="4" t="s">
        <v>2</v>
      </c>
      <c r="I1" s="4" t="s">
        <v>3</v>
      </c>
      <c r="J1" s="4" t="s">
        <v>5</v>
      </c>
      <c r="K1" s="4" t="s">
        <v>2</v>
      </c>
      <c r="L1" s="4" t="s">
        <v>3</v>
      </c>
      <c r="M1" s="4" t="s">
        <v>5</v>
      </c>
      <c r="N1" s="4" t="s">
        <v>2</v>
      </c>
      <c r="O1" s="4" t="s">
        <v>3</v>
      </c>
      <c r="P1" s="4" t="s">
        <v>5</v>
      </c>
    </row>
    <row r="2" spans="1:16">
      <c r="B2" s="1">
        <v>1</v>
      </c>
      <c r="C2" s="1">
        <v>1</v>
      </c>
      <c r="D2" s="1">
        <v>1</v>
      </c>
      <c r="E2" s="1">
        <v>200156</v>
      </c>
      <c r="F2" s="1" t="str">
        <f>INDEX([1]物品基础表!$A:$A,MATCH(E2,[1]物品基础表!$B:$B,0))</f>
        <v>野外BOSS次数卷轴</v>
      </c>
      <c r="G2" s="1">
        <v>1</v>
      </c>
      <c r="H2" s="1">
        <v>1</v>
      </c>
      <c r="I2" s="1" t="s">
        <v>1432</v>
      </c>
      <c r="J2" s="1">
        <v>100000</v>
      </c>
    </row>
    <row r="3" spans="1:16">
      <c r="B3" s="1">
        <v>2</v>
      </c>
      <c r="C3" s="1">
        <v>2</v>
      </c>
      <c r="D3" s="1">
        <v>5</v>
      </c>
      <c r="E3" s="1">
        <v>200156</v>
      </c>
      <c r="F3" s="1" t="str">
        <f>INDEX([1]物品基础表!$A:$A,MATCH(E3,[1]物品基础表!$B:$B,0))</f>
        <v>野外BOSS次数卷轴</v>
      </c>
      <c r="G3" s="1">
        <v>2</v>
      </c>
      <c r="H3" s="1">
        <v>200164</v>
      </c>
      <c r="I3" s="1" t="str">
        <f>INDEX([1]物品基础表!$A:$A,MATCH(H3,[1]物品基础表!$B:$B,0))</f>
        <v>金砖</v>
      </c>
      <c r="J3" s="1">
        <v>1</v>
      </c>
    </row>
    <row r="4" spans="1:16">
      <c r="B4" s="1">
        <v>3</v>
      </c>
      <c r="C4" s="1">
        <v>3</v>
      </c>
      <c r="D4" s="1">
        <v>10</v>
      </c>
      <c r="E4" s="1">
        <v>200156</v>
      </c>
      <c r="F4" s="1" t="str">
        <f>INDEX([1]物品基础表!$A:$A,MATCH(E4,[1]物品基础表!$B:$B,0))</f>
        <v>野外BOSS次数卷轴</v>
      </c>
      <c r="G4" s="1">
        <v>3</v>
      </c>
      <c r="H4" s="1">
        <v>200002</v>
      </c>
      <c r="I4" s="1" t="str">
        <f>INDEX([1]物品基础表!$A:$A,MATCH(H4,[1]物品基础表!$B:$B,0))</f>
        <v>强化石</v>
      </c>
      <c r="J4" s="1">
        <v>50</v>
      </c>
    </row>
    <row r="5" spans="1:16">
      <c r="B5" s="1">
        <v>4</v>
      </c>
      <c r="C5" s="1">
        <v>4</v>
      </c>
      <c r="D5" s="1">
        <v>50</v>
      </c>
      <c r="E5" s="1">
        <v>200156</v>
      </c>
      <c r="F5" s="1" t="str">
        <f>INDEX([1]物品基础表!$A:$A,MATCH(E5,[1]物品基础表!$B:$B,0))</f>
        <v>野外BOSS次数卷轴</v>
      </c>
      <c r="G5" s="1">
        <v>4</v>
      </c>
      <c r="H5" s="1">
        <v>200003</v>
      </c>
      <c r="I5" s="1" t="str">
        <f>INDEX([1]物品基础表!$A:$A,MATCH(H5,[1]物品基础表!$B:$B,0))</f>
        <v>铸造晶石</v>
      </c>
      <c r="J5" s="1">
        <v>15</v>
      </c>
    </row>
    <row r="6" spans="1:16">
      <c r="B6" s="1">
        <v>5</v>
      </c>
      <c r="C6" s="1">
        <v>5</v>
      </c>
      <c r="D6" s="1">
        <v>100</v>
      </c>
      <c r="E6" s="1">
        <v>200156</v>
      </c>
      <c r="F6" s="1" t="str">
        <f>INDEX([1]物品基础表!$A:$A,MATCH(E6,[1]物品基础表!$B:$B,0))</f>
        <v>野外BOSS次数卷轴</v>
      </c>
      <c r="G6" s="1">
        <v>5</v>
      </c>
      <c r="H6" s="1">
        <v>200166</v>
      </c>
      <c r="I6" s="1" t="str">
        <f>INDEX([1]物品基础表!$A:$A,MATCH(H6,[1]物品基础表!$B:$B,0))</f>
        <v>寻宝卷</v>
      </c>
      <c r="J6" s="1">
        <v>5</v>
      </c>
    </row>
    <row r="7" spans="1:16">
      <c r="B7" s="1">
        <v>6</v>
      </c>
      <c r="C7" s="1">
        <v>6</v>
      </c>
      <c r="D7" s="1">
        <v>3800</v>
      </c>
      <c r="E7" s="1">
        <v>200001</v>
      </c>
      <c r="F7" s="1" t="str">
        <f>INDEX([1]物品基础表!$A:$A,MATCH(E7,[1]物品基础表!$B:$B,0))</f>
        <v>羽毛</v>
      </c>
      <c r="G7" s="1">
        <v>130</v>
      </c>
      <c r="H7" s="1">
        <v>200165</v>
      </c>
      <c r="I7" s="1" t="str">
        <f>INDEX([1]物品基础表!$A:$A,MATCH(H7,[1]物品基础表!$B:$B,0))</f>
        <v>寻宝卷</v>
      </c>
      <c r="J7" s="1">
        <v>2</v>
      </c>
      <c r="K7" s="1">
        <v>200004</v>
      </c>
      <c r="L7" s="1" t="str">
        <f>INDEX([1]物品基础表!$A:$A,MATCH(K7,[1]物品基础表!$B:$B,0))</f>
        <v>经脉丹</v>
      </c>
      <c r="M7" s="1">
        <v>20</v>
      </c>
      <c r="N7" s="1">
        <v>1</v>
      </c>
      <c r="O7" s="1" t="s">
        <v>1432</v>
      </c>
      <c r="P7" s="1">
        <v>2000000</v>
      </c>
    </row>
    <row r="8" spans="1:16">
      <c r="B8" s="1">
        <v>7</v>
      </c>
      <c r="C8" s="1">
        <v>7</v>
      </c>
      <c r="D8" s="1">
        <v>6800</v>
      </c>
      <c r="E8" s="1">
        <v>260034</v>
      </c>
      <c r="F8" s="1" t="str">
        <f>INDEX([1]物品基础表!$A:$A,MATCH(E8,[1]物品基础表!$B:$B,0))</f>
        <v>恐惧大魔王</v>
      </c>
      <c r="G8" s="1">
        <v>1</v>
      </c>
      <c r="H8" s="1">
        <v>200165</v>
      </c>
      <c r="I8" s="1" t="str">
        <f>INDEX([1]物品基础表!$A:$A,MATCH(H8,[1]物品基础表!$B:$B,0))</f>
        <v>寻宝卷</v>
      </c>
      <c r="J8" s="1">
        <v>5</v>
      </c>
      <c r="K8" s="1">
        <v>200004</v>
      </c>
      <c r="L8" s="1" t="str">
        <f>INDEX([1]物品基础表!$A:$A,MATCH(K8,[1]物品基础表!$B:$B,0))</f>
        <v>经脉丹</v>
      </c>
      <c r="M8" s="1">
        <v>30</v>
      </c>
      <c r="N8" s="1">
        <v>1</v>
      </c>
      <c r="O8" s="1" t="s">
        <v>1432</v>
      </c>
      <c r="P8" s="1">
        <v>5000000</v>
      </c>
    </row>
    <row r="9" spans="1:16">
      <c r="B9" s="1">
        <v>8</v>
      </c>
      <c r="C9" s="1">
        <v>8</v>
      </c>
      <c r="D9" s="1">
        <v>8800</v>
      </c>
      <c r="E9" s="1">
        <v>501301</v>
      </c>
      <c r="F9" s="1" t="str">
        <f>INDEX([1]物品基础表!$A:$A,MATCH(E9,[1]物品基础表!$B:$B,0))</f>
        <v>红神力1级</v>
      </c>
      <c r="G9" s="1">
        <v>1</v>
      </c>
      <c r="H9" s="1">
        <v>200165</v>
      </c>
      <c r="I9" s="1" t="str">
        <f>INDEX([1]物品基础表!$A:$A,MATCH(H9,[1]物品基础表!$B:$B,0))</f>
        <v>寻宝卷</v>
      </c>
      <c r="J9" s="1">
        <v>10</v>
      </c>
      <c r="K9" s="1">
        <v>502301</v>
      </c>
      <c r="L9" s="1" t="str">
        <f>INDEX([1]物品基础表!$A:$A,MATCH(K9,[1]物品基础表!$B:$B,0))</f>
        <v>红金汤1级</v>
      </c>
      <c r="M9" s="1">
        <v>1</v>
      </c>
      <c r="N9" s="1">
        <v>503301</v>
      </c>
      <c r="O9" s="1" t="str">
        <f>INDEX([1]物品基础表!$A:$A,MATCH(N9,[1]物品基础表!$B:$B,0))</f>
        <v>红长生1级</v>
      </c>
      <c r="P9" s="1">
        <v>1</v>
      </c>
    </row>
    <row r="10" spans="1:16">
      <c r="B10" s="1">
        <v>9</v>
      </c>
      <c r="C10" s="1">
        <v>9</v>
      </c>
      <c r="D10" s="1">
        <v>18800</v>
      </c>
      <c r="E10" s="1">
        <v>210102</v>
      </c>
      <c r="F10" s="1" t="str">
        <f>INDEX([1]物品基础表!$A:$A,MATCH(E10,[1]物品基础表!$B:$B,0))</f>
        <v>高级攻击增强</v>
      </c>
      <c r="G10" s="1">
        <v>1</v>
      </c>
      <c r="H10" s="1">
        <v>200165</v>
      </c>
      <c r="I10" s="1" t="str">
        <f>INDEX([1]物品基础表!$A:$A,MATCH(H10,[1]物品基础表!$B:$B,0))</f>
        <v>寻宝卷</v>
      </c>
      <c r="J10" s="1">
        <v>15</v>
      </c>
      <c r="K10" s="1">
        <v>200004</v>
      </c>
      <c r="L10" s="1" t="str">
        <f>INDEX([1]物品基础表!$A:$A,MATCH(K10,[1]物品基础表!$B:$B,0))</f>
        <v>经脉丹</v>
      </c>
      <c r="M10" s="1">
        <v>60</v>
      </c>
      <c r="N10" s="1">
        <v>1</v>
      </c>
      <c r="O10" s="1" t="s">
        <v>1432</v>
      </c>
      <c r="P10" s="1">
        <v>8000000</v>
      </c>
    </row>
    <row r="11" spans="1:16">
      <c r="B11" s="1">
        <v>10</v>
      </c>
      <c r="C11" s="1">
        <v>10</v>
      </c>
      <c r="D11" s="1">
        <v>38800</v>
      </c>
      <c r="E11" s="1">
        <v>210104</v>
      </c>
      <c r="F11" s="1" t="str">
        <f>INDEX([1]物品基础表!$A:$A,MATCH(E11,[1]物品基础表!$B:$B,0))</f>
        <v>高级暴击增强</v>
      </c>
      <c r="G11" s="1">
        <v>1</v>
      </c>
      <c r="H11" s="1">
        <v>210106</v>
      </c>
      <c r="I11" s="1" t="str">
        <f>INDEX([1]物品基础表!$A:$A,MATCH(H11,[1]物品基础表!$B:$B,0))</f>
        <v>高级必杀</v>
      </c>
      <c r="J11" s="1">
        <v>1</v>
      </c>
      <c r="K11" s="1">
        <v>200004</v>
      </c>
      <c r="L11" s="1" t="str">
        <f>INDEX([1]物品基础表!$A:$A,MATCH(K11,[1]物品基础表!$B:$B,0))</f>
        <v>经脉丹</v>
      </c>
      <c r="M11" s="1">
        <v>80</v>
      </c>
      <c r="N11" s="1">
        <v>1</v>
      </c>
      <c r="O11" s="1" t="s">
        <v>1432</v>
      </c>
      <c r="P11" s="1">
        <v>10000000</v>
      </c>
    </row>
    <row r="12" spans="1:16">
      <c r="B12" s="1">
        <v>11</v>
      </c>
      <c r="C12" s="1">
        <v>11</v>
      </c>
      <c r="D12" s="1">
        <v>58800</v>
      </c>
      <c r="E12" s="1">
        <v>260096</v>
      </c>
      <c r="F12" s="1" t="str">
        <f>INDEX([1]物品基础表!$A:$A,MATCH(E12,[1]物品基础表!$B:$B,0))</f>
        <v>麒麟</v>
      </c>
      <c r="G12" s="1">
        <v>1</v>
      </c>
      <c r="H12" s="1">
        <v>210110</v>
      </c>
      <c r="I12" s="1" t="str">
        <f>INDEX([1]物品基础表!$A:$A,MATCH(H12,[1]物品基础表!$B:$B,0))</f>
        <v>高级神佑</v>
      </c>
      <c r="J12" s="1">
        <v>1</v>
      </c>
      <c r="K12" s="1">
        <v>200004</v>
      </c>
      <c r="L12" s="1" t="str">
        <f>INDEX([1]物品基础表!$A:$A,MATCH(K12,[1]物品基础表!$B:$B,0))</f>
        <v>经脉丹</v>
      </c>
      <c r="M12" s="1">
        <v>100</v>
      </c>
      <c r="N12" s="1">
        <v>1</v>
      </c>
      <c r="O12" s="1" t="s">
        <v>1432</v>
      </c>
      <c r="P12" s="1">
        <v>15000000</v>
      </c>
    </row>
    <row r="13" spans="1:16">
      <c r="B13" s="1">
        <v>12</v>
      </c>
      <c r="C13" s="1">
        <v>12</v>
      </c>
      <c r="D13" s="1">
        <v>88800</v>
      </c>
      <c r="E13" s="1">
        <v>200301</v>
      </c>
      <c r="F13" s="1" t="str">
        <f>INDEX([1]物品基础表!$A:$A,MATCH(E13,[1]物品基础表!$B:$B,0))</f>
        <v>传世宝钻</v>
      </c>
      <c r="G13" s="1">
        <v>1000</v>
      </c>
      <c r="H13" s="1">
        <v>200165</v>
      </c>
      <c r="I13" s="1" t="str">
        <f>INDEX([1]物品基础表!$A:$A,MATCH(H13,[1]物品基础表!$B:$B,0))</f>
        <v>寻宝卷</v>
      </c>
      <c r="J13" s="1">
        <v>20</v>
      </c>
      <c r="K13" s="1">
        <v>200004</v>
      </c>
      <c r="L13" s="1" t="str">
        <f>INDEX([1]物品基础表!$A:$A,MATCH(K13,[1]物品基础表!$B:$B,0))</f>
        <v>经脉丹</v>
      </c>
      <c r="M13" s="1">
        <v>120</v>
      </c>
      <c r="N13" s="1">
        <v>1</v>
      </c>
      <c r="O13" s="1" t="s">
        <v>1432</v>
      </c>
      <c r="P13" s="1">
        <v>20000000</v>
      </c>
    </row>
    <row r="14" spans="1:16">
      <c r="B14" s="1">
        <v>13</v>
      </c>
      <c r="C14" s="1">
        <v>13</v>
      </c>
      <c r="D14" s="1">
        <v>136000</v>
      </c>
      <c r="E14" s="1">
        <v>121501</v>
      </c>
      <c r="F14" s="1" t="str">
        <f>INDEX([1]物品基础表!$A:$A,MATCH(E14,[1]物品基础表!$B:$B,0))</f>
        <v>传奇衣服1</v>
      </c>
      <c r="G14" s="1">
        <v>1</v>
      </c>
      <c r="H14" s="1">
        <v>200165</v>
      </c>
      <c r="I14" s="1" t="str">
        <f>INDEX([1]物品基础表!$A:$A,MATCH(H14,[1]物品基础表!$B:$B,0))</f>
        <v>寻宝卷</v>
      </c>
      <c r="J14" s="1">
        <v>25</v>
      </c>
      <c r="K14" s="1">
        <v>200004</v>
      </c>
      <c r="L14" s="1" t="str">
        <f>INDEX([1]物品基础表!$A:$A,MATCH(K14,[1]物品基础表!$B:$B,0))</f>
        <v>经脉丹</v>
      </c>
      <c r="M14" s="1">
        <v>160</v>
      </c>
      <c r="N14" s="1">
        <v>1</v>
      </c>
      <c r="O14" s="1" t="s">
        <v>1432</v>
      </c>
      <c r="P14" s="1">
        <v>30000000</v>
      </c>
    </row>
    <row r="15" spans="1:16">
      <c r="B15" s="1">
        <v>14</v>
      </c>
      <c r="C15" s="1">
        <v>14</v>
      </c>
      <c r="D15" s="1">
        <v>138800</v>
      </c>
      <c r="E15" s="1">
        <v>101501</v>
      </c>
      <c r="F15" s="1" t="str">
        <f>INDEX([1]物品基础表!$A:$A,MATCH(E15,[1]物品基础表!$B:$B,0))</f>
        <v>传奇武器1</v>
      </c>
      <c r="G15" s="1">
        <v>1</v>
      </c>
      <c r="H15" s="1">
        <v>200165</v>
      </c>
      <c r="I15" s="1" t="str">
        <f>INDEX([1]物品基础表!$A:$A,MATCH(H15,[1]物品基础表!$B:$B,0))</f>
        <v>寻宝卷</v>
      </c>
      <c r="J15" s="1">
        <v>25</v>
      </c>
      <c r="K15" s="1">
        <v>200004</v>
      </c>
      <c r="L15" s="1" t="str">
        <f>INDEX([1]物品基础表!$A:$A,MATCH(K15,[1]物品基础表!$B:$B,0))</f>
        <v>经脉丹</v>
      </c>
      <c r="M15" s="1">
        <v>160</v>
      </c>
      <c r="N15" s="1">
        <v>1</v>
      </c>
      <c r="O15" s="1" t="s">
        <v>1432</v>
      </c>
      <c r="P15" s="1">
        <v>30000000</v>
      </c>
    </row>
    <row r="16" spans="1:16">
      <c r="B16" s="1">
        <v>15</v>
      </c>
      <c r="C16" s="1">
        <v>15</v>
      </c>
      <c r="D16" s="1">
        <v>158800</v>
      </c>
      <c r="E16" s="1">
        <v>200008</v>
      </c>
      <c r="F16" s="1" t="str">
        <f>INDEX([1]物品基础表!$A:$A,MATCH(E16,[1]物品基础表!$B:$B,0))</f>
        <v>传奇碎片</v>
      </c>
      <c r="G16" s="1">
        <v>250</v>
      </c>
      <c r="H16" s="1">
        <v>200165</v>
      </c>
      <c r="I16" s="1" t="str">
        <f>INDEX([1]物品基础表!$A:$A,MATCH(H16,[1]物品基础表!$B:$B,0))</f>
        <v>寻宝卷</v>
      </c>
      <c r="J16" s="1">
        <v>35</v>
      </c>
      <c r="K16" s="1">
        <v>200004</v>
      </c>
      <c r="L16" s="1" t="str">
        <f>INDEX([1]物品基础表!$A:$A,MATCH(K16,[1]物品基础表!$B:$B,0))</f>
        <v>经脉丹</v>
      </c>
      <c r="M16" s="1">
        <v>200</v>
      </c>
      <c r="N16" s="1">
        <v>1</v>
      </c>
      <c r="O16" s="1" t="s">
        <v>1432</v>
      </c>
      <c r="P16" s="1">
        <v>50000000</v>
      </c>
    </row>
    <row r="17" spans="1:16">
      <c r="A17" s="1" t="s">
        <v>1069</v>
      </c>
      <c r="B17" s="1">
        <v>16</v>
      </c>
      <c r="C17" s="1">
        <v>5</v>
      </c>
      <c r="D17" s="1">
        <v>88</v>
      </c>
      <c r="E17" s="1">
        <v>200003</v>
      </c>
      <c r="F17" s="1" t="str">
        <f>INDEX([1]物品基础表!$A:$A,MATCH(E17,[1]物品基础表!$B:$B,0))</f>
        <v>铸造晶石</v>
      </c>
      <c r="G17" s="1">
        <v>30</v>
      </c>
      <c r="H17" s="1">
        <v>200157</v>
      </c>
      <c r="I17" s="1" t="str">
        <f>INDEX([1]物品基础表!$A:$A,MATCH(H17,[1]物品基础表!$B:$B,0))</f>
        <v>秘境BOSS次数卷轴</v>
      </c>
      <c r="J17" s="1">
        <v>1</v>
      </c>
      <c r="K17" s="1">
        <v>200156</v>
      </c>
      <c r="L17" s="1" t="str">
        <f>INDEX([1]物品基础表!$A:$A,MATCH(K17,[1]物品基础表!$B:$B,0))</f>
        <v>野外BOSS次数卷轴</v>
      </c>
      <c r="M17" s="1">
        <v>5</v>
      </c>
      <c r="N17" s="1">
        <v>200167</v>
      </c>
      <c r="O17" s="1" t="str">
        <f>INDEX([1]物品基础表!$A:$A,MATCH(N17,[1]物品基础表!$B:$B,0))</f>
        <v>黑铁</v>
      </c>
      <c r="P17" s="1">
        <v>100</v>
      </c>
    </row>
    <row r="18" spans="1:16">
      <c r="A18" s="1" t="s">
        <v>1070</v>
      </c>
      <c r="B18" s="1">
        <v>17</v>
      </c>
      <c r="C18" s="1">
        <v>6</v>
      </c>
      <c r="D18" s="1">
        <v>1888</v>
      </c>
      <c r="E18" s="1">
        <v>200005</v>
      </c>
      <c r="F18" s="1" t="str">
        <f>INDEX([1]物品基础表!$A:$A,MATCH(E18,[1]物品基础表!$B:$B,0))</f>
        <v>龙魂碎片</v>
      </c>
      <c r="G18" s="1">
        <v>100</v>
      </c>
      <c r="H18" s="1">
        <v>200003</v>
      </c>
      <c r="I18" s="1" t="str">
        <f>INDEX([1]物品基础表!$A:$A,MATCH(H18,[1]物品基础表!$B:$B,0))</f>
        <v>铸造晶石</v>
      </c>
      <c r="J18" s="1">
        <v>100</v>
      </c>
      <c r="K18" s="1">
        <v>200004</v>
      </c>
      <c r="L18" s="1" t="str">
        <f>INDEX([1]物品基础表!$A:$A,MATCH(K18,[1]物品基础表!$B:$B,0))</f>
        <v>经脉丹</v>
      </c>
      <c r="M18" s="1">
        <v>10</v>
      </c>
      <c r="N18" s="1">
        <v>200167</v>
      </c>
      <c r="O18" s="1" t="str">
        <f>INDEX([1]物品基础表!$A:$A,MATCH(N18,[1]物品基础表!$B:$B,0))</f>
        <v>黑铁</v>
      </c>
      <c r="P18" s="1">
        <v>200</v>
      </c>
    </row>
    <row r="19" spans="1:16">
      <c r="A19" s="1" t="s">
        <v>694</v>
      </c>
      <c r="B19" s="1">
        <v>18</v>
      </c>
      <c r="C19" s="1">
        <v>7</v>
      </c>
      <c r="D19" s="1">
        <v>3888</v>
      </c>
      <c r="E19" s="1">
        <v>200906</v>
      </c>
      <c r="F19" s="1" t="str">
        <f>INDEX([1]物品基础表!$A:$A,MATCH(E19,[1]物品基础表!$B:$B,0))</f>
        <v>神兵经验丹（1W</v>
      </c>
      <c r="G19" s="1">
        <v>400</v>
      </c>
      <c r="H19" s="1">
        <v>200015</v>
      </c>
      <c r="I19" s="1" t="str">
        <f>INDEX([1]物品基础表!$A:$A,MATCH(H19,[1]物品基础表!$B:$B,0))</f>
        <v>特戒碎片</v>
      </c>
      <c r="J19" s="1">
        <v>1000</v>
      </c>
      <c r="K19" s="1">
        <v>200004</v>
      </c>
      <c r="L19" s="1" t="str">
        <f>INDEX([1]物品基础表!$A:$A,MATCH(K19,[1]物品基础表!$B:$B,0))</f>
        <v>经脉丹</v>
      </c>
      <c r="M19" s="1">
        <v>20</v>
      </c>
      <c r="N19" s="1">
        <v>200167</v>
      </c>
      <c r="O19" s="1" t="str">
        <f>INDEX([1]物品基础表!$A:$A,MATCH(N19,[1]物品基础表!$B:$B,0))</f>
        <v>黑铁</v>
      </c>
      <c r="P19" s="1">
        <v>400</v>
      </c>
    </row>
    <row r="20" spans="1:16">
      <c r="A20" s="1" t="s">
        <v>1424</v>
      </c>
      <c r="B20" s="1">
        <v>19</v>
      </c>
      <c r="C20" s="1">
        <v>8</v>
      </c>
      <c r="D20" s="1">
        <v>6888</v>
      </c>
      <c r="E20" s="1">
        <v>200997</v>
      </c>
      <c r="F20" s="1" t="str">
        <f>INDEX([1]物品基础表!$A:$A,MATCH(E20,[1]物品基础表!$B:$B,0))</f>
        <v>星☆传世宝箱</v>
      </c>
      <c r="G20" s="1">
        <v>1</v>
      </c>
      <c r="H20" s="1">
        <v>200165</v>
      </c>
      <c r="I20" s="1" t="str">
        <f>INDEX([1]物品基础表!$A:$A,MATCH(H20,[1]物品基础表!$B:$B,0))</f>
        <v>寻宝卷</v>
      </c>
      <c r="J20" s="1">
        <v>5</v>
      </c>
      <c r="K20" s="1">
        <v>200004</v>
      </c>
      <c r="L20" s="1" t="str">
        <f>INDEX([1]物品基础表!$A:$A,MATCH(K20,[1]物品基础表!$B:$B,0))</f>
        <v>经脉丹</v>
      </c>
      <c r="M20" s="1">
        <v>30</v>
      </c>
      <c r="N20" s="1">
        <v>200167</v>
      </c>
      <c r="O20" s="1" t="str">
        <f>INDEX([1]物品基础表!$A:$A,MATCH(N20,[1]物品基础表!$B:$B,0))</f>
        <v>黑铁</v>
      </c>
      <c r="P20" s="1">
        <v>700</v>
      </c>
    </row>
    <row r="21" spans="1:16">
      <c r="A21" s="1" t="s">
        <v>1425</v>
      </c>
      <c r="B21" s="1">
        <v>20</v>
      </c>
      <c r="C21" s="1">
        <v>9</v>
      </c>
      <c r="D21" s="1">
        <v>8888</v>
      </c>
      <c r="E21" s="1">
        <v>508401</v>
      </c>
      <c r="F21" s="1" t="str">
        <f>INDEX([1]物品基础表!$A:$A,MATCH(E21,[1]物品基础表!$B:$B,0))</f>
        <v>金地镯1级</v>
      </c>
      <c r="G21" s="1">
        <v>1</v>
      </c>
      <c r="H21" s="1">
        <v>200165</v>
      </c>
      <c r="I21" s="1" t="str">
        <f>INDEX([1]物品基础表!$A:$A,MATCH(H21,[1]物品基础表!$B:$B,0))</f>
        <v>寻宝卷</v>
      </c>
      <c r="J21" s="1">
        <v>10</v>
      </c>
      <c r="K21" s="1">
        <v>200004</v>
      </c>
      <c r="L21" s="1" t="str">
        <f>INDEX([1]物品基础表!$A:$A,MATCH(K21,[1]物品基础表!$B:$B,0))</f>
        <v>经脉丹</v>
      </c>
      <c r="M21" s="1">
        <v>40</v>
      </c>
      <c r="N21" s="1">
        <v>200167</v>
      </c>
      <c r="O21" s="1" t="str">
        <f>INDEX([1]物品基础表!$A:$A,MATCH(N21,[1]物品基础表!$B:$B,0))</f>
        <v>黑铁</v>
      </c>
      <c r="P21" s="1">
        <v>900</v>
      </c>
    </row>
    <row r="22" spans="1:16">
      <c r="A22" s="1" t="s">
        <v>1426</v>
      </c>
      <c r="B22" s="1">
        <v>21</v>
      </c>
      <c r="C22" s="1">
        <v>10</v>
      </c>
      <c r="D22" s="1">
        <v>16888</v>
      </c>
      <c r="E22" s="1">
        <v>300406</v>
      </c>
      <c r="F22" s="1" t="str">
        <f>INDEX([1]物品基础表!$A:$A,MATCH(E22,[1]物品基础表!$B:$B,0))</f>
        <v>战士6技能红圣物</v>
      </c>
      <c r="G22" s="1">
        <v>1</v>
      </c>
      <c r="H22" s="1">
        <v>301406</v>
      </c>
      <c r="I22" s="1" t="str">
        <f>INDEX([1]物品基础表!$A:$A,MATCH(H22,[1]物品基础表!$B:$B,0))</f>
        <v>法师6技能红圣物</v>
      </c>
      <c r="J22" s="1">
        <v>1</v>
      </c>
      <c r="K22" s="1">
        <v>302406</v>
      </c>
      <c r="L22" s="1" t="str">
        <f>INDEX([1]物品基础表!$A:$A,MATCH(K22,[1]物品基础表!$B:$B,0))</f>
        <v>道士6技能红圣物</v>
      </c>
      <c r="M22" s="1">
        <v>1</v>
      </c>
      <c r="N22" s="1">
        <v>200167</v>
      </c>
      <c r="O22" s="1" t="str">
        <f>INDEX([1]物品基础表!$A:$A,MATCH(N22,[1]物品基础表!$B:$B,0))</f>
        <v>黑铁</v>
      </c>
      <c r="P22" s="1">
        <v>1000</v>
      </c>
    </row>
    <row r="23" spans="1:16">
      <c r="A23" s="1" t="s">
        <v>1427</v>
      </c>
      <c r="B23" s="1">
        <v>22</v>
      </c>
      <c r="C23" s="1">
        <v>11</v>
      </c>
      <c r="D23" s="1">
        <v>26888</v>
      </c>
      <c r="E23" s="1">
        <v>205003</v>
      </c>
      <c r="F23" s="1" t="str">
        <f>INDEX([1]物品基础表!$A:$A,MATCH(E23,[1]物品基础表!$B:$B,0))</f>
        <v>庚金白虎</v>
      </c>
      <c r="G23" s="1">
        <v>1</v>
      </c>
      <c r="H23" s="1">
        <v>200165</v>
      </c>
      <c r="I23" s="1" t="str">
        <f>INDEX([1]物品基础表!$A:$A,MATCH(H23,[1]物品基础表!$B:$B,0))</f>
        <v>寻宝卷</v>
      </c>
      <c r="J23" s="1">
        <v>15</v>
      </c>
      <c r="K23" s="1">
        <v>200004</v>
      </c>
      <c r="L23" s="1" t="str">
        <f>INDEX([1]物品基础表!$A:$A,MATCH(K23,[1]物品基础表!$B:$B,0))</f>
        <v>经脉丹</v>
      </c>
      <c r="M23" s="1">
        <v>80</v>
      </c>
      <c r="N23" s="1">
        <v>200167</v>
      </c>
      <c r="O23" s="1" t="str">
        <f>INDEX([1]物品基础表!$A:$A,MATCH(N23,[1]物品基础表!$B:$B,0))</f>
        <v>黑铁</v>
      </c>
      <c r="P23" s="1">
        <v>1000</v>
      </c>
    </row>
    <row r="24" spans="1:16">
      <c r="A24" s="1" t="s">
        <v>1428</v>
      </c>
      <c r="B24" s="1">
        <v>23</v>
      </c>
      <c r="C24" s="1">
        <v>12</v>
      </c>
      <c r="D24" s="1">
        <v>58888</v>
      </c>
      <c r="E24" s="1">
        <v>200311</v>
      </c>
      <c r="F24" s="1" t="str">
        <f>INDEX([1]物品基础表!$A:$A,MATCH(E24,[1]物品基础表!$B:$B,0))</f>
        <v>战神兵魂任选礼包</v>
      </c>
      <c r="G24" s="1">
        <v>8</v>
      </c>
      <c r="H24" s="1">
        <v>200326</v>
      </c>
      <c r="I24" s="1" t="str">
        <f>INDEX([1]物品基础表!$A:$A,MATCH(H24,[1]物品基础表!$B:$B,0))</f>
        <v>兵魂之灵</v>
      </c>
      <c r="J24" s="1">
        <v>1</v>
      </c>
      <c r="K24" s="1">
        <v>200314</v>
      </c>
      <c r="L24" s="1" t="str">
        <f>INDEX([1]物品基础表!$A:$A,MATCH(K24,[1]物品基础表!$B:$B,0))</f>
        <v>蛊毒兵魂任选礼包</v>
      </c>
      <c r="M24" s="1">
        <v>8</v>
      </c>
      <c r="N24" s="1">
        <v>200167</v>
      </c>
      <c r="O24" s="1" t="str">
        <f>INDEX([1]物品基础表!$A:$A,MATCH(N24,[1]物品基础表!$B:$B,0))</f>
        <v>黑铁</v>
      </c>
      <c r="P24" s="1">
        <v>1200</v>
      </c>
    </row>
    <row r="25" spans="1:16">
      <c r="A25" s="1" t="s">
        <v>1299</v>
      </c>
      <c r="B25" s="1">
        <v>24</v>
      </c>
      <c r="C25" s="1">
        <v>13</v>
      </c>
      <c r="D25" s="1">
        <v>88888</v>
      </c>
      <c r="E25" s="1">
        <v>200302</v>
      </c>
      <c r="F25" s="1" t="str">
        <f>INDEX([1]物品基础表!$A:$A,MATCH(E25,[1]物品基础表!$B:$B,0))</f>
        <v>传世至宝</v>
      </c>
      <c r="G25" s="1">
        <v>1</v>
      </c>
      <c r="H25" s="1">
        <v>200301</v>
      </c>
      <c r="I25" s="1" t="str">
        <f>INDEX([1]物品基础表!$A:$A,MATCH(H25,[1]物品基础表!$B:$B,0))</f>
        <v>传世宝钻</v>
      </c>
      <c r="J25" s="1">
        <v>600</v>
      </c>
      <c r="K25" s="1">
        <v>200004</v>
      </c>
      <c r="L25" s="1" t="str">
        <f>INDEX([1]物品基础表!$A:$A,MATCH(K25,[1]物品基础表!$B:$B,0))</f>
        <v>经脉丹</v>
      </c>
      <c r="M25" s="1">
        <v>120</v>
      </c>
      <c r="N25" s="1">
        <v>200167</v>
      </c>
      <c r="O25" s="1" t="str">
        <f>INDEX([1]物品基础表!$A:$A,MATCH(N25,[1]物品基础表!$B:$B,0))</f>
        <v>黑铁</v>
      </c>
      <c r="P25" s="1">
        <v>1500</v>
      </c>
    </row>
    <row r="26" spans="1:16">
      <c r="A26" s="1" t="s">
        <v>1429</v>
      </c>
      <c r="B26" s="1">
        <v>25</v>
      </c>
      <c r="C26" s="1">
        <v>14</v>
      </c>
      <c r="D26" s="1">
        <v>108888</v>
      </c>
      <c r="E26" s="1">
        <v>300413</v>
      </c>
      <c r="F26" s="1" t="str">
        <f>INDEX([1]物品基础表!$A:$A,MATCH(E26,[1]物品基础表!$B:$B,0))</f>
        <v>战士13技能红圣物</v>
      </c>
      <c r="G26" s="1">
        <v>1</v>
      </c>
      <c r="H26" s="1">
        <v>301413</v>
      </c>
      <c r="I26" s="1" t="str">
        <f>INDEX([1]物品基础表!$A:$A,MATCH(H26,[1]物品基础表!$B:$B,0))</f>
        <v>法师13技能红圣物</v>
      </c>
      <c r="J26" s="1">
        <v>1</v>
      </c>
      <c r="K26" s="1">
        <v>302413</v>
      </c>
      <c r="L26" s="1" t="str">
        <f>INDEX([1]物品基础表!$A:$A,MATCH(K26,[1]物品基础表!$B:$B,0))</f>
        <v>道士13技能红圣物</v>
      </c>
      <c r="M26" s="1">
        <v>1</v>
      </c>
      <c r="N26" s="1">
        <v>200167</v>
      </c>
      <c r="O26" s="1" t="str">
        <f>INDEX([1]物品基础表!$A:$A,MATCH(N26,[1]物品基础表!$B:$B,0))</f>
        <v>黑铁</v>
      </c>
      <c r="P26" s="1">
        <v>1800</v>
      </c>
    </row>
    <row r="27" spans="1:16">
      <c r="A27" s="1" t="s">
        <v>1430</v>
      </c>
      <c r="B27" s="1">
        <v>26</v>
      </c>
      <c r="C27" s="1">
        <v>15</v>
      </c>
      <c r="D27" s="1">
        <v>158888</v>
      </c>
      <c r="E27" s="1">
        <v>410003</v>
      </c>
      <c r="F27" s="1" t="str">
        <f>INDEX([1]物品基础表!$A:$A,MATCH(E27,[1]物品基础表!$B:$B,0))</f>
        <v>上古魔魂披风</v>
      </c>
      <c r="G27" s="1">
        <v>1</v>
      </c>
      <c r="H27" s="1">
        <v>410004</v>
      </c>
      <c r="I27" s="1" t="str">
        <f>INDEX([1]物品基础表!$A:$A,MATCH(H27,[1]物品基础表!$B:$B,0))</f>
        <v>上古魔魂盾牌</v>
      </c>
      <c r="J27" s="1">
        <v>1</v>
      </c>
      <c r="K27" s="1">
        <v>410002</v>
      </c>
      <c r="L27" s="1" t="str">
        <f>INDEX([1]物品基础表!$A:$A,MATCH(K27,[1]物品基础表!$B:$B,0))</f>
        <v>上古魔魂面甲</v>
      </c>
      <c r="M27" s="1">
        <v>1</v>
      </c>
      <c r="N27" s="1">
        <v>410001</v>
      </c>
      <c r="O27" s="1" t="str">
        <f>INDEX([1]物品基础表!$A:$A,MATCH(N27,[1]物品基础表!$B:$B,0))</f>
        <v>上古魔魂斗笠</v>
      </c>
      <c r="P27" s="1">
        <v>1</v>
      </c>
    </row>
    <row r="28" spans="1:16">
      <c r="A28" s="1" t="s">
        <v>1431</v>
      </c>
      <c r="B28" s="1">
        <v>27</v>
      </c>
      <c r="C28" s="1">
        <v>15</v>
      </c>
      <c r="D28" s="1">
        <v>158888</v>
      </c>
      <c r="E28" s="1">
        <v>204106</v>
      </c>
      <c r="F28" s="1" t="str">
        <f>INDEX([1]物品基础表!$A:$A,MATCH(E28,[1]物品基础表!$B:$B,0))</f>
        <v>极品至尊至宝</v>
      </c>
      <c r="G28" s="1">
        <v>1</v>
      </c>
      <c r="H28" s="1">
        <v>204105</v>
      </c>
      <c r="I28" s="1" t="str">
        <f>INDEX([1]物品基础表!$A:$A,MATCH(H28,[1]物品基础表!$B:$B,0))</f>
        <v>至尊至宝</v>
      </c>
      <c r="J28" s="1">
        <v>1</v>
      </c>
      <c r="K28" s="1">
        <v>200004</v>
      </c>
      <c r="L28" s="1" t="str">
        <f>INDEX([1]物品基础表!$A:$A,MATCH(K28,[1]物品基础表!$B:$B,0))</f>
        <v>经脉丹</v>
      </c>
      <c r="M28" s="1">
        <v>200</v>
      </c>
      <c r="N28" s="1">
        <v>200167</v>
      </c>
      <c r="O28" s="1" t="str">
        <f>INDEX([1]物品基础表!$A:$A,MATCH(N28,[1]物品基础表!$B:$B,0))</f>
        <v>黑铁</v>
      </c>
      <c r="P28" s="1">
        <v>2500</v>
      </c>
    </row>
    <row r="30" spans="1:16">
      <c r="A30" s="3" t="s">
        <v>1422</v>
      </c>
      <c r="B30" s="4" t="s">
        <v>1423</v>
      </c>
      <c r="C30" s="4" t="s">
        <v>2</v>
      </c>
      <c r="D30" s="4" t="s">
        <v>3</v>
      </c>
      <c r="E30" s="4" t="s">
        <v>5</v>
      </c>
      <c r="F30" s="4" t="s">
        <v>2</v>
      </c>
      <c r="G30" s="4" t="s">
        <v>3</v>
      </c>
      <c r="H30" s="4" t="s">
        <v>5</v>
      </c>
      <c r="I30" s="4" t="s">
        <v>2</v>
      </c>
      <c r="J30" s="4" t="s">
        <v>3</v>
      </c>
      <c r="K30" s="4" t="s">
        <v>5</v>
      </c>
      <c r="L30" s="4" t="s">
        <v>2</v>
      </c>
      <c r="M30" s="4" t="s">
        <v>3</v>
      </c>
      <c r="N30" s="4" t="s">
        <v>5</v>
      </c>
    </row>
    <row r="31" spans="1:16">
      <c r="A31" s="1">
        <v>1</v>
      </c>
      <c r="B31" s="1">
        <v>0</v>
      </c>
      <c r="C31" s="1">
        <v>1</v>
      </c>
      <c r="D31" s="1" t="s">
        <v>1433</v>
      </c>
      <c r="E31" s="1">
        <v>10000</v>
      </c>
    </row>
    <row r="32" spans="1:16">
      <c r="A32" s="1">
        <v>2</v>
      </c>
      <c r="B32" s="1">
        <v>0</v>
      </c>
      <c r="C32" s="1">
        <v>1</v>
      </c>
      <c r="D32" s="1" t="s">
        <v>1433</v>
      </c>
      <c r="E32" s="1">
        <v>20000</v>
      </c>
    </row>
    <row r="33" spans="1:14">
      <c r="A33" s="1">
        <v>3</v>
      </c>
      <c r="B33" s="1">
        <v>0</v>
      </c>
      <c r="C33" s="1">
        <v>1</v>
      </c>
      <c r="D33" s="1" t="s">
        <v>1433</v>
      </c>
      <c r="E33" s="1">
        <v>10000</v>
      </c>
      <c r="F33" s="1">
        <v>200002</v>
      </c>
      <c r="G33" s="1" t="str">
        <f>INDEX([1]物品基础表!$A:$A,MATCH(F33,[1]物品基础表!$B:$B,0))</f>
        <v>强化石</v>
      </c>
      <c r="H33" s="1">
        <v>5</v>
      </c>
    </row>
    <row r="34" spans="1:14">
      <c r="A34" s="1">
        <v>4</v>
      </c>
      <c r="B34" s="1">
        <v>0</v>
      </c>
      <c r="C34" s="1">
        <v>1</v>
      </c>
      <c r="D34" s="1" t="s">
        <v>1433</v>
      </c>
      <c r="E34" s="1">
        <v>20000</v>
      </c>
      <c r="F34" s="1">
        <v>200002</v>
      </c>
      <c r="G34" s="1" t="str">
        <f>INDEX([1]物品基础表!$A:$A,MATCH(F34,[1]物品基础表!$B:$B,0))</f>
        <v>强化石</v>
      </c>
      <c r="H34" s="1">
        <v>10</v>
      </c>
    </row>
    <row r="35" spans="1:14">
      <c r="A35" s="1">
        <v>5</v>
      </c>
      <c r="B35" s="1">
        <v>0</v>
      </c>
      <c r="C35" s="1">
        <v>1</v>
      </c>
      <c r="D35" s="1" t="s">
        <v>1433</v>
      </c>
      <c r="E35" s="1">
        <v>40000</v>
      </c>
      <c r="F35" s="1">
        <v>200002</v>
      </c>
      <c r="G35" s="1" t="str">
        <f>INDEX([1]物品基础表!$A:$A,MATCH(F35,[1]物品基础表!$B:$B,0))</f>
        <v>强化石</v>
      </c>
      <c r="H35" s="1">
        <v>15</v>
      </c>
    </row>
    <row r="36" spans="1:14">
      <c r="A36" s="1">
        <v>6</v>
      </c>
      <c r="B36" s="1">
        <v>1000</v>
      </c>
      <c r="C36" s="1">
        <v>1</v>
      </c>
      <c r="D36" s="1" t="s">
        <v>1433</v>
      </c>
      <c r="E36" s="1">
        <v>40000</v>
      </c>
      <c r="F36" s="1">
        <v>200002</v>
      </c>
      <c r="G36" s="1" t="str">
        <f>INDEX([1]物品基础表!$A:$A,MATCH(F36,[1]物品基础表!$B:$B,0))</f>
        <v>强化石</v>
      </c>
      <c r="H36" s="1">
        <v>15</v>
      </c>
      <c r="I36" s="1">
        <v>200003</v>
      </c>
      <c r="J36" s="1" t="str">
        <f>INDEX([1]物品基础表!$A:$A,MATCH(I36,[1]物品基础表!$B:$B,0))</f>
        <v>铸造晶石</v>
      </c>
      <c r="K36" s="1">
        <v>20</v>
      </c>
    </row>
    <row r="37" spans="1:14">
      <c r="A37" s="1">
        <v>7</v>
      </c>
      <c r="B37" s="1">
        <v>5000</v>
      </c>
      <c r="C37" s="1">
        <v>1</v>
      </c>
      <c r="D37" s="1" t="s">
        <v>1433</v>
      </c>
      <c r="E37" s="1">
        <v>1000000</v>
      </c>
      <c r="F37" s="1">
        <v>200002</v>
      </c>
      <c r="G37" s="1" t="str">
        <f>INDEX([1]物品基础表!$A:$A,MATCH(F37,[1]物品基础表!$B:$B,0))</f>
        <v>强化石</v>
      </c>
      <c r="H37" s="1">
        <v>400</v>
      </c>
      <c r="I37" s="1">
        <v>200004</v>
      </c>
      <c r="J37" s="1" t="str">
        <f>INDEX([1]物品基础表!$A:$A,MATCH(I37,[1]物品基础表!$B:$B,0))</f>
        <v>经脉丹</v>
      </c>
      <c r="K37" s="1">
        <v>5</v>
      </c>
      <c r="L37" s="1">
        <v>200005</v>
      </c>
      <c r="M37" s="1" t="str">
        <f>INDEX([1]物品基础表!$A:$A,MATCH(L37,[1]物品基础表!$B:$B,0))</f>
        <v>龙魂碎片</v>
      </c>
      <c r="N37" s="1">
        <v>15</v>
      </c>
    </row>
    <row r="38" spans="1:14">
      <c r="A38" s="1">
        <v>8</v>
      </c>
      <c r="B38" s="1">
        <v>10000</v>
      </c>
      <c r="C38" s="1">
        <v>200013</v>
      </c>
      <c r="D38" s="1" t="str">
        <f>INDEX([1]物品基础表!$A:$A,MATCH(C38,[1]物品基础表!$B:$B,0))</f>
        <v>麻痹戒指</v>
      </c>
      <c r="E38" s="1">
        <v>1</v>
      </c>
      <c r="F38" s="1">
        <v>101409</v>
      </c>
      <c r="G38" s="1" t="str">
        <f>INDEX([1]物品基础表!$A:$A,MATCH(F38,[1]物品基础表!$B:$B,0))</f>
        <v>红色战士80级武器</v>
      </c>
      <c r="H38" s="1">
        <v>1</v>
      </c>
      <c r="I38" s="1">
        <v>102409</v>
      </c>
      <c r="J38" s="1" t="str">
        <f>INDEX([1]物品基础表!$A:$A,MATCH(I38,[1]物品基础表!$B:$B,0))</f>
        <v>红色法师80级武器</v>
      </c>
      <c r="K38" s="1">
        <v>1</v>
      </c>
      <c r="L38" s="1">
        <v>103409</v>
      </c>
      <c r="M38" s="1" t="str">
        <f>INDEX([1]物品基础表!$A:$A,MATCH(L38,[1]物品基础表!$B:$B,0))</f>
        <v>红色道士80级武器</v>
      </c>
      <c r="N38" s="1">
        <v>1</v>
      </c>
    </row>
    <row r="39" spans="1:14">
      <c r="A39" s="1">
        <v>9</v>
      </c>
      <c r="B39" s="1">
        <v>20000</v>
      </c>
      <c r="C39" s="1">
        <v>200149</v>
      </c>
      <c r="D39" s="1" t="str">
        <f>INDEX([1]物品基础表!$A:$A,MATCH(C39,[1]物品基础表!$B:$B,0))</f>
        <v>传世鞋子</v>
      </c>
      <c r="E39" s="1">
        <v>1</v>
      </c>
      <c r="F39" s="1">
        <v>200005</v>
      </c>
      <c r="G39" s="1" t="str">
        <f>INDEX([1]物品基础表!$A:$A,MATCH(F39,[1]物品基础表!$B:$B,0))</f>
        <v>龙魂碎片</v>
      </c>
      <c r="H39" s="1">
        <v>25</v>
      </c>
      <c r="I39" s="1">
        <v>200001</v>
      </c>
      <c r="J39" s="1" t="str">
        <f>INDEX([1]物品基础表!$A:$A,MATCH(I39,[1]物品基础表!$B:$B,0))</f>
        <v>羽毛</v>
      </c>
      <c r="K39" s="1">
        <v>20</v>
      </c>
      <c r="L39" s="1">
        <v>200004</v>
      </c>
      <c r="M39" s="1" t="str">
        <f>INDEX([1]物品基础表!$A:$A,MATCH(L39,[1]物品基础表!$B:$B,0))</f>
        <v>经脉丹</v>
      </c>
      <c r="N39" s="1">
        <v>20</v>
      </c>
    </row>
    <row r="40" spans="1:14">
      <c r="A40" s="1">
        <v>10</v>
      </c>
      <c r="B40" s="1">
        <v>50000</v>
      </c>
      <c r="C40" s="1">
        <v>600009</v>
      </c>
      <c r="D40" s="1" t="str">
        <f>INDEX([1]物品基础表!$A:$A,MATCH(C40,[1]物品基础表!$B:$B,0))</f>
        <v>5阶官印</v>
      </c>
      <c r="E40" s="1">
        <v>1</v>
      </c>
      <c r="F40" s="1">
        <v>200014</v>
      </c>
      <c r="G40" s="1" t="str">
        <f>INDEX([1]物品基础表!$A:$A,MATCH(F40,[1]物品基础表!$B:$B,0))</f>
        <v>护身戒指</v>
      </c>
      <c r="H40" s="1">
        <v>1</v>
      </c>
      <c r="I40" s="1">
        <v>200143</v>
      </c>
      <c r="J40" s="1" t="str">
        <f>INDEX([1]物品基础表!$A:$A,MATCH(I40,[1]物品基础表!$B:$B,0))</f>
        <v>传世头盔</v>
      </c>
      <c r="K40" s="1">
        <v>1</v>
      </c>
      <c r="L40" s="1">
        <v>200004</v>
      </c>
      <c r="M40" s="1" t="str">
        <f>INDEX([1]物品基础表!$A:$A,MATCH(L40,[1]物品基础表!$B:$B,0))</f>
        <v>经脉丹</v>
      </c>
      <c r="N40" s="1">
        <v>50</v>
      </c>
    </row>
    <row r="41" spans="1:14">
      <c r="A41" s="1">
        <v>11</v>
      </c>
      <c r="B41" s="1">
        <v>100000</v>
      </c>
      <c r="C41" s="1">
        <v>260042</v>
      </c>
      <c r="D41" s="1" t="str">
        <f>INDEX([1]物品基础表!$A:$A,MATCH(C41,[1]物品基础表!$B:$B,0))</f>
        <v>火龙王</v>
      </c>
      <c r="E41" s="1">
        <v>1</v>
      </c>
      <c r="F41" s="1">
        <v>200147</v>
      </c>
      <c r="G41" s="1" t="str">
        <f>INDEX([1]物品基础表!$A:$A,MATCH(F41,[1]物品基础表!$B:$B,0))</f>
        <v>传世腰带</v>
      </c>
      <c r="H41" s="1">
        <v>1</v>
      </c>
      <c r="I41" s="1">
        <v>260036</v>
      </c>
      <c r="J41" s="1" t="str">
        <f>INDEX([1]物品基础表!$A:$A,MATCH(I41,[1]物品基础表!$B:$B,0))</f>
        <v>牛魔教主</v>
      </c>
      <c r="K41" s="1">
        <v>1</v>
      </c>
      <c r="L41" s="1">
        <v>501301</v>
      </c>
      <c r="M41" s="1" t="str">
        <f>INDEX([1]物品基础表!$A:$A,MATCH(L41,[1]物品基础表!$B:$B,0))</f>
        <v>红神力1级</v>
      </c>
      <c r="N41" s="1">
        <v>1</v>
      </c>
    </row>
    <row r="42" spans="1:14">
      <c r="A42" s="1">
        <v>12</v>
      </c>
      <c r="B42" s="1">
        <v>200000</v>
      </c>
      <c r="C42" s="1">
        <v>260066</v>
      </c>
      <c r="D42" s="1" t="str">
        <f>INDEX([1]物品基础表!$A:$A,MATCH(C42,[1]物品基础表!$B:$B,0))</f>
        <v>白虎</v>
      </c>
      <c r="E42" s="1">
        <v>1</v>
      </c>
      <c r="F42" s="1">
        <v>200146</v>
      </c>
      <c r="G42" s="1" t="str">
        <f>INDEX([1]物品基础表!$A:$A,MATCH(F42,[1]物品基础表!$B:$B,0))</f>
        <v>传世护腕</v>
      </c>
      <c r="H42" s="1">
        <v>1</v>
      </c>
      <c r="I42" s="1">
        <v>200001</v>
      </c>
      <c r="J42" s="1" t="str">
        <f>INDEX([1]物品基础表!$A:$A,MATCH(I42,[1]物品基础表!$B:$B,0))</f>
        <v>羽毛</v>
      </c>
      <c r="K42" s="1">
        <v>50</v>
      </c>
      <c r="L42" s="1">
        <v>200004</v>
      </c>
      <c r="M42" s="1" t="str">
        <f>INDEX([1]物品基础表!$A:$A,MATCH(L42,[1]物品基础表!$B:$B,0))</f>
        <v>经脉丹</v>
      </c>
      <c r="N42" s="1">
        <v>50</v>
      </c>
    </row>
    <row r="43" spans="1:14">
      <c r="A43" s="1">
        <v>13</v>
      </c>
      <c r="B43" s="1">
        <v>500000</v>
      </c>
      <c r="C43" s="1">
        <v>260046</v>
      </c>
      <c r="D43" s="1" t="str">
        <f>INDEX([1]物品基础表!$A:$A,MATCH(C43,[1]物品基础表!$B:$B,0))</f>
        <v>玄武</v>
      </c>
      <c r="E43" s="1">
        <v>1</v>
      </c>
      <c r="F43" s="1">
        <v>200145</v>
      </c>
      <c r="G43" s="1" t="str">
        <f>INDEX([1]物品基础表!$A:$A,MATCH(F43,[1]物品基础表!$B:$B,0))</f>
        <v>传世项链</v>
      </c>
      <c r="H43" s="1">
        <v>1</v>
      </c>
      <c r="I43" s="1">
        <v>200001</v>
      </c>
      <c r="J43" s="1" t="str">
        <f>INDEX([1]物品基础表!$A:$A,MATCH(I43,[1]物品基础表!$B:$B,0))</f>
        <v>羽毛</v>
      </c>
      <c r="K43" s="1">
        <v>200</v>
      </c>
      <c r="L43" s="1">
        <v>200004</v>
      </c>
      <c r="M43" s="1" t="str">
        <f>INDEX([1]物品基础表!$A:$A,MATCH(L43,[1]物品基础表!$B:$B,0))</f>
        <v>经脉丹</v>
      </c>
      <c r="N43" s="1">
        <v>200</v>
      </c>
    </row>
    <row r="44" spans="1:14">
      <c r="A44" s="1">
        <v>14</v>
      </c>
      <c r="B44" s="1">
        <v>1000000</v>
      </c>
      <c r="C44" s="1">
        <v>260044</v>
      </c>
      <c r="D44" s="1" t="str">
        <f>INDEX([1]物品基础表!$A:$A,MATCH(C44,[1]物品基础表!$B:$B,0))</f>
        <v xml:space="preserve">青龙 </v>
      </c>
      <c r="E44" s="1">
        <v>1</v>
      </c>
      <c r="F44" s="1">
        <v>200148</v>
      </c>
      <c r="G44" s="1" t="str">
        <f>INDEX([1]物品基础表!$A:$A,MATCH(F44,[1]物品基础表!$B:$B,0))</f>
        <v>传世戒指</v>
      </c>
      <c r="H44" s="1">
        <v>1</v>
      </c>
      <c r="I44" s="1">
        <v>260098</v>
      </c>
      <c r="J44" s="1" t="str">
        <f>INDEX([1]物品基础表!$A:$A,MATCH(I44,[1]物品基础表!$B:$B,0))</f>
        <v>雪域傲雪</v>
      </c>
      <c r="K44" s="1">
        <v>1</v>
      </c>
      <c r="L44" s="1">
        <v>200004</v>
      </c>
      <c r="M44" s="1" t="str">
        <f>INDEX([1]物品基础表!$A:$A,MATCH(L44,[1]物品基础表!$B:$B,0))</f>
        <v>经脉丹</v>
      </c>
      <c r="N44" s="1">
        <v>300</v>
      </c>
    </row>
    <row r="45" spans="1:14">
      <c r="A45" s="1">
        <v>15</v>
      </c>
      <c r="B45" s="1">
        <v>2000000</v>
      </c>
      <c r="C45" s="1">
        <v>200142</v>
      </c>
      <c r="D45" s="1" t="str">
        <f>INDEX([1]物品基础表!$A:$A,MATCH(C45,[1]物品基础表!$B:$B,0))</f>
        <v>传世武器</v>
      </c>
      <c r="E45" s="1">
        <v>1</v>
      </c>
      <c r="F45" s="1">
        <v>200144</v>
      </c>
      <c r="G45" s="1" t="str">
        <f>INDEX([1]物品基础表!$A:$A,MATCH(F45,[1]物品基础表!$B:$B,0))</f>
        <v>传世衣服</v>
      </c>
      <c r="H45" s="1">
        <v>1</v>
      </c>
      <c r="I45" s="1">
        <v>260033</v>
      </c>
      <c r="J45" s="1" t="str">
        <f>INDEX([1]物品基础表!$A:$A,MATCH(I45,[1]物品基础表!$B:$B,0))</f>
        <v>祖玛教主</v>
      </c>
      <c r="K45" s="1">
        <v>1</v>
      </c>
      <c r="L45" s="1">
        <v>200004</v>
      </c>
      <c r="M45" s="1" t="str">
        <f>INDEX([1]物品基础表!$A:$A,MATCH(L45,[1]物品基础表!$B:$B,0))</f>
        <v>经脉丹</v>
      </c>
      <c r="N45" s="1">
        <v>300</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2"/>
  <sheetViews>
    <sheetView workbookViewId="0">
      <selection activeCell="E32" sqref="E32"/>
    </sheetView>
  </sheetViews>
  <sheetFormatPr defaultRowHeight="13.5"/>
  <cols>
    <col min="1" max="2" width="9" style="1"/>
    <col min="3" max="3" width="17.5" style="1" bestFit="1" customWidth="1"/>
    <col min="4" max="4" width="9" style="1"/>
    <col min="5" max="5" width="12.25" style="1" bestFit="1" customWidth="1"/>
    <col min="6" max="8" width="9" style="1"/>
    <col min="9" max="9" width="21.375" style="1" bestFit="1" customWidth="1"/>
    <col min="10" max="10" width="9" style="1" bestFit="1" customWidth="1"/>
    <col min="11" max="16384" width="9" style="1"/>
  </cols>
  <sheetData>
    <row r="1" spans="1:13">
      <c r="A1" s="1" t="s">
        <v>9</v>
      </c>
      <c r="G1" s="1" t="s">
        <v>10</v>
      </c>
      <c r="L1" s="1" t="s">
        <v>13</v>
      </c>
    </row>
    <row r="2" spans="1:13">
      <c r="A2" s="3" t="s">
        <v>1</v>
      </c>
      <c r="B2" s="4" t="s">
        <v>2</v>
      </c>
      <c r="C2" s="4" t="s">
        <v>3</v>
      </c>
      <c r="D2" s="4" t="s">
        <v>5</v>
      </c>
      <c r="E2" s="4" t="s">
        <v>8</v>
      </c>
      <c r="G2" s="3" t="s">
        <v>1</v>
      </c>
      <c r="H2" s="4" t="s">
        <v>2</v>
      </c>
      <c r="I2" s="4" t="s">
        <v>3</v>
      </c>
      <c r="J2" s="4" t="s">
        <v>5</v>
      </c>
      <c r="L2" s="3" t="s">
        <v>11</v>
      </c>
      <c r="M2" s="4" t="s">
        <v>12</v>
      </c>
    </row>
    <row r="3" spans="1:13">
      <c r="A3" s="1">
        <v>1</v>
      </c>
      <c r="B3" s="1">
        <v>1</v>
      </c>
      <c r="C3" s="1" t="s">
        <v>6</v>
      </c>
      <c r="D3" s="1">
        <v>500000</v>
      </c>
      <c r="G3" s="1">
        <v>3</v>
      </c>
      <c r="H3" s="1">
        <v>260021</v>
      </c>
      <c r="I3" s="1" t="str">
        <f>INDEX([1]物品基础表!$A:$A,MATCH(H3,[1]物品基础表!$B:$B,0))</f>
        <v>黑蜘蛛</v>
      </c>
      <c r="J3" s="1">
        <v>1</v>
      </c>
      <c r="L3" s="1">
        <v>5</v>
      </c>
      <c r="M3" s="1">
        <v>1</v>
      </c>
    </row>
    <row r="4" spans="1:13">
      <c r="A4" s="1">
        <v>2</v>
      </c>
      <c r="B4" s="1">
        <v>2</v>
      </c>
      <c r="C4" s="1" t="s">
        <v>7</v>
      </c>
      <c r="D4" s="1">
        <v>200</v>
      </c>
      <c r="E4" s="1">
        <v>6</v>
      </c>
      <c r="G4" s="1">
        <v>7</v>
      </c>
      <c r="H4" s="1">
        <v>260022</v>
      </c>
      <c r="I4" s="1" t="str">
        <f>INDEX([1]物品基础表!$A:$A,MATCH(H4,[1]物品基础表!$B:$B,0))</f>
        <v>祖玛卫士</v>
      </c>
      <c r="J4" s="1">
        <v>1</v>
      </c>
      <c r="L4" s="1">
        <v>6</v>
      </c>
      <c r="M4" s="1">
        <v>2</v>
      </c>
    </row>
    <row r="5" spans="1:13">
      <c r="A5" s="1">
        <v>3</v>
      </c>
      <c r="B5" s="1">
        <v>200936</v>
      </c>
      <c r="C5" s="1" t="str">
        <f>INDEX([1]物品基础表!$A:$A,MATCH(B5,[1]物品基础表!$B:$B,0))</f>
        <v>矿锄</v>
      </c>
      <c r="D5" s="1">
        <v>2</v>
      </c>
      <c r="G5" s="1">
        <v>15</v>
      </c>
      <c r="H5" s="1">
        <v>260023</v>
      </c>
      <c r="I5" s="1" t="str">
        <f>INDEX([1]物品基础表!$A:$A,MATCH(H5,[1]物品基础表!$B:$B,0))</f>
        <v>黑锷蜘蛛</v>
      </c>
      <c r="J5" s="1">
        <v>1</v>
      </c>
      <c r="L5" s="1">
        <v>7</v>
      </c>
      <c r="M5" s="1">
        <v>2</v>
      </c>
    </row>
    <row r="6" spans="1:13">
      <c r="A6" s="1">
        <v>4</v>
      </c>
      <c r="B6" s="1">
        <v>200156</v>
      </c>
      <c r="C6" s="1" t="str">
        <f>INDEX([1]物品基础表!$A:$A,MATCH(B6,[1]物品基础表!$B:$B,0))</f>
        <v>野外BOSS次数卷轴</v>
      </c>
      <c r="D6" s="1">
        <v>2</v>
      </c>
      <c r="G6" s="1">
        <v>30</v>
      </c>
      <c r="H6" s="1">
        <v>260024</v>
      </c>
      <c r="I6" s="1" t="str">
        <f>INDEX([1]物品基础表!$A:$A,MATCH(H6,[1]物品基础表!$B:$B,0))</f>
        <v>幻影蜘蛛</v>
      </c>
      <c r="J6" s="1">
        <v>1</v>
      </c>
      <c r="L6" s="1">
        <v>8</v>
      </c>
      <c r="M6" s="1">
        <v>3</v>
      </c>
    </row>
    <row r="7" spans="1:13">
      <c r="A7" s="1">
        <v>5</v>
      </c>
      <c r="B7" s="1">
        <v>201002</v>
      </c>
      <c r="C7" s="1" t="str">
        <f>INDEX([1]物品基础表!$A:$A,MATCH(B7,[1]物品基础表!$B:$B,0))</f>
        <v>神秘钥匙</v>
      </c>
      <c r="D7" s="1">
        <v>1</v>
      </c>
      <c r="G7" s="1">
        <v>45</v>
      </c>
      <c r="H7" s="1">
        <v>260025</v>
      </c>
      <c r="I7" s="1" t="str">
        <f>INDEX([1]物品基础表!$A:$A,MATCH(H7,[1]物品基础表!$B:$B,0))</f>
        <v>沃玛战将</v>
      </c>
      <c r="J7" s="1">
        <v>1</v>
      </c>
      <c r="L7" s="1">
        <v>9</v>
      </c>
      <c r="M7" s="1">
        <v>3</v>
      </c>
    </row>
    <row r="8" spans="1:13">
      <c r="A8" s="1">
        <v>6</v>
      </c>
      <c r="B8" s="1">
        <v>1</v>
      </c>
      <c r="C8" s="1" t="s">
        <v>6</v>
      </c>
      <c r="D8" s="1">
        <v>600000</v>
      </c>
      <c r="G8" s="1">
        <v>60</v>
      </c>
      <c r="H8" s="1">
        <v>260026</v>
      </c>
      <c r="I8" s="1" t="str">
        <f>INDEX([1]物品基础表!$A:$A,MATCH(H8,[1]物品基础表!$B:$B,0))</f>
        <v>花吻蜘蛛</v>
      </c>
      <c r="J8" s="1">
        <v>1</v>
      </c>
      <c r="L8" s="1">
        <v>10</v>
      </c>
      <c r="M8" s="1">
        <v>4</v>
      </c>
    </row>
    <row r="9" spans="1:13">
      <c r="A9" s="1">
        <v>7</v>
      </c>
      <c r="B9" s="1">
        <v>2</v>
      </c>
      <c r="C9" s="1" t="s">
        <v>7</v>
      </c>
      <c r="D9" s="1">
        <v>240</v>
      </c>
      <c r="E9" s="1">
        <v>7</v>
      </c>
      <c r="G9" s="1">
        <v>75</v>
      </c>
      <c r="H9" s="1">
        <v>260027</v>
      </c>
      <c r="I9" s="1" t="str">
        <f>INDEX([1]物品基础表!$A:$A,MATCH(H9,[1]物品基础表!$B:$B,0))</f>
        <v>天狼</v>
      </c>
      <c r="J9" s="1">
        <v>1</v>
      </c>
      <c r="L9" s="1">
        <v>11</v>
      </c>
      <c r="M9" s="1">
        <v>4</v>
      </c>
    </row>
    <row r="10" spans="1:13">
      <c r="A10" s="1">
        <v>8</v>
      </c>
      <c r="B10" s="1">
        <v>200936</v>
      </c>
      <c r="C10" s="1" t="str">
        <f>INDEX([1]物品基础表!$A:$A,MATCH(B10,[1]物品基础表!$B:$B,0))</f>
        <v>矿锄</v>
      </c>
      <c r="D10" s="1">
        <v>2</v>
      </c>
      <c r="G10" s="1">
        <v>90</v>
      </c>
      <c r="H10" s="1">
        <v>260028</v>
      </c>
      <c r="I10" s="1" t="str">
        <f>INDEX([1]物品基础表!$A:$A,MATCH(H10,[1]物品基础表!$B:$B,0))</f>
        <v>祖玛雕像</v>
      </c>
      <c r="J10" s="1">
        <v>1</v>
      </c>
      <c r="L10" s="1">
        <v>12</v>
      </c>
      <c r="M10" s="1">
        <v>5</v>
      </c>
    </row>
    <row r="11" spans="1:13">
      <c r="A11" s="1">
        <v>9</v>
      </c>
      <c r="B11" s="1">
        <v>200156</v>
      </c>
      <c r="C11" s="1" t="str">
        <f>INDEX([1]物品基础表!$A:$A,MATCH(B11,[1]物品基础表!$B:$B,0))</f>
        <v>野外BOSS次数卷轴</v>
      </c>
      <c r="D11" s="1">
        <v>2</v>
      </c>
      <c r="G11" s="1">
        <v>105</v>
      </c>
      <c r="H11" s="1">
        <v>260029</v>
      </c>
      <c r="I11" s="1" t="str">
        <f>INDEX([1]物品基础表!$A:$A,MATCH(H11,[1]物品基础表!$B:$B,0))</f>
        <v>沃玛勇士</v>
      </c>
      <c r="J11" s="1">
        <v>1</v>
      </c>
      <c r="L11" s="1">
        <v>13</v>
      </c>
      <c r="M11" s="1">
        <v>5</v>
      </c>
    </row>
    <row r="12" spans="1:13">
      <c r="A12" s="1">
        <v>10</v>
      </c>
      <c r="B12" s="1">
        <v>201002</v>
      </c>
      <c r="C12" s="1" t="str">
        <f>INDEX([1]物品基础表!$A:$A,MATCH(B12,[1]物品基础表!$B:$B,0))</f>
        <v>神秘钥匙</v>
      </c>
      <c r="D12" s="1">
        <v>1</v>
      </c>
      <c r="G12" s="1">
        <v>120</v>
      </c>
      <c r="H12" s="1">
        <v>260030</v>
      </c>
      <c r="I12" s="1" t="str">
        <f>INDEX([1]物品基础表!$A:$A,MATCH(H12,[1]物品基础表!$B:$B,0))</f>
        <v>火焰沃玛</v>
      </c>
      <c r="J12" s="1">
        <v>1</v>
      </c>
      <c r="L12" s="1">
        <v>14</v>
      </c>
      <c r="M12" s="1">
        <v>5</v>
      </c>
    </row>
    <row r="13" spans="1:13">
      <c r="A13" s="1">
        <v>11</v>
      </c>
      <c r="B13" s="1">
        <v>1</v>
      </c>
      <c r="C13" s="1" t="s">
        <v>6</v>
      </c>
      <c r="D13" s="1">
        <v>700000</v>
      </c>
      <c r="G13" s="1">
        <v>135</v>
      </c>
      <c r="H13" s="1">
        <v>260031</v>
      </c>
      <c r="I13" s="1" t="str">
        <f>INDEX([1]物品基础表!$A:$A,MATCH(H13,[1]物品基础表!$B:$B,0))</f>
        <v>沃玛教主</v>
      </c>
      <c r="J13" s="1">
        <v>1</v>
      </c>
      <c r="L13" s="1">
        <v>15</v>
      </c>
      <c r="M13" s="1">
        <v>5</v>
      </c>
    </row>
    <row r="14" spans="1:13">
      <c r="A14" s="1">
        <v>12</v>
      </c>
      <c r="B14" s="1">
        <v>2</v>
      </c>
      <c r="C14" s="1" t="s">
        <v>7</v>
      </c>
      <c r="D14" s="1">
        <v>280</v>
      </c>
      <c r="E14" s="1">
        <v>8</v>
      </c>
      <c r="G14" s="1">
        <v>150</v>
      </c>
      <c r="H14" s="1">
        <v>260032</v>
      </c>
      <c r="I14" s="1" t="str">
        <f>INDEX([1]物品基础表!$A:$A,MATCH(H14,[1]物品基础表!$B:$B,0))</f>
        <v>赤月恶魔</v>
      </c>
      <c r="J14" s="1">
        <v>1</v>
      </c>
    </row>
    <row r="15" spans="1:13">
      <c r="A15" s="1">
        <v>13</v>
      </c>
      <c r="B15" s="1">
        <v>200936</v>
      </c>
      <c r="C15" s="1" t="str">
        <f>INDEX([1]物品基础表!$A:$A,MATCH(B15,[1]物品基础表!$B:$B,0))</f>
        <v>矿锄</v>
      </c>
      <c r="D15" s="1">
        <v>2</v>
      </c>
      <c r="G15" s="1">
        <v>165</v>
      </c>
      <c r="H15" s="1">
        <v>260033</v>
      </c>
      <c r="I15" s="1" t="str">
        <f>INDEX([1]物品基础表!$A:$A,MATCH(H15,[1]物品基础表!$B:$B,0))</f>
        <v>祖玛教主</v>
      </c>
      <c r="J15" s="1">
        <v>1</v>
      </c>
    </row>
    <row r="16" spans="1:13">
      <c r="A16" s="1">
        <v>14</v>
      </c>
      <c r="B16" s="1">
        <v>200156</v>
      </c>
      <c r="C16" s="1" t="str">
        <f>INDEX([1]物品基础表!$A:$A,MATCH(B16,[1]物品基础表!$B:$B,0))</f>
        <v>野外BOSS次数卷轴</v>
      </c>
      <c r="D16" s="1">
        <v>2</v>
      </c>
      <c r="G16" s="1">
        <v>180</v>
      </c>
      <c r="H16" s="1">
        <v>201012</v>
      </c>
      <c r="I16" s="1" t="str">
        <f>INDEX([1]物品基础表!$A:$A,MATCH(H16,[1]物品基础表!$B:$B,0))</f>
        <v>红色图鉴包·传奇盛世</v>
      </c>
      <c r="J16" s="1">
        <v>1</v>
      </c>
    </row>
    <row r="17" spans="1:10">
      <c r="A17" s="1">
        <v>15</v>
      </c>
      <c r="B17" s="1">
        <v>201002</v>
      </c>
      <c r="C17" s="1" t="str">
        <f>INDEX([1]物品基础表!$A:$A,MATCH(B17,[1]物品基础表!$B:$B,0))</f>
        <v>神秘钥匙</v>
      </c>
      <c r="D17" s="1">
        <v>1</v>
      </c>
      <c r="G17" s="1">
        <v>195</v>
      </c>
      <c r="H17" s="1">
        <v>201012</v>
      </c>
      <c r="I17" s="1" t="str">
        <f>INDEX([1]物品基础表!$A:$A,MATCH(H17,[1]物品基础表!$B:$B,0))</f>
        <v>红色图鉴包·传奇盛世</v>
      </c>
      <c r="J17" s="1">
        <v>1</v>
      </c>
    </row>
    <row r="18" spans="1:10">
      <c r="A18" s="1">
        <v>16</v>
      </c>
      <c r="B18" s="1">
        <v>1</v>
      </c>
      <c r="C18" s="1" t="s">
        <v>6</v>
      </c>
      <c r="D18" s="1">
        <v>800000</v>
      </c>
      <c r="G18" s="1">
        <v>210</v>
      </c>
      <c r="H18" s="1">
        <v>201012</v>
      </c>
      <c r="I18" s="1" t="str">
        <f>INDEX([1]物品基础表!$A:$A,MATCH(H18,[1]物品基础表!$B:$B,0))</f>
        <v>红色图鉴包·传奇盛世</v>
      </c>
      <c r="J18" s="1">
        <v>1</v>
      </c>
    </row>
    <row r="19" spans="1:10">
      <c r="A19" s="1">
        <v>17</v>
      </c>
      <c r="B19" s="1">
        <v>2</v>
      </c>
      <c r="C19" s="1" t="s">
        <v>7</v>
      </c>
      <c r="D19" s="1">
        <v>320</v>
      </c>
      <c r="E19" s="1">
        <v>9</v>
      </c>
      <c r="G19" s="1">
        <v>225</v>
      </c>
      <c r="H19" s="1">
        <v>201012</v>
      </c>
      <c r="I19" s="1" t="str">
        <f>INDEX([1]物品基础表!$A:$A,MATCH(H19,[1]物品基础表!$B:$B,0))</f>
        <v>红色图鉴包·传奇盛世</v>
      </c>
      <c r="J19" s="1">
        <v>1</v>
      </c>
    </row>
    <row r="20" spans="1:10">
      <c r="A20" s="1">
        <v>18</v>
      </c>
      <c r="B20" s="1">
        <v>200936</v>
      </c>
      <c r="C20" s="1" t="str">
        <f>INDEX([1]物品基础表!$A:$A,MATCH(B20,[1]物品基础表!$B:$B,0))</f>
        <v>矿锄</v>
      </c>
      <c r="D20" s="1">
        <v>3</v>
      </c>
      <c r="G20" s="1">
        <v>240</v>
      </c>
      <c r="H20" s="1">
        <v>201012</v>
      </c>
      <c r="I20" s="1" t="str">
        <f>INDEX([1]物品基础表!$A:$A,MATCH(H20,[1]物品基础表!$B:$B,0))</f>
        <v>红色图鉴包·传奇盛世</v>
      </c>
      <c r="J20" s="1">
        <v>1</v>
      </c>
    </row>
    <row r="21" spans="1:10">
      <c r="A21" s="1">
        <v>19</v>
      </c>
      <c r="B21" s="1">
        <v>200156</v>
      </c>
      <c r="C21" s="1" t="str">
        <f>INDEX([1]物品基础表!$A:$A,MATCH(B21,[1]物品基础表!$B:$B,0))</f>
        <v>野外BOSS次数卷轴</v>
      </c>
      <c r="D21" s="1">
        <v>3</v>
      </c>
    </row>
    <row r="22" spans="1:10">
      <c r="A22" s="1">
        <v>20</v>
      </c>
      <c r="B22" s="1">
        <v>201002</v>
      </c>
      <c r="C22" s="1" t="str">
        <f>INDEX([1]物品基础表!$A:$A,MATCH(B22,[1]物品基础表!$B:$B,0))</f>
        <v>神秘钥匙</v>
      </c>
      <c r="D22" s="1">
        <v>1</v>
      </c>
    </row>
    <row r="23" spans="1:10">
      <c r="A23" s="1">
        <v>21</v>
      </c>
      <c r="B23" s="1">
        <v>1</v>
      </c>
      <c r="C23" s="1" t="s">
        <v>6</v>
      </c>
      <c r="D23" s="1">
        <v>900000</v>
      </c>
    </row>
    <row r="24" spans="1:10">
      <c r="A24" s="1">
        <v>22</v>
      </c>
      <c r="B24" s="1">
        <v>2</v>
      </c>
      <c r="C24" s="1" t="s">
        <v>7</v>
      </c>
      <c r="D24" s="1">
        <v>360</v>
      </c>
      <c r="E24" s="1">
        <v>9</v>
      </c>
    </row>
    <row r="25" spans="1:10">
      <c r="A25" s="1">
        <v>23</v>
      </c>
      <c r="B25" s="1">
        <v>200936</v>
      </c>
      <c r="C25" s="1" t="str">
        <f>INDEX([1]物品基础表!$A:$A,MATCH(B25,[1]物品基础表!$B:$B,0))</f>
        <v>矿锄</v>
      </c>
      <c r="D25" s="1">
        <v>3</v>
      </c>
    </row>
    <row r="26" spans="1:10">
      <c r="A26" s="1">
        <v>24</v>
      </c>
      <c r="B26" s="1">
        <v>200156</v>
      </c>
      <c r="C26" s="1" t="str">
        <f>INDEX([1]物品基础表!$A:$A,MATCH(B26,[1]物品基础表!$B:$B,0))</f>
        <v>野外BOSS次数卷轴</v>
      </c>
      <c r="D26" s="1">
        <v>3</v>
      </c>
    </row>
    <row r="27" spans="1:10">
      <c r="A27" s="1">
        <v>25</v>
      </c>
      <c r="B27" s="1">
        <v>201002</v>
      </c>
      <c r="C27" s="1" t="str">
        <f>INDEX([1]物品基础表!$A:$A,MATCH(B27,[1]物品基础表!$B:$B,0))</f>
        <v>神秘钥匙</v>
      </c>
      <c r="D27" s="1">
        <v>1</v>
      </c>
    </row>
    <row r="28" spans="1:10">
      <c r="A28" s="1">
        <v>26</v>
      </c>
      <c r="B28" s="1">
        <v>1</v>
      </c>
      <c r="C28" s="1" t="s">
        <v>6</v>
      </c>
      <c r="D28" s="1">
        <v>1000000</v>
      </c>
    </row>
    <row r="29" spans="1:10">
      <c r="A29" s="1">
        <v>27</v>
      </c>
      <c r="B29" s="1">
        <v>2</v>
      </c>
      <c r="C29" s="1" t="s">
        <v>7</v>
      </c>
      <c r="D29" s="1">
        <v>400</v>
      </c>
      <c r="E29" s="1">
        <v>10</v>
      </c>
    </row>
    <row r="30" spans="1:10">
      <c r="A30" s="1">
        <v>28</v>
      </c>
      <c r="B30" s="1">
        <v>200936</v>
      </c>
      <c r="C30" s="1" t="str">
        <f>INDEX([1]物品基础表!$A:$A,MATCH(B30,[1]物品基础表!$B:$B,0))</f>
        <v>矿锄</v>
      </c>
      <c r="D30" s="1">
        <v>4</v>
      </c>
    </row>
    <row r="31" spans="1:10">
      <c r="A31" s="1">
        <v>29</v>
      </c>
      <c r="B31" s="1">
        <v>200156</v>
      </c>
      <c r="C31" s="1" t="str">
        <f>INDEX([1]物品基础表!$A:$A,MATCH(B31,[1]物品基础表!$B:$B,0))</f>
        <v>野外BOSS次数卷轴</v>
      </c>
      <c r="D31" s="1">
        <v>4</v>
      </c>
    </row>
    <row r="32" spans="1:10">
      <c r="A32" s="1">
        <v>30</v>
      </c>
      <c r="B32" s="1">
        <v>2</v>
      </c>
      <c r="C32" s="1" t="s">
        <v>7</v>
      </c>
      <c r="D32" s="1">
        <v>1000</v>
      </c>
      <c r="E32" s="1">
        <v>11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5"/>
  <sheetViews>
    <sheetView workbookViewId="0">
      <selection activeCell="A8" sqref="A8:XFD8"/>
    </sheetView>
  </sheetViews>
  <sheetFormatPr defaultRowHeight="13.5"/>
  <cols>
    <col min="1" max="2" width="9" style="1"/>
    <col min="3" max="3" width="13" style="1" bestFit="1" customWidth="1"/>
    <col min="4" max="13" width="9" style="1"/>
    <col min="14" max="14" width="3.5" style="1" bestFit="1" customWidth="1"/>
    <col min="15" max="16384" width="9" style="1"/>
  </cols>
  <sheetData>
    <row r="1" spans="1:16">
      <c r="A1" s="3" t="s">
        <v>1</v>
      </c>
      <c r="B1" s="4" t="s">
        <v>2</v>
      </c>
      <c r="C1" s="4" t="s">
        <v>3</v>
      </c>
      <c r="D1" s="4" t="s">
        <v>5</v>
      </c>
      <c r="E1" s="4" t="s">
        <v>2</v>
      </c>
      <c r="F1" s="4" t="s">
        <v>3</v>
      </c>
      <c r="G1" s="4" t="s">
        <v>5</v>
      </c>
      <c r="H1" s="4" t="s">
        <v>2</v>
      </c>
      <c r="I1" s="4" t="s">
        <v>3</v>
      </c>
      <c r="J1" s="4" t="s">
        <v>5</v>
      </c>
      <c r="K1" s="4" t="s">
        <v>2</v>
      </c>
      <c r="L1" s="4" t="s">
        <v>3</v>
      </c>
      <c r="M1" s="4" t="s">
        <v>5</v>
      </c>
      <c r="N1" s="4" t="s">
        <v>2</v>
      </c>
      <c r="O1" s="4" t="s">
        <v>3</v>
      </c>
      <c r="P1" s="4" t="s">
        <v>5</v>
      </c>
    </row>
    <row r="2" spans="1:16">
      <c r="A2" s="1">
        <v>1</v>
      </c>
      <c r="B2" s="1">
        <v>2</v>
      </c>
      <c r="C2" s="1" t="s">
        <v>7</v>
      </c>
      <c r="D2" s="1">
        <v>500</v>
      </c>
      <c r="E2" s="1">
        <v>200002</v>
      </c>
      <c r="F2" s="1" t="str">
        <f>INDEX([1]物品基础表!$A:$A,MATCH(E2,[1]物品基础表!$B:$B,0))</f>
        <v>强化石</v>
      </c>
      <c r="G2" s="1">
        <v>100</v>
      </c>
      <c r="H2" s="1">
        <v>200005</v>
      </c>
      <c r="I2" s="1" t="str">
        <f>INDEX([1]物品基础表!$A:$A,MATCH(H2,[1]物品基础表!$B:$B,0))</f>
        <v>龙魂碎片</v>
      </c>
      <c r="J2" s="1">
        <v>5</v>
      </c>
      <c r="K2" s="1">
        <v>201002</v>
      </c>
      <c r="L2" s="1" t="str">
        <f>INDEX([1]物品基础表!$A:$A,MATCH(K2,[1]物品基础表!$B:$B,0))</f>
        <v>神秘钥匙</v>
      </c>
      <c r="M2" s="1">
        <v>1</v>
      </c>
      <c r="N2" s="1">
        <v>1</v>
      </c>
      <c r="O2" s="1" t="s">
        <v>6</v>
      </c>
      <c r="P2" s="1">
        <v>200000</v>
      </c>
    </row>
    <row r="3" spans="1:16">
      <c r="A3" s="1">
        <v>2</v>
      </c>
      <c r="B3" s="1">
        <v>260026</v>
      </c>
      <c r="C3" s="1" t="str">
        <f>INDEX([1]物品基础表!$A:$A,MATCH(B3,[1]物品基础表!$B:$B,0))</f>
        <v>花吻蜘蛛</v>
      </c>
      <c r="D3" s="1">
        <v>1</v>
      </c>
      <c r="E3" s="1">
        <v>200171</v>
      </c>
      <c r="F3" s="1" t="str">
        <f>INDEX([1]物品基础表!$A:$A,MATCH(E3,[1]物品基础表!$B:$B,0))</f>
        <v>星曜之魄</v>
      </c>
      <c r="G3" s="1">
        <v>1</v>
      </c>
      <c r="H3" s="1">
        <v>200168</v>
      </c>
      <c r="I3" s="1" t="str">
        <f>INDEX([1]物品基础表!$A:$A,MATCH(H3,[1]物品基础表!$B:$B,0))</f>
        <v>星耀石</v>
      </c>
      <c r="J3" s="1">
        <v>1</v>
      </c>
      <c r="K3" s="1">
        <v>201002</v>
      </c>
      <c r="L3" s="1" t="str">
        <f>INDEX([1]物品基础表!$A:$A,MATCH(K3,[1]物品基础表!$B:$B,0))</f>
        <v>神秘钥匙</v>
      </c>
      <c r="M3" s="1">
        <v>1</v>
      </c>
      <c r="N3" s="1">
        <v>1</v>
      </c>
      <c r="O3" s="1" t="s">
        <v>6</v>
      </c>
      <c r="P3" s="1">
        <v>300000</v>
      </c>
    </row>
    <row r="4" spans="1:16">
      <c r="A4" s="1">
        <v>3</v>
      </c>
      <c r="B4" s="1">
        <v>200009</v>
      </c>
      <c r="C4" s="1" t="str">
        <f>INDEX([1]物品基础表!$A:$A,MATCH(B4,[1]物品基础表!$B:$B,0))</f>
        <v>高级转生丹</v>
      </c>
      <c r="D4" s="1">
        <v>3</v>
      </c>
      <c r="E4" s="1">
        <v>200170</v>
      </c>
      <c r="F4" s="1" t="str">
        <f>INDEX([1]物品基础表!$A:$A,MATCH(E4,[1]物品基础表!$B:$B,0))</f>
        <v>星魂之灵</v>
      </c>
      <c r="G4" s="1">
        <v>1</v>
      </c>
      <c r="H4" s="1">
        <v>200169</v>
      </c>
      <c r="I4" s="1" t="str">
        <f>INDEX([1]物品基础表!$A:$A,MATCH(H4,[1]物品基础表!$B:$B,0))</f>
        <v>星魂之心</v>
      </c>
      <c r="J4" s="1">
        <v>1</v>
      </c>
      <c r="K4" s="1">
        <v>201002</v>
      </c>
      <c r="L4" s="1" t="str">
        <f>INDEX([1]物品基础表!$A:$A,MATCH(K4,[1]物品基础表!$B:$B,0))</f>
        <v>神秘钥匙</v>
      </c>
      <c r="M4" s="1">
        <v>1</v>
      </c>
      <c r="N4" s="1">
        <v>1</v>
      </c>
      <c r="O4" s="1" t="s">
        <v>6</v>
      </c>
      <c r="P4" s="1">
        <v>400000</v>
      </c>
    </row>
    <row r="5" spans="1:16">
      <c r="A5" s="1">
        <v>4</v>
      </c>
      <c r="B5" s="1">
        <v>200007</v>
      </c>
      <c r="C5" s="1" t="str">
        <f>INDEX([1]物品基础表!$A:$A,MATCH(B5,[1]物品基础表!$B:$B,0))</f>
        <v>神装碎片</v>
      </c>
      <c r="D5" s="1">
        <v>200</v>
      </c>
      <c r="E5" s="1">
        <v>200003</v>
      </c>
      <c r="F5" s="1" t="str">
        <f>INDEX([1]物品基础表!$A:$A,MATCH(E5,[1]物品基础表!$B:$B,0))</f>
        <v>铸造晶石</v>
      </c>
      <c r="G5" s="1">
        <v>20</v>
      </c>
      <c r="H5" s="1">
        <v>200004</v>
      </c>
      <c r="I5" s="1" t="str">
        <f>INDEX([1]物品基础表!$A:$A,MATCH(H5,[1]物品基础表!$B:$B,0))</f>
        <v>经脉丹</v>
      </c>
      <c r="J5" s="1">
        <v>10</v>
      </c>
      <c r="K5" s="1">
        <v>201002</v>
      </c>
      <c r="L5" s="1" t="str">
        <f>INDEX([1]物品基础表!$A:$A,MATCH(K5,[1]物品基础表!$B:$B,0))</f>
        <v>神秘钥匙</v>
      </c>
      <c r="M5" s="1">
        <v>1</v>
      </c>
      <c r="N5" s="1">
        <v>1</v>
      </c>
      <c r="O5" s="1" t="s">
        <v>6</v>
      </c>
      <c r="P5" s="1">
        <v>500000</v>
      </c>
    </row>
    <row r="6" spans="1:16">
      <c r="A6" s="1">
        <v>5</v>
      </c>
      <c r="B6" s="1">
        <v>260027</v>
      </c>
      <c r="C6" s="1" t="str">
        <f>INDEX([1]物品基础表!$A:$A,MATCH(B6,[1]物品基础表!$B:$B,0))</f>
        <v>天狼</v>
      </c>
      <c r="D6" s="1">
        <v>1</v>
      </c>
      <c r="E6" s="1">
        <v>200005</v>
      </c>
      <c r="F6" s="1" t="str">
        <f>INDEX([1]物品基础表!$A:$A,MATCH(E6,[1]物品基础表!$B:$B,0))</f>
        <v>龙魂碎片</v>
      </c>
      <c r="G6" s="1">
        <v>10</v>
      </c>
      <c r="H6" s="1">
        <v>200001</v>
      </c>
      <c r="I6" s="1" t="str">
        <f>INDEX([1]物品基础表!$A:$A,MATCH(H6,[1]物品基础表!$B:$B,0))</f>
        <v>羽毛</v>
      </c>
      <c r="J6" s="1">
        <v>10</v>
      </c>
      <c r="K6" s="1">
        <v>201002</v>
      </c>
      <c r="L6" s="1" t="str">
        <f>INDEX([1]物品基础表!$A:$A,MATCH(K6,[1]物品基础表!$B:$B,0))</f>
        <v>神秘钥匙</v>
      </c>
      <c r="M6" s="1">
        <v>1</v>
      </c>
      <c r="N6" s="1">
        <v>1</v>
      </c>
      <c r="O6" s="1" t="s">
        <v>6</v>
      </c>
      <c r="P6" s="1">
        <v>600000</v>
      </c>
    </row>
    <row r="7" spans="1:16">
      <c r="A7" s="1">
        <v>6</v>
      </c>
      <c r="B7" s="1">
        <v>200009</v>
      </c>
      <c r="C7" s="1" t="str">
        <f>INDEX([1]物品基础表!$A:$A,MATCH(B7,[1]物品基础表!$B:$B,0))</f>
        <v>高级转生丹</v>
      </c>
      <c r="D7" s="1">
        <v>5</v>
      </c>
      <c r="E7" s="1">
        <v>200003</v>
      </c>
      <c r="F7" s="1" t="str">
        <f>INDEX([1]物品基础表!$A:$A,MATCH(E7,[1]物品基础表!$B:$B,0))</f>
        <v>铸造晶石</v>
      </c>
      <c r="G7" s="1">
        <v>20</v>
      </c>
      <c r="H7" s="1">
        <v>200004</v>
      </c>
      <c r="I7" s="1" t="str">
        <f>INDEX([1]物品基础表!$A:$A,MATCH(H7,[1]物品基础表!$B:$B,0))</f>
        <v>经脉丹</v>
      </c>
      <c r="J7" s="1">
        <v>10</v>
      </c>
      <c r="K7" s="1">
        <v>201002</v>
      </c>
      <c r="L7" s="1" t="str">
        <f>INDEX([1]物品基础表!$A:$A,MATCH(K7,[1]物品基础表!$B:$B,0))</f>
        <v>神秘钥匙</v>
      </c>
      <c r="M7" s="1">
        <v>1</v>
      </c>
      <c r="N7" s="1">
        <v>1</v>
      </c>
      <c r="O7" s="1" t="s">
        <v>6</v>
      </c>
      <c r="P7" s="1">
        <v>700000</v>
      </c>
    </row>
    <row r="8" spans="1:16">
      <c r="A8" s="1">
        <v>7</v>
      </c>
      <c r="B8" s="1">
        <v>260038</v>
      </c>
      <c r="C8" s="1" t="str">
        <f>INDEX([1]物品基础表!$A:$A,MATCH(B8,[1]物品基础表!$B:$B,0))</f>
        <v>魔龙之主</v>
      </c>
      <c r="D8" s="1">
        <v>1</v>
      </c>
      <c r="E8" s="1">
        <v>200005</v>
      </c>
      <c r="F8" s="1" t="str">
        <f>INDEX([1]物品基础表!$A:$A,MATCH(E8,[1]物品基础表!$B:$B,0))</f>
        <v>龙魂碎片</v>
      </c>
      <c r="G8" s="1">
        <v>10</v>
      </c>
      <c r="H8" s="1">
        <v>200001</v>
      </c>
      <c r="I8" s="1" t="str">
        <f>INDEX([1]物品基础表!$A:$A,MATCH(H8,[1]物品基础表!$B:$B,0))</f>
        <v>羽毛</v>
      </c>
      <c r="J8" s="1">
        <v>10</v>
      </c>
      <c r="K8" s="1">
        <v>201002</v>
      </c>
      <c r="L8" s="1" t="str">
        <f>INDEX([1]物品基础表!$A:$A,MATCH(K8,[1]物品基础表!$B:$B,0))</f>
        <v>神秘钥匙</v>
      </c>
      <c r="M8" s="1">
        <v>1</v>
      </c>
      <c r="N8" s="1">
        <v>1</v>
      </c>
      <c r="O8" s="1" t="s">
        <v>6</v>
      </c>
      <c r="P8" s="1">
        <v>800000</v>
      </c>
    </row>
    <row r="9" spans="1:16">
      <c r="A9" s="1">
        <v>8</v>
      </c>
      <c r="B9" s="1">
        <v>220010</v>
      </c>
      <c r="C9" s="1" t="str">
        <f>INDEX([1]物品基础表!$A:$A,MATCH(B9,[1]物品基础表!$B:$B,0))</f>
        <v>中级秘籍宝箱</v>
      </c>
      <c r="D9" s="1">
        <v>2</v>
      </c>
      <c r="E9" s="1">
        <v>200003</v>
      </c>
      <c r="F9" s="1" t="str">
        <f>INDEX([1]物品基础表!$A:$A,MATCH(E9,[1]物品基础表!$B:$B,0))</f>
        <v>铸造晶石</v>
      </c>
      <c r="G9" s="1">
        <v>20</v>
      </c>
      <c r="H9" s="1">
        <v>200004</v>
      </c>
      <c r="I9" s="1" t="str">
        <f>INDEX([1]物品基础表!$A:$A,MATCH(H9,[1]物品基础表!$B:$B,0))</f>
        <v>经脉丹</v>
      </c>
      <c r="J9" s="1">
        <v>10</v>
      </c>
      <c r="K9" s="1">
        <v>201002</v>
      </c>
      <c r="L9" s="1" t="str">
        <f>INDEX([1]物品基础表!$A:$A,MATCH(K9,[1]物品基础表!$B:$B,0))</f>
        <v>神秘钥匙</v>
      </c>
      <c r="M9" s="1">
        <v>1</v>
      </c>
      <c r="N9" s="1">
        <v>1</v>
      </c>
      <c r="O9" s="1" t="s">
        <v>6</v>
      </c>
      <c r="P9" s="1">
        <v>900000</v>
      </c>
    </row>
    <row r="10" spans="1:16">
      <c r="A10" s="1">
        <v>9</v>
      </c>
      <c r="B10" s="1">
        <v>2</v>
      </c>
      <c r="C10" s="1" t="s">
        <v>7</v>
      </c>
      <c r="D10" s="1">
        <v>1500</v>
      </c>
      <c r="E10" s="1">
        <v>200005</v>
      </c>
      <c r="F10" s="1" t="str">
        <f>INDEX([1]物品基础表!$A:$A,MATCH(E10,[1]物品基础表!$B:$B,0))</f>
        <v>龙魂碎片</v>
      </c>
      <c r="G10" s="1">
        <v>15</v>
      </c>
      <c r="H10" s="1">
        <v>200001</v>
      </c>
      <c r="I10" s="1" t="str">
        <f>INDEX([1]物品基础表!$A:$A,MATCH(H10,[1]物品基础表!$B:$B,0))</f>
        <v>羽毛</v>
      </c>
      <c r="J10" s="1">
        <v>15</v>
      </c>
      <c r="K10" s="1">
        <v>201002</v>
      </c>
      <c r="L10" s="1" t="str">
        <f>INDEX([1]物品基础表!$A:$A,MATCH(K10,[1]物品基础表!$B:$B,0))</f>
        <v>神秘钥匙</v>
      </c>
      <c r="M10" s="1">
        <v>1</v>
      </c>
      <c r="N10" s="1">
        <v>1</v>
      </c>
      <c r="O10" s="1" t="s">
        <v>6</v>
      </c>
      <c r="P10" s="1">
        <v>1000000</v>
      </c>
    </row>
    <row r="11" spans="1:16">
      <c r="A11" s="1">
        <v>10</v>
      </c>
      <c r="B11" s="1">
        <v>200007</v>
      </c>
      <c r="C11" s="1" t="str">
        <f>INDEX([1]物品基础表!$A:$A,MATCH(B11,[1]物品基础表!$B:$B,0))</f>
        <v>神装碎片</v>
      </c>
      <c r="D11" s="1">
        <v>400</v>
      </c>
      <c r="E11" s="1">
        <v>200003</v>
      </c>
      <c r="F11" s="1" t="str">
        <f>INDEX([1]物品基础表!$A:$A,MATCH(E11,[1]物品基础表!$B:$B,0))</f>
        <v>铸造晶石</v>
      </c>
      <c r="G11" s="1">
        <v>30</v>
      </c>
      <c r="H11" s="1">
        <v>200004</v>
      </c>
      <c r="I11" s="1" t="str">
        <f>INDEX([1]物品基础表!$A:$A,MATCH(H11,[1]物品基础表!$B:$B,0))</f>
        <v>经脉丹</v>
      </c>
      <c r="J11" s="1">
        <v>15</v>
      </c>
      <c r="K11" s="1">
        <v>201002</v>
      </c>
      <c r="L11" s="1" t="str">
        <f>INDEX([1]物品基础表!$A:$A,MATCH(K11,[1]物品基础表!$B:$B,0))</f>
        <v>神秘钥匙</v>
      </c>
      <c r="M11" s="1">
        <v>1</v>
      </c>
      <c r="N11" s="1">
        <v>1</v>
      </c>
      <c r="O11" s="1" t="s">
        <v>6</v>
      </c>
      <c r="P11" s="1">
        <v>1100000</v>
      </c>
    </row>
    <row r="12" spans="1:16">
      <c r="A12" s="1">
        <v>11</v>
      </c>
      <c r="B12" s="1">
        <v>260028</v>
      </c>
      <c r="C12" s="1" t="str">
        <f>INDEX([1]物品基础表!$A:$A,MATCH(B12,[1]物品基础表!$B:$B,0))</f>
        <v>祖玛雕像</v>
      </c>
      <c r="D12" s="1">
        <v>1</v>
      </c>
      <c r="E12" s="1">
        <v>200005</v>
      </c>
      <c r="F12" s="1" t="str">
        <f>INDEX([1]物品基础表!$A:$A,MATCH(E12,[1]物品基础表!$B:$B,0))</f>
        <v>龙魂碎片</v>
      </c>
      <c r="G12" s="1">
        <v>15</v>
      </c>
      <c r="H12" s="1">
        <v>200001</v>
      </c>
      <c r="I12" s="1" t="str">
        <f>INDEX([1]物品基础表!$A:$A,MATCH(H12,[1]物品基础表!$B:$B,0))</f>
        <v>羽毛</v>
      </c>
      <c r="J12" s="1">
        <v>15</v>
      </c>
      <c r="K12" s="1">
        <v>201002</v>
      </c>
      <c r="L12" s="1" t="str">
        <f>INDEX([1]物品基础表!$A:$A,MATCH(K12,[1]物品基础表!$B:$B,0))</f>
        <v>神秘钥匙</v>
      </c>
      <c r="M12" s="1">
        <v>1</v>
      </c>
      <c r="N12" s="1">
        <v>1</v>
      </c>
      <c r="O12" s="1" t="s">
        <v>6</v>
      </c>
      <c r="P12" s="1">
        <v>1200000</v>
      </c>
    </row>
    <row r="13" spans="1:16">
      <c r="A13" s="1">
        <v>12</v>
      </c>
      <c r="B13" s="1">
        <v>2</v>
      </c>
      <c r="C13" s="1" t="s">
        <v>7</v>
      </c>
      <c r="D13" s="1">
        <v>2500</v>
      </c>
      <c r="E13" s="1">
        <v>200003</v>
      </c>
      <c r="F13" s="1" t="str">
        <f>INDEX([1]物品基础表!$A:$A,MATCH(E13,[1]物品基础表!$B:$B,0))</f>
        <v>铸造晶石</v>
      </c>
      <c r="G13" s="1">
        <v>30</v>
      </c>
      <c r="H13" s="1">
        <v>200004</v>
      </c>
      <c r="I13" s="1" t="str">
        <f>INDEX([1]物品基础表!$A:$A,MATCH(H13,[1]物品基础表!$B:$B,0))</f>
        <v>经脉丹</v>
      </c>
      <c r="J13" s="1">
        <v>15</v>
      </c>
      <c r="K13" s="1">
        <v>201002</v>
      </c>
      <c r="L13" s="1" t="str">
        <f>INDEX([1]物品基础表!$A:$A,MATCH(K13,[1]物品基础表!$B:$B,0))</f>
        <v>神秘钥匙</v>
      </c>
      <c r="M13" s="1">
        <v>1</v>
      </c>
      <c r="N13" s="1">
        <v>1</v>
      </c>
      <c r="O13" s="1" t="s">
        <v>6</v>
      </c>
      <c r="P13" s="1">
        <v>1300000</v>
      </c>
    </row>
    <row r="14" spans="1:16">
      <c r="A14" s="1">
        <v>13</v>
      </c>
      <c r="B14" s="1">
        <v>200007</v>
      </c>
      <c r="C14" s="1" t="str">
        <f>INDEX([1]物品基础表!$A:$A,MATCH(B14,[1]物品基础表!$B:$B,0))</f>
        <v>神装碎片</v>
      </c>
      <c r="D14" s="1">
        <v>800</v>
      </c>
      <c r="E14" s="1">
        <v>200005</v>
      </c>
      <c r="F14" s="1" t="str">
        <f>INDEX([1]物品基础表!$A:$A,MATCH(E14,[1]物品基础表!$B:$B,0))</f>
        <v>龙魂碎片</v>
      </c>
      <c r="G14" s="1">
        <v>15</v>
      </c>
      <c r="H14" s="1">
        <v>200001</v>
      </c>
      <c r="I14" s="1" t="str">
        <f>INDEX([1]物品基础表!$A:$A,MATCH(H14,[1]物品基础表!$B:$B,0))</f>
        <v>羽毛</v>
      </c>
      <c r="J14" s="1">
        <v>15</v>
      </c>
      <c r="K14" s="1">
        <v>201002</v>
      </c>
      <c r="L14" s="1" t="str">
        <f>INDEX([1]物品基础表!$A:$A,MATCH(K14,[1]物品基础表!$B:$B,0))</f>
        <v>神秘钥匙</v>
      </c>
      <c r="M14" s="1">
        <v>1</v>
      </c>
      <c r="N14" s="1">
        <v>1</v>
      </c>
      <c r="O14" s="1" t="s">
        <v>6</v>
      </c>
      <c r="P14" s="1">
        <v>1400000</v>
      </c>
    </row>
    <row r="15" spans="1:16">
      <c r="A15" s="1">
        <v>14</v>
      </c>
      <c r="B15" s="1">
        <v>220011</v>
      </c>
      <c r="C15" s="1" t="str">
        <f>INDEX([1]物品基础表!$A:$A,MATCH(B15,[1]物品基础表!$B:$B,0))</f>
        <v>高级秘籍宝箱</v>
      </c>
      <c r="D15" s="1">
        <v>1</v>
      </c>
      <c r="E15" s="1">
        <v>200003</v>
      </c>
      <c r="F15" s="1" t="str">
        <f>INDEX([1]物品基础表!$A:$A,MATCH(E15,[1]物品基础表!$B:$B,0))</f>
        <v>铸造晶石</v>
      </c>
      <c r="G15" s="1">
        <v>30</v>
      </c>
      <c r="H15" s="1">
        <v>200004</v>
      </c>
      <c r="I15" s="1" t="str">
        <f>INDEX([1]物品基础表!$A:$A,MATCH(H15,[1]物品基础表!$B:$B,0))</f>
        <v>经脉丹</v>
      </c>
      <c r="J15" s="1">
        <v>15</v>
      </c>
      <c r="K15" s="1">
        <v>201002</v>
      </c>
      <c r="L15" s="1" t="str">
        <f>INDEX([1]物品基础表!$A:$A,MATCH(K15,[1]物品基础表!$B:$B,0))</f>
        <v>神秘钥匙</v>
      </c>
      <c r="M15" s="1">
        <v>1</v>
      </c>
      <c r="N15" s="1">
        <v>1</v>
      </c>
      <c r="O15" s="1" t="s">
        <v>6</v>
      </c>
      <c r="P15" s="1">
        <v>1500000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6"/>
  <sheetViews>
    <sheetView workbookViewId="0">
      <selection activeCell="F5" sqref="F5"/>
    </sheetView>
  </sheetViews>
  <sheetFormatPr defaultRowHeight="13.5"/>
  <cols>
    <col min="1" max="16384" width="9" style="1"/>
  </cols>
  <sheetData>
    <row r="1" spans="1:8">
      <c r="A1" s="1" t="s">
        <v>14</v>
      </c>
    </row>
    <row r="2" spans="1:8">
      <c r="A2" s="3" t="s">
        <v>1</v>
      </c>
      <c r="B2" s="4" t="s">
        <v>2</v>
      </c>
      <c r="C2" s="4" t="s">
        <v>3</v>
      </c>
      <c r="D2" s="4" t="s">
        <v>5</v>
      </c>
      <c r="E2" s="4" t="s">
        <v>2</v>
      </c>
      <c r="F2" s="4" t="s">
        <v>3</v>
      </c>
      <c r="G2" s="4" t="s">
        <v>5</v>
      </c>
    </row>
    <row r="3" spans="1:8">
      <c r="A3" s="1">
        <v>1</v>
      </c>
      <c r="B3" s="1">
        <v>1</v>
      </c>
      <c r="C3" s="1" t="s">
        <v>6</v>
      </c>
      <c r="D3" s="1">
        <v>100000</v>
      </c>
      <c r="E3" s="1">
        <v>200002</v>
      </c>
      <c r="F3" s="1" t="str">
        <f>INDEX([1]物品基础表!$A:$A,MATCH(E3,[1]物品基础表!$B:$B,0))</f>
        <v>强化石</v>
      </c>
      <c r="G3" s="1">
        <v>200</v>
      </c>
    </row>
    <row r="4" spans="1:8">
      <c r="A4" s="1">
        <v>2</v>
      </c>
      <c r="B4" s="1">
        <v>1</v>
      </c>
      <c r="C4" s="1" t="s">
        <v>6</v>
      </c>
      <c r="D4" s="1">
        <v>100000</v>
      </c>
      <c r="E4" s="1">
        <v>200001</v>
      </c>
      <c r="F4" s="1" t="str">
        <f>INDEX([1]物品基础表!$A:$A,MATCH(E4,[1]物品基础表!$B:$B,0))</f>
        <v>羽毛</v>
      </c>
      <c r="G4" s="1">
        <v>10</v>
      </c>
    </row>
    <row r="5" spans="1:8">
      <c r="A5" s="1">
        <v>3</v>
      </c>
      <c r="B5" s="1">
        <v>1</v>
      </c>
      <c r="C5" s="1" t="s">
        <v>6</v>
      </c>
      <c r="D5" s="1">
        <v>100000</v>
      </c>
      <c r="E5" s="1">
        <v>200003</v>
      </c>
      <c r="F5" s="1" t="str">
        <f>INDEX([1]物品基础表!$A:$A,MATCH(E5,[1]物品基础表!$B:$B,0))</f>
        <v>铸造晶石</v>
      </c>
      <c r="G5" s="1">
        <v>5</v>
      </c>
    </row>
    <row r="6" spans="1:8">
      <c r="A6" s="1">
        <v>4</v>
      </c>
      <c r="B6" s="1">
        <v>1</v>
      </c>
      <c r="C6" s="1" t="s">
        <v>6</v>
      </c>
      <c r="D6" s="1">
        <v>100000</v>
      </c>
      <c r="E6" s="1">
        <v>200005</v>
      </c>
      <c r="F6" s="1" t="str">
        <f>INDEX([1]物品基础表!$A:$A,MATCH(E6,[1]物品基础表!$B:$B,0))</f>
        <v>龙魂碎片</v>
      </c>
      <c r="G6" s="1">
        <v>10</v>
      </c>
    </row>
    <row r="7" spans="1:8">
      <c r="A7" s="1">
        <v>5</v>
      </c>
      <c r="B7" s="1">
        <v>1</v>
      </c>
      <c r="C7" s="1" t="s">
        <v>6</v>
      </c>
      <c r="D7" s="1">
        <v>100000</v>
      </c>
      <c r="E7" s="2">
        <v>200006</v>
      </c>
      <c r="F7" s="2" t="e">
        <f>INDEX([1]物品基础表!$A:$A,MATCH(E7,[1]物品基础表!$B:$B,0))</f>
        <v>#N/A</v>
      </c>
      <c r="G7" s="2">
        <v>10</v>
      </c>
      <c r="H7" s="2" t="s">
        <v>15</v>
      </c>
    </row>
    <row r="8" spans="1:8">
      <c r="A8" s="1">
        <v>6</v>
      </c>
      <c r="B8" s="1">
        <v>1</v>
      </c>
      <c r="C8" s="1" t="s">
        <v>6</v>
      </c>
      <c r="D8" s="1">
        <v>200000</v>
      </c>
      <c r="E8" s="1">
        <v>200004</v>
      </c>
      <c r="F8" s="1" t="str">
        <f>INDEX([1]物品基础表!$A:$A,MATCH(E8,[1]物品基础表!$B:$B,0))</f>
        <v>经脉丹</v>
      </c>
      <c r="G8" s="1">
        <v>10</v>
      </c>
    </row>
    <row r="9" spans="1:8">
      <c r="A9" s="1">
        <v>7</v>
      </c>
      <c r="B9" s="1">
        <v>1</v>
      </c>
      <c r="C9" s="1" t="s">
        <v>6</v>
      </c>
      <c r="D9" s="1">
        <v>200000</v>
      </c>
      <c r="E9" s="1">
        <v>2</v>
      </c>
      <c r="F9" s="1" t="s">
        <v>7</v>
      </c>
      <c r="G9" s="1">
        <v>500</v>
      </c>
    </row>
    <row r="11" spans="1:8">
      <c r="A11" s="1" t="s">
        <v>16</v>
      </c>
    </row>
    <row r="12" spans="1:8">
      <c r="A12" s="3" t="s">
        <v>18</v>
      </c>
      <c r="B12" s="4" t="s">
        <v>2</v>
      </c>
      <c r="C12" s="4" t="s">
        <v>3</v>
      </c>
      <c r="D12" s="4" t="s">
        <v>5</v>
      </c>
    </row>
    <row r="13" spans="1:8">
      <c r="A13" s="1">
        <v>1</v>
      </c>
      <c r="B13" s="1">
        <v>2</v>
      </c>
      <c r="C13" s="1" t="s">
        <v>7</v>
      </c>
      <c r="D13" s="1">
        <v>200</v>
      </c>
    </row>
    <row r="14" spans="1:8">
      <c r="A14" s="1">
        <v>2</v>
      </c>
      <c r="B14" s="1">
        <v>200165</v>
      </c>
      <c r="C14" s="1" t="str">
        <f>INDEX([1]物品基础表!$A:$A,MATCH(B14,[1]物品基础表!$B:$B,0))</f>
        <v>寻宝卷</v>
      </c>
      <c r="D14" s="1">
        <v>1</v>
      </c>
    </row>
    <row r="15" spans="1:8">
      <c r="A15" s="1">
        <v>3</v>
      </c>
      <c r="B15" s="1">
        <v>200005</v>
      </c>
      <c r="C15" s="1" t="str">
        <f>INDEX([1]物品基础表!$A:$A,MATCH(B15,[1]物品基础表!$B:$B,0))</f>
        <v>龙魂碎片</v>
      </c>
      <c r="D15" s="1">
        <v>10</v>
      </c>
    </row>
    <row r="16" spans="1:8">
      <c r="A16" s="1">
        <v>4</v>
      </c>
      <c r="B16" s="1">
        <v>200002</v>
      </c>
      <c r="C16" s="1" t="str">
        <f>INDEX([1]物品基础表!$A:$A,MATCH(B16,[1]物品基础表!$B:$B,0))</f>
        <v>强化石</v>
      </c>
      <c r="D16" s="1">
        <v>100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51"/>
  <sheetViews>
    <sheetView topLeftCell="A13" workbookViewId="0">
      <selection activeCell="G50" sqref="G50"/>
    </sheetView>
  </sheetViews>
  <sheetFormatPr defaultRowHeight="13.5"/>
  <cols>
    <col min="1" max="1" width="15.25" style="1" bestFit="1" customWidth="1"/>
    <col min="2" max="4" width="9" style="1"/>
    <col min="5" max="5" width="11" style="1" bestFit="1" customWidth="1"/>
    <col min="6" max="6" width="25" style="1" bestFit="1" customWidth="1"/>
    <col min="7" max="7" width="9" style="1"/>
    <col min="8" max="8" width="11" style="1" bestFit="1" customWidth="1"/>
    <col min="9" max="9" width="12.25" style="1" bestFit="1" customWidth="1"/>
    <col min="10" max="10" width="11" style="1" bestFit="1" customWidth="1"/>
    <col min="11" max="11" width="9" style="1"/>
    <col min="12" max="12" width="19.25" style="1" bestFit="1" customWidth="1"/>
    <col min="13" max="13" width="11" style="1" bestFit="1" customWidth="1"/>
    <col min="14" max="14" width="9" style="1"/>
    <col min="15" max="15" width="19.25" style="1" bestFit="1" customWidth="1"/>
    <col min="16" max="16384" width="9" style="1"/>
  </cols>
  <sheetData>
    <row r="1" spans="1:9">
      <c r="A1" s="5" t="s">
        <v>44</v>
      </c>
      <c r="B1" s="5" t="s">
        <v>17</v>
      </c>
      <c r="C1" s="5" t="s">
        <v>20</v>
      </c>
      <c r="D1" s="5" t="s">
        <v>31</v>
      </c>
      <c r="E1" s="5" t="s">
        <v>21</v>
      </c>
      <c r="F1" s="5" t="s">
        <v>22</v>
      </c>
      <c r="G1" s="5" t="s">
        <v>23</v>
      </c>
      <c r="H1" s="5" t="s">
        <v>24</v>
      </c>
    </row>
    <row r="2" spans="1:9">
      <c r="A2" s="1" t="s">
        <v>25</v>
      </c>
      <c r="B2" s="1">
        <v>5001</v>
      </c>
      <c r="E2" s="1">
        <v>7</v>
      </c>
      <c r="F2" s="1">
        <v>3</v>
      </c>
      <c r="G2" s="1">
        <v>1</v>
      </c>
      <c r="H2" s="1">
        <v>72</v>
      </c>
    </row>
    <row r="3" spans="1:9">
      <c r="A3" s="1" t="s">
        <v>26</v>
      </c>
      <c r="B3" s="1">
        <v>5002</v>
      </c>
      <c r="E3" s="1">
        <v>7</v>
      </c>
      <c r="F3" s="1">
        <v>2</v>
      </c>
      <c r="G3" s="1">
        <v>1</v>
      </c>
      <c r="H3" s="1">
        <v>72</v>
      </c>
    </row>
    <row r="4" spans="1:9">
      <c r="A4" s="1" t="s">
        <v>27</v>
      </c>
      <c r="B4" s="1">
        <v>5003</v>
      </c>
      <c r="D4" s="1">
        <v>15</v>
      </c>
      <c r="E4" s="1">
        <v>5</v>
      </c>
      <c r="F4" s="1">
        <v>1</v>
      </c>
      <c r="G4" s="1">
        <v>1</v>
      </c>
      <c r="H4" s="1">
        <v>72</v>
      </c>
    </row>
    <row r="5" spans="1:9">
      <c r="A5" s="1" t="s">
        <v>28</v>
      </c>
      <c r="B5" s="1">
        <v>5004</v>
      </c>
      <c r="D5" s="1">
        <v>15</v>
      </c>
      <c r="E5" s="1">
        <v>5</v>
      </c>
      <c r="F5" s="1">
        <v>9</v>
      </c>
      <c r="G5" s="1">
        <v>1</v>
      </c>
      <c r="H5" s="1">
        <v>72</v>
      </c>
    </row>
    <row r="6" spans="1:9">
      <c r="A6" s="1" t="s">
        <v>29</v>
      </c>
      <c r="B6" s="1">
        <v>5005</v>
      </c>
      <c r="D6" s="1">
        <v>15</v>
      </c>
      <c r="E6" s="1">
        <v>5</v>
      </c>
      <c r="F6" s="1">
        <v>2</v>
      </c>
      <c r="G6" s="1">
        <v>1</v>
      </c>
      <c r="H6" s="1">
        <v>72</v>
      </c>
    </row>
    <row r="7" spans="1:9">
      <c r="A7" s="1" t="s">
        <v>30</v>
      </c>
      <c r="B7" s="1">
        <v>5006</v>
      </c>
      <c r="D7" s="1">
        <v>15</v>
      </c>
      <c r="E7" s="1">
        <v>5</v>
      </c>
      <c r="F7" s="1">
        <v>3</v>
      </c>
      <c r="G7" s="1">
        <v>1</v>
      </c>
      <c r="H7" s="1">
        <v>72</v>
      </c>
    </row>
    <row r="9" spans="1:9">
      <c r="D9" s="101" t="s">
        <v>36</v>
      </c>
      <c r="E9" s="102"/>
      <c r="F9" s="102"/>
      <c r="G9" s="102"/>
      <c r="H9" s="102"/>
      <c r="I9" s="102"/>
    </row>
    <row r="10" spans="1:9">
      <c r="A10" s="6" t="s">
        <v>32</v>
      </c>
      <c r="B10" s="7" t="s">
        <v>33</v>
      </c>
      <c r="C10" s="8" t="s">
        <v>34</v>
      </c>
      <c r="D10" s="4" t="s">
        <v>2</v>
      </c>
      <c r="E10" s="4" t="s">
        <v>3</v>
      </c>
      <c r="F10" s="4" t="s">
        <v>4</v>
      </c>
      <c r="G10" s="4" t="s">
        <v>2</v>
      </c>
      <c r="H10" s="4" t="s">
        <v>3</v>
      </c>
      <c r="I10" s="4" t="s">
        <v>4</v>
      </c>
    </row>
    <row r="11" spans="1:9">
      <c r="A11" s="9">
        <v>5003</v>
      </c>
      <c r="B11" s="9">
        <v>1</v>
      </c>
      <c r="C11" s="9">
        <v>2</v>
      </c>
      <c r="D11" s="1">
        <v>205000</v>
      </c>
      <c r="E11" s="1" t="str">
        <f>INDEX([1]物品基础表!$A:$A,MATCH(D11,[1]物品基础表!$B:$B,0))</f>
        <v>战灵进阶丹</v>
      </c>
      <c r="F11" s="1">
        <v>30</v>
      </c>
    </row>
    <row r="12" spans="1:9">
      <c r="A12" s="9">
        <v>5003</v>
      </c>
      <c r="B12" s="9">
        <v>2</v>
      </c>
      <c r="C12" s="9">
        <v>8</v>
      </c>
      <c r="D12" s="1">
        <v>205000</v>
      </c>
      <c r="E12" s="1" t="str">
        <f>INDEX([1]物品基础表!$A:$A,MATCH(D12,[1]物品基础表!$B:$B,0))</f>
        <v>战灵进阶丹</v>
      </c>
      <c r="F12" s="1">
        <v>70</v>
      </c>
      <c r="G12" s="1">
        <v>205001</v>
      </c>
      <c r="H12" s="1" t="str">
        <f>INDEX([1]物品基础表!$A:$A,MATCH(G12,[1]物品基础表!$B:$B,0))</f>
        <v>战灵潜能丹</v>
      </c>
      <c r="I12" s="1">
        <v>1</v>
      </c>
    </row>
    <row r="13" spans="1:9">
      <c r="A13" s="9">
        <v>5003</v>
      </c>
      <c r="B13" s="9">
        <v>3</v>
      </c>
      <c r="C13" s="9">
        <v>15</v>
      </c>
      <c r="D13" s="1">
        <v>205000</v>
      </c>
      <c r="E13" s="1" t="str">
        <f>INDEX([1]物品基础表!$A:$A,MATCH(D13,[1]物品基础表!$B:$B,0))</f>
        <v>战灵进阶丹</v>
      </c>
      <c r="F13" s="1">
        <v>150</v>
      </c>
      <c r="G13" s="1">
        <v>205001</v>
      </c>
      <c r="H13" s="1" t="str">
        <f>INDEX([1]物品基础表!$A:$A,MATCH(G13,[1]物品基础表!$B:$B,0))</f>
        <v>战灵潜能丹</v>
      </c>
      <c r="I13" s="1">
        <v>1</v>
      </c>
    </row>
    <row r="14" spans="1:9">
      <c r="A14" s="9">
        <v>5003</v>
      </c>
      <c r="B14" s="9">
        <v>4</v>
      </c>
      <c r="C14" s="9">
        <v>25</v>
      </c>
      <c r="D14" s="1">
        <v>205000</v>
      </c>
      <c r="E14" s="1" t="str">
        <f>INDEX([1]物品基础表!$A:$A,MATCH(D14,[1]物品基础表!$B:$B,0))</f>
        <v>战灵进阶丹</v>
      </c>
      <c r="F14" s="1">
        <v>250</v>
      </c>
      <c r="G14" s="1">
        <v>205001</v>
      </c>
      <c r="H14" s="1" t="str">
        <f>INDEX([1]物品基础表!$A:$A,MATCH(G14,[1]物品基础表!$B:$B,0))</f>
        <v>战灵潜能丹</v>
      </c>
      <c r="I14" s="1">
        <v>2</v>
      </c>
    </row>
    <row r="15" spans="1:9">
      <c r="A15" s="9">
        <v>5003</v>
      </c>
      <c r="B15" s="9">
        <v>5</v>
      </c>
      <c r="C15" s="9">
        <v>35</v>
      </c>
      <c r="D15" s="1">
        <v>205000</v>
      </c>
      <c r="E15" s="1" t="str">
        <f>INDEX([1]物品基础表!$A:$A,MATCH(D15,[1]物品基础表!$B:$B,0))</f>
        <v>战灵进阶丹</v>
      </c>
      <c r="F15" s="1">
        <v>400</v>
      </c>
      <c r="G15" s="1">
        <v>205001</v>
      </c>
      <c r="H15" s="1" t="str">
        <f>INDEX([1]物品基础表!$A:$A,MATCH(G15,[1]物品基础表!$B:$B,0))</f>
        <v>战灵潜能丹</v>
      </c>
      <c r="I15" s="1">
        <v>2</v>
      </c>
    </row>
    <row r="16" spans="1:9">
      <c r="A16" s="9">
        <v>5003</v>
      </c>
      <c r="B16" s="9">
        <v>6</v>
      </c>
      <c r="C16" s="9">
        <v>45</v>
      </c>
      <c r="D16" s="1">
        <v>205000</v>
      </c>
      <c r="E16" s="1" t="str">
        <f>INDEX([1]物品基础表!$A:$A,MATCH(D16,[1]物品基础表!$B:$B,0))</f>
        <v>战灵进阶丹</v>
      </c>
      <c r="F16" s="1">
        <v>400</v>
      </c>
      <c r="G16" s="1">
        <v>205001</v>
      </c>
      <c r="H16" s="1" t="str">
        <f>INDEX([1]物品基础表!$A:$A,MATCH(G16,[1]物品基础表!$B:$B,0))</f>
        <v>战灵潜能丹</v>
      </c>
      <c r="I16" s="1">
        <v>2</v>
      </c>
    </row>
    <row r="17" spans="1:16">
      <c r="A17" s="9"/>
      <c r="B17" s="9"/>
      <c r="C17" s="9"/>
    </row>
    <row r="18" spans="1:16">
      <c r="K18" s="101" t="s">
        <v>35</v>
      </c>
      <c r="L18" s="102"/>
      <c r="M18" s="102"/>
      <c r="N18" s="102"/>
      <c r="O18" s="102"/>
      <c r="P18" s="102"/>
    </row>
    <row r="19" spans="1:16">
      <c r="A19" s="5" t="s">
        <v>44</v>
      </c>
      <c r="B19" s="10" t="s">
        <v>32</v>
      </c>
      <c r="C19" s="11" t="s">
        <v>33</v>
      </c>
      <c r="D19" s="11" t="s">
        <v>43</v>
      </c>
      <c r="E19" s="11" t="s">
        <v>37</v>
      </c>
      <c r="F19" s="11" t="s">
        <v>38</v>
      </c>
      <c r="G19" s="11" t="s">
        <v>39</v>
      </c>
      <c r="H19" s="11" t="s">
        <v>40</v>
      </c>
      <c r="I19" s="11" t="s">
        <v>41</v>
      </c>
      <c r="J19" s="11" t="s">
        <v>42</v>
      </c>
      <c r="K19" s="11" t="s">
        <v>2</v>
      </c>
      <c r="L19" s="3" t="s">
        <v>3</v>
      </c>
      <c r="M19" s="4" t="s">
        <v>4</v>
      </c>
      <c r="N19" s="4" t="s">
        <v>2</v>
      </c>
      <c r="O19" s="4" t="s">
        <v>3</v>
      </c>
      <c r="P19" s="4" t="s">
        <v>4</v>
      </c>
    </row>
    <row r="20" spans="1:16">
      <c r="A20" s="12" t="s">
        <v>26</v>
      </c>
      <c r="B20" s="13">
        <v>5002</v>
      </c>
      <c r="C20" s="13">
        <v>1</v>
      </c>
      <c r="D20" s="13">
        <v>5</v>
      </c>
      <c r="E20" s="13">
        <v>0</v>
      </c>
      <c r="F20" s="13" t="s">
        <v>7</v>
      </c>
      <c r="G20" s="13">
        <v>3888</v>
      </c>
      <c r="H20" s="13">
        <v>5000</v>
      </c>
      <c r="I20" s="13">
        <v>1</v>
      </c>
      <c r="J20" s="13">
        <v>77</v>
      </c>
      <c r="K20" s="1">
        <v>201106</v>
      </c>
      <c r="L20" s="1" t="str">
        <f>INDEX([1]物品基础表!$A:$A,MATCH(K20,[1]物品基础表!$B:$B,0))</f>
        <v>高级轮回丹·无限制</v>
      </c>
      <c r="M20" s="1">
        <v>5</v>
      </c>
    </row>
    <row r="21" spans="1:16">
      <c r="A21" s="14" t="s">
        <v>26</v>
      </c>
      <c r="B21" s="15">
        <v>5002</v>
      </c>
      <c r="C21" s="15">
        <v>2</v>
      </c>
      <c r="D21" s="15">
        <v>8</v>
      </c>
      <c r="E21" s="15">
        <v>0</v>
      </c>
      <c r="F21" s="15" t="s">
        <v>7</v>
      </c>
      <c r="G21" s="15">
        <v>3888</v>
      </c>
      <c r="H21" s="15">
        <v>8000</v>
      </c>
      <c r="I21" s="15">
        <v>1</v>
      </c>
      <c r="J21" s="15">
        <v>48</v>
      </c>
      <c r="K21" s="1">
        <v>201106</v>
      </c>
      <c r="L21" s="1" t="str">
        <f>INDEX([1]物品基础表!$A:$A,MATCH(K21,[1]物品基础表!$B:$B,0))</f>
        <v>高级轮回丹·无限制</v>
      </c>
      <c r="M21" s="1">
        <v>8</v>
      </c>
    </row>
    <row r="22" spans="1:16">
      <c r="A22" s="14" t="s">
        <v>26</v>
      </c>
      <c r="B22" s="15">
        <v>5002</v>
      </c>
      <c r="C22" s="15">
        <v>3</v>
      </c>
      <c r="D22" s="15">
        <v>5</v>
      </c>
      <c r="E22" s="15">
        <v>0</v>
      </c>
      <c r="F22" s="15" t="s">
        <v>7</v>
      </c>
      <c r="G22" s="15">
        <v>8888</v>
      </c>
      <c r="H22" s="15">
        <v>11998</v>
      </c>
      <c r="I22" s="15">
        <v>5</v>
      </c>
      <c r="J22" s="15">
        <v>74</v>
      </c>
      <c r="K22" s="1">
        <v>201107</v>
      </c>
      <c r="L22" s="1" t="str">
        <f>INDEX([1]物品基础表!$A:$A,MATCH(K22,[1]物品基础表!$B:$B,0))</f>
        <v>超级轮回丹·无限制</v>
      </c>
      <c r="M22" s="1">
        <v>1</v>
      </c>
      <c r="N22" s="1">
        <v>201106</v>
      </c>
      <c r="O22" s="1" t="str">
        <f>INDEX([1]物品基础表!$A:$A,MATCH(N22,[1]物品基础表!$B:$B,0))</f>
        <v>高级轮回丹·无限制</v>
      </c>
      <c r="P22" s="1">
        <v>2</v>
      </c>
    </row>
    <row r="23" spans="1:16">
      <c r="A23" s="14" t="s">
        <v>26</v>
      </c>
      <c r="B23" s="15">
        <v>5002</v>
      </c>
      <c r="C23" s="15">
        <v>4</v>
      </c>
      <c r="D23" s="15">
        <v>5</v>
      </c>
      <c r="E23" s="15">
        <v>0</v>
      </c>
      <c r="F23" s="15" t="s">
        <v>7</v>
      </c>
      <c r="G23" s="15">
        <v>18888</v>
      </c>
      <c r="H23" s="15">
        <v>21996</v>
      </c>
      <c r="I23" s="15">
        <v>5</v>
      </c>
      <c r="J23" s="15">
        <v>85</v>
      </c>
      <c r="K23" s="1">
        <v>201107</v>
      </c>
      <c r="L23" s="1" t="str">
        <f>INDEX([1]物品基础表!$A:$A,MATCH(K23,[1]物品基础表!$B:$B,0))</f>
        <v>超级轮回丹·无限制</v>
      </c>
      <c r="M23" s="1">
        <v>2</v>
      </c>
      <c r="N23" s="1">
        <v>201106</v>
      </c>
      <c r="O23" s="1" t="str">
        <f>INDEX([1]物品基础表!$A:$A,MATCH(N23,[1]物品基础表!$B:$B,0))</f>
        <v>高级轮回丹·无限制</v>
      </c>
      <c r="P23" s="1">
        <v>2</v>
      </c>
    </row>
    <row r="24" spans="1:16">
      <c r="A24" s="14" t="s">
        <v>26</v>
      </c>
      <c r="B24" s="15">
        <v>5002</v>
      </c>
      <c r="C24" s="15">
        <v>5</v>
      </c>
      <c r="D24" s="15">
        <v>5</v>
      </c>
      <c r="E24" s="15">
        <v>0</v>
      </c>
      <c r="F24" s="15" t="s">
        <v>7</v>
      </c>
      <c r="G24" s="15">
        <v>12888</v>
      </c>
      <c r="H24" s="15">
        <v>56250</v>
      </c>
      <c r="I24" s="15">
        <v>1</v>
      </c>
      <c r="J24" s="15">
        <v>22</v>
      </c>
      <c r="K24" s="1">
        <v>204075</v>
      </c>
      <c r="L24" s="1" t="str">
        <f>INDEX([1]物品基础表!$A:$A,MATCH(K24,[1]物品基础表!$B:$B,0))</f>
        <v>轮回装备礼包</v>
      </c>
      <c r="M24" s="1">
        <v>1</v>
      </c>
    </row>
    <row r="25" spans="1:16">
      <c r="A25" s="14" t="s">
        <v>29</v>
      </c>
      <c r="B25" s="15">
        <v>5005</v>
      </c>
      <c r="C25" s="15">
        <v>1</v>
      </c>
      <c r="D25" s="15">
        <v>5</v>
      </c>
      <c r="E25" s="15">
        <v>0</v>
      </c>
      <c r="F25" s="15" t="s">
        <v>7</v>
      </c>
      <c r="G25" s="15">
        <v>888</v>
      </c>
      <c r="H25" s="15">
        <v>1600</v>
      </c>
      <c r="I25" s="15">
        <v>9</v>
      </c>
      <c r="J25" s="15">
        <v>55</v>
      </c>
      <c r="K25" s="1">
        <v>205000</v>
      </c>
      <c r="L25" s="1" t="str">
        <f>INDEX([1]物品基础表!$A:$A,MATCH(K25,[1]物品基础表!$B:$B,0))</f>
        <v>战灵进阶丹</v>
      </c>
      <c r="M25" s="1">
        <v>20</v>
      </c>
    </row>
    <row r="26" spans="1:16">
      <c r="A26" s="14" t="s">
        <v>29</v>
      </c>
      <c r="B26" s="15">
        <v>5005</v>
      </c>
      <c r="C26" s="15">
        <v>2</v>
      </c>
      <c r="D26" s="15">
        <v>7</v>
      </c>
      <c r="E26" s="15">
        <v>0</v>
      </c>
      <c r="F26" s="15" t="s">
        <v>7</v>
      </c>
      <c r="G26" s="15">
        <v>1588</v>
      </c>
      <c r="H26" s="15">
        <v>4800</v>
      </c>
      <c r="I26" s="15">
        <v>3</v>
      </c>
      <c r="J26" s="15">
        <v>33</v>
      </c>
      <c r="K26" s="1">
        <v>205000</v>
      </c>
      <c r="L26" s="1" t="str">
        <f>INDEX([1]物品基础表!$A:$A,MATCH(K26,[1]物品基础表!$B:$B,0))</f>
        <v>战灵进阶丹</v>
      </c>
      <c r="M26" s="1">
        <v>60</v>
      </c>
    </row>
    <row r="27" spans="1:16">
      <c r="A27" s="14" t="s">
        <v>29</v>
      </c>
      <c r="B27" s="15">
        <v>5005</v>
      </c>
      <c r="C27" s="15">
        <v>3</v>
      </c>
      <c r="D27" s="15">
        <v>5</v>
      </c>
      <c r="E27" s="15">
        <v>0</v>
      </c>
      <c r="F27" s="15" t="s">
        <v>7</v>
      </c>
      <c r="G27" s="15">
        <v>2888</v>
      </c>
      <c r="H27" s="15">
        <v>5600</v>
      </c>
      <c r="I27" s="15">
        <v>9</v>
      </c>
      <c r="J27" s="15">
        <v>51</v>
      </c>
      <c r="K27" s="1">
        <v>205000</v>
      </c>
      <c r="L27" s="1" t="str">
        <f>INDEX([1]物品基础表!$A:$A,MATCH(K27,[1]物品基础表!$B:$B,0))</f>
        <v>战灵进阶丹</v>
      </c>
      <c r="M27" s="1">
        <v>70</v>
      </c>
    </row>
    <row r="28" spans="1:16">
      <c r="A28" s="16" t="s">
        <v>29</v>
      </c>
      <c r="B28" s="17">
        <v>5005</v>
      </c>
      <c r="C28" s="17">
        <v>4</v>
      </c>
      <c r="D28" s="17">
        <v>5</v>
      </c>
      <c r="E28" s="17">
        <v>0</v>
      </c>
      <c r="F28" s="17" t="s">
        <v>7</v>
      </c>
      <c r="G28" s="17">
        <v>8888</v>
      </c>
      <c r="H28" s="17">
        <v>16000</v>
      </c>
      <c r="I28" s="17">
        <v>20</v>
      </c>
      <c r="J28" s="17">
        <v>55</v>
      </c>
      <c r="K28" s="1">
        <v>205000</v>
      </c>
      <c r="L28" s="1" t="str">
        <f>INDEX([1]物品基础表!$A:$A,MATCH(K28,[1]物品基础表!$B:$B,0))</f>
        <v>战灵进阶丹</v>
      </c>
      <c r="M28" s="1">
        <v>200</v>
      </c>
    </row>
    <row r="30" spans="1:16">
      <c r="G30" s="103" t="s">
        <v>35</v>
      </c>
      <c r="H30" s="104"/>
      <c r="I30" s="104"/>
      <c r="J30" s="104"/>
      <c r="K30" s="104"/>
      <c r="L30" s="104"/>
      <c r="M30" s="104"/>
      <c r="N30" s="104"/>
      <c r="O30" s="104"/>
    </row>
    <row r="31" spans="1:16" ht="15" customHeight="1">
      <c r="A31" s="5" t="s">
        <v>44</v>
      </c>
      <c r="B31" s="21" t="s">
        <v>32</v>
      </c>
      <c r="C31" s="20" t="s">
        <v>33</v>
      </c>
      <c r="D31" s="20" t="s">
        <v>45</v>
      </c>
      <c r="E31" s="20" t="s">
        <v>0</v>
      </c>
      <c r="F31" s="20" t="s">
        <v>46</v>
      </c>
      <c r="G31" s="11" t="s">
        <v>2</v>
      </c>
      <c r="H31" s="3" t="s">
        <v>3</v>
      </c>
      <c r="I31" s="4" t="s">
        <v>4</v>
      </c>
      <c r="J31" s="11" t="s">
        <v>2</v>
      </c>
      <c r="K31" s="3" t="s">
        <v>3</v>
      </c>
      <c r="L31" s="4" t="s">
        <v>4</v>
      </c>
      <c r="M31" s="11" t="s">
        <v>2</v>
      </c>
      <c r="N31" s="3" t="s">
        <v>3</v>
      </c>
      <c r="O31" s="4" t="s">
        <v>4</v>
      </c>
    </row>
    <row r="32" spans="1:16">
      <c r="A32" s="12" t="s">
        <v>47</v>
      </c>
      <c r="B32" s="13">
        <v>5001</v>
      </c>
      <c r="C32" s="13">
        <v>1</v>
      </c>
      <c r="D32" s="13">
        <v>2</v>
      </c>
      <c r="E32" s="13">
        <v>3</v>
      </c>
      <c r="F32" s="13">
        <v>1000</v>
      </c>
      <c r="G32" s="1">
        <v>201106</v>
      </c>
      <c r="H32" s="1" t="str">
        <f>INDEX([1]物品基础表!$A:$A,MATCH(G32,[1]物品基础表!$B:$B,0))</f>
        <v>高级轮回丹·无限制</v>
      </c>
      <c r="I32" s="1">
        <v>1</v>
      </c>
      <c r="J32" s="1">
        <v>200011</v>
      </c>
      <c r="K32" s="1" t="str">
        <f>INDEX([1]物品基础表!$A:$A,MATCH(J32,[1]物品基础表!$B:$B,0))</f>
        <v>高级转生丹·无限制</v>
      </c>
      <c r="L32" s="1">
        <v>1</v>
      </c>
      <c r="M32" s="1">
        <v>200004</v>
      </c>
      <c r="N32" s="1" t="str">
        <f>INDEX([1]物品基础表!$A:$A,MATCH(M32,[1]物品基础表!$B:$B,0))</f>
        <v>经脉丹</v>
      </c>
      <c r="O32" s="1">
        <v>10</v>
      </c>
    </row>
    <row r="33" spans="1:15">
      <c r="A33" s="14" t="s">
        <v>48</v>
      </c>
      <c r="B33" s="15">
        <v>5001</v>
      </c>
      <c r="C33" s="15">
        <v>2</v>
      </c>
      <c r="D33" s="15">
        <v>2</v>
      </c>
      <c r="E33" s="15">
        <v>3</v>
      </c>
      <c r="F33" s="15">
        <v>3000</v>
      </c>
      <c r="G33" s="1">
        <v>201106</v>
      </c>
      <c r="H33" s="1" t="str">
        <f>INDEX([1]物品基础表!$A:$A,MATCH(G33,[1]物品基础表!$B:$B,0))</f>
        <v>高级轮回丹·无限制</v>
      </c>
      <c r="I33" s="1">
        <v>2</v>
      </c>
      <c r="J33" s="1">
        <v>200011</v>
      </c>
      <c r="K33" s="1" t="str">
        <f>INDEX([1]物品基础表!$A:$A,MATCH(J33,[1]物品基础表!$B:$B,0))</f>
        <v>高级转生丹·无限制</v>
      </c>
      <c r="L33" s="1">
        <v>2</v>
      </c>
      <c r="M33" s="1">
        <v>200004</v>
      </c>
      <c r="N33" s="1" t="str">
        <f>INDEX([1]物品基础表!$A:$A,MATCH(M33,[1]物品基础表!$B:$B,0))</f>
        <v>经脉丹</v>
      </c>
      <c r="O33" s="1">
        <v>10</v>
      </c>
    </row>
    <row r="34" spans="1:15">
      <c r="A34" s="14" t="s">
        <v>49</v>
      </c>
      <c r="B34" s="15">
        <v>5001</v>
      </c>
      <c r="C34" s="15">
        <v>3</v>
      </c>
      <c r="D34" s="15">
        <v>2</v>
      </c>
      <c r="E34" s="15">
        <v>3</v>
      </c>
      <c r="F34" s="15">
        <v>10000</v>
      </c>
      <c r="G34" s="1">
        <v>201106</v>
      </c>
      <c r="H34" s="1" t="str">
        <f>INDEX([1]物品基础表!$A:$A,MATCH(G34,[1]物品基础表!$B:$B,0))</f>
        <v>高级轮回丹·无限制</v>
      </c>
      <c r="I34" s="1">
        <v>5</v>
      </c>
      <c r="J34" s="1">
        <v>204033</v>
      </c>
      <c r="K34" s="1" t="str">
        <f>INDEX([1]物品基础表!$A:$A,MATCH(J34,[1]物品基础表!$B:$B,0))</f>
        <v>7转斗笠</v>
      </c>
      <c r="L34" s="1">
        <v>1</v>
      </c>
      <c r="M34" s="1">
        <v>200004</v>
      </c>
      <c r="N34" s="1" t="str">
        <f>INDEX([1]物品基础表!$A:$A,MATCH(M34,[1]物品基础表!$B:$B,0))</f>
        <v>经脉丹</v>
      </c>
      <c r="O34" s="1">
        <v>10</v>
      </c>
    </row>
    <row r="35" spans="1:15">
      <c r="A35" s="14" t="s">
        <v>50</v>
      </c>
      <c r="B35" s="15">
        <v>5006</v>
      </c>
      <c r="C35" s="15">
        <v>1</v>
      </c>
      <c r="D35" s="15">
        <v>2</v>
      </c>
      <c r="E35" s="15">
        <v>3</v>
      </c>
      <c r="F35" s="15">
        <v>3000</v>
      </c>
      <c r="G35" s="1">
        <v>204154</v>
      </c>
      <c r="H35" s="1" t="str">
        <f>INDEX([1]物品基础表!$A:$A,MATCH(G35,[1]物品基础表!$B:$B,0))</f>
        <v>1阶战灵装备</v>
      </c>
      <c r="I35" s="1">
        <v>1</v>
      </c>
      <c r="J35" s="1">
        <v>205001</v>
      </c>
      <c r="K35" s="1" t="str">
        <f>INDEX([1]物品基础表!$A:$A,MATCH(J35,[1]物品基础表!$B:$B,0))</f>
        <v>战灵潜能丹</v>
      </c>
      <c r="L35" s="1">
        <v>1</v>
      </c>
      <c r="M35" s="1">
        <v>205000</v>
      </c>
      <c r="N35" s="1" t="str">
        <f>INDEX([1]物品基础表!$A:$A,MATCH(M35,[1]物品基础表!$B:$B,0))</f>
        <v>战灵进阶丹</v>
      </c>
      <c r="O35" s="1">
        <v>20</v>
      </c>
    </row>
    <row r="36" spans="1:15">
      <c r="A36" s="14" t="s">
        <v>50</v>
      </c>
      <c r="B36" s="15">
        <v>5006</v>
      </c>
      <c r="C36" s="15">
        <v>2</v>
      </c>
      <c r="D36" s="15">
        <v>2</v>
      </c>
      <c r="E36" s="15">
        <v>3</v>
      </c>
      <c r="F36" s="15">
        <v>8000</v>
      </c>
      <c r="G36" s="1">
        <v>204155</v>
      </c>
      <c r="H36" s="1" t="str">
        <f>INDEX([1]物品基础表!$A:$A,MATCH(G36,[1]物品基础表!$B:$B,0))</f>
        <v>2阶战灵装备</v>
      </c>
      <c r="I36" s="1">
        <v>1</v>
      </c>
      <c r="J36" s="1">
        <v>205002</v>
      </c>
      <c r="K36" s="1" t="str">
        <f>INDEX([1]物品基础表!$A:$A,MATCH(J36,[1]物品基础表!$B:$B,0))</f>
        <v>战灵飞升丹</v>
      </c>
      <c r="L36" s="1">
        <v>1</v>
      </c>
      <c r="M36" s="1">
        <v>205000</v>
      </c>
      <c r="N36" s="1" t="str">
        <f>INDEX([1]物品基础表!$A:$A,MATCH(M36,[1]物品基础表!$B:$B,0))</f>
        <v>战灵进阶丹</v>
      </c>
      <c r="O36" s="1">
        <v>40</v>
      </c>
    </row>
    <row r="37" spans="1:15">
      <c r="A37" s="14" t="s">
        <v>50</v>
      </c>
      <c r="B37" s="15">
        <v>5006</v>
      </c>
      <c r="C37" s="15">
        <v>3</v>
      </c>
      <c r="D37" s="15">
        <v>2</v>
      </c>
      <c r="E37" s="15">
        <v>3</v>
      </c>
      <c r="F37" s="15">
        <v>20000</v>
      </c>
      <c r="G37" s="1">
        <v>205003</v>
      </c>
      <c r="H37" s="1" t="str">
        <f>INDEX([1]物品基础表!$A:$A,MATCH(G37,[1]物品基础表!$B:$B,0))</f>
        <v>庚金白虎</v>
      </c>
      <c r="I37" s="1">
        <v>1</v>
      </c>
      <c r="J37" s="1">
        <v>205002</v>
      </c>
      <c r="K37" s="1" t="str">
        <f>INDEX([1]物品基础表!$A:$A,MATCH(J37,[1]物品基础表!$B:$B,0))</f>
        <v>战灵飞升丹</v>
      </c>
      <c r="L37" s="1">
        <v>1</v>
      </c>
      <c r="M37" s="1">
        <v>205000</v>
      </c>
      <c r="N37" s="1" t="str">
        <f>INDEX([1]物品基础表!$A:$A,MATCH(M37,[1]物品基础表!$B:$B,0))</f>
        <v>战灵进阶丹</v>
      </c>
      <c r="O37" s="1">
        <v>40</v>
      </c>
    </row>
    <row r="38" spans="1:15">
      <c r="A38" s="16"/>
      <c r="B38" s="17"/>
      <c r="C38" s="17"/>
      <c r="D38" s="17"/>
      <c r="E38" s="17"/>
      <c r="F38" s="17"/>
    </row>
    <row r="39" spans="1:15">
      <c r="A39" s="18"/>
      <c r="B39" s="19"/>
      <c r="C39" s="19"/>
      <c r="D39" s="19"/>
      <c r="E39" s="19"/>
      <c r="F39" s="19"/>
      <c r="G39" s="105" t="s">
        <v>35</v>
      </c>
      <c r="H39" s="106"/>
      <c r="I39" s="106"/>
    </row>
    <row r="40" spans="1:15">
      <c r="A40" s="22" t="s">
        <v>19</v>
      </c>
      <c r="B40" s="22" t="s">
        <v>32</v>
      </c>
      <c r="C40" s="23" t="s">
        <v>33</v>
      </c>
      <c r="D40" s="22" t="s">
        <v>51</v>
      </c>
      <c r="E40" s="23" t="s">
        <v>52</v>
      </c>
      <c r="F40" s="22" t="s">
        <v>53</v>
      </c>
      <c r="G40" s="11" t="s">
        <v>2</v>
      </c>
      <c r="H40" s="3" t="s">
        <v>3</v>
      </c>
      <c r="I40" s="4" t="s">
        <v>4</v>
      </c>
    </row>
    <row r="41" spans="1:15">
      <c r="A41" s="1" t="s">
        <v>28</v>
      </c>
      <c r="B41" s="1">
        <v>5004</v>
      </c>
      <c r="C41" s="1">
        <v>0</v>
      </c>
      <c r="D41" s="1">
        <v>200309</v>
      </c>
      <c r="E41" s="1">
        <v>500</v>
      </c>
    </row>
    <row r="42" spans="1:15">
      <c r="A42" s="1" t="s">
        <v>28</v>
      </c>
      <c r="B42" s="1">
        <v>5004</v>
      </c>
      <c r="C42" s="1">
        <v>1</v>
      </c>
      <c r="F42" s="1" t="s">
        <v>54</v>
      </c>
      <c r="G42" s="1">
        <v>205004</v>
      </c>
      <c r="H42" s="1" t="str">
        <f>INDEX([1]物品基础表!$A:$A,MATCH(G42,[1]物品基础表!$B:$B,0))</f>
        <v>太阳星君</v>
      </c>
      <c r="I42" s="1">
        <v>1</v>
      </c>
    </row>
    <row r="43" spans="1:15">
      <c r="A43" s="1" t="s">
        <v>28</v>
      </c>
      <c r="B43" s="1">
        <v>5004</v>
      </c>
      <c r="C43" s="1">
        <v>2</v>
      </c>
      <c r="F43" s="1" t="s">
        <v>55</v>
      </c>
      <c r="G43" s="1">
        <v>205000</v>
      </c>
      <c r="H43" s="1" t="str">
        <f>INDEX([1]物品基础表!$A:$A,MATCH(G43,[1]物品基础表!$B:$B,0))</f>
        <v>战灵进阶丹</v>
      </c>
      <c r="I43" s="1">
        <v>5</v>
      </c>
    </row>
    <row r="44" spans="1:15">
      <c r="A44" s="1" t="s">
        <v>28</v>
      </c>
      <c r="B44" s="1">
        <v>5004</v>
      </c>
      <c r="C44" s="1">
        <v>3</v>
      </c>
      <c r="F44" s="1" t="s">
        <v>56</v>
      </c>
      <c r="G44" s="1">
        <v>200005</v>
      </c>
      <c r="H44" s="1" t="str">
        <f>INDEX([1]物品基础表!$A:$A,MATCH(G44,[1]物品基础表!$B:$B,0))</f>
        <v>龙魂碎片</v>
      </c>
      <c r="I44" s="1">
        <v>100</v>
      </c>
    </row>
    <row r="45" spans="1:15">
      <c r="A45" s="1" t="s">
        <v>28</v>
      </c>
      <c r="B45" s="1">
        <v>5004</v>
      </c>
      <c r="C45" s="1">
        <v>4</v>
      </c>
      <c r="F45" s="1" t="s">
        <v>55</v>
      </c>
      <c r="G45" s="1">
        <v>200005</v>
      </c>
      <c r="H45" s="1" t="str">
        <f>INDEX([1]物品基础表!$A:$A,MATCH(G45,[1]物品基础表!$B:$B,0))</f>
        <v>龙魂碎片</v>
      </c>
      <c r="I45" s="1">
        <v>8</v>
      </c>
    </row>
    <row r="46" spans="1:15">
      <c r="A46" s="1" t="s">
        <v>28</v>
      </c>
      <c r="B46" s="1">
        <v>5004</v>
      </c>
      <c r="C46" s="1">
        <v>5</v>
      </c>
      <c r="F46" s="1" t="s">
        <v>55</v>
      </c>
      <c r="G46" s="1">
        <v>205000</v>
      </c>
      <c r="H46" s="1" t="str">
        <f>INDEX([1]物品基础表!$A:$A,MATCH(G46,[1]物品基础表!$B:$B,0))</f>
        <v>战灵进阶丹</v>
      </c>
      <c r="I46" s="1">
        <v>10</v>
      </c>
    </row>
    <row r="47" spans="1:15">
      <c r="A47" s="1" t="s">
        <v>28</v>
      </c>
      <c r="B47" s="1">
        <v>5004</v>
      </c>
      <c r="C47" s="1">
        <v>6</v>
      </c>
      <c r="F47" s="1" t="s">
        <v>57</v>
      </c>
      <c r="G47" s="1">
        <v>204158</v>
      </c>
      <c r="H47" s="1" t="str">
        <f>INDEX([1]物品基础表!$A:$A,MATCH(G47,[1]物品基础表!$B:$B,0))</f>
        <v>5阶战灵装备</v>
      </c>
      <c r="I47" s="1">
        <v>1</v>
      </c>
    </row>
    <row r="48" spans="1:15">
      <c r="A48" s="1" t="s">
        <v>28</v>
      </c>
      <c r="B48" s="1">
        <v>5004</v>
      </c>
      <c r="C48" s="1">
        <v>7</v>
      </c>
      <c r="F48" s="1" t="s">
        <v>55</v>
      </c>
      <c r="G48" s="1">
        <v>200001</v>
      </c>
      <c r="H48" s="1" t="str">
        <f>INDEX([1]物品基础表!$A:$A,MATCH(G48,[1]物品基础表!$B:$B,0))</f>
        <v>羽毛</v>
      </c>
      <c r="I48" s="1">
        <v>8</v>
      </c>
    </row>
    <row r="49" spans="1:9">
      <c r="A49" s="1" t="s">
        <v>28</v>
      </c>
      <c r="B49" s="1">
        <v>5004</v>
      </c>
      <c r="C49" s="1">
        <v>8</v>
      </c>
      <c r="F49" s="1" t="s">
        <v>58</v>
      </c>
      <c r="G49" s="1">
        <v>204156</v>
      </c>
      <c r="H49" s="1" t="str">
        <f>INDEX([1]物品基础表!$A:$A,MATCH(G49,[1]物品基础表!$B:$B,0))</f>
        <v>3阶战灵装备</v>
      </c>
      <c r="I49" s="1">
        <v>1</v>
      </c>
    </row>
    <row r="50" spans="1:9">
      <c r="A50" s="1" t="s">
        <v>28</v>
      </c>
      <c r="B50" s="1">
        <v>5004</v>
      </c>
      <c r="C50" s="1">
        <v>9</v>
      </c>
      <c r="F50" s="1" t="s">
        <v>55</v>
      </c>
      <c r="G50" s="1">
        <v>500005</v>
      </c>
      <c r="H50" s="1" t="str">
        <f>INDEX([1]物品基础表!$A:$A,MATCH(G50,[1]物品基础表!$B:$B,0))</f>
        <v>战纹精华-红</v>
      </c>
      <c r="I50" s="1">
        <v>4</v>
      </c>
    </row>
    <row r="51" spans="1:9">
      <c r="A51" s="1" t="s">
        <v>28</v>
      </c>
      <c r="B51" s="1">
        <v>5004</v>
      </c>
      <c r="C51" s="1">
        <v>10</v>
      </c>
      <c r="F51" s="1" t="s">
        <v>59</v>
      </c>
      <c r="G51" s="1">
        <v>200015</v>
      </c>
      <c r="H51" s="1" t="str">
        <f>INDEX([1]物品基础表!$A:$A,MATCH(G51,[1]物品基础表!$B:$B,0))</f>
        <v>特戒碎片</v>
      </c>
      <c r="I51" s="1">
        <v>1000</v>
      </c>
    </row>
  </sheetData>
  <mergeCells count="4">
    <mergeCell ref="D9:I9"/>
    <mergeCell ref="K18:P18"/>
    <mergeCell ref="G30:O30"/>
    <mergeCell ref="G39:I39"/>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64"/>
  <sheetViews>
    <sheetView topLeftCell="A11" workbookViewId="0">
      <selection activeCell="I15" sqref="I15"/>
    </sheetView>
  </sheetViews>
  <sheetFormatPr defaultRowHeight="13.5"/>
  <cols>
    <col min="1" max="6" width="9" style="1"/>
    <col min="7" max="7" width="21.375" style="1" bestFit="1" customWidth="1"/>
    <col min="8" max="9" width="9" style="1"/>
    <col min="10" max="10" width="11" style="1" bestFit="1" customWidth="1"/>
    <col min="11" max="12" width="9" style="1"/>
    <col min="13" max="13" width="11" style="1" bestFit="1" customWidth="1"/>
    <col min="14" max="16384" width="9" style="1"/>
  </cols>
  <sheetData>
    <row r="1" spans="1:17">
      <c r="F1" s="107" t="s">
        <v>61</v>
      </c>
      <c r="G1" s="108"/>
      <c r="H1" s="108"/>
      <c r="I1" s="108"/>
      <c r="J1" s="108"/>
      <c r="K1" s="108"/>
      <c r="L1" s="108"/>
      <c r="M1" s="108"/>
      <c r="N1" s="108"/>
      <c r="O1" s="108"/>
      <c r="P1" s="108"/>
      <c r="Q1" s="108"/>
    </row>
    <row r="2" spans="1:17">
      <c r="A2" s="3" t="s">
        <v>63</v>
      </c>
      <c r="B2" s="4" t="s">
        <v>0</v>
      </c>
      <c r="C2" s="4" t="s">
        <v>33</v>
      </c>
      <c r="D2" s="4" t="s">
        <v>60</v>
      </c>
      <c r="E2" s="4" t="s">
        <v>62</v>
      </c>
      <c r="F2" s="4" t="s">
        <v>2</v>
      </c>
      <c r="G2" s="4" t="s">
        <v>3</v>
      </c>
      <c r="H2" s="4" t="s">
        <v>4</v>
      </c>
      <c r="I2" s="4" t="s">
        <v>2</v>
      </c>
      <c r="J2" s="4" t="s">
        <v>3</v>
      </c>
      <c r="K2" s="4" t="s">
        <v>4</v>
      </c>
      <c r="L2" s="4" t="s">
        <v>2</v>
      </c>
      <c r="M2" s="4" t="s">
        <v>3</v>
      </c>
      <c r="N2" s="4" t="s">
        <v>4</v>
      </c>
      <c r="O2" s="4" t="s">
        <v>2</v>
      </c>
      <c r="P2" s="4" t="s">
        <v>3</v>
      </c>
      <c r="Q2" s="4" t="s">
        <v>4</v>
      </c>
    </row>
    <row r="3" spans="1:17">
      <c r="A3" s="1">
        <v>20</v>
      </c>
      <c r="B3" s="1">
        <v>1</v>
      </c>
      <c r="C3" s="1">
        <v>0</v>
      </c>
      <c r="D3" s="1">
        <v>1100</v>
      </c>
      <c r="E3" s="1">
        <v>8888</v>
      </c>
      <c r="F3" s="1">
        <v>2</v>
      </c>
      <c r="G3" s="1" t="s">
        <v>64</v>
      </c>
      <c r="H3" s="1">
        <v>500</v>
      </c>
      <c r="I3" s="1">
        <v>200003</v>
      </c>
      <c r="J3" s="1" t="str">
        <f>INDEX([1]物品基础表!$A:$A,MATCH(I3,[1]物品基础表!$B:$B,0))</f>
        <v>铸造晶石</v>
      </c>
      <c r="K3" s="1">
        <v>20</v>
      </c>
      <c r="L3" s="1">
        <v>200137</v>
      </c>
      <c r="M3" s="1" t="str">
        <f>INDEX([1]物品基础表!$A:$A,MATCH(L3,[1]物品基础表!$B:$B,0))</f>
        <v>直升1级丹</v>
      </c>
      <c r="N3" s="1">
        <v>1</v>
      </c>
      <c r="O3" s="1">
        <v>200318</v>
      </c>
      <c r="P3" s="1" t="str">
        <f>INDEX([1]物品基础表!$A:$A,MATCH(O3,[1]物品基础表!$B:$B,0))</f>
        <v>威望令牌</v>
      </c>
      <c r="Q3" s="1">
        <v>10</v>
      </c>
    </row>
    <row r="4" spans="1:17">
      <c r="A4" s="1">
        <v>50</v>
      </c>
      <c r="B4" s="1">
        <v>1</v>
      </c>
      <c r="C4" s="1">
        <v>1</v>
      </c>
      <c r="D4" s="1">
        <v>5000</v>
      </c>
      <c r="E4" s="1">
        <v>12888</v>
      </c>
      <c r="F4" s="1">
        <v>200165</v>
      </c>
      <c r="G4" s="1" t="str">
        <f>INDEX([1]物品基础表!$A:$A,MATCH(F4,[1]物品基础表!$B:$B,0))</f>
        <v>寻宝卷</v>
      </c>
      <c r="H4" s="1">
        <v>1</v>
      </c>
      <c r="I4" s="1">
        <v>200003</v>
      </c>
      <c r="J4" s="1" t="str">
        <f>INDEX([1]物品基础表!$A:$A,MATCH(I4,[1]物品基础表!$B:$B,0))</f>
        <v>铸造晶石</v>
      </c>
      <c r="K4" s="1">
        <v>30</v>
      </c>
      <c r="L4" s="1">
        <v>200137</v>
      </c>
      <c r="M4" s="1" t="str">
        <f>INDEX([1]物品基础表!$A:$A,MATCH(L4,[1]物品基础表!$B:$B,0))</f>
        <v>直升1级丹</v>
      </c>
      <c r="N4" s="1">
        <v>1</v>
      </c>
      <c r="O4" s="1">
        <v>200004</v>
      </c>
      <c r="P4" s="1" t="str">
        <f>INDEX([1]物品基础表!$A:$A,MATCH(O4,[1]物品基础表!$B:$B,0))</f>
        <v>经脉丹</v>
      </c>
      <c r="Q4" s="1">
        <v>30</v>
      </c>
    </row>
    <row r="5" spans="1:17">
      <c r="A5" s="1">
        <v>100</v>
      </c>
      <c r="B5" s="1">
        <v>1</v>
      </c>
      <c r="C5" s="1">
        <v>2</v>
      </c>
      <c r="D5" s="1">
        <v>10000</v>
      </c>
      <c r="E5" s="1">
        <v>32888</v>
      </c>
      <c r="F5" s="1">
        <v>201006</v>
      </c>
      <c r="G5" s="1" t="str">
        <f>INDEX([1]物品基础表!$A:$A,MATCH(F5,[1]物品基础表!$B:$B,0))</f>
        <v>橙色图鉴包·美女如云</v>
      </c>
      <c r="H5" s="1">
        <v>1</v>
      </c>
      <c r="I5" s="1">
        <v>200003</v>
      </c>
      <c r="J5" s="1" t="str">
        <f>INDEX([1]物品基础表!$A:$A,MATCH(I5,[1]物品基础表!$B:$B,0))</f>
        <v>铸造晶石</v>
      </c>
      <c r="K5" s="1">
        <v>60</v>
      </c>
      <c r="L5" s="1">
        <v>200004</v>
      </c>
      <c r="M5" s="1" t="str">
        <f>INDEX([1]物品基础表!$A:$A,MATCH(L5,[1]物品基础表!$B:$B,0))</f>
        <v>经脉丹</v>
      </c>
      <c r="N5" s="1">
        <v>10</v>
      </c>
      <c r="O5" s="1">
        <v>1</v>
      </c>
      <c r="P5" s="1" t="s">
        <v>6</v>
      </c>
      <c r="Q5" s="1">
        <v>750000</v>
      </c>
    </row>
    <row r="6" spans="1:17">
      <c r="A6" s="1">
        <v>200</v>
      </c>
      <c r="B6" s="1">
        <v>1</v>
      </c>
      <c r="C6" s="1">
        <v>3</v>
      </c>
      <c r="D6" s="1">
        <v>20000</v>
      </c>
      <c r="E6" s="1">
        <v>58888</v>
      </c>
      <c r="F6" s="1">
        <v>201006</v>
      </c>
      <c r="G6" s="1" t="str">
        <f>INDEX([1]物品基础表!$A:$A,MATCH(F6,[1]物品基础表!$B:$B,0))</f>
        <v>橙色图鉴包·美女如云</v>
      </c>
      <c r="H6" s="1">
        <v>1</v>
      </c>
      <c r="I6" s="1">
        <v>200003</v>
      </c>
      <c r="J6" s="1" t="str">
        <f>INDEX([1]物品基础表!$A:$A,MATCH(I6,[1]物品基础表!$B:$B,0))</f>
        <v>铸造晶石</v>
      </c>
      <c r="K6" s="1">
        <v>60</v>
      </c>
      <c r="L6" s="1">
        <v>200004</v>
      </c>
      <c r="M6" s="1" t="str">
        <f>INDEX([1]物品基础表!$A:$A,MATCH(L6,[1]物品基础表!$B:$B,0))</f>
        <v>经脉丹</v>
      </c>
      <c r="N6" s="1">
        <v>20</v>
      </c>
      <c r="O6" s="1">
        <v>1</v>
      </c>
      <c r="P6" s="1" t="s">
        <v>6</v>
      </c>
      <c r="Q6" s="1">
        <v>1000000</v>
      </c>
    </row>
    <row r="7" spans="1:17">
      <c r="A7" s="1">
        <v>500</v>
      </c>
      <c r="B7" s="1">
        <v>1</v>
      </c>
      <c r="C7" s="1">
        <v>4</v>
      </c>
      <c r="D7" s="1">
        <v>50000</v>
      </c>
      <c r="E7" s="1">
        <v>88888</v>
      </c>
      <c r="F7" s="1">
        <v>201007</v>
      </c>
      <c r="G7" s="1" t="str">
        <f>INDEX([1]物品基础表!$A:$A,MATCH(F7,[1]物品基础表!$B:$B,0))</f>
        <v>红色图鉴包·美女如云</v>
      </c>
      <c r="H7" s="1">
        <v>1</v>
      </c>
      <c r="I7" s="1">
        <v>200165</v>
      </c>
      <c r="J7" s="1" t="str">
        <f>INDEX([1]物品基础表!$A:$A,MATCH(I7,[1]物品基础表!$B:$B,0))</f>
        <v>寻宝卷</v>
      </c>
      <c r="K7" s="1">
        <v>5</v>
      </c>
      <c r="L7" s="1">
        <v>200004</v>
      </c>
      <c r="M7" s="1" t="str">
        <f>INDEX([1]物品基础表!$A:$A,MATCH(L7,[1]物品基础表!$B:$B,0))</f>
        <v>经脉丹</v>
      </c>
      <c r="N7" s="1">
        <v>30</v>
      </c>
      <c r="O7" s="1">
        <v>1</v>
      </c>
      <c r="P7" s="1" t="s">
        <v>6</v>
      </c>
      <c r="Q7" s="1">
        <v>1250000</v>
      </c>
    </row>
    <row r="8" spans="1:17">
      <c r="A8" s="1">
        <v>1000</v>
      </c>
      <c r="B8" s="1">
        <v>1</v>
      </c>
      <c r="C8" s="1">
        <v>5</v>
      </c>
      <c r="D8" s="1">
        <v>100000</v>
      </c>
      <c r="E8" s="1">
        <v>118888</v>
      </c>
      <c r="F8" s="1">
        <v>201007</v>
      </c>
      <c r="G8" s="1" t="str">
        <f>INDEX([1]物品基础表!$A:$A,MATCH(F8,[1]物品基础表!$B:$B,0))</f>
        <v>红色图鉴包·美女如云</v>
      </c>
      <c r="H8" s="1">
        <v>1</v>
      </c>
      <c r="I8" s="1">
        <v>200165</v>
      </c>
      <c r="J8" s="1" t="str">
        <f>INDEX([1]物品基础表!$A:$A,MATCH(I8,[1]物品基础表!$B:$B,0))</f>
        <v>寻宝卷</v>
      </c>
      <c r="K8" s="1">
        <v>5</v>
      </c>
      <c r="L8" s="1">
        <v>200004</v>
      </c>
      <c r="M8" s="1" t="str">
        <f>INDEX([1]物品基础表!$A:$A,MATCH(L8,[1]物品基础表!$B:$B,0))</f>
        <v>经脉丹</v>
      </c>
      <c r="N8" s="1">
        <v>40</v>
      </c>
      <c r="O8" s="1">
        <v>1</v>
      </c>
      <c r="P8" s="1" t="s">
        <v>6</v>
      </c>
      <c r="Q8" s="1">
        <v>1500000</v>
      </c>
    </row>
    <row r="9" spans="1:17">
      <c r="A9" s="1">
        <v>2000</v>
      </c>
      <c r="B9" s="1">
        <v>1</v>
      </c>
      <c r="C9" s="1">
        <v>6</v>
      </c>
      <c r="D9" s="1">
        <v>200000</v>
      </c>
      <c r="E9" s="1">
        <v>188888</v>
      </c>
      <c r="F9" s="1">
        <v>201007</v>
      </c>
      <c r="G9" s="1" t="str">
        <f>INDEX([1]物品基础表!$A:$A,MATCH(F9,[1]物品基础表!$B:$B,0))</f>
        <v>红色图鉴包·美女如云</v>
      </c>
      <c r="H9" s="1">
        <v>2</v>
      </c>
      <c r="I9" s="1">
        <v>200165</v>
      </c>
      <c r="J9" s="1" t="str">
        <f>INDEX([1]物品基础表!$A:$A,MATCH(I9,[1]物品基础表!$B:$B,0))</f>
        <v>寻宝卷</v>
      </c>
      <c r="K9" s="1">
        <v>5</v>
      </c>
      <c r="L9" s="1">
        <v>200004</v>
      </c>
      <c r="M9" s="1" t="str">
        <f>INDEX([1]物品基础表!$A:$A,MATCH(L9,[1]物品基础表!$B:$B,0))</f>
        <v>经脉丹</v>
      </c>
      <c r="N9" s="1">
        <v>50</v>
      </c>
      <c r="O9" s="1">
        <v>1</v>
      </c>
      <c r="P9" s="1" t="s">
        <v>6</v>
      </c>
      <c r="Q9" s="1">
        <v>2000000</v>
      </c>
    </row>
    <row r="10" spans="1:17">
      <c r="A10" s="1">
        <v>5000</v>
      </c>
      <c r="B10" s="1">
        <v>1</v>
      </c>
      <c r="C10" s="1">
        <v>7</v>
      </c>
      <c r="D10" s="1">
        <v>500000</v>
      </c>
      <c r="E10" s="1">
        <v>258888</v>
      </c>
      <c r="F10" s="1">
        <v>201008</v>
      </c>
      <c r="G10" s="1" t="str">
        <f>INDEX([1]物品基础表!$A:$A,MATCH(F10,[1]物品基础表!$B:$B,0))</f>
        <v>金色图鉴包·美女如云</v>
      </c>
      <c r="H10" s="1">
        <v>1</v>
      </c>
      <c r="I10" s="1">
        <v>200165</v>
      </c>
      <c r="J10" s="1" t="str">
        <f>INDEX([1]物品基础表!$A:$A,MATCH(I10,[1]物品基础表!$B:$B,0))</f>
        <v>寻宝卷</v>
      </c>
      <c r="K10" s="1">
        <v>10</v>
      </c>
      <c r="L10" s="1">
        <v>200004</v>
      </c>
      <c r="M10" s="1" t="str">
        <f>INDEX([1]物品基础表!$A:$A,MATCH(L10,[1]物品基础表!$B:$B,0))</f>
        <v>经脉丹</v>
      </c>
      <c r="N10" s="1">
        <v>100</v>
      </c>
      <c r="O10" s="1">
        <v>1</v>
      </c>
      <c r="P10" s="1" t="s">
        <v>6</v>
      </c>
      <c r="Q10" s="1">
        <v>3000000</v>
      </c>
    </row>
    <row r="11" spans="1:17">
      <c r="A11" s="1">
        <v>10</v>
      </c>
      <c r="B11" s="1">
        <v>2</v>
      </c>
      <c r="C11" s="1">
        <v>0</v>
      </c>
      <c r="D11" s="1">
        <v>1000</v>
      </c>
      <c r="E11" s="1">
        <v>3888</v>
      </c>
      <c r="F11" s="1">
        <v>2</v>
      </c>
      <c r="G11" s="1" t="s">
        <v>64</v>
      </c>
      <c r="H11" s="1">
        <v>1000</v>
      </c>
      <c r="I11" s="1">
        <v>200009</v>
      </c>
      <c r="J11" s="1" t="str">
        <f>INDEX([1]物品基础表!$A:$A,MATCH(I11,[1]物品基础表!$B:$B,0))</f>
        <v>高级转生丹</v>
      </c>
      <c r="K11" s="1">
        <v>1</v>
      </c>
      <c r="L11" s="1">
        <v>200005</v>
      </c>
      <c r="M11" s="1" t="str">
        <f>INDEX([1]物品基础表!$A:$A,MATCH(L11,[1]物品基础表!$B:$B,0))</f>
        <v>龙魂碎片</v>
      </c>
      <c r="N11" s="1">
        <v>10</v>
      </c>
      <c r="O11" s="1">
        <v>200318</v>
      </c>
      <c r="P11" s="1" t="str">
        <f>INDEX([1]物品基础表!$A:$A,MATCH(O11,[1]物品基础表!$B:$B,0))</f>
        <v>威望令牌</v>
      </c>
      <c r="Q11" s="1">
        <v>10</v>
      </c>
    </row>
    <row r="12" spans="1:17">
      <c r="A12" s="1">
        <v>20</v>
      </c>
      <c r="B12" s="1">
        <v>2</v>
      </c>
      <c r="C12" s="1">
        <v>1</v>
      </c>
      <c r="D12" s="1">
        <v>2000</v>
      </c>
      <c r="E12" s="1">
        <v>8888</v>
      </c>
      <c r="F12" s="1">
        <v>200009</v>
      </c>
      <c r="G12" s="1" t="str">
        <f>INDEX([1]物品基础表!$A:$A,MATCH(F12,[1]物品基础表!$B:$B,0))</f>
        <v>高级转生丹</v>
      </c>
      <c r="H12" s="1">
        <v>1</v>
      </c>
      <c r="I12" s="1">
        <v>200005</v>
      </c>
      <c r="J12" s="1" t="str">
        <f>INDEX([1]物品基础表!$A:$A,MATCH(I12,[1]物品基础表!$B:$B,0))</f>
        <v>龙魂碎片</v>
      </c>
      <c r="K12" s="1">
        <v>10</v>
      </c>
      <c r="L12" s="1">
        <v>200004</v>
      </c>
      <c r="M12" s="1" t="str">
        <f>INDEX([1]物品基础表!$A:$A,MATCH(L12,[1]物品基础表!$B:$B,0))</f>
        <v>经脉丹</v>
      </c>
      <c r="N12" s="1">
        <v>10</v>
      </c>
      <c r="O12" s="1">
        <v>1</v>
      </c>
      <c r="P12" s="1" t="s">
        <v>6</v>
      </c>
      <c r="Q12" s="1">
        <v>250000</v>
      </c>
    </row>
    <row r="13" spans="1:17">
      <c r="A13" s="1">
        <v>50</v>
      </c>
      <c r="B13" s="1">
        <v>2</v>
      </c>
      <c r="C13" s="1">
        <v>2</v>
      </c>
      <c r="D13" s="1">
        <v>5000</v>
      </c>
      <c r="E13" s="1">
        <v>12888</v>
      </c>
      <c r="F13" s="1">
        <v>200009</v>
      </c>
      <c r="G13" s="1" t="str">
        <f>INDEX([1]物品基础表!$A:$A,MATCH(F13,[1]物品基础表!$B:$B,0))</f>
        <v>高级转生丹</v>
      </c>
      <c r="H13" s="1">
        <v>1</v>
      </c>
      <c r="I13" s="1">
        <v>200005</v>
      </c>
      <c r="J13" s="1" t="str">
        <f>INDEX([1]物品基础表!$A:$A,MATCH(I13,[1]物品基础表!$B:$B,0))</f>
        <v>龙魂碎片</v>
      </c>
      <c r="K13" s="1">
        <v>15</v>
      </c>
      <c r="L13" s="1">
        <v>200004</v>
      </c>
      <c r="M13" s="1" t="str">
        <f>INDEX([1]物品基础表!$A:$A,MATCH(L13,[1]物品基础表!$B:$B,0))</f>
        <v>经脉丹</v>
      </c>
      <c r="N13" s="1">
        <v>30</v>
      </c>
      <c r="O13" s="1">
        <v>1</v>
      </c>
      <c r="P13" s="1" t="s">
        <v>6</v>
      </c>
      <c r="Q13" s="1">
        <v>500000</v>
      </c>
    </row>
    <row r="14" spans="1:17">
      <c r="A14" s="1">
        <v>100</v>
      </c>
      <c r="B14" s="1">
        <v>2</v>
      </c>
      <c r="C14" s="1">
        <v>3</v>
      </c>
      <c r="D14" s="1">
        <v>10000</v>
      </c>
      <c r="E14" s="1">
        <v>32888</v>
      </c>
      <c r="F14" s="1">
        <v>201006</v>
      </c>
      <c r="G14" s="1" t="str">
        <f>INDEX([1]物品基础表!$A:$A,MATCH(F14,[1]物品基础表!$B:$B,0))</f>
        <v>橙色图鉴包·美女如云</v>
      </c>
      <c r="H14" s="1">
        <v>1</v>
      </c>
      <c r="I14" s="1">
        <v>200005</v>
      </c>
      <c r="J14" s="1" t="str">
        <f>INDEX([1]物品基础表!$A:$A,MATCH(I14,[1]物品基础表!$B:$B,0))</f>
        <v>龙魂碎片</v>
      </c>
      <c r="K14" s="1">
        <v>30</v>
      </c>
      <c r="L14" s="1">
        <v>200004</v>
      </c>
      <c r="M14" s="1" t="str">
        <f>INDEX([1]物品基础表!$A:$A,MATCH(L14,[1]物品基础表!$B:$B,0))</f>
        <v>经脉丹</v>
      </c>
      <c r="N14" s="1">
        <v>10</v>
      </c>
      <c r="O14" s="1">
        <v>1</v>
      </c>
      <c r="P14" s="1" t="s">
        <v>6</v>
      </c>
      <c r="Q14" s="1">
        <v>750000</v>
      </c>
    </row>
    <row r="15" spans="1:17">
      <c r="A15" s="1">
        <v>200</v>
      </c>
      <c r="B15" s="1">
        <v>2</v>
      </c>
      <c r="C15" s="1">
        <v>4</v>
      </c>
      <c r="D15" s="1">
        <v>20000</v>
      </c>
      <c r="E15" s="1">
        <v>58888</v>
      </c>
      <c r="F15" s="1">
        <v>201006</v>
      </c>
      <c r="G15" s="1" t="str">
        <f>INDEX([1]物品基础表!$A:$A,MATCH(F15,[1]物品基础表!$B:$B,0))</f>
        <v>橙色图鉴包·美女如云</v>
      </c>
      <c r="H15" s="1">
        <v>1</v>
      </c>
      <c r="I15" s="1">
        <v>200005</v>
      </c>
      <c r="J15" s="1" t="str">
        <f>INDEX([1]物品基础表!$A:$A,MATCH(I15,[1]物品基础表!$B:$B,0))</f>
        <v>龙魂碎片</v>
      </c>
      <c r="K15" s="1">
        <v>30</v>
      </c>
      <c r="L15" s="1">
        <v>200004</v>
      </c>
      <c r="M15" s="1" t="str">
        <f>INDEX([1]物品基础表!$A:$A,MATCH(L15,[1]物品基础表!$B:$B,0))</f>
        <v>经脉丹</v>
      </c>
      <c r="N15" s="1">
        <v>20</v>
      </c>
      <c r="O15" s="1">
        <v>1</v>
      </c>
      <c r="P15" s="1" t="s">
        <v>6</v>
      </c>
      <c r="Q15" s="1">
        <v>1000000</v>
      </c>
    </row>
    <row r="16" spans="1:17">
      <c r="A16" s="1">
        <v>500</v>
      </c>
      <c r="B16" s="1">
        <v>2</v>
      </c>
      <c r="C16" s="1">
        <v>5</v>
      </c>
      <c r="D16" s="1">
        <v>50000</v>
      </c>
      <c r="E16" s="1">
        <v>88888</v>
      </c>
      <c r="F16" s="1">
        <v>201007</v>
      </c>
      <c r="G16" s="1" t="str">
        <f>INDEX([1]物品基础表!$A:$A,MATCH(F16,[1]物品基础表!$B:$B,0))</f>
        <v>红色图鉴包·美女如云</v>
      </c>
      <c r="H16" s="1">
        <v>1</v>
      </c>
      <c r="I16" s="1">
        <v>200165</v>
      </c>
      <c r="J16" s="1" t="str">
        <f>INDEX([1]物品基础表!$A:$A,MATCH(I16,[1]物品基础表!$B:$B,0))</f>
        <v>寻宝卷</v>
      </c>
      <c r="K16" s="1">
        <v>5</v>
      </c>
      <c r="L16" s="1">
        <v>200004</v>
      </c>
      <c r="M16" s="1" t="str">
        <f>INDEX([1]物品基础表!$A:$A,MATCH(L16,[1]物品基础表!$B:$B,0))</f>
        <v>经脉丹</v>
      </c>
      <c r="N16" s="1">
        <v>30</v>
      </c>
      <c r="O16" s="1">
        <v>1</v>
      </c>
      <c r="P16" s="1" t="s">
        <v>6</v>
      </c>
      <c r="Q16" s="1">
        <v>1250000</v>
      </c>
    </row>
    <row r="17" spans="1:17">
      <c r="A17" s="1">
        <v>1000</v>
      </c>
      <c r="B17" s="1">
        <v>2</v>
      </c>
      <c r="C17" s="1">
        <v>6</v>
      </c>
      <c r="D17" s="1">
        <v>100000</v>
      </c>
      <c r="E17" s="1">
        <v>118888</v>
      </c>
      <c r="F17" s="1">
        <v>201007</v>
      </c>
      <c r="G17" s="1" t="str">
        <f>INDEX([1]物品基础表!$A:$A,MATCH(F17,[1]物品基础表!$B:$B,0))</f>
        <v>红色图鉴包·美女如云</v>
      </c>
      <c r="H17" s="1">
        <v>1</v>
      </c>
      <c r="I17" s="1">
        <v>200165</v>
      </c>
      <c r="J17" s="1" t="str">
        <f>INDEX([1]物品基础表!$A:$A,MATCH(I17,[1]物品基础表!$B:$B,0))</f>
        <v>寻宝卷</v>
      </c>
      <c r="K17" s="1">
        <v>5</v>
      </c>
      <c r="L17" s="1">
        <v>200004</v>
      </c>
      <c r="M17" s="1" t="str">
        <f>INDEX([1]物品基础表!$A:$A,MATCH(L17,[1]物品基础表!$B:$B,0))</f>
        <v>经脉丹</v>
      </c>
      <c r="N17" s="1">
        <v>40</v>
      </c>
      <c r="O17" s="1">
        <v>1</v>
      </c>
      <c r="P17" s="1" t="s">
        <v>6</v>
      </c>
      <c r="Q17" s="1">
        <v>1500000</v>
      </c>
    </row>
    <row r="18" spans="1:17">
      <c r="A18" s="1">
        <v>2000</v>
      </c>
      <c r="B18" s="1">
        <v>2</v>
      </c>
      <c r="C18" s="1">
        <v>7</v>
      </c>
      <c r="D18" s="1">
        <v>200000</v>
      </c>
      <c r="E18" s="1">
        <v>188888</v>
      </c>
      <c r="F18" s="1">
        <v>201007</v>
      </c>
      <c r="G18" s="1" t="str">
        <f>INDEX([1]物品基础表!$A:$A,MATCH(F18,[1]物品基础表!$B:$B,0))</f>
        <v>红色图鉴包·美女如云</v>
      </c>
      <c r="H18" s="1">
        <v>2</v>
      </c>
      <c r="I18" s="1">
        <v>200165</v>
      </c>
      <c r="J18" s="1" t="str">
        <f>INDEX([1]物品基础表!$A:$A,MATCH(I18,[1]物品基础表!$B:$B,0))</f>
        <v>寻宝卷</v>
      </c>
      <c r="K18" s="1">
        <v>5</v>
      </c>
      <c r="L18" s="1">
        <v>200004</v>
      </c>
      <c r="M18" s="1" t="str">
        <f>INDEX([1]物品基础表!$A:$A,MATCH(L18,[1]物品基础表!$B:$B,0))</f>
        <v>经脉丹</v>
      </c>
      <c r="N18" s="1">
        <v>50</v>
      </c>
      <c r="O18" s="1">
        <v>1</v>
      </c>
      <c r="P18" s="1" t="s">
        <v>6</v>
      </c>
      <c r="Q18" s="1">
        <v>2000000</v>
      </c>
    </row>
    <row r="19" spans="1:17">
      <c r="A19" s="1">
        <v>5000</v>
      </c>
      <c r="B19" s="1">
        <v>2</v>
      </c>
      <c r="C19" s="1">
        <v>8</v>
      </c>
      <c r="D19" s="1">
        <v>500000</v>
      </c>
      <c r="E19" s="1">
        <v>258888</v>
      </c>
      <c r="F19" s="1">
        <v>201008</v>
      </c>
      <c r="G19" s="1" t="str">
        <f>INDEX([1]物品基础表!$A:$A,MATCH(F19,[1]物品基础表!$B:$B,0))</f>
        <v>金色图鉴包·美女如云</v>
      </c>
      <c r="H19" s="1">
        <v>1</v>
      </c>
      <c r="I19" s="1">
        <v>200165</v>
      </c>
      <c r="J19" s="1" t="str">
        <f>INDEX([1]物品基础表!$A:$A,MATCH(I19,[1]物品基础表!$B:$B,0))</f>
        <v>寻宝卷</v>
      </c>
      <c r="K19" s="1">
        <v>10</v>
      </c>
      <c r="L19" s="1">
        <v>200004</v>
      </c>
      <c r="M19" s="1" t="str">
        <f>INDEX([1]物品基础表!$A:$A,MATCH(L19,[1]物品基础表!$B:$B,0))</f>
        <v>经脉丹</v>
      </c>
      <c r="N19" s="1">
        <v>100</v>
      </c>
      <c r="O19" s="1">
        <v>1</v>
      </c>
      <c r="P19" s="1" t="s">
        <v>6</v>
      </c>
      <c r="Q19" s="1">
        <v>3000000</v>
      </c>
    </row>
    <row r="20" spans="1:17">
      <c r="A20" s="1">
        <v>10</v>
      </c>
      <c r="B20" s="1">
        <v>3</v>
      </c>
      <c r="C20" s="1">
        <v>0</v>
      </c>
      <c r="D20" s="1">
        <v>1000</v>
      </c>
      <c r="E20" s="1">
        <v>3888</v>
      </c>
      <c r="F20" s="1">
        <v>2</v>
      </c>
      <c r="G20" s="1" t="s">
        <v>64</v>
      </c>
      <c r="H20" s="1">
        <v>1000</v>
      </c>
      <c r="I20" s="1">
        <v>200009</v>
      </c>
      <c r="J20" s="1" t="str">
        <f>INDEX([1]物品基础表!$A:$A,MATCH(I20,[1]物品基础表!$B:$B,0))</f>
        <v>高级转生丹</v>
      </c>
      <c r="K20" s="1">
        <v>1</v>
      </c>
      <c r="L20" s="1">
        <v>200001</v>
      </c>
      <c r="M20" s="1" t="str">
        <f>INDEX([1]物品基础表!$A:$A,MATCH(L20,[1]物品基础表!$B:$B,0))</f>
        <v>羽毛</v>
      </c>
      <c r="N20" s="1">
        <v>10</v>
      </c>
      <c r="O20" s="1">
        <v>200318</v>
      </c>
      <c r="P20" s="1" t="str">
        <f>INDEX([1]物品基础表!$A:$A,MATCH(O20,[1]物品基础表!$B:$B,0))</f>
        <v>威望令牌</v>
      </c>
      <c r="Q20" s="1">
        <v>10</v>
      </c>
    </row>
    <row r="21" spans="1:17">
      <c r="A21" s="1">
        <v>20</v>
      </c>
      <c r="B21" s="1">
        <v>3</v>
      </c>
      <c r="C21" s="1">
        <v>1</v>
      </c>
      <c r="D21" s="1">
        <v>2000</v>
      </c>
      <c r="E21" s="1">
        <v>8888</v>
      </c>
      <c r="F21" s="1">
        <v>200009</v>
      </c>
      <c r="G21" s="1" t="str">
        <f>INDEX([1]物品基础表!$A:$A,MATCH(F21,[1]物品基础表!$B:$B,0))</f>
        <v>高级转生丹</v>
      </c>
      <c r="H21" s="1">
        <v>1</v>
      </c>
      <c r="I21" s="1">
        <v>200001</v>
      </c>
      <c r="J21" s="1" t="str">
        <f>INDEX([1]物品基础表!$A:$A,MATCH(I21,[1]物品基础表!$B:$B,0))</f>
        <v>羽毛</v>
      </c>
      <c r="K21" s="1">
        <v>10</v>
      </c>
      <c r="L21" s="1">
        <v>200004</v>
      </c>
      <c r="M21" s="1" t="str">
        <f>INDEX([1]物品基础表!$A:$A,MATCH(L21,[1]物品基础表!$B:$B,0))</f>
        <v>经脉丹</v>
      </c>
      <c r="N21" s="1">
        <v>10</v>
      </c>
      <c r="O21" s="1">
        <v>1</v>
      </c>
      <c r="P21" s="1" t="s">
        <v>6</v>
      </c>
      <c r="Q21" s="1">
        <v>250000</v>
      </c>
    </row>
    <row r="22" spans="1:17">
      <c r="A22" s="1">
        <v>50</v>
      </c>
      <c r="B22" s="1">
        <v>3</v>
      </c>
      <c r="C22" s="1">
        <v>2</v>
      </c>
      <c r="D22" s="1">
        <v>5000</v>
      </c>
      <c r="E22" s="1">
        <v>12888</v>
      </c>
      <c r="F22" s="1">
        <v>200009</v>
      </c>
      <c r="G22" s="1" t="str">
        <f>INDEX([1]物品基础表!$A:$A,MATCH(F22,[1]物品基础表!$B:$B,0))</f>
        <v>高级转生丹</v>
      </c>
      <c r="H22" s="1">
        <v>1</v>
      </c>
      <c r="I22" s="1">
        <v>200001</v>
      </c>
      <c r="J22" s="1" t="str">
        <f>INDEX([1]物品基础表!$A:$A,MATCH(I22,[1]物品基础表!$B:$B,0))</f>
        <v>羽毛</v>
      </c>
      <c r="K22" s="1">
        <v>15</v>
      </c>
      <c r="L22" s="1">
        <v>200004</v>
      </c>
      <c r="M22" s="1" t="str">
        <f>INDEX([1]物品基础表!$A:$A,MATCH(L22,[1]物品基础表!$B:$B,0))</f>
        <v>经脉丹</v>
      </c>
      <c r="N22" s="1">
        <v>30</v>
      </c>
      <c r="O22" s="1">
        <v>1</v>
      </c>
      <c r="P22" s="1" t="s">
        <v>6</v>
      </c>
      <c r="Q22" s="1">
        <v>500000</v>
      </c>
    </row>
    <row r="23" spans="1:17">
      <c r="A23" s="1">
        <v>100</v>
      </c>
      <c r="B23" s="1">
        <v>3</v>
      </c>
      <c r="C23" s="1">
        <v>3</v>
      </c>
      <c r="D23" s="1">
        <v>10000</v>
      </c>
      <c r="E23" s="1">
        <v>32888</v>
      </c>
      <c r="F23" s="1">
        <v>201006</v>
      </c>
      <c r="G23" s="1" t="str">
        <f>INDEX([1]物品基础表!$A:$A,MATCH(F23,[1]物品基础表!$B:$B,0))</f>
        <v>橙色图鉴包·美女如云</v>
      </c>
      <c r="H23" s="1">
        <v>1</v>
      </c>
      <c r="I23" s="1">
        <v>200001</v>
      </c>
      <c r="J23" s="1" t="str">
        <f>INDEX([1]物品基础表!$A:$A,MATCH(I23,[1]物品基础表!$B:$B,0))</f>
        <v>羽毛</v>
      </c>
      <c r="K23" s="1">
        <v>30</v>
      </c>
      <c r="L23" s="1">
        <v>200004</v>
      </c>
      <c r="M23" s="1" t="str">
        <f>INDEX([1]物品基础表!$A:$A,MATCH(L23,[1]物品基础表!$B:$B,0))</f>
        <v>经脉丹</v>
      </c>
      <c r="N23" s="1">
        <v>10</v>
      </c>
      <c r="O23" s="1">
        <v>1</v>
      </c>
      <c r="P23" s="1" t="s">
        <v>6</v>
      </c>
      <c r="Q23" s="1">
        <v>750000</v>
      </c>
    </row>
    <row r="24" spans="1:17">
      <c r="A24" s="1">
        <v>200</v>
      </c>
      <c r="B24" s="1">
        <v>3</v>
      </c>
      <c r="C24" s="1">
        <v>4</v>
      </c>
      <c r="D24" s="1">
        <v>20000</v>
      </c>
      <c r="E24" s="1">
        <v>58888</v>
      </c>
      <c r="F24" s="1">
        <v>201006</v>
      </c>
      <c r="G24" s="1" t="str">
        <f>INDEX([1]物品基础表!$A:$A,MATCH(F24,[1]物品基础表!$B:$B,0))</f>
        <v>橙色图鉴包·美女如云</v>
      </c>
      <c r="H24" s="1">
        <v>1</v>
      </c>
      <c r="I24" s="1">
        <v>200001</v>
      </c>
      <c r="J24" s="1" t="str">
        <f>INDEX([1]物品基础表!$A:$A,MATCH(I24,[1]物品基础表!$B:$B,0))</f>
        <v>羽毛</v>
      </c>
      <c r="K24" s="1">
        <v>30</v>
      </c>
      <c r="L24" s="1">
        <v>200004</v>
      </c>
      <c r="M24" s="1" t="str">
        <f>INDEX([1]物品基础表!$A:$A,MATCH(L24,[1]物品基础表!$B:$B,0))</f>
        <v>经脉丹</v>
      </c>
      <c r="N24" s="1">
        <v>20</v>
      </c>
      <c r="O24" s="1">
        <v>1</v>
      </c>
      <c r="P24" s="1" t="s">
        <v>6</v>
      </c>
      <c r="Q24" s="1">
        <v>1000000</v>
      </c>
    </row>
    <row r="25" spans="1:17">
      <c r="A25" s="1">
        <v>500</v>
      </c>
      <c r="B25" s="1">
        <v>3</v>
      </c>
      <c r="C25" s="1">
        <v>5</v>
      </c>
      <c r="D25" s="1">
        <v>50000</v>
      </c>
      <c r="E25" s="1">
        <v>88888</v>
      </c>
      <c r="F25" s="1">
        <v>201007</v>
      </c>
      <c r="G25" s="1" t="str">
        <f>INDEX([1]物品基础表!$A:$A,MATCH(F25,[1]物品基础表!$B:$B,0))</f>
        <v>红色图鉴包·美女如云</v>
      </c>
      <c r="H25" s="1">
        <v>1</v>
      </c>
      <c r="I25" s="1">
        <v>200165</v>
      </c>
      <c r="J25" s="1" t="str">
        <f>INDEX([1]物品基础表!$A:$A,MATCH(I25,[1]物品基础表!$B:$B,0))</f>
        <v>寻宝卷</v>
      </c>
      <c r="K25" s="1">
        <v>5</v>
      </c>
      <c r="L25" s="1">
        <v>200004</v>
      </c>
      <c r="M25" s="1" t="str">
        <f>INDEX([1]物品基础表!$A:$A,MATCH(L25,[1]物品基础表!$B:$B,0))</f>
        <v>经脉丹</v>
      </c>
      <c r="N25" s="1">
        <v>30</v>
      </c>
      <c r="O25" s="1">
        <v>1</v>
      </c>
      <c r="P25" s="1" t="s">
        <v>6</v>
      </c>
      <c r="Q25" s="1">
        <v>1250000</v>
      </c>
    </row>
    <row r="26" spans="1:17">
      <c r="A26" s="1">
        <v>1000</v>
      </c>
      <c r="B26" s="1">
        <v>3</v>
      </c>
      <c r="C26" s="1">
        <v>6</v>
      </c>
      <c r="D26" s="1">
        <v>100000</v>
      </c>
      <c r="E26" s="1">
        <v>118888</v>
      </c>
      <c r="F26" s="1">
        <v>201007</v>
      </c>
      <c r="G26" s="1" t="str">
        <f>INDEX([1]物品基础表!$A:$A,MATCH(F26,[1]物品基础表!$B:$B,0))</f>
        <v>红色图鉴包·美女如云</v>
      </c>
      <c r="H26" s="1">
        <v>1</v>
      </c>
      <c r="I26" s="1">
        <v>200165</v>
      </c>
      <c r="J26" s="1" t="str">
        <f>INDEX([1]物品基础表!$A:$A,MATCH(I26,[1]物品基础表!$B:$B,0))</f>
        <v>寻宝卷</v>
      </c>
      <c r="K26" s="1">
        <v>5</v>
      </c>
      <c r="L26" s="1">
        <v>200004</v>
      </c>
      <c r="M26" s="1" t="str">
        <f>INDEX([1]物品基础表!$A:$A,MATCH(L26,[1]物品基础表!$B:$B,0))</f>
        <v>经脉丹</v>
      </c>
      <c r="N26" s="1">
        <v>40</v>
      </c>
      <c r="O26" s="1">
        <v>1</v>
      </c>
      <c r="P26" s="1" t="s">
        <v>6</v>
      </c>
      <c r="Q26" s="1">
        <v>1500000</v>
      </c>
    </row>
    <row r="27" spans="1:17">
      <c r="A27" s="1">
        <v>2000</v>
      </c>
      <c r="B27" s="1">
        <v>3</v>
      </c>
      <c r="C27" s="1">
        <v>7</v>
      </c>
      <c r="D27" s="1">
        <v>200000</v>
      </c>
      <c r="E27" s="1">
        <v>188888</v>
      </c>
      <c r="F27" s="1">
        <v>201007</v>
      </c>
      <c r="G27" s="1" t="str">
        <f>INDEX([1]物品基础表!$A:$A,MATCH(F27,[1]物品基础表!$B:$B,0))</f>
        <v>红色图鉴包·美女如云</v>
      </c>
      <c r="H27" s="1">
        <v>2</v>
      </c>
      <c r="I27" s="1">
        <v>200165</v>
      </c>
      <c r="J27" s="1" t="str">
        <f>INDEX([1]物品基础表!$A:$A,MATCH(I27,[1]物品基础表!$B:$B,0))</f>
        <v>寻宝卷</v>
      </c>
      <c r="K27" s="1">
        <v>5</v>
      </c>
      <c r="L27" s="1">
        <v>200004</v>
      </c>
      <c r="M27" s="1" t="str">
        <f>INDEX([1]物品基础表!$A:$A,MATCH(L27,[1]物品基础表!$B:$B,0))</f>
        <v>经脉丹</v>
      </c>
      <c r="N27" s="1">
        <v>50</v>
      </c>
      <c r="O27" s="1">
        <v>1</v>
      </c>
      <c r="P27" s="1" t="s">
        <v>6</v>
      </c>
      <c r="Q27" s="1">
        <v>2000000</v>
      </c>
    </row>
    <row r="28" spans="1:17">
      <c r="A28" s="1">
        <v>5000</v>
      </c>
      <c r="B28" s="1">
        <v>3</v>
      </c>
      <c r="C28" s="1">
        <v>8</v>
      </c>
      <c r="D28" s="1">
        <v>500000</v>
      </c>
      <c r="E28" s="1">
        <v>258888</v>
      </c>
      <c r="F28" s="1">
        <v>201008</v>
      </c>
      <c r="G28" s="1" t="str">
        <f>INDEX([1]物品基础表!$A:$A,MATCH(F28,[1]物品基础表!$B:$B,0))</f>
        <v>金色图鉴包·美女如云</v>
      </c>
      <c r="H28" s="1">
        <v>1</v>
      </c>
      <c r="I28" s="1">
        <v>200165</v>
      </c>
      <c r="J28" s="1" t="str">
        <f>INDEX([1]物品基础表!$A:$A,MATCH(I28,[1]物品基础表!$B:$B,0))</f>
        <v>寻宝卷</v>
      </c>
      <c r="K28" s="1">
        <v>10</v>
      </c>
      <c r="L28" s="1">
        <v>200004</v>
      </c>
      <c r="M28" s="1" t="str">
        <f>INDEX([1]物品基础表!$A:$A,MATCH(L28,[1]物品基础表!$B:$B,0))</f>
        <v>经脉丹</v>
      </c>
      <c r="N28" s="1">
        <v>100</v>
      </c>
      <c r="O28" s="1">
        <v>1</v>
      </c>
      <c r="P28" s="1" t="s">
        <v>6</v>
      </c>
      <c r="Q28" s="1">
        <v>3000000</v>
      </c>
    </row>
    <row r="29" spans="1:17">
      <c r="A29" s="1">
        <v>10</v>
      </c>
      <c r="B29" s="1">
        <v>4</v>
      </c>
      <c r="C29" s="1">
        <v>0</v>
      </c>
      <c r="D29" s="1">
        <v>1000</v>
      </c>
      <c r="E29" s="1">
        <v>3888</v>
      </c>
      <c r="F29" s="1">
        <v>2</v>
      </c>
      <c r="G29" s="1" t="s">
        <v>64</v>
      </c>
      <c r="H29" s="1">
        <v>1000</v>
      </c>
      <c r="I29" s="1">
        <v>200009</v>
      </c>
      <c r="J29" s="1" t="str">
        <f>INDEX([1]物品基础表!$A:$A,MATCH(I29,[1]物品基础表!$B:$B,0))</f>
        <v>高级转生丹</v>
      </c>
      <c r="K29" s="1">
        <v>1</v>
      </c>
      <c r="L29" s="1">
        <v>270001</v>
      </c>
      <c r="M29" s="1" t="str">
        <f>INDEX([1]物品基础表!$A:$A,MATCH(L29,[1]物品基础表!$B:$B,0))</f>
        <v>低级经验卡</v>
      </c>
      <c r="N29" s="1">
        <v>15</v>
      </c>
      <c r="O29" s="1">
        <v>200318</v>
      </c>
      <c r="P29" s="1" t="str">
        <f>INDEX([1]物品基础表!$A:$A,MATCH(O29,[1]物品基础表!$B:$B,0))</f>
        <v>威望令牌</v>
      </c>
      <c r="Q29" s="1">
        <v>10</v>
      </c>
    </row>
    <row r="30" spans="1:17">
      <c r="A30" s="1">
        <v>20</v>
      </c>
      <c r="B30" s="1">
        <v>4</v>
      </c>
      <c r="C30" s="1">
        <v>1</v>
      </c>
      <c r="D30" s="1">
        <v>2000</v>
      </c>
      <c r="E30" s="1">
        <v>8888</v>
      </c>
      <c r="F30" s="1">
        <v>200009</v>
      </c>
      <c r="G30" s="1" t="str">
        <f>INDEX([1]物品基础表!$A:$A,MATCH(F30,[1]物品基础表!$B:$B,0))</f>
        <v>高级转生丹</v>
      </c>
      <c r="H30" s="1">
        <v>1</v>
      </c>
      <c r="I30" s="1">
        <v>270001</v>
      </c>
      <c r="J30" s="1" t="str">
        <f>INDEX([1]物品基础表!$A:$A,MATCH(I30,[1]物品基础表!$B:$B,0))</f>
        <v>低级经验卡</v>
      </c>
      <c r="K30" s="1">
        <v>15</v>
      </c>
      <c r="L30" s="1">
        <v>200004</v>
      </c>
      <c r="M30" s="1" t="str">
        <f>INDEX([1]物品基础表!$A:$A,MATCH(L30,[1]物品基础表!$B:$B,0))</f>
        <v>经脉丹</v>
      </c>
      <c r="N30" s="1">
        <v>10</v>
      </c>
      <c r="O30" s="1">
        <v>1</v>
      </c>
      <c r="P30" s="1" t="s">
        <v>6</v>
      </c>
      <c r="Q30" s="1">
        <v>250000</v>
      </c>
    </row>
    <row r="31" spans="1:17">
      <c r="A31" s="1">
        <v>50</v>
      </c>
      <c r="B31" s="1">
        <v>4</v>
      </c>
      <c r="C31" s="1">
        <v>2</v>
      </c>
      <c r="D31" s="1">
        <v>5000</v>
      </c>
      <c r="E31" s="1">
        <v>12888</v>
      </c>
      <c r="F31" s="1">
        <v>200009</v>
      </c>
      <c r="G31" s="1" t="str">
        <f>INDEX([1]物品基础表!$A:$A,MATCH(F31,[1]物品基础表!$B:$B,0))</f>
        <v>高级转生丹</v>
      </c>
      <c r="H31" s="1">
        <v>1</v>
      </c>
      <c r="I31" s="1">
        <v>270001</v>
      </c>
      <c r="J31" s="1" t="str">
        <f>INDEX([1]物品基础表!$A:$A,MATCH(I31,[1]物品基础表!$B:$B,0))</f>
        <v>低级经验卡</v>
      </c>
      <c r="K31" s="1">
        <v>20</v>
      </c>
      <c r="L31" s="1">
        <v>200004</v>
      </c>
      <c r="M31" s="1" t="str">
        <f>INDEX([1]物品基础表!$A:$A,MATCH(L31,[1]物品基础表!$B:$B,0))</f>
        <v>经脉丹</v>
      </c>
      <c r="N31" s="1">
        <v>30</v>
      </c>
      <c r="O31" s="1">
        <v>1</v>
      </c>
      <c r="P31" s="1" t="s">
        <v>6</v>
      </c>
      <c r="Q31" s="1">
        <v>500000</v>
      </c>
    </row>
    <row r="32" spans="1:17">
      <c r="A32" s="1">
        <v>100</v>
      </c>
      <c r="B32" s="1">
        <v>4</v>
      </c>
      <c r="C32" s="1">
        <v>3</v>
      </c>
      <c r="D32" s="1">
        <v>10000</v>
      </c>
      <c r="E32" s="1">
        <v>32888</v>
      </c>
      <c r="F32" s="1">
        <v>201006</v>
      </c>
      <c r="G32" s="1" t="str">
        <f>INDEX([1]物品基础表!$A:$A,MATCH(F32,[1]物品基础表!$B:$B,0))</f>
        <v>橙色图鉴包·美女如云</v>
      </c>
      <c r="H32" s="1">
        <v>1</v>
      </c>
      <c r="I32" s="1">
        <v>270001</v>
      </c>
      <c r="J32" s="1" t="str">
        <f>INDEX([1]物品基础表!$A:$A,MATCH(I32,[1]物品基础表!$B:$B,0))</f>
        <v>低级经验卡</v>
      </c>
      <c r="K32" s="1">
        <v>40</v>
      </c>
      <c r="L32" s="1">
        <v>200004</v>
      </c>
      <c r="M32" s="1" t="str">
        <f>INDEX([1]物品基础表!$A:$A,MATCH(L32,[1]物品基础表!$B:$B,0))</f>
        <v>经脉丹</v>
      </c>
      <c r="N32" s="1">
        <v>10</v>
      </c>
      <c r="O32" s="1">
        <v>1</v>
      </c>
      <c r="P32" s="1" t="s">
        <v>6</v>
      </c>
      <c r="Q32" s="1">
        <v>750000</v>
      </c>
    </row>
    <row r="33" spans="1:17">
      <c r="A33" s="1">
        <v>200</v>
      </c>
      <c r="B33" s="1">
        <v>4</v>
      </c>
      <c r="C33" s="1">
        <v>4</v>
      </c>
      <c r="D33" s="1">
        <v>20000</v>
      </c>
      <c r="E33" s="1">
        <v>58888</v>
      </c>
      <c r="F33" s="1">
        <v>201006</v>
      </c>
      <c r="G33" s="1" t="str">
        <f>INDEX([1]物品基础表!$A:$A,MATCH(F33,[1]物品基础表!$B:$B,0))</f>
        <v>橙色图鉴包·美女如云</v>
      </c>
      <c r="H33" s="1">
        <v>1</v>
      </c>
      <c r="I33" s="1">
        <v>270001</v>
      </c>
      <c r="J33" s="1" t="str">
        <f>INDEX([1]物品基础表!$A:$A,MATCH(I33,[1]物品基础表!$B:$B,0))</f>
        <v>低级经验卡</v>
      </c>
      <c r="K33" s="1">
        <v>40</v>
      </c>
      <c r="L33" s="1">
        <v>200004</v>
      </c>
      <c r="M33" s="1" t="str">
        <f>INDEX([1]物品基础表!$A:$A,MATCH(L33,[1]物品基础表!$B:$B,0))</f>
        <v>经脉丹</v>
      </c>
      <c r="N33" s="1">
        <v>20</v>
      </c>
      <c r="O33" s="1">
        <v>1</v>
      </c>
      <c r="P33" s="1" t="s">
        <v>6</v>
      </c>
      <c r="Q33" s="1">
        <v>1000000</v>
      </c>
    </row>
    <row r="34" spans="1:17">
      <c r="A34" s="1">
        <v>500</v>
      </c>
      <c r="B34" s="1">
        <v>4</v>
      </c>
      <c r="C34" s="1">
        <v>5</v>
      </c>
      <c r="D34" s="1">
        <v>50000</v>
      </c>
      <c r="E34" s="1">
        <v>88888</v>
      </c>
      <c r="F34" s="1">
        <v>201007</v>
      </c>
      <c r="G34" s="1" t="str">
        <f>INDEX([1]物品基础表!$A:$A,MATCH(F34,[1]物品基础表!$B:$B,0))</f>
        <v>红色图鉴包·美女如云</v>
      </c>
      <c r="H34" s="1">
        <v>1</v>
      </c>
      <c r="I34" s="1">
        <v>200165</v>
      </c>
      <c r="J34" s="1" t="str">
        <f>INDEX([1]物品基础表!$A:$A,MATCH(I34,[1]物品基础表!$B:$B,0))</f>
        <v>寻宝卷</v>
      </c>
      <c r="K34" s="1">
        <v>5</v>
      </c>
      <c r="L34" s="1">
        <v>200004</v>
      </c>
      <c r="M34" s="1" t="str">
        <f>INDEX([1]物品基础表!$A:$A,MATCH(L34,[1]物品基础表!$B:$B,0))</f>
        <v>经脉丹</v>
      </c>
      <c r="N34" s="1">
        <v>30</v>
      </c>
      <c r="O34" s="1">
        <v>1</v>
      </c>
      <c r="P34" s="1" t="s">
        <v>6</v>
      </c>
      <c r="Q34" s="1">
        <v>1250000</v>
      </c>
    </row>
    <row r="35" spans="1:17">
      <c r="A35" s="1">
        <v>1000</v>
      </c>
      <c r="B35" s="1">
        <v>4</v>
      </c>
      <c r="C35" s="1">
        <v>6</v>
      </c>
      <c r="D35" s="1">
        <v>100000</v>
      </c>
      <c r="E35" s="1">
        <v>118888</v>
      </c>
      <c r="F35" s="1">
        <v>201007</v>
      </c>
      <c r="G35" s="1" t="str">
        <f>INDEX([1]物品基础表!$A:$A,MATCH(F35,[1]物品基础表!$B:$B,0))</f>
        <v>红色图鉴包·美女如云</v>
      </c>
      <c r="H35" s="1">
        <v>1</v>
      </c>
      <c r="I35" s="1">
        <v>200165</v>
      </c>
      <c r="J35" s="1" t="str">
        <f>INDEX([1]物品基础表!$A:$A,MATCH(I35,[1]物品基础表!$B:$B,0))</f>
        <v>寻宝卷</v>
      </c>
      <c r="K35" s="1">
        <v>5</v>
      </c>
      <c r="L35" s="1">
        <v>200004</v>
      </c>
      <c r="M35" s="1" t="str">
        <f>INDEX([1]物品基础表!$A:$A,MATCH(L35,[1]物品基础表!$B:$B,0))</f>
        <v>经脉丹</v>
      </c>
      <c r="N35" s="1">
        <v>40</v>
      </c>
      <c r="O35" s="1">
        <v>1</v>
      </c>
      <c r="P35" s="1" t="s">
        <v>6</v>
      </c>
      <c r="Q35" s="1">
        <v>1500000</v>
      </c>
    </row>
    <row r="36" spans="1:17">
      <c r="A36" s="1">
        <v>2000</v>
      </c>
      <c r="B36" s="1">
        <v>4</v>
      </c>
      <c r="C36" s="1">
        <v>7</v>
      </c>
      <c r="D36" s="1">
        <v>200000</v>
      </c>
      <c r="E36" s="1">
        <v>188888</v>
      </c>
      <c r="F36" s="1">
        <v>201007</v>
      </c>
      <c r="G36" s="1" t="str">
        <f>INDEX([1]物品基础表!$A:$A,MATCH(F36,[1]物品基础表!$B:$B,0))</f>
        <v>红色图鉴包·美女如云</v>
      </c>
      <c r="H36" s="1">
        <v>2</v>
      </c>
      <c r="I36" s="1">
        <v>200165</v>
      </c>
      <c r="J36" s="1" t="str">
        <f>INDEX([1]物品基础表!$A:$A,MATCH(I36,[1]物品基础表!$B:$B,0))</f>
        <v>寻宝卷</v>
      </c>
      <c r="K36" s="1">
        <v>5</v>
      </c>
      <c r="L36" s="1">
        <v>200004</v>
      </c>
      <c r="M36" s="1" t="str">
        <f>INDEX([1]物品基础表!$A:$A,MATCH(L36,[1]物品基础表!$B:$B,0))</f>
        <v>经脉丹</v>
      </c>
      <c r="N36" s="1">
        <v>50</v>
      </c>
      <c r="O36" s="1">
        <v>1</v>
      </c>
      <c r="P36" s="1" t="s">
        <v>6</v>
      </c>
      <c r="Q36" s="1">
        <v>2000000</v>
      </c>
    </row>
    <row r="37" spans="1:17">
      <c r="A37" s="1">
        <v>5000</v>
      </c>
      <c r="B37" s="1">
        <v>4</v>
      </c>
      <c r="C37" s="1">
        <v>8</v>
      </c>
      <c r="D37" s="1">
        <v>500000</v>
      </c>
      <c r="E37" s="1">
        <v>258888</v>
      </c>
      <c r="F37" s="1">
        <v>201008</v>
      </c>
      <c r="G37" s="1" t="str">
        <f>INDEX([1]物品基础表!$A:$A,MATCH(F37,[1]物品基础表!$B:$B,0))</f>
        <v>金色图鉴包·美女如云</v>
      </c>
      <c r="H37" s="1">
        <v>1</v>
      </c>
      <c r="I37" s="1">
        <v>200165</v>
      </c>
      <c r="J37" s="1" t="str">
        <f>INDEX([1]物品基础表!$A:$A,MATCH(I37,[1]物品基础表!$B:$B,0))</f>
        <v>寻宝卷</v>
      </c>
      <c r="K37" s="1">
        <v>10</v>
      </c>
      <c r="L37" s="1">
        <v>200004</v>
      </c>
      <c r="M37" s="1" t="str">
        <f>INDEX([1]物品基础表!$A:$A,MATCH(L37,[1]物品基础表!$B:$B,0))</f>
        <v>经脉丹</v>
      </c>
      <c r="N37" s="1">
        <v>100</v>
      </c>
      <c r="O37" s="1">
        <v>1</v>
      </c>
      <c r="P37" s="1" t="s">
        <v>6</v>
      </c>
      <c r="Q37" s="1">
        <v>3000000</v>
      </c>
    </row>
    <row r="38" spans="1:17">
      <c r="A38" s="1">
        <v>10</v>
      </c>
      <c r="B38" s="1">
        <v>5</v>
      </c>
      <c r="C38" s="1">
        <v>0</v>
      </c>
      <c r="D38" s="1">
        <v>1000</v>
      </c>
      <c r="E38" s="1">
        <v>3888</v>
      </c>
      <c r="F38" s="1">
        <v>2</v>
      </c>
      <c r="G38" s="1" t="s">
        <v>64</v>
      </c>
      <c r="H38" s="1">
        <v>1000</v>
      </c>
      <c r="I38" s="1">
        <v>200009</v>
      </c>
      <c r="J38" s="1" t="str">
        <f>INDEX([1]物品基础表!$A:$A,MATCH(I38,[1]物品基础表!$B:$B,0))</f>
        <v>高级转生丹</v>
      </c>
      <c r="K38" s="1">
        <v>1</v>
      </c>
      <c r="L38" s="1">
        <v>200009</v>
      </c>
      <c r="M38" s="1" t="str">
        <f>INDEX([1]物品基础表!$A:$A,MATCH(L38,[1]物品基础表!$B:$B,0))</f>
        <v>高级转生丹</v>
      </c>
      <c r="N38" s="1">
        <v>1</v>
      </c>
      <c r="O38" s="1">
        <v>200318</v>
      </c>
      <c r="P38" s="1" t="str">
        <f>INDEX([1]物品基础表!$A:$A,MATCH(O38,[1]物品基础表!$B:$B,0))</f>
        <v>威望令牌</v>
      </c>
      <c r="Q38" s="1">
        <v>10</v>
      </c>
    </row>
    <row r="39" spans="1:17">
      <c r="A39" s="1">
        <v>20</v>
      </c>
      <c r="B39" s="1">
        <v>5</v>
      </c>
      <c r="C39" s="1">
        <v>1</v>
      </c>
      <c r="D39" s="1">
        <v>2000</v>
      </c>
      <c r="E39" s="1">
        <v>8888</v>
      </c>
      <c r="F39" s="1">
        <v>200009</v>
      </c>
      <c r="G39" s="1" t="str">
        <f>INDEX([1]物品基础表!$A:$A,MATCH(F39,[1]物品基础表!$B:$B,0))</f>
        <v>高级转生丹</v>
      </c>
      <c r="H39" s="1">
        <v>1</v>
      </c>
      <c r="I39" s="1">
        <v>200009</v>
      </c>
      <c r="J39" s="1" t="str">
        <f>INDEX([1]物品基础表!$A:$A,MATCH(I39,[1]物品基础表!$B:$B,0))</f>
        <v>高级转生丹</v>
      </c>
      <c r="K39" s="1">
        <v>1</v>
      </c>
      <c r="L39" s="1">
        <v>200004</v>
      </c>
      <c r="M39" s="1" t="str">
        <f>INDEX([1]物品基础表!$A:$A,MATCH(L39,[1]物品基础表!$B:$B,0))</f>
        <v>经脉丹</v>
      </c>
      <c r="N39" s="1">
        <v>10</v>
      </c>
      <c r="O39" s="1">
        <v>1</v>
      </c>
      <c r="P39" s="1" t="s">
        <v>6</v>
      </c>
      <c r="Q39" s="1">
        <v>250000</v>
      </c>
    </row>
    <row r="40" spans="1:17">
      <c r="A40" s="1">
        <v>50</v>
      </c>
      <c r="B40" s="1">
        <v>5</v>
      </c>
      <c r="C40" s="1">
        <v>2</v>
      </c>
      <c r="D40" s="1">
        <v>5000</v>
      </c>
      <c r="E40" s="1">
        <v>12888</v>
      </c>
      <c r="F40" s="1">
        <v>200009</v>
      </c>
      <c r="G40" s="1" t="str">
        <f>INDEX([1]物品基础表!$A:$A,MATCH(F40,[1]物品基础表!$B:$B,0))</f>
        <v>高级转生丹</v>
      </c>
      <c r="H40" s="1">
        <v>1</v>
      </c>
      <c r="I40" s="1">
        <v>200009</v>
      </c>
      <c r="J40" s="1" t="str">
        <f>INDEX([1]物品基础表!$A:$A,MATCH(I40,[1]物品基础表!$B:$B,0))</f>
        <v>高级转生丹</v>
      </c>
      <c r="K40" s="1">
        <v>1</v>
      </c>
      <c r="L40" s="1">
        <v>200004</v>
      </c>
      <c r="M40" s="1" t="str">
        <f>INDEX([1]物品基础表!$A:$A,MATCH(L40,[1]物品基础表!$B:$B,0))</f>
        <v>经脉丹</v>
      </c>
      <c r="N40" s="1">
        <v>30</v>
      </c>
      <c r="O40" s="1">
        <v>1</v>
      </c>
      <c r="P40" s="1" t="s">
        <v>6</v>
      </c>
      <c r="Q40" s="1">
        <v>500000</v>
      </c>
    </row>
    <row r="41" spans="1:17">
      <c r="A41" s="1">
        <v>100</v>
      </c>
      <c r="B41" s="1">
        <v>5</v>
      </c>
      <c r="C41" s="1">
        <v>3</v>
      </c>
      <c r="D41" s="1">
        <v>10000</v>
      </c>
      <c r="E41" s="1">
        <v>32888</v>
      </c>
      <c r="F41" s="1">
        <v>200010</v>
      </c>
      <c r="G41" s="1" t="str">
        <f>INDEX([1]物品基础表!$A:$A,MATCH(F41,[1]物品基础表!$B:$B,0))</f>
        <v>超级转生丹</v>
      </c>
      <c r="H41" s="1">
        <v>1</v>
      </c>
      <c r="I41" s="1">
        <v>200009</v>
      </c>
      <c r="J41" s="1" t="str">
        <f>INDEX([1]物品基础表!$A:$A,MATCH(I41,[1]物品基础表!$B:$B,0))</f>
        <v>高级转生丹</v>
      </c>
      <c r="K41" s="1">
        <v>1</v>
      </c>
      <c r="L41" s="1">
        <v>200004</v>
      </c>
      <c r="M41" s="1" t="str">
        <f>INDEX([1]物品基础表!$A:$A,MATCH(L41,[1]物品基础表!$B:$B,0))</f>
        <v>经脉丹</v>
      </c>
      <c r="N41" s="1">
        <v>10</v>
      </c>
      <c r="O41" s="1">
        <v>1</v>
      </c>
      <c r="P41" s="1" t="s">
        <v>6</v>
      </c>
      <c r="Q41" s="1">
        <v>750000</v>
      </c>
    </row>
    <row r="42" spans="1:17">
      <c r="A42" s="1">
        <v>200</v>
      </c>
      <c r="B42" s="1">
        <v>5</v>
      </c>
      <c r="C42" s="1">
        <v>4</v>
      </c>
      <c r="D42" s="1">
        <v>20000</v>
      </c>
      <c r="E42" s="1">
        <v>58888</v>
      </c>
      <c r="F42" s="1">
        <v>201006</v>
      </c>
      <c r="G42" s="1" t="str">
        <f>INDEX([1]物品基础表!$A:$A,MATCH(F42,[1]物品基础表!$B:$B,0))</f>
        <v>橙色图鉴包·美女如云</v>
      </c>
      <c r="H42" s="1">
        <v>1</v>
      </c>
      <c r="I42" s="1">
        <v>200009</v>
      </c>
      <c r="J42" s="1" t="str">
        <f>INDEX([1]物品基础表!$A:$A,MATCH(I42,[1]物品基础表!$B:$B,0))</f>
        <v>高级转生丹</v>
      </c>
      <c r="K42" s="1">
        <v>2</v>
      </c>
      <c r="L42" s="1">
        <v>200004</v>
      </c>
      <c r="M42" s="1" t="str">
        <f>INDEX([1]物品基础表!$A:$A,MATCH(L42,[1]物品基础表!$B:$B,0))</f>
        <v>经脉丹</v>
      </c>
      <c r="N42" s="1">
        <v>20</v>
      </c>
      <c r="O42" s="1">
        <v>1</v>
      </c>
      <c r="P42" s="1" t="s">
        <v>6</v>
      </c>
      <c r="Q42" s="1">
        <v>1000000</v>
      </c>
    </row>
    <row r="43" spans="1:17">
      <c r="A43" s="1">
        <v>500</v>
      </c>
      <c r="B43" s="1">
        <v>5</v>
      </c>
      <c r="C43" s="1">
        <v>5</v>
      </c>
      <c r="D43" s="1">
        <v>50000</v>
      </c>
      <c r="E43" s="1">
        <v>88888</v>
      </c>
      <c r="F43" s="1">
        <v>201007</v>
      </c>
      <c r="G43" s="1" t="str">
        <f>INDEX([1]物品基础表!$A:$A,MATCH(F43,[1]物品基础表!$B:$B,0))</f>
        <v>红色图鉴包·美女如云</v>
      </c>
      <c r="H43" s="1">
        <v>1</v>
      </c>
      <c r="I43" s="1">
        <v>200165</v>
      </c>
      <c r="J43" s="1" t="str">
        <f>INDEX([1]物品基础表!$A:$A,MATCH(I43,[1]物品基础表!$B:$B,0))</f>
        <v>寻宝卷</v>
      </c>
      <c r="K43" s="1">
        <v>5</v>
      </c>
      <c r="L43" s="1">
        <v>200004</v>
      </c>
      <c r="M43" s="1" t="str">
        <f>INDEX([1]物品基础表!$A:$A,MATCH(L43,[1]物品基础表!$B:$B,0))</f>
        <v>经脉丹</v>
      </c>
      <c r="N43" s="1">
        <v>30</v>
      </c>
      <c r="O43" s="1">
        <v>1</v>
      </c>
      <c r="P43" s="1" t="s">
        <v>6</v>
      </c>
      <c r="Q43" s="1">
        <v>1250000</v>
      </c>
    </row>
    <row r="44" spans="1:17">
      <c r="A44" s="1">
        <v>1000</v>
      </c>
      <c r="B44" s="1">
        <v>5</v>
      </c>
      <c r="C44" s="1">
        <v>6</v>
      </c>
      <c r="D44" s="1">
        <v>100000</v>
      </c>
      <c r="E44" s="1">
        <v>118888</v>
      </c>
      <c r="F44" s="1">
        <v>201007</v>
      </c>
      <c r="G44" s="1" t="str">
        <f>INDEX([1]物品基础表!$A:$A,MATCH(F44,[1]物品基础表!$B:$B,0))</f>
        <v>红色图鉴包·美女如云</v>
      </c>
      <c r="H44" s="1">
        <v>1</v>
      </c>
      <c r="I44" s="1">
        <v>200165</v>
      </c>
      <c r="J44" s="1" t="str">
        <f>INDEX([1]物品基础表!$A:$A,MATCH(I44,[1]物品基础表!$B:$B,0))</f>
        <v>寻宝卷</v>
      </c>
      <c r="K44" s="1">
        <v>5</v>
      </c>
      <c r="L44" s="1">
        <v>200004</v>
      </c>
      <c r="M44" s="1" t="str">
        <f>INDEX([1]物品基础表!$A:$A,MATCH(L44,[1]物品基础表!$B:$B,0))</f>
        <v>经脉丹</v>
      </c>
      <c r="N44" s="1">
        <v>40</v>
      </c>
      <c r="O44" s="1">
        <v>1</v>
      </c>
      <c r="P44" s="1" t="s">
        <v>6</v>
      </c>
      <c r="Q44" s="1">
        <v>1500000</v>
      </c>
    </row>
    <row r="45" spans="1:17">
      <c r="A45" s="1">
        <v>2000</v>
      </c>
      <c r="B45" s="1">
        <v>5</v>
      </c>
      <c r="C45" s="1">
        <v>7</v>
      </c>
      <c r="D45" s="1">
        <v>200000</v>
      </c>
      <c r="E45" s="1">
        <v>188888</v>
      </c>
      <c r="F45" s="1">
        <v>201007</v>
      </c>
      <c r="G45" s="1" t="str">
        <f>INDEX([1]物品基础表!$A:$A,MATCH(F45,[1]物品基础表!$B:$B,0))</f>
        <v>红色图鉴包·美女如云</v>
      </c>
      <c r="H45" s="1">
        <v>2</v>
      </c>
      <c r="I45" s="1">
        <v>200165</v>
      </c>
      <c r="J45" s="1" t="str">
        <f>INDEX([1]物品基础表!$A:$A,MATCH(I45,[1]物品基础表!$B:$B,0))</f>
        <v>寻宝卷</v>
      </c>
      <c r="K45" s="1">
        <v>5</v>
      </c>
      <c r="L45" s="1">
        <v>200004</v>
      </c>
      <c r="M45" s="1" t="str">
        <f>INDEX([1]物品基础表!$A:$A,MATCH(L45,[1]物品基础表!$B:$B,0))</f>
        <v>经脉丹</v>
      </c>
      <c r="N45" s="1">
        <v>50</v>
      </c>
      <c r="O45" s="1">
        <v>1</v>
      </c>
      <c r="P45" s="1" t="s">
        <v>6</v>
      </c>
      <c r="Q45" s="1">
        <v>2000000</v>
      </c>
    </row>
    <row r="46" spans="1:17">
      <c r="A46" s="1">
        <v>5000</v>
      </c>
      <c r="B46" s="1">
        <v>5</v>
      </c>
      <c r="C46" s="1">
        <v>8</v>
      </c>
      <c r="D46" s="1">
        <v>500000</v>
      </c>
      <c r="E46" s="1">
        <v>258888</v>
      </c>
      <c r="F46" s="1">
        <v>201008</v>
      </c>
      <c r="G46" s="1" t="str">
        <f>INDEX([1]物品基础表!$A:$A,MATCH(F46,[1]物品基础表!$B:$B,0))</f>
        <v>金色图鉴包·美女如云</v>
      </c>
      <c r="H46" s="1">
        <v>1</v>
      </c>
      <c r="I46" s="1">
        <v>200165</v>
      </c>
      <c r="J46" s="1" t="str">
        <f>INDEX([1]物品基础表!$A:$A,MATCH(I46,[1]物品基础表!$B:$B,0))</f>
        <v>寻宝卷</v>
      </c>
      <c r="K46" s="1">
        <v>10</v>
      </c>
      <c r="L46" s="1">
        <v>200004</v>
      </c>
      <c r="M46" s="1" t="str">
        <f>INDEX([1]物品基础表!$A:$A,MATCH(L46,[1]物品基础表!$B:$B,0))</f>
        <v>经脉丹</v>
      </c>
      <c r="N46" s="1">
        <v>100</v>
      </c>
      <c r="O46" s="1">
        <v>1</v>
      </c>
      <c r="P46" s="1" t="s">
        <v>6</v>
      </c>
      <c r="Q46" s="1">
        <v>3000000</v>
      </c>
    </row>
    <row r="47" spans="1:17">
      <c r="A47" s="1">
        <v>10</v>
      </c>
      <c r="B47" s="1">
        <v>6</v>
      </c>
      <c r="C47" s="1">
        <v>0</v>
      </c>
      <c r="D47" s="1">
        <v>1000</v>
      </c>
      <c r="E47" s="1">
        <v>3888</v>
      </c>
      <c r="F47" s="1">
        <v>2</v>
      </c>
      <c r="G47" s="1" t="s">
        <v>64</v>
      </c>
      <c r="H47" s="1">
        <v>1000</v>
      </c>
      <c r="I47" s="1">
        <v>200009</v>
      </c>
      <c r="J47" s="1" t="str">
        <f>INDEX([1]物品基础表!$A:$A,MATCH(I47,[1]物品基础表!$B:$B,0))</f>
        <v>高级转生丹</v>
      </c>
      <c r="K47" s="1">
        <v>1</v>
      </c>
      <c r="L47" s="1">
        <v>200165</v>
      </c>
      <c r="M47" s="1" t="str">
        <f>INDEX([1]物品基础表!$A:$A,MATCH(L47,[1]物品基础表!$B:$B,0))</f>
        <v>寻宝卷</v>
      </c>
      <c r="N47" s="1">
        <v>2</v>
      </c>
      <c r="O47" s="1">
        <v>200318</v>
      </c>
      <c r="P47" s="1" t="str">
        <f>INDEX([1]物品基础表!$A:$A,MATCH(O47,[1]物品基础表!$B:$B,0))</f>
        <v>威望令牌</v>
      </c>
      <c r="Q47" s="1">
        <v>10</v>
      </c>
    </row>
    <row r="48" spans="1:17">
      <c r="A48" s="1">
        <v>20</v>
      </c>
      <c r="B48" s="1">
        <v>6</v>
      </c>
      <c r="C48" s="1">
        <v>1</v>
      </c>
      <c r="D48" s="1">
        <v>2000</v>
      </c>
      <c r="E48" s="1">
        <v>8888</v>
      </c>
      <c r="F48" s="1">
        <v>200009</v>
      </c>
      <c r="G48" s="1" t="str">
        <f>INDEX([1]物品基础表!$A:$A,MATCH(F48,[1]物品基础表!$B:$B,0))</f>
        <v>高级转生丹</v>
      </c>
      <c r="H48" s="1">
        <v>1</v>
      </c>
      <c r="I48" s="1">
        <v>200165</v>
      </c>
      <c r="J48" s="1" t="str">
        <f>INDEX([1]物品基础表!$A:$A,MATCH(I48,[1]物品基础表!$B:$B,0))</f>
        <v>寻宝卷</v>
      </c>
      <c r="K48" s="1">
        <v>2</v>
      </c>
      <c r="L48" s="1">
        <v>200004</v>
      </c>
      <c r="M48" s="1" t="str">
        <f>INDEX([1]物品基础表!$A:$A,MATCH(L48,[1]物品基础表!$B:$B,0))</f>
        <v>经脉丹</v>
      </c>
      <c r="N48" s="1">
        <v>10</v>
      </c>
      <c r="O48" s="1">
        <v>1</v>
      </c>
      <c r="P48" s="1" t="s">
        <v>6</v>
      </c>
      <c r="Q48" s="1">
        <v>250000</v>
      </c>
    </row>
    <row r="49" spans="1:17">
      <c r="A49" s="1">
        <v>50</v>
      </c>
      <c r="B49" s="1">
        <v>6</v>
      </c>
      <c r="C49" s="1">
        <v>2</v>
      </c>
      <c r="D49" s="1">
        <v>5000</v>
      </c>
      <c r="E49" s="1">
        <v>12888</v>
      </c>
      <c r="F49" s="1">
        <v>200009</v>
      </c>
      <c r="G49" s="1" t="str">
        <f>INDEX([1]物品基础表!$A:$A,MATCH(F49,[1]物品基础表!$B:$B,0))</f>
        <v>高级转生丹</v>
      </c>
      <c r="H49" s="1">
        <v>1</v>
      </c>
      <c r="I49" s="1">
        <v>200165</v>
      </c>
      <c r="J49" s="1" t="str">
        <f>INDEX([1]物品基础表!$A:$A,MATCH(I49,[1]物品基础表!$B:$B,0))</f>
        <v>寻宝卷</v>
      </c>
      <c r="K49" s="1">
        <v>3</v>
      </c>
      <c r="L49" s="1">
        <v>200004</v>
      </c>
      <c r="M49" s="1" t="str">
        <f>INDEX([1]物品基础表!$A:$A,MATCH(L49,[1]物品基础表!$B:$B,0))</f>
        <v>经脉丹</v>
      </c>
      <c r="N49" s="1">
        <v>30</v>
      </c>
      <c r="O49" s="1">
        <v>1</v>
      </c>
      <c r="P49" s="1" t="s">
        <v>6</v>
      </c>
      <c r="Q49" s="1">
        <v>500000</v>
      </c>
    </row>
    <row r="50" spans="1:17">
      <c r="A50" s="1">
        <v>100</v>
      </c>
      <c r="B50" s="1">
        <v>6</v>
      </c>
      <c r="C50" s="1">
        <v>3</v>
      </c>
      <c r="D50" s="1">
        <v>10000</v>
      </c>
      <c r="E50" s="1">
        <v>32888</v>
      </c>
      <c r="F50" s="1">
        <v>201006</v>
      </c>
      <c r="G50" s="1" t="str">
        <f>INDEX([1]物品基础表!$A:$A,MATCH(F50,[1]物品基础表!$B:$B,0))</f>
        <v>橙色图鉴包·美女如云</v>
      </c>
      <c r="H50" s="1">
        <v>1</v>
      </c>
      <c r="I50" s="1">
        <v>200165</v>
      </c>
      <c r="J50" s="1" t="str">
        <f>INDEX([1]物品基础表!$A:$A,MATCH(I50,[1]物品基础表!$B:$B,0))</f>
        <v>寻宝卷</v>
      </c>
      <c r="K50" s="1">
        <v>5</v>
      </c>
      <c r="L50" s="1">
        <v>200004</v>
      </c>
      <c r="M50" s="1" t="str">
        <f>INDEX([1]物品基础表!$A:$A,MATCH(L50,[1]物品基础表!$B:$B,0))</f>
        <v>经脉丹</v>
      </c>
      <c r="N50" s="1">
        <v>10</v>
      </c>
      <c r="O50" s="1">
        <v>1</v>
      </c>
      <c r="P50" s="1" t="s">
        <v>6</v>
      </c>
      <c r="Q50" s="1">
        <v>750000</v>
      </c>
    </row>
    <row r="51" spans="1:17">
      <c r="A51" s="1">
        <v>200</v>
      </c>
      <c r="B51" s="1">
        <v>6</v>
      </c>
      <c r="C51" s="1">
        <v>4</v>
      </c>
      <c r="D51" s="1">
        <v>20000</v>
      </c>
      <c r="E51" s="1">
        <v>58888</v>
      </c>
      <c r="F51" s="1">
        <v>201006</v>
      </c>
      <c r="G51" s="1" t="str">
        <f>INDEX([1]物品基础表!$A:$A,MATCH(F51,[1]物品基础表!$B:$B,0))</f>
        <v>橙色图鉴包·美女如云</v>
      </c>
      <c r="H51" s="1">
        <v>1</v>
      </c>
      <c r="I51" s="1">
        <v>200165</v>
      </c>
      <c r="J51" s="1" t="str">
        <f>INDEX([1]物品基础表!$A:$A,MATCH(I51,[1]物品基础表!$B:$B,0))</f>
        <v>寻宝卷</v>
      </c>
      <c r="K51" s="1">
        <v>5</v>
      </c>
      <c r="L51" s="1">
        <v>200004</v>
      </c>
      <c r="M51" s="1" t="str">
        <f>INDEX([1]物品基础表!$A:$A,MATCH(L51,[1]物品基础表!$B:$B,0))</f>
        <v>经脉丹</v>
      </c>
      <c r="N51" s="1">
        <v>20</v>
      </c>
      <c r="O51" s="1">
        <v>1</v>
      </c>
      <c r="P51" s="1" t="s">
        <v>6</v>
      </c>
      <c r="Q51" s="1">
        <v>1000000</v>
      </c>
    </row>
    <row r="52" spans="1:17">
      <c r="A52" s="1">
        <v>500</v>
      </c>
      <c r="B52" s="1">
        <v>6</v>
      </c>
      <c r="C52" s="1">
        <v>5</v>
      </c>
      <c r="D52" s="1">
        <v>50000</v>
      </c>
      <c r="E52" s="1">
        <v>88888</v>
      </c>
      <c r="F52" s="1">
        <v>201007</v>
      </c>
      <c r="G52" s="1" t="str">
        <f>INDEX([1]物品基础表!$A:$A,MATCH(F52,[1]物品基础表!$B:$B,0))</f>
        <v>红色图鉴包·美女如云</v>
      </c>
      <c r="H52" s="1">
        <v>1</v>
      </c>
      <c r="I52" s="1">
        <v>200165</v>
      </c>
      <c r="J52" s="1" t="str">
        <f>INDEX([1]物品基础表!$A:$A,MATCH(I52,[1]物品基础表!$B:$B,0))</f>
        <v>寻宝卷</v>
      </c>
      <c r="K52" s="1">
        <v>5</v>
      </c>
      <c r="L52" s="1">
        <v>200004</v>
      </c>
      <c r="M52" s="1" t="str">
        <f>INDEX([1]物品基础表!$A:$A,MATCH(L52,[1]物品基础表!$B:$B,0))</f>
        <v>经脉丹</v>
      </c>
      <c r="N52" s="1">
        <v>30</v>
      </c>
      <c r="O52" s="1">
        <v>1</v>
      </c>
      <c r="P52" s="1" t="s">
        <v>6</v>
      </c>
      <c r="Q52" s="1">
        <v>1250000</v>
      </c>
    </row>
    <row r="53" spans="1:17">
      <c r="A53" s="1">
        <v>1000</v>
      </c>
      <c r="B53" s="1">
        <v>6</v>
      </c>
      <c r="C53" s="1">
        <v>6</v>
      </c>
      <c r="D53" s="1">
        <v>100000</v>
      </c>
      <c r="E53" s="1">
        <v>118888</v>
      </c>
      <c r="F53" s="1">
        <v>201007</v>
      </c>
      <c r="G53" s="1" t="str">
        <f>INDEX([1]物品基础表!$A:$A,MATCH(F53,[1]物品基础表!$B:$B,0))</f>
        <v>红色图鉴包·美女如云</v>
      </c>
      <c r="H53" s="1">
        <v>1</v>
      </c>
      <c r="I53" s="1">
        <v>200165</v>
      </c>
      <c r="J53" s="1" t="str">
        <f>INDEX([1]物品基础表!$A:$A,MATCH(I53,[1]物品基础表!$B:$B,0))</f>
        <v>寻宝卷</v>
      </c>
      <c r="K53" s="1">
        <v>5</v>
      </c>
      <c r="L53" s="1">
        <v>200004</v>
      </c>
      <c r="M53" s="1" t="str">
        <f>INDEX([1]物品基础表!$A:$A,MATCH(L53,[1]物品基础表!$B:$B,0))</f>
        <v>经脉丹</v>
      </c>
      <c r="N53" s="1">
        <v>40</v>
      </c>
      <c r="O53" s="1">
        <v>1</v>
      </c>
      <c r="P53" s="1" t="s">
        <v>6</v>
      </c>
      <c r="Q53" s="1">
        <v>1500000</v>
      </c>
    </row>
    <row r="54" spans="1:17">
      <c r="A54" s="1">
        <v>2000</v>
      </c>
      <c r="B54" s="1">
        <v>6</v>
      </c>
      <c r="C54" s="1">
        <v>7</v>
      </c>
      <c r="D54" s="1">
        <v>200000</v>
      </c>
      <c r="E54" s="1">
        <v>188888</v>
      </c>
      <c r="F54" s="1">
        <v>201007</v>
      </c>
      <c r="G54" s="1" t="str">
        <f>INDEX([1]物品基础表!$A:$A,MATCH(F54,[1]物品基础表!$B:$B,0))</f>
        <v>红色图鉴包·美女如云</v>
      </c>
      <c r="H54" s="1">
        <v>2</v>
      </c>
      <c r="I54" s="1">
        <v>200165</v>
      </c>
      <c r="J54" s="1" t="str">
        <f>INDEX([1]物品基础表!$A:$A,MATCH(I54,[1]物品基础表!$B:$B,0))</f>
        <v>寻宝卷</v>
      </c>
      <c r="K54" s="1">
        <v>5</v>
      </c>
      <c r="L54" s="1">
        <v>200004</v>
      </c>
      <c r="M54" s="1" t="str">
        <f>INDEX([1]物品基础表!$A:$A,MATCH(L54,[1]物品基础表!$B:$B,0))</f>
        <v>经脉丹</v>
      </c>
      <c r="N54" s="1">
        <v>50</v>
      </c>
      <c r="O54" s="1">
        <v>1</v>
      </c>
      <c r="P54" s="1" t="s">
        <v>6</v>
      </c>
      <c r="Q54" s="1">
        <v>2000000</v>
      </c>
    </row>
    <row r="55" spans="1:17">
      <c r="A55" s="1">
        <v>5000</v>
      </c>
      <c r="B55" s="1">
        <v>6</v>
      </c>
      <c r="C55" s="1">
        <v>8</v>
      </c>
      <c r="D55" s="1">
        <v>500000</v>
      </c>
      <c r="E55" s="1">
        <v>258888</v>
      </c>
      <c r="F55" s="1">
        <v>201008</v>
      </c>
      <c r="G55" s="1" t="str">
        <f>INDEX([1]物品基础表!$A:$A,MATCH(F55,[1]物品基础表!$B:$B,0))</f>
        <v>金色图鉴包·美女如云</v>
      </c>
      <c r="H55" s="1">
        <v>1</v>
      </c>
      <c r="I55" s="1">
        <v>200165</v>
      </c>
      <c r="J55" s="1" t="str">
        <f>INDEX([1]物品基础表!$A:$A,MATCH(I55,[1]物品基础表!$B:$B,0))</f>
        <v>寻宝卷</v>
      </c>
      <c r="K55" s="1">
        <v>10</v>
      </c>
      <c r="L55" s="1">
        <v>200004</v>
      </c>
      <c r="M55" s="1" t="str">
        <f>INDEX([1]物品基础表!$A:$A,MATCH(L55,[1]物品基础表!$B:$B,0))</f>
        <v>经脉丹</v>
      </c>
      <c r="N55" s="1">
        <v>100</v>
      </c>
      <c r="O55" s="1">
        <v>1</v>
      </c>
      <c r="P55" s="1" t="s">
        <v>6</v>
      </c>
      <c r="Q55" s="1">
        <v>3000000</v>
      </c>
    </row>
    <row r="56" spans="1:17">
      <c r="A56" s="1">
        <v>10</v>
      </c>
      <c r="B56" s="1">
        <v>7</v>
      </c>
      <c r="C56" s="1">
        <v>0</v>
      </c>
      <c r="D56" s="1">
        <v>1000</v>
      </c>
      <c r="E56" s="1">
        <v>3888</v>
      </c>
      <c r="F56" s="1">
        <v>2</v>
      </c>
      <c r="G56" s="1" t="s">
        <v>64</v>
      </c>
      <c r="H56" s="1">
        <v>1000</v>
      </c>
      <c r="I56" s="1">
        <v>200009</v>
      </c>
      <c r="J56" s="1" t="str">
        <f>INDEX([1]物品基础表!$A:$A,MATCH(I56,[1]物品基础表!$B:$B,0))</f>
        <v>高级转生丹</v>
      </c>
      <c r="K56" s="1">
        <v>1</v>
      </c>
      <c r="L56" s="1">
        <v>200165</v>
      </c>
      <c r="M56" s="1" t="str">
        <f>INDEX([1]物品基础表!$A:$A,MATCH(L56,[1]物品基础表!$B:$B,0))</f>
        <v>寻宝卷</v>
      </c>
      <c r="N56" s="1">
        <v>2</v>
      </c>
      <c r="O56" s="1">
        <v>200318</v>
      </c>
      <c r="P56" s="1" t="str">
        <f>INDEX([1]物品基础表!$A:$A,MATCH(O56,[1]物品基础表!$B:$B,0))</f>
        <v>威望令牌</v>
      </c>
      <c r="Q56" s="1">
        <v>10</v>
      </c>
    </row>
    <row r="57" spans="1:17">
      <c r="A57" s="1">
        <v>20</v>
      </c>
      <c r="B57" s="1">
        <v>7</v>
      </c>
      <c r="C57" s="1">
        <v>1</v>
      </c>
      <c r="D57" s="1">
        <v>2000</v>
      </c>
      <c r="E57" s="1">
        <v>8888</v>
      </c>
      <c r="F57" s="1">
        <v>200009</v>
      </c>
      <c r="G57" s="1" t="str">
        <f>INDEX([1]物品基础表!$A:$A,MATCH(F57,[1]物品基础表!$B:$B,0))</f>
        <v>高级转生丹</v>
      </c>
      <c r="H57" s="1">
        <v>1</v>
      </c>
      <c r="I57" s="1">
        <v>200165</v>
      </c>
      <c r="J57" s="1" t="str">
        <f>INDEX([1]物品基础表!$A:$A,MATCH(I57,[1]物品基础表!$B:$B,0))</f>
        <v>寻宝卷</v>
      </c>
      <c r="K57" s="1">
        <v>2</v>
      </c>
      <c r="L57" s="1">
        <v>200004</v>
      </c>
      <c r="M57" s="1" t="str">
        <f>INDEX([1]物品基础表!$A:$A,MATCH(L57,[1]物品基础表!$B:$B,0))</f>
        <v>经脉丹</v>
      </c>
      <c r="N57" s="1">
        <v>10</v>
      </c>
      <c r="O57" s="1">
        <v>1</v>
      </c>
      <c r="P57" s="1" t="s">
        <v>6</v>
      </c>
      <c r="Q57" s="1">
        <v>250000</v>
      </c>
    </row>
    <row r="58" spans="1:17">
      <c r="A58" s="1">
        <v>50</v>
      </c>
      <c r="B58" s="1">
        <v>7</v>
      </c>
      <c r="C58" s="1">
        <v>2</v>
      </c>
      <c r="D58" s="1">
        <v>5000</v>
      </c>
      <c r="E58" s="1">
        <v>12888</v>
      </c>
      <c r="F58" s="1">
        <v>200009</v>
      </c>
      <c r="G58" s="1" t="str">
        <f>INDEX([1]物品基础表!$A:$A,MATCH(F58,[1]物品基础表!$B:$B,0))</f>
        <v>高级转生丹</v>
      </c>
      <c r="H58" s="1">
        <v>1</v>
      </c>
      <c r="I58" s="1">
        <v>200165</v>
      </c>
      <c r="J58" s="1" t="str">
        <f>INDEX([1]物品基础表!$A:$A,MATCH(I58,[1]物品基础表!$B:$B,0))</f>
        <v>寻宝卷</v>
      </c>
      <c r="K58" s="1">
        <v>3</v>
      </c>
      <c r="L58" s="1">
        <v>200004</v>
      </c>
      <c r="M58" s="1" t="str">
        <f>INDEX([1]物品基础表!$A:$A,MATCH(L58,[1]物品基础表!$B:$B,0))</f>
        <v>经脉丹</v>
      </c>
      <c r="N58" s="1">
        <v>30</v>
      </c>
      <c r="O58" s="1">
        <v>1</v>
      </c>
      <c r="P58" s="1" t="s">
        <v>6</v>
      </c>
      <c r="Q58" s="1">
        <v>500000</v>
      </c>
    </row>
    <row r="59" spans="1:17">
      <c r="A59" s="1">
        <v>100</v>
      </c>
      <c r="B59" s="1">
        <v>7</v>
      </c>
      <c r="C59" s="1">
        <v>3</v>
      </c>
      <c r="D59" s="1">
        <v>10000</v>
      </c>
      <c r="E59" s="1">
        <v>32888</v>
      </c>
      <c r="F59" s="1">
        <v>201006</v>
      </c>
      <c r="G59" s="1" t="str">
        <f>INDEX([1]物品基础表!$A:$A,MATCH(F59,[1]物品基础表!$B:$B,0))</f>
        <v>橙色图鉴包·美女如云</v>
      </c>
      <c r="H59" s="1">
        <v>1</v>
      </c>
      <c r="I59" s="1">
        <v>200165</v>
      </c>
      <c r="J59" s="1" t="str">
        <f>INDEX([1]物品基础表!$A:$A,MATCH(I59,[1]物品基础表!$B:$B,0))</f>
        <v>寻宝卷</v>
      </c>
      <c r="K59" s="1">
        <v>5</v>
      </c>
      <c r="L59" s="1">
        <v>200004</v>
      </c>
      <c r="M59" s="1" t="str">
        <f>INDEX([1]物品基础表!$A:$A,MATCH(L59,[1]物品基础表!$B:$B,0))</f>
        <v>经脉丹</v>
      </c>
      <c r="N59" s="1">
        <v>10</v>
      </c>
      <c r="O59" s="1">
        <v>1</v>
      </c>
      <c r="P59" s="1" t="s">
        <v>6</v>
      </c>
      <c r="Q59" s="1">
        <v>750000</v>
      </c>
    </row>
    <row r="60" spans="1:17">
      <c r="A60" s="1">
        <v>200</v>
      </c>
      <c r="B60" s="1">
        <v>7</v>
      </c>
      <c r="C60" s="1">
        <v>4</v>
      </c>
      <c r="D60" s="1">
        <v>20000</v>
      </c>
      <c r="E60" s="1">
        <v>58888</v>
      </c>
      <c r="F60" s="1">
        <v>201006</v>
      </c>
      <c r="G60" s="1" t="str">
        <f>INDEX([1]物品基础表!$A:$A,MATCH(F60,[1]物品基础表!$B:$B,0))</f>
        <v>橙色图鉴包·美女如云</v>
      </c>
      <c r="H60" s="1">
        <v>1</v>
      </c>
      <c r="I60" s="1">
        <v>200165</v>
      </c>
      <c r="J60" s="1" t="str">
        <f>INDEX([1]物品基础表!$A:$A,MATCH(I60,[1]物品基础表!$B:$B,0))</f>
        <v>寻宝卷</v>
      </c>
      <c r="K60" s="1">
        <v>5</v>
      </c>
      <c r="L60" s="1">
        <v>200004</v>
      </c>
      <c r="M60" s="1" t="str">
        <f>INDEX([1]物品基础表!$A:$A,MATCH(L60,[1]物品基础表!$B:$B,0))</f>
        <v>经脉丹</v>
      </c>
      <c r="N60" s="1">
        <v>20</v>
      </c>
      <c r="O60" s="1">
        <v>1</v>
      </c>
      <c r="P60" s="1" t="s">
        <v>6</v>
      </c>
      <c r="Q60" s="1">
        <v>1000000</v>
      </c>
    </row>
    <row r="61" spans="1:17">
      <c r="A61" s="1">
        <v>500</v>
      </c>
      <c r="B61" s="1">
        <v>7</v>
      </c>
      <c r="C61" s="1">
        <v>5</v>
      </c>
      <c r="D61" s="1">
        <v>50000</v>
      </c>
      <c r="E61" s="1">
        <v>88888</v>
      </c>
      <c r="F61" s="1">
        <v>201007</v>
      </c>
      <c r="G61" s="1" t="str">
        <f>INDEX([1]物品基础表!$A:$A,MATCH(F61,[1]物品基础表!$B:$B,0))</f>
        <v>红色图鉴包·美女如云</v>
      </c>
      <c r="H61" s="1">
        <v>1</v>
      </c>
      <c r="I61" s="1">
        <v>200165</v>
      </c>
      <c r="J61" s="1" t="str">
        <f>INDEX([1]物品基础表!$A:$A,MATCH(I61,[1]物品基础表!$B:$B,0))</f>
        <v>寻宝卷</v>
      </c>
      <c r="K61" s="1">
        <v>5</v>
      </c>
      <c r="L61" s="1">
        <v>200004</v>
      </c>
      <c r="M61" s="1" t="str">
        <f>INDEX([1]物品基础表!$A:$A,MATCH(L61,[1]物品基础表!$B:$B,0))</f>
        <v>经脉丹</v>
      </c>
      <c r="N61" s="1">
        <v>30</v>
      </c>
      <c r="O61" s="1">
        <v>1</v>
      </c>
      <c r="P61" s="1" t="s">
        <v>6</v>
      </c>
      <c r="Q61" s="1">
        <v>1250000</v>
      </c>
    </row>
    <row r="62" spans="1:17">
      <c r="A62" s="1">
        <v>1000</v>
      </c>
      <c r="B62" s="1">
        <v>7</v>
      </c>
      <c r="C62" s="1">
        <v>6</v>
      </c>
      <c r="D62" s="1">
        <v>100000</v>
      </c>
      <c r="E62" s="1">
        <v>118888</v>
      </c>
      <c r="F62" s="1">
        <v>201007</v>
      </c>
      <c r="G62" s="1" t="str">
        <f>INDEX([1]物品基础表!$A:$A,MATCH(F62,[1]物品基础表!$B:$B,0))</f>
        <v>红色图鉴包·美女如云</v>
      </c>
      <c r="H62" s="1">
        <v>1</v>
      </c>
      <c r="I62" s="1">
        <v>200165</v>
      </c>
      <c r="J62" s="1" t="str">
        <f>INDEX([1]物品基础表!$A:$A,MATCH(I62,[1]物品基础表!$B:$B,0))</f>
        <v>寻宝卷</v>
      </c>
      <c r="K62" s="1">
        <v>5</v>
      </c>
      <c r="L62" s="1">
        <v>200004</v>
      </c>
      <c r="M62" s="1" t="str">
        <f>INDEX([1]物品基础表!$A:$A,MATCH(L62,[1]物品基础表!$B:$B,0))</f>
        <v>经脉丹</v>
      </c>
      <c r="N62" s="1">
        <v>40</v>
      </c>
      <c r="O62" s="1">
        <v>1</v>
      </c>
      <c r="P62" s="1" t="s">
        <v>6</v>
      </c>
      <c r="Q62" s="1">
        <v>1500000</v>
      </c>
    </row>
    <row r="63" spans="1:17">
      <c r="A63" s="1">
        <v>2000</v>
      </c>
      <c r="B63" s="1">
        <v>7</v>
      </c>
      <c r="C63" s="1">
        <v>7</v>
      </c>
      <c r="D63" s="1">
        <v>200000</v>
      </c>
      <c r="E63" s="1">
        <v>188888</v>
      </c>
      <c r="F63" s="1">
        <v>201007</v>
      </c>
      <c r="G63" s="1" t="str">
        <f>INDEX([1]物品基础表!$A:$A,MATCH(F63,[1]物品基础表!$B:$B,0))</f>
        <v>红色图鉴包·美女如云</v>
      </c>
      <c r="H63" s="1">
        <v>2</v>
      </c>
      <c r="I63" s="1">
        <v>200165</v>
      </c>
      <c r="J63" s="1" t="str">
        <f>INDEX([1]物品基础表!$A:$A,MATCH(I63,[1]物品基础表!$B:$B,0))</f>
        <v>寻宝卷</v>
      </c>
      <c r="K63" s="1">
        <v>5</v>
      </c>
      <c r="L63" s="1">
        <v>200004</v>
      </c>
      <c r="M63" s="1" t="str">
        <f>INDEX([1]物品基础表!$A:$A,MATCH(L63,[1]物品基础表!$B:$B,0))</f>
        <v>经脉丹</v>
      </c>
      <c r="N63" s="1">
        <v>50</v>
      </c>
      <c r="O63" s="1">
        <v>1</v>
      </c>
      <c r="P63" s="1" t="s">
        <v>6</v>
      </c>
      <c r="Q63" s="1">
        <v>2000000</v>
      </c>
    </row>
    <row r="64" spans="1:17">
      <c r="A64" s="1">
        <v>5000</v>
      </c>
      <c r="B64" s="1">
        <v>7</v>
      </c>
      <c r="C64" s="1">
        <v>8</v>
      </c>
      <c r="D64" s="1">
        <v>500000</v>
      </c>
      <c r="E64" s="1">
        <v>258888</v>
      </c>
      <c r="F64" s="1">
        <v>201008</v>
      </c>
      <c r="G64" s="1" t="str">
        <f>INDEX([1]物品基础表!$A:$A,MATCH(F64,[1]物品基础表!$B:$B,0))</f>
        <v>金色图鉴包·美女如云</v>
      </c>
      <c r="H64" s="1">
        <v>1</v>
      </c>
      <c r="I64" s="1">
        <v>200165</v>
      </c>
      <c r="J64" s="1" t="str">
        <f>INDEX([1]物品基础表!$A:$A,MATCH(I64,[1]物品基础表!$B:$B,0))</f>
        <v>寻宝卷</v>
      </c>
      <c r="K64" s="1">
        <v>10</v>
      </c>
      <c r="L64" s="1">
        <v>200004</v>
      </c>
      <c r="M64" s="1" t="str">
        <f>INDEX([1]物品基础表!$A:$A,MATCH(L64,[1]物品基础表!$B:$B,0))</f>
        <v>经脉丹</v>
      </c>
      <c r="N64" s="1">
        <v>100</v>
      </c>
      <c r="O64" s="1">
        <v>1</v>
      </c>
      <c r="P64" s="1" t="s">
        <v>6</v>
      </c>
      <c r="Q64" s="1">
        <v>3000000</v>
      </c>
    </row>
  </sheetData>
  <mergeCells count="1">
    <mergeCell ref="F1:Q1"/>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2"/>
  <sheetViews>
    <sheetView topLeftCell="A55" workbookViewId="0">
      <selection activeCell="I97" sqref="I97"/>
    </sheetView>
  </sheetViews>
  <sheetFormatPr defaultRowHeight="13.5"/>
  <cols>
    <col min="1" max="1" width="9" style="1"/>
    <col min="2" max="2" width="5.25" style="1" bestFit="1" customWidth="1"/>
    <col min="3" max="4" width="9" style="1"/>
    <col min="5" max="6" width="7.5" style="1" bestFit="1" customWidth="1"/>
    <col min="7" max="7" width="21.375" style="1" bestFit="1" customWidth="1"/>
    <col min="8" max="8" width="5.5" style="1" bestFit="1" customWidth="1"/>
    <col min="9" max="9" width="7.5" style="1" bestFit="1" customWidth="1"/>
    <col min="10" max="10" width="11" style="1" bestFit="1" customWidth="1"/>
    <col min="11" max="11" width="5.25" style="1" bestFit="1" customWidth="1"/>
    <col min="12" max="12" width="7.5" style="1" bestFit="1" customWidth="1"/>
    <col min="13" max="13" width="14.125" style="1" bestFit="1" customWidth="1"/>
    <col min="14" max="14" width="5.25" style="1" bestFit="1" customWidth="1"/>
    <col min="15" max="15" width="7.5" style="1" bestFit="1" customWidth="1"/>
    <col min="16" max="16" width="21.375" style="1" bestFit="1" customWidth="1"/>
    <col min="17" max="17" width="8.5" style="1" bestFit="1" customWidth="1"/>
    <col min="18" max="16384" width="9" style="1"/>
  </cols>
  <sheetData>
    <row r="1" spans="1:17">
      <c r="F1" s="107" t="s">
        <v>61</v>
      </c>
      <c r="G1" s="108"/>
      <c r="H1" s="108"/>
      <c r="I1" s="108"/>
      <c r="J1" s="108"/>
      <c r="K1" s="108"/>
      <c r="L1" s="108"/>
      <c r="M1" s="108"/>
      <c r="N1" s="108"/>
      <c r="O1" s="108"/>
      <c r="P1" s="108"/>
      <c r="Q1" s="108"/>
    </row>
    <row r="2" spans="1:17">
      <c r="A2" s="3" t="s">
        <v>63</v>
      </c>
      <c r="B2" s="4" t="s">
        <v>0</v>
      </c>
      <c r="C2" s="4" t="s">
        <v>33</v>
      </c>
      <c r="D2" s="4" t="s">
        <v>60</v>
      </c>
      <c r="E2" s="4" t="s">
        <v>62</v>
      </c>
      <c r="F2" s="4" t="s">
        <v>2</v>
      </c>
      <c r="G2" s="4" t="s">
        <v>3</v>
      </c>
      <c r="H2" s="4" t="s">
        <v>4</v>
      </c>
      <c r="I2" s="4" t="s">
        <v>2</v>
      </c>
      <c r="J2" s="4" t="s">
        <v>3</v>
      </c>
      <c r="K2" s="4" t="s">
        <v>4</v>
      </c>
      <c r="L2" s="4" t="s">
        <v>2</v>
      </c>
      <c r="M2" s="4" t="s">
        <v>3</v>
      </c>
      <c r="N2" s="4" t="s">
        <v>4</v>
      </c>
      <c r="O2" s="4" t="s">
        <v>2</v>
      </c>
      <c r="P2" s="4" t="s">
        <v>3</v>
      </c>
      <c r="Q2" s="4" t="s">
        <v>4</v>
      </c>
    </row>
    <row r="3" spans="1:17">
      <c r="A3" s="1">
        <v>10</v>
      </c>
      <c r="B3" s="1">
        <v>1</v>
      </c>
      <c r="C3" s="1">
        <v>0</v>
      </c>
      <c r="D3" s="1">
        <v>1000</v>
      </c>
      <c r="E3" s="1">
        <v>3888</v>
      </c>
      <c r="F3" s="1">
        <v>2</v>
      </c>
      <c r="G3" s="1" t="s">
        <v>64</v>
      </c>
      <c r="H3" s="1">
        <v>1000</v>
      </c>
      <c r="I3" s="1">
        <v>200998</v>
      </c>
      <c r="J3" s="1" t="str">
        <f>INDEX([1]物品基础表!$A:$A,MATCH(I3,[1]物品基础表!$B:$B,0))</f>
        <v>传世宝箱</v>
      </c>
      <c r="K3" s="1">
        <v>1</v>
      </c>
      <c r="L3" s="1">
        <v>204066</v>
      </c>
      <c r="M3" s="1" t="str">
        <f>INDEX([1]物品基础表!$A:$A,MATCH(L3,[1]物品基础表!$B:$B,0))</f>
        <v>玉佩升级道具1</v>
      </c>
      <c r="N3" s="1">
        <v>3</v>
      </c>
      <c r="O3" s="1">
        <v>204074</v>
      </c>
      <c r="P3" s="1" t="str">
        <f>INDEX([1]物品基础表!$A:$A,MATCH(O3,[1]物品基础表!$B:$B,0))</f>
        <v>每日超值礼包</v>
      </c>
      <c r="Q3" s="1">
        <v>1</v>
      </c>
    </row>
    <row r="4" spans="1:17">
      <c r="A4" s="1">
        <v>20</v>
      </c>
      <c r="B4" s="1">
        <v>1</v>
      </c>
      <c r="C4" s="1">
        <v>1</v>
      </c>
      <c r="D4" s="1">
        <v>2000</v>
      </c>
      <c r="E4" s="1">
        <v>8888</v>
      </c>
      <c r="F4" s="1">
        <v>200009</v>
      </c>
      <c r="G4" s="1" t="str">
        <f>INDEX([1]物品基础表!$A:$A,MATCH(F4,[1]物品基础表!$B:$B,0))</f>
        <v>高级转生丹</v>
      </c>
      <c r="H4" s="1">
        <v>1</v>
      </c>
      <c r="I4" s="1">
        <v>200009</v>
      </c>
      <c r="J4" s="1" t="str">
        <f>INDEX([1]物品基础表!$A:$A,MATCH(I4,[1]物品基础表!$B:$B,0))</f>
        <v>高级转生丹</v>
      </c>
      <c r="K4" s="1">
        <v>1</v>
      </c>
      <c r="L4" s="1">
        <v>200004</v>
      </c>
      <c r="M4" s="1" t="str">
        <f>INDEX([1]物品基础表!$A:$A,MATCH(L4,[1]物品基础表!$B:$B,0))</f>
        <v>经脉丹</v>
      </c>
      <c r="N4" s="1">
        <v>10</v>
      </c>
      <c r="O4" s="1">
        <v>204066</v>
      </c>
      <c r="P4" s="1" t="str">
        <f>INDEX([1]物品基础表!$A:$A,MATCH(O4,[1]物品基础表!$B:$B,0))</f>
        <v>玉佩升级道具1</v>
      </c>
      <c r="Q4" s="1">
        <v>3</v>
      </c>
    </row>
    <row r="5" spans="1:17">
      <c r="A5" s="1">
        <v>50</v>
      </c>
      <c r="B5" s="1">
        <v>1</v>
      </c>
      <c r="C5" s="1">
        <v>2</v>
      </c>
      <c r="D5" s="1">
        <v>5000</v>
      </c>
      <c r="E5" s="1">
        <v>12888</v>
      </c>
      <c r="F5" s="1">
        <v>200009</v>
      </c>
      <c r="G5" s="1" t="str">
        <f>INDEX([1]物品基础表!$A:$A,MATCH(F5,[1]物品基础表!$B:$B,0))</f>
        <v>高级转生丹</v>
      </c>
      <c r="H5" s="1">
        <v>1</v>
      </c>
      <c r="I5" s="1">
        <v>200009</v>
      </c>
      <c r="J5" s="1" t="str">
        <f>INDEX([1]物品基础表!$A:$A,MATCH(I5,[1]物品基础表!$B:$B,0))</f>
        <v>高级转生丹</v>
      </c>
      <c r="K5" s="1">
        <v>1</v>
      </c>
      <c r="L5" s="1">
        <v>200004</v>
      </c>
      <c r="M5" s="1" t="str">
        <f>INDEX([1]物品基础表!$A:$A,MATCH(L5,[1]物品基础表!$B:$B,0))</f>
        <v>经脉丹</v>
      </c>
      <c r="N5" s="1">
        <v>30</v>
      </c>
      <c r="O5" s="1">
        <v>1</v>
      </c>
      <c r="P5" s="1" t="s">
        <v>6</v>
      </c>
      <c r="Q5" s="1">
        <v>500000</v>
      </c>
    </row>
    <row r="6" spans="1:17">
      <c r="A6" s="1">
        <v>100</v>
      </c>
      <c r="B6" s="1">
        <v>1</v>
      </c>
      <c r="C6" s="1">
        <v>3</v>
      </c>
      <c r="D6" s="1">
        <v>10000</v>
      </c>
      <c r="E6" s="1">
        <v>32888</v>
      </c>
      <c r="F6" s="1">
        <v>201006</v>
      </c>
      <c r="G6" s="1" t="str">
        <f>INDEX([1]物品基础表!$A:$A,MATCH(F6,[1]物品基础表!$B:$B,0))</f>
        <v>橙色图鉴包·美女如云</v>
      </c>
      <c r="H6" s="1">
        <v>1</v>
      </c>
      <c r="I6" s="1">
        <v>200998</v>
      </c>
      <c r="J6" s="1" t="str">
        <f>INDEX([1]物品基础表!$A:$A,MATCH(I6,[1]物品基础表!$B:$B,0))</f>
        <v>传世宝箱</v>
      </c>
      <c r="K6" s="1">
        <v>1</v>
      </c>
      <c r="L6" s="1">
        <v>200004</v>
      </c>
      <c r="M6" s="1" t="str">
        <f>INDEX([1]物品基础表!$A:$A,MATCH(L6,[1]物品基础表!$B:$B,0))</f>
        <v>经脉丹</v>
      </c>
      <c r="N6" s="1">
        <v>10</v>
      </c>
      <c r="O6" s="1">
        <v>204068</v>
      </c>
      <c r="P6" s="1" t="str">
        <f>INDEX([1]物品基础表!$A:$A,MATCH(O6,[1]物品基础表!$B:$B,0))</f>
        <v>玉佩升级道具3</v>
      </c>
      <c r="Q6" s="1">
        <v>1</v>
      </c>
    </row>
    <row r="7" spans="1:17">
      <c r="A7" s="1">
        <v>200</v>
      </c>
      <c r="B7" s="1">
        <v>1</v>
      </c>
      <c r="C7" s="1">
        <v>4</v>
      </c>
      <c r="D7" s="1">
        <v>20000</v>
      </c>
      <c r="E7" s="1">
        <v>58888</v>
      </c>
      <c r="F7" s="1">
        <v>201006</v>
      </c>
      <c r="G7" s="1" t="str">
        <f>INDEX([1]物品基础表!$A:$A,MATCH(F7,[1]物品基础表!$B:$B,0))</f>
        <v>橙色图鉴包·美女如云</v>
      </c>
      <c r="H7" s="1">
        <v>1</v>
      </c>
      <c r="I7" s="1">
        <v>200998</v>
      </c>
      <c r="J7" s="1" t="str">
        <f>INDEX([1]物品基础表!$A:$A,MATCH(I7,[1]物品基础表!$B:$B,0))</f>
        <v>传世宝箱</v>
      </c>
      <c r="K7" s="1">
        <v>1</v>
      </c>
      <c r="L7" s="1">
        <v>200004</v>
      </c>
      <c r="M7" s="1" t="str">
        <f>INDEX([1]物品基础表!$A:$A,MATCH(L7,[1]物品基础表!$B:$B,0))</f>
        <v>经脉丹</v>
      </c>
      <c r="N7" s="1">
        <v>20</v>
      </c>
      <c r="O7" s="1">
        <v>1</v>
      </c>
      <c r="P7" s="1" t="s">
        <v>6</v>
      </c>
      <c r="Q7" s="1">
        <v>1000000</v>
      </c>
    </row>
    <row r="8" spans="1:17">
      <c r="A8" s="1">
        <v>500</v>
      </c>
      <c r="B8" s="1">
        <v>1</v>
      </c>
      <c r="C8" s="1">
        <v>5</v>
      </c>
      <c r="D8" s="1">
        <v>50000</v>
      </c>
      <c r="E8" s="1">
        <v>88888</v>
      </c>
      <c r="F8" s="1">
        <v>201007</v>
      </c>
      <c r="G8" s="1" t="str">
        <f>INDEX([1]物品基础表!$A:$A,MATCH(F8,[1]物品基础表!$B:$B,0))</f>
        <v>红色图鉴包·美女如云</v>
      </c>
      <c r="H8" s="1">
        <v>1</v>
      </c>
      <c r="I8" s="1">
        <v>200165</v>
      </c>
      <c r="J8" s="1" t="str">
        <f>INDEX([1]物品基础表!$A:$A,MATCH(I8,[1]物品基础表!$B:$B,0))</f>
        <v>寻宝卷</v>
      </c>
      <c r="K8" s="1">
        <v>5</v>
      </c>
      <c r="L8" s="1">
        <v>200004</v>
      </c>
      <c r="M8" s="1" t="str">
        <f>INDEX([1]物品基础表!$A:$A,MATCH(L8,[1]物品基础表!$B:$B,0))</f>
        <v>经脉丹</v>
      </c>
      <c r="N8" s="1">
        <v>30</v>
      </c>
      <c r="O8" s="1">
        <v>1</v>
      </c>
      <c r="P8" s="1" t="s">
        <v>6</v>
      </c>
      <c r="Q8" s="1">
        <v>1250000</v>
      </c>
    </row>
    <row r="9" spans="1:17">
      <c r="A9" s="1">
        <v>1000</v>
      </c>
      <c r="B9" s="1">
        <v>1</v>
      </c>
      <c r="C9" s="1">
        <v>6</v>
      </c>
      <c r="D9" s="1">
        <v>100000</v>
      </c>
      <c r="E9" s="1">
        <v>118888</v>
      </c>
      <c r="F9" s="1">
        <v>201007</v>
      </c>
      <c r="G9" s="1" t="str">
        <f>INDEX([1]物品基础表!$A:$A,MATCH(F9,[1]物品基础表!$B:$B,0))</f>
        <v>红色图鉴包·美女如云</v>
      </c>
      <c r="H9" s="1">
        <v>1</v>
      </c>
      <c r="I9" s="1">
        <v>200165</v>
      </c>
      <c r="J9" s="1" t="str">
        <f>INDEX([1]物品基础表!$A:$A,MATCH(I9,[1]物品基础表!$B:$B,0))</f>
        <v>寻宝卷</v>
      </c>
      <c r="K9" s="1">
        <v>5</v>
      </c>
      <c r="L9" s="1">
        <v>200004</v>
      </c>
      <c r="M9" s="1" t="str">
        <f>INDEX([1]物品基础表!$A:$A,MATCH(L9,[1]物品基础表!$B:$B,0))</f>
        <v>经脉丹</v>
      </c>
      <c r="N9" s="1">
        <v>40</v>
      </c>
      <c r="O9" s="1">
        <v>1</v>
      </c>
      <c r="P9" s="1" t="s">
        <v>6</v>
      </c>
      <c r="Q9" s="1">
        <v>1500000</v>
      </c>
    </row>
    <row r="10" spans="1:17">
      <c r="A10" s="1">
        <v>2000</v>
      </c>
      <c r="B10" s="1">
        <v>1</v>
      </c>
      <c r="C10" s="1">
        <v>7</v>
      </c>
      <c r="D10" s="1">
        <v>200000</v>
      </c>
      <c r="E10" s="1">
        <v>188888</v>
      </c>
      <c r="F10" s="1">
        <v>201007</v>
      </c>
      <c r="G10" s="1" t="str">
        <f>INDEX([1]物品基础表!$A:$A,MATCH(F10,[1]物品基础表!$B:$B,0))</f>
        <v>红色图鉴包·美女如云</v>
      </c>
      <c r="H10" s="1">
        <v>2</v>
      </c>
      <c r="I10" s="1">
        <v>200165</v>
      </c>
      <c r="J10" s="1" t="str">
        <f>INDEX([1]物品基础表!$A:$A,MATCH(I10,[1]物品基础表!$B:$B,0))</f>
        <v>寻宝卷</v>
      </c>
      <c r="K10" s="1">
        <v>5</v>
      </c>
      <c r="L10" s="1">
        <v>200004</v>
      </c>
      <c r="M10" s="1" t="str">
        <f>INDEX([1]物品基础表!$A:$A,MATCH(L10,[1]物品基础表!$B:$B,0))</f>
        <v>经脉丹</v>
      </c>
      <c r="N10" s="1">
        <v>50</v>
      </c>
      <c r="O10" s="1">
        <v>1</v>
      </c>
      <c r="P10" s="1" t="s">
        <v>6</v>
      </c>
      <c r="Q10" s="1">
        <v>2000000</v>
      </c>
    </row>
    <row r="11" spans="1:17">
      <c r="A11" s="1">
        <v>5000</v>
      </c>
      <c r="B11" s="1">
        <v>1</v>
      </c>
      <c r="C11" s="1">
        <v>8</v>
      </c>
      <c r="D11" s="1">
        <v>500000</v>
      </c>
      <c r="E11" s="1">
        <v>258888</v>
      </c>
      <c r="F11" s="1">
        <v>201008</v>
      </c>
      <c r="G11" s="1" t="str">
        <f>INDEX([1]物品基础表!$A:$A,MATCH(F11,[1]物品基础表!$B:$B,0))</f>
        <v>金色图鉴包·美女如云</v>
      </c>
      <c r="H11" s="1">
        <v>1</v>
      </c>
      <c r="I11" s="1">
        <v>200165</v>
      </c>
      <c r="J11" s="1" t="str">
        <f>INDEX([1]物品基础表!$A:$A,MATCH(I11,[1]物品基础表!$B:$B,0))</f>
        <v>寻宝卷</v>
      </c>
      <c r="K11" s="1">
        <v>10</v>
      </c>
      <c r="L11" s="1">
        <v>200004</v>
      </c>
      <c r="M11" s="1" t="str">
        <f>INDEX([1]物品基础表!$A:$A,MATCH(L11,[1]物品基础表!$B:$B,0))</f>
        <v>经脉丹</v>
      </c>
      <c r="N11" s="1">
        <v>100</v>
      </c>
      <c r="O11" s="1">
        <v>1</v>
      </c>
      <c r="P11" s="1" t="s">
        <v>6</v>
      </c>
      <c r="Q11" s="1">
        <v>3000000</v>
      </c>
    </row>
    <row r="12" spans="1:17">
      <c r="A12" s="1">
        <v>10000</v>
      </c>
      <c r="B12" s="1">
        <v>1</v>
      </c>
      <c r="C12" s="1">
        <v>9</v>
      </c>
      <c r="D12" s="1">
        <v>1000000</v>
      </c>
      <c r="E12" s="1">
        <v>308888</v>
      </c>
      <c r="F12" s="1">
        <v>201008</v>
      </c>
      <c r="G12" s="1" t="str">
        <f>INDEX([1]物品基础表!$A:$A,MATCH(F12,[1]物品基础表!$B:$B,0))</f>
        <v>金色图鉴包·美女如云</v>
      </c>
      <c r="H12" s="1">
        <v>1</v>
      </c>
      <c r="I12" s="1">
        <v>200165</v>
      </c>
      <c r="J12" s="1" t="str">
        <f>INDEX([1]物品基础表!$A:$A,MATCH(I12,[1]物品基础表!$B:$B,0))</f>
        <v>寻宝卷</v>
      </c>
      <c r="K12" s="1">
        <v>20</v>
      </c>
      <c r="L12" s="1">
        <v>200166</v>
      </c>
      <c r="M12" s="1" t="str">
        <f>INDEX([1]物品基础表!$A:$A,MATCH(L12,[1]物品基础表!$B:$B,0))</f>
        <v>寻宝卷</v>
      </c>
      <c r="N12" s="1">
        <v>20</v>
      </c>
      <c r="O12" s="1">
        <v>200208</v>
      </c>
      <c r="P12" s="1" t="str">
        <f>INDEX([1]物品基础表!$A:$A,MATCH(O12,[1]物品基础表!$B:$B,0))</f>
        <v>烈焰印记低级升级材料</v>
      </c>
      <c r="Q12" s="1">
        <v>1000</v>
      </c>
    </row>
    <row r="13" spans="1:17">
      <c r="A13" s="1">
        <v>10</v>
      </c>
      <c r="B13" s="1">
        <v>2</v>
      </c>
      <c r="C13" s="1">
        <v>0</v>
      </c>
      <c r="D13" s="1">
        <v>1000</v>
      </c>
      <c r="E13" s="1">
        <v>3888</v>
      </c>
      <c r="F13" s="1">
        <v>2</v>
      </c>
      <c r="G13" s="1" t="s">
        <v>64</v>
      </c>
      <c r="H13" s="1">
        <v>1000</v>
      </c>
      <c r="I13" s="1">
        <v>200153</v>
      </c>
      <c r="J13" s="1" t="str">
        <f>INDEX([1]物品基础表!$A:$A,MATCH(I13,[1]物品基础表!$B:$B,0))</f>
        <v>传世宝箱</v>
      </c>
      <c r="K13" s="1">
        <v>1</v>
      </c>
      <c r="L13" s="1">
        <v>204066</v>
      </c>
      <c r="M13" s="1" t="str">
        <f>INDEX([1]物品基础表!$A:$A,MATCH(L13,[1]物品基础表!$B:$B,0))</f>
        <v>玉佩升级道具1</v>
      </c>
      <c r="N13" s="1">
        <v>3</v>
      </c>
      <c r="O13" s="1">
        <v>204074</v>
      </c>
      <c r="P13" s="1" t="str">
        <f>INDEX([1]物品基础表!$A:$A,MATCH(O13,[1]物品基础表!$B:$B,0))</f>
        <v>每日超值礼包</v>
      </c>
      <c r="Q13" s="1">
        <v>1</v>
      </c>
    </row>
    <row r="14" spans="1:17">
      <c r="A14" s="1">
        <v>20</v>
      </c>
      <c r="B14" s="1">
        <v>2</v>
      </c>
      <c r="C14" s="1">
        <v>1</v>
      </c>
      <c r="D14" s="1">
        <v>2000</v>
      </c>
      <c r="E14" s="1">
        <v>8888</v>
      </c>
      <c r="F14" s="1">
        <v>200009</v>
      </c>
      <c r="G14" s="1" t="str">
        <f>INDEX([1]物品基础表!$A:$A,MATCH(F14,[1]物品基础表!$B:$B,0))</f>
        <v>高级转生丹</v>
      </c>
      <c r="H14" s="1">
        <v>1</v>
      </c>
      <c r="I14" s="1">
        <v>200009</v>
      </c>
      <c r="J14" s="1" t="str">
        <f>INDEX([1]物品基础表!$A:$A,MATCH(I14,[1]物品基础表!$B:$B,0))</f>
        <v>高级转生丹</v>
      </c>
      <c r="K14" s="1">
        <v>1</v>
      </c>
      <c r="L14" s="1">
        <v>200004</v>
      </c>
      <c r="M14" s="1" t="str">
        <f>INDEX([1]物品基础表!$A:$A,MATCH(L14,[1]物品基础表!$B:$B,0))</f>
        <v>经脉丹</v>
      </c>
      <c r="N14" s="1">
        <v>10</v>
      </c>
      <c r="O14" s="1">
        <v>204066</v>
      </c>
      <c r="P14" s="1" t="str">
        <f>INDEX([1]物品基础表!$A:$A,MATCH(O14,[1]物品基础表!$B:$B,0))</f>
        <v>玉佩升级道具1</v>
      </c>
      <c r="Q14" s="1">
        <v>3</v>
      </c>
    </row>
    <row r="15" spans="1:17">
      <c r="A15" s="1">
        <v>50</v>
      </c>
      <c r="B15" s="1">
        <v>2</v>
      </c>
      <c r="C15" s="1">
        <v>2</v>
      </c>
      <c r="D15" s="1">
        <v>5000</v>
      </c>
      <c r="E15" s="1">
        <v>12888</v>
      </c>
      <c r="F15" s="1">
        <v>200009</v>
      </c>
      <c r="G15" s="1" t="str">
        <f>INDEX([1]物品基础表!$A:$A,MATCH(F15,[1]物品基础表!$B:$B,0))</f>
        <v>高级转生丹</v>
      </c>
      <c r="H15" s="1">
        <v>1</v>
      </c>
      <c r="I15" s="1">
        <v>200009</v>
      </c>
      <c r="J15" s="1" t="str">
        <f>INDEX([1]物品基础表!$A:$A,MATCH(I15,[1]物品基础表!$B:$B,0))</f>
        <v>高级转生丹</v>
      </c>
      <c r="K15" s="1">
        <v>1</v>
      </c>
      <c r="L15" s="1">
        <v>200004</v>
      </c>
      <c r="M15" s="1" t="str">
        <f>INDEX([1]物品基础表!$A:$A,MATCH(L15,[1]物品基础表!$B:$B,0))</f>
        <v>经脉丹</v>
      </c>
      <c r="N15" s="1">
        <v>30</v>
      </c>
      <c r="O15" s="1">
        <v>1</v>
      </c>
      <c r="P15" s="1" t="s">
        <v>6</v>
      </c>
      <c r="Q15" s="1">
        <v>500000</v>
      </c>
    </row>
    <row r="16" spans="1:17">
      <c r="A16" s="1">
        <v>100</v>
      </c>
      <c r="B16" s="1">
        <v>2</v>
      </c>
      <c r="C16" s="1">
        <v>3</v>
      </c>
      <c r="D16" s="1">
        <v>10000</v>
      </c>
      <c r="E16" s="1">
        <v>32888</v>
      </c>
      <c r="F16" s="1">
        <v>201006</v>
      </c>
      <c r="G16" s="1" t="str">
        <f>INDEX([1]物品基础表!$A:$A,MATCH(F16,[1]物品基础表!$B:$B,0))</f>
        <v>橙色图鉴包·美女如云</v>
      </c>
      <c r="H16" s="1">
        <v>1</v>
      </c>
      <c r="I16" s="1">
        <v>200153</v>
      </c>
      <c r="J16" s="1" t="str">
        <f>INDEX([1]物品基础表!$A:$A,MATCH(I16,[1]物品基础表!$B:$B,0))</f>
        <v>传世宝箱</v>
      </c>
      <c r="K16" s="1">
        <v>1</v>
      </c>
      <c r="L16" s="1">
        <v>200004</v>
      </c>
      <c r="M16" s="1" t="str">
        <f>INDEX([1]物品基础表!$A:$A,MATCH(L16,[1]物品基础表!$B:$B,0))</f>
        <v>经脉丹</v>
      </c>
      <c r="N16" s="1">
        <v>10</v>
      </c>
      <c r="O16" s="1">
        <v>204068</v>
      </c>
      <c r="P16" s="1" t="str">
        <f>INDEX([1]物品基础表!$A:$A,MATCH(O16,[1]物品基础表!$B:$B,0))</f>
        <v>玉佩升级道具3</v>
      </c>
      <c r="Q16" s="1">
        <v>1</v>
      </c>
    </row>
    <row r="17" spans="1:17">
      <c r="A17" s="1">
        <v>200</v>
      </c>
      <c r="B17" s="1">
        <v>2</v>
      </c>
      <c r="C17" s="1">
        <v>4</v>
      </c>
      <c r="D17" s="1">
        <v>20000</v>
      </c>
      <c r="E17" s="1">
        <v>58888</v>
      </c>
      <c r="F17" s="1">
        <v>201006</v>
      </c>
      <c r="G17" s="1" t="str">
        <f>INDEX([1]物品基础表!$A:$A,MATCH(F17,[1]物品基础表!$B:$B,0))</f>
        <v>橙色图鉴包·美女如云</v>
      </c>
      <c r="H17" s="1">
        <v>1</v>
      </c>
      <c r="I17" s="1">
        <v>200153</v>
      </c>
      <c r="J17" s="1" t="str">
        <f>INDEX([1]物品基础表!$A:$A,MATCH(I17,[1]物品基础表!$B:$B,0))</f>
        <v>传世宝箱</v>
      </c>
      <c r="K17" s="1">
        <v>1</v>
      </c>
      <c r="L17" s="1">
        <v>200004</v>
      </c>
      <c r="M17" s="1" t="str">
        <f>INDEX([1]物品基础表!$A:$A,MATCH(L17,[1]物品基础表!$B:$B,0))</f>
        <v>经脉丹</v>
      </c>
      <c r="N17" s="1">
        <v>20</v>
      </c>
      <c r="O17" s="1">
        <v>1</v>
      </c>
      <c r="P17" s="1" t="s">
        <v>6</v>
      </c>
      <c r="Q17" s="1">
        <v>1000000</v>
      </c>
    </row>
    <row r="18" spans="1:17">
      <c r="A18" s="1">
        <v>500</v>
      </c>
      <c r="B18" s="1">
        <v>2</v>
      </c>
      <c r="C18" s="1">
        <v>5</v>
      </c>
      <c r="D18" s="1">
        <v>50000</v>
      </c>
      <c r="E18" s="1">
        <v>88888</v>
      </c>
      <c r="F18" s="1">
        <v>201007</v>
      </c>
      <c r="G18" s="1" t="str">
        <f>INDEX([1]物品基础表!$A:$A,MATCH(F18,[1]物品基础表!$B:$B,0))</f>
        <v>红色图鉴包·美女如云</v>
      </c>
      <c r="H18" s="1">
        <v>1</v>
      </c>
      <c r="I18" s="1">
        <v>200165</v>
      </c>
      <c r="J18" s="1" t="str">
        <f>INDEX([1]物品基础表!$A:$A,MATCH(I18,[1]物品基础表!$B:$B,0))</f>
        <v>寻宝卷</v>
      </c>
      <c r="K18" s="1">
        <v>5</v>
      </c>
      <c r="L18" s="1">
        <v>200004</v>
      </c>
      <c r="M18" s="1" t="str">
        <f>INDEX([1]物品基础表!$A:$A,MATCH(L18,[1]物品基础表!$B:$B,0))</f>
        <v>经脉丹</v>
      </c>
      <c r="N18" s="1">
        <v>30</v>
      </c>
      <c r="O18" s="1">
        <v>1</v>
      </c>
      <c r="P18" s="1" t="s">
        <v>6</v>
      </c>
      <c r="Q18" s="1">
        <v>1250000</v>
      </c>
    </row>
    <row r="19" spans="1:17">
      <c r="A19" s="1">
        <v>1000</v>
      </c>
      <c r="B19" s="1">
        <v>2</v>
      </c>
      <c r="C19" s="1">
        <v>6</v>
      </c>
      <c r="D19" s="1">
        <v>100000</v>
      </c>
      <c r="E19" s="1">
        <v>118888</v>
      </c>
      <c r="F19" s="1">
        <v>201007</v>
      </c>
      <c r="G19" s="1" t="str">
        <f>INDEX([1]物品基础表!$A:$A,MATCH(F19,[1]物品基础表!$B:$B,0))</f>
        <v>红色图鉴包·美女如云</v>
      </c>
      <c r="H19" s="1">
        <v>1</v>
      </c>
      <c r="I19" s="1">
        <v>200165</v>
      </c>
      <c r="J19" s="1" t="str">
        <f>INDEX([1]物品基础表!$A:$A,MATCH(I19,[1]物品基础表!$B:$B,0))</f>
        <v>寻宝卷</v>
      </c>
      <c r="K19" s="1">
        <v>5</v>
      </c>
      <c r="L19" s="1">
        <v>200004</v>
      </c>
      <c r="M19" s="1" t="str">
        <f>INDEX([1]物品基础表!$A:$A,MATCH(L19,[1]物品基础表!$B:$B,0))</f>
        <v>经脉丹</v>
      </c>
      <c r="N19" s="1">
        <v>40</v>
      </c>
      <c r="O19" s="1">
        <v>1</v>
      </c>
      <c r="P19" s="1" t="s">
        <v>6</v>
      </c>
      <c r="Q19" s="1">
        <v>1500000</v>
      </c>
    </row>
    <row r="20" spans="1:17">
      <c r="A20" s="1">
        <v>2000</v>
      </c>
      <c r="B20" s="1">
        <v>2</v>
      </c>
      <c r="C20" s="1">
        <v>7</v>
      </c>
      <c r="D20" s="1">
        <v>200000</v>
      </c>
      <c r="E20" s="1">
        <v>188888</v>
      </c>
      <c r="F20" s="1">
        <v>201007</v>
      </c>
      <c r="G20" s="1" t="str">
        <f>INDEX([1]物品基础表!$A:$A,MATCH(F20,[1]物品基础表!$B:$B,0))</f>
        <v>红色图鉴包·美女如云</v>
      </c>
      <c r="H20" s="1">
        <v>2</v>
      </c>
      <c r="I20" s="1">
        <v>200165</v>
      </c>
      <c r="J20" s="1" t="str">
        <f>INDEX([1]物品基础表!$A:$A,MATCH(I20,[1]物品基础表!$B:$B,0))</f>
        <v>寻宝卷</v>
      </c>
      <c r="K20" s="1">
        <v>5</v>
      </c>
      <c r="L20" s="1">
        <v>200004</v>
      </c>
      <c r="M20" s="1" t="str">
        <f>INDEX([1]物品基础表!$A:$A,MATCH(L20,[1]物品基础表!$B:$B,0))</f>
        <v>经脉丹</v>
      </c>
      <c r="N20" s="1">
        <v>50</v>
      </c>
      <c r="O20" s="1">
        <v>1</v>
      </c>
      <c r="P20" s="1" t="s">
        <v>6</v>
      </c>
      <c r="Q20" s="1">
        <v>2000000</v>
      </c>
    </row>
    <row r="21" spans="1:17">
      <c r="A21" s="1">
        <v>5000</v>
      </c>
      <c r="B21" s="1">
        <v>2</v>
      </c>
      <c r="C21" s="1">
        <v>8</v>
      </c>
      <c r="D21" s="1">
        <v>500000</v>
      </c>
      <c r="E21" s="1">
        <v>258888</v>
      </c>
      <c r="F21" s="1">
        <v>201008</v>
      </c>
      <c r="G21" s="1" t="str">
        <f>INDEX([1]物品基础表!$A:$A,MATCH(F21,[1]物品基础表!$B:$B,0))</f>
        <v>金色图鉴包·美女如云</v>
      </c>
      <c r="H21" s="1">
        <v>1</v>
      </c>
      <c r="I21" s="1">
        <v>200165</v>
      </c>
      <c r="J21" s="1" t="str">
        <f>INDEX([1]物品基础表!$A:$A,MATCH(I21,[1]物品基础表!$B:$B,0))</f>
        <v>寻宝卷</v>
      </c>
      <c r="K21" s="1">
        <v>10</v>
      </c>
      <c r="L21" s="1">
        <v>200004</v>
      </c>
      <c r="M21" s="1" t="str">
        <f>INDEX([1]物品基础表!$A:$A,MATCH(L21,[1]物品基础表!$B:$B,0))</f>
        <v>经脉丹</v>
      </c>
      <c r="N21" s="1">
        <v>100</v>
      </c>
      <c r="O21" s="1">
        <v>1</v>
      </c>
      <c r="P21" s="1" t="s">
        <v>6</v>
      </c>
      <c r="Q21" s="1">
        <v>3000000</v>
      </c>
    </row>
    <row r="22" spans="1:17">
      <c r="A22" s="1">
        <v>10000</v>
      </c>
      <c r="B22" s="1">
        <v>2</v>
      </c>
      <c r="C22" s="1">
        <v>9</v>
      </c>
      <c r="D22" s="1">
        <v>1000000</v>
      </c>
      <c r="E22" s="1">
        <v>308888</v>
      </c>
      <c r="F22" s="1">
        <v>201008</v>
      </c>
      <c r="G22" s="1" t="str">
        <f>INDEX([1]物品基础表!$A:$A,MATCH(F22,[1]物品基础表!$B:$B,0))</f>
        <v>金色图鉴包·美女如云</v>
      </c>
      <c r="H22" s="1">
        <v>1</v>
      </c>
      <c r="I22" s="1">
        <v>200165</v>
      </c>
      <c r="J22" s="1" t="str">
        <f>INDEX([1]物品基础表!$A:$A,MATCH(I22,[1]物品基础表!$B:$B,0))</f>
        <v>寻宝卷</v>
      </c>
      <c r="K22" s="1">
        <v>20</v>
      </c>
      <c r="L22" s="1">
        <v>200166</v>
      </c>
      <c r="M22" s="1" t="str">
        <f>INDEX([1]物品基础表!$A:$A,MATCH(L22,[1]物品基础表!$B:$B,0))</f>
        <v>寻宝卷</v>
      </c>
      <c r="N22" s="1">
        <v>20</v>
      </c>
      <c r="O22" s="1">
        <v>200208</v>
      </c>
      <c r="P22" s="1" t="str">
        <f>INDEX([1]物品基础表!$A:$A,MATCH(O22,[1]物品基础表!$B:$B,0))</f>
        <v>烈焰印记低级升级材料</v>
      </c>
      <c r="Q22" s="1">
        <v>1000</v>
      </c>
    </row>
    <row r="23" spans="1:17">
      <c r="A23" s="1">
        <v>10</v>
      </c>
      <c r="B23" s="1">
        <v>3</v>
      </c>
      <c r="C23" s="1">
        <v>0</v>
      </c>
      <c r="D23" s="1">
        <v>1000</v>
      </c>
      <c r="E23" s="1">
        <v>3888</v>
      </c>
      <c r="F23" s="1">
        <v>2</v>
      </c>
      <c r="G23" s="1" t="s">
        <v>64</v>
      </c>
      <c r="H23" s="1">
        <v>1000</v>
      </c>
      <c r="I23" s="1">
        <v>200998</v>
      </c>
      <c r="J23" s="1" t="str">
        <f>INDEX([1]物品基础表!$A:$A,MATCH(I23,[1]物品基础表!$B:$B,0))</f>
        <v>传世宝箱</v>
      </c>
      <c r="K23" s="1">
        <v>1</v>
      </c>
      <c r="L23" s="1">
        <v>204066</v>
      </c>
      <c r="M23" s="1" t="str">
        <f>INDEX([1]物品基础表!$A:$A,MATCH(L23,[1]物品基础表!$B:$B,0))</f>
        <v>玉佩升级道具1</v>
      </c>
      <c r="N23" s="1">
        <v>3</v>
      </c>
      <c r="O23" s="1">
        <v>204074</v>
      </c>
      <c r="P23" s="1" t="str">
        <f>INDEX([1]物品基础表!$A:$A,MATCH(O23,[1]物品基础表!$B:$B,0))</f>
        <v>每日超值礼包</v>
      </c>
      <c r="Q23" s="1">
        <v>1</v>
      </c>
    </row>
    <row r="24" spans="1:17">
      <c r="A24" s="1">
        <v>20</v>
      </c>
      <c r="B24" s="1">
        <v>3</v>
      </c>
      <c r="C24" s="1">
        <v>1</v>
      </c>
      <c r="D24" s="1">
        <v>2000</v>
      </c>
      <c r="E24" s="1">
        <v>8888</v>
      </c>
      <c r="F24" s="1">
        <v>200009</v>
      </c>
      <c r="G24" s="1" t="str">
        <f>INDEX([1]物品基础表!$A:$A,MATCH(F24,[1]物品基础表!$B:$B,0))</f>
        <v>高级转生丹</v>
      </c>
      <c r="H24" s="1">
        <v>1</v>
      </c>
      <c r="I24" s="1">
        <v>200009</v>
      </c>
      <c r="J24" s="1" t="str">
        <f>INDEX([1]物品基础表!$A:$A,MATCH(I24,[1]物品基础表!$B:$B,0))</f>
        <v>高级转生丹</v>
      </c>
      <c r="K24" s="1">
        <v>1</v>
      </c>
      <c r="L24" s="1">
        <v>200004</v>
      </c>
      <c r="M24" s="1" t="str">
        <f>INDEX([1]物品基础表!$A:$A,MATCH(L24,[1]物品基础表!$B:$B,0))</f>
        <v>经脉丹</v>
      </c>
      <c r="N24" s="1">
        <v>10</v>
      </c>
      <c r="O24" s="1">
        <v>204066</v>
      </c>
      <c r="P24" s="1" t="str">
        <f>INDEX([1]物品基础表!$A:$A,MATCH(O24,[1]物品基础表!$B:$B,0))</f>
        <v>玉佩升级道具1</v>
      </c>
      <c r="Q24" s="1">
        <v>3</v>
      </c>
    </row>
    <row r="25" spans="1:17">
      <c r="A25" s="1">
        <v>50</v>
      </c>
      <c r="B25" s="1">
        <v>3</v>
      </c>
      <c r="C25" s="1">
        <v>2</v>
      </c>
      <c r="D25" s="1">
        <v>5000</v>
      </c>
      <c r="E25" s="1">
        <v>12888</v>
      </c>
      <c r="F25" s="1">
        <v>200009</v>
      </c>
      <c r="G25" s="1" t="str">
        <f>INDEX([1]物品基础表!$A:$A,MATCH(F25,[1]物品基础表!$B:$B,0))</f>
        <v>高级转生丹</v>
      </c>
      <c r="H25" s="1">
        <v>1</v>
      </c>
      <c r="I25" s="1">
        <v>200009</v>
      </c>
      <c r="J25" s="1" t="str">
        <f>INDEX([1]物品基础表!$A:$A,MATCH(I25,[1]物品基础表!$B:$B,0))</f>
        <v>高级转生丹</v>
      </c>
      <c r="K25" s="1">
        <v>1</v>
      </c>
      <c r="L25" s="1">
        <v>200004</v>
      </c>
      <c r="M25" s="1" t="str">
        <f>INDEX([1]物品基础表!$A:$A,MATCH(L25,[1]物品基础表!$B:$B,0))</f>
        <v>经脉丹</v>
      </c>
      <c r="N25" s="1">
        <v>30</v>
      </c>
      <c r="O25" s="1">
        <v>1</v>
      </c>
      <c r="P25" s="1" t="s">
        <v>6</v>
      </c>
      <c r="Q25" s="1">
        <v>500000</v>
      </c>
    </row>
    <row r="26" spans="1:17">
      <c r="A26" s="1">
        <v>100</v>
      </c>
      <c r="B26" s="1">
        <v>3</v>
      </c>
      <c r="C26" s="1">
        <v>3</v>
      </c>
      <c r="D26" s="1">
        <v>10000</v>
      </c>
      <c r="E26" s="1">
        <v>32888</v>
      </c>
      <c r="F26" s="1">
        <v>201006</v>
      </c>
      <c r="G26" s="1" t="str">
        <f>INDEX([1]物品基础表!$A:$A,MATCH(F26,[1]物品基础表!$B:$B,0))</f>
        <v>橙色图鉴包·美女如云</v>
      </c>
      <c r="H26" s="1">
        <v>1</v>
      </c>
      <c r="I26" s="1">
        <v>200998</v>
      </c>
      <c r="J26" s="1" t="str">
        <f>INDEX([1]物品基础表!$A:$A,MATCH(I26,[1]物品基础表!$B:$B,0))</f>
        <v>传世宝箱</v>
      </c>
      <c r="K26" s="1">
        <v>1</v>
      </c>
      <c r="L26" s="1">
        <v>200004</v>
      </c>
      <c r="M26" s="1" t="str">
        <f>INDEX([1]物品基础表!$A:$A,MATCH(L26,[1]物品基础表!$B:$B,0))</f>
        <v>经脉丹</v>
      </c>
      <c r="N26" s="1">
        <v>10</v>
      </c>
      <c r="O26" s="1">
        <v>204068</v>
      </c>
      <c r="P26" s="1" t="str">
        <f>INDEX([1]物品基础表!$A:$A,MATCH(O26,[1]物品基础表!$B:$B,0))</f>
        <v>玉佩升级道具3</v>
      </c>
      <c r="Q26" s="1">
        <v>1</v>
      </c>
    </row>
    <row r="27" spans="1:17">
      <c r="A27" s="1">
        <v>200</v>
      </c>
      <c r="B27" s="1">
        <v>3</v>
      </c>
      <c r="C27" s="1">
        <v>4</v>
      </c>
      <c r="D27" s="1">
        <v>20000</v>
      </c>
      <c r="E27" s="1">
        <v>58888</v>
      </c>
      <c r="F27" s="1">
        <v>201006</v>
      </c>
      <c r="G27" s="1" t="str">
        <f>INDEX([1]物品基础表!$A:$A,MATCH(F27,[1]物品基础表!$B:$B,0))</f>
        <v>橙色图鉴包·美女如云</v>
      </c>
      <c r="H27" s="1">
        <v>1</v>
      </c>
      <c r="I27" s="1">
        <v>200998</v>
      </c>
      <c r="J27" s="1" t="str">
        <f>INDEX([1]物品基础表!$A:$A,MATCH(I27,[1]物品基础表!$B:$B,0))</f>
        <v>传世宝箱</v>
      </c>
      <c r="K27" s="1">
        <v>1</v>
      </c>
      <c r="L27" s="1">
        <v>200004</v>
      </c>
      <c r="M27" s="1" t="str">
        <f>INDEX([1]物品基础表!$A:$A,MATCH(L27,[1]物品基础表!$B:$B,0))</f>
        <v>经脉丹</v>
      </c>
      <c r="N27" s="1">
        <v>20</v>
      </c>
      <c r="O27" s="1">
        <v>1</v>
      </c>
      <c r="P27" s="1" t="s">
        <v>6</v>
      </c>
      <c r="Q27" s="1">
        <v>1000000</v>
      </c>
    </row>
    <row r="28" spans="1:17">
      <c r="A28" s="1">
        <v>500</v>
      </c>
      <c r="B28" s="1">
        <v>3</v>
      </c>
      <c r="C28" s="1">
        <v>5</v>
      </c>
      <c r="D28" s="1">
        <v>50000</v>
      </c>
      <c r="E28" s="1">
        <v>88888</v>
      </c>
      <c r="F28" s="1">
        <v>201007</v>
      </c>
      <c r="G28" s="1" t="str">
        <f>INDEX([1]物品基础表!$A:$A,MATCH(F28,[1]物品基础表!$B:$B,0))</f>
        <v>红色图鉴包·美女如云</v>
      </c>
      <c r="H28" s="1">
        <v>1</v>
      </c>
      <c r="I28" s="1">
        <v>200165</v>
      </c>
      <c r="J28" s="1" t="str">
        <f>INDEX([1]物品基础表!$A:$A,MATCH(I28,[1]物品基础表!$B:$B,0))</f>
        <v>寻宝卷</v>
      </c>
      <c r="K28" s="1">
        <v>5</v>
      </c>
      <c r="L28" s="1">
        <v>200004</v>
      </c>
      <c r="M28" s="1" t="str">
        <f>INDEX([1]物品基础表!$A:$A,MATCH(L28,[1]物品基础表!$B:$B,0))</f>
        <v>经脉丹</v>
      </c>
      <c r="N28" s="1">
        <v>30</v>
      </c>
      <c r="O28" s="1">
        <v>1</v>
      </c>
      <c r="P28" s="1" t="s">
        <v>6</v>
      </c>
      <c r="Q28" s="1">
        <v>1250000</v>
      </c>
    </row>
    <row r="29" spans="1:17">
      <c r="A29" s="1">
        <v>1000</v>
      </c>
      <c r="B29" s="1">
        <v>3</v>
      </c>
      <c r="C29" s="1">
        <v>6</v>
      </c>
      <c r="D29" s="1">
        <v>100000</v>
      </c>
      <c r="E29" s="1">
        <v>118888</v>
      </c>
      <c r="F29" s="1">
        <v>201007</v>
      </c>
      <c r="G29" s="1" t="str">
        <f>INDEX([1]物品基础表!$A:$A,MATCH(F29,[1]物品基础表!$B:$B,0))</f>
        <v>红色图鉴包·美女如云</v>
      </c>
      <c r="H29" s="1">
        <v>1</v>
      </c>
      <c r="I29" s="1">
        <v>200165</v>
      </c>
      <c r="J29" s="1" t="str">
        <f>INDEX([1]物品基础表!$A:$A,MATCH(I29,[1]物品基础表!$B:$B,0))</f>
        <v>寻宝卷</v>
      </c>
      <c r="K29" s="1">
        <v>5</v>
      </c>
      <c r="L29" s="1">
        <v>200004</v>
      </c>
      <c r="M29" s="1" t="str">
        <f>INDEX([1]物品基础表!$A:$A,MATCH(L29,[1]物品基础表!$B:$B,0))</f>
        <v>经脉丹</v>
      </c>
      <c r="N29" s="1">
        <v>40</v>
      </c>
      <c r="O29" s="1">
        <v>1</v>
      </c>
      <c r="P29" s="1" t="s">
        <v>6</v>
      </c>
      <c r="Q29" s="1">
        <v>1500000</v>
      </c>
    </row>
    <row r="30" spans="1:17">
      <c r="A30" s="1">
        <v>2000</v>
      </c>
      <c r="B30" s="1">
        <v>3</v>
      </c>
      <c r="C30" s="1">
        <v>7</v>
      </c>
      <c r="D30" s="1">
        <v>200000</v>
      </c>
      <c r="E30" s="1">
        <v>188888</v>
      </c>
      <c r="F30" s="1">
        <v>201007</v>
      </c>
      <c r="G30" s="1" t="str">
        <f>INDEX([1]物品基础表!$A:$A,MATCH(F30,[1]物品基础表!$B:$B,0))</f>
        <v>红色图鉴包·美女如云</v>
      </c>
      <c r="H30" s="1">
        <v>2</v>
      </c>
      <c r="I30" s="1">
        <v>200165</v>
      </c>
      <c r="J30" s="1" t="str">
        <f>INDEX([1]物品基础表!$A:$A,MATCH(I30,[1]物品基础表!$B:$B,0))</f>
        <v>寻宝卷</v>
      </c>
      <c r="K30" s="1">
        <v>5</v>
      </c>
      <c r="L30" s="1">
        <v>200004</v>
      </c>
      <c r="M30" s="1" t="str">
        <f>INDEX([1]物品基础表!$A:$A,MATCH(L30,[1]物品基础表!$B:$B,0))</f>
        <v>经脉丹</v>
      </c>
      <c r="N30" s="1">
        <v>50</v>
      </c>
      <c r="O30" s="1">
        <v>1</v>
      </c>
      <c r="P30" s="1" t="s">
        <v>6</v>
      </c>
      <c r="Q30" s="1">
        <v>2000000</v>
      </c>
    </row>
    <row r="31" spans="1:17">
      <c r="A31" s="1">
        <v>5000</v>
      </c>
      <c r="B31" s="1">
        <v>3</v>
      </c>
      <c r="C31" s="1">
        <v>8</v>
      </c>
      <c r="D31" s="1">
        <v>500000</v>
      </c>
      <c r="E31" s="1">
        <v>258888</v>
      </c>
      <c r="F31" s="1">
        <v>201008</v>
      </c>
      <c r="G31" s="1" t="str">
        <f>INDEX([1]物品基础表!$A:$A,MATCH(F31,[1]物品基础表!$B:$B,0))</f>
        <v>金色图鉴包·美女如云</v>
      </c>
      <c r="H31" s="1">
        <v>1</v>
      </c>
      <c r="I31" s="1">
        <v>200165</v>
      </c>
      <c r="J31" s="1" t="str">
        <f>INDEX([1]物品基础表!$A:$A,MATCH(I31,[1]物品基础表!$B:$B,0))</f>
        <v>寻宝卷</v>
      </c>
      <c r="K31" s="1">
        <v>10</v>
      </c>
      <c r="L31" s="1">
        <v>200004</v>
      </c>
      <c r="M31" s="1" t="str">
        <f>INDEX([1]物品基础表!$A:$A,MATCH(L31,[1]物品基础表!$B:$B,0))</f>
        <v>经脉丹</v>
      </c>
      <c r="N31" s="1">
        <v>100</v>
      </c>
      <c r="O31" s="1">
        <v>1</v>
      </c>
      <c r="P31" s="1" t="s">
        <v>6</v>
      </c>
      <c r="Q31" s="1">
        <v>3000000</v>
      </c>
    </row>
    <row r="32" spans="1:17">
      <c r="A32" s="1">
        <v>10000</v>
      </c>
      <c r="B32" s="1">
        <v>3</v>
      </c>
      <c r="C32" s="1">
        <v>9</v>
      </c>
      <c r="D32" s="1">
        <v>1000000</v>
      </c>
      <c r="E32" s="1">
        <v>308888</v>
      </c>
      <c r="F32" s="1">
        <v>201008</v>
      </c>
      <c r="G32" s="1" t="str">
        <f>INDEX([1]物品基础表!$A:$A,MATCH(F32,[1]物品基础表!$B:$B,0))</f>
        <v>金色图鉴包·美女如云</v>
      </c>
      <c r="H32" s="1">
        <v>1</v>
      </c>
      <c r="I32" s="1">
        <v>200165</v>
      </c>
      <c r="J32" s="1" t="str">
        <f>INDEX([1]物品基础表!$A:$A,MATCH(I32,[1]物品基础表!$B:$B,0))</f>
        <v>寻宝卷</v>
      </c>
      <c r="K32" s="1">
        <v>20</v>
      </c>
      <c r="L32" s="1">
        <v>200166</v>
      </c>
      <c r="M32" s="1" t="str">
        <f>INDEX([1]物品基础表!$A:$A,MATCH(L32,[1]物品基础表!$B:$B,0))</f>
        <v>寻宝卷</v>
      </c>
      <c r="N32" s="1">
        <v>20</v>
      </c>
      <c r="O32" s="1">
        <v>200208</v>
      </c>
      <c r="P32" s="1" t="str">
        <f>INDEX([1]物品基础表!$A:$A,MATCH(O32,[1]物品基础表!$B:$B,0))</f>
        <v>烈焰印记低级升级材料</v>
      </c>
      <c r="Q32" s="1">
        <v>1000</v>
      </c>
    </row>
    <row r="33" spans="1:17">
      <c r="A33" s="1">
        <v>10</v>
      </c>
      <c r="B33" s="1">
        <v>4</v>
      </c>
      <c r="C33" s="1">
        <v>0</v>
      </c>
      <c r="D33" s="1">
        <v>1000</v>
      </c>
      <c r="E33" s="1">
        <v>3888</v>
      </c>
      <c r="F33" s="1">
        <v>2</v>
      </c>
      <c r="G33" s="1" t="s">
        <v>64</v>
      </c>
      <c r="H33" s="1">
        <v>1000</v>
      </c>
      <c r="I33" s="1">
        <v>200153</v>
      </c>
      <c r="J33" s="1" t="str">
        <f>INDEX([1]物品基础表!$A:$A,MATCH(I33,[1]物品基础表!$B:$B,0))</f>
        <v>传世宝箱</v>
      </c>
      <c r="K33" s="1">
        <v>1</v>
      </c>
      <c r="L33" s="1">
        <v>204066</v>
      </c>
      <c r="M33" s="1" t="str">
        <f>INDEX([1]物品基础表!$A:$A,MATCH(L33,[1]物品基础表!$B:$B,0))</f>
        <v>玉佩升级道具1</v>
      </c>
      <c r="N33" s="1">
        <v>3</v>
      </c>
      <c r="O33" s="1">
        <v>204074</v>
      </c>
      <c r="P33" s="1" t="str">
        <f>INDEX([1]物品基础表!$A:$A,MATCH(O33,[1]物品基础表!$B:$B,0))</f>
        <v>每日超值礼包</v>
      </c>
      <c r="Q33" s="1">
        <v>1</v>
      </c>
    </row>
    <row r="34" spans="1:17">
      <c r="A34" s="1">
        <v>20</v>
      </c>
      <c r="B34" s="1">
        <v>4</v>
      </c>
      <c r="C34" s="1">
        <v>1</v>
      </c>
      <c r="D34" s="1">
        <v>2000</v>
      </c>
      <c r="E34" s="1">
        <v>8888</v>
      </c>
      <c r="F34" s="1">
        <v>200009</v>
      </c>
      <c r="G34" s="1" t="str">
        <f>INDEX([1]物品基础表!$A:$A,MATCH(F34,[1]物品基础表!$B:$B,0))</f>
        <v>高级转生丹</v>
      </c>
      <c r="H34" s="1">
        <v>1</v>
      </c>
      <c r="I34" s="1">
        <v>200009</v>
      </c>
      <c r="J34" s="1" t="str">
        <f>INDEX([1]物品基础表!$A:$A,MATCH(I34,[1]物品基础表!$B:$B,0))</f>
        <v>高级转生丹</v>
      </c>
      <c r="K34" s="1">
        <v>1</v>
      </c>
      <c r="L34" s="1">
        <v>200004</v>
      </c>
      <c r="M34" s="1" t="str">
        <f>INDEX([1]物品基础表!$A:$A,MATCH(L34,[1]物品基础表!$B:$B,0))</f>
        <v>经脉丹</v>
      </c>
      <c r="N34" s="1">
        <v>10</v>
      </c>
      <c r="O34" s="1">
        <v>204066</v>
      </c>
      <c r="P34" s="1" t="str">
        <f>INDEX([1]物品基础表!$A:$A,MATCH(O34,[1]物品基础表!$B:$B,0))</f>
        <v>玉佩升级道具1</v>
      </c>
      <c r="Q34" s="1">
        <v>3</v>
      </c>
    </row>
    <row r="35" spans="1:17">
      <c r="A35" s="1">
        <v>50</v>
      </c>
      <c r="B35" s="1">
        <v>4</v>
      </c>
      <c r="C35" s="1">
        <v>2</v>
      </c>
      <c r="D35" s="1">
        <v>5000</v>
      </c>
      <c r="E35" s="1">
        <v>12888</v>
      </c>
      <c r="F35" s="1">
        <v>200009</v>
      </c>
      <c r="G35" s="1" t="str">
        <f>INDEX([1]物品基础表!$A:$A,MATCH(F35,[1]物品基础表!$B:$B,0))</f>
        <v>高级转生丹</v>
      </c>
      <c r="H35" s="1">
        <v>1</v>
      </c>
      <c r="I35" s="1">
        <v>200009</v>
      </c>
      <c r="J35" s="1" t="str">
        <f>INDEX([1]物品基础表!$A:$A,MATCH(I35,[1]物品基础表!$B:$B,0))</f>
        <v>高级转生丹</v>
      </c>
      <c r="K35" s="1">
        <v>1</v>
      </c>
      <c r="L35" s="1">
        <v>200004</v>
      </c>
      <c r="M35" s="1" t="str">
        <f>INDEX([1]物品基础表!$A:$A,MATCH(L35,[1]物品基础表!$B:$B,0))</f>
        <v>经脉丹</v>
      </c>
      <c r="N35" s="1">
        <v>30</v>
      </c>
      <c r="O35" s="1">
        <v>1</v>
      </c>
      <c r="P35" s="1" t="s">
        <v>6</v>
      </c>
      <c r="Q35" s="1">
        <v>500000</v>
      </c>
    </row>
    <row r="36" spans="1:17">
      <c r="A36" s="1">
        <v>100</v>
      </c>
      <c r="B36" s="1">
        <v>4</v>
      </c>
      <c r="C36" s="1">
        <v>3</v>
      </c>
      <c r="D36" s="1">
        <v>10000</v>
      </c>
      <c r="E36" s="1">
        <v>32888</v>
      </c>
      <c r="F36" s="1">
        <v>201006</v>
      </c>
      <c r="G36" s="1" t="str">
        <f>INDEX([1]物品基础表!$A:$A,MATCH(F36,[1]物品基础表!$B:$B,0))</f>
        <v>橙色图鉴包·美女如云</v>
      </c>
      <c r="H36" s="1">
        <v>1</v>
      </c>
      <c r="I36" s="1">
        <v>200153</v>
      </c>
      <c r="J36" s="1" t="str">
        <f>INDEX([1]物品基础表!$A:$A,MATCH(I36,[1]物品基础表!$B:$B,0))</f>
        <v>传世宝箱</v>
      </c>
      <c r="K36" s="1">
        <v>1</v>
      </c>
      <c r="L36" s="1">
        <v>200004</v>
      </c>
      <c r="M36" s="1" t="str">
        <f>INDEX([1]物品基础表!$A:$A,MATCH(L36,[1]物品基础表!$B:$B,0))</f>
        <v>经脉丹</v>
      </c>
      <c r="N36" s="1">
        <v>10</v>
      </c>
      <c r="O36" s="1">
        <v>204068</v>
      </c>
      <c r="P36" s="1" t="str">
        <f>INDEX([1]物品基础表!$A:$A,MATCH(O36,[1]物品基础表!$B:$B,0))</f>
        <v>玉佩升级道具3</v>
      </c>
      <c r="Q36" s="1">
        <v>1</v>
      </c>
    </row>
    <row r="37" spans="1:17">
      <c r="A37" s="1">
        <v>200</v>
      </c>
      <c r="B37" s="1">
        <v>4</v>
      </c>
      <c r="C37" s="1">
        <v>4</v>
      </c>
      <c r="D37" s="1">
        <v>20000</v>
      </c>
      <c r="E37" s="1">
        <v>58888</v>
      </c>
      <c r="F37" s="1">
        <v>201006</v>
      </c>
      <c r="G37" s="1" t="str">
        <f>INDEX([1]物品基础表!$A:$A,MATCH(F37,[1]物品基础表!$B:$B,0))</f>
        <v>橙色图鉴包·美女如云</v>
      </c>
      <c r="H37" s="1">
        <v>1</v>
      </c>
      <c r="I37" s="1">
        <v>200153</v>
      </c>
      <c r="J37" s="1" t="str">
        <f>INDEX([1]物品基础表!$A:$A,MATCH(I37,[1]物品基础表!$B:$B,0))</f>
        <v>传世宝箱</v>
      </c>
      <c r="K37" s="1">
        <v>1</v>
      </c>
      <c r="L37" s="1">
        <v>200004</v>
      </c>
      <c r="M37" s="1" t="str">
        <f>INDEX([1]物品基础表!$A:$A,MATCH(L37,[1]物品基础表!$B:$B,0))</f>
        <v>经脉丹</v>
      </c>
      <c r="N37" s="1">
        <v>20</v>
      </c>
      <c r="O37" s="1">
        <v>1</v>
      </c>
      <c r="P37" s="1" t="s">
        <v>6</v>
      </c>
      <c r="Q37" s="1">
        <v>1000000</v>
      </c>
    </row>
    <row r="38" spans="1:17">
      <c r="A38" s="1">
        <v>500</v>
      </c>
      <c r="B38" s="1">
        <v>4</v>
      </c>
      <c r="C38" s="1">
        <v>5</v>
      </c>
      <c r="D38" s="1">
        <v>50000</v>
      </c>
      <c r="E38" s="1">
        <v>88888</v>
      </c>
      <c r="F38" s="1">
        <v>201007</v>
      </c>
      <c r="G38" s="1" t="str">
        <f>INDEX([1]物品基础表!$A:$A,MATCH(F38,[1]物品基础表!$B:$B,0))</f>
        <v>红色图鉴包·美女如云</v>
      </c>
      <c r="H38" s="1">
        <v>1</v>
      </c>
      <c r="I38" s="1">
        <v>200165</v>
      </c>
      <c r="J38" s="1" t="str">
        <f>INDEX([1]物品基础表!$A:$A,MATCH(I38,[1]物品基础表!$B:$B,0))</f>
        <v>寻宝卷</v>
      </c>
      <c r="K38" s="1">
        <v>5</v>
      </c>
      <c r="L38" s="1">
        <v>200004</v>
      </c>
      <c r="M38" s="1" t="str">
        <f>INDEX([1]物品基础表!$A:$A,MATCH(L38,[1]物品基础表!$B:$B,0))</f>
        <v>经脉丹</v>
      </c>
      <c r="N38" s="1">
        <v>30</v>
      </c>
      <c r="O38" s="1">
        <v>1</v>
      </c>
      <c r="P38" s="1" t="s">
        <v>6</v>
      </c>
      <c r="Q38" s="1">
        <v>1250000</v>
      </c>
    </row>
    <row r="39" spans="1:17">
      <c r="A39" s="1">
        <v>1000</v>
      </c>
      <c r="B39" s="1">
        <v>4</v>
      </c>
      <c r="C39" s="1">
        <v>6</v>
      </c>
      <c r="D39" s="1">
        <v>100000</v>
      </c>
      <c r="E39" s="1">
        <v>118888</v>
      </c>
      <c r="F39" s="1">
        <v>201007</v>
      </c>
      <c r="G39" s="1" t="str">
        <f>INDEX([1]物品基础表!$A:$A,MATCH(F39,[1]物品基础表!$B:$B,0))</f>
        <v>红色图鉴包·美女如云</v>
      </c>
      <c r="H39" s="1">
        <v>1</v>
      </c>
      <c r="I39" s="1">
        <v>200165</v>
      </c>
      <c r="J39" s="1" t="str">
        <f>INDEX([1]物品基础表!$A:$A,MATCH(I39,[1]物品基础表!$B:$B,0))</f>
        <v>寻宝卷</v>
      </c>
      <c r="K39" s="1">
        <v>5</v>
      </c>
      <c r="L39" s="1">
        <v>200004</v>
      </c>
      <c r="M39" s="1" t="str">
        <f>INDEX([1]物品基础表!$A:$A,MATCH(L39,[1]物品基础表!$B:$B,0))</f>
        <v>经脉丹</v>
      </c>
      <c r="N39" s="1">
        <v>40</v>
      </c>
      <c r="O39" s="1">
        <v>1</v>
      </c>
      <c r="P39" s="1" t="s">
        <v>6</v>
      </c>
      <c r="Q39" s="1">
        <v>1500000</v>
      </c>
    </row>
    <row r="40" spans="1:17">
      <c r="A40" s="1">
        <v>2000</v>
      </c>
      <c r="B40" s="1">
        <v>4</v>
      </c>
      <c r="C40" s="1">
        <v>7</v>
      </c>
      <c r="D40" s="1">
        <v>200000</v>
      </c>
      <c r="E40" s="1">
        <v>188888</v>
      </c>
      <c r="F40" s="1">
        <v>201007</v>
      </c>
      <c r="G40" s="1" t="str">
        <f>INDEX([1]物品基础表!$A:$A,MATCH(F40,[1]物品基础表!$B:$B,0))</f>
        <v>红色图鉴包·美女如云</v>
      </c>
      <c r="H40" s="1">
        <v>2</v>
      </c>
      <c r="I40" s="1">
        <v>200165</v>
      </c>
      <c r="J40" s="1" t="str">
        <f>INDEX([1]物品基础表!$A:$A,MATCH(I40,[1]物品基础表!$B:$B,0))</f>
        <v>寻宝卷</v>
      </c>
      <c r="K40" s="1">
        <v>5</v>
      </c>
      <c r="L40" s="1">
        <v>200004</v>
      </c>
      <c r="M40" s="1" t="str">
        <f>INDEX([1]物品基础表!$A:$A,MATCH(L40,[1]物品基础表!$B:$B,0))</f>
        <v>经脉丹</v>
      </c>
      <c r="N40" s="1">
        <v>50</v>
      </c>
      <c r="O40" s="1">
        <v>1</v>
      </c>
      <c r="P40" s="1" t="s">
        <v>6</v>
      </c>
      <c r="Q40" s="1">
        <v>2000000</v>
      </c>
    </row>
    <row r="41" spans="1:17">
      <c r="A41" s="1">
        <v>5000</v>
      </c>
      <c r="B41" s="1">
        <v>4</v>
      </c>
      <c r="C41" s="1">
        <v>8</v>
      </c>
      <c r="D41" s="1">
        <v>500000</v>
      </c>
      <c r="E41" s="1">
        <v>258888</v>
      </c>
      <c r="F41" s="1">
        <v>201008</v>
      </c>
      <c r="G41" s="1" t="str">
        <f>INDEX([1]物品基础表!$A:$A,MATCH(F41,[1]物品基础表!$B:$B,0))</f>
        <v>金色图鉴包·美女如云</v>
      </c>
      <c r="H41" s="1">
        <v>1</v>
      </c>
      <c r="I41" s="1">
        <v>200165</v>
      </c>
      <c r="J41" s="1" t="str">
        <f>INDEX([1]物品基础表!$A:$A,MATCH(I41,[1]物品基础表!$B:$B,0))</f>
        <v>寻宝卷</v>
      </c>
      <c r="K41" s="1">
        <v>10</v>
      </c>
      <c r="L41" s="1">
        <v>200004</v>
      </c>
      <c r="M41" s="1" t="str">
        <f>INDEX([1]物品基础表!$A:$A,MATCH(L41,[1]物品基础表!$B:$B,0))</f>
        <v>经脉丹</v>
      </c>
      <c r="N41" s="1">
        <v>100</v>
      </c>
      <c r="O41" s="1">
        <v>1</v>
      </c>
      <c r="P41" s="1" t="s">
        <v>6</v>
      </c>
      <c r="Q41" s="1">
        <v>3000000</v>
      </c>
    </row>
    <row r="42" spans="1:17">
      <c r="A42" s="1">
        <v>10000</v>
      </c>
      <c r="B42" s="1">
        <v>4</v>
      </c>
      <c r="C42" s="1">
        <v>9</v>
      </c>
      <c r="D42" s="1">
        <v>1000000</v>
      </c>
      <c r="E42" s="1">
        <v>308888</v>
      </c>
      <c r="F42" s="1">
        <v>201008</v>
      </c>
      <c r="G42" s="1" t="str">
        <f>INDEX([1]物品基础表!$A:$A,MATCH(F42,[1]物品基础表!$B:$B,0))</f>
        <v>金色图鉴包·美女如云</v>
      </c>
      <c r="H42" s="1">
        <v>1</v>
      </c>
      <c r="I42" s="1">
        <v>200165</v>
      </c>
      <c r="J42" s="1" t="str">
        <f>INDEX([1]物品基础表!$A:$A,MATCH(I42,[1]物品基础表!$B:$B,0))</f>
        <v>寻宝卷</v>
      </c>
      <c r="K42" s="1">
        <v>20</v>
      </c>
      <c r="L42" s="1">
        <v>200166</v>
      </c>
      <c r="M42" s="1" t="str">
        <f>INDEX([1]物品基础表!$A:$A,MATCH(L42,[1]物品基础表!$B:$B,0))</f>
        <v>寻宝卷</v>
      </c>
      <c r="N42" s="1">
        <v>20</v>
      </c>
      <c r="O42" s="1">
        <v>200208</v>
      </c>
      <c r="P42" s="1" t="str">
        <f>INDEX([1]物品基础表!$A:$A,MATCH(O42,[1]物品基础表!$B:$B,0))</f>
        <v>烈焰印记低级升级材料</v>
      </c>
      <c r="Q42" s="1">
        <v>1000</v>
      </c>
    </row>
    <row r="43" spans="1:17">
      <c r="A43" s="1">
        <v>10</v>
      </c>
      <c r="B43" s="1">
        <v>5</v>
      </c>
      <c r="C43" s="1">
        <v>0</v>
      </c>
      <c r="D43" s="1">
        <v>1000</v>
      </c>
      <c r="E43" s="1">
        <v>3888</v>
      </c>
      <c r="F43" s="1">
        <v>2</v>
      </c>
      <c r="G43" s="1" t="s">
        <v>64</v>
      </c>
      <c r="H43" s="1">
        <v>1000</v>
      </c>
      <c r="I43" s="1">
        <v>200998</v>
      </c>
      <c r="J43" s="1" t="str">
        <f>INDEX([1]物品基础表!$A:$A,MATCH(I43,[1]物品基础表!$B:$B,0))</f>
        <v>传世宝箱</v>
      </c>
      <c r="K43" s="1">
        <v>1</v>
      </c>
      <c r="L43" s="1">
        <v>204066</v>
      </c>
      <c r="M43" s="1" t="str">
        <f>INDEX([1]物品基础表!$A:$A,MATCH(L43,[1]物品基础表!$B:$B,0))</f>
        <v>玉佩升级道具1</v>
      </c>
      <c r="N43" s="1">
        <v>3</v>
      </c>
      <c r="O43" s="1">
        <v>204074</v>
      </c>
      <c r="P43" s="1" t="str">
        <f>INDEX([1]物品基础表!$A:$A,MATCH(O43,[1]物品基础表!$B:$B,0))</f>
        <v>每日超值礼包</v>
      </c>
      <c r="Q43" s="1">
        <v>1</v>
      </c>
    </row>
    <row r="44" spans="1:17">
      <c r="A44" s="1">
        <v>20</v>
      </c>
      <c r="B44" s="1">
        <v>5</v>
      </c>
      <c r="C44" s="1">
        <v>1</v>
      </c>
      <c r="D44" s="1">
        <v>2000</v>
      </c>
      <c r="E44" s="1">
        <v>8888</v>
      </c>
      <c r="F44" s="1">
        <v>200009</v>
      </c>
      <c r="G44" s="1" t="str">
        <f>INDEX([1]物品基础表!$A:$A,MATCH(F44,[1]物品基础表!$B:$B,0))</f>
        <v>高级转生丹</v>
      </c>
      <c r="H44" s="1">
        <v>1</v>
      </c>
      <c r="I44" s="1">
        <v>200009</v>
      </c>
      <c r="J44" s="1" t="str">
        <f>INDEX([1]物品基础表!$A:$A,MATCH(I44,[1]物品基础表!$B:$B,0))</f>
        <v>高级转生丹</v>
      </c>
      <c r="K44" s="1">
        <v>1</v>
      </c>
      <c r="L44" s="1">
        <v>200004</v>
      </c>
      <c r="M44" s="1" t="str">
        <f>INDEX([1]物品基础表!$A:$A,MATCH(L44,[1]物品基础表!$B:$B,0))</f>
        <v>经脉丹</v>
      </c>
      <c r="N44" s="1">
        <v>10</v>
      </c>
      <c r="O44" s="1">
        <v>204066</v>
      </c>
      <c r="P44" s="1" t="str">
        <f>INDEX([1]物品基础表!$A:$A,MATCH(O44,[1]物品基础表!$B:$B,0))</f>
        <v>玉佩升级道具1</v>
      </c>
      <c r="Q44" s="1">
        <v>3</v>
      </c>
    </row>
    <row r="45" spans="1:17">
      <c r="A45" s="1">
        <v>50</v>
      </c>
      <c r="B45" s="1">
        <v>5</v>
      </c>
      <c r="C45" s="1">
        <v>2</v>
      </c>
      <c r="D45" s="1">
        <v>5000</v>
      </c>
      <c r="E45" s="1">
        <v>12888</v>
      </c>
      <c r="F45" s="1">
        <v>200009</v>
      </c>
      <c r="G45" s="1" t="str">
        <f>INDEX([1]物品基础表!$A:$A,MATCH(F45,[1]物品基础表!$B:$B,0))</f>
        <v>高级转生丹</v>
      </c>
      <c r="H45" s="1">
        <v>1</v>
      </c>
      <c r="I45" s="1">
        <v>200009</v>
      </c>
      <c r="J45" s="1" t="str">
        <f>INDEX([1]物品基础表!$A:$A,MATCH(I45,[1]物品基础表!$B:$B,0))</f>
        <v>高级转生丹</v>
      </c>
      <c r="K45" s="1">
        <v>1</v>
      </c>
      <c r="L45" s="1">
        <v>200004</v>
      </c>
      <c r="M45" s="1" t="str">
        <f>INDEX([1]物品基础表!$A:$A,MATCH(L45,[1]物品基础表!$B:$B,0))</f>
        <v>经脉丹</v>
      </c>
      <c r="N45" s="1">
        <v>30</v>
      </c>
      <c r="O45" s="1">
        <v>1</v>
      </c>
      <c r="P45" s="1" t="s">
        <v>6</v>
      </c>
      <c r="Q45" s="1">
        <v>500000</v>
      </c>
    </row>
    <row r="46" spans="1:17">
      <c r="A46" s="1">
        <v>100</v>
      </c>
      <c r="B46" s="1">
        <v>5</v>
      </c>
      <c r="C46" s="1">
        <v>3</v>
      </c>
      <c r="D46" s="1">
        <v>10000</v>
      </c>
      <c r="E46" s="1">
        <v>32888</v>
      </c>
      <c r="F46" s="1">
        <v>201006</v>
      </c>
      <c r="G46" s="1" t="str">
        <f>INDEX([1]物品基础表!$A:$A,MATCH(F46,[1]物品基础表!$B:$B,0))</f>
        <v>橙色图鉴包·美女如云</v>
      </c>
      <c r="H46" s="1">
        <v>1</v>
      </c>
      <c r="I46" s="1">
        <v>200998</v>
      </c>
      <c r="J46" s="1" t="str">
        <f>INDEX([1]物品基础表!$A:$A,MATCH(I46,[1]物品基础表!$B:$B,0))</f>
        <v>传世宝箱</v>
      </c>
      <c r="K46" s="1">
        <v>1</v>
      </c>
      <c r="L46" s="1">
        <v>200004</v>
      </c>
      <c r="M46" s="1" t="str">
        <f>INDEX([1]物品基础表!$A:$A,MATCH(L46,[1]物品基础表!$B:$B,0))</f>
        <v>经脉丹</v>
      </c>
      <c r="N46" s="1">
        <v>10</v>
      </c>
      <c r="O46" s="1">
        <v>204068</v>
      </c>
      <c r="P46" s="1" t="str">
        <f>INDEX([1]物品基础表!$A:$A,MATCH(O46,[1]物品基础表!$B:$B,0))</f>
        <v>玉佩升级道具3</v>
      </c>
      <c r="Q46" s="1">
        <v>1</v>
      </c>
    </row>
    <row r="47" spans="1:17">
      <c r="A47" s="1">
        <v>200</v>
      </c>
      <c r="B47" s="1">
        <v>5</v>
      </c>
      <c r="C47" s="1">
        <v>4</v>
      </c>
      <c r="D47" s="1">
        <v>20000</v>
      </c>
      <c r="E47" s="1">
        <v>58888</v>
      </c>
      <c r="F47" s="1">
        <v>201006</v>
      </c>
      <c r="G47" s="1" t="str">
        <f>INDEX([1]物品基础表!$A:$A,MATCH(F47,[1]物品基础表!$B:$B,0))</f>
        <v>橙色图鉴包·美女如云</v>
      </c>
      <c r="H47" s="1">
        <v>1</v>
      </c>
      <c r="I47" s="1">
        <v>200998</v>
      </c>
      <c r="J47" s="1" t="str">
        <f>INDEX([1]物品基础表!$A:$A,MATCH(I47,[1]物品基础表!$B:$B,0))</f>
        <v>传世宝箱</v>
      </c>
      <c r="K47" s="1">
        <v>1</v>
      </c>
      <c r="L47" s="1">
        <v>200004</v>
      </c>
      <c r="M47" s="1" t="str">
        <f>INDEX([1]物品基础表!$A:$A,MATCH(L47,[1]物品基础表!$B:$B,0))</f>
        <v>经脉丹</v>
      </c>
      <c r="N47" s="1">
        <v>20</v>
      </c>
      <c r="O47" s="1">
        <v>1</v>
      </c>
      <c r="P47" s="1" t="s">
        <v>6</v>
      </c>
      <c r="Q47" s="1">
        <v>1000000</v>
      </c>
    </row>
    <row r="48" spans="1:17">
      <c r="A48" s="1">
        <v>500</v>
      </c>
      <c r="B48" s="1">
        <v>5</v>
      </c>
      <c r="C48" s="1">
        <v>5</v>
      </c>
      <c r="D48" s="1">
        <v>50000</v>
      </c>
      <c r="E48" s="1">
        <v>88888</v>
      </c>
      <c r="F48" s="1">
        <v>201007</v>
      </c>
      <c r="G48" s="1" t="str">
        <f>INDEX([1]物品基础表!$A:$A,MATCH(F48,[1]物品基础表!$B:$B,0))</f>
        <v>红色图鉴包·美女如云</v>
      </c>
      <c r="H48" s="1">
        <v>1</v>
      </c>
      <c r="I48" s="1">
        <v>200165</v>
      </c>
      <c r="J48" s="1" t="str">
        <f>INDEX([1]物品基础表!$A:$A,MATCH(I48,[1]物品基础表!$B:$B,0))</f>
        <v>寻宝卷</v>
      </c>
      <c r="K48" s="1">
        <v>5</v>
      </c>
      <c r="L48" s="1">
        <v>200004</v>
      </c>
      <c r="M48" s="1" t="str">
        <f>INDEX([1]物品基础表!$A:$A,MATCH(L48,[1]物品基础表!$B:$B,0))</f>
        <v>经脉丹</v>
      </c>
      <c r="N48" s="1">
        <v>30</v>
      </c>
      <c r="O48" s="1">
        <v>1</v>
      </c>
      <c r="P48" s="1" t="s">
        <v>6</v>
      </c>
      <c r="Q48" s="1">
        <v>1250000</v>
      </c>
    </row>
    <row r="49" spans="1:17">
      <c r="A49" s="1">
        <v>1000</v>
      </c>
      <c r="B49" s="1">
        <v>5</v>
      </c>
      <c r="C49" s="1">
        <v>6</v>
      </c>
      <c r="D49" s="1">
        <v>100000</v>
      </c>
      <c r="E49" s="1">
        <v>118888</v>
      </c>
      <c r="F49" s="1">
        <v>201007</v>
      </c>
      <c r="G49" s="1" t="str">
        <f>INDEX([1]物品基础表!$A:$A,MATCH(F49,[1]物品基础表!$B:$B,0))</f>
        <v>红色图鉴包·美女如云</v>
      </c>
      <c r="H49" s="1">
        <v>1</v>
      </c>
      <c r="I49" s="1">
        <v>200165</v>
      </c>
      <c r="J49" s="1" t="str">
        <f>INDEX([1]物品基础表!$A:$A,MATCH(I49,[1]物品基础表!$B:$B,0))</f>
        <v>寻宝卷</v>
      </c>
      <c r="K49" s="1">
        <v>5</v>
      </c>
      <c r="L49" s="1">
        <v>200004</v>
      </c>
      <c r="M49" s="1" t="str">
        <f>INDEX([1]物品基础表!$A:$A,MATCH(L49,[1]物品基础表!$B:$B,0))</f>
        <v>经脉丹</v>
      </c>
      <c r="N49" s="1">
        <v>40</v>
      </c>
      <c r="O49" s="1">
        <v>1</v>
      </c>
      <c r="P49" s="1" t="s">
        <v>6</v>
      </c>
      <c r="Q49" s="1">
        <v>1500000</v>
      </c>
    </row>
    <row r="50" spans="1:17">
      <c r="A50" s="1">
        <v>2000</v>
      </c>
      <c r="B50" s="1">
        <v>5</v>
      </c>
      <c r="C50" s="1">
        <v>7</v>
      </c>
      <c r="D50" s="1">
        <v>200000</v>
      </c>
      <c r="E50" s="1">
        <v>188888</v>
      </c>
      <c r="F50" s="1">
        <v>201007</v>
      </c>
      <c r="G50" s="1" t="str">
        <f>INDEX([1]物品基础表!$A:$A,MATCH(F50,[1]物品基础表!$B:$B,0))</f>
        <v>红色图鉴包·美女如云</v>
      </c>
      <c r="H50" s="1">
        <v>2</v>
      </c>
      <c r="I50" s="1">
        <v>200165</v>
      </c>
      <c r="J50" s="1" t="str">
        <f>INDEX([1]物品基础表!$A:$A,MATCH(I50,[1]物品基础表!$B:$B,0))</f>
        <v>寻宝卷</v>
      </c>
      <c r="K50" s="1">
        <v>5</v>
      </c>
      <c r="L50" s="1">
        <v>200004</v>
      </c>
      <c r="M50" s="1" t="str">
        <f>INDEX([1]物品基础表!$A:$A,MATCH(L50,[1]物品基础表!$B:$B,0))</f>
        <v>经脉丹</v>
      </c>
      <c r="N50" s="1">
        <v>50</v>
      </c>
      <c r="O50" s="1">
        <v>1</v>
      </c>
      <c r="P50" s="1" t="s">
        <v>6</v>
      </c>
      <c r="Q50" s="1">
        <v>2000000</v>
      </c>
    </row>
    <row r="51" spans="1:17">
      <c r="A51" s="1">
        <v>5000</v>
      </c>
      <c r="B51" s="1">
        <v>5</v>
      </c>
      <c r="C51" s="1">
        <v>8</v>
      </c>
      <c r="D51" s="1">
        <v>500000</v>
      </c>
      <c r="E51" s="1">
        <v>258888</v>
      </c>
      <c r="F51" s="1">
        <v>201008</v>
      </c>
      <c r="G51" s="1" t="str">
        <f>INDEX([1]物品基础表!$A:$A,MATCH(F51,[1]物品基础表!$B:$B,0))</f>
        <v>金色图鉴包·美女如云</v>
      </c>
      <c r="H51" s="1">
        <v>1</v>
      </c>
      <c r="I51" s="1">
        <v>200165</v>
      </c>
      <c r="J51" s="1" t="str">
        <f>INDEX([1]物品基础表!$A:$A,MATCH(I51,[1]物品基础表!$B:$B,0))</f>
        <v>寻宝卷</v>
      </c>
      <c r="K51" s="1">
        <v>10</v>
      </c>
      <c r="L51" s="1">
        <v>200004</v>
      </c>
      <c r="M51" s="1" t="str">
        <f>INDEX([1]物品基础表!$A:$A,MATCH(L51,[1]物品基础表!$B:$B,0))</f>
        <v>经脉丹</v>
      </c>
      <c r="N51" s="1">
        <v>100</v>
      </c>
      <c r="O51" s="1">
        <v>1</v>
      </c>
      <c r="P51" s="1" t="s">
        <v>6</v>
      </c>
      <c r="Q51" s="1">
        <v>3000000</v>
      </c>
    </row>
    <row r="52" spans="1:17">
      <c r="A52" s="1">
        <v>10000</v>
      </c>
      <c r="B52" s="1">
        <v>5</v>
      </c>
      <c r="C52" s="1">
        <v>9</v>
      </c>
      <c r="D52" s="1">
        <v>1000000</v>
      </c>
      <c r="E52" s="1">
        <v>308888</v>
      </c>
      <c r="F52" s="1">
        <v>201008</v>
      </c>
      <c r="G52" s="1" t="str">
        <f>INDEX([1]物品基础表!$A:$A,MATCH(F52,[1]物品基础表!$B:$B,0))</f>
        <v>金色图鉴包·美女如云</v>
      </c>
      <c r="H52" s="1">
        <v>1</v>
      </c>
      <c r="I52" s="1">
        <v>200165</v>
      </c>
      <c r="J52" s="1" t="str">
        <f>INDEX([1]物品基础表!$A:$A,MATCH(I52,[1]物品基础表!$B:$B,0))</f>
        <v>寻宝卷</v>
      </c>
      <c r="K52" s="1">
        <v>20</v>
      </c>
      <c r="L52" s="1">
        <v>200166</v>
      </c>
      <c r="M52" s="1" t="str">
        <f>INDEX([1]物品基础表!$A:$A,MATCH(L52,[1]物品基础表!$B:$B,0))</f>
        <v>寻宝卷</v>
      </c>
      <c r="N52" s="1">
        <v>20</v>
      </c>
      <c r="O52" s="1">
        <v>200208</v>
      </c>
      <c r="P52" s="1" t="str">
        <f>INDEX([1]物品基础表!$A:$A,MATCH(O52,[1]物品基础表!$B:$B,0))</f>
        <v>烈焰印记低级升级材料</v>
      </c>
      <c r="Q52" s="1">
        <v>1000</v>
      </c>
    </row>
    <row r="53" spans="1:17">
      <c r="A53" s="1">
        <v>10</v>
      </c>
      <c r="B53" s="1">
        <v>6</v>
      </c>
      <c r="C53" s="1">
        <v>0</v>
      </c>
      <c r="D53" s="1">
        <v>1000</v>
      </c>
      <c r="E53" s="1">
        <v>3888</v>
      </c>
      <c r="F53" s="1">
        <v>2</v>
      </c>
      <c r="G53" s="1" t="s">
        <v>64</v>
      </c>
      <c r="H53" s="1">
        <v>1000</v>
      </c>
      <c r="I53" s="1">
        <v>200153</v>
      </c>
      <c r="J53" s="1" t="str">
        <f>INDEX([1]物品基础表!$A:$A,MATCH(I53,[1]物品基础表!$B:$B,0))</f>
        <v>传世宝箱</v>
      </c>
      <c r="K53" s="1">
        <v>1</v>
      </c>
      <c r="L53" s="1">
        <v>204066</v>
      </c>
      <c r="M53" s="1" t="str">
        <f>INDEX([1]物品基础表!$A:$A,MATCH(L53,[1]物品基础表!$B:$B,0))</f>
        <v>玉佩升级道具1</v>
      </c>
      <c r="N53" s="1">
        <v>3</v>
      </c>
      <c r="O53" s="1">
        <v>204074</v>
      </c>
      <c r="P53" s="1" t="str">
        <f>INDEX([1]物品基础表!$A:$A,MATCH(O53,[1]物品基础表!$B:$B,0))</f>
        <v>每日超值礼包</v>
      </c>
      <c r="Q53" s="1">
        <v>1</v>
      </c>
    </row>
    <row r="54" spans="1:17">
      <c r="A54" s="1">
        <v>20</v>
      </c>
      <c r="B54" s="1">
        <v>6</v>
      </c>
      <c r="C54" s="1">
        <v>1</v>
      </c>
      <c r="D54" s="1">
        <v>2000</v>
      </c>
      <c r="E54" s="1">
        <v>8888</v>
      </c>
      <c r="F54" s="1">
        <v>200009</v>
      </c>
      <c r="G54" s="1" t="str">
        <f>INDEX([1]物品基础表!$A:$A,MATCH(F54,[1]物品基础表!$B:$B,0))</f>
        <v>高级转生丹</v>
      </c>
      <c r="H54" s="1">
        <v>1</v>
      </c>
      <c r="I54" s="1">
        <v>200009</v>
      </c>
      <c r="J54" s="1" t="str">
        <f>INDEX([1]物品基础表!$A:$A,MATCH(I54,[1]物品基础表!$B:$B,0))</f>
        <v>高级转生丹</v>
      </c>
      <c r="K54" s="1">
        <v>1</v>
      </c>
      <c r="L54" s="1">
        <v>200004</v>
      </c>
      <c r="M54" s="1" t="str">
        <f>INDEX([1]物品基础表!$A:$A,MATCH(L54,[1]物品基础表!$B:$B,0))</f>
        <v>经脉丹</v>
      </c>
      <c r="N54" s="1">
        <v>10</v>
      </c>
      <c r="O54" s="1">
        <v>204066</v>
      </c>
      <c r="P54" s="1" t="str">
        <f>INDEX([1]物品基础表!$A:$A,MATCH(O54,[1]物品基础表!$B:$B,0))</f>
        <v>玉佩升级道具1</v>
      </c>
      <c r="Q54" s="1">
        <v>3</v>
      </c>
    </row>
    <row r="55" spans="1:17">
      <c r="A55" s="1">
        <v>50</v>
      </c>
      <c r="B55" s="1">
        <v>6</v>
      </c>
      <c r="C55" s="1">
        <v>2</v>
      </c>
      <c r="D55" s="1">
        <v>5000</v>
      </c>
      <c r="E55" s="1">
        <v>12888</v>
      </c>
      <c r="F55" s="1">
        <v>200009</v>
      </c>
      <c r="G55" s="1" t="str">
        <f>INDEX([1]物品基础表!$A:$A,MATCH(F55,[1]物品基础表!$B:$B,0))</f>
        <v>高级转生丹</v>
      </c>
      <c r="H55" s="1">
        <v>1</v>
      </c>
      <c r="I55" s="1">
        <v>200009</v>
      </c>
      <c r="J55" s="1" t="str">
        <f>INDEX([1]物品基础表!$A:$A,MATCH(I55,[1]物品基础表!$B:$B,0))</f>
        <v>高级转生丹</v>
      </c>
      <c r="K55" s="1">
        <v>1</v>
      </c>
      <c r="L55" s="1">
        <v>200004</v>
      </c>
      <c r="M55" s="1" t="str">
        <f>INDEX([1]物品基础表!$A:$A,MATCH(L55,[1]物品基础表!$B:$B,0))</f>
        <v>经脉丹</v>
      </c>
      <c r="N55" s="1">
        <v>30</v>
      </c>
      <c r="O55" s="1">
        <v>1</v>
      </c>
      <c r="P55" s="1" t="s">
        <v>6</v>
      </c>
      <c r="Q55" s="1">
        <v>500000</v>
      </c>
    </row>
    <row r="56" spans="1:17">
      <c r="A56" s="1">
        <v>100</v>
      </c>
      <c r="B56" s="1">
        <v>6</v>
      </c>
      <c r="C56" s="1">
        <v>3</v>
      </c>
      <c r="D56" s="1">
        <v>10000</v>
      </c>
      <c r="E56" s="1">
        <v>32888</v>
      </c>
      <c r="F56" s="1">
        <v>201006</v>
      </c>
      <c r="G56" s="1" t="str">
        <f>INDEX([1]物品基础表!$A:$A,MATCH(F56,[1]物品基础表!$B:$B,0))</f>
        <v>橙色图鉴包·美女如云</v>
      </c>
      <c r="H56" s="1">
        <v>1</v>
      </c>
      <c r="I56" s="1">
        <v>200153</v>
      </c>
      <c r="J56" s="1" t="str">
        <f>INDEX([1]物品基础表!$A:$A,MATCH(I56,[1]物品基础表!$B:$B,0))</f>
        <v>传世宝箱</v>
      </c>
      <c r="K56" s="1">
        <v>1</v>
      </c>
      <c r="L56" s="1">
        <v>200004</v>
      </c>
      <c r="M56" s="1" t="str">
        <f>INDEX([1]物品基础表!$A:$A,MATCH(L56,[1]物品基础表!$B:$B,0))</f>
        <v>经脉丹</v>
      </c>
      <c r="N56" s="1">
        <v>10</v>
      </c>
      <c r="O56" s="1">
        <v>204068</v>
      </c>
      <c r="P56" s="1" t="str">
        <f>INDEX([1]物品基础表!$A:$A,MATCH(O56,[1]物品基础表!$B:$B,0))</f>
        <v>玉佩升级道具3</v>
      </c>
      <c r="Q56" s="1">
        <v>1</v>
      </c>
    </row>
    <row r="57" spans="1:17">
      <c r="A57" s="1">
        <v>200</v>
      </c>
      <c r="B57" s="1">
        <v>6</v>
      </c>
      <c r="C57" s="1">
        <v>4</v>
      </c>
      <c r="D57" s="1">
        <v>20000</v>
      </c>
      <c r="E57" s="1">
        <v>58888</v>
      </c>
      <c r="F57" s="1">
        <v>201006</v>
      </c>
      <c r="G57" s="1" t="str">
        <f>INDEX([1]物品基础表!$A:$A,MATCH(F57,[1]物品基础表!$B:$B,0))</f>
        <v>橙色图鉴包·美女如云</v>
      </c>
      <c r="H57" s="1">
        <v>1</v>
      </c>
      <c r="I57" s="1">
        <v>200153</v>
      </c>
      <c r="J57" s="1" t="str">
        <f>INDEX([1]物品基础表!$A:$A,MATCH(I57,[1]物品基础表!$B:$B,0))</f>
        <v>传世宝箱</v>
      </c>
      <c r="K57" s="1">
        <v>1</v>
      </c>
      <c r="L57" s="1">
        <v>200004</v>
      </c>
      <c r="M57" s="1" t="str">
        <f>INDEX([1]物品基础表!$A:$A,MATCH(L57,[1]物品基础表!$B:$B,0))</f>
        <v>经脉丹</v>
      </c>
      <c r="N57" s="1">
        <v>20</v>
      </c>
      <c r="O57" s="1">
        <v>1</v>
      </c>
      <c r="P57" s="1" t="s">
        <v>6</v>
      </c>
      <c r="Q57" s="1">
        <v>1000000</v>
      </c>
    </row>
    <row r="58" spans="1:17">
      <c r="A58" s="1">
        <v>500</v>
      </c>
      <c r="B58" s="1">
        <v>6</v>
      </c>
      <c r="C58" s="1">
        <v>5</v>
      </c>
      <c r="D58" s="1">
        <v>50000</v>
      </c>
      <c r="E58" s="1">
        <v>88888</v>
      </c>
      <c r="F58" s="1">
        <v>201007</v>
      </c>
      <c r="G58" s="1" t="str">
        <f>INDEX([1]物品基础表!$A:$A,MATCH(F58,[1]物品基础表!$B:$B,0))</f>
        <v>红色图鉴包·美女如云</v>
      </c>
      <c r="H58" s="1">
        <v>1</v>
      </c>
      <c r="I58" s="1">
        <v>200165</v>
      </c>
      <c r="J58" s="1" t="str">
        <f>INDEX([1]物品基础表!$A:$A,MATCH(I58,[1]物品基础表!$B:$B,0))</f>
        <v>寻宝卷</v>
      </c>
      <c r="K58" s="1">
        <v>5</v>
      </c>
      <c r="L58" s="1">
        <v>200004</v>
      </c>
      <c r="M58" s="1" t="str">
        <f>INDEX([1]物品基础表!$A:$A,MATCH(L58,[1]物品基础表!$B:$B,0))</f>
        <v>经脉丹</v>
      </c>
      <c r="N58" s="1">
        <v>30</v>
      </c>
      <c r="O58" s="1">
        <v>1</v>
      </c>
      <c r="P58" s="1" t="s">
        <v>6</v>
      </c>
      <c r="Q58" s="1">
        <v>1250000</v>
      </c>
    </row>
    <row r="59" spans="1:17">
      <c r="A59" s="1">
        <v>1000</v>
      </c>
      <c r="B59" s="1">
        <v>6</v>
      </c>
      <c r="C59" s="1">
        <v>6</v>
      </c>
      <c r="D59" s="1">
        <v>100000</v>
      </c>
      <c r="E59" s="1">
        <v>118888</v>
      </c>
      <c r="F59" s="1">
        <v>201007</v>
      </c>
      <c r="G59" s="1" t="str">
        <f>INDEX([1]物品基础表!$A:$A,MATCH(F59,[1]物品基础表!$B:$B,0))</f>
        <v>红色图鉴包·美女如云</v>
      </c>
      <c r="H59" s="1">
        <v>1</v>
      </c>
      <c r="I59" s="1">
        <v>200165</v>
      </c>
      <c r="J59" s="1" t="str">
        <f>INDEX([1]物品基础表!$A:$A,MATCH(I59,[1]物品基础表!$B:$B,0))</f>
        <v>寻宝卷</v>
      </c>
      <c r="K59" s="1">
        <v>5</v>
      </c>
      <c r="L59" s="1">
        <v>200004</v>
      </c>
      <c r="M59" s="1" t="str">
        <f>INDEX([1]物品基础表!$A:$A,MATCH(L59,[1]物品基础表!$B:$B,0))</f>
        <v>经脉丹</v>
      </c>
      <c r="N59" s="1">
        <v>40</v>
      </c>
      <c r="O59" s="1">
        <v>1</v>
      </c>
      <c r="P59" s="1" t="s">
        <v>6</v>
      </c>
      <c r="Q59" s="1">
        <v>1500000</v>
      </c>
    </row>
    <row r="60" spans="1:17">
      <c r="A60" s="1">
        <v>2000</v>
      </c>
      <c r="B60" s="1">
        <v>6</v>
      </c>
      <c r="C60" s="1">
        <v>7</v>
      </c>
      <c r="D60" s="1">
        <v>200000</v>
      </c>
      <c r="E60" s="1">
        <v>188888</v>
      </c>
      <c r="F60" s="1">
        <v>201007</v>
      </c>
      <c r="G60" s="1" t="str">
        <f>INDEX([1]物品基础表!$A:$A,MATCH(F60,[1]物品基础表!$B:$B,0))</f>
        <v>红色图鉴包·美女如云</v>
      </c>
      <c r="H60" s="1">
        <v>2</v>
      </c>
      <c r="I60" s="1">
        <v>200165</v>
      </c>
      <c r="J60" s="1" t="str">
        <f>INDEX([1]物品基础表!$A:$A,MATCH(I60,[1]物品基础表!$B:$B,0))</f>
        <v>寻宝卷</v>
      </c>
      <c r="K60" s="1">
        <v>5</v>
      </c>
      <c r="L60" s="1">
        <v>200004</v>
      </c>
      <c r="M60" s="1" t="str">
        <f>INDEX([1]物品基础表!$A:$A,MATCH(L60,[1]物品基础表!$B:$B,0))</f>
        <v>经脉丹</v>
      </c>
      <c r="N60" s="1">
        <v>50</v>
      </c>
      <c r="O60" s="1">
        <v>1</v>
      </c>
      <c r="P60" s="1" t="s">
        <v>6</v>
      </c>
      <c r="Q60" s="1">
        <v>2000000</v>
      </c>
    </row>
    <row r="61" spans="1:17">
      <c r="A61" s="1">
        <v>5000</v>
      </c>
      <c r="B61" s="1">
        <v>6</v>
      </c>
      <c r="C61" s="1">
        <v>8</v>
      </c>
      <c r="D61" s="1">
        <v>500000</v>
      </c>
      <c r="E61" s="1">
        <v>258888</v>
      </c>
      <c r="F61" s="1">
        <v>201008</v>
      </c>
      <c r="G61" s="1" t="str">
        <f>INDEX([1]物品基础表!$A:$A,MATCH(F61,[1]物品基础表!$B:$B,0))</f>
        <v>金色图鉴包·美女如云</v>
      </c>
      <c r="H61" s="1">
        <v>1</v>
      </c>
      <c r="I61" s="1">
        <v>200165</v>
      </c>
      <c r="J61" s="1" t="str">
        <f>INDEX([1]物品基础表!$A:$A,MATCH(I61,[1]物品基础表!$B:$B,0))</f>
        <v>寻宝卷</v>
      </c>
      <c r="K61" s="1">
        <v>10</v>
      </c>
      <c r="L61" s="1">
        <v>200004</v>
      </c>
      <c r="M61" s="1" t="str">
        <f>INDEX([1]物品基础表!$A:$A,MATCH(L61,[1]物品基础表!$B:$B,0))</f>
        <v>经脉丹</v>
      </c>
      <c r="N61" s="1">
        <v>100</v>
      </c>
      <c r="O61" s="1">
        <v>1</v>
      </c>
      <c r="P61" s="1" t="s">
        <v>6</v>
      </c>
      <c r="Q61" s="1">
        <v>3000000</v>
      </c>
    </row>
    <row r="62" spans="1:17">
      <c r="A62" s="1">
        <v>10000</v>
      </c>
      <c r="B62" s="1">
        <v>6</v>
      </c>
      <c r="C62" s="1">
        <v>9</v>
      </c>
      <c r="D62" s="1">
        <v>1000000</v>
      </c>
      <c r="E62" s="1">
        <v>308888</v>
      </c>
      <c r="F62" s="1">
        <v>201008</v>
      </c>
      <c r="G62" s="1" t="str">
        <f>INDEX([1]物品基础表!$A:$A,MATCH(F62,[1]物品基础表!$B:$B,0))</f>
        <v>金色图鉴包·美女如云</v>
      </c>
      <c r="H62" s="1">
        <v>1</v>
      </c>
      <c r="I62" s="1">
        <v>200165</v>
      </c>
      <c r="J62" s="1" t="str">
        <f>INDEX([1]物品基础表!$A:$A,MATCH(I62,[1]物品基础表!$B:$B,0))</f>
        <v>寻宝卷</v>
      </c>
      <c r="K62" s="1">
        <v>20</v>
      </c>
      <c r="L62" s="1">
        <v>200166</v>
      </c>
      <c r="M62" s="1" t="str">
        <f>INDEX([1]物品基础表!$A:$A,MATCH(L62,[1]物品基础表!$B:$B,0))</f>
        <v>寻宝卷</v>
      </c>
      <c r="N62" s="1">
        <v>20</v>
      </c>
      <c r="O62" s="1">
        <v>200208</v>
      </c>
      <c r="P62" s="1" t="str">
        <f>INDEX([1]物品基础表!$A:$A,MATCH(O62,[1]物品基础表!$B:$B,0))</f>
        <v>烈焰印记低级升级材料</v>
      </c>
      <c r="Q62" s="1">
        <v>1000</v>
      </c>
    </row>
    <row r="63" spans="1:17">
      <c r="A63" s="1">
        <v>10</v>
      </c>
      <c r="B63" s="1">
        <v>7</v>
      </c>
      <c r="C63" s="1">
        <v>0</v>
      </c>
      <c r="D63" s="1">
        <v>1000</v>
      </c>
      <c r="E63" s="1">
        <v>3888</v>
      </c>
      <c r="F63" s="1">
        <v>2</v>
      </c>
      <c r="G63" s="1" t="s">
        <v>64</v>
      </c>
      <c r="H63" s="1">
        <v>1000</v>
      </c>
      <c r="I63" s="1">
        <v>200153</v>
      </c>
      <c r="J63" s="1" t="str">
        <f>INDEX([1]物品基础表!$A:$A,MATCH(I63,[1]物品基础表!$B:$B,0))</f>
        <v>传世宝箱</v>
      </c>
      <c r="K63" s="1">
        <v>1</v>
      </c>
      <c r="L63" s="1">
        <v>204066</v>
      </c>
      <c r="M63" s="1" t="str">
        <f>INDEX([1]物品基础表!$A:$A,MATCH(L63,[1]物品基础表!$B:$B,0))</f>
        <v>玉佩升级道具1</v>
      </c>
      <c r="N63" s="1">
        <v>3</v>
      </c>
      <c r="O63" s="1">
        <v>204074</v>
      </c>
      <c r="P63" s="1" t="str">
        <f>INDEX([1]物品基础表!$A:$A,MATCH(O63,[1]物品基础表!$B:$B,0))</f>
        <v>每日超值礼包</v>
      </c>
      <c r="Q63" s="1">
        <v>1</v>
      </c>
    </row>
    <row r="64" spans="1:17">
      <c r="A64" s="1">
        <v>20</v>
      </c>
      <c r="B64" s="1">
        <v>7</v>
      </c>
      <c r="C64" s="1">
        <v>1</v>
      </c>
      <c r="D64" s="1">
        <v>2000</v>
      </c>
      <c r="E64" s="1">
        <v>8888</v>
      </c>
      <c r="F64" s="1">
        <v>200009</v>
      </c>
      <c r="G64" s="1" t="str">
        <f>INDEX([1]物品基础表!$A:$A,MATCH(F64,[1]物品基础表!$B:$B,0))</f>
        <v>高级转生丹</v>
      </c>
      <c r="H64" s="1">
        <v>1</v>
      </c>
      <c r="I64" s="1">
        <v>200009</v>
      </c>
      <c r="J64" s="1" t="str">
        <f>INDEX([1]物品基础表!$A:$A,MATCH(I64,[1]物品基础表!$B:$B,0))</f>
        <v>高级转生丹</v>
      </c>
      <c r="K64" s="1">
        <v>1</v>
      </c>
      <c r="L64" s="1">
        <v>200004</v>
      </c>
      <c r="M64" s="1" t="str">
        <f>INDEX([1]物品基础表!$A:$A,MATCH(L64,[1]物品基础表!$B:$B,0))</f>
        <v>经脉丹</v>
      </c>
      <c r="N64" s="1">
        <v>10</v>
      </c>
      <c r="O64" s="1">
        <v>204066</v>
      </c>
      <c r="P64" s="1" t="str">
        <f>INDEX([1]物品基础表!$A:$A,MATCH(O64,[1]物品基础表!$B:$B,0))</f>
        <v>玉佩升级道具1</v>
      </c>
      <c r="Q64" s="1">
        <v>3</v>
      </c>
    </row>
    <row r="65" spans="1:17">
      <c r="A65" s="1">
        <v>50</v>
      </c>
      <c r="B65" s="1">
        <v>7</v>
      </c>
      <c r="C65" s="1">
        <v>2</v>
      </c>
      <c r="D65" s="1">
        <v>5000</v>
      </c>
      <c r="E65" s="1">
        <v>12888</v>
      </c>
      <c r="F65" s="1">
        <v>200009</v>
      </c>
      <c r="G65" s="1" t="str">
        <f>INDEX([1]物品基础表!$A:$A,MATCH(F65,[1]物品基础表!$B:$B,0))</f>
        <v>高级转生丹</v>
      </c>
      <c r="H65" s="1">
        <v>1</v>
      </c>
      <c r="I65" s="1">
        <v>200009</v>
      </c>
      <c r="J65" s="1" t="str">
        <f>INDEX([1]物品基础表!$A:$A,MATCH(I65,[1]物品基础表!$B:$B,0))</f>
        <v>高级转生丹</v>
      </c>
      <c r="K65" s="1">
        <v>1</v>
      </c>
      <c r="L65" s="1">
        <v>200004</v>
      </c>
      <c r="M65" s="1" t="str">
        <f>INDEX([1]物品基础表!$A:$A,MATCH(L65,[1]物品基础表!$B:$B,0))</f>
        <v>经脉丹</v>
      </c>
      <c r="N65" s="1">
        <v>30</v>
      </c>
      <c r="O65" s="1">
        <v>1</v>
      </c>
      <c r="P65" s="1" t="s">
        <v>6</v>
      </c>
      <c r="Q65" s="1">
        <v>500000</v>
      </c>
    </row>
    <row r="66" spans="1:17">
      <c r="A66" s="1">
        <v>100</v>
      </c>
      <c r="B66" s="1">
        <v>7</v>
      </c>
      <c r="C66" s="1">
        <v>3</v>
      </c>
      <c r="D66" s="1">
        <v>10000</v>
      </c>
      <c r="E66" s="1">
        <v>32888</v>
      </c>
      <c r="F66" s="1">
        <v>201006</v>
      </c>
      <c r="G66" s="1" t="str">
        <f>INDEX([1]物品基础表!$A:$A,MATCH(F66,[1]物品基础表!$B:$B,0))</f>
        <v>橙色图鉴包·美女如云</v>
      </c>
      <c r="H66" s="1">
        <v>1</v>
      </c>
      <c r="I66" s="1">
        <v>200153</v>
      </c>
      <c r="J66" s="1" t="str">
        <f>INDEX([1]物品基础表!$A:$A,MATCH(I66,[1]物品基础表!$B:$B,0))</f>
        <v>传世宝箱</v>
      </c>
      <c r="K66" s="1">
        <v>1</v>
      </c>
      <c r="L66" s="1">
        <v>200004</v>
      </c>
      <c r="M66" s="1" t="str">
        <f>INDEX([1]物品基础表!$A:$A,MATCH(L66,[1]物品基础表!$B:$B,0))</f>
        <v>经脉丹</v>
      </c>
      <c r="N66" s="1">
        <v>10</v>
      </c>
      <c r="O66" s="1">
        <v>204068</v>
      </c>
      <c r="P66" s="1" t="str">
        <f>INDEX([1]物品基础表!$A:$A,MATCH(O66,[1]物品基础表!$B:$B,0))</f>
        <v>玉佩升级道具3</v>
      </c>
      <c r="Q66" s="1">
        <v>1</v>
      </c>
    </row>
    <row r="67" spans="1:17">
      <c r="A67" s="1">
        <v>200</v>
      </c>
      <c r="B67" s="1">
        <v>7</v>
      </c>
      <c r="C67" s="1">
        <v>4</v>
      </c>
      <c r="D67" s="1">
        <v>20000</v>
      </c>
      <c r="E67" s="1">
        <v>58888</v>
      </c>
      <c r="F67" s="1">
        <v>201006</v>
      </c>
      <c r="G67" s="1" t="str">
        <f>INDEX([1]物品基础表!$A:$A,MATCH(F67,[1]物品基础表!$B:$B,0))</f>
        <v>橙色图鉴包·美女如云</v>
      </c>
      <c r="H67" s="1">
        <v>1</v>
      </c>
      <c r="I67" s="1">
        <v>200153</v>
      </c>
      <c r="J67" s="1" t="str">
        <f>INDEX([1]物品基础表!$A:$A,MATCH(I67,[1]物品基础表!$B:$B,0))</f>
        <v>传世宝箱</v>
      </c>
      <c r="K67" s="1">
        <v>1</v>
      </c>
      <c r="L67" s="1">
        <v>200004</v>
      </c>
      <c r="M67" s="1" t="str">
        <f>INDEX([1]物品基础表!$A:$A,MATCH(L67,[1]物品基础表!$B:$B,0))</f>
        <v>经脉丹</v>
      </c>
      <c r="N67" s="1">
        <v>20</v>
      </c>
      <c r="O67" s="1">
        <v>1</v>
      </c>
      <c r="P67" s="1" t="s">
        <v>6</v>
      </c>
      <c r="Q67" s="1">
        <v>1000000</v>
      </c>
    </row>
    <row r="68" spans="1:17">
      <c r="A68" s="1">
        <v>500</v>
      </c>
      <c r="B68" s="1">
        <v>7</v>
      </c>
      <c r="C68" s="1">
        <v>5</v>
      </c>
      <c r="D68" s="1">
        <v>50000</v>
      </c>
      <c r="E68" s="1">
        <v>88888</v>
      </c>
      <c r="F68" s="1">
        <v>201007</v>
      </c>
      <c r="G68" s="1" t="str">
        <f>INDEX([1]物品基础表!$A:$A,MATCH(F68,[1]物品基础表!$B:$B,0))</f>
        <v>红色图鉴包·美女如云</v>
      </c>
      <c r="H68" s="1">
        <v>1</v>
      </c>
      <c r="I68" s="1">
        <v>200165</v>
      </c>
      <c r="J68" s="1" t="str">
        <f>INDEX([1]物品基础表!$A:$A,MATCH(I68,[1]物品基础表!$B:$B,0))</f>
        <v>寻宝卷</v>
      </c>
      <c r="K68" s="1">
        <v>5</v>
      </c>
      <c r="L68" s="1">
        <v>200004</v>
      </c>
      <c r="M68" s="1" t="str">
        <f>INDEX([1]物品基础表!$A:$A,MATCH(L68,[1]物品基础表!$B:$B,0))</f>
        <v>经脉丹</v>
      </c>
      <c r="N68" s="1">
        <v>30</v>
      </c>
      <c r="O68" s="1">
        <v>1</v>
      </c>
      <c r="P68" s="1" t="s">
        <v>6</v>
      </c>
      <c r="Q68" s="1">
        <v>1250000</v>
      </c>
    </row>
    <row r="69" spans="1:17">
      <c r="A69" s="1">
        <v>1000</v>
      </c>
      <c r="B69" s="1">
        <v>7</v>
      </c>
      <c r="C69" s="1">
        <v>6</v>
      </c>
      <c r="D69" s="1">
        <v>100000</v>
      </c>
      <c r="E69" s="1">
        <v>118888</v>
      </c>
      <c r="F69" s="1">
        <v>201007</v>
      </c>
      <c r="G69" s="1" t="str">
        <f>INDEX([1]物品基础表!$A:$A,MATCH(F69,[1]物品基础表!$B:$B,0))</f>
        <v>红色图鉴包·美女如云</v>
      </c>
      <c r="H69" s="1">
        <v>1</v>
      </c>
      <c r="I69" s="1">
        <v>200165</v>
      </c>
      <c r="J69" s="1" t="str">
        <f>INDEX([1]物品基础表!$A:$A,MATCH(I69,[1]物品基础表!$B:$B,0))</f>
        <v>寻宝卷</v>
      </c>
      <c r="K69" s="1">
        <v>5</v>
      </c>
      <c r="L69" s="1">
        <v>200004</v>
      </c>
      <c r="M69" s="1" t="str">
        <f>INDEX([1]物品基础表!$A:$A,MATCH(L69,[1]物品基础表!$B:$B,0))</f>
        <v>经脉丹</v>
      </c>
      <c r="N69" s="1">
        <v>40</v>
      </c>
      <c r="O69" s="1">
        <v>1</v>
      </c>
      <c r="P69" s="1" t="s">
        <v>6</v>
      </c>
      <c r="Q69" s="1">
        <v>1500000</v>
      </c>
    </row>
    <row r="70" spans="1:17">
      <c r="A70" s="1">
        <v>2000</v>
      </c>
      <c r="B70" s="1">
        <v>7</v>
      </c>
      <c r="C70" s="1">
        <v>7</v>
      </c>
      <c r="D70" s="1">
        <v>200000</v>
      </c>
      <c r="E70" s="1">
        <v>188888</v>
      </c>
      <c r="F70" s="1">
        <v>201007</v>
      </c>
      <c r="G70" s="1" t="str">
        <f>INDEX([1]物品基础表!$A:$A,MATCH(F70,[1]物品基础表!$B:$B,0))</f>
        <v>红色图鉴包·美女如云</v>
      </c>
      <c r="H70" s="1">
        <v>2</v>
      </c>
      <c r="I70" s="1">
        <v>200165</v>
      </c>
      <c r="J70" s="1" t="str">
        <f>INDEX([1]物品基础表!$A:$A,MATCH(I70,[1]物品基础表!$B:$B,0))</f>
        <v>寻宝卷</v>
      </c>
      <c r="K70" s="1">
        <v>5</v>
      </c>
      <c r="L70" s="1">
        <v>200004</v>
      </c>
      <c r="M70" s="1" t="str">
        <f>INDEX([1]物品基础表!$A:$A,MATCH(L70,[1]物品基础表!$B:$B,0))</f>
        <v>经脉丹</v>
      </c>
      <c r="N70" s="1">
        <v>50</v>
      </c>
      <c r="O70" s="1">
        <v>1</v>
      </c>
      <c r="P70" s="1" t="s">
        <v>6</v>
      </c>
      <c r="Q70" s="1">
        <v>2000000</v>
      </c>
    </row>
    <row r="71" spans="1:17">
      <c r="A71" s="1">
        <v>5000</v>
      </c>
      <c r="B71" s="1">
        <v>7</v>
      </c>
      <c r="C71" s="1">
        <v>8</v>
      </c>
      <c r="D71" s="1">
        <v>500000</v>
      </c>
      <c r="E71" s="1">
        <v>258888</v>
      </c>
      <c r="F71" s="1">
        <v>201008</v>
      </c>
      <c r="G71" s="1" t="str">
        <f>INDEX([1]物品基础表!$A:$A,MATCH(F71,[1]物品基础表!$B:$B,0))</f>
        <v>金色图鉴包·美女如云</v>
      </c>
      <c r="H71" s="1">
        <v>1</v>
      </c>
      <c r="I71" s="1">
        <v>200165</v>
      </c>
      <c r="J71" s="1" t="str">
        <f>INDEX([1]物品基础表!$A:$A,MATCH(I71,[1]物品基础表!$B:$B,0))</f>
        <v>寻宝卷</v>
      </c>
      <c r="K71" s="1">
        <v>10</v>
      </c>
      <c r="L71" s="1">
        <v>200004</v>
      </c>
      <c r="M71" s="1" t="str">
        <f>INDEX([1]物品基础表!$A:$A,MATCH(L71,[1]物品基础表!$B:$B,0))</f>
        <v>经脉丹</v>
      </c>
      <c r="N71" s="1">
        <v>100</v>
      </c>
      <c r="O71" s="1">
        <v>1</v>
      </c>
      <c r="P71" s="1" t="s">
        <v>6</v>
      </c>
      <c r="Q71" s="1">
        <v>3000000</v>
      </c>
    </row>
    <row r="72" spans="1:17">
      <c r="A72" s="1">
        <v>10000</v>
      </c>
      <c r="B72" s="1">
        <v>7</v>
      </c>
      <c r="C72" s="1">
        <v>9</v>
      </c>
      <c r="D72" s="1">
        <v>1000000</v>
      </c>
      <c r="E72" s="1">
        <v>308888</v>
      </c>
      <c r="F72" s="1">
        <v>201008</v>
      </c>
      <c r="G72" s="1" t="str">
        <f>INDEX([1]物品基础表!$A:$A,MATCH(F72,[1]物品基础表!$B:$B,0))</f>
        <v>金色图鉴包·美女如云</v>
      </c>
      <c r="H72" s="1">
        <v>1</v>
      </c>
      <c r="I72" s="1">
        <v>200165</v>
      </c>
      <c r="J72" s="1" t="str">
        <f>INDEX([1]物品基础表!$A:$A,MATCH(I72,[1]物品基础表!$B:$B,0))</f>
        <v>寻宝卷</v>
      </c>
      <c r="K72" s="1">
        <v>20</v>
      </c>
      <c r="L72" s="1">
        <v>200166</v>
      </c>
      <c r="M72" s="1" t="str">
        <f>INDEX([1]物品基础表!$A:$A,MATCH(L72,[1]物品基础表!$B:$B,0))</f>
        <v>寻宝卷</v>
      </c>
      <c r="N72" s="1">
        <v>20</v>
      </c>
      <c r="O72" s="1">
        <v>200208</v>
      </c>
      <c r="P72" s="1" t="str">
        <f>INDEX([1]物品基础表!$A:$A,MATCH(O72,[1]物品基础表!$B:$B,0))</f>
        <v>烈焰印记低级升级材料</v>
      </c>
      <c r="Q72" s="1">
        <v>1000</v>
      </c>
    </row>
    <row r="73" spans="1:17">
      <c r="A73" s="1">
        <v>10</v>
      </c>
      <c r="B73" s="1">
        <v>8</v>
      </c>
      <c r="C73" s="1">
        <v>0</v>
      </c>
      <c r="D73" s="1">
        <v>1000</v>
      </c>
      <c r="E73" s="1">
        <v>3888</v>
      </c>
      <c r="F73" s="1">
        <v>2</v>
      </c>
      <c r="G73" s="1" t="s">
        <v>64</v>
      </c>
      <c r="H73" s="1">
        <v>1000</v>
      </c>
      <c r="I73" s="1">
        <v>200998</v>
      </c>
      <c r="J73" s="1" t="str">
        <f>INDEX([1]物品基础表!$A:$A,MATCH(I73,[1]物品基础表!$B:$B,0))</f>
        <v>传世宝箱</v>
      </c>
      <c r="K73" s="1">
        <v>1</v>
      </c>
      <c r="L73" s="1">
        <v>204066</v>
      </c>
      <c r="M73" s="1" t="str">
        <f>INDEX([1]物品基础表!$A:$A,MATCH(L73,[1]物品基础表!$B:$B,0))</f>
        <v>玉佩升级道具1</v>
      </c>
      <c r="N73" s="1">
        <v>3</v>
      </c>
      <c r="O73" s="1">
        <v>204074</v>
      </c>
      <c r="P73" s="1" t="str">
        <f>INDEX([1]物品基础表!$A:$A,MATCH(O73,[1]物品基础表!$B:$B,0))</f>
        <v>每日超值礼包</v>
      </c>
      <c r="Q73" s="1">
        <v>1</v>
      </c>
    </row>
    <row r="74" spans="1:17">
      <c r="A74" s="1">
        <v>20</v>
      </c>
      <c r="B74" s="1">
        <v>8</v>
      </c>
      <c r="C74" s="1">
        <v>1</v>
      </c>
      <c r="D74" s="1">
        <v>2000</v>
      </c>
      <c r="E74" s="1">
        <v>8888</v>
      </c>
      <c r="F74" s="1">
        <v>200009</v>
      </c>
      <c r="G74" s="1" t="str">
        <f>INDEX([1]物品基础表!$A:$A,MATCH(F74,[1]物品基础表!$B:$B,0))</f>
        <v>高级转生丹</v>
      </c>
      <c r="H74" s="1">
        <v>1</v>
      </c>
      <c r="I74" s="1">
        <v>200009</v>
      </c>
      <c r="J74" s="1" t="str">
        <f>INDEX([1]物品基础表!$A:$A,MATCH(I74,[1]物品基础表!$B:$B,0))</f>
        <v>高级转生丹</v>
      </c>
      <c r="K74" s="1">
        <v>1</v>
      </c>
      <c r="L74" s="1">
        <v>200004</v>
      </c>
      <c r="M74" s="1" t="str">
        <f>INDEX([1]物品基础表!$A:$A,MATCH(L74,[1]物品基础表!$B:$B,0))</f>
        <v>经脉丹</v>
      </c>
      <c r="N74" s="1">
        <v>10</v>
      </c>
      <c r="O74" s="1">
        <v>204066</v>
      </c>
      <c r="P74" s="1" t="str">
        <f>INDEX([1]物品基础表!$A:$A,MATCH(O74,[1]物品基础表!$B:$B,0))</f>
        <v>玉佩升级道具1</v>
      </c>
      <c r="Q74" s="1">
        <v>3</v>
      </c>
    </row>
    <row r="75" spans="1:17">
      <c r="A75" s="1">
        <v>50</v>
      </c>
      <c r="B75" s="1">
        <v>8</v>
      </c>
      <c r="C75" s="1">
        <v>2</v>
      </c>
      <c r="D75" s="1">
        <v>5000</v>
      </c>
      <c r="E75" s="1">
        <v>12888</v>
      </c>
      <c r="F75" s="1">
        <v>200009</v>
      </c>
      <c r="G75" s="1" t="str">
        <f>INDEX([1]物品基础表!$A:$A,MATCH(F75,[1]物品基础表!$B:$B,0))</f>
        <v>高级转生丹</v>
      </c>
      <c r="H75" s="1">
        <v>1</v>
      </c>
      <c r="I75" s="1">
        <v>200009</v>
      </c>
      <c r="J75" s="1" t="str">
        <f>INDEX([1]物品基础表!$A:$A,MATCH(I75,[1]物品基础表!$B:$B,0))</f>
        <v>高级转生丹</v>
      </c>
      <c r="K75" s="1">
        <v>1</v>
      </c>
      <c r="L75" s="1">
        <v>200004</v>
      </c>
      <c r="M75" s="1" t="str">
        <f>INDEX([1]物品基础表!$A:$A,MATCH(L75,[1]物品基础表!$B:$B,0))</f>
        <v>经脉丹</v>
      </c>
      <c r="N75" s="1">
        <v>30</v>
      </c>
      <c r="O75" s="1">
        <v>1</v>
      </c>
      <c r="P75" s="1" t="s">
        <v>6</v>
      </c>
      <c r="Q75" s="1">
        <v>500000</v>
      </c>
    </row>
    <row r="76" spans="1:17">
      <c r="A76" s="1">
        <v>100</v>
      </c>
      <c r="B76" s="1">
        <v>8</v>
      </c>
      <c r="C76" s="1">
        <v>3</v>
      </c>
      <c r="D76" s="1">
        <v>10000</v>
      </c>
      <c r="E76" s="1">
        <v>32888</v>
      </c>
      <c r="F76" s="1">
        <v>201006</v>
      </c>
      <c r="G76" s="1" t="str">
        <f>INDEX([1]物品基础表!$A:$A,MATCH(F76,[1]物品基础表!$B:$B,0))</f>
        <v>橙色图鉴包·美女如云</v>
      </c>
      <c r="H76" s="1">
        <v>1</v>
      </c>
      <c r="I76" s="1">
        <v>200998</v>
      </c>
      <c r="J76" s="1" t="str">
        <f>INDEX([1]物品基础表!$A:$A,MATCH(I76,[1]物品基础表!$B:$B,0))</f>
        <v>传世宝箱</v>
      </c>
      <c r="K76" s="1">
        <v>1</v>
      </c>
      <c r="L76" s="1">
        <v>200004</v>
      </c>
      <c r="M76" s="1" t="str">
        <f>INDEX([1]物品基础表!$A:$A,MATCH(L76,[1]物品基础表!$B:$B,0))</f>
        <v>经脉丹</v>
      </c>
      <c r="N76" s="1">
        <v>10</v>
      </c>
      <c r="O76" s="1">
        <v>204068</v>
      </c>
      <c r="P76" s="1" t="str">
        <f>INDEX([1]物品基础表!$A:$A,MATCH(O76,[1]物品基础表!$B:$B,0))</f>
        <v>玉佩升级道具3</v>
      </c>
      <c r="Q76" s="1">
        <v>1</v>
      </c>
    </row>
    <row r="77" spans="1:17">
      <c r="A77" s="1">
        <v>200</v>
      </c>
      <c r="B77" s="1">
        <v>8</v>
      </c>
      <c r="C77" s="1">
        <v>4</v>
      </c>
      <c r="D77" s="1">
        <v>20000</v>
      </c>
      <c r="E77" s="1">
        <v>58888</v>
      </c>
      <c r="F77" s="1">
        <v>201006</v>
      </c>
      <c r="G77" s="1" t="str">
        <f>INDEX([1]物品基础表!$A:$A,MATCH(F77,[1]物品基础表!$B:$B,0))</f>
        <v>橙色图鉴包·美女如云</v>
      </c>
      <c r="H77" s="1">
        <v>1</v>
      </c>
      <c r="I77" s="1">
        <v>200998</v>
      </c>
      <c r="J77" s="1" t="str">
        <f>INDEX([1]物品基础表!$A:$A,MATCH(I77,[1]物品基础表!$B:$B,0))</f>
        <v>传世宝箱</v>
      </c>
      <c r="K77" s="1">
        <v>1</v>
      </c>
      <c r="L77" s="1">
        <v>200004</v>
      </c>
      <c r="M77" s="1" t="str">
        <f>INDEX([1]物品基础表!$A:$A,MATCH(L77,[1]物品基础表!$B:$B,0))</f>
        <v>经脉丹</v>
      </c>
      <c r="N77" s="1">
        <v>20</v>
      </c>
      <c r="O77" s="1">
        <v>1</v>
      </c>
      <c r="P77" s="1" t="s">
        <v>6</v>
      </c>
      <c r="Q77" s="1">
        <v>1000000</v>
      </c>
    </row>
    <row r="78" spans="1:17">
      <c r="A78" s="1">
        <v>500</v>
      </c>
      <c r="B78" s="1">
        <v>8</v>
      </c>
      <c r="C78" s="1">
        <v>5</v>
      </c>
      <c r="D78" s="1">
        <v>50000</v>
      </c>
      <c r="E78" s="1">
        <v>88888</v>
      </c>
      <c r="F78" s="1">
        <v>201007</v>
      </c>
      <c r="G78" s="1" t="str">
        <f>INDEX([1]物品基础表!$A:$A,MATCH(F78,[1]物品基础表!$B:$B,0))</f>
        <v>红色图鉴包·美女如云</v>
      </c>
      <c r="H78" s="1">
        <v>1</v>
      </c>
      <c r="I78" s="1">
        <v>200165</v>
      </c>
      <c r="J78" s="1" t="str">
        <f>INDEX([1]物品基础表!$A:$A,MATCH(I78,[1]物品基础表!$B:$B,0))</f>
        <v>寻宝卷</v>
      </c>
      <c r="K78" s="1">
        <v>5</v>
      </c>
      <c r="L78" s="1">
        <v>200004</v>
      </c>
      <c r="M78" s="1" t="str">
        <f>INDEX([1]物品基础表!$A:$A,MATCH(L78,[1]物品基础表!$B:$B,0))</f>
        <v>经脉丹</v>
      </c>
      <c r="N78" s="1">
        <v>30</v>
      </c>
      <c r="O78" s="1">
        <v>1</v>
      </c>
      <c r="P78" s="1" t="s">
        <v>6</v>
      </c>
      <c r="Q78" s="1">
        <v>1250000</v>
      </c>
    </row>
    <row r="79" spans="1:17">
      <c r="A79" s="1">
        <v>1000</v>
      </c>
      <c r="B79" s="1">
        <v>8</v>
      </c>
      <c r="C79" s="1">
        <v>6</v>
      </c>
      <c r="D79" s="1">
        <v>100000</v>
      </c>
      <c r="E79" s="1">
        <v>118888</v>
      </c>
      <c r="F79" s="1">
        <v>201007</v>
      </c>
      <c r="G79" s="1" t="str">
        <f>INDEX([1]物品基础表!$A:$A,MATCH(F79,[1]物品基础表!$B:$B,0))</f>
        <v>红色图鉴包·美女如云</v>
      </c>
      <c r="H79" s="1">
        <v>1</v>
      </c>
      <c r="I79" s="1">
        <v>200165</v>
      </c>
      <c r="J79" s="1" t="str">
        <f>INDEX([1]物品基础表!$A:$A,MATCH(I79,[1]物品基础表!$B:$B,0))</f>
        <v>寻宝卷</v>
      </c>
      <c r="K79" s="1">
        <v>5</v>
      </c>
      <c r="L79" s="1">
        <v>200004</v>
      </c>
      <c r="M79" s="1" t="str">
        <f>INDEX([1]物品基础表!$A:$A,MATCH(L79,[1]物品基础表!$B:$B,0))</f>
        <v>经脉丹</v>
      </c>
      <c r="N79" s="1">
        <v>40</v>
      </c>
      <c r="O79" s="1">
        <v>1</v>
      </c>
      <c r="P79" s="1" t="s">
        <v>6</v>
      </c>
      <c r="Q79" s="1">
        <v>1500000</v>
      </c>
    </row>
    <row r="80" spans="1:17">
      <c r="A80" s="1">
        <v>2000</v>
      </c>
      <c r="B80" s="1">
        <v>8</v>
      </c>
      <c r="C80" s="1">
        <v>7</v>
      </c>
      <c r="D80" s="1">
        <v>200000</v>
      </c>
      <c r="E80" s="1">
        <v>188888</v>
      </c>
      <c r="F80" s="1">
        <v>201007</v>
      </c>
      <c r="G80" s="1" t="str">
        <f>INDEX([1]物品基础表!$A:$A,MATCH(F80,[1]物品基础表!$B:$B,0))</f>
        <v>红色图鉴包·美女如云</v>
      </c>
      <c r="H80" s="1">
        <v>2</v>
      </c>
      <c r="I80" s="1">
        <v>200165</v>
      </c>
      <c r="J80" s="1" t="str">
        <f>INDEX([1]物品基础表!$A:$A,MATCH(I80,[1]物品基础表!$B:$B,0))</f>
        <v>寻宝卷</v>
      </c>
      <c r="K80" s="1">
        <v>5</v>
      </c>
      <c r="L80" s="1">
        <v>200004</v>
      </c>
      <c r="M80" s="1" t="str">
        <f>INDEX([1]物品基础表!$A:$A,MATCH(L80,[1]物品基础表!$B:$B,0))</f>
        <v>经脉丹</v>
      </c>
      <c r="N80" s="1">
        <v>50</v>
      </c>
      <c r="O80" s="1">
        <v>1</v>
      </c>
      <c r="P80" s="1" t="s">
        <v>6</v>
      </c>
      <c r="Q80" s="1">
        <v>2000000</v>
      </c>
    </row>
    <row r="81" spans="1:17">
      <c r="A81" s="1">
        <v>5000</v>
      </c>
      <c r="B81" s="1">
        <v>8</v>
      </c>
      <c r="C81" s="1">
        <v>8</v>
      </c>
      <c r="D81" s="1">
        <v>500000</v>
      </c>
      <c r="E81" s="1">
        <v>258888</v>
      </c>
      <c r="F81" s="1">
        <v>201008</v>
      </c>
      <c r="G81" s="1" t="str">
        <f>INDEX([1]物品基础表!$A:$A,MATCH(F81,[1]物品基础表!$B:$B,0))</f>
        <v>金色图鉴包·美女如云</v>
      </c>
      <c r="H81" s="1">
        <v>1</v>
      </c>
      <c r="I81" s="1">
        <v>200165</v>
      </c>
      <c r="J81" s="1" t="str">
        <f>INDEX([1]物品基础表!$A:$A,MATCH(I81,[1]物品基础表!$B:$B,0))</f>
        <v>寻宝卷</v>
      </c>
      <c r="K81" s="1">
        <v>10</v>
      </c>
      <c r="L81" s="1">
        <v>200004</v>
      </c>
      <c r="M81" s="1" t="str">
        <f>INDEX([1]物品基础表!$A:$A,MATCH(L81,[1]物品基础表!$B:$B,0))</f>
        <v>经脉丹</v>
      </c>
      <c r="N81" s="1">
        <v>100</v>
      </c>
      <c r="O81" s="1">
        <v>1</v>
      </c>
      <c r="P81" s="1" t="s">
        <v>6</v>
      </c>
      <c r="Q81" s="1">
        <v>3000000</v>
      </c>
    </row>
    <row r="82" spans="1:17">
      <c r="A82" s="1">
        <v>10000</v>
      </c>
      <c r="B82" s="1">
        <v>8</v>
      </c>
      <c r="C82" s="1">
        <v>9</v>
      </c>
      <c r="D82" s="1">
        <v>1000000</v>
      </c>
      <c r="E82" s="1">
        <v>308888</v>
      </c>
      <c r="F82" s="1">
        <v>201008</v>
      </c>
      <c r="G82" s="1" t="str">
        <f>INDEX([1]物品基础表!$A:$A,MATCH(F82,[1]物品基础表!$B:$B,0))</f>
        <v>金色图鉴包·美女如云</v>
      </c>
      <c r="H82" s="1">
        <v>1</v>
      </c>
      <c r="I82" s="1">
        <v>200165</v>
      </c>
      <c r="J82" s="1" t="str">
        <f>INDEX([1]物品基础表!$A:$A,MATCH(I82,[1]物品基础表!$B:$B,0))</f>
        <v>寻宝卷</v>
      </c>
      <c r="K82" s="1">
        <v>20</v>
      </c>
      <c r="L82" s="1">
        <v>200166</v>
      </c>
      <c r="M82" s="1" t="str">
        <f>INDEX([1]物品基础表!$A:$A,MATCH(L82,[1]物品基础表!$B:$B,0))</f>
        <v>寻宝卷</v>
      </c>
      <c r="N82" s="1">
        <v>20</v>
      </c>
      <c r="O82" s="1">
        <v>200208</v>
      </c>
      <c r="P82" s="1" t="str">
        <f>INDEX([1]物品基础表!$A:$A,MATCH(O82,[1]物品基础表!$B:$B,0))</f>
        <v>烈焰印记低级升级材料</v>
      </c>
      <c r="Q82" s="1">
        <v>1000</v>
      </c>
    </row>
    <row r="83" spans="1:17">
      <c r="A83" s="1">
        <v>10</v>
      </c>
      <c r="B83" s="1">
        <v>9</v>
      </c>
      <c r="C83" s="1">
        <v>0</v>
      </c>
      <c r="D83" s="1">
        <v>1000</v>
      </c>
      <c r="E83" s="1">
        <v>3888</v>
      </c>
      <c r="F83" s="1">
        <v>2</v>
      </c>
      <c r="G83" s="1" t="s">
        <v>64</v>
      </c>
      <c r="H83" s="1">
        <v>1000</v>
      </c>
      <c r="I83" s="1">
        <v>200153</v>
      </c>
      <c r="J83" s="1" t="str">
        <f>INDEX([1]物品基础表!$A:$A,MATCH(I83,[1]物品基础表!$B:$B,0))</f>
        <v>传世宝箱</v>
      </c>
      <c r="K83" s="1">
        <v>1</v>
      </c>
      <c r="L83" s="1">
        <v>204066</v>
      </c>
      <c r="M83" s="1" t="str">
        <f>INDEX([1]物品基础表!$A:$A,MATCH(L83,[1]物品基础表!$B:$B,0))</f>
        <v>玉佩升级道具1</v>
      </c>
      <c r="N83" s="1">
        <v>3</v>
      </c>
      <c r="O83" s="1">
        <v>204074</v>
      </c>
      <c r="P83" s="1" t="str">
        <f>INDEX([1]物品基础表!$A:$A,MATCH(O83,[1]物品基础表!$B:$B,0))</f>
        <v>每日超值礼包</v>
      </c>
      <c r="Q83" s="1">
        <v>1</v>
      </c>
    </row>
    <row r="84" spans="1:17">
      <c r="A84" s="1">
        <v>20</v>
      </c>
      <c r="B84" s="1">
        <v>9</v>
      </c>
      <c r="C84" s="1">
        <v>1</v>
      </c>
      <c r="D84" s="1">
        <v>2000</v>
      </c>
      <c r="E84" s="1">
        <v>8888</v>
      </c>
      <c r="F84" s="1">
        <v>200009</v>
      </c>
      <c r="G84" s="1" t="str">
        <f>INDEX([1]物品基础表!$A:$A,MATCH(F84,[1]物品基础表!$B:$B,0))</f>
        <v>高级转生丹</v>
      </c>
      <c r="H84" s="1">
        <v>1</v>
      </c>
      <c r="I84" s="1">
        <v>200009</v>
      </c>
      <c r="J84" s="1" t="str">
        <f>INDEX([1]物品基础表!$A:$A,MATCH(I84,[1]物品基础表!$B:$B,0))</f>
        <v>高级转生丹</v>
      </c>
      <c r="K84" s="1">
        <v>1</v>
      </c>
      <c r="L84" s="1">
        <v>200004</v>
      </c>
      <c r="M84" s="1" t="str">
        <f>INDEX([1]物品基础表!$A:$A,MATCH(L84,[1]物品基础表!$B:$B,0))</f>
        <v>经脉丹</v>
      </c>
      <c r="N84" s="1">
        <v>10</v>
      </c>
      <c r="O84" s="1">
        <v>204066</v>
      </c>
      <c r="P84" s="1" t="str">
        <f>INDEX([1]物品基础表!$A:$A,MATCH(O84,[1]物品基础表!$B:$B,0))</f>
        <v>玉佩升级道具1</v>
      </c>
      <c r="Q84" s="1">
        <v>3</v>
      </c>
    </row>
    <row r="85" spans="1:17">
      <c r="A85" s="1">
        <v>50</v>
      </c>
      <c r="B85" s="1">
        <v>9</v>
      </c>
      <c r="C85" s="1">
        <v>2</v>
      </c>
      <c r="D85" s="1">
        <v>5000</v>
      </c>
      <c r="E85" s="1">
        <v>12888</v>
      </c>
      <c r="F85" s="1">
        <v>200009</v>
      </c>
      <c r="G85" s="1" t="str">
        <f>INDEX([1]物品基础表!$A:$A,MATCH(F85,[1]物品基础表!$B:$B,0))</f>
        <v>高级转生丹</v>
      </c>
      <c r="H85" s="1">
        <v>1</v>
      </c>
      <c r="I85" s="1">
        <v>200009</v>
      </c>
      <c r="J85" s="1" t="str">
        <f>INDEX([1]物品基础表!$A:$A,MATCH(I85,[1]物品基础表!$B:$B,0))</f>
        <v>高级转生丹</v>
      </c>
      <c r="K85" s="1">
        <v>1</v>
      </c>
      <c r="L85" s="1">
        <v>200004</v>
      </c>
      <c r="M85" s="1" t="str">
        <f>INDEX([1]物品基础表!$A:$A,MATCH(L85,[1]物品基础表!$B:$B,0))</f>
        <v>经脉丹</v>
      </c>
      <c r="N85" s="1">
        <v>30</v>
      </c>
      <c r="O85" s="1">
        <v>1</v>
      </c>
      <c r="P85" s="1" t="s">
        <v>6</v>
      </c>
      <c r="Q85" s="1">
        <v>500000</v>
      </c>
    </row>
    <row r="86" spans="1:17">
      <c r="A86" s="1">
        <v>100</v>
      </c>
      <c r="B86" s="1">
        <v>9</v>
      </c>
      <c r="C86" s="1">
        <v>3</v>
      </c>
      <c r="D86" s="1">
        <v>10000</v>
      </c>
      <c r="E86" s="1">
        <v>32888</v>
      </c>
      <c r="F86" s="1">
        <v>201006</v>
      </c>
      <c r="G86" s="1" t="str">
        <f>INDEX([1]物品基础表!$A:$A,MATCH(F86,[1]物品基础表!$B:$B,0))</f>
        <v>橙色图鉴包·美女如云</v>
      </c>
      <c r="H86" s="1">
        <v>1</v>
      </c>
      <c r="I86" s="1">
        <v>200153</v>
      </c>
      <c r="J86" s="1" t="str">
        <f>INDEX([1]物品基础表!$A:$A,MATCH(I86,[1]物品基础表!$B:$B,0))</f>
        <v>传世宝箱</v>
      </c>
      <c r="K86" s="1">
        <v>1</v>
      </c>
      <c r="L86" s="1">
        <v>200004</v>
      </c>
      <c r="M86" s="1" t="str">
        <f>INDEX([1]物品基础表!$A:$A,MATCH(L86,[1]物品基础表!$B:$B,0))</f>
        <v>经脉丹</v>
      </c>
      <c r="N86" s="1">
        <v>10</v>
      </c>
      <c r="O86" s="1">
        <v>204068</v>
      </c>
      <c r="P86" s="1" t="str">
        <f>INDEX([1]物品基础表!$A:$A,MATCH(O86,[1]物品基础表!$B:$B,0))</f>
        <v>玉佩升级道具3</v>
      </c>
      <c r="Q86" s="1">
        <v>1</v>
      </c>
    </row>
    <row r="87" spans="1:17">
      <c r="A87" s="1">
        <v>200</v>
      </c>
      <c r="B87" s="1">
        <v>9</v>
      </c>
      <c r="C87" s="1">
        <v>4</v>
      </c>
      <c r="D87" s="1">
        <v>20000</v>
      </c>
      <c r="E87" s="1">
        <v>58888</v>
      </c>
      <c r="F87" s="1">
        <v>201006</v>
      </c>
      <c r="G87" s="1" t="str">
        <f>INDEX([1]物品基础表!$A:$A,MATCH(F87,[1]物品基础表!$B:$B,0))</f>
        <v>橙色图鉴包·美女如云</v>
      </c>
      <c r="H87" s="1">
        <v>1</v>
      </c>
      <c r="I87" s="1">
        <v>200153</v>
      </c>
      <c r="J87" s="1" t="str">
        <f>INDEX([1]物品基础表!$A:$A,MATCH(I87,[1]物品基础表!$B:$B,0))</f>
        <v>传世宝箱</v>
      </c>
      <c r="K87" s="1">
        <v>1</v>
      </c>
      <c r="L87" s="1">
        <v>200004</v>
      </c>
      <c r="M87" s="1" t="str">
        <f>INDEX([1]物品基础表!$A:$A,MATCH(L87,[1]物品基础表!$B:$B,0))</f>
        <v>经脉丹</v>
      </c>
      <c r="N87" s="1">
        <v>20</v>
      </c>
      <c r="O87" s="1">
        <v>1</v>
      </c>
      <c r="P87" s="1" t="s">
        <v>6</v>
      </c>
      <c r="Q87" s="1">
        <v>1000000</v>
      </c>
    </row>
    <row r="88" spans="1:17">
      <c r="A88" s="1">
        <v>500</v>
      </c>
      <c r="B88" s="1">
        <v>9</v>
      </c>
      <c r="C88" s="1">
        <v>5</v>
      </c>
      <c r="D88" s="1">
        <v>50000</v>
      </c>
      <c r="E88" s="1">
        <v>88888</v>
      </c>
      <c r="F88" s="1">
        <v>201007</v>
      </c>
      <c r="G88" s="1" t="str">
        <f>INDEX([1]物品基础表!$A:$A,MATCH(F88,[1]物品基础表!$B:$B,0))</f>
        <v>红色图鉴包·美女如云</v>
      </c>
      <c r="H88" s="1">
        <v>1</v>
      </c>
      <c r="I88" s="1">
        <v>200165</v>
      </c>
      <c r="J88" s="1" t="str">
        <f>INDEX([1]物品基础表!$A:$A,MATCH(I88,[1]物品基础表!$B:$B,0))</f>
        <v>寻宝卷</v>
      </c>
      <c r="K88" s="1">
        <v>5</v>
      </c>
      <c r="L88" s="1">
        <v>200004</v>
      </c>
      <c r="M88" s="1" t="str">
        <f>INDEX([1]物品基础表!$A:$A,MATCH(L88,[1]物品基础表!$B:$B,0))</f>
        <v>经脉丹</v>
      </c>
      <c r="N88" s="1">
        <v>30</v>
      </c>
      <c r="O88" s="1">
        <v>1</v>
      </c>
      <c r="P88" s="1" t="s">
        <v>6</v>
      </c>
      <c r="Q88" s="1">
        <v>1250000</v>
      </c>
    </row>
    <row r="89" spans="1:17">
      <c r="A89" s="1">
        <v>1000</v>
      </c>
      <c r="B89" s="1">
        <v>9</v>
      </c>
      <c r="C89" s="1">
        <v>6</v>
      </c>
      <c r="D89" s="1">
        <v>100000</v>
      </c>
      <c r="E89" s="1">
        <v>118888</v>
      </c>
      <c r="F89" s="1">
        <v>201007</v>
      </c>
      <c r="G89" s="1" t="str">
        <f>INDEX([1]物品基础表!$A:$A,MATCH(F89,[1]物品基础表!$B:$B,0))</f>
        <v>红色图鉴包·美女如云</v>
      </c>
      <c r="H89" s="1">
        <v>1</v>
      </c>
      <c r="I89" s="1">
        <v>200165</v>
      </c>
      <c r="J89" s="1" t="str">
        <f>INDEX([1]物品基础表!$A:$A,MATCH(I89,[1]物品基础表!$B:$B,0))</f>
        <v>寻宝卷</v>
      </c>
      <c r="K89" s="1">
        <v>5</v>
      </c>
      <c r="L89" s="1">
        <v>200004</v>
      </c>
      <c r="M89" s="1" t="str">
        <f>INDEX([1]物品基础表!$A:$A,MATCH(L89,[1]物品基础表!$B:$B,0))</f>
        <v>经脉丹</v>
      </c>
      <c r="N89" s="1">
        <v>40</v>
      </c>
      <c r="O89" s="1">
        <v>1</v>
      </c>
      <c r="P89" s="1" t="s">
        <v>6</v>
      </c>
      <c r="Q89" s="1">
        <v>1500000</v>
      </c>
    </row>
    <row r="90" spans="1:17">
      <c r="A90" s="1">
        <v>2000</v>
      </c>
      <c r="B90" s="1">
        <v>9</v>
      </c>
      <c r="C90" s="1">
        <v>7</v>
      </c>
      <c r="D90" s="1">
        <v>200000</v>
      </c>
      <c r="E90" s="1">
        <v>188888</v>
      </c>
      <c r="F90" s="1">
        <v>201007</v>
      </c>
      <c r="G90" s="1" t="str">
        <f>INDEX([1]物品基础表!$A:$A,MATCH(F90,[1]物品基础表!$B:$B,0))</f>
        <v>红色图鉴包·美女如云</v>
      </c>
      <c r="H90" s="1">
        <v>2</v>
      </c>
      <c r="I90" s="1">
        <v>200165</v>
      </c>
      <c r="J90" s="1" t="str">
        <f>INDEX([1]物品基础表!$A:$A,MATCH(I90,[1]物品基础表!$B:$B,0))</f>
        <v>寻宝卷</v>
      </c>
      <c r="K90" s="1">
        <v>5</v>
      </c>
      <c r="L90" s="1">
        <v>200004</v>
      </c>
      <c r="M90" s="1" t="str">
        <f>INDEX([1]物品基础表!$A:$A,MATCH(L90,[1]物品基础表!$B:$B,0))</f>
        <v>经脉丹</v>
      </c>
      <c r="N90" s="1">
        <v>50</v>
      </c>
      <c r="O90" s="1">
        <v>1</v>
      </c>
      <c r="P90" s="1" t="s">
        <v>6</v>
      </c>
      <c r="Q90" s="1">
        <v>2000000</v>
      </c>
    </row>
    <row r="91" spans="1:17">
      <c r="A91" s="1">
        <v>5000</v>
      </c>
      <c r="B91" s="1">
        <v>9</v>
      </c>
      <c r="C91" s="1">
        <v>8</v>
      </c>
      <c r="D91" s="1">
        <v>500000</v>
      </c>
      <c r="E91" s="1">
        <v>258888</v>
      </c>
      <c r="F91" s="1">
        <v>201008</v>
      </c>
      <c r="G91" s="1" t="str">
        <f>INDEX([1]物品基础表!$A:$A,MATCH(F91,[1]物品基础表!$B:$B,0))</f>
        <v>金色图鉴包·美女如云</v>
      </c>
      <c r="H91" s="1">
        <v>1</v>
      </c>
      <c r="I91" s="1">
        <v>200165</v>
      </c>
      <c r="J91" s="1" t="str">
        <f>INDEX([1]物品基础表!$A:$A,MATCH(I91,[1]物品基础表!$B:$B,0))</f>
        <v>寻宝卷</v>
      </c>
      <c r="K91" s="1">
        <v>10</v>
      </c>
      <c r="L91" s="1">
        <v>200004</v>
      </c>
      <c r="M91" s="1" t="str">
        <f>INDEX([1]物品基础表!$A:$A,MATCH(L91,[1]物品基础表!$B:$B,0))</f>
        <v>经脉丹</v>
      </c>
      <c r="N91" s="1">
        <v>100</v>
      </c>
      <c r="O91" s="1">
        <v>1</v>
      </c>
      <c r="P91" s="1" t="s">
        <v>6</v>
      </c>
      <c r="Q91" s="1">
        <v>3000000</v>
      </c>
    </row>
    <row r="92" spans="1:17">
      <c r="A92" s="1">
        <v>10000</v>
      </c>
      <c r="B92" s="1">
        <v>9</v>
      </c>
      <c r="C92" s="1">
        <v>9</v>
      </c>
      <c r="D92" s="1">
        <v>1000000</v>
      </c>
      <c r="E92" s="1">
        <v>308888</v>
      </c>
      <c r="F92" s="1">
        <v>201008</v>
      </c>
      <c r="G92" s="1" t="str">
        <f>INDEX([1]物品基础表!$A:$A,MATCH(F92,[1]物品基础表!$B:$B,0))</f>
        <v>金色图鉴包·美女如云</v>
      </c>
      <c r="H92" s="1">
        <v>1</v>
      </c>
      <c r="I92" s="1">
        <v>200165</v>
      </c>
      <c r="J92" s="1" t="str">
        <f>INDEX([1]物品基础表!$A:$A,MATCH(I92,[1]物品基础表!$B:$B,0))</f>
        <v>寻宝卷</v>
      </c>
      <c r="K92" s="1">
        <v>20</v>
      </c>
      <c r="L92" s="1">
        <v>200166</v>
      </c>
      <c r="M92" s="1" t="str">
        <f>INDEX([1]物品基础表!$A:$A,MATCH(L92,[1]物品基础表!$B:$B,0))</f>
        <v>寻宝卷</v>
      </c>
      <c r="N92" s="1">
        <v>20</v>
      </c>
      <c r="O92" s="1">
        <v>200208</v>
      </c>
      <c r="P92" s="1" t="str">
        <f>INDEX([1]物品基础表!$A:$A,MATCH(O92,[1]物品基础表!$B:$B,0))</f>
        <v>烈焰印记低级升级材料</v>
      </c>
      <c r="Q92" s="1">
        <v>1000</v>
      </c>
    </row>
    <row r="93" spans="1:17">
      <c r="A93" s="1">
        <v>10</v>
      </c>
      <c r="B93" s="1">
        <v>10</v>
      </c>
      <c r="C93" s="1">
        <v>0</v>
      </c>
      <c r="D93" s="1">
        <v>1000</v>
      </c>
      <c r="E93" s="1">
        <v>3888</v>
      </c>
      <c r="F93" s="1">
        <v>2</v>
      </c>
      <c r="G93" s="1" t="s">
        <v>64</v>
      </c>
      <c r="H93" s="1">
        <v>1000</v>
      </c>
      <c r="I93" s="1">
        <v>200153</v>
      </c>
      <c r="J93" s="1" t="str">
        <f>INDEX([1]物品基础表!$A:$A,MATCH(I93,[1]物品基础表!$B:$B,0))</f>
        <v>传世宝箱</v>
      </c>
      <c r="K93" s="1">
        <v>1</v>
      </c>
      <c r="L93" s="1">
        <v>204066</v>
      </c>
      <c r="M93" s="1" t="str">
        <f>INDEX([1]物品基础表!$A:$A,MATCH(L93,[1]物品基础表!$B:$B,0))</f>
        <v>玉佩升级道具1</v>
      </c>
      <c r="N93" s="1">
        <v>3</v>
      </c>
      <c r="O93" s="1">
        <v>204074</v>
      </c>
      <c r="P93" s="1" t="str">
        <f>INDEX([1]物品基础表!$A:$A,MATCH(O93,[1]物品基础表!$B:$B,0))</f>
        <v>每日超值礼包</v>
      </c>
      <c r="Q93" s="1">
        <v>1</v>
      </c>
    </row>
    <row r="94" spans="1:17">
      <c r="A94" s="1">
        <v>20</v>
      </c>
      <c r="B94" s="1">
        <v>10</v>
      </c>
      <c r="C94" s="1">
        <v>1</v>
      </c>
      <c r="D94" s="1">
        <v>2000</v>
      </c>
      <c r="E94" s="1">
        <v>8888</v>
      </c>
      <c r="F94" s="1">
        <v>200009</v>
      </c>
      <c r="G94" s="1" t="str">
        <f>INDEX([1]物品基础表!$A:$A,MATCH(F94,[1]物品基础表!$B:$B,0))</f>
        <v>高级转生丹</v>
      </c>
      <c r="H94" s="1">
        <v>1</v>
      </c>
      <c r="I94" s="1">
        <v>200009</v>
      </c>
      <c r="J94" s="1" t="str">
        <f>INDEX([1]物品基础表!$A:$A,MATCH(I94,[1]物品基础表!$B:$B,0))</f>
        <v>高级转生丹</v>
      </c>
      <c r="K94" s="1">
        <v>1</v>
      </c>
      <c r="L94" s="1">
        <v>200004</v>
      </c>
      <c r="M94" s="1" t="str">
        <f>INDEX([1]物品基础表!$A:$A,MATCH(L94,[1]物品基础表!$B:$B,0))</f>
        <v>经脉丹</v>
      </c>
      <c r="N94" s="1">
        <v>10</v>
      </c>
      <c r="O94" s="1">
        <v>204066</v>
      </c>
      <c r="P94" s="1" t="str">
        <f>INDEX([1]物品基础表!$A:$A,MATCH(O94,[1]物品基础表!$B:$B,0))</f>
        <v>玉佩升级道具1</v>
      </c>
      <c r="Q94" s="1">
        <v>3</v>
      </c>
    </row>
    <row r="95" spans="1:17">
      <c r="A95" s="1">
        <v>50</v>
      </c>
      <c r="B95" s="1">
        <v>10</v>
      </c>
      <c r="C95" s="1">
        <v>2</v>
      </c>
      <c r="D95" s="1">
        <v>5000</v>
      </c>
      <c r="E95" s="1">
        <v>12888</v>
      </c>
      <c r="F95" s="1">
        <v>200009</v>
      </c>
      <c r="G95" s="1" t="str">
        <f>INDEX([1]物品基础表!$A:$A,MATCH(F95,[1]物品基础表!$B:$B,0))</f>
        <v>高级转生丹</v>
      </c>
      <c r="H95" s="1">
        <v>1</v>
      </c>
      <c r="I95" s="1">
        <v>200009</v>
      </c>
      <c r="J95" s="1" t="str">
        <f>INDEX([1]物品基础表!$A:$A,MATCH(I95,[1]物品基础表!$B:$B,0))</f>
        <v>高级转生丹</v>
      </c>
      <c r="K95" s="1">
        <v>1</v>
      </c>
      <c r="L95" s="1">
        <v>200004</v>
      </c>
      <c r="M95" s="1" t="str">
        <f>INDEX([1]物品基础表!$A:$A,MATCH(L95,[1]物品基础表!$B:$B,0))</f>
        <v>经脉丹</v>
      </c>
      <c r="N95" s="1">
        <v>30</v>
      </c>
      <c r="O95" s="1">
        <v>1</v>
      </c>
      <c r="P95" s="1" t="s">
        <v>6</v>
      </c>
      <c r="Q95" s="1">
        <v>500000</v>
      </c>
    </row>
    <row r="96" spans="1:17">
      <c r="A96" s="1">
        <v>100</v>
      </c>
      <c r="B96" s="1">
        <v>10</v>
      </c>
      <c r="C96" s="1">
        <v>3</v>
      </c>
      <c r="D96" s="1">
        <v>10000</v>
      </c>
      <c r="E96" s="1">
        <v>32888</v>
      </c>
      <c r="F96" s="1">
        <v>201006</v>
      </c>
      <c r="G96" s="1" t="str">
        <f>INDEX([1]物品基础表!$A:$A,MATCH(F96,[1]物品基础表!$B:$B,0))</f>
        <v>橙色图鉴包·美女如云</v>
      </c>
      <c r="H96" s="1">
        <v>1</v>
      </c>
      <c r="I96" s="1">
        <v>200153</v>
      </c>
      <c r="J96" s="1" t="str">
        <f>INDEX([1]物品基础表!$A:$A,MATCH(I96,[1]物品基础表!$B:$B,0))</f>
        <v>传世宝箱</v>
      </c>
      <c r="K96" s="1">
        <v>1</v>
      </c>
      <c r="L96" s="1">
        <v>200004</v>
      </c>
      <c r="M96" s="1" t="str">
        <f>INDEX([1]物品基础表!$A:$A,MATCH(L96,[1]物品基础表!$B:$B,0))</f>
        <v>经脉丹</v>
      </c>
      <c r="N96" s="1">
        <v>10</v>
      </c>
      <c r="O96" s="1">
        <v>204068</v>
      </c>
      <c r="P96" s="1" t="str">
        <f>INDEX([1]物品基础表!$A:$A,MATCH(O96,[1]物品基础表!$B:$B,0))</f>
        <v>玉佩升级道具3</v>
      </c>
      <c r="Q96" s="1">
        <v>1</v>
      </c>
    </row>
    <row r="97" spans="1:17">
      <c r="A97" s="1">
        <v>200</v>
      </c>
      <c r="B97" s="1">
        <v>10</v>
      </c>
      <c r="C97" s="1">
        <v>4</v>
      </c>
      <c r="D97" s="1">
        <v>20000</v>
      </c>
      <c r="E97" s="1">
        <v>58888</v>
      </c>
      <c r="F97" s="1">
        <v>201006</v>
      </c>
      <c r="G97" s="1" t="str">
        <f>INDEX([1]物品基础表!$A:$A,MATCH(F97,[1]物品基础表!$B:$B,0))</f>
        <v>橙色图鉴包·美女如云</v>
      </c>
      <c r="H97" s="1">
        <v>1</v>
      </c>
      <c r="I97" s="1">
        <v>200153</v>
      </c>
      <c r="J97" s="1" t="str">
        <f>INDEX([1]物品基础表!$A:$A,MATCH(I97,[1]物品基础表!$B:$B,0))</f>
        <v>传世宝箱</v>
      </c>
      <c r="K97" s="1">
        <v>1</v>
      </c>
      <c r="L97" s="1">
        <v>200004</v>
      </c>
      <c r="M97" s="1" t="str">
        <f>INDEX([1]物品基础表!$A:$A,MATCH(L97,[1]物品基础表!$B:$B,0))</f>
        <v>经脉丹</v>
      </c>
      <c r="N97" s="1">
        <v>20</v>
      </c>
      <c r="O97" s="1">
        <v>1</v>
      </c>
      <c r="P97" s="1" t="s">
        <v>6</v>
      </c>
      <c r="Q97" s="1">
        <v>1000000</v>
      </c>
    </row>
    <row r="98" spans="1:17">
      <c r="A98" s="1">
        <v>500</v>
      </c>
      <c r="B98" s="1">
        <v>10</v>
      </c>
      <c r="C98" s="1">
        <v>5</v>
      </c>
      <c r="D98" s="1">
        <v>50000</v>
      </c>
      <c r="E98" s="1">
        <v>88888</v>
      </c>
      <c r="F98" s="1">
        <v>201007</v>
      </c>
      <c r="G98" s="1" t="str">
        <f>INDEX([1]物品基础表!$A:$A,MATCH(F98,[1]物品基础表!$B:$B,0))</f>
        <v>红色图鉴包·美女如云</v>
      </c>
      <c r="H98" s="1">
        <v>1</v>
      </c>
      <c r="I98" s="1">
        <v>200165</v>
      </c>
      <c r="J98" s="1" t="str">
        <f>INDEX([1]物品基础表!$A:$A,MATCH(I98,[1]物品基础表!$B:$B,0))</f>
        <v>寻宝卷</v>
      </c>
      <c r="K98" s="1">
        <v>5</v>
      </c>
      <c r="L98" s="1">
        <v>200004</v>
      </c>
      <c r="M98" s="1" t="str">
        <f>INDEX([1]物品基础表!$A:$A,MATCH(L98,[1]物品基础表!$B:$B,0))</f>
        <v>经脉丹</v>
      </c>
      <c r="N98" s="1">
        <v>30</v>
      </c>
      <c r="O98" s="1">
        <v>1</v>
      </c>
      <c r="P98" s="1" t="s">
        <v>6</v>
      </c>
      <c r="Q98" s="1">
        <v>1250000</v>
      </c>
    </row>
    <row r="99" spans="1:17">
      <c r="A99" s="1">
        <v>1000</v>
      </c>
      <c r="B99" s="1">
        <v>10</v>
      </c>
      <c r="C99" s="1">
        <v>6</v>
      </c>
      <c r="D99" s="1">
        <v>100000</v>
      </c>
      <c r="E99" s="1">
        <v>118888</v>
      </c>
      <c r="F99" s="1">
        <v>201007</v>
      </c>
      <c r="G99" s="1" t="str">
        <f>INDEX([1]物品基础表!$A:$A,MATCH(F99,[1]物品基础表!$B:$B,0))</f>
        <v>红色图鉴包·美女如云</v>
      </c>
      <c r="H99" s="1">
        <v>1</v>
      </c>
      <c r="I99" s="1">
        <v>200165</v>
      </c>
      <c r="J99" s="1" t="str">
        <f>INDEX([1]物品基础表!$A:$A,MATCH(I99,[1]物品基础表!$B:$B,0))</f>
        <v>寻宝卷</v>
      </c>
      <c r="K99" s="1">
        <v>5</v>
      </c>
      <c r="L99" s="1">
        <v>200004</v>
      </c>
      <c r="M99" s="1" t="str">
        <f>INDEX([1]物品基础表!$A:$A,MATCH(L99,[1]物品基础表!$B:$B,0))</f>
        <v>经脉丹</v>
      </c>
      <c r="N99" s="1">
        <v>40</v>
      </c>
      <c r="O99" s="1">
        <v>1</v>
      </c>
      <c r="P99" s="1" t="s">
        <v>6</v>
      </c>
      <c r="Q99" s="1">
        <v>1500000</v>
      </c>
    </row>
    <row r="100" spans="1:17">
      <c r="A100" s="1">
        <v>2000</v>
      </c>
      <c r="B100" s="1">
        <v>10</v>
      </c>
      <c r="C100" s="1">
        <v>7</v>
      </c>
      <c r="D100" s="1">
        <v>200000</v>
      </c>
      <c r="E100" s="1">
        <v>188888</v>
      </c>
      <c r="F100" s="1">
        <v>201007</v>
      </c>
      <c r="G100" s="1" t="str">
        <f>INDEX([1]物品基础表!$A:$A,MATCH(F100,[1]物品基础表!$B:$B,0))</f>
        <v>红色图鉴包·美女如云</v>
      </c>
      <c r="H100" s="1">
        <v>2</v>
      </c>
      <c r="I100" s="1">
        <v>200165</v>
      </c>
      <c r="J100" s="1" t="str">
        <f>INDEX([1]物品基础表!$A:$A,MATCH(I100,[1]物品基础表!$B:$B,0))</f>
        <v>寻宝卷</v>
      </c>
      <c r="K100" s="1">
        <v>5</v>
      </c>
      <c r="L100" s="1">
        <v>200004</v>
      </c>
      <c r="M100" s="1" t="str">
        <f>INDEX([1]物品基础表!$A:$A,MATCH(L100,[1]物品基础表!$B:$B,0))</f>
        <v>经脉丹</v>
      </c>
      <c r="N100" s="1">
        <v>50</v>
      </c>
      <c r="O100" s="1">
        <v>1</v>
      </c>
      <c r="P100" s="1" t="s">
        <v>6</v>
      </c>
      <c r="Q100" s="1">
        <v>2000000</v>
      </c>
    </row>
    <row r="101" spans="1:17">
      <c r="A101" s="1">
        <v>5000</v>
      </c>
      <c r="B101" s="1">
        <v>10</v>
      </c>
      <c r="C101" s="1">
        <v>8</v>
      </c>
      <c r="D101" s="1">
        <v>500000</v>
      </c>
      <c r="E101" s="1">
        <v>258888</v>
      </c>
      <c r="F101" s="1">
        <v>201008</v>
      </c>
      <c r="G101" s="1" t="str">
        <f>INDEX([1]物品基础表!$A:$A,MATCH(F101,[1]物品基础表!$B:$B,0))</f>
        <v>金色图鉴包·美女如云</v>
      </c>
      <c r="H101" s="1">
        <v>1</v>
      </c>
      <c r="I101" s="1">
        <v>200165</v>
      </c>
      <c r="J101" s="1" t="str">
        <f>INDEX([1]物品基础表!$A:$A,MATCH(I101,[1]物品基础表!$B:$B,0))</f>
        <v>寻宝卷</v>
      </c>
      <c r="K101" s="1">
        <v>10</v>
      </c>
      <c r="L101" s="1">
        <v>200004</v>
      </c>
      <c r="M101" s="1" t="str">
        <f>INDEX([1]物品基础表!$A:$A,MATCH(L101,[1]物品基础表!$B:$B,0))</f>
        <v>经脉丹</v>
      </c>
      <c r="N101" s="1">
        <v>100</v>
      </c>
      <c r="O101" s="1">
        <v>1</v>
      </c>
      <c r="P101" s="1" t="s">
        <v>6</v>
      </c>
      <c r="Q101" s="1">
        <v>3000000</v>
      </c>
    </row>
    <row r="102" spans="1:17">
      <c r="A102" s="1">
        <v>10000</v>
      </c>
      <c r="B102" s="1">
        <v>10</v>
      </c>
      <c r="C102" s="1">
        <v>9</v>
      </c>
      <c r="D102" s="1">
        <v>1000000</v>
      </c>
      <c r="E102" s="1">
        <v>308888</v>
      </c>
      <c r="F102" s="1">
        <v>201008</v>
      </c>
      <c r="G102" s="1" t="str">
        <f>INDEX([1]物品基础表!$A:$A,MATCH(F102,[1]物品基础表!$B:$B,0))</f>
        <v>金色图鉴包·美女如云</v>
      </c>
      <c r="H102" s="1">
        <v>1</v>
      </c>
      <c r="I102" s="1">
        <v>200165</v>
      </c>
      <c r="J102" s="1" t="str">
        <f>INDEX([1]物品基础表!$A:$A,MATCH(I102,[1]物品基础表!$B:$B,0))</f>
        <v>寻宝卷</v>
      </c>
      <c r="K102" s="1">
        <v>20</v>
      </c>
      <c r="L102" s="1">
        <v>200166</v>
      </c>
      <c r="M102" s="1" t="str">
        <f>INDEX([1]物品基础表!$A:$A,MATCH(L102,[1]物品基础表!$B:$B,0))</f>
        <v>寻宝卷</v>
      </c>
      <c r="N102" s="1">
        <v>20</v>
      </c>
      <c r="O102" s="1">
        <v>200208</v>
      </c>
      <c r="P102" s="1" t="str">
        <f>INDEX([1]物品基础表!$A:$A,MATCH(O102,[1]物品基础表!$B:$B,0))</f>
        <v>烈焰印记低级升级材料</v>
      </c>
      <c r="Q102" s="1">
        <v>1000</v>
      </c>
    </row>
  </sheetData>
  <mergeCells count="1">
    <mergeCell ref="F1:Q1"/>
  </mergeCell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6"/>
  <sheetViews>
    <sheetView topLeftCell="A24" workbookViewId="0">
      <selection activeCell="H68" sqref="H68"/>
    </sheetView>
  </sheetViews>
  <sheetFormatPr defaultRowHeight="13.5"/>
  <cols>
    <col min="1" max="1" width="13.125" style="1" bestFit="1" customWidth="1"/>
    <col min="2" max="2" width="9" style="1"/>
    <col min="3" max="3" width="17.25" style="1" bestFit="1" customWidth="1"/>
    <col min="4" max="8" width="9" style="1"/>
    <col min="9" max="9" width="14.25" style="1" bestFit="1" customWidth="1"/>
    <col min="10" max="16384" width="9" style="1"/>
  </cols>
  <sheetData>
    <row r="1" spans="1:10">
      <c r="E1" s="109" t="s">
        <v>66</v>
      </c>
      <c r="F1" s="109"/>
      <c r="G1" s="109"/>
      <c r="H1" s="109"/>
      <c r="I1" s="109"/>
      <c r="J1" s="109"/>
    </row>
    <row r="2" spans="1:10">
      <c r="A2" s="3" t="s">
        <v>111</v>
      </c>
      <c r="B2" s="4" t="s">
        <v>65</v>
      </c>
      <c r="C2" s="4" t="s">
        <v>67</v>
      </c>
      <c r="D2" s="4" t="s">
        <v>68</v>
      </c>
      <c r="E2" s="4" t="s">
        <v>2</v>
      </c>
      <c r="F2" s="4" t="s">
        <v>3</v>
      </c>
      <c r="G2" s="4" t="s">
        <v>4</v>
      </c>
      <c r="H2" s="4" t="s">
        <v>2</v>
      </c>
      <c r="I2" s="4" t="s">
        <v>3</v>
      </c>
      <c r="J2" s="4" t="s">
        <v>4</v>
      </c>
    </row>
    <row r="3" spans="1:10">
      <c r="A3" s="1" t="s">
        <v>69</v>
      </c>
      <c r="B3" s="1">
        <v>1</v>
      </c>
      <c r="C3" s="1">
        <v>0</v>
      </c>
      <c r="D3" s="1">
        <v>1</v>
      </c>
      <c r="E3" s="1">
        <v>2</v>
      </c>
      <c r="F3" s="1" t="s">
        <v>7</v>
      </c>
      <c r="G3" s="1">
        <v>600</v>
      </c>
    </row>
    <row r="4" spans="1:10">
      <c r="A4" s="1" t="s">
        <v>70</v>
      </c>
      <c r="B4" s="1">
        <v>2</v>
      </c>
      <c r="C4" s="1">
        <v>0</v>
      </c>
      <c r="D4" s="1">
        <v>1</v>
      </c>
      <c r="E4" s="1">
        <v>2</v>
      </c>
      <c r="F4" s="1" t="s">
        <v>7</v>
      </c>
      <c r="G4" s="1">
        <v>600</v>
      </c>
    </row>
    <row r="5" spans="1:10">
      <c r="A5" s="1" t="s">
        <v>71</v>
      </c>
      <c r="B5" s="1">
        <v>3</v>
      </c>
      <c r="C5" s="1">
        <v>0</v>
      </c>
      <c r="D5" s="1">
        <v>1</v>
      </c>
      <c r="E5" s="1">
        <v>2</v>
      </c>
      <c r="F5" s="1" t="s">
        <v>7</v>
      </c>
      <c r="G5" s="1">
        <v>600</v>
      </c>
      <c r="H5" s="1">
        <v>900012</v>
      </c>
      <c r="I5" s="1" t="str">
        <f>INDEX([1]物品基础表!$A:$A,MATCH(H5,[1]物品基础表!$B:$B,0))</f>
        <v>天使之翼</v>
      </c>
      <c r="J5" s="1">
        <v>1</v>
      </c>
    </row>
    <row r="6" spans="1:10">
      <c r="A6" s="1" t="s">
        <v>72</v>
      </c>
      <c r="B6" s="1">
        <v>4</v>
      </c>
      <c r="C6" s="1">
        <v>0</v>
      </c>
      <c r="D6" s="1">
        <v>1</v>
      </c>
      <c r="E6" s="1">
        <v>2</v>
      </c>
      <c r="F6" s="1" t="s">
        <v>7</v>
      </c>
      <c r="G6" s="1">
        <v>600</v>
      </c>
    </row>
    <row r="7" spans="1:10">
      <c r="A7" s="1" t="s">
        <v>73</v>
      </c>
      <c r="B7" s="1">
        <v>5</v>
      </c>
      <c r="C7" s="1">
        <v>0</v>
      </c>
      <c r="D7" s="1">
        <v>1</v>
      </c>
      <c r="E7" s="1">
        <v>2</v>
      </c>
      <c r="F7" s="1" t="s">
        <v>7</v>
      </c>
      <c r="G7" s="1">
        <v>600</v>
      </c>
    </row>
    <row r="8" spans="1:10">
      <c r="A8" s="1" t="s">
        <v>74</v>
      </c>
      <c r="B8" s="1">
        <v>6</v>
      </c>
      <c r="C8" s="1">
        <v>0</v>
      </c>
      <c r="D8" s="1">
        <v>1</v>
      </c>
      <c r="E8" s="1">
        <v>2</v>
      </c>
      <c r="F8" s="1" t="s">
        <v>7</v>
      </c>
      <c r="G8" s="1">
        <v>600</v>
      </c>
    </row>
    <row r="9" spans="1:10">
      <c r="A9" s="1" t="s">
        <v>75</v>
      </c>
      <c r="B9" s="1">
        <v>7</v>
      </c>
      <c r="C9" s="1">
        <v>1</v>
      </c>
      <c r="D9" s="1">
        <v>1</v>
      </c>
      <c r="E9" s="1">
        <v>2</v>
      </c>
      <c r="F9" s="1" t="s">
        <v>7</v>
      </c>
      <c r="G9" s="1">
        <v>2000</v>
      </c>
      <c r="H9" s="1">
        <v>900001</v>
      </c>
      <c r="I9" s="1" t="str">
        <f>INDEX([1]物品基础表!$A:$A,MATCH(H9,[1]物品基础表!$B:$B,0))</f>
        <v>摸金校尉</v>
      </c>
      <c r="J9" s="1">
        <v>1</v>
      </c>
    </row>
    <row r="10" spans="1:10">
      <c r="A10" s="1" t="s">
        <v>76</v>
      </c>
      <c r="B10" s="1">
        <v>8</v>
      </c>
      <c r="C10" s="1">
        <v>0</v>
      </c>
      <c r="D10" s="1">
        <v>1</v>
      </c>
      <c r="E10" s="1">
        <v>2</v>
      </c>
      <c r="F10" s="1" t="s">
        <v>7</v>
      </c>
      <c r="G10" s="1">
        <v>600</v>
      </c>
    </row>
    <row r="11" spans="1:10">
      <c r="A11" s="1" t="s">
        <v>77</v>
      </c>
      <c r="B11" s="1">
        <v>9</v>
      </c>
      <c r="C11" s="1">
        <v>0</v>
      </c>
      <c r="D11" s="1">
        <v>1</v>
      </c>
      <c r="E11" s="1">
        <v>2</v>
      </c>
      <c r="F11" s="1" t="s">
        <v>7</v>
      </c>
      <c r="G11" s="1">
        <v>600</v>
      </c>
    </row>
    <row r="12" spans="1:10">
      <c r="A12" s="1" t="s">
        <v>78</v>
      </c>
      <c r="B12" s="1">
        <v>10</v>
      </c>
      <c r="C12" s="1">
        <v>0</v>
      </c>
      <c r="D12" s="1">
        <v>1</v>
      </c>
      <c r="E12" s="1">
        <v>2</v>
      </c>
      <c r="F12" s="1" t="s">
        <v>7</v>
      </c>
      <c r="G12" s="1">
        <v>600</v>
      </c>
      <c r="H12" s="1">
        <v>252229</v>
      </c>
      <c r="I12" s="1" t="str">
        <f>INDEX([1]物品基础表!$A:$A,MATCH(H12,[1]物品基础表!$B:$B,0))</f>
        <v>1-4转红装宝箱</v>
      </c>
      <c r="J12" s="1">
        <v>1</v>
      </c>
    </row>
    <row r="13" spans="1:10">
      <c r="A13" s="1" t="s">
        <v>79</v>
      </c>
      <c r="B13" s="1">
        <v>11</v>
      </c>
      <c r="C13" s="1">
        <v>0</v>
      </c>
      <c r="D13" s="1">
        <v>1</v>
      </c>
      <c r="E13" s="1">
        <v>2</v>
      </c>
      <c r="F13" s="1" t="s">
        <v>7</v>
      </c>
      <c r="G13" s="1">
        <v>600</v>
      </c>
    </row>
    <row r="14" spans="1:10">
      <c r="A14" s="1" t="s">
        <v>80</v>
      </c>
      <c r="B14" s="1">
        <v>12</v>
      </c>
      <c r="C14" s="1">
        <v>0</v>
      </c>
      <c r="D14" s="1">
        <v>1</v>
      </c>
      <c r="E14" s="1">
        <v>2</v>
      </c>
      <c r="F14" s="1" t="s">
        <v>7</v>
      </c>
      <c r="G14" s="1">
        <v>600</v>
      </c>
    </row>
    <row r="15" spans="1:10">
      <c r="A15" s="1" t="s">
        <v>81</v>
      </c>
      <c r="B15" s="1">
        <v>13</v>
      </c>
      <c r="C15" s="1">
        <v>0</v>
      </c>
      <c r="D15" s="1">
        <v>1</v>
      </c>
      <c r="E15" s="1">
        <v>2</v>
      </c>
      <c r="F15" s="1" t="s">
        <v>7</v>
      </c>
      <c r="G15" s="1">
        <v>600</v>
      </c>
    </row>
    <row r="16" spans="1:10">
      <c r="A16" s="1" t="s">
        <v>82</v>
      </c>
      <c r="B16" s="1">
        <v>14</v>
      </c>
      <c r="C16" s="1">
        <v>1</v>
      </c>
      <c r="D16" s="1">
        <v>1</v>
      </c>
      <c r="E16" s="1">
        <v>2</v>
      </c>
      <c r="F16" s="1" t="s">
        <v>7</v>
      </c>
      <c r="G16" s="1">
        <v>4000</v>
      </c>
      <c r="H16" s="1">
        <v>200113</v>
      </c>
      <c r="I16" s="1" t="str">
        <f>INDEX([1]物品基础表!$A:$A,MATCH(H16,[1]物品基础表!$B:$B,0))</f>
        <v>暗黑战神</v>
      </c>
      <c r="J16" s="1">
        <v>1</v>
      </c>
    </row>
    <row r="17" spans="1:10">
      <c r="A17" s="1" t="s">
        <v>83</v>
      </c>
      <c r="B17" s="1">
        <v>15</v>
      </c>
      <c r="C17" s="1">
        <v>0</v>
      </c>
      <c r="D17" s="1">
        <v>1</v>
      </c>
      <c r="E17" s="1">
        <v>2</v>
      </c>
      <c r="F17" s="1" t="s">
        <v>7</v>
      </c>
      <c r="G17" s="1">
        <v>800</v>
      </c>
    </row>
    <row r="18" spans="1:10">
      <c r="A18" s="1" t="s">
        <v>84</v>
      </c>
      <c r="B18" s="1">
        <v>16</v>
      </c>
      <c r="C18" s="1">
        <v>0</v>
      </c>
      <c r="D18" s="1">
        <v>1</v>
      </c>
      <c r="E18" s="1">
        <v>2</v>
      </c>
      <c r="F18" s="1" t="s">
        <v>7</v>
      </c>
      <c r="G18" s="1">
        <v>800</v>
      </c>
    </row>
    <row r="19" spans="1:10">
      <c r="A19" s="1" t="s">
        <v>85</v>
      </c>
      <c r="B19" s="1">
        <v>17</v>
      </c>
      <c r="C19" s="1">
        <v>0</v>
      </c>
      <c r="D19" s="1">
        <v>1</v>
      </c>
      <c r="E19" s="1">
        <v>2</v>
      </c>
      <c r="F19" s="1" t="s">
        <v>7</v>
      </c>
      <c r="G19" s="1">
        <v>800</v>
      </c>
      <c r="H19" s="1">
        <v>252230</v>
      </c>
      <c r="I19" s="1" t="str">
        <f>INDEX([1]物品基础表!$A:$A,MATCH(H19,[1]物品基础表!$B:$B,0))</f>
        <v>5-8转红装宝箱</v>
      </c>
      <c r="J19" s="1">
        <v>1</v>
      </c>
    </row>
    <row r="20" spans="1:10">
      <c r="A20" s="1" t="s">
        <v>86</v>
      </c>
      <c r="B20" s="1">
        <v>18</v>
      </c>
      <c r="C20" s="1">
        <v>0</v>
      </c>
      <c r="D20" s="1">
        <v>1</v>
      </c>
      <c r="E20" s="1">
        <v>2</v>
      </c>
      <c r="F20" s="1" t="s">
        <v>7</v>
      </c>
      <c r="G20" s="1">
        <v>800</v>
      </c>
    </row>
    <row r="21" spans="1:10">
      <c r="A21" s="1" t="s">
        <v>87</v>
      </c>
      <c r="B21" s="1">
        <v>19</v>
      </c>
      <c r="C21" s="1">
        <v>0</v>
      </c>
      <c r="D21" s="1">
        <v>1</v>
      </c>
      <c r="E21" s="1">
        <v>2</v>
      </c>
      <c r="F21" s="1" t="s">
        <v>7</v>
      </c>
      <c r="G21" s="1">
        <v>800</v>
      </c>
    </row>
    <row r="22" spans="1:10">
      <c r="A22" s="1" t="s">
        <v>88</v>
      </c>
      <c r="B22" s="1">
        <v>20</v>
      </c>
      <c r="C22" s="1">
        <v>0</v>
      </c>
      <c r="D22" s="1">
        <v>1</v>
      </c>
      <c r="E22" s="1">
        <v>2</v>
      </c>
      <c r="F22" s="1" t="s">
        <v>7</v>
      </c>
      <c r="G22" s="1">
        <v>800</v>
      </c>
    </row>
    <row r="23" spans="1:10">
      <c r="A23" s="1" t="s">
        <v>89</v>
      </c>
      <c r="B23" s="1">
        <v>21</v>
      </c>
      <c r="C23" s="1">
        <v>1</v>
      </c>
      <c r="D23" s="1">
        <v>1</v>
      </c>
      <c r="E23" s="1">
        <v>2</v>
      </c>
      <c r="F23" s="1" t="s">
        <v>7</v>
      </c>
      <c r="G23" s="1">
        <v>8000</v>
      </c>
    </row>
    <row r="24" spans="1:10">
      <c r="A24" s="1" t="s">
        <v>90</v>
      </c>
      <c r="B24" s="1">
        <v>22</v>
      </c>
      <c r="C24" s="1">
        <v>0</v>
      </c>
      <c r="D24" s="1">
        <v>1</v>
      </c>
      <c r="E24" s="1">
        <v>2</v>
      </c>
      <c r="F24" s="1" t="s">
        <v>7</v>
      </c>
      <c r="G24" s="1">
        <v>800</v>
      </c>
    </row>
    <row r="25" spans="1:10">
      <c r="A25" s="1" t="s">
        <v>91</v>
      </c>
      <c r="B25" s="1">
        <v>23</v>
      </c>
      <c r="C25" s="1">
        <v>0</v>
      </c>
      <c r="D25" s="1">
        <v>1</v>
      </c>
      <c r="E25" s="1">
        <v>2</v>
      </c>
      <c r="F25" s="1" t="s">
        <v>7</v>
      </c>
      <c r="G25" s="1">
        <v>800</v>
      </c>
    </row>
    <row r="26" spans="1:10">
      <c r="A26" s="1" t="s">
        <v>92</v>
      </c>
      <c r="B26" s="1">
        <v>24</v>
      </c>
      <c r="C26" s="1">
        <v>0</v>
      </c>
      <c r="D26" s="1">
        <v>1</v>
      </c>
      <c r="E26" s="1">
        <v>2</v>
      </c>
      <c r="F26" s="1" t="s">
        <v>7</v>
      </c>
      <c r="G26" s="1">
        <v>800</v>
      </c>
      <c r="H26" s="1">
        <v>220011</v>
      </c>
      <c r="I26" s="1" t="str">
        <f>INDEX([1]物品基础表!$A:$A,MATCH(H26,[1]物品基础表!$B:$B,0))</f>
        <v>高级秘籍宝箱</v>
      </c>
      <c r="J26" s="1">
        <v>1</v>
      </c>
    </row>
    <row r="27" spans="1:10">
      <c r="A27" s="1" t="s">
        <v>93</v>
      </c>
      <c r="B27" s="1">
        <v>25</v>
      </c>
      <c r="C27" s="1">
        <v>0</v>
      </c>
      <c r="D27" s="1">
        <v>1</v>
      </c>
      <c r="E27" s="1">
        <v>2</v>
      </c>
      <c r="F27" s="1" t="s">
        <v>7</v>
      </c>
      <c r="G27" s="1">
        <v>800</v>
      </c>
    </row>
    <row r="28" spans="1:10">
      <c r="A28" s="1" t="s">
        <v>94</v>
      </c>
      <c r="B28" s="1">
        <v>26</v>
      </c>
      <c r="C28" s="1">
        <v>0</v>
      </c>
      <c r="D28" s="1">
        <v>1</v>
      </c>
      <c r="E28" s="1">
        <v>2</v>
      </c>
      <c r="F28" s="1" t="s">
        <v>7</v>
      </c>
      <c r="G28" s="1">
        <v>800</v>
      </c>
    </row>
    <row r="29" spans="1:10">
      <c r="A29" s="1" t="s">
        <v>95</v>
      </c>
      <c r="B29" s="1">
        <v>27</v>
      </c>
      <c r="C29" s="1">
        <v>0</v>
      </c>
      <c r="D29" s="1">
        <v>1</v>
      </c>
      <c r="E29" s="1">
        <v>2</v>
      </c>
      <c r="F29" s="1" t="s">
        <v>7</v>
      </c>
      <c r="G29" s="1">
        <v>800</v>
      </c>
    </row>
    <row r="30" spans="1:10">
      <c r="A30" s="1" t="s">
        <v>96</v>
      </c>
      <c r="B30" s="1">
        <v>28</v>
      </c>
      <c r="C30" s="1">
        <v>1</v>
      </c>
      <c r="D30" s="1">
        <v>1</v>
      </c>
      <c r="E30" s="1">
        <v>2</v>
      </c>
      <c r="F30" s="1" t="s">
        <v>7</v>
      </c>
      <c r="G30" s="1">
        <v>14000</v>
      </c>
    </row>
    <row r="31" spans="1:10">
      <c r="A31" s="1" t="s">
        <v>97</v>
      </c>
      <c r="B31" s="1">
        <v>29</v>
      </c>
      <c r="C31" s="1">
        <v>0</v>
      </c>
      <c r="D31" s="1">
        <v>1</v>
      </c>
      <c r="E31" s="1">
        <v>2</v>
      </c>
      <c r="F31" s="1" t="s">
        <v>7</v>
      </c>
      <c r="G31" s="1">
        <v>880</v>
      </c>
    </row>
    <row r="32" spans="1:10">
      <c r="A32" s="1" t="s">
        <v>98</v>
      </c>
      <c r="B32" s="1">
        <v>30</v>
      </c>
      <c r="C32" s="1">
        <v>0</v>
      </c>
      <c r="D32" s="1">
        <v>1</v>
      </c>
      <c r="E32" s="1">
        <v>2</v>
      </c>
      <c r="F32" s="1" t="s">
        <v>7</v>
      </c>
      <c r="G32" s="1">
        <v>880</v>
      </c>
    </row>
    <row r="33" spans="1:10">
      <c r="A33" s="1" t="s">
        <v>99</v>
      </c>
      <c r="B33" s="1">
        <v>31</v>
      </c>
      <c r="C33" s="1">
        <v>0</v>
      </c>
      <c r="D33" s="1">
        <v>1</v>
      </c>
      <c r="E33" s="1">
        <v>2</v>
      </c>
      <c r="F33" s="1" t="s">
        <v>7</v>
      </c>
      <c r="G33" s="1">
        <v>880</v>
      </c>
      <c r="H33" s="1">
        <v>260065</v>
      </c>
      <c r="I33" s="1" t="str">
        <f>INDEX([1]物品基础表!$A:$A,MATCH(H33,[1]物品基础表!$B:$B,0))</f>
        <v>梦中情人</v>
      </c>
      <c r="J33" s="1">
        <v>1</v>
      </c>
    </row>
    <row r="34" spans="1:10">
      <c r="A34" s="1" t="s">
        <v>100</v>
      </c>
      <c r="B34" s="1">
        <v>32</v>
      </c>
      <c r="C34" s="1">
        <v>0</v>
      </c>
      <c r="D34" s="1">
        <v>1</v>
      </c>
      <c r="E34" s="1">
        <v>2</v>
      </c>
      <c r="F34" s="1" t="s">
        <v>7</v>
      </c>
      <c r="G34" s="1">
        <v>880</v>
      </c>
    </row>
    <row r="35" spans="1:10">
      <c r="A35" s="1" t="s">
        <v>101</v>
      </c>
      <c r="B35" s="1">
        <v>33</v>
      </c>
      <c r="C35" s="1">
        <v>0</v>
      </c>
      <c r="D35" s="1">
        <v>1</v>
      </c>
      <c r="E35" s="1">
        <v>2</v>
      </c>
      <c r="F35" s="1" t="s">
        <v>7</v>
      </c>
      <c r="G35" s="1">
        <v>880</v>
      </c>
    </row>
    <row r="36" spans="1:10">
      <c r="A36" s="1" t="s">
        <v>102</v>
      </c>
      <c r="B36" s="1">
        <v>34</v>
      </c>
      <c r="C36" s="1">
        <v>0</v>
      </c>
      <c r="D36" s="1">
        <v>1</v>
      </c>
      <c r="E36" s="1">
        <v>2</v>
      </c>
      <c r="F36" s="1" t="s">
        <v>7</v>
      </c>
      <c r="G36" s="1">
        <v>880</v>
      </c>
    </row>
    <row r="37" spans="1:10">
      <c r="A37" s="1" t="s">
        <v>103</v>
      </c>
      <c r="B37" s="1">
        <v>35</v>
      </c>
      <c r="C37" s="1">
        <v>1</v>
      </c>
      <c r="D37" s="1">
        <v>1</v>
      </c>
      <c r="E37" s="1">
        <v>2</v>
      </c>
      <c r="F37" s="1" t="s">
        <v>7</v>
      </c>
      <c r="G37" s="1">
        <v>20000</v>
      </c>
    </row>
    <row r="38" spans="1:10">
      <c r="A38" s="1" t="s">
        <v>104</v>
      </c>
      <c r="B38" s="1">
        <v>36</v>
      </c>
      <c r="C38" s="1">
        <v>0</v>
      </c>
      <c r="D38" s="1">
        <v>1</v>
      </c>
      <c r="E38" s="1">
        <v>2</v>
      </c>
      <c r="F38" s="1" t="s">
        <v>7</v>
      </c>
      <c r="G38" s="1">
        <v>880</v>
      </c>
    </row>
    <row r="39" spans="1:10">
      <c r="A39" s="1" t="s">
        <v>105</v>
      </c>
      <c r="B39" s="1">
        <v>37</v>
      </c>
      <c r="C39" s="1">
        <v>0</v>
      </c>
      <c r="D39" s="1">
        <v>1</v>
      </c>
      <c r="E39" s="1">
        <v>2</v>
      </c>
      <c r="F39" s="1" t="s">
        <v>7</v>
      </c>
      <c r="G39" s="1">
        <v>880</v>
      </c>
    </row>
    <row r="40" spans="1:10">
      <c r="A40" s="1" t="s">
        <v>106</v>
      </c>
      <c r="B40" s="1">
        <v>38</v>
      </c>
      <c r="C40" s="1">
        <v>0</v>
      </c>
      <c r="D40" s="1">
        <v>1</v>
      </c>
      <c r="E40" s="1">
        <v>2</v>
      </c>
      <c r="F40" s="1" t="s">
        <v>7</v>
      </c>
      <c r="G40" s="1">
        <v>880</v>
      </c>
      <c r="H40" s="1">
        <v>200301</v>
      </c>
      <c r="I40" s="1" t="str">
        <f>INDEX([1]物品基础表!$A:$A,MATCH(H40,[1]物品基础表!$B:$B,0))</f>
        <v>传世宝钻</v>
      </c>
      <c r="J40" s="1">
        <v>250</v>
      </c>
    </row>
    <row r="41" spans="1:10">
      <c r="A41" s="1" t="s">
        <v>107</v>
      </c>
      <c r="B41" s="1">
        <v>39</v>
      </c>
      <c r="C41" s="1">
        <v>0</v>
      </c>
      <c r="D41" s="1">
        <v>1</v>
      </c>
      <c r="E41" s="1">
        <v>2</v>
      </c>
      <c r="F41" s="1" t="s">
        <v>7</v>
      </c>
      <c r="G41" s="1">
        <v>880</v>
      </c>
    </row>
    <row r="42" spans="1:10">
      <c r="A42" s="1" t="s">
        <v>108</v>
      </c>
      <c r="B42" s="1">
        <v>40</v>
      </c>
      <c r="C42" s="1">
        <v>0</v>
      </c>
      <c r="D42" s="1">
        <v>1</v>
      </c>
      <c r="E42" s="1">
        <v>2</v>
      </c>
      <c r="F42" s="1" t="s">
        <v>7</v>
      </c>
      <c r="G42" s="1">
        <v>880</v>
      </c>
    </row>
    <row r="43" spans="1:10">
      <c r="A43" s="1" t="s">
        <v>109</v>
      </c>
      <c r="B43" s="1">
        <v>41</v>
      </c>
      <c r="C43" s="1">
        <v>0</v>
      </c>
      <c r="D43" s="1">
        <v>1</v>
      </c>
      <c r="E43" s="1">
        <v>2</v>
      </c>
      <c r="F43" s="1" t="s">
        <v>7</v>
      </c>
      <c r="G43" s="1">
        <v>880</v>
      </c>
    </row>
    <row r="44" spans="1:10">
      <c r="A44" s="1" t="s">
        <v>110</v>
      </c>
      <c r="B44" s="1">
        <v>42</v>
      </c>
      <c r="C44" s="1">
        <v>1</v>
      </c>
      <c r="D44" s="1">
        <v>1</v>
      </c>
      <c r="E44" s="1">
        <v>2</v>
      </c>
      <c r="F44" s="1" t="s">
        <v>7</v>
      </c>
      <c r="G44" s="1">
        <v>26000</v>
      </c>
    </row>
    <row r="45" spans="1:10">
      <c r="A45" s="1" t="s">
        <v>69</v>
      </c>
      <c r="B45" s="1">
        <v>43</v>
      </c>
      <c r="C45" s="1">
        <v>0</v>
      </c>
      <c r="D45" s="1">
        <v>2</v>
      </c>
      <c r="E45" s="1">
        <v>2</v>
      </c>
      <c r="F45" s="1" t="s">
        <v>7</v>
      </c>
      <c r="G45" s="1">
        <v>600</v>
      </c>
    </row>
    <row r="46" spans="1:10">
      <c r="A46" s="1" t="s">
        <v>70</v>
      </c>
      <c r="B46" s="1">
        <v>44</v>
      </c>
      <c r="C46" s="1">
        <v>0</v>
      </c>
      <c r="D46" s="1">
        <v>2</v>
      </c>
      <c r="E46" s="1">
        <v>2</v>
      </c>
      <c r="F46" s="1" t="s">
        <v>7</v>
      </c>
      <c r="G46" s="1">
        <v>600</v>
      </c>
    </row>
    <row r="47" spans="1:10">
      <c r="A47" s="1" t="s">
        <v>71</v>
      </c>
      <c r="B47" s="1">
        <v>45</v>
      </c>
      <c r="C47" s="1">
        <v>0</v>
      </c>
      <c r="D47" s="1">
        <v>2</v>
      </c>
      <c r="E47" s="1">
        <v>2</v>
      </c>
      <c r="F47" s="1" t="s">
        <v>7</v>
      </c>
      <c r="G47" s="1">
        <v>600</v>
      </c>
      <c r="H47" s="1">
        <v>900012</v>
      </c>
      <c r="I47" s="1" t="str">
        <f>INDEX([1]物品基础表!$A:$A,MATCH(H47,[1]物品基础表!$B:$B,0))</f>
        <v>天使之翼</v>
      </c>
      <c r="J47" s="1">
        <v>1</v>
      </c>
    </row>
    <row r="48" spans="1:10">
      <c r="A48" s="1" t="s">
        <v>72</v>
      </c>
      <c r="B48" s="1">
        <v>46</v>
      </c>
      <c r="C48" s="1">
        <v>0</v>
      </c>
      <c r="D48" s="1">
        <v>2</v>
      </c>
      <c r="E48" s="1">
        <v>2</v>
      </c>
      <c r="F48" s="1" t="s">
        <v>7</v>
      </c>
      <c r="G48" s="1">
        <v>600</v>
      </c>
    </row>
    <row r="49" spans="1:10">
      <c r="A49" s="1" t="s">
        <v>73</v>
      </c>
      <c r="B49" s="1">
        <v>47</v>
      </c>
      <c r="C49" s="1">
        <v>0</v>
      </c>
      <c r="D49" s="1">
        <v>2</v>
      </c>
      <c r="E49" s="1">
        <v>2</v>
      </c>
      <c r="F49" s="1" t="s">
        <v>7</v>
      </c>
      <c r="G49" s="1">
        <v>600</v>
      </c>
    </row>
    <row r="50" spans="1:10">
      <c r="A50" s="1" t="s">
        <v>74</v>
      </c>
      <c r="B50" s="1">
        <v>48</v>
      </c>
      <c r="C50" s="1">
        <v>0</v>
      </c>
      <c r="D50" s="1">
        <v>2</v>
      </c>
      <c r="E50" s="1">
        <v>2</v>
      </c>
      <c r="F50" s="1" t="s">
        <v>7</v>
      </c>
      <c r="G50" s="1">
        <v>600</v>
      </c>
    </row>
    <row r="51" spans="1:10">
      <c r="A51" s="1" t="s">
        <v>75</v>
      </c>
      <c r="B51" s="1">
        <v>49</v>
      </c>
      <c r="C51" s="1">
        <v>1</v>
      </c>
      <c r="D51" s="1">
        <v>2</v>
      </c>
      <c r="E51" s="1">
        <v>2</v>
      </c>
      <c r="F51" s="1" t="s">
        <v>7</v>
      </c>
      <c r="G51" s="1">
        <v>2000</v>
      </c>
      <c r="H51" s="1">
        <v>900001</v>
      </c>
      <c r="I51" s="1" t="str">
        <f>INDEX([1]物品基础表!$A:$A,MATCH(H51,[1]物品基础表!$B:$B,0))</f>
        <v>摸金校尉</v>
      </c>
      <c r="J51" s="1">
        <v>1</v>
      </c>
    </row>
    <row r="52" spans="1:10">
      <c r="A52" s="1" t="s">
        <v>76</v>
      </c>
      <c r="B52" s="1">
        <v>50</v>
      </c>
      <c r="C52" s="1">
        <v>0</v>
      </c>
      <c r="D52" s="1">
        <v>2</v>
      </c>
      <c r="E52" s="1">
        <v>2</v>
      </c>
      <c r="F52" s="1" t="s">
        <v>7</v>
      </c>
      <c r="G52" s="1">
        <v>600</v>
      </c>
    </row>
    <row r="53" spans="1:10">
      <c r="A53" s="1" t="s">
        <v>77</v>
      </c>
      <c r="B53" s="1">
        <v>51</v>
      </c>
      <c r="C53" s="1">
        <v>0</v>
      </c>
      <c r="D53" s="1">
        <v>2</v>
      </c>
      <c r="E53" s="1">
        <v>2</v>
      </c>
      <c r="F53" s="1" t="s">
        <v>7</v>
      </c>
      <c r="G53" s="1">
        <v>600</v>
      </c>
    </row>
    <row r="54" spans="1:10">
      <c r="A54" s="1" t="s">
        <v>78</v>
      </c>
      <c r="B54" s="1">
        <v>52</v>
      </c>
      <c r="C54" s="1">
        <v>0</v>
      </c>
      <c r="D54" s="1">
        <v>2</v>
      </c>
      <c r="E54" s="1">
        <v>2</v>
      </c>
      <c r="F54" s="1" t="s">
        <v>7</v>
      </c>
      <c r="G54" s="1">
        <v>600</v>
      </c>
      <c r="H54" s="1">
        <v>252229</v>
      </c>
      <c r="I54" s="1" t="str">
        <f>INDEX([1]物品基础表!$A:$A,MATCH(H54,[1]物品基础表!$B:$B,0))</f>
        <v>1-4转红装宝箱</v>
      </c>
      <c r="J54" s="1">
        <v>1</v>
      </c>
    </row>
    <row r="55" spans="1:10">
      <c r="A55" s="1" t="s">
        <v>79</v>
      </c>
      <c r="B55" s="1">
        <v>53</v>
      </c>
      <c r="C55" s="1">
        <v>0</v>
      </c>
      <c r="D55" s="1">
        <v>2</v>
      </c>
      <c r="E55" s="1">
        <v>2</v>
      </c>
      <c r="F55" s="1" t="s">
        <v>7</v>
      </c>
      <c r="G55" s="1">
        <v>600</v>
      </c>
    </row>
    <row r="56" spans="1:10">
      <c r="A56" s="1" t="s">
        <v>80</v>
      </c>
      <c r="B56" s="1">
        <v>54</v>
      </c>
      <c r="C56" s="1">
        <v>0</v>
      </c>
      <c r="D56" s="1">
        <v>2</v>
      </c>
      <c r="E56" s="1">
        <v>2</v>
      </c>
      <c r="F56" s="1" t="s">
        <v>7</v>
      </c>
      <c r="G56" s="1">
        <v>600</v>
      </c>
    </row>
    <row r="57" spans="1:10">
      <c r="A57" s="1" t="s">
        <v>81</v>
      </c>
      <c r="B57" s="1">
        <v>55</v>
      </c>
      <c r="C57" s="1">
        <v>0</v>
      </c>
      <c r="D57" s="1">
        <v>2</v>
      </c>
      <c r="E57" s="1">
        <v>2</v>
      </c>
      <c r="F57" s="1" t="s">
        <v>7</v>
      </c>
      <c r="G57" s="1">
        <v>600</v>
      </c>
    </row>
    <row r="58" spans="1:10">
      <c r="A58" s="1" t="s">
        <v>82</v>
      </c>
      <c r="B58" s="1">
        <v>56</v>
      </c>
      <c r="C58" s="1">
        <v>1</v>
      </c>
      <c r="D58" s="1">
        <v>2</v>
      </c>
      <c r="E58" s="1">
        <v>2</v>
      </c>
      <c r="F58" s="1" t="s">
        <v>7</v>
      </c>
      <c r="G58" s="1">
        <v>4000</v>
      </c>
      <c r="H58" s="1">
        <v>200113</v>
      </c>
      <c r="I58" s="1" t="str">
        <f>INDEX([1]物品基础表!$A:$A,MATCH(H58,[1]物品基础表!$B:$B,0))</f>
        <v>暗黑战神</v>
      </c>
      <c r="J58" s="1">
        <v>1</v>
      </c>
    </row>
    <row r="59" spans="1:10">
      <c r="A59" s="1" t="s">
        <v>83</v>
      </c>
      <c r="B59" s="1">
        <v>57</v>
      </c>
      <c r="C59" s="1">
        <v>0</v>
      </c>
      <c r="D59" s="1">
        <v>2</v>
      </c>
      <c r="E59" s="1">
        <v>2</v>
      </c>
      <c r="F59" s="1" t="s">
        <v>7</v>
      </c>
      <c r="G59" s="1">
        <v>800</v>
      </c>
    </row>
    <row r="60" spans="1:10">
      <c r="A60" s="1" t="s">
        <v>84</v>
      </c>
      <c r="B60" s="1">
        <v>58</v>
      </c>
      <c r="C60" s="1">
        <v>0</v>
      </c>
      <c r="D60" s="1">
        <v>2</v>
      </c>
      <c r="E60" s="1">
        <v>2</v>
      </c>
      <c r="F60" s="1" t="s">
        <v>7</v>
      </c>
      <c r="G60" s="1">
        <v>800</v>
      </c>
    </row>
    <row r="61" spans="1:10">
      <c r="A61" s="1" t="s">
        <v>85</v>
      </c>
      <c r="B61" s="1">
        <v>59</v>
      </c>
      <c r="C61" s="1">
        <v>0</v>
      </c>
      <c r="D61" s="1">
        <v>2</v>
      </c>
      <c r="E61" s="1">
        <v>2</v>
      </c>
      <c r="F61" s="1" t="s">
        <v>7</v>
      </c>
      <c r="G61" s="1">
        <v>800</v>
      </c>
      <c r="H61" s="1">
        <v>252230</v>
      </c>
      <c r="I61" s="1" t="str">
        <f>INDEX([1]物品基础表!$A:$A,MATCH(H61,[1]物品基础表!$B:$B,0))</f>
        <v>5-8转红装宝箱</v>
      </c>
      <c r="J61" s="1">
        <v>1</v>
      </c>
    </row>
    <row r="62" spans="1:10">
      <c r="A62" s="1" t="s">
        <v>86</v>
      </c>
      <c r="B62" s="1">
        <v>60</v>
      </c>
      <c r="C62" s="1">
        <v>0</v>
      </c>
      <c r="D62" s="1">
        <v>2</v>
      </c>
      <c r="E62" s="1">
        <v>2</v>
      </c>
      <c r="F62" s="1" t="s">
        <v>7</v>
      </c>
      <c r="G62" s="1">
        <v>800</v>
      </c>
    </row>
    <row r="63" spans="1:10">
      <c r="A63" s="1" t="s">
        <v>87</v>
      </c>
      <c r="B63" s="1">
        <v>61</v>
      </c>
      <c r="C63" s="1">
        <v>0</v>
      </c>
      <c r="D63" s="1">
        <v>2</v>
      </c>
      <c r="E63" s="1">
        <v>2</v>
      </c>
      <c r="F63" s="1" t="s">
        <v>7</v>
      </c>
      <c r="G63" s="1">
        <v>800</v>
      </c>
    </row>
    <row r="64" spans="1:10">
      <c r="A64" s="1" t="s">
        <v>88</v>
      </c>
      <c r="B64" s="1">
        <v>62</v>
      </c>
      <c r="C64" s="1">
        <v>0</v>
      </c>
      <c r="D64" s="1">
        <v>2</v>
      </c>
      <c r="E64" s="1">
        <v>2</v>
      </c>
      <c r="F64" s="1" t="s">
        <v>7</v>
      </c>
      <c r="G64" s="1">
        <v>800</v>
      </c>
    </row>
    <row r="65" spans="1:10">
      <c r="A65" s="1" t="s">
        <v>89</v>
      </c>
      <c r="B65" s="1">
        <v>63</v>
      </c>
      <c r="C65" s="1">
        <v>1</v>
      </c>
      <c r="D65" s="1">
        <v>2</v>
      </c>
      <c r="E65" s="1">
        <v>2</v>
      </c>
      <c r="F65" s="1" t="s">
        <v>7</v>
      </c>
      <c r="G65" s="1">
        <v>8000</v>
      </c>
    </row>
    <row r="66" spans="1:10">
      <c r="A66" s="1" t="s">
        <v>90</v>
      </c>
      <c r="B66" s="1">
        <v>64</v>
      </c>
      <c r="C66" s="1">
        <v>0</v>
      </c>
      <c r="D66" s="1">
        <v>2</v>
      </c>
      <c r="E66" s="1">
        <v>2</v>
      </c>
      <c r="F66" s="1" t="s">
        <v>7</v>
      </c>
      <c r="G66" s="1">
        <v>800</v>
      </c>
    </row>
    <row r="67" spans="1:10">
      <c r="A67" s="1" t="s">
        <v>91</v>
      </c>
      <c r="B67" s="1">
        <v>65</v>
      </c>
      <c r="C67" s="1">
        <v>0</v>
      </c>
      <c r="D67" s="1">
        <v>2</v>
      </c>
      <c r="E67" s="1">
        <v>2</v>
      </c>
      <c r="F67" s="1" t="s">
        <v>7</v>
      </c>
      <c r="G67" s="1">
        <v>800</v>
      </c>
    </row>
    <row r="68" spans="1:10">
      <c r="A68" s="1" t="s">
        <v>92</v>
      </c>
      <c r="B68" s="1">
        <v>66</v>
      </c>
      <c r="C68" s="1">
        <v>0</v>
      </c>
      <c r="D68" s="1">
        <v>2</v>
      </c>
      <c r="E68" s="1">
        <v>2</v>
      </c>
      <c r="F68" s="1" t="s">
        <v>7</v>
      </c>
      <c r="G68" s="1">
        <v>800</v>
      </c>
      <c r="H68" s="1">
        <v>220011</v>
      </c>
      <c r="I68" s="1" t="str">
        <f>INDEX([1]物品基础表!$A:$A,MATCH(H68,[1]物品基础表!$B:$B,0))</f>
        <v>高级秘籍宝箱</v>
      </c>
      <c r="J68" s="1">
        <v>1</v>
      </c>
    </row>
    <row r="69" spans="1:10">
      <c r="A69" s="1" t="s">
        <v>93</v>
      </c>
      <c r="B69" s="1">
        <v>67</v>
      </c>
      <c r="C69" s="1">
        <v>0</v>
      </c>
      <c r="D69" s="1">
        <v>2</v>
      </c>
      <c r="E69" s="1">
        <v>2</v>
      </c>
      <c r="F69" s="1" t="s">
        <v>7</v>
      </c>
      <c r="G69" s="1">
        <v>800</v>
      </c>
    </row>
    <row r="70" spans="1:10">
      <c r="A70" s="1" t="s">
        <v>94</v>
      </c>
      <c r="B70" s="1">
        <v>68</v>
      </c>
      <c r="C70" s="1">
        <v>0</v>
      </c>
      <c r="D70" s="1">
        <v>2</v>
      </c>
      <c r="E70" s="1">
        <v>2</v>
      </c>
      <c r="F70" s="1" t="s">
        <v>7</v>
      </c>
      <c r="G70" s="1">
        <v>800</v>
      </c>
    </row>
    <row r="71" spans="1:10">
      <c r="A71" s="1" t="s">
        <v>95</v>
      </c>
      <c r="B71" s="1">
        <v>69</v>
      </c>
      <c r="C71" s="1">
        <v>0</v>
      </c>
      <c r="D71" s="1">
        <v>2</v>
      </c>
      <c r="E71" s="1">
        <v>2</v>
      </c>
      <c r="F71" s="1" t="s">
        <v>7</v>
      </c>
      <c r="G71" s="1">
        <v>800</v>
      </c>
    </row>
    <row r="72" spans="1:10">
      <c r="A72" s="1" t="s">
        <v>96</v>
      </c>
      <c r="B72" s="1">
        <v>70</v>
      </c>
      <c r="C72" s="1">
        <v>1</v>
      </c>
      <c r="D72" s="1">
        <v>2</v>
      </c>
      <c r="E72" s="1">
        <v>2</v>
      </c>
      <c r="F72" s="1" t="s">
        <v>7</v>
      </c>
      <c r="G72" s="1">
        <v>14000</v>
      </c>
    </row>
    <row r="73" spans="1:10">
      <c r="A73" s="1" t="s">
        <v>97</v>
      </c>
      <c r="B73" s="1">
        <v>71</v>
      </c>
      <c r="C73" s="1">
        <v>0</v>
      </c>
      <c r="D73" s="1">
        <v>2</v>
      </c>
      <c r="E73" s="1">
        <v>2</v>
      </c>
      <c r="F73" s="1" t="s">
        <v>7</v>
      </c>
      <c r="G73" s="1">
        <v>880</v>
      </c>
    </row>
    <row r="74" spans="1:10">
      <c r="A74" s="1" t="s">
        <v>98</v>
      </c>
      <c r="B74" s="1">
        <v>72</v>
      </c>
      <c r="C74" s="1">
        <v>0</v>
      </c>
      <c r="D74" s="1">
        <v>2</v>
      </c>
      <c r="E74" s="1">
        <v>2</v>
      </c>
      <c r="F74" s="1" t="s">
        <v>7</v>
      </c>
      <c r="G74" s="1">
        <v>880</v>
      </c>
    </row>
    <row r="75" spans="1:10">
      <c r="A75" s="1" t="s">
        <v>99</v>
      </c>
      <c r="B75" s="1">
        <v>73</v>
      </c>
      <c r="C75" s="1">
        <v>0</v>
      </c>
      <c r="D75" s="1">
        <v>2</v>
      </c>
      <c r="E75" s="1">
        <v>2</v>
      </c>
      <c r="F75" s="1" t="s">
        <v>7</v>
      </c>
      <c r="G75" s="1">
        <v>880</v>
      </c>
      <c r="H75" s="1">
        <v>260065</v>
      </c>
      <c r="I75" s="1" t="str">
        <f>INDEX([1]物品基础表!$A:$A,MATCH(H75,[1]物品基础表!$B:$B,0))</f>
        <v>梦中情人</v>
      </c>
      <c r="J75" s="1">
        <v>1</v>
      </c>
    </row>
    <row r="76" spans="1:10">
      <c r="A76" s="1" t="s">
        <v>100</v>
      </c>
      <c r="B76" s="1">
        <v>74</v>
      </c>
      <c r="C76" s="1">
        <v>0</v>
      </c>
      <c r="D76" s="1">
        <v>2</v>
      </c>
      <c r="E76" s="1">
        <v>2</v>
      </c>
      <c r="F76" s="1" t="s">
        <v>7</v>
      </c>
      <c r="G76" s="1">
        <v>880</v>
      </c>
    </row>
    <row r="77" spans="1:10">
      <c r="A77" s="1" t="s">
        <v>101</v>
      </c>
      <c r="B77" s="1">
        <v>75</v>
      </c>
      <c r="C77" s="1">
        <v>0</v>
      </c>
      <c r="D77" s="1">
        <v>2</v>
      </c>
      <c r="E77" s="1">
        <v>2</v>
      </c>
      <c r="F77" s="1" t="s">
        <v>7</v>
      </c>
      <c r="G77" s="1">
        <v>880</v>
      </c>
    </row>
    <row r="78" spans="1:10">
      <c r="A78" s="1" t="s">
        <v>102</v>
      </c>
      <c r="B78" s="1">
        <v>76</v>
      </c>
      <c r="C78" s="1">
        <v>0</v>
      </c>
      <c r="D78" s="1">
        <v>2</v>
      </c>
      <c r="E78" s="1">
        <v>2</v>
      </c>
      <c r="F78" s="1" t="s">
        <v>7</v>
      </c>
      <c r="G78" s="1">
        <v>880</v>
      </c>
    </row>
    <row r="79" spans="1:10">
      <c r="A79" s="1" t="s">
        <v>103</v>
      </c>
      <c r="B79" s="1">
        <v>77</v>
      </c>
      <c r="C79" s="1">
        <v>1</v>
      </c>
      <c r="D79" s="1">
        <v>2</v>
      </c>
      <c r="E79" s="1">
        <v>2</v>
      </c>
      <c r="F79" s="1" t="s">
        <v>7</v>
      </c>
      <c r="G79" s="1">
        <v>20000</v>
      </c>
    </row>
    <row r="80" spans="1:10">
      <c r="A80" s="1" t="s">
        <v>104</v>
      </c>
      <c r="B80" s="1">
        <v>78</v>
      </c>
      <c r="C80" s="1">
        <v>0</v>
      </c>
      <c r="D80" s="1">
        <v>2</v>
      </c>
      <c r="E80" s="1">
        <v>2</v>
      </c>
      <c r="F80" s="1" t="s">
        <v>7</v>
      </c>
      <c r="G80" s="1">
        <v>880</v>
      </c>
    </row>
    <row r="81" spans="1:10">
      <c r="A81" s="1" t="s">
        <v>105</v>
      </c>
      <c r="B81" s="1">
        <v>79</v>
      </c>
      <c r="C81" s="1">
        <v>0</v>
      </c>
      <c r="D81" s="1">
        <v>2</v>
      </c>
      <c r="E81" s="1">
        <v>2</v>
      </c>
      <c r="F81" s="1" t="s">
        <v>7</v>
      </c>
      <c r="G81" s="1">
        <v>880</v>
      </c>
    </row>
    <row r="82" spans="1:10">
      <c r="A82" s="1" t="s">
        <v>106</v>
      </c>
      <c r="B82" s="1">
        <v>80</v>
      </c>
      <c r="C82" s="1">
        <v>0</v>
      </c>
      <c r="D82" s="1">
        <v>2</v>
      </c>
      <c r="E82" s="1">
        <v>2</v>
      </c>
      <c r="F82" s="1" t="s">
        <v>7</v>
      </c>
      <c r="G82" s="1">
        <v>880</v>
      </c>
      <c r="H82" s="1">
        <v>200301</v>
      </c>
      <c r="I82" s="1" t="str">
        <f>INDEX([1]物品基础表!$A:$A,MATCH(H82,[1]物品基础表!$B:$B,0))</f>
        <v>传世宝钻</v>
      </c>
      <c r="J82" s="1">
        <v>250</v>
      </c>
    </row>
    <row r="83" spans="1:10">
      <c r="A83" s="1" t="s">
        <v>107</v>
      </c>
      <c r="B83" s="1">
        <v>81</v>
      </c>
      <c r="C83" s="1">
        <v>0</v>
      </c>
      <c r="D83" s="1">
        <v>2</v>
      </c>
      <c r="E83" s="1">
        <v>2</v>
      </c>
      <c r="F83" s="1" t="s">
        <v>7</v>
      </c>
      <c r="G83" s="1">
        <v>880</v>
      </c>
    </row>
    <row r="84" spans="1:10">
      <c r="A84" s="1" t="s">
        <v>108</v>
      </c>
      <c r="B84" s="1">
        <v>82</v>
      </c>
      <c r="C84" s="1">
        <v>0</v>
      </c>
      <c r="D84" s="1">
        <v>2</v>
      </c>
      <c r="E84" s="1">
        <v>2</v>
      </c>
      <c r="F84" s="1" t="s">
        <v>7</v>
      </c>
      <c r="G84" s="1">
        <v>880</v>
      </c>
    </row>
    <row r="85" spans="1:10">
      <c r="A85" s="1" t="s">
        <v>109</v>
      </c>
      <c r="B85" s="1">
        <v>83</v>
      </c>
      <c r="C85" s="1">
        <v>0</v>
      </c>
      <c r="D85" s="1">
        <v>2</v>
      </c>
      <c r="E85" s="1">
        <v>2</v>
      </c>
      <c r="F85" s="1" t="s">
        <v>7</v>
      </c>
      <c r="G85" s="1">
        <v>880</v>
      </c>
    </row>
    <row r="86" spans="1:10">
      <c r="A86" s="1" t="s">
        <v>110</v>
      </c>
      <c r="B86" s="1">
        <v>84</v>
      </c>
      <c r="C86" s="1">
        <v>1</v>
      </c>
      <c r="D86" s="1">
        <v>2</v>
      </c>
      <c r="E86" s="1">
        <v>2</v>
      </c>
      <c r="F86" s="1" t="s">
        <v>7</v>
      </c>
      <c r="G86" s="1">
        <v>26000</v>
      </c>
    </row>
  </sheetData>
  <mergeCells count="1">
    <mergeCell ref="E1:J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5"/>
  <sheetViews>
    <sheetView workbookViewId="0"/>
  </sheetViews>
  <sheetFormatPr defaultRowHeight="13.5"/>
  <cols>
    <col min="1" max="1" width="12.125" style="1" bestFit="1" customWidth="1"/>
    <col min="2" max="2" width="5.25" style="1" bestFit="1" customWidth="1"/>
    <col min="3" max="3" width="9" style="1"/>
    <col min="4" max="4" width="9" style="1" bestFit="1" customWidth="1"/>
    <col min="5" max="16384" width="9" style="1"/>
  </cols>
  <sheetData>
    <row r="1" spans="1:6">
      <c r="D1" s="109" t="s">
        <v>66</v>
      </c>
      <c r="E1" s="109"/>
      <c r="F1" s="109"/>
    </row>
    <row r="2" spans="1:6">
      <c r="A2" s="3" t="s">
        <v>111</v>
      </c>
      <c r="B2" s="4" t="s">
        <v>65</v>
      </c>
      <c r="C2" s="4" t="s">
        <v>60</v>
      </c>
      <c r="D2" s="4" t="s">
        <v>2</v>
      </c>
      <c r="E2" s="4" t="s">
        <v>3</v>
      </c>
      <c r="F2" s="4" t="s">
        <v>4</v>
      </c>
    </row>
    <row r="3" spans="1:6">
      <c r="A3" s="1" t="s">
        <v>69</v>
      </c>
      <c r="B3" s="1">
        <v>1</v>
      </c>
      <c r="C3" s="1">
        <v>500</v>
      </c>
      <c r="D3" s="1">
        <v>2</v>
      </c>
      <c r="E3" s="1" t="s">
        <v>7</v>
      </c>
      <c r="F3" s="1">
        <v>600</v>
      </c>
    </row>
    <row r="4" spans="1:6">
      <c r="A4" s="1" t="s">
        <v>70</v>
      </c>
      <c r="B4" s="1">
        <v>2</v>
      </c>
      <c r="C4" s="1">
        <v>2000</v>
      </c>
      <c r="D4" s="1">
        <v>2</v>
      </c>
      <c r="E4" s="1" t="s">
        <v>7</v>
      </c>
      <c r="F4" s="1">
        <v>600</v>
      </c>
    </row>
    <row r="5" spans="1:6">
      <c r="A5" s="1" t="s">
        <v>71</v>
      </c>
      <c r="B5" s="1">
        <v>3</v>
      </c>
      <c r="C5" s="1">
        <v>3000</v>
      </c>
      <c r="D5" s="1">
        <v>2</v>
      </c>
      <c r="E5" s="1" t="s">
        <v>7</v>
      </c>
      <c r="F5" s="1">
        <v>600</v>
      </c>
    </row>
  </sheetData>
  <mergeCells count="1">
    <mergeCell ref="D1:F1"/>
  </mergeCells>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9"/>
  <sheetViews>
    <sheetView workbookViewId="0"/>
  </sheetViews>
  <sheetFormatPr defaultRowHeight="13.5"/>
  <cols>
    <col min="1" max="2" width="9" style="1"/>
    <col min="3" max="3" width="12.125" style="1" bestFit="1" customWidth="1"/>
    <col min="4" max="16384" width="9" style="1"/>
  </cols>
  <sheetData>
    <row r="1" spans="1:4">
      <c r="A1" s="3" t="s">
        <v>116</v>
      </c>
      <c r="B1" s="4" t="s">
        <v>2</v>
      </c>
      <c r="C1" s="4" t="s">
        <v>3</v>
      </c>
      <c r="D1" s="4" t="s">
        <v>4</v>
      </c>
    </row>
    <row r="2" spans="1:4">
      <c r="A2" s="1" t="s">
        <v>113</v>
      </c>
      <c r="B2" s="1">
        <v>200137</v>
      </c>
      <c r="C2" s="1" t="str">
        <f>INDEX([1]物品基础表!$A:$A,MATCH(B2,[1]物品基础表!$B:$B,0))</f>
        <v>直升1级丹</v>
      </c>
      <c r="D2" s="1">
        <v>1</v>
      </c>
    </row>
    <row r="3" spans="1:4">
      <c r="A3" s="1" t="s">
        <v>113</v>
      </c>
      <c r="B3" s="1">
        <v>1</v>
      </c>
      <c r="C3" s="1" t="s">
        <v>112</v>
      </c>
      <c r="D3" s="1">
        <v>2000000</v>
      </c>
    </row>
    <row r="4" spans="1:4">
      <c r="A4" s="1" t="s">
        <v>113</v>
      </c>
      <c r="B4" s="1">
        <v>200158</v>
      </c>
      <c r="C4" s="1" t="str">
        <f>INDEX([1]物品基础表!$A:$A,MATCH(B4,[1]物品基础表!$B:$B,0))</f>
        <v>首充武器-战</v>
      </c>
      <c r="D4" s="1">
        <v>1</v>
      </c>
    </row>
    <row r="5" spans="1:4">
      <c r="A5" s="1" t="s">
        <v>113</v>
      </c>
      <c r="B5" s="1">
        <v>200159</v>
      </c>
      <c r="C5" s="1" t="str">
        <f>INDEX([1]物品基础表!$A:$A,MATCH(B5,[1]物品基础表!$B:$B,0))</f>
        <v>首充衣服-战</v>
      </c>
      <c r="D5" s="1">
        <v>1</v>
      </c>
    </row>
    <row r="6" spans="1:4">
      <c r="A6" s="1" t="s">
        <v>113</v>
      </c>
      <c r="B6" s="1">
        <v>201003</v>
      </c>
      <c r="C6" s="1" t="str">
        <f>INDEX([1]物品基础表!$A:$A,MATCH(B6,[1]物品基础表!$B:$B,0))</f>
        <v>首充头盔-战</v>
      </c>
      <c r="D6" s="1">
        <v>1</v>
      </c>
    </row>
    <row r="7" spans="1:4">
      <c r="A7" s="1" t="s">
        <v>113</v>
      </c>
      <c r="B7" s="1">
        <v>260048</v>
      </c>
      <c r="C7" s="1" t="str">
        <f>INDEX([1]物品基础表!$A:$A,MATCH(B7,[1]物品基础表!$B:$B,0))</f>
        <v>痴心之媚</v>
      </c>
      <c r="D7" s="1">
        <v>1</v>
      </c>
    </row>
    <row r="8" spans="1:4">
      <c r="A8" s="1" t="s">
        <v>114</v>
      </c>
      <c r="B8" s="1">
        <v>200137</v>
      </c>
      <c r="C8" s="1" t="str">
        <f>INDEX([1]物品基础表!$A:$A,MATCH(B8,[1]物品基础表!$B:$B,0))</f>
        <v>直升1级丹</v>
      </c>
      <c r="D8" s="1">
        <v>1</v>
      </c>
    </row>
    <row r="9" spans="1:4">
      <c r="A9" s="1" t="s">
        <v>114</v>
      </c>
      <c r="B9" s="1">
        <v>1</v>
      </c>
      <c r="C9" s="1" t="s">
        <v>112</v>
      </c>
      <c r="D9" s="1">
        <v>2000000</v>
      </c>
    </row>
    <row r="10" spans="1:4">
      <c r="A10" s="1" t="s">
        <v>114</v>
      </c>
      <c r="B10" s="1">
        <v>200160</v>
      </c>
      <c r="C10" s="1" t="str">
        <f>INDEX([1]物品基础表!$A:$A,MATCH(B10,[1]物品基础表!$B:$B,0))</f>
        <v>首充武器-法</v>
      </c>
      <c r="D10" s="1">
        <v>1</v>
      </c>
    </row>
    <row r="11" spans="1:4">
      <c r="A11" s="1" t="s">
        <v>114</v>
      </c>
      <c r="B11" s="1">
        <v>200161</v>
      </c>
      <c r="C11" s="1" t="str">
        <f>INDEX([1]物品基础表!$A:$A,MATCH(B11,[1]物品基础表!$B:$B,0))</f>
        <v>首充衣服-法</v>
      </c>
      <c r="D11" s="1">
        <v>1</v>
      </c>
    </row>
    <row r="12" spans="1:4">
      <c r="A12" s="1" t="s">
        <v>114</v>
      </c>
      <c r="B12" s="1">
        <v>201004</v>
      </c>
      <c r="C12" s="1" t="str">
        <f>INDEX([1]物品基础表!$A:$A,MATCH(B12,[1]物品基础表!$B:$B,0))</f>
        <v>首充头盔-法</v>
      </c>
      <c r="D12" s="1">
        <v>1</v>
      </c>
    </row>
    <row r="13" spans="1:4">
      <c r="A13" s="1" t="s">
        <v>114</v>
      </c>
      <c r="B13" s="1">
        <v>260048</v>
      </c>
      <c r="C13" s="1" t="str">
        <f>INDEX([1]物品基础表!$A:$A,MATCH(B13,[1]物品基础表!$B:$B,0))</f>
        <v>痴心之媚</v>
      </c>
      <c r="D13" s="1">
        <v>1</v>
      </c>
    </row>
    <row r="14" spans="1:4">
      <c r="A14" s="1" t="s">
        <v>115</v>
      </c>
      <c r="B14" s="1">
        <v>200137</v>
      </c>
      <c r="C14" s="1" t="str">
        <f>INDEX([1]物品基础表!$A:$A,MATCH(B14,[1]物品基础表!$B:$B,0))</f>
        <v>直升1级丹</v>
      </c>
      <c r="D14" s="1">
        <v>1</v>
      </c>
    </row>
    <row r="15" spans="1:4">
      <c r="A15" s="1" t="s">
        <v>115</v>
      </c>
      <c r="B15" s="1">
        <v>1</v>
      </c>
      <c r="C15" s="1" t="s">
        <v>112</v>
      </c>
      <c r="D15" s="1">
        <v>2000000</v>
      </c>
    </row>
    <row r="16" spans="1:4">
      <c r="A16" s="1" t="s">
        <v>115</v>
      </c>
      <c r="B16" s="1">
        <v>200162</v>
      </c>
      <c r="C16" s="1" t="str">
        <f>INDEX([1]物品基础表!$A:$A,MATCH(B16,[1]物品基础表!$B:$B,0))</f>
        <v>首充武器-道</v>
      </c>
      <c r="D16" s="1">
        <v>1</v>
      </c>
    </row>
    <row r="17" spans="1:4">
      <c r="A17" s="1" t="s">
        <v>115</v>
      </c>
      <c r="B17" s="1">
        <v>200163</v>
      </c>
      <c r="C17" s="1" t="str">
        <f>INDEX([1]物品基础表!$A:$A,MATCH(B17,[1]物品基础表!$B:$B,0))</f>
        <v>首充衣服-道</v>
      </c>
      <c r="D17" s="1">
        <v>1</v>
      </c>
    </row>
    <row r="18" spans="1:4">
      <c r="A18" s="1" t="s">
        <v>115</v>
      </c>
      <c r="B18" s="1">
        <v>201005</v>
      </c>
      <c r="C18" s="1" t="str">
        <f>INDEX([1]物品基础表!$A:$A,MATCH(B18,[1]物品基础表!$B:$B,0))</f>
        <v>首充头盔-道</v>
      </c>
      <c r="D18" s="1">
        <v>1</v>
      </c>
    </row>
    <row r="19" spans="1:4">
      <c r="A19" s="1" t="s">
        <v>115</v>
      </c>
      <c r="B19" s="1">
        <v>260048</v>
      </c>
      <c r="C19" s="1" t="str">
        <f>INDEX([1]物品基础表!$A:$A,MATCH(B19,[1]物品基础表!$B:$B,0))</f>
        <v>痴心之媚</v>
      </c>
      <c r="D19" s="1">
        <v>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Q409"/>
  <sheetViews>
    <sheetView topLeftCell="A282" workbookViewId="0">
      <selection activeCell="C294" sqref="C294"/>
    </sheetView>
  </sheetViews>
  <sheetFormatPr defaultRowHeight="13.5"/>
  <cols>
    <col min="1" max="1" width="42.625" style="1" bestFit="1" customWidth="1"/>
    <col min="2" max="2" width="5.5" style="1" bestFit="1" customWidth="1"/>
    <col min="3" max="3" width="9" style="1"/>
    <col min="4" max="5" width="18.375" style="1" bestFit="1" customWidth="1"/>
    <col min="6" max="6" width="9" style="1"/>
    <col min="7" max="7" width="21.375" style="1" bestFit="1" customWidth="1"/>
    <col min="8" max="9" width="66" style="1" bestFit="1" customWidth="1"/>
    <col min="10" max="11" width="18.375" style="1" bestFit="1" customWidth="1"/>
    <col min="12" max="13" width="17.25" style="1" bestFit="1" customWidth="1"/>
    <col min="14" max="14" width="23.5" style="1" bestFit="1" customWidth="1"/>
    <col min="15" max="15" width="15.125" style="1" bestFit="1" customWidth="1"/>
    <col min="16" max="16" width="15.25" style="1" bestFit="1" customWidth="1"/>
    <col min="17" max="17" width="114.25" style="1" bestFit="1" customWidth="1"/>
    <col min="18" max="16384" width="9" style="1"/>
  </cols>
  <sheetData>
    <row r="1" spans="1:17" ht="14.25">
      <c r="A1" s="24" t="s">
        <v>674</v>
      </c>
      <c r="B1" s="24" t="s">
        <v>17</v>
      </c>
      <c r="C1" s="25" t="s">
        <v>117</v>
      </c>
      <c r="D1" s="25" t="s">
        <v>118</v>
      </c>
      <c r="E1" s="26" t="s">
        <v>119</v>
      </c>
      <c r="F1" s="27" t="s">
        <v>22</v>
      </c>
      <c r="G1" s="27" t="s">
        <v>120</v>
      </c>
      <c r="H1" s="27" t="s">
        <v>121</v>
      </c>
      <c r="I1" s="27" t="s">
        <v>121</v>
      </c>
      <c r="J1" s="27" t="s">
        <v>122</v>
      </c>
      <c r="K1" s="27" t="s">
        <v>123</v>
      </c>
      <c r="L1" s="27" t="s">
        <v>124</v>
      </c>
      <c r="M1" s="27" t="s">
        <v>125</v>
      </c>
      <c r="N1" s="28" t="s">
        <v>126</v>
      </c>
      <c r="O1" s="29" t="s">
        <v>127</v>
      </c>
      <c r="P1" s="27" t="s">
        <v>128</v>
      </c>
      <c r="Q1" s="27" t="s">
        <v>129</v>
      </c>
    </row>
    <row r="2" spans="1:17">
      <c r="A2" s="1" t="s">
        <v>130</v>
      </c>
      <c r="B2" s="1">
        <v>0</v>
      </c>
      <c r="C2" s="1">
        <v>0</v>
      </c>
      <c r="D2" s="1" t="s">
        <v>131</v>
      </c>
      <c r="E2" s="1" t="s">
        <v>132</v>
      </c>
      <c r="F2" s="1">
        <v>1</v>
      </c>
      <c r="P2" s="1" t="s">
        <v>133</v>
      </c>
      <c r="Q2" s="1" t="s">
        <v>134</v>
      </c>
    </row>
    <row r="3" spans="1:17">
      <c r="A3" s="1" t="s">
        <v>135</v>
      </c>
      <c r="B3" s="1">
        <v>1</v>
      </c>
      <c r="C3" s="1">
        <v>0</v>
      </c>
      <c r="D3" s="1" t="s">
        <v>136</v>
      </c>
      <c r="E3" s="1" t="s">
        <v>137</v>
      </c>
      <c r="F3" s="1">
        <v>1</v>
      </c>
      <c r="P3" s="1" t="s">
        <v>133</v>
      </c>
      <c r="Q3" s="1" t="s">
        <v>138</v>
      </c>
    </row>
    <row r="4" spans="1:17">
      <c r="A4" s="1" t="s">
        <v>139</v>
      </c>
      <c r="B4" s="1">
        <v>2</v>
      </c>
      <c r="C4" s="1">
        <v>0</v>
      </c>
      <c r="D4" s="1" t="s">
        <v>131</v>
      </c>
      <c r="E4" s="1" t="s">
        <v>140</v>
      </c>
      <c r="F4" s="1">
        <v>1</v>
      </c>
      <c r="P4" s="1" t="s">
        <v>133</v>
      </c>
      <c r="Q4" s="1" t="s">
        <v>141</v>
      </c>
    </row>
    <row r="5" spans="1:17">
      <c r="A5" s="1" t="s">
        <v>142</v>
      </c>
      <c r="B5" s="1">
        <v>3</v>
      </c>
      <c r="C5" s="1">
        <v>0</v>
      </c>
      <c r="D5" s="1" t="s">
        <v>140</v>
      </c>
      <c r="E5" s="1" t="s">
        <v>136</v>
      </c>
      <c r="F5" s="1">
        <v>1</v>
      </c>
      <c r="P5" s="1" t="s">
        <v>133</v>
      </c>
      <c r="Q5" s="1" t="s">
        <v>143</v>
      </c>
    </row>
    <row r="6" spans="1:17">
      <c r="A6" s="1" t="s">
        <v>144</v>
      </c>
      <c r="B6" s="1">
        <v>4</v>
      </c>
      <c r="C6" s="1">
        <v>0</v>
      </c>
      <c r="D6" s="1" t="s">
        <v>137</v>
      </c>
      <c r="E6" s="1" t="s">
        <v>145</v>
      </c>
      <c r="F6" s="1">
        <v>1</v>
      </c>
      <c r="P6" s="1" t="s">
        <v>133</v>
      </c>
      <c r="Q6" s="1" t="s">
        <v>146</v>
      </c>
    </row>
    <row r="7" spans="1:17">
      <c r="A7" s="1" t="s">
        <v>147</v>
      </c>
      <c r="B7" s="1">
        <v>5</v>
      </c>
      <c r="C7" s="1">
        <v>0</v>
      </c>
      <c r="D7" s="1" t="s">
        <v>131</v>
      </c>
      <c r="E7" s="1" t="s">
        <v>132</v>
      </c>
      <c r="F7" s="1">
        <v>6</v>
      </c>
      <c r="P7" s="1" t="s">
        <v>148</v>
      </c>
      <c r="Q7" s="1" t="s">
        <v>149</v>
      </c>
    </row>
    <row r="8" spans="1:17">
      <c r="A8" s="1" t="s">
        <v>150</v>
      </c>
      <c r="B8" s="1">
        <v>6</v>
      </c>
      <c r="C8" s="1">
        <v>0</v>
      </c>
      <c r="D8" s="1" t="s">
        <v>131</v>
      </c>
      <c r="E8" s="1" t="s">
        <v>132</v>
      </c>
      <c r="F8" s="1">
        <v>2</v>
      </c>
      <c r="P8" s="1" t="s">
        <v>151</v>
      </c>
      <c r="Q8" s="1" t="s">
        <v>152</v>
      </c>
    </row>
    <row r="9" spans="1:17">
      <c r="A9" s="1" t="s">
        <v>153</v>
      </c>
      <c r="B9" s="1">
        <v>7</v>
      </c>
      <c r="C9" s="1">
        <v>0</v>
      </c>
      <c r="D9" s="1" t="s">
        <v>131</v>
      </c>
      <c r="E9" s="1" t="s">
        <v>140</v>
      </c>
      <c r="F9" s="1">
        <v>4</v>
      </c>
      <c r="P9" s="1" t="s">
        <v>154</v>
      </c>
      <c r="Q9" s="1" t="s">
        <v>155</v>
      </c>
    </row>
    <row r="10" spans="1:17">
      <c r="A10" s="1" t="s">
        <v>156</v>
      </c>
      <c r="B10" s="1">
        <v>8</v>
      </c>
      <c r="C10" s="1">
        <v>0</v>
      </c>
      <c r="D10" s="1" t="s">
        <v>140</v>
      </c>
      <c r="E10" s="1" t="s">
        <v>136</v>
      </c>
      <c r="F10" s="1">
        <v>4</v>
      </c>
      <c r="P10" s="1" t="s">
        <v>154</v>
      </c>
      <c r="Q10" s="1" t="s">
        <v>157</v>
      </c>
    </row>
    <row r="11" spans="1:17">
      <c r="A11" s="1" t="s">
        <v>158</v>
      </c>
      <c r="B11" s="1">
        <v>9</v>
      </c>
      <c r="C11" s="1">
        <v>0</v>
      </c>
      <c r="D11" s="1" t="s">
        <v>136</v>
      </c>
      <c r="E11" s="1" t="s">
        <v>137</v>
      </c>
      <c r="F11" s="1">
        <v>4</v>
      </c>
      <c r="P11" s="1" t="s">
        <v>154</v>
      </c>
      <c r="Q11" s="1" t="s">
        <v>159</v>
      </c>
    </row>
    <row r="12" spans="1:17">
      <c r="A12" s="1" t="s">
        <v>160</v>
      </c>
      <c r="B12" s="1">
        <v>10</v>
      </c>
      <c r="C12" s="1">
        <v>0</v>
      </c>
      <c r="D12" s="1" t="s">
        <v>137</v>
      </c>
      <c r="E12" s="1" t="s">
        <v>145</v>
      </c>
      <c r="F12" s="1">
        <v>4</v>
      </c>
      <c r="P12" s="1" t="s">
        <v>154</v>
      </c>
      <c r="Q12" s="1" t="s">
        <v>161</v>
      </c>
    </row>
    <row r="13" spans="1:17">
      <c r="A13" s="1" t="s">
        <v>162</v>
      </c>
      <c r="B13" s="1">
        <v>11</v>
      </c>
      <c r="C13" s="1">
        <v>0</v>
      </c>
      <c r="D13" s="1" t="s">
        <v>145</v>
      </c>
      <c r="E13" s="1" t="s">
        <v>163</v>
      </c>
      <c r="F13" s="1">
        <v>4</v>
      </c>
      <c r="P13" s="1" t="s">
        <v>154</v>
      </c>
      <c r="Q13" s="1" t="s">
        <v>164</v>
      </c>
    </row>
    <row r="14" spans="1:17">
      <c r="A14" s="1" t="s">
        <v>165</v>
      </c>
      <c r="B14" s="1">
        <v>12</v>
      </c>
      <c r="C14" s="1">
        <v>0</v>
      </c>
      <c r="D14" s="1" t="s">
        <v>163</v>
      </c>
      <c r="E14" s="1" t="s">
        <v>132</v>
      </c>
      <c r="F14" s="1">
        <v>4</v>
      </c>
      <c r="P14" s="1" t="s">
        <v>154</v>
      </c>
      <c r="Q14" s="1" t="s">
        <v>166</v>
      </c>
    </row>
    <row r="15" spans="1:17">
      <c r="A15" s="1" t="s">
        <v>167</v>
      </c>
      <c r="B15" s="1">
        <v>13</v>
      </c>
      <c r="C15" s="1">
        <v>0</v>
      </c>
      <c r="D15" s="1" t="s">
        <v>131</v>
      </c>
      <c r="E15" s="1" t="s">
        <v>132</v>
      </c>
      <c r="F15" s="1">
        <v>3</v>
      </c>
      <c r="G15" s="1" t="s">
        <v>168</v>
      </c>
      <c r="P15" s="1" t="s">
        <v>169</v>
      </c>
      <c r="Q15" s="1" t="s">
        <v>170</v>
      </c>
    </row>
    <row r="16" spans="1:17">
      <c r="A16" s="1" t="s">
        <v>171</v>
      </c>
      <c r="B16" s="1">
        <v>14</v>
      </c>
      <c r="C16" s="1">
        <v>0</v>
      </c>
      <c r="D16" s="1" t="s">
        <v>131</v>
      </c>
      <c r="E16" s="1" t="s">
        <v>132</v>
      </c>
      <c r="F16" s="1">
        <v>3</v>
      </c>
      <c r="G16" s="1" t="s">
        <v>168</v>
      </c>
      <c r="P16" s="1" t="s">
        <v>169</v>
      </c>
      <c r="Q16" s="1" t="s">
        <v>172</v>
      </c>
    </row>
    <row r="17" spans="1:17">
      <c r="A17" s="1" t="s">
        <v>173</v>
      </c>
      <c r="B17" s="1">
        <v>15</v>
      </c>
      <c r="C17" s="1">
        <v>0</v>
      </c>
      <c r="D17" s="1" t="s">
        <v>145</v>
      </c>
      <c r="E17" s="1" t="s">
        <v>163</v>
      </c>
      <c r="F17" s="1">
        <v>1</v>
      </c>
      <c r="P17" s="1" t="s">
        <v>169</v>
      </c>
      <c r="Q17" s="1" t="s">
        <v>174</v>
      </c>
    </row>
    <row r="18" spans="1:17">
      <c r="A18" s="1" t="s">
        <v>175</v>
      </c>
      <c r="B18" s="1">
        <v>16</v>
      </c>
      <c r="C18" s="1">
        <v>0</v>
      </c>
      <c r="D18" s="1" t="s">
        <v>163</v>
      </c>
      <c r="E18" s="1" t="s">
        <v>132</v>
      </c>
      <c r="F18" s="1">
        <v>1</v>
      </c>
      <c r="P18" s="1" t="s">
        <v>169</v>
      </c>
      <c r="Q18" s="1" t="s">
        <v>176</v>
      </c>
    </row>
    <row r="19" spans="1:17">
      <c r="A19" s="1" t="s">
        <v>177</v>
      </c>
      <c r="B19" s="1">
        <v>17</v>
      </c>
      <c r="C19" s="1">
        <v>0</v>
      </c>
      <c r="D19" s="1" t="s">
        <v>131</v>
      </c>
      <c r="E19" s="1" t="s">
        <v>140</v>
      </c>
      <c r="F19" s="1">
        <v>2</v>
      </c>
      <c r="P19" s="1" t="s">
        <v>169</v>
      </c>
      <c r="Q19" s="1" t="s">
        <v>178</v>
      </c>
    </row>
    <row r="20" spans="1:17">
      <c r="A20" s="1" t="s">
        <v>179</v>
      </c>
      <c r="B20" s="1">
        <v>18</v>
      </c>
      <c r="C20" s="1">
        <v>0</v>
      </c>
      <c r="D20" s="1" t="s">
        <v>140</v>
      </c>
      <c r="E20" s="1" t="s">
        <v>136</v>
      </c>
      <c r="F20" s="1">
        <v>2</v>
      </c>
      <c r="P20" s="1" t="s">
        <v>169</v>
      </c>
      <c r="Q20" s="1" t="s">
        <v>178</v>
      </c>
    </row>
    <row r="21" spans="1:17">
      <c r="A21" s="1" t="s">
        <v>180</v>
      </c>
      <c r="B21" s="1">
        <v>19</v>
      </c>
      <c r="C21" s="1">
        <v>0</v>
      </c>
      <c r="D21" s="1" t="s">
        <v>136</v>
      </c>
      <c r="E21" s="1" t="s">
        <v>137</v>
      </c>
      <c r="F21" s="1">
        <v>2</v>
      </c>
      <c r="P21" s="1" t="s">
        <v>169</v>
      </c>
      <c r="Q21" s="1" t="s">
        <v>178</v>
      </c>
    </row>
    <row r="22" spans="1:17">
      <c r="A22" s="1" t="s">
        <v>181</v>
      </c>
      <c r="B22" s="1">
        <v>20</v>
      </c>
      <c r="C22" s="1">
        <v>0</v>
      </c>
      <c r="D22" s="1" t="s">
        <v>137</v>
      </c>
      <c r="E22" s="1" t="s">
        <v>145</v>
      </c>
      <c r="F22" s="1">
        <v>2</v>
      </c>
      <c r="P22" s="1" t="s">
        <v>169</v>
      </c>
      <c r="Q22" s="1" t="s">
        <v>178</v>
      </c>
    </row>
    <row r="23" spans="1:17">
      <c r="A23" s="1" t="s">
        <v>182</v>
      </c>
      <c r="B23" s="1">
        <v>21</v>
      </c>
      <c r="C23" s="1">
        <v>0</v>
      </c>
      <c r="D23" s="1" t="s">
        <v>145</v>
      </c>
      <c r="E23" s="1" t="s">
        <v>163</v>
      </c>
      <c r="F23" s="1">
        <v>2</v>
      </c>
      <c r="P23" s="1" t="s">
        <v>169</v>
      </c>
      <c r="Q23" s="1" t="s">
        <v>178</v>
      </c>
    </row>
    <row r="24" spans="1:17">
      <c r="A24" s="1" t="s">
        <v>183</v>
      </c>
      <c r="B24" s="1">
        <v>22</v>
      </c>
      <c r="C24" s="1">
        <v>0</v>
      </c>
      <c r="D24" s="1" t="s">
        <v>163</v>
      </c>
      <c r="E24" s="1" t="s">
        <v>184</v>
      </c>
      <c r="F24" s="1">
        <v>2</v>
      </c>
      <c r="P24" s="1" t="s">
        <v>169</v>
      </c>
      <c r="Q24" s="1" t="s">
        <v>178</v>
      </c>
    </row>
    <row r="25" spans="1:17">
      <c r="A25" s="1" t="s">
        <v>185</v>
      </c>
      <c r="B25" s="1">
        <v>23</v>
      </c>
      <c r="C25" s="1">
        <v>0</v>
      </c>
      <c r="D25" s="1" t="s">
        <v>184</v>
      </c>
      <c r="E25" s="1" t="s">
        <v>132</v>
      </c>
      <c r="F25" s="1">
        <v>2</v>
      </c>
      <c r="P25" s="1" t="s">
        <v>169</v>
      </c>
      <c r="Q25" s="1" t="s">
        <v>178</v>
      </c>
    </row>
    <row r="26" spans="1:17">
      <c r="A26" s="1" t="s">
        <v>186</v>
      </c>
      <c r="B26" s="1">
        <v>101</v>
      </c>
      <c r="C26" s="1">
        <v>0</v>
      </c>
      <c r="D26" s="1" t="s">
        <v>132</v>
      </c>
      <c r="E26" s="1" t="s">
        <v>187</v>
      </c>
      <c r="F26" s="1">
        <v>3</v>
      </c>
      <c r="G26" s="1" t="s">
        <v>168</v>
      </c>
      <c r="P26" s="1" t="s">
        <v>169</v>
      </c>
      <c r="Q26" s="1" t="s">
        <v>188</v>
      </c>
    </row>
    <row r="27" spans="1:17">
      <c r="A27" s="1" t="s">
        <v>189</v>
      </c>
      <c r="B27" s="1">
        <v>102</v>
      </c>
      <c r="C27" s="1">
        <v>0</v>
      </c>
      <c r="D27" s="1" t="s">
        <v>190</v>
      </c>
      <c r="E27" s="1" t="s">
        <v>191</v>
      </c>
      <c r="F27" s="1">
        <v>2</v>
      </c>
      <c r="P27" s="1" t="s">
        <v>169</v>
      </c>
      <c r="Q27" s="1" t="s">
        <v>178</v>
      </c>
    </row>
    <row r="28" spans="1:17">
      <c r="A28" s="1" t="s">
        <v>192</v>
      </c>
      <c r="B28" s="1">
        <v>103</v>
      </c>
      <c r="C28" s="1">
        <v>0</v>
      </c>
      <c r="D28" s="1" t="s">
        <v>191</v>
      </c>
      <c r="E28" s="1" t="s">
        <v>193</v>
      </c>
      <c r="F28" s="1">
        <v>2</v>
      </c>
      <c r="P28" s="1" t="s">
        <v>169</v>
      </c>
      <c r="Q28" s="1" t="s">
        <v>178</v>
      </c>
    </row>
    <row r="29" spans="1:17">
      <c r="A29" s="1" t="s">
        <v>194</v>
      </c>
      <c r="B29" s="1">
        <v>104</v>
      </c>
      <c r="C29" s="1">
        <v>0</v>
      </c>
      <c r="D29" s="1" t="s">
        <v>193</v>
      </c>
      <c r="E29" s="1" t="s">
        <v>195</v>
      </c>
      <c r="F29" s="1">
        <v>2</v>
      </c>
      <c r="P29" s="1" t="s">
        <v>169</v>
      </c>
      <c r="Q29" s="1" t="s">
        <v>178</v>
      </c>
    </row>
    <row r="30" spans="1:17">
      <c r="A30" s="1" t="s">
        <v>196</v>
      </c>
      <c r="B30" s="1">
        <v>105</v>
      </c>
      <c r="C30" s="1">
        <v>0</v>
      </c>
      <c r="D30" s="1" t="s">
        <v>195</v>
      </c>
      <c r="E30" s="1" t="s">
        <v>187</v>
      </c>
      <c r="F30" s="1">
        <v>2</v>
      </c>
      <c r="P30" s="1" t="s">
        <v>169</v>
      </c>
      <c r="Q30" s="1" t="s">
        <v>178</v>
      </c>
    </row>
    <row r="31" spans="1:17">
      <c r="A31" s="1" t="s">
        <v>197</v>
      </c>
      <c r="B31" s="1">
        <v>200</v>
      </c>
      <c r="C31" s="1">
        <v>0</v>
      </c>
      <c r="D31" s="1" t="s">
        <v>132</v>
      </c>
      <c r="E31" s="1" t="s">
        <v>190</v>
      </c>
      <c r="F31" s="1">
        <v>1</v>
      </c>
      <c r="P31" s="1" t="s">
        <v>169</v>
      </c>
      <c r="Q31" s="1" t="s">
        <v>198</v>
      </c>
    </row>
    <row r="32" spans="1:17">
      <c r="A32" s="1" t="s">
        <v>199</v>
      </c>
      <c r="B32" s="1">
        <v>201</v>
      </c>
      <c r="C32" s="1">
        <v>0</v>
      </c>
      <c r="D32" s="1" t="s">
        <v>132</v>
      </c>
      <c r="E32" s="1" t="s">
        <v>190</v>
      </c>
      <c r="F32" s="1">
        <v>8</v>
      </c>
      <c r="P32" s="1" t="s">
        <v>169</v>
      </c>
      <c r="Q32" s="1" t="s">
        <v>200</v>
      </c>
    </row>
    <row r="33" spans="1:17">
      <c r="A33" s="1" t="s">
        <v>201</v>
      </c>
      <c r="B33" s="1">
        <v>202</v>
      </c>
      <c r="C33" s="1">
        <v>0</v>
      </c>
      <c r="D33" s="1" t="s">
        <v>132</v>
      </c>
      <c r="E33" s="1" t="s">
        <v>190</v>
      </c>
      <c r="F33" s="1">
        <v>7</v>
      </c>
      <c r="P33" s="1" t="s">
        <v>169</v>
      </c>
      <c r="Q33" s="1" t="s">
        <v>202</v>
      </c>
    </row>
    <row r="34" spans="1:17">
      <c r="A34" s="1" t="s">
        <v>203</v>
      </c>
      <c r="B34" s="1">
        <v>117</v>
      </c>
      <c r="C34" s="1">
        <v>0</v>
      </c>
      <c r="D34" s="1" t="s">
        <v>191</v>
      </c>
      <c r="E34" s="1" t="s">
        <v>187</v>
      </c>
      <c r="F34" s="1">
        <v>3</v>
      </c>
      <c r="G34" s="1" t="s">
        <v>168</v>
      </c>
      <c r="P34" s="1" t="s">
        <v>169</v>
      </c>
      <c r="Q34" s="1" t="s">
        <v>204</v>
      </c>
    </row>
    <row r="35" spans="1:17">
      <c r="A35" s="1" t="s">
        <v>205</v>
      </c>
      <c r="B35" s="1">
        <v>130</v>
      </c>
      <c r="C35" s="1">
        <v>1</v>
      </c>
      <c r="D35" s="1" t="s">
        <v>206</v>
      </c>
      <c r="E35" s="1" t="s">
        <v>207</v>
      </c>
      <c r="F35" s="1">
        <v>2</v>
      </c>
      <c r="J35" s="1" t="s">
        <v>208</v>
      </c>
      <c r="P35" s="1" t="s">
        <v>169</v>
      </c>
      <c r="Q35" s="1" t="s">
        <v>209</v>
      </c>
    </row>
    <row r="36" spans="1:17">
      <c r="A36" s="1" t="s">
        <v>210</v>
      </c>
      <c r="B36" s="1">
        <v>150</v>
      </c>
      <c r="C36" s="1">
        <v>1</v>
      </c>
      <c r="D36" s="1" t="s">
        <v>211</v>
      </c>
      <c r="E36" s="1" t="s">
        <v>212</v>
      </c>
      <c r="F36" s="1">
        <v>2</v>
      </c>
      <c r="J36" s="1" t="s">
        <v>208</v>
      </c>
      <c r="P36" s="1" t="s">
        <v>169</v>
      </c>
      <c r="Q36" s="1" t="s">
        <v>213</v>
      </c>
    </row>
    <row r="37" spans="1:17">
      <c r="A37" s="1" t="s">
        <v>214</v>
      </c>
      <c r="B37" s="1">
        <v>151</v>
      </c>
      <c r="C37" s="1">
        <v>1</v>
      </c>
      <c r="D37" s="1" t="s">
        <v>211</v>
      </c>
      <c r="E37" s="1" t="s">
        <v>212</v>
      </c>
      <c r="F37" s="1">
        <v>2</v>
      </c>
      <c r="J37" s="1" t="s">
        <v>208</v>
      </c>
      <c r="P37" s="1" t="s">
        <v>169</v>
      </c>
      <c r="Q37" s="1" t="s">
        <v>213</v>
      </c>
    </row>
    <row r="38" spans="1:17">
      <c r="A38" s="1" t="s">
        <v>215</v>
      </c>
      <c r="B38" s="1">
        <v>152</v>
      </c>
      <c r="C38" s="1">
        <v>1</v>
      </c>
      <c r="D38" s="1" t="s">
        <v>211</v>
      </c>
      <c r="E38" s="1" t="s">
        <v>212</v>
      </c>
      <c r="F38" s="1">
        <v>2</v>
      </c>
      <c r="J38" s="1" t="s">
        <v>208</v>
      </c>
      <c r="P38" s="1" t="s">
        <v>169</v>
      </c>
      <c r="Q38" s="1" t="s">
        <v>213</v>
      </c>
    </row>
    <row r="39" spans="1:17">
      <c r="A39" s="1" t="s">
        <v>216</v>
      </c>
      <c r="B39" s="1">
        <v>153</v>
      </c>
      <c r="C39" s="1">
        <v>1</v>
      </c>
      <c r="D39" s="1" t="s">
        <v>211</v>
      </c>
      <c r="E39" s="1" t="s">
        <v>212</v>
      </c>
      <c r="F39" s="1">
        <v>2</v>
      </c>
      <c r="J39" s="1" t="s">
        <v>208</v>
      </c>
      <c r="P39" s="1" t="s">
        <v>169</v>
      </c>
      <c r="Q39" s="1" t="s">
        <v>213</v>
      </c>
    </row>
    <row r="40" spans="1:17">
      <c r="A40" s="1" t="s">
        <v>217</v>
      </c>
      <c r="B40" s="1">
        <v>156</v>
      </c>
      <c r="C40" s="1">
        <v>1</v>
      </c>
      <c r="D40" s="1" t="s">
        <v>206</v>
      </c>
      <c r="E40" s="1" t="s">
        <v>207</v>
      </c>
      <c r="F40" s="1">
        <v>3</v>
      </c>
      <c r="J40" s="1" t="s">
        <v>208</v>
      </c>
      <c r="P40" s="1" t="s">
        <v>169</v>
      </c>
      <c r="Q40" s="1" t="s">
        <v>218</v>
      </c>
    </row>
    <row r="41" spans="1:17">
      <c r="A41" s="1" t="s">
        <v>219</v>
      </c>
      <c r="B41" s="1">
        <v>157</v>
      </c>
      <c r="C41" s="1">
        <v>2</v>
      </c>
      <c r="D41" s="1" t="s">
        <v>131</v>
      </c>
      <c r="E41" s="1" t="s">
        <v>132</v>
      </c>
      <c r="F41" s="1">
        <v>5</v>
      </c>
      <c r="O41" s="1">
        <v>1</v>
      </c>
      <c r="P41" s="1" t="s">
        <v>169</v>
      </c>
      <c r="Q41" s="1" t="s">
        <v>220</v>
      </c>
    </row>
    <row r="42" spans="1:17">
      <c r="A42" s="1" t="s">
        <v>221</v>
      </c>
      <c r="B42" s="1">
        <v>159</v>
      </c>
      <c r="C42" s="1">
        <v>2</v>
      </c>
      <c r="D42" s="1" t="s">
        <v>131</v>
      </c>
      <c r="E42" s="1" t="s">
        <v>137</v>
      </c>
      <c r="F42" s="1">
        <v>4</v>
      </c>
      <c r="O42" s="1">
        <v>1</v>
      </c>
      <c r="P42" s="1" t="s">
        <v>169</v>
      </c>
      <c r="Q42" s="1" t="s">
        <v>222</v>
      </c>
    </row>
    <row r="43" spans="1:17">
      <c r="A43" s="1" t="s">
        <v>223</v>
      </c>
      <c r="B43" s="1">
        <v>160</v>
      </c>
      <c r="C43" s="1">
        <v>2</v>
      </c>
      <c r="D43" s="1" t="s">
        <v>131</v>
      </c>
      <c r="E43" s="1" t="s">
        <v>137</v>
      </c>
      <c r="F43" s="1">
        <v>1</v>
      </c>
      <c r="O43" s="1">
        <v>1</v>
      </c>
      <c r="P43" s="1" t="s">
        <v>169</v>
      </c>
      <c r="Q43" s="1" t="s">
        <v>224</v>
      </c>
    </row>
    <row r="44" spans="1:17">
      <c r="A44" s="1" t="s">
        <v>225</v>
      </c>
      <c r="B44" s="1">
        <v>161</v>
      </c>
      <c r="C44" s="1">
        <v>2</v>
      </c>
      <c r="D44" s="1" t="s">
        <v>131</v>
      </c>
      <c r="E44" s="1" t="s">
        <v>137</v>
      </c>
      <c r="F44" s="1">
        <v>7</v>
      </c>
      <c r="O44" s="1">
        <v>1</v>
      </c>
      <c r="P44" s="1" t="s">
        <v>169</v>
      </c>
      <c r="Q44" s="1" t="s">
        <v>226</v>
      </c>
    </row>
    <row r="45" spans="1:17">
      <c r="A45" s="1" t="s">
        <v>227</v>
      </c>
      <c r="B45" s="1">
        <v>162</v>
      </c>
      <c r="C45" s="1">
        <v>2</v>
      </c>
      <c r="D45" s="1" t="s">
        <v>131</v>
      </c>
      <c r="E45" s="1" t="s">
        <v>132</v>
      </c>
      <c r="F45" s="1">
        <v>2</v>
      </c>
      <c r="O45" s="1">
        <v>1</v>
      </c>
      <c r="P45" s="1" t="s">
        <v>169</v>
      </c>
      <c r="Q45" s="1" t="s">
        <v>228</v>
      </c>
    </row>
    <row r="46" spans="1:17">
      <c r="A46" s="1" t="s">
        <v>229</v>
      </c>
      <c r="B46" s="1">
        <v>163</v>
      </c>
      <c r="C46" s="1">
        <v>2</v>
      </c>
      <c r="D46" s="1" t="s">
        <v>131</v>
      </c>
      <c r="E46" s="1" t="s">
        <v>140</v>
      </c>
      <c r="F46" s="1">
        <v>2</v>
      </c>
      <c r="O46" s="1">
        <v>1</v>
      </c>
      <c r="P46" s="1" t="s">
        <v>169</v>
      </c>
      <c r="Q46" s="1" t="s">
        <v>230</v>
      </c>
    </row>
    <row r="47" spans="1:17">
      <c r="A47" s="1" t="s">
        <v>231</v>
      </c>
      <c r="B47" s="1">
        <v>164</v>
      </c>
      <c r="C47" s="1">
        <v>2</v>
      </c>
      <c r="D47" s="1" t="s">
        <v>140</v>
      </c>
      <c r="E47" s="1" t="s">
        <v>136</v>
      </c>
      <c r="F47" s="1">
        <v>2</v>
      </c>
      <c r="O47" s="1">
        <v>1</v>
      </c>
      <c r="P47" s="1" t="s">
        <v>169</v>
      </c>
      <c r="Q47" s="1" t="s">
        <v>230</v>
      </c>
    </row>
    <row r="48" spans="1:17">
      <c r="A48" s="1" t="s">
        <v>232</v>
      </c>
      <c r="B48" s="1">
        <v>165</v>
      </c>
      <c r="C48" s="1">
        <v>2</v>
      </c>
      <c r="D48" s="1" t="s">
        <v>136</v>
      </c>
      <c r="E48" s="1" t="s">
        <v>137</v>
      </c>
      <c r="F48" s="1">
        <v>2</v>
      </c>
      <c r="O48" s="1">
        <v>1</v>
      </c>
      <c r="P48" s="1" t="s">
        <v>169</v>
      </c>
      <c r="Q48" s="1" t="s">
        <v>230</v>
      </c>
    </row>
    <row r="49" spans="1:17">
      <c r="A49" s="1" t="s">
        <v>233</v>
      </c>
      <c r="B49" s="1">
        <v>166</v>
      </c>
      <c r="C49" s="1">
        <v>2</v>
      </c>
      <c r="D49" s="1" t="s">
        <v>137</v>
      </c>
      <c r="E49" s="1" t="s">
        <v>145</v>
      </c>
      <c r="F49" s="1">
        <v>2</v>
      </c>
      <c r="O49" s="1">
        <v>1</v>
      </c>
      <c r="P49" s="1" t="s">
        <v>169</v>
      </c>
      <c r="Q49" s="1" t="s">
        <v>230</v>
      </c>
    </row>
    <row r="50" spans="1:17">
      <c r="A50" s="1" t="s">
        <v>234</v>
      </c>
      <c r="B50" s="1">
        <v>167</v>
      </c>
      <c r="C50" s="1">
        <v>2</v>
      </c>
      <c r="D50" s="1" t="s">
        <v>145</v>
      </c>
      <c r="E50" s="1" t="s">
        <v>163</v>
      </c>
      <c r="F50" s="1">
        <v>2</v>
      </c>
      <c r="O50" s="1">
        <v>1</v>
      </c>
      <c r="P50" s="1" t="s">
        <v>169</v>
      </c>
      <c r="Q50" s="1" t="s">
        <v>230</v>
      </c>
    </row>
    <row r="51" spans="1:17">
      <c r="A51" s="1" t="s">
        <v>235</v>
      </c>
      <c r="B51" s="1">
        <v>168</v>
      </c>
      <c r="C51" s="1">
        <v>2</v>
      </c>
      <c r="D51" s="1" t="s">
        <v>163</v>
      </c>
      <c r="E51" s="1" t="s">
        <v>184</v>
      </c>
      <c r="F51" s="1">
        <v>2</v>
      </c>
      <c r="O51" s="1">
        <v>1</v>
      </c>
      <c r="P51" s="1" t="s">
        <v>169</v>
      </c>
      <c r="Q51" s="1" t="s">
        <v>230</v>
      </c>
    </row>
    <row r="52" spans="1:17">
      <c r="A52" s="1" t="s">
        <v>236</v>
      </c>
      <c r="B52" s="1">
        <v>169</v>
      </c>
      <c r="C52" s="1">
        <v>2</v>
      </c>
      <c r="D52" s="1" t="s">
        <v>184</v>
      </c>
      <c r="E52" s="1" t="s">
        <v>132</v>
      </c>
      <c r="F52" s="1">
        <v>2</v>
      </c>
      <c r="O52" s="1">
        <v>1</v>
      </c>
      <c r="P52" s="1" t="s">
        <v>169</v>
      </c>
      <c r="Q52" s="1" t="s">
        <v>230</v>
      </c>
    </row>
    <row r="53" spans="1:17">
      <c r="A53" s="1" t="s">
        <v>237</v>
      </c>
      <c r="B53" s="1">
        <v>170</v>
      </c>
      <c r="C53" s="1">
        <v>2</v>
      </c>
      <c r="D53" s="1" t="s">
        <v>131</v>
      </c>
      <c r="E53" s="1" t="s">
        <v>132</v>
      </c>
      <c r="F53" s="1">
        <v>10</v>
      </c>
      <c r="O53" s="1">
        <v>1</v>
      </c>
      <c r="P53" s="1" t="s">
        <v>169</v>
      </c>
      <c r="Q53" s="1" t="s">
        <v>238</v>
      </c>
    </row>
    <row r="54" spans="1:17">
      <c r="A54" s="1" t="s">
        <v>239</v>
      </c>
      <c r="B54" s="1">
        <v>171</v>
      </c>
      <c r="C54" s="1">
        <v>2</v>
      </c>
      <c r="D54" s="1" t="s">
        <v>131</v>
      </c>
      <c r="E54" s="1" t="s">
        <v>132</v>
      </c>
      <c r="F54" s="1">
        <v>7</v>
      </c>
      <c r="O54" s="1">
        <v>1</v>
      </c>
      <c r="P54" s="1" t="s">
        <v>169</v>
      </c>
      <c r="Q54" s="1" t="s">
        <v>240</v>
      </c>
    </row>
    <row r="55" spans="1:17">
      <c r="A55" s="1" t="s">
        <v>241</v>
      </c>
      <c r="B55" s="1">
        <v>172</v>
      </c>
      <c r="C55" s="1">
        <v>2</v>
      </c>
      <c r="D55" s="1" t="s">
        <v>131</v>
      </c>
      <c r="E55" s="1" t="s">
        <v>132</v>
      </c>
      <c r="F55" s="1">
        <v>3</v>
      </c>
      <c r="G55" s="1" t="b">
        <v>0</v>
      </c>
      <c r="O55" s="1">
        <v>1</v>
      </c>
      <c r="P55" s="1" t="s">
        <v>169</v>
      </c>
      <c r="Q55" s="1" t="s">
        <v>242</v>
      </c>
    </row>
    <row r="56" spans="1:17">
      <c r="A56" s="1" t="s">
        <v>243</v>
      </c>
      <c r="B56" s="1">
        <v>173</v>
      </c>
      <c r="C56" s="1">
        <v>2</v>
      </c>
      <c r="D56" s="1" t="s">
        <v>131</v>
      </c>
      <c r="E56" s="1" t="s">
        <v>132</v>
      </c>
      <c r="F56" s="1">
        <v>3</v>
      </c>
      <c r="G56" s="1" t="b">
        <v>0</v>
      </c>
      <c r="O56" s="1">
        <v>1</v>
      </c>
      <c r="P56" s="1" t="s">
        <v>169</v>
      </c>
      <c r="Q56" s="1" t="s">
        <v>244</v>
      </c>
    </row>
    <row r="57" spans="1:17">
      <c r="A57" s="1" t="s">
        <v>245</v>
      </c>
      <c r="B57" s="1">
        <v>174</v>
      </c>
      <c r="C57" s="1">
        <v>2</v>
      </c>
      <c r="D57" s="1" t="s">
        <v>131</v>
      </c>
      <c r="E57" s="1" t="s">
        <v>132</v>
      </c>
      <c r="F57" s="1">
        <v>3</v>
      </c>
      <c r="G57" s="1" t="b">
        <v>0</v>
      </c>
      <c r="O57" s="1">
        <v>1</v>
      </c>
      <c r="P57" s="1" t="s">
        <v>169</v>
      </c>
      <c r="Q57" s="1" t="s">
        <v>246</v>
      </c>
    </row>
    <row r="58" spans="1:17">
      <c r="A58" s="1" t="s">
        <v>247</v>
      </c>
      <c r="B58" s="1">
        <v>210</v>
      </c>
      <c r="C58" s="1">
        <v>1</v>
      </c>
      <c r="D58" s="1" t="s">
        <v>248</v>
      </c>
      <c r="E58" s="1" t="s">
        <v>249</v>
      </c>
      <c r="F58" s="1">
        <v>5</v>
      </c>
      <c r="J58" s="1" t="s">
        <v>250</v>
      </c>
      <c r="P58" s="1" t="s">
        <v>169</v>
      </c>
      <c r="Q58" s="1" t="s">
        <v>251</v>
      </c>
    </row>
    <row r="59" spans="1:17">
      <c r="A59" s="1" t="s">
        <v>252</v>
      </c>
      <c r="B59" s="1">
        <v>211</v>
      </c>
      <c r="C59" s="1">
        <v>1</v>
      </c>
      <c r="D59" s="1" t="s">
        <v>248</v>
      </c>
      <c r="E59" s="1" t="s">
        <v>249</v>
      </c>
      <c r="F59" s="1">
        <v>7</v>
      </c>
      <c r="J59" s="1" t="s">
        <v>250</v>
      </c>
      <c r="P59" s="1" t="s">
        <v>169</v>
      </c>
      <c r="Q59" s="1" t="s">
        <v>253</v>
      </c>
    </row>
    <row r="60" spans="1:17">
      <c r="A60" s="1" t="s">
        <v>254</v>
      </c>
      <c r="B60" s="1">
        <v>212</v>
      </c>
      <c r="C60" s="1">
        <v>1</v>
      </c>
      <c r="D60" s="1" t="s">
        <v>248</v>
      </c>
      <c r="E60" s="1" t="s">
        <v>249</v>
      </c>
      <c r="F60" s="1">
        <v>3</v>
      </c>
      <c r="J60" s="1" t="s">
        <v>250</v>
      </c>
      <c r="P60" s="1" t="s">
        <v>169</v>
      </c>
      <c r="Q60" s="1" t="s">
        <v>255</v>
      </c>
    </row>
    <row r="61" spans="1:17">
      <c r="A61" s="1" t="s">
        <v>256</v>
      </c>
      <c r="B61" s="1">
        <v>213</v>
      </c>
      <c r="C61" s="1">
        <v>1</v>
      </c>
      <c r="D61" s="1" t="s">
        <v>248</v>
      </c>
      <c r="E61" s="1" t="s">
        <v>249</v>
      </c>
      <c r="F61" s="1">
        <v>2</v>
      </c>
      <c r="J61" s="1" t="s">
        <v>250</v>
      </c>
      <c r="P61" s="1" t="s">
        <v>169</v>
      </c>
      <c r="Q61" s="1" t="s">
        <v>257</v>
      </c>
    </row>
    <row r="62" spans="1:17">
      <c r="A62" s="1" t="s">
        <v>258</v>
      </c>
      <c r="B62" s="1">
        <v>214</v>
      </c>
      <c r="C62" s="1">
        <v>1</v>
      </c>
      <c r="D62" s="1" t="s">
        <v>248</v>
      </c>
      <c r="E62" s="1" t="s">
        <v>249</v>
      </c>
      <c r="F62" s="1">
        <v>9</v>
      </c>
      <c r="J62" s="1" t="s">
        <v>250</v>
      </c>
      <c r="P62" s="1" t="s">
        <v>169</v>
      </c>
      <c r="Q62" s="1" t="s">
        <v>259</v>
      </c>
    </row>
    <row r="63" spans="1:17">
      <c r="A63" s="1" t="s">
        <v>260</v>
      </c>
      <c r="B63" s="1">
        <v>221</v>
      </c>
      <c r="C63" s="1">
        <v>1</v>
      </c>
      <c r="D63" s="1" t="s">
        <v>261</v>
      </c>
      <c r="E63" s="1" t="s">
        <v>262</v>
      </c>
      <c r="F63" s="1">
        <v>9</v>
      </c>
      <c r="J63" s="1" t="s">
        <v>263</v>
      </c>
      <c r="P63" s="1" t="s">
        <v>169</v>
      </c>
      <c r="Q63" s="1" t="s">
        <v>264</v>
      </c>
    </row>
    <row r="64" spans="1:17">
      <c r="A64" s="1" t="s">
        <v>265</v>
      </c>
      <c r="B64" s="1">
        <v>222</v>
      </c>
      <c r="C64" s="1">
        <v>1</v>
      </c>
      <c r="D64" s="1" t="s">
        <v>262</v>
      </c>
      <c r="E64" s="1" t="s">
        <v>266</v>
      </c>
      <c r="F64" s="1">
        <v>9</v>
      </c>
      <c r="J64" s="1" t="s">
        <v>263</v>
      </c>
      <c r="P64" s="1" t="s">
        <v>169</v>
      </c>
      <c r="Q64" s="1" t="s">
        <v>264</v>
      </c>
    </row>
    <row r="65" spans="1:17">
      <c r="A65" s="1" t="s">
        <v>267</v>
      </c>
      <c r="B65" s="1">
        <v>223</v>
      </c>
      <c r="C65" s="1">
        <v>1</v>
      </c>
      <c r="D65" s="1" t="s">
        <v>266</v>
      </c>
      <c r="E65" s="1" t="s">
        <v>268</v>
      </c>
      <c r="F65" s="1">
        <v>9</v>
      </c>
      <c r="J65" s="1" t="s">
        <v>263</v>
      </c>
      <c r="P65" s="1" t="s">
        <v>169</v>
      </c>
      <c r="Q65" s="1" t="s">
        <v>264</v>
      </c>
    </row>
    <row r="66" spans="1:17">
      <c r="A66" s="1" t="s">
        <v>269</v>
      </c>
      <c r="B66" s="1">
        <v>224</v>
      </c>
      <c r="C66" s="1">
        <v>1</v>
      </c>
      <c r="D66" s="1" t="s">
        <v>261</v>
      </c>
      <c r="E66" s="1" t="s">
        <v>268</v>
      </c>
      <c r="F66" s="1">
        <v>2</v>
      </c>
      <c r="J66" s="1" t="s">
        <v>263</v>
      </c>
      <c r="P66" s="1" t="s">
        <v>169</v>
      </c>
      <c r="Q66" s="1" t="s">
        <v>270</v>
      </c>
    </row>
    <row r="67" spans="1:17">
      <c r="A67" s="1" t="s">
        <v>271</v>
      </c>
      <c r="B67" s="1">
        <v>225</v>
      </c>
      <c r="C67" s="1">
        <v>1</v>
      </c>
      <c r="D67" s="1" t="s">
        <v>261</v>
      </c>
      <c r="E67" s="1" t="s">
        <v>268</v>
      </c>
      <c r="F67" s="1">
        <v>3</v>
      </c>
      <c r="J67" s="1" t="s">
        <v>263</v>
      </c>
      <c r="P67" s="1" t="s">
        <v>169</v>
      </c>
      <c r="Q67" s="1" t="s">
        <v>272</v>
      </c>
    </row>
    <row r="68" spans="1:17">
      <c r="A68" s="1" t="s">
        <v>273</v>
      </c>
      <c r="B68" s="1">
        <v>226</v>
      </c>
      <c r="C68" s="1">
        <v>1</v>
      </c>
      <c r="D68" s="1" t="s">
        <v>261</v>
      </c>
      <c r="E68" s="1" t="s">
        <v>268</v>
      </c>
      <c r="F68" s="1">
        <v>3</v>
      </c>
      <c r="J68" s="1" t="s">
        <v>263</v>
      </c>
      <c r="P68" s="1" t="s">
        <v>169</v>
      </c>
      <c r="Q68" s="1" t="s">
        <v>272</v>
      </c>
    </row>
    <row r="69" spans="1:17">
      <c r="A69" s="1" t="s">
        <v>274</v>
      </c>
      <c r="B69" s="1">
        <v>227</v>
      </c>
      <c r="C69" s="1">
        <v>1</v>
      </c>
      <c r="D69" s="1" t="s">
        <v>261</v>
      </c>
      <c r="E69" s="1" t="s">
        <v>268</v>
      </c>
      <c r="F69" s="1">
        <v>3</v>
      </c>
      <c r="J69" s="1" t="s">
        <v>263</v>
      </c>
      <c r="P69" s="1" t="s">
        <v>169</v>
      </c>
      <c r="Q69" s="1" t="s">
        <v>272</v>
      </c>
    </row>
    <row r="70" spans="1:17">
      <c r="A70" s="1" t="s">
        <v>275</v>
      </c>
      <c r="B70" s="1">
        <v>230</v>
      </c>
      <c r="C70" s="1">
        <v>1</v>
      </c>
      <c r="D70" s="1" t="s">
        <v>276</v>
      </c>
      <c r="E70" s="1" t="s">
        <v>277</v>
      </c>
      <c r="F70" s="1">
        <v>5</v>
      </c>
      <c r="J70" s="1" t="s">
        <v>278</v>
      </c>
      <c r="P70" s="1" t="s">
        <v>169</v>
      </c>
      <c r="Q70" s="1" t="s">
        <v>279</v>
      </c>
    </row>
    <row r="71" spans="1:17">
      <c r="A71" s="1" t="s">
        <v>280</v>
      </c>
      <c r="B71" s="1">
        <v>231</v>
      </c>
      <c r="C71" s="1">
        <v>1</v>
      </c>
      <c r="D71" s="1" t="s">
        <v>276</v>
      </c>
      <c r="E71" s="1" t="s">
        <v>277</v>
      </c>
      <c r="F71" s="1">
        <v>9</v>
      </c>
      <c r="J71" s="1" t="s">
        <v>278</v>
      </c>
      <c r="P71" s="1" t="s">
        <v>169</v>
      </c>
      <c r="Q71" s="1" t="s">
        <v>281</v>
      </c>
    </row>
    <row r="72" spans="1:17">
      <c r="A72" s="1" t="s">
        <v>282</v>
      </c>
      <c r="B72" s="1">
        <v>236</v>
      </c>
      <c r="C72" s="1">
        <v>1</v>
      </c>
      <c r="D72" s="1" t="s">
        <v>276</v>
      </c>
      <c r="E72" s="1" t="s">
        <v>277</v>
      </c>
      <c r="F72" s="1">
        <v>1</v>
      </c>
      <c r="J72" s="1" t="s">
        <v>278</v>
      </c>
      <c r="P72" s="1" t="s">
        <v>169</v>
      </c>
      <c r="Q72" s="1" t="s">
        <v>283</v>
      </c>
    </row>
    <row r="73" spans="1:17">
      <c r="A73" s="1" t="s">
        <v>284</v>
      </c>
      <c r="B73" s="1">
        <v>237</v>
      </c>
      <c r="C73" s="1">
        <v>1</v>
      </c>
      <c r="D73" s="1" t="s">
        <v>276</v>
      </c>
      <c r="E73" s="1" t="s">
        <v>285</v>
      </c>
      <c r="F73" s="1">
        <v>2</v>
      </c>
      <c r="J73" s="1" t="s">
        <v>278</v>
      </c>
      <c r="P73" s="1" t="s">
        <v>169</v>
      </c>
      <c r="Q73" s="1" t="s">
        <v>286</v>
      </c>
    </row>
    <row r="74" spans="1:17">
      <c r="A74" s="1" t="s">
        <v>287</v>
      </c>
      <c r="B74" s="1">
        <v>238</v>
      </c>
      <c r="C74" s="1">
        <v>1</v>
      </c>
      <c r="D74" s="1" t="s">
        <v>285</v>
      </c>
      <c r="E74" s="1" t="s">
        <v>288</v>
      </c>
      <c r="F74" s="1">
        <v>2</v>
      </c>
      <c r="J74" s="1" t="s">
        <v>278</v>
      </c>
      <c r="P74" s="1" t="s">
        <v>169</v>
      </c>
      <c r="Q74" s="1" t="s">
        <v>289</v>
      </c>
    </row>
    <row r="75" spans="1:17">
      <c r="A75" s="1" t="s">
        <v>290</v>
      </c>
      <c r="B75" s="1">
        <v>239</v>
      </c>
      <c r="C75" s="1">
        <v>1</v>
      </c>
      <c r="D75" s="1" t="s">
        <v>288</v>
      </c>
      <c r="E75" s="1" t="s">
        <v>291</v>
      </c>
      <c r="F75" s="1">
        <v>2</v>
      </c>
      <c r="J75" s="1" t="s">
        <v>278</v>
      </c>
      <c r="P75" s="1" t="s">
        <v>169</v>
      </c>
      <c r="Q75" s="1" t="s">
        <v>292</v>
      </c>
    </row>
    <row r="76" spans="1:17">
      <c r="A76" s="1" t="s">
        <v>293</v>
      </c>
      <c r="B76" s="1">
        <v>240</v>
      </c>
      <c r="C76" s="1">
        <v>1</v>
      </c>
      <c r="D76" s="1" t="s">
        <v>291</v>
      </c>
      <c r="E76" s="1" t="s">
        <v>294</v>
      </c>
      <c r="F76" s="1">
        <v>2</v>
      </c>
      <c r="J76" s="1" t="s">
        <v>278</v>
      </c>
      <c r="P76" s="1" t="s">
        <v>169</v>
      </c>
      <c r="Q76" s="1" t="s">
        <v>295</v>
      </c>
    </row>
    <row r="77" spans="1:17">
      <c r="A77" s="1" t="s">
        <v>296</v>
      </c>
      <c r="B77" s="1">
        <v>241</v>
      </c>
      <c r="C77" s="1">
        <v>1</v>
      </c>
      <c r="D77" s="1" t="s">
        <v>294</v>
      </c>
      <c r="E77" s="1" t="s">
        <v>277</v>
      </c>
      <c r="F77" s="1">
        <v>2</v>
      </c>
      <c r="J77" s="1" t="s">
        <v>278</v>
      </c>
      <c r="P77" s="1" t="s">
        <v>169</v>
      </c>
      <c r="Q77" s="1" t="s">
        <v>297</v>
      </c>
    </row>
    <row r="78" spans="1:17">
      <c r="A78" s="1" t="s">
        <v>298</v>
      </c>
      <c r="B78" s="1">
        <v>242</v>
      </c>
      <c r="C78" s="1">
        <v>1</v>
      </c>
      <c r="D78" s="1" t="s">
        <v>276</v>
      </c>
      <c r="E78" s="1" t="s">
        <v>277</v>
      </c>
      <c r="F78" s="1">
        <v>7</v>
      </c>
      <c r="J78" s="1" t="s">
        <v>278</v>
      </c>
      <c r="P78" s="1" t="s">
        <v>169</v>
      </c>
      <c r="Q78" s="1" t="s">
        <v>299</v>
      </c>
    </row>
    <row r="79" spans="1:17">
      <c r="A79" s="1" t="s">
        <v>300</v>
      </c>
      <c r="B79" s="1">
        <v>243</v>
      </c>
      <c r="C79" s="1">
        <v>1</v>
      </c>
      <c r="D79" s="1" t="s">
        <v>276</v>
      </c>
      <c r="E79" s="1" t="s">
        <v>277</v>
      </c>
      <c r="F79" s="1">
        <v>11</v>
      </c>
      <c r="J79" s="1" t="s">
        <v>278</v>
      </c>
      <c r="P79" s="1" t="s">
        <v>169</v>
      </c>
      <c r="Q79" s="1" t="s">
        <v>301</v>
      </c>
    </row>
    <row r="80" spans="1:17">
      <c r="A80" s="1" t="s">
        <v>302</v>
      </c>
      <c r="B80" s="1">
        <v>244</v>
      </c>
      <c r="C80" s="1">
        <v>1</v>
      </c>
      <c r="D80" s="1" t="s">
        <v>276</v>
      </c>
      <c r="E80" s="1" t="s">
        <v>285</v>
      </c>
      <c r="F80" s="1">
        <v>3</v>
      </c>
      <c r="G80" s="1" t="s">
        <v>168</v>
      </c>
      <c r="J80" s="1" t="s">
        <v>278</v>
      </c>
      <c r="P80" s="1" t="s">
        <v>169</v>
      </c>
      <c r="Q80" s="1" t="s">
        <v>272</v>
      </c>
    </row>
    <row r="81" spans="1:17">
      <c r="A81" s="1" t="s">
        <v>303</v>
      </c>
      <c r="B81" s="1">
        <v>245</v>
      </c>
      <c r="C81" s="1">
        <v>1</v>
      </c>
      <c r="D81" s="1" t="s">
        <v>285</v>
      </c>
      <c r="E81" s="1" t="s">
        <v>288</v>
      </c>
      <c r="F81" s="1">
        <v>3</v>
      </c>
      <c r="G81" s="1" t="s">
        <v>168</v>
      </c>
      <c r="J81" s="1" t="s">
        <v>278</v>
      </c>
      <c r="P81" s="1" t="s">
        <v>169</v>
      </c>
      <c r="Q81" s="1" t="s">
        <v>272</v>
      </c>
    </row>
    <row r="82" spans="1:17">
      <c r="A82" s="1" t="s">
        <v>304</v>
      </c>
      <c r="B82" s="1">
        <v>246</v>
      </c>
      <c r="C82" s="1">
        <v>1</v>
      </c>
      <c r="D82" s="1" t="s">
        <v>288</v>
      </c>
      <c r="E82" s="1" t="s">
        <v>291</v>
      </c>
      <c r="F82" s="1">
        <v>3</v>
      </c>
      <c r="G82" s="1" t="s">
        <v>168</v>
      </c>
      <c r="J82" s="1" t="s">
        <v>278</v>
      </c>
      <c r="P82" s="1" t="s">
        <v>169</v>
      </c>
      <c r="Q82" s="1" t="s">
        <v>272</v>
      </c>
    </row>
    <row r="83" spans="1:17">
      <c r="A83" s="1" t="s">
        <v>305</v>
      </c>
      <c r="B83" s="1">
        <v>247</v>
      </c>
      <c r="C83" s="1">
        <v>1</v>
      </c>
      <c r="D83" s="1" t="s">
        <v>291</v>
      </c>
      <c r="E83" s="1" t="s">
        <v>294</v>
      </c>
      <c r="F83" s="1">
        <v>3</v>
      </c>
      <c r="G83" s="1" t="s">
        <v>168</v>
      </c>
      <c r="J83" s="1" t="s">
        <v>278</v>
      </c>
      <c r="P83" s="1" t="s">
        <v>169</v>
      </c>
      <c r="Q83" s="1" t="s">
        <v>272</v>
      </c>
    </row>
    <row r="84" spans="1:17">
      <c r="A84" s="1" t="s">
        <v>306</v>
      </c>
      <c r="B84" s="1">
        <v>248</v>
      </c>
      <c r="C84" s="1">
        <v>1</v>
      </c>
      <c r="D84" s="1" t="s">
        <v>294</v>
      </c>
      <c r="E84" s="1" t="s">
        <v>277</v>
      </c>
      <c r="F84" s="1">
        <v>3</v>
      </c>
      <c r="G84" s="1" t="s">
        <v>168</v>
      </c>
      <c r="J84" s="1" t="s">
        <v>278</v>
      </c>
      <c r="P84" s="1" t="s">
        <v>169</v>
      </c>
      <c r="Q84" s="1" t="s">
        <v>272</v>
      </c>
    </row>
    <row r="85" spans="1:17">
      <c r="A85" s="1" t="s">
        <v>307</v>
      </c>
      <c r="B85" s="1">
        <v>250</v>
      </c>
      <c r="C85" s="1">
        <v>1</v>
      </c>
      <c r="D85" s="1" t="s">
        <v>278</v>
      </c>
      <c r="E85" s="1" t="s">
        <v>308</v>
      </c>
      <c r="F85" s="1">
        <v>5</v>
      </c>
      <c r="J85" s="1" t="s">
        <v>309</v>
      </c>
      <c r="P85" s="1" t="s">
        <v>169</v>
      </c>
      <c r="Q85" s="1" t="s">
        <v>310</v>
      </c>
    </row>
    <row r="86" spans="1:17">
      <c r="A86" s="1" t="s">
        <v>311</v>
      </c>
      <c r="B86" s="1">
        <v>251</v>
      </c>
      <c r="C86" s="1">
        <v>1</v>
      </c>
      <c r="D86" s="1" t="s">
        <v>278</v>
      </c>
      <c r="E86" s="1" t="s">
        <v>308</v>
      </c>
      <c r="F86" s="1">
        <v>7</v>
      </c>
      <c r="J86" s="1" t="s">
        <v>309</v>
      </c>
      <c r="P86" s="1" t="s">
        <v>169</v>
      </c>
      <c r="Q86" s="1" t="s">
        <v>312</v>
      </c>
    </row>
    <row r="87" spans="1:17">
      <c r="A87" s="1" t="s">
        <v>313</v>
      </c>
      <c r="B87" s="1">
        <v>252</v>
      </c>
      <c r="C87" s="1">
        <v>1</v>
      </c>
      <c r="D87" s="1" t="s">
        <v>278</v>
      </c>
      <c r="E87" s="1" t="s">
        <v>308</v>
      </c>
      <c r="F87" s="1">
        <v>3</v>
      </c>
      <c r="G87" s="1" t="s">
        <v>168</v>
      </c>
      <c r="J87" s="1" t="s">
        <v>309</v>
      </c>
      <c r="P87" s="1" t="s">
        <v>169</v>
      </c>
      <c r="Q87" s="1" t="s">
        <v>314</v>
      </c>
    </row>
    <row r="88" spans="1:17">
      <c r="A88" s="1" t="s">
        <v>315</v>
      </c>
      <c r="B88" s="1">
        <v>253</v>
      </c>
      <c r="C88" s="1">
        <v>1</v>
      </c>
      <c r="D88" s="1" t="s">
        <v>278</v>
      </c>
      <c r="E88" s="1" t="s">
        <v>308</v>
      </c>
      <c r="F88" s="1">
        <v>9</v>
      </c>
      <c r="J88" s="1" t="s">
        <v>309</v>
      </c>
      <c r="P88" s="1" t="s">
        <v>169</v>
      </c>
      <c r="Q88" s="1" t="s">
        <v>316</v>
      </c>
    </row>
    <row r="89" spans="1:17">
      <c r="A89" s="1" t="s">
        <v>317</v>
      </c>
      <c r="B89" s="1">
        <v>256</v>
      </c>
      <c r="C89" s="1">
        <v>1</v>
      </c>
      <c r="D89" s="1" t="s">
        <v>278</v>
      </c>
      <c r="E89" s="1" t="s">
        <v>308</v>
      </c>
      <c r="F89" s="1">
        <v>2</v>
      </c>
      <c r="J89" s="1" t="s">
        <v>309</v>
      </c>
      <c r="P89" s="1" t="s">
        <v>169</v>
      </c>
      <c r="Q89" s="1" t="s">
        <v>318</v>
      </c>
    </row>
    <row r="90" spans="1:17">
      <c r="A90" s="1" t="s">
        <v>319</v>
      </c>
      <c r="B90" s="1">
        <v>260</v>
      </c>
      <c r="C90" s="1">
        <v>1</v>
      </c>
      <c r="D90" s="1" t="s">
        <v>278</v>
      </c>
      <c r="E90" s="1" t="s">
        <v>308</v>
      </c>
      <c r="F90" s="1">
        <v>1</v>
      </c>
      <c r="J90" s="1" t="s">
        <v>249</v>
      </c>
      <c r="P90" s="1" t="s">
        <v>169</v>
      </c>
      <c r="Q90" s="1" t="s">
        <v>320</v>
      </c>
    </row>
    <row r="91" spans="1:17">
      <c r="A91" s="1" t="s">
        <v>25</v>
      </c>
      <c r="B91" s="1">
        <v>262</v>
      </c>
      <c r="C91" s="1">
        <v>1</v>
      </c>
      <c r="D91" s="1" t="s">
        <v>278</v>
      </c>
      <c r="E91" s="1" t="s">
        <v>308</v>
      </c>
      <c r="F91" s="1">
        <v>3</v>
      </c>
      <c r="J91" s="1" t="s">
        <v>249</v>
      </c>
      <c r="P91" s="1" t="s">
        <v>169</v>
      </c>
      <c r="Q91" s="1" t="s">
        <v>242</v>
      </c>
    </row>
    <row r="92" spans="1:17">
      <c r="A92" s="1" t="s">
        <v>26</v>
      </c>
      <c r="B92" s="1">
        <v>263</v>
      </c>
      <c r="C92" s="1">
        <v>1</v>
      </c>
      <c r="D92" s="1" t="s">
        <v>278</v>
      </c>
      <c r="E92" s="1" t="s">
        <v>321</v>
      </c>
      <c r="F92" s="1">
        <v>2</v>
      </c>
      <c r="J92" s="1" t="s">
        <v>249</v>
      </c>
      <c r="P92" s="1" t="s">
        <v>169</v>
      </c>
      <c r="Q92" s="1" t="s">
        <v>230</v>
      </c>
    </row>
    <row r="93" spans="1:17">
      <c r="A93" s="1" t="s">
        <v>322</v>
      </c>
      <c r="B93" s="1">
        <v>264</v>
      </c>
      <c r="C93" s="1">
        <v>1</v>
      </c>
      <c r="D93" s="1" t="s">
        <v>321</v>
      </c>
      <c r="E93" s="1" t="s">
        <v>323</v>
      </c>
      <c r="F93" s="1">
        <v>2</v>
      </c>
      <c r="J93" s="1" t="s">
        <v>249</v>
      </c>
      <c r="P93" s="1" t="s">
        <v>169</v>
      </c>
      <c r="Q93" s="1" t="s">
        <v>230</v>
      </c>
    </row>
    <row r="94" spans="1:17">
      <c r="A94" s="1" t="s">
        <v>324</v>
      </c>
      <c r="B94" s="1">
        <v>265</v>
      </c>
      <c r="C94" s="1">
        <v>1</v>
      </c>
      <c r="D94" s="1" t="s">
        <v>323</v>
      </c>
      <c r="E94" s="1" t="s">
        <v>308</v>
      </c>
      <c r="F94" s="1">
        <v>2</v>
      </c>
      <c r="J94" s="1" t="s">
        <v>249</v>
      </c>
      <c r="P94" s="1" t="s">
        <v>169</v>
      </c>
      <c r="Q94" s="1" t="s">
        <v>230</v>
      </c>
    </row>
    <row r="95" spans="1:17">
      <c r="A95" s="1" t="s">
        <v>325</v>
      </c>
      <c r="B95" s="1">
        <v>266</v>
      </c>
      <c r="C95" s="1">
        <v>1</v>
      </c>
      <c r="D95" s="1" t="s">
        <v>326</v>
      </c>
      <c r="E95" s="1" t="s">
        <v>327</v>
      </c>
      <c r="F95" s="1">
        <v>3</v>
      </c>
      <c r="J95" s="1" t="s">
        <v>278</v>
      </c>
      <c r="L95" s="1" t="s">
        <v>277</v>
      </c>
      <c r="P95" s="1" t="s">
        <v>169</v>
      </c>
      <c r="Q95" s="1" t="s">
        <v>328</v>
      </c>
    </row>
    <row r="96" spans="1:17">
      <c r="A96" s="1" t="s">
        <v>329</v>
      </c>
      <c r="B96" s="1">
        <v>267</v>
      </c>
      <c r="C96" s="1">
        <v>1</v>
      </c>
      <c r="D96" s="1" t="s">
        <v>327</v>
      </c>
      <c r="E96" s="1" t="s">
        <v>330</v>
      </c>
      <c r="F96" s="1">
        <v>3</v>
      </c>
      <c r="J96" s="1" t="s">
        <v>278</v>
      </c>
      <c r="L96" s="1" t="s">
        <v>277</v>
      </c>
      <c r="P96" s="1" t="s">
        <v>169</v>
      </c>
      <c r="Q96" s="1" t="s">
        <v>328</v>
      </c>
    </row>
    <row r="97" spans="1:17">
      <c r="A97" s="1" t="s">
        <v>331</v>
      </c>
      <c r="B97" s="1">
        <v>268</v>
      </c>
      <c r="C97" s="1">
        <v>1</v>
      </c>
      <c r="D97" s="1" t="s">
        <v>330</v>
      </c>
      <c r="E97" s="1" t="s">
        <v>332</v>
      </c>
      <c r="F97" s="1">
        <v>3</v>
      </c>
      <c r="J97" s="1" t="s">
        <v>278</v>
      </c>
      <c r="L97" s="1" t="s">
        <v>277</v>
      </c>
      <c r="P97" s="1" t="s">
        <v>169</v>
      </c>
      <c r="Q97" s="1" t="s">
        <v>328</v>
      </c>
    </row>
    <row r="98" spans="1:17">
      <c r="A98" s="1" t="s">
        <v>333</v>
      </c>
      <c r="B98" s="1">
        <v>269</v>
      </c>
      <c r="C98" s="1">
        <v>1</v>
      </c>
      <c r="D98" s="1" t="s">
        <v>326</v>
      </c>
      <c r="E98" s="1" t="s">
        <v>327</v>
      </c>
      <c r="F98" s="1">
        <v>2</v>
      </c>
      <c r="J98" s="1" t="s">
        <v>278</v>
      </c>
      <c r="L98" s="1" t="s">
        <v>277</v>
      </c>
      <c r="P98" s="1" t="s">
        <v>169</v>
      </c>
      <c r="Q98" s="1" t="s">
        <v>334</v>
      </c>
    </row>
    <row r="99" spans="1:17">
      <c r="A99" s="1" t="s">
        <v>335</v>
      </c>
      <c r="B99" s="1">
        <v>270</v>
      </c>
      <c r="C99" s="1">
        <v>1</v>
      </c>
      <c r="D99" s="1" t="s">
        <v>327</v>
      </c>
      <c r="E99" s="1" t="s">
        <v>330</v>
      </c>
      <c r="F99" s="1">
        <v>2</v>
      </c>
      <c r="J99" s="1" t="s">
        <v>278</v>
      </c>
      <c r="L99" s="1" t="s">
        <v>277</v>
      </c>
      <c r="P99" s="1" t="s">
        <v>169</v>
      </c>
      <c r="Q99" s="1" t="s">
        <v>334</v>
      </c>
    </row>
    <row r="100" spans="1:17">
      <c r="A100" s="1" t="s">
        <v>336</v>
      </c>
      <c r="B100" s="1">
        <v>271</v>
      </c>
      <c r="C100" s="1">
        <v>1</v>
      </c>
      <c r="D100" s="1" t="s">
        <v>330</v>
      </c>
      <c r="E100" s="1" t="s">
        <v>332</v>
      </c>
      <c r="F100" s="1">
        <v>2</v>
      </c>
      <c r="J100" s="1" t="s">
        <v>278</v>
      </c>
      <c r="L100" s="1" t="s">
        <v>277</v>
      </c>
      <c r="P100" s="1" t="s">
        <v>169</v>
      </c>
      <c r="Q100" s="1" t="s">
        <v>334</v>
      </c>
    </row>
    <row r="101" spans="1:17">
      <c r="A101" s="1" t="s">
        <v>337</v>
      </c>
      <c r="B101" s="1">
        <v>272</v>
      </c>
      <c r="C101" s="1">
        <v>1</v>
      </c>
      <c r="D101" s="1" t="s">
        <v>326</v>
      </c>
      <c r="E101" s="1" t="s">
        <v>332</v>
      </c>
      <c r="F101" s="1">
        <v>9</v>
      </c>
      <c r="J101" s="1" t="s">
        <v>278</v>
      </c>
      <c r="L101" s="1" t="s">
        <v>277</v>
      </c>
      <c r="P101" s="1" t="s">
        <v>169</v>
      </c>
      <c r="Q101" s="1" t="s">
        <v>338</v>
      </c>
    </row>
    <row r="102" spans="1:17">
      <c r="A102" s="1" t="s">
        <v>339</v>
      </c>
      <c r="B102" s="1">
        <v>120</v>
      </c>
      <c r="C102" s="1">
        <v>0</v>
      </c>
      <c r="D102" s="1" t="s">
        <v>132</v>
      </c>
      <c r="E102" s="1" t="s">
        <v>187</v>
      </c>
      <c r="F102" s="1">
        <v>11</v>
      </c>
      <c r="G102" s="1" t="s">
        <v>168</v>
      </c>
      <c r="P102" s="1" t="s">
        <v>169</v>
      </c>
      <c r="Q102" s="1" t="s">
        <v>340</v>
      </c>
    </row>
    <row r="103" spans="1:17">
      <c r="A103" s="1" t="s">
        <v>341</v>
      </c>
      <c r="B103" s="1">
        <v>273</v>
      </c>
      <c r="C103" s="1">
        <v>1</v>
      </c>
      <c r="D103" s="1" t="s">
        <v>342</v>
      </c>
      <c r="E103" s="1" t="s">
        <v>343</v>
      </c>
      <c r="F103" s="1">
        <v>2</v>
      </c>
      <c r="J103" s="1" t="s">
        <v>344</v>
      </c>
      <c r="L103" s="1" t="s">
        <v>277</v>
      </c>
      <c r="P103" s="1" t="s">
        <v>169</v>
      </c>
      <c r="Q103" s="1" t="s">
        <v>230</v>
      </c>
    </row>
    <row r="104" spans="1:17">
      <c r="A104" s="1" t="s">
        <v>341</v>
      </c>
      <c r="B104" s="1">
        <v>274</v>
      </c>
      <c r="C104" s="1">
        <v>1</v>
      </c>
      <c r="D104" s="1" t="s">
        <v>343</v>
      </c>
      <c r="E104" s="1" t="s">
        <v>345</v>
      </c>
      <c r="F104" s="1">
        <v>2</v>
      </c>
      <c r="J104" s="1" t="s">
        <v>344</v>
      </c>
      <c r="L104" s="1" t="s">
        <v>277</v>
      </c>
      <c r="P104" s="1" t="s">
        <v>169</v>
      </c>
      <c r="Q104" s="1" t="s">
        <v>230</v>
      </c>
    </row>
    <row r="105" spans="1:17">
      <c r="A105" s="1" t="s">
        <v>341</v>
      </c>
      <c r="B105" s="1">
        <v>275</v>
      </c>
      <c r="C105" s="1">
        <v>1</v>
      </c>
      <c r="D105" s="1" t="s">
        <v>345</v>
      </c>
      <c r="E105" s="1" t="s">
        <v>346</v>
      </c>
      <c r="F105" s="1">
        <v>2</v>
      </c>
      <c r="J105" s="1" t="s">
        <v>344</v>
      </c>
      <c r="L105" s="1" t="s">
        <v>277</v>
      </c>
      <c r="P105" s="1" t="s">
        <v>169</v>
      </c>
      <c r="Q105" s="1" t="s">
        <v>230</v>
      </c>
    </row>
    <row r="106" spans="1:17">
      <c r="A106" s="1" t="s">
        <v>347</v>
      </c>
      <c r="B106" s="1">
        <v>300</v>
      </c>
      <c r="C106" s="1">
        <v>1</v>
      </c>
      <c r="D106" s="1" t="s">
        <v>348</v>
      </c>
      <c r="E106" s="1" t="s">
        <v>349</v>
      </c>
      <c r="F106" s="1">
        <v>1</v>
      </c>
      <c r="J106" s="1" t="s">
        <v>294</v>
      </c>
      <c r="P106" s="1" t="s">
        <v>169</v>
      </c>
      <c r="Q106" s="1" t="s">
        <v>169</v>
      </c>
    </row>
    <row r="107" spans="1:17">
      <c r="A107" s="1" t="s">
        <v>350</v>
      </c>
      <c r="B107" s="1">
        <v>301</v>
      </c>
      <c r="C107" s="1">
        <v>1</v>
      </c>
      <c r="D107" s="1" t="s">
        <v>348</v>
      </c>
      <c r="E107" s="1" t="s">
        <v>349</v>
      </c>
      <c r="F107" s="1">
        <v>19</v>
      </c>
      <c r="J107" s="1" t="s">
        <v>294</v>
      </c>
      <c r="N107" s="1">
        <v>1</v>
      </c>
      <c r="P107" s="1" t="s">
        <v>169</v>
      </c>
      <c r="Q107" s="1" t="s">
        <v>351</v>
      </c>
    </row>
    <row r="108" spans="1:17">
      <c r="A108" s="1" t="s">
        <v>352</v>
      </c>
      <c r="B108" s="1">
        <v>302</v>
      </c>
      <c r="C108" s="1">
        <v>1</v>
      </c>
      <c r="D108" s="1" t="s">
        <v>348</v>
      </c>
      <c r="E108" s="1" t="s">
        <v>349</v>
      </c>
      <c r="F108" s="1">
        <v>18</v>
      </c>
      <c r="J108" s="1" t="s">
        <v>294</v>
      </c>
      <c r="P108" s="1" t="s">
        <v>169</v>
      </c>
      <c r="Q108" s="1" t="s">
        <v>353</v>
      </c>
    </row>
    <row r="109" spans="1:17">
      <c r="A109" s="1" t="s">
        <v>354</v>
      </c>
      <c r="B109" s="1">
        <v>303</v>
      </c>
      <c r="C109" s="1">
        <v>1</v>
      </c>
      <c r="D109" s="1" t="s">
        <v>348</v>
      </c>
      <c r="E109" s="1" t="s">
        <v>349</v>
      </c>
      <c r="F109" s="1">
        <v>2</v>
      </c>
      <c r="J109" s="1" t="s">
        <v>294</v>
      </c>
      <c r="P109" s="1" t="s">
        <v>169</v>
      </c>
      <c r="Q109" s="1" t="s">
        <v>355</v>
      </c>
    </row>
    <row r="110" spans="1:17">
      <c r="A110" s="1" t="s">
        <v>356</v>
      </c>
      <c r="B110" s="1">
        <v>309</v>
      </c>
      <c r="C110" s="1">
        <v>1</v>
      </c>
      <c r="D110" s="1" t="s">
        <v>348</v>
      </c>
      <c r="E110" s="1" t="s">
        <v>349</v>
      </c>
      <c r="F110" s="1">
        <v>5</v>
      </c>
      <c r="J110" s="1" t="s">
        <v>294</v>
      </c>
      <c r="P110" s="1" t="s">
        <v>169</v>
      </c>
      <c r="Q110" s="1" t="s">
        <v>357</v>
      </c>
    </row>
    <row r="111" spans="1:17">
      <c r="A111" s="1" t="s">
        <v>358</v>
      </c>
      <c r="B111" s="1">
        <v>310</v>
      </c>
      <c r="C111" s="1">
        <v>1</v>
      </c>
      <c r="D111" s="1" t="s">
        <v>348</v>
      </c>
      <c r="E111" s="1" t="s">
        <v>349</v>
      </c>
      <c r="F111" s="1">
        <v>7</v>
      </c>
      <c r="J111" s="1" t="s">
        <v>294</v>
      </c>
      <c r="P111" s="1" t="s">
        <v>169</v>
      </c>
      <c r="Q111" s="1" t="s">
        <v>226</v>
      </c>
    </row>
    <row r="112" spans="1:17">
      <c r="A112" s="1" t="s">
        <v>359</v>
      </c>
      <c r="B112" s="1">
        <v>311</v>
      </c>
      <c r="C112" s="1">
        <v>1</v>
      </c>
      <c r="D112" s="1" t="s">
        <v>348</v>
      </c>
      <c r="E112" s="1" t="s">
        <v>349</v>
      </c>
      <c r="F112" s="1">
        <v>3</v>
      </c>
      <c r="G112" s="1" t="s">
        <v>168</v>
      </c>
      <c r="J112" s="1" t="s">
        <v>294</v>
      </c>
      <c r="P112" s="1" t="s">
        <v>169</v>
      </c>
      <c r="Q112" s="1" t="s">
        <v>360</v>
      </c>
    </row>
    <row r="113" spans="1:17">
      <c r="A113" s="1" t="s">
        <v>361</v>
      </c>
      <c r="B113" s="1">
        <v>312</v>
      </c>
      <c r="C113" s="1">
        <v>1</v>
      </c>
      <c r="D113" s="1" t="s">
        <v>348</v>
      </c>
      <c r="E113" s="1" t="s">
        <v>362</v>
      </c>
      <c r="F113" s="1">
        <v>10</v>
      </c>
      <c r="J113" s="1" t="s">
        <v>294</v>
      </c>
      <c r="P113" s="1" t="s">
        <v>169</v>
      </c>
      <c r="Q113" s="1" t="s">
        <v>363</v>
      </c>
    </row>
    <row r="114" spans="1:17">
      <c r="A114" s="1" t="s">
        <v>364</v>
      </c>
      <c r="B114" s="1">
        <v>401</v>
      </c>
      <c r="C114" s="1">
        <v>1</v>
      </c>
      <c r="D114" s="1" t="s">
        <v>365</v>
      </c>
      <c r="E114" s="1" t="s">
        <v>366</v>
      </c>
      <c r="F114" s="1">
        <v>21</v>
      </c>
      <c r="J114" s="1" t="s">
        <v>332</v>
      </c>
      <c r="K114" s="1" t="s">
        <v>321</v>
      </c>
      <c r="P114" s="1" t="s">
        <v>169</v>
      </c>
      <c r="Q114" s="1" t="s">
        <v>367</v>
      </c>
    </row>
    <row r="115" spans="1:17">
      <c r="A115" s="1" t="s">
        <v>368</v>
      </c>
      <c r="B115" s="1">
        <v>402</v>
      </c>
      <c r="C115" s="1">
        <v>1</v>
      </c>
      <c r="D115" s="1" t="s">
        <v>365</v>
      </c>
      <c r="E115" s="1" t="s">
        <v>366</v>
      </c>
      <c r="F115" s="1">
        <v>20</v>
      </c>
      <c r="J115" s="1" t="s">
        <v>332</v>
      </c>
      <c r="P115" s="1" t="s">
        <v>169</v>
      </c>
      <c r="Q115" s="1" t="s">
        <v>369</v>
      </c>
    </row>
    <row r="116" spans="1:17">
      <c r="A116" s="1" t="s">
        <v>370</v>
      </c>
      <c r="B116" s="1">
        <v>403</v>
      </c>
      <c r="C116" s="1">
        <v>1</v>
      </c>
      <c r="D116" s="1" t="s">
        <v>365</v>
      </c>
      <c r="E116" s="1" t="s">
        <v>366</v>
      </c>
      <c r="F116" s="1">
        <v>7</v>
      </c>
      <c r="J116" s="1" t="s">
        <v>332</v>
      </c>
      <c r="P116" s="1" t="s">
        <v>169</v>
      </c>
      <c r="Q116" s="1" t="s">
        <v>371</v>
      </c>
    </row>
    <row r="117" spans="1:17">
      <c r="A117" s="1" t="s">
        <v>372</v>
      </c>
      <c r="B117" s="1">
        <v>404</v>
      </c>
      <c r="C117" s="1">
        <v>1</v>
      </c>
      <c r="D117" s="1" t="s">
        <v>365</v>
      </c>
      <c r="E117" s="1" t="s">
        <v>366</v>
      </c>
      <c r="F117" s="1">
        <v>9</v>
      </c>
      <c r="J117" s="1" t="s">
        <v>332</v>
      </c>
      <c r="K117" s="1" t="s">
        <v>321</v>
      </c>
      <c r="P117" s="1" t="s">
        <v>169</v>
      </c>
      <c r="Q117" s="1" t="s">
        <v>373</v>
      </c>
    </row>
    <row r="118" spans="1:17">
      <c r="A118" s="1" t="s">
        <v>374</v>
      </c>
      <c r="B118" s="1">
        <v>405</v>
      </c>
      <c r="C118" s="1">
        <v>1</v>
      </c>
      <c r="D118" s="1" t="s">
        <v>365</v>
      </c>
      <c r="E118" s="1" t="s">
        <v>375</v>
      </c>
      <c r="F118" s="1">
        <v>2</v>
      </c>
      <c r="J118" s="1" t="s">
        <v>332</v>
      </c>
      <c r="K118" s="1" t="s">
        <v>321</v>
      </c>
      <c r="P118" s="1" t="s">
        <v>169</v>
      </c>
      <c r="Q118" s="1" t="s">
        <v>230</v>
      </c>
    </row>
    <row r="119" spans="1:17">
      <c r="A119" s="1" t="s">
        <v>376</v>
      </c>
      <c r="B119" s="1">
        <v>406</v>
      </c>
      <c r="C119" s="1">
        <v>1</v>
      </c>
      <c r="D119" s="1" t="s">
        <v>375</v>
      </c>
      <c r="E119" s="1" t="s">
        <v>377</v>
      </c>
      <c r="F119" s="1">
        <v>2</v>
      </c>
      <c r="J119" s="1" t="s">
        <v>332</v>
      </c>
      <c r="K119" s="1" t="s">
        <v>321</v>
      </c>
      <c r="P119" s="1" t="s">
        <v>169</v>
      </c>
      <c r="Q119" s="1" t="s">
        <v>230</v>
      </c>
    </row>
    <row r="120" spans="1:17">
      <c r="A120" s="1" t="s">
        <v>378</v>
      </c>
      <c r="B120" s="1">
        <v>407</v>
      </c>
      <c r="C120" s="1">
        <v>1</v>
      </c>
      <c r="D120" s="1" t="s">
        <v>377</v>
      </c>
      <c r="E120" s="1" t="s">
        <v>379</v>
      </c>
      <c r="F120" s="1">
        <v>2</v>
      </c>
      <c r="J120" s="1" t="s">
        <v>332</v>
      </c>
      <c r="K120" s="1" t="s">
        <v>321</v>
      </c>
      <c r="P120" s="1" t="s">
        <v>169</v>
      </c>
      <c r="Q120" s="1" t="s">
        <v>230</v>
      </c>
    </row>
    <row r="121" spans="1:17">
      <c r="A121" s="1" t="s">
        <v>380</v>
      </c>
      <c r="B121" s="1">
        <v>408</v>
      </c>
      <c r="C121" s="1">
        <v>1</v>
      </c>
      <c r="D121" s="1" t="s">
        <v>379</v>
      </c>
      <c r="E121" s="1" t="s">
        <v>381</v>
      </c>
      <c r="F121" s="1">
        <v>2</v>
      </c>
      <c r="J121" s="1" t="s">
        <v>332</v>
      </c>
      <c r="K121" s="1" t="s">
        <v>321</v>
      </c>
      <c r="P121" s="1" t="s">
        <v>169</v>
      </c>
      <c r="Q121" s="1" t="s">
        <v>230</v>
      </c>
    </row>
    <row r="122" spans="1:17">
      <c r="A122" s="1" t="s">
        <v>382</v>
      </c>
      <c r="B122" s="1">
        <v>409</v>
      </c>
      <c r="C122" s="1">
        <v>1</v>
      </c>
      <c r="D122" s="1" t="s">
        <v>381</v>
      </c>
      <c r="E122" s="1" t="s">
        <v>366</v>
      </c>
      <c r="F122" s="1">
        <v>2</v>
      </c>
      <c r="J122" s="1" t="s">
        <v>332</v>
      </c>
      <c r="K122" s="1" t="s">
        <v>321</v>
      </c>
      <c r="P122" s="1" t="s">
        <v>169</v>
      </c>
      <c r="Q122" s="1" t="s">
        <v>230</v>
      </c>
    </row>
    <row r="123" spans="1:17">
      <c r="A123" s="1" t="s">
        <v>383</v>
      </c>
      <c r="B123" s="1">
        <v>410</v>
      </c>
      <c r="C123" s="1">
        <v>1</v>
      </c>
      <c r="D123" s="1" t="s">
        <v>365</v>
      </c>
      <c r="E123" s="1" t="s">
        <v>366</v>
      </c>
      <c r="F123" s="1">
        <v>21</v>
      </c>
      <c r="J123" s="1" t="s">
        <v>321</v>
      </c>
      <c r="K123" s="1" t="s">
        <v>384</v>
      </c>
      <c r="P123" s="1" t="s">
        <v>169</v>
      </c>
      <c r="Q123" s="1" t="s">
        <v>385</v>
      </c>
    </row>
    <row r="124" spans="1:17">
      <c r="A124" s="1" t="s">
        <v>386</v>
      </c>
      <c r="B124" s="1">
        <v>411</v>
      </c>
      <c r="C124" s="1">
        <v>1</v>
      </c>
      <c r="D124" s="1" t="s">
        <v>365</v>
      </c>
      <c r="E124" s="1" t="s">
        <v>366</v>
      </c>
      <c r="F124" s="1">
        <v>9</v>
      </c>
      <c r="J124" s="1" t="s">
        <v>321</v>
      </c>
      <c r="K124" s="1" t="s">
        <v>384</v>
      </c>
      <c r="P124" s="1" t="s">
        <v>169</v>
      </c>
      <c r="Q124" s="1" t="s">
        <v>373</v>
      </c>
    </row>
    <row r="125" spans="1:17">
      <c r="A125" s="1" t="s">
        <v>387</v>
      </c>
      <c r="B125" s="1">
        <v>412</v>
      </c>
      <c r="C125" s="1">
        <v>1</v>
      </c>
      <c r="D125" s="1" t="s">
        <v>365</v>
      </c>
      <c r="E125" s="1" t="s">
        <v>375</v>
      </c>
      <c r="F125" s="1">
        <v>2</v>
      </c>
      <c r="J125" s="1" t="s">
        <v>321</v>
      </c>
      <c r="K125" s="1" t="s">
        <v>384</v>
      </c>
      <c r="P125" s="1" t="s">
        <v>169</v>
      </c>
      <c r="Q125" s="1" t="s">
        <v>230</v>
      </c>
    </row>
    <row r="126" spans="1:17">
      <c r="A126" s="1" t="s">
        <v>388</v>
      </c>
      <c r="B126" s="1">
        <v>413</v>
      </c>
      <c r="C126" s="1">
        <v>1</v>
      </c>
      <c r="D126" s="1" t="s">
        <v>375</v>
      </c>
      <c r="E126" s="1" t="s">
        <v>377</v>
      </c>
      <c r="F126" s="1">
        <v>2</v>
      </c>
      <c r="J126" s="1" t="s">
        <v>321</v>
      </c>
      <c r="K126" s="1" t="s">
        <v>384</v>
      </c>
      <c r="P126" s="1" t="s">
        <v>169</v>
      </c>
      <c r="Q126" s="1" t="s">
        <v>230</v>
      </c>
    </row>
    <row r="127" spans="1:17">
      <c r="A127" s="1" t="s">
        <v>389</v>
      </c>
      <c r="B127" s="1">
        <v>414</v>
      </c>
      <c r="C127" s="1">
        <v>1</v>
      </c>
      <c r="D127" s="1" t="s">
        <v>377</v>
      </c>
      <c r="E127" s="1" t="s">
        <v>379</v>
      </c>
      <c r="F127" s="1">
        <v>2</v>
      </c>
      <c r="J127" s="1" t="s">
        <v>321</v>
      </c>
      <c r="K127" s="1" t="s">
        <v>384</v>
      </c>
      <c r="P127" s="1" t="s">
        <v>169</v>
      </c>
      <c r="Q127" s="1" t="s">
        <v>230</v>
      </c>
    </row>
    <row r="128" spans="1:17">
      <c r="A128" s="1" t="s">
        <v>390</v>
      </c>
      <c r="B128" s="1">
        <v>415</v>
      </c>
      <c r="C128" s="1">
        <v>1</v>
      </c>
      <c r="D128" s="1" t="s">
        <v>379</v>
      </c>
      <c r="E128" s="1" t="s">
        <v>381</v>
      </c>
      <c r="F128" s="1">
        <v>2</v>
      </c>
      <c r="J128" s="1" t="s">
        <v>321</v>
      </c>
      <c r="K128" s="1" t="s">
        <v>384</v>
      </c>
      <c r="P128" s="1" t="s">
        <v>169</v>
      </c>
      <c r="Q128" s="1" t="s">
        <v>230</v>
      </c>
    </row>
    <row r="129" spans="1:17">
      <c r="A129" s="1" t="s">
        <v>391</v>
      </c>
      <c r="B129" s="1">
        <v>416</v>
      </c>
      <c r="C129" s="1">
        <v>1</v>
      </c>
      <c r="D129" s="1" t="s">
        <v>381</v>
      </c>
      <c r="E129" s="1" t="s">
        <v>366</v>
      </c>
      <c r="F129" s="1">
        <v>2</v>
      </c>
      <c r="J129" s="1" t="s">
        <v>321</v>
      </c>
      <c r="K129" s="1" t="s">
        <v>384</v>
      </c>
      <c r="P129" s="1" t="s">
        <v>169</v>
      </c>
      <c r="Q129" s="1" t="s">
        <v>230</v>
      </c>
    </row>
    <row r="130" spans="1:17">
      <c r="A130" s="1" t="s">
        <v>392</v>
      </c>
      <c r="B130" s="1">
        <v>417</v>
      </c>
      <c r="C130" s="1">
        <v>1</v>
      </c>
      <c r="D130" s="1" t="s">
        <v>365</v>
      </c>
      <c r="E130" s="1" t="s">
        <v>366</v>
      </c>
      <c r="F130" s="1">
        <v>21</v>
      </c>
      <c r="J130" s="1" t="s">
        <v>384</v>
      </c>
      <c r="P130" s="1" t="s">
        <v>169</v>
      </c>
      <c r="Q130" s="1" t="s">
        <v>385</v>
      </c>
    </row>
    <row r="131" spans="1:17">
      <c r="A131" s="1" t="s">
        <v>393</v>
      </c>
      <c r="B131" s="1">
        <v>418</v>
      </c>
      <c r="C131" s="1">
        <v>1</v>
      </c>
      <c r="D131" s="1" t="s">
        <v>365</v>
      </c>
      <c r="E131" s="1" t="s">
        <v>366</v>
      </c>
      <c r="F131" s="1">
        <v>9</v>
      </c>
      <c r="J131" s="1" t="s">
        <v>384</v>
      </c>
      <c r="P131" s="1" t="s">
        <v>169</v>
      </c>
      <c r="Q131" s="1" t="s">
        <v>373</v>
      </c>
    </row>
    <row r="132" spans="1:17">
      <c r="A132" s="1" t="s">
        <v>394</v>
      </c>
      <c r="B132" s="1">
        <v>419</v>
      </c>
      <c r="C132" s="1">
        <v>1</v>
      </c>
      <c r="D132" s="1" t="s">
        <v>365</v>
      </c>
      <c r="E132" s="1" t="s">
        <v>375</v>
      </c>
      <c r="F132" s="1">
        <v>2</v>
      </c>
      <c r="J132" s="1" t="s">
        <v>384</v>
      </c>
      <c r="P132" s="1" t="s">
        <v>169</v>
      </c>
      <c r="Q132" s="1" t="s">
        <v>230</v>
      </c>
    </row>
    <row r="133" spans="1:17">
      <c r="A133" s="1" t="s">
        <v>395</v>
      </c>
      <c r="B133" s="1">
        <v>420</v>
      </c>
      <c r="C133" s="1">
        <v>1</v>
      </c>
      <c r="D133" s="1" t="s">
        <v>375</v>
      </c>
      <c r="E133" s="1" t="s">
        <v>377</v>
      </c>
      <c r="F133" s="1">
        <v>2</v>
      </c>
      <c r="J133" s="1" t="s">
        <v>384</v>
      </c>
      <c r="P133" s="1" t="s">
        <v>169</v>
      </c>
      <c r="Q133" s="1" t="s">
        <v>230</v>
      </c>
    </row>
    <row r="134" spans="1:17">
      <c r="A134" s="1" t="s">
        <v>396</v>
      </c>
      <c r="B134" s="1">
        <v>421</v>
      </c>
      <c r="C134" s="1">
        <v>1</v>
      </c>
      <c r="D134" s="1" t="s">
        <v>377</v>
      </c>
      <c r="E134" s="1" t="s">
        <v>379</v>
      </c>
      <c r="F134" s="1">
        <v>2</v>
      </c>
      <c r="J134" s="1" t="s">
        <v>384</v>
      </c>
      <c r="P134" s="1" t="s">
        <v>169</v>
      </c>
      <c r="Q134" s="1" t="s">
        <v>230</v>
      </c>
    </row>
    <row r="135" spans="1:17">
      <c r="A135" s="1" t="s">
        <v>397</v>
      </c>
      <c r="B135" s="1">
        <v>422</v>
      </c>
      <c r="C135" s="1">
        <v>1</v>
      </c>
      <c r="D135" s="1" t="s">
        <v>379</v>
      </c>
      <c r="E135" s="1" t="s">
        <v>381</v>
      </c>
      <c r="F135" s="1">
        <v>2</v>
      </c>
      <c r="J135" s="1" t="s">
        <v>384</v>
      </c>
      <c r="P135" s="1" t="s">
        <v>169</v>
      </c>
      <c r="Q135" s="1" t="s">
        <v>230</v>
      </c>
    </row>
    <row r="136" spans="1:17">
      <c r="A136" s="1" t="s">
        <v>398</v>
      </c>
      <c r="B136" s="1">
        <v>423</v>
      </c>
      <c r="C136" s="1">
        <v>1</v>
      </c>
      <c r="D136" s="1" t="s">
        <v>381</v>
      </c>
      <c r="E136" s="1" t="s">
        <v>366</v>
      </c>
      <c r="F136" s="1">
        <v>2</v>
      </c>
      <c r="J136" s="1" t="s">
        <v>384</v>
      </c>
      <c r="P136" s="1" t="s">
        <v>169</v>
      </c>
      <c r="Q136" s="1" t="s">
        <v>230</v>
      </c>
    </row>
    <row r="137" spans="1:17">
      <c r="A137" s="1" t="s">
        <v>399</v>
      </c>
      <c r="B137" s="1">
        <v>424</v>
      </c>
      <c r="C137" s="1">
        <v>1</v>
      </c>
      <c r="D137" s="1" t="s">
        <v>365</v>
      </c>
      <c r="E137" s="1" t="s">
        <v>375</v>
      </c>
      <c r="F137" s="1">
        <v>3</v>
      </c>
      <c r="J137" s="1" t="s">
        <v>332</v>
      </c>
      <c r="K137" s="1" t="s">
        <v>321</v>
      </c>
      <c r="P137" s="1" t="s">
        <v>169</v>
      </c>
      <c r="Q137" s="1" t="s">
        <v>328</v>
      </c>
    </row>
    <row r="138" spans="1:17">
      <c r="A138" s="1" t="s">
        <v>400</v>
      </c>
      <c r="B138" s="1">
        <v>425</v>
      </c>
      <c r="C138" s="1">
        <v>1</v>
      </c>
      <c r="D138" s="1" t="s">
        <v>375</v>
      </c>
      <c r="E138" s="1" t="s">
        <v>377</v>
      </c>
      <c r="F138" s="1">
        <v>3</v>
      </c>
      <c r="J138" s="1" t="s">
        <v>332</v>
      </c>
      <c r="K138" s="1" t="s">
        <v>321</v>
      </c>
      <c r="P138" s="1" t="s">
        <v>169</v>
      </c>
      <c r="Q138" s="1" t="s">
        <v>328</v>
      </c>
    </row>
    <row r="139" spans="1:17">
      <c r="A139" s="1" t="s">
        <v>401</v>
      </c>
      <c r="B139" s="1">
        <v>426</v>
      </c>
      <c r="C139" s="1">
        <v>1</v>
      </c>
      <c r="D139" s="1" t="s">
        <v>377</v>
      </c>
      <c r="E139" s="1" t="s">
        <v>379</v>
      </c>
      <c r="F139" s="1">
        <v>3</v>
      </c>
      <c r="J139" s="1" t="s">
        <v>332</v>
      </c>
      <c r="K139" s="1" t="s">
        <v>321</v>
      </c>
      <c r="P139" s="1" t="s">
        <v>169</v>
      </c>
      <c r="Q139" s="1" t="s">
        <v>328</v>
      </c>
    </row>
    <row r="140" spans="1:17">
      <c r="A140" s="1" t="s">
        <v>402</v>
      </c>
      <c r="B140" s="1">
        <v>427</v>
      </c>
      <c r="C140" s="1">
        <v>1</v>
      </c>
      <c r="D140" s="1" t="s">
        <v>379</v>
      </c>
      <c r="E140" s="1" t="s">
        <v>381</v>
      </c>
      <c r="F140" s="1">
        <v>3</v>
      </c>
      <c r="J140" s="1" t="s">
        <v>332</v>
      </c>
      <c r="K140" s="1" t="s">
        <v>321</v>
      </c>
      <c r="P140" s="1" t="s">
        <v>169</v>
      </c>
      <c r="Q140" s="1" t="s">
        <v>328</v>
      </c>
    </row>
    <row r="141" spans="1:17">
      <c r="A141" s="1" t="s">
        <v>403</v>
      </c>
      <c r="B141" s="1">
        <v>428</v>
      </c>
      <c r="C141" s="1">
        <v>1</v>
      </c>
      <c r="D141" s="1" t="s">
        <v>381</v>
      </c>
      <c r="E141" s="1" t="s">
        <v>366</v>
      </c>
      <c r="F141" s="1">
        <v>3</v>
      </c>
      <c r="J141" s="1" t="s">
        <v>332</v>
      </c>
      <c r="K141" s="1" t="s">
        <v>321</v>
      </c>
      <c r="P141" s="1" t="s">
        <v>169</v>
      </c>
      <c r="Q141" s="1" t="s">
        <v>328</v>
      </c>
    </row>
    <row r="142" spans="1:17">
      <c r="A142" s="1" t="s">
        <v>404</v>
      </c>
      <c r="B142" s="1">
        <v>429</v>
      </c>
      <c r="C142" s="1">
        <v>1</v>
      </c>
      <c r="D142" s="1" t="s">
        <v>365</v>
      </c>
      <c r="E142" s="1" t="s">
        <v>375</v>
      </c>
      <c r="F142" s="1">
        <v>3</v>
      </c>
      <c r="J142" s="1" t="s">
        <v>321</v>
      </c>
      <c r="K142" s="1" t="s">
        <v>384</v>
      </c>
      <c r="P142" s="1" t="s">
        <v>169</v>
      </c>
      <c r="Q142" s="1" t="s">
        <v>328</v>
      </c>
    </row>
    <row r="143" spans="1:17">
      <c r="A143" s="1" t="s">
        <v>405</v>
      </c>
      <c r="B143" s="1">
        <v>430</v>
      </c>
      <c r="C143" s="1">
        <v>1</v>
      </c>
      <c r="D143" s="1" t="s">
        <v>375</v>
      </c>
      <c r="E143" s="1" t="s">
        <v>377</v>
      </c>
      <c r="F143" s="1">
        <v>3</v>
      </c>
      <c r="J143" s="1" t="s">
        <v>321</v>
      </c>
      <c r="K143" s="1" t="s">
        <v>384</v>
      </c>
      <c r="P143" s="1" t="s">
        <v>169</v>
      </c>
      <c r="Q143" s="1" t="s">
        <v>328</v>
      </c>
    </row>
    <row r="144" spans="1:17">
      <c r="A144" s="1" t="s">
        <v>406</v>
      </c>
      <c r="B144" s="1">
        <v>431</v>
      </c>
      <c r="C144" s="1">
        <v>1</v>
      </c>
      <c r="D144" s="1" t="s">
        <v>377</v>
      </c>
      <c r="E144" s="1" t="s">
        <v>379</v>
      </c>
      <c r="F144" s="1">
        <v>3</v>
      </c>
      <c r="J144" s="1" t="s">
        <v>321</v>
      </c>
      <c r="K144" s="1" t="s">
        <v>384</v>
      </c>
      <c r="P144" s="1" t="s">
        <v>169</v>
      </c>
      <c r="Q144" s="1" t="s">
        <v>328</v>
      </c>
    </row>
    <row r="145" spans="1:17">
      <c r="A145" s="1" t="s">
        <v>407</v>
      </c>
      <c r="B145" s="1">
        <v>432</v>
      </c>
      <c r="C145" s="1">
        <v>1</v>
      </c>
      <c r="D145" s="1" t="s">
        <v>379</v>
      </c>
      <c r="E145" s="1" t="s">
        <v>381</v>
      </c>
      <c r="F145" s="1">
        <v>3</v>
      </c>
      <c r="J145" s="1" t="s">
        <v>321</v>
      </c>
      <c r="K145" s="1" t="s">
        <v>384</v>
      </c>
      <c r="P145" s="1" t="s">
        <v>169</v>
      </c>
      <c r="Q145" s="1" t="s">
        <v>328</v>
      </c>
    </row>
    <row r="146" spans="1:17">
      <c r="A146" s="1" t="s">
        <v>408</v>
      </c>
      <c r="B146" s="1">
        <v>433</v>
      </c>
      <c r="C146" s="1">
        <v>1</v>
      </c>
      <c r="D146" s="1" t="s">
        <v>381</v>
      </c>
      <c r="E146" s="1" t="s">
        <v>366</v>
      </c>
      <c r="F146" s="1">
        <v>3</v>
      </c>
      <c r="J146" s="1" t="s">
        <v>321</v>
      </c>
      <c r="K146" s="1" t="s">
        <v>384</v>
      </c>
      <c r="P146" s="1" t="s">
        <v>169</v>
      </c>
      <c r="Q146" s="1" t="s">
        <v>328</v>
      </c>
    </row>
    <row r="147" spans="1:17">
      <c r="A147" s="1" t="s">
        <v>409</v>
      </c>
      <c r="B147" s="1">
        <v>434</v>
      </c>
      <c r="C147" s="1">
        <v>1</v>
      </c>
      <c r="D147" s="1" t="s">
        <v>365</v>
      </c>
      <c r="E147" s="1" t="s">
        <v>375</v>
      </c>
      <c r="F147" s="1">
        <v>3</v>
      </c>
      <c r="J147" s="1" t="s">
        <v>384</v>
      </c>
      <c r="P147" s="1" t="s">
        <v>169</v>
      </c>
      <c r="Q147" s="1" t="s">
        <v>328</v>
      </c>
    </row>
    <row r="148" spans="1:17">
      <c r="A148" s="1" t="s">
        <v>410</v>
      </c>
      <c r="B148" s="1">
        <v>435</v>
      </c>
      <c r="C148" s="1">
        <v>1</v>
      </c>
      <c r="D148" s="1" t="s">
        <v>375</v>
      </c>
      <c r="E148" s="1" t="s">
        <v>377</v>
      </c>
      <c r="F148" s="1">
        <v>3</v>
      </c>
      <c r="J148" s="1" t="s">
        <v>384</v>
      </c>
      <c r="P148" s="1" t="s">
        <v>169</v>
      </c>
      <c r="Q148" s="1" t="s">
        <v>328</v>
      </c>
    </row>
    <row r="149" spans="1:17">
      <c r="A149" s="1" t="s">
        <v>411</v>
      </c>
      <c r="B149" s="1">
        <v>436</v>
      </c>
      <c r="C149" s="1">
        <v>1</v>
      </c>
      <c r="D149" s="1" t="s">
        <v>377</v>
      </c>
      <c r="E149" s="1" t="s">
        <v>379</v>
      </c>
      <c r="F149" s="1">
        <v>3</v>
      </c>
      <c r="J149" s="1" t="s">
        <v>384</v>
      </c>
      <c r="P149" s="1" t="s">
        <v>169</v>
      </c>
      <c r="Q149" s="1" t="s">
        <v>328</v>
      </c>
    </row>
    <row r="150" spans="1:17">
      <c r="A150" s="1" t="s">
        <v>412</v>
      </c>
      <c r="B150" s="1">
        <v>437</v>
      </c>
      <c r="C150" s="1">
        <v>1</v>
      </c>
      <c r="D150" s="1" t="s">
        <v>379</v>
      </c>
      <c r="E150" s="1" t="s">
        <v>381</v>
      </c>
      <c r="F150" s="1">
        <v>3</v>
      </c>
      <c r="J150" s="1" t="s">
        <v>384</v>
      </c>
      <c r="P150" s="1" t="s">
        <v>169</v>
      </c>
      <c r="Q150" s="1" t="s">
        <v>328</v>
      </c>
    </row>
    <row r="151" spans="1:17">
      <c r="A151" s="1" t="s">
        <v>413</v>
      </c>
      <c r="B151" s="1">
        <v>438</v>
      </c>
      <c r="C151" s="1">
        <v>1</v>
      </c>
      <c r="D151" s="1" t="s">
        <v>381</v>
      </c>
      <c r="E151" s="1" t="s">
        <v>366</v>
      </c>
      <c r="F151" s="1">
        <v>3</v>
      </c>
      <c r="J151" s="1" t="s">
        <v>384</v>
      </c>
      <c r="P151" s="1" t="s">
        <v>169</v>
      </c>
      <c r="Q151" s="1" t="s">
        <v>328</v>
      </c>
    </row>
    <row r="152" spans="1:17">
      <c r="A152" s="1" t="s">
        <v>414</v>
      </c>
      <c r="B152" s="1">
        <v>313</v>
      </c>
      <c r="C152" s="1">
        <v>1</v>
      </c>
      <c r="D152" s="1" t="s">
        <v>415</v>
      </c>
      <c r="E152" s="1" t="s">
        <v>416</v>
      </c>
      <c r="F152" s="1">
        <v>1</v>
      </c>
      <c r="I152" s="1" t="s">
        <v>417</v>
      </c>
      <c r="P152" s="1" t="s">
        <v>169</v>
      </c>
      <c r="Q152" s="1" t="s">
        <v>418</v>
      </c>
    </row>
    <row r="153" spans="1:17">
      <c r="A153" s="1" t="s">
        <v>419</v>
      </c>
      <c r="B153" s="1">
        <v>314</v>
      </c>
      <c r="C153" s="1">
        <v>1</v>
      </c>
      <c r="D153" s="1" t="s">
        <v>415</v>
      </c>
      <c r="E153" s="1" t="s">
        <v>416</v>
      </c>
      <c r="F153" s="1">
        <v>9</v>
      </c>
      <c r="I153" s="1" t="s">
        <v>417</v>
      </c>
      <c r="P153" s="1" t="s">
        <v>169</v>
      </c>
      <c r="Q153" s="1" t="s">
        <v>169</v>
      </c>
    </row>
    <row r="154" spans="1:17">
      <c r="A154" s="1" t="s">
        <v>420</v>
      </c>
      <c r="B154" s="1">
        <v>315</v>
      </c>
      <c r="C154" s="1">
        <v>1</v>
      </c>
      <c r="D154" s="1" t="s">
        <v>415</v>
      </c>
      <c r="E154" s="1" t="s">
        <v>421</v>
      </c>
      <c r="F154" s="1">
        <v>2</v>
      </c>
      <c r="I154" s="1" t="s">
        <v>417</v>
      </c>
      <c r="P154" s="1" t="s">
        <v>169</v>
      </c>
      <c r="Q154" s="1" t="s">
        <v>230</v>
      </c>
    </row>
    <row r="155" spans="1:17">
      <c r="A155" s="1" t="s">
        <v>422</v>
      </c>
      <c r="B155" s="1">
        <v>316</v>
      </c>
      <c r="C155" s="1">
        <v>1</v>
      </c>
      <c r="D155" s="1" t="s">
        <v>421</v>
      </c>
      <c r="E155" s="1" t="s">
        <v>423</v>
      </c>
      <c r="F155" s="1">
        <v>2</v>
      </c>
      <c r="I155" s="1" t="s">
        <v>417</v>
      </c>
      <c r="P155" s="1" t="s">
        <v>169</v>
      </c>
      <c r="Q155" s="1" t="s">
        <v>230</v>
      </c>
    </row>
    <row r="156" spans="1:17">
      <c r="A156" s="1" t="s">
        <v>424</v>
      </c>
      <c r="B156" s="1">
        <v>317</v>
      </c>
      <c r="C156" s="1">
        <v>1</v>
      </c>
      <c r="D156" s="1" t="s">
        <v>423</v>
      </c>
      <c r="E156" s="1" t="s">
        <v>416</v>
      </c>
      <c r="F156" s="1">
        <v>2</v>
      </c>
      <c r="I156" s="1" t="s">
        <v>417</v>
      </c>
      <c r="P156" s="1" t="s">
        <v>169</v>
      </c>
      <c r="Q156" s="1" t="s">
        <v>230</v>
      </c>
    </row>
    <row r="157" spans="1:17">
      <c r="A157" s="1" t="s">
        <v>425</v>
      </c>
      <c r="B157" s="1">
        <v>318</v>
      </c>
      <c r="C157" s="1">
        <v>1</v>
      </c>
      <c r="D157" s="1" t="s">
        <v>415</v>
      </c>
      <c r="E157" s="1" t="s">
        <v>421</v>
      </c>
      <c r="F157" s="1">
        <v>1</v>
      </c>
      <c r="I157" s="1" t="s">
        <v>417</v>
      </c>
      <c r="P157" s="1" t="s">
        <v>169</v>
      </c>
      <c r="Q157" s="1" t="s">
        <v>426</v>
      </c>
    </row>
    <row r="158" spans="1:17">
      <c r="A158" s="1" t="s">
        <v>427</v>
      </c>
      <c r="B158" s="1">
        <v>319</v>
      </c>
      <c r="C158" s="1">
        <v>1</v>
      </c>
      <c r="D158" s="1" t="s">
        <v>421</v>
      </c>
      <c r="E158" s="1" t="s">
        <v>423</v>
      </c>
      <c r="F158" s="1">
        <v>1</v>
      </c>
      <c r="I158" s="1" t="s">
        <v>417</v>
      </c>
      <c r="P158" s="1" t="s">
        <v>169</v>
      </c>
      <c r="Q158" s="1" t="s">
        <v>426</v>
      </c>
    </row>
    <row r="159" spans="1:17">
      <c r="A159" s="1" t="s">
        <v>428</v>
      </c>
      <c r="B159" s="1">
        <v>320</v>
      </c>
      <c r="C159" s="1">
        <v>1</v>
      </c>
      <c r="D159" s="1" t="s">
        <v>423</v>
      </c>
      <c r="E159" s="1" t="s">
        <v>416</v>
      </c>
      <c r="F159" s="1">
        <v>1</v>
      </c>
      <c r="I159" s="1" t="s">
        <v>417</v>
      </c>
      <c r="P159" s="1" t="s">
        <v>169</v>
      </c>
      <c r="Q159" s="1" t="s">
        <v>426</v>
      </c>
    </row>
    <row r="160" spans="1:17">
      <c r="A160" s="1" t="s">
        <v>414</v>
      </c>
      <c r="B160" s="1">
        <v>350</v>
      </c>
      <c r="C160" s="1">
        <v>1</v>
      </c>
      <c r="D160" s="1" t="s">
        <v>421</v>
      </c>
      <c r="E160" s="1" t="s">
        <v>429</v>
      </c>
      <c r="F160" s="1">
        <v>1</v>
      </c>
      <c r="H160" s="1" t="s">
        <v>417</v>
      </c>
      <c r="J160" s="1" t="s">
        <v>348</v>
      </c>
      <c r="P160" s="1" t="s">
        <v>169</v>
      </c>
      <c r="Q160" s="1" t="s">
        <v>418</v>
      </c>
    </row>
    <row r="161" spans="1:17">
      <c r="A161" s="1" t="s">
        <v>430</v>
      </c>
      <c r="B161" s="1">
        <v>351</v>
      </c>
      <c r="C161" s="1">
        <v>1</v>
      </c>
      <c r="D161" s="1" t="s">
        <v>421</v>
      </c>
      <c r="E161" s="1" t="s">
        <v>429</v>
      </c>
      <c r="F161" s="1">
        <v>9</v>
      </c>
      <c r="H161" s="1" t="s">
        <v>417</v>
      </c>
      <c r="J161" s="1" t="s">
        <v>348</v>
      </c>
      <c r="K161" s="1" t="s">
        <v>288</v>
      </c>
      <c r="P161" s="1" t="s">
        <v>169</v>
      </c>
      <c r="Q161" s="1" t="s">
        <v>169</v>
      </c>
    </row>
    <row r="162" spans="1:17">
      <c r="A162" s="1" t="s">
        <v>431</v>
      </c>
      <c r="B162" s="1">
        <v>352</v>
      </c>
      <c r="C162" s="1">
        <v>1</v>
      </c>
      <c r="D162" s="1" t="s">
        <v>421</v>
      </c>
      <c r="E162" s="1" t="s">
        <v>429</v>
      </c>
      <c r="F162" s="1">
        <v>9</v>
      </c>
      <c r="H162" s="1" t="s">
        <v>417</v>
      </c>
      <c r="J162" s="1" t="s">
        <v>288</v>
      </c>
      <c r="K162" s="1" t="s">
        <v>432</v>
      </c>
      <c r="P162" s="1" t="s">
        <v>169</v>
      </c>
      <c r="Q162" s="1" t="s">
        <v>169</v>
      </c>
    </row>
    <row r="163" spans="1:17">
      <c r="A163" s="1" t="s">
        <v>433</v>
      </c>
      <c r="B163" s="1">
        <v>353</v>
      </c>
      <c r="C163" s="1">
        <v>1</v>
      </c>
      <c r="D163" s="1" t="s">
        <v>421</v>
      </c>
      <c r="E163" s="1" t="s">
        <v>429</v>
      </c>
      <c r="F163" s="1">
        <v>9</v>
      </c>
      <c r="H163" s="1" t="s">
        <v>417</v>
      </c>
      <c r="J163" s="1" t="s">
        <v>432</v>
      </c>
      <c r="P163" s="1" t="s">
        <v>169</v>
      </c>
      <c r="Q163" s="1" t="s">
        <v>169</v>
      </c>
    </row>
    <row r="164" spans="1:17">
      <c r="A164" s="1" t="s">
        <v>420</v>
      </c>
      <c r="B164" s="1">
        <v>354</v>
      </c>
      <c r="C164" s="1">
        <v>1</v>
      </c>
      <c r="D164" s="1" t="s">
        <v>421</v>
      </c>
      <c r="E164" s="1" t="s">
        <v>423</v>
      </c>
      <c r="F164" s="1">
        <v>2</v>
      </c>
      <c r="H164" s="1" t="s">
        <v>417</v>
      </c>
      <c r="J164" s="1" t="s">
        <v>348</v>
      </c>
      <c r="P164" s="1" t="s">
        <v>169</v>
      </c>
      <c r="Q164" s="1" t="s">
        <v>230</v>
      </c>
    </row>
    <row r="165" spans="1:17">
      <c r="A165" s="1" t="s">
        <v>422</v>
      </c>
      <c r="B165" s="1">
        <v>355</v>
      </c>
      <c r="C165" s="1">
        <v>1</v>
      </c>
      <c r="D165" s="1" t="s">
        <v>423</v>
      </c>
      <c r="E165" s="1" t="s">
        <v>416</v>
      </c>
      <c r="F165" s="1">
        <v>2</v>
      </c>
      <c r="H165" s="1" t="s">
        <v>417</v>
      </c>
      <c r="J165" s="1" t="s">
        <v>348</v>
      </c>
      <c r="P165" s="1" t="s">
        <v>169</v>
      </c>
      <c r="Q165" s="1" t="s">
        <v>230</v>
      </c>
    </row>
    <row r="166" spans="1:17">
      <c r="A166" s="1" t="s">
        <v>424</v>
      </c>
      <c r="B166" s="1">
        <v>356</v>
      </c>
      <c r="C166" s="1">
        <v>1</v>
      </c>
      <c r="D166" s="1" t="s">
        <v>416</v>
      </c>
      <c r="E166" s="1" t="s">
        <v>429</v>
      </c>
      <c r="F166" s="1">
        <v>2</v>
      </c>
      <c r="H166" s="1" t="s">
        <v>417</v>
      </c>
      <c r="J166" s="1" t="s">
        <v>348</v>
      </c>
      <c r="P166" s="1" t="s">
        <v>169</v>
      </c>
      <c r="Q166" s="1" t="s">
        <v>230</v>
      </c>
    </row>
    <row r="167" spans="1:17">
      <c r="A167" s="1" t="s">
        <v>425</v>
      </c>
      <c r="B167" s="1">
        <v>357</v>
      </c>
      <c r="C167" s="1">
        <v>1</v>
      </c>
      <c r="D167" s="1" t="s">
        <v>421</v>
      </c>
      <c r="E167" s="1" t="s">
        <v>423</v>
      </c>
      <c r="F167" s="1">
        <v>1</v>
      </c>
      <c r="H167" s="1" t="s">
        <v>417</v>
      </c>
      <c r="J167" s="1" t="s">
        <v>348</v>
      </c>
      <c r="P167" s="1" t="s">
        <v>169</v>
      </c>
      <c r="Q167" s="1" t="s">
        <v>426</v>
      </c>
    </row>
    <row r="168" spans="1:17">
      <c r="A168" s="1" t="s">
        <v>427</v>
      </c>
      <c r="B168" s="1">
        <v>358</v>
      </c>
      <c r="C168" s="1">
        <v>1</v>
      </c>
      <c r="D168" s="1" t="s">
        <v>423</v>
      </c>
      <c r="E168" s="1" t="s">
        <v>416</v>
      </c>
      <c r="F168" s="1">
        <v>1</v>
      </c>
      <c r="H168" s="1" t="s">
        <v>417</v>
      </c>
      <c r="J168" s="1" t="s">
        <v>348</v>
      </c>
      <c r="P168" s="1" t="s">
        <v>169</v>
      </c>
      <c r="Q168" s="1" t="s">
        <v>426</v>
      </c>
    </row>
    <row r="169" spans="1:17">
      <c r="A169" s="1" t="s">
        <v>428</v>
      </c>
      <c r="B169" s="1">
        <v>359</v>
      </c>
      <c r="C169" s="1">
        <v>1</v>
      </c>
      <c r="D169" s="1" t="s">
        <v>416</v>
      </c>
      <c r="E169" s="1" t="s">
        <v>429</v>
      </c>
      <c r="F169" s="1">
        <v>1</v>
      </c>
      <c r="H169" s="1" t="s">
        <v>417</v>
      </c>
      <c r="J169" s="1" t="s">
        <v>348</v>
      </c>
      <c r="P169" s="1" t="s">
        <v>169</v>
      </c>
      <c r="Q169" s="1" t="s">
        <v>426</v>
      </c>
    </row>
    <row r="170" spans="1:17">
      <c r="A170" s="1" t="s">
        <v>434</v>
      </c>
      <c r="B170" s="1">
        <v>326</v>
      </c>
      <c r="C170" s="1">
        <v>2</v>
      </c>
      <c r="D170" s="1" t="s">
        <v>131</v>
      </c>
      <c r="E170" s="1" t="s">
        <v>132</v>
      </c>
      <c r="F170" s="1">
        <v>5</v>
      </c>
      <c r="O170" s="1">
        <v>2</v>
      </c>
      <c r="P170" s="1" t="s">
        <v>169</v>
      </c>
      <c r="Q170" s="1" t="s">
        <v>220</v>
      </c>
    </row>
    <row r="171" spans="1:17">
      <c r="A171" s="1" t="s">
        <v>435</v>
      </c>
      <c r="B171" s="1">
        <v>327</v>
      </c>
      <c r="C171" s="1">
        <v>2</v>
      </c>
      <c r="D171" s="1" t="s">
        <v>131</v>
      </c>
      <c r="E171" s="1" t="s">
        <v>132</v>
      </c>
      <c r="F171" s="1">
        <v>7</v>
      </c>
      <c r="O171" s="1">
        <v>2</v>
      </c>
      <c r="P171" s="1" t="s">
        <v>169</v>
      </c>
      <c r="Q171" s="1" t="s">
        <v>240</v>
      </c>
    </row>
    <row r="172" spans="1:17">
      <c r="A172" s="1" t="s">
        <v>436</v>
      </c>
      <c r="B172" s="1">
        <v>328</v>
      </c>
      <c r="C172" s="1">
        <v>2</v>
      </c>
      <c r="D172" s="1" t="s">
        <v>131</v>
      </c>
      <c r="E172" s="1" t="s">
        <v>137</v>
      </c>
      <c r="F172" s="1">
        <v>4</v>
      </c>
      <c r="O172" s="1">
        <v>2</v>
      </c>
      <c r="P172" s="1" t="s">
        <v>169</v>
      </c>
      <c r="Q172" s="1" t="s">
        <v>222</v>
      </c>
    </row>
    <row r="173" spans="1:17">
      <c r="A173" s="1" t="s">
        <v>437</v>
      </c>
      <c r="B173" s="1">
        <v>329</v>
      </c>
      <c r="C173" s="1">
        <v>2</v>
      </c>
      <c r="D173" s="1" t="s">
        <v>131</v>
      </c>
      <c r="E173" s="1" t="s">
        <v>137</v>
      </c>
      <c r="F173" s="1">
        <v>1</v>
      </c>
      <c r="O173" s="1">
        <v>2</v>
      </c>
      <c r="P173" s="1" t="s">
        <v>169</v>
      </c>
      <c r="Q173" s="1" t="s">
        <v>224</v>
      </c>
    </row>
    <row r="174" spans="1:17">
      <c r="A174" s="1" t="s">
        <v>438</v>
      </c>
      <c r="B174" s="1">
        <v>331</v>
      </c>
      <c r="C174" s="1">
        <v>2</v>
      </c>
      <c r="D174" s="1" t="s">
        <v>131</v>
      </c>
      <c r="E174" s="1" t="s">
        <v>132</v>
      </c>
      <c r="F174" s="1">
        <v>3</v>
      </c>
      <c r="G174" s="1" t="b">
        <v>0</v>
      </c>
      <c r="O174" s="1">
        <v>2</v>
      </c>
      <c r="P174" s="1" t="s">
        <v>169</v>
      </c>
      <c r="Q174" s="1" t="s">
        <v>242</v>
      </c>
    </row>
    <row r="175" spans="1:17">
      <c r="A175" s="1" t="s">
        <v>439</v>
      </c>
      <c r="B175" s="1">
        <v>332</v>
      </c>
      <c r="C175" s="1">
        <v>2</v>
      </c>
      <c r="D175" s="1" t="s">
        <v>131</v>
      </c>
      <c r="E175" s="1" t="s">
        <v>132</v>
      </c>
      <c r="F175" s="1">
        <v>3</v>
      </c>
      <c r="G175" s="1" t="b">
        <v>0</v>
      </c>
      <c r="O175" s="1">
        <v>2</v>
      </c>
      <c r="P175" s="1" t="s">
        <v>169</v>
      </c>
      <c r="Q175" s="1" t="s">
        <v>244</v>
      </c>
    </row>
    <row r="176" spans="1:17">
      <c r="A176" s="1" t="s">
        <v>440</v>
      </c>
      <c r="B176" s="1">
        <v>333</v>
      </c>
      <c r="C176" s="1">
        <v>2</v>
      </c>
      <c r="D176" s="1" t="s">
        <v>131</v>
      </c>
      <c r="E176" s="1" t="s">
        <v>137</v>
      </c>
      <c r="F176" s="1">
        <v>7</v>
      </c>
      <c r="O176" s="1">
        <v>2</v>
      </c>
      <c r="P176" s="1" t="s">
        <v>169</v>
      </c>
      <c r="Q176" s="1" t="s">
        <v>226</v>
      </c>
    </row>
    <row r="177" spans="1:17">
      <c r="A177" s="1" t="s">
        <v>441</v>
      </c>
      <c r="B177" s="1">
        <v>334</v>
      </c>
      <c r="C177" s="1">
        <v>2</v>
      </c>
      <c r="D177" s="1" t="s">
        <v>131</v>
      </c>
      <c r="E177" s="1" t="s">
        <v>132</v>
      </c>
      <c r="F177" s="1">
        <v>2</v>
      </c>
      <c r="O177" s="1">
        <v>2</v>
      </c>
      <c r="P177" s="1" t="s">
        <v>169</v>
      </c>
      <c r="Q177" s="1" t="s">
        <v>228</v>
      </c>
    </row>
    <row r="178" spans="1:17">
      <c r="A178" s="1" t="s">
        <v>442</v>
      </c>
      <c r="B178" s="1">
        <v>335</v>
      </c>
      <c r="C178" s="1">
        <v>2</v>
      </c>
      <c r="D178" s="1" t="s">
        <v>131</v>
      </c>
      <c r="E178" s="1" t="s">
        <v>140</v>
      </c>
      <c r="F178" s="1">
        <v>2</v>
      </c>
      <c r="O178" s="1">
        <v>2</v>
      </c>
      <c r="P178" s="1" t="s">
        <v>169</v>
      </c>
      <c r="Q178" s="1" t="s">
        <v>230</v>
      </c>
    </row>
    <row r="179" spans="1:17">
      <c r="A179" s="1" t="s">
        <v>443</v>
      </c>
      <c r="B179" s="1">
        <v>336</v>
      </c>
      <c r="C179" s="1">
        <v>2</v>
      </c>
      <c r="D179" s="1" t="s">
        <v>140</v>
      </c>
      <c r="E179" s="1" t="s">
        <v>136</v>
      </c>
      <c r="F179" s="1">
        <v>2</v>
      </c>
      <c r="O179" s="1">
        <v>2</v>
      </c>
      <c r="P179" s="1" t="s">
        <v>169</v>
      </c>
      <c r="Q179" s="1" t="s">
        <v>230</v>
      </c>
    </row>
    <row r="180" spans="1:17">
      <c r="A180" s="1" t="s">
        <v>444</v>
      </c>
      <c r="B180" s="1">
        <v>337</v>
      </c>
      <c r="C180" s="1">
        <v>2</v>
      </c>
      <c r="D180" s="1" t="s">
        <v>136</v>
      </c>
      <c r="E180" s="1" t="s">
        <v>137</v>
      </c>
      <c r="F180" s="1">
        <v>2</v>
      </c>
      <c r="O180" s="1">
        <v>2</v>
      </c>
      <c r="P180" s="1" t="s">
        <v>169</v>
      </c>
      <c r="Q180" s="1" t="s">
        <v>230</v>
      </c>
    </row>
    <row r="181" spans="1:17">
      <c r="A181" s="1" t="s">
        <v>445</v>
      </c>
      <c r="B181" s="1">
        <v>338</v>
      </c>
      <c r="C181" s="1">
        <v>2</v>
      </c>
      <c r="D181" s="1" t="s">
        <v>137</v>
      </c>
      <c r="E181" s="1" t="s">
        <v>145</v>
      </c>
      <c r="F181" s="1">
        <v>2</v>
      </c>
      <c r="O181" s="1">
        <v>2</v>
      </c>
      <c r="P181" s="1" t="s">
        <v>169</v>
      </c>
      <c r="Q181" s="1" t="s">
        <v>230</v>
      </c>
    </row>
    <row r="182" spans="1:17">
      <c r="A182" s="1" t="s">
        <v>446</v>
      </c>
      <c r="B182" s="1">
        <v>339</v>
      </c>
      <c r="C182" s="1">
        <v>2</v>
      </c>
      <c r="D182" s="1" t="s">
        <v>145</v>
      </c>
      <c r="E182" s="1" t="s">
        <v>163</v>
      </c>
      <c r="F182" s="1">
        <v>2</v>
      </c>
      <c r="O182" s="1">
        <v>2</v>
      </c>
      <c r="P182" s="1" t="s">
        <v>169</v>
      </c>
      <c r="Q182" s="1" t="s">
        <v>230</v>
      </c>
    </row>
    <row r="183" spans="1:17">
      <c r="A183" s="1" t="s">
        <v>447</v>
      </c>
      <c r="B183" s="1">
        <v>340</v>
      </c>
      <c r="C183" s="1">
        <v>2</v>
      </c>
      <c r="D183" s="1" t="s">
        <v>163</v>
      </c>
      <c r="E183" s="1" t="s">
        <v>184</v>
      </c>
      <c r="F183" s="1">
        <v>2</v>
      </c>
      <c r="O183" s="1">
        <v>2</v>
      </c>
      <c r="P183" s="1" t="s">
        <v>169</v>
      </c>
      <c r="Q183" s="1" t="s">
        <v>230</v>
      </c>
    </row>
    <row r="184" spans="1:17">
      <c r="A184" s="1" t="s">
        <v>448</v>
      </c>
      <c r="B184" s="1">
        <v>341</v>
      </c>
      <c r="C184" s="1">
        <v>2</v>
      </c>
      <c r="D184" s="1" t="s">
        <v>184</v>
      </c>
      <c r="E184" s="1" t="s">
        <v>132</v>
      </c>
      <c r="F184" s="1">
        <v>2</v>
      </c>
      <c r="O184" s="1">
        <v>2</v>
      </c>
      <c r="P184" s="1" t="s">
        <v>169</v>
      </c>
      <c r="Q184" s="1" t="s">
        <v>230</v>
      </c>
    </row>
    <row r="185" spans="1:17">
      <c r="A185" s="1" t="s">
        <v>449</v>
      </c>
      <c r="B185" s="1">
        <v>342</v>
      </c>
      <c r="C185" s="1">
        <v>2</v>
      </c>
      <c r="D185" s="1" t="s">
        <v>131</v>
      </c>
      <c r="E185" s="1" t="s">
        <v>132</v>
      </c>
      <c r="F185" s="1">
        <v>3</v>
      </c>
      <c r="G185" s="1" t="b">
        <v>0</v>
      </c>
      <c r="O185" s="1">
        <v>2</v>
      </c>
      <c r="P185" s="1" t="s">
        <v>169</v>
      </c>
      <c r="Q185" s="1" t="s">
        <v>246</v>
      </c>
    </row>
    <row r="186" spans="1:17">
      <c r="A186" s="1" t="s">
        <v>450</v>
      </c>
      <c r="B186" s="1">
        <v>360</v>
      </c>
      <c r="C186" s="1">
        <v>1</v>
      </c>
      <c r="D186" s="1" t="s">
        <v>423</v>
      </c>
      <c r="E186" s="1" t="s">
        <v>416</v>
      </c>
      <c r="F186" s="1">
        <v>10</v>
      </c>
      <c r="J186" s="1" t="s">
        <v>348</v>
      </c>
      <c r="L186" s="1" t="s">
        <v>381</v>
      </c>
      <c r="P186" s="1" t="s">
        <v>169</v>
      </c>
      <c r="Q186" s="1" t="s">
        <v>451</v>
      </c>
    </row>
    <row r="187" spans="1:17">
      <c r="A187" s="1" t="s">
        <v>452</v>
      </c>
      <c r="B187" s="1">
        <v>361</v>
      </c>
      <c r="C187" s="1">
        <v>1</v>
      </c>
      <c r="D187" s="1" t="s">
        <v>416</v>
      </c>
      <c r="E187" s="1" t="s">
        <v>429</v>
      </c>
      <c r="F187" s="1">
        <v>3</v>
      </c>
      <c r="J187" s="1" t="s">
        <v>348</v>
      </c>
      <c r="K187" s="1" t="s">
        <v>288</v>
      </c>
      <c r="L187" s="1" t="s">
        <v>381</v>
      </c>
      <c r="P187" s="1" t="s">
        <v>169</v>
      </c>
      <c r="Q187" s="1" t="s">
        <v>328</v>
      </c>
    </row>
    <row r="188" spans="1:17">
      <c r="A188" s="1" t="s">
        <v>453</v>
      </c>
      <c r="B188" s="1">
        <v>362</v>
      </c>
      <c r="C188" s="1">
        <v>1</v>
      </c>
      <c r="D188" s="1" t="s">
        <v>416</v>
      </c>
      <c r="E188" s="1" t="s">
        <v>429</v>
      </c>
      <c r="F188" s="1">
        <v>3</v>
      </c>
      <c r="J188" s="1" t="s">
        <v>288</v>
      </c>
      <c r="K188" s="1" t="s">
        <v>432</v>
      </c>
      <c r="L188" s="1" t="s">
        <v>381</v>
      </c>
      <c r="P188" s="1" t="s">
        <v>169</v>
      </c>
      <c r="Q188" s="1" t="s">
        <v>328</v>
      </c>
    </row>
    <row r="189" spans="1:17">
      <c r="A189" s="1" t="s">
        <v>454</v>
      </c>
      <c r="B189" s="1">
        <v>363</v>
      </c>
      <c r="C189" s="1">
        <v>1</v>
      </c>
      <c r="D189" s="1" t="s">
        <v>416</v>
      </c>
      <c r="E189" s="1" t="s">
        <v>429</v>
      </c>
      <c r="F189" s="1">
        <v>3</v>
      </c>
      <c r="J189" s="1" t="s">
        <v>432</v>
      </c>
      <c r="L189" s="1" t="s">
        <v>381</v>
      </c>
      <c r="P189" s="1" t="s">
        <v>169</v>
      </c>
      <c r="Q189" s="1" t="s">
        <v>328</v>
      </c>
    </row>
    <row r="190" spans="1:17">
      <c r="A190" s="1" t="s">
        <v>455</v>
      </c>
      <c r="B190" s="1">
        <v>323</v>
      </c>
      <c r="C190" s="1">
        <v>1</v>
      </c>
      <c r="D190" s="1" t="s">
        <v>456</v>
      </c>
      <c r="E190" s="1" t="s">
        <v>457</v>
      </c>
      <c r="F190" s="1">
        <v>5</v>
      </c>
      <c r="I190" s="1" t="s">
        <v>417</v>
      </c>
      <c r="P190" s="1" t="s">
        <v>169</v>
      </c>
      <c r="Q190" s="1" t="s">
        <v>458</v>
      </c>
    </row>
    <row r="191" spans="1:17">
      <c r="A191" s="1" t="s">
        <v>459</v>
      </c>
      <c r="B191" s="1">
        <v>324</v>
      </c>
      <c r="C191" s="1">
        <v>1</v>
      </c>
      <c r="D191" s="1" t="s">
        <v>456</v>
      </c>
      <c r="E191" s="1" t="s">
        <v>457</v>
      </c>
      <c r="F191" s="1">
        <v>3</v>
      </c>
      <c r="G191" s="1" t="s">
        <v>168</v>
      </c>
      <c r="I191" s="1" t="s">
        <v>417</v>
      </c>
      <c r="P191" s="1" t="s">
        <v>169</v>
      </c>
      <c r="Q191" s="1" t="s">
        <v>242</v>
      </c>
    </row>
    <row r="192" spans="1:17">
      <c r="A192" s="1" t="s">
        <v>460</v>
      </c>
      <c r="B192" s="1">
        <v>325</v>
      </c>
      <c r="C192" s="1">
        <v>1</v>
      </c>
      <c r="D192" s="1" t="s">
        <v>456</v>
      </c>
      <c r="E192" s="1" t="s">
        <v>457</v>
      </c>
      <c r="F192" s="1">
        <v>22</v>
      </c>
      <c r="I192" s="1" t="s">
        <v>417</v>
      </c>
      <c r="P192" s="1" t="s">
        <v>169</v>
      </c>
      <c r="Q192" s="1" t="s">
        <v>461</v>
      </c>
    </row>
    <row r="193" spans="1:17">
      <c r="A193" s="1" t="s">
        <v>414</v>
      </c>
      <c r="B193" s="1">
        <v>364</v>
      </c>
      <c r="C193" s="1">
        <v>0</v>
      </c>
      <c r="D193" s="1" t="s">
        <v>187</v>
      </c>
      <c r="E193" s="1" t="s">
        <v>462</v>
      </c>
      <c r="F193" s="1">
        <v>1</v>
      </c>
      <c r="K193" s="1" t="s">
        <v>463</v>
      </c>
      <c r="P193" s="1" t="s">
        <v>169</v>
      </c>
      <c r="Q193" s="1" t="s">
        <v>418</v>
      </c>
    </row>
    <row r="194" spans="1:17">
      <c r="A194" s="1" t="s">
        <v>455</v>
      </c>
      <c r="B194" s="1">
        <v>365</v>
      </c>
      <c r="C194" s="1">
        <v>1</v>
      </c>
      <c r="D194" s="1" t="s">
        <v>464</v>
      </c>
      <c r="E194" s="1" t="s">
        <v>465</v>
      </c>
      <c r="F194" s="1">
        <v>5</v>
      </c>
      <c r="H194" s="1" t="s">
        <v>417</v>
      </c>
      <c r="J194" s="1" t="s">
        <v>466</v>
      </c>
      <c r="P194" s="1" t="s">
        <v>169</v>
      </c>
      <c r="Q194" s="1" t="s">
        <v>458</v>
      </c>
    </row>
    <row r="195" spans="1:17">
      <c r="A195" s="1" t="s">
        <v>459</v>
      </c>
      <c r="B195" s="1">
        <v>366</v>
      </c>
      <c r="C195" s="1">
        <v>1</v>
      </c>
      <c r="D195" s="1" t="s">
        <v>464</v>
      </c>
      <c r="E195" s="1" t="s">
        <v>465</v>
      </c>
      <c r="F195" s="1">
        <v>3</v>
      </c>
      <c r="G195" s="1" t="s">
        <v>168</v>
      </c>
      <c r="H195" s="1" t="s">
        <v>417</v>
      </c>
      <c r="J195" s="1" t="s">
        <v>466</v>
      </c>
      <c r="P195" s="1" t="s">
        <v>169</v>
      </c>
      <c r="Q195" s="1" t="s">
        <v>242</v>
      </c>
    </row>
    <row r="196" spans="1:17">
      <c r="A196" s="1" t="s">
        <v>467</v>
      </c>
      <c r="B196" s="1">
        <v>367</v>
      </c>
      <c r="C196" s="1">
        <v>1</v>
      </c>
      <c r="D196" s="1" t="s">
        <v>464</v>
      </c>
      <c r="E196" s="1" t="s">
        <v>465</v>
      </c>
      <c r="F196" s="1">
        <v>22</v>
      </c>
      <c r="H196" s="1" t="s">
        <v>417</v>
      </c>
      <c r="J196" s="1" t="s">
        <v>466</v>
      </c>
      <c r="K196" s="1" t="s">
        <v>468</v>
      </c>
      <c r="P196" s="1" t="s">
        <v>169</v>
      </c>
      <c r="Q196" s="1" t="s">
        <v>461</v>
      </c>
    </row>
    <row r="197" spans="1:17">
      <c r="A197" s="1" t="s">
        <v>469</v>
      </c>
      <c r="B197" s="1">
        <v>368</v>
      </c>
      <c r="C197" s="1">
        <v>1</v>
      </c>
      <c r="D197" s="1" t="s">
        <v>464</v>
      </c>
      <c r="E197" s="1" t="s">
        <v>465</v>
      </c>
      <c r="F197" s="1">
        <v>22</v>
      </c>
      <c r="H197" s="1" t="s">
        <v>417</v>
      </c>
      <c r="J197" s="1" t="s">
        <v>468</v>
      </c>
      <c r="P197" s="1" t="s">
        <v>169</v>
      </c>
      <c r="Q197" s="1" t="s">
        <v>461</v>
      </c>
    </row>
    <row r="198" spans="1:17">
      <c r="A198" s="1" t="s">
        <v>470</v>
      </c>
      <c r="B198" s="1">
        <v>439</v>
      </c>
      <c r="C198" s="1">
        <v>1</v>
      </c>
      <c r="D198" s="1" t="s">
        <v>457</v>
      </c>
      <c r="E198" s="1" t="s">
        <v>471</v>
      </c>
      <c r="F198" s="1">
        <v>12</v>
      </c>
      <c r="I198" s="1" t="s">
        <v>417</v>
      </c>
      <c r="P198" s="1" t="s">
        <v>169</v>
      </c>
      <c r="Q198" s="1" t="s">
        <v>472</v>
      </c>
    </row>
    <row r="199" spans="1:17">
      <c r="A199" s="1" t="s">
        <v>473</v>
      </c>
      <c r="B199" s="1">
        <v>440</v>
      </c>
      <c r="C199" s="1">
        <v>1</v>
      </c>
      <c r="D199" s="1" t="s">
        <v>457</v>
      </c>
      <c r="E199" s="1" t="s">
        <v>471</v>
      </c>
      <c r="F199" s="1">
        <v>9</v>
      </c>
      <c r="I199" s="1" t="s">
        <v>417</v>
      </c>
      <c r="P199" s="1" t="s">
        <v>169</v>
      </c>
      <c r="Q199" s="1" t="s">
        <v>169</v>
      </c>
    </row>
    <row r="200" spans="1:17">
      <c r="A200" s="1" t="s">
        <v>474</v>
      </c>
      <c r="B200" s="1">
        <v>441</v>
      </c>
      <c r="C200" s="1">
        <v>1</v>
      </c>
      <c r="D200" s="1" t="s">
        <v>457</v>
      </c>
      <c r="E200" s="1" t="s">
        <v>465</v>
      </c>
      <c r="F200" s="1">
        <v>2</v>
      </c>
      <c r="I200" s="1" t="s">
        <v>417</v>
      </c>
      <c r="P200" s="1" t="s">
        <v>169</v>
      </c>
      <c r="Q200" s="1" t="s">
        <v>230</v>
      </c>
    </row>
    <row r="201" spans="1:17">
      <c r="A201" s="1" t="s">
        <v>475</v>
      </c>
      <c r="B201" s="1">
        <v>442</v>
      </c>
      <c r="C201" s="1">
        <v>1</v>
      </c>
      <c r="D201" s="1" t="s">
        <v>465</v>
      </c>
      <c r="E201" s="1" t="s">
        <v>476</v>
      </c>
      <c r="F201" s="1">
        <v>2</v>
      </c>
      <c r="I201" s="1" t="s">
        <v>417</v>
      </c>
      <c r="P201" s="1" t="s">
        <v>169</v>
      </c>
      <c r="Q201" s="1" t="s">
        <v>230</v>
      </c>
    </row>
    <row r="202" spans="1:17">
      <c r="A202" s="1" t="s">
        <v>477</v>
      </c>
      <c r="B202" s="1">
        <v>443</v>
      </c>
      <c r="C202" s="1">
        <v>1</v>
      </c>
      <c r="D202" s="1" t="s">
        <v>476</v>
      </c>
      <c r="E202" s="1" t="s">
        <v>471</v>
      </c>
      <c r="F202" s="1">
        <v>2</v>
      </c>
      <c r="I202" s="1" t="s">
        <v>417</v>
      </c>
      <c r="P202" s="1" t="s">
        <v>169</v>
      </c>
      <c r="Q202" s="1" t="s">
        <v>230</v>
      </c>
    </row>
    <row r="203" spans="1:17">
      <c r="A203" s="1" t="s">
        <v>478</v>
      </c>
      <c r="B203" s="1">
        <v>444</v>
      </c>
      <c r="C203" s="1">
        <v>1</v>
      </c>
      <c r="D203" s="1" t="s">
        <v>457</v>
      </c>
      <c r="E203" s="1" t="s">
        <v>465</v>
      </c>
      <c r="F203" s="1">
        <v>1</v>
      </c>
      <c r="I203" s="1" t="s">
        <v>417</v>
      </c>
      <c r="P203" s="1" t="s">
        <v>169</v>
      </c>
      <c r="Q203" s="1" t="s">
        <v>426</v>
      </c>
    </row>
    <row r="204" spans="1:17">
      <c r="A204" s="1" t="s">
        <v>479</v>
      </c>
      <c r="B204" s="1">
        <v>445</v>
      </c>
      <c r="C204" s="1">
        <v>1</v>
      </c>
      <c r="D204" s="1" t="s">
        <v>465</v>
      </c>
      <c r="E204" s="1" t="s">
        <v>476</v>
      </c>
      <c r="F204" s="1">
        <v>1</v>
      </c>
      <c r="I204" s="1" t="s">
        <v>417</v>
      </c>
      <c r="P204" s="1" t="s">
        <v>169</v>
      </c>
      <c r="Q204" s="1" t="s">
        <v>426</v>
      </c>
    </row>
    <row r="205" spans="1:17">
      <c r="A205" s="1" t="s">
        <v>480</v>
      </c>
      <c r="B205" s="1">
        <v>446</v>
      </c>
      <c r="C205" s="1">
        <v>1</v>
      </c>
      <c r="D205" s="1" t="s">
        <v>476</v>
      </c>
      <c r="E205" s="1" t="s">
        <v>471</v>
      </c>
      <c r="F205" s="1">
        <v>1</v>
      </c>
      <c r="I205" s="1" t="s">
        <v>417</v>
      </c>
      <c r="P205" s="1" t="s">
        <v>169</v>
      </c>
      <c r="Q205" s="1" t="s">
        <v>426</v>
      </c>
    </row>
    <row r="206" spans="1:17">
      <c r="A206" s="1" t="s">
        <v>470</v>
      </c>
      <c r="B206" s="1">
        <v>447</v>
      </c>
      <c r="C206" s="1">
        <v>1</v>
      </c>
      <c r="D206" s="1" t="s">
        <v>476</v>
      </c>
      <c r="E206" s="1" t="s">
        <v>481</v>
      </c>
      <c r="F206" s="1">
        <v>12</v>
      </c>
      <c r="H206" s="1" t="s">
        <v>417</v>
      </c>
      <c r="J206" s="1" t="s">
        <v>379</v>
      </c>
      <c r="P206" s="1" t="s">
        <v>169</v>
      </c>
      <c r="Q206" s="1" t="s">
        <v>472</v>
      </c>
    </row>
    <row r="207" spans="1:17">
      <c r="A207" s="1" t="s">
        <v>482</v>
      </c>
      <c r="B207" s="1">
        <v>448</v>
      </c>
      <c r="C207" s="1">
        <v>1</v>
      </c>
      <c r="D207" s="1" t="s">
        <v>476</v>
      </c>
      <c r="E207" s="1" t="s">
        <v>481</v>
      </c>
      <c r="F207" s="1">
        <v>9</v>
      </c>
      <c r="H207" s="1" t="s">
        <v>417</v>
      </c>
      <c r="J207" s="1" t="s">
        <v>379</v>
      </c>
      <c r="K207" s="1" t="s">
        <v>332</v>
      </c>
      <c r="P207" s="1" t="s">
        <v>169</v>
      </c>
      <c r="Q207" s="1" t="s">
        <v>169</v>
      </c>
    </row>
    <row r="208" spans="1:17">
      <c r="A208" s="1" t="s">
        <v>483</v>
      </c>
      <c r="B208" s="1">
        <v>449</v>
      </c>
      <c r="C208" s="1">
        <v>1</v>
      </c>
      <c r="D208" s="1" t="s">
        <v>476</v>
      </c>
      <c r="E208" s="1" t="s">
        <v>471</v>
      </c>
      <c r="F208" s="1">
        <v>2</v>
      </c>
      <c r="H208" s="1" t="s">
        <v>417</v>
      </c>
      <c r="J208" s="1" t="s">
        <v>379</v>
      </c>
      <c r="K208" s="1" t="s">
        <v>484</v>
      </c>
      <c r="P208" s="1" t="s">
        <v>169</v>
      </c>
      <c r="Q208" s="1" t="s">
        <v>230</v>
      </c>
    </row>
    <row r="209" spans="1:17">
      <c r="A209" s="1" t="s">
        <v>485</v>
      </c>
      <c r="B209" s="1">
        <v>450</v>
      </c>
      <c r="C209" s="1">
        <v>1</v>
      </c>
      <c r="D209" s="1" t="s">
        <v>471</v>
      </c>
      <c r="E209" s="1" t="s">
        <v>486</v>
      </c>
      <c r="F209" s="1">
        <v>2</v>
      </c>
      <c r="H209" s="1" t="s">
        <v>417</v>
      </c>
      <c r="J209" s="1" t="s">
        <v>379</v>
      </c>
      <c r="K209" s="1" t="s">
        <v>484</v>
      </c>
      <c r="P209" s="1" t="s">
        <v>169</v>
      </c>
      <c r="Q209" s="1" t="s">
        <v>230</v>
      </c>
    </row>
    <row r="210" spans="1:17">
      <c r="A210" s="1" t="s">
        <v>487</v>
      </c>
      <c r="B210" s="1">
        <v>451</v>
      </c>
      <c r="C210" s="1">
        <v>1</v>
      </c>
      <c r="D210" s="1" t="s">
        <v>486</v>
      </c>
      <c r="E210" s="1" t="s">
        <v>481</v>
      </c>
      <c r="F210" s="1">
        <v>2</v>
      </c>
      <c r="H210" s="1" t="s">
        <v>417</v>
      </c>
      <c r="J210" s="1" t="s">
        <v>379</v>
      </c>
      <c r="K210" s="1" t="s">
        <v>484</v>
      </c>
      <c r="P210" s="1" t="s">
        <v>169</v>
      </c>
      <c r="Q210" s="1" t="s">
        <v>230</v>
      </c>
    </row>
    <row r="211" spans="1:17">
      <c r="A211" s="1" t="s">
        <v>478</v>
      </c>
      <c r="B211" s="1">
        <v>452</v>
      </c>
      <c r="C211" s="1">
        <v>1</v>
      </c>
      <c r="D211" s="1" t="s">
        <v>476</v>
      </c>
      <c r="E211" s="1" t="s">
        <v>471</v>
      </c>
      <c r="F211" s="1">
        <v>1</v>
      </c>
      <c r="H211" s="1" t="s">
        <v>417</v>
      </c>
      <c r="J211" s="1" t="s">
        <v>379</v>
      </c>
      <c r="P211" s="1" t="s">
        <v>169</v>
      </c>
      <c r="Q211" s="1" t="s">
        <v>426</v>
      </c>
    </row>
    <row r="212" spans="1:17">
      <c r="A212" s="1" t="s">
        <v>479</v>
      </c>
      <c r="B212" s="1">
        <v>453</v>
      </c>
      <c r="C212" s="1">
        <v>1</v>
      </c>
      <c r="D212" s="1" t="s">
        <v>471</v>
      </c>
      <c r="E212" s="1" t="s">
        <v>486</v>
      </c>
      <c r="F212" s="1">
        <v>1</v>
      </c>
      <c r="H212" s="1" t="s">
        <v>417</v>
      </c>
      <c r="J212" s="1" t="s">
        <v>379</v>
      </c>
      <c r="P212" s="1" t="s">
        <v>169</v>
      </c>
      <c r="Q212" s="1" t="s">
        <v>426</v>
      </c>
    </row>
    <row r="213" spans="1:17">
      <c r="A213" s="1" t="s">
        <v>480</v>
      </c>
      <c r="B213" s="1">
        <v>454</v>
      </c>
      <c r="C213" s="1">
        <v>1</v>
      </c>
      <c r="D213" s="1" t="s">
        <v>486</v>
      </c>
      <c r="E213" s="1" t="s">
        <v>481</v>
      </c>
      <c r="F213" s="1">
        <v>1</v>
      </c>
      <c r="H213" s="1" t="s">
        <v>417</v>
      </c>
      <c r="J213" s="1" t="s">
        <v>379</v>
      </c>
      <c r="P213" s="1" t="s">
        <v>169</v>
      </c>
      <c r="Q213" s="1" t="s">
        <v>426</v>
      </c>
    </row>
    <row r="214" spans="1:17">
      <c r="A214" s="1" t="s">
        <v>488</v>
      </c>
      <c r="B214" s="1">
        <v>455</v>
      </c>
      <c r="C214" s="1">
        <v>1</v>
      </c>
      <c r="D214" s="1" t="s">
        <v>476</v>
      </c>
      <c r="E214" s="1" t="s">
        <v>481</v>
      </c>
      <c r="F214" s="1">
        <v>9</v>
      </c>
      <c r="H214" s="1" t="s">
        <v>417</v>
      </c>
      <c r="J214" s="1" t="s">
        <v>332</v>
      </c>
      <c r="K214" s="1" t="s">
        <v>484</v>
      </c>
      <c r="P214" s="1" t="s">
        <v>169</v>
      </c>
      <c r="Q214" s="1" t="s">
        <v>169</v>
      </c>
    </row>
    <row r="215" spans="1:17">
      <c r="A215" s="1" t="s">
        <v>489</v>
      </c>
      <c r="B215" s="1">
        <v>456</v>
      </c>
      <c r="C215" s="1">
        <v>1</v>
      </c>
      <c r="D215" s="1" t="s">
        <v>476</v>
      </c>
      <c r="E215" s="1" t="s">
        <v>481</v>
      </c>
      <c r="F215" s="1">
        <v>9</v>
      </c>
      <c r="H215" s="1" t="s">
        <v>417</v>
      </c>
      <c r="J215" s="1" t="s">
        <v>484</v>
      </c>
      <c r="P215" s="1" t="s">
        <v>169</v>
      </c>
      <c r="Q215" s="1" t="s">
        <v>169</v>
      </c>
    </row>
    <row r="216" spans="1:17">
      <c r="A216" s="1" t="s">
        <v>490</v>
      </c>
      <c r="B216" s="1">
        <v>457</v>
      </c>
      <c r="C216" s="1">
        <v>1</v>
      </c>
      <c r="D216" s="1" t="s">
        <v>476</v>
      </c>
      <c r="E216" s="1" t="s">
        <v>471</v>
      </c>
      <c r="F216" s="1">
        <v>2</v>
      </c>
      <c r="H216" s="1" t="s">
        <v>417</v>
      </c>
      <c r="J216" s="1" t="s">
        <v>484</v>
      </c>
      <c r="P216" s="1" t="s">
        <v>169</v>
      </c>
      <c r="Q216" s="1" t="s">
        <v>230</v>
      </c>
    </row>
    <row r="217" spans="1:17">
      <c r="A217" s="1" t="s">
        <v>491</v>
      </c>
      <c r="B217" s="1">
        <v>458</v>
      </c>
      <c r="C217" s="1">
        <v>1</v>
      </c>
      <c r="D217" s="1" t="s">
        <v>471</v>
      </c>
      <c r="E217" s="1" t="s">
        <v>486</v>
      </c>
      <c r="F217" s="1">
        <v>2</v>
      </c>
      <c r="H217" s="1" t="s">
        <v>417</v>
      </c>
      <c r="J217" s="1" t="s">
        <v>484</v>
      </c>
      <c r="P217" s="1" t="s">
        <v>169</v>
      </c>
      <c r="Q217" s="1" t="s">
        <v>230</v>
      </c>
    </row>
    <row r="218" spans="1:17">
      <c r="A218" s="1" t="s">
        <v>492</v>
      </c>
      <c r="B218" s="1">
        <v>459</v>
      </c>
      <c r="C218" s="1">
        <v>1</v>
      </c>
      <c r="D218" s="1" t="s">
        <v>486</v>
      </c>
      <c r="E218" s="1" t="s">
        <v>481</v>
      </c>
      <c r="F218" s="1">
        <v>2</v>
      </c>
      <c r="H218" s="1" t="s">
        <v>417</v>
      </c>
      <c r="J218" s="1" t="s">
        <v>484</v>
      </c>
      <c r="P218" s="1" t="s">
        <v>169</v>
      </c>
      <c r="Q218" s="1" t="s">
        <v>230</v>
      </c>
    </row>
    <row r="219" spans="1:17">
      <c r="A219" s="1" t="s">
        <v>493</v>
      </c>
      <c r="B219" s="1">
        <v>500</v>
      </c>
      <c r="C219" s="1">
        <v>1</v>
      </c>
      <c r="D219" s="1" t="s">
        <v>481</v>
      </c>
      <c r="E219" s="1" t="s">
        <v>494</v>
      </c>
      <c r="F219" s="1">
        <v>1</v>
      </c>
      <c r="I219" s="1" t="s">
        <v>417</v>
      </c>
      <c r="P219" s="1" t="s">
        <v>169</v>
      </c>
      <c r="Q219" s="1" t="s">
        <v>169</v>
      </c>
    </row>
    <row r="220" spans="1:17">
      <c r="A220" s="1" t="s">
        <v>495</v>
      </c>
      <c r="B220" s="1">
        <v>501</v>
      </c>
      <c r="C220" s="1">
        <v>1</v>
      </c>
      <c r="D220" s="1" t="s">
        <v>481</v>
      </c>
      <c r="E220" s="1" t="s">
        <v>494</v>
      </c>
      <c r="F220" s="1">
        <v>19</v>
      </c>
      <c r="I220" s="1" t="s">
        <v>417</v>
      </c>
      <c r="N220" s="1">
        <v>1</v>
      </c>
      <c r="P220" s="1" t="s">
        <v>169</v>
      </c>
      <c r="Q220" s="1" t="s">
        <v>351</v>
      </c>
    </row>
    <row r="221" spans="1:17">
      <c r="A221" s="1" t="s">
        <v>496</v>
      </c>
      <c r="B221" s="1">
        <v>502</v>
      </c>
      <c r="C221" s="1">
        <v>1</v>
      </c>
      <c r="D221" s="1" t="s">
        <v>481</v>
      </c>
      <c r="E221" s="1" t="s">
        <v>494</v>
      </c>
      <c r="F221" s="1">
        <v>18</v>
      </c>
      <c r="I221" s="1" t="s">
        <v>417</v>
      </c>
      <c r="P221" s="1" t="s">
        <v>169</v>
      </c>
      <c r="Q221" s="1" t="s">
        <v>497</v>
      </c>
    </row>
    <row r="222" spans="1:17">
      <c r="A222" s="1" t="s">
        <v>498</v>
      </c>
      <c r="B222" s="1">
        <v>503</v>
      </c>
      <c r="C222" s="1">
        <v>1</v>
      </c>
      <c r="D222" s="1" t="s">
        <v>481</v>
      </c>
      <c r="E222" s="1" t="s">
        <v>494</v>
      </c>
      <c r="F222" s="1">
        <v>2</v>
      </c>
      <c r="I222" s="1" t="s">
        <v>417</v>
      </c>
      <c r="P222" s="1" t="s">
        <v>169</v>
      </c>
      <c r="Q222" s="1" t="s">
        <v>499</v>
      </c>
    </row>
    <row r="223" spans="1:17">
      <c r="A223" s="1" t="s">
        <v>500</v>
      </c>
      <c r="B223" s="1">
        <v>504</v>
      </c>
      <c r="C223" s="1">
        <v>1</v>
      </c>
      <c r="D223" s="1" t="s">
        <v>481</v>
      </c>
      <c r="E223" s="1" t="s">
        <v>494</v>
      </c>
      <c r="F223" s="1">
        <v>5</v>
      </c>
      <c r="I223" s="1" t="s">
        <v>417</v>
      </c>
      <c r="P223" s="1" t="s">
        <v>169</v>
      </c>
      <c r="Q223" s="1" t="s">
        <v>501</v>
      </c>
    </row>
    <row r="224" spans="1:17">
      <c r="A224" s="1" t="s">
        <v>502</v>
      </c>
      <c r="B224" s="1">
        <v>505</v>
      </c>
      <c r="C224" s="1">
        <v>1</v>
      </c>
      <c r="D224" s="1" t="s">
        <v>481</v>
      </c>
      <c r="E224" s="1" t="s">
        <v>494</v>
      </c>
      <c r="F224" s="1">
        <v>7</v>
      </c>
      <c r="I224" s="1" t="s">
        <v>417</v>
      </c>
      <c r="P224" s="1" t="s">
        <v>169</v>
      </c>
      <c r="Q224" s="1" t="s">
        <v>226</v>
      </c>
    </row>
    <row r="225" spans="1:17">
      <c r="A225" s="1" t="s">
        <v>503</v>
      </c>
      <c r="B225" s="1">
        <v>506</v>
      </c>
      <c r="C225" s="1">
        <v>1</v>
      </c>
      <c r="D225" s="1" t="s">
        <v>481</v>
      </c>
      <c r="E225" s="1" t="s">
        <v>494</v>
      </c>
      <c r="F225" s="1">
        <v>3</v>
      </c>
      <c r="G225" s="1" t="b">
        <v>0</v>
      </c>
      <c r="I225" s="1" t="s">
        <v>417</v>
      </c>
      <c r="P225" s="1" t="s">
        <v>169</v>
      </c>
      <c r="Q225" s="1" t="s">
        <v>360</v>
      </c>
    </row>
    <row r="226" spans="1:17">
      <c r="A226" s="1" t="s">
        <v>504</v>
      </c>
      <c r="B226" s="1">
        <v>507</v>
      </c>
      <c r="C226" s="1">
        <v>1</v>
      </c>
      <c r="D226" s="1" t="s">
        <v>481</v>
      </c>
      <c r="E226" s="1" t="s">
        <v>505</v>
      </c>
      <c r="F226" s="1">
        <v>10</v>
      </c>
      <c r="I226" s="1" t="s">
        <v>417</v>
      </c>
      <c r="P226" s="1" t="s">
        <v>169</v>
      </c>
      <c r="Q226" s="1" t="s">
        <v>506</v>
      </c>
    </row>
    <row r="227" spans="1:17">
      <c r="A227" s="1" t="s">
        <v>493</v>
      </c>
      <c r="B227" s="1">
        <v>508</v>
      </c>
      <c r="C227" s="1">
        <v>1</v>
      </c>
      <c r="D227" s="1" t="s">
        <v>505</v>
      </c>
      <c r="E227" s="1" t="s">
        <v>507</v>
      </c>
      <c r="F227" s="1">
        <v>1</v>
      </c>
      <c r="H227" s="1" t="s">
        <v>417</v>
      </c>
      <c r="J227" s="1" t="s">
        <v>421</v>
      </c>
      <c r="L227" s="1" t="s">
        <v>486</v>
      </c>
      <c r="P227" s="1" t="s">
        <v>169</v>
      </c>
      <c r="Q227" s="1" t="s">
        <v>169</v>
      </c>
    </row>
    <row r="228" spans="1:17">
      <c r="A228" s="1" t="s">
        <v>495</v>
      </c>
      <c r="B228" s="1">
        <v>509</v>
      </c>
      <c r="C228" s="1">
        <v>1</v>
      </c>
      <c r="D228" s="1" t="s">
        <v>505</v>
      </c>
      <c r="E228" s="1" t="s">
        <v>507</v>
      </c>
      <c r="F228" s="1">
        <v>19</v>
      </c>
      <c r="H228" s="1" t="s">
        <v>417</v>
      </c>
      <c r="J228" s="1" t="s">
        <v>421</v>
      </c>
      <c r="L228" s="1" t="s">
        <v>486</v>
      </c>
      <c r="N228" s="1">
        <v>1</v>
      </c>
      <c r="P228" s="1" t="s">
        <v>169</v>
      </c>
      <c r="Q228" s="1" t="s">
        <v>351</v>
      </c>
    </row>
    <row r="229" spans="1:17">
      <c r="A229" s="1" t="s">
        <v>496</v>
      </c>
      <c r="B229" s="1">
        <v>510</v>
      </c>
      <c r="C229" s="1">
        <v>1</v>
      </c>
      <c r="D229" s="1" t="s">
        <v>505</v>
      </c>
      <c r="E229" s="1" t="s">
        <v>507</v>
      </c>
      <c r="F229" s="1">
        <v>18</v>
      </c>
      <c r="H229" s="1" t="s">
        <v>417</v>
      </c>
      <c r="J229" s="1" t="s">
        <v>421</v>
      </c>
      <c r="L229" s="1" t="s">
        <v>486</v>
      </c>
      <c r="P229" s="1" t="s">
        <v>169</v>
      </c>
      <c r="Q229" s="1" t="s">
        <v>497</v>
      </c>
    </row>
    <row r="230" spans="1:17">
      <c r="A230" s="1" t="s">
        <v>498</v>
      </c>
      <c r="B230" s="1">
        <v>511</v>
      </c>
      <c r="C230" s="1">
        <v>1</v>
      </c>
      <c r="D230" s="1" t="s">
        <v>505</v>
      </c>
      <c r="E230" s="1" t="s">
        <v>507</v>
      </c>
      <c r="F230" s="1">
        <v>2</v>
      </c>
      <c r="H230" s="1" t="s">
        <v>417</v>
      </c>
      <c r="J230" s="1" t="s">
        <v>421</v>
      </c>
      <c r="L230" s="1" t="s">
        <v>486</v>
      </c>
      <c r="P230" s="1" t="s">
        <v>169</v>
      </c>
      <c r="Q230" s="1" t="s">
        <v>499</v>
      </c>
    </row>
    <row r="231" spans="1:17">
      <c r="A231" s="1" t="s">
        <v>500</v>
      </c>
      <c r="B231" s="1">
        <v>512</v>
      </c>
      <c r="C231" s="1">
        <v>1</v>
      </c>
      <c r="D231" s="1" t="s">
        <v>505</v>
      </c>
      <c r="E231" s="1" t="s">
        <v>507</v>
      </c>
      <c r="F231" s="1">
        <v>5</v>
      </c>
      <c r="H231" s="1" t="s">
        <v>417</v>
      </c>
      <c r="J231" s="1" t="s">
        <v>421</v>
      </c>
      <c r="L231" s="1" t="s">
        <v>486</v>
      </c>
      <c r="P231" s="1" t="s">
        <v>169</v>
      </c>
      <c r="Q231" s="1" t="s">
        <v>501</v>
      </c>
    </row>
    <row r="232" spans="1:17">
      <c r="A232" s="1" t="s">
        <v>502</v>
      </c>
      <c r="B232" s="1">
        <v>513</v>
      </c>
      <c r="C232" s="1">
        <v>1</v>
      </c>
      <c r="D232" s="1" t="s">
        <v>505</v>
      </c>
      <c r="E232" s="1" t="s">
        <v>507</v>
      </c>
      <c r="F232" s="1">
        <v>7</v>
      </c>
      <c r="H232" s="1" t="s">
        <v>417</v>
      </c>
      <c r="J232" s="1" t="s">
        <v>421</v>
      </c>
      <c r="L232" s="1" t="s">
        <v>486</v>
      </c>
      <c r="P232" s="1" t="s">
        <v>169</v>
      </c>
      <c r="Q232" s="1" t="s">
        <v>226</v>
      </c>
    </row>
    <row r="233" spans="1:17">
      <c r="A233" s="1" t="s">
        <v>503</v>
      </c>
      <c r="B233" s="1">
        <v>514</v>
      </c>
      <c r="C233" s="1">
        <v>1</v>
      </c>
      <c r="D233" s="1" t="s">
        <v>505</v>
      </c>
      <c r="E233" s="1" t="s">
        <v>507</v>
      </c>
      <c r="F233" s="1">
        <v>3</v>
      </c>
      <c r="G233" s="1" t="b">
        <v>0</v>
      </c>
      <c r="H233" s="1" t="s">
        <v>417</v>
      </c>
      <c r="J233" s="1" t="s">
        <v>421</v>
      </c>
      <c r="L233" s="1" t="s">
        <v>486</v>
      </c>
      <c r="P233" s="1" t="s">
        <v>169</v>
      </c>
      <c r="Q233" s="1" t="s">
        <v>360</v>
      </c>
    </row>
    <row r="234" spans="1:17">
      <c r="A234" s="1" t="s">
        <v>504</v>
      </c>
      <c r="B234" s="1">
        <v>516</v>
      </c>
      <c r="C234" s="1">
        <v>1</v>
      </c>
      <c r="D234" s="1" t="s">
        <v>505</v>
      </c>
      <c r="E234" s="1" t="s">
        <v>508</v>
      </c>
      <c r="F234" s="1">
        <v>10</v>
      </c>
      <c r="H234" s="1" t="s">
        <v>417</v>
      </c>
      <c r="J234" s="1" t="s">
        <v>421</v>
      </c>
      <c r="L234" s="1" t="s">
        <v>486</v>
      </c>
      <c r="P234" s="1" t="s">
        <v>169</v>
      </c>
      <c r="Q234" s="1" t="s">
        <v>506</v>
      </c>
    </row>
    <row r="235" spans="1:17">
      <c r="A235" s="1" t="s">
        <v>509</v>
      </c>
      <c r="B235" s="1">
        <v>515</v>
      </c>
      <c r="C235" s="1">
        <v>1</v>
      </c>
      <c r="D235" s="1" t="s">
        <v>457</v>
      </c>
      <c r="E235" s="1" t="s">
        <v>510</v>
      </c>
      <c r="F235" s="1">
        <v>1</v>
      </c>
      <c r="P235" s="1" t="s">
        <v>169</v>
      </c>
      <c r="Q235" s="1" t="s">
        <v>169</v>
      </c>
    </row>
    <row r="236" spans="1:17">
      <c r="A236" s="1" t="s">
        <v>470</v>
      </c>
      <c r="B236" s="1">
        <v>550</v>
      </c>
      <c r="C236" s="1">
        <v>1</v>
      </c>
      <c r="D236" s="1" t="s">
        <v>494</v>
      </c>
      <c r="E236" s="1" t="s">
        <v>511</v>
      </c>
      <c r="F236" s="1">
        <v>12</v>
      </c>
      <c r="I236" s="1" t="s">
        <v>417</v>
      </c>
      <c r="P236" s="1" t="s">
        <v>169</v>
      </c>
      <c r="Q236" s="1" t="s">
        <v>472</v>
      </c>
    </row>
    <row r="237" spans="1:17">
      <c r="A237" s="1" t="s">
        <v>512</v>
      </c>
      <c r="B237" s="1">
        <v>551</v>
      </c>
      <c r="C237" s="1">
        <v>1</v>
      </c>
      <c r="D237" s="1" t="s">
        <v>494</v>
      </c>
      <c r="E237" s="1" t="s">
        <v>511</v>
      </c>
      <c r="F237" s="1">
        <v>5</v>
      </c>
      <c r="I237" s="1" t="s">
        <v>417</v>
      </c>
      <c r="P237" s="1" t="s">
        <v>169</v>
      </c>
      <c r="Q237" s="1" t="s">
        <v>513</v>
      </c>
    </row>
    <row r="238" spans="1:17">
      <c r="A238" s="1" t="s">
        <v>514</v>
      </c>
      <c r="B238" s="1">
        <v>552</v>
      </c>
      <c r="C238" s="1">
        <v>1</v>
      </c>
      <c r="D238" s="1" t="s">
        <v>494</v>
      </c>
      <c r="E238" s="1" t="s">
        <v>511</v>
      </c>
      <c r="F238" s="1">
        <v>7</v>
      </c>
      <c r="I238" s="1" t="s">
        <v>417</v>
      </c>
      <c r="P238" s="1" t="s">
        <v>169</v>
      </c>
      <c r="Q238" s="1" t="s">
        <v>226</v>
      </c>
    </row>
    <row r="239" spans="1:17">
      <c r="A239" s="1" t="s">
        <v>515</v>
      </c>
      <c r="B239" s="1">
        <v>553</v>
      </c>
      <c r="C239" s="1">
        <v>1</v>
      </c>
      <c r="D239" s="1" t="s">
        <v>494</v>
      </c>
      <c r="E239" s="1" t="s">
        <v>516</v>
      </c>
      <c r="F239" s="1">
        <v>2</v>
      </c>
      <c r="I239" s="1" t="s">
        <v>417</v>
      </c>
      <c r="P239" s="1" t="s">
        <v>169</v>
      </c>
      <c r="Q239" s="1" t="s">
        <v>230</v>
      </c>
    </row>
    <row r="240" spans="1:17">
      <c r="A240" s="1" t="s">
        <v>517</v>
      </c>
      <c r="B240" s="1">
        <v>554</v>
      </c>
      <c r="C240" s="1">
        <v>1</v>
      </c>
      <c r="D240" s="1" t="s">
        <v>494</v>
      </c>
      <c r="E240" s="1" t="s">
        <v>507</v>
      </c>
      <c r="F240" s="1">
        <v>2</v>
      </c>
      <c r="I240" s="1" t="s">
        <v>417</v>
      </c>
      <c r="P240" s="1" t="s">
        <v>169</v>
      </c>
      <c r="Q240" s="1" t="s">
        <v>230</v>
      </c>
    </row>
    <row r="241" spans="1:17">
      <c r="A241" s="1" t="s">
        <v>518</v>
      </c>
      <c r="B241" s="1">
        <v>555</v>
      </c>
      <c r="C241" s="1">
        <v>1</v>
      </c>
      <c r="D241" s="1" t="s">
        <v>507</v>
      </c>
      <c r="E241" s="1" t="s">
        <v>510</v>
      </c>
      <c r="F241" s="1">
        <v>2</v>
      </c>
      <c r="I241" s="1" t="s">
        <v>417</v>
      </c>
      <c r="P241" s="1" t="s">
        <v>169</v>
      </c>
      <c r="Q241" s="1" t="s">
        <v>230</v>
      </c>
    </row>
    <row r="242" spans="1:17">
      <c r="A242" s="1" t="s">
        <v>519</v>
      </c>
      <c r="B242" s="1">
        <v>556</v>
      </c>
      <c r="C242" s="1">
        <v>1</v>
      </c>
      <c r="D242" s="1" t="s">
        <v>510</v>
      </c>
      <c r="E242" s="1" t="s">
        <v>520</v>
      </c>
      <c r="F242" s="1">
        <v>2</v>
      </c>
      <c r="I242" s="1" t="s">
        <v>417</v>
      </c>
      <c r="P242" s="1" t="s">
        <v>169</v>
      </c>
      <c r="Q242" s="1" t="s">
        <v>230</v>
      </c>
    </row>
    <row r="243" spans="1:17">
      <c r="A243" s="1" t="s">
        <v>521</v>
      </c>
      <c r="B243" s="1">
        <v>557</v>
      </c>
      <c r="C243" s="1">
        <v>1</v>
      </c>
      <c r="D243" s="1" t="s">
        <v>520</v>
      </c>
      <c r="E243" s="1" t="s">
        <v>516</v>
      </c>
      <c r="F243" s="1">
        <v>2</v>
      </c>
      <c r="I243" s="1" t="s">
        <v>417</v>
      </c>
      <c r="P243" s="1" t="s">
        <v>169</v>
      </c>
      <c r="Q243" s="1" t="s">
        <v>230</v>
      </c>
    </row>
    <row r="244" spans="1:17">
      <c r="A244" s="1" t="s">
        <v>522</v>
      </c>
      <c r="B244" s="1">
        <v>558</v>
      </c>
      <c r="C244" s="1">
        <v>1</v>
      </c>
      <c r="D244" s="1" t="s">
        <v>516</v>
      </c>
      <c r="E244" s="1" t="s">
        <v>523</v>
      </c>
      <c r="F244" s="1">
        <v>2</v>
      </c>
      <c r="I244" s="1" t="s">
        <v>417</v>
      </c>
      <c r="P244" s="1" t="s">
        <v>169</v>
      </c>
      <c r="Q244" s="1" t="s">
        <v>230</v>
      </c>
    </row>
    <row r="245" spans="1:17">
      <c r="A245" s="1" t="s">
        <v>524</v>
      </c>
      <c r="B245" s="1">
        <v>559</v>
      </c>
      <c r="C245" s="1">
        <v>1</v>
      </c>
      <c r="D245" s="1" t="s">
        <v>523</v>
      </c>
      <c r="E245" s="1" t="s">
        <v>525</v>
      </c>
      <c r="F245" s="1">
        <v>2</v>
      </c>
      <c r="I245" s="1" t="s">
        <v>417</v>
      </c>
      <c r="P245" s="1" t="s">
        <v>169</v>
      </c>
      <c r="Q245" s="1" t="s">
        <v>230</v>
      </c>
    </row>
    <row r="246" spans="1:17">
      <c r="A246" s="1" t="s">
        <v>526</v>
      </c>
      <c r="B246" s="1">
        <v>560</v>
      </c>
      <c r="C246" s="1">
        <v>1</v>
      </c>
      <c r="D246" s="1" t="s">
        <v>525</v>
      </c>
      <c r="E246" s="1" t="s">
        <v>527</v>
      </c>
      <c r="F246" s="1">
        <v>2</v>
      </c>
      <c r="I246" s="1" t="s">
        <v>417</v>
      </c>
      <c r="P246" s="1" t="s">
        <v>169</v>
      </c>
      <c r="Q246" s="1" t="s">
        <v>230</v>
      </c>
    </row>
    <row r="247" spans="1:17">
      <c r="A247" s="1" t="s">
        <v>528</v>
      </c>
      <c r="B247" s="1">
        <v>561</v>
      </c>
      <c r="C247" s="1">
        <v>1</v>
      </c>
      <c r="D247" s="1" t="s">
        <v>527</v>
      </c>
      <c r="E247" s="1" t="s">
        <v>511</v>
      </c>
      <c r="F247" s="1">
        <v>2</v>
      </c>
      <c r="I247" s="1" t="s">
        <v>417</v>
      </c>
      <c r="P247" s="1" t="s">
        <v>169</v>
      </c>
      <c r="Q247" s="1" t="s">
        <v>230</v>
      </c>
    </row>
    <row r="248" spans="1:17">
      <c r="A248" s="1" t="s">
        <v>529</v>
      </c>
      <c r="B248" s="1">
        <v>562</v>
      </c>
      <c r="C248" s="1">
        <v>1</v>
      </c>
      <c r="D248" s="1" t="s">
        <v>516</v>
      </c>
      <c r="E248" s="1" t="s">
        <v>511</v>
      </c>
      <c r="F248" s="1">
        <v>18</v>
      </c>
      <c r="I248" s="1" t="s">
        <v>417</v>
      </c>
      <c r="P248" s="1" t="s">
        <v>169</v>
      </c>
      <c r="Q248" s="1" t="s">
        <v>230</v>
      </c>
    </row>
    <row r="249" spans="1:17">
      <c r="A249" s="1" t="s">
        <v>530</v>
      </c>
      <c r="B249" s="1">
        <v>563</v>
      </c>
      <c r="C249" s="1">
        <v>1</v>
      </c>
      <c r="D249" s="1" t="s">
        <v>494</v>
      </c>
      <c r="E249" s="1" t="s">
        <v>511</v>
      </c>
      <c r="F249" s="1">
        <v>11</v>
      </c>
      <c r="G249" s="1" t="b">
        <v>0</v>
      </c>
      <c r="I249" s="1" t="s">
        <v>417</v>
      </c>
      <c r="P249" s="1" t="s">
        <v>169</v>
      </c>
      <c r="Q249" s="1" t="s">
        <v>531</v>
      </c>
    </row>
    <row r="250" spans="1:17">
      <c r="A250" s="1" t="s">
        <v>532</v>
      </c>
      <c r="B250" s="1">
        <v>564</v>
      </c>
      <c r="C250" s="1">
        <v>1</v>
      </c>
      <c r="D250" s="1" t="s">
        <v>494</v>
      </c>
      <c r="E250" s="1" t="s">
        <v>511</v>
      </c>
      <c r="F250" s="1">
        <v>3</v>
      </c>
      <c r="G250" s="1" t="s">
        <v>168</v>
      </c>
      <c r="I250" s="1" t="s">
        <v>417</v>
      </c>
      <c r="P250" s="1" t="s">
        <v>169</v>
      </c>
      <c r="Q250" s="1" t="s">
        <v>242</v>
      </c>
    </row>
    <row r="251" spans="1:17">
      <c r="A251" s="1" t="s">
        <v>470</v>
      </c>
      <c r="B251" s="1">
        <v>565</v>
      </c>
      <c r="C251" s="1">
        <v>1</v>
      </c>
      <c r="D251" s="1" t="s">
        <v>507</v>
      </c>
      <c r="E251" s="1" t="s">
        <v>533</v>
      </c>
      <c r="F251" s="1">
        <v>12</v>
      </c>
      <c r="H251" s="1" t="s">
        <v>417</v>
      </c>
      <c r="P251" s="1" t="s">
        <v>169</v>
      </c>
      <c r="Q251" s="1" t="s">
        <v>472</v>
      </c>
    </row>
    <row r="252" spans="1:17">
      <c r="A252" s="1" t="s">
        <v>514</v>
      </c>
      <c r="B252" s="1">
        <v>566</v>
      </c>
      <c r="C252" s="1">
        <v>1</v>
      </c>
      <c r="D252" s="1" t="s">
        <v>507</v>
      </c>
      <c r="E252" s="1" t="s">
        <v>533</v>
      </c>
      <c r="F252" s="1">
        <v>7</v>
      </c>
      <c r="H252" s="1" t="s">
        <v>417</v>
      </c>
      <c r="P252" s="1" t="s">
        <v>169</v>
      </c>
      <c r="Q252" s="1" t="s">
        <v>226</v>
      </c>
    </row>
    <row r="253" spans="1:17">
      <c r="A253" s="1" t="s">
        <v>515</v>
      </c>
      <c r="B253" s="1">
        <v>567</v>
      </c>
      <c r="C253" s="1">
        <v>1</v>
      </c>
      <c r="D253" s="1" t="s">
        <v>507</v>
      </c>
      <c r="E253" s="1" t="s">
        <v>523</v>
      </c>
      <c r="F253" s="1">
        <v>2</v>
      </c>
      <c r="H253" s="1" t="s">
        <v>417</v>
      </c>
      <c r="J253" s="1" t="s">
        <v>429</v>
      </c>
      <c r="P253" s="1" t="s">
        <v>169</v>
      </c>
      <c r="Q253" s="1" t="s">
        <v>230</v>
      </c>
    </row>
    <row r="254" spans="1:17">
      <c r="A254" s="1" t="s">
        <v>530</v>
      </c>
      <c r="B254" s="1">
        <v>568</v>
      </c>
      <c r="C254" s="1">
        <v>1</v>
      </c>
      <c r="D254" s="1" t="s">
        <v>507</v>
      </c>
      <c r="E254" s="1" t="s">
        <v>533</v>
      </c>
      <c r="F254" s="1">
        <v>11</v>
      </c>
      <c r="G254" s="1" t="b">
        <v>0</v>
      </c>
      <c r="H254" s="1" t="s">
        <v>417</v>
      </c>
      <c r="J254" s="1" t="s">
        <v>429</v>
      </c>
      <c r="P254" s="1" t="s">
        <v>169</v>
      </c>
      <c r="Q254" s="1" t="s">
        <v>531</v>
      </c>
    </row>
    <row r="255" spans="1:17">
      <c r="A255" s="1" t="s">
        <v>532</v>
      </c>
      <c r="B255" s="1">
        <v>569</v>
      </c>
      <c r="C255" s="1">
        <v>1</v>
      </c>
      <c r="D255" s="1" t="s">
        <v>507</v>
      </c>
      <c r="E255" s="1" t="s">
        <v>533</v>
      </c>
      <c r="F255" s="1">
        <v>3</v>
      </c>
      <c r="G255" s="1" t="s">
        <v>168</v>
      </c>
      <c r="H255" s="1" t="s">
        <v>417</v>
      </c>
      <c r="J255" s="1" t="s">
        <v>429</v>
      </c>
      <c r="P255" s="1" t="s">
        <v>169</v>
      </c>
      <c r="Q255" s="1" t="s">
        <v>242</v>
      </c>
    </row>
    <row r="256" spans="1:17">
      <c r="A256" s="1" t="s">
        <v>534</v>
      </c>
      <c r="B256" s="1">
        <v>570</v>
      </c>
      <c r="C256" s="1">
        <v>1</v>
      </c>
      <c r="D256" s="1" t="s">
        <v>507</v>
      </c>
      <c r="E256" s="1" t="s">
        <v>533</v>
      </c>
      <c r="F256" s="1">
        <v>5</v>
      </c>
      <c r="H256" s="1" t="s">
        <v>417</v>
      </c>
      <c r="J256" s="1" t="s">
        <v>510</v>
      </c>
      <c r="K256" s="1" t="s">
        <v>348</v>
      </c>
      <c r="P256" s="1" t="s">
        <v>169</v>
      </c>
      <c r="Q256" s="1" t="s">
        <v>513</v>
      </c>
    </row>
    <row r="257" spans="1:17">
      <c r="A257" s="1" t="s">
        <v>535</v>
      </c>
      <c r="B257" s="1">
        <v>571</v>
      </c>
      <c r="C257" s="1">
        <v>1</v>
      </c>
      <c r="D257" s="1" t="s">
        <v>507</v>
      </c>
      <c r="E257" s="1" t="s">
        <v>533</v>
      </c>
      <c r="F257" s="1">
        <v>5</v>
      </c>
      <c r="H257" s="1" t="s">
        <v>417</v>
      </c>
      <c r="J257" s="1" t="s">
        <v>348</v>
      </c>
      <c r="K257" s="1" t="s">
        <v>309</v>
      </c>
      <c r="P257" s="1" t="s">
        <v>169</v>
      </c>
      <c r="Q257" s="1" t="s">
        <v>513</v>
      </c>
    </row>
    <row r="258" spans="1:17">
      <c r="A258" s="1" t="s">
        <v>536</v>
      </c>
      <c r="B258" s="1">
        <v>572</v>
      </c>
      <c r="C258" s="1">
        <v>1</v>
      </c>
      <c r="D258" s="1" t="s">
        <v>507</v>
      </c>
      <c r="E258" s="1" t="s">
        <v>533</v>
      </c>
      <c r="F258" s="1">
        <v>5</v>
      </c>
      <c r="H258" s="1" t="s">
        <v>417</v>
      </c>
      <c r="J258" s="1" t="s">
        <v>309</v>
      </c>
      <c r="P258" s="1" t="s">
        <v>169</v>
      </c>
      <c r="Q258" s="1" t="s">
        <v>513</v>
      </c>
    </row>
    <row r="259" spans="1:17">
      <c r="A259" s="1" t="s">
        <v>537</v>
      </c>
      <c r="B259" s="1">
        <v>573</v>
      </c>
      <c r="C259" s="1">
        <v>1</v>
      </c>
      <c r="D259" s="1" t="s">
        <v>523</v>
      </c>
      <c r="E259" s="1" t="s">
        <v>533</v>
      </c>
      <c r="F259" s="1">
        <v>18</v>
      </c>
      <c r="H259" s="1" t="s">
        <v>417</v>
      </c>
      <c r="J259" s="1" t="s">
        <v>429</v>
      </c>
      <c r="K259" s="1" t="s">
        <v>309</v>
      </c>
      <c r="P259" s="1" t="s">
        <v>169</v>
      </c>
      <c r="Q259" s="1" t="s">
        <v>230</v>
      </c>
    </row>
    <row r="260" spans="1:17">
      <c r="A260" s="1" t="s">
        <v>538</v>
      </c>
      <c r="B260" s="1">
        <v>574</v>
      </c>
      <c r="C260" s="1">
        <v>1</v>
      </c>
      <c r="D260" s="1" t="s">
        <v>523</v>
      </c>
      <c r="E260" s="1" t="s">
        <v>533</v>
      </c>
      <c r="F260" s="1">
        <v>18</v>
      </c>
      <c r="H260" s="1" t="s">
        <v>417</v>
      </c>
      <c r="J260" s="1" t="s">
        <v>309</v>
      </c>
      <c r="P260" s="1" t="s">
        <v>169</v>
      </c>
      <c r="Q260" s="1" t="s">
        <v>230</v>
      </c>
    </row>
    <row r="261" spans="1:17">
      <c r="A261" s="1" t="s">
        <v>539</v>
      </c>
      <c r="B261" s="1">
        <v>575</v>
      </c>
      <c r="C261" s="1">
        <v>1</v>
      </c>
      <c r="D261" s="1" t="s">
        <v>507</v>
      </c>
      <c r="E261" s="1" t="s">
        <v>510</v>
      </c>
      <c r="F261" s="1">
        <v>2</v>
      </c>
      <c r="H261" s="1" t="s">
        <v>417</v>
      </c>
      <c r="J261" s="1" t="s">
        <v>429</v>
      </c>
      <c r="K261" s="1" t="s">
        <v>309</v>
      </c>
      <c r="P261" s="1" t="s">
        <v>169</v>
      </c>
      <c r="Q261" s="1" t="s">
        <v>230</v>
      </c>
    </row>
    <row r="262" spans="1:17">
      <c r="A262" s="1" t="s">
        <v>540</v>
      </c>
      <c r="B262" s="1">
        <v>576</v>
      </c>
      <c r="C262" s="1">
        <v>1</v>
      </c>
      <c r="D262" s="1" t="s">
        <v>510</v>
      </c>
      <c r="E262" s="1" t="s">
        <v>520</v>
      </c>
      <c r="F262" s="1">
        <v>2</v>
      </c>
      <c r="H262" s="1" t="s">
        <v>417</v>
      </c>
      <c r="J262" s="1" t="s">
        <v>429</v>
      </c>
      <c r="K262" s="1" t="s">
        <v>309</v>
      </c>
      <c r="P262" s="1" t="s">
        <v>169</v>
      </c>
      <c r="Q262" s="1" t="s">
        <v>230</v>
      </c>
    </row>
    <row r="263" spans="1:17">
      <c r="A263" s="1" t="s">
        <v>541</v>
      </c>
      <c r="B263" s="1">
        <v>577</v>
      </c>
      <c r="C263" s="1">
        <v>1</v>
      </c>
      <c r="D263" s="1" t="s">
        <v>520</v>
      </c>
      <c r="E263" s="1" t="s">
        <v>516</v>
      </c>
      <c r="F263" s="1">
        <v>2</v>
      </c>
      <c r="H263" s="1" t="s">
        <v>417</v>
      </c>
      <c r="J263" s="1" t="s">
        <v>429</v>
      </c>
      <c r="K263" s="1" t="s">
        <v>309</v>
      </c>
      <c r="P263" s="1" t="s">
        <v>169</v>
      </c>
      <c r="Q263" s="1" t="s">
        <v>230</v>
      </c>
    </row>
    <row r="264" spans="1:17">
      <c r="A264" s="1" t="s">
        <v>542</v>
      </c>
      <c r="B264" s="1">
        <v>578</v>
      </c>
      <c r="C264" s="1">
        <v>1</v>
      </c>
      <c r="D264" s="1" t="s">
        <v>516</v>
      </c>
      <c r="E264" s="1" t="s">
        <v>523</v>
      </c>
      <c r="F264" s="1">
        <v>2</v>
      </c>
      <c r="H264" s="1" t="s">
        <v>417</v>
      </c>
      <c r="J264" s="1" t="s">
        <v>429</v>
      </c>
      <c r="K264" s="1" t="s">
        <v>309</v>
      </c>
      <c r="P264" s="1" t="s">
        <v>169</v>
      </c>
      <c r="Q264" s="1" t="s">
        <v>230</v>
      </c>
    </row>
    <row r="265" spans="1:17">
      <c r="A265" s="1" t="s">
        <v>543</v>
      </c>
      <c r="B265" s="1">
        <v>579</v>
      </c>
      <c r="C265" s="1">
        <v>1</v>
      </c>
      <c r="D265" s="1" t="s">
        <v>523</v>
      </c>
      <c r="E265" s="1" t="s">
        <v>525</v>
      </c>
      <c r="F265" s="1">
        <v>2</v>
      </c>
      <c r="H265" s="1" t="s">
        <v>417</v>
      </c>
      <c r="J265" s="1" t="s">
        <v>429</v>
      </c>
      <c r="K265" s="1" t="s">
        <v>309</v>
      </c>
      <c r="P265" s="1" t="s">
        <v>169</v>
      </c>
      <c r="Q265" s="1" t="s">
        <v>230</v>
      </c>
    </row>
    <row r="266" spans="1:17">
      <c r="A266" s="1" t="s">
        <v>544</v>
      </c>
      <c r="B266" s="1">
        <v>580</v>
      </c>
      <c r="C266" s="1">
        <v>1</v>
      </c>
      <c r="D266" s="1" t="s">
        <v>525</v>
      </c>
      <c r="E266" s="1" t="s">
        <v>527</v>
      </c>
      <c r="F266" s="1">
        <v>2</v>
      </c>
      <c r="H266" s="1" t="s">
        <v>417</v>
      </c>
      <c r="J266" s="1" t="s">
        <v>429</v>
      </c>
      <c r="K266" s="1" t="s">
        <v>309</v>
      </c>
      <c r="P266" s="1" t="s">
        <v>169</v>
      </c>
      <c r="Q266" s="1" t="s">
        <v>230</v>
      </c>
    </row>
    <row r="267" spans="1:17">
      <c r="A267" s="1" t="s">
        <v>545</v>
      </c>
      <c r="B267" s="1">
        <v>581</v>
      </c>
      <c r="C267" s="1">
        <v>1</v>
      </c>
      <c r="D267" s="1" t="s">
        <v>527</v>
      </c>
      <c r="E267" s="1" t="s">
        <v>511</v>
      </c>
      <c r="F267" s="1">
        <v>2</v>
      </c>
      <c r="H267" s="1" t="s">
        <v>417</v>
      </c>
      <c r="J267" s="1" t="s">
        <v>429</v>
      </c>
      <c r="K267" s="1" t="s">
        <v>309</v>
      </c>
      <c r="P267" s="1" t="s">
        <v>169</v>
      </c>
      <c r="Q267" s="1" t="s">
        <v>230</v>
      </c>
    </row>
    <row r="268" spans="1:17">
      <c r="A268" s="1" t="s">
        <v>546</v>
      </c>
      <c r="B268" s="1">
        <v>582</v>
      </c>
      <c r="C268" s="1">
        <v>1</v>
      </c>
      <c r="D268" s="1" t="s">
        <v>511</v>
      </c>
      <c r="E268" s="1" t="s">
        <v>533</v>
      </c>
      <c r="F268" s="1">
        <v>2</v>
      </c>
      <c r="H268" s="1" t="s">
        <v>417</v>
      </c>
      <c r="J268" s="1" t="s">
        <v>429</v>
      </c>
      <c r="K268" s="1" t="s">
        <v>309</v>
      </c>
      <c r="P268" s="1" t="s">
        <v>169</v>
      </c>
      <c r="Q268" s="1" t="s">
        <v>230</v>
      </c>
    </row>
    <row r="269" spans="1:17">
      <c r="A269" s="1" t="s">
        <v>547</v>
      </c>
      <c r="B269" s="1">
        <v>583</v>
      </c>
      <c r="C269" s="1">
        <v>1</v>
      </c>
      <c r="D269" s="1" t="s">
        <v>507</v>
      </c>
      <c r="E269" s="1" t="s">
        <v>510</v>
      </c>
      <c r="F269" s="1">
        <v>2</v>
      </c>
      <c r="H269" s="1" t="s">
        <v>417</v>
      </c>
      <c r="J269" s="1" t="s">
        <v>309</v>
      </c>
      <c r="P269" s="1" t="s">
        <v>169</v>
      </c>
      <c r="Q269" s="1" t="s">
        <v>230</v>
      </c>
    </row>
    <row r="270" spans="1:17">
      <c r="A270" s="1" t="s">
        <v>548</v>
      </c>
      <c r="B270" s="1">
        <v>584</v>
      </c>
      <c r="C270" s="1">
        <v>1</v>
      </c>
      <c r="D270" s="1" t="s">
        <v>510</v>
      </c>
      <c r="E270" s="1" t="s">
        <v>520</v>
      </c>
      <c r="F270" s="1">
        <v>2</v>
      </c>
      <c r="H270" s="1" t="s">
        <v>417</v>
      </c>
      <c r="J270" s="1" t="s">
        <v>309</v>
      </c>
      <c r="P270" s="1" t="s">
        <v>169</v>
      </c>
      <c r="Q270" s="1" t="s">
        <v>230</v>
      </c>
    </row>
    <row r="271" spans="1:17">
      <c r="A271" s="1" t="s">
        <v>549</v>
      </c>
      <c r="B271" s="1">
        <v>585</v>
      </c>
      <c r="C271" s="1">
        <v>1</v>
      </c>
      <c r="D271" s="1" t="s">
        <v>520</v>
      </c>
      <c r="E271" s="1" t="s">
        <v>516</v>
      </c>
      <c r="F271" s="1">
        <v>2</v>
      </c>
      <c r="H271" s="1" t="s">
        <v>417</v>
      </c>
      <c r="J271" s="1" t="s">
        <v>309</v>
      </c>
      <c r="P271" s="1" t="s">
        <v>169</v>
      </c>
      <c r="Q271" s="1" t="s">
        <v>230</v>
      </c>
    </row>
    <row r="272" spans="1:17">
      <c r="A272" s="1" t="s">
        <v>550</v>
      </c>
      <c r="B272" s="1">
        <v>586</v>
      </c>
      <c r="C272" s="1">
        <v>1</v>
      </c>
      <c r="D272" s="1" t="s">
        <v>516</v>
      </c>
      <c r="E272" s="1" t="s">
        <v>523</v>
      </c>
      <c r="F272" s="1">
        <v>2</v>
      </c>
      <c r="H272" s="1" t="s">
        <v>417</v>
      </c>
      <c r="J272" s="1" t="s">
        <v>309</v>
      </c>
      <c r="P272" s="1" t="s">
        <v>169</v>
      </c>
      <c r="Q272" s="1" t="s">
        <v>230</v>
      </c>
    </row>
    <row r="273" spans="1:17">
      <c r="A273" s="1" t="s">
        <v>551</v>
      </c>
      <c r="B273" s="1">
        <v>587</v>
      </c>
      <c r="C273" s="1">
        <v>1</v>
      </c>
      <c r="D273" s="1" t="s">
        <v>523</v>
      </c>
      <c r="E273" s="1" t="s">
        <v>525</v>
      </c>
      <c r="F273" s="1">
        <v>2</v>
      </c>
      <c r="H273" s="1" t="s">
        <v>417</v>
      </c>
      <c r="J273" s="1" t="s">
        <v>309</v>
      </c>
      <c r="P273" s="1" t="s">
        <v>169</v>
      </c>
      <c r="Q273" s="1" t="s">
        <v>230</v>
      </c>
    </row>
    <row r="274" spans="1:17">
      <c r="A274" s="1" t="s">
        <v>552</v>
      </c>
      <c r="B274" s="1">
        <v>588</v>
      </c>
      <c r="C274" s="1">
        <v>1</v>
      </c>
      <c r="D274" s="1" t="s">
        <v>525</v>
      </c>
      <c r="E274" s="1" t="s">
        <v>527</v>
      </c>
      <c r="F274" s="1">
        <v>2</v>
      </c>
      <c r="H274" s="1" t="s">
        <v>417</v>
      </c>
      <c r="J274" s="1" t="s">
        <v>309</v>
      </c>
      <c r="P274" s="1" t="s">
        <v>169</v>
      </c>
      <c r="Q274" s="1" t="s">
        <v>230</v>
      </c>
    </row>
    <row r="275" spans="1:17">
      <c r="A275" s="1" t="s">
        <v>553</v>
      </c>
      <c r="B275" s="1">
        <v>589</v>
      </c>
      <c r="C275" s="1">
        <v>1</v>
      </c>
      <c r="D275" s="1" t="s">
        <v>527</v>
      </c>
      <c r="E275" s="1" t="s">
        <v>511</v>
      </c>
      <c r="F275" s="1">
        <v>2</v>
      </c>
      <c r="H275" s="1" t="s">
        <v>417</v>
      </c>
      <c r="J275" s="1" t="s">
        <v>309</v>
      </c>
      <c r="P275" s="1" t="s">
        <v>169</v>
      </c>
      <c r="Q275" s="1" t="s">
        <v>230</v>
      </c>
    </row>
    <row r="276" spans="1:17">
      <c r="A276" s="1" t="s">
        <v>554</v>
      </c>
      <c r="B276" s="1">
        <v>590</v>
      </c>
      <c r="C276" s="1">
        <v>1</v>
      </c>
      <c r="D276" s="1" t="s">
        <v>511</v>
      </c>
      <c r="E276" s="1" t="s">
        <v>533</v>
      </c>
      <c r="F276" s="1">
        <v>2</v>
      </c>
      <c r="H276" s="1" t="s">
        <v>417</v>
      </c>
      <c r="J276" s="1" t="s">
        <v>309</v>
      </c>
      <c r="P276" s="1" t="s">
        <v>169</v>
      </c>
      <c r="Q276" s="1" t="s">
        <v>230</v>
      </c>
    </row>
    <row r="277" spans="1:17">
      <c r="A277" s="1" t="s">
        <v>555</v>
      </c>
      <c r="B277" s="1">
        <v>600</v>
      </c>
      <c r="C277" s="1">
        <v>1</v>
      </c>
      <c r="D277" s="1" t="s">
        <v>511</v>
      </c>
      <c r="E277" s="1" t="s">
        <v>556</v>
      </c>
      <c r="F277" s="1">
        <v>3</v>
      </c>
      <c r="I277" s="1" t="s">
        <v>417</v>
      </c>
      <c r="P277" s="1" t="s">
        <v>169</v>
      </c>
      <c r="Q277" s="1" t="s">
        <v>557</v>
      </c>
    </row>
    <row r="278" spans="1:17">
      <c r="A278" s="1" t="s">
        <v>555</v>
      </c>
      <c r="B278" s="1">
        <v>601</v>
      </c>
      <c r="C278" s="1">
        <v>1</v>
      </c>
      <c r="D278" s="1" t="s">
        <v>511</v>
      </c>
      <c r="E278" s="1" t="s">
        <v>556</v>
      </c>
      <c r="F278" s="1">
        <v>3</v>
      </c>
      <c r="I278" s="1" t="s">
        <v>417</v>
      </c>
      <c r="P278" s="1" t="s">
        <v>169</v>
      </c>
      <c r="Q278" s="1" t="s">
        <v>557</v>
      </c>
    </row>
    <row r="279" spans="1:17">
      <c r="A279" s="1" t="s">
        <v>555</v>
      </c>
      <c r="B279" s="1">
        <v>602</v>
      </c>
      <c r="C279" s="1">
        <v>1</v>
      </c>
      <c r="D279" s="1" t="s">
        <v>511</v>
      </c>
      <c r="E279" s="1" t="s">
        <v>556</v>
      </c>
      <c r="F279" s="1">
        <v>3</v>
      </c>
      <c r="I279" s="1" t="s">
        <v>417</v>
      </c>
      <c r="P279" s="1" t="s">
        <v>169</v>
      </c>
      <c r="Q279" s="1" t="s">
        <v>557</v>
      </c>
    </row>
    <row r="280" spans="1:17">
      <c r="A280" s="1" t="s">
        <v>558</v>
      </c>
      <c r="B280" s="1">
        <v>603</v>
      </c>
      <c r="C280" s="1">
        <v>1</v>
      </c>
      <c r="D280" s="1" t="s">
        <v>511</v>
      </c>
      <c r="E280" s="1" t="s">
        <v>556</v>
      </c>
      <c r="F280" s="1">
        <v>21</v>
      </c>
      <c r="I280" s="1" t="s">
        <v>417</v>
      </c>
      <c r="P280" s="1" t="s">
        <v>169</v>
      </c>
      <c r="Q280" s="1" t="s">
        <v>367</v>
      </c>
    </row>
    <row r="281" spans="1:17">
      <c r="A281" s="1" t="s">
        <v>559</v>
      </c>
      <c r="B281" s="1">
        <v>604</v>
      </c>
      <c r="C281" s="1">
        <v>1</v>
      </c>
      <c r="D281" s="1" t="s">
        <v>511</v>
      </c>
      <c r="E281" s="1" t="s">
        <v>556</v>
      </c>
      <c r="F281" s="1">
        <v>2</v>
      </c>
      <c r="I281" s="1" t="s">
        <v>417</v>
      </c>
      <c r="P281" s="1" t="s">
        <v>169</v>
      </c>
      <c r="Q281" s="1" t="s">
        <v>560</v>
      </c>
    </row>
    <row r="282" spans="1:17">
      <c r="A282" s="1" t="s">
        <v>561</v>
      </c>
      <c r="B282" s="1">
        <v>605</v>
      </c>
      <c r="C282" s="1">
        <v>1</v>
      </c>
      <c r="D282" s="1" t="s">
        <v>511</v>
      </c>
      <c r="E282" s="1" t="s">
        <v>533</v>
      </c>
      <c r="F282" s="1">
        <v>2</v>
      </c>
      <c r="I282" s="1" t="s">
        <v>417</v>
      </c>
      <c r="P282" s="1" t="s">
        <v>169</v>
      </c>
      <c r="Q282" s="1" t="s">
        <v>230</v>
      </c>
    </row>
    <row r="283" spans="1:17">
      <c r="A283" s="1" t="s">
        <v>562</v>
      </c>
      <c r="B283" s="1">
        <v>606</v>
      </c>
      <c r="C283" s="1">
        <v>1</v>
      </c>
      <c r="D283" s="1" t="s">
        <v>533</v>
      </c>
      <c r="E283" s="1" t="s">
        <v>563</v>
      </c>
      <c r="F283" s="1">
        <v>2</v>
      </c>
      <c r="I283" s="1" t="s">
        <v>417</v>
      </c>
      <c r="P283" s="1" t="s">
        <v>169</v>
      </c>
      <c r="Q283" s="1" t="s">
        <v>230</v>
      </c>
    </row>
    <row r="284" spans="1:17">
      <c r="A284" s="1" t="s">
        <v>564</v>
      </c>
      <c r="B284" s="1">
        <v>607</v>
      </c>
      <c r="C284" s="1">
        <v>1</v>
      </c>
      <c r="D284" s="1" t="s">
        <v>563</v>
      </c>
      <c r="E284" s="1" t="s">
        <v>556</v>
      </c>
      <c r="F284" s="1">
        <v>2</v>
      </c>
      <c r="I284" s="1" t="s">
        <v>417</v>
      </c>
      <c r="P284" s="1" t="s">
        <v>169</v>
      </c>
      <c r="Q284" s="1" t="s">
        <v>230</v>
      </c>
    </row>
    <row r="285" spans="1:17">
      <c r="A285" s="1" t="s">
        <v>555</v>
      </c>
      <c r="B285" s="1">
        <v>608</v>
      </c>
      <c r="C285" s="1">
        <v>1</v>
      </c>
      <c r="D285" s="1" t="s">
        <v>533</v>
      </c>
      <c r="E285" s="1" t="s">
        <v>565</v>
      </c>
      <c r="F285" s="1">
        <v>3</v>
      </c>
      <c r="H285" s="1" t="s">
        <v>417</v>
      </c>
      <c r="J285" s="1" t="s">
        <v>486</v>
      </c>
      <c r="P285" s="1" t="s">
        <v>169</v>
      </c>
      <c r="Q285" s="1" t="s">
        <v>557</v>
      </c>
    </row>
    <row r="286" spans="1:17">
      <c r="A286" s="1" t="s">
        <v>555</v>
      </c>
      <c r="B286" s="1">
        <v>609</v>
      </c>
      <c r="C286" s="1">
        <v>1</v>
      </c>
      <c r="D286" s="1" t="s">
        <v>533</v>
      </c>
      <c r="E286" s="1" t="s">
        <v>565</v>
      </c>
      <c r="F286" s="1">
        <v>3</v>
      </c>
      <c r="H286" s="1" t="s">
        <v>417</v>
      </c>
      <c r="J286" s="1" t="s">
        <v>486</v>
      </c>
      <c r="P286" s="1" t="s">
        <v>169</v>
      </c>
      <c r="Q286" s="1" t="s">
        <v>557</v>
      </c>
    </row>
    <row r="287" spans="1:17">
      <c r="A287" s="1" t="s">
        <v>555</v>
      </c>
      <c r="B287" s="1">
        <v>610</v>
      </c>
      <c r="C287" s="1">
        <v>1</v>
      </c>
      <c r="D287" s="1" t="s">
        <v>533</v>
      </c>
      <c r="E287" s="1" t="s">
        <v>565</v>
      </c>
      <c r="F287" s="1">
        <v>3</v>
      </c>
      <c r="H287" s="1" t="s">
        <v>417</v>
      </c>
      <c r="J287" s="1" t="s">
        <v>486</v>
      </c>
      <c r="P287" s="1" t="s">
        <v>169</v>
      </c>
      <c r="Q287" s="1" t="s">
        <v>557</v>
      </c>
    </row>
    <row r="288" spans="1:17">
      <c r="A288" s="1" t="s">
        <v>558</v>
      </c>
      <c r="B288" s="1">
        <v>611</v>
      </c>
      <c r="C288" s="1">
        <v>1</v>
      </c>
      <c r="D288" s="1" t="s">
        <v>533</v>
      </c>
      <c r="E288" s="1" t="s">
        <v>565</v>
      </c>
      <c r="F288" s="1">
        <v>21</v>
      </c>
      <c r="H288" s="1" t="s">
        <v>417</v>
      </c>
      <c r="J288" s="1" t="s">
        <v>486</v>
      </c>
      <c r="P288" s="1" t="s">
        <v>169</v>
      </c>
      <c r="Q288" s="1" t="s">
        <v>367</v>
      </c>
    </row>
    <row r="289" spans="1:17">
      <c r="A289" s="1" t="s">
        <v>559</v>
      </c>
      <c r="B289" s="1">
        <v>612</v>
      </c>
      <c r="C289" s="1">
        <v>1</v>
      </c>
      <c r="D289" s="1" t="s">
        <v>533</v>
      </c>
      <c r="E289" s="1" t="s">
        <v>565</v>
      </c>
      <c r="F289" s="1">
        <v>2</v>
      </c>
      <c r="H289" s="1" t="s">
        <v>417</v>
      </c>
      <c r="J289" s="1" t="s">
        <v>486</v>
      </c>
      <c r="P289" s="1" t="s">
        <v>169</v>
      </c>
      <c r="Q289" s="1" t="s">
        <v>560</v>
      </c>
    </row>
    <row r="290" spans="1:17">
      <c r="A290" s="1" t="s">
        <v>566</v>
      </c>
      <c r="B290" s="1">
        <v>613</v>
      </c>
      <c r="C290" s="1">
        <v>1</v>
      </c>
      <c r="D290" s="1" t="s">
        <v>533</v>
      </c>
      <c r="E290" s="1" t="s">
        <v>563</v>
      </c>
      <c r="F290" s="1">
        <v>2</v>
      </c>
      <c r="H290" s="1" t="s">
        <v>417</v>
      </c>
      <c r="J290" s="1" t="s">
        <v>323</v>
      </c>
      <c r="P290" s="1" t="s">
        <v>169</v>
      </c>
      <c r="Q290" s="1" t="s">
        <v>230</v>
      </c>
    </row>
    <row r="291" spans="1:17">
      <c r="A291" s="1" t="s">
        <v>567</v>
      </c>
      <c r="B291" s="1">
        <v>614</v>
      </c>
      <c r="C291" s="1">
        <v>1</v>
      </c>
      <c r="D291" s="1" t="s">
        <v>563</v>
      </c>
      <c r="E291" s="1" t="s">
        <v>556</v>
      </c>
      <c r="F291" s="1">
        <v>2</v>
      </c>
      <c r="H291" s="1" t="s">
        <v>417</v>
      </c>
      <c r="J291" s="1" t="s">
        <v>323</v>
      </c>
      <c r="P291" s="1" t="s">
        <v>169</v>
      </c>
      <c r="Q291" s="1" t="s">
        <v>230</v>
      </c>
    </row>
    <row r="292" spans="1:17">
      <c r="A292" s="1" t="s">
        <v>568</v>
      </c>
      <c r="B292" s="1">
        <v>615</v>
      </c>
      <c r="C292" s="1">
        <v>1</v>
      </c>
      <c r="D292" s="1" t="s">
        <v>556</v>
      </c>
      <c r="E292" s="1" t="s">
        <v>565</v>
      </c>
      <c r="F292" s="1">
        <v>2</v>
      </c>
      <c r="H292" s="1" t="s">
        <v>417</v>
      </c>
      <c r="J292" s="1" t="s">
        <v>323</v>
      </c>
      <c r="P292" s="1" t="s">
        <v>169</v>
      </c>
      <c r="Q292" s="1" t="s">
        <v>230</v>
      </c>
    </row>
    <row r="293" spans="1:17">
      <c r="A293" s="1" t="s">
        <v>569</v>
      </c>
      <c r="B293" s="1">
        <v>616</v>
      </c>
      <c r="C293" s="1">
        <v>1</v>
      </c>
      <c r="D293" s="1" t="s">
        <v>533</v>
      </c>
      <c r="E293" s="1" t="s">
        <v>563</v>
      </c>
      <c r="F293" s="1">
        <v>2</v>
      </c>
      <c r="H293" s="1" t="s">
        <v>417</v>
      </c>
      <c r="J293" s="1" t="s">
        <v>486</v>
      </c>
      <c r="K293" s="1" t="s">
        <v>323</v>
      </c>
      <c r="P293" s="1" t="s">
        <v>169</v>
      </c>
      <c r="Q293" s="1" t="s">
        <v>230</v>
      </c>
    </row>
    <row r="294" spans="1:17">
      <c r="A294" s="1" t="s">
        <v>570</v>
      </c>
      <c r="B294" s="1">
        <v>617</v>
      </c>
      <c r="C294" s="1">
        <v>1</v>
      </c>
      <c r="D294" s="1" t="s">
        <v>563</v>
      </c>
      <c r="E294" s="1" t="s">
        <v>556</v>
      </c>
      <c r="F294" s="1">
        <v>2</v>
      </c>
      <c r="H294" s="1" t="s">
        <v>417</v>
      </c>
      <c r="J294" s="1" t="s">
        <v>486</v>
      </c>
      <c r="K294" s="1" t="s">
        <v>323</v>
      </c>
      <c r="P294" s="1" t="s">
        <v>169</v>
      </c>
      <c r="Q294" s="1" t="s">
        <v>230</v>
      </c>
    </row>
    <row r="295" spans="1:17">
      <c r="A295" s="1" t="s">
        <v>571</v>
      </c>
      <c r="B295" s="1">
        <v>618</v>
      </c>
      <c r="C295" s="1">
        <v>1</v>
      </c>
      <c r="D295" s="1" t="s">
        <v>556</v>
      </c>
      <c r="E295" s="1" t="s">
        <v>565</v>
      </c>
      <c r="F295" s="1">
        <v>2</v>
      </c>
      <c r="H295" s="1" t="s">
        <v>417</v>
      </c>
      <c r="J295" s="1" t="s">
        <v>486</v>
      </c>
      <c r="K295" s="1" t="s">
        <v>323</v>
      </c>
      <c r="P295" s="1" t="s">
        <v>169</v>
      </c>
      <c r="Q295" s="1" t="s">
        <v>230</v>
      </c>
    </row>
    <row r="296" spans="1:17">
      <c r="A296" s="1" t="s">
        <v>555</v>
      </c>
      <c r="B296" s="1">
        <v>620</v>
      </c>
      <c r="C296" s="1">
        <v>1</v>
      </c>
      <c r="D296" s="1" t="s">
        <v>481</v>
      </c>
      <c r="E296" s="1" t="s">
        <v>494</v>
      </c>
      <c r="F296" s="1">
        <v>3</v>
      </c>
      <c r="I296" s="1" t="s">
        <v>417</v>
      </c>
      <c r="P296" s="1" t="s">
        <v>169</v>
      </c>
      <c r="Q296" s="1" t="s">
        <v>557</v>
      </c>
    </row>
    <row r="297" spans="1:17">
      <c r="A297" s="1" t="s">
        <v>555</v>
      </c>
      <c r="B297" s="1">
        <v>621</v>
      </c>
      <c r="C297" s="1">
        <v>1</v>
      </c>
      <c r="D297" s="1" t="s">
        <v>481</v>
      </c>
      <c r="E297" s="1" t="s">
        <v>494</v>
      </c>
      <c r="F297" s="1">
        <v>3</v>
      </c>
      <c r="I297" s="1" t="s">
        <v>417</v>
      </c>
      <c r="P297" s="1" t="s">
        <v>169</v>
      </c>
      <c r="Q297" s="1" t="s">
        <v>557</v>
      </c>
    </row>
    <row r="298" spans="1:17">
      <c r="A298" s="1" t="s">
        <v>555</v>
      </c>
      <c r="B298" s="1">
        <v>622</v>
      </c>
      <c r="C298" s="1">
        <v>1</v>
      </c>
      <c r="D298" s="1" t="s">
        <v>481</v>
      </c>
      <c r="E298" s="1" t="s">
        <v>494</v>
      </c>
      <c r="F298" s="1">
        <v>3</v>
      </c>
      <c r="I298" s="1" t="s">
        <v>417</v>
      </c>
      <c r="P298" s="1" t="s">
        <v>169</v>
      </c>
      <c r="Q298" s="1" t="s">
        <v>557</v>
      </c>
    </row>
    <row r="299" spans="1:17">
      <c r="A299" s="1" t="s">
        <v>558</v>
      </c>
      <c r="B299" s="1">
        <v>623</v>
      </c>
      <c r="C299" s="1">
        <v>1</v>
      </c>
      <c r="D299" s="1" t="s">
        <v>481</v>
      </c>
      <c r="E299" s="1" t="s">
        <v>494</v>
      </c>
      <c r="F299" s="1">
        <v>21</v>
      </c>
      <c r="I299" s="1" t="s">
        <v>417</v>
      </c>
      <c r="P299" s="1" t="s">
        <v>169</v>
      </c>
      <c r="Q299" s="1" t="s">
        <v>367</v>
      </c>
    </row>
    <row r="300" spans="1:17">
      <c r="A300" s="1" t="s">
        <v>561</v>
      </c>
      <c r="B300" s="1">
        <v>624</v>
      </c>
      <c r="C300" s="1">
        <v>1</v>
      </c>
      <c r="D300" s="1" t="s">
        <v>481</v>
      </c>
      <c r="E300" s="1" t="s">
        <v>505</v>
      </c>
      <c r="F300" s="1">
        <v>2</v>
      </c>
      <c r="I300" s="1" t="s">
        <v>417</v>
      </c>
      <c r="P300" s="1" t="s">
        <v>169</v>
      </c>
      <c r="Q300" s="1" t="s">
        <v>230</v>
      </c>
    </row>
    <row r="301" spans="1:17">
      <c r="A301" s="1" t="s">
        <v>562</v>
      </c>
      <c r="B301" s="1">
        <v>625</v>
      </c>
      <c r="C301" s="1">
        <v>1</v>
      </c>
      <c r="D301" s="1" t="s">
        <v>505</v>
      </c>
      <c r="E301" s="1" t="s">
        <v>508</v>
      </c>
      <c r="F301" s="1">
        <v>2</v>
      </c>
      <c r="I301" s="1" t="s">
        <v>417</v>
      </c>
      <c r="P301" s="1" t="s">
        <v>169</v>
      </c>
      <c r="Q301" s="1" t="s">
        <v>230</v>
      </c>
    </row>
    <row r="302" spans="1:17">
      <c r="A302" s="1" t="s">
        <v>564</v>
      </c>
      <c r="B302" s="1">
        <v>626</v>
      </c>
      <c r="C302" s="1">
        <v>1</v>
      </c>
      <c r="D302" s="1" t="s">
        <v>508</v>
      </c>
      <c r="E302" s="1" t="s">
        <v>494</v>
      </c>
      <c r="F302" s="1">
        <v>2</v>
      </c>
      <c r="I302" s="1" t="s">
        <v>417</v>
      </c>
      <c r="P302" s="1" t="s">
        <v>169</v>
      </c>
      <c r="Q302" s="1" t="s">
        <v>230</v>
      </c>
    </row>
    <row r="303" spans="1:17">
      <c r="A303" s="1" t="s">
        <v>572</v>
      </c>
      <c r="B303" s="1">
        <v>650</v>
      </c>
      <c r="C303" s="1">
        <v>1</v>
      </c>
      <c r="D303" s="1" t="s">
        <v>573</v>
      </c>
      <c r="E303" s="1" t="s">
        <v>574</v>
      </c>
      <c r="F303" s="1">
        <v>21</v>
      </c>
      <c r="I303" s="1" t="s">
        <v>417</v>
      </c>
      <c r="P303" s="1" t="s">
        <v>169</v>
      </c>
      <c r="Q303" s="1" t="s">
        <v>367</v>
      </c>
    </row>
    <row r="304" spans="1:17">
      <c r="A304" s="1" t="s">
        <v>575</v>
      </c>
      <c r="B304" s="1">
        <v>652</v>
      </c>
      <c r="C304" s="1">
        <v>1</v>
      </c>
      <c r="D304" s="1" t="s">
        <v>573</v>
      </c>
      <c r="E304" s="1" t="s">
        <v>574</v>
      </c>
      <c r="F304" s="1">
        <v>7</v>
      </c>
      <c r="I304" s="1" t="s">
        <v>417</v>
      </c>
      <c r="P304" s="1" t="s">
        <v>169</v>
      </c>
      <c r="Q304" s="1" t="s">
        <v>576</v>
      </c>
    </row>
    <row r="305" spans="1:17">
      <c r="A305" s="1" t="s">
        <v>577</v>
      </c>
      <c r="B305" s="1">
        <v>653</v>
      </c>
      <c r="C305" s="1">
        <v>1</v>
      </c>
      <c r="D305" s="1" t="s">
        <v>573</v>
      </c>
      <c r="E305" s="1" t="s">
        <v>574</v>
      </c>
      <c r="F305" s="1">
        <v>9</v>
      </c>
      <c r="I305" s="1" t="s">
        <v>417</v>
      </c>
      <c r="P305" s="1" t="s">
        <v>169</v>
      </c>
      <c r="Q305" s="1" t="s">
        <v>578</v>
      </c>
    </row>
    <row r="306" spans="1:17">
      <c r="A306" s="1" t="s">
        <v>579</v>
      </c>
      <c r="B306" s="1">
        <v>663</v>
      </c>
      <c r="C306" s="1">
        <v>1</v>
      </c>
      <c r="D306" s="1" t="s">
        <v>573</v>
      </c>
      <c r="E306" s="1" t="s">
        <v>574</v>
      </c>
      <c r="F306" s="1">
        <v>3</v>
      </c>
      <c r="G306" s="1" t="s">
        <v>168</v>
      </c>
      <c r="I306" s="1" t="s">
        <v>417</v>
      </c>
      <c r="P306" s="1" t="s">
        <v>169</v>
      </c>
      <c r="Q306" s="1" t="s">
        <v>242</v>
      </c>
    </row>
    <row r="307" spans="1:17">
      <c r="A307" s="1" t="s">
        <v>580</v>
      </c>
      <c r="B307" s="1">
        <v>654</v>
      </c>
      <c r="C307" s="1">
        <v>1</v>
      </c>
      <c r="D307" s="1" t="s">
        <v>573</v>
      </c>
      <c r="E307" s="1" t="s">
        <v>581</v>
      </c>
      <c r="F307" s="1">
        <v>2</v>
      </c>
      <c r="I307" s="1" t="s">
        <v>417</v>
      </c>
      <c r="P307" s="1" t="s">
        <v>169</v>
      </c>
      <c r="Q307" s="1" t="s">
        <v>230</v>
      </c>
    </row>
    <row r="308" spans="1:17">
      <c r="A308" s="1" t="s">
        <v>582</v>
      </c>
      <c r="B308" s="1">
        <v>655</v>
      </c>
      <c r="C308" s="1">
        <v>1</v>
      </c>
      <c r="D308" s="1" t="s">
        <v>581</v>
      </c>
      <c r="E308" s="1" t="s">
        <v>583</v>
      </c>
      <c r="F308" s="1">
        <v>2</v>
      </c>
      <c r="I308" s="1" t="s">
        <v>417</v>
      </c>
      <c r="P308" s="1" t="s">
        <v>169</v>
      </c>
      <c r="Q308" s="1" t="s">
        <v>230</v>
      </c>
    </row>
    <row r="309" spans="1:17">
      <c r="A309" s="1" t="s">
        <v>584</v>
      </c>
      <c r="B309" s="1">
        <v>656</v>
      </c>
      <c r="C309" s="1">
        <v>1</v>
      </c>
      <c r="D309" s="1" t="s">
        <v>583</v>
      </c>
      <c r="E309" s="1" t="s">
        <v>574</v>
      </c>
      <c r="F309" s="1">
        <v>2</v>
      </c>
      <c r="I309" s="1" t="s">
        <v>417</v>
      </c>
      <c r="P309" s="1" t="s">
        <v>169</v>
      </c>
      <c r="Q309" s="1" t="s">
        <v>230</v>
      </c>
    </row>
    <row r="310" spans="1:17">
      <c r="A310" s="1" t="s">
        <v>575</v>
      </c>
      <c r="B310" s="1">
        <v>701</v>
      </c>
      <c r="C310" s="1">
        <v>1</v>
      </c>
      <c r="D310" s="1" t="s">
        <v>583</v>
      </c>
      <c r="E310" s="1" t="s">
        <v>585</v>
      </c>
      <c r="F310" s="1">
        <v>7</v>
      </c>
      <c r="H310" s="1" t="s">
        <v>417</v>
      </c>
      <c r="J310" s="1" t="s">
        <v>516</v>
      </c>
      <c r="L310" s="1" t="s">
        <v>586</v>
      </c>
      <c r="P310" s="1" t="s">
        <v>169</v>
      </c>
      <c r="Q310" s="1" t="s">
        <v>576</v>
      </c>
    </row>
    <row r="311" spans="1:17">
      <c r="A311" s="1" t="s">
        <v>587</v>
      </c>
      <c r="B311" s="1">
        <v>702</v>
      </c>
      <c r="C311" s="1">
        <v>1</v>
      </c>
      <c r="D311" s="1" t="s">
        <v>583</v>
      </c>
      <c r="E311" s="1" t="s">
        <v>585</v>
      </c>
      <c r="F311" s="1">
        <v>21</v>
      </c>
      <c r="H311" s="1" t="s">
        <v>417</v>
      </c>
      <c r="J311" s="1" t="s">
        <v>516</v>
      </c>
      <c r="K311" s="1" t="s">
        <v>416</v>
      </c>
      <c r="L311" s="1" t="s">
        <v>586</v>
      </c>
      <c r="P311" s="1" t="s">
        <v>169</v>
      </c>
      <c r="Q311" s="1" t="s">
        <v>367</v>
      </c>
    </row>
    <row r="312" spans="1:17">
      <c r="A312" s="1" t="s">
        <v>588</v>
      </c>
      <c r="B312" s="1">
        <v>703</v>
      </c>
      <c r="C312" s="1">
        <v>1</v>
      </c>
      <c r="D312" s="1" t="s">
        <v>583</v>
      </c>
      <c r="E312" s="1" t="s">
        <v>585</v>
      </c>
      <c r="F312" s="1">
        <v>21</v>
      </c>
      <c r="H312" s="1" t="s">
        <v>417</v>
      </c>
      <c r="J312" s="1" t="s">
        <v>416</v>
      </c>
      <c r="K312" s="1" t="s">
        <v>291</v>
      </c>
      <c r="L312" s="1" t="s">
        <v>586</v>
      </c>
      <c r="P312" s="1" t="s">
        <v>169</v>
      </c>
      <c r="Q312" s="1" t="s">
        <v>367</v>
      </c>
    </row>
    <row r="313" spans="1:17">
      <c r="A313" s="1" t="s">
        <v>589</v>
      </c>
      <c r="B313" s="1">
        <v>704</v>
      </c>
      <c r="C313" s="1">
        <v>1</v>
      </c>
      <c r="D313" s="1" t="s">
        <v>583</v>
      </c>
      <c r="E313" s="1" t="s">
        <v>585</v>
      </c>
      <c r="F313" s="1">
        <v>21</v>
      </c>
      <c r="H313" s="1" t="s">
        <v>417</v>
      </c>
      <c r="J313" s="1" t="s">
        <v>291</v>
      </c>
      <c r="L313" s="1" t="s">
        <v>586</v>
      </c>
      <c r="P313" s="1" t="s">
        <v>169</v>
      </c>
      <c r="Q313" s="1" t="s">
        <v>367</v>
      </c>
    </row>
    <row r="314" spans="1:17">
      <c r="A314" s="1" t="s">
        <v>590</v>
      </c>
      <c r="B314" s="1">
        <v>705</v>
      </c>
      <c r="C314" s="1">
        <v>1</v>
      </c>
      <c r="D314" s="1" t="s">
        <v>583</v>
      </c>
      <c r="E314" s="1" t="s">
        <v>585</v>
      </c>
      <c r="F314" s="1">
        <v>9</v>
      </c>
      <c r="H314" s="1" t="s">
        <v>417</v>
      </c>
      <c r="J314" s="1" t="s">
        <v>516</v>
      </c>
      <c r="K314" s="1" t="s">
        <v>466</v>
      </c>
      <c r="L314" s="1" t="s">
        <v>586</v>
      </c>
      <c r="P314" s="1" t="s">
        <v>169</v>
      </c>
      <c r="Q314" s="1" t="s">
        <v>578</v>
      </c>
    </row>
    <row r="315" spans="1:17">
      <c r="A315" s="1" t="s">
        <v>591</v>
      </c>
      <c r="B315" s="1">
        <v>706</v>
      </c>
      <c r="C315" s="1">
        <v>1</v>
      </c>
      <c r="D315" s="1" t="s">
        <v>583</v>
      </c>
      <c r="E315" s="1" t="s">
        <v>585</v>
      </c>
      <c r="F315" s="1">
        <v>9</v>
      </c>
      <c r="H315" s="1" t="s">
        <v>417</v>
      </c>
      <c r="J315" s="1" t="s">
        <v>466</v>
      </c>
      <c r="L315" s="1" t="s">
        <v>586</v>
      </c>
      <c r="P315" s="1" t="s">
        <v>169</v>
      </c>
      <c r="Q315" s="1" t="s">
        <v>578</v>
      </c>
    </row>
    <row r="316" spans="1:17">
      <c r="A316" s="1" t="s">
        <v>579</v>
      </c>
      <c r="B316" s="1">
        <v>740</v>
      </c>
      <c r="C316" s="1">
        <v>1</v>
      </c>
      <c r="D316" s="1" t="s">
        <v>583</v>
      </c>
      <c r="E316" s="1" t="s">
        <v>585</v>
      </c>
      <c r="F316" s="1">
        <v>3</v>
      </c>
      <c r="G316" s="1" t="s">
        <v>168</v>
      </c>
      <c r="H316" s="1" t="s">
        <v>417</v>
      </c>
      <c r="J316" s="1" t="s">
        <v>520</v>
      </c>
      <c r="L316" s="1" t="s">
        <v>586</v>
      </c>
      <c r="P316" s="1" t="s">
        <v>169</v>
      </c>
      <c r="Q316" s="1" t="s">
        <v>242</v>
      </c>
    </row>
    <row r="317" spans="1:17">
      <c r="A317" s="1" t="s">
        <v>592</v>
      </c>
      <c r="B317" s="1">
        <v>707</v>
      </c>
      <c r="C317" s="1">
        <v>1</v>
      </c>
      <c r="D317" s="1" t="s">
        <v>583</v>
      </c>
      <c r="E317" s="1" t="s">
        <v>574</v>
      </c>
      <c r="F317" s="1">
        <v>2</v>
      </c>
      <c r="H317" s="1" t="s">
        <v>417</v>
      </c>
      <c r="J317" s="1" t="s">
        <v>516</v>
      </c>
      <c r="K317" s="1" t="s">
        <v>416</v>
      </c>
      <c r="L317" s="1" t="s">
        <v>586</v>
      </c>
      <c r="P317" s="1" t="s">
        <v>169</v>
      </c>
      <c r="Q317" s="1" t="s">
        <v>230</v>
      </c>
    </row>
    <row r="318" spans="1:17">
      <c r="A318" s="1" t="s">
        <v>593</v>
      </c>
      <c r="B318" s="1">
        <v>708</v>
      </c>
      <c r="C318" s="1">
        <v>1</v>
      </c>
      <c r="D318" s="1" t="s">
        <v>574</v>
      </c>
      <c r="E318" s="1" t="s">
        <v>594</v>
      </c>
      <c r="F318" s="1">
        <v>2</v>
      </c>
      <c r="H318" s="1" t="s">
        <v>417</v>
      </c>
      <c r="J318" s="1" t="s">
        <v>516</v>
      </c>
      <c r="K318" s="1" t="s">
        <v>416</v>
      </c>
      <c r="L318" s="1" t="s">
        <v>586</v>
      </c>
      <c r="P318" s="1" t="s">
        <v>169</v>
      </c>
      <c r="Q318" s="1" t="s">
        <v>230</v>
      </c>
    </row>
    <row r="319" spans="1:17">
      <c r="A319" s="1" t="s">
        <v>595</v>
      </c>
      <c r="B319" s="1">
        <v>709</v>
      </c>
      <c r="C319" s="1">
        <v>1</v>
      </c>
      <c r="D319" s="1" t="s">
        <v>594</v>
      </c>
      <c r="E319" s="1" t="s">
        <v>585</v>
      </c>
      <c r="F319" s="1">
        <v>2</v>
      </c>
      <c r="H319" s="1" t="s">
        <v>417</v>
      </c>
      <c r="J319" s="1" t="s">
        <v>516</v>
      </c>
      <c r="K319" s="1" t="s">
        <v>416</v>
      </c>
      <c r="L319" s="1" t="s">
        <v>586</v>
      </c>
      <c r="P319" s="1" t="s">
        <v>169</v>
      </c>
      <c r="Q319" s="1" t="s">
        <v>230</v>
      </c>
    </row>
    <row r="320" spans="1:17">
      <c r="A320" s="1" t="s">
        <v>596</v>
      </c>
      <c r="B320" s="1">
        <v>712</v>
      </c>
      <c r="C320" s="1">
        <v>1</v>
      </c>
      <c r="D320" s="1" t="s">
        <v>583</v>
      </c>
      <c r="E320" s="1" t="s">
        <v>574</v>
      </c>
      <c r="F320" s="1">
        <v>2</v>
      </c>
      <c r="H320" s="1" t="s">
        <v>417</v>
      </c>
      <c r="J320" s="1" t="s">
        <v>416</v>
      </c>
      <c r="K320" s="1" t="s">
        <v>291</v>
      </c>
      <c r="L320" s="1" t="s">
        <v>586</v>
      </c>
      <c r="P320" s="1" t="s">
        <v>169</v>
      </c>
      <c r="Q320" s="1" t="s">
        <v>230</v>
      </c>
    </row>
    <row r="321" spans="1:17">
      <c r="A321" s="1" t="s">
        <v>597</v>
      </c>
      <c r="B321" s="1">
        <v>713</v>
      </c>
      <c r="C321" s="1">
        <v>1</v>
      </c>
      <c r="D321" s="1" t="s">
        <v>574</v>
      </c>
      <c r="E321" s="1" t="s">
        <v>594</v>
      </c>
      <c r="F321" s="1">
        <v>2</v>
      </c>
      <c r="H321" s="1" t="s">
        <v>417</v>
      </c>
      <c r="J321" s="1" t="s">
        <v>416</v>
      </c>
      <c r="K321" s="1" t="s">
        <v>291</v>
      </c>
      <c r="L321" s="1" t="s">
        <v>586</v>
      </c>
      <c r="P321" s="1" t="s">
        <v>169</v>
      </c>
      <c r="Q321" s="1" t="s">
        <v>230</v>
      </c>
    </row>
    <row r="322" spans="1:17">
      <c r="A322" s="1" t="s">
        <v>598</v>
      </c>
      <c r="B322" s="1">
        <v>714</v>
      </c>
      <c r="C322" s="1">
        <v>1</v>
      </c>
      <c r="D322" s="1" t="s">
        <v>594</v>
      </c>
      <c r="E322" s="1" t="s">
        <v>585</v>
      </c>
      <c r="F322" s="1">
        <v>2</v>
      </c>
      <c r="H322" s="1" t="s">
        <v>417</v>
      </c>
      <c r="J322" s="1" t="s">
        <v>416</v>
      </c>
      <c r="K322" s="1" t="s">
        <v>291</v>
      </c>
      <c r="L322" s="1" t="s">
        <v>586</v>
      </c>
      <c r="P322" s="1" t="s">
        <v>169</v>
      </c>
      <c r="Q322" s="1" t="s">
        <v>230</v>
      </c>
    </row>
    <row r="323" spans="1:17">
      <c r="A323" s="1" t="s">
        <v>599</v>
      </c>
      <c r="B323" s="1">
        <v>717</v>
      </c>
      <c r="C323" s="1">
        <v>1</v>
      </c>
      <c r="D323" s="1" t="s">
        <v>583</v>
      </c>
      <c r="E323" s="1" t="s">
        <v>574</v>
      </c>
      <c r="F323" s="1">
        <v>2</v>
      </c>
      <c r="H323" s="1" t="s">
        <v>417</v>
      </c>
      <c r="J323" s="1" t="s">
        <v>291</v>
      </c>
      <c r="L323" s="1" t="s">
        <v>586</v>
      </c>
      <c r="P323" s="1" t="s">
        <v>169</v>
      </c>
      <c r="Q323" s="1" t="s">
        <v>230</v>
      </c>
    </row>
    <row r="324" spans="1:17">
      <c r="A324" s="1" t="s">
        <v>600</v>
      </c>
      <c r="B324" s="1">
        <v>718</v>
      </c>
      <c r="C324" s="1">
        <v>1</v>
      </c>
      <c r="D324" s="1" t="s">
        <v>574</v>
      </c>
      <c r="E324" s="1" t="s">
        <v>594</v>
      </c>
      <c r="F324" s="1">
        <v>2</v>
      </c>
      <c r="H324" s="1" t="s">
        <v>417</v>
      </c>
      <c r="J324" s="1" t="s">
        <v>291</v>
      </c>
      <c r="L324" s="1" t="s">
        <v>586</v>
      </c>
      <c r="P324" s="1" t="s">
        <v>169</v>
      </c>
      <c r="Q324" s="1" t="s">
        <v>230</v>
      </c>
    </row>
    <row r="325" spans="1:17">
      <c r="A325" s="1" t="s">
        <v>601</v>
      </c>
      <c r="B325" s="1">
        <v>719</v>
      </c>
      <c r="C325" s="1">
        <v>1</v>
      </c>
      <c r="D325" s="1" t="s">
        <v>594</v>
      </c>
      <c r="E325" s="1" t="s">
        <v>585</v>
      </c>
      <c r="F325" s="1">
        <v>2</v>
      </c>
      <c r="H325" s="1" t="s">
        <v>417</v>
      </c>
      <c r="J325" s="1" t="s">
        <v>291</v>
      </c>
      <c r="L325" s="1" t="s">
        <v>586</v>
      </c>
      <c r="P325" s="1" t="s">
        <v>169</v>
      </c>
      <c r="Q325" s="1" t="s">
        <v>230</v>
      </c>
    </row>
    <row r="326" spans="1:17">
      <c r="A326" s="1" t="s">
        <v>602</v>
      </c>
      <c r="B326" s="1">
        <v>750</v>
      </c>
      <c r="C326" s="1">
        <v>1</v>
      </c>
      <c r="D326" s="1" t="s">
        <v>603</v>
      </c>
      <c r="E326" s="1" t="s">
        <v>604</v>
      </c>
      <c r="F326" s="1">
        <v>11</v>
      </c>
      <c r="I326" s="1" t="s">
        <v>417</v>
      </c>
      <c r="P326" s="1" t="s">
        <v>169</v>
      </c>
      <c r="Q326" s="1" t="s">
        <v>605</v>
      </c>
    </row>
    <row r="327" spans="1:17">
      <c r="A327" s="1" t="s">
        <v>606</v>
      </c>
      <c r="B327" s="1">
        <v>751</v>
      </c>
      <c r="C327" s="1">
        <v>1</v>
      </c>
      <c r="D327" s="1" t="s">
        <v>603</v>
      </c>
      <c r="E327" s="1" t="s">
        <v>604</v>
      </c>
      <c r="F327" s="1">
        <v>2</v>
      </c>
      <c r="I327" s="1" t="s">
        <v>417</v>
      </c>
      <c r="P327" s="1" t="s">
        <v>169</v>
      </c>
      <c r="Q327" s="1" t="s">
        <v>560</v>
      </c>
    </row>
    <row r="328" spans="1:17">
      <c r="A328" s="1" t="s">
        <v>607</v>
      </c>
      <c r="B328" s="1">
        <v>752</v>
      </c>
      <c r="C328" s="1">
        <v>1</v>
      </c>
      <c r="D328" s="1" t="s">
        <v>608</v>
      </c>
      <c r="E328" s="1" t="s">
        <v>609</v>
      </c>
      <c r="F328" s="1">
        <v>11</v>
      </c>
      <c r="H328" s="1" t="s">
        <v>417</v>
      </c>
      <c r="J328" s="1" t="s">
        <v>533</v>
      </c>
      <c r="K328" s="1" t="s">
        <v>465</v>
      </c>
      <c r="P328" s="1" t="s">
        <v>169</v>
      </c>
      <c r="Q328" s="1" t="s">
        <v>605</v>
      </c>
    </row>
    <row r="329" spans="1:17">
      <c r="A329" s="1" t="s">
        <v>610</v>
      </c>
      <c r="B329" s="1">
        <v>753</v>
      </c>
      <c r="C329" s="1">
        <v>1</v>
      </c>
      <c r="D329" s="1" t="s">
        <v>608</v>
      </c>
      <c r="E329" s="1" t="s">
        <v>609</v>
      </c>
      <c r="F329" s="1">
        <v>2</v>
      </c>
      <c r="H329" s="1" t="s">
        <v>417</v>
      </c>
      <c r="J329" s="1" t="s">
        <v>533</v>
      </c>
      <c r="K329" s="1" t="s">
        <v>465</v>
      </c>
      <c r="P329" s="1" t="s">
        <v>169</v>
      </c>
      <c r="Q329" s="1" t="s">
        <v>560</v>
      </c>
    </row>
    <row r="330" spans="1:17">
      <c r="A330" s="1" t="s">
        <v>611</v>
      </c>
      <c r="B330" s="1">
        <v>754</v>
      </c>
      <c r="C330" s="1">
        <v>1</v>
      </c>
      <c r="D330" s="1" t="s">
        <v>608</v>
      </c>
      <c r="E330" s="1" t="s">
        <v>609</v>
      </c>
      <c r="F330" s="1">
        <v>11</v>
      </c>
      <c r="H330" s="1" t="s">
        <v>417</v>
      </c>
      <c r="J330" s="1" t="s">
        <v>465</v>
      </c>
      <c r="K330" s="1" t="s">
        <v>327</v>
      </c>
      <c r="P330" s="1" t="s">
        <v>169</v>
      </c>
      <c r="Q330" s="1" t="s">
        <v>605</v>
      </c>
    </row>
    <row r="331" spans="1:17">
      <c r="A331" s="1" t="s">
        <v>612</v>
      </c>
      <c r="B331" s="1">
        <v>755</v>
      </c>
      <c r="C331" s="1">
        <v>1</v>
      </c>
      <c r="D331" s="1" t="s">
        <v>608</v>
      </c>
      <c r="E331" s="1" t="s">
        <v>609</v>
      </c>
      <c r="F331" s="1">
        <v>2</v>
      </c>
      <c r="H331" s="1" t="s">
        <v>417</v>
      </c>
      <c r="J331" s="1" t="s">
        <v>465</v>
      </c>
      <c r="K331" s="1" t="s">
        <v>327</v>
      </c>
      <c r="P331" s="1" t="s">
        <v>169</v>
      </c>
      <c r="Q331" s="1" t="s">
        <v>560</v>
      </c>
    </row>
    <row r="332" spans="1:17">
      <c r="A332" s="1" t="s">
        <v>613</v>
      </c>
      <c r="B332" s="1">
        <v>756</v>
      </c>
      <c r="C332" s="1">
        <v>1</v>
      </c>
      <c r="D332" s="1" t="s">
        <v>608</v>
      </c>
      <c r="E332" s="1" t="s">
        <v>609</v>
      </c>
      <c r="F332" s="1">
        <v>11</v>
      </c>
      <c r="H332" s="1" t="s">
        <v>417</v>
      </c>
      <c r="J332" s="1" t="s">
        <v>327</v>
      </c>
      <c r="P332" s="1" t="s">
        <v>169</v>
      </c>
      <c r="Q332" s="1" t="s">
        <v>605</v>
      </c>
    </row>
    <row r="333" spans="1:17">
      <c r="A333" s="1" t="s">
        <v>614</v>
      </c>
      <c r="B333" s="1">
        <v>757</v>
      </c>
      <c r="C333" s="1">
        <v>1</v>
      </c>
      <c r="D333" s="1" t="s">
        <v>608</v>
      </c>
      <c r="E333" s="1" t="s">
        <v>609</v>
      </c>
      <c r="F333" s="1">
        <v>2</v>
      </c>
      <c r="H333" s="1" t="s">
        <v>417</v>
      </c>
      <c r="J333" s="1" t="s">
        <v>327</v>
      </c>
      <c r="P333" s="1" t="s">
        <v>169</v>
      </c>
      <c r="Q333" s="1" t="s">
        <v>560</v>
      </c>
    </row>
    <row r="334" spans="1:17">
      <c r="A334" s="1" t="s">
        <v>493</v>
      </c>
      <c r="B334" s="1">
        <v>800</v>
      </c>
      <c r="C334" s="1">
        <v>1</v>
      </c>
      <c r="D334" s="1" t="s">
        <v>615</v>
      </c>
      <c r="E334" s="1" t="s">
        <v>616</v>
      </c>
      <c r="F334" s="1">
        <v>1</v>
      </c>
      <c r="I334" s="1" t="s">
        <v>617</v>
      </c>
      <c r="P334" s="1" t="s">
        <v>169</v>
      </c>
      <c r="Q334" s="1" t="s">
        <v>169</v>
      </c>
    </row>
    <row r="335" spans="1:17">
      <c r="A335" s="1" t="s">
        <v>495</v>
      </c>
      <c r="B335" s="1">
        <v>801</v>
      </c>
      <c r="C335" s="1">
        <v>1</v>
      </c>
      <c r="D335" s="1" t="s">
        <v>615</v>
      </c>
      <c r="E335" s="1" t="s">
        <v>616</v>
      </c>
      <c r="F335" s="1">
        <v>19</v>
      </c>
      <c r="I335" s="1" t="s">
        <v>617</v>
      </c>
      <c r="N335" s="1">
        <v>1</v>
      </c>
      <c r="P335" s="1" t="s">
        <v>169</v>
      </c>
      <c r="Q335" s="1" t="s">
        <v>351</v>
      </c>
    </row>
    <row r="336" spans="1:17">
      <c r="A336" s="1" t="s">
        <v>496</v>
      </c>
      <c r="B336" s="1">
        <v>802</v>
      </c>
      <c r="C336" s="1">
        <v>1</v>
      </c>
      <c r="D336" s="1" t="s">
        <v>615</v>
      </c>
      <c r="E336" s="1" t="s">
        <v>616</v>
      </c>
      <c r="F336" s="1">
        <v>18</v>
      </c>
      <c r="I336" s="1" t="s">
        <v>617</v>
      </c>
      <c r="P336" s="1" t="s">
        <v>169</v>
      </c>
      <c r="Q336" s="1" t="s">
        <v>497</v>
      </c>
    </row>
    <row r="337" spans="1:17">
      <c r="A337" s="1" t="s">
        <v>498</v>
      </c>
      <c r="B337" s="1">
        <v>803</v>
      </c>
      <c r="C337" s="1">
        <v>1</v>
      </c>
      <c r="D337" s="1" t="s">
        <v>615</v>
      </c>
      <c r="E337" s="1" t="s">
        <v>616</v>
      </c>
      <c r="F337" s="1">
        <v>2</v>
      </c>
      <c r="I337" s="1" t="s">
        <v>617</v>
      </c>
      <c r="P337" s="1" t="s">
        <v>169</v>
      </c>
      <c r="Q337" s="1" t="s">
        <v>499</v>
      </c>
    </row>
    <row r="338" spans="1:17">
      <c r="A338" s="1" t="s">
        <v>500</v>
      </c>
      <c r="B338" s="1">
        <v>804</v>
      </c>
      <c r="C338" s="1">
        <v>1</v>
      </c>
      <c r="D338" s="1" t="s">
        <v>615</v>
      </c>
      <c r="E338" s="1" t="s">
        <v>616</v>
      </c>
      <c r="F338" s="1">
        <v>5</v>
      </c>
      <c r="I338" s="1" t="s">
        <v>617</v>
      </c>
      <c r="P338" s="1" t="s">
        <v>169</v>
      </c>
      <c r="Q338" s="1" t="s">
        <v>501</v>
      </c>
    </row>
    <row r="339" spans="1:17">
      <c r="A339" s="1" t="s">
        <v>502</v>
      </c>
      <c r="B339" s="1">
        <v>805</v>
      </c>
      <c r="C339" s="1">
        <v>1</v>
      </c>
      <c r="D339" s="1" t="s">
        <v>615</v>
      </c>
      <c r="E339" s="1" t="s">
        <v>616</v>
      </c>
      <c r="F339" s="1">
        <v>7</v>
      </c>
      <c r="I339" s="1" t="s">
        <v>617</v>
      </c>
      <c r="P339" s="1" t="s">
        <v>169</v>
      </c>
      <c r="Q339" s="1" t="s">
        <v>226</v>
      </c>
    </row>
    <row r="340" spans="1:17">
      <c r="A340" s="1" t="s">
        <v>503</v>
      </c>
      <c r="B340" s="1">
        <v>806</v>
      </c>
      <c r="C340" s="1">
        <v>1</v>
      </c>
      <c r="D340" s="1" t="s">
        <v>615</v>
      </c>
      <c r="E340" s="1" t="s">
        <v>616</v>
      </c>
      <c r="F340" s="1">
        <v>3</v>
      </c>
      <c r="G340" s="1" t="b">
        <v>0</v>
      </c>
      <c r="I340" s="1" t="s">
        <v>617</v>
      </c>
      <c r="P340" s="1" t="s">
        <v>169</v>
      </c>
      <c r="Q340" s="1" t="s">
        <v>360</v>
      </c>
    </row>
    <row r="341" spans="1:17">
      <c r="A341" s="1" t="s">
        <v>504</v>
      </c>
      <c r="B341" s="1">
        <v>807</v>
      </c>
      <c r="C341" s="1">
        <v>1</v>
      </c>
      <c r="D341" s="1" t="s">
        <v>615</v>
      </c>
      <c r="E341" s="1" t="s">
        <v>618</v>
      </c>
      <c r="F341" s="1">
        <v>10</v>
      </c>
      <c r="I341" s="1" t="s">
        <v>617</v>
      </c>
      <c r="P341" s="1" t="s">
        <v>169</v>
      </c>
      <c r="Q341" s="1" t="s">
        <v>506</v>
      </c>
    </row>
    <row r="342" spans="1:17">
      <c r="A342" s="1" t="s">
        <v>619</v>
      </c>
      <c r="B342" s="1">
        <v>808</v>
      </c>
      <c r="C342" s="1">
        <v>1</v>
      </c>
      <c r="D342" s="1" t="s">
        <v>618</v>
      </c>
      <c r="E342" s="1" t="s">
        <v>620</v>
      </c>
      <c r="F342" s="1">
        <v>1</v>
      </c>
      <c r="H342" s="1" t="s">
        <v>617</v>
      </c>
      <c r="J342" s="1" t="s">
        <v>573</v>
      </c>
      <c r="K342" s="1" t="s">
        <v>345</v>
      </c>
      <c r="L342" s="1" t="s">
        <v>621</v>
      </c>
      <c r="P342" s="1" t="s">
        <v>169</v>
      </c>
      <c r="Q342" s="1" t="s">
        <v>169</v>
      </c>
    </row>
    <row r="343" spans="1:17">
      <c r="A343" s="1" t="s">
        <v>622</v>
      </c>
      <c r="B343" s="1">
        <v>809</v>
      </c>
      <c r="C343" s="1">
        <v>1</v>
      </c>
      <c r="D343" s="1" t="s">
        <v>618</v>
      </c>
      <c r="E343" s="1" t="s">
        <v>620</v>
      </c>
      <c r="F343" s="1">
        <v>19</v>
      </c>
      <c r="H343" s="1" t="s">
        <v>617</v>
      </c>
      <c r="J343" s="1" t="s">
        <v>573</v>
      </c>
      <c r="K343" s="1" t="s">
        <v>345</v>
      </c>
      <c r="L343" s="1" t="s">
        <v>621</v>
      </c>
      <c r="N343" s="1">
        <v>1</v>
      </c>
      <c r="P343" s="1" t="s">
        <v>169</v>
      </c>
      <c r="Q343" s="1" t="s">
        <v>351</v>
      </c>
    </row>
    <row r="344" spans="1:17">
      <c r="A344" s="1" t="s">
        <v>623</v>
      </c>
      <c r="B344" s="1">
        <v>810</v>
      </c>
      <c r="C344" s="1">
        <v>1</v>
      </c>
      <c r="D344" s="1" t="s">
        <v>618</v>
      </c>
      <c r="E344" s="1" t="s">
        <v>620</v>
      </c>
      <c r="F344" s="1">
        <v>18</v>
      </c>
      <c r="H344" s="1" t="s">
        <v>617</v>
      </c>
      <c r="J344" s="1" t="s">
        <v>573</v>
      </c>
      <c r="K344" s="1" t="s">
        <v>345</v>
      </c>
      <c r="L344" s="1" t="s">
        <v>621</v>
      </c>
      <c r="P344" s="1" t="s">
        <v>169</v>
      </c>
      <c r="Q344" s="1" t="s">
        <v>497</v>
      </c>
    </row>
    <row r="345" spans="1:17">
      <c r="A345" s="1" t="s">
        <v>624</v>
      </c>
      <c r="B345" s="1">
        <v>811</v>
      </c>
      <c r="C345" s="1">
        <v>1</v>
      </c>
      <c r="D345" s="1" t="s">
        <v>618</v>
      </c>
      <c r="E345" s="1" t="s">
        <v>620</v>
      </c>
      <c r="F345" s="1">
        <v>2</v>
      </c>
      <c r="H345" s="1" t="s">
        <v>617</v>
      </c>
      <c r="J345" s="1" t="s">
        <v>573</v>
      </c>
      <c r="K345" s="1" t="s">
        <v>345</v>
      </c>
      <c r="L345" s="1" t="s">
        <v>621</v>
      </c>
      <c r="P345" s="1" t="s">
        <v>169</v>
      </c>
      <c r="Q345" s="1" t="s">
        <v>499</v>
      </c>
    </row>
    <row r="346" spans="1:17">
      <c r="A346" s="1" t="s">
        <v>500</v>
      </c>
      <c r="B346" s="1">
        <v>812</v>
      </c>
      <c r="C346" s="1">
        <v>1</v>
      </c>
      <c r="D346" s="1" t="s">
        <v>618</v>
      </c>
      <c r="E346" s="1" t="s">
        <v>620</v>
      </c>
      <c r="F346" s="1">
        <v>5</v>
      </c>
      <c r="H346" s="1" t="s">
        <v>617</v>
      </c>
      <c r="J346" s="1" t="s">
        <v>573</v>
      </c>
      <c r="L346" s="1" t="s">
        <v>621</v>
      </c>
      <c r="P346" s="1" t="s">
        <v>169</v>
      </c>
      <c r="Q346" s="1" t="s">
        <v>501</v>
      </c>
    </row>
    <row r="347" spans="1:17">
      <c r="A347" s="1" t="s">
        <v>502</v>
      </c>
      <c r="B347" s="1">
        <v>813</v>
      </c>
      <c r="C347" s="1">
        <v>1</v>
      </c>
      <c r="D347" s="1" t="s">
        <v>618</v>
      </c>
      <c r="E347" s="1" t="s">
        <v>620</v>
      </c>
      <c r="F347" s="1">
        <v>7</v>
      </c>
      <c r="H347" s="1" t="s">
        <v>617</v>
      </c>
      <c r="J347" s="1" t="s">
        <v>573</v>
      </c>
      <c r="L347" s="1" t="s">
        <v>621</v>
      </c>
      <c r="P347" s="1" t="s">
        <v>169</v>
      </c>
      <c r="Q347" s="1" t="s">
        <v>226</v>
      </c>
    </row>
    <row r="348" spans="1:17">
      <c r="A348" s="1" t="s">
        <v>625</v>
      </c>
      <c r="B348" s="1">
        <v>814</v>
      </c>
      <c r="C348" s="1">
        <v>1</v>
      </c>
      <c r="D348" s="1" t="s">
        <v>618</v>
      </c>
      <c r="E348" s="1" t="s">
        <v>620</v>
      </c>
      <c r="F348" s="1">
        <v>3</v>
      </c>
      <c r="G348" s="1" t="b">
        <v>0</v>
      </c>
      <c r="H348" s="1" t="s">
        <v>617</v>
      </c>
      <c r="J348" s="1" t="s">
        <v>573</v>
      </c>
      <c r="K348" s="1" t="s">
        <v>508</v>
      </c>
      <c r="L348" s="1" t="s">
        <v>621</v>
      </c>
      <c r="P348" s="1" t="s">
        <v>169</v>
      </c>
      <c r="Q348" s="1" t="s">
        <v>360</v>
      </c>
    </row>
    <row r="349" spans="1:17">
      <c r="A349" s="1" t="s">
        <v>504</v>
      </c>
      <c r="B349" s="1">
        <v>815</v>
      </c>
      <c r="C349" s="1">
        <v>1</v>
      </c>
      <c r="D349" s="1" t="s">
        <v>618</v>
      </c>
      <c r="E349" s="1" t="s">
        <v>626</v>
      </c>
      <c r="F349" s="1">
        <v>10</v>
      </c>
      <c r="H349" s="1" t="s">
        <v>617</v>
      </c>
      <c r="J349" s="1" t="s">
        <v>573</v>
      </c>
      <c r="L349" s="1" t="s">
        <v>621</v>
      </c>
      <c r="P349" s="1" t="s">
        <v>169</v>
      </c>
      <c r="Q349" s="1" t="s">
        <v>506</v>
      </c>
    </row>
    <row r="350" spans="1:17">
      <c r="A350" s="1" t="s">
        <v>627</v>
      </c>
      <c r="B350" s="1">
        <v>816</v>
      </c>
      <c r="C350" s="1">
        <v>1</v>
      </c>
      <c r="D350" s="1" t="s">
        <v>618</v>
      </c>
      <c r="E350" s="1" t="s">
        <v>620</v>
      </c>
      <c r="F350" s="1">
        <v>1</v>
      </c>
      <c r="H350" s="1" t="s">
        <v>617</v>
      </c>
      <c r="J350" s="1" t="s">
        <v>345</v>
      </c>
      <c r="L350" s="1" t="s">
        <v>621</v>
      </c>
      <c r="P350" s="1" t="s">
        <v>169</v>
      </c>
      <c r="Q350" s="1" t="s">
        <v>169</v>
      </c>
    </row>
    <row r="351" spans="1:17">
      <c r="A351" s="1" t="s">
        <v>628</v>
      </c>
      <c r="B351" s="1">
        <v>817</v>
      </c>
      <c r="C351" s="1">
        <v>1</v>
      </c>
      <c r="D351" s="1" t="s">
        <v>618</v>
      </c>
      <c r="E351" s="1" t="s">
        <v>620</v>
      </c>
      <c r="F351" s="1">
        <v>19</v>
      </c>
      <c r="H351" s="1" t="s">
        <v>617</v>
      </c>
      <c r="J351" s="1" t="s">
        <v>345</v>
      </c>
      <c r="L351" s="1" t="s">
        <v>621</v>
      </c>
      <c r="N351" s="1">
        <v>1</v>
      </c>
      <c r="P351" s="1" t="s">
        <v>169</v>
      </c>
      <c r="Q351" s="1" t="s">
        <v>351</v>
      </c>
    </row>
    <row r="352" spans="1:17">
      <c r="A352" s="1" t="s">
        <v>629</v>
      </c>
      <c r="B352" s="1">
        <v>818</v>
      </c>
      <c r="C352" s="1">
        <v>1</v>
      </c>
      <c r="D352" s="1" t="s">
        <v>618</v>
      </c>
      <c r="E352" s="1" t="s">
        <v>620</v>
      </c>
      <c r="F352" s="1">
        <v>2</v>
      </c>
      <c r="H352" s="1" t="s">
        <v>617</v>
      </c>
      <c r="J352" s="1" t="s">
        <v>345</v>
      </c>
      <c r="L352" s="1" t="s">
        <v>621</v>
      </c>
      <c r="P352" s="1" t="s">
        <v>169</v>
      </c>
      <c r="Q352" s="1" t="s">
        <v>499</v>
      </c>
    </row>
    <row r="353" spans="1:17">
      <c r="A353" s="1" t="s">
        <v>630</v>
      </c>
      <c r="B353" s="1">
        <v>819</v>
      </c>
      <c r="C353" s="1">
        <v>1</v>
      </c>
      <c r="D353" s="1" t="s">
        <v>618</v>
      </c>
      <c r="E353" s="1" t="s">
        <v>620</v>
      </c>
      <c r="F353" s="1">
        <v>3</v>
      </c>
      <c r="G353" s="1" t="b">
        <v>0</v>
      </c>
      <c r="H353" s="1" t="s">
        <v>617</v>
      </c>
      <c r="J353" s="1" t="s">
        <v>508</v>
      </c>
      <c r="K353" s="1" t="s">
        <v>345</v>
      </c>
      <c r="L353" s="1" t="s">
        <v>621</v>
      </c>
      <c r="P353" s="1" t="s">
        <v>169</v>
      </c>
      <c r="Q353" s="1" t="s">
        <v>360</v>
      </c>
    </row>
    <row r="354" spans="1:17">
      <c r="A354" s="1" t="s">
        <v>631</v>
      </c>
      <c r="B354" s="1">
        <v>820</v>
      </c>
      <c r="C354" s="1">
        <v>1</v>
      </c>
      <c r="D354" s="1" t="s">
        <v>618</v>
      </c>
      <c r="E354" s="1" t="s">
        <v>620</v>
      </c>
      <c r="F354" s="1">
        <v>3</v>
      </c>
      <c r="G354" s="1" t="b">
        <v>0</v>
      </c>
      <c r="H354" s="1" t="s">
        <v>617</v>
      </c>
      <c r="J354" s="1" t="s">
        <v>345</v>
      </c>
      <c r="L354" s="1" t="s">
        <v>621</v>
      </c>
      <c r="P354" s="1" t="s">
        <v>169</v>
      </c>
      <c r="Q354" s="1" t="s">
        <v>360</v>
      </c>
    </row>
    <row r="355" spans="1:17">
      <c r="A355" s="1" t="s">
        <v>632</v>
      </c>
      <c r="B355" s="1">
        <v>821</v>
      </c>
      <c r="C355" s="1">
        <v>1</v>
      </c>
      <c r="D355" s="1" t="s">
        <v>618</v>
      </c>
      <c r="E355" s="1" t="s">
        <v>620</v>
      </c>
      <c r="F355" s="1">
        <v>18</v>
      </c>
      <c r="H355" s="1" t="s">
        <v>617</v>
      </c>
      <c r="J355" s="1" t="s">
        <v>345</v>
      </c>
      <c r="L355" s="1" t="s">
        <v>621</v>
      </c>
      <c r="P355" s="1" t="s">
        <v>169</v>
      </c>
      <c r="Q355" s="1" t="s">
        <v>497</v>
      </c>
    </row>
    <row r="356" spans="1:17">
      <c r="A356" s="1" t="s">
        <v>633</v>
      </c>
      <c r="B356" s="1">
        <v>901</v>
      </c>
      <c r="C356" s="1">
        <v>1</v>
      </c>
      <c r="D356" s="1" t="s">
        <v>620</v>
      </c>
      <c r="E356" s="1" t="s">
        <v>634</v>
      </c>
      <c r="F356" s="1">
        <v>21</v>
      </c>
      <c r="I356" s="1" t="s">
        <v>617</v>
      </c>
      <c r="P356" s="1" t="s">
        <v>169</v>
      </c>
      <c r="Q356" s="1" t="s">
        <v>635</v>
      </c>
    </row>
    <row r="357" spans="1:17">
      <c r="A357" s="1" t="s">
        <v>636</v>
      </c>
      <c r="B357" s="1">
        <v>902</v>
      </c>
      <c r="C357" s="1">
        <v>1</v>
      </c>
      <c r="D357" s="1" t="s">
        <v>620</v>
      </c>
      <c r="E357" s="1" t="s">
        <v>634</v>
      </c>
      <c r="F357" s="1">
        <v>9</v>
      </c>
      <c r="I357" s="1" t="s">
        <v>617</v>
      </c>
      <c r="P357" s="1" t="s">
        <v>169</v>
      </c>
      <c r="Q357" s="1" t="s">
        <v>557</v>
      </c>
    </row>
    <row r="358" spans="1:17">
      <c r="A358" s="1" t="s">
        <v>637</v>
      </c>
      <c r="B358" s="1">
        <v>903</v>
      </c>
      <c r="C358" s="1">
        <v>1</v>
      </c>
      <c r="D358" s="1" t="s">
        <v>620</v>
      </c>
      <c r="E358" s="1" t="s">
        <v>634</v>
      </c>
      <c r="F358" s="1">
        <v>3</v>
      </c>
      <c r="I358" s="1" t="s">
        <v>617</v>
      </c>
      <c r="P358" s="1" t="s">
        <v>169</v>
      </c>
      <c r="Q358" s="1" t="s">
        <v>557</v>
      </c>
    </row>
    <row r="359" spans="1:17">
      <c r="A359" s="1" t="s">
        <v>637</v>
      </c>
      <c r="B359" s="1">
        <v>904</v>
      </c>
      <c r="C359" s="1">
        <v>1</v>
      </c>
      <c r="D359" s="1" t="s">
        <v>620</v>
      </c>
      <c r="E359" s="1" t="s">
        <v>634</v>
      </c>
      <c r="F359" s="1">
        <v>3</v>
      </c>
      <c r="I359" s="1" t="s">
        <v>617</v>
      </c>
      <c r="P359" s="1" t="s">
        <v>169</v>
      </c>
      <c r="Q359" s="1" t="s">
        <v>557</v>
      </c>
    </row>
    <row r="360" spans="1:17">
      <c r="A360" s="1" t="s">
        <v>637</v>
      </c>
      <c r="B360" s="1">
        <v>905</v>
      </c>
      <c r="C360" s="1">
        <v>1</v>
      </c>
      <c r="D360" s="1" t="s">
        <v>620</v>
      </c>
      <c r="E360" s="1" t="s">
        <v>634</v>
      </c>
      <c r="F360" s="1">
        <v>3</v>
      </c>
      <c r="I360" s="1" t="s">
        <v>617</v>
      </c>
      <c r="P360" s="1" t="s">
        <v>169</v>
      </c>
      <c r="Q360" s="1" t="s">
        <v>557</v>
      </c>
    </row>
    <row r="361" spans="1:17">
      <c r="A361" s="1" t="s">
        <v>638</v>
      </c>
      <c r="B361" s="1">
        <v>906</v>
      </c>
      <c r="C361" s="1">
        <v>1</v>
      </c>
      <c r="D361" s="1" t="s">
        <v>620</v>
      </c>
      <c r="E361" s="1" t="s">
        <v>639</v>
      </c>
      <c r="F361" s="1">
        <v>2</v>
      </c>
      <c r="I361" s="1" t="s">
        <v>617</v>
      </c>
      <c r="P361" s="1" t="s">
        <v>169</v>
      </c>
      <c r="Q361" s="1" t="s">
        <v>230</v>
      </c>
    </row>
    <row r="362" spans="1:17">
      <c r="A362" s="1" t="s">
        <v>638</v>
      </c>
      <c r="B362" s="1">
        <v>907</v>
      </c>
      <c r="C362" s="1">
        <v>1</v>
      </c>
      <c r="D362" s="1" t="s">
        <v>639</v>
      </c>
      <c r="E362" s="1" t="s">
        <v>640</v>
      </c>
      <c r="F362" s="1">
        <v>2</v>
      </c>
      <c r="I362" s="1" t="s">
        <v>617</v>
      </c>
      <c r="P362" s="1" t="s">
        <v>169</v>
      </c>
      <c r="Q362" s="1" t="s">
        <v>230</v>
      </c>
    </row>
    <row r="363" spans="1:17">
      <c r="A363" s="1" t="s">
        <v>638</v>
      </c>
      <c r="B363" s="1">
        <v>908</v>
      </c>
      <c r="C363" s="1">
        <v>1</v>
      </c>
      <c r="D363" s="1" t="s">
        <v>640</v>
      </c>
      <c r="E363" s="1" t="s">
        <v>634</v>
      </c>
      <c r="F363" s="1">
        <v>2</v>
      </c>
      <c r="I363" s="1" t="s">
        <v>617</v>
      </c>
      <c r="P363" s="1" t="s">
        <v>169</v>
      </c>
      <c r="Q363" s="1" t="s">
        <v>230</v>
      </c>
    </row>
    <row r="364" spans="1:17">
      <c r="A364" s="1" t="s">
        <v>641</v>
      </c>
      <c r="B364" s="1">
        <v>909</v>
      </c>
      <c r="C364" s="1">
        <v>1</v>
      </c>
      <c r="D364" s="1" t="s">
        <v>620</v>
      </c>
      <c r="E364" s="1" t="s">
        <v>639</v>
      </c>
      <c r="F364" s="1">
        <v>2</v>
      </c>
      <c r="I364" s="1" t="s">
        <v>617</v>
      </c>
      <c r="P364" s="1" t="s">
        <v>169</v>
      </c>
      <c r="Q364" s="1" t="s">
        <v>230</v>
      </c>
    </row>
    <row r="365" spans="1:17">
      <c r="A365" s="1" t="s">
        <v>641</v>
      </c>
      <c r="B365" s="1">
        <v>910</v>
      </c>
      <c r="C365" s="1">
        <v>1</v>
      </c>
      <c r="D365" s="1" t="s">
        <v>639</v>
      </c>
      <c r="E365" s="1" t="s">
        <v>640</v>
      </c>
      <c r="F365" s="1">
        <v>2</v>
      </c>
      <c r="I365" s="1" t="s">
        <v>617</v>
      </c>
      <c r="P365" s="1" t="s">
        <v>169</v>
      </c>
      <c r="Q365" s="1" t="s">
        <v>230</v>
      </c>
    </row>
    <row r="366" spans="1:17">
      <c r="A366" s="1" t="s">
        <v>641</v>
      </c>
      <c r="B366" s="1">
        <v>911</v>
      </c>
      <c r="C366" s="1">
        <v>1</v>
      </c>
      <c r="D366" s="1" t="s">
        <v>640</v>
      </c>
      <c r="E366" s="1" t="s">
        <v>634</v>
      </c>
      <c r="F366" s="1">
        <v>2</v>
      </c>
      <c r="I366" s="1" t="s">
        <v>617</v>
      </c>
      <c r="P366" s="1" t="s">
        <v>169</v>
      </c>
      <c r="Q366" s="1" t="s">
        <v>230</v>
      </c>
    </row>
    <row r="367" spans="1:17">
      <c r="A367" s="1" t="s">
        <v>633</v>
      </c>
      <c r="B367" s="1">
        <v>921</v>
      </c>
      <c r="C367" s="1">
        <v>1</v>
      </c>
      <c r="D367" s="1" t="s">
        <v>639</v>
      </c>
      <c r="E367" s="1" t="s">
        <v>642</v>
      </c>
      <c r="F367" s="1">
        <v>21</v>
      </c>
      <c r="H367" s="1" t="s">
        <v>617</v>
      </c>
      <c r="J367" s="1" t="s">
        <v>594</v>
      </c>
      <c r="L367" s="1" t="s">
        <v>616</v>
      </c>
      <c r="P367" s="1" t="s">
        <v>169</v>
      </c>
      <c r="Q367" s="1" t="s">
        <v>635</v>
      </c>
    </row>
    <row r="368" spans="1:17">
      <c r="A368" s="1" t="s">
        <v>643</v>
      </c>
      <c r="B368" s="1">
        <v>922</v>
      </c>
      <c r="C368" s="1">
        <v>1</v>
      </c>
      <c r="D368" s="1" t="s">
        <v>639</v>
      </c>
      <c r="E368" s="1" t="s">
        <v>642</v>
      </c>
      <c r="F368" s="1">
        <v>9</v>
      </c>
      <c r="H368" s="1" t="s">
        <v>617</v>
      </c>
      <c r="J368" s="1" t="s">
        <v>594</v>
      </c>
      <c r="K368" s="1" t="s">
        <v>362</v>
      </c>
      <c r="L368" s="1" t="s">
        <v>616</v>
      </c>
      <c r="P368" s="1" t="s">
        <v>169</v>
      </c>
      <c r="Q368" s="1" t="s">
        <v>557</v>
      </c>
    </row>
    <row r="369" spans="1:17">
      <c r="A369" s="1" t="s">
        <v>644</v>
      </c>
      <c r="B369" s="1">
        <v>923</v>
      </c>
      <c r="C369" s="1">
        <v>1</v>
      </c>
      <c r="D369" s="1" t="s">
        <v>639</v>
      </c>
      <c r="E369" s="1" t="s">
        <v>642</v>
      </c>
      <c r="F369" s="1">
        <v>9</v>
      </c>
      <c r="H369" s="1" t="s">
        <v>617</v>
      </c>
      <c r="J369" s="1" t="s">
        <v>362</v>
      </c>
      <c r="L369" s="1" t="s">
        <v>616</v>
      </c>
      <c r="P369" s="1" t="s">
        <v>169</v>
      </c>
      <c r="Q369" s="1" t="s">
        <v>557</v>
      </c>
    </row>
    <row r="370" spans="1:17">
      <c r="A370" s="1" t="s">
        <v>645</v>
      </c>
      <c r="B370" s="1">
        <v>924</v>
      </c>
      <c r="C370" s="1">
        <v>1</v>
      </c>
      <c r="D370" s="1" t="s">
        <v>639</v>
      </c>
      <c r="E370" s="1" t="s">
        <v>642</v>
      </c>
      <c r="F370" s="1">
        <v>3</v>
      </c>
      <c r="H370" s="1" t="s">
        <v>617</v>
      </c>
      <c r="J370" s="1" t="s">
        <v>594</v>
      </c>
      <c r="K370" s="1" t="s">
        <v>362</v>
      </c>
      <c r="L370" s="1" t="s">
        <v>616</v>
      </c>
      <c r="P370" s="1" t="s">
        <v>169</v>
      </c>
      <c r="Q370" s="1" t="s">
        <v>557</v>
      </c>
    </row>
    <row r="371" spans="1:17">
      <c r="A371" s="1" t="s">
        <v>645</v>
      </c>
      <c r="B371" s="1">
        <v>925</v>
      </c>
      <c r="C371" s="1">
        <v>1</v>
      </c>
      <c r="D371" s="1" t="s">
        <v>639</v>
      </c>
      <c r="E371" s="1" t="s">
        <v>642</v>
      </c>
      <c r="F371" s="1">
        <v>3</v>
      </c>
      <c r="H371" s="1" t="s">
        <v>617</v>
      </c>
      <c r="J371" s="1" t="s">
        <v>594</v>
      </c>
      <c r="K371" s="1" t="s">
        <v>362</v>
      </c>
      <c r="L371" s="1" t="s">
        <v>616</v>
      </c>
      <c r="P371" s="1" t="s">
        <v>169</v>
      </c>
      <c r="Q371" s="1" t="s">
        <v>557</v>
      </c>
    </row>
    <row r="372" spans="1:17">
      <c r="A372" s="1" t="s">
        <v>645</v>
      </c>
      <c r="B372" s="1">
        <v>926</v>
      </c>
      <c r="C372" s="1">
        <v>1</v>
      </c>
      <c r="D372" s="1" t="s">
        <v>639</v>
      </c>
      <c r="E372" s="1" t="s">
        <v>642</v>
      </c>
      <c r="F372" s="1">
        <v>3</v>
      </c>
      <c r="H372" s="1" t="s">
        <v>617</v>
      </c>
      <c r="J372" s="1" t="s">
        <v>594</v>
      </c>
      <c r="K372" s="1" t="s">
        <v>362</v>
      </c>
      <c r="L372" s="1" t="s">
        <v>616</v>
      </c>
      <c r="P372" s="1" t="s">
        <v>169</v>
      </c>
      <c r="Q372" s="1" t="s">
        <v>557</v>
      </c>
    </row>
    <row r="373" spans="1:17">
      <c r="A373" s="1" t="s">
        <v>646</v>
      </c>
      <c r="B373" s="1">
        <v>927</v>
      </c>
      <c r="C373" s="1">
        <v>1</v>
      </c>
      <c r="D373" s="1" t="s">
        <v>639</v>
      </c>
      <c r="E373" s="1" t="s">
        <v>642</v>
      </c>
      <c r="F373" s="1">
        <v>3</v>
      </c>
      <c r="H373" s="1" t="s">
        <v>617</v>
      </c>
      <c r="J373" s="1" t="s">
        <v>362</v>
      </c>
      <c r="L373" s="1" t="s">
        <v>616</v>
      </c>
      <c r="P373" s="1" t="s">
        <v>169</v>
      </c>
      <c r="Q373" s="1" t="s">
        <v>557</v>
      </c>
    </row>
    <row r="374" spans="1:17">
      <c r="A374" s="1" t="s">
        <v>646</v>
      </c>
      <c r="B374" s="1">
        <v>928</v>
      </c>
      <c r="C374" s="1">
        <v>1</v>
      </c>
      <c r="D374" s="1" t="s">
        <v>639</v>
      </c>
      <c r="E374" s="1" t="s">
        <v>642</v>
      </c>
      <c r="F374" s="1">
        <v>3</v>
      </c>
      <c r="H374" s="1" t="s">
        <v>617</v>
      </c>
      <c r="J374" s="1" t="s">
        <v>362</v>
      </c>
      <c r="L374" s="1" t="s">
        <v>616</v>
      </c>
      <c r="P374" s="1" t="s">
        <v>169</v>
      </c>
      <c r="Q374" s="1" t="s">
        <v>557</v>
      </c>
    </row>
    <row r="375" spans="1:17">
      <c r="A375" s="1" t="s">
        <v>646</v>
      </c>
      <c r="B375" s="1">
        <v>929</v>
      </c>
      <c r="C375" s="1">
        <v>1</v>
      </c>
      <c r="D375" s="1" t="s">
        <v>639</v>
      </c>
      <c r="E375" s="1" t="s">
        <v>642</v>
      </c>
      <c r="F375" s="1">
        <v>3</v>
      </c>
      <c r="H375" s="1" t="s">
        <v>617</v>
      </c>
      <c r="J375" s="1" t="s">
        <v>362</v>
      </c>
      <c r="L375" s="1" t="s">
        <v>616</v>
      </c>
      <c r="P375" s="1" t="s">
        <v>169</v>
      </c>
      <c r="Q375" s="1" t="s">
        <v>557</v>
      </c>
    </row>
    <row r="376" spans="1:17">
      <c r="A376" s="1" t="s">
        <v>647</v>
      </c>
      <c r="B376" s="1">
        <v>930</v>
      </c>
      <c r="C376" s="1">
        <v>1</v>
      </c>
      <c r="D376" s="1" t="s">
        <v>639</v>
      </c>
      <c r="E376" s="1" t="s">
        <v>640</v>
      </c>
      <c r="F376" s="1">
        <v>2</v>
      </c>
      <c r="H376" s="1" t="s">
        <v>617</v>
      </c>
      <c r="J376" s="1" t="s">
        <v>594</v>
      </c>
      <c r="K376" s="1" t="s">
        <v>362</v>
      </c>
      <c r="L376" s="1" t="s">
        <v>616</v>
      </c>
      <c r="P376" s="1" t="s">
        <v>169</v>
      </c>
      <c r="Q376" s="1" t="s">
        <v>230</v>
      </c>
    </row>
    <row r="377" spans="1:17">
      <c r="A377" s="1" t="s">
        <v>647</v>
      </c>
      <c r="B377" s="1">
        <v>931</v>
      </c>
      <c r="C377" s="1">
        <v>1</v>
      </c>
      <c r="D377" s="1" t="s">
        <v>640</v>
      </c>
      <c r="E377" s="1" t="s">
        <v>634</v>
      </c>
      <c r="F377" s="1">
        <v>2</v>
      </c>
      <c r="H377" s="1" t="s">
        <v>617</v>
      </c>
      <c r="J377" s="1" t="s">
        <v>594</v>
      </c>
      <c r="K377" s="1" t="s">
        <v>362</v>
      </c>
      <c r="L377" s="1" t="s">
        <v>616</v>
      </c>
      <c r="P377" s="1" t="s">
        <v>169</v>
      </c>
      <c r="Q377" s="1" t="s">
        <v>230</v>
      </c>
    </row>
    <row r="378" spans="1:17">
      <c r="A378" s="1" t="s">
        <v>647</v>
      </c>
      <c r="B378" s="1">
        <v>932</v>
      </c>
      <c r="C378" s="1">
        <v>1</v>
      </c>
      <c r="D378" s="1" t="s">
        <v>634</v>
      </c>
      <c r="E378" s="1" t="s">
        <v>642</v>
      </c>
      <c r="F378" s="1">
        <v>2</v>
      </c>
      <c r="H378" s="1" t="s">
        <v>617</v>
      </c>
      <c r="J378" s="1" t="s">
        <v>594</v>
      </c>
      <c r="K378" s="1" t="s">
        <v>362</v>
      </c>
      <c r="L378" s="1" t="s">
        <v>616</v>
      </c>
      <c r="P378" s="1" t="s">
        <v>169</v>
      </c>
      <c r="Q378" s="1" t="s">
        <v>230</v>
      </c>
    </row>
    <row r="379" spans="1:17">
      <c r="A379" s="1" t="s">
        <v>648</v>
      </c>
      <c r="B379" s="1">
        <v>933</v>
      </c>
      <c r="C379" s="1">
        <v>1</v>
      </c>
      <c r="D379" s="1" t="s">
        <v>639</v>
      </c>
      <c r="E379" s="1" t="s">
        <v>640</v>
      </c>
      <c r="F379" s="1">
        <v>2</v>
      </c>
      <c r="H379" s="1" t="s">
        <v>617</v>
      </c>
      <c r="J379" s="1" t="s">
        <v>594</v>
      </c>
      <c r="K379" s="1" t="s">
        <v>362</v>
      </c>
      <c r="L379" s="1" t="s">
        <v>616</v>
      </c>
      <c r="P379" s="1" t="s">
        <v>169</v>
      </c>
      <c r="Q379" s="1" t="s">
        <v>230</v>
      </c>
    </row>
    <row r="380" spans="1:17">
      <c r="A380" s="1" t="s">
        <v>648</v>
      </c>
      <c r="B380" s="1">
        <v>934</v>
      </c>
      <c r="C380" s="1">
        <v>1</v>
      </c>
      <c r="D380" s="1" t="s">
        <v>640</v>
      </c>
      <c r="E380" s="1" t="s">
        <v>634</v>
      </c>
      <c r="F380" s="1">
        <v>2</v>
      </c>
      <c r="H380" s="1" t="s">
        <v>617</v>
      </c>
      <c r="J380" s="1" t="s">
        <v>594</v>
      </c>
      <c r="K380" s="1" t="s">
        <v>362</v>
      </c>
      <c r="L380" s="1" t="s">
        <v>616</v>
      </c>
      <c r="P380" s="1" t="s">
        <v>169</v>
      </c>
      <c r="Q380" s="1" t="s">
        <v>230</v>
      </c>
    </row>
    <row r="381" spans="1:17">
      <c r="A381" s="1" t="s">
        <v>648</v>
      </c>
      <c r="B381" s="1">
        <v>935</v>
      </c>
      <c r="C381" s="1">
        <v>1</v>
      </c>
      <c r="D381" s="1" t="s">
        <v>634</v>
      </c>
      <c r="E381" s="1" t="s">
        <v>642</v>
      </c>
      <c r="F381" s="1">
        <v>2</v>
      </c>
      <c r="H381" s="1" t="s">
        <v>617</v>
      </c>
      <c r="J381" s="1" t="s">
        <v>594</v>
      </c>
      <c r="K381" s="1" t="s">
        <v>362</v>
      </c>
      <c r="L381" s="1" t="s">
        <v>616</v>
      </c>
      <c r="P381" s="1" t="s">
        <v>169</v>
      </c>
      <c r="Q381" s="1" t="s">
        <v>230</v>
      </c>
    </row>
    <row r="382" spans="1:17">
      <c r="A382" s="1" t="s">
        <v>649</v>
      </c>
      <c r="B382" s="1">
        <v>936</v>
      </c>
      <c r="C382" s="1">
        <v>1</v>
      </c>
      <c r="D382" s="1" t="s">
        <v>639</v>
      </c>
      <c r="E382" s="1" t="s">
        <v>640</v>
      </c>
      <c r="F382" s="1">
        <v>2</v>
      </c>
      <c r="H382" s="1" t="s">
        <v>617</v>
      </c>
      <c r="J382" s="1" t="s">
        <v>362</v>
      </c>
      <c r="L382" s="1" t="s">
        <v>616</v>
      </c>
      <c r="P382" s="1" t="s">
        <v>169</v>
      </c>
      <c r="Q382" s="1" t="s">
        <v>230</v>
      </c>
    </row>
    <row r="383" spans="1:17">
      <c r="A383" s="1" t="s">
        <v>649</v>
      </c>
      <c r="B383" s="1">
        <v>937</v>
      </c>
      <c r="C383" s="1">
        <v>1</v>
      </c>
      <c r="D383" s="1" t="s">
        <v>640</v>
      </c>
      <c r="E383" s="1" t="s">
        <v>634</v>
      </c>
      <c r="F383" s="1">
        <v>2</v>
      </c>
      <c r="H383" s="1" t="s">
        <v>617</v>
      </c>
      <c r="J383" s="1" t="s">
        <v>362</v>
      </c>
      <c r="L383" s="1" t="s">
        <v>616</v>
      </c>
      <c r="P383" s="1" t="s">
        <v>169</v>
      </c>
      <c r="Q383" s="1" t="s">
        <v>230</v>
      </c>
    </row>
    <row r="384" spans="1:17">
      <c r="A384" s="1" t="s">
        <v>649</v>
      </c>
      <c r="B384" s="1">
        <v>938</v>
      </c>
      <c r="C384" s="1">
        <v>1</v>
      </c>
      <c r="D384" s="1" t="s">
        <v>634</v>
      </c>
      <c r="E384" s="1" t="s">
        <v>642</v>
      </c>
      <c r="F384" s="1">
        <v>2</v>
      </c>
      <c r="H384" s="1" t="s">
        <v>617</v>
      </c>
      <c r="J384" s="1" t="s">
        <v>362</v>
      </c>
      <c r="L384" s="1" t="s">
        <v>616</v>
      </c>
      <c r="P384" s="1" t="s">
        <v>169</v>
      </c>
      <c r="Q384" s="1" t="s">
        <v>230</v>
      </c>
    </row>
    <row r="385" spans="1:17">
      <c r="A385" s="1" t="s">
        <v>650</v>
      </c>
      <c r="B385" s="1">
        <v>939</v>
      </c>
      <c r="C385" s="1">
        <v>1</v>
      </c>
      <c r="D385" s="1" t="s">
        <v>639</v>
      </c>
      <c r="E385" s="1" t="s">
        <v>640</v>
      </c>
      <c r="F385" s="1">
        <v>2</v>
      </c>
      <c r="H385" s="1" t="s">
        <v>617</v>
      </c>
      <c r="J385" s="1" t="s">
        <v>362</v>
      </c>
      <c r="L385" s="1" t="s">
        <v>616</v>
      </c>
      <c r="P385" s="1" t="s">
        <v>169</v>
      </c>
      <c r="Q385" s="1" t="s">
        <v>230</v>
      </c>
    </row>
    <row r="386" spans="1:17">
      <c r="A386" s="1" t="s">
        <v>650</v>
      </c>
      <c r="B386" s="1">
        <v>940</v>
      </c>
      <c r="C386" s="1">
        <v>1</v>
      </c>
      <c r="D386" s="1" t="s">
        <v>640</v>
      </c>
      <c r="E386" s="1" t="s">
        <v>634</v>
      </c>
      <c r="F386" s="1">
        <v>2</v>
      </c>
      <c r="H386" s="1" t="s">
        <v>617</v>
      </c>
      <c r="J386" s="1" t="s">
        <v>362</v>
      </c>
      <c r="L386" s="1" t="s">
        <v>616</v>
      </c>
      <c r="P386" s="1" t="s">
        <v>169</v>
      </c>
      <c r="Q386" s="1" t="s">
        <v>230</v>
      </c>
    </row>
    <row r="387" spans="1:17">
      <c r="A387" s="1" t="s">
        <v>650</v>
      </c>
      <c r="B387" s="1">
        <v>941</v>
      </c>
      <c r="C387" s="1">
        <v>1</v>
      </c>
      <c r="D387" s="1" t="s">
        <v>634</v>
      </c>
      <c r="E387" s="1" t="s">
        <v>642</v>
      </c>
      <c r="F387" s="1">
        <v>2</v>
      </c>
      <c r="H387" s="1" t="s">
        <v>617</v>
      </c>
      <c r="J387" s="1" t="s">
        <v>362</v>
      </c>
      <c r="L387" s="1" t="s">
        <v>616</v>
      </c>
      <c r="P387" s="1" t="s">
        <v>169</v>
      </c>
      <c r="Q387" s="1" t="s">
        <v>230</v>
      </c>
    </row>
    <row r="388" spans="1:17">
      <c r="A388" s="1" t="s">
        <v>651</v>
      </c>
      <c r="B388" s="1">
        <v>1001</v>
      </c>
      <c r="C388" s="1">
        <v>1</v>
      </c>
      <c r="D388" s="1" t="s">
        <v>616</v>
      </c>
      <c r="E388" s="1" t="s">
        <v>642</v>
      </c>
      <c r="F388" s="1">
        <v>11</v>
      </c>
      <c r="P388" s="1" t="s">
        <v>169</v>
      </c>
      <c r="Q388" s="1" t="s">
        <v>652</v>
      </c>
    </row>
    <row r="389" spans="1:17">
      <c r="A389" s="1" t="s">
        <v>653</v>
      </c>
      <c r="B389" s="1">
        <v>1002</v>
      </c>
      <c r="C389" s="1">
        <v>1</v>
      </c>
      <c r="D389" s="1" t="s">
        <v>616</v>
      </c>
      <c r="E389" s="1" t="s">
        <v>642</v>
      </c>
      <c r="F389" s="1">
        <v>22</v>
      </c>
      <c r="P389" s="1" t="s">
        <v>169</v>
      </c>
      <c r="Q389" s="1" t="s">
        <v>169</v>
      </c>
    </row>
    <row r="390" spans="1:17">
      <c r="A390" s="1" t="s">
        <v>654</v>
      </c>
      <c r="B390" s="1">
        <v>1003</v>
      </c>
      <c r="C390" s="1">
        <v>1</v>
      </c>
      <c r="D390" s="1" t="s">
        <v>616</v>
      </c>
      <c r="E390" s="1" t="s">
        <v>642</v>
      </c>
      <c r="F390" s="1">
        <v>2</v>
      </c>
      <c r="P390" s="1" t="s">
        <v>169</v>
      </c>
      <c r="Q390" s="1" t="s">
        <v>499</v>
      </c>
    </row>
    <row r="391" spans="1:17">
      <c r="A391" s="1" t="s">
        <v>655</v>
      </c>
      <c r="B391" s="1">
        <v>1004</v>
      </c>
      <c r="C391" s="1">
        <v>1</v>
      </c>
      <c r="D391" s="1" t="s">
        <v>616</v>
      </c>
      <c r="E391" s="1" t="s">
        <v>642</v>
      </c>
      <c r="F391" s="1">
        <v>5</v>
      </c>
      <c r="P391" s="1" t="s">
        <v>169</v>
      </c>
      <c r="Q391" s="1" t="s">
        <v>513</v>
      </c>
    </row>
    <row r="392" spans="1:17">
      <c r="A392" s="1" t="s">
        <v>656</v>
      </c>
      <c r="B392" s="1">
        <v>651</v>
      </c>
      <c r="C392" s="1">
        <v>1</v>
      </c>
      <c r="D392" s="1" t="s">
        <v>573</v>
      </c>
      <c r="E392" s="1" t="s">
        <v>594</v>
      </c>
      <c r="F392" s="1">
        <v>20</v>
      </c>
      <c r="I392" s="1" t="s">
        <v>417</v>
      </c>
      <c r="P392" s="1" t="s">
        <v>169</v>
      </c>
      <c r="Q392" s="1" t="s">
        <v>657</v>
      </c>
    </row>
    <row r="393" spans="1:17">
      <c r="A393" s="1" t="s">
        <v>656</v>
      </c>
      <c r="B393" s="1">
        <v>700</v>
      </c>
      <c r="C393" s="1">
        <v>1</v>
      </c>
      <c r="D393" s="1" t="s">
        <v>581</v>
      </c>
      <c r="E393" s="1" t="s">
        <v>585</v>
      </c>
      <c r="F393" s="1">
        <v>20</v>
      </c>
      <c r="H393" s="1" t="s">
        <v>417</v>
      </c>
      <c r="J393" s="1" t="s">
        <v>520</v>
      </c>
      <c r="P393" s="1" t="s">
        <v>169</v>
      </c>
      <c r="Q393" s="1" t="s">
        <v>657</v>
      </c>
    </row>
    <row r="394" spans="1:17">
      <c r="A394" s="1" t="s">
        <v>658</v>
      </c>
      <c r="B394" s="1">
        <v>659</v>
      </c>
      <c r="C394" s="1">
        <v>1</v>
      </c>
      <c r="D394" s="1" t="s">
        <v>573</v>
      </c>
      <c r="E394" s="1" t="s">
        <v>581</v>
      </c>
      <c r="F394" s="1">
        <v>3</v>
      </c>
      <c r="I394" s="1" t="s">
        <v>417</v>
      </c>
      <c r="P394" s="1" t="s">
        <v>169</v>
      </c>
      <c r="Q394" s="1" t="s">
        <v>328</v>
      </c>
    </row>
    <row r="395" spans="1:17">
      <c r="A395" s="1" t="s">
        <v>659</v>
      </c>
      <c r="B395" s="1">
        <v>660</v>
      </c>
      <c r="C395" s="1">
        <v>1</v>
      </c>
      <c r="D395" s="1" t="s">
        <v>581</v>
      </c>
      <c r="E395" s="1" t="s">
        <v>583</v>
      </c>
      <c r="F395" s="1">
        <v>3</v>
      </c>
      <c r="I395" s="1" t="s">
        <v>417</v>
      </c>
      <c r="P395" s="1" t="s">
        <v>169</v>
      </c>
      <c r="Q395" s="1" t="s">
        <v>328</v>
      </c>
    </row>
    <row r="396" spans="1:17">
      <c r="A396" s="1" t="s">
        <v>660</v>
      </c>
      <c r="B396" s="1">
        <v>661</v>
      </c>
      <c r="C396" s="1">
        <v>1</v>
      </c>
      <c r="D396" s="1" t="s">
        <v>583</v>
      </c>
      <c r="E396" s="1" t="s">
        <v>574</v>
      </c>
      <c r="F396" s="1">
        <v>3</v>
      </c>
      <c r="I396" s="1" t="s">
        <v>417</v>
      </c>
      <c r="P396" s="1" t="s">
        <v>169</v>
      </c>
      <c r="Q396" s="1" t="s">
        <v>328</v>
      </c>
    </row>
    <row r="397" spans="1:17">
      <c r="A397" s="1" t="s">
        <v>661</v>
      </c>
      <c r="B397" s="1">
        <v>662</v>
      </c>
      <c r="C397" s="1">
        <v>1</v>
      </c>
      <c r="D397" s="1" t="s">
        <v>574</v>
      </c>
      <c r="E397" s="1" t="s">
        <v>594</v>
      </c>
      <c r="F397" s="1">
        <v>3</v>
      </c>
      <c r="I397" s="1" t="s">
        <v>417</v>
      </c>
      <c r="P397" s="1" t="s">
        <v>169</v>
      </c>
      <c r="Q397" s="1" t="s">
        <v>328</v>
      </c>
    </row>
    <row r="398" spans="1:17">
      <c r="A398" s="1" t="s">
        <v>662</v>
      </c>
      <c r="B398" s="1">
        <v>722</v>
      </c>
      <c r="C398" s="1">
        <v>1</v>
      </c>
      <c r="D398" s="1" t="s">
        <v>581</v>
      </c>
      <c r="E398" s="1" t="s">
        <v>583</v>
      </c>
      <c r="F398" s="1">
        <v>3</v>
      </c>
      <c r="H398" s="1" t="s">
        <v>417</v>
      </c>
      <c r="J398" s="1" t="s">
        <v>520</v>
      </c>
      <c r="K398" s="1" t="s">
        <v>416</v>
      </c>
      <c r="P398" s="1" t="s">
        <v>169</v>
      </c>
      <c r="Q398" s="1" t="s">
        <v>328</v>
      </c>
    </row>
    <row r="399" spans="1:17">
      <c r="A399" s="1" t="s">
        <v>663</v>
      </c>
      <c r="B399" s="1">
        <v>723</v>
      </c>
      <c r="C399" s="1">
        <v>1</v>
      </c>
      <c r="D399" s="1" t="s">
        <v>583</v>
      </c>
      <c r="E399" s="1" t="s">
        <v>574</v>
      </c>
      <c r="F399" s="1">
        <v>3</v>
      </c>
      <c r="H399" s="1" t="s">
        <v>417</v>
      </c>
      <c r="J399" s="1" t="s">
        <v>520</v>
      </c>
      <c r="K399" s="1" t="s">
        <v>416</v>
      </c>
      <c r="P399" s="1" t="s">
        <v>169</v>
      </c>
      <c r="Q399" s="1" t="s">
        <v>328</v>
      </c>
    </row>
    <row r="400" spans="1:17">
      <c r="A400" s="1" t="s">
        <v>664</v>
      </c>
      <c r="B400" s="1">
        <v>724</v>
      </c>
      <c r="C400" s="1">
        <v>1</v>
      </c>
      <c r="D400" s="1" t="s">
        <v>574</v>
      </c>
      <c r="E400" s="1" t="s">
        <v>594</v>
      </c>
      <c r="F400" s="1">
        <v>3</v>
      </c>
      <c r="H400" s="1" t="s">
        <v>417</v>
      </c>
      <c r="J400" s="1" t="s">
        <v>520</v>
      </c>
      <c r="K400" s="1" t="s">
        <v>416</v>
      </c>
      <c r="P400" s="1" t="s">
        <v>169</v>
      </c>
      <c r="Q400" s="1" t="s">
        <v>328</v>
      </c>
    </row>
    <row r="401" spans="1:17">
      <c r="A401" s="1" t="s">
        <v>665</v>
      </c>
      <c r="B401" s="1">
        <v>725</v>
      </c>
      <c r="C401" s="1">
        <v>1</v>
      </c>
      <c r="D401" s="1" t="s">
        <v>594</v>
      </c>
      <c r="E401" s="1" t="s">
        <v>585</v>
      </c>
      <c r="F401" s="1">
        <v>3</v>
      </c>
      <c r="H401" s="1" t="s">
        <v>417</v>
      </c>
      <c r="J401" s="1" t="s">
        <v>520</v>
      </c>
      <c r="K401" s="1" t="s">
        <v>416</v>
      </c>
      <c r="P401" s="1" t="s">
        <v>169</v>
      </c>
      <c r="Q401" s="1" t="s">
        <v>328</v>
      </c>
    </row>
    <row r="402" spans="1:17">
      <c r="A402" s="1" t="s">
        <v>666</v>
      </c>
      <c r="B402" s="1">
        <v>727</v>
      </c>
      <c r="C402" s="1">
        <v>1</v>
      </c>
      <c r="D402" s="1" t="s">
        <v>581</v>
      </c>
      <c r="E402" s="1" t="s">
        <v>583</v>
      </c>
      <c r="F402" s="1">
        <v>3</v>
      </c>
      <c r="H402" s="1" t="s">
        <v>417</v>
      </c>
      <c r="J402" s="1" t="s">
        <v>416</v>
      </c>
      <c r="K402" s="1" t="s">
        <v>291</v>
      </c>
      <c r="P402" s="1" t="s">
        <v>169</v>
      </c>
      <c r="Q402" s="1" t="s">
        <v>328</v>
      </c>
    </row>
    <row r="403" spans="1:17">
      <c r="A403" s="1" t="s">
        <v>667</v>
      </c>
      <c r="B403" s="1">
        <v>728</v>
      </c>
      <c r="C403" s="1">
        <v>1</v>
      </c>
      <c r="D403" s="1" t="s">
        <v>583</v>
      </c>
      <c r="E403" s="1" t="s">
        <v>574</v>
      </c>
      <c r="F403" s="1">
        <v>3</v>
      </c>
      <c r="H403" s="1" t="s">
        <v>417</v>
      </c>
      <c r="J403" s="1" t="s">
        <v>416</v>
      </c>
      <c r="K403" s="1" t="s">
        <v>291</v>
      </c>
      <c r="P403" s="1" t="s">
        <v>169</v>
      </c>
      <c r="Q403" s="1" t="s">
        <v>328</v>
      </c>
    </row>
    <row r="404" spans="1:17">
      <c r="A404" s="1" t="s">
        <v>668</v>
      </c>
      <c r="B404" s="1">
        <v>729</v>
      </c>
      <c r="C404" s="1">
        <v>1</v>
      </c>
      <c r="D404" s="1" t="s">
        <v>574</v>
      </c>
      <c r="E404" s="1" t="s">
        <v>594</v>
      </c>
      <c r="F404" s="1">
        <v>3</v>
      </c>
      <c r="H404" s="1" t="s">
        <v>417</v>
      </c>
      <c r="J404" s="1" t="s">
        <v>416</v>
      </c>
      <c r="K404" s="1" t="s">
        <v>291</v>
      </c>
      <c r="P404" s="1" t="s">
        <v>169</v>
      </c>
      <c r="Q404" s="1" t="s">
        <v>328</v>
      </c>
    </row>
    <row r="405" spans="1:17">
      <c r="A405" s="1" t="s">
        <v>669</v>
      </c>
      <c r="B405" s="1">
        <v>730</v>
      </c>
      <c r="C405" s="1">
        <v>1</v>
      </c>
      <c r="D405" s="1" t="s">
        <v>594</v>
      </c>
      <c r="E405" s="1" t="s">
        <v>585</v>
      </c>
      <c r="F405" s="1">
        <v>3</v>
      </c>
      <c r="H405" s="1" t="s">
        <v>417</v>
      </c>
      <c r="J405" s="1" t="s">
        <v>416</v>
      </c>
      <c r="K405" s="1" t="s">
        <v>291</v>
      </c>
      <c r="P405" s="1" t="s">
        <v>169</v>
      </c>
      <c r="Q405" s="1" t="s">
        <v>328</v>
      </c>
    </row>
    <row r="406" spans="1:17">
      <c r="A406" s="1" t="s">
        <v>670</v>
      </c>
      <c r="B406" s="1">
        <v>732</v>
      </c>
      <c r="C406" s="1">
        <v>1</v>
      </c>
      <c r="D406" s="1" t="s">
        <v>581</v>
      </c>
      <c r="E406" s="1" t="s">
        <v>583</v>
      </c>
      <c r="F406" s="1">
        <v>3</v>
      </c>
      <c r="H406" s="1" t="s">
        <v>417</v>
      </c>
      <c r="J406" s="1" t="s">
        <v>291</v>
      </c>
      <c r="P406" s="1" t="s">
        <v>169</v>
      </c>
      <c r="Q406" s="1" t="s">
        <v>328</v>
      </c>
    </row>
    <row r="407" spans="1:17">
      <c r="A407" s="1" t="s">
        <v>671</v>
      </c>
      <c r="B407" s="1">
        <v>733</v>
      </c>
      <c r="C407" s="1">
        <v>1</v>
      </c>
      <c r="D407" s="1" t="s">
        <v>583</v>
      </c>
      <c r="E407" s="1" t="s">
        <v>574</v>
      </c>
      <c r="F407" s="1">
        <v>3</v>
      </c>
      <c r="H407" s="1" t="s">
        <v>417</v>
      </c>
      <c r="J407" s="1" t="s">
        <v>291</v>
      </c>
      <c r="P407" s="1" t="s">
        <v>169</v>
      </c>
      <c r="Q407" s="1" t="s">
        <v>328</v>
      </c>
    </row>
    <row r="408" spans="1:17">
      <c r="A408" s="1" t="s">
        <v>672</v>
      </c>
      <c r="B408" s="1">
        <v>734</v>
      </c>
      <c r="C408" s="1">
        <v>1</v>
      </c>
      <c r="D408" s="1" t="s">
        <v>574</v>
      </c>
      <c r="E408" s="1" t="s">
        <v>594</v>
      </c>
      <c r="F408" s="1">
        <v>3</v>
      </c>
      <c r="H408" s="1" t="s">
        <v>417</v>
      </c>
      <c r="J408" s="1" t="s">
        <v>291</v>
      </c>
      <c r="P408" s="1" t="s">
        <v>169</v>
      </c>
      <c r="Q408" s="1" t="s">
        <v>328</v>
      </c>
    </row>
    <row r="409" spans="1:17">
      <c r="A409" s="1" t="s">
        <v>673</v>
      </c>
      <c r="B409" s="1">
        <v>735</v>
      </c>
      <c r="C409" s="1">
        <v>1</v>
      </c>
      <c r="D409" s="1" t="s">
        <v>594</v>
      </c>
      <c r="E409" s="1" t="s">
        <v>585</v>
      </c>
      <c r="F409" s="1">
        <v>3</v>
      </c>
      <c r="H409" s="1" t="s">
        <v>417</v>
      </c>
      <c r="J409" s="1" t="s">
        <v>291</v>
      </c>
      <c r="P409" s="1" t="s">
        <v>169</v>
      </c>
      <c r="Q409" s="1" t="s">
        <v>328</v>
      </c>
    </row>
  </sheetData>
  <phoneticPr fontId="1" type="noConversion"/>
  <conditionalFormatting sqref="B1">
    <cfRule type="duplicateValues" dxfId="7" priority="3"/>
  </conditionalFormatting>
  <conditionalFormatting sqref="B1">
    <cfRule type="duplicateValues" dxfId="6" priority="4"/>
  </conditionalFormatting>
  <conditionalFormatting sqref="B1">
    <cfRule type="duplicateValues" dxfId="5" priority="5"/>
  </conditionalFormatting>
  <conditionalFormatting sqref="B1">
    <cfRule type="duplicateValues" dxfId="4" priority="6"/>
  </conditionalFormatting>
  <conditionalFormatting sqref="B1">
    <cfRule type="duplicateValues" dxfId="3" priority="7"/>
  </conditionalFormatting>
  <conditionalFormatting sqref="B1">
    <cfRule type="duplicateValues" dxfId="2" priority="8"/>
  </conditionalFormatting>
  <conditionalFormatting sqref="B1">
    <cfRule type="duplicateValues" dxfId="1" priority="2"/>
  </conditionalFormatting>
  <conditionalFormatting sqref="B1">
    <cfRule type="duplicateValues" dxfId="0" priority="1"/>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C229"/>
  <sheetViews>
    <sheetView workbookViewId="0">
      <pane xSplit="1" ySplit="2" topLeftCell="H45" activePane="bottomRight" state="frozen"/>
      <selection pane="topRight" activeCell="B1" sqref="B1"/>
      <selection pane="bottomLeft" activeCell="A3" sqref="A3"/>
      <selection pane="bottomRight" activeCell="U85" sqref="U85"/>
    </sheetView>
  </sheetViews>
  <sheetFormatPr defaultRowHeight="13.5"/>
  <cols>
    <col min="1" max="1" width="42.625" style="1" bestFit="1" customWidth="1"/>
    <col min="2" max="3" width="9" style="1"/>
    <col min="4" max="4" width="5.25" style="1" bestFit="1" customWidth="1"/>
    <col min="5" max="5" width="9" style="1"/>
    <col min="6" max="9" width="5.25" style="1" bestFit="1" customWidth="1"/>
    <col min="10" max="11" width="11" style="1" bestFit="1" customWidth="1"/>
    <col min="12" max="12" width="9" style="1"/>
    <col min="13" max="13" width="13" style="1" bestFit="1" customWidth="1"/>
    <col min="14" max="15" width="9" style="1"/>
    <col min="16" max="16" width="9" style="1" bestFit="1" customWidth="1"/>
    <col min="17" max="17" width="11" style="1" bestFit="1" customWidth="1"/>
    <col min="18" max="20" width="19.5" style="1" bestFit="1" customWidth="1"/>
    <col min="21" max="21" width="7.5" style="1" bestFit="1" customWidth="1"/>
    <col min="22" max="22" width="22.5" style="1" bestFit="1" customWidth="1"/>
    <col min="23" max="23" width="8.5" style="1" bestFit="1" customWidth="1"/>
    <col min="24" max="24" width="7.5" style="1" bestFit="1" customWidth="1"/>
    <col min="25" max="25" width="19.25" style="1" bestFit="1" customWidth="1"/>
    <col min="26" max="26" width="8.5" style="1" bestFit="1" customWidth="1"/>
    <col min="27" max="27" width="7.5" style="1" bestFit="1" customWidth="1"/>
    <col min="28" max="28" width="12.125" style="1" bestFit="1" customWidth="1"/>
    <col min="29" max="29" width="9.5" style="1" bestFit="1" customWidth="1"/>
    <col min="30" max="16384" width="9" style="1"/>
  </cols>
  <sheetData>
    <row r="1" spans="1:29">
      <c r="A1" s="34" t="s">
        <v>725</v>
      </c>
      <c r="R1" s="107" t="s">
        <v>35</v>
      </c>
      <c r="S1" s="108"/>
      <c r="T1" s="108"/>
      <c r="U1" s="108"/>
      <c r="V1" s="108"/>
      <c r="W1" s="108"/>
      <c r="X1" s="108"/>
      <c r="Y1" s="108"/>
      <c r="Z1" s="108"/>
      <c r="AA1" s="108"/>
      <c r="AB1" s="108"/>
      <c r="AC1" s="108"/>
    </row>
    <row r="2" spans="1:29">
      <c r="A2" s="3" t="s">
        <v>19</v>
      </c>
      <c r="B2" s="3" t="s">
        <v>32</v>
      </c>
      <c r="C2" s="3" t="s">
        <v>33</v>
      </c>
      <c r="D2" s="3" t="s">
        <v>20</v>
      </c>
      <c r="E2" s="3" t="s">
        <v>675</v>
      </c>
      <c r="F2" s="3" t="s">
        <v>676</v>
      </c>
      <c r="G2" s="3" t="s">
        <v>677</v>
      </c>
      <c r="H2" s="3" t="s">
        <v>678</v>
      </c>
      <c r="I2" s="3" t="s">
        <v>679</v>
      </c>
      <c r="J2" s="3" t="s">
        <v>680</v>
      </c>
      <c r="K2" s="3" t="s">
        <v>681</v>
      </c>
      <c r="L2" s="3" t="s">
        <v>682</v>
      </c>
      <c r="M2" s="3" t="s">
        <v>683</v>
      </c>
      <c r="N2" s="3" t="s">
        <v>684</v>
      </c>
      <c r="O2" s="3" t="s">
        <v>34</v>
      </c>
      <c r="P2" s="3" t="s">
        <v>685</v>
      </c>
      <c r="Q2" s="3" t="s">
        <v>686</v>
      </c>
      <c r="R2" s="3" t="s">
        <v>688</v>
      </c>
      <c r="S2" s="3" t="s">
        <v>689</v>
      </c>
      <c r="T2" s="3" t="s">
        <v>690</v>
      </c>
      <c r="U2" s="4" t="s">
        <v>2</v>
      </c>
      <c r="V2" s="4" t="s">
        <v>3</v>
      </c>
      <c r="W2" s="4" t="s">
        <v>4</v>
      </c>
      <c r="X2" s="4" t="s">
        <v>2</v>
      </c>
      <c r="Y2" s="4" t="s">
        <v>3</v>
      </c>
      <c r="Z2" s="4" t="s">
        <v>4</v>
      </c>
      <c r="AA2" s="4" t="s">
        <v>2</v>
      </c>
      <c r="AB2" s="4" t="s">
        <v>3</v>
      </c>
      <c r="AC2" s="4" t="s">
        <v>4</v>
      </c>
    </row>
    <row r="3" spans="1:29">
      <c r="A3" s="1" t="str">
        <f>INDEX([2]活动总表!$A$8:$A$429,MATCH(B3,[2]活动总表!$B$8:$B$429,0))</f>
        <v>开服活动-等级达标</v>
      </c>
      <c r="B3" s="1">
        <v>0</v>
      </c>
      <c r="C3" s="1">
        <v>1</v>
      </c>
      <c r="D3" s="1">
        <v>10</v>
      </c>
      <c r="E3" s="1">
        <v>0</v>
      </c>
      <c r="P3" s="1">
        <v>0</v>
      </c>
      <c r="U3" s="1">
        <v>200002</v>
      </c>
      <c r="V3" s="1" t="str">
        <f>INDEX([1]物品基础表!$A:$A,MATCH(U3,[1]物品基础表!$B:$B,0))</f>
        <v>强化石</v>
      </c>
      <c r="W3" s="1">
        <v>10</v>
      </c>
      <c r="X3" s="1">
        <v>200002</v>
      </c>
      <c r="Y3" s="1" t="str">
        <f>INDEX([1]物品基础表!$A:$A,MATCH(X3,[1]物品基础表!$B:$B,0))</f>
        <v>强化石</v>
      </c>
      <c r="Z3" s="1">
        <v>10</v>
      </c>
    </row>
    <row r="4" spans="1:29">
      <c r="A4" s="1" t="str">
        <f>INDEX([2]活动总表!$A$8:$A$429,MATCH(B4,[2]活动总表!$B$8:$B$429,0))</f>
        <v>开服活动-等级达标</v>
      </c>
      <c r="B4" s="1">
        <v>0</v>
      </c>
      <c r="C4" s="1">
        <v>2</v>
      </c>
      <c r="D4" s="1">
        <v>20</v>
      </c>
      <c r="E4" s="1">
        <v>0</v>
      </c>
      <c r="P4" s="1">
        <v>0</v>
      </c>
      <c r="U4" s="1">
        <v>200002</v>
      </c>
      <c r="V4" s="1" t="str">
        <f>INDEX([1]物品基础表!$A:$A,MATCH(U4,[1]物品基础表!$B:$B,0))</f>
        <v>强化石</v>
      </c>
      <c r="W4" s="1">
        <v>20</v>
      </c>
      <c r="X4" s="1">
        <v>200002</v>
      </c>
      <c r="Y4" s="1" t="str">
        <f>INDEX([1]物品基础表!$A:$A,MATCH(X4,[1]物品基础表!$B:$B,0))</f>
        <v>强化石</v>
      </c>
      <c r="Z4" s="1">
        <v>20</v>
      </c>
      <c r="AA4" s="1">
        <v>1</v>
      </c>
      <c r="AB4" s="1" t="s">
        <v>695</v>
      </c>
      <c r="AC4" s="1">
        <v>100000</v>
      </c>
    </row>
    <row r="5" spans="1:29">
      <c r="A5" s="1" t="str">
        <f>INDEX([2]活动总表!$A$8:$A$429,MATCH(B5,[2]活动总表!$B$8:$B$429,0))</f>
        <v>开服活动-等级达标</v>
      </c>
      <c r="B5" s="1">
        <v>0</v>
      </c>
      <c r="C5" s="1">
        <v>3</v>
      </c>
      <c r="D5" s="1">
        <v>30</v>
      </c>
      <c r="E5" s="1">
        <v>0</v>
      </c>
      <c r="P5" s="1">
        <v>0</v>
      </c>
      <c r="U5" s="1">
        <v>200002</v>
      </c>
      <c r="V5" s="1" t="str">
        <f>INDEX([1]物品基础表!$A:$A,MATCH(U5,[1]物品基础表!$B:$B,0))</f>
        <v>强化石</v>
      </c>
      <c r="W5" s="1">
        <v>30</v>
      </c>
      <c r="X5" s="1">
        <v>200002</v>
      </c>
      <c r="Y5" s="1" t="str">
        <f>INDEX([1]物品基础表!$A:$A,MATCH(X5,[1]物品基础表!$B:$B,0))</f>
        <v>强化石</v>
      </c>
      <c r="Z5" s="1">
        <v>30</v>
      </c>
      <c r="AA5" s="1">
        <v>1</v>
      </c>
      <c r="AB5" s="1" t="s">
        <v>695</v>
      </c>
      <c r="AC5" s="1">
        <v>200000</v>
      </c>
    </row>
    <row r="6" spans="1:29">
      <c r="A6" s="1" t="str">
        <f>INDEX([2]活动总表!$A$8:$A$429,MATCH(B6,[2]活动总表!$B$8:$B$429,0))</f>
        <v>开服活动-等级达标</v>
      </c>
      <c r="B6" s="1">
        <v>0</v>
      </c>
      <c r="C6" s="1">
        <v>4</v>
      </c>
      <c r="D6" s="1">
        <v>40</v>
      </c>
      <c r="E6" s="1">
        <v>0</v>
      </c>
      <c r="P6" s="1">
        <v>0</v>
      </c>
      <c r="U6" s="1">
        <v>200002</v>
      </c>
      <c r="V6" s="1" t="str">
        <f>INDEX([1]物品基础表!$A:$A,MATCH(U6,[1]物品基础表!$B:$B,0))</f>
        <v>强化石</v>
      </c>
      <c r="W6" s="1">
        <v>40</v>
      </c>
      <c r="X6" s="1">
        <v>200002</v>
      </c>
      <c r="Y6" s="1" t="str">
        <f>INDEX([1]物品基础表!$A:$A,MATCH(X6,[1]物品基础表!$B:$B,0))</f>
        <v>强化石</v>
      </c>
      <c r="Z6" s="1">
        <v>40</v>
      </c>
      <c r="AA6" s="1">
        <v>1</v>
      </c>
      <c r="AB6" s="1" t="s">
        <v>695</v>
      </c>
      <c r="AC6" s="1">
        <v>300000</v>
      </c>
    </row>
    <row r="7" spans="1:29">
      <c r="A7" s="1" t="str">
        <f>INDEX([2]活动总表!$A$8:$A$429,MATCH(B7,[2]活动总表!$B$8:$B$429,0))</f>
        <v>开服活动-等级达标</v>
      </c>
      <c r="B7" s="1">
        <v>0</v>
      </c>
      <c r="C7" s="1">
        <v>5</v>
      </c>
      <c r="D7" s="1">
        <v>50</v>
      </c>
      <c r="E7" s="1">
        <v>0</v>
      </c>
      <c r="P7" s="1">
        <v>0</v>
      </c>
      <c r="U7" s="1">
        <v>200002</v>
      </c>
      <c r="V7" s="1" t="str">
        <f>INDEX([1]物品基础表!$A:$A,MATCH(U7,[1]物品基础表!$B:$B,0))</f>
        <v>强化石</v>
      </c>
      <c r="W7" s="1">
        <v>50</v>
      </c>
      <c r="X7" s="1">
        <v>200002</v>
      </c>
      <c r="Y7" s="1" t="str">
        <f>INDEX([1]物品基础表!$A:$A,MATCH(X7,[1]物品基础表!$B:$B,0))</f>
        <v>强化石</v>
      </c>
      <c r="Z7" s="1">
        <v>50</v>
      </c>
      <c r="AA7" s="1">
        <v>1</v>
      </c>
      <c r="AB7" s="1" t="s">
        <v>695</v>
      </c>
      <c r="AC7" s="1">
        <v>400000</v>
      </c>
    </row>
    <row r="8" spans="1:29">
      <c r="A8" s="1" t="str">
        <f>INDEX([2]活动总表!$A$8:$A$429,MATCH(B8,[2]活动总表!$B$8:$B$429,0))</f>
        <v>开服活动-等级达标</v>
      </c>
      <c r="B8" s="1">
        <v>0</v>
      </c>
      <c r="C8" s="1">
        <v>6</v>
      </c>
      <c r="D8" s="1">
        <v>60</v>
      </c>
      <c r="E8" s="1">
        <v>0</v>
      </c>
      <c r="P8" s="1">
        <v>0</v>
      </c>
      <c r="U8" s="1">
        <v>200155</v>
      </c>
      <c r="V8" s="1" t="str">
        <f>INDEX([1]物品基础表!$A:$A,MATCH(U8,[1]物品基础表!$B:$B,0))</f>
        <v>超值大礼包</v>
      </c>
      <c r="W8" s="1">
        <v>1</v>
      </c>
      <c r="X8" s="1">
        <v>200165</v>
      </c>
      <c r="Y8" s="1" t="str">
        <f>INDEX([1]物品基础表!$A:$A,MATCH(X8,[1]物品基础表!$B:$B,0))</f>
        <v>寻宝卷</v>
      </c>
      <c r="Z8" s="1">
        <v>1</v>
      </c>
      <c r="AA8" s="1">
        <v>1</v>
      </c>
      <c r="AB8" s="1" t="s">
        <v>695</v>
      </c>
      <c r="AC8" s="1">
        <v>500000</v>
      </c>
    </row>
    <row r="9" spans="1:29">
      <c r="A9" s="1" t="str">
        <f>INDEX([2]活动总表!$A$8:$A$429,MATCH(B9,[2]活动总表!$B$8:$B$429,0))</f>
        <v>开服活动-等级达标</v>
      </c>
      <c r="B9" s="1">
        <v>0</v>
      </c>
      <c r="C9" s="1">
        <v>7</v>
      </c>
      <c r="D9" s="1">
        <v>70</v>
      </c>
      <c r="E9" s="1">
        <v>0</v>
      </c>
      <c r="P9" s="1">
        <v>0</v>
      </c>
      <c r="R9" s="1" t="s">
        <v>691</v>
      </c>
      <c r="S9" s="1" t="s">
        <v>692</v>
      </c>
      <c r="T9" s="1" t="s">
        <v>693</v>
      </c>
      <c r="U9" s="1">
        <v>200165</v>
      </c>
      <c r="V9" s="1" t="str">
        <f>INDEX([1]物品基础表!$A:$A,MATCH(U9,[1]物品基础表!$B:$B,0))</f>
        <v>寻宝卷</v>
      </c>
      <c r="W9" s="1">
        <v>1</v>
      </c>
      <c r="X9" s="1">
        <v>1</v>
      </c>
      <c r="Y9" s="1" t="s">
        <v>695</v>
      </c>
      <c r="Z9" s="1">
        <v>600000</v>
      </c>
    </row>
    <row r="10" spans="1:29">
      <c r="A10" s="1" t="str">
        <f>INDEX([2]活动总表!$A$8:$A$429,MATCH(B10,[2]活动总表!$B$8:$B$429,0))</f>
        <v>开服活动-等级达标</v>
      </c>
      <c r="B10" s="1">
        <v>0</v>
      </c>
      <c r="C10" s="1">
        <v>8</v>
      </c>
      <c r="D10" s="1">
        <v>80</v>
      </c>
      <c r="E10" s="1">
        <v>0</v>
      </c>
      <c r="P10" s="1">
        <v>0</v>
      </c>
      <c r="U10" s="1">
        <v>200007</v>
      </c>
      <c r="V10" s="1" t="str">
        <f>INDEX([1]物品基础表!$A:$A,MATCH(U10,[1]物品基础表!$B:$B,0))</f>
        <v>神装碎片</v>
      </c>
      <c r="W10" s="1">
        <v>50</v>
      </c>
      <c r="X10" s="1">
        <v>200165</v>
      </c>
      <c r="Y10" s="1" t="str">
        <f>INDEX([1]物品基础表!$A:$A,MATCH(X10,[1]物品基础表!$B:$B,0))</f>
        <v>寻宝卷</v>
      </c>
      <c r="Z10" s="1">
        <v>1</v>
      </c>
      <c r="AA10" s="1">
        <v>1</v>
      </c>
      <c r="AB10" s="1" t="s">
        <v>695</v>
      </c>
      <c r="AC10" s="1">
        <v>700000</v>
      </c>
    </row>
    <row r="11" spans="1:29">
      <c r="A11" s="1" t="str">
        <f>INDEX([2]活动总表!$A$8:$A$429,MATCH(B11,[2]活动总表!$B$8:$B$429,0))</f>
        <v>开服活动-等级达标</v>
      </c>
      <c r="B11" s="1">
        <v>0</v>
      </c>
      <c r="C11" s="1">
        <v>9</v>
      </c>
      <c r="D11" s="1">
        <v>0</v>
      </c>
      <c r="E11" s="1">
        <v>1</v>
      </c>
      <c r="P11" s="1">
        <v>0</v>
      </c>
      <c r="U11" s="1">
        <v>200007</v>
      </c>
      <c r="V11" s="1" t="str">
        <f>INDEX([1]物品基础表!$A:$A,MATCH(U11,[1]物品基础表!$B:$B,0))</f>
        <v>神装碎片</v>
      </c>
      <c r="W11" s="1">
        <v>50</v>
      </c>
      <c r="X11" s="1">
        <v>200165</v>
      </c>
      <c r="Y11" s="1" t="str">
        <f>INDEX([1]物品基础表!$A:$A,MATCH(X11,[1]物品基础表!$B:$B,0))</f>
        <v>寻宝卷</v>
      </c>
      <c r="Z11" s="1">
        <v>1</v>
      </c>
      <c r="AA11" s="1">
        <v>1</v>
      </c>
      <c r="AB11" s="1" t="s">
        <v>695</v>
      </c>
      <c r="AC11" s="1">
        <v>800000</v>
      </c>
    </row>
    <row r="12" spans="1:29">
      <c r="A12" s="1" t="str">
        <f>INDEX([2]活动总表!$A$8:$A$429,MATCH(B12,[2]活动总表!$B$8:$B$429,0))</f>
        <v>开服活动-等级达标</v>
      </c>
      <c r="B12" s="1">
        <v>0</v>
      </c>
      <c r="C12" s="1">
        <v>10</v>
      </c>
      <c r="D12" s="1">
        <v>0</v>
      </c>
      <c r="E12" s="1">
        <v>2</v>
      </c>
      <c r="P12" s="1">
        <v>0</v>
      </c>
      <c r="U12" s="1">
        <v>200007</v>
      </c>
      <c r="V12" s="1" t="str">
        <f>INDEX([1]物品基础表!$A:$A,MATCH(U12,[1]物品基础表!$B:$B,0))</f>
        <v>神装碎片</v>
      </c>
      <c r="W12" s="1">
        <v>100</v>
      </c>
      <c r="X12" s="1">
        <v>201002</v>
      </c>
      <c r="Y12" s="1" t="str">
        <f>INDEX([1]物品基础表!$A:$A,MATCH(X12,[1]物品基础表!$B:$B,0))</f>
        <v>神秘钥匙</v>
      </c>
      <c r="Z12" s="1">
        <v>2</v>
      </c>
      <c r="AA12" s="1">
        <v>200004</v>
      </c>
      <c r="AB12" s="1" t="str">
        <f>INDEX([1]物品基础表!$A:$A,MATCH(AA12,[1]物品基础表!$B:$B,0))</f>
        <v>经脉丹</v>
      </c>
      <c r="AC12" s="1">
        <v>10</v>
      </c>
    </row>
    <row r="13" spans="1:29">
      <c r="A13" s="1" t="str">
        <f>INDEX([2]活动总表!$A$8:$A$429,MATCH(B13,[2]活动总表!$B$8:$B$429,0))</f>
        <v>开服活动-等级达标</v>
      </c>
      <c r="B13" s="1">
        <v>0</v>
      </c>
      <c r="C13" s="1">
        <v>11</v>
      </c>
      <c r="D13" s="1">
        <v>0</v>
      </c>
      <c r="E13" s="1">
        <v>3</v>
      </c>
      <c r="P13" s="1">
        <v>0</v>
      </c>
      <c r="U13" s="1">
        <v>200007</v>
      </c>
      <c r="V13" s="1" t="str">
        <f>INDEX([1]物品基础表!$A:$A,MATCH(U13,[1]物品基础表!$B:$B,0))</f>
        <v>神装碎片</v>
      </c>
      <c r="W13" s="1">
        <v>200</v>
      </c>
      <c r="X13" s="1">
        <v>201002</v>
      </c>
      <c r="Y13" s="1" t="str">
        <f>INDEX([1]物品基础表!$A:$A,MATCH(X13,[1]物品基础表!$B:$B,0))</f>
        <v>神秘钥匙</v>
      </c>
      <c r="Z13" s="1">
        <v>2</v>
      </c>
      <c r="AA13" s="1">
        <v>200004</v>
      </c>
      <c r="AB13" s="1" t="str">
        <f>INDEX([1]物品基础表!$A:$A,MATCH(AA13,[1]物品基础表!$B:$B,0))</f>
        <v>经脉丹</v>
      </c>
      <c r="AC13" s="1">
        <v>10</v>
      </c>
    </row>
    <row r="14" spans="1:29">
      <c r="A14" s="1" t="str">
        <f>INDEX([2]活动总表!$A$8:$A$429,MATCH(B14,[2]活动总表!$B$8:$B$429,0))</f>
        <v>开服活动-等级达标</v>
      </c>
      <c r="B14" s="1">
        <v>0</v>
      </c>
      <c r="C14" s="1">
        <v>12</v>
      </c>
      <c r="D14" s="1">
        <v>0</v>
      </c>
      <c r="E14" s="1">
        <v>4</v>
      </c>
      <c r="P14" s="1">
        <v>0</v>
      </c>
      <c r="U14" s="1">
        <v>200007</v>
      </c>
      <c r="V14" s="1" t="str">
        <f>INDEX([1]物品基础表!$A:$A,MATCH(U14,[1]物品基础表!$B:$B,0))</f>
        <v>神装碎片</v>
      </c>
      <c r="W14" s="1">
        <v>200</v>
      </c>
      <c r="X14" s="1">
        <v>201002</v>
      </c>
      <c r="Y14" s="1" t="str">
        <f>INDEX([1]物品基础表!$A:$A,MATCH(X14,[1]物品基础表!$B:$B,0))</f>
        <v>神秘钥匙</v>
      </c>
      <c r="Z14" s="1">
        <v>2</v>
      </c>
      <c r="AA14" s="1">
        <v>200004</v>
      </c>
      <c r="AB14" s="1" t="str">
        <f>INDEX([1]物品基础表!$A:$A,MATCH(AA14,[1]物品基础表!$B:$B,0))</f>
        <v>经脉丹</v>
      </c>
      <c r="AC14" s="1">
        <v>10</v>
      </c>
    </row>
    <row r="15" spans="1:29">
      <c r="A15" s="1" t="str">
        <f>INDEX([2]活动总表!$A$8:$A$429,MATCH(B15,[2]活动总表!$B$8:$B$429,0))</f>
        <v>开服活动-等级达标</v>
      </c>
      <c r="B15" s="1">
        <v>0</v>
      </c>
      <c r="C15" s="1">
        <v>13</v>
      </c>
      <c r="D15" s="1">
        <v>0</v>
      </c>
      <c r="E15" s="1">
        <v>5</v>
      </c>
      <c r="P15" s="1">
        <v>0</v>
      </c>
      <c r="U15" s="1">
        <v>200007</v>
      </c>
      <c r="V15" s="1" t="str">
        <f>INDEX([1]物品基础表!$A:$A,MATCH(U15,[1]物品基础表!$B:$B,0))</f>
        <v>神装碎片</v>
      </c>
      <c r="W15" s="1">
        <v>300</v>
      </c>
      <c r="X15" s="1">
        <v>201002</v>
      </c>
      <c r="Y15" s="1" t="str">
        <f>INDEX([1]物品基础表!$A:$A,MATCH(X15,[1]物品基础表!$B:$B,0))</f>
        <v>神秘钥匙</v>
      </c>
      <c r="Z15" s="1">
        <v>2</v>
      </c>
      <c r="AA15" s="1">
        <v>200004</v>
      </c>
      <c r="AB15" s="1" t="str">
        <f>INDEX([1]物品基础表!$A:$A,MATCH(AA15,[1]物品基础表!$B:$B,0))</f>
        <v>经脉丹</v>
      </c>
      <c r="AC15" s="1">
        <v>10</v>
      </c>
    </row>
    <row r="16" spans="1:29">
      <c r="A16" s="1" t="str">
        <f>INDEX([2]活动总表!$A$8:$A$429,MATCH(B16,[2]活动总表!$B$8:$B$429,0))</f>
        <v>开服活动-等级达标</v>
      </c>
      <c r="B16" s="1">
        <v>0</v>
      </c>
      <c r="C16" s="1">
        <v>14</v>
      </c>
      <c r="D16" s="1">
        <v>0</v>
      </c>
      <c r="E16" s="1">
        <v>6</v>
      </c>
      <c r="P16" s="1">
        <v>0</v>
      </c>
      <c r="U16" s="1">
        <v>200007</v>
      </c>
      <c r="V16" s="1" t="str">
        <f>INDEX([1]物品基础表!$A:$A,MATCH(U16,[1]物品基础表!$B:$B,0))</f>
        <v>神装碎片</v>
      </c>
      <c r="W16" s="1">
        <v>400</v>
      </c>
      <c r="X16" s="1">
        <v>201002</v>
      </c>
      <c r="Y16" s="1" t="str">
        <f>INDEX([1]物品基础表!$A:$A,MATCH(X16,[1]物品基础表!$B:$B,0))</f>
        <v>神秘钥匙</v>
      </c>
      <c r="Z16" s="1">
        <v>2</v>
      </c>
      <c r="AA16" s="1">
        <v>200004</v>
      </c>
      <c r="AB16" s="1" t="str">
        <f>INDEX([1]物品基础表!$A:$A,MATCH(AA16,[1]物品基础表!$B:$B,0))</f>
        <v>经脉丹</v>
      </c>
      <c r="AC16" s="1">
        <v>10</v>
      </c>
    </row>
    <row r="17" spans="1:29">
      <c r="A17" s="1" t="str">
        <f>INDEX([2]活动总表!$A$8:$A$429,MATCH(B17,[2]活动总表!$B$8:$B$429,0))</f>
        <v>开服活动-翅膀达标</v>
      </c>
      <c r="B17" s="1">
        <v>1</v>
      </c>
      <c r="C17" s="1">
        <v>1</v>
      </c>
      <c r="F17" s="1">
        <v>4</v>
      </c>
      <c r="P17" s="1">
        <v>1</v>
      </c>
      <c r="U17" s="1">
        <v>200001</v>
      </c>
      <c r="V17" s="1" t="str">
        <f>INDEX([1]物品基础表!$A:$A,MATCH(U17,[1]物品基础表!$B:$B,0))</f>
        <v>羽毛</v>
      </c>
      <c r="W17" s="1">
        <v>10</v>
      </c>
      <c r="X17" s="1">
        <v>200156</v>
      </c>
      <c r="Y17" s="1" t="str">
        <f>INDEX([1]物品基础表!$A:$A,MATCH(X17,[1]物品基础表!$B:$B,0))</f>
        <v>野外BOSS次数卷轴</v>
      </c>
      <c r="Z17" s="1">
        <v>1</v>
      </c>
      <c r="AA17" s="1">
        <v>1</v>
      </c>
      <c r="AB17" s="1" t="s">
        <v>695</v>
      </c>
      <c r="AC17" s="1">
        <v>200000</v>
      </c>
    </row>
    <row r="18" spans="1:29">
      <c r="A18" s="1" t="str">
        <f>INDEX([2]活动总表!$A$8:$A$429,MATCH(B18,[2]活动总表!$B$8:$B$429,0))</f>
        <v>开服活动-翅膀达标</v>
      </c>
      <c r="B18" s="1">
        <v>1</v>
      </c>
      <c r="C18" s="1">
        <v>2</v>
      </c>
      <c r="F18" s="1">
        <v>5</v>
      </c>
      <c r="P18" s="1">
        <v>1</v>
      </c>
      <c r="U18" s="1">
        <v>200001</v>
      </c>
      <c r="V18" s="1" t="str">
        <f>INDEX([1]物品基础表!$A:$A,MATCH(U18,[1]物品基础表!$B:$B,0))</f>
        <v>羽毛</v>
      </c>
      <c r="W18" s="1">
        <v>20</v>
      </c>
      <c r="X18" s="1">
        <v>200156</v>
      </c>
      <c r="Y18" s="1" t="str">
        <f>INDEX([1]物品基础表!$A:$A,MATCH(X18,[1]物品基础表!$B:$B,0))</f>
        <v>野外BOSS次数卷轴</v>
      </c>
      <c r="Z18" s="1">
        <v>2</v>
      </c>
      <c r="AA18" s="1">
        <v>1</v>
      </c>
      <c r="AB18" s="1" t="s">
        <v>695</v>
      </c>
      <c r="AC18" s="1">
        <v>300000</v>
      </c>
    </row>
    <row r="19" spans="1:29">
      <c r="A19" s="1" t="str">
        <f>INDEX([2]活动总表!$A$8:$A$429,MATCH(B19,[2]活动总表!$B$8:$B$429,0))</f>
        <v>开服活动-翅膀达标</v>
      </c>
      <c r="B19" s="1">
        <v>1</v>
      </c>
      <c r="C19" s="1">
        <v>3</v>
      </c>
      <c r="F19" s="1">
        <v>6</v>
      </c>
      <c r="P19" s="1">
        <v>1</v>
      </c>
      <c r="U19" s="1">
        <v>200001</v>
      </c>
      <c r="V19" s="1" t="str">
        <f>INDEX([1]物品基础表!$A:$A,MATCH(U19,[1]物品基础表!$B:$B,0))</f>
        <v>羽毛</v>
      </c>
      <c r="W19" s="1">
        <v>30</v>
      </c>
      <c r="X19" s="1">
        <v>200156</v>
      </c>
      <c r="Y19" s="1" t="str">
        <f>INDEX([1]物品基础表!$A:$A,MATCH(X19,[1]物品基础表!$B:$B,0))</f>
        <v>野外BOSS次数卷轴</v>
      </c>
      <c r="Z19" s="1">
        <v>2</v>
      </c>
      <c r="AA19" s="1">
        <v>1</v>
      </c>
      <c r="AB19" s="1" t="s">
        <v>695</v>
      </c>
      <c r="AC19" s="1">
        <v>400000</v>
      </c>
    </row>
    <row r="20" spans="1:29">
      <c r="A20" s="1" t="str">
        <f>INDEX([2]活动总表!$A$8:$A$429,MATCH(B20,[2]活动总表!$B$8:$B$429,0))</f>
        <v>开服活动-翅膀达标</v>
      </c>
      <c r="B20" s="1">
        <v>1</v>
      </c>
      <c r="C20" s="1">
        <v>4</v>
      </c>
      <c r="F20" s="1">
        <v>9</v>
      </c>
      <c r="P20" s="1">
        <v>1</v>
      </c>
      <c r="U20" s="1">
        <v>200001</v>
      </c>
      <c r="V20" s="1" t="str">
        <f>INDEX([1]物品基础表!$A:$A,MATCH(U20,[1]物品基础表!$B:$B,0))</f>
        <v>羽毛</v>
      </c>
      <c r="W20" s="1">
        <v>50</v>
      </c>
      <c r="X20" s="1">
        <v>200157</v>
      </c>
      <c r="Y20" s="1" t="str">
        <f>INDEX([1]物品基础表!$A:$A,MATCH(X20,[1]物品基础表!$B:$B,0))</f>
        <v>秘境BOSS次数卷轴</v>
      </c>
      <c r="Z20" s="1">
        <v>2</v>
      </c>
      <c r="AA20" s="1">
        <v>1</v>
      </c>
      <c r="AB20" s="1" t="s">
        <v>695</v>
      </c>
      <c r="AC20" s="1">
        <v>500000</v>
      </c>
    </row>
    <row r="21" spans="1:29">
      <c r="A21" s="1" t="str">
        <f>INDEX([2]活动总表!$A$8:$A$429,MATCH(B21,[2]活动总表!$B$8:$B$429,0))</f>
        <v>开服活动-翅膀达标</v>
      </c>
      <c r="B21" s="1">
        <v>1</v>
      </c>
      <c r="C21" s="1">
        <v>5</v>
      </c>
      <c r="F21" s="1">
        <v>10</v>
      </c>
      <c r="P21" s="1">
        <v>1</v>
      </c>
      <c r="U21" s="1">
        <v>200001</v>
      </c>
      <c r="V21" s="1" t="str">
        <f>INDEX([1]物品基础表!$A:$A,MATCH(U21,[1]物品基础表!$B:$B,0))</f>
        <v>羽毛</v>
      </c>
      <c r="W21" s="1">
        <v>80</v>
      </c>
      <c r="X21" s="1">
        <v>200157</v>
      </c>
      <c r="Y21" s="1" t="str">
        <f>INDEX([1]物品基础表!$A:$A,MATCH(X21,[1]物品基础表!$B:$B,0))</f>
        <v>秘境BOSS次数卷轴</v>
      </c>
      <c r="Z21" s="1">
        <v>2</v>
      </c>
      <c r="AA21" s="1">
        <v>1</v>
      </c>
      <c r="AB21" s="1" t="s">
        <v>695</v>
      </c>
      <c r="AC21" s="1">
        <v>1000000</v>
      </c>
    </row>
    <row r="22" spans="1:29">
      <c r="A22" s="1" t="str">
        <f>INDEX([2]活动总表!$A$8:$A$429,MATCH(B22,[2]活动总表!$B$8:$B$429,0))</f>
        <v>开服活动-翅膀达标</v>
      </c>
      <c r="B22" s="1">
        <v>1</v>
      </c>
      <c r="C22" s="1">
        <v>6</v>
      </c>
      <c r="F22" s="1">
        <v>12</v>
      </c>
      <c r="P22" s="1">
        <v>1</v>
      </c>
      <c r="U22" s="1">
        <v>200001</v>
      </c>
      <c r="V22" s="1" t="str">
        <f>INDEX([1]物品基础表!$A:$A,MATCH(U22,[1]物品基础表!$B:$B,0))</f>
        <v>羽毛</v>
      </c>
      <c r="W22" s="1">
        <v>120</v>
      </c>
      <c r="X22" s="1">
        <v>200157</v>
      </c>
      <c r="Y22" s="1" t="str">
        <f>INDEX([1]物品基础表!$A:$A,MATCH(X22,[1]物品基础表!$B:$B,0))</f>
        <v>秘境BOSS次数卷轴</v>
      </c>
      <c r="Z22" s="1">
        <v>2</v>
      </c>
      <c r="AA22" s="1">
        <v>1</v>
      </c>
      <c r="AB22" s="1" t="s">
        <v>695</v>
      </c>
      <c r="AC22" s="1">
        <v>1000000</v>
      </c>
    </row>
    <row r="23" spans="1:29">
      <c r="A23" s="1" t="str">
        <f>INDEX([2]活动总表!$A$8:$A$429,MATCH(B23,[2]活动总表!$B$8:$B$429,0))</f>
        <v>开服活动-翅膀达标</v>
      </c>
      <c r="B23" s="1">
        <v>1</v>
      </c>
      <c r="C23" s="1">
        <v>7</v>
      </c>
      <c r="F23" s="1">
        <v>14</v>
      </c>
      <c r="P23" s="1">
        <v>1</v>
      </c>
      <c r="U23" s="1">
        <v>200001</v>
      </c>
      <c r="V23" s="1" t="str">
        <f>INDEX([1]物品基础表!$A:$A,MATCH(U23,[1]物品基础表!$B:$B,0))</f>
        <v>羽毛</v>
      </c>
      <c r="W23" s="1">
        <v>150</v>
      </c>
      <c r="X23" s="1">
        <v>200157</v>
      </c>
      <c r="Y23" s="1" t="str">
        <f>INDEX([1]物品基础表!$A:$A,MATCH(X23,[1]物品基础表!$B:$B,0))</f>
        <v>秘境BOSS次数卷轴</v>
      </c>
      <c r="Z23" s="1">
        <v>2</v>
      </c>
      <c r="AA23" s="1">
        <v>1</v>
      </c>
      <c r="AB23" s="1" t="s">
        <v>695</v>
      </c>
      <c r="AC23" s="1">
        <v>1000000</v>
      </c>
    </row>
    <row r="24" spans="1:29">
      <c r="A24" s="1" t="str">
        <f>INDEX([2]活动总表!$A$8:$A$429,MATCH(B24,[2]活动总表!$B$8:$B$429,0))</f>
        <v>开服活动-铸造达标</v>
      </c>
      <c r="B24" s="1">
        <v>2</v>
      </c>
      <c r="C24" s="1">
        <v>1</v>
      </c>
      <c r="G24" s="1">
        <v>10</v>
      </c>
      <c r="P24" s="1">
        <v>2</v>
      </c>
      <c r="U24" s="1">
        <v>200003</v>
      </c>
      <c r="V24" s="1" t="str">
        <f>INDEX([1]物品基础表!$A:$A,MATCH(U24,[1]物品基础表!$B:$B,0))</f>
        <v>铸造晶石</v>
      </c>
      <c r="W24" s="1">
        <v>10</v>
      </c>
      <c r="X24" s="1">
        <v>200156</v>
      </c>
      <c r="Y24" s="1" t="str">
        <f>INDEX([1]物品基础表!$A:$A,MATCH(X24,[1]物品基础表!$B:$B,0))</f>
        <v>野外BOSS次数卷轴</v>
      </c>
      <c r="Z24" s="1">
        <v>1</v>
      </c>
      <c r="AA24" s="1">
        <v>1</v>
      </c>
      <c r="AB24" s="1" t="s">
        <v>695</v>
      </c>
      <c r="AC24" s="1">
        <v>200000</v>
      </c>
    </row>
    <row r="25" spans="1:29">
      <c r="A25" s="1" t="str">
        <f>INDEX([2]活动总表!$A$8:$A$429,MATCH(B25,[2]活动总表!$B$8:$B$429,0))</f>
        <v>开服活动-铸造达标</v>
      </c>
      <c r="B25" s="1">
        <v>2</v>
      </c>
      <c r="C25" s="1">
        <v>2</v>
      </c>
      <c r="G25" s="1">
        <v>32</v>
      </c>
      <c r="P25" s="1">
        <v>2</v>
      </c>
      <c r="U25" s="1">
        <v>200003</v>
      </c>
      <c r="V25" s="1" t="str">
        <f>INDEX([1]物品基础表!$A:$A,MATCH(U25,[1]物品基础表!$B:$B,0))</f>
        <v>铸造晶石</v>
      </c>
      <c r="W25" s="1">
        <v>40</v>
      </c>
      <c r="X25" s="1">
        <v>200156</v>
      </c>
      <c r="Y25" s="1" t="str">
        <f>INDEX([1]物品基础表!$A:$A,MATCH(X25,[1]物品基础表!$B:$B,0))</f>
        <v>野外BOSS次数卷轴</v>
      </c>
      <c r="Z25" s="1">
        <v>2</v>
      </c>
      <c r="AA25" s="1">
        <v>1</v>
      </c>
      <c r="AB25" s="1" t="s">
        <v>695</v>
      </c>
      <c r="AC25" s="1">
        <v>300000</v>
      </c>
    </row>
    <row r="26" spans="1:29">
      <c r="A26" s="1" t="str">
        <f>INDEX([2]活动总表!$A$8:$A$429,MATCH(B26,[2]活动总表!$B$8:$B$429,0))</f>
        <v>开服活动-铸造达标</v>
      </c>
      <c r="B26" s="1">
        <v>2</v>
      </c>
      <c r="C26" s="1">
        <v>3</v>
      </c>
      <c r="G26" s="1">
        <v>48</v>
      </c>
      <c r="P26" s="1">
        <v>2</v>
      </c>
      <c r="U26" s="1">
        <v>200003</v>
      </c>
      <c r="V26" s="1" t="str">
        <f>INDEX([1]物品基础表!$A:$A,MATCH(U26,[1]物品基础表!$B:$B,0))</f>
        <v>铸造晶石</v>
      </c>
      <c r="W26" s="1">
        <v>80</v>
      </c>
      <c r="X26" s="1">
        <v>200156</v>
      </c>
      <c r="Y26" s="1" t="str">
        <f>INDEX([1]物品基础表!$A:$A,MATCH(X26,[1]物品基础表!$B:$B,0))</f>
        <v>野外BOSS次数卷轴</v>
      </c>
      <c r="Z26" s="1">
        <v>2</v>
      </c>
      <c r="AA26" s="1">
        <v>1</v>
      </c>
      <c r="AB26" s="1" t="s">
        <v>695</v>
      </c>
      <c r="AC26" s="1">
        <v>400000</v>
      </c>
    </row>
    <row r="27" spans="1:29">
      <c r="A27" s="1" t="str">
        <f>INDEX([2]活动总表!$A$8:$A$429,MATCH(B27,[2]活动总表!$B$8:$B$429,0))</f>
        <v>开服活动-铸造达标</v>
      </c>
      <c r="B27" s="1">
        <v>2</v>
      </c>
      <c r="C27" s="1">
        <v>4</v>
      </c>
      <c r="G27" s="1">
        <v>86</v>
      </c>
      <c r="P27" s="1">
        <v>2</v>
      </c>
      <c r="U27" s="1">
        <v>200003</v>
      </c>
      <c r="V27" s="1" t="str">
        <f>INDEX([1]物品基础表!$A:$A,MATCH(U27,[1]物品基础表!$B:$B,0))</f>
        <v>铸造晶石</v>
      </c>
      <c r="W27" s="1">
        <v>160</v>
      </c>
      <c r="X27" s="1">
        <v>200157</v>
      </c>
      <c r="Y27" s="1" t="str">
        <f>INDEX([1]物品基础表!$A:$A,MATCH(X27,[1]物品基础表!$B:$B,0))</f>
        <v>秘境BOSS次数卷轴</v>
      </c>
      <c r="Z27" s="1">
        <v>2</v>
      </c>
      <c r="AA27" s="1">
        <v>1</v>
      </c>
      <c r="AB27" s="1" t="s">
        <v>695</v>
      </c>
      <c r="AC27" s="1">
        <v>500000</v>
      </c>
    </row>
    <row r="28" spans="1:29">
      <c r="A28" s="1" t="str">
        <f>INDEX([2]活动总表!$A$8:$A$429,MATCH(B28,[2]活动总表!$B$8:$B$429,0))</f>
        <v>开服活动-铸造达标</v>
      </c>
      <c r="B28" s="1">
        <v>2</v>
      </c>
      <c r="C28" s="1">
        <v>5</v>
      </c>
      <c r="G28" s="1">
        <v>144</v>
      </c>
      <c r="P28" s="1">
        <v>2</v>
      </c>
      <c r="U28" s="1">
        <v>200003</v>
      </c>
      <c r="V28" s="1" t="str">
        <f>INDEX([1]物品基础表!$A:$A,MATCH(U28,[1]物品基础表!$B:$B,0))</f>
        <v>铸造晶石</v>
      </c>
      <c r="W28" s="1">
        <v>200</v>
      </c>
      <c r="X28" s="1">
        <v>200157</v>
      </c>
      <c r="Y28" s="1" t="str">
        <f>INDEX([1]物品基础表!$A:$A,MATCH(X28,[1]物品基础表!$B:$B,0))</f>
        <v>秘境BOSS次数卷轴</v>
      </c>
      <c r="Z28" s="1">
        <v>2</v>
      </c>
      <c r="AA28" s="1">
        <v>1</v>
      </c>
      <c r="AB28" s="1" t="s">
        <v>695</v>
      </c>
      <c r="AC28" s="1">
        <v>1000000</v>
      </c>
    </row>
    <row r="29" spans="1:29">
      <c r="A29" s="1" t="str">
        <f>INDEX([2]活动总表!$A$8:$A$429,MATCH(B29,[2]活动总表!$B$8:$B$429,0))</f>
        <v>开服活动-铸造达标</v>
      </c>
      <c r="B29" s="1">
        <v>2</v>
      </c>
      <c r="C29" s="1">
        <v>6</v>
      </c>
      <c r="G29" s="1">
        <v>216</v>
      </c>
      <c r="P29" s="1">
        <v>2</v>
      </c>
      <c r="U29" s="1">
        <v>200003</v>
      </c>
      <c r="V29" s="1" t="str">
        <f>INDEX([1]物品基础表!$A:$A,MATCH(U29,[1]物品基础表!$B:$B,0))</f>
        <v>铸造晶石</v>
      </c>
      <c r="W29" s="1">
        <v>300</v>
      </c>
      <c r="X29" s="1">
        <v>200157</v>
      </c>
      <c r="Y29" s="1" t="str">
        <f>INDEX([1]物品基础表!$A:$A,MATCH(X29,[1]物品基础表!$B:$B,0))</f>
        <v>秘境BOSS次数卷轴</v>
      </c>
      <c r="Z29" s="1">
        <v>2</v>
      </c>
      <c r="AA29" s="1">
        <v>1</v>
      </c>
      <c r="AB29" s="1" t="s">
        <v>695</v>
      </c>
      <c r="AC29" s="1">
        <v>1000000</v>
      </c>
    </row>
    <row r="30" spans="1:29">
      <c r="A30" s="1" t="str">
        <f>INDEX([2]活动总表!$A$8:$A$429,MATCH(B30,[2]活动总表!$B$8:$B$429,0))</f>
        <v>开服活动-龙魂达标</v>
      </c>
      <c r="B30" s="1">
        <v>3</v>
      </c>
      <c r="C30" s="1">
        <v>1</v>
      </c>
      <c r="H30" s="1">
        <v>16</v>
      </c>
      <c r="P30" s="1">
        <v>3</v>
      </c>
      <c r="U30" s="1">
        <v>200005</v>
      </c>
      <c r="V30" s="1" t="str">
        <f>INDEX([1]物品基础表!$A:$A,MATCH(U30,[1]物品基础表!$B:$B,0))</f>
        <v>龙魂碎片</v>
      </c>
      <c r="W30" s="1">
        <v>5</v>
      </c>
      <c r="X30" s="1">
        <v>200156</v>
      </c>
      <c r="Y30" s="1" t="str">
        <f>INDEX([1]物品基础表!$A:$A,MATCH(X30,[1]物品基础表!$B:$B,0))</f>
        <v>野外BOSS次数卷轴</v>
      </c>
      <c r="Z30" s="1">
        <v>1</v>
      </c>
      <c r="AA30" s="1">
        <v>1</v>
      </c>
      <c r="AB30" s="1" t="s">
        <v>695</v>
      </c>
      <c r="AC30" s="1">
        <v>200000</v>
      </c>
    </row>
    <row r="31" spans="1:29">
      <c r="A31" s="1" t="str">
        <f>INDEX([2]活动总表!$A$8:$A$429,MATCH(B31,[2]活动总表!$B$8:$B$429,0))</f>
        <v>开服活动-龙魂达标</v>
      </c>
      <c r="B31" s="1">
        <v>3</v>
      </c>
      <c r="C31" s="1">
        <v>2</v>
      </c>
      <c r="H31" s="1">
        <v>24</v>
      </c>
      <c r="P31" s="1">
        <v>3</v>
      </c>
      <c r="U31" s="1">
        <v>200005</v>
      </c>
      <c r="V31" s="1" t="str">
        <f>INDEX([1]物品基础表!$A:$A,MATCH(U31,[1]物品基础表!$B:$B,0))</f>
        <v>龙魂碎片</v>
      </c>
      <c r="W31" s="1">
        <v>20</v>
      </c>
      <c r="X31" s="1">
        <v>200156</v>
      </c>
      <c r="Y31" s="1" t="str">
        <f>INDEX([1]物品基础表!$A:$A,MATCH(X31,[1]物品基础表!$B:$B,0))</f>
        <v>野外BOSS次数卷轴</v>
      </c>
      <c r="Z31" s="1">
        <v>2</v>
      </c>
      <c r="AA31" s="1">
        <v>1</v>
      </c>
      <c r="AB31" s="1" t="s">
        <v>695</v>
      </c>
      <c r="AC31" s="1">
        <v>300000</v>
      </c>
    </row>
    <row r="32" spans="1:29">
      <c r="A32" s="1" t="str">
        <f>INDEX([2]活动总表!$A$8:$A$429,MATCH(B32,[2]活动总表!$B$8:$B$429,0))</f>
        <v>开服活动-龙魂达标</v>
      </c>
      <c r="B32" s="1">
        <v>3</v>
      </c>
      <c r="C32" s="1">
        <v>3</v>
      </c>
      <c r="H32" s="1">
        <v>34</v>
      </c>
      <c r="P32" s="1">
        <v>3</v>
      </c>
      <c r="U32" s="1">
        <v>200005</v>
      </c>
      <c r="V32" s="1" t="str">
        <f>INDEX([1]物品基础表!$A:$A,MATCH(U32,[1]物品基础表!$B:$B,0))</f>
        <v>龙魂碎片</v>
      </c>
      <c r="W32" s="1">
        <v>30</v>
      </c>
      <c r="X32" s="1">
        <v>200156</v>
      </c>
      <c r="Y32" s="1" t="str">
        <f>INDEX([1]物品基础表!$A:$A,MATCH(X32,[1]物品基础表!$B:$B,0))</f>
        <v>野外BOSS次数卷轴</v>
      </c>
      <c r="Z32" s="1">
        <v>2</v>
      </c>
      <c r="AA32" s="1">
        <v>1</v>
      </c>
      <c r="AB32" s="1" t="s">
        <v>695</v>
      </c>
      <c r="AC32" s="1">
        <v>400000</v>
      </c>
    </row>
    <row r="33" spans="1:29">
      <c r="A33" s="1" t="str">
        <f>INDEX([2]活动总表!$A$8:$A$429,MATCH(B33,[2]活动总表!$B$8:$B$429,0))</f>
        <v>开服活动-龙魂达标</v>
      </c>
      <c r="B33" s="1">
        <v>3</v>
      </c>
      <c r="C33" s="1">
        <v>4</v>
      </c>
      <c r="H33" s="1">
        <v>54</v>
      </c>
      <c r="P33" s="1">
        <v>3</v>
      </c>
      <c r="U33" s="1">
        <v>200005</v>
      </c>
      <c r="V33" s="1" t="str">
        <f>INDEX([1]物品基础表!$A:$A,MATCH(U33,[1]物品基础表!$B:$B,0))</f>
        <v>龙魂碎片</v>
      </c>
      <c r="W33" s="1">
        <v>50</v>
      </c>
      <c r="X33" s="1">
        <v>200157</v>
      </c>
      <c r="Y33" s="1" t="str">
        <f>INDEX([1]物品基础表!$A:$A,MATCH(X33,[1]物品基础表!$B:$B,0))</f>
        <v>秘境BOSS次数卷轴</v>
      </c>
      <c r="Z33" s="1">
        <v>2</v>
      </c>
      <c r="AA33" s="1">
        <v>1</v>
      </c>
      <c r="AB33" s="1" t="s">
        <v>695</v>
      </c>
      <c r="AC33" s="1">
        <v>500000</v>
      </c>
    </row>
    <row r="34" spans="1:29">
      <c r="A34" s="1" t="str">
        <f>INDEX([2]活动总表!$A$8:$A$429,MATCH(B34,[2]活动总表!$B$8:$B$429,0))</f>
        <v>开服活动-龙魂达标</v>
      </c>
      <c r="B34" s="1">
        <v>3</v>
      </c>
      <c r="C34" s="1">
        <v>5</v>
      </c>
      <c r="H34" s="1">
        <v>84</v>
      </c>
      <c r="P34" s="1">
        <v>3</v>
      </c>
      <c r="U34" s="1">
        <v>200005</v>
      </c>
      <c r="V34" s="1" t="str">
        <f>INDEX([1]物品基础表!$A:$A,MATCH(U34,[1]物品基础表!$B:$B,0))</f>
        <v>龙魂碎片</v>
      </c>
      <c r="W34" s="1">
        <v>80</v>
      </c>
      <c r="X34" s="1">
        <v>200157</v>
      </c>
      <c r="Y34" s="1" t="str">
        <f>INDEX([1]物品基础表!$A:$A,MATCH(X34,[1]物品基础表!$B:$B,0))</f>
        <v>秘境BOSS次数卷轴</v>
      </c>
      <c r="Z34" s="1">
        <v>2</v>
      </c>
      <c r="AA34" s="1">
        <v>1</v>
      </c>
      <c r="AB34" s="1" t="s">
        <v>695</v>
      </c>
      <c r="AC34" s="1">
        <v>1000000</v>
      </c>
    </row>
    <row r="35" spans="1:29">
      <c r="A35" s="1" t="str">
        <f>INDEX([2]活动总表!$A$8:$A$429,MATCH(B35,[2]活动总表!$B$8:$B$429,0))</f>
        <v>开服活动-龙魂达标</v>
      </c>
      <c r="B35" s="1">
        <v>3</v>
      </c>
      <c r="C35" s="1">
        <v>6</v>
      </c>
      <c r="H35" s="1">
        <v>117</v>
      </c>
      <c r="P35" s="1">
        <v>3</v>
      </c>
      <c r="U35" s="1">
        <v>200005</v>
      </c>
      <c r="V35" s="1" t="str">
        <f>INDEX([1]物品基础表!$A:$A,MATCH(U35,[1]物品基础表!$B:$B,0))</f>
        <v>龙魂碎片</v>
      </c>
      <c r="W35" s="1">
        <v>100</v>
      </c>
      <c r="X35" s="1">
        <v>200157</v>
      </c>
      <c r="Y35" s="1" t="str">
        <f>INDEX([1]物品基础表!$A:$A,MATCH(X35,[1]物品基础表!$B:$B,0))</f>
        <v>秘境BOSS次数卷轴</v>
      </c>
      <c r="Z35" s="1">
        <v>2</v>
      </c>
      <c r="AA35" s="1">
        <v>1</v>
      </c>
      <c r="AB35" s="1" t="s">
        <v>695</v>
      </c>
      <c r="AC35" s="1">
        <v>1000000</v>
      </c>
    </row>
    <row r="36" spans="1:29">
      <c r="A36" s="1" t="str">
        <f>INDEX([2]活动总表!$A$8:$A$429,MATCH(B36,[2]活动总表!$B$8:$B$429,0))</f>
        <v>开服活动-图鉴达标</v>
      </c>
      <c r="B36" s="1">
        <v>4</v>
      </c>
      <c r="C36" s="1">
        <v>1</v>
      </c>
      <c r="J36" s="1">
        <v>15000</v>
      </c>
      <c r="P36" s="1">
        <v>5</v>
      </c>
      <c r="U36" s="1">
        <v>270002</v>
      </c>
      <c r="V36" s="1" t="str">
        <f>INDEX([1]物品基础表!$A:$A,MATCH(U36,[1]物品基础表!$B:$B,0))</f>
        <v>中级经验卡</v>
      </c>
      <c r="W36" s="1">
        <v>1</v>
      </c>
      <c r="X36" s="1">
        <v>200156</v>
      </c>
      <c r="Y36" s="1" t="str">
        <f>INDEX([1]物品基础表!$A:$A,MATCH(X36,[1]物品基础表!$B:$B,0))</f>
        <v>野外BOSS次数卷轴</v>
      </c>
      <c r="Z36" s="1">
        <v>1</v>
      </c>
      <c r="AA36" s="1">
        <v>1</v>
      </c>
      <c r="AB36" s="1" t="s">
        <v>695</v>
      </c>
      <c r="AC36" s="1">
        <v>200000</v>
      </c>
    </row>
    <row r="37" spans="1:29">
      <c r="A37" s="1" t="str">
        <f>INDEX([2]活动总表!$A$8:$A$429,MATCH(B37,[2]活动总表!$B$8:$B$429,0))</f>
        <v>开服活动-图鉴达标</v>
      </c>
      <c r="B37" s="1">
        <v>4</v>
      </c>
      <c r="C37" s="1">
        <v>2</v>
      </c>
      <c r="J37" s="1">
        <v>30000</v>
      </c>
      <c r="P37" s="1">
        <v>5</v>
      </c>
      <c r="U37" s="1">
        <v>270002</v>
      </c>
      <c r="V37" s="1" t="str">
        <f>INDEX([1]物品基础表!$A:$A,MATCH(U37,[1]物品基础表!$B:$B,0))</f>
        <v>中级经验卡</v>
      </c>
      <c r="W37" s="1">
        <v>2</v>
      </c>
      <c r="X37" s="1">
        <v>200156</v>
      </c>
      <c r="Y37" s="1" t="str">
        <f>INDEX([1]物品基础表!$A:$A,MATCH(X37,[1]物品基础表!$B:$B,0))</f>
        <v>野外BOSS次数卷轴</v>
      </c>
      <c r="Z37" s="1">
        <v>2</v>
      </c>
      <c r="AA37" s="1">
        <v>1</v>
      </c>
      <c r="AB37" s="1" t="s">
        <v>695</v>
      </c>
      <c r="AC37" s="1">
        <v>300000</v>
      </c>
    </row>
    <row r="38" spans="1:29">
      <c r="A38" s="1" t="str">
        <f>INDEX([2]活动总表!$A$8:$A$429,MATCH(B38,[2]活动总表!$B$8:$B$429,0))</f>
        <v>开服活动-图鉴达标</v>
      </c>
      <c r="B38" s="1">
        <v>4</v>
      </c>
      <c r="C38" s="1">
        <v>3</v>
      </c>
      <c r="J38" s="1">
        <v>45000</v>
      </c>
      <c r="P38" s="1">
        <v>5</v>
      </c>
      <c r="U38" s="1">
        <v>270002</v>
      </c>
      <c r="V38" s="1" t="str">
        <f>INDEX([1]物品基础表!$A:$A,MATCH(U38,[1]物品基础表!$B:$B,0))</f>
        <v>中级经验卡</v>
      </c>
      <c r="W38" s="1">
        <v>4</v>
      </c>
      <c r="X38" s="1">
        <v>200156</v>
      </c>
      <c r="Y38" s="1" t="str">
        <f>INDEX([1]物品基础表!$A:$A,MATCH(X38,[1]物品基础表!$B:$B,0))</f>
        <v>野外BOSS次数卷轴</v>
      </c>
      <c r="Z38" s="1">
        <v>2</v>
      </c>
      <c r="AA38" s="1">
        <v>1</v>
      </c>
      <c r="AB38" s="1" t="s">
        <v>695</v>
      </c>
      <c r="AC38" s="1">
        <v>400000</v>
      </c>
    </row>
    <row r="39" spans="1:29">
      <c r="A39" s="1" t="str">
        <f>INDEX([2]活动总表!$A$8:$A$429,MATCH(B39,[2]活动总表!$B$8:$B$429,0))</f>
        <v>开服活动-图鉴达标</v>
      </c>
      <c r="B39" s="1">
        <v>4</v>
      </c>
      <c r="C39" s="1">
        <v>4</v>
      </c>
      <c r="J39" s="1">
        <v>80000</v>
      </c>
      <c r="P39" s="1">
        <v>5</v>
      </c>
      <c r="U39" s="1">
        <v>270002</v>
      </c>
      <c r="V39" s="1" t="str">
        <f>INDEX([1]物品基础表!$A:$A,MATCH(U39,[1]物品基础表!$B:$B,0))</f>
        <v>中级经验卡</v>
      </c>
      <c r="W39" s="1">
        <v>6</v>
      </c>
      <c r="X39" s="1">
        <v>200157</v>
      </c>
      <c r="Y39" s="1" t="str">
        <f>INDEX([1]物品基础表!$A:$A,MATCH(X39,[1]物品基础表!$B:$B,0))</f>
        <v>秘境BOSS次数卷轴</v>
      </c>
      <c r="Z39" s="1">
        <v>2</v>
      </c>
      <c r="AA39" s="1">
        <v>1</v>
      </c>
      <c r="AB39" s="1" t="s">
        <v>695</v>
      </c>
      <c r="AC39" s="1">
        <v>500000</v>
      </c>
    </row>
    <row r="40" spans="1:29">
      <c r="A40" s="1" t="str">
        <f>INDEX([2]活动总表!$A$8:$A$429,MATCH(B40,[2]活动总表!$B$8:$B$429,0))</f>
        <v>开服活动-图鉴达标</v>
      </c>
      <c r="B40" s="1">
        <v>4</v>
      </c>
      <c r="C40" s="1">
        <v>5</v>
      </c>
      <c r="J40" s="1">
        <v>120000</v>
      </c>
      <c r="P40" s="1">
        <v>5</v>
      </c>
      <c r="U40" s="1">
        <v>270002</v>
      </c>
      <c r="V40" s="1" t="str">
        <f>INDEX([1]物品基础表!$A:$A,MATCH(U40,[1]物品基础表!$B:$B,0))</f>
        <v>中级经验卡</v>
      </c>
      <c r="W40" s="1">
        <v>12</v>
      </c>
      <c r="X40" s="1">
        <v>200157</v>
      </c>
      <c r="Y40" s="1" t="str">
        <f>INDEX([1]物品基础表!$A:$A,MATCH(X40,[1]物品基础表!$B:$B,0))</f>
        <v>秘境BOSS次数卷轴</v>
      </c>
      <c r="Z40" s="1">
        <v>2</v>
      </c>
      <c r="AA40" s="1">
        <v>1</v>
      </c>
      <c r="AB40" s="1" t="s">
        <v>695</v>
      </c>
      <c r="AC40" s="1">
        <v>1000000</v>
      </c>
    </row>
    <row r="41" spans="1:29">
      <c r="A41" s="1" t="str">
        <f>INDEX([2]活动总表!$A$8:$A$429,MATCH(B41,[2]活动总表!$B$8:$B$429,0))</f>
        <v>开服活动-图鉴达标</v>
      </c>
      <c r="B41" s="1">
        <v>4</v>
      </c>
      <c r="C41" s="1">
        <v>6</v>
      </c>
      <c r="J41" s="1">
        <v>229200</v>
      </c>
      <c r="P41" s="1">
        <v>5</v>
      </c>
      <c r="U41" s="1">
        <v>270002</v>
      </c>
      <c r="V41" s="1" t="str">
        <f>INDEX([1]物品基础表!$A:$A,MATCH(U41,[1]物品基础表!$B:$B,0))</f>
        <v>中级经验卡</v>
      </c>
      <c r="W41" s="1">
        <v>16</v>
      </c>
      <c r="X41" s="1">
        <v>200157</v>
      </c>
      <c r="Y41" s="1" t="str">
        <f>INDEX([1]物品基础表!$A:$A,MATCH(X41,[1]物品基础表!$B:$B,0))</f>
        <v>秘境BOSS次数卷轴</v>
      </c>
      <c r="Z41" s="1">
        <v>2</v>
      </c>
      <c r="AA41" s="1">
        <v>1</v>
      </c>
      <c r="AB41" s="1" t="s">
        <v>695</v>
      </c>
      <c r="AC41" s="1">
        <v>1000000</v>
      </c>
    </row>
    <row r="42" spans="1:29">
      <c r="A42" s="1" t="str">
        <f>INDEX([2]活动总表!$A$8:$A$429,MATCH(B42,[2]活动总表!$B$8:$B$429,0))</f>
        <v>开服活动-图鉴达标</v>
      </c>
      <c r="B42" s="1">
        <v>4</v>
      </c>
      <c r="C42" s="1">
        <v>7</v>
      </c>
      <c r="J42" s="1">
        <v>337200</v>
      </c>
      <c r="P42" s="1">
        <v>5</v>
      </c>
      <c r="U42" s="1">
        <v>270002</v>
      </c>
      <c r="V42" s="1" t="str">
        <f>INDEX([1]物品基础表!$A:$A,MATCH(U42,[1]物品基础表!$B:$B,0))</f>
        <v>中级经验卡</v>
      </c>
      <c r="W42" s="1">
        <v>20</v>
      </c>
      <c r="X42" s="1">
        <v>200157</v>
      </c>
      <c r="Y42" s="1" t="str">
        <f>INDEX([1]物品基础表!$A:$A,MATCH(X42,[1]物品基础表!$B:$B,0))</f>
        <v>秘境BOSS次数卷轴</v>
      </c>
      <c r="Z42" s="1">
        <v>2</v>
      </c>
      <c r="AA42" s="1">
        <v>1</v>
      </c>
      <c r="AB42" s="1" t="s">
        <v>695</v>
      </c>
      <c r="AC42" s="1">
        <v>1500000</v>
      </c>
    </row>
    <row r="43" spans="1:29">
      <c r="A43" s="1" t="str">
        <f>INDEX([2]活动总表!$A$8:$A$429,MATCH(B43,[2]活动总表!$B$8:$B$429,0))</f>
        <v>开服活动-图鉴达标</v>
      </c>
      <c r="B43" s="1">
        <v>4</v>
      </c>
      <c r="C43" s="1">
        <v>8</v>
      </c>
      <c r="J43" s="1">
        <v>571200</v>
      </c>
      <c r="P43" s="1">
        <v>5</v>
      </c>
      <c r="U43" s="1">
        <v>270002</v>
      </c>
      <c r="V43" s="1" t="str">
        <f>INDEX([1]物品基础表!$A:$A,MATCH(U43,[1]物品基础表!$B:$B,0))</f>
        <v>中级经验卡</v>
      </c>
      <c r="W43" s="1">
        <v>20</v>
      </c>
      <c r="X43" s="1">
        <v>200157</v>
      </c>
      <c r="Y43" s="1" t="str">
        <f>INDEX([1]物品基础表!$A:$A,MATCH(X43,[1]物品基础表!$B:$B,0))</f>
        <v>秘境BOSS次数卷轴</v>
      </c>
      <c r="Z43" s="1">
        <v>2</v>
      </c>
      <c r="AA43" s="1">
        <v>1</v>
      </c>
      <c r="AB43" s="1" t="s">
        <v>695</v>
      </c>
      <c r="AC43" s="1">
        <v>2000000</v>
      </c>
    </row>
    <row r="44" spans="1:29">
      <c r="A44" s="1" t="str">
        <f>INDEX([2]活动总表!$A$8:$A$429,MATCH(B44,[2]活动总表!$B$8:$B$429,0))</f>
        <v>开服活动-转生达标</v>
      </c>
      <c r="B44" s="1">
        <v>15</v>
      </c>
      <c r="C44" s="1">
        <v>1</v>
      </c>
      <c r="D44" s="1">
        <v>0</v>
      </c>
      <c r="E44" s="1">
        <v>1</v>
      </c>
      <c r="P44" s="1">
        <v>0</v>
      </c>
      <c r="U44" s="1">
        <v>200009</v>
      </c>
      <c r="V44" s="1" t="str">
        <f>INDEX([1]物品基础表!$A:$A,MATCH(U44,[1]物品基础表!$B:$B,0))</f>
        <v>高级转生丹</v>
      </c>
      <c r="W44" s="1">
        <v>1</v>
      </c>
      <c r="X44" s="1">
        <v>200156</v>
      </c>
      <c r="Y44" s="1" t="str">
        <f>INDEX([1]物品基础表!$A:$A,MATCH(X44,[1]物品基础表!$B:$B,0))</f>
        <v>野外BOSS次数卷轴</v>
      </c>
      <c r="Z44" s="1">
        <v>1</v>
      </c>
      <c r="AA44" s="1">
        <v>1</v>
      </c>
      <c r="AB44" s="1" t="s">
        <v>695</v>
      </c>
      <c r="AC44" s="1">
        <v>200000</v>
      </c>
    </row>
    <row r="45" spans="1:29">
      <c r="A45" s="1" t="str">
        <f>INDEX([2]活动总表!$A$8:$A$429,MATCH(B45,[2]活动总表!$B$8:$B$429,0))</f>
        <v>开服活动-转生达标</v>
      </c>
      <c r="B45" s="1">
        <v>15</v>
      </c>
      <c r="C45" s="1">
        <v>2</v>
      </c>
      <c r="D45" s="1">
        <v>0</v>
      </c>
      <c r="E45" s="1">
        <v>2</v>
      </c>
      <c r="P45" s="1">
        <v>0</v>
      </c>
      <c r="U45" s="1">
        <v>200009</v>
      </c>
      <c r="V45" s="1" t="str">
        <f>INDEX([1]物品基础表!$A:$A,MATCH(U45,[1]物品基础表!$B:$B,0))</f>
        <v>高级转生丹</v>
      </c>
      <c r="W45" s="1">
        <v>2</v>
      </c>
      <c r="X45" s="1">
        <v>200156</v>
      </c>
      <c r="Y45" s="1" t="str">
        <f>INDEX([1]物品基础表!$A:$A,MATCH(X45,[1]物品基础表!$B:$B,0))</f>
        <v>野外BOSS次数卷轴</v>
      </c>
      <c r="Z45" s="1">
        <v>2</v>
      </c>
      <c r="AA45" s="1">
        <v>1</v>
      </c>
      <c r="AB45" s="1" t="s">
        <v>695</v>
      </c>
      <c r="AC45" s="1">
        <v>300000</v>
      </c>
    </row>
    <row r="46" spans="1:29">
      <c r="A46" s="1" t="str">
        <f>INDEX([2]活动总表!$A$8:$A$429,MATCH(B46,[2]活动总表!$B$8:$B$429,0))</f>
        <v>开服活动-转生达标</v>
      </c>
      <c r="B46" s="1">
        <v>15</v>
      </c>
      <c r="C46" s="1">
        <v>3</v>
      </c>
      <c r="D46" s="1">
        <v>0</v>
      </c>
      <c r="E46" s="1">
        <v>3</v>
      </c>
      <c r="P46" s="1">
        <v>0</v>
      </c>
      <c r="U46" s="1">
        <v>200009</v>
      </c>
      <c r="V46" s="1" t="str">
        <f>INDEX([1]物品基础表!$A:$A,MATCH(U46,[1]物品基础表!$B:$B,0))</f>
        <v>高级转生丹</v>
      </c>
      <c r="W46" s="1">
        <v>5</v>
      </c>
      <c r="X46" s="1">
        <v>200156</v>
      </c>
      <c r="Y46" s="1" t="str">
        <f>INDEX([1]物品基础表!$A:$A,MATCH(X46,[1]物品基础表!$B:$B,0))</f>
        <v>野外BOSS次数卷轴</v>
      </c>
      <c r="Z46" s="1">
        <v>2</v>
      </c>
      <c r="AA46" s="1">
        <v>1</v>
      </c>
      <c r="AB46" s="1" t="s">
        <v>695</v>
      </c>
      <c r="AC46" s="1">
        <v>400000</v>
      </c>
    </row>
    <row r="47" spans="1:29">
      <c r="A47" s="1" t="str">
        <f>INDEX([2]活动总表!$A$8:$A$429,MATCH(B47,[2]活动总表!$B$8:$B$429,0))</f>
        <v>开服活动-转生达标</v>
      </c>
      <c r="B47" s="1">
        <v>15</v>
      </c>
      <c r="C47" s="1">
        <v>4</v>
      </c>
      <c r="D47" s="1">
        <v>0</v>
      </c>
      <c r="E47" s="1">
        <v>4</v>
      </c>
      <c r="P47" s="1">
        <v>0</v>
      </c>
      <c r="U47" s="1">
        <v>200009</v>
      </c>
      <c r="V47" s="1" t="str">
        <f>INDEX([1]物品基础表!$A:$A,MATCH(U47,[1]物品基础表!$B:$B,0))</f>
        <v>高级转生丹</v>
      </c>
      <c r="W47" s="1">
        <v>10</v>
      </c>
      <c r="X47" s="1">
        <v>200157</v>
      </c>
      <c r="Y47" s="1" t="str">
        <f>INDEX([1]物品基础表!$A:$A,MATCH(X47,[1]物品基础表!$B:$B,0))</f>
        <v>秘境BOSS次数卷轴</v>
      </c>
      <c r="Z47" s="1">
        <v>2</v>
      </c>
      <c r="AA47" s="1">
        <v>1</v>
      </c>
      <c r="AB47" s="1" t="s">
        <v>695</v>
      </c>
      <c r="AC47" s="1">
        <v>500000</v>
      </c>
    </row>
    <row r="48" spans="1:29">
      <c r="A48" s="1" t="str">
        <f>INDEX([2]活动总表!$A$8:$A$429,MATCH(B48,[2]活动总表!$B$8:$B$429,0))</f>
        <v>开服活动-转生达标</v>
      </c>
      <c r="B48" s="1">
        <v>15</v>
      </c>
      <c r="C48" s="1">
        <v>5</v>
      </c>
      <c r="D48" s="1">
        <v>0</v>
      </c>
      <c r="E48" s="1">
        <v>5</v>
      </c>
      <c r="P48" s="1">
        <v>0</v>
      </c>
      <c r="U48" s="1">
        <v>200009</v>
      </c>
      <c r="V48" s="1" t="str">
        <f>INDEX([1]物品基础表!$A:$A,MATCH(U48,[1]物品基础表!$B:$B,0))</f>
        <v>高级转生丹</v>
      </c>
      <c r="W48" s="1">
        <v>20</v>
      </c>
      <c r="X48" s="1">
        <v>200157</v>
      </c>
      <c r="Y48" s="1" t="str">
        <f>INDEX([1]物品基础表!$A:$A,MATCH(X48,[1]物品基础表!$B:$B,0))</f>
        <v>秘境BOSS次数卷轴</v>
      </c>
      <c r="Z48" s="1">
        <v>2</v>
      </c>
      <c r="AA48" s="1">
        <v>1</v>
      </c>
      <c r="AB48" s="1" t="s">
        <v>695</v>
      </c>
      <c r="AC48" s="1">
        <v>1000000</v>
      </c>
    </row>
    <row r="49" spans="1:29">
      <c r="A49" s="1" t="str">
        <f>INDEX([2]活动总表!$A$8:$A$429,MATCH(B49,[2]活动总表!$B$8:$B$429,0))</f>
        <v>开服活动-转生达标</v>
      </c>
      <c r="B49" s="1">
        <v>15</v>
      </c>
      <c r="C49" s="1">
        <v>6</v>
      </c>
      <c r="D49" s="1">
        <v>0</v>
      </c>
      <c r="E49" s="1">
        <v>6</v>
      </c>
      <c r="P49" s="1">
        <v>0</v>
      </c>
      <c r="U49" s="1">
        <v>200009</v>
      </c>
      <c r="V49" s="1" t="str">
        <f>INDEX([1]物品基础表!$A:$A,MATCH(U49,[1]物品基础表!$B:$B,0))</f>
        <v>高级转生丹</v>
      </c>
      <c r="W49" s="1">
        <v>20</v>
      </c>
      <c r="X49" s="1">
        <v>200157</v>
      </c>
      <c r="Y49" s="1" t="str">
        <f>INDEX([1]物品基础表!$A:$A,MATCH(X49,[1]物品基础表!$B:$B,0))</f>
        <v>秘境BOSS次数卷轴</v>
      </c>
      <c r="Z49" s="1">
        <v>2</v>
      </c>
      <c r="AA49" s="1">
        <v>1</v>
      </c>
      <c r="AB49" s="1" t="s">
        <v>695</v>
      </c>
      <c r="AC49" s="1">
        <v>1500000</v>
      </c>
    </row>
    <row r="50" spans="1:29">
      <c r="A50" s="1" t="str">
        <f>INDEX([2]活动总表!$A$8:$A$429,MATCH(B50,[2]活动总表!$B$8:$B$429,0))</f>
        <v>开服活动-转生达标</v>
      </c>
      <c r="B50" s="1">
        <v>15</v>
      </c>
      <c r="C50" s="1">
        <v>7</v>
      </c>
      <c r="D50" s="1">
        <v>0</v>
      </c>
      <c r="E50" s="1">
        <v>7</v>
      </c>
      <c r="P50" s="1">
        <v>0</v>
      </c>
      <c r="U50" s="1">
        <v>200009</v>
      </c>
      <c r="V50" s="1" t="str">
        <f>INDEX([1]物品基础表!$A:$A,MATCH(U50,[1]物品基础表!$B:$B,0))</f>
        <v>高级转生丹</v>
      </c>
      <c r="W50" s="1">
        <v>20</v>
      </c>
      <c r="X50" s="1">
        <v>200157</v>
      </c>
      <c r="Y50" s="1" t="str">
        <f>INDEX([1]物品基础表!$A:$A,MATCH(X50,[1]物品基础表!$B:$B,0))</f>
        <v>秘境BOSS次数卷轴</v>
      </c>
      <c r="Z50" s="1">
        <v>2</v>
      </c>
      <c r="AA50" s="1">
        <v>1</v>
      </c>
      <c r="AB50" s="1" t="s">
        <v>695</v>
      </c>
      <c r="AC50" s="1">
        <v>1500000</v>
      </c>
    </row>
    <row r="51" spans="1:29">
      <c r="A51" s="1" t="str">
        <f>INDEX([2]活动总表!$A$8:$A$429,MATCH(B51,[2]活动总表!$B$8:$B$429,0))</f>
        <v>开服活动-装备达标</v>
      </c>
      <c r="B51" s="1">
        <v>16</v>
      </c>
      <c r="C51" s="1">
        <v>1</v>
      </c>
      <c r="K51" s="1">
        <v>200000</v>
      </c>
      <c r="P51" s="1">
        <v>6</v>
      </c>
      <c r="U51" s="1">
        <v>200007</v>
      </c>
      <c r="V51" s="1" t="str">
        <f>INDEX([1]物品基础表!$A:$A,MATCH(U51,[1]物品基础表!$B:$B,0))</f>
        <v>神装碎片</v>
      </c>
      <c r="W51" s="1">
        <v>50</v>
      </c>
      <c r="X51" s="1">
        <v>200156</v>
      </c>
      <c r="Y51" s="1" t="str">
        <f>INDEX([1]物品基础表!$A:$A,MATCH(X51,[1]物品基础表!$B:$B,0))</f>
        <v>野外BOSS次数卷轴</v>
      </c>
      <c r="Z51" s="1">
        <v>1</v>
      </c>
      <c r="AA51" s="1">
        <v>1</v>
      </c>
      <c r="AB51" s="1" t="s">
        <v>695</v>
      </c>
      <c r="AC51" s="1">
        <v>200000</v>
      </c>
    </row>
    <row r="52" spans="1:29">
      <c r="A52" s="1" t="str">
        <f>INDEX([2]活动总表!$A$8:$A$429,MATCH(B52,[2]活动总表!$B$8:$B$429,0))</f>
        <v>开服活动-装备达标</v>
      </c>
      <c r="B52" s="1">
        <v>16</v>
      </c>
      <c r="C52" s="1">
        <v>2</v>
      </c>
      <c r="K52" s="1">
        <v>400000</v>
      </c>
      <c r="P52" s="1">
        <v>6</v>
      </c>
      <c r="U52" s="1">
        <v>200007</v>
      </c>
      <c r="V52" s="1" t="str">
        <f>INDEX([1]物品基础表!$A:$A,MATCH(U52,[1]物品基础表!$B:$B,0))</f>
        <v>神装碎片</v>
      </c>
      <c r="W52" s="1">
        <v>100</v>
      </c>
      <c r="X52" s="1">
        <v>200156</v>
      </c>
      <c r="Y52" s="1" t="str">
        <f>INDEX([1]物品基础表!$A:$A,MATCH(X52,[1]物品基础表!$B:$B,0))</f>
        <v>野外BOSS次数卷轴</v>
      </c>
      <c r="Z52" s="1">
        <v>2</v>
      </c>
      <c r="AA52" s="1">
        <v>1</v>
      </c>
      <c r="AB52" s="1" t="s">
        <v>695</v>
      </c>
      <c r="AC52" s="1">
        <v>300000</v>
      </c>
    </row>
    <row r="53" spans="1:29">
      <c r="A53" s="1" t="str">
        <f>INDEX([2]活动总表!$A$8:$A$429,MATCH(B53,[2]活动总表!$B$8:$B$429,0))</f>
        <v>开服活动-装备达标</v>
      </c>
      <c r="B53" s="1">
        <v>16</v>
      </c>
      <c r="C53" s="1">
        <v>3</v>
      </c>
      <c r="K53" s="1">
        <v>500000</v>
      </c>
      <c r="P53" s="1">
        <v>6</v>
      </c>
      <c r="U53" s="1">
        <v>200007</v>
      </c>
      <c r="V53" s="1" t="str">
        <f>INDEX([1]物品基础表!$A:$A,MATCH(U53,[1]物品基础表!$B:$B,0))</f>
        <v>神装碎片</v>
      </c>
      <c r="W53" s="1">
        <v>150</v>
      </c>
      <c r="X53" s="1">
        <v>200156</v>
      </c>
      <c r="Y53" s="1" t="str">
        <f>INDEX([1]物品基础表!$A:$A,MATCH(X53,[1]物品基础表!$B:$B,0))</f>
        <v>野外BOSS次数卷轴</v>
      </c>
      <c r="Z53" s="1">
        <v>2</v>
      </c>
      <c r="AA53" s="1">
        <v>1</v>
      </c>
      <c r="AB53" s="1" t="s">
        <v>695</v>
      </c>
      <c r="AC53" s="1">
        <v>400000</v>
      </c>
    </row>
    <row r="54" spans="1:29">
      <c r="A54" s="1" t="str">
        <f>INDEX([2]活动总表!$A$8:$A$429,MATCH(B54,[2]活动总表!$B$8:$B$429,0))</f>
        <v>开服活动-装备达标</v>
      </c>
      <c r="B54" s="1">
        <v>16</v>
      </c>
      <c r="C54" s="1">
        <v>4</v>
      </c>
      <c r="K54" s="1">
        <v>700000</v>
      </c>
      <c r="P54" s="1">
        <v>6</v>
      </c>
      <c r="U54" s="1">
        <v>200007</v>
      </c>
      <c r="V54" s="1" t="str">
        <f>INDEX([1]物品基础表!$A:$A,MATCH(U54,[1]物品基础表!$B:$B,0))</f>
        <v>神装碎片</v>
      </c>
      <c r="W54" s="1">
        <v>300</v>
      </c>
      <c r="X54" s="1">
        <v>200157</v>
      </c>
      <c r="Y54" s="1" t="str">
        <f>INDEX([1]物品基础表!$A:$A,MATCH(X54,[1]物品基础表!$B:$B,0))</f>
        <v>秘境BOSS次数卷轴</v>
      </c>
      <c r="Z54" s="1">
        <v>2</v>
      </c>
      <c r="AA54" s="1">
        <v>1</v>
      </c>
      <c r="AB54" s="1" t="s">
        <v>695</v>
      </c>
      <c r="AC54" s="1">
        <v>500000</v>
      </c>
    </row>
    <row r="55" spans="1:29">
      <c r="A55" s="1" t="str">
        <f>INDEX([2]活动总表!$A$8:$A$429,MATCH(B55,[2]活动总表!$B$8:$B$429,0))</f>
        <v>开服活动-装备达标</v>
      </c>
      <c r="B55" s="1">
        <v>16</v>
      </c>
      <c r="C55" s="1">
        <v>5</v>
      </c>
      <c r="K55" s="1">
        <v>1000000</v>
      </c>
      <c r="P55" s="1">
        <v>6</v>
      </c>
      <c r="U55" s="1">
        <v>200007</v>
      </c>
      <c r="V55" s="1" t="str">
        <f>INDEX([1]物品基础表!$A:$A,MATCH(U55,[1]物品基础表!$B:$B,0))</f>
        <v>神装碎片</v>
      </c>
      <c r="W55" s="1">
        <v>1000</v>
      </c>
      <c r="X55" s="1">
        <v>200157</v>
      </c>
      <c r="Y55" s="1" t="str">
        <f>INDEX([1]物品基础表!$A:$A,MATCH(X55,[1]物品基础表!$B:$B,0))</f>
        <v>秘境BOSS次数卷轴</v>
      </c>
      <c r="Z55" s="1">
        <v>2</v>
      </c>
      <c r="AA55" s="1">
        <v>1</v>
      </c>
      <c r="AB55" s="1" t="s">
        <v>695</v>
      </c>
      <c r="AC55" s="1">
        <v>1000000</v>
      </c>
    </row>
    <row r="56" spans="1:29">
      <c r="A56" s="1" t="str">
        <f>INDEX([2]活动总表!$A$8:$A$429,MATCH(B56,[2]活动总表!$B$8:$B$429,0))</f>
        <v>开服活动-装备达标</v>
      </c>
      <c r="B56" s="1">
        <v>16</v>
      </c>
      <c r="C56" s="1">
        <v>6</v>
      </c>
      <c r="K56" s="1">
        <v>1400000</v>
      </c>
      <c r="P56" s="1">
        <v>6</v>
      </c>
      <c r="U56" s="1">
        <v>200007</v>
      </c>
      <c r="V56" s="1" t="str">
        <f>INDEX([1]物品基础表!$A:$A,MATCH(U56,[1]物品基础表!$B:$B,0))</f>
        <v>神装碎片</v>
      </c>
      <c r="W56" s="1">
        <v>1200</v>
      </c>
      <c r="X56" s="1">
        <v>200157</v>
      </c>
      <c r="Y56" s="1" t="str">
        <f>INDEX([1]物品基础表!$A:$A,MATCH(X56,[1]物品基础表!$B:$B,0))</f>
        <v>秘境BOSS次数卷轴</v>
      </c>
      <c r="Z56" s="1">
        <v>2</v>
      </c>
      <c r="AA56" s="1">
        <v>1</v>
      </c>
      <c r="AB56" s="1" t="s">
        <v>695</v>
      </c>
      <c r="AC56" s="1">
        <v>1500000</v>
      </c>
    </row>
    <row r="57" spans="1:29">
      <c r="A57" s="1" t="str">
        <f>INDEX([2]活动总表!$A$8:$A$429,MATCH(B57,[2]活动总表!$B$8:$B$429,0))</f>
        <v>合服累消达标</v>
      </c>
      <c r="B57" s="1">
        <v>160</v>
      </c>
      <c r="C57" s="1">
        <v>1</v>
      </c>
      <c r="L57" s="1">
        <v>3000</v>
      </c>
      <c r="P57" s="1">
        <v>100</v>
      </c>
      <c r="U57" s="1">
        <v>200005</v>
      </c>
      <c r="V57" s="1" t="str">
        <f>INDEX([1]物品基础表!$A:$A,MATCH(U57,[1]物品基础表!$B:$B,0))</f>
        <v>龙魂碎片</v>
      </c>
      <c r="W57" s="1">
        <v>10</v>
      </c>
      <c r="X57" s="1">
        <v>500004</v>
      </c>
      <c r="Y57" s="1" t="str">
        <f>INDEX([1]物品基础表!$A:$A,MATCH(X57,[1]物品基础表!$B:$B,0))</f>
        <v>战纹精华-橙</v>
      </c>
      <c r="Z57" s="1">
        <v>5</v>
      </c>
      <c r="AA57" s="1">
        <v>1</v>
      </c>
      <c r="AB57" s="1" t="s">
        <v>695</v>
      </c>
      <c r="AC57" s="1">
        <v>1000000</v>
      </c>
    </row>
    <row r="58" spans="1:29">
      <c r="A58" s="1" t="str">
        <f>INDEX([2]活动总表!$A$8:$A$429,MATCH(B58,[2]活动总表!$B$8:$B$429,0))</f>
        <v>合服累消达标</v>
      </c>
      <c r="B58" s="1">
        <v>160</v>
      </c>
      <c r="C58" s="1">
        <v>2</v>
      </c>
      <c r="L58" s="1">
        <v>6000</v>
      </c>
      <c r="P58" s="1">
        <v>100</v>
      </c>
      <c r="U58" s="1">
        <v>202001</v>
      </c>
      <c r="V58" s="1" t="str">
        <f>INDEX([1]物品基础表!$A:$A,MATCH(U58,[1]物品基础表!$B:$B,0))</f>
        <v>烈焰戒指技能1书</v>
      </c>
      <c r="W58" s="1">
        <v>2</v>
      </c>
      <c r="X58" s="1">
        <v>500004</v>
      </c>
      <c r="Y58" s="1" t="str">
        <f>INDEX([1]物品基础表!$A:$A,MATCH(X58,[1]物品基础表!$B:$B,0))</f>
        <v>战纹精华-橙</v>
      </c>
      <c r="Z58" s="1">
        <v>6</v>
      </c>
      <c r="AA58" s="1">
        <v>1</v>
      </c>
      <c r="AB58" s="1" t="s">
        <v>695</v>
      </c>
      <c r="AC58" s="1">
        <v>1200000</v>
      </c>
    </row>
    <row r="59" spans="1:29">
      <c r="A59" s="1" t="str">
        <f>INDEX([2]活动总表!$A$8:$A$429,MATCH(B59,[2]活动总表!$B$8:$B$429,0))</f>
        <v>合服累消达标</v>
      </c>
      <c r="B59" s="1">
        <v>160</v>
      </c>
      <c r="C59" s="1">
        <v>3</v>
      </c>
      <c r="L59" s="1">
        <v>10000</v>
      </c>
      <c r="P59" s="1">
        <v>100</v>
      </c>
      <c r="U59" s="1">
        <v>200925</v>
      </c>
      <c r="V59" s="1" t="str">
        <f>INDEX([1]物品基础表!$A:$A,MATCH(U59,[1]物品基础表!$B:$B,0))</f>
        <v>红色战纹任选宝箱</v>
      </c>
      <c r="W59" s="1">
        <v>1</v>
      </c>
      <c r="X59" s="1">
        <v>500004</v>
      </c>
      <c r="Y59" s="1" t="str">
        <f>INDEX([1]物品基础表!$A:$A,MATCH(X59,[1]物品基础表!$B:$B,0))</f>
        <v>战纹精华-橙</v>
      </c>
      <c r="Z59" s="1">
        <v>6</v>
      </c>
      <c r="AA59" s="1">
        <v>1</v>
      </c>
      <c r="AB59" s="1" t="s">
        <v>695</v>
      </c>
      <c r="AC59" s="1">
        <v>1500000</v>
      </c>
    </row>
    <row r="60" spans="1:29">
      <c r="A60" s="1" t="str">
        <f>INDEX([2]活动总表!$A$8:$A$429,MATCH(B60,[2]活动总表!$B$8:$B$429,0))</f>
        <v>合服累消达标</v>
      </c>
      <c r="B60" s="1">
        <v>160</v>
      </c>
      <c r="C60" s="1">
        <v>4</v>
      </c>
      <c r="L60" s="1">
        <v>20000</v>
      </c>
      <c r="P60" s="1">
        <v>100</v>
      </c>
      <c r="U60" s="1">
        <v>202002</v>
      </c>
      <c r="V60" s="1" t="str">
        <f>INDEX([1]物品基础表!$A:$A,MATCH(U60,[1]物品基础表!$B:$B,0))</f>
        <v>烈焰戒指技能2书</v>
      </c>
      <c r="W60" s="1">
        <v>1</v>
      </c>
      <c r="X60" s="1">
        <v>500004</v>
      </c>
      <c r="Y60" s="1" t="str">
        <f>INDEX([1]物品基础表!$A:$A,MATCH(X60,[1]物品基础表!$B:$B,0))</f>
        <v>战纹精华-橙</v>
      </c>
      <c r="Z60" s="1">
        <v>8</v>
      </c>
      <c r="AA60" s="1">
        <v>1</v>
      </c>
      <c r="AB60" s="1" t="s">
        <v>695</v>
      </c>
      <c r="AC60" s="1">
        <v>2000000</v>
      </c>
    </row>
    <row r="61" spans="1:29">
      <c r="A61" s="1" t="str">
        <f>INDEX([2]活动总表!$A$8:$A$429,MATCH(B61,[2]活动总表!$B$8:$B$429,0))</f>
        <v>合服累消达标</v>
      </c>
      <c r="B61" s="1">
        <v>160</v>
      </c>
      <c r="C61" s="1">
        <v>5</v>
      </c>
      <c r="L61" s="1">
        <v>50000</v>
      </c>
      <c r="P61" s="1">
        <v>100</v>
      </c>
      <c r="U61" s="1">
        <v>202002</v>
      </c>
      <c r="V61" s="1" t="str">
        <f>INDEX([1]物品基础表!$A:$A,MATCH(U61,[1]物品基础表!$B:$B,0))</f>
        <v>烈焰戒指技能2书</v>
      </c>
      <c r="W61" s="1">
        <v>3</v>
      </c>
      <c r="X61" s="1">
        <v>500005</v>
      </c>
      <c r="Y61" s="1" t="str">
        <f>INDEX([1]物品基础表!$A:$A,MATCH(X61,[1]物品基础表!$B:$B,0))</f>
        <v>战纹精华-红</v>
      </c>
      <c r="Z61" s="1">
        <v>5</v>
      </c>
      <c r="AA61" s="1">
        <v>1</v>
      </c>
      <c r="AB61" s="1" t="s">
        <v>695</v>
      </c>
      <c r="AC61" s="1">
        <v>2000000</v>
      </c>
    </row>
    <row r="62" spans="1:29">
      <c r="A62" s="1" t="str">
        <f>INDEX([2]活动总表!$A$8:$A$429,MATCH(B62,[2]活动总表!$B$8:$B$429,0))</f>
        <v>合服累消达标</v>
      </c>
      <c r="B62" s="1">
        <v>160</v>
      </c>
      <c r="C62" s="1">
        <v>6</v>
      </c>
      <c r="L62" s="1">
        <v>100000</v>
      </c>
      <c r="P62" s="1">
        <v>100</v>
      </c>
      <c r="U62" s="1">
        <v>202003</v>
      </c>
      <c r="V62" s="1" t="str">
        <f>INDEX([1]物品基础表!$A:$A,MATCH(U62,[1]物品基础表!$B:$B,0))</f>
        <v>烈焰戒指技能3书</v>
      </c>
      <c r="W62" s="1">
        <v>3</v>
      </c>
      <c r="X62" s="1">
        <v>500005</v>
      </c>
      <c r="Y62" s="1" t="str">
        <f>INDEX([1]物品基础表!$A:$A,MATCH(X62,[1]物品基础表!$B:$B,0))</f>
        <v>战纹精华-红</v>
      </c>
      <c r="Z62" s="1">
        <v>8</v>
      </c>
      <c r="AA62" s="1">
        <v>1</v>
      </c>
      <c r="AB62" s="1" t="s">
        <v>695</v>
      </c>
      <c r="AC62" s="1">
        <v>2000000</v>
      </c>
    </row>
    <row r="63" spans="1:29">
      <c r="A63" s="1" t="str">
        <f>INDEX([2]活动总表!$A$8:$A$429,MATCH(B63,[2]活动总表!$B$8:$B$429,0))</f>
        <v>次周活动-烈焰达标</v>
      </c>
      <c r="B63" s="1">
        <v>200</v>
      </c>
      <c r="C63" s="1">
        <v>1</v>
      </c>
      <c r="M63" s="1">
        <v>7</v>
      </c>
      <c r="P63" s="1">
        <v>7</v>
      </c>
      <c r="Q63" s="1">
        <v>100</v>
      </c>
      <c r="U63" s="1">
        <v>202001</v>
      </c>
      <c r="V63" s="1" t="str">
        <f>INDEX([1]物品基础表!$A:$A,MATCH(U63,[1]物品基础表!$B:$B,0))</f>
        <v>烈焰戒指技能1书</v>
      </c>
      <c r="W63" s="1">
        <v>1</v>
      </c>
      <c r="X63" s="1">
        <v>200015</v>
      </c>
      <c r="Y63" s="1" t="str">
        <f>INDEX([1]物品基础表!$A:$A,MATCH(X63,[1]物品基础表!$B:$B,0))</f>
        <v>特戒碎片</v>
      </c>
      <c r="Z63" s="1">
        <v>100</v>
      </c>
      <c r="AA63" s="1">
        <v>1</v>
      </c>
      <c r="AB63" s="1" t="s">
        <v>695</v>
      </c>
      <c r="AC63" s="1">
        <v>250000</v>
      </c>
    </row>
    <row r="64" spans="1:29">
      <c r="A64" s="1" t="str">
        <f>INDEX([2]活动总表!$A$8:$A$429,MATCH(B64,[2]活动总表!$B$8:$B$429,0))</f>
        <v>次周活动-烈焰达标</v>
      </c>
      <c r="B64" s="1">
        <v>200</v>
      </c>
      <c r="C64" s="1">
        <v>2</v>
      </c>
      <c r="M64" s="1">
        <v>24</v>
      </c>
      <c r="P64" s="1">
        <v>7</v>
      </c>
      <c r="Q64" s="1">
        <v>80</v>
      </c>
      <c r="U64" s="1">
        <v>202002</v>
      </c>
      <c r="V64" s="1" t="str">
        <f>INDEX([1]物品基础表!$A:$A,MATCH(U64,[1]物品基础表!$B:$B,0))</f>
        <v>烈焰戒指技能2书</v>
      </c>
      <c r="W64" s="1">
        <v>1</v>
      </c>
      <c r="X64" s="1">
        <v>200015</v>
      </c>
      <c r="Y64" s="1" t="str">
        <f>INDEX([1]物品基础表!$A:$A,MATCH(X64,[1]物品基础表!$B:$B,0))</f>
        <v>特戒碎片</v>
      </c>
      <c r="Z64" s="1">
        <v>200</v>
      </c>
      <c r="AA64" s="1">
        <v>1</v>
      </c>
      <c r="AB64" s="1" t="s">
        <v>695</v>
      </c>
      <c r="AC64" s="1">
        <v>850000</v>
      </c>
    </row>
    <row r="65" spans="1:29">
      <c r="A65" s="1" t="str">
        <f>INDEX([2]活动总表!$A$8:$A$429,MATCH(B65,[2]活动总表!$B$8:$B$429,0))</f>
        <v>次周活动-烈焰达标</v>
      </c>
      <c r="B65" s="1">
        <v>200</v>
      </c>
      <c r="C65" s="1">
        <v>3</v>
      </c>
      <c r="M65" s="1">
        <v>56</v>
      </c>
      <c r="P65" s="1">
        <v>7</v>
      </c>
      <c r="Q65" s="1">
        <v>50</v>
      </c>
      <c r="U65" s="1">
        <v>202002</v>
      </c>
      <c r="V65" s="1" t="str">
        <f>INDEX([1]物品基础表!$A:$A,MATCH(U65,[1]物品基础表!$B:$B,0))</f>
        <v>烈焰戒指技能2书</v>
      </c>
      <c r="W65" s="1">
        <v>2</v>
      </c>
      <c r="X65" s="1">
        <v>200015</v>
      </c>
      <c r="Y65" s="1" t="str">
        <f>INDEX([1]物品基础表!$A:$A,MATCH(X65,[1]物品基础表!$B:$B,0))</f>
        <v>特戒碎片</v>
      </c>
      <c r="Z65" s="1">
        <v>400</v>
      </c>
      <c r="AA65" s="1">
        <v>1</v>
      </c>
      <c r="AB65" s="1" t="s">
        <v>695</v>
      </c>
      <c r="AC65" s="1">
        <v>2000000</v>
      </c>
    </row>
    <row r="66" spans="1:29">
      <c r="A66" s="1" t="str">
        <f>INDEX([2]活动总表!$A$8:$A$429,MATCH(B66,[2]活动总表!$B$8:$B$429,0))</f>
        <v>次周活动-烈焰达标</v>
      </c>
      <c r="B66" s="1">
        <v>200</v>
      </c>
      <c r="C66" s="1">
        <v>4</v>
      </c>
      <c r="M66" s="1">
        <v>111</v>
      </c>
      <c r="P66" s="1">
        <v>7</v>
      </c>
      <c r="Q66" s="1">
        <v>30</v>
      </c>
      <c r="U66" s="1">
        <v>202003</v>
      </c>
      <c r="V66" s="1" t="str">
        <f>INDEX([1]物品基础表!$A:$A,MATCH(U66,[1]物品基础表!$B:$B,0))</f>
        <v>烈焰戒指技能3书</v>
      </c>
      <c r="W66" s="1">
        <v>1</v>
      </c>
      <c r="X66" s="1">
        <v>200015</v>
      </c>
      <c r="Y66" s="1" t="str">
        <f>INDEX([1]物品基础表!$A:$A,MATCH(X66,[1]物品基础表!$B:$B,0))</f>
        <v>特戒碎片</v>
      </c>
      <c r="Z66" s="1">
        <v>600</v>
      </c>
      <c r="AA66" s="1">
        <v>1</v>
      </c>
      <c r="AB66" s="1" t="s">
        <v>695</v>
      </c>
      <c r="AC66" s="1">
        <v>4000000</v>
      </c>
    </row>
    <row r="67" spans="1:29">
      <c r="A67" s="1" t="str">
        <f>INDEX([2]活动总表!$A$8:$A$429,MATCH(B67,[2]活动总表!$B$8:$B$429,0))</f>
        <v>次周活动-烈焰达标</v>
      </c>
      <c r="B67" s="1">
        <v>200</v>
      </c>
      <c r="C67" s="1">
        <v>5</v>
      </c>
      <c r="M67" s="1">
        <v>144</v>
      </c>
      <c r="P67" s="1">
        <v>7</v>
      </c>
      <c r="Q67" s="1">
        <v>8</v>
      </c>
      <c r="U67" s="1">
        <v>202003</v>
      </c>
      <c r="V67" s="1" t="str">
        <f>INDEX([1]物品基础表!$A:$A,MATCH(U67,[1]物品基础表!$B:$B,0))</f>
        <v>烈焰戒指技能3书</v>
      </c>
      <c r="W67" s="1">
        <v>1</v>
      </c>
      <c r="X67" s="1">
        <v>200015</v>
      </c>
      <c r="Y67" s="1" t="str">
        <f>INDEX([1]物品基础表!$A:$A,MATCH(X67,[1]物品基础表!$B:$B,0))</f>
        <v>特戒碎片</v>
      </c>
      <c r="Z67" s="1">
        <v>1000</v>
      </c>
      <c r="AA67" s="1">
        <v>1</v>
      </c>
      <c r="AB67" s="1" t="s">
        <v>695</v>
      </c>
      <c r="AC67" s="1">
        <v>6400000</v>
      </c>
    </row>
    <row r="68" spans="1:29">
      <c r="A68" s="1" t="str">
        <f>INDEX([2]活动总表!$A$8:$A$429,MATCH(B68,[2]活动总表!$B$8:$B$429,0))</f>
        <v>次周活动-烈焰达标</v>
      </c>
      <c r="B68" s="1">
        <v>200</v>
      </c>
      <c r="C68" s="1">
        <v>6</v>
      </c>
      <c r="M68" s="1">
        <v>193</v>
      </c>
      <c r="P68" s="1">
        <v>7</v>
      </c>
      <c r="Q68" s="1">
        <v>5</v>
      </c>
      <c r="U68" s="1">
        <v>202004</v>
      </c>
      <c r="V68" s="1" t="str">
        <f>INDEX([1]物品基础表!$A:$A,MATCH(U68,[1]物品基础表!$B:$B,0))</f>
        <v>烈焰戒指技能4书</v>
      </c>
      <c r="W68" s="1">
        <v>1</v>
      </c>
      <c r="X68" s="1">
        <v>200015</v>
      </c>
      <c r="Y68" s="1" t="str">
        <f>INDEX([1]物品基础表!$A:$A,MATCH(X68,[1]物品基础表!$B:$B,0))</f>
        <v>特戒碎片</v>
      </c>
      <c r="Z68" s="1">
        <v>1200</v>
      </c>
      <c r="AA68" s="1">
        <v>1</v>
      </c>
      <c r="AB68" s="1" t="s">
        <v>695</v>
      </c>
      <c r="AC68" s="1">
        <v>10000000</v>
      </c>
    </row>
    <row r="69" spans="1:29">
      <c r="A69" s="1" t="str">
        <f>INDEX([2]活动总表!$A$8:$A$429,MATCH(B69,[2]活动总表!$B$8:$B$429,0))</f>
        <v>次周活动-烈焰达标</v>
      </c>
      <c r="B69" s="1">
        <v>200</v>
      </c>
      <c r="C69" s="1">
        <v>7</v>
      </c>
      <c r="M69" s="1">
        <v>254</v>
      </c>
      <c r="P69" s="1">
        <v>7</v>
      </c>
      <c r="Q69" s="1">
        <v>3</v>
      </c>
      <c r="U69" s="1">
        <v>202009</v>
      </c>
      <c r="V69" s="1" t="str">
        <f>INDEX([1]物品基础表!$A:$A,MATCH(U69,[1]物品基础表!$B:$B,0))</f>
        <v>神烈焰戒指</v>
      </c>
      <c r="W69" s="1">
        <v>1</v>
      </c>
      <c r="X69" s="1">
        <v>202004</v>
      </c>
      <c r="Y69" s="1" t="str">
        <f>INDEX([1]物品基础表!$A:$A,MATCH(X69,[1]物品基础表!$B:$B,0))</f>
        <v>烈焰戒指技能4书</v>
      </c>
      <c r="Z69" s="1">
        <v>1</v>
      </c>
      <c r="AA69" s="1">
        <v>1</v>
      </c>
      <c r="AB69" s="1" t="s">
        <v>695</v>
      </c>
      <c r="AC69" s="1">
        <v>16800000</v>
      </c>
    </row>
    <row r="70" spans="1:29">
      <c r="A70" s="1" t="str">
        <f>INDEX([2]活动总表!$A$8:$A$429,MATCH(B70,[2]活动总表!$B$8:$B$429,0))</f>
        <v>元旦-累消达标</v>
      </c>
      <c r="B70" s="1">
        <v>236</v>
      </c>
      <c r="C70" s="1">
        <v>1</v>
      </c>
      <c r="L70" s="1">
        <v>68888</v>
      </c>
      <c r="P70" s="1">
        <v>100</v>
      </c>
      <c r="U70" s="1">
        <v>200326</v>
      </c>
      <c r="V70" s="1" t="str">
        <f>INDEX([1]物品基础表!$A:$A,MATCH(U70,[1]物品基础表!$B:$B,0))</f>
        <v>兵魂之灵</v>
      </c>
      <c r="W70" s="1">
        <v>1</v>
      </c>
      <c r="X70" s="1">
        <v>204030</v>
      </c>
      <c r="Y70" s="1" t="str">
        <f>INDEX([1]物品基础表!$A:$A,MATCH(X70,[1]物品基础表!$B:$B,0))</f>
        <v>元旦兑换</v>
      </c>
      <c r="Z70" s="1">
        <v>300</v>
      </c>
    </row>
    <row r="71" spans="1:29">
      <c r="A71" s="1" t="str">
        <f>INDEX([2]活动总表!$A$8:$A$429,MATCH(B71,[2]活动总表!$B$8:$B$429,0))</f>
        <v>元旦-累消达标</v>
      </c>
      <c r="B71" s="1">
        <v>236</v>
      </c>
      <c r="C71" s="1">
        <v>2</v>
      </c>
      <c r="L71" s="1">
        <v>128888</v>
      </c>
      <c r="P71" s="1">
        <v>100</v>
      </c>
      <c r="U71" s="1">
        <v>201008</v>
      </c>
      <c r="V71" s="1" t="str">
        <f>INDEX([1]物品基础表!$A:$A,MATCH(U71,[1]物品基础表!$B:$B,0))</f>
        <v>金色图鉴包·美女如云</v>
      </c>
      <c r="W71" s="1">
        <v>1</v>
      </c>
      <c r="X71" s="1">
        <v>204030</v>
      </c>
      <c r="Y71" s="1" t="str">
        <f>INDEX([1]物品基础表!$A:$A,MATCH(X71,[1]物品基础表!$B:$B,0))</f>
        <v>元旦兑换</v>
      </c>
      <c r="Z71" s="1">
        <v>300</v>
      </c>
    </row>
    <row r="72" spans="1:29">
      <c r="A72" s="1" t="str">
        <f>INDEX([2]活动总表!$A$8:$A$429,MATCH(B72,[2]活动总表!$B$8:$B$429,0))</f>
        <v>元旦-累消达标</v>
      </c>
      <c r="B72" s="1">
        <v>236</v>
      </c>
      <c r="C72" s="1">
        <v>3</v>
      </c>
      <c r="L72" s="1">
        <v>268888</v>
      </c>
      <c r="P72" s="1">
        <v>100</v>
      </c>
      <c r="U72" s="1">
        <v>201008</v>
      </c>
      <c r="V72" s="1" t="str">
        <f>INDEX([1]物品基础表!$A:$A,MATCH(U72,[1]物品基础表!$B:$B,0))</f>
        <v>金色图鉴包·美女如云</v>
      </c>
      <c r="W72" s="1">
        <v>1</v>
      </c>
      <c r="X72" s="1">
        <v>204030</v>
      </c>
      <c r="Y72" s="1" t="str">
        <f>INDEX([1]物品基础表!$A:$A,MATCH(X72,[1]物品基础表!$B:$B,0))</f>
        <v>元旦兑换</v>
      </c>
      <c r="Z72" s="1">
        <v>500</v>
      </c>
    </row>
    <row r="73" spans="1:29">
      <c r="A73" s="1" t="str">
        <f>INDEX([2]活动总表!$A$8:$A$429,MATCH(B73,[2]活动总表!$B$8:$B$429,0))</f>
        <v>元旦-累消达标</v>
      </c>
      <c r="B73" s="1">
        <v>236</v>
      </c>
      <c r="C73" s="1">
        <v>4</v>
      </c>
      <c r="L73" s="1">
        <v>388888</v>
      </c>
      <c r="P73" s="1">
        <v>100</v>
      </c>
      <c r="U73" s="1">
        <v>201008</v>
      </c>
      <c r="V73" s="1" t="str">
        <f>INDEX([1]物品基础表!$A:$A,MATCH(U73,[1]物品基础表!$B:$B,0))</f>
        <v>金色图鉴包·美女如云</v>
      </c>
      <c r="W73" s="1">
        <v>1</v>
      </c>
      <c r="X73" s="1">
        <v>204030</v>
      </c>
      <c r="Y73" s="1" t="str">
        <f>INDEX([1]物品基础表!$A:$A,MATCH(X73,[1]物品基础表!$B:$B,0))</f>
        <v>元旦兑换</v>
      </c>
      <c r="Z73" s="1">
        <v>500</v>
      </c>
    </row>
    <row r="74" spans="1:29">
      <c r="A74" s="1" t="str">
        <f>INDEX([2]活动总表!$A$8:$A$429,MATCH(B74,[2]活动总表!$B$8:$B$429,0))</f>
        <v>元旦-累消达标</v>
      </c>
      <c r="B74" s="1">
        <v>236</v>
      </c>
      <c r="C74" s="1">
        <v>5</v>
      </c>
      <c r="L74" s="1">
        <v>588888</v>
      </c>
      <c r="P74" s="1">
        <v>100</v>
      </c>
      <c r="U74" s="1">
        <v>204031</v>
      </c>
      <c r="V74" s="1" t="str">
        <f>INDEX([1]物品基础表!$A:$A,MATCH(U74,[1]物品基础表!$B:$B,0))</f>
        <v>9转神斗笠</v>
      </c>
      <c r="W74" s="1">
        <v>1</v>
      </c>
      <c r="X74" s="1">
        <v>204030</v>
      </c>
      <c r="Y74" s="1" t="str">
        <f>INDEX([1]物品基础表!$A:$A,MATCH(X74,[1]物品基础表!$B:$B,0))</f>
        <v>元旦兑换</v>
      </c>
      <c r="Z74" s="1">
        <v>800</v>
      </c>
    </row>
    <row r="75" spans="1:29">
      <c r="A75" s="1" t="str">
        <f>INDEX([2]活动总表!$A$8:$A$429,MATCH(B75,[2]活动总表!$B$8:$B$429,0))</f>
        <v>元旦-累消达标</v>
      </c>
      <c r="B75" s="1">
        <v>236</v>
      </c>
      <c r="C75" s="1">
        <v>6</v>
      </c>
      <c r="L75" s="1">
        <v>988888</v>
      </c>
      <c r="P75" s="1">
        <v>100</v>
      </c>
      <c r="U75" s="1">
        <v>204032</v>
      </c>
      <c r="V75" s="1" t="str">
        <f>INDEX([1]物品基础表!$A:$A,MATCH(U75,[1]物品基础表!$B:$B,0))</f>
        <v>9转圣斗笠</v>
      </c>
      <c r="W75" s="1">
        <v>1</v>
      </c>
      <c r="X75" s="1">
        <v>204030</v>
      </c>
      <c r="Y75" s="1" t="str">
        <f>INDEX([1]物品基础表!$A:$A,MATCH(X75,[1]物品基础表!$B:$B,0))</f>
        <v>元旦兑换</v>
      </c>
      <c r="Z75" s="1">
        <v>1200</v>
      </c>
    </row>
    <row r="76" spans="1:29">
      <c r="A76" s="1" t="str">
        <f>INDEX([2]活动总表!$A$8:$A$429,MATCH(B76,[2]活动总表!$B$8:$B$429,0))</f>
        <v>轮回-达标</v>
      </c>
      <c r="B76" s="1">
        <v>260</v>
      </c>
      <c r="C76" s="1">
        <v>1</v>
      </c>
      <c r="N76" s="1">
        <v>3</v>
      </c>
      <c r="P76" s="1">
        <v>8</v>
      </c>
      <c r="Q76" s="1">
        <v>50</v>
      </c>
      <c r="U76" s="1">
        <v>204021</v>
      </c>
      <c r="V76" s="1" t="str">
        <f>INDEX([1]物品基础表!$A:$A,MATCH(U76,[1]物品基础表!$B:$B,0))</f>
        <v>轮回披风宝箱（神7转）</v>
      </c>
      <c r="W76" s="1">
        <v>1</v>
      </c>
      <c r="X76" s="1">
        <v>201106</v>
      </c>
      <c r="Y76" s="1" t="str">
        <f>INDEX([1]物品基础表!$A:$A,MATCH(X76,[1]物品基础表!$B:$B,0))</f>
        <v>高级轮回丹·无限制</v>
      </c>
      <c r="Z76" s="1">
        <v>2</v>
      </c>
      <c r="AA76" s="1">
        <v>1</v>
      </c>
      <c r="AB76" s="1" t="s">
        <v>695</v>
      </c>
      <c r="AC76" s="1">
        <v>300000</v>
      </c>
    </row>
    <row r="77" spans="1:29">
      <c r="A77" s="1" t="str">
        <f>INDEX([2]活动总表!$A$8:$A$429,MATCH(B77,[2]活动总表!$B$8:$B$429,0))</f>
        <v>轮回-达标</v>
      </c>
      <c r="B77" s="1">
        <v>260</v>
      </c>
      <c r="C77" s="1">
        <v>2</v>
      </c>
      <c r="N77" s="1">
        <v>6</v>
      </c>
      <c r="P77" s="1">
        <v>8</v>
      </c>
      <c r="Q77" s="1">
        <v>30</v>
      </c>
      <c r="U77" s="1">
        <v>204022</v>
      </c>
      <c r="V77" s="1" t="str">
        <f>INDEX([1]物品基础表!$A:$A,MATCH(U77,[1]物品基础表!$B:$B,0))</f>
        <v>轮回盾牌宝箱（神7转）</v>
      </c>
      <c r="W77" s="1">
        <v>1</v>
      </c>
      <c r="X77" s="1">
        <v>201106</v>
      </c>
      <c r="Y77" s="1" t="str">
        <f>INDEX([1]物品基础表!$A:$A,MATCH(X77,[1]物品基础表!$B:$B,0))</f>
        <v>高级轮回丹·无限制</v>
      </c>
      <c r="Z77" s="1">
        <v>5</v>
      </c>
      <c r="AA77" s="1">
        <v>1</v>
      </c>
      <c r="AB77" s="1" t="s">
        <v>695</v>
      </c>
      <c r="AC77" s="1">
        <v>600000</v>
      </c>
    </row>
    <row r="78" spans="1:29">
      <c r="A78" s="1" t="str">
        <f>INDEX([2]活动总表!$A$8:$A$429,MATCH(B78,[2]活动总表!$B$8:$B$429,0))</f>
        <v>轮回-达标</v>
      </c>
      <c r="B78" s="1">
        <v>260</v>
      </c>
      <c r="C78" s="1">
        <v>3</v>
      </c>
      <c r="N78" s="1">
        <v>9</v>
      </c>
      <c r="P78" s="1">
        <v>8</v>
      </c>
      <c r="Q78" s="1">
        <v>20</v>
      </c>
      <c r="U78" s="1">
        <v>204023</v>
      </c>
      <c r="V78" s="1" t="str">
        <f>INDEX([1]物品基础表!$A:$A,MATCH(U78,[1]物品基础表!$B:$B,0))</f>
        <v>轮回面甲宝箱（神7转）</v>
      </c>
      <c r="W78" s="1">
        <v>1</v>
      </c>
      <c r="X78" s="1">
        <v>201106</v>
      </c>
      <c r="Y78" s="1" t="str">
        <f>INDEX([1]物品基础表!$A:$A,MATCH(X78,[1]物品基础表!$B:$B,0))</f>
        <v>高级轮回丹·无限制</v>
      </c>
      <c r="Z78" s="1">
        <v>8</v>
      </c>
      <c r="AA78" s="1">
        <v>1</v>
      </c>
      <c r="AB78" s="1" t="s">
        <v>695</v>
      </c>
      <c r="AC78" s="1">
        <v>900000</v>
      </c>
    </row>
    <row r="79" spans="1:29">
      <c r="A79" s="1" t="str">
        <f>INDEX([2]活动总表!$A$8:$A$429,MATCH(B79,[2]活动总表!$B$8:$B$429,0))</f>
        <v>轮回-达标</v>
      </c>
      <c r="B79" s="1">
        <v>260</v>
      </c>
      <c r="C79" s="1">
        <v>4</v>
      </c>
      <c r="N79" s="1">
        <v>12</v>
      </c>
      <c r="P79" s="1">
        <v>8</v>
      </c>
      <c r="Q79" s="1">
        <v>10</v>
      </c>
      <c r="U79" s="1">
        <v>204024</v>
      </c>
      <c r="V79" s="1" t="str">
        <f>INDEX([1]物品基础表!$A:$A,MATCH(U79,[1]物品基础表!$B:$B,0))</f>
        <v>轮回斗笠宝箱（神7转）</v>
      </c>
      <c r="W79" s="1">
        <v>1</v>
      </c>
      <c r="X79" s="1">
        <v>201106</v>
      </c>
      <c r="Y79" s="1" t="str">
        <f>INDEX([1]物品基础表!$A:$A,MATCH(X79,[1]物品基础表!$B:$B,0))</f>
        <v>高级轮回丹·无限制</v>
      </c>
      <c r="Z79" s="1">
        <v>10</v>
      </c>
      <c r="AA79" s="1">
        <v>1</v>
      </c>
      <c r="AB79" s="1" t="s">
        <v>695</v>
      </c>
      <c r="AC79" s="1">
        <v>1200000</v>
      </c>
    </row>
    <row r="80" spans="1:29">
      <c r="A80" s="1" t="str">
        <f>INDEX([2]活动总表!$A$8:$A$429,MATCH(B80,[2]活动总表!$B$8:$B$429,0))</f>
        <v>轮回-达标</v>
      </c>
      <c r="B80" s="1">
        <v>260</v>
      </c>
      <c r="C80" s="1">
        <v>5</v>
      </c>
      <c r="N80" s="1">
        <v>15</v>
      </c>
      <c r="P80" s="1">
        <v>8</v>
      </c>
      <c r="Q80" s="1">
        <v>5</v>
      </c>
      <c r="U80" s="1">
        <v>204025</v>
      </c>
      <c r="V80" s="1" t="str">
        <f>INDEX([1]物品基础表!$A:$A,MATCH(U80,[1]物品基础表!$B:$B,0))</f>
        <v>轮回披风宝箱（神8转）</v>
      </c>
      <c r="W80" s="1">
        <v>1</v>
      </c>
      <c r="X80" s="1">
        <v>201106</v>
      </c>
      <c r="Y80" s="1" t="str">
        <f>INDEX([1]物品基础表!$A:$A,MATCH(X80,[1]物品基础表!$B:$B,0))</f>
        <v>高级轮回丹·无限制</v>
      </c>
      <c r="Z80" s="1">
        <v>15</v>
      </c>
      <c r="AA80" s="1">
        <v>1</v>
      </c>
      <c r="AB80" s="1" t="s">
        <v>695</v>
      </c>
      <c r="AC80" s="1">
        <v>1500000</v>
      </c>
    </row>
    <row r="81" spans="1:29">
      <c r="A81" s="1" t="str">
        <f>INDEX([2]活动总表!$A$8:$A$429,MATCH(B81,[2]活动总表!$B$8:$B$429,0))</f>
        <v>轮回-达标</v>
      </c>
      <c r="B81" s="1">
        <v>260</v>
      </c>
      <c r="C81" s="1">
        <v>6</v>
      </c>
      <c r="N81" s="1">
        <v>18</v>
      </c>
      <c r="P81" s="1">
        <v>8</v>
      </c>
      <c r="Q81" s="1">
        <v>5</v>
      </c>
      <c r="U81" s="1">
        <v>204026</v>
      </c>
      <c r="V81" s="1" t="str">
        <f>INDEX([1]物品基础表!$A:$A,MATCH(U81,[1]物品基础表!$B:$B,0))</f>
        <v>轮回盾牌宝箱（神8转）</v>
      </c>
      <c r="W81" s="1">
        <v>1</v>
      </c>
      <c r="X81" s="1">
        <v>201106</v>
      </c>
      <c r="Y81" s="1" t="str">
        <f>INDEX([1]物品基础表!$A:$A,MATCH(X81,[1]物品基础表!$B:$B,0))</f>
        <v>高级轮回丹·无限制</v>
      </c>
      <c r="Z81" s="1">
        <v>20</v>
      </c>
      <c r="AA81" s="1">
        <v>1</v>
      </c>
      <c r="AB81" s="1" t="s">
        <v>695</v>
      </c>
      <c r="AC81" s="1">
        <v>1800000</v>
      </c>
    </row>
    <row r="82" spans="1:29">
      <c r="A82" s="1" t="str">
        <f>INDEX([2]活动总表!$A$8:$A$429,MATCH(B82,[2]活动总表!$B$8:$B$429,0))</f>
        <v>轮回-达标</v>
      </c>
      <c r="B82" s="1">
        <v>260</v>
      </c>
      <c r="C82" s="1">
        <v>7</v>
      </c>
      <c r="N82" s="1">
        <v>21</v>
      </c>
      <c r="P82" s="1">
        <v>8</v>
      </c>
      <c r="Q82" s="1">
        <v>3</v>
      </c>
      <c r="U82" s="1">
        <v>204029</v>
      </c>
      <c r="V82" s="1" t="str">
        <f>INDEX([1]物品基础表!$A:$A,MATCH(U82,[1]物品基础表!$B:$B,0))</f>
        <v>魔魂礼包</v>
      </c>
      <c r="W82" s="1">
        <v>1</v>
      </c>
      <c r="X82" s="1">
        <v>201106</v>
      </c>
      <c r="Y82" s="1" t="str">
        <f>INDEX([1]物品基础表!$A:$A,MATCH(X82,[1]物品基础表!$B:$B,0))</f>
        <v>高级轮回丹·无限制</v>
      </c>
      <c r="Z82" s="1">
        <v>20</v>
      </c>
      <c r="AA82" s="1">
        <v>1</v>
      </c>
      <c r="AB82" s="1" t="s">
        <v>695</v>
      </c>
      <c r="AC82" s="1">
        <v>2100000</v>
      </c>
    </row>
    <row r="83" spans="1:29">
      <c r="A83" s="1" t="str">
        <f>INDEX([2]活动总表!$A$8:$A$429,MATCH(B83,[2]活动总表!$B$8:$B$429,0))</f>
        <v>跨服消费榜嵌套的达标</v>
      </c>
      <c r="B83" s="1">
        <v>300</v>
      </c>
      <c r="C83" s="1">
        <v>1</v>
      </c>
      <c r="L83" s="1">
        <v>10000</v>
      </c>
      <c r="P83" s="1">
        <v>100</v>
      </c>
      <c r="U83" s="1">
        <v>200925</v>
      </c>
      <c r="V83" s="1" t="str">
        <f>INDEX([1]物品基础表!$A:$A,MATCH(U83,[1]物品基础表!$B:$B,0))</f>
        <v>红色战纹任选宝箱</v>
      </c>
      <c r="W83" s="1">
        <v>1</v>
      </c>
    </row>
    <row r="84" spans="1:29">
      <c r="A84" s="1" t="str">
        <f>INDEX([2]活动总表!$A$8:$A$429,MATCH(B84,[2]活动总表!$B$8:$B$429,0))</f>
        <v>跨服消费榜嵌套的达标</v>
      </c>
      <c r="B84" s="1">
        <v>300</v>
      </c>
      <c r="C84" s="1">
        <v>2</v>
      </c>
      <c r="L84" s="1">
        <v>20000</v>
      </c>
      <c r="P84" s="1">
        <v>100</v>
      </c>
      <c r="U84" s="1">
        <v>204071</v>
      </c>
      <c r="V84" s="1" t="str">
        <f>INDEX([1]物品基础表!$A:$A,MATCH(U84,[1]物品基础表!$B:$B,0))</f>
        <v>玉佩温养道具3</v>
      </c>
      <c r="W84" s="1">
        <v>1</v>
      </c>
    </row>
    <row r="85" spans="1:29">
      <c r="A85" s="1" t="str">
        <f>INDEX([2]活动总表!$A$8:$A$429,MATCH(B85,[2]活动总表!$B$8:$B$429,0))</f>
        <v>跨服消费榜嵌套的达标</v>
      </c>
      <c r="B85" s="1">
        <v>300</v>
      </c>
      <c r="C85" s="1">
        <v>3</v>
      </c>
      <c r="L85" s="1">
        <v>40000</v>
      </c>
      <c r="P85" s="1">
        <v>100</v>
      </c>
      <c r="U85" s="1">
        <v>202008</v>
      </c>
      <c r="V85" s="1" t="str">
        <f>INDEX([1]物品基础表!$A:$A,MATCH(U85,[1]物品基础表!$B:$B,0))</f>
        <v>烈焰戒指技能8书</v>
      </c>
      <c r="W85" s="1">
        <v>1</v>
      </c>
    </row>
    <row r="86" spans="1:29">
      <c r="A86" s="1" t="str">
        <f>INDEX([2]活动总表!$A$8:$A$429,MATCH(B86,[2]活动总表!$B$8:$B$429,0))</f>
        <v>跨服消费榜嵌套的达标</v>
      </c>
      <c r="B86" s="1">
        <v>300</v>
      </c>
      <c r="C86" s="1">
        <v>4</v>
      </c>
      <c r="L86" s="1">
        <v>70000</v>
      </c>
      <c r="P86" s="1">
        <v>100</v>
      </c>
      <c r="U86" s="1">
        <v>202003</v>
      </c>
      <c r="V86" s="1" t="str">
        <f>INDEX([1]物品基础表!$A:$A,MATCH(U86,[1]物品基础表!$B:$B,0))</f>
        <v>烈焰戒指技能3书</v>
      </c>
      <c r="W86" s="1">
        <v>1</v>
      </c>
    </row>
    <row r="87" spans="1:29">
      <c r="A87" s="1" t="str">
        <f>INDEX([2]活动总表!$A$8:$A$429,MATCH(B87,[2]活动总表!$B$8:$B$429,0))</f>
        <v>跨服消费榜嵌套的达标</v>
      </c>
      <c r="B87" s="1">
        <v>300</v>
      </c>
      <c r="C87" s="1">
        <v>5</v>
      </c>
      <c r="L87" s="1">
        <v>100000</v>
      </c>
      <c r="P87" s="1">
        <v>100</v>
      </c>
      <c r="U87" s="1">
        <v>202003</v>
      </c>
      <c r="V87" s="1" t="str">
        <f>INDEX([1]物品基础表!$A:$A,MATCH(U87,[1]物品基础表!$B:$B,0))</f>
        <v>烈焰戒指技能3书</v>
      </c>
      <c r="W87" s="1">
        <v>1</v>
      </c>
    </row>
    <row r="88" spans="1:29">
      <c r="A88" s="1" t="str">
        <f>INDEX([2]活动总表!$A$8:$A$429,MATCH(B88,[2]活动总表!$B$8:$B$429,0))</f>
        <v>战灵活动-达标奖励</v>
      </c>
      <c r="B88" s="1">
        <v>313</v>
      </c>
      <c r="C88" s="1">
        <v>1</v>
      </c>
      <c r="O88" s="1">
        <v>3</v>
      </c>
      <c r="P88" s="1">
        <v>9</v>
      </c>
      <c r="Q88" s="1">
        <v>100</v>
      </c>
      <c r="U88" s="1">
        <v>205000</v>
      </c>
      <c r="V88" s="1" t="str">
        <f>INDEX([1]物品基础表!$A:$A,MATCH(U88,[1]物品基础表!$B:$B,0))</f>
        <v>战灵进阶丹</v>
      </c>
      <c r="W88" s="1">
        <v>50</v>
      </c>
    </row>
    <row r="89" spans="1:29">
      <c r="A89" s="1" t="str">
        <f>INDEX([2]活动总表!$A$8:$A$429,MATCH(B89,[2]活动总表!$B$8:$B$429,0))</f>
        <v>战灵活动-达标奖励</v>
      </c>
      <c r="B89" s="1">
        <v>313</v>
      </c>
      <c r="C89" s="1">
        <v>2</v>
      </c>
      <c r="O89" s="1">
        <v>15</v>
      </c>
      <c r="P89" s="1">
        <v>9</v>
      </c>
      <c r="Q89" s="1">
        <v>50</v>
      </c>
      <c r="U89" s="1">
        <v>205000</v>
      </c>
      <c r="V89" s="1" t="str">
        <f>INDEX([1]物品基础表!$A:$A,MATCH(U89,[1]物品基础表!$B:$B,0))</f>
        <v>战灵进阶丹</v>
      </c>
      <c r="W89" s="1">
        <v>100</v>
      </c>
      <c r="X89" s="1">
        <v>205003</v>
      </c>
      <c r="Y89" s="1" t="str">
        <f>INDEX([1]物品基础表!$A:$A,MATCH(X89,[1]物品基础表!$B:$B,0))</f>
        <v>庚金白虎</v>
      </c>
      <c r="Z89" s="1">
        <v>1</v>
      </c>
    </row>
    <row r="90" spans="1:29">
      <c r="A90" s="1" t="str">
        <f>INDEX([2]活动总表!$A$8:$A$429,MATCH(B90,[2]活动总表!$B$8:$B$429,0))</f>
        <v>战灵活动-达标奖励</v>
      </c>
      <c r="B90" s="1">
        <v>313</v>
      </c>
      <c r="C90" s="1">
        <v>3</v>
      </c>
      <c r="O90" s="1">
        <v>25</v>
      </c>
      <c r="P90" s="1">
        <v>9</v>
      </c>
      <c r="Q90" s="1">
        <v>30</v>
      </c>
      <c r="U90" s="1">
        <v>205000</v>
      </c>
      <c r="V90" s="1" t="str">
        <f>INDEX([1]物品基础表!$A:$A,MATCH(U90,[1]物品基础表!$B:$B,0))</f>
        <v>战灵进阶丹</v>
      </c>
      <c r="W90" s="1">
        <v>150</v>
      </c>
      <c r="X90" s="1">
        <v>205002</v>
      </c>
      <c r="Y90" s="1" t="str">
        <f>INDEX([1]物品基础表!$A:$A,MATCH(X90,[1]物品基础表!$B:$B,0))</f>
        <v>战灵飞升丹</v>
      </c>
      <c r="Z90" s="1">
        <v>1</v>
      </c>
    </row>
    <row r="91" spans="1:29">
      <c r="A91" s="1" t="str">
        <f>INDEX([2]活动总表!$A$8:$A$429,MATCH(B91,[2]活动总表!$B$8:$B$429,0))</f>
        <v>战灵活动-达标奖励</v>
      </c>
      <c r="B91" s="1">
        <v>313</v>
      </c>
      <c r="C91" s="1">
        <v>4</v>
      </c>
      <c r="O91" s="1">
        <v>35</v>
      </c>
      <c r="P91" s="1">
        <v>9</v>
      </c>
      <c r="Q91" s="1">
        <v>10</v>
      </c>
      <c r="U91" s="1">
        <v>205000</v>
      </c>
      <c r="V91" s="1" t="str">
        <f>INDEX([1]物品基础表!$A:$A,MATCH(U91,[1]物品基础表!$B:$B,0))</f>
        <v>战灵进阶丹</v>
      </c>
      <c r="W91" s="1">
        <v>250</v>
      </c>
      <c r="X91" s="1">
        <v>204157</v>
      </c>
      <c r="Y91" s="1" t="str">
        <f>INDEX([1]物品基础表!$A:$A,MATCH(X91,[1]物品基础表!$B:$B,0))</f>
        <v>4阶战灵装备</v>
      </c>
      <c r="Z91" s="1">
        <v>1</v>
      </c>
    </row>
    <row r="92" spans="1:29">
      <c r="A92" s="1" t="str">
        <f>INDEX([2]活动总表!$A$8:$A$429,MATCH(B92,[2]活动总表!$B$8:$B$429,0))</f>
        <v>战灵活动-达标奖励</v>
      </c>
      <c r="B92" s="1">
        <v>313</v>
      </c>
      <c r="C92" s="1">
        <v>5</v>
      </c>
      <c r="O92" s="1">
        <v>45</v>
      </c>
      <c r="P92" s="1">
        <v>9</v>
      </c>
      <c r="Q92" s="1">
        <v>5</v>
      </c>
      <c r="U92" s="1">
        <v>205000</v>
      </c>
      <c r="V92" s="1" t="str">
        <f>INDEX([1]物品基础表!$A:$A,MATCH(U92,[1]物品基础表!$B:$B,0))</f>
        <v>战灵进阶丹</v>
      </c>
      <c r="W92" s="1">
        <v>400</v>
      </c>
      <c r="X92" s="1">
        <v>204158</v>
      </c>
      <c r="Y92" s="1" t="str">
        <f>INDEX([1]物品基础表!$A:$A,MATCH(X92,[1]物品基础表!$B:$B,0))</f>
        <v>5阶战灵装备</v>
      </c>
      <c r="Z92" s="1">
        <v>1</v>
      </c>
    </row>
    <row r="93" spans="1:29">
      <c r="A93" s="1" t="str">
        <f>INDEX([2]活动总表!$A$8:$A$429,MATCH(B93,[2]活动总表!$B$8:$B$429,0))</f>
        <v>战灵活动-达标奖励</v>
      </c>
      <c r="B93" s="1">
        <v>313</v>
      </c>
      <c r="C93" s="1">
        <v>6</v>
      </c>
      <c r="O93" s="1">
        <v>55</v>
      </c>
      <c r="P93" s="1">
        <v>9</v>
      </c>
      <c r="Q93" s="1">
        <v>3</v>
      </c>
      <c r="U93" s="1">
        <v>205000</v>
      </c>
      <c r="V93" s="1" t="str">
        <f>INDEX([1]物品基础表!$A:$A,MATCH(U93,[1]物品基础表!$B:$B,0))</f>
        <v>战灵进阶丹</v>
      </c>
      <c r="W93" s="1">
        <v>450</v>
      </c>
      <c r="X93" s="1">
        <v>204159</v>
      </c>
      <c r="Y93" s="1" t="str">
        <f>INDEX([1]物品基础表!$A:$A,MATCH(X93,[1]物品基础表!$B:$B,0))</f>
        <v>6阶战灵装备</v>
      </c>
      <c r="Z93" s="1">
        <v>1</v>
      </c>
    </row>
    <row r="94" spans="1:29">
      <c r="A94" s="1" t="str">
        <f>INDEX([2]活动总表!$A$8:$A$429,MATCH(B94,[2]活动总表!$B$8:$B$429,0))</f>
        <v>第2次合服累消达标</v>
      </c>
      <c r="B94" s="1">
        <v>329</v>
      </c>
      <c r="C94" s="1">
        <v>1</v>
      </c>
      <c r="L94" s="1">
        <v>3000</v>
      </c>
      <c r="P94" s="1">
        <v>100</v>
      </c>
      <c r="U94" s="1">
        <v>200005</v>
      </c>
      <c r="V94" s="1" t="str">
        <f>INDEX([1]物品基础表!$A:$A,MATCH(U94,[1]物品基础表!$B:$B,0))</f>
        <v>龙魂碎片</v>
      </c>
      <c r="W94" s="1">
        <v>10</v>
      </c>
      <c r="X94" s="1">
        <v>200015</v>
      </c>
      <c r="Y94" s="1" t="str">
        <f>INDEX([1]物品基础表!$A:$A,MATCH(X94,[1]物品基础表!$B:$B,0))</f>
        <v>特戒碎片</v>
      </c>
      <c r="Z94" s="1">
        <v>100</v>
      </c>
      <c r="AA94" s="1">
        <v>500004</v>
      </c>
      <c r="AB94" s="1" t="str">
        <f>INDEX([1]物品基础表!$A:$A,MATCH(AA94,[1]物品基础表!$B:$B,0))</f>
        <v>战纹精华-橙</v>
      </c>
      <c r="AC94" s="1">
        <v>5</v>
      </c>
    </row>
    <row r="95" spans="1:29">
      <c r="A95" s="1" t="str">
        <f>INDEX([2]活动总表!$A$8:$A$429,MATCH(B95,[2]活动总表!$B$8:$B$429,0))</f>
        <v>第2次合服累消达标</v>
      </c>
      <c r="B95" s="1">
        <v>329</v>
      </c>
      <c r="C95" s="1">
        <v>2</v>
      </c>
      <c r="L95" s="1">
        <v>6000</v>
      </c>
      <c r="P95" s="1">
        <v>100</v>
      </c>
      <c r="U95" s="1">
        <v>204132</v>
      </c>
      <c r="V95" s="1" t="str">
        <f>INDEX([1]物品基础表!$A:$A,MATCH(U95,[1]物品基础表!$B:$B,0))</f>
        <v>橙色图鉴包·倾国倾城</v>
      </c>
      <c r="W95" s="1">
        <v>1</v>
      </c>
      <c r="X95" s="1">
        <v>200015</v>
      </c>
      <c r="Y95" s="1" t="str">
        <f>INDEX([1]物品基础表!$A:$A,MATCH(X95,[1]物品基础表!$B:$B,0))</f>
        <v>特戒碎片</v>
      </c>
      <c r="Z95" s="1">
        <v>200</v>
      </c>
      <c r="AA95" s="1">
        <v>500004</v>
      </c>
      <c r="AB95" s="1" t="str">
        <f>INDEX([1]物品基础表!$A:$A,MATCH(AA95,[1]物品基础表!$B:$B,0))</f>
        <v>战纹精华-橙</v>
      </c>
      <c r="AC95" s="1">
        <v>6</v>
      </c>
    </row>
    <row r="96" spans="1:29">
      <c r="A96" s="1" t="str">
        <f>INDEX([2]活动总表!$A$8:$A$429,MATCH(B96,[2]活动总表!$B$8:$B$429,0))</f>
        <v>第2次合服累消达标</v>
      </c>
      <c r="B96" s="1">
        <v>329</v>
      </c>
      <c r="C96" s="1">
        <v>3</v>
      </c>
      <c r="L96" s="1">
        <v>10000</v>
      </c>
      <c r="P96" s="1">
        <v>100</v>
      </c>
      <c r="U96" s="1">
        <v>200951</v>
      </c>
      <c r="V96" s="1" t="str">
        <f>INDEX([1]物品基础表!$A:$A,MATCH(U96,[1]物品基础表!$B:$B,0))</f>
        <v>金色战纹任选宝箱</v>
      </c>
      <c r="W96" s="1">
        <v>1</v>
      </c>
      <c r="X96" s="1">
        <v>200015</v>
      </c>
      <c r="Y96" s="1" t="str">
        <f>INDEX([1]物品基础表!$A:$A,MATCH(X96,[1]物品基础表!$B:$B,0))</f>
        <v>特戒碎片</v>
      </c>
      <c r="Z96" s="1">
        <v>300</v>
      </c>
      <c r="AA96" s="1">
        <v>500004</v>
      </c>
      <c r="AB96" s="1" t="str">
        <f>INDEX([1]物品基础表!$A:$A,MATCH(AA96,[1]物品基础表!$B:$B,0))</f>
        <v>战纹精华-橙</v>
      </c>
      <c r="AC96" s="1">
        <v>6</v>
      </c>
    </row>
    <row r="97" spans="1:29">
      <c r="A97" s="1" t="str">
        <f>INDEX([2]活动总表!$A$8:$A$429,MATCH(B97,[2]活动总表!$B$8:$B$429,0))</f>
        <v>第2次合服累消达标</v>
      </c>
      <c r="B97" s="1">
        <v>329</v>
      </c>
      <c r="C97" s="1">
        <v>4</v>
      </c>
      <c r="L97" s="1">
        <v>20000</v>
      </c>
      <c r="P97" s="1">
        <v>100</v>
      </c>
      <c r="U97" s="1">
        <v>204133</v>
      </c>
      <c r="V97" s="1" t="str">
        <f>INDEX([1]物品基础表!$A:$A,MATCH(U97,[1]物品基础表!$B:$B,0))</f>
        <v>红色图鉴包·倾国倾城</v>
      </c>
      <c r="W97" s="1">
        <v>1</v>
      </c>
      <c r="X97" s="1">
        <v>200015</v>
      </c>
      <c r="Y97" s="1" t="str">
        <f>INDEX([1]物品基础表!$A:$A,MATCH(X97,[1]物品基础表!$B:$B,0))</f>
        <v>特戒碎片</v>
      </c>
      <c r="Z97" s="1">
        <v>400</v>
      </c>
      <c r="AA97" s="1">
        <v>500004</v>
      </c>
      <c r="AB97" s="1" t="str">
        <f>INDEX([1]物品基础表!$A:$A,MATCH(AA97,[1]物品基础表!$B:$B,0))</f>
        <v>战纹精华-橙</v>
      </c>
      <c r="AC97" s="1">
        <v>8</v>
      </c>
    </row>
    <row r="98" spans="1:29">
      <c r="A98" s="1" t="str">
        <f>INDEX([2]活动总表!$A$8:$A$429,MATCH(B98,[2]活动总表!$B$8:$B$429,0))</f>
        <v>第2次合服累消达标</v>
      </c>
      <c r="B98" s="1">
        <v>329</v>
      </c>
      <c r="C98" s="1">
        <v>5</v>
      </c>
      <c r="L98" s="1">
        <v>50000</v>
      </c>
      <c r="P98" s="1">
        <v>100</v>
      </c>
      <c r="U98" s="1">
        <v>204133</v>
      </c>
      <c r="V98" s="1" t="str">
        <f>INDEX([1]物品基础表!$A:$A,MATCH(U98,[1]物品基础表!$B:$B,0))</f>
        <v>红色图鉴包·倾国倾城</v>
      </c>
      <c r="W98" s="1">
        <v>1</v>
      </c>
      <c r="X98" s="1">
        <v>200015</v>
      </c>
      <c r="Y98" s="1" t="str">
        <f>INDEX([1]物品基础表!$A:$A,MATCH(X98,[1]物品基础表!$B:$B,0))</f>
        <v>特戒碎片</v>
      </c>
      <c r="Z98" s="1">
        <v>500</v>
      </c>
      <c r="AA98" s="1">
        <v>500005</v>
      </c>
      <c r="AB98" s="1" t="str">
        <f>INDEX([1]物品基础表!$A:$A,MATCH(AA98,[1]物品基础表!$B:$B,0))</f>
        <v>战纹精华-红</v>
      </c>
      <c r="AC98" s="1">
        <v>5</v>
      </c>
    </row>
    <row r="99" spans="1:29">
      <c r="A99" s="1" t="str">
        <f>INDEX([2]活动总表!$A$8:$A$429,MATCH(B99,[2]活动总表!$B$8:$B$429,0))</f>
        <v>第2次合服累消达标</v>
      </c>
      <c r="B99" s="1">
        <v>329</v>
      </c>
      <c r="C99" s="1">
        <v>6</v>
      </c>
      <c r="L99" s="1">
        <v>100000</v>
      </c>
      <c r="P99" s="1">
        <v>100</v>
      </c>
      <c r="U99" s="1">
        <v>204134</v>
      </c>
      <c r="V99" s="1" t="str">
        <f>INDEX([1]物品基础表!$A:$A,MATCH(U99,[1]物品基础表!$B:$B,0))</f>
        <v>金色图鉴包·倾国倾城</v>
      </c>
      <c r="W99" s="1">
        <v>1</v>
      </c>
      <c r="X99" s="1">
        <v>200015</v>
      </c>
      <c r="Y99" s="1" t="str">
        <f>INDEX([1]物品基础表!$A:$A,MATCH(X99,[1]物品基础表!$B:$B,0))</f>
        <v>特戒碎片</v>
      </c>
      <c r="Z99" s="1">
        <v>600</v>
      </c>
      <c r="AA99" s="1">
        <v>500005</v>
      </c>
      <c r="AB99" s="1" t="str">
        <f>INDEX([1]物品基础表!$A:$A,MATCH(AA99,[1]物品基础表!$B:$B,0))</f>
        <v>战纹精华-红</v>
      </c>
      <c r="AC99" s="1">
        <v>8</v>
      </c>
    </row>
    <row r="100" spans="1:29">
      <c r="A100" s="1" t="str">
        <f>INDEX([2]活动总表!$A$8:$A$429,MATCH(B100,[2]活动总表!$B$8:$B$429,0))</f>
        <v>战灵活动-达标奖励</v>
      </c>
      <c r="B100" s="1">
        <v>350</v>
      </c>
      <c r="C100" s="1">
        <v>1</v>
      </c>
      <c r="O100" s="1">
        <v>3</v>
      </c>
      <c r="P100" s="1">
        <v>9</v>
      </c>
      <c r="Q100" s="1">
        <v>100</v>
      </c>
      <c r="U100" s="1">
        <v>205000</v>
      </c>
      <c r="V100" s="1" t="str">
        <f>INDEX([1]物品基础表!$A:$A,MATCH(U100,[1]物品基础表!$B:$B,0))</f>
        <v>战灵进阶丹</v>
      </c>
      <c r="W100" s="1">
        <v>50</v>
      </c>
    </row>
    <row r="101" spans="1:29">
      <c r="A101" s="1" t="str">
        <f>INDEX([2]活动总表!$A$8:$A$429,MATCH(B101,[2]活动总表!$B$8:$B$429,0))</f>
        <v>战灵活动-达标奖励</v>
      </c>
      <c r="B101" s="1">
        <v>350</v>
      </c>
      <c r="C101" s="1">
        <v>2</v>
      </c>
      <c r="O101" s="1">
        <v>15</v>
      </c>
      <c r="P101" s="1">
        <v>9</v>
      </c>
      <c r="Q101" s="1">
        <v>50</v>
      </c>
      <c r="U101" s="1">
        <v>205000</v>
      </c>
      <c r="V101" s="1" t="str">
        <f>INDEX([1]物品基础表!$A:$A,MATCH(U101,[1]物品基础表!$B:$B,0))</f>
        <v>战灵进阶丹</v>
      </c>
      <c r="W101" s="1">
        <v>100</v>
      </c>
      <c r="X101" s="1">
        <v>205003</v>
      </c>
      <c r="Y101" s="1" t="str">
        <f>INDEX([1]物品基础表!$A:$A,MATCH(X101,[1]物品基础表!$B:$B,0))</f>
        <v>庚金白虎</v>
      </c>
      <c r="Z101" s="1">
        <v>1</v>
      </c>
    </row>
    <row r="102" spans="1:29">
      <c r="A102" s="1" t="str">
        <f>INDEX([2]活动总表!$A$8:$A$429,MATCH(B102,[2]活动总表!$B$8:$B$429,0))</f>
        <v>战灵活动-达标奖励</v>
      </c>
      <c r="B102" s="1">
        <v>350</v>
      </c>
      <c r="C102" s="1">
        <v>3</v>
      </c>
      <c r="O102" s="1">
        <v>25</v>
      </c>
      <c r="P102" s="1">
        <v>9</v>
      </c>
      <c r="Q102" s="1">
        <v>30</v>
      </c>
      <c r="U102" s="1">
        <v>205000</v>
      </c>
      <c r="V102" s="1" t="str">
        <f>INDEX([1]物品基础表!$A:$A,MATCH(U102,[1]物品基础表!$B:$B,0))</f>
        <v>战灵进阶丹</v>
      </c>
      <c r="W102" s="1">
        <v>150</v>
      </c>
      <c r="X102" s="1">
        <v>205002</v>
      </c>
      <c r="Y102" s="1" t="str">
        <f>INDEX([1]物品基础表!$A:$A,MATCH(X102,[1]物品基础表!$B:$B,0))</f>
        <v>战灵飞升丹</v>
      </c>
      <c r="Z102" s="1">
        <v>1</v>
      </c>
    </row>
    <row r="103" spans="1:29">
      <c r="A103" s="1" t="str">
        <f>INDEX([2]活动总表!$A$8:$A$429,MATCH(B103,[2]活动总表!$B$8:$B$429,0))</f>
        <v>战灵活动-达标奖励</v>
      </c>
      <c r="B103" s="1">
        <v>350</v>
      </c>
      <c r="C103" s="1">
        <v>4</v>
      </c>
      <c r="O103" s="1">
        <v>35</v>
      </c>
      <c r="P103" s="1">
        <v>9</v>
      </c>
      <c r="Q103" s="1">
        <v>10</v>
      </c>
      <c r="U103" s="1">
        <v>205000</v>
      </c>
      <c r="V103" s="1" t="str">
        <f>INDEX([1]物品基础表!$A:$A,MATCH(U103,[1]物品基础表!$B:$B,0))</f>
        <v>战灵进阶丹</v>
      </c>
      <c r="W103" s="1">
        <v>250</v>
      </c>
      <c r="X103" s="1">
        <v>204157</v>
      </c>
      <c r="Y103" s="1" t="str">
        <f>INDEX([1]物品基础表!$A:$A,MATCH(X103,[1]物品基础表!$B:$B,0))</f>
        <v>4阶战灵装备</v>
      </c>
      <c r="Z103" s="1">
        <v>1</v>
      </c>
    </row>
    <row r="104" spans="1:29">
      <c r="A104" s="1" t="str">
        <f>INDEX([2]活动总表!$A$8:$A$429,MATCH(B104,[2]活动总表!$B$8:$B$429,0))</f>
        <v>战灵活动-达标奖励</v>
      </c>
      <c r="B104" s="1">
        <v>350</v>
      </c>
      <c r="C104" s="1">
        <v>5</v>
      </c>
      <c r="O104" s="1">
        <v>45</v>
      </c>
      <c r="P104" s="1">
        <v>9</v>
      </c>
      <c r="Q104" s="1">
        <v>5</v>
      </c>
      <c r="U104" s="1">
        <v>205000</v>
      </c>
      <c r="V104" s="1" t="str">
        <f>INDEX([1]物品基础表!$A:$A,MATCH(U104,[1]物品基础表!$B:$B,0))</f>
        <v>战灵进阶丹</v>
      </c>
      <c r="W104" s="1">
        <v>400</v>
      </c>
      <c r="X104" s="1">
        <v>204158</v>
      </c>
      <c r="Y104" s="1" t="str">
        <f>INDEX([1]物品基础表!$A:$A,MATCH(X104,[1]物品基础表!$B:$B,0))</f>
        <v>5阶战灵装备</v>
      </c>
      <c r="Z104" s="1">
        <v>1</v>
      </c>
    </row>
    <row r="105" spans="1:29">
      <c r="A105" s="1" t="str">
        <f>INDEX([2]活动总表!$A$8:$A$429,MATCH(B105,[2]活动总表!$B$8:$B$429,0))</f>
        <v>战灵活动-达标奖励</v>
      </c>
      <c r="B105" s="1">
        <v>350</v>
      </c>
      <c r="C105" s="1">
        <v>6</v>
      </c>
      <c r="O105" s="1">
        <v>55</v>
      </c>
      <c r="P105" s="1">
        <v>9</v>
      </c>
      <c r="Q105" s="1">
        <v>3</v>
      </c>
      <c r="U105" s="1">
        <v>205000</v>
      </c>
      <c r="V105" s="1" t="str">
        <f>INDEX([1]物品基础表!$A:$A,MATCH(U105,[1]物品基础表!$B:$B,0))</f>
        <v>战灵进阶丹</v>
      </c>
      <c r="W105" s="1">
        <v>450</v>
      </c>
      <c r="X105" s="1">
        <v>204159</v>
      </c>
      <c r="Y105" s="1" t="str">
        <f>INDEX([1]物品基础表!$A:$A,MATCH(X105,[1]物品基础表!$B:$B,0))</f>
        <v>6阶战灵装备</v>
      </c>
      <c r="Z105" s="1">
        <v>1</v>
      </c>
    </row>
    <row r="106" spans="1:29">
      <c r="A106" s="1" t="str">
        <f>INDEX([2]活动总表!$A$8:$A$429,MATCH(B106,[2]活动总表!$B$8:$B$429,0))</f>
        <v>战灵累计消费1</v>
      </c>
      <c r="B106" s="1">
        <v>318</v>
      </c>
      <c r="C106" s="1">
        <v>1</v>
      </c>
      <c r="L106" s="1">
        <v>3000</v>
      </c>
      <c r="P106" s="1">
        <v>100</v>
      </c>
      <c r="U106" s="1">
        <v>205000</v>
      </c>
      <c r="V106" s="1" t="str">
        <f>INDEX([1]物品基础表!$A:$A,MATCH(U106,[1]物品基础表!$B:$B,0))</f>
        <v>战灵进阶丹</v>
      </c>
      <c r="W106" s="1">
        <v>10</v>
      </c>
    </row>
    <row r="107" spans="1:29">
      <c r="A107" s="1" t="str">
        <f>INDEX([2]活动总表!$A$8:$A$429,MATCH(B107,[2]活动总表!$B$8:$B$429,0))</f>
        <v>战灵累计消费1</v>
      </c>
      <c r="B107" s="1">
        <v>318</v>
      </c>
      <c r="C107" s="1">
        <v>2</v>
      </c>
      <c r="L107" s="1">
        <v>6000</v>
      </c>
      <c r="P107" s="1">
        <v>100</v>
      </c>
      <c r="U107" s="1">
        <v>205000</v>
      </c>
      <c r="V107" s="1" t="str">
        <f>INDEX([1]物品基础表!$A:$A,MATCH(U107,[1]物品基础表!$B:$B,0))</f>
        <v>战灵进阶丹</v>
      </c>
      <c r="W107" s="1">
        <v>20</v>
      </c>
    </row>
    <row r="108" spans="1:29">
      <c r="A108" s="1" t="str">
        <f>INDEX([2]活动总表!$A$8:$A$429,MATCH(B108,[2]活动总表!$B$8:$B$429,0))</f>
        <v>战灵累计消费1</v>
      </c>
      <c r="B108" s="1">
        <v>318</v>
      </c>
      <c r="C108" s="1">
        <v>3</v>
      </c>
      <c r="L108" s="1">
        <v>10000</v>
      </c>
      <c r="P108" s="1">
        <v>100</v>
      </c>
      <c r="U108" s="1">
        <v>205000</v>
      </c>
      <c r="V108" s="1" t="str">
        <f>INDEX([1]物品基础表!$A:$A,MATCH(U108,[1]物品基础表!$B:$B,0))</f>
        <v>战灵进阶丹</v>
      </c>
      <c r="W108" s="1">
        <v>25</v>
      </c>
      <c r="X108" s="1">
        <v>205001</v>
      </c>
      <c r="Y108" s="1" t="str">
        <f>INDEX([1]物品基础表!$A:$A,MATCH(X108,[1]物品基础表!$B:$B,0))</f>
        <v>战灵潜能丹</v>
      </c>
      <c r="Z108" s="1">
        <v>1</v>
      </c>
    </row>
    <row r="109" spans="1:29">
      <c r="A109" s="1" t="str">
        <f>INDEX([2]活动总表!$A$8:$A$429,MATCH(B109,[2]活动总表!$B$8:$B$429,0))</f>
        <v>战灵累计消费1</v>
      </c>
      <c r="B109" s="1">
        <v>318</v>
      </c>
      <c r="C109" s="1">
        <v>4</v>
      </c>
      <c r="L109" s="1">
        <v>20000</v>
      </c>
      <c r="P109" s="1">
        <v>100</v>
      </c>
      <c r="U109" s="1">
        <v>205000</v>
      </c>
      <c r="V109" s="1" t="str">
        <f>INDEX([1]物品基础表!$A:$A,MATCH(U109,[1]物品基础表!$B:$B,0))</f>
        <v>战灵进阶丹</v>
      </c>
      <c r="W109" s="1">
        <v>30</v>
      </c>
      <c r="X109" s="1">
        <v>205001</v>
      </c>
      <c r="Y109" s="1" t="str">
        <f>INDEX([1]物品基础表!$A:$A,MATCH(X109,[1]物品基础表!$B:$B,0))</f>
        <v>战灵潜能丹</v>
      </c>
      <c r="Z109" s="1">
        <v>1</v>
      </c>
    </row>
    <row r="110" spans="1:29">
      <c r="A110" s="1" t="str">
        <f>INDEX([2]活动总表!$A$8:$A$429,MATCH(B110,[2]活动总表!$B$8:$B$429,0))</f>
        <v>战灵累计消费1</v>
      </c>
      <c r="B110" s="1">
        <v>318</v>
      </c>
      <c r="C110" s="1">
        <v>5</v>
      </c>
      <c r="L110" s="1">
        <v>50000</v>
      </c>
      <c r="P110" s="1">
        <v>100</v>
      </c>
      <c r="U110" s="1">
        <v>205000</v>
      </c>
      <c r="V110" s="1" t="str">
        <f>INDEX([1]物品基础表!$A:$A,MATCH(U110,[1]物品基础表!$B:$B,0))</f>
        <v>战灵进阶丹</v>
      </c>
      <c r="W110" s="1">
        <v>40</v>
      </c>
      <c r="X110" s="1">
        <v>205002</v>
      </c>
      <c r="Y110" s="1" t="str">
        <f>INDEX([1]物品基础表!$A:$A,MATCH(X110,[1]物品基础表!$B:$B,0))</f>
        <v>战灵飞升丹</v>
      </c>
      <c r="Z110" s="1">
        <v>1</v>
      </c>
    </row>
    <row r="111" spans="1:29">
      <c r="A111" s="1" t="str">
        <f>INDEX([2]活动总表!$A$8:$A$429,MATCH(B111,[2]活动总表!$B$8:$B$429,0))</f>
        <v>战灵累计消费1</v>
      </c>
      <c r="B111" s="1">
        <v>318</v>
      </c>
      <c r="C111" s="1">
        <v>6</v>
      </c>
      <c r="L111" s="1">
        <v>100000</v>
      </c>
      <c r="P111" s="1">
        <v>100</v>
      </c>
      <c r="U111" s="1">
        <v>205000</v>
      </c>
      <c r="V111" s="1" t="str">
        <f>INDEX([1]物品基础表!$A:$A,MATCH(U111,[1]物品基础表!$B:$B,0))</f>
        <v>战灵进阶丹</v>
      </c>
      <c r="W111" s="1">
        <v>60</v>
      </c>
      <c r="X111" s="1">
        <v>205002</v>
      </c>
      <c r="Y111" s="1" t="str">
        <f>INDEX([1]物品基础表!$A:$A,MATCH(X111,[1]物品基础表!$B:$B,0))</f>
        <v>战灵飞升丹</v>
      </c>
      <c r="Z111" s="1">
        <v>1</v>
      </c>
    </row>
    <row r="112" spans="1:29">
      <c r="A112" s="1" t="str">
        <f>INDEX([2]活动总表!$A$8:$A$429,MATCH(B112,[2]活动总表!$B$8:$B$429,0))</f>
        <v>战灵累计消费1</v>
      </c>
      <c r="B112" s="1">
        <v>318</v>
      </c>
      <c r="C112" s="1">
        <v>7</v>
      </c>
      <c r="L112" s="1">
        <v>200000</v>
      </c>
      <c r="P112" s="1">
        <v>100</v>
      </c>
      <c r="U112" s="1">
        <v>205000</v>
      </c>
      <c r="V112" s="1" t="str">
        <f>INDEX([1]物品基础表!$A:$A,MATCH(U112,[1]物品基础表!$B:$B,0))</f>
        <v>战灵进阶丹</v>
      </c>
      <c r="W112" s="1">
        <v>100</v>
      </c>
      <c r="X112" s="1">
        <v>205002</v>
      </c>
      <c r="Y112" s="1" t="str">
        <f>INDEX([1]物品基础表!$A:$A,MATCH(X112,[1]物品基础表!$B:$B,0))</f>
        <v>战灵飞升丹</v>
      </c>
      <c r="Z112" s="1">
        <v>2</v>
      </c>
    </row>
    <row r="113" spans="1:26">
      <c r="A113" s="1" t="str">
        <f>INDEX([2]活动总表!$A$8:$A$429,MATCH(B113,[2]活动总表!$B$8:$B$429,0))</f>
        <v>战灵累计消费2</v>
      </c>
      <c r="B113" s="1">
        <v>319</v>
      </c>
      <c r="C113" s="1">
        <v>1</v>
      </c>
      <c r="L113" s="1">
        <v>3000</v>
      </c>
      <c r="P113" s="1">
        <v>100</v>
      </c>
      <c r="U113" s="1">
        <v>205000</v>
      </c>
      <c r="V113" s="1" t="str">
        <f>INDEX([1]物品基础表!$A:$A,MATCH(U113,[1]物品基础表!$B:$B,0))</f>
        <v>战灵进阶丹</v>
      </c>
      <c r="W113" s="1">
        <v>10</v>
      </c>
    </row>
    <row r="114" spans="1:26">
      <c r="A114" s="1" t="str">
        <f>INDEX([2]活动总表!$A$8:$A$429,MATCH(B114,[2]活动总表!$B$8:$B$429,0))</f>
        <v>战灵累计消费2</v>
      </c>
      <c r="B114" s="1">
        <v>319</v>
      </c>
      <c r="C114" s="1">
        <v>2</v>
      </c>
      <c r="L114" s="1">
        <v>6000</v>
      </c>
      <c r="P114" s="1">
        <v>100</v>
      </c>
      <c r="U114" s="1">
        <v>205000</v>
      </c>
      <c r="V114" s="1" t="str">
        <f>INDEX([1]物品基础表!$A:$A,MATCH(U114,[1]物品基础表!$B:$B,0))</f>
        <v>战灵进阶丹</v>
      </c>
      <c r="W114" s="1">
        <v>20</v>
      </c>
    </row>
    <row r="115" spans="1:26">
      <c r="A115" s="1" t="str">
        <f>INDEX([2]活动总表!$A$8:$A$429,MATCH(B115,[2]活动总表!$B$8:$B$429,0))</f>
        <v>战灵累计消费2</v>
      </c>
      <c r="B115" s="1">
        <v>319</v>
      </c>
      <c r="C115" s="1">
        <v>3</v>
      </c>
      <c r="L115" s="1">
        <v>10000</v>
      </c>
      <c r="P115" s="1">
        <v>100</v>
      </c>
      <c r="U115" s="1">
        <v>205000</v>
      </c>
      <c r="V115" s="1" t="str">
        <f>INDEX([1]物品基础表!$A:$A,MATCH(U115,[1]物品基础表!$B:$B,0))</f>
        <v>战灵进阶丹</v>
      </c>
      <c r="W115" s="1">
        <v>25</v>
      </c>
      <c r="X115" s="1">
        <v>205001</v>
      </c>
      <c r="Y115" s="1" t="str">
        <f>INDEX([1]物品基础表!$A:$A,MATCH(X115,[1]物品基础表!$B:$B,0))</f>
        <v>战灵潜能丹</v>
      </c>
      <c r="Z115" s="1">
        <v>1</v>
      </c>
    </row>
    <row r="116" spans="1:26">
      <c r="A116" s="1" t="str">
        <f>INDEX([2]活动总表!$A$8:$A$429,MATCH(B116,[2]活动总表!$B$8:$B$429,0))</f>
        <v>战灵累计消费2</v>
      </c>
      <c r="B116" s="1">
        <v>319</v>
      </c>
      <c r="C116" s="1">
        <v>4</v>
      </c>
      <c r="L116" s="1">
        <v>20000</v>
      </c>
      <c r="P116" s="1">
        <v>100</v>
      </c>
      <c r="U116" s="1">
        <v>205000</v>
      </c>
      <c r="V116" s="1" t="str">
        <f>INDEX([1]物品基础表!$A:$A,MATCH(U116,[1]物品基础表!$B:$B,0))</f>
        <v>战灵进阶丹</v>
      </c>
      <c r="W116" s="1">
        <v>30</v>
      </c>
      <c r="X116" s="1">
        <v>205001</v>
      </c>
      <c r="Y116" s="1" t="str">
        <f>INDEX([1]物品基础表!$A:$A,MATCH(X116,[1]物品基础表!$B:$B,0))</f>
        <v>战灵潜能丹</v>
      </c>
      <c r="Z116" s="1">
        <v>1</v>
      </c>
    </row>
    <row r="117" spans="1:26">
      <c r="A117" s="1" t="str">
        <f>INDEX([2]活动总表!$A$8:$A$429,MATCH(B117,[2]活动总表!$B$8:$B$429,0))</f>
        <v>战灵累计消费2</v>
      </c>
      <c r="B117" s="1">
        <v>319</v>
      </c>
      <c r="C117" s="1">
        <v>5</v>
      </c>
      <c r="L117" s="1">
        <v>50000</v>
      </c>
      <c r="P117" s="1">
        <v>100</v>
      </c>
      <c r="U117" s="1">
        <v>205000</v>
      </c>
      <c r="V117" s="1" t="str">
        <f>INDEX([1]物品基础表!$A:$A,MATCH(U117,[1]物品基础表!$B:$B,0))</f>
        <v>战灵进阶丹</v>
      </c>
      <c r="W117" s="1">
        <v>40</v>
      </c>
      <c r="X117" s="1">
        <v>205002</v>
      </c>
      <c r="Y117" s="1" t="str">
        <f>INDEX([1]物品基础表!$A:$A,MATCH(X117,[1]物品基础表!$B:$B,0))</f>
        <v>战灵飞升丹</v>
      </c>
      <c r="Z117" s="1">
        <v>1</v>
      </c>
    </row>
    <row r="118" spans="1:26">
      <c r="A118" s="1" t="str">
        <f>INDEX([2]活动总表!$A$8:$A$429,MATCH(B118,[2]活动总表!$B$8:$B$429,0))</f>
        <v>战灵累计消费2</v>
      </c>
      <c r="B118" s="1">
        <v>319</v>
      </c>
      <c r="C118" s="1">
        <v>6</v>
      </c>
      <c r="L118" s="1">
        <v>100000</v>
      </c>
      <c r="P118" s="1">
        <v>100</v>
      </c>
      <c r="U118" s="1">
        <v>205000</v>
      </c>
      <c r="V118" s="1" t="str">
        <f>INDEX([1]物品基础表!$A:$A,MATCH(U118,[1]物品基础表!$B:$B,0))</f>
        <v>战灵进阶丹</v>
      </c>
      <c r="W118" s="1">
        <v>60</v>
      </c>
      <c r="X118" s="1">
        <v>205002</v>
      </c>
      <c r="Y118" s="1" t="str">
        <f>INDEX([1]物品基础表!$A:$A,MATCH(X118,[1]物品基础表!$B:$B,0))</f>
        <v>战灵飞升丹</v>
      </c>
      <c r="Z118" s="1">
        <v>1</v>
      </c>
    </row>
    <row r="119" spans="1:26">
      <c r="A119" s="1" t="str">
        <f>INDEX([2]活动总表!$A$8:$A$429,MATCH(B119,[2]活动总表!$B$8:$B$429,0))</f>
        <v>战灵累计消费2</v>
      </c>
      <c r="B119" s="1">
        <v>319</v>
      </c>
      <c r="C119" s="1">
        <v>7</v>
      </c>
      <c r="L119" s="1">
        <v>200000</v>
      </c>
      <c r="P119" s="1">
        <v>100</v>
      </c>
      <c r="U119" s="1">
        <v>205000</v>
      </c>
      <c r="V119" s="1" t="str">
        <f>INDEX([1]物品基础表!$A:$A,MATCH(U119,[1]物品基础表!$B:$B,0))</f>
        <v>战灵进阶丹</v>
      </c>
      <c r="W119" s="1">
        <v>100</v>
      </c>
      <c r="X119" s="1">
        <v>205002</v>
      </c>
      <c r="Y119" s="1" t="str">
        <f>INDEX([1]物品基础表!$A:$A,MATCH(X119,[1]物品基础表!$B:$B,0))</f>
        <v>战灵飞升丹</v>
      </c>
      <c r="Z119" s="1">
        <v>2</v>
      </c>
    </row>
    <row r="120" spans="1:26">
      <c r="A120" s="1" t="str">
        <f>INDEX([2]活动总表!$A$8:$A$429,MATCH(B120,[2]活动总表!$B$8:$B$429,0))</f>
        <v>战灵累计消费3</v>
      </c>
      <c r="B120" s="1">
        <v>320</v>
      </c>
      <c r="C120" s="1">
        <v>1</v>
      </c>
      <c r="L120" s="1">
        <v>3000</v>
      </c>
      <c r="P120" s="1">
        <v>100</v>
      </c>
      <c r="U120" s="1">
        <v>205000</v>
      </c>
      <c r="V120" s="1" t="str">
        <f>INDEX([1]物品基础表!$A:$A,MATCH(U120,[1]物品基础表!$B:$B,0))</f>
        <v>战灵进阶丹</v>
      </c>
      <c r="W120" s="1">
        <v>10</v>
      </c>
    </row>
    <row r="121" spans="1:26">
      <c r="A121" s="1" t="str">
        <f>INDEX([2]活动总表!$A$8:$A$429,MATCH(B121,[2]活动总表!$B$8:$B$429,0))</f>
        <v>战灵累计消费3</v>
      </c>
      <c r="B121" s="1">
        <v>320</v>
      </c>
      <c r="C121" s="1">
        <v>2</v>
      </c>
      <c r="L121" s="1">
        <v>6000</v>
      </c>
      <c r="P121" s="1">
        <v>100</v>
      </c>
      <c r="U121" s="1">
        <v>205000</v>
      </c>
      <c r="V121" s="1" t="str">
        <f>INDEX([1]物品基础表!$A:$A,MATCH(U121,[1]物品基础表!$B:$B,0))</f>
        <v>战灵进阶丹</v>
      </c>
      <c r="W121" s="1">
        <v>20</v>
      </c>
    </row>
    <row r="122" spans="1:26">
      <c r="A122" s="1" t="str">
        <f>INDEX([2]活动总表!$A$8:$A$429,MATCH(B122,[2]活动总表!$B$8:$B$429,0))</f>
        <v>战灵累计消费3</v>
      </c>
      <c r="B122" s="1">
        <v>320</v>
      </c>
      <c r="C122" s="1">
        <v>3</v>
      </c>
      <c r="L122" s="1">
        <v>10000</v>
      </c>
      <c r="P122" s="1">
        <v>100</v>
      </c>
      <c r="U122" s="1">
        <v>205000</v>
      </c>
      <c r="V122" s="1" t="str">
        <f>INDEX([1]物品基础表!$A:$A,MATCH(U122,[1]物品基础表!$B:$B,0))</f>
        <v>战灵进阶丹</v>
      </c>
      <c r="W122" s="1">
        <v>25</v>
      </c>
      <c r="X122" s="1">
        <v>205001</v>
      </c>
      <c r="Y122" s="1" t="str">
        <f>INDEX([1]物品基础表!$A:$A,MATCH(X122,[1]物品基础表!$B:$B,0))</f>
        <v>战灵潜能丹</v>
      </c>
      <c r="Z122" s="1">
        <v>1</v>
      </c>
    </row>
    <row r="123" spans="1:26">
      <c r="A123" s="1" t="str">
        <f>INDEX([2]活动总表!$A$8:$A$429,MATCH(B123,[2]活动总表!$B$8:$B$429,0))</f>
        <v>战灵累计消费3</v>
      </c>
      <c r="B123" s="1">
        <v>320</v>
      </c>
      <c r="C123" s="1">
        <v>4</v>
      </c>
      <c r="L123" s="1">
        <v>20000</v>
      </c>
      <c r="P123" s="1">
        <v>100</v>
      </c>
      <c r="U123" s="1">
        <v>205000</v>
      </c>
      <c r="V123" s="1" t="str">
        <f>INDEX([1]物品基础表!$A:$A,MATCH(U123,[1]物品基础表!$B:$B,0))</f>
        <v>战灵进阶丹</v>
      </c>
      <c r="W123" s="1">
        <v>30</v>
      </c>
      <c r="X123" s="1">
        <v>205001</v>
      </c>
      <c r="Y123" s="1" t="str">
        <f>INDEX([1]物品基础表!$A:$A,MATCH(X123,[1]物品基础表!$B:$B,0))</f>
        <v>战灵潜能丹</v>
      </c>
      <c r="Z123" s="1">
        <v>1</v>
      </c>
    </row>
    <row r="124" spans="1:26">
      <c r="A124" s="1" t="str">
        <f>INDEX([2]活动总表!$A$8:$A$429,MATCH(B124,[2]活动总表!$B$8:$B$429,0))</f>
        <v>战灵累计消费3</v>
      </c>
      <c r="B124" s="1">
        <v>320</v>
      </c>
      <c r="C124" s="1">
        <v>5</v>
      </c>
      <c r="L124" s="1">
        <v>50000</v>
      </c>
      <c r="P124" s="1">
        <v>100</v>
      </c>
      <c r="U124" s="1">
        <v>205000</v>
      </c>
      <c r="V124" s="1" t="str">
        <f>INDEX([1]物品基础表!$A:$A,MATCH(U124,[1]物品基础表!$B:$B,0))</f>
        <v>战灵进阶丹</v>
      </c>
      <c r="W124" s="1">
        <v>40</v>
      </c>
      <c r="X124" s="1">
        <v>205002</v>
      </c>
      <c r="Y124" s="1" t="str">
        <f>INDEX([1]物品基础表!$A:$A,MATCH(X124,[1]物品基础表!$B:$B,0))</f>
        <v>战灵飞升丹</v>
      </c>
      <c r="Z124" s="1">
        <v>1</v>
      </c>
    </row>
    <row r="125" spans="1:26">
      <c r="A125" s="1" t="str">
        <f>INDEX([2]活动总表!$A$8:$A$429,MATCH(B125,[2]活动总表!$B$8:$B$429,0))</f>
        <v>战灵累计消费3</v>
      </c>
      <c r="B125" s="1">
        <v>320</v>
      </c>
      <c r="C125" s="1">
        <v>6</v>
      </c>
      <c r="L125" s="1">
        <v>100000</v>
      </c>
      <c r="P125" s="1">
        <v>100</v>
      </c>
      <c r="U125" s="1">
        <v>205000</v>
      </c>
      <c r="V125" s="1" t="str">
        <f>INDEX([1]物品基础表!$A:$A,MATCH(U125,[1]物品基础表!$B:$B,0))</f>
        <v>战灵进阶丹</v>
      </c>
      <c r="W125" s="1">
        <v>60</v>
      </c>
      <c r="X125" s="1">
        <v>205002</v>
      </c>
      <c r="Y125" s="1" t="str">
        <f>INDEX([1]物品基础表!$A:$A,MATCH(X125,[1]物品基础表!$B:$B,0))</f>
        <v>战灵飞升丹</v>
      </c>
      <c r="Z125" s="1">
        <v>1</v>
      </c>
    </row>
    <row r="126" spans="1:26">
      <c r="A126" s="1" t="str">
        <f>INDEX([2]活动总表!$A$8:$A$429,MATCH(B126,[2]活动总表!$B$8:$B$429,0))</f>
        <v>战灵累计消费3</v>
      </c>
      <c r="B126" s="1">
        <v>320</v>
      </c>
      <c r="C126" s="1">
        <v>7</v>
      </c>
      <c r="L126" s="1">
        <v>200000</v>
      </c>
      <c r="P126" s="1">
        <v>100</v>
      </c>
      <c r="U126" s="1">
        <v>205000</v>
      </c>
      <c r="V126" s="1" t="str">
        <f>INDEX([1]物品基础表!$A:$A,MATCH(U126,[1]物品基础表!$B:$B,0))</f>
        <v>战灵进阶丹</v>
      </c>
      <c r="W126" s="1">
        <v>100</v>
      </c>
      <c r="X126" s="1">
        <v>205002</v>
      </c>
      <c r="Y126" s="1" t="str">
        <f>INDEX([1]物品基础表!$A:$A,MATCH(X126,[1]物品基础表!$B:$B,0))</f>
        <v>战灵飞升丹</v>
      </c>
      <c r="Z126" s="1">
        <v>2</v>
      </c>
    </row>
    <row r="127" spans="1:26">
      <c r="A127" s="1" t="str">
        <f>INDEX([2]活动总表!$A$8:$A$429,MATCH(B127,[2]活动总表!$B$8:$B$429,0))</f>
        <v>战灵累计消费1</v>
      </c>
      <c r="B127" s="1">
        <v>357</v>
      </c>
      <c r="C127" s="1">
        <v>1</v>
      </c>
      <c r="L127" s="1">
        <v>3000</v>
      </c>
      <c r="P127" s="1">
        <v>100</v>
      </c>
      <c r="U127" s="1">
        <v>205000</v>
      </c>
      <c r="V127" s="1" t="str">
        <f>INDEX([1]物品基础表!$A:$A,MATCH(U127,[1]物品基础表!$B:$B,0))</f>
        <v>战灵进阶丹</v>
      </c>
      <c r="W127" s="1">
        <v>10</v>
      </c>
    </row>
    <row r="128" spans="1:26">
      <c r="A128" s="1" t="str">
        <f>INDEX([2]活动总表!$A$8:$A$429,MATCH(B128,[2]活动总表!$B$8:$B$429,0))</f>
        <v>战灵累计消费1</v>
      </c>
      <c r="B128" s="1">
        <v>357</v>
      </c>
      <c r="C128" s="1">
        <v>2</v>
      </c>
      <c r="L128" s="1">
        <v>6000</v>
      </c>
      <c r="P128" s="1">
        <v>100</v>
      </c>
      <c r="U128" s="1">
        <v>205000</v>
      </c>
      <c r="V128" s="1" t="str">
        <f>INDEX([1]物品基础表!$A:$A,MATCH(U128,[1]物品基础表!$B:$B,0))</f>
        <v>战灵进阶丹</v>
      </c>
      <c r="W128" s="1">
        <v>20</v>
      </c>
    </row>
    <row r="129" spans="1:26">
      <c r="A129" s="1" t="str">
        <f>INDEX([2]活动总表!$A$8:$A$429,MATCH(B129,[2]活动总表!$B$8:$B$429,0))</f>
        <v>战灵累计消费1</v>
      </c>
      <c r="B129" s="1">
        <v>357</v>
      </c>
      <c r="C129" s="1">
        <v>3</v>
      </c>
      <c r="L129" s="1">
        <v>10000</v>
      </c>
      <c r="P129" s="1">
        <v>100</v>
      </c>
      <c r="U129" s="1">
        <v>205000</v>
      </c>
      <c r="V129" s="1" t="str">
        <f>INDEX([1]物品基础表!$A:$A,MATCH(U129,[1]物品基础表!$B:$B,0))</f>
        <v>战灵进阶丹</v>
      </c>
      <c r="W129" s="1">
        <v>25</v>
      </c>
      <c r="X129" s="1">
        <v>205001</v>
      </c>
      <c r="Y129" s="1" t="str">
        <f>INDEX([1]物品基础表!$A:$A,MATCH(X129,[1]物品基础表!$B:$B,0))</f>
        <v>战灵潜能丹</v>
      </c>
      <c r="Z129" s="1">
        <v>1</v>
      </c>
    </row>
    <row r="130" spans="1:26">
      <c r="A130" s="1" t="str">
        <f>INDEX([2]活动总表!$A$8:$A$429,MATCH(B130,[2]活动总表!$B$8:$B$429,0))</f>
        <v>战灵累计消费1</v>
      </c>
      <c r="B130" s="1">
        <v>357</v>
      </c>
      <c r="C130" s="1">
        <v>4</v>
      </c>
      <c r="L130" s="1">
        <v>20000</v>
      </c>
      <c r="P130" s="1">
        <v>100</v>
      </c>
      <c r="U130" s="1">
        <v>205000</v>
      </c>
      <c r="V130" s="1" t="str">
        <f>INDEX([1]物品基础表!$A:$A,MATCH(U130,[1]物品基础表!$B:$B,0))</f>
        <v>战灵进阶丹</v>
      </c>
      <c r="W130" s="1">
        <v>30</v>
      </c>
      <c r="X130" s="1">
        <v>205001</v>
      </c>
      <c r="Y130" s="1" t="str">
        <f>INDEX([1]物品基础表!$A:$A,MATCH(X130,[1]物品基础表!$B:$B,0))</f>
        <v>战灵潜能丹</v>
      </c>
      <c r="Z130" s="1">
        <v>1</v>
      </c>
    </row>
    <row r="131" spans="1:26">
      <c r="A131" s="1" t="str">
        <f>INDEX([2]活动总表!$A$8:$A$429,MATCH(B131,[2]活动总表!$B$8:$B$429,0))</f>
        <v>战灵累计消费1</v>
      </c>
      <c r="B131" s="1">
        <v>357</v>
      </c>
      <c r="C131" s="1">
        <v>5</v>
      </c>
      <c r="L131" s="1">
        <v>50000</v>
      </c>
      <c r="P131" s="1">
        <v>100</v>
      </c>
      <c r="U131" s="1">
        <v>205000</v>
      </c>
      <c r="V131" s="1" t="str">
        <f>INDEX([1]物品基础表!$A:$A,MATCH(U131,[1]物品基础表!$B:$B,0))</f>
        <v>战灵进阶丹</v>
      </c>
      <c r="W131" s="1">
        <v>40</v>
      </c>
      <c r="X131" s="1">
        <v>205002</v>
      </c>
      <c r="Y131" s="1" t="str">
        <f>INDEX([1]物品基础表!$A:$A,MATCH(X131,[1]物品基础表!$B:$B,0))</f>
        <v>战灵飞升丹</v>
      </c>
      <c r="Z131" s="1">
        <v>1</v>
      </c>
    </row>
    <row r="132" spans="1:26">
      <c r="A132" s="1" t="str">
        <f>INDEX([2]活动总表!$A$8:$A$429,MATCH(B132,[2]活动总表!$B$8:$B$429,0))</f>
        <v>战灵累计消费1</v>
      </c>
      <c r="B132" s="1">
        <v>357</v>
      </c>
      <c r="C132" s="1">
        <v>6</v>
      </c>
      <c r="L132" s="1">
        <v>100000</v>
      </c>
      <c r="P132" s="1">
        <v>100</v>
      </c>
      <c r="U132" s="1">
        <v>205000</v>
      </c>
      <c r="V132" s="1" t="str">
        <f>INDEX([1]物品基础表!$A:$A,MATCH(U132,[1]物品基础表!$B:$B,0))</f>
        <v>战灵进阶丹</v>
      </c>
      <c r="W132" s="1">
        <v>60</v>
      </c>
      <c r="X132" s="1">
        <v>205002</v>
      </c>
      <c r="Y132" s="1" t="str">
        <f>INDEX([1]物品基础表!$A:$A,MATCH(X132,[1]物品基础表!$B:$B,0))</f>
        <v>战灵飞升丹</v>
      </c>
      <c r="Z132" s="1">
        <v>1</v>
      </c>
    </row>
    <row r="133" spans="1:26">
      <c r="A133" s="1" t="str">
        <f>INDEX([2]活动总表!$A$8:$A$429,MATCH(B133,[2]活动总表!$B$8:$B$429,0))</f>
        <v>战灵累计消费1</v>
      </c>
      <c r="B133" s="1">
        <v>357</v>
      </c>
      <c r="C133" s="1">
        <v>7</v>
      </c>
      <c r="L133" s="1">
        <v>200000</v>
      </c>
      <c r="P133" s="1">
        <v>100</v>
      </c>
      <c r="U133" s="1">
        <v>205000</v>
      </c>
      <c r="V133" s="1" t="str">
        <f>INDEX([1]物品基础表!$A:$A,MATCH(U133,[1]物品基础表!$B:$B,0))</f>
        <v>战灵进阶丹</v>
      </c>
      <c r="W133" s="1">
        <v>100</v>
      </c>
      <c r="X133" s="1">
        <v>205002</v>
      </c>
      <c r="Y133" s="1" t="str">
        <f>INDEX([1]物品基础表!$A:$A,MATCH(X133,[1]物品基础表!$B:$B,0))</f>
        <v>战灵飞升丹</v>
      </c>
      <c r="Z133" s="1">
        <v>2</v>
      </c>
    </row>
    <row r="134" spans="1:26">
      <c r="A134" s="1" t="str">
        <f>INDEX([2]活动总表!$A$8:$A$429,MATCH(B134,[2]活动总表!$B$8:$B$429,0))</f>
        <v>战灵累计消费2</v>
      </c>
      <c r="B134" s="1">
        <v>358</v>
      </c>
      <c r="C134" s="1">
        <v>1</v>
      </c>
      <c r="L134" s="1">
        <v>3000</v>
      </c>
      <c r="P134" s="1">
        <v>100</v>
      </c>
      <c r="U134" s="1">
        <v>205000</v>
      </c>
      <c r="V134" s="1" t="str">
        <f>INDEX([1]物品基础表!$A:$A,MATCH(U134,[1]物品基础表!$B:$B,0))</f>
        <v>战灵进阶丹</v>
      </c>
      <c r="W134" s="1">
        <v>10</v>
      </c>
    </row>
    <row r="135" spans="1:26">
      <c r="A135" s="1" t="str">
        <f>INDEX([2]活动总表!$A$8:$A$429,MATCH(B135,[2]活动总表!$B$8:$B$429,0))</f>
        <v>战灵累计消费2</v>
      </c>
      <c r="B135" s="1">
        <v>358</v>
      </c>
      <c r="C135" s="1">
        <v>2</v>
      </c>
      <c r="L135" s="1">
        <v>6000</v>
      </c>
      <c r="P135" s="1">
        <v>100</v>
      </c>
      <c r="U135" s="1">
        <v>205000</v>
      </c>
      <c r="V135" s="1" t="str">
        <f>INDEX([1]物品基础表!$A:$A,MATCH(U135,[1]物品基础表!$B:$B,0))</f>
        <v>战灵进阶丹</v>
      </c>
      <c r="W135" s="1">
        <v>20</v>
      </c>
    </row>
    <row r="136" spans="1:26">
      <c r="A136" s="1" t="str">
        <f>INDEX([2]活动总表!$A$8:$A$429,MATCH(B136,[2]活动总表!$B$8:$B$429,0))</f>
        <v>战灵累计消费2</v>
      </c>
      <c r="B136" s="1">
        <v>358</v>
      </c>
      <c r="C136" s="1">
        <v>3</v>
      </c>
      <c r="L136" s="1">
        <v>10000</v>
      </c>
      <c r="P136" s="1">
        <v>100</v>
      </c>
      <c r="U136" s="1">
        <v>205000</v>
      </c>
      <c r="V136" s="1" t="str">
        <f>INDEX([1]物品基础表!$A:$A,MATCH(U136,[1]物品基础表!$B:$B,0))</f>
        <v>战灵进阶丹</v>
      </c>
      <c r="W136" s="1">
        <v>25</v>
      </c>
      <c r="X136" s="1">
        <v>205001</v>
      </c>
      <c r="Y136" s="1" t="str">
        <f>INDEX([1]物品基础表!$A:$A,MATCH(X136,[1]物品基础表!$B:$B,0))</f>
        <v>战灵潜能丹</v>
      </c>
      <c r="Z136" s="1">
        <v>1</v>
      </c>
    </row>
    <row r="137" spans="1:26">
      <c r="A137" s="1" t="str">
        <f>INDEX([2]活动总表!$A$8:$A$429,MATCH(B137,[2]活动总表!$B$8:$B$429,0))</f>
        <v>战灵累计消费2</v>
      </c>
      <c r="B137" s="1">
        <v>358</v>
      </c>
      <c r="C137" s="1">
        <v>4</v>
      </c>
      <c r="L137" s="1">
        <v>20000</v>
      </c>
      <c r="P137" s="1">
        <v>100</v>
      </c>
      <c r="U137" s="1">
        <v>205000</v>
      </c>
      <c r="V137" s="1" t="str">
        <f>INDEX([1]物品基础表!$A:$A,MATCH(U137,[1]物品基础表!$B:$B,0))</f>
        <v>战灵进阶丹</v>
      </c>
      <c r="W137" s="1">
        <v>30</v>
      </c>
      <c r="X137" s="1">
        <v>205001</v>
      </c>
      <c r="Y137" s="1" t="str">
        <f>INDEX([1]物品基础表!$A:$A,MATCH(X137,[1]物品基础表!$B:$B,0))</f>
        <v>战灵潜能丹</v>
      </c>
      <c r="Z137" s="1">
        <v>1</v>
      </c>
    </row>
    <row r="138" spans="1:26">
      <c r="A138" s="1" t="str">
        <f>INDEX([2]活动总表!$A$8:$A$429,MATCH(B138,[2]活动总表!$B$8:$B$429,0))</f>
        <v>战灵累计消费2</v>
      </c>
      <c r="B138" s="1">
        <v>358</v>
      </c>
      <c r="C138" s="1">
        <v>5</v>
      </c>
      <c r="L138" s="1">
        <v>50000</v>
      </c>
      <c r="P138" s="1">
        <v>100</v>
      </c>
      <c r="U138" s="1">
        <v>205000</v>
      </c>
      <c r="V138" s="1" t="str">
        <f>INDEX([1]物品基础表!$A:$A,MATCH(U138,[1]物品基础表!$B:$B,0))</f>
        <v>战灵进阶丹</v>
      </c>
      <c r="W138" s="1">
        <v>40</v>
      </c>
      <c r="X138" s="1">
        <v>205002</v>
      </c>
      <c r="Y138" s="1" t="str">
        <f>INDEX([1]物品基础表!$A:$A,MATCH(X138,[1]物品基础表!$B:$B,0))</f>
        <v>战灵飞升丹</v>
      </c>
      <c r="Z138" s="1">
        <v>1</v>
      </c>
    </row>
    <row r="139" spans="1:26">
      <c r="A139" s="1" t="str">
        <f>INDEX([2]活动总表!$A$8:$A$429,MATCH(B139,[2]活动总表!$B$8:$B$429,0))</f>
        <v>战灵累计消费2</v>
      </c>
      <c r="B139" s="1">
        <v>358</v>
      </c>
      <c r="C139" s="1">
        <v>6</v>
      </c>
      <c r="L139" s="1">
        <v>100000</v>
      </c>
      <c r="P139" s="1">
        <v>100</v>
      </c>
      <c r="U139" s="1">
        <v>205000</v>
      </c>
      <c r="V139" s="1" t="str">
        <f>INDEX([1]物品基础表!$A:$A,MATCH(U139,[1]物品基础表!$B:$B,0))</f>
        <v>战灵进阶丹</v>
      </c>
      <c r="W139" s="1">
        <v>60</v>
      </c>
      <c r="X139" s="1">
        <v>205002</v>
      </c>
      <c r="Y139" s="1" t="str">
        <f>INDEX([1]物品基础表!$A:$A,MATCH(X139,[1]物品基础表!$B:$B,0))</f>
        <v>战灵飞升丹</v>
      </c>
      <c r="Z139" s="1">
        <v>1</v>
      </c>
    </row>
    <row r="140" spans="1:26">
      <c r="A140" s="1" t="str">
        <f>INDEX([2]活动总表!$A$8:$A$429,MATCH(B140,[2]活动总表!$B$8:$B$429,0))</f>
        <v>战灵累计消费2</v>
      </c>
      <c r="B140" s="1">
        <v>358</v>
      </c>
      <c r="C140" s="1">
        <v>7</v>
      </c>
      <c r="L140" s="1">
        <v>200000</v>
      </c>
      <c r="P140" s="1">
        <v>100</v>
      </c>
      <c r="U140" s="1">
        <v>205000</v>
      </c>
      <c r="V140" s="1" t="str">
        <f>INDEX([1]物品基础表!$A:$A,MATCH(U140,[1]物品基础表!$B:$B,0))</f>
        <v>战灵进阶丹</v>
      </c>
      <c r="W140" s="1">
        <v>100</v>
      </c>
      <c r="X140" s="1">
        <v>205002</v>
      </c>
      <c r="Y140" s="1" t="str">
        <f>INDEX([1]物品基础表!$A:$A,MATCH(X140,[1]物品基础表!$B:$B,0))</f>
        <v>战灵飞升丹</v>
      </c>
      <c r="Z140" s="1">
        <v>2</v>
      </c>
    </row>
    <row r="141" spans="1:26">
      <c r="A141" s="1" t="str">
        <f>INDEX([2]活动总表!$A$8:$A$429,MATCH(B141,[2]活动总表!$B$8:$B$429,0))</f>
        <v>战灵累计消费3</v>
      </c>
      <c r="B141" s="1">
        <v>359</v>
      </c>
      <c r="C141" s="1">
        <v>1</v>
      </c>
      <c r="L141" s="1">
        <v>3000</v>
      </c>
      <c r="P141" s="1">
        <v>100</v>
      </c>
      <c r="U141" s="1">
        <v>205000</v>
      </c>
      <c r="V141" s="1" t="str">
        <f>INDEX([1]物品基础表!$A:$A,MATCH(U141,[1]物品基础表!$B:$B,0))</f>
        <v>战灵进阶丹</v>
      </c>
      <c r="W141" s="1">
        <v>10</v>
      </c>
    </row>
    <row r="142" spans="1:26">
      <c r="A142" s="1" t="str">
        <f>INDEX([2]活动总表!$A$8:$A$429,MATCH(B142,[2]活动总表!$B$8:$B$429,0))</f>
        <v>战灵累计消费3</v>
      </c>
      <c r="B142" s="1">
        <v>359</v>
      </c>
      <c r="C142" s="1">
        <v>2</v>
      </c>
      <c r="L142" s="1">
        <v>6000</v>
      </c>
      <c r="P142" s="1">
        <v>100</v>
      </c>
      <c r="U142" s="1">
        <v>205000</v>
      </c>
      <c r="V142" s="1" t="str">
        <f>INDEX([1]物品基础表!$A:$A,MATCH(U142,[1]物品基础表!$B:$B,0))</f>
        <v>战灵进阶丹</v>
      </c>
      <c r="W142" s="1">
        <v>20</v>
      </c>
    </row>
    <row r="143" spans="1:26">
      <c r="A143" s="1" t="str">
        <f>INDEX([2]活动总表!$A$8:$A$429,MATCH(B143,[2]活动总表!$B$8:$B$429,0))</f>
        <v>战灵累计消费3</v>
      </c>
      <c r="B143" s="1">
        <v>359</v>
      </c>
      <c r="C143" s="1">
        <v>3</v>
      </c>
      <c r="L143" s="1">
        <v>10000</v>
      </c>
      <c r="P143" s="1">
        <v>100</v>
      </c>
      <c r="U143" s="1">
        <v>205000</v>
      </c>
      <c r="V143" s="1" t="str">
        <f>INDEX([1]物品基础表!$A:$A,MATCH(U143,[1]物品基础表!$B:$B,0))</f>
        <v>战灵进阶丹</v>
      </c>
      <c r="W143" s="1">
        <v>25</v>
      </c>
      <c r="X143" s="1">
        <v>205001</v>
      </c>
      <c r="Y143" s="1" t="str">
        <f>INDEX([1]物品基础表!$A:$A,MATCH(X143,[1]物品基础表!$B:$B,0))</f>
        <v>战灵潜能丹</v>
      </c>
      <c r="Z143" s="1">
        <v>1</v>
      </c>
    </row>
    <row r="144" spans="1:26">
      <c r="A144" s="1" t="str">
        <f>INDEX([2]活动总表!$A$8:$A$429,MATCH(B144,[2]活动总表!$B$8:$B$429,0))</f>
        <v>战灵累计消费3</v>
      </c>
      <c r="B144" s="1">
        <v>359</v>
      </c>
      <c r="C144" s="1">
        <v>4</v>
      </c>
      <c r="L144" s="1">
        <v>20000</v>
      </c>
      <c r="P144" s="1">
        <v>100</v>
      </c>
      <c r="U144" s="1">
        <v>205000</v>
      </c>
      <c r="V144" s="1" t="str">
        <f>INDEX([1]物品基础表!$A:$A,MATCH(U144,[1]物品基础表!$B:$B,0))</f>
        <v>战灵进阶丹</v>
      </c>
      <c r="W144" s="1">
        <v>30</v>
      </c>
      <c r="X144" s="1">
        <v>205001</v>
      </c>
      <c r="Y144" s="1" t="str">
        <f>INDEX([1]物品基础表!$A:$A,MATCH(X144,[1]物品基础表!$B:$B,0))</f>
        <v>战灵潜能丹</v>
      </c>
      <c r="Z144" s="1">
        <v>1</v>
      </c>
    </row>
    <row r="145" spans="1:26">
      <c r="A145" s="1" t="str">
        <f>INDEX([2]活动总表!$A$8:$A$429,MATCH(B145,[2]活动总表!$B$8:$B$429,0))</f>
        <v>战灵累计消费3</v>
      </c>
      <c r="B145" s="1">
        <v>359</v>
      </c>
      <c r="C145" s="1">
        <v>5</v>
      </c>
      <c r="L145" s="1">
        <v>50000</v>
      </c>
      <c r="P145" s="1">
        <v>100</v>
      </c>
      <c r="U145" s="1">
        <v>205000</v>
      </c>
      <c r="V145" s="1" t="str">
        <f>INDEX([1]物品基础表!$A:$A,MATCH(U145,[1]物品基础表!$B:$B,0))</f>
        <v>战灵进阶丹</v>
      </c>
      <c r="W145" s="1">
        <v>40</v>
      </c>
      <c r="X145" s="1">
        <v>205002</v>
      </c>
      <c r="Y145" s="1" t="str">
        <f>INDEX([1]物品基础表!$A:$A,MATCH(X145,[1]物品基础表!$B:$B,0))</f>
        <v>战灵飞升丹</v>
      </c>
      <c r="Z145" s="1">
        <v>1</v>
      </c>
    </row>
    <row r="146" spans="1:26">
      <c r="A146" s="1" t="str">
        <f>INDEX([2]活动总表!$A$8:$A$429,MATCH(B146,[2]活动总表!$B$8:$B$429,0))</f>
        <v>战灵累计消费3</v>
      </c>
      <c r="B146" s="1">
        <v>359</v>
      </c>
      <c r="C146" s="1">
        <v>6</v>
      </c>
      <c r="L146" s="1">
        <v>100000</v>
      </c>
      <c r="P146" s="1">
        <v>100</v>
      </c>
      <c r="U146" s="1">
        <v>205000</v>
      </c>
      <c r="V146" s="1" t="str">
        <f>INDEX([1]物品基础表!$A:$A,MATCH(U146,[1]物品基础表!$B:$B,0))</f>
        <v>战灵进阶丹</v>
      </c>
      <c r="W146" s="1">
        <v>60</v>
      </c>
      <c r="X146" s="1">
        <v>205002</v>
      </c>
      <c r="Y146" s="1" t="str">
        <f>INDEX([1]物品基础表!$A:$A,MATCH(X146,[1]物品基础表!$B:$B,0))</f>
        <v>战灵飞升丹</v>
      </c>
      <c r="Z146" s="1">
        <v>1</v>
      </c>
    </row>
    <row r="147" spans="1:26">
      <c r="A147" s="1" t="str">
        <f>INDEX([2]活动总表!$A$8:$A$429,MATCH(B147,[2]活动总表!$B$8:$B$429,0))</f>
        <v>战灵累计消费3</v>
      </c>
      <c r="B147" s="1">
        <v>359</v>
      </c>
      <c r="C147" s="1">
        <v>7</v>
      </c>
      <c r="L147" s="1">
        <v>200000</v>
      </c>
      <c r="P147" s="1">
        <v>100</v>
      </c>
      <c r="U147" s="1">
        <v>205000</v>
      </c>
      <c r="V147" s="1" t="str">
        <f>INDEX([1]物品基础表!$A:$A,MATCH(U147,[1]物品基础表!$B:$B,0))</f>
        <v>战灵进阶丹</v>
      </c>
      <c r="W147" s="1">
        <v>100</v>
      </c>
      <c r="X147" s="1">
        <v>205002</v>
      </c>
      <c r="Y147" s="1" t="str">
        <f>INDEX([1]物品基础表!$A:$A,MATCH(X147,[1]物品基础表!$B:$B,0))</f>
        <v>战灵飞升丹</v>
      </c>
      <c r="Z147" s="1">
        <v>2</v>
      </c>
    </row>
    <row r="148" spans="1:26">
      <c r="A148" s="1" t="str">
        <f>INDEX([2]活动总表!$A$8:$A$429,MATCH(B148,[2]活动总表!$B$8:$B$429,0))</f>
        <v>战灵活动-达标奖励</v>
      </c>
      <c r="B148" s="1">
        <v>364</v>
      </c>
      <c r="C148" s="1">
        <v>1</v>
      </c>
      <c r="O148" s="1">
        <v>21</v>
      </c>
      <c r="P148" s="1">
        <v>9</v>
      </c>
      <c r="Q148" s="1">
        <v>50</v>
      </c>
      <c r="U148" s="1">
        <v>204156</v>
      </c>
      <c r="V148" s="1" t="str">
        <f>INDEX([1]物品基础表!$A:$A,MATCH(U148,[1]物品基础表!$B:$B,0))</f>
        <v>3阶战灵装备</v>
      </c>
      <c r="W148" s="1">
        <v>1</v>
      </c>
      <c r="X148" s="1">
        <v>205002</v>
      </c>
      <c r="Y148" s="1" t="str">
        <f>INDEX([1]物品基础表!$A:$A,MATCH(X148,[1]物品基础表!$B:$B,0))</f>
        <v>战灵飞升丹</v>
      </c>
      <c r="Z148" s="1">
        <v>1</v>
      </c>
    </row>
    <row r="149" spans="1:26">
      <c r="A149" s="1" t="str">
        <f>INDEX([2]活动总表!$A$8:$A$429,MATCH(B149,[2]活动总表!$B$8:$B$429,0))</f>
        <v>战灵活动-达标奖励</v>
      </c>
      <c r="B149" s="1">
        <v>364</v>
      </c>
      <c r="C149" s="1">
        <v>2</v>
      </c>
      <c r="O149" s="1">
        <v>31</v>
      </c>
      <c r="P149" s="1">
        <v>9</v>
      </c>
      <c r="Q149" s="1">
        <v>30</v>
      </c>
      <c r="U149" s="1">
        <v>204156</v>
      </c>
      <c r="V149" s="1" t="str">
        <f>INDEX([1]物品基础表!$A:$A,MATCH(U149,[1]物品基础表!$B:$B,0))</f>
        <v>3阶战灵装备</v>
      </c>
      <c r="W149" s="1">
        <v>1</v>
      </c>
      <c r="X149" s="1">
        <v>205002</v>
      </c>
      <c r="Y149" s="1" t="str">
        <f>INDEX([1]物品基础表!$A:$A,MATCH(X149,[1]物品基础表!$B:$B,0))</f>
        <v>战灵飞升丹</v>
      </c>
      <c r="Z149" s="1">
        <v>1</v>
      </c>
    </row>
    <row r="150" spans="1:26">
      <c r="A150" s="1" t="str">
        <f>INDEX([2]活动总表!$A$8:$A$429,MATCH(B150,[2]活动总表!$B$8:$B$429,0))</f>
        <v>战灵活动-达标奖励</v>
      </c>
      <c r="B150" s="1">
        <v>364</v>
      </c>
      <c r="C150" s="1">
        <v>3</v>
      </c>
      <c r="O150" s="1">
        <v>41</v>
      </c>
      <c r="P150" s="1">
        <v>9</v>
      </c>
      <c r="Q150" s="1">
        <v>8</v>
      </c>
      <c r="U150" s="1">
        <v>204157</v>
      </c>
      <c r="V150" s="1" t="str">
        <f>INDEX([1]物品基础表!$A:$A,MATCH(U150,[1]物品基础表!$B:$B,0))</f>
        <v>4阶战灵装备</v>
      </c>
      <c r="W150" s="1">
        <v>1</v>
      </c>
      <c r="X150" s="1">
        <v>205002</v>
      </c>
      <c r="Y150" s="1" t="str">
        <f>INDEX([1]物品基础表!$A:$A,MATCH(X150,[1]物品基础表!$B:$B,0))</f>
        <v>战灵飞升丹</v>
      </c>
      <c r="Z150" s="1">
        <v>2</v>
      </c>
    </row>
    <row r="151" spans="1:26">
      <c r="A151" s="1" t="str">
        <f>INDEX([2]活动总表!$A$8:$A$429,MATCH(B151,[2]活动总表!$B$8:$B$429,0))</f>
        <v>战灵活动-达标奖励</v>
      </c>
      <c r="B151" s="1">
        <v>364</v>
      </c>
      <c r="C151" s="1">
        <v>4</v>
      </c>
      <c r="O151" s="1">
        <v>51</v>
      </c>
      <c r="P151" s="1">
        <v>9</v>
      </c>
      <c r="Q151" s="1">
        <v>3</v>
      </c>
      <c r="U151" s="1">
        <v>204159</v>
      </c>
      <c r="V151" s="1" t="str">
        <f>INDEX([1]物品基础表!$A:$A,MATCH(U151,[1]物品基础表!$B:$B,0))</f>
        <v>6阶战灵装备</v>
      </c>
      <c r="W151" s="1">
        <v>1</v>
      </c>
      <c r="X151" s="1">
        <v>205002</v>
      </c>
      <c r="Y151" s="1" t="str">
        <f>INDEX([1]物品基础表!$A:$A,MATCH(X151,[1]物品基础表!$B:$B,0))</f>
        <v>战灵飞升丹</v>
      </c>
      <c r="Z151" s="1">
        <v>2</v>
      </c>
    </row>
    <row r="152" spans="1:26">
      <c r="A152" s="1" t="str">
        <f>INDEX([2]活动总表!$A$8:$A$429,MATCH(B152,[2]活动总表!$B$8:$B$429,0))</f>
        <v>小年每日消费1</v>
      </c>
      <c r="B152" s="1">
        <v>444</v>
      </c>
      <c r="C152" s="1">
        <v>1</v>
      </c>
      <c r="L152" s="1">
        <v>3000</v>
      </c>
      <c r="P152" s="1">
        <v>100</v>
      </c>
      <c r="U152" s="1">
        <v>200001</v>
      </c>
      <c r="V152" s="1" t="str">
        <f>INDEX([1]物品基础表!$A:$A,MATCH(U152,[1]物品基础表!$B:$B,0))</f>
        <v>羽毛</v>
      </c>
      <c r="W152" s="1">
        <v>10</v>
      </c>
    </row>
    <row r="153" spans="1:26">
      <c r="A153" s="1" t="str">
        <f>INDEX([2]活动总表!$A$8:$A$429,MATCH(B153,[2]活动总表!$B$8:$B$429,0))</f>
        <v>小年每日消费1</v>
      </c>
      <c r="B153" s="1">
        <v>444</v>
      </c>
      <c r="C153" s="1">
        <v>2</v>
      </c>
      <c r="L153" s="1">
        <v>6000</v>
      </c>
      <c r="P153" s="1">
        <v>100</v>
      </c>
      <c r="U153" s="1">
        <v>200001</v>
      </c>
      <c r="V153" s="1" t="str">
        <f>INDEX([1]物品基础表!$A:$A,MATCH(U153,[1]物品基础表!$B:$B,0))</f>
        <v>羽毛</v>
      </c>
      <c r="W153" s="1">
        <v>20</v>
      </c>
    </row>
    <row r="154" spans="1:26">
      <c r="A154" s="1" t="str">
        <f>INDEX([2]活动总表!$A$8:$A$429,MATCH(B154,[2]活动总表!$B$8:$B$429,0))</f>
        <v>小年每日消费1</v>
      </c>
      <c r="B154" s="1">
        <v>444</v>
      </c>
      <c r="C154" s="1">
        <v>3</v>
      </c>
      <c r="L154" s="1">
        <v>10000</v>
      </c>
      <c r="P154" s="1">
        <v>100</v>
      </c>
      <c r="U154" s="1">
        <v>200315</v>
      </c>
      <c r="V154" s="1" t="str">
        <f>INDEX([1]物品基础表!$A:$A,MATCH(U154,[1]物品基础表!$B:$B,0))</f>
        <v>2阶神羽宝箱</v>
      </c>
      <c r="W154" s="1">
        <v>1</v>
      </c>
      <c r="X154" s="1">
        <v>200329</v>
      </c>
      <c r="Y154" s="1" t="str">
        <f>INDEX([1]物品基础表!$A:$A,MATCH(X154,[1]物品基础表!$B:$B,0))</f>
        <v>羽翼飞升丹</v>
      </c>
      <c r="Z154" s="1">
        <v>2</v>
      </c>
    </row>
    <row r="155" spans="1:26">
      <c r="A155" s="1" t="str">
        <f>INDEX([2]活动总表!$A$8:$A$429,MATCH(B155,[2]活动总表!$B$8:$B$429,0))</f>
        <v>小年每日消费1</v>
      </c>
      <c r="B155" s="1">
        <v>444</v>
      </c>
      <c r="C155" s="1">
        <v>4</v>
      </c>
      <c r="L155" s="1">
        <v>20000</v>
      </c>
      <c r="P155" s="1">
        <v>100</v>
      </c>
      <c r="U155" s="1">
        <v>200001</v>
      </c>
      <c r="V155" s="1" t="str">
        <f>INDEX([1]物品基础表!$A:$A,MATCH(U155,[1]物品基础表!$B:$B,0))</f>
        <v>羽毛</v>
      </c>
      <c r="W155" s="1">
        <v>30</v>
      </c>
      <c r="X155" s="1">
        <v>200329</v>
      </c>
      <c r="Y155" s="1" t="str">
        <f>INDEX([1]物品基础表!$A:$A,MATCH(X155,[1]物品基础表!$B:$B,0))</f>
        <v>羽翼飞升丹</v>
      </c>
      <c r="Z155" s="1">
        <v>3</v>
      </c>
    </row>
    <row r="156" spans="1:26">
      <c r="A156" s="1" t="str">
        <f>INDEX([2]活动总表!$A$8:$A$429,MATCH(B156,[2]活动总表!$B$8:$B$429,0))</f>
        <v>小年每日消费1</v>
      </c>
      <c r="B156" s="1">
        <v>444</v>
      </c>
      <c r="C156" s="1">
        <v>5</v>
      </c>
      <c r="L156" s="1">
        <v>50000</v>
      </c>
      <c r="P156" s="1">
        <v>100</v>
      </c>
      <c r="U156" s="1">
        <v>200001</v>
      </c>
      <c r="V156" s="1" t="str">
        <f>INDEX([1]物品基础表!$A:$A,MATCH(U156,[1]物品基础表!$B:$B,0))</f>
        <v>羽毛</v>
      </c>
      <c r="W156" s="1">
        <v>40</v>
      </c>
      <c r="X156" s="1">
        <v>200329</v>
      </c>
      <c r="Y156" s="1" t="str">
        <f>INDEX([1]物品基础表!$A:$A,MATCH(X156,[1]物品基础表!$B:$B,0))</f>
        <v>羽翼飞升丹</v>
      </c>
      <c r="Z156" s="1">
        <v>4</v>
      </c>
    </row>
    <row r="157" spans="1:26">
      <c r="A157" s="1" t="str">
        <f>INDEX([2]活动总表!$A$8:$A$429,MATCH(B157,[2]活动总表!$B$8:$B$429,0))</f>
        <v>小年每日消费1</v>
      </c>
      <c r="B157" s="1">
        <v>444</v>
      </c>
      <c r="C157" s="1">
        <v>6</v>
      </c>
      <c r="L157" s="1">
        <v>100000</v>
      </c>
      <c r="P157" s="1">
        <v>100</v>
      </c>
      <c r="U157" s="1">
        <v>200001</v>
      </c>
      <c r="V157" s="1" t="str">
        <f>INDEX([1]物品基础表!$A:$A,MATCH(U157,[1]物品基础表!$B:$B,0))</f>
        <v>羽毛</v>
      </c>
      <c r="W157" s="1">
        <v>60</v>
      </c>
      <c r="X157" s="1">
        <v>200329</v>
      </c>
      <c r="Y157" s="1" t="str">
        <f>INDEX([1]物品基础表!$A:$A,MATCH(X157,[1]物品基础表!$B:$B,0))</f>
        <v>羽翼飞升丹</v>
      </c>
      <c r="Z157" s="1">
        <v>5</v>
      </c>
    </row>
    <row r="158" spans="1:26">
      <c r="A158" s="1" t="str">
        <f>INDEX([2]活动总表!$A$8:$A$429,MATCH(B158,[2]活动总表!$B$8:$B$429,0))</f>
        <v>小年每日消费1</v>
      </c>
      <c r="B158" s="1">
        <v>444</v>
      </c>
      <c r="C158" s="1">
        <v>7</v>
      </c>
      <c r="L158" s="1">
        <v>200000</v>
      </c>
      <c r="P158" s="1">
        <v>100</v>
      </c>
      <c r="U158" s="1">
        <v>200317</v>
      </c>
      <c r="V158" s="1" t="str">
        <f>INDEX([1]物品基础表!$A:$A,MATCH(U158,[1]物品基础表!$B:$B,0))</f>
        <v>4阶神羽宝箱</v>
      </c>
      <c r="W158" s="1">
        <v>1</v>
      </c>
      <c r="X158" s="1">
        <v>200329</v>
      </c>
      <c r="Y158" s="1" t="str">
        <f>INDEX([1]物品基础表!$A:$A,MATCH(X158,[1]物品基础表!$B:$B,0))</f>
        <v>羽翼飞升丹</v>
      </c>
      <c r="Z158" s="1">
        <v>6</v>
      </c>
    </row>
    <row r="159" spans="1:26">
      <c r="A159" s="1" t="str">
        <f>INDEX([2]活动总表!$A$8:$A$429,MATCH(B159,[2]活动总表!$B$8:$B$429,0))</f>
        <v>小年每日消费2</v>
      </c>
      <c r="B159" s="1">
        <v>445</v>
      </c>
      <c r="C159" s="1">
        <v>1</v>
      </c>
      <c r="L159" s="1">
        <v>3000</v>
      </c>
      <c r="P159" s="1">
        <v>100</v>
      </c>
      <c r="U159" s="1">
        <v>200001</v>
      </c>
      <c r="V159" s="1" t="str">
        <f>INDEX([1]物品基础表!$A:$A,MATCH(U159,[1]物品基础表!$B:$B,0))</f>
        <v>羽毛</v>
      </c>
      <c r="W159" s="1">
        <v>10</v>
      </c>
    </row>
    <row r="160" spans="1:26">
      <c r="A160" s="1" t="str">
        <f>INDEX([2]活动总表!$A$8:$A$429,MATCH(B160,[2]活动总表!$B$8:$B$429,0))</f>
        <v>小年每日消费2</v>
      </c>
      <c r="B160" s="1">
        <v>445</v>
      </c>
      <c r="C160" s="1">
        <v>2</v>
      </c>
      <c r="L160" s="1">
        <v>6000</v>
      </c>
      <c r="P160" s="1">
        <v>100</v>
      </c>
      <c r="U160" s="1">
        <v>200001</v>
      </c>
      <c r="V160" s="1" t="str">
        <f>INDEX([1]物品基础表!$A:$A,MATCH(U160,[1]物品基础表!$B:$B,0))</f>
        <v>羽毛</v>
      </c>
      <c r="W160" s="1">
        <v>20</v>
      </c>
    </row>
    <row r="161" spans="1:26">
      <c r="A161" s="1" t="str">
        <f>INDEX([2]活动总表!$A$8:$A$429,MATCH(B161,[2]活动总表!$B$8:$B$429,0))</f>
        <v>小年每日消费2</v>
      </c>
      <c r="B161" s="1">
        <v>445</v>
      </c>
      <c r="C161" s="1">
        <v>3</v>
      </c>
      <c r="L161" s="1">
        <v>10000</v>
      </c>
      <c r="P161" s="1">
        <v>100</v>
      </c>
      <c r="U161" s="1">
        <v>200315</v>
      </c>
      <c r="V161" s="1" t="str">
        <f>INDEX([1]物品基础表!$A:$A,MATCH(U161,[1]物品基础表!$B:$B,0))</f>
        <v>2阶神羽宝箱</v>
      </c>
      <c r="W161" s="1">
        <v>1</v>
      </c>
      <c r="X161" s="1">
        <v>200329</v>
      </c>
      <c r="Y161" s="1" t="str">
        <f>INDEX([1]物品基础表!$A:$A,MATCH(X161,[1]物品基础表!$B:$B,0))</f>
        <v>羽翼飞升丹</v>
      </c>
      <c r="Z161" s="1">
        <v>2</v>
      </c>
    </row>
    <row r="162" spans="1:26">
      <c r="A162" s="1" t="str">
        <f>INDEX([2]活动总表!$A$8:$A$429,MATCH(B162,[2]活动总表!$B$8:$B$429,0))</f>
        <v>小年每日消费2</v>
      </c>
      <c r="B162" s="1">
        <v>445</v>
      </c>
      <c r="C162" s="1">
        <v>4</v>
      </c>
      <c r="L162" s="1">
        <v>20000</v>
      </c>
      <c r="P162" s="1">
        <v>100</v>
      </c>
      <c r="U162" s="1">
        <v>200001</v>
      </c>
      <c r="V162" s="1" t="str">
        <f>INDEX([1]物品基础表!$A:$A,MATCH(U162,[1]物品基础表!$B:$B,0))</f>
        <v>羽毛</v>
      </c>
      <c r="W162" s="1">
        <v>30</v>
      </c>
      <c r="X162" s="1">
        <v>200329</v>
      </c>
      <c r="Y162" s="1" t="str">
        <f>INDEX([1]物品基础表!$A:$A,MATCH(X162,[1]物品基础表!$B:$B,0))</f>
        <v>羽翼飞升丹</v>
      </c>
      <c r="Z162" s="1">
        <v>3</v>
      </c>
    </row>
    <row r="163" spans="1:26">
      <c r="A163" s="1" t="str">
        <f>INDEX([2]活动总表!$A$8:$A$429,MATCH(B163,[2]活动总表!$B$8:$B$429,0))</f>
        <v>小年每日消费2</v>
      </c>
      <c r="B163" s="1">
        <v>445</v>
      </c>
      <c r="C163" s="1">
        <v>5</v>
      </c>
      <c r="L163" s="1">
        <v>50000</v>
      </c>
      <c r="P163" s="1">
        <v>100</v>
      </c>
      <c r="U163" s="1">
        <v>200001</v>
      </c>
      <c r="V163" s="1" t="str">
        <f>INDEX([1]物品基础表!$A:$A,MATCH(U163,[1]物品基础表!$B:$B,0))</f>
        <v>羽毛</v>
      </c>
      <c r="W163" s="1">
        <v>40</v>
      </c>
      <c r="X163" s="1">
        <v>200329</v>
      </c>
      <c r="Y163" s="1" t="str">
        <f>INDEX([1]物品基础表!$A:$A,MATCH(X163,[1]物品基础表!$B:$B,0))</f>
        <v>羽翼飞升丹</v>
      </c>
      <c r="Z163" s="1">
        <v>4</v>
      </c>
    </row>
    <row r="164" spans="1:26">
      <c r="A164" s="1" t="str">
        <f>INDEX([2]活动总表!$A$8:$A$429,MATCH(B164,[2]活动总表!$B$8:$B$429,0))</f>
        <v>小年每日消费2</v>
      </c>
      <c r="B164" s="1">
        <v>445</v>
      </c>
      <c r="C164" s="1">
        <v>6</v>
      </c>
      <c r="L164" s="1">
        <v>100000</v>
      </c>
      <c r="P164" s="1">
        <v>100</v>
      </c>
      <c r="U164" s="1">
        <v>200001</v>
      </c>
      <c r="V164" s="1" t="str">
        <f>INDEX([1]物品基础表!$A:$A,MATCH(U164,[1]物品基础表!$B:$B,0))</f>
        <v>羽毛</v>
      </c>
      <c r="W164" s="1">
        <v>60</v>
      </c>
      <c r="X164" s="1">
        <v>200329</v>
      </c>
      <c r="Y164" s="1" t="str">
        <f>INDEX([1]物品基础表!$A:$A,MATCH(X164,[1]物品基础表!$B:$B,0))</f>
        <v>羽翼飞升丹</v>
      </c>
      <c r="Z164" s="1">
        <v>5</v>
      </c>
    </row>
    <row r="165" spans="1:26">
      <c r="A165" s="1" t="str">
        <f>INDEX([2]活动总表!$A$8:$A$429,MATCH(B165,[2]活动总表!$B$8:$B$429,0))</f>
        <v>小年每日消费2</v>
      </c>
      <c r="B165" s="1">
        <v>445</v>
      </c>
      <c r="C165" s="1">
        <v>7</v>
      </c>
      <c r="L165" s="1">
        <v>200000</v>
      </c>
      <c r="P165" s="1">
        <v>100</v>
      </c>
      <c r="U165" s="1">
        <v>200317</v>
      </c>
      <c r="V165" s="1" t="str">
        <f>INDEX([1]物品基础表!$A:$A,MATCH(U165,[1]物品基础表!$B:$B,0))</f>
        <v>4阶神羽宝箱</v>
      </c>
      <c r="W165" s="1">
        <v>1</v>
      </c>
      <c r="X165" s="1">
        <v>200329</v>
      </c>
      <c r="Y165" s="1" t="str">
        <f>INDEX([1]物品基础表!$A:$A,MATCH(X165,[1]物品基础表!$B:$B,0))</f>
        <v>羽翼飞升丹</v>
      </c>
      <c r="Z165" s="1">
        <v>6</v>
      </c>
    </row>
    <row r="166" spans="1:26">
      <c r="A166" s="1" t="str">
        <f>INDEX([2]活动总表!$A$8:$A$429,MATCH(B166,[2]活动总表!$B$8:$B$429,0))</f>
        <v>小年每日消费3</v>
      </c>
      <c r="B166" s="1">
        <v>446</v>
      </c>
      <c r="C166" s="1">
        <v>1</v>
      </c>
      <c r="L166" s="1">
        <v>3000</v>
      </c>
      <c r="P166" s="1">
        <v>100</v>
      </c>
      <c r="U166" s="1">
        <v>200001</v>
      </c>
      <c r="V166" s="1" t="str">
        <f>INDEX([1]物品基础表!$A:$A,MATCH(U166,[1]物品基础表!$B:$B,0))</f>
        <v>羽毛</v>
      </c>
      <c r="W166" s="1">
        <v>10</v>
      </c>
    </row>
    <row r="167" spans="1:26">
      <c r="A167" s="1" t="str">
        <f>INDEX([2]活动总表!$A$8:$A$429,MATCH(B167,[2]活动总表!$B$8:$B$429,0))</f>
        <v>小年每日消费3</v>
      </c>
      <c r="B167" s="1">
        <v>446</v>
      </c>
      <c r="C167" s="1">
        <v>2</v>
      </c>
      <c r="L167" s="1">
        <v>6000</v>
      </c>
      <c r="P167" s="1">
        <v>100</v>
      </c>
      <c r="U167" s="1">
        <v>200001</v>
      </c>
      <c r="V167" s="1" t="str">
        <f>INDEX([1]物品基础表!$A:$A,MATCH(U167,[1]物品基础表!$B:$B,0))</f>
        <v>羽毛</v>
      </c>
      <c r="W167" s="1">
        <v>20</v>
      </c>
    </row>
    <row r="168" spans="1:26">
      <c r="A168" s="1" t="str">
        <f>INDEX([2]活动总表!$A$8:$A$429,MATCH(B168,[2]活动总表!$B$8:$B$429,0))</f>
        <v>小年每日消费3</v>
      </c>
      <c r="B168" s="1">
        <v>446</v>
      </c>
      <c r="C168" s="1">
        <v>3</v>
      </c>
      <c r="L168" s="1">
        <v>10000</v>
      </c>
      <c r="P168" s="1">
        <v>100</v>
      </c>
      <c r="U168" s="1">
        <v>200315</v>
      </c>
      <c r="V168" s="1" t="str">
        <f>INDEX([1]物品基础表!$A:$A,MATCH(U168,[1]物品基础表!$B:$B,0))</f>
        <v>2阶神羽宝箱</v>
      </c>
      <c r="W168" s="1">
        <v>1</v>
      </c>
      <c r="X168" s="1">
        <v>200329</v>
      </c>
      <c r="Y168" s="1" t="str">
        <f>INDEX([1]物品基础表!$A:$A,MATCH(X168,[1]物品基础表!$B:$B,0))</f>
        <v>羽翼飞升丹</v>
      </c>
      <c r="Z168" s="1">
        <v>2</v>
      </c>
    </row>
    <row r="169" spans="1:26">
      <c r="A169" s="1" t="str">
        <f>INDEX([2]活动总表!$A$8:$A$429,MATCH(B169,[2]活动总表!$B$8:$B$429,0))</f>
        <v>小年每日消费3</v>
      </c>
      <c r="B169" s="1">
        <v>446</v>
      </c>
      <c r="C169" s="1">
        <v>4</v>
      </c>
      <c r="L169" s="1">
        <v>20000</v>
      </c>
      <c r="P169" s="1">
        <v>100</v>
      </c>
      <c r="U169" s="1">
        <v>200001</v>
      </c>
      <c r="V169" s="1" t="str">
        <f>INDEX([1]物品基础表!$A:$A,MATCH(U169,[1]物品基础表!$B:$B,0))</f>
        <v>羽毛</v>
      </c>
      <c r="W169" s="1">
        <v>30</v>
      </c>
      <c r="X169" s="1">
        <v>200329</v>
      </c>
      <c r="Y169" s="1" t="str">
        <f>INDEX([1]物品基础表!$A:$A,MATCH(X169,[1]物品基础表!$B:$B,0))</f>
        <v>羽翼飞升丹</v>
      </c>
      <c r="Z169" s="1">
        <v>3</v>
      </c>
    </row>
    <row r="170" spans="1:26">
      <c r="A170" s="1" t="str">
        <f>INDEX([2]活动总表!$A$8:$A$429,MATCH(B170,[2]活动总表!$B$8:$B$429,0))</f>
        <v>小年每日消费3</v>
      </c>
      <c r="B170" s="1">
        <v>446</v>
      </c>
      <c r="C170" s="1">
        <v>5</v>
      </c>
      <c r="L170" s="1">
        <v>50000</v>
      </c>
      <c r="P170" s="1">
        <v>100</v>
      </c>
      <c r="U170" s="1">
        <v>200001</v>
      </c>
      <c r="V170" s="1" t="str">
        <f>INDEX([1]物品基础表!$A:$A,MATCH(U170,[1]物品基础表!$B:$B,0))</f>
        <v>羽毛</v>
      </c>
      <c r="W170" s="1">
        <v>40</v>
      </c>
      <c r="X170" s="1">
        <v>200329</v>
      </c>
      <c r="Y170" s="1" t="str">
        <f>INDEX([1]物品基础表!$A:$A,MATCH(X170,[1]物品基础表!$B:$B,0))</f>
        <v>羽翼飞升丹</v>
      </c>
      <c r="Z170" s="1">
        <v>4</v>
      </c>
    </row>
    <row r="171" spans="1:26">
      <c r="A171" s="1" t="str">
        <f>INDEX([2]活动总表!$A$8:$A$429,MATCH(B171,[2]活动总表!$B$8:$B$429,0))</f>
        <v>小年每日消费3</v>
      </c>
      <c r="B171" s="1">
        <v>446</v>
      </c>
      <c r="C171" s="1">
        <v>6</v>
      </c>
      <c r="L171" s="1">
        <v>100000</v>
      </c>
      <c r="P171" s="1">
        <v>100</v>
      </c>
      <c r="U171" s="1">
        <v>200001</v>
      </c>
      <c r="V171" s="1" t="str">
        <f>INDEX([1]物品基础表!$A:$A,MATCH(U171,[1]物品基础表!$B:$B,0))</f>
        <v>羽毛</v>
      </c>
      <c r="W171" s="1">
        <v>60</v>
      </c>
      <c r="X171" s="1">
        <v>200329</v>
      </c>
      <c r="Y171" s="1" t="str">
        <f>INDEX([1]物品基础表!$A:$A,MATCH(X171,[1]物品基础表!$B:$B,0))</f>
        <v>羽翼飞升丹</v>
      </c>
      <c r="Z171" s="1">
        <v>5</v>
      </c>
    </row>
    <row r="172" spans="1:26">
      <c r="A172" s="1" t="str">
        <f>INDEX([2]活动总表!$A$8:$A$429,MATCH(B172,[2]活动总表!$B$8:$B$429,0))</f>
        <v>小年每日消费3</v>
      </c>
      <c r="B172" s="1">
        <v>446</v>
      </c>
      <c r="C172" s="1">
        <v>7</v>
      </c>
      <c r="L172" s="1">
        <v>200000</v>
      </c>
      <c r="P172" s="1">
        <v>100</v>
      </c>
      <c r="U172" s="1">
        <v>200317</v>
      </c>
      <c r="V172" s="1" t="str">
        <f>INDEX([1]物品基础表!$A:$A,MATCH(U172,[1]物品基础表!$B:$B,0))</f>
        <v>4阶神羽宝箱</v>
      </c>
      <c r="W172" s="1">
        <v>1</v>
      </c>
      <c r="X172" s="1">
        <v>200329</v>
      </c>
      <c r="Y172" s="1" t="str">
        <f>INDEX([1]物品基础表!$A:$A,MATCH(X172,[1]物品基础表!$B:$B,0))</f>
        <v>羽翼飞升丹</v>
      </c>
      <c r="Z172" s="1">
        <v>6</v>
      </c>
    </row>
    <row r="173" spans="1:26">
      <c r="A173" s="1" t="str">
        <f>INDEX([2]活动总表!$A$8:$A$429,MATCH(B173,[2]活动总表!$B$8:$B$429,0))</f>
        <v>小年每日消费1</v>
      </c>
      <c r="B173" s="1">
        <v>452</v>
      </c>
      <c r="C173" s="1">
        <v>1</v>
      </c>
      <c r="L173" s="1">
        <v>3000</v>
      </c>
      <c r="P173" s="1">
        <v>100</v>
      </c>
      <c r="U173" s="1">
        <v>200001</v>
      </c>
      <c r="V173" s="1" t="str">
        <f>INDEX([1]物品基础表!$A:$A,MATCH(U173,[1]物品基础表!$B:$B,0))</f>
        <v>羽毛</v>
      </c>
      <c r="W173" s="1">
        <v>10</v>
      </c>
    </row>
    <row r="174" spans="1:26">
      <c r="A174" s="1" t="str">
        <f>INDEX([2]活动总表!$A$8:$A$429,MATCH(B174,[2]活动总表!$B$8:$B$429,0))</f>
        <v>小年每日消费1</v>
      </c>
      <c r="B174" s="1">
        <v>452</v>
      </c>
      <c r="C174" s="1">
        <v>2</v>
      </c>
      <c r="L174" s="1">
        <v>6000</v>
      </c>
      <c r="P174" s="1">
        <v>100</v>
      </c>
      <c r="U174" s="1">
        <v>200001</v>
      </c>
      <c r="V174" s="1" t="str">
        <f>INDEX([1]物品基础表!$A:$A,MATCH(U174,[1]物品基础表!$B:$B,0))</f>
        <v>羽毛</v>
      </c>
      <c r="W174" s="1">
        <v>20</v>
      </c>
    </row>
    <row r="175" spans="1:26">
      <c r="A175" s="1" t="str">
        <f>INDEX([2]活动总表!$A$8:$A$429,MATCH(B175,[2]活动总表!$B$8:$B$429,0))</f>
        <v>小年每日消费1</v>
      </c>
      <c r="B175" s="1">
        <v>452</v>
      </c>
      <c r="C175" s="1">
        <v>3</v>
      </c>
      <c r="L175" s="1">
        <v>10000</v>
      </c>
      <c r="P175" s="1">
        <v>100</v>
      </c>
      <c r="U175" s="1">
        <v>200315</v>
      </c>
      <c r="V175" s="1" t="str">
        <f>INDEX([1]物品基础表!$A:$A,MATCH(U175,[1]物品基础表!$B:$B,0))</f>
        <v>2阶神羽宝箱</v>
      </c>
      <c r="W175" s="1">
        <v>1</v>
      </c>
      <c r="X175" s="1">
        <v>200329</v>
      </c>
      <c r="Y175" s="1" t="str">
        <f>INDEX([1]物品基础表!$A:$A,MATCH(X175,[1]物品基础表!$B:$B,0))</f>
        <v>羽翼飞升丹</v>
      </c>
      <c r="Z175" s="1">
        <v>2</v>
      </c>
    </row>
    <row r="176" spans="1:26">
      <c r="A176" s="1" t="str">
        <f>INDEX([2]活动总表!$A$8:$A$429,MATCH(B176,[2]活动总表!$B$8:$B$429,0))</f>
        <v>小年每日消费1</v>
      </c>
      <c r="B176" s="1">
        <v>452</v>
      </c>
      <c r="C176" s="1">
        <v>4</v>
      </c>
      <c r="L176" s="1">
        <v>20000</v>
      </c>
      <c r="P176" s="1">
        <v>100</v>
      </c>
      <c r="U176" s="1">
        <v>200001</v>
      </c>
      <c r="V176" s="1" t="str">
        <f>INDEX([1]物品基础表!$A:$A,MATCH(U176,[1]物品基础表!$B:$B,0))</f>
        <v>羽毛</v>
      </c>
      <c r="W176" s="1">
        <v>30</v>
      </c>
      <c r="X176" s="1">
        <v>200329</v>
      </c>
      <c r="Y176" s="1" t="str">
        <f>INDEX([1]物品基础表!$A:$A,MATCH(X176,[1]物品基础表!$B:$B,0))</f>
        <v>羽翼飞升丹</v>
      </c>
      <c r="Z176" s="1">
        <v>3</v>
      </c>
    </row>
    <row r="177" spans="1:26">
      <c r="A177" s="1" t="str">
        <f>INDEX([2]活动总表!$A$8:$A$429,MATCH(B177,[2]活动总表!$B$8:$B$429,0))</f>
        <v>小年每日消费1</v>
      </c>
      <c r="B177" s="1">
        <v>452</v>
      </c>
      <c r="C177" s="1">
        <v>5</v>
      </c>
      <c r="L177" s="1">
        <v>50000</v>
      </c>
      <c r="P177" s="1">
        <v>100</v>
      </c>
      <c r="U177" s="1">
        <v>200001</v>
      </c>
      <c r="V177" s="1" t="str">
        <f>INDEX([1]物品基础表!$A:$A,MATCH(U177,[1]物品基础表!$B:$B,0))</f>
        <v>羽毛</v>
      </c>
      <c r="W177" s="1">
        <v>40</v>
      </c>
      <c r="X177" s="1">
        <v>200329</v>
      </c>
      <c r="Y177" s="1" t="str">
        <f>INDEX([1]物品基础表!$A:$A,MATCH(X177,[1]物品基础表!$B:$B,0))</f>
        <v>羽翼飞升丹</v>
      </c>
      <c r="Z177" s="1">
        <v>4</v>
      </c>
    </row>
    <row r="178" spans="1:26">
      <c r="A178" s="1" t="str">
        <f>INDEX([2]活动总表!$A$8:$A$429,MATCH(B178,[2]活动总表!$B$8:$B$429,0))</f>
        <v>小年每日消费1</v>
      </c>
      <c r="B178" s="1">
        <v>452</v>
      </c>
      <c r="C178" s="1">
        <v>6</v>
      </c>
      <c r="L178" s="1">
        <v>100000</v>
      </c>
      <c r="P178" s="1">
        <v>100</v>
      </c>
      <c r="U178" s="1">
        <v>200001</v>
      </c>
      <c r="V178" s="1" t="str">
        <f>INDEX([1]物品基础表!$A:$A,MATCH(U178,[1]物品基础表!$B:$B,0))</f>
        <v>羽毛</v>
      </c>
      <c r="W178" s="1">
        <v>60</v>
      </c>
      <c r="X178" s="1">
        <v>200329</v>
      </c>
      <c r="Y178" s="1" t="str">
        <f>INDEX([1]物品基础表!$A:$A,MATCH(X178,[1]物品基础表!$B:$B,0))</f>
        <v>羽翼飞升丹</v>
      </c>
      <c r="Z178" s="1">
        <v>5</v>
      </c>
    </row>
    <row r="179" spans="1:26">
      <c r="A179" s="1" t="str">
        <f>INDEX([2]活动总表!$A$8:$A$429,MATCH(B179,[2]活动总表!$B$8:$B$429,0))</f>
        <v>小年每日消费1</v>
      </c>
      <c r="B179" s="1">
        <v>452</v>
      </c>
      <c r="C179" s="1">
        <v>7</v>
      </c>
      <c r="L179" s="1">
        <v>200000</v>
      </c>
      <c r="P179" s="1">
        <v>100</v>
      </c>
      <c r="U179" s="1">
        <v>200317</v>
      </c>
      <c r="V179" s="1" t="str">
        <f>INDEX([1]物品基础表!$A:$A,MATCH(U179,[1]物品基础表!$B:$B,0))</f>
        <v>4阶神羽宝箱</v>
      </c>
      <c r="W179" s="1">
        <v>1</v>
      </c>
      <c r="X179" s="1">
        <v>200329</v>
      </c>
      <c r="Y179" s="1" t="str">
        <f>INDEX([1]物品基础表!$A:$A,MATCH(X179,[1]物品基础表!$B:$B,0))</f>
        <v>羽翼飞升丹</v>
      </c>
      <c r="Z179" s="1">
        <v>6</v>
      </c>
    </row>
    <row r="180" spans="1:26">
      <c r="A180" s="1" t="str">
        <f>INDEX([2]活动总表!$A$8:$A$429,MATCH(B180,[2]活动总表!$B$8:$B$429,0))</f>
        <v>小年每日消费2</v>
      </c>
      <c r="B180" s="1">
        <v>453</v>
      </c>
      <c r="C180" s="1">
        <v>1</v>
      </c>
      <c r="L180" s="1">
        <v>3000</v>
      </c>
      <c r="P180" s="1">
        <v>100</v>
      </c>
      <c r="U180" s="1">
        <v>200001</v>
      </c>
      <c r="V180" s="1" t="str">
        <f>INDEX([1]物品基础表!$A:$A,MATCH(U180,[1]物品基础表!$B:$B,0))</f>
        <v>羽毛</v>
      </c>
      <c r="W180" s="1">
        <v>10</v>
      </c>
    </row>
    <row r="181" spans="1:26">
      <c r="A181" s="1" t="str">
        <f>INDEX([2]活动总表!$A$8:$A$429,MATCH(B181,[2]活动总表!$B$8:$B$429,0))</f>
        <v>小年每日消费2</v>
      </c>
      <c r="B181" s="1">
        <v>453</v>
      </c>
      <c r="C181" s="1">
        <v>2</v>
      </c>
      <c r="L181" s="1">
        <v>6000</v>
      </c>
      <c r="P181" s="1">
        <v>100</v>
      </c>
      <c r="U181" s="1">
        <v>200001</v>
      </c>
      <c r="V181" s="1" t="str">
        <f>INDEX([1]物品基础表!$A:$A,MATCH(U181,[1]物品基础表!$B:$B,0))</f>
        <v>羽毛</v>
      </c>
      <c r="W181" s="1">
        <v>20</v>
      </c>
    </row>
    <row r="182" spans="1:26">
      <c r="A182" s="1" t="str">
        <f>INDEX([2]活动总表!$A$8:$A$429,MATCH(B182,[2]活动总表!$B$8:$B$429,0))</f>
        <v>小年每日消费2</v>
      </c>
      <c r="B182" s="1">
        <v>453</v>
      </c>
      <c r="C182" s="1">
        <v>3</v>
      </c>
      <c r="L182" s="1">
        <v>10000</v>
      </c>
      <c r="P182" s="1">
        <v>100</v>
      </c>
      <c r="U182" s="1">
        <v>200315</v>
      </c>
      <c r="V182" s="1" t="str">
        <f>INDEX([1]物品基础表!$A:$A,MATCH(U182,[1]物品基础表!$B:$B,0))</f>
        <v>2阶神羽宝箱</v>
      </c>
      <c r="W182" s="1">
        <v>1</v>
      </c>
      <c r="X182" s="1">
        <v>200329</v>
      </c>
      <c r="Y182" s="1" t="str">
        <f>INDEX([1]物品基础表!$A:$A,MATCH(X182,[1]物品基础表!$B:$B,0))</f>
        <v>羽翼飞升丹</v>
      </c>
      <c r="Z182" s="1">
        <v>2</v>
      </c>
    </row>
    <row r="183" spans="1:26">
      <c r="A183" s="1" t="str">
        <f>INDEX([2]活动总表!$A$8:$A$429,MATCH(B183,[2]活动总表!$B$8:$B$429,0))</f>
        <v>小年每日消费2</v>
      </c>
      <c r="B183" s="1">
        <v>453</v>
      </c>
      <c r="C183" s="1">
        <v>4</v>
      </c>
      <c r="L183" s="1">
        <v>20000</v>
      </c>
      <c r="P183" s="1">
        <v>100</v>
      </c>
      <c r="U183" s="1">
        <v>200001</v>
      </c>
      <c r="V183" s="1" t="str">
        <f>INDEX([1]物品基础表!$A:$A,MATCH(U183,[1]物品基础表!$B:$B,0))</f>
        <v>羽毛</v>
      </c>
      <c r="W183" s="1">
        <v>30</v>
      </c>
      <c r="X183" s="1">
        <v>200329</v>
      </c>
      <c r="Y183" s="1" t="str">
        <f>INDEX([1]物品基础表!$A:$A,MATCH(X183,[1]物品基础表!$B:$B,0))</f>
        <v>羽翼飞升丹</v>
      </c>
      <c r="Z183" s="1">
        <v>3</v>
      </c>
    </row>
    <row r="184" spans="1:26">
      <c r="A184" s="1" t="str">
        <f>INDEX([2]活动总表!$A$8:$A$429,MATCH(B184,[2]活动总表!$B$8:$B$429,0))</f>
        <v>小年每日消费2</v>
      </c>
      <c r="B184" s="1">
        <v>453</v>
      </c>
      <c r="C184" s="1">
        <v>5</v>
      </c>
      <c r="L184" s="1">
        <v>50000</v>
      </c>
      <c r="P184" s="1">
        <v>100</v>
      </c>
      <c r="U184" s="1">
        <v>200001</v>
      </c>
      <c r="V184" s="1" t="str">
        <f>INDEX([1]物品基础表!$A:$A,MATCH(U184,[1]物品基础表!$B:$B,0))</f>
        <v>羽毛</v>
      </c>
      <c r="W184" s="1">
        <v>40</v>
      </c>
      <c r="X184" s="1">
        <v>200329</v>
      </c>
      <c r="Y184" s="1" t="str">
        <f>INDEX([1]物品基础表!$A:$A,MATCH(X184,[1]物品基础表!$B:$B,0))</f>
        <v>羽翼飞升丹</v>
      </c>
      <c r="Z184" s="1">
        <v>4</v>
      </c>
    </row>
    <row r="185" spans="1:26">
      <c r="A185" s="1" t="str">
        <f>INDEX([2]活动总表!$A$8:$A$429,MATCH(B185,[2]活动总表!$B$8:$B$429,0))</f>
        <v>小年每日消费2</v>
      </c>
      <c r="B185" s="1">
        <v>453</v>
      </c>
      <c r="C185" s="1">
        <v>6</v>
      </c>
      <c r="L185" s="1">
        <v>100000</v>
      </c>
      <c r="P185" s="1">
        <v>100</v>
      </c>
      <c r="U185" s="1">
        <v>200001</v>
      </c>
      <c r="V185" s="1" t="str">
        <f>INDEX([1]物品基础表!$A:$A,MATCH(U185,[1]物品基础表!$B:$B,0))</f>
        <v>羽毛</v>
      </c>
      <c r="W185" s="1">
        <v>60</v>
      </c>
      <c r="X185" s="1">
        <v>200329</v>
      </c>
      <c r="Y185" s="1" t="str">
        <f>INDEX([1]物品基础表!$A:$A,MATCH(X185,[1]物品基础表!$B:$B,0))</f>
        <v>羽翼飞升丹</v>
      </c>
      <c r="Z185" s="1">
        <v>5</v>
      </c>
    </row>
    <row r="186" spans="1:26">
      <c r="A186" s="1" t="str">
        <f>INDEX([2]活动总表!$A$8:$A$429,MATCH(B186,[2]活动总表!$B$8:$B$429,0))</f>
        <v>小年每日消费2</v>
      </c>
      <c r="B186" s="1">
        <v>453</v>
      </c>
      <c r="C186" s="1">
        <v>7</v>
      </c>
      <c r="L186" s="1">
        <v>200000</v>
      </c>
      <c r="P186" s="1">
        <v>100</v>
      </c>
      <c r="U186" s="1">
        <v>200317</v>
      </c>
      <c r="V186" s="1" t="str">
        <f>INDEX([1]物品基础表!$A:$A,MATCH(U186,[1]物品基础表!$B:$B,0))</f>
        <v>4阶神羽宝箱</v>
      </c>
      <c r="W186" s="1">
        <v>1</v>
      </c>
      <c r="X186" s="1">
        <v>200329</v>
      </c>
      <c r="Y186" s="1" t="str">
        <f>INDEX([1]物品基础表!$A:$A,MATCH(X186,[1]物品基础表!$B:$B,0))</f>
        <v>羽翼飞升丹</v>
      </c>
      <c r="Z186" s="1">
        <v>6</v>
      </c>
    </row>
    <row r="187" spans="1:26">
      <c r="A187" s="1" t="str">
        <f>INDEX([2]活动总表!$A$8:$A$429,MATCH(B187,[2]活动总表!$B$8:$B$429,0))</f>
        <v>小年每日消费3</v>
      </c>
      <c r="B187" s="1">
        <v>454</v>
      </c>
      <c r="C187" s="1">
        <v>1</v>
      </c>
      <c r="L187" s="1">
        <v>3000</v>
      </c>
      <c r="P187" s="1">
        <v>100</v>
      </c>
      <c r="U187" s="1">
        <v>200001</v>
      </c>
      <c r="V187" s="1" t="str">
        <f>INDEX([1]物品基础表!$A:$A,MATCH(U187,[1]物品基础表!$B:$B,0))</f>
        <v>羽毛</v>
      </c>
      <c r="W187" s="1">
        <v>10</v>
      </c>
    </row>
    <row r="188" spans="1:26">
      <c r="A188" s="1" t="str">
        <f>INDEX([2]活动总表!$A$8:$A$429,MATCH(B188,[2]活动总表!$B$8:$B$429,0))</f>
        <v>小年每日消费3</v>
      </c>
      <c r="B188" s="1">
        <v>454</v>
      </c>
      <c r="C188" s="1">
        <v>2</v>
      </c>
      <c r="L188" s="1">
        <v>6000</v>
      </c>
      <c r="P188" s="1">
        <v>100</v>
      </c>
      <c r="U188" s="1">
        <v>200001</v>
      </c>
      <c r="V188" s="1" t="str">
        <f>INDEX([1]物品基础表!$A:$A,MATCH(U188,[1]物品基础表!$B:$B,0))</f>
        <v>羽毛</v>
      </c>
      <c r="W188" s="1">
        <v>20</v>
      </c>
    </row>
    <row r="189" spans="1:26">
      <c r="A189" s="1" t="str">
        <f>INDEX([2]活动总表!$A$8:$A$429,MATCH(B189,[2]活动总表!$B$8:$B$429,0))</f>
        <v>小年每日消费3</v>
      </c>
      <c r="B189" s="1">
        <v>454</v>
      </c>
      <c r="C189" s="1">
        <v>3</v>
      </c>
      <c r="L189" s="1">
        <v>10000</v>
      </c>
      <c r="P189" s="1">
        <v>100</v>
      </c>
      <c r="U189" s="1">
        <v>200315</v>
      </c>
      <c r="V189" s="1" t="str">
        <f>INDEX([1]物品基础表!$A:$A,MATCH(U189,[1]物品基础表!$B:$B,0))</f>
        <v>2阶神羽宝箱</v>
      </c>
      <c r="W189" s="1">
        <v>1</v>
      </c>
      <c r="X189" s="1">
        <v>200329</v>
      </c>
      <c r="Y189" s="1" t="str">
        <f>INDEX([1]物品基础表!$A:$A,MATCH(X189,[1]物品基础表!$B:$B,0))</f>
        <v>羽翼飞升丹</v>
      </c>
      <c r="Z189" s="1">
        <v>2</v>
      </c>
    </row>
    <row r="190" spans="1:26">
      <c r="A190" s="1" t="str">
        <f>INDEX([2]活动总表!$A$8:$A$429,MATCH(B190,[2]活动总表!$B$8:$B$429,0))</f>
        <v>小年每日消费3</v>
      </c>
      <c r="B190" s="1">
        <v>454</v>
      </c>
      <c r="C190" s="1">
        <v>4</v>
      </c>
      <c r="L190" s="1">
        <v>20000</v>
      </c>
      <c r="P190" s="1">
        <v>100</v>
      </c>
      <c r="U190" s="1">
        <v>200001</v>
      </c>
      <c r="V190" s="1" t="str">
        <f>INDEX([1]物品基础表!$A:$A,MATCH(U190,[1]物品基础表!$B:$B,0))</f>
        <v>羽毛</v>
      </c>
      <c r="W190" s="1">
        <v>30</v>
      </c>
      <c r="X190" s="1">
        <v>200329</v>
      </c>
      <c r="Y190" s="1" t="str">
        <f>INDEX([1]物品基础表!$A:$A,MATCH(X190,[1]物品基础表!$B:$B,0))</f>
        <v>羽翼飞升丹</v>
      </c>
      <c r="Z190" s="1">
        <v>3</v>
      </c>
    </row>
    <row r="191" spans="1:26">
      <c r="A191" s="1" t="str">
        <f>INDEX([2]活动总表!$A$8:$A$429,MATCH(B191,[2]活动总表!$B$8:$B$429,0))</f>
        <v>小年每日消费3</v>
      </c>
      <c r="B191" s="1">
        <v>454</v>
      </c>
      <c r="C191" s="1">
        <v>5</v>
      </c>
      <c r="L191" s="1">
        <v>50000</v>
      </c>
      <c r="P191" s="1">
        <v>100</v>
      </c>
      <c r="U191" s="1">
        <v>200001</v>
      </c>
      <c r="V191" s="1" t="str">
        <f>INDEX([1]物品基础表!$A:$A,MATCH(U191,[1]物品基础表!$B:$B,0))</f>
        <v>羽毛</v>
      </c>
      <c r="W191" s="1">
        <v>40</v>
      </c>
      <c r="X191" s="1">
        <v>200329</v>
      </c>
      <c r="Y191" s="1" t="str">
        <f>INDEX([1]物品基础表!$A:$A,MATCH(X191,[1]物品基础表!$B:$B,0))</f>
        <v>羽翼飞升丹</v>
      </c>
      <c r="Z191" s="1">
        <v>4</v>
      </c>
    </row>
    <row r="192" spans="1:26">
      <c r="A192" s="1" t="str">
        <f>INDEX([2]活动总表!$A$8:$A$429,MATCH(B192,[2]活动总表!$B$8:$B$429,0))</f>
        <v>小年每日消费3</v>
      </c>
      <c r="B192" s="1">
        <v>454</v>
      </c>
      <c r="C192" s="1">
        <v>6</v>
      </c>
      <c r="L192" s="1">
        <v>100000</v>
      </c>
      <c r="P192" s="1">
        <v>100</v>
      </c>
      <c r="U192" s="1">
        <v>200001</v>
      </c>
      <c r="V192" s="1" t="str">
        <f>INDEX([1]物品基础表!$A:$A,MATCH(U192,[1]物品基础表!$B:$B,0))</f>
        <v>羽毛</v>
      </c>
      <c r="W192" s="1">
        <v>60</v>
      </c>
      <c r="X192" s="1">
        <v>200329</v>
      </c>
      <c r="Y192" s="1" t="str">
        <f>INDEX([1]物品基础表!$A:$A,MATCH(X192,[1]物品基础表!$B:$B,0))</f>
        <v>羽翼飞升丹</v>
      </c>
      <c r="Z192" s="1">
        <v>5</v>
      </c>
    </row>
    <row r="193" spans="1:26">
      <c r="A193" s="1" t="str">
        <f>INDEX([2]活动总表!$A$8:$A$429,MATCH(B193,[2]活动总表!$B$8:$B$429,0))</f>
        <v>小年每日消费3</v>
      </c>
      <c r="B193" s="1">
        <v>454</v>
      </c>
      <c r="C193" s="1">
        <v>7</v>
      </c>
      <c r="L193" s="1">
        <v>200000</v>
      </c>
      <c r="P193" s="1">
        <v>100</v>
      </c>
      <c r="U193" s="1">
        <v>200317</v>
      </c>
      <c r="V193" s="1" t="str">
        <f>INDEX([1]物品基础表!$A:$A,MATCH(U193,[1]物品基础表!$B:$B,0))</f>
        <v>4阶神羽宝箱</v>
      </c>
      <c r="W193" s="1">
        <v>1</v>
      </c>
      <c r="X193" s="1">
        <v>200329</v>
      </c>
      <c r="Y193" s="1" t="str">
        <f>INDEX([1]物品基础表!$A:$A,MATCH(X193,[1]物品基础表!$B:$B,0))</f>
        <v>羽翼飞升丹</v>
      </c>
      <c r="Z193" s="1">
        <v>6</v>
      </c>
    </row>
    <row r="194" spans="1:26">
      <c r="A194" s="1" t="str">
        <f>INDEX([2]活动总表!$A$8:$A$429,MATCH(B194,[2]活动总表!$B$8:$B$429,0))</f>
        <v>谁与争锋-跨服消费榜嵌套的达标</v>
      </c>
      <c r="B194" s="1">
        <v>500</v>
      </c>
      <c r="C194" s="1">
        <v>1</v>
      </c>
      <c r="L194" s="1">
        <v>10000</v>
      </c>
      <c r="P194" s="1">
        <v>100</v>
      </c>
      <c r="U194" s="1">
        <v>200974</v>
      </c>
      <c r="V194" s="1" t="str">
        <f>INDEX([1]物品基础表!$A:$A,MATCH(U194,[1]物品基础表!$B:$B,0))</f>
        <v>极品战纹任选宝箱</v>
      </c>
      <c r="W194" s="1">
        <v>1</v>
      </c>
    </row>
    <row r="195" spans="1:26">
      <c r="A195" s="1" t="str">
        <f>INDEX([2]活动总表!$A$8:$A$429,MATCH(B195,[2]活动总表!$B$8:$B$429,0))</f>
        <v>谁与争锋-跨服消费榜嵌套的达标</v>
      </c>
      <c r="B195" s="1">
        <v>500</v>
      </c>
      <c r="C195" s="1">
        <v>2</v>
      </c>
      <c r="L195" s="1">
        <v>20000</v>
      </c>
      <c r="P195" s="1">
        <v>100</v>
      </c>
      <c r="U195" s="1">
        <v>13</v>
      </c>
      <c r="V195" s="1" t="s">
        <v>694</v>
      </c>
      <c r="W195" s="1">
        <v>3000000</v>
      </c>
    </row>
    <row r="196" spans="1:26">
      <c r="A196" s="1" t="str">
        <f>INDEX([2]活动总表!$A$8:$A$429,MATCH(B196,[2]活动总表!$B$8:$B$429,0))</f>
        <v>谁与争锋-跨服消费榜嵌套的达标</v>
      </c>
      <c r="B196" s="1">
        <v>500</v>
      </c>
      <c r="C196" s="1">
        <v>3</v>
      </c>
      <c r="L196" s="1">
        <v>30000</v>
      </c>
      <c r="P196" s="1">
        <v>100</v>
      </c>
      <c r="U196" s="1">
        <v>13</v>
      </c>
      <c r="V196" s="1" t="s">
        <v>694</v>
      </c>
      <c r="W196" s="1">
        <v>3000000</v>
      </c>
    </row>
    <row r="197" spans="1:26">
      <c r="A197" s="1" t="str">
        <f>INDEX([2]活动总表!$A$8:$A$429,MATCH(B197,[2]活动总表!$B$8:$B$429,0))</f>
        <v>谁与争锋-跨服消费榜嵌套的达标</v>
      </c>
      <c r="B197" s="1">
        <v>500</v>
      </c>
      <c r="C197" s="1">
        <v>4</v>
      </c>
      <c r="L197" s="1">
        <v>40000</v>
      </c>
      <c r="P197" s="1">
        <v>100</v>
      </c>
      <c r="U197" s="1">
        <v>13</v>
      </c>
      <c r="V197" s="1" t="s">
        <v>694</v>
      </c>
      <c r="W197" s="1">
        <v>3000000</v>
      </c>
    </row>
    <row r="198" spans="1:26">
      <c r="A198" s="1" t="str">
        <f>INDEX([2]活动总表!$A$8:$A$429,MATCH(B198,[2]活动总表!$B$8:$B$429,0))</f>
        <v>谁与争锋-跨服消费榜嵌套的达标</v>
      </c>
      <c r="B198" s="1">
        <v>500</v>
      </c>
      <c r="C198" s="1">
        <v>5</v>
      </c>
      <c r="L198" s="1">
        <v>50000</v>
      </c>
      <c r="P198" s="1">
        <v>100</v>
      </c>
      <c r="U198" s="1">
        <v>202003</v>
      </c>
      <c r="V198" s="1" t="str">
        <f>INDEX([1]物品基础表!$A:$A,MATCH(U198,[1]物品基础表!$B:$B,0))</f>
        <v>烈焰戒指技能3书</v>
      </c>
      <c r="W198" s="1">
        <v>1</v>
      </c>
    </row>
    <row r="199" spans="1:26">
      <c r="A199" s="1" t="str">
        <f>INDEX([2]活动总表!$A$8:$A$429,MATCH(B199,[2]活动总表!$B$8:$B$429,0))</f>
        <v>谁与争锋-跨服消费榜嵌套的达标</v>
      </c>
      <c r="B199" s="1">
        <v>500</v>
      </c>
      <c r="C199" s="1">
        <v>6</v>
      </c>
      <c r="L199" s="1">
        <v>70000</v>
      </c>
      <c r="P199" s="1">
        <v>100</v>
      </c>
      <c r="U199" s="1">
        <v>202003</v>
      </c>
      <c r="V199" s="1" t="str">
        <f>INDEX([1]物品基础表!$A:$A,MATCH(U199,[1]物品基础表!$B:$B,0))</f>
        <v>烈焰戒指技能3书</v>
      </c>
      <c r="W199" s="1">
        <v>1</v>
      </c>
    </row>
    <row r="200" spans="1:26">
      <c r="A200" s="1" t="str">
        <f>INDEX([2]活动总表!$A$8:$A$429,MATCH(B200,[2]活动总表!$B$8:$B$429,0))</f>
        <v>谁与争锋-跨服消费榜嵌套的达标</v>
      </c>
      <c r="B200" s="1">
        <v>500</v>
      </c>
      <c r="C200" s="1">
        <v>7</v>
      </c>
      <c r="L200" s="1">
        <v>100000</v>
      </c>
      <c r="P200" s="1">
        <v>100</v>
      </c>
      <c r="U200" s="1">
        <v>202003</v>
      </c>
      <c r="V200" s="1" t="str">
        <f>INDEX([1]物品基础表!$A:$A,MATCH(U200,[1]物品基础表!$B:$B,0))</f>
        <v>烈焰戒指技能3书</v>
      </c>
      <c r="W200" s="1">
        <v>1</v>
      </c>
    </row>
    <row r="201" spans="1:26">
      <c r="A201" s="1" t="str">
        <f>INDEX([2]活动总表!$A$8:$A$429,MATCH(B201,[2]活动总表!$B$8:$B$429,0))</f>
        <v>2.31更新福利-暗之BOSS</v>
      </c>
      <c r="B201" s="1">
        <v>515</v>
      </c>
      <c r="C201" s="1">
        <v>1</v>
      </c>
      <c r="U201" s="1">
        <v>200970</v>
      </c>
      <c r="V201" s="1" t="str">
        <f>INDEX([1]物品基础表!$A:$A,MATCH(U201,[1]物品基础表!$B:$B,0))</f>
        <v>白色兽神装备任选宝箱</v>
      </c>
      <c r="W201" s="1">
        <v>5</v>
      </c>
      <c r="X201" s="1">
        <v>1</v>
      </c>
      <c r="Y201" s="1" t="s">
        <v>695</v>
      </c>
      <c r="Z201" s="1">
        <v>1000000</v>
      </c>
    </row>
    <row r="202" spans="1:26">
      <c r="A202" s="1" t="str">
        <f>INDEX([2]活动总表!$A$8:$A$429,MATCH(B202,[2]活动总表!$B$8:$B$429,0))</f>
        <v>谁与争锋-跨服消费榜嵌套的达标</v>
      </c>
      <c r="B202" s="1">
        <v>508</v>
      </c>
      <c r="C202" s="1">
        <v>1</v>
      </c>
      <c r="L202" s="1">
        <v>10000</v>
      </c>
      <c r="P202" s="1">
        <v>100</v>
      </c>
      <c r="U202" s="1">
        <v>200974</v>
      </c>
      <c r="V202" s="1" t="str">
        <f>INDEX([1]物品基础表!$A:$A,MATCH(U202,[1]物品基础表!$B:$B,0))</f>
        <v>极品战纹任选宝箱</v>
      </c>
      <c r="W202" s="1">
        <v>1</v>
      </c>
    </row>
    <row r="203" spans="1:26">
      <c r="A203" s="1" t="str">
        <f>INDEX([2]活动总表!$A$8:$A$429,MATCH(B203,[2]活动总表!$B$8:$B$429,0))</f>
        <v>谁与争锋-跨服消费榜嵌套的达标</v>
      </c>
      <c r="B203" s="1">
        <v>508</v>
      </c>
      <c r="C203" s="1">
        <v>2</v>
      </c>
      <c r="L203" s="1">
        <v>20000</v>
      </c>
      <c r="P203" s="1">
        <v>100</v>
      </c>
      <c r="U203" s="1">
        <v>13</v>
      </c>
      <c r="V203" s="1" t="s">
        <v>694</v>
      </c>
      <c r="W203" s="1">
        <v>3000000</v>
      </c>
    </row>
    <row r="204" spans="1:26">
      <c r="A204" s="1" t="str">
        <f>INDEX([2]活动总表!$A$8:$A$429,MATCH(B204,[2]活动总表!$B$8:$B$429,0))</f>
        <v>谁与争锋-跨服消费榜嵌套的达标</v>
      </c>
      <c r="B204" s="1">
        <v>508</v>
      </c>
      <c r="C204" s="1">
        <v>3</v>
      </c>
      <c r="L204" s="1">
        <v>30000</v>
      </c>
      <c r="P204" s="1">
        <v>100</v>
      </c>
      <c r="U204" s="1">
        <v>13</v>
      </c>
      <c r="V204" s="1" t="s">
        <v>694</v>
      </c>
      <c r="W204" s="1">
        <v>3000000</v>
      </c>
    </row>
    <row r="205" spans="1:26">
      <c r="A205" s="1" t="str">
        <f>INDEX([2]活动总表!$A$8:$A$429,MATCH(B205,[2]活动总表!$B$8:$B$429,0))</f>
        <v>谁与争锋-跨服消费榜嵌套的达标</v>
      </c>
      <c r="B205" s="1">
        <v>508</v>
      </c>
      <c r="C205" s="1">
        <v>4</v>
      </c>
      <c r="L205" s="1">
        <v>40000</v>
      </c>
      <c r="P205" s="1">
        <v>100</v>
      </c>
      <c r="U205" s="1">
        <v>13</v>
      </c>
      <c r="V205" s="1" t="s">
        <v>694</v>
      </c>
      <c r="W205" s="1">
        <v>3000000</v>
      </c>
    </row>
    <row r="206" spans="1:26">
      <c r="A206" s="1" t="str">
        <f>INDEX([2]活动总表!$A$8:$A$429,MATCH(B206,[2]活动总表!$B$8:$B$429,0))</f>
        <v>谁与争锋-跨服消费榜嵌套的达标</v>
      </c>
      <c r="B206" s="1">
        <v>508</v>
      </c>
      <c r="C206" s="1">
        <v>5</v>
      </c>
      <c r="L206" s="1">
        <v>50000</v>
      </c>
      <c r="P206" s="1">
        <v>100</v>
      </c>
      <c r="U206" s="1">
        <v>202003</v>
      </c>
      <c r="V206" s="1" t="str">
        <f>INDEX([1]物品基础表!$A:$A,MATCH(U206,[1]物品基础表!$B:$B,0))</f>
        <v>烈焰戒指技能3书</v>
      </c>
      <c r="W206" s="1">
        <v>1</v>
      </c>
    </row>
    <row r="207" spans="1:26">
      <c r="A207" s="1" t="str">
        <f>INDEX([2]活动总表!$A$8:$A$429,MATCH(B207,[2]活动总表!$B$8:$B$429,0))</f>
        <v>谁与争锋-跨服消费榜嵌套的达标</v>
      </c>
      <c r="B207" s="1">
        <v>508</v>
      </c>
      <c r="C207" s="1">
        <v>6</v>
      </c>
      <c r="L207" s="1">
        <v>70000</v>
      </c>
      <c r="P207" s="1">
        <v>100</v>
      </c>
      <c r="U207" s="1">
        <v>202003</v>
      </c>
      <c r="V207" s="1" t="str">
        <f>INDEX([1]物品基础表!$A:$A,MATCH(U207,[1]物品基础表!$B:$B,0))</f>
        <v>烈焰戒指技能3书</v>
      </c>
      <c r="W207" s="1">
        <v>1</v>
      </c>
    </row>
    <row r="208" spans="1:26">
      <c r="A208" s="1" t="str">
        <f>INDEX([2]活动总表!$A$8:$A$429,MATCH(B208,[2]活动总表!$B$8:$B$429,0))</f>
        <v>谁与争锋-跨服消费榜嵌套的达标</v>
      </c>
      <c r="B208" s="1">
        <v>508</v>
      </c>
      <c r="C208" s="1">
        <v>7</v>
      </c>
      <c r="L208" s="1">
        <v>100000</v>
      </c>
      <c r="P208" s="1">
        <v>100</v>
      </c>
      <c r="U208" s="1">
        <v>202003</v>
      </c>
      <c r="V208" s="1" t="str">
        <f>INDEX([1]物品基础表!$A:$A,MATCH(U208,[1]物品基础表!$B:$B,0))</f>
        <v>烈焰戒指技能3书</v>
      </c>
      <c r="W208" s="1">
        <v>1</v>
      </c>
    </row>
    <row r="209" spans="1:23">
      <c r="A209" s="1" t="str">
        <f>INDEX([2]活动总表!$A$8:$A$429,MATCH(B209,[2]活动总表!$B$8:$B$429,0))</f>
        <v>谁与争锋-跨服消费榜嵌套的达标</v>
      </c>
      <c r="B209" s="1">
        <v>800</v>
      </c>
      <c r="C209" s="1">
        <v>1</v>
      </c>
      <c r="L209" s="1">
        <v>10000</v>
      </c>
      <c r="P209" s="1">
        <v>100</v>
      </c>
      <c r="U209" s="1">
        <v>200974</v>
      </c>
      <c r="V209" s="1" t="str">
        <f>INDEX([1]物品基础表!$A:$A,MATCH(U209,[1]物品基础表!$B:$B,0))</f>
        <v>极品战纹任选宝箱</v>
      </c>
      <c r="W209" s="1">
        <v>1</v>
      </c>
    </row>
    <row r="210" spans="1:23">
      <c r="A210" s="1" t="str">
        <f>INDEX([2]活动总表!$A$8:$A$429,MATCH(B210,[2]活动总表!$B$8:$B$429,0))</f>
        <v>谁与争锋-跨服消费榜嵌套的达标</v>
      </c>
      <c r="B210" s="1">
        <v>800</v>
      </c>
      <c r="C210" s="1">
        <v>2</v>
      </c>
      <c r="L210" s="1">
        <v>20000</v>
      </c>
      <c r="P210" s="1">
        <v>100</v>
      </c>
      <c r="U210" s="1">
        <v>200301</v>
      </c>
      <c r="V210" s="1" t="str">
        <f>INDEX([1]物品基础表!$A:$A,MATCH(U210,[1]物品基础表!$B:$B,0))</f>
        <v>传世宝钻</v>
      </c>
      <c r="W210" s="1">
        <v>100</v>
      </c>
    </row>
    <row r="211" spans="1:23">
      <c r="A211" s="1" t="str">
        <f>INDEX([2]活动总表!$A$8:$A$429,MATCH(B211,[2]活动总表!$B$8:$B$429,0))</f>
        <v>谁与争锋-跨服消费榜嵌套的达标</v>
      </c>
      <c r="B211" s="1">
        <v>800</v>
      </c>
      <c r="C211" s="1">
        <v>3</v>
      </c>
      <c r="L211" s="1">
        <v>30000</v>
      </c>
      <c r="P211" s="1">
        <v>100</v>
      </c>
      <c r="U211" s="1">
        <v>200301</v>
      </c>
      <c r="V211" s="1" t="str">
        <f>INDEX([1]物品基础表!$A:$A,MATCH(U211,[1]物品基础表!$B:$B,0))</f>
        <v>传世宝钻</v>
      </c>
      <c r="W211" s="1">
        <v>100</v>
      </c>
    </row>
    <row r="212" spans="1:23">
      <c r="A212" s="1" t="str">
        <f>INDEX([2]活动总表!$A$8:$A$429,MATCH(B212,[2]活动总表!$B$8:$B$429,0))</f>
        <v>谁与争锋-跨服消费榜嵌套的达标</v>
      </c>
      <c r="B212" s="1">
        <v>800</v>
      </c>
      <c r="C212" s="1">
        <v>4</v>
      </c>
      <c r="L212" s="1">
        <v>40000</v>
      </c>
      <c r="P212" s="1">
        <v>100</v>
      </c>
      <c r="U212" s="1">
        <v>200301</v>
      </c>
      <c r="V212" s="1" t="str">
        <f>INDEX([1]物品基础表!$A:$A,MATCH(U212,[1]物品基础表!$B:$B,0))</f>
        <v>传世宝钻</v>
      </c>
      <c r="W212" s="1">
        <v>100</v>
      </c>
    </row>
    <row r="213" spans="1:23">
      <c r="A213" s="1" t="str">
        <f>INDEX([2]活动总表!$A$8:$A$429,MATCH(B213,[2]活动总表!$B$8:$B$429,0))</f>
        <v>谁与争锋-跨服消费榜嵌套的达标</v>
      </c>
      <c r="B213" s="1">
        <v>800</v>
      </c>
      <c r="C213" s="1">
        <v>5</v>
      </c>
      <c r="L213" s="1">
        <v>50000</v>
      </c>
      <c r="P213" s="1">
        <v>100</v>
      </c>
      <c r="U213" s="1">
        <v>200301</v>
      </c>
      <c r="V213" s="1" t="str">
        <f>INDEX([1]物品基础表!$A:$A,MATCH(U213,[1]物品基础表!$B:$B,0))</f>
        <v>传世宝钻</v>
      </c>
      <c r="W213" s="1">
        <v>100</v>
      </c>
    </row>
    <row r="214" spans="1:23">
      <c r="A214" s="1" t="str">
        <f>INDEX([2]活动总表!$A$8:$A$429,MATCH(B214,[2]活动总表!$B$8:$B$429,0))</f>
        <v>谁与争锋-跨服消费榜嵌套的达标</v>
      </c>
      <c r="B214" s="1">
        <v>800</v>
      </c>
      <c r="C214" s="1">
        <v>6</v>
      </c>
      <c r="L214" s="1">
        <v>70000</v>
      </c>
      <c r="P214" s="1">
        <v>100</v>
      </c>
      <c r="U214" s="1">
        <v>220011</v>
      </c>
      <c r="V214" s="1" t="str">
        <f>INDEX([1]物品基础表!$A:$A,MATCH(U214,[1]物品基础表!$B:$B,0))</f>
        <v>高级秘籍宝箱</v>
      </c>
      <c r="W214" s="1">
        <v>1</v>
      </c>
    </row>
    <row r="215" spans="1:23">
      <c r="A215" s="1" t="str">
        <f>INDEX([2]活动总表!$A$8:$A$429,MATCH(B215,[2]活动总表!$B$8:$B$429,0))</f>
        <v>谁与争锋-跨服消费榜嵌套的达标</v>
      </c>
      <c r="B215" s="1">
        <v>800</v>
      </c>
      <c r="C215" s="1">
        <v>7</v>
      </c>
      <c r="L215" s="1">
        <v>100000</v>
      </c>
      <c r="P215" s="1">
        <v>100</v>
      </c>
      <c r="U215" s="1">
        <v>220011</v>
      </c>
      <c r="V215" s="1" t="str">
        <f>INDEX([1]物品基础表!$A:$A,MATCH(U215,[1]物品基础表!$B:$B,0))</f>
        <v>高级秘籍宝箱</v>
      </c>
      <c r="W215" s="1">
        <v>1</v>
      </c>
    </row>
    <row r="216" spans="1:23">
      <c r="A216" s="1" t="str">
        <f>INDEX([2]活动总表!$A$8:$A$429,MATCH(B216,[2]活动总表!$B$8:$B$429,0))</f>
        <v>谁与争锋-跨服消费榜嵌套的达标（15-60天）</v>
      </c>
      <c r="B216" s="1">
        <v>808</v>
      </c>
      <c r="C216" s="1">
        <v>1</v>
      </c>
      <c r="L216" s="1">
        <v>10000</v>
      </c>
      <c r="P216" s="1">
        <v>100</v>
      </c>
      <c r="U216" s="1">
        <v>200974</v>
      </c>
      <c r="V216" s="1" t="str">
        <f>INDEX([1]物品基础表!$A:$A,MATCH(U216,[1]物品基础表!$B:$B,0))</f>
        <v>极品战纹任选宝箱</v>
      </c>
      <c r="W216" s="1">
        <v>1</v>
      </c>
    </row>
    <row r="217" spans="1:23">
      <c r="A217" s="1" t="str">
        <f>INDEX([2]活动总表!$A$8:$A$429,MATCH(B217,[2]活动总表!$B$8:$B$429,0))</f>
        <v>谁与争锋-跨服消费榜嵌套的达标（15-60天）</v>
      </c>
      <c r="B217" s="1">
        <v>808</v>
      </c>
      <c r="C217" s="1">
        <v>2</v>
      </c>
      <c r="L217" s="1">
        <v>20000</v>
      </c>
      <c r="P217" s="1">
        <v>100</v>
      </c>
      <c r="U217" s="1">
        <v>13</v>
      </c>
      <c r="V217" s="1" t="s">
        <v>694</v>
      </c>
      <c r="W217" s="1">
        <v>3000000</v>
      </c>
    </row>
    <row r="218" spans="1:23">
      <c r="A218" s="1" t="str">
        <f>INDEX([2]活动总表!$A$8:$A$429,MATCH(B218,[2]活动总表!$B$8:$B$429,0))</f>
        <v>谁与争锋-跨服消费榜嵌套的达标（15-60天）</v>
      </c>
      <c r="B218" s="1">
        <v>808</v>
      </c>
      <c r="C218" s="1">
        <v>3</v>
      </c>
      <c r="L218" s="1">
        <v>30000</v>
      </c>
      <c r="P218" s="1">
        <v>100</v>
      </c>
      <c r="U218" s="1">
        <v>13</v>
      </c>
      <c r="V218" s="1" t="s">
        <v>694</v>
      </c>
      <c r="W218" s="1">
        <v>3000000</v>
      </c>
    </row>
    <row r="219" spans="1:23">
      <c r="A219" s="1" t="str">
        <f>INDEX([2]活动总表!$A$8:$A$429,MATCH(B219,[2]活动总表!$B$8:$B$429,0))</f>
        <v>谁与争锋-跨服消费榜嵌套的达标（15-60天）</v>
      </c>
      <c r="B219" s="1">
        <v>808</v>
      </c>
      <c r="C219" s="1">
        <v>4</v>
      </c>
      <c r="L219" s="1">
        <v>40000</v>
      </c>
      <c r="P219" s="1">
        <v>100</v>
      </c>
      <c r="U219" s="1">
        <v>13</v>
      </c>
      <c r="V219" s="1" t="s">
        <v>694</v>
      </c>
      <c r="W219" s="1">
        <v>3000000</v>
      </c>
    </row>
    <row r="220" spans="1:23">
      <c r="A220" s="1" t="str">
        <f>INDEX([2]活动总表!$A$8:$A$429,MATCH(B220,[2]活动总表!$B$8:$B$429,0))</f>
        <v>谁与争锋-跨服消费榜嵌套的达标（15-60天）</v>
      </c>
      <c r="B220" s="1">
        <v>808</v>
      </c>
      <c r="C220" s="1">
        <v>5</v>
      </c>
      <c r="L220" s="1">
        <v>50000</v>
      </c>
      <c r="P220" s="1">
        <v>100</v>
      </c>
      <c r="U220" s="1">
        <v>13</v>
      </c>
      <c r="V220" s="1" t="s">
        <v>694</v>
      </c>
      <c r="W220" s="1">
        <v>3000000</v>
      </c>
    </row>
    <row r="221" spans="1:23">
      <c r="A221" s="1" t="str">
        <f>INDEX([2]活动总表!$A$8:$A$429,MATCH(B221,[2]活动总表!$B$8:$B$429,0))</f>
        <v>谁与争锋-跨服消费榜嵌套的达标（15-60天）</v>
      </c>
      <c r="B221" s="1">
        <v>808</v>
      </c>
      <c r="C221" s="1">
        <v>6</v>
      </c>
      <c r="L221" s="1">
        <v>70000</v>
      </c>
      <c r="P221" s="1">
        <v>100</v>
      </c>
      <c r="U221" s="1">
        <v>220011</v>
      </c>
      <c r="V221" s="1" t="str">
        <f>INDEX([1]物品基础表!$A:$A,MATCH(U221,[1]物品基础表!$B:$B,0))</f>
        <v>高级秘籍宝箱</v>
      </c>
      <c r="W221" s="1">
        <v>1</v>
      </c>
    </row>
    <row r="222" spans="1:23">
      <c r="A222" s="1" t="str">
        <f>INDEX([2]活动总表!$A$8:$A$429,MATCH(B222,[2]活动总表!$B$8:$B$429,0))</f>
        <v>谁与争锋-跨服消费榜嵌套的达标（15-60天）</v>
      </c>
      <c r="B222" s="1">
        <v>808</v>
      </c>
      <c r="C222" s="1">
        <v>7</v>
      </c>
      <c r="L222" s="1">
        <v>100000</v>
      </c>
      <c r="P222" s="1">
        <v>100</v>
      </c>
      <c r="U222" s="1">
        <v>220011</v>
      </c>
      <c r="V222" s="1" t="str">
        <f>INDEX([1]物品基础表!$A:$A,MATCH(U222,[1]物品基础表!$B:$B,0))</f>
        <v>高级秘籍宝箱</v>
      </c>
      <c r="W222" s="1">
        <v>1</v>
      </c>
    </row>
    <row r="223" spans="1:23">
      <c r="A223" s="1" t="str">
        <f>INDEX([2]活动总表!$A$8:$A$429,MATCH(B223,[2]活动总表!$B$8:$B$429,0))</f>
        <v>谁与争锋-跨服消费榜嵌套的达标（61+天）</v>
      </c>
      <c r="B223" s="1">
        <v>816</v>
      </c>
      <c r="C223" s="1">
        <v>1</v>
      </c>
      <c r="L223" s="1">
        <v>10000</v>
      </c>
      <c r="P223" s="1">
        <v>100</v>
      </c>
      <c r="U223" s="1">
        <v>200974</v>
      </c>
      <c r="V223" s="1" t="str">
        <f>INDEX([1]物品基础表!$A:$A,MATCH(U223,[1]物品基础表!$B:$B,0))</f>
        <v>极品战纹任选宝箱</v>
      </c>
      <c r="W223" s="1">
        <v>1</v>
      </c>
    </row>
    <row r="224" spans="1:23">
      <c r="A224" s="1" t="str">
        <f>INDEX([2]活动总表!$A$8:$A$429,MATCH(B224,[2]活动总表!$B$8:$B$429,0))</f>
        <v>谁与争锋-跨服消费榜嵌套的达标（61+天）</v>
      </c>
      <c r="B224" s="1">
        <v>816</v>
      </c>
      <c r="C224" s="1">
        <v>2</v>
      </c>
      <c r="L224" s="1">
        <v>20000</v>
      </c>
      <c r="P224" s="1">
        <v>100</v>
      </c>
      <c r="U224" s="1">
        <v>200301</v>
      </c>
      <c r="V224" s="1" t="str">
        <f>INDEX([1]物品基础表!$A:$A,MATCH(U224,[1]物品基础表!$B:$B,0))</f>
        <v>传世宝钻</v>
      </c>
      <c r="W224" s="1">
        <v>100</v>
      </c>
    </row>
    <row r="225" spans="1:23">
      <c r="A225" s="1" t="str">
        <f>INDEX([2]活动总表!$A$8:$A$429,MATCH(B225,[2]活动总表!$B$8:$B$429,0))</f>
        <v>谁与争锋-跨服消费榜嵌套的达标（61+天）</v>
      </c>
      <c r="B225" s="1">
        <v>816</v>
      </c>
      <c r="C225" s="1">
        <v>3</v>
      </c>
      <c r="L225" s="1">
        <v>30000</v>
      </c>
      <c r="P225" s="1">
        <v>100</v>
      </c>
      <c r="U225" s="1">
        <v>200301</v>
      </c>
      <c r="V225" s="1" t="str">
        <f>INDEX([1]物品基础表!$A:$A,MATCH(U225,[1]物品基础表!$B:$B,0))</f>
        <v>传世宝钻</v>
      </c>
      <c r="W225" s="1">
        <v>100</v>
      </c>
    </row>
    <row r="226" spans="1:23">
      <c r="A226" s="1" t="str">
        <f>INDEX([2]活动总表!$A$8:$A$429,MATCH(B226,[2]活动总表!$B$8:$B$429,0))</f>
        <v>谁与争锋-跨服消费榜嵌套的达标（61+天）</v>
      </c>
      <c r="B226" s="1">
        <v>816</v>
      </c>
      <c r="C226" s="1">
        <v>4</v>
      </c>
      <c r="L226" s="1">
        <v>40000</v>
      </c>
      <c r="P226" s="1">
        <v>100</v>
      </c>
      <c r="U226" s="1">
        <v>200301</v>
      </c>
      <c r="V226" s="1" t="str">
        <f>INDEX([1]物品基础表!$A:$A,MATCH(U226,[1]物品基础表!$B:$B,0))</f>
        <v>传世宝钻</v>
      </c>
      <c r="W226" s="1">
        <v>100</v>
      </c>
    </row>
    <row r="227" spans="1:23">
      <c r="A227" s="1" t="str">
        <f>INDEX([2]活动总表!$A$8:$A$429,MATCH(B227,[2]活动总表!$B$8:$B$429,0))</f>
        <v>谁与争锋-跨服消费榜嵌套的达标（61+天）</v>
      </c>
      <c r="B227" s="1">
        <v>816</v>
      </c>
      <c r="C227" s="1">
        <v>5</v>
      </c>
      <c r="L227" s="1">
        <v>50000</v>
      </c>
      <c r="P227" s="1">
        <v>100</v>
      </c>
      <c r="U227" s="1">
        <v>200301</v>
      </c>
      <c r="V227" s="1" t="str">
        <f>INDEX([1]物品基础表!$A:$A,MATCH(U227,[1]物品基础表!$B:$B,0))</f>
        <v>传世宝钻</v>
      </c>
      <c r="W227" s="1">
        <v>100</v>
      </c>
    </row>
    <row r="228" spans="1:23">
      <c r="A228" s="1" t="str">
        <f>INDEX([2]活动总表!$A$8:$A$429,MATCH(B228,[2]活动总表!$B$8:$B$429,0))</f>
        <v>谁与争锋-跨服消费榜嵌套的达标（61+天）</v>
      </c>
      <c r="B228" s="1">
        <v>816</v>
      </c>
      <c r="C228" s="1">
        <v>6</v>
      </c>
      <c r="L228" s="1">
        <v>70000</v>
      </c>
      <c r="P228" s="1">
        <v>100</v>
      </c>
      <c r="U228" s="1">
        <v>220011</v>
      </c>
      <c r="V228" s="1" t="str">
        <f>INDEX([1]物品基础表!$A:$A,MATCH(U228,[1]物品基础表!$B:$B,0))</f>
        <v>高级秘籍宝箱</v>
      </c>
      <c r="W228" s="1">
        <v>1</v>
      </c>
    </row>
    <row r="229" spans="1:23">
      <c r="A229" s="1" t="str">
        <f>INDEX([2]活动总表!$A$8:$A$429,MATCH(B229,[2]活动总表!$B$8:$B$429,0))</f>
        <v>谁与争锋-跨服消费榜嵌套的达标（61+天）</v>
      </c>
      <c r="B229" s="1">
        <v>816</v>
      </c>
      <c r="C229" s="1">
        <v>7</v>
      </c>
      <c r="L229" s="1">
        <v>100000</v>
      </c>
      <c r="P229" s="1">
        <v>100</v>
      </c>
      <c r="U229" s="1">
        <v>220011</v>
      </c>
      <c r="V229" s="1" t="str">
        <f>INDEX([1]物品基础表!$A:$A,MATCH(U229,[1]物品基础表!$B:$B,0))</f>
        <v>高级秘籍宝箱</v>
      </c>
      <c r="W229" s="1">
        <v>1</v>
      </c>
    </row>
  </sheetData>
  <mergeCells count="1">
    <mergeCell ref="R1:AC1"/>
  </mergeCells>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R775"/>
  <sheetViews>
    <sheetView topLeftCell="B1" workbookViewId="0">
      <pane xSplit="1" ySplit="2" topLeftCell="C141" activePane="bottomRight" state="frozen"/>
      <selection activeCell="B1" sqref="B1"/>
      <selection pane="topRight" activeCell="C1" sqref="C1"/>
      <selection pane="bottomLeft" activeCell="B3" sqref="B3"/>
      <selection pane="bottomRight" activeCell="AA181" sqref="AA181"/>
    </sheetView>
  </sheetViews>
  <sheetFormatPr defaultRowHeight="13.5"/>
  <cols>
    <col min="1" max="1" width="33.25" style="1" bestFit="1" customWidth="1"/>
    <col min="2" max="4" width="9" style="1"/>
    <col min="5" max="5" width="11" style="1" bestFit="1" customWidth="1"/>
    <col min="6" max="8" width="9" style="1"/>
    <col min="9" max="10" width="15.125" style="1" hidden="1" customWidth="1"/>
    <col min="11" max="11" width="13" style="1" hidden="1" customWidth="1"/>
    <col min="12" max="12" width="16.25" style="1" hidden="1" customWidth="1"/>
    <col min="13" max="14" width="13" style="1" hidden="1" customWidth="1"/>
    <col min="15" max="15" width="5.25" style="1" hidden="1" customWidth="1"/>
    <col min="16" max="23" width="16.125" style="1" hidden="1" customWidth="1"/>
    <col min="24" max="24" width="7.5" style="1" bestFit="1" customWidth="1"/>
    <col min="25" max="25" width="25.5" style="1" bestFit="1" customWidth="1"/>
    <col min="26" max="27" width="9" style="1"/>
    <col min="28" max="28" width="26" style="1" customWidth="1"/>
    <col min="29" max="30" width="9" style="1"/>
    <col min="31" max="31" width="21.375" style="1" bestFit="1" customWidth="1"/>
    <col min="32" max="33" width="9" style="1"/>
    <col min="34" max="34" width="21.375" style="1" bestFit="1" customWidth="1"/>
    <col min="35" max="36" width="9" style="1"/>
    <col min="37" max="37" width="21.375" style="1" bestFit="1" customWidth="1"/>
    <col min="38" max="39" width="9" style="1"/>
    <col min="40" max="40" width="17.5" style="1" bestFit="1" customWidth="1"/>
    <col min="41" max="16384" width="9" style="1"/>
  </cols>
  <sheetData>
    <row r="1" spans="1:44">
      <c r="A1" s="35" t="s">
        <v>726</v>
      </c>
      <c r="P1" s="109" t="s">
        <v>700</v>
      </c>
      <c r="Q1" s="109"/>
      <c r="R1" s="109"/>
      <c r="S1" s="109"/>
      <c r="T1" s="109"/>
      <c r="U1" s="109"/>
      <c r="V1" s="109"/>
      <c r="W1" s="109"/>
      <c r="X1" s="109" t="s">
        <v>708</v>
      </c>
      <c r="Y1" s="109"/>
      <c r="Z1" s="109"/>
      <c r="AA1" s="109"/>
      <c r="AB1" s="109"/>
      <c r="AC1" s="109"/>
      <c r="AD1" s="109"/>
      <c r="AE1" s="109"/>
      <c r="AF1" s="109"/>
      <c r="AG1" s="109"/>
      <c r="AH1" s="109"/>
      <c r="AI1" s="109"/>
      <c r="AJ1" s="109"/>
      <c r="AK1" s="109"/>
      <c r="AL1" s="109"/>
      <c r="AM1" s="109"/>
      <c r="AN1" s="109"/>
      <c r="AO1" s="109"/>
      <c r="AP1" s="109"/>
      <c r="AQ1" s="109"/>
      <c r="AR1" s="109"/>
    </row>
    <row r="2" spans="1:44">
      <c r="A2" s="3" t="s">
        <v>19</v>
      </c>
      <c r="B2" s="3" t="s">
        <v>32</v>
      </c>
      <c r="C2" s="3" t="s">
        <v>33</v>
      </c>
      <c r="D2" s="3" t="s">
        <v>20</v>
      </c>
      <c r="E2" s="3" t="s">
        <v>37</v>
      </c>
      <c r="F2" s="3" t="s">
        <v>38</v>
      </c>
      <c r="G2" s="3" t="s">
        <v>39</v>
      </c>
      <c r="H2" s="3" t="s">
        <v>40</v>
      </c>
      <c r="I2" s="3" t="s">
        <v>41</v>
      </c>
      <c r="J2" s="3" t="s">
        <v>696</v>
      </c>
      <c r="K2" s="31" t="s">
        <v>697</v>
      </c>
      <c r="L2" s="31" t="s">
        <v>698</v>
      </c>
      <c r="M2" s="31" t="s">
        <v>699</v>
      </c>
      <c r="N2" s="3" t="s">
        <v>699</v>
      </c>
      <c r="O2" s="3" t="s">
        <v>42</v>
      </c>
      <c r="P2" s="3">
        <v>1</v>
      </c>
      <c r="Q2" s="3">
        <v>2</v>
      </c>
      <c r="R2" s="3">
        <v>3</v>
      </c>
      <c r="S2" s="3">
        <v>5</v>
      </c>
      <c r="T2" s="3">
        <v>100</v>
      </c>
      <c r="U2" s="3">
        <v>200</v>
      </c>
      <c r="V2" s="3">
        <v>300</v>
      </c>
      <c r="W2" s="3">
        <v>500</v>
      </c>
      <c r="X2" s="4" t="s">
        <v>2</v>
      </c>
      <c r="Y2" s="4" t="s">
        <v>3</v>
      </c>
      <c r="Z2" s="4" t="s">
        <v>4</v>
      </c>
      <c r="AA2" s="4" t="s">
        <v>2</v>
      </c>
      <c r="AB2" s="4" t="s">
        <v>3</v>
      </c>
      <c r="AC2" s="4" t="s">
        <v>4</v>
      </c>
      <c r="AD2" s="4" t="s">
        <v>2</v>
      </c>
      <c r="AE2" s="4" t="s">
        <v>3</v>
      </c>
      <c r="AF2" s="4" t="s">
        <v>4</v>
      </c>
      <c r="AG2" s="4" t="s">
        <v>2</v>
      </c>
      <c r="AH2" s="4" t="s">
        <v>3</v>
      </c>
      <c r="AI2" s="4" t="s">
        <v>4</v>
      </c>
      <c r="AJ2" s="4" t="s">
        <v>2</v>
      </c>
      <c r="AK2" s="4" t="s">
        <v>3</v>
      </c>
      <c r="AL2" s="4" t="s">
        <v>4</v>
      </c>
      <c r="AM2" s="4" t="s">
        <v>2</v>
      </c>
      <c r="AN2" s="4" t="s">
        <v>3</v>
      </c>
      <c r="AO2" s="4" t="s">
        <v>4</v>
      </c>
      <c r="AP2" s="4" t="s">
        <v>2</v>
      </c>
      <c r="AQ2" s="4" t="s">
        <v>3</v>
      </c>
      <c r="AR2" s="4" t="s">
        <v>4</v>
      </c>
    </row>
    <row r="3" spans="1:44">
      <c r="A3" s="1" t="str">
        <f>INDEX([2]活动总表!$A$8:$A$429,MATCH(B3,[2]活动总表!$B$8:$B$429,0))</f>
        <v>开服活动-开服礼包</v>
      </c>
      <c r="B3" s="1">
        <v>6</v>
      </c>
      <c r="C3" s="1">
        <v>1</v>
      </c>
      <c r="D3" s="1">
        <v>5</v>
      </c>
      <c r="E3" s="1">
        <v>0</v>
      </c>
      <c r="F3" s="1" t="s">
        <v>706</v>
      </c>
      <c r="G3" s="1">
        <v>3888</v>
      </c>
      <c r="I3" s="1">
        <v>1</v>
      </c>
      <c r="X3" s="1">
        <v>200003</v>
      </c>
      <c r="Y3" s="1" t="str">
        <f>IFERROR(INDEX([1]物品基础表!$A:$A,MATCH(X3,[1]物品基础表!$B:$B,0)),"")</f>
        <v>铸造晶石</v>
      </c>
      <c r="Z3" s="1">
        <v>30</v>
      </c>
      <c r="AA3" s="1">
        <v>200005</v>
      </c>
      <c r="AB3" s="1" t="str">
        <f>IFERROR(INDEX([1]物品基础表!$A:$A,MATCH(AA3,[1]物品基础表!$B:$B,0)),"")</f>
        <v>龙魂碎片</v>
      </c>
      <c r="AC3" s="1">
        <v>20</v>
      </c>
      <c r="AD3" s="1">
        <v>200001</v>
      </c>
      <c r="AE3" s="1" t="str">
        <f>IFERROR(INDEX([1]物品基础表!$A:$A,MATCH(AD3,[1]物品基础表!$B:$B,0)),"")</f>
        <v>羽毛</v>
      </c>
      <c r="AF3" s="1">
        <v>15</v>
      </c>
      <c r="AG3" s="1">
        <v>200004</v>
      </c>
      <c r="AH3" s="1" t="str">
        <f>IFERROR(INDEX([1]物品基础表!$A:$A,MATCH(AG3,[1]物品基础表!$B:$B,0)),"")</f>
        <v>经脉丹</v>
      </c>
      <c r="AI3" s="1">
        <v>10</v>
      </c>
      <c r="AJ3" s="1">
        <v>200156</v>
      </c>
      <c r="AK3" s="1" t="str">
        <f>IFERROR(INDEX([1]物品基础表!$A:$A,MATCH(AJ3,[1]物品基础表!$B:$B,0)),"")</f>
        <v>野外BOSS次数卷轴</v>
      </c>
      <c r="AL3" s="1">
        <v>1</v>
      </c>
      <c r="AM3" s="1">
        <v>1</v>
      </c>
      <c r="AN3" s="1" t="s">
        <v>695</v>
      </c>
      <c r="AO3" s="1">
        <v>1000000</v>
      </c>
      <c r="AP3" s="1">
        <v>200002</v>
      </c>
      <c r="AQ3" s="1" t="str">
        <f>IFERROR(INDEX([1]物品基础表!$A:$A,MATCH(AP3,[1]物品基础表!$B:$B,0)),"")</f>
        <v>强化石</v>
      </c>
      <c r="AR3" s="1">
        <v>100</v>
      </c>
    </row>
    <row r="4" spans="1:44">
      <c r="A4" s="1" t="str">
        <f>INDEX([2]活动总表!$A$8:$A$429,MATCH(B4,[2]活动总表!$B$8:$B$429,0))</f>
        <v>开服活动-开服礼包</v>
      </c>
      <c r="B4" s="1">
        <v>6</v>
      </c>
      <c r="C4" s="1">
        <v>2</v>
      </c>
      <c r="D4" s="1">
        <v>5</v>
      </c>
      <c r="E4" s="1">
        <v>0</v>
      </c>
      <c r="F4" s="1" t="s">
        <v>706</v>
      </c>
      <c r="G4" s="1">
        <v>16888</v>
      </c>
      <c r="I4" s="1">
        <v>1</v>
      </c>
      <c r="X4" s="1">
        <v>269999</v>
      </c>
      <c r="Y4" s="1" t="str">
        <f>IFERROR(INDEX([1]物品基础表!$A:$A,MATCH(X4,[1]物品基础表!$B:$B,0)),"")</f>
        <v>职业金装</v>
      </c>
      <c r="Z4" s="1">
        <v>2</v>
      </c>
      <c r="AA4" s="1">
        <v>200165</v>
      </c>
      <c r="AB4" s="1" t="str">
        <f>IFERROR(INDEX([1]物品基础表!$A:$A,MATCH(AA4,[1]物品基础表!$B:$B,0)),"")</f>
        <v>寻宝卷</v>
      </c>
      <c r="AC4" s="1">
        <v>20</v>
      </c>
      <c r="AD4" s="1">
        <v>200004</v>
      </c>
      <c r="AE4" s="1" t="str">
        <f>IFERROR(INDEX([1]物品基础表!$A:$A,MATCH(AD4,[1]物品基础表!$B:$B,0)),"")</f>
        <v>经脉丹</v>
      </c>
      <c r="AF4" s="1">
        <v>10</v>
      </c>
      <c r="AG4" s="1">
        <v>200005</v>
      </c>
      <c r="AH4" s="1" t="str">
        <f>IFERROR(INDEX([1]物品基础表!$A:$A,MATCH(AG4,[1]物品基础表!$B:$B,0)),"")</f>
        <v>龙魂碎片</v>
      </c>
      <c r="AI4" s="1">
        <v>10</v>
      </c>
      <c r="AJ4" s="1">
        <v>200156</v>
      </c>
      <c r="AK4" s="1" t="str">
        <f>IFERROR(INDEX([1]物品基础表!$A:$A,MATCH(AJ4,[1]物品基础表!$B:$B,0)),"")</f>
        <v>野外BOSS次数卷轴</v>
      </c>
      <c r="AL4" s="1">
        <v>2</v>
      </c>
      <c r="AM4" s="1">
        <v>200157</v>
      </c>
      <c r="AN4" s="1" t="str">
        <f>IFERROR(INDEX([1]物品基础表!$A:$A,MATCH(AM4,[1]物品基础表!$B:$B,0)),"")</f>
        <v>秘境BOSS次数卷轴</v>
      </c>
      <c r="AO4" s="1">
        <v>1</v>
      </c>
      <c r="AP4" s="1">
        <v>1</v>
      </c>
      <c r="AQ4" s="1" t="s">
        <v>695</v>
      </c>
      <c r="AR4" s="1">
        <v>1000000</v>
      </c>
    </row>
    <row r="5" spans="1:44">
      <c r="A5" s="1" t="str">
        <f>INDEX([2]活动总表!$A$8:$A$429,MATCH(B5,[2]活动总表!$B$8:$B$429,0))</f>
        <v>开服活动-开服礼包</v>
      </c>
      <c r="B5" s="1">
        <v>6</v>
      </c>
      <c r="C5" s="1">
        <v>3</v>
      </c>
      <c r="D5" s="1">
        <v>5</v>
      </c>
      <c r="E5" s="1">
        <v>0</v>
      </c>
      <c r="F5" s="1" t="s">
        <v>706</v>
      </c>
      <c r="G5" s="1">
        <v>36888</v>
      </c>
      <c r="I5" s="1">
        <v>1</v>
      </c>
      <c r="X5" s="1">
        <v>200150</v>
      </c>
      <c r="Y5" s="1" t="str">
        <f>IFERROR(INDEX([1]物品基础表!$A:$A,MATCH(X5,[1]物品基础表!$B:$B,0)),"")</f>
        <v>翅膀直升1阶丹</v>
      </c>
      <c r="Z5" s="1">
        <v>1</v>
      </c>
      <c r="AA5" s="1">
        <v>200001</v>
      </c>
      <c r="AB5" s="1" t="str">
        <f>IFERROR(INDEX([1]物品基础表!$A:$A,MATCH(AA5,[1]物品基础表!$B:$B,0)),"")</f>
        <v>羽毛</v>
      </c>
      <c r="AC5" s="1">
        <v>50</v>
      </c>
      <c r="AD5" s="1">
        <v>200004</v>
      </c>
      <c r="AE5" s="1" t="str">
        <f>IFERROR(INDEX([1]物品基础表!$A:$A,MATCH(AD5,[1]物品基础表!$B:$B,0)),"")</f>
        <v>经脉丹</v>
      </c>
      <c r="AF5" s="1">
        <v>15</v>
      </c>
      <c r="AG5" s="1">
        <v>220010</v>
      </c>
      <c r="AH5" s="1" t="str">
        <f>IFERROR(INDEX([1]物品基础表!$A:$A,MATCH(AG5,[1]物品基础表!$B:$B,0)),"")</f>
        <v>中级秘籍宝箱</v>
      </c>
      <c r="AI5" s="1">
        <v>2</v>
      </c>
      <c r="AJ5" s="1">
        <v>200156</v>
      </c>
      <c r="AK5" s="1" t="str">
        <f>IFERROR(INDEX([1]物品基础表!$A:$A,MATCH(AJ5,[1]物品基础表!$B:$B,0)),"")</f>
        <v>野外BOSS次数卷轴</v>
      </c>
      <c r="AL5" s="1">
        <v>2</v>
      </c>
      <c r="AM5" s="1">
        <v>200157</v>
      </c>
      <c r="AN5" s="1" t="str">
        <f>IFERROR(INDEX([1]物品基础表!$A:$A,MATCH(AM5,[1]物品基础表!$B:$B,0)),"")</f>
        <v>秘境BOSS次数卷轴</v>
      </c>
      <c r="AO5" s="1">
        <v>1</v>
      </c>
      <c r="AP5" s="1">
        <v>1</v>
      </c>
      <c r="AQ5" s="1" t="s">
        <v>695</v>
      </c>
      <c r="AR5" s="1">
        <v>3000000</v>
      </c>
    </row>
    <row r="6" spans="1:44">
      <c r="A6" s="1" t="str">
        <f>INDEX([2]活动总表!$A$8:$A$429,MATCH(B6,[2]活动总表!$B$8:$B$429,0))</f>
        <v>开服活动-开服礼包</v>
      </c>
      <c r="B6" s="1">
        <v>6</v>
      </c>
      <c r="C6" s="1">
        <v>4</v>
      </c>
      <c r="D6" s="1">
        <v>5</v>
      </c>
      <c r="E6" s="1">
        <v>0</v>
      </c>
      <c r="F6" s="1" t="s">
        <v>706</v>
      </c>
      <c r="G6" s="1">
        <v>58888</v>
      </c>
      <c r="I6" s="1">
        <v>1</v>
      </c>
      <c r="X6" s="1">
        <v>101411</v>
      </c>
      <c r="Y6" s="1" t="str">
        <f>IFERROR(INDEX([1]物品基础表!$A:$A,MATCH(X6,[1]物品基础表!$B:$B,0)),"")</f>
        <v>红色战士100级武器</v>
      </c>
      <c r="Z6" s="1">
        <v>1</v>
      </c>
      <c r="AA6" s="1">
        <v>102411</v>
      </c>
      <c r="AB6" s="1" t="str">
        <f>IFERROR(INDEX([1]物品基础表!$A:$A,MATCH(AA6,[1]物品基础表!$B:$B,0)),"")</f>
        <v>红色法师100级武器</v>
      </c>
      <c r="AC6" s="1">
        <v>1</v>
      </c>
      <c r="AD6" s="1">
        <v>103411</v>
      </c>
      <c r="AE6" s="1" t="str">
        <f>IFERROR(INDEX([1]物品基础表!$A:$A,MATCH(AD6,[1]物品基础表!$B:$B,0)),"")</f>
        <v>红色道士100级武器</v>
      </c>
      <c r="AF6" s="1">
        <v>1</v>
      </c>
      <c r="AG6" s="1">
        <v>200007</v>
      </c>
      <c r="AH6" s="1" t="str">
        <f>IFERROR(INDEX([1]物品基础表!$A:$A,MATCH(AG6,[1]物品基础表!$B:$B,0)),"")</f>
        <v>神装碎片</v>
      </c>
      <c r="AI6" s="1">
        <v>1000</v>
      </c>
      <c r="AJ6" s="1">
        <v>200156</v>
      </c>
      <c r="AK6" s="1" t="str">
        <f>IFERROR(INDEX([1]物品基础表!$A:$A,MATCH(AJ6,[1]物品基础表!$B:$B,0)),"")</f>
        <v>野外BOSS次数卷轴</v>
      </c>
      <c r="AL6" s="1">
        <v>2</v>
      </c>
      <c r="AM6" s="1">
        <v>200157</v>
      </c>
      <c r="AN6" s="1" t="str">
        <f>IFERROR(INDEX([1]物品基础表!$A:$A,MATCH(AM6,[1]物品基础表!$B:$B,0)),"")</f>
        <v>秘境BOSS次数卷轴</v>
      </c>
      <c r="AO6" s="1">
        <v>1</v>
      </c>
      <c r="AP6" s="1">
        <v>1</v>
      </c>
      <c r="AQ6" s="1" t="s">
        <v>695</v>
      </c>
      <c r="AR6" s="1">
        <v>5000000</v>
      </c>
    </row>
    <row r="7" spans="1:44">
      <c r="A7" s="1" t="str">
        <f>INDEX([2]活动总表!$A$8:$A$429,MATCH(B7,[2]活动总表!$B$8:$B$429,0))</f>
        <v>开服活动-限购礼包1</v>
      </c>
      <c r="B7" s="1">
        <v>17</v>
      </c>
      <c r="C7" s="1">
        <v>1</v>
      </c>
      <c r="D7" s="1">
        <v>5</v>
      </c>
      <c r="E7" s="1">
        <v>0</v>
      </c>
      <c r="F7" s="1" t="s">
        <v>706</v>
      </c>
      <c r="G7" s="1">
        <v>888</v>
      </c>
      <c r="H7" s="1">
        <v>1500</v>
      </c>
      <c r="I7" s="1">
        <v>1</v>
      </c>
      <c r="O7" s="1">
        <v>59</v>
      </c>
      <c r="X7" s="1">
        <v>200003</v>
      </c>
      <c r="Y7" s="1" t="str">
        <f>IFERROR(INDEX([1]物品基础表!$A:$A,MATCH(X7,[1]物品基础表!$B:$B,0)),"")</f>
        <v>铸造晶石</v>
      </c>
      <c r="Z7" s="1">
        <v>30</v>
      </c>
      <c r="AB7" s="1" t="str">
        <f>IFERROR(INDEX([1]物品基础表!$A:$A,MATCH(AA7,[1]物品基础表!$B:$B,0)),"")</f>
        <v/>
      </c>
      <c r="AE7" s="1" t="str">
        <f>IFERROR(INDEX([1]物品基础表!$A:$A,MATCH(AD7,[1]物品基础表!$B:$B,0)),"")</f>
        <v/>
      </c>
      <c r="AH7" s="1" t="str">
        <f>IFERROR(INDEX([1]物品基础表!$A:$A,MATCH(AG7,[1]物品基础表!$B:$B,0)),"")</f>
        <v/>
      </c>
      <c r="AK7" s="1" t="str">
        <f>IFERROR(INDEX([1]物品基础表!$A:$A,MATCH(AJ7,[1]物品基础表!$B:$B,0)),"")</f>
        <v/>
      </c>
      <c r="AN7" s="1" t="str">
        <f>IFERROR(INDEX([1]物品基础表!$A:$A,MATCH(AM7,[1]物品基础表!$B:$B,0)),"")</f>
        <v/>
      </c>
      <c r="AQ7" s="1" t="str">
        <f>IFERROR(INDEX([1]物品基础表!$A:$A,MATCH(AP7,[1]物品基础表!$B:$B,0)),"")</f>
        <v/>
      </c>
    </row>
    <row r="8" spans="1:44">
      <c r="A8" s="1" t="str">
        <f>INDEX([2]活动总表!$A$8:$A$429,MATCH(B8,[2]活动总表!$B$8:$B$429,0))</f>
        <v>开服活动-限购礼包1</v>
      </c>
      <c r="B8" s="1">
        <v>17</v>
      </c>
      <c r="C8" s="1">
        <v>2</v>
      </c>
      <c r="D8" s="1">
        <v>6</v>
      </c>
      <c r="E8" s="1">
        <v>0</v>
      </c>
      <c r="F8" s="1" t="s">
        <v>706</v>
      </c>
      <c r="G8" s="1">
        <v>1588</v>
      </c>
      <c r="H8" s="1">
        <v>5000</v>
      </c>
      <c r="I8" s="1">
        <v>1</v>
      </c>
      <c r="O8" s="1">
        <v>31</v>
      </c>
      <c r="X8" s="1">
        <v>200003</v>
      </c>
      <c r="Y8" s="1" t="str">
        <f>IFERROR(INDEX([1]物品基础表!$A:$A,MATCH(X8,[1]物品基础表!$B:$B,0)),"")</f>
        <v>铸造晶石</v>
      </c>
      <c r="Z8" s="1">
        <v>100</v>
      </c>
      <c r="AB8" s="1" t="str">
        <f>IFERROR(INDEX([1]物品基础表!$A:$A,MATCH(AA8,[1]物品基础表!$B:$B,0)),"")</f>
        <v/>
      </c>
      <c r="AE8" s="1" t="str">
        <f>IFERROR(INDEX([1]物品基础表!$A:$A,MATCH(AD8,[1]物品基础表!$B:$B,0)),"")</f>
        <v/>
      </c>
      <c r="AH8" s="1" t="str">
        <f>IFERROR(INDEX([1]物品基础表!$A:$A,MATCH(AG8,[1]物品基础表!$B:$B,0)),"")</f>
        <v/>
      </c>
      <c r="AK8" s="1" t="str">
        <f>IFERROR(INDEX([1]物品基础表!$A:$A,MATCH(AJ8,[1]物品基础表!$B:$B,0)),"")</f>
        <v/>
      </c>
      <c r="AN8" s="1" t="str">
        <f>IFERROR(INDEX([1]物品基础表!$A:$A,MATCH(AM8,[1]物品基础表!$B:$B,0)),"")</f>
        <v/>
      </c>
      <c r="AQ8" s="1" t="str">
        <f>IFERROR(INDEX([1]物品基础表!$A:$A,MATCH(AP8,[1]物品基础表!$B:$B,0)),"")</f>
        <v/>
      </c>
    </row>
    <row r="9" spans="1:44">
      <c r="A9" s="1" t="str">
        <f>INDEX([2]活动总表!$A$8:$A$429,MATCH(B9,[2]活动总表!$B$8:$B$429,0))</f>
        <v>开服活动-限购礼包1</v>
      </c>
      <c r="B9" s="1">
        <v>17</v>
      </c>
      <c r="C9" s="1">
        <v>3</v>
      </c>
      <c r="D9" s="1">
        <v>5</v>
      </c>
      <c r="E9" s="1">
        <v>0</v>
      </c>
      <c r="F9" s="1" t="s">
        <v>706</v>
      </c>
      <c r="G9" s="1">
        <v>2888</v>
      </c>
      <c r="H9" s="1">
        <v>4900</v>
      </c>
      <c r="I9" s="1">
        <v>1</v>
      </c>
      <c r="O9" s="1">
        <v>58</v>
      </c>
      <c r="X9" s="1">
        <v>200003</v>
      </c>
      <c r="Y9" s="1" t="str">
        <f>IFERROR(INDEX([1]物品基础表!$A:$A,MATCH(X9,[1]物品基础表!$B:$B,0)),"")</f>
        <v>铸造晶石</v>
      </c>
      <c r="Z9" s="1">
        <v>80</v>
      </c>
      <c r="AA9" s="1">
        <v>4</v>
      </c>
      <c r="AB9" s="1" t="s">
        <v>707</v>
      </c>
      <c r="AC9" s="1">
        <v>300</v>
      </c>
      <c r="AE9" s="1" t="str">
        <f>IFERROR(INDEX([1]物品基础表!$A:$A,MATCH(AD9,[1]物品基础表!$B:$B,0)),"")</f>
        <v/>
      </c>
      <c r="AH9" s="1" t="str">
        <f>IFERROR(INDEX([1]物品基础表!$A:$A,MATCH(AG9,[1]物品基础表!$B:$B,0)),"")</f>
        <v/>
      </c>
      <c r="AK9" s="1" t="str">
        <f>IFERROR(INDEX([1]物品基础表!$A:$A,MATCH(AJ9,[1]物品基础表!$B:$B,0)),"")</f>
        <v/>
      </c>
      <c r="AN9" s="1" t="str">
        <f>IFERROR(INDEX([1]物品基础表!$A:$A,MATCH(AM9,[1]物品基础表!$B:$B,0)),"")</f>
        <v/>
      </c>
      <c r="AQ9" s="1" t="str">
        <f>IFERROR(INDEX([1]物品基础表!$A:$A,MATCH(AP9,[1]物品基础表!$B:$B,0)),"")</f>
        <v/>
      </c>
    </row>
    <row r="10" spans="1:44">
      <c r="A10" s="1" t="str">
        <f>INDEX([2]活动总表!$A$8:$A$429,MATCH(B10,[2]活动总表!$B$8:$B$429,0))</f>
        <v>开服活动-限购礼包1</v>
      </c>
      <c r="B10" s="1">
        <v>17</v>
      </c>
      <c r="C10" s="1">
        <v>4</v>
      </c>
      <c r="D10" s="1">
        <v>5</v>
      </c>
      <c r="E10" s="1">
        <v>0</v>
      </c>
      <c r="F10" s="1" t="s">
        <v>706</v>
      </c>
      <c r="G10" s="1">
        <v>8888</v>
      </c>
      <c r="H10" s="1">
        <v>15500</v>
      </c>
      <c r="I10" s="1">
        <v>3</v>
      </c>
      <c r="O10" s="1">
        <v>57</v>
      </c>
      <c r="X10" s="1">
        <v>200003</v>
      </c>
      <c r="Y10" s="1" t="str">
        <f>IFERROR(INDEX([1]物品基础表!$A:$A,MATCH(X10,[1]物品基础表!$B:$B,0)),"")</f>
        <v>铸造晶石</v>
      </c>
      <c r="Z10" s="1">
        <v>220</v>
      </c>
      <c r="AA10" s="1">
        <v>4</v>
      </c>
      <c r="AB10" s="1" t="s">
        <v>707</v>
      </c>
      <c r="AC10" s="1">
        <v>1500</v>
      </c>
      <c r="AE10" s="1" t="str">
        <f>IFERROR(INDEX([1]物品基础表!$A:$A,MATCH(AD10,[1]物品基础表!$B:$B,0)),"")</f>
        <v/>
      </c>
      <c r="AH10" s="1" t="str">
        <f>IFERROR(INDEX([1]物品基础表!$A:$A,MATCH(AG10,[1]物品基础表!$B:$B,0)),"")</f>
        <v/>
      </c>
      <c r="AK10" s="1" t="str">
        <f>IFERROR(INDEX([1]物品基础表!$A:$A,MATCH(AJ10,[1]物品基础表!$B:$B,0)),"")</f>
        <v/>
      </c>
      <c r="AN10" s="1" t="str">
        <f>IFERROR(INDEX([1]物品基础表!$A:$A,MATCH(AM10,[1]物品基础表!$B:$B,0)),"")</f>
        <v/>
      </c>
      <c r="AQ10" s="1" t="str">
        <f>IFERROR(INDEX([1]物品基础表!$A:$A,MATCH(AP10,[1]物品基础表!$B:$B,0)),"")</f>
        <v/>
      </c>
    </row>
    <row r="11" spans="1:44">
      <c r="A11" s="1" t="str">
        <f>INDEX([2]活动总表!$A$8:$A$429,MATCH(B11,[2]活动总表!$B$8:$B$429,0))</f>
        <v>开服活动-限购礼包2</v>
      </c>
      <c r="B11" s="1">
        <v>18</v>
      </c>
      <c r="C11" s="1">
        <v>1</v>
      </c>
      <c r="D11" s="1">
        <v>5</v>
      </c>
      <c r="E11" s="1">
        <v>0</v>
      </c>
      <c r="F11" s="1" t="s">
        <v>706</v>
      </c>
      <c r="G11" s="1">
        <v>888</v>
      </c>
      <c r="H11" s="1">
        <v>1500</v>
      </c>
      <c r="I11" s="1">
        <v>1</v>
      </c>
      <c r="O11" s="1">
        <v>59</v>
      </c>
      <c r="X11" s="1">
        <v>200005</v>
      </c>
      <c r="Y11" s="1" t="str">
        <f>IFERROR(INDEX([1]物品基础表!$A:$A,MATCH(X11,[1]物品基础表!$B:$B,0)),"")</f>
        <v>龙魂碎片</v>
      </c>
      <c r="Z11" s="1">
        <v>15</v>
      </c>
      <c r="AB11" s="1" t="str">
        <f>IFERROR(INDEX([1]物品基础表!$A:$A,MATCH(AA11,[1]物品基础表!$B:$B,0)),"")</f>
        <v/>
      </c>
      <c r="AE11" s="1" t="str">
        <f>IFERROR(INDEX([1]物品基础表!$A:$A,MATCH(AD11,[1]物品基础表!$B:$B,0)),"")</f>
        <v/>
      </c>
      <c r="AH11" s="1" t="str">
        <f>IFERROR(INDEX([1]物品基础表!$A:$A,MATCH(AG11,[1]物品基础表!$B:$B,0)),"")</f>
        <v/>
      </c>
      <c r="AK11" s="1" t="str">
        <f>IFERROR(INDEX([1]物品基础表!$A:$A,MATCH(AJ11,[1]物品基础表!$B:$B,0)),"")</f>
        <v/>
      </c>
      <c r="AN11" s="1" t="str">
        <f>IFERROR(INDEX([1]物品基础表!$A:$A,MATCH(AM11,[1]物品基础表!$B:$B,0)),"")</f>
        <v/>
      </c>
      <c r="AQ11" s="1" t="str">
        <f>IFERROR(INDEX([1]物品基础表!$A:$A,MATCH(AP11,[1]物品基础表!$B:$B,0)),"")</f>
        <v/>
      </c>
    </row>
    <row r="12" spans="1:44">
      <c r="A12" s="1" t="str">
        <f>INDEX([2]活动总表!$A$8:$A$429,MATCH(B12,[2]活动总表!$B$8:$B$429,0))</f>
        <v>开服活动-限购礼包2</v>
      </c>
      <c r="B12" s="1">
        <v>18</v>
      </c>
      <c r="C12" s="1">
        <v>2</v>
      </c>
      <c r="D12" s="1">
        <v>7</v>
      </c>
      <c r="E12" s="1">
        <v>0</v>
      </c>
      <c r="F12" s="1" t="s">
        <v>706</v>
      </c>
      <c r="G12" s="1">
        <v>1588</v>
      </c>
      <c r="H12" s="1">
        <v>5000</v>
      </c>
      <c r="I12" s="1">
        <v>1</v>
      </c>
      <c r="O12" s="1">
        <v>31</v>
      </c>
      <c r="X12" s="1">
        <v>200005</v>
      </c>
      <c r="Y12" s="1" t="str">
        <f>IFERROR(INDEX([1]物品基础表!$A:$A,MATCH(X12,[1]物品基础表!$B:$B,0)),"")</f>
        <v>龙魂碎片</v>
      </c>
      <c r="Z12" s="1">
        <v>50</v>
      </c>
      <c r="AB12" s="1" t="str">
        <f>IFERROR(INDEX([1]物品基础表!$A:$A,MATCH(AA12,[1]物品基础表!$B:$B,0)),"")</f>
        <v/>
      </c>
      <c r="AE12" s="1" t="str">
        <f>IFERROR(INDEX([1]物品基础表!$A:$A,MATCH(AD12,[1]物品基础表!$B:$B,0)),"")</f>
        <v/>
      </c>
      <c r="AH12" s="1" t="str">
        <f>IFERROR(INDEX([1]物品基础表!$A:$A,MATCH(AG12,[1]物品基础表!$B:$B,0)),"")</f>
        <v/>
      </c>
      <c r="AK12" s="1" t="str">
        <f>IFERROR(INDEX([1]物品基础表!$A:$A,MATCH(AJ12,[1]物品基础表!$B:$B,0)),"")</f>
        <v/>
      </c>
      <c r="AN12" s="1" t="str">
        <f>IFERROR(INDEX([1]物品基础表!$A:$A,MATCH(AM12,[1]物品基础表!$B:$B,0)),"")</f>
        <v/>
      </c>
      <c r="AQ12" s="1" t="str">
        <f>IFERROR(INDEX([1]物品基础表!$A:$A,MATCH(AP12,[1]物品基础表!$B:$B,0)),"")</f>
        <v/>
      </c>
    </row>
    <row r="13" spans="1:44">
      <c r="A13" s="1" t="str">
        <f>INDEX([2]活动总表!$A$8:$A$429,MATCH(B13,[2]活动总表!$B$8:$B$429,0))</f>
        <v>开服活动-限购礼包2</v>
      </c>
      <c r="B13" s="1">
        <v>18</v>
      </c>
      <c r="C13" s="1">
        <v>3</v>
      </c>
      <c r="D13" s="1">
        <v>5</v>
      </c>
      <c r="E13" s="1">
        <v>0</v>
      </c>
      <c r="F13" s="1" t="s">
        <v>706</v>
      </c>
      <c r="G13" s="1">
        <v>2888</v>
      </c>
      <c r="H13" s="1">
        <v>5000</v>
      </c>
      <c r="I13" s="1">
        <v>1</v>
      </c>
      <c r="O13" s="1">
        <v>57</v>
      </c>
      <c r="X13" s="1">
        <v>200005</v>
      </c>
      <c r="Y13" s="1" t="str">
        <f>IFERROR(INDEX([1]物品基础表!$A:$A,MATCH(X13,[1]物品基础表!$B:$B,0)),"")</f>
        <v>龙魂碎片</v>
      </c>
      <c r="Z13" s="1">
        <v>40</v>
      </c>
      <c r="AA13" s="1">
        <v>200003</v>
      </c>
      <c r="AB13" s="1" t="str">
        <f>IFERROR(INDEX([1]物品基础表!$A:$A,MATCH(AA13,[1]物品基础表!$B:$B,0)),"")</f>
        <v>铸造晶石</v>
      </c>
      <c r="AC13" s="1">
        <v>20</v>
      </c>
      <c r="AE13" s="1" t="str">
        <f>IFERROR(INDEX([1]物品基础表!$A:$A,MATCH(AD13,[1]物品基础表!$B:$B,0)),"")</f>
        <v/>
      </c>
      <c r="AH13" s="1" t="str">
        <f>IFERROR(INDEX([1]物品基础表!$A:$A,MATCH(AG13,[1]物品基础表!$B:$B,0)),"")</f>
        <v/>
      </c>
      <c r="AK13" s="1" t="str">
        <f>IFERROR(INDEX([1]物品基础表!$A:$A,MATCH(AJ13,[1]物品基础表!$B:$B,0)),"")</f>
        <v/>
      </c>
      <c r="AN13" s="1" t="str">
        <f>IFERROR(INDEX([1]物品基础表!$A:$A,MATCH(AM13,[1]物品基础表!$B:$B,0)),"")</f>
        <v/>
      </c>
      <c r="AQ13" s="1" t="str">
        <f>IFERROR(INDEX([1]物品基础表!$A:$A,MATCH(AP13,[1]物品基础表!$B:$B,0)),"")</f>
        <v/>
      </c>
    </row>
    <row r="14" spans="1:44">
      <c r="A14" s="1" t="str">
        <f>INDEX([2]活动总表!$A$8:$A$429,MATCH(B14,[2]活动总表!$B$8:$B$429,0))</f>
        <v>开服活动-限购礼包2</v>
      </c>
      <c r="B14" s="1">
        <v>18</v>
      </c>
      <c r="C14" s="1">
        <v>4</v>
      </c>
      <c r="D14" s="1">
        <v>5</v>
      </c>
      <c r="E14" s="1">
        <v>0</v>
      </c>
      <c r="F14" s="1" t="s">
        <v>706</v>
      </c>
      <c r="G14" s="1">
        <v>8888</v>
      </c>
      <c r="H14" s="1">
        <v>16200</v>
      </c>
      <c r="I14" s="1">
        <v>3</v>
      </c>
      <c r="O14" s="1">
        <v>54</v>
      </c>
      <c r="X14" s="1">
        <v>200005</v>
      </c>
      <c r="Y14" s="1" t="str">
        <f>IFERROR(INDEX([1]物品基础表!$A:$A,MATCH(X14,[1]物品基础表!$B:$B,0)),"")</f>
        <v>龙魂碎片</v>
      </c>
      <c r="Z14" s="1">
        <v>110</v>
      </c>
      <c r="AA14" s="1">
        <v>269999</v>
      </c>
      <c r="AB14" s="1" t="str">
        <f>IFERROR(INDEX([1]物品基础表!$A:$A,MATCH(AA14,[1]物品基础表!$B:$B,0)),"")</f>
        <v>职业金装</v>
      </c>
      <c r="AC14" s="1">
        <v>1</v>
      </c>
      <c r="AE14" s="1" t="str">
        <f>IFERROR(INDEX([1]物品基础表!$A:$A,MATCH(AD14,[1]物品基础表!$B:$B,0)),"")</f>
        <v/>
      </c>
      <c r="AH14" s="1" t="str">
        <f>IFERROR(INDEX([1]物品基础表!$A:$A,MATCH(AG14,[1]物品基础表!$B:$B,0)),"")</f>
        <v/>
      </c>
      <c r="AK14" s="1" t="str">
        <f>IFERROR(INDEX([1]物品基础表!$A:$A,MATCH(AJ14,[1]物品基础表!$B:$B,0)),"")</f>
        <v/>
      </c>
      <c r="AN14" s="1" t="str">
        <f>IFERROR(INDEX([1]物品基础表!$A:$A,MATCH(AM14,[1]物品基础表!$B:$B,0)),"")</f>
        <v/>
      </c>
      <c r="AQ14" s="1" t="str">
        <f>IFERROR(INDEX([1]物品基础表!$A:$A,MATCH(AP14,[1]物品基础表!$B:$B,0)),"")</f>
        <v/>
      </c>
    </row>
    <row r="15" spans="1:44">
      <c r="A15" s="1" t="str">
        <f>INDEX([2]活动总表!$A$8:$A$429,MATCH(B15,[2]活动总表!$B$8:$B$429,0))</f>
        <v>开服活动-限购礼包3</v>
      </c>
      <c r="B15" s="1">
        <v>19</v>
      </c>
      <c r="C15" s="1">
        <v>1</v>
      </c>
      <c r="D15" s="1">
        <v>5</v>
      </c>
      <c r="E15" s="1">
        <v>0</v>
      </c>
      <c r="F15" s="1" t="s">
        <v>706</v>
      </c>
      <c r="G15" s="1">
        <v>888</v>
      </c>
      <c r="H15" s="1">
        <v>1500</v>
      </c>
      <c r="I15" s="1">
        <v>1</v>
      </c>
      <c r="O15" s="1">
        <v>59</v>
      </c>
      <c r="X15" s="1">
        <v>200001</v>
      </c>
      <c r="Y15" s="1" t="str">
        <f>IFERROR(INDEX([1]物品基础表!$A:$A,MATCH(X15,[1]物品基础表!$B:$B,0)),"")</f>
        <v>羽毛</v>
      </c>
      <c r="Z15" s="1">
        <v>15</v>
      </c>
      <c r="AB15" s="1" t="str">
        <f>IFERROR(INDEX([1]物品基础表!$A:$A,MATCH(AA15,[1]物品基础表!$B:$B,0)),"")</f>
        <v/>
      </c>
      <c r="AE15" s="1" t="str">
        <f>IFERROR(INDEX([1]物品基础表!$A:$A,MATCH(AD15,[1]物品基础表!$B:$B,0)),"")</f>
        <v/>
      </c>
      <c r="AH15" s="1" t="str">
        <f>IFERROR(INDEX([1]物品基础表!$A:$A,MATCH(AG15,[1]物品基础表!$B:$B,0)),"")</f>
        <v/>
      </c>
      <c r="AK15" s="1" t="str">
        <f>IFERROR(INDEX([1]物品基础表!$A:$A,MATCH(AJ15,[1]物品基础表!$B:$B,0)),"")</f>
        <v/>
      </c>
      <c r="AN15" s="1" t="str">
        <f>IFERROR(INDEX([1]物品基础表!$A:$A,MATCH(AM15,[1]物品基础表!$B:$B,0)),"")</f>
        <v/>
      </c>
      <c r="AQ15" s="1" t="str">
        <f>IFERROR(INDEX([1]物品基础表!$A:$A,MATCH(AP15,[1]物品基础表!$B:$B,0)),"")</f>
        <v/>
      </c>
    </row>
    <row r="16" spans="1:44">
      <c r="A16" s="1" t="str">
        <f>INDEX([2]活动总表!$A$8:$A$429,MATCH(B16,[2]活动总表!$B$8:$B$429,0))</f>
        <v>开服活动-限购礼包3</v>
      </c>
      <c r="B16" s="1">
        <v>19</v>
      </c>
      <c r="C16" s="1">
        <v>2</v>
      </c>
      <c r="D16" s="1">
        <v>7</v>
      </c>
      <c r="E16" s="1">
        <v>0</v>
      </c>
      <c r="F16" s="1" t="s">
        <v>706</v>
      </c>
      <c r="G16" s="1">
        <v>1588</v>
      </c>
      <c r="H16" s="1">
        <v>5000</v>
      </c>
      <c r="I16" s="1">
        <v>1</v>
      </c>
      <c r="O16" s="1">
        <v>31</v>
      </c>
      <c r="X16" s="1">
        <v>200001</v>
      </c>
      <c r="Y16" s="1" t="str">
        <f>IFERROR(INDEX([1]物品基础表!$A:$A,MATCH(X16,[1]物品基础表!$B:$B,0)),"")</f>
        <v>羽毛</v>
      </c>
      <c r="Z16" s="1">
        <v>50</v>
      </c>
      <c r="AB16" s="1" t="str">
        <f>IFERROR(INDEX([1]物品基础表!$A:$A,MATCH(AA16,[1]物品基础表!$B:$B,0)),"")</f>
        <v/>
      </c>
      <c r="AE16" s="1" t="str">
        <f>IFERROR(INDEX([1]物品基础表!$A:$A,MATCH(AD16,[1]物品基础表!$B:$B,0)),"")</f>
        <v/>
      </c>
      <c r="AH16" s="1" t="str">
        <f>IFERROR(INDEX([1]物品基础表!$A:$A,MATCH(AG16,[1]物品基础表!$B:$B,0)),"")</f>
        <v/>
      </c>
      <c r="AK16" s="1" t="str">
        <f>IFERROR(INDEX([1]物品基础表!$A:$A,MATCH(AJ16,[1]物品基础表!$B:$B,0)),"")</f>
        <v/>
      </c>
      <c r="AN16" s="1" t="str">
        <f>IFERROR(INDEX([1]物品基础表!$A:$A,MATCH(AM16,[1]物品基础表!$B:$B,0)),"")</f>
        <v/>
      </c>
      <c r="AQ16" s="1" t="str">
        <f>IFERROR(INDEX([1]物品基础表!$A:$A,MATCH(AP16,[1]物品基础表!$B:$B,0)),"")</f>
        <v/>
      </c>
    </row>
    <row r="17" spans="1:43">
      <c r="A17" s="1" t="str">
        <f>INDEX([2]活动总表!$A$8:$A$429,MATCH(B17,[2]活动总表!$B$8:$B$429,0))</f>
        <v>开服活动-限购礼包3</v>
      </c>
      <c r="B17" s="1">
        <v>19</v>
      </c>
      <c r="C17" s="1">
        <v>3</v>
      </c>
      <c r="D17" s="1">
        <v>5</v>
      </c>
      <c r="E17" s="1">
        <v>0</v>
      </c>
      <c r="F17" s="1" t="s">
        <v>706</v>
      </c>
      <c r="G17" s="1">
        <v>2888</v>
      </c>
      <c r="H17" s="1">
        <v>5000</v>
      </c>
      <c r="I17" s="1">
        <v>1</v>
      </c>
      <c r="O17" s="1">
        <v>57</v>
      </c>
      <c r="X17" s="1">
        <v>200001</v>
      </c>
      <c r="Y17" s="1" t="str">
        <f>IFERROR(INDEX([1]物品基础表!$A:$A,MATCH(X17,[1]物品基础表!$B:$B,0)),"")</f>
        <v>羽毛</v>
      </c>
      <c r="Z17" s="1">
        <v>40</v>
      </c>
      <c r="AA17" s="1">
        <v>200003</v>
      </c>
      <c r="AB17" s="1" t="str">
        <f>IFERROR(INDEX([1]物品基础表!$A:$A,MATCH(AA17,[1]物品基础表!$B:$B,0)),"")</f>
        <v>铸造晶石</v>
      </c>
      <c r="AC17" s="1">
        <v>20</v>
      </c>
      <c r="AE17" s="1" t="str">
        <f>IFERROR(INDEX([1]物品基础表!$A:$A,MATCH(AD17,[1]物品基础表!$B:$B,0)),"")</f>
        <v/>
      </c>
      <c r="AH17" s="1" t="str">
        <f>IFERROR(INDEX([1]物品基础表!$A:$A,MATCH(AG17,[1]物品基础表!$B:$B,0)),"")</f>
        <v/>
      </c>
      <c r="AK17" s="1" t="str">
        <f>IFERROR(INDEX([1]物品基础表!$A:$A,MATCH(AJ17,[1]物品基础表!$B:$B,0)),"")</f>
        <v/>
      </c>
      <c r="AN17" s="1" t="str">
        <f>IFERROR(INDEX([1]物品基础表!$A:$A,MATCH(AM17,[1]物品基础表!$B:$B,0)),"")</f>
        <v/>
      </c>
      <c r="AQ17" s="1" t="str">
        <f>IFERROR(INDEX([1]物品基础表!$A:$A,MATCH(AP17,[1]物品基础表!$B:$B,0)),"")</f>
        <v/>
      </c>
    </row>
    <row r="18" spans="1:43">
      <c r="A18" s="1" t="str">
        <f>INDEX([2]活动总表!$A$8:$A$429,MATCH(B18,[2]活动总表!$B$8:$B$429,0))</f>
        <v>开服活动-限购礼包3</v>
      </c>
      <c r="B18" s="1">
        <v>19</v>
      </c>
      <c r="C18" s="1">
        <v>4</v>
      </c>
      <c r="D18" s="1">
        <v>5</v>
      </c>
      <c r="E18" s="1">
        <v>0</v>
      </c>
      <c r="F18" s="1" t="s">
        <v>706</v>
      </c>
      <c r="G18" s="1">
        <v>8888</v>
      </c>
      <c r="H18" s="1">
        <v>16200</v>
      </c>
      <c r="I18" s="1">
        <v>3</v>
      </c>
      <c r="O18" s="1">
        <v>54</v>
      </c>
      <c r="X18" s="1">
        <v>200001</v>
      </c>
      <c r="Y18" s="1" t="str">
        <f>IFERROR(INDEX([1]物品基础表!$A:$A,MATCH(X18,[1]物品基础表!$B:$B,0)),"")</f>
        <v>羽毛</v>
      </c>
      <c r="Z18" s="1">
        <v>110</v>
      </c>
      <c r="AA18" s="1">
        <v>220010</v>
      </c>
      <c r="AB18" s="1" t="str">
        <f>IFERROR(INDEX([1]物品基础表!$A:$A,MATCH(AA18,[1]物品基础表!$B:$B,0)),"")</f>
        <v>中级秘籍宝箱</v>
      </c>
      <c r="AC18" s="1">
        <v>1</v>
      </c>
      <c r="AE18" s="1" t="str">
        <f>IFERROR(INDEX([1]物品基础表!$A:$A,MATCH(AD18,[1]物品基础表!$B:$B,0)),"")</f>
        <v/>
      </c>
      <c r="AH18" s="1" t="str">
        <f>IFERROR(INDEX([1]物品基础表!$A:$A,MATCH(AG18,[1]物品基础表!$B:$B,0)),"")</f>
        <v/>
      </c>
      <c r="AK18" s="1" t="str">
        <f>IFERROR(INDEX([1]物品基础表!$A:$A,MATCH(AJ18,[1]物品基础表!$B:$B,0)),"")</f>
        <v/>
      </c>
      <c r="AN18" s="1" t="str">
        <f>IFERROR(INDEX([1]物品基础表!$A:$A,MATCH(AM18,[1]物品基础表!$B:$B,0)),"")</f>
        <v/>
      </c>
      <c r="AQ18" s="1" t="str">
        <f>IFERROR(INDEX([1]物品基础表!$A:$A,MATCH(AP18,[1]物品基础表!$B:$B,0)),"")</f>
        <v/>
      </c>
    </row>
    <row r="19" spans="1:43">
      <c r="A19" s="1" t="str">
        <f>INDEX([2]活动总表!$A$8:$A$429,MATCH(B19,[2]活动总表!$B$8:$B$429,0))</f>
        <v>开服活动-限购礼包4</v>
      </c>
      <c r="B19" s="1">
        <v>20</v>
      </c>
      <c r="C19" s="1">
        <v>1</v>
      </c>
      <c r="D19" s="1">
        <v>5</v>
      </c>
      <c r="E19" s="1">
        <v>0</v>
      </c>
      <c r="F19" s="1" t="s">
        <v>706</v>
      </c>
      <c r="G19" s="1">
        <v>888</v>
      </c>
      <c r="H19" s="1">
        <v>1500</v>
      </c>
      <c r="I19" s="1">
        <v>1</v>
      </c>
      <c r="O19" s="1">
        <v>59</v>
      </c>
      <c r="X19" s="1">
        <v>201009</v>
      </c>
      <c r="Y19" s="1" t="str">
        <f>IFERROR(INDEX([1]物品基础表!$A:$A,MATCH(X19,[1]物品基础表!$B:$B,0)),"")</f>
        <v>绿色图鉴包·传奇盛世</v>
      </c>
      <c r="Z19" s="1">
        <v>3</v>
      </c>
      <c r="AB19" s="1" t="str">
        <f>IFERROR(INDEX([1]物品基础表!$A:$A,MATCH(AA19,[1]物品基础表!$B:$B,0)),"")</f>
        <v/>
      </c>
      <c r="AE19" s="1" t="str">
        <f>IFERROR(INDEX([1]物品基础表!$A:$A,MATCH(AD19,[1]物品基础表!$B:$B,0)),"")</f>
        <v/>
      </c>
      <c r="AH19" s="1" t="str">
        <f>IFERROR(INDEX([1]物品基础表!$A:$A,MATCH(AG19,[1]物品基础表!$B:$B,0)),"")</f>
        <v/>
      </c>
      <c r="AK19" s="1" t="str">
        <f>IFERROR(INDEX([1]物品基础表!$A:$A,MATCH(AJ19,[1]物品基础表!$B:$B,0)),"")</f>
        <v/>
      </c>
      <c r="AN19" s="1" t="str">
        <f>IFERROR(INDEX([1]物品基础表!$A:$A,MATCH(AM19,[1]物品基础表!$B:$B,0)),"")</f>
        <v/>
      </c>
      <c r="AQ19" s="1" t="str">
        <f>IFERROR(INDEX([1]物品基础表!$A:$A,MATCH(AP19,[1]物品基础表!$B:$B,0)),"")</f>
        <v/>
      </c>
    </row>
    <row r="20" spans="1:43">
      <c r="A20" s="1" t="str">
        <f>INDEX([2]活动总表!$A$8:$A$429,MATCH(B20,[2]活动总表!$B$8:$B$429,0))</f>
        <v>开服活动-限购礼包4</v>
      </c>
      <c r="B20" s="1">
        <v>20</v>
      </c>
      <c r="C20" s="1">
        <v>2</v>
      </c>
      <c r="D20" s="1">
        <v>8</v>
      </c>
      <c r="E20" s="1">
        <v>0</v>
      </c>
      <c r="F20" s="1" t="s">
        <v>706</v>
      </c>
      <c r="G20" s="1">
        <v>1588</v>
      </c>
      <c r="H20" s="1">
        <v>5000</v>
      </c>
      <c r="I20" s="1">
        <v>1</v>
      </c>
      <c r="O20" s="1">
        <v>31</v>
      </c>
      <c r="X20" s="1">
        <v>201010</v>
      </c>
      <c r="Y20" s="1" t="str">
        <f>IFERROR(INDEX([1]物品基础表!$A:$A,MATCH(X20,[1]物品基础表!$B:$B,0)),"")</f>
        <v>紫色图鉴包·传奇盛世</v>
      </c>
      <c r="Z20" s="1">
        <v>2</v>
      </c>
      <c r="AB20" s="1" t="str">
        <f>IFERROR(INDEX([1]物品基础表!$A:$A,MATCH(AA20,[1]物品基础表!$B:$B,0)),"")</f>
        <v/>
      </c>
      <c r="AE20" s="1" t="str">
        <f>IFERROR(INDEX([1]物品基础表!$A:$A,MATCH(AD20,[1]物品基础表!$B:$B,0)),"")</f>
        <v/>
      </c>
      <c r="AH20" s="1" t="str">
        <f>IFERROR(INDEX([1]物品基础表!$A:$A,MATCH(AG20,[1]物品基础表!$B:$B,0)),"")</f>
        <v/>
      </c>
      <c r="AK20" s="1" t="str">
        <f>IFERROR(INDEX([1]物品基础表!$A:$A,MATCH(AJ20,[1]物品基础表!$B:$B,0)),"")</f>
        <v/>
      </c>
      <c r="AN20" s="1" t="str">
        <f>IFERROR(INDEX([1]物品基础表!$A:$A,MATCH(AM20,[1]物品基础表!$B:$B,0)),"")</f>
        <v/>
      </c>
      <c r="AQ20" s="1" t="str">
        <f>IFERROR(INDEX([1]物品基础表!$A:$A,MATCH(AP20,[1]物品基础表!$B:$B,0)),"")</f>
        <v/>
      </c>
    </row>
    <row r="21" spans="1:43">
      <c r="A21" s="1" t="str">
        <f>INDEX([2]活动总表!$A$8:$A$429,MATCH(B21,[2]活动总表!$B$8:$B$429,0))</f>
        <v>开服活动-限购礼包4</v>
      </c>
      <c r="B21" s="1">
        <v>20</v>
      </c>
      <c r="C21" s="1">
        <v>3</v>
      </c>
      <c r="D21" s="1">
        <v>5</v>
      </c>
      <c r="E21" s="1">
        <v>0</v>
      </c>
      <c r="F21" s="1" t="s">
        <v>706</v>
      </c>
      <c r="G21" s="1">
        <v>5888</v>
      </c>
      <c r="H21" s="1">
        <v>10500</v>
      </c>
      <c r="I21" s="1">
        <v>1</v>
      </c>
      <c r="O21" s="1">
        <v>56</v>
      </c>
      <c r="X21" s="1">
        <v>201011</v>
      </c>
      <c r="Y21" s="1" t="str">
        <f>IFERROR(INDEX([1]物品基础表!$A:$A,MATCH(X21,[1]物品基础表!$B:$B,0)),"")</f>
        <v>橙色图鉴包·传奇盛世</v>
      </c>
      <c r="Z21" s="1">
        <v>1</v>
      </c>
      <c r="AA21" s="1">
        <v>201000</v>
      </c>
      <c r="AB21" s="1" t="str">
        <f>IFERROR(INDEX([1]物品基础表!$A:$A,MATCH(AA21,[1]物品基础表!$B:$B,0)),"")</f>
        <v>兵魂礼包</v>
      </c>
      <c r="AC21" s="1">
        <v>1</v>
      </c>
      <c r="AE21" s="1" t="str">
        <f>IFERROR(INDEX([1]物品基础表!$A:$A,MATCH(AD21,[1]物品基础表!$B:$B,0)),"")</f>
        <v/>
      </c>
      <c r="AH21" s="1" t="str">
        <f>IFERROR(INDEX([1]物品基础表!$A:$A,MATCH(AG21,[1]物品基础表!$B:$B,0)),"")</f>
        <v/>
      </c>
      <c r="AK21" s="1" t="str">
        <f>IFERROR(INDEX([1]物品基础表!$A:$A,MATCH(AJ21,[1]物品基础表!$B:$B,0)),"")</f>
        <v/>
      </c>
      <c r="AN21" s="1" t="str">
        <f>IFERROR(INDEX([1]物品基础表!$A:$A,MATCH(AM21,[1]物品基础表!$B:$B,0)),"")</f>
        <v/>
      </c>
      <c r="AQ21" s="1" t="str">
        <f>IFERROR(INDEX([1]物品基础表!$A:$A,MATCH(AP21,[1]物品基础表!$B:$B,0)),"")</f>
        <v/>
      </c>
    </row>
    <row r="22" spans="1:43">
      <c r="A22" s="1" t="str">
        <f>INDEX([2]活动总表!$A$8:$A$429,MATCH(B22,[2]活动总表!$B$8:$B$429,0))</f>
        <v>开服活动-限购礼包4</v>
      </c>
      <c r="B22" s="1">
        <v>20</v>
      </c>
      <c r="C22" s="1">
        <v>4</v>
      </c>
      <c r="D22" s="1">
        <v>5</v>
      </c>
      <c r="E22" s="1">
        <v>0</v>
      </c>
      <c r="F22" s="1" t="s">
        <v>706</v>
      </c>
      <c r="G22" s="1">
        <v>9888</v>
      </c>
      <c r="H22" s="1">
        <v>21000</v>
      </c>
      <c r="I22" s="1">
        <v>3</v>
      </c>
      <c r="O22" s="1">
        <v>47</v>
      </c>
      <c r="X22" s="1">
        <v>201006</v>
      </c>
      <c r="Y22" s="1" t="str">
        <f>IFERROR(INDEX([1]物品基础表!$A:$A,MATCH(X22,[1]物品基础表!$B:$B,0)),"")</f>
        <v>橙色图鉴包·美女如云</v>
      </c>
      <c r="Z22" s="1">
        <v>2</v>
      </c>
      <c r="AA22" s="1">
        <v>200999</v>
      </c>
      <c r="AB22" s="1" t="str">
        <f>IFERROR(INDEX([1]物品基础表!$A:$A,MATCH(AA22,[1]物品基础表!$B:$B,0)),"")</f>
        <v>魅惑兵魂礼包</v>
      </c>
      <c r="AC22" s="1">
        <v>2</v>
      </c>
      <c r="AE22" s="1" t="str">
        <f>IFERROR(INDEX([1]物品基础表!$A:$A,MATCH(AD22,[1]物品基础表!$B:$B,0)),"")</f>
        <v/>
      </c>
      <c r="AH22" s="1" t="str">
        <f>IFERROR(INDEX([1]物品基础表!$A:$A,MATCH(AG22,[1]物品基础表!$B:$B,0)),"")</f>
        <v/>
      </c>
      <c r="AK22" s="1" t="str">
        <f>IFERROR(INDEX([1]物品基础表!$A:$A,MATCH(AJ22,[1]物品基础表!$B:$B,0)),"")</f>
        <v/>
      </c>
      <c r="AN22" s="1" t="str">
        <f>IFERROR(INDEX([1]物品基础表!$A:$A,MATCH(AM22,[1]物品基础表!$B:$B,0)),"")</f>
        <v/>
      </c>
      <c r="AQ22" s="1" t="str">
        <f>IFERROR(INDEX([1]物品基础表!$A:$A,MATCH(AP22,[1]物品基础表!$B:$B,0)),"")</f>
        <v/>
      </c>
    </row>
    <row r="23" spans="1:43">
      <c r="A23" s="1" t="str">
        <f>INDEX([2]活动总表!$A$8:$A$429,MATCH(B23,[2]活动总表!$B$8:$B$429,0))</f>
        <v>开服活动-限购礼包5</v>
      </c>
      <c r="B23" s="1">
        <v>21</v>
      </c>
      <c r="C23" s="1">
        <v>1</v>
      </c>
      <c r="D23" s="1">
        <v>5</v>
      </c>
      <c r="E23" s="1">
        <v>0</v>
      </c>
      <c r="F23" s="1" t="s">
        <v>706</v>
      </c>
      <c r="G23" s="1">
        <v>1288</v>
      </c>
      <c r="H23" s="1">
        <v>2000</v>
      </c>
      <c r="I23" s="1">
        <v>1</v>
      </c>
      <c r="O23" s="1">
        <v>64</v>
      </c>
      <c r="X23" s="1">
        <v>200011</v>
      </c>
      <c r="Y23" s="1" t="str">
        <f>IFERROR(INDEX([1]物品基础表!$A:$A,MATCH(X23,[1]物品基础表!$B:$B,0)),"")</f>
        <v>高级转生丹·无限制</v>
      </c>
      <c r="Z23" s="1">
        <v>2</v>
      </c>
      <c r="AB23" s="1" t="str">
        <f>IFERROR(INDEX([1]物品基础表!$A:$A,MATCH(AA23,[1]物品基础表!$B:$B,0)),"")</f>
        <v/>
      </c>
      <c r="AE23" s="1" t="str">
        <f>IFERROR(INDEX([1]物品基础表!$A:$A,MATCH(AD23,[1]物品基础表!$B:$B,0)),"")</f>
        <v/>
      </c>
      <c r="AH23" s="1" t="str">
        <f>IFERROR(INDEX([1]物品基础表!$A:$A,MATCH(AG23,[1]物品基础表!$B:$B,0)),"")</f>
        <v/>
      </c>
      <c r="AK23" s="1" t="str">
        <f>IFERROR(INDEX([1]物品基础表!$A:$A,MATCH(AJ23,[1]物品基础表!$B:$B,0)),"")</f>
        <v/>
      </c>
      <c r="AN23" s="1" t="str">
        <f>IFERROR(INDEX([1]物品基础表!$A:$A,MATCH(AM23,[1]物品基础表!$B:$B,0)),"")</f>
        <v/>
      </c>
      <c r="AQ23" s="1" t="str">
        <f>IFERROR(INDEX([1]物品基础表!$A:$A,MATCH(AP23,[1]物品基础表!$B:$B,0)),"")</f>
        <v/>
      </c>
    </row>
    <row r="24" spans="1:43">
      <c r="A24" s="1" t="str">
        <f>INDEX([2]活动总表!$A$8:$A$429,MATCH(B24,[2]活动总表!$B$8:$B$429,0))</f>
        <v>开服活动-限购礼包5</v>
      </c>
      <c r="B24" s="1">
        <v>21</v>
      </c>
      <c r="C24" s="1">
        <v>2</v>
      </c>
      <c r="D24" s="1">
        <v>8</v>
      </c>
      <c r="E24" s="1">
        <v>0</v>
      </c>
      <c r="F24" s="1" t="s">
        <v>706</v>
      </c>
      <c r="G24" s="1">
        <v>1588</v>
      </c>
      <c r="H24" s="1">
        <v>5000</v>
      </c>
      <c r="I24" s="1">
        <v>1</v>
      </c>
      <c r="O24" s="1">
        <v>31</v>
      </c>
      <c r="X24" s="1">
        <v>200011</v>
      </c>
      <c r="Y24" s="1" t="str">
        <f>IFERROR(INDEX([1]物品基础表!$A:$A,MATCH(X24,[1]物品基础表!$B:$B,0)),"")</f>
        <v>高级转生丹·无限制</v>
      </c>
      <c r="Z24" s="1">
        <v>5</v>
      </c>
      <c r="AB24" s="1" t="str">
        <f>IFERROR(INDEX([1]物品基础表!$A:$A,MATCH(AA24,[1]物品基础表!$B:$B,0)),"")</f>
        <v/>
      </c>
      <c r="AE24" s="1" t="str">
        <f>IFERROR(INDEX([1]物品基础表!$A:$A,MATCH(AD24,[1]物品基础表!$B:$B,0)),"")</f>
        <v/>
      </c>
      <c r="AH24" s="1" t="str">
        <f>IFERROR(INDEX([1]物品基础表!$A:$A,MATCH(AG24,[1]物品基础表!$B:$B,0)),"")</f>
        <v/>
      </c>
      <c r="AK24" s="1" t="str">
        <f>IFERROR(INDEX([1]物品基础表!$A:$A,MATCH(AJ24,[1]物品基础表!$B:$B,0)),"")</f>
        <v/>
      </c>
      <c r="AN24" s="1" t="str">
        <f>IFERROR(INDEX([1]物品基础表!$A:$A,MATCH(AM24,[1]物品基础表!$B:$B,0)),"")</f>
        <v/>
      </c>
      <c r="AQ24" s="1" t="str">
        <f>IFERROR(INDEX([1]物品基础表!$A:$A,MATCH(AP24,[1]物品基础表!$B:$B,0)),"")</f>
        <v/>
      </c>
    </row>
    <row r="25" spans="1:43">
      <c r="A25" s="1" t="str">
        <f>INDEX([2]活动总表!$A$8:$A$429,MATCH(B25,[2]活动总表!$B$8:$B$429,0))</f>
        <v>开服活动-限购礼包5</v>
      </c>
      <c r="B25" s="1">
        <v>21</v>
      </c>
      <c r="C25" s="1">
        <v>3</v>
      </c>
      <c r="D25" s="1">
        <v>5</v>
      </c>
      <c r="E25" s="1">
        <v>0</v>
      </c>
      <c r="F25" s="1" t="s">
        <v>706</v>
      </c>
      <c r="G25" s="1">
        <v>2888</v>
      </c>
      <c r="H25" s="1">
        <v>5000</v>
      </c>
      <c r="I25" s="1">
        <v>1</v>
      </c>
      <c r="O25" s="1">
        <v>57</v>
      </c>
      <c r="X25" s="1">
        <v>200011</v>
      </c>
      <c r="Y25" s="1" t="str">
        <f>IFERROR(INDEX([1]物品基础表!$A:$A,MATCH(X25,[1]物品基础表!$B:$B,0)),"")</f>
        <v>高级转生丹·无限制</v>
      </c>
      <c r="Z25" s="1">
        <v>5</v>
      </c>
      <c r="AB25" s="1" t="str">
        <f>IFERROR(INDEX([1]物品基础表!$A:$A,MATCH(AA25,[1]物品基础表!$B:$B,0)),"")</f>
        <v/>
      </c>
      <c r="AE25" s="1" t="str">
        <f>IFERROR(INDEX([1]物品基础表!$A:$A,MATCH(AD25,[1]物品基础表!$B:$B,0)),"")</f>
        <v/>
      </c>
      <c r="AH25" s="1" t="str">
        <f>IFERROR(INDEX([1]物品基础表!$A:$A,MATCH(AG25,[1]物品基础表!$B:$B,0)),"")</f>
        <v/>
      </c>
      <c r="AK25" s="1" t="str">
        <f>IFERROR(INDEX([1]物品基础表!$A:$A,MATCH(AJ25,[1]物品基础表!$B:$B,0)),"")</f>
        <v/>
      </c>
      <c r="AN25" s="1" t="str">
        <f>IFERROR(INDEX([1]物品基础表!$A:$A,MATCH(AM25,[1]物品基础表!$B:$B,0)),"")</f>
        <v/>
      </c>
      <c r="AQ25" s="1" t="str">
        <f>IFERROR(INDEX([1]物品基础表!$A:$A,MATCH(AP25,[1]物品基础表!$B:$B,0)),"")</f>
        <v/>
      </c>
    </row>
    <row r="26" spans="1:43">
      <c r="A26" s="1" t="str">
        <f>INDEX([2]活动总表!$A$8:$A$429,MATCH(B26,[2]活动总表!$B$8:$B$429,0))</f>
        <v>开服活动-限购礼包5</v>
      </c>
      <c r="B26" s="1">
        <v>21</v>
      </c>
      <c r="C26" s="1">
        <v>4</v>
      </c>
      <c r="D26" s="1">
        <v>5</v>
      </c>
      <c r="E26" s="1">
        <v>0</v>
      </c>
      <c r="F26" s="1" t="s">
        <v>706</v>
      </c>
      <c r="G26" s="1">
        <v>8888</v>
      </c>
      <c r="H26" s="1">
        <v>14998</v>
      </c>
      <c r="I26" s="1">
        <v>3</v>
      </c>
      <c r="O26" s="1">
        <v>59</v>
      </c>
      <c r="X26" s="1">
        <v>200012</v>
      </c>
      <c r="Y26" s="1" t="str">
        <f>IFERROR(INDEX([1]物品基础表!$A:$A,MATCH(X26,[1]物品基础表!$B:$B,0)),"")</f>
        <v>超级转生丹·无限制</v>
      </c>
      <c r="Z26" s="1">
        <v>1</v>
      </c>
      <c r="AA26" s="1">
        <v>200011</v>
      </c>
      <c r="AB26" s="1" t="str">
        <f>IFERROR(INDEX([1]物品基础表!$A:$A,MATCH(AA26,[1]物品基础表!$B:$B,0)),"")</f>
        <v>高级转生丹·无限制</v>
      </c>
      <c r="AC26" s="1">
        <v>5</v>
      </c>
      <c r="AE26" s="1" t="str">
        <f>IFERROR(INDEX([1]物品基础表!$A:$A,MATCH(AD26,[1]物品基础表!$B:$B,0)),"")</f>
        <v/>
      </c>
      <c r="AH26" s="1" t="str">
        <f>IFERROR(INDEX([1]物品基础表!$A:$A,MATCH(AG26,[1]物品基础表!$B:$B,0)),"")</f>
        <v/>
      </c>
      <c r="AK26" s="1" t="str">
        <f>IFERROR(INDEX([1]物品基础表!$A:$A,MATCH(AJ26,[1]物品基础表!$B:$B,0)),"")</f>
        <v/>
      </c>
      <c r="AN26" s="1" t="str">
        <f>IFERROR(INDEX([1]物品基础表!$A:$A,MATCH(AM26,[1]物品基础表!$B:$B,0)),"")</f>
        <v/>
      </c>
      <c r="AQ26" s="1" t="str">
        <f>IFERROR(INDEX([1]物品基础表!$A:$A,MATCH(AP26,[1]物品基础表!$B:$B,0)),"")</f>
        <v/>
      </c>
    </row>
    <row r="27" spans="1:43">
      <c r="A27" s="1" t="str">
        <f>INDEX([2]活动总表!$A$8:$A$429,MATCH(B27,[2]活动总表!$B$8:$B$429,0))</f>
        <v>开服活动-限购礼包6</v>
      </c>
      <c r="B27" s="1">
        <v>22</v>
      </c>
      <c r="C27" s="1">
        <v>1</v>
      </c>
      <c r="D27" s="1">
        <v>5</v>
      </c>
      <c r="E27" s="1">
        <v>0</v>
      </c>
      <c r="F27" s="1" t="s">
        <v>706</v>
      </c>
      <c r="G27" s="1">
        <v>888</v>
      </c>
      <c r="H27" s="1">
        <v>1500</v>
      </c>
      <c r="I27" s="1">
        <v>1</v>
      </c>
      <c r="O27" s="1">
        <v>59</v>
      </c>
      <c r="X27" s="1">
        <v>200165</v>
      </c>
      <c r="Y27" s="1" t="str">
        <f>IFERROR(INDEX([1]物品基础表!$A:$A,MATCH(X27,[1]物品基础表!$B:$B,0)),"")</f>
        <v>寻宝卷</v>
      </c>
      <c r="Z27" s="1">
        <v>3</v>
      </c>
      <c r="AB27" s="1" t="str">
        <f>IFERROR(INDEX([1]物品基础表!$A:$A,MATCH(AA27,[1]物品基础表!$B:$B,0)),"")</f>
        <v/>
      </c>
      <c r="AE27" s="1" t="str">
        <f>IFERROR(INDEX([1]物品基础表!$A:$A,MATCH(AD27,[1]物品基础表!$B:$B,0)),"")</f>
        <v/>
      </c>
      <c r="AH27" s="1" t="str">
        <f>IFERROR(INDEX([1]物品基础表!$A:$A,MATCH(AG27,[1]物品基础表!$B:$B,0)),"")</f>
        <v/>
      </c>
      <c r="AK27" s="1" t="str">
        <f>IFERROR(INDEX([1]物品基础表!$A:$A,MATCH(AJ27,[1]物品基础表!$B:$B,0)),"")</f>
        <v/>
      </c>
      <c r="AN27" s="1" t="str">
        <f>IFERROR(INDEX([1]物品基础表!$A:$A,MATCH(AM27,[1]物品基础表!$B:$B,0)),"")</f>
        <v/>
      </c>
      <c r="AQ27" s="1" t="str">
        <f>IFERROR(INDEX([1]物品基础表!$A:$A,MATCH(AP27,[1]物品基础表!$B:$B,0)),"")</f>
        <v/>
      </c>
    </row>
    <row r="28" spans="1:43">
      <c r="A28" s="1" t="str">
        <f>INDEX([2]活动总表!$A$8:$A$429,MATCH(B28,[2]活动总表!$B$8:$B$429,0))</f>
        <v>开服活动-限购礼包6</v>
      </c>
      <c r="B28" s="1">
        <v>22</v>
      </c>
      <c r="C28" s="1">
        <v>2</v>
      </c>
      <c r="D28" s="1">
        <v>9</v>
      </c>
      <c r="E28" s="1">
        <v>0</v>
      </c>
      <c r="F28" s="1" t="s">
        <v>706</v>
      </c>
      <c r="G28" s="1">
        <v>1588</v>
      </c>
      <c r="H28" s="1">
        <v>5000</v>
      </c>
      <c r="I28" s="1">
        <v>1</v>
      </c>
      <c r="O28" s="1">
        <v>31</v>
      </c>
      <c r="X28" s="1">
        <v>200165</v>
      </c>
      <c r="Y28" s="1" t="str">
        <f>IFERROR(INDEX([1]物品基础表!$A:$A,MATCH(X28,[1]物品基础表!$B:$B,0)),"")</f>
        <v>寻宝卷</v>
      </c>
      <c r="Z28" s="1">
        <v>10</v>
      </c>
      <c r="AB28" s="1" t="str">
        <f>IFERROR(INDEX([1]物品基础表!$A:$A,MATCH(AA28,[1]物品基础表!$B:$B,0)),"")</f>
        <v/>
      </c>
      <c r="AE28" s="1" t="str">
        <f>IFERROR(INDEX([1]物品基础表!$A:$A,MATCH(AD28,[1]物品基础表!$B:$B,0)),"")</f>
        <v/>
      </c>
      <c r="AH28" s="1" t="str">
        <f>IFERROR(INDEX([1]物品基础表!$A:$A,MATCH(AG28,[1]物品基础表!$B:$B,0)),"")</f>
        <v/>
      </c>
      <c r="AK28" s="1" t="str">
        <f>IFERROR(INDEX([1]物品基础表!$A:$A,MATCH(AJ28,[1]物品基础表!$B:$B,0)),"")</f>
        <v/>
      </c>
      <c r="AN28" s="1" t="str">
        <f>IFERROR(INDEX([1]物品基础表!$A:$A,MATCH(AM28,[1]物品基础表!$B:$B,0)),"")</f>
        <v/>
      </c>
      <c r="AQ28" s="1" t="str">
        <f>IFERROR(INDEX([1]物品基础表!$A:$A,MATCH(AP28,[1]物品基础表!$B:$B,0)),"")</f>
        <v/>
      </c>
    </row>
    <row r="29" spans="1:43">
      <c r="A29" s="1" t="str">
        <f>INDEX([2]活动总表!$A$8:$A$429,MATCH(B29,[2]活动总表!$B$8:$B$429,0))</f>
        <v>开服活动-限购礼包6</v>
      </c>
      <c r="B29" s="1">
        <v>22</v>
      </c>
      <c r="C29" s="1">
        <v>3</v>
      </c>
      <c r="D29" s="1">
        <v>5</v>
      </c>
      <c r="E29" s="1">
        <v>0</v>
      </c>
      <c r="F29" s="1" t="s">
        <v>706</v>
      </c>
      <c r="G29" s="1">
        <v>2888</v>
      </c>
      <c r="H29" s="1">
        <v>5000</v>
      </c>
      <c r="I29" s="1">
        <v>1</v>
      </c>
      <c r="O29" s="1">
        <v>57</v>
      </c>
      <c r="X29" s="1">
        <v>200165</v>
      </c>
      <c r="Y29" s="1" t="str">
        <f>IFERROR(INDEX([1]物品基础表!$A:$A,MATCH(X29,[1]物品基础表!$B:$B,0)),"")</f>
        <v>寻宝卷</v>
      </c>
      <c r="Z29" s="1">
        <v>10</v>
      </c>
      <c r="AB29" s="1" t="str">
        <f>IFERROR(INDEX([1]物品基础表!$A:$A,MATCH(AA29,[1]物品基础表!$B:$B,0)),"")</f>
        <v/>
      </c>
      <c r="AE29" s="1" t="str">
        <f>IFERROR(INDEX([1]物品基础表!$A:$A,MATCH(AD29,[1]物品基础表!$B:$B,0)),"")</f>
        <v/>
      </c>
      <c r="AH29" s="1" t="str">
        <f>IFERROR(INDEX([1]物品基础表!$A:$A,MATCH(AG29,[1]物品基础表!$B:$B,0)),"")</f>
        <v/>
      </c>
      <c r="AK29" s="1" t="str">
        <f>IFERROR(INDEX([1]物品基础表!$A:$A,MATCH(AJ29,[1]物品基础表!$B:$B,0)),"")</f>
        <v/>
      </c>
      <c r="AN29" s="1" t="str">
        <f>IFERROR(INDEX([1]物品基础表!$A:$A,MATCH(AM29,[1]物品基础表!$B:$B,0)),"")</f>
        <v/>
      </c>
      <c r="AQ29" s="1" t="str">
        <f>IFERROR(INDEX([1]物品基础表!$A:$A,MATCH(AP29,[1]物品基础表!$B:$B,0)),"")</f>
        <v/>
      </c>
    </row>
    <row r="30" spans="1:43">
      <c r="A30" s="1" t="str">
        <f>INDEX([2]活动总表!$A$8:$A$429,MATCH(B30,[2]活动总表!$B$8:$B$429,0))</f>
        <v>开服活动-限购礼包6</v>
      </c>
      <c r="B30" s="1">
        <v>22</v>
      </c>
      <c r="C30" s="1">
        <v>4</v>
      </c>
      <c r="D30" s="1">
        <v>5</v>
      </c>
      <c r="E30" s="1">
        <v>0</v>
      </c>
      <c r="F30" s="1" t="s">
        <v>706</v>
      </c>
      <c r="G30" s="1">
        <v>8888</v>
      </c>
      <c r="H30" s="1">
        <v>15000</v>
      </c>
      <c r="I30" s="1">
        <v>3</v>
      </c>
      <c r="O30" s="1">
        <v>59</v>
      </c>
      <c r="X30" s="1">
        <v>200165</v>
      </c>
      <c r="Y30" s="1" t="str">
        <f>IFERROR(INDEX([1]物品基础表!$A:$A,MATCH(X30,[1]物品基础表!$B:$B,0)),"")</f>
        <v>寻宝卷</v>
      </c>
      <c r="Z30" s="1">
        <v>30</v>
      </c>
      <c r="AB30" s="1" t="str">
        <f>IFERROR(INDEX([1]物品基础表!$A:$A,MATCH(AA30,[1]物品基础表!$B:$B,0)),"")</f>
        <v/>
      </c>
      <c r="AE30" s="1" t="str">
        <f>IFERROR(INDEX([1]物品基础表!$A:$A,MATCH(AD30,[1]物品基础表!$B:$B,0)),"")</f>
        <v/>
      </c>
      <c r="AH30" s="1" t="str">
        <f>IFERROR(INDEX([1]物品基础表!$A:$A,MATCH(AG30,[1]物品基础表!$B:$B,0)),"")</f>
        <v/>
      </c>
      <c r="AK30" s="1" t="str">
        <f>IFERROR(INDEX([1]物品基础表!$A:$A,MATCH(AJ30,[1]物品基础表!$B:$B,0)),"")</f>
        <v/>
      </c>
      <c r="AN30" s="1" t="str">
        <f>IFERROR(INDEX([1]物品基础表!$A:$A,MATCH(AM30,[1]物品基础表!$B:$B,0)),"")</f>
        <v/>
      </c>
      <c r="AQ30" s="1" t="str">
        <f>IFERROR(INDEX([1]物品基础表!$A:$A,MATCH(AP30,[1]物品基础表!$B:$B,0)),"")</f>
        <v/>
      </c>
    </row>
    <row r="31" spans="1:43">
      <c r="A31" s="1" t="str">
        <f>INDEX([2]活动总表!$A$8:$A$429,MATCH(B31,[2]活动总表!$B$8:$B$429,0))</f>
        <v>开服活动-限购礼包7</v>
      </c>
      <c r="B31" s="1">
        <v>23</v>
      </c>
      <c r="C31" s="1">
        <v>1</v>
      </c>
      <c r="D31" s="1">
        <v>5</v>
      </c>
      <c r="E31" s="1">
        <v>0</v>
      </c>
      <c r="F31" s="1" t="s">
        <v>706</v>
      </c>
      <c r="G31" s="1">
        <v>888</v>
      </c>
      <c r="H31" s="1">
        <v>1500</v>
      </c>
      <c r="I31" s="1">
        <v>1</v>
      </c>
      <c r="O31" s="1">
        <v>59</v>
      </c>
      <c r="X31" s="1">
        <v>200165</v>
      </c>
      <c r="Y31" s="1" t="str">
        <f>IFERROR(INDEX([1]物品基础表!$A:$A,MATCH(X31,[1]物品基础表!$B:$B,0)),"")</f>
        <v>寻宝卷</v>
      </c>
      <c r="Z31" s="1">
        <v>3</v>
      </c>
      <c r="AB31" s="1" t="str">
        <f>IFERROR(INDEX([1]物品基础表!$A:$A,MATCH(AA31,[1]物品基础表!$B:$B,0)),"")</f>
        <v/>
      </c>
      <c r="AE31" s="1" t="str">
        <f>IFERROR(INDEX([1]物品基础表!$A:$A,MATCH(AD31,[1]物品基础表!$B:$B,0)),"")</f>
        <v/>
      </c>
      <c r="AH31" s="1" t="str">
        <f>IFERROR(INDEX([1]物品基础表!$A:$A,MATCH(AG31,[1]物品基础表!$B:$B,0)),"")</f>
        <v/>
      </c>
      <c r="AK31" s="1" t="str">
        <f>IFERROR(INDEX([1]物品基础表!$A:$A,MATCH(AJ31,[1]物品基础表!$B:$B,0)),"")</f>
        <v/>
      </c>
      <c r="AN31" s="1" t="str">
        <f>IFERROR(INDEX([1]物品基础表!$A:$A,MATCH(AM31,[1]物品基础表!$B:$B,0)),"")</f>
        <v/>
      </c>
      <c r="AQ31" s="1" t="str">
        <f>IFERROR(INDEX([1]物品基础表!$A:$A,MATCH(AP31,[1]物品基础表!$B:$B,0)),"")</f>
        <v/>
      </c>
    </row>
    <row r="32" spans="1:43">
      <c r="A32" s="1" t="str">
        <f>INDEX([2]活动总表!$A$8:$A$429,MATCH(B32,[2]活动总表!$B$8:$B$429,0))</f>
        <v>开服活动-限购礼包7</v>
      </c>
      <c r="B32" s="1">
        <v>23</v>
      </c>
      <c r="C32" s="1">
        <v>2</v>
      </c>
      <c r="D32" s="1">
        <v>9</v>
      </c>
      <c r="E32" s="1">
        <v>0</v>
      </c>
      <c r="F32" s="1" t="s">
        <v>706</v>
      </c>
      <c r="G32" s="1">
        <v>1588</v>
      </c>
      <c r="H32" s="1">
        <v>5000</v>
      </c>
      <c r="I32" s="1">
        <v>1</v>
      </c>
      <c r="O32" s="1">
        <v>31</v>
      </c>
      <c r="X32" s="1">
        <v>200165</v>
      </c>
      <c r="Y32" s="1" t="str">
        <f>IFERROR(INDEX([1]物品基础表!$A:$A,MATCH(X32,[1]物品基础表!$B:$B,0)),"")</f>
        <v>寻宝卷</v>
      </c>
      <c r="Z32" s="1">
        <v>10</v>
      </c>
      <c r="AB32" s="1" t="str">
        <f>IFERROR(INDEX([1]物品基础表!$A:$A,MATCH(AA32,[1]物品基础表!$B:$B,0)),"")</f>
        <v/>
      </c>
      <c r="AE32" s="1" t="str">
        <f>IFERROR(INDEX([1]物品基础表!$A:$A,MATCH(AD32,[1]物品基础表!$B:$B,0)),"")</f>
        <v/>
      </c>
      <c r="AH32" s="1" t="str">
        <f>IFERROR(INDEX([1]物品基础表!$A:$A,MATCH(AG32,[1]物品基础表!$B:$B,0)),"")</f>
        <v/>
      </c>
      <c r="AK32" s="1" t="str">
        <f>IFERROR(INDEX([1]物品基础表!$A:$A,MATCH(AJ32,[1]物品基础表!$B:$B,0)),"")</f>
        <v/>
      </c>
      <c r="AN32" s="1" t="str">
        <f>IFERROR(INDEX([1]物品基础表!$A:$A,MATCH(AM32,[1]物品基础表!$B:$B,0)),"")</f>
        <v/>
      </c>
      <c r="AQ32" s="1" t="str">
        <f>IFERROR(INDEX([1]物品基础表!$A:$A,MATCH(AP32,[1]物品基础表!$B:$B,0)),"")</f>
        <v/>
      </c>
    </row>
    <row r="33" spans="1:43">
      <c r="A33" s="1" t="str">
        <f>INDEX([2]活动总表!$A$8:$A$429,MATCH(B33,[2]活动总表!$B$8:$B$429,0))</f>
        <v>开服活动-限购礼包7</v>
      </c>
      <c r="B33" s="1">
        <v>23</v>
      </c>
      <c r="C33" s="1">
        <v>3</v>
      </c>
      <c r="D33" s="1">
        <v>5</v>
      </c>
      <c r="E33" s="1">
        <v>0</v>
      </c>
      <c r="F33" s="1" t="s">
        <v>706</v>
      </c>
      <c r="G33" s="1">
        <v>2888</v>
      </c>
      <c r="H33" s="1">
        <v>5000</v>
      </c>
      <c r="I33" s="1">
        <v>1</v>
      </c>
      <c r="O33" s="1">
        <v>57</v>
      </c>
      <c r="X33" s="1">
        <v>200165</v>
      </c>
      <c r="Y33" s="1" t="str">
        <f>IFERROR(INDEX([1]物品基础表!$A:$A,MATCH(X33,[1]物品基础表!$B:$B,0)),"")</f>
        <v>寻宝卷</v>
      </c>
      <c r="Z33" s="1">
        <v>10</v>
      </c>
      <c r="AB33" s="1" t="str">
        <f>IFERROR(INDEX([1]物品基础表!$A:$A,MATCH(AA33,[1]物品基础表!$B:$B,0)),"")</f>
        <v/>
      </c>
      <c r="AE33" s="1" t="str">
        <f>IFERROR(INDEX([1]物品基础表!$A:$A,MATCH(AD33,[1]物品基础表!$B:$B,0)),"")</f>
        <v/>
      </c>
      <c r="AH33" s="1" t="str">
        <f>IFERROR(INDEX([1]物品基础表!$A:$A,MATCH(AG33,[1]物品基础表!$B:$B,0)),"")</f>
        <v/>
      </c>
      <c r="AK33" s="1" t="str">
        <f>IFERROR(INDEX([1]物品基础表!$A:$A,MATCH(AJ33,[1]物品基础表!$B:$B,0)),"")</f>
        <v/>
      </c>
      <c r="AN33" s="1" t="str">
        <f>IFERROR(INDEX([1]物品基础表!$A:$A,MATCH(AM33,[1]物品基础表!$B:$B,0)),"")</f>
        <v/>
      </c>
      <c r="AQ33" s="1" t="str">
        <f>IFERROR(INDEX([1]物品基础表!$A:$A,MATCH(AP33,[1]物品基础表!$B:$B,0)),"")</f>
        <v/>
      </c>
    </row>
    <row r="34" spans="1:43">
      <c r="A34" s="1" t="str">
        <f>INDEX([2]活动总表!$A$8:$A$429,MATCH(B34,[2]活动总表!$B$8:$B$429,0))</f>
        <v>开服活动-限购礼包7</v>
      </c>
      <c r="B34" s="1">
        <v>23</v>
      </c>
      <c r="C34" s="1">
        <v>4</v>
      </c>
      <c r="D34" s="1">
        <v>5</v>
      </c>
      <c r="E34" s="1">
        <v>0</v>
      </c>
      <c r="F34" s="1" t="s">
        <v>706</v>
      </c>
      <c r="G34" s="1">
        <v>8888</v>
      </c>
      <c r="H34" s="1">
        <v>15000</v>
      </c>
      <c r="I34" s="1">
        <v>3</v>
      </c>
      <c r="O34" s="1">
        <v>59</v>
      </c>
      <c r="X34" s="1">
        <v>200165</v>
      </c>
      <c r="Y34" s="1" t="str">
        <f>IFERROR(INDEX([1]物品基础表!$A:$A,MATCH(X34,[1]物品基础表!$B:$B,0)),"")</f>
        <v>寻宝卷</v>
      </c>
      <c r="Z34" s="1">
        <v>30</v>
      </c>
      <c r="AB34" s="1" t="str">
        <f>IFERROR(INDEX([1]物品基础表!$A:$A,MATCH(AA34,[1]物品基础表!$B:$B,0)),"")</f>
        <v/>
      </c>
      <c r="AE34" s="1" t="str">
        <f>IFERROR(INDEX([1]物品基础表!$A:$A,MATCH(AD34,[1]物品基础表!$B:$B,0)),"")</f>
        <v/>
      </c>
      <c r="AH34" s="1" t="str">
        <f>IFERROR(INDEX([1]物品基础表!$A:$A,MATCH(AG34,[1]物品基础表!$B:$B,0)),"")</f>
        <v/>
      </c>
      <c r="AK34" s="1" t="str">
        <f>IFERROR(INDEX([1]物品基础表!$A:$A,MATCH(AJ34,[1]物品基础表!$B:$B,0)),"")</f>
        <v/>
      </c>
      <c r="AN34" s="1" t="str">
        <f>IFERROR(INDEX([1]物品基础表!$A:$A,MATCH(AM34,[1]物品基础表!$B:$B,0)),"")</f>
        <v/>
      </c>
      <c r="AQ34" s="1" t="str">
        <f>IFERROR(INDEX([1]物品基础表!$A:$A,MATCH(AP34,[1]物品基础表!$B:$B,0)),"")</f>
        <v/>
      </c>
    </row>
    <row r="35" spans="1:43">
      <c r="A35" s="1" t="str">
        <f>INDEX([2]活动总表!$A$8:$A$429,MATCH(B35,[2]活动总表!$B$8:$B$429,0))</f>
        <v>次周活动-限购礼包1</v>
      </c>
      <c r="B35" s="1">
        <v>102</v>
      </c>
      <c r="C35" s="1">
        <v>1</v>
      </c>
      <c r="D35" s="1">
        <v>5</v>
      </c>
      <c r="E35" s="1">
        <v>0</v>
      </c>
      <c r="F35" s="1" t="s">
        <v>706</v>
      </c>
      <c r="G35" s="1">
        <v>888</v>
      </c>
      <c r="H35" s="1">
        <v>1500</v>
      </c>
      <c r="I35" s="1">
        <v>1</v>
      </c>
      <c r="O35" s="1">
        <v>59</v>
      </c>
      <c r="X35" s="1">
        <v>200003</v>
      </c>
      <c r="Y35" s="1" t="str">
        <f>IFERROR(INDEX([1]物品基础表!$A:$A,MATCH(X35,[1]物品基础表!$B:$B,0)),"")</f>
        <v>铸造晶石</v>
      </c>
      <c r="Z35" s="1">
        <v>30</v>
      </c>
      <c r="AB35" s="1" t="str">
        <f>IFERROR(INDEX([1]物品基础表!$A:$A,MATCH(AA35,[1]物品基础表!$B:$B,0)),"")</f>
        <v/>
      </c>
      <c r="AE35" s="1" t="str">
        <f>IFERROR(INDEX([1]物品基础表!$A:$A,MATCH(AD35,[1]物品基础表!$B:$B,0)),"")</f>
        <v/>
      </c>
      <c r="AH35" s="1" t="str">
        <f>IFERROR(INDEX([1]物品基础表!$A:$A,MATCH(AG35,[1]物品基础表!$B:$B,0)),"")</f>
        <v/>
      </c>
      <c r="AK35" s="1" t="str">
        <f>IFERROR(INDEX([1]物品基础表!$A:$A,MATCH(AJ35,[1]物品基础表!$B:$B,0)),"")</f>
        <v/>
      </c>
      <c r="AN35" s="1" t="str">
        <f>IFERROR(INDEX([1]物品基础表!$A:$A,MATCH(AM35,[1]物品基础表!$B:$B,0)),"")</f>
        <v/>
      </c>
      <c r="AQ35" s="1" t="str">
        <f>IFERROR(INDEX([1]物品基础表!$A:$A,MATCH(AP35,[1]物品基础表!$B:$B,0)),"")</f>
        <v/>
      </c>
    </row>
    <row r="36" spans="1:43">
      <c r="A36" s="1" t="str">
        <f>INDEX([2]活动总表!$A$8:$A$429,MATCH(B36,[2]活动总表!$B$8:$B$429,0))</f>
        <v>次周活动-限购礼包1</v>
      </c>
      <c r="B36" s="1">
        <v>102</v>
      </c>
      <c r="C36" s="1">
        <v>2</v>
      </c>
      <c r="D36" s="1">
        <v>7</v>
      </c>
      <c r="E36" s="1">
        <v>0</v>
      </c>
      <c r="F36" s="1" t="s">
        <v>706</v>
      </c>
      <c r="G36" s="1">
        <v>1588</v>
      </c>
      <c r="H36" s="1">
        <v>5000</v>
      </c>
      <c r="I36" s="1">
        <v>1</v>
      </c>
      <c r="O36" s="1">
        <v>31</v>
      </c>
      <c r="X36" s="1">
        <v>200003</v>
      </c>
      <c r="Y36" s="1" t="str">
        <f>IFERROR(INDEX([1]物品基础表!$A:$A,MATCH(X36,[1]物品基础表!$B:$B,0)),"")</f>
        <v>铸造晶石</v>
      </c>
      <c r="Z36" s="1">
        <v>100</v>
      </c>
      <c r="AB36" s="1" t="str">
        <f>IFERROR(INDEX([1]物品基础表!$A:$A,MATCH(AA36,[1]物品基础表!$B:$B,0)),"")</f>
        <v/>
      </c>
      <c r="AE36" s="1" t="str">
        <f>IFERROR(INDEX([1]物品基础表!$A:$A,MATCH(AD36,[1]物品基础表!$B:$B,0)),"")</f>
        <v/>
      </c>
      <c r="AH36" s="1" t="str">
        <f>IFERROR(INDEX([1]物品基础表!$A:$A,MATCH(AG36,[1]物品基础表!$B:$B,0)),"")</f>
        <v/>
      </c>
      <c r="AK36" s="1" t="str">
        <f>IFERROR(INDEX([1]物品基础表!$A:$A,MATCH(AJ36,[1]物品基础表!$B:$B,0)),"")</f>
        <v/>
      </c>
      <c r="AN36" s="1" t="str">
        <f>IFERROR(INDEX([1]物品基础表!$A:$A,MATCH(AM36,[1]物品基础表!$B:$B,0)),"")</f>
        <v/>
      </c>
      <c r="AQ36" s="1" t="str">
        <f>IFERROR(INDEX([1]物品基础表!$A:$A,MATCH(AP36,[1]物品基础表!$B:$B,0)),"")</f>
        <v/>
      </c>
    </row>
    <row r="37" spans="1:43">
      <c r="A37" s="1" t="str">
        <f>INDEX([2]活动总表!$A$8:$A$429,MATCH(B37,[2]活动总表!$B$8:$B$429,0))</f>
        <v>次周活动-限购礼包1</v>
      </c>
      <c r="B37" s="1">
        <v>102</v>
      </c>
      <c r="C37" s="1">
        <v>3</v>
      </c>
      <c r="D37" s="1">
        <v>5</v>
      </c>
      <c r="E37" s="1">
        <v>0</v>
      </c>
      <c r="F37" s="1" t="s">
        <v>706</v>
      </c>
      <c r="G37" s="1">
        <v>2888</v>
      </c>
      <c r="H37" s="1">
        <v>5000</v>
      </c>
      <c r="I37" s="1">
        <v>1</v>
      </c>
      <c r="O37" s="1">
        <v>57</v>
      </c>
      <c r="X37" s="1">
        <v>200003</v>
      </c>
      <c r="Y37" s="1" t="str">
        <f>IFERROR(INDEX([1]物品基础表!$A:$A,MATCH(X37,[1]物品基础表!$B:$B,0)),"")</f>
        <v>铸造晶石</v>
      </c>
      <c r="Z37" s="1">
        <v>100</v>
      </c>
      <c r="AB37" s="1" t="str">
        <f>IFERROR(INDEX([1]物品基础表!$A:$A,MATCH(AA37,[1]物品基础表!$B:$B,0)),"")</f>
        <v/>
      </c>
      <c r="AE37" s="1" t="str">
        <f>IFERROR(INDEX([1]物品基础表!$A:$A,MATCH(AD37,[1]物品基础表!$B:$B,0)),"")</f>
        <v/>
      </c>
      <c r="AH37" s="1" t="str">
        <f>IFERROR(INDEX([1]物品基础表!$A:$A,MATCH(AG37,[1]物品基础表!$B:$B,0)),"")</f>
        <v/>
      </c>
      <c r="AK37" s="1" t="str">
        <f>IFERROR(INDEX([1]物品基础表!$A:$A,MATCH(AJ37,[1]物品基础表!$B:$B,0)),"")</f>
        <v/>
      </c>
      <c r="AN37" s="1" t="str">
        <f>IFERROR(INDEX([1]物品基础表!$A:$A,MATCH(AM37,[1]物品基础表!$B:$B,0)),"")</f>
        <v/>
      </c>
      <c r="AQ37" s="1" t="str">
        <f>IFERROR(INDEX([1]物品基础表!$A:$A,MATCH(AP37,[1]物品基础表!$B:$B,0)),"")</f>
        <v/>
      </c>
    </row>
    <row r="38" spans="1:43">
      <c r="A38" s="1" t="str">
        <f>INDEX([2]活动总表!$A$8:$A$429,MATCH(B38,[2]活动总表!$B$8:$B$429,0))</f>
        <v>次周活动-限购礼包1</v>
      </c>
      <c r="B38" s="1">
        <v>102</v>
      </c>
      <c r="C38" s="1">
        <v>4</v>
      </c>
      <c r="D38" s="1">
        <v>5</v>
      </c>
      <c r="E38" s="1">
        <v>0</v>
      </c>
      <c r="F38" s="1" t="s">
        <v>706</v>
      </c>
      <c r="G38" s="1">
        <v>8888</v>
      </c>
      <c r="H38" s="1">
        <v>15000</v>
      </c>
      <c r="I38" s="1">
        <v>3</v>
      </c>
      <c r="O38" s="1">
        <v>59</v>
      </c>
      <c r="X38" s="1">
        <v>200003</v>
      </c>
      <c r="Y38" s="1" t="str">
        <f>IFERROR(INDEX([1]物品基础表!$A:$A,MATCH(X38,[1]物品基础表!$B:$B,0)),"")</f>
        <v>铸造晶石</v>
      </c>
      <c r="Z38" s="1">
        <v>300</v>
      </c>
      <c r="AB38" s="1" t="str">
        <f>IFERROR(INDEX([1]物品基础表!$A:$A,MATCH(AA38,[1]物品基础表!$B:$B,0)),"")</f>
        <v/>
      </c>
      <c r="AE38" s="1" t="str">
        <f>IFERROR(INDEX([1]物品基础表!$A:$A,MATCH(AD38,[1]物品基础表!$B:$B,0)),"")</f>
        <v/>
      </c>
      <c r="AH38" s="1" t="str">
        <f>IFERROR(INDEX([1]物品基础表!$A:$A,MATCH(AG38,[1]物品基础表!$B:$B,0)),"")</f>
        <v/>
      </c>
      <c r="AK38" s="1" t="str">
        <f>IFERROR(INDEX([1]物品基础表!$A:$A,MATCH(AJ38,[1]物品基础表!$B:$B,0)),"")</f>
        <v/>
      </c>
      <c r="AN38" s="1" t="str">
        <f>IFERROR(INDEX([1]物品基础表!$A:$A,MATCH(AM38,[1]物品基础表!$B:$B,0)),"")</f>
        <v/>
      </c>
      <c r="AQ38" s="1" t="str">
        <f>IFERROR(INDEX([1]物品基础表!$A:$A,MATCH(AP38,[1]物品基础表!$B:$B,0)),"")</f>
        <v/>
      </c>
    </row>
    <row r="39" spans="1:43">
      <c r="A39" s="1" t="str">
        <f>INDEX([2]活动总表!$A$8:$A$429,MATCH(B39,[2]活动总表!$B$8:$B$429,0))</f>
        <v>次周活动-限购礼包2</v>
      </c>
      <c r="B39" s="1">
        <v>103</v>
      </c>
      <c r="C39" s="1">
        <v>1</v>
      </c>
      <c r="D39" s="1">
        <v>5</v>
      </c>
      <c r="E39" s="1">
        <v>0</v>
      </c>
      <c r="F39" s="1" t="s">
        <v>706</v>
      </c>
      <c r="G39" s="1">
        <v>888</v>
      </c>
      <c r="H39" s="1">
        <v>1500</v>
      </c>
      <c r="I39" s="1">
        <v>1</v>
      </c>
      <c r="O39" s="1">
        <v>59</v>
      </c>
      <c r="X39" s="1">
        <v>200301</v>
      </c>
      <c r="Y39" s="1" t="str">
        <f>IFERROR(INDEX([1]物品基础表!$A:$A,MATCH(X39,[1]物品基础表!$B:$B,0)),"")</f>
        <v>传世宝钻</v>
      </c>
      <c r="Z39" s="1">
        <v>15</v>
      </c>
      <c r="AB39" s="1" t="str">
        <f>IFERROR(INDEX([1]物品基础表!$A:$A,MATCH(AA39,[1]物品基础表!$B:$B,0)),"")</f>
        <v/>
      </c>
      <c r="AE39" s="1" t="str">
        <f>IFERROR(INDEX([1]物品基础表!$A:$A,MATCH(AD39,[1]物品基础表!$B:$B,0)),"")</f>
        <v/>
      </c>
      <c r="AH39" s="1" t="str">
        <f>IFERROR(INDEX([1]物品基础表!$A:$A,MATCH(AG39,[1]物品基础表!$B:$B,0)),"")</f>
        <v/>
      </c>
      <c r="AK39" s="1" t="str">
        <f>IFERROR(INDEX([1]物品基础表!$A:$A,MATCH(AJ39,[1]物品基础表!$B:$B,0)),"")</f>
        <v/>
      </c>
      <c r="AN39" s="1" t="str">
        <f>IFERROR(INDEX([1]物品基础表!$A:$A,MATCH(AM39,[1]物品基础表!$B:$B,0)),"")</f>
        <v/>
      </c>
      <c r="AQ39" s="1" t="str">
        <f>IFERROR(INDEX([1]物品基础表!$A:$A,MATCH(AP39,[1]物品基础表!$B:$B,0)),"")</f>
        <v/>
      </c>
    </row>
    <row r="40" spans="1:43">
      <c r="A40" s="1" t="str">
        <f>INDEX([2]活动总表!$A$8:$A$429,MATCH(B40,[2]活动总表!$B$8:$B$429,0))</f>
        <v>次周活动-限购礼包2</v>
      </c>
      <c r="B40" s="1">
        <v>103</v>
      </c>
      <c r="C40" s="1">
        <v>2</v>
      </c>
      <c r="D40" s="1">
        <v>7</v>
      </c>
      <c r="E40" s="1">
        <v>0</v>
      </c>
      <c r="F40" s="1" t="s">
        <v>706</v>
      </c>
      <c r="G40" s="1">
        <v>1588</v>
      </c>
      <c r="H40" s="1">
        <v>5000</v>
      </c>
      <c r="I40" s="1">
        <v>1</v>
      </c>
      <c r="O40" s="1">
        <v>31</v>
      </c>
      <c r="X40" s="1">
        <v>200301</v>
      </c>
      <c r="Y40" s="1" t="str">
        <f>IFERROR(INDEX([1]物品基础表!$A:$A,MATCH(X40,[1]物品基础表!$B:$B,0)),"")</f>
        <v>传世宝钻</v>
      </c>
      <c r="Z40" s="1">
        <v>50</v>
      </c>
      <c r="AB40" s="1" t="str">
        <f>IFERROR(INDEX([1]物品基础表!$A:$A,MATCH(AA40,[1]物品基础表!$B:$B,0)),"")</f>
        <v/>
      </c>
      <c r="AE40" s="1" t="str">
        <f>IFERROR(INDEX([1]物品基础表!$A:$A,MATCH(AD40,[1]物品基础表!$B:$B,0)),"")</f>
        <v/>
      </c>
      <c r="AH40" s="1" t="str">
        <f>IFERROR(INDEX([1]物品基础表!$A:$A,MATCH(AG40,[1]物品基础表!$B:$B,0)),"")</f>
        <v/>
      </c>
      <c r="AK40" s="1" t="str">
        <f>IFERROR(INDEX([1]物品基础表!$A:$A,MATCH(AJ40,[1]物品基础表!$B:$B,0)),"")</f>
        <v/>
      </c>
      <c r="AN40" s="1" t="str">
        <f>IFERROR(INDEX([1]物品基础表!$A:$A,MATCH(AM40,[1]物品基础表!$B:$B,0)),"")</f>
        <v/>
      </c>
      <c r="AQ40" s="1" t="str">
        <f>IFERROR(INDEX([1]物品基础表!$A:$A,MATCH(AP40,[1]物品基础表!$B:$B,0)),"")</f>
        <v/>
      </c>
    </row>
    <row r="41" spans="1:43">
      <c r="A41" s="1" t="str">
        <f>INDEX([2]活动总表!$A$8:$A$429,MATCH(B41,[2]活动总表!$B$8:$B$429,0))</f>
        <v>次周活动-限购礼包2</v>
      </c>
      <c r="B41" s="1">
        <v>103</v>
      </c>
      <c r="C41" s="1">
        <v>3</v>
      </c>
      <c r="D41" s="1">
        <v>5</v>
      </c>
      <c r="E41" s="1">
        <v>0</v>
      </c>
      <c r="F41" s="1" t="s">
        <v>706</v>
      </c>
      <c r="G41" s="1">
        <v>2888</v>
      </c>
      <c r="H41" s="1">
        <v>5365</v>
      </c>
      <c r="I41" s="1">
        <v>1</v>
      </c>
      <c r="O41" s="1">
        <v>53</v>
      </c>
      <c r="X41" s="1">
        <v>200301</v>
      </c>
      <c r="Y41" s="1" t="str">
        <f>IFERROR(INDEX([1]物品基础表!$A:$A,MATCH(X41,[1]物品基础表!$B:$B,0)),"")</f>
        <v>传世宝钻</v>
      </c>
      <c r="Z41" s="1">
        <v>40</v>
      </c>
      <c r="AA41" s="1">
        <v>200153</v>
      </c>
      <c r="AB41" s="1" t="str">
        <f>IFERROR(INDEX([1]物品基础表!$A:$A,MATCH(AA41,[1]物品基础表!$B:$B,0)),"")</f>
        <v>传世宝箱</v>
      </c>
      <c r="AC41" s="1">
        <v>1</v>
      </c>
      <c r="AE41" s="1" t="str">
        <f>IFERROR(INDEX([1]物品基础表!$A:$A,MATCH(AD41,[1]物品基础表!$B:$B,0)),"")</f>
        <v/>
      </c>
      <c r="AH41" s="1" t="str">
        <f>IFERROR(INDEX([1]物品基础表!$A:$A,MATCH(AG41,[1]物品基础表!$B:$B,0)),"")</f>
        <v/>
      </c>
      <c r="AK41" s="1" t="str">
        <f>IFERROR(INDEX([1]物品基础表!$A:$A,MATCH(AJ41,[1]物品基础表!$B:$B,0)),"")</f>
        <v/>
      </c>
      <c r="AN41" s="1" t="str">
        <f>IFERROR(INDEX([1]物品基础表!$A:$A,MATCH(AM41,[1]物品基础表!$B:$B,0)),"")</f>
        <v/>
      </c>
      <c r="AQ41" s="1" t="str">
        <f>IFERROR(INDEX([1]物品基础表!$A:$A,MATCH(AP41,[1]物品基础表!$B:$B,0)),"")</f>
        <v/>
      </c>
    </row>
    <row r="42" spans="1:43">
      <c r="A42" s="1" t="str">
        <f>INDEX([2]活动总表!$A$8:$A$429,MATCH(B42,[2]活动总表!$B$8:$B$429,0))</f>
        <v>次周活动-限购礼包2</v>
      </c>
      <c r="B42" s="1">
        <v>103</v>
      </c>
      <c r="C42" s="1">
        <v>4</v>
      </c>
      <c r="D42" s="1">
        <v>5</v>
      </c>
      <c r="E42" s="1">
        <v>0</v>
      </c>
      <c r="F42" s="1" t="s">
        <v>706</v>
      </c>
      <c r="G42" s="1">
        <v>8888</v>
      </c>
      <c r="H42" s="1">
        <v>15230</v>
      </c>
      <c r="I42" s="1">
        <v>3</v>
      </c>
      <c r="O42" s="1">
        <v>58</v>
      </c>
      <c r="X42" s="1">
        <v>200301</v>
      </c>
      <c r="Y42" s="1" t="str">
        <f>IFERROR(INDEX([1]物品基础表!$A:$A,MATCH(X42,[1]物品基础表!$B:$B,0)),"")</f>
        <v>传世宝钻</v>
      </c>
      <c r="Z42" s="1">
        <v>125</v>
      </c>
      <c r="AA42" s="1">
        <v>200153</v>
      </c>
      <c r="AB42" s="1" t="str">
        <f>IFERROR(INDEX([1]物品基础表!$A:$A,MATCH(AA42,[1]物品基础表!$B:$B,0)),"")</f>
        <v>传世宝箱</v>
      </c>
      <c r="AC42" s="1">
        <v>2</v>
      </c>
      <c r="AE42" s="1" t="str">
        <f>IFERROR(INDEX([1]物品基础表!$A:$A,MATCH(AD42,[1]物品基础表!$B:$B,0)),"")</f>
        <v/>
      </c>
      <c r="AH42" s="1" t="str">
        <f>IFERROR(INDEX([1]物品基础表!$A:$A,MATCH(AG42,[1]物品基础表!$B:$B,0)),"")</f>
        <v/>
      </c>
      <c r="AK42" s="1" t="str">
        <f>IFERROR(INDEX([1]物品基础表!$A:$A,MATCH(AJ42,[1]物品基础表!$B:$B,0)),"")</f>
        <v/>
      </c>
      <c r="AN42" s="1" t="str">
        <f>IFERROR(INDEX([1]物品基础表!$A:$A,MATCH(AM42,[1]物品基础表!$B:$B,0)),"")</f>
        <v/>
      </c>
      <c r="AQ42" s="1" t="str">
        <f>IFERROR(INDEX([1]物品基础表!$A:$A,MATCH(AP42,[1]物品基础表!$B:$B,0)),"")</f>
        <v/>
      </c>
    </row>
    <row r="43" spans="1:43">
      <c r="A43" s="1" t="str">
        <f>INDEX([2]活动总表!$A$8:$A$429,MATCH(B43,[2]活动总表!$B$8:$B$429,0))</f>
        <v>次周活动-限购礼包3</v>
      </c>
      <c r="B43" s="1">
        <v>104</v>
      </c>
      <c r="C43" s="1">
        <v>1</v>
      </c>
      <c r="D43" s="1">
        <v>5</v>
      </c>
      <c r="E43" s="1">
        <v>0</v>
      </c>
      <c r="F43" s="1" t="s">
        <v>706</v>
      </c>
      <c r="G43" s="1">
        <v>888</v>
      </c>
      <c r="H43" s="1">
        <v>1500</v>
      </c>
      <c r="I43" s="1">
        <v>1</v>
      </c>
      <c r="O43" s="1">
        <v>59</v>
      </c>
      <c r="X43" s="1">
        <v>601000</v>
      </c>
      <c r="Y43" s="1" t="str">
        <f>IFERROR(INDEX([1]物品基础表!$A:$A,MATCH(X43,[1]物品基础表!$B:$B,0)),"")</f>
        <v>神羽碎片</v>
      </c>
      <c r="Z43" s="1">
        <v>6</v>
      </c>
      <c r="AB43" s="1" t="str">
        <f>IFERROR(INDEX([1]物品基础表!$A:$A,MATCH(AA43,[1]物品基础表!$B:$B,0)),"")</f>
        <v/>
      </c>
      <c r="AE43" s="1" t="str">
        <f>IFERROR(INDEX([1]物品基础表!$A:$A,MATCH(AD43,[1]物品基础表!$B:$B,0)),"")</f>
        <v/>
      </c>
      <c r="AH43" s="1" t="str">
        <f>IFERROR(INDEX([1]物品基础表!$A:$A,MATCH(AG43,[1]物品基础表!$B:$B,0)),"")</f>
        <v/>
      </c>
      <c r="AK43" s="1" t="str">
        <f>IFERROR(INDEX([1]物品基础表!$A:$A,MATCH(AJ43,[1]物品基础表!$B:$B,0)),"")</f>
        <v/>
      </c>
      <c r="AN43" s="1" t="str">
        <f>IFERROR(INDEX([1]物品基础表!$A:$A,MATCH(AM43,[1]物品基础表!$B:$B,0)),"")</f>
        <v/>
      </c>
      <c r="AQ43" s="1" t="str">
        <f>IFERROR(INDEX([1]物品基础表!$A:$A,MATCH(AP43,[1]物品基础表!$B:$B,0)),"")</f>
        <v/>
      </c>
    </row>
    <row r="44" spans="1:43">
      <c r="A44" s="1" t="str">
        <f>INDEX([2]活动总表!$A$8:$A$429,MATCH(B44,[2]活动总表!$B$8:$B$429,0))</f>
        <v>次周活动-限购礼包3</v>
      </c>
      <c r="B44" s="1">
        <v>104</v>
      </c>
      <c r="C44" s="1">
        <v>2</v>
      </c>
      <c r="D44" s="1">
        <v>8</v>
      </c>
      <c r="E44" s="1">
        <v>0</v>
      </c>
      <c r="F44" s="1" t="s">
        <v>706</v>
      </c>
      <c r="G44" s="1">
        <v>1588</v>
      </c>
      <c r="H44" s="1">
        <v>5000</v>
      </c>
      <c r="I44" s="1">
        <v>1</v>
      </c>
      <c r="O44" s="1">
        <v>31</v>
      </c>
      <c r="X44" s="1">
        <v>601000</v>
      </c>
      <c r="Y44" s="1" t="str">
        <f>IFERROR(INDEX([1]物品基础表!$A:$A,MATCH(X44,[1]物品基础表!$B:$B,0)),"")</f>
        <v>神羽碎片</v>
      </c>
      <c r="Z44" s="1">
        <v>20</v>
      </c>
      <c r="AB44" s="1" t="str">
        <f>IFERROR(INDEX([1]物品基础表!$A:$A,MATCH(AA44,[1]物品基础表!$B:$B,0)),"")</f>
        <v/>
      </c>
      <c r="AE44" s="1" t="str">
        <f>IFERROR(INDEX([1]物品基础表!$A:$A,MATCH(AD44,[1]物品基础表!$B:$B,0)),"")</f>
        <v/>
      </c>
      <c r="AH44" s="1" t="str">
        <f>IFERROR(INDEX([1]物品基础表!$A:$A,MATCH(AG44,[1]物品基础表!$B:$B,0)),"")</f>
        <v/>
      </c>
      <c r="AK44" s="1" t="str">
        <f>IFERROR(INDEX([1]物品基础表!$A:$A,MATCH(AJ44,[1]物品基础表!$B:$B,0)),"")</f>
        <v/>
      </c>
      <c r="AN44" s="1" t="str">
        <f>IFERROR(INDEX([1]物品基础表!$A:$A,MATCH(AM44,[1]物品基础表!$B:$B,0)),"")</f>
        <v/>
      </c>
      <c r="AQ44" s="1" t="str">
        <f>IFERROR(INDEX([1]物品基础表!$A:$A,MATCH(AP44,[1]物品基础表!$B:$B,0)),"")</f>
        <v/>
      </c>
    </row>
    <row r="45" spans="1:43">
      <c r="A45" s="1" t="str">
        <f>INDEX([2]活动总表!$A$8:$A$429,MATCH(B45,[2]活动总表!$B$8:$B$429,0))</f>
        <v>次周活动-限购礼包3</v>
      </c>
      <c r="B45" s="1">
        <v>104</v>
      </c>
      <c r="C45" s="1">
        <v>3</v>
      </c>
      <c r="D45" s="1">
        <v>5</v>
      </c>
      <c r="E45" s="1">
        <v>0</v>
      </c>
      <c r="F45" s="1" t="s">
        <v>706</v>
      </c>
      <c r="G45" s="1">
        <v>2888</v>
      </c>
      <c r="H45" s="1">
        <v>5000</v>
      </c>
      <c r="I45" s="1">
        <v>1</v>
      </c>
      <c r="O45" s="1">
        <v>57</v>
      </c>
      <c r="X45" s="1">
        <v>601000</v>
      </c>
      <c r="Y45" s="1" t="str">
        <f>IFERROR(INDEX([1]物品基础表!$A:$A,MATCH(X45,[1]物品基础表!$B:$B,0)),"")</f>
        <v>神羽碎片</v>
      </c>
      <c r="Z45" s="1">
        <v>20</v>
      </c>
      <c r="AB45" s="1" t="str">
        <f>IFERROR(INDEX([1]物品基础表!$A:$A,MATCH(AA45,[1]物品基础表!$B:$B,0)),"")</f>
        <v/>
      </c>
      <c r="AE45" s="1" t="str">
        <f>IFERROR(INDEX([1]物品基础表!$A:$A,MATCH(AD45,[1]物品基础表!$B:$B,0)),"")</f>
        <v/>
      </c>
      <c r="AH45" s="1" t="str">
        <f>IFERROR(INDEX([1]物品基础表!$A:$A,MATCH(AG45,[1]物品基础表!$B:$B,0)),"")</f>
        <v/>
      </c>
      <c r="AK45" s="1" t="str">
        <f>IFERROR(INDEX([1]物品基础表!$A:$A,MATCH(AJ45,[1]物品基础表!$B:$B,0)),"")</f>
        <v/>
      </c>
      <c r="AN45" s="1" t="str">
        <f>IFERROR(INDEX([1]物品基础表!$A:$A,MATCH(AM45,[1]物品基础表!$B:$B,0)),"")</f>
        <v/>
      </c>
      <c r="AQ45" s="1" t="str">
        <f>IFERROR(INDEX([1]物品基础表!$A:$A,MATCH(AP45,[1]物品基础表!$B:$B,0)),"")</f>
        <v/>
      </c>
    </row>
    <row r="46" spans="1:43">
      <c r="A46" s="1" t="str">
        <f>INDEX([2]活动总表!$A$8:$A$429,MATCH(B46,[2]活动总表!$B$8:$B$429,0))</f>
        <v>次周活动-限购礼包3</v>
      </c>
      <c r="B46" s="1">
        <v>104</v>
      </c>
      <c r="C46" s="1">
        <v>4</v>
      </c>
      <c r="D46" s="1">
        <v>5</v>
      </c>
      <c r="E46" s="1">
        <v>0</v>
      </c>
      <c r="F46" s="1" t="s">
        <v>706</v>
      </c>
      <c r="G46" s="1">
        <v>8888</v>
      </c>
      <c r="H46" s="1">
        <v>15000</v>
      </c>
      <c r="I46" s="1">
        <v>1</v>
      </c>
      <c r="O46" s="1">
        <v>59</v>
      </c>
      <c r="X46" s="1">
        <v>601603</v>
      </c>
      <c r="Y46" s="1" t="str">
        <f>IFERROR(INDEX([1]物品基础表!$A:$A,MATCH(X46,[1]物品基础表!$B:$B,0)),"")</f>
        <v>2阶神羽宝箱</v>
      </c>
      <c r="Z46" s="1">
        <v>1</v>
      </c>
      <c r="AB46" s="1" t="str">
        <f>IFERROR(INDEX([1]物品基础表!$A:$A,MATCH(AA46,[1]物品基础表!$B:$B,0)),"")</f>
        <v/>
      </c>
      <c r="AE46" s="1" t="str">
        <f>IFERROR(INDEX([1]物品基础表!$A:$A,MATCH(AD46,[1]物品基础表!$B:$B,0)),"")</f>
        <v/>
      </c>
      <c r="AH46" s="1" t="str">
        <f>IFERROR(INDEX([1]物品基础表!$A:$A,MATCH(AG46,[1]物品基础表!$B:$B,0)),"")</f>
        <v/>
      </c>
      <c r="AK46" s="1" t="str">
        <f>IFERROR(INDEX([1]物品基础表!$A:$A,MATCH(AJ46,[1]物品基础表!$B:$B,0)),"")</f>
        <v/>
      </c>
      <c r="AN46" s="1" t="str">
        <f>IFERROR(INDEX([1]物品基础表!$A:$A,MATCH(AM46,[1]物品基础表!$B:$B,0)),"")</f>
        <v/>
      </c>
      <c r="AQ46" s="1" t="str">
        <f>IFERROR(INDEX([1]物品基础表!$A:$A,MATCH(AP46,[1]物品基础表!$B:$B,0)),"")</f>
        <v/>
      </c>
    </row>
    <row r="47" spans="1:43">
      <c r="A47" s="1" t="str">
        <f>INDEX([2]活动总表!$A$8:$A$429,MATCH(B47,[2]活动总表!$B$8:$B$429,0))</f>
        <v>次周活动-限购礼包4</v>
      </c>
      <c r="B47" s="1">
        <v>105</v>
      </c>
      <c r="C47" s="1">
        <v>1</v>
      </c>
      <c r="D47" s="1">
        <v>5</v>
      </c>
      <c r="E47" s="1">
        <v>0</v>
      </c>
      <c r="F47" s="1" t="s">
        <v>706</v>
      </c>
      <c r="G47" s="1">
        <v>1288</v>
      </c>
      <c r="H47" s="1">
        <v>2000</v>
      </c>
      <c r="I47" s="1">
        <v>1</v>
      </c>
      <c r="O47" s="1">
        <v>64</v>
      </c>
      <c r="X47" s="1">
        <v>200011</v>
      </c>
      <c r="Y47" s="1" t="str">
        <f>IFERROR(INDEX([1]物品基础表!$A:$A,MATCH(X47,[1]物品基础表!$B:$B,0)),"")</f>
        <v>高级转生丹·无限制</v>
      </c>
      <c r="Z47" s="1">
        <v>2</v>
      </c>
      <c r="AB47" s="1" t="str">
        <f>IFERROR(INDEX([1]物品基础表!$A:$A,MATCH(AA47,[1]物品基础表!$B:$B,0)),"")</f>
        <v/>
      </c>
      <c r="AE47" s="1" t="str">
        <f>IFERROR(INDEX([1]物品基础表!$A:$A,MATCH(AD47,[1]物品基础表!$B:$B,0)),"")</f>
        <v/>
      </c>
      <c r="AH47" s="1" t="str">
        <f>IFERROR(INDEX([1]物品基础表!$A:$A,MATCH(AG47,[1]物品基础表!$B:$B,0)),"")</f>
        <v/>
      </c>
      <c r="AK47" s="1" t="str">
        <f>IFERROR(INDEX([1]物品基础表!$A:$A,MATCH(AJ47,[1]物品基础表!$B:$B,0)),"")</f>
        <v/>
      </c>
      <c r="AN47" s="1" t="str">
        <f>IFERROR(INDEX([1]物品基础表!$A:$A,MATCH(AM47,[1]物品基础表!$B:$B,0)),"")</f>
        <v/>
      </c>
      <c r="AQ47" s="1" t="str">
        <f>IFERROR(INDEX([1]物品基础表!$A:$A,MATCH(AP47,[1]物品基础表!$B:$B,0)),"")</f>
        <v/>
      </c>
    </row>
    <row r="48" spans="1:43">
      <c r="A48" s="1" t="str">
        <f>INDEX([2]活动总表!$A$8:$A$429,MATCH(B48,[2]活动总表!$B$8:$B$429,0))</f>
        <v>次周活动-限购礼包4</v>
      </c>
      <c r="B48" s="1">
        <v>105</v>
      </c>
      <c r="C48" s="1">
        <v>2</v>
      </c>
      <c r="D48" s="1">
        <v>8</v>
      </c>
      <c r="E48" s="1">
        <v>0</v>
      </c>
      <c r="F48" s="1" t="s">
        <v>706</v>
      </c>
      <c r="G48" s="1">
        <v>1588</v>
      </c>
      <c r="H48" s="1">
        <v>5000</v>
      </c>
      <c r="I48" s="1">
        <v>1</v>
      </c>
      <c r="O48" s="1">
        <v>31</v>
      </c>
      <c r="X48" s="1">
        <v>200011</v>
      </c>
      <c r="Y48" s="1" t="str">
        <f>IFERROR(INDEX([1]物品基础表!$A:$A,MATCH(X48,[1]物品基础表!$B:$B,0)),"")</f>
        <v>高级转生丹·无限制</v>
      </c>
      <c r="Z48" s="1">
        <v>5</v>
      </c>
      <c r="AB48" s="1" t="str">
        <f>IFERROR(INDEX([1]物品基础表!$A:$A,MATCH(AA48,[1]物品基础表!$B:$B,0)),"")</f>
        <v/>
      </c>
      <c r="AE48" s="1" t="str">
        <f>IFERROR(INDEX([1]物品基础表!$A:$A,MATCH(AD48,[1]物品基础表!$B:$B,0)),"")</f>
        <v/>
      </c>
      <c r="AH48" s="1" t="str">
        <f>IFERROR(INDEX([1]物品基础表!$A:$A,MATCH(AG48,[1]物品基础表!$B:$B,0)),"")</f>
        <v/>
      </c>
      <c r="AK48" s="1" t="str">
        <f>IFERROR(INDEX([1]物品基础表!$A:$A,MATCH(AJ48,[1]物品基础表!$B:$B,0)),"")</f>
        <v/>
      </c>
      <c r="AN48" s="1" t="str">
        <f>IFERROR(INDEX([1]物品基础表!$A:$A,MATCH(AM48,[1]物品基础表!$B:$B,0)),"")</f>
        <v/>
      </c>
      <c r="AQ48" s="1" t="str">
        <f>IFERROR(INDEX([1]物品基础表!$A:$A,MATCH(AP48,[1]物品基础表!$B:$B,0)),"")</f>
        <v/>
      </c>
    </row>
    <row r="49" spans="1:43">
      <c r="A49" s="1" t="str">
        <f>INDEX([2]活动总表!$A$8:$A$429,MATCH(B49,[2]活动总表!$B$8:$B$429,0))</f>
        <v>次周活动-限购礼包4</v>
      </c>
      <c r="B49" s="1">
        <v>105</v>
      </c>
      <c r="C49" s="1">
        <v>3</v>
      </c>
      <c r="D49" s="1">
        <v>5</v>
      </c>
      <c r="E49" s="1">
        <v>0</v>
      </c>
      <c r="F49" s="1" t="s">
        <v>706</v>
      </c>
      <c r="G49" s="1">
        <v>2888</v>
      </c>
      <c r="H49" s="1">
        <v>5000</v>
      </c>
      <c r="I49" s="1">
        <v>1</v>
      </c>
      <c r="O49" s="1">
        <v>57</v>
      </c>
      <c r="X49" s="1">
        <v>200011</v>
      </c>
      <c r="Y49" s="1" t="str">
        <f>IFERROR(INDEX([1]物品基础表!$A:$A,MATCH(X49,[1]物品基础表!$B:$B,0)),"")</f>
        <v>高级转生丹·无限制</v>
      </c>
      <c r="Z49" s="1">
        <v>5</v>
      </c>
      <c r="AB49" s="1" t="str">
        <f>IFERROR(INDEX([1]物品基础表!$A:$A,MATCH(AA49,[1]物品基础表!$B:$B,0)),"")</f>
        <v/>
      </c>
      <c r="AE49" s="1" t="str">
        <f>IFERROR(INDEX([1]物品基础表!$A:$A,MATCH(AD49,[1]物品基础表!$B:$B,0)),"")</f>
        <v/>
      </c>
      <c r="AH49" s="1" t="str">
        <f>IFERROR(INDEX([1]物品基础表!$A:$A,MATCH(AG49,[1]物品基础表!$B:$B,0)),"")</f>
        <v/>
      </c>
      <c r="AK49" s="1" t="str">
        <f>IFERROR(INDEX([1]物品基础表!$A:$A,MATCH(AJ49,[1]物品基础表!$B:$B,0)),"")</f>
        <v/>
      </c>
      <c r="AN49" s="1" t="str">
        <f>IFERROR(INDEX([1]物品基础表!$A:$A,MATCH(AM49,[1]物品基础表!$B:$B,0)),"")</f>
        <v/>
      </c>
      <c r="AQ49" s="1" t="str">
        <f>IFERROR(INDEX([1]物品基础表!$A:$A,MATCH(AP49,[1]物品基础表!$B:$B,0)),"")</f>
        <v/>
      </c>
    </row>
    <row r="50" spans="1:43">
      <c r="A50" s="1" t="str">
        <f>INDEX([2]活动总表!$A$8:$A$429,MATCH(B50,[2]活动总表!$B$8:$B$429,0))</f>
        <v>次周活动-限购礼包4</v>
      </c>
      <c r="B50" s="1">
        <v>105</v>
      </c>
      <c r="C50" s="1">
        <v>4</v>
      </c>
      <c r="D50" s="1">
        <v>5</v>
      </c>
      <c r="E50" s="1">
        <v>0</v>
      </c>
      <c r="F50" s="1" t="s">
        <v>706</v>
      </c>
      <c r="G50" s="1">
        <v>8888</v>
      </c>
      <c r="H50" s="1">
        <v>14998</v>
      </c>
      <c r="I50" s="1">
        <v>3</v>
      </c>
      <c r="O50" s="1">
        <v>59</v>
      </c>
      <c r="X50" s="1">
        <v>200012</v>
      </c>
      <c r="Y50" s="1" t="str">
        <f>IFERROR(INDEX([1]物品基础表!$A:$A,MATCH(X50,[1]物品基础表!$B:$B,0)),"")</f>
        <v>超级转生丹·无限制</v>
      </c>
      <c r="Z50" s="1">
        <v>1</v>
      </c>
      <c r="AA50" s="1">
        <v>200011</v>
      </c>
      <c r="AB50" s="1" t="str">
        <f>IFERROR(INDEX([1]物品基础表!$A:$A,MATCH(AA50,[1]物品基础表!$B:$B,0)),"")</f>
        <v>高级转生丹·无限制</v>
      </c>
      <c r="AC50" s="1">
        <v>5</v>
      </c>
      <c r="AE50" s="1" t="str">
        <f>IFERROR(INDEX([1]物品基础表!$A:$A,MATCH(AD50,[1]物品基础表!$B:$B,0)),"")</f>
        <v/>
      </c>
      <c r="AH50" s="1" t="str">
        <f>IFERROR(INDEX([1]物品基础表!$A:$A,MATCH(AG50,[1]物品基础表!$B:$B,0)),"")</f>
        <v/>
      </c>
      <c r="AK50" s="1" t="str">
        <f>IFERROR(INDEX([1]物品基础表!$A:$A,MATCH(AJ50,[1]物品基础表!$B:$B,0)),"")</f>
        <v/>
      </c>
      <c r="AN50" s="1" t="str">
        <f>IFERROR(INDEX([1]物品基础表!$A:$A,MATCH(AM50,[1]物品基础表!$B:$B,0)),"")</f>
        <v/>
      </c>
      <c r="AQ50" s="1" t="str">
        <f>IFERROR(INDEX([1]物品基础表!$A:$A,MATCH(AP50,[1]物品基础表!$B:$B,0)),"")</f>
        <v/>
      </c>
    </row>
    <row r="51" spans="1:43">
      <c r="A51" s="1" t="str">
        <f>INDEX([2]活动总表!$A$8:$A$429,MATCH(B51,[2]活动总表!$B$8:$B$429,0))</f>
        <v>双11活动-限购礼包</v>
      </c>
      <c r="B51" s="1">
        <v>130</v>
      </c>
      <c r="C51" s="1">
        <v>1</v>
      </c>
      <c r="D51" s="1">
        <v>5</v>
      </c>
      <c r="E51" s="1">
        <v>0</v>
      </c>
      <c r="F51" s="1" t="s">
        <v>706</v>
      </c>
      <c r="G51" s="1">
        <v>888</v>
      </c>
      <c r="H51" s="1">
        <v>1250</v>
      </c>
      <c r="I51" s="1">
        <v>1</v>
      </c>
      <c r="O51" s="1">
        <v>72</v>
      </c>
      <c r="X51" s="1">
        <v>200156</v>
      </c>
      <c r="Y51" s="1" t="str">
        <f>IFERROR(INDEX([1]物品基础表!$A:$A,MATCH(X51,[1]物品基础表!$B:$B,0)),"")</f>
        <v>野外BOSS次数卷轴</v>
      </c>
      <c r="Z51" s="1">
        <v>5</v>
      </c>
      <c r="AB51" s="1" t="str">
        <f>IFERROR(INDEX([1]物品基础表!$A:$A,MATCH(AA51,[1]物品基础表!$B:$B,0)),"")</f>
        <v/>
      </c>
      <c r="AE51" s="1" t="str">
        <f>IFERROR(INDEX([1]物品基础表!$A:$A,MATCH(AD51,[1]物品基础表!$B:$B,0)),"")</f>
        <v/>
      </c>
      <c r="AH51" s="1" t="str">
        <f>IFERROR(INDEX([1]物品基础表!$A:$A,MATCH(AG51,[1]物品基础表!$B:$B,0)),"")</f>
        <v/>
      </c>
      <c r="AK51" s="1" t="str">
        <f>IFERROR(INDEX([1]物品基础表!$A:$A,MATCH(AJ51,[1]物品基础表!$B:$B,0)),"")</f>
        <v/>
      </c>
      <c r="AN51" s="1" t="str">
        <f>IFERROR(INDEX([1]物品基础表!$A:$A,MATCH(AM51,[1]物品基础表!$B:$B,0)),"")</f>
        <v/>
      </c>
      <c r="AQ51" s="1" t="str">
        <f>IFERROR(INDEX([1]物品基础表!$A:$A,MATCH(AP51,[1]物品基础表!$B:$B,0)),"")</f>
        <v/>
      </c>
    </row>
    <row r="52" spans="1:43">
      <c r="A52" s="1" t="str">
        <f>INDEX([2]活动总表!$A$8:$A$429,MATCH(B52,[2]活动总表!$B$8:$B$429,0))</f>
        <v>双11活动-限购礼包</v>
      </c>
      <c r="B52" s="1">
        <v>130</v>
      </c>
      <c r="C52" s="1">
        <v>2</v>
      </c>
      <c r="D52" s="1">
        <v>6</v>
      </c>
      <c r="E52" s="1">
        <v>0</v>
      </c>
      <c r="F52" s="1" t="s">
        <v>706</v>
      </c>
      <c r="G52" s="1">
        <v>888</v>
      </c>
      <c r="H52" s="1">
        <v>2800</v>
      </c>
      <c r="I52" s="1">
        <v>1</v>
      </c>
      <c r="O52" s="1">
        <v>32</v>
      </c>
      <c r="X52" s="1">
        <v>200157</v>
      </c>
      <c r="Y52" s="1" t="str">
        <f>IFERROR(INDEX([1]物品基础表!$A:$A,MATCH(X52,[1]物品基础表!$B:$B,0)),"")</f>
        <v>秘境BOSS次数卷轴</v>
      </c>
      <c r="Z52" s="1">
        <v>4</v>
      </c>
      <c r="AB52" s="1" t="str">
        <f>IFERROR(INDEX([1]物品基础表!$A:$A,MATCH(AA52,[1]物品基础表!$B:$B,0)),"")</f>
        <v/>
      </c>
      <c r="AE52" s="1" t="str">
        <f>IFERROR(INDEX([1]物品基础表!$A:$A,MATCH(AD52,[1]物品基础表!$B:$B,0)),"")</f>
        <v/>
      </c>
      <c r="AH52" s="1" t="str">
        <f>IFERROR(INDEX([1]物品基础表!$A:$A,MATCH(AG52,[1]物品基础表!$B:$B,0)),"")</f>
        <v/>
      </c>
      <c r="AK52" s="1" t="str">
        <f>IFERROR(INDEX([1]物品基础表!$A:$A,MATCH(AJ52,[1]物品基础表!$B:$B,0)),"")</f>
        <v/>
      </c>
      <c r="AN52" s="1" t="str">
        <f>IFERROR(INDEX([1]物品基础表!$A:$A,MATCH(AM52,[1]物品基础表!$B:$B,0)),"")</f>
        <v/>
      </c>
      <c r="AQ52" s="1" t="str">
        <f>IFERROR(INDEX([1]物品基础表!$A:$A,MATCH(AP52,[1]物品基础表!$B:$B,0)),"")</f>
        <v/>
      </c>
    </row>
    <row r="53" spans="1:43">
      <c r="A53" s="1" t="str">
        <f>INDEX([2]活动总表!$A$8:$A$429,MATCH(B53,[2]活动总表!$B$8:$B$429,0))</f>
        <v>双11活动-限购礼包</v>
      </c>
      <c r="B53" s="1">
        <v>130</v>
      </c>
      <c r="C53" s="1">
        <v>3</v>
      </c>
      <c r="D53" s="1">
        <v>7</v>
      </c>
      <c r="E53" s="1">
        <v>0</v>
      </c>
      <c r="F53" s="1" t="s">
        <v>706</v>
      </c>
      <c r="G53" s="1">
        <v>1588</v>
      </c>
      <c r="H53" s="1">
        <v>5000</v>
      </c>
      <c r="I53" s="1">
        <v>1</v>
      </c>
      <c r="O53" s="1">
        <v>32</v>
      </c>
      <c r="X53" s="1">
        <v>200003</v>
      </c>
      <c r="Y53" s="1" t="str">
        <f>IFERROR(INDEX([1]物品基础表!$A:$A,MATCH(X53,[1]物品基础表!$B:$B,0)),"")</f>
        <v>铸造晶石</v>
      </c>
      <c r="Z53" s="1">
        <v>100</v>
      </c>
      <c r="AB53" s="1" t="str">
        <f>IFERROR(INDEX([1]物品基础表!$A:$A,MATCH(AA53,[1]物品基础表!$B:$B,0)),"")</f>
        <v/>
      </c>
      <c r="AE53" s="1" t="str">
        <f>IFERROR(INDEX([1]物品基础表!$A:$A,MATCH(AD53,[1]物品基础表!$B:$B,0)),"")</f>
        <v/>
      </c>
      <c r="AH53" s="1" t="str">
        <f>IFERROR(INDEX([1]物品基础表!$A:$A,MATCH(AG53,[1]物品基础表!$B:$B,0)),"")</f>
        <v/>
      </c>
      <c r="AK53" s="1" t="str">
        <f>IFERROR(INDEX([1]物品基础表!$A:$A,MATCH(AJ53,[1]物品基础表!$B:$B,0)),"")</f>
        <v/>
      </c>
      <c r="AN53" s="1" t="str">
        <f>IFERROR(INDEX([1]物品基础表!$A:$A,MATCH(AM53,[1]物品基础表!$B:$B,0)),"")</f>
        <v/>
      </c>
      <c r="AQ53" s="1" t="str">
        <f>IFERROR(INDEX([1]物品基础表!$A:$A,MATCH(AP53,[1]物品基础表!$B:$B,0)),"")</f>
        <v/>
      </c>
    </row>
    <row r="54" spans="1:43">
      <c r="A54" s="1" t="str">
        <f>INDEX([2]活动总表!$A$8:$A$429,MATCH(B54,[2]活动总表!$B$8:$B$429,0))</f>
        <v>双11活动-限购礼包</v>
      </c>
      <c r="B54" s="1">
        <v>130</v>
      </c>
      <c r="C54" s="1">
        <v>4</v>
      </c>
      <c r="D54" s="1">
        <v>8</v>
      </c>
      <c r="E54" s="1">
        <v>0</v>
      </c>
      <c r="F54" s="1" t="s">
        <v>706</v>
      </c>
      <c r="G54" s="1">
        <v>1588</v>
      </c>
      <c r="H54" s="1">
        <v>5000</v>
      </c>
      <c r="I54" s="1">
        <v>1</v>
      </c>
      <c r="O54" s="1">
        <v>32</v>
      </c>
      <c r="X54" s="1">
        <v>601000</v>
      </c>
      <c r="Y54" s="1" t="str">
        <f>IFERROR(INDEX([1]物品基础表!$A:$A,MATCH(X54,[1]物品基础表!$B:$B,0)),"")</f>
        <v>神羽碎片</v>
      </c>
      <c r="Z54" s="1">
        <v>20</v>
      </c>
      <c r="AB54" s="1" t="str">
        <f>IFERROR(INDEX([1]物品基础表!$A:$A,MATCH(AA54,[1]物品基础表!$B:$B,0)),"")</f>
        <v/>
      </c>
      <c r="AE54" s="1" t="str">
        <f>IFERROR(INDEX([1]物品基础表!$A:$A,MATCH(AD54,[1]物品基础表!$B:$B,0)),"")</f>
        <v/>
      </c>
      <c r="AH54" s="1" t="str">
        <f>IFERROR(INDEX([1]物品基础表!$A:$A,MATCH(AG54,[1]物品基础表!$B:$B,0)),"")</f>
        <v/>
      </c>
      <c r="AK54" s="1" t="str">
        <f>IFERROR(INDEX([1]物品基础表!$A:$A,MATCH(AJ54,[1]物品基础表!$B:$B,0)),"")</f>
        <v/>
      </c>
      <c r="AN54" s="1" t="str">
        <f>IFERROR(INDEX([1]物品基础表!$A:$A,MATCH(AM54,[1]物品基础表!$B:$B,0)),"")</f>
        <v/>
      </c>
      <c r="AQ54" s="1" t="str">
        <f>IFERROR(INDEX([1]物品基础表!$A:$A,MATCH(AP54,[1]物品基础表!$B:$B,0)),"")</f>
        <v/>
      </c>
    </row>
    <row r="55" spans="1:43">
      <c r="A55" s="1" t="str">
        <f>INDEX([2]活动总表!$A$8:$A$429,MATCH(B55,[2]活动总表!$B$8:$B$429,0))</f>
        <v>双11活动-限购礼包</v>
      </c>
      <c r="B55" s="1">
        <v>130</v>
      </c>
      <c r="C55" s="1">
        <v>5</v>
      </c>
      <c r="D55" s="1">
        <v>9</v>
      </c>
      <c r="E55" s="1">
        <v>0</v>
      </c>
      <c r="F55" s="1" t="s">
        <v>706</v>
      </c>
      <c r="G55" s="1">
        <v>1588</v>
      </c>
      <c r="H55" s="1">
        <v>5000</v>
      </c>
      <c r="I55" s="1">
        <v>1</v>
      </c>
      <c r="O55" s="1">
        <v>32</v>
      </c>
      <c r="X55" s="1">
        <v>200005</v>
      </c>
      <c r="Y55" s="1" t="str">
        <f>IFERROR(INDEX([1]物品基础表!$A:$A,MATCH(X55,[1]物品基础表!$B:$B,0)),"")</f>
        <v>龙魂碎片</v>
      </c>
      <c r="Z55" s="1">
        <v>50</v>
      </c>
      <c r="AB55" s="1" t="str">
        <f>IFERROR(INDEX([1]物品基础表!$A:$A,MATCH(AA55,[1]物品基础表!$B:$B,0)),"")</f>
        <v/>
      </c>
      <c r="AE55" s="1" t="str">
        <f>IFERROR(INDEX([1]物品基础表!$A:$A,MATCH(AD55,[1]物品基础表!$B:$B,0)),"")</f>
        <v/>
      </c>
      <c r="AH55" s="1" t="str">
        <f>IFERROR(INDEX([1]物品基础表!$A:$A,MATCH(AG55,[1]物品基础表!$B:$B,0)),"")</f>
        <v/>
      </c>
      <c r="AK55" s="1" t="str">
        <f>IFERROR(INDEX([1]物品基础表!$A:$A,MATCH(AJ55,[1]物品基础表!$B:$B,0)),"")</f>
        <v/>
      </c>
      <c r="AN55" s="1" t="str">
        <f>IFERROR(INDEX([1]物品基础表!$A:$A,MATCH(AM55,[1]物品基础表!$B:$B,0)),"")</f>
        <v/>
      </c>
      <c r="AQ55" s="1" t="str">
        <f>IFERROR(INDEX([1]物品基础表!$A:$A,MATCH(AP55,[1]物品基础表!$B:$B,0)),"")</f>
        <v/>
      </c>
    </row>
    <row r="56" spans="1:43">
      <c r="A56" s="1" t="str">
        <f>INDEX([2]活动总表!$A$8:$A$429,MATCH(B56,[2]活动总表!$B$8:$B$429,0))</f>
        <v>双11活动-限购礼包</v>
      </c>
      <c r="B56" s="1">
        <v>130</v>
      </c>
      <c r="C56" s="1">
        <v>6</v>
      </c>
      <c r="D56" s="1">
        <v>10</v>
      </c>
      <c r="E56" s="1">
        <v>0</v>
      </c>
      <c r="F56" s="1" t="s">
        <v>706</v>
      </c>
      <c r="G56" s="1">
        <v>1588</v>
      </c>
      <c r="H56" s="1">
        <v>5000</v>
      </c>
      <c r="I56" s="1">
        <v>1</v>
      </c>
      <c r="O56" s="1">
        <v>32</v>
      </c>
      <c r="X56" s="1">
        <v>200001</v>
      </c>
      <c r="Y56" s="1" t="str">
        <f>IFERROR(INDEX([1]物品基础表!$A:$A,MATCH(X56,[1]物品基础表!$B:$B,0)),"")</f>
        <v>羽毛</v>
      </c>
      <c r="Z56" s="1">
        <v>50</v>
      </c>
      <c r="AB56" s="1" t="str">
        <f>IFERROR(INDEX([1]物品基础表!$A:$A,MATCH(AA56,[1]物品基础表!$B:$B,0)),"")</f>
        <v/>
      </c>
      <c r="AE56" s="1" t="str">
        <f>IFERROR(INDEX([1]物品基础表!$A:$A,MATCH(AD56,[1]物品基础表!$B:$B,0)),"")</f>
        <v/>
      </c>
      <c r="AH56" s="1" t="str">
        <f>IFERROR(INDEX([1]物品基础表!$A:$A,MATCH(AG56,[1]物品基础表!$B:$B,0)),"")</f>
        <v/>
      </c>
      <c r="AK56" s="1" t="str">
        <f>IFERROR(INDEX([1]物品基础表!$A:$A,MATCH(AJ56,[1]物品基础表!$B:$B,0)),"")</f>
        <v/>
      </c>
      <c r="AN56" s="1" t="str">
        <f>IFERROR(INDEX([1]物品基础表!$A:$A,MATCH(AM56,[1]物品基础表!$B:$B,0)),"")</f>
        <v/>
      </c>
      <c r="AQ56" s="1" t="str">
        <f>IFERROR(INDEX([1]物品基础表!$A:$A,MATCH(AP56,[1]物品基础表!$B:$B,0)),"")</f>
        <v/>
      </c>
    </row>
    <row r="57" spans="1:43">
      <c r="A57" s="1" t="str">
        <f>INDEX([2]活动总表!$A$8:$A$429,MATCH(B57,[2]活动总表!$B$8:$B$429,0))</f>
        <v>双11活动-准点抢购1</v>
      </c>
      <c r="B57" s="1">
        <v>150</v>
      </c>
      <c r="C57" s="1">
        <v>1</v>
      </c>
      <c r="D57" s="1">
        <v>5</v>
      </c>
      <c r="E57" s="1">
        <v>0</v>
      </c>
      <c r="F57" s="1" t="s">
        <v>706</v>
      </c>
      <c r="G57" s="1">
        <v>888</v>
      </c>
      <c r="H57" s="1">
        <v>1750</v>
      </c>
      <c r="I57" s="1">
        <v>20</v>
      </c>
      <c r="J57" s="1">
        <v>20</v>
      </c>
      <c r="K57" s="1">
        <v>20</v>
      </c>
      <c r="L57" s="1">
        <v>5</v>
      </c>
      <c r="M57" s="1" t="s">
        <v>701</v>
      </c>
      <c r="N57" s="1" t="s">
        <v>702</v>
      </c>
      <c r="O57" s="1">
        <v>51</v>
      </c>
      <c r="X57" s="1">
        <v>200003</v>
      </c>
      <c r="Y57" s="1" t="str">
        <f>IFERROR(INDEX([1]物品基础表!$A:$A,MATCH(X57,[1]物品基础表!$B:$B,0)),"")</f>
        <v>铸造晶石</v>
      </c>
      <c r="Z57" s="1">
        <v>35</v>
      </c>
      <c r="AB57" s="1" t="str">
        <f>IFERROR(INDEX([1]物品基础表!$A:$A,MATCH(AA57,[1]物品基础表!$B:$B,0)),"")</f>
        <v/>
      </c>
      <c r="AE57" s="1" t="str">
        <f>IFERROR(INDEX([1]物品基础表!$A:$A,MATCH(AD57,[1]物品基础表!$B:$B,0)),"")</f>
        <v/>
      </c>
      <c r="AH57" s="1" t="str">
        <f>IFERROR(INDEX([1]物品基础表!$A:$A,MATCH(AG57,[1]物品基础表!$B:$B,0)),"")</f>
        <v/>
      </c>
      <c r="AK57" s="1" t="str">
        <f>IFERROR(INDEX([1]物品基础表!$A:$A,MATCH(AJ57,[1]物品基础表!$B:$B,0)),"")</f>
        <v/>
      </c>
      <c r="AN57" s="1" t="str">
        <f>IFERROR(INDEX([1]物品基础表!$A:$A,MATCH(AM57,[1]物品基础表!$B:$B,0)),"")</f>
        <v/>
      </c>
      <c r="AQ57" s="1" t="str">
        <f>IFERROR(INDEX([1]物品基础表!$A:$A,MATCH(AP57,[1]物品基础表!$B:$B,0)),"")</f>
        <v/>
      </c>
    </row>
    <row r="58" spans="1:43">
      <c r="A58" s="1" t="str">
        <f>INDEX([2]活动总表!$A$8:$A$429,MATCH(B58,[2]活动总表!$B$8:$B$429,0))</f>
        <v>双11活动-准点抢购1</v>
      </c>
      <c r="B58" s="1">
        <v>150</v>
      </c>
      <c r="C58" s="1">
        <v>2</v>
      </c>
      <c r="D58" s="1">
        <v>5</v>
      </c>
      <c r="E58" s="1">
        <v>0</v>
      </c>
      <c r="F58" s="1" t="s">
        <v>706</v>
      </c>
      <c r="G58" s="1">
        <v>2888</v>
      </c>
      <c r="H58" s="1">
        <v>5750</v>
      </c>
      <c r="I58" s="1">
        <v>10</v>
      </c>
      <c r="J58" s="1">
        <v>10</v>
      </c>
      <c r="K58" s="1">
        <v>10</v>
      </c>
      <c r="L58" s="1">
        <v>4</v>
      </c>
      <c r="M58" s="1" t="s">
        <v>701</v>
      </c>
      <c r="N58" s="1" t="s">
        <v>702</v>
      </c>
      <c r="O58" s="1">
        <v>51</v>
      </c>
      <c r="X58" s="1">
        <v>200003</v>
      </c>
      <c r="Y58" s="1" t="str">
        <f>IFERROR(INDEX([1]物品基础表!$A:$A,MATCH(X58,[1]物品基础表!$B:$B,0)),"")</f>
        <v>铸造晶石</v>
      </c>
      <c r="Z58" s="1">
        <v>115</v>
      </c>
      <c r="AB58" s="1" t="str">
        <f>IFERROR(INDEX([1]物品基础表!$A:$A,MATCH(AA58,[1]物品基础表!$B:$B,0)),"")</f>
        <v/>
      </c>
      <c r="AE58" s="1" t="str">
        <f>IFERROR(INDEX([1]物品基础表!$A:$A,MATCH(AD58,[1]物品基础表!$B:$B,0)),"")</f>
        <v/>
      </c>
      <c r="AH58" s="1" t="str">
        <f>IFERROR(INDEX([1]物品基础表!$A:$A,MATCH(AG58,[1]物品基础表!$B:$B,0)),"")</f>
        <v/>
      </c>
      <c r="AK58" s="1" t="str">
        <f>IFERROR(INDEX([1]物品基础表!$A:$A,MATCH(AJ58,[1]物品基础表!$B:$B,0)),"")</f>
        <v/>
      </c>
      <c r="AN58" s="1" t="str">
        <f>IFERROR(INDEX([1]物品基础表!$A:$A,MATCH(AM58,[1]物品基础表!$B:$B,0)),"")</f>
        <v/>
      </c>
      <c r="AQ58" s="1" t="str">
        <f>IFERROR(INDEX([1]物品基础表!$A:$A,MATCH(AP58,[1]物品基础表!$B:$B,0)),"")</f>
        <v/>
      </c>
    </row>
    <row r="59" spans="1:43">
      <c r="A59" s="1" t="str">
        <f>INDEX([2]活动总表!$A$8:$A$429,MATCH(B59,[2]活动总表!$B$8:$B$429,0))</f>
        <v>双11活动-准点抢购1</v>
      </c>
      <c r="B59" s="1">
        <v>150</v>
      </c>
      <c r="C59" s="1">
        <v>3</v>
      </c>
      <c r="D59" s="1">
        <v>5</v>
      </c>
      <c r="E59" s="1">
        <v>0</v>
      </c>
      <c r="F59" s="1" t="s">
        <v>706</v>
      </c>
      <c r="G59" s="1">
        <v>8888</v>
      </c>
      <c r="H59" s="1">
        <v>17500</v>
      </c>
      <c r="I59" s="1">
        <v>5</v>
      </c>
      <c r="J59" s="1">
        <v>5</v>
      </c>
      <c r="K59" s="1">
        <v>5</v>
      </c>
      <c r="L59" s="1">
        <v>3</v>
      </c>
      <c r="M59" s="1" t="s">
        <v>701</v>
      </c>
      <c r="N59" s="1" t="s">
        <v>702</v>
      </c>
      <c r="O59" s="1">
        <v>51</v>
      </c>
      <c r="X59" s="1">
        <v>200003</v>
      </c>
      <c r="Y59" s="1" t="str">
        <f>IFERROR(INDEX([1]物品基础表!$A:$A,MATCH(X59,[1]物品基础表!$B:$B,0)),"")</f>
        <v>铸造晶石</v>
      </c>
      <c r="Z59" s="1">
        <v>350</v>
      </c>
      <c r="AB59" s="1" t="str">
        <f>IFERROR(INDEX([1]物品基础表!$A:$A,MATCH(AA59,[1]物品基础表!$B:$B,0)),"")</f>
        <v/>
      </c>
      <c r="AE59" s="1" t="str">
        <f>IFERROR(INDEX([1]物品基础表!$A:$A,MATCH(AD59,[1]物品基础表!$B:$B,0)),"")</f>
        <v/>
      </c>
      <c r="AH59" s="1" t="str">
        <f>IFERROR(INDEX([1]物品基础表!$A:$A,MATCH(AG59,[1]物品基础表!$B:$B,0)),"")</f>
        <v/>
      </c>
      <c r="AK59" s="1" t="str">
        <f>IFERROR(INDEX([1]物品基础表!$A:$A,MATCH(AJ59,[1]物品基础表!$B:$B,0)),"")</f>
        <v/>
      </c>
      <c r="AN59" s="1" t="str">
        <f>IFERROR(INDEX([1]物品基础表!$A:$A,MATCH(AM59,[1]物品基础表!$B:$B,0)),"")</f>
        <v/>
      </c>
      <c r="AQ59" s="1" t="str">
        <f>IFERROR(INDEX([1]物品基础表!$A:$A,MATCH(AP59,[1]物品基础表!$B:$B,0)),"")</f>
        <v/>
      </c>
    </row>
    <row r="60" spans="1:43">
      <c r="A60" s="1" t="str">
        <f>INDEX([2]活动总表!$A$8:$A$429,MATCH(B60,[2]活动总表!$B$8:$B$429,0))</f>
        <v>双11活动-准点抢购2</v>
      </c>
      <c r="B60" s="1">
        <v>151</v>
      </c>
      <c r="C60" s="1">
        <v>1</v>
      </c>
      <c r="D60" s="1">
        <v>5</v>
      </c>
      <c r="E60" s="1">
        <v>0</v>
      </c>
      <c r="F60" s="1" t="s">
        <v>706</v>
      </c>
      <c r="G60" s="1">
        <v>888</v>
      </c>
      <c r="H60" s="1">
        <v>1800</v>
      </c>
      <c r="I60" s="1">
        <v>20</v>
      </c>
      <c r="J60" s="1">
        <v>20</v>
      </c>
      <c r="K60" s="1">
        <v>20</v>
      </c>
      <c r="L60" s="1">
        <v>5</v>
      </c>
      <c r="M60" s="1" t="s">
        <v>701</v>
      </c>
      <c r="N60" s="1" t="s">
        <v>703</v>
      </c>
      <c r="O60" s="1">
        <v>50</v>
      </c>
      <c r="X60" s="1">
        <v>200001</v>
      </c>
      <c r="Y60" s="1" t="str">
        <f>IFERROR(INDEX([1]物品基础表!$A:$A,MATCH(X60,[1]物品基础表!$B:$B,0)),"")</f>
        <v>羽毛</v>
      </c>
      <c r="Z60" s="1">
        <v>18</v>
      </c>
      <c r="AB60" s="1" t="str">
        <f>IFERROR(INDEX([1]物品基础表!$A:$A,MATCH(AA60,[1]物品基础表!$B:$B,0)),"")</f>
        <v/>
      </c>
      <c r="AE60" s="1" t="str">
        <f>IFERROR(INDEX([1]物品基础表!$A:$A,MATCH(AD60,[1]物品基础表!$B:$B,0)),"")</f>
        <v/>
      </c>
      <c r="AH60" s="1" t="str">
        <f>IFERROR(INDEX([1]物品基础表!$A:$A,MATCH(AG60,[1]物品基础表!$B:$B,0)),"")</f>
        <v/>
      </c>
      <c r="AK60" s="1" t="str">
        <f>IFERROR(INDEX([1]物品基础表!$A:$A,MATCH(AJ60,[1]物品基础表!$B:$B,0)),"")</f>
        <v/>
      </c>
      <c r="AN60" s="1" t="str">
        <f>IFERROR(INDEX([1]物品基础表!$A:$A,MATCH(AM60,[1]物品基础表!$B:$B,0)),"")</f>
        <v/>
      </c>
      <c r="AQ60" s="1" t="str">
        <f>IFERROR(INDEX([1]物品基础表!$A:$A,MATCH(AP60,[1]物品基础表!$B:$B,0)),"")</f>
        <v/>
      </c>
    </row>
    <row r="61" spans="1:43">
      <c r="A61" s="1" t="str">
        <f>INDEX([2]活动总表!$A$8:$A$429,MATCH(B61,[2]活动总表!$B$8:$B$429,0))</f>
        <v>双11活动-准点抢购2</v>
      </c>
      <c r="B61" s="1">
        <v>151</v>
      </c>
      <c r="C61" s="1">
        <v>2</v>
      </c>
      <c r="D61" s="1">
        <v>5</v>
      </c>
      <c r="E61" s="1">
        <v>0</v>
      </c>
      <c r="F61" s="1" t="s">
        <v>706</v>
      </c>
      <c r="G61" s="1">
        <v>2888</v>
      </c>
      <c r="H61" s="1">
        <v>5800</v>
      </c>
      <c r="I61" s="1">
        <v>10</v>
      </c>
      <c r="J61" s="1">
        <v>10</v>
      </c>
      <c r="K61" s="1">
        <v>10</v>
      </c>
      <c r="L61" s="1">
        <v>4</v>
      </c>
      <c r="M61" s="1" t="s">
        <v>701</v>
      </c>
      <c r="N61" s="1" t="s">
        <v>703</v>
      </c>
      <c r="O61" s="1">
        <v>50</v>
      </c>
      <c r="X61" s="1">
        <v>200001</v>
      </c>
      <c r="Y61" s="1" t="str">
        <f>IFERROR(INDEX([1]物品基础表!$A:$A,MATCH(X61,[1]物品基础表!$B:$B,0)),"")</f>
        <v>羽毛</v>
      </c>
      <c r="Z61" s="1">
        <v>58</v>
      </c>
      <c r="AB61" s="1" t="str">
        <f>IFERROR(INDEX([1]物品基础表!$A:$A,MATCH(AA61,[1]物品基础表!$B:$B,0)),"")</f>
        <v/>
      </c>
      <c r="AE61" s="1" t="str">
        <f>IFERROR(INDEX([1]物品基础表!$A:$A,MATCH(AD61,[1]物品基础表!$B:$B,0)),"")</f>
        <v/>
      </c>
      <c r="AH61" s="1" t="str">
        <f>IFERROR(INDEX([1]物品基础表!$A:$A,MATCH(AG61,[1]物品基础表!$B:$B,0)),"")</f>
        <v/>
      </c>
      <c r="AK61" s="1" t="str">
        <f>IFERROR(INDEX([1]物品基础表!$A:$A,MATCH(AJ61,[1]物品基础表!$B:$B,0)),"")</f>
        <v/>
      </c>
      <c r="AN61" s="1" t="str">
        <f>IFERROR(INDEX([1]物品基础表!$A:$A,MATCH(AM61,[1]物品基础表!$B:$B,0)),"")</f>
        <v/>
      </c>
      <c r="AQ61" s="1" t="str">
        <f>IFERROR(INDEX([1]物品基础表!$A:$A,MATCH(AP61,[1]物品基础表!$B:$B,0)),"")</f>
        <v/>
      </c>
    </row>
    <row r="62" spans="1:43">
      <c r="A62" s="1" t="str">
        <f>INDEX([2]活动总表!$A$8:$A$429,MATCH(B62,[2]活动总表!$B$8:$B$429,0))</f>
        <v>双11活动-准点抢购2</v>
      </c>
      <c r="B62" s="1">
        <v>151</v>
      </c>
      <c r="C62" s="1">
        <v>3</v>
      </c>
      <c r="D62" s="1">
        <v>5</v>
      </c>
      <c r="E62" s="1">
        <v>0</v>
      </c>
      <c r="F62" s="1" t="s">
        <v>706</v>
      </c>
      <c r="G62" s="1">
        <v>8888</v>
      </c>
      <c r="H62" s="1">
        <v>17800</v>
      </c>
      <c r="I62" s="1">
        <v>5</v>
      </c>
      <c r="J62" s="1">
        <v>5</v>
      </c>
      <c r="K62" s="1">
        <v>5</v>
      </c>
      <c r="L62" s="1">
        <v>3</v>
      </c>
      <c r="M62" s="1" t="s">
        <v>701</v>
      </c>
      <c r="N62" s="1" t="s">
        <v>703</v>
      </c>
      <c r="O62" s="1">
        <v>50</v>
      </c>
      <c r="X62" s="1">
        <v>200001</v>
      </c>
      <c r="Y62" s="1" t="str">
        <f>IFERROR(INDEX([1]物品基础表!$A:$A,MATCH(X62,[1]物品基础表!$B:$B,0)),"")</f>
        <v>羽毛</v>
      </c>
      <c r="Z62" s="1">
        <v>178</v>
      </c>
      <c r="AB62" s="1" t="str">
        <f>IFERROR(INDEX([1]物品基础表!$A:$A,MATCH(AA62,[1]物品基础表!$B:$B,0)),"")</f>
        <v/>
      </c>
      <c r="AH62" s="1" t="str">
        <f>IFERROR(INDEX([1]物品基础表!$A:$A,MATCH(AG62,[1]物品基础表!$B:$B,0)),"")</f>
        <v/>
      </c>
      <c r="AK62" s="1" t="str">
        <f>IFERROR(INDEX([1]物品基础表!$A:$A,MATCH(AJ62,[1]物品基础表!$B:$B,0)),"")</f>
        <v/>
      </c>
      <c r="AN62" s="1" t="str">
        <f>IFERROR(INDEX([1]物品基础表!$A:$A,MATCH(AM62,[1]物品基础表!$B:$B,0)),"")</f>
        <v/>
      </c>
      <c r="AQ62" s="1" t="str">
        <f>IFERROR(INDEX([1]物品基础表!$A:$A,MATCH(AP62,[1]物品基础表!$B:$B,0)),"")</f>
        <v/>
      </c>
    </row>
    <row r="63" spans="1:43">
      <c r="A63" s="1" t="str">
        <f>INDEX([2]活动总表!$A$8:$A$429,MATCH(B63,[2]活动总表!$B$8:$B$429,0))</f>
        <v>双11活动-准点抢购3</v>
      </c>
      <c r="B63" s="1">
        <v>152</v>
      </c>
      <c r="C63" s="1">
        <v>1</v>
      </c>
      <c r="D63" s="1">
        <v>5</v>
      </c>
      <c r="E63" s="1">
        <v>0</v>
      </c>
      <c r="F63" s="1" t="s">
        <v>706</v>
      </c>
      <c r="G63" s="1">
        <v>888</v>
      </c>
      <c r="H63" s="1">
        <v>1875</v>
      </c>
      <c r="I63" s="1">
        <v>20</v>
      </c>
      <c r="J63" s="1">
        <v>20</v>
      </c>
      <c r="K63" s="1">
        <v>20</v>
      </c>
      <c r="L63" s="1">
        <v>5</v>
      </c>
      <c r="M63" s="1" t="s">
        <v>701</v>
      </c>
      <c r="N63" s="1" t="s">
        <v>704</v>
      </c>
      <c r="O63" s="1">
        <v>48</v>
      </c>
      <c r="X63" s="1">
        <v>500005</v>
      </c>
      <c r="Y63" s="1" t="str">
        <f>IFERROR(INDEX([1]物品基础表!$A:$A,MATCH(X63,[1]物品基础表!$B:$B,0)),"")</f>
        <v>战纹精华-红</v>
      </c>
      <c r="Z63" s="1">
        <v>6</v>
      </c>
      <c r="AB63" s="1" t="str">
        <f>IFERROR(INDEX([1]物品基础表!$A:$A,MATCH(AA63,[1]物品基础表!$B:$B,0)),"")</f>
        <v/>
      </c>
      <c r="AH63" s="1" t="str">
        <f>IFERROR(INDEX([1]物品基础表!$A:$A,MATCH(AG63,[1]物品基础表!$B:$B,0)),"")</f>
        <v/>
      </c>
      <c r="AK63" s="1" t="str">
        <f>IFERROR(INDEX([1]物品基础表!$A:$A,MATCH(AJ63,[1]物品基础表!$B:$B,0)),"")</f>
        <v/>
      </c>
      <c r="AN63" s="1" t="str">
        <f>IFERROR(INDEX([1]物品基础表!$A:$A,MATCH(AM63,[1]物品基础表!$B:$B,0)),"")</f>
        <v/>
      </c>
      <c r="AQ63" s="1" t="str">
        <f>IFERROR(INDEX([1]物品基础表!$A:$A,MATCH(AP63,[1]物品基础表!$B:$B,0)),"")</f>
        <v/>
      </c>
    </row>
    <row r="64" spans="1:43">
      <c r="A64" s="1" t="str">
        <f>INDEX([2]活动总表!$A$8:$A$429,MATCH(B64,[2]活动总表!$B$8:$B$429,0))</f>
        <v>双11活动-准点抢购3</v>
      </c>
      <c r="B64" s="1">
        <v>152</v>
      </c>
      <c r="C64" s="1">
        <v>2</v>
      </c>
      <c r="D64" s="1">
        <v>5</v>
      </c>
      <c r="E64" s="1">
        <v>0</v>
      </c>
      <c r="F64" s="1" t="s">
        <v>706</v>
      </c>
      <c r="G64" s="1">
        <v>2888</v>
      </c>
      <c r="H64" s="1">
        <v>6250</v>
      </c>
      <c r="I64" s="1">
        <v>10</v>
      </c>
      <c r="J64" s="1">
        <v>10</v>
      </c>
      <c r="K64" s="1">
        <v>10</v>
      </c>
      <c r="L64" s="1">
        <v>4</v>
      </c>
      <c r="M64" s="1" t="s">
        <v>701</v>
      </c>
      <c r="N64" s="1" t="s">
        <v>704</v>
      </c>
      <c r="O64" s="1">
        <v>47</v>
      </c>
      <c r="X64" s="1">
        <v>500006</v>
      </c>
      <c r="Y64" s="1" t="str">
        <f>IFERROR(INDEX([1]物品基础表!$A:$A,MATCH(X64,[1]物品基础表!$B:$B,0)),"")</f>
        <v>战纹精华-金</v>
      </c>
      <c r="Z64" s="1">
        <v>3</v>
      </c>
      <c r="AA64" s="1">
        <v>500010</v>
      </c>
      <c r="AB64" s="1" t="str">
        <f>IFERROR(INDEX([1]物品基础表!$A:$A,MATCH(AA64,[1]物品基础表!$B:$B,0)),"")</f>
        <v>红色战纹宝箱</v>
      </c>
      <c r="AC64" s="1">
        <v>1</v>
      </c>
      <c r="AH64" s="1" t="str">
        <f>IFERROR(INDEX([1]物品基础表!$A:$A,MATCH(AG64,[1]物品基础表!$B:$B,0)),"")</f>
        <v/>
      </c>
      <c r="AK64" s="1" t="str">
        <f>IFERROR(INDEX([1]物品基础表!$A:$A,MATCH(AJ64,[1]物品基础表!$B:$B,0)),"")</f>
        <v/>
      </c>
      <c r="AN64" s="1" t="str">
        <f>IFERROR(INDEX([1]物品基础表!$A:$A,MATCH(AM64,[1]物品基础表!$B:$B,0)),"")</f>
        <v/>
      </c>
      <c r="AQ64" s="1" t="str">
        <f>IFERROR(INDEX([1]物品基础表!$A:$A,MATCH(AP64,[1]物品基础表!$B:$B,0)),"")</f>
        <v/>
      </c>
    </row>
    <row r="65" spans="1:44">
      <c r="A65" s="1" t="str">
        <f>INDEX([2]活动总表!$A$8:$A$429,MATCH(B65,[2]活动总表!$B$8:$B$429,0))</f>
        <v>双11活动-准点抢购3</v>
      </c>
      <c r="B65" s="1">
        <v>152</v>
      </c>
      <c r="C65" s="1">
        <v>3</v>
      </c>
      <c r="D65" s="1">
        <v>5</v>
      </c>
      <c r="E65" s="1">
        <v>0</v>
      </c>
      <c r="F65" s="1" t="s">
        <v>706</v>
      </c>
      <c r="G65" s="1">
        <v>8888</v>
      </c>
      <c r="H65" s="1">
        <v>17500</v>
      </c>
      <c r="I65" s="1">
        <v>5</v>
      </c>
      <c r="J65" s="1">
        <v>5</v>
      </c>
      <c r="K65" s="1">
        <v>5</v>
      </c>
      <c r="L65" s="1">
        <v>3</v>
      </c>
      <c r="M65" s="1" t="s">
        <v>701</v>
      </c>
      <c r="N65" s="1" t="s">
        <v>704</v>
      </c>
      <c r="O65" s="1">
        <v>51</v>
      </c>
      <c r="X65" s="1">
        <v>500006</v>
      </c>
      <c r="Y65" s="1" t="str">
        <f>IFERROR(INDEX([1]物品基础表!$A:$A,MATCH(X65,[1]物品基础表!$B:$B,0)),"")</f>
        <v>战纹精华-金</v>
      </c>
      <c r="Z65" s="1">
        <v>12</v>
      </c>
      <c r="AA65" s="1">
        <v>500010</v>
      </c>
      <c r="AB65" s="1" t="str">
        <f>IFERROR(INDEX([1]物品基础表!$A:$A,MATCH(AA65,[1]物品基础表!$B:$B,0)),"")</f>
        <v>红色战纹宝箱</v>
      </c>
      <c r="AC65" s="1">
        <v>1</v>
      </c>
      <c r="AH65" s="1" t="str">
        <f>IFERROR(INDEX([1]物品基础表!$A:$A,MATCH(AG65,[1]物品基础表!$B:$B,0)),"")</f>
        <v/>
      </c>
      <c r="AK65" s="1" t="str">
        <f>IFERROR(INDEX([1]物品基础表!$A:$A,MATCH(AJ65,[1]物品基础表!$B:$B,0)),"")</f>
        <v/>
      </c>
      <c r="AN65" s="1" t="str">
        <f>IFERROR(INDEX([1]物品基础表!$A:$A,MATCH(AM65,[1]物品基础表!$B:$B,0)),"")</f>
        <v/>
      </c>
      <c r="AQ65" s="1" t="str">
        <f>IFERROR(INDEX([1]物品基础表!$A:$A,MATCH(AP65,[1]物品基础表!$B:$B,0)),"")</f>
        <v/>
      </c>
    </row>
    <row r="66" spans="1:44">
      <c r="A66" s="1" t="str">
        <f>INDEX([2]活动总表!$A$8:$A$429,MATCH(B66,[2]活动总表!$B$8:$B$429,0))</f>
        <v>双11活动-准点抢购4</v>
      </c>
      <c r="B66" s="1">
        <v>153</v>
      </c>
      <c r="C66" s="1">
        <v>1</v>
      </c>
      <c r="D66" s="1">
        <v>5</v>
      </c>
      <c r="E66" s="1">
        <v>0</v>
      </c>
      <c r="F66" s="1" t="s">
        <v>706</v>
      </c>
      <c r="G66" s="1">
        <v>888</v>
      </c>
      <c r="H66" s="1">
        <v>1800</v>
      </c>
      <c r="I66" s="1">
        <v>20</v>
      </c>
      <c r="J66" s="1">
        <v>20</v>
      </c>
      <c r="K66" s="1">
        <v>20</v>
      </c>
      <c r="L66" s="1">
        <v>5</v>
      </c>
      <c r="M66" s="1" t="s">
        <v>701</v>
      </c>
      <c r="N66" s="1" t="s">
        <v>705</v>
      </c>
      <c r="O66" s="1">
        <v>50</v>
      </c>
      <c r="X66" s="1">
        <v>200005</v>
      </c>
      <c r="Y66" s="1" t="str">
        <f>IFERROR(INDEX([1]物品基础表!$A:$A,MATCH(X66,[1]物品基础表!$B:$B,0)),"")</f>
        <v>龙魂碎片</v>
      </c>
      <c r="Z66" s="1">
        <v>18</v>
      </c>
      <c r="AB66" s="1" t="str">
        <f>IFERROR(INDEX([1]物品基础表!$A:$A,MATCH(AA66,[1]物品基础表!$B:$B,0)),"")</f>
        <v/>
      </c>
      <c r="AE66" s="1" t="str">
        <f>IFERROR(INDEX([1]物品基础表!$A:$A,MATCH(AD66,[1]物品基础表!$B:$B,0)),"")</f>
        <v/>
      </c>
      <c r="AH66" s="1" t="str">
        <f>IFERROR(INDEX([1]物品基础表!$A:$A,MATCH(AG66,[1]物品基础表!$B:$B,0)),"")</f>
        <v/>
      </c>
      <c r="AK66" s="1" t="str">
        <f>IFERROR(INDEX([1]物品基础表!$A:$A,MATCH(AJ66,[1]物品基础表!$B:$B,0)),"")</f>
        <v/>
      </c>
      <c r="AN66" s="1" t="str">
        <f>IFERROR(INDEX([1]物品基础表!$A:$A,MATCH(AM66,[1]物品基础表!$B:$B,0)),"")</f>
        <v/>
      </c>
      <c r="AQ66" s="1" t="str">
        <f>IFERROR(INDEX([1]物品基础表!$A:$A,MATCH(AP66,[1]物品基础表!$B:$B,0)),"")</f>
        <v/>
      </c>
    </row>
    <row r="67" spans="1:44">
      <c r="A67" s="1" t="str">
        <f>INDEX([2]活动总表!$A$8:$A$429,MATCH(B67,[2]活动总表!$B$8:$B$429,0))</f>
        <v>双11活动-准点抢购4</v>
      </c>
      <c r="B67" s="1">
        <v>153</v>
      </c>
      <c r="C67" s="1">
        <v>2</v>
      </c>
      <c r="D67" s="1">
        <v>5</v>
      </c>
      <c r="E67" s="1">
        <v>0</v>
      </c>
      <c r="F67" s="1" t="s">
        <v>706</v>
      </c>
      <c r="G67" s="1">
        <v>2888</v>
      </c>
      <c r="H67" s="1">
        <v>5800</v>
      </c>
      <c r="I67" s="1">
        <v>10</v>
      </c>
      <c r="J67" s="1">
        <v>10</v>
      </c>
      <c r="K67" s="1">
        <v>10</v>
      </c>
      <c r="L67" s="1">
        <v>4</v>
      </c>
      <c r="M67" s="1" t="s">
        <v>701</v>
      </c>
      <c r="N67" s="1" t="s">
        <v>705</v>
      </c>
      <c r="O67" s="1">
        <v>50</v>
      </c>
      <c r="X67" s="1">
        <v>200005</v>
      </c>
      <c r="Y67" s="1" t="str">
        <f>IFERROR(INDEX([1]物品基础表!$A:$A,MATCH(X67,[1]物品基础表!$B:$B,0)),"")</f>
        <v>龙魂碎片</v>
      </c>
      <c r="Z67" s="1">
        <v>58</v>
      </c>
      <c r="AB67" s="1" t="str">
        <f>IFERROR(INDEX([1]物品基础表!$A:$A,MATCH(AA67,[1]物品基础表!$B:$B,0)),"")</f>
        <v/>
      </c>
      <c r="AE67" s="1" t="str">
        <f>IFERROR(INDEX([1]物品基础表!$A:$A,MATCH(AD67,[1]物品基础表!$B:$B,0)),"")</f>
        <v/>
      </c>
      <c r="AH67" s="1" t="str">
        <f>IFERROR(INDEX([1]物品基础表!$A:$A,MATCH(AG67,[1]物品基础表!$B:$B,0)),"")</f>
        <v/>
      </c>
      <c r="AK67" s="1" t="str">
        <f>IFERROR(INDEX([1]物品基础表!$A:$A,MATCH(AJ67,[1]物品基础表!$B:$B,0)),"")</f>
        <v/>
      </c>
      <c r="AN67" s="1" t="str">
        <f>IFERROR(INDEX([1]物品基础表!$A:$A,MATCH(AM67,[1]物品基础表!$B:$B,0)),"")</f>
        <v/>
      </c>
      <c r="AQ67" s="1" t="str">
        <f>IFERROR(INDEX([1]物品基础表!$A:$A,MATCH(AP67,[1]物品基础表!$B:$B,0)),"")</f>
        <v/>
      </c>
    </row>
    <row r="68" spans="1:44">
      <c r="A68" s="1" t="str">
        <f>INDEX([2]活动总表!$A$8:$A$429,MATCH(B68,[2]活动总表!$B$8:$B$429,0))</f>
        <v>双11活动-准点抢购4</v>
      </c>
      <c r="B68" s="1">
        <v>153</v>
      </c>
      <c r="C68" s="1">
        <v>3</v>
      </c>
      <c r="D68" s="1">
        <v>5</v>
      </c>
      <c r="E68" s="1">
        <v>0</v>
      </c>
      <c r="F68" s="1" t="s">
        <v>706</v>
      </c>
      <c r="G68" s="1">
        <v>8888</v>
      </c>
      <c r="H68" s="1">
        <v>17800</v>
      </c>
      <c r="I68" s="1">
        <v>5</v>
      </c>
      <c r="J68" s="1">
        <v>5</v>
      </c>
      <c r="K68" s="1">
        <v>5</v>
      </c>
      <c r="L68" s="1">
        <v>3</v>
      </c>
      <c r="M68" s="1" t="s">
        <v>701</v>
      </c>
      <c r="N68" s="1" t="s">
        <v>705</v>
      </c>
      <c r="O68" s="1">
        <v>50</v>
      </c>
      <c r="X68" s="1">
        <v>200005</v>
      </c>
      <c r="Y68" s="1" t="str">
        <f>IFERROR(INDEX([1]物品基础表!$A:$A,MATCH(X68,[1]物品基础表!$B:$B,0)),"")</f>
        <v>龙魂碎片</v>
      </c>
      <c r="Z68" s="1">
        <v>178</v>
      </c>
      <c r="AB68" s="1" t="str">
        <f>IFERROR(INDEX([1]物品基础表!$A:$A,MATCH(AA68,[1]物品基础表!$B:$B,0)),"")</f>
        <v/>
      </c>
      <c r="AE68" s="1" t="str">
        <f>IFERROR(INDEX([1]物品基础表!$A:$A,MATCH(AD68,[1]物品基础表!$B:$B,0)),"")</f>
        <v/>
      </c>
      <c r="AH68" s="1" t="str">
        <f>IFERROR(INDEX([1]物品基础表!$A:$A,MATCH(AG68,[1]物品基础表!$B:$B,0)),"")</f>
        <v/>
      </c>
      <c r="AK68" s="1" t="str">
        <f>IFERROR(INDEX([1]物品基础表!$A:$A,MATCH(AJ68,[1]物品基础表!$B:$B,0)),"")</f>
        <v/>
      </c>
      <c r="AN68" s="1" t="str">
        <f>IFERROR(INDEX([1]物品基础表!$A:$A,MATCH(AM68,[1]物品基础表!$B:$B,0)),"")</f>
        <v/>
      </c>
      <c r="AQ68" s="1" t="str">
        <f>IFERROR(INDEX([1]物品基础表!$A:$A,MATCH(AP68,[1]物品基础表!$B:$B,0)),"")</f>
        <v/>
      </c>
    </row>
    <row r="69" spans="1:44">
      <c r="A69" s="1" t="str">
        <f>INDEX([2]活动总表!$A$8:$A$429,MATCH(B69,[2]活动总表!$B$8:$B$429,0))</f>
        <v>合服特惠礼包</v>
      </c>
      <c r="B69" s="1">
        <v>162</v>
      </c>
      <c r="C69" s="1">
        <v>1</v>
      </c>
      <c r="D69" s="1">
        <v>5</v>
      </c>
      <c r="E69" s="1">
        <v>0</v>
      </c>
      <c r="F69" s="1" t="s">
        <v>706</v>
      </c>
      <c r="G69" s="1">
        <v>4888</v>
      </c>
      <c r="I69" s="1">
        <v>1</v>
      </c>
      <c r="X69" s="1">
        <v>13</v>
      </c>
      <c r="Y69" s="1" t="s">
        <v>694</v>
      </c>
      <c r="Z69" s="1">
        <v>2000000</v>
      </c>
      <c r="AA69" s="1">
        <v>200015</v>
      </c>
      <c r="AB69" s="1" t="str">
        <f>IFERROR(INDEX([1]物品基础表!$A:$A,MATCH(AA69,[1]物品基础表!$B:$B,0)),"")</f>
        <v>特戒碎片</v>
      </c>
      <c r="AC69" s="1">
        <v>300</v>
      </c>
      <c r="AD69" s="1">
        <v>200005</v>
      </c>
      <c r="AE69" s="1" t="str">
        <f>IFERROR(INDEX([1]物品基础表!$A:$A,MATCH(AD69,[1]物品基础表!$B:$B,0)),"")</f>
        <v>龙魂碎片</v>
      </c>
      <c r="AF69" s="1">
        <v>30</v>
      </c>
      <c r="AG69" s="1">
        <v>201016</v>
      </c>
      <c r="AH69" s="1" t="str">
        <f>IFERROR(INDEX([1]物品基础表!$A:$A,MATCH(AG69,[1]物品基础表!$B:$B,0)),"")</f>
        <v>紫色图鉴包·传奇之路</v>
      </c>
      <c r="AI69" s="1">
        <v>1</v>
      </c>
      <c r="AJ69" s="1">
        <v>500006</v>
      </c>
      <c r="AK69" s="1" t="str">
        <f>IFERROR(INDEX([1]物品基础表!$A:$A,MATCH(AJ69,[1]物品基础表!$B:$B,0)),"")</f>
        <v>战纹精华-金</v>
      </c>
      <c r="AL69" s="1">
        <v>2</v>
      </c>
      <c r="AM69" s="1">
        <v>200156</v>
      </c>
      <c r="AN69" s="1" t="str">
        <f>IFERROR(INDEX([1]物品基础表!$A:$A,MATCH(AM69,[1]物品基础表!$B:$B,0)),"")</f>
        <v>野外BOSS次数卷轴</v>
      </c>
      <c r="AO69" s="1">
        <v>1</v>
      </c>
      <c r="AP69" s="1">
        <v>201002</v>
      </c>
      <c r="AQ69" s="1" t="str">
        <f>IFERROR(INDEX([1]物品基础表!$A:$A,MATCH(AP69,[1]物品基础表!$B:$B,0)),"")</f>
        <v>神秘钥匙</v>
      </c>
      <c r="AR69" s="1">
        <v>1</v>
      </c>
    </row>
    <row r="70" spans="1:44">
      <c r="A70" s="1" t="str">
        <f>INDEX([2]活动总表!$A$8:$A$429,MATCH(B70,[2]活动总表!$B$8:$B$429,0))</f>
        <v>合服特惠礼包</v>
      </c>
      <c r="B70" s="1">
        <v>162</v>
      </c>
      <c r="C70" s="1">
        <v>2</v>
      </c>
      <c r="D70" s="1">
        <v>5</v>
      </c>
      <c r="E70" s="1">
        <v>0</v>
      </c>
      <c r="F70" s="1" t="s">
        <v>706</v>
      </c>
      <c r="G70" s="1">
        <v>16888</v>
      </c>
      <c r="I70" s="1">
        <v>1</v>
      </c>
      <c r="X70" s="1">
        <v>200997</v>
      </c>
      <c r="Y70" s="1" t="str">
        <f>IFERROR(INDEX([1]物品基础表!$A:$A,MATCH(X70,[1]物品基础表!$B:$B,0)),"")</f>
        <v>星☆传世宝箱</v>
      </c>
      <c r="Z70" s="1">
        <v>1</v>
      </c>
      <c r="AA70" s="1">
        <v>200003</v>
      </c>
      <c r="AB70" s="1" t="str">
        <f>IFERROR(INDEX([1]物品基础表!$A:$A,MATCH(AA70,[1]物品基础表!$B:$B,0)),"")</f>
        <v>铸造晶石</v>
      </c>
      <c r="AC70" s="1">
        <v>100</v>
      </c>
      <c r="AD70" s="1">
        <v>200015</v>
      </c>
      <c r="AE70" s="1" t="str">
        <f>IFERROR(INDEX([1]物品基础表!$A:$A,MATCH(AD70,[1]物品基础表!$B:$B,0)),"")</f>
        <v>特戒碎片</v>
      </c>
      <c r="AF70" s="1">
        <v>500</v>
      </c>
      <c r="AG70" s="1">
        <v>201017</v>
      </c>
      <c r="AH70" s="1" t="str">
        <f>IFERROR(INDEX([1]物品基础表!$A:$A,MATCH(AG70,[1]物品基础表!$B:$B,0)),"")</f>
        <v>橙色图鉴包·传奇之路</v>
      </c>
      <c r="AI70" s="1">
        <v>1</v>
      </c>
      <c r="AJ70" s="1">
        <v>500006</v>
      </c>
      <c r="AK70" s="1" t="str">
        <f>IFERROR(INDEX([1]物品基础表!$A:$A,MATCH(AJ70,[1]物品基础表!$B:$B,0)),"")</f>
        <v>战纹精华-金</v>
      </c>
      <c r="AL70" s="1">
        <v>3</v>
      </c>
      <c r="AM70" s="1">
        <v>201002</v>
      </c>
      <c r="AN70" s="1" t="str">
        <f>IFERROR(INDEX([1]物品基础表!$A:$A,MATCH(AM70,[1]物品基础表!$B:$B,0)),"")</f>
        <v>神秘钥匙</v>
      </c>
      <c r="AO70" s="1">
        <v>1</v>
      </c>
      <c r="AP70" s="1">
        <v>200156</v>
      </c>
      <c r="AQ70" s="1" t="str">
        <f>IFERROR(INDEX([1]物品基础表!$A:$A,MATCH(AP70,[1]物品基础表!$B:$B,0)),"")</f>
        <v>野外BOSS次数卷轴</v>
      </c>
      <c r="AR70" s="1">
        <v>1</v>
      </c>
    </row>
    <row r="71" spans="1:44">
      <c r="A71" s="1" t="str">
        <f>INDEX([2]活动总表!$A$8:$A$429,MATCH(B71,[2]活动总表!$B$8:$B$429,0))</f>
        <v>合服特惠礼包</v>
      </c>
      <c r="B71" s="1">
        <v>162</v>
      </c>
      <c r="C71" s="1">
        <v>3</v>
      </c>
      <c r="D71" s="1">
        <v>5</v>
      </c>
      <c r="E71" s="1">
        <v>0</v>
      </c>
      <c r="F71" s="1" t="s">
        <v>706</v>
      </c>
      <c r="G71" s="1">
        <v>58888</v>
      </c>
      <c r="I71" s="1">
        <v>1</v>
      </c>
      <c r="X71" s="1">
        <v>200314</v>
      </c>
      <c r="Y71" s="1" t="str">
        <f>IFERROR(INDEX([1]物品基础表!$A:$A,MATCH(X71,[1]物品基础表!$B:$B,0)),"")</f>
        <v>蛊毒兵魂任选礼包</v>
      </c>
      <c r="Z71" s="1">
        <v>8</v>
      </c>
      <c r="AA71" s="1">
        <v>200326</v>
      </c>
      <c r="AB71" s="1" t="str">
        <f>IFERROR(INDEX([1]物品基础表!$A:$A,MATCH(AA71,[1]物品基础表!$B:$B,0)),"")</f>
        <v>兵魂之灵</v>
      </c>
      <c r="AC71" s="1">
        <v>1</v>
      </c>
      <c r="AD71" s="1">
        <v>299999</v>
      </c>
      <c r="AE71" s="1" t="str">
        <f>IFERROR(INDEX([1]物品基础表!$A:$A,MATCH(AD71,[1]物品基础表!$B:$B,0)),"")</f>
        <v>神兵幻境卷</v>
      </c>
      <c r="AF71" s="1">
        <v>2</v>
      </c>
      <c r="AG71" s="1">
        <v>202007</v>
      </c>
      <c r="AH71" s="1" t="str">
        <f>IFERROR(INDEX([1]物品基础表!$A:$A,MATCH(AG71,[1]物品基础表!$B:$B,0)),"")</f>
        <v>烈焰戒指技能7书</v>
      </c>
      <c r="AI71" s="1">
        <v>1</v>
      </c>
      <c r="AJ71" s="1">
        <v>200157</v>
      </c>
      <c r="AK71" s="1" t="str">
        <f>IFERROR(INDEX([1]物品基础表!$A:$A,MATCH(AJ71,[1]物品基础表!$B:$B,0)),"")</f>
        <v>秘境BOSS次数卷轴</v>
      </c>
      <c r="AL71" s="1">
        <v>1</v>
      </c>
      <c r="AM71" s="1">
        <v>201002</v>
      </c>
      <c r="AN71" s="1" t="str">
        <f>IFERROR(INDEX([1]物品基础表!$A:$A,MATCH(AM71,[1]物品基础表!$B:$B,0)),"")</f>
        <v>神秘钥匙</v>
      </c>
      <c r="AO71" s="1">
        <v>1</v>
      </c>
      <c r="AP71" s="1">
        <v>1</v>
      </c>
      <c r="AQ71" s="1" t="s">
        <v>695</v>
      </c>
      <c r="AR71" s="1">
        <v>2000000</v>
      </c>
    </row>
    <row r="72" spans="1:44">
      <c r="A72" s="1" t="str">
        <f>INDEX([2]活动总表!$A$8:$A$429,MATCH(B72,[2]活动总表!$B$8:$B$429,0))</f>
        <v>合服特惠礼包</v>
      </c>
      <c r="B72" s="1">
        <v>162</v>
      </c>
      <c r="C72" s="1">
        <v>4</v>
      </c>
      <c r="D72" s="1">
        <v>5</v>
      </c>
      <c r="E72" s="1">
        <v>0</v>
      </c>
      <c r="F72" s="1" t="s">
        <v>706</v>
      </c>
      <c r="G72" s="1">
        <v>128888</v>
      </c>
      <c r="I72" s="1">
        <v>1</v>
      </c>
      <c r="X72" s="1">
        <v>121501</v>
      </c>
      <c r="Y72" s="1" t="str">
        <f>IFERROR(INDEX([1]物品基础表!$A:$A,MATCH(X72,[1]物品基础表!$B:$B,0)),"")</f>
        <v>传奇衣服1</v>
      </c>
      <c r="Z72" s="1">
        <v>1</v>
      </c>
      <c r="AA72" s="1">
        <v>500011</v>
      </c>
      <c r="AB72" s="1" t="str">
        <f>IFERROR(INDEX([1]物品基础表!$A:$A,MATCH(AA72,[1]物品基础表!$B:$B,0)),"")</f>
        <v>战纹碎片（小）</v>
      </c>
      <c r="AC72" s="1">
        <v>1000</v>
      </c>
      <c r="AD72" s="1">
        <v>200001</v>
      </c>
      <c r="AE72" s="1" t="str">
        <f>IFERROR(INDEX([1]物品基础表!$A:$A,MATCH(AD72,[1]物品基础表!$B:$B,0)),"")</f>
        <v>羽毛</v>
      </c>
      <c r="AF72" s="1">
        <v>100</v>
      </c>
      <c r="AG72" s="1">
        <v>200005</v>
      </c>
      <c r="AH72" s="1" t="str">
        <f>IFERROR(INDEX([1]物品基础表!$A:$A,MATCH(AG72,[1]物品基础表!$B:$B,0)),"")</f>
        <v>龙魂碎片</v>
      </c>
      <c r="AI72" s="1">
        <v>100</v>
      </c>
      <c r="AJ72" s="1">
        <v>500006</v>
      </c>
      <c r="AK72" s="1" t="str">
        <f>IFERROR(INDEX([1]物品基础表!$A:$A,MATCH(AJ72,[1]物品基础表!$B:$B,0)),"")</f>
        <v>战纹精华-金</v>
      </c>
      <c r="AL72" s="1">
        <v>10</v>
      </c>
      <c r="AM72" s="1">
        <v>200157</v>
      </c>
      <c r="AN72" s="1" t="str">
        <f>IFERROR(INDEX([1]物品基础表!$A:$A,MATCH(AM72,[1]物品基础表!$B:$B,0)),"")</f>
        <v>秘境BOSS次数卷轴</v>
      </c>
      <c r="AO72" s="1">
        <v>1</v>
      </c>
      <c r="AP72" s="1">
        <v>201002</v>
      </c>
      <c r="AQ72" s="1" t="str">
        <f>IFERROR(INDEX([1]物品基础表!$A:$A,MATCH(AP72,[1]物品基础表!$B:$B,0)),"")</f>
        <v>神秘钥匙</v>
      </c>
      <c r="AR72" s="1">
        <v>2</v>
      </c>
    </row>
    <row r="73" spans="1:44">
      <c r="A73" s="1" t="str">
        <f>INDEX([2]活动总表!$A$8:$A$429,MATCH(B73,[2]活动总表!$B$8:$B$429,0))</f>
        <v>合服限购礼包1</v>
      </c>
      <c r="B73" s="1">
        <v>163</v>
      </c>
      <c r="C73" s="1">
        <v>1</v>
      </c>
      <c r="D73" s="1">
        <v>5</v>
      </c>
      <c r="E73" s="1">
        <v>0</v>
      </c>
      <c r="F73" s="1" t="s">
        <v>706</v>
      </c>
      <c r="G73" s="1">
        <v>888</v>
      </c>
      <c r="H73" s="1">
        <v>1500</v>
      </c>
      <c r="I73" s="1">
        <v>1</v>
      </c>
      <c r="O73" s="1">
        <v>59</v>
      </c>
      <c r="X73" s="1">
        <v>200003</v>
      </c>
      <c r="Y73" s="1" t="str">
        <f>IFERROR(INDEX([1]物品基础表!$A:$A,MATCH(X73,[1]物品基础表!$B:$B,0)),"")</f>
        <v>铸造晶石</v>
      </c>
      <c r="Z73" s="1">
        <v>30</v>
      </c>
      <c r="AB73" s="1" t="str">
        <f>IFERROR(INDEX([1]物品基础表!$A:$A,MATCH(AA73,[1]物品基础表!$B:$B,0)),"")</f>
        <v/>
      </c>
      <c r="AE73" s="1" t="str">
        <f>IFERROR(INDEX([1]物品基础表!$A:$A,MATCH(AD73,[1]物品基础表!$B:$B,0)),"")</f>
        <v/>
      </c>
      <c r="AH73" s="1" t="str">
        <f>IFERROR(INDEX([1]物品基础表!$A:$A,MATCH(AG73,[1]物品基础表!$B:$B,0)),"")</f>
        <v/>
      </c>
      <c r="AK73" s="1" t="str">
        <f>IFERROR(INDEX([1]物品基础表!$A:$A,MATCH(AJ73,[1]物品基础表!$B:$B,0)),"")</f>
        <v/>
      </c>
      <c r="AN73" s="1" t="str">
        <f>IFERROR(INDEX([1]物品基础表!$A:$A,MATCH(AM73,[1]物品基础表!$B:$B,0)),"")</f>
        <v/>
      </c>
      <c r="AQ73" s="1" t="str">
        <f>IFERROR(INDEX([1]物品基础表!$A:$A,MATCH(AP73,[1]物品基础表!$B:$B,0)),"")</f>
        <v/>
      </c>
    </row>
    <row r="74" spans="1:44">
      <c r="A74" s="1" t="str">
        <f>INDEX([2]活动总表!$A$8:$A$429,MATCH(B74,[2]活动总表!$B$8:$B$429,0))</f>
        <v>合服限购礼包1</v>
      </c>
      <c r="B74" s="1">
        <v>163</v>
      </c>
      <c r="C74" s="1">
        <v>2</v>
      </c>
      <c r="D74" s="1">
        <v>7</v>
      </c>
      <c r="E74" s="1">
        <v>0</v>
      </c>
      <c r="F74" s="1" t="s">
        <v>706</v>
      </c>
      <c r="G74" s="1">
        <v>1588</v>
      </c>
      <c r="H74" s="1">
        <v>5000</v>
      </c>
      <c r="I74" s="1">
        <v>1</v>
      </c>
      <c r="O74" s="1">
        <v>31</v>
      </c>
      <c r="X74" s="1">
        <v>200003</v>
      </c>
      <c r="Y74" s="1" t="str">
        <f>IFERROR(INDEX([1]物品基础表!$A:$A,MATCH(X74,[1]物品基础表!$B:$B,0)),"")</f>
        <v>铸造晶石</v>
      </c>
      <c r="Z74" s="1">
        <v>100</v>
      </c>
      <c r="AB74" s="1" t="str">
        <f>IFERROR(INDEX([1]物品基础表!$A:$A,MATCH(AA74,[1]物品基础表!$B:$B,0)),"")</f>
        <v/>
      </c>
      <c r="AE74" s="1" t="str">
        <f>IFERROR(INDEX([1]物品基础表!$A:$A,MATCH(AD74,[1]物品基础表!$B:$B,0)),"")</f>
        <v/>
      </c>
      <c r="AH74" s="1" t="str">
        <f>IFERROR(INDEX([1]物品基础表!$A:$A,MATCH(AG74,[1]物品基础表!$B:$B,0)),"")</f>
        <v/>
      </c>
      <c r="AK74" s="1" t="str">
        <f>IFERROR(INDEX([1]物品基础表!$A:$A,MATCH(AJ74,[1]物品基础表!$B:$B,0)),"")</f>
        <v/>
      </c>
      <c r="AN74" s="1" t="str">
        <f>IFERROR(INDEX([1]物品基础表!$A:$A,MATCH(AM74,[1]物品基础表!$B:$B,0)),"")</f>
        <v/>
      </c>
      <c r="AQ74" s="1" t="str">
        <f>IFERROR(INDEX([1]物品基础表!$A:$A,MATCH(AP74,[1]物品基础表!$B:$B,0)),"")</f>
        <v/>
      </c>
    </row>
    <row r="75" spans="1:44">
      <c r="A75" s="1" t="str">
        <f>INDEX([2]活动总表!$A$8:$A$429,MATCH(B75,[2]活动总表!$B$8:$B$429,0))</f>
        <v>合服限购礼包1</v>
      </c>
      <c r="B75" s="1">
        <v>163</v>
      </c>
      <c r="C75" s="1">
        <v>3</v>
      </c>
      <c r="D75" s="1">
        <v>7</v>
      </c>
      <c r="E75" s="1">
        <v>0</v>
      </c>
      <c r="F75" s="1" t="s">
        <v>706</v>
      </c>
      <c r="G75" s="1">
        <v>2888</v>
      </c>
      <c r="H75" s="1">
        <v>8000</v>
      </c>
      <c r="I75" s="1">
        <v>1</v>
      </c>
      <c r="O75" s="1">
        <v>36</v>
      </c>
      <c r="X75" s="1">
        <v>200003</v>
      </c>
      <c r="Y75" s="1" t="str">
        <f>IFERROR(INDEX([1]物品基础表!$A:$A,MATCH(X75,[1]物品基础表!$B:$B,0)),"")</f>
        <v>铸造晶石</v>
      </c>
      <c r="Z75" s="1">
        <v>160</v>
      </c>
      <c r="AB75" s="1" t="str">
        <f>IFERROR(INDEX([1]物品基础表!$A:$A,MATCH(AA75,[1]物品基础表!$B:$B,0)),"")</f>
        <v/>
      </c>
      <c r="AE75" s="1" t="str">
        <f>IFERROR(INDEX([1]物品基础表!$A:$A,MATCH(AD75,[1]物品基础表!$B:$B,0)),"")</f>
        <v/>
      </c>
      <c r="AH75" s="1" t="str">
        <f>IFERROR(INDEX([1]物品基础表!$A:$A,MATCH(AG75,[1]物品基础表!$B:$B,0)),"")</f>
        <v/>
      </c>
      <c r="AK75" s="1" t="str">
        <f>IFERROR(INDEX([1]物品基础表!$A:$A,MATCH(AJ75,[1]物品基础表!$B:$B,0)),"")</f>
        <v/>
      </c>
      <c r="AN75" s="1" t="str">
        <f>IFERROR(INDEX([1]物品基础表!$A:$A,MATCH(AM75,[1]物品基础表!$B:$B,0)),"")</f>
        <v/>
      </c>
      <c r="AQ75" s="1" t="str">
        <f>IFERROR(INDEX([1]物品基础表!$A:$A,MATCH(AP75,[1]物品基础表!$B:$B,0)),"")</f>
        <v/>
      </c>
    </row>
    <row r="76" spans="1:44">
      <c r="A76" s="1" t="str">
        <f>INDEX([2]活动总表!$A$8:$A$429,MATCH(B76,[2]活动总表!$B$8:$B$429,0))</f>
        <v>合服限购礼包1</v>
      </c>
      <c r="B76" s="1">
        <v>163</v>
      </c>
      <c r="C76" s="1">
        <v>4</v>
      </c>
      <c r="D76" s="1">
        <v>5</v>
      </c>
      <c r="E76" s="1">
        <v>0</v>
      </c>
      <c r="F76" s="1" t="s">
        <v>706</v>
      </c>
      <c r="G76" s="1">
        <v>2888</v>
      </c>
      <c r="H76" s="1">
        <v>5000</v>
      </c>
      <c r="I76" s="1">
        <v>1</v>
      </c>
      <c r="O76" s="1">
        <v>57</v>
      </c>
      <c r="X76" s="1">
        <v>200003</v>
      </c>
      <c r="Y76" s="1" t="str">
        <f>IFERROR(INDEX([1]物品基础表!$A:$A,MATCH(X76,[1]物品基础表!$B:$B,0)),"")</f>
        <v>铸造晶石</v>
      </c>
      <c r="Z76" s="1">
        <v>100</v>
      </c>
      <c r="AB76" s="1" t="str">
        <f>IFERROR(INDEX([1]物品基础表!$A:$A,MATCH(AA76,[1]物品基础表!$B:$B,0)),"")</f>
        <v/>
      </c>
      <c r="AE76" s="1" t="str">
        <f>IFERROR(INDEX([1]物品基础表!$A:$A,MATCH(AD76,[1]物品基础表!$B:$B,0)),"")</f>
        <v/>
      </c>
      <c r="AH76" s="1" t="str">
        <f>IFERROR(INDEX([1]物品基础表!$A:$A,MATCH(AG76,[1]物品基础表!$B:$B,0)),"")</f>
        <v/>
      </c>
      <c r="AK76" s="1" t="str">
        <f>IFERROR(INDEX([1]物品基础表!$A:$A,MATCH(AJ76,[1]物品基础表!$B:$B,0)),"")</f>
        <v/>
      </c>
      <c r="AN76" s="1" t="str">
        <f>IFERROR(INDEX([1]物品基础表!$A:$A,MATCH(AM76,[1]物品基础表!$B:$B,0)),"")</f>
        <v/>
      </c>
      <c r="AQ76" s="1" t="str">
        <f>IFERROR(INDEX([1]物品基础表!$A:$A,MATCH(AP76,[1]物品基础表!$B:$B,0)),"")</f>
        <v/>
      </c>
    </row>
    <row r="77" spans="1:44">
      <c r="A77" s="1" t="str">
        <f>INDEX([2]活动总表!$A$8:$A$429,MATCH(B77,[2]活动总表!$B$8:$B$429,0))</f>
        <v>合服限购礼包1</v>
      </c>
      <c r="B77" s="1">
        <v>163</v>
      </c>
      <c r="C77" s="1">
        <v>5</v>
      </c>
      <c r="D77" s="1">
        <v>5</v>
      </c>
      <c r="E77" s="1">
        <v>0</v>
      </c>
      <c r="F77" s="1" t="s">
        <v>706</v>
      </c>
      <c r="G77" s="1">
        <v>8888</v>
      </c>
      <c r="H77" s="1">
        <v>15000</v>
      </c>
      <c r="I77" s="1">
        <v>3</v>
      </c>
      <c r="O77" s="1">
        <v>59</v>
      </c>
      <c r="X77" s="1">
        <v>200003</v>
      </c>
      <c r="Y77" s="1" t="str">
        <f>IFERROR(INDEX([1]物品基础表!$A:$A,MATCH(X77,[1]物品基础表!$B:$B,0)),"")</f>
        <v>铸造晶石</v>
      </c>
      <c r="Z77" s="1">
        <v>300</v>
      </c>
      <c r="AB77" s="1" t="str">
        <f>IFERROR(INDEX([1]物品基础表!$A:$A,MATCH(AA77,[1]物品基础表!$B:$B,0)),"")</f>
        <v/>
      </c>
      <c r="AE77" s="1" t="str">
        <f>IFERROR(INDEX([1]物品基础表!$A:$A,MATCH(AD77,[1]物品基础表!$B:$B,0)),"")</f>
        <v/>
      </c>
      <c r="AH77" s="1" t="str">
        <f>IFERROR(INDEX([1]物品基础表!$A:$A,MATCH(AG77,[1]物品基础表!$B:$B,0)),"")</f>
        <v/>
      </c>
      <c r="AK77" s="1" t="str">
        <f>IFERROR(INDEX([1]物品基础表!$A:$A,MATCH(AJ77,[1]物品基础表!$B:$B,0)),"")</f>
        <v/>
      </c>
      <c r="AN77" s="1" t="str">
        <f>IFERROR(INDEX([1]物品基础表!$A:$A,MATCH(AM77,[1]物品基础表!$B:$B,0)),"")</f>
        <v/>
      </c>
      <c r="AQ77" s="1" t="str">
        <f>IFERROR(INDEX([1]物品基础表!$A:$A,MATCH(AP77,[1]物品基础表!$B:$B,0)),"")</f>
        <v/>
      </c>
    </row>
    <row r="78" spans="1:44">
      <c r="A78" s="1" t="str">
        <f>INDEX([2]活动总表!$A$8:$A$429,MATCH(B78,[2]活动总表!$B$8:$B$429,0))</f>
        <v>合服限购礼包2</v>
      </c>
      <c r="B78" s="1">
        <v>164</v>
      </c>
      <c r="C78" s="1">
        <v>1</v>
      </c>
      <c r="D78" s="1">
        <v>5</v>
      </c>
      <c r="E78" s="1">
        <v>0</v>
      </c>
      <c r="F78" s="1" t="s">
        <v>706</v>
      </c>
      <c r="G78" s="1">
        <v>888</v>
      </c>
      <c r="H78" s="1">
        <v>1500</v>
      </c>
      <c r="I78" s="1">
        <v>1</v>
      </c>
      <c r="O78" s="1">
        <v>59</v>
      </c>
      <c r="X78" s="1">
        <v>200301</v>
      </c>
      <c r="Y78" s="1" t="str">
        <f>IFERROR(INDEX([1]物品基础表!$A:$A,MATCH(X78,[1]物品基础表!$B:$B,0)),"")</f>
        <v>传世宝钻</v>
      </c>
      <c r="Z78" s="1">
        <v>15</v>
      </c>
      <c r="AB78" s="1" t="str">
        <f>IFERROR(INDEX([1]物品基础表!$A:$A,MATCH(AA78,[1]物品基础表!$B:$B,0)),"")</f>
        <v/>
      </c>
      <c r="AE78" s="1" t="str">
        <f>IFERROR(INDEX([1]物品基础表!$A:$A,MATCH(AD78,[1]物品基础表!$B:$B,0)),"")</f>
        <v/>
      </c>
      <c r="AH78" s="1" t="str">
        <f>IFERROR(INDEX([1]物品基础表!$A:$A,MATCH(AG78,[1]物品基础表!$B:$B,0)),"")</f>
        <v/>
      </c>
      <c r="AK78" s="1" t="str">
        <f>IFERROR(INDEX([1]物品基础表!$A:$A,MATCH(AJ78,[1]物品基础表!$B:$B,0)),"")</f>
        <v/>
      </c>
      <c r="AN78" s="1" t="str">
        <f>IFERROR(INDEX([1]物品基础表!$A:$A,MATCH(AM78,[1]物品基础表!$B:$B,0)),"")</f>
        <v/>
      </c>
      <c r="AQ78" s="1" t="str">
        <f>IFERROR(INDEX([1]物品基础表!$A:$A,MATCH(AP78,[1]物品基础表!$B:$B,0)),"")</f>
        <v/>
      </c>
    </row>
    <row r="79" spans="1:44">
      <c r="A79" s="1" t="str">
        <f>INDEX([2]活动总表!$A$8:$A$429,MATCH(B79,[2]活动总表!$B$8:$B$429,0))</f>
        <v>合服限购礼包2</v>
      </c>
      <c r="B79" s="1">
        <v>164</v>
      </c>
      <c r="C79" s="1">
        <v>2</v>
      </c>
      <c r="D79" s="1">
        <v>7</v>
      </c>
      <c r="E79" s="1">
        <v>0</v>
      </c>
      <c r="F79" s="1" t="s">
        <v>706</v>
      </c>
      <c r="G79" s="1">
        <v>1588</v>
      </c>
      <c r="H79" s="1">
        <v>5000</v>
      </c>
      <c r="I79" s="1">
        <v>1</v>
      </c>
      <c r="O79" s="1">
        <v>31</v>
      </c>
      <c r="X79" s="1">
        <v>200301</v>
      </c>
      <c r="Y79" s="1" t="str">
        <f>IFERROR(INDEX([1]物品基础表!$A:$A,MATCH(X79,[1]物品基础表!$B:$B,0)),"")</f>
        <v>传世宝钻</v>
      </c>
      <c r="Z79" s="1">
        <v>50</v>
      </c>
      <c r="AB79" s="1" t="str">
        <f>IFERROR(INDEX([1]物品基础表!$A:$A,MATCH(AA79,[1]物品基础表!$B:$B,0)),"")</f>
        <v/>
      </c>
      <c r="AE79" s="1" t="str">
        <f>IFERROR(INDEX([1]物品基础表!$A:$A,MATCH(AD79,[1]物品基础表!$B:$B,0)),"")</f>
        <v/>
      </c>
      <c r="AH79" s="1" t="str">
        <f>IFERROR(INDEX([1]物品基础表!$A:$A,MATCH(AG79,[1]物品基础表!$B:$B,0)),"")</f>
        <v/>
      </c>
      <c r="AK79" s="1" t="str">
        <f>IFERROR(INDEX([1]物品基础表!$A:$A,MATCH(AJ79,[1]物品基础表!$B:$B,0)),"")</f>
        <v/>
      </c>
      <c r="AN79" s="1" t="str">
        <f>IFERROR(INDEX([1]物品基础表!$A:$A,MATCH(AM79,[1]物品基础表!$B:$B,0)),"")</f>
        <v/>
      </c>
      <c r="AQ79" s="1" t="str">
        <f>IFERROR(INDEX([1]物品基础表!$A:$A,MATCH(AP79,[1]物品基础表!$B:$B,0)),"")</f>
        <v/>
      </c>
    </row>
    <row r="80" spans="1:44">
      <c r="A80" s="1" t="str">
        <f>INDEX([2]活动总表!$A$8:$A$429,MATCH(B80,[2]活动总表!$B$8:$B$429,0))</f>
        <v>合服限购礼包2</v>
      </c>
      <c r="B80" s="1">
        <v>164</v>
      </c>
      <c r="C80" s="1">
        <v>3</v>
      </c>
      <c r="D80" s="1">
        <v>7</v>
      </c>
      <c r="E80" s="1">
        <v>0</v>
      </c>
      <c r="F80" s="1" t="s">
        <v>706</v>
      </c>
      <c r="G80" s="1">
        <v>2888</v>
      </c>
      <c r="H80" s="1">
        <v>8500</v>
      </c>
      <c r="I80" s="1">
        <v>1</v>
      </c>
      <c r="O80" s="1">
        <v>33</v>
      </c>
      <c r="X80" s="1">
        <v>200301</v>
      </c>
      <c r="Y80" s="1" t="str">
        <f>IFERROR(INDEX([1]物品基础表!$A:$A,MATCH(X80,[1]物品基础表!$B:$B,0)),"")</f>
        <v>传世宝钻</v>
      </c>
      <c r="Z80" s="1">
        <v>85</v>
      </c>
      <c r="AB80" s="1" t="str">
        <f>IFERROR(INDEX([1]物品基础表!$A:$A,MATCH(AA80,[1]物品基础表!$B:$B,0)),"")</f>
        <v/>
      </c>
      <c r="AE80" s="1" t="str">
        <f>IFERROR(INDEX([1]物品基础表!$A:$A,MATCH(AD80,[1]物品基础表!$B:$B,0)),"")</f>
        <v/>
      </c>
      <c r="AH80" s="1" t="str">
        <f>IFERROR(INDEX([1]物品基础表!$A:$A,MATCH(AG80,[1]物品基础表!$B:$B,0)),"")</f>
        <v/>
      </c>
      <c r="AK80" s="1" t="str">
        <f>IFERROR(INDEX([1]物品基础表!$A:$A,MATCH(AJ80,[1]物品基础表!$B:$B,0)),"")</f>
        <v/>
      </c>
      <c r="AN80" s="1" t="str">
        <f>IFERROR(INDEX([1]物品基础表!$A:$A,MATCH(AM80,[1]物品基础表!$B:$B,0)),"")</f>
        <v/>
      </c>
      <c r="AQ80" s="1" t="str">
        <f>IFERROR(INDEX([1]物品基础表!$A:$A,MATCH(AP80,[1]物品基础表!$B:$B,0)),"")</f>
        <v/>
      </c>
    </row>
    <row r="81" spans="1:43">
      <c r="A81" s="1" t="str">
        <f>INDEX([2]活动总表!$A$8:$A$429,MATCH(B81,[2]活动总表!$B$8:$B$429,0))</f>
        <v>合服限购礼包2</v>
      </c>
      <c r="B81" s="1">
        <v>164</v>
      </c>
      <c r="C81" s="1">
        <v>4</v>
      </c>
      <c r="D81" s="1">
        <v>5</v>
      </c>
      <c r="E81" s="1">
        <v>0</v>
      </c>
      <c r="F81" s="1" t="s">
        <v>706</v>
      </c>
      <c r="G81" s="1">
        <v>2888</v>
      </c>
      <c r="H81" s="1">
        <v>5000</v>
      </c>
      <c r="I81" s="1">
        <v>1</v>
      </c>
      <c r="O81" s="1">
        <v>57</v>
      </c>
      <c r="X81" s="1">
        <v>200301</v>
      </c>
      <c r="Y81" s="1" t="str">
        <f>IFERROR(INDEX([1]物品基础表!$A:$A,MATCH(X81,[1]物品基础表!$B:$B,0)),"")</f>
        <v>传世宝钻</v>
      </c>
      <c r="Z81" s="1">
        <v>50</v>
      </c>
      <c r="AB81" s="1" t="str">
        <f>IFERROR(INDEX([1]物品基础表!$A:$A,MATCH(AA81,[1]物品基础表!$B:$B,0)),"")</f>
        <v/>
      </c>
      <c r="AE81" s="1" t="str">
        <f>IFERROR(INDEX([1]物品基础表!$A:$A,MATCH(AD81,[1]物品基础表!$B:$B,0)),"")</f>
        <v/>
      </c>
      <c r="AH81" s="1" t="str">
        <f>IFERROR(INDEX([1]物品基础表!$A:$A,MATCH(AG81,[1]物品基础表!$B:$B,0)),"")</f>
        <v/>
      </c>
      <c r="AK81" s="1" t="str">
        <f>IFERROR(INDEX([1]物品基础表!$A:$A,MATCH(AJ81,[1]物品基础表!$B:$B,0)),"")</f>
        <v/>
      </c>
      <c r="AN81" s="1" t="str">
        <f>IFERROR(INDEX([1]物品基础表!$A:$A,MATCH(AM81,[1]物品基础表!$B:$B,0)),"")</f>
        <v/>
      </c>
      <c r="AQ81" s="1" t="str">
        <f>IFERROR(INDEX([1]物品基础表!$A:$A,MATCH(AP81,[1]物品基础表!$B:$B,0)),"")</f>
        <v/>
      </c>
    </row>
    <row r="82" spans="1:43">
      <c r="A82" s="1" t="str">
        <f>INDEX([2]活动总表!$A$8:$A$429,MATCH(B82,[2]活动总表!$B$8:$B$429,0))</f>
        <v>合服限购礼包2</v>
      </c>
      <c r="B82" s="1">
        <v>164</v>
      </c>
      <c r="C82" s="1">
        <v>5</v>
      </c>
      <c r="D82" s="1">
        <v>5</v>
      </c>
      <c r="E82" s="1">
        <v>0</v>
      </c>
      <c r="F82" s="1" t="s">
        <v>706</v>
      </c>
      <c r="G82" s="1">
        <v>8888</v>
      </c>
      <c r="H82" s="1">
        <v>15000</v>
      </c>
      <c r="I82" s="1">
        <v>3</v>
      </c>
      <c r="O82" s="1">
        <v>59</v>
      </c>
      <c r="X82" s="1">
        <v>200301</v>
      </c>
      <c r="Y82" s="1" t="str">
        <f>IFERROR(INDEX([1]物品基础表!$A:$A,MATCH(X82,[1]物品基础表!$B:$B,0)),"")</f>
        <v>传世宝钻</v>
      </c>
      <c r="Z82" s="1">
        <v>150</v>
      </c>
      <c r="AB82" s="1" t="str">
        <f>IFERROR(INDEX([1]物品基础表!$A:$A,MATCH(AA82,[1]物品基础表!$B:$B,0)),"")</f>
        <v/>
      </c>
      <c r="AE82" s="1" t="str">
        <f>IFERROR(INDEX([1]物品基础表!$A:$A,MATCH(AD82,[1]物品基础表!$B:$B,0)),"")</f>
        <v/>
      </c>
      <c r="AH82" s="1" t="str">
        <f>IFERROR(INDEX([1]物品基础表!$A:$A,MATCH(AG82,[1]物品基础表!$B:$B,0)),"")</f>
        <v/>
      </c>
      <c r="AK82" s="1" t="str">
        <f>IFERROR(INDEX([1]物品基础表!$A:$A,MATCH(AJ82,[1]物品基础表!$B:$B,0)),"")</f>
        <v/>
      </c>
      <c r="AN82" s="1" t="str">
        <f>IFERROR(INDEX([1]物品基础表!$A:$A,MATCH(AM82,[1]物品基础表!$B:$B,0)),"")</f>
        <v/>
      </c>
      <c r="AQ82" s="1" t="str">
        <f>IFERROR(INDEX([1]物品基础表!$A:$A,MATCH(AP82,[1]物品基础表!$B:$B,0)),"")</f>
        <v/>
      </c>
    </row>
    <row r="83" spans="1:43">
      <c r="A83" s="1" t="str">
        <f>INDEX([2]活动总表!$A$8:$A$429,MATCH(B83,[2]活动总表!$B$8:$B$429,0))</f>
        <v>合服限购礼包3</v>
      </c>
      <c r="B83" s="1">
        <v>165</v>
      </c>
      <c r="C83" s="1">
        <v>1</v>
      </c>
      <c r="D83" s="1">
        <v>5</v>
      </c>
      <c r="E83" s="1">
        <v>0</v>
      </c>
      <c r="F83" s="1" t="s">
        <v>706</v>
      </c>
      <c r="G83" s="1">
        <v>888</v>
      </c>
      <c r="H83" s="1">
        <v>1500</v>
      </c>
      <c r="I83" s="1">
        <v>1</v>
      </c>
      <c r="O83" s="1">
        <v>59</v>
      </c>
      <c r="X83" s="1">
        <v>601000</v>
      </c>
      <c r="Y83" s="1" t="str">
        <f>IFERROR(INDEX([1]物品基础表!$A:$A,MATCH(X83,[1]物品基础表!$B:$B,0)),"")</f>
        <v>神羽碎片</v>
      </c>
      <c r="Z83" s="1">
        <v>6</v>
      </c>
      <c r="AB83" s="1" t="str">
        <f>IFERROR(INDEX([1]物品基础表!$A:$A,MATCH(AA83,[1]物品基础表!$B:$B,0)),"")</f>
        <v/>
      </c>
      <c r="AE83" s="1" t="str">
        <f>IFERROR(INDEX([1]物品基础表!$A:$A,MATCH(AD83,[1]物品基础表!$B:$B,0)),"")</f>
        <v/>
      </c>
      <c r="AH83" s="1" t="str">
        <f>IFERROR(INDEX([1]物品基础表!$A:$A,MATCH(AG83,[1]物品基础表!$B:$B,0)),"")</f>
        <v/>
      </c>
      <c r="AK83" s="1" t="str">
        <f>IFERROR(INDEX([1]物品基础表!$A:$A,MATCH(AJ83,[1]物品基础表!$B:$B,0)),"")</f>
        <v/>
      </c>
      <c r="AN83" s="1" t="str">
        <f>IFERROR(INDEX([1]物品基础表!$A:$A,MATCH(AM83,[1]物品基础表!$B:$B,0)),"")</f>
        <v/>
      </c>
      <c r="AQ83" s="1" t="str">
        <f>IFERROR(INDEX([1]物品基础表!$A:$A,MATCH(AP83,[1]物品基础表!$B:$B,0)),"")</f>
        <v/>
      </c>
    </row>
    <row r="84" spans="1:43">
      <c r="A84" s="1" t="str">
        <f>INDEX([2]活动总表!$A$8:$A$429,MATCH(B84,[2]活动总表!$B$8:$B$429,0))</f>
        <v>合服限购礼包3</v>
      </c>
      <c r="B84" s="1">
        <v>165</v>
      </c>
      <c r="C84" s="1">
        <v>2</v>
      </c>
      <c r="D84" s="1">
        <v>7</v>
      </c>
      <c r="E84" s="1">
        <v>0</v>
      </c>
      <c r="F84" s="1" t="s">
        <v>706</v>
      </c>
      <c r="G84" s="1">
        <v>1588</v>
      </c>
      <c r="H84" s="1">
        <v>5000</v>
      </c>
      <c r="I84" s="1">
        <v>1</v>
      </c>
      <c r="O84" s="1">
        <v>31</v>
      </c>
      <c r="X84" s="1">
        <v>601000</v>
      </c>
      <c r="Y84" s="1" t="str">
        <f>IFERROR(INDEX([1]物品基础表!$A:$A,MATCH(X84,[1]物品基础表!$B:$B,0)),"")</f>
        <v>神羽碎片</v>
      </c>
      <c r="Z84" s="1">
        <v>20</v>
      </c>
      <c r="AB84" s="1" t="str">
        <f>IFERROR(INDEX([1]物品基础表!$A:$A,MATCH(AA84,[1]物品基础表!$B:$B,0)),"")</f>
        <v/>
      </c>
      <c r="AE84" s="1" t="str">
        <f>IFERROR(INDEX([1]物品基础表!$A:$A,MATCH(AD84,[1]物品基础表!$B:$B,0)),"")</f>
        <v/>
      </c>
      <c r="AH84" s="1" t="str">
        <f>IFERROR(INDEX([1]物品基础表!$A:$A,MATCH(AG84,[1]物品基础表!$B:$B,0)),"")</f>
        <v/>
      </c>
      <c r="AK84" s="1" t="str">
        <f>IFERROR(INDEX([1]物品基础表!$A:$A,MATCH(AJ84,[1]物品基础表!$B:$B,0)),"")</f>
        <v/>
      </c>
      <c r="AN84" s="1" t="str">
        <f>IFERROR(INDEX([1]物品基础表!$A:$A,MATCH(AM84,[1]物品基础表!$B:$B,0)),"")</f>
        <v/>
      </c>
      <c r="AQ84" s="1" t="str">
        <f>IFERROR(INDEX([1]物品基础表!$A:$A,MATCH(AP84,[1]物品基础表!$B:$B,0)),"")</f>
        <v/>
      </c>
    </row>
    <row r="85" spans="1:43">
      <c r="A85" s="1" t="str">
        <f>INDEX([2]活动总表!$A$8:$A$429,MATCH(B85,[2]活动总表!$B$8:$B$429,0))</f>
        <v>合服限购礼包3</v>
      </c>
      <c r="B85" s="1">
        <v>165</v>
      </c>
      <c r="C85" s="1">
        <v>3</v>
      </c>
      <c r="D85" s="1">
        <v>7</v>
      </c>
      <c r="E85" s="1">
        <v>0</v>
      </c>
      <c r="F85" s="1" t="s">
        <v>706</v>
      </c>
      <c r="G85" s="1">
        <v>2888</v>
      </c>
      <c r="H85" s="1">
        <v>8750</v>
      </c>
      <c r="I85" s="1">
        <v>1</v>
      </c>
      <c r="O85" s="1">
        <v>33</v>
      </c>
      <c r="X85" s="1">
        <v>601000</v>
      </c>
      <c r="Y85" s="1" t="str">
        <f>IFERROR(INDEX([1]物品基础表!$A:$A,MATCH(X85,[1]物品基础表!$B:$B,0)),"")</f>
        <v>神羽碎片</v>
      </c>
      <c r="Z85" s="1">
        <v>35</v>
      </c>
      <c r="AB85" s="1" t="str">
        <f>IFERROR(INDEX([1]物品基础表!$A:$A,MATCH(AA85,[1]物品基础表!$B:$B,0)),"")</f>
        <v/>
      </c>
      <c r="AE85" s="1" t="str">
        <f>IFERROR(INDEX([1]物品基础表!$A:$A,MATCH(AD85,[1]物品基础表!$B:$B,0)),"")</f>
        <v/>
      </c>
      <c r="AH85" s="1" t="str">
        <f>IFERROR(INDEX([1]物品基础表!$A:$A,MATCH(AG85,[1]物品基础表!$B:$B,0)),"")</f>
        <v/>
      </c>
      <c r="AK85" s="1" t="str">
        <f>IFERROR(INDEX([1]物品基础表!$A:$A,MATCH(AJ85,[1]物品基础表!$B:$B,0)),"")</f>
        <v/>
      </c>
      <c r="AN85" s="1" t="str">
        <f>IFERROR(INDEX([1]物品基础表!$A:$A,MATCH(AM85,[1]物品基础表!$B:$B,0)),"")</f>
        <v/>
      </c>
      <c r="AQ85" s="1" t="str">
        <f>IFERROR(INDEX([1]物品基础表!$A:$A,MATCH(AP85,[1]物品基础表!$B:$B,0)),"")</f>
        <v/>
      </c>
    </row>
    <row r="86" spans="1:43">
      <c r="A86" s="1" t="str">
        <f>INDEX([2]活动总表!$A$8:$A$429,MATCH(B86,[2]活动总表!$B$8:$B$429,0))</f>
        <v>合服限购礼包3</v>
      </c>
      <c r="B86" s="1">
        <v>165</v>
      </c>
      <c r="C86" s="1">
        <v>4</v>
      </c>
      <c r="D86" s="1">
        <v>5</v>
      </c>
      <c r="E86" s="1">
        <v>0</v>
      </c>
      <c r="F86" s="1" t="s">
        <v>706</v>
      </c>
      <c r="G86" s="1">
        <v>2888</v>
      </c>
      <c r="H86" s="1">
        <v>5000</v>
      </c>
      <c r="I86" s="1">
        <v>1</v>
      </c>
      <c r="O86" s="1">
        <v>57</v>
      </c>
      <c r="X86" s="1">
        <v>601000</v>
      </c>
      <c r="Y86" s="1" t="str">
        <f>IFERROR(INDEX([1]物品基础表!$A:$A,MATCH(X86,[1]物品基础表!$B:$B,0)),"")</f>
        <v>神羽碎片</v>
      </c>
      <c r="Z86" s="1">
        <v>20</v>
      </c>
      <c r="AB86" s="1" t="str">
        <f>IFERROR(INDEX([1]物品基础表!$A:$A,MATCH(AA86,[1]物品基础表!$B:$B,0)),"")</f>
        <v/>
      </c>
      <c r="AE86" s="1" t="str">
        <f>IFERROR(INDEX([1]物品基础表!$A:$A,MATCH(AD86,[1]物品基础表!$B:$B,0)),"")</f>
        <v/>
      </c>
      <c r="AH86" s="1" t="str">
        <f>IFERROR(INDEX([1]物品基础表!$A:$A,MATCH(AG86,[1]物品基础表!$B:$B,0)),"")</f>
        <v/>
      </c>
      <c r="AK86" s="1" t="str">
        <f>IFERROR(INDEX([1]物品基础表!$A:$A,MATCH(AJ86,[1]物品基础表!$B:$B,0)),"")</f>
        <v/>
      </c>
      <c r="AN86" s="1" t="str">
        <f>IFERROR(INDEX([1]物品基础表!$A:$A,MATCH(AM86,[1]物品基础表!$B:$B,0)),"")</f>
        <v/>
      </c>
      <c r="AQ86" s="1" t="str">
        <f>IFERROR(INDEX([1]物品基础表!$A:$A,MATCH(AP86,[1]物品基础表!$B:$B,0)),"")</f>
        <v/>
      </c>
    </row>
    <row r="87" spans="1:43">
      <c r="A87" s="1" t="str">
        <f>INDEX([2]活动总表!$A$8:$A$429,MATCH(B87,[2]活动总表!$B$8:$B$429,0))</f>
        <v>合服限购礼包3</v>
      </c>
      <c r="B87" s="1">
        <v>165</v>
      </c>
      <c r="C87" s="1">
        <v>5</v>
      </c>
      <c r="D87" s="1">
        <v>5</v>
      </c>
      <c r="E87" s="1">
        <v>0</v>
      </c>
      <c r="F87" s="1" t="s">
        <v>706</v>
      </c>
      <c r="G87" s="1">
        <v>8888</v>
      </c>
      <c r="H87" s="1">
        <v>15000</v>
      </c>
      <c r="I87" s="1">
        <v>1</v>
      </c>
      <c r="O87" s="1">
        <v>59</v>
      </c>
      <c r="X87" s="1">
        <v>601603</v>
      </c>
      <c r="Y87" s="1" t="str">
        <f>IFERROR(INDEX([1]物品基础表!$A:$A,MATCH(X87,[1]物品基础表!$B:$B,0)),"")</f>
        <v>2阶神羽宝箱</v>
      </c>
      <c r="Z87" s="1">
        <v>1</v>
      </c>
      <c r="AB87" s="1" t="str">
        <f>IFERROR(INDEX([1]物品基础表!$A:$A,MATCH(AA87,[1]物品基础表!$B:$B,0)),"")</f>
        <v/>
      </c>
      <c r="AE87" s="1" t="str">
        <f>IFERROR(INDEX([1]物品基础表!$A:$A,MATCH(AD87,[1]物品基础表!$B:$B,0)),"")</f>
        <v/>
      </c>
      <c r="AH87" s="1" t="str">
        <f>IFERROR(INDEX([1]物品基础表!$A:$A,MATCH(AG87,[1]物品基础表!$B:$B,0)),"")</f>
        <v/>
      </c>
      <c r="AK87" s="1" t="str">
        <f>IFERROR(INDEX([1]物品基础表!$A:$A,MATCH(AJ87,[1]物品基础表!$B:$B,0)),"")</f>
        <v/>
      </c>
      <c r="AN87" s="1" t="str">
        <f>IFERROR(INDEX([1]物品基础表!$A:$A,MATCH(AM87,[1]物品基础表!$B:$B,0)),"")</f>
        <v/>
      </c>
      <c r="AQ87" s="1" t="str">
        <f>IFERROR(INDEX([1]物品基础表!$A:$A,MATCH(AP87,[1]物品基础表!$B:$B,0)),"")</f>
        <v/>
      </c>
    </row>
    <row r="88" spans="1:43">
      <c r="A88" s="1" t="str">
        <f>INDEX([2]活动总表!$A$8:$A$429,MATCH(B88,[2]活动总表!$B$8:$B$429,0))</f>
        <v>合服限购礼包4</v>
      </c>
      <c r="B88" s="1">
        <v>166</v>
      </c>
      <c r="C88" s="1">
        <v>1</v>
      </c>
      <c r="D88" s="1">
        <v>5</v>
      </c>
      <c r="E88" s="1">
        <v>0</v>
      </c>
      <c r="F88" s="1" t="s">
        <v>706</v>
      </c>
      <c r="G88" s="1">
        <v>888</v>
      </c>
      <c r="H88" s="1">
        <v>1500</v>
      </c>
      <c r="I88" s="1">
        <v>1</v>
      </c>
      <c r="O88" s="1">
        <v>59</v>
      </c>
      <c r="X88" s="1">
        <v>200015</v>
      </c>
      <c r="Y88" s="1" t="str">
        <f>IFERROR(INDEX([1]物品基础表!$A:$A,MATCH(X88,[1]物品基础表!$B:$B,0)),"")</f>
        <v>特戒碎片</v>
      </c>
      <c r="Z88" s="1">
        <v>150</v>
      </c>
      <c r="AB88" s="1" t="str">
        <f>IFERROR(INDEX([1]物品基础表!$A:$A,MATCH(AA88,[1]物品基础表!$B:$B,0)),"")</f>
        <v/>
      </c>
      <c r="AE88" s="1" t="str">
        <f>IFERROR(INDEX([1]物品基础表!$A:$A,MATCH(AD88,[1]物品基础表!$B:$B,0)),"")</f>
        <v/>
      </c>
      <c r="AH88" s="1" t="str">
        <f>IFERROR(INDEX([1]物品基础表!$A:$A,MATCH(AG88,[1]物品基础表!$B:$B,0)),"")</f>
        <v/>
      </c>
      <c r="AK88" s="1" t="str">
        <f>IFERROR(INDEX([1]物品基础表!$A:$A,MATCH(AJ88,[1]物品基础表!$B:$B,0)),"")</f>
        <v/>
      </c>
      <c r="AN88" s="1" t="str">
        <f>IFERROR(INDEX([1]物品基础表!$A:$A,MATCH(AM88,[1]物品基础表!$B:$B,0)),"")</f>
        <v/>
      </c>
      <c r="AQ88" s="1" t="str">
        <f>IFERROR(INDEX([1]物品基础表!$A:$A,MATCH(AP88,[1]物品基础表!$B:$B,0)),"")</f>
        <v/>
      </c>
    </row>
    <row r="89" spans="1:43">
      <c r="A89" s="1" t="str">
        <f>INDEX([2]活动总表!$A$8:$A$429,MATCH(B89,[2]活动总表!$B$8:$B$429,0))</f>
        <v>合服限购礼包4</v>
      </c>
      <c r="B89" s="1">
        <v>166</v>
      </c>
      <c r="C89" s="1">
        <v>2</v>
      </c>
      <c r="D89" s="1">
        <v>8</v>
      </c>
      <c r="E89" s="1">
        <v>0</v>
      </c>
      <c r="F89" s="1" t="s">
        <v>706</v>
      </c>
      <c r="G89" s="1">
        <v>1588</v>
      </c>
      <c r="H89" s="1">
        <v>5000</v>
      </c>
      <c r="I89" s="1">
        <v>1</v>
      </c>
      <c r="O89" s="1">
        <v>31</v>
      </c>
      <c r="X89" s="1">
        <v>200015</v>
      </c>
      <c r="Y89" s="1" t="str">
        <f>IFERROR(INDEX([1]物品基础表!$A:$A,MATCH(X89,[1]物品基础表!$B:$B,0)),"")</f>
        <v>特戒碎片</v>
      </c>
      <c r="Z89" s="1">
        <v>500</v>
      </c>
      <c r="AB89" s="1" t="str">
        <f>IFERROR(INDEX([1]物品基础表!$A:$A,MATCH(AA89,[1]物品基础表!$B:$B,0)),"")</f>
        <v/>
      </c>
      <c r="AE89" s="1" t="str">
        <f>IFERROR(INDEX([1]物品基础表!$A:$A,MATCH(AD89,[1]物品基础表!$B:$B,0)),"")</f>
        <v/>
      </c>
      <c r="AH89" s="1" t="str">
        <f>IFERROR(INDEX([1]物品基础表!$A:$A,MATCH(AG89,[1]物品基础表!$B:$B,0)),"")</f>
        <v/>
      </c>
      <c r="AK89" s="1" t="str">
        <f>IFERROR(INDEX([1]物品基础表!$A:$A,MATCH(AJ89,[1]物品基础表!$B:$B,0)),"")</f>
        <v/>
      </c>
      <c r="AN89" s="1" t="str">
        <f>IFERROR(INDEX([1]物品基础表!$A:$A,MATCH(AM89,[1]物品基础表!$B:$B,0)),"")</f>
        <v/>
      </c>
      <c r="AQ89" s="1" t="str">
        <f>IFERROR(INDEX([1]物品基础表!$A:$A,MATCH(AP89,[1]物品基础表!$B:$B,0)),"")</f>
        <v/>
      </c>
    </row>
    <row r="90" spans="1:43">
      <c r="A90" s="1" t="str">
        <f>INDEX([2]活动总表!$A$8:$A$429,MATCH(B90,[2]活动总表!$B$8:$B$429,0))</f>
        <v>合服限购礼包4</v>
      </c>
      <c r="B90" s="1">
        <v>166</v>
      </c>
      <c r="C90" s="1">
        <v>3</v>
      </c>
      <c r="D90" s="1">
        <v>8</v>
      </c>
      <c r="E90" s="1">
        <v>0</v>
      </c>
      <c r="F90" s="1" t="s">
        <v>706</v>
      </c>
      <c r="G90" s="1">
        <v>2888</v>
      </c>
      <c r="H90" s="1">
        <v>8500</v>
      </c>
      <c r="I90" s="1">
        <v>1</v>
      </c>
      <c r="O90" s="1">
        <v>33</v>
      </c>
      <c r="X90" s="1">
        <v>200015</v>
      </c>
      <c r="Y90" s="1" t="str">
        <f>IFERROR(INDEX([1]物品基础表!$A:$A,MATCH(X90,[1]物品基础表!$B:$B,0)),"")</f>
        <v>特戒碎片</v>
      </c>
      <c r="Z90" s="1">
        <v>850</v>
      </c>
      <c r="AB90" s="1" t="str">
        <f>IFERROR(INDEX([1]物品基础表!$A:$A,MATCH(AA90,[1]物品基础表!$B:$B,0)),"")</f>
        <v/>
      </c>
      <c r="AE90" s="1" t="str">
        <f>IFERROR(INDEX([1]物品基础表!$A:$A,MATCH(AD90,[1]物品基础表!$B:$B,0)),"")</f>
        <v/>
      </c>
      <c r="AH90" s="1" t="str">
        <f>IFERROR(INDEX([1]物品基础表!$A:$A,MATCH(AG90,[1]物品基础表!$B:$B,0)),"")</f>
        <v/>
      </c>
      <c r="AK90" s="1" t="str">
        <f>IFERROR(INDEX([1]物品基础表!$A:$A,MATCH(AJ90,[1]物品基础表!$B:$B,0)),"")</f>
        <v/>
      </c>
      <c r="AN90" s="1" t="str">
        <f>IFERROR(INDEX([1]物品基础表!$A:$A,MATCH(AM90,[1]物品基础表!$B:$B,0)),"")</f>
        <v/>
      </c>
      <c r="AQ90" s="1" t="str">
        <f>IFERROR(INDEX([1]物品基础表!$A:$A,MATCH(AP90,[1]物品基础表!$B:$B,0)),"")</f>
        <v/>
      </c>
    </row>
    <row r="91" spans="1:43">
      <c r="A91" s="1" t="str">
        <f>INDEX([2]活动总表!$A$8:$A$429,MATCH(B91,[2]活动总表!$B$8:$B$429,0))</f>
        <v>合服限购礼包4</v>
      </c>
      <c r="B91" s="1">
        <v>166</v>
      </c>
      <c r="C91" s="1">
        <v>4</v>
      </c>
      <c r="D91" s="1">
        <v>5</v>
      </c>
      <c r="E91" s="1">
        <v>0</v>
      </c>
      <c r="F91" s="1" t="s">
        <v>706</v>
      </c>
      <c r="G91" s="1">
        <v>2888</v>
      </c>
      <c r="H91" s="1">
        <v>5000</v>
      </c>
      <c r="I91" s="1">
        <v>1</v>
      </c>
      <c r="O91" s="1">
        <v>57</v>
      </c>
      <c r="X91" s="1">
        <v>200015</v>
      </c>
      <c r="Y91" s="1" t="str">
        <f>IFERROR(INDEX([1]物品基础表!$A:$A,MATCH(X91,[1]物品基础表!$B:$B,0)),"")</f>
        <v>特戒碎片</v>
      </c>
      <c r="Z91" s="1">
        <v>500</v>
      </c>
      <c r="AB91" s="1" t="str">
        <f>IFERROR(INDEX([1]物品基础表!$A:$A,MATCH(AA91,[1]物品基础表!$B:$B,0)),"")</f>
        <v/>
      </c>
      <c r="AE91" s="1" t="str">
        <f>IFERROR(INDEX([1]物品基础表!$A:$A,MATCH(AD91,[1]物品基础表!$B:$B,0)),"")</f>
        <v/>
      </c>
      <c r="AH91" s="1" t="str">
        <f>IFERROR(INDEX([1]物品基础表!$A:$A,MATCH(AG91,[1]物品基础表!$B:$B,0)),"")</f>
        <v/>
      </c>
      <c r="AK91" s="1" t="str">
        <f>IFERROR(INDEX([1]物品基础表!$A:$A,MATCH(AJ91,[1]物品基础表!$B:$B,0)),"")</f>
        <v/>
      </c>
      <c r="AN91" s="1" t="str">
        <f>IFERROR(INDEX([1]物品基础表!$A:$A,MATCH(AM91,[1]物品基础表!$B:$B,0)),"")</f>
        <v/>
      </c>
      <c r="AQ91" s="1" t="str">
        <f>IFERROR(INDEX([1]物品基础表!$A:$A,MATCH(AP91,[1]物品基础表!$B:$B,0)),"")</f>
        <v/>
      </c>
    </row>
    <row r="92" spans="1:43">
      <c r="A92" s="1" t="str">
        <f>INDEX([2]活动总表!$A$8:$A$429,MATCH(B92,[2]活动总表!$B$8:$B$429,0))</f>
        <v>合服限购礼包4</v>
      </c>
      <c r="B92" s="1">
        <v>166</v>
      </c>
      <c r="C92" s="1">
        <v>5</v>
      </c>
      <c r="D92" s="1">
        <v>5</v>
      </c>
      <c r="E92" s="1">
        <v>0</v>
      </c>
      <c r="F92" s="1" t="s">
        <v>706</v>
      </c>
      <c r="G92" s="1">
        <v>8888</v>
      </c>
      <c r="H92" s="1">
        <v>15000</v>
      </c>
      <c r="I92" s="1">
        <v>3</v>
      </c>
      <c r="O92" s="1">
        <v>59</v>
      </c>
      <c r="X92" s="1">
        <v>200015</v>
      </c>
      <c r="Y92" s="1" t="str">
        <f>IFERROR(INDEX([1]物品基础表!$A:$A,MATCH(X92,[1]物品基础表!$B:$B,0)),"")</f>
        <v>特戒碎片</v>
      </c>
      <c r="Z92" s="1">
        <v>1500</v>
      </c>
      <c r="AB92" s="1" t="str">
        <f>IFERROR(INDEX([1]物品基础表!$A:$A,MATCH(AA92,[1]物品基础表!$B:$B,0)),"")</f>
        <v/>
      </c>
      <c r="AE92" s="1" t="str">
        <f>IFERROR(INDEX([1]物品基础表!$A:$A,MATCH(AD92,[1]物品基础表!$B:$B,0)),"")</f>
        <v/>
      </c>
      <c r="AH92" s="1" t="str">
        <f>IFERROR(INDEX([1]物品基础表!$A:$A,MATCH(AG92,[1]物品基础表!$B:$B,0)),"")</f>
        <v/>
      </c>
      <c r="AK92" s="1" t="str">
        <f>IFERROR(INDEX([1]物品基础表!$A:$A,MATCH(AJ92,[1]物品基础表!$B:$B,0)),"")</f>
        <v/>
      </c>
      <c r="AN92" s="1" t="str">
        <f>IFERROR(INDEX([1]物品基础表!$A:$A,MATCH(AM92,[1]物品基础表!$B:$B,0)),"")</f>
        <v/>
      </c>
      <c r="AQ92" s="1" t="str">
        <f>IFERROR(INDEX([1]物品基础表!$A:$A,MATCH(AP92,[1]物品基础表!$B:$B,0)),"")</f>
        <v/>
      </c>
    </row>
    <row r="93" spans="1:43">
      <c r="A93" s="1" t="str">
        <f>INDEX([2]活动总表!$A$8:$A$429,MATCH(B93,[2]活动总表!$B$8:$B$429,0))</f>
        <v>合服限购礼包5</v>
      </c>
      <c r="B93" s="1">
        <v>167</v>
      </c>
      <c r="C93" s="1">
        <v>1</v>
      </c>
      <c r="D93" s="1">
        <v>5</v>
      </c>
      <c r="E93" s="1">
        <v>0</v>
      </c>
      <c r="F93" s="1" t="s">
        <v>706</v>
      </c>
      <c r="G93" s="1">
        <v>1288</v>
      </c>
      <c r="H93" s="1">
        <v>2000</v>
      </c>
      <c r="I93" s="1">
        <v>1</v>
      </c>
      <c r="O93" s="1">
        <v>64</v>
      </c>
      <c r="X93" s="1">
        <v>200011</v>
      </c>
      <c r="Y93" s="1" t="str">
        <f>IFERROR(INDEX([1]物品基础表!$A:$A,MATCH(X93,[1]物品基础表!$B:$B,0)),"")</f>
        <v>高级转生丹·无限制</v>
      </c>
      <c r="Z93" s="1">
        <v>2</v>
      </c>
      <c r="AB93" s="1" t="str">
        <f>IFERROR(INDEX([1]物品基础表!$A:$A,MATCH(AA93,[1]物品基础表!$B:$B,0)),"")</f>
        <v/>
      </c>
      <c r="AE93" s="1" t="str">
        <f>IFERROR(INDEX([1]物品基础表!$A:$A,MATCH(AD93,[1]物品基础表!$B:$B,0)),"")</f>
        <v/>
      </c>
      <c r="AH93" s="1" t="str">
        <f>IFERROR(INDEX([1]物品基础表!$A:$A,MATCH(AG93,[1]物品基础表!$B:$B,0)),"")</f>
        <v/>
      </c>
      <c r="AK93" s="1" t="str">
        <f>IFERROR(INDEX([1]物品基础表!$A:$A,MATCH(AJ93,[1]物品基础表!$B:$B,0)),"")</f>
        <v/>
      </c>
      <c r="AN93" s="1" t="str">
        <f>IFERROR(INDEX([1]物品基础表!$A:$A,MATCH(AM93,[1]物品基础表!$B:$B,0)),"")</f>
        <v/>
      </c>
      <c r="AQ93" s="1" t="str">
        <f>IFERROR(INDEX([1]物品基础表!$A:$A,MATCH(AP93,[1]物品基础表!$B:$B,0)),"")</f>
        <v/>
      </c>
    </row>
    <row r="94" spans="1:43">
      <c r="A94" s="1" t="str">
        <f>INDEX([2]活动总表!$A$8:$A$429,MATCH(B94,[2]活动总表!$B$8:$B$429,0))</f>
        <v>合服限购礼包5</v>
      </c>
      <c r="B94" s="1">
        <v>167</v>
      </c>
      <c r="C94" s="1">
        <v>2</v>
      </c>
      <c r="D94" s="1">
        <v>8</v>
      </c>
      <c r="E94" s="1">
        <v>0</v>
      </c>
      <c r="F94" s="1" t="s">
        <v>706</v>
      </c>
      <c r="G94" s="1">
        <v>1588</v>
      </c>
      <c r="H94" s="1">
        <v>5000</v>
      </c>
      <c r="I94" s="1">
        <v>1</v>
      </c>
      <c r="O94" s="1">
        <v>31</v>
      </c>
      <c r="X94" s="1">
        <v>200011</v>
      </c>
      <c r="Y94" s="1" t="str">
        <f>IFERROR(INDEX([1]物品基础表!$A:$A,MATCH(X94,[1]物品基础表!$B:$B,0)),"")</f>
        <v>高级转生丹·无限制</v>
      </c>
      <c r="Z94" s="1">
        <v>5</v>
      </c>
      <c r="AB94" s="1" t="str">
        <f>IFERROR(INDEX([1]物品基础表!$A:$A,MATCH(AA94,[1]物品基础表!$B:$B,0)),"")</f>
        <v/>
      </c>
      <c r="AE94" s="1" t="str">
        <f>IFERROR(INDEX([1]物品基础表!$A:$A,MATCH(AD94,[1]物品基础表!$B:$B,0)),"")</f>
        <v/>
      </c>
      <c r="AH94" s="1" t="str">
        <f>IFERROR(INDEX([1]物品基础表!$A:$A,MATCH(AG94,[1]物品基础表!$B:$B,0)),"")</f>
        <v/>
      </c>
      <c r="AK94" s="1" t="str">
        <f>IFERROR(INDEX([1]物品基础表!$A:$A,MATCH(AJ94,[1]物品基础表!$B:$B,0)),"")</f>
        <v/>
      </c>
      <c r="AN94" s="1" t="str">
        <f>IFERROR(INDEX([1]物品基础表!$A:$A,MATCH(AM94,[1]物品基础表!$B:$B,0)),"")</f>
        <v/>
      </c>
      <c r="AQ94" s="1" t="str">
        <f>IFERROR(INDEX([1]物品基础表!$A:$A,MATCH(AP94,[1]物品基础表!$B:$B,0)),"")</f>
        <v/>
      </c>
    </row>
    <row r="95" spans="1:43">
      <c r="A95" s="1" t="str">
        <f>INDEX([2]活动总表!$A$8:$A$429,MATCH(B95,[2]活动总表!$B$8:$B$429,0))</f>
        <v>合服限购礼包5</v>
      </c>
      <c r="B95" s="1">
        <v>167</v>
      </c>
      <c r="C95" s="1">
        <v>3</v>
      </c>
      <c r="D95" s="1">
        <v>8</v>
      </c>
      <c r="E95" s="1">
        <v>0</v>
      </c>
      <c r="F95" s="1" t="s">
        <v>706</v>
      </c>
      <c r="G95" s="1">
        <v>2888</v>
      </c>
      <c r="H95" s="1">
        <v>8000</v>
      </c>
      <c r="I95" s="1">
        <v>1</v>
      </c>
      <c r="O95" s="1">
        <v>36</v>
      </c>
      <c r="X95" s="1">
        <v>200011</v>
      </c>
      <c r="Y95" s="1" t="str">
        <f>IFERROR(INDEX([1]物品基础表!$A:$A,MATCH(X95,[1]物品基础表!$B:$B,0)),"")</f>
        <v>高级转生丹·无限制</v>
      </c>
      <c r="Z95" s="1">
        <v>8</v>
      </c>
      <c r="AB95" s="1" t="str">
        <f>IFERROR(INDEX([1]物品基础表!$A:$A,MATCH(AA95,[1]物品基础表!$B:$B,0)),"")</f>
        <v/>
      </c>
      <c r="AE95" s="1" t="str">
        <f>IFERROR(INDEX([1]物品基础表!$A:$A,MATCH(AD95,[1]物品基础表!$B:$B,0)),"")</f>
        <v/>
      </c>
      <c r="AH95" s="1" t="str">
        <f>IFERROR(INDEX([1]物品基础表!$A:$A,MATCH(AG95,[1]物品基础表!$B:$B,0)),"")</f>
        <v/>
      </c>
      <c r="AK95" s="1" t="str">
        <f>IFERROR(INDEX([1]物品基础表!$A:$A,MATCH(AJ95,[1]物品基础表!$B:$B,0)),"")</f>
        <v/>
      </c>
      <c r="AN95" s="1" t="str">
        <f>IFERROR(INDEX([1]物品基础表!$A:$A,MATCH(AM95,[1]物品基础表!$B:$B,0)),"")</f>
        <v/>
      </c>
      <c r="AQ95" s="1" t="str">
        <f>IFERROR(INDEX([1]物品基础表!$A:$A,MATCH(AP95,[1]物品基础表!$B:$B,0)),"")</f>
        <v/>
      </c>
    </row>
    <row r="96" spans="1:43">
      <c r="A96" s="1" t="str">
        <f>INDEX([2]活动总表!$A$8:$A$429,MATCH(B96,[2]活动总表!$B$8:$B$429,0))</f>
        <v>合服限购礼包5</v>
      </c>
      <c r="B96" s="1">
        <v>167</v>
      </c>
      <c r="C96" s="1">
        <v>4</v>
      </c>
      <c r="D96" s="1">
        <v>5</v>
      </c>
      <c r="E96" s="1">
        <v>0</v>
      </c>
      <c r="F96" s="1" t="s">
        <v>706</v>
      </c>
      <c r="G96" s="1">
        <v>2888</v>
      </c>
      <c r="H96" s="1">
        <v>5000</v>
      </c>
      <c r="I96" s="1">
        <v>1</v>
      </c>
      <c r="O96" s="1">
        <v>57</v>
      </c>
      <c r="X96" s="1">
        <v>200011</v>
      </c>
      <c r="Y96" s="1" t="str">
        <f>IFERROR(INDEX([1]物品基础表!$A:$A,MATCH(X96,[1]物品基础表!$B:$B,0)),"")</f>
        <v>高级转生丹·无限制</v>
      </c>
      <c r="Z96" s="1">
        <v>5</v>
      </c>
      <c r="AB96" s="1" t="str">
        <f>IFERROR(INDEX([1]物品基础表!$A:$A,MATCH(AA96,[1]物品基础表!$B:$B,0)),"")</f>
        <v/>
      </c>
      <c r="AE96" s="1" t="str">
        <f>IFERROR(INDEX([1]物品基础表!$A:$A,MATCH(AD96,[1]物品基础表!$B:$B,0)),"")</f>
        <v/>
      </c>
      <c r="AH96" s="1" t="str">
        <f>IFERROR(INDEX([1]物品基础表!$A:$A,MATCH(AG96,[1]物品基础表!$B:$B,0)),"")</f>
        <v/>
      </c>
      <c r="AK96" s="1" t="str">
        <f>IFERROR(INDEX([1]物品基础表!$A:$A,MATCH(AJ96,[1]物品基础表!$B:$B,0)),"")</f>
        <v/>
      </c>
      <c r="AN96" s="1" t="str">
        <f>IFERROR(INDEX([1]物品基础表!$A:$A,MATCH(AM96,[1]物品基础表!$B:$B,0)),"")</f>
        <v/>
      </c>
      <c r="AQ96" s="1" t="str">
        <f>IFERROR(INDEX([1]物品基础表!$A:$A,MATCH(AP96,[1]物品基础表!$B:$B,0)),"")</f>
        <v/>
      </c>
    </row>
    <row r="97" spans="1:44">
      <c r="A97" s="1" t="str">
        <f>INDEX([2]活动总表!$A$8:$A$429,MATCH(B97,[2]活动总表!$B$8:$B$429,0))</f>
        <v>合服限购礼包5</v>
      </c>
      <c r="B97" s="1">
        <v>167</v>
      </c>
      <c r="C97" s="1">
        <v>5</v>
      </c>
      <c r="D97" s="1">
        <v>5</v>
      </c>
      <c r="E97" s="1">
        <v>0</v>
      </c>
      <c r="F97" s="1" t="s">
        <v>706</v>
      </c>
      <c r="G97" s="1">
        <v>8888</v>
      </c>
      <c r="H97" s="1">
        <v>14998</v>
      </c>
      <c r="I97" s="1">
        <v>3</v>
      </c>
      <c r="O97" s="1">
        <v>59</v>
      </c>
      <c r="X97" s="1">
        <v>200012</v>
      </c>
      <c r="Y97" s="1" t="str">
        <f>IFERROR(INDEX([1]物品基础表!$A:$A,MATCH(X97,[1]物品基础表!$B:$B,0)),"")</f>
        <v>超级转生丹·无限制</v>
      </c>
      <c r="Z97" s="1">
        <v>1</v>
      </c>
      <c r="AA97" s="1">
        <v>200011</v>
      </c>
      <c r="AB97" s="1" t="str">
        <f>IFERROR(INDEX([1]物品基础表!$A:$A,MATCH(AA97,[1]物品基础表!$B:$B,0)),"")</f>
        <v>高级转生丹·无限制</v>
      </c>
      <c r="AC97" s="1">
        <v>5</v>
      </c>
      <c r="AE97" s="1" t="str">
        <f>IFERROR(INDEX([1]物品基础表!$A:$A,MATCH(AD97,[1]物品基础表!$B:$B,0)),"")</f>
        <v/>
      </c>
      <c r="AH97" s="1" t="str">
        <f>IFERROR(INDEX([1]物品基础表!$A:$A,MATCH(AG97,[1]物品基础表!$B:$B,0)),"")</f>
        <v/>
      </c>
      <c r="AK97" s="1" t="str">
        <f>IFERROR(INDEX([1]物品基础表!$A:$A,MATCH(AJ97,[1]物品基础表!$B:$B,0)),"")</f>
        <v/>
      </c>
      <c r="AN97" s="1" t="str">
        <f>IFERROR(INDEX([1]物品基础表!$A:$A,MATCH(AM97,[1]物品基础表!$B:$B,0)),"")</f>
        <v/>
      </c>
      <c r="AQ97" s="1" t="str">
        <f>IFERROR(INDEX([1]物品基础表!$A:$A,MATCH(AP97,[1]物品基础表!$B:$B,0)),"")</f>
        <v/>
      </c>
    </row>
    <row r="98" spans="1:44">
      <c r="A98" s="1" t="str">
        <f>INDEX([2]活动总表!$A$8:$A$429,MATCH(B98,[2]活动总表!$B$8:$B$429,0))</f>
        <v>合服限购礼包6</v>
      </c>
      <c r="B98" s="1">
        <v>168</v>
      </c>
      <c r="C98" s="1">
        <v>1</v>
      </c>
      <c r="D98" s="1">
        <v>5</v>
      </c>
      <c r="E98" s="1">
        <v>0</v>
      </c>
      <c r="F98" s="1" t="s">
        <v>706</v>
      </c>
      <c r="G98" s="1">
        <v>888</v>
      </c>
      <c r="H98" s="1">
        <v>1500</v>
      </c>
      <c r="I98" s="1">
        <v>1</v>
      </c>
      <c r="O98" s="1">
        <v>59</v>
      </c>
      <c r="X98" s="1">
        <v>200005</v>
      </c>
      <c r="Y98" s="1" t="str">
        <f>IFERROR(INDEX([1]物品基础表!$A:$A,MATCH(X98,[1]物品基础表!$B:$B,0)),"")</f>
        <v>龙魂碎片</v>
      </c>
      <c r="Z98" s="1">
        <v>15</v>
      </c>
      <c r="AB98" s="1" t="str">
        <f>IFERROR(INDEX([1]物品基础表!$A:$A,MATCH(AA98,[1]物品基础表!$B:$B,0)),"")</f>
        <v/>
      </c>
      <c r="AE98" s="1" t="str">
        <f>IFERROR(INDEX([1]物品基础表!$A:$A,MATCH(AD98,[1]物品基础表!$B:$B,0)),"")</f>
        <v/>
      </c>
      <c r="AH98" s="1" t="str">
        <f>IFERROR(INDEX([1]物品基础表!$A:$A,MATCH(AG98,[1]物品基础表!$B:$B,0)),"")</f>
        <v/>
      </c>
      <c r="AK98" s="1" t="str">
        <f>IFERROR(INDEX([1]物品基础表!$A:$A,MATCH(AJ98,[1]物品基础表!$B:$B,0)),"")</f>
        <v/>
      </c>
      <c r="AN98" s="1" t="str">
        <f>IFERROR(INDEX([1]物品基础表!$A:$A,MATCH(AM98,[1]物品基础表!$B:$B,0)),"")</f>
        <v/>
      </c>
      <c r="AQ98" s="1" t="str">
        <f>IFERROR(INDEX([1]物品基础表!$A:$A,MATCH(AP98,[1]物品基础表!$B:$B,0)),"")</f>
        <v/>
      </c>
    </row>
    <row r="99" spans="1:44">
      <c r="A99" s="1" t="str">
        <f>INDEX([2]活动总表!$A$8:$A$429,MATCH(B99,[2]活动总表!$B$8:$B$429,0))</f>
        <v>合服限购礼包6</v>
      </c>
      <c r="B99" s="1">
        <v>168</v>
      </c>
      <c r="C99" s="1">
        <v>2</v>
      </c>
      <c r="D99" s="1">
        <v>8</v>
      </c>
      <c r="E99" s="1">
        <v>0</v>
      </c>
      <c r="F99" s="1" t="s">
        <v>706</v>
      </c>
      <c r="G99" s="1">
        <v>1588</v>
      </c>
      <c r="H99" s="1">
        <v>5000</v>
      </c>
      <c r="I99" s="1">
        <v>1</v>
      </c>
      <c r="O99" s="1">
        <v>31</v>
      </c>
      <c r="X99" s="1">
        <v>200005</v>
      </c>
      <c r="Y99" s="1" t="str">
        <f>IFERROR(INDEX([1]物品基础表!$A:$A,MATCH(X99,[1]物品基础表!$B:$B,0)),"")</f>
        <v>龙魂碎片</v>
      </c>
      <c r="Z99" s="1">
        <v>50</v>
      </c>
      <c r="AB99" s="1" t="str">
        <f>IFERROR(INDEX([1]物品基础表!$A:$A,MATCH(AA99,[1]物品基础表!$B:$B,0)),"")</f>
        <v/>
      </c>
      <c r="AE99" s="1" t="str">
        <f>IFERROR(INDEX([1]物品基础表!$A:$A,MATCH(AD99,[1]物品基础表!$B:$B,0)),"")</f>
        <v/>
      </c>
      <c r="AH99" s="1" t="str">
        <f>IFERROR(INDEX([1]物品基础表!$A:$A,MATCH(AG99,[1]物品基础表!$B:$B,0)),"")</f>
        <v/>
      </c>
      <c r="AK99" s="1" t="str">
        <f>IFERROR(INDEX([1]物品基础表!$A:$A,MATCH(AJ99,[1]物品基础表!$B:$B,0)),"")</f>
        <v/>
      </c>
      <c r="AN99" s="1" t="str">
        <f>IFERROR(INDEX([1]物品基础表!$A:$A,MATCH(AM99,[1]物品基础表!$B:$B,0)),"")</f>
        <v/>
      </c>
      <c r="AQ99" s="1" t="str">
        <f>IFERROR(INDEX([1]物品基础表!$A:$A,MATCH(AP99,[1]物品基础表!$B:$B,0)),"")</f>
        <v/>
      </c>
    </row>
    <row r="100" spans="1:44">
      <c r="A100" s="1" t="str">
        <f>INDEX([2]活动总表!$A$8:$A$429,MATCH(B100,[2]活动总表!$B$8:$B$429,0))</f>
        <v>合服限购礼包6</v>
      </c>
      <c r="B100" s="1">
        <v>168</v>
      </c>
      <c r="C100" s="1">
        <v>3</v>
      </c>
      <c r="D100" s="1">
        <v>8</v>
      </c>
      <c r="E100" s="1">
        <v>0</v>
      </c>
      <c r="F100" s="1" t="s">
        <v>706</v>
      </c>
      <c r="G100" s="1">
        <v>2888</v>
      </c>
      <c r="H100" s="1">
        <v>8500</v>
      </c>
      <c r="I100" s="1">
        <v>1</v>
      </c>
      <c r="O100" s="1">
        <v>33</v>
      </c>
      <c r="X100" s="1">
        <v>200005</v>
      </c>
      <c r="Y100" s="1" t="str">
        <f>IFERROR(INDEX([1]物品基础表!$A:$A,MATCH(X100,[1]物品基础表!$B:$B,0)),"")</f>
        <v>龙魂碎片</v>
      </c>
      <c r="Z100" s="1">
        <v>85</v>
      </c>
      <c r="AB100" s="1" t="str">
        <f>IFERROR(INDEX([1]物品基础表!$A:$A,MATCH(AA100,[1]物品基础表!$B:$B,0)),"")</f>
        <v/>
      </c>
      <c r="AE100" s="1" t="str">
        <f>IFERROR(INDEX([1]物品基础表!$A:$A,MATCH(AD100,[1]物品基础表!$B:$B,0)),"")</f>
        <v/>
      </c>
      <c r="AH100" s="1" t="str">
        <f>IFERROR(INDEX([1]物品基础表!$A:$A,MATCH(AG100,[1]物品基础表!$B:$B,0)),"")</f>
        <v/>
      </c>
      <c r="AK100" s="1" t="str">
        <f>IFERROR(INDEX([1]物品基础表!$A:$A,MATCH(AJ100,[1]物品基础表!$B:$B,0)),"")</f>
        <v/>
      </c>
      <c r="AN100" s="1" t="str">
        <f>IFERROR(INDEX([1]物品基础表!$A:$A,MATCH(AM100,[1]物品基础表!$B:$B,0)),"")</f>
        <v/>
      </c>
      <c r="AQ100" s="1" t="str">
        <f>IFERROR(INDEX([1]物品基础表!$A:$A,MATCH(AP100,[1]物品基础表!$B:$B,0)),"")</f>
        <v/>
      </c>
    </row>
    <row r="101" spans="1:44">
      <c r="A101" s="1" t="str">
        <f>INDEX([2]活动总表!$A$8:$A$429,MATCH(B101,[2]活动总表!$B$8:$B$429,0))</f>
        <v>合服限购礼包6</v>
      </c>
      <c r="B101" s="1">
        <v>168</v>
      </c>
      <c r="C101" s="1">
        <v>4</v>
      </c>
      <c r="D101" s="1">
        <v>5</v>
      </c>
      <c r="E101" s="1">
        <v>0</v>
      </c>
      <c r="F101" s="1" t="s">
        <v>706</v>
      </c>
      <c r="G101" s="1">
        <v>2888</v>
      </c>
      <c r="H101" s="1">
        <v>5000</v>
      </c>
      <c r="I101" s="1">
        <v>1</v>
      </c>
      <c r="O101" s="1">
        <v>57</v>
      </c>
      <c r="X101" s="1">
        <v>200005</v>
      </c>
      <c r="Y101" s="1" t="str">
        <f>IFERROR(INDEX([1]物品基础表!$A:$A,MATCH(X101,[1]物品基础表!$B:$B,0)),"")</f>
        <v>龙魂碎片</v>
      </c>
      <c r="Z101" s="1">
        <v>50</v>
      </c>
      <c r="AB101" s="1" t="str">
        <f>IFERROR(INDEX([1]物品基础表!$A:$A,MATCH(AA101,[1]物品基础表!$B:$B,0)),"")</f>
        <v/>
      </c>
      <c r="AE101" s="1" t="str">
        <f>IFERROR(INDEX([1]物品基础表!$A:$A,MATCH(AD101,[1]物品基础表!$B:$B,0)),"")</f>
        <v/>
      </c>
      <c r="AH101" s="1" t="str">
        <f>IFERROR(INDEX([1]物品基础表!$A:$A,MATCH(AG101,[1]物品基础表!$B:$B,0)),"")</f>
        <v/>
      </c>
      <c r="AK101" s="1" t="str">
        <f>IFERROR(INDEX([1]物品基础表!$A:$A,MATCH(AJ101,[1]物品基础表!$B:$B,0)),"")</f>
        <v/>
      </c>
      <c r="AN101" s="1" t="str">
        <f>IFERROR(INDEX([1]物品基础表!$A:$A,MATCH(AM101,[1]物品基础表!$B:$B,0)),"")</f>
        <v/>
      </c>
      <c r="AQ101" s="1" t="str">
        <f>IFERROR(INDEX([1]物品基础表!$A:$A,MATCH(AP101,[1]物品基础表!$B:$B,0)),"")</f>
        <v/>
      </c>
    </row>
    <row r="102" spans="1:44">
      <c r="A102" s="1" t="str">
        <f>INDEX([2]活动总表!$A$8:$A$429,MATCH(B102,[2]活动总表!$B$8:$B$429,0))</f>
        <v>合服限购礼包6</v>
      </c>
      <c r="B102" s="1">
        <v>168</v>
      </c>
      <c r="C102" s="1">
        <v>5</v>
      </c>
      <c r="D102" s="1">
        <v>5</v>
      </c>
      <c r="E102" s="1">
        <v>0</v>
      </c>
      <c r="F102" s="1" t="s">
        <v>706</v>
      </c>
      <c r="G102" s="1">
        <v>8888</v>
      </c>
      <c r="H102" s="1">
        <v>15000</v>
      </c>
      <c r="I102" s="1">
        <v>3</v>
      </c>
      <c r="O102" s="1">
        <v>59</v>
      </c>
      <c r="X102" s="1">
        <v>200005</v>
      </c>
      <c r="Y102" s="1" t="str">
        <f>IFERROR(INDEX([1]物品基础表!$A:$A,MATCH(X102,[1]物品基础表!$B:$B,0)),"")</f>
        <v>龙魂碎片</v>
      </c>
      <c r="Z102" s="1">
        <v>150</v>
      </c>
      <c r="AB102" s="1" t="str">
        <f>IFERROR(INDEX([1]物品基础表!$A:$A,MATCH(AA102,[1]物品基础表!$B:$B,0)),"")</f>
        <v/>
      </c>
      <c r="AE102" s="1" t="str">
        <f>IFERROR(INDEX([1]物品基础表!$A:$A,MATCH(AD102,[1]物品基础表!$B:$B,0)),"")</f>
        <v/>
      </c>
      <c r="AH102" s="1" t="str">
        <f>IFERROR(INDEX([1]物品基础表!$A:$A,MATCH(AG102,[1]物品基础表!$B:$B,0)),"")</f>
        <v/>
      </c>
      <c r="AK102" s="1" t="str">
        <f>IFERROR(INDEX([1]物品基础表!$A:$A,MATCH(AJ102,[1]物品基础表!$B:$B,0)),"")</f>
        <v/>
      </c>
      <c r="AN102" s="1" t="str">
        <f>IFERROR(INDEX([1]物品基础表!$A:$A,MATCH(AM102,[1]物品基础表!$B:$B,0)),"")</f>
        <v/>
      </c>
      <c r="AQ102" s="1" t="str">
        <f>IFERROR(INDEX([1]物品基础表!$A:$A,MATCH(AP102,[1]物品基础表!$B:$B,0)),"")</f>
        <v/>
      </c>
    </row>
    <row r="103" spans="1:44">
      <c r="A103" s="1" t="str">
        <f>INDEX([2]活动总表!$A$8:$A$429,MATCH(B103,[2]活动总表!$B$8:$B$429,0))</f>
        <v>合服限购礼包7</v>
      </c>
      <c r="B103" s="1">
        <v>169</v>
      </c>
      <c r="C103" s="1">
        <v>1</v>
      </c>
      <c r="D103" s="1">
        <v>5</v>
      </c>
      <c r="E103" s="1">
        <v>0</v>
      </c>
      <c r="F103" s="1" t="s">
        <v>706</v>
      </c>
      <c r="G103" s="1">
        <v>888</v>
      </c>
      <c r="H103" s="1">
        <v>1500</v>
      </c>
      <c r="I103" s="1">
        <v>1</v>
      </c>
      <c r="O103" s="1">
        <v>59</v>
      </c>
      <c r="X103" s="1">
        <v>200001</v>
      </c>
      <c r="Y103" s="1" t="str">
        <f>IFERROR(INDEX([1]物品基础表!$A:$A,MATCH(X103,[1]物品基础表!$B:$B,0)),"")</f>
        <v>羽毛</v>
      </c>
      <c r="Z103" s="1">
        <v>15</v>
      </c>
      <c r="AB103" s="1" t="str">
        <f>IFERROR(INDEX([1]物品基础表!$A:$A,MATCH(AA103,[1]物品基础表!$B:$B,0)),"")</f>
        <v/>
      </c>
      <c r="AE103" s="1" t="str">
        <f>IFERROR(INDEX([1]物品基础表!$A:$A,MATCH(AD103,[1]物品基础表!$B:$B,0)),"")</f>
        <v/>
      </c>
      <c r="AH103" s="1" t="str">
        <f>IFERROR(INDEX([1]物品基础表!$A:$A,MATCH(AG103,[1]物品基础表!$B:$B,0)),"")</f>
        <v/>
      </c>
      <c r="AK103" s="1" t="str">
        <f>IFERROR(INDEX([1]物品基础表!$A:$A,MATCH(AJ103,[1]物品基础表!$B:$B,0)),"")</f>
        <v/>
      </c>
      <c r="AN103" s="1" t="str">
        <f>IFERROR(INDEX([1]物品基础表!$A:$A,MATCH(AM103,[1]物品基础表!$B:$B,0)),"")</f>
        <v/>
      </c>
      <c r="AQ103" s="1" t="str">
        <f>IFERROR(INDEX([1]物品基础表!$A:$A,MATCH(AP103,[1]物品基础表!$B:$B,0)),"")</f>
        <v/>
      </c>
    </row>
    <row r="104" spans="1:44">
      <c r="A104" s="1" t="str">
        <f>INDEX([2]活动总表!$A$8:$A$429,MATCH(B104,[2]活动总表!$B$8:$B$429,0))</f>
        <v>合服限购礼包7</v>
      </c>
      <c r="B104" s="1">
        <v>169</v>
      </c>
      <c r="C104" s="1">
        <v>2</v>
      </c>
      <c r="D104" s="1">
        <v>8</v>
      </c>
      <c r="E104" s="1">
        <v>0</v>
      </c>
      <c r="F104" s="1" t="s">
        <v>706</v>
      </c>
      <c r="G104" s="1">
        <v>1588</v>
      </c>
      <c r="H104" s="1">
        <v>5000</v>
      </c>
      <c r="I104" s="1">
        <v>1</v>
      </c>
      <c r="O104" s="1">
        <v>31</v>
      </c>
      <c r="X104" s="1">
        <v>200001</v>
      </c>
      <c r="Y104" s="1" t="str">
        <f>IFERROR(INDEX([1]物品基础表!$A:$A,MATCH(X104,[1]物品基础表!$B:$B,0)),"")</f>
        <v>羽毛</v>
      </c>
      <c r="Z104" s="1">
        <v>50</v>
      </c>
      <c r="AB104" s="1" t="str">
        <f>IFERROR(INDEX([1]物品基础表!$A:$A,MATCH(AA104,[1]物品基础表!$B:$B,0)),"")</f>
        <v/>
      </c>
      <c r="AE104" s="1" t="str">
        <f>IFERROR(INDEX([1]物品基础表!$A:$A,MATCH(AD104,[1]物品基础表!$B:$B,0)),"")</f>
        <v/>
      </c>
      <c r="AH104" s="1" t="str">
        <f>IFERROR(INDEX([1]物品基础表!$A:$A,MATCH(AG104,[1]物品基础表!$B:$B,0)),"")</f>
        <v/>
      </c>
      <c r="AK104" s="1" t="str">
        <f>IFERROR(INDEX([1]物品基础表!$A:$A,MATCH(AJ104,[1]物品基础表!$B:$B,0)),"")</f>
        <v/>
      </c>
      <c r="AN104" s="1" t="str">
        <f>IFERROR(INDEX([1]物品基础表!$A:$A,MATCH(AM104,[1]物品基础表!$B:$B,0)),"")</f>
        <v/>
      </c>
      <c r="AQ104" s="1" t="str">
        <f>IFERROR(INDEX([1]物品基础表!$A:$A,MATCH(AP104,[1]物品基础表!$B:$B,0)),"")</f>
        <v/>
      </c>
    </row>
    <row r="105" spans="1:44">
      <c r="A105" s="1" t="str">
        <f>INDEX([2]活动总表!$A$8:$A$429,MATCH(B105,[2]活动总表!$B$8:$B$429,0))</f>
        <v>合服限购礼包7</v>
      </c>
      <c r="B105" s="1">
        <v>169</v>
      </c>
      <c r="C105" s="1">
        <v>3</v>
      </c>
      <c r="D105" s="1">
        <v>8</v>
      </c>
      <c r="E105" s="1">
        <v>0</v>
      </c>
      <c r="F105" s="1" t="s">
        <v>706</v>
      </c>
      <c r="G105" s="1">
        <v>2888</v>
      </c>
      <c r="H105" s="1">
        <v>8500</v>
      </c>
      <c r="I105" s="1">
        <v>1</v>
      </c>
      <c r="O105" s="1">
        <v>33</v>
      </c>
      <c r="X105" s="1">
        <v>200001</v>
      </c>
      <c r="Y105" s="1" t="str">
        <f>IFERROR(INDEX([1]物品基础表!$A:$A,MATCH(X105,[1]物品基础表!$B:$B,0)),"")</f>
        <v>羽毛</v>
      </c>
      <c r="Z105" s="1">
        <v>85</v>
      </c>
      <c r="AB105" s="1" t="str">
        <f>IFERROR(INDEX([1]物品基础表!$A:$A,MATCH(AA105,[1]物品基础表!$B:$B,0)),"")</f>
        <v/>
      </c>
      <c r="AE105" s="1" t="str">
        <f>IFERROR(INDEX([1]物品基础表!$A:$A,MATCH(AD105,[1]物品基础表!$B:$B,0)),"")</f>
        <v/>
      </c>
      <c r="AH105" s="1" t="str">
        <f>IFERROR(INDEX([1]物品基础表!$A:$A,MATCH(AG105,[1]物品基础表!$B:$B,0)),"")</f>
        <v/>
      </c>
      <c r="AK105" s="1" t="str">
        <f>IFERROR(INDEX([1]物品基础表!$A:$A,MATCH(AJ105,[1]物品基础表!$B:$B,0)),"")</f>
        <v/>
      </c>
      <c r="AN105" s="1" t="str">
        <f>IFERROR(INDEX([1]物品基础表!$A:$A,MATCH(AM105,[1]物品基础表!$B:$B,0)),"")</f>
        <v/>
      </c>
      <c r="AQ105" s="1" t="str">
        <f>IFERROR(INDEX([1]物品基础表!$A:$A,MATCH(AP105,[1]物品基础表!$B:$B,0)),"")</f>
        <v/>
      </c>
    </row>
    <row r="106" spans="1:44">
      <c r="A106" s="1" t="str">
        <f>INDEX([2]活动总表!$A$8:$A$429,MATCH(B106,[2]活动总表!$B$8:$B$429,0))</f>
        <v>合服限购礼包7</v>
      </c>
      <c r="B106" s="1">
        <v>169</v>
      </c>
      <c r="C106" s="1">
        <v>4</v>
      </c>
      <c r="D106" s="1">
        <v>5</v>
      </c>
      <c r="E106" s="1">
        <v>0</v>
      </c>
      <c r="F106" s="1" t="s">
        <v>706</v>
      </c>
      <c r="G106" s="1">
        <v>2888</v>
      </c>
      <c r="H106" s="1">
        <v>5000</v>
      </c>
      <c r="I106" s="1">
        <v>1</v>
      </c>
      <c r="O106" s="1">
        <v>57</v>
      </c>
      <c r="X106" s="1">
        <v>200001</v>
      </c>
      <c r="Y106" s="1" t="str">
        <f>IFERROR(INDEX([1]物品基础表!$A:$A,MATCH(X106,[1]物品基础表!$B:$B,0)),"")</f>
        <v>羽毛</v>
      </c>
      <c r="Z106" s="1">
        <v>50</v>
      </c>
      <c r="AB106" s="1" t="str">
        <f>IFERROR(INDEX([1]物品基础表!$A:$A,MATCH(AA106,[1]物品基础表!$B:$B,0)),"")</f>
        <v/>
      </c>
      <c r="AE106" s="1" t="str">
        <f>IFERROR(INDEX([1]物品基础表!$A:$A,MATCH(AD106,[1]物品基础表!$B:$B,0)),"")</f>
        <v/>
      </c>
      <c r="AH106" s="1" t="str">
        <f>IFERROR(INDEX([1]物品基础表!$A:$A,MATCH(AG106,[1]物品基础表!$B:$B,0)),"")</f>
        <v/>
      </c>
      <c r="AK106" s="1" t="str">
        <f>IFERROR(INDEX([1]物品基础表!$A:$A,MATCH(AJ106,[1]物品基础表!$B:$B,0)),"")</f>
        <v/>
      </c>
      <c r="AN106" s="1" t="str">
        <f>IFERROR(INDEX([1]物品基础表!$A:$A,MATCH(AM106,[1]物品基础表!$B:$B,0)),"")</f>
        <v/>
      </c>
      <c r="AQ106" s="1" t="str">
        <f>IFERROR(INDEX([1]物品基础表!$A:$A,MATCH(AP106,[1]物品基础表!$B:$B,0)),"")</f>
        <v/>
      </c>
    </row>
    <row r="107" spans="1:44">
      <c r="A107" s="1" t="str">
        <f>INDEX([2]活动总表!$A$8:$A$429,MATCH(B107,[2]活动总表!$B$8:$B$429,0))</f>
        <v>合服限购礼包7</v>
      </c>
      <c r="B107" s="1">
        <v>169</v>
      </c>
      <c r="C107" s="1">
        <v>5</v>
      </c>
      <c r="D107" s="1">
        <v>5</v>
      </c>
      <c r="E107" s="1">
        <v>0</v>
      </c>
      <c r="F107" s="1" t="s">
        <v>706</v>
      </c>
      <c r="G107" s="1">
        <v>8888</v>
      </c>
      <c r="H107" s="1">
        <v>15000</v>
      </c>
      <c r="I107" s="1">
        <v>5</v>
      </c>
      <c r="O107" s="1">
        <v>59</v>
      </c>
      <c r="X107" s="1">
        <v>200001</v>
      </c>
      <c r="Y107" s="1" t="str">
        <f>IFERROR(INDEX([1]物品基础表!$A:$A,MATCH(X107,[1]物品基础表!$B:$B,0)),"")</f>
        <v>羽毛</v>
      </c>
      <c r="Z107" s="1">
        <v>150</v>
      </c>
      <c r="AB107" s="1" t="str">
        <f>IFERROR(INDEX([1]物品基础表!$A:$A,MATCH(AA107,[1]物品基础表!$B:$B,0)),"")</f>
        <v/>
      </c>
      <c r="AE107" s="1" t="str">
        <f>IFERROR(INDEX([1]物品基础表!$A:$A,MATCH(AD107,[1]物品基础表!$B:$B,0)),"")</f>
        <v/>
      </c>
      <c r="AH107" s="1" t="str">
        <f>IFERROR(INDEX([1]物品基础表!$A:$A,MATCH(AG107,[1]物品基础表!$B:$B,0)),"")</f>
        <v/>
      </c>
      <c r="AK107" s="1" t="str">
        <f>IFERROR(INDEX([1]物品基础表!$A:$A,MATCH(AJ107,[1]物品基础表!$B:$B,0)),"")</f>
        <v/>
      </c>
      <c r="AN107" s="1" t="str">
        <f>IFERROR(INDEX([1]物品基础表!$A:$A,MATCH(AM107,[1]物品基础表!$B:$B,0)),"")</f>
        <v/>
      </c>
      <c r="AQ107" s="1" t="str">
        <f>IFERROR(INDEX([1]物品基础表!$A:$A,MATCH(AP107,[1]物品基础表!$B:$B,0)),"")</f>
        <v/>
      </c>
    </row>
    <row r="108" spans="1:44">
      <c r="A108" s="1" t="str">
        <f>INDEX([2]活动总表!$A$8:$A$429,MATCH(B108,[2]活动总表!$B$8:$B$429,0))</f>
        <v>感恩节特惠礼包</v>
      </c>
      <c r="B108" s="1">
        <v>213</v>
      </c>
      <c r="C108" s="1">
        <v>1</v>
      </c>
      <c r="D108" s="1">
        <v>5</v>
      </c>
      <c r="E108" s="1">
        <v>0</v>
      </c>
      <c r="F108" s="1" t="s">
        <v>706</v>
      </c>
      <c r="G108" s="1">
        <v>4888</v>
      </c>
      <c r="I108" s="1">
        <v>1</v>
      </c>
      <c r="X108" s="1">
        <v>13</v>
      </c>
      <c r="Y108" s="1" t="s">
        <v>694</v>
      </c>
      <c r="Z108" s="1">
        <v>2000000</v>
      </c>
      <c r="AA108" s="1">
        <v>200015</v>
      </c>
      <c r="AB108" s="1" t="str">
        <f>IFERROR(INDEX([1]物品基础表!$A:$A,MATCH(AA108,[1]物品基础表!$B:$B,0)),"")</f>
        <v>特戒碎片</v>
      </c>
      <c r="AC108" s="1">
        <v>200</v>
      </c>
      <c r="AD108" s="1">
        <v>200005</v>
      </c>
      <c r="AE108" s="1" t="str">
        <f>IFERROR(INDEX([1]物品基础表!$A:$A,MATCH(AD108,[1]物品基础表!$B:$B,0)),"")</f>
        <v>龙魂碎片</v>
      </c>
      <c r="AF108" s="1">
        <v>20</v>
      </c>
      <c r="AG108" s="1">
        <v>202001</v>
      </c>
      <c r="AH108" s="1" t="str">
        <f>IFERROR(INDEX([1]物品基础表!$A:$A,MATCH(AG108,[1]物品基础表!$B:$B,0)),"")</f>
        <v>烈焰戒指技能1书</v>
      </c>
      <c r="AI108" s="1">
        <v>2</v>
      </c>
      <c r="AJ108" s="1">
        <v>1</v>
      </c>
      <c r="AK108" s="1" t="s">
        <v>695</v>
      </c>
      <c r="AL108" s="1">
        <v>500000</v>
      </c>
      <c r="AM108" s="1">
        <v>200156</v>
      </c>
      <c r="AN108" s="1" t="str">
        <f>IFERROR(INDEX([1]物品基础表!$A:$A,MATCH(AM108,[1]物品基础表!$B:$B,0)),"")</f>
        <v>野外BOSS次数卷轴</v>
      </c>
      <c r="AO108" s="1">
        <v>2</v>
      </c>
      <c r="AP108" s="1">
        <v>201002</v>
      </c>
      <c r="AQ108" s="1" t="str">
        <f>IFERROR(INDEX([1]物品基础表!$A:$A,MATCH(AP108,[1]物品基础表!$B:$B,0)),"")</f>
        <v>神秘钥匙</v>
      </c>
      <c r="AR108" s="1">
        <v>1</v>
      </c>
    </row>
    <row r="109" spans="1:44">
      <c r="A109" s="1" t="str">
        <f>INDEX([2]活动总表!$A$8:$A$429,MATCH(B109,[2]活动总表!$B$8:$B$429,0))</f>
        <v>感恩节特惠礼包</v>
      </c>
      <c r="B109" s="1">
        <v>213</v>
      </c>
      <c r="C109" s="1">
        <v>2</v>
      </c>
      <c r="D109" s="1">
        <v>5</v>
      </c>
      <c r="E109" s="1">
        <v>0</v>
      </c>
      <c r="F109" s="1" t="s">
        <v>706</v>
      </c>
      <c r="G109" s="1">
        <v>8888</v>
      </c>
      <c r="I109" s="1">
        <v>1</v>
      </c>
      <c r="X109" s="1">
        <v>202006</v>
      </c>
      <c r="Y109" s="1" t="str">
        <f>IFERROR(INDEX([1]物品基础表!$A:$A,MATCH(X109,[1]物品基础表!$B:$B,0)),"")</f>
        <v>烈焰戒指技能6书</v>
      </c>
      <c r="Z109" s="1">
        <v>1</v>
      </c>
      <c r="AA109" s="1">
        <v>299999</v>
      </c>
      <c r="AB109" s="1" t="str">
        <f>IFERROR(INDEX([1]物品基础表!$A:$A,MATCH(AA109,[1]物品基础表!$B:$B,0)),"")</f>
        <v>神兵幻境卷</v>
      </c>
      <c r="AC109" s="1">
        <v>2</v>
      </c>
      <c r="AD109" s="1">
        <v>200005</v>
      </c>
      <c r="AE109" s="1" t="str">
        <f>IFERROR(INDEX([1]物品基础表!$A:$A,MATCH(AD109,[1]物品基础表!$B:$B,0)),"")</f>
        <v>龙魂碎片</v>
      </c>
      <c r="AF109" s="1">
        <v>50</v>
      </c>
      <c r="AG109" s="1">
        <v>202001</v>
      </c>
      <c r="AH109" s="1" t="str">
        <f>IFERROR(INDEX([1]物品基础表!$A:$A,MATCH(AG109,[1]物品基础表!$B:$B,0)),"")</f>
        <v>烈焰戒指技能1书</v>
      </c>
      <c r="AI109" s="1">
        <v>2</v>
      </c>
      <c r="AJ109" s="1">
        <v>1</v>
      </c>
      <c r="AK109" s="1" t="s">
        <v>695</v>
      </c>
      <c r="AL109" s="1">
        <v>1000000</v>
      </c>
      <c r="AM109" s="1">
        <v>200156</v>
      </c>
      <c r="AN109" s="1" t="str">
        <f>IFERROR(INDEX([1]物品基础表!$A:$A,MATCH(AM109,[1]物品基础表!$B:$B,0)),"")</f>
        <v>野外BOSS次数卷轴</v>
      </c>
      <c r="AO109" s="1">
        <v>2</v>
      </c>
      <c r="AP109" s="1">
        <v>201002</v>
      </c>
      <c r="AQ109" s="1" t="str">
        <f>IFERROR(INDEX([1]物品基础表!$A:$A,MATCH(AP109,[1]物品基础表!$B:$B,0)),"")</f>
        <v>神秘钥匙</v>
      </c>
      <c r="AR109" s="1">
        <v>1</v>
      </c>
    </row>
    <row r="110" spans="1:44">
      <c r="A110" s="1" t="str">
        <f>INDEX([2]活动总表!$A$8:$A$429,MATCH(B110,[2]活动总表!$B$8:$B$429,0))</f>
        <v>感恩节特惠礼包</v>
      </c>
      <c r="B110" s="1">
        <v>213</v>
      </c>
      <c r="C110" s="1">
        <v>3</v>
      </c>
      <c r="D110" s="1">
        <v>5</v>
      </c>
      <c r="E110" s="1">
        <v>0</v>
      </c>
      <c r="F110" s="1" t="s">
        <v>706</v>
      </c>
      <c r="G110" s="1">
        <v>16888</v>
      </c>
      <c r="I110" s="1">
        <v>1</v>
      </c>
      <c r="X110" s="1">
        <v>200911</v>
      </c>
      <c r="Y110" s="1" t="str">
        <f>IFERROR(INDEX([1]物品基础表!$A:$A,MATCH(X110,[1]物品基础表!$B:$B,0)),"")</f>
        <v>橙色圣物宝箱</v>
      </c>
      <c r="Z110" s="1">
        <v>1</v>
      </c>
      <c r="AA110" s="1">
        <v>200015</v>
      </c>
      <c r="AB110" s="1" t="str">
        <f>IFERROR(INDEX([1]物品基础表!$A:$A,MATCH(AA110,[1]物品基础表!$B:$B,0)),"")</f>
        <v>特戒碎片</v>
      </c>
      <c r="AC110" s="1">
        <v>500</v>
      </c>
      <c r="AD110" s="1">
        <v>200005</v>
      </c>
      <c r="AE110" s="1" t="str">
        <f>IFERROR(INDEX([1]物品基础表!$A:$A,MATCH(AD110,[1]物品基础表!$B:$B,0)),"")</f>
        <v>龙魂碎片</v>
      </c>
      <c r="AF110" s="1">
        <v>50</v>
      </c>
      <c r="AG110" s="1">
        <v>202001</v>
      </c>
      <c r="AH110" s="1" t="str">
        <f>IFERROR(INDEX([1]物品基础表!$A:$A,MATCH(AG110,[1]物品基础表!$B:$B,0)),"")</f>
        <v>烈焰戒指技能1书</v>
      </c>
      <c r="AI110" s="1">
        <v>3</v>
      </c>
      <c r="AJ110" s="1">
        <v>1</v>
      </c>
      <c r="AK110" s="1" t="s">
        <v>695</v>
      </c>
      <c r="AL110" s="1">
        <v>1000000</v>
      </c>
      <c r="AM110" s="1">
        <v>200156</v>
      </c>
      <c r="AN110" s="1" t="str">
        <f>IFERROR(INDEX([1]物品基础表!$A:$A,MATCH(AM110,[1]物品基础表!$B:$B,0)),"")</f>
        <v>野外BOSS次数卷轴</v>
      </c>
      <c r="AO110" s="1">
        <v>2</v>
      </c>
      <c r="AP110" s="1">
        <v>201002</v>
      </c>
      <c r="AQ110" s="1" t="str">
        <f>IFERROR(INDEX([1]物品基础表!$A:$A,MATCH(AP110,[1]物品基础表!$B:$B,0)),"")</f>
        <v>神秘钥匙</v>
      </c>
      <c r="AR110" s="1">
        <v>1</v>
      </c>
    </row>
    <row r="111" spans="1:44">
      <c r="A111" s="1" t="str">
        <f>INDEX([2]活动总表!$A$8:$A$429,MATCH(B111,[2]活动总表!$B$8:$B$429,0))</f>
        <v>感恩节特惠礼包</v>
      </c>
      <c r="B111" s="1">
        <v>213</v>
      </c>
      <c r="C111" s="1">
        <v>4</v>
      </c>
      <c r="D111" s="1">
        <v>5</v>
      </c>
      <c r="E111" s="1">
        <v>0</v>
      </c>
      <c r="F111" s="1" t="s">
        <v>706</v>
      </c>
      <c r="G111" s="1">
        <v>26888</v>
      </c>
      <c r="I111" s="1">
        <v>1</v>
      </c>
      <c r="X111" s="1">
        <v>202007</v>
      </c>
      <c r="Y111" s="1" t="str">
        <f>IFERROR(INDEX([1]物品基础表!$A:$A,MATCH(X111,[1]物品基础表!$B:$B,0)),"")</f>
        <v>烈焰戒指技能7书</v>
      </c>
      <c r="Z111" s="1">
        <v>1</v>
      </c>
      <c r="AA111" s="1">
        <v>202008</v>
      </c>
      <c r="AB111" s="1" t="str">
        <f>IFERROR(INDEX([1]物品基础表!$A:$A,MATCH(AA111,[1]物品基础表!$B:$B,0)),"")</f>
        <v>烈焰戒指技能8书</v>
      </c>
      <c r="AC111" s="1">
        <v>1</v>
      </c>
      <c r="AD111" s="1">
        <v>202002</v>
      </c>
      <c r="AE111" s="1" t="str">
        <f>IFERROR(INDEX([1]物品基础表!$A:$A,MATCH(AD111,[1]物品基础表!$B:$B,0)),"")</f>
        <v>烈焰戒指技能2书</v>
      </c>
      <c r="AF111" s="1">
        <v>1</v>
      </c>
      <c r="AG111" s="1">
        <v>202001</v>
      </c>
      <c r="AH111" s="1" t="str">
        <f>IFERROR(INDEX([1]物品基础表!$A:$A,MATCH(AG111,[1]物品基础表!$B:$B,0)),"")</f>
        <v>烈焰戒指技能1书</v>
      </c>
      <c r="AI111" s="1">
        <v>5</v>
      </c>
      <c r="AJ111" s="1">
        <v>1</v>
      </c>
      <c r="AK111" s="1" t="s">
        <v>695</v>
      </c>
      <c r="AL111" s="1">
        <v>1000000</v>
      </c>
      <c r="AM111" s="1">
        <v>200157</v>
      </c>
      <c r="AN111" s="1" t="str">
        <f>IFERROR(INDEX([1]物品基础表!$A:$A,MATCH(AM111,[1]物品基础表!$B:$B,0)),"")</f>
        <v>秘境BOSS次数卷轴</v>
      </c>
      <c r="AO111" s="1">
        <v>1</v>
      </c>
      <c r="AP111" s="1">
        <v>201002</v>
      </c>
      <c r="AQ111" s="1" t="str">
        <f>IFERROR(INDEX([1]物品基础表!$A:$A,MATCH(AP111,[1]物品基础表!$B:$B,0)),"")</f>
        <v>神秘钥匙</v>
      </c>
      <c r="AR111" s="1">
        <v>1</v>
      </c>
    </row>
    <row r="112" spans="1:44">
      <c r="A112" s="1" t="str">
        <f>INDEX([2]活动总表!$A$8:$A$429,MATCH(B112,[2]活动总表!$B$8:$B$429,0))</f>
        <v>双12活动-特惠</v>
      </c>
      <c r="B112" s="1">
        <v>224</v>
      </c>
      <c r="C112" s="1">
        <v>1</v>
      </c>
      <c r="D112" s="1">
        <v>5</v>
      </c>
      <c r="E112" s="1">
        <v>0</v>
      </c>
      <c r="F112" s="1" t="s">
        <v>706</v>
      </c>
      <c r="G112" s="1">
        <v>4888</v>
      </c>
      <c r="I112" s="1">
        <v>1</v>
      </c>
      <c r="X112" s="1">
        <v>13</v>
      </c>
      <c r="Y112" s="1" t="s">
        <v>694</v>
      </c>
      <c r="Z112" s="1">
        <v>2000000</v>
      </c>
      <c r="AA112" s="1">
        <v>200015</v>
      </c>
      <c r="AB112" s="1" t="str">
        <f>IFERROR(INDEX([1]物品基础表!$A:$A,MATCH(AA112,[1]物品基础表!$B:$B,0)),"")</f>
        <v>特戒碎片</v>
      </c>
      <c r="AC112" s="1">
        <v>200</v>
      </c>
      <c r="AD112" s="1">
        <v>200005</v>
      </c>
      <c r="AE112" s="1" t="str">
        <f>IFERROR(INDEX([1]物品基础表!$A:$A,MATCH(AD112,[1]物品基础表!$B:$B,0)),"")</f>
        <v>龙魂碎片</v>
      </c>
      <c r="AF112" s="1">
        <v>20</v>
      </c>
      <c r="AG112" s="1">
        <v>202001</v>
      </c>
      <c r="AH112" s="1" t="str">
        <f>IFERROR(INDEX([1]物品基础表!$A:$A,MATCH(AG112,[1]物品基础表!$B:$B,0)),"")</f>
        <v>烈焰戒指技能1书</v>
      </c>
      <c r="AI112" s="1">
        <v>2</v>
      </c>
      <c r="AJ112" s="1">
        <v>1</v>
      </c>
      <c r="AK112" s="1" t="s">
        <v>695</v>
      </c>
      <c r="AL112" s="1">
        <v>500000</v>
      </c>
      <c r="AM112" s="1">
        <v>200156</v>
      </c>
      <c r="AN112" s="1" t="str">
        <f>IFERROR(INDEX([1]物品基础表!$A:$A,MATCH(AM112,[1]物品基础表!$B:$B,0)),"")</f>
        <v>野外BOSS次数卷轴</v>
      </c>
      <c r="AO112" s="1">
        <v>2</v>
      </c>
      <c r="AP112" s="1">
        <v>201002</v>
      </c>
      <c r="AQ112" s="1" t="str">
        <f>IFERROR(INDEX([1]物品基础表!$A:$A,MATCH(AP112,[1]物品基础表!$B:$B,0)),"")</f>
        <v>神秘钥匙</v>
      </c>
      <c r="AR112" s="1">
        <v>1</v>
      </c>
    </row>
    <row r="113" spans="1:44">
      <c r="A113" s="1" t="str">
        <f>INDEX([2]活动总表!$A$8:$A$429,MATCH(B113,[2]活动总表!$B$8:$B$429,0))</f>
        <v>双12活动-特惠</v>
      </c>
      <c r="B113" s="1">
        <v>224</v>
      </c>
      <c r="C113" s="1">
        <v>2</v>
      </c>
      <c r="D113" s="1">
        <v>5</v>
      </c>
      <c r="E113" s="1">
        <v>0</v>
      </c>
      <c r="F113" s="1" t="s">
        <v>706</v>
      </c>
      <c r="G113" s="1">
        <v>8888</v>
      </c>
      <c r="I113" s="1">
        <v>1</v>
      </c>
      <c r="X113" s="1">
        <v>200012</v>
      </c>
      <c r="Y113" s="1" t="str">
        <f>IFERROR(INDEX([1]物品基础表!$A:$A,MATCH(X113,[1]物品基础表!$B:$B,0)),"")</f>
        <v>超级转生丹·无限制</v>
      </c>
      <c r="Z113" s="1">
        <v>1</v>
      </c>
      <c r="AA113" s="1">
        <v>200015</v>
      </c>
      <c r="AB113" s="1" t="str">
        <f>IFERROR(INDEX([1]物品基础表!$A:$A,MATCH(AA113,[1]物品基础表!$B:$B,0)),"")</f>
        <v>特戒碎片</v>
      </c>
      <c r="AC113" s="1">
        <v>500</v>
      </c>
      <c r="AD113" s="1">
        <v>200005</v>
      </c>
      <c r="AE113" s="1" t="str">
        <f>IFERROR(INDEX([1]物品基础表!$A:$A,MATCH(AD113,[1]物品基础表!$B:$B,0)),"")</f>
        <v>龙魂碎片</v>
      </c>
      <c r="AF113" s="1">
        <v>50</v>
      </c>
      <c r="AG113" s="1">
        <v>202001</v>
      </c>
      <c r="AH113" s="1" t="str">
        <f>IFERROR(INDEX([1]物品基础表!$A:$A,MATCH(AG113,[1]物品基础表!$B:$B,0)),"")</f>
        <v>烈焰戒指技能1书</v>
      </c>
      <c r="AI113" s="1">
        <v>2</v>
      </c>
      <c r="AJ113" s="1">
        <v>1</v>
      </c>
      <c r="AK113" s="1" t="s">
        <v>695</v>
      </c>
      <c r="AL113" s="1">
        <v>1000000</v>
      </c>
      <c r="AM113" s="1">
        <v>200156</v>
      </c>
      <c r="AN113" s="1" t="str">
        <f>IFERROR(INDEX([1]物品基础表!$A:$A,MATCH(AM113,[1]物品基础表!$B:$B,0)),"")</f>
        <v>野外BOSS次数卷轴</v>
      </c>
      <c r="AO113" s="1">
        <v>2</v>
      </c>
      <c r="AP113" s="1">
        <v>201002</v>
      </c>
      <c r="AQ113" s="1" t="str">
        <f>IFERROR(INDEX([1]物品基础表!$A:$A,MATCH(AP113,[1]物品基础表!$B:$B,0)),"")</f>
        <v>神秘钥匙</v>
      </c>
      <c r="AR113" s="1">
        <v>1</v>
      </c>
    </row>
    <row r="114" spans="1:44">
      <c r="A114" s="1" t="str">
        <f>INDEX([2]活动总表!$A$8:$A$429,MATCH(B114,[2]活动总表!$B$8:$B$429,0))</f>
        <v>双12活动-特惠</v>
      </c>
      <c r="B114" s="1">
        <v>224</v>
      </c>
      <c r="C114" s="1">
        <v>3</v>
      </c>
      <c r="D114" s="1">
        <v>5</v>
      </c>
      <c r="E114" s="1">
        <v>0</v>
      </c>
      <c r="F114" s="1" t="s">
        <v>706</v>
      </c>
      <c r="G114" s="1">
        <v>16888</v>
      </c>
      <c r="I114" s="1">
        <v>1</v>
      </c>
      <c r="X114" s="1">
        <v>200911</v>
      </c>
      <c r="Y114" s="1" t="str">
        <f>IFERROR(INDEX([1]物品基础表!$A:$A,MATCH(X114,[1]物品基础表!$B:$B,0)),"")</f>
        <v>橙色圣物宝箱</v>
      </c>
      <c r="Z114" s="1">
        <v>1</v>
      </c>
      <c r="AA114" s="1">
        <v>500006</v>
      </c>
      <c r="AB114" s="1" t="str">
        <f>IFERROR(INDEX([1]物品基础表!$A:$A,MATCH(AA114,[1]物品基础表!$B:$B,0)),"")</f>
        <v>战纹精华-金</v>
      </c>
      <c r="AC114" s="1">
        <v>1</v>
      </c>
      <c r="AD114" s="1">
        <v>200005</v>
      </c>
      <c r="AE114" s="1" t="str">
        <f>IFERROR(INDEX([1]物品基础表!$A:$A,MATCH(AD114,[1]物品基础表!$B:$B,0)),"")</f>
        <v>龙魂碎片</v>
      </c>
      <c r="AF114" s="1">
        <v>100</v>
      </c>
      <c r="AG114" s="1">
        <v>202001</v>
      </c>
      <c r="AH114" s="1" t="str">
        <f>IFERROR(INDEX([1]物品基础表!$A:$A,MATCH(AG114,[1]物品基础表!$B:$B,0)),"")</f>
        <v>烈焰戒指技能1书</v>
      </c>
      <c r="AI114" s="1">
        <v>3</v>
      </c>
      <c r="AJ114" s="1">
        <v>1</v>
      </c>
      <c r="AK114" s="1" t="s">
        <v>695</v>
      </c>
      <c r="AL114" s="1">
        <v>1000000</v>
      </c>
      <c r="AM114" s="1">
        <v>200156</v>
      </c>
      <c r="AN114" s="1" t="str">
        <f>IFERROR(INDEX([1]物品基础表!$A:$A,MATCH(AM114,[1]物品基础表!$B:$B,0)),"")</f>
        <v>野外BOSS次数卷轴</v>
      </c>
      <c r="AO114" s="1">
        <v>2</v>
      </c>
      <c r="AP114" s="1">
        <v>201002</v>
      </c>
      <c r="AQ114" s="1" t="str">
        <f>IFERROR(INDEX([1]物品基础表!$A:$A,MATCH(AP114,[1]物品基础表!$B:$B,0)),"")</f>
        <v>神秘钥匙</v>
      </c>
      <c r="AR114" s="1">
        <v>1</v>
      </c>
    </row>
    <row r="115" spans="1:44">
      <c r="A115" s="1" t="str">
        <f>INDEX([2]活动总表!$A$8:$A$429,MATCH(B115,[2]活动总表!$B$8:$B$429,0))</f>
        <v>双12活动-特惠</v>
      </c>
      <c r="B115" s="1">
        <v>224</v>
      </c>
      <c r="C115" s="1">
        <v>4</v>
      </c>
      <c r="D115" s="1">
        <v>5</v>
      </c>
      <c r="E115" s="1">
        <v>0</v>
      </c>
      <c r="F115" s="1" t="s">
        <v>706</v>
      </c>
      <c r="G115" s="1">
        <v>26888</v>
      </c>
      <c r="I115" s="1">
        <v>1</v>
      </c>
      <c r="X115" s="1">
        <v>202007</v>
      </c>
      <c r="Y115" s="1" t="str">
        <f>IFERROR(INDEX([1]物品基础表!$A:$A,MATCH(X115,[1]物品基础表!$B:$B,0)),"")</f>
        <v>烈焰戒指技能7书</v>
      </c>
      <c r="Z115" s="1">
        <v>1</v>
      </c>
      <c r="AA115" s="1">
        <v>202008</v>
      </c>
      <c r="AB115" s="1" t="str">
        <f>IFERROR(INDEX([1]物品基础表!$A:$A,MATCH(AA115,[1]物品基础表!$B:$B,0)),"")</f>
        <v>烈焰戒指技能8书</v>
      </c>
      <c r="AC115" s="1">
        <v>1</v>
      </c>
      <c r="AD115" s="1">
        <v>202002</v>
      </c>
      <c r="AE115" s="1" t="str">
        <f>IFERROR(INDEX([1]物品基础表!$A:$A,MATCH(AD115,[1]物品基础表!$B:$B,0)),"")</f>
        <v>烈焰戒指技能2书</v>
      </c>
      <c r="AF115" s="1">
        <v>1</v>
      </c>
      <c r="AG115" s="1">
        <v>202001</v>
      </c>
      <c r="AH115" s="1" t="str">
        <f>IFERROR(INDEX([1]物品基础表!$A:$A,MATCH(AG115,[1]物品基础表!$B:$B,0)),"")</f>
        <v>烈焰戒指技能1书</v>
      </c>
      <c r="AI115" s="1">
        <v>5</v>
      </c>
      <c r="AJ115" s="1">
        <v>1</v>
      </c>
      <c r="AK115" s="1" t="s">
        <v>695</v>
      </c>
      <c r="AL115" s="1">
        <v>1000000</v>
      </c>
      <c r="AM115" s="1">
        <v>200157</v>
      </c>
      <c r="AN115" s="1" t="str">
        <f>IFERROR(INDEX([1]物品基础表!$A:$A,MATCH(AM115,[1]物品基础表!$B:$B,0)),"")</f>
        <v>秘境BOSS次数卷轴</v>
      </c>
      <c r="AO115" s="1">
        <v>1</v>
      </c>
      <c r="AP115" s="1">
        <v>201002</v>
      </c>
      <c r="AQ115" s="1" t="str">
        <f>IFERROR(INDEX([1]物品基础表!$A:$A,MATCH(AP115,[1]物品基础表!$B:$B,0)),"")</f>
        <v>神秘钥匙</v>
      </c>
      <c r="AR115" s="1">
        <v>1</v>
      </c>
    </row>
    <row r="116" spans="1:44">
      <c r="A116" s="1" t="str">
        <f>INDEX([2]活动总表!$A$8:$A$429,MATCH(B116,[2]活动总表!$B$8:$B$429,0))</f>
        <v>元旦-限购礼包1</v>
      </c>
      <c r="B116" s="1">
        <v>237</v>
      </c>
      <c r="C116" s="1">
        <v>1</v>
      </c>
      <c r="D116" s="1">
        <v>5</v>
      </c>
      <c r="E116" s="1">
        <v>0</v>
      </c>
      <c r="F116" s="1" t="s">
        <v>706</v>
      </c>
      <c r="G116" s="1">
        <v>888</v>
      </c>
      <c r="H116" s="1">
        <v>1500</v>
      </c>
      <c r="I116" s="1">
        <v>1</v>
      </c>
      <c r="O116" s="1">
        <v>59</v>
      </c>
      <c r="X116" s="1">
        <v>200003</v>
      </c>
      <c r="Y116" s="1" t="str">
        <f>IFERROR(INDEX([1]物品基础表!$A:$A,MATCH(X116,[1]物品基础表!$B:$B,0)),"")</f>
        <v>铸造晶石</v>
      </c>
      <c r="Z116" s="1">
        <v>30</v>
      </c>
      <c r="AB116" s="1" t="str">
        <f>IFERROR(INDEX([1]物品基础表!$A:$A,MATCH(AA116,[1]物品基础表!$B:$B,0)),"")</f>
        <v/>
      </c>
      <c r="AE116" s="1" t="str">
        <f>IFERROR(INDEX([1]物品基础表!$A:$A,MATCH(AD116,[1]物品基础表!$B:$B,0)),"")</f>
        <v/>
      </c>
      <c r="AH116" s="1" t="str">
        <f>IFERROR(INDEX([1]物品基础表!$A:$A,MATCH(AG116,[1]物品基础表!$B:$B,0)),"")</f>
        <v/>
      </c>
      <c r="AK116" s="1" t="str">
        <f>IFERROR(INDEX([1]物品基础表!$A:$A,MATCH(AJ116,[1]物品基础表!$B:$B,0)),"")</f>
        <v/>
      </c>
      <c r="AN116" s="1" t="str">
        <f>IFERROR(INDEX([1]物品基础表!$A:$A,MATCH(AM116,[1]物品基础表!$B:$B,0)),"")</f>
        <v/>
      </c>
      <c r="AQ116" s="1" t="str">
        <f>IFERROR(INDEX([1]物品基础表!$A:$A,MATCH(AP116,[1]物品基础表!$B:$B,0)),"")</f>
        <v/>
      </c>
    </row>
    <row r="117" spans="1:44">
      <c r="A117" s="1" t="str">
        <f>INDEX([2]活动总表!$A$8:$A$429,MATCH(B117,[2]活动总表!$B$8:$B$429,0))</f>
        <v>元旦-限购礼包1</v>
      </c>
      <c r="B117" s="1">
        <v>237</v>
      </c>
      <c r="C117" s="1">
        <v>2</v>
      </c>
      <c r="D117" s="1">
        <v>7</v>
      </c>
      <c r="E117" s="1">
        <v>0</v>
      </c>
      <c r="F117" s="1" t="s">
        <v>706</v>
      </c>
      <c r="G117" s="1">
        <v>1588</v>
      </c>
      <c r="H117" s="1">
        <v>5000</v>
      </c>
      <c r="I117" s="1">
        <v>1</v>
      </c>
      <c r="O117" s="1">
        <v>31</v>
      </c>
      <c r="X117" s="1">
        <v>200003</v>
      </c>
      <c r="Y117" s="1" t="str">
        <f>IFERROR(INDEX([1]物品基础表!$A:$A,MATCH(X117,[1]物品基础表!$B:$B,0)),"")</f>
        <v>铸造晶石</v>
      </c>
      <c r="Z117" s="1">
        <v>100</v>
      </c>
      <c r="AB117" s="1" t="str">
        <f>IFERROR(INDEX([1]物品基础表!$A:$A,MATCH(AA117,[1]物品基础表!$B:$B,0)),"")</f>
        <v/>
      </c>
      <c r="AE117" s="1" t="str">
        <f>IFERROR(INDEX([1]物品基础表!$A:$A,MATCH(AD117,[1]物品基础表!$B:$B,0)),"")</f>
        <v/>
      </c>
      <c r="AH117" s="1" t="str">
        <f>IFERROR(INDEX([1]物品基础表!$A:$A,MATCH(AG117,[1]物品基础表!$B:$B,0)),"")</f>
        <v/>
      </c>
      <c r="AK117" s="1" t="str">
        <f>IFERROR(INDEX([1]物品基础表!$A:$A,MATCH(AJ117,[1]物品基础表!$B:$B,0)),"")</f>
        <v/>
      </c>
      <c r="AN117" s="1" t="str">
        <f>IFERROR(INDEX([1]物品基础表!$A:$A,MATCH(AM117,[1]物品基础表!$B:$B,0)),"")</f>
        <v/>
      </c>
      <c r="AQ117" s="1" t="str">
        <f>IFERROR(INDEX([1]物品基础表!$A:$A,MATCH(AP117,[1]物品基础表!$B:$B,0)),"")</f>
        <v/>
      </c>
    </row>
    <row r="118" spans="1:44">
      <c r="A118" s="1" t="str">
        <f>INDEX([2]活动总表!$A$8:$A$429,MATCH(B118,[2]活动总表!$B$8:$B$429,0))</f>
        <v>元旦-限购礼包1</v>
      </c>
      <c r="B118" s="1">
        <v>237</v>
      </c>
      <c r="C118" s="1">
        <v>3</v>
      </c>
      <c r="D118" s="1">
        <v>5</v>
      </c>
      <c r="E118" s="1">
        <v>0</v>
      </c>
      <c r="F118" s="1" t="s">
        <v>706</v>
      </c>
      <c r="G118" s="1">
        <v>2888</v>
      </c>
      <c r="H118" s="1">
        <v>5000</v>
      </c>
      <c r="I118" s="1">
        <v>1</v>
      </c>
      <c r="O118" s="1">
        <v>57</v>
      </c>
      <c r="X118" s="1">
        <v>200003</v>
      </c>
      <c r="Y118" s="1" t="str">
        <f>IFERROR(INDEX([1]物品基础表!$A:$A,MATCH(X118,[1]物品基础表!$B:$B,0)),"")</f>
        <v>铸造晶石</v>
      </c>
      <c r="Z118" s="1">
        <v>100</v>
      </c>
      <c r="AB118" s="1" t="str">
        <f>IFERROR(INDEX([1]物品基础表!$A:$A,MATCH(AA118,[1]物品基础表!$B:$B,0)),"")</f>
        <v/>
      </c>
      <c r="AE118" s="1" t="str">
        <f>IFERROR(INDEX([1]物品基础表!$A:$A,MATCH(AD118,[1]物品基础表!$B:$B,0)),"")</f>
        <v/>
      </c>
      <c r="AH118" s="1" t="str">
        <f>IFERROR(INDEX([1]物品基础表!$A:$A,MATCH(AG118,[1]物品基础表!$B:$B,0)),"")</f>
        <v/>
      </c>
      <c r="AK118" s="1" t="str">
        <f>IFERROR(INDEX([1]物品基础表!$A:$A,MATCH(AJ118,[1]物品基础表!$B:$B,0)),"")</f>
        <v/>
      </c>
      <c r="AN118" s="1" t="str">
        <f>IFERROR(INDEX([1]物品基础表!$A:$A,MATCH(AM118,[1]物品基础表!$B:$B,0)),"")</f>
        <v/>
      </c>
      <c r="AQ118" s="1" t="str">
        <f>IFERROR(INDEX([1]物品基础表!$A:$A,MATCH(AP118,[1]物品基础表!$B:$B,0)),"")</f>
        <v/>
      </c>
    </row>
    <row r="119" spans="1:44">
      <c r="A119" s="1" t="str">
        <f>INDEX([2]活动总表!$A$8:$A$429,MATCH(B119,[2]活动总表!$B$8:$B$429,0))</f>
        <v>元旦-限购礼包1</v>
      </c>
      <c r="B119" s="1">
        <v>237</v>
      </c>
      <c r="C119" s="1">
        <v>4</v>
      </c>
      <c r="D119" s="1">
        <v>5</v>
      </c>
      <c r="E119" s="1">
        <v>0</v>
      </c>
      <c r="F119" s="1" t="s">
        <v>706</v>
      </c>
      <c r="G119" s="1">
        <v>8888</v>
      </c>
      <c r="H119" s="1">
        <v>15000</v>
      </c>
      <c r="I119" s="1">
        <v>3</v>
      </c>
      <c r="O119" s="1">
        <v>59</v>
      </c>
      <c r="X119" s="1">
        <v>200003</v>
      </c>
      <c r="Y119" s="1" t="str">
        <f>IFERROR(INDEX([1]物品基础表!$A:$A,MATCH(X119,[1]物品基础表!$B:$B,0)),"")</f>
        <v>铸造晶石</v>
      </c>
      <c r="Z119" s="1">
        <v>300</v>
      </c>
      <c r="AB119" s="1" t="str">
        <f>IFERROR(INDEX([1]物品基础表!$A:$A,MATCH(AA119,[1]物品基础表!$B:$B,0)),"")</f>
        <v/>
      </c>
      <c r="AE119" s="1" t="str">
        <f>IFERROR(INDEX([1]物品基础表!$A:$A,MATCH(AD119,[1]物品基础表!$B:$B,0)),"")</f>
        <v/>
      </c>
      <c r="AH119" s="1" t="str">
        <f>IFERROR(INDEX([1]物品基础表!$A:$A,MATCH(AG119,[1]物品基础表!$B:$B,0)),"")</f>
        <v/>
      </c>
      <c r="AK119" s="1" t="str">
        <f>IFERROR(INDEX([1]物品基础表!$A:$A,MATCH(AJ119,[1]物品基础表!$B:$B,0)),"")</f>
        <v/>
      </c>
      <c r="AN119" s="1" t="str">
        <f>IFERROR(INDEX([1]物品基础表!$A:$A,MATCH(AM119,[1]物品基础表!$B:$B,0)),"")</f>
        <v/>
      </c>
      <c r="AQ119" s="1" t="str">
        <f>IFERROR(INDEX([1]物品基础表!$A:$A,MATCH(AP119,[1]物品基础表!$B:$B,0)),"")</f>
        <v/>
      </c>
    </row>
    <row r="120" spans="1:44">
      <c r="A120" s="1" t="str">
        <f>INDEX([2]活动总表!$A$8:$A$429,MATCH(B120,[2]活动总表!$B$8:$B$429,0))</f>
        <v>元旦-限购礼包2</v>
      </c>
      <c r="B120" s="1">
        <v>238</v>
      </c>
      <c r="C120" s="1">
        <v>1</v>
      </c>
      <c r="D120" s="1">
        <v>5</v>
      </c>
      <c r="E120" s="1">
        <v>0</v>
      </c>
      <c r="F120" s="1" t="s">
        <v>706</v>
      </c>
      <c r="G120" s="1">
        <v>888</v>
      </c>
      <c r="H120" s="1">
        <v>1500</v>
      </c>
      <c r="I120" s="1">
        <v>1</v>
      </c>
      <c r="O120" s="1">
        <v>59</v>
      </c>
      <c r="X120" s="1">
        <v>200301</v>
      </c>
      <c r="Y120" s="1" t="str">
        <f>IFERROR(INDEX([1]物品基础表!$A:$A,MATCH(X120,[1]物品基础表!$B:$B,0)),"")</f>
        <v>传世宝钻</v>
      </c>
      <c r="Z120" s="1">
        <v>15</v>
      </c>
      <c r="AB120" s="1" t="str">
        <f>IFERROR(INDEX([1]物品基础表!$A:$A,MATCH(AA120,[1]物品基础表!$B:$B,0)),"")</f>
        <v/>
      </c>
      <c r="AE120" s="1" t="str">
        <f>IFERROR(INDEX([1]物品基础表!$A:$A,MATCH(AD120,[1]物品基础表!$B:$B,0)),"")</f>
        <v/>
      </c>
      <c r="AH120" s="1" t="str">
        <f>IFERROR(INDEX([1]物品基础表!$A:$A,MATCH(AG120,[1]物品基础表!$B:$B,0)),"")</f>
        <v/>
      </c>
      <c r="AK120" s="1" t="str">
        <f>IFERROR(INDEX([1]物品基础表!$A:$A,MATCH(AJ120,[1]物品基础表!$B:$B,0)),"")</f>
        <v/>
      </c>
      <c r="AN120" s="1" t="str">
        <f>IFERROR(INDEX([1]物品基础表!$A:$A,MATCH(AM120,[1]物品基础表!$B:$B,0)),"")</f>
        <v/>
      </c>
      <c r="AQ120" s="1" t="str">
        <f>IFERROR(INDEX([1]物品基础表!$A:$A,MATCH(AP120,[1]物品基础表!$B:$B,0)),"")</f>
        <v/>
      </c>
    </row>
    <row r="121" spans="1:44">
      <c r="A121" s="1" t="str">
        <f>INDEX([2]活动总表!$A$8:$A$429,MATCH(B121,[2]活动总表!$B$8:$B$429,0))</f>
        <v>元旦-限购礼包2</v>
      </c>
      <c r="B121" s="1">
        <v>238</v>
      </c>
      <c r="C121" s="1">
        <v>2</v>
      </c>
      <c r="D121" s="1">
        <v>7</v>
      </c>
      <c r="E121" s="1">
        <v>0</v>
      </c>
      <c r="F121" s="1" t="s">
        <v>706</v>
      </c>
      <c r="G121" s="1">
        <v>1588</v>
      </c>
      <c r="H121" s="1">
        <v>5000</v>
      </c>
      <c r="I121" s="1">
        <v>1</v>
      </c>
      <c r="O121" s="1">
        <v>31</v>
      </c>
      <c r="X121" s="1">
        <v>200301</v>
      </c>
      <c r="Y121" s="1" t="str">
        <f>IFERROR(INDEX([1]物品基础表!$A:$A,MATCH(X121,[1]物品基础表!$B:$B,0)),"")</f>
        <v>传世宝钻</v>
      </c>
      <c r="Z121" s="1">
        <v>50</v>
      </c>
      <c r="AB121" s="1" t="str">
        <f>IFERROR(INDEX([1]物品基础表!$A:$A,MATCH(AA121,[1]物品基础表!$B:$B,0)),"")</f>
        <v/>
      </c>
      <c r="AE121" s="1" t="str">
        <f>IFERROR(INDEX([1]物品基础表!$A:$A,MATCH(AD121,[1]物品基础表!$B:$B,0)),"")</f>
        <v/>
      </c>
      <c r="AH121" s="1" t="str">
        <f>IFERROR(INDEX([1]物品基础表!$A:$A,MATCH(AG121,[1]物品基础表!$B:$B,0)),"")</f>
        <v/>
      </c>
      <c r="AK121" s="1" t="str">
        <f>IFERROR(INDEX([1]物品基础表!$A:$A,MATCH(AJ121,[1]物品基础表!$B:$B,0)),"")</f>
        <v/>
      </c>
      <c r="AN121" s="1" t="str">
        <f>IFERROR(INDEX([1]物品基础表!$A:$A,MATCH(AM121,[1]物品基础表!$B:$B,0)),"")</f>
        <v/>
      </c>
      <c r="AQ121" s="1" t="str">
        <f>IFERROR(INDEX([1]物品基础表!$A:$A,MATCH(AP121,[1]物品基础表!$B:$B,0)),"")</f>
        <v/>
      </c>
    </row>
    <row r="122" spans="1:44">
      <c r="A122" s="1" t="str">
        <f>INDEX([2]活动总表!$A$8:$A$429,MATCH(B122,[2]活动总表!$B$8:$B$429,0))</f>
        <v>元旦-限购礼包2</v>
      </c>
      <c r="B122" s="1">
        <v>238</v>
      </c>
      <c r="C122" s="1">
        <v>3</v>
      </c>
      <c r="D122" s="1">
        <v>5</v>
      </c>
      <c r="E122" s="1">
        <v>0</v>
      </c>
      <c r="F122" s="1" t="s">
        <v>706</v>
      </c>
      <c r="G122" s="1">
        <v>2888</v>
      </c>
      <c r="H122" s="1">
        <v>5365</v>
      </c>
      <c r="I122" s="1">
        <v>1</v>
      </c>
      <c r="O122" s="1">
        <v>53</v>
      </c>
      <c r="X122" s="1">
        <v>200301</v>
      </c>
      <c r="Y122" s="1" t="str">
        <f>IFERROR(INDEX([1]物品基础表!$A:$A,MATCH(X122,[1]物品基础表!$B:$B,0)),"")</f>
        <v>传世宝钻</v>
      </c>
      <c r="Z122" s="1">
        <v>40</v>
      </c>
      <c r="AA122" s="1">
        <v>200153</v>
      </c>
      <c r="AB122" s="1" t="str">
        <f>IFERROR(INDEX([1]物品基础表!$A:$A,MATCH(AA122,[1]物品基础表!$B:$B,0)),"")</f>
        <v>传世宝箱</v>
      </c>
      <c r="AC122" s="1">
        <v>1</v>
      </c>
      <c r="AE122" s="1" t="str">
        <f>IFERROR(INDEX([1]物品基础表!$A:$A,MATCH(AD122,[1]物品基础表!$B:$B,0)),"")</f>
        <v/>
      </c>
      <c r="AH122" s="1" t="str">
        <f>IFERROR(INDEX([1]物品基础表!$A:$A,MATCH(AG122,[1]物品基础表!$B:$B,0)),"")</f>
        <v/>
      </c>
      <c r="AK122" s="1" t="str">
        <f>IFERROR(INDEX([1]物品基础表!$A:$A,MATCH(AJ122,[1]物品基础表!$B:$B,0)),"")</f>
        <v/>
      </c>
      <c r="AN122" s="1" t="str">
        <f>IFERROR(INDEX([1]物品基础表!$A:$A,MATCH(AM122,[1]物品基础表!$B:$B,0)),"")</f>
        <v/>
      </c>
      <c r="AQ122" s="1" t="str">
        <f>IFERROR(INDEX([1]物品基础表!$A:$A,MATCH(AP122,[1]物品基础表!$B:$B,0)),"")</f>
        <v/>
      </c>
    </row>
    <row r="123" spans="1:44">
      <c r="A123" s="1" t="str">
        <f>INDEX([2]活动总表!$A$8:$A$429,MATCH(B123,[2]活动总表!$B$8:$B$429,0))</f>
        <v>元旦-限购礼包2</v>
      </c>
      <c r="B123" s="1">
        <v>238</v>
      </c>
      <c r="C123" s="1">
        <v>4</v>
      </c>
      <c r="D123" s="1">
        <v>5</v>
      </c>
      <c r="E123" s="1">
        <v>0</v>
      </c>
      <c r="F123" s="1" t="s">
        <v>706</v>
      </c>
      <c r="G123" s="1">
        <v>8888</v>
      </c>
      <c r="H123" s="1">
        <v>15230</v>
      </c>
      <c r="I123" s="1">
        <v>3</v>
      </c>
      <c r="O123" s="1">
        <v>58</v>
      </c>
      <c r="X123" s="1">
        <v>200301</v>
      </c>
      <c r="Y123" s="1" t="str">
        <f>IFERROR(INDEX([1]物品基础表!$A:$A,MATCH(X123,[1]物品基础表!$B:$B,0)),"")</f>
        <v>传世宝钻</v>
      </c>
      <c r="Z123" s="1">
        <v>125</v>
      </c>
      <c r="AA123" s="1">
        <v>200153</v>
      </c>
      <c r="AB123" s="1" t="str">
        <f>IFERROR(INDEX([1]物品基础表!$A:$A,MATCH(AA123,[1]物品基础表!$B:$B,0)),"")</f>
        <v>传世宝箱</v>
      </c>
      <c r="AC123" s="1">
        <v>2</v>
      </c>
      <c r="AE123" s="1" t="str">
        <f>IFERROR(INDEX([1]物品基础表!$A:$A,MATCH(AD123,[1]物品基础表!$B:$B,0)),"")</f>
        <v/>
      </c>
      <c r="AH123" s="1" t="str">
        <f>IFERROR(INDEX([1]物品基础表!$A:$A,MATCH(AG123,[1]物品基础表!$B:$B,0)),"")</f>
        <v/>
      </c>
      <c r="AK123" s="1" t="str">
        <f>IFERROR(INDEX([1]物品基础表!$A:$A,MATCH(AJ123,[1]物品基础表!$B:$B,0)),"")</f>
        <v/>
      </c>
      <c r="AN123" s="1" t="str">
        <f>IFERROR(INDEX([1]物品基础表!$A:$A,MATCH(AM123,[1]物品基础表!$B:$B,0)),"")</f>
        <v/>
      </c>
      <c r="AQ123" s="1" t="str">
        <f>IFERROR(INDEX([1]物品基础表!$A:$A,MATCH(AP123,[1]物品基础表!$B:$B,0)),"")</f>
        <v/>
      </c>
    </row>
    <row r="124" spans="1:44">
      <c r="A124" s="1" t="str">
        <f>INDEX([2]活动总表!$A$8:$A$429,MATCH(B124,[2]活动总表!$B$8:$B$429,0))</f>
        <v>元旦-限购礼包3</v>
      </c>
      <c r="B124" s="1">
        <v>239</v>
      </c>
      <c r="C124" s="1">
        <v>1</v>
      </c>
      <c r="D124" s="1">
        <v>5</v>
      </c>
      <c r="E124" s="1">
        <v>0</v>
      </c>
      <c r="F124" s="1" t="s">
        <v>706</v>
      </c>
      <c r="G124" s="1">
        <v>888</v>
      </c>
      <c r="H124" s="1">
        <v>1500</v>
      </c>
      <c r="I124" s="1">
        <v>1</v>
      </c>
      <c r="O124" s="1">
        <v>59</v>
      </c>
      <c r="X124" s="1">
        <v>200318</v>
      </c>
      <c r="Y124" s="1" t="str">
        <f>IFERROR(INDEX([1]物品基础表!$A:$A,MATCH(X124,[1]物品基础表!$B:$B,0)),"")</f>
        <v>威望令牌</v>
      </c>
      <c r="Z124" s="1">
        <v>10</v>
      </c>
      <c r="AA124" s="1">
        <v>200005</v>
      </c>
      <c r="AB124" s="1" t="str">
        <f>IFERROR(INDEX([1]物品基础表!$A:$A,MATCH(AA124,[1]物品基础表!$B:$B,0)),"")</f>
        <v>龙魂碎片</v>
      </c>
      <c r="AC124" s="1">
        <v>5</v>
      </c>
      <c r="AH124" s="1" t="str">
        <f>IFERROR(INDEX([1]物品基础表!$A:$A,MATCH(AG124,[1]物品基础表!$B:$B,0)),"")</f>
        <v/>
      </c>
      <c r="AK124" s="1" t="str">
        <f>IFERROR(INDEX([1]物品基础表!$A:$A,MATCH(AJ124,[1]物品基础表!$B:$B,0)),"")</f>
        <v/>
      </c>
      <c r="AN124" s="1" t="str">
        <f>IFERROR(INDEX([1]物品基础表!$A:$A,MATCH(AM124,[1]物品基础表!$B:$B,0)),"")</f>
        <v/>
      </c>
      <c r="AQ124" s="1" t="str">
        <f>IFERROR(INDEX([1]物品基础表!$A:$A,MATCH(AP124,[1]物品基础表!$B:$B,0)),"")</f>
        <v/>
      </c>
    </row>
    <row r="125" spans="1:44">
      <c r="A125" s="1" t="str">
        <f>INDEX([2]活动总表!$A$8:$A$429,MATCH(B125,[2]活动总表!$B$8:$B$429,0))</f>
        <v>元旦-限购礼包3</v>
      </c>
      <c r="B125" s="1">
        <v>239</v>
      </c>
      <c r="C125" s="1">
        <v>2</v>
      </c>
      <c r="D125" s="1">
        <v>8</v>
      </c>
      <c r="E125" s="1">
        <v>0</v>
      </c>
      <c r="F125" s="1" t="s">
        <v>706</v>
      </c>
      <c r="G125" s="1">
        <v>1588</v>
      </c>
      <c r="H125" s="1">
        <v>5000</v>
      </c>
      <c r="I125" s="1">
        <v>1</v>
      </c>
      <c r="O125" s="1">
        <v>31</v>
      </c>
      <c r="X125" s="1">
        <v>200318</v>
      </c>
      <c r="Y125" s="1" t="str">
        <f>IFERROR(INDEX([1]物品基础表!$A:$A,MATCH(X125,[1]物品基础表!$B:$B,0)),"")</f>
        <v>威望令牌</v>
      </c>
      <c r="Z125" s="1">
        <v>40</v>
      </c>
      <c r="AA125" s="1">
        <v>200005</v>
      </c>
      <c r="AB125" s="1" t="str">
        <f>IFERROR(INDEX([1]物品基础表!$A:$A,MATCH(AA125,[1]物品基础表!$B:$B,0)),"")</f>
        <v>龙魂碎片</v>
      </c>
      <c r="AC125" s="1">
        <v>10</v>
      </c>
      <c r="AE125" s="1" t="str">
        <f>IFERROR(INDEX([1]物品基础表!$A:$A,MATCH(AD125,[1]物品基础表!$B:$B,0)),"")</f>
        <v/>
      </c>
      <c r="AH125" s="1" t="str">
        <f>IFERROR(INDEX([1]物品基础表!$A:$A,MATCH(AG125,[1]物品基础表!$B:$B,0)),"")</f>
        <v/>
      </c>
      <c r="AK125" s="1" t="str">
        <f>IFERROR(INDEX([1]物品基础表!$A:$A,MATCH(AJ125,[1]物品基础表!$B:$B,0)),"")</f>
        <v/>
      </c>
      <c r="AN125" s="1" t="str">
        <f>IFERROR(INDEX([1]物品基础表!$A:$A,MATCH(AM125,[1]物品基础表!$B:$B,0)),"")</f>
        <v/>
      </c>
      <c r="AQ125" s="1" t="str">
        <f>IFERROR(INDEX([1]物品基础表!$A:$A,MATCH(AP125,[1]物品基础表!$B:$B,0)),"")</f>
        <v/>
      </c>
    </row>
    <row r="126" spans="1:44">
      <c r="A126" s="1" t="str">
        <f>INDEX([2]活动总表!$A$8:$A$429,MATCH(B126,[2]活动总表!$B$8:$B$429,0))</f>
        <v>元旦-限购礼包3</v>
      </c>
      <c r="B126" s="1">
        <v>239</v>
      </c>
      <c r="C126" s="1">
        <v>3</v>
      </c>
      <c r="D126" s="1">
        <v>5</v>
      </c>
      <c r="E126" s="1">
        <v>0</v>
      </c>
      <c r="F126" s="1" t="s">
        <v>706</v>
      </c>
      <c r="G126" s="1">
        <v>2888</v>
      </c>
      <c r="H126" s="1">
        <v>5000</v>
      </c>
      <c r="I126" s="1">
        <v>1</v>
      </c>
      <c r="O126" s="1">
        <v>57</v>
      </c>
      <c r="X126" s="1">
        <v>200318</v>
      </c>
      <c r="Y126" s="1" t="str">
        <f>IFERROR(INDEX([1]物品基础表!$A:$A,MATCH(X126,[1]物品基础表!$B:$B,0)),"")</f>
        <v>威望令牌</v>
      </c>
      <c r="Z126" s="1">
        <v>40</v>
      </c>
      <c r="AA126" s="1">
        <v>200005</v>
      </c>
      <c r="AB126" s="1" t="str">
        <f>IFERROR(INDEX([1]物品基础表!$A:$A,MATCH(AA126,[1]物品基础表!$B:$B,0)),"")</f>
        <v>龙魂碎片</v>
      </c>
      <c r="AC126" s="1">
        <v>10</v>
      </c>
      <c r="AE126" s="1" t="str">
        <f>IFERROR(INDEX([1]物品基础表!$A:$A,MATCH(AD126,[1]物品基础表!$B:$B,0)),"")</f>
        <v/>
      </c>
      <c r="AH126" s="1" t="str">
        <f>IFERROR(INDEX([1]物品基础表!$A:$A,MATCH(AG126,[1]物品基础表!$B:$B,0)),"")</f>
        <v/>
      </c>
      <c r="AK126" s="1" t="str">
        <f>IFERROR(INDEX([1]物品基础表!$A:$A,MATCH(AJ126,[1]物品基础表!$B:$B,0)),"")</f>
        <v/>
      </c>
      <c r="AN126" s="1" t="str">
        <f>IFERROR(INDEX([1]物品基础表!$A:$A,MATCH(AM126,[1]物品基础表!$B:$B,0)),"")</f>
        <v/>
      </c>
      <c r="AQ126" s="1" t="str">
        <f>IFERROR(INDEX([1]物品基础表!$A:$A,MATCH(AP126,[1]物品基础表!$B:$B,0)),"")</f>
        <v/>
      </c>
    </row>
    <row r="127" spans="1:44">
      <c r="A127" s="1" t="str">
        <f>INDEX([2]活动总表!$A$8:$A$429,MATCH(B127,[2]活动总表!$B$8:$B$429,0))</f>
        <v>元旦-限购礼包3</v>
      </c>
      <c r="B127" s="1">
        <v>239</v>
      </c>
      <c r="C127" s="1">
        <v>4</v>
      </c>
      <c r="D127" s="1">
        <v>5</v>
      </c>
      <c r="E127" s="1">
        <v>0</v>
      </c>
      <c r="F127" s="1" t="s">
        <v>706</v>
      </c>
      <c r="G127" s="1">
        <v>8888</v>
      </c>
      <c r="H127" s="1">
        <v>15000</v>
      </c>
      <c r="I127" s="1">
        <v>3</v>
      </c>
      <c r="O127" s="1">
        <v>59</v>
      </c>
      <c r="X127" s="1">
        <v>200318</v>
      </c>
      <c r="Y127" s="1" t="str">
        <f>IFERROR(INDEX([1]物品基础表!$A:$A,MATCH(X127,[1]物品基础表!$B:$B,0)),"")</f>
        <v>威望令牌</v>
      </c>
      <c r="Z127" s="1">
        <v>130</v>
      </c>
      <c r="AA127" s="1">
        <v>200005</v>
      </c>
      <c r="AB127" s="1" t="str">
        <f>IFERROR(INDEX([1]物品基础表!$A:$A,MATCH(AA127,[1]物品基础表!$B:$B,0)),"")</f>
        <v>龙魂碎片</v>
      </c>
      <c r="AC127" s="1">
        <v>20</v>
      </c>
      <c r="AE127" s="1" t="str">
        <f>IFERROR(INDEX([1]物品基础表!$A:$A,MATCH(AD127,[1]物品基础表!$B:$B,0)),"")</f>
        <v/>
      </c>
      <c r="AH127" s="1" t="str">
        <f>IFERROR(INDEX([1]物品基础表!$A:$A,MATCH(AG127,[1]物品基础表!$B:$B,0)),"")</f>
        <v/>
      </c>
      <c r="AK127" s="1" t="str">
        <f>IFERROR(INDEX([1]物品基础表!$A:$A,MATCH(AJ127,[1]物品基础表!$B:$B,0)),"")</f>
        <v/>
      </c>
      <c r="AN127" s="1" t="str">
        <f>IFERROR(INDEX([1]物品基础表!$A:$A,MATCH(AM127,[1]物品基础表!$B:$B,0)),"")</f>
        <v/>
      </c>
      <c r="AQ127" s="1" t="str">
        <f>IFERROR(INDEX([1]物品基础表!$A:$A,MATCH(AP127,[1]物品基础表!$B:$B,0)),"")</f>
        <v/>
      </c>
    </row>
    <row r="128" spans="1:44">
      <c r="A128" s="1" t="str">
        <f>INDEX([2]活动总表!$A$8:$A$429,MATCH(B128,[2]活动总表!$B$8:$B$429,0))</f>
        <v>元旦-限购礼包4</v>
      </c>
      <c r="B128" s="1">
        <v>240</v>
      </c>
      <c r="C128" s="1">
        <v>1</v>
      </c>
      <c r="D128" s="1">
        <v>5</v>
      </c>
      <c r="E128" s="1">
        <v>0</v>
      </c>
      <c r="F128" s="1" t="s">
        <v>706</v>
      </c>
      <c r="G128" s="1">
        <v>888</v>
      </c>
      <c r="H128" s="1">
        <v>1500</v>
      </c>
      <c r="I128" s="1">
        <v>1</v>
      </c>
      <c r="O128" s="1">
        <v>59</v>
      </c>
      <c r="X128" s="1">
        <v>200015</v>
      </c>
      <c r="Y128" s="1" t="str">
        <f>IFERROR(INDEX([1]物品基础表!$A:$A,MATCH(X128,[1]物品基础表!$B:$B,0)),"")</f>
        <v>特戒碎片</v>
      </c>
      <c r="Z128" s="1">
        <v>150</v>
      </c>
      <c r="AB128" s="1" t="str">
        <f>IFERROR(INDEX([1]物品基础表!$A:$A,MATCH(AA128,[1]物品基础表!$B:$B,0)),"")</f>
        <v/>
      </c>
      <c r="AE128" s="1" t="str">
        <f>IFERROR(INDEX([1]物品基础表!$A:$A,MATCH(AD128,[1]物品基础表!$B:$B,0)),"")</f>
        <v/>
      </c>
      <c r="AH128" s="1" t="str">
        <f>IFERROR(INDEX([1]物品基础表!$A:$A,MATCH(AG128,[1]物品基础表!$B:$B,0)),"")</f>
        <v/>
      </c>
      <c r="AK128" s="1" t="str">
        <f>IFERROR(INDEX([1]物品基础表!$A:$A,MATCH(AJ128,[1]物品基础表!$B:$B,0)),"")</f>
        <v/>
      </c>
      <c r="AN128" s="1" t="str">
        <f>IFERROR(INDEX([1]物品基础表!$A:$A,MATCH(AM128,[1]物品基础表!$B:$B,0)),"")</f>
        <v/>
      </c>
      <c r="AQ128" s="1" t="str">
        <f>IFERROR(INDEX([1]物品基础表!$A:$A,MATCH(AP128,[1]物品基础表!$B:$B,0)),"")</f>
        <v/>
      </c>
    </row>
    <row r="129" spans="1:44">
      <c r="A129" s="1" t="str">
        <f>INDEX([2]活动总表!$A$8:$A$429,MATCH(B129,[2]活动总表!$B$8:$B$429,0))</f>
        <v>元旦-限购礼包4</v>
      </c>
      <c r="B129" s="1">
        <v>240</v>
      </c>
      <c r="C129" s="1">
        <v>2</v>
      </c>
      <c r="D129" s="1">
        <v>8</v>
      </c>
      <c r="E129" s="1">
        <v>0</v>
      </c>
      <c r="F129" s="1" t="s">
        <v>706</v>
      </c>
      <c r="G129" s="1">
        <v>1588</v>
      </c>
      <c r="H129" s="1">
        <v>5000</v>
      </c>
      <c r="I129" s="1">
        <v>1</v>
      </c>
      <c r="O129" s="1">
        <v>31</v>
      </c>
      <c r="X129" s="1">
        <v>200015</v>
      </c>
      <c r="Y129" s="1" t="str">
        <f>IFERROR(INDEX([1]物品基础表!$A:$A,MATCH(X129,[1]物品基础表!$B:$B,0)),"")</f>
        <v>特戒碎片</v>
      </c>
      <c r="Z129" s="1">
        <v>500</v>
      </c>
      <c r="AB129" s="1" t="str">
        <f>IFERROR(INDEX([1]物品基础表!$A:$A,MATCH(AA129,[1]物品基础表!$B:$B,0)),"")</f>
        <v/>
      </c>
      <c r="AE129" s="1" t="str">
        <f>IFERROR(INDEX([1]物品基础表!$A:$A,MATCH(AD129,[1]物品基础表!$B:$B,0)),"")</f>
        <v/>
      </c>
      <c r="AH129" s="1" t="str">
        <f>IFERROR(INDEX([1]物品基础表!$A:$A,MATCH(AG129,[1]物品基础表!$B:$B,0)),"")</f>
        <v/>
      </c>
      <c r="AK129" s="1" t="str">
        <f>IFERROR(INDEX([1]物品基础表!$A:$A,MATCH(AJ129,[1]物品基础表!$B:$B,0)),"")</f>
        <v/>
      </c>
      <c r="AN129" s="1" t="str">
        <f>IFERROR(INDEX([1]物品基础表!$A:$A,MATCH(AM129,[1]物品基础表!$B:$B,0)),"")</f>
        <v/>
      </c>
      <c r="AQ129" s="1" t="str">
        <f>IFERROR(INDEX([1]物品基础表!$A:$A,MATCH(AP129,[1]物品基础表!$B:$B,0)),"")</f>
        <v/>
      </c>
    </row>
    <row r="130" spans="1:44">
      <c r="A130" s="1" t="str">
        <f>INDEX([2]活动总表!$A$8:$A$429,MATCH(B130,[2]活动总表!$B$8:$B$429,0))</f>
        <v>元旦-限购礼包4</v>
      </c>
      <c r="B130" s="1">
        <v>240</v>
      </c>
      <c r="C130" s="1">
        <v>3</v>
      </c>
      <c r="D130" s="1">
        <v>5</v>
      </c>
      <c r="E130" s="1">
        <v>0</v>
      </c>
      <c r="F130" s="1" t="s">
        <v>706</v>
      </c>
      <c r="G130" s="1">
        <v>2888</v>
      </c>
      <c r="H130" s="1">
        <v>5000</v>
      </c>
      <c r="I130" s="1">
        <v>1</v>
      </c>
      <c r="O130" s="1">
        <v>57</v>
      </c>
      <c r="X130" s="1">
        <v>200015</v>
      </c>
      <c r="Y130" s="1" t="str">
        <f>IFERROR(INDEX([1]物品基础表!$A:$A,MATCH(X130,[1]物品基础表!$B:$B,0)),"")</f>
        <v>特戒碎片</v>
      </c>
      <c r="Z130" s="1">
        <v>500</v>
      </c>
      <c r="AB130" s="1" t="str">
        <f>IFERROR(INDEX([1]物品基础表!$A:$A,MATCH(AA130,[1]物品基础表!$B:$B,0)),"")</f>
        <v/>
      </c>
      <c r="AE130" s="1" t="str">
        <f>IFERROR(INDEX([1]物品基础表!$A:$A,MATCH(AD130,[1]物品基础表!$B:$B,0)),"")</f>
        <v/>
      </c>
      <c r="AH130" s="1" t="str">
        <f>IFERROR(INDEX([1]物品基础表!$A:$A,MATCH(AG130,[1]物品基础表!$B:$B,0)),"")</f>
        <v/>
      </c>
      <c r="AK130" s="1" t="str">
        <f>IFERROR(INDEX([1]物品基础表!$A:$A,MATCH(AJ130,[1]物品基础表!$B:$B,0)),"")</f>
        <v/>
      </c>
      <c r="AN130" s="1" t="str">
        <f>IFERROR(INDEX([1]物品基础表!$A:$A,MATCH(AM130,[1]物品基础表!$B:$B,0)),"")</f>
        <v/>
      </c>
      <c r="AQ130" s="1" t="str">
        <f>IFERROR(INDEX([1]物品基础表!$A:$A,MATCH(AP130,[1]物品基础表!$B:$B,0)),"")</f>
        <v/>
      </c>
    </row>
    <row r="131" spans="1:44">
      <c r="A131" s="1" t="str">
        <f>INDEX([2]活动总表!$A$8:$A$429,MATCH(B131,[2]活动总表!$B$8:$B$429,0))</f>
        <v>元旦-限购礼包4</v>
      </c>
      <c r="B131" s="1">
        <v>240</v>
      </c>
      <c r="C131" s="1">
        <v>4</v>
      </c>
      <c r="D131" s="1">
        <v>5</v>
      </c>
      <c r="E131" s="1">
        <v>0</v>
      </c>
      <c r="F131" s="1" t="s">
        <v>706</v>
      </c>
      <c r="G131" s="1">
        <v>8888</v>
      </c>
      <c r="H131" s="1">
        <v>15000</v>
      </c>
      <c r="I131" s="1">
        <v>3</v>
      </c>
      <c r="O131" s="1">
        <v>59</v>
      </c>
      <c r="X131" s="1">
        <v>200015</v>
      </c>
      <c r="Y131" s="1" t="str">
        <f>IFERROR(INDEX([1]物品基础表!$A:$A,MATCH(X131,[1]物品基础表!$B:$B,0)),"")</f>
        <v>特戒碎片</v>
      </c>
      <c r="Z131" s="1">
        <v>1500</v>
      </c>
      <c r="AB131" s="1" t="str">
        <f>IFERROR(INDEX([1]物品基础表!$A:$A,MATCH(AA131,[1]物品基础表!$B:$B,0)),"")</f>
        <v/>
      </c>
      <c r="AE131" s="1" t="str">
        <f>IFERROR(INDEX([1]物品基础表!$A:$A,MATCH(AD131,[1]物品基础表!$B:$B,0)),"")</f>
        <v/>
      </c>
      <c r="AH131" s="1" t="str">
        <f>IFERROR(INDEX([1]物品基础表!$A:$A,MATCH(AG131,[1]物品基础表!$B:$B,0)),"")</f>
        <v/>
      </c>
      <c r="AK131" s="1" t="str">
        <f>IFERROR(INDEX([1]物品基础表!$A:$A,MATCH(AJ131,[1]物品基础表!$B:$B,0)),"")</f>
        <v/>
      </c>
      <c r="AN131" s="1" t="str">
        <f>IFERROR(INDEX([1]物品基础表!$A:$A,MATCH(AM131,[1]物品基础表!$B:$B,0)),"")</f>
        <v/>
      </c>
      <c r="AQ131" s="1" t="str">
        <f>IFERROR(INDEX([1]物品基础表!$A:$A,MATCH(AP131,[1]物品基础表!$B:$B,0)),"")</f>
        <v/>
      </c>
    </row>
    <row r="132" spans="1:44">
      <c r="A132" s="1" t="str">
        <f>INDEX([2]活动总表!$A$8:$A$429,MATCH(B132,[2]活动总表!$B$8:$B$429,0))</f>
        <v>元旦-限购礼包5</v>
      </c>
      <c r="B132" s="1">
        <v>241</v>
      </c>
      <c r="C132" s="1">
        <v>1</v>
      </c>
      <c r="D132" s="1">
        <v>5</v>
      </c>
      <c r="E132" s="1">
        <v>0</v>
      </c>
      <c r="F132" s="1" t="s">
        <v>706</v>
      </c>
      <c r="G132" s="1">
        <v>1288</v>
      </c>
      <c r="H132" s="1">
        <v>2000</v>
      </c>
      <c r="I132" s="1">
        <v>1</v>
      </c>
      <c r="O132" s="1">
        <v>64</v>
      </c>
      <c r="X132" s="1">
        <v>200011</v>
      </c>
      <c r="Y132" s="1" t="str">
        <f>IFERROR(INDEX([1]物品基础表!$A:$A,MATCH(X132,[1]物品基础表!$B:$B,0)),"")</f>
        <v>高级转生丹·无限制</v>
      </c>
      <c r="Z132" s="1">
        <v>2</v>
      </c>
      <c r="AB132" s="1" t="str">
        <f>IFERROR(INDEX([1]物品基础表!$A:$A,MATCH(AA132,[1]物品基础表!$B:$B,0)),"")</f>
        <v/>
      </c>
      <c r="AE132" s="1" t="str">
        <f>IFERROR(INDEX([1]物品基础表!$A:$A,MATCH(AD132,[1]物品基础表!$B:$B,0)),"")</f>
        <v/>
      </c>
      <c r="AH132" s="1" t="str">
        <f>IFERROR(INDEX([1]物品基础表!$A:$A,MATCH(AG132,[1]物品基础表!$B:$B,0)),"")</f>
        <v/>
      </c>
      <c r="AK132" s="1" t="str">
        <f>IFERROR(INDEX([1]物品基础表!$A:$A,MATCH(AJ132,[1]物品基础表!$B:$B,0)),"")</f>
        <v/>
      </c>
      <c r="AN132" s="1" t="str">
        <f>IFERROR(INDEX([1]物品基础表!$A:$A,MATCH(AM132,[1]物品基础表!$B:$B,0)),"")</f>
        <v/>
      </c>
      <c r="AQ132" s="1" t="str">
        <f>IFERROR(INDEX([1]物品基础表!$A:$A,MATCH(AP132,[1]物品基础表!$B:$B,0)),"")</f>
        <v/>
      </c>
    </row>
    <row r="133" spans="1:44">
      <c r="A133" s="1" t="str">
        <f>INDEX([2]活动总表!$A$8:$A$429,MATCH(B133,[2]活动总表!$B$8:$B$429,0))</f>
        <v>元旦-限购礼包5</v>
      </c>
      <c r="B133" s="1">
        <v>241</v>
      </c>
      <c r="C133" s="1">
        <v>2</v>
      </c>
      <c r="D133" s="1">
        <v>8</v>
      </c>
      <c r="E133" s="1">
        <v>0</v>
      </c>
      <c r="F133" s="1" t="s">
        <v>706</v>
      </c>
      <c r="G133" s="1">
        <v>1588</v>
      </c>
      <c r="H133" s="1">
        <v>5000</v>
      </c>
      <c r="I133" s="1">
        <v>1</v>
      </c>
      <c r="O133" s="1">
        <v>31</v>
      </c>
      <c r="X133" s="1">
        <v>200011</v>
      </c>
      <c r="Y133" s="1" t="str">
        <f>IFERROR(INDEX([1]物品基础表!$A:$A,MATCH(X133,[1]物品基础表!$B:$B,0)),"")</f>
        <v>高级转生丹·无限制</v>
      </c>
      <c r="Z133" s="1">
        <v>5</v>
      </c>
      <c r="AB133" s="1" t="str">
        <f>IFERROR(INDEX([1]物品基础表!$A:$A,MATCH(AA133,[1]物品基础表!$B:$B,0)),"")</f>
        <v/>
      </c>
      <c r="AE133" s="1" t="str">
        <f>IFERROR(INDEX([1]物品基础表!$A:$A,MATCH(AD133,[1]物品基础表!$B:$B,0)),"")</f>
        <v/>
      </c>
      <c r="AH133" s="1" t="str">
        <f>IFERROR(INDEX([1]物品基础表!$A:$A,MATCH(AG133,[1]物品基础表!$B:$B,0)),"")</f>
        <v/>
      </c>
      <c r="AK133" s="1" t="str">
        <f>IFERROR(INDEX([1]物品基础表!$A:$A,MATCH(AJ133,[1]物品基础表!$B:$B,0)),"")</f>
        <v/>
      </c>
      <c r="AN133" s="1" t="str">
        <f>IFERROR(INDEX([1]物品基础表!$A:$A,MATCH(AM133,[1]物品基础表!$B:$B,0)),"")</f>
        <v/>
      </c>
      <c r="AQ133" s="1" t="str">
        <f>IFERROR(INDEX([1]物品基础表!$A:$A,MATCH(AP133,[1]物品基础表!$B:$B,0)),"")</f>
        <v/>
      </c>
    </row>
    <row r="134" spans="1:44">
      <c r="A134" s="1" t="str">
        <f>INDEX([2]活动总表!$A$8:$A$429,MATCH(B134,[2]活动总表!$B$8:$B$429,0))</f>
        <v>元旦-限购礼包5</v>
      </c>
      <c r="B134" s="1">
        <v>241</v>
      </c>
      <c r="C134" s="1">
        <v>3</v>
      </c>
      <c r="D134" s="1">
        <v>5</v>
      </c>
      <c r="E134" s="1">
        <v>0</v>
      </c>
      <c r="F134" s="1" t="s">
        <v>706</v>
      </c>
      <c r="G134" s="1">
        <v>2888</v>
      </c>
      <c r="H134" s="1">
        <v>5000</v>
      </c>
      <c r="I134" s="1">
        <v>1</v>
      </c>
      <c r="O134" s="1">
        <v>57</v>
      </c>
      <c r="X134" s="1">
        <v>200011</v>
      </c>
      <c r="Y134" s="1" t="str">
        <f>IFERROR(INDEX([1]物品基础表!$A:$A,MATCH(X134,[1]物品基础表!$B:$B,0)),"")</f>
        <v>高级转生丹·无限制</v>
      </c>
      <c r="Z134" s="1">
        <v>5</v>
      </c>
      <c r="AB134" s="1" t="str">
        <f>IFERROR(INDEX([1]物品基础表!$A:$A,MATCH(AA134,[1]物品基础表!$B:$B,0)),"")</f>
        <v/>
      </c>
      <c r="AE134" s="1" t="str">
        <f>IFERROR(INDEX([1]物品基础表!$A:$A,MATCH(AD134,[1]物品基础表!$B:$B,0)),"")</f>
        <v/>
      </c>
      <c r="AH134" s="1" t="str">
        <f>IFERROR(INDEX([1]物品基础表!$A:$A,MATCH(AG134,[1]物品基础表!$B:$B,0)),"")</f>
        <v/>
      </c>
      <c r="AK134" s="1" t="str">
        <f>IFERROR(INDEX([1]物品基础表!$A:$A,MATCH(AJ134,[1]物品基础表!$B:$B,0)),"")</f>
        <v/>
      </c>
      <c r="AN134" s="1" t="str">
        <f>IFERROR(INDEX([1]物品基础表!$A:$A,MATCH(AM134,[1]物品基础表!$B:$B,0)),"")</f>
        <v/>
      </c>
      <c r="AQ134" s="1" t="str">
        <f>IFERROR(INDEX([1]物品基础表!$A:$A,MATCH(AP134,[1]物品基础表!$B:$B,0)),"")</f>
        <v/>
      </c>
    </row>
    <row r="135" spans="1:44">
      <c r="A135" s="1" t="str">
        <f>INDEX([2]活动总表!$A$8:$A$429,MATCH(B135,[2]活动总表!$B$8:$B$429,0))</f>
        <v>元旦-限购礼包5</v>
      </c>
      <c r="B135" s="1">
        <v>241</v>
      </c>
      <c r="C135" s="1">
        <v>4</v>
      </c>
      <c r="D135" s="1">
        <v>5</v>
      </c>
      <c r="E135" s="1">
        <v>0</v>
      </c>
      <c r="F135" s="1" t="s">
        <v>706</v>
      </c>
      <c r="G135" s="1">
        <v>8888</v>
      </c>
      <c r="H135" s="1">
        <v>14998</v>
      </c>
      <c r="I135" s="1">
        <v>3</v>
      </c>
      <c r="O135" s="1">
        <v>59</v>
      </c>
      <c r="X135" s="1">
        <v>200012</v>
      </c>
      <c r="Y135" s="1" t="str">
        <f>IFERROR(INDEX([1]物品基础表!$A:$A,MATCH(X135,[1]物品基础表!$B:$B,0)),"")</f>
        <v>超级转生丹·无限制</v>
      </c>
      <c r="Z135" s="1">
        <v>1</v>
      </c>
      <c r="AA135" s="1">
        <v>200011</v>
      </c>
      <c r="AB135" s="1" t="str">
        <f>IFERROR(INDEX([1]物品基础表!$A:$A,MATCH(AA135,[1]物品基础表!$B:$B,0)),"")</f>
        <v>高级转生丹·无限制</v>
      </c>
      <c r="AC135" s="1">
        <v>5</v>
      </c>
      <c r="AE135" s="1" t="str">
        <f>IFERROR(INDEX([1]物品基础表!$A:$A,MATCH(AD135,[1]物品基础表!$B:$B,0)),"")</f>
        <v/>
      </c>
      <c r="AH135" s="1" t="str">
        <f>IFERROR(INDEX([1]物品基础表!$A:$A,MATCH(AG135,[1]物品基础表!$B:$B,0)),"")</f>
        <v/>
      </c>
      <c r="AK135" s="1" t="str">
        <f>IFERROR(INDEX([1]物品基础表!$A:$A,MATCH(AJ135,[1]物品基础表!$B:$B,0)),"")</f>
        <v/>
      </c>
      <c r="AN135" s="1" t="str">
        <f>IFERROR(INDEX([1]物品基础表!$A:$A,MATCH(AM135,[1]物品基础表!$B:$B,0)),"")</f>
        <v/>
      </c>
      <c r="AQ135" s="1" t="str">
        <f>IFERROR(INDEX([1]物品基础表!$A:$A,MATCH(AP135,[1]物品基础表!$B:$B,0)),"")</f>
        <v/>
      </c>
    </row>
    <row r="136" spans="1:44">
      <c r="A136" s="1" t="str">
        <f>INDEX([2]活动总表!$A$8:$A$429,MATCH(B136,[2]活动总表!$B$8:$B$429,0))</f>
        <v>圣诞-特惠</v>
      </c>
      <c r="B136" s="1">
        <v>256</v>
      </c>
      <c r="C136" s="1">
        <v>1</v>
      </c>
      <c r="D136" s="1">
        <v>5</v>
      </c>
      <c r="E136" s="1">
        <v>0</v>
      </c>
      <c r="F136" s="1" t="s">
        <v>706</v>
      </c>
      <c r="G136" s="1">
        <v>4888</v>
      </c>
      <c r="I136" s="1">
        <v>1</v>
      </c>
      <c r="X136" s="1">
        <v>13</v>
      </c>
      <c r="Y136" s="1" t="s">
        <v>694</v>
      </c>
      <c r="Z136" s="1">
        <v>2000000</v>
      </c>
      <c r="AA136" s="1">
        <v>200015</v>
      </c>
      <c r="AB136" s="1" t="str">
        <f>IFERROR(INDEX([1]物品基础表!$A:$A,MATCH(AA136,[1]物品基础表!$B:$B,0)),"")</f>
        <v>特戒碎片</v>
      </c>
      <c r="AC136" s="1">
        <v>200</v>
      </c>
      <c r="AD136" s="1">
        <v>200005</v>
      </c>
      <c r="AE136" s="1" t="str">
        <f>IFERROR(INDEX([1]物品基础表!$A:$A,MATCH(AD136,[1]物品基础表!$B:$B,0)),"")</f>
        <v>龙魂碎片</v>
      </c>
      <c r="AF136" s="1">
        <v>20</v>
      </c>
      <c r="AG136" s="1">
        <v>202001</v>
      </c>
      <c r="AH136" s="1" t="str">
        <f>IFERROR(INDEX([1]物品基础表!$A:$A,MATCH(AG136,[1]物品基础表!$B:$B,0)),"")</f>
        <v>烈焰戒指技能1书</v>
      </c>
      <c r="AI136" s="1">
        <v>2</v>
      </c>
      <c r="AJ136" s="1">
        <v>1</v>
      </c>
      <c r="AK136" s="1" t="s">
        <v>695</v>
      </c>
      <c r="AL136" s="1">
        <v>500000</v>
      </c>
      <c r="AM136" s="1">
        <v>200156</v>
      </c>
      <c r="AN136" s="1" t="str">
        <f>IFERROR(INDEX([1]物品基础表!$A:$A,MATCH(AM136,[1]物品基础表!$B:$B,0)),"")</f>
        <v>野外BOSS次数卷轴</v>
      </c>
      <c r="AO136" s="1">
        <v>2</v>
      </c>
      <c r="AP136" s="1">
        <v>201002</v>
      </c>
      <c r="AQ136" s="1" t="str">
        <f>IFERROR(INDEX([1]物品基础表!$A:$A,MATCH(AP136,[1]物品基础表!$B:$B,0)),"")</f>
        <v>神秘钥匙</v>
      </c>
      <c r="AR136" s="1">
        <v>1</v>
      </c>
    </row>
    <row r="137" spans="1:44">
      <c r="A137" s="1" t="str">
        <f>INDEX([2]活动总表!$A$8:$A$429,MATCH(B137,[2]活动总表!$B$8:$B$429,0))</f>
        <v>圣诞-特惠</v>
      </c>
      <c r="B137" s="1">
        <v>256</v>
      </c>
      <c r="C137" s="1">
        <v>2</v>
      </c>
      <c r="D137" s="1">
        <v>5</v>
      </c>
      <c r="E137" s="1">
        <v>0</v>
      </c>
      <c r="F137" s="1" t="s">
        <v>706</v>
      </c>
      <c r="G137" s="1">
        <v>12888</v>
      </c>
      <c r="I137" s="1">
        <v>1</v>
      </c>
      <c r="X137" s="1">
        <v>200327</v>
      </c>
      <c r="Y137" s="1" t="str">
        <f>IFERROR(INDEX([1]物品基础表!$A:$A,MATCH(X137,[1]物品基础表!$B:$B,0)),"")</f>
        <v>圣诞树</v>
      </c>
      <c r="Z137" s="1">
        <v>1</v>
      </c>
      <c r="AA137" s="1">
        <v>200015</v>
      </c>
      <c r="AB137" s="1" t="str">
        <f>IFERROR(INDEX([1]物品基础表!$A:$A,MATCH(AA137,[1]物品基础表!$B:$B,0)),"")</f>
        <v>特戒碎片</v>
      </c>
      <c r="AC137" s="1">
        <v>500</v>
      </c>
      <c r="AD137" s="1">
        <v>200005</v>
      </c>
      <c r="AE137" s="1" t="str">
        <f>IFERROR(INDEX([1]物品基础表!$A:$A,MATCH(AD137,[1]物品基础表!$B:$B,0)),"")</f>
        <v>龙魂碎片</v>
      </c>
      <c r="AF137" s="1">
        <v>50</v>
      </c>
      <c r="AG137" s="1">
        <v>200156</v>
      </c>
      <c r="AH137" s="1" t="str">
        <f>IFERROR(INDEX([1]物品基础表!$A:$A,MATCH(AG137,[1]物品基础表!$B:$B,0)),"")</f>
        <v>野外BOSS次数卷轴</v>
      </c>
      <c r="AI137" s="1">
        <v>2</v>
      </c>
      <c r="AJ137" s="1">
        <v>1</v>
      </c>
      <c r="AK137" s="1" t="s">
        <v>695</v>
      </c>
      <c r="AL137" s="1">
        <v>1000000</v>
      </c>
      <c r="AM137" s="1">
        <v>202001</v>
      </c>
      <c r="AN137" s="1" t="str">
        <f>IFERROR(INDEX([1]物品基础表!$A:$A,MATCH(AM137,[1]物品基础表!$B:$B,0)),"")</f>
        <v>烈焰戒指技能1书</v>
      </c>
      <c r="AO137" s="1">
        <v>2</v>
      </c>
      <c r="AP137" s="1">
        <v>201002</v>
      </c>
      <c r="AQ137" s="1" t="str">
        <f>IFERROR(INDEX([1]物品基础表!$A:$A,MATCH(AP137,[1]物品基础表!$B:$B,0)),"")</f>
        <v>神秘钥匙</v>
      </c>
      <c r="AR137" s="1">
        <v>1</v>
      </c>
    </row>
    <row r="138" spans="1:44">
      <c r="A138" s="1" t="str">
        <f>INDEX([2]活动总表!$A$8:$A$429,MATCH(B138,[2]活动总表!$B$8:$B$429,0))</f>
        <v>圣诞-特惠</v>
      </c>
      <c r="B138" s="1">
        <v>256</v>
      </c>
      <c r="C138" s="1">
        <v>3</v>
      </c>
      <c r="D138" s="1">
        <v>5</v>
      </c>
      <c r="E138" s="1">
        <v>0</v>
      </c>
      <c r="F138" s="1" t="s">
        <v>706</v>
      </c>
      <c r="G138" s="1">
        <v>18888</v>
      </c>
      <c r="I138" s="1">
        <v>1</v>
      </c>
      <c r="X138" s="1">
        <v>900003</v>
      </c>
      <c r="Y138" s="1" t="str">
        <f>IFERROR(INDEX([1]物品基础表!$A:$A,MATCH(X138,[1]物品基础表!$B:$B,0)),"")</f>
        <v>圣诞老人</v>
      </c>
      <c r="Z138" s="1">
        <v>1</v>
      </c>
      <c r="AA138" s="1">
        <v>200015</v>
      </c>
      <c r="AB138" s="1" t="str">
        <f>IFERROR(INDEX([1]物品基础表!$A:$A,MATCH(AA138,[1]物品基础表!$B:$B,0)),"")</f>
        <v>特戒碎片</v>
      </c>
      <c r="AC138" s="1">
        <v>500</v>
      </c>
      <c r="AD138" s="1">
        <v>200005</v>
      </c>
      <c r="AE138" s="1" t="str">
        <f>IFERROR(INDEX([1]物品基础表!$A:$A,MATCH(AD138,[1]物品基础表!$B:$B,0)),"")</f>
        <v>龙魂碎片</v>
      </c>
      <c r="AF138" s="1">
        <v>80</v>
      </c>
      <c r="AG138" s="1">
        <v>200156</v>
      </c>
      <c r="AH138" s="1" t="str">
        <f>IFERROR(INDEX([1]物品基础表!$A:$A,MATCH(AG138,[1]物品基础表!$B:$B,0)),"")</f>
        <v>野外BOSS次数卷轴</v>
      </c>
      <c r="AI138" s="1">
        <v>2</v>
      </c>
      <c r="AJ138" s="1">
        <v>202001</v>
      </c>
      <c r="AK138" s="1" t="str">
        <f>IFERROR(INDEX([1]物品基础表!$A:$A,MATCH(AJ138,[1]物品基础表!$B:$B,0)),"")</f>
        <v>烈焰戒指技能1书</v>
      </c>
      <c r="AL138" s="1">
        <v>3</v>
      </c>
      <c r="AM138" s="1">
        <v>1</v>
      </c>
      <c r="AN138" s="1" t="s">
        <v>695</v>
      </c>
      <c r="AO138" s="1">
        <v>1000000</v>
      </c>
      <c r="AP138" s="1">
        <v>201002</v>
      </c>
      <c r="AQ138" s="1" t="str">
        <f>IFERROR(INDEX([1]物品基础表!$A:$A,MATCH(AP138,[1]物品基础表!$B:$B,0)),"")</f>
        <v>神秘钥匙</v>
      </c>
      <c r="AR138" s="1">
        <v>1</v>
      </c>
    </row>
    <row r="139" spans="1:44">
      <c r="A139" s="1" t="str">
        <f>INDEX([2]活动总表!$A$8:$A$429,MATCH(B139,[2]活动总表!$B$8:$B$429,0))</f>
        <v>圣诞-特惠</v>
      </c>
      <c r="B139" s="1">
        <v>256</v>
      </c>
      <c r="C139" s="1">
        <v>4</v>
      </c>
      <c r="D139" s="1">
        <v>5</v>
      </c>
      <c r="E139" s="1">
        <v>0</v>
      </c>
      <c r="F139" s="1" t="s">
        <v>706</v>
      </c>
      <c r="G139" s="1">
        <v>38888</v>
      </c>
      <c r="I139" s="1">
        <v>1</v>
      </c>
      <c r="X139" s="1">
        <v>200327</v>
      </c>
      <c r="Y139" s="1" t="str">
        <f>IFERROR(INDEX([1]物品基础表!$A:$A,MATCH(X139,[1]物品基础表!$B:$B,0)),"")</f>
        <v>圣诞树</v>
      </c>
      <c r="Z139" s="1">
        <v>1</v>
      </c>
      <c r="AA139" s="1">
        <v>900003</v>
      </c>
      <c r="AB139" s="1" t="str">
        <f>IFERROR(INDEX([1]物品基础表!$A:$A,MATCH(AA139,[1]物品基础表!$B:$B,0)),"")</f>
        <v>圣诞老人</v>
      </c>
      <c r="AC139" s="1">
        <v>1</v>
      </c>
      <c r="AD139" s="1">
        <v>220011</v>
      </c>
      <c r="AE139" s="1" t="str">
        <f>IFERROR(INDEX([1]物品基础表!$A:$A,MATCH(AD139,[1]物品基础表!$B:$B,0)),"")</f>
        <v>高级秘籍宝箱</v>
      </c>
      <c r="AF139" s="1">
        <v>1</v>
      </c>
      <c r="AG139" s="1">
        <v>202002</v>
      </c>
      <c r="AH139" s="1" t="str">
        <f>IFERROR(INDEX([1]物品基础表!$A:$A,MATCH(AG139,[1]物品基础表!$B:$B,0)),"")</f>
        <v>烈焰戒指技能2书</v>
      </c>
      <c r="AI139" s="1">
        <v>1</v>
      </c>
      <c r="AJ139" s="1">
        <v>1</v>
      </c>
      <c r="AK139" s="1" t="s">
        <v>695</v>
      </c>
      <c r="AL139" s="1">
        <v>1000000</v>
      </c>
      <c r="AM139" s="1">
        <v>200157</v>
      </c>
      <c r="AN139" s="1" t="str">
        <f>IFERROR(INDEX([1]物品基础表!$A:$A,MATCH(AM139,[1]物品基础表!$B:$B,0)),"")</f>
        <v>秘境BOSS次数卷轴</v>
      </c>
      <c r="AO139" s="1">
        <v>1</v>
      </c>
      <c r="AP139" s="1">
        <v>201002</v>
      </c>
      <c r="AQ139" s="1" t="str">
        <f>IFERROR(INDEX([1]物品基础表!$A:$A,MATCH(AP139,[1]物品基础表!$B:$B,0)),"")</f>
        <v>神秘钥匙</v>
      </c>
      <c r="AR139" s="1">
        <v>1</v>
      </c>
    </row>
    <row r="140" spans="1:44">
      <c r="A140" s="1" t="str">
        <f>INDEX([2]活动总表!$A$8:$A$429,MATCH(B140,[2]活动总表!$B$8:$B$429,0))</f>
        <v>轮回-限购礼包1</v>
      </c>
      <c r="B140" s="1">
        <v>263</v>
      </c>
      <c r="C140" s="1">
        <v>1</v>
      </c>
      <c r="D140" s="1">
        <v>5</v>
      </c>
      <c r="E140" s="1">
        <v>0</v>
      </c>
      <c r="F140" s="1" t="s">
        <v>706</v>
      </c>
      <c r="G140" s="1">
        <v>888</v>
      </c>
      <c r="H140" s="1">
        <v>1000</v>
      </c>
      <c r="I140" s="1">
        <v>1</v>
      </c>
      <c r="O140" s="1">
        <v>88</v>
      </c>
      <c r="X140" s="1">
        <v>201106</v>
      </c>
      <c r="Y140" s="1" t="str">
        <f>IFERROR(INDEX([1]物品基础表!$A:$A,MATCH(X140,[1]物品基础表!$B:$B,0)),"")</f>
        <v>高级轮回丹·无限制</v>
      </c>
      <c r="Z140" s="1">
        <v>1</v>
      </c>
      <c r="AB140" s="1" t="str">
        <f>IFERROR(INDEX([1]物品基础表!$A:$A,MATCH(AA140,[1]物品基础表!$B:$B,0)),"")</f>
        <v/>
      </c>
      <c r="AE140" s="1" t="str">
        <f>IFERROR(INDEX([1]物品基础表!$A:$A,MATCH(AD140,[1]物品基础表!$B:$B,0)),"")</f>
        <v/>
      </c>
      <c r="AH140" s="1" t="str">
        <f>IFERROR(INDEX([1]物品基础表!$A:$A,MATCH(AG140,[1]物品基础表!$B:$B,0)),"")</f>
        <v/>
      </c>
      <c r="AK140" s="1" t="str">
        <f>IFERROR(INDEX([1]物品基础表!$A:$A,MATCH(AJ140,[1]物品基础表!$B:$B,0)),"")</f>
        <v/>
      </c>
      <c r="AN140" s="1" t="str">
        <f>IFERROR(INDEX([1]物品基础表!$A:$A,MATCH(AM140,[1]物品基础表!$B:$B,0)),"")</f>
        <v/>
      </c>
      <c r="AQ140" s="1" t="str">
        <f>IFERROR(INDEX([1]物品基础表!$A:$A,MATCH(AP140,[1]物品基础表!$B:$B,0)),"")</f>
        <v/>
      </c>
    </row>
    <row r="141" spans="1:44">
      <c r="A141" s="1" t="str">
        <f>INDEX([2]活动总表!$A$8:$A$429,MATCH(B141,[2]活动总表!$B$8:$B$429,0))</f>
        <v>轮回-限购礼包1</v>
      </c>
      <c r="B141" s="1">
        <v>263</v>
      </c>
      <c r="C141" s="1">
        <v>2</v>
      </c>
      <c r="D141" s="1">
        <v>5</v>
      </c>
      <c r="E141" s="1">
        <v>0</v>
      </c>
      <c r="F141" s="1" t="s">
        <v>706</v>
      </c>
      <c r="G141" s="1">
        <v>2888</v>
      </c>
      <c r="H141" s="1">
        <v>4000</v>
      </c>
      <c r="I141" s="1">
        <v>1</v>
      </c>
      <c r="O141" s="1">
        <v>72</v>
      </c>
      <c r="X141" s="1">
        <v>201106</v>
      </c>
      <c r="Y141" s="1" t="str">
        <f>IFERROR(INDEX([1]物品基础表!$A:$A,MATCH(X141,[1]物品基础表!$B:$B,0)),"")</f>
        <v>高级轮回丹·无限制</v>
      </c>
      <c r="Z141" s="1">
        <v>4</v>
      </c>
      <c r="AB141" s="1" t="str">
        <f>IFERROR(INDEX([1]物品基础表!$A:$A,MATCH(AA141,[1]物品基础表!$B:$B,0)),"")</f>
        <v/>
      </c>
      <c r="AE141" s="1" t="str">
        <f>IFERROR(INDEX([1]物品基础表!$A:$A,MATCH(AD141,[1]物品基础表!$B:$B,0)),"")</f>
        <v/>
      </c>
      <c r="AH141" s="1" t="str">
        <f>IFERROR(INDEX([1]物品基础表!$A:$A,MATCH(AG141,[1]物品基础表!$B:$B,0)),"")</f>
        <v/>
      </c>
      <c r="AK141" s="1" t="str">
        <f>IFERROR(INDEX([1]物品基础表!$A:$A,MATCH(AJ141,[1]物品基础表!$B:$B,0)),"")</f>
        <v/>
      </c>
      <c r="AN141" s="1" t="str">
        <f>IFERROR(INDEX([1]物品基础表!$A:$A,MATCH(AM141,[1]物品基础表!$B:$B,0)),"")</f>
        <v/>
      </c>
      <c r="AQ141" s="1" t="str">
        <f>IFERROR(INDEX([1]物品基础表!$A:$A,MATCH(AP141,[1]物品基础表!$B:$B,0)),"")</f>
        <v/>
      </c>
    </row>
    <row r="142" spans="1:44">
      <c r="A142" s="1" t="str">
        <f>INDEX([2]活动总表!$A$8:$A$429,MATCH(B142,[2]活动总表!$B$8:$B$429,0))</f>
        <v>轮回-限购礼包1</v>
      </c>
      <c r="B142" s="1">
        <v>263</v>
      </c>
      <c r="C142" s="1">
        <v>3</v>
      </c>
      <c r="D142" s="1">
        <v>8</v>
      </c>
      <c r="E142" s="1">
        <v>0</v>
      </c>
      <c r="F142" s="1" t="s">
        <v>706</v>
      </c>
      <c r="G142" s="1">
        <v>3888</v>
      </c>
      <c r="H142" s="1">
        <v>8000</v>
      </c>
      <c r="I142" s="1">
        <v>1</v>
      </c>
      <c r="O142" s="1">
        <v>48</v>
      </c>
      <c r="X142" s="1">
        <v>201106</v>
      </c>
      <c r="Y142" s="1" t="str">
        <f>IFERROR(INDEX([1]物品基础表!$A:$A,MATCH(X142,[1]物品基础表!$B:$B,0)),"")</f>
        <v>高级轮回丹·无限制</v>
      </c>
      <c r="Z142" s="1">
        <v>8</v>
      </c>
      <c r="AB142" s="1" t="str">
        <f>IFERROR(INDEX([1]物品基础表!$A:$A,MATCH(AA142,[1]物品基础表!$B:$B,0)),"")</f>
        <v/>
      </c>
      <c r="AE142" s="1" t="str">
        <f>IFERROR(INDEX([1]物品基础表!$A:$A,MATCH(AD142,[1]物品基础表!$B:$B,0)),"")</f>
        <v/>
      </c>
      <c r="AH142" s="1" t="str">
        <f>IFERROR(INDEX([1]物品基础表!$A:$A,MATCH(AG142,[1]物品基础表!$B:$B,0)),"")</f>
        <v/>
      </c>
      <c r="AK142" s="1" t="str">
        <f>IFERROR(INDEX([1]物品基础表!$A:$A,MATCH(AJ142,[1]物品基础表!$B:$B,0)),"")</f>
        <v/>
      </c>
      <c r="AN142" s="1" t="str">
        <f>IFERROR(INDEX([1]物品基础表!$A:$A,MATCH(AM142,[1]物品基础表!$B:$B,0)),"")</f>
        <v/>
      </c>
      <c r="AQ142" s="1" t="str">
        <f>IFERROR(INDEX([1]物品基础表!$A:$A,MATCH(AP142,[1]物品基础表!$B:$B,0)),"")</f>
        <v/>
      </c>
    </row>
    <row r="143" spans="1:44">
      <c r="A143" s="1" t="str">
        <f>INDEX([2]活动总表!$A$8:$A$429,MATCH(B143,[2]活动总表!$B$8:$B$429,0))</f>
        <v>轮回-限购礼包1</v>
      </c>
      <c r="B143" s="1">
        <v>263</v>
      </c>
      <c r="C143" s="1">
        <v>4</v>
      </c>
      <c r="D143" s="1">
        <v>5</v>
      </c>
      <c r="E143" s="1">
        <v>0</v>
      </c>
      <c r="F143" s="1" t="s">
        <v>706</v>
      </c>
      <c r="G143" s="1">
        <v>8888</v>
      </c>
      <c r="H143" s="1">
        <v>11998</v>
      </c>
      <c r="I143" s="1">
        <v>3</v>
      </c>
      <c r="O143" s="1">
        <v>74</v>
      </c>
      <c r="X143" s="1">
        <v>201107</v>
      </c>
      <c r="Y143" s="1" t="str">
        <f>IFERROR(INDEX([1]物品基础表!$A:$A,MATCH(X143,[1]物品基础表!$B:$B,0)),"")</f>
        <v>超级轮回丹·无限制</v>
      </c>
      <c r="Z143" s="1">
        <v>1</v>
      </c>
      <c r="AA143" s="1">
        <v>201106</v>
      </c>
      <c r="AB143" s="1" t="str">
        <f>IFERROR(INDEX([1]物品基础表!$A:$A,MATCH(AA143,[1]物品基础表!$B:$B,0)),"")</f>
        <v>高级轮回丹·无限制</v>
      </c>
      <c r="AC143" s="1">
        <v>2</v>
      </c>
      <c r="AE143" s="1" t="str">
        <f>IFERROR(INDEX([1]物品基础表!$A:$A,MATCH(AD143,[1]物品基础表!$B:$B,0)),"")</f>
        <v/>
      </c>
      <c r="AH143" s="1" t="str">
        <f>IFERROR(INDEX([1]物品基础表!$A:$A,MATCH(AG143,[1]物品基础表!$B:$B,0)),"")</f>
        <v/>
      </c>
      <c r="AK143" s="1" t="str">
        <f>IFERROR(INDEX([1]物品基础表!$A:$A,MATCH(AJ143,[1]物品基础表!$B:$B,0)),"")</f>
        <v/>
      </c>
      <c r="AN143" s="1" t="str">
        <f>IFERROR(INDEX([1]物品基础表!$A:$A,MATCH(AM143,[1]物品基础表!$B:$B,0)),"")</f>
        <v/>
      </c>
      <c r="AQ143" s="1" t="str">
        <f>IFERROR(INDEX([1]物品基础表!$A:$A,MATCH(AP143,[1]物品基础表!$B:$B,0)),"")</f>
        <v/>
      </c>
    </row>
    <row r="144" spans="1:44">
      <c r="A144" s="1" t="str">
        <f>INDEX([2]活动总表!$A$8:$A$429,MATCH(B144,[2]活动总表!$B$8:$B$429,0))</f>
        <v>轮回-限购礼包1</v>
      </c>
      <c r="B144" s="1">
        <v>263</v>
      </c>
      <c r="C144" s="1">
        <v>5</v>
      </c>
      <c r="D144" s="1">
        <v>5</v>
      </c>
      <c r="E144" s="1">
        <v>0</v>
      </c>
      <c r="F144" s="1" t="s">
        <v>706</v>
      </c>
      <c r="G144" s="1">
        <v>12888</v>
      </c>
      <c r="H144" s="1">
        <v>16998</v>
      </c>
      <c r="I144" s="1">
        <v>5</v>
      </c>
      <c r="O144" s="1">
        <v>75</v>
      </c>
      <c r="X144" s="1">
        <v>201107</v>
      </c>
      <c r="Y144" s="1" t="str">
        <f>IFERROR(INDEX([1]物品基础表!$A:$A,MATCH(X144,[1]物品基础表!$B:$B,0)),"")</f>
        <v>超级轮回丹·无限制</v>
      </c>
      <c r="Z144" s="1">
        <v>1</v>
      </c>
      <c r="AA144" s="1">
        <v>201106</v>
      </c>
      <c r="AB144" s="1" t="str">
        <f>IFERROR(INDEX([1]物品基础表!$A:$A,MATCH(AA144,[1]物品基础表!$B:$B,0)),"")</f>
        <v>高级轮回丹·无限制</v>
      </c>
      <c r="AC144" s="1">
        <v>7</v>
      </c>
      <c r="AE144" s="1" t="str">
        <f>IFERROR(INDEX([1]物品基础表!$A:$A,MATCH(AD144,[1]物品基础表!$B:$B,0)),"")</f>
        <v/>
      </c>
      <c r="AH144" s="1" t="str">
        <f>IFERROR(INDEX([1]物品基础表!$A:$A,MATCH(AG144,[1]物品基础表!$B:$B,0)),"")</f>
        <v/>
      </c>
      <c r="AK144" s="1" t="str">
        <f>IFERROR(INDEX([1]物品基础表!$A:$A,MATCH(AJ144,[1]物品基础表!$B:$B,0)),"")</f>
        <v/>
      </c>
      <c r="AN144" s="1" t="str">
        <f>IFERROR(INDEX([1]物品基础表!$A:$A,MATCH(AM144,[1]物品基础表!$B:$B,0)),"")</f>
        <v/>
      </c>
      <c r="AQ144" s="1" t="str">
        <f>IFERROR(INDEX([1]物品基础表!$A:$A,MATCH(AP144,[1]物品基础表!$B:$B,0)),"")</f>
        <v/>
      </c>
    </row>
    <row r="145" spans="1:43">
      <c r="A145" s="1" t="str">
        <f>INDEX([2]活动总表!$A$8:$A$429,MATCH(B145,[2]活动总表!$B$8:$B$429,0))</f>
        <v>轮回-限购礼包1</v>
      </c>
      <c r="B145" s="1">
        <v>263</v>
      </c>
      <c r="C145" s="1">
        <v>6</v>
      </c>
      <c r="D145" s="1">
        <v>5</v>
      </c>
      <c r="E145" s="1">
        <v>0</v>
      </c>
      <c r="F145" s="1" t="s">
        <v>706</v>
      </c>
      <c r="G145" s="1">
        <v>18888</v>
      </c>
      <c r="H145" s="1">
        <v>21996</v>
      </c>
      <c r="I145" s="1">
        <v>25</v>
      </c>
      <c r="O145" s="1">
        <v>85</v>
      </c>
      <c r="X145" s="1">
        <v>201107</v>
      </c>
      <c r="Y145" s="1" t="str">
        <f>IFERROR(INDEX([1]物品基础表!$A:$A,MATCH(X145,[1]物品基础表!$B:$B,0)),"")</f>
        <v>超级轮回丹·无限制</v>
      </c>
      <c r="Z145" s="1">
        <v>2</v>
      </c>
      <c r="AA145" s="1">
        <v>201106</v>
      </c>
      <c r="AB145" s="1" t="str">
        <f>IFERROR(INDEX([1]物品基础表!$A:$A,MATCH(AA145,[1]物品基础表!$B:$B,0)),"")</f>
        <v>高级轮回丹·无限制</v>
      </c>
      <c r="AC145" s="1">
        <v>2</v>
      </c>
      <c r="AE145" s="1" t="str">
        <f>IFERROR(INDEX([1]物品基础表!$A:$A,MATCH(AD145,[1]物品基础表!$B:$B,0)),"")</f>
        <v/>
      </c>
      <c r="AH145" s="1" t="str">
        <f>IFERROR(INDEX([1]物品基础表!$A:$A,MATCH(AG145,[1]物品基础表!$B:$B,0)),"")</f>
        <v/>
      </c>
      <c r="AK145" s="1" t="str">
        <f>IFERROR(INDEX([1]物品基础表!$A:$A,MATCH(AJ145,[1]物品基础表!$B:$B,0)),"")</f>
        <v/>
      </c>
      <c r="AN145" s="1" t="str">
        <f>IFERROR(INDEX([1]物品基础表!$A:$A,MATCH(AM145,[1]物品基础表!$B:$B,0)),"")</f>
        <v/>
      </c>
      <c r="AQ145" s="1" t="str">
        <f>IFERROR(INDEX([1]物品基础表!$A:$A,MATCH(AP145,[1]物品基础表!$B:$B,0)),"")</f>
        <v/>
      </c>
    </row>
    <row r="146" spans="1:43">
      <c r="A146" s="1" t="str">
        <f>INDEX([2]活动总表!$A$8:$A$429,MATCH(B146,[2]活动总表!$B$8:$B$429,0))</f>
        <v>轮回-限购礼包2</v>
      </c>
      <c r="B146" s="1">
        <v>264</v>
      </c>
      <c r="C146" s="1">
        <v>1</v>
      </c>
      <c r="D146" s="1">
        <v>5</v>
      </c>
      <c r="E146" s="1">
        <v>0</v>
      </c>
      <c r="F146" s="1" t="s">
        <v>706</v>
      </c>
      <c r="G146" s="1">
        <v>888</v>
      </c>
      <c r="H146" s="1">
        <v>1000</v>
      </c>
      <c r="I146" s="1">
        <v>1</v>
      </c>
      <c r="O146" s="1">
        <v>88</v>
      </c>
      <c r="X146" s="1">
        <v>201106</v>
      </c>
      <c r="Y146" s="1" t="str">
        <f>IFERROR(INDEX([1]物品基础表!$A:$A,MATCH(X146,[1]物品基础表!$B:$B,0)),"")</f>
        <v>高级轮回丹·无限制</v>
      </c>
      <c r="Z146" s="1">
        <v>1</v>
      </c>
      <c r="AB146" s="1" t="str">
        <f>IFERROR(INDEX([1]物品基础表!$A:$A,MATCH(AA146,[1]物品基础表!$B:$B,0)),"")</f>
        <v/>
      </c>
      <c r="AE146" s="1" t="str">
        <f>IFERROR(INDEX([1]物品基础表!$A:$A,MATCH(AD146,[1]物品基础表!$B:$B,0)),"")</f>
        <v/>
      </c>
      <c r="AH146" s="1" t="str">
        <f>IFERROR(INDEX([1]物品基础表!$A:$A,MATCH(AG146,[1]物品基础表!$B:$B,0)),"")</f>
        <v/>
      </c>
      <c r="AK146" s="1" t="str">
        <f>IFERROR(INDEX([1]物品基础表!$A:$A,MATCH(AJ146,[1]物品基础表!$B:$B,0)),"")</f>
        <v/>
      </c>
      <c r="AN146" s="1" t="str">
        <f>IFERROR(INDEX([1]物品基础表!$A:$A,MATCH(AM146,[1]物品基础表!$B:$B,0)),"")</f>
        <v/>
      </c>
      <c r="AQ146" s="1" t="str">
        <f>IFERROR(INDEX([1]物品基础表!$A:$A,MATCH(AP146,[1]物品基础表!$B:$B,0)),"")</f>
        <v/>
      </c>
    </row>
    <row r="147" spans="1:43">
      <c r="A147" s="1" t="str">
        <f>INDEX([2]活动总表!$A$8:$A$429,MATCH(B147,[2]活动总表!$B$8:$B$429,0))</f>
        <v>轮回-限购礼包2</v>
      </c>
      <c r="B147" s="1">
        <v>264</v>
      </c>
      <c r="C147" s="1">
        <v>2</v>
      </c>
      <c r="D147" s="1">
        <v>5</v>
      </c>
      <c r="E147" s="1">
        <v>0</v>
      </c>
      <c r="F147" s="1" t="s">
        <v>706</v>
      </c>
      <c r="G147" s="1">
        <v>2888</v>
      </c>
      <c r="H147" s="1">
        <v>4000</v>
      </c>
      <c r="I147" s="1">
        <v>1</v>
      </c>
      <c r="O147" s="1">
        <v>72</v>
      </c>
      <c r="X147" s="1">
        <v>201106</v>
      </c>
      <c r="Y147" s="1" t="str">
        <f>IFERROR(INDEX([1]物品基础表!$A:$A,MATCH(X147,[1]物品基础表!$B:$B,0)),"")</f>
        <v>高级轮回丹·无限制</v>
      </c>
      <c r="Z147" s="1">
        <v>4</v>
      </c>
      <c r="AB147" s="1" t="str">
        <f>IFERROR(INDEX([1]物品基础表!$A:$A,MATCH(AA147,[1]物品基础表!$B:$B,0)),"")</f>
        <v/>
      </c>
      <c r="AE147" s="1" t="str">
        <f>IFERROR(INDEX([1]物品基础表!$A:$A,MATCH(AD147,[1]物品基础表!$B:$B,0)),"")</f>
        <v/>
      </c>
      <c r="AH147" s="1" t="str">
        <f>IFERROR(INDEX([1]物品基础表!$A:$A,MATCH(AG147,[1]物品基础表!$B:$B,0)),"")</f>
        <v/>
      </c>
      <c r="AK147" s="1" t="str">
        <f>IFERROR(INDEX([1]物品基础表!$A:$A,MATCH(AJ147,[1]物品基础表!$B:$B,0)),"")</f>
        <v/>
      </c>
      <c r="AN147" s="1" t="str">
        <f>IFERROR(INDEX([1]物品基础表!$A:$A,MATCH(AM147,[1]物品基础表!$B:$B,0)),"")</f>
        <v/>
      </c>
      <c r="AQ147" s="1" t="str">
        <f>IFERROR(INDEX([1]物品基础表!$A:$A,MATCH(AP147,[1]物品基础表!$B:$B,0)),"")</f>
        <v/>
      </c>
    </row>
    <row r="148" spans="1:43">
      <c r="A148" s="1" t="str">
        <f>INDEX([2]活动总表!$A$8:$A$429,MATCH(B148,[2]活动总表!$B$8:$B$429,0))</f>
        <v>轮回-限购礼包2</v>
      </c>
      <c r="B148" s="1">
        <v>264</v>
      </c>
      <c r="C148" s="1">
        <v>3</v>
      </c>
      <c r="D148" s="1">
        <v>8</v>
      </c>
      <c r="E148" s="1">
        <v>0</v>
      </c>
      <c r="F148" s="1" t="s">
        <v>706</v>
      </c>
      <c r="G148" s="1">
        <v>3888</v>
      </c>
      <c r="H148" s="1">
        <v>8000</v>
      </c>
      <c r="I148" s="1">
        <v>1</v>
      </c>
      <c r="O148" s="1">
        <v>48</v>
      </c>
      <c r="X148" s="1">
        <v>201106</v>
      </c>
      <c r="Y148" s="1" t="str">
        <f>IFERROR(INDEX([1]物品基础表!$A:$A,MATCH(X148,[1]物品基础表!$B:$B,0)),"")</f>
        <v>高级轮回丹·无限制</v>
      </c>
      <c r="Z148" s="1">
        <v>8</v>
      </c>
      <c r="AB148" s="1" t="str">
        <f>IFERROR(INDEX([1]物品基础表!$A:$A,MATCH(AA148,[1]物品基础表!$B:$B,0)),"")</f>
        <v/>
      </c>
      <c r="AE148" s="1" t="str">
        <f>IFERROR(INDEX([1]物品基础表!$A:$A,MATCH(AD148,[1]物品基础表!$B:$B,0)),"")</f>
        <v/>
      </c>
      <c r="AH148" s="1" t="str">
        <f>IFERROR(INDEX([1]物品基础表!$A:$A,MATCH(AG148,[1]物品基础表!$B:$B,0)),"")</f>
        <v/>
      </c>
      <c r="AK148" s="1" t="str">
        <f>IFERROR(INDEX([1]物品基础表!$A:$A,MATCH(AJ148,[1]物品基础表!$B:$B,0)),"")</f>
        <v/>
      </c>
      <c r="AN148" s="1" t="str">
        <f>IFERROR(INDEX([1]物品基础表!$A:$A,MATCH(AM148,[1]物品基础表!$B:$B,0)),"")</f>
        <v/>
      </c>
      <c r="AQ148" s="1" t="str">
        <f>IFERROR(INDEX([1]物品基础表!$A:$A,MATCH(AP148,[1]物品基础表!$B:$B,0)),"")</f>
        <v/>
      </c>
    </row>
    <row r="149" spans="1:43">
      <c r="A149" s="1" t="str">
        <f>INDEX([2]活动总表!$A$8:$A$429,MATCH(B149,[2]活动总表!$B$8:$B$429,0))</f>
        <v>轮回-限购礼包2</v>
      </c>
      <c r="B149" s="1">
        <v>264</v>
      </c>
      <c r="C149" s="1">
        <v>4</v>
      </c>
      <c r="D149" s="1">
        <v>5</v>
      </c>
      <c r="E149" s="1">
        <v>0</v>
      </c>
      <c r="F149" s="1" t="s">
        <v>706</v>
      </c>
      <c r="G149" s="1">
        <v>8888</v>
      </c>
      <c r="H149" s="1">
        <v>11998</v>
      </c>
      <c r="I149" s="1">
        <v>3</v>
      </c>
      <c r="O149" s="1">
        <v>74</v>
      </c>
      <c r="X149" s="1">
        <v>201107</v>
      </c>
      <c r="Y149" s="1" t="str">
        <f>IFERROR(INDEX([1]物品基础表!$A:$A,MATCH(X149,[1]物品基础表!$B:$B,0)),"")</f>
        <v>超级轮回丹·无限制</v>
      </c>
      <c r="Z149" s="1">
        <v>1</v>
      </c>
      <c r="AA149" s="1">
        <v>201106</v>
      </c>
      <c r="AB149" s="1" t="str">
        <f>IFERROR(INDEX([1]物品基础表!$A:$A,MATCH(AA149,[1]物品基础表!$B:$B,0)),"")</f>
        <v>高级轮回丹·无限制</v>
      </c>
      <c r="AC149" s="1">
        <v>2</v>
      </c>
      <c r="AE149" s="1" t="str">
        <f>IFERROR(INDEX([1]物品基础表!$A:$A,MATCH(AD149,[1]物品基础表!$B:$B,0)),"")</f>
        <v/>
      </c>
      <c r="AH149" s="1" t="str">
        <f>IFERROR(INDEX([1]物品基础表!$A:$A,MATCH(AG149,[1]物品基础表!$B:$B,0)),"")</f>
        <v/>
      </c>
      <c r="AK149" s="1" t="str">
        <f>IFERROR(INDEX([1]物品基础表!$A:$A,MATCH(AJ149,[1]物品基础表!$B:$B,0)),"")</f>
        <v/>
      </c>
      <c r="AN149" s="1" t="str">
        <f>IFERROR(INDEX([1]物品基础表!$A:$A,MATCH(AM149,[1]物品基础表!$B:$B,0)),"")</f>
        <v/>
      </c>
      <c r="AQ149" s="1" t="str">
        <f>IFERROR(INDEX([1]物品基础表!$A:$A,MATCH(AP149,[1]物品基础表!$B:$B,0)),"")</f>
        <v/>
      </c>
    </row>
    <row r="150" spans="1:43">
      <c r="A150" s="1" t="str">
        <f>INDEX([2]活动总表!$A$8:$A$429,MATCH(B150,[2]活动总表!$B$8:$B$429,0))</f>
        <v>轮回-限购礼包2</v>
      </c>
      <c r="B150" s="1">
        <v>264</v>
      </c>
      <c r="C150" s="1">
        <v>5</v>
      </c>
      <c r="D150" s="1">
        <v>5</v>
      </c>
      <c r="E150" s="1">
        <v>0</v>
      </c>
      <c r="F150" s="1" t="s">
        <v>706</v>
      </c>
      <c r="G150" s="1">
        <v>12888</v>
      </c>
      <c r="H150" s="1">
        <v>16998</v>
      </c>
      <c r="I150" s="1">
        <v>5</v>
      </c>
      <c r="O150" s="1">
        <v>75</v>
      </c>
      <c r="X150" s="1">
        <v>201107</v>
      </c>
      <c r="Y150" s="1" t="str">
        <f>IFERROR(INDEX([1]物品基础表!$A:$A,MATCH(X150,[1]物品基础表!$B:$B,0)),"")</f>
        <v>超级轮回丹·无限制</v>
      </c>
      <c r="Z150" s="1">
        <v>1</v>
      </c>
      <c r="AA150" s="1">
        <v>201106</v>
      </c>
      <c r="AB150" s="1" t="str">
        <f>IFERROR(INDEX([1]物品基础表!$A:$A,MATCH(AA150,[1]物品基础表!$B:$B,0)),"")</f>
        <v>高级轮回丹·无限制</v>
      </c>
      <c r="AC150" s="1">
        <v>7</v>
      </c>
      <c r="AE150" s="1" t="str">
        <f>IFERROR(INDEX([1]物品基础表!$A:$A,MATCH(AD150,[1]物品基础表!$B:$B,0)),"")</f>
        <v/>
      </c>
      <c r="AH150" s="1" t="str">
        <f>IFERROR(INDEX([1]物品基础表!$A:$A,MATCH(AG150,[1]物品基础表!$B:$B,0)),"")</f>
        <v/>
      </c>
      <c r="AK150" s="1" t="str">
        <f>IFERROR(INDEX([1]物品基础表!$A:$A,MATCH(AJ150,[1]物品基础表!$B:$B,0)),"")</f>
        <v/>
      </c>
      <c r="AN150" s="1" t="str">
        <f>IFERROR(INDEX([1]物品基础表!$A:$A,MATCH(AM150,[1]物品基础表!$B:$B,0)),"")</f>
        <v/>
      </c>
      <c r="AQ150" s="1" t="str">
        <f>IFERROR(INDEX([1]物品基础表!$A:$A,MATCH(AP150,[1]物品基础表!$B:$B,0)),"")</f>
        <v/>
      </c>
    </row>
    <row r="151" spans="1:43">
      <c r="A151" s="1" t="str">
        <f>INDEX([2]活动总表!$A$8:$A$429,MATCH(B151,[2]活动总表!$B$8:$B$429,0))</f>
        <v>轮回-限购礼包2</v>
      </c>
      <c r="B151" s="1">
        <v>264</v>
      </c>
      <c r="C151" s="1">
        <v>6</v>
      </c>
      <c r="D151" s="1">
        <v>5</v>
      </c>
      <c r="E151" s="1">
        <v>0</v>
      </c>
      <c r="F151" s="1" t="s">
        <v>706</v>
      </c>
      <c r="G151" s="1">
        <v>18888</v>
      </c>
      <c r="H151" s="1">
        <v>21996</v>
      </c>
      <c r="I151" s="1">
        <v>25</v>
      </c>
      <c r="O151" s="1">
        <v>85</v>
      </c>
      <c r="X151" s="1">
        <v>201107</v>
      </c>
      <c r="Y151" s="1" t="str">
        <f>IFERROR(INDEX([1]物品基础表!$A:$A,MATCH(X151,[1]物品基础表!$B:$B,0)),"")</f>
        <v>超级轮回丹·无限制</v>
      </c>
      <c r="Z151" s="1">
        <v>2</v>
      </c>
      <c r="AA151" s="1">
        <v>201106</v>
      </c>
      <c r="AB151" s="1" t="str">
        <f>IFERROR(INDEX([1]物品基础表!$A:$A,MATCH(AA151,[1]物品基础表!$B:$B,0)),"")</f>
        <v>高级轮回丹·无限制</v>
      </c>
      <c r="AC151" s="1">
        <v>2</v>
      </c>
      <c r="AE151" s="1" t="str">
        <f>IFERROR(INDEX([1]物品基础表!$A:$A,MATCH(AD151,[1]物品基础表!$B:$B,0)),"")</f>
        <v/>
      </c>
      <c r="AH151" s="1" t="str">
        <f>IFERROR(INDEX([1]物品基础表!$A:$A,MATCH(AG151,[1]物品基础表!$B:$B,0)),"")</f>
        <v/>
      </c>
      <c r="AK151" s="1" t="str">
        <f>IFERROR(INDEX([1]物品基础表!$A:$A,MATCH(AJ151,[1]物品基础表!$B:$B,0)),"")</f>
        <v/>
      </c>
      <c r="AN151" s="1" t="str">
        <f>IFERROR(INDEX([1]物品基础表!$A:$A,MATCH(AM151,[1]物品基础表!$B:$B,0)),"")</f>
        <v/>
      </c>
      <c r="AQ151" s="1" t="str">
        <f>IFERROR(INDEX([1]物品基础表!$A:$A,MATCH(AP151,[1]物品基础表!$B:$B,0)),"")</f>
        <v/>
      </c>
    </row>
    <row r="152" spans="1:43">
      <c r="A152" s="1" t="str">
        <f>INDEX([2]活动总表!$A$8:$A$429,MATCH(B152,[2]活动总表!$B$8:$B$429,0))</f>
        <v>轮回-限购礼包3</v>
      </c>
      <c r="B152" s="1">
        <v>265</v>
      </c>
      <c r="C152" s="1">
        <v>1</v>
      </c>
      <c r="D152" s="1">
        <v>5</v>
      </c>
      <c r="E152" s="1">
        <v>0</v>
      </c>
      <c r="F152" s="1" t="s">
        <v>706</v>
      </c>
      <c r="G152" s="1">
        <v>888</v>
      </c>
      <c r="H152" s="1">
        <v>1000</v>
      </c>
      <c r="I152" s="1">
        <v>1</v>
      </c>
      <c r="O152" s="1">
        <v>88</v>
      </c>
      <c r="X152" s="1">
        <v>201106</v>
      </c>
      <c r="Y152" s="1" t="str">
        <f>IFERROR(INDEX([1]物品基础表!$A:$A,MATCH(X152,[1]物品基础表!$B:$B,0)),"")</f>
        <v>高级轮回丹·无限制</v>
      </c>
      <c r="Z152" s="1">
        <v>1</v>
      </c>
      <c r="AB152" s="1" t="str">
        <f>IFERROR(INDEX([1]物品基础表!$A:$A,MATCH(AA152,[1]物品基础表!$B:$B,0)),"")</f>
        <v/>
      </c>
      <c r="AE152" s="1" t="str">
        <f>IFERROR(INDEX([1]物品基础表!$A:$A,MATCH(AD152,[1]物品基础表!$B:$B,0)),"")</f>
        <v/>
      </c>
      <c r="AH152" s="1" t="str">
        <f>IFERROR(INDEX([1]物品基础表!$A:$A,MATCH(AG152,[1]物品基础表!$B:$B,0)),"")</f>
        <v/>
      </c>
      <c r="AK152" s="1" t="str">
        <f>IFERROR(INDEX([1]物品基础表!$A:$A,MATCH(AJ152,[1]物品基础表!$B:$B,0)),"")</f>
        <v/>
      </c>
      <c r="AN152" s="1" t="str">
        <f>IFERROR(INDEX([1]物品基础表!$A:$A,MATCH(AM152,[1]物品基础表!$B:$B,0)),"")</f>
        <v/>
      </c>
      <c r="AQ152" s="1" t="str">
        <f>IFERROR(INDEX([1]物品基础表!$A:$A,MATCH(AP152,[1]物品基础表!$B:$B,0)),"")</f>
        <v/>
      </c>
    </row>
    <row r="153" spans="1:43">
      <c r="A153" s="1" t="str">
        <f>INDEX([2]活动总表!$A$8:$A$429,MATCH(B153,[2]活动总表!$B$8:$B$429,0))</f>
        <v>轮回-限购礼包3</v>
      </c>
      <c r="B153" s="1">
        <v>265</v>
      </c>
      <c r="C153" s="1">
        <v>2</v>
      </c>
      <c r="D153" s="1">
        <v>5</v>
      </c>
      <c r="E153" s="1">
        <v>0</v>
      </c>
      <c r="F153" s="1" t="s">
        <v>706</v>
      </c>
      <c r="G153" s="1">
        <v>2888</v>
      </c>
      <c r="H153" s="1">
        <v>4000</v>
      </c>
      <c r="I153" s="1">
        <v>1</v>
      </c>
      <c r="O153" s="1">
        <v>72</v>
      </c>
      <c r="X153" s="1">
        <v>201106</v>
      </c>
      <c r="Y153" s="1" t="str">
        <f>IFERROR(INDEX([1]物品基础表!$A:$A,MATCH(X153,[1]物品基础表!$B:$B,0)),"")</f>
        <v>高级轮回丹·无限制</v>
      </c>
      <c r="Z153" s="1">
        <v>4</v>
      </c>
      <c r="AB153" s="1" t="str">
        <f>IFERROR(INDEX([1]物品基础表!$A:$A,MATCH(AA153,[1]物品基础表!$B:$B,0)),"")</f>
        <v/>
      </c>
      <c r="AE153" s="1" t="str">
        <f>IFERROR(INDEX([1]物品基础表!$A:$A,MATCH(AD153,[1]物品基础表!$B:$B,0)),"")</f>
        <v/>
      </c>
      <c r="AH153" s="1" t="str">
        <f>IFERROR(INDEX([1]物品基础表!$A:$A,MATCH(AG153,[1]物品基础表!$B:$B,0)),"")</f>
        <v/>
      </c>
      <c r="AK153" s="1" t="str">
        <f>IFERROR(INDEX([1]物品基础表!$A:$A,MATCH(AJ153,[1]物品基础表!$B:$B,0)),"")</f>
        <v/>
      </c>
      <c r="AN153" s="1" t="str">
        <f>IFERROR(INDEX([1]物品基础表!$A:$A,MATCH(AM153,[1]物品基础表!$B:$B,0)),"")</f>
        <v/>
      </c>
      <c r="AQ153" s="1" t="str">
        <f>IFERROR(INDEX([1]物品基础表!$A:$A,MATCH(AP153,[1]物品基础表!$B:$B,0)),"")</f>
        <v/>
      </c>
    </row>
    <row r="154" spans="1:43">
      <c r="A154" s="1" t="str">
        <f>INDEX([2]活动总表!$A$8:$A$429,MATCH(B154,[2]活动总表!$B$8:$B$429,0))</f>
        <v>轮回-限购礼包3</v>
      </c>
      <c r="B154" s="1">
        <v>265</v>
      </c>
      <c r="C154" s="1">
        <v>3</v>
      </c>
      <c r="D154" s="1">
        <v>8</v>
      </c>
      <c r="E154" s="1">
        <v>0</v>
      </c>
      <c r="F154" s="1" t="s">
        <v>706</v>
      </c>
      <c r="G154" s="1">
        <v>3888</v>
      </c>
      <c r="H154" s="1">
        <v>8000</v>
      </c>
      <c r="I154" s="1">
        <v>1</v>
      </c>
      <c r="O154" s="1">
        <v>48</v>
      </c>
      <c r="X154" s="1">
        <v>201106</v>
      </c>
      <c r="Y154" s="1" t="str">
        <f>IFERROR(INDEX([1]物品基础表!$A:$A,MATCH(X154,[1]物品基础表!$B:$B,0)),"")</f>
        <v>高级轮回丹·无限制</v>
      </c>
      <c r="Z154" s="1">
        <v>8</v>
      </c>
      <c r="AB154" s="1" t="str">
        <f>IFERROR(INDEX([1]物品基础表!$A:$A,MATCH(AA154,[1]物品基础表!$B:$B,0)),"")</f>
        <v/>
      </c>
      <c r="AE154" s="1" t="str">
        <f>IFERROR(INDEX([1]物品基础表!$A:$A,MATCH(AD154,[1]物品基础表!$B:$B,0)),"")</f>
        <v/>
      </c>
      <c r="AH154" s="1" t="str">
        <f>IFERROR(INDEX([1]物品基础表!$A:$A,MATCH(AG154,[1]物品基础表!$B:$B,0)),"")</f>
        <v/>
      </c>
      <c r="AK154" s="1" t="str">
        <f>IFERROR(INDEX([1]物品基础表!$A:$A,MATCH(AJ154,[1]物品基础表!$B:$B,0)),"")</f>
        <v/>
      </c>
      <c r="AN154" s="1" t="str">
        <f>IFERROR(INDEX([1]物品基础表!$A:$A,MATCH(AM154,[1]物品基础表!$B:$B,0)),"")</f>
        <v/>
      </c>
      <c r="AQ154" s="1" t="str">
        <f>IFERROR(INDEX([1]物品基础表!$A:$A,MATCH(AP154,[1]物品基础表!$B:$B,0)),"")</f>
        <v/>
      </c>
    </row>
    <row r="155" spans="1:43">
      <c r="A155" s="1" t="str">
        <f>INDEX([2]活动总表!$A$8:$A$429,MATCH(B155,[2]活动总表!$B$8:$B$429,0))</f>
        <v>轮回-限购礼包3</v>
      </c>
      <c r="B155" s="1">
        <v>265</v>
      </c>
      <c r="C155" s="1">
        <v>4</v>
      </c>
      <c r="D155" s="1">
        <v>5</v>
      </c>
      <c r="E155" s="1">
        <v>0</v>
      </c>
      <c r="F155" s="1" t="s">
        <v>706</v>
      </c>
      <c r="G155" s="1">
        <v>8888</v>
      </c>
      <c r="H155" s="1">
        <v>11998</v>
      </c>
      <c r="I155" s="1">
        <v>3</v>
      </c>
      <c r="O155" s="1">
        <v>74</v>
      </c>
      <c r="X155" s="1">
        <v>201107</v>
      </c>
      <c r="Y155" s="1" t="str">
        <f>IFERROR(INDEX([1]物品基础表!$A:$A,MATCH(X155,[1]物品基础表!$B:$B,0)),"")</f>
        <v>超级轮回丹·无限制</v>
      </c>
      <c r="Z155" s="1">
        <v>1</v>
      </c>
      <c r="AA155" s="1">
        <v>201106</v>
      </c>
      <c r="AB155" s="1" t="str">
        <f>IFERROR(INDEX([1]物品基础表!$A:$A,MATCH(AA155,[1]物品基础表!$B:$B,0)),"")</f>
        <v>高级轮回丹·无限制</v>
      </c>
      <c r="AC155" s="1">
        <v>2</v>
      </c>
      <c r="AE155" s="1" t="str">
        <f>IFERROR(INDEX([1]物品基础表!$A:$A,MATCH(AD155,[1]物品基础表!$B:$B,0)),"")</f>
        <v/>
      </c>
      <c r="AH155" s="1" t="str">
        <f>IFERROR(INDEX([1]物品基础表!$A:$A,MATCH(AG155,[1]物品基础表!$B:$B,0)),"")</f>
        <v/>
      </c>
      <c r="AK155" s="1" t="str">
        <f>IFERROR(INDEX([1]物品基础表!$A:$A,MATCH(AJ155,[1]物品基础表!$B:$B,0)),"")</f>
        <v/>
      </c>
      <c r="AN155" s="1" t="str">
        <f>IFERROR(INDEX([1]物品基础表!$A:$A,MATCH(AM155,[1]物品基础表!$B:$B,0)),"")</f>
        <v/>
      </c>
      <c r="AQ155" s="1" t="str">
        <f>IFERROR(INDEX([1]物品基础表!$A:$A,MATCH(AP155,[1]物品基础表!$B:$B,0)),"")</f>
        <v/>
      </c>
    </row>
    <row r="156" spans="1:43">
      <c r="A156" s="1" t="str">
        <f>INDEX([2]活动总表!$A$8:$A$429,MATCH(B156,[2]活动总表!$B$8:$B$429,0))</f>
        <v>轮回-限购礼包3</v>
      </c>
      <c r="B156" s="1">
        <v>265</v>
      </c>
      <c r="C156" s="1">
        <v>5</v>
      </c>
      <c r="D156" s="1">
        <v>5</v>
      </c>
      <c r="E156" s="1">
        <v>0</v>
      </c>
      <c r="F156" s="1" t="s">
        <v>706</v>
      </c>
      <c r="G156" s="1">
        <v>12888</v>
      </c>
      <c r="H156" s="1">
        <v>16998</v>
      </c>
      <c r="I156" s="1">
        <v>5</v>
      </c>
      <c r="O156" s="1">
        <v>75</v>
      </c>
      <c r="X156" s="1">
        <v>201107</v>
      </c>
      <c r="Y156" s="1" t="str">
        <f>IFERROR(INDEX([1]物品基础表!$A:$A,MATCH(X156,[1]物品基础表!$B:$B,0)),"")</f>
        <v>超级轮回丹·无限制</v>
      </c>
      <c r="Z156" s="1">
        <v>1</v>
      </c>
      <c r="AA156" s="1">
        <v>201106</v>
      </c>
      <c r="AB156" s="1" t="str">
        <f>IFERROR(INDEX([1]物品基础表!$A:$A,MATCH(AA156,[1]物品基础表!$B:$B,0)),"")</f>
        <v>高级轮回丹·无限制</v>
      </c>
      <c r="AC156" s="1">
        <v>7</v>
      </c>
      <c r="AE156" s="1" t="str">
        <f>IFERROR(INDEX([1]物品基础表!$A:$A,MATCH(AD156,[1]物品基础表!$B:$B,0)),"")</f>
        <v/>
      </c>
      <c r="AH156" s="1" t="str">
        <f>IFERROR(INDEX([1]物品基础表!$A:$A,MATCH(AG156,[1]物品基础表!$B:$B,0)),"")</f>
        <v/>
      </c>
      <c r="AK156" s="1" t="str">
        <f>IFERROR(INDEX([1]物品基础表!$A:$A,MATCH(AJ156,[1]物品基础表!$B:$B,0)),"")</f>
        <v/>
      </c>
      <c r="AN156" s="1" t="str">
        <f>IFERROR(INDEX([1]物品基础表!$A:$A,MATCH(AM156,[1]物品基础表!$B:$B,0)),"")</f>
        <v/>
      </c>
      <c r="AQ156" s="1" t="str">
        <f>IFERROR(INDEX([1]物品基础表!$A:$A,MATCH(AP156,[1]物品基础表!$B:$B,0)),"")</f>
        <v/>
      </c>
    </row>
    <row r="157" spans="1:43">
      <c r="A157" s="1" t="str">
        <f>INDEX([2]活动总表!$A$8:$A$429,MATCH(B157,[2]活动总表!$B$8:$B$429,0))</f>
        <v>轮回-限购礼包3</v>
      </c>
      <c r="B157" s="1">
        <v>265</v>
      </c>
      <c r="C157" s="1">
        <v>6</v>
      </c>
      <c r="D157" s="1">
        <v>5</v>
      </c>
      <c r="E157" s="1">
        <v>0</v>
      </c>
      <c r="F157" s="1" t="s">
        <v>706</v>
      </c>
      <c r="G157" s="1">
        <v>18888</v>
      </c>
      <c r="H157" s="1">
        <v>21996</v>
      </c>
      <c r="I157" s="1">
        <v>25</v>
      </c>
      <c r="O157" s="1">
        <v>85</v>
      </c>
      <c r="X157" s="1">
        <v>201107</v>
      </c>
      <c r="Y157" s="1" t="str">
        <f>IFERROR(INDEX([1]物品基础表!$A:$A,MATCH(X157,[1]物品基础表!$B:$B,0)),"")</f>
        <v>超级轮回丹·无限制</v>
      </c>
      <c r="Z157" s="1">
        <v>2</v>
      </c>
      <c r="AA157" s="1">
        <v>201106</v>
      </c>
      <c r="AB157" s="1" t="str">
        <f>IFERROR(INDEX([1]物品基础表!$A:$A,MATCH(AA157,[1]物品基础表!$B:$B,0)),"")</f>
        <v>高级轮回丹·无限制</v>
      </c>
      <c r="AC157" s="1">
        <v>2</v>
      </c>
      <c r="AE157" s="1" t="str">
        <f>IFERROR(INDEX([1]物品基础表!$A:$A,MATCH(AD157,[1]物品基础表!$B:$B,0)),"")</f>
        <v/>
      </c>
      <c r="AH157" s="1" t="str">
        <f>IFERROR(INDEX([1]物品基础表!$A:$A,MATCH(AG157,[1]物品基础表!$B:$B,0)),"")</f>
        <v/>
      </c>
      <c r="AK157" s="1" t="str">
        <f>IFERROR(INDEX([1]物品基础表!$A:$A,MATCH(AJ157,[1]物品基础表!$B:$B,0)),"")</f>
        <v/>
      </c>
      <c r="AN157" s="1" t="str">
        <f>IFERROR(INDEX([1]物品基础表!$A:$A,MATCH(AM157,[1]物品基础表!$B:$B,0)),"")</f>
        <v/>
      </c>
      <c r="AQ157" s="1" t="str">
        <f>IFERROR(INDEX([1]物品基础表!$A:$A,MATCH(AP157,[1]物品基础表!$B:$B,0)),"")</f>
        <v/>
      </c>
    </row>
    <row r="158" spans="1:43">
      <c r="A158" s="1" t="str">
        <f>INDEX([2]活动总表!$A$8:$A$429,MATCH(B158,[2]活动总表!$B$8:$B$429,0))</f>
        <v>暖冬活动-限购礼包1</v>
      </c>
      <c r="B158" s="1">
        <v>269</v>
      </c>
      <c r="C158" s="1">
        <v>1</v>
      </c>
      <c r="D158" s="1">
        <v>5</v>
      </c>
      <c r="E158" s="1">
        <v>0</v>
      </c>
      <c r="F158" s="1" t="s">
        <v>706</v>
      </c>
      <c r="G158" s="1">
        <v>888</v>
      </c>
      <c r="H158" s="1">
        <v>1500</v>
      </c>
      <c r="I158" s="1">
        <v>1</v>
      </c>
      <c r="O158" s="1">
        <v>59</v>
      </c>
      <c r="X158" s="1">
        <v>200003</v>
      </c>
      <c r="Y158" s="1" t="str">
        <f>IFERROR(INDEX([1]物品基础表!$A:$A,MATCH(X158,[1]物品基础表!$B:$B,0)),"")</f>
        <v>铸造晶石</v>
      </c>
      <c r="Z158" s="1">
        <v>30</v>
      </c>
      <c r="AB158" s="1" t="str">
        <f>IFERROR(INDEX([1]物品基础表!$A:$A,MATCH(AA158,[1]物品基础表!$B:$B,0)),"")</f>
        <v/>
      </c>
      <c r="AE158" s="1" t="str">
        <f>IFERROR(INDEX([1]物品基础表!$A:$A,MATCH(AD158,[1]物品基础表!$B:$B,0)),"")</f>
        <v/>
      </c>
      <c r="AH158" s="1" t="str">
        <f>IFERROR(INDEX([1]物品基础表!$A:$A,MATCH(AG158,[1]物品基础表!$B:$B,0)),"")</f>
        <v/>
      </c>
      <c r="AK158" s="1" t="str">
        <f>IFERROR(INDEX([1]物品基础表!$A:$A,MATCH(AJ158,[1]物品基础表!$B:$B,0)),"")</f>
        <v/>
      </c>
      <c r="AN158" s="1" t="str">
        <f>IFERROR(INDEX([1]物品基础表!$A:$A,MATCH(AM158,[1]物品基础表!$B:$B,0)),"")</f>
        <v/>
      </c>
      <c r="AQ158" s="1" t="str">
        <f>IFERROR(INDEX([1]物品基础表!$A:$A,MATCH(AP158,[1]物品基础表!$B:$B,0)),"")</f>
        <v/>
      </c>
    </row>
    <row r="159" spans="1:43">
      <c r="A159" s="1" t="str">
        <f>INDEX([2]活动总表!$A$8:$A$429,MATCH(B159,[2]活动总表!$B$8:$B$429,0))</f>
        <v>暖冬活动-限购礼包1</v>
      </c>
      <c r="B159" s="1">
        <v>269</v>
      </c>
      <c r="C159" s="1">
        <v>2</v>
      </c>
      <c r="D159" s="1">
        <v>7</v>
      </c>
      <c r="E159" s="1">
        <v>0</v>
      </c>
      <c r="F159" s="1" t="s">
        <v>706</v>
      </c>
      <c r="G159" s="1">
        <v>1588</v>
      </c>
      <c r="H159" s="1">
        <v>5000</v>
      </c>
      <c r="I159" s="1">
        <v>1</v>
      </c>
      <c r="O159" s="1">
        <v>31</v>
      </c>
      <c r="X159" s="1">
        <v>200003</v>
      </c>
      <c r="Y159" s="1" t="str">
        <f>IFERROR(INDEX([1]物品基础表!$A:$A,MATCH(X159,[1]物品基础表!$B:$B,0)),"")</f>
        <v>铸造晶石</v>
      </c>
      <c r="Z159" s="1">
        <v>100</v>
      </c>
      <c r="AB159" s="1" t="str">
        <f>IFERROR(INDEX([1]物品基础表!$A:$A,MATCH(AA159,[1]物品基础表!$B:$B,0)),"")</f>
        <v/>
      </c>
      <c r="AE159" s="1" t="str">
        <f>IFERROR(INDEX([1]物品基础表!$A:$A,MATCH(AD159,[1]物品基础表!$B:$B,0)),"")</f>
        <v/>
      </c>
      <c r="AH159" s="1" t="str">
        <f>IFERROR(INDEX([1]物品基础表!$A:$A,MATCH(AG159,[1]物品基础表!$B:$B,0)),"")</f>
        <v/>
      </c>
      <c r="AK159" s="1" t="str">
        <f>IFERROR(INDEX([1]物品基础表!$A:$A,MATCH(AJ159,[1]物品基础表!$B:$B,0)),"")</f>
        <v/>
      </c>
      <c r="AN159" s="1" t="str">
        <f>IFERROR(INDEX([1]物品基础表!$A:$A,MATCH(AM159,[1]物品基础表!$B:$B,0)),"")</f>
        <v/>
      </c>
      <c r="AQ159" s="1" t="str">
        <f>IFERROR(INDEX([1]物品基础表!$A:$A,MATCH(AP159,[1]物品基础表!$B:$B,0)),"")</f>
        <v/>
      </c>
    </row>
    <row r="160" spans="1:43">
      <c r="A160" s="1" t="str">
        <f>INDEX([2]活动总表!$A$8:$A$429,MATCH(B160,[2]活动总表!$B$8:$B$429,0))</f>
        <v>暖冬活动-限购礼包1</v>
      </c>
      <c r="B160" s="1">
        <v>269</v>
      </c>
      <c r="C160" s="1">
        <v>3</v>
      </c>
      <c r="D160" s="1">
        <v>5</v>
      </c>
      <c r="E160" s="1">
        <v>0</v>
      </c>
      <c r="F160" s="1" t="s">
        <v>706</v>
      </c>
      <c r="G160" s="1">
        <v>2888</v>
      </c>
      <c r="H160" s="1">
        <v>5000</v>
      </c>
      <c r="I160" s="1">
        <v>1</v>
      </c>
      <c r="O160" s="1">
        <v>57</v>
      </c>
      <c r="X160" s="1">
        <v>200003</v>
      </c>
      <c r="Y160" s="1" t="str">
        <f>IFERROR(INDEX([1]物品基础表!$A:$A,MATCH(X160,[1]物品基础表!$B:$B,0)),"")</f>
        <v>铸造晶石</v>
      </c>
      <c r="Z160" s="1">
        <v>100</v>
      </c>
      <c r="AB160" s="1" t="str">
        <f>IFERROR(INDEX([1]物品基础表!$A:$A,MATCH(AA160,[1]物品基础表!$B:$B,0)),"")</f>
        <v/>
      </c>
      <c r="AE160" s="1" t="str">
        <f>IFERROR(INDEX([1]物品基础表!$A:$A,MATCH(AD160,[1]物品基础表!$B:$B,0)),"")</f>
        <v/>
      </c>
      <c r="AH160" s="1" t="str">
        <f>IFERROR(INDEX([1]物品基础表!$A:$A,MATCH(AG160,[1]物品基础表!$B:$B,0)),"")</f>
        <v/>
      </c>
      <c r="AK160" s="1" t="str">
        <f>IFERROR(INDEX([1]物品基础表!$A:$A,MATCH(AJ160,[1]物品基础表!$B:$B,0)),"")</f>
        <v/>
      </c>
      <c r="AN160" s="1" t="str">
        <f>IFERROR(INDEX([1]物品基础表!$A:$A,MATCH(AM160,[1]物品基础表!$B:$B,0)),"")</f>
        <v/>
      </c>
      <c r="AQ160" s="1" t="str">
        <f>IFERROR(INDEX([1]物品基础表!$A:$A,MATCH(AP160,[1]物品基础表!$B:$B,0)),"")</f>
        <v/>
      </c>
    </row>
    <row r="161" spans="1:44">
      <c r="A161" s="1" t="str">
        <f>INDEX([2]活动总表!$A$8:$A$429,MATCH(B161,[2]活动总表!$B$8:$B$429,0))</f>
        <v>暖冬活动-限购礼包1</v>
      </c>
      <c r="B161" s="1">
        <v>269</v>
      </c>
      <c r="C161" s="1">
        <v>4</v>
      </c>
      <c r="D161" s="1">
        <v>5</v>
      </c>
      <c r="E161" s="1">
        <v>0</v>
      </c>
      <c r="F161" s="1" t="s">
        <v>706</v>
      </c>
      <c r="G161" s="1">
        <v>8888</v>
      </c>
      <c r="H161" s="1">
        <v>15000</v>
      </c>
      <c r="I161" s="1">
        <v>3</v>
      </c>
      <c r="O161" s="1">
        <v>59</v>
      </c>
      <c r="X161" s="1">
        <v>200003</v>
      </c>
      <c r="Y161" s="1" t="str">
        <f>IFERROR(INDEX([1]物品基础表!$A:$A,MATCH(X161,[1]物品基础表!$B:$B,0)),"")</f>
        <v>铸造晶石</v>
      </c>
      <c r="Z161" s="1">
        <v>300</v>
      </c>
      <c r="AB161" s="1" t="str">
        <f>IFERROR(INDEX([1]物品基础表!$A:$A,MATCH(AA161,[1]物品基础表!$B:$B,0)),"")</f>
        <v/>
      </c>
      <c r="AE161" s="1" t="str">
        <f>IFERROR(INDEX([1]物品基础表!$A:$A,MATCH(AD161,[1]物品基础表!$B:$B,0)),"")</f>
        <v/>
      </c>
      <c r="AH161" s="1" t="str">
        <f>IFERROR(INDEX([1]物品基础表!$A:$A,MATCH(AG161,[1]物品基础表!$B:$B,0)),"")</f>
        <v/>
      </c>
      <c r="AK161" s="1" t="str">
        <f>IFERROR(INDEX([1]物品基础表!$A:$A,MATCH(AJ161,[1]物品基础表!$B:$B,0)),"")</f>
        <v/>
      </c>
      <c r="AN161" s="1" t="str">
        <f>IFERROR(INDEX([1]物品基础表!$A:$A,MATCH(AM161,[1]物品基础表!$B:$B,0)),"")</f>
        <v/>
      </c>
      <c r="AQ161" s="1" t="str">
        <f>IFERROR(INDEX([1]物品基础表!$A:$A,MATCH(AP161,[1]物品基础表!$B:$B,0)),"")</f>
        <v/>
      </c>
    </row>
    <row r="162" spans="1:44">
      <c r="A162" s="1" t="str">
        <f>INDEX([2]活动总表!$A$8:$A$429,MATCH(B162,[2]活动总表!$B$8:$B$429,0))</f>
        <v>暖冬活动-限购礼包2</v>
      </c>
      <c r="B162" s="1">
        <v>270</v>
      </c>
      <c r="C162" s="1">
        <v>1</v>
      </c>
      <c r="D162" s="1">
        <v>5</v>
      </c>
      <c r="E162" s="1">
        <v>0</v>
      </c>
      <c r="F162" s="1" t="s">
        <v>706</v>
      </c>
      <c r="G162" s="1">
        <v>888</v>
      </c>
      <c r="H162" s="1">
        <v>1500</v>
      </c>
      <c r="I162" s="1">
        <v>1</v>
      </c>
      <c r="O162" s="1">
        <v>59</v>
      </c>
      <c r="X162" s="1">
        <v>200015</v>
      </c>
      <c r="Y162" s="1" t="str">
        <f>IFERROR(INDEX([1]物品基础表!$A:$A,MATCH(X162,[1]物品基础表!$B:$B,0)),"")</f>
        <v>特戒碎片</v>
      </c>
      <c r="Z162" s="1">
        <v>150</v>
      </c>
      <c r="AB162" s="1" t="str">
        <f>IFERROR(INDEX([1]物品基础表!$A:$A,MATCH(AA162,[1]物品基础表!$B:$B,0)),"")</f>
        <v/>
      </c>
      <c r="AE162" s="1" t="str">
        <f>IFERROR(INDEX([1]物品基础表!$A:$A,MATCH(AD162,[1]物品基础表!$B:$B,0)),"")</f>
        <v/>
      </c>
      <c r="AH162" s="1" t="str">
        <f>IFERROR(INDEX([1]物品基础表!$A:$A,MATCH(AG162,[1]物品基础表!$B:$B,0)),"")</f>
        <v/>
      </c>
      <c r="AK162" s="1" t="str">
        <f>IFERROR(INDEX([1]物品基础表!$A:$A,MATCH(AJ162,[1]物品基础表!$B:$B,0)),"")</f>
        <v/>
      </c>
      <c r="AN162" s="1" t="str">
        <f>IFERROR(INDEX([1]物品基础表!$A:$A,MATCH(AM162,[1]物品基础表!$B:$B,0)),"")</f>
        <v/>
      </c>
      <c r="AQ162" s="1" t="str">
        <f>IFERROR(INDEX([1]物品基础表!$A:$A,MATCH(AP162,[1]物品基础表!$B:$B,0)),"")</f>
        <v/>
      </c>
    </row>
    <row r="163" spans="1:44">
      <c r="A163" s="1" t="str">
        <f>INDEX([2]活动总表!$A$8:$A$429,MATCH(B163,[2]活动总表!$B$8:$B$429,0))</f>
        <v>暖冬活动-限购礼包2</v>
      </c>
      <c r="B163" s="1">
        <v>270</v>
      </c>
      <c r="C163" s="1">
        <v>2</v>
      </c>
      <c r="D163" s="1">
        <v>8</v>
      </c>
      <c r="E163" s="1">
        <v>0</v>
      </c>
      <c r="F163" s="1" t="s">
        <v>706</v>
      </c>
      <c r="G163" s="1">
        <v>1588</v>
      </c>
      <c r="H163" s="1">
        <v>5000</v>
      </c>
      <c r="I163" s="1">
        <v>1</v>
      </c>
      <c r="O163" s="1">
        <v>31</v>
      </c>
      <c r="X163" s="1">
        <v>200015</v>
      </c>
      <c r="Y163" s="1" t="str">
        <f>IFERROR(INDEX([1]物品基础表!$A:$A,MATCH(X163,[1]物品基础表!$B:$B,0)),"")</f>
        <v>特戒碎片</v>
      </c>
      <c r="Z163" s="1">
        <v>500</v>
      </c>
      <c r="AB163" s="1" t="str">
        <f>IFERROR(INDEX([1]物品基础表!$A:$A,MATCH(AA163,[1]物品基础表!$B:$B,0)),"")</f>
        <v/>
      </c>
      <c r="AE163" s="1" t="str">
        <f>IFERROR(INDEX([1]物品基础表!$A:$A,MATCH(AD163,[1]物品基础表!$B:$B,0)),"")</f>
        <v/>
      </c>
      <c r="AH163" s="1" t="str">
        <f>IFERROR(INDEX([1]物品基础表!$A:$A,MATCH(AG163,[1]物品基础表!$B:$B,0)),"")</f>
        <v/>
      </c>
      <c r="AK163" s="1" t="str">
        <f>IFERROR(INDEX([1]物品基础表!$A:$A,MATCH(AJ163,[1]物品基础表!$B:$B,0)),"")</f>
        <v/>
      </c>
      <c r="AN163" s="1" t="str">
        <f>IFERROR(INDEX([1]物品基础表!$A:$A,MATCH(AM163,[1]物品基础表!$B:$B,0)),"")</f>
        <v/>
      </c>
      <c r="AQ163" s="1" t="str">
        <f>IFERROR(INDEX([1]物品基础表!$A:$A,MATCH(AP163,[1]物品基础表!$B:$B,0)),"")</f>
        <v/>
      </c>
    </row>
    <row r="164" spans="1:44">
      <c r="A164" s="1" t="str">
        <f>INDEX([2]活动总表!$A$8:$A$429,MATCH(B164,[2]活动总表!$B$8:$B$429,0))</f>
        <v>暖冬活动-限购礼包2</v>
      </c>
      <c r="B164" s="1">
        <v>270</v>
      </c>
      <c r="C164" s="1">
        <v>3</v>
      </c>
      <c r="D164" s="1">
        <v>5</v>
      </c>
      <c r="E164" s="1">
        <v>0</v>
      </c>
      <c r="F164" s="1" t="s">
        <v>706</v>
      </c>
      <c r="G164" s="1">
        <v>2888</v>
      </c>
      <c r="H164" s="1">
        <v>5000</v>
      </c>
      <c r="I164" s="1">
        <v>1</v>
      </c>
      <c r="O164" s="1">
        <v>57</v>
      </c>
      <c r="X164" s="1">
        <v>200015</v>
      </c>
      <c r="Y164" s="1" t="str">
        <f>IFERROR(INDEX([1]物品基础表!$A:$A,MATCH(X164,[1]物品基础表!$B:$B,0)),"")</f>
        <v>特戒碎片</v>
      </c>
      <c r="Z164" s="1">
        <v>500</v>
      </c>
      <c r="AB164" s="1" t="str">
        <f>IFERROR(INDEX([1]物品基础表!$A:$A,MATCH(AA164,[1]物品基础表!$B:$B,0)),"")</f>
        <v/>
      </c>
      <c r="AE164" s="1" t="str">
        <f>IFERROR(INDEX([1]物品基础表!$A:$A,MATCH(AD164,[1]物品基础表!$B:$B,0)),"")</f>
        <v/>
      </c>
      <c r="AH164" s="1" t="str">
        <f>IFERROR(INDEX([1]物品基础表!$A:$A,MATCH(AG164,[1]物品基础表!$B:$B,0)),"")</f>
        <v/>
      </c>
      <c r="AK164" s="1" t="str">
        <f>IFERROR(INDEX([1]物品基础表!$A:$A,MATCH(AJ164,[1]物品基础表!$B:$B,0)),"")</f>
        <v/>
      </c>
      <c r="AN164" s="1" t="str">
        <f>IFERROR(INDEX([1]物品基础表!$A:$A,MATCH(AM164,[1]物品基础表!$B:$B,0)),"")</f>
        <v/>
      </c>
      <c r="AQ164" s="1" t="str">
        <f>IFERROR(INDEX([1]物品基础表!$A:$A,MATCH(AP164,[1]物品基础表!$B:$B,0)),"")</f>
        <v/>
      </c>
    </row>
    <row r="165" spans="1:44">
      <c r="A165" s="1" t="str">
        <f>INDEX([2]活动总表!$A$8:$A$429,MATCH(B165,[2]活动总表!$B$8:$B$429,0))</f>
        <v>暖冬活动-限购礼包2</v>
      </c>
      <c r="B165" s="1">
        <v>270</v>
      </c>
      <c r="C165" s="1">
        <v>4</v>
      </c>
      <c r="D165" s="1">
        <v>5</v>
      </c>
      <c r="E165" s="1">
        <v>0</v>
      </c>
      <c r="F165" s="1" t="s">
        <v>706</v>
      </c>
      <c r="G165" s="1">
        <v>8888</v>
      </c>
      <c r="H165" s="1">
        <v>15000</v>
      </c>
      <c r="I165" s="1">
        <v>3</v>
      </c>
      <c r="O165" s="1">
        <v>59</v>
      </c>
      <c r="X165" s="1">
        <v>200015</v>
      </c>
      <c r="Y165" s="1" t="str">
        <f>IFERROR(INDEX([1]物品基础表!$A:$A,MATCH(X165,[1]物品基础表!$B:$B,0)),"")</f>
        <v>特戒碎片</v>
      </c>
      <c r="Z165" s="1">
        <v>1500</v>
      </c>
      <c r="AB165" s="1" t="str">
        <f>IFERROR(INDEX([1]物品基础表!$A:$A,MATCH(AA165,[1]物品基础表!$B:$B,0)),"")</f>
        <v/>
      </c>
      <c r="AE165" s="1" t="str">
        <f>IFERROR(INDEX([1]物品基础表!$A:$A,MATCH(AD165,[1]物品基础表!$B:$B,0)),"")</f>
        <v/>
      </c>
      <c r="AH165" s="1" t="str">
        <f>IFERROR(INDEX([1]物品基础表!$A:$A,MATCH(AG165,[1]物品基础表!$B:$B,0)),"")</f>
        <v/>
      </c>
      <c r="AK165" s="1" t="str">
        <f>IFERROR(INDEX([1]物品基础表!$A:$A,MATCH(AJ165,[1]物品基础表!$B:$B,0)),"")</f>
        <v/>
      </c>
      <c r="AN165" s="1" t="str">
        <f>IFERROR(INDEX([1]物品基础表!$A:$A,MATCH(AM165,[1]物品基础表!$B:$B,0)),"")</f>
        <v/>
      </c>
      <c r="AQ165" s="1" t="str">
        <f>IFERROR(INDEX([1]物品基础表!$A:$A,MATCH(AP165,[1]物品基础表!$B:$B,0)),"")</f>
        <v/>
      </c>
    </row>
    <row r="166" spans="1:44">
      <c r="A166" s="1" t="str">
        <f>INDEX([2]活动总表!$A$8:$A$429,MATCH(B166,[2]活动总表!$B$8:$B$429,0))</f>
        <v>暖冬活动-限购礼包3</v>
      </c>
      <c r="B166" s="1">
        <v>271</v>
      </c>
      <c r="C166" s="1">
        <v>1</v>
      </c>
      <c r="D166" s="1">
        <v>5</v>
      </c>
      <c r="E166" s="1">
        <v>0</v>
      </c>
      <c r="F166" s="1" t="s">
        <v>706</v>
      </c>
      <c r="G166" s="1">
        <v>888</v>
      </c>
      <c r="H166" s="1">
        <v>1480</v>
      </c>
      <c r="I166" s="1">
        <v>1</v>
      </c>
      <c r="O166" s="1">
        <v>60</v>
      </c>
      <c r="X166" s="1">
        <v>200005</v>
      </c>
      <c r="Y166" s="1" t="str">
        <f>IFERROR(INDEX([1]物品基础表!$A:$A,MATCH(X166,[1]物品基础表!$B:$B,0)),"")</f>
        <v>龙魂碎片</v>
      </c>
      <c r="Z166" s="1">
        <v>10</v>
      </c>
      <c r="AA166" s="1">
        <v>200906</v>
      </c>
      <c r="AB166" s="1" t="str">
        <f>IFERROR(INDEX([1]物品基础表!$A:$A,MATCH(AA166,[1]物品基础表!$B:$B,0)),"")</f>
        <v>神兵经验丹（1W</v>
      </c>
      <c r="AC166" s="1">
        <v>12</v>
      </c>
      <c r="AH166" s="1" t="str">
        <f>IFERROR(INDEX([1]物品基础表!$A:$A,MATCH(AG166,[1]物品基础表!$B:$B,0)),"")</f>
        <v/>
      </c>
      <c r="AK166" s="1" t="str">
        <f>IFERROR(INDEX([1]物品基础表!$A:$A,MATCH(AJ166,[1]物品基础表!$B:$B,0)),"")</f>
        <v/>
      </c>
      <c r="AN166" s="1" t="str">
        <f>IFERROR(INDEX([1]物品基础表!$A:$A,MATCH(AM166,[1]物品基础表!$B:$B,0)),"")</f>
        <v/>
      </c>
      <c r="AQ166" s="1" t="str">
        <f>IFERROR(INDEX([1]物品基础表!$A:$A,MATCH(AP166,[1]物品基础表!$B:$B,0)),"")</f>
        <v/>
      </c>
    </row>
    <row r="167" spans="1:44">
      <c r="A167" s="1" t="str">
        <f>INDEX([2]活动总表!$A$8:$A$429,MATCH(B167,[2]活动总表!$B$8:$B$429,0))</f>
        <v>暖冬活动-限购礼包3</v>
      </c>
      <c r="B167" s="1">
        <v>271</v>
      </c>
      <c r="C167" s="1">
        <v>2</v>
      </c>
      <c r="D167" s="1">
        <v>8</v>
      </c>
      <c r="E167" s="1">
        <v>0</v>
      </c>
      <c r="F167" s="1" t="s">
        <v>706</v>
      </c>
      <c r="G167" s="1">
        <v>1588</v>
      </c>
      <c r="H167" s="1">
        <v>4900</v>
      </c>
      <c r="I167" s="1">
        <v>1</v>
      </c>
      <c r="O167" s="1">
        <v>32</v>
      </c>
      <c r="X167" s="1">
        <v>200005</v>
      </c>
      <c r="Y167" s="1" t="str">
        <f>IFERROR(INDEX([1]物品基础表!$A:$A,MATCH(X167,[1]物品基础表!$B:$B,0)),"")</f>
        <v>龙魂碎片</v>
      </c>
      <c r="Z167" s="1">
        <v>35</v>
      </c>
      <c r="AA167" s="1">
        <v>200906</v>
      </c>
      <c r="AB167" s="1" t="str">
        <f>IFERROR(INDEX([1]物品基础表!$A:$A,MATCH(AA167,[1]物品基础表!$B:$B,0)),"")</f>
        <v>神兵经验丹（1W</v>
      </c>
      <c r="AC167" s="1">
        <v>35</v>
      </c>
      <c r="AH167" s="1" t="str">
        <f>IFERROR(INDEX([1]物品基础表!$A:$A,MATCH(AG167,[1]物品基础表!$B:$B,0)),"")</f>
        <v/>
      </c>
      <c r="AK167" s="1" t="str">
        <f>IFERROR(INDEX([1]物品基础表!$A:$A,MATCH(AJ167,[1]物品基础表!$B:$B,0)),"")</f>
        <v/>
      </c>
      <c r="AN167" s="1" t="str">
        <f>IFERROR(INDEX([1]物品基础表!$A:$A,MATCH(AM167,[1]物品基础表!$B:$B,0)),"")</f>
        <v/>
      </c>
      <c r="AQ167" s="1" t="str">
        <f>IFERROR(INDEX([1]物品基础表!$A:$A,MATCH(AP167,[1]物品基础表!$B:$B,0)),"")</f>
        <v/>
      </c>
    </row>
    <row r="168" spans="1:44">
      <c r="A168" s="1" t="str">
        <f>INDEX([2]活动总表!$A$8:$A$429,MATCH(B168,[2]活动总表!$B$8:$B$429,0))</f>
        <v>暖冬活动-限购礼包3</v>
      </c>
      <c r="B168" s="1">
        <v>271</v>
      </c>
      <c r="C168" s="1">
        <v>3</v>
      </c>
      <c r="D168" s="1">
        <v>5</v>
      </c>
      <c r="E168" s="1">
        <v>0</v>
      </c>
      <c r="F168" s="1" t="s">
        <v>706</v>
      </c>
      <c r="G168" s="1">
        <v>2888</v>
      </c>
      <c r="H168" s="1">
        <v>4900</v>
      </c>
      <c r="I168" s="1">
        <v>1</v>
      </c>
      <c r="O168" s="1">
        <v>58</v>
      </c>
      <c r="X168" s="1">
        <v>200005</v>
      </c>
      <c r="Y168" s="1" t="str">
        <f>IFERROR(INDEX([1]物品基础表!$A:$A,MATCH(X168,[1]物品基础表!$B:$B,0)),"")</f>
        <v>龙魂碎片</v>
      </c>
      <c r="Z168" s="1">
        <v>35</v>
      </c>
      <c r="AA168" s="1">
        <v>200906</v>
      </c>
      <c r="AB168" s="1" t="str">
        <f>IFERROR(INDEX([1]物品基础表!$A:$A,MATCH(AA168,[1]物品基础表!$B:$B,0)),"")</f>
        <v>神兵经验丹（1W</v>
      </c>
      <c r="AC168" s="1">
        <v>35</v>
      </c>
      <c r="AH168" s="1" t="str">
        <f>IFERROR(INDEX([1]物品基础表!$A:$A,MATCH(AG168,[1]物品基础表!$B:$B,0)),"")</f>
        <v/>
      </c>
      <c r="AK168" s="1" t="str">
        <f>IFERROR(INDEX([1]物品基础表!$A:$A,MATCH(AJ168,[1]物品基础表!$B:$B,0)),"")</f>
        <v/>
      </c>
      <c r="AN168" s="1" t="str">
        <f>IFERROR(INDEX([1]物品基础表!$A:$A,MATCH(AM168,[1]物品基础表!$B:$B,0)),"")</f>
        <v/>
      </c>
      <c r="AQ168" s="1" t="str">
        <f>IFERROR(INDEX([1]物品基础表!$A:$A,MATCH(AP168,[1]物品基础表!$B:$B,0)),"")</f>
        <v/>
      </c>
    </row>
    <row r="169" spans="1:44">
      <c r="A169" s="1" t="str">
        <f>INDEX([2]活动总表!$A$8:$A$429,MATCH(B169,[2]活动总表!$B$8:$B$429,0))</f>
        <v>暖冬活动-限购礼包3</v>
      </c>
      <c r="B169" s="1">
        <v>271</v>
      </c>
      <c r="C169" s="1">
        <v>4</v>
      </c>
      <c r="D169" s="1">
        <v>5</v>
      </c>
      <c r="E169" s="1">
        <v>0</v>
      </c>
      <c r="F169" s="1" t="s">
        <v>706</v>
      </c>
      <c r="G169" s="1">
        <v>8888</v>
      </c>
      <c r="H169" s="1">
        <v>14800</v>
      </c>
      <c r="I169" s="1">
        <v>3</v>
      </c>
      <c r="O169" s="1">
        <v>60</v>
      </c>
      <c r="X169" s="1">
        <v>200005</v>
      </c>
      <c r="Y169" s="1" t="str">
        <f>IFERROR(INDEX([1]物品基础表!$A:$A,MATCH(X169,[1]物品基础表!$B:$B,0)),"")</f>
        <v>龙魂碎片</v>
      </c>
      <c r="Z169" s="1">
        <v>100</v>
      </c>
      <c r="AA169" s="1">
        <v>200906</v>
      </c>
      <c r="AB169" s="1" t="str">
        <f>IFERROR(INDEX([1]物品基础表!$A:$A,MATCH(AA169,[1]物品基础表!$B:$B,0)),"")</f>
        <v>神兵经验丹（1W</v>
      </c>
      <c r="AC169" s="1">
        <v>120</v>
      </c>
      <c r="AE169" s="1" t="str">
        <f>IFERROR(INDEX([1]物品基础表!$A:$A,MATCH(AD169,[1]物品基础表!$B:$B,0)),"")</f>
        <v/>
      </c>
      <c r="AH169" s="1" t="str">
        <f>IFERROR(INDEX([1]物品基础表!$A:$A,MATCH(AG169,[1]物品基础表!$B:$B,0)),"")</f>
        <v/>
      </c>
      <c r="AK169" s="1" t="str">
        <f>IFERROR(INDEX([1]物品基础表!$A:$A,MATCH(AJ169,[1]物品基础表!$B:$B,0)),"")</f>
        <v/>
      </c>
      <c r="AN169" s="1" t="str">
        <f>IFERROR(INDEX([1]物品基础表!$A:$A,MATCH(AM169,[1]物品基础表!$B:$B,0)),"")</f>
        <v/>
      </c>
      <c r="AQ169" s="1" t="str">
        <f>IFERROR(INDEX([1]物品基础表!$A:$A,MATCH(AP169,[1]物品基础表!$B:$B,0)),"")</f>
        <v/>
      </c>
    </row>
    <row r="170" spans="1:44">
      <c r="A170" s="1" t="str">
        <f>INDEX([2]活动总表!$A$8:$A$429,MATCH(B170,[2]活动总表!$B$8:$B$429,0))</f>
        <v>版本庆典-特惠礼包</v>
      </c>
      <c r="B170" s="1">
        <v>303</v>
      </c>
      <c r="C170" s="1">
        <v>1</v>
      </c>
      <c r="D170" s="1">
        <v>5</v>
      </c>
      <c r="E170" s="1">
        <v>0</v>
      </c>
      <c r="F170" s="1" t="s">
        <v>706</v>
      </c>
      <c r="G170" s="1">
        <v>4888</v>
      </c>
      <c r="I170" s="1">
        <v>1</v>
      </c>
      <c r="X170" s="1">
        <v>13</v>
      </c>
      <c r="Y170" s="1" t="s">
        <v>694</v>
      </c>
      <c r="Z170" s="1">
        <v>2000000</v>
      </c>
      <c r="AA170" s="1">
        <v>200015</v>
      </c>
      <c r="AB170" s="1" t="str">
        <f>IFERROR(INDEX([1]物品基础表!$A:$A,MATCH(AA170,[1]物品基础表!$B:$B,0)),"")</f>
        <v>特戒碎片</v>
      </c>
      <c r="AC170" s="1">
        <v>300</v>
      </c>
      <c r="AD170" s="1">
        <v>200005</v>
      </c>
      <c r="AE170" s="1" t="str">
        <f>IFERROR(INDEX([1]物品基础表!$A:$A,MATCH(AD170,[1]物品基础表!$B:$B,0)),"")</f>
        <v>龙魂碎片</v>
      </c>
      <c r="AF170" s="1">
        <v>30</v>
      </c>
      <c r="AG170" s="1">
        <v>201016</v>
      </c>
      <c r="AH170" s="1" t="str">
        <f>IFERROR(INDEX([1]物品基础表!$A:$A,MATCH(AG170,[1]物品基础表!$B:$B,0)),"")</f>
        <v>紫色图鉴包·传奇之路</v>
      </c>
      <c r="AI170" s="1">
        <v>1</v>
      </c>
      <c r="AJ170" s="1">
        <v>200208</v>
      </c>
      <c r="AK170" s="1" t="str">
        <f>IFERROR(INDEX([1]物品基础表!$A:$A,MATCH(AJ170,[1]物品基础表!$B:$B,0)),"")</f>
        <v>烈焰印记低级升级材料</v>
      </c>
      <c r="AL170" s="1">
        <v>100</v>
      </c>
      <c r="AM170" s="1">
        <v>200156</v>
      </c>
      <c r="AN170" s="1" t="str">
        <f>IFERROR(INDEX([1]物品基础表!$A:$A,MATCH(AM170,[1]物品基础表!$B:$B,0)),"")</f>
        <v>野外BOSS次数卷轴</v>
      </c>
      <c r="AO170" s="1">
        <v>2</v>
      </c>
      <c r="AP170" s="1">
        <v>201002</v>
      </c>
      <c r="AQ170" s="1" t="str">
        <f>IFERROR(INDEX([1]物品基础表!$A:$A,MATCH(AP170,[1]物品基础表!$B:$B,0)),"")</f>
        <v>神秘钥匙</v>
      </c>
      <c r="AR170" s="1">
        <v>1</v>
      </c>
    </row>
    <row r="171" spans="1:44">
      <c r="A171" s="1" t="str">
        <f>INDEX([2]活动总表!$A$8:$A$429,MATCH(B171,[2]活动总表!$B$8:$B$429,0))</f>
        <v>版本庆典-特惠礼包</v>
      </c>
      <c r="B171" s="1">
        <v>303</v>
      </c>
      <c r="C171" s="1">
        <v>2</v>
      </c>
      <c r="D171" s="1">
        <v>5</v>
      </c>
      <c r="E171" s="1">
        <v>0</v>
      </c>
      <c r="F171" s="1" t="s">
        <v>706</v>
      </c>
      <c r="G171" s="1">
        <v>16888</v>
      </c>
      <c r="I171" s="1">
        <v>1</v>
      </c>
      <c r="X171" s="1">
        <v>200997</v>
      </c>
      <c r="Y171" s="1" t="str">
        <f>IFERROR(INDEX([1]物品基础表!$A:$A,MATCH(X171,[1]物品基础表!$B:$B,0)),"")</f>
        <v>星☆传世宝箱</v>
      </c>
      <c r="Z171" s="1">
        <v>1</v>
      </c>
      <c r="AA171" s="1">
        <v>200003</v>
      </c>
      <c r="AB171" s="1" t="str">
        <f>IFERROR(INDEX([1]物品基础表!$A:$A,MATCH(AA171,[1]物品基础表!$B:$B,0)),"")</f>
        <v>铸造晶石</v>
      </c>
      <c r="AC171" s="1">
        <v>100</v>
      </c>
      <c r="AD171" s="1">
        <v>200015</v>
      </c>
      <c r="AE171" s="1" t="str">
        <f>IFERROR(INDEX([1]物品基础表!$A:$A,MATCH(AD171,[1]物品基础表!$B:$B,0)),"")</f>
        <v>特戒碎片</v>
      </c>
      <c r="AF171" s="1">
        <v>500</v>
      </c>
      <c r="AG171" s="1">
        <v>201017</v>
      </c>
      <c r="AH171" s="1" t="str">
        <f>IFERROR(INDEX([1]物品基础表!$A:$A,MATCH(AG171,[1]物品基础表!$B:$B,0)),"")</f>
        <v>橙色图鉴包·传奇之路</v>
      </c>
      <c r="AI171" s="1">
        <v>1</v>
      </c>
      <c r="AJ171" s="1">
        <v>200208</v>
      </c>
      <c r="AK171" s="1" t="str">
        <f>IFERROR(INDEX([1]物品基础表!$A:$A,MATCH(AJ171,[1]物品基础表!$B:$B,0)),"")</f>
        <v>烈焰印记低级升级材料</v>
      </c>
      <c r="AL171" s="1">
        <v>100</v>
      </c>
      <c r="AM171" s="1">
        <v>200157</v>
      </c>
      <c r="AN171" s="1" t="str">
        <f>IFERROR(INDEX([1]物品基础表!$A:$A,MATCH(AM171,[1]物品基础表!$B:$B,0)),"")</f>
        <v>秘境BOSS次数卷轴</v>
      </c>
      <c r="AO171" s="1">
        <v>1</v>
      </c>
      <c r="AP171" s="1">
        <v>201002</v>
      </c>
      <c r="AQ171" s="1" t="str">
        <f>IFERROR(INDEX([1]物品基础表!$A:$A,MATCH(AP171,[1]物品基础表!$B:$B,0)),"")</f>
        <v>神秘钥匙</v>
      </c>
      <c r="AR171" s="1">
        <v>1</v>
      </c>
    </row>
    <row r="172" spans="1:44">
      <c r="A172" s="1" t="str">
        <f>INDEX([2]活动总表!$A$8:$A$429,MATCH(B172,[2]活动总表!$B$8:$B$429,0))</f>
        <v>版本庆典-特惠礼包</v>
      </c>
      <c r="B172" s="1">
        <v>303</v>
      </c>
      <c r="C172" s="1">
        <v>3</v>
      </c>
      <c r="D172" s="1">
        <v>5</v>
      </c>
      <c r="E172" s="1">
        <v>0</v>
      </c>
      <c r="F172" s="1" t="s">
        <v>706</v>
      </c>
      <c r="G172" s="1">
        <v>58888</v>
      </c>
      <c r="I172" s="1">
        <v>1</v>
      </c>
      <c r="X172" s="1">
        <v>200311</v>
      </c>
      <c r="Y172" s="1" t="str">
        <f>IFERROR(INDEX([1]物品基础表!$A:$A,MATCH(X172,[1]物品基础表!$B:$B,0)),"")</f>
        <v>战神兵魂任选礼包</v>
      </c>
      <c r="Z172" s="1">
        <v>8</v>
      </c>
      <c r="AA172" s="1">
        <v>200326</v>
      </c>
      <c r="AB172" s="1" t="str">
        <f>IFERROR(INDEX([1]物品基础表!$A:$A,MATCH(AA172,[1]物品基础表!$B:$B,0)),"")</f>
        <v>兵魂之灵</v>
      </c>
      <c r="AC172" s="1">
        <v>1</v>
      </c>
      <c r="AD172" s="1">
        <v>299999</v>
      </c>
      <c r="AE172" s="1" t="str">
        <f>IFERROR(INDEX([1]物品基础表!$A:$A,MATCH(AD172,[1]物品基础表!$B:$B,0)),"")</f>
        <v>神兵幻境卷</v>
      </c>
      <c r="AF172" s="1">
        <v>2</v>
      </c>
      <c r="AG172" s="1">
        <v>202007</v>
      </c>
      <c r="AH172" s="1" t="str">
        <f>IFERROR(INDEX([1]物品基础表!$A:$A,MATCH(AG172,[1]物品基础表!$B:$B,0)),"")</f>
        <v>烈焰戒指技能7书</v>
      </c>
      <c r="AI172" s="1">
        <v>1</v>
      </c>
      <c r="AJ172" s="1">
        <v>200005</v>
      </c>
      <c r="AK172" s="1" t="str">
        <f>IFERROR(INDEX([1]物品基础表!$A:$A,MATCH(AJ172,[1]物品基础表!$B:$B,0)),"")</f>
        <v>龙魂碎片</v>
      </c>
      <c r="AL172" s="1">
        <v>100</v>
      </c>
      <c r="AM172" s="1">
        <v>200157</v>
      </c>
      <c r="AN172" s="1" t="str">
        <f>IFERROR(INDEX([1]物品基础表!$A:$A,MATCH(AM172,[1]物品基础表!$B:$B,0)),"")</f>
        <v>秘境BOSS次数卷轴</v>
      </c>
      <c r="AO172" s="1">
        <v>1</v>
      </c>
      <c r="AP172" s="1">
        <v>201002</v>
      </c>
      <c r="AQ172" s="1" t="str">
        <f>IFERROR(INDEX([1]物品基础表!$A:$A,MATCH(AP172,[1]物品基础表!$B:$B,0)),"")</f>
        <v>神秘钥匙</v>
      </c>
      <c r="AR172" s="1">
        <v>1</v>
      </c>
    </row>
    <row r="173" spans="1:44">
      <c r="A173" s="1" t="str">
        <f>INDEX([2]活动总表!$A$8:$A$429,MATCH(B173,[2]活动总表!$B$8:$B$429,0))</f>
        <v>版本庆典-特惠礼包</v>
      </c>
      <c r="B173" s="1">
        <v>303</v>
      </c>
      <c r="C173" s="1">
        <v>4</v>
      </c>
      <c r="D173" s="1">
        <v>5</v>
      </c>
      <c r="E173" s="1">
        <v>0</v>
      </c>
      <c r="F173" s="1" t="s">
        <v>706</v>
      </c>
      <c r="G173" s="1">
        <v>128888</v>
      </c>
      <c r="I173" s="1">
        <v>1</v>
      </c>
      <c r="X173" s="1">
        <v>121501</v>
      </c>
      <c r="Y173" s="1" t="str">
        <f>IFERROR(INDEX([1]物品基础表!$A:$A,MATCH(X173,[1]物品基础表!$B:$B,0)),"")</f>
        <v>传奇衣服1</v>
      </c>
      <c r="Z173" s="1">
        <v>1</v>
      </c>
      <c r="AA173" s="1">
        <v>500011</v>
      </c>
      <c r="AB173" s="1" t="str">
        <f>IFERROR(INDEX([1]物品基础表!$A:$A,MATCH(AA173,[1]物品基础表!$B:$B,0)),"")</f>
        <v>战纹碎片（小）</v>
      </c>
      <c r="AC173" s="1">
        <v>1000</v>
      </c>
      <c r="AD173" s="1">
        <v>200001</v>
      </c>
      <c r="AE173" s="1" t="str">
        <f>IFERROR(INDEX([1]物品基础表!$A:$A,MATCH(AD173,[1]物品基础表!$B:$B,0)),"")</f>
        <v>羽毛</v>
      </c>
      <c r="AF173" s="1">
        <v>100</v>
      </c>
      <c r="AG173" s="1">
        <v>200005</v>
      </c>
      <c r="AH173" s="1" t="str">
        <f>IFERROR(INDEX([1]物品基础表!$A:$A,MATCH(AG173,[1]物品基础表!$B:$B,0)),"")</f>
        <v>龙魂碎片</v>
      </c>
      <c r="AI173" s="1">
        <v>100</v>
      </c>
      <c r="AJ173" s="1">
        <v>500006</v>
      </c>
      <c r="AK173" s="1" t="str">
        <f>IFERROR(INDEX([1]物品基础表!$A:$A,MATCH(AJ173,[1]物品基础表!$B:$B,0)),"")</f>
        <v>战纹精华-金</v>
      </c>
      <c r="AL173" s="1">
        <v>10</v>
      </c>
      <c r="AM173" s="1">
        <v>200157</v>
      </c>
      <c r="AN173" s="1" t="str">
        <f>IFERROR(INDEX([1]物品基础表!$A:$A,MATCH(AM173,[1]物品基础表!$B:$B,0)),"")</f>
        <v>秘境BOSS次数卷轴</v>
      </c>
      <c r="AO173" s="1">
        <v>1</v>
      </c>
      <c r="AP173" s="1">
        <v>201002</v>
      </c>
      <c r="AQ173" s="1" t="str">
        <f>IFERROR(INDEX([1]物品基础表!$A:$A,MATCH(AP173,[1]物品基础表!$B:$B,0)),"")</f>
        <v>神秘钥匙</v>
      </c>
      <c r="AR173" s="1">
        <v>2</v>
      </c>
    </row>
    <row r="174" spans="1:44">
      <c r="A174" s="1" t="str">
        <f>INDEX([2]活动总表!$A$8:$A$429,MATCH(B174,[2]活动总表!$B$8:$B$429,0))</f>
        <v>1.11限购</v>
      </c>
      <c r="B174" s="1">
        <v>273</v>
      </c>
      <c r="C174" s="1">
        <v>1</v>
      </c>
      <c r="D174" s="1">
        <v>5</v>
      </c>
      <c r="E174" s="1">
        <v>0</v>
      </c>
      <c r="F174" s="1" t="s">
        <v>706</v>
      </c>
      <c r="G174" s="1">
        <v>888</v>
      </c>
      <c r="H174" s="1">
        <v>2000</v>
      </c>
      <c r="I174" s="1">
        <v>1</v>
      </c>
      <c r="O174" s="1">
        <v>44</v>
      </c>
      <c r="X174" s="1">
        <v>200003</v>
      </c>
      <c r="Y174" s="1" t="str">
        <f>IFERROR(INDEX([1]物品基础表!$A:$A,MATCH(X174,[1]物品基础表!$B:$B,0)),"")</f>
        <v>铸造晶石</v>
      </c>
      <c r="Z174" s="1">
        <v>20</v>
      </c>
      <c r="AA174" s="1">
        <v>500005</v>
      </c>
      <c r="AB174" s="1" t="str">
        <f>IFERROR(INDEX([1]物品基础表!$A:$A,MATCH(AA174,[1]物品基础表!$B:$B,0)),"")</f>
        <v>战纹精华-红</v>
      </c>
      <c r="AC174" s="1">
        <v>2</v>
      </c>
      <c r="AE174" s="1" t="str">
        <f>IFERROR(INDEX([1]物品基础表!$A:$A,MATCH(AD174,[1]物品基础表!$B:$B,0)),"")</f>
        <v/>
      </c>
      <c r="AH174" s="1" t="str">
        <f>IFERROR(INDEX([1]物品基础表!$A:$A,MATCH(AG174,[1]物品基础表!$B:$B,0)),"")</f>
        <v/>
      </c>
      <c r="AK174" s="1" t="str">
        <f>IFERROR(INDEX([1]物品基础表!$A:$A,MATCH(AJ174,[1]物品基础表!$B:$B,0)),"")</f>
        <v/>
      </c>
      <c r="AN174" s="1" t="str">
        <f>IFERROR(INDEX([1]物品基础表!$A:$A,MATCH(AM174,[1]物品基础表!$B:$B,0)),"")</f>
        <v/>
      </c>
      <c r="AQ174" s="1" t="str">
        <f>IFERROR(INDEX([1]物品基础表!$A:$A,MATCH(AP174,[1]物品基础表!$B:$B,0)),"")</f>
        <v/>
      </c>
    </row>
    <row r="175" spans="1:44">
      <c r="A175" s="1" t="str">
        <f>INDEX([2]活动总表!$A$8:$A$429,MATCH(B175,[2]活动总表!$B$8:$B$429,0))</f>
        <v>1.11限购</v>
      </c>
      <c r="B175" s="1">
        <v>273</v>
      </c>
      <c r="C175" s="1">
        <v>2</v>
      </c>
      <c r="D175" s="1">
        <v>8</v>
      </c>
      <c r="E175" s="1">
        <v>0</v>
      </c>
      <c r="F175" s="1" t="s">
        <v>706</v>
      </c>
      <c r="G175" s="1">
        <v>1588</v>
      </c>
      <c r="H175" s="1">
        <v>7000</v>
      </c>
      <c r="I175" s="1">
        <v>1</v>
      </c>
      <c r="O175" s="1">
        <v>22</v>
      </c>
      <c r="X175" s="1">
        <v>200003</v>
      </c>
      <c r="Y175" s="1" t="str">
        <f>IFERROR(INDEX([1]物品基础表!$A:$A,MATCH(X175,[1]物品基础表!$B:$B,0)),"")</f>
        <v>铸造晶石</v>
      </c>
      <c r="Z175" s="1">
        <v>60</v>
      </c>
      <c r="AA175" s="1">
        <v>500005</v>
      </c>
      <c r="AB175" s="1" t="str">
        <f>IFERROR(INDEX([1]物品基础表!$A:$A,MATCH(AA175,[1]物品基础表!$B:$B,0)),"")</f>
        <v>战纹精华-红</v>
      </c>
      <c r="AC175" s="1">
        <v>8</v>
      </c>
      <c r="AE175" s="1" t="str">
        <f>IFERROR(INDEX([1]物品基础表!$A:$A,MATCH(AD175,[1]物品基础表!$B:$B,0)),"")</f>
        <v/>
      </c>
      <c r="AH175" s="1" t="str">
        <f>IFERROR(INDEX([1]物品基础表!$A:$A,MATCH(AG175,[1]物品基础表!$B:$B,0)),"")</f>
        <v/>
      </c>
      <c r="AK175" s="1" t="str">
        <f>IFERROR(INDEX([1]物品基础表!$A:$A,MATCH(AJ175,[1]物品基础表!$B:$B,0)),"")</f>
        <v/>
      </c>
      <c r="AN175" s="1" t="str">
        <f>IFERROR(INDEX([1]物品基础表!$A:$A,MATCH(AM175,[1]物品基础表!$B:$B,0)),"")</f>
        <v/>
      </c>
      <c r="AQ175" s="1" t="str">
        <f>IFERROR(INDEX([1]物品基础表!$A:$A,MATCH(AP175,[1]物品基础表!$B:$B,0)),"")</f>
        <v/>
      </c>
    </row>
    <row r="176" spans="1:44">
      <c r="A176" s="1" t="str">
        <f>INDEX([2]活动总表!$A$8:$A$429,MATCH(B176,[2]活动总表!$B$8:$B$429,0))</f>
        <v>1.11限购</v>
      </c>
      <c r="B176" s="1">
        <v>273</v>
      </c>
      <c r="C176" s="1">
        <v>3</v>
      </c>
      <c r="D176" s="1">
        <v>5</v>
      </c>
      <c r="E176" s="1">
        <v>0</v>
      </c>
      <c r="F176" s="1" t="s">
        <v>706</v>
      </c>
      <c r="G176" s="1">
        <v>2888</v>
      </c>
      <c r="H176" s="1">
        <v>7000</v>
      </c>
      <c r="I176" s="1">
        <v>1</v>
      </c>
      <c r="O176" s="1">
        <v>41</v>
      </c>
      <c r="X176" s="1">
        <v>200003</v>
      </c>
      <c r="Y176" s="1" t="str">
        <f>IFERROR(INDEX([1]物品基础表!$A:$A,MATCH(X176,[1]物品基础表!$B:$B,0)),"")</f>
        <v>铸造晶石</v>
      </c>
      <c r="Z176" s="1">
        <v>60</v>
      </c>
      <c r="AA176" s="1">
        <v>500005</v>
      </c>
      <c r="AB176" s="1" t="str">
        <f>IFERROR(INDEX([1]物品基础表!$A:$A,MATCH(AA176,[1]物品基础表!$B:$B,0)),"")</f>
        <v>战纹精华-红</v>
      </c>
      <c r="AC176" s="1">
        <v>8</v>
      </c>
      <c r="AE176" s="1" t="str">
        <f>IFERROR(INDEX([1]物品基础表!$A:$A,MATCH(AD176,[1]物品基础表!$B:$B,0)),"")</f>
        <v/>
      </c>
      <c r="AH176" s="1" t="str">
        <f>IFERROR(INDEX([1]物品基础表!$A:$A,MATCH(AG176,[1]物品基础表!$B:$B,0)),"")</f>
        <v/>
      </c>
      <c r="AK176" s="1" t="str">
        <f>IFERROR(INDEX([1]物品基础表!$A:$A,MATCH(AJ176,[1]物品基础表!$B:$B,0)),"")</f>
        <v/>
      </c>
      <c r="AN176" s="1" t="str">
        <f>IFERROR(INDEX([1]物品基础表!$A:$A,MATCH(AM176,[1]物品基础表!$B:$B,0)),"")</f>
        <v/>
      </c>
      <c r="AQ176" s="1" t="str">
        <f>IFERROR(INDEX([1]物品基础表!$A:$A,MATCH(AP176,[1]物品基础表!$B:$B,0)),"")</f>
        <v/>
      </c>
    </row>
    <row r="177" spans="1:43">
      <c r="A177" s="1" t="str">
        <f>INDEX([2]活动总表!$A$8:$A$429,MATCH(B177,[2]活动总表!$B$8:$B$429,0))</f>
        <v>1.11限购</v>
      </c>
      <c r="B177" s="1">
        <v>273</v>
      </c>
      <c r="C177" s="1">
        <v>4</v>
      </c>
      <c r="D177" s="1">
        <v>5</v>
      </c>
      <c r="E177" s="1">
        <v>0</v>
      </c>
      <c r="F177" s="1" t="s">
        <v>706</v>
      </c>
      <c r="G177" s="1">
        <v>8888</v>
      </c>
      <c r="H177" s="1">
        <v>20000</v>
      </c>
      <c r="I177" s="1">
        <v>3</v>
      </c>
      <c r="O177" s="1">
        <v>44</v>
      </c>
      <c r="X177" s="1">
        <v>200003</v>
      </c>
      <c r="Y177" s="1" t="str">
        <f>IFERROR(INDEX([1]物品基础表!$A:$A,MATCH(X177,[1]物品基础表!$B:$B,0)),"")</f>
        <v>铸造晶石</v>
      </c>
      <c r="Z177" s="1">
        <v>200</v>
      </c>
      <c r="AA177" s="1">
        <v>500006</v>
      </c>
      <c r="AB177" s="1" t="str">
        <f>IFERROR(INDEX([1]物品基础表!$A:$A,MATCH(AA177,[1]物品基础表!$B:$B,0)),"")</f>
        <v>战纹精华-金</v>
      </c>
      <c r="AC177" s="1">
        <v>5</v>
      </c>
      <c r="AE177" s="1" t="str">
        <f>IFERROR(INDEX([1]物品基础表!$A:$A,MATCH(AD177,[1]物品基础表!$B:$B,0)),"")</f>
        <v/>
      </c>
      <c r="AH177" s="1" t="str">
        <f>IFERROR(INDEX([1]物品基础表!$A:$A,MATCH(AG177,[1]物品基础表!$B:$B,0)),"")</f>
        <v/>
      </c>
      <c r="AK177" s="1" t="str">
        <f>IFERROR(INDEX([1]物品基础表!$A:$A,MATCH(AJ177,[1]物品基础表!$B:$B,0)),"")</f>
        <v/>
      </c>
      <c r="AN177" s="1" t="str">
        <f>IFERROR(INDEX([1]物品基础表!$A:$A,MATCH(AM177,[1]物品基础表!$B:$B,0)),"")</f>
        <v/>
      </c>
      <c r="AQ177" s="1" t="str">
        <f>IFERROR(INDEX([1]物品基础表!$A:$A,MATCH(AP177,[1]物品基础表!$B:$B,0)),"")</f>
        <v/>
      </c>
    </row>
    <row r="178" spans="1:43">
      <c r="A178" s="1" t="str">
        <f>INDEX([2]活动总表!$A$8:$A$429,MATCH(B178,[2]活动总表!$B$8:$B$429,0))</f>
        <v>1.11限购</v>
      </c>
      <c r="B178" s="1">
        <v>274</v>
      </c>
      <c r="C178" s="1">
        <v>1</v>
      </c>
      <c r="D178" s="1">
        <v>5</v>
      </c>
      <c r="E178" s="1">
        <v>0</v>
      </c>
      <c r="F178" s="1" t="s">
        <v>706</v>
      </c>
      <c r="G178" s="1">
        <v>888</v>
      </c>
      <c r="H178" s="1">
        <v>1500</v>
      </c>
      <c r="I178" s="1">
        <v>1</v>
      </c>
      <c r="O178" s="1">
        <v>59</v>
      </c>
      <c r="X178" s="1">
        <v>200301</v>
      </c>
      <c r="Y178" s="1" t="str">
        <f>IFERROR(INDEX([1]物品基础表!$A:$A,MATCH(X178,[1]物品基础表!$B:$B,0)),"")</f>
        <v>传世宝钻</v>
      </c>
      <c r="Z178" s="1">
        <v>15</v>
      </c>
      <c r="AB178" s="1" t="str">
        <f>IFERROR(INDEX([1]物品基础表!$A:$A,MATCH(AA178,[1]物品基础表!$B:$B,0)),"")</f>
        <v/>
      </c>
      <c r="AE178" s="1" t="str">
        <f>IFERROR(INDEX([1]物品基础表!$A:$A,MATCH(AD178,[1]物品基础表!$B:$B,0)),"")</f>
        <v/>
      </c>
      <c r="AH178" s="1" t="str">
        <f>IFERROR(INDEX([1]物品基础表!$A:$A,MATCH(AG178,[1]物品基础表!$B:$B,0)),"")</f>
        <v/>
      </c>
      <c r="AK178" s="1" t="str">
        <f>IFERROR(INDEX([1]物品基础表!$A:$A,MATCH(AJ178,[1]物品基础表!$B:$B,0)),"")</f>
        <v/>
      </c>
      <c r="AN178" s="1" t="str">
        <f>IFERROR(INDEX([1]物品基础表!$A:$A,MATCH(AM178,[1]物品基础表!$B:$B,0)),"")</f>
        <v/>
      </c>
      <c r="AQ178" s="1" t="str">
        <f>IFERROR(INDEX([1]物品基础表!$A:$A,MATCH(AP178,[1]物品基础表!$B:$B,0)),"")</f>
        <v/>
      </c>
    </row>
    <row r="179" spans="1:43">
      <c r="A179" s="1" t="str">
        <f>INDEX([2]活动总表!$A$8:$A$429,MATCH(B179,[2]活动总表!$B$8:$B$429,0))</f>
        <v>1.11限购</v>
      </c>
      <c r="B179" s="1">
        <v>274</v>
      </c>
      <c r="C179" s="1">
        <v>2</v>
      </c>
      <c r="D179" s="1">
        <v>8</v>
      </c>
      <c r="E179" s="1">
        <v>0</v>
      </c>
      <c r="F179" s="1" t="s">
        <v>706</v>
      </c>
      <c r="G179" s="1">
        <v>1588</v>
      </c>
      <c r="H179" s="1">
        <v>5000</v>
      </c>
      <c r="I179" s="1">
        <v>1</v>
      </c>
      <c r="O179" s="1">
        <v>31</v>
      </c>
      <c r="X179" s="1">
        <v>200301</v>
      </c>
      <c r="Y179" s="1" t="str">
        <f>IFERROR(INDEX([1]物品基础表!$A:$A,MATCH(X179,[1]物品基础表!$B:$B,0)),"")</f>
        <v>传世宝钻</v>
      </c>
      <c r="Z179" s="1">
        <v>50</v>
      </c>
      <c r="AB179" s="1" t="str">
        <f>IFERROR(INDEX([1]物品基础表!$A:$A,MATCH(AA179,[1]物品基础表!$B:$B,0)),"")</f>
        <v/>
      </c>
      <c r="AE179" s="1" t="str">
        <f>IFERROR(INDEX([1]物品基础表!$A:$A,MATCH(AD179,[1]物品基础表!$B:$B,0)),"")</f>
        <v/>
      </c>
      <c r="AH179" s="1" t="str">
        <f>IFERROR(INDEX([1]物品基础表!$A:$A,MATCH(AG179,[1]物品基础表!$B:$B,0)),"")</f>
        <v/>
      </c>
      <c r="AK179" s="1" t="str">
        <f>IFERROR(INDEX([1]物品基础表!$A:$A,MATCH(AJ179,[1]物品基础表!$B:$B,0)),"")</f>
        <v/>
      </c>
      <c r="AN179" s="1" t="str">
        <f>IFERROR(INDEX([1]物品基础表!$A:$A,MATCH(AM179,[1]物品基础表!$B:$B,0)),"")</f>
        <v/>
      </c>
      <c r="AQ179" s="1" t="str">
        <f>IFERROR(INDEX([1]物品基础表!$A:$A,MATCH(AP179,[1]物品基础表!$B:$B,0)),"")</f>
        <v/>
      </c>
    </row>
    <row r="180" spans="1:43">
      <c r="A180" s="1" t="str">
        <f>INDEX([2]活动总表!$A$8:$A$429,MATCH(B180,[2]活动总表!$B$8:$B$429,0))</f>
        <v>1.11限购</v>
      </c>
      <c r="B180" s="1">
        <v>274</v>
      </c>
      <c r="C180" s="1">
        <v>3</v>
      </c>
      <c r="D180" s="1">
        <v>5</v>
      </c>
      <c r="E180" s="1">
        <v>0</v>
      </c>
      <c r="F180" s="1" t="s">
        <v>706</v>
      </c>
      <c r="G180" s="1">
        <v>2888</v>
      </c>
      <c r="H180" s="1">
        <v>5500</v>
      </c>
      <c r="I180" s="1">
        <v>1</v>
      </c>
      <c r="O180" s="1">
        <v>52</v>
      </c>
      <c r="X180" s="1">
        <v>200301</v>
      </c>
      <c r="Y180" s="1" t="str">
        <f>IFERROR(INDEX([1]物品基础表!$A:$A,MATCH(X180,[1]物品基础表!$B:$B,0)),"")</f>
        <v>传世宝钻</v>
      </c>
      <c r="Z180" s="1">
        <v>40</v>
      </c>
      <c r="AA180" s="1">
        <v>200153</v>
      </c>
      <c r="AB180" s="1" t="str">
        <f>IFERROR(INDEX([1]物品基础表!$A:$A,MATCH(AA180,[1]物品基础表!$B:$B,0)),"")</f>
        <v>传世宝箱</v>
      </c>
      <c r="AC180" s="1">
        <v>1</v>
      </c>
      <c r="AE180" s="1" t="str">
        <f>IFERROR(INDEX([1]物品基础表!$A:$A,MATCH(AD180,[1]物品基础表!$B:$B,0)),"")</f>
        <v/>
      </c>
      <c r="AH180" s="1" t="str">
        <f>IFERROR(INDEX([1]物品基础表!$A:$A,MATCH(AG180,[1]物品基础表!$B:$B,0)),"")</f>
        <v/>
      </c>
      <c r="AK180" s="1" t="str">
        <f>IFERROR(INDEX([1]物品基础表!$A:$A,MATCH(AJ180,[1]物品基础表!$B:$B,0)),"")</f>
        <v/>
      </c>
      <c r="AN180" s="1" t="str">
        <f>IFERROR(INDEX([1]物品基础表!$A:$A,MATCH(AM180,[1]物品基础表!$B:$B,0)),"")</f>
        <v/>
      </c>
      <c r="AQ180" s="1" t="str">
        <f>IFERROR(INDEX([1]物品基础表!$A:$A,MATCH(AP180,[1]物品基础表!$B:$B,0)),"")</f>
        <v/>
      </c>
    </row>
    <row r="181" spans="1:43">
      <c r="A181" s="1" t="str">
        <f>INDEX([2]活动总表!$A$8:$A$429,MATCH(B181,[2]活动总表!$B$8:$B$429,0))</f>
        <v>1.11限购</v>
      </c>
      <c r="B181" s="1">
        <v>274</v>
      </c>
      <c r="C181" s="1">
        <v>4</v>
      </c>
      <c r="D181" s="1">
        <v>5</v>
      </c>
      <c r="E181" s="1">
        <v>0</v>
      </c>
      <c r="F181" s="1" t="s">
        <v>706</v>
      </c>
      <c r="G181" s="1">
        <v>8888</v>
      </c>
      <c r="H181" s="1">
        <v>15500</v>
      </c>
      <c r="I181" s="1">
        <v>3</v>
      </c>
      <c r="O181" s="1">
        <v>57</v>
      </c>
      <c r="X181" s="1">
        <v>200301</v>
      </c>
      <c r="Y181" s="1" t="str">
        <f>IFERROR(INDEX([1]物品基础表!$A:$A,MATCH(X181,[1]物品基础表!$B:$B,0)),"")</f>
        <v>传世宝钻</v>
      </c>
      <c r="Z181" s="1">
        <v>125</v>
      </c>
      <c r="AA181" s="1">
        <v>200153</v>
      </c>
      <c r="AB181" s="1" t="str">
        <f>IFERROR(INDEX([1]物品基础表!$A:$A,MATCH(AA181,[1]物品基础表!$B:$B,0)),"")</f>
        <v>传世宝箱</v>
      </c>
      <c r="AC181" s="1">
        <v>2</v>
      </c>
      <c r="AE181" s="1" t="str">
        <f>IFERROR(INDEX([1]物品基础表!$A:$A,MATCH(AD181,[1]物品基础表!$B:$B,0)),"")</f>
        <v/>
      </c>
      <c r="AH181" s="1" t="str">
        <f>IFERROR(INDEX([1]物品基础表!$A:$A,MATCH(AG181,[1]物品基础表!$B:$B,0)),"")</f>
        <v/>
      </c>
      <c r="AK181" s="1" t="str">
        <f>IFERROR(INDEX([1]物品基础表!$A:$A,MATCH(AJ181,[1]物品基础表!$B:$B,0)),"")</f>
        <v/>
      </c>
      <c r="AN181" s="1" t="str">
        <f>IFERROR(INDEX([1]物品基础表!$A:$A,MATCH(AM181,[1]物品基础表!$B:$B,0)),"")</f>
        <v/>
      </c>
      <c r="AQ181" s="1" t="str">
        <f>IFERROR(INDEX([1]物品基础表!$A:$A,MATCH(AP181,[1]物品基础表!$B:$B,0)),"")</f>
        <v/>
      </c>
    </row>
    <row r="182" spans="1:43">
      <c r="A182" s="1" t="str">
        <f>INDEX([2]活动总表!$A$8:$A$429,MATCH(B182,[2]活动总表!$B$8:$B$429,0))</f>
        <v>1.11限购</v>
      </c>
      <c r="B182" s="1">
        <v>275</v>
      </c>
      <c r="C182" s="1">
        <v>1</v>
      </c>
      <c r="D182" s="1">
        <v>5</v>
      </c>
      <c r="E182" s="1">
        <v>0</v>
      </c>
      <c r="F182" s="1" t="s">
        <v>706</v>
      </c>
      <c r="G182" s="1">
        <v>888</v>
      </c>
      <c r="H182" s="1">
        <v>2000</v>
      </c>
      <c r="I182" s="1">
        <v>1</v>
      </c>
      <c r="O182" s="1">
        <v>44</v>
      </c>
      <c r="X182" s="1">
        <v>204064</v>
      </c>
      <c r="Y182" s="1" t="str">
        <f>IFERROR(INDEX([1]物品基础表!$A:$A,MATCH(X182,[1]物品基础表!$B:$B,0)),"")</f>
        <v>高级转生轮回礼包</v>
      </c>
      <c r="Z182" s="1">
        <v>2</v>
      </c>
      <c r="AB182" s="1" t="str">
        <f>IFERROR(INDEX([1]物品基础表!$A:$A,MATCH(AA182,[1]物品基础表!$B:$B,0)),"")</f>
        <v/>
      </c>
      <c r="AE182" s="1" t="str">
        <f>IFERROR(INDEX([1]物品基础表!$A:$A,MATCH(AD182,[1]物品基础表!$B:$B,0)),"")</f>
        <v/>
      </c>
      <c r="AH182" s="1" t="str">
        <f>IFERROR(INDEX([1]物品基础表!$A:$A,MATCH(AG182,[1]物品基础表!$B:$B,0)),"")</f>
        <v/>
      </c>
      <c r="AK182" s="1" t="str">
        <f>IFERROR(INDEX([1]物品基础表!$A:$A,MATCH(AJ182,[1]物品基础表!$B:$B,0)),"")</f>
        <v/>
      </c>
      <c r="AN182" s="1" t="str">
        <f>IFERROR(INDEX([1]物品基础表!$A:$A,MATCH(AM182,[1]物品基础表!$B:$B,0)),"")</f>
        <v/>
      </c>
      <c r="AQ182" s="1" t="str">
        <f>IFERROR(INDEX([1]物品基础表!$A:$A,MATCH(AP182,[1]物品基础表!$B:$B,0)),"")</f>
        <v/>
      </c>
    </row>
    <row r="183" spans="1:43">
      <c r="A183" s="1" t="str">
        <f>INDEX([2]活动总表!$A$8:$A$429,MATCH(B183,[2]活动总表!$B$8:$B$429,0))</f>
        <v>1.11限购</v>
      </c>
      <c r="B183" s="1">
        <v>275</v>
      </c>
      <c r="C183" s="1">
        <v>2</v>
      </c>
      <c r="D183" s="1">
        <v>8</v>
      </c>
      <c r="E183" s="1">
        <v>0</v>
      </c>
      <c r="F183" s="1" t="s">
        <v>706</v>
      </c>
      <c r="G183" s="1">
        <v>1588</v>
      </c>
      <c r="H183" s="1">
        <v>5000</v>
      </c>
      <c r="I183" s="1">
        <v>1</v>
      </c>
      <c r="O183" s="1">
        <v>31</v>
      </c>
      <c r="X183" s="1">
        <v>204064</v>
      </c>
      <c r="Y183" s="1" t="str">
        <f>IFERROR(INDEX([1]物品基础表!$A:$A,MATCH(X183,[1]物品基础表!$B:$B,0)),"")</f>
        <v>高级转生轮回礼包</v>
      </c>
      <c r="Z183" s="1">
        <v>5</v>
      </c>
      <c r="AB183" s="1" t="str">
        <f>IFERROR(INDEX([1]物品基础表!$A:$A,MATCH(AA183,[1]物品基础表!$B:$B,0)),"")</f>
        <v/>
      </c>
      <c r="AE183" s="1" t="str">
        <f>IFERROR(INDEX([1]物品基础表!$A:$A,MATCH(AD183,[1]物品基础表!$B:$B,0)),"")</f>
        <v/>
      </c>
      <c r="AH183" s="1" t="str">
        <f>IFERROR(INDEX([1]物品基础表!$A:$A,MATCH(AG183,[1]物品基础表!$B:$B,0)),"")</f>
        <v/>
      </c>
      <c r="AK183" s="1" t="str">
        <f>IFERROR(INDEX([1]物品基础表!$A:$A,MATCH(AJ183,[1]物品基础表!$B:$B,0)),"")</f>
        <v/>
      </c>
      <c r="AN183" s="1" t="str">
        <f>IFERROR(INDEX([1]物品基础表!$A:$A,MATCH(AM183,[1]物品基础表!$B:$B,0)),"")</f>
        <v/>
      </c>
      <c r="AQ183" s="1" t="str">
        <f>IFERROR(INDEX([1]物品基础表!$A:$A,MATCH(AP183,[1]物品基础表!$B:$B,0)),"")</f>
        <v/>
      </c>
    </row>
    <row r="184" spans="1:43">
      <c r="A184" s="1" t="str">
        <f>INDEX([2]活动总表!$A$8:$A$429,MATCH(B184,[2]活动总表!$B$8:$B$429,0))</f>
        <v>1.11限购</v>
      </c>
      <c r="B184" s="1">
        <v>275</v>
      </c>
      <c r="C184" s="1">
        <v>3</v>
      </c>
      <c r="D184" s="1">
        <v>5</v>
      </c>
      <c r="E184" s="1">
        <v>0</v>
      </c>
      <c r="F184" s="1" t="s">
        <v>706</v>
      </c>
      <c r="G184" s="1">
        <v>2888</v>
      </c>
      <c r="H184" s="1">
        <v>5000</v>
      </c>
      <c r="I184" s="1">
        <v>1</v>
      </c>
      <c r="O184" s="1">
        <v>57</v>
      </c>
      <c r="X184" s="1">
        <v>204064</v>
      </c>
      <c r="Y184" s="1" t="str">
        <f>IFERROR(INDEX([1]物品基础表!$A:$A,MATCH(X184,[1]物品基础表!$B:$B,0)),"")</f>
        <v>高级转生轮回礼包</v>
      </c>
      <c r="Z184" s="1">
        <v>5</v>
      </c>
      <c r="AB184" s="1" t="str">
        <f>IFERROR(INDEX([1]物品基础表!$A:$A,MATCH(AA184,[1]物品基础表!$B:$B,0)),"")</f>
        <v/>
      </c>
      <c r="AE184" s="1" t="str">
        <f>IFERROR(INDEX([1]物品基础表!$A:$A,MATCH(AD184,[1]物品基础表!$B:$B,0)),"")</f>
        <v/>
      </c>
      <c r="AH184" s="1" t="str">
        <f>IFERROR(INDEX([1]物品基础表!$A:$A,MATCH(AG184,[1]物品基础表!$B:$B,0)),"")</f>
        <v/>
      </c>
      <c r="AK184" s="1" t="str">
        <f>IFERROR(INDEX([1]物品基础表!$A:$A,MATCH(AJ184,[1]物品基础表!$B:$B,0)),"")</f>
        <v/>
      </c>
      <c r="AN184" s="1" t="str">
        <f>IFERROR(INDEX([1]物品基础表!$A:$A,MATCH(AM184,[1]物品基础表!$B:$B,0)),"")</f>
        <v/>
      </c>
      <c r="AQ184" s="1" t="str">
        <f>IFERROR(INDEX([1]物品基础表!$A:$A,MATCH(AP184,[1]物品基础表!$B:$B,0)),"")</f>
        <v/>
      </c>
    </row>
    <row r="185" spans="1:43">
      <c r="A185" s="1" t="str">
        <f>INDEX([2]活动总表!$A$8:$A$429,MATCH(B185,[2]活动总表!$B$8:$B$429,0))</f>
        <v>1.11限购</v>
      </c>
      <c r="B185" s="1">
        <v>275</v>
      </c>
      <c r="C185" s="1">
        <v>4</v>
      </c>
      <c r="D185" s="1">
        <v>5</v>
      </c>
      <c r="E185" s="1">
        <v>0</v>
      </c>
      <c r="F185" s="1" t="s">
        <v>706</v>
      </c>
      <c r="G185" s="1">
        <v>8888</v>
      </c>
      <c r="H185" s="1">
        <v>15000</v>
      </c>
      <c r="I185" s="1">
        <v>3</v>
      </c>
      <c r="O185" s="1">
        <v>59</v>
      </c>
      <c r="X185" s="1">
        <v>204065</v>
      </c>
      <c r="Y185" s="1" t="str">
        <f>IFERROR(INDEX([1]物品基础表!$A:$A,MATCH(X185,[1]物品基础表!$B:$B,0)),"")</f>
        <v>超级转生轮回礼包</v>
      </c>
      <c r="Z185" s="1">
        <v>1</v>
      </c>
      <c r="AA185" s="1">
        <v>204064</v>
      </c>
      <c r="AB185" s="1" t="str">
        <f>IFERROR(INDEX([1]物品基础表!$A:$A,MATCH(AA185,[1]物品基础表!$B:$B,0)),"")</f>
        <v>高级转生轮回礼包</v>
      </c>
      <c r="AC185" s="1">
        <v>5</v>
      </c>
      <c r="AE185" s="1" t="str">
        <f>IFERROR(INDEX([1]物品基础表!$A:$A,MATCH(AD185,[1]物品基础表!$B:$B,0)),"")</f>
        <v/>
      </c>
      <c r="AH185" s="1" t="str">
        <f>IFERROR(INDEX([1]物品基础表!$A:$A,MATCH(AG185,[1]物品基础表!$B:$B,0)),"")</f>
        <v/>
      </c>
      <c r="AK185" s="1" t="str">
        <f>IFERROR(INDEX([1]物品基础表!$A:$A,MATCH(AJ185,[1]物品基础表!$B:$B,0)),"")</f>
        <v/>
      </c>
      <c r="AN185" s="1" t="str">
        <f>IFERROR(INDEX([1]物品基础表!$A:$A,MATCH(AM185,[1]物品基础表!$B:$B,0)),"")</f>
        <v/>
      </c>
      <c r="AQ185" s="1" t="str">
        <f>IFERROR(INDEX([1]物品基础表!$A:$A,MATCH(AP185,[1]物品基础表!$B:$B,0)),"")</f>
        <v/>
      </c>
    </row>
    <row r="186" spans="1:43">
      <c r="A186" s="1" t="str">
        <f>INDEX([2]活动总表!$A$8:$A$429,MATCH(B186,[2]活动总表!$B$8:$B$429,0))</f>
        <v>腊八-限购礼包（15-30天）1</v>
      </c>
      <c r="B186" s="1">
        <v>405</v>
      </c>
      <c r="C186" s="1">
        <v>1</v>
      </c>
      <c r="D186" s="1">
        <v>5</v>
      </c>
      <c r="E186" s="1">
        <v>0</v>
      </c>
      <c r="F186" s="1" t="s">
        <v>706</v>
      </c>
      <c r="G186" s="1">
        <v>888</v>
      </c>
      <c r="H186" s="1">
        <v>1500</v>
      </c>
      <c r="I186" s="1">
        <v>1</v>
      </c>
      <c r="O186" s="1">
        <v>59</v>
      </c>
      <c r="X186" s="1">
        <v>200003</v>
      </c>
      <c r="Y186" s="1" t="str">
        <f>IFERROR(INDEX([1]物品基础表!$A:$A,MATCH(X186,[1]物品基础表!$B:$B,0)),"")</f>
        <v>铸造晶石</v>
      </c>
      <c r="Z186" s="1">
        <v>30</v>
      </c>
      <c r="AB186" s="1" t="str">
        <f>IFERROR(INDEX([1]物品基础表!$A:$A,MATCH(AA186,[1]物品基础表!$B:$B,0)),"")</f>
        <v/>
      </c>
      <c r="AE186" s="1" t="str">
        <f>IFERROR(INDEX([1]物品基础表!$A:$A,MATCH(AD186,[1]物品基础表!$B:$B,0)),"")</f>
        <v/>
      </c>
      <c r="AH186" s="1" t="str">
        <f>IFERROR(INDEX([1]物品基础表!$A:$A,MATCH(AG186,[1]物品基础表!$B:$B,0)),"")</f>
        <v/>
      </c>
      <c r="AK186" s="1" t="str">
        <f>IFERROR(INDEX([1]物品基础表!$A:$A,MATCH(AJ186,[1]物品基础表!$B:$B,0)),"")</f>
        <v/>
      </c>
      <c r="AN186" s="1" t="str">
        <f>IFERROR(INDEX([1]物品基础表!$A:$A,MATCH(AM186,[1]物品基础表!$B:$B,0)),"")</f>
        <v/>
      </c>
      <c r="AQ186" s="1" t="str">
        <f>IFERROR(INDEX([1]物品基础表!$A:$A,MATCH(AP186,[1]物品基础表!$B:$B,0)),"")</f>
        <v/>
      </c>
    </row>
    <row r="187" spans="1:43">
      <c r="A187" s="1" t="str">
        <f>INDEX([2]活动总表!$A$8:$A$429,MATCH(B187,[2]活动总表!$B$8:$B$429,0))</f>
        <v>腊八-限购礼包（15-30天）1</v>
      </c>
      <c r="B187" s="1">
        <v>405</v>
      </c>
      <c r="C187" s="1">
        <v>2</v>
      </c>
      <c r="D187" s="1">
        <v>7</v>
      </c>
      <c r="E187" s="1">
        <v>0</v>
      </c>
      <c r="F187" s="1" t="s">
        <v>706</v>
      </c>
      <c r="G187" s="1">
        <v>1588</v>
      </c>
      <c r="H187" s="1">
        <v>5000</v>
      </c>
      <c r="I187" s="1">
        <v>1</v>
      </c>
      <c r="O187" s="1">
        <v>31</v>
      </c>
      <c r="X187" s="1">
        <v>200003</v>
      </c>
      <c r="Y187" s="1" t="str">
        <f>IFERROR(INDEX([1]物品基础表!$A:$A,MATCH(X187,[1]物品基础表!$B:$B,0)),"")</f>
        <v>铸造晶石</v>
      </c>
      <c r="Z187" s="1">
        <v>100</v>
      </c>
      <c r="AB187" s="1" t="str">
        <f>IFERROR(INDEX([1]物品基础表!$A:$A,MATCH(AA187,[1]物品基础表!$B:$B,0)),"")</f>
        <v/>
      </c>
      <c r="AE187" s="1" t="str">
        <f>IFERROR(INDEX([1]物品基础表!$A:$A,MATCH(AD187,[1]物品基础表!$B:$B,0)),"")</f>
        <v/>
      </c>
      <c r="AH187" s="1" t="str">
        <f>IFERROR(INDEX([1]物品基础表!$A:$A,MATCH(AG187,[1]物品基础表!$B:$B,0)),"")</f>
        <v/>
      </c>
      <c r="AK187" s="1" t="str">
        <f>IFERROR(INDEX([1]物品基础表!$A:$A,MATCH(AJ187,[1]物品基础表!$B:$B,0)),"")</f>
        <v/>
      </c>
      <c r="AN187" s="1" t="str">
        <f>IFERROR(INDEX([1]物品基础表!$A:$A,MATCH(AM187,[1]物品基础表!$B:$B,0)),"")</f>
        <v/>
      </c>
      <c r="AQ187" s="1" t="str">
        <f>IFERROR(INDEX([1]物品基础表!$A:$A,MATCH(AP187,[1]物品基础表!$B:$B,0)),"")</f>
        <v/>
      </c>
    </row>
    <row r="188" spans="1:43">
      <c r="A188" s="1" t="str">
        <f>INDEX([2]活动总表!$A$8:$A$429,MATCH(B188,[2]活动总表!$B$8:$B$429,0))</f>
        <v>腊八-限购礼包（15-30天）1</v>
      </c>
      <c r="B188" s="1">
        <v>405</v>
      </c>
      <c r="C188" s="1">
        <v>3</v>
      </c>
      <c r="D188" s="1">
        <v>5</v>
      </c>
      <c r="E188" s="1">
        <v>0</v>
      </c>
      <c r="F188" s="1" t="s">
        <v>706</v>
      </c>
      <c r="G188" s="1">
        <v>2888</v>
      </c>
      <c r="H188" s="1">
        <v>5000</v>
      </c>
      <c r="I188" s="1">
        <v>1</v>
      </c>
      <c r="O188" s="1">
        <v>57</v>
      </c>
      <c r="X188" s="1">
        <v>200003</v>
      </c>
      <c r="Y188" s="1" t="str">
        <f>IFERROR(INDEX([1]物品基础表!$A:$A,MATCH(X188,[1]物品基础表!$B:$B,0)),"")</f>
        <v>铸造晶石</v>
      </c>
      <c r="Z188" s="1">
        <v>100</v>
      </c>
      <c r="AB188" s="1" t="str">
        <f>IFERROR(INDEX([1]物品基础表!$A:$A,MATCH(AA188,[1]物品基础表!$B:$B,0)),"")</f>
        <v/>
      </c>
      <c r="AE188" s="1" t="str">
        <f>IFERROR(INDEX([1]物品基础表!$A:$A,MATCH(AD188,[1]物品基础表!$B:$B,0)),"")</f>
        <v/>
      </c>
      <c r="AH188" s="1" t="str">
        <f>IFERROR(INDEX([1]物品基础表!$A:$A,MATCH(AG188,[1]物品基础表!$B:$B,0)),"")</f>
        <v/>
      </c>
      <c r="AK188" s="1" t="str">
        <f>IFERROR(INDEX([1]物品基础表!$A:$A,MATCH(AJ188,[1]物品基础表!$B:$B,0)),"")</f>
        <v/>
      </c>
      <c r="AN188" s="1" t="str">
        <f>IFERROR(INDEX([1]物品基础表!$A:$A,MATCH(AM188,[1]物品基础表!$B:$B,0)),"")</f>
        <v/>
      </c>
      <c r="AQ188" s="1" t="str">
        <f>IFERROR(INDEX([1]物品基础表!$A:$A,MATCH(AP188,[1]物品基础表!$B:$B,0)),"")</f>
        <v/>
      </c>
    </row>
    <row r="189" spans="1:43">
      <c r="A189" s="1" t="str">
        <f>INDEX([2]活动总表!$A$8:$A$429,MATCH(B189,[2]活动总表!$B$8:$B$429,0))</f>
        <v>腊八-限购礼包（15-30天）1</v>
      </c>
      <c r="B189" s="1">
        <v>405</v>
      </c>
      <c r="C189" s="1">
        <v>4</v>
      </c>
      <c r="D189" s="1">
        <v>5</v>
      </c>
      <c r="E189" s="1">
        <v>0</v>
      </c>
      <c r="F189" s="1" t="s">
        <v>706</v>
      </c>
      <c r="G189" s="1">
        <v>8888</v>
      </c>
      <c r="H189" s="1">
        <v>15000</v>
      </c>
      <c r="I189" s="1">
        <v>3</v>
      </c>
      <c r="O189" s="1">
        <v>59</v>
      </c>
      <c r="X189" s="1">
        <v>200003</v>
      </c>
      <c r="Y189" s="1" t="str">
        <f>IFERROR(INDEX([1]物品基础表!$A:$A,MATCH(X189,[1]物品基础表!$B:$B,0)),"")</f>
        <v>铸造晶石</v>
      </c>
      <c r="Z189" s="1">
        <v>300</v>
      </c>
      <c r="AB189" s="1" t="str">
        <f>IFERROR(INDEX([1]物品基础表!$A:$A,MATCH(AA189,[1]物品基础表!$B:$B,0)),"")</f>
        <v/>
      </c>
      <c r="AE189" s="1" t="str">
        <f>IFERROR(INDEX([1]物品基础表!$A:$A,MATCH(AD189,[1]物品基础表!$B:$B,0)),"")</f>
        <v/>
      </c>
      <c r="AH189" s="1" t="str">
        <f>IFERROR(INDEX([1]物品基础表!$A:$A,MATCH(AG189,[1]物品基础表!$B:$B,0)),"")</f>
        <v/>
      </c>
      <c r="AK189" s="1" t="str">
        <f>IFERROR(INDEX([1]物品基础表!$A:$A,MATCH(AJ189,[1]物品基础表!$B:$B,0)),"")</f>
        <v/>
      </c>
      <c r="AN189" s="1" t="str">
        <f>IFERROR(INDEX([1]物品基础表!$A:$A,MATCH(AM189,[1]物品基础表!$B:$B,0)),"")</f>
        <v/>
      </c>
      <c r="AQ189" s="1" t="str">
        <f>IFERROR(INDEX([1]物品基础表!$A:$A,MATCH(AP189,[1]物品基础表!$B:$B,0)),"")</f>
        <v/>
      </c>
    </row>
    <row r="190" spans="1:43">
      <c r="A190" s="1" t="str">
        <f>INDEX([2]活动总表!$A$8:$A$429,MATCH(B190,[2]活动总表!$B$8:$B$429,0))</f>
        <v>腊八-限购礼包（15-30天）2</v>
      </c>
      <c r="B190" s="1">
        <v>406</v>
      </c>
      <c r="C190" s="1">
        <v>1</v>
      </c>
      <c r="D190" s="1">
        <v>5</v>
      </c>
      <c r="E190" s="1">
        <v>0</v>
      </c>
      <c r="F190" s="1" t="s">
        <v>706</v>
      </c>
      <c r="G190" s="1">
        <v>888</v>
      </c>
      <c r="H190" s="1">
        <v>1480</v>
      </c>
      <c r="I190" s="1">
        <v>1</v>
      </c>
      <c r="O190" s="1">
        <v>60</v>
      </c>
      <c r="X190" s="1">
        <v>200005</v>
      </c>
      <c r="Y190" s="1" t="str">
        <f>IFERROR(INDEX([1]物品基础表!$A:$A,MATCH(X190,[1]物品基础表!$B:$B,0)),"")</f>
        <v>龙魂碎片</v>
      </c>
      <c r="Z190" s="1">
        <v>10</v>
      </c>
      <c r="AA190" s="1">
        <v>200906</v>
      </c>
      <c r="AB190" s="1" t="str">
        <f>IFERROR(INDEX([1]物品基础表!$A:$A,MATCH(AA190,[1]物品基础表!$B:$B,0)),"")</f>
        <v>神兵经验丹（1W</v>
      </c>
      <c r="AC190" s="1">
        <v>12</v>
      </c>
      <c r="AE190" s="1" t="str">
        <f>IFERROR(INDEX([1]物品基础表!$A:$A,MATCH(AD190,[1]物品基础表!$B:$B,0)),"")</f>
        <v/>
      </c>
      <c r="AH190" s="1" t="str">
        <f>IFERROR(INDEX([1]物品基础表!$A:$A,MATCH(AG190,[1]物品基础表!$B:$B,0)),"")</f>
        <v/>
      </c>
      <c r="AK190" s="1" t="str">
        <f>IFERROR(INDEX([1]物品基础表!$A:$A,MATCH(AJ190,[1]物品基础表!$B:$B,0)),"")</f>
        <v/>
      </c>
      <c r="AN190" s="1" t="str">
        <f>IFERROR(INDEX([1]物品基础表!$A:$A,MATCH(AM190,[1]物品基础表!$B:$B,0)),"")</f>
        <v/>
      </c>
      <c r="AQ190" s="1" t="str">
        <f>IFERROR(INDEX([1]物品基础表!$A:$A,MATCH(AP190,[1]物品基础表!$B:$B,0)),"")</f>
        <v/>
      </c>
    </row>
    <row r="191" spans="1:43">
      <c r="A191" s="1" t="str">
        <f>INDEX([2]活动总表!$A$8:$A$429,MATCH(B191,[2]活动总表!$B$8:$B$429,0))</f>
        <v>腊八-限购礼包（15-30天）2</v>
      </c>
      <c r="B191" s="1">
        <v>406</v>
      </c>
      <c r="C191" s="1">
        <v>2</v>
      </c>
      <c r="D191" s="1">
        <v>8</v>
      </c>
      <c r="E191" s="1">
        <v>0</v>
      </c>
      <c r="F191" s="1" t="s">
        <v>706</v>
      </c>
      <c r="G191" s="1">
        <v>1588</v>
      </c>
      <c r="H191" s="1">
        <v>4900</v>
      </c>
      <c r="I191" s="1">
        <v>1</v>
      </c>
      <c r="O191" s="1">
        <v>32</v>
      </c>
      <c r="X191" s="1">
        <v>200005</v>
      </c>
      <c r="Y191" s="1" t="str">
        <f>IFERROR(INDEX([1]物品基础表!$A:$A,MATCH(X191,[1]物品基础表!$B:$B,0)),"")</f>
        <v>龙魂碎片</v>
      </c>
      <c r="Z191" s="1">
        <v>35</v>
      </c>
      <c r="AA191" s="1">
        <v>200906</v>
      </c>
      <c r="AB191" s="1" t="str">
        <f>IFERROR(INDEX([1]物品基础表!$A:$A,MATCH(AA191,[1]物品基础表!$B:$B,0)),"")</f>
        <v>神兵经验丹（1W</v>
      </c>
      <c r="AC191" s="1">
        <v>35</v>
      </c>
      <c r="AE191" s="1" t="str">
        <f>IFERROR(INDEX([1]物品基础表!$A:$A,MATCH(AD191,[1]物品基础表!$B:$B,0)),"")</f>
        <v/>
      </c>
      <c r="AH191" s="1" t="str">
        <f>IFERROR(INDEX([1]物品基础表!$A:$A,MATCH(AG191,[1]物品基础表!$B:$B,0)),"")</f>
        <v/>
      </c>
      <c r="AK191" s="1" t="str">
        <f>IFERROR(INDEX([1]物品基础表!$A:$A,MATCH(AJ191,[1]物品基础表!$B:$B,0)),"")</f>
        <v/>
      </c>
      <c r="AN191" s="1" t="str">
        <f>IFERROR(INDEX([1]物品基础表!$A:$A,MATCH(AM191,[1]物品基础表!$B:$B,0)),"")</f>
        <v/>
      </c>
      <c r="AQ191" s="1" t="str">
        <f>IFERROR(INDEX([1]物品基础表!$A:$A,MATCH(AP191,[1]物品基础表!$B:$B,0)),"")</f>
        <v/>
      </c>
    </row>
    <row r="192" spans="1:43">
      <c r="A192" s="1" t="str">
        <f>INDEX([2]活动总表!$A$8:$A$429,MATCH(B192,[2]活动总表!$B$8:$B$429,0))</f>
        <v>腊八-限购礼包（15-30天）2</v>
      </c>
      <c r="B192" s="1">
        <v>406</v>
      </c>
      <c r="C192" s="1">
        <v>3</v>
      </c>
      <c r="D192" s="1">
        <v>5</v>
      </c>
      <c r="E192" s="1">
        <v>0</v>
      </c>
      <c r="F192" s="1" t="s">
        <v>706</v>
      </c>
      <c r="G192" s="1">
        <v>2888</v>
      </c>
      <c r="H192" s="1">
        <v>4900</v>
      </c>
      <c r="I192" s="1">
        <v>1</v>
      </c>
      <c r="O192" s="1">
        <v>58</v>
      </c>
      <c r="X192" s="1">
        <v>200005</v>
      </c>
      <c r="Y192" s="1" t="str">
        <f>IFERROR(INDEX([1]物品基础表!$A:$A,MATCH(X192,[1]物品基础表!$B:$B,0)),"")</f>
        <v>龙魂碎片</v>
      </c>
      <c r="Z192" s="1">
        <v>35</v>
      </c>
      <c r="AA192" s="1">
        <v>200906</v>
      </c>
      <c r="AB192" s="1" t="str">
        <f>IFERROR(INDEX([1]物品基础表!$A:$A,MATCH(AA192,[1]物品基础表!$B:$B,0)),"")</f>
        <v>神兵经验丹（1W</v>
      </c>
      <c r="AC192" s="1">
        <v>35</v>
      </c>
      <c r="AE192" s="1" t="str">
        <f>IFERROR(INDEX([1]物品基础表!$A:$A,MATCH(AD192,[1]物品基础表!$B:$B,0)),"")</f>
        <v/>
      </c>
      <c r="AH192" s="1" t="str">
        <f>IFERROR(INDEX([1]物品基础表!$A:$A,MATCH(AG192,[1]物品基础表!$B:$B,0)),"")</f>
        <v/>
      </c>
      <c r="AK192" s="1" t="str">
        <f>IFERROR(INDEX([1]物品基础表!$A:$A,MATCH(AJ192,[1]物品基础表!$B:$B,0)),"")</f>
        <v/>
      </c>
      <c r="AN192" s="1" t="str">
        <f>IFERROR(INDEX([1]物品基础表!$A:$A,MATCH(AM192,[1]物品基础表!$B:$B,0)),"")</f>
        <v/>
      </c>
      <c r="AQ192" s="1" t="str">
        <f>IFERROR(INDEX([1]物品基础表!$A:$A,MATCH(AP192,[1]物品基础表!$B:$B,0)),"")</f>
        <v/>
      </c>
    </row>
    <row r="193" spans="1:43">
      <c r="A193" s="1" t="str">
        <f>INDEX([2]活动总表!$A$8:$A$429,MATCH(B193,[2]活动总表!$B$8:$B$429,0))</f>
        <v>腊八-限购礼包（15-30天）2</v>
      </c>
      <c r="B193" s="1">
        <v>406</v>
      </c>
      <c r="C193" s="1">
        <v>4</v>
      </c>
      <c r="D193" s="1">
        <v>5</v>
      </c>
      <c r="E193" s="1">
        <v>0</v>
      </c>
      <c r="F193" s="1" t="s">
        <v>706</v>
      </c>
      <c r="G193" s="1">
        <v>8888</v>
      </c>
      <c r="H193" s="1">
        <v>14800</v>
      </c>
      <c r="I193" s="1">
        <v>3</v>
      </c>
      <c r="O193" s="1">
        <v>60</v>
      </c>
      <c r="X193" s="1">
        <v>200005</v>
      </c>
      <c r="Y193" s="1" t="str">
        <f>IFERROR(INDEX([1]物品基础表!$A:$A,MATCH(X193,[1]物品基础表!$B:$B,0)),"")</f>
        <v>龙魂碎片</v>
      </c>
      <c r="Z193" s="1">
        <v>100</v>
      </c>
      <c r="AA193" s="1">
        <v>200906</v>
      </c>
      <c r="AB193" s="1" t="str">
        <f>IFERROR(INDEX([1]物品基础表!$A:$A,MATCH(AA193,[1]物品基础表!$B:$B,0)),"")</f>
        <v>神兵经验丹（1W</v>
      </c>
      <c r="AC193" s="1">
        <v>120</v>
      </c>
      <c r="AE193" s="1" t="str">
        <f>IFERROR(INDEX([1]物品基础表!$A:$A,MATCH(AD193,[1]物品基础表!$B:$B,0)),"")</f>
        <v/>
      </c>
      <c r="AH193" s="1" t="str">
        <f>IFERROR(INDEX([1]物品基础表!$A:$A,MATCH(AG193,[1]物品基础表!$B:$B,0)),"")</f>
        <v/>
      </c>
      <c r="AK193" s="1" t="str">
        <f>IFERROR(INDEX([1]物品基础表!$A:$A,MATCH(AJ193,[1]物品基础表!$B:$B,0)),"")</f>
        <v/>
      </c>
      <c r="AN193" s="1" t="str">
        <f>IFERROR(INDEX([1]物品基础表!$A:$A,MATCH(AM193,[1]物品基础表!$B:$B,0)),"")</f>
        <v/>
      </c>
      <c r="AQ193" s="1" t="str">
        <f>IFERROR(INDEX([1]物品基础表!$A:$A,MATCH(AP193,[1]物品基础表!$B:$B,0)),"")</f>
        <v/>
      </c>
    </row>
    <row r="194" spans="1:43">
      <c r="A194" s="1" t="str">
        <f>INDEX([2]活动总表!$A$8:$A$429,MATCH(B194,[2]活动总表!$B$8:$B$429,0))</f>
        <v>腊八-限购礼包（15-30天）3</v>
      </c>
      <c r="B194" s="1">
        <v>407</v>
      </c>
      <c r="C194" s="1">
        <v>1</v>
      </c>
      <c r="D194" s="1">
        <v>5</v>
      </c>
      <c r="E194" s="1">
        <v>0</v>
      </c>
      <c r="F194" s="1" t="s">
        <v>706</v>
      </c>
      <c r="G194" s="1">
        <v>888</v>
      </c>
      <c r="H194" s="1">
        <v>1500</v>
      </c>
      <c r="I194" s="1">
        <v>1</v>
      </c>
      <c r="O194" s="1">
        <v>59</v>
      </c>
      <c r="X194" s="1">
        <v>200301</v>
      </c>
      <c r="Y194" s="1" t="str">
        <f>IFERROR(INDEX([1]物品基础表!$A:$A,MATCH(X194,[1]物品基础表!$B:$B,0)),"")</f>
        <v>传世宝钻</v>
      </c>
      <c r="Z194" s="1">
        <v>15</v>
      </c>
      <c r="AB194" s="1" t="str">
        <f>IFERROR(INDEX([1]物品基础表!$A:$A,MATCH(AA194,[1]物品基础表!$B:$B,0)),"")</f>
        <v/>
      </c>
      <c r="AE194" s="1" t="str">
        <f>IFERROR(INDEX([1]物品基础表!$A:$A,MATCH(AD194,[1]物品基础表!$B:$B,0)),"")</f>
        <v/>
      </c>
      <c r="AH194" s="1" t="str">
        <f>IFERROR(INDEX([1]物品基础表!$A:$A,MATCH(AG194,[1]物品基础表!$B:$B,0)),"")</f>
        <v/>
      </c>
      <c r="AK194" s="1" t="str">
        <f>IFERROR(INDEX([1]物品基础表!$A:$A,MATCH(AJ194,[1]物品基础表!$B:$B,0)),"")</f>
        <v/>
      </c>
      <c r="AN194" s="1" t="str">
        <f>IFERROR(INDEX([1]物品基础表!$A:$A,MATCH(AM194,[1]物品基础表!$B:$B,0)),"")</f>
        <v/>
      </c>
      <c r="AQ194" s="1" t="str">
        <f>IFERROR(INDEX([1]物品基础表!$A:$A,MATCH(AP194,[1]物品基础表!$B:$B,0)),"")</f>
        <v/>
      </c>
    </row>
    <row r="195" spans="1:43">
      <c r="A195" s="1" t="str">
        <f>INDEX([2]活动总表!$A$8:$A$429,MATCH(B195,[2]活动总表!$B$8:$B$429,0))</f>
        <v>腊八-限购礼包（15-30天）3</v>
      </c>
      <c r="B195" s="1">
        <v>407</v>
      </c>
      <c r="C195" s="1">
        <v>2</v>
      </c>
      <c r="D195" s="1">
        <v>8</v>
      </c>
      <c r="E195" s="1">
        <v>0</v>
      </c>
      <c r="F195" s="1" t="s">
        <v>706</v>
      </c>
      <c r="G195" s="1">
        <v>1588</v>
      </c>
      <c r="H195" s="1">
        <v>5000</v>
      </c>
      <c r="I195" s="1">
        <v>1</v>
      </c>
      <c r="O195" s="1">
        <v>31</v>
      </c>
      <c r="X195" s="1">
        <v>200301</v>
      </c>
      <c r="Y195" s="1" t="str">
        <f>IFERROR(INDEX([1]物品基础表!$A:$A,MATCH(X195,[1]物品基础表!$B:$B,0)),"")</f>
        <v>传世宝钻</v>
      </c>
      <c r="Z195" s="1">
        <v>50</v>
      </c>
      <c r="AB195" s="1" t="str">
        <f>IFERROR(INDEX([1]物品基础表!$A:$A,MATCH(AA195,[1]物品基础表!$B:$B,0)),"")</f>
        <v/>
      </c>
      <c r="AE195" s="1" t="str">
        <f>IFERROR(INDEX([1]物品基础表!$A:$A,MATCH(AD195,[1]物品基础表!$B:$B,0)),"")</f>
        <v/>
      </c>
      <c r="AH195" s="1" t="str">
        <f>IFERROR(INDEX([1]物品基础表!$A:$A,MATCH(AG195,[1]物品基础表!$B:$B,0)),"")</f>
        <v/>
      </c>
      <c r="AK195" s="1" t="str">
        <f>IFERROR(INDEX([1]物品基础表!$A:$A,MATCH(AJ195,[1]物品基础表!$B:$B,0)),"")</f>
        <v/>
      </c>
      <c r="AN195" s="1" t="str">
        <f>IFERROR(INDEX([1]物品基础表!$A:$A,MATCH(AM195,[1]物品基础表!$B:$B,0)),"")</f>
        <v/>
      </c>
      <c r="AQ195" s="1" t="str">
        <f>IFERROR(INDEX([1]物品基础表!$A:$A,MATCH(AP195,[1]物品基础表!$B:$B,0)),"")</f>
        <v/>
      </c>
    </row>
    <row r="196" spans="1:43">
      <c r="A196" s="1" t="str">
        <f>INDEX([2]活动总表!$A$8:$A$429,MATCH(B196,[2]活动总表!$B$8:$B$429,0))</f>
        <v>腊八-限购礼包（15-30天）3</v>
      </c>
      <c r="B196" s="1">
        <v>407</v>
      </c>
      <c r="C196" s="1">
        <v>3</v>
      </c>
      <c r="D196" s="1">
        <v>5</v>
      </c>
      <c r="E196" s="1">
        <v>0</v>
      </c>
      <c r="F196" s="1" t="s">
        <v>706</v>
      </c>
      <c r="G196" s="1">
        <v>2888</v>
      </c>
      <c r="H196" s="1">
        <v>5000</v>
      </c>
      <c r="I196" s="1">
        <v>1</v>
      </c>
      <c r="O196" s="1">
        <v>57</v>
      </c>
      <c r="X196" s="1">
        <v>200301</v>
      </c>
      <c r="Y196" s="1" t="str">
        <f>IFERROR(INDEX([1]物品基础表!$A:$A,MATCH(X196,[1]物品基础表!$B:$B,0)),"")</f>
        <v>传世宝钻</v>
      </c>
      <c r="Z196" s="1">
        <v>50</v>
      </c>
      <c r="AB196" s="1" t="str">
        <f>IFERROR(INDEX([1]物品基础表!$A:$A,MATCH(AA196,[1]物品基础表!$B:$B,0)),"")</f>
        <v/>
      </c>
      <c r="AE196" s="1" t="str">
        <f>IFERROR(INDEX([1]物品基础表!$A:$A,MATCH(AD196,[1]物品基础表!$B:$B,0)),"")</f>
        <v/>
      </c>
      <c r="AH196" s="1" t="str">
        <f>IFERROR(INDEX([1]物品基础表!$A:$A,MATCH(AG196,[1]物品基础表!$B:$B,0)),"")</f>
        <v/>
      </c>
      <c r="AK196" s="1" t="str">
        <f>IFERROR(INDEX([1]物品基础表!$A:$A,MATCH(AJ196,[1]物品基础表!$B:$B,0)),"")</f>
        <v/>
      </c>
      <c r="AN196" s="1" t="str">
        <f>IFERROR(INDEX([1]物品基础表!$A:$A,MATCH(AM196,[1]物品基础表!$B:$B,0)),"")</f>
        <v/>
      </c>
      <c r="AQ196" s="1" t="str">
        <f>IFERROR(INDEX([1]物品基础表!$A:$A,MATCH(AP196,[1]物品基础表!$B:$B,0)),"")</f>
        <v/>
      </c>
    </row>
    <row r="197" spans="1:43">
      <c r="A197" s="1" t="str">
        <f>INDEX([2]活动总表!$A$8:$A$429,MATCH(B197,[2]活动总表!$B$8:$B$429,0))</f>
        <v>腊八-限购礼包（15-30天）3</v>
      </c>
      <c r="B197" s="1">
        <v>407</v>
      </c>
      <c r="C197" s="1">
        <v>4</v>
      </c>
      <c r="D197" s="1">
        <v>5</v>
      </c>
      <c r="E197" s="1">
        <v>0</v>
      </c>
      <c r="F197" s="1" t="s">
        <v>706</v>
      </c>
      <c r="G197" s="1">
        <v>8888</v>
      </c>
      <c r="H197" s="1">
        <v>15000</v>
      </c>
      <c r="I197" s="1">
        <v>3</v>
      </c>
      <c r="O197" s="1">
        <v>59</v>
      </c>
      <c r="X197" s="1">
        <v>200301</v>
      </c>
      <c r="Y197" s="1" t="str">
        <f>IFERROR(INDEX([1]物品基础表!$A:$A,MATCH(X197,[1]物品基础表!$B:$B,0)),"")</f>
        <v>传世宝钻</v>
      </c>
      <c r="Z197" s="1">
        <v>150</v>
      </c>
      <c r="AB197" s="1" t="str">
        <f>IFERROR(INDEX([1]物品基础表!$A:$A,MATCH(AA197,[1]物品基础表!$B:$B,0)),"")</f>
        <v/>
      </c>
      <c r="AE197" s="1" t="str">
        <f>IFERROR(INDEX([1]物品基础表!$A:$A,MATCH(AD197,[1]物品基础表!$B:$B,0)),"")</f>
        <v/>
      </c>
      <c r="AH197" s="1" t="str">
        <f>IFERROR(INDEX([1]物品基础表!$A:$A,MATCH(AG197,[1]物品基础表!$B:$B,0)),"")</f>
        <v/>
      </c>
      <c r="AK197" s="1" t="str">
        <f>IFERROR(INDEX([1]物品基础表!$A:$A,MATCH(AJ197,[1]物品基础表!$B:$B,0)),"")</f>
        <v/>
      </c>
      <c r="AN197" s="1" t="str">
        <f>IFERROR(INDEX([1]物品基础表!$A:$A,MATCH(AM197,[1]物品基础表!$B:$B,0)),"")</f>
        <v/>
      </c>
      <c r="AQ197" s="1" t="str">
        <f>IFERROR(INDEX([1]物品基础表!$A:$A,MATCH(AP197,[1]物品基础表!$B:$B,0)),"")</f>
        <v/>
      </c>
    </row>
    <row r="198" spans="1:43">
      <c r="A198" s="1" t="str">
        <f>INDEX([2]活动总表!$A$8:$A$429,MATCH(B198,[2]活动总表!$B$8:$B$429,0))</f>
        <v>腊八-限购礼包（15-30天）4</v>
      </c>
      <c r="B198" s="1">
        <v>408</v>
      </c>
      <c r="C198" s="1">
        <v>1</v>
      </c>
      <c r="D198" s="1">
        <v>5</v>
      </c>
      <c r="E198" s="1">
        <v>0</v>
      </c>
      <c r="F198" s="1" t="s">
        <v>706</v>
      </c>
      <c r="G198" s="1">
        <v>888</v>
      </c>
      <c r="H198" s="1">
        <v>1500</v>
      </c>
      <c r="I198" s="1">
        <v>1</v>
      </c>
      <c r="O198" s="1">
        <v>59</v>
      </c>
      <c r="X198" s="1">
        <v>200015</v>
      </c>
      <c r="Y198" s="1" t="str">
        <f>IFERROR(INDEX([1]物品基础表!$A:$A,MATCH(X198,[1]物品基础表!$B:$B,0)),"")</f>
        <v>特戒碎片</v>
      </c>
      <c r="Z198" s="1">
        <v>150</v>
      </c>
      <c r="AB198" s="1" t="str">
        <f>IFERROR(INDEX([1]物品基础表!$A:$A,MATCH(AA198,[1]物品基础表!$B:$B,0)),"")</f>
        <v/>
      </c>
      <c r="AE198" s="1" t="str">
        <f>IFERROR(INDEX([1]物品基础表!$A:$A,MATCH(AD198,[1]物品基础表!$B:$B,0)),"")</f>
        <v/>
      </c>
      <c r="AH198" s="1" t="str">
        <f>IFERROR(INDEX([1]物品基础表!$A:$A,MATCH(AG198,[1]物品基础表!$B:$B,0)),"")</f>
        <v/>
      </c>
      <c r="AK198" s="1" t="str">
        <f>IFERROR(INDEX([1]物品基础表!$A:$A,MATCH(AJ198,[1]物品基础表!$B:$B,0)),"")</f>
        <v/>
      </c>
      <c r="AN198" s="1" t="str">
        <f>IFERROR(INDEX([1]物品基础表!$A:$A,MATCH(AM198,[1]物品基础表!$B:$B,0)),"")</f>
        <v/>
      </c>
      <c r="AQ198" s="1" t="str">
        <f>IFERROR(INDEX([1]物品基础表!$A:$A,MATCH(AP198,[1]物品基础表!$B:$B,0)),"")</f>
        <v/>
      </c>
    </row>
    <row r="199" spans="1:43">
      <c r="A199" s="1" t="str">
        <f>INDEX([2]活动总表!$A$8:$A$429,MATCH(B199,[2]活动总表!$B$8:$B$429,0))</f>
        <v>腊八-限购礼包（15-30天）4</v>
      </c>
      <c r="B199" s="1">
        <v>408</v>
      </c>
      <c r="C199" s="1">
        <v>2</v>
      </c>
      <c r="D199" s="1">
        <v>8</v>
      </c>
      <c r="E199" s="1">
        <v>0</v>
      </c>
      <c r="F199" s="1" t="s">
        <v>706</v>
      </c>
      <c r="G199" s="1">
        <v>1588</v>
      </c>
      <c r="H199" s="1">
        <v>5000</v>
      </c>
      <c r="I199" s="1">
        <v>1</v>
      </c>
      <c r="O199" s="1">
        <v>31</v>
      </c>
      <c r="X199" s="1">
        <v>200015</v>
      </c>
      <c r="Y199" s="1" t="str">
        <f>IFERROR(INDEX([1]物品基础表!$A:$A,MATCH(X199,[1]物品基础表!$B:$B,0)),"")</f>
        <v>特戒碎片</v>
      </c>
      <c r="Z199" s="1">
        <v>500</v>
      </c>
      <c r="AB199" s="1" t="str">
        <f>IFERROR(INDEX([1]物品基础表!$A:$A,MATCH(AA199,[1]物品基础表!$B:$B,0)),"")</f>
        <v/>
      </c>
      <c r="AE199" s="1" t="str">
        <f>IFERROR(INDEX([1]物品基础表!$A:$A,MATCH(AD199,[1]物品基础表!$B:$B,0)),"")</f>
        <v/>
      </c>
      <c r="AH199" s="1" t="str">
        <f>IFERROR(INDEX([1]物品基础表!$A:$A,MATCH(AG199,[1]物品基础表!$B:$B,0)),"")</f>
        <v/>
      </c>
      <c r="AK199" s="1" t="str">
        <f>IFERROR(INDEX([1]物品基础表!$A:$A,MATCH(AJ199,[1]物品基础表!$B:$B,0)),"")</f>
        <v/>
      </c>
      <c r="AN199" s="1" t="str">
        <f>IFERROR(INDEX([1]物品基础表!$A:$A,MATCH(AM199,[1]物品基础表!$B:$B,0)),"")</f>
        <v/>
      </c>
      <c r="AQ199" s="1" t="str">
        <f>IFERROR(INDEX([1]物品基础表!$A:$A,MATCH(AP199,[1]物品基础表!$B:$B,0)),"")</f>
        <v/>
      </c>
    </row>
    <row r="200" spans="1:43">
      <c r="A200" s="1" t="str">
        <f>INDEX([2]活动总表!$A$8:$A$429,MATCH(B200,[2]活动总表!$B$8:$B$429,0))</f>
        <v>腊八-限购礼包（15-30天）4</v>
      </c>
      <c r="B200" s="1">
        <v>408</v>
      </c>
      <c r="C200" s="1">
        <v>3</v>
      </c>
      <c r="D200" s="1">
        <v>5</v>
      </c>
      <c r="E200" s="1">
        <v>0</v>
      </c>
      <c r="F200" s="1" t="s">
        <v>706</v>
      </c>
      <c r="G200" s="1">
        <v>2888</v>
      </c>
      <c r="H200" s="1">
        <v>5000</v>
      </c>
      <c r="I200" s="1">
        <v>1</v>
      </c>
      <c r="O200" s="1">
        <v>57</v>
      </c>
      <c r="X200" s="1">
        <v>200015</v>
      </c>
      <c r="Y200" s="1" t="str">
        <f>IFERROR(INDEX([1]物品基础表!$A:$A,MATCH(X200,[1]物品基础表!$B:$B,0)),"")</f>
        <v>特戒碎片</v>
      </c>
      <c r="Z200" s="1">
        <v>500</v>
      </c>
      <c r="AB200" s="1" t="str">
        <f>IFERROR(INDEX([1]物品基础表!$A:$A,MATCH(AA200,[1]物品基础表!$B:$B,0)),"")</f>
        <v/>
      </c>
      <c r="AE200" s="1" t="str">
        <f>IFERROR(INDEX([1]物品基础表!$A:$A,MATCH(AD200,[1]物品基础表!$B:$B,0)),"")</f>
        <v/>
      </c>
      <c r="AH200" s="1" t="str">
        <f>IFERROR(INDEX([1]物品基础表!$A:$A,MATCH(AG200,[1]物品基础表!$B:$B,0)),"")</f>
        <v/>
      </c>
      <c r="AK200" s="1" t="str">
        <f>IFERROR(INDEX([1]物品基础表!$A:$A,MATCH(AJ200,[1]物品基础表!$B:$B,0)),"")</f>
        <v/>
      </c>
      <c r="AN200" s="1" t="str">
        <f>IFERROR(INDEX([1]物品基础表!$A:$A,MATCH(AM200,[1]物品基础表!$B:$B,0)),"")</f>
        <v/>
      </c>
      <c r="AQ200" s="1" t="str">
        <f>IFERROR(INDEX([1]物品基础表!$A:$A,MATCH(AP200,[1]物品基础表!$B:$B,0)),"")</f>
        <v/>
      </c>
    </row>
    <row r="201" spans="1:43">
      <c r="A201" s="1" t="str">
        <f>INDEX([2]活动总表!$A$8:$A$429,MATCH(B201,[2]活动总表!$B$8:$B$429,0))</f>
        <v>腊八-限购礼包（15-30天）4</v>
      </c>
      <c r="B201" s="1">
        <v>408</v>
      </c>
      <c r="C201" s="1">
        <v>4</v>
      </c>
      <c r="D201" s="1">
        <v>5</v>
      </c>
      <c r="E201" s="1">
        <v>0</v>
      </c>
      <c r="F201" s="1" t="s">
        <v>706</v>
      </c>
      <c r="G201" s="1">
        <v>8888</v>
      </c>
      <c r="H201" s="1">
        <v>15000</v>
      </c>
      <c r="I201" s="1">
        <v>3</v>
      </c>
      <c r="O201" s="1">
        <v>59</v>
      </c>
      <c r="X201" s="1">
        <v>200015</v>
      </c>
      <c r="Y201" s="1" t="str">
        <f>IFERROR(INDEX([1]物品基础表!$A:$A,MATCH(X201,[1]物品基础表!$B:$B,0)),"")</f>
        <v>特戒碎片</v>
      </c>
      <c r="Z201" s="1">
        <v>1500</v>
      </c>
      <c r="AB201" s="1" t="str">
        <f>IFERROR(INDEX([1]物品基础表!$A:$A,MATCH(AA201,[1]物品基础表!$B:$B,0)),"")</f>
        <v/>
      </c>
      <c r="AE201" s="1" t="str">
        <f>IFERROR(INDEX([1]物品基础表!$A:$A,MATCH(AD201,[1]物品基础表!$B:$B,0)),"")</f>
        <v/>
      </c>
      <c r="AH201" s="1" t="str">
        <f>IFERROR(INDEX([1]物品基础表!$A:$A,MATCH(AG201,[1]物品基础表!$B:$B,0)),"")</f>
        <v/>
      </c>
      <c r="AK201" s="1" t="str">
        <f>IFERROR(INDEX([1]物品基础表!$A:$A,MATCH(AJ201,[1]物品基础表!$B:$B,0)),"")</f>
        <v/>
      </c>
      <c r="AN201" s="1" t="str">
        <f>IFERROR(INDEX([1]物品基础表!$A:$A,MATCH(AM201,[1]物品基础表!$B:$B,0)),"")</f>
        <v/>
      </c>
      <c r="AQ201" s="1" t="str">
        <f>IFERROR(INDEX([1]物品基础表!$A:$A,MATCH(AP201,[1]物品基础表!$B:$B,0)),"")</f>
        <v/>
      </c>
    </row>
    <row r="202" spans="1:43">
      <c r="A202" s="1" t="str">
        <f>INDEX([2]活动总表!$A$8:$A$429,MATCH(B202,[2]活动总表!$B$8:$B$429,0))</f>
        <v>腊八-限购礼包（15-30天）5</v>
      </c>
      <c r="B202" s="1">
        <v>409</v>
      </c>
      <c r="C202" s="1">
        <v>1</v>
      </c>
      <c r="D202" s="1">
        <v>5</v>
      </c>
      <c r="E202" s="1">
        <v>0</v>
      </c>
      <c r="F202" s="1" t="s">
        <v>706</v>
      </c>
      <c r="G202" s="1">
        <v>888</v>
      </c>
      <c r="H202" s="1">
        <v>1500</v>
      </c>
      <c r="I202" s="1">
        <v>1</v>
      </c>
      <c r="O202" s="1">
        <v>59</v>
      </c>
      <c r="X202" s="1">
        <v>200001</v>
      </c>
      <c r="Y202" s="1" t="str">
        <f>IFERROR(INDEX([1]物品基础表!$A:$A,MATCH(X202,[1]物品基础表!$B:$B,0)),"")</f>
        <v>羽毛</v>
      </c>
      <c r="Z202" s="1">
        <v>15</v>
      </c>
      <c r="AB202" s="1" t="str">
        <f>IFERROR(INDEX([1]物品基础表!$A:$A,MATCH(AA202,[1]物品基础表!$B:$B,0)),"")</f>
        <v/>
      </c>
      <c r="AE202" s="1" t="str">
        <f>IFERROR(INDEX([1]物品基础表!$A:$A,MATCH(AD202,[1]物品基础表!$B:$B,0)),"")</f>
        <v/>
      </c>
      <c r="AH202" s="1" t="str">
        <f>IFERROR(INDEX([1]物品基础表!$A:$A,MATCH(AG202,[1]物品基础表!$B:$B,0)),"")</f>
        <v/>
      </c>
      <c r="AK202" s="1" t="str">
        <f>IFERROR(INDEX([1]物品基础表!$A:$A,MATCH(AJ202,[1]物品基础表!$B:$B,0)),"")</f>
        <v/>
      </c>
      <c r="AN202" s="1" t="str">
        <f>IFERROR(INDEX([1]物品基础表!$A:$A,MATCH(AM202,[1]物品基础表!$B:$B,0)),"")</f>
        <v/>
      </c>
      <c r="AQ202" s="1" t="str">
        <f>IFERROR(INDEX([1]物品基础表!$A:$A,MATCH(AP202,[1]物品基础表!$B:$B,0)),"")</f>
        <v/>
      </c>
    </row>
    <row r="203" spans="1:43">
      <c r="A203" s="1" t="str">
        <f>INDEX([2]活动总表!$A$8:$A$429,MATCH(B203,[2]活动总表!$B$8:$B$429,0))</f>
        <v>腊八-限购礼包（15-30天）5</v>
      </c>
      <c r="B203" s="1">
        <v>409</v>
      </c>
      <c r="C203" s="1">
        <v>2</v>
      </c>
      <c r="D203" s="1">
        <v>9</v>
      </c>
      <c r="E203" s="1">
        <v>0</v>
      </c>
      <c r="F203" s="1" t="s">
        <v>706</v>
      </c>
      <c r="G203" s="1">
        <v>1588</v>
      </c>
      <c r="H203" s="1">
        <v>5000</v>
      </c>
      <c r="I203" s="1">
        <v>1</v>
      </c>
      <c r="O203" s="1">
        <v>31</v>
      </c>
      <c r="X203" s="1">
        <v>200001</v>
      </c>
      <c r="Y203" s="1" t="str">
        <f>IFERROR(INDEX([1]物品基础表!$A:$A,MATCH(X203,[1]物品基础表!$B:$B,0)),"")</f>
        <v>羽毛</v>
      </c>
      <c r="Z203" s="1">
        <v>50</v>
      </c>
      <c r="AB203" s="1" t="str">
        <f>IFERROR(INDEX([1]物品基础表!$A:$A,MATCH(AA203,[1]物品基础表!$B:$B,0)),"")</f>
        <v/>
      </c>
      <c r="AE203" s="1" t="str">
        <f>IFERROR(INDEX([1]物品基础表!$A:$A,MATCH(AD203,[1]物品基础表!$B:$B,0)),"")</f>
        <v/>
      </c>
      <c r="AH203" s="1" t="str">
        <f>IFERROR(INDEX([1]物品基础表!$A:$A,MATCH(AG203,[1]物品基础表!$B:$B,0)),"")</f>
        <v/>
      </c>
      <c r="AK203" s="1" t="str">
        <f>IFERROR(INDEX([1]物品基础表!$A:$A,MATCH(AJ203,[1]物品基础表!$B:$B,0)),"")</f>
        <v/>
      </c>
      <c r="AN203" s="1" t="str">
        <f>IFERROR(INDEX([1]物品基础表!$A:$A,MATCH(AM203,[1]物品基础表!$B:$B,0)),"")</f>
        <v/>
      </c>
      <c r="AQ203" s="1" t="str">
        <f>IFERROR(INDEX([1]物品基础表!$A:$A,MATCH(AP203,[1]物品基础表!$B:$B,0)),"")</f>
        <v/>
      </c>
    </row>
    <row r="204" spans="1:43">
      <c r="A204" s="1" t="str">
        <f>INDEX([2]活动总表!$A$8:$A$429,MATCH(B204,[2]活动总表!$B$8:$B$429,0))</f>
        <v>腊八-限购礼包（15-30天）5</v>
      </c>
      <c r="B204" s="1">
        <v>409</v>
      </c>
      <c r="C204" s="1">
        <v>3</v>
      </c>
      <c r="D204" s="1">
        <v>5</v>
      </c>
      <c r="E204" s="1">
        <v>0</v>
      </c>
      <c r="F204" s="1" t="s">
        <v>706</v>
      </c>
      <c r="G204" s="1">
        <v>2888</v>
      </c>
      <c r="H204" s="1">
        <v>5000</v>
      </c>
      <c r="I204" s="1">
        <v>1</v>
      </c>
      <c r="O204" s="1">
        <v>57</v>
      </c>
      <c r="X204" s="1">
        <v>200001</v>
      </c>
      <c r="Y204" s="1" t="str">
        <f>IFERROR(INDEX([1]物品基础表!$A:$A,MATCH(X204,[1]物品基础表!$B:$B,0)),"")</f>
        <v>羽毛</v>
      </c>
      <c r="Z204" s="1">
        <v>50</v>
      </c>
      <c r="AB204" s="1" t="str">
        <f>IFERROR(INDEX([1]物品基础表!$A:$A,MATCH(AA204,[1]物品基础表!$B:$B,0)),"")</f>
        <v/>
      </c>
      <c r="AE204" s="1" t="str">
        <f>IFERROR(INDEX([1]物品基础表!$A:$A,MATCH(AD204,[1]物品基础表!$B:$B,0)),"")</f>
        <v/>
      </c>
      <c r="AH204" s="1" t="str">
        <f>IFERROR(INDEX([1]物品基础表!$A:$A,MATCH(AG204,[1]物品基础表!$B:$B,0)),"")</f>
        <v/>
      </c>
      <c r="AK204" s="1" t="str">
        <f>IFERROR(INDEX([1]物品基础表!$A:$A,MATCH(AJ204,[1]物品基础表!$B:$B,0)),"")</f>
        <v/>
      </c>
      <c r="AN204" s="1" t="str">
        <f>IFERROR(INDEX([1]物品基础表!$A:$A,MATCH(AM204,[1]物品基础表!$B:$B,0)),"")</f>
        <v/>
      </c>
      <c r="AQ204" s="1" t="str">
        <f>IFERROR(INDEX([1]物品基础表!$A:$A,MATCH(AP204,[1]物品基础表!$B:$B,0)),"")</f>
        <v/>
      </c>
    </row>
    <row r="205" spans="1:43">
      <c r="A205" s="1" t="str">
        <f>INDEX([2]活动总表!$A$8:$A$429,MATCH(B205,[2]活动总表!$B$8:$B$429,0))</f>
        <v>腊八-限购礼包（15-30天）5</v>
      </c>
      <c r="B205" s="1">
        <v>409</v>
      </c>
      <c r="C205" s="1">
        <v>4</v>
      </c>
      <c r="D205" s="1">
        <v>5</v>
      </c>
      <c r="E205" s="1">
        <v>0</v>
      </c>
      <c r="F205" s="1" t="s">
        <v>706</v>
      </c>
      <c r="G205" s="1">
        <v>8888</v>
      </c>
      <c r="H205" s="1">
        <v>15000</v>
      </c>
      <c r="I205" s="1">
        <v>3</v>
      </c>
      <c r="O205" s="1">
        <v>59</v>
      </c>
      <c r="X205" s="1">
        <v>200001</v>
      </c>
      <c r="Y205" s="1" t="str">
        <f>IFERROR(INDEX([1]物品基础表!$A:$A,MATCH(X205,[1]物品基础表!$B:$B,0)),"")</f>
        <v>羽毛</v>
      </c>
      <c r="Z205" s="1">
        <v>150</v>
      </c>
      <c r="AB205" s="1" t="str">
        <f>IFERROR(INDEX([1]物品基础表!$A:$A,MATCH(AA205,[1]物品基础表!$B:$B,0)),"")</f>
        <v/>
      </c>
      <c r="AE205" s="1" t="str">
        <f>IFERROR(INDEX([1]物品基础表!$A:$A,MATCH(AD205,[1]物品基础表!$B:$B,0)),"")</f>
        <v/>
      </c>
      <c r="AH205" s="1" t="str">
        <f>IFERROR(INDEX([1]物品基础表!$A:$A,MATCH(AG205,[1]物品基础表!$B:$B,0)),"")</f>
        <v/>
      </c>
      <c r="AK205" s="1" t="str">
        <f>IFERROR(INDEX([1]物品基础表!$A:$A,MATCH(AJ205,[1]物品基础表!$B:$B,0)),"")</f>
        <v/>
      </c>
      <c r="AN205" s="1" t="str">
        <f>IFERROR(INDEX([1]物品基础表!$A:$A,MATCH(AM205,[1]物品基础表!$B:$B,0)),"")</f>
        <v/>
      </c>
      <c r="AQ205" s="1" t="str">
        <f>IFERROR(INDEX([1]物品基础表!$A:$A,MATCH(AP205,[1]物品基础表!$B:$B,0)),"")</f>
        <v/>
      </c>
    </row>
    <row r="206" spans="1:43">
      <c r="A206" s="1" t="str">
        <f>INDEX([2]活动总表!$A$8:$A$429,MATCH(B206,[2]活动总表!$B$8:$B$429,0))</f>
        <v>腊八-限购礼包（31-60天）1</v>
      </c>
      <c r="B206" s="1">
        <v>412</v>
      </c>
      <c r="C206" s="1">
        <v>1</v>
      </c>
      <c r="D206" s="1">
        <v>5</v>
      </c>
      <c r="E206" s="1">
        <v>0</v>
      </c>
      <c r="F206" s="1" t="s">
        <v>706</v>
      </c>
      <c r="G206" s="1">
        <v>888</v>
      </c>
      <c r="H206" s="1">
        <v>1500</v>
      </c>
      <c r="I206" s="1">
        <v>1</v>
      </c>
      <c r="O206" s="1">
        <v>59</v>
      </c>
      <c r="X206" s="1">
        <v>200003</v>
      </c>
      <c r="Y206" s="1" t="str">
        <f>IFERROR(INDEX([1]物品基础表!$A:$A,MATCH(X206,[1]物品基础表!$B:$B,0)),"")</f>
        <v>铸造晶石</v>
      </c>
      <c r="Z206" s="1">
        <v>30</v>
      </c>
      <c r="AB206" s="1" t="str">
        <f>IFERROR(INDEX([1]物品基础表!$A:$A,MATCH(AA206,[1]物品基础表!$B:$B,0)),"")</f>
        <v/>
      </c>
      <c r="AE206" s="1" t="str">
        <f>IFERROR(INDEX([1]物品基础表!$A:$A,MATCH(AD206,[1]物品基础表!$B:$B,0)),"")</f>
        <v/>
      </c>
      <c r="AH206" s="1" t="str">
        <f>IFERROR(INDEX([1]物品基础表!$A:$A,MATCH(AG206,[1]物品基础表!$B:$B,0)),"")</f>
        <v/>
      </c>
      <c r="AK206" s="1" t="str">
        <f>IFERROR(INDEX([1]物品基础表!$A:$A,MATCH(AJ206,[1]物品基础表!$B:$B,0)),"")</f>
        <v/>
      </c>
      <c r="AN206" s="1" t="str">
        <f>IFERROR(INDEX([1]物品基础表!$A:$A,MATCH(AM206,[1]物品基础表!$B:$B,0)),"")</f>
        <v/>
      </c>
      <c r="AQ206" s="1" t="str">
        <f>IFERROR(INDEX([1]物品基础表!$A:$A,MATCH(AP206,[1]物品基础表!$B:$B,0)),"")</f>
        <v/>
      </c>
    </row>
    <row r="207" spans="1:43">
      <c r="A207" s="1" t="str">
        <f>INDEX([2]活动总表!$A$8:$A$429,MATCH(B207,[2]活动总表!$B$8:$B$429,0))</f>
        <v>腊八-限购礼包（31-60天）1</v>
      </c>
      <c r="B207" s="1">
        <v>412</v>
      </c>
      <c r="C207" s="1">
        <v>2</v>
      </c>
      <c r="D207" s="1">
        <v>7</v>
      </c>
      <c r="E207" s="1">
        <v>0</v>
      </c>
      <c r="F207" s="1" t="s">
        <v>706</v>
      </c>
      <c r="G207" s="1">
        <v>1588</v>
      </c>
      <c r="H207" s="1">
        <v>5000</v>
      </c>
      <c r="I207" s="1">
        <v>1</v>
      </c>
      <c r="O207" s="1">
        <v>31</v>
      </c>
      <c r="X207" s="1">
        <v>200003</v>
      </c>
      <c r="Y207" s="1" t="str">
        <f>IFERROR(INDEX([1]物品基础表!$A:$A,MATCH(X207,[1]物品基础表!$B:$B,0)),"")</f>
        <v>铸造晶石</v>
      </c>
      <c r="Z207" s="1">
        <v>100</v>
      </c>
      <c r="AB207" s="1" t="str">
        <f>IFERROR(INDEX([1]物品基础表!$A:$A,MATCH(AA207,[1]物品基础表!$B:$B,0)),"")</f>
        <v/>
      </c>
      <c r="AE207" s="1" t="str">
        <f>IFERROR(INDEX([1]物品基础表!$A:$A,MATCH(AD207,[1]物品基础表!$B:$B,0)),"")</f>
        <v/>
      </c>
      <c r="AH207" s="1" t="str">
        <f>IFERROR(INDEX([1]物品基础表!$A:$A,MATCH(AG207,[1]物品基础表!$B:$B,0)),"")</f>
        <v/>
      </c>
      <c r="AK207" s="1" t="str">
        <f>IFERROR(INDEX([1]物品基础表!$A:$A,MATCH(AJ207,[1]物品基础表!$B:$B,0)),"")</f>
        <v/>
      </c>
      <c r="AN207" s="1" t="str">
        <f>IFERROR(INDEX([1]物品基础表!$A:$A,MATCH(AM207,[1]物品基础表!$B:$B,0)),"")</f>
        <v/>
      </c>
      <c r="AQ207" s="1" t="str">
        <f>IFERROR(INDEX([1]物品基础表!$A:$A,MATCH(AP207,[1]物品基础表!$B:$B,0)),"")</f>
        <v/>
      </c>
    </row>
    <row r="208" spans="1:43">
      <c r="A208" s="1" t="str">
        <f>INDEX([2]活动总表!$A$8:$A$429,MATCH(B208,[2]活动总表!$B$8:$B$429,0))</f>
        <v>腊八-限购礼包（31-60天）1</v>
      </c>
      <c r="B208" s="1">
        <v>412</v>
      </c>
      <c r="C208" s="1">
        <v>3</v>
      </c>
      <c r="D208" s="1">
        <v>7</v>
      </c>
      <c r="E208" s="1">
        <v>0</v>
      </c>
      <c r="F208" s="1" t="s">
        <v>706</v>
      </c>
      <c r="G208" s="1">
        <v>2888</v>
      </c>
      <c r="H208" s="1">
        <v>9000</v>
      </c>
      <c r="I208" s="1">
        <v>1</v>
      </c>
      <c r="O208" s="1">
        <v>32</v>
      </c>
      <c r="X208" s="1">
        <v>200003</v>
      </c>
      <c r="Y208" s="1" t="str">
        <f>IFERROR(INDEX([1]物品基础表!$A:$A,MATCH(X208,[1]物品基础表!$B:$B,0)),"")</f>
        <v>铸造晶石</v>
      </c>
      <c r="Z208" s="1">
        <v>100</v>
      </c>
      <c r="AA208" s="1">
        <v>500005</v>
      </c>
      <c r="AB208" s="1" t="str">
        <f>IFERROR(INDEX([1]物品基础表!$A:$A,MATCH(AA208,[1]物品基础表!$B:$B,0)),"")</f>
        <v>战纹精华-红</v>
      </c>
      <c r="AC208" s="1">
        <v>8</v>
      </c>
      <c r="AH208" s="1" t="str">
        <f>IFERROR(INDEX([1]物品基础表!$A:$A,MATCH(AG208,[1]物品基础表!$B:$B,0)),"")</f>
        <v/>
      </c>
      <c r="AK208" s="1" t="str">
        <f>IFERROR(INDEX([1]物品基础表!$A:$A,MATCH(AJ208,[1]物品基础表!$B:$B,0)),"")</f>
        <v/>
      </c>
      <c r="AN208" s="1" t="str">
        <f>IFERROR(INDEX([1]物品基础表!$A:$A,MATCH(AM208,[1]物品基础表!$B:$B,0)),"")</f>
        <v/>
      </c>
      <c r="AQ208" s="1" t="str">
        <f>IFERROR(INDEX([1]物品基础表!$A:$A,MATCH(AP208,[1]物品基础表!$B:$B,0)),"")</f>
        <v/>
      </c>
    </row>
    <row r="209" spans="1:43">
      <c r="A209" s="1" t="str">
        <f>INDEX([2]活动总表!$A$8:$A$429,MATCH(B209,[2]活动总表!$B$8:$B$429,0))</f>
        <v>腊八-限购礼包（31-60天）1</v>
      </c>
      <c r="B209" s="1">
        <v>412</v>
      </c>
      <c r="C209" s="1">
        <v>4</v>
      </c>
      <c r="D209" s="1">
        <v>5</v>
      </c>
      <c r="E209" s="1">
        <v>0</v>
      </c>
      <c r="F209" s="1" t="s">
        <v>706</v>
      </c>
      <c r="G209" s="1">
        <v>2888</v>
      </c>
      <c r="H209" s="1">
        <v>5000</v>
      </c>
      <c r="I209" s="1">
        <v>1</v>
      </c>
      <c r="O209" s="1">
        <v>57</v>
      </c>
      <c r="X209" s="1">
        <v>200003</v>
      </c>
      <c r="Y209" s="1" t="str">
        <f>IFERROR(INDEX([1]物品基础表!$A:$A,MATCH(X209,[1]物品基础表!$B:$B,0)),"")</f>
        <v>铸造晶石</v>
      </c>
      <c r="Z209" s="1">
        <v>100</v>
      </c>
      <c r="AB209" s="1" t="str">
        <f>IFERROR(INDEX([1]物品基础表!$A:$A,MATCH(AA209,[1]物品基础表!$B:$B,0)),"")</f>
        <v/>
      </c>
      <c r="AE209" s="1" t="str">
        <f>IFERROR(INDEX([1]物品基础表!$A:$A,MATCH(AD209,[1]物品基础表!$B:$B,0)),"")</f>
        <v/>
      </c>
      <c r="AH209" s="1" t="str">
        <f>IFERROR(INDEX([1]物品基础表!$A:$A,MATCH(AG209,[1]物品基础表!$B:$B,0)),"")</f>
        <v/>
      </c>
      <c r="AK209" s="1" t="str">
        <f>IFERROR(INDEX([1]物品基础表!$A:$A,MATCH(AJ209,[1]物品基础表!$B:$B,0)),"")</f>
        <v/>
      </c>
      <c r="AN209" s="1" t="str">
        <f>IFERROR(INDEX([1]物品基础表!$A:$A,MATCH(AM209,[1]物品基础表!$B:$B,0)),"")</f>
        <v/>
      </c>
      <c r="AQ209" s="1" t="str">
        <f>IFERROR(INDEX([1]物品基础表!$A:$A,MATCH(AP209,[1]物品基础表!$B:$B,0)),"")</f>
        <v/>
      </c>
    </row>
    <row r="210" spans="1:43">
      <c r="A210" s="1" t="str">
        <f>INDEX([2]活动总表!$A$8:$A$429,MATCH(B210,[2]活动总表!$B$8:$B$429,0))</f>
        <v>腊八-限购礼包（31-60天）1</v>
      </c>
      <c r="B210" s="1">
        <v>412</v>
      </c>
      <c r="C210" s="1">
        <v>5</v>
      </c>
      <c r="D210" s="1">
        <v>5</v>
      </c>
      <c r="E210" s="1">
        <v>0</v>
      </c>
      <c r="F210" s="1" t="s">
        <v>706</v>
      </c>
      <c r="G210" s="1">
        <v>8888</v>
      </c>
      <c r="H210" s="1">
        <v>15000</v>
      </c>
      <c r="I210" s="1">
        <v>3</v>
      </c>
      <c r="O210" s="1">
        <v>59</v>
      </c>
      <c r="X210" s="1">
        <v>200003</v>
      </c>
      <c r="Y210" s="1" t="str">
        <f>IFERROR(INDEX([1]物品基础表!$A:$A,MATCH(X210,[1]物品基础表!$B:$B,0)),"")</f>
        <v>铸造晶石</v>
      </c>
      <c r="Z210" s="1">
        <v>300</v>
      </c>
      <c r="AB210" s="1" t="str">
        <f>IFERROR(INDEX([1]物品基础表!$A:$A,MATCH(AA210,[1]物品基础表!$B:$B,0)),"")</f>
        <v/>
      </c>
      <c r="AE210" s="1" t="str">
        <f>IFERROR(INDEX([1]物品基础表!$A:$A,MATCH(AD210,[1]物品基础表!$B:$B,0)),"")</f>
        <v/>
      </c>
      <c r="AH210" s="1" t="str">
        <f>IFERROR(INDEX([1]物品基础表!$A:$A,MATCH(AG210,[1]物品基础表!$B:$B,0)),"")</f>
        <v/>
      </c>
      <c r="AK210" s="1" t="str">
        <f>IFERROR(INDEX([1]物品基础表!$A:$A,MATCH(AJ210,[1]物品基础表!$B:$B,0)),"")</f>
        <v/>
      </c>
      <c r="AN210" s="1" t="str">
        <f>IFERROR(INDEX([1]物品基础表!$A:$A,MATCH(AM210,[1]物品基础表!$B:$B,0)),"")</f>
        <v/>
      </c>
      <c r="AQ210" s="1" t="str">
        <f>IFERROR(INDEX([1]物品基础表!$A:$A,MATCH(AP210,[1]物品基础表!$B:$B,0)),"")</f>
        <v/>
      </c>
    </row>
    <row r="211" spans="1:43">
      <c r="A211" s="1" t="str">
        <f>INDEX([2]活动总表!$A$8:$A$429,MATCH(B211,[2]活动总表!$B$8:$B$429,0))</f>
        <v>腊八-限购礼包（31-60天）2</v>
      </c>
      <c r="B211" s="1">
        <v>413</v>
      </c>
      <c r="C211" s="1">
        <v>1</v>
      </c>
      <c r="D211" s="1">
        <v>5</v>
      </c>
      <c r="E211" s="1">
        <v>0</v>
      </c>
      <c r="F211" s="1" t="s">
        <v>706</v>
      </c>
      <c r="G211" s="1">
        <v>888</v>
      </c>
      <c r="H211" s="1">
        <v>1480</v>
      </c>
      <c r="I211" s="1">
        <v>1</v>
      </c>
      <c r="O211" s="1">
        <v>60</v>
      </c>
      <c r="X211" s="1">
        <v>200005</v>
      </c>
      <c r="Y211" s="1" t="str">
        <f>IFERROR(INDEX([1]物品基础表!$A:$A,MATCH(X211,[1]物品基础表!$B:$B,0)),"")</f>
        <v>龙魂碎片</v>
      </c>
      <c r="Z211" s="1">
        <v>10</v>
      </c>
      <c r="AA211" s="1">
        <v>200906</v>
      </c>
      <c r="AB211" s="1" t="str">
        <f>IFERROR(INDEX([1]物品基础表!$A:$A,MATCH(AA211,[1]物品基础表!$B:$B,0)),"")</f>
        <v>神兵经验丹（1W</v>
      </c>
      <c r="AC211" s="1">
        <v>12</v>
      </c>
      <c r="AE211" s="1" t="str">
        <f>IFERROR(INDEX([1]物品基础表!$A:$A,MATCH(AD211,[1]物品基础表!$B:$B,0)),"")</f>
        <v/>
      </c>
      <c r="AH211" s="1" t="str">
        <f>IFERROR(INDEX([1]物品基础表!$A:$A,MATCH(AG211,[1]物品基础表!$B:$B,0)),"")</f>
        <v/>
      </c>
      <c r="AK211" s="1" t="str">
        <f>IFERROR(INDEX([1]物品基础表!$A:$A,MATCH(AJ211,[1]物品基础表!$B:$B,0)),"")</f>
        <v/>
      </c>
      <c r="AN211" s="1" t="str">
        <f>IFERROR(INDEX([1]物品基础表!$A:$A,MATCH(AM211,[1]物品基础表!$B:$B,0)),"")</f>
        <v/>
      </c>
      <c r="AQ211" s="1" t="str">
        <f>IFERROR(INDEX([1]物品基础表!$A:$A,MATCH(AP211,[1]物品基础表!$B:$B,0)),"")</f>
        <v/>
      </c>
    </row>
    <row r="212" spans="1:43">
      <c r="A212" s="1" t="str">
        <f>INDEX([2]活动总表!$A$8:$A$429,MATCH(B212,[2]活动总表!$B$8:$B$429,0))</f>
        <v>腊八-限购礼包（31-60天）2</v>
      </c>
      <c r="B212" s="1">
        <v>413</v>
      </c>
      <c r="C212" s="1">
        <v>2</v>
      </c>
      <c r="D212" s="1">
        <v>8</v>
      </c>
      <c r="E212" s="1">
        <v>0</v>
      </c>
      <c r="F212" s="1" t="s">
        <v>706</v>
      </c>
      <c r="G212" s="1">
        <v>1588</v>
      </c>
      <c r="H212" s="1">
        <v>4900</v>
      </c>
      <c r="I212" s="1">
        <v>1</v>
      </c>
      <c r="O212" s="1">
        <v>32</v>
      </c>
      <c r="X212" s="1">
        <v>200005</v>
      </c>
      <c r="Y212" s="1" t="str">
        <f>IFERROR(INDEX([1]物品基础表!$A:$A,MATCH(X212,[1]物品基础表!$B:$B,0)),"")</f>
        <v>龙魂碎片</v>
      </c>
      <c r="Z212" s="1">
        <v>35</v>
      </c>
      <c r="AA212" s="1">
        <v>200906</v>
      </c>
      <c r="AB212" s="1" t="str">
        <f>IFERROR(INDEX([1]物品基础表!$A:$A,MATCH(AA212,[1]物品基础表!$B:$B,0)),"")</f>
        <v>神兵经验丹（1W</v>
      </c>
      <c r="AC212" s="1">
        <v>35</v>
      </c>
      <c r="AE212" s="1" t="str">
        <f>IFERROR(INDEX([1]物品基础表!$A:$A,MATCH(AD212,[1]物品基础表!$B:$B,0)),"")</f>
        <v/>
      </c>
      <c r="AH212" s="1" t="str">
        <f>IFERROR(INDEX([1]物品基础表!$A:$A,MATCH(AG212,[1]物品基础表!$B:$B,0)),"")</f>
        <v/>
      </c>
      <c r="AK212" s="1" t="str">
        <f>IFERROR(INDEX([1]物品基础表!$A:$A,MATCH(AJ212,[1]物品基础表!$B:$B,0)),"")</f>
        <v/>
      </c>
      <c r="AN212" s="1" t="str">
        <f>IFERROR(INDEX([1]物品基础表!$A:$A,MATCH(AM212,[1]物品基础表!$B:$B,0)),"")</f>
        <v/>
      </c>
      <c r="AQ212" s="1" t="str">
        <f>IFERROR(INDEX([1]物品基础表!$A:$A,MATCH(AP212,[1]物品基础表!$B:$B,0)),"")</f>
        <v/>
      </c>
    </row>
    <row r="213" spans="1:43">
      <c r="A213" s="1" t="str">
        <f>INDEX([2]活动总表!$A$8:$A$429,MATCH(B213,[2]活动总表!$B$8:$B$429,0))</f>
        <v>腊八-限购礼包（31-60天）2</v>
      </c>
      <c r="B213" s="1">
        <v>413</v>
      </c>
      <c r="C213" s="1">
        <v>3</v>
      </c>
      <c r="D213" s="1">
        <v>8</v>
      </c>
      <c r="E213" s="1">
        <v>0</v>
      </c>
      <c r="F213" s="1" t="s">
        <v>706</v>
      </c>
      <c r="G213" s="1">
        <v>2888</v>
      </c>
      <c r="H213" s="1">
        <v>9100</v>
      </c>
      <c r="I213" s="1">
        <v>1</v>
      </c>
      <c r="O213" s="1">
        <v>31</v>
      </c>
      <c r="X213" s="1">
        <v>200005</v>
      </c>
      <c r="Y213" s="1" t="str">
        <f>IFERROR(INDEX([1]物品基础表!$A:$A,MATCH(X213,[1]物品基础表!$B:$B,0)),"")</f>
        <v>龙魂碎片</v>
      </c>
      <c r="Z213" s="1">
        <v>65</v>
      </c>
      <c r="AA213" s="1">
        <v>200906</v>
      </c>
      <c r="AB213" s="1" t="str">
        <f>IFERROR(INDEX([1]物品基础表!$A:$A,MATCH(AA213,[1]物品基础表!$B:$B,0)),"")</f>
        <v>神兵经验丹（1W</v>
      </c>
      <c r="AC213" s="1">
        <v>65</v>
      </c>
      <c r="AE213" s="1" t="str">
        <f>IFERROR(INDEX([1]物品基础表!$A:$A,MATCH(AD213,[1]物品基础表!$B:$B,0)),"")</f>
        <v/>
      </c>
      <c r="AH213" s="1" t="str">
        <f>IFERROR(INDEX([1]物品基础表!$A:$A,MATCH(AG213,[1]物品基础表!$B:$B,0)),"")</f>
        <v/>
      </c>
      <c r="AK213" s="1" t="str">
        <f>IFERROR(INDEX([1]物品基础表!$A:$A,MATCH(AJ213,[1]物品基础表!$B:$B,0)),"")</f>
        <v/>
      </c>
      <c r="AN213" s="1" t="str">
        <f>IFERROR(INDEX([1]物品基础表!$A:$A,MATCH(AM213,[1]物品基础表!$B:$B,0)),"")</f>
        <v/>
      </c>
      <c r="AQ213" s="1" t="str">
        <f>IFERROR(INDEX([1]物品基础表!$A:$A,MATCH(AP213,[1]物品基础表!$B:$B,0)),"")</f>
        <v/>
      </c>
    </row>
    <row r="214" spans="1:43">
      <c r="A214" s="1" t="str">
        <f>INDEX([2]活动总表!$A$8:$A$429,MATCH(B214,[2]活动总表!$B$8:$B$429,0))</f>
        <v>腊八-限购礼包（31-60天）2</v>
      </c>
      <c r="B214" s="1">
        <v>413</v>
      </c>
      <c r="C214" s="1">
        <v>4</v>
      </c>
      <c r="D214" s="1">
        <v>5</v>
      </c>
      <c r="E214" s="1">
        <v>0</v>
      </c>
      <c r="F214" s="1" t="s">
        <v>706</v>
      </c>
      <c r="G214" s="1">
        <v>2888</v>
      </c>
      <c r="H214" s="1">
        <v>4900</v>
      </c>
      <c r="I214" s="1">
        <v>1</v>
      </c>
      <c r="O214" s="1">
        <v>58</v>
      </c>
      <c r="X214" s="1">
        <v>200005</v>
      </c>
      <c r="Y214" s="1" t="str">
        <f>IFERROR(INDEX([1]物品基础表!$A:$A,MATCH(X214,[1]物品基础表!$B:$B,0)),"")</f>
        <v>龙魂碎片</v>
      </c>
      <c r="Z214" s="1">
        <v>35</v>
      </c>
      <c r="AA214" s="1">
        <v>200906</v>
      </c>
      <c r="AB214" s="1" t="str">
        <f>IFERROR(INDEX([1]物品基础表!$A:$A,MATCH(AA214,[1]物品基础表!$B:$B,0)),"")</f>
        <v>神兵经验丹（1W</v>
      </c>
      <c r="AC214" s="1">
        <v>35</v>
      </c>
      <c r="AE214" s="1" t="str">
        <f>IFERROR(INDEX([1]物品基础表!$A:$A,MATCH(AD214,[1]物品基础表!$B:$B,0)),"")</f>
        <v/>
      </c>
      <c r="AH214" s="1" t="str">
        <f>IFERROR(INDEX([1]物品基础表!$A:$A,MATCH(AG214,[1]物品基础表!$B:$B,0)),"")</f>
        <v/>
      </c>
      <c r="AK214" s="1" t="str">
        <f>IFERROR(INDEX([1]物品基础表!$A:$A,MATCH(AJ214,[1]物品基础表!$B:$B,0)),"")</f>
        <v/>
      </c>
      <c r="AN214" s="1" t="str">
        <f>IFERROR(INDEX([1]物品基础表!$A:$A,MATCH(AM214,[1]物品基础表!$B:$B,0)),"")</f>
        <v/>
      </c>
      <c r="AQ214" s="1" t="str">
        <f>IFERROR(INDEX([1]物品基础表!$A:$A,MATCH(AP214,[1]物品基础表!$B:$B,0)),"")</f>
        <v/>
      </c>
    </row>
    <row r="215" spans="1:43">
      <c r="A215" s="1" t="str">
        <f>INDEX([2]活动总表!$A$8:$A$429,MATCH(B215,[2]活动总表!$B$8:$B$429,0))</f>
        <v>腊八-限购礼包（31-60天）2</v>
      </c>
      <c r="B215" s="1">
        <v>413</v>
      </c>
      <c r="C215" s="1">
        <v>5</v>
      </c>
      <c r="D215" s="1">
        <v>5</v>
      </c>
      <c r="E215" s="1">
        <v>0</v>
      </c>
      <c r="F215" s="1" t="s">
        <v>706</v>
      </c>
      <c r="G215" s="1">
        <v>8888</v>
      </c>
      <c r="H215" s="1">
        <v>14800</v>
      </c>
      <c r="I215" s="1">
        <v>3</v>
      </c>
      <c r="O215" s="1">
        <v>60</v>
      </c>
      <c r="X215" s="1">
        <v>200005</v>
      </c>
      <c r="Y215" s="1" t="str">
        <f>IFERROR(INDEX([1]物品基础表!$A:$A,MATCH(X215,[1]物品基础表!$B:$B,0)),"")</f>
        <v>龙魂碎片</v>
      </c>
      <c r="Z215" s="1">
        <v>100</v>
      </c>
      <c r="AA215" s="1">
        <v>200906</v>
      </c>
      <c r="AB215" s="1" t="str">
        <f>IFERROR(INDEX([1]物品基础表!$A:$A,MATCH(AA215,[1]物品基础表!$B:$B,0)),"")</f>
        <v>神兵经验丹（1W</v>
      </c>
      <c r="AC215" s="1">
        <v>120</v>
      </c>
      <c r="AE215" s="1" t="str">
        <f>IFERROR(INDEX([1]物品基础表!$A:$A,MATCH(AD215,[1]物品基础表!$B:$B,0)),"")</f>
        <v/>
      </c>
      <c r="AH215" s="1" t="str">
        <f>IFERROR(INDEX([1]物品基础表!$A:$A,MATCH(AG215,[1]物品基础表!$B:$B,0)),"")</f>
        <v/>
      </c>
      <c r="AK215" s="1" t="str">
        <f>IFERROR(INDEX([1]物品基础表!$A:$A,MATCH(AJ215,[1]物品基础表!$B:$B,0)),"")</f>
        <v/>
      </c>
      <c r="AN215" s="1" t="str">
        <f>IFERROR(INDEX([1]物品基础表!$A:$A,MATCH(AM215,[1]物品基础表!$B:$B,0)),"")</f>
        <v/>
      </c>
      <c r="AQ215" s="1" t="str">
        <f>IFERROR(INDEX([1]物品基础表!$A:$A,MATCH(AP215,[1]物品基础表!$B:$B,0)),"")</f>
        <v/>
      </c>
    </row>
    <row r="216" spans="1:43">
      <c r="A216" s="1" t="str">
        <f>INDEX([2]活动总表!$A$8:$A$429,MATCH(B216,[2]活动总表!$B$8:$B$429,0))</f>
        <v>腊八-限购礼包（31-60天）3</v>
      </c>
      <c r="B216" s="1">
        <v>414</v>
      </c>
      <c r="C216" s="1">
        <v>1</v>
      </c>
      <c r="D216" s="1">
        <v>5</v>
      </c>
      <c r="E216" s="1">
        <v>0</v>
      </c>
      <c r="F216" s="1" t="s">
        <v>706</v>
      </c>
      <c r="G216" s="1">
        <v>888</v>
      </c>
      <c r="H216" s="1">
        <v>1500</v>
      </c>
      <c r="I216" s="1">
        <v>1</v>
      </c>
      <c r="O216" s="1">
        <v>59</v>
      </c>
      <c r="X216" s="1">
        <v>200301</v>
      </c>
      <c r="Y216" s="1" t="str">
        <f>IFERROR(INDEX([1]物品基础表!$A:$A,MATCH(X216,[1]物品基础表!$B:$B,0)),"")</f>
        <v>传世宝钻</v>
      </c>
      <c r="Z216" s="1">
        <v>15</v>
      </c>
      <c r="AB216" s="1" t="str">
        <f>IFERROR(INDEX([1]物品基础表!$A:$A,MATCH(AA216,[1]物品基础表!$B:$B,0)),"")</f>
        <v/>
      </c>
      <c r="AE216" s="1" t="str">
        <f>IFERROR(INDEX([1]物品基础表!$A:$A,MATCH(AD216,[1]物品基础表!$B:$B,0)),"")</f>
        <v/>
      </c>
      <c r="AH216" s="1" t="str">
        <f>IFERROR(INDEX([1]物品基础表!$A:$A,MATCH(AG216,[1]物品基础表!$B:$B,0)),"")</f>
        <v/>
      </c>
      <c r="AK216" s="1" t="str">
        <f>IFERROR(INDEX([1]物品基础表!$A:$A,MATCH(AJ216,[1]物品基础表!$B:$B,0)),"")</f>
        <v/>
      </c>
      <c r="AN216" s="1" t="str">
        <f>IFERROR(INDEX([1]物品基础表!$A:$A,MATCH(AM216,[1]物品基础表!$B:$B,0)),"")</f>
        <v/>
      </c>
      <c r="AQ216" s="1" t="str">
        <f>IFERROR(INDEX([1]物品基础表!$A:$A,MATCH(AP216,[1]物品基础表!$B:$B,0)),"")</f>
        <v/>
      </c>
    </row>
    <row r="217" spans="1:43">
      <c r="A217" s="1" t="str">
        <f>INDEX([2]活动总表!$A$8:$A$429,MATCH(B217,[2]活动总表!$B$8:$B$429,0))</f>
        <v>腊八-限购礼包（31-60天）3</v>
      </c>
      <c r="B217" s="1">
        <v>414</v>
      </c>
      <c r="C217" s="1">
        <v>2</v>
      </c>
      <c r="D217" s="1">
        <v>8</v>
      </c>
      <c r="E217" s="1">
        <v>0</v>
      </c>
      <c r="F217" s="1" t="s">
        <v>706</v>
      </c>
      <c r="G217" s="1">
        <v>1588</v>
      </c>
      <c r="H217" s="1">
        <v>5000</v>
      </c>
      <c r="I217" s="1">
        <v>1</v>
      </c>
      <c r="O217" s="1">
        <v>31</v>
      </c>
      <c r="X217" s="1">
        <v>200301</v>
      </c>
      <c r="Y217" s="1" t="str">
        <f>IFERROR(INDEX([1]物品基础表!$A:$A,MATCH(X217,[1]物品基础表!$B:$B,0)),"")</f>
        <v>传世宝钻</v>
      </c>
      <c r="Z217" s="1">
        <v>50</v>
      </c>
      <c r="AB217" s="1" t="str">
        <f>IFERROR(INDEX([1]物品基础表!$A:$A,MATCH(AA217,[1]物品基础表!$B:$B,0)),"")</f>
        <v/>
      </c>
      <c r="AE217" s="1" t="str">
        <f>IFERROR(INDEX([1]物品基础表!$A:$A,MATCH(AD217,[1]物品基础表!$B:$B,0)),"")</f>
        <v/>
      </c>
      <c r="AH217" s="1" t="str">
        <f>IFERROR(INDEX([1]物品基础表!$A:$A,MATCH(AG217,[1]物品基础表!$B:$B,0)),"")</f>
        <v/>
      </c>
      <c r="AK217" s="1" t="str">
        <f>IFERROR(INDEX([1]物品基础表!$A:$A,MATCH(AJ217,[1]物品基础表!$B:$B,0)),"")</f>
        <v/>
      </c>
      <c r="AN217" s="1" t="str">
        <f>IFERROR(INDEX([1]物品基础表!$A:$A,MATCH(AM217,[1]物品基础表!$B:$B,0)),"")</f>
        <v/>
      </c>
      <c r="AQ217" s="1" t="str">
        <f>IFERROR(INDEX([1]物品基础表!$A:$A,MATCH(AP217,[1]物品基础表!$B:$B,0)),"")</f>
        <v/>
      </c>
    </row>
    <row r="218" spans="1:43">
      <c r="A218" s="1" t="str">
        <f>INDEX([2]活动总表!$A$8:$A$429,MATCH(B218,[2]活动总表!$B$8:$B$429,0))</f>
        <v>腊八-限购礼包（31-60天）3</v>
      </c>
      <c r="B218" s="1">
        <v>414</v>
      </c>
      <c r="C218" s="1">
        <v>3</v>
      </c>
      <c r="D218" s="1">
        <v>8</v>
      </c>
      <c r="E218" s="1">
        <v>0</v>
      </c>
      <c r="F218" s="1" t="s">
        <v>706</v>
      </c>
      <c r="G218" s="1">
        <v>2888</v>
      </c>
      <c r="H218" s="1">
        <v>9000</v>
      </c>
      <c r="I218" s="1">
        <v>1</v>
      </c>
      <c r="O218" s="1">
        <v>32</v>
      </c>
      <c r="X218" s="1">
        <v>200301</v>
      </c>
      <c r="Y218" s="1" t="str">
        <f>IFERROR(INDEX([1]物品基础表!$A:$A,MATCH(X218,[1]物品基础表!$B:$B,0)),"")</f>
        <v>传世宝钻</v>
      </c>
      <c r="Z218" s="1">
        <v>90</v>
      </c>
      <c r="AB218" s="1" t="str">
        <f>IFERROR(INDEX([1]物品基础表!$A:$A,MATCH(AA218,[1]物品基础表!$B:$B,0)),"")</f>
        <v/>
      </c>
      <c r="AE218" s="1" t="str">
        <f>IFERROR(INDEX([1]物品基础表!$A:$A,MATCH(AD218,[1]物品基础表!$B:$B,0)),"")</f>
        <v/>
      </c>
      <c r="AH218" s="1" t="str">
        <f>IFERROR(INDEX([1]物品基础表!$A:$A,MATCH(AG218,[1]物品基础表!$B:$B,0)),"")</f>
        <v/>
      </c>
      <c r="AK218" s="1" t="str">
        <f>IFERROR(INDEX([1]物品基础表!$A:$A,MATCH(AJ218,[1]物品基础表!$B:$B,0)),"")</f>
        <v/>
      </c>
      <c r="AN218" s="1" t="str">
        <f>IFERROR(INDEX([1]物品基础表!$A:$A,MATCH(AM218,[1]物品基础表!$B:$B,0)),"")</f>
        <v/>
      </c>
      <c r="AQ218" s="1" t="str">
        <f>IFERROR(INDEX([1]物品基础表!$A:$A,MATCH(AP218,[1]物品基础表!$B:$B,0)),"")</f>
        <v/>
      </c>
    </row>
    <row r="219" spans="1:43">
      <c r="A219" s="1" t="str">
        <f>INDEX([2]活动总表!$A$8:$A$429,MATCH(B219,[2]活动总表!$B$8:$B$429,0))</f>
        <v>腊八-限购礼包（31-60天）3</v>
      </c>
      <c r="B219" s="1">
        <v>414</v>
      </c>
      <c r="C219" s="1">
        <v>4</v>
      </c>
      <c r="D219" s="1">
        <v>5</v>
      </c>
      <c r="E219" s="1">
        <v>0</v>
      </c>
      <c r="F219" s="1" t="s">
        <v>706</v>
      </c>
      <c r="G219" s="1">
        <v>2888</v>
      </c>
      <c r="H219" s="1">
        <v>5000</v>
      </c>
      <c r="I219" s="1">
        <v>1</v>
      </c>
      <c r="O219" s="1">
        <v>57</v>
      </c>
      <c r="X219" s="1">
        <v>200301</v>
      </c>
      <c r="Y219" s="1" t="str">
        <f>IFERROR(INDEX([1]物品基础表!$A:$A,MATCH(X219,[1]物品基础表!$B:$B,0)),"")</f>
        <v>传世宝钻</v>
      </c>
      <c r="Z219" s="1">
        <v>50</v>
      </c>
      <c r="AB219" s="1" t="str">
        <f>IFERROR(INDEX([1]物品基础表!$A:$A,MATCH(AA219,[1]物品基础表!$B:$B,0)),"")</f>
        <v/>
      </c>
      <c r="AE219" s="1" t="str">
        <f>IFERROR(INDEX([1]物品基础表!$A:$A,MATCH(AD219,[1]物品基础表!$B:$B,0)),"")</f>
        <v/>
      </c>
      <c r="AH219" s="1" t="str">
        <f>IFERROR(INDEX([1]物品基础表!$A:$A,MATCH(AG219,[1]物品基础表!$B:$B,0)),"")</f>
        <v/>
      </c>
      <c r="AK219" s="1" t="str">
        <f>IFERROR(INDEX([1]物品基础表!$A:$A,MATCH(AJ219,[1]物品基础表!$B:$B,0)),"")</f>
        <v/>
      </c>
      <c r="AN219" s="1" t="str">
        <f>IFERROR(INDEX([1]物品基础表!$A:$A,MATCH(AM219,[1]物品基础表!$B:$B,0)),"")</f>
        <v/>
      </c>
      <c r="AQ219" s="1" t="str">
        <f>IFERROR(INDEX([1]物品基础表!$A:$A,MATCH(AP219,[1]物品基础表!$B:$B,0)),"")</f>
        <v/>
      </c>
    </row>
    <row r="220" spans="1:43">
      <c r="A220" s="1" t="str">
        <f>INDEX([2]活动总表!$A$8:$A$429,MATCH(B220,[2]活动总表!$B$8:$B$429,0))</f>
        <v>腊八-限购礼包（31-60天）3</v>
      </c>
      <c r="B220" s="1">
        <v>414</v>
      </c>
      <c r="C220" s="1">
        <v>5</v>
      </c>
      <c r="D220" s="1">
        <v>5</v>
      </c>
      <c r="E220" s="1">
        <v>0</v>
      </c>
      <c r="F220" s="1" t="s">
        <v>706</v>
      </c>
      <c r="G220" s="1">
        <v>8888</v>
      </c>
      <c r="H220" s="1">
        <v>15000</v>
      </c>
      <c r="I220" s="1">
        <v>3</v>
      </c>
      <c r="O220" s="1">
        <v>59</v>
      </c>
      <c r="X220" s="1">
        <v>200301</v>
      </c>
      <c r="Y220" s="1" t="str">
        <f>IFERROR(INDEX([1]物品基础表!$A:$A,MATCH(X220,[1]物品基础表!$B:$B,0)),"")</f>
        <v>传世宝钻</v>
      </c>
      <c r="Z220" s="1">
        <v>150</v>
      </c>
      <c r="AB220" s="1" t="str">
        <f>IFERROR(INDEX([1]物品基础表!$A:$A,MATCH(AA220,[1]物品基础表!$B:$B,0)),"")</f>
        <v/>
      </c>
      <c r="AE220" s="1" t="str">
        <f>IFERROR(INDEX([1]物品基础表!$A:$A,MATCH(AD220,[1]物品基础表!$B:$B,0)),"")</f>
        <v/>
      </c>
      <c r="AH220" s="1" t="str">
        <f>IFERROR(INDEX([1]物品基础表!$A:$A,MATCH(AG220,[1]物品基础表!$B:$B,0)),"")</f>
        <v/>
      </c>
      <c r="AK220" s="1" t="str">
        <f>IFERROR(INDEX([1]物品基础表!$A:$A,MATCH(AJ220,[1]物品基础表!$B:$B,0)),"")</f>
        <v/>
      </c>
      <c r="AN220" s="1" t="str">
        <f>IFERROR(INDEX([1]物品基础表!$A:$A,MATCH(AM220,[1]物品基础表!$B:$B,0)),"")</f>
        <v/>
      </c>
      <c r="AQ220" s="1" t="str">
        <f>IFERROR(INDEX([1]物品基础表!$A:$A,MATCH(AP220,[1]物品基础表!$B:$B,0)),"")</f>
        <v/>
      </c>
    </row>
    <row r="221" spans="1:43">
      <c r="A221" s="1" t="str">
        <f>INDEX([2]活动总表!$A$8:$A$429,MATCH(B221,[2]活动总表!$B$8:$B$429,0))</f>
        <v>腊八-限购礼包（31-60天）4</v>
      </c>
      <c r="B221" s="1">
        <v>415</v>
      </c>
      <c r="C221" s="1">
        <v>1</v>
      </c>
      <c r="D221" s="1">
        <v>5</v>
      </c>
      <c r="E221" s="1">
        <v>0</v>
      </c>
      <c r="F221" s="1" t="s">
        <v>706</v>
      </c>
      <c r="G221" s="1">
        <v>888</v>
      </c>
      <c r="H221" s="1">
        <v>1500</v>
      </c>
      <c r="I221" s="1">
        <v>1</v>
      </c>
      <c r="O221" s="1">
        <v>59</v>
      </c>
      <c r="X221" s="1">
        <v>200015</v>
      </c>
      <c r="Y221" s="1" t="str">
        <f>IFERROR(INDEX([1]物品基础表!$A:$A,MATCH(X221,[1]物品基础表!$B:$B,0)),"")</f>
        <v>特戒碎片</v>
      </c>
      <c r="Z221" s="1">
        <v>150</v>
      </c>
      <c r="AB221" s="1" t="str">
        <f>IFERROR(INDEX([1]物品基础表!$A:$A,MATCH(AA221,[1]物品基础表!$B:$B,0)),"")</f>
        <v/>
      </c>
      <c r="AE221" s="1" t="str">
        <f>IFERROR(INDEX([1]物品基础表!$A:$A,MATCH(AD221,[1]物品基础表!$B:$B,0)),"")</f>
        <v/>
      </c>
      <c r="AH221" s="1" t="str">
        <f>IFERROR(INDEX([1]物品基础表!$A:$A,MATCH(AG221,[1]物品基础表!$B:$B,0)),"")</f>
        <v/>
      </c>
      <c r="AK221" s="1" t="str">
        <f>IFERROR(INDEX([1]物品基础表!$A:$A,MATCH(AJ221,[1]物品基础表!$B:$B,0)),"")</f>
        <v/>
      </c>
      <c r="AN221" s="1" t="str">
        <f>IFERROR(INDEX([1]物品基础表!$A:$A,MATCH(AM221,[1]物品基础表!$B:$B,0)),"")</f>
        <v/>
      </c>
      <c r="AQ221" s="1" t="str">
        <f>IFERROR(INDEX([1]物品基础表!$A:$A,MATCH(AP221,[1]物品基础表!$B:$B,0)),"")</f>
        <v/>
      </c>
    </row>
    <row r="222" spans="1:43">
      <c r="A222" s="1" t="str">
        <f>INDEX([2]活动总表!$A$8:$A$429,MATCH(B222,[2]活动总表!$B$8:$B$429,0))</f>
        <v>腊八-限购礼包（31-60天）4</v>
      </c>
      <c r="B222" s="1">
        <v>415</v>
      </c>
      <c r="C222" s="1">
        <v>2</v>
      </c>
      <c r="D222" s="1">
        <v>8</v>
      </c>
      <c r="E222" s="1">
        <v>0</v>
      </c>
      <c r="F222" s="1" t="s">
        <v>706</v>
      </c>
      <c r="G222" s="1">
        <v>1588</v>
      </c>
      <c r="H222" s="1">
        <v>5000</v>
      </c>
      <c r="I222" s="1">
        <v>1</v>
      </c>
      <c r="O222" s="1">
        <v>31</v>
      </c>
      <c r="X222" s="1">
        <v>200015</v>
      </c>
      <c r="Y222" s="1" t="str">
        <f>IFERROR(INDEX([1]物品基础表!$A:$A,MATCH(X222,[1]物品基础表!$B:$B,0)),"")</f>
        <v>特戒碎片</v>
      </c>
      <c r="Z222" s="1">
        <v>500</v>
      </c>
      <c r="AB222" s="1" t="str">
        <f>IFERROR(INDEX([1]物品基础表!$A:$A,MATCH(AA222,[1]物品基础表!$B:$B,0)),"")</f>
        <v/>
      </c>
      <c r="AE222" s="1" t="str">
        <f>IFERROR(INDEX([1]物品基础表!$A:$A,MATCH(AD222,[1]物品基础表!$B:$B,0)),"")</f>
        <v/>
      </c>
      <c r="AH222" s="1" t="str">
        <f>IFERROR(INDEX([1]物品基础表!$A:$A,MATCH(AG222,[1]物品基础表!$B:$B,0)),"")</f>
        <v/>
      </c>
      <c r="AK222" s="1" t="str">
        <f>IFERROR(INDEX([1]物品基础表!$A:$A,MATCH(AJ222,[1]物品基础表!$B:$B,0)),"")</f>
        <v/>
      </c>
      <c r="AN222" s="1" t="str">
        <f>IFERROR(INDEX([1]物品基础表!$A:$A,MATCH(AM222,[1]物品基础表!$B:$B,0)),"")</f>
        <v/>
      </c>
      <c r="AQ222" s="1" t="str">
        <f>IFERROR(INDEX([1]物品基础表!$A:$A,MATCH(AP222,[1]物品基础表!$B:$B,0)),"")</f>
        <v/>
      </c>
    </row>
    <row r="223" spans="1:43">
      <c r="A223" s="1" t="str">
        <f>INDEX([2]活动总表!$A$8:$A$429,MATCH(B223,[2]活动总表!$B$8:$B$429,0))</f>
        <v>腊八-限购礼包（31-60天）4</v>
      </c>
      <c r="B223" s="1">
        <v>415</v>
      </c>
      <c r="C223" s="1">
        <v>3</v>
      </c>
      <c r="D223" s="1">
        <v>8</v>
      </c>
      <c r="E223" s="1">
        <v>0</v>
      </c>
      <c r="F223" s="1" t="s">
        <v>706</v>
      </c>
      <c r="G223" s="1">
        <v>2888</v>
      </c>
      <c r="H223" s="1">
        <v>9000</v>
      </c>
      <c r="I223" s="1">
        <v>1</v>
      </c>
      <c r="O223" s="1">
        <v>32</v>
      </c>
      <c r="X223" s="1">
        <v>200015</v>
      </c>
      <c r="Y223" s="1" t="str">
        <f>IFERROR(INDEX([1]物品基础表!$A:$A,MATCH(X223,[1]物品基础表!$B:$B,0)),"")</f>
        <v>特戒碎片</v>
      </c>
      <c r="Z223" s="1">
        <v>900</v>
      </c>
      <c r="AB223" s="1" t="str">
        <f>IFERROR(INDEX([1]物品基础表!$A:$A,MATCH(AA223,[1]物品基础表!$B:$B,0)),"")</f>
        <v/>
      </c>
      <c r="AE223" s="1" t="str">
        <f>IFERROR(INDEX([1]物品基础表!$A:$A,MATCH(AD223,[1]物品基础表!$B:$B,0)),"")</f>
        <v/>
      </c>
      <c r="AH223" s="1" t="str">
        <f>IFERROR(INDEX([1]物品基础表!$A:$A,MATCH(AG223,[1]物品基础表!$B:$B,0)),"")</f>
        <v/>
      </c>
      <c r="AK223" s="1" t="str">
        <f>IFERROR(INDEX([1]物品基础表!$A:$A,MATCH(AJ223,[1]物品基础表!$B:$B,0)),"")</f>
        <v/>
      </c>
      <c r="AN223" s="1" t="str">
        <f>IFERROR(INDEX([1]物品基础表!$A:$A,MATCH(AM223,[1]物品基础表!$B:$B,0)),"")</f>
        <v/>
      </c>
      <c r="AQ223" s="1" t="str">
        <f>IFERROR(INDEX([1]物品基础表!$A:$A,MATCH(AP223,[1]物品基础表!$B:$B,0)),"")</f>
        <v/>
      </c>
    </row>
    <row r="224" spans="1:43">
      <c r="A224" s="1" t="str">
        <f>INDEX([2]活动总表!$A$8:$A$429,MATCH(B224,[2]活动总表!$B$8:$B$429,0))</f>
        <v>腊八-限购礼包（31-60天）4</v>
      </c>
      <c r="B224" s="1">
        <v>415</v>
      </c>
      <c r="C224" s="1">
        <v>4</v>
      </c>
      <c r="D224" s="1">
        <v>5</v>
      </c>
      <c r="E224" s="1">
        <v>0</v>
      </c>
      <c r="F224" s="1" t="s">
        <v>706</v>
      </c>
      <c r="G224" s="1">
        <v>2888</v>
      </c>
      <c r="H224" s="1">
        <v>5000</v>
      </c>
      <c r="I224" s="1">
        <v>1</v>
      </c>
      <c r="O224" s="1">
        <v>57</v>
      </c>
      <c r="X224" s="1">
        <v>200015</v>
      </c>
      <c r="Y224" s="1" t="str">
        <f>IFERROR(INDEX([1]物品基础表!$A:$A,MATCH(X224,[1]物品基础表!$B:$B,0)),"")</f>
        <v>特戒碎片</v>
      </c>
      <c r="Z224" s="1">
        <v>500</v>
      </c>
      <c r="AB224" s="1" t="str">
        <f>IFERROR(INDEX([1]物品基础表!$A:$A,MATCH(AA224,[1]物品基础表!$B:$B,0)),"")</f>
        <v/>
      </c>
      <c r="AE224" s="1" t="str">
        <f>IFERROR(INDEX([1]物品基础表!$A:$A,MATCH(AD224,[1]物品基础表!$B:$B,0)),"")</f>
        <v/>
      </c>
      <c r="AH224" s="1" t="str">
        <f>IFERROR(INDEX([1]物品基础表!$A:$A,MATCH(AG224,[1]物品基础表!$B:$B,0)),"")</f>
        <v/>
      </c>
      <c r="AK224" s="1" t="str">
        <f>IFERROR(INDEX([1]物品基础表!$A:$A,MATCH(AJ224,[1]物品基础表!$B:$B,0)),"")</f>
        <v/>
      </c>
      <c r="AN224" s="1" t="str">
        <f>IFERROR(INDEX([1]物品基础表!$A:$A,MATCH(AM224,[1]物品基础表!$B:$B,0)),"")</f>
        <v/>
      </c>
      <c r="AQ224" s="1" t="str">
        <f>IFERROR(INDEX([1]物品基础表!$A:$A,MATCH(AP224,[1]物品基础表!$B:$B,0)),"")</f>
        <v/>
      </c>
    </row>
    <row r="225" spans="1:43">
      <c r="A225" s="1" t="str">
        <f>INDEX([2]活动总表!$A$8:$A$429,MATCH(B225,[2]活动总表!$B$8:$B$429,0))</f>
        <v>腊八-限购礼包（31-60天）4</v>
      </c>
      <c r="B225" s="1">
        <v>415</v>
      </c>
      <c r="C225" s="1">
        <v>5</v>
      </c>
      <c r="D225" s="1">
        <v>5</v>
      </c>
      <c r="E225" s="1">
        <v>0</v>
      </c>
      <c r="F225" s="1" t="s">
        <v>706</v>
      </c>
      <c r="G225" s="1">
        <v>8888</v>
      </c>
      <c r="H225" s="1">
        <v>15000</v>
      </c>
      <c r="I225" s="1">
        <v>3</v>
      </c>
      <c r="O225" s="1">
        <v>59</v>
      </c>
      <c r="X225" s="1">
        <v>200015</v>
      </c>
      <c r="Y225" s="1" t="str">
        <f>IFERROR(INDEX([1]物品基础表!$A:$A,MATCH(X225,[1]物品基础表!$B:$B,0)),"")</f>
        <v>特戒碎片</v>
      </c>
      <c r="Z225" s="1">
        <v>1500</v>
      </c>
      <c r="AB225" s="1" t="str">
        <f>IFERROR(INDEX([1]物品基础表!$A:$A,MATCH(AA225,[1]物品基础表!$B:$B,0)),"")</f>
        <v/>
      </c>
      <c r="AE225" s="1" t="str">
        <f>IFERROR(INDEX([1]物品基础表!$A:$A,MATCH(AD225,[1]物品基础表!$B:$B,0)),"")</f>
        <v/>
      </c>
      <c r="AH225" s="1" t="str">
        <f>IFERROR(INDEX([1]物品基础表!$A:$A,MATCH(AG225,[1]物品基础表!$B:$B,0)),"")</f>
        <v/>
      </c>
      <c r="AK225" s="1" t="str">
        <f>IFERROR(INDEX([1]物品基础表!$A:$A,MATCH(AJ225,[1]物品基础表!$B:$B,0)),"")</f>
        <v/>
      </c>
      <c r="AN225" s="1" t="str">
        <f>IFERROR(INDEX([1]物品基础表!$A:$A,MATCH(AM225,[1]物品基础表!$B:$B,0)),"")</f>
        <v/>
      </c>
      <c r="AQ225" s="1" t="str">
        <f>IFERROR(INDEX([1]物品基础表!$A:$A,MATCH(AP225,[1]物品基础表!$B:$B,0)),"")</f>
        <v/>
      </c>
    </row>
    <row r="226" spans="1:43">
      <c r="A226" s="1" t="str">
        <f>INDEX([2]活动总表!$A$8:$A$429,MATCH(B226,[2]活动总表!$B$8:$B$429,0))</f>
        <v>腊八-限购礼包（31-60天）5</v>
      </c>
      <c r="B226" s="1">
        <v>416</v>
      </c>
      <c r="C226" s="1">
        <v>1</v>
      </c>
      <c r="D226" s="1">
        <v>5</v>
      </c>
      <c r="E226" s="1">
        <v>0</v>
      </c>
      <c r="F226" s="1" t="s">
        <v>706</v>
      </c>
      <c r="G226" s="1">
        <v>888</v>
      </c>
      <c r="H226" s="1">
        <v>1500</v>
      </c>
      <c r="I226" s="1">
        <v>1</v>
      </c>
      <c r="O226" s="1">
        <v>59</v>
      </c>
      <c r="X226" s="1">
        <v>200001</v>
      </c>
      <c r="Y226" s="1" t="str">
        <f>IFERROR(INDEX([1]物品基础表!$A:$A,MATCH(X226,[1]物品基础表!$B:$B,0)),"")</f>
        <v>羽毛</v>
      </c>
      <c r="Z226" s="1">
        <v>15</v>
      </c>
      <c r="AB226" s="1" t="str">
        <f>IFERROR(INDEX([1]物品基础表!$A:$A,MATCH(AA226,[1]物品基础表!$B:$B,0)),"")</f>
        <v/>
      </c>
      <c r="AE226" s="1" t="str">
        <f>IFERROR(INDEX([1]物品基础表!$A:$A,MATCH(AD226,[1]物品基础表!$B:$B,0)),"")</f>
        <v/>
      </c>
      <c r="AH226" s="1" t="str">
        <f>IFERROR(INDEX([1]物品基础表!$A:$A,MATCH(AG226,[1]物品基础表!$B:$B,0)),"")</f>
        <v/>
      </c>
      <c r="AK226" s="1" t="str">
        <f>IFERROR(INDEX([1]物品基础表!$A:$A,MATCH(AJ226,[1]物品基础表!$B:$B,0)),"")</f>
        <v/>
      </c>
      <c r="AN226" s="1" t="str">
        <f>IFERROR(INDEX([1]物品基础表!$A:$A,MATCH(AM226,[1]物品基础表!$B:$B,0)),"")</f>
        <v/>
      </c>
      <c r="AQ226" s="1" t="str">
        <f>IFERROR(INDEX([1]物品基础表!$A:$A,MATCH(AP226,[1]物品基础表!$B:$B,0)),"")</f>
        <v/>
      </c>
    </row>
    <row r="227" spans="1:43">
      <c r="A227" s="1" t="str">
        <f>INDEX([2]活动总表!$A$8:$A$429,MATCH(B227,[2]活动总表!$B$8:$B$429,0))</f>
        <v>腊八-限购礼包（31-60天）5</v>
      </c>
      <c r="B227" s="1">
        <v>416</v>
      </c>
      <c r="C227" s="1">
        <v>2</v>
      </c>
      <c r="D227" s="1">
        <v>9</v>
      </c>
      <c r="E227" s="1">
        <v>0</v>
      </c>
      <c r="F227" s="1" t="s">
        <v>706</v>
      </c>
      <c r="G227" s="1">
        <v>1588</v>
      </c>
      <c r="H227" s="1">
        <v>5000</v>
      </c>
      <c r="I227" s="1">
        <v>1</v>
      </c>
      <c r="O227" s="1">
        <v>31</v>
      </c>
      <c r="X227" s="1">
        <v>200001</v>
      </c>
      <c r="Y227" s="1" t="str">
        <f>IFERROR(INDEX([1]物品基础表!$A:$A,MATCH(X227,[1]物品基础表!$B:$B,0)),"")</f>
        <v>羽毛</v>
      </c>
      <c r="Z227" s="1">
        <v>50</v>
      </c>
      <c r="AB227" s="1" t="str">
        <f>IFERROR(INDEX([1]物品基础表!$A:$A,MATCH(AA227,[1]物品基础表!$B:$B,0)),"")</f>
        <v/>
      </c>
      <c r="AE227" s="1" t="str">
        <f>IFERROR(INDEX([1]物品基础表!$A:$A,MATCH(AD227,[1]物品基础表!$B:$B,0)),"")</f>
        <v/>
      </c>
      <c r="AH227" s="1" t="str">
        <f>IFERROR(INDEX([1]物品基础表!$A:$A,MATCH(AG227,[1]物品基础表!$B:$B,0)),"")</f>
        <v/>
      </c>
      <c r="AK227" s="1" t="str">
        <f>IFERROR(INDEX([1]物品基础表!$A:$A,MATCH(AJ227,[1]物品基础表!$B:$B,0)),"")</f>
        <v/>
      </c>
      <c r="AN227" s="1" t="str">
        <f>IFERROR(INDEX([1]物品基础表!$A:$A,MATCH(AM227,[1]物品基础表!$B:$B,0)),"")</f>
        <v/>
      </c>
      <c r="AQ227" s="1" t="str">
        <f>IFERROR(INDEX([1]物品基础表!$A:$A,MATCH(AP227,[1]物品基础表!$B:$B,0)),"")</f>
        <v/>
      </c>
    </row>
    <row r="228" spans="1:43">
      <c r="A228" s="1" t="str">
        <f>INDEX([2]活动总表!$A$8:$A$429,MATCH(B228,[2]活动总表!$B$8:$B$429,0))</f>
        <v>腊八-限购礼包（31-60天）5</v>
      </c>
      <c r="B228" s="1">
        <v>416</v>
      </c>
      <c r="C228" s="1">
        <v>3</v>
      </c>
      <c r="D228" s="1">
        <v>9</v>
      </c>
      <c r="E228" s="1">
        <v>0</v>
      </c>
      <c r="F228" s="1" t="s">
        <v>706</v>
      </c>
      <c r="G228" s="1">
        <v>2888</v>
      </c>
      <c r="H228" s="1">
        <v>9000</v>
      </c>
      <c r="I228" s="1">
        <v>1</v>
      </c>
      <c r="O228" s="1">
        <v>32</v>
      </c>
      <c r="X228" s="1">
        <v>200001</v>
      </c>
      <c r="Y228" s="1" t="str">
        <f>IFERROR(INDEX([1]物品基础表!$A:$A,MATCH(X228,[1]物品基础表!$B:$B,0)),"")</f>
        <v>羽毛</v>
      </c>
      <c r="Z228" s="1">
        <v>90</v>
      </c>
      <c r="AB228" s="1" t="str">
        <f>IFERROR(INDEX([1]物品基础表!$A:$A,MATCH(AA228,[1]物品基础表!$B:$B,0)),"")</f>
        <v/>
      </c>
      <c r="AE228" s="1" t="str">
        <f>IFERROR(INDEX([1]物品基础表!$A:$A,MATCH(AD228,[1]物品基础表!$B:$B,0)),"")</f>
        <v/>
      </c>
      <c r="AH228" s="1" t="str">
        <f>IFERROR(INDEX([1]物品基础表!$A:$A,MATCH(AG228,[1]物品基础表!$B:$B,0)),"")</f>
        <v/>
      </c>
      <c r="AK228" s="1" t="str">
        <f>IFERROR(INDEX([1]物品基础表!$A:$A,MATCH(AJ228,[1]物品基础表!$B:$B,0)),"")</f>
        <v/>
      </c>
      <c r="AN228" s="1" t="str">
        <f>IFERROR(INDEX([1]物品基础表!$A:$A,MATCH(AM228,[1]物品基础表!$B:$B,0)),"")</f>
        <v/>
      </c>
      <c r="AQ228" s="1" t="str">
        <f>IFERROR(INDEX([1]物品基础表!$A:$A,MATCH(AP228,[1]物品基础表!$B:$B,0)),"")</f>
        <v/>
      </c>
    </row>
    <row r="229" spans="1:43">
      <c r="A229" s="1" t="str">
        <f>INDEX([2]活动总表!$A$8:$A$429,MATCH(B229,[2]活动总表!$B$8:$B$429,0))</f>
        <v>腊八-限购礼包（31-60天）5</v>
      </c>
      <c r="B229" s="1">
        <v>416</v>
      </c>
      <c r="C229" s="1">
        <v>4</v>
      </c>
      <c r="D229" s="1">
        <v>5</v>
      </c>
      <c r="E229" s="1">
        <v>0</v>
      </c>
      <c r="F229" s="1" t="s">
        <v>706</v>
      </c>
      <c r="G229" s="1">
        <v>2888</v>
      </c>
      <c r="H229" s="1">
        <v>5000</v>
      </c>
      <c r="I229" s="1">
        <v>1</v>
      </c>
      <c r="O229" s="1">
        <v>57</v>
      </c>
      <c r="X229" s="1">
        <v>200001</v>
      </c>
      <c r="Y229" s="1" t="str">
        <f>IFERROR(INDEX([1]物品基础表!$A:$A,MATCH(X229,[1]物品基础表!$B:$B,0)),"")</f>
        <v>羽毛</v>
      </c>
      <c r="Z229" s="1">
        <v>50</v>
      </c>
      <c r="AB229" s="1" t="str">
        <f>IFERROR(INDEX([1]物品基础表!$A:$A,MATCH(AA229,[1]物品基础表!$B:$B,0)),"")</f>
        <v/>
      </c>
      <c r="AE229" s="1" t="str">
        <f>IFERROR(INDEX([1]物品基础表!$A:$A,MATCH(AD229,[1]物品基础表!$B:$B,0)),"")</f>
        <v/>
      </c>
      <c r="AH229" s="1" t="str">
        <f>IFERROR(INDEX([1]物品基础表!$A:$A,MATCH(AG229,[1]物品基础表!$B:$B,0)),"")</f>
        <v/>
      </c>
      <c r="AK229" s="1" t="str">
        <f>IFERROR(INDEX([1]物品基础表!$A:$A,MATCH(AJ229,[1]物品基础表!$B:$B,0)),"")</f>
        <v/>
      </c>
      <c r="AN229" s="1" t="str">
        <f>IFERROR(INDEX([1]物品基础表!$A:$A,MATCH(AM229,[1]物品基础表!$B:$B,0)),"")</f>
        <v/>
      </c>
      <c r="AQ229" s="1" t="str">
        <f>IFERROR(INDEX([1]物品基础表!$A:$A,MATCH(AP229,[1]物品基础表!$B:$B,0)),"")</f>
        <v/>
      </c>
    </row>
    <row r="230" spans="1:43">
      <c r="A230" s="1" t="str">
        <f>INDEX([2]活动总表!$A$8:$A$429,MATCH(B230,[2]活动总表!$B$8:$B$429,0))</f>
        <v>腊八-限购礼包（31-60天）5</v>
      </c>
      <c r="B230" s="1">
        <v>416</v>
      </c>
      <c r="C230" s="1">
        <v>5</v>
      </c>
      <c r="D230" s="1">
        <v>5</v>
      </c>
      <c r="E230" s="1">
        <v>0</v>
      </c>
      <c r="F230" s="1" t="s">
        <v>706</v>
      </c>
      <c r="G230" s="1">
        <v>8888</v>
      </c>
      <c r="H230" s="1">
        <v>15000</v>
      </c>
      <c r="I230" s="1">
        <v>3</v>
      </c>
      <c r="O230" s="1">
        <v>59</v>
      </c>
      <c r="X230" s="1">
        <v>200001</v>
      </c>
      <c r="Y230" s="1" t="str">
        <f>IFERROR(INDEX([1]物品基础表!$A:$A,MATCH(X230,[1]物品基础表!$B:$B,0)),"")</f>
        <v>羽毛</v>
      </c>
      <c r="Z230" s="1">
        <v>150</v>
      </c>
      <c r="AB230" s="1" t="str">
        <f>IFERROR(INDEX([1]物品基础表!$A:$A,MATCH(AA230,[1]物品基础表!$B:$B,0)),"")</f>
        <v/>
      </c>
      <c r="AE230" s="1" t="str">
        <f>IFERROR(INDEX([1]物品基础表!$A:$A,MATCH(AD230,[1]物品基础表!$B:$B,0)),"")</f>
        <v/>
      </c>
      <c r="AH230" s="1" t="str">
        <f>IFERROR(INDEX([1]物品基础表!$A:$A,MATCH(AG230,[1]物品基础表!$B:$B,0)),"")</f>
        <v/>
      </c>
      <c r="AK230" s="1" t="str">
        <f>IFERROR(INDEX([1]物品基础表!$A:$A,MATCH(AJ230,[1]物品基础表!$B:$B,0)),"")</f>
        <v/>
      </c>
      <c r="AN230" s="1" t="str">
        <f>IFERROR(INDEX([1]物品基础表!$A:$A,MATCH(AM230,[1]物品基础表!$B:$B,0)),"")</f>
        <v/>
      </c>
      <c r="AQ230" s="1" t="str">
        <f>IFERROR(INDEX([1]物品基础表!$A:$A,MATCH(AP230,[1]物品基础表!$B:$B,0)),"")</f>
        <v/>
      </c>
    </row>
    <row r="231" spans="1:43">
      <c r="A231" s="1" t="str">
        <f>INDEX([2]活动总表!$A$8:$A$429,MATCH(B231,[2]活动总表!$B$8:$B$429,0))</f>
        <v>腊八-限购礼包（61-无限天）1</v>
      </c>
      <c r="B231" s="1">
        <v>419</v>
      </c>
      <c r="C231" s="1">
        <v>1</v>
      </c>
      <c r="D231" s="1">
        <v>5</v>
      </c>
      <c r="E231" s="1">
        <v>0</v>
      </c>
      <c r="F231" s="1" t="s">
        <v>706</v>
      </c>
      <c r="G231" s="1">
        <v>1088</v>
      </c>
      <c r="H231" s="1">
        <v>2000</v>
      </c>
      <c r="I231" s="1">
        <v>1</v>
      </c>
      <c r="O231" s="1">
        <v>54</v>
      </c>
      <c r="X231" s="1">
        <v>201106</v>
      </c>
      <c r="Y231" s="1" t="str">
        <f>IFERROR(INDEX([1]物品基础表!$A:$A,MATCH(X231,[1]物品基础表!$B:$B,0)),"")</f>
        <v>高级轮回丹·无限制</v>
      </c>
      <c r="Z231" s="1">
        <v>2</v>
      </c>
      <c r="AB231" s="1" t="str">
        <f>IFERROR(INDEX([1]物品基础表!$A:$A,MATCH(AA231,[1]物品基础表!$B:$B,0)),"")</f>
        <v/>
      </c>
      <c r="AE231" s="1" t="str">
        <f>IFERROR(INDEX([1]物品基础表!$A:$A,MATCH(AD231,[1]物品基础表!$B:$B,0)),"")</f>
        <v/>
      </c>
      <c r="AH231" s="1" t="str">
        <f>IFERROR(INDEX([1]物品基础表!$A:$A,MATCH(AG231,[1]物品基础表!$B:$B,0)),"")</f>
        <v/>
      </c>
      <c r="AK231" s="1" t="str">
        <f>IFERROR(INDEX([1]物品基础表!$A:$A,MATCH(AJ231,[1]物品基础表!$B:$B,0)),"")</f>
        <v/>
      </c>
      <c r="AN231" s="1" t="str">
        <f>IFERROR(INDEX([1]物品基础表!$A:$A,MATCH(AM231,[1]物品基础表!$B:$B,0)),"")</f>
        <v/>
      </c>
      <c r="AQ231" s="1" t="str">
        <f>IFERROR(INDEX([1]物品基础表!$A:$A,MATCH(AP231,[1]物品基础表!$B:$B,0)),"")</f>
        <v/>
      </c>
    </row>
    <row r="232" spans="1:43">
      <c r="A232" s="1" t="str">
        <f>INDEX([2]活动总表!$A$8:$A$429,MATCH(B232,[2]活动总表!$B$8:$B$429,0))</f>
        <v>腊八-限购礼包（61-无限天）1</v>
      </c>
      <c r="B232" s="1">
        <v>419</v>
      </c>
      <c r="C232" s="1">
        <v>2</v>
      </c>
      <c r="D232" s="1">
        <v>7</v>
      </c>
      <c r="E232" s="1">
        <v>0</v>
      </c>
      <c r="F232" s="1" t="s">
        <v>706</v>
      </c>
      <c r="G232" s="1">
        <v>1588</v>
      </c>
      <c r="H232" s="1">
        <v>5000</v>
      </c>
      <c r="I232" s="1">
        <v>1</v>
      </c>
      <c r="O232" s="1">
        <v>31</v>
      </c>
      <c r="X232" s="1">
        <v>201106</v>
      </c>
      <c r="Y232" s="1" t="str">
        <f>IFERROR(INDEX([1]物品基础表!$A:$A,MATCH(X232,[1]物品基础表!$B:$B,0)),"")</f>
        <v>高级轮回丹·无限制</v>
      </c>
      <c r="Z232" s="1">
        <v>5</v>
      </c>
      <c r="AB232" s="1" t="str">
        <f>IFERROR(INDEX([1]物品基础表!$A:$A,MATCH(AA232,[1]物品基础表!$B:$B,0)),"")</f>
        <v/>
      </c>
      <c r="AE232" s="1" t="str">
        <f>IFERROR(INDEX([1]物品基础表!$A:$A,MATCH(AD232,[1]物品基础表!$B:$B,0)),"")</f>
        <v/>
      </c>
      <c r="AH232" s="1" t="str">
        <f>IFERROR(INDEX([1]物品基础表!$A:$A,MATCH(AG232,[1]物品基础表!$B:$B,0)),"")</f>
        <v/>
      </c>
      <c r="AK232" s="1" t="str">
        <f>IFERROR(INDEX([1]物品基础表!$A:$A,MATCH(AJ232,[1]物品基础表!$B:$B,0)),"")</f>
        <v/>
      </c>
      <c r="AN232" s="1" t="str">
        <f>IFERROR(INDEX([1]物品基础表!$A:$A,MATCH(AM232,[1]物品基础表!$B:$B,0)),"")</f>
        <v/>
      </c>
      <c r="AQ232" s="1" t="str">
        <f>IFERROR(INDEX([1]物品基础表!$A:$A,MATCH(AP232,[1]物品基础表!$B:$B,0)),"")</f>
        <v/>
      </c>
    </row>
    <row r="233" spans="1:43">
      <c r="A233" s="1" t="str">
        <f>INDEX([2]活动总表!$A$8:$A$429,MATCH(B233,[2]活动总表!$B$8:$B$429,0))</f>
        <v>腊八-限购礼包（61-无限天）1</v>
      </c>
      <c r="B233" s="1">
        <v>419</v>
      </c>
      <c r="C233" s="1">
        <v>3</v>
      </c>
      <c r="D233" s="1">
        <v>7</v>
      </c>
      <c r="E233" s="1">
        <v>0</v>
      </c>
      <c r="F233" s="1" t="s">
        <v>706</v>
      </c>
      <c r="G233" s="1">
        <v>2888</v>
      </c>
      <c r="H233" s="1">
        <v>9000</v>
      </c>
      <c r="I233" s="1">
        <v>1</v>
      </c>
      <c r="O233" s="1">
        <v>32</v>
      </c>
      <c r="X233" s="1">
        <v>201106</v>
      </c>
      <c r="Y233" s="1" t="str">
        <f>IFERROR(INDEX([1]物品基础表!$A:$A,MATCH(X233,[1]物品基础表!$B:$B,0)),"")</f>
        <v>高级轮回丹·无限制</v>
      </c>
      <c r="Z233" s="1">
        <v>9</v>
      </c>
      <c r="AB233" s="1" t="str">
        <f>IFERROR(INDEX([1]物品基础表!$A:$A,MATCH(AA233,[1]物品基础表!$B:$B,0)),"")</f>
        <v/>
      </c>
      <c r="AE233" s="1" t="str">
        <f>IFERROR(INDEX([1]物品基础表!$A:$A,MATCH(AD233,[1]物品基础表!$B:$B,0)),"")</f>
        <v/>
      </c>
      <c r="AH233" s="1" t="str">
        <f>IFERROR(INDEX([1]物品基础表!$A:$A,MATCH(AG233,[1]物品基础表!$B:$B,0)),"")</f>
        <v/>
      </c>
      <c r="AK233" s="1" t="str">
        <f>IFERROR(INDEX([1]物品基础表!$A:$A,MATCH(AJ233,[1]物品基础表!$B:$B,0)),"")</f>
        <v/>
      </c>
      <c r="AN233" s="1" t="str">
        <f>IFERROR(INDEX([1]物品基础表!$A:$A,MATCH(AM233,[1]物品基础表!$B:$B,0)),"")</f>
        <v/>
      </c>
      <c r="AQ233" s="1" t="str">
        <f>IFERROR(INDEX([1]物品基础表!$A:$A,MATCH(AP233,[1]物品基础表!$B:$B,0)),"")</f>
        <v/>
      </c>
    </row>
    <row r="234" spans="1:43">
      <c r="A234" s="1" t="str">
        <f>INDEX([2]活动总表!$A$8:$A$429,MATCH(B234,[2]活动总表!$B$8:$B$429,0))</f>
        <v>腊八-限购礼包（61-无限天）1</v>
      </c>
      <c r="B234" s="1">
        <v>419</v>
      </c>
      <c r="C234" s="1">
        <v>4</v>
      </c>
      <c r="D234" s="1">
        <v>7</v>
      </c>
      <c r="E234" s="1">
        <v>0</v>
      </c>
      <c r="F234" s="1" t="s">
        <v>706</v>
      </c>
      <c r="G234" s="1">
        <v>6888</v>
      </c>
      <c r="H234" s="1">
        <v>19996</v>
      </c>
      <c r="I234" s="1">
        <v>1</v>
      </c>
      <c r="O234" s="1">
        <v>34</v>
      </c>
      <c r="X234" s="1">
        <v>201107</v>
      </c>
      <c r="Y234" s="1" t="str">
        <f>IFERROR(INDEX([1]物品基础表!$A:$A,MATCH(X234,[1]物品基础表!$B:$B,0)),"")</f>
        <v>超级轮回丹·无限制</v>
      </c>
      <c r="Z234" s="1">
        <v>2</v>
      </c>
      <c r="AB234" s="1" t="str">
        <f>IFERROR(INDEX([1]物品基础表!$A:$A,MATCH(AA234,[1]物品基础表!$B:$B,0)),"")</f>
        <v/>
      </c>
      <c r="AE234" s="1" t="str">
        <f>IFERROR(INDEX([1]物品基础表!$A:$A,MATCH(AD234,[1]物品基础表!$B:$B,0)),"")</f>
        <v/>
      </c>
      <c r="AH234" s="1" t="str">
        <f>IFERROR(INDEX([1]物品基础表!$A:$A,MATCH(AG234,[1]物品基础表!$B:$B,0)),"")</f>
        <v/>
      </c>
      <c r="AK234" s="1" t="str">
        <f>IFERROR(INDEX([1]物品基础表!$A:$A,MATCH(AJ234,[1]物品基础表!$B:$B,0)),"")</f>
        <v/>
      </c>
      <c r="AN234" s="1" t="str">
        <f>IFERROR(INDEX([1]物品基础表!$A:$A,MATCH(AM234,[1]物品基础表!$B:$B,0)),"")</f>
        <v/>
      </c>
      <c r="AQ234" s="1" t="str">
        <f>IFERROR(INDEX([1]物品基础表!$A:$A,MATCH(AP234,[1]物品基础表!$B:$B,0)),"")</f>
        <v/>
      </c>
    </row>
    <row r="235" spans="1:43">
      <c r="A235" s="1" t="str">
        <f>INDEX([2]活动总表!$A$8:$A$429,MATCH(B235,[2]活动总表!$B$8:$B$429,0))</f>
        <v>腊八-限购礼包（61-无限天）1</v>
      </c>
      <c r="B235" s="1">
        <v>419</v>
      </c>
      <c r="C235" s="1">
        <v>5</v>
      </c>
      <c r="D235" s="1">
        <v>5</v>
      </c>
      <c r="E235" s="1">
        <v>0</v>
      </c>
      <c r="F235" s="1" t="s">
        <v>706</v>
      </c>
      <c r="G235" s="1">
        <v>8888</v>
      </c>
      <c r="H235" s="1">
        <v>14998</v>
      </c>
      <c r="I235" s="1">
        <v>3</v>
      </c>
      <c r="O235" s="1">
        <v>59</v>
      </c>
      <c r="X235" s="1">
        <v>201107</v>
      </c>
      <c r="Y235" s="1" t="str">
        <f>IFERROR(INDEX([1]物品基础表!$A:$A,MATCH(X235,[1]物品基础表!$B:$B,0)),"")</f>
        <v>超级轮回丹·无限制</v>
      </c>
      <c r="Z235" s="1">
        <v>1</v>
      </c>
      <c r="AA235" s="1">
        <v>201106</v>
      </c>
      <c r="AB235" s="1" t="str">
        <f>IFERROR(INDEX([1]物品基础表!$A:$A,MATCH(AA235,[1]物品基础表!$B:$B,0)),"")</f>
        <v>高级轮回丹·无限制</v>
      </c>
      <c r="AC235" s="1">
        <v>5</v>
      </c>
      <c r="AE235" s="1" t="str">
        <f>IFERROR(INDEX([1]物品基础表!$A:$A,MATCH(AD235,[1]物品基础表!$B:$B,0)),"")</f>
        <v/>
      </c>
      <c r="AH235" s="1" t="str">
        <f>IFERROR(INDEX([1]物品基础表!$A:$A,MATCH(AG235,[1]物品基础表!$B:$B,0)),"")</f>
        <v/>
      </c>
      <c r="AK235" s="1" t="str">
        <f>IFERROR(INDEX([1]物品基础表!$A:$A,MATCH(AJ235,[1]物品基础表!$B:$B,0)),"")</f>
        <v/>
      </c>
      <c r="AN235" s="1" t="str">
        <f>IFERROR(INDEX([1]物品基础表!$A:$A,MATCH(AM235,[1]物品基础表!$B:$B,0)),"")</f>
        <v/>
      </c>
      <c r="AQ235" s="1" t="str">
        <f>IFERROR(INDEX([1]物品基础表!$A:$A,MATCH(AP235,[1]物品基础表!$B:$B,0)),"")</f>
        <v/>
      </c>
    </row>
    <row r="236" spans="1:43">
      <c r="A236" s="1" t="str">
        <f>INDEX([2]活动总表!$A$8:$A$429,MATCH(B236,[2]活动总表!$B$8:$B$429,0))</f>
        <v>腊八-限购礼包（61-无限天）2</v>
      </c>
      <c r="B236" s="1">
        <v>420</v>
      </c>
      <c r="C236" s="1">
        <v>1</v>
      </c>
      <c r="D236" s="1">
        <v>5</v>
      </c>
      <c r="E236" s="1">
        <v>0</v>
      </c>
      <c r="F236" s="1" t="s">
        <v>706</v>
      </c>
      <c r="G236" s="1">
        <v>888</v>
      </c>
      <c r="H236" s="1">
        <v>1480</v>
      </c>
      <c r="I236" s="1">
        <v>1</v>
      </c>
      <c r="O236" s="1">
        <v>60</v>
      </c>
      <c r="X236" s="1">
        <v>200005</v>
      </c>
      <c r="Y236" s="1" t="str">
        <f>IFERROR(INDEX([1]物品基础表!$A:$A,MATCH(X236,[1]物品基础表!$B:$B,0)),"")</f>
        <v>龙魂碎片</v>
      </c>
      <c r="Z236" s="1">
        <v>10</v>
      </c>
      <c r="AA236" s="1">
        <v>200906</v>
      </c>
      <c r="AB236" s="1" t="str">
        <f>IFERROR(INDEX([1]物品基础表!$A:$A,MATCH(AA236,[1]物品基础表!$B:$B,0)),"")</f>
        <v>神兵经验丹（1W</v>
      </c>
      <c r="AC236" s="1">
        <v>12</v>
      </c>
      <c r="AE236" s="1" t="str">
        <f>IFERROR(INDEX([1]物品基础表!$A:$A,MATCH(AD236,[1]物品基础表!$B:$B,0)),"")</f>
        <v/>
      </c>
      <c r="AH236" s="1" t="str">
        <f>IFERROR(INDEX([1]物品基础表!$A:$A,MATCH(AG236,[1]物品基础表!$B:$B,0)),"")</f>
        <v/>
      </c>
      <c r="AK236" s="1" t="str">
        <f>IFERROR(INDEX([1]物品基础表!$A:$A,MATCH(AJ236,[1]物品基础表!$B:$B,0)),"")</f>
        <v/>
      </c>
      <c r="AN236" s="1" t="str">
        <f>IFERROR(INDEX([1]物品基础表!$A:$A,MATCH(AM236,[1]物品基础表!$B:$B,0)),"")</f>
        <v/>
      </c>
      <c r="AQ236" s="1" t="str">
        <f>IFERROR(INDEX([1]物品基础表!$A:$A,MATCH(AP236,[1]物品基础表!$B:$B,0)),"")</f>
        <v/>
      </c>
    </row>
    <row r="237" spans="1:43">
      <c r="A237" s="1" t="str">
        <f>INDEX([2]活动总表!$A$8:$A$429,MATCH(B237,[2]活动总表!$B$8:$B$429,0))</f>
        <v>腊八-限购礼包（61-无限天）2</v>
      </c>
      <c r="B237" s="1">
        <v>420</v>
      </c>
      <c r="C237" s="1">
        <v>2</v>
      </c>
      <c r="D237" s="1">
        <v>8</v>
      </c>
      <c r="E237" s="1">
        <v>0</v>
      </c>
      <c r="F237" s="1" t="s">
        <v>706</v>
      </c>
      <c r="G237" s="1">
        <v>1588</v>
      </c>
      <c r="H237" s="1">
        <v>4900</v>
      </c>
      <c r="I237" s="1">
        <v>1</v>
      </c>
      <c r="O237" s="1">
        <v>32</v>
      </c>
      <c r="X237" s="1">
        <v>200005</v>
      </c>
      <c r="Y237" s="1" t="str">
        <f>IFERROR(INDEX([1]物品基础表!$A:$A,MATCH(X237,[1]物品基础表!$B:$B,0)),"")</f>
        <v>龙魂碎片</v>
      </c>
      <c r="Z237" s="1">
        <v>35</v>
      </c>
      <c r="AA237" s="1">
        <v>200906</v>
      </c>
      <c r="AB237" s="1" t="str">
        <f>IFERROR(INDEX([1]物品基础表!$A:$A,MATCH(AA237,[1]物品基础表!$B:$B,0)),"")</f>
        <v>神兵经验丹（1W</v>
      </c>
      <c r="AC237" s="1">
        <v>35</v>
      </c>
      <c r="AE237" s="1" t="str">
        <f>IFERROR(INDEX([1]物品基础表!$A:$A,MATCH(AD237,[1]物品基础表!$B:$B,0)),"")</f>
        <v/>
      </c>
      <c r="AH237" s="1" t="str">
        <f>IFERROR(INDEX([1]物品基础表!$A:$A,MATCH(AG237,[1]物品基础表!$B:$B,0)),"")</f>
        <v/>
      </c>
      <c r="AK237" s="1" t="str">
        <f>IFERROR(INDEX([1]物品基础表!$A:$A,MATCH(AJ237,[1]物品基础表!$B:$B,0)),"")</f>
        <v/>
      </c>
      <c r="AN237" s="1" t="str">
        <f>IFERROR(INDEX([1]物品基础表!$A:$A,MATCH(AM237,[1]物品基础表!$B:$B,0)),"")</f>
        <v/>
      </c>
      <c r="AQ237" s="1" t="str">
        <f>IFERROR(INDEX([1]物品基础表!$A:$A,MATCH(AP237,[1]物品基础表!$B:$B,0)),"")</f>
        <v/>
      </c>
    </row>
    <row r="238" spans="1:43">
      <c r="A238" s="1" t="str">
        <f>INDEX([2]活动总表!$A$8:$A$429,MATCH(B238,[2]活动总表!$B$8:$B$429,0))</f>
        <v>腊八-限购礼包（61-无限天）2</v>
      </c>
      <c r="B238" s="1">
        <v>420</v>
      </c>
      <c r="C238" s="1">
        <v>3</v>
      </c>
      <c r="D238" s="1">
        <v>8</v>
      </c>
      <c r="E238" s="1">
        <v>0</v>
      </c>
      <c r="F238" s="1" t="s">
        <v>706</v>
      </c>
      <c r="G238" s="1">
        <v>2888</v>
      </c>
      <c r="H238" s="1">
        <v>9100</v>
      </c>
      <c r="I238" s="1">
        <v>1</v>
      </c>
      <c r="O238" s="1">
        <v>31</v>
      </c>
      <c r="X238" s="1">
        <v>200005</v>
      </c>
      <c r="Y238" s="1" t="str">
        <f>IFERROR(INDEX([1]物品基础表!$A:$A,MATCH(X238,[1]物品基础表!$B:$B,0)),"")</f>
        <v>龙魂碎片</v>
      </c>
      <c r="Z238" s="1">
        <v>65</v>
      </c>
      <c r="AA238" s="1">
        <v>200906</v>
      </c>
      <c r="AB238" s="1" t="str">
        <f>IFERROR(INDEX([1]物品基础表!$A:$A,MATCH(AA238,[1]物品基础表!$B:$B,0)),"")</f>
        <v>神兵经验丹（1W</v>
      </c>
      <c r="AC238" s="1">
        <v>65</v>
      </c>
      <c r="AE238" s="1" t="str">
        <f>IFERROR(INDEX([1]物品基础表!$A:$A,MATCH(AD238,[1]物品基础表!$B:$B,0)),"")</f>
        <v/>
      </c>
      <c r="AH238" s="1" t="str">
        <f>IFERROR(INDEX([1]物品基础表!$A:$A,MATCH(AG238,[1]物品基础表!$B:$B,0)),"")</f>
        <v/>
      </c>
      <c r="AK238" s="1" t="str">
        <f>IFERROR(INDEX([1]物品基础表!$A:$A,MATCH(AJ238,[1]物品基础表!$B:$B,0)),"")</f>
        <v/>
      </c>
      <c r="AN238" s="1" t="str">
        <f>IFERROR(INDEX([1]物品基础表!$A:$A,MATCH(AM238,[1]物品基础表!$B:$B,0)),"")</f>
        <v/>
      </c>
      <c r="AQ238" s="1" t="str">
        <f>IFERROR(INDEX([1]物品基础表!$A:$A,MATCH(AP238,[1]物品基础表!$B:$B,0)),"")</f>
        <v/>
      </c>
    </row>
    <row r="239" spans="1:43">
      <c r="A239" s="1" t="str">
        <f>INDEX([2]活动总表!$A$8:$A$429,MATCH(B239,[2]活动总表!$B$8:$B$429,0))</f>
        <v>腊八-限购礼包（61-无限天）2</v>
      </c>
      <c r="B239" s="1">
        <v>420</v>
      </c>
      <c r="C239" s="1">
        <v>4</v>
      </c>
      <c r="D239" s="1">
        <v>8</v>
      </c>
      <c r="E239" s="1">
        <v>0</v>
      </c>
      <c r="F239" s="1" t="s">
        <v>706</v>
      </c>
      <c r="G239" s="1">
        <v>6888</v>
      </c>
      <c r="H239" s="1">
        <v>19800</v>
      </c>
      <c r="I239" s="1">
        <v>1</v>
      </c>
      <c r="O239" s="1">
        <v>34</v>
      </c>
      <c r="X239" s="1">
        <v>200005</v>
      </c>
      <c r="Y239" s="1" t="str">
        <f>IFERROR(INDEX([1]物品基础表!$A:$A,MATCH(X239,[1]物品基础表!$B:$B,0)),"")</f>
        <v>龙魂碎片</v>
      </c>
      <c r="Z239" s="1">
        <v>130</v>
      </c>
      <c r="AA239" s="1">
        <v>200906</v>
      </c>
      <c r="AB239" s="1" t="str">
        <f>IFERROR(INDEX([1]物品基础表!$A:$A,MATCH(AA239,[1]物品基础表!$B:$B,0)),"")</f>
        <v>神兵经验丹（1W</v>
      </c>
      <c r="AC239" s="1">
        <v>170</v>
      </c>
      <c r="AE239" s="1" t="str">
        <f>IFERROR(INDEX([1]物品基础表!$A:$A,MATCH(AD239,[1]物品基础表!$B:$B,0)),"")</f>
        <v/>
      </c>
      <c r="AH239" s="1" t="str">
        <f>IFERROR(INDEX([1]物品基础表!$A:$A,MATCH(AG239,[1]物品基础表!$B:$B,0)),"")</f>
        <v/>
      </c>
      <c r="AK239" s="1" t="str">
        <f>IFERROR(INDEX([1]物品基础表!$A:$A,MATCH(AJ239,[1]物品基础表!$B:$B,0)),"")</f>
        <v/>
      </c>
      <c r="AN239" s="1" t="str">
        <f>IFERROR(INDEX([1]物品基础表!$A:$A,MATCH(AM239,[1]物品基础表!$B:$B,0)),"")</f>
        <v/>
      </c>
      <c r="AQ239" s="1" t="str">
        <f>IFERROR(INDEX([1]物品基础表!$A:$A,MATCH(AP239,[1]物品基础表!$B:$B,0)),"")</f>
        <v/>
      </c>
    </row>
    <row r="240" spans="1:43">
      <c r="A240" s="1" t="str">
        <f>INDEX([2]活动总表!$A$8:$A$429,MATCH(B240,[2]活动总表!$B$8:$B$429,0))</f>
        <v>腊八-限购礼包（61-无限天）2</v>
      </c>
      <c r="B240" s="1">
        <v>420</v>
      </c>
      <c r="C240" s="1">
        <v>5</v>
      </c>
      <c r="D240" s="1">
        <v>5</v>
      </c>
      <c r="E240" s="1">
        <v>0</v>
      </c>
      <c r="F240" s="1" t="s">
        <v>706</v>
      </c>
      <c r="G240" s="1">
        <v>8888</v>
      </c>
      <c r="H240" s="1">
        <v>14800</v>
      </c>
      <c r="I240" s="1">
        <v>3</v>
      </c>
      <c r="O240" s="1">
        <v>60</v>
      </c>
      <c r="X240" s="1">
        <v>200005</v>
      </c>
      <c r="Y240" s="1" t="str">
        <f>IFERROR(INDEX([1]物品基础表!$A:$A,MATCH(X240,[1]物品基础表!$B:$B,0)),"")</f>
        <v>龙魂碎片</v>
      </c>
      <c r="Z240" s="1">
        <v>100</v>
      </c>
      <c r="AA240" s="1">
        <v>200906</v>
      </c>
      <c r="AB240" s="1" t="str">
        <f>IFERROR(INDEX([1]物品基础表!$A:$A,MATCH(AA240,[1]物品基础表!$B:$B,0)),"")</f>
        <v>神兵经验丹（1W</v>
      </c>
      <c r="AC240" s="1">
        <v>120</v>
      </c>
      <c r="AE240" s="1" t="str">
        <f>IFERROR(INDEX([1]物品基础表!$A:$A,MATCH(AD240,[1]物品基础表!$B:$B,0)),"")</f>
        <v/>
      </c>
      <c r="AH240" s="1" t="str">
        <f>IFERROR(INDEX([1]物品基础表!$A:$A,MATCH(AG240,[1]物品基础表!$B:$B,0)),"")</f>
        <v/>
      </c>
      <c r="AK240" s="1" t="str">
        <f>IFERROR(INDEX([1]物品基础表!$A:$A,MATCH(AJ240,[1]物品基础表!$B:$B,0)),"")</f>
        <v/>
      </c>
      <c r="AN240" s="1" t="str">
        <f>IFERROR(INDEX([1]物品基础表!$A:$A,MATCH(AM240,[1]物品基础表!$B:$B,0)),"")</f>
        <v/>
      </c>
      <c r="AQ240" s="1" t="str">
        <f>IFERROR(INDEX([1]物品基础表!$A:$A,MATCH(AP240,[1]物品基础表!$B:$B,0)),"")</f>
        <v/>
      </c>
    </row>
    <row r="241" spans="1:43">
      <c r="A241" s="1" t="str">
        <f>INDEX([2]活动总表!$A$8:$A$429,MATCH(B241,[2]活动总表!$B$8:$B$429,0))</f>
        <v>腊八-限购礼包（61-无限天）3</v>
      </c>
      <c r="B241" s="1">
        <v>421</v>
      </c>
      <c r="C241" s="1">
        <v>1</v>
      </c>
      <c r="D241" s="1">
        <v>5</v>
      </c>
      <c r="E241" s="1">
        <v>0</v>
      </c>
      <c r="F241" s="1" t="s">
        <v>706</v>
      </c>
      <c r="G241" s="1">
        <v>888</v>
      </c>
      <c r="H241" s="1">
        <v>1500</v>
      </c>
      <c r="I241" s="1">
        <v>1</v>
      </c>
      <c r="O241" s="1">
        <v>59</v>
      </c>
      <c r="X241" s="1">
        <v>200301</v>
      </c>
      <c r="Y241" s="1" t="str">
        <f>IFERROR(INDEX([1]物品基础表!$A:$A,MATCH(X241,[1]物品基础表!$B:$B,0)),"")</f>
        <v>传世宝钻</v>
      </c>
      <c r="Z241" s="1">
        <v>15</v>
      </c>
      <c r="AB241" s="1" t="str">
        <f>IFERROR(INDEX([1]物品基础表!$A:$A,MATCH(AA241,[1]物品基础表!$B:$B,0)),"")</f>
        <v/>
      </c>
      <c r="AE241" s="1" t="str">
        <f>IFERROR(INDEX([1]物品基础表!$A:$A,MATCH(AD241,[1]物品基础表!$B:$B,0)),"")</f>
        <v/>
      </c>
      <c r="AH241" s="1" t="str">
        <f>IFERROR(INDEX([1]物品基础表!$A:$A,MATCH(AG241,[1]物品基础表!$B:$B,0)),"")</f>
        <v/>
      </c>
      <c r="AK241" s="1" t="str">
        <f>IFERROR(INDEX([1]物品基础表!$A:$A,MATCH(AJ241,[1]物品基础表!$B:$B,0)),"")</f>
        <v/>
      </c>
      <c r="AN241" s="1" t="str">
        <f>IFERROR(INDEX([1]物品基础表!$A:$A,MATCH(AM241,[1]物品基础表!$B:$B,0)),"")</f>
        <v/>
      </c>
      <c r="AQ241" s="1" t="str">
        <f>IFERROR(INDEX([1]物品基础表!$A:$A,MATCH(AP241,[1]物品基础表!$B:$B,0)),"")</f>
        <v/>
      </c>
    </row>
    <row r="242" spans="1:43">
      <c r="A242" s="1" t="str">
        <f>INDEX([2]活动总表!$A$8:$A$429,MATCH(B242,[2]活动总表!$B$8:$B$429,0))</f>
        <v>腊八-限购礼包（61-无限天）3</v>
      </c>
      <c r="B242" s="1">
        <v>421</v>
      </c>
      <c r="C242" s="1">
        <v>2</v>
      </c>
      <c r="D242" s="1">
        <v>8</v>
      </c>
      <c r="E242" s="1">
        <v>0</v>
      </c>
      <c r="F242" s="1" t="s">
        <v>706</v>
      </c>
      <c r="G242" s="1">
        <v>1588</v>
      </c>
      <c r="H242" s="1">
        <v>5000</v>
      </c>
      <c r="I242" s="1">
        <v>1</v>
      </c>
      <c r="O242" s="1">
        <v>31</v>
      </c>
      <c r="X242" s="1">
        <v>200301</v>
      </c>
      <c r="Y242" s="1" t="str">
        <f>IFERROR(INDEX([1]物品基础表!$A:$A,MATCH(X242,[1]物品基础表!$B:$B,0)),"")</f>
        <v>传世宝钻</v>
      </c>
      <c r="Z242" s="1">
        <v>50</v>
      </c>
      <c r="AB242" s="1" t="str">
        <f>IFERROR(INDEX([1]物品基础表!$A:$A,MATCH(AA242,[1]物品基础表!$B:$B,0)),"")</f>
        <v/>
      </c>
      <c r="AE242" s="1" t="str">
        <f>IFERROR(INDEX([1]物品基础表!$A:$A,MATCH(AD242,[1]物品基础表!$B:$B,0)),"")</f>
        <v/>
      </c>
      <c r="AH242" s="1" t="str">
        <f>IFERROR(INDEX([1]物品基础表!$A:$A,MATCH(AG242,[1]物品基础表!$B:$B,0)),"")</f>
        <v/>
      </c>
      <c r="AK242" s="1" t="str">
        <f>IFERROR(INDEX([1]物品基础表!$A:$A,MATCH(AJ242,[1]物品基础表!$B:$B,0)),"")</f>
        <v/>
      </c>
      <c r="AN242" s="1" t="str">
        <f>IFERROR(INDEX([1]物品基础表!$A:$A,MATCH(AM242,[1]物品基础表!$B:$B,0)),"")</f>
        <v/>
      </c>
      <c r="AQ242" s="1" t="str">
        <f>IFERROR(INDEX([1]物品基础表!$A:$A,MATCH(AP242,[1]物品基础表!$B:$B,0)),"")</f>
        <v/>
      </c>
    </row>
    <row r="243" spans="1:43">
      <c r="A243" s="1" t="str">
        <f>INDEX([2]活动总表!$A$8:$A$429,MATCH(B243,[2]活动总表!$B$8:$B$429,0))</f>
        <v>腊八-限购礼包（61-无限天）3</v>
      </c>
      <c r="B243" s="1">
        <v>421</v>
      </c>
      <c r="C243" s="1">
        <v>3</v>
      </c>
      <c r="D243" s="1">
        <v>8</v>
      </c>
      <c r="E243" s="1">
        <v>0</v>
      </c>
      <c r="F243" s="1" t="s">
        <v>706</v>
      </c>
      <c r="G243" s="1">
        <v>2888</v>
      </c>
      <c r="H243" s="1">
        <v>9000</v>
      </c>
      <c r="I243" s="1">
        <v>1</v>
      </c>
      <c r="O243" s="1">
        <v>32</v>
      </c>
      <c r="X243" s="1">
        <v>200301</v>
      </c>
      <c r="Y243" s="1" t="str">
        <f>IFERROR(INDEX([1]物品基础表!$A:$A,MATCH(X243,[1]物品基础表!$B:$B,0)),"")</f>
        <v>传世宝钻</v>
      </c>
      <c r="Z243" s="1">
        <v>90</v>
      </c>
      <c r="AB243" s="1" t="str">
        <f>IFERROR(INDEX([1]物品基础表!$A:$A,MATCH(AA243,[1]物品基础表!$B:$B,0)),"")</f>
        <v/>
      </c>
      <c r="AE243" s="1" t="str">
        <f>IFERROR(INDEX([1]物品基础表!$A:$A,MATCH(AD243,[1]物品基础表!$B:$B,0)),"")</f>
        <v/>
      </c>
      <c r="AH243" s="1" t="str">
        <f>IFERROR(INDEX([1]物品基础表!$A:$A,MATCH(AG243,[1]物品基础表!$B:$B,0)),"")</f>
        <v/>
      </c>
      <c r="AK243" s="1" t="str">
        <f>IFERROR(INDEX([1]物品基础表!$A:$A,MATCH(AJ243,[1]物品基础表!$B:$B,0)),"")</f>
        <v/>
      </c>
      <c r="AN243" s="1" t="str">
        <f>IFERROR(INDEX([1]物品基础表!$A:$A,MATCH(AM243,[1]物品基础表!$B:$B,0)),"")</f>
        <v/>
      </c>
      <c r="AQ243" s="1" t="str">
        <f>IFERROR(INDEX([1]物品基础表!$A:$A,MATCH(AP243,[1]物品基础表!$B:$B,0)),"")</f>
        <v/>
      </c>
    </row>
    <row r="244" spans="1:43">
      <c r="A244" s="1" t="str">
        <f>INDEX([2]活动总表!$A$8:$A$429,MATCH(B244,[2]活动总表!$B$8:$B$429,0))</f>
        <v>腊八-限购礼包（61-无限天）3</v>
      </c>
      <c r="B244" s="1">
        <v>421</v>
      </c>
      <c r="C244" s="1">
        <v>4</v>
      </c>
      <c r="D244" s="1">
        <v>8</v>
      </c>
      <c r="E244" s="1">
        <v>0</v>
      </c>
      <c r="F244" s="1" t="s">
        <v>706</v>
      </c>
      <c r="G244" s="1">
        <v>6888</v>
      </c>
      <c r="H244" s="1">
        <v>20000</v>
      </c>
      <c r="I244" s="1">
        <v>1</v>
      </c>
      <c r="O244" s="1">
        <v>34</v>
      </c>
      <c r="X244" s="1">
        <v>200301</v>
      </c>
      <c r="Y244" s="1" t="str">
        <f>IFERROR(INDEX([1]物品基础表!$A:$A,MATCH(X244,[1]物品基础表!$B:$B,0)),"")</f>
        <v>传世宝钻</v>
      </c>
      <c r="Z244" s="1">
        <v>200</v>
      </c>
      <c r="AB244" s="1" t="str">
        <f>IFERROR(INDEX([1]物品基础表!$A:$A,MATCH(AA244,[1]物品基础表!$B:$B,0)),"")</f>
        <v/>
      </c>
      <c r="AE244" s="1" t="str">
        <f>IFERROR(INDEX([1]物品基础表!$A:$A,MATCH(AD244,[1]物品基础表!$B:$B,0)),"")</f>
        <v/>
      </c>
      <c r="AH244" s="1" t="str">
        <f>IFERROR(INDEX([1]物品基础表!$A:$A,MATCH(AG244,[1]物品基础表!$B:$B,0)),"")</f>
        <v/>
      </c>
      <c r="AK244" s="1" t="str">
        <f>IFERROR(INDEX([1]物品基础表!$A:$A,MATCH(AJ244,[1]物品基础表!$B:$B,0)),"")</f>
        <v/>
      </c>
      <c r="AN244" s="1" t="str">
        <f>IFERROR(INDEX([1]物品基础表!$A:$A,MATCH(AM244,[1]物品基础表!$B:$B,0)),"")</f>
        <v/>
      </c>
      <c r="AQ244" s="1" t="str">
        <f>IFERROR(INDEX([1]物品基础表!$A:$A,MATCH(AP244,[1]物品基础表!$B:$B,0)),"")</f>
        <v/>
      </c>
    </row>
    <row r="245" spans="1:43">
      <c r="A245" s="1" t="str">
        <f>INDEX([2]活动总表!$A$8:$A$429,MATCH(B245,[2]活动总表!$B$8:$B$429,0))</f>
        <v>腊八-限购礼包（61-无限天）3</v>
      </c>
      <c r="B245" s="1">
        <v>421</v>
      </c>
      <c r="C245" s="1">
        <v>5</v>
      </c>
      <c r="D245" s="1">
        <v>5</v>
      </c>
      <c r="E245" s="1">
        <v>0</v>
      </c>
      <c r="F245" s="1" t="s">
        <v>706</v>
      </c>
      <c r="G245" s="1">
        <v>8888</v>
      </c>
      <c r="H245" s="1">
        <v>15000</v>
      </c>
      <c r="I245" s="1">
        <v>3</v>
      </c>
      <c r="O245" s="1">
        <v>59</v>
      </c>
      <c r="X245" s="1">
        <v>200301</v>
      </c>
      <c r="Y245" s="1" t="str">
        <f>IFERROR(INDEX([1]物品基础表!$A:$A,MATCH(X245,[1]物品基础表!$B:$B,0)),"")</f>
        <v>传世宝钻</v>
      </c>
      <c r="Z245" s="1">
        <v>150</v>
      </c>
      <c r="AB245" s="1" t="str">
        <f>IFERROR(INDEX([1]物品基础表!$A:$A,MATCH(AA245,[1]物品基础表!$B:$B,0)),"")</f>
        <v/>
      </c>
      <c r="AE245" s="1" t="str">
        <f>IFERROR(INDEX([1]物品基础表!$A:$A,MATCH(AD245,[1]物品基础表!$B:$B,0)),"")</f>
        <v/>
      </c>
      <c r="AH245" s="1" t="str">
        <f>IFERROR(INDEX([1]物品基础表!$A:$A,MATCH(AG245,[1]物品基础表!$B:$B,0)),"")</f>
        <v/>
      </c>
      <c r="AK245" s="1" t="str">
        <f>IFERROR(INDEX([1]物品基础表!$A:$A,MATCH(AJ245,[1]物品基础表!$B:$B,0)),"")</f>
        <v/>
      </c>
      <c r="AN245" s="1" t="str">
        <f>IFERROR(INDEX([1]物品基础表!$A:$A,MATCH(AM245,[1]物品基础表!$B:$B,0)),"")</f>
        <v/>
      </c>
      <c r="AQ245" s="1" t="str">
        <f>IFERROR(INDEX([1]物品基础表!$A:$A,MATCH(AP245,[1]物品基础表!$B:$B,0)),"")</f>
        <v/>
      </c>
    </row>
    <row r="246" spans="1:43">
      <c r="A246" s="1" t="str">
        <f>INDEX([2]活动总表!$A$8:$A$429,MATCH(B246,[2]活动总表!$B$8:$B$429,0))</f>
        <v>腊八-限购礼包（61-无限天）4</v>
      </c>
      <c r="B246" s="1">
        <v>422</v>
      </c>
      <c r="C246" s="1">
        <v>1</v>
      </c>
      <c r="D246" s="1">
        <v>5</v>
      </c>
      <c r="E246" s="1">
        <v>0</v>
      </c>
      <c r="F246" s="1" t="s">
        <v>706</v>
      </c>
      <c r="G246" s="1">
        <v>888</v>
      </c>
      <c r="H246" s="1">
        <v>1500</v>
      </c>
      <c r="I246" s="1">
        <v>1</v>
      </c>
      <c r="O246" s="1">
        <v>59</v>
      </c>
      <c r="X246" s="1">
        <v>200015</v>
      </c>
      <c r="Y246" s="1" t="str">
        <f>IFERROR(INDEX([1]物品基础表!$A:$A,MATCH(X246,[1]物品基础表!$B:$B,0)),"")</f>
        <v>特戒碎片</v>
      </c>
      <c r="Z246" s="1">
        <v>150</v>
      </c>
      <c r="AB246" s="1" t="str">
        <f>IFERROR(INDEX([1]物品基础表!$A:$A,MATCH(AA246,[1]物品基础表!$B:$B,0)),"")</f>
        <v/>
      </c>
      <c r="AE246" s="1" t="str">
        <f>IFERROR(INDEX([1]物品基础表!$A:$A,MATCH(AD246,[1]物品基础表!$B:$B,0)),"")</f>
        <v/>
      </c>
      <c r="AH246" s="1" t="str">
        <f>IFERROR(INDEX([1]物品基础表!$A:$A,MATCH(AG246,[1]物品基础表!$B:$B,0)),"")</f>
        <v/>
      </c>
      <c r="AK246" s="1" t="str">
        <f>IFERROR(INDEX([1]物品基础表!$A:$A,MATCH(AJ246,[1]物品基础表!$B:$B,0)),"")</f>
        <v/>
      </c>
      <c r="AN246" s="1" t="str">
        <f>IFERROR(INDEX([1]物品基础表!$A:$A,MATCH(AM246,[1]物品基础表!$B:$B,0)),"")</f>
        <v/>
      </c>
      <c r="AQ246" s="1" t="str">
        <f>IFERROR(INDEX([1]物品基础表!$A:$A,MATCH(AP246,[1]物品基础表!$B:$B,0)),"")</f>
        <v/>
      </c>
    </row>
    <row r="247" spans="1:43">
      <c r="A247" s="1" t="str">
        <f>INDEX([2]活动总表!$A$8:$A$429,MATCH(B247,[2]活动总表!$B$8:$B$429,0))</f>
        <v>腊八-限购礼包（61-无限天）4</v>
      </c>
      <c r="B247" s="1">
        <v>422</v>
      </c>
      <c r="C247" s="1">
        <v>2</v>
      </c>
      <c r="D247" s="1">
        <v>8</v>
      </c>
      <c r="E247" s="1">
        <v>0</v>
      </c>
      <c r="F247" s="1" t="s">
        <v>706</v>
      </c>
      <c r="G247" s="1">
        <v>1588</v>
      </c>
      <c r="H247" s="1">
        <v>5000</v>
      </c>
      <c r="I247" s="1">
        <v>1</v>
      </c>
      <c r="O247" s="1">
        <v>31</v>
      </c>
      <c r="X247" s="1">
        <v>200015</v>
      </c>
      <c r="Y247" s="1" t="str">
        <f>IFERROR(INDEX([1]物品基础表!$A:$A,MATCH(X247,[1]物品基础表!$B:$B,0)),"")</f>
        <v>特戒碎片</v>
      </c>
      <c r="Z247" s="1">
        <v>500</v>
      </c>
      <c r="AB247" s="1" t="str">
        <f>IFERROR(INDEX([1]物品基础表!$A:$A,MATCH(AA247,[1]物品基础表!$B:$B,0)),"")</f>
        <v/>
      </c>
      <c r="AE247" s="1" t="str">
        <f>IFERROR(INDEX([1]物品基础表!$A:$A,MATCH(AD247,[1]物品基础表!$B:$B,0)),"")</f>
        <v/>
      </c>
      <c r="AH247" s="1" t="str">
        <f>IFERROR(INDEX([1]物品基础表!$A:$A,MATCH(AG247,[1]物品基础表!$B:$B,0)),"")</f>
        <v/>
      </c>
      <c r="AK247" s="1" t="str">
        <f>IFERROR(INDEX([1]物品基础表!$A:$A,MATCH(AJ247,[1]物品基础表!$B:$B,0)),"")</f>
        <v/>
      </c>
      <c r="AN247" s="1" t="str">
        <f>IFERROR(INDEX([1]物品基础表!$A:$A,MATCH(AM247,[1]物品基础表!$B:$B,0)),"")</f>
        <v/>
      </c>
      <c r="AQ247" s="1" t="str">
        <f>IFERROR(INDEX([1]物品基础表!$A:$A,MATCH(AP247,[1]物品基础表!$B:$B,0)),"")</f>
        <v/>
      </c>
    </row>
    <row r="248" spans="1:43">
      <c r="A248" s="1" t="str">
        <f>INDEX([2]活动总表!$A$8:$A$429,MATCH(B248,[2]活动总表!$B$8:$B$429,0))</f>
        <v>腊八-限购礼包（61-无限天）4</v>
      </c>
      <c r="B248" s="1">
        <v>422</v>
      </c>
      <c r="C248" s="1">
        <v>3</v>
      </c>
      <c r="D248" s="1">
        <v>8</v>
      </c>
      <c r="E248" s="1">
        <v>0</v>
      </c>
      <c r="F248" s="1" t="s">
        <v>706</v>
      </c>
      <c r="G248" s="1">
        <v>2888</v>
      </c>
      <c r="H248" s="1">
        <v>9000</v>
      </c>
      <c r="I248" s="1">
        <v>1</v>
      </c>
      <c r="O248" s="1">
        <v>32</v>
      </c>
      <c r="X248" s="1">
        <v>200015</v>
      </c>
      <c r="Y248" s="1" t="str">
        <f>IFERROR(INDEX([1]物品基础表!$A:$A,MATCH(X248,[1]物品基础表!$B:$B,0)),"")</f>
        <v>特戒碎片</v>
      </c>
      <c r="Z248" s="1">
        <v>900</v>
      </c>
      <c r="AB248" s="1" t="str">
        <f>IFERROR(INDEX([1]物品基础表!$A:$A,MATCH(AA248,[1]物品基础表!$B:$B,0)),"")</f>
        <v/>
      </c>
      <c r="AE248" s="1" t="str">
        <f>IFERROR(INDEX([1]物品基础表!$A:$A,MATCH(AD248,[1]物品基础表!$B:$B,0)),"")</f>
        <v/>
      </c>
      <c r="AH248" s="1" t="str">
        <f>IFERROR(INDEX([1]物品基础表!$A:$A,MATCH(AG248,[1]物品基础表!$B:$B,0)),"")</f>
        <v/>
      </c>
      <c r="AK248" s="1" t="str">
        <f>IFERROR(INDEX([1]物品基础表!$A:$A,MATCH(AJ248,[1]物品基础表!$B:$B,0)),"")</f>
        <v/>
      </c>
      <c r="AN248" s="1" t="str">
        <f>IFERROR(INDEX([1]物品基础表!$A:$A,MATCH(AM248,[1]物品基础表!$B:$B,0)),"")</f>
        <v/>
      </c>
      <c r="AQ248" s="1" t="str">
        <f>IFERROR(INDEX([1]物品基础表!$A:$A,MATCH(AP248,[1]物品基础表!$B:$B,0)),"")</f>
        <v/>
      </c>
    </row>
    <row r="249" spans="1:43">
      <c r="A249" s="1" t="str">
        <f>INDEX([2]活动总表!$A$8:$A$429,MATCH(B249,[2]活动总表!$B$8:$B$429,0))</f>
        <v>腊八-限购礼包（61-无限天）4</v>
      </c>
      <c r="B249" s="1">
        <v>422</v>
      </c>
      <c r="C249" s="1">
        <v>4</v>
      </c>
      <c r="D249" s="1">
        <v>8</v>
      </c>
      <c r="E249" s="1">
        <v>0</v>
      </c>
      <c r="F249" s="1" t="s">
        <v>706</v>
      </c>
      <c r="G249" s="1">
        <v>6888</v>
      </c>
      <c r="H249" s="1">
        <v>20000</v>
      </c>
      <c r="I249" s="1">
        <v>1</v>
      </c>
      <c r="O249" s="1">
        <v>34</v>
      </c>
      <c r="X249" s="1">
        <v>200015</v>
      </c>
      <c r="Y249" s="1" t="str">
        <f>IFERROR(INDEX([1]物品基础表!$A:$A,MATCH(X249,[1]物品基础表!$B:$B,0)),"")</f>
        <v>特戒碎片</v>
      </c>
      <c r="Z249" s="1">
        <v>2000</v>
      </c>
      <c r="AB249" s="1" t="str">
        <f>IFERROR(INDEX([1]物品基础表!$A:$A,MATCH(AA249,[1]物品基础表!$B:$B,0)),"")</f>
        <v/>
      </c>
      <c r="AE249" s="1" t="str">
        <f>IFERROR(INDEX([1]物品基础表!$A:$A,MATCH(AD249,[1]物品基础表!$B:$B,0)),"")</f>
        <v/>
      </c>
      <c r="AH249" s="1" t="str">
        <f>IFERROR(INDEX([1]物品基础表!$A:$A,MATCH(AG249,[1]物品基础表!$B:$B,0)),"")</f>
        <v/>
      </c>
      <c r="AK249" s="1" t="str">
        <f>IFERROR(INDEX([1]物品基础表!$A:$A,MATCH(AJ249,[1]物品基础表!$B:$B,0)),"")</f>
        <v/>
      </c>
      <c r="AN249" s="1" t="str">
        <f>IFERROR(INDEX([1]物品基础表!$A:$A,MATCH(AM249,[1]物品基础表!$B:$B,0)),"")</f>
        <v/>
      </c>
      <c r="AQ249" s="1" t="str">
        <f>IFERROR(INDEX([1]物品基础表!$A:$A,MATCH(AP249,[1]物品基础表!$B:$B,0)),"")</f>
        <v/>
      </c>
    </row>
    <row r="250" spans="1:43">
      <c r="A250" s="1" t="str">
        <f>INDEX([2]活动总表!$A$8:$A$429,MATCH(B250,[2]活动总表!$B$8:$B$429,0))</f>
        <v>腊八-限购礼包（61-无限天）4</v>
      </c>
      <c r="B250" s="1">
        <v>422</v>
      </c>
      <c r="C250" s="1">
        <v>5</v>
      </c>
      <c r="D250" s="1">
        <v>5</v>
      </c>
      <c r="E250" s="1">
        <v>0</v>
      </c>
      <c r="F250" s="1" t="s">
        <v>706</v>
      </c>
      <c r="G250" s="1">
        <v>8888</v>
      </c>
      <c r="H250" s="1">
        <v>15000</v>
      </c>
      <c r="I250" s="1">
        <v>3</v>
      </c>
      <c r="O250" s="1">
        <v>59</v>
      </c>
      <c r="X250" s="1">
        <v>200015</v>
      </c>
      <c r="Y250" s="1" t="str">
        <f>IFERROR(INDEX([1]物品基础表!$A:$A,MATCH(X250,[1]物品基础表!$B:$B,0)),"")</f>
        <v>特戒碎片</v>
      </c>
      <c r="Z250" s="1">
        <v>1500</v>
      </c>
      <c r="AB250" s="1" t="str">
        <f>IFERROR(INDEX([1]物品基础表!$A:$A,MATCH(AA250,[1]物品基础表!$B:$B,0)),"")</f>
        <v/>
      </c>
      <c r="AE250" s="1" t="str">
        <f>IFERROR(INDEX([1]物品基础表!$A:$A,MATCH(AD250,[1]物品基础表!$B:$B,0)),"")</f>
        <v/>
      </c>
      <c r="AH250" s="1" t="str">
        <f>IFERROR(INDEX([1]物品基础表!$A:$A,MATCH(AG250,[1]物品基础表!$B:$B,0)),"")</f>
        <v/>
      </c>
      <c r="AK250" s="1" t="str">
        <f>IFERROR(INDEX([1]物品基础表!$A:$A,MATCH(AJ250,[1]物品基础表!$B:$B,0)),"")</f>
        <v/>
      </c>
      <c r="AN250" s="1" t="str">
        <f>IFERROR(INDEX([1]物品基础表!$A:$A,MATCH(AM250,[1]物品基础表!$B:$B,0)),"")</f>
        <v/>
      </c>
      <c r="AQ250" s="1" t="str">
        <f>IFERROR(INDEX([1]物品基础表!$A:$A,MATCH(AP250,[1]物品基础表!$B:$B,0)),"")</f>
        <v/>
      </c>
    </row>
    <row r="251" spans="1:43">
      <c r="A251" s="1" t="str">
        <f>INDEX([2]活动总表!$A$8:$A$429,MATCH(B251,[2]活动总表!$B$8:$B$429,0))</f>
        <v>腊八-限购礼包（61-无限天）5</v>
      </c>
      <c r="B251" s="1">
        <v>423</v>
      </c>
      <c r="C251" s="1">
        <v>1</v>
      </c>
      <c r="D251" s="1">
        <v>5</v>
      </c>
      <c r="E251" s="1">
        <v>0</v>
      </c>
      <c r="F251" s="1" t="s">
        <v>706</v>
      </c>
      <c r="G251" s="1">
        <v>888</v>
      </c>
      <c r="H251" s="1">
        <v>1500</v>
      </c>
      <c r="I251" s="1">
        <v>1</v>
      </c>
      <c r="O251" s="1">
        <v>59</v>
      </c>
      <c r="X251" s="1">
        <v>200001</v>
      </c>
      <c r="Y251" s="1" t="str">
        <f>IFERROR(INDEX([1]物品基础表!$A:$A,MATCH(X251,[1]物品基础表!$B:$B,0)),"")</f>
        <v>羽毛</v>
      </c>
      <c r="Z251" s="1">
        <v>15</v>
      </c>
      <c r="AB251" s="1" t="str">
        <f>IFERROR(INDEX([1]物品基础表!$A:$A,MATCH(AA251,[1]物品基础表!$B:$B,0)),"")</f>
        <v/>
      </c>
      <c r="AE251" s="1" t="str">
        <f>IFERROR(INDEX([1]物品基础表!$A:$A,MATCH(AD251,[1]物品基础表!$B:$B,0)),"")</f>
        <v/>
      </c>
      <c r="AH251" s="1" t="str">
        <f>IFERROR(INDEX([1]物品基础表!$A:$A,MATCH(AG251,[1]物品基础表!$B:$B,0)),"")</f>
        <v/>
      </c>
      <c r="AK251" s="1" t="str">
        <f>IFERROR(INDEX([1]物品基础表!$A:$A,MATCH(AJ251,[1]物品基础表!$B:$B,0)),"")</f>
        <v/>
      </c>
      <c r="AN251" s="1" t="str">
        <f>IFERROR(INDEX([1]物品基础表!$A:$A,MATCH(AM251,[1]物品基础表!$B:$B,0)),"")</f>
        <v/>
      </c>
      <c r="AQ251" s="1" t="str">
        <f>IFERROR(INDEX([1]物品基础表!$A:$A,MATCH(AP251,[1]物品基础表!$B:$B,0)),"")</f>
        <v/>
      </c>
    </row>
    <row r="252" spans="1:43">
      <c r="A252" s="1" t="str">
        <f>INDEX([2]活动总表!$A$8:$A$429,MATCH(B252,[2]活动总表!$B$8:$B$429,0))</f>
        <v>腊八-限购礼包（61-无限天）5</v>
      </c>
      <c r="B252" s="1">
        <v>423</v>
      </c>
      <c r="C252" s="1">
        <v>2</v>
      </c>
      <c r="D252" s="1">
        <v>9</v>
      </c>
      <c r="E252" s="1">
        <v>0</v>
      </c>
      <c r="F252" s="1" t="s">
        <v>706</v>
      </c>
      <c r="G252" s="1">
        <v>1588</v>
      </c>
      <c r="H252" s="1">
        <v>5000</v>
      </c>
      <c r="I252" s="1">
        <v>1</v>
      </c>
      <c r="O252" s="1">
        <v>31</v>
      </c>
      <c r="X252" s="1">
        <v>200001</v>
      </c>
      <c r="Y252" s="1" t="str">
        <f>IFERROR(INDEX([1]物品基础表!$A:$A,MATCH(X252,[1]物品基础表!$B:$B,0)),"")</f>
        <v>羽毛</v>
      </c>
      <c r="Z252" s="1">
        <v>50</v>
      </c>
      <c r="AB252" s="1" t="str">
        <f>IFERROR(INDEX([1]物品基础表!$A:$A,MATCH(AA252,[1]物品基础表!$B:$B,0)),"")</f>
        <v/>
      </c>
      <c r="AE252" s="1" t="str">
        <f>IFERROR(INDEX([1]物品基础表!$A:$A,MATCH(AD252,[1]物品基础表!$B:$B,0)),"")</f>
        <v/>
      </c>
      <c r="AH252" s="1" t="str">
        <f>IFERROR(INDEX([1]物品基础表!$A:$A,MATCH(AG252,[1]物品基础表!$B:$B,0)),"")</f>
        <v/>
      </c>
      <c r="AK252" s="1" t="str">
        <f>IFERROR(INDEX([1]物品基础表!$A:$A,MATCH(AJ252,[1]物品基础表!$B:$B,0)),"")</f>
        <v/>
      </c>
      <c r="AN252" s="1" t="str">
        <f>IFERROR(INDEX([1]物品基础表!$A:$A,MATCH(AM252,[1]物品基础表!$B:$B,0)),"")</f>
        <v/>
      </c>
      <c r="AQ252" s="1" t="str">
        <f>IFERROR(INDEX([1]物品基础表!$A:$A,MATCH(AP252,[1]物品基础表!$B:$B,0)),"")</f>
        <v/>
      </c>
    </row>
    <row r="253" spans="1:43">
      <c r="A253" s="1" t="str">
        <f>INDEX([2]活动总表!$A$8:$A$429,MATCH(B253,[2]活动总表!$B$8:$B$429,0))</f>
        <v>腊八-限购礼包（61-无限天）5</v>
      </c>
      <c r="B253" s="1">
        <v>423</v>
      </c>
      <c r="C253" s="1">
        <v>3</v>
      </c>
      <c r="D253" s="1">
        <v>9</v>
      </c>
      <c r="E253" s="1">
        <v>0</v>
      </c>
      <c r="F253" s="1" t="s">
        <v>706</v>
      </c>
      <c r="G253" s="1">
        <v>2888</v>
      </c>
      <c r="H253" s="1">
        <v>9000</v>
      </c>
      <c r="I253" s="1">
        <v>1</v>
      </c>
      <c r="O253" s="1">
        <v>32</v>
      </c>
      <c r="X253" s="1">
        <v>200001</v>
      </c>
      <c r="Y253" s="1" t="str">
        <f>IFERROR(INDEX([1]物品基础表!$A:$A,MATCH(X253,[1]物品基础表!$B:$B,0)),"")</f>
        <v>羽毛</v>
      </c>
      <c r="Z253" s="1">
        <v>90</v>
      </c>
      <c r="AB253" s="1" t="str">
        <f>IFERROR(INDEX([1]物品基础表!$A:$A,MATCH(AA253,[1]物品基础表!$B:$B,0)),"")</f>
        <v/>
      </c>
      <c r="AE253" s="1" t="str">
        <f>IFERROR(INDEX([1]物品基础表!$A:$A,MATCH(AD253,[1]物品基础表!$B:$B,0)),"")</f>
        <v/>
      </c>
      <c r="AH253" s="1" t="str">
        <f>IFERROR(INDEX([1]物品基础表!$A:$A,MATCH(AG253,[1]物品基础表!$B:$B,0)),"")</f>
        <v/>
      </c>
      <c r="AK253" s="1" t="str">
        <f>IFERROR(INDEX([1]物品基础表!$A:$A,MATCH(AJ253,[1]物品基础表!$B:$B,0)),"")</f>
        <v/>
      </c>
      <c r="AN253" s="1" t="str">
        <f>IFERROR(INDEX([1]物品基础表!$A:$A,MATCH(AM253,[1]物品基础表!$B:$B,0)),"")</f>
        <v/>
      </c>
      <c r="AQ253" s="1" t="str">
        <f>IFERROR(INDEX([1]物品基础表!$A:$A,MATCH(AP253,[1]物品基础表!$B:$B,0)),"")</f>
        <v/>
      </c>
    </row>
    <row r="254" spans="1:43">
      <c r="A254" s="1" t="str">
        <f>INDEX([2]活动总表!$A$8:$A$429,MATCH(B254,[2]活动总表!$B$8:$B$429,0))</f>
        <v>腊八-限购礼包（61-无限天）5</v>
      </c>
      <c r="B254" s="1">
        <v>423</v>
      </c>
      <c r="C254" s="1">
        <v>4</v>
      </c>
      <c r="D254" s="1">
        <v>9</v>
      </c>
      <c r="E254" s="1">
        <v>0</v>
      </c>
      <c r="F254" s="1" t="s">
        <v>706</v>
      </c>
      <c r="G254" s="1">
        <v>6888</v>
      </c>
      <c r="H254" s="1">
        <v>20000</v>
      </c>
      <c r="I254" s="1">
        <v>1</v>
      </c>
      <c r="O254" s="1">
        <v>34</v>
      </c>
      <c r="X254" s="1">
        <v>200001</v>
      </c>
      <c r="Y254" s="1" t="str">
        <f>IFERROR(INDEX([1]物品基础表!$A:$A,MATCH(X254,[1]物品基础表!$B:$B,0)),"")</f>
        <v>羽毛</v>
      </c>
      <c r="Z254" s="1">
        <v>200</v>
      </c>
      <c r="AB254" s="1" t="str">
        <f>IFERROR(INDEX([1]物品基础表!$A:$A,MATCH(AA254,[1]物品基础表!$B:$B,0)),"")</f>
        <v/>
      </c>
      <c r="AE254" s="1" t="str">
        <f>IFERROR(INDEX([1]物品基础表!$A:$A,MATCH(AD254,[1]物品基础表!$B:$B,0)),"")</f>
        <v/>
      </c>
      <c r="AH254" s="1" t="str">
        <f>IFERROR(INDEX([1]物品基础表!$A:$A,MATCH(AG254,[1]物品基础表!$B:$B,0)),"")</f>
        <v/>
      </c>
      <c r="AK254" s="1" t="str">
        <f>IFERROR(INDEX([1]物品基础表!$A:$A,MATCH(AJ254,[1]物品基础表!$B:$B,0)),"")</f>
        <v/>
      </c>
      <c r="AN254" s="1" t="str">
        <f>IFERROR(INDEX([1]物品基础表!$A:$A,MATCH(AM254,[1]物品基础表!$B:$B,0)),"")</f>
        <v/>
      </c>
      <c r="AQ254" s="1" t="str">
        <f>IFERROR(INDEX([1]物品基础表!$A:$A,MATCH(AP254,[1]物品基础表!$B:$B,0)),"")</f>
        <v/>
      </c>
    </row>
    <row r="255" spans="1:43">
      <c r="A255" s="1" t="str">
        <f>INDEX([2]活动总表!$A$8:$A$429,MATCH(B255,[2]活动总表!$B$8:$B$429,0))</f>
        <v>腊八-限购礼包（61-无限天）5</v>
      </c>
      <c r="B255" s="1">
        <v>423</v>
      </c>
      <c r="C255" s="1">
        <v>5</v>
      </c>
      <c r="D255" s="1">
        <v>5</v>
      </c>
      <c r="E255" s="1">
        <v>0</v>
      </c>
      <c r="F255" s="1" t="s">
        <v>706</v>
      </c>
      <c r="G255" s="1">
        <v>8888</v>
      </c>
      <c r="H255" s="1">
        <v>15000</v>
      </c>
      <c r="I255" s="1">
        <v>3</v>
      </c>
      <c r="O255" s="1">
        <v>59</v>
      </c>
      <c r="X255" s="1">
        <v>200001</v>
      </c>
      <c r="Y255" s="1" t="str">
        <f>IFERROR(INDEX([1]物品基础表!$A:$A,MATCH(X255,[1]物品基础表!$B:$B,0)),"")</f>
        <v>羽毛</v>
      </c>
      <c r="Z255" s="1">
        <v>150</v>
      </c>
      <c r="AB255" s="1" t="str">
        <f>IFERROR(INDEX([1]物品基础表!$A:$A,MATCH(AA255,[1]物品基础表!$B:$B,0)),"")</f>
        <v/>
      </c>
      <c r="AE255" s="1" t="str">
        <f>IFERROR(INDEX([1]物品基础表!$A:$A,MATCH(AD255,[1]物品基础表!$B:$B,0)),"")</f>
        <v/>
      </c>
      <c r="AH255" s="1" t="str">
        <f>IFERROR(INDEX([1]物品基础表!$A:$A,MATCH(AG255,[1]物品基础表!$B:$B,0)),"")</f>
        <v/>
      </c>
      <c r="AK255" s="1" t="str">
        <f>IFERROR(INDEX([1]物品基础表!$A:$A,MATCH(AJ255,[1]物品基础表!$B:$B,0)),"")</f>
        <v/>
      </c>
      <c r="AN255" s="1" t="str">
        <f>IFERROR(INDEX([1]物品基础表!$A:$A,MATCH(AM255,[1]物品基础表!$B:$B,0)),"")</f>
        <v/>
      </c>
      <c r="AQ255" s="1" t="str">
        <f>IFERROR(INDEX([1]物品基础表!$A:$A,MATCH(AP255,[1]物品基础表!$B:$B,0)),"")</f>
        <v/>
      </c>
    </row>
    <row r="256" spans="1:43">
      <c r="A256" s="1" t="str">
        <f>INDEX([2]活动总表!$A$8:$A$429,MATCH(B256,[2]活动总表!$B$8:$B$429,0))</f>
        <v>战灵活动-限购礼包1</v>
      </c>
      <c r="B256" s="1">
        <v>315</v>
      </c>
      <c r="C256" s="1">
        <v>1</v>
      </c>
      <c r="D256" s="1">
        <v>5</v>
      </c>
      <c r="E256" s="1">
        <v>0</v>
      </c>
      <c r="F256" s="1" t="s">
        <v>706</v>
      </c>
      <c r="G256" s="1">
        <v>888</v>
      </c>
      <c r="H256" s="1">
        <v>1600</v>
      </c>
      <c r="I256" s="1">
        <v>3</v>
      </c>
      <c r="O256" s="1">
        <v>55</v>
      </c>
      <c r="X256" s="1">
        <v>205000</v>
      </c>
      <c r="Y256" s="1" t="str">
        <f>IFERROR(INDEX([1]物品基础表!$A:$A,MATCH(X256,[1]物品基础表!$B:$B,0)),"")</f>
        <v>战灵进阶丹</v>
      </c>
      <c r="Z256" s="1">
        <v>20</v>
      </c>
      <c r="AB256" s="1" t="str">
        <f>IFERROR(INDEX([1]物品基础表!$A:$A,MATCH(AA256,[1]物品基础表!$B:$B,0)),"")</f>
        <v/>
      </c>
      <c r="AE256" s="1" t="str">
        <f>IFERROR(INDEX([1]物品基础表!$A:$A,MATCH(AD256,[1]物品基础表!$B:$B,0)),"")</f>
        <v/>
      </c>
      <c r="AH256" s="1" t="str">
        <f>IFERROR(INDEX([1]物品基础表!$A:$A,MATCH(AG256,[1]物品基础表!$B:$B,0)),"")</f>
        <v/>
      </c>
      <c r="AK256" s="1" t="str">
        <f>IFERROR(INDEX([1]物品基础表!$A:$A,MATCH(AJ256,[1]物品基础表!$B:$B,0)),"")</f>
        <v/>
      </c>
      <c r="AN256" s="1" t="str">
        <f>IFERROR(INDEX([1]物品基础表!$A:$A,MATCH(AM256,[1]物品基础表!$B:$B,0)),"")</f>
        <v/>
      </c>
      <c r="AQ256" s="1" t="str">
        <f>IFERROR(INDEX([1]物品基础表!$A:$A,MATCH(AP256,[1]物品基础表!$B:$B,0)),"")</f>
        <v/>
      </c>
    </row>
    <row r="257" spans="1:44">
      <c r="A257" s="1" t="str">
        <f>INDEX([2]活动总表!$A$8:$A$429,MATCH(B257,[2]活动总表!$B$8:$B$429,0))</f>
        <v>战灵活动-限购礼包1</v>
      </c>
      <c r="B257" s="1">
        <v>315</v>
      </c>
      <c r="C257" s="1">
        <v>2</v>
      </c>
      <c r="D257" s="1">
        <v>7</v>
      </c>
      <c r="E257" s="1">
        <v>0</v>
      </c>
      <c r="F257" s="1" t="s">
        <v>706</v>
      </c>
      <c r="G257" s="1">
        <v>1588</v>
      </c>
      <c r="H257" s="1">
        <v>4800</v>
      </c>
      <c r="I257" s="1">
        <v>1</v>
      </c>
      <c r="O257" s="1">
        <v>33</v>
      </c>
      <c r="X257" s="1">
        <v>205000</v>
      </c>
      <c r="Y257" s="1" t="str">
        <f>IFERROR(INDEX([1]物品基础表!$A:$A,MATCH(X257,[1]物品基础表!$B:$B,0)),"")</f>
        <v>战灵进阶丹</v>
      </c>
      <c r="Z257" s="1">
        <v>60</v>
      </c>
      <c r="AB257" s="1" t="str">
        <f>IFERROR(INDEX([1]物品基础表!$A:$A,MATCH(AA257,[1]物品基础表!$B:$B,0)),"")</f>
        <v/>
      </c>
      <c r="AE257" s="1" t="str">
        <f>IFERROR(INDEX([1]物品基础表!$A:$A,MATCH(AD257,[1]物品基础表!$B:$B,0)),"")</f>
        <v/>
      </c>
      <c r="AH257" s="1" t="str">
        <f>IFERROR(INDEX([1]物品基础表!$A:$A,MATCH(AG257,[1]物品基础表!$B:$B,0)),"")</f>
        <v/>
      </c>
      <c r="AK257" s="1" t="str">
        <f>IFERROR(INDEX([1]物品基础表!$A:$A,MATCH(AJ257,[1]物品基础表!$B:$B,0)),"")</f>
        <v/>
      </c>
      <c r="AN257" s="1" t="str">
        <f>IFERROR(INDEX([1]物品基础表!$A:$A,MATCH(AM257,[1]物品基础表!$B:$B,0)),"")</f>
        <v/>
      </c>
      <c r="AQ257" s="1" t="str">
        <f>IFERROR(INDEX([1]物品基础表!$A:$A,MATCH(AP257,[1]物品基础表!$B:$B,0)),"")</f>
        <v/>
      </c>
    </row>
    <row r="258" spans="1:44">
      <c r="A258" s="1" t="str">
        <f>INDEX([2]活动总表!$A$8:$A$429,MATCH(B258,[2]活动总表!$B$8:$B$429,0))</f>
        <v>战灵活动-限购礼包1</v>
      </c>
      <c r="B258" s="1">
        <v>315</v>
      </c>
      <c r="C258" s="1">
        <v>3</v>
      </c>
      <c r="D258" s="1">
        <v>5</v>
      </c>
      <c r="E258" s="1">
        <v>0</v>
      </c>
      <c r="F258" s="1" t="s">
        <v>706</v>
      </c>
      <c r="G258" s="1">
        <v>2888</v>
      </c>
      <c r="H258" s="1">
        <v>5600</v>
      </c>
      <c r="I258" s="1">
        <v>3</v>
      </c>
      <c r="O258" s="1">
        <v>51</v>
      </c>
      <c r="X258" s="1">
        <v>205000</v>
      </c>
      <c r="Y258" s="1" t="str">
        <f>IFERROR(INDEX([1]物品基础表!$A:$A,MATCH(X258,[1]物品基础表!$B:$B,0)),"")</f>
        <v>战灵进阶丹</v>
      </c>
      <c r="Z258" s="1">
        <v>70</v>
      </c>
      <c r="AB258" s="1" t="str">
        <f>IFERROR(INDEX([1]物品基础表!$A:$A,MATCH(AA258,[1]物品基础表!$B:$B,0)),"")</f>
        <v/>
      </c>
      <c r="AE258" s="1" t="str">
        <f>IFERROR(INDEX([1]物品基础表!$A:$A,MATCH(AD258,[1]物品基础表!$B:$B,0)),"")</f>
        <v/>
      </c>
      <c r="AH258" s="1" t="str">
        <f>IFERROR(INDEX([1]物品基础表!$A:$A,MATCH(AG258,[1]物品基础表!$B:$B,0)),"")</f>
        <v/>
      </c>
      <c r="AK258" s="1" t="str">
        <f>IFERROR(INDEX([1]物品基础表!$A:$A,MATCH(AJ258,[1]物品基础表!$B:$B,0)),"")</f>
        <v/>
      </c>
      <c r="AN258" s="1" t="str">
        <f>IFERROR(INDEX([1]物品基础表!$A:$A,MATCH(AM258,[1]物品基础表!$B:$B,0)),"")</f>
        <v/>
      </c>
      <c r="AQ258" s="1" t="str">
        <f>IFERROR(INDEX([1]物品基础表!$A:$A,MATCH(AP258,[1]物品基础表!$B:$B,0)),"")</f>
        <v/>
      </c>
    </row>
    <row r="259" spans="1:44">
      <c r="A259" s="1" t="str">
        <f>INDEX([2]活动总表!$A$8:$A$429,MATCH(B259,[2]活动总表!$B$8:$B$429,0))</f>
        <v>战灵活动-限购礼包1</v>
      </c>
      <c r="B259" s="1">
        <v>315</v>
      </c>
      <c r="C259" s="1">
        <v>4</v>
      </c>
      <c r="D259" s="1">
        <v>5</v>
      </c>
      <c r="E259" s="1">
        <v>0</v>
      </c>
      <c r="F259" s="1" t="s">
        <v>706</v>
      </c>
      <c r="G259" s="1">
        <v>8888</v>
      </c>
      <c r="H259" s="1">
        <v>16000</v>
      </c>
      <c r="I259" s="1">
        <v>10</v>
      </c>
      <c r="O259" s="1">
        <v>55</v>
      </c>
      <c r="X259" s="1">
        <v>205000</v>
      </c>
      <c r="Y259" s="1" t="str">
        <f>IFERROR(INDEX([1]物品基础表!$A:$A,MATCH(X259,[1]物品基础表!$B:$B,0)),"")</f>
        <v>战灵进阶丹</v>
      </c>
      <c r="Z259" s="1">
        <v>200</v>
      </c>
      <c r="AB259" s="1" t="str">
        <f>IFERROR(INDEX([1]物品基础表!$A:$A,MATCH(AA259,[1]物品基础表!$B:$B,0)),"")</f>
        <v/>
      </c>
      <c r="AE259" s="1" t="str">
        <f>IFERROR(INDEX([1]物品基础表!$A:$A,MATCH(AD259,[1]物品基础表!$B:$B,0)),"")</f>
        <v/>
      </c>
      <c r="AH259" s="1" t="str">
        <f>IFERROR(INDEX([1]物品基础表!$A:$A,MATCH(AG259,[1]物品基础表!$B:$B,0)),"")</f>
        <v/>
      </c>
      <c r="AK259" s="1" t="str">
        <f>IFERROR(INDEX([1]物品基础表!$A:$A,MATCH(AJ259,[1]物品基础表!$B:$B,0)),"")</f>
        <v/>
      </c>
      <c r="AN259" s="1" t="str">
        <f>IFERROR(INDEX([1]物品基础表!$A:$A,MATCH(AM259,[1]物品基础表!$B:$B,0)),"")</f>
        <v/>
      </c>
      <c r="AQ259" s="1" t="str">
        <f>IFERROR(INDEX([1]物品基础表!$A:$A,MATCH(AP259,[1]物品基础表!$B:$B,0)),"")</f>
        <v/>
      </c>
    </row>
    <row r="260" spans="1:44">
      <c r="A260" s="1" t="str">
        <f>INDEX([2]活动总表!$A$8:$A$429,MATCH(B260,[2]活动总表!$B$8:$B$429,0))</f>
        <v>战灵活动-限购礼包2</v>
      </c>
      <c r="B260" s="1">
        <v>316</v>
      </c>
      <c r="C260" s="1">
        <v>1</v>
      </c>
      <c r="D260" s="1">
        <v>5</v>
      </c>
      <c r="E260" s="1">
        <v>0</v>
      </c>
      <c r="F260" s="1" t="s">
        <v>706</v>
      </c>
      <c r="G260" s="1">
        <v>888</v>
      </c>
      <c r="H260" s="1">
        <v>1600</v>
      </c>
      <c r="I260" s="1">
        <v>3</v>
      </c>
      <c r="O260" s="1">
        <v>55</v>
      </c>
      <c r="X260" s="1">
        <v>205000</v>
      </c>
      <c r="Y260" s="1" t="str">
        <f>IFERROR(INDEX([1]物品基础表!$A:$A,MATCH(X260,[1]物品基础表!$B:$B,0)),"")</f>
        <v>战灵进阶丹</v>
      </c>
      <c r="Z260" s="1">
        <v>20</v>
      </c>
      <c r="AB260" s="1" t="str">
        <f>IFERROR(INDEX([1]物品基础表!$A:$A,MATCH(AA260,[1]物品基础表!$B:$B,0)),"")</f>
        <v/>
      </c>
      <c r="AE260" s="1" t="str">
        <f>IFERROR(INDEX([1]物品基础表!$A:$A,MATCH(AD260,[1]物品基础表!$B:$B,0)),"")</f>
        <v/>
      </c>
      <c r="AH260" s="1" t="str">
        <f>IFERROR(INDEX([1]物品基础表!$A:$A,MATCH(AG260,[1]物品基础表!$B:$B,0)),"")</f>
        <v/>
      </c>
      <c r="AK260" s="1" t="str">
        <f>IFERROR(INDEX([1]物品基础表!$A:$A,MATCH(AJ260,[1]物品基础表!$B:$B,0)),"")</f>
        <v/>
      </c>
      <c r="AN260" s="1" t="str">
        <f>IFERROR(INDEX([1]物品基础表!$A:$A,MATCH(AM260,[1]物品基础表!$B:$B,0)),"")</f>
        <v/>
      </c>
      <c r="AQ260" s="1" t="str">
        <f>IFERROR(INDEX([1]物品基础表!$A:$A,MATCH(AP260,[1]物品基础表!$B:$B,0)),"")</f>
        <v/>
      </c>
    </row>
    <row r="261" spans="1:44">
      <c r="A261" s="1" t="str">
        <f>INDEX([2]活动总表!$A$8:$A$429,MATCH(B261,[2]活动总表!$B$8:$B$429,0))</f>
        <v>战灵活动-限购礼包2</v>
      </c>
      <c r="B261" s="1">
        <v>316</v>
      </c>
      <c r="C261" s="1">
        <v>2</v>
      </c>
      <c r="D261" s="1">
        <v>7</v>
      </c>
      <c r="E261" s="1">
        <v>0</v>
      </c>
      <c r="F261" s="1" t="s">
        <v>706</v>
      </c>
      <c r="G261" s="1">
        <v>1588</v>
      </c>
      <c r="H261" s="1">
        <v>4800</v>
      </c>
      <c r="I261" s="1">
        <v>1</v>
      </c>
      <c r="O261" s="1">
        <v>33</v>
      </c>
      <c r="X261" s="1">
        <v>205000</v>
      </c>
      <c r="Y261" s="1" t="str">
        <f>IFERROR(INDEX([1]物品基础表!$A:$A,MATCH(X261,[1]物品基础表!$B:$B,0)),"")</f>
        <v>战灵进阶丹</v>
      </c>
      <c r="Z261" s="1">
        <v>60</v>
      </c>
      <c r="AB261" s="1" t="str">
        <f>IFERROR(INDEX([1]物品基础表!$A:$A,MATCH(AA261,[1]物品基础表!$B:$B,0)),"")</f>
        <v/>
      </c>
      <c r="AE261" s="1" t="str">
        <f>IFERROR(INDEX([1]物品基础表!$A:$A,MATCH(AD261,[1]物品基础表!$B:$B,0)),"")</f>
        <v/>
      </c>
      <c r="AH261" s="1" t="str">
        <f>IFERROR(INDEX([1]物品基础表!$A:$A,MATCH(AG261,[1]物品基础表!$B:$B,0)),"")</f>
        <v/>
      </c>
      <c r="AK261" s="1" t="str">
        <f>IFERROR(INDEX([1]物品基础表!$A:$A,MATCH(AJ261,[1]物品基础表!$B:$B,0)),"")</f>
        <v/>
      </c>
      <c r="AN261" s="1" t="str">
        <f>IFERROR(INDEX([1]物品基础表!$A:$A,MATCH(AM261,[1]物品基础表!$B:$B,0)),"")</f>
        <v/>
      </c>
      <c r="AQ261" s="1" t="str">
        <f>IFERROR(INDEX([1]物品基础表!$A:$A,MATCH(AP261,[1]物品基础表!$B:$B,0)),"")</f>
        <v/>
      </c>
    </row>
    <row r="262" spans="1:44">
      <c r="A262" s="1" t="str">
        <f>INDEX([2]活动总表!$A$8:$A$429,MATCH(B262,[2]活动总表!$B$8:$B$429,0))</f>
        <v>战灵活动-限购礼包2</v>
      </c>
      <c r="B262" s="1">
        <v>316</v>
      </c>
      <c r="C262" s="1">
        <v>3</v>
      </c>
      <c r="D262" s="1">
        <v>5</v>
      </c>
      <c r="E262" s="1">
        <v>0</v>
      </c>
      <c r="F262" s="1" t="s">
        <v>706</v>
      </c>
      <c r="G262" s="1">
        <v>2888</v>
      </c>
      <c r="H262" s="1">
        <v>5600</v>
      </c>
      <c r="I262" s="1">
        <v>3</v>
      </c>
      <c r="O262" s="1">
        <v>51</v>
      </c>
      <c r="X262" s="1">
        <v>205000</v>
      </c>
      <c r="Y262" s="1" t="str">
        <f>IFERROR(INDEX([1]物品基础表!$A:$A,MATCH(X262,[1]物品基础表!$B:$B,0)),"")</f>
        <v>战灵进阶丹</v>
      </c>
      <c r="Z262" s="1">
        <v>70</v>
      </c>
      <c r="AB262" s="1" t="str">
        <f>IFERROR(INDEX([1]物品基础表!$A:$A,MATCH(AA262,[1]物品基础表!$B:$B,0)),"")</f>
        <v/>
      </c>
      <c r="AE262" s="1" t="str">
        <f>IFERROR(INDEX([1]物品基础表!$A:$A,MATCH(AD262,[1]物品基础表!$B:$B,0)),"")</f>
        <v/>
      </c>
      <c r="AH262" s="1" t="str">
        <f>IFERROR(INDEX([1]物品基础表!$A:$A,MATCH(AG262,[1]物品基础表!$B:$B,0)),"")</f>
        <v/>
      </c>
      <c r="AK262" s="1" t="str">
        <f>IFERROR(INDEX([1]物品基础表!$A:$A,MATCH(AJ262,[1]物品基础表!$B:$B,0)),"")</f>
        <v/>
      </c>
      <c r="AN262" s="1" t="str">
        <f>IFERROR(INDEX([1]物品基础表!$A:$A,MATCH(AM262,[1]物品基础表!$B:$B,0)),"")</f>
        <v/>
      </c>
      <c r="AQ262" s="1" t="str">
        <f>IFERROR(INDEX([1]物品基础表!$A:$A,MATCH(AP262,[1]物品基础表!$B:$B,0)),"")</f>
        <v/>
      </c>
    </row>
    <row r="263" spans="1:44">
      <c r="A263" s="1" t="str">
        <f>INDEX([2]活动总表!$A$8:$A$429,MATCH(B263,[2]活动总表!$B$8:$B$429,0))</f>
        <v>战灵活动-限购礼包2</v>
      </c>
      <c r="B263" s="1">
        <v>316</v>
      </c>
      <c r="C263" s="1">
        <v>4</v>
      </c>
      <c r="D263" s="1">
        <v>5</v>
      </c>
      <c r="E263" s="1">
        <v>0</v>
      </c>
      <c r="F263" s="1" t="s">
        <v>706</v>
      </c>
      <c r="G263" s="1">
        <v>8888</v>
      </c>
      <c r="H263" s="1">
        <v>16000</v>
      </c>
      <c r="I263" s="1">
        <v>10</v>
      </c>
      <c r="O263" s="1">
        <v>55</v>
      </c>
      <c r="X263" s="1">
        <v>205000</v>
      </c>
      <c r="Y263" s="1" t="str">
        <f>IFERROR(INDEX([1]物品基础表!$A:$A,MATCH(X263,[1]物品基础表!$B:$B,0)),"")</f>
        <v>战灵进阶丹</v>
      </c>
      <c r="Z263" s="1">
        <v>200</v>
      </c>
      <c r="AB263" s="1" t="str">
        <f>IFERROR(INDEX([1]物品基础表!$A:$A,MATCH(AA263,[1]物品基础表!$B:$B,0)),"")</f>
        <v/>
      </c>
      <c r="AE263" s="1" t="str">
        <f>IFERROR(INDEX([1]物品基础表!$A:$A,MATCH(AD263,[1]物品基础表!$B:$B,0)),"")</f>
        <v/>
      </c>
      <c r="AH263" s="1" t="str">
        <f>IFERROR(INDEX([1]物品基础表!$A:$A,MATCH(AG263,[1]物品基础表!$B:$B,0)),"")</f>
        <v/>
      </c>
      <c r="AK263" s="1" t="str">
        <f>IFERROR(INDEX([1]物品基础表!$A:$A,MATCH(AJ263,[1]物品基础表!$B:$B,0)),"")</f>
        <v/>
      </c>
      <c r="AN263" s="1" t="str">
        <f>IFERROR(INDEX([1]物品基础表!$A:$A,MATCH(AM263,[1]物品基础表!$B:$B,0)),"")</f>
        <v/>
      </c>
      <c r="AQ263" s="1" t="str">
        <f>IFERROR(INDEX([1]物品基础表!$A:$A,MATCH(AP263,[1]物品基础表!$B:$B,0)),"")</f>
        <v/>
      </c>
    </row>
    <row r="264" spans="1:44">
      <c r="A264" s="1" t="str">
        <f>INDEX([2]活动总表!$A$8:$A$429,MATCH(B264,[2]活动总表!$B$8:$B$429,0))</f>
        <v>战灵活动-限购礼包3</v>
      </c>
      <c r="B264" s="1">
        <v>317</v>
      </c>
      <c r="C264" s="1">
        <v>1</v>
      </c>
      <c r="D264" s="1">
        <v>5</v>
      </c>
      <c r="E264" s="1">
        <v>0</v>
      </c>
      <c r="F264" s="1" t="s">
        <v>706</v>
      </c>
      <c r="G264" s="1">
        <v>888</v>
      </c>
      <c r="H264" s="1">
        <v>1600</v>
      </c>
      <c r="I264" s="1">
        <v>3</v>
      </c>
      <c r="O264" s="1">
        <v>55</v>
      </c>
      <c r="X264" s="1">
        <v>205000</v>
      </c>
      <c r="Y264" s="1" t="str">
        <f>IFERROR(INDEX([1]物品基础表!$A:$A,MATCH(X264,[1]物品基础表!$B:$B,0)),"")</f>
        <v>战灵进阶丹</v>
      </c>
      <c r="Z264" s="1">
        <v>20</v>
      </c>
      <c r="AB264" s="1" t="str">
        <f>IFERROR(INDEX([1]物品基础表!$A:$A,MATCH(AA264,[1]物品基础表!$B:$B,0)),"")</f>
        <v/>
      </c>
      <c r="AE264" s="1" t="str">
        <f>IFERROR(INDEX([1]物品基础表!$A:$A,MATCH(AD264,[1]物品基础表!$B:$B,0)),"")</f>
        <v/>
      </c>
      <c r="AH264" s="1" t="str">
        <f>IFERROR(INDEX([1]物品基础表!$A:$A,MATCH(AG264,[1]物品基础表!$B:$B,0)),"")</f>
        <v/>
      </c>
      <c r="AK264" s="1" t="str">
        <f>IFERROR(INDEX([1]物品基础表!$A:$A,MATCH(AJ264,[1]物品基础表!$B:$B,0)),"")</f>
        <v/>
      </c>
      <c r="AN264" s="1" t="str">
        <f>IFERROR(INDEX([1]物品基础表!$A:$A,MATCH(AM264,[1]物品基础表!$B:$B,0)),"")</f>
        <v/>
      </c>
      <c r="AQ264" s="1" t="str">
        <f>IFERROR(INDEX([1]物品基础表!$A:$A,MATCH(AP264,[1]物品基础表!$B:$B,0)),"")</f>
        <v/>
      </c>
    </row>
    <row r="265" spans="1:44">
      <c r="A265" s="1" t="str">
        <f>INDEX([2]活动总表!$A$8:$A$429,MATCH(B265,[2]活动总表!$B$8:$B$429,0))</f>
        <v>战灵活动-限购礼包3</v>
      </c>
      <c r="B265" s="1">
        <v>317</v>
      </c>
      <c r="C265" s="1">
        <v>2</v>
      </c>
      <c r="D265" s="1">
        <v>7</v>
      </c>
      <c r="E265" s="1">
        <v>0</v>
      </c>
      <c r="F265" s="1" t="s">
        <v>706</v>
      </c>
      <c r="G265" s="1">
        <v>1588</v>
      </c>
      <c r="H265" s="1">
        <v>4800</v>
      </c>
      <c r="I265" s="1">
        <v>1</v>
      </c>
      <c r="O265" s="1">
        <v>33</v>
      </c>
      <c r="X265" s="1">
        <v>205000</v>
      </c>
      <c r="Y265" s="1" t="str">
        <f>IFERROR(INDEX([1]物品基础表!$A:$A,MATCH(X265,[1]物品基础表!$B:$B,0)),"")</f>
        <v>战灵进阶丹</v>
      </c>
      <c r="Z265" s="1">
        <v>60</v>
      </c>
      <c r="AB265" s="1" t="str">
        <f>IFERROR(INDEX([1]物品基础表!$A:$A,MATCH(AA265,[1]物品基础表!$B:$B,0)),"")</f>
        <v/>
      </c>
      <c r="AE265" s="1" t="str">
        <f>IFERROR(INDEX([1]物品基础表!$A:$A,MATCH(AD265,[1]物品基础表!$B:$B,0)),"")</f>
        <v/>
      </c>
      <c r="AH265" s="1" t="str">
        <f>IFERROR(INDEX([1]物品基础表!$A:$A,MATCH(AG265,[1]物品基础表!$B:$B,0)),"")</f>
        <v/>
      </c>
      <c r="AK265" s="1" t="str">
        <f>IFERROR(INDEX([1]物品基础表!$A:$A,MATCH(AJ265,[1]物品基础表!$B:$B,0)),"")</f>
        <v/>
      </c>
      <c r="AN265" s="1" t="str">
        <f>IFERROR(INDEX([1]物品基础表!$A:$A,MATCH(AM265,[1]物品基础表!$B:$B,0)),"")</f>
        <v/>
      </c>
      <c r="AQ265" s="1" t="str">
        <f>IFERROR(INDEX([1]物品基础表!$A:$A,MATCH(AP265,[1]物品基础表!$B:$B,0)),"")</f>
        <v/>
      </c>
    </row>
    <row r="266" spans="1:44">
      <c r="A266" s="1" t="str">
        <f>INDEX([2]活动总表!$A$8:$A$429,MATCH(B266,[2]活动总表!$B$8:$B$429,0))</f>
        <v>战灵活动-限购礼包3</v>
      </c>
      <c r="B266" s="1">
        <v>317</v>
      </c>
      <c r="C266" s="1">
        <v>3</v>
      </c>
      <c r="D266" s="1">
        <v>5</v>
      </c>
      <c r="E266" s="1">
        <v>0</v>
      </c>
      <c r="F266" s="1" t="s">
        <v>706</v>
      </c>
      <c r="G266" s="1">
        <v>2888</v>
      </c>
      <c r="H266" s="1">
        <v>5600</v>
      </c>
      <c r="I266" s="1">
        <v>3</v>
      </c>
      <c r="O266" s="1">
        <v>51</v>
      </c>
      <c r="X266" s="1">
        <v>205000</v>
      </c>
      <c r="Y266" s="1" t="str">
        <f>IFERROR(INDEX([1]物品基础表!$A:$A,MATCH(X266,[1]物品基础表!$B:$B,0)),"")</f>
        <v>战灵进阶丹</v>
      </c>
      <c r="Z266" s="1">
        <v>70</v>
      </c>
      <c r="AB266" s="1" t="str">
        <f>IFERROR(INDEX([1]物品基础表!$A:$A,MATCH(AA266,[1]物品基础表!$B:$B,0)),"")</f>
        <v/>
      </c>
      <c r="AE266" s="1" t="str">
        <f>IFERROR(INDEX([1]物品基础表!$A:$A,MATCH(AD266,[1]物品基础表!$B:$B,0)),"")</f>
        <v/>
      </c>
      <c r="AH266" s="1" t="str">
        <f>IFERROR(INDEX([1]物品基础表!$A:$A,MATCH(AG266,[1]物品基础表!$B:$B,0)),"")</f>
        <v/>
      </c>
      <c r="AK266" s="1" t="str">
        <f>IFERROR(INDEX([1]物品基础表!$A:$A,MATCH(AJ266,[1]物品基础表!$B:$B,0)),"")</f>
        <v/>
      </c>
      <c r="AN266" s="1" t="str">
        <f>IFERROR(INDEX([1]物品基础表!$A:$A,MATCH(AM266,[1]物品基础表!$B:$B,0)),"")</f>
        <v/>
      </c>
      <c r="AQ266" s="1" t="str">
        <f>IFERROR(INDEX([1]物品基础表!$A:$A,MATCH(AP266,[1]物品基础表!$B:$B,0)),"")</f>
        <v/>
      </c>
    </row>
    <row r="267" spans="1:44">
      <c r="A267" s="1" t="str">
        <f>INDEX([2]活动总表!$A$8:$A$429,MATCH(B267,[2]活动总表!$B$8:$B$429,0))</f>
        <v>战灵活动-限购礼包3</v>
      </c>
      <c r="B267" s="1">
        <v>317</v>
      </c>
      <c r="C267" s="1">
        <v>4</v>
      </c>
      <c r="D267" s="1">
        <v>5</v>
      </c>
      <c r="E267" s="1">
        <v>0</v>
      </c>
      <c r="F267" s="1" t="s">
        <v>706</v>
      </c>
      <c r="G267" s="1">
        <v>8888</v>
      </c>
      <c r="H267" s="1">
        <v>16000</v>
      </c>
      <c r="I267" s="1">
        <v>10</v>
      </c>
      <c r="O267" s="1">
        <v>55</v>
      </c>
      <c r="X267" s="1">
        <v>205000</v>
      </c>
      <c r="Y267" s="1" t="str">
        <f>IFERROR(INDEX([1]物品基础表!$A:$A,MATCH(X267,[1]物品基础表!$B:$B,0)),"")</f>
        <v>战灵进阶丹</v>
      </c>
      <c r="Z267" s="1">
        <v>200</v>
      </c>
      <c r="AB267" s="1" t="str">
        <f>IFERROR(INDEX([1]物品基础表!$A:$A,MATCH(AA267,[1]物品基础表!$B:$B,0)),"")</f>
        <v/>
      </c>
      <c r="AE267" s="1" t="str">
        <f>IFERROR(INDEX([1]物品基础表!$A:$A,MATCH(AD267,[1]物品基础表!$B:$B,0)),"")</f>
        <v/>
      </c>
      <c r="AH267" s="1" t="str">
        <f>IFERROR(INDEX([1]物品基础表!$A:$A,MATCH(AG267,[1]物品基础表!$B:$B,0)),"")</f>
        <v/>
      </c>
      <c r="AK267" s="1" t="str">
        <f>IFERROR(INDEX([1]物品基础表!$A:$A,MATCH(AJ267,[1]物品基础表!$B:$B,0)),"")</f>
        <v/>
      </c>
      <c r="AN267" s="1" t="str">
        <f>IFERROR(INDEX([1]物品基础表!$A:$A,MATCH(AM267,[1]物品基础表!$B:$B,0)),"")</f>
        <v/>
      </c>
      <c r="AQ267" s="1" t="str">
        <f>IFERROR(INDEX([1]物品基础表!$A:$A,MATCH(AP267,[1]物品基础表!$B:$B,0)),"")</f>
        <v/>
      </c>
    </row>
    <row r="268" spans="1:44">
      <c r="A268" s="1" t="str">
        <f>INDEX([2]活动总表!$A$8:$A$429,MATCH(B268,[2]活动总表!$B$8:$B$429,0))</f>
        <v>第2次合服特惠礼包</v>
      </c>
      <c r="B268" s="1">
        <v>334</v>
      </c>
      <c r="C268" s="1">
        <v>1</v>
      </c>
      <c r="D268" s="1">
        <v>5</v>
      </c>
      <c r="E268" s="1">
        <v>0</v>
      </c>
      <c r="F268" s="1" t="s">
        <v>706</v>
      </c>
      <c r="G268" s="1">
        <v>4888</v>
      </c>
      <c r="I268" s="1">
        <v>1</v>
      </c>
      <c r="X268" s="1">
        <v>13</v>
      </c>
      <c r="Y268" s="1" t="s">
        <v>694</v>
      </c>
      <c r="Z268" s="1">
        <v>2000000</v>
      </c>
      <c r="AA268" s="1">
        <v>200015</v>
      </c>
      <c r="AB268" s="1" t="str">
        <f>IFERROR(INDEX([1]物品基础表!$A:$A,MATCH(AA268,[1]物品基础表!$B:$B,0)),"")</f>
        <v>特戒碎片</v>
      </c>
      <c r="AC268" s="1">
        <v>300</v>
      </c>
      <c r="AD268" s="1">
        <v>200005</v>
      </c>
      <c r="AE268" s="1" t="str">
        <f>IFERROR(INDEX([1]物品基础表!$A:$A,MATCH(AD268,[1]物品基础表!$B:$B,0)),"")</f>
        <v>龙魂碎片</v>
      </c>
      <c r="AF268" s="1">
        <v>30</v>
      </c>
      <c r="AG268" s="1">
        <v>201016</v>
      </c>
      <c r="AH268" s="1" t="str">
        <f>IFERROR(INDEX([1]物品基础表!$A:$A,MATCH(AG268,[1]物品基础表!$B:$B,0)),"")</f>
        <v>紫色图鉴包·传奇之路</v>
      </c>
      <c r="AI268" s="1">
        <v>1</v>
      </c>
      <c r="AJ268" s="1">
        <v>500006</v>
      </c>
      <c r="AK268" s="1" t="str">
        <f>IFERROR(INDEX([1]物品基础表!$A:$A,MATCH(AJ268,[1]物品基础表!$B:$B,0)),"")</f>
        <v>战纹精华-金</v>
      </c>
      <c r="AL268" s="1">
        <v>2</v>
      </c>
      <c r="AM268" s="1">
        <v>200156</v>
      </c>
      <c r="AN268" s="1" t="str">
        <f>IFERROR(INDEX([1]物品基础表!$A:$A,MATCH(AM268,[1]物品基础表!$B:$B,0)),"")</f>
        <v>野外BOSS次数卷轴</v>
      </c>
      <c r="AO268" s="1">
        <v>1</v>
      </c>
      <c r="AP268" s="1">
        <v>201002</v>
      </c>
      <c r="AQ268" s="1" t="str">
        <f>IFERROR(INDEX([1]物品基础表!$A:$A,MATCH(AP268,[1]物品基础表!$B:$B,0)),"")</f>
        <v>神秘钥匙</v>
      </c>
      <c r="AR268" s="1">
        <v>1</v>
      </c>
    </row>
    <row r="269" spans="1:44">
      <c r="A269" s="1" t="str">
        <f>INDEX([2]活动总表!$A$8:$A$429,MATCH(B269,[2]活动总表!$B$8:$B$429,0))</f>
        <v>第2次合服特惠礼包</v>
      </c>
      <c r="B269" s="1">
        <v>334</v>
      </c>
      <c r="C269" s="1">
        <v>2</v>
      </c>
      <c r="D269" s="1">
        <v>5</v>
      </c>
      <c r="E269" s="1">
        <v>0</v>
      </c>
      <c r="F269" s="1" t="s">
        <v>706</v>
      </c>
      <c r="G269" s="1">
        <v>16888</v>
      </c>
      <c r="I269" s="1">
        <v>1</v>
      </c>
      <c r="X269" s="1">
        <v>200997</v>
      </c>
      <c r="Y269" s="1" t="str">
        <f>IFERROR(INDEX([1]物品基础表!$A:$A,MATCH(X269,[1]物品基础表!$B:$B,0)),"")</f>
        <v>星☆传世宝箱</v>
      </c>
      <c r="Z269" s="1">
        <v>1</v>
      </c>
      <c r="AA269" s="1">
        <v>200003</v>
      </c>
      <c r="AB269" s="1" t="str">
        <f>IFERROR(INDEX([1]物品基础表!$A:$A,MATCH(AA269,[1]物品基础表!$B:$B,0)),"")</f>
        <v>铸造晶石</v>
      </c>
      <c r="AC269" s="1">
        <v>100</v>
      </c>
      <c r="AD269" s="1">
        <v>200015</v>
      </c>
      <c r="AE269" s="1" t="str">
        <f>IFERROR(INDEX([1]物品基础表!$A:$A,MATCH(AD269,[1]物品基础表!$B:$B,0)),"")</f>
        <v>特戒碎片</v>
      </c>
      <c r="AF269" s="1">
        <v>500</v>
      </c>
      <c r="AG269" s="1">
        <v>201017</v>
      </c>
      <c r="AH269" s="1" t="str">
        <f>IFERROR(INDEX([1]物品基础表!$A:$A,MATCH(AG269,[1]物品基础表!$B:$B,0)),"")</f>
        <v>橙色图鉴包·传奇之路</v>
      </c>
      <c r="AI269" s="1">
        <v>1</v>
      </c>
      <c r="AJ269" s="1">
        <v>500006</v>
      </c>
      <c r="AK269" s="1" t="str">
        <f>IFERROR(INDEX([1]物品基础表!$A:$A,MATCH(AJ269,[1]物品基础表!$B:$B,0)),"")</f>
        <v>战纹精华-金</v>
      </c>
      <c r="AL269" s="1">
        <v>3</v>
      </c>
      <c r="AM269" s="1">
        <v>201002</v>
      </c>
      <c r="AN269" s="1" t="str">
        <f>IFERROR(INDEX([1]物品基础表!$A:$A,MATCH(AM269,[1]物品基础表!$B:$B,0)),"")</f>
        <v>神秘钥匙</v>
      </c>
      <c r="AO269" s="1">
        <v>1</v>
      </c>
      <c r="AP269" s="1">
        <v>200156</v>
      </c>
      <c r="AQ269" s="1" t="str">
        <f>IFERROR(INDEX([1]物品基础表!$A:$A,MATCH(AP269,[1]物品基础表!$B:$B,0)),"")</f>
        <v>野外BOSS次数卷轴</v>
      </c>
      <c r="AR269" s="1">
        <v>1</v>
      </c>
    </row>
    <row r="270" spans="1:44">
      <c r="A270" s="1" t="str">
        <f>INDEX([2]活动总表!$A$8:$A$429,MATCH(B270,[2]活动总表!$B$8:$B$429,0))</f>
        <v>第2次合服特惠礼包</v>
      </c>
      <c r="B270" s="1">
        <v>334</v>
      </c>
      <c r="C270" s="1">
        <v>3</v>
      </c>
      <c r="D270" s="1">
        <v>5</v>
      </c>
      <c r="E270" s="1">
        <v>0</v>
      </c>
      <c r="F270" s="1" t="s">
        <v>706</v>
      </c>
      <c r="G270" s="1">
        <v>58888</v>
      </c>
      <c r="I270" s="1">
        <v>1</v>
      </c>
      <c r="X270" s="1">
        <v>200314</v>
      </c>
      <c r="Y270" s="1" t="str">
        <f>IFERROR(INDEX([1]物品基础表!$A:$A,MATCH(X270,[1]物品基础表!$B:$B,0)),"")</f>
        <v>蛊毒兵魂任选礼包</v>
      </c>
      <c r="Z270" s="1">
        <v>8</v>
      </c>
      <c r="AA270" s="1">
        <v>200326</v>
      </c>
      <c r="AB270" s="1" t="str">
        <f>IFERROR(INDEX([1]物品基础表!$A:$A,MATCH(AA270,[1]物品基础表!$B:$B,0)),"")</f>
        <v>兵魂之灵</v>
      </c>
      <c r="AC270" s="1">
        <v>1</v>
      </c>
      <c r="AD270" s="1">
        <v>299999</v>
      </c>
      <c r="AE270" s="1" t="str">
        <f>IFERROR(INDEX([1]物品基础表!$A:$A,MATCH(AD270,[1]物品基础表!$B:$B,0)),"")</f>
        <v>神兵幻境卷</v>
      </c>
      <c r="AF270" s="1">
        <v>2</v>
      </c>
      <c r="AG270" s="1">
        <v>202007</v>
      </c>
      <c r="AH270" s="1" t="str">
        <f>IFERROR(INDEX([1]物品基础表!$A:$A,MATCH(AG270,[1]物品基础表!$B:$B,0)),"")</f>
        <v>烈焰戒指技能7书</v>
      </c>
      <c r="AI270" s="1">
        <v>1</v>
      </c>
      <c r="AJ270" s="1">
        <v>200157</v>
      </c>
      <c r="AK270" s="1" t="str">
        <f>IFERROR(INDEX([1]物品基础表!$A:$A,MATCH(AJ270,[1]物品基础表!$B:$B,0)),"")</f>
        <v>秘境BOSS次数卷轴</v>
      </c>
      <c r="AL270" s="1">
        <v>1</v>
      </c>
      <c r="AM270" s="1">
        <v>201002</v>
      </c>
      <c r="AN270" s="1" t="str">
        <f>IFERROR(INDEX([1]物品基础表!$A:$A,MATCH(AM270,[1]物品基础表!$B:$B,0)),"")</f>
        <v>神秘钥匙</v>
      </c>
      <c r="AO270" s="1">
        <v>1</v>
      </c>
      <c r="AP270" s="1">
        <v>1</v>
      </c>
      <c r="AQ270" s="1" t="s">
        <v>695</v>
      </c>
      <c r="AR270" s="1">
        <v>2000000</v>
      </c>
    </row>
    <row r="271" spans="1:44">
      <c r="A271" s="1" t="str">
        <f>INDEX([2]活动总表!$A$8:$A$429,MATCH(B271,[2]活动总表!$B$8:$B$429,0))</f>
        <v>第2次合服特惠礼包</v>
      </c>
      <c r="B271" s="1">
        <v>334</v>
      </c>
      <c r="C271" s="1">
        <v>4</v>
      </c>
      <c r="D271" s="1">
        <v>5</v>
      </c>
      <c r="E271" s="1">
        <v>0</v>
      </c>
      <c r="F271" s="1" t="s">
        <v>706</v>
      </c>
      <c r="G271" s="1">
        <v>128888</v>
      </c>
      <c r="I271" s="1">
        <v>1</v>
      </c>
      <c r="X271" s="1">
        <v>121501</v>
      </c>
      <c r="Y271" s="1" t="str">
        <f>IFERROR(INDEX([1]物品基础表!$A:$A,MATCH(X271,[1]物品基础表!$B:$B,0)),"")</f>
        <v>传奇衣服1</v>
      </c>
      <c r="Z271" s="1">
        <v>1</v>
      </c>
      <c r="AA271" s="1">
        <v>500011</v>
      </c>
      <c r="AB271" s="1" t="str">
        <f>IFERROR(INDEX([1]物品基础表!$A:$A,MATCH(AA271,[1]物品基础表!$B:$B,0)),"")</f>
        <v>战纹碎片（小）</v>
      </c>
      <c r="AC271" s="1">
        <v>1000</v>
      </c>
      <c r="AD271" s="1">
        <v>200001</v>
      </c>
      <c r="AE271" s="1" t="str">
        <f>IFERROR(INDEX([1]物品基础表!$A:$A,MATCH(AD271,[1]物品基础表!$B:$B,0)),"")</f>
        <v>羽毛</v>
      </c>
      <c r="AF271" s="1">
        <v>100</v>
      </c>
      <c r="AG271" s="1">
        <v>200005</v>
      </c>
      <c r="AH271" s="1" t="str">
        <f>IFERROR(INDEX([1]物品基础表!$A:$A,MATCH(AG271,[1]物品基础表!$B:$B,0)),"")</f>
        <v>龙魂碎片</v>
      </c>
      <c r="AI271" s="1">
        <v>100</v>
      </c>
      <c r="AJ271" s="1">
        <v>500006</v>
      </c>
      <c r="AK271" s="1" t="str">
        <f>IFERROR(INDEX([1]物品基础表!$A:$A,MATCH(AJ271,[1]物品基础表!$B:$B,0)),"")</f>
        <v>战纹精华-金</v>
      </c>
      <c r="AL271" s="1">
        <v>10</v>
      </c>
      <c r="AM271" s="1">
        <v>200157</v>
      </c>
      <c r="AN271" s="1" t="str">
        <f>IFERROR(INDEX([1]物品基础表!$A:$A,MATCH(AM271,[1]物品基础表!$B:$B,0)),"")</f>
        <v>秘境BOSS次数卷轴</v>
      </c>
      <c r="AO271" s="1">
        <v>1</v>
      </c>
      <c r="AP271" s="1">
        <v>201002</v>
      </c>
      <c r="AQ271" s="1" t="str">
        <f>IFERROR(INDEX([1]物品基础表!$A:$A,MATCH(AP271,[1]物品基础表!$B:$B,0)),"")</f>
        <v>神秘钥匙</v>
      </c>
      <c r="AR271" s="1">
        <v>2</v>
      </c>
    </row>
    <row r="272" spans="1:44">
      <c r="A272" s="1" t="str">
        <f>INDEX([2]活动总表!$A$8:$A$429,MATCH(B272,[2]活动总表!$B$8:$B$429,0))</f>
        <v>第2次合服限购礼包1</v>
      </c>
      <c r="B272" s="1">
        <v>335</v>
      </c>
      <c r="C272" s="1">
        <v>1</v>
      </c>
      <c r="D272" s="1">
        <v>5</v>
      </c>
      <c r="E272" s="1">
        <v>0</v>
      </c>
      <c r="F272" s="1" t="s">
        <v>706</v>
      </c>
      <c r="G272" s="1">
        <v>888</v>
      </c>
      <c r="H272" s="1">
        <v>1500</v>
      </c>
      <c r="I272" s="1">
        <v>1</v>
      </c>
      <c r="O272" s="1">
        <v>59</v>
      </c>
      <c r="X272" s="1">
        <v>200005</v>
      </c>
      <c r="Y272" s="1" t="str">
        <f>IFERROR(INDEX([1]物品基础表!$A:$A,MATCH(X272,[1]物品基础表!$B:$B,0)),"")</f>
        <v>龙魂碎片</v>
      </c>
      <c r="Z272" s="1">
        <v>15</v>
      </c>
      <c r="AB272" s="1" t="str">
        <f>IFERROR(INDEX([1]物品基础表!$A:$A,MATCH(AA272,[1]物品基础表!$B:$B,0)),"")</f>
        <v/>
      </c>
      <c r="AE272" s="1" t="str">
        <f>IFERROR(INDEX([1]物品基础表!$A:$A,MATCH(AD272,[1]物品基础表!$B:$B,0)),"")</f>
        <v/>
      </c>
      <c r="AH272" s="1" t="str">
        <f>IFERROR(INDEX([1]物品基础表!$A:$A,MATCH(AG272,[1]物品基础表!$B:$B,0)),"")</f>
        <v/>
      </c>
      <c r="AK272" s="1" t="str">
        <f>IFERROR(INDEX([1]物品基础表!$A:$A,MATCH(AJ272,[1]物品基础表!$B:$B,0)),"")</f>
        <v/>
      </c>
      <c r="AN272" s="1" t="str">
        <f>IFERROR(INDEX([1]物品基础表!$A:$A,MATCH(AM272,[1]物品基础表!$B:$B,0)),"")</f>
        <v/>
      </c>
      <c r="AQ272" s="1" t="str">
        <f>IFERROR(INDEX([1]物品基础表!$A:$A,MATCH(AP272,[1]物品基础表!$B:$B,0)),"")</f>
        <v/>
      </c>
    </row>
    <row r="273" spans="1:43">
      <c r="A273" s="1" t="str">
        <f>INDEX([2]活动总表!$A$8:$A$429,MATCH(B273,[2]活动总表!$B$8:$B$429,0))</f>
        <v>第2次合服限购礼包1</v>
      </c>
      <c r="B273" s="1">
        <v>335</v>
      </c>
      <c r="C273" s="1">
        <v>2</v>
      </c>
      <c r="D273" s="1">
        <v>7</v>
      </c>
      <c r="E273" s="1">
        <v>0</v>
      </c>
      <c r="F273" s="1" t="s">
        <v>706</v>
      </c>
      <c r="G273" s="1">
        <v>1588</v>
      </c>
      <c r="H273" s="1">
        <v>5000</v>
      </c>
      <c r="I273" s="1">
        <v>1</v>
      </c>
      <c r="O273" s="1">
        <v>31</v>
      </c>
      <c r="X273" s="1">
        <v>200005</v>
      </c>
      <c r="Y273" s="1" t="str">
        <f>IFERROR(INDEX([1]物品基础表!$A:$A,MATCH(X273,[1]物品基础表!$B:$B,0)),"")</f>
        <v>龙魂碎片</v>
      </c>
      <c r="Z273" s="1">
        <v>50</v>
      </c>
      <c r="AB273" s="1" t="str">
        <f>IFERROR(INDEX([1]物品基础表!$A:$A,MATCH(AA273,[1]物品基础表!$B:$B,0)),"")</f>
        <v/>
      </c>
      <c r="AE273" s="1" t="str">
        <f>IFERROR(INDEX([1]物品基础表!$A:$A,MATCH(AD273,[1]物品基础表!$B:$B,0)),"")</f>
        <v/>
      </c>
      <c r="AH273" s="1" t="str">
        <f>IFERROR(INDEX([1]物品基础表!$A:$A,MATCH(AG273,[1]物品基础表!$B:$B,0)),"")</f>
        <v/>
      </c>
      <c r="AK273" s="1" t="str">
        <f>IFERROR(INDEX([1]物品基础表!$A:$A,MATCH(AJ273,[1]物品基础表!$B:$B,0)),"")</f>
        <v/>
      </c>
      <c r="AN273" s="1" t="str">
        <f>IFERROR(INDEX([1]物品基础表!$A:$A,MATCH(AM273,[1]物品基础表!$B:$B,0)),"")</f>
        <v/>
      </c>
      <c r="AQ273" s="1" t="str">
        <f>IFERROR(INDEX([1]物品基础表!$A:$A,MATCH(AP273,[1]物品基础表!$B:$B,0)),"")</f>
        <v/>
      </c>
    </row>
    <row r="274" spans="1:43">
      <c r="A274" s="1" t="str">
        <f>INDEX([2]活动总表!$A$8:$A$429,MATCH(B274,[2]活动总表!$B$8:$B$429,0))</f>
        <v>第2次合服限购礼包1</v>
      </c>
      <c r="B274" s="1">
        <v>335</v>
      </c>
      <c r="C274" s="1">
        <v>3</v>
      </c>
      <c r="D274" s="1">
        <v>7</v>
      </c>
      <c r="E274" s="1">
        <v>0</v>
      </c>
      <c r="F274" s="1" t="s">
        <v>706</v>
      </c>
      <c r="G274" s="1">
        <v>2888</v>
      </c>
      <c r="H274" s="1">
        <v>8500</v>
      </c>
      <c r="I274" s="1">
        <v>1</v>
      </c>
      <c r="O274" s="1">
        <v>33</v>
      </c>
      <c r="X274" s="1">
        <v>200005</v>
      </c>
      <c r="Y274" s="1" t="str">
        <f>IFERROR(INDEX([1]物品基础表!$A:$A,MATCH(X274,[1]物品基础表!$B:$B,0)),"")</f>
        <v>龙魂碎片</v>
      </c>
      <c r="Z274" s="1">
        <v>85</v>
      </c>
      <c r="AB274" s="1" t="str">
        <f>IFERROR(INDEX([1]物品基础表!$A:$A,MATCH(AA274,[1]物品基础表!$B:$B,0)),"")</f>
        <v/>
      </c>
      <c r="AE274" s="1" t="str">
        <f>IFERROR(INDEX([1]物品基础表!$A:$A,MATCH(AD274,[1]物品基础表!$B:$B,0)),"")</f>
        <v/>
      </c>
      <c r="AH274" s="1" t="str">
        <f>IFERROR(INDEX([1]物品基础表!$A:$A,MATCH(AG274,[1]物品基础表!$B:$B,0)),"")</f>
        <v/>
      </c>
      <c r="AK274" s="1" t="str">
        <f>IFERROR(INDEX([1]物品基础表!$A:$A,MATCH(AJ274,[1]物品基础表!$B:$B,0)),"")</f>
        <v/>
      </c>
      <c r="AN274" s="1" t="str">
        <f>IFERROR(INDEX([1]物品基础表!$A:$A,MATCH(AM274,[1]物品基础表!$B:$B,0)),"")</f>
        <v/>
      </c>
      <c r="AQ274" s="1" t="str">
        <f>IFERROR(INDEX([1]物品基础表!$A:$A,MATCH(AP274,[1]物品基础表!$B:$B,0)),"")</f>
        <v/>
      </c>
    </row>
    <row r="275" spans="1:43">
      <c r="A275" s="1" t="str">
        <f>INDEX([2]活动总表!$A$8:$A$429,MATCH(B275,[2]活动总表!$B$8:$B$429,0))</f>
        <v>第2次合服限购礼包1</v>
      </c>
      <c r="B275" s="1">
        <v>335</v>
      </c>
      <c r="C275" s="1">
        <v>4</v>
      </c>
      <c r="D275" s="1">
        <v>7</v>
      </c>
      <c r="E275" s="1">
        <v>0</v>
      </c>
      <c r="F275" s="1" t="s">
        <v>706</v>
      </c>
      <c r="G275" s="1">
        <v>6888</v>
      </c>
      <c r="H275" s="1">
        <v>20000</v>
      </c>
      <c r="I275" s="1">
        <v>1</v>
      </c>
      <c r="O275" s="1">
        <v>34</v>
      </c>
      <c r="X275" s="1">
        <v>200005</v>
      </c>
      <c r="Y275" s="1" t="str">
        <f>IFERROR(INDEX([1]物品基础表!$A:$A,MATCH(X275,[1]物品基础表!$B:$B,0)),"")</f>
        <v>龙魂碎片</v>
      </c>
      <c r="Z275" s="1">
        <v>200</v>
      </c>
      <c r="AB275" s="1" t="str">
        <f>IFERROR(INDEX([1]物品基础表!$A:$A,MATCH(AA275,[1]物品基础表!$B:$B,0)),"")</f>
        <v/>
      </c>
      <c r="AE275" s="1" t="str">
        <f>IFERROR(INDEX([1]物品基础表!$A:$A,MATCH(AD275,[1]物品基础表!$B:$B,0)),"")</f>
        <v/>
      </c>
      <c r="AH275" s="1" t="str">
        <f>IFERROR(INDEX([1]物品基础表!$A:$A,MATCH(AG275,[1]物品基础表!$B:$B,0)),"")</f>
        <v/>
      </c>
      <c r="AK275" s="1" t="str">
        <f>IFERROR(INDEX([1]物品基础表!$A:$A,MATCH(AJ275,[1]物品基础表!$B:$B,0)),"")</f>
        <v/>
      </c>
      <c r="AN275" s="1" t="str">
        <f>IFERROR(INDEX([1]物品基础表!$A:$A,MATCH(AM275,[1]物品基础表!$B:$B,0)),"")</f>
        <v/>
      </c>
      <c r="AQ275" s="1" t="str">
        <f>IFERROR(INDEX([1]物品基础表!$A:$A,MATCH(AP275,[1]物品基础表!$B:$B,0)),"")</f>
        <v/>
      </c>
    </row>
    <row r="276" spans="1:43">
      <c r="A276" s="1" t="str">
        <f>INDEX([2]活动总表!$A$8:$A$429,MATCH(B276,[2]活动总表!$B$8:$B$429,0))</f>
        <v>第2次合服限购礼包1</v>
      </c>
      <c r="B276" s="1">
        <v>335</v>
      </c>
      <c r="C276" s="1">
        <v>5</v>
      </c>
      <c r="D276" s="1">
        <v>5</v>
      </c>
      <c r="E276" s="1">
        <v>0</v>
      </c>
      <c r="F276" s="1" t="s">
        <v>706</v>
      </c>
      <c r="G276" s="1">
        <v>2888</v>
      </c>
      <c r="H276" s="1">
        <v>5000</v>
      </c>
      <c r="I276" s="1">
        <v>1</v>
      </c>
      <c r="O276" s="1">
        <v>57</v>
      </c>
      <c r="X276" s="1">
        <v>200005</v>
      </c>
      <c r="Y276" s="1" t="str">
        <f>IFERROR(INDEX([1]物品基础表!$A:$A,MATCH(X276,[1]物品基础表!$B:$B,0)),"")</f>
        <v>龙魂碎片</v>
      </c>
      <c r="Z276" s="1">
        <v>50</v>
      </c>
      <c r="AB276" s="1" t="str">
        <f>IFERROR(INDEX([1]物品基础表!$A:$A,MATCH(AA276,[1]物品基础表!$B:$B,0)),"")</f>
        <v/>
      </c>
      <c r="AE276" s="1" t="str">
        <f>IFERROR(INDEX([1]物品基础表!$A:$A,MATCH(AD276,[1]物品基础表!$B:$B,0)),"")</f>
        <v/>
      </c>
      <c r="AH276" s="1" t="str">
        <f>IFERROR(INDEX([1]物品基础表!$A:$A,MATCH(AG276,[1]物品基础表!$B:$B,0)),"")</f>
        <v/>
      </c>
      <c r="AK276" s="1" t="str">
        <f>IFERROR(INDEX([1]物品基础表!$A:$A,MATCH(AJ276,[1]物品基础表!$B:$B,0)),"")</f>
        <v/>
      </c>
      <c r="AN276" s="1" t="str">
        <f>IFERROR(INDEX([1]物品基础表!$A:$A,MATCH(AM276,[1]物品基础表!$B:$B,0)),"")</f>
        <v/>
      </c>
      <c r="AQ276" s="1" t="str">
        <f>IFERROR(INDEX([1]物品基础表!$A:$A,MATCH(AP276,[1]物品基础表!$B:$B,0)),"")</f>
        <v/>
      </c>
    </row>
    <row r="277" spans="1:43">
      <c r="A277" s="1" t="str">
        <f>INDEX([2]活动总表!$A$8:$A$429,MATCH(B277,[2]活动总表!$B$8:$B$429,0))</f>
        <v>第2次合服限购礼包1</v>
      </c>
      <c r="B277" s="1">
        <v>335</v>
      </c>
      <c r="C277" s="1">
        <v>6</v>
      </c>
      <c r="D277" s="1">
        <v>5</v>
      </c>
      <c r="E277" s="1">
        <v>0</v>
      </c>
      <c r="F277" s="1" t="s">
        <v>706</v>
      </c>
      <c r="G277" s="1">
        <v>8888</v>
      </c>
      <c r="H277" s="1">
        <v>15000</v>
      </c>
      <c r="I277" s="1">
        <v>3</v>
      </c>
      <c r="O277" s="1">
        <v>59</v>
      </c>
      <c r="X277" s="1">
        <v>200005</v>
      </c>
      <c r="Y277" s="1" t="str">
        <f>IFERROR(INDEX([1]物品基础表!$A:$A,MATCH(X277,[1]物品基础表!$B:$B,0)),"")</f>
        <v>龙魂碎片</v>
      </c>
      <c r="Z277" s="1">
        <v>150</v>
      </c>
      <c r="AB277" s="1" t="str">
        <f>IFERROR(INDEX([1]物品基础表!$A:$A,MATCH(AA277,[1]物品基础表!$B:$B,0)),"")</f>
        <v/>
      </c>
      <c r="AE277" s="1" t="str">
        <f>IFERROR(INDEX([1]物品基础表!$A:$A,MATCH(AD277,[1]物品基础表!$B:$B,0)),"")</f>
        <v/>
      </c>
      <c r="AH277" s="1" t="str">
        <f>IFERROR(INDEX([1]物品基础表!$A:$A,MATCH(AG277,[1]物品基础表!$B:$B,0)),"")</f>
        <v/>
      </c>
      <c r="AK277" s="1" t="str">
        <f>IFERROR(INDEX([1]物品基础表!$A:$A,MATCH(AJ277,[1]物品基础表!$B:$B,0)),"")</f>
        <v/>
      </c>
      <c r="AN277" s="1" t="str">
        <f>IFERROR(INDEX([1]物品基础表!$A:$A,MATCH(AM277,[1]物品基础表!$B:$B,0)),"")</f>
        <v/>
      </c>
      <c r="AQ277" s="1" t="str">
        <f>IFERROR(INDEX([1]物品基础表!$A:$A,MATCH(AP277,[1]物品基础表!$B:$B,0)),"")</f>
        <v/>
      </c>
    </row>
    <row r="278" spans="1:43">
      <c r="A278" s="1" t="str">
        <f>INDEX([2]活动总表!$A$8:$A$429,MATCH(B278,[2]活动总表!$B$8:$B$429,0))</f>
        <v>第2次合服限购礼包2</v>
      </c>
      <c r="B278" s="1">
        <v>336</v>
      </c>
      <c r="C278" s="1">
        <v>1</v>
      </c>
      <c r="D278" s="1">
        <v>5</v>
      </c>
      <c r="E278" s="1">
        <v>0</v>
      </c>
      <c r="F278" s="1" t="s">
        <v>706</v>
      </c>
      <c r="G278" s="1">
        <v>888</v>
      </c>
      <c r="H278" s="1">
        <v>1500</v>
      </c>
      <c r="I278" s="1">
        <v>1</v>
      </c>
      <c r="O278" s="1">
        <v>59</v>
      </c>
      <c r="X278" s="1">
        <v>200301</v>
      </c>
      <c r="Y278" s="1" t="str">
        <f>IFERROR(INDEX([1]物品基础表!$A:$A,MATCH(X278,[1]物品基础表!$B:$B,0)),"")</f>
        <v>传世宝钻</v>
      </c>
      <c r="Z278" s="1">
        <v>15</v>
      </c>
      <c r="AB278" s="1" t="str">
        <f>IFERROR(INDEX([1]物品基础表!$A:$A,MATCH(AA278,[1]物品基础表!$B:$B,0)),"")</f>
        <v/>
      </c>
      <c r="AE278" s="1" t="str">
        <f>IFERROR(INDEX([1]物品基础表!$A:$A,MATCH(AD278,[1]物品基础表!$B:$B,0)),"")</f>
        <v/>
      </c>
      <c r="AH278" s="1" t="str">
        <f>IFERROR(INDEX([1]物品基础表!$A:$A,MATCH(AG278,[1]物品基础表!$B:$B,0)),"")</f>
        <v/>
      </c>
      <c r="AK278" s="1" t="str">
        <f>IFERROR(INDEX([1]物品基础表!$A:$A,MATCH(AJ278,[1]物品基础表!$B:$B,0)),"")</f>
        <v/>
      </c>
      <c r="AN278" s="1" t="str">
        <f>IFERROR(INDEX([1]物品基础表!$A:$A,MATCH(AM278,[1]物品基础表!$B:$B,0)),"")</f>
        <v/>
      </c>
      <c r="AQ278" s="1" t="str">
        <f>IFERROR(INDEX([1]物品基础表!$A:$A,MATCH(AP278,[1]物品基础表!$B:$B,0)),"")</f>
        <v/>
      </c>
    </row>
    <row r="279" spans="1:43">
      <c r="A279" s="1" t="str">
        <f>INDEX([2]活动总表!$A$8:$A$429,MATCH(B279,[2]活动总表!$B$8:$B$429,0))</f>
        <v>第2次合服限购礼包2</v>
      </c>
      <c r="B279" s="1">
        <v>336</v>
      </c>
      <c r="C279" s="1">
        <v>2</v>
      </c>
      <c r="D279" s="1">
        <v>7</v>
      </c>
      <c r="E279" s="1">
        <v>0</v>
      </c>
      <c r="F279" s="1" t="s">
        <v>706</v>
      </c>
      <c r="G279" s="1">
        <v>1588</v>
      </c>
      <c r="H279" s="1">
        <v>5000</v>
      </c>
      <c r="I279" s="1">
        <v>1</v>
      </c>
      <c r="O279" s="1">
        <v>31</v>
      </c>
      <c r="X279" s="1">
        <v>200301</v>
      </c>
      <c r="Y279" s="1" t="str">
        <f>IFERROR(INDEX([1]物品基础表!$A:$A,MATCH(X279,[1]物品基础表!$B:$B,0)),"")</f>
        <v>传世宝钻</v>
      </c>
      <c r="Z279" s="1">
        <v>50</v>
      </c>
      <c r="AB279" s="1" t="str">
        <f>IFERROR(INDEX([1]物品基础表!$A:$A,MATCH(AA279,[1]物品基础表!$B:$B,0)),"")</f>
        <v/>
      </c>
      <c r="AE279" s="1" t="str">
        <f>IFERROR(INDEX([1]物品基础表!$A:$A,MATCH(AD279,[1]物品基础表!$B:$B,0)),"")</f>
        <v/>
      </c>
      <c r="AH279" s="1" t="str">
        <f>IFERROR(INDEX([1]物品基础表!$A:$A,MATCH(AG279,[1]物品基础表!$B:$B,0)),"")</f>
        <v/>
      </c>
      <c r="AK279" s="1" t="str">
        <f>IFERROR(INDEX([1]物品基础表!$A:$A,MATCH(AJ279,[1]物品基础表!$B:$B,0)),"")</f>
        <v/>
      </c>
      <c r="AN279" s="1" t="str">
        <f>IFERROR(INDEX([1]物品基础表!$A:$A,MATCH(AM279,[1]物品基础表!$B:$B,0)),"")</f>
        <v/>
      </c>
      <c r="AQ279" s="1" t="str">
        <f>IFERROR(INDEX([1]物品基础表!$A:$A,MATCH(AP279,[1]物品基础表!$B:$B,0)),"")</f>
        <v/>
      </c>
    </row>
    <row r="280" spans="1:43">
      <c r="A280" s="1" t="str">
        <f>INDEX([2]活动总表!$A$8:$A$429,MATCH(B280,[2]活动总表!$B$8:$B$429,0))</f>
        <v>第2次合服限购礼包2</v>
      </c>
      <c r="B280" s="1">
        <v>336</v>
      </c>
      <c r="C280" s="1">
        <v>3</v>
      </c>
      <c r="D280" s="1">
        <v>7</v>
      </c>
      <c r="E280" s="1">
        <v>0</v>
      </c>
      <c r="F280" s="1" t="s">
        <v>706</v>
      </c>
      <c r="G280" s="1">
        <v>2888</v>
      </c>
      <c r="H280" s="1">
        <v>8500</v>
      </c>
      <c r="I280" s="1">
        <v>1</v>
      </c>
      <c r="O280" s="1">
        <v>33</v>
      </c>
      <c r="X280" s="1">
        <v>200301</v>
      </c>
      <c r="Y280" s="1" t="str">
        <f>IFERROR(INDEX([1]物品基础表!$A:$A,MATCH(X280,[1]物品基础表!$B:$B,0)),"")</f>
        <v>传世宝钻</v>
      </c>
      <c r="Z280" s="1">
        <v>85</v>
      </c>
      <c r="AB280" s="1" t="str">
        <f>IFERROR(INDEX([1]物品基础表!$A:$A,MATCH(AA280,[1]物品基础表!$B:$B,0)),"")</f>
        <v/>
      </c>
      <c r="AE280" s="1" t="str">
        <f>IFERROR(INDEX([1]物品基础表!$A:$A,MATCH(AD280,[1]物品基础表!$B:$B,0)),"")</f>
        <v/>
      </c>
      <c r="AH280" s="1" t="str">
        <f>IFERROR(INDEX([1]物品基础表!$A:$A,MATCH(AG280,[1]物品基础表!$B:$B,0)),"")</f>
        <v/>
      </c>
      <c r="AK280" s="1" t="str">
        <f>IFERROR(INDEX([1]物品基础表!$A:$A,MATCH(AJ280,[1]物品基础表!$B:$B,0)),"")</f>
        <v/>
      </c>
      <c r="AN280" s="1" t="str">
        <f>IFERROR(INDEX([1]物品基础表!$A:$A,MATCH(AM280,[1]物品基础表!$B:$B,0)),"")</f>
        <v/>
      </c>
      <c r="AQ280" s="1" t="str">
        <f>IFERROR(INDEX([1]物品基础表!$A:$A,MATCH(AP280,[1]物品基础表!$B:$B,0)),"")</f>
        <v/>
      </c>
    </row>
    <row r="281" spans="1:43">
      <c r="A281" s="1" t="str">
        <f>INDEX([2]活动总表!$A$8:$A$429,MATCH(B281,[2]活动总表!$B$8:$B$429,0))</f>
        <v>第2次合服限购礼包2</v>
      </c>
      <c r="B281" s="1">
        <v>336</v>
      </c>
      <c r="C281" s="1">
        <v>4</v>
      </c>
      <c r="D281" s="1">
        <v>7</v>
      </c>
      <c r="E281" s="1">
        <v>0</v>
      </c>
      <c r="F281" s="1" t="s">
        <v>706</v>
      </c>
      <c r="G281" s="1">
        <v>6888</v>
      </c>
      <c r="H281" s="1">
        <v>20000</v>
      </c>
      <c r="I281" s="1">
        <v>1</v>
      </c>
      <c r="O281" s="1">
        <v>34</v>
      </c>
      <c r="X281" s="1">
        <v>200301</v>
      </c>
      <c r="Y281" s="1" t="str">
        <f>IFERROR(INDEX([1]物品基础表!$A:$A,MATCH(X281,[1]物品基础表!$B:$B,0)),"")</f>
        <v>传世宝钻</v>
      </c>
      <c r="Z281" s="1">
        <v>200</v>
      </c>
      <c r="AB281" s="1" t="str">
        <f>IFERROR(INDEX([1]物品基础表!$A:$A,MATCH(AA281,[1]物品基础表!$B:$B,0)),"")</f>
        <v/>
      </c>
      <c r="AE281" s="1" t="str">
        <f>IFERROR(INDEX([1]物品基础表!$A:$A,MATCH(AD281,[1]物品基础表!$B:$B,0)),"")</f>
        <v/>
      </c>
      <c r="AH281" s="1" t="str">
        <f>IFERROR(INDEX([1]物品基础表!$A:$A,MATCH(AG281,[1]物品基础表!$B:$B,0)),"")</f>
        <v/>
      </c>
      <c r="AK281" s="1" t="str">
        <f>IFERROR(INDEX([1]物品基础表!$A:$A,MATCH(AJ281,[1]物品基础表!$B:$B,0)),"")</f>
        <v/>
      </c>
      <c r="AN281" s="1" t="str">
        <f>IFERROR(INDEX([1]物品基础表!$A:$A,MATCH(AM281,[1]物品基础表!$B:$B,0)),"")</f>
        <v/>
      </c>
      <c r="AQ281" s="1" t="str">
        <f>IFERROR(INDEX([1]物品基础表!$A:$A,MATCH(AP281,[1]物品基础表!$B:$B,0)),"")</f>
        <v/>
      </c>
    </row>
    <row r="282" spans="1:43">
      <c r="A282" s="1" t="str">
        <f>INDEX([2]活动总表!$A$8:$A$429,MATCH(B282,[2]活动总表!$B$8:$B$429,0))</f>
        <v>第2次合服限购礼包2</v>
      </c>
      <c r="B282" s="1">
        <v>336</v>
      </c>
      <c r="C282" s="1">
        <v>5</v>
      </c>
      <c r="D282" s="1">
        <v>5</v>
      </c>
      <c r="E282" s="1">
        <v>0</v>
      </c>
      <c r="F282" s="1" t="s">
        <v>706</v>
      </c>
      <c r="G282" s="1">
        <v>2888</v>
      </c>
      <c r="H282" s="1">
        <v>5000</v>
      </c>
      <c r="I282" s="1">
        <v>1</v>
      </c>
      <c r="O282" s="1">
        <v>57</v>
      </c>
      <c r="X282" s="1">
        <v>200301</v>
      </c>
      <c r="Y282" s="1" t="str">
        <f>IFERROR(INDEX([1]物品基础表!$A:$A,MATCH(X282,[1]物品基础表!$B:$B,0)),"")</f>
        <v>传世宝钻</v>
      </c>
      <c r="Z282" s="1">
        <v>50</v>
      </c>
      <c r="AB282" s="1" t="str">
        <f>IFERROR(INDEX([1]物品基础表!$A:$A,MATCH(AA282,[1]物品基础表!$B:$B,0)),"")</f>
        <v/>
      </c>
      <c r="AE282" s="1" t="str">
        <f>IFERROR(INDEX([1]物品基础表!$A:$A,MATCH(AD282,[1]物品基础表!$B:$B,0)),"")</f>
        <v/>
      </c>
      <c r="AH282" s="1" t="str">
        <f>IFERROR(INDEX([1]物品基础表!$A:$A,MATCH(AG282,[1]物品基础表!$B:$B,0)),"")</f>
        <v/>
      </c>
      <c r="AK282" s="1" t="str">
        <f>IFERROR(INDEX([1]物品基础表!$A:$A,MATCH(AJ282,[1]物品基础表!$B:$B,0)),"")</f>
        <v/>
      </c>
      <c r="AN282" s="1" t="str">
        <f>IFERROR(INDEX([1]物品基础表!$A:$A,MATCH(AM282,[1]物品基础表!$B:$B,0)),"")</f>
        <v/>
      </c>
      <c r="AQ282" s="1" t="str">
        <f>IFERROR(INDEX([1]物品基础表!$A:$A,MATCH(AP282,[1]物品基础表!$B:$B,0)),"")</f>
        <v/>
      </c>
    </row>
    <row r="283" spans="1:43">
      <c r="A283" s="1" t="str">
        <f>INDEX([2]活动总表!$A$8:$A$429,MATCH(B283,[2]活动总表!$B$8:$B$429,0))</f>
        <v>第2次合服限购礼包2</v>
      </c>
      <c r="B283" s="1">
        <v>336</v>
      </c>
      <c r="C283" s="1">
        <v>6</v>
      </c>
      <c r="D283" s="1">
        <v>5</v>
      </c>
      <c r="E283" s="1">
        <v>0</v>
      </c>
      <c r="F283" s="1" t="s">
        <v>706</v>
      </c>
      <c r="G283" s="1">
        <v>8888</v>
      </c>
      <c r="H283" s="1">
        <v>15000</v>
      </c>
      <c r="I283" s="1">
        <v>3</v>
      </c>
      <c r="O283" s="1">
        <v>59</v>
      </c>
      <c r="X283" s="1">
        <v>200301</v>
      </c>
      <c r="Y283" s="1" t="str">
        <f>IFERROR(INDEX([1]物品基础表!$A:$A,MATCH(X283,[1]物品基础表!$B:$B,0)),"")</f>
        <v>传世宝钻</v>
      </c>
      <c r="Z283" s="1">
        <v>150</v>
      </c>
      <c r="AB283" s="1" t="str">
        <f>IFERROR(INDEX([1]物品基础表!$A:$A,MATCH(AA283,[1]物品基础表!$B:$B,0)),"")</f>
        <v/>
      </c>
      <c r="AE283" s="1" t="str">
        <f>IFERROR(INDEX([1]物品基础表!$A:$A,MATCH(AD283,[1]物品基础表!$B:$B,0)),"")</f>
        <v/>
      </c>
      <c r="AH283" s="1" t="str">
        <f>IFERROR(INDEX([1]物品基础表!$A:$A,MATCH(AG283,[1]物品基础表!$B:$B,0)),"")</f>
        <v/>
      </c>
      <c r="AK283" s="1" t="str">
        <f>IFERROR(INDEX([1]物品基础表!$A:$A,MATCH(AJ283,[1]物品基础表!$B:$B,0)),"")</f>
        <v/>
      </c>
      <c r="AN283" s="1" t="str">
        <f>IFERROR(INDEX([1]物品基础表!$A:$A,MATCH(AM283,[1]物品基础表!$B:$B,0)),"")</f>
        <v/>
      </c>
      <c r="AQ283" s="1" t="str">
        <f>IFERROR(INDEX([1]物品基础表!$A:$A,MATCH(AP283,[1]物品基础表!$B:$B,0)),"")</f>
        <v/>
      </c>
    </row>
    <row r="284" spans="1:43">
      <c r="A284" s="1" t="str">
        <f>INDEX([2]活动总表!$A$8:$A$429,MATCH(B284,[2]活动总表!$B$8:$B$429,0))</f>
        <v>第2次合服限购礼包3</v>
      </c>
      <c r="B284" s="1">
        <v>337</v>
      </c>
      <c r="C284" s="1">
        <v>1</v>
      </c>
      <c r="D284" s="1">
        <v>5</v>
      </c>
      <c r="E284" s="1">
        <v>0</v>
      </c>
      <c r="F284" s="1" t="s">
        <v>706</v>
      </c>
      <c r="G284" s="1">
        <v>888</v>
      </c>
      <c r="H284" s="1">
        <v>1500</v>
      </c>
      <c r="I284" s="1">
        <v>1</v>
      </c>
      <c r="O284" s="1">
        <v>59</v>
      </c>
      <c r="X284" s="1">
        <v>601000</v>
      </c>
      <c r="Y284" s="1" t="str">
        <f>IFERROR(INDEX([1]物品基础表!$A:$A,MATCH(X284,[1]物品基础表!$B:$B,0)),"")</f>
        <v>神羽碎片</v>
      </c>
      <c r="Z284" s="1">
        <v>6</v>
      </c>
      <c r="AB284" s="1" t="str">
        <f>IFERROR(INDEX([1]物品基础表!$A:$A,MATCH(AA284,[1]物品基础表!$B:$B,0)),"")</f>
        <v/>
      </c>
      <c r="AE284" s="1" t="str">
        <f>IFERROR(INDEX([1]物品基础表!$A:$A,MATCH(AD284,[1]物品基础表!$B:$B,0)),"")</f>
        <v/>
      </c>
      <c r="AH284" s="1" t="str">
        <f>IFERROR(INDEX([1]物品基础表!$A:$A,MATCH(AG284,[1]物品基础表!$B:$B,0)),"")</f>
        <v/>
      </c>
      <c r="AK284" s="1" t="str">
        <f>IFERROR(INDEX([1]物品基础表!$A:$A,MATCH(AJ284,[1]物品基础表!$B:$B,0)),"")</f>
        <v/>
      </c>
      <c r="AN284" s="1" t="str">
        <f>IFERROR(INDEX([1]物品基础表!$A:$A,MATCH(AM284,[1]物品基础表!$B:$B,0)),"")</f>
        <v/>
      </c>
      <c r="AQ284" s="1" t="str">
        <f>IFERROR(INDEX([1]物品基础表!$A:$A,MATCH(AP284,[1]物品基础表!$B:$B,0)),"")</f>
        <v/>
      </c>
    </row>
    <row r="285" spans="1:43">
      <c r="A285" s="1" t="str">
        <f>INDEX([2]活动总表!$A$8:$A$429,MATCH(B285,[2]活动总表!$B$8:$B$429,0))</f>
        <v>第2次合服限购礼包3</v>
      </c>
      <c r="B285" s="1">
        <v>337</v>
      </c>
      <c r="C285" s="1">
        <v>2</v>
      </c>
      <c r="D285" s="1">
        <v>8</v>
      </c>
      <c r="E285" s="1">
        <v>0</v>
      </c>
      <c r="F285" s="1" t="s">
        <v>706</v>
      </c>
      <c r="G285" s="1">
        <v>1588</v>
      </c>
      <c r="H285" s="1">
        <v>5000</v>
      </c>
      <c r="I285" s="1">
        <v>1</v>
      </c>
      <c r="O285" s="1">
        <v>31</v>
      </c>
      <c r="X285" s="1">
        <v>601000</v>
      </c>
      <c r="Y285" s="1" t="str">
        <f>IFERROR(INDEX([1]物品基础表!$A:$A,MATCH(X285,[1]物品基础表!$B:$B,0)),"")</f>
        <v>神羽碎片</v>
      </c>
      <c r="Z285" s="1">
        <v>20</v>
      </c>
      <c r="AB285" s="1" t="str">
        <f>IFERROR(INDEX([1]物品基础表!$A:$A,MATCH(AA285,[1]物品基础表!$B:$B,0)),"")</f>
        <v/>
      </c>
      <c r="AE285" s="1" t="str">
        <f>IFERROR(INDEX([1]物品基础表!$A:$A,MATCH(AD285,[1]物品基础表!$B:$B,0)),"")</f>
        <v/>
      </c>
      <c r="AH285" s="1" t="str">
        <f>IFERROR(INDEX([1]物品基础表!$A:$A,MATCH(AG285,[1]物品基础表!$B:$B,0)),"")</f>
        <v/>
      </c>
      <c r="AK285" s="1" t="str">
        <f>IFERROR(INDEX([1]物品基础表!$A:$A,MATCH(AJ285,[1]物品基础表!$B:$B,0)),"")</f>
        <v/>
      </c>
      <c r="AN285" s="1" t="str">
        <f>IFERROR(INDEX([1]物品基础表!$A:$A,MATCH(AM285,[1]物品基础表!$B:$B,0)),"")</f>
        <v/>
      </c>
      <c r="AQ285" s="1" t="str">
        <f>IFERROR(INDEX([1]物品基础表!$A:$A,MATCH(AP285,[1]物品基础表!$B:$B,0)),"")</f>
        <v/>
      </c>
    </row>
    <row r="286" spans="1:43">
      <c r="A286" s="1" t="str">
        <f>INDEX([2]活动总表!$A$8:$A$429,MATCH(B286,[2]活动总表!$B$8:$B$429,0))</f>
        <v>第2次合服限购礼包3</v>
      </c>
      <c r="B286" s="1">
        <v>337</v>
      </c>
      <c r="C286" s="1">
        <v>3</v>
      </c>
      <c r="D286" s="1">
        <v>8</v>
      </c>
      <c r="E286" s="1">
        <v>0</v>
      </c>
      <c r="F286" s="1" t="s">
        <v>706</v>
      </c>
      <c r="G286" s="1">
        <v>2888</v>
      </c>
      <c r="H286" s="1">
        <v>8750</v>
      </c>
      <c r="I286" s="1">
        <v>1</v>
      </c>
      <c r="O286" s="1">
        <v>33</v>
      </c>
      <c r="X286" s="1">
        <v>601000</v>
      </c>
      <c r="Y286" s="1" t="str">
        <f>IFERROR(INDEX([1]物品基础表!$A:$A,MATCH(X286,[1]物品基础表!$B:$B,0)),"")</f>
        <v>神羽碎片</v>
      </c>
      <c r="Z286" s="1">
        <v>35</v>
      </c>
      <c r="AB286" s="1" t="str">
        <f>IFERROR(INDEX([1]物品基础表!$A:$A,MATCH(AA286,[1]物品基础表!$B:$B,0)),"")</f>
        <v/>
      </c>
      <c r="AE286" s="1" t="str">
        <f>IFERROR(INDEX([1]物品基础表!$A:$A,MATCH(AD286,[1]物品基础表!$B:$B,0)),"")</f>
        <v/>
      </c>
      <c r="AH286" s="1" t="str">
        <f>IFERROR(INDEX([1]物品基础表!$A:$A,MATCH(AG286,[1]物品基础表!$B:$B,0)),"")</f>
        <v/>
      </c>
      <c r="AK286" s="1" t="str">
        <f>IFERROR(INDEX([1]物品基础表!$A:$A,MATCH(AJ286,[1]物品基础表!$B:$B,0)),"")</f>
        <v/>
      </c>
      <c r="AN286" s="1" t="str">
        <f>IFERROR(INDEX([1]物品基础表!$A:$A,MATCH(AM286,[1]物品基础表!$B:$B,0)),"")</f>
        <v/>
      </c>
      <c r="AQ286" s="1" t="str">
        <f>IFERROR(INDEX([1]物品基础表!$A:$A,MATCH(AP286,[1]物品基础表!$B:$B,0)),"")</f>
        <v/>
      </c>
    </row>
    <row r="287" spans="1:43">
      <c r="A287" s="1" t="str">
        <f>INDEX([2]活动总表!$A$8:$A$429,MATCH(B287,[2]活动总表!$B$8:$B$429,0))</f>
        <v>第2次合服限购礼包3</v>
      </c>
      <c r="B287" s="1">
        <v>337</v>
      </c>
      <c r="C287" s="1">
        <v>4</v>
      </c>
      <c r="D287" s="1">
        <v>8</v>
      </c>
      <c r="E287" s="1">
        <v>0</v>
      </c>
      <c r="F287" s="1" t="s">
        <v>706</v>
      </c>
      <c r="G287" s="1">
        <v>6888</v>
      </c>
      <c r="H287" s="1">
        <v>20000</v>
      </c>
      <c r="I287" s="1">
        <v>1</v>
      </c>
      <c r="O287" s="1">
        <v>34</v>
      </c>
      <c r="X287" s="1">
        <v>601000</v>
      </c>
      <c r="Y287" s="1" t="str">
        <f>IFERROR(INDEX([1]物品基础表!$A:$A,MATCH(X287,[1]物品基础表!$B:$B,0)),"")</f>
        <v>神羽碎片</v>
      </c>
      <c r="Z287" s="1">
        <v>80</v>
      </c>
      <c r="AB287" s="1" t="str">
        <f>IFERROR(INDEX([1]物品基础表!$A:$A,MATCH(AA287,[1]物品基础表!$B:$B,0)),"")</f>
        <v/>
      </c>
      <c r="AE287" s="1" t="str">
        <f>IFERROR(INDEX([1]物品基础表!$A:$A,MATCH(AD287,[1]物品基础表!$B:$B,0)),"")</f>
        <v/>
      </c>
      <c r="AH287" s="1" t="str">
        <f>IFERROR(INDEX([1]物品基础表!$A:$A,MATCH(AG287,[1]物品基础表!$B:$B,0)),"")</f>
        <v/>
      </c>
      <c r="AK287" s="1" t="str">
        <f>IFERROR(INDEX([1]物品基础表!$A:$A,MATCH(AJ287,[1]物品基础表!$B:$B,0)),"")</f>
        <v/>
      </c>
      <c r="AN287" s="1" t="str">
        <f>IFERROR(INDEX([1]物品基础表!$A:$A,MATCH(AM287,[1]物品基础表!$B:$B,0)),"")</f>
        <v/>
      </c>
      <c r="AQ287" s="1" t="str">
        <f>IFERROR(INDEX([1]物品基础表!$A:$A,MATCH(AP287,[1]物品基础表!$B:$B,0)),"")</f>
        <v/>
      </c>
    </row>
    <row r="288" spans="1:43">
      <c r="A288" s="1" t="str">
        <f>INDEX([2]活动总表!$A$8:$A$429,MATCH(B288,[2]活动总表!$B$8:$B$429,0))</f>
        <v>第2次合服限购礼包3</v>
      </c>
      <c r="B288" s="1">
        <v>337</v>
      </c>
      <c r="C288" s="1">
        <v>5</v>
      </c>
      <c r="D288" s="1">
        <v>5</v>
      </c>
      <c r="E288" s="1">
        <v>0</v>
      </c>
      <c r="F288" s="1" t="s">
        <v>706</v>
      </c>
      <c r="G288" s="1">
        <v>2888</v>
      </c>
      <c r="H288" s="1">
        <v>5000</v>
      </c>
      <c r="I288" s="1">
        <v>1</v>
      </c>
      <c r="O288" s="1">
        <v>57</v>
      </c>
      <c r="X288" s="1">
        <v>601000</v>
      </c>
      <c r="Y288" s="1" t="str">
        <f>IFERROR(INDEX([1]物品基础表!$A:$A,MATCH(X288,[1]物品基础表!$B:$B,0)),"")</f>
        <v>神羽碎片</v>
      </c>
      <c r="Z288" s="1">
        <v>20</v>
      </c>
      <c r="AB288" s="1" t="str">
        <f>IFERROR(INDEX([1]物品基础表!$A:$A,MATCH(AA288,[1]物品基础表!$B:$B,0)),"")</f>
        <v/>
      </c>
      <c r="AE288" s="1" t="str">
        <f>IFERROR(INDEX([1]物品基础表!$A:$A,MATCH(AD288,[1]物品基础表!$B:$B,0)),"")</f>
        <v/>
      </c>
      <c r="AH288" s="1" t="str">
        <f>IFERROR(INDEX([1]物品基础表!$A:$A,MATCH(AG288,[1]物品基础表!$B:$B,0)),"")</f>
        <v/>
      </c>
      <c r="AK288" s="1" t="str">
        <f>IFERROR(INDEX([1]物品基础表!$A:$A,MATCH(AJ288,[1]物品基础表!$B:$B,0)),"")</f>
        <v/>
      </c>
      <c r="AN288" s="1" t="str">
        <f>IFERROR(INDEX([1]物品基础表!$A:$A,MATCH(AM288,[1]物品基础表!$B:$B,0)),"")</f>
        <v/>
      </c>
      <c r="AQ288" s="1" t="str">
        <f>IFERROR(INDEX([1]物品基础表!$A:$A,MATCH(AP288,[1]物品基础表!$B:$B,0)),"")</f>
        <v/>
      </c>
    </row>
    <row r="289" spans="1:43">
      <c r="A289" s="1" t="str">
        <f>INDEX([2]活动总表!$A$8:$A$429,MATCH(B289,[2]活动总表!$B$8:$B$429,0))</f>
        <v>第2次合服限购礼包3</v>
      </c>
      <c r="B289" s="1">
        <v>337</v>
      </c>
      <c r="C289" s="1">
        <v>6</v>
      </c>
      <c r="D289" s="1">
        <v>5</v>
      </c>
      <c r="E289" s="1">
        <v>0</v>
      </c>
      <c r="F289" s="1" t="s">
        <v>706</v>
      </c>
      <c r="G289" s="1">
        <v>8888</v>
      </c>
      <c r="H289" s="1">
        <v>15000</v>
      </c>
      <c r="I289" s="1">
        <v>1</v>
      </c>
      <c r="O289" s="1">
        <v>59</v>
      </c>
      <c r="X289" s="1">
        <v>601603</v>
      </c>
      <c r="Y289" s="1" t="str">
        <f>IFERROR(INDEX([1]物品基础表!$A:$A,MATCH(X289,[1]物品基础表!$B:$B,0)),"")</f>
        <v>2阶神羽宝箱</v>
      </c>
      <c r="Z289" s="1">
        <v>1</v>
      </c>
      <c r="AB289" s="1" t="str">
        <f>IFERROR(INDEX([1]物品基础表!$A:$A,MATCH(AA289,[1]物品基础表!$B:$B,0)),"")</f>
        <v/>
      </c>
      <c r="AE289" s="1" t="str">
        <f>IFERROR(INDEX([1]物品基础表!$A:$A,MATCH(AD289,[1]物品基础表!$B:$B,0)),"")</f>
        <v/>
      </c>
      <c r="AH289" s="1" t="str">
        <f>IFERROR(INDEX([1]物品基础表!$A:$A,MATCH(AG289,[1]物品基础表!$B:$B,0)),"")</f>
        <v/>
      </c>
      <c r="AK289" s="1" t="str">
        <f>IFERROR(INDEX([1]物品基础表!$A:$A,MATCH(AJ289,[1]物品基础表!$B:$B,0)),"")</f>
        <v/>
      </c>
      <c r="AN289" s="1" t="str">
        <f>IFERROR(INDEX([1]物品基础表!$A:$A,MATCH(AM289,[1]物品基础表!$B:$B,0)),"")</f>
        <v/>
      </c>
      <c r="AQ289" s="1" t="str">
        <f>IFERROR(INDEX([1]物品基础表!$A:$A,MATCH(AP289,[1]物品基础表!$B:$B,0)),"")</f>
        <v/>
      </c>
    </row>
    <row r="290" spans="1:43">
      <c r="A290" s="1" t="str">
        <f>INDEX([2]活动总表!$A$8:$A$429,MATCH(B290,[2]活动总表!$B$8:$B$429,0))</f>
        <v>第2次合服限购礼包4</v>
      </c>
      <c r="B290" s="1">
        <v>338</v>
      </c>
      <c r="C290" s="1">
        <v>1</v>
      </c>
      <c r="D290" s="1">
        <v>5</v>
      </c>
      <c r="E290" s="1">
        <v>0</v>
      </c>
      <c r="F290" s="1" t="s">
        <v>706</v>
      </c>
      <c r="G290" s="1">
        <v>888</v>
      </c>
      <c r="H290" s="1">
        <v>1500</v>
      </c>
      <c r="I290" s="1">
        <v>1</v>
      </c>
      <c r="O290" s="1">
        <v>59</v>
      </c>
      <c r="X290" s="1">
        <v>200015</v>
      </c>
      <c r="Y290" s="1" t="str">
        <f>IFERROR(INDEX([1]物品基础表!$A:$A,MATCH(X290,[1]物品基础表!$B:$B,0)),"")</f>
        <v>特戒碎片</v>
      </c>
      <c r="Z290" s="1">
        <v>150</v>
      </c>
      <c r="AB290" s="1" t="str">
        <f>IFERROR(INDEX([1]物品基础表!$A:$A,MATCH(AA290,[1]物品基础表!$B:$B,0)),"")</f>
        <v/>
      </c>
      <c r="AE290" s="1" t="str">
        <f>IFERROR(INDEX([1]物品基础表!$A:$A,MATCH(AD290,[1]物品基础表!$B:$B,0)),"")</f>
        <v/>
      </c>
      <c r="AH290" s="1" t="str">
        <f>IFERROR(INDEX([1]物品基础表!$A:$A,MATCH(AG290,[1]物品基础表!$B:$B,0)),"")</f>
        <v/>
      </c>
      <c r="AK290" s="1" t="str">
        <f>IFERROR(INDEX([1]物品基础表!$A:$A,MATCH(AJ290,[1]物品基础表!$B:$B,0)),"")</f>
        <v/>
      </c>
      <c r="AN290" s="1" t="str">
        <f>IFERROR(INDEX([1]物品基础表!$A:$A,MATCH(AM290,[1]物品基础表!$B:$B,0)),"")</f>
        <v/>
      </c>
      <c r="AQ290" s="1" t="str">
        <f>IFERROR(INDEX([1]物品基础表!$A:$A,MATCH(AP290,[1]物品基础表!$B:$B,0)),"")</f>
        <v/>
      </c>
    </row>
    <row r="291" spans="1:43">
      <c r="A291" s="1" t="str">
        <f>INDEX([2]活动总表!$A$8:$A$429,MATCH(B291,[2]活动总表!$B$8:$B$429,0))</f>
        <v>第2次合服限购礼包4</v>
      </c>
      <c r="B291" s="1">
        <v>338</v>
      </c>
      <c r="C291" s="1">
        <v>2</v>
      </c>
      <c r="D291" s="1">
        <v>8</v>
      </c>
      <c r="E291" s="1">
        <v>0</v>
      </c>
      <c r="F291" s="1" t="s">
        <v>706</v>
      </c>
      <c r="G291" s="1">
        <v>1588</v>
      </c>
      <c r="H291" s="1">
        <v>5000</v>
      </c>
      <c r="I291" s="1">
        <v>1</v>
      </c>
      <c r="O291" s="1">
        <v>31</v>
      </c>
      <c r="X291" s="1">
        <v>200015</v>
      </c>
      <c r="Y291" s="1" t="str">
        <f>IFERROR(INDEX([1]物品基础表!$A:$A,MATCH(X291,[1]物品基础表!$B:$B,0)),"")</f>
        <v>特戒碎片</v>
      </c>
      <c r="Z291" s="1">
        <v>500</v>
      </c>
      <c r="AB291" s="1" t="str">
        <f>IFERROR(INDEX([1]物品基础表!$A:$A,MATCH(AA291,[1]物品基础表!$B:$B,0)),"")</f>
        <v/>
      </c>
      <c r="AE291" s="1" t="str">
        <f>IFERROR(INDEX([1]物品基础表!$A:$A,MATCH(AD291,[1]物品基础表!$B:$B,0)),"")</f>
        <v/>
      </c>
      <c r="AH291" s="1" t="str">
        <f>IFERROR(INDEX([1]物品基础表!$A:$A,MATCH(AG291,[1]物品基础表!$B:$B,0)),"")</f>
        <v/>
      </c>
      <c r="AK291" s="1" t="str">
        <f>IFERROR(INDEX([1]物品基础表!$A:$A,MATCH(AJ291,[1]物品基础表!$B:$B,0)),"")</f>
        <v/>
      </c>
      <c r="AN291" s="1" t="str">
        <f>IFERROR(INDEX([1]物品基础表!$A:$A,MATCH(AM291,[1]物品基础表!$B:$B,0)),"")</f>
        <v/>
      </c>
      <c r="AQ291" s="1" t="str">
        <f>IFERROR(INDEX([1]物品基础表!$A:$A,MATCH(AP291,[1]物品基础表!$B:$B,0)),"")</f>
        <v/>
      </c>
    </row>
    <row r="292" spans="1:43">
      <c r="A292" s="1" t="str">
        <f>INDEX([2]活动总表!$A$8:$A$429,MATCH(B292,[2]活动总表!$B$8:$B$429,0))</f>
        <v>第2次合服限购礼包4</v>
      </c>
      <c r="B292" s="1">
        <v>338</v>
      </c>
      <c r="C292" s="1">
        <v>3</v>
      </c>
      <c r="D292" s="1">
        <v>8</v>
      </c>
      <c r="E292" s="1">
        <v>0</v>
      </c>
      <c r="F292" s="1" t="s">
        <v>706</v>
      </c>
      <c r="G292" s="1">
        <v>2888</v>
      </c>
      <c r="H292" s="1">
        <v>8500</v>
      </c>
      <c r="I292" s="1">
        <v>1</v>
      </c>
      <c r="O292" s="1">
        <v>33</v>
      </c>
      <c r="X292" s="1">
        <v>200015</v>
      </c>
      <c r="Y292" s="1" t="str">
        <f>IFERROR(INDEX([1]物品基础表!$A:$A,MATCH(X292,[1]物品基础表!$B:$B,0)),"")</f>
        <v>特戒碎片</v>
      </c>
      <c r="Z292" s="1">
        <v>850</v>
      </c>
      <c r="AB292" s="1" t="str">
        <f>IFERROR(INDEX([1]物品基础表!$A:$A,MATCH(AA292,[1]物品基础表!$B:$B,0)),"")</f>
        <v/>
      </c>
      <c r="AE292" s="1" t="str">
        <f>IFERROR(INDEX([1]物品基础表!$A:$A,MATCH(AD292,[1]物品基础表!$B:$B,0)),"")</f>
        <v/>
      </c>
      <c r="AH292" s="1" t="str">
        <f>IFERROR(INDEX([1]物品基础表!$A:$A,MATCH(AG292,[1]物品基础表!$B:$B,0)),"")</f>
        <v/>
      </c>
      <c r="AK292" s="1" t="str">
        <f>IFERROR(INDEX([1]物品基础表!$A:$A,MATCH(AJ292,[1]物品基础表!$B:$B,0)),"")</f>
        <v/>
      </c>
      <c r="AN292" s="1" t="str">
        <f>IFERROR(INDEX([1]物品基础表!$A:$A,MATCH(AM292,[1]物品基础表!$B:$B,0)),"")</f>
        <v/>
      </c>
      <c r="AQ292" s="1" t="str">
        <f>IFERROR(INDEX([1]物品基础表!$A:$A,MATCH(AP292,[1]物品基础表!$B:$B,0)),"")</f>
        <v/>
      </c>
    </row>
    <row r="293" spans="1:43">
      <c r="A293" s="1" t="str">
        <f>INDEX([2]活动总表!$A$8:$A$429,MATCH(B293,[2]活动总表!$B$8:$B$429,0))</f>
        <v>第2次合服限购礼包4</v>
      </c>
      <c r="B293" s="1">
        <v>338</v>
      </c>
      <c r="C293" s="1">
        <v>4</v>
      </c>
      <c r="D293" s="1">
        <v>8</v>
      </c>
      <c r="E293" s="1">
        <v>0</v>
      </c>
      <c r="F293" s="1" t="s">
        <v>706</v>
      </c>
      <c r="G293" s="1">
        <v>6888</v>
      </c>
      <c r="H293" s="1">
        <v>20000</v>
      </c>
      <c r="I293" s="1">
        <v>1</v>
      </c>
      <c r="O293" s="1">
        <v>34</v>
      </c>
      <c r="X293" s="1">
        <v>200015</v>
      </c>
      <c r="Y293" s="1" t="str">
        <f>IFERROR(INDEX([1]物品基础表!$A:$A,MATCH(X293,[1]物品基础表!$B:$B,0)),"")</f>
        <v>特戒碎片</v>
      </c>
      <c r="Z293" s="1">
        <v>2000</v>
      </c>
      <c r="AB293" s="1" t="str">
        <f>IFERROR(INDEX([1]物品基础表!$A:$A,MATCH(AA293,[1]物品基础表!$B:$B,0)),"")</f>
        <v/>
      </c>
      <c r="AE293" s="1" t="str">
        <f>IFERROR(INDEX([1]物品基础表!$A:$A,MATCH(AD293,[1]物品基础表!$B:$B,0)),"")</f>
        <v/>
      </c>
      <c r="AH293" s="1" t="str">
        <f>IFERROR(INDEX([1]物品基础表!$A:$A,MATCH(AG293,[1]物品基础表!$B:$B,0)),"")</f>
        <v/>
      </c>
      <c r="AK293" s="1" t="str">
        <f>IFERROR(INDEX([1]物品基础表!$A:$A,MATCH(AJ293,[1]物品基础表!$B:$B,0)),"")</f>
        <v/>
      </c>
      <c r="AN293" s="1" t="str">
        <f>IFERROR(INDEX([1]物品基础表!$A:$A,MATCH(AM293,[1]物品基础表!$B:$B,0)),"")</f>
        <v/>
      </c>
      <c r="AQ293" s="1" t="str">
        <f>IFERROR(INDEX([1]物品基础表!$A:$A,MATCH(AP293,[1]物品基础表!$B:$B,0)),"")</f>
        <v/>
      </c>
    </row>
    <row r="294" spans="1:43">
      <c r="A294" s="1" t="str">
        <f>INDEX([2]活动总表!$A$8:$A$429,MATCH(B294,[2]活动总表!$B$8:$B$429,0))</f>
        <v>第2次合服限购礼包4</v>
      </c>
      <c r="B294" s="1">
        <v>338</v>
      </c>
      <c r="C294" s="1">
        <v>5</v>
      </c>
      <c r="D294" s="1">
        <v>5</v>
      </c>
      <c r="E294" s="1">
        <v>0</v>
      </c>
      <c r="F294" s="1" t="s">
        <v>706</v>
      </c>
      <c r="G294" s="1">
        <v>2888</v>
      </c>
      <c r="H294" s="1">
        <v>5000</v>
      </c>
      <c r="I294" s="1">
        <v>1</v>
      </c>
      <c r="O294" s="1">
        <v>57</v>
      </c>
      <c r="X294" s="1">
        <v>200015</v>
      </c>
      <c r="Y294" s="1" t="str">
        <f>IFERROR(INDEX([1]物品基础表!$A:$A,MATCH(X294,[1]物品基础表!$B:$B,0)),"")</f>
        <v>特戒碎片</v>
      </c>
      <c r="Z294" s="1">
        <v>500</v>
      </c>
      <c r="AB294" s="1" t="str">
        <f>IFERROR(INDEX([1]物品基础表!$A:$A,MATCH(AA294,[1]物品基础表!$B:$B,0)),"")</f>
        <v/>
      </c>
      <c r="AE294" s="1" t="str">
        <f>IFERROR(INDEX([1]物品基础表!$A:$A,MATCH(AD294,[1]物品基础表!$B:$B,0)),"")</f>
        <v/>
      </c>
      <c r="AH294" s="1" t="str">
        <f>IFERROR(INDEX([1]物品基础表!$A:$A,MATCH(AG294,[1]物品基础表!$B:$B,0)),"")</f>
        <v/>
      </c>
      <c r="AK294" s="1" t="str">
        <f>IFERROR(INDEX([1]物品基础表!$A:$A,MATCH(AJ294,[1]物品基础表!$B:$B,0)),"")</f>
        <v/>
      </c>
      <c r="AN294" s="1" t="str">
        <f>IFERROR(INDEX([1]物品基础表!$A:$A,MATCH(AM294,[1]物品基础表!$B:$B,0)),"")</f>
        <v/>
      </c>
      <c r="AQ294" s="1" t="str">
        <f>IFERROR(INDEX([1]物品基础表!$A:$A,MATCH(AP294,[1]物品基础表!$B:$B,0)),"")</f>
        <v/>
      </c>
    </row>
    <row r="295" spans="1:43">
      <c r="A295" s="1" t="str">
        <f>INDEX([2]活动总表!$A$8:$A$429,MATCH(B295,[2]活动总表!$B$8:$B$429,0))</f>
        <v>第2次合服限购礼包4</v>
      </c>
      <c r="B295" s="1">
        <v>338</v>
      </c>
      <c r="C295" s="1">
        <v>6</v>
      </c>
      <c r="D295" s="1">
        <v>5</v>
      </c>
      <c r="E295" s="1">
        <v>0</v>
      </c>
      <c r="F295" s="1" t="s">
        <v>706</v>
      </c>
      <c r="G295" s="1">
        <v>8888</v>
      </c>
      <c r="H295" s="1">
        <v>15000</v>
      </c>
      <c r="I295" s="1">
        <v>3</v>
      </c>
      <c r="O295" s="1">
        <v>59</v>
      </c>
      <c r="X295" s="1">
        <v>200015</v>
      </c>
      <c r="Y295" s="1" t="str">
        <f>IFERROR(INDEX([1]物品基础表!$A:$A,MATCH(X295,[1]物品基础表!$B:$B,0)),"")</f>
        <v>特戒碎片</v>
      </c>
      <c r="Z295" s="1">
        <v>1500</v>
      </c>
      <c r="AB295" s="1" t="str">
        <f>IFERROR(INDEX([1]物品基础表!$A:$A,MATCH(AA295,[1]物品基础表!$B:$B,0)),"")</f>
        <v/>
      </c>
      <c r="AE295" s="1" t="str">
        <f>IFERROR(INDEX([1]物品基础表!$A:$A,MATCH(AD295,[1]物品基础表!$B:$B,0)),"")</f>
        <v/>
      </c>
      <c r="AH295" s="1" t="str">
        <f>IFERROR(INDEX([1]物品基础表!$A:$A,MATCH(AG295,[1]物品基础表!$B:$B,0)),"")</f>
        <v/>
      </c>
      <c r="AK295" s="1" t="str">
        <f>IFERROR(INDEX([1]物品基础表!$A:$A,MATCH(AJ295,[1]物品基础表!$B:$B,0)),"")</f>
        <v/>
      </c>
      <c r="AN295" s="1" t="str">
        <f>IFERROR(INDEX([1]物品基础表!$A:$A,MATCH(AM295,[1]物品基础表!$B:$B,0)),"")</f>
        <v/>
      </c>
      <c r="AQ295" s="1" t="str">
        <f>IFERROR(INDEX([1]物品基础表!$A:$A,MATCH(AP295,[1]物品基础表!$B:$B,0)),"")</f>
        <v/>
      </c>
    </row>
    <row r="296" spans="1:43">
      <c r="A296" s="1" t="str">
        <f>INDEX([2]活动总表!$A$8:$A$429,MATCH(B296,[2]活动总表!$B$8:$B$429,0))</f>
        <v>第2次合服限购礼包5</v>
      </c>
      <c r="B296" s="1">
        <v>339</v>
      </c>
      <c r="C296" s="1">
        <v>1</v>
      </c>
      <c r="D296" s="1">
        <v>5</v>
      </c>
      <c r="E296" s="1">
        <v>0</v>
      </c>
      <c r="F296" s="1" t="s">
        <v>706</v>
      </c>
      <c r="G296" s="1">
        <v>1288</v>
      </c>
      <c r="H296" s="1">
        <v>2000</v>
      </c>
      <c r="I296" s="1">
        <v>1</v>
      </c>
      <c r="O296" s="1">
        <v>64</v>
      </c>
      <c r="X296" s="1">
        <v>200011</v>
      </c>
      <c r="Y296" s="1" t="str">
        <f>IFERROR(INDEX([1]物品基础表!$A:$A,MATCH(X296,[1]物品基础表!$B:$B,0)),"")</f>
        <v>高级转生丹·无限制</v>
      </c>
      <c r="Z296" s="1">
        <v>2</v>
      </c>
      <c r="AB296" s="1" t="str">
        <f>IFERROR(INDEX([1]物品基础表!$A:$A,MATCH(AA296,[1]物品基础表!$B:$B,0)),"")</f>
        <v/>
      </c>
      <c r="AE296" s="1" t="str">
        <f>IFERROR(INDEX([1]物品基础表!$A:$A,MATCH(AD296,[1]物品基础表!$B:$B,0)),"")</f>
        <v/>
      </c>
      <c r="AH296" s="1" t="str">
        <f>IFERROR(INDEX([1]物品基础表!$A:$A,MATCH(AG296,[1]物品基础表!$B:$B,0)),"")</f>
        <v/>
      </c>
      <c r="AK296" s="1" t="str">
        <f>IFERROR(INDEX([1]物品基础表!$A:$A,MATCH(AJ296,[1]物品基础表!$B:$B,0)),"")</f>
        <v/>
      </c>
      <c r="AN296" s="1" t="str">
        <f>IFERROR(INDEX([1]物品基础表!$A:$A,MATCH(AM296,[1]物品基础表!$B:$B,0)),"")</f>
        <v/>
      </c>
      <c r="AQ296" s="1" t="str">
        <f>IFERROR(INDEX([1]物品基础表!$A:$A,MATCH(AP296,[1]物品基础表!$B:$B,0)),"")</f>
        <v/>
      </c>
    </row>
    <row r="297" spans="1:43">
      <c r="A297" s="1" t="str">
        <f>INDEX([2]活动总表!$A$8:$A$429,MATCH(B297,[2]活动总表!$B$8:$B$429,0))</f>
        <v>第2次合服限购礼包5</v>
      </c>
      <c r="B297" s="1">
        <v>339</v>
      </c>
      <c r="C297" s="1">
        <v>2</v>
      </c>
      <c r="D297" s="1">
        <v>8</v>
      </c>
      <c r="E297" s="1">
        <v>0</v>
      </c>
      <c r="F297" s="1" t="s">
        <v>706</v>
      </c>
      <c r="G297" s="1">
        <v>1588</v>
      </c>
      <c r="H297" s="1">
        <v>5000</v>
      </c>
      <c r="I297" s="1">
        <v>1</v>
      </c>
      <c r="O297" s="1">
        <v>31</v>
      </c>
      <c r="X297" s="1">
        <v>200011</v>
      </c>
      <c r="Y297" s="1" t="str">
        <f>IFERROR(INDEX([1]物品基础表!$A:$A,MATCH(X297,[1]物品基础表!$B:$B,0)),"")</f>
        <v>高级转生丹·无限制</v>
      </c>
      <c r="Z297" s="1">
        <v>5</v>
      </c>
      <c r="AB297" s="1" t="str">
        <f>IFERROR(INDEX([1]物品基础表!$A:$A,MATCH(AA297,[1]物品基础表!$B:$B,0)),"")</f>
        <v/>
      </c>
      <c r="AE297" s="1" t="str">
        <f>IFERROR(INDEX([1]物品基础表!$A:$A,MATCH(AD297,[1]物品基础表!$B:$B,0)),"")</f>
        <v/>
      </c>
      <c r="AH297" s="1" t="str">
        <f>IFERROR(INDEX([1]物品基础表!$A:$A,MATCH(AG297,[1]物品基础表!$B:$B,0)),"")</f>
        <v/>
      </c>
      <c r="AK297" s="1" t="str">
        <f>IFERROR(INDEX([1]物品基础表!$A:$A,MATCH(AJ297,[1]物品基础表!$B:$B,0)),"")</f>
        <v/>
      </c>
      <c r="AN297" s="1" t="str">
        <f>IFERROR(INDEX([1]物品基础表!$A:$A,MATCH(AM297,[1]物品基础表!$B:$B,0)),"")</f>
        <v/>
      </c>
      <c r="AQ297" s="1" t="str">
        <f>IFERROR(INDEX([1]物品基础表!$A:$A,MATCH(AP297,[1]物品基础表!$B:$B,0)),"")</f>
        <v/>
      </c>
    </row>
    <row r="298" spans="1:43">
      <c r="A298" s="1" t="str">
        <f>INDEX([2]活动总表!$A$8:$A$429,MATCH(B298,[2]活动总表!$B$8:$B$429,0))</f>
        <v>第2次合服限购礼包5</v>
      </c>
      <c r="B298" s="1">
        <v>339</v>
      </c>
      <c r="C298" s="1">
        <v>3</v>
      </c>
      <c r="D298" s="1">
        <v>8</v>
      </c>
      <c r="E298" s="1">
        <v>0</v>
      </c>
      <c r="F298" s="1" t="s">
        <v>706</v>
      </c>
      <c r="G298" s="1">
        <v>2888</v>
      </c>
      <c r="H298" s="1">
        <v>8000</v>
      </c>
      <c r="I298" s="1">
        <v>1</v>
      </c>
      <c r="O298" s="1">
        <v>36</v>
      </c>
      <c r="X298" s="1">
        <v>200011</v>
      </c>
      <c r="Y298" s="1" t="str">
        <f>IFERROR(INDEX([1]物品基础表!$A:$A,MATCH(X298,[1]物品基础表!$B:$B,0)),"")</f>
        <v>高级转生丹·无限制</v>
      </c>
      <c r="Z298" s="1">
        <v>8</v>
      </c>
      <c r="AB298" s="1" t="str">
        <f>IFERROR(INDEX([1]物品基础表!$A:$A,MATCH(AA298,[1]物品基础表!$B:$B,0)),"")</f>
        <v/>
      </c>
      <c r="AE298" s="1" t="str">
        <f>IFERROR(INDEX([1]物品基础表!$A:$A,MATCH(AD298,[1]物品基础表!$B:$B,0)),"")</f>
        <v/>
      </c>
      <c r="AH298" s="1" t="str">
        <f>IFERROR(INDEX([1]物品基础表!$A:$A,MATCH(AG298,[1]物品基础表!$B:$B,0)),"")</f>
        <v/>
      </c>
      <c r="AK298" s="1" t="str">
        <f>IFERROR(INDEX([1]物品基础表!$A:$A,MATCH(AJ298,[1]物品基础表!$B:$B,0)),"")</f>
        <v/>
      </c>
      <c r="AN298" s="1" t="str">
        <f>IFERROR(INDEX([1]物品基础表!$A:$A,MATCH(AM298,[1]物品基础表!$B:$B,0)),"")</f>
        <v/>
      </c>
      <c r="AQ298" s="1" t="str">
        <f>IFERROR(INDEX([1]物品基础表!$A:$A,MATCH(AP298,[1]物品基础表!$B:$B,0)),"")</f>
        <v/>
      </c>
    </row>
    <row r="299" spans="1:43">
      <c r="A299" s="1" t="str">
        <f>INDEX([2]活动总表!$A$8:$A$429,MATCH(B299,[2]活动总表!$B$8:$B$429,0))</f>
        <v>第2次合服限购礼包5</v>
      </c>
      <c r="B299" s="1">
        <v>339</v>
      </c>
      <c r="C299" s="1">
        <v>4</v>
      </c>
      <c r="D299" s="1">
        <v>8</v>
      </c>
      <c r="E299" s="1">
        <v>0</v>
      </c>
      <c r="F299" s="1" t="s">
        <v>706</v>
      </c>
      <c r="G299" s="1">
        <v>6888</v>
      </c>
      <c r="H299" s="1">
        <v>18000</v>
      </c>
      <c r="I299" s="1">
        <v>1</v>
      </c>
      <c r="O299" s="1">
        <v>38</v>
      </c>
      <c r="X299" s="1">
        <v>200011</v>
      </c>
      <c r="Y299" s="1" t="str">
        <f>IFERROR(INDEX([1]物品基础表!$A:$A,MATCH(X299,[1]物品基础表!$B:$B,0)),"")</f>
        <v>高级转生丹·无限制</v>
      </c>
      <c r="Z299" s="1">
        <v>18</v>
      </c>
      <c r="AB299" s="1" t="str">
        <f>IFERROR(INDEX([1]物品基础表!$A:$A,MATCH(AA299,[1]物品基础表!$B:$B,0)),"")</f>
        <v/>
      </c>
      <c r="AE299" s="1" t="str">
        <f>IFERROR(INDEX([1]物品基础表!$A:$A,MATCH(AD299,[1]物品基础表!$B:$B,0)),"")</f>
        <v/>
      </c>
      <c r="AH299" s="1" t="str">
        <f>IFERROR(INDEX([1]物品基础表!$A:$A,MATCH(AG299,[1]物品基础表!$B:$B,0)),"")</f>
        <v/>
      </c>
      <c r="AK299" s="1" t="str">
        <f>IFERROR(INDEX([1]物品基础表!$A:$A,MATCH(AJ299,[1]物品基础表!$B:$B,0)),"")</f>
        <v/>
      </c>
      <c r="AN299" s="1" t="str">
        <f>IFERROR(INDEX([1]物品基础表!$A:$A,MATCH(AM299,[1]物品基础表!$B:$B,0)),"")</f>
        <v/>
      </c>
      <c r="AQ299" s="1" t="str">
        <f>IFERROR(INDEX([1]物品基础表!$A:$A,MATCH(AP299,[1]物品基础表!$B:$B,0)),"")</f>
        <v/>
      </c>
    </row>
    <row r="300" spans="1:43">
      <c r="A300" s="1" t="str">
        <f>INDEX([2]活动总表!$A$8:$A$429,MATCH(B300,[2]活动总表!$B$8:$B$429,0))</f>
        <v>第2次合服限购礼包5</v>
      </c>
      <c r="B300" s="1">
        <v>339</v>
      </c>
      <c r="C300" s="1">
        <v>5</v>
      </c>
      <c r="D300" s="1">
        <v>5</v>
      </c>
      <c r="E300" s="1">
        <v>0</v>
      </c>
      <c r="F300" s="1" t="s">
        <v>706</v>
      </c>
      <c r="G300" s="1">
        <v>2888</v>
      </c>
      <c r="H300" s="1">
        <v>5000</v>
      </c>
      <c r="I300" s="1">
        <v>1</v>
      </c>
      <c r="O300" s="1">
        <v>57</v>
      </c>
      <c r="X300" s="1">
        <v>200011</v>
      </c>
      <c r="Y300" s="1" t="str">
        <f>IFERROR(INDEX([1]物品基础表!$A:$A,MATCH(X300,[1]物品基础表!$B:$B,0)),"")</f>
        <v>高级转生丹·无限制</v>
      </c>
      <c r="Z300" s="1">
        <v>5</v>
      </c>
      <c r="AB300" s="1" t="str">
        <f>IFERROR(INDEX([1]物品基础表!$A:$A,MATCH(AA300,[1]物品基础表!$B:$B,0)),"")</f>
        <v/>
      </c>
      <c r="AE300" s="1" t="str">
        <f>IFERROR(INDEX([1]物品基础表!$A:$A,MATCH(AD300,[1]物品基础表!$B:$B,0)),"")</f>
        <v/>
      </c>
      <c r="AH300" s="1" t="str">
        <f>IFERROR(INDEX([1]物品基础表!$A:$A,MATCH(AG300,[1]物品基础表!$B:$B,0)),"")</f>
        <v/>
      </c>
      <c r="AK300" s="1" t="str">
        <f>IFERROR(INDEX([1]物品基础表!$A:$A,MATCH(AJ300,[1]物品基础表!$B:$B,0)),"")</f>
        <v/>
      </c>
      <c r="AN300" s="1" t="str">
        <f>IFERROR(INDEX([1]物品基础表!$A:$A,MATCH(AM300,[1]物品基础表!$B:$B,0)),"")</f>
        <v/>
      </c>
      <c r="AQ300" s="1" t="str">
        <f>IFERROR(INDEX([1]物品基础表!$A:$A,MATCH(AP300,[1]物品基础表!$B:$B,0)),"")</f>
        <v/>
      </c>
    </row>
    <row r="301" spans="1:43">
      <c r="A301" s="1" t="str">
        <f>INDEX([2]活动总表!$A$8:$A$429,MATCH(B301,[2]活动总表!$B$8:$B$429,0))</f>
        <v>第2次合服限购礼包5</v>
      </c>
      <c r="B301" s="1">
        <v>339</v>
      </c>
      <c r="C301" s="1">
        <v>6</v>
      </c>
      <c r="D301" s="1">
        <v>5</v>
      </c>
      <c r="E301" s="1">
        <v>0</v>
      </c>
      <c r="F301" s="1" t="s">
        <v>706</v>
      </c>
      <c r="G301" s="1">
        <v>8888</v>
      </c>
      <c r="H301" s="1">
        <v>14998</v>
      </c>
      <c r="I301" s="1">
        <v>3</v>
      </c>
      <c r="O301" s="1">
        <v>59</v>
      </c>
      <c r="X301" s="1">
        <v>200012</v>
      </c>
      <c r="Y301" s="1" t="str">
        <f>IFERROR(INDEX([1]物品基础表!$A:$A,MATCH(X301,[1]物品基础表!$B:$B,0)),"")</f>
        <v>超级转生丹·无限制</v>
      </c>
      <c r="Z301" s="1">
        <v>1</v>
      </c>
      <c r="AA301" s="1">
        <v>200011</v>
      </c>
      <c r="AB301" s="1" t="str">
        <f>IFERROR(INDEX([1]物品基础表!$A:$A,MATCH(AA301,[1]物品基础表!$B:$B,0)),"")</f>
        <v>高级转生丹·无限制</v>
      </c>
      <c r="AC301" s="1">
        <v>5</v>
      </c>
      <c r="AE301" s="1" t="str">
        <f>IFERROR(INDEX([1]物品基础表!$A:$A,MATCH(AD301,[1]物品基础表!$B:$B,0)),"")</f>
        <v/>
      </c>
      <c r="AH301" s="1" t="str">
        <f>IFERROR(INDEX([1]物品基础表!$A:$A,MATCH(AG301,[1]物品基础表!$B:$B,0)),"")</f>
        <v/>
      </c>
      <c r="AK301" s="1" t="str">
        <f>IFERROR(INDEX([1]物品基础表!$A:$A,MATCH(AJ301,[1]物品基础表!$B:$B,0)),"")</f>
        <v/>
      </c>
      <c r="AN301" s="1" t="str">
        <f>IFERROR(INDEX([1]物品基础表!$A:$A,MATCH(AM301,[1]物品基础表!$B:$B,0)),"")</f>
        <v/>
      </c>
      <c r="AQ301" s="1" t="str">
        <f>IFERROR(INDEX([1]物品基础表!$A:$A,MATCH(AP301,[1]物品基础表!$B:$B,0)),"")</f>
        <v/>
      </c>
    </row>
    <row r="302" spans="1:43">
      <c r="A302" s="1" t="str">
        <f>INDEX([2]活动总表!$A$8:$A$429,MATCH(B302,[2]活动总表!$B$8:$B$429,0))</f>
        <v>第2次合服限购礼包6</v>
      </c>
      <c r="B302" s="1">
        <v>340</v>
      </c>
      <c r="C302" s="1">
        <v>1</v>
      </c>
      <c r="D302" s="1">
        <v>5</v>
      </c>
      <c r="E302" s="1">
        <v>0</v>
      </c>
      <c r="F302" s="1" t="s">
        <v>706</v>
      </c>
      <c r="G302" s="1">
        <v>888</v>
      </c>
      <c r="H302" s="1">
        <v>1500</v>
      </c>
      <c r="I302" s="1">
        <v>1</v>
      </c>
      <c r="O302" s="1">
        <v>59</v>
      </c>
      <c r="X302" s="1">
        <v>200001</v>
      </c>
      <c r="Y302" s="1" t="str">
        <f>IFERROR(INDEX([1]物品基础表!$A:$A,MATCH(X302,[1]物品基础表!$B:$B,0)),"")</f>
        <v>羽毛</v>
      </c>
      <c r="Z302" s="1">
        <v>15</v>
      </c>
      <c r="AB302" s="1" t="str">
        <f>IFERROR(INDEX([1]物品基础表!$A:$A,MATCH(AA302,[1]物品基础表!$B:$B,0)),"")</f>
        <v/>
      </c>
      <c r="AE302" s="1" t="str">
        <f>IFERROR(INDEX([1]物品基础表!$A:$A,MATCH(AD302,[1]物品基础表!$B:$B,0)),"")</f>
        <v/>
      </c>
      <c r="AH302" s="1" t="str">
        <f>IFERROR(INDEX([1]物品基础表!$A:$A,MATCH(AG302,[1]物品基础表!$B:$B,0)),"")</f>
        <v/>
      </c>
      <c r="AK302" s="1" t="str">
        <f>IFERROR(INDEX([1]物品基础表!$A:$A,MATCH(AJ302,[1]物品基础表!$B:$B,0)),"")</f>
        <v/>
      </c>
      <c r="AN302" s="1" t="str">
        <f>IFERROR(INDEX([1]物品基础表!$A:$A,MATCH(AM302,[1]物品基础表!$B:$B,0)),"")</f>
        <v/>
      </c>
      <c r="AQ302" s="1" t="str">
        <f>IFERROR(INDEX([1]物品基础表!$A:$A,MATCH(AP302,[1]物品基础表!$B:$B,0)),"")</f>
        <v/>
      </c>
    </row>
    <row r="303" spans="1:43">
      <c r="A303" s="1" t="str">
        <f>INDEX([2]活动总表!$A$8:$A$429,MATCH(B303,[2]活动总表!$B$8:$B$429,0))</f>
        <v>第2次合服限购礼包6</v>
      </c>
      <c r="B303" s="1">
        <v>340</v>
      </c>
      <c r="C303" s="1">
        <v>2</v>
      </c>
      <c r="D303" s="1">
        <v>9</v>
      </c>
      <c r="E303" s="1">
        <v>0</v>
      </c>
      <c r="F303" s="1" t="s">
        <v>706</v>
      </c>
      <c r="G303" s="1">
        <v>1588</v>
      </c>
      <c r="H303" s="1">
        <v>5000</v>
      </c>
      <c r="I303" s="1">
        <v>1</v>
      </c>
      <c r="O303" s="1">
        <v>31</v>
      </c>
      <c r="X303" s="1">
        <v>200001</v>
      </c>
      <c r="Y303" s="1" t="str">
        <f>IFERROR(INDEX([1]物品基础表!$A:$A,MATCH(X303,[1]物品基础表!$B:$B,0)),"")</f>
        <v>羽毛</v>
      </c>
      <c r="Z303" s="1">
        <v>50</v>
      </c>
      <c r="AB303" s="1" t="str">
        <f>IFERROR(INDEX([1]物品基础表!$A:$A,MATCH(AA303,[1]物品基础表!$B:$B,0)),"")</f>
        <v/>
      </c>
      <c r="AE303" s="1" t="str">
        <f>IFERROR(INDEX([1]物品基础表!$A:$A,MATCH(AD303,[1]物品基础表!$B:$B,0)),"")</f>
        <v/>
      </c>
      <c r="AH303" s="1" t="str">
        <f>IFERROR(INDEX([1]物品基础表!$A:$A,MATCH(AG303,[1]物品基础表!$B:$B,0)),"")</f>
        <v/>
      </c>
      <c r="AK303" s="1" t="str">
        <f>IFERROR(INDEX([1]物品基础表!$A:$A,MATCH(AJ303,[1]物品基础表!$B:$B,0)),"")</f>
        <v/>
      </c>
      <c r="AN303" s="1" t="str">
        <f>IFERROR(INDEX([1]物品基础表!$A:$A,MATCH(AM303,[1]物品基础表!$B:$B,0)),"")</f>
        <v/>
      </c>
      <c r="AQ303" s="1" t="str">
        <f>IFERROR(INDEX([1]物品基础表!$A:$A,MATCH(AP303,[1]物品基础表!$B:$B,0)),"")</f>
        <v/>
      </c>
    </row>
    <row r="304" spans="1:43">
      <c r="A304" s="1" t="str">
        <f>INDEX([2]活动总表!$A$8:$A$429,MATCH(B304,[2]活动总表!$B$8:$B$429,0))</f>
        <v>第2次合服限购礼包6</v>
      </c>
      <c r="B304" s="1">
        <v>340</v>
      </c>
      <c r="C304" s="1">
        <v>3</v>
      </c>
      <c r="D304" s="1">
        <v>9</v>
      </c>
      <c r="E304" s="1">
        <v>0</v>
      </c>
      <c r="F304" s="1" t="s">
        <v>706</v>
      </c>
      <c r="G304" s="1">
        <v>2888</v>
      </c>
      <c r="H304" s="1">
        <v>8500</v>
      </c>
      <c r="I304" s="1">
        <v>1</v>
      </c>
      <c r="O304" s="1">
        <v>33</v>
      </c>
      <c r="X304" s="1">
        <v>200001</v>
      </c>
      <c r="Y304" s="1" t="str">
        <f>IFERROR(INDEX([1]物品基础表!$A:$A,MATCH(X304,[1]物品基础表!$B:$B,0)),"")</f>
        <v>羽毛</v>
      </c>
      <c r="Z304" s="1">
        <v>85</v>
      </c>
      <c r="AB304" s="1" t="str">
        <f>IFERROR(INDEX([1]物品基础表!$A:$A,MATCH(AA304,[1]物品基础表!$B:$B,0)),"")</f>
        <v/>
      </c>
      <c r="AE304" s="1" t="str">
        <f>IFERROR(INDEX([1]物品基础表!$A:$A,MATCH(AD304,[1]物品基础表!$B:$B,0)),"")</f>
        <v/>
      </c>
      <c r="AH304" s="1" t="str">
        <f>IFERROR(INDEX([1]物品基础表!$A:$A,MATCH(AG304,[1]物品基础表!$B:$B,0)),"")</f>
        <v/>
      </c>
      <c r="AK304" s="1" t="str">
        <f>IFERROR(INDEX([1]物品基础表!$A:$A,MATCH(AJ304,[1]物品基础表!$B:$B,0)),"")</f>
        <v/>
      </c>
      <c r="AN304" s="1" t="str">
        <f>IFERROR(INDEX([1]物品基础表!$A:$A,MATCH(AM304,[1]物品基础表!$B:$B,0)),"")</f>
        <v/>
      </c>
      <c r="AQ304" s="1" t="str">
        <f>IFERROR(INDEX([1]物品基础表!$A:$A,MATCH(AP304,[1]物品基础表!$B:$B,0)),"")</f>
        <v/>
      </c>
    </row>
    <row r="305" spans="1:43">
      <c r="A305" s="1" t="str">
        <f>INDEX([2]活动总表!$A$8:$A$429,MATCH(B305,[2]活动总表!$B$8:$B$429,0))</f>
        <v>第2次合服限购礼包6</v>
      </c>
      <c r="B305" s="1">
        <v>340</v>
      </c>
      <c r="C305" s="1">
        <v>4</v>
      </c>
      <c r="D305" s="1">
        <v>9</v>
      </c>
      <c r="E305" s="1">
        <v>0</v>
      </c>
      <c r="F305" s="1" t="s">
        <v>706</v>
      </c>
      <c r="G305" s="1">
        <v>6888</v>
      </c>
      <c r="H305" s="1">
        <v>20000</v>
      </c>
      <c r="I305" s="1">
        <v>1</v>
      </c>
      <c r="O305" s="1">
        <v>34</v>
      </c>
      <c r="X305" s="1">
        <v>200001</v>
      </c>
      <c r="Y305" s="1" t="str">
        <f>IFERROR(INDEX([1]物品基础表!$A:$A,MATCH(X305,[1]物品基础表!$B:$B,0)),"")</f>
        <v>羽毛</v>
      </c>
      <c r="Z305" s="1">
        <v>200</v>
      </c>
      <c r="AB305" s="1" t="str">
        <f>IFERROR(INDEX([1]物品基础表!$A:$A,MATCH(AA305,[1]物品基础表!$B:$B,0)),"")</f>
        <v/>
      </c>
      <c r="AE305" s="1" t="str">
        <f>IFERROR(INDEX([1]物品基础表!$A:$A,MATCH(AD305,[1]物品基础表!$B:$B,0)),"")</f>
        <v/>
      </c>
      <c r="AH305" s="1" t="str">
        <f>IFERROR(INDEX([1]物品基础表!$A:$A,MATCH(AG305,[1]物品基础表!$B:$B,0)),"")</f>
        <v/>
      </c>
      <c r="AK305" s="1" t="str">
        <f>IFERROR(INDEX([1]物品基础表!$A:$A,MATCH(AJ305,[1]物品基础表!$B:$B,0)),"")</f>
        <v/>
      </c>
      <c r="AN305" s="1" t="str">
        <f>IFERROR(INDEX([1]物品基础表!$A:$A,MATCH(AM305,[1]物品基础表!$B:$B,0)),"")</f>
        <v/>
      </c>
      <c r="AQ305" s="1" t="str">
        <f>IFERROR(INDEX([1]物品基础表!$A:$A,MATCH(AP305,[1]物品基础表!$B:$B,0)),"")</f>
        <v/>
      </c>
    </row>
    <row r="306" spans="1:43">
      <c r="A306" s="1" t="str">
        <f>INDEX([2]活动总表!$A$8:$A$429,MATCH(B306,[2]活动总表!$B$8:$B$429,0))</f>
        <v>第2次合服限购礼包6</v>
      </c>
      <c r="B306" s="1">
        <v>340</v>
      </c>
      <c r="C306" s="1">
        <v>5</v>
      </c>
      <c r="D306" s="1">
        <v>5</v>
      </c>
      <c r="E306" s="1">
        <v>0</v>
      </c>
      <c r="F306" s="1" t="s">
        <v>706</v>
      </c>
      <c r="G306" s="1">
        <v>2888</v>
      </c>
      <c r="H306" s="1">
        <v>5000</v>
      </c>
      <c r="I306" s="1">
        <v>1</v>
      </c>
      <c r="O306" s="1">
        <v>57</v>
      </c>
      <c r="X306" s="1">
        <v>200001</v>
      </c>
      <c r="Y306" s="1" t="str">
        <f>IFERROR(INDEX([1]物品基础表!$A:$A,MATCH(X306,[1]物品基础表!$B:$B,0)),"")</f>
        <v>羽毛</v>
      </c>
      <c r="Z306" s="1">
        <v>50</v>
      </c>
      <c r="AB306" s="1" t="str">
        <f>IFERROR(INDEX([1]物品基础表!$A:$A,MATCH(AA306,[1]物品基础表!$B:$B,0)),"")</f>
        <v/>
      </c>
      <c r="AE306" s="1" t="str">
        <f>IFERROR(INDEX([1]物品基础表!$A:$A,MATCH(AD306,[1]物品基础表!$B:$B,0)),"")</f>
        <v/>
      </c>
      <c r="AH306" s="1" t="str">
        <f>IFERROR(INDEX([1]物品基础表!$A:$A,MATCH(AG306,[1]物品基础表!$B:$B,0)),"")</f>
        <v/>
      </c>
      <c r="AK306" s="1" t="str">
        <f>IFERROR(INDEX([1]物品基础表!$A:$A,MATCH(AJ306,[1]物品基础表!$B:$B,0)),"")</f>
        <v/>
      </c>
      <c r="AN306" s="1" t="str">
        <f>IFERROR(INDEX([1]物品基础表!$A:$A,MATCH(AM306,[1]物品基础表!$B:$B,0)),"")</f>
        <v/>
      </c>
      <c r="AQ306" s="1" t="str">
        <f>IFERROR(INDEX([1]物品基础表!$A:$A,MATCH(AP306,[1]物品基础表!$B:$B,0)),"")</f>
        <v/>
      </c>
    </row>
    <row r="307" spans="1:43">
      <c r="A307" s="1" t="str">
        <f>INDEX([2]活动总表!$A$8:$A$429,MATCH(B307,[2]活动总表!$B$8:$B$429,0))</f>
        <v>第2次合服限购礼包6</v>
      </c>
      <c r="B307" s="1">
        <v>340</v>
      </c>
      <c r="C307" s="1">
        <v>6</v>
      </c>
      <c r="D307" s="1">
        <v>5</v>
      </c>
      <c r="E307" s="1">
        <v>0</v>
      </c>
      <c r="F307" s="1" t="s">
        <v>706</v>
      </c>
      <c r="G307" s="1">
        <v>8888</v>
      </c>
      <c r="H307" s="1">
        <v>15000</v>
      </c>
      <c r="I307" s="1">
        <v>5</v>
      </c>
      <c r="O307" s="1">
        <v>59</v>
      </c>
      <c r="X307" s="1">
        <v>200001</v>
      </c>
      <c r="Y307" s="1" t="str">
        <f>IFERROR(INDEX([1]物品基础表!$A:$A,MATCH(X307,[1]物品基础表!$B:$B,0)),"")</f>
        <v>羽毛</v>
      </c>
      <c r="Z307" s="1">
        <v>150</v>
      </c>
      <c r="AB307" s="1" t="str">
        <f>IFERROR(INDEX([1]物品基础表!$A:$A,MATCH(AA307,[1]物品基础表!$B:$B,0)),"")</f>
        <v/>
      </c>
      <c r="AE307" s="1" t="str">
        <f>IFERROR(INDEX([1]物品基础表!$A:$A,MATCH(AD307,[1]物品基础表!$B:$B,0)),"")</f>
        <v/>
      </c>
      <c r="AH307" s="1" t="str">
        <f>IFERROR(INDEX([1]物品基础表!$A:$A,MATCH(AG307,[1]物品基础表!$B:$B,0)),"")</f>
        <v/>
      </c>
      <c r="AK307" s="1" t="str">
        <f>IFERROR(INDEX([1]物品基础表!$A:$A,MATCH(AJ307,[1]物品基础表!$B:$B,0)),"")</f>
        <v/>
      </c>
      <c r="AN307" s="1" t="str">
        <f>IFERROR(INDEX([1]物品基础表!$A:$A,MATCH(AM307,[1]物品基础表!$B:$B,0)),"")</f>
        <v/>
      </c>
      <c r="AQ307" s="1" t="str">
        <f>IFERROR(INDEX([1]物品基础表!$A:$A,MATCH(AP307,[1]物品基础表!$B:$B,0)),"")</f>
        <v/>
      </c>
    </row>
    <row r="308" spans="1:43">
      <c r="A308" s="1" t="str">
        <f>INDEX([2]活动总表!$A$8:$A$429,MATCH(B308,[2]活动总表!$B$8:$B$429,0))</f>
        <v>第2次合服限购礼包7</v>
      </c>
      <c r="B308" s="1">
        <v>341</v>
      </c>
      <c r="C308" s="1">
        <v>1</v>
      </c>
      <c r="D308" s="1">
        <v>5</v>
      </c>
      <c r="E308" s="1">
        <v>0</v>
      </c>
      <c r="F308" s="1" t="s">
        <v>706</v>
      </c>
      <c r="G308" s="1">
        <v>1288</v>
      </c>
      <c r="H308" s="1">
        <v>2000</v>
      </c>
      <c r="I308" s="1">
        <v>1</v>
      </c>
      <c r="O308" s="1">
        <v>64</v>
      </c>
      <c r="X308" s="1">
        <v>201106</v>
      </c>
      <c r="Y308" s="1" t="str">
        <f>IFERROR(INDEX([1]物品基础表!$A:$A,MATCH(X308,[1]物品基础表!$B:$B,0)),"")</f>
        <v>高级轮回丹·无限制</v>
      </c>
      <c r="Z308" s="1">
        <v>2</v>
      </c>
      <c r="AB308" s="1" t="str">
        <f>IFERROR(INDEX([1]物品基础表!$A:$A,MATCH(AA308,[1]物品基础表!$B:$B,0)),"")</f>
        <v/>
      </c>
      <c r="AE308" s="1" t="str">
        <f>IFERROR(INDEX([1]物品基础表!$A:$A,MATCH(AD308,[1]物品基础表!$B:$B,0)),"")</f>
        <v/>
      </c>
      <c r="AH308" s="1" t="str">
        <f>IFERROR(INDEX([1]物品基础表!$A:$A,MATCH(AG308,[1]物品基础表!$B:$B,0)),"")</f>
        <v/>
      </c>
      <c r="AK308" s="1" t="str">
        <f>IFERROR(INDEX([1]物品基础表!$A:$A,MATCH(AJ308,[1]物品基础表!$B:$B,0)),"")</f>
        <v/>
      </c>
      <c r="AN308" s="1" t="str">
        <f>IFERROR(INDEX([1]物品基础表!$A:$A,MATCH(AM308,[1]物品基础表!$B:$B,0)),"")</f>
        <v/>
      </c>
      <c r="AQ308" s="1" t="str">
        <f>IFERROR(INDEX([1]物品基础表!$A:$A,MATCH(AP308,[1]物品基础表!$B:$B,0)),"")</f>
        <v/>
      </c>
    </row>
    <row r="309" spans="1:43">
      <c r="A309" s="1" t="str">
        <f>INDEX([2]活动总表!$A$8:$A$429,MATCH(B309,[2]活动总表!$B$8:$B$429,0))</f>
        <v>第2次合服限购礼包7</v>
      </c>
      <c r="B309" s="1">
        <v>341</v>
      </c>
      <c r="C309" s="1">
        <v>2</v>
      </c>
      <c r="D309" s="1">
        <v>9</v>
      </c>
      <c r="E309" s="1">
        <v>0</v>
      </c>
      <c r="F309" s="1" t="s">
        <v>706</v>
      </c>
      <c r="G309" s="1">
        <v>1588</v>
      </c>
      <c r="H309" s="1">
        <v>5000</v>
      </c>
      <c r="I309" s="1">
        <v>1</v>
      </c>
      <c r="O309" s="1">
        <v>31</v>
      </c>
      <c r="X309" s="1">
        <v>201106</v>
      </c>
      <c r="Y309" s="1" t="str">
        <f>IFERROR(INDEX([1]物品基础表!$A:$A,MATCH(X309,[1]物品基础表!$B:$B,0)),"")</f>
        <v>高级轮回丹·无限制</v>
      </c>
      <c r="Z309" s="1">
        <v>5</v>
      </c>
      <c r="AB309" s="1" t="str">
        <f>IFERROR(INDEX([1]物品基础表!$A:$A,MATCH(AA309,[1]物品基础表!$B:$B,0)),"")</f>
        <v/>
      </c>
      <c r="AE309" s="1" t="str">
        <f>IFERROR(INDEX([1]物品基础表!$A:$A,MATCH(AD309,[1]物品基础表!$B:$B,0)),"")</f>
        <v/>
      </c>
      <c r="AH309" s="1" t="str">
        <f>IFERROR(INDEX([1]物品基础表!$A:$A,MATCH(AG309,[1]物品基础表!$B:$B,0)),"")</f>
        <v/>
      </c>
      <c r="AK309" s="1" t="str">
        <f>IFERROR(INDEX([1]物品基础表!$A:$A,MATCH(AJ309,[1]物品基础表!$B:$B,0)),"")</f>
        <v/>
      </c>
      <c r="AN309" s="1" t="str">
        <f>IFERROR(INDEX([1]物品基础表!$A:$A,MATCH(AM309,[1]物品基础表!$B:$B,0)),"")</f>
        <v/>
      </c>
      <c r="AQ309" s="1" t="str">
        <f>IFERROR(INDEX([1]物品基础表!$A:$A,MATCH(AP309,[1]物品基础表!$B:$B,0)),"")</f>
        <v/>
      </c>
    </row>
    <row r="310" spans="1:43">
      <c r="A310" s="1" t="str">
        <f>INDEX([2]活动总表!$A$8:$A$429,MATCH(B310,[2]活动总表!$B$8:$B$429,0))</f>
        <v>第2次合服限购礼包7</v>
      </c>
      <c r="B310" s="1">
        <v>341</v>
      </c>
      <c r="C310" s="1">
        <v>3</v>
      </c>
      <c r="D310" s="1">
        <v>9</v>
      </c>
      <c r="E310" s="1">
        <v>0</v>
      </c>
      <c r="F310" s="1" t="s">
        <v>706</v>
      </c>
      <c r="G310" s="1">
        <v>2888</v>
      </c>
      <c r="H310" s="1">
        <v>8000</v>
      </c>
      <c r="I310" s="1">
        <v>1</v>
      </c>
      <c r="O310" s="1">
        <v>36</v>
      </c>
      <c r="X310" s="1">
        <v>201106</v>
      </c>
      <c r="Y310" s="1" t="str">
        <f>IFERROR(INDEX([1]物品基础表!$A:$A,MATCH(X310,[1]物品基础表!$B:$B,0)),"")</f>
        <v>高级轮回丹·无限制</v>
      </c>
      <c r="Z310" s="1">
        <v>8</v>
      </c>
      <c r="AB310" s="1" t="str">
        <f>IFERROR(INDEX([1]物品基础表!$A:$A,MATCH(AA310,[1]物品基础表!$B:$B,0)),"")</f>
        <v/>
      </c>
      <c r="AE310" s="1" t="str">
        <f>IFERROR(INDEX([1]物品基础表!$A:$A,MATCH(AD310,[1]物品基础表!$B:$B,0)),"")</f>
        <v/>
      </c>
      <c r="AH310" s="1" t="str">
        <f>IFERROR(INDEX([1]物品基础表!$A:$A,MATCH(AG310,[1]物品基础表!$B:$B,0)),"")</f>
        <v/>
      </c>
      <c r="AK310" s="1" t="str">
        <f>IFERROR(INDEX([1]物品基础表!$A:$A,MATCH(AJ310,[1]物品基础表!$B:$B,0)),"")</f>
        <v/>
      </c>
      <c r="AN310" s="1" t="str">
        <f>IFERROR(INDEX([1]物品基础表!$A:$A,MATCH(AM310,[1]物品基础表!$B:$B,0)),"")</f>
        <v/>
      </c>
      <c r="AQ310" s="1" t="str">
        <f>IFERROR(INDEX([1]物品基础表!$A:$A,MATCH(AP310,[1]物品基础表!$B:$B,0)),"")</f>
        <v/>
      </c>
    </row>
    <row r="311" spans="1:43">
      <c r="A311" s="1" t="str">
        <f>INDEX([2]活动总表!$A$8:$A$429,MATCH(B311,[2]活动总表!$B$8:$B$429,0))</f>
        <v>第2次合服限购礼包7</v>
      </c>
      <c r="B311" s="1">
        <v>341</v>
      </c>
      <c r="C311" s="1">
        <v>4</v>
      </c>
      <c r="D311" s="1">
        <v>9</v>
      </c>
      <c r="E311" s="1">
        <v>0</v>
      </c>
      <c r="F311" s="1" t="s">
        <v>706</v>
      </c>
      <c r="G311" s="1">
        <v>6888</v>
      </c>
      <c r="H311" s="1">
        <v>18000</v>
      </c>
      <c r="I311" s="1">
        <v>1</v>
      </c>
      <c r="O311" s="1">
        <v>38</v>
      </c>
      <c r="X311" s="1">
        <v>201106</v>
      </c>
      <c r="Y311" s="1" t="str">
        <f>IFERROR(INDEX([1]物品基础表!$A:$A,MATCH(X311,[1]物品基础表!$B:$B,0)),"")</f>
        <v>高级轮回丹·无限制</v>
      </c>
      <c r="Z311" s="1">
        <v>18</v>
      </c>
      <c r="AB311" s="1" t="str">
        <f>IFERROR(INDEX([1]物品基础表!$A:$A,MATCH(AA311,[1]物品基础表!$B:$B,0)),"")</f>
        <v/>
      </c>
      <c r="AE311" s="1" t="str">
        <f>IFERROR(INDEX([1]物品基础表!$A:$A,MATCH(AD311,[1]物品基础表!$B:$B,0)),"")</f>
        <v/>
      </c>
      <c r="AH311" s="1" t="str">
        <f>IFERROR(INDEX([1]物品基础表!$A:$A,MATCH(AG311,[1]物品基础表!$B:$B,0)),"")</f>
        <v/>
      </c>
      <c r="AK311" s="1" t="str">
        <f>IFERROR(INDEX([1]物品基础表!$A:$A,MATCH(AJ311,[1]物品基础表!$B:$B,0)),"")</f>
        <v/>
      </c>
      <c r="AN311" s="1" t="str">
        <f>IFERROR(INDEX([1]物品基础表!$A:$A,MATCH(AM311,[1]物品基础表!$B:$B,0)),"")</f>
        <v/>
      </c>
      <c r="AQ311" s="1" t="str">
        <f>IFERROR(INDEX([1]物品基础表!$A:$A,MATCH(AP311,[1]物品基础表!$B:$B,0)),"")</f>
        <v/>
      </c>
    </row>
    <row r="312" spans="1:43">
      <c r="A312" s="1" t="str">
        <f>INDEX([2]活动总表!$A$8:$A$429,MATCH(B312,[2]活动总表!$B$8:$B$429,0))</f>
        <v>第2次合服限购礼包7</v>
      </c>
      <c r="B312" s="1">
        <v>341</v>
      </c>
      <c r="C312" s="1">
        <v>5</v>
      </c>
      <c r="D312" s="1">
        <v>5</v>
      </c>
      <c r="E312" s="1">
        <v>0</v>
      </c>
      <c r="F312" s="1" t="s">
        <v>706</v>
      </c>
      <c r="G312" s="1">
        <v>2888</v>
      </c>
      <c r="H312" s="1">
        <v>5000</v>
      </c>
      <c r="I312" s="1">
        <v>1</v>
      </c>
      <c r="O312" s="1">
        <v>57</v>
      </c>
      <c r="X312" s="1">
        <v>201106</v>
      </c>
      <c r="Y312" s="1" t="str">
        <f>IFERROR(INDEX([1]物品基础表!$A:$A,MATCH(X312,[1]物品基础表!$B:$B,0)),"")</f>
        <v>高级轮回丹·无限制</v>
      </c>
      <c r="Z312" s="1">
        <v>5</v>
      </c>
      <c r="AB312" s="1" t="str">
        <f>IFERROR(INDEX([1]物品基础表!$A:$A,MATCH(AA312,[1]物品基础表!$B:$B,0)),"")</f>
        <v/>
      </c>
      <c r="AE312" s="1" t="str">
        <f>IFERROR(INDEX([1]物品基础表!$A:$A,MATCH(AD312,[1]物品基础表!$B:$B,0)),"")</f>
        <v/>
      </c>
      <c r="AH312" s="1" t="str">
        <f>IFERROR(INDEX([1]物品基础表!$A:$A,MATCH(AG312,[1]物品基础表!$B:$B,0)),"")</f>
        <v/>
      </c>
      <c r="AK312" s="1" t="str">
        <f>IFERROR(INDEX([1]物品基础表!$A:$A,MATCH(AJ312,[1]物品基础表!$B:$B,0)),"")</f>
        <v/>
      </c>
      <c r="AN312" s="1" t="str">
        <f>IFERROR(INDEX([1]物品基础表!$A:$A,MATCH(AM312,[1]物品基础表!$B:$B,0)),"")</f>
        <v/>
      </c>
      <c r="AQ312" s="1" t="str">
        <f>IFERROR(INDEX([1]物品基础表!$A:$A,MATCH(AP312,[1]物品基础表!$B:$B,0)),"")</f>
        <v/>
      </c>
    </row>
    <row r="313" spans="1:43">
      <c r="A313" s="1" t="str">
        <f>INDEX([2]活动总表!$A$8:$A$429,MATCH(B313,[2]活动总表!$B$8:$B$429,0))</f>
        <v>第2次合服限购礼包7</v>
      </c>
      <c r="B313" s="1">
        <v>341</v>
      </c>
      <c r="C313" s="1">
        <v>6</v>
      </c>
      <c r="D313" s="1">
        <v>5</v>
      </c>
      <c r="E313" s="1">
        <v>0</v>
      </c>
      <c r="F313" s="1" t="s">
        <v>706</v>
      </c>
      <c r="G313" s="1">
        <v>8888</v>
      </c>
      <c r="H313" s="1">
        <v>14998</v>
      </c>
      <c r="I313" s="1">
        <v>3</v>
      </c>
      <c r="O313" s="1">
        <v>59</v>
      </c>
      <c r="X313" s="1">
        <v>201107</v>
      </c>
      <c r="Y313" s="1" t="str">
        <f>IFERROR(INDEX([1]物品基础表!$A:$A,MATCH(X313,[1]物品基础表!$B:$B,0)),"")</f>
        <v>超级轮回丹·无限制</v>
      </c>
      <c r="Z313" s="1">
        <v>1</v>
      </c>
      <c r="AA313" s="1">
        <v>201106</v>
      </c>
      <c r="AB313" s="1" t="str">
        <f>IFERROR(INDEX([1]物品基础表!$A:$A,MATCH(AA313,[1]物品基础表!$B:$B,0)),"")</f>
        <v>高级轮回丹·无限制</v>
      </c>
      <c r="AC313" s="1">
        <v>5</v>
      </c>
      <c r="AE313" s="1" t="str">
        <f>IFERROR(INDEX([1]物品基础表!$A:$A,MATCH(AD313,[1]物品基础表!$B:$B,0)),"")</f>
        <v/>
      </c>
      <c r="AH313" s="1" t="str">
        <f>IFERROR(INDEX([1]物品基础表!$A:$A,MATCH(AG313,[1]物品基础表!$B:$B,0)),"")</f>
        <v/>
      </c>
      <c r="AK313" s="1" t="str">
        <f>IFERROR(INDEX([1]物品基础表!$A:$A,MATCH(AJ313,[1]物品基础表!$B:$B,0)),"")</f>
        <v/>
      </c>
      <c r="AN313" s="1" t="str">
        <f>IFERROR(INDEX([1]物品基础表!$A:$A,MATCH(AM313,[1]物品基础表!$B:$B,0)),"")</f>
        <v/>
      </c>
      <c r="AQ313" s="1" t="str">
        <f>IFERROR(INDEX([1]物品基础表!$A:$A,MATCH(AP313,[1]物品基础表!$B:$B,0)),"")</f>
        <v/>
      </c>
    </row>
    <row r="314" spans="1:43">
      <c r="A314" s="1" t="str">
        <f>INDEX([2]活动总表!$A$8:$A$429,MATCH(B314,[2]活动总表!$B$8:$B$429,0))</f>
        <v>战灵活动-限购礼包1</v>
      </c>
      <c r="B314" s="1">
        <v>354</v>
      </c>
      <c r="C314" s="1">
        <v>1</v>
      </c>
      <c r="D314" s="1">
        <v>5</v>
      </c>
      <c r="E314" s="1">
        <v>0</v>
      </c>
      <c r="F314" s="1" t="s">
        <v>706</v>
      </c>
      <c r="G314" s="1">
        <v>888</v>
      </c>
      <c r="H314" s="1">
        <v>1600</v>
      </c>
      <c r="I314" s="1">
        <v>3</v>
      </c>
      <c r="O314" s="1">
        <v>55</v>
      </c>
      <c r="X314" s="1">
        <v>205000</v>
      </c>
      <c r="Y314" s="1" t="str">
        <f>IFERROR(INDEX([1]物品基础表!$A:$A,MATCH(X314,[1]物品基础表!$B:$B,0)),"")</f>
        <v>战灵进阶丹</v>
      </c>
      <c r="Z314" s="1">
        <v>20</v>
      </c>
      <c r="AB314" s="1" t="str">
        <f>IFERROR(INDEX([1]物品基础表!$A:$A,MATCH(AA314,[1]物品基础表!$B:$B,0)),"")</f>
        <v/>
      </c>
      <c r="AE314" s="1" t="str">
        <f>IFERROR(INDEX([1]物品基础表!$A:$A,MATCH(AD314,[1]物品基础表!$B:$B,0)),"")</f>
        <v/>
      </c>
      <c r="AH314" s="1" t="str">
        <f>IFERROR(INDEX([1]物品基础表!$A:$A,MATCH(AG314,[1]物品基础表!$B:$B,0)),"")</f>
        <v/>
      </c>
      <c r="AK314" s="1" t="str">
        <f>IFERROR(INDEX([1]物品基础表!$A:$A,MATCH(AJ314,[1]物品基础表!$B:$B,0)),"")</f>
        <v/>
      </c>
      <c r="AN314" s="1" t="str">
        <f>IFERROR(INDEX([1]物品基础表!$A:$A,MATCH(AM314,[1]物品基础表!$B:$B,0)),"")</f>
        <v/>
      </c>
      <c r="AQ314" s="1" t="str">
        <f>IFERROR(INDEX([1]物品基础表!$A:$A,MATCH(AP314,[1]物品基础表!$B:$B,0)),"")</f>
        <v/>
      </c>
    </row>
    <row r="315" spans="1:43">
      <c r="A315" s="1" t="str">
        <f>INDEX([2]活动总表!$A$8:$A$429,MATCH(B315,[2]活动总表!$B$8:$B$429,0))</f>
        <v>战灵活动-限购礼包1</v>
      </c>
      <c r="B315" s="1">
        <v>354</v>
      </c>
      <c r="C315" s="1">
        <v>2</v>
      </c>
      <c r="D315" s="1">
        <v>7</v>
      </c>
      <c r="E315" s="1">
        <v>0</v>
      </c>
      <c r="F315" s="1" t="s">
        <v>706</v>
      </c>
      <c r="G315" s="1">
        <v>1588</v>
      </c>
      <c r="H315" s="1">
        <v>4800</v>
      </c>
      <c r="I315" s="1">
        <v>1</v>
      </c>
      <c r="O315" s="1">
        <v>33</v>
      </c>
      <c r="X315" s="1">
        <v>205000</v>
      </c>
      <c r="Y315" s="1" t="str">
        <f>IFERROR(INDEX([1]物品基础表!$A:$A,MATCH(X315,[1]物品基础表!$B:$B,0)),"")</f>
        <v>战灵进阶丹</v>
      </c>
      <c r="Z315" s="1">
        <v>60</v>
      </c>
      <c r="AB315" s="1" t="str">
        <f>IFERROR(INDEX([1]物品基础表!$A:$A,MATCH(AA315,[1]物品基础表!$B:$B,0)),"")</f>
        <v/>
      </c>
      <c r="AE315" s="1" t="str">
        <f>IFERROR(INDEX([1]物品基础表!$A:$A,MATCH(AD315,[1]物品基础表!$B:$B,0)),"")</f>
        <v/>
      </c>
      <c r="AH315" s="1" t="str">
        <f>IFERROR(INDEX([1]物品基础表!$A:$A,MATCH(AG315,[1]物品基础表!$B:$B,0)),"")</f>
        <v/>
      </c>
      <c r="AK315" s="1" t="str">
        <f>IFERROR(INDEX([1]物品基础表!$A:$A,MATCH(AJ315,[1]物品基础表!$B:$B,0)),"")</f>
        <v/>
      </c>
      <c r="AN315" s="1" t="str">
        <f>IFERROR(INDEX([1]物品基础表!$A:$A,MATCH(AM315,[1]物品基础表!$B:$B,0)),"")</f>
        <v/>
      </c>
      <c r="AQ315" s="1" t="str">
        <f>IFERROR(INDEX([1]物品基础表!$A:$A,MATCH(AP315,[1]物品基础表!$B:$B,0)),"")</f>
        <v/>
      </c>
    </row>
    <row r="316" spans="1:43">
      <c r="A316" s="1" t="str">
        <f>INDEX([2]活动总表!$A$8:$A$429,MATCH(B316,[2]活动总表!$B$8:$B$429,0))</f>
        <v>战灵活动-限购礼包1</v>
      </c>
      <c r="B316" s="1">
        <v>354</v>
      </c>
      <c r="C316" s="1">
        <v>3</v>
      </c>
      <c r="D316" s="1">
        <v>5</v>
      </c>
      <c r="E316" s="1">
        <v>0</v>
      </c>
      <c r="F316" s="1" t="s">
        <v>706</v>
      </c>
      <c r="G316" s="1">
        <v>2888</v>
      </c>
      <c r="H316" s="1">
        <v>5600</v>
      </c>
      <c r="I316" s="1">
        <v>3</v>
      </c>
      <c r="O316" s="1">
        <v>51</v>
      </c>
      <c r="X316" s="1">
        <v>205000</v>
      </c>
      <c r="Y316" s="1" t="str">
        <f>IFERROR(INDEX([1]物品基础表!$A:$A,MATCH(X316,[1]物品基础表!$B:$B,0)),"")</f>
        <v>战灵进阶丹</v>
      </c>
      <c r="Z316" s="1">
        <v>70</v>
      </c>
      <c r="AB316" s="1" t="str">
        <f>IFERROR(INDEX([1]物品基础表!$A:$A,MATCH(AA316,[1]物品基础表!$B:$B,0)),"")</f>
        <v/>
      </c>
      <c r="AE316" s="1" t="str">
        <f>IFERROR(INDEX([1]物品基础表!$A:$A,MATCH(AD316,[1]物品基础表!$B:$B,0)),"")</f>
        <v/>
      </c>
      <c r="AH316" s="1" t="str">
        <f>IFERROR(INDEX([1]物品基础表!$A:$A,MATCH(AG316,[1]物品基础表!$B:$B,0)),"")</f>
        <v/>
      </c>
      <c r="AK316" s="1" t="str">
        <f>IFERROR(INDEX([1]物品基础表!$A:$A,MATCH(AJ316,[1]物品基础表!$B:$B,0)),"")</f>
        <v/>
      </c>
      <c r="AN316" s="1" t="str">
        <f>IFERROR(INDEX([1]物品基础表!$A:$A,MATCH(AM316,[1]物品基础表!$B:$B,0)),"")</f>
        <v/>
      </c>
      <c r="AQ316" s="1" t="str">
        <f>IFERROR(INDEX([1]物品基础表!$A:$A,MATCH(AP316,[1]物品基础表!$B:$B,0)),"")</f>
        <v/>
      </c>
    </row>
    <row r="317" spans="1:43">
      <c r="A317" s="1" t="str">
        <f>INDEX([2]活动总表!$A$8:$A$429,MATCH(B317,[2]活动总表!$B$8:$B$429,0))</f>
        <v>战灵活动-限购礼包1</v>
      </c>
      <c r="B317" s="1">
        <v>354</v>
      </c>
      <c r="C317" s="1">
        <v>4</v>
      </c>
      <c r="D317" s="1">
        <v>5</v>
      </c>
      <c r="E317" s="1">
        <v>0</v>
      </c>
      <c r="F317" s="1" t="s">
        <v>706</v>
      </c>
      <c r="G317" s="1">
        <v>8888</v>
      </c>
      <c r="H317" s="1">
        <v>16000</v>
      </c>
      <c r="I317" s="1">
        <v>10</v>
      </c>
      <c r="O317" s="1">
        <v>55</v>
      </c>
      <c r="X317" s="1">
        <v>205000</v>
      </c>
      <c r="Y317" s="1" t="str">
        <f>IFERROR(INDEX([1]物品基础表!$A:$A,MATCH(X317,[1]物品基础表!$B:$B,0)),"")</f>
        <v>战灵进阶丹</v>
      </c>
      <c r="Z317" s="1">
        <v>200</v>
      </c>
      <c r="AB317" s="1" t="str">
        <f>IFERROR(INDEX([1]物品基础表!$A:$A,MATCH(AA317,[1]物品基础表!$B:$B,0)),"")</f>
        <v/>
      </c>
      <c r="AE317" s="1" t="str">
        <f>IFERROR(INDEX([1]物品基础表!$A:$A,MATCH(AD317,[1]物品基础表!$B:$B,0)),"")</f>
        <v/>
      </c>
      <c r="AH317" s="1" t="str">
        <f>IFERROR(INDEX([1]物品基础表!$A:$A,MATCH(AG317,[1]物品基础表!$B:$B,0)),"")</f>
        <v/>
      </c>
      <c r="AK317" s="1" t="str">
        <f>IFERROR(INDEX([1]物品基础表!$A:$A,MATCH(AJ317,[1]物品基础表!$B:$B,0)),"")</f>
        <v/>
      </c>
      <c r="AN317" s="1" t="str">
        <f>IFERROR(INDEX([1]物品基础表!$A:$A,MATCH(AM317,[1]物品基础表!$B:$B,0)),"")</f>
        <v/>
      </c>
      <c r="AQ317" s="1" t="str">
        <f>IFERROR(INDEX([1]物品基础表!$A:$A,MATCH(AP317,[1]物品基础表!$B:$B,0)),"")</f>
        <v/>
      </c>
    </row>
    <row r="318" spans="1:43">
      <c r="A318" s="1" t="str">
        <f>INDEX([2]活动总表!$A$8:$A$429,MATCH(B318,[2]活动总表!$B$8:$B$429,0))</f>
        <v>战灵活动-限购礼包2</v>
      </c>
      <c r="B318" s="1">
        <v>355</v>
      </c>
      <c r="C318" s="1">
        <v>1</v>
      </c>
      <c r="D318" s="1">
        <v>5</v>
      </c>
      <c r="E318" s="1">
        <v>0</v>
      </c>
      <c r="F318" s="1" t="s">
        <v>706</v>
      </c>
      <c r="G318" s="1">
        <v>888</v>
      </c>
      <c r="H318" s="1">
        <v>1600</v>
      </c>
      <c r="I318" s="1">
        <v>3</v>
      </c>
      <c r="O318" s="1">
        <v>55</v>
      </c>
      <c r="X318" s="1">
        <v>205000</v>
      </c>
      <c r="Y318" s="1" t="str">
        <f>IFERROR(INDEX([1]物品基础表!$A:$A,MATCH(X318,[1]物品基础表!$B:$B,0)),"")</f>
        <v>战灵进阶丹</v>
      </c>
      <c r="Z318" s="1">
        <v>20</v>
      </c>
      <c r="AB318" s="1" t="str">
        <f>IFERROR(INDEX([1]物品基础表!$A:$A,MATCH(AA318,[1]物品基础表!$B:$B,0)),"")</f>
        <v/>
      </c>
      <c r="AE318" s="1" t="str">
        <f>IFERROR(INDEX([1]物品基础表!$A:$A,MATCH(AD318,[1]物品基础表!$B:$B,0)),"")</f>
        <v/>
      </c>
      <c r="AH318" s="1" t="str">
        <f>IFERROR(INDEX([1]物品基础表!$A:$A,MATCH(AG318,[1]物品基础表!$B:$B,0)),"")</f>
        <v/>
      </c>
      <c r="AK318" s="1" t="str">
        <f>IFERROR(INDEX([1]物品基础表!$A:$A,MATCH(AJ318,[1]物品基础表!$B:$B,0)),"")</f>
        <v/>
      </c>
      <c r="AN318" s="1" t="str">
        <f>IFERROR(INDEX([1]物品基础表!$A:$A,MATCH(AM318,[1]物品基础表!$B:$B,0)),"")</f>
        <v/>
      </c>
      <c r="AQ318" s="1" t="str">
        <f>IFERROR(INDEX([1]物品基础表!$A:$A,MATCH(AP318,[1]物品基础表!$B:$B,0)),"")</f>
        <v/>
      </c>
    </row>
    <row r="319" spans="1:43">
      <c r="A319" s="1" t="str">
        <f>INDEX([2]活动总表!$A$8:$A$429,MATCH(B319,[2]活动总表!$B$8:$B$429,0))</f>
        <v>战灵活动-限购礼包2</v>
      </c>
      <c r="B319" s="1">
        <v>355</v>
      </c>
      <c r="C319" s="1">
        <v>2</v>
      </c>
      <c r="D319" s="1">
        <v>7</v>
      </c>
      <c r="E319" s="1">
        <v>0</v>
      </c>
      <c r="F319" s="1" t="s">
        <v>706</v>
      </c>
      <c r="G319" s="1">
        <v>1588</v>
      </c>
      <c r="H319" s="1">
        <v>4800</v>
      </c>
      <c r="I319" s="1">
        <v>1</v>
      </c>
      <c r="O319" s="1">
        <v>33</v>
      </c>
      <c r="X319" s="1">
        <v>205000</v>
      </c>
      <c r="Y319" s="1" t="str">
        <f>IFERROR(INDEX([1]物品基础表!$A:$A,MATCH(X319,[1]物品基础表!$B:$B,0)),"")</f>
        <v>战灵进阶丹</v>
      </c>
      <c r="Z319" s="1">
        <v>60</v>
      </c>
      <c r="AB319" s="1" t="str">
        <f>IFERROR(INDEX([1]物品基础表!$A:$A,MATCH(AA319,[1]物品基础表!$B:$B,0)),"")</f>
        <v/>
      </c>
      <c r="AE319" s="1" t="str">
        <f>IFERROR(INDEX([1]物品基础表!$A:$A,MATCH(AD319,[1]物品基础表!$B:$B,0)),"")</f>
        <v/>
      </c>
      <c r="AH319" s="1" t="str">
        <f>IFERROR(INDEX([1]物品基础表!$A:$A,MATCH(AG319,[1]物品基础表!$B:$B,0)),"")</f>
        <v/>
      </c>
      <c r="AK319" s="1" t="str">
        <f>IFERROR(INDEX([1]物品基础表!$A:$A,MATCH(AJ319,[1]物品基础表!$B:$B,0)),"")</f>
        <v/>
      </c>
      <c r="AN319" s="1" t="str">
        <f>IFERROR(INDEX([1]物品基础表!$A:$A,MATCH(AM319,[1]物品基础表!$B:$B,0)),"")</f>
        <v/>
      </c>
      <c r="AQ319" s="1" t="str">
        <f>IFERROR(INDEX([1]物品基础表!$A:$A,MATCH(AP319,[1]物品基础表!$B:$B,0)),"")</f>
        <v/>
      </c>
    </row>
    <row r="320" spans="1:43">
      <c r="A320" s="1" t="str">
        <f>INDEX([2]活动总表!$A$8:$A$429,MATCH(B320,[2]活动总表!$B$8:$B$429,0))</f>
        <v>战灵活动-限购礼包2</v>
      </c>
      <c r="B320" s="1">
        <v>355</v>
      </c>
      <c r="C320" s="1">
        <v>3</v>
      </c>
      <c r="D320" s="1">
        <v>5</v>
      </c>
      <c r="E320" s="1">
        <v>0</v>
      </c>
      <c r="F320" s="1" t="s">
        <v>706</v>
      </c>
      <c r="G320" s="1">
        <v>2888</v>
      </c>
      <c r="H320" s="1">
        <v>5600</v>
      </c>
      <c r="I320" s="1">
        <v>3</v>
      </c>
      <c r="O320" s="1">
        <v>51</v>
      </c>
      <c r="X320" s="1">
        <v>205000</v>
      </c>
      <c r="Y320" s="1" t="str">
        <f>IFERROR(INDEX([1]物品基础表!$A:$A,MATCH(X320,[1]物品基础表!$B:$B,0)),"")</f>
        <v>战灵进阶丹</v>
      </c>
      <c r="Z320" s="1">
        <v>70</v>
      </c>
      <c r="AB320" s="1" t="str">
        <f>IFERROR(INDEX([1]物品基础表!$A:$A,MATCH(AA320,[1]物品基础表!$B:$B,0)),"")</f>
        <v/>
      </c>
      <c r="AE320" s="1" t="str">
        <f>IFERROR(INDEX([1]物品基础表!$A:$A,MATCH(AD320,[1]物品基础表!$B:$B,0)),"")</f>
        <v/>
      </c>
      <c r="AH320" s="1" t="str">
        <f>IFERROR(INDEX([1]物品基础表!$A:$A,MATCH(AG320,[1]物品基础表!$B:$B,0)),"")</f>
        <v/>
      </c>
      <c r="AK320" s="1" t="str">
        <f>IFERROR(INDEX([1]物品基础表!$A:$A,MATCH(AJ320,[1]物品基础表!$B:$B,0)),"")</f>
        <v/>
      </c>
      <c r="AN320" s="1" t="str">
        <f>IFERROR(INDEX([1]物品基础表!$A:$A,MATCH(AM320,[1]物品基础表!$B:$B,0)),"")</f>
        <v/>
      </c>
      <c r="AQ320" s="1" t="str">
        <f>IFERROR(INDEX([1]物品基础表!$A:$A,MATCH(AP320,[1]物品基础表!$B:$B,0)),"")</f>
        <v/>
      </c>
    </row>
    <row r="321" spans="1:43">
      <c r="A321" s="1" t="str">
        <f>INDEX([2]活动总表!$A$8:$A$429,MATCH(B321,[2]活动总表!$B$8:$B$429,0))</f>
        <v>战灵活动-限购礼包2</v>
      </c>
      <c r="B321" s="1">
        <v>355</v>
      </c>
      <c r="C321" s="1">
        <v>4</v>
      </c>
      <c r="D321" s="1">
        <v>5</v>
      </c>
      <c r="E321" s="1">
        <v>0</v>
      </c>
      <c r="F321" s="1" t="s">
        <v>706</v>
      </c>
      <c r="G321" s="1">
        <v>8888</v>
      </c>
      <c r="H321" s="1">
        <v>16000</v>
      </c>
      <c r="I321" s="1">
        <v>10</v>
      </c>
      <c r="O321" s="1">
        <v>55</v>
      </c>
      <c r="X321" s="1">
        <v>205000</v>
      </c>
      <c r="Y321" s="1" t="str">
        <f>IFERROR(INDEX([1]物品基础表!$A:$A,MATCH(X321,[1]物品基础表!$B:$B,0)),"")</f>
        <v>战灵进阶丹</v>
      </c>
      <c r="Z321" s="1">
        <v>200</v>
      </c>
      <c r="AB321" s="1" t="str">
        <f>IFERROR(INDEX([1]物品基础表!$A:$A,MATCH(AA321,[1]物品基础表!$B:$B,0)),"")</f>
        <v/>
      </c>
      <c r="AE321" s="1" t="str">
        <f>IFERROR(INDEX([1]物品基础表!$A:$A,MATCH(AD321,[1]物品基础表!$B:$B,0)),"")</f>
        <v/>
      </c>
      <c r="AH321" s="1" t="str">
        <f>IFERROR(INDEX([1]物品基础表!$A:$A,MATCH(AG321,[1]物品基础表!$B:$B,0)),"")</f>
        <v/>
      </c>
      <c r="AK321" s="1" t="str">
        <f>IFERROR(INDEX([1]物品基础表!$A:$A,MATCH(AJ321,[1]物品基础表!$B:$B,0)),"")</f>
        <v/>
      </c>
      <c r="AN321" s="1" t="str">
        <f>IFERROR(INDEX([1]物品基础表!$A:$A,MATCH(AM321,[1]物品基础表!$B:$B,0)),"")</f>
        <v/>
      </c>
      <c r="AQ321" s="1" t="str">
        <f>IFERROR(INDEX([1]物品基础表!$A:$A,MATCH(AP321,[1]物品基础表!$B:$B,0)),"")</f>
        <v/>
      </c>
    </row>
    <row r="322" spans="1:43">
      <c r="A322" s="1" t="str">
        <f>INDEX([2]活动总表!$A$8:$A$429,MATCH(B322,[2]活动总表!$B$8:$B$429,0))</f>
        <v>战灵活动-限购礼包3</v>
      </c>
      <c r="B322" s="1">
        <v>356</v>
      </c>
      <c r="C322" s="1">
        <v>1</v>
      </c>
      <c r="D322" s="1">
        <v>5</v>
      </c>
      <c r="E322" s="1">
        <v>0</v>
      </c>
      <c r="F322" s="1" t="s">
        <v>706</v>
      </c>
      <c r="G322" s="1">
        <v>888</v>
      </c>
      <c r="H322" s="1">
        <v>1600</v>
      </c>
      <c r="I322" s="1">
        <v>3</v>
      </c>
      <c r="O322" s="1">
        <v>55</v>
      </c>
      <c r="X322" s="1">
        <v>205000</v>
      </c>
      <c r="Y322" s="1" t="str">
        <f>IFERROR(INDEX([1]物品基础表!$A:$A,MATCH(X322,[1]物品基础表!$B:$B,0)),"")</f>
        <v>战灵进阶丹</v>
      </c>
      <c r="Z322" s="1">
        <v>20</v>
      </c>
      <c r="AB322" s="1" t="str">
        <f>IFERROR(INDEX([1]物品基础表!$A:$A,MATCH(AA322,[1]物品基础表!$B:$B,0)),"")</f>
        <v/>
      </c>
      <c r="AE322" s="1" t="str">
        <f>IFERROR(INDEX([1]物品基础表!$A:$A,MATCH(AD322,[1]物品基础表!$B:$B,0)),"")</f>
        <v/>
      </c>
      <c r="AH322" s="1" t="str">
        <f>IFERROR(INDEX([1]物品基础表!$A:$A,MATCH(AG322,[1]物品基础表!$B:$B,0)),"")</f>
        <v/>
      </c>
      <c r="AK322" s="1" t="str">
        <f>IFERROR(INDEX([1]物品基础表!$A:$A,MATCH(AJ322,[1]物品基础表!$B:$B,0)),"")</f>
        <v/>
      </c>
      <c r="AN322" s="1" t="str">
        <f>IFERROR(INDEX([1]物品基础表!$A:$A,MATCH(AM322,[1]物品基础表!$B:$B,0)),"")</f>
        <v/>
      </c>
      <c r="AQ322" s="1" t="str">
        <f>IFERROR(INDEX([1]物品基础表!$A:$A,MATCH(AP322,[1]物品基础表!$B:$B,0)),"")</f>
        <v/>
      </c>
    </row>
    <row r="323" spans="1:43">
      <c r="A323" s="1" t="str">
        <f>INDEX([2]活动总表!$A$8:$A$429,MATCH(B323,[2]活动总表!$B$8:$B$429,0))</f>
        <v>战灵活动-限购礼包3</v>
      </c>
      <c r="B323" s="1">
        <v>356</v>
      </c>
      <c r="C323" s="1">
        <v>2</v>
      </c>
      <c r="D323" s="1">
        <v>7</v>
      </c>
      <c r="E323" s="1">
        <v>0</v>
      </c>
      <c r="F323" s="1" t="s">
        <v>706</v>
      </c>
      <c r="G323" s="1">
        <v>1588</v>
      </c>
      <c r="H323" s="1">
        <v>4800</v>
      </c>
      <c r="I323" s="1">
        <v>1</v>
      </c>
      <c r="O323" s="1">
        <v>33</v>
      </c>
      <c r="X323" s="1">
        <v>205000</v>
      </c>
      <c r="Y323" s="1" t="str">
        <f>IFERROR(INDEX([1]物品基础表!$A:$A,MATCH(X323,[1]物品基础表!$B:$B,0)),"")</f>
        <v>战灵进阶丹</v>
      </c>
      <c r="Z323" s="1">
        <v>60</v>
      </c>
      <c r="AB323" s="1" t="str">
        <f>IFERROR(INDEX([1]物品基础表!$A:$A,MATCH(AA323,[1]物品基础表!$B:$B,0)),"")</f>
        <v/>
      </c>
      <c r="AE323" s="1" t="str">
        <f>IFERROR(INDEX([1]物品基础表!$A:$A,MATCH(AD323,[1]物品基础表!$B:$B,0)),"")</f>
        <v/>
      </c>
      <c r="AH323" s="1" t="str">
        <f>IFERROR(INDEX([1]物品基础表!$A:$A,MATCH(AG323,[1]物品基础表!$B:$B,0)),"")</f>
        <v/>
      </c>
      <c r="AK323" s="1" t="str">
        <f>IFERROR(INDEX([1]物品基础表!$A:$A,MATCH(AJ323,[1]物品基础表!$B:$B,0)),"")</f>
        <v/>
      </c>
      <c r="AN323" s="1" t="str">
        <f>IFERROR(INDEX([1]物品基础表!$A:$A,MATCH(AM323,[1]物品基础表!$B:$B,0)),"")</f>
        <v/>
      </c>
      <c r="AQ323" s="1" t="str">
        <f>IFERROR(INDEX([1]物品基础表!$A:$A,MATCH(AP323,[1]物品基础表!$B:$B,0)),"")</f>
        <v/>
      </c>
    </row>
    <row r="324" spans="1:43">
      <c r="A324" s="1" t="str">
        <f>INDEX([2]活动总表!$A$8:$A$429,MATCH(B324,[2]活动总表!$B$8:$B$429,0))</f>
        <v>战灵活动-限购礼包3</v>
      </c>
      <c r="B324" s="1">
        <v>356</v>
      </c>
      <c r="C324" s="1">
        <v>3</v>
      </c>
      <c r="D324" s="1">
        <v>5</v>
      </c>
      <c r="E324" s="1">
        <v>0</v>
      </c>
      <c r="F324" s="1" t="s">
        <v>706</v>
      </c>
      <c r="G324" s="1">
        <v>2888</v>
      </c>
      <c r="H324" s="1">
        <v>5600</v>
      </c>
      <c r="I324" s="1">
        <v>3</v>
      </c>
      <c r="O324" s="1">
        <v>51</v>
      </c>
      <c r="X324" s="1">
        <v>205000</v>
      </c>
      <c r="Y324" s="1" t="str">
        <f>IFERROR(INDEX([1]物品基础表!$A:$A,MATCH(X324,[1]物品基础表!$B:$B,0)),"")</f>
        <v>战灵进阶丹</v>
      </c>
      <c r="Z324" s="1">
        <v>70</v>
      </c>
      <c r="AB324" s="1" t="str">
        <f>IFERROR(INDEX([1]物品基础表!$A:$A,MATCH(AA324,[1]物品基础表!$B:$B,0)),"")</f>
        <v/>
      </c>
      <c r="AE324" s="1" t="str">
        <f>IFERROR(INDEX([1]物品基础表!$A:$A,MATCH(AD324,[1]物品基础表!$B:$B,0)),"")</f>
        <v/>
      </c>
      <c r="AH324" s="1" t="str">
        <f>IFERROR(INDEX([1]物品基础表!$A:$A,MATCH(AG324,[1]物品基础表!$B:$B,0)),"")</f>
        <v/>
      </c>
      <c r="AK324" s="1" t="str">
        <f>IFERROR(INDEX([1]物品基础表!$A:$A,MATCH(AJ324,[1]物品基础表!$B:$B,0)),"")</f>
        <v/>
      </c>
      <c r="AN324" s="1" t="str">
        <f>IFERROR(INDEX([1]物品基础表!$A:$A,MATCH(AM324,[1]物品基础表!$B:$B,0)),"")</f>
        <v/>
      </c>
      <c r="AQ324" s="1" t="str">
        <f>IFERROR(INDEX([1]物品基础表!$A:$A,MATCH(AP324,[1]物品基础表!$B:$B,0)),"")</f>
        <v/>
      </c>
    </row>
    <row r="325" spans="1:43">
      <c r="A325" s="1" t="str">
        <f>INDEX([2]活动总表!$A$8:$A$429,MATCH(B325,[2]活动总表!$B$8:$B$429,0))</f>
        <v>战灵活动-限购礼包3</v>
      </c>
      <c r="B325" s="1">
        <v>356</v>
      </c>
      <c r="C325" s="1">
        <v>4</v>
      </c>
      <c r="D325" s="1">
        <v>5</v>
      </c>
      <c r="E325" s="1">
        <v>0</v>
      </c>
      <c r="F325" s="1" t="s">
        <v>706</v>
      </c>
      <c r="G325" s="1">
        <v>8888</v>
      </c>
      <c r="H325" s="1">
        <v>16000</v>
      </c>
      <c r="I325" s="1">
        <v>10</v>
      </c>
      <c r="O325" s="1">
        <v>55</v>
      </c>
      <c r="X325" s="1">
        <v>205000</v>
      </c>
      <c r="Y325" s="1" t="str">
        <f>IFERROR(INDEX([1]物品基础表!$A:$A,MATCH(X325,[1]物品基础表!$B:$B,0)),"")</f>
        <v>战灵进阶丹</v>
      </c>
      <c r="Z325" s="1">
        <v>200</v>
      </c>
      <c r="AB325" s="1" t="str">
        <f>IFERROR(INDEX([1]物品基础表!$A:$A,MATCH(AA325,[1]物品基础表!$B:$B,0)),"")</f>
        <v/>
      </c>
      <c r="AE325" s="1" t="str">
        <f>IFERROR(INDEX([1]物品基础表!$A:$A,MATCH(AD325,[1]物品基础表!$B:$B,0)),"")</f>
        <v/>
      </c>
      <c r="AH325" s="1" t="str">
        <f>IFERROR(INDEX([1]物品基础表!$A:$A,MATCH(AG325,[1]物品基础表!$B:$B,0)),"")</f>
        <v/>
      </c>
      <c r="AK325" s="1" t="str">
        <f>IFERROR(INDEX([1]物品基础表!$A:$A,MATCH(AJ325,[1]物品基础表!$B:$B,0)),"")</f>
        <v/>
      </c>
      <c r="AN325" s="1" t="str">
        <f>IFERROR(INDEX([1]物品基础表!$A:$A,MATCH(AM325,[1]物品基础表!$B:$B,0)),"")</f>
        <v/>
      </c>
      <c r="AQ325" s="1" t="str">
        <f>IFERROR(INDEX([1]物品基础表!$A:$A,MATCH(AP325,[1]物品基础表!$B:$B,0)),"")</f>
        <v/>
      </c>
    </row>
    <row r="326" spans="1:43">
      <c r="A326" s="1" t="str">
        <f>INDEX([2]活动总表!$A$8:$A$429,MATCH(B326,[2]活动总表!$B$8:$B$429,0))</f>
        <v>小年限购礼包1</v>
      </c>
      <c r="B326" s="1">
        <v>441</v>
      </c>
      <c r="C326" s="1">
        <v>1</v>
      </c>
      <c r="D326" s="1">
        <v>5</v>
      </c>
      <c r="E326" s="1">
        <v>0</v>
      </c>
      <c r="F326" s="1" t="s">
        <v>706</v>
      </c>
      <c r="G326" s="1">
        <v>888</v>
      </c>
      <c r="H326" s="1">
        <v>2000</v>
      </c>
      <c r="I326" s="1">
        <v>3</v>
      </c>
      <c r="O326" s="1">
        <v>44</v>
      </c>
      <c r="X326" s="1">
        <v>200001</v>
      </c>
      <c r="Y326" s="1" t="str">
        <f>IFERROR(INDEX([1]物品基础表!$A:$A,MATCH(X326,[1]物品基础表!$B:$B,0)),"")</f>
        <v>羽毛</v>
      </c>
      <c r="Z326" s="1">
        <v>20</v>
      </c>
      <c r="AB326" s="1" t="str">
        <f>IFERROR(INDEX([1]物品基础表!$A:$A,MATCH(AA326,[1]物品基础表!$B:$B,0)),"")</f>
        <v/>
      </c>
      <c r="AE326" s="1" t="str">
        <f>IFERROR(INDEX([1]物品基础表!$A:$A,MATCH(AD326,[1]物品基础表!$B:$B,0)),"")</f>
        <v/>
      </c>
      <c r="AH326" s="1" t="str">
        <f>IFERROR(INDEX([1]物品基础表!$A:$A,MATCH(AG326,[1]物品基础表!$B:$B,0)),"")</f>
        <v/>
      </c>
      <c r="AK326" s="1" t="str">
        <f>IFERROR(INDEX([1]物品基础表!$A:$A,MATCH(AJ326,[1]物品基础表!$B:$B,0)),"")</f>
        <v/>
      </c>
      <c r="AN326" s="1" t="str">
        <f>IFERROR(INDEX([1]物品基础表!$A:$A,MATCH(AM326,[1]物品基础表!$B:$B,0)),"")</f>
        <v/>
      </c>
      <c r="AQ326" s="1" t="str">
        <f>IFERROR(INDEX([1]物品基础表!$A:$A,MATCH(AP326,[1]物品基础表!$B:$B,0)),"")</f>
        <v/>
      </c>
    </row>
    <row r="327" spans="1:43">
      <c r="A327" s="1" t="str">
        <f>INDEX([2]活动总表!$A$8:$A$429,MATCH(B327,[2]活动总表!$B$8:$B$429,0))</f>
        <v>小年限购礼包1</v>
      </c>
      <c r="B327" s="1">
        <v>441</v>
      </c>
      <c r="C327" s="1">
        <v>2</v>
      </c>
      <c r="D327" s="1">
        <v>7</v>
      </c>
      <c r="E327" s="1">
        <v>0</v>
      </c>
      <c r="F327" s="1" t="s">
        <v>706</v>
      </c>
      <c r="G327" s="1">
        <v>1588</v>
      </c>
      <c r="H327" s="1">
        <v>5000</v>
      </c>
      <c r="I327" s="1">
        <v>2</v>
      </c>
      <c r="O327" s="1">
        <v>31</v>
      </c>
      <c r="X327" s="1">
        <v>200001</v>
      </c>
      <c r="Y327" s="1" t="str">
        <f>IFERROR(INDEX([1]物品基础表!$A:$A,MATCH(X327,[1]物品基础表!$B:$B,0)),"")</f>
        <v>羽毛</v>
      </c>
      <c r="Z327" s="1">
        <v>50</v>
      </c>
      <c r="AB327" s="1" t="str">
        <f>IFERROR(INDEX([1]物品基础表!$A:$A,MATCH(AA327,[1]物品基础表!$B:$B,0)),"")</f>
        <v/>
      </c>
      <c r="AE327" s="1" t="str">
        <f>IFERROR(INDEX([1]物品基础表!$A:$A,MATCH(AD327,[1]物品基础表!$B:$B,0)),"")</f>
        <v/>
      </c>
      <c r="AH327" s="1" t="str">
        <f>IFERROR(INDEX([1]物品基础表!$A:$A,MATCH(AG327,[1]物品基础表!$B:$B,0)),"")</f>
        <v/>
      </c>
      <c r="AK327" s="1" t="str">
        <f>IFERROR(INDEX([1]物品基础表!$A:$A,MATCH(AJ327,[1]物品基础表!$B:$B,0)),"")</f>
        <v/>
      </c>
      <c r="AN327" s="1" t="str">
        <f>IFERROR(INDEX([1]物品基础表!$A:$A,MATCH(AM327,[1]物品基础表!$B:$B,0)),"")</f>
        <v/>
      </c>
      <c r="AQ327" s="1" t="str">
        <f>IFERROR(INDEX([1]物品基础表!$A:$A,MATCH(AP327,[1]物品基础表!$B:$B,0)),"")</f>
        <v/>
      </c>
    </row>
    <row r="328" spans="1:43">
      <c r="A328" s="1" t="str">
        <f>INDEX([2]活动总表!$A$8:$A$429,MATCH(B328,[2]活动总表!$B$8:$B$429,0))</f>
        <v>小年限购礼包1</v>
      </c>
      <c r="B328" s="1">
        <v>441</v>
      </c>
      <c r="C328" s="1">
        <v>3</v>
      </c>
      <c r="D328" s="1">
        <v>7</v>
      </c>
      <c r="E328" s="1">
        <v>0</v>
      </c>
      <c r="F328" s="1" t="s">
        <v>706</v>
      </c>
      <c r="G328" s="1">
        <v>2888</v>
      </c>
      <c r="H328" s="1">
        <v>8500</v>
      </c>
      <c r="I328" s="1">
        <v>2</v>
      </c>
      <c r="O328" s="1">
        <v>33</v>
      </c>
      <c r="X328" s="1">
        <v>200001</v>
      </c>
      <c r="Y328" s="1" t="str">
        <f>IFERROR(INDEX([1]物品基础表!$A:$A,MATCH(X328,[1]物品基础表!$B:$B,0)),"")</f>
        <v>羽毛</v>
      </c>
      <c r="Z328" s="1">
        <v>85</v>
      </c>
      <c r="AB328" s="1" t="str">
        <f>IFERROR(INDEX([1]物品基础表!$A:$A,MATCH(AA328,[1]物品基础表!$B:$B,0)),"")</f>
        <v/>
      </c>
      <c r="AE328" s="1" t="str">
        <f>IFERROR(INDEX([1]物品基础表!$A:$A,MATCH(AD328,[1]物品基础表!$B:$B,0)),"")</f>
        <v/>
      </c>
      <c r="AH328" s="1" t="str">
        <f>IFERROR(INDEX([1]物品基础表!$A:$A,MATCH(AG328,[1]物品基础表!$B:$B,0)),"")</f>
        <v/>
      </c>
      <c r="AK328" s="1" t="str">
        <f>IFERROR(INDEX([1]物品基础表!$A:$A,MATCH(AJ328,[1]物品基础表!$B:$B,0)),"")</f>
        <v/>
      </c>
      <c r="AN328" s="1" t="str">
        <f>IFERROR(INDEX([1]物品基础表!$A:$A,MATCH(AM328,[1]物品基础表!$B:$B,0)),"")</f>
        <v/>
      </c>
      <c r="AQ328" s="1" t="str">
        <f>IFERROR(INDEX([1]物品基础表!$A:$A,MATCH(AP328,[1]物品基础表!$B:$B,0)),"")</f>
        <v/>
      </c>
    </row>
    <row r="329" spans="1:43">
      <c r="A329" s="1" t="str">
        <f>INDEX([2]活动总表!$A$8:$A$429,MATCH(B329,[2]活动总表!$B$8:$B$429,0))</f>
        <v>小年限购礼包1</v>
      </c>
      <c r="B329" s="1">
        <v>441</v>
      </c>
      <c r="C329" s="1">
        <v>4</v>
      </c>
      <c r="D329" s="1">
        <v>5</v>
      </c>
      <c r="E329" s="1">
        <v>0</v>
      </c>
      <c r="F329" s="1" t="s">
        <v>706</v>
      </c>
      <c r="G329" s="1">
        <v>2888</v>
      </c>
      <c r="H329" s="1">
        <v>6000</v>
      </c>
      <c r="I329" s="1">
        <v>3</v>
      </c>
      <c r="O329" s="1">
        <v>48</v>
      </c>
      <c r="X329" s="1">
        <v>200001</v>
      </c>
      <c r="Y329" s="1" t="str">
        <f>IFERROR(INDEX([1]物品基础表!$A:$A,MATCH(X329,[1]物品基础表!$B:$B,0)),"")</f>
        <v>羽毛</v>
      </c>
      <c r="Z329" s="1">
        <v>60</v>
      </c>
      <c r="AB329" s="1" t="str">
        <f>IFERROR(INDEX([1]物品基础表!$A:$A,MATCH(AA329,[1]物品基础表!$B:$B,0)),"")</f>
        <v/>
      </c>
      <c r="AE329" s="1" t="str">
        <f>IFERROR(INDEX([1]物品基础表!$A:$A,MATCH(AD329,[1]物品基础表!$B:$B,0)),"")</f>
        <v/>
      </c>
      <c r="AH329" s="1" t="str">
        <f>IFERROR(INDEX([1]物品基础表!$A:$A,MATCH(AG329,[1]物品基础表!$B:$B,0)),"")</f>
        <v/>
      </c>
      <c r="AK329" s="1" t="str">
        <f>IFERROR(INDEX([1]物品基础表!$A:$A,MATCH(AJ329,[1]物品基础表!$B:$B,0)),"")</f>
        <v/>
      </c>
      <c r="AN329" s="1" t="str">
        <f>IFERROR(INDEX([1]物品基础表!$A:$A,MATCH(AM329,[1]物品基础表!$B:$B,0)),"")</f>
        <v/>
      </c>
      <c r="AQ329" s="1" t="str">
        <f>IFERROR(INDEX([1]物品基础表!$A:$A,MATCH(AP329,[1]物品基础表!$B:$B,0)),"")</f>
        <v/>
      </c>
    </row>
    <row r="330" spans="1:43">
      <c r="A330" s="1" t="str">
        <f>INDEX([2]活动总表!$A$8:$A$429,MATCH(B330,[2]活动总表!$B$8:$B$429,0))</f>
        <v>小年限购礼包1</v>
      </c>
      <c r="B330" s="1">
        <v>441</v>
      </c>
      <c r="C330" s="1">
        <v>5</v>
      </c>
      <c r="D330" s="1">
        <v>5</v>
      </c>
      <c r="E330" s="1">
        <v>0</v>
      </c>
      <c r="F330" s="1" t="s">
        <v>706</v>
      </c>
      <c r="G330" s="1">
        <v>8888</v>
      </c>
      <c r="H330" s="1">
        <v>18000</v>
      </c>
      <c r="I330" s="1">
        <v>10</v>
      </c>
      <c r="O330" s="1">
        <v>49</v>
      </c>
      <c r="X330" s="1">
        <v>200001</v>
      </c>
      <c r="Y330" s="1" t="str">
        <f>IFERROR(INDEX([1]物品基础表!$A:$A,MATCH(X330,[1]物品基础表!$B:$B,0)),"")</f>
        <v>羽毛</v>
      </c>
      <c r="Z330" s="1">
        <v>180</v>
      </c>
      <c r="AB330" s="1" t="str">
        <f>IFERROR(INDEX([1]物品基础表!$A:$A,MATCH(AA330,[1]物品基础表!$B:$B,0)),"")</f>
        <v/>
      </c>
      <c r="AE330" s="1" t="str">
        <f>IFERROR(INDEX([1]物品基础表!$A:$A,MATCH(AD330,[1]物品基础表!$B:$B,0)),"")</f>
        <v/>
      </c>
      <c r="AH330" s="1" t="str">
        <f>IFERROR(INDEX([1]物品基础表!$A:$A,MATCH(AG330,[1]物品基础表!$B:$B,0)),"")</f>
        <v/>
      </c>
      <c r="AK330" s="1" t="str">
        <f>IFERROR(INDEX([1]物品基础表!$A:$A,MATCH(AJ330,[1]物品基础表!$B:$B,0)),"")</f>
        <v/>
      </c>
      <c r="AN330" s="1" t="str">
        <f>IFERROR(INDEX([1]物品基础表!$A:$A,MATCH(AM330,[1]物品基础表!$B:$B,0)),"")</f>
        <v/>
      </c>
      <c r="AQ330" s="1" t="str">
        <f>IFERROR(INDEX([1]物品基础表!$A:$A,MATCH(AP330,[1]物品基础表!$B:$B,0)),"")</f>
        <v/>
      </c>
    </row>
    <row r="331" spans="1:43">
      <c r="A331" s="1" t="str">
        <f>INDEX([2]活动总表!$A$8:$A$429,MATCH(B331,[2]活动总表!$B$8:$B$429,0))</f>
        <v>小年限购礼包2</v>
      </c>
      <c r="B331" s="1">
        <v>442</v>
      </c>
      <c r="C331" s="1">
        <v>1</v>
      </c>
      <c r="D331" s="1">
        <v>5</v>
      </c>
      <c r="E331" s="1">
        <v>0</v>
      </c>
      <c r="F331" s="1" t="s">
        <v>706</v>
      </c>
      <c r="G331" s="1">
        <v>888</v>
      </c>
      <c r="H331" s="1">
        <v>2000</v>
      </c>
      <c r="I331" s="1">
        <v>3</v>
      </c>
      <c r="O331" s="1">
        <v>44</v>
      </c>
      <c r="X331" s="1">
        <v>200001</v>
      </c>
      <c r="Y331" s="1" t="str">
        <f>IFERROR(INDEX([1]物品基础表!$A:$A,MATCH(X331,[1]物品基础表!$B:$B,0)),"")</f>
        <v>羽毛</v>
      </c>
      <c r="Z331" s="1">
        <v>20</v>
      </c>
      <c r="AB331" s="1" t="str">
        <f>IFERROR(INDEX([1]物品基础表!$A:$A,MATCH(AA331,[1]物品基础表!$B:$B,0)),"")</f>
        <v/>
      </c>
      <c r="AE331" s="1" t="str">
        <f>IFERROR(INDEX([1]物品基础表!$A:$A,MATCH(AD331,[1]物品基础表!$B:$B,0)),"")</f>
        <v/>
      </c>
      <c r="AH331" s="1" t="str">
        <f>IFERROR(INDEX([1]物品基础表!$A:$A,MATCH(AG331,[1]物品基础表!$B:$B,0)),"")</f>
        <v/>
      </c>
      <c r="AK331" s="1" t="str">
        <f>IFERROR(INDEX([1]物品基础表!$A:$A,MATCH(AJ331,[1]物品基础表!$B:$B,0)),"")</f>
        <v/>
      </c>
      <c r="AN331" s="1" t="str">
        <f>IFERROR(INDEX([1]物品基础表!$A:$A,MATCH(AM331,[1]物品基础表!$B:$B,0)),"")</f>
        <v/>
      </c>
      <c r="AQ331" s="1" t="str">
        <f>IFERROR(INDEX([1]物品基础表!$A:$A,MATCH(AP331,[1]物品基础表!$B:$B,0)),"")</f>
        <v/>
      </c>
    </row>
    <row r="332" spans="1:43">
      <c r="A332" s="1" t="str">
        <f>INDEX([2]活动总表!$A$8:$A$429,MATCH(B332,[2]活动总表!$B$8:$B$429,0))</f>
        <v>小年限购礼包2</v>
      </c>
      <c r="B332" s="1">
        <v>442</v>
      </c>
      <c r="C332" s="1">
        <v>2</v>
      </c>
      <c r="D332" s="1">
        <v>7</v>
      </c>
      <c r="E332" s="1">
        <v>0</v>
      </c>
      <c r="F332" s="1" t="s">
        <v>706</v>
      </c>
      <c r="G332" s="1">
        <v>1588</v>
      </c>
      <c r="H332" s="1">
        <v>5000</v>
      </c>
      <c r="I332" s="1">
        <v>2</v>
      </c>
      <c r="O332" s="1">
        <v>31</v>
      </c>
      <c r="X332" s="1">
        <v>200001</v>
      </c>
      <c r="Y332" s="1" t="str">
        <f>IFERROR(INDEX([1]物品基础表!$A:$A,MATCH(X332,[1]物品基础表!$B:$B,0)),"")</f>
        <v>羽毛</v>
      </c>
      <c r="Z332" s="1">
        <v>50</v>
      </c>
      <c r="AB332" s="1" t="str">
        <f>IFERROR(INDEX([1]物品基础表!$A:$A,MATCH(AA332,[1]物品基础表!$B:$B,0)),"")</f>
        <v/>
      </c>
      <c r="AE332" s="1" t="str">
        <f>IFERROR(INDEX([1]物品基础表!$A:$A,MATCH(AD332,[1]物品基础表!$B:$B,0)),"")</f>
        <v/>
      </c>
      <c r="AH332" s="1" t="str">
        <f>IFERROR(INDEX([1]物品基础表!$A:$A,MATCH(AG332,[1]物品基础表!$B:$B,0)),"")</f>
        <v/>
      </c>
      <c r="AK332" s="1" t="str">
        <f>IFERROR(INDEX([1]物品基础表!$A:$A,MATCH(AJ332,[1]物品基础表!$B:$B,0)),"")</f>
        <v/>
      </c>
      <c r="AN332" s="1" t="str">
        <f>IFERROR(INDEX([1]物品基础表!$A:$A,MATCH(AM332,[1]物品基础表!$B:$B,0)),"")</f>
        <v/>
      </c>
      <c r="AQ332" s="1" t="str">
        <f>IFERROR(INDEX([1]物品基础表!$A:$A,MATCH(AP332,[1]物品基础表!$B:$B,0)),"")</f>
        <v/>
      </c>
    </row>
    <row r="333" spans="1:43">
      <c r="A333" s="1" t="str">
        <f>INDEX([2]活动总表!$A$8:$A$429,MATCH(B333,[2]活动总表!$B$8:$B$429,0))</f>
        <v>小年限购礼包2</v>
      </c>
      <c r="B333" s="1">
        <v>442</v>
      </c>
      <c r="C333" s="1">
        <v>3</v>
      </c>
      <c r="D333" s="1">
        <v>7</v>
      </c>
      <c r="E333" s="1">
        <v>0</v>
      </c>
      <c r="F333" s="1" t="s">
        <v>706</v>
      </c>
      <c r="G333" s="1">
        <v>2888</v>
      </c>
      <c r="H333" s="1">
        <v>8500</v>
      </c>
      <c r="I333" s="1">
        <v>2</v>
      </c>
      <c r="O333" s="1">
        <v>33</v>
      </c>
      <c r="X333" s="1">
        <v>200001</v>
      </c>
      <c r="Y333" s="1" t="str">
        <f>IFERROR(INDEX([1]物品基础表!$A:$A,MATCH(X333,[1]物品基础表!$B:$B,0)),"")</f>
        <v>羽毛</v>
      </c>
      <c r="Z333" s="1">
        <v>85</v>
      </c>
      <c r="AB333" s="1" t="str">
        <f>IFERROR(INDEX([1]物品基础表!$A:$A,MATCH(AA333,[1]物品基础表!$B:$B,0)),"")</f>
        <v/>
      </c>
      <c r="AE333" s="1" t="str">
        <f>IFERROR(INDEX([1]物品基础表!$A:$A,MATCH(AD333,[1]物品基础表!$B:$B,0)),"")</f>
        <v/>
      </c>
      <c r="AH333" s="1" t="str">
        <f>IFERROR(INDEX([1]物品基础表!$A:$A,MATCH(AG333,[1]物品基础表!$B:$B,0)),"")</f>
        <v/>
      </c>
      <c r="AK333" s="1" t="str">
        <f>IFERROR(INDEX([1]物品基础表!$A:$A,MATCH(AJ333,[1]物品基础表!$B:$B,0)),"")</f>
        <v/>
      </c>
      <c r="AN333" s="1" t="str">
        <f>IFERROR(INDEX([1]物品基础表!$A:$A,MATCH(AM333,[1]物品基础表!$B:$B,0)),"")</f>
        <v/>
      </c>
      <c r="AQ333" s="1" t="str">
        <f>IFERROR(INDEX([1]物品基础表!$A:$A,MATCH(AP333,[1]物品基础表!$B:$B,0)),"")</f>
        <v/>
      </c>
    </row>
    <row r="334" spans="1:43">
      <c r="A334" s="1" t="str">
        <f>INDEX([2]活动总表!$A$8:$A$429,MATCH(B334,[2]活动总表!$B$8:$B$429,0))</f>
        <v>小年限购礼包2</v>
      </c>
      <c r="B334" s="1">
        <v>442</v>
      </c>
      <c r="C334" s="1">
        <v>4</v>
      </c>
      <c r="D334" s="1">
        <v>5</v>
      </c>
      <c r="E334" s="1">
        <v>0</v>
      </c>
      <c r="F334" s="1" t="s">
        <v>706</v>
      </c>
      <c r="G334" s="1">
        <v>2888</v>
      </c>
      <c r="H334" s="1">
        <v>6000</v>
      </c>
      <c r="I334" s="1">
        <v>3</v>
      </c>
      <c r="O334" s="1">
        <v>48</v>
      </c>
      <c r="X334" s="1">
        <v>200001</v>
      </c>
      <c r="Y334" s="1" t="str">
        <f>IFERROR(INDEX([1]物品基础表!$A:$A,MATCH(X334,[1]物品基础表!$B:$B,0)),"")</f>
        <v>羽毛</v>
      </c>
      <c r="Z334" s="1">
        <v>60</v>
      </c>
      <c r="AB334" s="1" t="str">
        <f>IFERROR(INDEX([1]物品基础表!$A:$A,MATCH(AA334,[1]物品基础表!$B:$B,0)),"")</f>
        <v/>
      </c>
      <c r="AE334" s="1" t="str">
        <f>IFERROR(INDEX([1]物品基础表!$A:$A,MATCH(AD334,[1]物品基础表!$B:$B,0)),"")</f>
        <v/>
      </c>
      <c r="AH334" s="1" t="str">
        <f>IFERROR(INDEX([1]物品基础表!$A:$A,MATCH(AG334,[1]物品基础表!$B:$B,0)),"")</f>
        <v/>
      </c>
      <c r="AK334" s="1" t="str">
        <f>IFERROR(INDEX([1]物品基础表!$A:$A,MATCH(AJ334,[1]物品基础表!$B:$B,0)),"")</f>
        <v/>
      </c>
      <c r="AN334" s="1" t="str">
        <f>IFERROR(INDEX([1]物品基础表!$A:$A,MATCH(AM334,[1]物品基础表!$B:$B,0)),"")</f>
        <v/>
      </c>
      <c r="AQ334" s="1" t="str">
        <f>IFERROR(INDEX([1]物品基础表!$A:$A,MATCH(AP334,[1]物品基础表!$B:$B,0)),"")</f>
        <v/>
      </c>
    </row>
    <row r="335" spans="1:43">
      <c r="A335" s="1" t="str">
        <f>INDEX([2]活动总表!$A$8:$A$429,MATCH(B335,[2]活动总表!$B$8:$B$429,0))</f>
        <v>小年限购礼包2</v>
      </c>
      <c r="B335" s="1">
        <v>442</v>
      </c>
      <c r="C335" s="1">
        <v>5</v>
      </c>
      <c r="D335" s="1">
        <v>5</v>
      </c>
      <c r="E335" s="1">
        <v>0</v>
      </c>
      <c r="F335" s="1" t="s">
        <v>706</v>
      </c>
      <c r="G335" s="1">
        <v>8888</v>
      </c>
      <c r="H335" s="1">
        <v>18000</v>
      </c>
      <c r="I335" s="1">
        <v>10</v>
      </c>
      <c r="O335" s="1">
        <v>49</v>
      </c>
      <c r="X335" s="1">
        <v>200001</v>
      </c>
      <c r="Y335" s="1" t="str">
        <f>IFERROR(INDEX([1]物品基础表!$A:$A,MATCH(X335,[1]物品基础表!$B:$B,0)),"")</f>
        <v>羽毛</v>
      </c>
      <c r="Z335" s="1">
        <v>180</v>
      </c>
      <c r="AB335" s="1" t="str">
        <f>IFERROR(INDEX([1]物品基础表!$A:$A,MATCH(AA335,[1]物品基础表!$B:$B,0)),"")</f>
        <v/>
      </c>
      <c r="AE335" s="1" t="str">
        <f>IFERROR(INDEX([1]物品基础表!$A:$A,MATCH(AD335,[1]物品基础表!$B:$B,0)),"")</f>
        <v/>
      </c>
      <c r="AH335" s="1" t="str">
        <f>IFERROR(INDEX([1]物品基础表!$A:$A,MATCH(AG335,[1]物品基础表!$B:$B,0)),"")</f>
        <v/>
      </c>
      <c r="AK335" s="1" t="str">
        <f>IFERROR(INDEX([1]物品基础表!$A:$A,MATCH(AJ335,[1]物品基础表!$B:$B,0)),"")</f>
        <v/>
      </c>
      <c r="AN335" s="1" t="str">
        <f>IFERROR(INDEX([1]物品基础表!$A:$A,MATCH(AM335,[1]物品基础表!$B:$B,0)),"")</f>
        <v/>
      </c>
      <c r="AQ335" s="1" t="str">
        <f>IFERROR(INDEX([1]物品基础表!$A:$A,MATCH(AP335,[1]物品基础表!$B:$B,0)),"")</f>
        <v/>
      </c>
    </row>
    <row r="336" spans="1:43">
      <c r="A336" s="1" t="str">
        <f>INDEX([2]活动总表!$A$8:$A$429,MATCH(B336,[2]活动总表!$B$8:$B$429,0))</f>
        <v>小年限购礼包3</v>
      </c>
      <c r="B336" s="1">
        <v>443</v>
      </c>
      <c r="C336" s="1">
        <v>1</v>
      </c>
      <c r="D336" s="1">
        <v>5</v>
      </c>
      <c r="E336" s="1">
        <v>0</v>
      </c>
      <c r="F336" s="1" t="s">
        <v>706</v>
      </c>
      <c r="G336" s="1">
        <v>888</v>
      </c>
      <c r="H336" s="1">
        <v>2000</v>
      </c>
      <c r="I336" s="1">
        <v>3</v>
      </c>
      <c r="O336" s="1">
        <v>44</v>
      </c>
      <c r="X336" s="1">
        <v>200001</v>
      </c>
      <c r="Y336" s="1" t="str">
        <f>IFERROR(INDEX([1]物品基础表!$A:$A,MATCH(X336,[1]物品基础表!$B:$B,0)),"")</f>
        <v>羽毛</v>
      </c>
      <c r="Z336" s="1">
        <v>20</v>
      </c>
      <c r="AB336" s="1" t="str">
        <f>IFERROR(INDEX([1]物品基础表!$A:$A,MATCH(AA336,[1]物品基础表!$B:$B,0)),"")</f>
        <v/>
      </c>
      <c r="AE336" s="1" t="str">
        <f>IFERROR(INDEX([1]物品基础表!$A:$A,MATCH(AD336,[1]物品基础表!$B:$B,0)),"")</f>
        <v/>
      </c>
      <c r="AH336" s="1" t="str">
        <f>IFERROR(INDEX([1]物品基础表!$A:$A,MATCH(AG336,[1]物品基础表!$B:$B,0)),"")</f>
        <v/>
      </c>
      <c r="AK336" s="1" t="str">
        <f>IFERROR(INDEX([1]物品基础表!$A:$A,MATCH(AJ336,[1]物品基础表!$B:$B,0)),"")</f>
        <v/>
      </c>
      <c r="AN336" s="1" t="str">
        <f>IFERROR(INDEX([1]物品基础表!$A:$A,MATCH(AM336,[1]物品基础表!$B:$B,0)),"")</f>
        <v/>
      </c>
      <c r="AQ336" s="1" t="str">
        <f>IFERROR(INDEX([1]物品基础表!$A:$A,MATCH(AP336,[1]物品基础表!$B:$B,0)),"")</f>
        <v/>
      </c>
    </row>
    <row r="337" spans="1:43">
      <c r="A337" s="1" t="str">
        <f>INDEX([2]活动总表!$A$8:$A$429,MATCH(B337,[2]活动总表!$B$8:$B$429,0))</f>
        <v>小年限购礼包3</v>
      </c>
      <c r="B337" s="1">
        <v>443</v>
      </c>
      <c r="C337" s="1">
        <v>2</v>
      </c>
      <c r="D337" s="1">
        <v>7</v>
      </c>
      <c r="E337" s="1">
        <v>0</v>
      </c>
      <c r="F337" s="1" t="s">
        <v>706</v>
      </c>
      <c r="G337" s="1">
        <v>1588</v>
      </c>
      <c r="H337" s="1">
        <v>5000</v>
      </c>
      <c r="I337" s="1">
        <v>2</v>
      </c>
      <c r="O337" s="1">
        <v>31</v>
      </c>
      <c r="X337" s="1">
        <v>200001</v>
      </c>
      <c r="Y337" s="1" t="str">
        <f>IFERROR(INDEX([1]物品基础表!$A:$A,MATCH(X337,[1]物品基础表!$B:$B,0)),"")</f>
        <v>羽毛</v>
      </c>
      <c r="Z337" s="1">
        <v>50</v>
      </c>
      <c r="AB337" s="1" t="str">
        <f>IFERROR(INDEX([1]物品基础表!$A:$A,MATCH(AA337,[1]物品基础表!$B:$B,0)),"")</f>
        <v/>
      </c>
      <c r="AE337" s="1" t="str">
        <f>IFERROR(INDEX([1]物品基础表!$A:$A,MATCH(AD337,[1]物品基础表!$B:$B,0)),"")</f>
        <v/>
      </c>
      <c r="AH337" s="1" t="str">
        <f>IFERROR(INDEX([1]物品基础表!$A:$A,MATCH(AG337,[1]物品基础表!$B:$B,0)),"")</f>
        <v/>
      </c>
      <c r="AK337" s="1" t="str">
        <f>IFERROR(INDEX([1]物品基础表!$A:$A,MATCH(AJ337,[1]物品基础表!$B:$B,0)),"")</f>
        <v/>
      </c>
      <c r="AN337" s="1" t="str">
        <f>IFERROR(INDEX([1]物品基础表!$A:$A,MATCH(AM337,[1]物品基础表!$B:$B,0)),"")</f>
        <v/>
      </c>
      <c r="AQ337" s="1" t="str">
        <f>IFERROR(INDEX([1]物品基础表!$A:$A,MATCH(AP337,[1]物品基础表!$B:$B,0)),"")</f>
        <v/>
      </c>
    </row>
    <row r="338" spans="1:43">
      <c r="A338" s="1" t="str">
        <f>INDEX([2]活动总表!$A$8:$A$429,MATCH(B338,[2]活动总表!$B$8:$B$429,0))</f>
        <v>小年限购礼包3</v>
      </c>
      <c r="B338" s="1">
        <v>443</v>
      </c>
      <c r="C338" s="1">
        <v>3</v>
      </c>
      <c r="D338" s="1">
        <v>7</v>
      </c>
      <c r="E338" s="1">
        <v>0</v>
      </c>
      <c r="F338" s="1" t="s">
        <v>706</v>
      </c>
      <c r="G338" s="1">
        <v>2888</v>
      </c>
      <c r="H338" s="1">
        <v>8500</v>
      </c>
      <c r="I338" s="1">
        <v>2</v>
      </c>
      <c r="O338" s="1">
        <v>33</v>
      </c>
      <c r="X338" s="1">
        <v>200001</v>
      </c>
      <c r="Y338" s="1" t="str">
        <f>IFERROR(INDEX([1]物品基础表!$A:$A,MATCH(X338,[1]物品基础表!$B:$B,0)),"")</f>
        <v>羽毛</v>
      </c>
      <c r="Z338" s="1">
        <v>85</v>
      </c>
      <c r="AB338" s="1" t="str">
        <f>IFERROR(INDEX([1]物品基础表!$A:$A,MATCH(AA338,[1]物品基础表!$B:$B,0)),"")</f>
        <v/>
      </c>
      <c r="AE338" s="1" t="str">
        <f>IFERROR(INDEX([1]物品基础表!$A:$A,MATCH(AD338,[1]物品基础表!$B:$B,0)),"")</f>
        <v/>
      </c>
      <c r="AH338" s="1" t="str">
        <f>IFERROR(INDEX([1]物品基础表!$A:$A,MATCH(AG338,[1]物品基础表!$B:$B,0)),"")</f>
        <v/>
      </c>
      <c r="AK338" s="1" t="str">
        <f>IFERROR(INDEX([1]物品基础表!$A:$A,MATCH(AJ338,[1]物品基础表!$B:$B,0)),"")</f>
        <v/>
      </c>
      <c r="AN338" s="1" t="str">
        <f>IFERROR(INDEX([1]物品基础表!$A:$A,MATCH(AM338,[1]物品基础表!$B:$B,0)),"")</f>
        <v/>
      </c>
      <c r="AQ338" s="1" t="str">
        <f>IFERROR(INDEX([1]物品基础表!$A:$A,MATCH(AP338,[1]物品基础表!$B:$B,0)),"")</f>
        <v/>
      </c>
    </row>
    <row r="339" spans="1:43">
      <c r="A339" s="1" t="str">
        <f>INDEX([2]活动总表!$A$8:$A$429,MATCH(B339,[2]活动总表!$B$8:$B$429,0))</f>
        <v>小年限购礼包3</v>
      </c>
      <c r="B339" s="1">
        <v>443</v>
      </c>
      <c r="C339" s="1">
        <v>4</v>
      </c>
      <c r="D339" s="1">
        <v>5</v>
      </c>
      <c r="E339" s="1">
        <v>0</v>
      </c>
      <c r="F339" s="1" t="s">
        <v>706</v>
      </c>
      <c r="G339" s="1">
        <v>2888</v>
      </c>
      <c r="H339" s="1">
        <v>6000</v>
      </c>
      <c r="I339" s="1">
        <v>3</v>
      </c>
      <c r="O339" s="1">
        <v>48</v>
      </c>
      <c r="X339" s="1">
        <v>200001</v>
      </c>
      <c r="Y339" s="1" t="str">
        <f>IFERROR(INDEX([1]物品基础表!$A:$A,MATCH(X339,[1]物品基础表!$B:$B,0)),"")</f>
        <v>羽毛</v>
      </c>
      <c r="Z339" s="1">
        <v>60</v>
      </c>
      <c r="AB339" s="1" t="str">
        <f>IFERROR(INDEX([1]物品基础表!$A:$A,MATCH(AA339,[1]物品基础表!$B:$B,0)),"")</f>
        <v/>
      </c>
      <c r="AE339" s="1" t="str">
        <f>IFERROR(INDEX([1]物品基础表!$A:$A,MATCH(AD339,[1]物品基础表!$B:$B,0)),"")</f>
        <v/>
      </c>
      <c r="AH339" s="1" t="str">
        <f>IFERROR(INDEX([1]物品基础表!$A:$A,MATCH(AG339,[1]物品基础表!$B:$B,0)),"")</f>
        <v/>
      </c>
      <c r="AK339" s="1" t="str">
        <f>IFERROR(INDEX([1]物品基础表!$A:$A,MATCH(AJ339,[1]物品基础表!$B:$B,0)),"")</f>
        <v/>
      </c>
      <c r="AN339" s="1" t="str">
        <f>IFERROR(INDEX([1]物品基础表!$A:$A,MATCH(AM339,[1]物品基础表!$B:$B,0)),"")</f>
        <v/>
      </c>
      <c r="AQ339" s="1" t="str">
        <f>IFERROR(INDEX([1]物品基础表!$A:$A,MATCH(AP339,[1]物品基础表!$B:$B,0)),"")</f>
        <v/>
      </c>
    </row>
    <row r="340" spans="1:43">
      <c r="A340" s="1" t="str">
        <f>INDEX([2]活动总表!$A$8:$A$429,MATCH(B340,[2]活动总表!$B$8:$B$429,0))</f>
        <v>小年限购礼包3</v>
      </c>
      <c r="B340" s="1">
        <v>443</v>
      </c>
      <c r="C340" s="1">
        <v>5</v>
      </c>
      <c r="D340" s="1">
        <v>5</v>
      </c>
      <c r="E340" s="1">
        <v>0</v>
      </c>
      <c r="F340" s="1" t="s">
        <v>706</v>
      </c>
      <c r="G340" s="1">
        <v>8888</v>
      </c>
      <c r="H340" s="1">
        <v>18000</v>
      </c>
      <c r="I340" s="1">
        <v>10</v>
      </c>
      <c r="O340" s="1">
        <v>49</v>
      </c>
      <c r="X340" s="1">
        <v>200001</v>
      </c>
      <c r="Y340" s="1" t="str">
        <f>IFERROR(INDEX([1]物品基础表!$A:$A,MATCH(X340,[1]物品基础表!$B:$B,0)),"")</f>
        <v>羽毛</v>
      </c>
      <c r="Z340" s="1">
        <v>180</v>
      </c>
      <c r="AB340" s="1" t="str">
        <f>IFERROR(INDEX([1]物品基础表!$A:$A,MATCH(AA340,[1]物品基础表!$B:$B,0)),"")</f>
        <v/>
      </c>
      <c r="AE340" s="1" t="str">
        <f>IFERROR(INDEX([1]物品基础表!$A:$A,MATCH(AD340,[1]物品基础表!$B:$B,0)),"")</f>
        <v/>
      </c>
      <c r="AH340" s="1" t="str">
        <f>IFERROR(INDEX([1]物品基础表!$A:$A,MATCH(AG340,[1]物品基础表!$B:$B,0)),"")</f>
        <v/>
      </c>
      <c r="AK340" s="1" t="str">
        <f>IFERROR(INDEX([1]物品基础表!$A:$A,MATCH(AJ340,[1]物品基础表!$B:$B,0)),"")</f>
        <v/>
      </c>
      <c r="AN340" s="1" t="str">
        <f>IFERROR(INDEX([1]物品基础表!$A:$A,MATCH(AM340,[1]物品基础表!$B:$B,0)),"")</f>
        <v/>
      </c>
      <c r="AQ340" s="1" t="str">
        <f>IFERROR(INDEX([1]物品基础表!$A:$A,MATCH(AP340,[1]物品基础表!$B:$B,0)),"")</f>
        <v/>
      </c>
    </row>
    <row r="341" spans="1:43">
      <c r="A341" s="1" t="str">
        <f>INDEX([2]活动总表!$A$8:$A$429,MATCH(B341,[2]活动总表!$B$8:$B$429,0))</f>
        <v>小年限购礼包1（15-60天）</v>
      </c>
      <c r="B341" s="1">
        <v>449</v>
      </c>
      <c r="C341" s="1">
        <v>1</v>
      </c>
      <c r="D341" s="1">
        <v>5</v>
      </c>
      <c r="E341" s="1">
        <v>0</v>
      </c>
      <c r="F341" s="1" t="s">
        <v>706</v>
      </c>
      <c r="G341" s="1">
        <v>888</v>
      </c>
      <c r="H341" s="1">
        <v>2000</v>
      </c>
      <c r="I341" s="1">
        <v>3</v>
      </c>
      <c r="O341" s="1">
        <v>44</v>
      </c>
      <c r="X341" s="1">
        <v>200001</v>
      </c>
      <c r="Y341" s="1" t="str">
        <f>IFERROR(INDEX([1]物品基础表!$A:$A,MATCH(X341,[1]物品基础表!$B:$B,0)),"")</f>
        <v>羽毛</v>
      </c>
      <c r="Z341" s="1">
        <v>20</v>
      </c>
      <c r="AB341" s="1" t="str">
        <f>IFERROR(INDEX([1]物品基础表!$A:$A,MATCH(AA341,[1]物品基础表!$B:$B,0)),"")</f>
        <v/>
      </c>
      <c r="AE341" s="1" t="str">
        <f>IFERROR(INDEX([1]物品基础表!$A:$A,MATCH(AD341,[1]物品基础表!$B:$B,0)),"")</f>
        <v/>
      </c>
      <c r="AH341" s="1" t="str">
        <f>IFERROR(INDEX([1]物品基础表!$A:$A,MATCH(AG341,[1]物品基础表!$B:$B,0)),"")</f>
        <v/>
      </c>
      <c r="AK341" s="1" t="str">
        <f>IFERROR(INDEX([1]物品基础表!$A:$A,MATCH(AJ341,[1]物品基础表!$B:$B,0)),"")</f>
        <v/>
      </c>
      <c r="AN341" s="1" t="str">
        <f>IFERROR(INDEX([1]物品基础表!$A:$A,MATCH(AM341,[1]物品基础表!$B:$B,0)),"")</f>
        <v/>
      </c>
      <c r="AQ341" s="1" t="str">
        <f>IFERROR(INDEX([1]物品基础表!$A:$A,MATCH(AP341,[1]物品基础表!$B:$B,0)),"")</f>
        <v/>
      </c>
    </row>
    <row r="342" spans="1:43">
      <c r="A342" s="1" t="str">
        <f>INDEX([2]活动总表!$A$8:$A$429,MATCH(B342,[2]活动总表!$B$8:$B$429,0))</f>
        <v>小年限购礼包1（15-60天）</v>
      </c>
      <c r="B342" s="1">
        <v>449</v>
      </c>
      <c r="C342" s="1">
        <v>2</v>
      </c>
      <c r="D342" s="1">
        <v>7</v>
      </c>
      <c r="E342" s="1">
        <v>0</v>
      </c>
      <c r="F342" s="1" t="s">
        <v>706</v>
      </c>
      <c r="G342" s="1">
        <v>1588</v>
      </c>
      <c r="H342" s="1">
        <v>5000</v>
      </c>
      <c r="I342" s="1">
        <v>2</v>
      </c>
      <c r="O342" s="1">
        <v>31</v>
      </c>
      <c r="X342" s="1">
        <v>200001</v>
      </c>
      <c r="Y342" s="1" t="str">
        <f>IFERROR(INDEX([1]物品基础表!$A:$A,MATCH(X342,[1]物品基础表!$B:$B,0)),"")</f>
        <v>羽毛</v>
      </c>
      <c r="Z342" s="1">
        <v>50</v>
      </c>
      <c r="AB342" s="1" t="str">
        <f>IFERROR(INDEX([1]物品基础表!$A:$A,MATCH(AA342,[1]物品基础表!$B:$B,0)),"")</f>
        <v/>
      </c>
      <c r="AE342" s="1" t="str">
        <f>IFERROR(INDEX([1]物品基础表!$A:$A,MATCH(AD342,[1]物品基础表!$B:$B,0)),"")</f>
        <v/>
      </c>
      <c r="AH342" s="1" t="str">
        <f>IFERROR(INDEX([1]物品基础表!$A:$A,MATCH(AG342,[1]物品基础表!$B:$B,0)),"")</f>
        <v/>
      </c>
      <c r="AK342" s="1" t="str">
        <f>IFERROR(INDEX([1]物品基础表!$A:$A,MATCH(AJ342,[1]物品基础表!$B:$B,0)),"")</f>
        <v/>
      </c>
      <c r="AN342" s="1" t="str">
        <f>IFERROR(INDEX([1]物品基础表!$A:$A,MATCH(AM342,[1]物品基础表!$B:$B,0)),"")</f>
        <v/>
      </c>
      <c r="AQ342" s="1" t="str">
        <f>IFERROR(INDEX([1]物品基础表!$A:$A,MATCH(AP342,[1]物品基础表!$B:$B,0)),"")</f>
        <v/>
      </c>
    </row>
    <row r="343" spans="1:43">
      <c r="A343" s="1" t="str">
        <f>INDEX([2]活动总表!$A$8:$A$429,MATCH(B343,[2]活动总表!$B$8:$B$429,0))</f>
        <v>小年限购礼包1（15-60天）</v>
      </c>
      <c r="B343" s="1">
        <v>449</v>
      </c>
      <c r="C343" s="1">
        <v>3</v>
      </c>
      <c r="D343" s="1">
        <v>5</v>
      </c>
      <c r="E343" s="1">
        <v>0</v>
      </c>
      <c r="F343" s="1" t="s">
        <v>706</v>
      </c>
      <c r="G343" s="1">
        <v>2888</v>
      </c>
      <c r="H343" s="1">
        <v>6000</v>
      </c>
      <c r="I343" s="1">
        <v>3</v>
      </c>
      <c r="O343" s="1">
        <v>48</v>
      </c>
      <c r="X343" s="1">
        <v>200001</v>
      </c>
      <c r="Y343" s="1" t="str">
        <f>IFERROR(INDEX([1]物品基础表!$A:$A,MATCH(X343,[1]物品基础表!$B:$B,0)),"")</f>
        <v>羽毛</v>
      </c>
      <c r="Z343" s="1">
        <v>60</v>
      </c>
      <c r="AB343" s="1" t="str">
        <f>IFERROR(INDEX([1]物品基础表!$A:$A,MATCH(AA343,[1]物品基础表!$B:$B,0)),"")</f>
        <v/>
      </c>
      <c r="AE343" s="1" t="str">
        <f>IFERROR(INDEX([1]物品基础表!$A:$A,MATCH(AD343,[1]物品基础表!$B:$B,0)),"")</f>
        <v/>
      </c>
      <c r="AH343" s="1" t="str">
        <f>IFERROR(INDEX([1]物品基础表!$A:$A,MATCH(AG343,[1]物品基础表!$B:$B,0)),"")</f>
        <v/>
      </c>
      <c r="AK343" s="1" t="str">
        <f>IFERROR(INDEX([1]物品基础表!$A:$A,MATCH(AJ343,[1]物品基础表!$B:$B,0)),"")</f>
        <v/>
      </c>
      <c r="AN343" s="1" t="str">
        <f>IFERROR(INDEX([1]物品基础表!$A:$A,MATCH(AM343,[1]物品基础表!$B:$B,0)),"")</f>
        <v/>
      </c>
      <c r="AQ343" s="1" t="str">
        <f>IFERROR(INDEX([1]物品基础表!$A:$A,MATCH(AP343,[1]物品基础表!$B:$B,0)),"")</f>
        <v/>
      </c>
    </row>
    <row r="344" spans="1:43">
      <c r="A344" s="1" t="str">
        <f>INDEX([2]活动总表!$A$8:$A$429,MATCH(B344,[2]活动总表!$B$8:$B$429,0))</f>
        <v>小年限购礼包1（15-60天）</v>
      </c>
      <c r="B344" s="1">
        <v>449</v>
      </c>
      <c r="C344" s="1">
        <v>4</v>
      </c>
      <c r="D344" s="1">
        <v>5</v>
      </c>
      <c r="E344" s="1">
        <v>0</v>
      </c>
      <c r="F344" s="1" t="s">
        <v>706</v>
      </c>
      <c r="G344" s="1">
        <v>8888</v>
      </c>
      <c r="H344" s="1">
        <v>18000</v>
      </c>
      <c r="I344" s="1">
        <v>10</v>
      </c>
      <c r="O344" s="1">
        <v>49</v>
      </c>
      <c r="X344" s="1">
        <v>200001</v>
      </c>
      <c r="Y344" s="1" t="str">
        <f>IFERROR(INDEX([1]物品基础表!$A:$A,MATCH(X344,[1]物品基础表!$B:$B,0)),"")</f>
        <v>羽毛</v>
      </c>
      <c r="Z344" s="1">
        <v>180</v>
      </c>
      <c r="AB344" s="1" t="str">
        <f>IFERROR(INDEX([1]物品基础表!$A:$A,MATCH(AA344,[1]物品基础表!$B:$B,0)),"")</f>
        <v/>
      </c>
      <c r="AE344" s="1" t="str">
        <f>IFERROR(INDEX([1]物品基础表!$A:$A,MATCH(AD344,[1]物品基础表!$B:$B,0)),"")</f>
        <v/>
      </c>
      <c r="AH344" s="1" t="str">
        <f>IFERROR(INDEX([1]物品基础表!$A:$A,MATCH(AG344,[1]物品基础表!$B:$B,0)),"")</f>
        <v/>
      </c>
      <c r="AK344" s="1" t="str">
        <f>IFERROR(INDEX([1]物品基础表!$A:$A,MATCH(AJ344,[1]物品基础表!$B:$B,0)),"")</f>
        <v/>
      </c>
      <c r="AN344" s="1" t="str">
        <f>IFERROR(INDEX([1]物品基础表!$A:$A,MATCH(AM344,[1]物品基础表!$B:$B,0)),"")</f>
        <v/>
      </c>
      <c r="AQ344" s="1" t="str">
        <f>IFERROR(INDEX([1]物品基础表!$A:$A,MATCH(AP344,[1]物品基础表!$B:$B,0)),"")</f>
        <v/>
      </c>
    </row>
    <row r="345" spans="1:43">
      <c r="A345" s="1" t="str">
        <f>INDEX([2]活动总表!$A$8:$A$429,MATCH(B345,[2]活动总表!$B$8:$B$429,0))</f>
        <v>小年限购礼包2（15-60天）</v>
      </c>
      <c r="B345" s="1">
        <v>450</v>
      </c>
      <c r="C345" s="1">
        <v>1</v>
      </c>
      <c r="D345" s="1">
        <v>5</v>
      </c>
      <c r="E345" s="1">
        <v>0</v>
      </c>
      <c r="F345" s="1" t="s">
        <v>706</v>
      </c>
      <c r="G345" s="1">
        <v>888</v>
      </c>
      <c r="H345" s="1">
        <v>2000</v>
      </c>
      <c r="I345" s="1">
        <v>3</v>
      </c>
      <c r="O345" s="1">
        <v>44</v>
      </c>
      <c r="X345" s="1">
        <v>200001</v>
      </c>
      <c r="Y345" s="1" t="str">
        <f>IFERROR(INDEX([1]物品基础表!$A:$A,MATCH(X345,[1]物品基础表!$B:$B,0)),"")</f>
        <v>羽毛</v>
      </c>
      <c r="Z345" s="1">
        <v>20</v>
      </c>
      <c r="AB345" s="1" t="str">
        <f>IFERROR(INDEX([1]物品基础表!$A:$A,MATCH(AA345,[1]物品基础表!$B:$B,0)),"")</f>
        <v/>
      </c>
      <c r="AE345" s="1" t="str">
        <f>IFERROR(INDEX([1]物品基础表!$A:$A,MATCH(AD345,[1]物品基础表!$B:$B,0)),"")</f>
        <v/>
      </c>
      <c r="AH345" s="1" t="str">
        <f>IFERROR(INDEX([1]物品基础表!$A:$A,MATCH(AG345,[1]物品基础表!$B:$B,0)),"")</f>
        <v/>
      </c>
      <c r="AK345" s="1" t="str">
        <f>IFERROR(INDEX([1]物品基础表!$A:$A,MATCH(AJ345,[1]物品基础表!$B:$B,0)),"")</f>
        <v/>
      </c>
      <c r="AN345" s="1" t="str">
        <f>IFERROR(INDEX([1]物品基础表!$A:$A,MATCH(AM345,[1]物品基础表!$B:$B,0)),"")</f>
        <v/>
      </c>
      <c r="AQ345" s="1" t="str">
        <f>IFERROR(INDEX([1]物品基础表!$A:$A,MATCH(AP345,[1]物品基础表!$B:$B,0)),"")</f>
        <v/>
      </c>
    </row>
    <row r="346" spans="1:43">
      <c r="A346" s="1" t="str">
        <f>INDEX([2]活动总表!$A$8:$A$429,MATCH(B346,[2]活动总表!$B$8:$B$429,0))</f>
        <v>小年限购礼包2（15-60天）</v>
      </c>
      <c r="B346" s="1">
        <v>450</v>
      </c>
      <c r="C346" s="1">
        <v>2</v>
      </c>
      <c r="D346" s="1">
        <v>7</v>
      </c>
      <c r="E346" s="1">
        <v>0</v>
      </c>
      <c r="F346" s="1" t="s">
        <v>706</v>
      </c>
      <c r="G346" s="1">
        <v>1588</v>
      </c>
      <c r="H346" s="1">
        <v>5000</v>
      </c>
      <c r="I346" s="1">
        <v>2</v>
      </c>
      <c r="O346" s="1">
        <v>31</v>
      </c>
      <c r="X346" s="1">
        <v>200001</v>
      </c>
      <c r="Y346" s="1" t="str">
        <f>IFERROR(INDEX([1]物品基础表!$A:$A,MATCH(X346,[1]物品基础表!$B:$B,0)),"")</f>
        <v>羽毛</v>
      </c>
      <c r="Z346" s="1">
        <v>50</v>
      </c>
      <c r="AB346" s="1" t="str">
        <f>IFERROR(INDEX([1]物品基础表!$A:$A,MATCH(AA346,[1]物品基础表!$B:$B,0)),"")</f>
        <v/>
      </c>
      <c r="AE346" s="1" t="str">
        <f>IFERROR(INDEX([1]物品基础表!$A:$A,MATCH(AD346,[1]物品基础表!$B:$B,0)),"")</f>
        <v/>
      </c>
      <c r="AH346" s="1" t="str">
        <f>IFERROR(INDEX([1]物品基础表!$A:$A,MATCH(AG346,[1]物品基础表!$B:$B,0)),"")</f>
        <v/>
      </c>
      <c r="AK346" s="1" t="str">
        <f>IFERROR(INDEX([1]物品基础表!$A:$A,MATCH(AJ346,[1]物品基础表!$B:$B,0)),"")</f>
        <v/>
      </c>
      <c r="AN346" s="1" t="str">
        <f>IFERROR(INDEX([1]物品基础表!$A:$A,MATCH(AM346,[1]物品基础表!$B:$B,0)),"")</f>
        <v/>
      </c>
      <c r="AQ346" s="1" t="str">
        <f>IFERROR(INDEX([1]物品基础表!$A:$A,MATCH(AP346,[1]物品基础表!$B:$B,0)),"")</f>
        <v/>
      </c>
    </row>
    <row r="347" spans="1:43">
      <c r="A347" s="1" t="str">
        <f>INDEX([2]活动总表!$A$8:$A$429,MATCH(B347,[2]活动总表!$B$8:$B$429,0))</f>
        <v>小年限购礼包2（15-60天）</v>
      </c>
      <c r="B347" s="1">
        <v>450</v>
      </c>
      <c r="C347" s="1">
        <v>3</v>
      </c>
      <c r="D347" s="1">
        <v>5</v>
      </c>
      <c r="E347" s="1">
        <v>0</v>
      </c>
      <c r="F347" s="1" t="s">
        <v>706</v>
      </c>
      <c r="G347" s="1">
        <v>2888</v>
      </c>
      <c r="H347" s="1">
        <v>6000</v>
      </c>
      <c r="I347" s="1">
        <v>3</v>
      </c>
      <c r="O347" s="1">
        <v>48</v>
      </c>
      <c r="X347" s="1">
        <v>200001</v>
      </c>
      <c r="Y347" s="1" t="str">
        <f>IFERROR(INDEX([1]物品基础表!$A:$A,MATCH(X347,[1]物品基础表!$B:$B,0)),"")</f>
        <v>羽毛</v>
      </c>
      <c r="Z347" s="1">
        <v>60</v>
      </c>
      <c r="AB347" s="1" t="str">
        <f>IFERROR(INDEX([1]物品基础表!$A:$A,MATCH(AA347,[1]物品基础表!$B:$B,0)),"")</f>
        <v/>
      </c>
      <c r="AE347" s="1" t="str">
        <f>IFERROR(INDEX([1]物品基础表!$A:$A,MATCH(AD347,[1]物品基础表!$B:$B,0)),"")</f>
        <v/>
      </c>
      <c r="AH347" s="1" t="str">
        <f>IFERROR(INDEX([1]物品基础表!$A:$A,MATCH(AG347,[1]物品基础表!$B:$B,0)),"")</f>
        <v/>
      </c>
      <c r="AK347" s="1" t="str">
        <f>IFERROR(INDEX([1]物品基础表!$A:$A,MATCH(AJ347,[1]物品基础表!$B:$B,0)),"")</f>
        <v/>
      </c>
      <c r="AN347" s="1" t="str">
        <f>IFERROR(INDEX([1]物品基础表!$A:$A,MATCH(AM347,[1]物品基础表!$B:$B,0)),"")</f>
        <v/>
      </c>
      <c r="AQ347" s="1" t="str">
        <f>IFERROR(INDEX([1]物品基础表!$A:$A,MATCH(AP347,[1]物品基础表!$B:$B,0)),"")</f>
        <v/>
      </c>
    </row>
    <row r="348" spans="1:43">
      <c r="A348" s="1" t="str">
        <f>INDEX([2]活动总表!$A$8:$A$429,MATCH(B348,[2]活动总表!$B$8:$B$429,0))</f>
        <v>小年限购礼包2（15-60天）</v>
      </c>
      <c r="B348" s="1">
        <v>450</v>
      </c>
      <c r="C348" s="1">
        <v>4</v>
      </c>
      <c r="D348" s="1">
        <v>5</v>
      </c>
      <c r="E348" s="1">
        <v>0</v>
      </c>
      <c r="F348" s="1" t="s">
        <v>706</v>
      </c>
      <c r="G348" s="1">
        <v>8888</v>
      </c>
      <c r="H348" s="1">
        <v>18000</v>
      </c>
      <c r="I348" s="1">
        <v>10</v>
      </c>
      <c r="O348" s="1">
        <v>49</v>
      </c>
      <c r="X348" s="1">
        <v>200001</v>
      </c>
      <c r="Y348" s="1" t="str">
        <f>IFERROR(INDEX([1]物品基础表!$A:$A,MATCH(X348,[1]物品基础表!$B:$B,0)),"")</f>
        <v>羽毛</v>
      </c>
      <c r="Z348" s="1">
        <v>180</v>
      </c>
      <c r="AB348" s="1" t="str">
        <f>IFERROR(INDEX([1]物品基础表!$A:$A,MATCH(AA348,[1]物品基础表!$B:$B,0)),"")</f>
        <v/>
      </c>
      <c r="AE348" s="1" t="str">
        <f>IFERROR(INDEX([1]物品基础表!$A:$A,MATCH(AD348,[1]物品基础表!$B:$B,0)),"")</f>
        <v/>
      </c>
      <c r="AH348" s="1" t="str">
        <f>IFERROR(INDEX([1]物品基础表!$A:$A,MATCH(AG348,[1]物品基础表!$B:$B,0)),"")</f>
        <v/>
      </c>
      <c r="AK348" s="1" t="str">
        <f>IFERROR(INDEX([1]物品基础表!$A:$A,MATCH(AJ348,[1]物品基础表!$B:$B,0)),"")</f>
        <v/>
      </c>
      <c r="AN348" s="1" t="str">
        <f>IFERROR(INDEX([1]物品基础表!$A:$A,MATCH(AM348,[1]物品基础表!$B:$B,0)),"")</f>
        <v/>
      </c>
      <c r="AQ348" s="1" t="str">
        <f>IFERROR(INDEX([1]物品基础表!$A:$A,MATCH(AP348,[1]物品基础表!$B:$B,0)),"")</f>
        <v/>
      </c>
    </row>
    <row r="349" spans="1:43">
      <c r="A349" s="1" t="str">
        <f>INDEX([2]活动总表!$A$8:$A$429,MATCH(B349,[2]活动总表!$B$8:$B$429,0))</f>
        <v>小年限购礼包3（15-60天）</v>
      </c>
      <c r="B349" s="1">
        <v>451</v>
      </c>
      <c r="C349" s="1">
        <v>1</v>
      </c>
      <c r="D349" s="1">
        <v>5</v>
      </c>
      <c r="E349" s="1">
        <v>0</v>
      </c>
      <c r="F349" s="1" t="s">
        <v>706</v>
      </c>
      <c r="G349" s="1">
        <v>888</v>
      </c>
      <c r="H349" s="1">
        <v>2000</v>
      </c>
      <c r="I349" s="1">
        <v>3</v>
      </c>
      <c r="O349" s="1">
        <v>44</v>
      </c>
      <c r="X349" s="1">
        <v>200001</v>
      </c>
      <c r="Y349" s="1" t="str">
        <f>IFERROR(INDEX([1]物品基础表!$A:$A,MATCH(X349,[1]物品基础表!$B:$B,0)),"")</f>
        <v>羽毛</v>
      </c>
      <c r="Z349" s="1">
        <v>20</v>
      </c>
      <c r="AB349" s="1" t="str">
        <f>IFERROR(INDEX([1]物品基础表!$A:$A,MATCH(AA349,[1]物品基础表!$B:$B,0)),"")</f>
        <v/>
      </c>
      <c r="AE349" s="1" t="str">
        <f>IFERROR(INDEX([1]物品基础表!$A:$A,MATCH(AD349,[1]物品基础表!$B:$B,0)),"")</f>
        <v/>
      </c>
      <c r="AH349" s="1" t="str">
        <f>IFERROR(INDEX([1]物品基础表!$A:$A,MATCH(AG349,[1]物品基础表!$B:$B,0)),"")</f>
        <v/>
      </c>
      <c r="AK349" s="1" t="str">
        <f>IFERROR(INDEX([1]物品基础表!$A:$A,MATCH(AJ349,[1]物品基础表!$B:$B,0)),"")</f>
        <v/>
      </c>
      <c r="AN349" s="1" t="str">
        <f>IFERROR(INDEX([1]物品基础表!$A:$A,MATCH(AM349,[1]物品基础表!$B:$B,0)),"")</f>
        <v/>
      </c>
      <c r="AQ349" s="1" t="str">
        <f>IFERROR(INDEX([1]物品基础表!$A:$A,MATCH(AP349,[1]物品基础表!$B:$B,0)),"")</f>
        <v/>
      </c>
    </row>
    <row r="350" spans="1:43">
      <c r="A350" s="1" t="str">
        <f>INDEX([2]活动总表!$A$8:$A$429,MATCH(B350,[2]活动总表!$B$8:$B$429,0))</f>
        <v>小年限购礼包3（15-60天）</v>
      </c>
      <c r="B350" s="1">
        <v>451</v>
      </c>
      <c r="C350" s="1">
        <v>2</v>
      </c>
      <c r="D350" s="1">
        <v>7</v>
      </c>
      <c r="E350" s="1">
        <v>0</v>
      </c>
      <c r="F350" s="1" t="s">
        <v>706</v>
      </c>
      <c r="G350" s="1">
        <v>1588</v>
      </c>
      <c r="H350" s="1">
        <v>5000</v>
      </c>
      <c r="I350" s="1">
        <v>2</v>
      </c>
      <c r="O350" s="1">
        <v>31</v>
      </c>
      <c r="X350" s="1">
        <v>200001</v>
      </c>
      <c r="Y350" s="1" t="str">
        <f>IFERROR(INDEX([1]物品基础表!$A:$A,MATCH(X350,[1]物品基础表!$B:$B,0)),"")</f>
        <v>羽毛</v>
      </c>
      <c r="Z350" s="1">
        <v>50</v>
      </c>
      <c r="AB350" s="1" t="str">
        <f>IFERROR(INDEX([1]物品基础表!$A:$A,MATCH(AA350,[1]物品基础表!$B:$B,0)),"")</f>
        <v/>
      </c>
      <c r="AE350" s="1" t="str">
        <f>IFERROR(INDEX([1]物品基础表!$A:$A,MATCH(AD350,[1]物品基础表!$B:$B,0)),"")</f>
        <v/>
      </c>
      <c r="AH350" s="1" t="str">
        <f>IFERROR(INDEX([1]物品基础表!$A:$A,MATCH(AG350,[1]物品基础表!$B:$B,0)),"")</f>
        <v/>
      </c>
      <c r="AK350" s="1" t="str">
        <f>IFERROR(INDEX([1]物品基础表!$A:$A,MATCH(AJ350,[1]物品基础表!$B:$B,0)),"")</f>
        <v/>
      </c>
      <c r="AN350" s="1" t="str">
        <f>IFERROR(INDEX([1]物品基础表!$A:$A,MATCH(AM350,[1]物品基础表!$B:$B,0)),"")</f>
        <v/>
      </c>
      <c r="AQ350" s="1" t="str">
        <f>IFERROR(INDEX([1]物品基础表!$A:$A,MATCH(AP350,[1]物品基础表!$B:$B,0)),"")</f>
        <v/>
      </c>
    </row>
    <row r="351" spans="1:43">
      <c r="A351" s="1" t="str">
        <f>INDEX([2]活动总表!$A$8:$A$429,MATCH(B351,[2]活动总表!$B$8:$B$429,0))</f>
        <v>小年限购礼包3（15-60天）</v>
      </c>
      <c r="B351" s="1">
        <v>451</v>
      </c>
      <c r="C351" s="1">
        <v>3</v>
      </c>
      <c r="D351" s="1">
        <v>5</v>
      </c>
      <c r="E351" s="1">
        <v>0</v>
      </c>
      <c r="F351" s="1" t="s">
        <v>706</v>
      </c>
      <c r="G351" s="1">
        <v>2888</v>
      </c>
      <c r="H351" s="1">
        <v>6000</v>
      </c>
      <c r="I351" s="1">
        <v>3</v>
      </c>
      <c r="O351" s="1">
        <v>48</v>
      </c>
      <c r="X351" s="1">
        <v>200001</v>
      </c>
      <c r="Y351" s="1" t="str">
        <f>IFERROR(INDEX([1]物品基础表!$A:$A,MATCH(X351,[1]物品基础表!$B:$B,0)),"")</f>
        <v>羽毛</v>
      </c>
      <c r="Z351" s="1">
        <v>60</v>
      </c>
      <c r="AB351" s="1" t="str">
        <f>IFERROR(INDEX([1]物品基础表!$A:$A,MATCH(AA351,[1]物品基础表!$B:$B,0)),"")</f>
        <v/>
      </c>
      <c r="AE351" s="1" t="str">
        <f>IFERROR(INDEX([1]物品基础表!$A:$A,MATCH(AD351,[1]物品基础表!$B:$B,0)),"")</f>
        <v/>
      </c>
      <c r="AH351" s="1" t="str">
        <f>IFERROR(INDEX([1]物品基础表!$A:$A,MATCH(AG351,[1]物品基础表!$B:$B,0)),"")</f>
        <v/>
      </c>
      <c r="AK351" s="1" t="str">
        <f>IFERROR(INDEX([1]物品基础表!$A:$A,MATCH(AJ351,[1]物品基础表!$B:$B,0)),"")</f>
        <v/>
      </c>
      <c r="AN351" s="1" t="str">
        <f>IFERROR(INDEX([1]物品基础表!$A:$A,MATCH(AM351,[1]物品基础表!$B:$B,0)),"")</f>
        <v/>
      </c>
      <c r="AQ351" s="1" t="str">
        <f>IFERROR(INDEX([1]物品基础表!$A:$A,MATCH(AP351,[1]物品基础表!$B:$B,0)),"")</f>
        <v/>
      </c>
    </row>
    <row r="352" spans="1:43">
      <c r="A352" s="1" t="str">
        <f>INDEX([2]活动总表!$A$8:$A$429,MATCH(B352,[2]活动总表!$B$8:$B$429,0))</f>
        <v>小年限购礼包3（15-60天）</v>
      </c>
      <c r="B352" s="1">
        <v>451</v>
      </c>
      <c r="C352" s="1">
        <v>4</v>
      </c>
      <c r="D352" s="1">
        <v>5</v>
      </c>
      <c r="E352" s="1">
        <v>0</v>
      </c>
      <c r="F352" s="1" t="s">
        <v>706</v>
      </c>
      <c r="G352" s="1">
        <v>8888</v>
      </c>
      <c r="H352" s="1">
        <v>18000</v>
      </c>
      <c r="I352" s="1">
        <v>10</v>
      </c>
      <c r="O352" s="1">
        <v>49</v>
      </c>
      <c r="X352" s="1">
        <v>200001</v>
      </c>
      <c r="Y352" s="1" t="str">
        <f>IFERROR(INDEX([1]物品基础表!$A:$A,MATCH(X352,[1]物品基础表!$B:$B,0)),"")</f>
        <v>羽毛</v>
      </c>
      <c r="Z352" s="1">
        <v>180</v>
      </c>
      <c r="AB352" s="1" t="str">
        <f>IFERROR(INDEX([1]物品基础表!$A:$A,MATCH(AA352,[1]物品基础表!$B:$B,0)),"")</f>
        <v/>
      </c>
      <c r="AE352" s="1" t="str">
        <f>IFERROR(INDEX([1]物品基础表!$A:$A,MATCH(AD352,[1]物品基础表!$B:$B,0)),"")</f>
        <v/>
      </c>
      <c r="AH352" s="1" t="str">
        <f>IFERROR(INDEX([1]物品基础表!$A:$A,MATCH(AG352,[1]物品基础表!$B:$B,0)),"")</f>
        <v/>
      </c>
      <c r="AK352" s="1" t="str">
        <f>IFERROR(INDEX([1]物品基础表!$A:$A,MATCH(AJ352,[1]物品基础表!$B:$B,0)),"")</f>
        <v/>
      </c>
      <c r="AN352" s="1" t="str">
        <f>IFERROR(INDEX([1]物品基础表!$A:$A,MATCH(AM352,[1]物品基础表!$B:$B,0)),"")</f>
        <v/>
      </c>
      <c r="AQ352" s="1" t="str">
        <f>IFERROR(INDEX([1]物品基础表!$A:$A,MATCH(AP352,[1]物品基础表!$B:$B,0)),"")</f>
        <v/>
      </c>
    </row>
    <row r="353" spans="1:44">
      <c r="A353" s="1" t="str">
        <f>INDEX([2]活动总表!$A$8:$A$429,MATCH(B353,[2]活动总表!$B$8:$B$429,0))</f>
        <v>小年限购礼包1（61天以上）</v>
      </c>
      <c r="B353" s="1">
        <v>457</v>
      </c>
      <c r="C353" s="1">
        <v>1</v>
      </c>
      <c r="D353" s="1">
        <v>5</v>
      </c>
      <c r="E353" s="1">
        <v>0</v>
      </c>
      <c r="F353" s="1" t="s">
        <v>706</v>
      </c>
      <c r="G353" s="1">
        <v>888</v>
      </c>
      <c r="H353" s="1">
        <v>2000</v>
      </c>
      <c r="I353" s="1">
        <v>3</v>
      </c>
      <c r="O353" s="1">
        <v>44</v>
      </c>
      <c r="X353" s="1">
        <v>200001</v>
      </c>
      <c r="Y353" s="1" t="str">
        <f>IFERROR(INDEX([1]物品基础表!$A:$A,MATCH(X353,[1]物品基础表!$B:$B,0)),"")</f>
        <v>羽毛</v>
      </c>
      <c r="Z353" s="1">
        <v>20</v>
      </c>
      <c r="AB353" s="1" t="str">
        <f>IFERROR(INDEX([1]物品基础表!$A:$A,MATCH(AA353,[1]物品基础表!$B:$B,0)),"")</f>
        <v/>
      </c>
      <c r="AE353" s="1" t="str">
        <f>IFERROR(INDEX([1]物品基础表!$A:$A,MATCH(AD353,[1]物品基础表!$B:$B,0)),"")</f>
        <v/>
      </c>
      <c r="AH353" s="1" t="str">
        <f>IFERROR(INDEX([1]物品基础表!$A:$A,MATCH(AG353,[1]物品基础表!$B:$B,0)),"")</f>
        <v/>
      </c>
      <c r="AK353" s="1" t="str">
        <f>IFERROR(INDEX([1]物品基础表!$A:$A,MATCH(AJ353,[1]物品基础表!$B:$B,0)),"")</f>
        <v/>
      </c>
      <c r="AN353" s="1" t="str">
        <f>IFERROR(INDEX([1]物品基础表!$A:$A,MATCH(AM353,[1]物品基础表!$B:$B,0)),"")</f>
        <v/>
      </c>
      <c r="AQ353" s="1" t="str">
        <f>IFERROR(INDEX([1]物品基础表!$A:$A,MATCH(AP353,[1]物品基础表!$B:$B,0)),"")</f>
        <v/>
      </c>
    </row>
    <row r="354" spans="1:44">
      <c r="A354" s="1" t="str">
        <f>INDEX([2]活动总表!$A$8:$A$429,MATCH(B354,[2]活动总表!$B$8:$B$429,0))</f>
        <v>小年限购礼包1（61天以上）</v>
      </c>
      <c r="B354" s="1">
        <v>457</v>
      </c>
      <c r="C354" s="1">
        <v>2</v>
      </c>
      <c r="D354" s="1">
        <v>7</v>
      </c>
      <c r="E354" s="1">
        <v>0</v>
      </c>
      <c r="F354" s="1" t="s">
        <v>706</v>
      </c>
      <c r="G354" s="1">
        <v>1588</v>
      </c>
      <c r="H354" s="1">
        <v>5000</v>
      </c>
      <c r="I354" s="1">
        <v>2</v>
      </c>
      <c r="O354" s="1">
        <v>31</v>
      </c>
      <c r="X354" s="1">
        <v>200001</v>
      </c>
      <c r="Y354" s="1" t="str">
        <f>IFERROR(INDEX([1]物品基础表!$A:$A,MATCH(X354,[1]物品基础表!$B:$B,0)),"")</f>
        <v>羽毛</v>
      </c>
      <c r="Z354" s="1">
        <v>50</v>
      </c>
      <c r="AB354" s="1" t="str">
        <f>IFERROR(INDEX([1]物品基础表!$A:$A,MATCH(AA354,[1]物品基础表!$B:$B,0)),"")</f>
        <v/>
      </c>
      <c r="AE354" s="1" t="str">
        <f>IFERROR(INDEX([1]物品基础表!$A:$A,MATCH(AD354,[1]物品基础表!$B:$B,0)),"")</f>
        <v/>
      </c>
      <c r="AH354" s="1" t="str">
        <f>IFERROR(INDEX([1]物品基础表!$A:$A,MATCH(AG354,[1]物品基础表!$B:$B,0)),"")</f>
        <v/>
      </c>
      <c r="AK354" s="1" t="str">
        <f>IFERROR(INDEX([1]物品基础表!$A:$A,MATCH(AJ354,[1]物品基础表!$B:$B,0)),"")</f>
        <v/>
      </c>
      <c r="AN354" s="1" t="str">
        <f>IFERROR(INDEX([1]物品基础表!$A:$A,MATCH(AM354,[1]物品基础表!$B:$B,0)),"")</f>
        <v/>
      </c>
      <c r="AQ354" s="1" t="str">
        <f>IFERROR(INDEX([1]物品基础表!$A:$A,MATCH(AP354,[1]物品基础表!$B:$B,0)),"")</f>
        <v/>
      </c>
    </row>
    <row r="355" spans="1:44">
      <c r="A355" s="1" t="str">
        <f>INDEX([2]活动总表!$A$8:$A$429,MATCH(B355,[2]活动总表!$B$8:$B$429,0))</f>
        <v>小年限购礼包1（61天以上）</v>
      </c>
      <c r="B355" s="1">
        <v>457</v>
      </c>
      <c r="C355" s="1">
        <v>3</v>
      </c>
      <c r="D355" s="1">
        <v>7</v>
      </c>
      <c r="E355" s="1">
        <v>0</v>
      </c>
      <c r="F355" s="1" t="s">
        <v>706</v>
      </c>
      <c r="G355" s="1">
        <v>2888</v>
      </c>
      <c r="H355" s="1">
        <v>8500</v>
      </c>
      <c r="I355" s="1">
        <v>2</v>
      </c>
      <c r="O355" s="1">
        <v>33</v>
      </c>
      <c r="X355" s="1">
        <v>200001</v>
      </c>
      <c r="Y355" s="1" t="str">
        <f>IFERROR(INDEX([1]物品基础表!$A:$A,MATCH(X355,[1]物品基础表!$B:$B,0)),"")</f>
        <v>羽毛</v>
      </c>
      <c r="Z355" s="1">
        <v>85</v>
      </c>
      <c r="AB355" s="1" t="str">
        <f>IFERROR(INDEX([1]物品基础表!$A:$A,MATCH(AA355,[1]物品基础表!$B:$B,0)),"")</f>
        <v/>
      </c>
      <c r="AE355" s="1" t="str">
        <f>IFERROR(INDEX([1]物品基础表!$A:$A,MATCH(AD355,[1]物品基础表!$B:$B,0)),"")</f>
        <v/>
      </c>
      <c r="AH355" s="1" t="str">
        <f>IFERROR(INDEX([1]物品基础表!$A:$A,MATCH(AG355,[1]物品基础表!$B:$B,0)),"")</f>
        <v/>
      </c>
      <c r="AK355" s="1" t="str">
        <f>IFERROR(INDEX([1]物品基础表!$A:$A,MATCH(AJ355,[1]物品基础表!$B:$B,0)),"")</f>
        <v/>
      </c>
      <c r="AN355" s="1" t="str">
        <f>IFERROR(INDEX([1]物品基础表!$A:$A,MATCH(AM355,[1]物品基础表!$B:$B,0)),"")</f>
        <v/>
      </c>
      <c r="AQ355" s="1" t="str">
        <f>IFERROR(INDEX([1]物品基础表!$A:$A,MATCH(AP355,[1]物品基础表!$B:$B,0)),"")</f>
        <v/>
      </c>
    </row>
    <row r="356" spans="1:44">
      <c r="A356" s="1" t="str">
        <f>INDEX([2]活动总表!$A$8:$A$429,MATCH(B356,[2]活动总表!$B$8:$B$429,0))</f>
        <v>小年限购礼包1（61天以上）</v>
      </c>
      <c r="B356" s="1">
        <v>457</v>
      </c>
      <c r="C356" s="1">
        <v>4</v>
      </c>
      <c r="D356" s="1">
        <v>5</v>
      </c>
      <c r="E356" s="1">
        <v>0</v>
      </c>
      <c r="F356" s="1" t="s">
        <v>706</v>
      </c>
      <c r="G356" s="1">
        <v>2888</v>
      </c>
      <c r="H356" s="1">
        <v>6000</v>
      </c>
      <c r="I356" s="1">
        <v>3</v>
      </c>
      <c r="O356" s="1">
        <v>48</v>
      </c>
      <c r="X356" s="1">
        <v>200001</v>
      </c>
      <c r="Y356" s="1" t="str">
        <f>IFERROR(INDEX([1]物品基础表!$A:$A,MATCH(X356,[1]物品基础表!$B:$B,0)),"")</f>
        <v>羽毛</v>
      </c>
      <c r="Z356" s="1">
        <v>60</v>
      </c>
      <c r="AB356" s="1" t="str">
        <f>IFERROR(INDEX([1]物品基础表!$A:$A,MATCH(AA356,[1]物品基础表!$B:$B,0)),"")</f>
        <v/>
      </c>
      <c r="AE356" s="1" t="str">
        <f>IFERROR(INDEX([1]物品基础表!$A:$A,MATCH(AD356,[1]物品基础表!$B:$B,0)),"")</f>
        <v/>
      </c>
      <c r="AH356" s="1" t="str">
        <f>IFERROR(INDEX([1]物品基础表!$A:$A,MATCH(AG356,[1]物品基础表!$B:$B,0)),"")</f>
        <v/>
      </c>
      <c r="AK356" s="1" t="str">
        <f>IFERROR(INDEX([1]物品基础表!$A:$A,MATCH(AJ356,[1]物品基础表!$B:$B,0)),"")</f>
        <v/>
      </c>
      <c r="AN356" s="1" t="str">
        <f>IFERROR(INDEX([1]物品基础表!$A:$A,MATCH(AM356,[1]物品基础表!$B:$B,0)),"")</f>
        <v/>
      </c>
      <c r="AQ356" s="1" t="str">
        <f>IFERROR(INDEX([1]物品基础表!$A:$A,MATCH(AP356,[1]物品基础表!$B:$B,0)),"")</f>
        <v/>
      </c>
    </row>
    <row r="357" spans="1:44">
      <c r="A357" s="1" t="str">
        <f>INDEX([2]活动总表!$A$8:$A$429,MATCH(B357,[2]活动总表!$B$8:$B$429,0))</f>
        <v>小年限购礼包1（61天以上）</v>
      </c>
      <c r="B357" s="1">
        <v>457</v>
      </c>
      <c r="C357" s="1">
        <v>5</v>
      </c>
      <c r="D357" s="1">
        <v>5</v>
      </c>
      <c r="E357" s="1">
        <v>0</v>
      </c>
      <c r="F357" s="1" t="s">
        <v>706</v>
      </c>
      <c r="G357" s="1">
        <v>8888</v>
      </c>
      <c r="H357" s="1">
        <v>18000</v>
      </c>
      <c r="I357" s="1">
        <v>10</v>
      </c>
      <c r="O357" s="1">
        <v>49</v>
      </c>
      <c r="X357" s="1">
        <v>200001</v>
      </c>
      <c r="Y357" s="1" t="str">
        <f>IFERROR(INDEX([1]物品基础表!$A:$A,MATCH(X357,[1]物品基础表!$B:$B,0)),"")</f>
        <v>羽毛</v>
      </c>
      <c r="Z357" s="1">
        <v>180</v>
      </c>
      <c r="AB357" s="1" t="str">
        <f>IFERROR(INDEX([1]物品基础表!$A:$A,MATCH(AA357,[1]物品基础表!$B:$B,0)),"")</f>
        <v/>
      </c>
      <c r="AE357" s="1" t="str">
        <f>IFERROR(INDEX([1]物品基础表!$A:$A,MATCH(AD357,[1]物品基础表!$B:$B,0)),"")</f>
        <v/>
      </c>
      <c r="AH357" s="1" t="str">
        <f>IFERROR(INDEX([1]物品基础表!$A:$A,MATCH(AG357,[1]物品基础表!$B:$B,0)),"")</f>
        <v/>
      </c>
      <c r="AK357" s="1" t="str">
        <f>IFERROR(INDEX([1]物品基础表!$A:$A,MATCH(AJ357,[1]物品基础表!$B:$B,0)),"")</f>
        <v/>
      </c>
      <c r="AN357" s="1" t="str">
        <f>IFERROR(INDEX([1]物品基础表!$A:$A,MATCH(AM357,[1]物品基础表!$B:$B,0)),"")</f>
        <v/>
      </c>
      <c r="AQ357" s="1" t="str">
        <f>IFERROR(INDEX([1]物品基础表!$A:$A,MATCH(AP357,[1]物品基础表!$B:$B,0)),"")</f>
        <v/>
      </c>
    </row>
    <row r="358" spans="1:44">
      <c r="A358" s="1" t="str">
        <f>INDEX([2]活动总表!$A$8:$A$429,MATCH(B358,[2]活动总表!$B$8:$B$429,0))</f>
        <v>小年限购礼包2（61天以上）</v>
      </c>
      <c r="B358" s="1">
        <v>458</v>
      </c>
      <c r="C358" s="1">
        <v>1</v>
      </c>
      <c r="D358" s="1">
        <v>5</v>
      </c>
      <c r="E358" s="1">
        <v>0</v>
      </c>
      <c r="F358" s="1" t="s">
        <v>706</v>
      </c>
      <c r="G358" s="1">
        <v>888</v>
      </c>
      <c r="H358" s="1">
        <v>2000</v>
      </c>
      <c r="I358" s="1">
        <v>3</v>
      </c>
      <c r="O358" s="1">
        <v>44</v>
      </c>
      <c r="X358" s="1">
        <v>200001</v>
      </c>
      <c r="Y358" s="1" t="str">
        <f>IFERROR(INDEX([1]物品基础表!$A:$A,MATCH(X358,[1]物品基础表!$B:$B,0)),"")</f>
        <v>羽毛</v>
      </c>
      <c r="Z358" s="1">
        <v>20</v>
      </c>
      <c r="AB358" s="1" t="str">
        <f>IFERROR(INDEX([1]物品基础表!$A:$A,MATCH(AA358,[1]物品基础表!$B:$B,0)),"")</f>
        <v/>
      </c>
      <c r="AE358" s="1" t="str">
        <f>IFERROR(INDEX([1]物品基础表!$A:$A,MATCH(AD358,[1]物品基础表!$B:$B,0)),"")</f>
        <v/>
      </c>
      <c r="AH358" s="1" t="str">
        <f>IFERROR(INDEX([1]物品基础表!$A:$A,MATCH(AG358,[1]物品基础表!$B:$B,0)),"")</f>
        <v/>
      </c>
      <c r="AK358" s="1" t="str">
        <f>IFERROR(INDEX([1]物品基础表!$A:$A,MATCH(AJ358,[1]物品基础表!$B:$B,0)),"")</f>
        <v/>
      </c>
      <c r="AN358" s="1" t="str">
        <f>IFERROR(INDEX([1]物品基础表!$A:$A,MATCH(AM358,[1]物品基础表!$B:$B,0)),"")</f>
        <v/>
      </c>
      <c r="AQ358" s="1" t="str">
        <f>IFERROR(INDEX([1]物品基础表!$A:$A,MATCH(AP358,[1]物品基础表!$B:$B,0)),"")</f>
        <v/>
      </c>
    </row>
    <row r="359" spans="1:44">
      <c r="A359" s="1" t="str">
        <f>INDEX([2]活动总表!$A$8:$A$429,MATCH(B359,[2]活动总表!$B$8:$B$429,0))</f>
        <v>小年限购礼包2（61天以上）</v>
      </c>
      <c r="B359" s="1">
        <v>458</v>
      </c>
      <c r="C359" s="1">
        <v>2</v>
      </c>
      <c r="D359" s="1">
        <v>7</v>
      </c>
      <c r="E359" s="1">
        <v>0</v>
      </c>
      <c r="F359" s="1" t="s">
        <v>706</v>
      </c>
      <c r="G359" s="1">
        <v>1588</v>
      </c>
      <c r="H359" s="1">
        <v>5000</v>
      </c>
      <c r="I359" s="1">
        <v>2</v>
      </c>
      <c r="O359" s="1">
        <v>31</v>
      </c>
      <c r="X359" s="1">
        <v>200001</v>
      </c>
      <c r="Y359" s="1" t="str">
        <f>IFERROR(INDEX([1]物品基础表!$A:$A,MATCH(X359,[1]物品基础表!$B:$B,0)),"")</f>
        <v>羽毛</v>
      </c>
      <c r="Z359" s="1">
        <v>50</v>
      </c>
      <c r="AB359" s="1" t="str">
        <f>IFERROR(INDEX([1]物品基础表!$A:$A,MATCH(AA359,[1]物品基础表!$B:$B,0)),"")</f>
        <v/>
      </c>
      <c r="AE359" s="1" t="str">
        <f>IFERROR(INDEX([1]物品基础表!$A:$A,MATCH(AD359,[1]物品基础表!$B:$B,0)),"")</f>
        <v/>
      </c>
      <c r="AH359" s="1" t="str">
        <f>IFERROR(INDEX([1]物品基础表!$A:$A,MATCH(AG359,[1]物品基础表!$B:$B,0)),"")</f>
        <v/>
      </c>
      <c r="AK359" s="1" t="str">
        <f>IFERROR(INDEX([1]物品基础表!$A:$A,MATCH(AJ359,[1]物品基础表!$B:$B,0)),"")</f>
        <v/>
      </c>
      <c r="AN359" s="1" t="str">
        <f>IFERROR(INDEX([1]物品基础表!$A:$A,MATCH(AM359,[1]物品基础表!$B:$B,0)),"")</f>
        <v/>
      </c>
      <c r="AQ359" s="1" t="str">
        <f>IFERROR(INDEX([1]物品基础表!$A:$A,MATCH(AP359,[1]物品基础表!$B:$B,0)),"")</f>
        <v/>
      </c>
    </row>
    <row r="360" spans="1:44">
      <c r="A360" s="1" t="str">
        <f>INDEX([2]活动总表!$A$8:$A$429,MATCH(B360,[2]活动总表!$B$8:$B$429,0))</f>
        <v>小年限购礼包2（61天以上）</v>
      </c>
      <c r="B360" s="1">
        <v>458</v>
      </c>
      <c r="C360" s="1">
        <v>3</v>
      </c>
      <c r="D360" s="1">
        <v>7</v>
      </c>
      <c r="E360" s="1">
        <v>0</v>
      </c>
      <c r="F360" s="1" t="s">
        <v>706</v>
      </c>
      <c r="G360" s="1">
        <v>2888</v>
      </c>
      <c r="H360" s="1">
        <v>8500</v>
      </c>
      <c r="I360" s="1">
        <v>2</v>
      </c>
      <c r="O360" s="1">
        <v>33</v>
      </c>
      <c r="X360" s="1">
        <v>200001</v>
      </c>
      <c r="Y360" s="1" t="str">
        <f>IFERROR(INDEX([1]物品基础表!$A:$A,MATCH(X360,[1]物品基础表!$B:$B,0)),"")</f>
        <v>羽毛</v>
      </c>
      <c r="Z360" s="1">
        <v>85</v>
      </c>
      <c r="AB360" s="1" t="str">
        <f>IFERROR(INDEX([1]物品基础表!$A:$A,MATCH(AA360,[1]物品基础表!$B:$B,0)),"")</f>
        <v/>
      </c>
      <c r="AE360" s="1" t="str">
        <f>IFERROR(INDEX([1]物品基础表!$A:$A,MATCH(AD360,[1]物品基础表!$B:$B,0)),"")</f>
        <v/>
      </c>
      <c r="AH360" s="1" t="str">
        <f>IFERROR(INDEX([1]物品基础表!$A:$A,MATCH(AG360,[1]物品基础表!$B:$B,0)),"")</f>
        <v/>
      </c>
      <c r="AK360" s="1" t="str">
        <f>IFERROR(INDEX([1]物品基础表!$A:$A,MATCH(AJ360,[1]物品基础表!$B:$B,0)),"")</f>
        <v/>
      </c>
      <c r="AN360" s="1" t="str">
        <f>IFERROR(INDEX([1]物品基础表!$A:$A,MATCH(AM360,[1]物品基础表!$B:$B,0)),"")</f>
        <v/>
      </c>
      <c r="AQ360" s="1" t="str">
        <f>IFERROR(INDEX([1]物品基础表!$A:$A,MATCH(AP360,[1]物品基础表!$B:$B,0)),"")</f>
        <v/>
      </c>
    </row>
    <row r="361" spans="1:44">
      <c r="A361" s="1" t="str">
        <f>INDEX([2]活动总表!$A$8:$A$429,MATCH(B361,[2]活动总表!$B$8:$B$429,0))</f>
        <v>小年限购礼包2（61天以上）</v>
      </c>
      <c r="B361" s="1">
        <v>458</v>
      </c>
      <c r="C361" s="1">
        <v>4</v>
      </c>
      <c r="D361" s="1">
        <v>5</v>
      </c>
      <c r="E361" s="1">
        <v>0</v>
      </c>
      <c r="F361" s="1" t="s">
        <v>706</v>
      </c>
      <c r="G361" s="1">
        <v>2888</v>
      </c>
      <c r="H361" s="1">
        <v>6000</v>
      </c>
      <c r="I361" s="1">
        <v>3</v>
      </c>
      <c r="O361" s="1">
        <v>48</v>
      </c>
      <c r="X361" s="1">
        <v>200001</v>
      </c>
      <c r="Y361" s="1" t="str">
        <f>IFERROR(INDEX([1]物品基础表!$A:$A,MATCH(X361,[1]物品基础表!$B:$B,0)),"")</f>
        <v>羽毛</v>
      </c>
      <c r="Z361" s="1">
        <v>60</v>
      </c>
      <c r="AB361" s="1" t="str">
        <f>IFERROR(INDEX([1]物品基础表!$A:$A,MATCH(AA361,[1]物品基础表!$B:$B,0)),"")</f>
        <v/>
      </c>
      <c r="AE361" s="1" t="str">
        <f>IFERROR(INDEX([1]物品基础表!$A:$A,MATCH(AD361,[1]物品基础表!$B:$B,0)),"")</f>
        <v/>
      </c>
      <c r="AH361" s="1" t="str">
        <f>IFERROR(INDEX([1]物品基础表!$A:$A,MATCH(AG361,[1]物品基础表!$B:$B,0)),"")</f>
        <v/>
      </c>
      <c r="AK361" s="1" t="str">
        <f>IFERROR(INDEX([1]物品基础表!$A:$A,MATCH(AJ361,[1]物品基础表!$B:$B,0)),"")</f>
        <v/>
      </c>
      <c r="AN361" s="1" t="str">
        <f>IFERROR(INDEX([1]物品基础表!$A:$A,MATCH(AM361,[1]物品基础表!$B:$B,0)),"")</f>
        <v/>
      </c>
      <c r="AQ361" s="1" t="str">
        <f>IFERROR(INDEX([1]物品基础表!$A:$A,MATCH(AP361,[1]物品基础表!$B:$B,0)),"")</f>
        <v/>
      </c>
    </row>
    <row r="362" spans="1:44">
      <c r="A362" s="1" t="str">
        <f>INDEX([2]活动总表!$A$8:$A$429,MATCH(B362,[2]活动总表!$B$8:$B$429,0))</f>
        <v>小年限购礼包2（61天以上）</v>
      </c>
      <c r="B362" s="1">
        <v>458</v>
      </c>
      <c r="C362" s="1">
        <v>5</v>
      </c>
      <c r="D362" s="1">
        <v>5</v>
      </c>
      <c r="E362" s="1">
        <v>0</v>
      </c>
      <c r="F362" s="1" t="s">
        <v>706</v>
      </c>
      <c r="G362" s="1">
        <v>8888</v>
      </c>
      <c r="H362" s="1">
        <v>18000</v>
      </c>
      <c r="I362" s="1">
        <v>10</v>
      </c>
      <c r="O362" s="1">
        <v>49</v>
      </c>
      <c r="X362" s="1">
        <v>200001</v>
      </c>
      <c r="Y362" s="1" t="str">
        <f>IFERROR(INDEX([1]物品基础表!$A:$A,MATCH(X362,[1]物品基础表!$B:$B,0)),"")</f>
        <v>羽毛</v>
      </c>
      <c r="Z362" s="1">
        <v>180</v>
      </c>
      <c r="AB362" s="1" t="str">
        <f>IFERROR(INDEX([1]物品基础表!$A:$A,MATCH(AA362,[1]物品基础表!$B:$B,0)),"")</f>
        <v/>
      </c>
      <c r="AE362" s="1" t="str">
        <f>IFERROR(INDEX([1]物品基础表!$A:$A,MATCH(AD362,[1]物品基础表!$B:$B,0)),"")</f>
        <v/>
      </c>
      <c r="AH362" s="1" t="str">
        <f>IFERROR(INDEX([1]物品基础表!$A:$A,MATCH(AG362,[1]物品基础表!$B:$B,0)),"")</f>
        <v/>
      </c>
      <c r="AK362" s="1" t="str">
        <f>IFERROR(INDEX([1]物品基础表!$A:$A,MATCH(AJ362,[1]物品基础表!$B:$B,0)),"")</f>
        <v/>
      </c>
      <c r="AN362" s="1" t="str">
        <f>IFERROR(INDEX([1]物品基础表!$A:$A,MATCH(AM362,[1]物品基础表!$B:$B,0)),"")</f>
        <v/>
      </c>
      <c r="AQ362" s="1" t="str">
        <f>IFERROR(INDEX([1]物品基础表!$A:$A,MATCH(AP362,[1]物品基础表!$B:$B,0)),"")</f>
        <v/>
      </c>
    </row>
    <row r="363" spans="1:44">
      <c r="A363" s="1" t="str">
        <f>INDEX([2]活动总表!$A$8:$A$429,MATCH(B363,[2]活动总表!$B$8:$B$429,0))</f>
        <v>小年限购礼包3（61天以上）</v>
      </c>
      <c r="B363" s="1">
        <v>459</v>
      </c>
      <c r="C363" s="1">
        <v>1</v>
      </c>
      <c r="D363" s="1">
        <v>5</v>
      </c>
      <c r="E363" s="1">
        <v>0</v>
      </c>
      <c r="F363" s="1" t="s">
        <v>706</v>
      </c>
      <c r="G363" s="1">
        <v>888</v>
      </c>
      <c r="H363" s="1">
        <v>2000</v>
      </c>
      <c r="I363" s="1">
        <v>3</v>
      </c>
      <c r="O363" s="1">
        <v>44</v>
      </c>
      <c r="X363" s="1">
        <v>200001</v>
      </c>
      <c r="Y363" s="1" t="str">
        <f>IFERROR(INDEX([1]物品基础表!$A:$A,MATCH(X363,[1]物品基础表!$B:$B,0)),"")</f>
        <v>羽毛</v>
      </c>
      <c r="Z363" s="1">
        <v>20</v>
      </c>
      <c r="AB363" s="1" t="str">
        <f>IFERROR(INDEX([1]物品基础表!$A:$A,MATCH(AA363,[1]物品基础表!$B:$B,0)),"")</f>
        <v/>
      </c>
      <c r="AE363" s="1" t="str">
        <f>IFERROR(INDEX([1]物品基础表!$A:$A,MATCH(AD363,[1]物品基础表!$B:$B,0)),"")</f>
        <v/>
      </c>
      <c r="AH363" s="1" t="str">
        <f>IFERROR(INDEX([1]物品基础表!$A:$A,MATCH(AG363,[1]物品基础表!$B:$B,0)),"")</f>
        <v/>
      </c>
      <c r="AK363" s="1" t="str">
        <f>IFERROR(INDEX([1]物品基础表!$A:$A,MATCH(AJ363,[1]物品基础表!$B:$B,0)),"")</f>
        <v/>
      </c>
      <c r="AN363" s="1" t="str">
        <f>IFERROR(INDEX([1]物品基础表!$A:$A,MATCH(AM363,[1]物品基础表!$B:$B,0)),"")</f>
        <v/>
      </c>
      <c r="AQ363" s="1" t="str">
        <f>IFERROR(INDEX([1]物品基础表!$A:$A,MATCH(AP363,[1]物品基础表!$B:$B,0)),"")</f>
        <v/>
      </c>
    </row>
    <row r="364" spans="1:44">
      <c r="A364" s="1" t="str">
        <f>INDEX([2]活动总表!$A$8:$A$429,MATCH(B364,[2]活动总表!$B$8:$B$429,0))</f>
        <v>小年限购礼包3（61天以上）</v>
      </c>
      <c r="B364" s="1">
        <v>459</v>
      </c>
      <c r="C364" s="1">
        <v>2</v>
      </c>
      <c r="D364" s="1">
        <v>7</v>
      </c>
      <c r="E364" s="1">
        <v>0</v>
      </c>
      <c r="F364" s="1" t="s">
        <v>706</v>
      </c>
      <c r="G364" s="1">
        <v>1588</v>
      </c>
      <c r="H364" s="1">
        <v>5000</v>
      </c>
      <c r="I364" s="1">
        <v>2</v>
      </c>
      <c r="O364" s="1">
        <v>31</v>
      </c>
      <c r="X364" s="1">
        <v>200001</v>
      </c>
      <c r="Y364" s="1" t="str">
        <f>IFERROR(INDEX([1]物品基础表!$A:$A,MATCH(X364,[1]物品基础表!$B:$B,0)),"")</f>
        <v>羽毛</v>
      </c>
      <c r="Z364" s="1">
        <v>50</v>
      </c>
      <c r="AB364" s="1" t="str">
        <f>IFERROR(INDEX([1]物品基础表!$A:$A,MATCH(AA364,[1]物品基础表!$B:$B,0)),"")</f>
        <v/>
      </c>
      <c r="AE364" s="1" t="str">
        <f>IFERROR(INDEX([1]物品基础表!$A:$A,MATCH(AD364,[1]物品基础表!$B:$B,0)),"")</f>
        <v/>
      </c>
      <c r="AH364" s="1" t="str">
        <f>IFERROR(INDEX([1]物品基础表!$A:$A,MATCH(AG364,[1]物品基础表!$B:$B,0)),"")</f>
        <v/>
      </c>
      <c r="AK364" s="1" t="str">
        <f>IFERROR(INDEX([1]物品基础表!$A:$A,MATCH(AJ364,[1]物品基础表!$B:$B,0)),"")</f>
        <v/>
      </c>
      <c r="AN364" s="1" t="str">
        <f>IFERROR(INDEX([1]物品基础表!$A:$A,MATCH(AM364,[1]物品基础表!$B:$B,0)),"")</f>
        <v/>
      </c>
      <c r="AQ364" s="1" t="str">
        <f>IFERROR(INDEX([1]物品基础表!$A:$A,MATCH(AP364,[1]物品基础表!$B:$B,0)),"")</f>
        <v/>
      </c>
    </row>
    <row r="365" spans="1:44">
      <c r="A365" s="1" t="str">
        <f>INDEX([2]活动总表!$A$8:$A$429,MATCH(B365,[2]活动总表!$B$8:$B$429,0))</f>
        <v>小年限购礼包3（61天以上）</v>
      </c>
      <c r="B365" s="1">
        <v>459</v>
      </c>
      <c r="C365" s="1">
        <v>3</v>
      </c>
      <c r="D365" s="1">
        <v>7</v>
      </c>
      <c r="E365" s="1">
        <v>0</v>
      </c>
      <c r="F365" s="1" t="s">
        <v>706</v>
      </c>
      <c r="G365" s="1">
        <v>2888</v>
      </c>
      <c r="H365" s="1">
        <v>8500</v>
      </c>
      <c r="I365" s="1">
        <v>2</v>
      </c>
      <c r="O365" s="1">
        <v>33</v>
      </c>
      <c r="X365" s="1">
        <v>200001</v>
      </c>
      <c r="Y365" s="1" t="str">
        <f>IFERROR(INDEX([1]物品基础表!$A:$A,MATCH(X365,[1]物品基础表!$B:$B,0)),"")</f>
        <v>羽毛</v>
      </c>
      <c r="Z365" s="1">
        <v>85</v>
      </c>
      <c r="AB365" s="1" t="str">
        <f>IFERROR(INDEX([1]物品基础表!$A:$A,MATCH(AA365,[1]物品基础表!$B:$B,0)),"")</f>
        <v/>
      </c>
      <c r="AE365" s="1" t="str">
        <f>IFERROR(INDEX([1]物品基础表!$A:$A,MATCH(AD365,[1]物品基础表!$B:$B,0)),"")</f>
        <v/>
      </c>
      <c r="AH365" s="1" t="str">
        <f>IFERROR(INDEX([1]物品基础表!$A:$A,MATCH(AG365,[1]物品基础表!$B:$B,0)),"")</f>
        <v/>
      </c>
      <c r="AK365" s="1" t="str">
        <f>IFERROR(INDEX([1]物品基础表!$A:$A,MATCH(AJ365,[1]物品基础表!$B:$B,0)),"")</f>
        <v/>
      </c>
      <c r="AN365" s="1" t="str">
        <f>IFERROR(INDEX([1]物品基础表!$A:$A,MATCH(AM365,[1]物品基础表!$B:$B,0)),"")</f>
        <v/>
      </c>
      <c r="AQ365" s="1" t="str">
        <f>IFERROR(INDEX([1]物品基础表!$A:$A,MATCH(AP365,[1]物品基础表!$B:$B,0)),"")</f>
        <v/>
      </c>
    </row>
    <row r="366" spans="1:44">
      <c r="A366" s="1" t="str">
        <f>INDEX([2]活动总表!$A$8:$A$429,MATCH(B366,[2]活动总表!$B$8:$B$429,0))</f>
        <v>小年限购礼包3（61天以上）</v>
      </c>
      <c r="B366" s="1">
        <v>459</v>
      </c>
      <c r="C366" s="1">
        <v>4</v>
      </c>
      <c r="D366" s="1">
        <v>5</v>
      </c>
      <c r="E366" s="1">
        <v>0</v>
      </c>
      <c r="F366" s="1" t="s">
        <v>706</v>
      </c>
      <c r="G366" s="1">
        <v>2888</v>
      </c>
      <c r="H366" s="1">
        <v>6000</v>
      </c>
      <c r="I366" s="1">
        <v>3</v>
      </c>
      <c r="O366" s="1">
        <v>48</v>
      </c>
      <c r="X366" s="1">
        <v>200001</v>
      </c>
      <c r="Y366" s="1" t="str">
        <f>IFERROR(INDEX([1]物品基础表!$A:$A,MATCH(X366,[1]物品基础表!$B:$B,0)),"")</f>
        <v>羽毛</v>
      </c>
      <c r="Z366" s="1">
        <v>60</v>
      </c>
      <c r="AB366" s="1" t="str">
        <f>IFERROR(INDEX([1]物品基础表!$A:$A,MATCH(AA366,[1]物品基础表!$B:$B,0)),"")</f>
        <v/>
      </c>
      <c r="AE366" s="1" t="str">
        <f>IFERROR(INDEX([1]物品基础表!$A:$A,MATCH(AD366,[1]物品基础表!$B:$B,0)),"")</f>
        <v/>
      </c>
      <c r="AH366" s="1" t="str">
        <f>IFERROR(INDEX([1]物品基础表!$A:$A,MATCH(AG366,[1]物品基础表!$B:$B,0)),"")</f>
        <v/>
      </c>
      <c r="AK366" s="1" t="str">
        <f>IFERROR(INDEX([1]物品基础表!$A:$A,MATCH(AJ366,[1]物品基础表!$B:$B,0)),"")</f>
        <v/>
      </c>
      <c r="AN366" s="1" t="str">
        <f>IFERROR(INDEX([1]物品基础表!$A:$A,MATCH(AM366,[1]物品基础表!$B:$B,0)),"")</f>
        <v/>
      </c>
      <c r="AQ366" s="1" t="str">
        <f>IFERROR(INDEX([1]物品基础表!$A:$A,MATCH(AP366,[1]物品基础表!$B:$B,0)),"")</f>
        <v/>
      </c>
    </row>
    <row r="367" spans="1:44">
      <c r="A367" s="1" t="str">
        <f>INDEX([2]活动总表!$A$8:$A$429,MATCH(B367,[2]活动总表!$B$8:$B$429,0))</f>
        <v>小年限购礼包3（61天以上）</v>
      </c>
      <c r="B367" s="1">
        <v>459</v>
      </c>
      <c r="C367" s="1">
        <v>5</v>
      </c>
      <c r="D367" s="1">
        <v>5</v>
      </c>
      <c r="E367" s="1">
        <v>0</v>
      </c>
      <c r="F367" s="1" t="s">
        <v>706</v>
      </c>
      <c r="G367" s="1">
        <v>8888</v>
      </c>
      <c r="H367" s="1">
        <v>18000</v>
      </c>
      <c r="I367" s="1">
        <v>10</v>
      </c>
      <c r="O367" s="1">
        <v>49</v>
      </c>
      <c r="X367" s="1">
        <v>200001</v>
      </c>
      <c r="Y367" s="1" t="str">
        <f>IFERROR(INDEX([1]物品基础表!$A:$A,MATCH(X367,[1]物品基础表!$B:$B,0)),"")</f>
        <v>羽毛</v>
      </c>
      <c r="Z367" s="1">
        <v>180</v>
      </c>
      <c r="AB367" s="1" t="str">
        <f>IFERROR(INDEX([1]物品基础表!$A:$A,MATCH(AA367,[1]物品基础表!$B:$B,0)),"")</f>
        <v/>
      </c>
      <c r="AE367" s="1" t="str">
        <f>IFERROR(INDEX([1]物品基础表!$A:$A,MATCH(AD367,[1]物品基础表!$B:$B,0)),"")</f>
        <v/>
      </c>
      <c r="AH367" s="1" t="str">
        <f>IFERROR(INDEX([1]物品基础表!$A:$A,MATCH(AG367,[1]物品基础表!$B:$B,0)),"")</f>
        <v/>
      </c>
      <c r="AK367" s="1" t="str">
        <f>IFERROR(INDEX([1]物品基础表!$A:$A,MATCH(AJ367,[1]物品基础表!$B:$B,0)),"")</f>
        <v/>
      </c>
      <c r="AN367" s="1" t="str">
        <f>IFERROR(INDEX([1]物品基础表!$A:$A,MATCH(AM367,[1]物品基础表!$B:$B,0)),"")</f>
        <v/>
      </c>
      <c r="AQ367" s="1" t="str">
        <f>IFERROR(INDEX([1]物品基础表!$A:$A,MATCH(AP367,[1]物品基础表!$B:$B,0)),"")</f>
        <v/>
      </c>
    </row>
    <row r="368" spans="1:44">
      <c r="A368" s="1" t="str">
        <f>INDEX([2]活动总表!$A$8:$A$429,MATCH(B368,[2]活动总表!$B$8:$B$429,0))</f>
        <v>谁与争锋-特惠礼包</v>
      </c>
      <c r="B368" s="1">
        <v>503</v>
      </c>
      <c r="C368" s="1">
        <v>1</v>
      </c>
      <c r="D368" s="1">
        <v>5</v>
      </c>
      <c r="E368" s="1">
        <v>0</v>
      </c>
      <c r="F368" s="1" t="s">
        <v>706</v>
      </c>
      <c r="G368" s="1">
        <v>4888</v>
      </c>
      <c r="I368" s="1">
        <v>1</v>
      </c>
      <c r="X368" s="1">
        <v>13</v>
      </c>
      <c r="Y368" s="1" t="s">
        <v>694</v>
      </c>
      <c r="Z368" s="1">
        <v>2000000</v>
      </c>
      <c r="AA368" s="1">
        <v>205000</v>
      </c>
      <c r="AB368" s="1" t="str">
        <f>IFERROR(INDEX([1]物品基础表!$A:$A,MATCH(AA368,[1]物品基础表!$B:$B,0)),"")</f>
        <v>战灵进阶丹</v>
      </c>
      <c r="AC368" s="1">
        <v>50</v>
      </c>
      <c r="AD368" s="1">
        <v>200005</v>
      </c>
      <c r="AE368" s="1" t="str">
        <f>IFERROR(INDEX([1]物品基础表!$A:$A,MATCH(AD368,[1]物品基础表!$B:$B,0)),"")</f>
        <v>龙魂碎片</v>
      </c>
      <c r="AF368" s="1">
        <v>30</v>
      </c>
      <c r="AG368" s="1">
        <v>201016</v>
      </c>
      <c r="AH368" s="1" t="str">
        <f>IFERROR(INDEX([1]物品基础表!$A:$A,MATCH(AG368,[1]物品基础表!$B:$B,0)),"")</f>
        <v>紫色图鉴包·传奇之路</v>
      </c>
      <c r="AI368" s="1">
        <v>1</v>
      </c>
      <c r="AJ368" s="1">
        <v>200208</v>
      </c>
      <c r="AK368" s="1" t="str">
        <f>IFERROR(INDEX([1]物品基础表!$A:$A,MATCH(AJ368,[1]物品基础表!$B:$B,0)),"")</f>
        <v>烈焰印记低级升级材料</v>
      </c>
      <c r="AL368" s="1">
        <v>100</v>
      </c>
      <c r="AM368" s="1">
        <v>200156</v>
      </c>
      <c r="AN368" s="1" t="str">
        <f>IFERROR(INDEX([1]物品基础表!$A:$A,MATCH(AM368,[1]物品基础表!$B:$B,0)),"")</f>
        <v>野外BOSS次数卷轴</v>
      </c>
      <c r="AO368" s="1">
        <v>2</v>
      </c>
      <c r="AP368" s="1">
        <v>201002</v>
      </c>
      <c r="AQ368" s="1" t="str">
        <f>IFERROR(INDEX([1]物品基础表!$A:$A,MATCH(AP368,[1]物品基础表!$B:$B,0)),"")</f>
        <v>神秘钥匙</v>
      </c>
      <c r="AR368" s="1">
        <v>1</v>
      </c>
    </row>
    <row r="369" spans="1:44">
      <c r="A369" s="1" t="str">
        <f>INDEX([2]活动总表!$A$8:$A$429,MATCH(B369,[2]活动总表!$B$8:$B$429,0))</f>
        <v>谁与争锋-特惠礼包</v>
      </c>
      <c r="B369" s="1">
        <v>503</v>
      </c>
      <c r="C369" s="1">
        <v>2</v>
      </c>
      <c r="D369" s="1">
        <v>5</v>
      </c>
      <c r="E369" s="1">
        <v>0</v>
      </c>
      <c r="F369" s="1" t="s">
        <v>706</v>
      </c>
      <c r="G369" s="1">
        <v>16888</v>
      </c>
      <c r="I369" s="1">
        <v>1</v>
      </c>
      <c r="X369" s="1">
        <v>200997</v>
      </c>
      <c r="Y369" s="1" t="str">
        <f>IFERROR(INDEX([1]物品基础表!$A:$A,MATCH(X369,[1]物品基础表!$B:$B,0)),"")</f>
        <v>星☆传世宝箱</v>
      </c>
      <c r="Z369" s="1">
        <v>1</v>
      </c>
      <c r="AA369" s="1">
        <v>200003</v>
      </c>
      <c r="AB369" s="1" t="str">
        <f>IFERROR(INDEX([1]物品基础表!$A:$A,MATCH(AA369,[1]物品基础表!$B:$B,0)),"")</f>
        <v>铸造晶石</v>
      </c>
      <c r="AC369" s="1">
        <v>100</v>
      </c>
      <c r="AD369" s="1">
        <v>200015</v>
      </c>
      <c r="AE369" s="1" t="str">
        <f>IFERROR(INDEX([1]物品基础表!$A:$A,MATCH(AD369,[1]物品基础表!$B:$B,0)),"")</f>
        <v>特戒碎片</v>
      </c>
      <c r="AF369" s="1">
        <v>500</v>
      </c>
      <c r="AG369" s="1">
        <v>201017</v>
      </c>
      <c r="AH369" s="1" t="str">
        <f>IFERROR(INDEX([1]物品基础表!$A:$A,MATCH(AG369,[1]物品基础表!$B:$B,0)),"")</f>
        <v>橙色图鉴包·传奇之路</v>
      </c>
      <c r="AI369" s="1">
        <v>1</v>
      </c>
      <c r="AJ369" s="1">
        <v>200208</v>
      </c>
      <c r="AK369" s="1" t="str">
        <f>IFERROR(INDEX([1]物品基础表!$A:$A,MATCH(AJ369,[1]物品基础表!$B:$B,0)),"")</f>
        <v>烈焰印记低级升级材料</v>
      </c>
      <c r="AL369" s="1">
        <v>100</v>
      </c>
      <c r="AM369" s="1">
        <v>200157</v>
      </c>
      <c r="AN369" s="1" t="str">
        <f>IFERROR(INDEX([1]物品基础表!$A:$A,MATCH(AM369,[1]物品基础表!$B:$B,0)),"")</f>
        <v>秘境BOSS次数卷轴</v>
      </c>
      <c r="AO369" s="1">
        <v>1</v>
      </c>
      <c r="AP369" s="1">
        <v>201002</v>
      </c>
      <c r="AQ369" s="1" t="str">
        <f>IFERROR(INDEX([1]物品基础表!$A:$A,MATCH(AP369,[1]物品基础表!$B:$B,0)),"")</f>
        <v>神秘钥匙</v>
      </c>
      <c r="AR369" s="1">
        <v>1</v>
      </c>
    </row>
    <row r="370" spans="1:44">
      <c r="A370" s="1" t="str">
        <f>INDEX([2]活动总表!$A$8:$A$429,MATCH(B370,[2]活动总表!$B$8:$B$429,0))</f>
        <v>谁与争锋-特惠礼包</v>
      </c>
      <c r="B370" s="1">
        <v>503</v>
      </c>
      <c r="C370" s="1">
        <v>3</v>
      </c>
      <c r="D370" s="1">
        <v>5</v>
      </c>
      <c r="E370" s="1">
        <v>0</v>
      </c>
      <c r="F370" s="1" t="s">
        <v>706</v>
      </c>
      <c r="G370" s="1">
        <v>58888</v>
      </c>
      <c r="I370" s="1">
        <v>1</v>
      </c>
      <c r="X370" s="1">
        <v>200311</v>
      </c>
      <c r="Y370" s="1" t="str">
        <f>IFERROR(INDEX([1]物品基础表!$A:$A,MATCH(X370,[1]物品基础表!$B:$B,0)),"")</f>
        <v>战神兵魂任选礼包</v>
      </c>
      <c r="Z370" s="1">
        <v>8</v>
      </c>
      <c r="AA370" s="1">
        <v>200326</v>
      </c>
      <c r="AB370" s="1" t="str">
        <f>IFERROR(INDEX([1]物品基础表!$A:$A,MATCH(AA370,[1]物品基础表!$B:$B,0)),"")</f>
        <v>兵魂之灵</v>
      </c>
      <c r="AC370" s="1">
        <v>1</v>
      </c>
      <c r="AD370" s="1">
        <v>299999</v>
      </c>
      <c r="AE370" s="1" t="str">
        <f>IFERROR(INDEX([1]物品基础表!$A:$A,MATCH(AD370,[1]物品基础表!$B:$B,0)),"")</f>
        <v>神兵幻境卷</v>
      </c>
      <c r="AF370" s="1">
        <v>2</v>
      </c>
      <c r="AG370" s="1">
        <v>202007</v>
      </c>
      <c r="AH370" s="1" t="str">
        <f>IFERROR(INDEX([1]物品基础表!$A:$A,MATCH(AG370,[1]物品基础表!$B:$B,0)),"")</f>
        <v>烈焰戒指技能7书</v>
      </c>
      <c r="AI370" s="1">
        <v>1</v>
      </c>
      <c r="AJ370" s="1">
        <v>200005</v>
      </c>
      <c r="AK370" s="1" t="str">
        <f>IFERROR(INDEX([1]物品基础表!$A:$A,MATCH(AJ370,[1]物品基础表!$B:$B,0)),"")</f>
        <v>龙魂碎片</v>
      </c>
      <c r="AL370" s="1">
        <v>100</v>
      </c>
      <c r="AM370" s="1">
        <v>200157</v>
      </c>
      <c r="AN370" s="1" t="str">
        <f>IFERROR(INDEX([1]物品基础表!$A:$A,MATCH(AM370,[1]物品基础表!$B:$B,0)),"")</f>
        <v>秘境BOSS次数卷轴</v>
      </c>
      <c r="AO370" s="1">
        <v>1</v>
      </c>
      <c r="AP370" s="1">
        <v>201002</v>
      </c>
      <c r="AQ370" s="1" t="str">
        <f>IFERROR(INDEX([1]物品基础表!$A:$A,MATCH(AP370,[1]物品基础表!$B:$B,0)),"")</f>
        <v>神秘钥匙</v>
      </c>
      <c r="AR370" s="1">
        <v>1</v>
      </c>
    </row>
    <row r="371" spans="1:44">
      <c r="A371" s="1" t="str">
        <f>INDEX([2]活动总表!$A$8:$A$429,MATCH(B371,[2]活动总表!$B$8:$B$429,0))</f>
        <v>谁与争锋-特惠礼包</v>
      </c>
      <c r="B371" s="1">
        <v>503</v>
      </c>
      <c r="C371" s="1">
        <v>4</v>
      </c>
      <c r="D371" s="1">
        <v>5</v>
      </c>
      <c r="E371" s="1">
        <v>0</v>
      </c>
      <c r="F371" s="1" t="s">
        <v>706</v>
      </c>
      <c r="G371" s="1">
        <v>128888</v>
      </c>
      <c r="I371" s="1">
        <v>1</v>
      </c>
      <c r="X371" s="1">
        <v>121501</v>
      </c>
      <c r="Y371" s="1" t="str">
        <f>IFERROR(INDEX([1]物品基础表!$A:$A,MATCH(X371,[1]物品基础表!$B:$B,0)),"")</f>
        <v>传奇衣服1</v>
      </c>
      <c r="Z371" s="1">
        <v>1</v>
      </c>
      <c r="AA371" s="1">
        <v>500011</v>
      </c>
      <c r="AB371" s="1" t="str">
        <f>IFERROR(INDEX([1]物品基础表!$A:$A,MATCH(AA371,[1]物品基础表!$B:$B,0)),"")</f>
        <v>战纹碎片（小）</v>
      </c>
      <c r="AC371" s="1">
        <v>1000</v>
      </c>
      <c r="AD371" s="1">
        <v>200001</v>
      </c>
      <c r="AE371" s="1" t="str">
        <f>IFERROR(INDEX([1]物品基础表!$A:$A,MATCH(AD371,[1]物品基础表!$B:$B,0)),"")</f>
        <v>羽毛</v>
      </c>
      <c r="AF371" s="1">
        <v>100</v>
      </c>
      <c r="AG371" s="1">
        <v>200005</v>
      </c>
      <c r="AH371" s="1" t="str">
        <f>IFERROR(INDEX([1]物品基础表!$A:$A,MATCH(AG371,[1]物品基础表!$B:$B,0)),"")</f>
        <v>龙魂碎片</v>
      </c>
      <c r="AI371" s="1">
        <v>100</v>
      </c>
      <c r="AJ371" s="1">
        <v>500006</v>
      </c>
      <c r="AK371" s="1" t="str">
        <f>IFERROR(INDEX([1]物品基础表!$A:$A,MATCH(AJ371,[1]物品基础表!$B:$B,0)),"")</f>
        <v>战纹精华-金</v>
      </c>
      <c r="AL371" s="1">
        <v>10</v>
      </c>
      <c r="AM371" s="1">
        <v>200157</v>
      </c>
      <c r="AN371" s="1" t="str">
        <f>IFERROR(INDEX([1]物品基础表!$A:$A,MATCH(AM371,[1]物品基础表!$B:$B,0)),"")</f>
        <v>秘境BOSS次数卷轴</v>
      </c>
      <c r="AO371" s="1">
        <v>1</v>
      </c>
      <c r="AP371" s="1">
        <v>201002</v>
      </c>
      <c r="AQ371" s="1" t="str">
        <f>IFERROR(INDEX([1]物品基础表!$A:$A,MATCH(AP371,[1]物品基础表!$B:$B,0)),"")</f>
        <v>神秘钥匙</v>
      </c>
      <c r="AR371" s="1">
        <v>2</v>
      </c>
    </row>
    <row r="372" spans="1:44">
      <c r="A372" s="1" t="str">
        <f>INDEX([2]活动总表!$A$8:$A$429,MATCH(B372,[2]活动总表!$B$8:$B$429,0))</f>
        <v>谁与争锋-特惠礼包</v>
      </c>
      <c r="B372" s="1">
        <v>511</v>
      </c>
      <c r="C372" s="1">
        <v>1</v>
      </c>
      <c r="D372" s="1">
        <v>5</v>
      </c>
      <c r="E372" s="1">
        <v>0</v>
      </c>
      <c r="F372" s="1" t="s">
        <v>706</v>
      </c>
      <c r="G372" s="1">
        <v>4888</v>
      </c>
      <c r="I372" s="1">
        <v>1</v>
      </c>
      <c r="X372" s="1">
        <v>13</v>
      </c>
      <c r="Y372" s="1" t="s">
        <v>694</v>
      </c>
      <c r="Z372" s="1">
        <v>2000000</v>
      </c>
      <c r="AA372" s="1">
        <v>205000</v>
      </c>
      <c r="AB372" s="1" t="str">
        <f>IFERROR(INDEX([1]物品基础表!$A:$A,MATCH(AA372,[1]物品基础表!$B:$B,0)),"")</f>
        <v>战灵进阶丹</v>
      </c>
      <c r="AC372" s="1">
        <v>50</v>
      </c>
      <c r="AD372" s="1">
        <v>200005</v>
      </c>
      <c r="AE372" s="1" t="str">
        <f>IFERROR(INDEX([1]物品基础表!$A:$A,MATCH(AD372,[1]物品基础表!$B:$B,0)),"")</f>
        <v>龙魂碎片</v>
      </c>
      <c r="AF372" s="1">
        <v>30</v>
      </c>
      <c r="AG372" s="1">
        <v>201016</v>
      </c>
      <c r="AH372" s="1" t="str">
        <f>IFERROR(INDEX([1]物品基础表!$A:$A,MATCH(AG372,[1]物品基础表!$B:$B,0)),"")</f>
        <v>紫色图鉴包·传奇之路</v>
      </c>
      <c r="AI372" s="1">
        <v>1</v>
      </c>
      <c r="AJ372" s="1">
        <v>200208</v>
      </c>
      <c r="AK372" s="1" t="str">
        <f>IFERROR(INDEX([1]物品基础表!$A:$A,MATCH(AJ372,[1]物品基础表!$B:$B,0)),"")</f>
        <v>烈焰印记低级升级材料</v>
      </c>
      <c r="AL372" s="1">
        <v>100</v>
      </c>
      <c r="AM372" s="1">
        <v>200156</v>
      </c>
      <c r="AN372" s="1" t="str">
        <f>IFERROR(INDEX([1]物品基础表!$A:$A,MATCH(AM372,[1]物品基础表!$B:$B,0)),"")</f>
        <v>野外BOSS次数卷轴</v>
      </c>
      <c r="AO372" s="1">
        <v>2</v>
      </c>
      <c r="AP372" s="1">
        <v>201002</v>
      </c>
      <c r="AQ372" s="1" t="str">
        <f>IFERROR(INDEX([1]物品基础表!$A:$A,MATCH(AP372,[1]物品基础表!$B:$B,0)),"")</f>
        <v>神秘钥匙</v>
      </c>
      <c r="AR372" s="1">
        <v>1</v>
      </c>
    </row>
    <row r="373" spans="1:44">
      <c r="A373" s="1" t="str">
        <f>INDEX([2]活动总表!$A$8:$A$429,MATCH(B373,[2]活动总表!$B$8:$B$429,0))</f>
        <v>谁与争锋-特惠礼包</v>
      </c>
      <c r="B373" s="1">
        <v>511</v>
      </c>
      <c r="C373" s="1">
        <v>2</v>
      </c>
      <c r="D373" s="1">
        <v>5</v>
      </c>
      <c r="E373" s="1">
        <v>0</v>
      </c>
      <c r="F373" s="1" t="s">
        <v>706</v>
      </c>
      <c r="G373" s="1">
        <v>16888</v>
      </c>
      <c r="I373" s="1">
        <v>1</v>
      </c>
      <c r="X373" s="1">
        <v>200997</v>
      </c>
      <c r="Y373" s="1" t="str">
        <f>IFERROR(INDEX([1]物品基础表!$A:$A,MATCH(X373,[1]物品基础表!$B:$B,0)),"")</f>
        <v>星☆传世宝箱</v>
      </c>
      <c r="Z373" s="1">
        <v>1</v>
      </c>
      <c r="AA373" s="1">
        <v>200003</v>
      </c>
      <c r="AB373" s="1" t="str">
        <f>IFERROR(INDEX([1]物品基础表!$A:$A,MATCH(AA373,[1]物品基础表!$B:$B,0)),"")</f>
        <v>铸造晶石</v>
      </c>
      <c r="AC373" s="1">
        <v>100</v>
      </c>
      <c r="AD373" s="1">
        <v>200015</v>
      </c>
      <c r="AE373" s="1" t="str">
        <f>IFERROR(INDEX([1]物品基础表!$A:$A,MATCH(AD373,[1]物品基础表!$B:$B,0)),"")</f>
        <v>特戒碎片</v>
      </c>
      <c r="AF373" s="1">
        <v>500</v>
      </c>
      <c r="AG373" s="1">
        <v>201017</v>
      </c>
      <c r="AH373" s="1" t="str">
        <f>IFERROR(INDEX([1]物品基础表!$A:$A,MATCH(AG373,[1]物品基础表!$B:$B,0)),"")</f>
        <v>橙色图鉴包·传奇之路</v>
      </c>
      <c r="AI373" s="1">
        <v>1</v>
      </c>
      <c r="AJ373" s="1">
        <v>200208</v>
      </c>
      <c r="AK373" s="1" t="str">
        <f>IFERROR(INDEX([1]物品基础表!$A:$A,MATCH(AJ373,[1]物品基础表!$B:$B,0)),"")</f>
        <v>烈焰印记低级升级材料</v>
      </c>
      <c r="AL373" s="1">
        <v>100</v>
      </c>
      <c r="AM373" s="1">
        <v>200157</v>
      </c>
      <c r="AN373" s="1" t="str">
        <f>IFERROR(INDEX([1]物品基础表!$A:$A,MATCH(AM373,[1]物品基础表!$B:$B,0)),"")</f>
        <v>秘境BOSS次数卷轴</v>
      </c>
      <c r="AO373" s="1">
        <v>1</v>
      </c>
      <c r="AP373" s="1">
        <v>201002</v>
      </c>
      <c r="AQ373" s="1" t="str">
        <f>IFERROR(INDEX([1]物品基础表!$A:$A,MATCH(AP373,[1]物品基础表!$B:$B,0)),"")</f>
        <v>神秘钥匙</v>
      </c>
      <c r="AR373" s="1">
        <v>1</v>
      </c>
    </row>
    <row r="374" spans="1:44">
      <c r="A374" s="1" t="str">
        <f>INDEX([2]活动总表!$A$8:$A$429,MATCH(B374,[2]活动总表!$B$8:$B$429,0))</f>
        <v>谁与争锋-特惠礼包</v>
      </c>
      <c r="B374" s="1">
        <v>511</v>
      </c>
      <c r="C374" s="1">
        <v>3</v>
      </c>
      <c r="D374" s="1">
        <v>5</v>
      </c>
      <c r="E374" s="1">
        <v>0</v>
      </c>
      <c r="F374" s="1" t="s">
        <v>706</v>
      </c>
      <c r="G374" s="1">
        <v>58888</v>
      </c>
      <c r="I374" s="1">
        <v>1</v>
      </c>
      <c r="X374" s="1">
        <v>200311</v>
      </c>
      <c r="Y374" s="1" t="str">
        <f>IFERROR(INDEX([1]物品基础表!$A:$A,MATCH(X374,[1]物品基础表!$B:$B,0)),"")</f>
        <v>战神兵魂任选礼包</v>
      </c>
      <c r="Z374" s="1">
        <v>8</v>
      </c>
      <c r="AA374" s="1">
        <v>200326</v>
      </c>
      <c r="AB374" s="1" t="str">
        <f>IFERROR(INDEX([1]物品基础表!$A:$A,MATCH(AA374,[1]物品基础表!$B:$B,0)),"")</f>
        <v>兵魂之灵</v>
      </c>
      <c r="AC374" s="1">
        <v>1</v>
      </c>
      <c r="AD374" s="1">
        <v>299999</v>
      </c>
      <c r="AE374" s="1" t="str">
        <f>IFERROR(INDEX([1]物品基础表!$A:$A,MATCH(AD374,[1]物品基础表!$B:$B,0)),"")</f>
        <v>神兵幻境卷</v>
      </c>
      <c r="AF374" s="1">
        <v>2</v>
      </c>
      <c r="AG374" s="1">
        <v>202007</v>
      </c>
      <c r="AH374" s="1" t="str">
        <f>IFERROR(INDEX([1]物品基础表!$A:$A,MATCH(AG374,[1]物品基础表!$B:$B,0)),"")</f>
        <v>烈焰戒指技能7书</v>
      </c>
      <c r="AI374" s="1">
        <v>1</v>
      </c>
      <c r="AJ374" s="1">
        <v>200005</v>
      </c>
      <c r="AK374" s="1" t="str">
        <f>IFERROR(INDEX([1]物品基础表!$A:$A,MATCH(AJ374,[1]物品基础表!$B:$B,0)),"")</f>
        <v>龙魂碎片</v>
      </c>
      <c r="AL374" s="1">
        <v>100</v>
      </c>
      <c r="AM374" s="1">
        <v>200157</v>
      </c>
      <c r="AN374" s="1" t="str">
        <f>IFERROR(INDEX([1]物品基础表!$A:$A,MATCH(AM374,[1]物品基础表!$B:$B,0)),"")</f>
        <v>秘境BOSS次数卷轴</v>
      </c>
      <c r="AO374" s="1">
        <v>1</v>
      </c>
      <c r="AP374" s="1">
        <v>201002</v>
      </c>
      <c r="AQ374" s="1" t="str">
        <f>IFERROR(INDEX([1]物品基础表!$A:$A,MATCH(AP374,[1]物品基础表!$B:$B,0)),"")</f>
        <v>神秘钥匙</v>
      </c>
      <c r="AR374" s="1">
        <v>1</v>
      </c>
    </row>
    <row r="375" spans="1:44">
      <c r="A375" s="1" t="str">
        <f>INDEX([2]活动总表!$A$8:$A$429,MATCH(B375,[2]活动总表!$B$8:$B$429,0))</f>
        <v>谁与争锋-特惠礼包</v>
      </c>
      <c r="B375" s="1">
        <v>511</v>
      </c>
      <c r="C375" s="1">
        <v>4</v>
      </c>
      <c r="D375" s="1">
        <v>5</v>
      </c>
      <c r="E375" s="1">
        <v>0</v>
      </c>
      <c r="F375" s="1" t="s">
        <v>706</v>
      </c>
      <c r="G375" s="1">
        <v>128888</v>
      </c>
      <c r="I375" s="1">
        <v>1</v>
      </c>
      <c r="X375" s="1">
        <v>121501</v>
      </c>
      <c r="Y375" s="1" t="str">
        <f>IFERROR(INDEX([1]物品基础表!$A:$A,MATCH(X375,[1]物品基础表!$B:$B,0)),"")</f>
        <v>传奇衣服1</v>
      </c>
      <c r="Z375" s="1">
        <v>1</v>
      </c>
      <c r="AA375" s="1">
        <v>500011</v>
      </c>
      <c r="AB375" s="1" t="str">
        <f>IFERROR(INDEX([1]物品基础表!$A:$A,MATCH(AA375,[1]物品基础表!$B:$B,0)),"")</f>
        <v>战纹碎片（小）</v>
      </c>
      <c r="AC375" s="1">
        <v>1000</v>
      </c>
      <c r="AD375" s="1">
        <v>200001</v>
      </c>
      <c r="AE375" s="1" t="str">
        <f>IFERROR(INDEX([1]物品基础表!$A:$A,MATCH(AD375,[1]物品基础表!$B:$B,0)),"")</f>
        <v>羽毛</v>
      </c>
      <c r="AF375" s="1">
        <v>100</v>
      </c>
      <c r="AG375" s="1">
        <v>200005</v>
      </c>
      <c r="AH375" s="1" t="str">
        <f>IFERROR(INDEX([1]物品基础表!$A:$A,MATCH(AG375,[1]物品基础表!$B:$B,0)),"")</f>
        <v>龙魂碎片</v>
      </c>
      <c r="AI375" s="1">
        <v>100</v>
      </c>
      <c r="AJ375" s="1">
        <v>500006</v>
      </c>
      <c r="AK375" s="1" t="str">
        <f>IFERROR(INDEX([1]物品基础表!$A:$A,MATCH(AJ375,[1]物品基础表!$B:$B,0)),"")</f>
        <v>战纹精华-金</v>
      </c>
      <c r="AL375" s="1">
        <v>10</v>
      </c>
      <c r="AM375" s="1">
        <v>200157</v>
      </c>
      <c r="AN375" s="1" t="str">
        <f>IFERROR(INDEX([1]物品基础表!$A:$A,MATCH(AM375,[1]物品基础表!$B:$B,0)),"")</f>
        <v>秘境BOSS次数卷轴</v>
      </c>
      <c r="AO375" s="1">
        <v>1</v>
      </c>
      <c r="AP375" s="1">
        <v>201002</v>
      </c>
      <c r="AQ375" s="1" t="str">
        <f>IFERROR(INDEX([1]物品基础表!$A:$A,MATCH(AP375,[1]物品基础表!$B:$B,0)),"")</f>
        <v>神秘钥匙</v>
      </c>
      <c r="AR375" s="1">
        <v>2</v>
      </c>
    </row>
    <row r="376" spans="1:44">
      <c r="A376" s="1" t="str">
        <f>INDEX([2]活动总表!$A$8:$A$429,MATCH(B376,[2]活动总表!$B$8:$B$429,0))</f>
        <v>春节VIP限购</v>
      </c>
      <c r="B376" s="1">
        <v>553</v>
      </c>
      <c r="C376" s="1">
        <v>1</v>
      </c>
      <c r="D376" s="1">
        <v>5</v>
      </c>
      <c r="E376" s="1">
        <v>0</v>
      </c>
      <c r="F376" s="1" t="s">
        <v>706</v>
      </c>
      <c r="G376" s="1">
        <v>300</v>
      </c>
      <c r="H376" s="1">
        <v>1500</v>
      </c>
      <c r="I376" s="1">
        <v>1</v>
      </c>
      <c r="O376" s="1">
        <v>15</v>
      </c>
      <c r="X376" s="1">
        <v>200005</v>
      </c>
      <c r="Y376" s="1" t="str">
        <f>IFERROR(INDEX([1]物品基础表!$A:$A,MATCH(X376,[1]物品基础表!$B:$B,0)),"")</f>
        <v>龙魂碎片</v>
      </c>
      <c r="Z376" s="1">
        <v>20</v>
      </c>
      <c r="AB376" s="1" t="str">
        <f>IFERROR(INDEX([1]物品基础表!$A:$A,MATCH(AA376,[1]物品基础表!$B:$B,0)),"")</f>
        <v/>
      </c>
      <c r="AE376" s="1" t="str">
        <f>IFERROR(INDEX([1]物品基础表!$A:$A,MATCH(AD376,[1]物品基础表!$B:$B,0)),"")</f>
        <v/>
      </c>
      <c r="AH376" s="1" t="str">
        <f>IFERROR(INDEX([1]物品基础表!$A:$A,MATCH(AG376,[1]物品基础表!$B:$B,0)),"")</f>
        <v/>
      </c>
      <c r="AK376" s="1" t="str">
        <f>IFERROR(INDEX([1]物品基础表!$A:$A,MATCH(AJ376,[1]物品基础表!$B:$B,0)),"")</f>
        <v/>
      </c>
      <c r="AN376" s="1" t="str">
        <f>IFERROR(INDEX([1]物品基础表!$A:$A,MATCH(AM376,[1]物品基础表!$B:$B,0)),"")</f>
        <v/>
      </c>
      <c r="AQ376" s="1" t="str">
        <f>IFERROR(INDEX([1]物品基础表!$A:$A,MATCH(AP376,[1]物品基础表!$B:$B,0)),"")</f>
        <v/>
      </c>
    </row>
    <row r="377" spans="1:44">
      <c r="A377" s="1" t="str">
        <f>INDEX([2]活动总表!$A$8:$A$429,MATCH(B377,[2]活动总表!$B$8:$B$429,0))</f>
        <v>春节VIP限购</v>
      </c>
      <c r="B377" s="1">
        <v>553</v>
      </c>
      <c r="C377" s="1">
        <v>2</v>
      </c>
      <c r="D377" s="1">
        <v>6</v>
      </c>
      <c r="E377" s="1">
        <v>0</v>
      </c>
      <c r="F377" s="1" t="s">
        <v>706</v>
      </c>
      <c r="G377" s="1">
        <v>2888</v>
      </c>
      <c r="H377" s="1">
        <v>14440</v>
      </c>
      <c r="I377" s="1">
        <v>1</v>
      </c>
      <c r="O377" s="1">
        <v>20</v>
      </c>
      <c r="X377" s="1">
        <v>200167</v>
      </c>
      <c r="Y377" s="1" t="str">
        <f>IFERROR(INDEX([1]物品基础表!$A:$A,MATCH(X377,[1]物品基础表!$B:$B,0)),"")</f>
        <v>黑铁</v>
      </c>
      <c r="Z377" s="1">
        <v>4000</v>
      </c>
      <c r="AA377" s="1">
        <v>200906</v>
      </c>
      <c r="AB377" s="1" t="str">
        <f>IFERROR(INDEX([1]物品基础表!$A:$A,MATCH(AA377,[1]物品基础表!$B:$B,0)),"")</f>
        <v>神兵经验丹（1W</v>
      </c>
      <c r="AC377" s="1">
        <v>50</v>
      </c>
      <c r="AD377" s="1">
        <v>200004</v>
      </c>
      <c r="AE377" s="1" t="str">
        <f>IFERROR(INDEX([1]物品基础表!$A:$A,MATCH(AD377,[1]物品基础表!$B:$B,0)),"")</f>
        <v>经脉丹</v>
      </c>
      <c r="AF377" s="1">
        <v>10</v>
      </c>
      <c r="AG377" s="1">
        <v>200015</v>
      </c>
      <c r="AH377" s="1" t="str">
        <f>IFERROR(INDEX([1]物品基础表!$A:$A,MATCH(AG377,[1]物品基础表!$B:$B,0)),"")</f>
        <v>特戒碎片</v>
      </c>
      <c r="AI377" s="1">
        <v>100</v>
      </c>
      <c r="AK377" s="1" t="str">
        <f>IFERROR(INDEX([1]物品基础表!$A:$A,MATCH(AJ377,[1]物品基础表!$B:$B,0)),"")</f>
        <v/>
      </c>
      <c r="AN377" s="1" t="str">
        <f>IFERROR(INDEX([1]物品基础表!$A:$A,MATCH(AM377,[1]物品基础表!$B:$B,0)),"")</f>
        <v/>
      </c>
      <c r="AQ377" s="1" t="str">
        <f>IFERROR(INDEX([1]物品基础表!$A:$A,MATCH(AP377,[1]物品基础表!$B:$B,0)),"")</f>
        <v/>
      </c>
    </row>
    <row r="378" spans="1:44">
      <c r="A378" s="1" t="str">
        <f>INDEX([2]活动总表!$A$8:$A$429,MATCH(B378,[2]活动总表!$B$8:$B$429,0))</f>
        <v>春节VIP限购</v>
      </c>
      <c r="B378" s="1">
        <v>553</v>
      </c>
      <c r="C378" s="1">
        <v>3</v>
      </c>
      <c r="D378" s="1">
        <v>7</v>
      </c>
      <c r="E378" s="1">
        <v>0</v>
      </c>
      <c r="F378" s="1" t="s">
        <v>706</v>
      </c>
      <c r="G378" s="1">
        <v>5888</v>
      </c>
      <c r="H378" s="1">
        <v>29440</v>
      </c>
      <c r="I378" s="1">
        <v>1</v>
      </c>
      <c r="O378" s="1">
        <v>20</v>
      </c>
      <c r="X378" s="1">
        <v>200997</v>
      </c>
      <c r="Y378" s="1" t="str">
        <f>IFERROR(INDEX([1]物品基础表!$A:$A,MATCH(X378,[1]物品基础表!$B:$B,0)),"")</f>
        <v>星☆传世宝箱</v>
      </c>
      <c r="Z378" s="1">
        <v>1</v>
      </c>
      <c r="AA378" s="1">
        <v>200906</v>
      </c>
      <c r="AB378" s="1" t="str">
        <f>IFERROR(INDEX([1]物品基础表!$A:$A,MATCH(AA378,[1]物品基础表!$B:$B,0)),"")</f>
        <v>神兵经验丹（1W</v>
      </c>
      <c r="AC378" s="1">
        <v>50</v>
      </c>
      <c r="AD378" s="1">
        <v>200004</v>
      </c>
      <c r="AE378" s="1" t="str">
        <f>IFERROR(INDEX([1]物品基础表!$A:$A,MATCH(AD378,[1]物品基础表!$B:$B,0)),"")</f>
        <v>经脉丹</v>
      </c>
      <c r="AF378" s="1">
        <v>10</v>
      </c>
      <c r="AG378" s="1">
        <v>200015</v>
      </c>
      <c r="AH378" s="1" t="str">
        <f>IFERROR(INDEX([1]物品基础表!$A:$A,MATCH(AG378,[1]物品基础表!$B:$B,0)),"")</f>
        <v>特戒碎片</v>
      </c>
      <c r="AI378" s="1">
        <v>100</v>
      </c>
      <c r="AK378" s="1" t="str">
        <f>IFERROR(INDEX([1]物品基础表!$A:$A,MATCH(AJ378,[1]物品基础表!$B:$B,0)),"")</f>
        <v/>
      </c>
      <c r="AN378" s="1" t="str">
        <f>IFERROR(INDEX([1]物品基础表!$A:$A,MATCH(AM378,[1]物品基础表!$B:$B,0)),"")</f>
        <v/>
      </c>
      <c r="AQ378" s="1" t="str">
        <f>IFERROR(INDEX([1]物品基础表!$A:$A,MATCH(AP378,[1]物品基础表!$B:$B,0)),"")</f>
        <v/>
      </c>
    </row>
    <row r="379" spans="1:44">
      <c r="A379" s="1" t="str">
        <f>INDEX([2]活动总表!$A$8:$A$429,MATCH(B379,[2]活动总表!$B$8:$B$429,0))</f>
        <v>春节VIP限购</v>
      </c>
      <c r="B379" s="1">
        <v>553</v>
      </c>
      <c r="C379" s="1">
        <v>4</v>
      </c>
      <c r="D379" s="1">
        <v>8</v>
      </c>
      <c r="E379" s="1">
        <v>0</v>
      </c>
      <c r="F379" s="1" t="s">
        <v>706</v>
      </c>
      <c r="G379" s="1">
        <v>12800</v>
      </c>
      <c r="H379" s="1">
        <v>64000</v>
      </c>
      <c r="I379" s="1">
        <v>1</v>
      </c>
      <c r="O379" s="1">
        <v>20</v>
      </c>
      <c r="X379" s="1">
        <v>900023</v>
      </c>
      <c r="Y379" s="1" t="str">
        <f>IFERROR(INDEX([1]物品基础表!$A:$A,MATCH(X379,[1]物品基础表!$B:$B,0)),"")</f>
        <v>冰糖葫芦</v>
      </c>
      <c r="Z379" s="1">
        <v>1</v>
      </c>
      <c r="AA379" s="1">
        <v>200906</v>
      </c>
      <c r="AB379" s="1" t="str">
        <f>IFERROR(INDEX([1]物品基础表!$A:$A,MATCH(AA379,[1]物品基础表!$B:$B,0)),"")</f>
        <v>神兵经验丹（1W</v>
      </c>
      <c r="AC379" s="1">
        <v>100</v>
      </c>
      <c r="AD379" s="1">
        <v>200004</v>
      </c>
      <c r="AE379" s="1" t="str">
        <f>IFERROR(INDEX([1]物品基础表!$A:$A,MATCH(AD379,[1]物品基础表!$B:$B,0)),"")</f>
        <v>经脉丹</v>
      </c>
      <c r="AF379" s="1">
        <v>20</v>
      </c>
      <c r="AG379" s="1">
        <v>200015</v>
      </c>
      <c r="AH379" s="1" t="str">
        <f>IFERROR(INDEX([1]物品基础表!$A:$A,MATCH(AG379,[1]物品基础表!$B:$B,0)),"")</f>
        <v>特戒碎片</v>
      </c>
      <c r="AI379" s="1">
        <v>200</v>
      </c>
      <c r="AK379" s="1" t="str">
        <f>IFERROR(INDEX([1]物品基础表!$A:$A,MATCH(AJ379,[1]物品基础表!$B:$B,0)),"")</f>
        <v/>
      </c>
      <c r="AN379" s="1" t="str">
        <f>IFERROR(INDEX([1]物品基础表!$A:$A,MATCH(AM379,[1]物品基础表!$B:$B,0)),"")</f>
        <v/>
      </c>
      <c r="AQ379" s="1" t="str">
        <f>IFERROR(INDEX([1]物品基础表!$A:$A,MATCH(AP379,[1]物品基础表!$B:$B,0)),"")</f>
        <v/>
      </c>
    </row>
    <row r="380" spans="1:44">
      <c r="A380" s="1" t="str">
        <f>INDEX([2]活动总表!$A$8:$A$429,MATCH(B380,[2]活动总表!$B$8:$B$429,0))</f>
        <v>春节VIP限购</v>
      </c>
      <c r="B380" s="1">
        <v>553</v>
      </c>
      <c r="C380" s="1">
        <v>5</v>
      </c>
      <c r="D380" s="1">
        <v>8</v>
      </c>
      <c r="E380" s="1">
        <v>0</v>
      </c>
      <c r="F380" s="1" t="s">
        <v>706</v>
      </c>
      <c r="G380" s="1">
        <v>18800</v>
      </c>
      <c r="H380" s="1">
        <v>94000</v>
      </c>
      <c r="I380" s="1">
        <v>1</v>
      </c>
      <c r="O380" s="1">
        <v>20</v>
      </c>
      <c r="X380" s="1">
        <v>900006</v>
      </c>
      <c r="Y380" s="1" t="str">
        <f>IFERROR(INDEX([1]物品基础表!$A:$A,MATCH(X380,[1]物品基础表!$B:$B,0)),"")</f>
        <v>新春盛装</v>
      </c>
      <c r="Z380" s="1">
        <v>1</v>
      </c>
      <c r="AA380" s="1">
        <v>200906</v>
      </c>
      <c r="AB380" s="1" t="str">
        <f>IFERROR(INDEX([1]物品基础表!$A:$A,MATCH(AA380,[1]物品基础表!$B:$B,0)),"")</f>
        <v>神兵经验丹（1W</v>
      </c>
      <c r="AC380" s="1">
        <v>100</v>
      </c>
      <c r="AD380" s="1">
        <v>200004</v>
      </c>
      <c r="AE380" s="1" t="str">
        <f>IFERROR(INDEX([1]物品基础表!$A:$A,MATCH(AD380,[1]物品基础表!$B:$B,0)),"")</f>
        <v>经脉丹</v>
      </c>
      <c r="AF380" s="1">
        <v>20</v>
      </c>
      <c r="AG380" s="1">
        <v>200015</v>
      </c>
      <c r="AH380" s="1" t="str">
        <f>IFERROR(INDEX([1]物品基础表!$A:$A,MATCH(AG380,[1]物品基础表!$B:$B,0)),"")</f>
        <v>特戒碎片</v>
      </c>
      <c r="AI380" s="1">
        <v>200</v>
      </c>
      <c r="AK380" s="1" t="str">
        <f>IFERROR(INDEX([1]物品基础表!$A:$A,MATCH(AJ380,[1]物品基础表!$B:$B,0)),"")</f>
        <v/>
      </c>
      <c r="AN380" s="1" t="str">
        <f>IFERROR(INDEX([1]物品基础表!$A:$A,MATCH(AM380,[1]物品基础表!$B:$B,0)),"")</f>
        <v/>
      </c>
      <c r="AQ380" s="1" t="str">
        <f>IFERROR(INDEX([1]物品基础表!$A:$A,MATCH(AP380,[1]物品基础表!$B:$B,0)),"")</f>
        <v/>
      </c>
    </row>
    <row r="381" spans="1:44">
      <c r="A381" s="1" t="str">
        <f>INDEX([2]活动总表!$A$8:$A$429,MATCH(B381,[2]活动总表!$B$8:$B$429,0))</f>
        <v>春节VIP限购</v>
      </c>
      <c r="B381" s="1">
        <v>553</v>
      </c>
      <c r="C381" s="1">
        <v>6</v>
      </c>
      <c r="D381" s="1">
        <v>9</v>
      </c>
      <c r="E381" s="1">
        <v>0</v>
      </c>
      <c r="F381" s="1" t="s">
        <v>706</v>
      </c>
      <c r="G381" s="1">
        <v>12800</v>
      </c>
      <c r="H381" s="1">
        <v>64000</v>
      </c>
      <c r="I381" s="1">
        <v>1</v>
      </c>
      <c r="O381" s="1">
        <v>20</v>
      </c>
      <c r="X381" s="1">
        <v>200973</v>
      </c>
      <c r="Y381" s="1" t="str">
        <f>IFERROR(INDEX([1]物品基础表!$A:$A,MATCH(X381,[1]物品基础表!$B:$B,0)),"")</f>
        <v>极品橙色兽神装备任选宝箱</v>
      </c>
      <c r="Z381" s="1">
        <v>1</v>
      </c>
      <c r="AA381" s="1">
        <v>200906</v>
      </c>
      <c r="AB381" s="1" t="str">
        <f>IFERROR(INDEX([1]物品基础表!$A:$A,MATCH(AA381,[1]物品基础表!$B:$B,0)),"")</f>
        <v>神兵经验丹（1W</v>
      </c>
      <c r="AC381" s="1">
        <v>200</v>
      </c>
      <c r="AD381" s="1">
        <v>200004</v>
      </c>
      <c r="AE381" s="1" t="str">
        <f>IFERROR(INDEX([1]物品基础表!$A:$A,MATCH(AD381,[1]物品基础表!$B:$B,0)),"")</f>
        <v>经脉丹</v>
      </c>
      <c r="AF381" s="1">
        <v>40</v>
      </c>
      <c r="AG381" s="1">
        <v>200015</v>
      </c>
      <c r="AH381" s="1" t="str">
        <f>IFERROR(INDEX([1]物品基础表!$A:$A,MATCH(AG381,[1]物品基础表!$B:$B,0)),"")</f>
        <v>特戒碎片</v>
      </c>
      <c r="AI381" s="1">
        <v>400</v>
      </c>
      <c r="AK381" s="1" t="str">
        <f>IFERROR(INDEX([1]物品基础表!$A:$A,MATCH(AJ381,[1]物品基础表!$B:$B,0)),"")</f>
        <v/>
      </c>
      <c r="AN381" s="1" t="str">
        <f>IFERROR(INDEX([1]物品基础表!$A:$A,MATCH(AM381,[1]物品基础表!$B:$B,0)),"")</f>
        <v/>
      </c>
      <c r="AQ381" s="1" t="str">
        <f>IFERROR(INDEX([1]物品基础表!$A:$A,MATCH(AP381,[1]物品基础表!$B:$B,0)),"")</f>
        <v/>
      </c>
    </row>
    <row r="382" spans="1:44">
      <c r="A382" s="1" t="str">
        <f>INDEX([2]活动总表!$A$8:$A$429,MATCH(B382,[2]活动总表!$B$8:$B$429,0))</f>
        <v>春节VIP限购</v>
      </c>
      <c r="B382" s="1">
        <v>553</v>
      </c>
      <c r="C382" s="1">
        <v>7</v>
      </c>
      <c r="D382" s="1">
        <v>10</v>
      </c>
      <c r="E382" s="1">
        <v>0</v>
      </c>
      <c r="F382" s="1" t="s">
        <v>706</v>
      </c>
      <c r="G382" s="1">
        <v>18800</v>
      </c>
      <c r="H382" s="1">
        <v>94000</v>
      </c>
      <c r="I382" s="1">
        <v>1</v>
      </c>
      <c r="O382" s="1">
        <v>20</v>
      </c>
      <c r="X382" s="1">
        <v>200314</v>
      </c>
      <c r="Y382" s="1" t="str">
        <f>IFERROR(INDEX([1]物品基础表!$A:$A,MATCH(X382,[1]物品基础表!$B:$B,0)),"")</f>
        <v>蛊毒兵魂任选礼包</v>
      </c>
      <c r="Z382" s="1">
        <v>8</v>
      </c>
      <c r="AA382" s="1">
        <v>200167</v>
      </c>
      <c r="AB382" s="1" t="str">
        <f>IFERROR(INDEX([1]物品基础表!$A:$A,MATCH(AA382,[1]物品基础表!$B:$B,0)),"")</f>
        <v>黑铁</v>
      </c>
      <c r="AC382" s="1">
        <v>5000</v>
      </c>
      <c r="AD382" s="1">
        <v>200004</v>
      </c>
      <c r="AE382" s="1" t="str">
        <f>IFERROR(INDEX([1]物品基础表!$A:$A,MATCH(AD382,[1]物品基础表!$B:$B,0)),"")</f>
        <v>经脉丹</v>
      </c>
      <c r="AF382" s="1">
        <v>50</v>
      </c>
      <c r="AG382" s="1">
        <v>200015</v>
      </c>
      <c r="AH382" s="1" t="str">
        <f>IFERROR(INDEX([1]物品基础表!$A:$A,MATCH(AG382,[1]物品基础表!$B:$B,0)),"")</f>
        <v>特戒碎片</v>
      </c>
      <c r="AI382" s="1">
        <v>500</v>
      </c>
      <c r="AK382" s="1" t="str">
        <f>IFERROR(INDEX([1]物品基础表!$A:$A,MATCH(AJ382,[1]物品基础表!$B:$B,0)),"")</f>
        <v/>
      </c>
      <c r="AN382" s="1" t="str">
        <f>IFERROR(INDEX([1]物品基础表!$A:$A,MATCH(AM382,[1]物品基础表!$B:$B,0)),"")</f>
        <v/>
      </c>
      <c r="AQ382" s="1" t="str">
        <f>IFERROR(INDEX([1]物品基础表!$A:$A,MATCH(AP382,[1]物品基础表!$B:$B,0)),"")</f>
        <v/>
      </c>
    </row>
    <row r="383" spans="1:44">
      <c r="A383" s="1" t="str">
        <f>INDEX([2]活动总表!$A$8:$A$429,MATCH(B383,[2]活动总表!$B$8:$B$429,0))</f>
        <v>春节VIP限购</v>
      </c>
      <c r="B383" s="1">
        <v>553</v>
      </c>
      <c r="C383" s="1">
        <v>8</v>
      </c>
      <c r="D383" s="1">
        <v>11</v>
      </c>
      <c r="E383" s="1">
        <v>0</v>
      </c>
      <c r="F383" s="1" t="s">
        <v>706</v>
      </c>
      <c r="G383" s="1">
        <v>18800</v>
      </c>
      <c r="H383" s="1">
        <v>94000</v>
      </c>
      <c r="I383" s="1">
        <v>1</v>
      </c>
      <c r="O383" s="1">
        <v>20</v>
      </c>
      <c r="X383" s="1">
        <v>504401</v>
      </c>
      <c r="Y383" s="1" t="str">
        <f>IFERROR(INDEX([1]物品基础表!$A:$A,MATCH(X383,[1]物品基础表!$B:$B,0)),"")</f>
        <v>金光武1级</v>
      </c>
      <c r="Z383" s="1">
        <v>1</v>
      </c>
      <c r="AA383" s="1">
        <v>500006</v>
      </c>
      <c r="AB383" s="1" t="str">
        <f>IFERROR(INDEX([1]物品基础表!$A:$A,MATCH(AA383,[1]物品基础表!$B:$B,0)),"")</f>
        <v>战纹精华-金</v>
      </c>
      <c r="AC383" s="1">
        <v>5</v>
      </c>
      <c r="AD383" s="1">
        <v>200004</v>
      </c>
      <c r="AE383" s="1" t="str">
        <f>IFERROR(INDEX([1]物品基础表!$A:$A,MATCH(AD383,[1]物品基础表!$B:$B,0)),"")</f>
        <v>经脉丹</v>
      </c>
      <c r="AF383" s="1">
        <v>50</v>
      </c>
      <c r="AG383" s="1">
        <v>200015</v>
      </c>
      <c r="AH383" s="1" t="str">
        <f>IFERROR(INDEX([1]物品基础表!$A:$A,MATCH(AG383,[1]物品基础表!$B:$B,0)),"")</f>
        <v>特戒碎片</v>
      </c>
      <c r="AI383" s="1">
        <v>500</v>
      </c>
      <c r="AK383" s="1" t="str">
        <f>IFERROR(INDEX([1]物品基础表!$A:$A,MATCH(AJ383,[1]物品基础表!$B:$B,0)),"")</f>
        <v/>
      </c>
      <c r="AN383" s="1" t="str">
        <f>IFERROR(INDEX([1]物品基础表!$A:$A,MATCH(AM383,[1]物品基础表!$B:$B,0)),"")</f>
        <v/>
      </c>
      <c r="AQ383" s="1" t="str">
        <f>IFERROR(INDEX([1]物品基础表!$A:$A,MATCH(AP383,[1]物品基础表!$B:$B,0)),"")</f>
        <v/>
      </c>
    </row>
    <row r="384" spans="1:44">
      <c r="A384" s="1" t="str">
        <f>INDEX([2]活动总表!$A$8:$A$429,MATCH(B384,[2]活动总表!$B$8:$B$429,0))</f>
        <v>春节VIP限购</v>
      </c>
      <c r="B384" s="1">
        <v>553</v>
      </c>
      <c r="C384" s="1">
        <v>9</v>
      </c>
      <c r="D384" s="1">
        <v>12</v>
      </c>
      <c r="E384" s="1">
        <v>0</v>
      </c>
      <c r="F384" s="1" t="s">
        <v>706</v>
      </c>
      <c r="G384" s="1">
        <v>28800</v>
      </c>
      <c r="H384" s="1">
        <v>144000</v>
      </c>
      <c r="I384" s="1">
        <v>1</v>
      </c>
      <c r="O384" s="1">
        <v>20</v>
      </c>
      <c r="X384" s="1">
        <v>200301</v>
      </c>
      <c r="Y384" s="1" t="str">
        <f>IFERROR(INDEX([1]物品基础表!$A:$A,MATCH(X384,[1]物品基础表!$B:$B,0)),"")</f>
        <v>传世宝钻</v>
      </c>
      <c r="Z384" s="1">
        <v>700</v>
      </c>
      <c r="AA384" s="1">
        <v>200167</v>
      </c>
      <c r="AB384" s="1" t="str">
        <f>IFERROR(INDEX([1]物品基础表!$A:$A,MATCH(AA384,[1]物品基础表!$B:$B,0)),"")</f>
        <v>黑铁</v>
      </c>
      <c r="AC384" s="1">
        <v>5000</v>
      </c>
      <c r="AD384" s="1">
        <v>200004</v>
      </c>
      <c r="AE384" s="1" t="str">
        <f>IFERROR(INDEX([1]物品基础表!$A:$A,MATCH(AD384,[1]物品基础表!$B:$B,0)),"")</f>
        <v>经脉丹</v>
      </c>
      <c r="AF384" s="1">
        <v>50</v>
      </c>
      <c r="AG384" s="1">
        <v>200015</v>
      </c>
      <c r="AH384" s="1" t="str">
        <f>IFERROR(INDEX([1]物品基础表!$A:$A,MATCH(AG384,[1]物品基础表!$B:$B,0)),"")</f>
        <v>特戒碎片</v>
      </c>
      <c r="AI384" s="1">
        <v>800</v>
      </c>
      <c r="AK384" s="1" t="str">
        <f>IFERROR(INDEX([1]物品基础表!$A:$A,MATCH(AJ384,[1]物品基础表!$B:$B,0)),"")</f>
        <v/>
      </c>
      <c r="AN384" s="1" t="str">
        <f>IFERROR(INDEX([1]物品基础表!$A:$A,MATCH(AM384,[1]物品基础表!$B:$B,0)),"")</f>
        <v/>
      </c>
      <c r="AQ384" s="1" t="str">
        <f>IFERROR(INDEX([1]物品基础表!$A:$A,MATCH(AP384,[1]物品基础表!$B:$B,0)),"")</f>
        <v/>
      </c>
    </row>
    <row r="385" spans="1:43">
      <c r="A385" s="1" t="str">
        <f>INDEX([2]活动总表!$A$8:$A$429,MATCH(B385,[2]活动总表!$B$8:$B$429,0))</f>
        <v>春节VIP限购</v>
      </c>
      <c r="B385" s="1">
        <v>553</v>
      </c>
      <c r="C385" s="1">
        <v>10</v>
      </c>
      <c r="D385" s="1">
        <v>13</v>
      </c>
      <c r="E385" s="1">
        <v>0</v>
      </c>
      <c r="F385" s="1" t="s">
        <v>706</v>
      </c>
      <c r="G385" s="1">
        <v>38800</v>
      </c>
      <c r="H385" s="1">
        <v>194000</v>
      </c>
      <c r="I385" s="1">
        <v>1</v>
      </c>
      <c r="O385" s="1">
        <v>20</v>
      </c>
      <c r="X385" s="1">
        <v>200926</v>
      </c>
      <c r="Y385" s="1" t="str">
        <f>IFERROR(INDEX([1]物品基础表!$A:$A,MATCH(X385,[1]物品基础表!$B:$B,0)),"")</f>
        <v>神兵大招1三选一</v>
      </c>
      <c r="Z385" s="1">
        <v>1</v>
      </c>
      <c r="AA385" s="1">
        <v>200167</v>
      </c>
      <c r="AB385" s="1" t="str">
        <f>IFERROR(INDEX([1]物品基础表!$A:$A,MATCH(AA385,[1]物品基础表!$B:$B,0)),"")</f>
        <v>黑铁</v>
      </c>
      <c r="AC385" s="1">
        <v>8000</v>
      </c>
      <c r="AD385" s="1">
        <v>200004</v>
      </c>
      <c r="AE385" s="1" t="str">
        <f>IFERROR(INDEX([1]物品基础表!$A:$A,MATCH(AD385,[1]物品基础表!$B:$B,0)),"")</f>
        <v>经脉丹</v>
      </c>
      <c r="AF385" s="1">
        <v>80</v>
      </c>
      <c r="AG385" s="1">
        <v>200015</v>
      </c>
      <c r="AH385" s="1" t="str">
        <f>IFERROR(INDEX([1]物品基础表!$A:$A,MATCH(AG385,[1]物品基础表!$B:$B,0)),"")</f>
        <v>特戒碎片</v>
      </c>
      <c r="AI385" s="1">
        <v>800</v>
      </c>
      <c r="AK385" s="1" t="str">
        <f>IFERROR(INDEX([1]物品基础表!$A:$A,MATCH(AJ385,[1]物品基础表!$B:$B,0)),"")</f>
        <v/>
      </c>
      <c r="AN385" s="1" t="str">
        <f>IFERROR(INDEX([1]物品基础表!$A:$A,MATCH(AM385,[1]物品基础表!$B:$B,0)),"")</f>
        <v/>
      </c>
      <c r="AQ385" s="1" t="str">
        <f>IFERROR(INDEX([1]物品基础表!$A:$A,MATCH(AP385,[1]物品基础表!$B:$B,0)),"")</f>
        <v/>
      </c>
    </row>
    <row r="386" spans="1:43">
      <c r="A386" s="1" t="str">
        <f>INDEX([2]活动总表!$A$8:$A$429,MATCH(B386,[2]活动总表!$B$8:$B$429,0))</f>
        <v>春节VIP限购</v>
      </c>
      <c r="B386" s="1">
        <v>553</v>
      </c>
      <c r="C386" s="1">
        <v>11</v>
      </c>
      <c r="D386" s="1">
        <v>14</v>
      </c>
      <c r="E386" s="1">
        <v>0</v>
      </c>
      <c r="F386" s="1" t="s">
        <v>706</v>
      </c>
      <c r="G386" s="1">
        <v>58800</v>
      </c>
      <c r="H386" s="1">
        <v>294000</v>
      </c>
      <c r="I386" s="1">
        <v>1</v>
      </c>
      <c r="O386" s="1">
        <v>20</v>
      </c>
      <c r="X386" s="1">
        <v>200977</v>
      </c>
      <c r="Y386" s="1" t="str">
        <f>IFERROR(INDEX([1]物品基础表!$A:$A,MATCH(X386,[1]物品基础表!$B:$B,0)),"")</f>
        <v>红色无相诀心法任选宝箱</v>
      </c>
      <c r="Z386" s="1">
        <v>5</v>
      </c>
      <c r="AA386" s="1">
        <v>200167</v>
      </c>
      <c r="AB386" s="1" t="str">
        <f>IFERROR(INDEX([1]物品基础表!$A:$A,MATCH(AA386,[1]物品基础表!$B:$B,0)),"")</f>
        <v>黑铁</v>
      </c>
      <c r="AC386" s="1">
        <v>8000</v>
      </c>
      <c r="AD386" s="1">
        <v>200004</v>
      </c>
      <c r="AE386" s="1" t="str">
        <f>IFERROR(INDEX([1]物品基础表!$A:$A,MATCH(AD386,[1]物品基础表!$B:$B,0)),"")</f>
        <v>经脉丹</v>
      </c>
      <c r="AF386" s="1">
        <v>80</v>
      </c>
      <c r="AG386" s="1">
        <v>200015</v>
      </c>
      <c r="AH386" s="1" t="str">
        <f>IFERROR(INDEX([1]物品基础表!$A:$A,MATCH(AG386,[1]物品基础表!$B:$B,0)),"")</f>
        <v>特戒碎片</v>
      </c>
      <c r="AI386" s="1">
        <v>800</v>
      </c>
      <c r="AK386" s="1" t="str">
        <f>IFERROR(INDEX([1]物品基础表!$A:$A,MATCH(AJ386,[1]物品基础表!$B:$B,0)),"")</f>
        <v/>
      </c>
      <c r="AN386" s="1" t="str">
        <f>IFERROR(INDEX([1]物品基础表!$A:$A,MATCH(AM386,[1]物品基础表!$B:$B,0)),"")</f>
        <v/>
      </c>
      <c r="AQ386" s="1" t="str">
        <f>IFERROR(INDEX([1]物品基础表!$A:$A,MATCH(AP386,[1]物品基础表!$B:$B,0)),"")</f>
        <v/>
      </c>
    </row>
    <row r="387" spans="1:43">
      <c r="A387" s="1" t="str">
        <f>INDEX([2]活动总表!$A$8:$A$429,MATCH(B387,[2]活动总表!$B$8:$B$429,0))</f>
        <v>春节VIP限购</v>
      </c>
      <c r="B387" s="1">
        <v>553</v>
      </c>
      <c r="C387" s="1">
        <v>12</v>
      </c>
      <c r="D387" s="1">
        <v>15</v>
      </c>
      <c r="E387" s="1">
        <v>0</v>
      </c>
      <c r="F387" s="1" t="s">
        <v>706</v>
      </c>
      <c r="G387" s="1">
        <v>58800</v>
      </c>
      <c r="H387" s="1">
        <v>294000</v>
      </c>
      <c r="I387" s="1">
        <v>1</v>
      </c>
      <c r="O387" s="1">
        <v>20</v>
      </c>
      <c r="X387" s="1">
        <v>204029</v>
      </c>
      <c r="Y387" s="1" t="str">
        <f>IFERROR(INDEX([1]物品基础表!$A:$A,MATCH(X387,[1]物品基础表!$B:$B,0)),"")</f>
        <v>魔魂礼包</v>
      </c>
      <c r="Z387" s="1">
        <v>1</v>
      </c>
      <c r="AA387" s="1">
        <v>200008</v>
      </c>
      <c r="AB387" s="1" t="str">
        <f>IFERROR(INDEX([1]物品基础表!$A:$A,MATCH(AA387,[1]物品基础表!$B:$B,0)),"")</f>
        <v>传奇碎片</v>
      </c>
      <c r="AC387" s="1">
        <v>50</v>
      </c>
      <c r="AD387" s="1">
        <v>210106</v>
      </c>
      <c r="AE387" s="1" t="str">
        <f>IFERROR(INDEX([1]物品基础表!$A:$A,MATCH(AD387,[1]物品基础表!$B:$B,0)),"")</f>
        <v>高级必杀</v>
      </c>
      <c r="AF387" s="1">
        <v>1</v>
      </c>
      <c r="AG387" s="1">
        <v>200015</v>
      </c>
      <c r="AH387" s="1" t="str">
        <f>IFERROR(INDEX([1]物品基础表!$A:$A,MATCH(AG387,[1]物品基础表!$B:$B,0)),"")</f>
        <v>特戒碎片</v>
      </c>
      <c r="AI387" s="1">
        <v>800</v>
      </c>
      <c r="AK387" s="1" t="str">
        <f>IFERROR(INDEX([1]物品基础表!$A:$A,MATCH(AJ387,[1]物品基础表!$B:$B,0)),"")</f>
        <v/>
      </c>
      <c r="AN387" s="1" t="str">
        <f>IFERROR(INDEX([1]物品基础表!$A:$A,MATCH(AM387,[1]物品基础表!$B:$B,0)),"")</f>
        <v/>
      </c>
      <c r="AQ387" s="1" t="str">
        <f>IFERROR(INDEX([1]物品基础表!$A:$A,MATCH(AP387,[1]物品基础表!$B:$B,0)),"")</f>
        <v/>
      </c>
    </row>
    <row r="388" spans="1:43">
      <c r="A388" s="1" t="str">
        <f>INDEX([2]活动总表!$A$8:$A$429,MATCH(B388,[2]活动总表!$B$8:$B$429,0))</f>
        <v>春节VIP限购</v>
      </c>
      <c r="B388" s="1">
        <v>553</v>
      </c>
      <c r="C388" s="1">
        <v>13</v>
      </c>
      <c r="D388" s="1">
        <v>15</v>
      </c>
      <c r="E388" s="1">
        <v>0</v>
      </c>
      <c r="F388" s="1" t="s">
        <v>706</v>
      </c>
      <c r="G388" s="1">
        <v>68800</v>
      </c>
      <c r="H388" s="1">
        <v>344000</v>
      </c>
      <c r="I388" s="1">
        <v>1</v>
      </c>
      <c r="O388" s="1">
        <v>20</v>
      </c>
      <c r="X388" s="1">
        <v>204105</v>
      </c>
      <c r="Y388" s="1" t="str">
        <f>IFERROR(INDEX([1]物品基础表!$A:$A,MATCH(X388,[1]物品基础表!$B:$B,0)),"")</f>
        <v>至尊至宝</v>
      </c>
      <c r="Z388" s="1">
        <v>1</v>
      </c>
      <c r="AA388" s="1">
        <v>200008</v>
      </c>
      <c r="AB388" s="1" t="str">
        <f>IFERROR(INDEX([1]物品基础表!$A:$A,MATCH(AA388,[1]物品基础表!$B:$B,0)),"")</f>
        <v>传奇碎片</v>
      </c>
      <c r="AC388" s="1">
        <v>50</v>
      </c>
      <c r="AD388" s="1">
        <v>210110</v>
      </c>
      <c r="AE388" s="1" t="str">
        <f>IFERROR(INDEX([1]物品基础表!$A:$A,MATCH(AD388,[1]物品基础表!$B:$B,0)),"")</f>
        <v>高级神佑</v>
      </c>
      <c r="AF388" s="1">
        <v>1</v>
      </c>
      <c r="AG388" s="1">
        <v>200015</v>
      </c>
      <c r="AH388" s="1" t="str">
        <f>IFERROR(INDEX([1]物品基础表!$A:$A,MATCH(AG388,[1]物品基础表!$B:$B,0)),"")</f>
        <v>特戒碎片</v>
      </c>
      <c r="AI388" s="1">
        <v>800</v>
      </c>
      <c r="AK388" s="1" t="str">
        <f>IFERROR(INDEX([1]物品基础表!$A:$A,MATCH(AJ388,[1]物品基础表!$B:$B,0)),"")</f>
        <v/>
      </c>
      <c r="AN388" s="1" t="str">
        <f>IFERROR(INDEX([1]物品基础表!$A:$A,MATCH(AM388,[1]物品基础表!$B:$B,0)),"")</f>
        <v/>
      </c>
      <c r="AQ388" s="1" t="str">
        <f>IFERROR(INDEX([1]物品基础表!$A:$A,MATCH(AP388,[1]物品基础表!$B:$B,0)),"")</f>
        <v/>
      </c>
    </row>
    <row r="389" spans="1:43">
      <c r="A389" s="1" t="str">
        <f>INDEX([2]活动总表!$A$8:$A$429,MATCH(B389,[2]活动总表!$B$8:$B$429,0))</f>
        <v>春节限购1</v>
      </c>
      <c r="B389" s="1">
        <v>554</v>
      </c>
      <c r="C389" s="1">
        <v>1</v>
      </c>
      <c r="D389" s="1">
        <v>5</v>
      </c>
      <c r="E389" s="1">
        <v>0</v>
      </c>
      <c r="F389" s="1" t="s">
        <v>706</v>
      </c>
      <c r="G389" s="1">
        <v>888</v>
      </c>
      <c r="H389" s="1">
        <v>1500</v>
      </c>
      <c r="I389" s="1">
        <v>1</v>
      </c>
      <c r="O389" s="1">
        <v>59</v>
      </c>
      <c r="X389" s="1">
        <v>200003</v>
      </c>
      <c r="Y389" s="1" t="str">
        <f>IFERROR(INDEX([1]物品基础表!$A:$A,MATCH(X389,[1]物品基础表!$B:$B,0)),"")</f>
        <v>铸造晶石</v>
      </c>
      <c r="Z389" s="1">
        <v>30</v>
      </c>
      <c r="AB389" s="1" t="str">
        <f>IFERROR(INDEX([1]物品基础表!$A:$A,MATCH(AA389,[1]物品基础表!$B:$B,0)),"")</f>
        <v/>
      </c>
      <c r="AE389" s="1" t="str">
        <f>IFERROR(INDEX([1]物品基础表!$A:$A,MATCH(AD389,[1]物品基础表!$B:$B,0)),"")</f>
        <v/>
      </c>
      <c r="AH389" s="1" t="str">
        <f>IFERROR(INDEX([1]物品基础表!$A:$A,MATCH(AG389,[1]物品基础表!$B:$B,0)),"")</f>
        <v/>
      </c>
      <c r="AK389" s="1" t="str">
        <f>IFERROR(INDEX([1]物品基础表!$A:$A,MATCH(AJ389,[1]物品基础表!$B:$B,0)),"")</f>
        <v/>
      </c>
      <c r="AN389" s="1" t="str">
        <f>IFERROR(INDEX([1]物品基础表!$A:$A,MATCH(AM389,[1]物品基础表!$B:$B,0)),"")</f>
        <v/>
      </c>
      <c r="AQ389" s="1" t="str">
        <f>IFERROR(INDEX([1]物品基础表!$A:$A,MATCH(AP389,[1]物品基础表!$B:$B,0)),"")</f>
        <v/>
      </c>
    </row>
    <row r="390" spans="1:43">
      <c r="A390" s="1" t="str">
        <f>INDEX([2]活动总表!$A$8:$A$429,MATCH(B390,[2]活动总表!$B$8:$B$429,0))</f>
        <v>春节限购1</v>
      </c>
      <c r="B390" s="1">
        <v>554</v>
      </c>
      <c r="C390" s="1">
        <v>2</v>
      </c>
      <c r="D390" s="1">
        <v>7</v>
      </c>
      <c r="E390" s="1">
        <v>0</v>
      </c>
      <c r="F390" s="1" t="s">
        <v>706</v>
      </c>
      <c r="G390" s="1">
        <v>1588</v>
      </c>
      <c r="H390" s="1">
        <v>5000</v>
      </c>
      <c r="I390" s="1">
        <v>1</v>
      </c>
      <c r="O390" s="1">
        <v>31</v>
      </c>
      <c r="X390" s="1">
        <v>200003</v>
      </c>
      <c r="Y390" s="1" t="str">
        <f>IFERROR(INDEX([1]物品基础表!$A:$A,MATCH(X390,[1]物品基础表!$B:$B,0)),"")</f>
        <v>铸造晶石</v>
      </c>
      <c r="Z390" s="1">
        <v>100</v>
      </c>
      <c r="AB390" s="1" t="str">
        <f>IFERROR(INDEX([1]物品基础表!$A:$A,MATCH(AA390,[1]物品基础表!$B:$B,0)),"")</f>
        <v/>
      </c>
      <c r="AE390" s="1" t="str">
        <f>IFERROR(INDEX([1]物品基础表!$A:$A,MATCH(AD390,[1]物品基础表!$B:$B,0)),"")</f>
        <v/>
      </c>
      <c r="AH390" s="1" t="str">
        <f>IFERROR(INDEX([1]物品基础表!$A:$A,MATCH(AG390,[1]物品基础表!$B:$B,0)),"")</f>
        <v/>
      </c>
      <c r="AK390" s="1" t="str">
        <f>IFERROR(INDEX([1]物品基础表!$A:$A,MATCH(AJ390,[1]物品基础表!$B:$B,0)),"")</f>
        <v/>
      </c>
      <c r="AN390" s="1" t="str">
        <f>IFERROR(INDEX([1]物品基础表!$A:$A,MATCH(AM390,[1]物品基础表!$B:$B,0)),"")</f>
        <v/>
      </c>
      <c r="AQ390" s="1" t="str">
        <f>IFERROR(INDEX([1]物品基础表!$A:$A,MATCH(AP390,[1]物品基础表!$B:$B,0)),"")</f>
        <v/>
      </c>
    </row>
    <row r="391" spans="1:43">
      <c r="A391" s="1" t="str">
        <f>INDEX([2]活动总表!$A$8:$A$429,MATCH(B391,[2]活动总表!$B$8:$B$429,0))</f>
        <v>春节限购1</v>
      </c>
      <c r="B391" s="1">
        <v>554</v>
      </c>
      <c r="C391" s="1">
        <v>3</v>
      </c>
      <c r="D391" s="1">
        <v>7</v>
      </c>
      <c r="E391" s="1">
        <v>0</v>
      </c>
      <c r="F391" s="1" t="s">
        <v>706</v>
      </c>
      <c r="G391" s="1">
        <v>2888</v>
      </c>
      <c r="H391" s="1">
        <v>8500</v>
      </c>
      <c r="I391" s="1">
        <v>1</v>
      </c>
      <c r="O391" s="1">
        <v>33</v>
      </c>
      <c r="X391" s="1">
        <v>200003</v>
      </c>
      <c r="Y391" s="1" t="str">
        <f>IFERROR(INDEX([1]物品基础表!$A:$A,MATCH(X391,[1]物品基础表!$B:$B,0)),"")</f>
        <v>铸造晶石</v>
      </c>
      <c r="Z391" s="1">
        <v>170</v>
      </c>
      <c r="AB391" s="1" t="str">
        <f>IFERROR(INDEX([1]物品基础表!$A:$A,MATCH(AA391,[1]物品基础表!$B:$B,0)),"")</f>
        <v/>
      </c>
      <c r="AE391" s="1" t="str">
        <f>IFERROR(INDEX([1]物品基础表!$A:$A,MATCH(AD391,[1]物品基础表!$B:$B,0)),"")</f>
        <v/>
      </c>
      <c r="AH391" s="1" t="str">
        <f>IFERROR(INDEX([1]物品基础表!$A:$A,MATCH(AG391,[1]物品基础表!$B:$B,0)),"")</f>
        <v/>
      </c>
      <c r="AK391" s="1" t="str">
        <f>IFERROR(INDEX([1]物品基础表!$A:$A,MATCH(AJ391,[1]物品基础表!$B:$B,0)),"")</f>
        <v/>
      </c>
      <c r="AN391" s="1" t="str">
        <f>IFERROR(INDEX([1]物品基础表!$A:$A,MATCH(AM391,[1]物品基础表!$B:$B,0)),"")</f>
        <v/>
      </c>
      <c r="AQ391" s="1" t="str">
        <f>IFERROR(INDEX([1]物品基础表!$A:$A,MATCH(AP391,[1]物品基础表!$B:$B,0)),"")</f>
        <v/>
      </c>
    </row>
    <row r="392" spans="1:43">
      <c r="A392" s="1" t="str">
        <f>INDEX([2]活动总表!$A$8:$A$429,MATCH(B392,[2]活动总表!$B$8:$B$429,0))</f>
        <v>春节限购1</v>
      </c>
      <c r="B392" s="1">
        <v>554</v>
      </c>
      <c r="C392" s="1">
        <v>4</v>
      </c>
      <c r="D392" s="1">
        <v>7</v>
      </c>
      <c r="E392" s="1">
        <v>0</v>
      </c>
      <c r="F392" s="1" t="s">
        <v>706</v>
      </c>
      <c r="G392" s="1">
        <v>6888</v>
      </c>
      <c r="H392" s="1">
        <v>20000</v>
      </c>
      <c r="I392" s="1">
        <v>1</v>
      </c>
      <c r="O392" s="1">
        <v>34</v>
      </c>
      <c r="X392" s="1">
        <v>200003</v>
      </c>
      <c r="Y392" s="1" t="str">
        <f>IFERROR(INDEX([1]物品基础表!$A:$A,MATCH(X392,[1]物品基础表!$B:$B,0)),"")</f>
        <v>铸造晶石</v>
      </c>
      <c r="Z392" s="1">
        <v>400</v>
      </c>
      <c r="AB392" s="1" t="str">
        <f>IFERROR(INDEX([1]物品基础表!$A:$A,MATCH(AA392,[1]物品基础表!$B:$B,0)),"")</f>
        <v/>
      </c>
      <c r="AE392" s="1" t="str">
        <f>IFERROR(INDEX([1]物品基础表!$A:$A,MATCH(AD392,[1]物品基础表!$B:$B,0)),"")</f>
        <v/>
      </c>
      <c r="AH392" s="1" t="str">
        <f>IFERROR(INDEX([1]物品基础表!$A:$A,MATCH(AG392,[1]物品基础表!$B:$B,0)),"")</f>
        <v/>
      </c>
      <c r="AK392" s="1" t="str">
        <f>IFERROR(INDEX([1]物品基础表!$A:$A,MATCH(AJ392,[1]物品基础表!$B:$B,0)),"")</f>
        <v/>
      </c>
      <c r="AN392" s="1" t="str">
        <f>IFERROR(INDEX([1]物品基础表!$A:$A,MATCH(AM392,[1]物品基础表!$B:$B,0)),"")</f>
        <v/>
      </c>
      <c r="AQ392" s="1" t="str">
        <f>IFERROR(INDEX([1]物品基础表!$A:$A,MATCH(AP392,[1]物品基础表!$B:$B,0)),"")</f>
        <v/>
      </c>
    </row>
    <row r="393" spans="1:43">
      <c r="A393" s="1" t="str">
        <f>INDEX([2]活动总表!$A$8:$A$429,MATCH(B393,[2]活动总表!$B$8:$B$429,0))</f>
        <v>春节限购1</v>
      </c>
      <c r="B393" s="1">
        <v>554</v>
      </c>
      <c r="C393" s="1">
        <v>5</v>
      </c>
      <c r="D393" s="1">
        <v>5</v>
      </c>
      <c r="E393" s="1">
        <v>0</v>
      </c>
      <c r="F393" s="1" t="s">
        <v>706</v>
      </c>
      <c r="G393" s="1">
        <v>2888</v>
      </c>
      <c r="H393" s="1">
        <v>5000</v>
      </c>
      <c r="I393" s="1">
        <v>1</v>
      </c>
      <c r="O393" s="1">
        <v>57</v>
      </c>
      <c r="X393" s="1">
        <v>200003</v>
      </c>
      <c r="Y393" s="1" t="str">
        <f>IFERROR(INDEX([1]物品基础表!$A:$A,MATCH(X393,[1]物品基础表!$B:$B,0)),"")</f>
        <v>铸造晶石</v>
      </c>
      <c r="Z393" s="1">
        <v>100</v>
      </c>
      <c r="AB393" s="1" t="str">
        <f>IFERROR(INDEX([1]物品基础表!$A:$A,MATCH(AA393,[1]物品基础表!$B:$B,0)),"")</f>
        <v/>
      </c>
      <c r="AE393" s="1" t="str">
        <f>IFERROR(INDEX([1]物品基础表!$A:$A,MATCH(AD393,[1]物品基础表!$B:$B,0)),"")</f>
        <v/>
      </c>
      <c r="AH393" s="1" t="str">
        <f>IFERROR(INDEX([1]物品基础表!$A:$A,MATCH(AG393,[1]物品基础表!$B:$B,0)),"")</f>
        <v/>
      </c>
      <c r="AK393" s="1" t="str">
        <f>IFERROR(INDEX([1]物品基础表!$A:$A,MATCH(AJ393,[1]物品基础表!$B:$B,0)),"")</f>
        <v/>
      </c>
      <c r="AN393" s="1" t="str">
        <f>IFERROR(INDEX([1]物品基础表!$A:$A,MATCH(AM393,[1]物品基础表!$B:$B,0)),"")</f>
        <v/>
      </c>
      <c r="AQ393" s="1" t="str">
        <f>IFERROR(INDEX([1]物品基础表!$A:$A,MATCH(AP393,[1]物品基础表!$B:$B,0)),"")</f>
        <v/>
      </c>
    </row>
    <row r="394" spans="1:43">
      <c r="A394" s="1" t="str">
        <f>INDEX([2]活动总表!$A$8:$A$429,MATCH(B394,[2]活动总表!$B$8:$B$429,0))</f>
        <v>春节限购1</v>
      </c>
      <c r="B394" s="1">
        <v>554</v>
      </c>
      <c r="C394" s="1">
        <v>6</v>
      </c>
      <c r="D394" s="1">
        <v>5</v>
      </c>
      <c r="E394" s="1">
        <v>0</v>
      </c>
      <c r="F394" s="1" t="s">
        <v>706</v>
      </c>
      <c r="G394" s="1">
        <v>8888</v>
      </c>
      <c r="H394" s="1">
        <v>15000</v>
      </c>
      <c r="I394" s="1">
        <v>3</v>
      </c>
      <c r="O394" s="1">
        <v>59</v>
      </c>
      <c r="X394" s="1">
        <v>200003</v>
      </c>
      <c r="Y394" s="1" t="str">
        <f>IFERROR(INDEX([1]物品基础表!$A:$A,MATCH(X394,[1]物品基础表!$B:$B,0)),"")</f>
        <v>铸造晶石</v>
      </c>
      <c r="Z394" s="1">
        <v>300</v>
      </c>
      <c r="AB394" s="1" t="str">
        <f>IFERROR(INDEX([1]物品基础表!$A:$A,MATCH(AA394,[1]物品基础表!$B:$B,0)),"")</f>
        <v/>
      </c>
      <c r="AE394" s="1" t="str">
        <f>IFERROR(INDEX([1]物品基础表!$A:$A,MATCH(AD394,[1]物品基础表!$B:$B,0)),"")</f>
        <v/>
      </c>
      <c r="AH394" s="1" t="str">
        <f>IFERROR(INDEX([1]物品基础表!$A:$A,MATCH(AG394,[1]物品基础表!$B:$B,0)),"")</f>
        <v/>
      </c>
      <c r="AK394" s="1" t="str">
        <f>IFERROR(INDEX([1]物品基础表!$A:$A,MATCH(AJ394,[1]物品基础表!$B:$B,0)),"")</f>
        <v/>
      </c>
      <c r="AN394" s="1" t="str">
        <f>IFERROR(INDEX([1]物品基础表!$A:$A,MATCH(AM394,[1]物品基础表!$B:$B,0)),"")</f>
        <v/>
      </c>
      <c r="AQ394" s="1" t="str">
        <f>IFERROR(INDEX([1]物品基础表!$A:$A,MATCH(AP394,[1]物品基础表!$B:$B,0)),"")</f>
        <v/>
      </c>
    </row>
    <row r="395" spans="1:43">
      <c r="A395" s="1" t="str">
        <f>INDEX([2]活动总表!$A$8:$A$429,MATCH(B395,[2]活动总表!$B$8:$B$429,0))</f>
        <v>春节限购2</v>
      </c>
      <c r="B395" s="1">
        <v>555</v>
      </c>
      <c r="C395" s="1">
        <v>1</v>
      </c>
      <c r="D395" s="1">
        <v>5</v>
      </c>
      <c r="E395" s="1">
        <v>0</v>
      </c>
      <c r="F395" s="1" t="s">
        <v>706</v>
      </c>
      <c r="G395" s="1">
        <v>888</v>
      </c>
      <c r="H395" s="1">
        <v>1500</v>
      </c>
      <c r="I395" s="1">
        <v>1</v>
      </c>
      <c r="O395" s="1">
        <v>59</v>
      </c>
      <c r="X395" s="1">
        <v>200005</v>
      </c>
      <c r="Y395" s="1" t="str">
        <f>IFERROR(INDEX([1]物品基础表!$A:$A,MATCH(X395,[1]物品基础表!$B:$B,0)),"")</f>
        <v>龙魂碎片</v>
      </c>
      <c r="Z395" s="1">
        <v>15</v>
      </c>
      <c r="AB395" s="1" t="str">
        <f>IFERROR(INDEX([1]物品基础表!$A:$A,MATCH(AA395,[1]物品基础表!$B:$B,0)),"")</f>
        <v/>
      </c>
      <c r="AE395" s="1" t="str">
        <f>IFERROR(INDEX([1]物品基础表!$A:$A,MATCH(AD395,[1]物品基础表!$B:$B,0)),"")</f>
        <v/>
      </c>
      <c r="AH395" s="1" t="str">
        <f>IFERROR(INDEX([1]物品基础表!$A:$A,MATCH(AG395,[1]物品基础表!$B:$B,0)),"")</f>
        <v/>
      </c>
      <c r="AK395" s="1" t="str">
        <f>IFERROR(INDEX([1]物品基础表!$A:$A,MATCH(AJ395,[1]物品基础表!$B:$B,0)),"")</f>
        <v/>
      </c>
      <c r="AN395" s="1" t="str">
        <f>IFERROR(INDEX([1]物品基础表!$A:$A,MATCH(AM395,[1]物品基础表!$B:$B,0)),"")</f>
        <v/>
      </c>
      <c r="AQ395" s="1" t="str">
        <f>IFERROR(INDEX([1]物品基础表!$A:$A,MATCH(AP395,[1]物品基础表!$B:$B,0)),"")</f>
        <v/>
      </c>
    </row>
    <row r="396" spans="1:43">
      <c r="A396" s="1" t="str">
        <f>INDEX([2]活动总表!$A$8:$A$429,MATCH(B396,[2]活动总表!$B$8:$B$429,0))</f>
        <v>春节限购2</v>
      </c>
      <c r="B396" s="1">
        <v>555</v>
      </c>
      <c r="C396" s="1">
        <v>2</v>
      </c>
      <c r="D396" s="1">
        <v>7</v>
      </c>
      <c r="E396" s="1">
        <v>0</v>
      </c>
      <c r="F396" s="1" t="s">
        <v>706</v>
      </c>
      <c r="G396" s="1">
        <v>1588</v>
      </c>
      <c r="H396" s="1">
        <v>5000</v>
      </c>
      <c r="I396" s="1">
        <v>1</v>
      </c>
      <c r="O396" s="1">
        <v>31</v>
      </c>
      <c r="X396" s="1">
        <v>200005</v>
      </c>
      <c r="Y396" s="1" t="str">
        <f>IFERROR(INDEX([1]物品基础表!$A:$A,MATCH(X396,[1]物品基础表!$B:$B,0)),"")</f>
        <v>龙魂碎片</v>
      </c>
      <c r="Z396" s="1">
        <v>50</v>
      </c>
      <c r="AB396" s="1" t="str">
        <f>IFERROR(INDEX([1]物品基础表!$A:$A,MATCH(AA396,[1]物品基础表!$B:$B,0)),"")</f>
        <v/>
      </c>
      <c r="AE396" s="1" t="str">
        <f>IFERROR(INDEX([1]物品基础表!$A:$A,MATCH(AD396,[1]物品基础表!$B:$B,0)),"")</f>
        <v/>
      </c>
      <c r="AH396" s="1" t="str">
        <f>IFERROR(INDEX([1]物品基础表!$A:$A,MATCH(AG396,[1]物品基础表!$B:$B,0)),"")</f>
        <v/>
      </c>
      <c r="AK396" s="1" t="str">
        <f>IFERROR(INDEX([1]物品基础表!$A:$A,MATCH(AJ396,[1]物品基础表!$B:$B,0)),"")</f>
        <v/>
      </c>
      <c r="AN396" s="1" t="str">
        <f>IFERROR(INDEX([1]物品基础表!$A:$A,MATCH(AM396,[1]物品基础表!$B:$B,0)),"")</f>
        <v/>
      </c>
      <c r="AQ396" s="1" t="str">
        <f>IFERROR(INDEX([1]物品基础表!$A:$A,MATCH(AP396,[1]物品基础表!$B:$B,0)),"")</f>
        <v/>
      </c>
    </row>
    <row r="397" spans="1:43">
      <c r="A397" s="1" t="str">
        <f>INDEX([2]活动总表!$A$8:$A$429,MATCH(B397,[2]活动总表!$B$8:$B$429,0))</f>
        <v>春节限购2</v>
      </c>
      <c r="B397" s="1">
        <v>555</v>
      </c>
      <c r="C397" s="1">
        <v>3</v>
      </c>
      <c r="D397" s="1">
        <v>7</v>
      </c>
      <c r="E397" s="1">
        <v>0</v>
      </c>
      <c r="F397" s="1" t="s">
        <v>706</v>
      </c>
      <c r="G397" s="1">
        <v>2888</v>
      </c>
      <c r="H397" s="1">
        <v>8500</v>
      </c>
      <c r="I397" s="1">
        <v>1</v>
      </c>
      <c r="O397" s="1">
        <v>33</v>
      </c>
      <c r="X397" s="1">
        <v>200005</v>
      </c>
      <c r="Y397" s="1" t="str">
        <f>IFERROR(INDEX([1]物品基础表!$A:$A,MATCH(X397,[1]物品基础表!$B:$B,0)),"")</f>
        <v>龙魂碎片</v>
      </c>
      <c r="Z397" s="1">
        <v>85</v>
      </c>
      <c r="AB397" s="1" t="str">
        <f>IFERROR(INDEX([1]物品基础表!$A:$A,MATCH(AA397,[1]物品基础表!$B:$B,0)),"")</f>
        <v/>
      </c>
      <c r="AE397" s="1" t="str">
        <f>IFERROR(INDEX([1]物品基础表!$A:$A,MATCH(AD397,[1]物品基础表!$B:$B,0)),"")</f>
        <v/>
      </c>
      <c r="AH397" s="1" t="str">
        <f>IFERROR(INDEX([1]物品基础表!$A:$A,MATCH(AG397,[1]物品基础表!$B:$B,0)),"")</f>
        <v/>
      </c>
      <c r="AK397" s="1" t="str">
        <f>IFERROR(INDEX([1]物品基础表!$A:$A,MATCH(AJ397,[1]物品基础表!$B:$B,0)),"")</f>
        <v/>
      </c>
      <c r="AN397" s="1" t="str">
        <f>IFERROR(INDEX([1]物品基础表!$A:$A,MATCH(AM397,[1]物品基础表!$B:$B,0)),"")</f>
        <v/>
      </c>
      <c r="AQ397" s="1" t="str">
        <f>IFERROR(INDEX([1]物品基础表!$A:$A,MATCH(AP397,[1]物品基础表!$B:$B,0)),"")</f>
        <v/>
      </c>
    </row>
    <row r="398" spans="1:43">
      <c r="A398" s="1" t="str">
        <f>INDEX([2]活动总表!$A$8:$A$429,MATCH(B398,[2]活动总表!$B$8:$B$429,0))</f>
        <v>春节限购2</v>
      </c>
      <c r="B398" s="1">
        <v>555</v>
      </c>
      <c r="C398" s="1">
        <v>4</v>
      </c>
      <c r="D398" s="1">
        <v>7</v>
      </c>
      <c r="E398" s="1">
        <v>0</v>
      </c>
      <c r="F398" s="1" t="s">
        <v>706</v>
      </c>
      <c r="G398" s="1">
        <v>6888</v>
      </c>
      <c r="H398" s="1">
        <v>20000</v>
      </c>
      <c r="I398" s="1">
        <v>1</v>
      </c>
      <c r="O398" s="1">
        <v>34</v>
      </c>
      <c r="X398" s="1">
        <v>200005</v>
      </c>
      <c r="Y398" s="1" t="str">
        <f>IFERROR(INDEX([1]物品基础表!$A:$A,MATCH(X398,[1]物品基础表!$B:$B,0)),"")</f>
        <v>龙魂碎片</v>
      </c>
      <c r="Z398" s="1">
        <v>200</v>
      </c>
      <c r="AB398" s="1" t="str">
        <f>IFERROR(INDEX([1]物品基础表!$A:$A,MATCH(AA398,[1]物品基础表!$B:$B,0)),"")</f>
        <v/>
      </c>
      <c r="AE398" s="1" t="str">
        <f>IFERROR(INDEX([1]物品基础表!$A:$A,MATCH(AD398,[1]物品基础表!$B:$B,0)),"")</f>
        <v/>
      </c>
      <c r="AH398" s="1" t="str">
        <f>IFERROR(INDEX([1]物品基础表!$A:$A,MATCH(AG398,[1]物品基础表!$B:$B,0)),"")</f>
        <v/>
      </c>
      <c r="AK398" s="1" t="str">
        <f>IFERROR(INDEX([1]物品基础表!$A:$A,MATCH(AJ398,[1]物品基础表!$B:$B,0)),"")</f>
        <v/>
      </c>
      <c r="AN398" s="1" t="str">
        <f>IFERROR(INDEX([1]物品基础表!$A:$A,MATCH(AM398,[1]物品基础表!$B:$B,0)),"")</f>
        <v/>
      </c>
      <c r="AQ398" s="1" t="str">
        <f>IFERROR(INDEX([1]物品基础表!$A:$A,MATCH(AP398,[1]物品基础表!$B:$B,0)),"")</f>
        <v/>
      </c>
    </row>
    <row r="399" spans="1:43">
      <c r="A399" s="1" t="str">
        <f>INDEX([2]活动总表!$A$8:$A$429,MATCH(B399,[2]活动总表!$B$8:$B$429,0))</f>
        <v>春节限购2</v>
      </c>
      <c r="B399" s="1">
        <v>555</v>
      </c>
      <c r="C399" s="1">
        <v>5</v>
      </c>
      <c r="D399" s="1">
        <v>5</v>
      </c>
      <c r="E399" s="1">
        <v>0</v>
      </c>
      <c r="F399" s="1" t="s">
        <v>706</v>
      </c>
      <c r="G399" s="1">
        <v>2888</v>
      </c>
      <c r="H399" s="1">
        <v>5000</v>
      </c>
      <c r="I399" s="1">
        <v>1</v>
      </c>
      <c r="O399" s="1">
        <v>57</v>
      </c>
      <c r="X399" s="1">
        <v>200005</v>
      </c>
      <c r="Y399" s="1" t="str">
        <f>IFERROR(INDEX([1]物品基础表!$A:$A,MATCH(X399,[1]物品基础表!$B:$B,0)),"")</f>
        <v>龙魂碎片</v>
      </c>
      <c r="Z399" s="1">
        <v>50</v>
      </c>
      <c r="AB399" s="1" t="str">
        <f>IFERROR(INDEX([1]物品基础表!$A:$A,MATCH(AA399,[1]物品基础表!$B:$B,0)),"")</f>
        <v/>
      </c>
      <c r="AE399" s="1" t="str">
        <f>IFERROR(INDEX([1]物品基础表!$A:$A,MATCH(AD399,[1]物品基础表!$B:$B,0)),"")</f>
        <v/>
      </c>
      <c r="AH399" s="1" t="str">
        <f>IFERROR(INDEX([1]物品基础表!$A:$A,MATCH(AG399,[1]物品基础表!$B:$B,0)),"")</f>
        <v/>
      </c>
      <c r="AK399" s="1" t="str">
        <f>IFERROR(INDEX([1]物品基础表!$A:$A,MATCH(AJ399,[1]物品基础表!$B:$B,0)),"")</f>
        <v/>
      </c>
      <c r="AN399" s="1" t="str">
        <f>IFERROR(INDEX([1]物品基础表!$A:$A,MATCH(AM399,[1]物品基础表!$B:$B,0)),"")</f>
        <v/>
      </c>
      <c r="AQ399" s="1" t="str">
        <f>IFERROR(INDEX([1]物品基础表!$A:$A,MATCH(AP399,[1]物品基础表!$B:$B,0)),"")</f>
        <v/>
      </c>
    </row>
    <row r="400" spans="1:43">
      <c r="A400" s="1" t="str">
        <f>INDEX([2]活动总表!$A$8:$A$429,MATCH(B400,[2]活动总表!$B$8:$B$429,0))</f>
        <v>春节限购2</v>
      </c>
      <c r="B400" s="1">
        <v>555</v>
      </c>
      <c r="C400" s="1">
        <v>6</v>
      </c>
      <c r="D400" s="1">
        <v>5</v>
      </c>
      <c r="E400" s="1">
        <v>0</v>
      </c>
      <c r="F400" s="1" t="s">
        <v>706</v>
      </c>
      <c r="G400" s="1">
        <v>8888</v>
      </c>
      <c r="H400" s="1">
        <v>15000</v>
      </c>
      <c r="I400" s="1">
        <v>3</v>
      </c>
      <c r="O400" s="1">
        <v>59</v>
      </c>
      <c r="X400" s="1">
        <v>200005</v>
      </c>
      <c r="Y400" s="1" t="str">
        <f>IFERROR(INDEX([1]物品基础表!$A:$A,MATCH(X400,[1]物品基础表!$B:$B,0)),"")</f>
        <v>龙魂碎片</v>
      </c>
      <c r="Z400" s="1">
        <v>150</v>
      </c>
      <c r="AB400" s="1" t="str">
        <f>IFERROR(INDEX([1]物品基础表!$A:$A,MATCH(AA400,[1]物品基础表!$B:$B,0)),"")</f>
        <v/>
      </c>
      <c r="AE400" s="1" t="str">
        <f>IFERROR(INDEX([1]物品基础表!$A:$A,MATCH(AD400,[1]物品基础表!$B:$B,0)),"")</f>
        <v/>
      </c>
      <c r="AH400" s="1" t="str">
        <f>IFERROR(INDEX([1]物品基础表!$A:$A,MATCH(AG400,[1]物品基础表!$B:$B,0)),"")</f>
        <v/>
      </c>
      <c r="AK400" s="1" t="str">
        <f>IFERROR(INDEX([1]物品基础表!$A:$A,MATCH(AJ400,[1]物品基础表!$B:$B,0)),"")</f>
        <v/>
      </c>
      <c r="AN400" s="1" t="str">
        <f>IFERROR(INDEX([1]物品基础表!$A:$A,MATCH(AM400,[1]物品基础表!$B:$B,0)),"")</f>
        <v/>
      </c>
      <c r="AQ400" s="1" t="str">
        <f>IFERROR(INDEX([1]物品基础表!$A:$A,MATCH(AP400,[1]物品基础表!$B:$B,0)),"")</f>
        <v/>
      </c>
    </row>
    <row r="401" spans="1:43">
      <c r="A401" s="1" t="str">
        <f>INDEX([2]活动总表!$A$8:$A$429,MATCH(B401,[2]活动总表!$B$8:$B$429,0))</f>
        <v>春节限购3</v>
      </c>
      <c r="B401" s="1">
        <v>556</v>
      </c>
      <c r="C401" s="1">
        <v>1</v>
      </c>
      <c r="D401" s="1">
        <v>5</v>
      </c>
      <c r="E401" s="1">
        <v>0</v>
      </c>
      <c r="F401" s="1" t="s">
        <v>706</v>
      </c>
      <c r="G401" s="1">
        <v>888</v>
      </c>
      <c r="H401" s="1">
        <v>1500</v>
      </c>
      <c r="I401" s="1">
        <v>1</v>
      </c>
      <c r="O401" s="1">
        <v>59</v>
      </c>
      <c r="X401" s="1">
        <v>200301</v>
      </c>
      <c r="Y401" s="1" t="str">
        <f>IFERROR(INDEX([1]物品基础表!$A:$A,MATCH(X401,[1]物品基础表!$B:$B,0)),"")</f>
        <v>传世宝钻</v>
      </c>
      <c r="Z401" s="1">
        <v>15</v>
      </c>
      <c r="AB401" s="1" t="str">
        <f>IFERROR(INDEX([1]物品基础表!$A:$A,MATCH(AA401,[1]物品基础表!$B:$B,0)),"")</f>
        <v/>
      </c>
      <c r="AE401" s="1" t="str">
        <f>IFERROR(INDEX([1]物品基础表!$A:$A,MATCH(AD401,[1]物品基础表!$B:$B,0)),"")</f>
        <v/>
      </c>
      <c r="AH401" s="1" t="str">
        <f>IFERROR(INDEX([1]物品基础表!$A:$A,MATCH(AG401,[1]物品基础表!$B:$B,0)),"")</f>
        <v/>
      </c>
      <c r="AK401" s="1" t="str">
        <f>IFERROR(INDEX([1]物品基础表!$A:$A,MATCH(AJ401,[1]物品基础表!$B:$B,0)),"")</f>
        <v/>
      </c>
      <c r="AN401" s="1" t="str">
        <f>IFERROR(INDEX([1]物品基础表!$A:$A,MATCH(AM401,[1]物品基础表!$B:$B,0)),"")</f>
        <v/>
      </c>
      <c r="AQ401" s="1" t="str">
        <f>IFERROR(INDEX([1]物品基础表!$A:$A,MATCH(AP401,[1]物品基础表!$B:$B,0)),"")</f>
        <v/>
      </c>
    </row>
    <row r="402" spans="1:43">
      <c r="A402" s="1" t="str">
        <f>INDEX([2]活动总表!$A$8:$A$429,MATCH(B402,[2]活动总表!$B$8:$B$429,0))</f>
        <v>春节限购3</v>
      </c>
      <c r="B402" s="1">
        <v>556</v>
      </c>
      <c r="C402" s="1">
        <v>2</v>
      </c>
      <c r="D402" s="1">
        <v>7</v>
      </c>
      <c r="E402" s="1">
        <v>0</v>
      </c>
      <c r="F402" s="1" t="s">
        <v>706</v>
      </c>
      <c r="G402" s="1">
        <v>1588</v>
      </c>
      <c r="H402" s="1">
        <v>5000</v>
      </c>
      <c r="I402" s="1">
        <v>1</v>
      </c>
      <c r="O402" s="1">
        <v>31</v>
      </c>
      <c r="X402" s="1">
        <v>200301</v>
      </c>
      <c r="Y402" s="1" t="str">
        <f>IFERROR(INDEX([1]物品基础表!$A:$A,MATCH(X402,[1]物品基础表!$B:$B,0)),"")</f>
        <v>传世宝钻</v>
      </c>
      <c r="Z402" s="1">
        <v>50</v>
      </c>
      <c r="AB402" s="1" t="str">
        <f>IFERROR(INDEX([1]物品基础表!$A:$A,MATCH(AA402,[1]物品基础表!$B:$B,0)),"")</f>
        <v/>
      </c>
      <c r="AE402" s="1" t="str">
        <f>IFERROR(INDEX([1]物品基础表!$A:$A,MATCH(AD402,[1]物品基础表!$B:$B,0)),"")</f>
        <v/>
      </c>
      <c r="AH402" s="1" t="str">
        <f>IFERROR(INDEX([1]物品基础表!$A:$A,MATCH(AG402,[1]物品基础表!$B:$B,0)),"")</f>
        <v/>
      </c>
      <c r="AK402" s="1" t="str">
        <f>IFERROR(INDEX([1]物品基础表!$A:$A,MATCH(AJ402,[1]物品基础表!$B:$B,0)),"")</f>
        <v/>
      </c>
      <c r="AN402" s="1" t="str">
        <f>IFERROR(INDEX([1]物品基础表!$A:$A,MATCH(AM402,[1]物品基础表!$B:$B,0)),"")</f>
        <v/>
      </c>
      <c r="AQ402" s="1" t="str">
        <f>IFERROR(INDEX([1]物品基础表!$A:$A,MATCH(AP402,[1]物品基础表!$B:$B,0)),"")</f>
        <v/>
      </c>
    </row>
    <row r="403" spans="1:43">
      <c r="A403" s="1" t="str">
        <f>INDEX([2]活动总表!$A$8:$A$429,MATCH(B403,[2]活动总表!$B$8:$B$429,0))</f>
        <v>春节限购3</v>
      </c>
      <c r="B403" s="1">
        <v>556</v>
      </c>
      <c r="C403" s="1">
        <v>3</v>
      </c>
      <c r="D403" s="1">
        <v>7</v>
      </c>
      <c r="E403" s="1">
        <v>0</v>
      </c>
      <c r="F403" s="1" t="s">
        <v>706</v>
      </c>
      <c r="G403" s="1">
        <v>2888</v>
      </c>
      <c r="H403" s="1">
        <v>8500</v>
      </c>
      <c r="I403" s="1">
        <v>1</v>
      </c>
      <c r="O403" s="1">
        <v>33</v>
      </c>
      <c r="X403" s="1">
        <v>200301</v>
      </c>
      <c r="Y403" s="1" t="str">
        <f>IFERROR(INDEX([1]物品基础表!$A:$A,MATCH(X403,[1]物品基础表!$B:$B,0)),"")</f>
        <v>传世宝钻</v>
      </c>
      <c r="Z403" s="1">
        <v>85</v>
      </c>
      <c r="AB403" s="1" t="str">
        <f>IFERROR(INDEX([1]物品基础表!$A:$A,MATCH(AA403,[1]物品基础表!$B:$B,0)),"")</f>
        <v/>
      </c>
      <c r="AE403" s="1" t="str">
        <f>IFERROR(INDEX([1]物品基础表!$A:$A,MATCH(AD403,[1]物品基础表!$B:$B,0)),"")</f>
        <v/>
      </c>
      <c r="AH403" s="1" t="str">
        <f>IFERROR(INDEX([1]物品基础表!$A:$A,MATCH(AG403,[1]物品基础表!$B:$B,0)),"")</f>
        <v/>
      </c>
      <c r="AK403" s="1" t="str">
        <f>IFERROR(INDEX([1]物品基础表!$A:$A,MATCH(AJ403,[1]物品基础表!$B:$B,0)),"")</f>
        <v/>
      </c>
      <c r="AN403" s="1" t="str">
        <f>IFERROR(INDEX([1]物品基础表!$A:$A,MATCH(AM403,[1]物品基础表!$B:$B,0)),"")</f>
        <v/>
      </c>
      <c r="AQ403" s="1" t="str">
        <f>IFERROR(INDEX([1]物品基础表!$A:$A,MATCH(AP403,[1]物品基础表!$B:$B,0)),"")</f>
        <v/>
      </c>
    </row>
    <row r="404" spans="1:43">
      <c r="A404" s="1" t="str">
        <f>INDEX([2]活动总表!$A$8:$A$429,MATCH(B404,[2]活动总表!$B$8:$B$429,0))</f>
        <v>春节限购3</v>
      </c>
      <c r="B404" s="1">
        <v>556</v>
      </c>
      <c r="C404" s="1">
        <v>4</v>
      </c>
      <c r="D404" s="1">
        <v>7</v>
      </c>
      <c r="E404" s="1">
        <v>0</v>
      </c>
      <c r="F404" s="1" t="s">
        <v>706</v>
      </c>
      <c r="G404" s="1">
        <v>6888</v>
      </c>
      <c r="H404" s="1">
        <v>20000</v>
      </c>
      <c r="I404" s="1">
        <v>1</v>
      </c>
      <c r="O404" s="1">
        <v>34</v>
      </c>
      <c r="X404" s="1">
        <v>200301</v>
      </c>
      <c r="Y404" s="1" t="str">
        <f>IFERROR(INDEX([1]物品基础表!$A:$A,MATCH(X404,[1]物品基础表!$B:$B,0)),"")</f>
        <v>传世宝钻</v>
      </c>
      <c r="Z404" s="1">
        <v>200</v>
      </c>
      <c r="AB404" s="1" t="str">
        <f>IFERROR(INDEX([1]物品基础表!$A:$A,MATCH(AA404,[1]物品基础表!$B:$B,0)),"")</f>
        <v/>
      </c>
      <c r="AE404" s="1" t="str">
        <f>IFERROR(INDEX([1]物品基础表!$A:$A,MATCH(AD404,[1]物品基础表!$B:$B,0)),"")</f>
        <v/>
      </c>
      <c r="AH404" s="1" t="str">
        <f>IFERROR(INDEX([1]物品基础表!$A:$A,MATCH(AG404,[1]物品基础表!$B:$B,0)),"")</f>
        <v/>
      </c>
      <c r="AK404" s="1" t="str">
        <f>IFERROR(INDEX([1]物品基础表!$A:$A,MATCH(AJ404,[1]物品基础表!$B:$B,0)),"")</f>
        <v/>
      </c>
      <c r="AN404" s="1" t="str">
        <f>IFERROR(INDEX([1]物品基础表!$A:$A,MATCH(AM404,[1]物品基础表!$B:$B,0)),"")</f>
        <v/>
      </c>
      <c r="AQ404" s="1" t="str">
        <f>IFERROR(INDEX([1]物品基础表!$A:$A,MATCH(AP404,[1]物品基础表!$B:$B,0)),"")</f>
        <v/>
      </c>
    </row>
    <row r="405" spans="1:43">
      <c r="A405" s="1" t="str">
        <f>INDEX([2]活动总表!$A$8:$A$429,MATCH(B405,[2]活动总表!$B$8:$B$429,0))</f>
        <v>春节限购3</v>
      </c>
      <c r="B405" s="1">
        <v>556</v>
      </c>
      <c r="C405" s="1">
        <v>5</v>
      </c>
      <c r="D405" s="1">
        <v>5</v>
      </c>
      <c r="E405" s="1">
        <v>0</v>
      </c>
      <c r="F405" s="1" t="s">
        <v>706</v>
      </c>
      <c r="G405" s="1">
        <v>2888</v>
      </c>
      <c r="H405" s="1">
        <v>5000</v>
      </c>
      <c r="I405" s="1">
        <v>1</v>
      </c>
      <c r="O405" s="1">
        <v>57</v>
      </c>
      <c r="X405" s="1">
        <v>200301</v>
      </c>
      <c r="Y405" s="1" t="str">
        <f>IFERROR(INDEX([1]物品基础表!$A:$A,MATCH(X405,[1]物品基础表!$B:$B,0)),"")</f>
        <v>传世宝钻</v>
      </c>
      <c r="Z405" s="1">
        <v>50</v>
      </c>
      <c r="AB405" s="1" t="str">
        <f>IFERROR(INDEX([1]物品基础表!$A:$A,MATCH(AA405,[1]物品基础表!$B:$B,0)),"")</f>
        <v/>
      </c>
      <c r="AE405" s="1" t="str">
        <f>IFERROR(INDEX([1]物品基础表!$A:$A,MATCH(AD405,[1]物品基础表!$B:$B,0)),"")</f>
        <v/>
      </c>
      <c r="AH405" s="1" t="str">
        <f>IFERROR(INDEX([1]物品基础表!$A:$A,MATCH(AG405,[1]物品基础表!$B:$B,0)),"")</f>
        <v/>
      </c>
      <c r="AK405" s="1" t="str">
        <f>IFERROR(INDEX([1]物品基础表!$A:$A,MATCH(AJ405,[1]物品基础表!$B:$B,0)),"")</f>
        <v/>
      </c>
      <c r="AN405" s="1" t="str">
        <f>IFERROR(INDEX([1]物品基础表!$A:$A,MATCH(AM405,[1]物品基础表!$B:$B,0)),"")</f>
        <v/>
      </c>
      <c r="AQ405" s="1" t="str">
        <f>IFERROR(INDEX([1]物品基础表!$A:$A,MATCH(AP405,[1]物品基础表!$B:$B,0)),"")</f>
        <v/>
      </c>
    </row>
    <row r="406" spans="1:43">
      <c r="A406" s="1" t="str">
        <f>INDEX([2]活动总表!$A$8:$A$429,MATCH(B406,[2]活动总表!$B$8:$B$429,0))</f>
        <v>春节限购3</v>
      </c>
      <c r="B406" s="1">
        <v>556</v>
      </c>
      <c r="C406" s="1">
        <v>6</v>
      </c>
      <c r="D406" s="1">
        <v>5</v>
      </c>
      <c r="E406" s="1">
        <v>0</v>
      </c>
      <c r="F406" s="1" t="s">
        <v>706</v>
      </c>
      <c r="G406" s="1">
        <v>8888</v>
      </c>
      <c r="H406" s="1">
        <v>15000</v>
      </c>
      <c r="I406" s="1">
        <v>3</v>
      </c>
      <c r="O406" s="1">
        <v>59</v>
      </c>
      <c r="X406" s="1">
        <v>200301</v>
      </c>
      <c r="Y406" s="1" t="str">
        <f>IFERROR(INDEX([1]物品基础表!$A:$A,MATCH(X406,[1]物品基础表!$B:$B,0)),"")</f>
        <v>传世宝钻</v>
      </c>
      <c r="Z406" s="1">
        <v>150</v>
      </c>
      <c r="AB406" s="1" t="str">
        <f>IFERROR(INDEX([1]物品基础表!$A:$A,MATCH(AA406,[1]物品基础表!$B:$B,0)),"")</f>
        <v/>
      </c>
      <c r="AE406" s="1" t="str">
        <f>IFERROR(INDEX([1]物品基础表!$A:$A,MATCH(AD406,[1]物品基础表!$B:$B,0)),"")</f>
        <v/>
      </c>
      <c r="AH406" s="1" t="str">
        <f>IFERROR(INDEX([1]物品基础表!$A:$A,MATCH(AG406,[1]物品基础表!$B:$B,0)),"")</f>
        <v/>
      </c>
      <c r="AK406" s="1" t="str">
        <f>IFERROR(INDEX([1]物品基础表!$A:$A,MATCH(AJ406,[1]物品基础表!$B:$B,0)),"")</f>
        <v/>
      </c>
      <c r="AN406" s="1" t="str">
        <f>IFERROR(INDEX([1]物品基础表!$A:$A,MATCH(AM406,[1]物品基础表!$B:$B,0)),"")</f>
        <v/>
      </c>
      <c r="AQ406" s="1" t="str">
        <f>IFERROR(INDEX([1]物品基础表!$A:$A,MATCH(AP406,[1]物品基础表!$B:$B,0)),"")</f>
        <v/>
      </c>
    </row>
    <row r="407" spans="1:43">
      <c r="A407" s="1" t="str">
        <f>INDEX([2]活动总表!$A$8:$A$429,MATCH(B407,[2]活动总表!$B$8:$B$429,0))</f>
        <v>春节限购4</v>
      </c>
      <c r="B407" s="1">
        <v>557</v>
      </c>
      <c r="C407" s="1">
        <v>1</v>
      </c>
      <c r="D407" s="1">
        <v>5</v>
      </c>
      <c r="E407" s="1">
        <v>0</v>
      </c>
      <c r="F407" s="1" t="s">
        <v>706</v>
      </c>
      <c r="G407" s="1">
        <v>888</v>
      </c>
      <c r="H407" s="1">
        <v>1500</v>
      </c>
      <c r="I407" s="1">
        <v>1</v>
      </c>
      <c r="O407" s="1">
        <v>59</v>
      </c>
      <c r="X407" s="1">
        <v>200015</v>
      </c>
      <c r="Y407" s="1" t="str">
        <f>IFERROR(INDEX([1]物品基础表!$A:$A,MATCH(X407,[1]物品基础表!$B:$B,0)),"")</f>
        <v>特戒碎片</v>
      </c>
      <c r="Z407" s="1">
        <v>150</v>
      </c>
      <c r="AB407" s="1" t="str">
        <f>IFERROR(INDEX([1]物品基础表!$A:$A,MATCH(AA407,[1]物品基础表!$B:$B,0)),"")</f>
        <v/>
      </c>
      <c r="AE407" s="1" t="str">
        <f>IFERROR(INDEX([1]物品基础表!$A:$A,MATCH(AD407,[1]物品基础表!$B:$B,0)),"")</f>
        <v/>
      </c>
      <c r="AH407" s="1" t="str">
        <f>IFERROR(INDEX([1]物品基础表!$A:$A,MATCH(AG407,[1]物品基础表!$B:$B,0)),"")</f>
        <v/>
      </c>
      <c r="AK407" s="1" t="str">
        <f>IFERROR(INDEX([1]物品基础表!$A:$A,MATCH(AJ407,[1]物品基础表!$B:$B,0)),"")</f>
        <v/>
      </c>
      <c r="AN407" s="1" t="str">
        <f>IFERROR(INDEX([1]物品基础表!$A:$A,MATCH(AM407,[1]物品基础表!$B:$B,0)),"")</f>
        <v/>
      </c>
      <c r="AQ407" s="1" t="str">
        <f>IFERROR(INDEX([1]物品基础表!$A:$A,MATCH(AP407,[1]物品基础表!$B:$B,0)),"")</f>
        <v/>
      </c>
    </row>
    <row r="408" spans="1:43">
      <c r="A408" s="1" t="str">
        <f>INDEX([2]活动总表!$A$8:$A$429,MATCH(B408,[2]活动总表!$B$8:$B$429,0))</f>
        <v>春节限购4</v>
      </c>
      <c r="B408" s="1">
        <v>557</v>
      </c>
      <c r="C408" s="1">
        <v>2</v>
      </c>
      <c r="D408" s="1">
        <v>7</v>
      </c>
      <c r="E408" s="1">
        <v>0</v>
      </c>
      <c r="F408" s="1" t="s">
        <v>706</v>
      </c>
      <c r="G408" s="1">
        <v>1588</v>
      </c>
      <c r="H408" s="1">
        <v>5000</v>
      </c>
      <c r="I408" s="1">
        <v>1</v>
      </c>
      <c r="O408" s="1">
        <v>31</v>
      </c>
      <c r="X408" s="1">
        <v>200015</v>
      </c>
      <c r="Y408" s="1" t="str">
        <f>IFERROR(INDEX([1]物品基础表!$A:$A,MATCH(X408,[1]物品基础表!$B:$B,0)),"")</f>
        <v>特戒碎片</v>
      </c>
      <c r="Z408" s="1">
        <v>500</v>
      </c>
      <c r="AB408" s="1" t="str">
        <f>IFERROR(INDEX([1]物品基础表!$A:$A,MATCH(AA408,[1]物品基础表!$B:$B,0)),"")</f>
        <v/>
      </c>
      <c r="AE408" s="1" t="str">
        <f>IFERROR(INDEX([1]物品基础表!$A:$A,MATCH(AD408,[1]物品基础表!$B:$B,0)),"")</f>
        <v/>
      </c>
      <c r="AH408" s="1" t="str">
        <f>IFERROR(INDEX([1]物品基础表!$A:$A,MATCH(AG408,[1]物品基础表!$B:$B,0)),"")</f>
        <v/>
      </c>
      <c r="AK408" s="1" t="str">
        <f>IFERROR(INDEX([1]物品基础表!$A:$A,MATCH(AJ408,[1]物品基础表!$B:$B,0)),"")</f>
        <v/>
      </c>
      <c r="AN408" s="1" t="str">
        <f>IFERROR(INDEX([1]物品基础表!$A:$A,MATCH(AM408,[1]物品基础表!$B:$B,0)),"")</f>
        <v/>
      </c>
      <c r="AQ408" s="1" t="str">
        <f>IFERROR(INDEX([1]物品基础表!$A:$A,MATCH(AP408,[1]物品基础表!$B:$B,0)),"")</f>
        <v/>
      </c>
    </row>
    <row r="409" spans="1:43">
      <c r="A409" s="1" t="str">
        <f>INDEX([2]活动总表!$A$8:$A$429,MATCH(B409,[2]活动总表!$B$8:$B$429,0))</f>
        <v>春节限购4</v>
      </c>
      <c r="B409" s="1">
        <v>557</v>
      </c>
      <c r="C409" s="1">
        <v>3</v>
      </c>
      <c r="D409" s="1">
        <v>7</v>
      </c>
      <c r="E409" s="1">
        <v>0</v>
      </c>
      <c r="F409" s="1" t="s">
        <v>706</v>
      </c>
      <c r="G409" s="1">
        <v>2888</v>
      </c>
      <c r="H409" s="1">
        <v>8500</v>
      </c>
      <c r="I409" s="1">
        <v>1</v>
      </c>
      <c r="O409" s="1">
        <v>33</v>
      </c>
      <c r="X409" s="1">
        <v>200015</v>
      </c>
      <c r="Y409" s="1" t="str">
        <f>IFERROR(INDEX([1]物品基础表!$A:$A,MATCH(X409,[1]物品基础表!$B:$B,0)),"")</f>
        <v>特戒碎片</v>
      </c>
      <c r="Z409" s="1">
        <v>850</v>
      </c>
      <c r="AB409" s="1" t="str">
        <f>IFERROR(INDEX([1]物品基础表!$A:$A,MATCH(AA409,[1]物品基础表!$B:$B,0)),"")</f>
        <v/>
      </c>
      <c r="AE409" s="1" t="str">
        <f>IFERROR(INDEX([1]物品基础表!$A:$A,MATCH(AD409,[1]物品基础表!$B:$B,0)),"")</f>
        <v/>
      </c>
      <c r="AH409" s="1" t="str">
        <f>IFERROR(INDEX([1]物品基础表!$A:$A,MATCH(AG409,[1]物品基础表!$B:$B,0)),"")</f>
        <v/>
      </c>
      <c r="AK409" s="1" t="str">
        <f>IFERROR(INDEX([1]物品基础表!$A:$A,MATCH(AJ409,[1]物品基础表!$B:$B,0)),"")</f>
        <v/>
      </c>
      <c r="AN409" s="1" t="str">
        <f>IFERROR(INDEX([1]物品基础表!$A:$A,MATCH(AM409,[1]物品基础表!$B:$B,0)),"")</f>
        <v/>
      </c>
      <c r="AQ409" s="1" t="str">
        <f>IFERROR(INDEX([1]物品基础表!$A:$A,MATCH(AP409,[1]物品基础表!$B:$B,0)),"")</f>
        <v/>
      </c>
    </row>
    <row r="410" spans="1:43">
      <c r="A410" s="1" t="str">
        <f>INDEX([2]活动总表!$A$8:$A$429,MATCH(B410,[2]活动总表!$B$8:$B$429,0))</f>
        <v>春节限购4</v>
      </c>
      <c r="B410" s="1">
        <v>557</v>
      </c>
      <c r="C410" s="1">
        <v>4</v>
      </c>
      <c r="D410" s="1">
        <v>7</v>
      </c>
      <c r="E410" s="1">
        <v>0</v>
      </c>
      <c r="F410" s="1" t="s">
        <v>706</v>
      </c>
      <c r="G410" s="1">
        <v>6888</v>
      </c>
      <c r="H410" s="1">
        <v>20000</v>
      </c>
      <c r="I410" s="1">
        <v>1</v>
      </c>
      <c r="O410" s="1">
        <v>34</v>
      </c>
      <c r="X410" s="1">
        <v>200015</v>
      </c>
      <c r="Y410" s="1" t="str">
        <f>IFERROR(INDEX([1]物品基础表!$A:$A,MATCH(X410,[1]物品基础表!$B:$B,0)),"")</f>
        <v>特戒碎片</v>
      </c>
      <c r="Z410" s="1">
        <v>2000</v>
      </c>
      <c r="AB410" s="1" t="str">
        <f>IFERROR(INDEX([1]物品基础表!$A:$A,MATCH(AA410,[1]物品基础表!$B:$B,0)),"")</f>
        <v/>
      </c>
      <c r="AE410" s="1" t="str">
        <f>IFERROR(INDEX([1]物品基础表!$A:$A,MATCH(AD410,[1]物品基础表!$B:$B,0)),"")</f>
        <v/>
      </c>
      <c r="AH410" s="1" t="str">
        <f>IFERROR(INDEX([1]物品基础表!$A:$A,MATCH(AG410,[1]物品基础表!$B:$B,0)),"")</f>
        <v/>
      </c>
      <c r="AK410" s="1" t="str">
        <f>IFERROR(INDEX([1]物品基础表!$A:$A,MATCH(AJ410,[1]物品基础表!$B:$B,0)),"")</f>
        <v/>
      </c>
      <c r="AN410" s="1" t="str">
        <f>IFERROR(INDEX([1]物品基础表!$A:$A,MATCH(AM410,[1]物品基础表!$B:$B,0)),"")</f>
        <v/>
      </c>
      <c r="AQ410" s="1" t="str">
        <f>IFERROR(INDEX([1]物品基础表!$A:$A,MATCH(AP410,[1]物品基础表!$B:$B,0)),"")</f>
        <v/>
      </c>
    </row>
    <row r="411" spans="1:43">
      <c r="A411" s="1" t="str">
        <f>INDEX([2]活动总表!$A$8:$A$429,MATCH(B411,[2]活动总表!$B$8:$B$429,0))</f>
        <v>春节限购4</v>
      </c>
      <c r="B411" s="1">
        <v>557</v>
      </c>
      <c r="C411" s="1">
        <v>5</v>
      </c>
      <c r="D411" s="1">
        <v>5</v>
      </c>
      <c r="E411" s="1">
        <v>0</v>
      </c>
      <c r="F411" s="1" t="s">
        <v>706</v>
      </c>
      <c r="G411" s="1">
        <v>2888</v>
      </c>
      <c r="H411" s="1">
        <v>5000</v>
      </c>
      <c r="I411" s="1">
        <v>1</v>
      </c>
      <c r="O411" s="1">
        <v>57</v>
      </c>
      <c r="X411" s="1">
        <v>200015</v>
      </c>
      <c r="Y411" s="1" t="str">
        <f>IFERROR(INDEX([1]物品基础表!$A:$A,MATCH(X411,[1]物品基础表!$B:$B,0)),"")</f>
        <v>特戒碎片</v>
      </c>
      <c r="Z411" s="1">
        <v>500</v>
      </c>
      <c r="AB411" s="1" t="str">
        <f>IFERROR(INDEX([1]物品基础表!$A:$A,MATCH(AA411,[1]物品基础表!$B:$B,0)),"")</f>
        <v/>
      </c>
      <c r="AE411" s="1" t="str">
        <f>IFERROR(INDEX([1]物品基础表!$A:$A,MATCH(AD411,[1]物品基础表!$B:$B,0)),"")</f>
        <v/>
      </c>
      <c r="AH411" s="1" t="str">
        <f>IFERROR(INDEX([1]物品基础表!$A:$A,MATCH(AG411,[1]物品基础表!$B:$B,0)),"")</f>
        <v/>
      </c>
      <c r="AK411" s="1" t="str">
        <f>IFERROR(INDEX([1]物品基础表!$A:$A,MATCH(AJ411,[1]物品基础表!$B:$B,0)),"")</f>
        <v/>
      </c>
      <c r="AN411" s="1" t="str">
        <f>IFERROR(INDEX([1]物品基础表!$A:$A,MATCH(AM411,[1]物品基础表!$B:$B,0)),"")</f>
        <v/>
      </c>
      <c r="AQ411" s="1" t="str">
        <f>IFERROR(INDEX([1]物品基础表!$A:$A,MATCH(AP411,[1]物品基础表!$B:$B,0)),"")</f>
        <v/>
      </c>
    </row>
    <row r="412" spans="1:43">
      <c r="A412" s="1" t="str">
        <f>INDEX([2]活动总表!$A$8:$A$429,MATCH(B412,[2]活动总表!$B$8:$B$429,0))</f>
        <v>春节限购4</v>
      </c>
      <c r="B412" s="1">
        <v>557</v>
      </c>
      <c r="C412" s="1">
        <v>6</v>
      </c>
      <c r="D412" s="1">
        <v>5</v>
      </c>
      <c r="E412" s="1">
        <v>0</v>
      </c>
      <c r="F412" s="1" t="s">
        <v>706</v>
      </c>
      <c r="G412" s="1">
        <v>8888</v>
      </c>
      <c r="H412" s="1">
        <v>15000</v>
      </c>
      <c r="I412" s="1">
        <v>3</v>
      </c>
      <c r="O412" s="1">
        <v>59</v>
      </c>
      <c r="X412" s="1">
        <v>200015</v>
      </c>
      <c r="Y412" s="1" t="str">
        <f>IFERROR(INDEX([1]物品基础表!$A:$A,MATCH(X412,[1]物品基础表!$B:$B,0)),"")</f>
        <v>特戒碎片</v>
      </c>
      <c r="Z412" s="1">
        <v>1500</v>
      </c>
      <c r="AB412" s="1" t="str">
        <f>IFERROR(INDEX([1]物品基础表!$A:$A,MATCH(AA412,[1]物品基础表!$B:$B,0)),"")</f>
        <v/>
      </c>
      <c r="AE412" s="1" t="str">
        <f>IFERROR(INDEX([1]物品基础表!$A:$A,MATCH(AD412,[1]物品基础表!$B:$B,0)),"")</f>
        <v/>
      </c>
      <c r="AH412" s="1" t="str">
        <f>IFERROR(INDEX([1]物品基础表!$A:$A,MATCH(AG412,[1]物品基础表!$B:$B,0)),"")</f>
        <v/>
      </c>
      <c r="AK412" s="1" t="str">
        <f>IFERROR(INDEX([1]物品基础表!$A:$A,MATCH(AJ412,[1]物品基础表!$B:$B,0)),"")</f>
        <v/>
      </c>
      <c r="AN412" s="1" t="str">
        <f>IFERROR(INDEX([1]物品基础表!$A:$A,MATCH(AM412,[1]物品基础表!$B:$B,0)),"")</f>
        <v/>
      </c>
      <c r="AQ412" s="1" t="str">
        <f>IFERROR(INDEX([1]物品基础表!$A:$A,MATCH(AP412,[1]物品基础表!$B:$B,0)),"")</f>
        <v/>
      </c>
    </row>
    <row r="413" spans="1:43">
      <c r="A413" s="1" t="str">
        <f>INDEX([2]活动总表!$A$8:$A$429,MATCH(B413,[2]活动总表!$B$8:$B$429,0))</f>
        <v>春节限购5</v>
      </c>
      <c r="B413" s="1">
        <v>558</v>
      </c>
      <c r="C413" s="1">
        <v>1</v>
      </c>
      <c r="D413" s="1">
        <v>5</v>
      </c>
      <c r="E413" s="1">
        <v>0</v>
      </c>
      <c r="F413" s="1" t="s">
        <v>706</v>
      </c>
      <c r="G413" s="1">
        <v>888</v>
      </c>
      <c r="H413" s="1">
        <v>1500</v>
      </c>
      <c r="I413" s="1">
        <v>1</v>
      </c>
      <c r="O413" s="1">
        <v>59</v>
      </c>
      <c r="X413" s="1">
        <v>200001</v>
      </c>
      <c r="Y413" s="1" t="str">
        <f>IFERROR(INDEX([1]物品基础表!$A:$A,MATCH(X413,[1]物品基础表!$B:$B,0)),"")</f>
        <v>羽毛</v>
      </c>
      <c r="Z413" s="1">
        <v>15</v>
      </c>
      <c r="AB413" s="1" t="str">
        <f>IFERROR(INDEX([1]物品基础表!$A:$A,MATCH(AA413,[1]物品基础表!$B:$B,0)),"")</f>
        <v/>
      </c>
      <c r="AE413" s="1" t="str">
        <f>IFERROR(INDEX([1]物品基础表!$A:$A,MATCH(AD413,[1]物品基础表!$B:$B,0)),"")</f>
        <v/>
      </c>
      <c r="AH413" s="1" t="str">
        <f>IFERROR(INDEX([1]物品基础表!$A:$A,MATCH(AG413,[1]物品基础表!$B:$B,0)),"")</f>
        <v/>
      </c>
      <c r="AK413" s="1" t="str">
        <f>IFERROR(INDEX([1]物品基础表!$A:$A,MATCH(AJ413,[1]物品基础表!$B:$B,0)),"")</f>
        <v/>
      </c>
      <c r="AN413" s="1" t="str">
        <f>IFERROR(INDEX([1]物品基础表!$A:$A,MATCH(AM413,[1]物品基础表!$B:$B,0)),"")</f>
        <v/>
      </c>
      <c r="AQ413" s="1" t="str">
        <f>IFERROR(INDEX([1]物品基础表!$A:$A,MATCH(AP413,[1]物品基础表!$B:$B,0)),"")</f>
        <v/>
      </c>
    </row>
    <row r="414" spans="1:43">
      <c r="A414" s="1" t="str">
        <f>INDEX([2]活动总表!$A$8:$A$429,MATCH(B414,[2]活动总表!$B$8:$B$429,0))</f>
        <v>春节限购5</v>
      </c>
      <c r="B414" s="1">
        <v>558</v>
      </c>
      <c r="C414" s="1">
        <v>2</v>
      </c>
      <c r="D414" s="1">
        <v>8</v>
      </c>
      <c r="E414" s="1">
        <v>0</v>
      </c>
      <c r="F414" s="1" t="s">
        <v>706</v>
      </c>
      <c r="G414" s="1">
        <v>1588</v>
      </c>
      <c r="H414" s="1">
        <v>5000</v>
      </c>
      <c r="I414" s="1">
        <v>1</v>
      </c>
      <c r="O414" s="1">
        <v>31</v>
      </c>
      <c r="X414" s="1">
        <v>200001</v>
      </c>
      <c r="Y414" s="1" t="str">
        <f>IFERROR(INDEX([1]物品基础表!$A:$A,MATCH(X414,[1]物品基础表!$B:$B,0)),"")</f>
        <v>羽毛</v>
      </c>
      <c r="Z414" s="1">
        <v>50</v>
      </c>
      <c r="AB414" s="1" t="str">
        <f>IFERROR(INDEX([1]物品基础表!$A:$A,MATCH(AA414,[1]物品基础表!$B:$B,0)),"")</f>
        <v/>
      </c>
      <c r="AE414" s="1" t="str">
        <f>IFERROR(INDEX([1]物品基础表!$A:$A,MATCH(AD414,[1]物品基础表!$B:$B,0)),"")</f>
        <v/>
      </c>
      <c r="AH414" s="1" t="str">
        <f>IFERROR(INDEX([1]物品基础表!$A:$A,MATCH(AG414,[1]物品基础表!$B:$B,0)),"")</f>
        <v/>
      </c>
      <c r="AK414" s="1" t="str">
        <f>IFERROR(INDEX([1]物品基础表!$A:$A,MATCH(AJ414,[1]物品基础表!$B:$B,0)),"")</f>
        <v/>
      </c>
      <c r="AN414" s="1" t="str">
        <f>IFERROR(INDEX([1]物品基础表!$A:$A,MATCH(AM414,[1]物品基础表!$B:$B,0)),"")</f>
        <v/>
      </c>
      <c r="AQ414" s="1" t="str">
        <f>IFERROR(INDEX([1]物品基础表!$A:$A,MATCH(AP414,[1]物品基础表!$B:$B,0)),"")</f>
        <v/>
      </c>
    </row>
    <row r="415" spans="1:43">
      <c r="A415" s="1" t="str">
        <f>INDEX([2]活动总表!$A$8:$A$429,MATCH(B415,[2]活动总表!$B$8:$B$429,0))</f>
        <v>春节限购5</v>
      </c>
      <c r="B415" s="1">
        <v>558</v>
      </c>
      <c r="C415" s="1">
        <v>3</v>
      </c>
      <c r="D415" s="1">
        <v>8</v>
      </c>
      <c r="E415" s="1">
        <v>0</v>
      </c>
      <c r="F415" s="1" t="s">
        <v>706</v>
      </c>
      <c r="G415" s="1">
        <v>2888</v>
      </c>
      <c r="H415" s="1">
        <v>8500</v>
      </c>
      <c r="I415" s="1">
        <v>1</v>
      </c>
      <c r="O415" s="1">
        <v>33</v>
      </c>
      <c r="X415" s="1">
        <v>200001</v>
      </c>
      <c r="Y415" s="1" t="str">
        <f>IFERROR(INDEX([1]物品基础表!$A:$A,MATCH(X415,[1]物品基础表!$B:$B,0)),"")</f>
        <v>羽毛</v>
      </c>
      <c r="Z415" s="1">
        <v>85</v>
      </c>
      <c r="AB415" s="1" t="str">
        <f>IFERROR(INDEX([1]物品基础表!$A:$A,MATCH(AA415,[1]物品基础表!$B:$B,0)),"")</f>
        <v/>
      </c>
      <c r="AE415" s="1" t="str">
        <f>IFERROR(INDEX([1]物品基础表!$A:$A,MATCH(AD415,[1]物品基础表!$B:$B,0)),"")</f>
        <v/>
      </c>
      <c r="AH415" s="1" t="str">
        <f>IFERROR(INDEX([1]物品基础表!$A:$A,MATCH(AG415,[1]物品基础表!$B:$B,0)),"")</f>
        <v/>
      </c>
      <c r="AK415" s="1" t="str">
        <f>IFERROR(INDEX([1]物品基础表!$A:$A,MATCH(AJ415,[1]物品基础表!$B:$B,0)),"")</f>
        <v/>
      </c>
      <c r="AN415" s="1" t="str">
        <f>IFERROR(INDEX([1]物品基础表!$A:$A,MATCH(AM415,[1]物品基础表!$B:$B,0)),"")</f>
        <v/>
      </c>
      <c r="AQ415" s="1" t="str">
        <f>IFERROR(INDEX([1]物品基础表!$A:$A,MATCH(AP415,[1]物品基础表!$B:$B,0)),"")</f>
        <v/>
      </c>
    </row>
    <row r="416" spans="1:43">
      <c r="A416" s="1" t="str">
        <f>INDEX([2]活动总表!$A$8:$A$429,MATCH(B416,[2]活动总表!$B$8:$B$429,0))</f>
        <v>春节限购5</v>
      </c>
      <c r="B416" s="1">
        <v>558</v>
      </c>
      <c r="C416" s="1">
        <v>4</v>
      </c>
      <c r="D416" s="1">
        <v>8</v>
      </c>
      <c r="E416" s="1">
        <v>0</v>
      </c>
      <c r="F416" s="1" t="s">
        <v>706</v>
      </c>
      <c r="G416" s="1">
        <v>6888</v>
      </c>
      <c r="H416" s="1">
        <v>20000</v>
      </c>
      <c r="I416" s="1">
        <v>1</v>
      </c>
      <c r="O416" s="1">
        <v>34</v>
      </c>
      <c r="X416" s="1">
        <v>200001</v>
      </c>
      <c r="Y416" s="1" t="str">
        <f>IFERROR(INDEX([1]物品基础表!$A:$A,MATCH(X416,[1]物品基础表!$B:$B,0)),"")</f>
        <v>羽毛</v>
      </c>
      <c r="Z416" s="1">
        <v>200</v>
      </c>
      <c r="AB416" s="1" t="str">
        <f>IFERROR(INDEX([1]物品基础表!$A:$A,MATCH(AA416,[1]物品基础表!$B:$B,0)),"")</f>
        <v/>
      </c>
      <c r="AE416" s="1" t="str">
        <f>IFERROR(INDEX([1]物品基础表!$A:$A,MATCH(AD416,[1]物品基础表!$B:$B,0)),"")</f>
        <v/>
      </c>
      <c r="AH416" s="1" t="str">
        <f>IFERROR(INDEX([1]物品基础表!$A:$A,MATCH(AG416,[1]物品基础表!$B:$B,0)),"")</f>
        <v/>
      </c>
      <c r="AK416" s="1" t="str">
        <f>IFERROR(INDEX([1]物品基础表!$A:$A,MATCH(AJ416,[1]物品基础表!$B:$B,0)),"")</f>
        <v/>
      </c>
      <c r="AN416" s="1" t="str">
        <f>IFERROR(INDEX([1]物品基础表!$A:$A,MATCH(AM416,[1]物品基础表!$B:$B,0)),"")</f>
        <v/>
      </c>
      <c r="AQ416" s="1" t="str">
        <f>IFERROR(INDEX([1]物品基础表!$A:$A,MATCH(AP416,[1]物品基础表!$B:$B,0)),"")</f>
        <v/>
      </c>
    </row>
    <row r="417" spans="1:43">
      <c r="A417" s="1" t="str">
        <f>INDEX([2]活动总表!$A$8:$A$429,MATCH(B417,[2]活动总表!$B$8:$B$429,0))</f>
        <v>春节限购5</v>
      </c>
      <c r="B417" s="1">
        <v>558</v>
      </c>
      <c r="C417" s="1">
        <v>5</v>
      </c>
      <c r="D417" s="1">
        <v>5</v>
      </c>
      <c r="E417" s="1">
        <v>0</v>
      </c>
      <c r="F417" s="1" t="s">
        <v>706</v>
      </c>
      <c r="G417" s="1">
        <v>2888</v>
      </c>
      <c r="H417" s="1">
        <v>5000</v>
      </c>
      <c r="I417" s="1">
        <v>1</v>
      </c>
      <c r="O417" s="1">
        <v>57</v>
      </c>
      <c r="X417" s="1">
        <v>200001</v>
      </c>
      <c r="Y417" s="1" t="str">
        <f>IFERROR(INDEX([1]物品基础表!$A:$A,MATCH(X417,[1]物品基础表!$B:$B,0)),"")</f>
        <v>羽毛</v>
      </c>
      <c r="Z417" s="1">
        <v>50</v>
      </c>
      <c r="AB417" s="1" t="str">
        <f>IFERROR(INDEX([1]物品基础表!$A:$A,MATCH(AA417,[1]物品基础表!$B:$B,0)),"")</f>
        <v/>
      </c>
      <c r="AE417" s="1" t="str">
        <f>IFERROR(INDEX([1]物品基础表!$A:$A,MATCH(AD417,[1]物品基础表!$B:$B,0)),"")</f>
        <v/>
      </c>
      <c r="AH417" s="1" t="str">
        <f>IFERROR(INDEX([1]物品基础表!$A:$A,MATCH(AG417,[1]物品基础表!$B:$B,0)),"")</f>
        <v/>
      </c>
      <c r="AK417" s="1" t="str">
        <f>IFERROR(INDEX([1]物品基础表!$A:$A,MATCH(AJ417,[1]物品基础表!$B:$B,0)),"")</f>
        <v/>
      </c>
      <c r="AN417" s="1" t="str">
        <f>IFERROR(INDEX([1]物品基础表!$A:$A,MATCH(AM417,[1]物品基础表!$B:$B,0)),"")</f>
        <v/>
      </c>
      <c r="AQ417" s="1" t="str">
        <f>IFERROR(INDEX([1]物品基础表!$A:$A,MATCH(AP417,[1]物品基础表!$B:$B,0)),"")</f>
        <v/>
      </c>
    </row>
    <row r="418" spans="1:43">
      <c r="A418" s="1" t="str">
        <f>INDEX([2]活动总表!$A$8:$A$429,MATCH(B418,[2]活动总表!$B$8:$B$429,0))</f>
        <v>春节限购5</v>
      </c>
      <c r="B418" s="1">
        <v>558</v>
      </c>
      <c r="C418" s="1">
        <v>6</v>
      </c>
      <c r="D418" s="1">
        <v>5</v>
      </c>
      <c r="E418" s="1">
        <v>0</v>
      </c>
      <c r="F418" s="1" t="s">
        <v>706</v>
      </c>
      <c r="G418" s="1">
        <v>8888</v>
      </c>
      <c r="H418" s="1">
        <v>15000</v>
      </c>
      <c r="I418" s="1">
        <v>3</v>
      </c>
      <c r="O418" s="1">
        <v>59</v>
      </c>
      <c r="X418" s="1">
        <v>200001</v>
      </c>
      <c r="Y418" s="1" t="str">
        <f>IFERROR(INDEX([1]物品基础表!$A:$A,MATCH(X418,[1]物品基础表!$B:$B,0)),"")</f>
        <v>羽毛</v>
      </c>
      <c r="Z418" s="1">
        <v>150</v>
      </c>
      <c r="AB418" s="1" t="str">
        <f>IFERROR(INDEX([1]物品基础表!$A:$A,MATCH(AA418,[1]物品基础表!$B:$B,0)),"")</f>
        <v/>
      </c>
      <c r="AE418" s="1" t="str">
        <f>IFERROR(INDEX([1]物品基础表!$A:$A,MATCH(AD418,[1]物品基础表!$B:$B,0)),"")</f>
        <v/>
      </c>
      <c r="AH418" s="1" t="str">
        <f>IFERROR(INDEX([1]物品基础表!$A:$A,MATCH(AG418,[1]物品基础表!$B:$B,0)),"")</f>
        <v/>
      </c>
      <c r="AK418" s="1" t="str">
        <f>IFERROR(INDEX([1]物品基础表!$A:$A,MATCH(AJ418,[1]物品基础表!$B:$B,0)),"")</f>
        <v/>
      </c>
      <c r="AN418" s="1" t="str">
        <f>IFERROR(INDEX([1]物品基础表!$A:$A,MATCH(AM418,[1]物品基础表!$B:$B,0)),"")</f>
        <v/>
      </c>
      <c r="AQ418" s="1" t="str">
        <f>IFERROR(INDEX([1]物品基础表!$A:$A,MATCH(AP418,[1]物品基础表!$B:$B,0)),"")</f>
        <v/>
      </c>
    </row>
    <row r="419" spans="1:43">
      <c r="A419" s="1" t="str">
        <f>INDEX([2]活动总表!$A$8:$A$429,MATCH(B419,[2]活动总表!$B$8:$B$429,0))</f>
        <v>春节限购6</v>
      </c>
      <c r="B419" s="1">
        <v>559</v>
      </c>
      <c r="C419" s="1">
        <v>1</v>
      </c>
      <c r="D419" s="1">
        <v>5</v>
      </c>
      <c r="E419" s="1">
        <v>0</v>
      </c>
      <c r="F419" s="1" t="s">
        <v>706</v>
      </c>
      <c r="G419" s="1">
        <v>1288</v>
      </c>
      <c r="H419" s="1">
        <v>2000</v>
      </c>
      <c r="I419" s="1">
        <v>1</v>
      </c>
      <c r="O419" s="1">
        <v>64</v>
      </c>
      <c r="X419" s="1">
        <v>200011</v>
      </c>
      <c r="Y419" s="1" t="str">
        <f>IFERROR(INDEX([1]物品基础表!$A:$A,MATCH(X419,[1]物品基础表!$B:$B,0)),"")</f>
        <v>高级转生丹·无限制</v>
      </c>
      <c r="Z419" s="1">
        <v>2</v>
      </c>
      <c r="AB419" s="1" t="str">
        <f>IFERROR(INDEX([1]物品基础表!$A:$A,MATCH(AA419,[1]物品基础表!$B:$B,0)),"")</f>
        <v/>
      </c>
      <c r="AE419" s="1" t="str">
        <f>IFERROR(INDEX([1]物品基础表!$A:$A,MATCH(AD419,[1]物品基础表!$B:$B,0)),"")</f>
        <v/>
      </c>
      <c r="AH419" s="1" t="str">
        <f>IFERROR(INDEX([1]物品基础表!$A:$A,MATCH(AG419,[1]物品基础表!$B:$B,0)),"")</f>
        <v/>
      </c>
      <c r="AK419" s="1" t="str">
        <f>IFERROR(INDEX([1]物品基础表!$A:$A,MATCH(AJ419,[1]物品基础表!$B:$B,0)),"")</f>
        <v/>
      </c>
      <c r="AN419" s="1" t="str">
        <f>IFERROR(INDEX([1]物品基础表!$A:$A,MATCH(AM419,[1]物品基础表!$B:$B,0)),"")</f>
        <v/>
      </c>
      <c r="AQ419" s="1" t="str">
        <f>IFERROR(INDEX([1]物品基础表!$A:$A,MATCH(AP419,[1]物品基础表!$B:$B,0)),"")</f>
        <v/>
      </c>
    </row>
    <row r="420" spans="1:43">
      <c r="A420" s="1" t="str">
        <f>INDEX([2]活动总表!$A$8:$A$429,MATCH(B420,[2]活动总表!$B$8:$B$429,0))</f>
        <v>春节限购6</v>
      </c>
      <c r="B420" s="1">
        <v>559</v>
      </c>
      <c r="C420" s="1">
        <v>2</v>
      </c>
      <c r="D420" s="1">
        <v>8</v>
      </c>
      <c r="E420" s="1">
        <v>0</v>
      </c>
      <c r="F420" s="1" t="s">
        <v>706</v>
      </c>
      <c r="G420" s="1">
        <v>1588</v>
      </c>
      <c r="H420" s="1">
        <v>5000</v>
      </c>
      <c r="I420" s="1">
        <v>1</v>
      </c>
      <c r="O420" s="1">
        <v>31</v>
      </c>
      <c r="X420" s="1">
        <v>200011</v>
      </c>
      <c r="Y420" s="1" t="str">
        <f>IFERROR(INDEX([1]物品基础表!$A:$A,MATCH(X420,[1]物品基础表!$B:$B,0)),"")</f>
        <v>高级转生丹·无限制</v>
      </c>
      <c r="Z420" s="1">
        <v>5</v>
      </c>
      <c r="AB420" s="1" t="str">
        <f>IFERROR(INDEX([1]物品基础表!$A:$A,MATCH(AA420,[1]物品基础表!$B:$B,0)),"")</f>
        <v/>
      </c>
      <c r="AE420" s="1" t="str">
        <f>IFERROR(INDEX([1]物品基础表!$A:$A,MATCH(AD420,[1]物品基础表!$B:$B,0)),"")</f>
        <v/>
      </c>
      <c r="AH420" s="1" t="str">
        <f>IFERROR(INDEX([1]物品基础表!$A:$A,MATCH(AG420,[1]物品基础表!$B:$B,0)),"")</f>
        <v/>
      </c>
      <c r="AK420" s="1" t="str">
        <f>IFERROR(INDEX([1]物品基础表!$A:$A,MATCH(AJ420,[1]物品基础表!$B:$B,0)),"")</f>
        <v/>
      </c>
      <c r="AN420" s="1" t="str">
        <f>IFERROR(INDEX([1]物品基础表!$A:$A,MATCH(AM420,[1]物品基础表!$B:$B,0)),"")</f>
        <v/>
      </c>
      <c r="AQ420" s="1" t="str">
        <f>IFERROR(INDEX([1]物品基础表!$A:$A,MATCH(AP420,[1]物品基础表!$B:$B,0)),"")</f>
        <v/>
      </c>
    </row>
    <row r="421" spans="1:43">
      <c r="A421" s="1" t="str">
        <f>INDEX([2]活动总表!$A$8:$A$429,MATCH(B421,[2]活动总表!$B$8:$B$429,0))</f>
        <v>春节限购6</v>
      </c>
      <c r="B421" s="1">
        <v>559</v>
      </c>
      <c r="C421" s="1">
        <v>3</v>
      </c>
      <c r="D421" s="1">
        <v>8</v>
      </c>
      <c r="E421" s="1">
        <v>0</v>
      </c>
      <c r="F421" s="1" t="s">
        <v>706</v>
      </c>
      <c r="G421" s="1">
        <v>2888</v>
      </c>
      <c r="H421" s="1">
        <v>8000</v>
      </c>
      <c r="I421" s="1">
        <v>1</v>
      </c>
      <c r="O421" s="1">
        <v>36</v>
      </c>
      <c r="X421" s="1">
        <v>200011</v>
      </c>
      <c r="Y421" s="1" t="str">
        <f>IFERROR(INDEX([1]物品基础表!$A:$A,MATCH(X421,[1]物品基础表!$B:$B,0)),"")</f>
        <v>高级转生丹·无限制</v>
      </c>
      <c r="Z421" s="1">
        <v>8</v>
      </c>
      <c r="AB421" s="1" t="str">
        <f>IFERROR(INDEX([1]物品基础表!$A:$A,MATCH(AA421,[1]物品基础表!$B:$B,0)),"")</f>
        <v/>
      </c>
      <c r="AE421" s="1" t="str">
        <f>IFERROR(INDEX([1]物品基础表!$A:$A,MATCH(AD421,[1]物品基础表!$B:$B,0)),"")</f>
        <v/>
      </c>
      <c r="AH421" s="1" t="str">
        <f>IFERROR(INDEX([1]物品基础表!$A:$A,MATCH(AG421,[1]物品基础表!$B:$B,0)),"")</f>
        <v/>
      </c>
      <c r="AK421" s="1" t="str">
        <f>IFERROR(INDEX([1]物品基础表!$A:$A,MATCH(AJ421,[1]物品基础表!$B:$B,0)),"")</f>
        <v/>
      </c>
      <c r="AN421" s="1" t="str">
        <f>IFERROR(INDEX([1]物品基础表!$A:$A,MATCH(AM421,[1]物品基础表!$B:$B,0)),"")</f>
        <v/>
      </c>
      <c r="AQ421" s="1" t="str">
        <f>IFERROR(INDEX([1]物品基础表!$A:$A,MATCH(AP421,[1]物品基础表!$B:$B,0)),"")</f>
        <v/>
      </c>
    </row>
    <row r="422" spans="1:43">
      <c r="A422" s="1" t="str">
        <f>INDEX([2]活动总表!$A$8:$A$429,MATCH(B422,[2]活动总表!$B$8:$B$429,0))</f>
        <v>春节限购6</v>
      </c>
      <c r="B422" s="1">
        <v>559</v>
      </c>
      <c r="C422" s="1">
        <v>4</v>
      </c>
      <c r="D422" s="1">
        <v>8</v>
      </c>
      <c r="E422" s="1">
        <v>0</v>
      </c>
      <c r="F422" s="1" t="s">
        <v>706</v>
      </c>
      <c r="G422" s="1">
        <v>6888</v>
      </c>
      <c r="H422" s="1">
        <v>18000</v>
      </c>
      <c r="I422" s="1">
        <v>1</v>
      </c>
      <c r="O422" s="1">
        <v>38</v>
      </c>
      <c r="X422" s="1">
        <v>200011</v>
      </c>
      <c r="Y422" s="1" t="str">
        <f>IFERROR(INDEX([1]物品基础表!$A:$A,MATCH(X422,[1]物品基础表!$B:$B,0)),"")</f>
        <v>高级转生丹·无限制</v>
      </c>
      <c r="Z422" s="1">
        <v>18</v>
      </c>
      <c r="AB422" s="1" t="str">
        <f>IFERROR(INDEX([1]物品基础表!$A:$A,MATCH(AA422,[1]物品基础表!$B:$B,0)),"")</f>
        <v/>
      </c>
      <c r="AE422" s="1" t="str">
        <f>IFERROR(INDEX([1]物品基础表!$A:$A,MATCH(AD422,[1]物品基础表!$B:$B,0)),"")</f>
        <v/>
      </c>
      <c r="AH422" s="1" t="str">
        <f>IFERROR(INDEX([1]物品基础表!$A:$A,MATCH(AG422,[1]物品基础表!$B:$B,0)),"")</f>
        <v/>
      </c>
      <c r="AK422" s="1" t="str">
        <f>IFERROR(INDEX([1]物品基础表!$A:$A,MATCH(AJ422,[1]物品基础表!$B:$B,0)),"")</f>
        <v/>
      </c>
      <c r="AN422" s="1" t="str">
        <f>IFERROR(INDEX([1]物品基础表!$A:$A,MATCH(AM422,[1]物品基础表!$B:$B,0)),"")</f>
        <v/>
      </c>
      <c r="AQ422" s="1" t="str">
        <f>IFERROR(INDEX([1]物品基础表!$A:$A,MATCH(AP422,[1]物品基础表!$B:$B,0)),"")</f>
        <v/>
      </c>
    </row>
    <row r="423" spans="1:43">
      <c r="A423" s="1" t="str">
        <f>INDEX([2]活动总表!$A$8:$A$429,MATCH(B423,[2]活动总表!$B$8:$B$429,0))</f>
        <v>春节限购6</v>
      </c>
      <c r="B423" s="1">
        <v>559</v>
      </c>
      <c r="C423" s="1">
        <v>5</v>
      </c>
      <c r="D423" s="1">
        <v>5</v>
      </c>
      <c r="E423" s="1">
        <v>0</v>
      </c>
      <c r="F423" s="1" t="s">
        <v>706</v>
      </c>
      <c r="G423" s="1">
        <v>2888</v>
      </c>
      <c r="H423" s="1">
        <v>5000</v>
      </c>
      <c r="I423" s="1">
        <v>1</v>
      </c>
      <c r="O423" s="1">
        <v>57</v>
      </c>
      <c r="X423" s="1">
        <v>200011</v>
      </c>
      <c r="Y423" s="1" t="str">
        <f>IFERROR(INDEX([1]物品基础表!$A:$A,MATCH(X423,[1]物品基础表!$B:$B,0)),"")</f>
        <v>高级转生丹·无限制</v>
      </c>
      <c r="Z423" s="1">
        <v>5</v>
      </c>
      <c r="AB423" s="1" t="str">
        <f>IFERROR(INDEX([1]物品基础表!$A:$A,MATCH(AA423,[1]物品基础表!$B:$B,0)),"")</f>
        <v/>
      </c>
      <c r="AE423" s="1" t="str">
        <f>IFERROR(INDEX([1]物品基础表!$A:$A,MATCH(AD423,[1]物品基础表!$B:$B,0)),"")</f>
        <v/>
      </c>
      <c r="AH423" s="1" t="str">
        <f>IFERROR(INDEX([1]物品基础表!$A:$A,MATCH(AG423,[1]物品基础表!$B:$B,0)),"")</f>
        <v/>
      </c>
      <c r="AK423" s="1" t="str">
        <f>IFERROR(INDEX([1]物品基础表!$A:$A,MATCH(AJ423,[1]物品基础表!$B:$B,0)),"")</f>
        <v/>
      </c>
      <c r="AN423" s="1" t="str">
        <f>IFERROR(INDEX([1]物品基础表!$A:$A,MATCH(AM423,[1]物品基础表!$B:$B,0)),"")</f>
        <v/>
      </c>
      <c r="AQ423" s="1" t="str">
        <f>IFERROR(INDEX([1]物品基础表!$A:$A,MATCH(AP423,[1]物品基础表!$B:$B,0)),"")</f>
        <v/>
      </c>
    </row>
    <row r="424" spans="1:43">
      <c r="A424" s="1" t="str">
        <f>INDEX([2]活动总表!$A$8:$A$429,MATCH(B424,[2]活动总表!$B$8:$B$429,0))</f>
        <v>春节限购6</v>
      </c>
      <c r="B424" s="1">
        <v>559</v>
      </c>
      <c r="C424" s="1">
        <v>6</v>
      </c>
      <c r="D424" s="1">
        <v>5</v>
      </c>
      <c r="E424" s="1">
        <v>0</v>
      </c>
      <c r="F424" s="1" t="s">
        <v>706</v>
      </c>
      <c r="G424" s="1">
        <v>8888</v>
      </c>
      <c r="H424" s="1">
        <v>14998</v>
      </c>
      <c r="I424" s="1">
        <v>3</v>
      </c>
      <c r="O424" s="1">
        <v>59</v>
      </c>
      <c r="X424" s="1">
        <v>200012</v>
      </c>
      <c r="Y424" s="1" t="str">
        <f>IFERROR(INDEX([1]物品基础表!$A:$A,MATCH(X424,[1]物品基础表!$B:$B,0)),"")</f>
        <v>超级转生丹·无限制</v>
      </c>
      <c r="Z424" s="1">
        <v>1</v>
      </c>
      <c r="AA424" s="1">
        <v>200011</v>
      </c>
      <c r="AB424" s="1" t="str">
        <f>IFERROR(INDEX([1]物品基础表!$A:$A,MATCH(AA424,[1]物品基础表!$B:$B,0)),"")</f>
        <v>高级转生丹·无限制</v>
      </c>
      <c r="AC424" s="1">
        <v>5</v>
      </c>
      <c r="AE424" s="1" t="str">
        <f>IFERROR(INDEX([1]物品基础表!$A:$A,MATCH(AD424,[1]物品基础表!$B:$B,0)),"")</f>
        <v/>
      </c>
      <c r="AH424" s="1" t="str">
        <f>IFERROR(INDEX([1]物品基础表!$A:$A,MATCH(AG424,[1]物品基础表!$B:$B,0)),"")</f>
        <v/>
      </c>
      <c r="AK424" s="1" t="str">
        <f>IFERROR(INDEX([1]物品基础表!$A:$A,MATCH(AJ424,[1]物品基础表!$B:$B,0)),"")</f>
        <v/>
      </c>
      <c r="AN424" s="1" t="str">
        <f>IFERROR(INDEX([1]物品基础表!$A:$A,MATCH(AM424,[1]物品基础表!$B:$B,0)),"")</f>
        <v/>
      </c>
      <c r="AQ424" s="1" t="str">
        <f>IFERROR(INDEX([1]物品基础表!$A:$A,MATCH(AP424,[1]物品基础表!$B:$B,0)),"")</f>
        <v/>
      </c>
    </row>
    <row r="425" spans="1:43">
      <c r="A425" s="1" t="str">
        <f>INDEX([2]活动总表!$A$8:$A$429,MATCH(B425,[2]活动总表!$B$8:$B$429,0))</f>
        <v>春节限购7</v>
      </c>
      <c r="B425" s="1">
        <v>560</v>
      </c>
      <c r="C425" s="1">
        <v>1</v>
      </c>
      <c r="D425" s="1">
        <v>5</v>
      </c>
      <c r="E425" s="1">
        <v>0</v>
      </c>
      <c r="F425" s="1" t="s">
        <v>706</v>
      </c>
      <c r="G425" s="1">
        <v>888</v>
      </c>
      <c r="H425" s="1">
        <v>1500</v>
      </c>
      <c r="I425" s="1">
        <v>1</v>
      </c>
      <c r="O425" s="1">
        <v>59</v>
      </c>
      <c r="X425" s="1">
        <v>601000</v>
      </c>
      <c r="Y425" s="1" t="str">
        <f>IFERROR(INDEX([1]物品基础表!$A:$A,MATCH(X425,[1]物品基础表!$B:$B,0)),"")</f>
        <v>神羽碎片</v>
      </c>
      <c r="Z425" s="1">
        <v>6</v>
      </c>
      <c r="AB425" s="1" t="str">
        <f>IFERROR(INDEX([1]物品基础表!$A:$A,MATCH(AA425,[1]物品基础表!$B:$B,0)),"")</f>
        <v/>
      </c>
      <c r="AE425" s="1" t="str">
        <f>IFERROR(INDEX([1]物品基础表!$A:$A,MATCH(AD425,[1]物品基础表!$B:$B,0)),"")</f>
        <v/>
      </c>
      <c r="AH425" s="1" t="str">
        <f>IFERROR(INDEX([1]物品基础表!$A:$A,MATCH(AG425,[1]物品基础表!$B:$B,0)),"")</f>
        <v/>
      </c>
      <c r="AK425" s="1" t="str">
        <f>IFERROR(INDEX([1]物品基础表!$A:$A,MATCH(AJ425,[1]物品基础表!$B:$B,0)),"")</f>
        <v/>
      </c>
      <c r="AN425" s="1" t="str">
        <f>IFERROR(INDEX([1]物品基础表!$A:$A,MATCH(AM425,[1]物品基础表!$B:$B,0)),"")</f>
        <v/>
      </c>
      <c r="AQ425" s="1" t="str">
        <f>IFERROR(INDEX([1]物品基础表!$A:$A,MATCH(AP425,[1]物品基础表!$B:$B,0)),"")</f>
        <v/>
      </c>
    </row>
    <row r="426" spans="1:43">
      <c r="A426" s="1" t="str">
        <f>INDEX([2]活动总表!$A$8:$A$429,MATCH(B426,[2]活动总表!$B$8:$B$429,0))</f>
        <v>春节限购7</v>
      </c>
      <c r="B426" s="1">
        <v>560</v>
      </c>
      <c r="C426" s="1">
        <v>2</v>
      </c>
      <c r="D426" s="1">
        <v>8</v>
      </c>
      <c r="E426" s="1">
        <v>0</v>
      </c>
      <c r="F426" s="1" t="s">
        <v>706</v>
      </c>
      <c r="G426" s="1">
        <v>1588</v>
      </c>
      <c r="H426" s="1">
        <v>5000</v>
      </c>
      <c r="I426" s="1">
        <v>1</v>
      </c>
      <c r="O426" s="1">
        <v>31</v>
      </c>
      <c r="X426" s="1">
        <v>601000</v>
      </c>
      <c r="Y426" s="1" t="str">
        <f>IFERROR(INDEX([1]物品基础表!$A:$A,MATCH(X426,[1]物品基础表!$B:$B,0)),"")</f>
        <v>神羽碎片</v>
      </c>
      <c r="Z426" s="1">
        <v>20</v>
      </c>
      <c r="AB426" s="1" t="str">
        <f>IFERROR(INDEX([1]物品基础表!$A:$A,MATCH(AA426,[1]物品基础表!$B:$B,0)),"")</f>
        <v/>
      </c>
      <c r="AE426" s="1" t="str">
        <f>IFERROR(INDEX([1]物品基础表!$A:$A,MATCH(AD426,[1]物品基础表!$B:$B,0)),"")</f>
        <v/>
      </c>
      <c r="AH426" s="1" t="str">
        <f>IFERROR(INDEX([1]物品基础表!$A:$A,MATCH(AG426,[1]物品基础表!$B:$B,0)),"")</f>
        <v/>
      </c>
      <c r="AK426" s="1" t="str">
        <f>IFERROR(INDEX([1]物品基础表!$A:$A,MATCH(AJ426,[1]物品基础表!$B:$B,0)),"")</f>
        <v/>
      </c>
      <c r="AN426" s="1" t="str">
        <f>IFERROR(INDEX([1]物品基础表!$A:$A,MATCH(AM426,[1]物品基础表!$B:$B,0)),"")</f>
        <v/>
      </c>
      <c r="AQ426" s="1" t="str">
        <f>IFERROR(INDEX([1]物品基础表!$A:$A,MATCH(AP426,[1]物品基础表!$B:$B,0)),"")</f>
        <v/>
      </c>
    </row>
    <row r="427" spans="1:43">
      <c r="A427" s="1" t="str">
        <f>INDEX([2]活动总表!$A$8:$A$429,MATCH(B427,[2]活动总表!$B$8:$B$429,0))</f>
        <v>春节限购7</v>
      </c>
      <c r="B427" s="1">
        <v>560</v>
      </c>
      <c r="C427" s="1">
        <v>3</v>
      </c>
      <c r="D427" s="1">
        <v>8</v>
      </c>
      <c r="E427" s="1">
        <v>0</v>
      </c>
      <c r="F427" s="1" t="s">
        <v>706</v>
      </c>
      <c r="G427" s="1">
        <v>2888</v>
      </c>
      <c r="H427" s="1">
        <v>8750</v>
      </c>
      <c r="I427" s="1">
        <v>1</v>
      </c>
      <c r="O427" s="1">
        <v>33</v>
      </c>
      <c r="X427" s="1">
        <v>601000</v>
      </c>
      <c r="Y427" s="1" t="str">
        <f>IFERROR(INDEX([1]物品基础表!$A:$A,MATCH(X427,[1]物品基础表!$B:$B,0)),"")</f>
        <v>神羽碎片</v>
      </c>
      <c r="Z427" s="1">
        <v>35</v>
      </c>
      <c r="AB427" s="1" t="str">
        <f>IFERROR(INDEX([1]物品基础表!$A:$A,MATCH(AA427,[1]物品基础表!$B:$B,0)),"")</f>
        <v/>
      </c>
      <c r="AE427" s="1" t="str">
        <f>IFERROR(INDEX([1]物品基础表!$A:$A,MATCH(AD427,[1]物品基础表!$B:$B,0)),"")</f>
        <v/>
      </c>
      <c r="AH427" s="1" t="str">
        <f>IFERROR(INDEX([1]物品基础表!$A:$A,MATCH(AG427,[1]物品基础表!$B:$B,0)),"")</f>
        <v/>
      </c>
      <c r="AK427" s="1" t="str">
        <f>IFERROR(INDEX([1]物品基础表!$A:$A,MATCH(AJ427,[1]物品基础表!$B:$B,0)),"")</f>
        <v/>
      </c>
      <c r="AN427" s="1" t="str">
        <f>IFERROR(INDEX([1]物品基础表!$A:$A,MATCH(AM427,[1]物品基础表!$B:$B,0)),"")</f>
        <v/>
      </c>
      <c r="AQ427" s="1" t="str">
        <f>IFERROR(INDEX([1]物品基础表!$A:$A,MATCH(AP427,[1]物品基础表!$B:$B,0)),"")</f>
        <v/>
      </c>
    </row>
    <row r="428" spans="1:43">
      <c r="A428" s="1" t="str">
        <f>INDEX([2]活动总表!$A$8:$A$429,MATCH(B428,[2]活动总表!$B$8:$B$429,0))</f>
        <v>春节限购7</v>
      </c>
      <c r="B428" s="1">
        <v>560</v>
      </c>
      <c r="C428" s="1">
        <v>4</v>
      </c>
      <c r="D428" s="1">
        <v>8</v>
      </c>
      <c r="E428" s="1">
        <v>0</v>
      </c>
      <c r="F428" s="1" t="s">
        <v>706</v>
      </c>
      <c r="G428" s="1">
        <v>6888</v>
      </c>
      <c r="H428" s="1">
        <v>20000</v>
      </c>
      <c r="I428" s="1">
        <v>1</v>
      </c>
      <c r="O428" s="1">
        <v>34</v>
      </c>
      <c r="X428" s="1">
        <v>601000</v>
      </c>
      <c r="Y428" s="1" t="str">
        <f>IFERROR(INDEX([1]物品基础表!$A:$A,MATCH(X428,[1]物品基础表!$B:$B,0)),"")</f>
        <v>神羽碎片</v>
      </c>
      <c r="Z428" s="1">
        <v>80</v>
      </c>
      <c r="AB428" s="1" t="str">
        <f>IFERROR(INDEX([1]物品基础表!$A:$A,MATCH(AA428,[1]物品基础表!$B:$B,0)),"")</f>
        <v/>
      </c>
      <c r="AE428" s="1" t="str">
        <f>IFERROR(INDEX([1]物品基础表!$A:$A,MATCH(AD428,[1]物品基础表!$B:$B,0)),"")</f>
        <v/>
      </c>
      <c r="AH428" s="1" t="str">
        <f>IFERROR(INDEX([1]物品基础表!$A:$A,MATCH(AG428,[1]物品基础表!$B:$B,0)),"")</f>
        <v/>
      </c>
      <c r="AK428" s="1" t="str">
        <f>IFERROR(INDEX([1]物品基础表!$A:$A,MATCH(AJ428,[1]物品基础表!$B:$B,0)),"")</f>
        <v/>
      </c>
      <c r="AN428" s="1" t="str">
        <f>IFERROR(INDEX([1]物品基础表!$A:$A,MATCH(AM428,[1]物品基础表!$B:$B,0)),"")</f>
        <v/>
      </c>
      <c r="AQ428" s="1" t="str">
        <f>IFERROR(INDEX([1]物品基础表!$A:$A,MATCH(AP428,[1]物品基础表!$B:$B,0)),"")</f>
        <v/>
      </c>
    </row>
    <row r="429" spans="1:43">
      <c r="A429" s="1" t="str">
        <f>INDEX([2]活动总表!$A$8:$A$429,MATCH(B429,[2]活动总表!$B$8:$B$429,0))</f>
        <v>春节限购7</v>
      </c>
      <c r="B429" s="1">
        <v>560</v>
      </c>
      <c r="C429" s="1">
        <v>5</v>
      </c>
      <c r="D429" s="1">
        <v>5</v>
      </c>
      <c r="E429" s="1">
        <v>0</v>
      </c>
      <c r="F429" s="1" t="s">
        <v>706</v>
      </c>
      <c r="G429" s="1">
        <v>2888</v>
      </c>
      <c r="H429" s="1">
        <v>5000</v>
      </c>
      <c r="I429" s="1">
        <v>1</v>
      </c>
      <c r="O429" s="1">
        <v>57</v>
      </c>
      <c r="X429" s="1">
        <v>601000</v>
      </c>
      <c r="Y429" s="1" t="str">
        <f>IFERROR(INDEX([1]物品基础表!$A:$A,MATCH(X429,[1]物品基础表!$B:$B,0)),"")</f>
        <v>神羽碎片</v>
      </c>
      <c r="Z429" s="1">
        <v>20</v>
      </c>
      <c r="AB429" s="1" t="str">
        <f>IFERROR(INDEX([1]物品基础表!$A:$A,MATCH(AA429,[1]物品基础表!$B:$B,0)),"")</f>
        <v/>
      </c>
      <c r="AE429" s="1" t="str">
        <f>IFERROR(INDEX([1]物品基础表!$A:$A,MATCH(AD429,[1]物品基础表!$B:$B,0)),"")</f>
        <v/>
      </c>
      <c r="AH429" s="1" t="str">
        <f>IFERROR(INDEX([1]物品基础表!$A:$A,MATCH(AG429,[1]物品基础表!$B:$B,0)),"")</f>
        <v/>
      </c>
      <c r="AK429" s="1" t="str">
        <f>IFERROR(INDEX([1]物品基础表!$A:$A,MATCH(AJ429,[1]物品基础表!$B:$B,0)),"")</f>
        <v/>
      </c>
      <c r="AN429" s="1" t="str">
        <f>IFERROR(INDEX([1]物品基础表!$A:$A,MATCH(AM429,[1]物品基础表!$B:$B,0)),"")</f>
        <v/>
      </c>
      <c r="AQ429" s="1" t="str">
        <f>IFERROR(INDEX([1]物品基础表!$A:$A,MATCH(AP429,[1]物品基础表!$B:$B,0)),"")</f>
        <v/>
      </c>
    </row>
    <row r="430" spans="1:43">
      <c r="A430" s="1" t="str">
        <f>INDEX([2]活动总表!$A$8:$A$429,MATCH(B430,[2]活动总表!$B$8:$B$429,0))</f>
        <v>春节限购7</v>
      </c>
      <c r="B430" s="1">
        <v>560</v>
      </c>
      <c r="C430" s="1">
        <v>6</v>
      </c>
      <c r="D430" s="1">
        <v>5</v>
      </c>
      <c r="E430" s="1">
        <v>0</v>
      </c>
      <c r="F430" s="1" t="s">
        <v>706</v>
      </c>
      <c r="G430" s="1">
        <v>8888</v>
      </c>
      <c r="H430" s="1">
        <v>15000</v>
      </c>
      <c r="I430" s="1">
        <v>1</v>
      </c>
      <c r="O430" s="1">
        <v>59</v>
      </c>
      <c r="X430" s="1">
        <v>601603</v>
      </c>
      <c r="Y430" s="1" t="str">
        <f>IFERROR(INDEX([1]物品基础表!$A:$A,MATCH(X430,[1]物品基础表!$B:$B,0)),"")</f>
        <v>2阶神羽宝箱</v>
      </c>
      <c r="Z430" s="1">
        <v>1</v>
      </c>
      <c r="AB430" s="1" t="str">
        <f>IFERROR(INDEX([1]物品基础表!$A:$A,MATCH(AA430,[1]物品基础表!$B:$B,0)),"")</f>
        <v/>
      </c>
      <c r="AE430" s="1" t="str">
        <f>IFERROR(INDEX([1]物品基础表!$A:$A,MATCH(AD430,[1]物品基础表!$B:$B,0)),"")</f>
        <v/>
      </c>
      <c r="AH430" s="1" t="str">
        <f>IFERROR(INDEX([1]物品基础表!$A:$A,MATCH(AG430,[1]物品基础表!$B:$B,0)),"")</f>
        <v/>
      </c>
      <c r="AK430" s="1" t="str">
        <f>IFERROR(INDEX([1]物品基础表!$A:$A,MATCH(AJ430,[1]物品基础表!$B:$B,0)),"")</f>
        <v/>
      </c>
      <c r="AN430" s="1" t="str">
        <f>IFERROR(INDEX([1]物品基础表!$A:$A,MATCH(AM430,[1]物品基础表!$B:$B,0)),"")</f>
        <v/>
      </c>
      <c r="AQ430" s="1" t="str">
        <f>IFERROR(INDEX([1]物品基础表!$A:$A,MATCH(AP430,[1]物品基础表!$B:$B,0)),"")</f>
        <v/>
      </c>
    </row>
    <row r="431" spans="1:43">
      <c r="A431" s="1" t="str">
        <f>INDEX([2]活动总表!$A$8:$A$429,MATCH(B431,[2]活动总表!$B$8:$B$429,0))</f>
        <v>春节限购8</v>
      </c>
      <c r="B431" s="1">
        <v>561</v>
      </c>
      <c r="C431" s="1">
        <v>1</v>
      </c>
      <c r="D431" s="1">
        <v>5</v>
      </c>
      <c r="E431" s="1">
        <v>0</v>
      </c>
      <c r="F431" s="1" t="s">
        <v>706</v>
      </c>
      <c r="G431" s="1">
        <v>1288</v>
      </c>
      <c r="H431" s="1">
        <v>2000</v>
      </c>
      <c r="I431" s="1">
        <v>1</v>
      </c>
      <c r="O431" s="1">
        <v>64</v>
      </c>
      <c r="X431" s="1">
        <v>205000</v>
      </c>
      <c r="Y431" s="1" t="str">
        <f>IFERROR(INDEX([1]物品基础表!$A:$A,MATCH(X431,[1]物品基础表!$B:$B,0)),"")</f>
        <v>战灵进阶丹</v>
      </c>
      <c r="Z431" s="1">
        <v>25</v>
      </c>
      <c r="AB431" s="1" t="str">
        <f>IFERROR(INDEX([1]物品基础表!$A:$A,MATCH(AA431,[1]物品基础表!$B:$B,0)),"")</f>
        <v/>
      </c>
      <c r="AE431" s="1" t="str">
        <f>IFERROR(INDEX([1]物品基础表!$A:$A,MATCH(AD431,[1]物品基础表!$B:$B,0)),"")</f>
        <v/>
      </c>
      <c r="AH431" s="1" t="str">
        <f>IFERROR(INDEX([1]物品基础表!$A:$A,MATCH(AG431,[1]物品基础表!$B:$B,0)),"")</f>
        <v/>
      </c>
      <c r="AK431" s="1" t="str">
        <f>IFERROR(INDEX([1]物品基础表!$A:$A,MATCH(AJ431,[1]物品基础表!$B:$B,0)),"")</f>
        <v/>
      </c>
      <c r="AN431" s="1" t="str">
        <f>IFERROR(INDEX([1]物品基础表!$A:$A,MATCH(AM431,[1]物品基础表!$B:$B,0)),"")</f>
        <v/>
      </c>
      <c r="AQ431" s="1" t="str">
        <f>IFERROR(INDEX([1]物品基础表!$A:$A,MATCH(AP431,[1]物品基础表!$B:$B,0)),"")</f>
        <v/>
      </c>
    </row>
    <row r="432" spans="1:43">
      <c r="A432" s="1" t="str">
        <f>INDEX([2]活动总表!$A$8:$A$429,MATCH(B432,[2]活动总表!$B$8:$B$429,0))</f>
        <v>春节限购8</v>
      </c>
      <c r="B432" s="1">
        <v>561</v>
      </c>
      <c r="C432" s="1">
        <v>2</v>
      </c>
      <c r="D432" s="1">
        <v>8</v>
      </c>
      <c r="E432" s="1">
        <v>0</v>
      </c>
      <c r="F432" s="1" t="s">
        <v>706</v>
      </c>
      <c r="G432" s="1">
        <v>1588</v>
      </c>
      <c r="H432" s="1">
        <v>4800</v>
      </c>
      <c r="I432" s="1">
        <v>1</v>
      </c>
      <c r="O432" s="1">
        <v>33</v>
      </c>
      <c r="X432" s="1">
        <v>205000</v>
      </c>
      <c r="Y432" s="1" t="str">
        <f>IFERROR(INDEX([1]物品基础表!$A:$A,MATCH(X432,[1]物品基础表!$B:$B,0)),"")</f>
        <v>战灵进阶丹</v>
      </c>
      <c r="Z432" s="1">
        <v>60</v>
      </c>
      <c r="AB432" s="1" t="str">
        <f>IFERROR(INDEX([1]物品基础表!$A:$A,MATCH(AA432,[1]物品基础表!$B:$B,0)),"")</f>
        <v/>
      </c>
      <c r="AE432" s="1" t="str">
        <f>IFERROR(INDEX([1]物品基础表!$A:$A,MATCH(AD432,[1]物品基础表!$B:$B,0)),"")</f>
        <v/>
      </c>
      <c r="AH432" s="1" t="str">
        <f>IFERROR(INDEX([1]物品基础表!$A:$A,MATCH(AG432,[1]物品基础表!$B:$B,0)),"")</f>
        <v/>
      </c>
      <c r="AK432" s="1" t="str">
        <f>IFERROR(INDEX([1]物品基础表!$A:$A,MATCH(AJ432,[1]物品基础表!$B:$B,0)),"")</f>
        <v/>
      </c>
      <c r="AN432" s="1" t="str">
        <f>IFERROR(INDEX([1]物品基础表!$A:$A,MATCH(AM432,[1]物品基础表!$B:$B,0)),"")</f>
        <v/>
      </c>
      <c r="AQ432" s="1" t="str">
        <f>IFERROR(INDEX([1]物品基础表!$A:$A,MATCH(AP432,[1]物品基础表!$B:$B,0)),"")</f>
        <v/>
      </c>
    </row>
    <row r="433" spans="1:43">
      <c r="A433" s="1" t="str">
        <f>INDEX([2]活动总表!$A$8:$A$429,MATCH(B433,[2]活动总表!$B$8:$B$429,0))</f>
        <v>春节限购8</v>
      </c>
      <c r="B433" s="1">
        <v>561</v>
      </c>
      <c r="C433" s="1">
        <v>3</v>
      </c>
      <c r="D433" s="1">
        <v>8</v>
      </c>
      <c r="E433" s="1">
        <v>0</v>
      </c>
      <c r="F433" s="1" t="s">
        <v>706</v>
      </c>
      <c r="G433" s="1">
        <v>2888</v>
      </c>
      <c r="H433" s="1">
        <v>8000</v>
      </c>
      <c r="I433" s="1">
        <v>1</v>
      </c>
      <c r="O433" s="1">
        <v>36</v>
      </c>
      <c r="X433" s="1">
        <v>205000</v>
      </c>
      <c r="Y433" s="1" t="str">
        <f>IFERROR(INDEX([1]物品基础表!$A:$A,MATCH(X433,[1]物品基础表!$B:$B,0)),"")</f>
        <v>战灵进阶丹</v>
      </c>
      <c r="Z433" s="1">
        <v>100</v>
      </c>
      <c r="AB433" s="1" t="str">
        <f>IFERROR(INDEX([1]物品基础表!$A:$A,MATCH(AA433,[1]物品基础表!$B:$B,0)),"")</f>
        <v/>
      </c>
      <c r="AE433" s="1" t="str">
        <f>IFERROR(INDEX([1]物品基础表!$A:$A,MATCH(AD433,[1]物品基础表!$B:$B,0)),"")</f>
        <v/>
      </c>
      <c r="AH433" s="1" t="str">
        <f>IFERROR(INDEX([1]物品基础表!$A:$A,MATCH(AG433,[1]物品基础表!$B:$B,0)),"")</f>
        <v/>
      </c>
      <c r="AK433" s="1" t="str">
        <f>IFERROR(INDEX([1]物品基础表!$A:$A,MATCH(AJ433,[1]物品基础表!$B:$B,0)),"")</f>
        <v/>
      </c>
      <c r="AN433" s="1" t="str">
        <f>IFERROR(INDEX([1]物品基础表!$A:$A,MATCH(AM433,[1]物品基础表!$B:$B,0)),"")</f>
        <v/>
      </c>
      <c r="AQ433" s="1" t="str">
        <f>IFERROR(INDEX([1]物品基础表!$A:$A,MATCH(AP433,[1]物品基础表!$B:$B,0)),"")</f>
        <v/>
      </c>
    </row>
    <row r="434" spans="1:43">
      <c r="A434" s="1" t="str">
        <f>INDEX([2]活动总表!$A$8:$A$429,MATCH(B434,[2]活动总表!$B$8:$B$429,0))</f>
        <v>春节限购8</v>
      </c>
      <c r="B434" s="1">
        <v>561</v>
      </c>
      <c r="C434" s="1">
        <v>4</v>
      </c>
      <c r="D434" s="1">
        <v>8</v>
      </c>
      <c r="E434" s="1">
        <v>0</v>
      </c>
      <c r="F434" s="1" t="s">
        <v>706</v>
      </c>
      <c r="G434" s="1">
        <v>6888</v>
      </c>
      <c r="H434" s="1">
        <v>17600</v>
      </c>
      <c r="I434" s="1">
        <v>1</v>
      </c>
      <c r="O434" s="1">
        <v>39</v>
      </c>
      <c r="X434" s="1">
        <v>205000</v>
      </c>
      <c r="Y434" s="1" t="str">
        <f>IFERROR(INDEX([1]物品基础表!$A:$A,MATCH(X434,[1]物品基础表!$B:$B,0)),"")</f>
        <v>战灵进阶丹</v>
      </c>
      <c r="Z434" s="1">
        <v>220</v>
      </c>
      <c r="AB434" s="1" t="str">
        <f>IFERROR(INDEX([1]物品基础表!$A:$A,MATCH(AA434,[1]物品基础表!$B:$B,0)),"")</f>
        <v/>
      </c>
      <c r="AE434" s="1" t="str">
        <f>IFERROR(INDEX([1]物品基础表!$A:$A,MATCH(AD434,[1]物品基础表!$B:$B,0)),"")</f>
        <v/>
      </c>
      <c r="AH434" s="1" t="str">
        <f>IFERROR(INDEX([1]物品基础表!$A:$A,MATCH(AG434,[1]物品基础表!$B:$B,0)),"")</f>
        <v/>
      </c>
      <c r="AK434" s="1" t="str">
        <f>IFERROR(INDEX([1]物品基础表!$A:$A,MATCH(AJ434,[1]物品基础表!$B:$B,0)),"")</f>
        <v/>
      </c>
      <c r="AN434" s="1" t="str">
        <f>IFERROR(INDEX([1]物品基础表!$A:$A,MATCH(AM434,[1]物品基础表!$B:$B,0)),"")</f>
        <v/>
      </c>
      <c r="AQ434" s="1" t="str">
        <f>IFERROR(INDEX([1]物品基础表!$A:$A,MATCH(AP434,[1]物品基础表!$B:$B,0)),"")</f>
        <v/>
      </c>
    </row>
    <row r="435" spans="1:43">
      <c r="A435" s="1" t="str">
        <f>INDEX([2]活动总表!$A$8:$A$429,MATCH(B435,[2]活动总表!$B$8:$B$429,0))</f>
        <v>春节限购8</v>
      </c>
      <c r="B435" s="1">
        <v>561</v>
      </c>
      <c r="C435" s="1">
        <v>5</v>
      </c>
      <c r="D435" s="1">
        <v>5</v>
      </c>
      <c r="E435" s="1">
        <v>0</v>
      </c>
      <c r="F435" s="1" t="s">
        <v>706</v>
      </c>
      <c r="G435" s="1">
        <v>2888</v>
      </c>
      <c r="H435" s="1">
        <v>4800</v>
      </c>
      <c r="I435" s="1">
        <v>1</v>
      </c>
      <c r="O435" s="1">
        <v>60</v>
      </c>
      <c r="X435" s="1">
        <v>205000</v>
      </c>
      <c r="Y435" s="1" t="str">
        <f>IFERROR(INDEX([1]物品基础表!$A:$A,MATCH(X435,[1]物品基础表!$B:$B,0)),"")</f>
        <v>战灵进阶丹</v>
      </c>
      <c r="Z435" s="1">
        <v>60</v>
      </c>
      <c r="AB435" s="1" t="str">
        <f>IFERROR(INDEX([1]物品基础表!$A:$A,MATCH(AA435,[1]物品基础表!$B:$B,0)),"")</f>
        <v/>
      </c>
      <c r="AE435" s="1" t="str">
        <f>IFERROR(INDEX([1]物品基础表!$A:$A,MATCH(AD435,[1]物品基础表!$B:$B,0)),"")</f>
        <v/>
      </c>
      <c r="AH435" s="1" t="str">
        <f>IFERROR(INDEX([1]物品基础表!$A:$A,MATCH(AG435,[1]物品基础表!$B:$B,0)),"")</f>
        <v/>
      </c>
      <c r="AK435" s="1" t="str">
        <f>IFERROR(INDEX([1]物品基础表!$A:$A,MATCH(AJ435,[1]物品基础表!$B:$B,0)),"")</f>
        <v/>
      </c>
      <c r="AN435" s="1" t="str">
        <f>IFERROR(INDEX([1]物品基础表!$A:$A,MATCH(AM435,[1]物品基础表!$B:$B,0)),"")</f>
        <v/>
      </c>
      <c r="AQ435" s="1" t="str">
        <f>IFERROR(INDEX([1]物品基础表!$A:$A,MATCH(AP435,[1]物品基础表!$B:$B,0)),"")</f>
        <v/>
      </c>
    </row>
    <row r="436" spans="1:43">
      <c r="A436" s="1" t="str">
        <f>INDEX([2]活动总表!$A$8:$A$429,MATCH(B436,[2]活动总表!$B$8:$B$429,0))</f>
        <v>春节限购8</v>
      </c>
      <c r="B436" s="1">
        <v>561</v>
      </c>
      <c r="C436" s="1">
        <v>6</v>
      </c>
      <c r="D436" s="1">
        <v>5</v>
      </c>
      <c r="E436" s="1">
        <v>0</v>
      </c>
      <c r="F436" s="1" t="s">
        <v>706</v>
      </c>
      <c r="G436" s="1">
        <v>8888</v>
      </c>
      <c r="H436" s="1">
        <v>14400</v>
      </c>
      <c r="I436" s="1">
        <v>3</v>
      </c>
      <c r="O436" s="1">
        <v>61</v>
      </c>
      <c r="X436" s="1">
        <v>205000</v>
      </c>
      <c r="Y436" s="1" t="str">
        <f>IFERROR(INDEX([1]物品基础表!$A:$A,MATCH(X436,[1]物品基础表!$B:$B,0)),"")</f>
        <v>战灵进阶丹</v>
      </c>
      <c r="Z436" s="1">
        <v>180</v>
      </c>
      <c r="AB436" s="1" t="str">
        <f>IFERROR(INDEX([1]物品基础表!$A:$A,MATCH(AA436,[1]物品基础表!$B:$B,0)),"")</f>
        <v/>
      </c>
      <c r="AE436" s="1" t="str">
        <f>IFERROR(INDEX([1]物品基础表!$A:$A,MATCH(AD436,[1]物品基础表!$B:$B,0)),"")</f>
        <v/>
      </c>
      <c r="AH436" s="1" t="str">
        <f>IFERROR(INDEX([1]物品基础表!$A:$A,MATCH(AG436,[1]物品基础表!$B:$B,0)),"")</f>
        <v/>
      </c>
      <c r="AK436" s="1" t="str">
        <f>IFERROR(INDEX([1]物品基础表!$A:$A,MATCH(AJ436,[1]物品基础表!$B:$B,0)),"")</f>
        <v/>
      </c>
      <c r="AN436" s="1" t="str">
        <f>IFERROR(INDEX([1]物品基础表!$A:$A,MATCH(AM436,[1]物品基础表!$B:$B,0)),"")</f>
        <v/>
      </c>
      <c r="AQ436" s="1" t="str">
        <f>IFERROR(INDEX([1]物品基础表!$A:$A,MATCH(AP436,[1]物品基础表!$B:$B,0)),"")</f>
        <v/>
      </c>
    </row>
    <row r="437" spans="1:43">
      <c r="A437" s="1" t="str">
        <f>INDEX([2]活动总表!$A$8:$A$429,MATCH(B437,[2]活动总表!$B$8:$B$429,0))</f>
        <v>春节VIP限购</v>
      </c>
      <c r="B437" s="1">
        <v>567</v>
      </c>
      <c r="C437" s="1">
        <v>1</v>
      </c>
      <c r="D437" s="1">
        <v>5</v>
      </c>
      <c r="E437" s="1">
        <v>0</v>
      </c>
      <c r="F437" s="1" t="s">
        <v>706</v>
      </c>
      <c r="G437" s="1">
        <v>300</v>
      </c>
      <c r="H437" s="1">
        <v>1500</v>
      </c>
      <c r="I437" s="1">
        <v>1</v>
      </c>
      <c r="O437" s="1">
        <v>15</v>
      </c>
      <c r="X437" s="1">
        <v>200005</v>
      </c>
      <c r="Y437" s="1" t="str">
        <f>IFERROR(INDEX([1]物品基础表!$A:$A,MATCH(X437,[1]物品基础表!$B:$B,0)),"")</f>
        <v>龙魂碎片</v>
      </c>
      <c r="Z437" s="1">
        <v>20</v>
      </c>
      <c r="AB437" s="1" t="str">
        <f>IFERROR(INDEX([1]物品基础表!$A:$A,MATCH(AA437,[1]物品基础表!$B:$B,0)),"")</f>
        <v/>
      </c>
      <c r="AE437" s="1" t="str">
        <f>IFERROR(INDEX([1]物品基础表!$A:$A,MATCH(AD437,[1]物品基础表!$B:$B,0)),"")</f>
        <v/>
      </c>
      <c r="AH437" s="1" t="str">
        <f>IFERROR(INDEX([1]物品基础表!$A:$A,MATCH(AG437,[1]物品基础表!$B:$B,0)),"")</f>
        <v/>
      </c>
      <c r="AK437" s="1" t="str">
        <f>IFERROR(INDEX([1]物品基础表!$A:$A,MATCH(AJ437,[1]物品基础表!$B:$B,0)),"")</f>
        <v/>
      </c>
      <c r="AN437" s="1" t="str">
        <f>IFERROR(INDEX([1]物品基础表!$A:$A,MATCH(AM437,[1]物品基础表!$B:$B,0)),"")</f>
        <v/>
      </c>
      <c r="AQ437" s="1" t="str">
        <f>IFERROR(INDEX([1]物品基础表!$A:$A,MATCH(AP437,[1]物品基础表!$B:$B,0)),"")</f>
        <v/>
      </c>
    </row>
    <row r="438" spans="1:43">
      <c r="A438" s="1" t="str">
        <f>INDEX([2]活动总表!$A$8:$A$429,MATCH(B438,[2]活动总表!$B$8:$B$429,0))</f>
        <v>春节VIP限购</v>
      </c>
      <c r="B438" s="1">
        <v>567</v>
      </c>
      <c r="C438" s="1">
        <v>2</v>
      </c>
      <c r="D438" s="1">
        <v>6</v>
      </c>
      <c r="E438" s="1">
        <v>0</v>
      </c>
      <c r="F438" s="1" t="s">
        <v>706</v>
      </c>
      <c r="G438" s="1">
        <v>2888</v>
      </c>
      <c r="H438" s="1">
        <v>14440</v>
      </c>
      <c r="I438" s="1">
        <v>1</v>
      </c>
      <c r="O438" s="1">
        <v>20</v>
      </c>
      <c r="X438" s="1">
        <v>200167</v>
      </c>
      <c r="Y438" s="1" t="str">
        <f>IFERROR(INDEX([1]物品基础表!$A:$A,MATCH(X438,[1]物品基础表!$B:$B,0)),"")</f>
        <v>黑铁</v>
      </c>
      <c r="Z438" s="1">
        <v>4000</v>
      </c>
      <c r="AA438" s="1">
        <v>200906</v>
      </c>
      <c r="AB438" s="1" t="str">
        <f>IFERROR(INDEX([1]物品基础表!$A:$A,MATCH(AA438,[1]物品基础表!$B:$B,0)),"")</f>
        <v>神兵经验丹（1W</v>
      </c>
      <c r="AC438" s="1">
        <v>50</v>
      </c>
      <c r="AD438" s="1">
        <v>200004</v>
      </c>
      <c r="AE438" s="1" t="str">
        <f>IFERROR(INDEX([1]物品基础表!$A:$A,MATCH(AD438,[1]物品基础表!$B:$B,0)),"")</f>
        <v>经脉丹</v>
      </c>
      <c r="AF438" s="1">
        <v>10</v>
      </c>
      <c r="AG438" s="1">
        <v>200015</v>
      </c>
      <c r="AH438" s="1" t="str">
        <f>IFERROR(INDEX([1]物品基础表!$A:$A,MATCH(AG438,[1]物品基础表!$B:$B,0)),"")</f>
        <v>特戒碎片</v>
      </c>
      <c r="AI438" s="1">
        <v>100</v>
      </c>
      <c r="AK438" s="1" t="str">
        <f>IFERROR(INDEX([1]物品基础表!$A:$A,MATCH(AJ438,[1]物品基础表!$B:$B,0)),"")</f>
        <v/>
      </c>
      <c r="AN438" s="1" t="str">
        <f>IFERROR(INDEX([1]物品基础表!$A:$A,MATCH(AM438,[1]物品基础表!$B:$B,0)),"")</f>
        <v/>
      </c>
      <c r="AQ438" s="1" t="str">
        <f>IFERROR(INDEX([1]物品基础表!$A:$A,MATCH(AP438,[1]物品基础表!$B:$B,0)),"")</f>
        <v/>
      </c>
    </row>
    <row r="439" spans="1:43">
      <c r="A439" s="1" t="str">
        <f>INDEX([2]活动总表!$A$8:$A$429,MATCH(B439,[2]活动总表!$B$8:$B$429,0))</f>
        <v>春节VIP限购</v>
      </c>
      <c r="B439" s="1">
        <v>567</v>
      </c>
      <c r="C439" s="1">
        <v>3</v>
      </c>
      <c r="D439" s="1">
        <v>7</v>
      </c>
      <c r="E439" s="1">
        <v>0</v>
      </c>
      <c r="F439" s="1" t="s">
        <v>706</v>
      </c>
      <c r="G439" s="1">
        <v>5888</v>
      </c>
      <c r="H439" s="1">
        <v>29440</v>
      </c>
      <c r="I439" s="1">
        <v>1</v>
      </c>
      <c r="O439" s="1">
        <v>20</v>
      </c>
      <c r="X439" s="1">
        <v>200997</v>
      </c>
      <c r="Y439" s="1" t="str">
        <f>IFERROR(INDEX([1]物品基础表!$A:$A,MATCH(X439,[1]物品基础表!$B:$B,0)),"")</f>
        <v>星☆传世宝箱</v>
      </c>
      <c r="Z439" s="1">
        <v>1</v>
      </c>
      <c r="AA439" s="1">
        <v>200906</v>
      </c>
      <c r="AB439" s="1" t="str">
        <f>IFERROR(INDEX([1]物品基础表!$A:$A,MATCH(AA439,[1]物品基础表!$B:$B,0)),"")</f>
        <v>神兵经验丹（1W</v>
      </c>
      <c r="AC439" s="1">
        <v>50</v>
      </c>
      <c r="AD439" s="1">
        <v>200004</v>
      </c>
      <c r="AE439" s="1" t="str">
        <f>IFERROR(INDEX([1]物品基础表!$A:$A,MATCH(AD439,[1]物品基础表!$B:$B,0)),"")</f>
        <v>经脉丹</v>
      </c>
      <c r="AF439" s="1">
        <v>10</v>
      </c>
      <c r="AG439" s="1">
        <v>200015</v>
      </c>
      <c r="AH439" s="1" t="str">
        <f>IFERROR(INDEX([1]物品基础表!$A:$A,MATCH(AG439,[1]物品基础表!$B:$B,0)),"")</f>
        <v>特戒碎片</v>
      </c>
      <c r="AI439" s="1">
        <v>100</v>
      </c>
      <c r="AK439" s="1" t="str">
        <f>IFERROR(INDEX([1]物品基础表!$A:$A,MATCH(AJ439,[1]物品基础表!$B:$B,0)),"")</f>
        <v/>
      </c>
      <c r="AN439" s="1" t="str">
        <f>IFERROR(INDEX([1]物品基础表!$A:$A,MATCH(AM439,[1]物品基础表!$B:$B,0)),"")</f>
        <v/>
      </c>
      <c r="AQ439" s="1" t="str">
        <f>IFERROR(INDEX([1]物品基础表!$A:$A,MATCH(AP439,[1]物品基础表!$B:$B,0)),"")</f>
        <v/>
      </c>
    </row>
    <row r="440" spans="1:43">
      <c r="A440" s="1" t="str">
        <f>INDEX([2]活动总表!$A$8:$A$429,MATCH(B440,[2]活动总表!$B$8:$B$429,0))</f>
        <v>春节VIP限购</v>
      </c>
      <c r="B440" s="1">
        <v>567</v>
      </c>
      <c r="C440" s="1">
        <v>4</v>
      </c>
      <c r="D440" s="1">
        <v>8</v>
      </c>
      <c r="E440" s="1">
        <v>0</v>
      </c>
      <c r="F440" s="1" t="s">
        <v>706</v>
      </c>
      <c r="G440" s="1">
        <v>12800</v>
      </c>
      <c r="H440" s="1">
        <v>64000</v>
      </c>
      <c r="I440" s="1">
        <v>1</v>
      </c>
      <c r="O440" s="1">
        <v>20</v>
      </c>
      <c r="X440" s="1">
        <v>900023</v>
      </c>
      <c r="Y440" s="1" t="str">
        <f>IFERROR(INDEX([1]物品基础表!$A:$A,MATCH(X440,[1]物品基础表!$B:$B,0)),"")</f>
        <v>冰糖葫芦</v>
      </c>
      <c r="Z440" s="1">
        <v>1</v>
      </c>
      <c r="AA440" s="1">
        <v>200906</v>
      </c>
      <c r="AB440" s="1" t="str">
        <f>IFERROR(INDEX([1]物品基础表!$A:$A,MATCH(AA440,[1]物品基础表!$B:$B,0)),"")</f>
        <v>神兵经验丹（1W</v>
      </c>
      <c r="AC440" s="1">
        <v>100</v>
      </c>
      <c r="AD440" s="1">
        <v>200004</v>
      </c>
      <c r="AE440" s="1" t="str">
        <f>IFERROR(INDEX([1]物品基础表!$A:$A,MATCH(AD440,[1]物品基础表!$B:$B,0)),"")</f>
        <v>经脉丹</v>
      </c>
      <c r="AF440" s="1">
        <v>20</v>
      </c>
      <c r="AG440" s="1">
        <v>200015</v>
      </c>
      <c r="AH440" s="1" t="str">
        <f>IFERROR(INDEX([1]物品基础表!$A:$A,MATCH(AG440,[1]物品基础表!$B:$B,0)),"")</f>
        <v>特戒碎片</v>
      </c>
      <c r="AI440" s="1">
        <v>200</v>
      </c>
      <c r="AK440" s="1" t="str">
        <f>IFERROR(INDEX([1]物品基础表!$A:$A,MATCH(AJ440,[1]物品基础表!$B:$B,0)),"")</f>
        <v/>
      </c>
      <c r="AN440" s="1" t="str">
        <f>IFERROR(INDEX([1]物品基础表!$A:$A,MATCH(AM440,[1]物品基础表!$B:$B,0)),"")</f>
        <v/>
      </c>
      <c r="AQ440" s="1" t="str">
        <f>IFERROR(INDEX([1]物品基础表!$A:$A,MATCH(AP440,[1]物品基础表!$B:$B,0)),"")</f>
        <v/>
      </c>
    </row>
    <row r="441" spans="1:43">
      <c r="A441" s="1" t="str">
        <f>INDEX([2]活动总表!$A$8:$A$429,MATCH(B441,[2]活动总表!$B$8:$B$429,0))</f>
        <v>春节VIP限购</v>
      </c>
      <c r="B441" s="1">
        <v>567</v>
      </c>
      <c r="C441" s="1">
        <v>5</v>
      </c>
      <c r="D441" s="1">
        <v>8</v>
      </c>
      <c r="E441" s="1">
        <v>0</v>
      </c>
      <c r="F441" s="1" t="s">
        <v>706</v>
      </c>
      <c r="G441" s="1">
        <v>18800</v>
      </c>
      <c r="H441" s="1">
        <v>94000</v>
      </c>
      <c r="I441" s="1">
        <v>1</v>
      </c>
      <c r="O441" s="1">
        <v>20</v>
      </c>
      <c r="X441" s="1">
        <v>900006</v>
      </c>
      <c r="Y441" s="1" t="str">
        <f>IFERROR(INDEX([1]物品基础表!$A:$A,MATCH(X441,[1]物品基础表!$B:$B,0)),"")</f>
        <v>新春盛装</v>
      </c>
      <c r="Z441" s="1">
        <v>1</v>
      </c>
      <c r="AA441" s="1">
        <v>200906</v>
      </c>
      <c r="AB441" s="1" t="str">
        <f>IFERROR(INDEX([1]物品基础表!$A:$A,MATCH(AA441,[1]物品基础表!$B:$B,0)),"")</f>
        <v>神兵经验丹（1W</v>
      </c>
      <c r="AC441" s="1">
        <v>100</v>
      </c>
      <c r="AD441" s="1">
        <v>200004</v>
      </c>
      <c r="AE441" s="1" t="str">
        <f>IFERROR(INDEX([1]物品基础表!$A:$A,MATCH(AD441,[1]物品基础表!$B:$B,0)),"")</f>
        <v>经脉丹</v>
      </c>
      <c r="AF441" s="1">
        <v>20</v>
      </c>
      <c r="AG441" s="1">
        <v>200015</v>
      </c>
      <c r="AH441" s="1" t="str">
        <f>IFERROR(INDEX([1]物品基础表!$A:$A,MATCH(AG441,[1]物品基础表!$B:$B,0)),"")</f>
        <v>特戒碎片</v>
      </c>
      <c r="AI441" s="1">
        <v>200</v>
      </c>
      <c r="AK441" s="1" t="str">
        <f>IFERROR(INDEX([1]物品基础表!$A:$A,MATCH(AJ441,[1]物品基础表!$B:$B,0)),"")</f>
        <v/>
      </c>
      <c r="AN441" s="1" t="str">
        <f>IFERROR(INDEX([1]物品基础表!$A:$A,MATCH(AM441,[1]物品基础表!$B:$B,0)),"")</f>
        <v/>
      </c>
      <c r="AQ441" s="1" t="str">
        <f>IFERROR(INDEX([1]物品基础表!$A:$A,MATCH(AP441,[1]物品基础表!$B:$B,0)),"")</f>
        <v/>
      </c>
    </row>
    <row r="442" spans="1:43">
      <c r="A442" s="1" t="str">
        <f>INDEX([2]活动总表!$A$8:$A$429,MATCH(B442,[2]活动总表!$B$8:$B$429,0))</f>
        <v>春节VIP限购</v>
      </c>
      <c r="B442" s="1">
        <v>567</v>
      </c>
      <c r="C442" s="1">
        <v>6</v>
      </c>
      <c r="D442" s="1">
        <v>9</v>
      </c>
      <c r="E442" s="1">
        <v>0</v>
      </c>
      <c r="F442" s="1" t="s">
        <v>706</v>
      </c>
      <c r="G442" s="1">
        <v>12800</v>
      </c>
      <c r="H442" s="1">
        <v>64000</v>
      </c>
      <c r="I442" s="1">
        <v>1</v>
      </c>
      <c r="O442" s="1">
        <v>20</v>
      </c>
      <c r="X442" s="1">
        <v>200973</v>
      </c>
      <c r="Y442" s="1" t="str">
        <f>IFERROR(INDEX([1]物品基础表!$A:$A,MATCH(X442,[1]物品基础表!$B:$B,0)),"")</f>
        <v>极品橙色兽神装备任选宝箱</v>
      </c>
      <c r="Z442" s="1">
        <v>1</v>
      </c>
      <c r="AA442" s="1">
        <v>200906</v>
      </c>
      <c r="AB442" s="1" t="str">
        <f>IFERROR(INDEX([1]物品基础表!$A:$A,MATCH(AA442,[1]物品基础表!$B:$B,0)),"")</f>
        <v>神兵经验丹（1W</v>
      </c>
      <c r="AC442" s="1">
        <v>200</v>
      </c>
      <c r="AD442" s="1">
        <v>200004</v>
      </c>
      <c r="AE442" s="1" t="str">
        <f>IFERROR(INDEX([1]物品基础表!$A:$A,MATCH(AD442,[1]物品基础表!$B:$B,0)),"")</f>
        <v>经脉丹</v>
      </c>
      <c r="AF442" s="1">
        <v>40</v>
      </c>
      <c r="AG442" s="1">
        <v>200015</v>
      </c>
      <c r="AH442" s="1" t="str">
        <f>IFERROR(INDEX([1]物品基础表!$A:$A,MATCH(AG442,[1]物品基础表!$B:$B,0)),"")</f>
        <v>特戒碎片</v>
      </c>
      <c r="AI442" s="1">
        <v>400</v>
      </c>
      <c r="AK442" s="1" t="str">
        <f>IFERROR(INDEX([1]物品基础表!$A:$A,MATCH(AJ442,[1]物品基础表!$B:$B,0)),"")</f>
        <v/>
      </c>
      <c r="AN442" s="1" t="str">
        <f>IFERROR(INDEX([1]物品基础表!$A:$A,MATCH(AM442,[1]物品基础表!$B:$B,0)),"")</f>
        <v/>
      </c>
      <c r="AQ442" s="1" t="str">
        <f>IFERROR(INDEX([1]物品基础表!$A:$A,MATCH(AP442,[1]物品基础表!$B:$B,0)),"")</f>
        <v/>
      </c>
    </row>
    <row r="443" spans="1:43">
      <c r="A443" s="1" t="str">
        <f>INDEX([2]活动总表!$A$8:$A$429,MATCH(B443,[2]活动总表!$B$8:$B$429,0))</f>
        <v>春节VIP限购</v>
      </c>
      <c r="B443" s="1">
        <v>567</v>
      </c>
      <c r="C443" s="1">
        <v>7</v>
      </c>
      <c r="D443" s="1">
        <v>10</v>
      </c>
      <c r="E443" s="1">
        <v>0</v>
      </c>
      <c r="F443" s="1" t="s">
        <v>706</v>
      </c>
      <c r="G443" s="1">
        <v>18800</v>
      </c>
      <c r="H443" s="1">
        <v>94000</v>
      </c>
      <c r="I443" s="1">
        <v>1</v>
      </c>
      <c r="O443" s="1">
        <v>20</v>
      </c>
      <c r="X443" s="1">
        <v>200314</v>
      </c>
      <c r="Y443" s="1" t="str">
        <f>IFERROR(INDEX([1]物品基础表!$A:$A,MATCH(X443,[1]物品基础表!$B:$B,0)),"")</f>
        <v>蛊毒兵魂任选礼包</v>
      </c>
      <c r="Z443" s="1">
        <v>8</v>
      </c>
      <c r="AA443" s="1">
        <v>200167</v>
      </c>
      <c r="AB443" s="1" t="str">
        <f>IFERROR(INDEX([1]物品基础表!$A:$A,MATCH(AA443,[1]物品基础表!$B:$B,0)),"")</f>
        <v>黑铁</v>
      </c>
      <c r="AC443" s="1">
        <v>5000</v>
      </c>
      <c r="AD443" s="1">
        <v>200004</v>
      </c>
      <c r="AE443" s="1" t="str">
        <f>IFERROR(INDEX([1]物品基础表!$A:$A,MATCH(AD443,[1]物品基础表!$B:$B,0)),"")</f>
        <v>经脉丹</v>
      </c>
      <c r="AF443" s="1">
        <v>50</v>
      </c>
      <c r="AG443" s="1">
        <v>200015</v>
      </c>
      <c r="AH443" s="1" t="str">
        <f>IFERROR(INDEX([1]物品基础表!$A:$A,MATCH(AG443,[1]物品基础表!$B:$B,0)),"")</f>
        <v>特戒碎片</v>
      </c>
      <c r="AI443" s="1">
        <v>500</v>
      </c>
      <c r="AK443" s="1" t="str">
        <f>IFERROR(INDEX([1]物品基础表!$A:$A,MATCH(AJ443,[1]物品基础表!$B:$B,0)),"")</f>
        <v/>
      </c>
      <c r="AN443" s="1" t="str">
        <f>IFERROR(INDEX([1]物品基础表!$A:$A,MATCH(AM443,[1]物品基础表!$B:$B,0)),"")</f>
        <v/>
      </c>
      <c r="AQ443" s="1" t="str">
        <f>IFERROR(INDEX([1]物品基础表!$A:$A,MATCH(AP443,[1]物品基础表!$B:$B,0)),"")</f>
        <v/>
      </c>
    </row>
    <row r="444" spans="1:43">
      <c r="A444" s="1" t="str">
        <f>INDEX([2]活动总表!$A$8:$A$429,MATCH(B444,[2]活动总表!$B$8:$B$429,0))</f>
        <v>春节VIP限购</v>
      </c>
      <c r="B444" s="1">
        <v>567</v>
      </c>
      <c r="C444" s="1">
        <v>8</v>
      </c>
      <c r="D444" s="1">
        <v>11</v>
      </c>
      <c r="E444" s="1">
        <v>0</v>
      </c>
      <c r="F444" s="1" t="s">
        <v>706</v>
      </c>
      <c r="G444" s="1">
        <v>18800</v>
      </c>
      <c r="H444" s="1">
        <v>94000</v>
      </c>
      <c r="I444" s="1">
        <v>1</v>
      </c>
      <c r="O444" s="1">
        <v>20</v>
      </c>
      <c r="X444" s="1">
        <v>504401</v>
      </c>
      <c r="Y444" s="1" t="str">
        <f>IFERROR(INDEX([1]物品基础表!$A:$A,MATCH(X444,[1]物品基础表!$B:$B,0)),"")</f>
        <v>金光武1级</v>
      </c>
      <c r="Z444" s="1">
        <v>1</v>
      </c>
      <c r="AA444" s="1">
        <v>500006</v>
      </c>
      <c r="AB444" s="1" t="str">
        <f>IFERROR(INDEX([1]物品基础表!$A:$A,MATCH(AA444,[1]物品基础表!$B:$B,0)),"")</f>
        <v>战纹精华-金</v>
      </c>
      <c r="AC444" s="1">
        <v>5</v>
      </c>
      <c r="AD444" s="1">
        <v>200004</v>
      </c>
      <c r="AE444" s="1" t="str">
        <f>IFERROR(INDEX([1]物品基础表!$A:$A,MATCH(AD444,[1]物品基础表!$B:$B,0)),"")</f>
        <v>经脉丹</v>
      </c>
      <c r="AF444" s="1">
        <v>50</v>
      </c>
      <c r="AG444" s="1">
        <v>200015</v>
      </c>
      <c r="AH444" s="1" t="str">
        <f>IFERROR(INDEX([1]物品基础表!$A:$A,MATCH(AG444,[1]物品基础表!$B:$B,0)),"")</f>
        <v>特戒碎片</v>
      </c>
      <c r="AI444" s="1">
        <v>500</v>
      </c>
      <c r="AK444" s="1" t="str">
        <f>IFERROR(INDEX([1]物品基础表!$A:$A,MATCH(AJ444,[1]物品基础表!$B:$B,0)),"")</f>
        <v/>
      </c>
      <c r="AN444" s="1" t="str">
        <f>IFERROR(INDEX([1]物品基础表!$A:$A,MATCH(AM444,[1]物品基础表!$B:$B,0)),"")</f>
        <v/>
      </c>
      <c r="AQ444" s="1" t="str">
        <f>IFERROR(INDEX([1]物品基础表!$A:$A,MATCH(AP444,[1]物品基础表!$B:$B,0)),"")</f>
        <v/>
      </c>
    </row>
    <row r="445" spans="1:43">
      <c r="A445" s="1" t="str">
        <f>INDEX([2]活动总表!$A$8:$A$429,MATCH(B445,[2]活动总表!$B$8:$B$429,0))</f>
        <v>春节VIP限购</v>
      </c>
      <c r="B445" s="1">
        <v>567</v>
      </c>
      <c r="C445" s="1">
        <v>9</v>
      </c>
      <c r="D445" s="1">
        <v>12</v>
      </c>
      <c r="E445" s="1">
        <v>0</v>
      </c>
      <c r="F445" s="1" t="s">
        <v>706</v>
      </c>
      <c r="G445" s="1">
        <v>28800</v>
      </c>
      <c r="H445" s="1">
        <v>144000</v>
      </c>
      <c r="I445" s="1">
        <v>1</v>
      </c>
      <c r="O445" s="1">
        <v>20</v>
      </c>
      <c r="X445" s="1">
        <v>200301</v>
      </c>
      <c r="Y445" s="1" t="str">
        <f>IFERROR(INDEX([1]物品基础表!$A:$A,MATCH(X445,[1]物品基础表!$B:$B,0)),"")</f>
        <v>传世宝钻</v>
      </c>
      <c r="Z445" s="1">
        <v>700</v>
      </c>
      <c r="AA445" s="1">
        <v>200167</v>
      </c>
      <c r="AB445" s="1" t="str">
        <f>IFERROR(INDEX([1]物品基础表!$A:$A,MATCH(AA445,[1]物品基础表!$B:$B,0)),"")</f>
        <v>黑铁</v>
      </c>
      <c r="AC445" s="1">
        <v>5000</v>
      </c>
      <c r="AD445" s="1">
        <v>200004</v>
      </c>
      <c r="AE445" s="1" t="str">
        <f>IFERROR(INDEX([1]物品基础表!$A:$A,MATCH(AD445,[1]物品基础表!$B:$B,0)),"")</f>
        <v>经脉丹</v>
      </c>
      <c r="AF445" s="1">
        <v>50</v>
      </c>
      <c r="AG445" s="1">
        <v>200015</v>
      </c>
      <c r="AH445" s="1" t="str">
        <f>IFERROR(INDEX([1]物品基础表!$A:$A,MATCH(AG445,[1]物品基础表!$B:$B,0)),"")</f>
        <v>特戒碎片</v>
      </c>
      <c r="AI445" s="1">
        <v>800</v>
      </c>
      <c r="AK445" s="1" t="str">
        <f>IFERROR(INDEX([1]物品基础表!$A:$A,MATCH(AJ445,[1]物品基础表!$B:$B,0)),"")</f>
        <v/>
      </c>
      <c r="AN445" s="1" t="str">
        <f>IFERROR(INDEX([1]物品基础表!$A:$A,MATCH(AM445,[1]物品基础表!$B:$B,0)),"")</f>
        <v/>
      </c>
      <c r="AQ445" s="1" t="str">
        <f>IFERROR(INDEX([1]物品基础表!$A:$A,MATCH(AP445,[1]物品基础表!$B:$B,0)),"")</f>
        <v/>
      </c>
    </row>
    <row r="446" spans="1:43">
      <c r="A446" s="1" t="str">
        <f>INDEX([2]活动总表!$A$8:$A$429,MATCH(B446,[2]活动总表!$B$8:$B$429,0))</f>
        <v>春节VIP限购</v>
      </c>
      <c r="B446" s="1">
        <v>567</v>
      </c>
      <c r="C446" s="1">
        <v>10</v>
      </c>
      <c r="D446" s="1">
        <v>13</v>
      </c>
      <c r="E446" s="1">
        <v>0</v>
      </c>
      <c r="F446" s="1" t="s">
        <v>706</v>
      </c>
      <c r="G446" s="1">
        <v>38800</v>
      </c>
      <c r="H446" s="1">
        <v>194000</v>
      </c>
      <c r="I446" s="1">
        <v>1</v>
      </c>
      <c r="O446" s="1">
        <v>20</v>
      </c>
      <c r="X446" s="1">
        <v>200926</v>
      </c>
      <c r="Y446" s="1" t="str">
        <f>IFERROR(INDEX([1]物品基础表!$A:$A,MATCH(X446,[1]物品基础表!$B:$B,0)),"")</f>
        <v>神兵大招1三选一</v>
      </c>
      <c r="Z446" s="1">
        <v>1</v>
      </c>
      <c r="AA446" s="1">
        <v>200167</v>
      </c>
      <c r="AB446" s="1" t="str">
        <f>IFERROR(INDEX([1]物品基础表!$A:$A,MATCH(AA446,[1]物品基础表!$B:$B,0)),"")</f>
        <v>黑铁</v>
      </c>
      <c r="AC446" s="1">
        <v>8000</v>
      </c>
      <c r="AD446" s="1">
        <v>200004</v>
      </c>
      <c r="AE446" s="1" t="str">
        <f>IFERROR(INDEX([1]物品基础表!$A:$A,MATCH(AD446,[1]物品基础表!$B:$B,0)),"")</f>
        <v>经脉丹</v>
      </c>
      <c r="AF446" s="1">
        <v>80</v>
      </c>
      <c r="AG446" s="1">
        <v>200015</v>
      </c>
      <c r="AH446" s="1" t="str">
        <f>IFERROR(INDEX([1]物品基础表!$A:$A,MATCH(AG446,[1]物品基础表!$B:$B,0)),"")</f>
        <v>特戒碎片</v>
      </c>
      <c r="AI446" s="1">
        <v>800</v>
      </c>
      <c r="AK446" s="1" t="str">
        <f>IFERROR(INDEX([1]物品基础表!$A:$A,MATCH(AJ446,[1]物品基础表!$B:$B,0)),"")</f>
        <v/>
      </c>
      <c r="AN446" s="1" t="str">
        <f>IFERROR(INDEX([1]物品基础表!$A:$A,MATCH(AM446,[1]物品基础表!$B:$B,0)),"")</f>
        <v/>
      </c>
      <c r="AQ446" s="1" t="str">
        <f>IFERROR(INDEX([1]物品基础表!$A:$A,MATCH(AP446,[1]物品基础表!$B:$B,0)),"")</f>
        <v/>
      </c>
    </row>
    <row r="447" spans="1:43">
      <c r="A447" s="1" t="str">
        <f>INDEX([2]活动总表!$A$8:$A$429,MATCH(B447,[2]活动总表!$B$8:$B$429,0))</f>
        <v>春节VIP限购</v>
      </c>
      <c r="B447" s="1">
        <v>567</v>
      </c>
      <c r="C447" s="1">
        <v>11</v>
      </c>
      <c r="D447" s="1">
        <v>14</v>
      </c>
      <c r="E447" s="1">
        <v>0</v>
      </c>
      <c r="F447" s="1" t="s">
        <v>706</v>
      </c>
      <c r="G447" s="1">
        <v>58800</v>
      </c>
      <c r="H447" s="1">
        <v>294000</v>
      </c>
      <c r="I447" s="1">
        <v>1</v>
      </c>
      <c r="O447" s="1">
        <v>20</v>
      </c>
      <c r="X447" s="1">
        <v>200977</v>
      </c>
      <c r="Y447" s="1" t="str">
        <f>IFERROR(INDEX([1]物品基础表!$A:$A,MATCH(X447,[1]物品基础表!$B:$B,0)),"")</f>
        <v>红色无相诀心法任选宝箱</v>
      </c>
      <c r="Z447" s="1">
        <v>5</v>
      </c>
      <c r="AA447" s="1">
        <v>200167</v>
      </c>
      <c r="AB447" s="1" t="str">
        <f>IFERROR(INDEX([1]物品基础表!$A:$A,MATCH(AA447,[1]物品基础表!$B:$B,0)),"")</f>
        <v>黑铁</v>
      </c>
      <c r="AC447" s="1">
        <v>8000</v>
      </c>
      <c r="AD447" s="1">
        <v>200004</v>
      </c>
      <c r="AE447" s="1" t="str">
        <f>IFERROR(INDEX([1]物品基础表!$A:$A,MATCH(AD447,[1]物品基础表!$B:$B,0)),"")</f>
        <v>经脉丹</v>
      </c>
      <c r="AF447" s="1">
        <v>80</v>
      </c>
      <c r="AG447" s="1">
        <v>200015</v>
      </c>
      <c r="AH447" s="1" t="str">
        <f>IFERROR(INDEX([1]物品基础表!$A:$A,MATCH(AG447,[1]物品基础表!$B:$B,0)),"")</f>
        <v>特戒碎片</v>
      </c>
      <c r="AI447" s="1">
        <v>800</v>
      </c>
      <c r="AK447" s="1" t="str">
        <f>IFERROR(INDEX([1]物品基础表!$A:$A,MATCH(AJ447,[1]物品基础表!$B:$B,0)),"")</f>
        <v/>
      </c>
      <c r="AN447" s="1" t="str">
        <f>IFERROR(INDEX([1]物品基础表!$A:$A,MATCH(AM447,[1]物品基础表!$B:$B,0)),"")</f>
        <v/>
      </c>
      <c r="AQ447" s="1" t="str">
        <f>IFERROR(INDEX([1]物品基础表!$A:$A,MATCH(AP447,[1]物品基础表!$B:$B,0)),"")</f>
        <v/>
      </c>
    </row>
    <row r="448" spans="1:43">
      <c r="A448" s="1" t="str">
        <f>INDEX([2]活动总表!$A$8:$A$429,MATCH(B448,[2]活动总表!$B$8:$B$429,0))</f>
        <v>春节VIP限购</v>
      </c>
      <c r="B448" s="1">
        <v>567</v>
      </c>
      <c r="C448" s="1">
        <v>12</v>
      </c>
      <c r="D448" s="1">
        <v>15</v>
      </c>
      <c r="E448" s="1">
        <v>0</v>
      </c>
      <c r="F448" s="1" t="s">
        <v>706</v>
      </c>
      <c r="G448" s="1">
        <v>58800</v>
      </c>
      <c r="H448" s="1">
        <v>294000</v>
      </c>
      <c r="I448" s="1">
        <v>1</v>
      </c>
      <c r="O448" s="1">
        <v>20</v>
      </c>
      <c r="X448" s="1">
        <v>204029</v>
      </c>
      <c r="Y448" s="1" t="str">
        <f>IFERROR(INDEX([1]物品基础表!$A:$A,MATCH(X448,[1]物品基础表!$B:$B,0)),"")</f>
        <v>魔魂礼包</v>
      </c>
      <c r="Z448" s="1">
        <v>1</v>
      </c>
      <c r="AA448" s="1">
        <v>200008</v>
      </c>
      <c r="AB448" s="1" t="str">
        <f>IFERROR(INDEX([1]物品基础表!$A:$A,MATCH(AA448,[1]物品基础表!$B:$B,0)),"")</f>
        <v>传奇碎片</v>
      </c>
      <c r="AC448" s="1">
        <v>50</v>
      </c>
      <c r="AD448" s="1">
        <v>210106</v>
      </c>
      <c r="AE448" s="1" t="str">
        <f>IFERROR(INDEX([1]物品基础表!$A:$A,MATCH(AD448,[1]物品基础表!$B:$B,0)),"")</f>
        <v>高级必杀</v>
      </c>
      <c r="AF448" s="1">
        <v>1</v>
      </c>
      <c r="AG448" s="1">
        <v>200015</v>
      </c>
      <c r="AH448" s="1" t="str">
        <f>IFERROR(INDEX([1]物品基础表!$A:$A,MATCH(AG448,[1]物品基础表!$B:$B,0)),"")</f>
        <v>特戒碎片</v>
      </c>
      <c r="AI448" s="1">
        <v>800</v>
      </c>
      <c r="AK448" s="1" t="str">
        <f>IFERROR(INDEX([1]物品基础表!$A:$A,MATCH(AJ448,[1]物品基础表!$B:$B,0)),"")</f>
        <v/>
      </c>
      <c r="AN448" s="1" t="str">
        <f>IFERROR(INDEX([1]物品基础表!$A:$A,MATCH(AM448,[1]物品基础表!$B:$B,0)),"")</f>
        <v/>
      </c>
      <c r="AQ448" s="1" t="str">
        <f>IFERROR(INDEX([1]物品基础表!$A:$A,MATCH(AP448,[1]物品基础表!$B:$B,0)),"")</f>
        <v/>
      </c>
    </row>
    <row r="449" spans="1:43">
      <c r="A449" s="1" t="str">
        <f>INDEX([2]活动总表!$A$8:$A$429,MATCH(B449,[2]活动总表!$B$8:$B$429,0))</f>
        <v>春节VIP限购</v>
      </c>
      <c r="B449" s="1">
        <v>567</v>
      </c>
      <c r="C449" s="1">
        <v>13</v>
      </c>
      <c r="D449" s="1">
        <v>15</v>
      </c>
      <c r="E449" s="1">
        <v>0</v>
      </c>
      <c r="F449" s="1" t="s">
        <v>706</v>
      </c>
      <c r="G449" s="1">
        <v>68800</v>
      </c>
      <c r="H449" s="1">
        <v>344000</v>
      </c>
      <c r="I449" s="1">
        <v>1</v>
      </c>
      <c r="O449" s="1">
        <v>20</v>
      </c>
      <c r="X449" s="1">
        <v>204105</v>
      </c>
      <c r="Y449" s="1" t="str">
        <f>IFERROR(INDEX([1]物品基础表!$A:$A,MATCH(X449,[1]物品基础表!$B:$B,0)),"")</f>
        <v>至尊至宝</v>
      </c>
      <c r="Z449" s="1">
        <v>1</v>
      </c>
      <c r="AA449" s="1">
        <v>200008</v>
      </c>
      <c r="AB449" s="1" t="str">
        <f>IFERROR(INDEX([1]物品基础表!$A:$A,MATCH(AA449,[1]物品基础表!$B:$B,0)),"")</f>
        <v>传奇碎片</v>
      </c>
      <c r="AC449" s="1">
        <v>50</v>
      </c>
      <c r="AD449" s="1">
        <v>210110</v>
      </c>
      <c r="AE449" s="1" t="str">
        <f>IFERROR(INDEX([1]物品基础表!$A:$A,MATCH(AD449,[1]物品基础表!$B:$B,0)),"")</f>
        <v>高级神佑</v>
      </c>
      <c r="AF449" s="1">
        <v>1</v>
      </c>
      <c r="AG449" s="1">
        <v>200015</v>
      </c>
      <c r="AH449" s="1" t="str">
        <f>IFERROR(INDEX([1]物品基础表!$A:$A,MATCH(AG449,[1]物品基础表!$B:$B,0)),"")</f>
        <v>特戒碎片</v>
      </c>
      <c r="AI449" s="1">
        <v>800</v>
      </c>
      <c r="AK449" s="1" t="str">
        <f>IFERROR(INDEX([1]物品基础表!$A:$A,MATCH(AJ449,[1]物品基础表!$B:$B,0)),"")</f>
        <v/>
      </c>
      <c r="AN449" s="1" t="str">
        <f>IFERROR(INDEX([1]物品基础表!$A:$A,MATCH(AM449,[1]物品基础表!$B:$B,0)),"")</f>
        <v/>
      </c>
      <c r="AQ449" s="1" t="str">
        <f>IFERROR(INDEX([1]物品基础表!$A:$A,MATCH(AP449,[1]物品基础表!$B:$B,0)),"")</f>
        <v/>
      </c>
    </row>
    <row r="450" spans="1:43">
      <c r="A450" s="1" t="str">
        <f>INDEX([2]活动总表!$A$8:$A$429,MATCH(B450,[2]活动总表!$B$8:$B$429,0))</f>
        <v>（15-60）春节限购1</v>
      </c>
      <c r="B450" s="1">
        <v>575</v>
      </c>
      <c r="C450" s="1">
        <v>1</v>
      </c>
      <c r="D450" s="1">
        <v>5</v>
      </c>
      <c r="E450" s="1">
        <v>0</v>
      </c>
      <c r="F450" s="1" t="s">
        <v>706</v>
      </c>
      <c r="G450" s="1">
        <v>888</v>
      </c>
      <c r="H450" s="1">
        <v>1500</v>
      </c>
      <c r="I450" s="1">
        <v>1</v>
      </c>
      <c r="O450" s="1">
        <v>59</v>
      </c>
      <c r="X450" s="1">
        <v>200003</v>
      </c>
      <c r="Y450" s="1" t="str">
        <f>IFERROR(INDEX([1]物品基础表!$A:$A,MATCH(X450,[1]物品基础表!$B:$B,0)),"")</f>
        <v>铸造晶石</v>
      </c>
      <c r="Z450" s="1">
        <v>30</v>
      </c>
      <c r="AB450" s="1" t="str">
        <f>IFERROR(INDEX([1]物品基础表!$A:$A,MATCH(AA450,[1]物品基础表!$B:$B,0)),"")</f>
        <v/>
      </c>
      <c r="AE450" s="1" t="str">
        <f>IFERROR(INDEX([1]物品基础表!$A:$A,MATCH(AD450,[1]物品基础表!$B:$B,0)),"")</f>
        <v/>
      </c>
      <c r="AH450" s="1" t="str">
        <f>IFERROR(INDEX([1]物品基础表!$A:$A,MATCH(AG450,[1]物品基础表!$B:$B,0)),"")</f>
        <v/>
      </c>
      <c r="AK450" s="1" t="str">
        <f>IFERROR(INDEX([1]物品基础表!$A:$A,MATCH(AJ450,[1]物品基础表!$B:$B,0)),"")</f>
        <v/>
      </c>
      <c r="AN450" s="1" t="str">
        <f>IFERROR(INDEX([1]物品基础表!$A:$A,MATCH(AM450,[1]物品基础表!$B:$B,0)),"")</f>
        <v/>
      </c>
      <c r="AQ450" s="1" t="str">
        <f>IFERROR(INDEX([1]物品基础表!$A:$A,MATCH(AP450,[1]物品基础表!$B:$B,0)),"")</f>
        <v/>
      </c>
    </row>
    <row r="451" spans="1:43">
      <c r="A451" s="1" t="str">
        <f>INDEX([2]活动总表!$A$8:$A$429,MATCH(B451,[2]活动总表!$B$8:$B$429,0))</f>
        <v>（15-60）春节限购1</v>
      </c>
      <c r="B451" s="1">
        <v>575</v>
      </c>
      <c r="C451" s="1">
        <v>2</v>
      </c>
      <c r="D451" s="1">
        <v>7</v>
      </c>
      <c r="E451" s="1">
        <v>0</v>
      </c>
      <c r="F451" s="1" t="s">
        <v>706</v>
      </c>
      <c r="G451" s="1">
        <v>1588</v>
      </c>
      <c r="H451" s="1">
        <v>5000</v>
      </c>
      <c r="I451" s="1">
        <v>1</v>
      </c>
      <c r="O451" s="1">
        <v>31</v>
      </c>
      <c r="X451" s="1">
        <v>200003</v>
      </c>
      <c r="Y451" s="1" t="str">
        <f>IFERROR(INDEX([1]物品基础表!$A:$A,MATCH(X451,[1]物品基础表!$B:$B,0)),"")</f>
        <v>铸造晶石</v>
      </c>
      <c r="Z451" s="1">
        <v>100</v>
      </c>
      <c r="AB451" s="1" t="str">
        <f>IFERROR(INDEX([1]物品基础表!$A:$A,MATCH(AA451,[1]物品基础表!$B:$B,0)),"")</f>
        <v/>
      </c>
      <c r="AE451" s="1" t="str">
        <f>IFERROR(INDEX([1]物品基础表!$A:$A,MATCH(AD451,[1]物品基础表!$B:$B,0)),"")</f>
        <v/>
      </c>
      <c r="AH451" s="1" t="str">
        <f>IFERROR(INDEX([1]物品基础表!$A:$A,MATCH(AG451,[1]物品基础表!$B:$B,0)),"")</f>
        <v/>
      </c>
      <c r="AK451" s="1" t="str">
        <f>IFERROR(INDEX([1]物品基础表!$A:$A,MATCH(AJ451,[1]物品基础表!$B:$B,0)),"")</f>
        <v/>
      </c>
      <c r="AN451" s="1" t="str">
        <f>IFERROR(INDEX([1]物品基础表!$A:$A,MATCH(AM451,[1]物品基础表!$B:$B,0)),"")</f>
        <v/>
      </c>
      <c r="AQ451" s="1" t="str">
        <f>IFERROR(INDEX([1]物品基础表!$A:$A,MATCH(AP451,[1]物品基础表!$B:$B,0)),"")</f>
        <v/>
      </c>
    </row>
    <row r="452" spans="1:43">
      <c r="A452" s="1" t="str">
        <f>INDEX([2]活动总表!$A$8:$A$429,MATCH(B452,[2]活动总表!$B$8:$B$429,0))</f>
        <v>（15-60）春节限购1</v>
      </c>
      <c r="B452" s="1">
        <v>575</v>
      </c>
      <c r="C452" s="1">
        <v>3</v>
      </c>
      <c r="D452" s="1">
        <v>7</v>
      </c>
      <c r="E452" s="1">
        <v>0</v>
      </c>
      <c r="F452" s="1" t="s">
        <v>706</v>
      </c>
      <c r="G452" s="1">
        <v>2888</v>
      </c>
      <c r="H452" s="1">
        <v>8500</v>
      </c>
      <c r="I452" s="1">
        <v>1</v>
      </c>
      <c r="O452" s="1">
        <v>33</v>
      </c>
      <c r="X452" s="1">
        <v>200003</v>
      </c>
      <c r="Y452" s="1" t="str">
        <f>IFERROR(INDEX([1]物品基础表!$A:$A,MATCH(X452,[1]物品基础表!$B:$B,0)),"")</f>
        <v>铸造晶石</v>
      </c>
      <c r="Z452" s="1">
        <v>170</v>
      </c>
      <c r="AB452" s="1" t="str">
        <f>IFERROR(INDEX([1]物品基础表!$A:$A,MATCH(AA452,[1]物品基础表!$B:$B,0)),"")</f>
        <v/>
      </c>
      <c r="AE452" s="1" t="str">
        <f>IFERROR(INDEX([1]物品基础表!$A:$A,MATCH(AD452,[1]物品基础表!$B:$B,0)),"")</f>
        <v/>
      </c>
      <c r="AH452" s="1" t="str">
        <f>IFERROR(INDEX([1]物品基础表!$A:$A,MATCH(AG452,[1]物品基础表!$B:$B,0)),"")</f>
        <v/>
      </c>
      <c r="AK452" s="1" t="str">
        <f>IFERROR(INDEX([1]物品基础表!$A:$A,MATCH(AJ452,[1]物品基础表!$B:$B,0)),"")</f>
        <v/>
      </c>
      <c r="AN452" s="1" t="str">
        <f>IFERROR(INDEX([1]物品基础表!$A:$A,MATCH(AM452,[1]物品基础表!$B:$B,0)),"")</f>
        <v/>
      </c>
      <c r="AQ452" s="1" t="str">
        <f>IFERROR(INDEX([1]物品基础表!$A:$A,MATCH(AP452,[1]物品基础表!$B:$B,0)),"")</f>
        <v/>
      </c>
    </row>
    <row r="453" spans="1:43">
      <c r="A453" s="1" t="str">
        <f>INDEX([2]活动总表!$A$8:$A$429,MATCH(B453,[2]活动总表!$B$8:$B$429,0))</f>
        <v>（15-60）春节限购1</v>
      </c>
      <c r="B453" s="1">
        <v>575</v>
      </c>
      <c r="C453" s="1">
        <v>4</v>
      </c>
      <c r="D453" s="1">
        <v>5</v>
      </c>
      <c r="E453" s="1">
        <v>0</v>
      </c>
      <c r="F453" s="1" t="s">
        <v>706</v>
      </c>
      <c r="G453" s="1">
        <v>2888</v>
      </c>
      <c r="H453" s="1">
        <v>5000</v>
      </c>
      <c r="I453" s="1">
        <v>1</v>
      </c>
      <c r="O453" s="1">
        <v>57</v>
      </c>
      <c r="X453" s="1">
        <v>200003</v>
      </c>
      <c r="Y453" s="1" t="str">
        <f>IFERROR(INDEX([1]物品基础表!$A:$A,MATCH(X453,[1]物品基础表!$B:$B,0)),"")</f>
        <v>铸造晶石</v>
      </c>
      <c r="Z453" s="1">
        <v>100</v>
      </c>
      <c r="AE453" s="1" t="str">
        <f>IFERROR(INDEX([1]物品基础表!$A:$A,MATCH(AD453,[1]物品基础表!$B:$B,0)),"")</f>
        <v/>
      </c>
      <c r="AH453" s="1" t="str">
        <f>IFERROR(INDEX([1]物品基础表!$A:$A,MATCH(AG453,[1]物品基础表!$B:$B,0)),"")</f>
        <v/>
      </c>
      <c r="AK453" s="1" t="str">
        <f>IFERROR(INDEX([1]物品基础表!$A:$A,MATCH(AJ453,[1]物品基础表!$B:$B,0)),"")</f>
        <v/>
      </c>
      <c r="AN453" s="1" t="str">
        <f>IFERROR(INDEX([1]物品基础表!$A:$A,MATCH(AM453,[1]物品基础表!$B:$B,0)),"")</f>
        <v/>
      </c>
      <c r="AQ453" s="1" t="str">
        <f>IFERROR(INDEX([1]物品基础表!$A:$A,MATCH(AP453,[1]物品基础表!$B:$B,0)),"")</f>
        <v/>
      </c>
    </row>
    <row r="454" spans="1:43">
      <c r="A454" s="1" t="str">
        <f>INDEX([2]活动总表!$A$8:$A$429,MATCH(B454,[2]活动总表!$B$8:$B$429,0))</f>
        <v>（15-60）春节限购1</v>
      </c>
      <c r="B454" s="1">
        <v>575</v>
      </c>
      <c r="C454" s="1">
        <v>5</v>
      </c>
      <c r="D454" s="1">
        <v>5</v>
      </c>
      <c r="E454" s="1">
        <v>0</v>
      </c>
      <c r="F454" s="1" t="s">
        <v>706</v>
      </c>
      <c r="G454" s="1">
        <v>8888</v>
      </c>
      <c r="H454" s="1">
        <v>15000</v>
      </c>
      <c r="I454" s="1">
        <v>3</v>
      </c>
      <c r="O454" s="1">
        <v>59</v>
      </c>
      <c r="X454" s="1">
        <v>200003</v>
      </c>
      <c r="Y454" s="1" t="str">
        <f>IFERROR(INDEX([1]物品基础表!$A:$A,MATCH(X454,[1]物品基础表!$B:$B,0)),"")</f>
        <v>铸造晶石</v>
      </c>
      <c r="Z454" s="1">
        <v>300</v>
      </c>
      <c r="AE454" s="1" t="str">
        <f>IFERROR(INDEX([1]物品基础表!$A:$A,MATCH(AD454,[1]物品基础表!$B:$B,0)),"")</f>
        <v/>
      </c>
      <c r="AH454" s="1" t="str">
        <f>IFERROR(INDEX([1]物品基础表!$A:$A,MATCH(AG454,[1]物品基础表!$B:$B,0)),"")</f>
        <v/>
      </c>
      <c r="AK454" s="1" t="str">
        <f>IFERROR(INDEX([1]物品基础表!$A:$A,MATCH(AJ454,[1]物品基础表!$B:$B,0)),"")</f>
        <v/>
      </c>
      <c r="AN454" s="1" t="str">
        <f>IFERROR(INDEX([1]物品基础表!$A:$A,MATCH(AM454,[1]物品基础表!$B:$B,0)),"")</f>
        <v/>
      </c>
      <c r="AQ454" s="1" t="str">
        <f>IFERROR(INDEX([1]物品基础表!$A:$A,MATCH(AP454,[1]物品基础表!$B:$B,0)),"")</f>
        <v/>
      </c>
    </row>
    <row r="455" spans="1:43">
      <c r="A455" s="1" t="str">
        <f>INDEX([2]活动总表!$A$8:$A$429,MATCH(B455,[2]活动总表!$B$8:$B$429,0))</f>
        <v>（15-60）春节限购2</v>
      </c>
      <c r="B455" s="1">
        <v>576</v>
      </c>
      <c r="C455" s="1">
        <v>1</v>
      </c>
      <c r="D455" s="1">
        <v>5</v>
      </c>
      <c r="E455" s="1">
        <v>0</v>
      </c>
      <c r="F455" s="1" t="s">
        <v>706</v>
      </c>
      <c r="G455" s="1">
        <v>888</v>
      </c>
      <c r="H455" s="1">
        <v>1500</v>
      </c>
      <c r="I455" s="1">
        <v>1</v>
      </c>
      <c r="O455" s="1">
        <v>59</v>
      </c>
      <c r="X455" s="1">
        <v>200005</v>
      </c>
      <c r="Y455" s="1" t="str">
        <f>IFERROR(INDEX([1]物品基础表!$A:$A,MATCH(X455,[1]物品基础表!$B:$B,0)),"")</f>
        <v>龙魂碎片</v>
      </c>
      <c r="Z455" s="1">
        <v>15</v>
      </c>
      <c r="AB455" s="1" t="str">
        <f>IFERROR(INDEX([1]物品基础表!$A:$A,MATCH(AA455,[1]物品基础表!$B:$B,0)),"")</f>
        <v/>
      </c>
      <c r="AE455" s="1" t="str">
        <f>IFERROR(INDEX([1]物品基础表!$A:$A,MATCH(AD455,[1]物品基础表!$B:$B,0)),"")</f>
        <v/>
      </c>
      <c r="AH455" s="1" t="str">
        <f>IFERROR(INDEX([1]物品基础表!$A:$A,MATCH(AG455,[1]物品基础表!$B:$B,0)),"")</f>
        <v/>
      </c>
      <c r="AK455" s="1" t="str">
        <f>IFERROR(INDEX([1]物品基础表!$A:$A,MATCH(AJ455,[1]物品基础表!$B:$B,0)),"")</f>
        <v/>
      </c>
      <c r="AN455" s="1" t="str">
        <f>IFERROR(INDEX([1]物品基础表!$A:$A,MATCH(AM455,[1]物品基础表!$B:$B,0)),"")</f>
        <v/>
      </c>
      <c r="AQ455" s="1" t="str">
        <f>IFERROR(INDEX([1]物品基础表!$A:$A,MATCH(AP455,[1]物品基础表!$B:$B,0)),"")</f>
        <v/>
      </c>
    </row>
    <row r="456" spans="1:43">
      <c r="A456" s="1" t="str">
        <f>INDEX([2]活动总表!$A$8:$A$429,MATCH(B456,[2]活动总表!$B$8:$B$429,0))</f>
        <v>（15-60）春节限购2</v>
      </c>
      <c r="B456" s="1">
        <v>576</v>
      </c>
      <c r="C456" s="1">
        <v>2</v>
      </c>
      <c r="D456" s="1">
        <v>7</v>
      </c>
      <c r="E456" s="1">
        <v>0</v>
      </c>
      <c r="F456" s="1" t="s">
        <v>706</v>
      </c>
      <c r="G456" s="1">
        <v>1588</v>
      </c>
      <c r="H456" s="1">
        <v>5000</v>
      </c>
      <c r="I456" s="1">
        <v>1</v>
      </c>
      <c r="O456" s="1">
        <v>31</v>
      </c>
      <c r="X456" s="1">
        <v>200005</v>
      </c>
      <c r="Y456" s="1" t="str">
        <f>IFERROR(INDEX([1]物品基础表!$A:$A,MATCH(X456,[1]物品基础表!$B:$B,0)),"")</f>
        <v>龙魂碎片</v>
      </c>
      <c r="Z456" s="1">
        <v>50</v>
      </c>
      <c r="AB456" s="1" t="str">
        <f>IFERROR(INDEX([1]物品基础表!$A:$A,MATCH(AA456,[1]物品基础表!$B:$B,0)),"")</f>
        <v/>
      </c>
      <c r="AE456" s="1" t="str">
        <f>IFERROR(INDEX([1]物品基础表!$A:$A,MATCH(AD456,[1]物品基础表!$B:$B,0)),"")</f>
        <v/>
      </c>
      <c r="AH456" s="1" t="str">
        <f>IFERROR(INDEX([1]物品基础表!$A:$A,MATCH(AG456,[1]物品基础表!$B:$B,0)),"")</f>
        <v/>
      </c>
      <c r="AK456" s="1" t="str">
        <f>IFERROR(INDEX([1]物品基础表!$A:$A,MATCH(AJ456,[1]物品基础表!$B:$B,0)),"")</f>
        <v/>
      </c>
      <c r="AN456" s="1" t="str">
        <f>IFERROR(INDEX([1]物品基础表!$A:$A,MATCH(AM456,[1]物品基础表!$B:$B,0)),"")</f>
        <v/>
      </c>
      <c r="AQ456" s="1" t="str">
        <f>IFERROR(INDEX([1]物品基础表!$A:$A,MATCH(AP456,[1]物品基础表!$B:$B,0)),"")</f>
        <v/>
      </c>
    </row>
    <row r="457" spans="1:43">
      <c r="A457" s="1" t="str">
        <f>INDEX([2]活动总表!$A$8:$A$429,MATCH(B457,[2]活动总表!$B$8:$B$429,0))</f>
        <v>（15-60）春节限购2</v>
      </c>
      <c r="B457" s="1">
        <v>576</v>
      </c>
      <c r="C457" s="1">
        <v>3</v>
      </c>
      <c r="D457" s="1">
        <v>7</v>
      </c>
      <c r="E457" s="1">
        <v>0</v>
      </c>
      <c r="F457" s="1" t="s">
        <v>706</v>
      </c>
      <c r="G457" s="1">
        <v>2888</v>
      </c>
      <c r="H457" s="1">
        <v>8500</v>
      </c>
      <c r="I457" s="1">
        <v>1</v>
      </c>
      <c r="O457" s="1">
        <v>33</v>
      </c>
      <c r="X457" s="1">
        <v>200005</v>
      </c>
      <c r="Y457" s="1" t="str">
        <f>IFERROR(INDEX([1]物品基础表!$A:$A,MATCH(X457,[1]物品基础表!$B:$B,0)),"")</f>
        <v>龙魂碎片</v>
      </c>
      <c r="Z457" s="1">
        <v>85</v>
      </c>
      <c r="AB457" s="1" t="str">
        <f>IFERROR(INDEX([1]物品基础表!$A:$A,MATCH(AA457,[1]物品基础表!$B:$B,0)),"")</f>
        <v/>
      </c>
      <c r="AE457" s="1" t="str">
        <f>IFERROR(INDEX([1]物品基础表!$A:$A,MATCH(AD457,[1]物品基础表!$B:$B,0)),"")</f>
        <v/>
      </c>
      <c r="AH457" s="1" t="str">
        <f>IFERROR(INDEX([1]物品基础表!$A:$A,MATCH(AG457,[1]物品基础表!$B:$B,0)),"")</f>
        <v/>
      </c>
      <c r="AK457" s="1" t="str">
        <f>IFERROR(INDEX([1]物品基础表!$A:$A,MATCH(AJ457,[1]物品基础表!$B:$B,0)),"")</f>
        <v/>
      </c>
      <c r="AN457" s="1" t="str">
        <f>IFERROR(INDEX([1]物品基础表!$A:$A,MATCH(AM457,[1]物品基础表!$B:$B,0)),"")</f>
        <v/>
      </c>
      <c r="AQ457" s="1" t="str">
        <f>IFERROR(INDEX([1]物品基础表!$A:$A,MATCH(AP457,[1]物品基础表!$B:$B,0)),"")</f>
        <v/>
      </c>
    </row>
    <row r="458" spans="1:43">
      <c r="A458" s="1" t="str">
        <f>INDEX([2]活动总表!$A$8:$A$429,MATCH(B458,[2]活动总表!$B$8:$B$429,0))</f>
        <v>（15-60）春节限购2</v>
      </c>
      <c r="B458" s="1">
        <v>576</v>
      </c>
      <c r="C458" s="1">
        <v>4</v>
      </c>
      <c r="D458" s="1">
        <v>5</v>
      </c>
      <c r="E458" s="1">
        <v>0</v>
      </c>
      <c r="F458" s="1" t="s">
        <v>706</v>
      </c>
      <c r="G458" s="1">
        <v>2888</v>
      </c>
      <c r="H458" s="1">
        <v>5000</v>
      </c>
      <c r="I458" s="1">
        <v>1</v>
      </c>
      <c r="O458" s="1">
        <v>57</v>
      </c>
      <c r="X458" s="1">
        <v>200005</v>
      </c>
      <c r="Y458" s="1" t="str">
        <f>IFERROR(INDEX([1]物品基础表!$A:$A,MATCH(X458,[1]物品基础表!$B:$B,0)),"")</f>
        <v>龙魂碎片</v>
      </c>
      <c r="Z458" s="1">
        <v>50</v>
      </c>
      <c r="AB458" s="1" t="str">
        <f>IFERROR(INDEX([1]物品基础表!$A:$A,MATCH(AA458,[1]物品基础表!$B:$B,0)),"")</f>
        <v/>
      </c>
      <c r="AE458" s="1" t="str">
        <f>IFERROR(INDEX([1]物品基础表!$A:$A,MATCH(AD458,[1]物品基础表!$B:$B,0)),"")</f>
        <v/>
      </c>
      <c r="AH458" s="1" t="str">
        <f>IFERROR(INDEX([1]物品基础表!$A:$A,MATCH(AG458,[1]物品基础表!$B:$B,0)),"")</f>
        <v/>
      </c>
      <c r="AK458" s="1" t="str">
        <f>IFERROR(INDEX([1]物品基础表!$A:$A,MATCH(AJ458,[1]物品基础表!$B:$B,0)),"")</f>
        <v/>
      </c>
      <c r="AN458" s="1" t="str">
        <f>IFERROR(INDEX([1]物品基础表!$A:$A,MATCH(AM458,[1]物品基础表!$B:$B,0)),"")</f>
        <v/>
      </c>
      <c r="AQ458" s="1" t="str">
        <f>IFERROR(INDEX([1]物品基础表!$A:$A,MATCH(AP458,[1]物品基础表!$B:$B,0)),"")</f>
        <v/>
      </c>
    </row>
    <row r="459" spans="1:43">
      <c r="A459" s="1" t="str">
        <f>INDEX([2]活动总表!$A$8:$A$429,MATCH(B459,[2]活动总表!$B$8:$B$429,0))</f>
        <v>（15-60）春节限购2</v>
      </c>
      <c r="B459" s="1">
        <v>576</v>
      </c>
      <c r="C459" s="1">
        <v>5</v>
      </c>
      <c r="D459" s="1">
        <v>5</v>
      </c>
      <c r="E459" s="1">
        <v>0</v>
      </c>
      <c r="F459" s="1" t="s">
        <v>706</v>
      </c>
      <c r="G459" s="1">
        <v>8888</v>
      </c>
      <c r="H459" s="1">
        <v>15000</v>
      </c>
      <c r="I459" s="1">
        <v>3</v>
      </c>
      <c r="O459" s="1">
        <v>59</v>
      </c>
      <c r="X459" s="1">
        <v>200005</v>
      </c>
      <c r="Y459" s="1" t="str">
        <f>IFERROR(INDEX([1]物品基础表!$A:$A,MATCH(X459,[1]物品基础表!$B:$B,0)),"")</f>
        <v>龙魂碎片</v>
      </c>
      <c r="Z459" s="1">
        <v>150</v>
      </c>
      <c r="AB459" s="1" t="str">
        <f>IFERROR(INDEX([1]物品基础表!$A:$A,MATCH(AA459,[1]物品基础表!$B:$B,0)),"")</f>
        <v/>
      </c>
      <c r="AE459" s="1" t="str">
        <f>IFERROR(INDEX([1]物品基础表!$A:$A,MATCH(AD459,[1]物品基础表!$B:$B,0)),"")</f>
        <v/>
      </c>
      <c r="AH459" s="1" t="str">
        <f>IFERROR(INDEX([1]物品基础表!$A:$A,MATCH(AG459,[1]物品基础表!$B:$B,0)),"")</f>
        <v/>
      </c>
      <c r="AK459" s="1" t="str">
        <f>IFERROR(INDEX([1]物品基础表!$A:$A,MATCH(AJ459,[1]物品基础表!$B:$B,0)),"")</f>
        <v/>
      </c>
      <c r="AN459" s="1" t="str">
        <f>IFERROR(INDEX([1]物品基础表!$A:$A,MATCH(AM459,[1]物品基础表!$B:$B,0)),"")</f>
        <v/>
      </c>
      <c r="AQ459" s="1" t="str">
        <f>IFERROR(INDEX([1]物品基础表!$A:$A,MATCH(AP459,[1]物品基础表!$B:$B,0)),"")</f>
        <v/>
      </c>
    </row>
    <row r="460" spans="1:43">
      <c r="A460" s="1" t="str">
        <f>INDEX([2]活动总表!$A$8:$A$429,MATCH(B460,[2]活动总表!$B$8:$B$429,0))</f>
        <v>（15-60）春节限购3</v>
      </c>
      <c r="B460" s="1">
        <v>577</v>
      </c>
      <c r="C460" s="1">
        <v>1</v>
      </c>
      <c r="D460" s="1">
        <v>5</v>
      </c>
      <c r="E460" s="1">
        <v>0</v>
      </c>
      <c r="F460" s="1" t="s">
        <v>706</v>
      </c>
      <c r="G460" s="1">
        <v>888</v>
      </c>
      <c r="H460" s="1">
        <v>1500</v>
      </c>
      <c r="I460" s="1">
        <v>1</v>
      </c>
      <c r="O460" s="1">
        <v>59</v>
      </c>
      <c r="X460" s="1">
        <v>200301</v>
      </c>
      <c r="Y460" s="1" t="str">
        <f>IFERROR(INDEX([1]物品基础表!$A:$A,MATCH(X460,[1]物品基础表!$B:$B,0)),"")</f>
        <v>传世宝钻</v>
      </c>
      <c r="Z460" s="1">
        <v>15</v>
      </c>
      <c r="AB460" s="1" t="str">
        <f>IFERROR(INDEX([1]物品基础表!$A:$A,MATCH(AA460,[1]物品基础表!$B:$B,0)),"")</f>
        <v/>
      </c>
      <c r="AE460" s="1" t="str">
        <f>IFERROR(INDEX([1]物品基础表!$A:$A,MATCH(AD460,[1]物品基础表!$B:$B,0)),"")</f>
        <v/>
      </c>
      <c r="AH460" s="1" t="str">
        <f>IFERROR(INDEX([1]物品基础表!$A:$A,MATCH(AG460,[1]物品基础表!$B:$B,0)),"")</f>
        <v/>
      </c>
      <c r="AK460" s="1" t="str">
        <f>IFERROR(INDEX([1]物品基础表!$A:$A,MATCH(AJ460,[1]物品基础表!$B:$B,0)),"")</f>
        <v/>
      </c>
      <c r="AN460" s="1" t="str">
        <f>IFERROR(INDEX([1]物品基础表!$A:$A,MATCH(AM460,[1]物品基础表!$B:$B,0)),"")</f>
        <v/>
      </c>
      <c r="AQ460" s="1" t="str">
        <f>IFERROR(INDEX([1]物品基础表!$A:$A,MATCH(AP460,[1]物品基础表!$B:$B,0)),"")</f>
        <v/>
      </c>
    </row>
    <row r="461" spans="1:43">
      <c r="A461" s="1" t="str">
        <f>INDEX([2]活动总表!$A$8:$A$429,MATCH(B461,[2]活动总表!$B$8:$B$429,0))</f>
        <v>（15-60）春节限购3</v>
      </c>
      <c r="B461" s="1">
        <v>577</v>
      </c>
      <c r="C461" s="1">
        <v>2</v>
      </c>
      <c r="D461" s="1">
        <v>7</v>
      </c>
      <c r="E461" s="1">
        <v>0</v>
      </c>
      <c r="F461" s="1" t="s">
        <v>706</v>
      </c>
      <c r="G461" s="1">
        <v>1588</v>
      </c>
      <c r="H461" s="1">
        <v>5000</v>
      </c>
      <c r="I461" s="1">
        <v>1</v>
      </c>
      <c r="O461" s="1">
        <v>31</v>
      </c>
      <c r="X461" s="1">
        <v>200301</v>
      </c>
      <c r="Y461" s="1" t="str">
        <f>IFERROR(INDEX([1]物品基础表!$A:$A,MATCH(X461,[1]物品基础表!$B:$B,0)),"")</f>
        <v>传世宝钻</v>
      </c>
      <c r="Z461" s="1">
        <v>50</v>
      </c>
      <c r="AB461" s="1" t="str">
        <f>IFERROR(INDEX([1]物品基础表!$A:$A,MATCH(AA461,[1]物品基础表!$B:$B,0)),"")</f>
        <v/>
      </c>
      <c r="AE461" s="1" t="str">
        <f>IFERROR(INDEX([1]物品基础表!$A:$A,MATCH(AD461,[1]物品基础表!$B:$B,0)),"")</f>
        <v/>
      </c>
      <c r="AH461" s="1" t="str">
        <f>IFERROR(INDEX([1]物品基础表!$A:$A,MATCH(AG461,[1]物品基础表!$B:$B,0)),"")</f>
        <v/>
      </c>
      <c r="AK461" s="1" t="str">
        <f>IFERROR(INDEX([1]物品基础表!$A:$A,MATCH(AJ461,[1]物品基础表!$B:$B,0)),"")</f>
        <v/>
      </c>
      <c r="AN461" s="1" t="str">
        <f>IFERROR(INDEX([1]物品基础表!$A:$A,MATCH(AM461,[1]物品基础表!$B:$B,0)),"")</f>
        <v/>
      </c>
      <c r="AQ461" s="1" t="str">
        <f>IFERROR(INDEX([1]物品基础表!$A:$A,MATCH(AP461,[1]物品基础表!$B:$B,0)),"")</f>
        <v/>
      </c>
    </row>
    <row r="462" spans="1:43">
      <c r="A462" s="1" t="str">
        <f>INDEX([2]活动总表!$A$8:$A$429,MATCH(B462,[2]活动总表!$B$8:$B$429,0))</f>
        <v>（15-60）春节限购3</v>
      </c>
      <c r="B462" s="1">
        <v>577</v>
      </c>
      <c r="C462" s="1">
        <v>3</v>
      </c>
      <c r="D462" s="1">
        <v>7</v>
      </c>
      <c r="E462" s="1">
        <v>0</v>
      </c>
      <c r="F462" s="1" t="s">
        <v>706</v>
      </c>
      <c r="G462" s="1">
        <v>2888</v>
      </c>
      <c r="H462" s="1">
        <v>8500</v>
      </c>
      <c r="I462" s="1">
        <v>1</v>
      </c>
      <c r="O462" s="1">
        <v>33</v>
      </c>
      <c r="X462" s="1">
        <v>200301</v>
      </c>
      <c r="Y462" s="1" t="str">
        <f>IFERROR(INDEX([1]物品基础表!$A:$A,MATCH(X462,[1]物品基础表!$B:$B,0)),"")</f>
        <v>传世宝钻</v>
      </c>
      <c r="Z462" s="1">
        <v>85</v>
      </c>
      <c r="AB462" s="1" t="str">
        <f>IFERROR(INDEX([1]物品基础表!$A:$A,MATCH(AA462,[1]物品基础表!$B:$B,0)),"")</f>
        <v/>
      </c>
      <c r="AE462" s="1" t="str">
        <f>IFERROR(INDEX([1]物品基础表!$A:$A,MATCH(AD462,[1]物品基础表!$B:$B,0)),"")</f>
        <v/>
      </c>
      <c r="AH462" s="1" t="str">
        <f>IFERROR(INDEX([1]物品基础表!$A:$A,MATCH(AG462,[1]物品基础表!$B:$B,0)),"")</f>
        <v/>
      </c>
      <c r="AK462" s="1" t="str">
        <f>IFERROR(INDEX([1]物品基础表!$A:$A,MATCH(AJ462,[1]物品基础表!$B:$B,0)),"")</f>
        <v/>
      </c>
      <c r="AN462" s="1" t="str">
        <f>IFERROR(INDEX([1]物品基础表!$A:$A,MATCH(AM462,[1]物品基础表!$B:$B,0)),"")</f>
        <v/>
      </c>
      <c r="AQ462" s="1" t="str">
        <f>IFERROR(INDEX([1]物品基础表!$A:$A,MATCH(AP462,[1]物品基础表!$B:$B,0)),"")</f>
        <v/>
      </c>
    </row>
    <row r="463" spans="1:43">
      <c r="A463" s="1" t="str">
        <f>INDEX([2]活动总表!$A$8:$A$429,MATCH(B463,[2]活动总表!$B$8:$B$429,0))</f>
        <v>（15-60）春节限购3</v>
      </c>
      <c r="B463" s="1">
        <v>577</v>
      </c>
      <c r="C463" s="1">
        <v>4</v>
      </c>
      <c r="D463" s="1">
        <v>5</v>
      </c>
      <c r="E463" s="1">
        <v>0</v>
      </c>
      <c r="F463" s="1" t="s">
        <v>706</v>
      </c>
      <c r="G463" s="1">
        <v>2888</v>
      </c>
      <c r="H463" s="1">
        <v>5000</v>
      </c>
      <c r="I463" s="1">
        <v>1</v>
      </c>
      <c r="O463" s="1">
        <v>57</v>
      </c>
      <c r="X463" s="1">
        <v>200301</v>
      </c>
      <c r="Y463" s="1" t="str">
        <f>IFERROR(INDEX([1]物品基础表!$A:$A,MATCH(X463,[1]物品基础表!$B:$B,0)),"")</f>
        <v>传世宝钻</v>
      </c>
      <c r="Z463" s="1">
        <v>50</v>
      </c>
      <c r="AB463" s="1" t="str">
        <f>IFERROR(INDEX([1]物品基础表!$A:$A,MATCH(AA463,[1]物品基础表!$B:$B,0)),"")</f>
        <v/>
      </c>
      <c r="AE463" s="1" t="str">
        <f>IFERROR(INDEX([1]物品基础表!$A:$A,MATCH(AD463,[1]物品基础表!$B:$B,0)),"")</f>
        <v/>
      </c>
      <c r="AH463" s="1" t="str">
        <f>IFERROR(INDEX([1]物品基础表!$A:$A,MATCH(AG463,[1]物品基础表!$B:$B,0)),"")</f>
        <v/>
      </c>
      <c r="AK463" s="1" t="str">
        <f>IFERROR(INDEX([1]物品基础表!$A:$A,MATCH(AJ463,[1]物品基础表!$B:$B,0)),"")</f>
        <v/>
      </c>
      <c r="AN463" s="1" t="str">
        <f>IFERROR(INDEX([1]物品基础表!$A:$A,MATCH(AM463,[1]物品基础表!$B:$B,0)),"")</f>
        <v/>
      </c>
      <c r="AQ463" s="1" t="str">
        <f>IFERROR(INDEX([1]物品基础表!$A:$A,MATCH(AP463,[1]物品基础表!$B:$B,0)),"")</f>
        <v/>
      </c>
    </row>
    <row r="464" spans="1:43">
      <c r="A464" s="1" t="str">
        <f>INDEX([2]活动总表!$A$8:$A$429,MATCH(B464,[2]活动总表!$B$8:$B$429,0))</f>
        <v>（15-60）春节限购3</v>
      </c>
      <c r="B464" s="1">
        <v>577</v>
      </c>
      <c r="C464" s="1">
        <v>5</v>
      </c>
      <c r="D464" s="1">
        <v>5</v>
      </c>
      <c r="E464" s="1">
        <v>0</v>
      </c>
      <c r="F464" s="1" t="s">
        <v>706</v>
      </c>
      <c r="G464" s="1">
        <v>8888</v>
      </c>
      <c r="H464" s="1">
        <v>15000</v>
      </c>
      <c r="I464" s="1">
        <v>3</v>
      </c>
      <c r="O464" s="1">
        <v>59</v>
      </c>
      <c r="X464" s="1">
        <v>200301</v>
      </c>
      <c r="Y464" s="1" t="str">
        <f>IFERROR(INDEX([1]物品基础表!$A:$A,MATCH(X464,[1]物品基础表!$B:$B,0)),"")</f>
        <v>传世宝钻</v>
      </c>
      <c r="Z464" s="1">
        <v>150</v>
      </c>
      <c r="AB464" s="1" t="str">
        <f>IFERROR(INDEX([1]物品基础表!$A:$A,MATCH(AA464,[1]物品基础表!$B:$B,0)),"")</f>
        <v/>
      </c>
      <c r="AE464" s="1" t="str">
        <f>IFERROR(INDEX([1]物品基础表!$A:$A,MATCH(AD464,[1]物品基础表!$B:$B,0)),"")</f>
        <v/>
      </c>
      <c r="AH464" s="1" t="str">
        <f>IFERROR(INDEX([1]物品基础表!$A:$A,MATCH(AG464,[1]物品基础表!$B:$B,0)),"")</f>
        <v/>
      </c>
      <c r="AK464" s="1" t="str">
        <f>IFERROR(INDEX([1]物品基础表!$A:$A,MATCH(AJ464,[1]物品基础表!$B:$B,0)),"")</f>
        <v/>
      </c>
      <c r="AN464" s="1" t="str">
        <f>IFERROR(INDEX([1]物品基础表!$A:$A,MATCH(AM464,[1]物品基础表!$B:$B,0)),"")</f>
        <v/>
      </c>
      <c r="AQ464" s="1" t="str">
        <f>IFERROR(INDEX([1]物品基础表!$A:$A,MATCH(AP464,[1]物品基础表!$B:$B,0)),"")</f>
        <v/>
      </c>
    </row>
    <row r="465" spans="1:43">
      <c r="A465" s="1" t="str">
        <f>INDEX([2]活动总表!$A$8:$A$429,MATCH(B465,[2]活动总表!$B$8:$B$429,0))</f>
        <v>（15-60）春节限购4</v>
      </c>
      <c r="B465" s="1">
        <v>578</v>
      </c>
      <c r="C465" s="1">
        <v>1</v>
      </c>
      <c r="D465" s="1">
        <v>5</v>
      </c>
      <c r="E465" s="1">
        <v>0</v>
      </c>
      <c r="F465" s="1" t="s">
        <v>706</v>
      </c>
      <c r="G465" s="1">
        <v>888</v>
      </c>
      <c r="H465" s="1">
        <v>1500</v>
      </c>
      <c r="I465" s="1">
        <v>1</v>
      </c>
      <c r="O465" s="1">
        <v>59</v>
      </c>
      <c r="X465" s="1">
        <v>200015</v>
      </c>
      <c r="Y465" s="1" t="str">
        <f>IFERROR(INDEX([1]物品基础表!$A:$A,MATCH(X465,[1]物品基础表!$B:$B,0)),"")</f>
        <v>特戒碎片</v>
      </c>
      <c r="Z465" s="1">
        <v>150</v>
      </c>
      <c r="AB465" s="1" t="str">
        <f>IFERROR(INDEX([1]物品基础表!$A:$A,MATCH(AA465,[1]物品基础表!$B:$B,0)),"")</f>
        <v/>
      </c>
      <c r="AE465" s="1" t="str">
        <f>IFERROR(INDEX([1]物品基础表!$A:$A,MATCH(AD465,[1]物品基础表!$B:$B,0)),"")</f>
        <v/>
      </c>
      <c r="AH465" s="1" t="str">
        <f>IFERROR(INDEX([1]物品基础表!$A:$A,MATCH(AG465,[1]物品基础表!$B:$B,0)),"")</f>
        <v/>
      </c>
      <c r="AK465" s="1" t="str">
        <f>IFERROR(INDEX([1]物品基础表!$A:$A,MATCH(AJ465,[1]物品基础表!$B:$B,0)),"")</f>
        <v/>
      </c>
      <c r="AN465" s="1" t="str">
        <f>IFERROR(INDEX([1]物品基础表!$A:$A,MATCH(AM465,[1]物品基础表!$B:$B,0)),"")</f>
        <v/>
      </c>
      <c r="AQ465" s="1" t="str">
        <f>IFERROR(INDEX([1]物品基础表!$A:$A,MATCH(AP465,[1]物品基础表!$B:$B,0)),"")</f>
        <v/>
      </c>
    </row>
    <row r="466" spans="1:43">
      <c r="A466" s="1" t="str">
        <f>INDEX([2]活动总表!$A$8:$A$429,MATCH(B466,[2]活动总表!$B$8:$B$429,0))</f>
        <v>（15-60）春节限购4</v>
      </c>
      <c r="B466" s="1">
        <v>578</v>
      </c>
      <c r="C466" s="1">
        <v>2</v>
      </c>
      <c r="D466" s="1">
        <v>7</v>
      </c>
      <c r="E466" s="1">
        <v>0</v>
      </c>
      <c r="F466" s="1" t="s">
        <v>706</v>
      </c>
      <c r="G466" s="1">
        <v>1588</v>
      </c>
      <c r="H466" s="1">
        <v>5000</v>
      </c>
      <c r="I466" s="1">
        <v>1</v>
      </c>
      <c r="O466" s="1">
        <v>31</v>
      </c>
      <c r="X466" s="1">
        <v>200015</v>
      </c>
      <c r="Y466" s="1" t="str">
        <f>IFERROR(INDEX([1]物品基础表!$A:$A,MATCH(X466,[1]物品基础表!$B:$B,0)),"")</f>
        <v>特戒碎片</v>
      </c>
      <c r="Z466" s="1">
        <v>500</v>
      </c>
      <c r="AB466" s="1" t="str">
        <f>IFERROR(INDEX([1]物品基础表!$A:$A,MATCH(AA466,[1]物品基础表!$B:$B,0)),"")</f>
        <v/>
      </c>
      <c r="AE466" s="1" t="str">
        <f>IFERROR(INDEX([1]物品基础表!$A:$A,MATCH(AD466,[1]物品基础表!$B:$B,0)),"")</f>
        <v/>
      </c>
      <c r="AH466" s="1" t="str">
        <f>IFERROR(INDEX([1]物品基础表!$A:$A,MATCH(AG466,[1]物品基础表!$B:$B,0)),"")</f>
        <v/>
      </c>
      <c r="AK466" s="1" t="str">
        <f>IFERROR(INDEX([1]物品基础表!$A:$A,MATCH(AJ466,[1]物品基础表!$B:$B,0)),"")</f>
        <v/>
      </c>
      <c r="AN466" s="1" t="str">
        <f>IFERROR(INDEX([1]物品基础表!$A:$A,MATCH(AM466,[1]物品基础表!$B:$B,0)),"")</f>
        <v/>
      </c>
      <c r="AQ466" s="1" t="str">
        <f>IFERROR(INDEX([1]物品基础表!$A:$A,MATCH(AP466,[1]物品基础表!$B:$B,0)),"")</f>
        <v/>
      </c>
    </row>
    <row r="467" spans="1:43">
      <c r="A467" s="1" t="str">
        <f>INDEX([2]活动总表!$A$8:$A$429,MATCH(B467,[2]活动总表!$B$8:$B$429,0))</f>
        <v>（15-60）春节限购4</v>
      </c>
      <c r="B467" s="1">
        <v>578</v>
      </c>
      <c r="C467" s="1">
        <v>3</v>
      </c>
      <c r="D467" s="1">
        <v>7</v>
      </c>
      <c r="E467" s="1">
        <v>0</v>
      </c>
      <c r="F467" s="1" t="s">
        <v>706</v>
      </c>
      <c r="G467" s="1">
        <v>2888</v>
      </c>
      <c r="H467" s="1">
        <v>8500</v>
      </c>
      <c r="I467" s="1">
        <v>1</v>
      </c>
      <c r="O467" s="1">
        <v>33</v>
      </c>
      <c r="X467" s="1">
        <v>200015</v>
      </c>
      <c r="Y467" s="1" t="str">
        <f>IFERROR(INDEX([1]物品基础表!$A:$A,MATCH(X467,[1]物品基础表!$B:$B,0)),"")</f>
        <v>特戒碎片</v>
      </c>
      <c r="Z467" s="1">
        <v>850</v>
      </c>
      <c r="AB467" s="1" t="str">
        <f>IFERROR(INDEX([1]物品基础表!$A:$A,MATCH(AA467,[1]物品基础表!$B:$B,0)),"")</f>
        <v/>
      </c>
      <c r="AE467" s="1" t="str">
        <f>IFERROR(INDEX([1]物品基础表!$A:$A,MATCH(AD467,[1]物品基础表!$B:$B,0)),"")</f>
        <v/>
      </c>
      <c r="AH467" s="1" t="str">
        <f>IFERROR(INDEX([1]物品基础表!$A:$A,MATCH(AG467,[1]物品基础表!$B:$B,0)),"")</f>
        <v/>
      </c>
      <c r="AK467" s="1" t="str">
        <f>IFERROR(INDEX([1]物品基础表!$A:$A,MATCH(AJ467,[1]物品基础表!$B:$B,0)),"")</f>
        <v/>
      </c>
      <c r="AN467" s="1" t="str">
        <f>IFERROR(INDEX([1]物品基础表!$A:$A,MATCH(AM467,[1]物品基础表!$B:$B,0)),"")</f>
        <v/>
      </c>
      <c r="AQ467" s="1" t="str">
        <f>IFERROR(INDEX([1]物品基础表!$A:$A,MATCH(AP467,[1]物品基础表!$B:$B,0)),"")</f>
        <v/>
      </c>
    </row>
    <row r="468" spans="1:43">
      <c r="A468" s="1" t="str">
        <f>INDEX([2]活动总表!$A$8:$A$429,MATCH(B468,[2]活动总表!$B$8:$B$429,0))</f>
        <v>（15-60）春节限购4</v>
      </c>
      <c r="B468" s="1">
        <v>578</v>
      </c>
      <c r="C468" s="1">
        <v>4</v>
      </c>
      <c r="D468" s="1">
        <v>5</v>
      </c>
      <c r="E468" s="1">
        <v>0</v>
      </c>
      <c r="F468" s="1" t="s">
        <v>706</v>
      </c>
      <c r="G468" s="1">
        <v>2888</v>
      </c>
      <c r="H468" s="1">
        <v>5000</v>
      </c>
      <c r="I468" s="1">
        <v>1</v>
      </c>
      <c r="O468" s="1">
        <v>57</v>
      </c>
      <c r="X468" s="1">
        <v>200015</v>
      </c>
      <c r="Y468" s="1" t="str">
        <f>IFERROR(INDEX([1]物品基础表!$A:$A,MATCH(X468,[1]物品基础表!$B:$B,0)),"")</f>
        <v>特戒碎片</v>
      </c>
      <c r="Z468" s="1">
        <v>500</v>
      </c>
      <c r="AB468" s="1" t="str">
        <f>IFERROR(INDEX([1]物品基础表!$A:$A,MATCH(AA468,[1]物品基础表!$B:$B,0)),"")</f>
        <v/>
      </c>
      <c r="AE468" s="1" t="str">
        <f>IFERROR(INDEX([1]物品基础表!$A:$A,MATCH(AD468,[1]物品基础表!$B:$B,0)),"")</f>
        <v/>
      </c>
      <c r="AH468" s="1" t="str">
        <f>IFERROR(INDEX([1]物品基础表!$A:$A,MATCH(AG468,[1]物品基础表!$B:$B,0)),"")</f>
        <v/>
      </c>
      <c r="AK468" s="1" t="str">
        <f>IFERROR(INDEX([1]物品基础表!$A:$A,MATCH(AJ468,[1]物品基础表!$B:$B,0)),"")</f>
        <v/>
      </c>
      <c r="AN468" s="1" t="str">
        <f>IFERROR(INDEX([1]物品基础表!$A:$A,MATCH(AM468,[1]物品基础表!$B:$B,0)),"")</f>
        <v/>
      </c>
      <c r="AQ468" s="1" t="str">
        <f>IFERROR(INDEX([1]物品基础表!$A:$A,MATCH(AP468,[1]物品基础表!$B:$B,0)),"")</f>
        <v/>
      </c>
    </row>
    <row r="469" spans="1:43">
      <c r="A469" s="1" t="str">
        <f>INDEX([2]活动总表!$A$8:$A$429,MATCH(B469,[2]活动总表!$B$8:$B$429,0))</f>
        <v>（15-60）春节限购4</v>
      </c>
      <c r="B469" s="1">
        <v>578</v>
      </c>
      <c r="C469" s="1">
        <v>5</v>
      </c>
      <c r="D469" s="1">
        <v>5</v>
      </c>
      <c r="E469" s="1">
        <v>0</v>
      </c>
      <c r="F469" s="1" t="s">
        <v>706</v>
      </c>
      <c r="G469" s="1">
        <v>8888</v>
      </c>
      <c r="H469" s="1">
        <v>15000</v>
      </c>
      <c r="I469" s="1">
        <v>3</v>
      </c>
      <c r="O469" s="1">
        <v>59</v>
      </c>
      <c r="X469" s="1">
        <v>200015</v>
      </c>
      <c r="Y469" s="1" t="str">
        <f>IFERROR(INDEX([1]物品基础表!$A:$A,MATCH(X469,[1]物品基础表!$B:$B,0)),"")</f>
        <v>特戒碎片</v>
      </c>
      <c r="Z469" s="1">
        <v>1500</v>
      </c>
      <c r="AB469" s="1" t="str">
        <f>IFERROR(INDEX([1]物品基础表!$A:$A,MATCH(AA469,[1]物品基础表!$B:$B,0)),"")</f>
        <v/>
      </c>
      <c r="AE469" s="1" t="str">
        <f>IFERROR(INDEX([1]物品基础表!$A:$A,MATCH(AD469,[1]物品基础表!$B:$B,0)),"")</f>
        <v/>
      </c>
      <c r="AH469" s="1" t="str">
        <f>IFERROR(INDEX([1]物品基础表!$A:$A,MATCH(AG469,[1]物品基础表!$B:$B,0)),"")</f>
        <v/>
      </c>
      <c r="AK469" s="1" t="str">
        <f>IFERROR(INDEX([1]物品基础表!$A:$A,MATCH(AJ469,[1]物品基础表!$B:$B,0)),"")</f>
        <v/>
      </c>
      <c r="AN469" s="1" t="str">
        <f>IFERROR(INDEX([1]物品基础表!$A:$A,MATCH(AM469,[1]物品基础表!$B:$B,0)),"")</f>
        <v/>
      </c>
      <c r="AQ469" s="1" t="str">
        <f>IFERROR(INDEX([1]物品基础表!$A:$A,MATCH(AP469,[1]物品基础表!$B:$B,0)),"")</f>
        <v/>
      </c>
    </row>
    <row r="470" spans="1:43">
      <c r="A470" s="1" t="str">
        <f>INDEX([2]活动总表!$A$8:$A$429,MATCH(B470,[2]活动总表!$B$8:$B$429,0))</f>
        <v>（15-60）春节限购5</v>
      </c>
      <c r="B470" s="1">
        <v>579</v>
      </c>
      <c r="C470" s="1">
        <v>1</v>
      </c>
      <c r="D470" s="1">
        <v>5</v>
      </c>
      <c r="E470" s="1">
        <v>0</v>
      </c>
      <c r="F470" s="1" t="s">
        <v>706</v>
      </c>
      <c r="G470" s="1">
        <v>888</v>
      </c>
      <c r="H470" s="1">
        <v>1500</v>
      </c>
      <c r="I470" s="1">
        <v>1</v>
      </c>
      <c r="O470" s="1">
        <v>59</v>
      </c>
      <c r="X470" s="1">
        <v>200001</v>
      </c>
      <c r="Y470" s="1" t="str">
        <f>IFERROR(INDEX([1]物品基础表!$A:$A,MATCH(X470,[1]物品基础表!$B:$B,0)),"")</f>
        <v>羽毛</v>
      </c>
      <c r="Z470" s="1">
        <v>15</v>
      </c>
      <c r="AB470" s="1" t="str">
        <f>IFERROR(INDEX([1]物品基础表!$A:$A,MATCH(AA470,[1]物品基础表!$B:$B,0)),"")</f>
        <v/>
      </c>
      <c r="AE470" s="1" t="str">
        <f>IFERROR(INDEX([1]物品基础表!$A:$A,MATCH(AD470,[1]物品基础表!$B:$B,0)),"")</f>
        <v/>
      </c>
      <c r="AH470" s="1" t="str">
        <f>IFERROR(INDEX([1]物品基础表!$A:$A,MATCH(AG470,[1]物品基础表!$B:$B,0)),"")</f>
        <v/>
      </c>
      <c r="AK470" s="1" t="str">
        <f>IFERROR(INDEX([1]物品基础表!$A:$A,MATCH(AJ470,[1]物品基础表!$B:$B,0)),"")</f>
        <v/>
      </c>
      <c r="AN470" s="1" t="str">
        <f>IFERROR(INDEX([1]物品基础表!$A:$A,MATCH(AM470,[1]物品基础表!$B:$B,0)),"")</f>
        <v/>
      </c>
      <c r="AQ470" s="1" t="str">
        <f>IFERROR(INDEX([1]物品基础表!$A:$A,MATCH(AP470,[1]物品基础表!$B:$B,0)),"")</f>
        <v/>
      </c>
    </row>
    <row r="471" spans="1:43">
      <c r="A471" s="1" t="str">
        <f>INDEX([2]活动总表!$A$8:$A$429,MATCH(B471,[2]活动总表!$B$8:$B$429,0))</f>
        <v>（15-60）春节限购5</v>
      </c>
      <c r="B471" s="1">
        <v>579</v>
      </c>
      <c r="C471" s="1">
        <v>2</v>
      </c>
      <c r="D471" s="1">
        <v>8</v>
      </c>
      <c r="E471" s="1">
        <v>0</v>
      </c>
      <c r="F471" s="1" t="s">
        <v>706</v>
      </c>
      <c r="G471" s="1">
        <v>1588</v>
      </c>
      <c r="H471" s="1">
        <v>5000</v>
      </c>
      <c r="I471" s="1">
        <v>1</v>
      </c>
      <c r="O471" s="1">
        <v>31</v>
      </c>
      <c r="X471" s="1">
        <v>200001</v>
      </c>
      <c r="Y471" s="1" t="str">
        <f>IFERROR(INDEX([1]物品基础表!$A:$A,MATCH(X471,[1]物品基础表!$B:$B,0)),"")</f>
        <v>羽毛</v>
      </c>
      <c r="Z471" s="1">
        <v>50</v>
      </c>
      <c r="AB471" s="1" t="str">
        <f>IFERROR(INDEX([1]物品基础表!$A:$A,MATCH(AA471,[1]物品基础表!$B:$B,0)),"")</f>
        <v/>
      </c>
      <c r="AE471" s="1" t="str">
        <f>IFERROR(INDEX([1]物品基础表!$A:$A,MATCH(AD471,[1]物品基础表!$B:$B,0)),"")</f>
        <v/>
      </c>
      <c r="AH471" s="1" t="str">
        <f>IFERROR(INDEX([1]物品基础表!$A:$A,MATCH(AG471,[1]物品基础表!$B:$B,0)),"")</f>
        <v/>
      </c>
      <c r="AK471" s="1" t="str">
        <f>IFERROR(INDEX([1]物品基础表!$A:$A,MATCH(AJ471,[1]物品基础表!$B:$B,0)),"")</f>
        <v/>
      </c>
      <c r="AN471" s="1" t="str">
        <f>IFERROR(INDEX([1]物品基础表!$A:$A,MATCH(AM471,[1]物品基础表!$B:$B,0)),"")</f>
        <v/>
      </c>
      <c r="AQ471" s="1" t="str">
        <f>IFERROR(INDEX([1]物品基础表!$A:$A,MATCH(AP471,[1]物品基础表!$B:$B,0)),"")</f>
        <v/>
      </c>
    </row>
    <row r="472" spans="1:43">
      <c r="A472" s="1" t="str">
        <f>INDEX([2]活动总表!$A$8:$A$429,MATCH(B472,[2]活动总表!$B$8:$B$429,0))</f>
        <v>（15-60）春节限购5</v>
      </c>
      <c r="B472" s="1">
        <v>579</v>
      </c>
      <c r="C472" s="1">
        <v>3</v>
      </c>
      <c r="D472" s="1">
        <v>8</v>
      </c>
      <c r="E472" s="1">
        <v>0</v>
      </c>
      <c r="F472" s="1" t="s">
        <v>706</v>
      </c>
      <c r="G472" s="1">
        <v>2888</v>
      </c>
      <c r="H472" s="1">
        <v>8500</v>
      </c>
      <c r="I472" s="1">
        <v>1</v>
      </c>
      <c r="O472" s="1">
        <v>33</v>
      </c>
      <c r="X472" s="1">
        <v>200001</v>
      </c>
      <c r="Y472" s="1" t="str">
        <f>IFERROR(INDEX([1]物品基础表!$A:$A,MATCH(X472,[1]物品基础表!$B:$B,0)),"")</f>
        <v>羽毛</v>
      </c>
      <c r="Z472" s="1">
        <v>85</v>
      </c>
      <c r="AB472" s="1" t="str">
        <f>IFERROR(INDEX([1]物品基础表!$A:$A,MATCH(AA472,[1]物品基础表!$B:$B,0)),"")</f>
        <v/>
      </c>
      <c r="AE472" s="1" t="str">
        <f>IFERROR(INDEX([1]物品基础表!$A:$A,MATCH(AD472,[1]物品基础表!$B:$B,0)),"")</f>
        <v/>
      </c>
      <c r="AH472" s="1" t="str">
        <f>IFERROR(INDEX([1]物品基础表!$A:$A,MATCH(AG472,[1]物品基础表!$B:$B,0)),"")</f>
        <v/>
      </c>
      <c r="AK472" s="1" t="str">
        <f>IFERROR(INDEX([1]物品基础表!$A:$A,MATCH(AJ472,[1]物品基础表!$B:$B,0)),"")</f>
        <v/>
      </c>
      <c r="AN472" s="1" t="str">
        <f>IFERROR(INDEX([1]物品基础表!$A:$A,MATCH(AM472,[1]物品基础表!$B:$B,0)),"")</f>
        <v/>
      </c>
      <c r="AQ472" s="1" t="str">
        <f>IFERROR(INDEX([1]物品基础表!$A:$A,MATCH(AP472,[1]物品基础表!$B:$B,0)),"")</f>
        <v/>
      </c>
    </row>
    <row r="473" spans="1:43">
      <c r="A473" s="1" t="str">
        <f>INDEX([2]活动总表!$A$8:$A$429,MATCH(B473,[2]活动总表!$B$8:$B$429,0))</f>
        <v>（15-60）春节限购5</v>
      </c>
      <c r="B473" s="1">
        <v>579</v>
      </c>
      <c r="C473" s="1">
        <v>4</v>
      </c>
      <c r="D473" s="1">
        <v>5</v>
      </c>
      <c r="E473" s="1">
        <v>0</v>
      </c>
      <c r="F473" s="1" t="s">
        <v>706</v>
      </c>
      <c r="G473" s="1">
        <v>2888</v>
      </c>
      <c r="H473" s="1">
        <v>5000</v>
      </c>
      <c r="I473" s="1">
        <v>1</v>
      </c>
      <c r="O473" s="1">
        <v>57</v>
      </c>
      <c r="X473" s="1">
        <v>200001</v>
      </c>
      <c r="Y473" s="1" t="str">
        <f>IFERROR(INDEX([1]物品基础表!$A:$A,MATCH(X473,[1]物品基础表!$B:$B,0)),"")</f>
        <v>羽毛</v>
      </c>
      <c r="Z473" s="1">
        <v>50</v>
      </c>
      <c r="AB473" s="1" t="str">
        <f>IFERROR(INDEX([1]物品基础表!$A:$A,MATCH(AA473,[1]物品基础表!$B:$B,0)),"")</f>
        <v/>
      </c>
      <c r="AE473" s="1" t="str">
        <f>IFERROR(INDEX([1]物品基础表!$A:$A,MATCH(AD473,[1]物品基础表!$B:$B,0)),"")</f>
        <v/>
      </c>
      <c r="AH473" s="1" t="str">
        <f>IFERROR(INDEX([1]物品基础表!$A:$A,MATCH(AG473,[1]物品基础表!$B:$B,0)),"")</f>
        <v/>
      </c>
      <c r="AK473" s="1" t="str">
        <f>IFERROR(INDEX([1]物品基础表!$A:$A,MATCH(AJ473,[1]物品基础表!$B:$B,0)),"")</f>
        <v/>
      </c>
      <c r="AN473" s="1" t="str">
        <f>IFERROR(INDEX([1]物品基础表!$A:$A,MATCH(AM473,[1]物品基础表!$B:$B,0)),"")</f>
        <v/>
      </c>
      <c r="AQ473" s="1" t="str">
        <f>IFERROR(INDEX([1]物品基础表!$A:$A,MATCH(AP473,[1]物品基础表!$B:$B,0)),"")</f>
        <v/>
      </c>
    </row>
    <row r="474" spans="1:43">
      <c r="A474" s="1" t="str">
        <f>INDEX([2]活动总表!$A$8:$A$429,MATCH(B474,[2]活动总表!$B$8:$B$429,0))</f>
        <v>（15-60）春节限购5</v>
      </c>
      <c r="B474" s="1">
        <v>579</v>
      </c>
      <c r="C474" s="1">
        <v>5</v>
      </c>
      <c r="D474" s="1">
        <v>5</v>
      </c>
      <c r="E474" s="1">
        <v>0</v>
      </c>
      <c r="F474" s="1" t="s">
        <v>706</v>
      </c>
      <c r="G474" s="1">
        <v>8888</v>
      </c>
      <c r="H474" s="1">
        <v>15000</v>
      </c>
      <c r="I474" s="1">
        <v>3</v>
      </c>
      <c r="O474" s="1">
        <v>59</v>
      </c>
      <c r="X474" s="1">
        <v>200001</v>
      </c>
      <c r="Y474" s="1" t="str">
        <f>IFERROR(INDEX([1]物品基础表!$A:$A,MATCH(X474,[1]物品基础表!$B:$B,0)),"")</f>
        <v>羽毛</v>
      </c>
      <c r="Z474" s="1">
        <v>150</v>
      </c>
      <c r="AB474" s="1" t="str">
        <f>IFERROR(INDEX([1]物品基础表!$A:$A,MATCH(AA474,[1]物品基础表!$B:$B,0)),"")</f>
        <v/>
      </c>
      <c r="AE474" s="1" t="str">
        <f>IFERROR(INDEX([1]物品基础表!$A:$A,MATCH(AD474,[1]物品基础表!$B:$B,0)),"")</f>
        <v/>
      </c>
      <c r="AH474" s="1" t="str">
        <f>IFERROR(INDEX([1]物品基础表!$A:$A,MATCH(AG474,[1]物品基础表!$B:$B,0)),"")</f>
        <v/>
      </c>
      <c r="AK474" s="1" t="str">
        <f>IFERROR(INDEX([1]物品基础表!$A:$A,MATCH(AJ474,[1]物品基础表!$B:$B,0)),"")</f>
        <v/>
      </c>
      <c r="AN474" s="1" t="str">
        <f>IFERROR(INDEX([1]物品基础表!$A:$A,MATCH(AM474,[1]物品基础表!$B:$B,0)),"")</f>
        <v/>
      </c>
      <c r="AQ474" s="1" t="str">
        <f>IFERROR(INDEX([1]物品基础表!$A:$A,MATCH(AP474,[1]物品基础表!$B:$B,0)),"")</f>
        <v/>
      </c>
    </row>
    <row r="475" spans="1:43">
      <c r="A475" s="1" t="str">
        <f>INDEX([2]活动总表!$A$8:$A$429,MATCH(B475,[2]活动总表!$B$8:$B$429,0))</f>
        <v>（15-60）春节限购6</v>
      </c>
      <c r="B475" s="1">
        <v>580</v>
      </c>
      <c r="C475" s="1">
        <v>1</v>
      </c>
      <c r="D475" s="1">
        <v>5</v>
      </c>
      <c r="E475" s="1">
        <v>0</v>
      </c>
      <c r="F475" s="1" t="s">
        <v>706</v>
      </c>
      <c r="G475" s="1">
        <v>1288</v>
      </c>
      <c r="H475" s="1">
        <v>2000</v>
      </c>
      <c r="I475" s="1">
        <v>1</v>
      </c>
      <c r="O475" s="1">
        <v>64</v>
      </c>
      <c r="X475" s="1">
        <v>200011</v>
      </c>
      <c r="Y475" s="1" t="str">
        <f>IFERROR(INDEX([1]物品基础表!$A:$A,MATCH(X475,[1]物品基础表!$B:$B,0)),"")</f>
        <v>高级转生丹·无限制</v>
      </c>
      <c r="Z475" s="1">
        <v>2</v>
      </c>
      <c r="AB475" s="1" t="str">
        <f>IFERROR(INDEX([1]物品基础表!$A:$A,MATCH(AA475,[1]物品基础表!$B:$B,0)),"")</f>
        <v/>
      </c>
      <c r="AE475" s="1" t="str">
        <f>IFERROR(INDEX([1]物品基础表!$A:$A,MATCH(AD475,[1]物品基础表!$B:$B,0)),"")</f>
        <v/>
      </c>
      <c r="AH475" s="1" t="str">
        <f>IFERROR(INDEX([1]物品基础表!$A:$A,MATCH(AG475,[1]物品基础表!$B:$B,0)),"")</f>
        <v/>
      </c>
      <c r="AK475" s="1" t="str">
        <f>IFERROR(INDEX([1]物品基础表!$A:$A,MATCH(AJ475,[1]物品基础表!$B:$B,0)),"")</f>
        <v/>
      </c>
      <c r="AN475" s="1" t="str">
        <f>IFERROR(INDEX([1]物品基础表!$A:$A,MATCH(AM475,[1]物品基础表!$B:$B,0)),"")</f>
        <v/>
      </c>
      <c r="AQ475" s="1" t="str">
        <f>IFERROR(INDEX([1]物品基础表!$A:$A,MATCH(AP475,[1]物品基础表!$B:$B,0)),"")</f>
        <v/>
      </c>
    </row>
    <row r="476" spans="1:43">
      <c r="A476" s="1" t="str">
        <f>INDEX([2]活动总表!$A$8:$A$429,MATCH(B476,[2]活动总表!$B$8:$B$429,0))</f>
        <v>（15-60）春节限购6</v>
      </c>
      <c r="B476" s="1">
        <v>580</v>
      </c>
      <c r="C476" s="1">
        <v>2</v>
      </c>
      <c r="D476" s="1">
        <v>8</v>
      </c>
      <c r="E476" s="1">
        <v>0</v>
      </c>
      <c r="F476" s="1" t="s">
        <v>706</v>
      </c>
      <c r="G476" s="1">
        <v>1588</v>
      </c>
      <c r="H476" s="1">
        <v>5000</v>
      </c>
      <c r="I476" s="1">
        <v>1</v>
      </c>
      <c r="O476" s="1">
        <v>31</v>
      </c>
      <c r="X476" s="1">
        <v>200011</v>
      </c>
      <c r="Y476" s="1" t="str">
        <f>IFERROR(INDEX([1]物品基础表!$A:$A,MATCH(X476,[1]物品基础表!$B:$B,0)),"")</f>
        <v>高级转生丹·无限制</v>
      </c>
      <c r="Z476" s="1">
        <v>5</v>
      </c>
      <c r="AB476" s="1" t="str">
        <f>IFERROR(INDEX([1]物品基础表!$A:$A,MATCH(AA476,[1]物品基础表!$B:$B,0)),"")</f>
        <v/>
      </c>
      <c r="AE476" s="1" t="str">
        <f>IFERROR(INDEX([1]物品基础表!$A:$A,MATCH(AD476,[1]物品基础表!$B:$B,0)),"")</f>
        <v/>
      </c>
      <c r="AH476" s="1" t="str">
        <f>IFERROR(INDEX([1]物品基础表!$A:$A,MATCH(AG476,[1]物品基础表!$B:$B,0)),"")</f>
        <v/>
      </c>
      <c r="AK476" s="1" t="str">
        <f>IFERROR(INDEX([1]物品基础表!$A:$A,MATCH(AJ476,[1]物品基础表!$B:$B,0)),"")</f>
        <v/>
      </c>
      <c r="AN476" s="1" t="str">
        <f>IFERROR(INDEX([1]物品基础表!$A:$A,MATCH(AM476,[1]物品基础表!$B:$B,0)),"")</f>
        <v/>
      </c>
      <c r="AQ476" s="1" t="str">
        <f>IFERROR(INDEX([1]物品基础表!$A:$A,MATCH(AP476,[1]物品基础表!$B:$B,0)),"")</f>
        <v/>
      </c>
    </row>
    <row r="477" spans="1:43">
      <c r="A477" s="1" t="str">
        <f>INDEX([2]活动总表!$A$8:$A$429,MATCH(B477,[2]活动总表!$B$8:$B$429,0))</f>
        <v>（15-60）春节限购6</v>
      </c>
      <c r="B477" s="1">
        <v>580</v>
      </c>
      <c r="C477" s="1">
        <v>3</v>
      </c>
      <c r="D477" s="1">
        <v>8</v>
      </c>
      <c r="E477" s="1">
        <v>0</v>
      </c>
      <c r="F477" s="1" t="s">
        <v>706</v>
      </c>
      <c r="G477" s="1">
        <v>2888</v>
      </c>
      <c r="H477" s="1">
        <v>8000</v>
      </c>
      <c r="I477" s="1">
        <v>1</v>
      </c>
      <c r="O477" s="1">
        <v>36</v>
      </c>
      <c r="X477" s="1">
        <v>200011</v>
      </c>
      <c r="Y477" s="1" t="str">
        <f>IFERROR(INDEX([1]物品基础表!$A:$A,MATCH(X477,[1]物品基础表!$B:$B,0)),"")</f>
        <v>高级转生丹·无限制</v>
      </c>
      <c r="Z477" s="1">
        <v>8</v>
      </c>
      <c r="AB477" s="1" t="str">
        <f>IFERROR(INDEX([1]物品基础表!$A:$A,MATCH(AA477,[1]物品基础表!$B:$B,0)),"")</f>
        <v/>
      </c>
      <c r="AE477" s="1" t="str">
        <f>IFERROR(INDEX([1]物品基础表!$A:$A,MATCH(AD477,[1]物品基础表!$B:$B,0)),"")</f>
        <v/>
      </c>
      <c r="AH477" s="1" t="str">
        <f>IFERROR(INDEX([1]物品基础表!$A:$A,MATCH(AG477,[1]物品基础表!$B:$B,0)),"")</f>
        <v/>
      </c>
      <c r="AK477" s="1" t="str">
        <f>IFERROR(INDEX([1]物品基础表!$A:$A,MATCH(AJ477,[1]物品基础表!$B:$B,0)),"")</f>
        <v/>
      </c>
      <c r="AN477" s="1" t="str">
        <f>IFERROR(INDEX([1]物品基础表!$A:$A,MATCH(AM477,[1]物品基础表!$B:$B,0)),"")</f>
        <v/>
      </c>
      <c r="AQ477" s="1" t="str">
        <f>IFERROR(INDEX([1]物品基础表!$A:$A,MATCH(AP477,[1]物品基础表!$B:$B,0)),"")</f>
        <v/>
      </c>
    </row>
    <row r="478" spans="1:43">
      <c r="A478" s="1" t="str">
        <f>INDEX([2]活动总表!$A$8:$A$429,MATCH(B478,[2]活动总表!$B$8:$B$429,0))</f>
        <v>（15-60）春节限购6</v>
      </c>
      <c r="B478" s="1">
        <v>580</v>
      </c>
      <c r="C478" s="1">
        <v>4</v>
      </c>
      <c r="D478" s="1">
        <v>5</v>
      </c>
      <c r="E478" s="1">
        <v>0</v>
      </c>
      <c r="F478" s="1" t="s">
        <v>706</v>
      </c>
      <c r="G478" s="1">
        <v>2888</v>
      </c>
      <c r="H478" s="1">
        <v>5000</v>
      </c>
      <c r="I478" s="1">
        <v>1</v>
      </c>
      <c r="O478" s="1">
        <v>57</v>
      </c>
      <c r="X478" s="1">
        <v>200011</v>
      </c>
      <c r="Y478" s="1" t="str">
        <f>IFERROR(INDEX([1]物品基础表!$A:$A,MATCH(X478,[1]物品基础表!$B:$B,0)),"")</f>
        <v>高级转生丹·无限制</v>
      </c>
      <c r="Z478" s="1">
        <v>5</v>
      </c>
      <c r="AB478" s="1" t="str">
        <f>IFERROR(INDEX([1]物品基础表!$A:$A,MATCH(AA478,[1]物品基础表!$B:$B,0)),"")</f>
        <v/>
      </c>
      <c r="AE478" s="1" t="str">
        <f>IFERROR(INDEX([1]物品基础表!$A:$A,MATCH(AD478,[1]物品基础表!$B:$B,0)),"")</f>
        <v/>
      </c>
      <c r="AH478" s="1" t="str">
        <f>IFERROR(INDEX([1]物品基础表!$A:$A,MATCH(AG478,[1]物品基础表!$B:$B,0)),"")</f>
        <v/>
      </c>
      <c r="AK478" s="1" t="str">
        <f>IFERROR(INDEX([1]物品基础表!$A:$A,MATCH(AJ478,[1]物品基础表!$B:$B,0)),"")</f>
        <v/>
      </c>
      <c r="AN478" s="1" t="str">
        <f>IFERROR(INDEX([1]物品基础表!$A:$A,MATCH(AM478,[1]物品基础表!$B:$B,0)),"")</f>
        <v/>
      </c>
      <c r="AQ478" s="1" t="str">
        <f>IFERROR(INDEX([1]物品基础表!$A:$A,MATCH(AP478,[1]物品基础表!$B:$B,0)),"")</f>
        <v/>
      </c>
    </row>
    <row r="479" spans="1:43">
      <c r="A479" s="1" t="str">
        <f>INDEX([2]活动总表!$A$8:$A$429,MATCH(B479,[2]活动总表!$B$8:$B$429,0))</f>
        <v>（15-60）春节限购6</v>
      </c>
      <c r="B479" s="1">
        <v>580</v>
      </c>
      <c r="C479" s="1">
        <v>5</v>
      </c>
      <c r="D479" s="1">
        <v>5</v>
      </c>
      <c r="E479" s="1">
        <v>0</v>
      </c>
      <c r="F479" s="1" t="s">
        <v>706</v>
      </c>
      <c r="G479" s="1">
        <v>8888</v>
      </c>
      <c r="H479" s="1">
        <v>14998</v>
      </c>
      <c r="I479" s="1">
        <v>3</v>
      </c>
      <c r="O479" s="1">
        <v>59</v>
      </c>
      <c r="X479" s="1">
        <v>200012</v>
      </c>
      <c r="Y479" s="1" t="str">
        <f>IFERROR(INDEX([1]物品基础表!$A:$A,MATCH(X479,[1]物品基础表!$B:$B,0)),"")</f>
        <v>超级转生丹·无限制</v>
      </c>
      <c r="Z479" s="1">
        <v>1</v>
      </c>
      <c r="AA479" s="1">
        <v>200011</v>
      </c>
      <c r="AB479" s="1" t="str">
        <f>IFERROR(INDEX([1]物品基础表!$A:$A,MATCH(AA479,[1]物品基础表!$B:$B,0)),"")</f>
        <v>高级转生丹·无限制</v>
      </c>
      <c r="AC479" s="1">
        <v>5</v>
      </c>
      <c r="AE479" s="1" t="str">
        <f>IFERROR(INDEX([1]物品基础表!$A:$A,MATCH(AD479,[1]物品基础表!$B:$B,0)),"")</f>
        <v/>
      </c>
      <c r="AH479" s="1" t="str">
        <f>IFERROR(INDEX([1]物品基础表!$A:$A,MATCH(AG479,[1]物品基础表!$B:$B,0)),"")</f>
        <v/>
      </c>
      <c r="AK479" s="1" t="str">
        <f>IFERROR(INDEX([1]物品基础表!$A:$A,MATCH(AJ479,[1]物品基础表!$B:$B,0)),"")</f>
        <v/>
      </c>
      <c r="AN479" s="1" t="str">
        <f>IFERROR(INDEX([1]物品基础表!$A:$A,MATCH(AM479,[1]物品基础表!$B:$B,0)),"")</f>
        <v/>
      </c>
      <c r="AQ479" s="1" t="str">
        <f>IFERROR(INDEX([1]物品基础表!$A:$A,MATCH(AP479,[1]物品基础表!$B:$B,0)),"")</f>
        <v/>
      </c>
    </row>
    <row r="480" spans="1:43">
      <c r="A480" s="1" t="str">
        <f>INDEX([2]活动总表!$A$8:$A$429,MATCH(B480,[2]活动总表!$B$8:$B$429,0))</f>
        <v>（15-60）春节限购7</v>
      </c>
      <c r="B480" s="1">
        <v>581</v>
      </c>
      <c r="C480" s="1">
        <v>1</v>
      </c>
      <c r="D480" s="1">
        <v>5</v>
      </c>
      <c r="E480" s="1">
        <v>0</v>
      </c>
      <c r="F480" s="1" t="s">
        <v>706</v>
      </c>
      <c r="G480" s="1">
        <v>888</v>
      </c>
      <c r="H480" s="1">
        <v>1500</v>
      </c>
      <c r="I480" s="1">
        <v>1</v>
      </c>
      <c r="O480" s="1">
        <v>59</v>
      </c>
      <c r="X480" s="1">
        <v>601000</v>
      </c>
      <c r="Y480" s="1" t="str">
        <f>IFERROR(INDEX([1]物品基础表!$A:$A,MATCH(X480,[1]物品基础表!$B:$B,0)),"")</f>
        <v>神羽碎片</v>
      </c>
      <c r="Z480" s="1">
        <v>6</v>
      </c>
      <c r="AB480" s="1" t="str">
        <f>IFERROR(INDEX([1]物品基础表!$A:$A,MATCH(AA480,[1]物品基础表!$B:$B,0)),"")</f>
        <v/>
      </c>
      <c r="AE480" s="1" t="str">
        <f>IFERROR(INDEX([1]物品基础表!$A:$A,MATCH(AD480,[1]物品基础表!$B:$B,0)),"")</f>
        <v/>
      </c>
      <c r="AH480" s="1" t="str">
        <f>IFERROR(INDEX([1]物品基础表!$A:$A,MATCH(AG480,[1]物品基础表!$B:$B,0)),"")</f>
        <v/>
      </c>
      <c r="AK480" s="1" t="str">
        <f>IFERROR(INDEX([1]物品基础表!$A:$A,MATCH(AJ480,[1]物品基础表!$B:$B,0)),"")</f>
        <v/>
      </c>
      <c r="AN480" s="1" t="str">
        <f>IFERROR(INDEX([1]物品基础表!$A:$A,MATCH(AM480,[1]物品基础表!$B:$B,0)),"")</f>
        <v/>
      </c>
      <c r="AQ480" s="1" t="str">
        <f>IFERROR(INDEX([1]物品基础表!$A:$A,MATCH(AP480,[1]物品基础表!$B:$B,0)),"")</f>
        <v/>
      </c>
    </row>
    <row r="481" spans="1:43">
      <c r="A481" s="1" t="str">
        <f>INDEX([2]活动总表!$A$8:$A$429,MATCH(B481,[2]活动总表!$B$8:$B$429,0))</f>
        <v>（15-60）春节限购7</v>
      </c>
      <c r="B481" s="1">
        <v>581</v>
      </c>
      <c r="C481" s="1">
        <v>2</v>
      </c>
      <c r="D481" s="1">
        <v>8</v>
      </c>
      <c r="E481" s="1">
        <v>0</v>
      </c>
      <c r="F481" s="1" t="s">
        <v>706</v>
      </c>
      <c r="G481" s="1">
        <v>1588</v>
      </c>
      <c r="H481" s="1">
        <v>5000</v>
      </c>
      <c r="I481" s="1">
        <v>1</v>
      </c>
      <c r="O481" s="1">
        <v>31</v>
      </c>
      <c r="X481" s="1">
        <v>601000</v>
      </c>
      <c r="Y481" s="1" t="str">
        <f>IFERROR(INDEX([1]物品基础表!$A:$A,MATCH(X481,[1]物品基础表!$B:$B,0)),"")</f>
        <v>神羽碎片</v>
      </c>
      <c r="Z481" s="1">
        <v>20</v>
      </c>
      <c r="AB481" s="1" t="str">
        <f>IFERROR(INDEX([1]物品基础表!$A:$A,MATCH(AA481,[1]物品基础表!$B:$B,0)),"")</f>
        <v/>
      </c>
      <c r="AE481" s="1" t="str">
        <f>IFERROR(INDEX([1]物品基础表!$A:$A,MATCH(AD481,[1]物品基础表!$B:$B,0)),"")</f>
        <v/>
      </c>
      <c r="AH481" s="1" t="str">
        <f>IFERROR(INDEX([1]物品基础表!$A:$A,MATCH(AG481,[1]物品基础表!$B:$B,0)),"")</f>
        <v/>
      </c>
      <c r="AK481" s="1" t="str">
        <f>IFERROR(INDEX([1]物品基础表!$A:$A,MATCH(AJ481,[1]物品基础表!$B:$B,0)),"")</f>
        <v/>
      </c>
      <c r="AN481" s="1" t="str">
        <f>IFERROR(INDEX([1]物品基础表!$A:$A,MATCH(AM481,[1]物品基础表!$B:$B,0)),"")</f>
        <v/>
      </c>
      <c r="AQ481" s="1" t="str">
        <f>IFERROR(INDEX([1]物品基础表!$A:$A,MATCH(AP481,[1]物品基础表!$B:$B,0)),"")</f>
        <v/>
      </c>
    </row>
    <row r="482" spans="1:43">
      <c r="A482" s="1" t="str">
        <f>INDEX([2]活动总表!$A$8:$A$429,MATCH(B482,[2]活动总表!$B$8:$B$429,0))</f>
        <v>（15-60）春节限购7</v>
      </c>
      <c r="B482" s="1">
        <v>581</v>
      </c>
      <c r="C482" s="1">
        <v>3</v>
      </c>
      <c r="D482" s="1">
        <v>8</v>
      </c>
      <c r="E482" s="1">
        <v>0</v>
      </c>
      <c r="F482" s="1" t="s">
        <v>706</v>
      </c>
      <c r="G482" s="1">
        <v>2888</v>
      </c>
      <c r="H482" s="1">
        <v>8750</v>
      </c>
      <c r="I482" s="1">
        <v>1</v>
      </c>
      <c r="O482" s="1">
        <v>33</v>
      </c>
      <c r="X482" s="1">
        <v>601000</v>
      </c>
      <c r="Y482" s="1" t="str">
        <f>IFERROR(INDEX([1]物品基础表!$A:$A,MATCH(X482,[1]物品基础表!$B:$B,0)),"")</f>
        <v>神羽碎片</v>
      </c>
      <c r="Z482" s="1">
        <v>35</v>
      </c>
      <c r="AB482" s="1" t="str">
        <f>IFERROR(INDEX([1]物品基础表!$A:$A,MATCH(AA482,[1]物品基础表!$B:$B,0)),"")</f>
        <v/>
      </c>
      <c r="AE482" s="1" t="str">
        <f>IFERROR(INDEX([1]物品基础表!$A:$A,MATCH(AD482,[1]物品基础表!$B:$B,0)),"")</f>
        <v/>
      </c>
      <c r="AH482" s="1" t="str">
        <f>IFERROR(INDEX([1]物品基础表!$A:$A,MATCH(AG482,[1]物品基础表!$B:$B,0)),"")</f>
        <v/>
      </c>
      <c r="AK482" s="1" t="str">
        <f>IFERROR(INDEX([1]物品基础表!$A:$A,MATCH(AJ482,[1]物品基础表!$B:$B,0)),"")</f>
        <v/>
      </c>
      <c r="AN482" s="1" t="str">
        <f>IFERROR(INDEX([1]物品基础表!$A:$A,MATCH(AM482,[1]物品基础表!$B:$B,0)),"")</f>
        <v/>
      </c>
      <c r="AQ482" s="1" t="str">
        <f>IFERROR(INDEX([1]物品基础表!$A:$A,MATCH(AP482,[1]物品基础表!$B:$B,0)),"")</f>
        <v/>
      </c>
    </row>
    <row r="483" spans="1:43">
      <c r="A483" s="1" t="str">
        <f>INDEX([2]活动总表!$A$8:$A$429,MATCH(B483,[2]活动总表!$B$8:$B$429,0))</f>
        <v>（15-60）春节限购7</v>
      </c>
      <c r="B483" s="1">
        <v>581</v>
      </c>
      <c r="C483" s="1">
        <v>4</v>
      </c>
      <c r="D483" s="1">
        <v>5</v>
      </c>
      <c r="E483" s="1">
        <v>0</v>
      </c>
      <c r="F483" s="1" t="s">
        <v>706</v>
      </c>
      <c r="G483" s="1">
        <v>2888</v>
      </c>
      <c r="H483" s="1">
        <v>5000</v>
      </c>
      <c r="I483" s="1">
        <v>1</v>
      </c>
      <c r="O483" s="1">
        <v>57</v>
      </c>
      <c r="X483" s="1">
        <v>601000</v>
      </c>
      <c r="Y483" s="1" t="str">
        <f>IFERROR(INDEX([1]物品基础表!$A:$A,MATCH(X483,[1]物品基础表!$B:$B,0)),"")</f>
        <v>神羽碎片</v>
      </c>
      <c r="Z483" s="1">
        <v>20</v>
      </c>
      <c r="AB483" s="1" t="str">
        <f>IFERROR(INDEX([1]物品基础表!$A:$A,MATCH(AA483,[1]物品基础表!$B:$B,0)),"")</f>
        <v/>
      </c>
      <c r="AE483" s="1" t="str">
        <f>IFERROR(INDEX([1]物品基础表!$A:$A,MATCH(AD483,[1]物品基础表!$B:$B,0)),"")</f>
        <v/>
      </c>
      <c r="AH483" s="1" t="str">
        <f>IFERROR(INDEX([1]物品基础表!$A:$A,MATCH(AG483,[1]物品基础表!$B:$B,0)),"")</f>
        <v/>
      </c>
      <c r="AK483" s="1" t="str">
        <f>IFERROR(INDEX([1]物品基础表!$A:$A,MATCH(AJ483,[1]物品基础表!$B:$B,0)),"")</f>
        <v/>
      </c>
      <c r="AN483" s="1" t="str">
        <f>IFERROR(INDEX([1]物品基础表!$A:$A,MATCH(AM483,[1]物品基础表!$B:$B,0)),"")</f>
        <v/>
      </c>
      <c r="AQ483" s="1" t="str">
        <f>IFERROR(INDEX([1]物品基础表!$A:$A,MATCH(AP483,[1]物品基础表!$B:$B,0)),"")</f>
        <v/>
      </c>
    </row>
    <row r="484" spans="1:43">
      <c r="A484" s="1" t="str">
        <f>INDEX([2]活动总表!$A$8:$A$429,MATCH(B484,[2]活动总表!$B$8:$B$429,0))</f>
        <v>（15-60）春节限购7</v>
      </c>
      <c r="B484" s="1">
        <v>581</v>
      </c>
      <c r="C484" s="1">
        <v>5</v>
      </c>
      <c r="D484" s="1">
        <v>5</v>
      </c>
      <c r="E484" s="1">
        <v>0</v>
      </c>
      <c r="F484" s="1" t="s">
        <v>706</v>
      </c>
      <c r="G484" s="1">
        <v>8888</v>
      </c>
      <c r="H484" s="1">
        <v>15000</v>
      </c>
      <c r="I484" s="1">
        <v>1</v>
      </c>
      <c r="O484" s="1">
        <v>59</v>
      </c>
      <c r="X484" s="1">
        <v>601603</v>
      </c>
      <c r="Y484" s="1" t="str">
        <f>IFERROR(INDEX([1]物品基础表!$A:$A,MATCH(X484,[1]物品基础表!$B:$B,0)),"")</f>
        <v>2阶神羽宝箱</v>
      </c>
      <c r="Z484" s="1">
        <v>1</v>
      </c>
      <c r="AB484" s="1" t="str">
        <f>IFERROR(INDEX([1]物品基础表!$A:$A,MATCH(AA484,[1]物品基础表!$B:$B,0)),"")</f>
        <v/>
      </c>
      <c r="AE484" s="1" t="str">
        <f>IFERROR(INDEX([1]物品基础表!$A:$A,MATCH(AD484,[1]物品基础表!$B:$B,0)),"")</f>
        <v/>
      </c>
      <c r="AH484" s="1" t="str">
        <f>IFERROR(INDEX([1]物品基础表!$A:$A,MATCH(AG484,[1]物品基础表!$B:$B,0)),"")</f>
        <v/>
      </c>
      <c r="AK484" s="1" t="str">
        <f>IFERROR(INDEX([1]物品基础表!$A:$A,MATCH(AJ484,[1]物品基础表!$B:$B,0)),"")</f>
        <v/>
      </c>
      <c r="AN484" s="1" t="str">
        <f>IFERROR(INDEX([1]物品基础表!$A:$A,MATCH(AM484,[1]物品基础表!$B:$B,0)),"")</f>
        <v/>
      </c>
      <c r="AQ484" s="1" t="str">
        <f>IFERROR(INDEX([1]物品基础表!$A:$A,MATCH(AP484,[1]物品基础表!$B:$B,0)),"")</f>
        <v/>
      </c>
    </row>
    <row r="485" spans="1:43">
      <c r="A485" s="1" t="str">
        <f>INDEX([2]活动总表!$A$8:$A$429,MATCH(B485,[2]活动总表!$B$8:$B$429,0))</f>
        <v>（15-60）春节限购8</v>
      </c>
      <c r="B485" s="1">
        <v>582</v>
      </c>
      <c r="C485" s="1">
        <v>1</v>
      </c>
      <c r="D485" s="1">
        <v>5</v>
      </c>
      <c r="E485" s="1">
        <v>0</v>
      </c>
      <c r="F485" s="1" t="s">
        <v>706</v>
      </c>
      <c r="G485" s="1">
        <v>1288</v>
      </c>
      <c r="H485" s="1">
        <v>2000</v>
      </c>
      <c r="I485" s="1">
        <v>1</v>
      </c>
      <c r="O485" s="1">
        <v>64</v>
      </c>
      <c r="X485" s="1">
        <v>205000</v>
      </c>
      <c r="Y485" s="1" t="str">
        <f>IFERROR(INDEX([1]物品基础表!$A:$A,MATCH(X485,[1]物品基础表!$B:$B,0)),"")</f>
        <v>战灵进阶丹</v>
      </c>
      <c r="Z485" s="1">
        <v>25</v>
      </c>
      <c r="AB485" s="1" t="str">
        <f>IFERROR(INDEX([1]物品基础表!$A:$A,MATCH(AA485,[1]物品基础表!$B:$B,0)),"")</f>
        <v/>
      </c>
      <c r="AE485" s="1" t="str">
        <f>IFERROR(INDEX([1]物品基础表!$A:$A,MATCH(AD485,[1]物品基础表!$B:$B,0)),"")</f>
        <v/>
      </c>
      <c r="AH485" s="1" t="str">
        <f>IFERROR(INDEX([1]物品基础表!$A:$A,MATCH(AG485,[1]物品基础表!$B:$B,0)),"")</f>
        <v/>
      </c>
      <c r="AK485" s="1" t="str">
        <f>IFERROR(INDEX([1]物品基础表!$A:$A,MATCH(AJ485,[1]物品基础表!$B:$B,0)),"")</f>
        <v/>
      </c>
      <c r="AN485" s="1" t="str">
        <f>IFERROR(INDEX([1]物品基础表!$A:$A,MATCH(AM485,[1]物品基础表!$B:$B,0)),"")</f>
        <v/>
      </c>
      <c r="AQ485" s="1" t="str">
        <f>IFERROR(INDEX([1]物品基础表!$A:$A,MATCH(AP485,[1]物品基础表!$B:$B,0)),"")</f>
        <v/>
      </c>
    </row>
    <row r="486" spans="1:43">
      <c r="A486" s="1" t="str">
        <f>INDEX([2]活动总表!$A$8:$A$429,MATCH(B486,[2]活动总表!$B$8:$B$429,0))</f>
        <v>（15-60）春节限购8</v>
      </c>
      <c r="B486" s="1">
        <v>582</v>
      </c>
      <c r="C486" s="1">
        <v>2</v>
      </c>
      <c r="D486" s="1">
        <v>8</v>
      </c>
      <c r="E486" s="1">
        <v>0</v>
      </c>
      <c r="F486" s="1" t="s">
        <v>706</v>
      </c>
      <c r="G486" s="1">
        <v>1588</v>
      </c>
      <c r="H486" s="1">
        <v>4800</v>
      </c>
      <c r="I486" s="1">
        <v>1</v>
      </c>
      <c r="O486" s="1">
        <v>33</v>
      </c>
      <c r="X486" s="1">
        <v>205000</v>
      </c>
      <c r="Y486" s="1" t="str">
        <f>IFERROR(INDEX([1]物品基础表!$A:$A,MATCH(X486,[1]物品基础表!$B:$B,0)),"")</f>
        <v>战灵进阶丹</v>
      </c>
      <c r="Z486" s="1">
        <v>60</v>
      </c>
      <c r="AB486" s="1" t="str">
        <f>IFERROR(INDEX([1]物品基础表!$A:$A,MATCH(AA486,[1]物品基础表!$B:$B,0)),"")</f>
        <v/>
      </c>
      <c r="AE486" s="1" t="str">
        <f>IFERROR(INDEX([1]物品基础表!$A:$A,MATCH(AD486,[1]物品基础表!$B:$B,0)),"")</f>
        <v/>
      </c>
      <c r="AH486" s="1" t="str">
        <f>IFERROR(INDEX([1]物品基础表!$A:$A,MATCH(AG486,[1]物品基础表!$B:$B,0)),"")</f>
        <v/>
      </c>
      <c r="AK486" s="1" t="str">
        <f>IFERROR(INDEX([1]物品基础表!$A:$A,MATCH(AJ486,[1]物品基础表!$B:$B,0)),"")</f>
        <v/>
      </c>
      <c r="AN486" s="1" t="str">
        <f>IFERROR(INDEX([1]物品基础表!$A:$A,MATCH(AM486,[1]物品基础表!$B:$B,0)),"")</f>
        <v/>
      </c>
      <c r="AQ486" s="1" t="str">
        <f>IFERROR(INDEX([1]物品基础表!$A:$A,MATCH(AP486,[1]物品基础表!$B:$B,0)),"")</f>
        <v/>
      </c>
    </row>
    <row r="487" spans="1:43">
      <c r="A487" s="1" t="str">
        <f>INDEX([2]活动总表!$A$8:$A$429,MATCH(B487,[2]活动总表!$B$8:$B$429,0))</f>
        <v>（15-60）春节限购8</v>
      </c>
      <c r="B487" s="1">
        <v>582</v>
      </c>
      <c r="C487" s="1">
        <v>3</v>
      </c>
      <c r="D487" s="1">
        <v>8</v>
      </c>
      <c r="E487" s="1">
        <v>0</v>
      </c>
      <c r="F487" s="1" t="s">
        <v>706</v>
      </c>
      <c r="G487" s="1">
        <v>2888</v>
      </c>
      <c r="H487" s="1">
        <v>8000</v>
      </c>
      <c r="I487" s="1">
        <v>1</v>
      </c>
      <c r="O487" s="1">
        <v>36</v>
      </c>
      <c r="X487" s="1">
        <v>205000</v>
      </c>
      <c r="Y487" s="1" t="str">
        <f>IFERROR(INDEX([1]物品基础表!$A:$A,MATCH(X487,[1]物品基础表!$B:$B,0)),"")</f>
        <v>战灵进阶丹</v>
      </c>
      <c r="Z487" s="1">
        <v>100</v>
      </c>
      <c r="AB487" s="1" t="str">
        <f>IFERROR(INDEX([1]物品基础表!$A:$A,MATCH(AA487,[1]物品基础表!$B:$B,0)),"")</f>
        <v/>
      </c>
      <c r="AE487" s="1" t="str">
        <f>IFERROR(INDEX([1]物品基础表!$A:$A,MATCH(AD487,[1]物品基础表!$B:$B,0)),"")</f>
        <v/>
      </c>
      <c r="AH487" s="1" t="str">
        <f>IFERROR(INDEX([1]物品基础表!$A:$A,MATCH(AG487,[1]物品基础表!$B:$B,0)),"")</f>
        <v/>
      </c>
      <c r="AK487" s="1" t="str">
        <f>IFERROR(INDEX([1]物品基础表!$A:$A,MATCH(AJ487,[1]物品基础表!$B:$B,0)),"")</f>
        <v/>
      </c>
      <c r="AN487" s="1" t="str">
        <f>IFERROR(INDEX([1]物品基础表!$A:$A,MATCH(AM487,[1]物品基础表!$B:$B,0)),"")</f>
        <v/>
      </c>
      <c r="AQ487" s="1" t="str">
        <f>IFERROR(INDEX([1]物品基础表!$A:$A,MATCH(AP487,[1]物品基础表!$B:$B,0)),"")</f>
        <v/>
      </c>
    </row>
    <row r="488" spans="1:43">
      <c r="A488" s="1" t="str">
        <f>INDEX([2]活动总表!$A$8:$A$429,MATCH(B488,[2]活动总表!$B$8:$B$429,0))</f>
        <v>（15-60）春节限购8</v>
      </c>
      <c r="B488" s="1">
        <v>582</v>
      </c>
      <c r="C488" s="1">
        <v>4</v>
      </c>
      <c r="D488" s="1">
        <v>5</v>
      </c>
      <c r="E488" s="1">
        <v>0</v>
      </c>
      <c r="F488" s="1" t="s">
        <v>706</v>
      </c>
      <c r="G488" s="1">
        <v>2888</v>
      </c>
      <c r="H488" s="1">
        <v>4800</v>
      </c>
      <c r="I488" s="1">
        <v>1</v>
      </c>
      <c r="O488" s="1">
        <v>60</v>
      </c>
      <c r="X488" s="1">
        <v>205000</v>
      </c>
      <c r="Y488" s="1" t="str">
        <f>IFERROR(INDEX([1]物品基础表!$A:$A,MATCH(X488,[1]物品基础表!$B:$B,0)),"")</f>
        <v>战灵进阶丹</v>
      </c>
      <c r="Z488" s="1">
        <v>60</v>
      </c>
      <c r="AB488" s="1" t="str">
        <f>IFERROR(INDEX([1]物品基础表!$A:$A,MATCH(AA488,[1]物品基础表!$B:$B,0)),"")</f>
        <v/>
      </c>
      <c r="AE488" s="1" t="str">
        <f>IFERROR(INDEX([1]物品基础表!$A:$A,MATCH(AD488,[1]物品基础表!$B:$B,0)),"")</f>
        <v/>
      </c>
      <c r="AH488" s="1" t="str">
        <f>IFERROR(INDEX([1]物品基础表!$A:$A,MATCH(AG488,[1]物品基础表!$B:$B,0)),"")</f>
        <v/>
      </c>
      <c r="AK488" s="1" t="str">
        <f>IFERROR(INDEX([1]物品基础表!$A:$A,MATCH(AJ488,[1]物品基础表!$B:$B,0)),"")</f>
        <v/>
      </c>
      <c r="AN488" s="1" t="str">
        <f>IFERROR(INDEX([1]物品基础表!$A:$A,MATCH(AM488,[1]物品基础表!$B:$B,0)),"")</f>
        <v/>
      </c>
      <c r="AQ488" s="1" t="str">
        <f>IFERROR(INDEX([1]物品基础表!$A:$A,MATCH(AP488,[1]物品基础表!$B:$B,0)),"")</f>
        <v/>
      </c>
    </row>
    <row r="489" spans="1:43">
      <c r="A489" s="1" t="str">
        <f>INDEX([2]活动总表!$A$8:$A$429,MATCH(B489,[2]活动总表!$B$8:$B$429,0))</f>
        <v>（15-60）春节限购8</v>
      </c>
      <c r="B489" s="1">
        <v>582</v>
      </c>
      <c r="C489" s="1">
        <v>5</v>
      </c>
      <c r="D489" s="1">
        <v>5</v>
      </c>
      <c r="E489" s="1">
        <v>0</v>
      </c>
      <c r="F489" s="1" t="s">
        <v>706</v>
      </c>
      <c r="G489" s="1">
        <v>8888</v>
      </c>
      <c r="H489" s="1">
        <v>14400</v>
      </c>
      <c r="I489" s="1">
        <v>3</v>
      </c>
      <c r="O489" s="1">
        <v>61</v>
      </c>
      <c r="X489" s="1">
        <v>205000</v>
      </c>
      <c r="Y489" s="1" t="str">
        <f>IFERROR(INDEX([1]物品基础表!$A:$A,MATCH(X489,[1]物品基础表!$B:$B,0)),"")</f>
        <v>战灵进阶丹</v>
      </c>
      <c r="Z489" s="1">
        <v>180</v>
      </c>
      <c r="AB489" s="1" t="str">
        <f>IFERROR(INDEX([1]物品基础表!$A:$A,MATCH(AA489,[1]物品基础表!$B:$B,0)),"")</f>
        <v/>
      </c>
      <c r="AE489" s="1" t="str">
        <f>IFERROR(INDEX([1]物品基础表!$A:$A,MATCH(AD489,[1]物品基础表!$B:$B,0)),"")</f>
        <v/>
      </c>
      <c r="AH489" s="1" t="str">
        <f>IFERROR(INDEX([1]物品基础表!$A:$A,MATCH(AG489,[1]物品基础表!$B:$B,0)),"")</f>
        <v/>
      </c>
      <c r="AK489" s="1" t="str">
        <f>IFERROR(INDEX([1]物品基础表!$A:$A,MATCH(AJ489,[1]物品基础表!$B:$B,0)),"")</f>
        <v/>
      </c>
      <c r="AN489" s="1" t="str">
        <f>IFERROR(INDEX([1]物品基础表!$A:$A,MATCH(AM489,[1]物品基础表!$B:$B,0)),"")</f>
        <v/>
      </c>
      <c r="AQ489" s="1" t="str">
        <f>IFERROR(INDEX([1]物品基础表!$A:$A,MATCH(AP489,[1]物品基础表!$B:$B,0)),"")</f>
        <v/>
      </c>
    </row>
    <row r="490" spans="1:43">
      <c r="A490" s="1" t="str">
        <f>INDEX([2]活动总表!$A$8:$A$429,MATCH(B490,[2]活动总表!$B$8:$B$429,0))</f>
        <v>（61+）春节限购1</v>
      </c>
      <c r="B490" s="1">
        <v>583</v>
      </c>
      <c r="C490" s="1">
        <v>1</v>
      </c>
      <c r="D490" s="1">
        <v>5</v>
      </c>
      <c r="E490" s="1">
        <v>0</v>
      </c>
      <c r="F490" s="1" t="s">
        <v>706</v>
      </c>
      <c r="G490" s="1">
        <v>888</v>
      </c>
      <c r="H490" s="1">
        <v>1500</v>
      </c>
      <c r="I490" s="1">
        <v>1</v>
      </c>
      <c r="O490" s="1">
        <v>59</v>
      </c>
      <c r="X490" s="1">
        <v>200003</v>
      </c>
      <c r="Y490" s="1" t="str">
        <f>IFERROR(INDEX([1]物品基础表!$A:$A,MATCH(X490,[1]物品基础表!$B:$B,0)),"")</f>
        <v>铸造晶石</v>
      </c>
      <c r="Z490" s="1">
        <v>30</v>
      </c>
      <c r="AB490" s="1" t="str">
        <f>IFERROR(INDEX([1]物品基础表!$A:$A,MATCH(AA490,[1]物品基础表!$B:$B,0)),"")</f>
        <v/>
      </c>
      <c r="AE490" s="1" t="str">
        <f>IFERROR(INDEX([1]物品基础表!$A:$A,MATCH(AD490,[1]物品基础表!$B:$B,0)),"")</f>
        <v/>
      </c>
      <c r="AH490" s="1" t="str">
        <f>IFERROR(INDEX([1]物品基础表!$A:$A,MATCH(AG490,[1]物品基础表!$B:$B,0)),"")</f>
        <v/>
      </c>
      <c r="AK490" s="1" t="str">
        <f>IFERROR(INDEX([1]物品基础表!$A:$A,MATCH(AJ490,[1]物品基础表!$B:$B,0)),"")</f>
        <v/>
      </c>
      <c r="AN490" s="1" t="str">
        <f>IFERROR(INDEX([1]物品基础表!$A:$A,MATCH(AM490,[1]物品基础表!$B:$B,0)),"")</f>
        <v/>
      </c>
      <c r="AQ490" s="1" t="str">
        <f>IFERROR(INDEX([1]物品基础表!$A:$A,MATCH(AP490,[1]物品基础表!$B:$B,0)),"")</f>
        <v/>
      </c>
    </row>
    <row r="491" spans="1:43">
      <c r="A491" s="1" t="str">
        <f>INDEX([2]活动总表!$A$8:$A$429,MATCH(B491,[2]活动总表!$B$8:$B$429,0))</f>
        <v>（61+）春节限购1</v>
      </c>
      <c r="B491" s="1">
        <v>583</v>
      </c>
      <c r="C491" s="1">
        <v>2</v>
      </c>
      <c r="D491" s="1">
        <v>7</v>
      </c>
      <c r="E491" s="1">
        <v>0</v>
      </c>
      <c r="F491" s="1" t="s">
        <v>706</v>
      </c>
      <c r="G491" s="1">
        <v>1588</v>
      </c>
      <c r="H491" s="1">
        <v>5000</v>
      </c>
      <c r="I491" s="1">
        <v>1</v>
      </c>
      <c r="O491" s="1">
        <v>31</v>
      </c>
      <c r="X491" s="1">
        <v>200003</v>
      </c>
      <c r="Y491" s="1" t="str">
        <f>IFERROR(INDEX([1]物品基础表!$A:$A,MATCH(X491,[1]物品基础表!$B:$B,0)),"")</f>
        <v>铸造晶石</v>
      </c>
      <c r="Z491" s="1">
        <v>100</v>
      </c>
      <c r="AB491" s="1" t="str">
        <f>IFERROR(INDEX([1]物品基础表!$A:$A,MATCH(AA491,[1]物品基础表!$B:$B,0)),"")</f>
        <v/>
      </c>
      <c r="AE491" s="1" t="str">
        <f>IFERROR(INDEX([1]物品基础表!$A:$A,MATCH(AD491,[1]物品基础表!$B:$B,0)),"")</f>
        <v/>
      </c>
      <c r="AH491" s="1" t="str">
        <f>IFERROR(INDEX([1]物品基础表!$A:$A,MATCH(AG491,[1]物品基础表!$B:$B,0)),"")</f>
        <v/>
      </c>
      <c r="AK491" s="1" t="str">
        <f>IFERROR(INDEX([1]物品基础表!$A:$A,MATCH(AJ491,[1]物品基础表!$B:$B,0)),"")</f>
        <v/>
      </c>
      <c r="AN491" s="1" t="str">
        <f>IFERROR(INDEX([1]物品基础表!$A:$A,MATCH(AM491,[1]物品基础表!$B:$B,0)),"")</f>
        <v/>
      </c>
      <c r="AQ491" s="1" t="str">
        <f>IFERROR(INDEX([1]物品基础表!$A:$A,MATCH(AP491,[1]物品基础表!$B:$B,0)),"")</f>
        <v/>
      </c>
    </row>
    <row r="492" spans="1:43">
      <c r="A492" s="1" t="str">
        <f>INDEX([2]活动总表!$A$8:$A$429,MATCH(B492,[2]活动总表!$B$8:$B$429,0))</f>
        <v>（61+）春节限购1</v>
      </c>
      <c r="B492" s="1">
        <v>583</v>
      </c>
      <c r="C492" s="1">
        <v>3</v>
      </c>
      <c r="D492" s="1">
        <v>7</v>
      </c>
      <c r="E492" s="1">
        <v>0</v>
      </c>
      <c r="F492" s="1" t="s">
        <v>706</v>
      </c>
      <c r="G492" s="1">
        <v>2888</v>
      </c>
      <c r="H492" s="1">
        <v>8500</v>
      </c>
      <c r="I492" s="1">
        <v>1</v>
      </c>
      <c r="O492" s="1">
        <v>33</v>
      </c>
      <c r="X492" s="1">
        <v>200003</v>
      </c>
      <c r="Y492" s="1" t="str">
        <f>IFERROR(INDEX([1]物品基础表!$A:$A,MATCH(X492,[1]物品基础表!$B:$B,0)),"")</f>
        <v>铸造晶石</v>
      </c>
      <c r="Z492" s="1">
        <v>170</v>
      </c>
      <c r="AB492" s="1" t="str">
        <f>IFERROR(INDEX([1]物品基础表!$A:$A,MATCH(AA492,[1]物品基础表!$B:$B,0)),"")</f>
        <v/>
      </c>
      <c r="AE492" s="1" t="str">
        <f>IFERROR(INDEX([1]物品基础表!$A:$A,MATCH(AD492,[1]物品基础表!$B:$B,0)),"")</f>
        <v/>
      </c>
      <c r="AH492" s="1" t="str">
        <f>IFERROR(INDEX([1]物品基础表!$A:$A,MATCH(AG492,[1]物品基础表!$B:$B,0)),"")</f>
        <v/>
      </c>
      <c r="AK492" s="1" t="str">
        <f>IFERROR(INDEX([1]物品基础表!$A:$A,MATCH(AJ492,[1]物品基础表!$B:$B,0)),"")</f>
        <v/>
      </c>
      <c r="AN492" s="1" t="str">
        <f>IFERROR(INDEX([1]物品基础表!$A:$A,MATCH(AM492,[1]物品基础表!$B:$B,0)),"")</f>
        <v/>
      </c>
      <c r="AQ492" s="1" t="str">
        <f>IFERROR(INDEX([1]物品基础表!$A:$A,MATCH(AP492,[1]物品基础表!$B:$B,0)),"")</f>
        <v/>
      </c>
    </row>
    <row r="493" spans="1:43">
      <c r="A493" s="1" t="str">
        <f>INDEX([2]活动总表!$A$8:$A$429,MATCH(B493,[2]活动总表!$B$8:$B$429,0))</f>
        <v>（61+）春节限购1</v>
      </c>
      <c r="B493" s="1">
        <v>583</v>
      </c>
      <c r="C493" s="1">
        <v>4</v>
      </c>
      <c r="D493" s="1">
        <v>7</v>
      </c>
      <c r="E493" s="1">
        <v>0</v>
      </c>
      <c r="F493" s="1" t="s">
        <v>706</v>
      </c>
      <c r="G493" s="1">
        <v>6888</v>
      </c>
      <c r="H493" s="1">
        <v>20000</v>
      </c>
      <c r="I493" s="1">
        <v>1</v>
      </c>
      <c r="O493" s="1">
        <v>34</v>
      </c>
      <c r="X493" s="1">
        <v>200003</v>
      </c>
      <c r="Y493" s="1" t="str">
        <f>IFERROR(INDEX([1]物品基础表!$A:$A,MATCH(X493,[1]物品基础表!$B:$B,0)),"")</f>
        <v>铸造晶石</v>
      </c>
      <c r="Z493" s="1">
        <v>400</v>
      </c>
      <c r="AB493" s="1" t="str">
        <f>IFERROR(INDEX([1]物品基础表!$A:$A,MATCH(AA493,[1]物品基础表!$B:$B,0)),"")</f>
        <v/>
      </c>
      <c r="AE493" s="1" t="str">
        <f>IFERROR(INDEX([1]物品基础表!$A:$A,MATCH(AD493,[1]物品基础表!$B:$B,0)),"")</f>
        <v/>
      </c>
      <c r="AH493" s="1" t="str">
        <f>IFERROR(INDEX([1]物品基础表!$A:$A,MATCH(AG493,[1]物品基础表!$B:$B,0)),"")</f>
        <v/>
      </c>
      <c r="AK493" s="1" t="str">
        <f>IFERROR(INDEX([1]物品基础表!$A:$A,MATCH(AJ493,[1]物品基础表!$B:$B,0)),"")</f>
        <v/>
      </c>
      <c r="AN493" s="1" t="str">
        <f>IFERROR(INDEX([1]物品基础表!$A:$A,MATCH(AM493,[1]物品基础表!$B:$B,0)),"")</f>
        <v/>
      </c>
      <c r="AQ493" s="1" t="str">
        <f>IFERROR(INDEX([1]物品基础表!$A:$A,MATCH(AP493,[1]物品基础表!$B:$B,0)),"")</f>
        <v/>
      </c>
    </row>
    <row r="494" spans="1:43">
      <c r="A494" s="1" t="str">
        <f>INDEX([2]活动总表!$A$8:$A$429,MATCH(B494,[2]活动总表!$B$8:$B$429,0))</f>
        <v>（61+）春节限购1</v>
      </c>
      <c r="B494" s="1">
        <v>583</v>
      </c>
      <c r="C494" s="1">
        <v>5</v>
      </c>
      <c r="D494" s="1">
        <v>5</v>
      </c>
      <c r="E494" s="1">
        <v>0</v>
      </c>
      <c r="F494" s="1" t="s">
        <v>706</v>
      </c>
      <c r="G494" s="1">
        <v>2888</v>
      </c>
      <c r="H494" s="1">
        <v>5000</v>
      </c>
      <c r="I494" s="1">
        <v>1</v>
      </c>
      <c r="O494" s="1">
        <v>57</v>
      </c>
      <c r="X494" s="1">
        <v>200003</v>
      </c>
      <c r="Y494" s="1" t="str">
        <f>IFERROR(INDEX([1]物品基础表!$A:$A,MATCH(X494,[1]物品基础表!$B:$B,0)),"")</f>
        <v>铸造晶石</v>
      </c>
      <c r="Z494" s="1">
        <v>100</v>
      </c>
      <c r="AB494" s="1" t="str">
        <f>IFERROR(INDEX([1]物品基础表!$A:$A,MATCH(AA494,[1]物品基础表!$B:$B,0)),"")</f>
        <v/>
      </c>
      <c r="AE494" s="1" t="str">
        <f>IFERROR(INDEX([1]物品基础表!$A:$A,MATCH(AD494,[1]物品基础表!$B:$B,0)),"")</f>
        <v/>
      </c>
      <c r="AH494" s="1" t="str">
        <f>IFERROR(INDEX([1]物品基础表!$A:$A,MATCH(AG494,[1]物品基础表!$B:$B,0)),"")</f>
        <v/>
      </c>
      <c r="AK494" s="1" t="str">
        <f>IFERROR(INDEX([1]物品基础表!$A:$A,MATCH(AJ494,[1]物品基础表!$B:$B,0)),"")</f>
        <v/>
      </c>
      <c r="AN494" s="1" t="str">
        <f>IFERROR(INDEX([1]物品基础表!$A:$A,MATCH(AM494,[1]物品基础表!$B:$B,0)),"")</f>
        <v/>
      </c>
      <c r="AQ494" s="1" t="str">
        <f>IFERROR(INDEX([1]物品基础表!$A:$A,MATCH(AP494,[1]物品基础表!$B:$B,0)),"")</f>
        <v/>
      </c>
    </row>
    <row r="495" spans="1:43">
      <c r="A495" s="1" t="str">
        <f>INDEX([2]活动总表!$A$8:$A$429,MATCH(B495,[2]活动总表!$B$8:$B$429,0))</f>
        <v>（61+）春节限购1</v>
      </c>
      <c r="B495" s="1">
        <v>583</v>
      </c>
      <c r="C495" s="1">
        <v>6</v>
      </c>
      <c r="D495" s="1">
        <v>5</v>
      </c>
      <c r="E495" s="1">
        <v>0</v>
      </c>
      <c r="F495" s="1" t="s">
        <v>706</v>
      </c>
      <c r="G495" s="1">
        <v>8888</v>
      </c>
      <c r="H495" s="1">
        <v>15000</v>
      </c>
      <c r="I495" s="1">
        <v>3</v>
      </c>
      <c r="O495" s="1">
        <v>59</v>
      </c>
      <c r="X495" s="1">
        <v>200003</v>
      </c>
      <c r="Y495" s="1" t="str">
        <f>IFERROR(INDEX([1]物品基础表!$A:$A,MATCH(X495,[1]物品基础表!$B:$B,0)),"")</f>
        <v>铸造晶石</v>
      </c>
      <c r="Z495" s="1">
        <v>300</v>
      </c>
      <c r="AB495" s="1" t="str">
        <f>IFERROR(INDEX([1]物品基础表!$A:$A,MATCH(AA495,[1]物品基础表!$B:$B,0)),"")</f>
        <v/>
      </c>
      <c r="AE495" s="1" t="str">
        <f>IFERROR(INDEX([1]物品基础表!$A:$A,MATCH(AD495,[1]物品基础表!$B:$B,0)),"")</f>
        <v/>
      </c>
      <c r="AH495" s="1" t="str">
        <f>IFERROR(INDEX([1]物品基础表!$A:$A,MATCH(AG495,[1]物品基础表!$B:$B,0)),"")</f>
        <v/>
      </c>
      <c r="AK495" s="1" t="str">
        <f>IFERROR(INDEX([1]物品基础表!$A:$A,MATCH(AJ495,[1]物品基础表!$B:$B,0)),"")</f>
        <v/>
      </c>
      <c r="AN495" s="1" t="str">
        <f>IFERROR(INDEX([1]物品基础表!$A:$A,MATCH(AM495,[1]物品基础表!$B:$B,0)),"")</f>
        <v/>
      </c>
      <c r="AQ495" s="1" t="str">
        <f>IFERROR(INDEX([1]物品基础表!$A:$A,MATCH(AP495,[1]物品基础表!$B:$B,0)),"")</f>
        <v/>
      </c>
    </row>
    <row r="496" spans="1:43">
      <c r="A496" s="1" t="str">
        <f>INDEX([2]活动总表!$A$8:$A$429,MATCH(B496,[2]活动总表!$B$8:$B$429,0))</f>
        <v>（61+）春节限购2</v>
      </c>
      <c r="B496" s="1">
        <v>584</v>
      </c>
      <c r="C496" s="1">
        <v>1</v>
      </c>
      <c r="D496" s="1">
        <v>5</v>
      </c>
      <c r="E496" s="1">
        <v>0</v>
      </c>
      <c r="F496" s="1" t="s">
        <v>706</v>
      </c>
      <c r="G496" s="1">
        <v>888</v>
      </c>
      <c r="H496" s="1">
        <v>1500</v>
      </c>
      <c r="I496" s="1">
        <v>1</v>
      </c>
      <c r="O496" s="1">
        <v>59</v>
      </c>
      <c r="X496" s="1">
        <v>200005</v>
      </c>
      <c r="Y496" s="1" t="str">
        <f>IFERROR(INDEX([1]物品基础表!$A:$A,MATCH(X496,[1]物品基础表!$B:$B,0)),"")</f>
        <v>龙魂碎片</v>
      </c>
      <c r="Z496" s="1">
        <v>15</v>
      </c>
      <c r="AB496" s="1" t="str">
        <f>IFERROR(INDEX([1]物品基础表!$A:$A,MATCH(AA496,[1]物品基础表!$B:$B,0)),"")</f>
        <v/>
      </c>
      <c r="AE496" s="1" t="str">
        <f>IFERROR(INDEX([1]物品基础表!$A:$A,MATCH(AD496,[1]物品基础表!$B:$B,0)),"")</f>
        <v/>
      </c>
      <c r="AH496" s="1" t="str">
        <f>IFERROR(INDEX([1]物品基础表!$A:$A,MATCH(AG496,[1]物品基础表!$B:$B,0)),"")</f>
        <v/>
      </c>
      <c r="AK496" s="1" t="str">
        <f>IFERROR(INDEX([1]物品基础表!$A:$A,MATCH(AJ496,[1]物品基础表!$B:$B,0)),"")</f>
        <v/>
      </c>
      <c r="AN496" s="1" t="str">
        <f>IFERROR(INDEX([1]物品基础表!$A:$A,MATCH(AM496,[1]物品基础表!$B:$B,0)),"")</f>
        <v/>
      </c>
      <c r="AQ496" s="1" t="str">
        <f>IFERROR(INDEX([1]物品基础表!$A:$A,MATCH(AP496,[1]物品基础表!$B:$B,0)),"")</f>
        <v/>
      </c>
    </row>
    <row r="497" spans="1:43">
      <c r="A497" s="1" t="str">
        <f>INDEX([2]活动总表!$A$8:$A$429,MATCH(B497,[2]活动总表!$B$8:$B$429,0))</f>
        <v>（61+）春节限购2</v>
      </c>
      <c r="B497" s="1">
        <v>584</v>
      </c>
      <c r="C497" s="1">
        <v>2</v>
      </c>
      <c r="D497" s="1">
        <v>7</v>
      </c>
      <c r="E497" s="1">
        <v>0</v>
      </c>
      <c r="F497" s="1" t="s">
        <v>706</v>
      </c>
      <c r="G497" s="1">
        <v>1588</v>
      </c>
      <c r="H497" s="1">
        <v>5000</v>
      </c>
      <c r="I497" s="1">
        <v>1</v>
      </c>
      <c r="O497" s="1">
        <v>31</v>
      </c>
      <c r="X497" s="1">
        <v>200005</v>
      </c>
      <c r="Y497" s="1" t="str">
        <f>IFERROR(INDEX([1]物品基础表!$A:$A,MATCH(X497,[1]物品基础表!$B:$B,0)),"")</f>
        <v>龙魂碎片</v>
      </c>
      <c r="Z497" s="1">
        <v>50</v>
      </c>
      <c r="AB497" s="1" t="str">
        <f>IFERROR(INDEX([1]物品基础表!$A:$A,MATCH(AA497,[1]物品基础表!$B:$B,0)),"")</f>
        <v/>
      </c>
      <c r="AE497" s="1" t="str">
        <f>IFERROR(INDEX([1]物品基础表!$A:$A,MATCH(AD497,[1]物品基础表!$B:$B,0)),"")</f>
        <v/>
      </c>
      <c r="AH497" s="1" t="str">
        <f>IFERROR(INDEX([1]物品基础表!$A:$A,MATCH(AG497,[1]物品基础表!$B:$B,0)),"")</f>
        <v/>
      </c>
      <c r="AK497" s="1" t="str">
        <f>IFERROR(INDEX([1]物品基础表!$A:$A,MATCH(AJ497,[1]物品基础表!$B:$B,0)),"")</f>
        <v/>
      </c>
      <c r="AN497" s="1" t="str">
        <f>IFERROR(INDEX([1]物品基础表!$A:$A,MATCH(AM497,[1]物品基础表!$B:$B,0)),"")</f>
        <v/>
      </c>
      <c r="AQ497" s="1" t="str">
        <f>IFERROR(INDEX([1]物品基础表!$A:$A,MATCH(AP497,[1]物品基础表!$B:$B,0)),"")</f>
        <v/>
      </c>
    </row>
    <row r="498" spans="1:43">
      <c r="A498" s="1" t="str">
        <f>INDEX([2]活动总表!$A$8:$A$429,MATCH(B498,[2]活动总表!$B$8:$B$429,0))</f>
        <v>（61+）春节限购2</v>
      </c>
      <c r="B498" s="1">
        <v>584</v>
      </c>
      <c r="C498" s="1">
        <v>3</v>
      </c>
      <c r="D498" s="1">
        <v>7</v>
      </c>
      <c r="E498" s="1">
        <v>0</v>
      </c>
      <c r="F498" s="1" t="s">
        <v>706</v>
      </c>
      <c r="G498" s="1">
        <v>2888</v>
      </c>
      <c r="H498" s="1">
        <v>8500</v>
      </c>
      <c r="I498" s="1">
        <v>1</v>
      </c>
      <c r="O498" s="1">
        <v>33</v>
      </c>
      <c r="X498" s="1">
        <v>200005</v>
      </c>
      <c r="Y498" s="1" t="str">
        <f>IFERROR(INDEX([1]物品基础表!$A:$A,MATCH(X498,[1]物品基础表!$B:$B,0)),"")</f>
        <v>龙魂碎片</v>
      </c>
      <c r="Z498" s="1">
        <v>85</v>
      </c>
      <c r="AB498" s="1" t="str">
        <f>IFERROR(INDEX([1]物品基础表!$A:$A,MATCH(AA498,[1]物品基础表!$B:$B,0)),"")</f>
        <v/>
      </c>
      <c r="AE498" s="1" t="str">
        <f>IFERROR(INDEX([1]物品基础表!$A:$A,MATCH(AD498,[1]物品基础表!$B:$B,0)),"")</f>
        <v/>
      </c>
      <c r="AH498" s="1" t="str">
        <f>IFERROR(INDEX([1]物品基础表!$A:$A,MATCH(AG498,[1]物品基础表!$B:$B,0)),"")</f>
        <v/>
      </c>
      <c r="AK498" s="1" t="str">
        <f>IFERROR(INDEX([1]物品基础表!$A:$A,MATCH(AJ498,[1]物品基础表!$B:$B,0)),"")</f>
        <v/>
      </c>
      <c r="AN498" s="1" t="str">
        <f>IFERROR(INDEX([1]物品基础表!$A:$A,MATCH(AM498,[1]物品基础表!$B:$B,0)),"")</f>
        <v/>
      </c>
      <c r="AQ498" s="1" t="str">
        <f>IFERROR(INDEX([1]物品基础表!$A:$A,MATCH(AP498,[1]物品基础表!$B:$B,0)),"")</f>
        <v/>
      </c>
    </row>
    <row r="499" spans="1:43">
      <c r="A499" s="1" t="str">
        <f>INDEX([2]活动总表!$A$8:$A$429,MATCH(B499,[2]活动总表!$B$8:$B$429,0))</f>
        <v>（61+）春节限购2</v>
      </c>
      <c r="B499" s="1">
        <v>584</v>
      </c>
      <c r="C499" s="1">
        <v>4</v>
      </c>
      <c r="D499" s="1">
        <v>7</v>
      </c>
      <c r="E499" s="1">
        <v>0</v>
      </c>
      <c r="F499" s="1" t="s">
        <v>706</v>
      </c>
      <c r="G499" s="1">
        <v>6888</v>
      </c>
      <c r="H499" s="1">
        <v>20000</v>
      </c>
      <c r="I499" s="1">
        <v>1</v>
      </c>
      <c r="O499" s="1">
        <v>34</v>
      </c>
      <c r="X499" s="1">
        <v>200005</v>
      </c>
      <c r="Y499" s="1" t="str">
        <f>IFERROR(INDEX([1]物品基础表!$A:$A,MATCH(X499,[1]物品基础表!$B:$B,0)),"")</f>
        <v>龙魂碎片</v>
      </c>
      <c r="Z499" s="1">
        <v>200</v>
      </c>
      <c r="AB499" s="1" t="str">
        <f>IFERROR(INDEX([1]物品基础表!$A:$A,MATCH(AA499,[1]物品基础表!$B:$B,0)),"")</f>
        <v/>
      </c>
      <c r="AE499" s="1" t="str">
        <f>IFERROR(INDEX([1]物品基础表!$A:$A,MATCH(AD499,[1]物品基础表!$B:$B,0)),"")</f>
        <v/>
      </c>
      <c r="AH499" s="1" t="str">
        <f>IFERROR(INDEX([1]物品基础表!$A:$A,MATCH(AG499,[1]物品基础表!$B:$B,0)),"")</f>
        <v/>
      </c>
      <c r="AK499" s="1" t="str">
        <f>IFERROR(INDEX([1]物品基础表!$A:$A,MATCH(AJ499,[1]物品基础表!$B:$B,0)),"")</f>
        <v/>
      </c>
      <c r="AN499" s="1" t="str">
        <f>IFERROR(INDEX([1]物品基础表!$A:$A,MATCH(AM499,[1]物品基础表!$B:$B,0)),"")</f>
        <v/>
      </c>
      <c r="AQ499" s="1" t="str">
        <f>IFERROR(INDEX([1]物品基础表!$A:$A,MATCH(AP499,[1]物品基础表!$B:$B,0)),"")</f>
        <v/>
      </c>
    </row>
    <row r="500" spans="1:43">
      <c r="A500" s="1" t="str">
        <f>INDEX([2]活动总表!$A$8:$A$429,MATCH(B500,[2]活动总表!$B$8:$B$429,0))</f>
        <v>（61+）春节限购2</v>
      </c>
      <c r="B500" s="1">
        <v>584</v>
      </c>
      <c r="C500" s="1">
        <v>5</v>
      </c>
      <c r="D500" s="1">
        <v>5</v>
      </c>
      <c r="E500" s="1">
        <v>0</v>
      </c>
      <c r="F500" s="1" t="s">
        <v>706</v>
      </c>
      <c r="G500" s="1">
        <v>2888</v>
      </c>
      <c r="H500" s="1">
        <v>5000</v>
      </c>
      <c r="I500" s="1">
        <v>1</v>
      </c>
      <c r="O500" s="1">
        <v>57</v>
      </c>
      <c r="X500" s="1">
        <v>200005</v>
      </c>
      <c r="Y500" s="1" t="str">
        <f>IFERROR(INDEX([1]物品基础表!$A:$A,MATCH(X500,[1]物品基础表!$B:$B,0)),"")</f>
        <v>龙魂碎片</v>
      </c>
      <c r="Z500" s="1">
        <v>50</v>
      </c>
      <c r="AB500" s="1" t="str">
        <f>IFERROR(INDEX([1]物品基础表!$A:$A,MATCH(AA500,[1]物品基础表!$B:$B,0)),"")</f>
        <v/>
      </c>
      <c r="AE500" s="1" t="str">
        <f>IFERROR(INDEX([1]物品基础表!$A:$A,MATCH(AD500,[1]物品基础表!$B:$B,0)),"")</f>
        <v/>
      </c>
      <c r="AH500" s="1" t="str">
        <f>IFERROR(INDEX([1]物品基础表!$A:$A,MATCH(AG500,[1]物品基础表!$B:$B,0)),"")</f>
        <v/>
      </c>
      <c r="AK500" s="1" t="str">
        <f>IFERROR(INDEX([1]物品基础表!$A:$A,MATCH(AJ500,[1]物品基础表!$B:$B,0)),"")</f>
        <v/>
      </c>
      <c r="AN500" s="1" t="str">
        <f>IFERROR(INDEX([1]物品基础表!$A:$A,MATCH(AM500,[1]物品基础表!$B:$B,0)),"")</f>
        <v/>
      </c>
      <c r="AQ500" s="1" t="str">
        <f>IFERROR(INDEX([1]物品基础表!$A:$A,MATCH(AP500,[1]物品基础表!$B:$B,0)),"")</f>
        <v/>
      </c>
    </row>
    <row r="501" spans="1:43">
      <c r="A501" s="1" t="str">
        <f>INDEX([2]活动总表!$A$8:$A$429,MATCH(B501,[2]活动总表!$B$8:$B$429,0))</f>
        <v>（61+）春节限购2</v>
      </c>
      <c r="B501" s="1">
        <v>584</v>
      </c>
      <c r="C501" s="1">
        <v>6</v>
      </c>
      <c r="D501" s="1">
        <v>5</v>
      </c>
      <c r="E501" s="1">
        <v>0</v>
      </c>
      <c r="F501" s="1" t="s">
        <v>706</v>
      </c>
      <c r="G501" s="1">
        <v>8888</v>
      </c>
      <c r="H501" s="1">
        <v>15000</v>
      </c>
      <c r="I501" s="1">
        <v>3</v>
      </c>
      <c r="O501" s="1">
        <v>59</v>
      </c>
      <c r="X501" s="1">
        <v>200005</v>
      </c>
      <c r="Y501" s="1" t="str">
        <f>IFERROR(INDEX([1]物品基础表!$A:$A,MATCH(X501,[1]物品基础表!$B:$B,0)),"")</f>
        <v>龙魂碎片</v>
      </c>
      <c r="Z501" s="1">
        <v>150</v>
      </c>
      <c r="AB501" s="1" t="str">
        <f>IFERROR(INDEX([1]物品基础表!$A:$A,MATCH(AA501,[1]物品基础表!$B:$B,0)),"")</f>
        <v/>
      </c>
      <c r="AE501" s="1" t="str">
        <f>IFERROR(INDEX([1]物品基础表!$A:$A,MATCH(AD501,[1]物品基础表!$B:$B,0)),"")</f>
        <v/>
      </c>
      <c r="AH501" s="1" t="str">
        <f>IFERROR(INDEX([1]物品基础表!$A:$A,MATCH(AG501,[1]物品基础表!$B:$B,0)),"")</f>
        <v/>
      </c>
      <c r="AK501" s="1" t="str">
        <f>IFERROR(INDEX([1]物品基础表!$A:$A,MATCH(AJ501,[1]物品基础表!$B:$B,0)),"")</f>
        <v/>
      </c>
      <c r="AN501" s="1" t="str">
        <f>IFERROR(INDEX([1]物品基础表!$A:$A,MATCH(AM501,[1]物品基础表!$B:$B,0)),"")</f>
        <v/>
      </c>
      <c r="AQ501" s="1" t="str">
        <f>IFERROR(INDEX([1]物品基础表!$A:$A,MATCH(AP501,[1]物品基础表!$B:$B,0)),"")</f>
        <v/>
      </c>
    </row>
    <row r="502" spans="1:43">
      <c r="A502" s="1" t="str">
        <f>INDEX([2]活动总表!$A$8:$A$429,MATCH(B502,[2]活动总表!$B$8:$B$429,0))</f>
        <v>（61+）春节限购3</v>
      </c>
      <c r="B502" s="1">
        <v>585</v>
      </c>
      <c r="C502" s="1">
        <v>1</v>
      </c>
      <c r="D502" s="1">
        <v>5</v>
      </c>
      <c r="E502" s="1">
        <v>0</v>
      </c>
      <c r="F502" s="1" t="s">
        <v>706</v>
      </c>
      <c r="G502" s="1">
        <v>888</v>
      </c>
      <c r="H502" s="1">
        <v>1500</v>
      </c>
      <c r="I502" s="1">
        <v>1</v>
      </c>
      <c r="O502" s="1">
        <v>59</v>
      </c>
      <c r="X502" s="1">
        <v>200301</v>
      </c>
      <c r="Y502" s="1" t="str">
        <f>IFERROR(INDEX([1]物品基础表!$A:$A,MATCH(X502,[1]物品基础表!$B:$B,0)),"")</f>
        <v>传世宝钻</v>
      </c>
      <c r="Z502" s="1">
        <v>15</v>
      </c>
      <c r="AB502" s="1" t="str">
        <f>IFERROR(INDEX([1]物品基础表!$A:$A,MATCH(AA502,[1]物品基础表!$B:$B,0)),"")</f>
        <v/>
      </c>
      <c r="AE502" s="1" t="str">
        <f>IFERROR(INDEX([1]物品基础表!$A:$A,MATCH(AD502,[1]物品基础表!$B:$B,0)),"")</f>
        <v/>
      </c>
      <c r="AH502" s="1" t="str">
        <f>IFERROR(INDEX([1]物品基础表!$A:$A,MATCH(AG502,[1]物品基础表!$B:$B,0)),"")</f>
        <v/>
      </c>
      <c r="AK502" s="1" t="str">
        <f>IFERROR(INDEX([1]物品基础表!$A:$A,MATCH(AJ502,[1]物品基础表!$B:$B,0)),"")</f>
        <v/>
      </c>
      <c r="AN502" s="1" t="str">
        <f>IFERROR(INDEX([1]物品基础表!$A:$A,MATCH(AM502,[1]物品基础表!$B:$B,0)),"")</f>
        <v/>
      </c>
      <c r="AQ502" s="1" t="str">
        <f>IFERROR(INDEX([1]物品基础表!$A:$A,MATCH(AP502,[1]物品基础表!$B:$B,0)),"")</f>
        <v/>
      </c>
    </row>
    <row r="503" spans="1:43">
      <c r="A503" s="1" t="str">
        <f>INDEX([2]活动总表!$A$8:$A$429,MATCH(B503,[2]活动总表!$B$8:$B$429,0))</f>
        <v>（61+）春节限购3</v>
      </c>
      <c r="B503" s="1">
        <v>585</v>
      </c>
      <c r="C503" s="1">
        <v>2</v>
      </c>
      <c r="D503" s="1">
        <v>7</v>
      </c>
      <c r="E503" s="1">
        <v>0</v>
      </c>
      <c r="F503" s="1" t="s">
        <v>706</v>
      </c>
      <c r="G503" s="1">
        <v>1588</v>
      </c>
      <c r="H503" s="1">
        <v>5000</v>
      </c>
      <c r="I503" s="1">
        <v>1</v>
      </c>
      <c r="O503" s="1">
        <v>31</v>
      </c>
      <c r="X503" s="1">
        <v>200301</v>
      </c>
      <c r="Y503" s="1" t="str">
        <f>IFERROR(INDEX([1]物品基础表!$A:$A,MATCH(X503,[1]物品基础表!$B:$B,0)),"")</f>
        <v>传世宝钻</v>
      </c>
      <c r="Z503" s="1">
        <v>50</v>
      </c>
      <c r="AB503" s="1" t="str">
        <f>IFERROR(INDEX([1]物品基础表!$A:$A,MATCH(AA503,[1]物品基础表!$B:$B,0)),"")</f>
        <v/>
      </c>
      <c r="AE503" s="1" t="str">
        <f>IFERROR(INDEX([1]物品基础表!$A:$A,MATCH(AD503,[1]物品基础表!$B:$B,0)),"")</f>
        <v/>
      </c>
      <c r="AH503" s="1" t="str">
        <f>IFERROR(INDEX([1]物品基础表!$A:$A,MATCH(AG503,[1]物品基础表!$B:$B,0)),"")</f>
        <v/>
      </c>
      <c r="AK503" s="1" t="str">
        <f>IFERROR(INDEX([1]物品基础表!$A:$A,MATCH(AJ503,[1]物品基础表!$B:$B,0)),"")</f>
        <v/>
      </c>
      <c r="AN503" s="1" t="str">
        <f>IFERROR(INDEX([1]物品基础表!$A:$A,MATCH(AM503,[1]物品基础表!$B:$B,0)),"")</f>
        <v/>
      </c>
      <c r="AQ503" s="1" t="str">
        <f>IFERROR(INDEX([1]物品基础表!$A:$A,MATCH(AP503,[1]物品基础表!$B:$B,0)),"")</f>
        <v/>
      </c>
    </row>
    <row r="504" spans="1:43">
      <c r="A504" s="1" t="str">
        <f>INDEX([2]活动总表!$A$8:$A$429,MATCH(B504,[2]活动总表!$B$8:$B$429,0))</f>
        <v>（61+）春节限购3</v>
      </c>
      <c r="B504" s="1">
        <v>585</v>
      </c>
      <c r="C504" s="1">
        <v>3</v>
      </c>
      <c r="D504" s="1">
        <v>7</v>
      </c>
      <c r="E504" s="1">
        <v>0</v>
      </c>
      <c r="F504" s="1" t="s">
        <v>706</v>
      </c>
      <c r="G504" s="1">
        <v>2888</v>
      </c>
      <c r="H504" s="1">
        <v>8500</v>
      </c>
      <c r="I504" s="1">
        <v>1</v>
      </c>
      <c r="O504" s="1">
        <v>33</v>
      </c>
      <c r="X504" s="1">
        <v>200301</v>
      </c>
      <c r="Y504" s="1" t="str">
        <f>IFERROR(INDEX([1]物品基础表!$A:$A,MATCH(X504,[1]物品基础表!$B:$B,0)),"")</f>
        <v>传世宝钻</v>
      </c>
      <c r="Z504" s="1">
        <v>85</v>
      </c>
      <c r="AB504" s="1" t="str">
        <f>IFERROR(INDEX([1]物品基础表!$A:$A,MATCH(AA504,[1]物品基础表!$B:$B,0)),"")</f>
        <v/>
      </c>
      <c r="AE504" s="1" t="str">
        <f>IFERROR(INDEX([1]物品基础表!$A:$A,MATCH(AD504,[1]物品基础表!$B:$B,0)),"")</f>
        <v/>
      </c>
      <c r="AH504" s="1" t="str">
        <f>IFERROR(INDEX([1]物品基础表!$A:$A,MATCH(AG504,[1]物品基础表!$B:$B,0)),"")</f>
        <v/>
      </c>
      <c r="AK504" s="1" t="str">
        <f>IFERROR(INDEX([1]物品基础表!$A:$A,MATCH(AJ504,[1]物品基础表!$B:$B,0)),"")</f>
        <v/>
      </c>
      <c r="AN504" s="1" t="str">
        <f>IFERROR(INDEX([1]物品基础表!$A:$A,MATCH(AM504,[1]物品基础表!$B:$B,0)),"")</f>
        <v/>
      </c>
      <c r="AQ504" s="1" t="str">
        <f>IFERROR(INDEX([1]物品基础表!$A:$A,MATCH(AP504,[1]物品基础表!$B:$B,0)),"")</f>
        <v/>
      </c>
    </row>
    <row r="505" spans="1:43">
      <c r="A505" s="1" t="str">
        <f>INDEX([2]活动总表!$A$8:$A$429,MATCH(B505,[2]活动总表!$B$8:$B$429,0))</f>
        <v>（61+）春节限购3</v>
      </c>
      <c r="B505" s="1">
        <v>585</v>
      </c>
      <c r="C505" s="1">
        <v>4</v>
      </c>
      <c r="D505" s="1">
        <v>7</v>
      </c>
      <c r="E505" s="1">
        <v>0</v>
      </c>
      <c r="F505" s="1" t="s">
        <v>706</v>
      </c>
      <c r="G505" s="1">
        <v>6888</v>
      </c>
      <c r="H505" s="1">
        <v>20000</v>
      </c>
      <c r="I505" s="1">
        <v>1</v>
      </c>
      <c r="O505" s="1">
        <v>34</v>
      </c>
      <c r="X505" s="1">
        <v>200301</v>
      </c>
      <c r="Y505" s="1" t="str">
        <f>IFERROR(INDEX([1]物品基础表!$A:$A,MATCH(X505,[1]物品基础表!$B:$B,0)),"")</f>
        <v>传世宝钻</v>
      </c>
      <c r="Z505" s="1">
        <v>200</v>
      </c>
      <c r="AB505" s="1" t="str">
        <f>IFERROR(INDEX([1]物品基础表!$A:$A,MATCH(AA505,[1]物品基础表!$B:$B,0)),"")</f>
        <v/>
      </c>
      <c r="AE505" s="1" t="str">
        <f>IFERROR(INDEX([1]物品基础表!$A:$A,MATCH(AD505,[1]物品基础表!$B:$B,0)),"")</f>
        <v/>
      </c>
      <c r="AH505" s="1" t="str">
        <f>IFERROR(INDEX([1]物品基础表!$A:$A,MATCH(AG505,[1]物品基础表!$B:$B,0)),"")</f>
        <v/>
      </c>
      <c r="AK505" s="1" t="str">
        <f>IFERROR(INDEX([1]物品基础表!$A:$A,MATCH(AJ505,[1]物品基础表!$B:$B,0)),"")</f>
        <v/>
      </c>
      <c r="AN505" s="1" t="str">
        <f>IFERROR(INDEX([1]物品基础表!$A:$A,MATCH(AM505,[1]物品基础表!$B:$B,0)),"")</f>
        <v/>
      </c>
      <c r="AQ505" s="1" t="str">
        <f>IFERROR(INDEX([1]物品基础表!$A:$A,MATCH(AP505,[1]物品基础表!$B:$B,0)),"")</f>
        <v/>
      </c>
    </row>
    <row r="506" spans="1:43">
      <c r="A506" s="1" t="str">
        <f>INDEX([2]活动总表!$A$8:$A$429,MATCH(B506,[2]活动总表!$B$8:$B$429,0))</f>
        <v>（61+）春节限购3</v>
      </c>
      <c r="B506" s="1">
        <v>585</v>
      </c>
      <c r="C506" s="1">
        <v>5</v>
      </c>
      <c r="D506" s="1">
        <v>5</v>
      </c>
      <c r="E506" s="1">
        <v>0</v>
      </c>
      <c r="F506" s="1" t="s">
        <v>706</v>
      </c>
      <c r="G506" s="1">
        <v>2888</v>
      </c>
      <c r="H506" s="1">
        <v>5000</v>
      </c>
      <c r="I506" s="1">
        <v>1</v>
      </c>
      <c r="O506" s="1">
        <v>57</v>
      </c>
      <c r="X506" s="1">
        <v>200301</v>
      </c>
      <c r="Y506" s="1" t="str">
        <f>IFERROR(INDEX([1]物品基础表!$A:$A,MATCH(X506,[1]物品基础表!$B:$B,0)),"")</f>
        <v>传世宝钻</v>
      </c>
      <c r="Z506" s="1">
        <v>50</v>
      </c>
      <c r="AB506" s="1" t="str">
        <f>IFERROR(INDEX([1]物品基础表!$A:$A,MATCH(AA506,[1]物品基础表!$B:$B,0)),"")</f>
        <v/>
      </c>
      <c r="AE506" s="1" t="str">
        <f>IFERROR(INDEX([1]物品基础表!$A:$A,MATCH(AD506,[1]物品基础表!$B:$B,0)),"")</f>
        <v/>
      </c>
      <c r="AH506" s="1" t="str">
        <f>IFERROR(INDEX([1]物品基础表!$A:$A,MATCH(AG506,[1]物品基础表!$B:$B,0)),"")</f>
        <v/>
      </c>
      <c r="AK506" s="1" t="str">
        <f>IFERROR(INDEX([1]物品基础表!$A:$A,MATCH(AJ506,[1]物品基础表!$B:$B,0)),"")</f>
        <v/>
      </c>
      <c r="AN506" s="1" t="str">
        <f>IFERROR(INDEX([1]物品基础表!$A:$A,MATCH(AM506,[1]物品基础表!$B:$B,0)),"")</f>
        <v/>
      </c>
      <c r="AQ506" s="1" t="str">
        <f>IFERROR(INDEX([1]物品基础表!$A:$A,MATCH(AP506,[1]物品基础表!$B:$B,0)),"")</f>
        <v/>
      </c>
    </row>
    <row r="507" spans="1:43">
      <c r="A507" s="1" t="str">
        <f>INDEX([2]活动总表!$A$8:$A$429,MATCH(B507,[2]活动总表!$B$8:$B$429,0))</f>
        <v>（61+）春节限购3</v>
      </c>
      <c r="B507" s="1">
        <v>585</v>
      </c>
      <c r="C507" s="1">
        <v>6</v>
      </c>
      <c r="D507" s="1">
        <v>5</v>
      </c>
      <c r="E507" s="1">
        <v>0</v>
      </c>
      <c r="F507" s="1" t="s">
        <v>706</v>
      </c>
      <c r="G507" s="1">
        <v>8888</v>
      </c>
      <c r="H507" s="1">
        <v>15000</v>
      </c>
      <c r="I507" s="1">
        <v>3</v>
      </c>
      <c r="O507" s="1">
        <v>59</v>
      </c>
      <c r="X507" s="1">
        <v>200301</v>
      </c>
      <c r="Y507" s="1" t="str">
        <f>IFERROR(INDEX([1]物品基础表!$A:$A,MATCH(X507,[1]物品基础表!$B:$B,0)),"")</f>
        <v>传世宝钻</v>
      </c>
      <c r="Z507" s="1">
        <v>150</v>
      </c>
      <c r="AB507" s="1" t="str">
        <f>IFERROR(INDEX([1]物品基础表!$A:$A,MATCH(AA507,[1]物品基础表!$B:$B,0)),"")</f>
        <v/>
      </c>
      <c r="AE507" s="1" t="str">
        <f>IFERROR(INDEX([1]物品基础表!$A:$A,MATCH(AD507,[1]物品基础表!$B:$B,0)),"")</f>
        <v/>
      </c>
      <c r="AH507" s="1" t="str">
        <f>IFERROR(INDEX([1]物品基础表!$A:$A,MATCH(AG507,[1]物品基础表!$B:$B,0)),"")</f>
        <v/>
      </c>
      <c r="AK507" s="1" t="str">
        <f>IFERROR(INDEX([1]物品基础表!$A:$A,MATCH(AJ507,[1]物品基础表!$B:$B,0)),"")</f>
        <v/>
      </c>
      <c r="AN507" s="1" t="str">
        <f>IFERROR(INDEX([1]物品基础表!$A:$A,MATCH(AM507,[1]物品基础表!$B:$B,0)),"")</f>
        <v/>
      </c>
      <c r="AQ507" s="1" t="str">
        <f>IFERROR(INDEX([1]物品基础表!$A:$A,MATCH(AP507,[1]物品基础表!$B:$B,0)),"")</f>
        <v/>
      </c>
    </row>
    <row r="508" spans="1:43">
      <c r="A508" s="1" t="str">
        <f>INDEX([2]活动总表!$A$8:$A$429,MATCH(B508,[2]活动总表!$B$8:$B$429,0))</f>
        <v>（61+）春节限购4</v>
      </c>
      <c r="B508" s="1">
        <v>586</v>
      </c>
      <c r="C508" s="1">
        <v>1</v>
      </c>
      <c r="D508" s="1">
        <v>5</v>
      </c>
      <c r="E508" s="1">
        <v>0</v>
      </c>
      <c r="F508" s="1" t="s">
        <v>706</v>
      </c>
      <c r="G508" s="1">
        <v>888</v>
      </c>
      <c r="H508" s="1">
        <v>1500</v>
      </c>
      <c r="I508" s="1">
        <v>1</v>
      </c>
      <c r="O508" s="1">
        <v>59</v>
      </c>
      <c r="X508" s="1">
        <v>200015</v>
      </c>
      <c r="Y508" s="1" t="str">
        <f>IFERROR(INDEX([1]物品基础表!$A:$A,MATCH(X508,[1]物品基础表!$B:$B,0)),"")</f>
        <v>特戒碎片</v>
      </c>
      <c r="Z508" s="1">
        <v>150</v>
      </c>
      <c r="AB508" s="1" t="str">
        <f>IFERROR(INDEX([1]物品基础表!$A:$A,MATCH(AA508,[1]物品基础表!$B:$B,0)),"")</f>
        <v/>
      </c>
      <c r="AE508" s="1" t="str">
        <f>IFERROR(INDEX([1]物品基础表!$A:$A,MATCH(AD508,[1]物品基础表!$B:$B,0)),"")</f>
        <v/>
      </c>
      <c r="AH508" s="1" t="str">
        <f>IFERROR(INDEX([1]物品基础表!$A:$A,MATCH(AG508,[1]物品基础表!$B:$B,0)),"")</f>
        <v/>
      </c>
      <c r="AK508" s="1" t="str">
        <f>IFERROR(INDEX([1]物品基础表!$A:$A,MATCH(AJ508,[1]物品基础表!$B:$B,0)),"")</f>
        <v/>
      </c>
      <c r="AN508" s="1" t="str">
        <f>IFERROR(INDEX([1]物品基础表!$A:$A,MATCH(AM508,[1]物品基础表!$B:$B,0)),"")</f>
        <v/>
      </c>
      <c r="AQ508" s="1" t="str">
        <f>IFERROR(INDEX([1]物品基础表!$A:$A,MATCH(AP508,[1]物品基础表!$B:$B,0)),"")</f>
        <v/>
      </c>
    </row>
    <row r="509" spans="1:43">
      <c r="A509" s="1" t="str">
        <f>INDEX([2]活动总表!$A$8:$A$429,MATCH(B509,[2]活动总表!$B$8:$B$429,0))</f>
        <v>（61+）春节限购4</v>
      </c>
      <c r="B509" s="1">
        <v>586</v>
      </c>
      <c r="C509" s="1">
        <v>2</v>
      </c>
      <c r="D509" s="1">
        <v>7</v>
      </c>
      <c r="E509" s="1">
        <v>0</v>
      </c>
      <c r="F509" s="1" t="s">
        <v>706</v>
      </c>
      <c r="G509" s="1">
        <v>1588</v>
      </c>
      <c r="H509" s="1">
        <v>5000</v>
      </c>
      <c r="I509" s="1">
        <v>1</v>
      </c>
      <c r="O509" s="1">
        <v>31</v>
      </c>
      <c r="X509" s="1">
        <v>200015</v>
      </c>
      <c r="Y509" s="1" t="str">
        <f>IFERROR(INDEX([1]物品基础表!$A:$A,MATCH(X509,[1]物品基础表!$B:$B,0)),"")</f>
        <v>特戒碎片</v>
      </c>
      <c r="Z509" s="1">
        <v>500</v>
      </c>
      <c r="AB509" s="1" t="str">
        <f>IFERROR(INDEX([1]物品基础表!$A:$A,MATCH(AA509,[1]物品基础表!$B:$B,0)),"")</f>
        <v/>
      </c>
      <c r="AE509" s="1" t="str">
        <f>IFERROR(INDEX([1]物品基础表!$A:$A,MATCH(AD509,[1]物品基础表!$B:$B,0)),"")</f>
        <v/>
      </c>
      <c r="AH509" s="1" t="str">
        <f>IFERROR(INDEX([1]物品基础表!$A:$A,MATCH(AG509,[1]物品基础表!$B:$B,0)),"")</f>
        <v/>
      </c>
      <c r="AK509" s="1" t="str">
        <f>IFERROR(INDEX([1]物品基础表!$A:$A,MATCH(AJ509,[1]物品基础表!$B:$B,0)),"")</f>
        <v/>
      </c>
      <c r="AN509" s="1" t="str">
        <f>IFERROR(INDEX([1]物品基础表!$A:$A,MATCH(AM509,[1]物品基础表!$B:$B,0)),"")</f>
        <v/>
      </c>
      <c r="AQ509" s="1" t="str">
        <f>IFERROR(INDEX([1]物品基础表!$A:$A,MATCH(AP509,[1]物品基础表!$B:$B,0)),"")</f>
        <v/>
      </c>
    </row>
    <row r="510" spans="1:43">
      <c r="A510" s="1" t="str">
        <f>INDEX([2]活动总表!$A$8:$A$429,MATCH(B510,[2]活动总表!$B$8:$B$429,0))</f>
        <v>（61+）春节限购4</v>
      </c>
      <c r="B510" s="1">
        <v>586</v>
      </c>
      <c r="C510" s="1">
        <v>3</v>
      </c>
      <c r="D510" s="1">
        <v>7</v>
      </c>
      <c r="E510" s="1">
        <v>0</v>
      </c>
      <c r="F510" s="1" t="s">
        <v>706</v>
      </c>
      <c r="G510" s="1">
        <v>2888</v>
      </c>
      <c r="H510" s="1">
        <v>8500</v>
      </c>
      <c r="I510" s="1">
        <v>1</v>
      </c>
      <c r="O510" s="1">
        <v>33</v>
      </c>
      <c r="X510" s="1">
        <v>200015</v>
      </c>
      <c r="Y510" s="1" t="str">
        <f>IFERROR(INDEX([1]物品基础表!$A:$A,MATCH(X510,[1]物品基础表!$B:$B,0)),"")</f>
        <v>特戒碎片</v>
      </c>
      <c r="Z510" s="1">
        <v>850</v>
      </c>
      <c r="AB510" s="1" t="str">
        <f>IFERROR(INDEX([1]物品基础表!$A:$A,MATCH(AA510,[1]物品基础表!$B:$B,0)),"")</f>
        <v/>
      </c>
      <c r="AE510" s="1" t="str">
        <f>IFERROR(INDEX([1]物品基础表!$A:$A,MATCH(AD510,[1]物品基础表!$B:$B,0)),"")</f>
        <v/>
      </c>
      <c r="AH510" s="1" t="str">
        <f>IFERROR(INDEX([1]物品基础表!$A:$A,MATCH(AG510,[1]物品基础表!$B:$B,0)),"")</f>
        <v/>
      </c>
      <c r="AK510" s="1" t="str">
        <f>IFERROR(INDEX([1]物品基础表!$A:$A,MATCH(AJ510,[1]物品基础表!$B:$B,0)),"")</f>
        <v/>
      </c>
      <c r="AN510" s="1" t="str">
        <f>IFERROR(INDEX([1]物品基础表!$A:$A,MATCH(AM510,[1]物品基础表!$B:$B,0)),"")</f>
        <v/>
      </c>
      <c r="AQ510" s="1" t="str">
        <f>IFERROR(INDEX([1]物品基础表!$A:$A,MATCH(AP510,[1]物品基础表!$B:$B,0)),"")</f>
        <v/>
      </c>
    </row>
    <row r="511" spans="1:43">
      <c r="A511" s="1" t="str">
        <f>INDEX([2]活动总表!$A$8:$A$429,MATCH(B511,[2]活动总表!$B$8:$B$429,0))</f>
        <v>（61+）春节限购4</v>
      </c>
      <c r="B511" s="1">
        <v>586</v>
      </c>
      <c r="C511" s="1">
        <v>4</v>
      </c>
      <c r="D511" s="1">
        <v>7</v>
      </c>
      <c r="E511" s="1">
        <v>0</v>
      </c>
      <c r="F511" s="1" t="s">
        <v>706</v>
      </c>
      <c r="G511" s="1">
        <v>6888</v>
      </c>
      <c r="H511" s="1">
        <v>20000</v>
      </c>
      <c r="I511" s="1">
        <v>1</v>
      </c>
      <c r="O511" s="1">
        <v>34</v>
      </c>
      <c r="X511" s="1">
        <v>200015</v>
      </c>
      <c r="Y511" s="1" t="str">
        <f>IFERROR(INDEX([1]物品基础表!$A:$A,MATCH(X511,[1]物品基础表!$B:$B,0)),"")</f>
        <v>特戒碎片</v>
      </c>
      <c r="Z511" s="1">
        <v>2000</v>
      </c>
      <c r="AB511" s="1" t="str">
        <f>IFERROR(INDEX([1]物品基础表!$A:$A,MATCH(AA511,[1]物品基础表!$B:$B,0)),"")</f>
        <v/>
      </c>
      <c r="AE511" s="1" t="str">
        <f>IFERROR(INDEX([1]物品基础表!$A:$A,MATCH(AD511,[1]物品基础表!$B:$B,0)),"")</f>
        <v/>
      </c>
      <c r="AH511" s="1" t="str">
        <f>IFERROR(INDEX([1]物品基础表!$A:$A,MATCH(AG511,[1]物品基础表!$B:$B,0)),"")</f>
        <v/>
      </c>
      <c r="AK511" s="1" t="str">
        <f>IFERROR(INDEX([1]物品基础表!$A:$A,MATCH(AJ511,[1]物品基础表!$B:$B,0)),"")</f>
        <v/>
      </c>
      <c r="AN511" s="1" t="str">
        <f>IFERROR(INDEX([1]物品基础表!$A:$A,MATCH(AM511,[1]物品基础表!$B:$B,0)),"")</f>
        <v/>
      </c>
      <c r="AQ511" s="1" t="str">
        <f>IFERROR(INDEX([1]物品基础表!$A:$A,MATCH(AP511,[1]物品基础表!$B:$B,0)),"")</f>
        <v/>
      </c>
    </row>
    <row r="512" spans="1:43">
      <c r="A512" s="1" t="str">
        <f>INDEX([2]活动总表!$A$8:$A$429,MATCH(B512,[2]活动总表!$B$8:$B$429,0))</f>
        <v>（61+）春节限购4</v>
      </c>
      <c r="B512" s="1">
        <v>586</v>
      </c>
      <c r="C512" s="1">
        <v>5</v>
      </c>
      <c r="D512" s="1">
        <v>5</v>
      </c>
      <c r="E512" s="1">
        <v>0</v>
      </c>
      <c r="F512" s="1" t="s">
        <v>706</v>
      </c>
      <c r="G512" s="1">
        <v>2888</v>
      </c>
      <c r="H512" s="1">
        <v>5000</v>
      </c>
      <c r="I512" s="1">
        <v>1</v>
      </c>
      <c r="O512" s="1">
        <v>57</v>
      </c>
      <c r="X512" s="1">
        <v>200015</v>
      </c>
      <c r="Y512" s="1" t="str">
        <f>IFERROR(INDEX([1]物品基础表!$A:$A,MATCH(X512,[1]物品基础表!$B:$B,0)),"")</f>
        <v>特戒碎片</v>
      </c>
      <c r="Z512" s="1">
        <v>500</v>
      </c>
      <c r="AB512" s="1" t="str">
        <f>IFERROR(INDEX([1]物品基础表!$A:$A,MATCH(AA512,[1]物品基础表!$B:$B,0)),"")</f>
        <v/>
      </c>
      <c r="AE512" s="1" t="str">
        <f>IFERROR(INDEX([1]物品基础表!$A:$A,MATCH(AD512,[1]物品基础表!$B:$B,0)),"")</f>
        <v/>
      </c>
      <c r="AH512" s="1" t="str">
        <f>IFERROR(INDEX([1]物品基础表!$A:$A,MATCH(AG512,[1]物品基础表!$B:$B,0)),"")</f>
        <v/>
      </c>
      <c r="AK512" s="1" t="str">
        <f>IFERROR(INDEX([1]物品基础表!$A:$A,MATCH(AJ512,[1]物品基础表!$B:$B,0)),"")</f>
        <v/>
      </c>
      <c r="AN512" s="1" t="str">
        <f>IFERROR(INDEX([1]物品基础表!$A:$A,MATCH(AM512,[1]物品基础表!$B:$B,0)),"")</f>
        <v/>
      </c>
      <c r="AQ512" s="1" t="str">
        <f>IFERROR(INDEX([1]物品基础表!$A:$A,MATCH(AP512,[1]物品基础表!$B:$B,0)),"")</f>
        <v/>
      </c>
    </row>
    <row r="513" spans="1:43">
      <c r="A513" s="1" t="str">
        <f>INDEX([2]活动总表!$A$8:$A$429,MATCH(B513,[2]活动总表!$B$8:$B$429,0))</f>
        <v>（61+）春节限购4</v>
      </c>
      <c r="B513" s="1">
        <v>586</v>
      </c>
      <c r="C513" s="1">
        <v>6</v>
      </c>
      <c r="D513" s="1">
        <v>5</v>
      </c>
      <c r="E513" s="1">
        <v>0</v>
      </c>
      <c r="F513" s="1" t="s">
        <v>706</v>
      </c>
      <c r="G513" s="1">
        <v>8888</v>
      </c>
      <c r="H513" s="1">
        <v>15000</v>
      </c>
      <c r="I513" s="1">
        <v>3</v>
      </c>
      <c r="O513" s="1">
        <v>59</v>
      </c>
      <c r="X513" s="1">
        <v>200015</v>
      </c>
      <c r="Y513" s="1" t="str">
        <f>IFERROR(INDEX([1]物品基础表!$A:$A,MATCH(X513,[1]物品基础表!$B:$B,0)),"")</f>
        <v>特戒碎片</v>
      </c>
      <c r="Z513" s="1">
        <v>1500</v>
      </c>
      <c r="AB513" s="1" t="str">
        <f>IFERROR(INDEX([1]物品基础表!$A:$A,MATCH(AA513,[1]物品基础表!$B:$B,0)),"")</f>
        <v/>
      </c>
      <c r="AE513" s="1" t="str">
        <f>IFERROR(INDEX([1]物品基础表!$A:$A,MATCH(AD513,[1]物品基础表!$B:$B,0)),"")</f>
        <v/>
      </c>
      <c r="AH513" s="1" t="str">
        <f>IFERROR(INDEX([1]物品基础表!$A:$A,MATCH(AG513,[1]物品基础表!$B:$B,0)),"")</f>
        <v/>
      </c>
      <c r="AK513" s="1" t="str">
        <f>IFERROR(INDEX([1]物品基础表!$A:$A,MATCH(AJ513,[1]物品基础表!$B:$B,0)),"")</f>
        <v/>
      </c>
      <c r="AN513" s="1" t="str">
        <f>IFERROR(INDEX([1]物品基础表!$A:$A,MATCH(AM513,[1]物品基础表!$B:$B,0)),"")</f>
        <v/>
      </c>
      <c r="AQ513" s="1" t="str">
        <f>IFERROR(INDEX([1]物品基础表!$A:$A,MATCH(AP513,[1]物品基础表!$B:$B,0)),"")</f>
        <v/>
      </c>
    </row>
    <row r="514" spans="1:43">
      <c r="A514" s="1" t="str">
        <f>INDEX([2]活动总表!$A$8:$A$429,MATCH(B514,[2]活动总表!$B$8:$B$429,0))</f>
        <v>（61+）春节限购5</v>
      </c>
      <c r="B514" s="1">
        <v>587</v>
      </c>
      <c r="C514" s="1">
        <v>1</v>
      </c>
      <c r="D514" s="1">
        <v>5</v>
      </c>
      <c r="E514" s="1">
        <v>0</v>
      </c>
      <c r="F514" s="1" t="s">
        <v>706</v>
      </c>
      <c r="G514" s="1">
        <v>888</v>
      </c>
      <c r="H514" s="1">
        <v>1500</v>
      </c>
      <c r="I514" s="1">
        <v>1</v>
      </c>
      <c r="O514" s="1">
        <v>59</v>
      </c>
      <c r="X514" s="1">
        <v>200001</v>
      </c>
      <c r="Y514" s="1" t="str">
        <f>IFERROR(INDEX([1]物品基础表!$A:$A,MATCH(X514,[1]物品基础表!$B:$B,0)),"")</f>
        <v>羽毛</v>
      </c>
      <c r="Z514" s="1">
        <v>15</v>
      </c>
      <c r="AB514" s="1" t="str">
        <f>IFERROR(INDEX([1]物品基础表!$A:$A,MATCH(AA514,[1]物品基础表!$B:$B,0)),"")</f>
        <v/>
      </c>
      <c r="AE514" s="1" t="str">
        <f>IFERROR(INDEX([1]物品基础表!$A:$A,MATCH(AD514,[1]物品基础表!$B:$B,0)),"")</f>
        <v/>
      </c>
      <c r="AH514" s="1" t="str">
        <f>IFERROR(INDEX([1]物品基础表!$A:$A,MATCH(AG514,[1]物品基础表!$B:$B,0)),"")</f>
        <v/>
      </c>
      <c r="AK514" s="1" t="str">
        <f>IFERROR(INDEX([1]物品基础表!$A:$A,MATCH(AJ514,[1]物品基础表!$B:$B,0)),"")</f>
        <v/>
      </c>
      <c r="AN514" s="1" t="str">
        <f>IFERROR(INDEX([1]物品基础表!$A:$A,MATCH(AM514,[1]物品基础表!$B:$B,0)),"")</f>
        <v/>
      </c>
      <c r="AQ514" s="1" t="str">
        <f>IFERROR(INDEX([1]物品基础表!$A:$A,MATCH(AP514,[1]物品基础表!$B:$B,0)),"")</f>
        <v/>
      </c>
    </row>
    <row r="515" spans="1:43">
      <c r="A515" s="1" t="str">
        <f>INDEX([2]活动总表!$A$8:$A$429,MATCH(B515,[2]活动总表!$B$8:$B$429,0))</f>
        <v>（61+）春节限购5</v>
      </c>
      <c r="B515" s="1">
        <v>587</v>
      </c>
      <c r="C515" s="1">
        <v>2</v>
      </c>
      <c r="D515" s="1">
        <v>8</v>
      </c>
      <c r="E515" s="1">
        <v>0</v>
      </c>
      <c r="F515" s="1" t="s">
        <v>706</v>
      </c>
      <c r="G515" s="1">
        <v>1588</v>
      </c>
      <c r="H515" s="1">
        <v>5000</v>
      </c>
      <c r="I515" s="1">
        <v>1</v>
      </c>
      <c r="O515" s="1">
        <v>31</v>
      </c>
      <c r="X515" s="1">
        <v>200001</v>
      </c>
      <c r="Y515" s="1" t="str">
        <f>IFERROR(INDEX([1]物品基础表!$A:$A,MATCH(X515,[1]物品基础表!$B:$B,0)),"")</f>
        <v>羽毛</v>
      </c>
      <c r="Z515" s="1">
        <v>50</v>
      </c>
      <c r="AB515" s="1" t="str">
        <f>IFERROR(INDEX([1]物品基础表!$A:$A,MATCH(AA515,[1]物品基础表!$B:$B,0)),"")</f>
        <v/>
      </c>
      <c r="AE515" s="1" t="str">
        <f>IFERROR(INDEX([1]物品基础表!$A:$A,MATCH(AD515,[1]物品基础表!$B:$B,0)),"")</f>
        <v/>
      </c>
      <c r="AH515" s="1" t="str">
        <f>IFERROR(INDEX([1]物品基础表!$A:$A,MATCH(AG515,[1]物品基础表!$B:$B,0)),"")</f>
        <v/>
      </c>
      <c r="AK515" s="1" t="str">
        <f>IFERROR(INDEX([1]物品基础表!$A:$A,MATCH(AJ515,[1]物品基础表!$B:$B,0)),"")</f>
        <v/>
      </c>
      <c r="AN515" s="1" t="str">
        <f>IFERROR(INDEX([1]物品基础表!$A:$A,MATCH(AM515,[1]物品基础表!$B:$B,0)),"")</f>
        <v/>
      </c>
      <c r="AQ515" s="1" t="str">
        <f>IFERROR(INDEX([1]物品基础表!$A:$A,MATCH(AP515,[1]物品基础表!$B:$B,0)),"")</f>
        <v/>
      </c>
    </row>
    <row r="516" spans="1:43">
      <c r="A516" s="1" t="str">
        <f>INDEX([2]活动总表!$A$8:$A$429,MATCH(B516,[2]活动总表!$B$8:$B$429,0))</f>
        <v>（61+）春节限购5</v>
      </c>
      <c r="B516" s="1">
        <v>587</v>
      </c>
      <c r="C516" s="1">
        <v>3</v>
      </c>
      <c r="D516" s="1">
        <v>8</v>
      </c>
      <c r="E516" s="1">
        <v>0</v>
      </c>
      <c r="F516" s="1" t="s">
        <v>706</v>
      </c>
      <c r="G516" s="1">
        <v>2888</v>
      </c>
      <c r="H516" s="1">
        <v>8500</v>
      </c>
      <c r="I516" s="1">
        <v>1</v>
      </c>
      <c r="O516" s="1">
        <v>33</v>
      </c>
      <c r="X516" s="1">
        <v>200001</v>
      </c>
      <c r="Y516" s="1" t="str">
        <f>IFERROR(INDEX([1]物品基础表!$A:$A,MATCH(X516,[1]物品基础表!$B:$B,0)),"")</f>
        <v>羽毛</v>
      </c>
      <c r="Z516" s="1">
        <v>85</v>
      </c>
      <c r="AB516" s="1" t="str">
        <f>IFERROR(INDEX([1]物品基础表!$A:$A,MATCH(AA516,[1]物品基础表!$B:$B,0)),"")</f>
        <v/>
      </c>
      <c r="AE516" s="1" t="str">
        <f>IFERROR(INDEX([1]物品基础表!$A:$A,MATCH(AD516,[1]物品基础表!$B:$B,0)),"")</f>
        <v/>
      </c>
      <c r="AH516" s="1" t="str">
        <f>IFERROR(INDEX([1]物品基础表!$A:$A,MATCH(AG516,[1]物品基础表!$B:$B,0)),"")</f>
        <v/>
      </c>
      <c r="AK516" s="1" t="str">
        <f>IFERROR(INDEX([1]物品基础表!$A:$A,MATCH(AJ516,[1]物品基础表!$B:$B,0)),"")</f>
        <v/>
      </c>
      <c r="AN516" s="1" t="str">
        <f>IFERROR(INDEX([1]物品基础表!$A:$A,MATCH(AM516,[1]物品基础表!$B:$B,0)),"")</f>
        <v/>
      </c>
      <c r="AQ516" s="1" t="str">
        <f>IFERROR(INDEX([1]物品基础表!$A:$A,MATCH(AP516,[1]物品基础表!$B:$B,0)),"")</f>
        <v/>
      </c>
    </row>
    <row r="517" spans="1:43">
      <c r="A517" s="1" t="str">
        <f>INDEX([2]活动总表!$A$8:$A$429,MATCH(B517,[2]活动总表!$B$8:$B$429,0))</f>
        <v>（61+）春节限购5</v>
      </c>
      <c r="B517" s="1">
        <v>587</v>
      </c>
      <c r="C517" s="1">
        <v>4</v>
      </c>
      <c r="D517" s="1">
        <v>8</v>
      </c>
      <c r="E517" s="1">
        <v>0</v>
      </c>
      <c r="F517" s="1" t="s">
        <v>706</v>
      </c>
      <c r="G517" s="1">
        <v>6888</v>
      </c>
      <c r="H517" s="1">
        <v>20000</v>
      </c>
      <c r="I517" s="1">
        <v>1</v>
      </c>
      <c r="O517" s="1">
        <v>34</v>
      </c>
      <c r="X517" s="1">
        <v>200001</v>
      </c>
      <c r="Y517" s="1" t="str">
        <f>IFERROR(INDEX([1]物品基础表!$A:$A,MATCH(X517,[1]物品基础表!$B:$B,0)),"")</f>
        <v>羽毛</v>
      </c>
      <c r="Z517" s="1">
        <v>200</v>
      </c>
      <c r="AB517" s="1" t="str">
        <f>IFERROR(INDEX([1]物品基础表!$A:$A,MATCH(AA517,[1]物品基础表!$B:$B,0)),"")</f>
        <v/>
      </c>
      <c r="AE517" s="1" t="str">
        <f>IFERROR(INDEX([1]物品基础表!$A:$A,MATCH(AD517,[1]物品基础表!$B:$B,0)),"")</f>
        <v/>
      </c>
      <c r="AH517" s="1" t="str">
        <f>IFERROR(INDEX([1]物品基础表!$A:$A,MATCH(AG517,[1]物品基础表!$B:$B,0)),"")</f>
        <v/>
      </c>
      <c r="AK517" s="1" t="str">
        <f>IFERROR(INDEX([1]物品基础表!$A:$A,MATCH(AJ517,[1]物品基础表!$B:$B,0)),"")</f>
        <v/>
      </c>
      <c r="AN517" s="1" t="str">
        <f>IFERROR(INDEX([1]物品基础表!$A:$A,MATCH(AM517,[1]物品基础表!$B:$B,0)),"")</f>
        <v/>
      </c>
      <c r="AQ517" s="1" t="str">
        <f>IFERROR(INDEX([1]物品基础表!$A:$A,MATCH(AP517,[1]物品基础表!$B:$B,0)),"")</f>
        <v/>
      </c>
    </row>
    <row r="518" spans="1:43">
      <c r="A518" s="1" t="str">
        <f>INDEX([2]活动总表!$A$8:$A$429,MATCH(B518,[2]活动总表!$B$8:$B$429,0))</f>
        <v>（61+）春节限购5</v>
      </c>
      <c r="B518" s="1">
        <v>587</v>
      </c>
      <c r="C518" s="1">
        <v>5</v>
      </c>
      <c r="D518" s="1">
        <v>5</v>
      </c>
      <c r="E518" s="1">
        <v>0</v>
      </c>
      <c r="F518" s="1" t="s">
        <v>706</v>
      </c>
      <c r="G518" s="1">
        <v>2888</v>
      </c>
      <c r="H518" s="1">
        <v>5000</v>
      </c>
      <c r="I518" s="1">
        <v>1</v>
      </c>
      <c r="O518" s="1">
        <v>57</v>
      </c>
      <c r="X518" s="1">
        <v>200001</v>
      </c>
      <c r="Y518" s="1" t="str">
        <f>IFERROR(INDEX([1]物品基础表!$A:$A,MATCH(X518,[1]物品基础表!$B:$B,0)),"")</f>
        <v>羽毛</v>
      </c>
      <c r="Z518" s="1">
        <v>50</v>
      </c>
      <c r="AB518" s="1" t="str">
        <f>IFERROR(INDEX([1]物品基础表!$A:$A,MATCH(AA518,[1]物品基础表!$B:$B,0)),"")</f>
        <v/>
      </c>
      <c r="AE518" s="1" t="str">
        <f>IFERROR(INDEX([1]物品基础表!$A:$A,MATCH(AD518,[1]物品基础表!$B:$B,0)),"")</f>
        <v/>
      </c>
      <c r="AH518" s="1" t="str">
        <f>IFERROR(INDEX([1]物品基础表!$A:$A,MATCH(AG518,[1]物品基础表!$B:$B,0)),"")</f>
        <v/>
      </c>
      <c r="AK518" s="1" t="str">
        <f>IFERROR(INDEX([1]物品基础表!$A:$A,MATCH(AJ518,[1]物品基础表!$B:$B,0)),"")</f>
        <v/>
      </c>
      <c r="AN518" s="1" t="str">
        <f>IFERROR(INDEX([1]物品基础表!$A:$A,MATCH(AM518,[1]物品基础表!$B:$B,0)),"")</f>
        <v/>
      </c>
      <c r="AQ518" s="1" t="str">
        <f>IFERROR(INDEX([1]物品基础表!$A:$A,MATCH(AP518,[1]物品基础表!$B:$B,0)),"")</f>
        <v/>
      </c>
    </row>
    <row r="519" spans="1:43">
      <c r="A519" s="1" t="str">
        <f>INDEX([2]活动总表!$A$8:$A$429,MATCH(B519,[2]活动总表!$B$8:$B$429,0))</f>
        <v>（61+）春节限购5</v>
      </c>
      <c r="B519" s="1">
        <v>587</v>
      </c>
      <c r="C519" s="1">
        <v>6</v>
      </c>
      <c r="D519" s="1">
        <v>5</v>
      </c>
      <c r="E519" s="1">
        <v>0</v>
      </c>
      <c r="F519" s="1" t="s">
        <v>706</v>
      </c>
      <c r="G519" s="1">
        <v>8888</v>
      </c>
      <c r="H519" s="1">
        <v>15000</v>
      </c>
      <c r="I519" s="1">
        <v>3</v>
      </c>
      <c r="O519" s="1">
        <v>59</v>
      </c>
      <c r="X519" s="1">
        <v>200001</v>
      </c>
      <c r="Y519" s="1" t="str">
        <f>IFERROR(INDEX([1]物品基础表!$A:$A,MATCH(X519,[1]物品基础表!$B:$B,0)),"")</f>
        <v>羽毛</v>
      </c>
      <c r="Z519" s="1">
        <v>150</v>
      </c>
      <c r="AB519" s="1" t="str">
        <f>IFERROR(INDEX([1]物品基础表!$A:$A,MATCH(AA519,[1]物品基础表!$B:$B,0)),"")</f>
        <v/>
      </c>
      <c r="AE519" s="1" t="str">
        <f>IFERROR(INDEX([1]物品基础表!$A:$A,MATCH(AD519,[1]物品基础表!$B:$B,0)),"")</f>
        <v/>
      </c>
      <c r="AH519" s="1" t="str">
        <f>IFERROR(INDEX([1]物品基础表!$A:$A,MATCH(AG519,[1]物品基础表!$B:$B,0)),"")</f>
        <v/>
      </c>
      <c r="AK519" s="1" t="str">
        <f>IFERROR(INDEX([1]物品基础表!$A:$A,MATCH(AJ519,[1]物品基础表!$B:$B,0)),"")</f>
        <v/>
      </c>
      <c r="AN519" s="1" t="str">
        <f>IFERROR(INDEX([1]物品基础表!$A:$A,MATCH(AM519,[1]物品基础表!$B:$B,0)),"")</f>
        <v/>
      </c>
      <c r="AQ519" s="1" t="str">
        <f>IFERROR(INDEX([1]物品基础表!$A:$A,MATCH(AP519,[1]物品基础表!$B:$B,0)),"")</f>
        <v/>
      </c>
    </row>
    <row r="520" spans="1:43">
      <c r="A520" s="1" t="str">
        <f>INDEX([2]活动总表!$A$8:$A$429,MATCH(B520,[2]活动总表!$B$8:$B$429,0))</f>
        <v>（61+）春节限购6</v>
      </c>
      <c r="B520" s="1">
        <v>588</v>
      </c>
      <c r="C520" s="1">
        <v>1</v>
      </c>
      <c r="D520" s="1">
        <v>5</v>
      </c>
      <c r="E520" s="1">
        <v>0</v>
      </c>
      <c r="F520" s="1" t="s">
        <v>706</v>
      </c>
      <c r="G520" s="1">
        <v>1288</v>
      </c>
      <c r="H520" s="1">
        <v>2000</v>
      </c>
      <c r="I520" s="1">
        <v>1</v>
      </c>
      <c r="O520" s="1">
        <v>64</v>
      </c>
      <c r="X520" s="1">
        <v>200011</v>
      </c>
      <c r="Y520" s="1" t="str">
        <f>IFERROR(INDEX([1]物品基础表!$A:$A,MATCH(X520,[1]物品基础表!$B:$B,0)),"")</f>
        <v>高级转生丹·无限制</v>
      </c>
      <c r="Z520" s="1">
        <v>2</v>
      </c>
      <c r="AB520" s="1" t="str">
        <f>IFERROR(INDEX([1]物品基础表!$A:$A,MATCH(AA520,[1]物品基础表!$B:$B,0)),"")</f>
        <v/>
      </c>
      <c r="AE520" s="1" t="str">
        <f>IFERROR(INDEX([1]物品基础表!$A:$A,MATCH(AD520,[1]物品基础表!$B:$B,0)),"")</f>
        <v/>
      </c>
      <c r="AH520" s="1" t="str">
        <f>IFERROR(INDEX([1]物品基础表!$A:$A,MATCH(AG520,[1]物品基础表!$B:$B,0)),"")</f>
        <v/>
      </c>
      <c r="AK520" s="1" t="str">
        <f>IFERROR(INDEX([1]物品基础表!$A:$A,MATCH(AJ520,[1]物品基础表!$B:$B,0)),"")</f>
        <v/>
      </c>
      <c r="AN520" s="1" t="str">
        <f>IFERROR(INDEX([1]物品基础表!$A:$A,MATCH(AM520,[1]物品基础表!$B:$B,0)),"")</f>
        <v/>
      </c>
      <c r="AQ520" s="1" t="str">
        <f>IFERROR(INDEX([1]物品基础表!$A:$A,MATCH(AP520,[1]物品基础表!$B:$B,0)),"")</f>
        <v/>
      </c>
    </row>
    <row r="521" spans="1:43">
      <c r="A521" s="1" t="str">
        <f>INDEX([2]活动总表!$A$8:$A$429,MATCH(B521,[2]活动总表!$B$8:$B$429,0))</f>
        <v>（61+）春节限购6</v>
      </c>
      <c r="B521" s="1">
        <v>588</v>
      </c>
      <c r="C521" s="1">
        <v>2</v>
      </c>
      <c r="D521" s="1">
        <v>8</v>
      </c>
      <c r="E521" s="1">
        <v>0</v>
      </c>
      <c r="F521" s="1" t="s">
        <v>706</v>
      </c>
      <c r="G521" s="1">
        <v>1588</v>
      </c>
      <c r="H521" s="1">
        <v>5000</v>
      </c>
      <c r="I521" s="1">
        <v>1</v>
      </c>
      <c r="O521" s="1">
        <v>31</v>
      </c>
      <c r="X521" s="1">
        <v>200011</v>
      </c>
      <c r="Y521" s="1" t="str">
        <f>IFERROR(INDEX([1]物品基础表!$A:$A,MATCH(X521,[1]物品基础表!$B:$B,0)),"")</f>
        <v>高级转生丹·无限制</v>
      </c>
      <c r="Z521" s="1">
        <v>5</v>
      </c>
      <c r="AB521" s="1" t="str">
        <f>IFERROR(INDEX([1]物品基础表!$A:$A,MATCH(AA521,[1]物品基础表!$B:$B,0)),"")</f>
        <v/>
      </c>
      <c r="AE521" s="1" t="str">
        <f>IFERROR(INDEX([1]物品基础表!$A:$A,MATCH(AD521,[1]物品基础表!$B:$B,0)),"")</f>
        <v/>
      </c>
      <c r="AH521" s="1" t="str">
        <f>IFERROR(INDEX([1]物品基础表!$A:$A,MATCH(AG521,[1]物品基础表!$B:$B,0)),"")</f>
        <v/>
      </c>
      <c r="AK521" s="1" t="str">
        <f>IFERROR(INDEX([1]物品基础表!$A:$A,MATCH(AJ521,[1]物品基础表!$B:$B,0)),"")</f>
        <v/>
      </c>
      <c r="AN521" s="1" t="str">
        <f>IFERROR(INDEX([1]物品基础表!$A:$A,MATCH(AM521,[1]物品基础表!$B:$B,0)),"")</f>
        <v/>
      </c>
      <c r="AQ521" s="1" t="str">
        <f>IFERROR(INDEX([1]物品基础表!$A:$A,MATCH(AP521,[1]物品基础表!$B:$B,0)),"")</f>
        <v/>
      </c>
    </row>
    <row r="522" spans="1:43">
      <c r="A522" s="1" t="str">
        <f>INDEX([2]活动总表!$A$8:$A$429,MATCH(B522,[2]活动总表!$B$8:$B$429,0))</f>
        <v>（61+）春节限购6</v>
      </c>
      <c r="B522" s="1">
        <v>588</v>
      </c>
      <c r="C522" s="1">
        <v>3</v>
      </c>
      <c r="D522" s="1">
        <v>8</v>
      </c>
      <c r="E522" s="1">
        <v>0</v>
      </c>
      <c r="F522" s="1" t="s">
        <v>706</v>
      </c>
      <c r="G522" s="1">
        <v>2888</v>
      </c>
      <c r="H522" s="1">
        <v>8000</v>
      </c>
      <c r="I522" s="1">
        <v>1</v>
      </c>
      <c r="O522" s="1">
        <v>36</v>
      </c>
      <c r="X522" s="1">
        <v>200011</v>
      </c>
      <c r="Y522" s="1" t="str">
        <f>IFERROR(INDEX([1]物品基础表!$A:$A,MATCH(X522,[1]物品基础表!$B:$B,0)),"")</f>
        <v>高级转生丹·无限制</v>
      </c>
      <c r="Z522" s="1">
        <v>8</v>
      </c>
      <c r="AB522" s="1" t="str">
        <f>IFERROR(INDEX([1]物品基础表!$A:$A,MATCH(AA522,[1]物品基础表!$B:$B,0)),"")</f>
        <v/>
      </c>
      <c r="AE522" s="1" t="str">
        <f>IFERROR(INDEX([1]物品基础表!$A:$A,MATCH(AD522,[1]物品基础表!$B:$B,0)),"")</f>
        <v/>
      </c>
      <c r="AH522" s="1" t="str">
        <f>IFERROR(INDEX([1]物品基础表!$A:$A,MATCH(AG522,[1]物品基础表!$B:$B,0)),"")</f>
        <v/>
      </c>
      <c r="AK522" s="1" t="str">
        <f>IFERROR(INDEX([1]物品基础表!$A:$A,MATCH(AJ522,[1]物品基础表!$B:$B,0)),"")</f>
        <v/>
      </c>
      <c r="AN522" s="1" t="str">
        <f>IFERROR(INDEX([1]物品基础表!$A:$A,MATCH(AM522,[1]物品基础表!$B:$B,0)),"")</f>
        <v/>
      </c>
      <c r="AQ522" s="1" t="str">
        <f>IFERROR(INDEX([1]物品基础表!$A:$A,MATCH(AP522,[1]物品基础表!$B:$B,0)),"")</f>
        <v/>
      </c>
    </row>
    <row r="523" spans="1:43">
      <c r="A523" s="1" t="str">
        <f>INDEX([2]活动总表!$A$8:$A$429,MATCH(B523,[2]活动总表!$B$8:$B$429,0))</f>
        <v>（61+）春节限购6</v>
      </c>
      <c r="B523" s="1">
        <v>588</v>
      </c>
      <c r="C523" s="1">
        <v>4</v>
      </c>
      <c r="D523" s="1">
        <v>8</v>
      </c>
      <c r="E523" s="1">
        <v>0</v>
      </c>
      <c r="F523" s="1" t="s">
        <v>706</v>
      </c>
      <c r="G523" s="1">
        <v>6888</v>
      </c>
      <c r="H523" s="1">
        <v>18000</v>
      </c>
      <c r="I523" s="1">
        <v>1</v>
      </c>
      <c r="O523" s="1">
        <v>38</v>
      </c>
      <c r="X523" s="1">
        <v>200011</v>
      </c>
      <c r="Y523" s="1" t="str">
        <f>IFERROR(INDEX([1]物品基础表!$A:$A,MATCH(X523,[1]物品基础表!$B:$B,0)),"")</f>
        <v>高级转生丹·无限制</v>
      </c>
      <c r="Z523" s="1">
        <v>18</v>
      </c>
      <c r="AB523" s="1" t="str">
        <f>IFERROR(INDEX([1]物品基础表!$A:$A,MATCH(AA523,[1]物品基础表!$B:$B,0)),"")</f>
        <v/>
      </c>
      <c r="AE523" s="1" t="str">
        <f>IFERROR(INDEX([1]物品基础表!$A:$A,MATCH(AD523,[1]物品基础表!$B:$B,0)),"")</f>
        <v/>
      </c>
      <c r="AH523" s="1" t="str">
        <f>IFERROR(INDEX([1]物品基础表!$A:$A,MATCH(AG523,[1]物品基础表!$B:$B,0)),"")</f>
        <v/>
      </c>
      <c r="AK523" s="1" t="str">
        <f>IFERROR(INDEX([1]物品基础表!$A:$A,MATCH(AJ523,[1]物品基础表!$B:$B,0)),"")</f>
        <v/>
      </c>
      <c r="AN523" s="1" t="str">
        <f>IFERROR(INDEX([1]物品基础表!$A:$A,MATCH(AM523,[1]物品基础表!$B:$B,0)),"")</f>
        <v/>
      </c>
      <c r="AQ523" s="1" t="str">
        <f>IFERROR(INDEX([1]物品基础表!$A:$A,MATCH(AP523,[1]物品基础表!$B:$B,0)),"")</f>
        <v/>
      </c>
    </row>
    <row r="524" spans="1:43">
      <c r="A524" s="1" t="str">
        <f>INDEX([2]活动总表!$A$8:$A$429,MATCH(B524,[2]活动总表!$B$8:$B$429,0))</f>
        <v>（61+）春节限购6</v>
      </c>
      <c r="B524" s="1">
        <v>588</v>
      </c>
      <c r="C524" s="1">
        <v>5</v>
      </c>
      <c r="D524" s="1">
        <v>5</v>
      </c>
      <c r="E524" s="1">
        <v>0</v>
      </c>
      <c r="F524" s="1" t="s">
        <v>706</v>
      </c>
      <c r="G524" s="1">
        <v>2888</v>
      </c>
      <c r="H524" s="1">
        <v>5000</v>
      </c>
      <c r="I524" s="1">
        <v>1</v>
      </c>
      <c r="O524" s="1">
        <v>57</v>
      </c>
      <c r="X524" s="1">
        <v>200011</v>
      </c>
      <c r="Y524" s="1" t="str">
        <f>IFERROR(INDEX([1]物品基础表!$A:$A,MATCH(X524,[1]物品基础表!$B:$B,0)),"")</f>
        <v>高级转生丹·无限制</v>
      </c>
      <c r="Z524" s="1">
        <v>5</v>
      </c>
      <c r="AB524" s="1" t="str">
        <f>IFERROR(INDEX([1]物品基础表!$A:$A,MATCH(AA524,[1]物品基础表!$B:$B,0)),"")</f>
        <v/>
      </c>
      <c r="AE524" s="1" t="str">
        <f>IFERROR(INDEX([1]物品基础表!$A:$A,MATCH(AD524,[1]物品基础表!$B:$B,0)),"")</f>
        <v/>
      </c>
      <c r="AH524" s="1" t="str">
        <f>IFERROR(INDEX([1]物品基础表!$A:$A,MATCH(AG524,[1]物品基础表!$B:$B,0)),"")</f>
        <v/>
      </c>
      <c r="AK524" s="1" t="str">
        <f>IFERROR(INDEX([1]物品基础表!$A:$A,MATCH(AJ524,[1]物品基础表!$B:$B,0)),"")</f>
        <v/>
      </c>
      <c r="AN524" s="1" t="str">
        <f>IFERROR(INDEX([1]物品基础表!$A:$A,MATCH(AM524,[1]物品基础表!$B:$B,0)),"")</f>
        <v/>
      </c>
      <c r="AQ524" s="1" t="str">
        <f>IFERROR(INDEX([1]物品基础表!$A:$A,MATCH(AP524,[1]物品基础表!$B:$B,0)),"")</f>
        <v/>
      </c>
    </row>
    <row r="525" spans="1:43">
      <c r="A525" s="1" t="str">
        <f>INDEX([2]活动总表!$A$8:$A$429,MATCH(B525,[2]活动总表!$B$8:$B$429,0))</f>
        <v>（61+）春节限购6</v>
      </c>
      <c r="B525" s="1">
        <v>588</v>
      </c>
      <c r="C525" s="1">
        <v>6</v>
      </c>
      <c r="D525" s="1">
        <v>5</v>
      </c>
      <c r="E525" s="1">
        <v>0</v>
      </c>
      <c r="F525" s="1" t="s">
        <v>706</v>
      </c>
      <c r="G525" s="1">
        <v>8888</v>
      </c>
      <c r="H525" s="1">
        <v>14998</v>
      </c>
      <c r="I525" s="1">
        <v>3</v>
      </c>
      <c r="O525" s="1">
        <v>59</v>
      </c>
      <c r="X525" s="1">
        <v>200012</v>
      </c>
      <c r="Y525" s="1" t="str">
        <f>IFERROR(INDEX([1]物品基础表!$A:$A,MATCH(X525,[1]物品基础表!$B:$B,0)),"")</f>
        <v>超级转生丹·无限制</v>
      </c>
      <c r="Z525" s="1">
        <v>1</v>
      </c>
      <c r="AA525" s="1">
        <v>200011</v>
      </c>
      <c r="AB525" s="1" t="str">
        <f>IFERROR(INDEX([1]物品基础表!$A:$A,MATCH(AA525,[1]物品基础表!$B:$B,0)),"")</f>
        <v>高级转生丹·无限制</v>
      </c>
      <c r="AC525" s="1">
        <v>5</v>
      </c>
      <c r="AE525" s="1" t="str">
        <f>IFERROR(INDEX([1]物品基础表!$A:$A,MATCH(AD525,[1]物品基础表!$B:$B,0)),"")</f>
        <v/>
      </c>
      <c r="AH525" s="1" t="str">
        <f>IFERROR(INDEX([1]物品基础表!$A:$A,MATCH(AG525,[1]物品基础表!$B:$B,0)),"")</f>
        <v/>
      </c>
      <c r="AK525" s="1" t="str">
        <f>IFERROR(INDEX([1]物品基础表!$A:$A,MATCH(AJ525,[1]物品基础表!$B:$B,0)),"")</f>
        <v/>
      </c>
      <c r="AN525" s="1" t="str">
        <f>IFERROR(INDEX([1]物品基础表!$A:$A,MATCH(AM525,[1]物品基础表!$B:$B,0)),"")</f>
        <v/>
      </c>
      <c r="AQ525" s="1" t="str">
        <f>IFERROR(INDEX([1]物品基础表!$A:$A,MATCH(AP525,[1]物品基础表!$B:$B,0)),"")</f>
        <v/>
      </c>
    </row>
    <row r="526" spans="1:43">
      <c r="A526" s="1" t="str">
        <f>INDEX([2]活动总表!$A$8:$A$429,MATCH(B526,[2]活动总表!$B$8:$B$429,0))</f>
        <v>（61+）春节限购7</v>
      </c>
      <c r="B526" s="1">
        <v>589</v>
      </c>
      <c r="C526" s="1">
        <v>1</v>
      </c>
      <c r="D526" s="1">
        <v>5</v>
      </c>
      <c r="E526" s="1">
        <v>0</v>
      </c>
      <c r="F526" s="1" t="s">
        <v>706</v>
      </c>
      <c r="G526" s="1">
        <v>888</v>
      </c>
      <c r="H526" s="1">
        <v>1500</v>
      </c>
      <c r="I526" s="1">
        <v>1</v>
      </c>
      <c r="O526" s="1">
        <v>59</v>
      </c>
      <c r="X526" s="1">
        <v>601000</v>
      </c>
      <c r="Y526" s="1" t="str">
        <f>IFERROR(INDEX([1]物品基础表!$A:$A,MATCH(X526,[1]物品基础表!$B:$B,0)),"")</f>
        <v>神羽碎片</v>
      </c>
      <c r="Z526" s="1">
        <v>6</v>
      </c>
      <c r="AB526" s="1" t="str">
        <f>IFERROR(INDEX([1]物品基础表!$A:$A,MATCH(AA526,[1]物品基础表!$B:$B,0)),"")</f>
        <v/>
      </c>
      <c r="AE526" s="1" t="str">
        <f>IFERROR(INDEX([1]物品基础表!$A:$A,MATCH(AD526,[1]物品基础表!$B:$B,0)),"")</f>
        <v/>
      </c>
      <c r="AH526" s="1" t="str">
        <f>IFERROR(INDEX([1]物品基础表!$A:$A,MATCH(AG526,[1]物品基础表!$B:$B,0)),"")</f>
        <v/>
      </c>
      <c r="AK526" s="1" t="str">
        <f>IFERROR(INDEX([1]物品基础表!$A:$A,MATCH(AJ526,[1]物品基础表!$B:$B,0)),"")</f>
        <v/>
      </c>
      <c r="AN526" s="1" t="str">
        <f>IFERROR(INDEX([1]物品基础表!$A:$A,MATCH(AM526,[1]物品基础表!$B:$B,0)),"")</f>
        <v/>
      </c>
      <c r="AQ526" s="1" t="str">
        <f>IFERROR(INDEX([1]物品基础表!$A:$A,MATCH(AP526,[1]物品基础表!$B:$B,0)),"")</f>
        <v/>
      </c>
    </row>
    <row r="527" spans="1:43">
      <c r="A527" s="1" t="str">
        <f>INDEX([2]活动总表!$A$8:$A$429,MATCH(B527,[2]活动总表!$B$8:$B$429,0))</f>
        <v>（61+）春节限购7</v>
      </c>
      <c r="B527" s="1">
        <v>589</v>
      </c>
      <c r="C527" s="1">
        <v>2</v>
      </c>
      <c r="D527" s="1">
        <v>8</v>
      </c>
      <c r="E527" s="1">
        <v>0</v>
      </c>
      <c r="F527" s="1" t="s">
        <v>706</v>
      </c>
      <c r="G527" s="1">
        <v>1588</v>
      </c>
      <c r="H527" s="1">
        <v>5000</v>
      </c>
      <c r="I527" s="1">
        <v>1</v>
      </c>
      <c r="O527" s="1">
        <v>31</v>
      </c>
      <c r="X527" s="1">
        <v>601000</v>
      </c>
      <c r="Y527" s="1" t="str">
        <f>IFERROR(INDEX([1]物品基础表!$A:$A,MATCH(X527,[1]物品基础表!$B:$B,0)),"")</f>
        <v>神羽碎片</v>
      </c>
      <c r="Z527" s="1">
        <v>20</v>
      </c>
      <c r="AB527" s="1" t="str">
        <f>IFERROR(INDEX([1]物品基础表!$A:$A,MATCH(AA527,[1]物品基础表!$B:$B,0)),"")</f>
        <v/>
      </c>
      <c r="AE527" s="1" t="str">
        <f>IFERROR(INDEX([1]物品基础表!$A:$A,MATCH(AD527,[1]物品基础表!$B:$B,0)),"")</f>
        <v/>
      </c>
      <c r="AH527" s="1" t="str">
        <f>IFERROR(INDEX([1]物品基础表!$A:$A,MATCH(AG527,[1]物品基础表!$B:$B,0)),"")</f>
        <v/>
      </c>
      <c r="AK527" s="1" t="str">
        <f>IFERROR(INDEX([1]物品基础表!$A:$A,MATCH(AJ527,[1]物品基础表!$B:$B,0)),"")</f>
        <v/>
      </c>
      <c r="AN527" s="1" t="str">
        <f>IFERROR(INDEX([1]物品基础表!$A:$A,MATCH(AM527,[1]物品基础表!$B:$B,0)),"")</f>
        <v/>
      </c>
      <c r="AQ527" s="1" t="str">
        <f>IFERROR(INDEX([1]物品基础表!$A:$A,MATCH(AP527,[1]物品基础表!$B:$B,0)),"")</f>
        <v/>
      </c>
    </row>
    <row r="528" spans="1:43">
      <c r="A528" s="1" t="str">
        <f>INDEX([2]活动总表!$A$8:$A$429,MATCH(B528,[2]活动总表!$B$8:$B$429,0))</f>
        <v>（61+）春节限购7</v>
      </c>
      <c r="B528" s="1">
        <v>589</v>
      </c>
      <c r="C528" s="1">
        <v>3</v>
      </c>
      <c r="D528" s="1">
        <v>8</v>
      </c>
      <c r="E528" s="1">
        <v>0</v>
      </c>
      <c r="F528" s="1" t="s">
        <v>706</v>
      </c>
      <c r="G528" s="1">
        <v>2888</v>
      </c>
      <c r="H528" s="1">
        <v>8750</v>
      </c>
      <c r="I528" s="1">
        <v>1</v>
      </c>
      <c r="O528" s="1">
        <v>33</v>
      </c>
      <c r="X528" s="1">
        <v>601000</v>
      </c>
      <c r="Y528" s="1" t="str">
        <f>IFERROR(INDEX([1]物品基础表!$A:$A,MATCH(X528,[1]物品基础表!$B:$B,0)),"")</f>
        <v>神羽碎片</v>
      </c>
      <c r="Z528" s="1">
        <v>35</v>
      </c>
      <c r="AB528" s="1" t="str">
        <f>IFERROR(INDEX([1]物品基础表!$A:$A,MATCH(AA528,[1]物品基础表!$B:$B,0)),"")</f>
        <v/>
      </c>
      <c r="AE528" s="1" t="str">
        <f>IFERROR(INDEX([1]物品基础表!$A:$A,MATCH(AD528,[1]物品基础表!$B:$B,0)),"")</f>
        <v/>
      </c>
      <c r="AH528" s="1" t="str">
        <f>IFERROR(INDEX([1]物品基础表!$A:$A,MATCH(AG528,[1]物品基础表!$B:$B,0)),"")</f>
        <v/>
      </c>
      <c r="AK528" s="1" t="str">
        <f>IFERROR(INDEX([1]物品基础表!$A:$A,MATCH(AJ528,[1]物品基础表!$B:$B,0)),"")</f>
        <v/>
      </c>
      <c r="AN528" s="1" t="str">
        <f>IFERROR(INDEX([1]物品基础表!$A:$A,MATCH(AM528,[1]物品基础表!$B:$B,0)),"")</f>
        <v/>
      </c>
      <c r="AQ528" s="1" t="str">
        <f>IFERROR(INDEX([1]物品基础表!$A:$A,MATCH(AP528,[1]物品基础表!$B:$B,0)),"")</f>
        <v/>
      </c>
    </row>
    <row r="529" spans="1:44">
      <c r="A529" s="1" t="str">
        <f>INDEX([2]活动总表!$A$8:$A$429,MATCH(B529,[2]活动总表!$B$8:$B$429,0))</f>
        <v>（61+）春节限购7</v>
      </c>
      <c r="B529" s="1">
        <v>589</v>
      </c>
      <c r="C529" s="1">
        <v>4</v>
      </c>
      <c r="D529" s="1">
        <v>8</v>
      </c>
      <c r="E529" s="1">
        <v>0</v>
      </c>
      <c r="F529" s="1" t="s">
        <v>706</v>
      </c>
      <c r="G529" s="1">
        <v>6888</v>
      </c>
      <c r="H529" s="1">
        <v>20000</v>
      </c>
      <c r="I529" s="1">
        <v>1</v>
      </c>
      <c r="O529" s="1">
        <v>34</v>
      </c>
      <c r="X529" s="1">
        <v>601000</v>
      </c>
      <c r="Y529" s="1" t="str">
        <f>IFERROR(INDEX([1]物品基础表!$A:$A,MATCH(X529,[1]物品基础表!$B:$B,0)),"")</f>
        <v>神羽碎片</v>
      </c>
      <c r="Z529" s="1">
        <v>80</v>
      </c>
      <c r="AB529" s="1" t="str">
        <f>IFERROR(INDEX([1]物品基础表!$A:$A,MATCH(AA529,[1]物品基础表!$B:$B,0)),"")</f>
        <v/>
      </c>
      <c r="AE529" s="1" t="str">
        <f>IFERROR(INDEX([1]物品基础表!$A:$A,MATCH(AD529,[1]物品基础表!$B:$B,0)),"")</f>
        <v/>
      </c>
      <c r="AH529" s="1" t="str">
        <f>IFERROR(INDEX([1]物品基础表!$A:$A,MATCH(AG529,[1]物品基础表!$B:$B,0)),"")</f>
        <v/>
      </c>
      <c r="AK529" s="1" t="str">
        <f>IFERROR(INDEX([1]物品基础表!$A:$A,MATCH(AJ529,[1]物品基础表!$B:$B,0)),"")</f>
        <v/>
      </c>
      <c r="AN529" s="1" t="str">
        <f>IFERROR(INDEX([1]物品基础表!$A:$A,MATCH(AM529,[1]物品基础表!$B:$B,0)),"")</f>
        <v/>
      </c>
      <c r="AQ529" s="1" t="str">
        <f>IFERROR(INDEX([1]物品基础表!$A:$A,MATCH(AP529,[1]物品基础表!$B:$B,0)),"")</f>
        <v/>
      </c>
    </row>
    <row r="530" spans="1:44">
      <c r="A530" s="1" t="str">
        <f>INDEX([2]活动总表!$A$8:$A$429,MATCH(B530,[2]活动总表!$B$8:$B$429,0))</f>
        <v>（61+）春节限购7</v>
      </c>
      <c r="B530" s="1">
        <v>589</v>
      </c>
      <c r="C530" s="1">
        <v>5</v>
      </c>
      <c r="D530" s="1">
        <v>5</v>
      </c>
      <c r="E530" s="1">
        <v>0</v>
      </c>
      <c r="F530" s="1" t="s">
        <v>706</v>
      </c>
      <c r="G530" s="1">
        <v>2888</v>
      </c>
      <c r="H530" s="1">
        <v>5000</v>
      </c>
      <c r="I530" s="1">
        <v>1</v>
      </c>
      <c r="O530" s="1">
        <v>57</v>
      </c>
      <c r="X530" s="1">
        <v>601000</v>
      </c>
      <c r="Y530" s="1" t="str">
        <f>IFERROR(INDEX([1]物品基础表!$A:$A,MATCH(X530,[1]物品基础表!$B:$B,0)),"")</f>
        <v>神羽碎片</v>
      </c>
      <c r="Z530" s="1">
        <v>20</v>
      </c>
      <c r="AB530" s="1" t="str">
        <f>IFERROR(INDEX([1]物品基础表!$A:$A,MATCH(AA530,[1]物品基础表!$B:$B,0)),"")</f>
        <v/>
      </c>
      <c r="AE530" s="1" t="str">
        <f>IFERROR(INDEX([1]物品基础表!$A:$A,MATCH(AD530,[1]物品基础表!$B:$B,0)),"")</f>
        <v/>
      </c>
      <c r="AH530" s="1" t="str">
        <f>IFERROR(INDEX([1]物品基础表!$A:$A,MATCH(AG530,[1]物品基础表!$B:$B,0)),"")</f>
        <v/>
      </c>
      <c r="AK530" s="1" t="str">
        <f>IFERROR(INDEX([1]物品基础表!$A:$A,MATCH(AJ530,[1]物品基础表!$B:$B,0)),"")</f>
        <v/>
      </c>
      <c r="AN530" s="1" t="str">
        <f>IFERROR(INDEX([1]物品基础表!$A:$A,MATCH(AM530,[1]物品基础表!$B:$B,0)),"")</f>
        <v/>
      </c>
      <c r="AQ530" s="1" t="str">
        <f>IFERROR(INDEX([1]物品基础表!$A:$A,MATCH(AP530,[1]物品基础表!$B:$B,0)),"")</f>
        <v/>
      </c>
    </row>
    <row r="531" spans="1:44">
      <c r="A531" s="1" t="str">
        <f>INDEX([2]活动总表!$A$8:$A$429,MATCH(B531,[2]活动总表!$B$8:$B$429,0))</f>
        <v>（61+）春节限购7</v>
      </c>
      <c r="B531" s="1">
        <v>589</v>
      </c>
      <c r="C531" s="1">
        <v>6</v>
      </c>
      <c r="D531" s="1">
        <v>5</v>
      </c>
      <c r="E531" s="1">
        <v>0</v>
      </c>
      <c r="F531" s="1" t="s">
        <v>706</v>
      </c>
      <c r="G531" s="1">
        <v>8888</v>
      </c>
      <c r="H531" s="1">
        <v>15000</v>
      </c>
      <c r="I531" s="1">
        <v>1</v>
      </c>
      <c r="O531" s="1">
        <v>59</v>
      </c>
      <c r="X531" s="1">
        <v>601603</v>
      </c>
      <c r="Y531" s="1" t="str">
        <f>IFERROR(INDEX([1]物品基础表!$A:$A,MATCH(X531,[1]物品基础表!$B:$B,0)),"")</f>
        <v>2阶神羽宝箱</v>
      </c>
      <c r="Z531" s="1">
        <v>1</v>
      </c>
      <c r="AB531" s="1" t="str">
        <f>IFERROR(INDEX([1]物品基础表!$A:$A,MATCH(AA531,[1]物品基础表!$B:$B,0)),"")</f>
        <v/>
      </c>
      <c r="AE531" s="1" t="str">
        <f>IFERROR(INDEX([1]物品基础表!$A:$A,MATCH(AD531,[1]物品基础表!$B:$B,0)),"")</f>
        <v/>
      </c>
      <c r="AH531" s="1" t="str">
        <f>IFERROR(INDEX([1]物品基础表!$A:$A,MATCH(AG531,[1]物品基础表!$B:$B,0)),"")</f>
        <v/>
      </c>
      <c r="AK531" s="1" t="str">
        <f>IFERROR(INDEX([1]物品基础表!$A:$A,MATCH(AJ531,[1]物品基础表!$B:$B,0)),"")</f>
        <v/>
      </c>
      <c r="AN531" s="1" t="str">
        <f>IFERROR(INDEX([1]物品基础表!$A:$A,MATCH(AM531,[1]物品基础表!$B:$B,0)),"")</f>
        <v/>
      </c>
      <c r="AQ531" s="1" t="str">
        <f>IFERROR(INDEX([1]物品基础表!$A:$A,MATCH(AP531,[1]物品基础表!$B:$B,0)),"")</f>
        <v/>
      </c>
    </row>
    <row r="532" spans="1:44">
      <c r="A532" s="1" t="str">
        <f>INDEX([2]活动总表!$A$8:$A$429,MATCH(B532,[2]活动总表!$B$8:$B$429,0))</f>
        <v>（61+）春节限购8</v>
      </c>
      <c r="B532" s="1">
        <v>590</v>
      </c>
      <c r="C532" s="1">
        <v>1</v>
      </c>
      <c r="D532" s="1">
        <v>5</v>
      </c>
      <c r="E532" s="1">
        <v>0</v>
      </c>
      <c r="F532" s="1" t="s">
        <v>706</v>
      </c>
      <c r="G532" s="1">
        <v>1288</v>
      </c>
      <c r="H532" s="1">
        <v>2000</v>
      </c>
      <c r="I532" s="1">
        <v>1</v>
      </c>
      <c r="O532" s="1">
        <v>64</v>
      </c>
      <c r="X532" s="1">
        <v>205000</v>
      </c>
      <c r="Y532" s="1" t="str">
        <f>IFERROR(INDEX([1]物品基础表!$A:$A,MATCH(X532,[1]物品基础表!$B:$B,0)),"")</f>
        <v>战灵进阶丹</v>
      </c>
      <c r="Z532" s="1">
        <v>25</v>
      </c>
      <c r="AB532" s="1" t="str">
        <f>IFERROR(INDEX([1]物品基础表!$A:$A,MATCH(AA532,[1]物品基础表!$B:$B,0)),"")</f>
        <v/>
      </c>
      <c r="AE532" s="1" t="str">
        <f>IFERROR(INDEX([1]物品基础表!$A:$A,MATCH(AD532,[1]物品基础表!$B:$B,0)),"")</f>
        <v/>
      </c>
      <c r="AH532" s="1" t="str">
        <f>IFERROR(INDEX([1]物品基础表!$A:$A,MATCH(AG532,[1]物品基础表!$B:$B,0)),"")</f>
        <v/>
      </c>
      <c r="AK532" s="1" t="str">
        <f>IFERROR(INDEX([1]物品基础表!$A:$A,MATCH(AJ532,[1]物品基础表!$B:$B,0)),"")</f>
        <v/>
      </c>
      <c r="AN532" s="1" t="str">
        <f>IFERROR(INDEX([1]物品基础表!$A:$A,MATCH(AM532,[1]物品基础表!$B:$B,0)),"")</f>
        <v/>
      </c>
      <c r="AQ532" s="1" t="str">
        <f>IFERROR(INDEX([1]物品基础表!$A:$A,MATCH(AP532,[1]物品基础表!$B:$B,0)),"")</f>
        <v/>
      </c>
    </row>
    <row r="533" spans="1:44">
      <c r="A533" s="1" t="str">
        <f>INDEX([2]活动总表!$A$8:$A$429,MATCH(B533,[2]活动总表!$B$8:$B$429,0))</f>
        <v>（61+）春节限购8</v>
      </c>
      <c r="B533" s="1">
        <v>590</v>
      </c>
      <c r="C533" s="1">
        <v>2</v>
      </c>
      <c r="D533" s="1">
        <v>8</v>
      </c>
      <c r="E533" s="1">
        <v>0</v>
      </c>
      <c r="F533" s="1" t="s">
        <v>706</v>
      </c>
      <c r="G533" s="1">
        <v>1588</v>
      </c>
      <c r="H533" s="1">
        <v>4800</v>
      </c>
      <c r="I533" s="1">
        <v>1</v>
      </c>
      <c r="O533" s="1">
        <v>33</v>
      </c>
      <c r="X533" s="1">
        <v>205000</v>
      </c>
      <c r="Y533" s="1" t="str">
        <f>IFERROR(INDEX([1]物品基础表!$A:$A,MATCH(X533,[1]物品基础表!$B:$B,0)),"")</f>
        <v>战灵进阶丹</v>
      </c>
      <c r="Z533" s="1">
        <v>60</v>
      </c>
      <c r="AB533" s="1" t="str">
        <f>IFERROR(INDEX([1]物品基础表!$A:$A,MATCH(AA533,[1]物品基础表!$B:$B,0)),"")</f>
        <v/>
      </c>
      <c r="AE533" s="1" t="str">
        <f>IFERROR(INDEX([1]物品基础表!$A:$A,MATCH(AD533,[1]物品基础表!$B:$B,0)),"")</f>
        <v/>
      </c>
      <c r="AH533" s="1" t="str">
        <f>IFERROR(INDEX([1]物品基础表!$A:$A,MATCH(AG533,[1]物品基础表!$B:$B,0)),"")</f>
        <v/>
      </c>
      <c r="AK533" s="1" t="str">
        <f>IFERROR(INDEX([1]物品基础表!$A:$A,MATCH(AJ533,[1]物品基础表!$B:$B,0)),"")</f>
        <v/>
      </c>
      <c r="AN533" s="1" t="str">
        <f>IFERROR(INDEX([1]物品基础表!$A:$A,MATCH(AM533,[1]物品基础表!$B:$B,0)),"")</f>
        <v/>
      </c>
      <c r="AQ533" s="1" t="str">
        <f>IFERROR(INDEX([1]物品基础表!$A:$A,MATCH(AP533,[1]物品基础表!$B:$B,0)),"")</f>
        <v/>
      </c>
    </row>
    <row r="534" spans="1:44">
      <c r="A534" s="1" t="str">
        <f>INDEX([2]活动总表!$A$8:$A$429,MATCH(B534,[2]活动总表!$B$8:$B$429,0))</f>
        <v>（61+）春节限购8</v>
      </c>
      <c r="B534" s="1">
        <v>590</v>
      </c>
      <c r="C534" s="1">
        <v>3</v>
      </c>
      <c r="D534" s="1">
        <v>8</v>
      </c>
      <c r="E534" s="1">
        <v>0</v>
      </c>
      <c r="F534" s="1" t="s">
        <v>706</v>
      </c>
      <c r="G534" s="1">
        <v>2888</v>
      </c>
      <c r="H534" s="1">
        <v>8000</v>
      </c>
      <c r="I534" s="1">
        <v>1</v>
      </c>
      <c r="O534" s="1">
        <v>36</v>
      </c>
      <c r="X534" s="1">
        <v>205000</v>
      </c>
      <c r="Y534" s="1" t="str">
        <f>IFERROR(INDEX([1]物品基础表!$A:$A,MATCH(X534,[1]物品基础表!$B:$B,0)),"")</f>
        <v>战灵进阶丹</v>
      </c>
      <c r="Z534" s="1">
        <v>100</v>
      </c>
      <c r="AB534" s="1" t="str">
        <f>IFERROR(INDEX([1]物品基础表!$A:$A,MATCH(AA534,[1]物品基础表!$B:$B,0)),"")</f>
        <v/>
      </c>
      <c r="AE534" s="1" t="str">
        <f>IFERROR(INDEX([1]物品基础表!$A:$A,MATCH(AD534,[1]物品基础表!$B:$B,0)),"")</f>
        <v/>
      </c>
      <c r="AH534" s="1" t="str">
        <f>IFERROR(INDEX([1]物品基础表!$A:$A,MATCH(AG534,[1]物品基础表!$B:$B,0)),"")</f>
        <v/>
      </c>
      <c r="AK534" s="1" t="str">
        <f>IFERROR(INDEX([1]物品基础表!$A:$A,MATCH(AJ534,[1]物品基础表!$B:$B,0)),"")</f>
        <v/>
      </c>
      <c r="AN534" s="1" t="str">
        <f>IFERROR(INDEX([1]物品基础表!$A:$A,MATCH(AM534,[1]物品基础表!$B:$B,0)),"")</f>
        <v/>
      </c>
      <c r="AQ534" s="1" t="str">
        <f>IFERROR(INDEX([1]物品基础表!$A:$A,MATCH(AP534,[1]物品基础表!$B:$B,0)),"")</f>
        <v/>
      </c>
    </row>
    <row r="535" spans="1:44">
      <c r="A535" s="1" t="str">
        <f>INDEX([2]活动总表!$A$8:$A$429,MATCH(B535,[2]活动总表!$B$8:$B$429,0))</f>
        <v>（61+）春节限购8</v>
      </c>
      <c r="B535" s="1">
        <v>590</v>
      </c>
      <c r="C535" s="1">
        <v>4</v>
      </c>
      <c r="D535" s="1">
        <v>8</v>
      </c>
      <c r="E535" s="1">
        <v>0</v>
      </c>
      <c r="F535" s="1" t="s">
        <v>706</v>
      </c>
      <c r="G535" s="1">
        <v>6888</v>
      </c>
      <c r="H535" s="1">
        <v>17600</v>
      </c>
      <c r="I535" s="1">
        <v>1</v>
      </c>
      <c r="O535" s="1">
        <v>39</v>
      </c>
      <c r="X535" s="1">
        <v>205000</v>
      </c>
      <c r="Y535" s="1" t="str">
        <f>IFERROR(INDEX([1]物品基础表!$A:$A,MATCH(X535,[1]物品基础表!$B:$B,0)),"")</f>
        <v>战灵进阶丹</v>
      </c>
      <c r="Z535" s="1">
        <v>220</v>
      </c>
      <c r="AB535" s="1" t="str">
        <f>IFERROR(INDEX([1]物品基础表!$A:$A,MATCH(AA535,[1]物品基础表!$B:$B,0)),"")</f>
        <v/>
      </c>
      <c r="AE535" s="1" t="str">
        <f>IFERROR(INDEX([1]物品基础表!$A:$A,MATCH(AD535,[1]物品基础表!$B:$B,0)),"")</f>
        <v/>
      </c>
      <c r="AH535" s="1" t="str">
        <f>IFERROR(INDEX([1]物品基础表!$A:$A,MATCH(AG535,[1]物品基础表!$B:$B,0)),"")</f>
        <v/>
      </c>
      <c r="AK535" s="1" t="str">
        <f>IFERROR(INDEX([1]物品基础表!$A:$A,MATCH(AJ535,[1]物品基础表!$B:$B,0)),"")</f>
        <v/>
      </c>
      <c r="AN535" s="1" t="str">
        <f>IFERROR(INDEX([1]物品基础表!$A:$A,MATCH(AM535,[1]物品基础表!$B:$B,0)),"")</f>
        <v/>
      </c>
      <c r="AQ535" s="1" t="str">
        <f>IFERROR(INDEX([1]物品基础表!$A:$A,MATCH(AP535,[1]物品基础表!$B:$B,0)),"")</f>
        <v/>
      </c>
    </row>
    <row r="536" spans="1:44">
      <c r="A536" s="1" t="str">
        <f>INDEX([2]活动总表!$A$8:$A$429,MATCH(B536,[2]活动总表!$B$8:$B$429,0))</f>
        <v>（61+）春节限购8</v>
      </c>
      <c r="B536" s="1">
        <v>590</v>
      </c>
      <c r="C536" s="1">
        <v>5</v>
      </c>
      <c r="D536" s="1">
        <v>5</v>
      </c>
      <c r="E536" s="1">
        <v>0</v>
      </c>
      <c r="F536" s="1" t="s">
        <v>706</v>
      </c>
      <c r="G536" s="1">
        <v>2888</v>
      </c>
      <c r="H536" s="1">
        <v>4800</v>
      </c>
      <c r="I536" s="1">
        <v>1</v>
      </c>
      <c r="O536" s="1">
        <v>60</v>
      </c>
      <c r="X536" s="1">
        <v>205000</v>
      </c>
      <c r="Y536" s="1" t="str">
        <f>IFERROR(INDEX([1]物品基础表!$A:$A,MATCH(X536,[1]物品基础表!$B:$B,0)),"")</f>
        <v>战灵进阶丹</v>
      </c>
      <c r="Z536" s="1">
        <v>60</v>
      </c>
      <c r="AB536" s="1" t="str">
        <f>IFERROR(INDEX([1]物品基础表!$A:$A,MATCH(AA536,[1]物品基础表!$B:$B,0)),"")</f>
        <v/>
      </c>
      <c r="AE536" s="1" t="str">
        <f>IFERROR(INDEX([1]物品基础表!$A:$A,MATCH(AD536,[1]物品基础表!$B:$B,0)),"")</f>
        <v/>
      </c>
      <c r="AH536" s="1" t="str">
        <f>IFERROR(INDEX([1]物品基础表!$A:$A,MATCH(AG536,[1]物品基础表!$B:$B,0)),"")</f>
        <v/>
      </c>
      <c r="AK536" s="1" t="str">
        <f>IFERROR(INDEX([1]物品基础表!$A:$A,MATCH(AJ536,[1]物品基础表!$B:$B,0)),"")</f>
        <v/>
      </c>
      <c r="AN536" s="1" t="str">
        <f>IFERROR(INDEX([1]物品基础表!$A:$A,MATCH(AM536,[1]物品基础表!$B:$B,0)),"")</f>
        <v/>
      </c>
      <c r="AQ536" s="1" t="str">
        <f>IFERROR(INDEX([1]物品基础表!$A:$A,MATCH(AP536,[1]物品基础表!$B:$B,0)),"")</f>
        <v/>
      </c>
    </row>
    <row r="537" spans="1:44">
      <c r="A537" s="1" t="str">
        <f>INDEX([2]活动总表!$A$8:$A$429,MATCH(B537,[2]活动总表!$B$8:$B$429,0))</f>
        <v>（61+）春节限购8</v>
      </c>
      <c r="B537" s="1">
        <v>590</v>
      </c>
      <c r="C537" s="1">
        <v>6</v>
      </c>
      <c r="D537" s="1">
        <v>5</v>
      </c>
      <c r="E537" s="1">
        <v>0</v>
      </c>
      <c r="F537" s="1" t="s">
        <v>706</v>
      </c>
      <c r="G537" s="1">
        <v>8888</v>
      </c>
      <c r="H537" s="1">
        <v>14400</v>
      </c>
      <c r="I537" s="1">
        <v>3</v>
      </c>
      <c r="O537" s="1">
        <v>61</v>
      </c>
      <c r="X537" s="1">
        <v>205000</v>
      </c>
      <c r="Y537" s="1" t="str">
        <f>IFERROR(INDEX([1]物品基础表!$A:$A,MATCH(X537,[1]物品基础表!$B:$B,0)),"")</f>
        <v>战灵进阶丹</v>
      </c>
      <c r="Z537" s="1">
        <v>180</v>
      </c>
      <c r="AB537" s="1" t="str">
        <f>IFERROR(INDEX([1]物品基础表!$A:$A,MATCH(AA537,[1]物品基础表!$B:$B,0)),"")</f>
        <v/>
      </c>
      <c r="AE537" s="1" t="str">
        <f>IFERROR(INDEX([1]物品基础表!$A:$A,MATCH(AD537,[1]物品基础表!$B:$B,0)),"")</f>
        <v/>
      </c>
      <c r="AH537" s="1" t="str">
        <f>IFERROR(INDEX([1]物品基础表!$A:$A,MATCH(AG537,[1]物品基础表!$B:$B,0)),"")</f>
        <v/>
      </c>
      <c r="AK537" s="1" t="str">
        <f>IFERROR(INDEX([1]物品基础表!$A:$A,MATCH(AJ537,[1]物品基础表!$B:$B,0)),"")</f>
        <v/>
      </c>
      <c r="AN537" s="1" t="str">
        <f>IFERROR(INDEX([1]物品基础表!$A:$A,MATCH(AM537,[1]物品基础表!$B:$B,0)),"")</f>
        <v/>
      </c>
      <c r="AQ537" s="1" t="str">
        <f>IFERROR(INDEX([1]物品基础表!$A:$A,MATCH(AP537,[1]物品基础表!$B:$B,0)),"")</f>
        <v/>
      </c>
    </row>
    <row r="538" spans="1:44">
      <c r="A538" s="1" t="str">
        <f>INDEX([2]活动总表!$A$8:$A$429,MATCH(B538,[2]活动总表!$B$8:$B$429,0))</f>
        <v>开门红-特惠礼包</v>
      </c>
      <c r="B538" s="1">
        <v>604</v>
      </c>
      <c r="C538" s="1">
        <v>1</v>
      </c>
      <c r="D538" s="1">
        <v>5</v>
      </c>
      <c r="E538" s="1">
        <v>0</v>
      </c>
      <c r="F538" s="1" t="s">
        <v>706</v>
      </c>
      <c r="G538" s="1">
        <v>4888</v>
      </c>
      <c r="I538" s="1">
        <v>1</v>
      </c>
      <c r="X538" s="1">
        <v>200208</v>
      </c>
      <c r="Y538" s="1" t="str">
        <f>IFERROR(INDEX([1]物品基础表!$A:$A,MATCH(X538,[1]物品基础表!$B:$B,0)),"")</f>
        <v>烈焰印记低级升级材料</v>
      </c>
      <c r="Z538" s="1">
        <v>1000</v>
      </c>
      <c r="AA538" s="1">
        <v>200015</v>
      </c>
      <c r="AB538" s="1" t="str">
        <f>IFERROR(INDEX([1]物品基础表!$A:$A,MATCH(AA538,[1]物品基础表!$B:$B,0)),"")</f>
        <v>特戒碎片</v>
      </c>
      <c r="AC538" s="1">
        <v>500</v>
      </c>
      <c r="AD538" s="1">
        <v>200005</v>
      </c>
      <c r="AE538" s="1" t="str">
        <f>IFERROR(INDEX([1]物品基础表!$A:$A,MATCH(AD538,[1]物品基础表!$B:$B,0)),"")</f>
        <v>龙魂碎片</v>
      </c>
      <c r="AF538" s="1">
        <v>30</v>
      </c>
      <c r="AG538" s="1">
        <v>201016</v>
      </c>
      <c r="AH538" s="1" t="str">
        <f>IFERROR(INDEX([1]物品基础表!$A:$A,MATCH(AG538,[1]物品基础表!$B:$B,0)),"")</f>
        <v>紫色图鉴包·传奇之路</v>
      </c>
      <c r="AI538" s="1">
        <v>1</v>
      </c>
      <c r="AJ538" s="1">
        <v>500006</v>
      </c>
      <c r="AK538" s="1" t="str">
        <f>IFERROR(INDEX([1]物品基础表!$A:$A,MATCH(AJ538,[1]物品基础表!$B:$B,0)),"")</f>
        <v>战纹精华-金</v>
      </c>
      <c r="AL538" s="1">
        <v>1</v>
      </c>
      <c r="AM538" s="1">
        <v>200156</v>
      </c>
      <c r="AN538" s="1" t="str">
        <f>IFERROR(INDEX([1]物品基础表!$A:$A,MATCH(AM538,[1]物品基础表!$B:$B,0)),"")</f>
        <v>野外BOSS次数卷轴</v>
      </c>
      <c r="AO538" s="1">
        <v>2</v>
      </c>
      <c r="AP538" s="1">
        <v>201002</v>
      </c>
      <c r="AQ538" s="1" t="str">
        <f>IFERROR(INDEX([1]物品基础表!$A:$A,MATCH(AP538,[1]物品基础表!$B:$B,0)),"")</f>
        <v>神秘钥匙</v>
      </c>
      <c r="AR538" s="1">
        <v>1</v>
      </c>
    </row>
    <row r="539" spans="1:44">
      <c r="A539" s="1" t="str">
        <f>INDEX([2]活动总表!$A$8:$A$429,MATCH(B539,[2]活动总表!$B$8:$B$429,0))</f>
        <v>开门红-特惠礼包</v>
      </c>
      <c r="B539" s="1">
        <v>604</v>
      </c>
      <c r="C539" s="1">
        <v>2</v>
      </c>
      <c r="D539" s="1">
        <v>5</v>
      </c>
      <c r="E539" s="1">
        <v>0</v>
      </c>
      <c r="F539" s="1" t="s">
        <v>706</v>
      </c>
      <c r="G539" s="1">
        <v>16888</v>
      </c>
      <c r="I539" s="1">
        <v>1</v>
      </c>
      <c r="X539" s="1">
        <v>200973</v>
      </c>
      <c r="Y539" s="1" t="str">
        <f>IFERROR(INDEX([1]物品基础表!$A:$A,MATCH(X539,[1]物品基础表!$B:$B,0)),"")</f>
        <v>极品橙色兽神装备任选宝箱</v>
      </c>
      <c r="Z539" s="1">
        <v>1</v>
      </c>
      <c r="AA539" s="1">
        <v>200015</v>
      </c>
      <c r="AB539" s="1" t="str">
        <f>IFERROR(INDEX([1]物品基础表!$A:$A,MATCH(AA539,[1]物品基础表!$B:$B,0)),"")</f>
        <v>特戒碎片</v>
      </c>
      <c r="AC539" s="1">
        <v>500</v>
      </c>
      <c r="AD539" s="1">
        <v>200208</v>
      </c>
      <c r="AE539" s="1" t="str">
        <f>IFERROR(INDEX([1]物品基础表!$A:$A,MATCH(AD539,[1]物品基础表!$B:$B,0)),"")</f>
        <v>烈焰印记低级升级材料</v>
      </c>
      <c r="AF539" s="1">
        <v>500</v>
      </c>
      <c r="AG539" s="1">
        <v>201016</v>
      </c>
      <c r="AH539" s="1" t="str">
        <f>IFERROR(INDEX([1]物品基础表!$A:$A,MATCH(AG539,[1]物品基础表!$B:$B,0)),"")</f>
        <v>紫色图鉴包·传奇之路</v>
      </c>
      <c r="AI539" s="1">
        <v>1</v>
      </c>
      <c r="AJ539" s="1">
        <v>500006</v>
      </c>
      <c r="AK539" s="1" t="str">
        <f>IFERROR(INDEX([1]物品基础表!$A:$A,MATCH(AJ539,[1]物品基础表!$B:$B,0)),"")</f>
        <v>战纹精华-金</v>
      </c>
      <c r="AL539" s="1">
        <v>2</v>
      </c>
      <c r="AM539" s="1">
        <v>200157</v>
      </c>
      <c r="AN539" s="1" t="str">
        <f>IFERROR(INDEX([1]物品基础表!$A:$A,MATCH(AM539,[1]物品基础表!$B:$B,0)),"")</f>
        <v>秘境BOSS次数卷轴</v>
      </c>
      <c r="AO539" s="1">
        <v>1</v>
      </c>
      <c r="AP539" s="1">
        <v>201002</v>
      </c>
      <c r="AQ539" s="1" t="str">
        <f>IFERROR(INDEX([1]物品基础表!$A:$A,MATCH(AP539,[1]物品基础表!$B:$B,0)),"")</f>
        <v>神秘钥匙</v>
      </c>
      <c r="AR539" s="1">
        <v>1</v>
      </c>
    </row>
    <row r="540" spans="1:44">
      <c r="A540" s="1" t="str">
        <f>INDEX([2]活动总表!$A$8:$A$429,MATCH(B540,[2]活动总表!$B$8:$B$429,0))</f>
        <v>开门红-特惠礼包</v>
      </c>
      <c r="B540" s="1">
        <v>604</v>
      </c>
      <c r="C540" s="1">
        <v>3</v>
      </c>
      <c r="D540" s="1">
        <v>5</v>
      </c>
      <c r="E540" s="1">
        <v>0</v>
      </c>
      <c r="F540" s="1" t="s">
        <v>706</v>
      </c>
      <c r="G540" s="1">
        <v>58888</v>
      </c>
      <c r="I540" s="1">
        <v>1</v>
      </c>
      <c r="X540" s="1">
        <v>200976</v>
      </c>
      <c r="Y540" s="1" t="str">
        <f>IFERROR(INDEX([1]物品基础表!$A:$A,MATCH(X540,[1]物品基础表!$B:$B,0)),"")</f>
        <v>极品红色兽神装备任选宝箱</v>
      </c>
      <c r="Z540" s="1">
        <v>1</v>
      </c>
      <c r="AA540" s="1">
        <v>200208</v>
      </c>
      <c r="AB540" s="1" t="str">
        <f>IFERROR(INDEX([1]物品基础表!$A:$A,MATCH(AA540,[1]物品基础表!$B:$B,0)),"")</f>
        <v>烈焰印记低级升级材料</v>
      </c>
      <c r="AC540" s="1">
        <v>1500</v>
      </c>
      <c r="AD540" s="1">
        <v>200015</v>
      </c>
      <c r="AE540" s="1" t="str">
        <f>IFERROR(INDEX([1]物品基础表!$A:$A,MATCH(AD540,[1]物品基础表!$B:$B,0)),"")</f>
        <v>特戒碎片</v>
      </c>
      <c r="AF540" s="1">
        <v>800</v>
      </c>
      <c r="AG540" s="1">
        <v>201017</v>
      </c>
      <c r="AH540" s="1" t="str">
        <f>IFERROR(INDEX([1]物品基础表!$A:$A,MATCH(AG540,[1]物品基础表!$B:$B,0)),"")</f>
        <v>橙色图鉴包·传奇之路</v>
      </c>
      <c r="AI540" s="1">
        <v>1</v>
      </c>
      <c r="AJ540" s="1">
        <v>500006</v>
      </c>
      <c r="AK540" s="1" t="str">
        <f>IFERROR(INDEX([1]物品基础表!$A:$A,MATCH(AJ540,[1]物品基础表!$B:$B,0)),"")</f>
        <v>战纹精华-金</v>
      </c>
      <c r="AL540" s="1">
        <v>5</v>
      </c>
      <c r="AM540" s="1">
        <v>200157</v>
      </c>
      <c r="AN540" s="1" t="str">
        <f>IFERROR(INDEX([1]物品基础表!$A:$A,MATCH(AM540,[1]物品基础表!$B:$B,0)),"")</f>
        <v>秘境BOSS次数卷轴</v>
      </c>
      <c r="AO540" s="1">
        <v>1</v>
      </c>
      <c r="AP540" s="1">
        <v>201002</v>
      </c>
      <c r="AQ540" s="1" t="str">
        <f>IFERROR(INDEX([1]物品基础表!$A:$A,MATCH(AP540,[1]物品基础表!$B:$B,0)),"")</f>
        <v>神秘钥匙</v>
      </c>
      <c r="AR540" s="1">
        <v>1</v>
      </c>
    </row>
    <row r="541" spans="1:44">
      <c r="A541" s="1" t="str">
        <f>INDEX([2]活动总表!$A$8:$A$429,MATCH(B541,[2]活动总表!$B$8:$B$429,0))</f>
        <v>开门红-特惠礼包</v>
      </c>
      <c r="B541" s="1">
        <v>604</v>
      </c>
      <c r="C541" s="1">
        <v>4</v>
      </c>
      <c r="D541" s="1">
        <v>5</v>
      </c>
      <c r="E541" s="1">
        <v>0</v>
      </c>
      <c r="F541" s="1" t="s">
        <v>706</v>
      </c>
      <c r="G541" s="1">
        <v>128888</v>
      </c>
      <c r="I541" s="1">
        <v>1</v>
      </c>
      <c r="X541" s="1">
        <v>121501</v>
      </c>
      <c r="Y541" s="1" t="str">
        <f>IFERROR(INDEX([1]物品基础表!$A:$A,MATCH(X541,[1]物品基础表!$B:$B,0)),"")</f>
        <v>传奇衣服1</v>
      </c>
      <c r="Z541" s="1">
        <v>1</v>
      </c>
      <c r="AA541" s="1">
        <v>500011</v>
      </c>
      <c r="AB541" s="1" t="str">
        <f>IFERROR(INDEX([1]物品基础表!$A:$A,MATCH(AA541,[1]物品基础表!$B:$B,0)),"")</f>
        <v>战纹碎片（小）</v>
      </c>
      <c r="AC541" s="1">
        <v>1000</v>
      </c>
      <c r="AD541" s="1">
        <v>200001</v>
      </c>
      <c r="AE541" s="1" t="str">
        <f>IFERROR(INDEX([1]物品基础表!$A:$A,MATCH(AD541,[1]物品基础表!$B:$B,0)),"")</f>
        <v>羽毛</v>
      </c>
      <c r="AF541" s="1">
        <v>100</v>
      </c>
      <c r="AG541" s="1">
        <v>200005</v>
      </c>
      <c r="AH541" s="1" t="str">
        <f>IFERROR(INDEX([1]物品基础表!$A:$A,MATCH(AG541,[1]物品基础表!$B:$B,0)),"")</f>
        <v>龙魂碎片</v>
      </c>
      <c r="AI541" s="1">
        <v>100</v>
      </c>
      <c r="AJ541" s="1">
        <v>500006</v>
      </c>
      <c r="AK541" s="1" t="str">
        <f>IFERROR(INDEX([1]物品基础表!$A:$A,MATCH(AJ541,[1]物品基础表!$B:$B,0)),"")</f>
        <v>战纹精华-金</v>
      </c>
      <c r="AL541" s="1">
        <v>10</v>
      </c>
      <c r="AM541" s="1">
        <v>200157</v>
      </c>
      <c r="AN541" s="1" t="str">
        <f>IFERROR(INDEX([1]物品基础表!$A:$A,MATCH(AM541,[1]物品基础表!$B:$B,0)),"")</f>
        <v>秘境BOSS次数卷轴</v>
      </c>
      <c r="AO541" s="1">
        <v>1</v>
      </c>
      <c r="AP541" s="1">
        <v>201002</v>
      </c>
      <c r="AQ541" s="1" t="str">
        <f>IFERROR(INDEX([1]物品基础表!$A:$A,MATCH(AP541,[1]物品基础表!$B:$B,0)),"")</f>
        <v>神秘钥匙</v>
      </c>
      <c r="AR541" s="1">
        <v>2</v>
      </c>
    </row>
    <row r="542" spans="1:44" ht="14.25" customHeight="1">
      <c r="A542" s="1" t="str">
        <f>INDEX([2]活动总表!$A$8:$A$429,MATCH(B542,[2]活动总表!$B$8:$B$429,0))</f>
        <v>开门红限购1</v>
      </c>
      <c r="B542" s="1">
        <v>605</v>
      </c>
      <c r="C542" s="1">
        <v>1</v>
      </c>
      <c r="D542" s="1">
        <v>5</v>
      </c>
      <c r="E542" s="1">
        <v>0</v>
      </c>
      <c r="F542" s="1" t="s">
        <v>706</v>
      </c>
      <c r="G542" s="1">
        <v>888</v>
      </c>
      <c r="H542" s="1">
        <v>1500</v>
      </c>
      <c r="I542" s="1">
        <v>3</v>
      </c>
      <c r="O542" s="1">
        <v>59</v>
      </c>
      <c r="X542" s="1">
        <v>200208</v>
      </c>
      <c r="Y542" s="1" t="str">
        <f>IFERROR(INDEX([1]物品基础表!$A:$A,MATCH(X542,[1]物品基础表!$B:$B,0)),"")</f>
        <v>烈焰印记低级升级材料</v>
      </c>
      <c r="Z542" s="1">
        <v>150</v>
      </c>
      <c r="AB542" s="1" t="str">
        <f>IFERROR(INDEX([1]物品基础表!$A:$A,MATCH(AA542,[1]物品基础表!$B:$B,0)),"")</f>
        <v/>
      </c>
      <c r="AE542" s="1" t="str">
        <f>IFERROR(INDEX([1]物品基础表!$A:$A,MATCH(AD542,[1]物品基础表!$B:$B,0)),"")</f>
        <v/>
      </c>
      <c r="AH542" s="1" t="str">
        <f>IFERROR(INDEX([1]物品基础表!$A:$A,MATCH(AG542,[1]物品基础表!$B:$B,0)),"")</f>
        <v/>
      </c>
      <c r="AK542" s="1" t="str">
        <f>IFERROR(INDEX([1]物品基础表!$A:$A,MATCH(AJ542,[1]物品基础表!$B:$B,0)),"")</f>
        <v/>
      </c>
      <c r="AN542" s="1" t="str">
        <f>IFERROR(INDEX([1]物品基础表!$A:$A,MATCH(AM542,[1]物品基础表!$B:$B,0)),"")</f>
        <v/>
      </c>
      <c r="AQ542" s="1" t="str">
        <f>IFERROR(INDEX([1]物品基础表!$A:$A,MATCH(AP542,[1]物品基础表!$B:$B,0)),"")</f>
        <v/>
      </c>
    </row>
    <row r="543" spans="1:44">
      <c r="A543" s="1" t="str">
        <f>INDEX([2]活动总表!$A$8:$A$429,MATCH(B543,[2]活动总表!$B$8:$B$429,0))</f>
        <v>开门红限购1</v>
      </c>
      <c r="B543" s="1">
        <v>605</v>
      </c>
      <c r="C543" s="1">
        <v>2</v>
      </c>
      <c r="D543" s="1">
        <v>7</v>
      </c>
      <c r="E543" s="1">
        <v>0</v>
      </c>
      <c r="F543" s="1" t="s">
        <v>706</v>
      </c>
      <c r="G543" s="1">
        <v>1588</v>
      </c>
      <c r="H543" s="1">
        <v>4500</v>
      </c>
      <c r="I543" s="1">
        <v>2</v>
      </c>
      <c r="O543" s="1">
        <v>35</v>
      </c>
      <c r="X543" s="1">
        <v>200208</v>
      </c>
      <c r="Y543" s="1" t="str">
        <f>IFERROR(INDEX([1]物品基础表!$A:$A,MATCH(X543,[1]物品基础表!$B:$B,0)),"")</f>
        <v>烈焰印记低级升级材料</v>
      </c>
      <c r="Z543" s="1">
        <v>450</v>
      </c>
      <c r="AB543" s="1" t="str">
        <f>IFERROR(INDEX([1]物品基础表!$A:$A,MATCH(AA543,[1]物品基础表!$B:$B,0)),"")</f>
        <v/>
      </c>
      <c r="AE543" s="1" t="str">
        <f>IFERROR(INDEX([1]物品基础表!$A:$A,MATCH(AD543,[1]物品基础表!$B:$B,0)),"")</f>
        <v/>
      </c>
      <c r="AH543" s="1" t="str">
        <f>IFERROR(INDEX([1]物品基础表!$A:$A,MATCH(AG543,[1]物品基础表!$B:$B,0)),"")</f>
        <v/>
      </c>
      <c r="AK543" s="1" t="str">
        <f>IFERROR(INDEX([1]物品基础表!$A:$A,MATCH(AJ543,[1]物品基础表!$B:$B,0)),"")</f>
        <v/>
      </c>
      <c r="AN543" s="1" t="str">
        <f>IFERROR(INDEX([1]物品基础表!$A:$A,MATCH(AM543,[1]物品基础表!$B:$B,0)),"")</f>
        <v/>
      </c>
      <c r="AQ543" s="1" t="str">
        <f>IFERROR(INDEX([1]物品基础表!$A:$A,MATCH(AP543,[1]物品基础表!$B:$B,0)),"")</f>
        <v/>
      </c>
    </row>
    <row r="544" spans="1:44">
      <c r="A544" s="1" t="str">
        <f>INDEX([2]活动总表!$A$8:$A$429,MATCH(B544,[2]活动总表!$B$8:$B$429,0))</f>
        <v>开门红限购1</v>
      </c>
      <c r="B544" s="1">
        <v>605</v>
      </c>
      <c r="C544" s="1">
        <v>3</v>
      </c>
      <c r="D544" s="1">
        <v>7</v>
      </c>
      <c r="E544" s="1">
        <v>0</v>
      </c>
      <c r="F544" s="1" t="s">
        <v>706</v>
      </c>
      <c r="G544" s="1">
        <v>2888</v>
      </c>
      <c r="H544" s="1">
        <v>8000</v>
      </c>
      <c r="I544" s="1">
        <v>2</v>
      </c>
      <c r="O544" s="1">
        <v>36</v>
      </c>
      <c r="X544" s="1">
        <v>200208</v>
      </c>
      <c r="Y544" s="1" t="str">
        <f>IFERROR(INDEX([1]物品基础表!$A:$A,MATCH(X544,[1]物品基础表!$B:$B,0)),"")</f>
        <v>烈焰印记低级升级材料</v>
      </c>
      <c r="Z544" s="1">
        <v>800</v>
      </c>
      <c r="AB544" s="1" t="str">
        <f>IFERROR(INDEX([1]物品基础表!$A:$A,MATCH(AA544,[1]物品基础表!$B:$B,0)),"")</f>
        <v/>
      </c>
      <c r="AE544" s="1" t="str">
        <f>IFERROR(INDEX([1]物品基础表!$A:$A,MATCH(AD544,[1]物品基础表!$B:$B,0)),"")</f>
        <v/>
      </c>
      <c r="AH544" s="1" t="str">
        <f>IFERROR(INDEX([1]物品基础表!$A:$A,MATCH(AG544,[1]物品基础表!$B:$B,0)),"")</f>
        <v/>
      </c>
      <c r="AK544" s="1" t="str">
        <f>IFERROR(INDEX([1]物品基础表!$A:$A,MATCH(AJ544,[1]物品基础表!$B:$B,0)),"")</f>
        <v/>
      </c>
      <c r="AN544" s="1" t="str">
        <f>IFERROR(INDEX([1]物品基础表!$A:$A,MATCH(AM544,[1]物品基础表!$B:$B,0)),"")</f>
        <v/>
      </c>
      <c r="AQ544" s="1" t="str">
        <f>IFERROR(INDEX([1]物品基础表!$A:$A,MATCH(AP544,[1]物品基础表!$B:$B,0)),"")</f>
        <v/>
      </c>
    </row>
    <row r="545" spans="1:44">
      <c r="A545" s="1" t="str">
        <f>INDEX([2]活动总表!$A$8:$A$429,MATCH(B545,[2]活动总表!$B$8:$B$429,0))</f>
        <v>开门红限购1</v>
      </c>
      <c r="B545" s="1">
        <v>605</v>
      </c>
      <c r="C545" s="1">
        <v>4</v>
      </c>
      <c r="D545" s="1">
        <v>5</v>
      </c>
      <c r="E545" s="1">
        <v>0</v>
      </c>
      <c r="F545" s="1" t="s">
        <v>706</v>
      </c>
      <c r="G545" s="1">
        <v>2888</v>
      </c>
      <c r="H545" s="1">
        <v>5000</v>
      </c>
      <c r="I545" s="1">
        <v>3</v>
      </c>
      <c r="O545" s="1">
        <v>57</v>
      </c>
      <c r="X545" s="1">
        <v>200208</v>
      </c>
      <c r="Y545" s="1" t="str">
        <f>IFERROR(INDEX([1]物品基础表!$A:$A,MATCH(X545,[1]物品基础表!$B:$B,0)),"")</f>
        <v>烈焰印记低级升级材料</v>
      </c>
      <c r="Z545" s="1">
        <v>500</v>
      </c>
      <c r="AB545" s="1" t="str">
        <f>IFERROR(INDEX([1]物品基础表!$A:$A,MATCH(AA545,[1]物品基础表!$B:$B,0)),"")</f>
        <v/>
      </c>
      <c r="AE545" s="1" t="str">
        <f>IFERROR(INDEX([1]物品基础表!$A:$A,MATCH(AD545,[1]物品基础表!$B:$B,0)),"")</f>
        <v/>
      </c>
      <c r="AH545" s="1" t="str">
        <f>IFERROR(INDEX([1]物品基础表!$A:$A,MATCH(AG545,[1]物品基础表!$B:$B,0)),"")</f>
        <v/>
      </c>
      <c r="AK545" s="1" t="str">
        <f>IFERROR(INDEX([1]物品基础表!$A:$A,MATCH(AJ545,[1]物品基础表!$B:$B,0)),"")</f>
        <v/>
      </c>
      <c r="AN545" s="1" t="str">
        <f>IFERROR(INDEX([1]物品基础表!$A:$A,MATCH(AM545,[1]物品基础表!$B:$B,0)),"")</f>
        <v/>
      </c>
      <c r="AQ545" s="1" t="str">
        <f>IFERROR(INDEX([1]物品基础表!$A:$A,MATCH(AP545,[1]物品基础表!$B:$B,0)),"")</f>
        <v/>
      </c>
    </row>
    <row r="546" spans="1:44">
      <c r="A546" s="1" t="str">
        <f>INDEX([2]活动总表!$A$8:$A$429,MATCH(B546,[2]活动总表!$B$8:$B$429,0))</f>
        <v>开门红限购1</v>
      </c>
      <c r="B546" s="1">
        <v>605</v>
      </c>
      <c r="C546" s="1">
        <v>5</v>
      </c>
      <c r="D546" s="1">
        <v>5</v>
      </c>
      <c r="E546" s="1">
        <v>0</v>
      </c>
      <c r="F546" s="1" t="s">
        <v>706</v>
      </c>
      <c r="G546" s="1">
        <v>8888</v>
      </c>
      <c r="H546" s="1">
        <v>15000</v>
      </c>
      <c r="I546" s="1">
        <v>10</v>
      </c>
      <c r="O546" s="1">
        <v>59</v>
      </c>
      <c r="X546" s="1">
        <v>200208</v>
      </c>
      <c r="Y546" s="1" t="str">
        <f>IFERROR(INDEX([1]物品基础表!$A:$A,MATCH(X546,[1]物品基础表!$B:$B,0)),"")</f>
        <v>烈焰印记低级升级材料</v>
      </c>
      <c r="Z546" s="1">
        <v>1500</v>
      </c>
      <c r="AB546" s="1" t="str">
        <f>IFERROR(INDEX([1]物品基础表!$A:$A,MATCH(AA546,[1]物品基础表!$B:$B,0)),"")</f>
        <v/>
      </c>
      <c r="AE546" s="1" t="str">
        <f>IFERROR(INDEX([1]物品基础表!$A:$A,MATCH(AD546,[1]物品基础表!$B:$B,0)),"")</f>
        <v/>
      </c>
      <c r="AH546" s="1" t="str">
        <f>IFERROR(INDEX([1]物品基础表!$A:$A,MATCH(AG546,[1]物品基础表!$B:$B,0)),"")</f>
        <v/>
      </c>
      <c r="AK546" s="1" t="str">
        <f>IFERROR(INDEX([1]物品基础表!$A:$A,MATCH(AJ546,[1]物品基础表!$B:$B,0)),"")</f>
        <v/>
      </c>
      <c r="AN546" s="1" t="str">
        <f>IFERROR(INDEX([1]物品基础表!$A:$A,MATCH(AM546,[1]物品基础表!$B:$B,0)),"")</f>
        <v/>
      </c>
      <c r="AQ546" s="1" t="str">
        <f>IFERROR(INDEX([1]物品基础表!$A:$A,MATCH(AP546,[1]物品基础表!$B:$B,0)),"")</f>
        <v/>
      </c>
    </row>
    <row r="547" spans="1:44">
      <c r="A547" s="1" t="str">
        <f>INDEX([2]活动总表!$A$8:$A$429,MATCH(B547,[2]活动总表!$B$8:$B$429,0))</f>
        <v>开门红限购2</v>
      </c>
      <c r="B547" s="1">
        <v>606</v>
      </c>
      <c r="C547" s="1">
        <v>1</v>
      </c>
      <c r="D547" s="1">
        <v>5</v>
      </c>
      <c r="E547" s="1">
        <v>0</v>
      </c>
      <c r="F547" s="1" t="s">
        <v>706</v>
      </c>
      <c r="G547" s="1">
        <v>888</v>
      </c>
      <c r="H547" s="1">
        <v>1500</v>
      </c>
      <c r="I547" s="1">
        <v>3</v>
      </c>
      <c r="O547" s="1">
        <v>59</v>
      </c>
      <c r="X547" s="1">
        <v>200208</v>
      </c>
      <c r="Y547" s="1" t="str">
        <f>IFERROR(INDEX([1]物品基础表!$A:$A,MATCH(X547,[1]物品基础表!$B:$B,0)),"")</f>
        <v>烈焰印记低级升级材料</v>
      </c>
      <c r="Z547" s="1">
        <v>150</v>
      </c>
      <c r="AB547" s="1" t="str">
        <f>IFERROR(INDEX([1]物品基础表!$A:$A,MATCH(AA547,[1]物品基础表!$B:$B,0)),"")</f>
        <v/>
      </c>
      <c r="AE547" s="1" t="str">
        <f>IFERROR(INDEX([1]物品基础表!$A:$A,MATCH(AD547,[1]物品基础表!$B:$B,0)),"")</f>
        <v/>
      </c>
      <c r="AH547" s="1" t="str">
        <f>IFERROR(INDEX([1]物品基础表!$A:$A,MATCH(AG547,[1]物品基础表!$B:$B,0)),"")</f>
        <v/>
      </c>
      <c r="AK547" s="1" t="str">
        <f>IFERROR(INDEX([1]物品基础表!$A:$A,MATCH(AJ547,[1]物品基础表!$B:$B,0)),"")</f>
        <v/>
      </c>
      <c r="AN547" s="1" t="str">
        <f>IFERROR(INDEX([1]物品基础表!$A:$A,MATCH(AM547,[1]物品基础表!$B:$B,0)),"")</f>
        <v/>
      </c>
      <c r="AQ547" s="1" t="str">
        <f>IFERROR(INDEX([1]物品基础表!$A:$A,MATCH(AP547,[1]物品基础表!$B:$B,0)),"")</f>
        <v/>
      </c>
    </row>
    <row r="548" spans="1:44">
      <c r="A548" s="1" t="str">
        <f>INDEX([2]活动总表!$A$8:$A$429,MATCH(B548,[2]活动总表!$B$8:$B$429,0))</f>
        <v>开门红限购2</v>
      </c>
      <c r="B548" s="1">
        <v>606</v>
      </c>
      <c r="C548" s="1">
        <v>2</v>
      </c>
      <c r="D548" s="1">
        <v>7</v>
      </c>
      <c r="E548" s="1">
        <v>0</v>
      </c>
      <c r="F548" s="1" t="s">
        <v>706</v>
      </c>
      <c r="G548" s="1">
        <v>1588</v>
      </c>
      <c r="H548" s="1">
        <v>4500</v>
      </c>
      <c r="I548" s="1">
        <v>2</v>
      </c>
      <c r="O548" s="1">
        <v>35</v>
      </c>
      <c r="X548" s="1">
        <v>200208</v>
      </c>
      <c r="Y548" s="1" t="str">
        <f>IFERROR(INDEX([1]物品基础表!$A:$A,MATCH(X548,[1]物品基础表!$B:$B,0)),"")</f>
        <v>烈焰印记低级升级材料</v>
      </c>
      <c r="Z548" s="1">
        <v>450</v>
      </c>
      <c r="AB548" s="1" t="str">
        <f>IFERROR(INDEX([1]物品基础表!$A:$A,MATCH(AA548,[1]物品基础表!$B:$B,0)),"")</f>
        <v/>
      </c>
      <c r="AE548" s="1" t="str">
        <f>IFERROR(INDEX([1]物品基础表!$A:$A,MATCH(AD548,[1]物品基础表!$B:$B,0)),"")</f>
        <v/>
      </c>
      <c r="AH548" s="1" t="str">
        <f>IFERROR(INDEX([1]物品基础表!$A:$A,MATCH(AG548,[1]物品基础表!$B:$B,0)),"")</f>
        <v/>
      </c>
      <c r="AK548" s="1" t="str">
        <f>IFERROR(INDEX([1]物品基础表!$A:$A,MATCH(AJ548,[1]物品基础表!$B:$B,0)),"")</f>
        <v/>
      </c>
      <c r="AN548" s="1" t="str">
        <f>IFERROR(INDEX([1]物品基础表!$A:$A,MATCH(AM548,[1]物品基础表!$B:$B,0)),"")</f>
        <v/>
      </c>
      <c r="AQ548" s="1" t="str">
        <f>IFERROR(INDEX([1]物品基础表!$A:$A,MATCH(AP548,[1]物品基础表!$B:$B,0)),"")</f>
        <v/>
      </c>
    </row>
    <row r="549" spans="1:44">
      <c r="A549" s="1" t="str">
        <f>INDEX([2]活动总表!$A$8:$A$429,MATCH(B549,[2]活动总表!$B$8:$B$429,0))</f>
        <v>开门红限购2</v>
      </c>
      <c r="B549" s="1">
        <v>606</v>
      </c>
      <c r="C549" s="1">
        <v>3</v>
      </c>
      <c r="D549" s="1">
        <v>7</v>
      </c>
      <c r="E549" s="1">
        <v>0</v>
      </c>
      <c r="F549" s="1" t="s">
        <v>706</v>
      </c>
      <c r="G549" s="1">
        <v>2888</v>
      </c>
      <c r="H549" s="1">
        <v>8000</v>
      </c>
      <c r="I549" s="1">
        <v>2</v>
      </c>
      <c r="O549" s="1">
        <v>36</v>
      </c>
      <c r="X549" s="1">
        <v>200208</v>
      </c>
      <c r="Y549" s="1" t="str">
        <f>IFERROR(INDEX([1]物品基础表!$A:$A,MATCH(X549,[1]物品基础表!$B:$B,0)),"")</f>
        <v>烈焰印记低级升级材料</v>
      </c>
      <c r="Z549" s="1">
        <v>800</v>
      </c>
      <c r="AB549" s="1" t="str">
        <f>IFERROR(INDEX([1]物品基础表!$A:$A,MATCH(AA549,[1]物品基础表!$B:$B,0)),"")</f>
        <v/>
      </c>
      <c r="AE549" s="1" t="str">
        <f>IFERROR(INDEX([1]物品基础表!$A:$A,MATCH(AD549,[1]物品基础表!$B:$B,0)),"")</f>
        <v/>
      </c>
      <c r="AH549" s="1" t="str">
        <f>IFERROR(INDEX([1]物品基础表!$A:$A,MATCH(AG549,[1]物品基础表!$B:$B,0)),"")</f>
        <v/>
      </c>
      <c r="AK549" s="1" t="str">
        <f>IFERROR(INDEX([1]物品基础表!$A:$A,MATCH(AJ549,[1]物品基础表!$B:$B,0)),"")</f>
        <v/>
      </c>
      <c r="AN549" s="1" t="str">
        <f>IFERROR(INDEX([1]物品基础表!$A:$A,MATCH(AM549,[1]物品基础表!$B:$B,0)),"")</f>
        <v/>
      </c>
      <c r="AQ549" s="1" t="str">
        <f>IFERROR(INDEX([1]物品基础表!$A:$A,MATCH(AP549,[1]物品基础表!$B:$B,0)),"")</f>
        <v/>
      </c>
    </row>
    <row r="550" spans="1:44">
      <c r="A550" s="1" t="str">
        <f>INDEX([2]活动总表!$A$8:$A$429,MATCH(B550,[2]活动总表!$B$8:$B$429,0))</f>
        <v>开门红限购2</v>
      </c>
      <c r="B550" s="1">
        <v>606</v>
      </c>
      <c r="C550" s="1">
        <v>4</v>
      </c>
      <c r="D550" s="1">
        <v>5</v>
      </c>
      <c r="E550" s="1">
        <v>0</v>
      </c>
      <c r="F550" s="1" t="s">
        <v>706</v>
      </c>
      <c r="G550" s="1">
        <v>2888</v>
      </c>
      <c r="H550" s="1">
        <v>5000</v>
      </c>
      <c r="I550" s="1">
        <v>3</v>
      </c>
      <c r="O550" s="1">
        <v>57</v>
      </c>
      <c r="X550" s="1">
        <v>200208</v>
      </c>
      <c r="Y550" s="1" t="str">
        <f>IFERROR(INDEX([1]物品基础表!$A:$A,MATCH(X550,[1]物品基础表!$B:$B,0)),"")</f>
        <v>烈焰印记低级升级材料</v>
      </c>
      <c r="Z550" s="1">
        <v>500</v>
      </c>
      <c r="AB550" s="1" t="str">
        <f>IFERROR(INDEX([1]物品基础表!$A:$A,MATCH(AA550,[1]物品基础表!$B:$B,0)),"")</f>
        <v/>
      </c>
      <c r="AE550" s="1" t="str">
        <f>IFERROR(INDEX([1]物品基础表!$A:$A,MATCH(AD550,[1]物品基础表!$B:$B,0)),"")</f>
        <v/>
      </c>
      <c r="AH550" s="1" t="str">
        <f>IFERROR(INDEX([1]物品基础表!$A:$A,MATCH(AG550,[1]物品基础表!$B:$B,0)),"")</f>
        <v/>
      </c>
      <c r="AK550" s="1" t="str">
        <f>IFERROR(INDEX([1]物品基础表!$A:$A,MATCH(AJ550,[1]物品基础表!$B:$B,0)),"")</f>
        <v/>
      </c>
      <c r="AN550" s="1" t="str">
        <f>IFERROR(INDEX([1]物品基础表!$A:$A,MATCH(AM550,[1]物品基础表!$B:$B,0)),"")</f>
        <v/>
      </c>
      <c r="AQ550" s="1" t="str">
        <f>IFERROR(INDEX([1]物品基础表!$A:$A,MATCH(AP550,[1]物品基础表!$B:$B,0)),"")</f>
        <v/>
      </c>
    </row>
    <row r="551" spans="1:44">
      <c r="A551" s="1" t="str">
        <f>INDEX([2]活动总表!$A$8:$A$429,MATCH(B551,[2]活动总表!$B$8:$B$429,0))</f>
        <v>开门红限购2</v>
      </c>
      <c r="B551" s="1">
        <v>606</v>
      </c>
      <c r="C551" s="1">
        <v>5</v>
      </c>
      <c r="D551" s="1">
        <v>5</v>
      </c>
      <c r="E551" s="1">
        <v>0</v>
      </c>
      <c r="F551" s="1" t="s">
        <v>706</v>
      </c>
      <c r="G551" s="1">
        <v>8888</v>
      </c>
      <c r="H551" s="1">
        <v>15000</v>
      </c>
      <c r="I551" s="1">
        <v>10</v>
      </c>
      <c r="O551" s="1">
        <v>59</v>
      </c>
      <c r="X551" s="1">
        <v>200208</v>
      </c>
      <c r="Y551" s="1" t="str">
        <f>IFERROR(INDEX([1]物品基础表!$A:$A,MATCH(X551,[1]物品基础表!$B:$B,0)),"")</f>
        <v>烈焰印记低级升级材料</v>
      </c>
      <c r="Z551" s="1">
        <v>1500</v>
      </c>
      <c r="AB551" s="1" t="str">
        <f>IFERROR(INDEX([1]物品基础表!$A:$A,MATCH(AA551,[1]物品基础表!$B:$B,0)),"")</f>
        <v/>
      </c>
      <c r="AE551" s="1" t="str">
        <f>IFERROR(INDEX([1]物品基础表!$A:$A,MATCH(AD551,[1]物品基础表!$B:$B,0)),"")</f>
        <v/>
      </c>
      <c r="AH551" s="1" t="str">
        <f>IFERROR(INDEX([1]物品基础表!$A:$A,MATCH(AG551,[1]物品基础表!$B:$B,0)),"")</f>
        <v/>
      </c>
      <c r="AK551" s="1" t="str">
        <f>IFERROR(INDEX([1]物品基础表!$A:$A,MATCH(AJ551,[1]物品基础表!$B:$B,0)),"")</f>
        <v/>
      </c>
      <c r="AN551" s="1" t="str">
        <f>IFERROR(INDEX([1]物品基础表!$A:$A,MATCH(AM551,[1]物品基础表!$B:$B,0)),"")</f>
        <v/>
      </c>
      <c r="AQ551" s="1" t="str">
        <f>IFERROR(INDEX([1]物品基础表!$A:$A,MATCH(AP551,[1]物品基础表!$B:$B,0)),"")</f>
        <v/>
      </c>
    </row>
    <row r="552" spans="1:44">
      <c r="A552" s="1" t="str">
        <f>INDEX([2]活动总表!$A$8:$A$429,MATCH(B552,[2]活动总表!$B$8:$B$429,0))</f>
        <v>开门红限购3</v>
      </c>
      <c r="B552" s="1">
        <v>607</v>
      </c>
      <c r="C552" s="1">
        <v>1</v>
      </c>
      <c r="D552" s="1">
        <v>5</v>
      </c>
      <c r="E552" s="1">
        <v>0</v>
      </c>
      <c r="F552" s="1" t="s">
        <v>706</v>
      </c>
      <c r="G552" s="1">
        <v>888</v>
      </c>
      <c r="H552" s="1">
        <v>1500</v>
      </c>
      <c r="I552" s="1">
        <v>3</v>
      </c>
      <c r="O552" s="1">
        <v>59</v>
      </c>
      <c r="X552" s="1">
        <v>200208</v>
      </c>
      <c r="Y552" s="1" t="str">
        <f>IFERROR(INDEX([1]物品基础表!$A:$A,MATCH(X552,[1]物品基础表!$B:$B,0)),"")</f>
        <v>烈焰印记低级升级材料</v>
      </c>
      <c r="Z552" s="1">
        <v>150</v>
      </c>
      <c r="AB552" s="1" t="str">
        <f>IFERROR(INDEX([1]物品基础表!$A:$A,MATCH(AA552,[1]物品基础表!$B:$B,0)),"")</f>
        <v/>
      </c>
      <c r="AE552" s="1" t="str">
        <f>IFERROR(INDEX([1]物品基础表!$A:$A,MATCH(AD552,[1]物品基础表!$B:$B,0)),"")</f>
        <v/>
      </c>
      <c r="AH552" s="1" t="str">
        <f>IFERROR(INDEX([1]物品基础表!$A:$A,MATCH(AG552,[1]物品基础表!$B:$B,0)),"")</f>
        <v/>
      </c>
      <c r="AK552" s="1" t="str">
        <f>IFERROR(INDEX([1]物品基础表!$A:$A,MATCH(AJ552,[1]物品基础表!$B:$B,0)),"")</f>
        <v/>
      </c>
      <c r="AN552" s="1" t="str">
        <f>IFERROR(INDEX([1]物品基础表!$A:$A,MATCH(AM552,[1]物品基础表!$B:$B,0)),"")</f>
        <v/>
      </c>
      <c r="AQ552" s="1" t="str">
        <f>IFERROR(INDEX([1]物品基础表!$A:$A,MATCH(AP552,[1]物品基础表!$B:$B,0)),"")</f>
        <v/>
      </c>
    </row>
    <row r="553" spans="1:44">
      <c r="A553" s="1" t="str">
        <f>INDEX([2]活动总表!$A$8:$A$429,MATCH(B553,[2]活动总表!$B$8:$B$429,0))</f>
        <v>开门红限购3</v>
      </c>
      <c r="B553" s="1">
        <v>607</v>
      </c>
      <c r="C553" s="1">
        <v>2</v>
      </c>
      <c r="D553" s="1">
        <v>7</v>
      </c>
      <c r="E553" s="1">
        <v>0</v>
      </c>
      <c r="F553" s="1" t="s">
        <v>706</v>
      </c>
      <c r="G553" s="1">
        <v>1588</v>
      </c>
      <c r="H553" s="1">
        <v>4500</v>
      </c>
      <c r="I553" s="1">
        <v>2</v>
      </c>
      <c r="O553" s="1">
        <v>35</v>
      </c>
      <c r="X553" s="1">
        <v>200208</v>
      </c>
      <c r="Y553" s="1" t="str">
        <f>IFERROR(INDEX([1]物品基础表!$A:$A,MATCH(X553,[1]物品基础表!$B:$B,0)),"")</f>
        <v>烈焰印记低级升级材料</v>
      </c>
      <c r="Z553" s="1">
        <v>450</v>
      </c>
      <c r="AB553" s="1" t="str">
        <f>IFERROR(INDEX([1]物品基础表!$A:$A,MATCH(AA553,[1]物品基础表!$B:$B,0)),"")</f>
        <v/>
      </c>
      <c r="AE553" s="1" t="str">
        <f>IFERROR(INDEX([1]物品基础表!$A:$A,MATCH(AD553,[1]物品基础表!$B:$B,0)),"")</f>
        <v/>
      </c>
      <c r="AH553" s="1" t="str">
        <f>IFERROR(INDEX([1]物品基础表!$A:$A,MATCH(AG553,[1]物品基础表!$B:$B,0)),"")</f>
        <v/>
      </c>
      <c r="AK553" s="1" t="str">
        <f>IFERROR(INDEX([1]物品基础表!$A:$A,MATCH(AJ553,[1]物品基础表!$B:$B,0)),"")</f>
        <v/>
      </c>
      <c r="AN553" s="1" t="str">
        <f>IFERROR(INDEX([1]物品基础表!$A:$A,MATCH(AM553,[1]物品基础表!$B:$B,0)),"")</f>
        <v/>
      </c>
      <c r="AQ553" s="1" t="str">
        <f>IFERROR(INDEX([1]物品基础表!$A:$A,MATCH(AP553,[1]物品基础表!$B:$B,0)),"")</f>
        <v/>
      </c>
    </row>
    <row r="554" spans="1:44">
      <c r="A554" s="1" t="str">
        <f>INDEX([2]活动总表!$A$8:$A$429,MATCH(B554,[2]活动总表!$B$8:$B$429,0))</f>
        <v>开门红限购3</v>
      </c>
      <c r="B554" s="1">
        <v>607</v>
      </c>
      <c r="C554" s="1">
        <v>3</v>
      </c>
      <c r="D554" s="1">
        <v>7</v>
      </c>
      <c r="E554" s="1">
        <v>0</v>
      </c>
      <c r="F554" s="1" t="s">
        <v>706</v>
      </c>
      <c r="G554" s="1">
        <v>2888</v>
      </c>
      <c r="H554" s="1">
        <v>8000</v>
      </c>
      <c r="I554" s="1">
        <v>2</v>
      </c>
      <c r="O554" s="1">
        <v>36</v>
      </c>
      <c r="X554" s="1">
        <v>200208</v>
      </c>
      <c r="Y554" s="1" t="str">
        <f>IFERROR(INDEX([1]物品基础表!$A:$A,MATCH(X554,[1]物品基础表!$B:$B,0)),"")</f>
        <v>烈焰印记低级升级材料</v>
      </c>
      <c r="Z554" s="1">
        <v>800</v>
      </c>
      <c r="AB554" s="1" t="str">
        <f>IFERROR(INDEX([1]物品基础表!$A:$A,MATCH(AA554,[1]物品基础表!$B:$B,0)),"")</f>
        <v/>
      </c>
      <c r="AE554" s="1" t="str">
        <f>IFERROR(INDEX([1]物品基础表!$A:$A,MATCH(AD554,[1]物品基础表!$B:$B,0)),"")</f>
        <v/>
      </c>
      <c r="AH554" s="1" t="str">
        <f>IFERROR(INDEX([1]物品基础表!$A:$A,MATCH(AG554,[1]物品基础表!$B:$B,0)),"")</f>
        <v/>
      </c>
      <c r="AK554" s="1" t="str">
        <f>IFERROR(INDEX([1]物品基础表!$A:$A,MATCH(AJ554,[1]物品基础表!$B:$B,0)),"")</f>
        <v/>
      </c>
      <c r="AN554" s="1" t="str">
        <f>IFERROR(INDEX([1]物品基础表!$A:$A,MATCH(AM554,[1]物品基础表!$B:$B,0)),"")</f>
        <v/>
      </c>
      <c r="AQ554" s="1" t="str">
        <f>IFERROR(INDEX([1]物品基础表!$A:$A,MATCH(AP554,[1]物品基础表!$B:$B,0)),"")</f>
        <v/>
      </c>
    </row>
    <row r="555" spans="1:44">
      <c r="A555" s="1" t="str">
        <f>INDEX([2]活动总表!$A$8:$A$429,MATCH(B555,[2]活动总表!$B$8:$B$429,0))</f>
        <v>开门红限购3</v>
      </c>
      <c r="B555" s="1">
        <v>607</v>
      </c>
      <c r="C555" s="1">
        <v>4</v>
      </c>
      <c r="D555" s="1">
        <v>5</v>
      </c>
      <c r="E555" s="1">
        <v>0</v>
      </c>
      <c r="F555" s="1" t="s">
        <v>706</v>
      </c>
      <c r="G555" s="1">
        <v>2888</v>
      </c>
      <c r="H555" s="1">
        <v>5000</v>
      </c>
      <c r="I555" s="1">
        <v>3</v>
      </c>
      <c r="O555" s="1">
        <v>57</v>
      </c>
      <c r="X555" s="1">
        <v>200208</v>
      </c>
      <c r="Y555" s="1" t="str">
        <f>IFERROR(INDEX([1]物品基础表!$A:$A,MATCH(X555,[1]物品基础表!$B:$B,0)),"")</f>
        <v>烈焰印记低级升级材料</v>
      </c>
      <c r="Z555" s="1">
        <v>500</v>
      </c>
      <c r="AB555" s="1" t="str">
        <f>IFERROR(INDEX([1]物品基础表!$A:$A,MATCH(AA555,[1]物品基础表!$B:$B,0)),"")</f>
        <v/>
      </c>
      <c r="AE555" s="1" t="str">
        <f>IFERROR(INDEX([1]物品基础表!$A:$A,MATCH(AD555,[1]物品基础表!$B:$B,0)),"")</f>
        <v/>
      </c>
      <c r="AH555" s="1" t="str">
        <f>IFERROR(INDEX([1]物品基础表!$A:$A,MATCH(AG555,[1]物品基础表!$B:$B,0)),"")</f>
        <v/>
      </c>
      <c r="AK555" s="1" t="str">
        <f>IFERROR(INDEX([1]物品基础表!$A:$A,MATCH(AJ555,[1]物品基础表!$B:$B,0)),"")</f>
        <v/>
      </c>
      <c r="AN555" s="1" t="str">
        <f>IFERROR(INDEX([1]物品基础表!$A:$A,MATCH(AM555,[1]物品基础表!$B:$B,0)),"")</f>
        <v/>
      </c>
      <c r="AQ555" s="1" t="str">
        <f>IFERROR(INDEX([1]物品基础表!$A:$A,MATCH(AP555,[1]物品基础表!$B:$B,0)),"")</f>
        <v/>
      </c>
    </row>
    <row r="556" spans="1:44">
      <c r="A556" s="1" t="str">
        <f>INDEX([2]活动总表!$A$8:$A$429,MATCH(B556,[2]活动总表!$B$8:$B$429,0))</f>
        <v>开门红限购3</v>
      </c>
      <c r="B556" s="1">
        <v>607</v>
      </c>
      <c r="C556" s="1">
        <v>5</v>
      </c>
      <c r="D556" s="1">
        <v>5</v>
      </c>
      <c r="E556" s="1">
        <v>0</v>
      </c>
      <c r="F556" s="1" t="s">
        <v>706</v>
      </c>
      <c r="G556" s="1">
        <v>8888</v>
      </c>
      <c r="H556" s="1">
        <v>15000</v>
      </c>
      <c r="I556" s="1">
        <v>10</v>
      </c>
      <c r="O556" s="1">
        <v>59</v>
      </c>
      <c r="X556" s="1">
        <v>200208</v>
      </c>
      <c r="Y556" s="1" t="str">
        <f>IFERROR(INDEX([1]物品基础表!$A:$A,MATCH(X556,[1]物品基础表!$B:$B,0)),"")</f>
        <v>烈焰印记低级升级材料</v>
      </c>
      <c r="Z556" s="1">
        <v>1500</v>
      </c>
      <c r="AB556" s="1" t="str">
        <f>IFERROR(INDEX([1]物品基础表!$A:$A,MATCH(AA556,[1]物品基础表!$B:$B,0)),"")</f>
        <v/>
      </c>
      <c r="AE556" s="1" t="str">
        <f>IFERROR(INDEX([1]物品基础表!$A:$A,MATCH(AD556,[1]物品基础表!$B:$B,0)),"")</f>
        <v/>
      </c>
      <c r="AH556" s="1" t="str">
        <f>IFERROR(INDEX([1]物品基础表!$A:$A,MATCH(AG556,[1]物品基础表!$B:$B,0)),"")</f>
        <v/>
      </c>
      <c r="AK556" s="1" t="str">
        <f>IFERROR(INDEX([1]物品基础表!$A:$A,MATCH(AJ556,[1]物品基础表!$B:$B,0)),"")</f>
        <v/>
      </c>
      <c r="AN556" s="1" t="str">
        <f>IFERROR(INDEX([1]物品基础表!$A:$A,MATCH(AM556,[1]物品基础表!$B:$B,0)),"")</f>
        <v/>
      </c>
      <c r="AQ556" s="1" t="str">
        <f>IFERROR(INDEX([1]物品基础表!$A:$A,MATCH(AP556,[1]物品基础表!$B:$B,0)),"")</f>
        <v/>
      </c>
    </row>
    <row r="557" spans="1:44">
      <c r="A557" s="1" t="str">
        <f>INDEX([2]活动总表!$A$8:$A$429,MATCH(B557,[2]活动总表!$B$8:$B$429,0))</f>
        <v>开门红-特惠礼包</v>
      </c>
      <c r="B557" s="1">
        <v>612</v>
      </c>
      <c r="C557" s="1">
        <v>1</v>
      </c>
      <c r="D557" s="1">
        <v>5</v>
      </c>
      <c r="E557" s="1">
        <v>0</v>
      </c>
      <c r="F557" s="1" t="s">
        <v>706</v>
      </c>
      <c r="G557" s="1">
        <v>4888</v>
      </c>
      <c r="I557" s="1">
        <v>1</v>
      </c>
      <c r="X557" s="1">
        <v>200208</v>
      </c>
      <c r="Y557" s="1" t="str">
        <f>IFERROR(INDEX([1]物品基础表!$A:$A,MATCH(X557,[1]物品基础表!$B:$B,0)),"")</f>
        <v>烈焰印记低级升级材料</v>
      </c>
      <c r="Z557" s="1">
        <v>1000</v>
      </c>
      <c r="AA557" s="1">
        <v>200015</v>
      </c>
      <c r="AB557" s="1" t="str">
        <f>IFERROR(INDEX([1]物品基础表!$A:$A,MATCH(AA557,[1]物品基础表!$B:$B,0)),"")</f>
        <v>特戒碎片</v>
      </c>
      <c r="AC557" s="1">
        <v>500</v>
      </c>
      <c r="AD557" s="1">
        <v>200005</v>
      </c>
      <c r="AE557" s="1" t="str">
        <f>IFERROR(INDEX([1]物品基础表!$A:$A,MATCH(AD557,[1]物品基础表!$B:$B,0)),"")</f>
        <v>龙魂碎片</v>
      </c>
      <c r="AF557" s="1">
        <v>30</v>
      </c>
      <c r="AG557" s="1">
        <v>201016</v>
      </c>
      <c r="AH557" s="1" t="str">
        <f>IFERROR(INDEX([1]物品基础表!$A:$A,MATCH(AG557,[1]物品基础表!$B:$B,0)),"")</f>
        <v>紫色图鉴包·传奇之路</v>
      </c>
      <c r="AI557" s="1">
        <v>1</v>
      </c>
      <c r="AJ557" s="1">
        <v>500006</v>
      </c>
      <c r="AK557" s="1" t="str">
        <f>IFERROR(INDEX([1]物品基础表!$A:$A,MATCH(AJ557,[1]物品基础表!$B:$B,0)),"")</f>
        <v>战纹精华-金</v>
      </c>
      <c r="AL557" s="1">
        <v>1</v>
      </c>
      <c r="AM557" s="1">
        <v>200156</v>
      </c>
      <c r="AN557" s="1" t="str">
        <f>IFERROR(INDEX([1]物品基础表!$A:$A,MATCH(AM557,[1]物品基础表!$B:$B,0)),"")</f>
        <v>野外BOSS次数卷轴</v>
      </c>
      <c r="AO557" s="1">
        <v>2</v>
      </c>
      <c r="AP557" s="1">
        <v>201002</v>
      </c>
      <c r="AQ557" s="1" t="str">
        <f>IFERROR(INDEX([1]物品基础表!$A:$A,MATCH(AP557,[1]物品基础表!$B:$B,0)),"")</f>
        <v>神秘钥匙</v>
      </c>
      <c r="AR557" s="1">
        <v>1</v>
      </c>
    </row>
    <row r="558" spans="1:44">
      <c r="A558" s="1" t="str">
        <f>INDEX([2]活动总表!$A$8:$A$429,MATCH(B558,[2]活动总表!$B$8:$B$429,0))</f>
        <v>开门红-特惠礼包</v>
      </c>
      <c r="B558" s="1">
        <v>612</v>
      </c>
      <c r="C558" s="1">
        <v>2</v>
      </c>
      <c r="D558" s="1">
        <v>5</v>
      </c>
      <c r="E558" s="1">
        <v>0</v>
      </c>
      <c r="F558" s="1" t="s">
        <v>706</v>
      </c>
      <c r="G558" s="1">
        <v>16888</v>
      </c>
      <c r="I558" s="1">
        <v>1</v>
      </c>
      <c r="X558" s="1">
        <v>200973</v>
      </c>
      <c r="Y558" s="1" t="str">
        <f>IFERROR(INDEX([1]物品基础表!$A:$A,MATCH(X558,[1]物品基础表!$B:$B,0)),"")</f>
        <v>极品橙色兽神装备任选宝箱</v>
      </c>
      <c r="Z558" s="1">
        <v>1</v>
      </c>
      <c r="AA558" s="1">
        <v>200015</v>
      </c>
      <c r="AB558" s="1" t="str">
        <f>IFERROR(INDEX([1]物品基础表!$A:$A,MATCH(AA558,[1]物品基础表!$B:$B,0)),"")</f>
        <v>特戒碎片</v>
      </c>
      <c r="AC558" s="1">
        <v>500</v>
      </c>
      <c r="AD558" s="1">
        <v>200208</v>
      </c>
      <c r="AE558" s="1" t="str">
        <f>IFERROR(INDEX([1]物品基础表!$A:$A,MATCH(AD558,[1]物品基础表!$B:$B,0)),"")</f>
        <v>烈焰印记低级升级材料</v>
      </c>
      <c r="AF558" s="1">
        <v>500</v>
      </c>
      <c r="AG558" s="1">
        <v>201016</v>
      </c>
      <c r="AH558" s="1" t="str">
        <f>IFERROR(INDEX([1]物品基础表!$A:$A,MATCH(AG558,[1]物品基础表!$B:$B,0)),"")</f>
        <v>紫色图鉴包·传奇之路</v>
      </c>
      <c r="AI558" s="1">
        <v>1</v>
      </c>
      <c r="AJ558" s="1">
        <v>500006</v>
      </c>
      <c r="AK558" s="1" t="str">
        <f>IFERROR(INDEX([1]物品基础表!$A:$A,MATCH(AJ558,[1]物品基础表!$B:$B,0)),"")</f>
        <v>战纹精华-金</v>
      </c>
      <c r="AL558" s="1">
        <v>2</v>
      </c>
      <c r="AM558" s="1">
        <v>200157</v>
      </c>
      <c r="AN558" s="1" t="str">
        <f>IFERROR(INDEX([1]物品基础表!$A:$A,MATCH(AM558,[1]物品基础表!$B:$B,0)),"")</f>
        <v>秘境BOSS次数卷轴</v>
      </c>
      <c r="AO558" s="1">
        <v>1</v>
      </c>
      <c r="AP558" s="1">
        <v>201002</v>
      </c>
      <c r="AQ558" s="1" t="str">
        <f>IFERROR(INDEX([1]物品基础表!$A:$A,MATCH(AP558,[1]物品基础表!$B:$B,0)),"")</f>
        <v>神秘钥匙</v>
      </c>
      <c r="AR558" s="1">
        <v>1</v>
      </c>
    </row>
    <row r="559" spans="1:44">
      <c r="A559" s="1" t="str">
        <f>INDEX([2]活动总表!$A$8:$A$429,MATCH(B559,[2]活动总表!$B$8:$B$429,0))</f>
        <v>开门红-特惠礼包</v>
      </c>
      <c r="B559" s="1">
        <v>612</v>
      </c>
      <c r="C559" s="1">
        <v>3</v>
      </c>
      <c r="D559" s="1">
        <v>5</v>
      </c>
      <c r="E559" s="1">
        <v>0</v>
      </c>
      <c r="F559" s="1" t="s">
        <v>706</v>
      </c>
      <c r="G559" s="1">
        <v>58888</v>
      </c>
      <c r="I559" s="1">
        <v>1</v>
      </c>
      <c r="X559" s="1">
        <v>200976</v>
      </c>
      <c r="Y559" s="1" t="str">
        <f>IFERROR(INDEX([1]物品基础表!$A:$A,MATCH(X559,[1]物品基础表!$B:$B,0)),"")</f>
        <v>极品红色兽神装备任选宝箱</v>
      </c>
      <c r="Z559" s="1">
        <v>1</v>
      </c>
      <c r="AA559" s="1">
        <v>200208</v>
      </c>
      <c r="AB559" s="1" t="str">
        <f>IFERROR(INDEX([1]物品基础表!$A:$A,MATCH(AA559,[1]物品基础表!$B:$B,0)),"")</f>
        <v>烈焰印记低级升级材料</v>
      </c>
      <c r="AC559" s="1">
        <v>1500</v>
      </c>
      <c r="AD559" s="1">
        <v>200015</v>
      </c>
      <c r="AE559" s="1" t="str">
        <f>IFERROR(INDEX([1]物品基础表!$A:$A,MATCH(AD559,[1]物品基础表!$B:$B,0)),"")</f>
        <v>特戒碎片</v>
      </c>
      <c r="AF559" s="1">
        <v>800</v>
      </c>
      <c r="AG559" s="1">
        <v>201017</v>
      </c>
      <c r="AH559" s="1" t="str">
        <f>IFERROR(INDEX([1]物品基础表!$A:$A,MATCH(AG559,[1]物品基础表!$B:$B,0)),"")</f>
        <v>橙色图鉴包·传奇之路</v>
      </c>
      <c r="AI559" s="1">
        <v>1</v>
      </c>
      <c r="AJ559" s="1">
        <v>500006</v>
      </c>
      <c r="AK559" s="1" t="str">
        <f>IFERROR(INDEX([1]物品基础表!$A:$A,MATCH(AJ559,[1]物品基础表!$B:$B,0)),"")</f>
        <v>战纹精华-金</v>
      </c>
      <c r="AL559" s="1">
        <v>5</v>
      </c>
      <c r="AM559" s="1">
        <v>200157</v>
      </c>
      <c r="AN559" s="1" t="str">
        <f>IFERROR(INDEX([1]物品基础表!$A:$A,MATCH(AM559,[1]物品基础表!$B:$B,0)),"")</f>
        <v>秘境BOSS次数卷轴</v>
      </c>
      <c r="AO559" s="1">
        <v>1</v>
      </c>
      <c r="AP559" s="1">
        <v>201002</v>
      </c>
      <c r="AQ559" s="1" t="str">
        <f>IFERROR(INDEX([1]物品基础表!$A:$A,MATCH(AP559,[1]物品基础表!$B:$B,0)),"")</f>
        <v>神秘钥匙</v>
      </c>
      <c r="AR559" s="1">
        <v>1</v>
      </c>
    </row>
    <row r="560" spans="1:44">
      <c r="A560" s="1" t="str">
        <f>INDEX([2]活动总表!$A$8:$A$429,MATCH(B560,[2]活动总表!$B$8:$B$429,0))</f>
        <v>开门红-特惠礼包</v>
      </c>
      <c r="B560" s="1">
        <v>612</v>
      </c>
      <c r="C560" s="1">
        <v>4</v>
      </c>
      <c r="D560" s="1">
        <v>5</v>
      </c>
      <c r="E560" s="1">
        <v>0</v>
      </c>
      <c r="F560" s="1" t="s">
        <v>706</v>
      </c>
      <c r="G560" s="1">
        <v>128888</v>
      </c>
      <c r="I560" s="1">
        <v>1</v>
      </c>
      <c r="X560" s="1">
        <v>121501</v>
      </c>
      <c r="Y560" s="1" t="str">
        <f>IFERROR(INDEX([1]物品基础表!$A:$A,MATCH(X560,[1]物品基础表!$B:$B,0)),"")</f>
        <v>传奇衣服1</v>
      </c>
      <c r="Z560" s="1">
        <v>1</v>
      </c>
      <c r="AA560" s="1">
        <v>500011</v>
      </c>
      <c r="AB560" s="1" t="str">
        <f>IFERROR(INDEX([1]物品基础表!$A:$A,MATCH(AA560,[1]物品基础表!$B:$B,0)),"")</f>
        <v>战纹碎片（小）</v>
      </c>
      <c r="AC560" s="1">
        <v>1000</v>
      </c>
      <c r="AD560" s="1">
        <v>200001</v>
      </c>
      <c r="AE560" s="1" t="str">
        <f>IFERROR(INDEX([1]物品基础表!$A:$A,MATCH(AD560,[1]物品基础表!$B:$B,0)),"")</f>
        <v>羽毛</v>
      </c>
      <c r="AF560" s="1">
        <v>100</v>
      </c>
      <c r="AG560" s="1">
        <v>200005</v>
      </c>
      <c r="AH560" s="1" t="str">
        <f>IFERROR(INDEX([1]物品基础表!$A:$A,MATCH(AG560,[1]物品基础表!$B:$B,0)),"")</f>
        <v>龙魂碎片</v>
      </c>
      <c r="AI560" s="1">
        <v>100</v>
      </c>
      <c r="AJ560" s="1">
        <v>500006</v>
      </c>
      <c r="AK560" s="1" t="str">
        <f>IFERROR(INDEX([1]物品基础表!$A:$A,MATCH(AJ560,[1]物品基础表!$B:$B,0)),"")</f>
        <v>战纹精华-金</v>
      </c>
      <c r="AL560" s="1">
        <v>10</v>
      </c>
      <c r="AM560" s="1">
        <v>200157</v>
      </c>
      <c r="AN560" s="1" t="str">
        <f>IFERROR(INDEX([1]物品基础表!$A:$A,MATCH(AM560,[1]物品基础表!$B:$B,0)),"")</f>
        <v>秘境BOSS次数卷轴</v>
      </c>
      <c r="AO560" s="1">
        <v>1</v>
      </c>
      <c r="AP560" s="1">
        <v>201002</v>
      </c>
      <c r="AQ560" s="1" t="str">
        <f>IFERROR(INDEX([1]物品基础表!$A:$A,MATCH(AP560,[1]物品基础表!$B:$B,0)),"")</f>
        <v>神秘钥匙</v>
      </c>
      <c r="AR560" s="1">
        <v>2</v>
      </c>
    </row>
    <row r="561" spans="1:43">
      <c r="A561" s="1" t="str">
        <f>INDEX([2]活动总表!$A$8:$A$429,MATCH(B561,[2]活动总表!$B$8:$B$429,0))</f>
        <v>(61+)开门红限购1</v>
      </c>
      <c r="B561" s="1">
        <v>613</v>
      </c>
      <c r="C561" s="1">
        <v>1</v>
      </c>
      <c r="D561" s="1">
        <v>5</v>
      </c>
      <c r="E561" s="1">
        <v>0</v>
      </c>
      <c r="F561" s="1" t="s">
        <v>706</v>
      </c>
      <c r="G561" s="1">
        <v>888</v>
      </c>
      <c r="H561" s="1">
        <v>1500</v>
      </c>
      <c r="I561" s="1">
        <v>3</v>
      </c>
      <c r="O561" s="1">
        <v>59</v>
      </c>
      <c r="X561" s="1">
        <v>200208</v>
      </c>
      <c r="Y561" s="1" t="str">
        <f>IFERROR(INDEX([1]物品基础表!$A:$A,MATCH(X561,[1]物品基础表!$B:$B,0)),"")</f>
        <v>烈焰印记低级升级材料</v>
      </c>
      <c r="Z561" s="1">
        <v>150</v>
      </c>
      <c r="AB561" s="1" t="str">
        <f>IFERROR(INDEX([1]物品基础表!$A:$A,MATCH(AA561,[1]物品基础表!$B:$B,0)),"")</f>
        <v/>
      </c>
      <c r="AE561" s="1" t="str">
        <f>IFERROR(INDEX([1]物品基础表!$A:$A,MATCH(AD561,[1]物品基础表!$B:$B,0)),"")</f>
        <v/>
      </c>
      <c r="AH561" s="1" t="str">
        <f>IFERROR(INDEX([1]物品基础表!$A:$A,MATCH(AG561,[1]物品基础表!$B:$B,0)),"")</f>
        <v/>
      </c>
      <c r="AK561" s="1" t="str">
        <f>IFERROR(INDEX([1]物品基础表!$A:$A,MATCH(AJ561,[1]物品基础表!$B:$B,0)),"")</f>
        <v/>
      </c>
      <c r="AN561" s="1" t="str">
        <f>IFERROR(INDEX([1]物品基础表!$A:$A,MATCH(AM561,[1]物品基础表!$B:$B,0)),"")</f>
        <v/>
      </c>
      <c r="AQ561" s="1" t="str">
        <f>IFERROR(INDEX([1]物品基础表!$A:$A,MATCH(AP561,[1]物品基础表!$B:$B,0)),"")</f>
        <v/>
      </c>
    </row>
    <row r="562" spans="1:43">
      <c r="A562" s="1" t="str">
        <f>INDEX([2]活动总表!$A$8:$A$429,MATCH(B562,[2]活动总表!$B$8:$B$429,0))</f>
        <v>(61+)开门红限购1</v>
      </c>
      <c r="B562" s="1">
        <v>613</v>
      </c>
      <c r="C562" s="1">
        <v>2</v>
      </c>
      <c r="D562" s="1">
        <v>7</v>
      </c>
      <c r="E562" s="1">
        <v>0</v>
      </c>
      <c r="F562" s="1" t="s">
        <v>706</v>
      </c>
      <c r="G562" s="1">
        <v>1588</v>
      </c>
      <c r="H562" s="1">
        <v>4500</v>
      </c>
      <c r="I562" s="1">
        <v>2</v>
      </c>
      <c r="O562" s="1">
        <v>35</v>
      </c>
      <c r="X562" s="1">
        <v>200208</v>
      </c>
      <c r="Y562" s="1" t="str">
        <f>IFERROR(INDEX([1]物品基础表!$A:$A,MATCH(X562,[1]物品基础表!$B:$B,0)),"")</f>
        <v>烈焰印记低级升级材料</v>
      </c>
      <c r="Z562" s="1">
        <v>450</v>
      </c>
      <c r="AB562" s="1" t="str">
        <f>IFERROR(INDEX([1]物品基础表!$A:$A,MATCH(AA562,[1]物品基础表!$B:$B,0)),"")</f>
        <v/>
      </c>
      <c r="AE562" s="1" t="str">
        <f>IFERROR(INDEX([1]物品基础表!$A:$A,MATCH(AD562,[1]物品基础表!$B:$B,0)),"")</f>
        <v/>
      </c>
      <c r="AH562" s="1" t="str">
        <f>IFERROR(INDEX([1]物品基础表!$A:$A,MATCH(AG562,[1]物品基础表!$B:$B,0)),"")</f>
        <v/>
      </c>
      <c r="AK562" s="1" t="str">
        <f>IFERROR(INDEX([1]物品基础表!$A:$A,MATCH(AJ562,[1]物品基础表!$B:$B,0)),"")</f>
        <v/>
      </c>
      <c r="AN562" s="1" t="str">
        <f>IFERROR(INDEX([1]物品基础表!$A:$A,MATCH(AM562,[1]物品基础表!$B:$B,0)),"")</f>
        <v/>
      </c>
      <c r="AQ562" s="1" t="str">
        <f>IFERROR(INDEX([1]物品基础表!$A:$A,MATCH(AP562,[1]物品基础表!$B:$B,0)),"")</f>
        <v/>
      </c>
    </row>
    <row r="563" spans="1:43">
      <c r="A563" s="1" t="str">
        <f>INDEX([2]活动总表!$A$8:$A$429,MATCH(B563,[2]活动总表!$B$8:$B$429,0))</f>
        <v>(61+)开门红限购1</v>
      </c>
      <c r="B563" s="1">
        <v>613</v>
      </c>
      <c r="C563" s="1">
        <v>3</v>
      </c>
      <c r="D563" s="1">
        <v>7</v>
      </c>
      <c r="E563" s="1">
        <v>0</v>
      </c>
      <c r="F563" s="1" t="s">
        <v>706</v>
      </c>
      <c r="G563" s="1">
        <v>2888</v>
      </c>
      <c r="H563" s="1">
        <v>8000</v>
      </c>
      <c r="I563" s="1">
        <v>2</v>
      </c>
      <c r="O563" s="1">
        <v>36</v>
      </c>
      <c r="X563" s="1">
        <v>200208</v>
      </c>
      <c r="Y563" s="1" t="str">
        <f>IFERROR(INDEX([1]物品基础表!$A:$A,MATCH(X563,[1]物品基础表!$B:$B,0)),"")</f>
        <v>烈焰印记低级升级材料</v>
      </c>
      <c r="Z563" s="1">
        <v>800</v>
      </c>
      <c r="AB563" s="1" t="str">
        <f>IFERROR(INDEX([1]物品基础表!$A:$A,MATCH(AA563,[1]物品基础表!$B:$B,0)),"")</f>
        <v/>
      </c>
      <c r="AE563" s="1" t="str">
        <f>IFERROR(INDEX([1]物品基础表!$A:$A,MATCH(AD563,[1]物品基础表!$B:$B,0)),"")</f>
        <v/>
      </c>
      <c r="AH563" s="1" t="str">
        <f>IFERROR(INDEX([1]物品基础表!$A:$A,MATCH(AG563,[1]物品基础表!$B:$B,0)),"")</f>
        <v/>
      </c>
      <c r="AK563" s="1" t="str">
        <f>IFERROR(INDEX([1]物品基础表!$A:$A,MATCH(AJ563,[1]物品基础表!$B:$B,0)),"")</f>
        <v/>
      </c>
      <c r="AN563" s="1" t="str">
        <f>IFERROR(INDEX([1]物品基础表!$A:$A,MATCH(AM563,[1]物品基础表!$B:$B,0)),"")</f>
        <v/>
      </c>
      <c r="AQ563" s="1" t="str">
        <f>IFERROR(INDEX([1]物品基础表!$A:$A,MATCH(AP563,[1]物品基础表!$B:$B,0)),"")</f>
        <v/>
      </c>
    </row>
    <row r="564" spans="1:43">
      <c r="A564" s="1" t="str">
        <f>INDEX([2]活动总表!$A$8:$A$429,MATCH(B564,[2]活动总表!$B$8:$B$429,0))</f>
        <v>(61+)开门红限购1</v>
      </c>
      <c r="B564" s="1">
        <v>613</v>
      </c>
      <c r="C564" s="1">
        <v>4</v>
      </c>
      <c r="D564" s="1">
        <v>5</v>
      </c>
      <c r="E564" s="1">
        <v>0</v>
      </c>
      <c r="F564" s="1" t="s">
        <v>706</v>
      </c>
      <c r="G564" s="1">
        <v>2888</v>
      </c>
      <c r="H564" s="1">
        <v>5000</v>
      </c>
      <c r="I564" s="1">
        <v>3</v>
      </c>
      <c r="O564" s="1">
        <v>57</v>
      </c>
      <c r="X564" s="1">
        <v>200208</v>
      </c>
      <c r="Y564" s="1" t="str">
        <f>IFERROR(INDEX([1]物品基础表!$A:$A,MATCH(X564,[1]物品基础表!$B:$B,0)),"")</f>
        <v>烈焰印记低级升级材料</v>
      </c>
      <c r="Z564" s="1">
        <v>500</v>
      </c>
      <c r="AB564" s="1" t="str">
        <f>IFERROR(INDEX([1]物品基础表!$A:$A,MATCH(AA564,[1]物品基础表!$B:$B,0)),"")</f>
        <v/>
      </c>
      <c r="AE564" s="1" t="str">
        <f>IFERROR(INDEX([1]物品基础表!$A:$A,MATCH(AD564,[1]物品基础表!$B:$B,0)),"")</f>
        <v/>
      </c>
      <c r="AH564" s="1" t="str">
        <f>IFERROR(INDEX([1]物品基础表!$A:$A,MATCH(AG564,[1]物品基础表!$B:$B,0)),"")</f>
        <v/>
      </c>
      <c r="AK564" s="1" t="str">
        <f>IFERROR(INDEX([1]物品基础表!$A:$A,MATCH(AJ564,[1]物品基础表!$B:$B,0)),"")</f>
        <v/>
      </c>
      <c r="AN564" s="1" t="str">
        <f>IFERROR(INDEX([1]物品基础表!$A:$A,MATCH(AM564,[1]物品基础表!$B:$B,0)),"")</f>
        <v/>
      </c>
      <c r="AQ564" s="1" t="str">
        <f>IFERROR(INDEX([1]物品基础表!$A:$A,MATCH(AP564,[1]物品基础表!$B:$B,0)),"")</f>
        <v/>
      </c>
    </row>
    <row r="565" spans="1:43">
      <c r="A565" s="1" t="str">
        <f>INDEX([2]活动总表!$A$8:$A$429,MATCH(B565,[2]活动总表!$B$8:$B$429,0))</f>
        <v>(61+)开门红限购1</v>
      </c>
      <c r="B565" s="1">
        <v>613</v>
      </c>
      <c r="C565" s="1">
        <v>5</v>
      </c>
      <c r="D565" s="1">
        <v>5</v>
      </c>
      <c r="E565" s="1">
        <v>0</v>
      </c>
      <c r="F565" s="1" t="s">
        <v>706</v>
      </c>
      <c r="G565" s="1">
        <v>8888</v>
      </c>
      <c r="H565" s="1">
        <v>15000</v>
      </c>
      <c r="I565" s="1">
        <v>10</v>
      </c>
      <c r="O565" s="1">
        <v>59</v>
      </c>
      <c r="X565" s="1">
        <v>200208</v>
      </c>
      <c r="Y565" s="1" t="str">
        <f>IFERROR(INDEX([1]物品基础表!$A:$A,MATCH(X565,[1]物品基础表!$B:$B,0)),"")</f>
        <v>烈焰印记低级升级材料</v>
      </c>
      <c r="Z565" s="1">
        <v>1500</v>
      </c>
      <c r="AB565" s="1" t="str">
        <f>IFERROR(INDEX([1]物品基础表!$A:$A,MATCH(AA565,[1]物品基础表!$B:$B,0)),"")</f>
        <v/>
      </c>
      <c r="AE565" s="1" t="str">
        <f>IFERROR(INDEX([1]物品基础表!$A:$A,MATCH(AD565,[1]物品基础表!$B:$B,0)),"")</f>
        <v/>
      </c>
      <c r="AH565" s="1" t="str">
        <f>IFERROR(INDEX([1]物品基础表!$A:$A,MATCH(AG565,[1]物品基础表!$B:$B,0)),"")</f>
        <v/>
      </c>
      <c r="AK565" s="1" t="str">
        <f>IFERROR(INDEX([1]物品基础表!$A:$A,MATCH(AJ565,[1]物品基础表!$B:$B,0)),"")</f>
        <v/>
      </c>
      <c r="AN565" s="1" t="str">
        <f>IFERROR(INDEX([1]物品基础表!$A:$A,MATCH(AM565,[1]物品基础表!$B:$B,0)),"")</f>
        <v/>
      </c>
      <c r="AQ565" s="1" t="str">
        <f>IFERROR(INDEX([1]物品基础表!$A:$A,MATCH(AP565,[1]物品基础表!$B:$B,0)),"")</f>
        <v/>
      </c>
    </row>
    <row r="566" spans="1:43">
      <c r="A566" s="1" t="str">
        <f>INDEX([2]活动总表!$A$8:$A$429,MATCH(B566,[2]活动总表!$B$8:$B$429,0))</f>
        <v>(61+)开门红限购2</v>
      </c>
      <c r="B566" s="1">
        <v>614</v>
      </c>
      <c r="C566" s="1">
        <v>1</v>
      </c>
      <c r="D566" s="1">
        <v>5</v>
      </c>
      <c r="E566" s="1">
        <v>0</v>
      </c>
      <c r="F566" s="1" t="s">
        <v>706</v>
      </c>
      <c r="G566" s="1">
        <v>888</v>
      </c>
      <c r="H566" s="1">
        <v>1500</v>
      </c>
      <c r="I566" s="1">
        <v>3</v>
      </c>
      <c r="O566" s="1">
        <v>59</v>
      </c>
      <c r="X566" s="1">
        <v>200208</v>
      </c>
      <c r="Y566" s="1" t="str">
        <f>IFERROR(INDEX([1]物品基础表!$A:$A,MATCH(X566,[1]物品基础表!$B:$B,0)),"")</f>
        <v>烈焰印记低级升级材料</v>
      </c>
      <c r="Z566" s="1">
        <v>150</v>
      </c>
      <c r="AB566" s="1" t="str">
        <f>IFERROR(INDEX([1]物品基础表!$A:$A,MATCH(AA566,[1]物品基础表!$B:$B,0)),"")</f>
        <v/>
      </c>
      <c r="AE566" s="1" t="str">
        <f>IFERROR(INDEX([1]物品基础表!$A:$A,MATCH(AD566,[1]物品基础表!$B:$B,0)),"")</f>
        <v/>
      </c>
      <c r="AH566" s="1" t="str">
        <f>IFERROR(INDEX([1]物品基础表!$A:$A,MATCH(AG566,[1]物品基础表!$B:$B,0)),"")</f>
        <v/>
      </c>
      <c r="AK566" s="1" t="str">
        <f>IFERROR(INDEX([1]物品基础表!$A:$A,MATCH(AJ566,[1]物品基础表!$B:$B,0)),"")</f>
        <v/>
      </c>
      <c r="AN566" s="1" t="str">
        <f>IFERROR(INDEX([1]物品基础表!$A:$A,MATCH(AM566,[1]物品基础表!$B:$B,0)),"")</f>
        <v/>
      </c>
      <c r="AQ566" s="1" t="str">
        <f>IFERROR(INDEX([1]物品基础表!$A:$A,MATCH(AP566,[1]物品基础表!$B:$B,0)),"")</f>
        <v/>
      </c>
    </row>
    <row r="567" spans="1:43">
      <c r="A567" s="1" t="str">
        <f>INDEX([2]活动总表!$A$8:$A$429,MATCH(B567,[2]活动总表!$B$8:$B$429,0))</f>
        <v>(61+)开门红限购2</v>
      </c>
      <c r="B567" s="1">
        <v>614</v>
      </c>
      <c r="C567" s="1">
        <v>2</v>
      </c>
      <c r="D567" s="1">
        <v>7</v>
      </c>
      <c r="E567" s="1">
        <v>0</v>
      </c>
      <c r="F567" s="1" t="s">
        <v>706</v>
      </c>
      <c r="G567" s="1">
        <v>1588</v>
      </c>
      <c r="H567" s="1">
        <v>4500</v>
      </c>
      <c r="I567" s="1">
        <v>2</v>
      </c>
      <c r="O567" s="1">
        <v>35</v>
      </c>
      <c r="X567" s="1">
        <v>200208</v>
      </c>
      <c r="Y567" s="1" t="str">
        <f>IFERROR(INDEX([1]物品基础表!$A:$A,MATCH(X567,[1]物品基础表!$B:$B,0)),"")</f>
        <v>烈焰印记低级升级材料</v>
      </c>
      <c r="Z567" s="1">
        <v>450</v>
      </c>
      <c r="AB567" s="1" t="str">
        <f>IFERROR(INDEX([1]物品基础表!$A:$A,MATCH(AA567,[1]物品基础表!$B:$B,0)),"")</f>
        <v/>
      </c>
      <c r="AE567" s="1" t="str">
        <f>IFERROR(INDEX([1]物品基础表!$A:$A,MATCH(AD567,[1]物品基础表!$B:$B,0)),"")</f>
        <v/>
      </c>
      <c r="AH567" s="1" t="str">
        <f>IFERROR(INDEX([1]物品基础表!$A:$A,MATCH(AG567,[1]物品基础表!$B:$B,0)),"")</f>
        <v/>
      </c>
      <c r="AK567" s="1" t="str">
        <f>IFERROR(INDEX([1]物品基础表!$A:$A,MATCH(AJ567,[1]物品基础表!$B:$B,0)),"")</f>
        <v/>
      </c>
      <c r="AN567" s="1" t="str">
        <f>IFERROR(INDEX([1]物品基础表!$A:$A,MATCH(AM567,[1]物品基础表!$B:$B,0)),"")</f>
        <v/>
      </c>
      <c r="AQ567" s="1" t="str">
        <f>IFERROR(INDEX([1]物品基础表!$A:$A,MATCH(AP567,[1]物品基础表!$B:$B,0)),"")</f>
        <v/>
      </c>
    </row>
    <row r="568" spans="1:43">
      <c r="A568" s="1" t="str">
        <f>INDEX([2]活动总表!$A$8:$A$429,MATCH(B568,[2]活动总表!$B$8:$B$429,0))</f>
        <v>(61+)开门红限购2</v>
      </c>
      <c r="B568" s="1">
        <v>614</v>
      </c>
      <c r="C568" s="1">
        <v>3</v>
      </c>
      <c r="D568" s="1">
        <v>7</v>
      </c>
      <c r="E568" s="1">
        <v>0</v>
      </c>
      <c r="F568" s="1" t="s">
        <v>706</v>
      </c>
      <c r="G568" s="1">
        <v>2888</v>
      </c>
      <c r="H568" s="1">
        <v>8000</v>
      </c>
      <c r="I568" s="1">
        <v>2</v>
      </c>
      <c r="O568" s="1">
        <v>36</v>
      </c>
      <c r="X568" s="1">
        <v>200208</v>
      </c>
      <c r="Y568" s="1" t="str">
        <f>IFERROR(INDEX([1]物品基础表!$A:$A,MATCH(X568,[1]物品基础表!$B:$B,0)),"")</f>
        <v>烈焰印记低级升级材料</v>
      </c>
      <c r="Z568" s="1">
        <v>800</v>
      </c>
      <c r="AB568" s="1" t="str">
        <f>IFERROR(INDEX([1]物品基础表!$A:$A,MATCH(AA568,[1]物品基础表!$B:$B,0)),"")</f>
        <v/>
      </c>
      <c r="AE568" s="1" t="str">
        <f>IFERROR(INDEX([1]物品基础表!$A:$A,MATCH(AD568,[1]物品基础表!$B:$B,0)),"")</f>
        <v/>
      </c>
      <c r="AH568" s="1" t="str">
        <f>IFERROR(INDEX([1]物品基础表!$A:$A,MATCH(AG568,[1]物品基础表!$B:$B,0)),"")</f>
        <v/>
      </c>
      <c r="AK568" s="1" t="str">
        <f>IFERROR(INDEX([1]物品基础表!$A:$A,MATCH(AJ568,[1]物品基础表!$B:$B,0)),"")</f>
        <v/>
      </c>
      <c r="AN568" s="1" t="str">
        <f>IFERROR(INDEX([1]物品基础表!$A:$A,MATCH(AM568,[1]物品基础表!$B:$B,0)),"")</f>
        <v/>
      </c>
      <c r="AQ568" s="1" t="str">
        <f>IFERROR(INDEX([1]物品基础表!$A:$A,MATCH(AP568,[1]物品基础表!$B:$B,0)),"")</f>
        <v/>
      </c>
    </row>
    <row r="569" spans="1:43">
      <c r="A569" s="1" t="str">
        <f>INDEX([2]活动总表!$A$8:$A$429,MATCH(B569,[2]活动总表!$B$8:$B$429,0))</f>
        <v>(61+)开门红限购2</v>
      </c>
      <c r="B569" s="1">
        <v>614</v>
      </c>
      <c r="C569" s="1">
        <v>4</v>
      </c>
      <c r="D569" s="1">
        <v>5</v>
      </c>
      <c r="E569" s="1">
        <v>0</v>
      </c>
      <c r="F569" s="1" t="s">
        <v>706</v>
      </c>
      <c r="G569" s="1">
        <v>2888</v>
      </c>
      <c r="H569" s="1">
        <v>5000</v>
      </c>
      <c r="I569" s="1">
        <v>3</v>
      </c>
      <c r="O569" s="1">
        <v>57</v>
      </c>
      <c r="X569" s="1">
        <v>200208</v>
      </c>
      <c r="Y569" s="1" t="str">
        <f>IFERROR(INDEX([1]物品基础表!$A:$A,MATCH(X569,[1]物品基础表!$B:$B,0)),"")</f>
        <v>烈焰印记低级升级材料</v>
      </c>
      <c r="Z569" s="1">
        <v>500</v>
      </c>
      <c r="AB569" s="1" t="str">
        <f>IFERROR(INDEX([1]物品基础表!$A:$A,MATCH(AA569,[1]物品基础表!$B:$B,0)),"")</f>
        <v/>
      </c>
      <c r="AE569" s="1" t="str">
        <f>IFERROR(INDEX([1]物品基础表!$A:$A,MATCH(AD569,[1]物品基础表!$B:$B,0)),"")</f>
        <v/>
      </c>
      <c r="AH569" s="1" t="str">
        <f>IFERROR(INDEX([1]物品基础表!$A:$A,MATCH(AG569,[1]物品基础表!$B:$B,0)),"")</f>
        <v/>
      </c>
      <c r="AK569" s="1" t="str">
        <f>IFERROR(INDEX([1]物品基础表!$A:$A,MATCH(AJ569,[1]物品基础表!$B:$B,0)),"")</f>
        <v/>
      </c>
      <c r="AN569" s="1" t="str">
        <f>IFERROR(INDEX([1]物品基础表!$A:$A,MATCH(AM569,[1]物品基础表!$B:$B,0)),"")</f>
        <v/>
      </c>
      <c r="AQ569" s="1" t="str">
        <f>IFERROR(INDEX([1]物品基础表!$A:$A,MATCH(AP569,[1]物品基础表!$B:$B,0)),"")</f>
        <v/>
      </c>
    </row>
    <row r="570" spans="1:43">
      <c r="A570" s="1" t="str">
        <f>INDEX([2]活动总表!$A$8:$A$429,MATCH(B570,[2]活动总表!$B$8:$B$429,0))</f>
        <v>(61+)开门红限购2</v>
      </c>
      <c r="B570" s="1">
        <v>614</v>
      </c>
      <c r="C570" s="1">
        <v>5</v>
      </c>
      <c r="D570" s="1">
        <v>5</v>
      </c>
      <c r="E570" s="1">
        <v>0</v>
      </c>
      <c r="F570" s="1" t="s">
        <v>706</v>
      </c>
      <c r="G570" s="1">
        <v>8888</v>
      </c>
      <c r="H570" s="1">
        <v>15000</v>
      </c>
      <c r="I570" s="1">
        <v>10</v>
      </c>
      <c r="O570" s="1">
        <v>59</v>
      </c>
      <c r="X570" s="1">
        <v>200208</v>
      </c>
      <c r="Y570" s="1" t="str">
        <f>IFERROR(INDEX([1]物品基础表!$A:$A,MATCH(X570,[1]物品基础表!$B:$B,0)),"")</f>
        <v>烈焰印记低级升级材料</v>
      </c>
      <c r="Z570" s="1">
        <v>1500</v>
      </c>
      <c r="AB570" s="1" t="str">
        <f>IFERROR(INDEX([1]物品基础表!$A:$A,MATCH(AA570,[1]物品基础表!$B:$B,0)),"")</f>
        <v/>
      </c>
      <c r="AE570" s="1" t="str">
        <f>IFERROR(INDEX([1]物品基础表!$A:$A,MATCH(AD570,[1]物品基础表!$B:$B,0)),"")</f>
        <v/>
      </c>
      <c r="AH570" s="1" t="str">
        <f>IFERROR(INDEX([1]物品基础表!$A:$A,MATCH(AG570,[1]物品基础表!$B:$B,0)),"")</f>
        <v/>
      </c>
      <c r="AK570" s="1" t="str">
        <f>IFERROR(INDEX([1]物品基础表!$A:$A,MATCH(AJ570,[1]物品基础表!$B:$B,0)),"")</f>
        <v/>
      </c>
      <c r="AN570" s="1" t="str">
        <f>IFERROR(INDEX([1]物品基础表!$A:$A,MATCH(AM570,[1]物品基础表!$B:$B,0)),"")</f>
        <v/>
      </c>
      <c r="AQ570" s="1" t="str">
        <f>IFERROR(INDEX([1]物品基础表!$A:$A,MATCH(AP570,[1]物品基础表!$B:$B,0)),"")</f>
        <v/>
      </c>
    </row>
    <row r="571" spans="1:43">
      <c r="A571" s="1" t="str">
        <f>INDEX([2]活动总表!$A$8:$A$429,MATCH(B571,[2]活动总表!$B$8:$B$429,0))</f>
        <v>(61+)开门红限购3</v>
      </c>
      <c r="B571" s="1">
        <v>615</v>
      </c>
      <c r="C571" s="1">
        <v>1</v>
      </c>
      <c r="D571" s="1">
        <v>5</v>
      </c>
      <c r="E571" s="1">
        <v>0</v>
      </c>
      <c r="F571" s="1" t="s">
        <v>706</v>
      </c>
      <c r="G571" s="1">
        <v>888</v>
      </c>
      <c r="H571" s="1">
        <v>1500</v>
      </c>
      <c r="I571" s="1">
        <v>3</v>
      </c>
      <c r="O571" s="1">
        <v>59</v>
      </c>
      <c r="X571" s="1">
        <v>200208</v>
      </c>
      <c r="Y571" s="1" t="str">
        <f>IFERROR(INDEX([1]物品基础表!$A:$A,MATCH(X571,[1]物品基础表!$B:$B,0)),"")</f>
        <v>烈焰印记低级升级材料</v>
      </c>
      <c r="Z571" s="1">
        <v>150</v>
      </c>
      <c r="AB571" s="1" t="str">
        <f>IFERROR(INDEX([1]物品基础表!$A:$A,MATCH(AA571,[1]物品基础表!$B:$B,0)),"")</f>
        <v/>
      </c>
      <c r="AE571" s="1" t="str">
        <f>IFERROR(INDEX([1]物品基础表!$A:$A,MATCH(AD571,[1]物品基础表!$B:$B,0)),"")</f>
        <v/>
      </c>
      <c r="AH571" s="1" t="str">
        <f>IFERROR(INDEX([1]物品基础表!$A:$A,MATCH(AG571,[1]物品基础表!$B:$B,0)),"")</f>
        <v/>
      </c>
      <c r="AK571" s="1" t="str">
        <f>IFERROR(INDEX([1]物品基础表!$A:$A,MATCH(AJ571,[1]物品基础表!$B:$B,0)),"")</f>
        <v/>
      </c>
      <c r="AN571" s="1" t="str">
        <f>IFERROR(INDEX([1]物品基础表!$A:$A,MATCH(AM571,[1]物品基础表!$B:$B,0)),"")</f>
        <v/>
      </c>
      <c r="AQ571" s="1" t="str">
        <f>IFERROR(INDEX([1]物品基础表!$A:$A,MATCH(AP571,[1]物品基础表!$B:$B,0)),"")</f>
        <v/>
      </c>
    </row>
    <row r="572" spans="1:43">
      <c r="A572" s="1" t="str">
        <f>INDEX([2]活动总表!$A$8:$A$429,MATCH(B572,[2]活动总表!$B$8:$B$429,0))</f>
        <v>(61+)开门红限购3</v>
      </c>
      <c r="B572" s="1">
        <v>615</v>
      </c>
      <c r="C572" s="1">
        <v>2</v>
      </c>
      <c r="D572" s="1">
        <v>7</v>
      </c>
      <c r="E572" s="1">
        <v>0</v>
      </c>
      <c r="F572" s="1" t="s">
        <v>706</v>
      </c>
      <c r="G572" s="1">
        <v>1588</v>
      </c>
      <c r="H572" s="1">
        <v>4500</v>
      </c>
      <c r="I572" s="1">
        <v>2</v>
      </c>
      <c r="O572" s="1">
        <v>35</v>
      </c>
      <c r="X572" s="1">
        <v>200208</v>
      </c>
      <c r="Y572" s="1" t="str">
        <f>IFERROR(INDEX([1]物品基础表!$A:$A,MATCH(X572,[1]物品基础表!$B:$B,0)),"")</f>
        <v>烈焰印记低级升级材料</v>
      </c>
      <c r="Z572" s="1">
        <v>450</v>
      </c>
      <c r="AB572" s="1" t="str">
        <f>IFERROR(INDEX([1]物品基础表!$A:$A,MATCH(AA572,[1]物品基础表!$B:$B,0)),"")</f>
        <v/>
      </c>
      <c r="AE572" s="1" t="str">
        <f>IFERROR(INDEX([1]物品基础表!$A:$A,MATCH(AD572,[1]物品基础表!$B:$B,0)),"")</f>
        <v/>
      </c>
      <c r="AH572" s="1" t="str">
        <f>IFERROR(INDEX([1]物品基础表!$A:$A,MATCH(AG572,[1]物品基础表!$B:$B,0)),"")</f>
        <v/>
      </c>
      <c r="AK572" s="1" t="str">
        <f>IFERROR(INDEX([1]物品基础表!$A:$A,MATCH(AJ572,[1]物品基础表!$B:$B,0)),"")</f>
        <v/>
      </c>
      <c r="AN572" s="1" t="str">
        <f>IFERROR(INDEX([1]物品基础表!$A:$A,MATCH(AM572,[1]物品基础表!$B:$B,0)),"")</f>
        <v/>
      </c>
      <c r="AQ572" s="1" t="str">
        <f>IFERROR(INDEX([1]物品基础表!$A:$A,MATCH(AP572,[1]物品基础表!$B:$B,0)),"")</f>
        <v/>
      </c>
    </row>
    <row r="573" spans="1:43">
      <c r="A573" s="1" t="str">
        <f>INDEX([2]活动总表!$A$8:$A$429,MATCH(B573,[2]活动总表!$B$8:$B$429,0))</f>
        <v>(61+)开门红限购3</v>
      </c>
      <c r="B573" s="1">
        <v>615</v>
      </c>
      <c r="C573" s="1">
        <v>3</v>
      </c>
      <c r="D573" s="1">
        <v>7</v>
      </c>
      <c r="E573" s="1">
        <v>0</v>
      </c>
      <c r="F573" s="1" t="s">
        <v>706</v>
      </c>
      <c r="G573" s="1">
        <v>2888</v>
      </c>
      <c r="H573" s="1">
        <v>8000</v>
      </c>
      <c r="I573" s="1">
        <v>2</v>
      </c>
      <c r="O573" s="1">
        <v>36</v>
      </c>
      <c r="X573" s="1">
        <v>200208</v>
      </c>
      <c r="Y573" s="1" t="str">
        <f>IFERROR(INDEX([1]物品基础表!$A:$A,MATCH(X573,[1]物品基础表!$B:$B,0)),"")</f>
        <v>烈焰印记低级升级材料</v>
      </c>
      <c r="Z573" s="1">
        <v>800</v>
      </c>
      <c r="AB573" s="1" t="str">
        <f>IFERROR(INDEX([1]物品基础表!$A:$A,MATCH(AA573,[1]物品基础表!$B:$B,0)),"")</f>
        <v/>
      </c>
      <c r="AE573" s="1" t="str">
        <f>IFERROR(INDEX([1]物品基础表!$A:$A,MATCH(AD573,[1]物品基础表!$B:$B,0)),"")</f>
        <v/>
      </c>
      <c r="AH573" s="1" t="str">
        <f>IFERROR(INDEX([1]物品基础表!$A:$A,MATCH(AG573,[1]物品基础表!$B:$B,0)),"")</f>
        <v/>
      </c>
      <c r="AK573" s="1" t="str">
        <f>IFERROR(INDEX([1]物品基础表!$A:$A,MATCH(AJ573,[1]物品基础表!$B:$B,0)),"")</f>
        <v/>
      </c>
      <c r="AN573" s="1" t="str">
        <f>IFERROR(INDEX([1]物品基础表!$A:$A,MATCH(AM573,[1]物品基础表!$B:$B,0)),"")</f>
        <v/>
      </c>
      <c r="AQ573" s="1" t="str">
        <f>IFERROR(INDEX([1]物品基础表!$A:$A,MATCH(AP573,[1]物品基础表!$B:$B,0)),"")</f>
        <v/>
      </c>
    </row>
    <row r="574" spans="1:43">
      <c r="A574" s="1" t="str">
        <f>INDEX([2]活动总表!$A$8:$A$429,MATCH(B574,[2]活动总表!$B$8:$B$429,0))</f>
        <v>(61+)开门红限购3</v>
      </c>
      <c r="B574" s="1">
        <v>615</v>
      </c>
      <c r="C574" s="1">
        <v>4</v>
      </c>
      <c r="D574" s="1">
        <v>5</v>
      </c>
      <c r="E574" s="1">
        <v>0</v>
      </c>
      <c r="F574" s="1" t="s">
        <v>706</v>
      </c>
      <c r="G574" s="1">
        <v>2888</v>
      </c>
      <c r="H574" s="1">
        <v>5000</v>
      </c>
      <c r="I574" s="1">
        <v>3</v>
      </c>
      <c r="O574" s="1">
        <v>57</v>
      </c>
      <c r="X574" s="1">
        <v>200208</v>
      </c>
      <c r="Y574" s="1" t="str">
        <f>IFERROR(INDEX([1]物品基础表!$A:$A,MATCH(X574,[1]物品基础表!$B:$B,0)),"")</f>
        <v>烈焰印记低级升级材料</v>
      </c>
      <c r="Z574" s="1">
        <v>500</v>
      </c>
      <c r="AB574" s="1" t="str">
        <f>IFERROR(INDEX([1]物品基础表!$A:$A,MATCH(AA574,[1]物品基础表!$B:$B,0)),"")</f>
        <v/>
      </c>
      <c r="AE574" s="1" t="str">
        <f>IFERROR(INDEX([1]物品基础表!$A:$A,MATCH(AD574,[1]物品基础表!$B:$B,0)),"")</f>
        <v/>
      </c>
      <c r="AH574" s="1" t="str">
        <f>IFERROR(INDEX([1]物品基础表!$A:$A,MATCH(AG574,[1]物品基础表!$B:$B,0)),"")</f>
        <v/>
      </c>
      <c r="AK574" s="1" t="str">
        <f>IFERROR(INDEX([1]物品基础表!$A:$A,MATCH(AJ574,[1]物品基础表!$B:$B,0)),"")</f>
        <v/>
      </c>
      <c r="AN574" s="1" t="str">
        <f>IFERROR(INDEX([1]物品基础表!$A:$A,MATCH(AM574,[1]物品基础表!$B:$B,0)),"")</f>
        <v/>
      </c>
      <c r="AQ574" s="1" t="str">
        <f>IFERROR(INDEX([1]物品基础表!$A:$A,MATCH(AP574,[1]物品基础表!$B:$B,0)),"")</f>
        <v/>
      </c>
    </row>
    <row r="575" spans="1:43">
      <c r="A575" s="1" t="str">
        <f>INDEX([2]活动总表!$A$8:$A$429,MATCH(B575,[2]活动总表!$B$8:$B$429,0))</f>
        <v>(61+)开门红限购3</v>
      </c>
      <c r="B575" s="1">
        <v>615</v>
      </c>
      <c r="C575" s="1">
        <v>5</v>
      </c>
      <c r="D575" s="1">
        <v>5</v>
      </c>
      <c r="E575" s="1">
        <v>0</v>
      </c>
      <c r="F575" s="1" t="s">
        <v>706</v>
      </c>
      <c r="G575" s="1">
        <v>8888</v>
      </c>
      <c r="H575" s="1">
        <v>15000</v>
      </c>
      <c r="I575" s="1">
        <v>10</v>
      </c>
      <c r="O575" s="1">
        <v>59</v>
      </c>
      <c r="X575" s="1">
        <v>200208</v>
      </c>
      <c r="Y575" s="1" t="str">
        <f>IFERROR(INDEX([1]物品基础表!$A:$A,MATCH(X575,[1]物品基础表!$B:$B,0)),"")</f>
        <v>烈焰印记低级升级材料</v>
      </c>
      <c r="Z575" s="1">
        <v>1500</v>
      </c>
      <c r="AB575" s="1" t="str">
        <f>IFERROR(INDEX([1]物品基础表!$A:$A,MATCH(AA575,[1]物品基础表!$B:$B,0)),"")</f>
        <v/>
      </c>
      <c r="AE575" s="1" t="str">
        <f>IFERROR(INDEX([1]物品基础表!$A:$A,MATCH(AD575,[1]物品基础表!$B:$B,0)),"")</f>
        <v/>
      </c>
      <c r="AH575" s="1" t="str">
        <f>IFERROR(INDEX([1]物品基础表!$A:$A,MATCH(AG575,[1]物品基础表!$B:$B,0)),"")</f>
        <v/>
      </c>
      <c r="AK575" s="1" t="str">
        <f>IFERROR(INDEX([1]物品基础表!$A:$A,MATCH(AJ575,[1]物品基础表!$B:$B,0)),"")</f>
        <v/>
      </c>
      <c r="AN575" s="1" t="str">
        <f>IFERROR(INDEX([1]物品基础表!$A:$A,MATCH(AM575,[1]物品基础表!$B:$B,0)),"")</f>
        <v/>
      </c>
      <c r="AQ575" s="1" t="str">
        <f>IFERROR(INDEX([1]物品基础表!$A:$A,MATCH(AP575,[1]物品基础表!$B:$B,0)),"")</f>
        <v/>
      </c>
    </row>
    <row r="576" spans="1:43">
      <c r="A576" s="1" t="str">
        <f>INDEX([2]活动总表!$A$8:$A$429,MATCH(B576,[2]活动总表!$B$8:$B$429,0))</f>
        <v>(15-60)开门红限购1</v>
      </c>
      <c r="B576" s="1">
        <v>616</v>
      </c>
      <c r="C576" s="1">
        <v>1</v>
      </c>
      <c r="D576" s="1">
        <v>5</v>
      </c>
      <c r="E576" s="1">
        <v>0</v>
      </c>
      <c r="F576" s="1" t="s">
        <v>706</v>
      </c>
      <c r="G576" s="1">
        <v>888</v>
      </c>
      <c r="H576" s="1">
        <v>1500</v>
      </c>
      <c r="I576" s="1">
        <v>3</v>
      </c>
      <c r="O576" s="1">
        <v>59</v>
      </c>
      <c r="X576" s="1">
        <v>200208</v>
      </c>
      <c r="Y576" s="1" t="str">
        <f>IFERROR(INDEX([1]物品基础表!$A:$A,MATCH(X576,[1]物品基础表!$B:$B,0)),"")</f>
        <v>烈焰印记低级升级材料</v>
      </c>
      <c r="Z576" s="1">
        <v>150</v>
      </c>
      <c r="AB576" s="1" t="str">
        <f>IFERROR(INDEX([1]物品基础表!$A:$A,MATCH(AA576,[1]物品基础表!$B:$B,0)),"")</f>
        <v/>
      </c>
      <c r="AE576" s="1" t="str">
        <f>IFERROR(INDEX([1]物品基础表!$A:$A,MATCH(AD576,[1]物品基础表!$B:$B,0)),"")</f>
        <v/>
      </c>
      <c r="AH576" s="1" t="str">
        <f>IFERROR(INDEX([1]物品基础表!$A:$A,MATCH(AG576,[1]物品基础表!$B:$B,0)),"")</f>
        <v/>
      </c>
      <c r="AK576" s="1" t="str">
        <f>IFERROR(INDEX([1]物品基础表!$A:$A,MATCH(AJ576,[1]物品基础表!$B:$B,0)),"")</f>
        <v/>
      </c>
      <c r="AN576" s="1" t="str">
        <f>IFERROR(INDEX([1]物品基础表!$A:$A,MATCH(AM576,[1]物品基础表!$B:$B,0)),"")</f>
        <v/>
      </c>
      <c r="AQ576" s="1" t="str">
        <f>IFERROR(INDEX([1]物品基础表!$A:$A,MATCH(AP576,[1]物品基础表!$B:$B,0)),"")</f>
        <v/>
      </c>
    </row>
    <row r="577" spans="1:43">
      <c r="A577" s="1" t="str">
        <f>INDEX([2]活动总表!$A$8:$A$429,MATCH(B577,[2]活动总表!$B$8:$B$429,0))</f>
        <v>(15-60)开门红限购1</v>
      </c>
      <c r="B577" s="1">
        <v>616</v>
      </c>
      <c r="C577" s="1">
        <v>2</v>
      </c>
      <c r="D577" s="1">
        <v>7</v>
      </c>
      <c r="E577" s="1">
        <v>0</v>
      </c>
      <c r="F577" s="1" t="s">
        <v>706</v>
      </c>
      <c r="G577" s="1">
        <v>1588</v>
      </c>
      <c r="H577" s="1">
        <v>4500</v>
      </c>
      <c r="I577" s="1">
        <v>2</v>
      </c>
      <c r="O577" s="1">
        <v>35</v>
      </c>
      <c r="X577" s="1">
        <v>200208</v>
      </c>
      <c r="Y577" s="1" t="str">
        <f>IFERROR(INDEX([1]物品基础表!$A:$A,MATCH(X577,[1]物品基础表!$B:$B,0)),"")</f>
        <v>烈焰印记低级升级材料</v>
      </c>
      <c r="Z577" s="1">
        <v>450</v>
      </c>
      <c r="AB577" s="1" t="str">
        <f>IFERROR(INDEX([1]物品基础表!$A:$A,MATCH(AA577,[1]物品基础表!$B:$B,0)),"")</f>
        <v/>
      </c>
      <c r="AE577" s="1" t="str">
        <f>IFERROR(INDEX([1]物品基础表!$A:$A,MATCH(AD577,[1]物品基础表!$B:$B,0)),"")</f>
        <v/>
      </c>
      <c r="AH577" s="1" t="str">
        <f>IFERROR(INDEX([1]物品基础表!$A:$A,MATCH(AG577,[1]物品基础表!$B:$B,0)),"")</f>
        <v/>
      </c>
      <c r="AK577" s="1" t="str">
        <f>IFERROR(INDEX([1]物品基础表!$A:$A,MATCH(AJ577,[1]物品基础表!$B:$B,0)),"")</f>
        <v/>
      </c>
      <c r="AN577" s="1" t="str">
        <f>IFERROR(INDEX([1]物品基础表!$A:$A,MATCH(AM577,[1]物品基础表!$B:$B,0)),"")</f>
        <v/>
      </c>
      <c r="AQ577" s="1" t="str">
        <f>IFERROR(INDEX([1]物品基础表!$A:$A,MATCH(AP577,[1]物品基础表!$B:$B,0)),"")</f>
        <v/>
      </c>
    </row>
    <row r="578" spans="1:43">
      <c r="A578" s="1" t="str">
        <f>INDEX([2]活动总表!$A$8:$A$429,MATCH(B578,[2]活动总表!$B$8:$B$429,0))</f>
        <v>(15-60)开门红限购1</v>
      </c>
      <c r="B578" s="1">
        <v>616</v>
      </c>
      <c r="C578" s="1">
        <v>3</v>
      </c>
      <c r="D578" s="1">
        <v>5</v>
      </c>
      <c r="E578" s="1">
        <v>0</v>
      </c>
      <c r="F578" s="1" t="s">
        <v>706</v>
      </c>
      <c r="G578" s="1">
        <v>2888</v>
      </c>
      <c r="H578" s="1">
        <v>5000</v>
      </c>
      <c r="I578" s="1">
        <v>3</v>
      </c>
      <c r="O578" s="1">
        <v>57</v>
      </c>
      <c r="X578" s="1">
        <v>200208</v>
      </c>
      <c r="Y578" s="1" t="str">
        <f>IFERROR(INDEX([1]物品基础表!$A:$A,MATCH(X578,[1]物品基础表!$B:$B,0)),"")</f>
        <v>烈焰印记低级升级材料</v>
      </c>
      <c r="Z578" s="1">
        <v>500</v>
      </c>
      <c r="AB578" s="1" t="str">
        <f>IFERROR(INDEX([1]物品基础表!$A:$A,MATCH(AA578,[1]物品基础表!$B:$B,0)),"")</f>
        <v/>
      </c>
      <c r="AE578" s="1" t="str">
        <f>IFERROR(INDEX([1]物品基础表!$A:$A,MATCH(AD578,[1]物品基础表!$B:$B,0)),"")</f>
        <v/>
      </c>
      <c r="AH578" s="1" t="str">
        <f>IFERROR(INDEX([1]物品基础表!$A:$A,MATCH(AG578,[1]物品基础表!$B:$B,0)),"")</f>
        <v/>
      </c>
      <c r="AK578" s="1" t="str">
        <f>IFERROR(INDEX([1]物品基础表!$A:$A,MATCH(AJ578,[1]物品基础表!$B:$B,0)),"")</f>
        <v/>
      </c>
      <c r="AN578" s="1" t="str">
        <f>IFERROR(INDEX([1]物品基础表!$A:$A,MATCH(AM578,[1]物品基础表!$B:$B,0)),"")</f>
        <v/>
      </c>
      <c r="AQ578" s="1" t="str">
        <f>IFERROR(INDEX([1]物品基础表!$A:$A,MATCH(AP578,[1]物品基础表!$B:$B,0)),"")</f>
        <v/>
      </c>
    </row>
    <row r="579" spans="1:43">
      <c r="A579" s="1" t="str">
        <f>INDEX([2]活动总表!$A$8:$A$429,MATCH(B579,[2]活动总表!$B$8:$B$429,0))</f>
        <v>(15-60)开门红限购1</v>
      </c>
      <c r="B579" s="1">
        <v>616</v>
      </c>
      <c r="C579" s="1">
        <v>4</v>
      </c>
      <c r="D579" s="1">
        <v>5</v>
      </c>
      <c r="E579" s="1">
        <v>0</v>
      </c>
      <c r="F579" s="1" t="s">
        <v>706</v>
      </c>
      <c r="G579" s="1">
        <v>8888</v>
      </c>
      <c r="H579" s="1">
        <v>15000</v>
      </c>
      <c r="I579" s="1">
        <v>10</v>
      </c>
      <c r="O579" s="1">
        <v>59</v>
      </c>
      <c r="X579" s="1">
        <v>200208</v>
      </c>
      <c r="Y579" s="1" t="str">
        <f>IFERROR(INDEX([1]物品基础表!$A:$A,MATCH(X579,[1]物品基础表!$B:$B,0)),"")</f>
        <v>烈焰印记低级升级材料</v>
      </c>
      <c r="Z579" s="1">
        <v>1500</v>
      </c>
      <c r="AB579" s="1" t="str">
        <f>IFERROR(INDEX([1]物品基础表!$A:$A,MATCH(AA579,[1]物品基础表!$B:$B,0)),"")</f>
        <v/>
      </c>
      <c r="AE579" s="1" t="str">
        <f>IFERROR(INDEX([1]物品基础表!$A:$A,MATCH(AD579,[1]物品基础表!$B:$B,0)),"")</f>
        <v/>
      </c>
      <c r="AH579" s="1" t="str">
        <f>IFERROR(INDEX([1]物品基础表!$A:$A,MATCH(AG579,[1]物品基础表!$B:$B,0)),"")</f>
        <v/>
      </c>
      <c r="AK579" s="1" t="str">
        <f>IFERROR(INDEX([1]物品基础表!$A:$A,MATCH(AJ579,[1]物品基础表!$B:$B,0)),"")</f>
        <v/>
      </c>
      <c r="AN579" s="1" t="str">
        <f>IFERROR(INDEX([1]物品基础表!$A:$A,MATCH(AM579,[1]物品基础表!$B:$B,0)),"")</f>
        <v/>
      </c>
      <c r="AQ579" s="1" t="str">
        <f>IFERROR(INDEX([1]物品基础表!$A:$A,MATCH(AP579,[1]物品基础表!$B:$B,0)),"")</f>
        <v/>
      </c>
    </row>
    <row r="580" spans="1:43">
      <c r="A580" s="1" t="str">
        <f>INDEX([2]活动总表!$A$8:$A$429,MATCH(B580,[2]活动总表!$B$8:$B$429,0))</f>
        <v>(15-60)开门红限购2</v>
      </c>
      <c r="B580" s="1">
        <v>617</v>
      </c>
      <c r="C580" s="1">
        <v>1</v>
      </c>
      <c r="D580" s="1">
        <v>5</v>
      </c>
      <c r="E580" s="1">
        <v>0</v>
      </c>
      <c r="F580" s="1" t="s">
        <v>706</v>
      </c>
      <c r="G580" s="1">
        <v>888</v>
      </c>
      <c r="H580" s="1">
        <v>1500</v>
      </c>
      <c r="I580" s="1">
        <v>3</v>
      </c>
      <c r="O580" s="1">
        <v>59</v>
      </c>
      <c r="X580" s="1">
        <v>200208</v>
      </c>
      <c r="Y580" s="1" t="str">
        <f>IFERROR(INDEX([1]物品基础表!$A:$A,MATCH(X580,[1]物品基础表!$B:$B,0)),"")</f>
        <v>烈焰印记低级升级材料</v>
      </c>
      <c r="Z580" s="1">
        <v>150</v>
      </c>
      <c r="AB580" s="1" t="str">
        <f>IFERROR(INDEX([1]物品基础表!$A:$A,MATCH(AA580,[1]物品基础表!$B:$B,0)),"")</f>
        <v/>
      </c>
      <c r="AE580" s="1" t="str">
        <f>IFERROR(INDEX([1]物品基础表!$A:$A,MATCH(AD580,[1]物品基础表!$B:$B,0)),"")</f>
        <v/>
      </c>
      <c r="AH580" s="1" t="str">
        <f>IFERROR(INDEX([1]物品基础表!$A:$A,MATCH(AG580,[1]物品基础表!$B:$B,0)),"")</f>
        <v/>
      </c>
      <c r="AK580" s="1" t="str">
        <f>IFERROR(INDEX([1]物品基础表!$A:$A,MATCH(AJ580,[1]物品基础表!$B:$B,0)),"")</f>
        <v/>
      </c>
      <c r="AN580" s="1" t="str">
        <f>IFERROR(INDEX([1]物品基础表!$A:$A,MATCH(AM580,[1]物品基础表!$B:$B,0)),"")</f>
        <v/>
      </c>
      <c r="AQ580" s="1" t="str">
        <f>IFERROR(INDEX([1]物品基础表!$A:$A,MATCH(AP580,[1]物品基础表!$B:$B,0)),"")</f>
        <v/>
      </c>
    </row>
    <row r="581" spans="1:43">
      <c r="A581" s="1" t="str">
        <f>INDEX([2]活动总表!$A$8:$A$429,MATCH(B581,[2]活动总表!$B$8:$B$429,0))</f>
        <v>(15-60)开门红限购2</v>
      </c>
      <c r="B581" s="1">
        <v>617</v>
      </c>
      <c r="C581" s="1">
        <v>2</v>
      </c>
      <c r="D581" s="1">
        <v>7</v>
      </c>
      <c r="E581" s="1">
        <v>0</v>
      </c>
      <c r="F581" s="1" t="s">
        <v>706</v>
      </c>
      <c r="G581" s="1">
        <v>1588</v>
      </c>
      <c r="H581" s="1">
        <v>4500</v>
      </c>
      <c r="I581" s="1">
        <v>2</v>
      </c>
      <c r="O581" s="1">
        <v>35</v>
      </c>
      <c r="X581" s="1">
        <v>200208</v>
      </c>
      <c r="Y581" s="1" t="str">
        <f>IFERROR(INDEX([1]物品基础表!$A:$A,MATCH(X581,[1]物品基础表!$B:$B,0)),"")</f>
        <v>烈焰印记低级升级材料</v>
      </c>
      <c r="Z581" s="1">
        <v>450</v>
      </c>
      <c r="AB581" s="1" t="str">
        <f>IFERROR(INDEX([1]物品基础表!$A:$A,MATCH(AA581,[1]物品基础表!$B:$B,0)),"")</f>
        <v/>
      </c>
      <c r="AE581" s="1" t="str">
        <f>IFERROR(INDEX([1]物品基础表!$A:$A,MATCH(AD581,[1]物品基础表!$B:$B,0)),"")</f>
        <v/>
      </c>
      <c r="AH581" s="1" t="str">
        <f>IFERROR(INDEX([1]物品基础表!$A:$A,MATCH(AG581,[1]物品基础表!$B:$B,0)),"")</f>
        <v/>
      </c>
      <c r="AK581" s="1" t="str">
        <f>IFERROR(INDEX([1]物品基础表!$A:$A,MATCH(AJ581,[1]物品基础表!$B:$B,0)),"")</f>
        <v/>
      </c>
      <c r="AN581" s="1" t="str">
        <f>IFERROR(INDEX([1]物品基础表!$A:$A,MATCH(AM581,[1]物品基础表!$B:$B,0)),"")</f>
        <v/>
      </c>
      <c r="AQ581" s="1" t="str">
        <f>IFERROR(INDEX([1]物品基础表!$A:$A,MATCH(AP581,[1]物品基础表!$B:$B,0)),"")</f>
        <v/>
      </c>
    </row>
    <row r="582" spans="1:43">
      <c r="A582" s="1" t="str">
        <f>INDEX([2]活动总表!$A$8:$A$429,MATCH(B582,[2]活动总表!$B$8:$B$429,0))</f>
        <v>(15-60)开门红限购2</v>
      </c>
      <c r="B582" s="1">
        <v>617</v>
      </c>
      <c r="C582" s="1">
        <v>3</v>
      </c>
      <c r="D582" s="1">
        <v>5</v>
      </c>
      <c r="E582" s="1">
        <v>0</v>
      </c>
      <c r="F582" s="1" t="s">
        <v>706</v>
      </c>
      <c r="G582" s="1">
        <v>2888</v>
      </c>
      <c r="H582" s="1">
        <v>5000</v>
      </c>
      <c r="I582" s="1">
        <v>3</v>
      </c>
      <c r="O582" s="1">
        <v>57</v>
      </c>
      <c r="X582" s="1">
        <v>200208</v>
      </c>
      <c r="Y582" s="1" t="str">
        <f>IFERROR(INDEX([1]物品基础表!$A:$A,MATCH(X582,[1]物品基础表!$B:$B,0)),"")</f>
        <v>烈焰印记低级升级材料</v>
      </c>
      <c r="Z582" s="1">
        <v>500</v>
      </c>
      <c r="AB582" s="1" t="str">
        <f>IFERROR(INDEX([1]物品基础表!$A:$A,MATCH(AA582,[1]物品基础表!$B:$B,0)),"")</f>
        <v/>
      </c>
      <c r="AE582" s="1" t="str">
        <f>IFERROR(INDEX([1]物品基础表!$A:$A,MATCH(AD582,[1]物品基础表!$B:$B,0)),"")</f>
        <v/>
      </c>
      <c r="AH582" s="1" t="str">
        <f>IFERROR(INDEX([1]物品基础表!$A:$A,MATCH(AG582,[1]物品基础表!$B:$B,0)),"")</f>
        <v/>
      </c>
      <c r="AK582" s="1" t="str">
        <f>IFERROR(INDEX([1]物品基础表!$A:$A,MATCH(AJ582,[1]物品基础表!$B:$B,0)),"")</f>
        <v/>
      </c>
      <c r="AN582" s="1" t="str">
        <f>IFERROR(INDEX([1]物品基础表!$A:$A,MATCH(AM582,[1]物品基础表!$B:$B,0)),"")</f>
        <v/>
      </c>
      <c r="AQ582" s="1" t="str">
        <f>IFERROR(INDEX([1]物品基础表!$A:$A,MATCH(AP582,[1]物品基础表!$B:$B,0)),"")</f>
        <v/>
      </c>
    </row>
    <row r="583" spans="1:43">
      <c r="A583" s="1" t="str">
        <f>INDEX([2]活动总表!$A$8:$A$429,MATCH(B583,[2]活动总表!$B$8:$B$429,0))</f>
        <v>(15-60)开门红限购2</v>
      </c>
      <c r="B583" s="1">
        <v>617</v>
      </c>
      <c r="C583" s="1">
        <v>4</v>
      </c>
      <c r="D583" s="1">
        <v>5</v>
      </c>
      <c r="E583" s="1">
        <v>0</v>
      </c>
      <c r="F583" s="1" t="s">
        <v>706</v>
      </c>
      <c r="G583" s="1">
        <v>8888</v>
      </c>
      <c r="H583" s="1">
        <v>15000</v>
      </c>
      <c r="I583" s="1">
        <v>10</v>
      </c>
      <c r="O583" s="1">
        <v>59</v>
      </c>
      <c r="X583" s="1">
        <v>200208</v>
      </c>
      <c r="Y583" s="1" t="str">
        <f>IFERROR(INDEX([1]物品基础表!$A:$A,MATCH(X583,[1]物品基础表!$B:$B,0)),"")</f>
        <v>烈焰印记低级升级材料</v>
      </c>
      <c r="Z583" s="1">
        <v>1500</v>
      </c>
      <c r="AB583" s="1" t="str">
        <f>IFERROR(INDEX([1]物品基础表!$A:$A,MATCH(AA583,[1]物品基础表!$B:$B,0)),"")</f>
        <v/>
      </c>
      <c r="AE583" s="1" t="str">
        <f>IFERROR(INDEX([1]物品基础表!$A:$A,MATCH(AD583,[1]物品基础表!$B:$B,0)),"")</f>
        <v/>
      </c>
      <c r="AH583" s="1" t="str">
        <f>IFERROR(INDEX([1]物品基础表!$A:$A,MATCH(AG583,[1]物品基础表!$B:$B,0)),"")</f>
        <v/>
      </c>
      <c r="AK583" s="1" t="str">
        <f>IFERROR(INDEX([1]物品基础表!$A:$A,MATCH(AJ583,[1]物品基础表!$B:$B,0)),"")</f>
        <v/>
      </c>
      <c r="AN583" s="1" t="str">
        <f>IFERROR(INDEX([1]物品基础表!$A:$A,MATCH(AM583,[1]物品基础表!$B:$B,0)),"")</f>
        <v/>
      </c>
      <c r="AQ583" s="1" t="str">
        <f>IFERROR(INDEX([1]物品基础表!$A:$A,MATCH(AP583,[1]物品基础表!$B:$B,0)),"")</f>
        <v/>
      </c>
    </row>
    <row r="584" spans="1:43">
      <c r="A584" s="1" t="str">
        <f>INDEX([2]活动总表!$A$8:$A$429,MATCH(B584,[2]活动总表!$B$8:$B$429,0))</f>
        <v>(15-60)开门红限购3</v>
      </c>
      <c r="B584" s="1">
        <v>618</v>
      </c>
      <c r="C584" s="1">
        <v>1</v>
      </c>
      <c r="D584" s="1">
        <v>5</v>
      </c>
      <c r="E584" s="1">
        <v>0</v>
      </c>
      <c r="F584" s="1" t="s">
        <v>706</v>
      </c>
      <c r="G584" s="1">
        <v>888</v>
      </c>
      <c r="H584" s="1">
        <v>1500</v>
      </c>
      <c r="I584" s="1">
        <v>3</v>
      </c>
      <c r="O584" s="1">
        <v>59</v>
      </c>
      <c r="X584" s="1">
        <v>200208</v>
      </c>
      <c r="Y584" s="1" t="str">
        <f>IFERROR(INDEX([1]物品基础表!$A:$A,MATCH(X584,[1]物品基础表!$B:$B,0)),"")</f>
        <v>烈焰印记低级升级材料</v>
      </c>
      <c r="Z584" s="1">
        <v>150</v>
      </c>
      <c r="AB584" s="1" t="str">
        <f>IFERROR(INDEX([1]物品基础表!$A:$A,MATCH(AA584,[1]物品基础表!$B:$B,0)),"")</f>
        <v/>
      </c>
      <c r="AE584" s="1" t="str">
        <f>IFERROR(INDEX([1]物品基础表!$A:$A,MATCH(AD584,[1]物品基础表!$B:$B,0)),"")</f>
        <v/>
      </c>
      <c r="AH584" s="1" t="str">
        <f>IFERROR(INDEX([1]物品基础表!$A:$A,MATCH(AG584,[1]物品基础表!$B:$B,0)),"")</f>
        <v/>
      </c>
      <c r="AK584" s="1" t="str">
        <f>IFERROR(INDEX([1]物品基础表!$A:$A,MATCH(AJ584,[1]物品基础表!$B:$B,0)),"")</f>
        <v/>
      </c>
      <c r="AN584" s="1" t="str">
        <f>IFERROR(INDEX([1]物品基础表!$A:$A,MATCH(AM584,[1]物品基础表!$B:$B,0)),"")</f>
        <v/>
      </c>
      <c r="AQ584" s="1" t="str">
        <f>IFERROR(INDEX([1]物品基础表!$A:$A,MATCH(AP584,[1]物品基础表!$B:$B,0)),"")</f>
        <v/>
      </c>
    </row>
    <row r="585" spans="1:43">
      <c r="A585" s="1" t="str">
        <f>INDEX([2]活动总表!$A$8:$A$429,MATCH(B585,[2]活动总表!$B$8:$B$429,0))</f>
        <v>(15-60)开门红限购3</v>
      </c>
      <c r="B585" s="1">
        <v>618</v>
      </c>
      <c r="C585" s="1">
        <v>2</v>
      </c>
      <c r="D585" s="1">
        <v>7</v>
      </c>
      <c r="E585" s="1">
        <v>0</v>
      </c>
      <c r="F585" s="1" t="s">
        <v>706</v>
      </c>
      <c r="G585" s="1">
        <v>1588</v>
      </c>
      <c r="H585" s="1">
        <v>4500</v>
      </c>
      <c r="I585" s="1">
        <v>2</v>
      </c>
      <c r="O585" s="1">
        <v>35</v>
      </c>
      <c r="X585" s="1">
        <v>200208</v>
      </c>
      <c r="Y585" s="1" t="str">
        <f>IFERROR(INDEX([1]物品基础表!$A:$A,MATCH(X585,[1]物品基础表!$B:$B,0)),"")</f>
        <v>烈焰印记低级升级材料</v>
      </c>
      <c r="Z585" s="1">
        <v>450</v>
      </c>
      <c r="AB585" s="1" t="str">
        <f>IFERROR(INDEX([1]物品基础表!$A:$A,MATCH(AA585,[1]物品基础表!$B:$B,0)),"")</f>
        <v/>
      </c>
      <c r="AE585" s="1" t="str">
        <f>IFERROR(INDEX([1]物品基础表!$A:$A,MATCH(AD585,[1]物品基础表!$B:$B,0)),"")</f>
        <v/>
      </c>
      <c r="AH585" s="1" t="str">
        <f>IFERROR(INDEX([1]物品基础表!$A:$A,MATCH(AG585,[1]物品基础表!$B:$B,0)),"")</f>
        <v/>
      </c>
      <c r="AK585" s="1" t="str">
        <f>IFERROR(INDEX([1]物品基础表!$A:$A,MATCH(AJ585,[1]物品基础表!$B:$B,0)),"")</f>
        <v/>
      </c>
      <c r="AN585" s="1" t="str">
        <f>IFERROR(INDEX([1]物品基础表!$A:$A,MATCH(AM585,[1]物品基础表!$B:$B,0)),"")</f>
        <v/>
      </c>
      <c r="AQ585" s="1" t="str">
        <f>IFERROR(INDEX([1]物品基础表!$A:$A,MATCH(AP585,[1]物品基础表!$B:$B,0)),"")</f>
        <v/>
      </c>
    </row>
    <row r="586" spans="1:43">
      <c r="A586" s="1" t="str">
        <f>INDEX([2]活动总表!$A$8:$A$429,MATCH(B586,[2]活动总表!$B$8:$B$429,0))</f>
        <v>(15-60)开门红限购3</v>
      </c>
      <c r="B586" s="1">
        <v>618</v>
      </c>
      <c r="C586" s="1">
        <v>3</v>
      </c>
      <c r="D586" s="1">
        <v>5</v>
      </c>
      <c r="E586" s="1">
        <v>0</v>
      </c>
      <c r="F586" s="1" t="s">
        <v>706</v>
      </c>
      <c r="G586" s="1">
        <v>2888</v>
      </c>
      <c r="H586" s="1">
        <v>5000</v>
      </c>
      <c r="I586" s="1">
        <v>3</v>
      </c>
      <c r="O586" s="1">
        <v>57</v>
      </c>
      <c r="X586" s="1">
        <v>200208</v>
      </c>
      <c r="Y586" s="1" t="str">
        <f>IFERROR(INDEX([1]物品基础表!$A:$A,MATCH(X586,[1]物品基础表!$B:$B,0)),"")</f>
        <v>烈焰印记低级升级材料</v>
      </c>
      <c r="Z586" s="1">
        <v>500</v>
      </c>
      <c r="AB586" s="1" t="str">
        <f>IFERROR(INDEX([1]物品基础表!$A:$A,MATCH(AA586,[1]物品基础表!$B:$B,0)),"")</f>
        <v/>
      </c>
      <c r="AE586" s="1" t="str">
        <f>IFERROR(INDEX([1]物品基础表!$A:$A,MATCH(AD586,[1]物品基础表!$B:$B,0)),"")</f>
        <v/>
      </c>
      <c r="AH586" s="1" t="str">
        <f>IFERROR(INDEX([1]物品基础表!$A:$A,MATCH(AG586,[1]物品基础表!$B:$B,0)),"")</f>
        <v/>
      </c>
      <c r="AK586" s="1" t="str">
        <f>IFERROR(INDEX([1]物品基础表!$A:$A,MATCH(AJ586,[1]物品基础表!$B:$B,0)),"")</f>
        <v/>
      </c>
      <c r="AN586" s="1" t="str">
        <f>IFERROR(INDEX([1]物品基础表!$A:$A,MATCH(AM586,[1]物品基础表!$B:$B,0)),"")</f>
        <v/>
      </c>
      <c r="AQ586" s="1" t="str">
        <f>IFERROR(INDEX([1]物品基础表!$A:$A,MATCH(AP586,[1]物品基础表!$B:$B,0)),"")</f>
        <v/>
      </c>
    </row>
    <row r="587" spans="1:43">
      <c r="A587" s="1" t="str">
        <f>INDEX([2]活动总表!$A$8:$A$429,MATCH(B587,[2]活动总表!$B$8:$B$429,0))</f>
        <v>(15-60)开门红限购3</v>
      </c>
      <c r="B587" s="1">
        <v>618</v>
      </c>
      <c r="C587" s="1">
        <v>4</v>
      </c>
      <c r="D587" s="1">
        <v>5</v>
      </c>
      <c r="E587" s="1">
        <v>0</v>
      </c>
      <c r="F587" s="1" t="s">
        <v>706</v>
      </c>
      <c r="G587" s="1">
        <v>8888</v>
      </c>
      <c r="H587" s="1">
        <v>15000</v>
      </c>
      <c r="I587" s="1">
        <v>10</v>
      </c>
      <c r="O587" s="1">
        <v>59</v>
      </c>
      <c r="X587" s="1">
        <v>200208</v>
      </c>
      <c r="Y587" s="1" t="str">
        <f>IFERROR(INDEX([1]物品基础表!$A:$A,MATCH(X587,[1]物品基础表!$B:$B,0)),"")</f>
        <v>烈焰印记低级升级材料</v>
      </c>
      <c r="Z587" s="1">
        <v>1500</v>
      </c>
      <c r="AB587" s="1" t="str">
        <f>IFERROR(INDEX([1]物品基础表!$A:$A,MATCH(AA587,[1]物品基础表!$B:$B,0)),"")</f>
        <v/>
      </c>
      <c r="AE587" s="1" t="str">
        <f>IFERROR(INDEX([1]物品基础表!$A:$A,MATCH(AD587,[1]物品基础表!$B:$B,0)),"")</f>
        <v/>
      </c>
      <c r="AH587" s="1" t="str">
        <f>IFERROR(INDEX([1]物品基础表!$A:$A,MATCH(AG587,[1]物品基础表!$B:$B,0)),"")</f>
        <v/>
      </c>
      <c r="AK587" s="1" t="str">
        <f>IFERROR(INDEX([1]物品基础表!$A:$A,MATCH(AJ587,[1]物品基础表!$B:$B,0)),"")</f>
        <v/>
      </c>
      <c r="AN587" s="1" t="str">
        <f>IFERROR(INDEX([1]物品基础表!$A:$A,MATCH(AM587,[1]物品基础表!$B:$B,0)),"")</f>
        <v/>
      </c>
      <c r="AQ587" s="1" t="str">
        <f>IFERROR(INDEX([1]物品基础表!$A:$A,MATCH(AP587,[1]物品基础表!$B:$B,0)),"")</f>
        <v/>
      </c>
    </row>
    <row r="588" spans="1:43">
      <c r="A588" s="1" t="str">
        <f>INDEX([2]活动总表!$A$8:$A$429,MATCH(B588,[2]活动总表!$B$8:$B$429,0))</f>
        <v>开门红限购1</v>
      </c>
      <c r="B588" s="1">
        <v>624</v>
      </c>
      <c r="C588" s="1">
        <v>1</v>
      </c>
      <c r="D588" s="1">
        <v>5</v>
      </c>
      <c r="E588" s="1">
        <v>0</v>
      </c>
      <c r="F588" s="1" t="s">
        <v>706</v>
      </c>
      <c r="G588" s="1">
        <v>888</v>
      </c>
      <c r="H588" s="1">
        <v>1500</v>
      </c>
      <c r="I588" s="1">
        <v>3</v>
      </c>
      <c r="O588" s="1">
        <v>59</v>
      </c>
      <c r="X588" s="1">
        <v>200208</v>
      </c>
      <c r="Y588" s="1" t="str">
        <f>IFERROR(INDEX([1]物品基础表!$A:$A,MATCH(X588,[1]物品基础表!$B:$B,0)),"")</f>
        <v>烈焰印记低级升级材料</v>
      </c>
      <c r="Z588" s="1">
        <v>150</v>
      </c>
      <c r="AB588" s="1" t="str">
        <f>IFERROR(INDEX([1]物品基础表!$A:$A,MATCH(AA588,[1]物品基础表!$B:$B,0)),"")</f>
        <v/>
      </c>
      <c r="AE588" s="1" t="str">
        <f>IFERROR(INDEX([1]物品基础表!$A:$A,MATCH(AD588,[1]物品基础表!$B:$B,0)),"")</f>
        <v/>
      </c>
      <c r="AH588" s="1" t="str">
        <f>IFERROR(INDEX([1]物品基础表!$A:$A,MATCH(AG588,[1]物品基础表!$B:$B,0)),"")</f>
        <v/>
      </c>
      <c r="AK588" s="1" t="str">
        <f>IFERROR(INDEX([1]物品基础表!$A:$A,MATCH(AJ588,[1]物品基础表!$B:$B,0)),"")</f>
        <v/>
      </c>
      <c r="AN588" s="1" t="str">
        <f>IFERROR(INDEX([1]物品基础表!$A:$A,MATCH(AM588,[1]物品基础表!$B:$B,0)),"")</f>
        <v/>
      </c>
      <c r="AQ588" s="1" t="str">
        <f>IFERROR(INDEX([1]物品基础表!$A:$A,MATCH(AP588,[1]物品基础表!$B:$B,0)),"")</f>
        <v/>
      </c>
    </row>
    <row r="589" spans="1:43">
      <c r="A589" s="1" t="str">
        <f>INDEX([2]活动总表!$A$8:$A$429,MATCH(B589,[2]活动总表!$B$8:$B$429,0))</f>
        <v>开门红限购1</v>
      </c>
      <c r="B589" s="1">
        <v>624</v>
      </c>
      <c r="C589" s="1">
        <v>2</v>
      </c>
      <c r="D589" s="1">
        <v>7</v>
      </c>
      <c r="E589" s="1">
        <v>0</v>
      </c>
      <c r="F589" s="1" t="s">
        <v>706</v>
      </c>
      <c r="G589" s="1">
        <v>1588</v>
      </c>
      <c r="H589" s="1">
        <v>4500</v>
      </c>
      <c r="I589" s="1">
        <v>2</v>
      </c>
      <c r="O589" s="1">
        <v>35</v>
      </c>
      <c r="X589" s="1">
        <v>200208</v>
      </c>
      <c r="Y589" s="1" t="str">
        <f>IFERROR(INDEX([1]物品基础表!$A:$A,MATCH(X589,[1]物品基础表!$B:$B,0)),"")</f>
        <v>烈焰印记低级升级材料</v>
      </c>
      <c r="Z589" s="1">
        <v>450</v>
      </c>
      <c r="AB589" s="1" t="str">
        <f>IFERROR(INDEX([1]物品基础表!$A:$A,MATCH(AA589,[1]物品基础表!$B:$B,0)),"")</f>
        <v/>
      </c>
      <c r="AE589" s="1" t="str">
        <f>IFERROR(INDEX([1]物品基础表!$A:$A,MATCH(AD589,[1]物品基础表!$B:$B,0)),"")</f>
        <v/>
      </c>
      <c r="AH589" s="1" t="str">
        <f>IFERROR(INDEX([1]物品基础表!$A:$A,MATCH(AG589,[1]物品基础表!$B:$B,0)),"")</f>
        <v/>
      </c>
      <c r="AK589" s="1" t="str">
        <f>IFERROR(INDEX([1]物品基础表!$A:$A,MATCH(AJ589,[1]物品基础表!$B:$B,0)),"")</f>
        <v/>
      </c>
      <c r="AN589" s="1" t="str">
        <f>IFERROR(INDEX([1]物品基础表!$A:$A,MATCH(AM589,[1]物品基础表!$B:$B,0)),"")</f>
        <v/>
      </c>
      <c r="AQ589" s="1" t="str">
        <f>IFERROR(INDEX([1]物品基础表!$A:$A,MATCH(AP589,[1]物品基础表!$B:$B,0)),"")</f>
        <v/>
      </c>
    </row>
    <row r="590" spans="1:43">
      <c r="A590" s="1" t="str">
        <f>INDEX([2]活动总表!$A$8:$A$429,MATCH(B590,[2]活动总表!$B$8:$B$429,0))</f>
        <v>开门红限购1</v>
      </c>
      <c r="B590" s="1">
        <v>624</v>
      </c>
      <c r="C590" s="1">
        <v>3</v>
      </c>
      <c r="D590" s="1">
        <v>7</v>
      </c>
      <c r="E590" s="1">
        <v>0</v>
      </c>
      <c r="F590" s="1" t="s">
        <v>706</v>
      </c>
      <c r="G590" s="1">
        <v>2888</v>
      </c>
      <c r="H590" s="1">
        <v>8000</v>
      </c>
      <c r="I590" s="1">
        <v>2</v>
      </c>
      <c r="O590" s="1">
        <v>36</v>
      </c>
      <c r="X590" s="1">
        <v>200208</v>
      </c>
      <c r="Y590" s="1" t="str">
        <f>IFERROR(INDEX([1]物品基础表!$A:$A,MATCH(X590,[1]物品基础表!$B:$B,0)),"")</f>
        <v>烈焰印记低级升级材料</v>
      </c>
      <c r="Z590" s="1">
        <v>800</v>
      </c>
      <c r="AB590" s="1" t="str">
        <f>IFERROR(INDEX([1]物品基础表!$A:$A,MATCH(AA590,[1]物品基础表!$B:$B,0)),"")</f>
        <v/>
      </c>
      <c r="AE590" s="1" t="str">
        <f>IFERROR(INDEX([1]物品基础表!$A:$A,MATCH(AD590,[1]物品基础表!$B:$B,0)),"")</f>
        <v/>
      </c>
      <c r="AH590" s="1" t="str">
        <f>IFERROR(INDEX([1]物品基础表!$A:$A,MATCH(AG590,[1]物品基础表!$B:$B,0)),"")</f>
        <v/>
      </c>
      <c r="AK590" s="1" t="str">
        <f>IFERROR(INDEX([1]物品基础表!$A:$A,MATCH(AJ590,[1]物品基础表!$B:$B,0)),"")</f>
        <v/>
      </c>
      <c r="AN590" s="1" t="str">
        <f>IFERROR(INDEX([1]物品基础表!$A:$A,MATCH(AM590,[1]物品基础表!$B:$B,0)),"")</f>
        <v/>
      </c>
      <c r="AQ590" s="1" t="str">
        <f>IFERROR(INDEX([1]物品基础表!$A:$A,MATCH(AP590,[1]物品基础表!$B:$B,0)),"")</f>
        <v/>
      </c>
    </row>
    <row r="591" spans="1:43">
      <c r="A591" s="1" t="str">
        <f>INDEX([2]活动总表!$A$8:$A$429,MATCH(B591,[2]活动总表!$B$8:$B$429,0))</f>
        <v>开门红限购1</v>
      </c>
      <c r="B591" s="1">
        <v>624</v>
      </c>
      <c r="C591" s="1">
        <v>4</v>
      </c>
      <c r="D591" s="1">
        <v>5</v>
      </c>
      <c r="E591" s="1">
        <v>0</v>
      </c>
      <c r="F591" s="1" t="s">
        <v>706</v>
      </c>
      <c r="G591" s="1">
        <v>2888</v>
      </c>
      <c r="H591" s="1">
        <v>5000</v>
      </c>
      <c r="I591" s="1">
        <v>3</v>
      </c>
      <c r="O591" s="1">
        <v>57</v>
      </c>
      <c r="X591" s="1">
        <v>200208</v>
      </c>
      <c r="Y591" s="1" t="str">
        <f>IFERROR(INDEX([1]物品基础表!$A:$A,MATCH(X591,[1]物品基础表!$B:$B,0)),"")</f>
        <v>烈焰印记低级升级材料</v>
      </c>
      <c r="Z591" s="1">
        <v>500</v>
      </c>
      <c r="AB591" s="1" t="str">
        <f>IFERROR(INDEX([1]物品基础表!$A:$A,MATCH(AA591,[1]物品基础表!$B:$B,0)),"")</f>
        <v/>
      </c>
      <c r="AE591" s="1" t="str">
        <f>IFERROR(INDEX([1]物品基础表!$A:$A,MATCH(AD591,[1]物品基础表!$B:$B,0)),"")</f>
        <v/>
      </c>
      <c r="AH591" s="1" t="str">
        <f>IFERROR(INDEX([1]物品基础表!$A:$A,MATCH(AG591,[1]物品基础表!$B:$B,0)),"")</f>
        <v/>
      </c>
      <c r="AK591" s="1" t="str">
        <f>IFERROR(INDEX([1]物品基础表!$A:$A,MATCH(AJ591,[1]物品基础表!$B:$B,0)),"")</f>
        <v/>
      </c>
      <c r="AN591" s="1" t="str">
        <f>IFERROR(INDEX([1]物品基础表!$A:$A,MATCH(AM591,[1]物品基础表!$B:$B,0)),"")</f>
        <v/>
      </c>
      <c r="AQ591" s="1" t="str">
        <f>IFERROR(INDEX([1]物品基础表!$A:$A,MATCH(AP591,[1]物品基础表!$B:$B,0)),"")</f>
        <v/>
      </c>
    </row>
    <row r="592" spans="1:43">
      <c r="A592" s="1" t="str">
        <f>INDEX([2]活动总表!$A$8:$A$429,MATCH(B592,[2]活动总表!$B$8:$B$429,0))</f>
        <v>开门红限购1</v>
      </c>
      <c r="B592" s="1">
        <v>624</v>
      </c>
      <c r="C592" s="1">
        <v>5</v>
      </c>
      <c r="D592" s="1">
        <v>5</v>
      </c>
      <c r="E592" s="1">
        <v>0</v>
      </c>
      <c r="F592" s="1" t="s">
        <v>706</v>
      </c>
      <c r="G592" s="1">
        <v>8888</v>
      </c>
      <c r="H592" s="1">
        <v>15000</v>
      </c>
      <c r="I592" s="1">
        <v>10</v>
      </c>
      <c r="O592" s="1">
        <v>59</v>
      </c>
      <c r="X592" s="1">
        <v>200208</v>
      </c>
      <c r="Y592" s="1" t="str">
        <f>IFERROR(INDEX([1]物品基础表!$A:$A,MATCH(X592,[1]物品基础表!$B:$B,0)),"")</f>
        <v>烈焰印记低级升级材料</v>
      </c>
      <c r="Z592" s="1">
        <v>1500</v>
      </c>
      <c r="AB592" s="1" t="str">
        <f>IFERROR(INDEX([1]物品基础表!$A:$A,MATCH(AA592,[1]物品基础表!$B:$B,0)),"")</f>
        <v/>
      </c>
      <c r="AE592" s="1" t="str">
        <f>IFERROR(INDEX([1]物品基础表!$A:$A,MATCH(AD592,[1]物品基础表!$B:$B,0)),"")</f>
        <v/>
      </c>
      <c r="AH592" s="1" t="str">
        <f>IFERROR(INDEX([1]物品基础表!$A:$A,MATCH(AG592,[1]物品基础表!$B:$B,0)),"")</f>
        <v/>
      </c>
      <c r="AK592" s="1" t="str">
        <f>IFERROR(INDEX([1]物品基础表!$A:$A,MATCH(AJ592,[1]物品基础表!$B:$B,0)),"")</f>
        <v/>
      </c>
      <c r="AN592" s="1" t="str">
        <f>IFERROR(INDEX([1]物品基础表!$A:$A,MATCH(AM592,[1]物品基础表!$B:$B,0)),"")</f>
        <v/>
      </c>
      <c r="AQ592" s="1" t="str">
        <f>IFERROR(INDEX([1]物品基础表!$A:$A,MATCH(AP592,[1]物品基础表!$B:$B,0)),"")</f>
        <v/>
      </c>
    </row>
    <row r="593" spans="1:43">
      <c r="A593" s="1" t="str">
        <f>INDEX([2]活动总表!$A$8:$A$429,MATCH(B593,[2]活动总表!$B$8:$B$429,0))</f>
        <v>开门红限购2</v>
      </c>
      <c r="B593" s="1">
        <v>625</v>
      </c>
      <c r="C593" s="1">
        <v>1</v>
      </c>
      <c r="D593" s="1">
        <v>5</v>
      </c>
      <c r="E593" s="1">
        <v>0</v>
      </c>
      <c r="F593" s="1" t="s">
        <v>706</v>
      </c>
      <c r="G593" s="1">
        <v>888</v>
      </c>
      <c r="H593" s="1">
        <v>1500</v>
      </c>
      <c r="I593" s="1">
        <v>3</v>
      </c>
      <c r="O593" s="1">
        <v>59</v>
      </c>
      <c r="X593" s="1">
        <v>200208</v>
      </c>
      <c r="Y593" s="1" t="str">
        <f>IFERROR(INDEX([1]物品基础表!$A:$A,MATCH(X593,[1]物品基础表!$B:$B,0)),"")</f>
        <v>烈焰印记低级升级材料</v>
      </c>
      <c r="Z593" s="1">
        <v>150</v>
      </c>
      <c r="AB593" s="1" t="str">
        <f>IFERROR(INDEX([1]物品基础表!$A:$A,MATCH(AA593,[1]物品基础表!$B:$B,0)),"")</f>
        <v/>
      </c>
      <c r="AE593" s="1" t="str">
        <f>IFERROR(INDEX([1]物品基础表!$A:$A,MATCH(AD593,[1]物品基础表!$B:$B,0)),"")</f>
        <v/>
      </c>
      <c r="AH593" s="1" t="str">
        <f>IFERROR(INDEX([1]物品基础表!$A:$A,MATCH(AG593,[1]物品基础表!$B:$B,0)),"")</f>
        <v/>
      </c>
      <c r="AK593" s="1" t="str">
        <f>IFERROR(INDEX([1]物品基础表!$A:$A,MATCH(AJ593,[1]物品基础表!$B:$B,0)),"")</f>
        <v/>
      </c>
      <c r="AN593" s="1" t="str">
        <f>IFERROR(INDEX([1]物品基础表!$A:$A,MATCH(AM593,[1]物品基础表!$B:$B,0)),"")</f>
        <v/>
      </c>
      <c r="AQ593" s="1" t="str">
        <f>IFERROR(INDEX([1]物品基础表!$A:$A,MATCH(AP593,[1]物品基础表!$B:$B,0)),"")</f>
        <v/>
      </c>
    </row>
    <row r="594" spans="1:43">
      <c r="A594" s="1" t="str">
        <f>INDEX([2]活动总表!$A$8:$A$429,MATCH(B594,[2]活动总表!$B$8:$B$429,0))</f>
        <v>开门红限购2</v>
      </c>
      <c r="B594" s="1">
        <v>625</v>
      </c>
      <c r="C594" s="1">
        <v>2</v>
      </c>
      <c r="D594" s="1">
        <v>7</v>
      </c>
      <c r="E594" s="1">
        <v>0</v>
      </c>
      <c r="F594" s="1" t="s">
        <v>706</v>
      </c>
      <c r="G594" s="1">
        <v>1588</v>
      </c>
      <c r="H594" s="1">
        <v>4500</v>
      </c>
      <c r="I594" s="1">
        <v>2</v>
      </c>
      <c r="O594" s="1">
        <v>35</v>
      </c>
      <c r="X594" s="1">
        <v>200208</v>
      </c>
      <c r="Y594" s="1" t="str">
        <f>IFERROR(INDEX([1]物品基础表!$A:$A,MATCH(X594,[1]物品基础表!$B:$B,0)),"")</f>
        <v>烈焰印记低级升级材料</v>
      </c>
      <c r="Z594" s="1">
        <v>450</v>
      </c>
      <c r="AB594" s="1" t="str">
        <f>IFERROR(INDEX([1]物品基础表!$A:$A,MATCH(AA594,[1]物品基础表!$B:$B,0)),"")</f>
        <v/>
      </c>
      <c r="AE594" s="1" t="str">
        <f>IFERROR(INDEX([1]物品基础表!$A:$A,MATCH(AD594,[1]物品基础表!$B:$B,0)),"")</f>
        <v/>
      </c>
      <c r="AH594" s="1" t="str">
        <f>IFERROR(INDEX([1]物品基础表!$A:$A,MATCH(AG594,[1]物品基础表!$B:$B,0)),"")</f>
        <v/>
      </c>
      <c r="AK594" s="1" t="str">
        <f>IFERROR(INDEX([1]物品基础表!$A:$A,MATCH(AJ594,[1]物品基础表!$B:$B,0)),"")</f>
        <v/>
      </c>
      <c r="AN594" s="1" t="str">
        <f>IFERROR(INDEX([1]物品基础表!$A:$A,MATCH(AM594,[1]物品基础表!$B:$B,0)),"")</f>
        <v/>
      </c>
      <c r="AQ594" s="1" t="str">
        <f>IFERROR(INDEX([1]物品基础表!$A:$A,MATCH(AP594,[1]物品基础表!$B:$B,0)),"")</f>
        <v/>
      </c>
    </row>
    <row r="595" spans="1:43">
      <c r="A595" s="1" t="str">
        <f>INDEX([2]活动总表!$A$8:$A$429,MATCH(B595,[2]活动总表!$B$8:$B$429,0))</f>
        <v>开门红限购2</v>
      </c>
      <c r="B595" s="1">
        <v>625</v>
      </c>
      <c r="C595" s="1">
        <v>3</v>
      </c>
      <c r="D595" s="1">
        <v>7</v>
      </c>
      <c r="E595" s="1">
        <v>0</v>
      </c>
      <c r="F595" s="1" t="s">
        <v>706</v>
      </c>
      <c r="G595" s="1">
        <v>2888</v>
      </c>
      <c r="H595" s="1">
        <v>8000</v>
      </c>
      <c r="I595" s="1">
        <v>2</v>
      </c>
      <c r="O595" s="1">
        <v>36</v>
      </c>
      <c r="X595" s="1">
        <v>200208</v>
      </c>
      <c r="Y595" s="1" t="str">
        <f>IFERROR(INDEX([1]物品基础表!$A:$A,MATCH(X595,[1]物品基础表!$B:$B,0)),"")</f>
        <v>烈焰印记低级升级材料</v>
      </c>
      <c r="Z595" s="1">
        <v>800</v>
      </c>
      <c r="AB595" s="1" t="str">
        <f>IFERROR(INDEX([1]物品基础表!$A:$A,MATCH(AA595,[1]物品基础表!$B:$B,0)),"")</f>
        <v/>
      </c>
      <c r="AE595" s="1" t="str">
        <f>IFERROR(INDEX([1]物品基础表!$A:$A,MATCH(AD595,[1]物品基础表!$B:$B,0)),"")</f>
        <v/>
      </c>
      <c r="AH595" s="1" t="str">
        <f>IFERROR(INDEX([1]物品基础表!$A:$A,MATCH(AG595,[1]物品基础表!$B:$B,0)),"")</f>
        <v/>
      </c>
      <c r="AK595" s="1" t="str">
        <f>IFERROR(INDEX([1]物品基础表!$A:$A,MATCH(AJ595,[1]物品基础表!$B:$B,0)),"")</f>
        <v/>
      </c>
      <c r="AN595" s="1" t="str">
        <f>IFERROR(INDEX([1]物品基础表!$A:$A,MATCH(AM595,[1]物品基础表!$B:$B,0)),"")</f>
        <v/>
      </c>
      <c r="AQ595" s="1" t="str">
        <f>IFERROR(INDEX([1]物品基础表!$A:$A,MATCH(AP595,[1]物品基础表!$B:$B,0)),"")</f>
        <v/>
      </c>
    </row>
    <row r="596" spans="1:43">
      <c r="A596" s="1" t="str">
        <f>INDEX([2]活动总表!$A$8:$A$429,MATCH(B596,[2]活动总表!$B$8:$B$429,0))</f>
        <v>开门红限购2</v>
      </c>
      <c r="B596" s="1">
        <v>625</v>
      </c>
      <c r="C596" s="1">
        <v>4</v>
      </c>
      <c r="D596" s="1">
        <v>5</v>
      </c>
      <c r="E596" s="1">
        <v>0</v>
      </c>
      <c r="F596" s="1" t="s">
        <v>706</v>
      </c>
      <c r="G596" s="1">
        <v>2888</v>
      </c>
      <c r="H596" s="1">
        <v>5000</v>
      </c>
      <c r="I596" s="1">
        <v>3</v>
      </c>
      <c r="O596" s="1">
        <v>57</v>
      </c>
      <c r="X596" s="1">
        <v>200208</v>
      </c>
      <c r="Y596" s="1" t="str">
        <f>IFERROR(INDEX([1]物品基础表!$A:$A,MATCH(X596,[1]物品基础表!$B:$B,0)),"")</f>
        <v>烈焰印记低级升级材料</v>
      </c>
      <c r="Z596" s="1">
        <v>500</v>
      </c>
      <c r="AB596" s="1" t="str">
        <f>IFERROR(INDEX([1]物品基础表!$A:$A,MATCH(AA596,[1]物品基础表!$B:$B,0)),"")</f>
        <v/>
      </c>
      <c r="AE596" s="1" t="str">
        <f>IFERROR(INDEX([1]物品基础表!$A:$A,MATCH(AD596,[1]物品基础表!$B:$B,0)),"")</f>
        <v/>
      </c>
      <c r="AH596" s="1" t="str">
        <f>IFERROR(INDEX([1]物品基础表!$A:$A,MATCH(AG596,[1]物品基础表!$B:$B,0)),"")</f>
        <v/>
      </c>
      <c r="AK596" s="1" t="str">
        <f>IFERROR(INDEX([1]物品基础表!$A:$A,MATCH(AJ596,[1]物品基础表!$B:$B,0)),"")</f>
        <v/>
      </c>
      <c r="AN596" s="1" t="str">
        <f>IFERROR(INDEX([1]物品基础表!$A:$A,MATCH(AM596,[1]物品基础表!$B:$B,0)),"")</f>
        <v/>
      </c>
      <c r="AQ596" s="1" t="str">
        <f>IFERROR(INDEX([1]物品基础表!$A:$A,MATCH(AP596,[1]物品基础表!$B:$B,0)),"")</f>
        <v/>
      </c>
    </row>
    <row r="597" spans="1:43">
      <c r="A597" s="1" t="str">
        <f>INDEX([2]活动总表!$A$8:$A$429,MATCH(B597,[2]活动总表!$B$8:$B$429,0))</f>
        <v>开门红限购2</v>
      </c>
      <c r="B597" s="1">
        <v>625</v>
      </c>
      <c r="C597" s="1">
        <v>5</v>
      </c>
      <c r="D597" s="1">
        <v>5</v>
      </c>
      <c r="E597" s="1">
        <v>0</v>
      </c>
      <c r="F597" s="1" t="s">
        <v>706</v>
      </c>
      <c r="G597" s="1">
        <v>8888</v>
      </c>
      <c r="H597" s="1">
        <v>15000</v>
      </c>
      <c r="I597" s="1">
        <v>10</v>
      </c>
      <c r="O597" s="1">
        <v>59</v>
      </c>
      <c r="X597" s="1">
        <v>200208</v>
      </c>
      <c r="Y597" s="1" t="str">
        <f>IFERROR(INDEX([1]物品基础表!$A:$A,MATCH(X597,[1]物品基础表!$B:$B,0)),"")</f>
        <v>烈焰印记低级升级材料</v>
      </c>
      <c r="Z597" s="1">
        <v>1500</v>
      </c>
      <c r="AB597" s="1" t="str">
        <f>IFERROR(INDEX([1]物品基础表!$A:$A,MATCH(AA597,[1]物品基础表!$B:$B,0)),"")</f>
        <v/>
      </c>
      <c r="AE597" s="1" t="str">
        <f>IFERROR(INDEX([1]物品基础表!$A:$A,MATCH(AD597,[1]物品基础表!$B:$B,0)),"")</f>
        <v/>
      </c>
      <c r="AH597" s="1" t="str">
        <f>IFERROR(INDEX([1]物品基础表!$A:$A,MATCH(AG597,[1]物品基础表!$B:$B,0)),"")</f>
        <v/>
      </c>
      <c r="AK597" s="1" t="str">
        <f>IFERROR(INDEX([1]物品基础表!$A:$A,MATCH(AJ597,[1]物品基础表!$B:$B,0)),"")</f>
        <v/>
      </c>
      <c r="AN597" s="1" t="str">
        <f>IFERROR(INDEX([1]物品基础表!$A:$A,MATCH(AM597,[1]物品基础表!$B:$B,0)),"")</f>
        <v/>
      </c>
      <c r="AQ597" s="1" t="str">
        <f>IFERROR(INDEX([1]物品基础表!$A:$A,MATCH(AP597,[1]物品基础表!$B:$B,0)),"")</f>
        <v/>
      </c>
    </row>
    <row r="598" spans="1:43">
      <c r="A598" s="1" t="str">
        <f>INDEX([2]活动总表!$A$8:$A$429,MATCH(B598,[2]活动总表!$B$8:$B$429,0))</f>
        <v>开门红限购3</v>
      </c>
      <c r="B598" s="1">
        <v>626</v>
      </c>
      <c r="C598" s="1">
        <v>1</v>
      </c>
      <c r="D598" s="1">
        <v>5</v>
      </c>
      <c r="E598" s="1">
        <v>0</v>
      </c>
      <c r="F598" s="1" t="s">
        <v>706</v>
      </c>
      <c r="G598" s="1">
        <v>888</v>
      </c>
      <c r="H598" s="1">
        <v>1500</v>
      </c>
      <c r="I598" s="1">
        <v>3</v>
      </c>
      <c r="O598" s="1">
        <v>59</v>
      </c>
      <c r="X598" s="1">
        <v>200208</v>
      </c>
      <c r="Y598" s="1" t="str">
        <f>IFERROR(INDEX([1]物品基础表!$A:$A,MATCH(X598,[1]物品基础表!$B:$B,0)),"")</f>
        <v>烈焰印记低级升级材料</v>
      </c>
      <c r="Z598" s="1">
        <v>150</v>
      </c>
      <c r="AB598" s="1" t="str">
        <f>IFERROR(INDEX([1]物品基础表!$A:$A,MATCH(AA598,[1]物品基础表!$B:$B,0)),"")</f>
        <v/>
      </c>
      <c r="AE598" s="1" t="str">
        <f>IFERROR(INDEX([1]物品基础表!$A:$A,MATCH(AD598,[1]物品基础表!$B:$B,0)),"")</f>
        <v/>
      </c>
      <c r="AH598" s="1" t="str">
        <f>IFERROR(INDEX([1]物品基础表!$A:$A,MATCH(AG598,[1]物品基础表!$B:$B,0)),"")</f>
        <v/>
      </c>
      <c r="AK598" s="1" t="str">
        <f>IFERROR(INDEX([1]物品基础表!$A:$A,MATCH(AJ598,[1]物品基础表!$B:$B,0)),"")</f>
        <v/>
      </c>
      <c r="AN598" s="1" t="str">
        <f>IFERROR(INDEX([1]物品基础表!$A:$A,MATCH(AM598,[1]物品基础表!$B:$B,0)),"")</f>
        <v/>
      </c>
      <c r="AQ598" s="1" t="str">
        <f>IFERROR(INDEX([1]物品基础表!$A:$A,MATCH(AP598,[1]物品基础表!$B:$B,0)),"")</f>
        <v/>
      </c>
    </row>
    <row r="599" spans="1:43">
      <c r="A599" s="1" t="str">
        <f>INDEX([2]活动总表!$A$8:$A$429,MATCH(B599,[2]活动总表!$B$8:$B$429,0))</f>
        <v>开门红限购3</v>
      </c>
      <c r="B599" s="1">
        <v>626</v>
      </c>
      <c r="C599" s="1">
        <v>2</v>
      </c>
      <c r="D599" s="1">
        <v>7</v>
      </c>
      <c r="E599" s="1">
        <v>0</v>
      </c>
      <c r="F599" s="1" t="s">
        <v>706</v>
      </c>
      <c r="G599" s="1">
        <v>1588</v>
      </c>
      <c r="H599" s="1">
        <v>4500</v>
      </c>
      <c r="I599" s="1">
        <v>2</v>
      </c>
      <c r="O599" s="1">
        <v>35</v>
      </c>
      <c r="X599" s="1">
        <v>200208</v>
      </c>
      <c r="Y599" s="1" t="str">
        <f>IFERROR(INDEX([1]物品基础表!$A:$A,MATCH(X599,[1]物品基础表!$B:$B,0)),"")</f>
        <v>烈焰印记低级升级材料</v>
      </c>
      <c r="Z599" s="1">
        <v>450</v>
      </c>
      <c r="AB599" s="1" t="str">
        <f>IFERROR(INDEX([1]物品基础表!$A:$A,MATCH(AA599,[1]物品基础表!$B:$B,0)),"")</f>
        <v/>
      </c>
      <c r="AE599" s="1" t="str">
        <f>IFERROR(INDEX([1]物品基础表!$A:$A,MATCH(AD599,[1]物品基础表!$B:$B,0)),"")</f>
        <v/>
      </c>
      <c r="AH599" s="1" t="str">
        <f>IFERROR(INDEX([1]物品基础表!$A:$A,MATCH(AG599,[1]物品基础表!$B:$B,0)),"")</f>
        <v/>
      </c>
      <c r="AK599" s="1" t="str">
        <f>IFERROR(INDEX([1]物品基础表!$A:$A,MATCH(AJ599,[1]物品基础表!$B:$B,0)),"")</f>
        <v/>
      </c>
      <c r="AN599" s="1" t="str">
        <f>IFERROR(INDEX([1]物品基础表!$A:$A,MATCH(AM599,[1]物品基础表!$B:$B,0)),"")</f>
        <v/>
      </c>
      <c r="AQ599" s="1" t="str">
        <f>IFERROR(INDEX([1]物品基础表!$A:$A,MATCH(AP599,[1]物品基础表!$B:$B,0)),"")</f>
        <v/>
      </c>
    </row>
    <row r="600" spans="1:43">
      <c r="A600" s="1" t="str">
        <f>INDEX([2]活动总表!$A$8:$A$429,MATCH(B600,[2]活动总表!$B$8:$B$429,0))</f>
        <v>开门红限购3</v>
      </c>
      <c r="B600" s="1">
        <v>626</v>
      </c>
      <c r="C600" s="1">
        <v>3</v>
      </c>
      <c r="D600" s="1">
        <v>7</v>
      </c>
      <c r="E600" s="1">
        <v>0</v>
      </c>
      <c r="F600" s="1" t="s">
        <v>706</v>
      </c>
      <c r="G600" s="1">
        <v>2888</v>
      </c>
      <c r="H600" s="1">
        <v>8000</v>
      </c>
      <c r="I600" s="1">
        <v>2</v>
      </c>
      <c r="O600" s="1">
        <v>36</v>
      </c>
      <c r="X600" s="1">
        <v>200208</v>
      </c>
      <c r="Y600" s="1" t="str">
        <f>IFERROR(INDEX([1]物品基础表!$A:$A,MATCH(X600,[1]物品基础表!$B:$B,0)),"")</f>
        <v>烈焰印记低级升级材料</v>
      </c>
      <c r="Z600" s="1">
        <v>800</v>
      </c>
      <c r="AB600" s="1" t="str">
        <f>IFERROR(INDEX([1]物品基础表!$A:$A,MATCH(AA600,[1]物品基础表!$B:$B,0)),"")</f>
        <v/>
      </c>
      <c r="AE600" s="1" t="str">
        <f>IFERROR(INDEX([1]物品基础表!$A:$A,MATCH(AD600,[1]物品基础表!$B:$B,0)),"")</f>
        <v/>
      </c>
      <c r="AH600" s="1" t="str">
        <f>IFERROR(INDEX([1]物品基础表!$A:$A,MATCH(AG600,[1]物品基础表!$B:$B,0)),"")</f>
        <v/>
      </c>
      <c r="AK600" s="1" t="str">
        <f>IFERROR(INDEX([1]物品基础表!$A:$A,MATCH(AJ600,[1]物品基础表!$B:$B,0)),"")</f>
        <v/>
      </c>
      <c r="AN600" s="1" t="str">
        <f>IFERROR(INDEX([1]物品基础表!$A:$A,MATCH(AM600,[1]物品基础表!$B:$B,0)),"")</f>
        <v/>
      </c>
      <c r="AQ600" s="1" t="str">
        <f>IFERROR(INDEX([1]物品基础表!$A:$A,MATCH(AP600,[1]物品基础表!$B:$B,0)),"")</f>
        <v/>
      </c>
    </row>
    <row r="601" spans="1:43">
      <c r="A601" s="1" t="str">
        <f>INDEX([2]活动总表!$A$8:$A$429,MATCH(B601,[2]活动总表!$B$8:$B$429,0))</f>
        <v>开门红限购3</v>
      </c>
      <c r="B601" s="1">
        <v>626</v>
      </c>
      <c r="C601" s="1">
        <v>4</v>
      </c>
      <c r="D601" s="1">
        <v>5</v>
      </c>
      <c r="E601" s="1">
        <v>0</v>
      </c>
      <c r="F601" s="1" t="s">
        <v>706</v>
      </c>
      <c r="G601" s="1">
        <v>2888</v>
      </c>
      <c r="H601" s="1">
        <v>5000</v>
      </c>
      <c r="I601" s="1">
        <v>3</v>
      </c>
      <c r="O601" s="1">
        <v>57</v>
      </c>
      <c r="X601" s="1">
        <v>200208</v>
      </c>
      <c r="Y601" s="1" t="str">
        <f>IFERROR(INDEX([1]物品基础表!$A:$A,MATCH(X601,[1]物品基础表!$B:$B,0)),"")</f>
        <v>烈焰印记低级升级材料</v>
      </c>
      <c r="Z601" s="1">
        <v>500</v>
      </c>
      <c r="AB601" s="1" t="str">
        <f>IFERROR(INDEX([1]物品基础表!$A:$A,MATCH(AA601,[1]物品基础表!$B:$B,0)),"")</f>
        <v/>
      </c>
      <c r="AE601" s="1" t="str">
        <f>IFERROR(INDEX([1]物品基础表!$A:$A,MATCH(AD601,[1]物品基础表!$B:$B,0)),"")</f>
        <v/>
      </c>
      <c r="AH601" s="1" t="str">
        <f>IFERROR(INDEX([1]物品基础表!$A:$A,MATCH(AG601,[1]物品基础表!$B:$B,0)),"")</f>
        <v/>
      </c>
      <c r="AK601" s="1" t="str">
        <f>IFERROR(INDEX([1]物品基础表!$A:$A,MATCH(AJ601,[1]物品基础表!$B:$B,0)),"")</f>
        <v/>
      </c>
      <c r="AN601" s="1" t="str">
        <f>IFERROR(INDEX([1]物品基础表!$A:$A,MATCH(AM601,[1]物品基础表!$B:$B,0)),"")</f>
        <v/>
      </c>
      <c r="AQ601" s="1" t="str">
        <f>IFERROR(INDEX([1]物品基础表!$A:$A,MATCH(AP601,[1]物品基础表!$B:$B,0)),"")</f>
        <v/>
      </c>
    </row>
    <row r="602" spans="1:43">
      <c r="A602" s="1" t="str">
        <f>INDEX([2]活动总表!$A$8:$A$429,MATCH(B602,[2]活动总表!$B$8:$B$429,0))</f>
        <v>开门红限购3</v>
      </c>
      <c r="B602" s="1">
        <v>626</v>
      </c>
      <c r="C602" s="1">
        <v>5</v>
      </c>
      <c r="D602" s="1">
        <v>5</v>
      </c>
      <c r="E602" s="1">
        <v>0</v>
      </c>
      <c r="F602" s="1" t="s">
        <v>706</v>
      </c>
      <c r="G602" s="1">
        <v>8888</v>
      </c>
      <c r="H602" s="1">
        <v>15000</v>
      </c>
      <c r="I602" s="1">
        <v>10</v>
      </c>
      <c r="O602" s="1">
        <v>59</v>
      </c>
      <c r="X602" s="1">
        <v>200208</v>
      </c>
      <c r="Y602" s="1" t="str">
        <f>IFERROR(INDEX([1]物品基础表!$A:$A,MATCH(X602,[1]物品基础表!$B:$B,0)),"")</f>
        <v>烈焰印记低级升级材料</v>
      </c>
      <c r="Z602" s="1">
        <v>1500</v>
      </c>
      <c r="AB602" s="1" t="str">
        <f>IFERROR(INDEX([1]物品基础表!$A:$A,MATCH(AA602,[1]物品基础表!$B:$B,0)),"")</f>
        <v/>
      </c>
      <c r="AE602" s="1" t="str">
        <f>IFERROR(INDEX([1]物品基础表!$A:$A,MATCH(AD602,[1]物品基础表!$B:$B,0)),"")</f>
        <v/>
      </c>
      <c r="AH602" s="1" t="str">
        <f>IFERROR(INDEX([1]物品基础表!$A:$A,MATCH(AG602,[1]物品基础表!$B:$B,0)),"")</f>
        <v/>
      </c>
      <c r="AK602" s="1" t="str">
        <f>IFERROR(INDEX([1]物品基础表!$A:$A,MATCH(AJ602,[1]物品基础表!$B:$B,0)),"")</f>
        <v/>
      </c>
      <c r="AN602" s="1" t="str">
        <f>IFERROR(INDEX([1]物品基础表!$A:$A,MATCH(AM602,[1]物品基础表!$B:$B,0)),"")</f>
        <v/>
      </c>
      <c r="AQ602" s="1" t="str">
        <f>IFERROR(INDEX([1]物品基础表!$A:$A,MATCH(AP602,[1]物品基础表!$B:$B,0)),"")</f>
        <v/>
      </c>
    </row>
    <row r="603" spans="1:43">
      <c r="A603" s="1" t="str">
        <f>INDEX([2]活动总表!$A$8:$A$429,MATCH(B603,[2]活动总表!$B$8:$B$429,0))</f>
        <v>元宵限购1</v>
      </c>
      <c r="B603" s="1">
        <v>654</v>
      </c>
      <c r="C603" s="1">
        <v>1</v>
      </c>
      <c r="D603" s="1">
        <v>5</v>
      </c>
      <c r="E603" s="1">
        <v>0</v>
      </c>
      <c r="F603" s="1" t="s">
        <v>706</v>
      </c>
      <c r="G603" s="1">
        <v>1088</v>
      </c>
      <c r="H603" s="1">
        <v>2000</v>
      </c>
      <c r="I603" s="1">
        <v>1</v>
      </c>
      <c r="O603" s="1">
        <v>54</v>
      </c>
      <c r="X603" s="1">
        <v>201106</v>
      </c>
      <c r="Y603" s="1" t="str">
        <f>IFERROR(INDEX([1]物品基础表!$A:$A,MATCH(X603,[1]物品基础表!$B:$B,0)),"")</f>
        <v>高级轮回丹·无限制</v>
      </c>
      <c r="Z603" s="1">
        <v>2</v>
      </c>
      <c r="AB603" s="1" t="str">
        <f>IFERROR(INDEX([1]物品基础表!$A:$A,MATCH(AA603,[1]物品基础表!$B:$B,0)),"")</f>
        <v/>
      </c>
      <c r="AE603" s="1" t="str">
        <f>IFERROR(INDEX([1]物品基础表!$A:$A,MATCH(AD603,[1]物品基础表!$B:$B,0)),"")</f>
        <v/>
      </c>
      <c r="AH603" s="1" t="str">
        <f>IFERROR(INDEX([1]物品基础表!$A:$A,MATCH(AG603,[1]物品基础表!$B:$B,0)),"")</f>
        <v/>
      </c>
      <c r="AK603" s="1" t="str">
        <f>IFERROR(INDEX([1]物品基础表!$A:$A,MATCH(AJ603,[1]物品基础表!$B:$B,0)),"")</f>
        <v/>
      </c>
      <c r="AN603" s="1" t="str">
        <f>IFERROR(INDEX([1]物品基础表!$A:$A,MATCH(AM603,[1]物品基础表!$B:$B,0)),"")</f>
        <v/>
      </c>
      <c r="AQ603" s="1" t="str">
        <f>IFERROR(INDEX([1]物品基础表!$A:$A,MATCH(AP603,[1]物品基础表!$B:$B,0)),"")</f>
        <v/>
      </c>
    </row>
    <row r="604" spans="1:43">
      <c r="A604" s="1" t="str">
        <f>INDEX([2]活动总表!$A$8:$A$429,MATCH(B604,[2]活动总表!$B$8:$B$429,0))</f>
        <v>元宵限购1</v>
      </c>
      <c r="B604" s="1">
        <v>654</v>
      </c>
      <c r="C604" s="1">
        <v>2</v>
      </c>
      <c r="D604" s="1">
        <v>7</v>
      </c>
      <c r="E604" s="1">
        <v>0</v>
      </c>
      <c r="F604" s="1" t="s">
        <v>706</v>
      </c>
      <c r="G604" s="1">
        <v>1588</v>
      </c>
      <c r="H604" s="1">
        <v>5000</v>
      </c>
      <c r="I604" s="1">
        <v>1</v>
      </c>
      <c r="O604" s="1">
        <v>31</v>
      </c>
      <c r="X604" s="1">
        <v>201106</v>
      </c>
      <c r="Y604" s="1" t="str">
        <f>IFERROR(INDEX([1]物品基础表!$A:$A,MATCH(X604,[1]物品基础表!$B:$B,0)),"")</f>
        <v>高级轮回丹·无限制</v>
      </c>
      <c r="Z604" s="1">
        <v>5</v>
      </c>
      <c r="AB604" s="1" t="str">
        <f>IFERROR(INDEX([1]物品基础表!$A:$A,MATCH(AA604,[1]物品基础表!$B:$B,0)),"")</f>
        <v/>
      </c>
      <c r="AE604" s="1" t="str">
        <f>IFERROR(INDEX([1]物品基础表!$A:$A,MATCH(AD604,[1]物品基础表!$B:$B,0)),"")</f>
        <v/>
      </c>
      <c r="AH604" s="1" t="str">
        <f>IFERROR(INDEX([1]物品基础表!$A:$A,MATCH(AG604,[1]物品基础表!$B:$B,0)),"")</f>
        <v/>
      </c>
      <c r="AK604" s="1" t="str">
        <f>IFERROR(INDEX([1]物品基础表!$A:$A,MATCH(AJ604,[1]物品基础表!$B:$B,0)),"")</f>
        <v/>
      </c>
      <c r="AN604" s="1" t="str">
        <f>IFERROR(INDEX([1]物品基础表!$A:$A,MATCH(AM604,[1]物品基础表!$B:$B,0)),"")</f>
        <v/>
      </c>
      <c r="AQ604" s="1" t="str">
        <f>IFERROR(INDEX([1]物品基础表!$A:$A,MATCH(AP604,[1]物品基础表!$B:$B,0)),"")</f>
        <v/>
      </c>
    </row>
    <row r="605" spans="1:43">
      <c r="A605" s="1" t="str">
        <f>INDEX([2]活动总表!$A$8:$A$429,MATCH(B605,[2]活动总表!$B$8:$B$429,0))</f>
        <v>元宵限购1</v>
      </c>
      <c r="B605" s="1">
        <v>654</v>
      </c>
      <c r="C605" s="1">
        <v>3</v>
      </c>
      <c r="D605" s="1">
        <v>7</v>
      </c>
      <c r="E605" s="1">
        <v>0</v>
      </c>
      <c r="F605" s="1" t="s">
        <v>706</v>
      </c>
      <c r="G605" s="1">
        <v>2888</v>
      </c>
      <c r="H605" s="1">
        <v>9000</v>
      </c>
      <c r="I605" s="1">
        <v>1</v>
      </c>
      <c r="O605" s="1">
        <v>32</v>
      </c>
      <c r="X605" s="1">
        <v>201106</v>
      </c>
      <c r="Y605" s="1" t="str">
        <f>IFERROR(INDEX([1]物品基础表!$A:$A,MATCH(X605,[1]物品基础表!$B:$B,0)),"")</f>
        <v>高级轮回丹·无限制</v>
      </c>
      <c r="Z605" s="1">
        <v>9</v>
      </c>
      <c r="AB605" s="1" t="str">
        <f>IFERROR(INDEX([1]物品基础表!$A:$A,MATCH(AA605,[1]物品基础表!$B:$B,0)),"")</f>
        <v/>
      </c>
      <c r="AE605" s="1" t="str">
        <f>IFERROR(INDEX([1]物品基础表!$A:$A,MATCH(AD605,[1]物品基础表!$B:$B,0)),"")</f>
        <v/>
      </c>
      <c r="AH605" s="1" t="str">
        <f>IFERROR(INDEX([1]物品基础表!$A:$A,MATCH(AG605,[1]物品基础表!$B:$B,0)),"")</f>
        <v/>
      </c>
      <c r="AK605" s="1" t="str">
        <f>IFERROR(INDEX([1]物品基础表!$A:$A,MATCH(AJ605,[1]物品基础表!$B:$B,0)),"")</f>
        <v/>
      </c>
      <c r="AN605" s="1" t="str">
        <f>IFERROR(INDEX([1]物品基础表!$A:$A,MATCH(AM605,[1]物品基础表!$B:$B,0)),"")</f>
        <v/>
      </c>
      <c r="AQ605" s="1" t="str">
        <f>IFERROR(INDEX([1]物品基础表!$A:$A,MATCH(AP605,[1]物品基础表!$B:$B,0)),"")</f>
        <v/>
      </c>
    </row>
    <row r="606" spans="1:43">
      <c r="A606" s="1" t="str">
        <f>INDEX([2]活动总表!$A$8:$A$429,MATCH(B606,[2]活动总表!$B$8:$B$429,0))</f>
        <v>元宵限购1</v>
      </c>
      <c r="B606" s="1">
        <v>654</v>
      </c>
      <c r="C606" s="1">
        <v>4</v>
      </c>
      <c r="D606" s="1">
        <v>7</v>
      </c>
      <c r="E606" s="1">
        <v>0</v>
      </c>
      <c r="F606" s="1" t="s">
        <v>706</v>
      </c>
      <c r="G606" s="1">
        <v>6888</v>
      </c>
      <c r="H606" s="1">
        <v>19996</v>
      </c>
      <c r="I606" s="1">
        <v>1</v>
      </c>
      <c r="O606" s="1">
        <v>34</v>
      </c>
      <c r="X606" s="1">
        <v>201107</v>
      </c>
      <c r="Y606" s="1" t="str">
        <f>IFERROR(INDEX([1]物品基础表!$A:$A,MATCH(X606,[1]物品基础表!$B:$B,0)),"")</f>
        <v>超级轮回丹·无限制</v>
      </c>
      <c r="Z606" s="1">
        <v>2</v>
      </c>
      <c r="AB606" s="1" t="str">
        <f>IFERROR(INDEX([1]物品基础表!$A:$A,MATCH(AA606,[1]物品基础表!$B:$B,0)),"")</f>
        <v/>
      </c>
      <c r="AE606" s="1" t="str">
        <f>IFERROR(INDEX([1]物品基础表!$A:$A,MATCH(AD606,[1]物品基础表!$B:$B,0)),"")</f>
        <v/>
      </c>
      <c r="AH606" s="1" t="str">
        <f>IFERROR(INDEX([1]物品基础表!$A:$A,MATCH(AG606,[1]物品基础表!$B:$B,0)),"")</f>
        <v/>
      </c>
      <c r="AK606" s="1" t="str">
        <f>IFERROR(INDEX([1]物品基础表!$A:$A,MATCH(AJ606,[1]物品基础表!$B:$B,0)),"")</f>
        <v/>
      </c>
      <c r="AN606" s="1" t="str">
        <f>IFERROR(INDEX([1]物品基础表!$A:$A,MATCH(AM606,[1]物品基础表!$B:$B,0)),"")</f>
        <v/>
      </c>
      <c r="AQ606" s="1" t="str">
        <f>IFERROR(INDEX([1]物品基础表!$A:$A,MATCH(AP606,[1]物品基础表!$B:$B,0)),"")</f>
        <v/>
      </c>
    </row>
    <row r="607" spans="1:43">
      <c r="A607" s="1" t="str">
        <f>INDEX([2]活动总表!$A$8:$A$429,MATCH(B607,[2]活动总表!$B$8:$B$429,0))</f>
        <v>元宵限购1</v>
      </c>
      <c r="B607" s="1">
        <v>654</v>
      </c>
      <c r="C607" s="1">
        <v>5</v>
      </c>
      <c r="D607" s="1">
        <v>5</v>
      </c>
      <c r="E607" s="1">
        <v>0</v>
      </c>
      <c r="F607" s="1" t="s">
        <v>706</v>
      </c>
      <c r="G607" s="1">
        <v>8888</v>
      </c>
      <c r="H607" s="1">
        <v>14998</v>
      </c>
      <c r="I607" s="1">
        <v>3</v>
      </c>
      <c r="O607" s="1">
        <v>59</v>
      </c>
      <c r="X607" s="1">
        <v>201107</v>
      </c>
      <c r="Y607" s="1" t="str">
        <f>IFERROR(INDEX([1]物品基础表!$A:$A,MATCH(X607,[1]物品基础表!$B:$B,0)),"")</f>
        <v>超级轮回丹·无限制</v>
      </c>
      <c r="Z607" s="1">
        <v>1</v>
      </c>
      <c r="AA607" s="1">
        <v>201106</v>
      </c>
      <c r="AB607" s="1" t="str">
        <f>IFERROR(INDEX([1]物品基础表!$A:$A,MATCH(AA607,[1]物品基础表!$B:$B,0)),"")</f>
        <v>高级轮回丹·无限制</v>
      </c>
      <c r="AC607" s="1">
        <v>5</v>
      </c>
      <c r="AE607" s="1" t="str">
        <f>IFERROR(INDEX([1]物品基础表!$A:$A,MATCH(AD607,[1]物品基础表!$B:$B,0)),"")</f>
        <v/>
      </c>
      <c r="AH607" s="1" t="str">
        <f>IFERROR(INDEX([1]物品基础表!$A:$A,MATCH(AG607,[1]物品基础表!$B:$B,0)),"")</f>
        <v/>
      </c>
      <c r="AK607" s="1" t="str">
        <f>IFERROR(INDEX([1]物品基础表!$A:$A,MATCH(AJ607,[1]物品基础表!$B:$B,0)),"")</f>
        <v/>
      </c>
      <c r="AN607" s="1" t="str">
        <f>IFERROR(INDEX([1]物品基础表!$A:$A,MATCH(AM607,[1]物品基础表!$B:$B,0)),"")</f>
        <v/>
      </c>
      <c r="AQ607" s="1" t="str">
        <f>IFERROR(INDEX([1]物品基础表!$A:$A,MATCH(AP607,[1]物品基础表!$B:$B,0)),"")</f>
        <v/>
      </c>
    </row>
    <row r="608" spans="1:43">
      <c r="A608" s="1" t="str">
        <f>INDEX([2]活动总表!$A$8:$A$429,MATCH(B608,[2]活动总表!$B$8:$B$429,0))</f>
        <v>元宵限购2</v>
      </c>
      <c r="B608" s="1">
        <v>655</v>
      </c>
      <c r="C608" s="1">
        <v>1</v>
      </c>
      <c r="D608" s="1">
        <v>5</v>
      </c>
      <c r="E608" s="1">
        <v>0</v>
      </c>
      <c r="F608" s="1" t="s">
        <v>706</v>
      </c>
      <c r="G608" s="1">
        <v>888</v>
      </c>
      <c r="H608" s="1">
        <v>1480</v>
      </c>
      <c r="I608" s="1">
        <v>1</v>
      </c>
      <c r="O608" s="1">
        <v>60</v>
      </c>
      <c r="X608" s="1">
        <v>200005</v>
      </c>
      <c r="Y608" s="1" t="str">
        <f>IFERROR(INDEX([1]物品基础表!$A:$A,MATCH(X608,[1]物品基础表!$B:$B,0)),"")</f>
        <v>龙魂碎片</v>
      </c>
      <c r="Z608" s="1">
        <v>10</v>
      </c>
      <c r="AA608" s="1">
        <v>200906</v>
      </c>
      <c r="AB608" s="1" t="str">
        <f>IFERROR(INDEX([1]物品基础表!$A:$A,MATCH(AA608,[1]物品基础表!$B:$B,0)),"")</f>
        <v>神兵经验丹（1W</v>
      </c>
      <c r="AC608" s="1">
        <v>12</v>
      </c>
      <c r="AE608" s="1" t="str">
        <f>IFERROR(INDEX([1]物品基础表!$A:$A,MATCH(AD608,[1]物品基础表!$B:$B,0)),"")</f>
        <v/>
      </c>
      <c r="AH608" s="1" t="str">
        <f>IFERROR(INDEX([1]物品基础表!$A:$A,MATCH(AG608,[1]物品基础表!$B:$B,0)),"")</f>
        <v/>
      </c>
      <c r="AK608" s="1" t="str">
        <f>IFERROR(INDEX([1]物品基础表!$A:$A,MATCH(AJ608,[1]物品基础表!$B:$B,0)),"")</f>
        <v/>
      </c>
      <c r="AN608" s="1" t="str">
        <f>IFERROR(INDEX([1]物品基础表!$A:$A,MATCH(AM608,[1]物品基础表!$B:$B,0)),"")</f>
        <v/>
      </c>
      <c r="AQ608" s="1" t="str">
        <f>IFERROR(INDEX([1]物品基础表!$A:$A,MATCH(AP608,[1]物品基础表!$B:$B,0)),"")</f>
        <v/>
      </c>
    </row>
    <row r="609" spans="1:43">
      <c r="A609" s="1" t="str">
        <f>INDEX([2]活动总表!$A$8:$A$429,MATCH(B609,[2]活动总表!$B$8:$B$429,0))</f>
        <v>元宵限购2</v>
      </c>
      <c r="B609" s="1">
        <v>655</v>
      </c>
      <c r="C609" s="1">
        <v>2</v>
      </c>
      <c r="D609" s="1">
        <v>8</v>
      </c>
      <c r="E609" s="1">
        <v>0</v>
      </c>
      <c r="F609" s="1" t="s">
        <v>706</v>
      </c>
      <c r="G609" s="1">
        <v>1588</v>
      </c>
      <c r="H609" s="1">
        <v>4900</v>
      </c>
      <c r="I609" s="1">
        <v>1</v>
      </c>
      <c r="O609" s="1">
        <v>32</v>
      </c>
      <c r="X609" s="1">
        <v>200005</v>
      </c>
      <c r="Y609" s="1" t="str">
        <f>IFERROR(INDEX([1]物品基础表!$A:$A,MATCH(X609,[1]物品基础表!$B:$B,0)),"")</f>
        <v>龙魂碎片</v>
      </c>
      <c r="Z609" s="1">
        <v>35</v>
      </c>
      <c r="AA609" s="1">
        <v>200906</v>
      </c>
      <c r="AB609" s="1" t="str">
        <f>IFERROR(INDEX([1]物品基础表!$A:$A,MATCH(AA609,[1]物品基础表!$B:$B,0)),"")</f>
        <v>神兵经验丹（1W</v>
      </c>
      <c r="AC609" s="1">
        <v>35</v>
      </c>
      <c r="AE609" s="1" t="str">
        <f>IFERROR(INDEX([1]物品基础表!$A:$A,MATCH(AD609,[1]物品基础表!$B:$B,0)),"")</f>
        <v/>
      </c>
      <c r="AH609" s="1" t="str">
        <f>IFERROR(INDEX([1]物品基础表!$A:$A,MATCH(AG609,[1]物品基础表!$B:$B,0)),"")</f>
        <v/>
      </c>
      <c r="AK609" s="1" t="str">
        <f>IFERROR(INDEX([1]物品基础表!$A:$A,MATCH(AJ609,[1]物品基础表!$B:$B,0)),"")</f>
        <v/>
      </c>
      <c r="AN609" s="1" t="str">
        <f>IFERROR(INDEX([1]物品基础表!$A:$A,MATCH(AM609,[1]物品基础表!$B:$B,0)),"")</f>
        <v/>
      </c>
      <c r="AQ609" s="1" t="str">
        <f>IFERROR(INDEX([1]物品基础表!$A:$A,MATCH(AP609,[1]物品基础表!$B:$B,0)),"")</f>
        <v/>
      </c>
    </row>
    <row r="610" spans="1:43">
      <c r="A610" s="1" t="str">
        <f>INDEX([2]活动总表!$A$8:$A$429,MATCH(B610,[2]活动总表!$B$8:$B$429,0))</f>
        <v>元宵限购2</v>
      </c>
      <c r="B610" s="1">
        <v>655</v>
      </c>
      <c r="C610" s="1">
        <v>3</v>
      </c>
      <c r="D610" s="1">
        <v>8</v>
      </c>
      <c r="E610" s="1">
        <v>0</v>
      </c>
      <c r="F610" s="1" t="s">
        <v>706</v>
      </c>
      <c r="G610" s="1">
        <v>2888</v>
      </c>
      <c r="H610" s="1">
        <v>9100</v>
      </c>
      <c r="I610" s="1">
        <v>1</v>
      </c>
      <c r="O610" s="1">
        <v>31</v>
      </c>
      <c r="X610" s="1">
        <v>200005</v>
      </c>
      <c r="Y610" s="1" t="str">
        <f>IFERROR(INDEX([1]物品基础表!$A:$A,MATCH(X610,[1]物品基础表!$B:$B,0)),"")</f>
        <v>龙魂碎片</v>
      </c>
      <c r="Z610" s="1">
        <v>65</v>
      </c>
      <c r="AA610" s="1">
        <v>200906</v>
      </c>
      <c r="AB610" s="1" t="str">
        <f>IFERROR(INDEX([1]物品基础表!$A:$A,MATCH(AA610,[1]物品基础表!$B:$B,0)),"")</f>
        <v>神兵经验丹（1W</v>
      </c>
      <c r="AC610" s="1">
        <v>65</v>
      </c>
      <c r="AE610" s="1" t="str">
        <f>IFERROR(INDEX([1]物品基础表!$A:$A,MATCH(AD610,[1]物品基础表!$B:$B,0)),"")</f>
        <v/>
      </c>
      <c r="AH610" s="1" t="str">
        <f>IFERROR(INDEX([1]物品基础表!$A:$A,MATCH(AG610,[1]物品基础表!$B:$B,0)),"")</f>
        <v/>
      </c>
      <c r="AK610" s="1" t="str">
        <f>IFERROR(INDEX([1]物品基础表!$A:$A,MATCH(AJ610,[1]物品基础表!$B:$B,0)),"")</f>
        <v/>
      </c>
      <c r="AN610" s="1" t="str">
        <f>IFERROR(INDEX([1]物品基础表!$A:$A,MATCH(AM610,[1]物品基础表!$B:$B,0)),"")</f>
        <v/>
      </c>
      <c r="AQ610" s="1" t="str">
        <f>IFERROR(INDEX([1]物品基础表!$A:$A,MATCH(AP610,[1]物品基础表!$B:$B,0)),"")</f>
        <v/>
      </c>
    </row>
    <row r="611" spans="1:43">
      <c r="A611" s="1" t="str">
        <f>INDEX([2]活动总表!$A$8:$A$429,MATCH(B611,[2]活动总表!$B$8:$B$429,0))</f>
        <v>元宵限购2</v>
      </c>
      <c r="B611" s="1">
        <v>655</v>
      </c>
      <c r="C611" s="1">
        <v>4</v>
      </c>
      <c r="D611" s="1">
        <v>8</v>
      </c>
      <c r="E611" s="1">
        <v>0</v>
      </c>
      <c r="F611" s="1" t="s">
        <v>706</v>
      </c>
      <c r="G611" s="1">
        <v>6888</v>
      </c>
      <c r="H611" s="1">
        <v>19800</v>
      </c>
      <c r="I611" s="1">
        <v>1</v>
      </c>
      <c r="O611" s="1">
        <v>34</v>
      </c>
      <c r="X611" s="1">
        <v>200005</v>
      </c>
      <c r="Y611" s="1" t="str">
        <f>IFERROR(INDEX([1]物品基础表!$A:$A,MATCH(X611,[1]物品基础表!$B:$B,0)),"")</f>
        <v>龙魂碎片</v>
      </c>
      <c r="Z611" s="1">
        <v>130</v>
      </c>
      <c r="AA611" s="1">
        <v>200906</v>
      </c>
      <c r="AB611" s="1" t="str">
        <f>IFERROR(INDEX([1]物品基础表!$A:$A,MATCH(AA611,[1]物品基础表!$B:$B,0)),"")</f>
        <v>神兵经验丹（1W</v>
      </c>
      <c r="AC611" s="1">
        <v>170</v>
      </c>
      <c r="AE611" s="1" t="str">
        <f>IFERROR(INDEX([1]物品基础表!$A:$A,MATCH(AD611,[1]物品基础表!$B:$B,0)),"")</f>
        <v/>
      </c>
      <c r="AH611" s="1" t="str">
        <f>IFERROR(INDEX([1]物品基础表!$A:$A,MATCH(AG611,[1]物品基础表!$B:$B,0)),"")</f>
        <v/>
      </c>
      <c r="AK611" s="1" t="str">
        <f>IFERROR(INDEX([1]物品基础表!$A:$A,MATCH(AJ611,[1]物品基础表!$B:$B,0)),"")</f>
        <v/>
      </c>
      <c r="AN611" s="1" t="str">
        <f>IFERROR(INDEX([1]物品基础表!$A:$A,MATCH(AM611,[1]物品基础表!$B:$B,0)),"")</f>
        <v/>
      </c>
      <c r="AQ611" s="1" t="str">
        <f>IFERROR(INDEX([1]物品基础表!$A:$A,MATCH(AP611,[1]物品基础表!$B:$B,0)),"")</f>
        <v/>
      </c>
    </row>
    <row r="612" spans="1:43">
      <c r="A612" s="1" t="str">
        <f>INDEX([2]活动总表!$A$8:$A$429,MATCH(B612,[2]活动总表!$B$8:$B$429,0))</f>
        <v>元宵限购2</v>
      </c>
      <c r="B612" s="1">
        <v>655</v>
      </c>
      <c r="C612" s="1">
        <v>5</v>
      </c>
      <c r="D612" s="1">
        <v>5</v>
      </c>
      <c r="E612" s="1">
        <v>0</v>
      </c>
      <c r="F612" s="1" t="s">
        <v>706</v>
      </c>
      <c r="G612" s="1">
        <v>8888</v>
      </c>
      <c r="H612" s="1">
        <v>14800</v>
      </c>
      <c r="I612" s="1">
        <v>3</v>
      </c>
      <c r="O612" s="1">
        <v>60</v>
      </c>
      <c r="X612" s="1">
        <v>200005</v>
      </c>
      <c r="Y612" s="1" t="str">
        <f>IFERROR(INDEX([1]物品基础表!$A:$A,MATCH(X612,[1]物品基础表!$B:$B,0)),"")</f>
        <v>龙魂碎片</v>
      </c>
      <c r="Z612" s="1">
        <v>100</v>
      </c>
      <c r="AA612" s="1">
        <v>200906</v>
      </c>
      <c r="AB612" s="1" t="str">
        <f>IFERROR(INDEX([1]物品基础表!$A:$A,MATCH(AA612,[1]物品基础表!$B:$B,0)),"")</f>
        <v>神兵经验丹（1W</v>
      </c>
      <c r="AC612" s="1">
        <v>120</v>
      </c>
      <c r="AE612" s="1" t="str">
        <f>IFERROR(INDEX([1]物品基础表!$A:$A,MATCH(AD612,[1]物品基础表!$B:$B,0)),"")</f>
        <v/>
      </c>
      <c r="AH612" s="1" t="str">
        <f>IFERROR(INDEX([1]物品基础表!$A:$A,MATCH(AG612,[1]物品基础表!$B:$B,0)),"")</f>
        <v/>
      </c>
      <c r="AK612" s="1" t="str">
        <f>IFERROR(INDEX([1]物品基础表!$A:$A,MATCH(AJ612,[1]物品基础表!$B:$B,0)),"")</f>
        <v/>
      </c>
      <c r="AN612" s="1" t="str">
        <f>IFERROR(INDEX([1]物品基础表!$A:$A,MATCH(AM612,[1]物品基础表!$B:$B,0)),"")</f>
        <v/>
      </c>
      <c r="AQ612" s="1" t="str">
        <f>IFERROR(INDEX([1]物品基础表!$A:$A,MATCH(AP612,[1]物品基础表!$B:$B,0)),"")</f>
        <v/>
      </c>
    </row>
    <row r="613" spans="1:43">
      <c r="A613" s="1" t="str">
        <f>INDEX([2]活动总表!$A$8:$A$429,MATCH(B613,[2]活动总表!$B$8:$B$429,0))</f>
        <v>元宵限购3</v>
      </c>
      <c r="B613" s="1">
        <v>656</v>
      </c>
      <c r="C613" s="1">
        <v>1</v>
      </c>
      <c r="D613" s="1">
        <v>5</v>
      </c>
      <c r="E613" s="1">
        <v>0</v>
      </c>
      <c r="F613" s="1" t="s">
        <v>706</v>
      </c>
      <c r="G613" s="1">
        <v>888</v>
      </c>
      <c r="H613" s="1">
        <v>1500</v>
      </c>
      <c r="I613" s="1">
        <v>1</v>
      </c>
      <c r="O613" s="1">
        <v>59</v>
      </c>
      <c r="X613" s="1">
        <v>200301</v>
      </c>
      <c r="Y613" s="1" t="str">
        <f>IFERROR(INDEX([1]物品基础表!$A:$A,MATCH(X613,[1]物品基础表!$B:$B,0)),"")</f>
        <v>传世宝钻</v>
      </c>
      <c r="Z613" s="1">
        <v>15</v>
      </c>
      <c r="AB613" s="1" t="str">
        <f>IFERROR(INDEX([1]物品基础表!$A:$A,MATCH(AA613,[1]物品基础表!$B:$B,0)),"")</f>
        <v/>
      </c>
      <c r="AE613" s="1" t="str">
        <f>IFERROR(INDEX([1]物品基础表!$A:$A,MATCH(AD613,[1]物品基础表!$B:$B,0)),"")</f>
        <v/>
      </c>
      <c r="AH613" s="1" t="str">
        <f>IFERROR(INDEX([1]物品基础表!$A:$A,MATCH(AG613,[1]物品基础表!$B:$B,0)),"")</f>
        <v/>
      </c>
      <c r="AK613" s="1" t="str">
        <f>IFERROR(INDEX([1]物品基础表!$A:$A,MATCH(AJ613,[1]物品基础表!$B:$B,0)),"")</f>
        <v/>
      </c>
      <c r="AN613" s="1" t="str">
        <f>IFERROR(INDEX([1]物品基础表!$A:$A,MATCH(AM613,[1]物品基础表!$B:$B,0)),"")</f>
        <v/>
      </c>
      <c r="AQ613" s="1" t="str">
        <f>IFERROR(INDEX([1]物品基础表!$A:$A,MATCH(AP613,[1]物品基础表!$B:$B,0)),"")</f>
        <v/>
      </c>
    </row>
    <row r="614" spans="1:43">
      <c r="A614" s="1" t="str">
        <f>INDEX([2]活动总表!$A$8:$A$429,MATCH(B614,[2]活动总表!$B$8:$B$429,0))</f>
        <v>元宵限购3</v>
      </c>
      <c r="B614" s="1">
        <v>656</v>
      </c>
      <c r="C614" s="1">
        <v>2</v>
      </c>
      <c r="D614" s="1">
        <v>8</v>
      </c>
      <c r="E614" s="1">
        <v>0</v>
      </c>
      <c r="F614" s="1" t="s">
        <v>706</v>
      </c>
      <c r="G614" s="1">
        <v>1588</v>
      </c>
      <c r="H614" s="1">
        <v>5000</v>
      </c>
      <c r="I614" s="1">
        <v>1</v>
      </c>
      <c r="O614" s="1">
        <v>31</v>
      </c>
      <c r="X614" s="1">
        <v>200301</v>
      </c>
      <c r="Y614" s="1" t="str">
        <f>IFERROR(INDEX([1]物品基础表!$A:$A,MATCH(X614,[1]物品基础表!$B:$B,0)),"")</f>
        <v>传世宝钻</v>
      </c>
      <c r="Z614" s="1">
        <v>50</v>
      </c>
      <c r="AB614" s="1" t="str">
        <f>IFERROR(INDEX([1]物品基础表!$A:$A,MATCH(AA614,[1]物品基础表!$B:$B,0)),"")</f>
        <v/>
      </c>
      <c r="AE614" s="1" t="str">
        <f>IFERROR(INDEX([1]物品基础表!$A:$A,MATCH(AD614,[1]物品基础表!$B:$B,0)),"")</f>
        <v/>
      </c>
      <c r="AH614" s="1" t="str">
        <f>IFERROR(INDEX([1]物品基础表!$A:$A,MATCH(AG614,[1]物品基础表!$B:$B,0)),"")</f>
        <v/>
      </c>
      <c r="AK614" s="1" t="str">
        <f>IFERROR(INDEX([1]物品基础表!$A:$A,MATCH(AJ614,[1]物品基础表!$B:$B,0)),"")</f>
        <v/>
      </c>
      <c r="AN614" s="1" t="str">
        <f>IFERROR(INDEX([1]物品基础表!$A:$A,MATCH(AM614,[1]物品基础表!$B:$B,0)),"")</f>
        <v/>
      </c>
      <c r="AQ614" s="1" t="str">
        <f>IFERROR(INDEX([1]物品基础表!$A:$A,MATCH(AP614,[1]物品基础表!$B:$B,0)),"")</f>
        <v/>
      </c>
    </row>
    <row r="615" spans="1:43">
      <c r="A615" s="1" t="str">
        <f>INDEX([2]活动总表!$A$8:$A$429,MATCH(B615,[2]活动总表!$B$8:$B$429,0))</f>
        <v>元宵限购3</v>
      </c>
      <c r="B615" s="1">
        <v>656</v>
      </c>
      <c r="C615" s="1">
        <v>3</v>
      </c>
      <c r="D615" s="1">
        <v>8</v>
      </c>
      <c r="E615" s="1">
        <v>0</v>
      </c>
      <c r="F615" s="1" t="s">
        <v>706</v>
      </c>
      <c r="G615" s="1">
        <v>2888</v>
      </c>
      <c r="H615" s="1">
        <v>9000</v>
      </c>
      <c r="I615" s="1">
        <v>1</v>
      </c>
      <c r="O615" s="1">
        <v>32</v>
      </c>
      <c r="X615" s="1">
        <v>200301</v>
      </c>
      <c r="Y615" s="1" t="str">
        <f>IFERROR(INDEX([1]物品基础表!$A:$A,MATCH(X615,[1]物品基础表!$B:$B,0)),"")</f>
        <v>传世宝钻</v>
      </c>
      <c r="Z615" s="1">
        <v>90</v>
      </c>
      <c r="AB615" s="1" t="str">
        <f>IFERROR(INDEX([1]物品基础表!$A:$A,MATCH(AA615,[1]物品基础表!$B:$B,0)),"")</f>
        <v/>
      </c>
      <c r="AE615" s="1" t="str">
        <f>IFERROR(INDEX([1]物品基础表!$A:$A,MATCH(AD615,[1]物品基础表!$B:$B,0)),"")</f>
        <v/>
      </c>
      <c r="AH615" s="1" t="str">
        <f>IFERROR(INDEX([1]物品基础表!$A:$A,MATCH(AG615,[1]物品基础表!$B:$B,0)),"")</f>
        <v/>
      </c>
      <c r="AK615" s="1" t="str">
        <f>IFERROR(INDEX([1]物品基础表!$A:$A,MATCH(AJ615,[1]物品基础表!$B:$B,0)),"")</f>
        <v/>
      </c>
      <c r="AN615" s="1" t="str">
        <f>IFERROR(INDEX([1]物品基础表!$A:$A,MATCH(AM615,[1]物品基础表!$B:$B,0)),"")</f>
        <v/>
      </c>
      <c r="AQ615" s="1" t="str">
        <f>IFERROR(INDEX([1]物品基础表!$A:$A,MATCH(AP615,[1]物品基础表!$B:$B,0)),"")</f>
        <v/>
      </c>
    </row>
    <row r="616" spans="1:43">
      <c r="A616" s="1" t="str">
        <f>INDEX([2]活动总表!$A$8:$A$429,MATCH(B616,[2]活动总表!$B$8:$B$429,0))</f>
        <v>元宵限购3</v>
      </c>
      <c r="B616" s="1">
        <v>656</v>
      </c>
      <c r="C616" s="1">
        <v>4</v>
      </c>
      <c r="D616" s="1">
        <v>8</v>
      </c>
      <c r="E616" s="1">
        <v>0</v>
      </c>
      <c r="F616" s="1" t="s">
        <v>706</v>
      </c>
      <c r="G616" s="1">
        <v>6888</v>
      </c>
      <c r="H616" s="1">
        <v>20000</v>
      </c>
      <c r="I616" s="1">
        <v>1</v>
      </c>
      <c r="O616" s="1">
        <v>34</v>
      </c>
      <c r="X616" s="1">
        <v>200301</v>
      </c>
      <c r="Y616" s="1" t="str">
        <f>IFERROR(INDEX([1]物品基础表!$A:$A,MATCH(X616,[1]物品基础表!$B:$B,0)),"")</f>
        <v>传世宝钻</v>
      </c>
      <c r="Z616" s="1">
        <v>200</v>
      </c>
      <c r="AB616" s="1" t="str">
        <f>IFERROR(INDEX([1]物品基础表!$A:$A,MATCH(AA616,[1]物品基础表!$B:$B,0)),"")</f>
        <v/>
      </c>
      <c r="AE616" s="1" t="str">
        <f>IFERROR(INDEX([1]物品基础表!$A:$A,MATCH(AD616,[1]物品基础表!$B:$B,0)),"")</f>
        <v/>
      </c>
      <c r="AH616" s="1" t="str">
        <f>IFERROR(INDEX([1]物品基础表!$A:$A,MATCH(AG616,[1]物品基础表!$B:$B,0)),"")</f>
        <v/>
      </c>
      <c r="AK616" s="1" t="str">
        <f>IFERROR(INDEX([1]物品基础表!$A:$A,MATCH(AJ616,[1]物品基础表!$B:$B,0)),"")</f>
        <v/>
      </c>
      <c r="AN616" s="1" t="str">
        <f>IFERROR(INDEX([1]物品基础表!$A:$A,MATCH(AM616,[1]物品基础表!$B:$B,0)),"")</f>
        <v/>
      </c>
      <c r="AQ616" s="1" t="str">
        <f>IFERROR(INDEX([1]物品基础表!$A:$A,MATCH(AP616,[1]物品基础表!$B:$B,0)),"")</f>
        <v/>
      </c>
    </row>
    <row r="617" spans="1:43">
      <c r="A617" s="1" t="str">
        <f>INDEX([2]活动总表!$A$8:$A$429,MATCH(B617,[2]活动总表!$B$8:$B$429,0))</f>
        <v>元宵限购3</v>
      </c>
      <c r="B617" s="1">
        <v>656</v>
      </c>
      <c r="C617" s="1">
        <v>5</v>
      </c>
      <c r="D617" s="1">
        <v>5</v>
      </c>
      <c r="E617" s="1">
        <v>0</v>
      </c>
      <c r="F617" s="1" t="s">
        <v>706</v>
      </c>
      <c r="G617" s="1">
        <v>8888</v>
      </c>
      <c r="H617" s="1">
        <v>15000</v>
      </c>
      <c r="I617" s="1">
        <v>3</v>
      </c>
      <c r="O617" s="1">
        <v>59</v>
      </c>
      <c r="X617" s="1">
        <v>200301</v>
      </c>
      <c r="Y617" s="1" t="str">
        <f>IFERROR(INDEX([1]物品基础表!$A:$A,MATCH(X617,[1]物品基础表!$B:$B,0)),"")</f>
        <v>传世宝钻</v>
      </c>
      <c r="Z617" s="1">
        <v>150</v>
      </c>
      <c r="AB617" s="1" t="str">
        <f>IFERROR(INDEX([1]物品基础表!$A:$A,MATCH(AA617,[1]物品基础表!$B:$B,0)),"")</f>
        <v/>
      </c>
      <c r="AE617" s="1" t="str">
        <f>IFERROR(INDEX([1]物品基础表!$A:$A,MATCH(AD617,[1]物品基础表!$B:$B,0)),"")</f>
        <v/>
      </c>
      <c r="AH617" s="1" t="str">
        <f>IFERROR(INDEX([1]物品基础表!$A:$A,MATCH(AG617,[1]物品基础表!$B:$B,0)),"")</f>
        <v/>
      </c>
      <c r="AK617" s="1" t="str">
        <f>IFERROR(INDEX([1]物品基础表!$A:$A,MATCH(AJ617,[1]物品基础表!$B:$B,0)),"")</f>
        <v/>
      </c>
      <c r="AN617" s="1" t="str">
        <f>IFERROR(INDEX([1]物品基础表!$A:$A,MATCH(AM617,[1]物品基础表!$B:$B,0)),"")</f>
        <v/>
      </c>
      <c r="AQ617" s="1" t="str">
        <f>IFERROR(INDEX([1]物品基础表!$A:$A,MATCH(AP617,[1]物品基础表!$B:$B,0)),"")</f>
        <v/>
      </c>
    </row>
    <row r="618" spans="1:43">
      <c r="A618" s="1" t="str">
        <f>INDEX([2]活动总表!$A$8:$A$429,MATCH(B618,[2]活动总表!$B$8:$B$429,0))</f>
        <v>（15-30）元宵限购1</v>
      </c>
      <c r="B618" s="1">
        <v>707</v>
      </c>
      <c r="C618" s="1">
        <v>1</v>
      </c>
      <c r="D618" s="1">
        <v>5</v>
      </c>
      <c r="E618" s="1">
        <v>0</v>
      </c>
      <c r="F618" s="1" t="s">
        <v>706</v>
      </c>
      <c r="G618" s="1">
        <v>888</v>
      </c>
      <c r="H618" s="1">
        <v>1500</v>
      </c>
      <c r="I618" s="1">
        <v>1</v>
      </c>
      <c r="O618" s="1">
        <v>59</v>
      </c>
      <c r="X618" s="1">
        <v>200003</v>
      </c>
      <c r="Y618" s="1" t="str">
        <f>IFERROR(INDEX([1]物品基础表!$A:$A,MATCH(X618,[1]物品基础表!$B:$B,0)),"")</f>
        <v>铸造晶石</v>
      </c>
      <c r="Z618" s="1">
        <v>30</v>
      </c>
      <c r="AB618" s="1" t="str">
        <f>IFERROR(INDEX([1]物品基础表!$A:$A,MATCH(AA618,[1]物品基础表!$B:$B,0)),"")</f>
        <v/>
      </c>
      <c r="AE618" s="1" t="str">
        <f>IFERROR(INDEX([1]物品基础表!$A:$A,MATCH(AD618,[1]物品基础表!$B:$B,0)),"")</f>
        <v/>
      </c>
      <c r="AH618" s="1" t="str">
        <f>IFERROR(INDEX([1]物品基础表!$A:$A,MATCH(AG618,[1]物品基础表!$B:$B,0)),"")</f>
        <v/>
      </c>
      <c r="AK618" s="1" t="str">
        <f>IFERROR(INDEX([1]物品基础表!$A:$A,MATCH(AJ618,[1]物品基础表!$B:$B,0)),"")</f>
        <v/>
      </c>
      <c r="AN618" s="1" t="str">
        <f>IFERROR(INDEX([1]物品基础表!$A:$A,MATCH(AM618,[1]物品基础表!$B:$B,0)),"")</f>
        <v/>
      </c>
      <c r="AQ618" s="1" t="str">
        <f>IFERROR(INDEX([1]物品基础表!$A:$A,MATCH(AP618,[1]物品基础表!$B:$B,0)),"")</f>
        <v/>
      </c>
    </row>
    <row r="619" spans="1:43">
      <c r="A619" s="1" t="str">
        <f>INDEX([2]活动总表!$A$8:$A$429,MATCH(B619,[2]活动总表!$B$8:$B$429,0))</f>
        <v>（15-30）元宵限购1</v>
      </c>
      <c r="B619" s="1">
        <v>707</v>
      </c>
      <c r="C619" s="1">
        <v>2</v>
      </c>
      <c r="D619" s="1">
        <v>7</v>
      </c>
      <c r="E619" s="1">
        <v>0</v>
      </c>
      <c r="F619" s="1" t="s">
        <v>706</v>
      </c>
      <c r="G619" s="1">
        <v>1588</v>
      </c>
      <c r="H619" s="1">
        <v>5000</v>
      </c>
      <c r="I619" s="1">
        <v>1</v>
      </c>
      <c r="O619" s="1">
        <v>31</v>
      </c>
      <c r="X619" s="1">
        <v>200003</v>
      </c>
      <c r="Y619" s="1" t="str">
        <f>IFERROR(INDEX([1]物品基础表!$A:$A,MATCH(X619,[1]物品基础表!$B:$B,0)),"")</f>
        <v>铸造晶石</v>
      </c>
      <c r="Z619" s="1">
        <v>100</v>
      </c>
      <c r="AB619" s="1" t="str">
        <f>IFERROR(INDEX([1]物品基础表!$A:$A,MATCH(AA619,[1]物品基础表!$B:$B,0)),"")</f>
        <v/>
      </c>
      <c r="AE619" s="1" t="str">
        <f>IFERROR(INDEX([1]物品基础表!$A:$A,MATCH(AD619,[1]物品基础表!$B:$B,0)),"")</f>
        <v/>
      </c>
      <c r="AH619" s="1" t="str">
        <f>IFERROR(INDEX([1]物品基础表!$A:$A,MATCH(AG619,[1]物品基础表!$B:$B,0)),"")</f>
        <v/>
      </c>
      <c r="AK619" s="1" t="str">
        <f>IFERROR(INDEX([1]物品基础表!$A:$A,MATCH(AJ619,[1]物品基础表!$B:$B,0)),"")</f>
        <v/>
      </c>
      <c r="AN619" s="1" t="str">
        <f>IFERROR(INDEX([1]物品基础表!$A:$A,MATCH(AM619,[1]物品基础表!$B:$B,0)),"")</f>
        <v/>
      </c>
      <c r="AQ619" s="1" t="str">
        <f>IFERROR(INDEX([1]物品基础表!$A:$A,MATCH(AP619,[1]物品基础表!$B:$B,0)),"")</f>
        <v/>
      </c>
    </row>
    <row r="620" spans="1:43">
      <c r="A620" s="1" t="str">
        <f>INDEX([2]活动总表!$A$8:$A$429,MATCH(B620,[2]活动总表!$B$8:$B$429,0))</f>
        <v>（15-30）元宵限购1</v>
      </c>
      <c r="B620" s="1">
        <v>707</v>
      </c>
      <c r="C620" s="1">
        <v>3</v>
      </c>
      <c r="D620" s="1">
        <v>5</v>
      </c>
      <c r="E620" s="1">
        <v>0</v>
      </c>
      <c r="F620" s="1" t="s">
        <v>706</v>
      </c>
      <c r="G620" s="1">
        <v>2888</v>
      </c>
      <c r="H620" s="1">
        <v>5000</v>
      </c>
      <c r="I620" s="1">
        <v>1</v>
      </c>
      <c r="O620" s="1">
        <v>57</v>
      </c>
      <c r="X620" s="1">
        <v>200003</v>
      </c>
      <c r="Y620" s="1" t="str">
        <f>IFERROR(INDEX([1]物品基础表!$A:$A,MATCH(X620,[1]物品基础表!$B:$B,0)),"")</f>
        <v>铸造晶石</v>
      </c>
      <c r="Z620" s="1">
        <v>100</v>
      </c>
      <c r="AB620" s="1" t="str">
        <f>IFERROR(INDEX([1]物品基础表!$A:$A,MATCH(AA620,[1]物品基础表!$B:$B,0)),"")</f>
        <v/>
      </c>
      <c r="AE620" s="1" t="str">
        <f>IFERROR(INDEX([1]物品基础表!$A:$A,MATCH(AD620,[1]物品基础表!$B:$B,0)),"")</f>
        <v/>
      </c>
      <c r="AH620" s="1" t="str">
        <f>IFERROR(INDEX([1]物品基础表!$A:$A,MATCH(AG620,[1]物品基础表!$B:$B,0)),"")</f>
        <v/>
      </c>
      <c r="AK620" s="1" t="str">
        <f>IFERROR(INDEX([1]物品基础表!$A:$A,MATCH(AJ620,[1]物品基础表!$B:$B,0)),"")</f>
        <v/>
      </c>
      <c r="AN620" s="1" t="str">
        <f>IFERROR(INDEX([1]物品基础表!$A:$A,MATCH(AM620,[1]物品基础表!$B:$B,0)),"")</f>
        <v/>
      </c>
      <c r="AQ620" s="1" t="str">
        <f>IFERROR(INDEX([1]物品基础表!$A:$A,MATCH(AP620,[1]物品基础表!$B:$B,0)),"")</f>
        <v/>
      </c>
    </row>
    <row r="621" spans="1:43">
      <c r="A621" s="1" t="str">
        <f>INDEX([2]活动总表!$A$8:$A$429,MATCH(B621,[2]活动总表!$B$8:$B$429,0))</f>
        <v>（15-30）元宵限购1</v>
      </c>
      <c r="B621" s="1">
        <v>707</v>
      </c>
      <c r="C621" s="1">
        <v>4</v>
      </c>
      <c r="D621" s="1">
        <v>5</v>
      </c>
      <c r="E621" s="1">
        <v>0</v>
      </c>
      <c r="F621" s="1" t="s">
        <v>706</v>
      </c>
      <c r="G621" s="1">
        <v>8888</v>
      </c>
      <c r="H621" s="1">
        <v>15000</v>
      </c>
      <c r="I621" s="1">
        <v>3</v>
      </c>
      <c r="O621" s="1">
        <v>59</v>
      </c>
      <c r="X621" s="1">
        <v>200003</v>
      </c>
      <c r="Y621" s="1" t="str">
        <f>IFERROR(INDEX([1]物品基础表!$A:$A,MATCH(X621,[1]物品基础表!$B:$B,0)),"")</f>
        <v>铸造晶石</v>
      </c>
      <c r="Z621" s="1">
        <v>300</v>
      </c>
      <c r="AB621" s="1" t="str">
        <f>IFERROR(INDEX([1]物品基础表!$A:$A,MATCH(AA621,[1]物品基础表!$B:$B,0)),"")</f>
        <v/>
      </c>
      <c r="AE621" s="1" t="str">
        <f>IFERROR(INDEX([1]物品基础表!$A:$A,MATCH(AD621,[1]物品基础表!$B:$B,0)),"")</f>
        <v/>
      </c>
      <c r="AH621" s="1" t="str">
        <f>IFERROR(INDEX([1]物品基础表!$A:$A,MATCH(AG621,[1]物品基础表!$B:$B,0)),"")</f>
        <v/>
      </c>
      <c r="AK621" s="1" t="str">
        <f>IFERROR(INDEX([1]物品基础表!$A:$A,MATCH(AJ621,[1]物品基础表!$B:$B,0)),"")</f>
        <v/>
      </c>
      <c r="AN621" s="1" t="str">
        <f>IFERROR(INDEX([1]物品基础表!$A:$A,MATCH(AM621,[1]物品基础表!$B:$B,0)),"")</f>
        <v/>
      </c>
      <c r="AQ621" s="1" t="str">
        <f>IFERROR(INDEX([1]物品基础表!$A:$A,MATCH(AP621,[1]物品基础表!$B:$B,0)),"")</f>
        <v/>
      </c>
    </row>
    <row r="622" spans="1:43">
      <c r="A622" s="1" t="str">
        <f>INDEX([2]活动总表!$A$8:$A$429,MATCH(B622,[2]活动总表!$B$8:$B$429,0))</f>
        <v>（15-30）元宵限购2</v>
      </c>
      <c r="B622" s="1">
        <v>708</v>
      </c>
      <c r="C622" s="1">
        <v>1</v>
      </c>
      <c r="D622" s="1">
        <v>5</v>
      </c>
      <c r="E622" s="1">
        <v>0</v>
      </c>
      <c r="F622" s="1" t="s">
        <v>706</v>
      </c>
      <c r="G622" s="1">
        <v>888</v>
      </c>
      <c r="H622" s="1">
        <v>1480</v>
      </c>
      <c r="I622" s="1">
        <v>1</v>
      </c>
      <c r="O622" s="1">
        <v>60</v>
      </c>
      <c r="X622" s="1">
        <v>200005</v>
      </c>
      <c r="Y622" s="1" t="str">
        <f>IFERROR(INDEX([1]物品基础表!$A:$A,MATCH(X622,[1]物品基础表!$B:$B,0)),"")</f>
        <v>龙魂碎片</v>
      </c>
      <c r="Z622" s="1">
        <v>10</v>
      </c>
      <c r="AA622" s="1">
        <v>200906</v>
      </c>
      <c r="AB622" s="1" t="str">
        <f>IFERROR(INDEX([1]物品基础表!$A:$A,MATCH(AA622,[1]物品基础表!$B:$B,0)),"")</f>
        <v>神兵经验丹（1W</v>
      </c>
      <c r="AC622" s="1">
        <v>12</v>
      </c>
      <c r="AE622" s="1" t="str">
        <f>IFERROR(INDEX([1]物品基础表!$A:$A,MATCH(AD622,[1]物品基础表!$B:$B,0)),"")</f>
        <v/>
      </c>
      <c r="AH622" s="1" t="str">
        <f>IFERROR(INDEX([1]物品基础表!$A:$A,MATCH(AG622,[1]物品基础表!$B:$B,0)),"")</f>
        <v/>
      </c>
      <c r="AK622" s="1" t="str">
        <f>IFERROR(INDEX([1]物品基础表!$A:$A,MATCH(AJ622,[1]物品基础表!$B:$B,0)),"")</f>
        <v/>
      </c>
      <c r="AN622" s="1" t="str">
        <f>IFERROR(INDEX([1]物品基础表!$A:$A,MATCH(AM622,[1]物品基础表!$B:$B,0)),"")</f>
        <v/>
      </c>
      <c r="AQ622" s="1" t="str">
        <f>IFERROR(INDEX([1]物品基础表!$A:$A,MATCH(AP622,[1]物品基础表!$B:$B,0)),"")</f>
        <v/>
      </c>
    </row>
    <row r="623" spans="1:43">
      <c r="A623" s="1" t="str">
        <f>INDEX([2]活动总表!$A$8:$A$429,MATCH(B623,[2]活动总表!$B$8:$B$429,0))</f>
        <v>（15-30）元宵限购2</v>
      </c>
      <c r="B623" s="1">
        <v>708</v>
      </c>
      <c r="C623" s="1">
        <v>2</v>
      </c>
      <c r="D623" s="1">
        <v>8</v>
      </c>
      <c r="E623" s="1">
        <v>0</v>
      </c>
      <c r="F623" s="1" t="s">
        <v>706</v>
      </c>
      <c r="G623" s="1">
        <v>1588</v>
      </c>
      <c r="H623" s="1">
        <v>4900</v>
      </c>
      <c r="I623" s="1">
        <v>1</v>
      </c>
      <c r="O623" s="1">
        <v>32</v>
      </c>
      <c r="X623" s="1">
        <v>200005</v>
      </c>
      <c r="Y623" s="1" t="str">
        <f>IFERROR(INDEX([1]物品基础表!$A:$A,MATCH(X623,[1]物品基础表!$B:$B,0)),"")</f>
        <v>龙魂碎片</v>
      </c>
      <c r="Z623" s="1">
        <v>35</v>
      </c>
      <c r="AA623" s="1">
        <v>200906</v>
      </c>
      <c r="AB623" s="1" t="str">
        <f>IFERROR(INDEX([1]物品基础表!$A:$A,MATCH(AA623,[1]物品基础表!$B:$B,0)),"")</f>
        <v>神兵经验丹（1W</v>
      </c>
      <c r="AC623" s="1">
        <v>35</v>
      </c>
      <c r="AE623" s="1" t="str">
        <f>IFERROR(INDEX([1]物品基础表!$A:$A,MATCH(AD623,[1]物品基础表!$B:$B,0)),"")</f>
        <v/>
      </c>
      <c r="AH623" s="1" t="str">
        <f>IFERROR(INDEX([1]物品基础表!$A:$A,MATCH(AG623,[1]物品基础表!$B:$B,0)),"")</f>
        <v/>
      </c>
      <c r="AK623" s="1" t="str">
        <f>IFERROR(INDEX([1]物品基础表!$A:$A,MATCH(AJ623,[1]物品基础表!$B:$B,0)),"")</f>
        <v/>
      </c>
      <c r="AN623" s="1" t="str">
        <f>IFERROR(INDEX([1]物品基础表!$A:$A,MATCH(AM623,[1]物品基础表!$B:$B,0)),"")</f>
        <v/>
      </c>
      <c r="AQ623" s="1" t="str">
        <f>IFERROR(INDEX([1]物品基础表!$A:$A,MATCH(AP623,[1]物品基础表!$B:$B,0)),"")</f>
        <v/>
      </c>
    </row>
    <row r="624" spans="1:43">
      <c r="A624" s="1" t="str">
        <f>INDEX([2]活动总表!$A$8:$A$429,MATCH(B624,[2]活动总表!$B$8:$B$429,0))</f>
        <v>（15-30）元宵限购2</v>
      </c>
      <c r="B624" s="1">
        <v>708</v>
      </c>
      <c r="C624" s="1">
        <v>3</v>
      </c>
      <c r="D624" s="1">
        <v>5</v>
      </c>
      <c r="E624" s="1">
        <v>0</v>
      </c>
      <c r="F624" s="1" t="s">
        <v>706</v>
      </c>
      <c r="G624" s="1">
        <v>2888</v>
      </c>
      <c r="H624" s="1">
        <v>4900</v>
      </c>
      <c r="I624" s="1">
        <v>1</v>
      </c>
      <c r="O624" s="1">
        <v>58</v>
      </c>
      <c r="X624" s="1">
        <v>200005</v>
      </c>
      <c r="Y624" s="1" t="str">
        <f>IFERROR(INDEX([1]物品基础表!$A:$A,MATCH(X624,[1]物品基础表!$B:$B,0)),"")</f>
        <v>龙魂碎片</v>
      </c>
      <c r="Z624" s="1">
        <v>35</v>
      </c>
      <c r="AA624" s="1">
        <v>200906</v>
      </c>
      <c r="AB624" s="1" t="str">
        <f>IFERROR(INDEX([1]物品基础表!$A:$A,MATCH(AA624,[1]物品基础表!$B:$B,0)),"")</f>
        <v>神兵经验丹（1W</v>
      </c>
      <c r="AC624" s="1">
        <v>35</v>
      </c>
      <c r="AE624" s="1" t="str">
        <f>IFERROR(INDEX([1]物品基础表!$A:$A,MATCH(AD624,[1]物品基础表!$B:$B,0)),"")</f>
        <v/>
      </c>
      <c r="AH624" s="1" t="str">
        <f>IFERROR(INDEX([1]物品基础表!$A:$A,MATCH(AG624,[1]物品基础表!$B:$B,0)),"")</f>
        <v/>
      </c>
      <c r="AK624" s="1" t="str">
        <f>IFERROR(INDEX([1]物品基础表!$A:$A,MATCH(AJ624,[1]物品基础表!$B:$B,0)),"")</f>
        <v/>
      </c>
      <c r="AN624" s="1" t="str">
        <f>IFERROR(INDEX([1]物品基础表!$A:$A,MATCH(AM624,[1]物品基础表!$B:$B,0)),"")</f>
        <v/>
      </c>
      <c r="AQ624" s="1" t="str">
        <f>IFERROR(INDEX([1]物品基础表!$A:$A,MATCH(AP624,[1]物品基础表!$B:$B,0)),"")</f>
        <v/>
      </c>
    </row>
    <row r="625" spans="1:43">
      <c r="A625" s="1" t="str">
        <f>INDEX([2]活动总表!$A$8:$A$429,MATCH(B625,[2]活动总表!$B$8:$B$429,0))</f>
        <v>（15-30）元宵限购2</v>
      </c>
      <c r="B625" s="1">
        <v>708</v>
      </c>
      <c r="C625" s="1">
        <v>4</v>
      </c>
      <c r="D625" s="1">
        <v>5</v>
      </c>
      <c r="E625" s="1">
        <v>0</v>
      </c>
      <c r="F625" s="1" t="s">
        <v>706</v>
      </c>
      <c r="G625" s="1">
        <v>8888</v>
      </c>
      <c r="H625" s="1">
        <v>14800</v>
      </c>
      <c r="I625" s="1">
        <v>3</v>
      </c>
      <c r="O625" s="1">
        <v>60</v>
      </c>
      <c r="X625" s="1">
        <v>200005</v>
      </c>
      <c r="Y625" s="1" t="str">
        <f>IFERROR(INDEX([1]物品基础表!$A:$A,MATCH(X625,[1]物品基础表!$B:$B,0)),"")</f>
        <v>龙魂碎片</v>
      </c>
      <c r="Z625" s="1">
        <v>100</v>
      </c>
      <c r="AA625" s="1">
        <v>200906</v>
      </c>
      <c r="AB625" s="1" t="str">
        <f>IFERROR(INDEX([1]物品基础表!$A:$A,MATCH(AA625,[1]物品基础表!$B:$B,0)),"")</f>
        <v>神兵经验丹（1W</v>
      </c>
      <c r="AC625" s="1">
        <v>120</v>
      </c>
      <c r="AE625" s="1" t="str">
        <f>IFERROR(INDEX([1]物品基础表!$A:$A,MATCH(AD625,[1]物品基础表!$B:$B,0)),"")</f>
        <v/>
      </c>
      <c r="AH625" s="1" t="str">
        <f>IFERROR(INDEX([1]物品基础表!$A:$A,MATCH(AG625,[1]物品基础表!$B:$B,0)),"")</f>
        <v/>
      </c>
      <c r="AK625" s="1" t="str">
        <f>IFERROR(INDEX([1]物品基础表!$A:$A,MATCH(AJ625,[1]物品基础表!$B:$B,0)),"")</f>
        <v/>
      </c>
      <c r="AN625" s="1" t="str">
        <f>IFERROR(INDEX([1]物品基础表!$A:$A,MATCH(AM625,[1]物品基础表!$B:$B,0)),"")</f>
        <v/>
      </c>
      <c r="AQ625" s="1" t="str">
        <f>IFERROR(INDEX([1]物品基础表!$A:$A,MATCH(AP625,[1]物品基础表!$B:$B,0)),"")</f>
        <v/>
      </c>
    </row>
    <row r="626" spans="1:43">
      <c r="A626" s="1" t="str">
        <f>INDEX([2]活动总表!$A$8:$A$429,MATCH(B626,[2]活动总表!$B$8:$B$429,0))</f>
        <v>（15-30）元宵限购3</v>
      </c>
      <c r="B626" s="1">
        <v>709</v>
      </c>
      <c r="C626" s="1">
        <v>1</v>
      </c>
      <c r="D626" s="1">
        <v>5</v>
      </c>
      <c r="E626" s="1">
        <v>0</v>
      </c>
      <c r="F626" s="1" t="s">
        <v>706</v>
      </c>
      <c r="G626" s="1">
        <v>888</v>
      </c>
      <c r="H626" s="1">
        <v>1500</v>
      </c>
      <c r="I626" s="1">
        <v>1</v>
      </c>
      <c r="O626" s="1">
        <v>59</v>
      </c>
      <c r="X626" s="1">
        <v>200301</v>
      </c>
      <c r="Y626" s="1" t="str">
        <f>IFERROR(INDEX([1]物品基础表!$A:$A,MATCH(X626,[1]物品基础表!$B:$B,0)),"")</f>
        <v>传世宝钻</v>
      </c>
      <c r="Z626" s="1">
        <v>15</v>
      </c>
      <c r="AB626" s="1" t="str">
        <f>IFERROR(INDEX([1]物品基础表!$A:$A,MATCH(AA626,[1]物品基础表!$B:$B,0)),"")</f>
        <v/>
      </c>
      <c r="AE626" s="1" t="str">
        <f>IFERROR(INDEX([1]物品基础表!$A:$A,MATCH(AD626,[1]物品基础表!$B:$B,0)),"")</f>
        <v/>
      </c>
      <c r="AH626" s="1" t="str">
        <f>IFERROR(INDEX([1]物品基础表!$A:$A,MATCH(AG626,[1]物品基础表!$B:$B,0)),"")</f>
        <v/>
      </c>
      <c r="AK626" s="1" t="str">
        <f>IFERROR(INDEX([1]物品基础表!$A:$A,MATCH(AJ626,[1]物品基础表!$B:$B,0)),"")</f>
        <v/>
      </c>
      <c r="AN626" s="1" t="str">
        <f>IFERROR(INDEX([1]物品基础表!$A:$A,MATCH(AM626,[1]物品基础表!$B:$B,0)),"")</f>
        <v/>
      </c>
      <c r="AQ626" s="1" t="str">
        <f>IFERROR(INDEX([1]物品基础表!$A:$A,MATCH(AP626,[1]物品基础表!$B:$B,0)),"")</f>
        <v/>
      </c>
    </row>
    <row r="627" spans="1:43">
      <c r="A627" s="1" t="str">
        <f>INDEX([2]活动总表!$A$8:$A$429,MATCH(B627,[2]活动总表!$B$8:$B$429,0))</f>
        <v>（15-30）元宵限购3</v>
      </c>
      <c r="B627" s="1">
        <v>709</v>
      </c>
      <c r="C627" s="1">
        <v>2</v>
      </c>
      <c r="D627" s="1">
        <v>8</v>
      </c>
      <c r="E627" s="1">
        <v>0</v>
      </c>
      <c r="F627" s="1" t="s">
        <v>706</v>
      </c>
      <c r="G627" s="1">
        <v>1588</v>
      </c>
      <c r="H627" s="1">
        <v>5000</v>
      </c>
      <c r="I627" s="1">
        <v>1</v>
      </c>
      <c r="O627" s="1">
        <v>31</v>
      </c>
      <c r="X627" s="1">
        <v>200301</v>
      </c>
      <c r="Y627" s="1" t="str">
        <f>IFERROR(INDEX([1]物品基础表!$A:$A,MATCH(X627,[1]物品基础表!$B:$B,0)),"")</f>
        <v>传世宝钻</v>
      </c>
      <c r="Z627" s="1">
        <v>50</v>
      </c>
      <c r="AB627" s="1" t="str">
        <f>IFERROR(INDEX([1]物品基础表!$A:$A,MATCH(AA627,[1]物品基础表!$B:$B,0)),"")</f>
        <v/>
      </c>
      <c r="AE627" s="1" t="str">
        <f>IFERROR(INDEX([1]物品基础表!$A:$A,MATCH(AD627,[1]物品基础表!$B:$B,0)),"")</f>
        <v/>
      </c>
      <c r="AH627" s="1" t="str">
        <f>IFERROR(INDEX([1]物品基础表!$A:$A,MATCH(AG627,[1]物品基础表!$B:$B,0)),"")</f>
        <v/>
      </c>
      <c r="AK627" s="1" t="str">
        <f>IFERROR(INDEX([1]物品基础表!$A:$A,MATCH(AJ627,[1]物品基础表!$B:$B,0)),"")</f>
        <v/>
      </c>
      <c r="AN627" s="1" t="str">
        <f>IFERROR(INDEX([1]物品基础表!$A:$A,MATCH(AM627,[1]物品基础表!$B:$B,0)),"")</f>
        <v/>
      </c>
      <c r="AQ627" s="1" t="str">
        <f>IFERROR(INDEX([1]物品基础表!$A:$A,MATCH(AP627,[1]物品基础表!$B:$B,0)),"")</f>
        <v/>
      </c>
    </row>
    <row r="628" spans="1:43">
      <c r="A628" s="1" t="str">
        <f>INDEX([2]活动总表!$A$8:$A$429,MATCH(B628,[2]活动总表!$B$8:$B$429,0))</f>
        <v>（15-30）元宵限购3</v>
      </c>
      <c r="B628" s="1">
        <v>709</v>
      </c>
      <c r="C628" s="1">
        <v>3</v>
      </c>
      <c r="D628" s="1">
        <v>5</v>
      </c>
      <c r="E628" s="1">
        <v>0</v>
      </c>
      <c r="F628" s="1" t="s">
        <v>706</v>
      </c>
      <c r="G628" s="1">
        <v>2888</v>
      </c>
      <c r="H628" s="1">
        <v>5000</v>
      </c>
      <c r="I628" s="1">
        <v>1</v>
      </c>
      <c r="O628" s="1">
        <v>57</v>
      </c>
      <c r="X628" s="1">
        <v>200301</v>
      </c>
      <c r="Y628" s="1" t="str">
        <f>IFERROR(INDEX([1]物品基础表!$A:$A,MATCH(X628,[1]物品基础表!$B:$B,0)),"")</f>
        <v>传世宝钻</v>
      </c>
      <c r="Z628" s="1">
        <v>50</v>
      </c>
      <c r="AB628" s="1" t="str">
        <f>IFERROR(INDEX([1]物品基础表!$A:$A,MATCH(AA628,[1]物品基础表!$B:$B,0)),"")</f>
        <v/>
      </c>
      <c r="AE628" s="1" t="str">
        <f>IFERROR(INDEX([1]物品基础表!$A:$A,MATCH(AD628,[1]物品基础表!$B:$B,0)),"")</f>
        <v/>
      </c>
      <c r="AH628" s="1" t="str">
        <f>IFERROR(INDEX([1]物品基础表!$A:$A,MATCH(AG628,[1]物品基础表!$B:$B,0)),"")</f>
        <v/>
      </c>
      <c r="AK628" s="1" t="str">
        <f>IFERROR(INDEX([1]物品基础表!$A:$A,MATCH(AJ628,[1]物品基础表!$B:$B,0)),"")</f>
        <v/>
      </c>
      <c r="AN628" s="1" t="str">
        <f>IFERROR(INDEX([1]物品基础表!$A:$A,MATCH(AM628,[1]物品基础表!$B:$B,0)),"")</f>
        <v/>
      </c>
      <c r="AQ628" s="1" t="str">
        <f>IFERROR(INDEX([1]物品基础表!$A:$A,MATCH(AP628,[1]物品基础表!$B:$B,0)),"")</f>
        <v/>
      </c>
    </row>
    <row r="629" spans="1:43">
      <c r="A629" s="1" t="str">
        <f>INDEX([2]活动总表!$A$8:$A$429,MATCH(B629,[2]活动总表!$B$8:$B$429,0))</f>
        <v>（15-30）元宵限购3</v>
      </c>
      <c r="B629" s="1">
        <v>709</v>
      </c>
      <c r="C629" s="1">
        <v>4</v>
      </c>
      <c r="D629" s="1">
        <v>5</v>
      </c>
      <c r="E629" s="1">
        <v>0</v>
      </c>
      <c r="F629" s="1" t="s">
        <v>706</v>
      </c>
      <c r="G629" s="1">
        <v>8888</v>
      </c>
      <c r="H629" s="1">
        <v>15000</v>
      </c>
      <c r="I629" s="1">
        <v>3</v>
      </c>
      <c r="O629" s="1">
        <v>59</v>
      </c>
      <c r="X629" s="1">
        <v>200301</v>
      </c>
      <c r="Y629" s="1" t="str">
        <f>IFERROR(INDEX([1]物品基础表!$A:$A,MATCH(X629,[1]物品基础表!$B:$B,0)),"")</f>
        <v>传世宝钻</v>
      </c>
      <c r="Z629" s="1">
        <v>150</v>
      </c>
      <c r="AB629" s="1" t="str">
        <f>IFERROR(INDEX([1]物品基础表!$A:$A,MATCH(AA629,[1]物品基础表!$B:$B,0)),"")</f>
        <v/>
      </c>
      <c r="AE629" s="1" t="str">
        <f>IFERROR(INDEX([1]物品基础表!$A:$A,MATCH(AD629,[1]物品基础表!$B:$B,0)),"")</f>
        <v/>
      </c>
      <c r="AH629" s="1" t="str">
        <f>IFERROR(INDEX([1]物品基础表!$A:$A,MATCH(AG629,[1]物品基础表!$B:$B,0)),"")</f>
        <v/>
      </c>
      <c r="AK629" s="1" t="str">
        <f>IFERROR(INDEX([1]物品基础表!$A:$A,MATCH(AJ629,[1]物品基础表!$B:$B,0)),"")</f>
        <v/>
      </c>
      <c r="AN629" s="1" t="str">
        <f>IFERROR(INDEX([1]物品基础表!$A:$A,MATCH(AM629,[1]物品基础表!$B:$B,0)),"")</f>
        <v/>
      </c>
      <c r="AQ629" s="1" t="str">
        <f>IFERROR(INDEX([1]物品基础表!$A:$A,MATCH(AP629,[1]物品基础表!$B:$B,0)),"")</f>
        <v/>
      </c>
    </row>
    <row r="630" spans="1:43">
      <c r="A630" s="1" t="str">
        <f>INDEX([2]活动总表!$A$8:$A$429,MATCH(B630,[2]活动总表!$B$8:$B$429,0))</f>
        <v>（31-60）元宵限购1</v>
      </c>
      <c r="B630" s="1">
        <v>712</v>
      </c>
      <c r="C630" s="1">
        <v>1</v>
      </c>
      <c r="D630" s="1">
        <v>5</v>
      </c>
      <c r="E630" s="1">
        <v>0</v>
      </c>
      <c r="F630" s="1" t="s">
        <v>706</v>
      </c>
      <c r="G630" s="1">
        <v>888</v>
      </c>
      <c r="H630" s="1">
        <v>1500</v>
      </c>
      <c r="I630" s="1">
        <v>1</v>
      </c>
      <c r="O630" s="1">
        <v>59</v>
      </c>
      <c r="X630" s="1">
        <v>200003</v>
      </c>
      <c r="Y630" s="1" t="str">
        <f>IFERROR(INDEX([1]物品基础表!$A:$A,MATCH(X630,[1]物品基础表!$B:$B,0)),"")</f>
        <v>铸造晶石</v>
      </c>
      <c r="Z630" s="1">
        <v>30</v>
      </c>
      <c r="AB630" s="1" t="str">
        <f>IFERROR(INDEX([1]物品基础表!$A:$A,MATCH(AA630,[1]物品基础表!$B:$B,0)),"")</f>
        <v/>
      </c>
      <c r="AE630" s="1" t="str">
        <f>IFERROR(INDEX([1]物品基础表!$A:$A,MATCH(AD630,[1]物品基础表!$B:$B,0)),"")</f>
        <v/>
      </c>
      <c r="AH630" s="1" t="str">
        <f>IFERROR(INDEX([1]物品基础表!$A:$A,MATCH(AG630,[1]物品基础表!$B:$B,0)),"")</f>
        <v/>
      </c>
      <c r="AK630" s="1" t="str">
        <f>IFERROR(INDEX([1]物品基础表!$A:$A,MATCH(AJ630,[1]物品基础表!$B:$B,0)),"")</f>
        <v/>
      </c>
      <c r="AN630" s="1" t="str">
        <f>IFERROR(INDEX([1]物品基础表!$A:$A,MATCH(AM630,[1]物品基础表!$B:$B,0)),"")</f>
        <v/>
      </c>
      <c r="AQ630" s="1" t="str">
        <f>IFERROR(INDEX([1]物品基础表!$A:$A,MATCH(AP630,[1]物品基础表!$B:$B,0)),"")</f>
        <v/>
      </c>
    </row>
    <row r="631" spans="1:43">
      <c r="A631" s="1" t="str">
        <f>INDEX([2]活动总表!$A$8:$A$429,MATCH(B631,[2]活动总表!$B$8:$B$429,0))</f>
        <v>（31-60）元宵限购1</v>
      </c>
      <c r="B631" s="1">
        <v>712</v>
      </c>
      <c r="C631" s="1">
        <v>2</v>
      </c>
      <c r="D631" s="1">
        <v>7</v>
      </c>
      <c r="E631" s="1">
        <v>0</v>
      </c>
      <c r="F631" s="1" t="s">
        <v>706</v>
      </c>
      <c r="G631" s="1">
        <v>1588</v>
      </c>
      <c r="H631" s="1">
        <v>5000</v>
      </c>
      <c r="I631" s="1">
        <v>1</v>
      </c>
      <c r="O631" s="1">
        <v>31</v>
      </c>
      <c r="X631" s="1">
        <v>200003</v>
      </c>
      <c r="Y631" s="1" t="str">
        <f>IFERROR(INDEX([1]物品基础表!$A:$A,MATCH(X631,[1]物品基础表!$B:$B,0)),"")</f>
        <v>铸造晶石</v>
      </c>
      <c r="Z631" s="1">
        <v>100</v>
      </c>
      <c r="AB631" s="1" t="str">
        <f>IFERROR(INDEX([1]物品基础表!$A:$A,MATCH(AA631,[1]物品基础表!$B:$B,0)),"")</f>
        <v/>
      </c>
      <c r="AE631" s="1" t="str">
        <f>IFERROR(INDEX([1]物品基础表!$A:$A,MATCH(AD631,[1]物品基础表!$B:$B,0)),"")</f>
        <v/>
      </c>
      <c r="AH631" s="1" t="str">
        <f>IFERROR(INDEX([1]物品基础表!$A:$A,MATCH(AG631,[1]物品基础表!$B:$B,0)),"")</f>
        <v/>
      </c>
      <c r="AK631" s="1" t="str">
        <f>IFERROR(INDEX([1]物品基础表!$A:$A,MATCH(AJ631,[1]物品基础表!$B:$B,0)),"")</f>
        <v/>
      </c>
      <c r="AN631" s="1" t="str">
        <f>IFERROR(INDEX([1]物品基础表!$A:$A,MATCH(AM631,[1]物品基础表!$B:$B,0)),"")</f>
        <v/>
      </c>
      <c r="AQ631" s="1" t="str">
        <f>IFERROR(INDEX([1]物品基础表!$A:$A,MATCH(AP631,[1]物品基础表!$B:$B,0)),"")</f>
        <v/>
      </c>
    </row>
    <row r="632" spans="1:43">
      <c r="A632" s="1" t="str">
        <f>INDEX([2]活动总表!$A$8:$A$429,MATCH(B632,[2]活动总表!$B$8:$B$429,0))</f>
        <v>（31-60）元宵限购1</v>
      </c>
      <c r="B632" s="1">
        <v>712</v>
      </c>
      <c r="C632" s="1">
        <v>3</v>
      </c>
      <c r="D632" s="1">
        <v>7</v>
      </c>
      <c r="E632" s="1">
        <v>0</v>
      </c>
      <c r="F632" s="1" t="s">
        <v>706</v>
      </c>
      <c r="G632" s="1">
        <v>2888</v>
      </c>
      <c r="H632" s="1">
        <v>9000</v>
      </c>
      <c r="I632" s="1">
        <v>1</v>
      </c>
      <c r="O632" s="1">
        <v>32</v>
      </c>
      <c r="X632" s="1">
        <v>200003</v>
      </c>
      <c r="Y632" s="1" t="str">
        <f>IFERROR(INDEX([1]物品基础表!$A:$A,MATCH(X632,[1]物品基础表!$B:$B,0)),"")</f>
        <v>铸造晶石</v>
      </c>
      <c r="Z632" s="1">
        <v>100</v>
      </c>
      <c r="AA632" s="1">
        <v>500005</v>
      </c>
      <c r="AB632" s="1" t="str">
        <f>IFERROR(INDEX([1]物品基础表!$A:$A,MATCH(AA632,[1]物品基础表!$B:$B,0)),"")</f>
        <v>战纹精华-红</v>
      </c>
      <c r="AC632" s="1">
        <v>8</v>
      </c>
      <c r="AE632" s="1" t="str">
        <f>IFERROR(INDEX([1]物品基础表!$A:$A,MATCH(AD632,[1]物品基础表!$B:$B,0)),"")</f>
        <v/>
      </c>
      <c r="AH632" s="1" t="str">
        <f>IFERROR(INDEX([1]物品基础表!$A:$A,MATCH(AG632,[1]物品基础表!$B:$B,0)),"")</f>
        <v/>
      </c>
      <c r="AK632" s="1" t="str">
        <f>IFERROR(INDEX([1]物品基础表!$A:$A,MATCH(AJ632,[1]物品基础表!$B:$B,0)),"")</f>
        <v/>
      </c>
      <c r="AN632" s="1" t="str">
        <f>IFERROR(INDEX([1]物品基础表!$A:$A,MATCH(AM632,[1]物品基础表!$B:$B,0)),"")</f>
        <v/>
      </c>
      <c r="AQ632" s="1" t="str">
        <f>IFERROR(INDEX([1]物品基础表!$A:$A,MATCH(AP632,[1]物品基础表!$B:$B,0)),"")</f>
        <v/>
      </c>
    </row>
    <row r="633" spans="1:43">
      <c r="A633" s="1" t="str">
        <f>INDEX([2]活动总表!$A$8:$A$429,MATCH(B633,[2]活动总表!$B$8:$B$429,0))</f>
        <v>（31-60）元宵限购1</v>
      </c>
      <c r="B633" s="1">
        <v>712</v>
      </c>
      <c r="C633" s="1">
        <v>4</v>
      </c>
      <c r="D633" s="1">
        <v>5</v>
      </c>
      <c r="E633" s="1">
        <v>0</v>
      </c>
      <c r="F633" s="1" t="s">
        <v>706</v>
      </c>
      <c r="G633" s="1">
        <v>2888</v>
      </c>
      <c r="H633" s="1">
        <v>5000</v>
      </c>
      <c r="I633" s="1">
        <v>1</v>
      </c>
      <c r="O633" s="1">
        <v>57</v>
      </c>
      <c r="X633" s="1">
        <v>200003</v>
      </c>
      <c r="Y633" s="1" t="str">
        <f>IFERROR(INDEX([1]物品基础表!$A:$A,MATCH(X633,[1]物品基础表!$B:$B,0)),"")</f>
        <v>铸造晶石</v>
      </c>
      <c r="Z633" s="1">
        <v>100</v>
      </c>
      <c r="AB633" s="1" t="str">
        <f>IFERROR(INDEX([1]物品基础表!$A:$A,MATCH(AA633,[1]物品基础表!$B:$B,0)),"")</f>
        <v/>
      </c>
      <c r="AE633" s="1" t="str">
        <f>IFERROR(INDEX([1]物品基础表!$A:$A,MATCH(AD633,[1]物品基础表!$B:$B,0)),"")</f>
        <v/>
      </c>
      <c r="AH633" s="1" t="str">
        <f>IFERROR(INDEX([1]物品基础表!$A:$A,MATCH(AG633,[1]物品基础表!$B:$B,0)),"")</f>
        <v/>
      </c>
      <c r="AK633" s="1" t="str">
        <f>IFERROR(INDEX([1]物品基础表!$A:$A,MATCH(AJ633,[1]物品基础表!$B:$B,0)),"")</f>
        <v/>
      </c>
      <c r="AN633" s="1" t="str">
        <f>IFERROR(INDEX([1]物品基础表!$A:$A,MATCH(AM633,[1]物品基础表!$B:$B,0)),"")</f>
        <v/>
      </c>
      <c r="AQ633" s="1" t="str">
        <f>IFERROR(INDEX([1]物品基础表!$A:$A,MATCH(AP633,[1]物品基础表!$B:$B,0)),"")</f>
        <v/>
      </c>
    </row>
    <row r="634" spans="1:43">
      <c r="A634" s="1" t="str">
        <f>INDEX([2]活动总表!$A$8:$A$429,MATCH(B634,[2]活动总表!$B$8:$B$429,0))</f>
        <v>（31-60）元宵限购1</v>
      </c>
      <c r="B634" s="1">
        <v>712</v>
      </c>
      <c r="C634" s="1">
        <v>5</v>
      </c>
      <c r="D634" s="1">
        <v>5</v>
      </c>
      <c r="E634" s="1">
        <v>0</v>
      </c>
      <c r="F634" s="1" t="s">
        <v>706</v>
      </c>
      <c r="G634" s="1">
        <v>8888</v>
      </c>
      <c r="H634" s="1">
        <v>15000</v>
      </c>
      <c r="I634" s="1">
        <v>3</v>
      </c>
      <c r="O634" s="1">
        <v>59</v>
      </c>
      <c r="X634" s="1">
        <v>200003</v>
      </c>
      <c r="Y634" s="1" t="str">
        <f>IFERROR(INDEX([1]物品基础表!$A:$A,MATCH(X634,[1]物品基础表!$B:$B,0)),"")</f>
        <v>铸造晶石</v>
      </c>
      <c r="Z634" s="1">
        <v>300</v>
      </c>
      <c r="AB634" s="1" t="str">
        <f>IFERROR(INDEX([1]物品基础表!$A:$A,MATCH(AA634,[1]物品基础表!$B:$B,0)),"")</f>
        <v/>
      </c>
      <c r="AE634" s="1" t="str">
        <f>IFERROR(INDEX([1]物品基础表!$A:$A,MATCH(AD634,[1]物品基础表!$B:$B,0)),"")</f>
        <v/>
      </c>
      <c r="AH634" s="1" t="str">
        <f>IFERROR(INDEX([1]物品基础表!$A:$A,MATCH(AG634,[1]物品基础表!$B:$B,0)),"")</f>
        <v/>
      </c>
      <c r="AK634" s="1" t="str">
        <f>IFERROR(INDEX([1]物品基础表!$A:$A,MATCH(AJ634,[1]物品基础表!$B:$B,0)),"")</f>
        <v/>
      </c>
      <c r="AN634" s="1" t="str">
        <f>IFERROR(INDEX([1]物品基础表!$A:$A,MATCH(AM634,[1]物品基础表!$B:$B,0)),"")</f>
        <v/>
      </c>
      <c r="AQ634" s="1" t="str">
        <f>IFERROR(INDEX([1]物品基础表!$A:$A,MATCH(AP634,[1]物品基础表!$B:$B,0)),"")</f>
        <v/>
      </c>
    </row>
    <row r="635" spans="1:43">
      <c r="A635" s="1" t="str">
        <f>INDEX([2]活动总表!$A$8:$A$429,MATCH(B635,[2]活动总表!$B$8:$B$429,0))</f>
        <v>（31-60）元宵限购2</v>
      </c>
      <c r="B635" s="1">
        <v>713</v>
      </c>
      <c r="C635" s="1">
        <v>1</v>
      </c>
      <c r="D635" s="1">
        <v>5</v>
      </c>
      <c r="E635" s="1">
        <v>0</v>
      </c>
      <c r="F635" s="1" t="s">
        <v>706</v>
      </c>
      <c r="G635" s="1">
        <v>888</v>
      </c>
      <c r="H635" s="1">
        <v>1480</v>
      </c>
      <c r="I635" s="1">
        <v>1</v>
      </c>
      <c r="O635" s="1">
        <v>60</v>
      </c>
      <c r="X635" s="1">
        <v>200005</v>
      </c>
      <c r="Y635" s="1" t="str">
        <f>IFERROR(INDEX([1]物品基础表!$A:$A,MATCH(X635,[1]物品基础表!$B:$B,0)),"")</f>
        <v>龙魂碎片</v>
      </c>
      <c r="Z635" s="1">
        <v>10</v>
      </c>
      <c r="AA635" s="1">
        <v>200906</v>
      </c>
      <c r="AB635" s="1" t="str">
        <f>IFERROR(INDEX([1]物品基础表!$A:$A,MATCH(AA635,[1]物品基础表!$B:$B,0)),"")</f>
        <v>神兵经验丹（1W</v>
      </c>
      <c r="AC635" s="1">
        <v>12</v>
      </c>
      <c r="AE635" s="1" t="str">
        <f>IFERROR(INDEX([1]物品基础表!$A:$A,MATCH(AD635,[1]物品基础表!$B:$B,0)),"")</f>
        <v/>
      </c>
      <c r="AH635" s="1" t="str">
        <f>IFERROR(INDEX([1]物品基础表!$A:$A,MATCH(AG635,[1]物品基础表!$B:$B,0)),"")</f>
        <v/>
      </c>
      <c r="AK635" s="1" t="str">
        <f>IFERROR(INDEX([1]物品基础表!$A:$A,MATCH(AJ635,[1]物品基础表!$B:$B,0)),"")</f>
        <v/>
      </c>
      <c r="AN635" s="1" t="str">
        <f>IFERROR(INDEX([1]物品基础表!$A:$A,MATCH(AM635,[1]物品基础表!$B:$B,0)),"")</f>
        <v/>
      </c>
      <c r="AQ635" s="1" t="str">
        <f>IFERROR(INDEX([1]物品基础表!$A:$A,MATCH(AP635,[1]物品基础表!$B:$B,0)),"")</f>
        <v/>
      </c>
    </row>
    <row r="636" spans="1:43">
      <c r="A636" s="1" t="str">
        <f>INDEX([2]活动总表!$A$8:$A$429,MATCH(B636,[2]活动总表!$B$8:$B$429,0))</f>
        <v>（31-60）元宵限购2</v>
      </c>
      <c r="B636" s="1">
        <v>713</v>
      </c>
      <c r="C636" s="1">
        <v>2</v>
      </c>
      <c r="D636" s="1">
        <v>8</v>
      </c>
      <c r="E636" s="1">
        <v>0</v>
      </c>
      <c r="F636" s="1" t="s">
        <v>706</v>
      </c>
      <c r="G636" s="1">
        <v>1588</v>
      </c>
      <c r="H636" s="1">
        <v>4900</v>
      </c>
      <c r="I636" s="1">
        <v>1</v>
      </c>
      <c r="O636" s="1">
        <v>32</v>
      </c>
      <c r="X636" s="1">
        <v>200005</v>
      </c>
      <c r="Y636" s="1" t="str">
        <f>IFERROR(INDEX([1]物品基础表!$A:$A,MATCH(X636,[1]物品基础表!$B:$B,0)),"")</f>
        <v>龙魂碎片</v>
      </c>
      <c r="Z636" s="1">
        <v>35</v>
      </c>
      <c r="AA636" s="1">
        <v>200906</v>
      </c>
      <c r="AB636" s="1" t="str">
        <f>IFERROR(INDEX([1]物品基础表!$A:$A,MATCH(AA636,[1]物品基础表!$B:$B,0)),"")</f>
        <v>神兵经验丹（1W</v>
      </c>
      <c r="AC636" s="1">
        <v>35</v>
      </c>
      <c r="AE636" s="1" t="str">
        <f>IFERROR(INDEX([1]物品基础表!$A:$A,MATCH(AD636,[1]物品基础表!$B:$B,0)),"")</f>
        <v/>
      </c>
      <c r="AH636" s="1" t="str">
        <f>IFERROR(INDEX([1]物品基础表!$A:$A,MATCH(AG636,[1]物品基础表!$B:$B,0)),"")</f>
        <v/>
      </c>
      <c r="AK636" s="1" t="str">
        <f>IFERROR(INDEX([1]物品基础表!$A:$A,MATCH(AJ636,[1]物品基础表!$B:$B,0)),"")</f>
        <v/>
      </c>
      <c r="AN636" s="1" t="str">
        <f>IFERROR(INDEX([1]物品基础表!$A:$A,MATCH(AM636,[1]物品基础表!$B:$B,0)),"")</f>
        <v/>
      </c>
      <c r="AQ636" s="1" t="str">
        <f>IFERROR(INDEX([1]物品基础表!$A:$A,MATCH(AP636,[1]物品基础表!$B:$B,0)),"")</f>
        <v/>
      </c>
    </row>
    <row r="637" spans="1:43">
      <c r="A637" s="1" t="str">
        <f>INDEX([2]活动总表!$A$8:$A$429,MATCH(B637,[2]活动总表!$B$8:$B$429,0))</f>
        <v>（31-60）元宵限购2</v>
      </c>
      <c r="B637" s="1">
        <v>713</v>
      </c>
      <c r="C637" s="1">
        <v>3</v>
      </c>
      <c r="D637" s="1">
        <v>8</v>
      </c>
      <c r="E637" s="1">
        <v>0</v>
      </c>
      <c r="F637" s="1" t="s">
        <v>706</v>
      </c>
      <c r="G637" s="1">
        <v>2888</v>
      </c>
      <c r="H637" s="1">
        <v>9100</v>
      </c>
      <c r="I637" s="1">
        <v>1</v>
      </c>
      <c r="O637" s="1">
        <v>31</v>
      </c>
      <c r="X637" s="1">
        <v>200005</v>
      </c>
      <c r="Y637" s="1" t="str">
        <f>IFERROR(INDEX([1]物品基础表!$A:$A,MATCH(X637,[1]物品基础表!$B:$B,0)),"")</f>
        <v>龙魂碎片</v>
      </c>
      <c r="Z637" s="1">
        <v>65</v>
      </c>
      <c r="AA637" s="1">
        <v>200906</v>
      </c>
      <c r="AB637" s="1" t="str">
        <f>IFERROR(INDEX([1]物品基础表!$A:$A,MATCH(AA637,[1]物品基础表!$B:$B,0)),"")</f>
        <v>神兵经验丹（1W</v>
      </c>
      <c r="AC637" s="1">
        <v>65</v>
      </c>
      <c r="AE637" s="1" t="str">
        <f>IFERROR(INDEX([1]物品基础表!$A:$A,MATCH(AD637,[1]物品基础表!$B:$B,0)),"")</f>
        <v/>
      </c>
      <c r="AH637" s="1" t="str">
        <f>IFERROR(INDEX([1]物品基础表!$A:$A,MATCH(AG637,[1]物品基础表!$B:$B,0)),"")</f>
        <v/>
      </c>
      <c r="AK637" s="1" t="str">
        <f>IFERROR(INDEX([1]物品基础表!$A:$A,MATCH(AJ637,[1]物品基础表!$B:$B,0)),"")</f>
        <v/>
      </c>
      <c r="AN637" s="1" t="str">
        <f>IFERROR(INDEX([1]物品基础表!$A:$A,MATCH(AM637,[1]物品基础表!$B:$B,0)),"")</f>
        <v/>
      </c>
      <c r="AQ637" s="1" t="str">
        <f>IFERROR(INDEX([1]物品基础表!$A:$A,MATCH(AP637,[1]物品基础表!$B:$B,0)),"")</f>
        <v/>
      </c>
    </row>
    <row r="638" spans="1:43">
      <c r="A638" s="1" t="str">
        <f>INDEX([2]活动总表!$A$8:$A$429,MATCH(B638,[2]活动总表!$B$8:$B$429,0))</f>
        <v>（31-60）元宵限购2</v>
      </c>
      <c r="B638" s="1">
        <v>713</v>
      </c>
      <c r="C638" s="1">
        <v>4</v>
      </c>
      <c r="D638" s="1">
        <v>5</v>
      </c>
      <c r="E638" s="1">
        <v>0</v>
      </c>
      <c r="F638" s="1" t="s">
        <v>706</v>
      </c>
      <c r="G638" s="1">
        <v>2888</v>
      </c>
      <c r="H638" s="1">
        <v>4900</v>
      </c>
      <c r="I638" s="1">
        <v>1</v>
      </c>
      <c r="O638" s="1">
        <v>58</v>
      </c>
      <c r="X638" s="1">
        <v>200005</v>
      </c>
      <c r="Y638" s="1" t="str">
        <f>IFERROR(INDEX([1]物品基础表!$A:$A,MATCH(X638,[1]物品基础表!$B:$B,0)),"")</f>
        <v>龙魂碎片</v>
      </c>
      <c r="Z638" s="1">
        <v>35</v>
      </c>
      <c r="AA638" s="1">
        <v>200906</v>
      </c>
      <c r="AB638" s="1" t="str">
        <f>IFERROR(INDEX([1]物品基础表!$A:$A,MATCH(AA638,[1]物品基础表!$B:$B,0)),"")</f>
        <v>神兵经验丹（1W</v>
      </c>
      <c r="AC638" s="1">
        <v>35</v>
      </c>
      <c r="AE638" s="1" t="str">
        <f>IFERROR(INDEX([1]物品基础表!$A:$A,MATCH(AD638,[1]物品基础表!$B:$B,0)),"")</f>
        <v/>
      </c>
      <c r="AH638" s="1" t="str">
        <f>IFERROR(INDEX([1]物品基础表!$A:$A,MATCH(AG638,[1]物品基础表!$B:$B,0)),"")</f>
        <v/>
      </c>
      <c r="AK638" s="1" t="str">
        <f>IFERROR(INDEX([1]物品基础表!$A:$A,MATCH(AJ638,[1]物品基础表!$B:$B,0)),"")</f>
        <v/>
      </c>
      <c r="AN638" s="1" t="str">
        <f>IFERROR(INDEX([1]物品基础表!$A:$A,MATCH(AM638,[1]物品基础表!$B:$B,0)),"")</f>
        <v/>
      </c>
      <c r="AQ638" s="1" t="str">
        <f>IFERROR(INDEX([1]物品基础表!$A:$A,MATCH(AP638,[1]物品基础表!$B:$B,0)),"")</f>
        <v/>
      </c>
    </row>
    <row r="639" spans="1:43">
      <c r="A639" s="1" t="str">
        <f>INDEX([2]活动总表!$A$8:$A$429,MATCH(B639,[2]活动总表!$B$8:$B$429,0))</f>
        <v>（31-60）元宵限购2</v>
      </c>
      <c r="B639" s="1">
        <v>713</v>
      </c>
      <c r="C639" s="1">
        <v>5</v>
      </c>
      <c r="D639" s="1">
        <v>5</v>
      </c>
      <c r="E639" s="1">
        <v>0</v>
      </c>
      <c r="F639" s="1" t="s">
        <v>706</v>
      </c>
      <c r="G639" s="1">
        <v>8888</v>
      </c>
      <c r="H639" s="1">
        <v>14800</v>
      </c>
      <c r="I639" s="1">
        <v>3</v>
      </c>
      <c r="O639" s="1">
        <v>60</v>
      </c>
      <c r="X639" s="1">
        <v>200005</v>
      </c>
      <c r="Y639" s="1" t="str">
        <f>IFERROR(INDEX([1]物品基础表!$A:$A,MATCH(X639,[1]物品基础表!$B:$B,0)),"")</f>
        <v>龙魂碎片</v>
      </c>
      <c r="Z639" s="1">
        <v>100</v>
      </c>
      <c r="AA639" s="1">
        <v>200906</v>
      </c>
      <c r="AB639" s="1" t="str">
        <f>IFERROR(INDEX([1]物品基础表!$A:$A,MATCH(AA639,[1]物品基础表!$B:$B,0)),"")</f>
        <v>神兵经验丹（1W</v>
      </c>
      <c r="AC639" s="1">
        <v>120</v>
      </c>
      <c r="AE639" s="1" t="str">
        <f>IFERROR(INDEX([1]物品基础表!$A:$A,MATCH(AD639,[1]物品基础表!$B:$B,0)),"")</f>
        <v/>
      </c>
      <c r="AH639" s="1" t="str">
        <f>IFERROR(INDEX([1]物品基础表!$A:$A,MATCH(AG639,[1]物品基础表!$B:$B,0)),"")</f>
        <v/>
      </c>
      <c r="AK639" s="1" t="str">
        <f>IFERROR(INDEX([1]物品基础表!$A:$A,MATCH(AJ639,[1]物品基础表!$B:$B,0)),"")</f>
        <v/>
      </c>
      <c r="AN639" s="1" t="str">
        <f>IFERROR(INDEX([1]物品基础表!$A:$A,MATCH(AM639,[1]物品基础表!$B:$B,0)),"")</f>
        <v/>
      </c>
      <c r="AQ639" s="1" t="str">
        <f>IFERROR(INDEX([1]物品基础表!$A:$A,MATCH(AP639,[1]物品基础表!$B:$B,0)),"")</f>
        <v/>
      </c>
    </row>
    <row r="640" spans="1:43">
      <c r="A640" s="1" t="str">
        <f>INDEX([2]活动总表!$A$8:$A$429,MATCH(B640,[2]活动总表!$B$8:$B$429,0))</f>
        <v>（31-60）元宵限购3</v>
      </c>
      <c r="B640" s="1">
        <v>714</v>
      </c>
      <c r="C640" s="1">
        <v>1</v>
      </c>
      <c r="D640" s="1">
        <v>5</v>
      </c>
      <c r="E640" s="1">
        <v>0</v>
      </c>
      <c r="F640" s="1" t="s">
        <v>706</v>
      </c>
      <c r="G640" s="1">
        <v>888</v>
      </c>
      <c r="H640" s="1">
        <v>1500</v>
      </c>
      <c r="I640" s="1">
        <v>1</v>
      </c>
      <c r="O640" s="1">
        <v>59</v>
      </c>
      <c r="X640" s="1">
        <v>200301</v>
      </c>
      <c r="Y640" s="1" t="str">
        <f>IFERROR(INDEX([1]物品基础表!$A:$A,MATCH(X640,[1]物品基础表!$B:$B,0)),"")</f>
        <v>传世宝钻</v>
      </c>
      <c r="Z640" s="1">
        <v>15</v>
      </c>
      <c r="AB640" s="1" t="str">
        <f>IFERROR(INDEX([1]物品基础表!$A:$A,MATCH(AA640,[1]物品基础表!$B:$B,0)),"")</f>
        <v/>
      </c>
      <c r="AE640" s="1" t="str">
        <f>IFERROR(INDEX([1]物品基础表!$A:$A,MATCH(AD640,[1]物品基础表!$B:$B,0)),"")</f>
        <v/>
      </c>
      <c r="AH640" s="1" t="str">
        <f>IFERROR(INDEX([1]物品基础表!$A:$A,MATCH(AG640,[1]物品基础表!$B:$B,0)),"")</f>
        <v/>
      </c>
      <c r="AK640" s="1" t="str">
        <f>IFERROR(INDEX([1]物品基础表!$A:$A,MATCH(AJ640,[1]物品基础表!$B:$B,0)),"")</f>
        <v/>
      </c>
      <c r="AN640" s="1" t="str">
        <f>IFERROR(INDEX([1]物品基础表!$A:$A,MATCH(AM640,[1]物品基础表!$B:$B,0)),"")</f>
        <v/>
      </c>
      <c r="AQ640" s="1" t="str">
        <f>IFERROR(INDEX([1]物品基础表!$A:$A,MATCH(AP640,[1]物品基础表!$B:$B,0)),"")</f>
        <v/>
      </c>
    </row>
    <row r="641" spans="1:43">
      <c r="A641" s="1" t="str">
        <f>INDEX([2]活动总表!$A$8:$A$429,MATCH(B641,[2]活动总表!$B$8:$B$429,0))</f>
        <v>（31-60）元宵限购3</v>
      </c>
      <c r="B641" s="1">
        <v>714</v>
      </c>
      <c r="C641" s="1">
        <v>2</v>
      </c>
      <c r="D641" s="1">
        <v>8</v>
      </c>
      <c r="E641" s="1">
        <v>0</v>
      </c>
      <c r="F641" s="1" t="s">
        <v>706</v>
      </c>
      <c r="G641" s="1">
        <v>1588</v>
      </c>
      <c r="H641" s="1">
        <v>5000</v>
      </c>
      <c r="I641" s="1">
        <v>1</v>
      </c>
      <c r="O641" s="1">
        <v>31</v>
      </c>
      <c r="X641" s="1">
        <v>200301</v>
      </c>
      <c r="Y641" s="1" t="str">
        <f>IFERROR(INDEX([1]物品基础表!$A:$A,MATCH(X641,[1]物品基础表!$B:$B,0)),"")</f>
        <v>传世宝钻</v>
      </c>
      <c r="Z641" s="1">
        <v>50</v>
      </c>
      <c r="AB641" s="1" t="str">
        <f>IFERROR(INDEX([1]物品基础表!$A:$A,MATCH(AA641,[1]物品基础表!$B:$B,0)),"")</f>
        <v/>
      </c>
      <c r="AE641" s="1" t="str">
        <f>IFERROR(INDEX([1]物品基础表!$A:$A,MATCH(AD641,[1]物品基础表!$B:$B,0)),"")</f>
        <v/>
      </c>
      <c r="AH641" s="1" t="str">
        <f>IFERROR(INDEX([1]物品基础表!$A:$A,MATCH(AG641,[1]物品基础表!$B:$B,0)),"")</f>
        <v/>
      </c>
      <c r="AK641" s="1" t="str">
        <f>IFERROR(INDEX([1]物品基础表!$A:$A,MATCH(AJ641,[1]物品基础表!$B:$B,0)),"")</f>
        <v/>
      </c>
      <c r="AN641" s="1" t="str">
        <f>IFERROR(INDEX([1]物品基础表!$A:$A,MATCH(AM641,[1]物品基础表!$B:$B,0)),"")</f>
        <v/>
      </c>
      <c r="AQ641" s="1" t="str">
        <f>IFERROR(INDEX([1]物品基础表!$A:$A,MATCH(AP641,[1]物品基础表!$B:$B,0)),"")</f>
        <v/>
      </c>
    </row>
    <row r="642" spans="1:43">
      <c r="A642" s="1" t="str">
        <f>INDEX([2]活动总表!$A$8:$A$429,MATCH(B642,[2]活动总表!$B$8:$B$429,0))</f>
        <v>（31-60）元宵限购3</v>
      </c>
      <c r="B642" s="1">
        <v>714</v>
      </c>
      <c r="C642" s="1">
        <v>3</v>
      </c>
      <c r="D642" s="1">
        <v>8</v>
      </c>
      <c r="E642" s="1">
        <v>0</v>
      </c>
      <c r="F642" s="1" t="s">
        <v>706</v>
      </c>
      <c r="G642" s="1">
        <v>2888</v>
      </c>
      <c r="H642" s="1">
        <v>9000</v>
      </c>
      <c r="I642" s="1">
        <v>1</v>
      </c>
      <c r="O642" s="1">
        <v>32</v>
      </c>
      <c r="X642" s="1">
        <v>200301</v>
      </c>
      <c r="Y642" s="1" t="str">
        <f>IFERROR(INDEX([1]物品基础表!$A:$A,MATCH(X642,[1]物品基础表!$B:$B,0)),"")</f>
        <v>传世宝钻</v>
      </c>
      <c r="Z642" s="1">
        <v>90</v>
      </c>
      <c r="AB642" s="1" t="str">
        <f>IFERROR(INDEX([1]物品基础表!$A:$A,MATCH(AA642,[1]物品基础表!$B:$B,0)),"")</f>
        <v/>
      </c>
      <c r="AE642" s="1" t="str">
        <f>IFERROR(INDEX([1]物品基础表!$A:$A,MATCH(AD642,[1]物品基础表!$B:$B,0)),"")</f>
        <v/>
      </c>
      <c r="AH642" s="1" t="str">
        <f>IFERROR(INDEX([1]物品基础表!$A:$A,MATCH(AG642,[1]物品基础表!$B:$B,0)),"")</f>
        <v/>
      </c>
      <c r="AK642" s="1" t="str">
        <f>IFERROR(INDEX([1]物品基础表!$A:$A,MATCH(AJ642,[1]物品基础表!$B:$B,0)),"")</f>
        <v/>
      </c>
      <c r="AN642" s="1" t="str">
        <f>IFERROR(INDEX([1]物品基础表!$A:$A,MATCH(AM642,[1]物品基础表!$B:$B,0)),"")</f>
        <v/>
      </c>
      <c r="AQ642" s="1" t="str">
        <f>IFERROR(INDEX([1]物品基础表!$A:$A,MATCH(AP642,[1]物品基础表!$B:$B,0)),"")</f>
        <v/>
      </c>
    </row>
    <row r="643" spans="1:43">
      <c r="A643" s="1" t="str">
        <f>INDEX([2]活动总表!$A$8:$A$429,MATCH(B643,[2]活动总表!$B$8:$B$429,0))</f>
        <v>（31-60）元宵限购3</v>
      </c>
      <c r="B643" s="1">
        <v>714</v>
      </c>
      <c r="C643" s="1">
        <v>4</v>
      </c>
      <c r="D643" s="1">
        <v>5</v>
      </c>
      <c r="E643" s="1">
        <v>0</v>
      </c>
      <c r="F643" s="1" t="s">
        <v>706</v>
      </c>
      <c r="G643" s="1">
        <v>2888</v>
      </c>
      <c r="H643" s="1">
        <v>5000</v>
      </c>
      <c r="I643" s="1">
        <v>1</v>
      </c>
      <c r="O643" s="1">
        <v>57</v>
      </c>
      <c r="X643" s="1">
        <v>200301</v>
      </c>
      <c r="Y643" s="1" t="str">
        <f>IFERROR(INDEX([1]物品基础表!$A:$A,MATCH(X643,[1]物品基础表!$B:$B,0)),"")</f>
        <v>传世宝钻</v>
      </c>
      <c r="Z643" s="1">
        <v>50</v>
      </c>
      <c r="AB643" s="1" t="str">
        <f>IFERROR(INDEX([1]物品基础表!$A:$A,MATCH(AA643,[1]物品基础表!$B:$B,0)),"")</f>
        <v/>
      </c>
      <c r="AE643" s="1" t="str">
        <f>IFERROR(INDEX([1]物品基础表!$A:$A,MATCH(AD643,[1]物品基础表!$B:$B,0)),"")</f>
        <v/>
      </c>
      <c r="AH643" s="1" t="str">
        <f>IFERROR(INDEX([1]物品基础表!$A:$A,MATCH(AG643,[1]物品基础表!$B:$B,0)),"")</f>
        <v/>
      </c>
      <c r="AK643" s="1" t="str">
        <f>IFERROR(INDEX([1]物品基础表!$A:$A,MATCH(AJ643,[1]物品基础表!$B:$B,0)),"")</f>
        <v/>
      </c>
      <c r="AN643" s="1" t="str">
        <f>IFERROR(INDEX([1]物品基础表!$A:$A,MATCH(AM643,[1]物品基础表!$B:$B,0)),"")</f>
        <v/>
      </c>
      <c r="AQ643" s="1" t="str">
        <f>IFERROR(INDEX([1]物品基础表!$A:$A,MATCH(AP643,[1]物品基础表!$B:$B,0)),"")</f>
        <v/>
      </c>
    </row>
    <row r="644" spans="1:43">
      <c r="A644" s="1" t="str">
        <f>INDEX([2]活动总表!$A$8:$A$429,MATCH(B644,[2]活动总表!$B$8:$B$429,0))</f>
        <v>（31-60）元宵限购3</v>
      </c>
      <c r="B644" s="1">
        <v>714</v>
      </c>
      <c r="C644" s="1">
        <v>5</v>
      </c>
      <c r="D644" s="1">
        <v>5</v>
      </c>
      <c r="E644" s="1">
        <v>0</v>
      </c>
      <c r="F644" s="1" t="s">
        <v>706</v>
      </c>
      <c r="G644" s="1">
        <v>8888</v>
      </c>
      <c r="H644" s="1">
        <v>15000</v>
      </c>
      <c r="I644" s="1">
        <v>3</v>
      </c>
      <c r="O644" s="1">
        <v>59</v>
      </c>
      <c r="X644" s="1">
        <v>200301</v>
      </c>
      <c r="Y644" s="1" t="str">
        <f>IFERROR(INDEX([1]物品基础表!$A:$A,MATCH(X644,[1]物品基础表!$B:$B,0)),"")</f>
        <v>传世宝钻</v>
      </c>
      <c r="Z644" s="1">
        <v>150</v>
      </c>
      <c r="AB644" s="1" t="str">
        <f>IFERROR(INDEX([1]物品基础表!$A:$A,MATCH(AA644,[1]物品基础表!$B:$B,0)),"")</f>
        <v/>
      </c>
      <c r="AE644" s="1" t="str">
        <f>IFERROR(INDEX([1]物品基础表!$A:$A,MATCH(AD644,[1]物品基础表!$B:$B,0)),"")</f>
        <v/>
      </c>
      <c r="AH644" s="1" t="str">
        <f>IFERROR(INDEX([1]物品基础表!$A:$A,MATCH(AG644,[1]物品基础表!$B:$B,0)),"")</f>
        <v/>
      </c>
      <c r="AK644" s="1" t="str">
        <f>IFERROR(INDEX([1]物品基础表!$A:$A,MATCH(AJ644,[1]物品基础表!$B:$B,0)),"")</f>
        <v/>
      </c>
      <c r="AN644" s="1" t="str">
        <f>IFERROR(INDEX([1]物品基础表!$A:$A,MATCH(AM644,[1]物品基础表!$B:$B,0)),"")</f>
        <v/>
      </c>
      <c r="AQ644" s="1" t="str">
        <f>IFERROR(INDEX([1]物品基础表!$A:$A,MATCH(AP644,[1]物品基础表!$B:$B,0)),"")</f>
        <v/>
      </c>
    </row>
    <row r="645" spans="1:43">
      <c r="A645" s="1" t="str">
        <f>INDEX([2]活动总表!$A$8:$A$429,MATCH(B645,[2]活动总表!$B$8:$B$429,0))</f>
        <v>（61+）元宵限购1</v>
      </c>
      <c r="B645" s="1">
        <v>717</v>
      </c>
      <c r="C645" s="1">
        <v>1</v>
      </c>
      <c r="D645" s="1">
        <v>5</v>
      </c>
      <c r="E645" s="1">
        <v>0</v>
      </c>
      <c r="F645" s="1" t="s">
        <v>706</v>
      </c>
      <c r="G645" s="1">
        <v>1088</v>
      </c>
      <c r="H645" s="1">
        <v>2000</v>
      </c>
      <c r="I645" s="1">
        <v>1</v>
      </c>
      <c r="O645" s="1">
        <v>54</v>
      </c>
      <c r="X645" s="1">
        <v>201106</v>
      </c>
      <c r="Y645" s="1" t="str">
        <f>IFERROR(INDEX([1]物品基础表!$A:$A,MATCH(X645,[1]物品基础表!$B:$B,0)),"")</f>
        <v>高级轮回丹·无限制</v>
      </c>
      <c r="Z645" s="1">
        <v>2</v>
      </c>
      <c r="AB645" s="1" t="str">
        <f>IFERROR(INDEX([1]物品基础表!$A:$A,MATCH(AA645,[1]物品基础表!$B:$B,0)),"")</f>
        <v/>
      </c>
      <c r="AE645" s="1" t="str">
        <f>IFERROR(INDEX([1]物品基础表!$A:$A,MATCH(AD645,[1]物品基础表!$B:$B,0)),"")</f>
        <v/>
      </c>
      <c r="AH645" s="1" t="str">
        <f>IFERROR(INDEX([1]物品基础表!$A:$A,MATCH(AG645,[1]物品基础表!$B:$B,0)),"")</f>
        <v/>
      </c>
      <c r="AK645" s="1" t="str">
        <f>IFERROR(INDEX([1]物品基础表!$A:$A,MATCH(AJ645,[1]物品基础表!$B:$B,0)),"")</f>
        <v/>
      </c>
      <c r="AN645" s="1" t="str">
        <f>IFERROR(INDEX([1]物品基础表!$A:$A,MATCH(AM645,[1]物品基础表!$B:$B,0)),"")</f>
        <v/>
      </c>
      <c r="AQ645" s="1" t="str">
        <f>IFERROR(INDEX([1]物品基础表!$A:$A,MATCH(AP645,[1]物品基础表!$B:$B,0)),"")</f>
        <v/>
      </c>
    </row>
    <row r="646" spans="1:43">
      <c r="A646" s="1" t="str">
        <f>INDEX([2]活动总表!$A$8:$A$429,MATCH(B646,[2]活动总表!$B$8:$B$429,0))</f>
        <v>（61+）元宵限购1</v>
      </c>
      <c r="B646" s="1">
        <v>717</v>
      </c>
      <c r="C646" s="1">
        <v>2</v>
      </c>
      <c r="D646" s="1">
        <v>7</v>
      </c>
      <c r="E646" s="1">
        <v>0</v>
      </c>
      <c r="F646" s="1" t="s">
        <v>706</v>
      </c>
      <c r="G646" s="1">
        <v>1588</v>
      </c>
      <c r="H646" s="1">
        <v>5000</v>
      </c>
      <c r="I646" s="1">
        <v>1</v>
      </c>
      <c r="O646" s="1">
        <v>31</v>
      </c>
      <c r="X646" s="1">
        <v>201106</v>
      </c>
      <c r="Y646" s="1" t="str">
        <f>IFERROR(INDEX([1]物品基础表!$A:$A,MATCH(X646,[1]物品基础表!$B:$B,0)),"")</f>
        <v>高级轮回丹·无限制</v>
      </c>
      <c r="Z646" s="1">
        <v>5</v>
      </c>
      <c r="AB646" s="1" t="str">
        <f>IFERROR(INDEX([1]物品基础表!$A:$A,MATCH(AA646,[1]物品基础表!$B:$B,0)),"")</f>
        <v/>
      </c>
      <c r="AE646" s="1" t="str">
        <f>IFERROR(INDEX([1]物品基础表!$A:$A,MATCH(AD646,[1]物品基础表!$B:$B,0)),"")</f>
        <v/>
      </c>
      <c r="AH646" s="1" t="str">
        <f>IFERROR(INDEX([1]物品基础表!$A:$A,MATCH(AG646,[1]物品基础表!$B:$B,0)),"")</f>
        <v/>
      </c>
      <c r="AK646" s="1" t="str">
        <f>IFERROR(INDEX([1]物品基础表!$A:$A,MATCH(AJ646,[1]物品基础表!$B:$B,0)),"")</f>
        <v/>
      </c>
      <c r="AN646" s="1" t="str">
        <f>IFERROR(INDEX([1]物品基础表!$A:$A,MATCH(AM646,[1]物品基础表!$B:$B,0)),"")</f>
        <v/>
      </c>
      <c r="AQ646" s="1" t="str">
        <f>IFERROR(INDEX([1]物品基础表!$A:$A,MATCH(AP646,[1]物品基础表!$B:$B,0)),"")</f>
        <v/>
      </c>
    </row>
    <row r="647" spans="1:43">
      <c r="A647" s="1" t="str">
        <f>INDEX([2]活动总表!$A$8:$A$429,MATCH(B647,[2]活动总表!$B$8:$B$429,0))</f>
        <v>（61+）元宵限购1</v>
      </c>
      <c r="B647" s="1">
        <v>717</v>
      </c>
      <c r="C647" s="1">
        <v>3</v>
      </c>
      <c r="D647" s="1">
        <v>7</v>
      </c>
      <c r="E647" s="1">
        <v>0</v>
      </c>
      <c r="F647" s="1" t="s">
        <v>706</v>
      </c>
      <c r="G647" s="1">
        <v>2888</v>
      </c>
      <c r="H647" s="1">
        <v>9000</v>
      </c>
      <c r="I647" s="1">
        <v>1</v>
      </c>
      <c r="O647" s="1">
        <v>32</v>
      </c>
      <c r="X647" s="1">
        <v>201106</v>
      </c>
      <c r="Y647" s="1" t="str">
        <f>IFERROR(INDEX([1]物品基础表!$A:$A,MATCH(X647,[1]物品基础表!$B:$B,0)),"")</f>
        <v>高级轮回丹·无限制</v>
      </c>
      <c r="Z647" s="1">
        <v>9</v>
      </c>
      <c r="AB647" s="1" t="str">
        <f>IFERROR(INDEX([1]物品基础表!$A:$A,MATCH(AA647,[1]物品基础表!$B:$B,0)),"")</f>
        <v/>
      </c>
      <c r="AE647" s="1" t="str">
        <f>IFERROR(INDEX([1]物品基础表!$A:$A,MATCH(AD647,[1]物品基础表!$B:$B,0)),"")</f>
        <v/>
      </c>
      <c r="AH647" s="1" t="str">
        <f>IFERROR(INDEX([1]物品基础表!$A:$A,MATCH(AG647,[1]物品基础表!$B:$B,0)),"")</f>
        <v/>
      </c>
      <c r="AK647" s="1" t="str">
        <f>IFERROR(INDEX([1]物品基础表!$A:$A,MATCH(AJ647,[1]物品基础表!$B:$B,0)),"")</f>
        <v/>
      </c>
      <c r="AN647" s="1" t="str">
        <f>IFERROR(INDEX([1]物品基础表!$A:$A,MATCH(AM647,[1]物品基础表!$B:$B,0)),"")</f>
        <v/>
      </c>
      <c r="AQ647" s="1" t="str">
        <f>IFERROR(INDEX([1]物品基础表!$A:$A,MATCH(AP647,[1]物品基础表!$B:$B,0)),"")</f>
        <v/>
      </c>
    </row>
    <row r="648" spans="1:43">
      <c r="A648" s="1" t="str">
        <f>INDEX([2]活动总表!$A$8:$A$429,MATCH(B648,[2]活动总表!$B$8:$B$429,0))</f>
        <v>（61+）元宵限购1</v>
      </c>
      <c r="B648" s="1">
        <v>717</v>
      </c>
      <c r="C648" s="1">
        <v>4</v>
      </c>
      <c r="D648" s="1">
        <v>7</v>
      </c>
      <c r="E648" s="1">
        <v>0</v>
      </c>
      <c r="F648" s="1" t="s">
        <v>706</v>
      </c>
      <c r="G648" s="1">
        <v>6888</v>
      </c>
      <c r="H648" s="1">
        <v>19996</v>
      </c>
      <c r="I648" s="1">
        <v>1</v>
      </c>
      <c r="O648" s="1">
        <v>34</v>
      </c>
      <c r="X648" s="1">
        <v>201107</v>
      </c>
      <c r="Y648" s="1" t="str">
        <f>IFERROR(INDEX([1]物品基础表!$A:$A,MATCH(X648,[1]物品基础表!$B:$B,0)),"")</f>
        <v>超级轮回丹·无限制</v>
      </c>
      <c r="Z648" s="1">
        <v>2</v>
      </c>
      <c r="AB648" s="1" t="str">
        <f>IFERROR(INDEX([1]物品基础表!$A:$A,MATCH(AA648,[1]物品基础表!$B:$B,0)),"")</f>
        <v/>
      </c>
      <c r="AE648" s="1" t="str">
        <f>IFERROR(INDEX([1]物品基础表!$A:$A,MATCH(AD648,[1]物品基础表!$B:$B,0)),"")</f>
        <v/>
      </c>
      <c r="AH648" s="1" t="str">
        <f>IFERROR(INDEX([1]物品基础表!$A:$A,MATCH(AG648,[1]物品基础表!$B:$B,0)),"")</f>
        <v/>
      </c>
      <c r="AK648" s="1" t="str">
        <f>IFERROR(INDEX([1]物品基础表!$A:$A,MATCH(AJ648,[1]物品基础表!$B:$B,0)),"")</f>
        <v/>
      </c>
      <c r="AN648" s="1" t="str">
        <f>IFERROR(INDEX([1]物品基础表!$A:$A,MATCH(AM648,[1]物品基础表!$B:$B,0)),"")</f>
        <v/>
      </c>
      <c r="AQ648" s="1" t="str">
        <f>IFERROR(INDEX([1]物品基础表!$A:$A,MATCH(AP648,[1]物品基础表!$B:$B,0)),"")</f>
        <v/>
      </c>
    </row>
    <row r="649" spans="1:43">
      <c r="A649" s="1" t="str">
        <f>INDEX([2]活动总表!$A$8:$A$429,MATCH(B649,[2]活动总表!$B$8:$B$429,0))</f>
        <v>（61+）元宵限购1</v>
      </c>
      <c r="B649" s="1">
        <v>717</v>
      </c>
      <c r="C649" s="1">
        <v>5</v>
      </c>
      <c r="D649" s="1">
        <v>5</v>
      </c>
      <c r="E649" s="1">
        <v>0</v>
      </c>
      <c r="F649" s="1" t="s">
        <v>706</v>
      </c>
      <c r="G649" s="1">
        <v>8888</v>
      </c>
      <c r="H649" s="1">
        <v>14998</v>
      </c>
      <c r="I649" s="1">
        <v>3</v>
      </c>
      <c r="O649" s="1">
        <v>59</v>
      </c>
      <c r="X649" s="1">
        <v>201107</v>
      </c>
      <c r="Y649" s="1" t="str">
        <f>IFERROR(INDEX([1]物品基础表!$A:$A,MATCH(X649,[1]物品基础表!$B:$B,0)),"")</f>
        <v>超级轮回丹·无限制</v>
      </c>
      <c r="Z649" s="1">
        <v>1</v>
      </c>
      <c r="AA649" s="1">
        <v>201106</v>
      </c>
      <c r="AB649" s="1" t="str">
        <f>IFERROR(INDEX([1]物品基础表!$A:$A,MATCH(AA649,[1]物品基础表!$B:$B,0)),"")</f>
        <v>高级轮回丹·无限制</v>
      </c>
      <c r="AC649" s="1">
        <v>5</v>
      </c>
      <c r="AE649" s="1" t="str">
        <f>IFERROR(INDEX([1]物品基础表!$A:$A,MATCH(AD649,[1]物品基础表!$B:$B,0)),"")</f>
        <v/>
      </c>
      <c r="AH649" s="1" t="str">
        <f>IFERROR(INDEX([1]物品基础表!$A:$A,MATCH(AG649,[1]物品基础表!$B:$B,0)),"")</f>
        <v/>
      </c>
      <c r="AK649" s="1" t="str">
        <f>IFERROR(INDEX([1]物品基础表!$A:$A,MATCH(AJ649,[1]物品基础表!$B:$B,0)),"")</f>
        <v/>
      </c>
      <c r="AN649" s="1" t="str">
        <f>IFERROR(INDEX([1]物品基础表!$A:$A,MATCH(AM649,[1]物品基础表!$B:$B,0)),"")</f>
        <v/>
      </c>
      <c r="AQ649" s="1" t="str">
        <f>IFERROR(INDEX([1]物品基础表!$A:$A,MATCH(AP649,[1]物品基础表!$B:$B,0)),"")</f>
        <v/>
      </c>
    </row>
    <row r="650" spans="1:43">
      <c r="A650" s="1" t="str">
        <f>INDEX([2]活动总表!$A$8:$A$429,MATCH(B650,[2]活动总表!$B$8:$B$429,0))</f>
        <v>（61+）元宵限购2</v>
      </c>
      <c r="B650" s="1">
        <v>718</v>
      </c>
      <c r="C650" s="1">
        <v>1</v>
      </c>
      <c r="D650" s="1">
        <v>5</v>
      </c>
      <c r="E650" s="1">
        <v>0</v>
      </c>
      <c r="F650" s="1" t="s">
        <v>706</v>
      </c>
      <c r="G650" s="1">
        <v>888</v>
      </c>
      <c r="H650" s="1">
        <v>1480</v>
      </c>
      <c r="I650" s="1">
        <v>1</v>
      </c>
      <c r="O650" s="1">
        <v>60</v>
      </c>
      <c r="X650" s="1">
        <v>200005</v>
      </c>
      <c r="Y650" s="1" t="str">
        <f>IFERROR(INDEX([1]物品基础表!$A:$A,MATCH(X650,[1]物品基础表!$B:$B,0)),"")</f>
        <v>龙魂碎片</v>
      </c>
      <c r="Z650" s="1">
        <v>10</v>
      </c>
      <c r="AA650" s="1">
        <v>200906</v>
      </c>
      <c r="AB650" s="1" t="str">
        <f>IFERROR(INDEX([1]物品基础表!$A:$A,MATCH(AA650,[1]物品基础表!$B:$B,0)),"")</f>
        <v>神兵经验丹（1W</v>
      </c>
      <c r="AC650" s="1">
        <v>12</v>
      </c>
      <c r="AE650" s="1" t="str">
        <f>IFERROR(INDEX([1]物品基础表!$A:$A,MATCH(AD650,[1]物品基础表!$B:$B,0)),"")</f>
        <v/>
      </c>
      <c r="AH650" s="1" t="str">
        <f>IFERROR(INDEX([1]物品基础表!$A:$A,MATCH(AG650,[1]物品基础表!$B:$B,0)),"")</f>
        <v/>
      </c>
      <c r="AK650" s="1" t="str">
        <f>IFERROR(INDEX([1]物品基础表!$A:$A,MATCH(AJ650,[1]物品基础表!$B:$B,0)),"")</f>
        <v/>
      </c>
      <c r="AN650" s="1" t="str">
        <f>IFERROR(INDEX([1]物品基础表!$A:$A,MATCH(AM650,[1]物品基础表!$B:$B,0)),"")</f>
        <v/>
      </c>
      <c r="AQ650" s="1" t="str">
        <f>IFERROR(INDEX([1]物品基础表!$A:$A,MATCH(AP650,[1]物品基础表!$B:$B,0)),"")</f>
        <v/>
      </c>
    </row>
    <row r="651" spans="1:43">
      <c r="A651" s="1" t="str">
        <f>INDEX([2]活动总表!$A$8:$A$429,MATCH(B651,[2]活动总表!$B$8:$B$429,0))</f>
        <v>（61+）元宵限购2</v>
      </c>
      <c r="B651" s="1">
        <v>718</v>
      </c>
      <c r="C651" s="1">
        <v>2</v>
      </c>
      <c r="D651" s="1">
        <v>8</v>
      </c>
      <c r="E651" s="1">
        <v>0</v>
      </c>
      <c r="F651" s="1" t="s">
        <v>706</v>
      </c>
      <c r="G651" s="1">
        <v>1588</v>
      </c>
      <c r="H651" s="1">
        <v>4900</v>
      </c>
      <c r="I651" s="1">
        <v>1</v>
      </c>
      <c r="O651" s="1">
        <v>32</v>
      </c>
      <c r="X651" s="1">
        <v>200005</v>
      </c>
      <c r="Y651" s="1" t="str">
        <f>IFERROR(INDEX([1]物品基础表!$A:$A,MATCH(X651,[1]物品基础表!$B:$B,0)),"")</f>
        <v>龙魂碎片</v>
      </c>
      <c r="Z651" s="1">
        <v>35</v>
      </c>
      <c r="AA651" s="1">
        <v>200906</v>
      </c>
      <c r="AB651" s="1" t="str">
        <f>IFERROR(INDEX([1]物品基础表!$A:$A,MATCH(AA651,[1]物品基础表!$B:$B,0)),"")</f>
        <v>神兵经验丹（1W</v>
      </c>
      <c r="AC651" s="1">
        <v>35</v>
      </c>
      <c r="AE651" s="1" t="str">
        <f>IFERROR(INDEX([1]物品基础表!$A:$A,MATCH(AD651,[1]物品基础表!$B:$B,0)),"")</f>
        <v/>
      </c>
      <c r="AH651" s="1" t="str">
        <f>IFERROR(INDEX([1]物品基础表!$A:$A,MATCH(AG651,[1]物品基础表!$B:$B,0)),"")</f>
        <v/>
      </c>
      <c r="AK651" s="1" t="str">
        <f>IFERROR(INDEX([1]物品基础表!$A:$A,MATCH(AJ651,[1]物品基础表!$B:$B,0)),"")</f>
        <v/>
      </c>
      <c r="AN651" s="1" t="str">
        <f>IFERROR(INDEX([1]物品基础表!$A:$A,MATCH(AM651,[1]物品基础表!$B:$B,0)),"")</f>
        <v/>
      </c>
      <c r="AQ651" s="1" t="str">
        <f>IFERROR(INDEX([1]物品基础表!$A:$A,MATCH(AP651,[1]物品基础表!$B:$B,0)),"")</f>
        <v/>
      </c>
    </row>
    <row r="652" spans="1:43">
      <c r="A652" s="1" t="str">
        <f>INDEX([2]活动总表!$A$8:$A$429,MATCH(B652,[2]活动总表!$B$8:$B$429,0))</f>
        <v>（61+）元宵限购2</v>
      </c>
      <c r="B652" s="1">
        <v>718</v>
      </c>
      <c r="C652" s="1">
        <v>3</v>
      </c>
      <c r="D652" s="1">
        <v>8</v>
      </c>
      <c r="E652" s="1">
        <v>0</v>
      </c>
      <c r="F652" s="1" t="s">
        <v>706</v>
      </c>
      <c r="G652" s="1">
        <v>2888</v>
      </c>
      <c r="H652" s="1">
        <v>9100</v>
      </c>
      <c r="I652" s="1">
        <v>1</v>
      </c>
      <c r="O652" s="1">
        <v>31</v>
      </c>
      <c r="X652" s="1">
        <v>200005</v>
      </c>
      <c r="Y652" s="1" t="str">
        <f>IFERROR(INDEX([1]物品基础表!$A:$A,MATCH(X652,[1]物品基础表!$B:$B,0)),"")</f>
        <v>龙魂碎片</v>
      </c>
      <c r="Z652" s="1">
        <v>65</v>
      </c>
      <c r="AA652" s="1">
        <v>200906</v>
      </c>
      <c r="AB652" s="1" t="str">
        <f>IFERROR(INDEX([1]物品基础表!$A:$A,MATCH(AA652,[1]物品基础表!$B:$B,0)),"")</f>
        <v>神兵经验丹（1W</v>
      </c>
      <c r="AC652" s="1">
        <v>65</v>
      </c>
      <c r="AE652" s="1" t="str">
        <f>IFERROR(INDEX([1]物品基础表!$A:$A,MATCH(AD652,[1]物品基础表!$B:$B,0)),"")</f>
        <v/>
      </c>
      <c r="AH652" s="1" t="str">
        <f>IFERROR(INDEX([1]物品基础表!$A:$A,MATCH(AG652,[1]物品基础表!$B:$B,0)),"")</f>
        <v/>
      </c>
      <c r="AK652" s="1" t="str">
        <f>IFERROR(INDEX([1]物品基础表!$A:$A,MATCH(AJ652,[1]物品基础表!$B:$B,0)),"")</f>
        <v/>
      </c>
      <c r="AN652" s="1" t="str">
        <f>IFERROR(INDEX([1]物品基础表!$A:$A,MATCH(AM652,[1]物品基础表!$B:$B,0)),"")</f>
        <v/>
      </c>
      <c r="AQ652" s="1" t="str">
        <f>IFERROR(INDEX([1]物品基础表!$A:$A,MATCH(AP652,[1]物品基础表!$B:$B,0)),"")</f>
        <v/>
      </c>
    </row>
    <row r="653" spans="1:43">
      <c r="A653" s="1" t="str">
        <f>INDEX([2]活动总表!$A$8:$A$429,MATCH(B653,[2]活动总表!$B$8:$B$429,0))</f>
        <v>（61+）元宵限购2</v>
      </c>
      <c r="B653" s="1">
        <v>718</v>
      </c>
      <c r="C653" s="1">
        <v>4</v>
      </c>
      <c r="D653" s="1">
        <v>8</v>
      </c>
      <c r="E653" s="1">
        <v>0</v>
      </c>
      <c r="F653" s="1" t="s">
        <v>706</v>
      </c>
      <c r="G653" s="1">
        <v>6888</v>
      </c>
      <c r="H653" s="1">
        <v>19800</v>
      </c>
      <c r="I653" s="1">
        <v>1</v>
      </c>
      <c r="O653" s="1">
        <v>34</v>
      </c>
      <c r="X653" s="1">
        <v>200005</v>
      </c>
      <c r="Y653" s="1" t="str">
        <f>IFERROR(INDEX([1]物品基础表!$A:$A,MATCH(X653,[1]物品基础表!$B:$B,0)),"")</f>
        <v>龙魂碎片</v>
      </c>
      <c r="Z653" s="1">
        <v>130</v>
      </c>
      <c r="AA653" s="1">
        <v>200906</v>
      </c>
      <c r="AB653" s="1" t="str">
        <f>IFERROR(INDEX([1]物品基础表!$A:$A,MATCH(AA653,[1]物品基础表!$B:$B,0)),"")</f>
        <v>神兵经验丹（1W</v>
      </c>
      <c r="AC653" s="1">
        <v>170</v>
      </c>
      <c r="AE653" s="1" t="str">
        <f>IFERROR(INDEX([1]物品基础表!$A:$A,MATCH(AD653,[1]物品基础表!$B:$B,0)),"")</f>
        <v/>
      </c>
      <c r="AH653" s="1" t="str">
        <f>IFERROR(INDEX([1]物品基础表!$A:$A,MATCH(AG653,[1]物品基础表!$B:$B,0)),"")</f>
        <v/>
      </c>
      <c r="AK653" s="1" t="str">
        <f>IFERROR(INDEX([1]物品基础表!$A:$A,MATCH(AJ653,[1]物品基础表!$B:$B,0)),"")</f>
        <v/>
      </c>
      <c r="AN653" s="1" t="str">
        <f>IFERROR(INDEX([1]物品基础表!$A:$A,MATCH(AM653,[1]物品基础表!$B:$B,0)),"")</f>
        <v/>
      </c>
      <c r="AQ653" s="1" t="str">
        <f>IFERROR(INDEX([1]物品基础表!$A:$A,MATCH(AP653,[1]物品基础表!$B:$B,0)),"")</f>
        <v/>
      </c>
    </row>
    <row r="654" spans="1:43">
      <c r="A654" s="1" t="str">
        <f>INDEX([2]活动总表!$A$8:$A$429,MATCH(B654,[2]活动总表!$B$8:$B$429,0))</f>
        <v>（61+）元宵限购2</v>
      </c>
      <c r="B654" s="1">
        <v>718</v>
      </c>
      <c r="C654" s="1">
        <v>5</v>
      </c>
      <c r="D654" s="1">
        <v>5</v>
      </c>
      <c r="E654" s="1">
        <v>0</v>
      </c>
      <c r="F654" s="1" t="s">
        <v>706</v>
      </c>
      <c r="G654" s="1">
        <v>8888</v>
      </c>
      <c r="H654" s="1">
        <v>14800</v>
      </c>
      <c r="I654" s="1">
        <v>3</v>
      </c>
      <c r="O654" s="1">
        <v>60</v>
      </c>
      <c r="X654" s="1">
        <v>200005</v>
      </c>
      <c r="Y654" s="1" t="str">
        <f>IFERROR(INDEX([1]物品基础表!$A:$A,MATCH(X654,[1]物品基础表!$B:$B,0)),"")</f>
        <v>龙魂碎片</v>
      </c>
      <c r="Z654" s="1">
        <v>100</v>
      </c>
      <c r="AA654" s="1">
        <v>200906</v>
      </c>
      <c r="AB654" s="1" t="str">
        <f>IFERROR(INDEX([1]物品基础表!$A:$A,MATCH(AA654,[1]物品基础表!$B:$B,0)),"")</f>
        <v>神兵经验丹（1W</v>
      </c>
      <c r="AC654" s="1">
        <v>120</v>
      </c>
      <c r="AE654" s="1" t="str">
        <f>IFERROR(INDEX([1]物品基础表!$A:$A,MATCH(AD654,[1]物品基础表!$B:$B,0)),"")</f>
        <v/>
      </c>
      <c r="AH654" s="1" t="str">
        <f>IFERROR(INDEX([1]物品基础表!$A:$A,MATCH(AG654,[1]物品基础表!$B:$B,0)),"")</f>
        <v/>
      </c>
      <c r="AK654" s="1" t="str">
        <f>IFERROR(INDEX([1]物品基础表!$A:$A,MATCH(AJ654,[1]物品基础表!$B:$B,0)),"")</f>
        <v/>
      </c>
      <c r="AN654" s="1" t="str">
        <f>IFERROR(INDEX([1]物品基础表!$A:$A,MATCH(AM654,[1]物品基础表!$B:$B,0)),"")</f>
        <v/>
      </c>
      <c r="AQ654" s="1" t="str">
        <f>IFERROR(INDEX([1]物品基础表!$A:$A,MATCH(AP654,[1]物品基础表!$B:$B,0)),"")</f>
        <v/>
      </c>
    </row>
    <row r="655" spans="1:43">
      <c r="A655" s="1" t="str">
        <f>INDEX([2]活动总表!$A$8:$A$429,MATCH(B655,[2]活动总表!$B$8:$B$429,0))</f>
        <v>（61+）元宵限购3</v>
      </c>
      <c r="B655" s="1">
        <v>719</v>
      </c>
      <c r="C655" s="1">
        <v>1</v>
      </c>
      <c r="D655" s="1">
        <v>5</v>
      </c>
      <c r="E655" s="1">
        <v>0</v>
      </c>
      <c r="F655" s="1" t="s">
        <v>706</v>
      </c>
      <c r="G655" s="1">
        <v>888</v>
      </c>
      <c r="H655" s="1">
        <v>1500</v>
      </c>
      <c r="I655" s="1">
        <v>1</v>
      </c>
      <c r="O655" s="1">
        <v>59</v>
      </c>
      <c r="X655" s="1">
        <v>200301</v>
      </c>
      <c r="Y655" s="1" t="str">
        <f>IFERROR(INDEX([1]物品基础表!$A:$A,MATCH(X655,[1]物品基础表!$B:$B,0)),"")</f>
        <v>传世宝钻</v>
      </c>
      <c r="Z655" s="1">
        <v>15</v>
      </c>
      <c r="AB655" s="1" t="str">
        <f>IFERROR(INDEX([1]物品基础表!$A:$A,MATCH(AA655,[1]物品基础表!$B:$B,0)),"")</f>
        <v/>
      </c>
      <c r="AE655" s="1" t="str">
        <f>IFERROR(INDEX([1]物品基础表!$A:$A,MATCH(AD655,[1]物品基础表!$B:$B,0)),"")</f>
        <v/>
      </c>
      <c r="AH655" s="1" t="str">
        <f>IFERROR(INDEX([1]物品基础表!$A:$A,MATCH(AG655,[1]物品基础表!$B:$B,0)),"")</f>
        <v/>
      </c>
      <c r="AK655" s="1" t="str">
        <f>IFERROR(INDEX([1]物品基础表!$A:$A,MATCH(AJ655,[1]物品基础表!$B:$B,0)),"")</f>
        <v/>
      </c>
      <c r="AN655" s="1" t="str">
        <f>IFERROR(INDEX([1]物品基础表!$A:$A,MATCH(AM655,[1]物品基础表!$B:$B,0)),"")</f>
        <v/>
      </c>
      <c r="AQ655" s="1" t="str">
        <f>IFERROR(INDEX([1]物品基础表!$A:$A,MATCH(AP655,[1]物品基础表!$B:$B,0)),"")</f>
        <v/>
      </c>
    </row>
    <row r="656" spans="1:43">
      <c r="A656" s="1" t="str">
        <f>INDEX([2]活动总表!$A$8:$A$429,MATCH(B656,[2]活动总表!$B$8:$B$429,0))</f>
        <v>（61+）元宵限购3</v>
      </c>
      <c r="B656" s="1">
        <v>719</v>
      </c>
      <c r="C656" s="1">
        <v>2</v>
      </c>
      <c r="D656" s="1">
        <v>8</v>
      </c>
      <c r="E656" s="1">
        <v>0</v>
      </c>
      <c r="F656" s="1" t="s">
        <v>706</v>
      </c>
      <c r="G656" s="1">
        <v>1588</v>
      </c>
      <c r="H656" s="1">
        <v>5000</v>
      </c>
      <c r="I656" s="1">
        <v>1</v>
      </c>
      <c r="O656" s="1">
        <v>31</v>
      </c>
      <c r="X656" s="1">
        <v>200301</v>
      </c>
      <c r="Y656" s="1" t="str">
        <f>IFERROR(INDEX([1]物品基础表!$A:$A,MATCH(X656,[1]物品基础表!$B:$B,0)),"")</f>
        <v>传世宝钻</v>
      </c>
      <c r="Z656" s="1">
        <v>50</v>
      </c>
      <c r="AB656" s="1" t="str">
        <f>IFERROR(INDEX([1]物品基础表!$A:$A,MATCH(AA656,[1]物品基础表!$B:$B,0)),"")</f>
        <v/>
      </c>
      <c r="AE656" s="1" t="str">
        <f>IFERROR(INDEX([1]物品基础表!$A:$A,MATCH(AD656,[1]物品基础表!$B:$B,0)),"")</f>
        <v/>
      </c>
      <c r="AH656" s="1" t="str">
        <f>IFERROR(INDEX([1]物品基础表!$A:$A,MATCH(AG656,[1]物品基础表!$B:$B,0)),"")</f>
        <v/>
      </c>
      <c r="AK656" s="1" t="str">
        <f>IFERROR(INDEX([1]物品基础表!$A:$A,MATCH(AJ656,[1]物品基础表!$B:$B,0)),"")</f>
        <v/>
      </c>
      <c r="AN656" s="1" t="str">
        <f>IFERROR(INDEX([1]物品基础表!$A:$A,MATCH(AM656,[1]物品基础表!$B:$B,0)),"")</f>
        <v/>
      </c>
      <c r="AQ656" s="1" t="str">
        <f>IFERROR(INDEX([1]物品基础表!$A:$A,MATCH(AP656,[1]物品基础表!$B:$B,0)),"")</f>
        <v/>
      </c>
    </row>
    <row r="657" spans="1:44">
      <c r="A657" s="1" t="str">
        <f>INDEX([2]活动总表!$A$8:$A$429,MATCH(B657,[2]活动总表!$B$8:$B$429,0))</f>
        <v>（61+）元宵限购3</v>
      </c>
      <c r="B657" s="1">
        <v>719</v>
      </c>
      <c r="C657" s="1">
        <v>3</v>
      </c>
      <c r="D657" s="1">
        <v>8</v>
      </c>
      <c r="E657" s="1">
        <v>0</v>
      </c>
      <c r="F657" s="1" t="s">
        <v>706</v>
      </c>
      <c r="G657" s="1">
        <v>2888</v>
      </c>
      <c r="H657" s="1">
        <v>9000</v>
      </c>
      <c r="I657" s="1">
        <v>1</v>
      </c>
      <c r="O657" s="1">
        <v>32</v>
      </c>
      <c r="X657" s="1">
        <v>200301</v>
      </c>
      <c r="Y657" s="1" t="str">
        <f>IFERROR(INDEX([1]物品基础表!$A:$A,MATCH(X657,[1]物品基础表!$B:$B,0)),"")</f>
        <v>传世宝钻</v>
      </c>
      <c r="Z657" s="1">
        <v>90</v>
      </c>
      <c r="AB657" s="1" t="str">
        <f>IFERROR(INDEX([1]物品基础表!$A:$A,MATCH(AA657,[1]物品基础表!$B:$B,0)),"")</f>
        <v/>
      </c>
      <c r="AE657" s="1" t="str">
        <f>IFERROR(INDEX([1]物品基础表!$A:$A,MATCH(AD657,[1]物品基础表!$B:$B,0)),"")</f>
        <v/>
      </c>
      <c r="AH657" s="1" t="str">
        <f>IFERROR(INDEX([1]物品基础表!$A:$A,MATCH(AG657,[1]物品基础表!$B:$B,0)),"")</f>
        <v/>
      </c>
      <c r="AK657" s="1" t="str">
        <f>IFERROR(INDEX([1]物品基础表!$A:$A,MATCH(AJ657,[1]物品基础表!$B:$B,0)),"")</f>
        <v/>
      </c>
      <c r="AN657" s="1" t="str">
        <f>IFERROR(INDEX([1]物品基础表!$A:$A,MATCH(AM657,[1]物品基础表!$B:$B,0)),"")</f>
        <v/>
      </c>
      <c r="AQ657" s="1" t="str">
        <f>IFERROR(INDEX([1]物品基础表!$A:$A,MATCH(AP657,[1]物品基础表!$B:$B,0)),"")</f>
        <v/>
      </c>
    </row>
    <row r="658" spans="1:44">
      <c r="A658" s="1" t="str">
        <f>INDEX([2]活动总表!$A$8:$A$429,MATCH(B658,[2]活动总表!$B$8:$B$429,0))</f>
        <v>（61+）元宵限购3</v>
      </c>
      <c r="B658" s="1">
        <v>719</v>
      </c>
      <c r="C658" s="1">
        <v>4</v>
      </c>
      <c r="D658" s="1">
        <v>8</v>
      </c>
      <c r="E658" s="1">
        <v>0</v>
      </c>
      <c r="F658" s="1" t="s">
        <v>706</v>
      </c>
      <c r="G658" s="1">
        <v>6888</v>
      </c>
      <c r="H658" s="1">
        <v>20000</v>
      </c>
      <c r="I658" s="1">
        <v>1</v>
      </c>
      <c r="O658" s="1">
        <v>34</v>
      </c>
      <c r="X658" s="1">
        <v>200301</v>
      </c>
      <c r="Y658" s="1" t="str">
        <f>IFERROR(INDEX([1]物品基础表!$A:$A,MATCH(X658,[1]物品基础表!$B:$B,0)),"")</f>
        <v>传世宝钻</v>
      </c>
      <c r="Z658" s="1">
        <v>200</v>
      </c>
      <c r="AB658" s="1" t="str">
        <f>IFERROR(INDEX([1]物品基础表!$A:$A,MATCH(AA658,[1]物品基础表!$B:$B,0)),"")</f>
        <v/>
      </c>
      <c r="AE658" s="1" t="str">
        <f>IFERROR(INDEX([1]物品基础表!$A:$A,MATCH(AD658,[1]物品基础表!$B:$B,0)),"")</f>
        <v/>
      </c>
      <c r="AH658" s="1" t="str">
        <f>IFERROR(INDEX([1]物品基础表!$A:$A,MATCH(AG658,[1]物品基础表!$B:$B,0)),"")</f>
        <v/>
      </c>
      <c r="AK658" s="1" t="str">
        <f>IFERROR(INDEX([1]物品基础表!$A:$A,MATCH(AJ658,[1]物品基础表!$B:$B,0)),"")</f>
        <v/>
      </c>
      <c r="AN658" s="1" t="str">
        <f>IFERROR(INDEX([1]物品基础表!$A:$A,MATCH(AM658,[1]物品基础表!$B:$B,0)),"")</f>
        <v/>
      </c>
      <c r="AQ658" s="1" t="str">
        <f>IFERROR(INDEX([1]物品基础表!$A:$A,MATCH(AP658,[1]物品基础表!$B:$B,0)),"")</f>
        <v/>
      </c>
    </row>
    <row r="659" spans="1:44">
      <c r="A659" s="1" t="str">
        <f>INDEX([2]活动总表!$A$8:$A$429,MATCH(B659,[2]活动总表!$B$8:$B$429,0))</f>
        <v>（61+）元宵限购3</v>
      </c>
      <c r="B659" s="1">
        <v>719</v>
      </c>
      <c r="C659" s="1">
        <v>5</v>
      </c>
      <c r="D659" s="1">
        <v>5</v>
      </c>
      <c r="E659" s="1">
        <v>0</v>
      </c>
      <c r="F659" s="1" t="s">
        <v>706</v>
      </c>
      <c r="G659" s="1">
        <v>8888</v>
      </c>
      <c r="H659" s="1">
        <v>15000</v>
      </c>
      <c r="I659" s="1">
        <v>3</v>
      </c>
      <c r="O659" s="1">
        <v>59</v>
      </c>
      <c r="X659" s="1">
        <v>200301</v>
      </c>
      <c r="Y659" s="1" t="str">
        <f>IFERROR(INDEX([1]物品基础表!$A:$A,MATCH(X659,[1]物品基础表!$B:$B,0)),"")</f>
        <v>传世宝钻</v>
      </c>
      <c r="Z659" s="1">
        <v>150</v>
      </c>
      <c r="AB659" s="1" t="str">
        <f>IFERROR(INDEX([1]物品基础表!$A:$A,MATCH(AA659,[1]物品基础表!$B:$B,0)),"")</f>
        <v/>
      </c>
      <c r="AE659" s="1" t="str">
        <f>IFERROR(INDEX([1]物品基础表!$A:$A,MATCH(AD659,[1]物品基础表!$B:$B,0)),"")</f>
        <v/>
      </c>
      <c r="AH659" s="1" t="str">
        <f>IFERROR(INDEX([1]物品基础表!$A:$A,MATCH(AG659,[1]物品基础表!$B:$B,0)),"")</f>
        <v/>
      </c>
      <c r="AK659" s="1" t="str">
        <f>IFERROR(INDEX([1]物品基础表!$A:$A,MATCH(AJ659,[1]物品基础表!$B:$B,0)),"")</f>
        <v/>
      </c>
      <c r="AN659" s="1" t="str">
        <f>IFERROR(INDEX([1]物品基础表!$A:$A,MATCH(AM659,[1]物品基础表!$B:$B,0)),"")</f>
        <v/>
      </c>
      <c r="AQ659" s="1" t="str">
        <f>IFERROR(INDEX([1]物品基础表!$A:$A,MATCH(AP659,[1]物品基础表!$B:$B,0)),"")</f>
        <v/>
      </c>
    </row>
    <row r="660" spans="1:44">
      <c r="A660" s="1" t="str">
        <f>INDEX([2]活动总表!$A$8:$A$429,MATCH(B660,[2]活动总表!$B$8:$B$429,0))</f>
        <v>妇女节特惠</v>
      </c>
      <c r="B660" s="1">
        <v>751</v>
      </c>
      <c r="C660" s="1">
        <v>1</v>
      </c>
      <c r="D660" s="1">
        <v>5</v>
      </c>
      <c r="E660" s="1">
        <v>0</v>
      </c>
      <c r="F660" s="1" t="s">
        <v>706</v>
      </c>
      <c r="G660" s="1">
        <v>4888</v>
      </c>
      <c r="I660" s="1">
        <v>1</v>
      </c>
      <c r="X660" s="1">
        <v>13</v>
      </c>
      <c r="Y660" s="1" t="s">
        <v>694</v>
      </c>
      <c r="Z660" s="1">
        <v>3000000</v>
      </c>
      <c r="AA660" s="1">
        <v>200015</v>
      </c>
      <c r="AB660" s="1" t="str">
        <f>IFERROR(INDEX([1]物品基础表!$A:$A,MATCH(AA660,[1]物品基础表!$B:$B,0)),"")</f>
        <v>特戒碎片</v>
      </c>
      <c r="AC660" s="1">
        <v>700</v>
      </c>
      <c r="AD660" s="1">
        <v>200005</v>
      </c>
      <c r="AE660" s="1" t="str">
        <f>IFERROR(INDEX([1]物品基础表!$A:$A,MATCH(AD660,[1]物品基础表!$B:$B,0)),"")</f>
        <v>龙魂碎片</v>
      </c>
      <c r="AF660" s="1">
        <v>50</v>
      </c>
      <c r="AG660" s="1">
        <v>201016</v>
      </c>
      <c r="AH660" s="1" t="str">
        <f>IFERROR(INDEX([1]物品基础表!$A:$A,MATCH(AG660,[1]物品基础表!$B:$B,0)),"")</f>
        <v>紫色图鉴包·传奇之路</v>
      </c>
      <c r="AI660" s="1">
        <v>1</v>
      </c>
      <c r="AJ660" s="1">
        <v>500006</v>
      </c>
      <c r="AK660" s="1" t="str">
        <f>IFERROR(INDEX([1]物品基础表!$A:$A,MATCH(AJ660,[1]物品基础表!$B:$B,0)),"")</f>
        <v>战纹精华-金</v>
      </c>
      <c r="AL660" s="1">
        <v>1</v>
      </c>
      <c r="AM660" s="1">
        <v>200156</v>
      </c>
      <c r="AN660" s="1" t="str">
        <f>IFERROR(INDEX([1]物品基础表!$A:$A,MATCH(AM660,[1]物品基础表!$B:$B,0)),"")</f>
        <v>野外BOSS次数卷轴</v>
      </c>
      <c r="AO660" s="1">
        <v>2</v>
      </c>
      <c r="AP660" s="1">
        <v>201002</v>
      </c>
      <c r="AQ660" s="1" t="str">
        <f>IFERROR(INDEX([1]物品基础表!$A:$A,MATCH(AP660,[1]物品基础表!$B:$B,0)),"")</f>
        <v>神秘钥匙</v>
      </c>
      <c r="AR660" s="1">
        <v>1</v>
      </c>
    </row>
    <row r="661" spans="1:44">
      <c r="A661" s="1" t="str">
        <f>INDEX([2]活动总表!$A$8:$A$429,MATCH(B661,[2]活动总表!$B$8:$B$429,0))</f>
        <v>妇女节特惠</v>
      </c>
      <c r="B661" s="1">
        <v>751</v>
      </c>
      <c r="C661" s="1">
        <v>2</v>
      </c>
      <c r="D661" s="1">
        <v>5</v>
      </c>
      <c r="E661" s="1">
        <v>0</v>
      </c>
      <c r="F661" s="1" t="s">
        <v>706</v>
      </c>
      <c r="G661" s="1">
        <v>16888</v>
      </c>
      <c r="I661" s="1">
        <v>1</v>
      </c>
      <c r="X661" s="1">
        <v>204165</v>
      </c>
      <c r="Y661" s="1" t="str">
        <f>IFERROR(INDEX([1]物品基础表!$A:$A,MATCH(X661,[1]物品基础表!$B:$B,0)),"")</f>
        <v>玫瑰恋人</v>
      </c>
      <c r="Z661" s="1">
        <v>1</v>
      </c>
      <c r="AA661" s="1">
        <v>200015</v>
      </c>
      <c r="AB661" s="1" t="str">
        <f>IFERROR(INDEX([1]物品基础表!$A:$A,MATCH(AA661,[1]物品基础表!$B:$B,0)),"")</f>
        <v>特戒碎片</v>
      </c>
      <c r="AC661" s="1">
        <v>700</v>
      </c>
      <c r="AD661" s="1">
        <v>200208</v>
      </c>
      <c r="AE661" s="1" t="str">
        <f>IFERROR(INDEX([1]物品基础表!$A:$A,MATCH(AD661,[1]物品基础表!$B:$B,0)),"")</f>
        <v>烈焰印记低级升级材料</v>
      </c>
      <c r="AF661" s="1">
        <v>500</v>
      </c>
      <c r="AG661" s="1">
        <v>201016</v>
      </c>
      <c r="AH661" s="1" t="str">
        <f>IFERROR(INDEX([1]物品基础表!$A:$A,MATCH(AG661,[1]物品基础表!$B:$B,0)),"")</f>
        <v>紫色图鉴包·传奇之路</v>
      </c>
      <c r="AI661" s="1">
        <v>1</v>
      </c>
      <c r="AJ661" s="1">
        <v>500006</v>
      </c>
      <c r="AK661" s="1" t="str">
        <f>IFERROR(INDEX([1]物品基础表!$A:$A,MATCH(AJ661,[1]物品基础表!$B:$B,0)),"")</f>
        <v>战纹精华-金</v>
      </c>
      <c r="AL661" s="1">
        <v>2</v>
      </c>
      <c r="AM661" s="1">
        <v>200157</v>
      </c>
      <c r="AN661" s="1" t="str">
        <f>IFERROR(INDEX([1]物品基础表!$A:$A,MATCH(AM661,[1]物品基础表!$B:$B,0)),"")</f>
        <v>秘境BOSS次数卷轴</v>
      </c>
      <c r="AO661" s="1">
        <v>1</v>
      </c>
      <c r="AP661" s="1">
        <v>201002</v>
      </c>
      <c r="AQ661" s="1" t="str">
        <f>IFERROR(INDEX([1]物品基础表!$A:$A,MATCH(AP661,[1]物品基础表!$B:$B,0)),"")</f>
        <v>神秘钥匙</v>
      </c>
      <c r="AR661" s="1">
        <v>1</v>
      </c>
    </row>
    <row r="662" spans="1:44">
      <c r="A662" s="1" t="str">
        <f>INDEX([2]活动总表!$A$8:$A$429,MATCH(B662,[2]活动总表!$B$8:$B$429,0))</f>
        <v>妇女节特惠</v>
      </c>
      <c r="B662" s="1">
        <v>751</v>
      </c>
      <c r="C662" s="1">
        <v>3</v>
      </c>
      <c r="D662" s="1">
        <v>5</v>
      </c>
      <c r="E662" s="1">
        <v>0</v>
      </c>
      <c r="F662" s="1" t="s">
        <v>706</v>
      </c>
      <c r="G662" s="1">
        <v>58888</v>
      </c>
      <c r="I662" s="1">
        <v>1</v>
      </c>
      <c r="X662" s="1">
        <v>200976</v>
      </c>
      <c r="Y662" s="1" t="str">
        <f>IFERROR(INDEX([1]物品基础表!$A:$A,MATCH(X662,[1]物品基础表!$B:$B,0)),"")</f>
        <v>极品红色兽神装备任选宝箱</v>
      </c>
      <c r="Z662" s="1">
        <v>1</v>
      </c>
      <c r="AA662" s="1">
        <v>200301</v>
      </c>
      <c r="AB662" s="1" t="str">
        <f>IFERROR(INDEX([1]物品基础表!$A:$A,MATCH(AA662,[1]物品基础表!$B:$B,0)),"")</f>
        <v>传世宝钻</v>
      </c>
      <c r="AC662" s="1">
        <v>100</v>
      </c>
      <c r="AD662" s="1">
        <v>200015</v>
      </c>
      <c r="AE662" s="1" t="str">
        <f>IFERROR(INDEX([1]物品基础表!$A:$A,MATCH(AD662,[1]物品基础表!$B:$B,0)),"")</f>
        <v>特戒碎片</v>
      </c>
      <c r="AF662" s="1">
        <v>1200</v>
      </c>
      <c r="AG662" s="1">
        <v>201017</v>
      </c>
      <c r="AH662" s="1" t="str">
        <f>IFERROR(INDEX([1]物品基础表!$A:$A,MATCH(AG662,[1]物品基础表!$B:$B,0)),"")</f>
        <v>橙色图鉴包·传奇之路</v>
      </c>
      <c r="AI662" s="1">
        <v>1</v>
      </c>
      <c r="AJ662" s="1">
        <v>500006</v>
      </c>
      <c r="AK662" s="1" t="str">
        <f>IFERROR(INDEX([1]物品基础表!$A:$A,MATCH(AJ662,[1]物品基础表!$B:$B,0)),"")</f>
        <v>战纹精华-金</v>
      </c>
      <c r="AL662" s="1">
        <v>5</v>
      </c>
      <c r="AM662" s="1">
        <v>200157</v>
      </c>
      <c r="AN662" s="1" t="str">
        <f>IFERROR(INDEX([1]物品基础表!$A:$A,MATCH(AM662,[1]物品基础表!$B:$B,0)),"")</f>
        <v>秘境BOSS次数卷轴</v>
      </c>
      <c r="AO662" s="1">
        <v>1</v>
      </c>
      <c r="AP662" s="1">
        <v>201002</v>
      </c>
      <c r="AQ662" s="1" t="str">
        <f>IFERROR(INDEX([1]物品基础表!$A:$A,MATCH(AP662,[1]物品基础表!$B:$B,0)),"")</f>
        <v>神秘钥匙</v>
      </c>
      <c r="AR662" s="1">
        <v>1</v>
      </c>
    </row>
    <row r="663" spans="1:44">
      <c r="A663" s="1" t="str">
        <f>INDEX([2]活动总表!$A$8:$A$429,MATCH(B663,[2]活动总表!$B$8:$B$429,0))</f>
        <v>妇女节特惠</v>
      </c>
      <c r="B663" s="1">
        <v>751</v>
      </c>
      <c r="C663" s="1">
        <v>4</v>
      </c>
      <c r="D663" s="1">
        <v>5</v>
      </c>
      <c r="E663" s="1">
        <v>0</v>
      </c>
      <c r="F663" s="1" t="s">
        <v>706</v>
      </c>
      <c r="G663" s="1">
        <v>128888</v>
      </c>
      <c r="I663" s="1">
        <v>1</v>
      </c>
      <c r="X663" s="1">
        <v>121501</v>
      </c>
      <c r="Y663" s="1" t="str">
        <f>IFERROR(INDEX([1]物品基础表!$A:$A,MATCH(X663,[1]物品基础表!$B:$B,0)),"")</f>
        <v>传奇衣服1</v>
      </c>
      <c r="Z663" s="1">
        <v>1</v>
      </c>
      <c r="AA663" s="1">
        <v>500011</v>
      </c>
      <c r="AB663" s="1" t="str">
        <f>IFERROR(INDEX([1]物品基础表!$A:$A,MATCH(AA663,[1]物品基础表!$B:$B,0)),"")</f>
        <v>战纹碎片（小）</v>
      </c>
      <c r="AC663" s="1">
        <v>1000</v>
      </c>
      <c r="AD663" s="1">
        <v>205000</v>
      </c>
      <c r="AE663" s="1" t="str">
        <f>IFERROR(INDEX([1]物品基础表!$A:$A,MATCH(AD663,[1]物品基础表!$B:$B,0)),"")</f>
        <v>战灵进阶丹</v>
      </c>
      <c r="AF663" s="1">
        <v>100</v>
      </c>
      <c r="AG663" s="1">
        <v>200005</v>
      </c>
      <c r="AH663" s="1" t="str">
        <f>IFERROR(INDEX([1]物品基础表!$A:$A,MATCH(AG663,[1]物品基础表!$B:$B,0)),"")</f>
        <v>龙魂碎片</v>
      </c>
      <c r="AI663" s="1">
        <v>100</v>
      </c>
      <c r="AJ663" s="1">
        <v>500006</v>
      </c>
      <c r="AK663" s="1" t="str">
        <f>IFERROR(INDEX([1]物品基础表!$A:$A,MATCH(AJ663,[1]物品基础表!$B:$B,0)),"")</f>
        <v>战纹精华-金</v>
      </c>
      <c r="AL663" s="1">
        <v>10</v>
      </c>
      <c r="AM663" s="1">
        <v>200157</v>
      </c>
      <c r="AN663" s="1" t="str">
        <f>IFERROR(INDEX([1]物品基础表!$A:$A,MATCH(AM663,[1]物品基础表!$B:$B,0)),"")</f>
        <v>秘境BOSS次数卷轴</v>
      </c>
      <c r="AO663" s="1">
        <v>1</v>
      </c>
      <c r="AP663" s="1">
        <v>201002</v>
      </c>
      <c r="AQ663" s="1" t="str">
        <f>IFERROR(INDEX([1]物品基础表!$A:$A,MATCH(AP663,[1]物品基础表!$B:$B,0)),"")</f>
        <v>神秘钥匙</v>
      </c>
      <c r="AR663" s="1">
        <v>2</v>
      </c>
    </row>
    <row r="664" spans="1:44">
      <c r="A664" s="1" t="str">
        <f>INDEX([2]活动总表!$A$8:$A$429,MATCH(B664,[2]活动总表!$B$8:$B$429,0))</f>
        <v>妇女节特惠(15-30天)</v>
      </c>
      <c r="B664" s="1">
        <v>753</v>
      </c>
      <c r="C664" s="1">
        <v>1</v>
      </c>
      <c r="D664" s="1">
        <v>5</v>
      </c>
      <c r="E664" s="1">
        <v>0</v>
      </c>
      <c r="F664" s="1" t="s">
        <v>706</v>
      </c>
      <c r="G664" s="1">
        <v>4888</v>
      </c>
      <c r="I664" s="1">
        <v>1</v>
      </c>
      <c r="X664" s="1">
        <v>13</v>
      </c>
      <c r="Y664" s="1" t="s">
        <v>694</v>
      </c>
      <c r="Z664" s="1">
        <v>2000000</v>
      </c>
      <c r="AA664" s="1">
        <v>200015</v>
      </c>
      <c r="AB664" s="1" t="str">
        <f>IFERROR(INDEX([1]物品基础表!$A:$A,MATCH(AA664,[1]物品基础表!$B:$B,0)),"")</f>
        <v>特戒碎片</v>
      </c>
      <c r="AC664" s="1">
        <v>500</v>
      </c>
      <c r="AD664" s="1">
        <v>200005</v>
      </c>
      <c r="AE664" s="1" t="str">
        <f>IFERROR(INDEX([1]物品基础表!$A:$A,MATCH(AD664,[1]物品基础表!$B:$B,0)),"")</f>
        <v>龙魂碎片</v>
      </c>
      <c r="AF664" s="1">
        <v>30</v>
      </c>
      <c r="AG664" s="1">
        <v>201016</v>
      </c>
      <c r="AH664" s="1" t="str">
        <f>IFERROR(INDEX([1]物品基础表!$A:$A,MATCH(AG664,[1]物品基础表!$B:$B,0)),"")</f>
        <v>紫色图鉴包·传奇之路</v>
      </c>
      <c r="AI664" s="1">
        <v>1</v>
      </c>
      <c r="AJ664" s="1">
        <v>500006</v>
      </c>
      <c r="AK664" s="1" t="str">
        <f>IFERROR(INDEX([1]物品基础表!$A:$A,MATCH(AJ664,[1]物品基础表!$B:$B,0)),"")</f>
        <v>战纹精华-金</v>
      </c>
      <c r="AL664" s="1">
        <v>1</v>
      </c>
      <c r="AM664" s="1">
        <v>200156</v>
      </c>
      <c r="AN664" s="1" t="str">
        <f>IFERROR(INDEX([1]物品基础表!$A:$A,MATCH(AM664,[1]物品基础表!$B:$B,0)),"")</f>
        <v>野外BOSS次数卷轴</v>
      </c>
      <c r="AO664" s="1">
        <v>2</v>
      </c>
      <c r="AP664" s="1">
        <v>201002</v>
      </c>
      <c r="AQ664" s="1" t="str">
        <f>IFERROR(INDEX([1]物品基础表!$A:$A,MATCH(AP664,[1]物品基础表!$B:$B,0)),"")</f>
        <v>神秘钥匙</v>
      </c>
      <c r="AR664" s="1">
        <v>1</v>
      </c>
    </row>
    <row r="665" spans="1:44">
      <c r="A665" s="1" t="str">
        <f>INDEX([2]活动总表!$A$8:$A$429,MATCH(B665,[2]活动总表!$B$8:$B$429,0))</f>
        <v>妇女节特惠(15-30天)</v>
      </c>
      <c r="B665" s="1">
        <v>753</v>
      </c>
      <c r="C665" s="1">
        <v>2</v>
      </c>
      <c r="D665" s="1">
        <v>5</v>
      </c>
      <c r="E665" s="1">
        <v>0</v>
      </c>
      <c r="F665" s="1" t="s">
        <v>706</v>
      </c>
      <c r="G665" s="1">
        <v>16888</v>
      </c>
      <c r="I665" s="1">
        <v>1</v>
      </c>
      <c r="X665" s="1">
        <v>204165</v>
      </c>
      <c r="Y665" s="1" t="str">
        <f>IFERROR(INDEX([1]物品基础表!$A:$A,MATCH(X665,[1]物品基础表!$B:$B,0)),"")</f>
        <v>玫瑰恋人</v>
      </c>
      <c r="Z665" s="1">
        <v>1</v>
      </c>
      <c r="AA665" s="1">
        <v>200015</v>
      </c>
      <c r="AB665" s="1" t="str">
        <f>IFERROR(INDEX([1]物品基础表!$A:$A,MATCH(AA665,[1]物品基础表!$B:$B,0)),"")</f>
        <v>特戒碎片</v>
      </c>
      <c r="AC665" s="1">
        <v>500</v>
      </c>
      <c r="AD665" s="1">
        <v>200208</v>
      </c>
      <c r="AE665" s="1" t="str">
        <f>IFERROR(INDEX([1]物品基础表!$A:$A,MATCH(AD665,[1]物品基础表!$B:$B,0)),"")</f>
        <v>烈焰印记低级升级材料</v>
      </c>
      <c r="AF665" s="1">
        <v>500</v>
      </c>
      <c r="AG665" s="1">
        <v>201016</v>
      </c>
      <c r="AH665" s="1" t="str">
        <f>IFERROR(INDEX([1]物品基础表!$A:$A,MATCH(AG665,[1]物品基础表!$B:$B,0)),"")</f>
        <v>紫色图鉴包·传奇之路</v>
      </c>
      <c r="AI665" s="1">
        <v>1</v>
      </c>
      <c r="AJ665" s="1">
        <v>500006</v>
      </c>
      <c r="AK665" s="1" t="str">
        <f>IFERROR(INDEX([1]物品基础表!$A:$A,MATCH(AJ665,[1]物品基础表!$B:$B,0)),"")</f>
        <v>战纹精华-金</v>
      </c>
      <c r="AL665" s="1">
        <v>2</v>
      </c>
      <c r="AM665" s="1">
        <v>200157</v>
      </c>
      <c r="AN665" s="1" t="str">
        <f>IFERROR(INDEX([1]物品基础表!$A:$A,MATCH(AM665,[1]物品基础表!$B:$B,0)),"")</f>
        <v>秘境BOSS次数卷轴</v>
      </c>
      <c r="AO665" s="1">
        <v>1</v>
      </c>
      <c r="AP665" s="1">
        <v>201002</v>
      </c>
      <c r="AQ665" s="1" t="str">
        <f>IFERROR(INDEX([1]物品基础表!$A:$A,MATCH(AP665,[1]物品基础表!$B:$B,0)),"")</f>
        <v>神秘钥匙</v>
      </c>
      <c r="AR665" s="1">
        <v>1</v>
      </c>
    </row>
    <row r="666" spans="1:44">
      <c r="A666" s="1" t="str">
        <f>INDEX([2]活动总表!$A$8:$A$429,MATCH(B666,[2]活动总表!$B$8:$B$429,0))</f>
        <v>妇女节特惠(15-30天)</v>
      </c>
      <c r="B666" s="1">
        <v>753</v>
      </c>
      <c r="C666" s="1">
        <v>3</v>
      </c>
      <c r="D666" s="1">
        <v>5</v>
      </c>
      <c r="E666" s="1">
        <v>0</v>
      </c>
      <c r="F666" s="1" t="s">
        <v>706</v>
      </c>
      <c r="G666" s="1">
        <v>58888</v>
      </c>
      <c r="I666" s="1">
        <v>1</v>
      </c>
      <c r="X666" s="1">
        <v>200312</v>
      </c>
      <c r="Y666" s="1" t="str">
        <f>IFERROR(INDEX([1]物品基础表!$A:$A,MATCH(X666,[1]物品基础表!$B:$B,0)),"")</f>
        <v>缤纷兵魂任选礼包</v>
      </c>
      <c r="Z666" s="1">
        <v>8</v>
      </c>
      <c r="AA666" s="1">
        <v>200326</v>
      </c>
      <c r="AB666" s="1" t="str">
        <f>IFERROR(INDEX([1]物品基础表!$A:$A,MATCH(AA666,[1]物品基础表!$B:$B,0)),"")</f>
        <v>兵魂之灵</v>
      </c>
      <c r="AC666" s="1">
        <v>1</v>
      </c>
      <c r="AD666" s="1">
        <v>200015</v>
      </c>
      <c r="AE666" s="1" t="str">
        <f>IFERROR(INDEX([1]物品基础表!$A:$A,MATCH(AD666,[1]物品基础表!$B:$B,0)),"")</f>
        <v>特戒碎片</v>
      </c>
      <c r="AF666" s="1">
        <v>800</v>
      </c>
      <c r="AG666" s="1">
        <v>201017</v>
      </c>
      <c r="AH666" s="1" t="str">
        <f>IFERROR(INDEX([1]物品基础表!$A:$A,MATCH(AG666,[1]物品基础表!$B:$B,0)),"")</f>
        <v>橙色图鉴包·传奇之路</v>
      </c>
      <c r="AI666" s="1">
        <v>1</v>
      </c>
      <c r="AJ666" s="1">
        <v>500006</v>
      </c>
      <c r="AK666" s="1" t="str">
        <f>IFERROR(INDEX([1]物品基础表!$A:$A,MATCH(AJ666,[1]物品基础表!$B:$B,0)),"")</f>
        <v>战纹精华-金</v>
      </c>
      <c r="AL666" s="1">
        <v>5</v>
      </c>
      <c r="AM666" s="1">
        <v>200157</v>
      </c>
      <c r="AN666" s="1" t="str">
        <f>IFERROR(INDEX([1]物品基础表!$A:$A,MATCH(AM666,[1]物品基础表!$B:$B,0)),"")</f>
        <v>秘境BOSS次数卷轴</v>
      </c>
      <c r="AO666" s="1">
        <v>1</v>
      </c>
      <c r="AP666" s="1">
        <v>201002</v>
      </c>
      <c r="AQ666" s="1" t="str">
        <f>IFERROR(INDEX([1]物品基础表!$A:$A,MATCH(AP666,[1]物品基础表!$B:$B,0)),"")</f>
        <v>神秘钥匙</v>
      </c>
      <c r="AR666" s="1">
        <v>1</v>
      </c>
    </row>
    <row r="667" spans="1:44">
      <c r="A667" s="1" t="str">
        <f>INDEX([2]活动总表!$A$8:$A$429,MATCH(B667,[2]活动总表!$B$8:$B$429,0))</f>
        <v>妇女节特惠(15-30天)</v>
      </c>
      <c r="B667" s="1">
        <v>753</v>
      </c>
      <c r="C667" s="1">
        <v>4</v>
      </c>
      <c r="D667" s="1">
        <v>5</v>
      </c>
      <c r="E667" s="1">
        <v>0</v>
      </c>
      <c r="F667" s="1" t="s">
        <v>706</v>
      </c>
      <c r="G667" s="1">
        <v>128888</v>
      </c>
      <c r="I667" s="1">
        <v>1</v>
      </c>
      <c r="X667" s="1">
        <v>121501</v>
      </c>
      <c r="Y667" s="1" t="str">
        <f>IFERROR(INDEX([1]物品基础表!$A:$A,MATCH(X667,[1]物品基础表!$B:$B,0)),"")</f>
        <v>传奇衣服1</v>
      </c>
      <c r="Z667" s="1">
        <v>1</v>
      </c>
      <c r="AA667" s="1">
        <v>500011</v>
      </c>
      <c r="AB667" s="1" t="str">
        <f>IFERROR(INDEX([1]物品基础表!$A:$A,MATCH(AA667,[1]物品基础表!$B:$B,0)),"")</f>
        <v>战纹碎片（小）</v>
      </c>
      <c r="AC667" s="1">
        <v>1000</v>
      </c>
      <c r="AD667" s="1">
        <v>205000</v>
      </c>
      <c r="AE667" s="1" t="str">
        <f>IFERROR(INDEX([1]物品基础表!$A:$A,MATCH(AD667,[1]物品基础表!$B:$B,0)),"")</f>
        <v>战灵进阶丹</v>
      </c>
      <c r="AF667" s="1">
        <v>100</v>
      </c>
      <c r="AG667" s="1">
        <v>200005</v>
      </c>
      <c r="AH667" s="1" t="str">
        <f>IFERROR(INDEX([1]物品基础表!$A:$A,MATCH(AG667,[1]物品基础表!$B:$B,0)),"")</f>
        <v>龙魂碎片</v>
      </c>
      <c r="AI667" s="1">
        <v>100</v>
      </c>
      <c r="AJ667" s="1">
        <v>500006</v>
      </c>
      <c r="AK667" s="1" t="str">
        <f>IFERROR(INDEX([1]物品基础表!$A:$A,MATCH(AJ667,[1]物品基础表!$B:$B,0)),"")</f>
        <v>战纹精华-金</v>
      </c>
      <c r="AL667" s="1">
        <v>10</v>
      </c>
      <c r="AM667" s="1">
        <v>200157</v>
      </c>
      <c r="AN667" s="1" t="str">
        <f>IFERROR(INDEX([1]物品基础表!$A:$A,MATCH(AM667,[1]物品基础表!$B:$B,0)),"")</f>
        <v>秘境BOSS次数卷轴</v>
      </c>
      <c r="AO667" s="1">
        <v>1</v>
      </c>
      <c r="AP667" s="1">
        <v>201002</v>
      </c>
      <c r="AQ667" s="1" t="str">
        <f>IFERROR(INDEX([1]物品基础表!$A:$A,MATCH(AP667,[1]物品基础表!$B:$B,0)),"")</f>
        <v>神秘钥匙</v>
      </c>
      <c r="AR667" s="1">
        <v>2</v>
      </c>
    </row>
    <row r="668" spans="1:44">
      <c r="A668" s="1" t="str">
        <f>INDEX([2]活动总表!$A$8:$A$429,MATCH(B668,[2]活动总表!$B$8:$B$429,0))</f>
        <v>妇女节特惠(30-60天)</v>
      </c>
      <c r="B668" s="1">
        <v>755</v>
      </c>
      <c r="C668" s="1">
        <v>1</v>
      </c>
      <c r="D668" s="1">
        <v>5</v>
      </c>
      <c r="E668" s="1">
        <v>0</v>
      </c>
      <c r="F668" s="1" t="s">
        <v>706</v>
      </c>
      <c r="G668" s="1">
        <v>4888</v>
      </c>
      <c r="I668" s="1">
        <v>1</v>
      </c>
      <c r="X668" s="1">
        <v>13</v>
      </c>
      <c r="Y668" s="1" t="s">
        <v>694</v>
      </c>
      <c r="Z668" s="1">
        <v>2500000</v>
      </c>
      <c r="AA668" s="1">
        <v>200015</v>
      </c>
      <c r="AB668" s="1" t="str">
        <f>IFERROR(INDEX([1]物品基础表!$A:$A,MATCH(AA668,[1]物品基础表!$B:$B,0)),"")</f>
        <v>特戒碎片</v>
      </c>
      <c r="AC668" s="1">
        <v>600</v>
      </c>
      <c r="AD668" s="1">
        <v>200005</v>
      </c>
      <c r="AE668" s="1" t="str">
        <f>IFERROR(INDEX([1]物品基础表!$A:$A,MATCH(AD668,[1]物品基础表!$B:$B,0)),"")</f>
        <v>龙魂碎片</v>
      </c>
      <c r="AF668" s="1">
        <v>40</v>
      </c>
      <c r="AG668" s="1">
        <v>201016</v>
      </c>
      <c r="AH668" s="1" t="str">
        <f>IFERROR(INDEX([1]物品基础表!$A:$A,MATCH(AG668,[1]物品基础表!$B:$B,0)),"")</f>
        <v>紫色图鉴包·传奇之路</v>
      </c>
      <c r="AI668" s="1">
        <v>1</v>
      </c>
      <c r="AJ668" s="1">
        <v>500006</v>
      </c>
      <c r="AK668" s="1" t="str">
        <f>IFERROR(INDEX([1]物品基础表!$A:$A,MATCH(AJ668,[1]物品基础表!$B:$B,0)),"")</f>
        <v>战纹精华-金</v>
      </c>
      <c r="AL668" s="1">
        <v>1</v>
      </c>
      <c r="AM668" s="1">
        <v>200156</v>
      </c>
      <c r="AN668" s="1" t="str">
        <f>IFERROR(INDEX([1]物品基础表!$A:$A,MATCH(AM668,[1]物品基础表!$B:$B,0)),"")</f>
        <v>野外BOSS次数卷轴</v>
      </c>
      <c r="AO668" s="1">
        <v>2</v>
      </c>
      <c r="AP668" s="1">
        <v>201002</v>
      </c>
      <c r="AQ668" s="1" t="str">
        <f>IFERROR(INDEX([1]物品基础表!$A:$A,MATCH(AP668,[1]物品基础表!$B:$B,0)),"")</f>
        <v>神秘钥匙</v>
      </c>
      <c r="AR668" s="1">
        <v>1</v>
      </c>
    </row>
    <row r="669" spans="1:44">
      <c r="A669" s="1" t="str">
        <f>INDEX([2]活动总表!$A$8:$A$429,MATCH(B669,[2]活动总表!$B$8:$B$429,0))</f>
        <v>妇女节特惠(30-60天)</v>
      </c>
      <c r="B669" s="1">
        <v>755</v>
      </c>
      <c r="C669" s="1">
        <v>2</v>
      </c>
      <c r="D669" s="1">
        <v>5</v>
      </c>
      <c r="E669" s="1">
        <v>0</v>
      </c>
      <c r="F669" s="1" t="s">
        <v>706</v>
      </c>
      <c r="G669" s="1">
        <v>16888</v>
      </c>
      <c r="I669" s="1">
        <v>1</v>
      </c>
      <c r="X669" s="1">
        <v>204165</v>
      </c>
      <c r="Y669" s="1" t="str">
        <f>IFERROR(INDEX([1]物品基础表!$A:$A,MATCH(X669,[1]物品基础表!$B:$B,0)),"")</f>
        <v>玫瑰恋人</v>
      </c>
      <c r="Z669" s="1">
        <v>1</v>
      </c>
      <c r="AA669" s="1">
        <v>200015</v>
      </c>
      <c r="AB669" s="1" t="str">
        <f>IFERROR(INDEX([1]物品基础表!$A:$A,MATCH(AA669,[1]物品基础表!$B:$B,0)),"")</f>
        <v>特戒碎片</v>
      </c>
      <c r="AC669" s="1">
        <v>600</v>
      </c>
      <c r="AD669" s="1">
        <v>200208</v>
      </c>
      <c r="AE669" s="1" t="str">
        <f>IFERROR(INDEX([1]物品基础表!$A:$A,MATCH(AD669,[1]物品基础表!$B:$B,0)),"")</f>
        <v>烈焰印记低级升级材料</v>
      </c>
      <c r="AF669" s="1">
        <v>500</v>
      </c>
      <c r="AG669" s="1">
        <v>201016</v>
      </c>
      <c r="AH669" s="1" t="str">
        <f>IFERROR(INDEX([1]物品基础表!$A:$A,MATCH(AG669,[1]物品基础表!$B:$B,0)),"")</f>
        <v>紫色图鉴包·传奇之路</v>
      </c>
      <c r="AI669" s="1">
        <v>1</v>
      </c>
      <c r="AJ669" s="1">
        <v>500006</v>
      </c>
      <c r="AK669" s="1" t="str">
        <f>IFERROR(INDEX([1]物品基础表!$A:$A,MATCH(AJ669,[1]物品基础表!$B:$B,0)),"")</f>
        <v>战纹精华-金</v>
      </c>
      <c r="AL669" s="1">
        <v>2</v>
      </c>
      <c r="AM669" s="1">
        <v>200157</v>
      </c>
      <c r="AN669" s="1" t="str">
        <f>IFERROR(INDEX([1]物品基础表!$A:$A,MATCH(AM669,[1]物品基础表!$B:$B,0)),"")</f>
        <v>秘境BOSS次数卷轴</v>
      </c>
      <c r="AO669" s="1">
        <v>1</v>
      </c>
      <c r="AP669" s="1">
        <v>201002</v>
      </c>
      <c r="AQ669" s="1" t="str">
        <f>IFERROR(INDEX([1]物品基础表!$A:$A,MATCH(AP669,[1]物品基础表!$B:$B,0)),"")</f>
        <v>神秘钥匙</v>
      </c>
      <c r="AR669" s="1">
        <v>1</v>
      </c>
    </row>
    <row r="670" spans="1:44">
      <c r="A670" s="1" t="str">
        <f>INDEX([2]活动总表!$A$8:$A$429,MATCH(B670,[2]活动总表!$B$8:$B$429,0))</f>
        <v>妇女节特惠(30-60天)</v>
      </c>
      <c r="B670" s="1">
        <v>755</v>
      </c>
      <c r="C670" s="1">
        <v>3</v>
      </c>
      <c r="D670" s="1">
        <v>5</v>
      </c>
      <c r="E670" s="1">
        <v>0</v>
      </c>
      <c r="F670" s="1" t="s">
        <v>706</v>
      </c>
      <c r="G670" s="1">
        <v>58888</v>
      </c>
      <c r="I670" s="1">
        <v>1</v>
      </c>
      <c r="X670" s="1">
        <v>200311</v>
      </c>
      <c r="Y670" s="1" t="str">
        <f>IFERROR(INDEX([1]物品基础表!$A:$A,MATCH(X670,[1]物品基础表!$B:$B,0)),"")</f>
        <v>战神兵魂任选礼包</v>
      </c>
      <c r="Z670" s="1">
        <v>8</v>
      </c>
      <c r="AA670" s="1">
        <v>200326</v>
      </c>
      <c r="AB670" s="1" t="str">
        <f>IFERROR(INDEX([1]物品基础表!$A:$A,MATCH(AA670,[1]物品基础表!$B:$B,0)),"")</f>
        <v>兵魂之灵</v>
      </c>
      <c r="AC670" s="1">
        <v>1</v>
      </c>
      <c r="AD670" s="1">
        <v>200015</v>
      </c>
      <c r="AE670" s="1" t="str">
        <f>IFERROR(INDEX([1]物品基础表!$A:$A,MATCH(AD670,[1]物品基础表!$B:$B,0)),"")</f>
        <v>特戒碎片</v>
      </c>
      <c r="AF670" s="1">
        <v>1000</v>
      </c>
      <c r="AG670" s="1">
        <v>201017</v>
      </c>
      <c r="AH670" s="1" t="str">
        <f>IFERROR(INDEX([1]物品基础表!$A:$A,MATCH(AG670,[1]物品基础表!$B:$B,0)),"")</f>
        <v>橙色图鉴包·传奇之路</v>
      </c>
      <c r="AI670" s="1">
        <v>1</v>
      </c>
      <c r="AJ670" s="1">
        <v>500006</v>
      </c>
      <c r="AK670" s="1" t="str">
        <f>IFERROR(INDEX([1]物品基础表!$A:$A,MATCH(AJ670,[1]物品基础表!$B:$B,0)),"")</f>
        <v>战纹精华-金</v>
      </c>
      <c r="AL670" s="1">
        <v>5</v>
      </c>
      <c r="AM670" s="1">
        <v>200157</v>
      </c>
      <c r="AN670" s="1" t="str">
        <f>IFERROR(INDEX([1]物品基础表!$A:$A,MATCH(AM670,[1]物品基础表!$B:$B,0)),"")</f>
        <v>秘境BOSS次数卷轴</v>
      </c>
      <c r="AO670" s="1">
        <v>1</v>
      </c>
      <c r="AP670" s="1">
        <v>201002</v>
      </c>
      <c r="AQ670" s="1" t="str">
        <f>IFERROR(INDEX([1]物品基础表!$A:$A,MATCH(AP670,[1]物品基础表!$B:$B,0)),"")</f>
        <v>神秘钥匙</v>
      </c>
      <c r="AR670" s="1">
        <v>1</v>
      </c>
    </row>
    <row r="671" spans="1:44">
      <c r="A671" s="1" t="str">
        <f>INDEX([2]活动总表!$A$8:$A$429,MATCH(B671,[2]活动总表!$B$8:$B$429,0))</f>
        <v>妇女节特惠(30-60天)</v>
      </c>
      <c r="B671" s="1">
        <v>755</v>
      </c>
      <c r="C671" s="1">
        <v>4</v>
      </c>
      <c r="D671" s="1">
        <v>5</v>
      </c>
      <c r="E671" s="1">
        <v>0</v>
      </c>
      <c r="F671" s="1" t="s">
        <v>706</v>
      </c>
      <c r="G671" s="1">
        <v>128888</v>
      </c>
      <c r="I671" s="1">
        <v>1</v>
      </c>
      <c r="X671" s="1">
        <v>121501</v>
      </c>
      <c r="Y671" s="1" t="str">
        <f>IFERROR(INDEX([1]物品基础表!$A:$A,MATCH(X671,[1]物品基础表!$B:$B,0)),"")</f>
        <v>传奇衣服1</v>
      </c>
      <c r="Z671" s="1">
        <v>1</v>
      </c>
      <c r="AA671" s="1">
        <v>500011</v>
      </c>
      <c r="AB671" s="1" t="str">
        <f>IFERROR(INDEX([1]物品基础表!$A:$A,MATCH(AA671,[1]物品基础表!$B:$B,0)),"")</f>
        <v>战纹碎片（小）</v>
      </c>
      <c r="AC671" s="1">
        <v>1000</v>
      </c>
      <c r="AD671" s="1">
        <v>205000</v>
      </c>
      <c r="AE671" s="1" t="str">
        <f>IFERROR(INDEX([1]物品基础表!$A:$A,MATCH(AD671,[1]物品基础表!$B:$B,0)),"")</f>
        <v>战灵进阶丹</v>
      </c>
      <c r="AF671" s="1">
        <v>100</v>
      </c>
      <c r="AG671" s="1">
        <v>200005</v>
      </c>
      <c r="AH671" s="1" t="str">
        <f>IFERROR(INDEX([1]物品基础表!$A:$A,MATCH(AG671,[1]物品基础表!$B:$B,0)),"")</f>
        <v>龙魂碎片</v>
      </c>
      <c r="AI671" s="1">
        <v>100</v>
      </c>
      <c r="AJ671" s="1">
        <v>500006</v>
      </c>
      <c r="AK671" s="1" t="str">
        <f>IFERROR(INDEX([1]物品基础表!$A:$A,MATCH(AJ671,[1]物品基础表!$B:$B,0)),"")</f>
        <v>战纹精华-金</v>
      </c>
      <c r="AL671" s="1">
        <v>10</v>
      </c>
      <c r="AM671" s="1">
        <v>200157</v>
      </c>
      <c r="AN671" s="1" t="str">
        <f>IFERROR(INDEX([1]物品基础表!$A:$A,MATCH(AM671,[1]物品基础表!$B:$B,0)),"")</f>
        <v>秘境BOSS次数卷轴</v>
      </c>
      <c r="AO671" s="1">
        <v>1</v>
      </c>
      <c r="AP671" s="1">
        <v>201002</v>
      </c>
      <c r="AQ671" s="1" t="str">
        <f>IFERROR(INDEX([1]物品基础表!$A:$A,MATCH(AP671,[1]物品基础表!$B:$B,0)),"")</f>
        <v>神秘钥匙</v>
      </c>
      <c r="AR671" s="1">
        <v>2</v>
      </c>
    </row>
    <row r="672" spans="1:44">
      <c r="A672" s="1" t="str">
        <f>INDEX([2]活动总表!$A$8:$A$429,MATCH(B672,[2]活动总表!$B$8:$B$429,0))</f>
        <v>妇女节特惠(61+天)</v>
      </c>
      <c r="B672" s="1">
        <v>757</v>
      </c>
      <c r="C672" s="1">
        <v>1</v>
      </c>
      <c r="D672" s="1">
        <v>5</v>
      </c>
      <c r="E672" s="1">
        <v>0</v>
      </c>
      <c r="F672" s="1" t="s">
        <v>706</v>
      </c>
      <c r="G672" s="1">
        <v>4888</v>
      </c>
      <c r="I672" s="1">
        <v>1</v>
      </c>
      <c r="X672" s="1">
        <v>13</v>
      </c>
      <c r="Y672" s="1" t="s">
        <v>694</v>
      </c>
      <c r="Z672" s="1">
        <v>3000000</v>
      </c>
      <c r="AA672" s="1">
        <v>200015</v>
      </c>
      <c r="AB672" s="1" t="str">
        <f>IFERROR(INDEX([1]物品基础表!$A:$A,MATCH(AA672,[1]物品基础表!$B:$B,0)),"")</f>
        <v>特戒碎片</v>
      </c>
      <c r="AC672" s="1">
        <v>700</v>
      </c>
      <c r="AD672" s="1">
        <v>200005</v>
      </c>
      <c r="AE672" s="1" t="str">
        <f>IFERROR(INDEX([1]物品基础表!$A:$A,MATCH(AD672,[1]物品基础表!$B:$B,0)),"")</f>
        <v>龙魂碎片</v>
      </c>
      <c r="AF672" s="1">
        <v>50</v>
      </c>
      <c r="AG672" s="1">
        <v>201016</v>
      </c>
      <c r="AH672" s="1" t="str">
        <f>IFERROR(INDEX([1]物品基础表!$A:$A,MATCH(AG672,[1]物品基础表!$B:$B,0)),"")</f>
        <v>紫色图鉴包·传奇之路</v>
      </c>
      <c r="AI672" s="1">
        <v>1</v>
      </c>
      <c r="AJ672" s="1">
        <v>500006</v>
      </c>
      <c r="AK672" s="1" t="str">
        <f>IFERROR(INDEX([1]物品基础表!$A:$A,MATCH(AJ672,[1]物品基础表!$B:$B,0)),"")</f>
        <v>战纹精华-金</v>
      </c>
      <c r="AL672" s="1">
        <v>1</v>
      </c>
      <c r="AM672" s="1">
        <v>200156</v>
      </c>
      <c r="AN672" s="1" t="str">
        <f>IFERROR(INDEX([1]物品基础表!$A:$A,MATCH(AM672,[1]物品基础表!$B:$B,0)),"")</f>
        <v>野外BOSS次数卷轴</v>
      </c>
      <c r="AO672" s="1">
        <v>2</v>
      </c>
      <c r="AP672" s="1">
        <v>201002</v>
      </c>
      <c r="AQ672" s="1" t="str">
        <f>IFERROR(INDEX([1]物品基础表!$A:$A,MATCH(AP672,[1]物品基础表!$B:$B,0)),"")</f>
        <v>神秘钥匙</v>
      </c>
      <c r="AR672" s="1">
        <v>1</v>
      </c>
    </row>
    <row r="673" spans="1:44">
      <c r="A673" s="1" t="str">
        <f>INDEX([2]活动总表!$A$8:$A$429,MATCH(B673,[2]活动总表!$B$8:$B$429,0))</f>
        <v>妇女节特惠(61+天)</v>
      </c>
      <c r="B673" s="1">
        <v>757</v>
      </c>
      <c r="C673" s="1">
        <v>2</v>
      </c>
      <c r="D673" s="1">
        <v>5</v>
      </c>
      <c r="E673" s="1">
        <v>0</v>
      </c>
      <c r="F673" s="1" t="s">
        <v>706</v>
      </c>
      <c r="G673" s="1">
        <v>16888</v>
      </c>
      <c r="I673" s="1">
        <v>1</v>
      </c>
      <c r="X673" s="1">
        <v>204165</v>
      </c>
      <c r="Y673" s="1" t="str">
        <f>IFERROR(INDEX([1]物品基础表!$A:$A,MATCH(X673,[1]物品基础表!$B:$B,0)),"")</f>
        <v>玫瑰恋人</v>
      </c>
      <c r="Z673" s="1">
        <v>1</v>
      </c>
      <c r="AA673" s="1">
        <v>200015</v>
      </c>
      <c r="AB673" s="1" t="str">
        <f>IFERROR(INDEX([1]物品基础表!$A:$A,MATCH(AA673,[1]物品基础表!$B:$B,0)),"")</f>
        <v>特戒碎片</v>
      </c>
      <c r="AC673" s="1">
        <v>700</v>
      </c>
      <c r="AD673" s="1">
        <v>200208</v>
      </c>
      <c r="AE673" s="1" t="str">
        <f>IFERROR(INDEX([1]物品基础表!$A:$A,MATCH(AD673,[1]物品基础表!$B:$B,0)),"")</f>
        <v>烈焰印记低级升级材料</v>
      </c>
      <c r="AF673" s="1">
        <v>500</v>
      </c>
      <c r="AG673" s="1">
        <v>201016</v>
      </c>
      <c r="AH673" s="1" t="str">
        <f>IFERROR(INDEX([1]物品基础表!$A:$A,MATCH(AG673,[1]物品基础表!$B:$B,0)),"")</f>
        <v>紫色图鉴包·传奇之路</v>
      </c>
      <c r="AI673" s="1">
        <v>1</v>
      </c>
      <c r="AJ673" s="1">
        <v>500006</v>
      </c>
      <c r="AK673" s="1" t="str">
        <f>IFERROR(INDEX([1]物品基础表!$A:$A,MATCH(AJ673,[1]物品基础表!$B:$B,0)),"")</f>
        <v>战纹精华-金</v>
      </c>
      <c r="AL673" s="1">
        <v>2</v>
      </c>
      <c r="AM673" s="1">
        <v>200157</v>
      </c>
      <c r="AN673" s="1" t="str">
        <f>IFERROR(INDEX([1]物品基础表!$A:$A,MATCH(AM673,[1]物品基础表!$B:$B,0)),"")</f>
        <v>秘境BOSS次数卷轴</v>
      </c>
      <c r="AO673" s="1">
        <v>1</v>
      </c>
      <c r="AP673" s="1">
        <v>201002</v>
      </c>
      <c r="AQ673" s="1" t="str">
        <f>IFERROR(INDEX([1]物品基础表!$A:$A,MATCH(AP673,[1]物品基础表!$B:$B,0)),"")</f>
        <v>神秘钥匙</v>
      </c>
      <c r="AR673" s="1">
        <v>1</v>
      </c>
    </row>
    <row r="674" spans="1:44">
      <c r="A674" s="1" t="str">
        <f>INDEX([2]活动总表!$A$8:$A$429,MATCH(B674,[2]活动总表!$B$8:$B$429,0))</f>
        <v>妇女节特惠(61+天)</v>
      </c>
      <c r="B674" s="1">
        <v>757</v>
      </c>
      <c r="C674" s="1">
        <v>3</v>
      </c>
      <c r="D674" s="1">
        <v>5</v>
      </c>
      <c r="E674" s="1">
        <v>0</v>
      </c>
      <c r="F674" s="1" t="s">
        <v>706</v>
      </c>
      <c r="G674" s="1">
        <v>58888</v>
      </c>
      <c r="I674" s="1">
        <v>1</v>
      </c>
      <c r="X674" s="1">
        <v>200976</v>
      </c>
      <c r="Y674" s="1" t="str">
        <f>IFERROR(INDEX([1]物品基础表!$A:$A,MATCH(X674,[1]物品基础表!$B:$B,0)),"")</f>
        <v>极品红色兽神装备任选宝箱</v>
      </c>
      <c r="Z674" s="1">
        <v>1</v>
      </c>
      <c r="AA674" s="1">
        <v>200301</v>
      </c>
      <c r="AB674" s="1" t="str">
        <f>IFERROR(INDEX([1]物品基础表!$A:$A,MATCH(AA674,[1]物品基础表!$B:$B,0)),"")</f>
        <v>传世宝钻</v>
      </c>
      <c r="AC674" s="1">
        <v>100</v>
      </c>
      <c r="AD674" s="1">
        <v>200015</v>
      </c>
      <c r="AE674" s="1" t="str">
        <f>IFERROR(INDEX([1]物品基础表!$A:$A,MATCH(AD674,[1]物品基础表!$B:$B,0)),"")</f>
        <v>特戒碎片</v>
      </c>
      <c r="AF674" s="1">
        <v>1200</v>
      </c>
      <c r="AG674" s="1">
        <v>201017</v>
      </c>
      <c r="AH674" s="1" t="str">
        <f>IFERROR(INDEX([1]物品基础表!$A:$A,MATCH(AG674,[1]物品基础表!$B:$B,0)),"")</f>
        <v>橙色图鉴包·传奇之路</v>
      </c>
      <c r="AI674" s="1">
        <v>1</v>
      </c>
      <c r="AJ674" s="1">
        <v>500006</v>
      </c>
      <c r="AK674" s="1" t="str">
        <f>IFERROR(INDEX([1]物品基础表!$A:$A,MATCH(AJ674,[1]物品基础表!$B:$B,0)),"")</f>
        <v>战纹精华-金</v>
      </c>
      <c r="AL674" s="1">
        <v>5</v>
      </c>
      <c r="AM674" s="1">
        <v>200157</v>
      </c>
      <c r="AN674" s="1" t="str">
        <f>IFERROR(INDEX([1]物品基础表!$A:$A,MATCH(AM674,[1]物品基础表!$B:$B,0)),"")</f>
        <v>秘境BOSS次数卷轴</v>
      </c>
      <c r="AO674" s="1">
        <v>1</v>
      </c>
      <c r="AP674" s="1">
        <v>201002</v>
      </c>
      <c r="AQ674" s="1" t="str">
        <f>IFERROR(INDEX([1]物品基础表!$A:$A,MATCH(AP674,[1]物品基础表!$B:$B,0)),"")</f>
        <v>神秘钥匙</v>
      </c>
      <c r="AR674" s="1">
        <v>1</v>
      </c>
    </row>
    <row r="675" spans="1:44">
      <c r="A675" s="1" t="str">
        <f>INDEX([2]活动总表!$A$8:$A$429,MATCH(B675,[2]活动总表!$B$8:$B$429,0))</f>
        <v>妇女节特惠(61+天)</v>
      </c>
      <c r="B675" s="1">
        <v>757</v>
      </c>
      <c r="C675" s="1">
        <v>4</v>
      </c>
      <c r="D675" s="1">
        <v>5</v>
      </c>
      <c r="E675" s="1">
        <v>0</v>
      </c>
      <c r="F675" s="1" t="s">
        <v>706</v>
      </c>
      <c r="G675" s="1">
        <v>128888</v>
      </c>
      <c r="I675" s="1">
        <v>1</v>
      </c>
      <c r="X675" s="1">
        <v>121501</v>
      </c>
      <c r="Y675" s="1" t="str">
        <f>IFERROR(INDEX([1]物品基础表!$A:$A,MATCH(X675,[1]物品基础表!$B:$B,0)),"")</f>
        <v>传奇衣服1</v>
      </c>
      <c r="Z675" s="1">
        <v>1</v>
      </c>
      <c r="AA675" s="1">
        <v>500011</v>
      </c>
      <c r="AB675" s="1" t="str">
        <f>IFERROR(INDEX([1]物品基础表!$A:$A,MATCH(AA675,[1]物品基础表!$B:$B,0)),"")</f>
        <v>战纹碎片（小）</v>
      </c>
      <c r="AC675" s="1">
        <v>1000</v>
      </c>
      <c r="AD675" s="1">
        <v>205000</v>
      </c>
      <c r="AE675" s="1" t="str">
        <f>IFERROR(INDEX([1]物品基础表!$A:$A,MATCH(AD675,[1]物品基础表!$B:$B,0)),"")</f>
        <v>战灵进阶丹</v>
      </c>
      <c r="AF675" s="1">
        <v>100</v>
      </c>
      <c r="AG675" s="1">
        <v>200005</v>
      </c>
      <c r="AH675" s="1" t="str">
        <f>IFERROR(INDEX([1]物品基础表!$A:$A,MATCH(AG675,[1]物品基础表!$B:$B,0)),"")</f>
        <v>龙魂碎片</v>
      </c>
      <c r="AI675" s="1">
        <v>100</v>
      </c>
      <c r="AJ675" s="1">
        <v>500006</v>
      </c>
      <c r="AK675" s="1" t="str">
        <f>IFERROR(INDEX([1]物品基础表!$A:$A,MATCH(AJ675,[1]物品基础表!$B:$B,0)),"")</f>
        <v>战纹精华-金</v>
      </c>
      <c r="AL675" s="1">
        <v>10</v>
      </c>
      <c r="AM675" s="1">
        <v>200157</v>
      </c>
      <c r="AN675" s="1" t="str">
        <f>IFERROR(INDEX([1]物品基础表!$A:$A,MATCH(AM675,[1]物品基础表!$B:$B,0)),"")</f>
        <v>秘境BOSS次数卷轴</v>
      </c>
      <c r="AO675" s="1">
        <v>1</v>
      </c>
      <c r="AP675" s="1">
        <v>201002</v>
      </c>
      <c r="AQ675" s="1" t="str">
        <f>IFERROR(INDEX([1]物品基础表!$A:$A,MATCH(AP675,[1]物品基础表!$B:$B,0)),"")</f>
        <v>神秘钥匙</v>
      </c>
      <c r="AR675" s="1">
        <v>2</v>
      </c>
    </row>
    <row r="676" spans="1:44">
      <c r="A676" s="1" t="str">
        <f>INDEX([2]活动总表!$A$8:$A$429,MATCH(B676,[2]活动总表!$B$8:$B$429,0))</f>
        <v>谁与争锋-特惠礼包</v>
      </c>
      <c r="B676" s="1">
        <v>803</v>
      </c>
      <c r="C676" s="1">
        <v>1</v>
      </c>
      <c r="D676" s="1">
        <v>5</v>
      </c>
      <c r="E676" s="1">
        <v>0</v>
      </c>
      <c r="F676" s="1" t="s">
        <v>706</v>
      </c>
      <c r="G676" s="1">
        <v>4888</v>
      </c>
      <c r="I676" s="1">
        <v>1</v>
      </c>
      <c r="X676" s="1">
        <v>200301</v>
      </c>
      <c r="Y676" s="1" t="str">
        <f>IFERROR(INDEX([1]物品基础表!$A:$A,MATCH(X676,[1]物品基础表!$B:$B,0)),"")</f>
        <v>传世宝钻</v>
      </c>
      <c r="Z676" s="1">
        <v>100</v>
      </c>
      <c r="AA676" s="1">
        <v>200996</v>
      </c>
      <c r="AB676" s="1" t="str">
        <f>IFERROR(INDEX([1]物品基础表!$A:$A,MATCH(AA676,[1]物品基础表!$B:$B,0)),"")</f>
        <v>魅惑兵魂一套</v>
      </c>
      <c r="AC676" s="1">
        <v>1</v>
      </c>
      <c r="AD676" s="1">
        <v>200005</v>
      </c>
      <c r="AE676" s="1" t="str">
        <f>IFERROR(INDEX([1]物品基础表!$A:$A,MATCH(AD676,[1]物品基础表!$B:$B,0)),"")</f>
        <v>龙魂碎片</v>
      </c>
      <c r="AF676" s="1">
        <v>50</v>
      </c>
      <c r="AG676" s="1">
        <v>201016</v>
      </c>
      <c r="AH676" s="1" t="str">
        <f>IFERROR(INDEX([1]物品基础表!$A:$A,MATCH(AG676,[1]物品基础表!$B:$B,0)),"")</f>
        <v>紫色图鉴包·传奇之路</v>
      </c>
      <c r="AI676" s="1">
        <v>1</v>
      </c>
      <c r="AJ676" s="1">
        <v>500006</v>
      </c>
      <c r="AK676" s="1" t="str">
        <f>IFERROR(INDEX([1]物品基础表!$A:$A,MATCH(AJ676,[1]物品基础表!$B:$B,0)),"")</f>
        <v>战纹精华-金</v>
      </c>
      <c r="AL676" s="1">
        <v>1</v>
      </c>
      <c r="AM676" s="1">
        <v>200156</v>
      </c>
      <c r="AN676" s="1" t="str">
        <f>IFERROR(INDEX([1]物品基础表!$A:$A,MATCH(AM676,[1]物品基础表!$B:$B,0)),"")</f>
        <v>野外BOSS次数卷轴</v>
      </c>
      <c r="AO676" s="1">
        <v>2</v>
      </c>
      <c r="AP676" s="1">
        <v>201002</v>
      </c>
      <c r="AQ676" s="1" t="str">
        <f>IFERROR(INDEX([1]物品基础表!$A:$A,MATCH(AP676,[1]物品基础表!$B:$B,0)),"")</f>
        <v>神秘钥匙</v>
      </c>
      <c r="AR676" s="1">
        <v>1</v>
      </c>
    </row>
    <row r="677" spans="1:44" ht="14.25" customHeight="1">
      <c r="A677" s="1" t="str">
        <f>INDEX([2]活动总表!$A$8:$A$429,MATCH(B677,[2]活动总表!$B$8:$B$429,0))</f>
        <v>谁与争锋-特惠礼包</v>
      </c>
      <c r="B677" s="1">
        <v>803</v>
      </c>
      <c r="C677" s="1">
        <v>2</v>
      </c>
      <c r="D677" s="1">
        <v>5</v>
      </c>
      <c r="E677" s="1">
        <v>0</v>
      </c>
      <c r="F677" s="1" t="s">
        <v>706</v>
      </c>
      <c r="G677" s="1">
        <v>16888</v>
      </c>
      <c r="I677" s="1">
        <v>1</v>
      </c>
      <c r="X677" s="1">
        <v>200973</v>
      </c>
      <c r="Y677" s="1" t="str">
        <f>IFERROR(INDEX([1]物品基础表!$A:$A,MATCH(X677,[1]物品基础表!$B:$B,0)),"")</f>
        <v>极品橙色兽神装备任选宝箱</v>
      </c>
      <c r="Z677" s="1">
        <v>1</v>
      </c>
      <c r="AA677" s="1">
        <v>200005</v>
      </c>
      <c r="AB677" s="1" t="str">
        <f>IFERROR(INDEX([1]物品基础表!$A:$A,MATCH(AA677,[1]物品基础表!$B:$B,0)),"")</f>
        <v>龙魂碎片</v>
      </c>
      <c r="AC677" s="1">
        <v>60</v>
      </c>
      <c r="AD677" s="1">
        <v>200015</v>
      </c>
      <c r="AE677" s="1" t="str">
        <f>IFERROR(INDEX([1]物品基础表!$A:$A,MATCH(AD677,[1]物品基础表!$B:$B,0)),"")</f>
        <v>特戒碎片</v>
      </c>
      <c r="AF677" s="1">
        <v>700</v>
      </c>
      <c r="AG677" s="1">
        <v>201016</v>
      </c>
      <c r="AH677" s="1" t="str">
        <f>IFERROR(INDEX([1]物品基础表!$A:$A,MATCH(AG677,[1]物品基础表!$B:$B,0)),"")</f>
        <v>紫色图鉴包·传奇之路</v>
      </c>
      <c r="AI677" s="1">
        <v>1</v>
      </c>
      <c r="AJ677" s="1">
        <v>500006</v>
      </c>
      <c r="AK677" s="1" t="str">
        <f>IFERROR(INDEX([1]物品基础表!$A:$A,MATCH(AJ677,[1]物品基础表!$B:$B,0)),"")</f>
        <v>战纹精华-金</v>
      </c>
      <c r="AL677" s="1">
        <v>2</v>
      </c>
      <c r="AM677" s="1">
        <v>200157</v>
      </c>
      <c r="AN677" s="1" t="str">
        <f>IFERROR(INDEX([1]物品基础表!$A:$A,MATCH(AM677,[1]物品基础表!$B:$B,0)),"")</f>
        <v>秘境BOSS次数卷轴</v>
      </c>
      <c r="AO677" s="1">
        <v>1</v>
      </c>
      <c r="AP677" s="1">
        <v>201002</v>
      </c>
      <c r="AQ677" s="1" t="str">
        <f>IFERROR(INDEX([1]物品基础表!$A:$A,MATCH(AP677,[1]物品基础表!$B:$B,0)),"")</f>
        <v>神秘钥匙</v>
      </c>
      <c r="AR677" s="1">
        <v>1</v>
      </c>
    </row>
    <row r="678" spans="1:44">
      <c r="A678" s="1" t="str">
        <f>INDEX([2]活动总表!$A$8:$A$429,MATCH(B678,[2]活动总表!$B$8:$B$429,0))</f>
        <v>谁与争锋-特惠礼包</v>
      </c>
      <c r="B678" s="1">
        <v>803</v>
      </c>
      <c r="C678" s="1">
        <v>3</v>
      </c>
      <c r="D678" s="1">
        <v>5</v>
      </c>
      <c r="E678" s="1">
        <v>0</v>
      </c>
      <c r="F678" s="1" t="s">
        <v>706</v>
      </c>
      <c r="G678" s="1">
        <v>38888</v>
      </c>
      <c r="I678" s="1">
        <v>1</v>
      </c>
      <c r="X678" s="1">
        <v>280001</v>
      </c>
      <c r="Y678" s="1" t="str">
        <f>IFERROR(INDEX([1]物品基础表!$A:$A,MATCH(X678,[1]物品基础表!$B:$B,0)),"")</f>
        <v>躯干魂骨(凡品)</v>
      </c>
      <c r="Z678" s="1">
        <v>1</v>
      </c>
      <c r="AA678" s="1">
        <v>280011</v>
      </c>
      <c r="AB678" s="1" t="str">
        <f>IFERROR(INDEX([1]物品基础表!$A:$A,MATCH(AA678,[1]物品基础表!$B:$B,0)),"")</f>
        <v>头部魂骨(凡品)</v>
      </c>
      <c r="AC678" s="1">
        <v>1</v>
      </c>
      <c r="AD678" s="1">
        <v>299999</v>
      </c>
      <c r="AE678" s="1" t="str">
        <f>IFERROR(INDEX([1]物品基础表!$A:$A,MATCH(AD678,[1]物品基础表!$B:$B,0)),"")</f>
        <v>神兵幻境卷</v>
      </c>
      <c r="AF678" s="1">
        <v>2</v>
      </c>
      <c r="AG678" s="1">
        <v>201017</v>
      </c>
      <c r="AH678" s="1" t="str">
        <f>IFERROR(INDEX([1]物品基础表!$A:$A,MATCH(AG678,[1]物品基础表!$B:$B,0)),"")</f>
        <v>橙色图鉴包·传奇之路</v>
      </c>
      <c r="AI678" s="1">
        <v>1</v>
      </c>
      <c r="AJ678" s="1">
        <v>500006</v>
      </c>
      <c r="AK678" s="1" t="str">
        <f>IFERROR(INDEX([1]物品基础表!$A:$A,MATCH(AJ678,[1]物品基础表!$B:$B,0)),"")</f>
        <v>战纹精华-金</v>
      </c>
      <c r="AL678" s="1">
        <v>5</v>
      </c>
      <c r="AM678" s="1">
        <v>200157</v>
      </c>
      <c r="AN678" s="1" t="str">
        <f>IFERROR(INDEX([1]物品基础表!$A:$A,MATCH(AM678,[1]物品基础表!$B:$B,0)),"")</f>
        <v>秘境BOSS次数卷轴</v>
      </c>
      <c r="AO678" s="1">
        <v>1</v>
      </c>
      <c r="AP678" s="1">
        <v>201002</v>
      </c>
      <c r="AQ678" s="1" t="str">
        <f>IFERROR(INDEX([1]物品基础表!$A:$A,MATCH(AP678,[1]物品基础表!$B:$B,0)),"")</f>
        <v>神秘钥匙</v>
      </c>
      <c r="AR678" s="1">
        <v>1</v>
      </c>
    </row>
    <row r="679" spans="1:44">
      <c r="A679" s="1" t="str">
        <f>INDEX([2]活动总表!$A$8:$A$429,MATCH(B679,[2]活动总表!$B$8:$B$429,0))</f>
        <v>谁与争锋-特惠礼包</v>
      </c>
      <c r="B679" s="1">
        <v>803</v>
      </c>
      <c r="C679" s="1">
        <v>4</v>
      </c>
      <c r="D679" s="1">
        <v>5</v>
      </c>
      <c r="E679" s="1">
        <v>0</v>
      </c>
      <c r="F679" s="1" t="s">
        <v>706</v>
      </c>
      <c r="G679" s="1">
        <v>128888</v>
      </c>
      <c r="I679" s="1">
        <v>1</v>
      </c>
      <c r="X679" s="1">
        <v>121501</v>
      </c>
      <c r="Y679" s="1" t="str">
        <f>IFERROR(INDEX([1]物品基础表!$A:$A,MATCH(X679,[1]物品基础表!$B:$B,0)),"")</f>
        <v>传奇衣服1</v>
      </c>
      <c r="Z679" s="1">
        <v>1</v>
      </c>
      <c r="AA679" s="1">
        <v>500011</v>
      </c>
      <c r="AB679" s="1" t="str">
        <f>IFERROR(INDEX([1]物品基础表!$A:$A,MATCH(AA679,[1]物品基础表!$B:$B,0)),"")</f>
        <v>战纹碎片（小）</v>
      </c>
      <c r="AC679" s="1">
        <v>1000</v>
      </c>
      <c r="AD679" s="1">
        <v>205000</v>
      </c>
      <c r="AE679" s="1" t="str">
        <f>IFERROR(INDEX([1]物品基础表!$A:$A,MATCH(AD679,[1]物品基础表!$B:$B,0)),"")</f>
        <v>战灵进阶丹</v>
      </c>
      <c r="AF679" s="1">
        <v>100</v>
      </c>
      <c r="AG679" s="1">
        <v>200005</v>
      </c>
      <c r="AH679" s="1" t="str">
        <f>IFERROR(INDEX([1]物品基础表!$A:$A,MATCH(AG679,[1]物品基础表!$B:$B,0)),"")</f>
        <v>龙魂碎片</v>
      </c>
      <c r="AI679" s="1">
        <v>100</v>
      </c>
      <c r="AJ679" s="1">
        <v>500006</v>
      </c>
      <c r="AK679" s="1" t="str">
        <f>IFERROR(INDEX([1]物品基础表!$A:$A,MATCH(AJ679,[1]物品基础表!$B:$B,0)),"")</f>
        <v>战纹精华-金</v>
      </c>
      <c r="AL679" s="1">
        <v>10</v>
      </c>
      <c r="AM679" s="1">
        <v>200157</v>
      </c>
      <c r="AN679" s="1" t="str">
        <f>IFERROR(INDEX([1]物品基础表!$A:$A,MATCH(AM679,[1]物品基础表!$B:$B,0)),"")</f>
        <v>秘境BOSS次数卷轴</v>
      </c>
      <c r="AO679" s="1">
        <v>1</v>
      </c>
      <c r="AP679" s="1">
        <v>201002</v>
      </c>
      <c r="AQ679" s="1" t="str">
        <f>IFERROR(INDEX([1]物品基础表!$A:$A,MATCH(AP679,[1]物品基础表!$B:$B,0)),"")</f>
        <v>神秘钥匙</v>
      </c>
      <c r="AR679" s="1">
        <v>2</v>
      </c>
    </row>
    <row r="680" spans="1:44">
      <c r="A680" s="1" t="str">
        <f>INDEX([2]活动总表!$A$8:$A$429,MATCH(B680,[2]活动总表!$B$8:$B$429,0))</f>
        <v>谁与争锋-特惠礼包（15-60天）</v>
      </c>
      <c r="B680" s="1">
        <v>811</v>
      </c>
      <c r="C680" s="1">
        <v>1</v>
      </c>
      <c r="D680" s="1">
        <v>5</v>
      </c>
      <c r="E680" s="1">
        <v>0</v>
      </c>
      <c r="F680" s="1" t="s">
        <v>706</v>
      </c>
      <c r="G680" s="1">
        <v>4888</v>
      </c>
      <c r="I680" s="1">
        <v>1</v>
      </c>
      <c r="X680" s="1">
        <v>13</v>
      </c>
      <c r="Y680" s="1" t="s">
        <v>694</v>
      </c>
      <c r="Z680" s="1">
        <v>2000000</v>
      </c>
      <c r="AA680" s="1">
        <v>200015</v>
      </c>
      <c r="AB680" s="1" t="str">
        <f>IFERROR(INDEX([1]物品基础表!$A:$A,MATCH(AA680,[1]物品基础表!$B:$B,0)),"")</f>
        <v>特戒碎片</v>
      </c>
      <c r="AC680" s="1">
        <v>500</v>
      </c>
      <c r="AD680" s="1">
        <v>200005</v>
      </c>
      <c r="AE680" s="1" t="str">
        <f>IFERROR(INDEX([1]物品基础表!$A:$A,MATCH(AD680,[1]物品基础表!$B:$B,0)),"")</f>
        <v>龙魂碎片</v>
      </c>
      <c r="AF680" s="1">
        <v>30</v>
      </c>
      <c r="AG680" s="1">
        <v>201016</v>
      </c>
      <c r="AH680" s="1" t="str">
        <f>IFERROR(INDEX([1]物品基础表!$A:$A,MATCH(AG680,[1]物品基础表!$B:$B,0)),"")</f>
        <v>紫色图鉴包·传奇之路</v>
      </c>
      <c r="AI680" s="1">
        <v>1</v>
      </c>
      <c r="AJ680" s="1">
        <v>500006</v>
      </c>
      <c r="AK680" s="1" t="str">
        <f>IFERROR(INDEX([1]物品基础表!$A:$A,MATCH(AJ680,[1]物品基础表!$B:$B,0)),"")</f>
        <v>战纹精华-金</v>
      </c>
      <c r="AL680" s="1">
        <v>1</v>
      </c>
      <c r="AM680" s="1">
        <v>200156</v>
      </c>
      <c r="AN680" s="1" t="str">
        <f>IFERROR(INDEX([1]物品基础表!$A:$A,MATCH(AM680,[1]物品基础表!$B:$B,0)),"")</f>
        <v>野外BOSS次数卷轴</v>
      </c>
      <c r="AO680" s="1">
        <v>2</v>
      </c>
      <c r="AP680" s="1">
        <v>201002</v>
      </c>
      <c r="AQ680" s="1" t="str">
        <f>IFERROR(INDEX([1]物品基础表!$A:$A,MATCH(AP680,[1]物品基础表!$B:$B,0)),"")</f>
        <v>神秘钥匙</v>
      </c>
      <c r="AR680" s="1">
        <v>1</v>
      </c>
    </row>
    <row r="681" spans="1:44">
      <c r="A681" s="1" t="str">
        <f>INDEX([2]活动总表!$A$8:$A$429,MATCH(B681,[2]活动总表!$B$8:$B$429,0))</f>
        <v>谁与争锋-特惠礼包（15-60天）</v>
      </c>
      <c r="B681" s="1">
        <v>811</v>
      </c>
      <c r="C681" s="1">
        <v>2</v>
      </c>
      <c r="D681" s="1">
        <v>5</v>
      </c>
      <c r="E681" s="1">
        <v>0</v>
      </c>
      <c r="F681" s="1" t="s">
        <v>706</v>
      </c>
      <c r="G681" s="1">
        <v>16888</v>
      </c>
      <c r="I681" s="1">
        <v>1</v>
      </c>
      <c r="X681" s="1">
        <v>200997</v>
      </c>
      <c r="Y681" s="1" t="str">
        <f>IFERROR(INDEX([1]物品基础表!$A:$A,MATCH(X681,[1]物品基础表!$B:$B,0)),"")</f>
        <v>星☆传世宝箱</v>
      </c>
      <c r="Z681" s="1">
        <v>1</v>
      </c>
      <c r="AA681" s="1">
        <v>200003</v>
      </c>
      <c r="AB681" s="1" t="str">
        <f>IFERROR(INDEX([1]物品基础表!$A:$A,MATCH(AA681,[1]物品基础表!$B:$B,0)),"")</f>
        <v>铸造晶石</v>
      </c>
      <c r="AC681" s="1">
        <v>100</v>
      </c>
      <c r="AD681" s="1">
        <v>200015</v>
      </c>
      <c r="AE681" s="1" t="str">
        <f>IFERROR(INDEX([1]物品基础表!$A:$A,MATCH(AD681,[1]物品基础表!$B:$B,0)),"")</f>
        <v>特戒碎片</v>
      </c>
      <c r="AF681" s="1">
        <v>500</v>
      </c>
      <c r="AG681" s="1">
        <v>201016</v>
      </c>
      <c r="AH681" s="1" t="str">
        <f>IFERROR(INDEX([1]物品基础表!$A:$A,MATCH(AG681,[1]物品基础表!$B:$B,0)),"")</f>
        <v>紫色图鉴包·传奇之路</v>
      </c>
      <c r="AI681" s="1">
        <v>1</v>
      </c>
      <c r="AJ681" s="1">
        <v>500006</v>
      </c>
      <c r="AK681" s="1" t="str">
        <f>IFERROR(INDEX([1]物品基础表!$A:$A,MATCH(AJ681,[1]物品基础表!$B:$B,0)),"")</f>
        <v>战纹精华-金</v>
      </c>
      <c r="AL681" s="1">
        <v>2</v>
      </c>
      <c r="AM681" s="1">
        <v>200157</v>
      </c>
      <c r="AN681" s="1" t="str">
        <f>IFERROR(INDEX([1]物品基础表!$A:$A,MATCH(AM681,[1]物品基础表!$B:$B,0)),"")</f>
        <v>秘境BOSS次数卷轴</v>
      </c>
      <c r="AO681" s="1">
        <v>1</v>
      </c>
      <c r="AP681" s="1">
        <v>201002</v>
      </c>
      <c r="AQ681" s="1" t="str">
        <f>IFERROR(INDEX([1]物品基础表!$A:$A,MATCH(AP681,[1]物品基础表!$B:$B,0)),"")</f>
        <v>神秘钥匙</v>
      </c>
      <c r="AR681" s="1">
        <v>1</v>
      </c>
    </row>
    <row r="682" spans="1:44">
      <c r="A682" s="1" t="str">
        <f>INDEX([2]活动总表!$A$8:$A$429,MATCH(B682,[2]活动总表!$B$8:$B$429,0))</f>
        <v>谁与争锋-特惠礼包（15-60天）</v>
      </c>
      <c r="B682" s="1">
        <v>811</v>
      </c>
      <c r="C682" s="1">
        <v>3</v>
      </c>
      <c r="D682" s="1">
        <v>5</v>
      </c>
      <c r="E682" s="1">
        <v>0</v>
      </c>
      <c r="F682" s="1" t="s">
        <v>706</v>
      </c>
      <c r="G682" s="1">
        <v>58888</v>
      </c>
      <c r="I682" s="1">
        <v>1</v>
      </c>
      <c r="X682" s="1">
        <v>200314</v>
      </c>
      <c r="Y682" s="1" t="str">
        <f>IFERROR(INDEX([1]物品基础表!$A:$A,MATCH(X682,[1]物品基础表!$B:$B,0)),"")</f>
        <v>蛊毒兵魂任选礼包</v>
      </c>
      <c r="Z682" s="1">
        <v>8</v>
      </c>
      <c r="AA682" s="1">
        <v>200326</v>
      </c>
      <c r="AB682" s="1" t="str">
        <f>IFERROR(INDEX([1]物品基础表!$A:$A,MATCH(AA682,[1]物品基础表!$B:$B,0)),"")</f>
        <v>兵魂之灵</v>
      </c>
      <c r="AC682" s="1">
        <v>1</v>
      </c>
      <c r="AD682" s="1">
        <v>299999</v>
      </c>
      <c r="AE682" s="1" t="str">
        <f>IFERROR(INDEX([1]物品基础表!$A:$A,MATCH(AD682,[1]物品基础表!$B:$B,0)),"")</f>
        <v>神兵幻境卷</v>
      </c>
      <c r="AF682" s="1">
        <v>2</v>
      </c>
      <c r="AG682" s="1">
        <v>201017</v>
      </c>
      <c r="AH682" s="1" t="str">
        <f>IFERROR(INDEX([1]物品基础表!$A:$A,MATCH(AG682,[1]物品基础表!$B:$B,0)),"")</f>
        <v>橙色图鉴包·传奇之路</v>
      </c>
      <c r="AI682" s="1">
        <v>1</v>
      </c>
      <c r="AJ682" s="1">
        <v>500006</v>
      </c>
      <c r="AK682" s="1" t="str">
        <f>IFERROR(INDEX([1]物品基础表!$A:$A,MATCH(AJ682,[1]物品基础表!$B:$B,0)),"")</f>
        <v>战纹精华-金</v>
      </c>
      <c r="AL682" s="1">
        <v>5</v>
      </c>
      <c r="AM682" s="1">
        <v>200157</v>
      </c>
      <c r="AN682" s="1" t="str">
        <f>IFERROR(INDEX([1]物品基础表!$A:$A,MATCH(AM682,[1]物品基础表!$B:$B,0)),"")</f>
        <v>秘境BOSS次数卷轴</v>
      </c>
      <c r="AO682" s="1">
        <v>1</v>
      </c>
      <c r="AP682" s="1">
        <v>201002</v>
      </c>
      <c r="AQ682" s="1" t="str">
        <f>IFERROR(INDEX([1]物品基础表!$A:$A,MATCH(AP682,[1]物品基础表!$B:$B,0)),"")</f>
        <v>神秘钥匙</v>
      </c>
      <c r="AR682" s="1">
        <v>1</v>
      </c>
    </row>
    <row r="683" spans="1:44">
      <c r="A683" s="1" t="str">
        <f>INDEX([2]活动总表!$A$8:$A$429,MATCH(B683,[2]活动总表!$B$8:$B$429,0))</f>
        <v>谁与争锋-特惠礼包（15-60天）</v>
      </c>
      <c r="B683" s="1">
        <v>811</v>
      </c>
      <c r="C683" s="1">
        <v>4</v>
      </c>
      <c r="D683" s="1">
        <v>5</v>
      </c>
      <c r="E683" s="1">
        <v>0</v>
      </c>
      <c r="F683" s="1" t="s">
        <v>706</v>
      </c>
      <c r="G683" s="1">
        <v>128888</v>
      </c>
      <c r="I683" s="1">
        <v>1</v>
      </c>
      <c r="X683" s="1">
        <v>121501</v>
      </c>
      <c r="Y683" s="1" t="str">
        <f>IFERROR(INDEX([1]物品基础表!$A:$A,MATCH(X683,[1]物品基础表!$B:$B,0)),"")</f>
        <v>传奇衣服1</v>
      </c>
      <c r="Z683" s="1">
        <v>1</v>
      </c>
      <c r="AA683" s="1">
        <v>500011</v>
      </c>
      <c r="AB683" s="1" t="str">
        <f>IFERROR(INDEX([1]物品基础表!$A:$A,MATCH(AA683,[1]物品基础表!$B:$B,0)),"")</f>
        <v>战纹碎片（小）</v>
      </c>
      <c r="AC683" s="1">
        <v>1000</v>
      </c>
      <c r="AD683" s="1">
        <v>200001</v>
      </c>
      <c r="AE683" s="1" t="str">
        <f>IFERROR(INDEX([1]物品基础表!$A:$A,MATCH(AD683,[1]物品基础表!$B:$B,0)),"")</f>
        <v>羽毛</v>
      </c>
      <c r="AF683" s="1">
        <v>100</v>
      </c>
      <c r="AG683" s="1">
        <v>200005</v>
      </c>
      <c r="AH683" s="1" t="str">
        <f>IFERROR(INDEX([1]物品基础表!$A:$A,MATCH(AG683,[1]物品基础表!$B:$B,0)),"")</f>
        <v>龙魂碎片</v>
      </c>
      <c r="AI683" s="1">
        <v>100</v>
      </c>
      <c r="AJ683" s="1">
        <v>500006</v>
      </c>
      <c r="AK683" s="1" t="str">
        <f>IFERROR(INDEX([1]物品基础表!$A:$A,MATCH(AJ683,[1]物品基础表!$B:$B,0)),"")</f>
        <v>战纹精华-金</v>
      </c>
      <c r="AL683" s="1">
        <v>10</v>
      </c>
      <c r="AM683" s="1">
        <v>200157</v>
      </c>
      <c r="AN683" s="1" t="str">
        <f>IFERROR(INDEX([1]物品基础表!$A:$A,MATCH(AM683,[1]物品基础表!$B:$B,0)),"")</f>
        <v>秘境BOSS次数卷轴</v>
      </c>
      <c r="AO683" s="1">
        <v>1</v>
      </c>
      <c r="AP683" s="1">
        <v>201002</v>
      </c>
      <c r="AQ683" s="1" t="str">
        <f>IFERROR(INDEX([1]物品基础表!$A:$A,MATCH(AP683,[1]物品基础表!$B:$B,0)),"")</f>
        <v>神秘钥匙</v>
      </c>
      <c r="AR683" s="1">
        <v>2</v>
      </c>
    </row>
    <row r="684" spans="1:44">
      <c r="A684" s="1" t="str">
        <f>INDEX([2]活动总表!$A$8:$A$429,MATCH(B684,[2]活动总表!$B$8:$B$429,0))</f>
        <v>谁与争锋-特惠礼包（61+天）</v>
      </c>
      <c r="B684" s="1">
        <v>818</v>
      </c>
      <c r="C684" s="1">
        <v>1</v>
      </c>
      <c r="D684" s="1">
        <v>5</v>
      </c>
      <c r="E684" s="1">
        <v>0</v>
      </c>
      <c r="F684" s="1" t="s">
        <v>706</v>
      </c>
      <c r="G684" s="1">
        <v>4888</v>
      </c>
      <c r="I684" s="1">
        <v>1</v>
      </c>
      <c r="X684" s="1">
        <v>200301</v>
      </c>
      <c r="Y684" s="1" t="str">
        <f>IFERROR(INDEX([1]物品基础表!$A:$A,MATCH(X684,[1]物品基础表!$B:$B,0)),"")</f>
        <v>传世宝钻</v>
      </c>
      <c r="Z684" s="1">
        <v>100</v>
      </c>
      <c r="AA684" s="1">
        <v>200996</v>
      </c>
      <c r="AB684" s="1" t="str">
        <f>IFERROR(INDEX([1]物品基础表!$A:$A,MATCH(AA684,[1]物品基础表!$B:$B,0)),"")</f>
        <v>魅惑兵魂一套</v>
      </c>
      <c r="AC684" s="1">
        <v>1</v>
      </c>
      <c r="AD684" s="1">
        <v>200005</v>
      </c>
      <c r="AE684" s="1" t="str">
        <f>IFERROR(INDEX([1]物品基础表!$A:$A,MATCH(AD684,[1]物品基础表!$B:$B,0)),"")</f>
        <v>龙魂碎片</v>
      </c>
      <c r="AF684" s="1">
        <v>50</v>
      </c>
      <c r="AG684" s="1">
        <v>201016</v>
      </c>
      <c r="AH684" s="1" t="str">
        <f>IFERROR(INDEX([1]物品基础表!$A:$A,MATCH(AG684,[1]物品基础表!$B:$B,0)),"")</f>
        <v>紫色图鉴包·传奇之路</v>
      </c>
      <c r="AI684" s="1">
        <v>1</v>
      </c>
      <c r="AJ684" s="1">
        <v>500006</v>
      </c>
      <c r="AK684" s="1" t="str">
        <f>IFERROR(INDEX([1]物品基础表!$A:$A,MATCH(AJ684,[1]物品基础表!$B:$B,0)),"")</f>
        <v>战纹精华-金</v>
      </c>
      <c r="AL684" s="1">
        <v>1</v>
      </c>
      <c r="AM684" s="1">
        <v>200156</v>
      </c>
      <c r="AN684" s="1" t="str">
        <f>IFERROR(INDEX([1]物品基础表!$A:$A,MATCH(AM684,[1]物品基础表!$B:$B,0)),"")</f>
        <v>野外BOSS次数卷轴</v>
      </c>
      <c r="AO684" s="1">
        <v>2</v>
      </c>
      <c r="AP684" s="1">
        <v>201002</v>
      </c>
      <c r="AQ684" s="1" t="str">
        <f>IFERROR(INDEX([1]物品基础表!$A:$A,MATCH(AP684,[1]物品基础表!$B:$B,0)),"")</f>
        <v>神秘钥匙</v>
      </c>
      <c r="AR684" s="1">
        <v>1</v>
      </c>
    </row>
    <row r="685" spans="1:44">
      <c r="A685" s="1" t="str">
        <f>INDEX([2]活动总表!$A$8:$A$429,MATCH(B685,[2]活动总表!$B$8:$B$429,0))</f>
        <v>谁与争锋-特惠礼包（61+天）</v>
      </c>
      <c r="B685" s="1">
        <v>818</v>
      </c>
      <c r="C685" s="1">
        <v>2</v>
      </c>
      <c r="D685" s="1">
        <v>5</v>
      </c>
      <c r="E685" s="1">
        <v>0</v>
      </c>
      <c r="F685" s="1" t="s">
        <v>706</v>
      </c>
      <c r="G685" s="1">
        <v>16888</v>
      </c>
      <c r="I685" s="1">
        <v>1</v>
      </c>
      <c r="X685" s="1">
        <v>200973</v>
      </c>
      <c r="Y685" s="1" t="str">
        <f>IFERROR(INDEX([1]物品基础表!$A:$A,MATCH(X685,[1]物品基础表!$B:$B,0)),"")</f>
        <v>极品橙色兽神装备任选宝箱</v>
      </c>
      <c r="Z685" s="1">
        <v>1</v>
      </c>
      <c r="AA685" s="1">
        <v>200005</v>
      </c>
      <c r="AB685" s="1" t="str">
        <f>IFERROR(INDEX([1]物品基础表!$A:$A,MATCH(AA685,[1]物品基础表!$B:$B,0)),"")</f>
        <v>龙魂碎片</v>
      </c>
      <c r="AC685" s="1">
        <v>60</v>
      </c>
      <c r="AD685" s="1">
        <v>200015</v>
      </c>
      <c r="AE685" s="1" t="str">
        <f>IFERROR(INDEX([1]物品基础表!$A:$A,MATCH(AD685,[1]物品基础表!$B:$B,0)),"")</f>
        <v>特戒碎片</v>
      </c>
      <c r="AF685" s="1">
        <v>700</v>
      </c>
      <c r="AG685" s="1">
        <v>201016</v>
      </c>
      <c r="AH685" s="1" t="str">
        <f>IFERROR(INDEX([1]物品基础表!$A:$A,MATCH(AG685,[1]物品基础表!$B:$B,0)),"")</f>
        <v>紫色图鉴包·传奇之路</v>
      </c>
      <c r="AI685" s="1">
        <v>1</v>
      </c>
      <c r="AJ685" s="1">
        <v>500006</v>
      </c>
      <c r="AK685" s="1" t="str">
        <f>IFERROR(INDEX([1]物品基础表!$A:$A,MATCH(AJ685,[1]物品基础表!$B:$B,0)),"")</f>
        <v>战纹精华-金</v>
      </c>
      <c r="AL685" s="1">
        <v>2</v>
      </c>
      <c r="AM685" s="1">
        <v>200157</v>
      </c>
      <c r="AN685" s="1" t="str">
        <f>IFERROR(INDEX([1]物品基础表!$A:$A,MATCH(AM685,[1]物品基础表!$B:$B,0)),"")</f>
        <v>秘境BOSS次数卷轴</v>
      </c>
      <c r="AO685" s="1">
        <v>1</v>
      </c>
      <c r="AP685" s="1">
        <v>201002</v>
      </c>
      <c r="AQ685" s="1" t="str">
        <f>IFERROR(INDEX([1]物品基础表!$A:$A,MATCH(AP685,[1]物品基础表!$B:$B,0)),"")</f>
        <v>神秘钥匙</v>
      </c>
      <c r="AR685" s="1">
        <v>1</v>
      </c>
    </row>
    <row r="686" spans="1:44">
      <c r="A686" s="1" t="str">
        <f>INDEX([2]活动总表!$A$8:$A$429,MATCH(B686,[2]活动总表!$B$8:$B$429,0))</f>
        <v>谁与争锋-特惠礼包（61+天）</v>
      </c>
      <c r="B686" s="1">
        <v>818</v>
      </c>
      <c r="C686" s="1">
        <v>3</v>
      </c>
      <c r="D686" s="1">
        <v>5</v>
      </c>
      <c r="E686" s="1">
        <v>0</v>
      </c>
      <c r="F686" s="1" t="s">
        <v>706</v>
      </c>
      <c r="G686" s="1">
        <v>38888</v>
      </c>
      <c r="I686" s="1">
        <v>1</v>
      </c>
      <c r="X686" s="1">
        <v>280001</v>
      </c>
      <c r="Y686" s="1" t="str">
        <f>IFERROR(INDEX([1]物品基础表!$A:$A,MATCH(X686,[1]物品基础表!$B:$B,0)),"")</f>
        <v>躯干魂骨(凡品)</v>
      </c>
      <c r="Z686" s="1">
        <v>1</v>
      </c>
      <c r="AA686" s="1">
        <v>280011</v>
      </c>
      <c r="AB686" s="1" t="str">
        <f>IFERROR(INDEX([1]物品基础表!$A:$A,MATCH(AA686,[1]物品基础表!$B:$B,0)),"")</f>
        <v>头部魂骨(凡品)</v>
      </c>
      <c r="AC686" s="1">
        <v>1</v>
      </c>
      <c r="AD686" s="1">
        <v>299999</v>
      </c>
      <c r="AE686" s="1" t="str">
        <f>IFERROR(INDEX([1]物品基础表!$A:$A,MATCH(AD686,[1]物品基础表!$B:$B,0)),"")</f>
        <v>神兵幻境卷</v>
      </c>
      <c r="AF686" s="1">
        <v>2</v>
      </c>
      <c r="AG686" s="1">
        <v>201017</v>
      </c>
      <c r="AH686" s="1" t="str">
        <f>IFERROR(INDEX([1]物品基础表!$A:$A,MATCH(AG686,[1]物品基础表!$B:$B,0)),"")</f>
        <v>橙色图鉴包·传奇之路</v>
      </c>
      <c r="AI686" s="1">
        <v>1</v>
      </c>
      <c r="AJ686" s="1">
        <v>500006</v>
      </c>
      <c r="AK686" s="1" t="str">
        <f>IFERROR(INDEX([1]物品基础表!$A:$A,MATCH(AJ686,[1]物品基础表!$B:$B,0)),"")</f>
        <v>战纹精华-金</v>
      </c>
      <c r="AL686" s="1">
        <v>5</v>
      </c>
      <c r="AM686" s="1">
        <v>200157</v>
      </c>
      <c r="AN686" s="1" t="str">
        <f>IFERROR(INDEX([1]物品基础表!$A:$A,MATCH(AM686,[1]物品基础表!$B:$B,0)),"")</f>
        <v>秘境BOSS次数卷轴</v>
      </c>
      <c r="AO686" s="1">
        <v>1</v>
      </c>
      <c r="AP686" s="1">
        <v>201002</v>
      </c>
      <c r="AQ686" s="1" t="str">
        <f>IFERROR(INDEX([1]物品基础表!$A:$A,MATCH(AP686,[1]物品基础表!$B:$B,0)),"")</f>
        <v>神秘钥匙</v>
      </c>
      <c r="AR686" s="1">
        <v>1</v>
      </c>
    </row>
    <row r="687" spans="1:44">
      <c r="A687" s="1" t="str">
        <f>INDEX([2]活动总表!$A$8:$A$429,MATCH(B687,[2]活动总表!$B$8:$B$429,0))</f>
        <v>谁与争锋-特惠礼包（61+天）</v>
      </c>
      <c r="B687" s="1">
        <v>818</v>
      </c>
      <c r="C687" s="1">
        <v>4</v>
      </c>
      <c r="D687" s="1">
        <v>5</v>
      </c>
      <c r="E687" s="1">
        <v>0</v>
      </c>
      <c r="F687" s="1" t="s">
        <v>706</v>
      </c>
      <c r="G687" s="1">
        <v>128888</v>
      </c>
      <c r="I687" s="1">
        <v>1</v>
      </c>
      <c r="X687" s="1">
        <v>121501</v>
      </c>
      <c r="Y687" s="1" t="str">
        <f>IFERROR(INDEX([1]物品基础表!$A:$A,MATCH(X687,[1]物品基础表!$B:$B,0)),"")</f>
        <v>传奇衣服1</v>
      </c>
      <c r="Z687" s="1">
        <v>1</v>
      </c>
      <c r="AA687" s="1">
        <v>500011</v>
      </c>
      <c r="AB687" s="1" t="str">
        <f>IFERROR(INDEX([1]物品基础表!$A:$A,MATCH(AA687,[1]物品基础表!$B:$B,0)),"")</f>
        <v>战纹碎片（小）</v>
      </c>
      <c r="AC687" s="1">
        <v>1000</v>
      </c>
      <c r="AD687" s="1">
        <v>205000</v>
      </c>
      <c r="AE687" s="1" t="str">
        <f>IFERROR(INDEX([1]物品基础表!$A:$A,MATCH(AD687,[1]物品基础表!$B:$B,0)),"")</f>
        <v>战灵进阶丹</v>
      </c>
      <c r="AF687" s="1">
        <v>100</v>
      </c>
      <c r="AG687" s="1">
        <v>200005</v>
      </c>
      <c r="AH687" s="1" t="str">
        <f>IFERROR(INDEX([1]物品基础表!$A:$A,MATCH(AG687,[1]物品基础表!$B:$B,0)),"")</f>
        <v>龙魂碎片</v>
      </c>
      <c r="AI687" s="1">
        <v>100</v>
      </c>
      <c r="AJ687" s="1">
        <v>500006</v>
      </c>
      <c r="AK687" s="1" t="str">
        <f>IFERROR(INDEX([1]物品基础表!$A:$A,MATCH(AJ687,[1]物品基础表!$B:$B,0)),"")</f>
        <v>战纹精华-金</v>
      </c>
      <c r="AL687" s="1">
        <v>10</v>
      </c>
      <c r="AM687" s="1">
        <v>200157</v>
      </c>
      <c r="AN687" s="1" t="str">
        <f>IFERROR(INDEX([1]物品基础表!$A:$A,MATCH(AM687,[1]物品基础表!$B:$B,0)),"")</f>
        <v>秘境BOSS次数卷轴</v>
      </c>
      <c r="AO687" s="1">
        <v>1</v>
      </c>
      <c r="AP687" s="1">
        <v>201002</v>
      </c>
      <c r="AQ687" s="1" t="str">
        <f>IFERROR(INDEX([1]物品基础表!$A:$A,MATCH(AP687,[1]物品基础表!$B:$B,0)),"")</f>
        <v>神秘钥匙</v>
      </c>
      <c r="AR687" s="1">
        <v>2</v>
      </c>
    </row>
    <row r="688" spans="1:44">
      <c r="A688" s="1" t="str">
        <f>INDEX([2]活动总表!$A$8:$A$429,MATCH(B688,[2]活动总表!$B$8:$B$429,0))</f>
        <v>龙抬头-限购-特戒碎片</v>
      </c>
      <c r="B688" s="1">
        <v>906</v>
      </c>
      <c r="C688" s="1">
        <v>1</v>
      </c>
      <c r="D688" s="1">
        <v>5</v>
      </c>
      <c r="E688" s="1">
        <v>0</v>
      </c>
      <c r="F688" s="1" t="s">
        <v>706</v>
      </c>
      <c r="G688" s="1">
        <v>888</v>
      </c>
      <c r="H688" s="1">
        <v>1500</v>
      </c>
      <c r="I688" s="1">
        <v>3</v>
      </c>
      <c r="O688" s="1">
        <v>59</v>
      </c>
      <c r="X688" s="1">
        <v>200015</v>
      </c>
      <c r="Y688" s="1" t="str">
        <f>IFERROR(INDEX([1]物品基础表!$A:$A,MATCH(X688,[1]物品基础表!$B:$B,0)),"")</f>
        <v>特戒碎片</v>
      </c>
      <c r="Z688" s="1">
        <v>150</v>
      </c>
      <c r="AB688" s="1" t="str">
        <f>IFERROR(INDEX([1]物品基础表!$A:$A,MATCH(AA688,[1]物品基础表!$B:$B,0)),"")</f>
        <v/>
      </c>
      <c r="AE688" s="1" t="str">
        <f>IFERROR(INDEX([1]物品基础表!$A:$A,MATCH(AD688,[1]物品基础表!$B:$B,0)),"")</f>
        <v/>
      </c>
      <c r="AH688" s="1" t="str">
        <f>IFERROR(INDEX([1]物品基础表!$A:$A,MATCH(AG688,[1]物品基础表!$B:$B,0)),"")</f>
        <v/>
      </c>
      <c r="AK688" s="1" t="str">
        <f>IFERROR(INDEX([1]物品基础表!$A:$A,MATCH(AJ688,[1]物品基础表!$B:$B,0)),"")</f>
        <v/>
      </c>
      <c r="AN688" s="1" t="str">
        <f>IFERROR(INDEX([1]物品基础表!$A:$A,MATCH(AM688,[1]物品基础表!$B:$B,0)),"")</f>
        <v/>
      </c>
      <c r="AQ688" s="1" t="str">
        <f>IFERROR(INDEX([1]物品基础表!$A:$A,MATCH(AP688,[1]物品基础表!$B:$B,0)),"")</f>
        <v/>
      </c>
    </row>
    <row r="689" spans="1:43">
      <c r="A689" s="1" t="str">
        <f>INDEX([2]活动总表!$A$8:$A$429,MATCH(B689,[2]活动总表!$B$8:$B$429,0))</f>
        <v>龙抬头-限购-特戒碎片</v>
      </c>
      <c r="B689" s="1">
        <v>906</v>
      </c>
      <c r="C689" s="1">
        <v>2</v>
      </c>
      <c r="D689" s="1">
        <v>7</v>
      </c>
      <c r="E689" s="1">
        <v>0</v>
      </c>
      <c r="F689" s="1" t="s">
        <v>706</v>
      </c>
      <c r="G689" s="1">
        <v>1588</v>
      </c>
      <c r="H689" s="1">
        <v>4500</v>
      </c>
      <c r="I689" s="1">
        <v>2</v>
      </c>
      <c r="O689" s="1">
        <v>35</v>
      </c>
      <c r="X689" s="1">
        <v>200015</v>
      </c>
      <c r="Y689" s="1" t="str">
        <f>IFERROR(INDEX([1]物品基础表!$A:$A,MATCH(X689,[1]物品基础表!$B:$B,0)),"")</f>
        <v>特戒碎片</v>
      </c>
      <c r="Z689" s="1">
        <v>450</v>
      </c>
      <c r="AB689" s="1" t="str">
        <f>IFERROR(INDEX([1]物品基础表!$A:$A,MATCH(AA689,[1]物品基础表!$B:$B,0)),"")</f>
        <v/>
      </c>
      <c r="AE689" s="1" t="str">
        <f>IFERROR(INDEX([1]物品基础表!$A:$A,MATCH(AD689,[1]物品基础表!$B:$B,0)),"")</f>
        <v/>
      </c>
      <c r="AH689" s="1" t="str">
        <f>IFERROR(INDEX([1]物品基础表!$A:$A,MATCH(AG689,[1]物品基础表!$B:$B,0)),"")</f>
        <v/>
      </c>
      <c r="AK689" s="1" t="str">
        <f>IFERROR(INDEX([1]物品基础表!$A:$A,MATCH(AJ689,[1]物品基础表!$B:$B,0)),"")</f>
        <v/>
      </c>
      <c r="AN689" s="1" t="str">
        <f>IFERROR(INDEX([1]物品基础表!$A:$A,MATCH(AM689,[1]物品基础表!$B:$B,0)),"")</f>
        <v/>
      </c>
      <c r="AQ689" s="1" t="str">
        <f>IFERROR(INDEX([1]物品基础表!$A:$A,MATCH(AP689,[1]物品基础表!$B:$B,0)),"")</f>
        <v/>
      </c>
    </row>
    <row r="690" spans="1:43">
      <c r="A690" s="1" t="str">
        <f>INDEX([2]活动总表!$A$8:$A$429,MATCH(B690,[2]活动总表!$B$8:$B$429,0))</f>
        <v>龙抬头-限购-特戒碎片</v>
      </c>
      <c r="B690" s="1">
        <v>906</v>
      </c>
      <c r="C690" s="1">
        <v>3</v>
      </c>
      <c r="D690" s="1">
        <v>7</v>
      </c>
      <c r="E690" s="1">
        <v>0</v>
      </c>
      <c r="F690" s="1" t="s">
        <v>706</v>
      </c>
      <c r="G690" s="1">
        <v>2888</v>
      </c>
      <c r="H690" s="1">
        <v>8000</v>
      </c>
      <c r="I690" s="1">
        <v>2</v>
      </c>
      <c r="O690" s="1">
        <v>36</v>
      </c>
      <c r="X690" s="1">
        <v>200015</v>
      </c>
      <c r="Y690" s="1" t="str">
        <f>IFERROR(INDEX([1]物品基础表!$A:$A,MATCH(X690,[1]物品基础表!$B:$B,0)),"")</f>
        <v>特戒碎片</v>
      </c>
      <c r="Z690" s="1">
        <v>800</v>
      </c>
      <c r="AB690" s="1" t="str">
        <f>IFERROR(INDEX([1]物品基础表!$A:$A,MATCH(AA690,[1]物品基础表!$B:$B,0)),"")</f>
        <v/>
      </c>
      <c r="AE690" s="1" t="str">
        <f>IFERROR(INDEX([1]物品基础表!$A:$A,MATCH(AD690,[1]物品基础表!$B:$B,0)),"")</f>
        <v/>
      </c>
      <c r="AH690" s="1" t="str">
        <f>IFERROR(INDEX([1]物品基础表!$A:$A,MATCH(AG690,[1]物品基础表!$B:$B,0)),"")</f>
        <v/>
      </c>
      <c r="AK690" s="1" t="str">
        <f>IFERROR(INDEX([1]物品基础表!$A:$A,MATCH(AJ690,[1]物品基础表!$B:$B,0)),"")</f>
        <v/>
      </c>
      <c r="AN690" s="1" t="str">
        <f>IFERROR(INDEX([1]物品基础表!$A:$A,MATCH(AM690,[1]物品基础表!$B:$B,0)),"")</f>
        <v/>
      </c>
      <c r="AQ690" s="1" t="str">
        <f>IFERROR(INDEX([1]物品基础表!$A:$A,MATCH(AP690,[1]物品基础表!$B:$B,0)),"")</f>
        <v/>
      </c>
    </row>
    <row r="691" spans="1:43">
      <c r="A691" s="1" t="str">
        <f>INDEX([2]活动总表!$A$8:$A$429,MATCH(B691,[2]活动总表!$B$8:$B$429,0))</f>
        <v>龙抬头-限购-特戒碎片</v>
      </c>
      <c r="B691" s="1">
        <v>906</v>
      </c>
      <c r="C691" s="1">
        <v>4</v>
      </c>
      <c r="D691" s="1">
        <v>5</v>
      </c>
      <c r="E691" s="1">
        <v>0</v>
      </c>
      <c r="F691" s="1" t="s">
        <v>706</v>
      </c>
      <c r="G691" s="1">
        <v>2888</v>
      </c>
      <c r="H691" s="1">
        <v>5000</v>
      </c>
      <c r="I691" s="1">
        <v>3</v>
      </c>
      <c r="O691" s="1">
        <v>57</v>
      </c>
      <c r="X691" s="1">
        <v>200015</v>
      </c>
      <c r="Y691" s="1" t="str">
        <f>IFERROR(INDEX([1]物品基础表!$A:$A,MATCH(X691,[1]物品基础表!$B:$B,0)),"")</f>
        <v>特戒碎片</v>
      </c>
      <c r="Z691" s="1">
        <v>500</v>
      </c>
      <c r="AB691" s="1" t="str">
        <f>IFERROR(INDEX([1]物品基础表!$A:$A,MATCH(AA691,[1]物品基础表!$B:$B,0)),"")</f>
        <v/>
      </c>
      <c r="AE691" s="1" t="str">
        <f>IFERROR(INDEX([1]物品基础表!$A:$A,MATCH(AD691,[1]物品基础表!$B:$B,0)),"")</f>
        <v/>
      </c>
      <c r="AH691" s="1" t="str">
        <f>IFERROR(INDEX([1]物品基础表!$A:$A,MATCH(AG691,[1]物品基础表!$B:$B,0)),"")</f>
        <v/>
      </c>
      <c r="AK691" s="1" t="str">
        <f>IFERROR(INDEX([1]物品基础表!$A:$A,MATCH(AJ691,[1]物品基础表!$B:$B,0)),"")</f>
        <v/>
      </c>
      <c r="AN691" s="1" t="str">
        <f>IFERROR(INDEX([1]物品基础表!$A:$A,MATCH(AM691,[1]物品基础表!$B:$B,0)),"")</f>
        <v/>
      </c>
      <c r="AQ691" s="1" t="str">
        <f>IFERROR(INDEX([1]物品基础表!$A:$A,MATCH(AP691,[1]物品基础表!$B:$B,0)),"")</f>
        <v/>
      </c>
    </row>
    <row r="692" spans="1:43">
      <c r="A692" s="1" t="str">
        <f>INDEX([2]活动总表!$A$8:$A$429,MATCH(B692,[2]活动总表!$B$8:$B$429,0))</f>
        <v>龙抬头-限购-特戒碎片</v>
      </c>
      <c r="B692" s="1">
        <v>906</v>
      </c>
      <c r="C692" s="1">
        <v>5</v>
      </c>
      <c r="D692" s="1">
        <v>5</v>
      </c>
      <c r="E692" s="1">
        <v>0</v>
      </c>
      <c r="F692" s="1" t="s">
        <v>706</v>
      </c>
      <c r="G692" s="1">
        <v>8888</v>
      </c>
      <c r="H692" s="1">
        <v>15000</v>
      </c>
      <c r="I692" s="1">
        <v>10</v>
      </c>
      <c r="O692" s="1">
        <v>59</v>
      </c>
      <c r="X692" s="1">
        <v>200015</v>
      </c>
      <c r="Y692" s="1" t="str">
        <f>IFERROR(INDEX([1]物品基础表!$A:$A,MATCH(X692,[1]物品基础表!$B:$B,0)),"")</f>
        <v>特戒碎片</v>
      </c>
      <c r="Z692" s="1">
        <v>1500</v>
      </c>
      <c r="AB692" s="1" t="str">
        <f>IFERROR(INDEX([1]物品基础表!$A:$A,MATCH(AA692,[1]物品基础表!$B:$B,0)),"")</f>
        <v/>
      </c>
      <c r="AE692" s="1" t="str">
        <f>IFERROR(INDEX([1]物品基础表!$A:$A,MATCH(AD692,[1]物品基础表!$B:$B,0)),"")</f>
        <v/>
      </c>
      <c r="AH692" s="1" t="str">
        <f>IFERROR(INDEX([1]物品基础表!$A:$A,MATCH(AG692,[1]物品基础表!$B:$B,0)),"")</f>
        <v/>
      </c>
      <c r="AK692" s="1" t="str">
        <f>IFERROR(INDEX([1]物品基础表!$A:$A,MATCH(AJ692,[1]物品基础表!$B:$B,0)),"")</f>
        <v/>
      </c>
      <c r="AN692" s="1" t="str">
        <f>IFERROR(INDEX([1]物品基础表!$A:$A,MATCH(AM692,[1]物品基础表!$B:$B,0)),"")</f>
        <v/>
      </c>
      <c r="AQ692" s="1" t="str">
        <f>IFERROR(INDEX([1]物品基础表!$A:$A,MATCH(AP692,[1]物品基础表!$B:$B,0)),"")</f>
        <v/>
      </c>
    </row>
    <row r="693" spans="1:43">
      <c r="A693" s="1" t="str">
        <f>INDEX([2]活动总表!$A$8:$A$429,MATCH(B693,[2]活动总表!$B$8:$B$429,0))</f>
        <v>龙抬头-限购-特戒碎片</v>
      </c>
      <c r="B693" s="1">
        <v>907</v>
      </c>
      <c r="C693" s="1">
        <v>1</v>
      </c>
      <c r="D693" s="1">
        <v>5</v>
      </c>
      <c r="E693" s="1">
        <v>0</v>
      </c>
      <c r="F693" s="1" t="s">
        <v>706</v>
      </c>
      <c r="G693" s="1">
        <v>888</v>
      </c>
      <c r="H693" s="1">
        <v>1500</v>
      </c>
      <c r="I693" s="1">
        <v>3</v>
      </c>
      <c r="O693" s="1">
        <v>59</v>
      </c>
      <c r="X693" s="1">
        <v>200015</v>
      </c>
      <c r="Y693" s="1" t="str">
        <f>IFERROR(INDEX([1]物品基础表!$A:$A,MATCH(X693,[1]物品基础表!$B:$B,0)),"")</f>
        <v>特戒碎片</v>
      </c>
      <c r="Z693" s="1">
        <v>150</v>
      </c>
      <c r="AB693" s="1" t="str">
        <f>IFERROR(INDEX([1]物品基础表!$A:$A,MATCH(AA693,[1]物品基础表!$B:$B,0)),"")</f>
        <v/>
      </c>
      <c r="AE693" s="1" t="str">
        <f>IFERROR(INDEX([1]物品基础表!$A:$A,MATCH(AD693,[1]物品基础表!$B:$B,0)),"")</f>
        <v/>
      </c>
      <c r="AH693" s="1" t="str">
        <f>IFERROR(INDEX([1]物品基础表!$A:$A,MATCH(AG693,[1]物品基础表!$B:$B,0)),"")</f>
        <v/>
      </c>
      <c r="AK693" s="1" t="str">
        <f>IFERROR(INDEX([1]物品基础表!$A:$A,MATCH(AJ693,[1]物品基础表!$B:$B,0)),"")</f>
        <v/>
      </c>
      <c r="AN693" s="1" t="str">
        <f>IFERROR(INDEX([1]物品基础表!$A:$A,MATCH(AM693,[1]物品基础表!$B:$B,0)),"")</f>
        <v/>
      </c>
      <c r="AQ693" s="1" t="str">
        <f>IFERROR(INDEX([1]物品基础表!$A:$A,MATCH(AP693,[1]物品基础表!$B:$B,0)),"")</f>
        <v/>
      </c>
    </row>
    <row r="694" spans="1:43">
      <c r="A694" s="1" t="str">
        <f>INDEX([2]活动总表!$A$8:$A$429,MATCH(B694,[2]活动总表!$B$8:$B$429,0))</f>
        <v>龙抬头-限购-特戒碎片</v>
      </c>
      <c r="B694" s="1">
        <v>907</v>
      </c>
      <c r="C694" s="1">
        <v>2</v>
      </c>
      <c r="D694" s="1">
        <v>7</v>
      </c>
      <c r="E694" s="1">
        <v>0</v>
      </c>
      <c r="F694" s="1" t="s">
        <v>706</v>
      </c>
      <c r="G694" s="1">
        <v>1588</v>
      </c>
      <c r="H694" s="1">
        <v>4500</v>
      </c>
      <c r="I694" s="1">
        <v>2</v>
      </c>
      <c r="O694" s="1">
        <v>35</v>
      </c>
      <c r="X694" s="1">
        <v>200015</v>
      </c>
      <c r="Y694" s="1" t="str">
        <f>IFERROR(INDEX([1]物品基础表!$A:$A,MATCH(X694,[1]物品基础表!$B:$B,0)),"")</f>
        <v>特戒碎片</v>
      </c>
      <c r="Z694" s="1">
        <v>450</v>
      </c>
      <c r="AB694" s="1" t="str">
        <f>IFERROR(INDEX([1]物品基础表!$A:$A,MATCH(AA694,[1]物品基础表!$B:$B,0)),"")</f>
        <v/>
      </c>
      <c r="AE694" s="1" t="str">
        <f>IFERROR(INDEX([1]物品基础表!$A:$A,MATCH(AD694,[1]物品基础表!$B:$B,0)),"")</f>
        <v/>
      </c>
      <c r="AH694" s="1" t="str">
        <f>IFERROR(INDEX([1]物品基础表!$A:$A,MATCH(AG694,[1]物品基础表!$B:$B,0)),"")</f>
        <v/>
      </c>
      <c r="AK694" s="1" t="str">
        <f>IFERROR(INDEX([1]物品基础表!$A:$A,MATCH(AJ694,[1]物品基础表!$B:$B,0)),"")</f>
        <v/>
      </c>
      <c r="AN694" s="1" t="str">
        <f>IFERROR(INDEX([1]物品基础表!$A:$A,MATCH(AM694,[1]物品基础表!$B:$B,0)),"")</f>
        <v/>
      </c>
      <c r="AQ694" s="1" t="str">
        <f>IFERROR(INDEX([1]物品基础表!$A:$A,MATCH(AP694,[1]物品基础表!$B:$B,0)),"")</f>
        <v/>
      </c>
    </row>
    <row r="695" spans="1:43">
      <c r="A695" s="1" t="str">
        <f>INDEX([2]活动总表!$A$8:$A$429,MATCH(B695,[2]活动总表!$B$8:$B$429,0))</f>
        <v>龙抬头-限购-特戒碎片</v>
      </c>
      <c r="B695" s="1">
        <v>907</v>
      </c>
      <c r="C695" s="1">
        <v>3</v>
      </c>
      <c r="D695" s="1">
        <v>7</v>
      </c>
      <c r="E695" s="1">
        <v>0</v>
      </c>
      <c r="F695" s="1" t="s">
        <v>706</v>
      </c>
      <c r="G695" s="1">
        <v>2888</v>
      </c>
      <c r="H695" s="1">
        <v>8000</v>
      </c>
      <c r="I695" s="1">
        <v>2</v>
      </c>
      <c r="O695" s="1">
        <v>36</v>
      </c>
      <c r="X695" s="1">
        <v>200015</v>
      </c>
      <c r="Y695" s="1" t="str">
        <f>IFERROR(INDEX([1]物品基础表!$A:$A,MATCH(X695,[1]物品基础表!$B:$B,0)),"")</f>
        <v>特戒碎片</v>
      </c>
      <c r="Z695" s="1">
        <v>800</v>
      </c>
      <c r="AB695" s="1" t="str">
        <f>IFERROR(INDEX([1]物品基础表!$A:$A,MATCH(AA695,[1]物品基础表!$B:$B,0)),"")</f>
        <v/>
      </c>
      <c r="AE695" s="1" t="str">
        <f>IFERROR(INDEX([1]物品基础表!$A:$A,MATCH(AD695,[1]物品基础表!$B:$B,0)),"")</f>
        <v/>
      </c>
      <c r="AH695" s="1" t="str">
        <f>IFERROR(INDEX([1]物品基础表!$A:$A,MATCH(AG695,[1]物品基础表!$B:$B,0)),"")</f>
        <v/>
      </c>
      <c r="AK695" s="1" t="str">
        <f>IFERROR(INDEX([1]物品基础表!$A:$A,MATCH(AJ695,[1]物品基础表!$B:$B,0)),"")</f>
        <v/>
      </c>
      <c r="AN695" s="1" t="str">
        <f>IFERROR(INDEX([1]物品基础表!$A:$A,MATCH(AM695,[1]物品基础表!$B:$B,0)),"")</f>
        <v/>
      </c>
      <c r="AQ695" s="1" t="str">
        <f>IFERROR(INDEX([1]物品基础表!$A:$A,MATCH(AP695,[1]物品基础表!$B:$B,0)),"")</f>
        <v/>
      </c>
    </row>
    <row r="696" spans="1:43">
      <c r="A696" s="1" t="str">
        <f>INDEX([2]活动总表!$A$8:$A$429,MATCH(B696,[2]活动总表!$B$8:$B$429,0))</f>
        <v>龙抬头-限购-特戒碎片</v>
      </c>
      <c r="B696" s="1">
        <v>907</v>
      </c>
      <c r="C696" s="1">
        <v>4</v>
      </c>
      <c r="D696" s="1">
        <v>5</v>
      </c>
      <c r="E696" s="1">
        <v>0</v>
      </c>
      <c r="F696" s="1" t="s">
        <v>706</v>
      </c>
      <c r="G696" s="1">
        <v>2888</v>
      </c>
      <c r="H696" s="1">
        <v>5000</v>
      </c>
      <c r="I696" s="1">
        <v>3</v>
      </c>
      <c r="O696" s="1">
        <v>57</v>
      </c>
      <c r="X696" s="1">
        <v>200015</v>
      </c>
      <c r="Y696" s="1" t="str">
        <f>IFERROR(INDEX([1]物品基础表!$A:$A,MATCH(X696,[1]物品基础表!$B:$B,0)),"")</f>
        <v>特戒碎片</v>
      </c>
      <c r="Z696" s="1">
        <v>500</v>
      </c>
      <c r="AB696" s="1" t="str">
        <f>IFERROR(INDEX([1]物品基础表!$A:$A,MATCH(AA696,[1]物品基础表!$B:$B,0)),"")</f>
        <v/>
      </c>
      <c r="AE696" s="1" t="str">
        <f>IFERROR(INDEX([1]物品基础表!$A:$A,MATCH(AD696,[1]物品基础表!$B:$B,0)),"")</f>
        <v/>
      </c>
      <c r="AH696" s="1" t="str">
        <f>IFERROR(INDEX([1]物品基础表!$A:$A,MATCH(AG696,[1]物品基础表!$B:$B,0)),"")</f>
        <v/>
      </c>
      <c r="AK696" s="1" t="str">
        <f>IFERROR(INDEX([1]物品基础表!$A:$A,MATCH(AJ696,[1]物品基础表!$B:$B,0)),"")</f>
        <v/>
      </c>
      <c r="AN696" s="1" t="str">
        <f>IFERROR(INDEX([1]物品基础表!$A:$A,MATCH(AM696,[1]物品基础表!$B:$B,0)),"")</f>
        <v/>
      </c>
      <c r="AQ696" s="1" t="str">
        <f>IFERROR(INDEX([1]物品基础表!$A:$A,MATCH(AP696,[1]物品基础表!$B:$B,0)),"")</f>
        <v/>
      </c>
    </row>
    <row r="697" spans="1:43">
      <c r="A697" s="1" t="str">
        <f>INDEX([2]活动总表!$A$8:$A$429,MATCH(B697,[2]活动总表!$B$8:$B$429,0))</f>
        <v>龙抬头-限购-特戒碎片</v>
      </c>
      <c r="B697" s="1">
        <v>907</v>
      </c>
      <c r="C697" s="1">
        <v>5</v>
      </c>
      <c r="D697" s="1">
        <v>5</v>
      </c>
      <c r="E697" s="1">
        <v>0</v>
      </c>
      <c r="F697" s="1" t="s">
        <v>706</v>
      </c>
      <c r="G697" s="1">
        <v>8888</v>
      </c>
      <c r="H697" s="1">
        <v>15000</v>
      </c>
      <c r="I697" s="1">
        <v>10</v>
      </c>
      <c r="O697" s="1">
        <v>59</v>
      </c>
      <c r="X697" s="1">
        <v>200015</v>
      </c>
      <c r="Y697" s="1" t="str">
        <f>IFERROR(INDEX([1]物品基础表!$A:$A,MATCH(X697,[1]物品基础表!$B:$B,0)),"")</f>
        <v>特戒碎片</v>
      </c>
      <c r="Z697" s="1">
        <v>1500</v>
      </c>
      <c r="AB697" s="1" t="str">
        <f>IFERROR(INDEX([1]物品基础表!$A:$A,MATCH(AA697,[1]物品基础表!$B:$B,0)),"")</f>
        <v/>
      </c>
      <c r="AE697" s="1" t="str">
        <f>IFERROR(INDEX([1]物品基础表!$A:$A,MATCH(AD697,[1]物品基础表!$B:$B,0)),"")</f>
        <v/>
      </c>
      <c r="AH697" s="1" t="str">
        <f>IFERROR(INDEX([1]物品基础表!$A:$A,MATCH(AG697,[1]物品基础表!$B:$B,0)),"")</f>
        <v/>
      </c>
      <c r="AK697" s="1" t="str">
        <f>IFERROR(INDEX([1]物品基础表!$A:$A,MATCH(AJ697,[1]物品基础表!$B:$B,0)),"")</f>
        <v/>
      </c>
      <c r="AN697" s="1" t="str">
        <f>IFERROR(INDEX([1]物品基础表!$A:$A,MATCH(AM697,[1]物品基础表!$B:$B,0)),"")</f>
        <v/>
      </c>
      <c r="AQ697" s="1" t="str">
        <f>IFERROR(INDEX([1]物品基础表!$A:$A,MATCH(AP697,[1]物品基础表!$B:$B,0)),"")</f>
        <v/>
      </c>
    </row>
    <row r="698" spans="1:43">
      <c r="A698" s="1" t="str">
        <f>INDEX([2]活动总表!$A$8:$A$429,MATCH(B698,[2]活动总表!$B$8:$B$429,0))</f>
        <v>龙抬头-限购-特戒碎片</v>
      </c>
      <c r="B698" s="1">
        <v>908</v>
      </c>
      <c r="C698" s="1">
        <v>1</v>
      </c>
      <c r="D698" s="1">
        <v>5</v>
      </c>
      <c r="E698" s="1">
        <v>0</v>
      </c>
      <c r="F698" s="1" t="s">
        <v>706</v>
      </c>
      <c r="G698" s="1">
        <v>888</v>
      </c>
      <c r="H698" s="1">
        <v>1500</v>
      </c>
      <c r="I698" s="1">
        <v>3</v>
      </c>
      <c r="O698" s="1">
        <v>59</v>
      </c>
      <c r="X698" s="1">
        <v>200015</v>
      </c>
      <c r="Y698" s="1" t="str">
        <f>IFERROR(INDEX([1]物品基础表!$A:$A,MATCH(X698,[1]物品基础表!$B:$B,0)),"")</f>
        <v>特戒碎片</v>
      </c>
      <c r="Z698" s="1">
        <v>150</v>
      </c>
      <c r="AB698" s="1" t="str">
        <f>IFERROR(INDEX([1]物品基础表!$A:$A,MATCH(AA698,[1]物品基础表!$B:$B,0)),"")</f>
        <v/>
      </c>
      <c r="AE698" s="1" t="str">
        <f>IFERROR(INDEX([1]物品基础表!$A:$A,MATCH(AD698,[1]物品基础表!$B:$B,0)),"")</f>
        <v/>
      </c>
      <c r="AH698" s="1" t="str">
        <f>IFERROR(INDEX([1]物品基础表!$A:$A,MATCH(AG698,[1]物品基础表!$B:$B,0)),"")</f>
        <v/>
      </c>
      <c r="AK698" s="1" t="str">
        <f>IFERROR(INDEX([1]物品基础表!$A:$A,MATCH(AJ698,[1]物品基础表!$B:$B,0)),"")</f>
        <v/>
      </c>
      <c r="AN698" s="1" t="str">
        <f>IFERROR(INDEX([1]物品基础表!$A:$A,MATCH(AM698,[1]物品基础表!$B:$B,0)),"")</f>
        <v/>
      </c>
      <c r="AQ698" s="1" t="str">
        <f>IFERROR(INDEX([1]物品基础表!$A:$A,MATCH(AP698,[1]物品基础表!$B:$B,0)),"")</f>
        <v/>
      </c>
    </row>
    <row r="699" spans="1:43">
      <c r="A699" s="1" t="str">
        <f>INDEX([2]活动总表!$A$8:$A$429,MATCH(B699,[2]活动总表!$B$8:$B$429,0))</f>
        <v>龙抬头-限购-特戒碎片</v>
      </c>
      <c r="B699" s="1">
        <v>908</v>
      </c>
      <c r="C699" s="1">
        <v>2</v>
      </c>
      <c r="D699" s="1">
        <v>7</v>
      </c>
      <c r="E699" s="1">
        <v>0</v>
      </c>
      <c r="F699" s="1" t="s">
        <v>706</v>
      </c>
      <c r="G699" s="1">
        <v>1588</v>
      </c>
      <c r="H699" s="1">
        <v>4500</v>
      </c>
      <c r="I699" s="1">
        <v>2</v>
      </c>
      <c r="O699" s="1">
        <v>35</v>
      </c>
      <c r="X699" s="1">
        <v>200015</v>
      </c>
      <c r="Y699" s="1" t="str">
        <f>IFERROR(INDEX([1]物品基础表!$A:$A,MATCH(X699,[1]物品基础表!$B:$B,0)),"")</f>
        <v>特戒碎片</v>
      </c>
      <c r="Z699" s="1">
        <v>450</v>
      </c>
      <c r="AB699" s="1" t="str">
        <f>IFERROR(INDEX([1]物品基础表!$A:$A,MATCH(AA699,[1]物品基础表!$B:$B,0)),"")</f>
        <v/>
      </c>
      <c r="AE699" s="1" t="str">
        <f>IFERROR(INDEX([1]物品基础表!$A:$A,MATCH(AD699,[1]物品基础表!$B:$B,0)),"")</f>
        <v/>
      </c>
      <c r="AH699" s="1" t="str">
        <f>IFERROR(INDEX([1]物品基础表!$A:$A,MATCH(AG699,[1]物品基础表!$B:$B,0)),"")</f>
        <v/>
      </c>
      <c r="AK699" s="1" t="str">
        <f>IFERROR(INDEX([1]物品基础表!$A:$A,MATCH(AJ699,[1]物品基础表!$B:$B,0)),"")</f>
        <v/>
      </c>
      <c r="AN699" s="1" t="str">
        <f>IFERROR(INDEX([1]物品基础表!$A:$A,MATCH(AM699,[1]物品基础表!$B:$B,0)),"")</f>
        <v/>
      </c>
      <c r="AQ699" s="1" t="str">
        <f>IFERROR(INDEX([1]物品基础表!$A:$A,MATCH(AP699,[1]物品基础表!$B:$B,0)),"")</f>
        <v/>
      </c>
    </row>
    <row r="700" spans="1:43">
      <c r="A700" s="1" t="str">
        <f>INDEX([2]活动总表!$A$8:$A$429,MATCH(B700,[2]活动总表!$B$8:$B$429,0))</f>
        <v>龙抬头-限购-特戒碎片</v>
      </c>
      <c r="B700" s="1">
        <v>908</v>
      </c>
      <c r="C700" s="1">
        <v>3</v>
      </c>
      <c r="D700" s="1">
        <v>7</v>
      </c>
      <c r="E700" s="1">
        <v>0</v>
      </c>
      <c r="F700" s="1" t="s">
        <v>706</v>
      </c>
      <c r="G700" s="1">
        <v>2888</v>
      </c>
      <c r="H700" s="1">
        <v>8000</v>
      </c>
      <c r="I700" s="1">
        <v>2</v>
      </c>
      <c r="O700" s="1">
        <v>36</v>
      </c>
      <c r="X700" s="1">
        <v>200015</v>
      </c>
      <c r="Y700" s="1" t="str">
        <f>IFERROR(INDEX([1]物品基础表!$A:$A,MATCH(X700,[1]物品基础表!$B:$B,0)),"")</f>
        <v>特戒碎片</v>
      </c>
      <c r="Z700" s="1">
        <v>800</v>
      </c>
      <c r="AB700" s="1" t="str">
        <f>IFERROR(INDEX([1]物品基础表!$A:$A,MATCH(AA700,[1]物品基础表!$B:$B,0)),"")</f>
        <v/>
      </c>
      <c r="AE700" s="1" t="str">
        <f>IFERROR(INDEX([1]物品基础表!$A:$A,MATCH(AD700,[1]物品基础表!$B:$B,0)),"")</f>
        <v/>
      </c>
      <c r="AH700" s="1" t="str">
        <f>IFERROR(INDEX([1]物品基础表!$A:$A,MATCH(AG700,[1]物品基础表!$B:$B,0)),"")</f>
        <v/>
      </c>
      <c r="AK700" s="1" t="str">
        <f>IFERROR(INDEX([1]物品基础表!$A:$A,MATCH(AJ700,[1]物品基础表!$B:$B,0)),"")</f>
        <v/>
      </c>
      <c r="AN700" s="1" t="str">
        <f>IFERROR(INDEX([1]物品基础表!$A:$A,MATCH(AM700,[1]物品基础表!$B:$B,0)),"")</f>
        <v/>
      </c>
      <c r="AQ700" s="1" t="str">
        <f>IFERROR(INDEX([1]物品基础表!$A:$A,MATCH(AP700,[1]物品基础表!$B:$B,0)),"")</f>
        <v/>
      </c>
    </row>
    <row r="701" spans="1:43">
      <c r="A701" s="1" t="str">
        <f>INDEX([2]活动总表!$A$8:$A$429,MATCH(B701,[2]活动总表!$B$8:$B$429,0))</f>
        <v>龙抬头-限购-特戒碎片</v>
      </c>
      <c r="B701" s="1">
        <v>908</v>
      </c>
      <c r="C701" s="1">
        <v>4</v>
      </c>
      <c r="D701" s="1">
        <v>5</v>
      </c>
      <c r="E701" s="1">
        <v>0</v>
      </c>
      <c r="F701" s="1" t="s">
        <v>706</v>
      </c>
      <c r="G701" s="1">
        <v>2888</v>
      </c>
      <c r="H701" s="1">
        <v>5000</v>
      </c>
      <c r="I701" s="1">
        <v>3</v>
      </c>
      <c r="O701" s="1">
        <v>57</v>
      </c>
      <c r="X701" s="1">
        <v>200015</v>
      </c>
      <c r="Y701" s="1" t="str">
        <f>IFERROR(INDEX([1]物品基础表!$A:$A,MATCH(X701,[1]物品基础表!$B:$B,0)),"")</f>
        <v>特戒碎片</v>
      </c>
      <c r="Z701" s="1">
        <v>500</v>
      </c>
      <c r="AB701" s="1" t="str">
        <f>IFERROR(INDEX([1]物品基础表!$A:$A,MATCH(AA701,[1]物品基础表!$B:$B,0)),"")</f>
        <v/>
      </c>
      <c r="AE701" s="1" t="str">
        <f>IFERROR(INDEX([1]物品基础表!$A:$A,MATCH(AD701,[1]物品基础表!$B:$B,0)),"")</f>
        <v/>
      </c>
      <c r="AH701" s="1" t="str">
        <f>IFERROR(INDEX([1]物品基础表!$A:$A,MATCH(AG701,[1]物品基础表!$B:$B,0)),"")</f>
        <v/>
      </c>
      <c r="AK701" s="1" t="str">
        <f>IFERROR(INDEX([1]物品基础表!$A:$A,MATCH(AJ701,[1]物品基础表!$B:$B,0)),"")</f>
        <v/>
      </c>
      <c r="AN701" s="1" t="str">
        <f>IFERROR(INDEX([1]物品基础表!$A:$A,MATCH(AM701,[1]物品基础表!$B:$B,0)),"")</f>
        <v/>
      </c>
      <c r="AQ701" s="1" t="str">
        <f>IFERROR(INDEX([1]物品基础表!$A:$A,MATCH(AP701,[1]物品基础表!$B:$B,0)),"")</f>
        <v/>
      </c>
    </row>
    <row r="702" spans="1:43">
      <c r="A702" s="1" t="str">
        <f>INDEX([2]活动总表!$A$8:$A$429,MATCH(B702,[2]活动总表!$B$8:$B$429,0))</f>
        <v>龙抬头-限购-特戒碎片</v>
      </c>
      <c r="B702" s="1">
        <v>908</v>
      </c>
      <c r="C702" s="1">
        <v>5</v>
      </c>
      <c r="D702" s="1">
        <v>5</v>
      </c>
      <c r="E702" s="1">
        <v>0</v>
      </c>
      <c r="F702" s="1" t="s">
        <v>706</v>
      </c>
      <c r="G702" s="1">
        <v>8888</v>
      </c>
      <c r="H702" s="1">
        <v>15000</v>
      </c>
      <c r="I702" s="1">
        <v>10</v>
      </c>
      <c r="O702" s="1">
        <v>59</v>
      </c>
      <c r="X702" s="1">
        <v>200015</v>
      </c>
      <c r="Y702" s="1" t="str">
        <f>IFERROR(INDEX([1]物品基础表!$A:$A,MATCH(X702,[1]物品基础表!$B:$B,0)),"")</f>
        <v>特戒碎片</v>
      </c>
      <c r="Z702" s="1">
        <v>1500</v>
      </c>
      <c r="AB702" s="1" t="str">
        <f>IFERROR(INDEX([1]物品基础表!$A:$A,MATCH(AA702,[1]物品基础表!$B:$B,0)),"")</f>
        <v/>
      </c>
      <c r="AE702" s="1" t="str">
        <f>IFERROR(INDEX([1]物品基础表!$A:$A,MATCH(AD702,[1]物品基础表!$B:$B,0)),"")</f>
        <v/>
      </c>
      <c r="AH702" s="1" t="str">
        <f>IFERROR(INDEX([1]物品基础表!$A:$A,MATCH(AG702,[1]物品基础表!$B:$B,0)),"")</f>
        <v/>
      </c>
      <c r="AK702" s="1" t="str">
        <f>IFERROR(INDEX([1]物品基础表!$A:$A,MATCH(AJ702,[1]物品基础表!$B:$B,0)),"")</f>
        <v/>
      </c>
      <c r="AN702" s="1" t="str">
        <f>IFERROR(INDEX([1]物品基础表!$A:$A,MATCH(AM702,[1]物品基础表!$B:$B,0)),"")</f>
        <v/>
      </c>
      <c r="AQ702" s="1" t="str">
        <f>IFERROR(INDEX([1]物品基础表!$A:$A,MATCH(AP702,[1]物品基础表!$B:$B,0)),"")</f>
        <v/>
      </c>
    </row>
    <row r="703" spans="1:43">
      <c r="A703" s="1" t="str">
        <f>INDEX([2]活动总表!$A$8:$A$429,MATCH(B703,[2]活动总表!$B$8:$B$429,0))</f>
        <v>龙抬头-限购-符石</v>
      </c>
      <c r="B703" s="1">
        <v>909</v>
      </c>
      <c r="C703" s="1">
        <v>1</v>
      </c>
      <c r="D703" s="1">
        <v>5</v>
      </c>
      <c r="E703" s="1">
        <v>0</v>
      </c>
      <c r="F703" s="1" t="s">
        <v>706</v>
      </c>
      <c r="G703" s="1">
        <v>888</v>
      </c>
      <c r="H703" s="1">
        <v>1500</v>
      </c>
      <c r="I703" s="1">
        <v>3</v>
      </c>
      <c r="O703" s="1">
        <v>59</v>
      </c>
      <c r="X703" s="1">
        <v>200208</v>
      </c>
      <c r="Y703" s="1" t="str">
        <f>IFERROR(INDEX([1]物品基础表!$A:$A,MATCH(X703,[1]物品基础表!$B:$B,0)),"")</f>
        <v>烈焰印记低级升级材料</v>
      </c>
      <c r="Z703" s="1">
        <v>150</v>
      </c>
      <c r="AB703" s="1" t="str">
        <f>IFERROR(INDEX([1]物品基础表!$A:$A,MATCH(AA703,[1]物品基础表!$B:$B,0)),"")</f>
        <v/>
      </c>
      <c r="AE703" s="1" t="str">
        <f>IFERROR(INDEX([1]物品基础表!$A:$A,MATCH(AD703,[1]物品基础表!$B:$B,0)),"")</f>
        <v/>
      </c>
      <c r="AH703" s="1" t="str">
        <f>IFERROR(INDEX([1]物品基础表!$A:$A,MATCH(AG703,[1]物品基础表!$B:$B,0)),"")</f>
        <v/>
      </c>
      <c r="AK703" s="1" t="str">
        <f>IFERROR(INDEX([1]物品基础表!$A:$A,MATCH(AJ703,[1]物品基础表!$B:$B,0)),"")</f>
        <v/>
      </c>
      <c r="AN703" s="1" t="str">
        <f>IFERROR(INDEX([1]物品基础表!$A:$A,MATCH(AM703,[1]物品基础表!$B:$B,0)),"")</f>
        <v/>
      </c>
      <c r="AQ703" s="1" t="str">
        <f>IFERROR(INDEX([1]物品基础表!$A:$A,MATCH(AP703,[1]物品基础表!$B:$B,0)),"")</f>
        <v/>
      </c>
    </row>
    <row r="704" spans="1:43">
      <c r="A704" s="1" t="str">
        <f>INDEX([2]活动总表!$A$8:$A$429,MATCH(B704,[2]活动总表!$B$8:$B$429,0))</f>
        <v>龙抬头-限购-符石</v>
      </c>
      <c r="B704" s="1">
        <v>909</v>
      </c>
      <c r="C704" s="1">
        <v>2</v>
      </c>
      <c r="D704" s="1">
        <v>7</v>
      </c>
      <c r="E704" s="1">
        <v>0</v>
      </c>
      <c r="F704" s="1" t="s">
        <v>706</v>
      </c>
      <c r="G704" s="1">
        <v>1588</v>
      </c>
      <c r="H704" s="1">
        <v>4500</v>
      </c>
      <c r="I704" s="1">
        <v>2</v>
      </c>
      <c r="O704" s="1">
        <v>35</v>
      </c>
      <c r="X704" s="1">
        <v>200208</v>
      </c>
      <c r="Y704" s="1" t="str">
        <f>IFERROR(INDEX([1]物品基础表!$A:$A,MATCH(X704,[1]物品基础表!$B:$B,0)),"")</f>
        <v>烈焰印记低级升级材料</v>
      </c>
      <c r="Z704" s="1">
        <v>450</v>
      </c>
      <c r="AB704" s="1" t="str">
        <f>IFERROR(INDEX([1]物品基础表!$A:$A,MATCH(AA704,[1]物品基础表!$B:$B,0)),"")</f>
        <v/>
      </c>
      <c r="AE704" s="1" t="str">
        <f>IFERROR(INDEX([1]物品基础表!$A:$A,MATCH(AD704,[1]物品基础表!$B:$B,0)),"")</f>
        <v/>
      </c>
      <c r="AH704" s="1" t="str">
        <f>IFERROR(INDEX([1]物品基础表!$A:$A,MATCH(AG704,[1]物品基础表!$B:$B,0)),"")</f>
        <v/>
      </c>
      <c r="AK704" s="1" t="str">
        <f>IFERROR(INDEX([1]物品基础表!$A:$A,MATCH(AJ704,[1]物品基础表!$B:$B,0)),"")</f>
        <v/>
      </c>
      <c r="AN704" s="1" t="str">
        <f>IFERROR(INDEX([1]物品基础表!$A:$A,MATCH(AM704,[1]物品基础表!$B:$B,0)),"")</f>
        <v/>
      </c>
      <c r="AQ704" s="1" t="str">
        <f>IFERROR(INDEX([1]物品基础表!$A:$A,MATCH(AP704,[1]物品基础表!$B:$B,0)),"")</f>
        <v/>
      </c>
    </row>
    <row r="705" spans="1:43">
      <c r="A705" s="1" t="str">
        <f>INDEX([2]活动总表!$A$8:$A$429,MATCH(B705,[2]活动总表!$B$8:$B$429,0))</f>
        <v>龙抬头-限购-符石</v>
      </c>
      <c r="B705" s="1">
        <v>909</v>
      </c>
      <c r="C705" s="1">
        <v>3</v>
      </c>
      <c r="D705" s="1">
        <v>7</v>
      </c>
      <c r="E705" s="1">
        <v>0</v>
      </c>
      <c r="F705" s="1" t="s">
        <v>706</v>
      </c>
      <c r="G705" s="1">
        <v>2888</v>
      </c>
      <c r="H705" s="1">
        <v>8000</v>
      </c>
      <c r="I705" s="1">
        <v>2</v>
      </c>
      <c r="O705" s="1">
        <v>36</v>
      </c>
      <c r="X705" s="1">
        <v>200208</v>
      </c>
      <c r="Y705" s="1" t="str">
        <f>IFERROR(INDEX([1]物品基础表!$A:$A,MATCH(X705,[1]物品基础表!$B:$B,0)),"")</f>
        <v>烈焰印记低级升级材料</v>
      </c>
      <c r="Z705" s="1">
        <v>800</v>
      </c>
      <c r="AB705" s="1" t="str">
        <f>IFERROR(INDEX([1]物品基础表!$A:$A,MATCH(AA705,[1]物品基础表!$B:$B,0)),"")</f>
        <v/>
      </c>
      <c r="AE705" s="1" t="str">
        <f>IFERROR(INDEX([1]物品基础表!$A:$A,MATCH(AD705,[1]物品基础表!$B:$B,0)),"")</f>
        <v/>
      </c>
      <c r="AH705" s="1" t="str">
        <f>IFERROR(INDEX([1]物品基础表!$A:$A,MATCH(AG705,[1]物品基础表!$B:$B,0)),"")</f>
        <v/>
      </c>
      <c r="AK705" s="1" t="str">
        <f>IFERROR(INDEX([1]物品基础表!$A:$A,MATCH(AJ705,[1]物品基础表!$B:$B,0)),"")</f>
        <v/>
      </c>
      <c r="AN705" s="1" t="str">
        <f>IFERROR(INDEX([1]物品基础表!$A:$A,MATCH(AM705,[1]物品基础表!$B:$B,0)),"")</f>
        <v/>
      </c>
      <c r="AQ705" s="1" t="str">
        <f>IFERROR(INDEX([1]物品基础表!$A:$A,MATCH(AP705,[1]物品基础表!$B:$B,0)),"")</f>
        <v/>
      </c>
    </row>
    <row r="706" spans="1:43">
      <c r="A706" s="1" t="str">
        <f>INDEX([2]活动总表!$A$8:$A$429,MATCH(B706,[2]活动总表!$B$8:$B$429,0))</f>
        <v>龙抬头-限购-符石</v>
      </c>
      <c r="B706" s="1">
        <v>909</v>
      </c>
      <c r="C706" s="1">
        <v>4</v>
      </c>
      <c r="D706" s="1">
        <v>5</v>
      </c>
      <c r="E706" s="1">
        <v>0</v>
      </c>
      <c r="F706" s="1" t="s">
        <v>706</v>
      </c>
      <c r="G706" s="1">
        <v>2888</v>
      </c>
      <c r="H706" s="1">
        <v>5000</v>
      </c>
      <c r="I706" s="1">
        <v>3</v>
      </c>
      <c r="O706" s="1">
        <v>57</v>
      </c>
      <c r="X706" s="1">
        <v>200208</v>
      </c>
      <c r="Y706" s="1" t="str">
        <f>IFERROR(INDEX([1]物品基础表!$A:$A,MATCH(X706,[1]物品基础表!$B:$B,0)),"")</f>
        <v>烈焰印记低级升级材料</v>
      </c>
      <c r="Z706" s="1">
        <v>500</v>
      </c>
      <c r="AB706" s="1" t="str">
        <f>IFERROR(INDEX([1]物品基础表!$A:$A,MATCH(AA706,[1]物品基础表!$B:$B,0)),"")</f>
        <v/>
      </c>
      <c r="AE706" s="1" t="str">
        <f>IFERROR(INDEX([1]物品基础表!$A:$A,MATCH(AD706,[1]物品基础表!$B:$B,0)),"")</f>
        <v/>
      </c>
      <c r="AH706" s="1" t="str">
        <f>IFERROR(INDEX([1]物品基础表!$A:$A,MATCH(AG706,[1]物品基础表!$B:$B,0)),"")</f>
        <v/>
      </c>
      <c r="AK706" s="1" t="str">
        <f>IFERROR(INDEX([1]物品基础表!$A:$A,MATCH(AJ706,[1]物品基础表!$B:$B,0)),"")</f>
        <v/>
      </c>
      <c r="AN706" s="1" t="str">
        <f>IFERROR(INDEX([1]物品基础表!$A:$A,MATCH(AM706,[1]物品基础表!$B:$B,0)),"")</f>
        <v/>
      </c>
      <c r="AQ706" s="1" t="str">
        <f>IFERROR(INDEX([1]物品基础表!$A:$A,MATCH(AP706,[1]物品基础表!$B:$B,0)),"")</f>
        <v/>
      </c>
    </row>
    <row r="707" spans="1:43">
      <c r="A707" s="1" t="str">
        <f>INDEX([2]活动总表!$A$8:$A$429,MATCH(B707,[2]活动总表!$B$8:$B$429,0))</f>
        <v>龙抬头-限购-符石</v>
      </c>
      <c r="B707" s="1">
        <v>909</v>
      </c>
      <c r="C707" s="1">
        <v>5</v>
      </c>
      <c r="D707" s="1">
        <v>5</v>
      </c>
      <c r="E707" s="1">
        <v>0</v>
      </c>
      <c r="F707" s="1" t="s">
        <v>706</v>
      </c>
      <c r="G707" s="1">
        <v>8888</v>
      </c>
      <c r="H707" s="1">
        <v>15000</v>
      </c>
      <c r="I707" s="1">
        <v>10</v>
      </c>
      <c r="O707" s="1">
        <v>59</v>
      </c>
      <c r="X707" s="1">
        <v>200208</v>
      </c>
      <c r="Y707" s="1" t="str">
        <f>IFERROR(INDEX([1]物品基础表!$A:$A,MATCH(X707,[1]物品基础表!$B:$B,0)),"")</f>
        <v>烈焰印记低级升级材料</v>
      </c>
      <c r="Z707" s="1">
        <v>1500</v>
      </c>
      <c r="AB707" s="1" t="str">
        <f>IFERROR(INDEX([1]物品基础表!$A:$A,MATCH(AA707,[1]物品基础表!$B:$B,0)),"")</f>
        <v/>
      </c>
      <c r="AE707" s="1" t="str">
        <f>IFERROR(INDEX([1]物品基础表!$A:$A,MATCH(AD707,[1]物品基础表!$B:$B,0)),"")</f>
        <v/>
      </c>
      <c r="AH707" s="1" t="str">
        <f>IFERROR(INDEX([1]物品基础表!$A:$A,MATCH(AG707,[1]物品基础表!$B:$B,0)),"")</f>
        <v/>
      </c>
      <c r="AK707" s="1" t="str">
        <f>IFERROR(INDEX([1]物品基础表!$A:$A,MATCH(AJ707,[1]物品基础表!$B:$B,0)),"")</f>
        <v/>
      </c>
      <c r="AN707" s="1" t="str">
        <f>IFERROR(INDEX([1]物品基础表!$A:$A,MATCH(AM707,[1]物品基础表!$B:$B,0)),"")</f>
        <v/>
      </c>
      <c r="AQ707" s="1" t="str">
        <f>IFERROR(INDEX([1]物品基础表!$A:$A,MATCH(AP707,[1]物品基础表!$B:$B,0)),"")</f>
        <v/>
      </c>
    </row>
    <row r="708" spans="1:43">
      <c r="A708" s="1" t="str">
        <f>INDEX([2]活动总表!$A$8:$A$429,MATCH(B708,[2]活动总表!$B$8:$B$429,0))</f>
        <v>龙抬头-限购-符石</v>
      </c>
      <c r="B708" s="1">
        <v>910</v>
      </c>
      <c r="C708" s="1">
        <v>1</v>
      </c>
      <c r="D708" s="1">
        <v>5</v>
      </c>
      <c r="E708" s="1">
        <v>0</v>
      </c>
      <c r="F708" s="1" t="s">
        <v>706</v>
      </c>
      <c r="G708" s="1">
        <v>888</v>
      </c>
      <c r="H708" s="1">
        <v>1500</v>
      </c>
      <c r="I708" s="1">
        <v>3</v>
      </c>
      <c r="O708" s="1">
        <v>59</v>
      </c>
      <c r="X708" s="1">
        <v>200208</v>
      </c>
      <c r="Y708" s="1" t="str">
        <f>IFERROR(INDEX([1]物品基础表!$A:$A,MATCH(X708,[1]物品基础表!$B:$B,0)),"")</f>
        <v>烈焰印记低级升级材料</v>
      </c>
      <c r="Z708" s="1">
        <v>150</v>
      </c>
      <c r="AB708" s="1" t="str">
        <f>IFERROR(INDEX([1]物品基础表!$A:$A,MATCH(AA708,[1]物品基础表!$B:$B,0)),"")</f>
        <v/>
      </c>
      <c r="AE708" s="1" t="str">
        <f>IFERROR(INDEX([1]物品基础表!$A:$A,MATCH(AD708,[1]物品基础表!$B:$B,0)),"")</f>
        <v/>
      </c>
      <c r="AH708" s="1" t="str">
        <f>IFERROR(INDEX([1]物品基础表!$A:$A,MATCH(AG708,[1]物品基础表!$B:$B,0)),"")</f>
        <v/>
      </c>
      <c r="AK708" s="1" t="str">
        <f>IFERROR(INDEX([1]物品基础表!$A:$A,MATCH(AJ708,[1]物品基础表!$B:$B,0)),"")</f>
        <v/>
      </c>
      <c r="AN708" s="1" t="str">
        <f>IFERROR(INDEX([1]物品基础表!$A:$A,MATCH(AM708,[1]物品基础表!$B:$B,0)),"")</f>
        <v/>
      </c>
      <c r="AQ708" s="1" t="str">
        <f>IFERROR(INDEX([1]物品基础表!$A:$A,MATCH(AP708,[1]物品基础表!$B:$B,0)),"")</f>
        <v/>
      </c>
    </row>
    <row r="709" spans="1:43">
      <c r="A709" s="1" t="str">
        <f>INDEX([2]活动总表!$A$8:$A$429,MATCH(B709,[2]活动总表!$B$8:$B$429,0))</f>
        <v>龙抬头-限购-符石</v>
      </c>
      <c r="B709" s="1">
        <v>910</v>
      </c>
      <c r="C709" s="1">
        <v>2</v>
      </c>
      <c r="D709" s="1">
        <v>7</v>
      </c>
      <c r="E709" s="1">
        <v>0</v>
      </c>
      <c r="F709" s="1" t="s">
        <v>706</v>
      </c>
      <c r="G709" s="1">
        <v>1588</v>
      </c>
      <c r="H709" s="1">
        <v>4500</v>
      </c>
      <c r="I709" s="1">
        <v>2</v>
      </c>
      <c r="O709" s="1">
        <v>35</v>
      </c>
      <c r="X709" s="1">
        <v>200208</v>
      </c>
      <c r="Y709" s="1" t="str">
        <f>IFERROR(INDEX([1]物品基础表!$A:$A,MATCH(X709,[1]物品基础表!$B:$B,0)),"")</f>
        <v>烈焰印记低级升级材料</v>
      </c>
      <c r="Z709" s="1">
        <v>450</v>
      </c>
      <c r="AB709" s="1" t="str">
        <f>IFERROR(INDEX([1]物品基础表!$A:$A,MATCH(AA709,[1]物品基础表!$B:$B,0)),"")</f>
        <v/>
      </c>
      <c r="AE709" s="1" t="str">
        <f>IFERROR(INDEX([1]物品基础表!$A:$A,MATCH(AD709,[1]物品基础表!$B:$B,0)),"")</f>
        <v/>
      </c>
      <c r="AH709" s="1" t="str">
        <f>IFERROR(INDEX([1]物品基础表!$A:$A,MATCH(AG709,[1]物品基础表!$B:$B,0)),"")</f>
        <v/>
      </c>
      <c r="AK709" s="1" t="str">
        <f>IFERROR(INDEX([1]物品基础表!$A:$A,MATCH(AJ709,[1]物品基础表!$B:$B,0)),"")</f>
        <v/>
      </c>
      <c r="AN709" s="1" t="str">
        <f>IFERROR(INDEX([1]物品基础表!$A:$A,MATCH(AM709,[1]物品基础表!$B:$B,0)),"")</f>
        <v/>
      </c>
      <c r="AQ709" s="1" t="str">
        <f>IFERROR(INDEX([1]物品基础表!$A:$A,MATCH(AP709,[1]物品基础表!$B:$B,0)),"")</f>
        <v/>
      </c>
    </row>
    <row r="710" spans="1:43">
      <c r="A710" s="1" t="str">
        <f>INDEX([2]活动总表!$A$8:$A$429,MATCH(B710,[2]活动总表!$B$8:$B$429,0))</f>
        <v>龙抬头-限购-符石</v>
      </c>
      <c r="B710" s="1">
        <v>910</v>
      </c>
      <c r="C710" s="1">
        <v>3</v>
      </c>
      <c r="D710" s="1">
        <v>7</v>
      </c>
      <c r="E710" s="1">
        <v>0</v>
      </c>
      <c r="F710" s="1" t="s">
        <v>706</v>
      </c>
      <c r="G710" s="1">
        <v>2888</v>
      </c>
      <c r="H710" s="1">
        <v>8000</v>
      </c>
      <c r="I710" s="1">
        <v>2</v>
      </c>
      <c r="O710" s="1">
        <v>36</v>
      </c>
      <c r="X710" s="1">
        <v>200208</v>
      </c>
      <c r="Y710" s="1" t="str">
        <f>IFERROR(INDEX([1]物品基础表!$A:$A,MATCH(X710,[1]物品基础表!$B:$B,0)),"")</f>
        <v>烈焰印记低级升级材料</v>
      </c>
      <c r="Z710" s="1">
        <v>800</v>
      </c>
      <c r="AB710" s="1" t="str">
        <f>IFERROR(INDEX([1]物品基础表!$A:$A,MATCH(AA710,[1]物品基础表!$B:$B,0)),"")</f>
        <v/>
      </c>
      <c r="AE710" s="1" t="str">
        <f>IFERROR(INDEX([1]物品基础表!$A:$A,MATCH(AD710,[1]物品基础表!$B:$B,0)),"")</f>
        <v/>
      </c>
      <c r="AH710" s="1" t="str">
        <f>IFERROR(INDEX([1]物品基础表!$A:$A,MATCH(AG710,[1]物品基础表!$B:$B,0)),"")</f>
        <v/>
      </c>
      <c r="AK710" s="1" t="str">
        <f>IFERROR(INDEX([1]物品基础表!$A:$A,MATCH(AJ710,[1]物品基础表!$B:$B,0)),"")</f>
        <v/>
      </c>
      <c r="AN710" s="1" t="str">
        <f>IFERROR(INDEX([1]物品基础表!$A:$A,MATCH(AM710,[1]物品基础表!$B:$B,0)),"")</f>
        <v/>
      </c>
      <c r="AQ710" s="1" t="str">
        <f>IFERROR(INDEX([1]物品基础表!$A:$A,MATCH(AP710,[1]物品基础表!$B:$B,0)),"")</f>
        <v/>
      </c>
    </row>
    <row r="711" spans="1:43">
      <c r="A711" s="1" t="str">
        <f>INDEX([2]活动总表!$A$8:$A$429,MATCH(B711,[2]活动总表!$B$8:$B$429,0))</f>
        <v>龙抬头-限购-符石</v>
      </c>
      <c r="B711" s="1">
        <v>910</v>
      </c>
      <c r="C711" s="1">
        <v>4</v>
      </c>
      <c r="D711" s="1">
        <v>5</v>
      </c>
      <c r="E711" s="1">
        <v>0</v>
      </c>
      <c r="F711" s="1" t="s">
        <v>706</v>
      </c>
      <c r="G711" s="1">
        <v>2888</v>
      </c>
      <c r="H711" s="1">
        <v>5000</v>
      </c>
      <c r="I711" s="1">
        <v>3</v>
      </c>
      <c r="O711" s="1">
        <v>57</v>
      </c>
      <c r="X711" s="1">
        <v>200208</v>
      </c>
      <c r="Y711" s="1" t="str">
        <f>IFERROR(INDEX([1]物品基础表!$A:$A,MATCH(X711,[1]物品基础表!$B:$B,0)),"")</f>
        <v>烈焰印记低级升级材料</v>
      </c>
      <c r="Z711" s="1">
        <v>500</v>
      </c>
      <c r="AB711" s="1" t="str">
        <f>IFERROR(INDEX([1]物品基础表!$A:$A,MATCH(AA711,[1]物品基础表!$B:$B,0)),"")</f>
        <v/>
      </c>
      <c r="AE711" s="1" t="str">
        <f>IFERROR(INDEX([1]物品基础表!$A:$A,MATCH(AD711,[1]物品基础表!$B:$B,0)),"")</f>
        <v/>
      </c>
      <c r="AH711" s="1" t="str">
        <f>IFERROR(INDEX([1]物品基础表!$A:$A,MATCH(AG711,[1]物品基础表!$B:$B,0)),"")</f>
        <v/>
      </c>
      <c r="AK711" s="1" t="str">
        <f>IFERROR(INDEX([1]物品基础表!$A:$A,MATCH(AJ711,[1]物品基础表!$B:$B,0)),"")</f>
        <v/>
      </c>
      <c r="AN711" s="1" t="str">
        <f>IFERROR(INDEX([1]物品基础表!$A:$A,MATCH(AM711,[1]物品基础表!$B:$B,0)),"")</f>
        <v/>
      </c>
      <c r="AQ711" s="1" t="str">
        <f>IFERROR(INDEX([1]物品基础表!$A:$A,MATCH(AP711,[1]物品基础表!$B:$B,0)),"")</f>
        <v/>
      </c>
    </row>
    <row r="712" spans="1:43">
      <c r="A712" s="1" t="str">
        <f>INDEX([2]活动总表!$A$8:$A$429,MATCH(B712,[2]活动总表!$B$8:$B$429,0))</f>
        <v>龙抬头-限购-符石</v>
      </c>
      <c r="B712" s="1">
        <v>910</v>
      </c>
      <c r="C712" s="1">
        <v>5</v>
      </c>
      <c r="D712" s="1">
        <v>5</v>
      </c>
      <c r="E712" s="1">
        <v>0</v>
      </c>
      <c r="F712" s="1" t="s">
        <v>706</v>
      </c>
      <c r="G712" s="1">
        <v>8888</v>
      </c>
      <c r="H712" s="1">
        <v>15000</v>
      </c>
      <c r="I712" s="1">
        <v>10</v>
      </c>
      <c r="O712" s="1">
        <v>59</v>
      </c>
      <c r="X712" s="1">
        <v>200208</v>
      </c>
      <c r="Y712" s="1" t="str">
        <f>IFERROR(INDEX([1]物品基础表!$A:$A,MATCH(X712,[1]物品基础表!$B:$B,0)),"")</f>
        <v>烈焰印记低级升级材料</v>
      </c>
      <c r="Z712" s="1">
        <v>1500</v>
      </c>
      <c r="AB712" s="1" t="str">
        <f>IFERROR(INDEX([1]物品基础表!$A:$A,MATCH(AA712,[1]物品基础表!$B:$B,0)),"")</f>
        <v/>
      </c>
      <c r="AE712" s="1" t="str">
        <f>IFERROR(INDEX([1]物品基础表!$A:$A,MATCH(AD712,[1]物品基础表!$B:$B,0)),"")</f>
        <v/>
      </c>
      <c r="AH712" s="1" t="str">
        <f>IFERROR(INDEX([1]物品基础表!$A:$A,MATCH(AG712,[1]物品基础表!$B:$B,0)),"")</f>
        <v/>
      </c>
      <c r="AK712" s="1" t="str">
        <f>IFERROR(INDEX([1]物品基础表!$A:$A,MATCH(AJ712,[1]物品基础表!$B:$B,0)),"")</f>
        <v/>
      </c>
      <c r="AN712" s="1" t="str">
        <f>IFERROR(INDEX([1]物品基础表!$A:$A,MATCH(AM712,[1]物品基础表!$B:$B,0)),"")</f>
        <v/>
      </c>
      <c r="AQ712" s="1" t="str">
        <f>IFERROR(INDEX([1]物品基础表!$A:$A,MATCH(AP712,[1]物品基础表!$B:$B,0)),"")</f>
        <v/>
      </c>
    </row>
    <row r="713" spans="1:43">
      <c r="A713" s="1" t="str">
        <f>INDEX([2]活动总表!$A$8:$A$429,MATCH(B713,[2]活动总表!$B$8:$B$429,0))</f>
        <v>龙抬头-限购-符石</v>
      </c>
      <c r="B713" s="1">
        <v>911</v>
      </c>
      <c r="C713" s="1">
        <v>1</v>
      </c>
      <c r="D713" s="1">
        <v>5</v>
      </c>
      <c r="E713" s="1">
        <v>0</v>
      </c>
      <c r="F713" s="1" t="s">
        <v>706</v>
      </c>
      <c r="G713" s="1">
        <v>888</v>
      </c>
      <c r="H713" s="1">
        <v>1500</v>
      </c>
      <c r="I713" s="1">
        <v>3</v>
      </c>
      <c r="O713" s="1">
        <v>59</v>
      </c>
      <c r="X713" s="1">
        <v>200208</v>
      </c>
      <c r="Y713" s="1" t="str">
        <f>IFERROR(INDEX([1]物品基础表!$A:$A,MATCH(X713,[1]物品基础表!$B:$B,0)),"")</f>
        <v>烈焰印记低级升级材料</v>
      </c>
      <c r="Z713" s="1">
        <v>150</v>
      </c>
      <c r="AB713" s="1" t="str">
        <f>IFERROR(INDEX([1]物品基础表!$A:$A,MATCH(AA713,[1]物品基础表!$B:$B,0)),"")</f>
        <v/>
      </c>
      <c r="AE713" s="1" t="str">
        <f>IFERROR(INDEX([1]物品基础表!$A:$A,MATCH(AD713,[1]物品基础表!$B:$B,0)),"")</f>
        <v/>
      </c>
      <c r="AH713" s="1" t="str">
        <f>IFERROR(INDEX([1]物品基础表!$A:$A,MATCH(AG713,[1]物品基础表!$B:$B,0)),"")</f>
        <v/>
      </c>
      <c r="AK713" s="1" t="str">
        <f>IFERROR(INDEX([1]物品基础表!$A:$A,MATCH(AJ713,[1]物品基础表!$B:$B,0)),"")</f>
        <v/>
      </c>
      <c r="AN713" s="1" t="str">
        <f>IFERROR(INDEX([1]物品基础表!$A:$A,MATCH(AM713,[1]物品基础表!$B:$B,0)),"")</f>
        <v/>
      </c>
      <c r="AQ713" s="1" t="str">
        <f>IFERROR(INDEX([1]物品基础表!$A:$A,MATCH(AP713,[1]物品基础表!$B:$B,0)),"")</f>
        <v/>
      </c>
    </row>
    <row r="714" spans="1:43">
      <c r="A714" s="1" t="str">
        <f>INDEX([2]活动总表!$A$8:$A$429,MATCH(B714,[2]活动总表!$B$8:$B$429,0))</f>
        <v>龙抬头-限购-符石</v>
      </c>
      <c r="B714" s="1">
        <v>911</v>
      </c>
      <c r="C714" s="1">
        <v>2</v>
      </c>
      <c r="D714" s="1">
        <v>7</v>
      </c>
      <c r="E714" s="1">
        <v>0</v>
      </c>
      <c r="F714" s="1" t="s">
        <v>706</v>
      </c>
      <c r="G714" s="1">
        <v>1588</v>
      </c>
      <c r="H714" s="1">
        <v>4500</v>
      </c>
      <c r="I714" s="1">
        <v>2</v>
      </c>
      <c r="O714" s="1">
        <v>35</v>
      </c>
      <c r="X714" s="1">
        <v>200208</v>
      </c>
      <c r="Y714" s="1" t="str">
        <f>IFERROR(INDEX([1]物品基础表!$A:$A,MATCH(X714,[1]物品基础表!$B:$B,0)),"")</f>
        <v>烈焰印记低级升级材料</v>
      </c>
      <c r="Z714" s="1">
        <v>450</v>
      </c>
      <c r="AB714" s="1" t="str">
        <f>IFERROR(INDEX([1]物品基础表!$A:$A,MATCH(AA714,[1]物品基础表!$B:$B,0)),"")</f>
        <v/>
      </c>
      <c r="AE714" s="1" t="str">
        <f>IFERROR(INDEX([1]物品基础表!$A:$A,MATCH(AD714,[1]物品基础表!$B:$B,0)),"")</f>
        <v/>
      </c>
      <c r="AH714" s="1" t="str">
        <f>IFERROR(INDEX([1]物品基础表!$A:$A,MATCH(AG714,[1]物品基础表!$B:$B,0)),"")</f>
        <v/>
      </c>
      <c r="AK714" s="1" t="str">
        <f>IFERROR(INDEX([1]物品基础表!$A:$A,MATCH(AJ714,[1]物品基础表!$B:$B,0)),"")</f>
        <v/>
      </c>
      <c r="AN714" s="1" t="str">
        <f>IFERROR(INDEX([1]物品基础表!$A:$A,MATCH(AM714,[1]物品基础表!$B:$B,0)),"")</f>
        <v/>
      </c>
      <c r="AQ714" s="1" t="str">
        <f>IFERROR(INDEX([1]物品基础表!$A:$A,MATCH(AP714,[1]物品基础表!$B:$B,0)),"")</f>
        <v/>
      </c>
    </row>
    <row r="715" spans="1:43">
      <c r="A715" s="1" t="str">
        <f>INDEX([2]活动总表!$A$8:$A$429,MATCH(B715,[2]活动总表!$B$8:$B$429,0))</f>
        <v>龙抬头-限购-符石</v>
      </c>
      <c r="B715" s="1">
        <v>911</v>
      </c>
      <c r="C715" s="1">
        <v>3</v>
      </c>
      <c r="D715" s="1">
        <v>7</v>
      </c>
      <c r="E715" s="1">
        <v>0</v>
      </c>
      <c r="F715" s="1" t="s">
        <v>706</v>
      </c>
      <c r="G715" s="1">
        <v>2888</v>
      </c>
      <c r="H715" s="1">
        <v>8000</v>
      </c>
      <c r="I715" s="1">
        <v>2</v>
      </c>
      <c r="O715" s="1">
        <v>36</v>
      </c>
      <c r="X715" s="1">
        <v>200208</v>
      </c>
      <c r="Y715" s="1" t="str">
        <f>IFERROR(INDEX([1]物品基础表!$A:$A,MATCH(X715,[1]物品基础表!$B:$B,0)),"")</f>
        <v>烈焰印记低级升级材料</v>
      </c>
      <c r="Z715" s="1">
        <v>800</v>
      </c>
      <c r="AB715" s="1" t="str">
        <f>IFERROR(INDEX([1]物品基础表!$A:$A,MATCH(AA715,[1]物品基础表!$B:$B,0)),"")</f>
        <v/>
      </c>
      <c r="AE715" s="1" t="str">
        <f>IFERROR(INDEX([1]物品基础表!$A:$A,MATCH(AD715,[1]物品基础表!$B:$B,0)),"")</f>
        <v/>
      </c>
      <c r="AH715" s="1" t="str">
        <f>IFERROR(INDEX([1]物品基础表!$A:$A,MATCH(AG715,[1]物品基础表!$B:$B,0)),"")</f>
        <v/>
      </c>
      <c r="AK715" s="1" t="str">
        <f>IFERROR(INDEX([1]物品基础表!$A:$A,MATCH(AJ715,[1]物品基础表!$B:$B,0)),"")</f>
        <v/>
      </c>
      <c r="AN715" s="1" t="str">
        <f>IFERROR(INDEX([1]物品基础表!$A:$A,MATCH(AM715,[1]物品基础表!$B:$B,0)),"")</f>
        <v/>
      </c>
      <c r="AQ715" s="1" t="str">
        <f>IFERROR(INDEX([1]物品基础表!$A:$A,MATCH(AP715,[1]物品基础表!$B:$B,0)),"")</f>
        <v/>
      </c>
    </row>
    <row r="716" spans="1:43">
      <c r="A716" s="1" t="str">
        <f>INDEX([2]活动总表!$A$8:$A$429,MATCH(B716,[2]活动总表!$B$8:$B$429,0))</f>
        <v>龙抬头-限购-符石</v>
      </c>
      <c r="B716" s="1">
        <v>911</v>
      </c>
      <c r="C716" s="1">
        <v>4</v>
      </c>
      <c r="D716" s="1">
        <v>5</v>
      </c>
      <c r="E716" s="1">
        <v>0</v>
      </c>
      <c r="F716" s="1" t="s">
        <v>706</v>
      </c>
      <c r="G716" s="1">
        <v>2888</v>
      </c>
      <c r="H716" s="1">
        <v>5000</v>
      </c>
      <c r="I716" s="1">
        <v>3</v>
      </c>
      <c r="O716" s="1">
        <v>57</v>
      </c>
      <c r="X716" s="1">
        <v>200208</v>
      </c>
      <c r="Y716" s="1" t="str">
        <f>IFERROR(INDEX([1]物品基础表!$A:$A,MATCH(X716,[1]物品基础表!$B:$B,0)),"")</f>
        <v>烈焰印记低级升级材料</v>
      </c>
      <c r="Z716" s="1">
        <v>500</v>
      </c>
      <c r="AB716" s="1" t="str">
        <f>IFERROR(INDEX([1]物品基础表!$A:$A,MATCH(AA716,[1]物品基础表!$B:$B,0)),"")</f>
        <v/>
      </c>
      <c r="AE716" s="1" t="str">
        <f>IFERROR(INDEX([1]物品基础表!$A:$A,MATCH(AD716,[1]物品基础表!$B:$B,0)),"")</f>
        <v/>
      </c>
      <c r="AH716" s="1" t="str">
        <f>IFERROR(INDEX([1]物品基础表!$A:$A,MATCH(AG716,[1]物品基础表!$B:$B,0)),"")</f>
        <v/>
      </c>
      <c r="AK716" s="1" t="str">
        <f>IFERROR(INDEX([1]物品基础表!$A:$A,MATCH(AJ716,[1]物品基础表!$B:$B,0)),"")</f>
        <v/>
      </c>
      <c r="AN716" s="1" t="str">
        <f>IFERROR(INDEX([1]物品基础表!$A:$A,MATCH(AM716,[1]物品基础表!$B:$B,0)),"")</f>
        <v/>
      </c>
      <c r="AQ716" s="1" t="str">
        <f>IFERROR(INDEX([1]物品基础表!$A:$A,MATCH(AP716,[1]物品基础表!$B:$B,0)),"")</f>
        <v/>
      </c>
    </row>
    <row r="717" spans="1:43">
      <c r="A717" s="1" t="str">
        <f>INDEX([2]活动总表!$A$8:$A$429,MATCH(B717,[2]活动总表!$B$8:$B$429,0))</f>
        <v>龙抬头-限购-符石</v>
      </c>
      <c r="B717" s="1">
        <v>911</v>
      </c>
      <c r="C717" s="1">
        <v>5</v>
      </c>
      <c r="D717" s="1">
        <v>5</v>
      </c>
      <c r="E717" s="1">
        <v>0</v>
      </c>
      <c r="F717" s="1" t="s">
        <v>706</v>
      </c>
      <c r="G717" s="1">
        <v>8888</v>
      </c>
      <c r="H717" s="1">
        <v>15000</v>
      </c>
      <c r="I717" s="1">
        <v>10</v>
      </c>
      <c r="O717" s="1">
        <v>59</v>
      </c>
      <c r="X717" s="1">
        <v>200208</v>
      </c>
      <c r="Y717" s="1" t="str">
        <f>IFERROR(INDEX([1]物品基础表!$A:$A,MATCH(X717,[1]物品基础表!$B:$B,0)),"")</f>
        <v>烈焰印记低级升级材料</v>
      </c>
      <c r="Z717" s="1">
        <v>1500</v>
      </c>
      <c r="AB717" s="1" t="str">
        <f>IFERROR(INDEX([1]物品基础表!$A:$A,MATCH(AA717,[1]物品基础表!$B:$B,0)),"")</f>
        <v/>
      </c>
      <c r="AE717" s="1" t="str">
        <f>IFERROR(INDEX([1]物品基础表!$A:$A,MATCH(AD717,[1]物品基础表!$B:$B,0)),"")</f>
        <v/>
      </c>
      <c r="AH717" s="1" t="str">
        <f>IFERROR(INDEX([1]物品基础表!$A:$A,MATCH(AG717,[1]物品基础表!$B:$B,0)),"")</f>
        <v/>
      </c>
      <c r="AK717" s="1" t="str">
        <f>IFERROR(INDEX([1]物品基础表!$A:$A,MATCH(AJ717,[1]物品基础表!$B:$B,0)),"")</f>
        <v/>
      </c>
      <c r="AN717" s="1" t="str">
        <f>IFERROR(INDEX([1]物品基础表!$A:$A,MATCH(AM717,[1]物品基础表!$B:$B,0)),"")</f>
        <v/>
      </c>
      <c r="AQ717" s="1" t="str">
        <f>IFERROR(INDEX([1]物品基础表!$A:$A,MATCH(AP717,[1]物品基础表!$B:$B,0)),"")</f>
        <v/>
      </c>
    </row>
    <row r="718" spans="1:43">
      <c r="A718" s="1" t="str">
        <f>INDEX([2]活动总表!$A$8:$A$429,MATCH(B718,[2]活动总表!$B$8:$B$429,0))</f>
        <v>龙抬头-限购-特戒碎片（15-60天）</v>
      </c>
      <c r="B718" s="1">
        <v>930</v>
      </c>
      <c r="C718" s="1">
        <v>1</v>
      </c>
      <c r="D718" s="1">
        <v>5</v>
      </c>
      <c r="E718" s="1">
        <v>0</v>
      </c>
      <c r="F718" s="1" t="s">
        <v>706</v>
      </c>
      <c r="G718" s="1">
        <v>888</v>
      </c>
      <c r="H718" s="1">
        <v>1500</v>
      </c>
      <c r="I718" s="1">
        <v>3</v>
      </c>
      <c r="O718" s="1">
        <v>59</v>
      </c>
      <c r="X718" s="1">
        <v>200015</v>
      </c>
      <c r="Y718" s="1" t="str">
        <f>IFERROR(INDEX([1]物品基础表!$A:$A,MATCH(X718,[1]物品基础表!$B:$B,0)),"")</f>
        <v>特戒碎片</v>
      </c>
      <c r="Z718" s="1">
        <v>150</v>
      </c>
      <c r="AB718" s="1" t="str">
        <f>IFERROR(INDEX([1]物品基础表!$A:$A,MATCH(AA718,[1]物品基础表!$B:$B,0)),"")</f>
        <v/>
      </c>
      <c r="AE718" s="1" t="str">
        <f>IFERROR(INDEX([1]物品基础表!$A:$A,MATCH(AD718,[1]物品基础表!$B:$B,0)),"")</f>
        <v/>
      </c>
      <c r="AH718" s="1" t="str">
        <f>IFERROR(INDEX([1]物品基础表!$A:$A,MATCH(AG718,[1]物品基础表!$B:$B,0)),"")</f>
        <v/>
      </c>
      <c r="AK718" s="1" t="str">
        <f>IFERROR(INDEX([1]物品基础表!$A:$A,MATCH(AJ718,[1]物品基础表!$B:$B,0)),"")</f>
        <v/>
      </c>
      <c r="AN718" s="1" t="str">
        <f>IFERROR(INDEX([1]物品基础表!$A:$A,MATCH(AM718,[1]物品基础表!$B:$B,0)),"")</f>
        <v/>
      </c>
      <c r="AQ718" s="1" t="str">
        <f>IFERROR(INDEX([1]物品基础表!$A:$A,MATCH(AP718,[1]物品基础表!$B:$B,0)),"")</f>
        <v/>
      </c>
    </row>
    <row r="719" spans="1:43">
      <c r="A719" s="1" t="str">
        <f>INDEX([2]活动总表!$A$8:$A$429,MATCH(B719,[2]活动总表!$B$8:$B$429,0))</f>
        <v>龙抬头-限购-特戒碎片（15-60天）</v>
      </c>
      <c r="B719" s="1">
        <v>930</v>
      </c>
      <c r="C719" s="1">
        <v>2</v>
      </c>
      <c r="D719" s="1">
        <v>7</v>
      </c>
      <c r="E719" s="1">
        <v>0</v>
      </c>
      <c r="F719" s="1" t="s">
        <v>706</v>
      </c>
      <c r="G719" s="1">
        <v>1588</v>
      </c>
      <c r="H719" s="1">
        <v>4500</v>
      </c>
      <c r="I719" s="1">
        <v>2</v>
      </c>
      <c r="O719" s="1">
        <v>35</v>
      </c>
      <c r="X719" s="1">
        <v>200015</v>
      </c>
      <c r="Y719" s="1" t="str">
        <f>IFERROR(INDEX([1]物品基础表!$A:$A,MATCH(X719,[1]物品基础表!$B:$B,0)),"")</f>
        <v>特戒碎片</v>
      </c>
      <c r="Z719" s="1">
        <v>450</v>
      </c>
      <c r="AB719" s="1" t="str">
        <f>IFERROR(INDEX([1]物品基础表!$A:$A,MATCH(AA719,[1]物品基础表!$B:$B,0)),"")</f>
        <v/>
      </c>
      <c r="AE719" s="1" t="str">
        <f>IFERROR(INDEX([1]物品基础表!$A:$A,MATCH(AD719,[1]物品基础表!$B:$B,0)),"")</f>
        <v/>
      </c>
      <c r="AH719" s="1" t="str">
        <f>IFERROR(INDEX([1]物品基础表!$A:$A,MATCH(AG719,[1]物品基础表!$B:$B,0)),"")</f>
        <v/>
      </c>
      <c r="AK719" s="1" t="str">
        <f>IFERROR(INDEX([1]物品基础表!$A:$A,MATCH(AJ719,[1]物品基础表!$B:$B,0)),"")</f>
        <v/>
      </c>
      <c r="AN719" s="1" t="str">
        <f>IFERROR(INDEX([1]物品基础表!$A:$A,MATCH(AM719,[1]物品基础表!$B:$B,0)),"")</f>
        <v/>
      </c>
      <c r="AQ719" s="1" t="str">
        <f>IFERROR(INDEX([1]物品基础表!$A:$A,MATCH(AP719,[1]物品基础表!$B:$B,0)),"")</f>
        <v/>
      </c>
    </row>
    <row r="720" spans="1:43">
      <c r="A720" s="1" t="str">
        <f>INDEX([2]活动总表!$A$8:$A$429,MATCH(B720,[2]活动总表!$B$8:$B$429,0))</f>
        <v>龙抬头-限购-特戒碎片（15-60天）</v>
      </c>
      <c r="B720" s="1">
        <v>930</v>
      </c>
      <c r="C720" s="1">
        <v>3</v>
      </c>
      <c r="D720" s="1">
        <v>5</v>
      </c>
      <c r="E720" s="1">
        <v>0</v>
      </c>
      <c r="F720" s="1" t="s">
        <v>706</v>
      </c>
      <c r="G720" s="1">
        <v>2888</v>
      </c>
      <c r="H720" s="1">
        <v>5000</v>
      </c>
      <c r="I720" s="1">
        <v>3</v>
      </c>
      <c r="O720" s="1">
        <v>57</v>
      </c>
      <c r="X720" s="1">
        <v>200015</v>
      </c>
      <c r="Y720" s="1" t="str">
        <f>IFERROR(INDEX([1]物品基础表!$A:$A,MATCH(X720,[1]物品基础表!$B:$B,0)),"")</f>
        <v>特戒碎片</v>
      </c>
      <c r="Z720" s="1">
        <v>500</v>
      </c>
      <c r="AB720" s="1" t="str">
        <f>IFERROR(INDEX([1]物品基础表!$A:$A,MATCH(AA720,[1]物品基础表!$B:$B,0)),"")</f>
        <v/>
      </c>
      <c r="AE720" s="1" t="str">
        <f>IFERROR(INDEX([1]物品基础表!$A:$A,MATCH(AD720,[1]物品基础表!$B:$B,0)),"")</f>
        <v/>
      </c>
      <c r="AH720" s="1" t="str">
        <f>IFERROR(INDEX([1]物品基础表!$A:$A,MATCH(AG720,[1]物品基础表!$B:$B,0)),"")</f>
        <v/>
      </c>
      <c r="AK720" s="1" t="str">
        <f>IFERROR(INDEX([1]物品基础表!$A:$A,MATCH(AJ720,[1]物品基础表!$B:$B,0)),"")</f>
        <v/>
      </c>
      <c r="AN720" s="1" t="str">
        <f>IFERROR(INDEX([1]物品基础表!$A:$A,MATCH(AM720,[1]物品基础表!$B:$B,0)),"")</f>
        <v/>
      </c>
      <c r="AQ720" s="1" t="str">
        <f>IFERROR(INDEX([1]物品基础表!$A:$A,MATCH(AP720,[1]物品基础表!$B:$B,0)),"")</f>
        <v/>
      </c>
    </row>
    <row r="721" spans="1:43">
      <c r="A721" s="1" t="str">
        <f>INDEX([2]活动总表!$A$8:$A$429,MATCH(B721,[2]活动总表!$B$8:$B$429,0))</f>
        <v>龙抬头-限购-特戒碎片（15-60天）</v>
      </c>
      <c r="B721" s="1">
        <v>930</v>
      </c>
      <c r="C721" s="1">
        <v>4</v>
      </c>
      <c r="D721" s="1">
        <v>5</v>
      </c>
      <c r="E721" s="1">
        <v>0</v>
      </c>
      <c r="F721" s="1" t="s">
        <v>706</v>
      </c>
      <c r="G721" s="1">
        <v>8888</v>
      </c>
      <c r="H721" s="1">
        <v>15000</v>
      </c>
      <c r="I721" s="1">
        <v>10</v>
      </c>
      <c r="O721" s="1">
        <v>59</v>
      </c>
      <c r="X721" s="1">
        <v>200015</v>
      </c>
      <c r="Y721" s="1" t="str">
        <f>IFERROR(INDEX([1]物品基础表!$A:$A,MATCH(X721,[1]物品基础表!$B:$B,0)),"")</f>
        <v>特戒碎片</v>
      </c>
      <c r="Z721" s="1">
        <v>1500</v>
      </c>
      <c r="AB721" s="1" t="str">
        <f>IFERROR(INDEX([1]物品基础表!$A:$A,MATCH(AA721,[1]物品基础表!$B:$B,0)),"")</f>
        <v/>
      </c>
      <c r="AE721" s="1" t="str">
        <f>IFERROR(INDEX([1]物品基础表!$A:$A,MATCH(AD721,[1]物品基础表!$B:$B,0)),"")</f>
        <v/>
      </c>
      <c r="AH721" s="1" t="str">
        <f>IFERROR(INDEX([1]物品基础表!$A:$A,MATCH(AG721,[1]物品基础表!$B:$B,0)),"")</f>
        <v/>
      </c>
      <c r="AK721" s="1" t="str">
        <f>IFERROR(INDEX([1]物品基础表!$A:$A,MATCH(AJ721,[1]物品基础表!$B:$B,0)),"")</f>
        <v/>
      </c>
      <c r="AN721" s="1" t="str">
        <f>IFERROR(INDEX([1]物品基础表!$A:$A,MATCH(AM721,[1]物品基础表!$B:$B,0)),"")</f>
        <v/>
      </c>
      <c r="AQ721" s="1" t="str">
        <f>IFERROR(INDEX([1]物品基础表!$A:$A,MATCH(AP721,[1]物品基础表!$B:$B,0)),"")</f>
        <v/>
      </c>
    </row>
    <row r="722" spans="1:43">
      <c r="A722" s="1" t="str">
        <f>INDEX([2]活动总表!$A$8:$A$429,MATCH(B722,[2]活动总表!$B$8:$B$429,0))</f>
        <v>龙抬头-限购-特戒碎片（15-60天）</v>
      </c>
      <c r="B722" s="1">
        <v>931</v>
      </c>
      <c r="C722" s="1">
        <v>1</v>
      </c>
      <c r="D722" s="1">
        <v>5</v>
      </c>
      <c r="E722" s="1">
        <v>0</v>
      </c>
      <c r="F722" s="1" t="s">
        <v>706</v>
      </c>
      <c r="G722" s="1">
        <v>888</v>
      </c>
      <c r="H722" s="1">
        <v>1500</v>
      </c>
      <c r="I722" s="1">
        <v>3</v>
      </c>
      <c r="O722" s="1">
        <v>59</v>
      </c>
      <c r="X722" s="1">
        <v>200015</v>
      </c>
      <c r="Y722" s="1" t="str">
        <f>IFERROR(INDEX([1]物品基础表!$A:$A,MATCH(X722,[1]物品基础表!$B:$B,0)),"")</f>
        <v>特戒碎片</v>
      </c>
      <c r="Z722" s="1">
        <v>150</v>
      </c>
      <c r="AB722" s="1" t="str">
        <f>IFERROR(INDEX([1]物品基础表!$A:$A,MATCH(AA722,[1]物品基础表!$B:$B,0)),"")</f>
        <v/>
      </c>
      <c r="AE722" s="1" t="str">
        <f>IFERROR(INDEX([1]物品基础表!$A:$A,MATCH(AD722,[1]物品基础表!$B:$B,0)),"")</f>
        <v/>
      </c>
      <c r="AH722" s="1" t="str">
        <f>IFERROR(INDEX([1]物品基础表!$A:$A,MATCH(AG722,[1]物品基础表!$B:$B,0)),"")</f>
        <v/>
      </c>
      <c r="AK722" s="1" t="str">
        <f>IFERROR(INDEX([1]物品基础表!$A:$A,MATCH(AJ722,[1]物品基础表!$B:$B,0)),"")</f>
        <v/>
      </c>
      <c r="AN722" s="1" t="str">
        <f>IFERROR(INDEX([1]物品基础表!$A:$A,MATCH(AM722,[1]物品基础表!$B:$B,0)),"")</f>
        <v/>
      </c>
      <c r="AQ722" s="1" t="str">
        <f>IFERROR(INDEX([1]物品基础表!$A:$A,MATCH(AP722,[1]物品基础表!$B:$B,0)),"")</f>
        <v/>
      </c>
    </row>
    <row r="723" spans="1:43">
      <c r="A723" s="1" t="str">
        <f>INDEX([2]活动总表!$A$8:$A$429,MATCH(B723,[2]活动总表!$B$8:$B$429,0))</f>
        <v>龙抬头-限购-特戒碎片（15-60天）</v>
      </c>
      <c r="B723" s="1">
        <v>931</v>
      </c>
      <c r="C723" s="1">
        <v>2</v>
      </c>
      <c r="D723" s="1">
        <v>7</v>
      </c>
      <c r="E723" s="1">
        <v>0</v>
      </c>
      <c r="F723" s="1" t="s">
        <v>706</v>
      </c>
      <c r="G723" s="1">
        <v>1588</v>
      </c>
      <c r="H723" s="1">
        <v>4500</v>
      </c>
      <c r="I723" s="1">
        <v>2</v>
      </c>
      <c r="O723" s="1">
        <v>35</v>
      </c>
      <c r="X723" s="1">
        <v>200015</v>
      </c>
      <c r="Y723" s="1" t="str">
        <f>IFERROR(INDEX([1]物品基础表!$A:$A,MATCH(X723,[1]物品基础表!$B:$B,0)),"")</f>
        <v>特戒碎片</v>
      </c>
      <c r="Z723" s="1">
        <v>450</v>
      </c>
      <c r="AB723" s="1" t="str">
        <f>IFERROR(INDEX([1]物品基础表!$A:$A,MATCH(AA723,[1]物品基础表!$B:$B,0)),"")</f>
        <v/>
      </c>
      <c r="AE723" s="1" t="str">
        <f>IFERROR(INDEX([1]物品基础表!$A:$A,MATCH(AD723,[1]物品基础表!$B:$B,0)),"")</f>
        <v/>
      </c>
      <c r="AH723" s="1" t="str">
        <f>IFERROR(INDEX([1]物品基础表!$A:$A,MATCH(AG723,[1]物品基础表!$B:$B,0)),"")</f>
        <v/>
      </c>
      <c r="AK723" s="1" t="str">
        <f>IFERROR(INDEX([1]物品基础表!$A:$A,MATCH(AJ723,[1]物品基础表!$B:$B,0)),"")</f>
        <v/>
      </c>
      <c r="AN723" s="1" t="str">
        <f>IFERROR(INDEX([1]物品基础表!$A:$A,MATCH(AM723,[1]物品基础表!$B:$B,0)),"")</f>
        <v/>
      </c>
      <c r="AQ723" s="1" t="str">
        <f>IFERROR(INDEX([1]物品基础表!$A:$A,MATCH(AP723,[1]物品基础表!$B:$B,0)),"")</f>
        <v/>
      </c>
    </row>
    <row r="724" spans="1:43">
      <c r="A724" s="1" t="str">
        <f>INDEX([2]活动总表!$A$8:$A$429,MATCH(B724,[2]活动总表!$B$8:$B$429,0))</f>
        <v>龙抬头-限购-特戒碎片（15-60天）</v>
      </c>
      <c r="B724" s="1">
        <v>931</v>
      </c>
      <c r="C724" s="1">
        <v>3</v>
      </c>
      <c r="D724" s="1">
        <v>5</v>
      </c>
      <c r="E724" s="1">
        <v>0</v>
      </c>
      <c r="F724" s="1" t="s">
        <v>706</v>
      </c>
      <c r="G724" s="1">
        <v>2888</v>
      </c>
      <c r="H724" s="1">
        <v>5000</v>
      </c>
      <c r="I724" s="1">
        <v>3</v>
      </c>
      <c r="O724" s="1">
        <v>57</v>
      </c>
      <c r="X724" s="1">
        <v>200015</v>
      </c>
      <c r="Y724" s="1" t="str">
        <f>IFERROR(INDEX([1]物品基础表!$A:$A,MATCH(X724,[1]物品基础表!$B:$B,0)),"")</f>
        <v>特戒碎片</v>
      </c>
      <c r="Z724" s="1">
        <v>500</v>
      </c>
      <c r="AB724" s="1" t="str">
        <f>IFERROR(INDEX([1]物品基础表!$A:$A,MATCH(AA724,[1]物品基础表!$B:$B,0)),"")</f>
        <v/>
      </c>
      <c r="AE724" s="1" t="str">
        <f>IFERROR(INDEX([1]物品基础表!$A:$A,MATCH(AD724,[1]物品基础表!$B:$B,0)),"")</f>
        <v/>
      </c>
      <c r="AH724" s="1" t="str">
        <f>IFERROR(INDEX([1]物品基础表!$A:$A,MATCH(AG724,[1]物品基础表!$B:$B,0)),"")</f>
        <v/>
      </c>
      <c r="AK724" s="1" t="str">
        <f>IFERROR(INDEX([1]物品基础表!$A:$A,MATCH(AJ724,[1]物品基础表!$B:$B,0)),"")</f>
        <v/>
      </c>
      <c r="AN724" s="1" t="str">
        <f>IFERROR(INDEX([1]物品基础表!$A:$A,MATCH(AM724,[1]物品基础表!$B:$B,0)),"")</f>
        <v/>
      </c>
      <c r="AQ724" s="1" t="str">
        <f>IFERROR(INDEX([1]物品基础表!$A:$A,MATCH(AP724,[1]物品基础表!$B:$B,0)),"")</f>
        <v/>
      </c>
    </row>
    <row r="725" spans="1:43">
      <c r="A725" s="1" t="str">
        <f>INDEX([2]活动总表!$A$8:$A$429,MATCH(B725,[2]活动总表!$B$8:$B$429,0))</f>
        <v>龙抬头-限购-特戒碎片（15-60天）</v>
      </c>
      <c r="B725" s="1">
        <v>931</v>
      </c>
      <c r="C725" s="1">
        <v>4</v>
      </c>
      <c r="D725" s="1">
        <v>5</v>
      </c>
      <c r="E725" s="1">
        <v>0</v>
      </c>
      <c r="F725" s="1" t="s">
        <v>706</v>
      </c>
      <c r="G725" s="1">
        <v>8888</v>
      </c>
      <c r="H725" s="1">
        <v>15000</v>
      </c>
      <c r="I725" s="1">
        <v>10</v>
      </c>
      <c r="O725" s="1">
        <v>59</v>
      </c>
      <c r="X725" s="1">
        <v>200015</v>
      </c>
      <c r="Y725" s="1" t="str">
        <f>IFERROR(INDEX([1]物品基础表!$A:$A,MATCH(X725,[1]物品基础表!$B:$B,0)),"")</f>
        <v>特戒碎片</v>
      </c>
      <c r="Z725" s="1">
        <v>1500</v>
      </c>
      <c r="AB725" s="1" t="str">
        <f>IFERROR(INDEX([1]物品基础表!$A:$A,MATCH(AA725,[1]物品基础表!$B:$B,0)),"")</f>
        <v/>
      </c>
      <c r="AE725" s="1" t="str">
        <f>IFERROR(INDEX([1]物品基础表!$A:$A,MATCH(AD725,[1]物品基础表!$B:$B,0)),"")</f>
        <v/>
      </c>
      <c r="AH725" s="1" t="str">
        <f>IFERROR(INDEX([1]物品基础表!$A:$A,MATCH(AG725,[1]物品基础表!$B:$B,0)),"")</f>
        <v/>
      </c>
      <c r="AK725" s="1" t="str">
        <f>IFERROR(INDEX([1]物品基础表!$A:$A,MATCH(AJ725,[1]物品基础表!$B:$B,0)),"")</f>
        <v/>
      </c>
      <c r="AN725" s="1" t="str">
        <f>IFERROR(INDEX([1]物品基础表!$A:$A,MATCH(AM725,[1]物品基础表!$B:$B,0)),"")</f>
        <v/>
      </c>
      <c r="AQ725" s="1" t="str">
        <f>IFERROR(INDEX([1]物品基础表!$A:$A,MATCH(AP725,[1]物品基础表!$B:$B,0)),"")</f>
        <v/>
      </c>
    </row>
    <row r="726" spans="1:43">
      <c r="A726" s="1" t="str">
        <f>INDEX([2]活动总表!$A$8:$A$429,MATCH(B726,[2]活动总表!$B$8:$B$429,0))</f>
        <v>龙抬头-限购-特戒碎片（15-60天）</v>
      </c>
      <c r="B726" s="1">
        <v>932</v>
      </c>
      <c r="C726" s="1">
        <v>1</v>
      </c>
      <c r="D726" s="1">
        <v>5</v>
      </c>
      <c r="E726" s="1">
        <v>0</v>
      </c>
      <c r="F726" s="1" t="s">
        <v>706</v>
      </c>
      <c r="G726" s="1">
        <v>888</v>
      </c>
      <c r="H726" s="1">
        <v>1500</v>
      </c>
      <c r="I726" s="1">
        <v>3</v>
      </c>
      <c r="O726" s="1">
        <v>59</v>
      </c>
      <c r="X726" s="1">
        <v>200015</v>
      </c>
      <c r="Y726" s="1" t="str">
        <f>IFERROR(INDEX([1]物品基础表!$A:$A,MATCH(X726,[1]物品基础表!$B:$B,0)),"")</f>
        <v>特戒碎片</v>
      </c>
      <c r="Z726" s="1">
        <v>150</v>
      </c>
      <c r="AB726" s="1" t="str">
        <f>IFERROR(INDEX([1]物品基础表!$A:$A,MATCH(AA726,[1]物品基础表!$B:$B,0)),"")</f>
        <v/>
      </c>
      <c r="AE726" s="1" t="str">
        <f>IFERROR(INDEX([1]物品基础表!$A:$A,MATCH(AD726,[1]物品基础表!$B:$B,0)),"")</f>
        <v/>
      </c>
      <c r="AH726" s="1" t="str">
        <f>IFERROR(INDEX([1]物品基础表!$A:$A,MATCH(AG726,[1]物品基础表!$B:$B,0)),"")</f>
        <v/>
      </c>
      <c r="AK726" s="1" t="str">
        <f>IFERROR(INDEX([1]物品基础表!$A:$A,MATCH(AJ726,[1]物品基础表!$B:$B,0)),"")</f>
        <v/>
      </c>
      <c r="AN726" s="1" t="str">
        <f>IFERROR(INDEX([1]物品基础表!$A:$A,MATCH(AM726,[1]物品基础表!$B:$B,0)),"")</f>
        <v/>
      </c>
      <c r="AQ726" s="1" t="str">
        <f>IFERROR(INDEX([1]物品基础表!$A:$A,MATCH(AP726,[1]物品基础表!$B:$B,0)),"")</f>
        <v/>
      </c>
    </row>
    <row r="727" spans="1:43">
      <c r="A727" s="1" t="str">
        <f>INDEX([2]活动总表!$A$8:$A$429,MATCH(B727,[2]活动总表!$B$8:$B$429,0))</f>
        <v>龙抬头-限购-特戒碎片（15-60天）</v>
      </c>
      <c r="B727" s="1">
        <v>932</v>
      </c>
      <c r="C727" s="1">
        <v>2</v>
      </c>
      <c r="D727" s="1">
        <v>7</v>
      </c>
      <c r="E727" s="1">
        <v>0</v>
      </c>
      <c r="F727" s="1" t="s">
        <v>706</v>
      </c>
      <c r="G727" s="1">
        <v>1588</v>
      </c>
      <c r="H727" s="1">
        <v>4500</v>
      </c>
      <c r="I727" s="1">
        <v>2</v>
      </c>
      <c r="O727" s="1">
        <v>35</v>
      </c>
      <c r="X727" s="1">
        <v>200015</v>
      </c>
      <c r="Y727" s="1" t="str">
        <f>IFERROR(INDEX([1]物品基础表!$A:$A,MATCH(X727,[1]物品基础表!$B:$B,0)),"")</f>
        <v>特戒碎片</v>
      </c>
      <c r="Z727" s="1">
        <v>450</v>
      </c>
      <c r="AB727" s="1" t="str">
        <f>IFERROR(INDEX([1]物品基础表!$A:$A,MATCH(AA727,[1]物品基础表!$B:$B,0)),"")</f>
        <v/>
      </c>
      <c r="AE727" s="1" t="str">
        <f>IFERROR(INDEX([1]物品基础表!$A:$A,MATCH(AD727,[1]物品基础表!$B:$B,0)),"")</f>
        <v/>
      </c>
      <c r="AH727" s="1" t="str">
        <f>IFERROR(INDEX([1]物品基础表!$A:$A,MATCH(AG727,[1]物品基础表!$B:$B,0)),"")</f>
        <v/>
      </c>
      <c r="AK727" s="1" t="str">
        <f>IFERROR(INDEX([1]物品基础表!$A:$A,MATCH(AJ727,[1]物品基础表!$B:$B,0)),"")</f>
        <v/>
      </c>
      <c r="AN727" s="1" t="str">
        <f>IFERROR(INDEX([1]物品基础表!$A:$A,MATCH(AM727,[1]物品基础表!$B:$B,0)),"")</f>
        <v/>
      </c>
      <c r="AQ727" s="1" t="str">
        <f>IFERROR(INDEX([1]物品基础表!$A:$A,MATCH(AP727,[1]物品基础表!$B:$B,0)),"")</f>
        <v/>
      </c>
    </row>
    <row r="728" spans="1:43">
      <c r="A728" s="1" t="str">
        <f>INDEX([2]活动总表!$A$8:$A$429,MATCH(B728,[2]活动总表!$B$8:$B$429,0))</f>
        <v>龙抬头-限购-特戒碎片（15-60天）</v>
      </c>
      <c r="B728" s="1">
        <v>932</v>
      </c>
      <c r="C728" s="1">
        <v>3</v>
      </c>
      <c r="D728" s="1">
        <v>5</v>
      </c>
      <c r="E728" s="1">
        <v>0</v>
      </c>
      <c r="F728" s="1" t="s">
        <v>706</v>
      </c>
      <c r="G728" s="1">
        <v>2888</v>
      </c>
      <c r="H728" s="1">
        <v>5000</v>
      </c>
      <c r="I728" s="1">
        <v>3</v>
      </c>
      <c r="O728" s="1">
        <v>57</v>
      </c>
      <c r="X728" s="1">
        <v>200015</v>
      </c>
      <c r="Y728" s="1" t="str">
        <f>IFERROR(INDEX([1]物品基础表!$A:$A,MATCH(X728,[1]物品基础表!$B:$B,0)),"")</f>
        <v>特戒碎片</v>
      </c>
      <c r="Z728" s="1">
        <v>500</v>
      </c>
      <c r="AB728" s="1" t="str">
        <f>IFERROR(INDEX([1]物品基础表!$A:$A,MATCH(AA728,[1]物品基础表!$B:$B,0)),"")</f>
        <v/>
      </c>
      <c r="AE728" s="1" t="str">
        <f>IFERROR(INDEX([1]物品基础表!$A:$A,MATCH(AD728,[1]物品基础表!$B:$B,0)),"")</f>
        <v/>
      </c>
      <c r="AH728" s="1" t="str">
        <f>IFERROR(INDEX([1]物品基础表!$A:$A,MATCH(AG728,[1]物品基础表!$B:$B,0)),"")</f>
        <v/>
      </c>
      <c r="AK728" s="1" t="str">
        <f>IFERROR(INDEX([1]物品基础表!$A:$A,MATCH(AJ728,[1]物品基础表!$B:$B,0)),"")</f>
        <v/>
      </c>
      <c r="AN728" s="1" t="str">
        <f>IFERROR(INDEX([1]物品基础表!$A:$A,MATCH(AM728,[1]物品基础表!$B:$B,0)),"")</f>
        <v/>
      </c>
      <c r="AQ728" s="1" t="str">
        <f>IFERROR(INDEX([1]物品基础表!$A:$A,MATCH(AP728,[1]物品基础表!$B:$B,0)),"")</f>
        <v/>
      </c>
    </row>
    <row r="729" spans="1:43">
      <c r="A729" s="1" t="str">
        <f>INDEX([2]活动总表!$A$8:$A$429,MATCH(B729,[2]活动总表!$B$8:$B$429,0))</f>
        <v>龙抬头-限购-特戒碎片（15-60天）</v>
      </c>
      <c r="B729" s="1">
        <v>932</v>
      </c>
      <c r="C729" s="1">
        <v>4</v>
      </c>
      <c r="D729" s="1">
        <v>5</v>
      </c>
      <c r="E729" s="1">
        <v>0</v>
      </c>
      <c r="F729" s="1" t="s">
        <v>706</v>
      </c>
      <c r="G729" s="1">
        <v>8888</v>
      </c>
      <c r="H729" s="1">
        <v>15000</v>
      </c>
      <c r="I729" s="1">
        <v>10</v>
      </c>
      <c r="O729" s="1">
        <v>59</v>
      </c>
      <c r="X729" s="1">
        <v>200015</v>
      </c>
      <c r="Y729" s="1" t="str">
        <f>IFERROR(INDEX([1]物品基础表!$A:$A,MATCH(X729,[1]物品基础表!$B:$B,0)),"")</f>
        <v>特戒碎片</v>
      </c>
      <c r="Z729" s="1">
        <v>1500</v>
      </c>
      <c r="AB729" s="1" t="str">
        <f>IFERROR(INDEX([1]物品基础表!$A:$A,MATCH(AA729,[1]物品基础表!$B:$B,0)),"")</f>
        <v/>
      </c>
      <c r="AE729" s="1" t="str">
        <f>IFERROR(INDEX([1]物品基础表!$A:$A,MATCH(AD729,[1]物品基础表!$B:$B,0)),"")</f>
        <v/>
      </c>
      <c r="AH729" s="1" t="str">
        <f>IFERROR(INDEX([1]物品基础表!$A:$A,MATCH(AG729,[1]物品基础表!$B:$B,0)),"")</f>
        <v/>
      </c>
      <c r="AK729" s="1" t="str">
        <f>IFERROR(INDEX([1]物品基础表!$A:$A,MATCH(AJ729,[1]物品基础表!$B:$B,0)),"")</f>
        <v/>
      </c>
      <c r="AN729" s="1" t="str">
        <f>IFERROR(INDEX([1]物品基础表!$A:$A,MATCH(AM729,[1]物品基础表!$B:$B,0)),"")</f>
        <v/>
      </c>
      <c r="AQ729" s="1" t="str">
        <f>IFERROR(INDEX([1]物品基础表!$A:$A,MATCH(AP729,[1]物品基础表!$B:$B,0)),"")</f>
        <v/>
      </c>
    </row>
    <row r="730" spans="1:43">
      <c r="A730" s="1" t="str">
        <f>INDEX([2]活动总表!$A$8:$A$429,MATCH(B730,[2]活动总表!$B$8:$B$429,0))</f>
        <v>龙抬头-限购-符石（15-60天）</v>
      </c>
      <c r="B730" s="1">
        <v>933</v>
      </c>
      <c r="C730" s="1">
        <v>1</v>
      </c>
      <c r="D730" s="1">
        <v>5</v>
      </c>
      <c r="E730" s="1">
        <v>0</v>
      </c>
      <c r="F730" s="1" t="s">
        <v>706</v>
      </c>
      <c r="G730" s="1">
        <v>888</v>
      </c>
      <c r="H730" s="1">
        <v>1500</v>
      </c>
      <c r="I730" s="1">
        <v>3</v>
      </c>
      <c r="O730" s="1">
        <v>59</v>
      </c>
      <c r="X730" s="1">
        <v>200208</v>
      </c>
      <c r="Y730" s="1" t="str">
        <f>IFERROR(INDEX([1]物品基础表!$A:$A,MATCH(X730,[1]物品基础表!$B:$B,0)),"")</f>
        <v>烈焰印记低级升级材料</v>
      </c>
      <c r="Z730" s="1">
        <v>150</v>
      </c>
      <c r="AB730" s="1" t="str">
        <f>IFERROR(INDEX([1]物品基础表!$A:$A,MATCH(AA730,[1]物品基础表!$B:$B,0)),"")</f>
        <v/>
      </c>
      <c r="AE730" s="1" t="str">
        <f>IFERROR(INDEX([1]物品基础表!$A:$A,MATCH(AD730,[1]物品基础表!$B:$B,0)),"")</f>
        <v/>
      </c>
      <c r="AH730" s="1" t="str">
        <f>IFERROR(INDEX([1]物品基础表!$A:$A,MATCH(AG730,[1]物品基础表!$B:$B,0)),"")</f>
        <v/>
      </c>
      <c r="AK730" s="1" t="str">
        <f>IFERROR(INDEX([1]物品基础表!$A:$A,MATCH(AJ730,[1]物品基础表!$B:$B,0)),"")</f>
        <v/>
      </c>
      <c r="AN730" s="1" t="str">
        <f>IFERROR(INDEX([1]物品基础表!$A:$A,MATCH(AM730,[1]物品基础表!$B:$B,0)),"")</f>
        <v/>
      </c>
      <c r="AQ730" s="1" t="str">
        <f>IFERROR(INDEX([1]物品基础表!$A:$A,MATCH(AP730,[1]物品基础表!$B:$B,0)),"")</f>
        <v/>
      </c>
    </row>
    <row r="731" spans="1:43">
      <c r="A731" s="1" t="str">
        <f>INDEX([2]活动总表!$A$8:$A$429,MATCH(B731,[2]活动总表!$B$8:$B$429,0))</f>
        <v>龙抬头-限购-符石（15-60天）</v>
      </c>
      <c r="B731" s="1">
        <v>933</v>
      </c>
      <c r="C731" s="1">
        <v>2</v>
      </c>
      <c r="D731" s="1">
        <v>7</v>
      </c>
      <c r="E731" s="1">
        <v>0</v>
      </c>
      <c r="F731" s="1" t="s">
        <v>706</v>
      </c>
      <c r="G731" s="1">
        <v>1588</v>
      </c>
      <c r="H731" s="1">
        <v>4500</v>
      </c>
      <c r="I731" s="1">
        <v>2</v>
      </c>
      <c r="O731" s="1">
        <v>35</v>
      </c>
      <c r="X731" s="1">
        <v>200208</v>
      </c>
      <c r="Y731" s="1" t="str">
        <f>IFERROR(INDEX([1]物品基础表!$A:$A,MATCH(X731,[1]物品基础表!$B:$B,0)),"")</f>
        <v>烈焰印记低级升级材料</v>
      </c>
      <c r="Z731" s="1">
        <v>450</v>
      </c>
      <c r="AB731" s="1" t="str">
        <f>IFERROR(INDEX([1]物品基础表!$A:$A,MATCH(AA731,[1]物品基础表!$B:$B,0)),"")</f>
        <v/>
      </c>
      <c r="AE731" s="1" t="str">
        <f>IFERROR(INDEX([1]物品基础表!$A:$A,MATCH(AD731,[1]物品基础表!$B:$B,0)),"")</f>
        <v/>
      </c>
      <c r="AH731" s="1" t="str">
        <f>IFERROR(INDEX([1]物品基础表!$A:$A,MATCH(AG731,[1]物品基础表!$B:$B,0)),"")</f>
        <v/>
      </c>
      <c r="AK731" s="1" t="str">
        <f>IFERROR(INDEX([1]物品基础表!$A:$A,MATCH(AJ731,[1]物品基础表!$B:$B,0)),"")</f>
        <v/>
      </c>
      <c r="AN731" s="1" t="str">
        <f>IFERROR(INDEX([1]物品基础表!$A:$A,MATCH(AM731,[1]物品基础表!$B:$B,0)),"")</f>
        <v/>
      </c>
      <c r="AQ731" s="1" t="str">
        <f>IFERROR(INDEX([1]物品基础表!$A:$A,MATCH(AP731,[1]物品基础表!$B:$B,0)),"")</f>
        <v/>
      </c>
    </row>
    <row r="732" spans="1:43">
      <c r="A732" s="1" t="str">
        <f>INDEX([2]活动总表!$A$8:$A$429,MATCH(B732,[2]活动总表!$B$8:$B$429,0))</f>
        <v>龙抬头-限购-符石（15-60天）</v>
      </c>
      <c r="B732" s="1">
        <v>933</v>
      </c>
      <c r="C732" s="1">
        <v>3</v>
      </c>
      <c r="D732" s="1">
        <v>5</v>
      </c>
      <c r="E732" s="1">
        <v>0</v>
      </c>
      <c r="F732" s="1" t="s">
        <v>706</v>
      </c>
      <c r="G732" s="1">
        <v>2888</v>
      </c>
      <c r="H732" s="1">
        <v>5000</v>
      </c>
      <c r="I732" s="1">
        <v>3</v>
      </c>
      <c r="O732" s="1">
        <v>57</v>
      </c>
      <c r="X732" s="1">
        <v>200208</v>
      </c>
      <c r="Y732" s="1" t="str">
        <f>IFERROR(INDEX([1]物品基础表!$A:$A,MATCH(X732,[1]物品基础表!$B:$B,0)),"")</f>
        <v>烈焰印记低级升级材料</v>
      </c>
      <c r="Z732" s="1">
        <v>500</v>
      </c>
      <c r="AB732" s="1" t="str">
        <f>IFERROR(INDEX([1]物品基础表!$A:$A,MATCH(AA732,[1]物品基础表!$B:$B,0)),"")</f>
        <v/>
      </c>
      <c r="AE732" s="1" t="str">
        <f>IFERROR(INDEX([1]物品基础表!$A:$A,MATCH(AD732,[1]物品基础表!$B:$B,0)),"")</f>
        <v/>
      </c>
      <c r="AH732" s="1" t="str">
        <f>IFERROR(INDEX([1]物品基础表!$A:$A,MATCH(AG732,[1]物品基础表!$B:$B,0)),"")</f>
        <v/>
      </c>
      <c r="AK732" s="1" t="str">
        <f>IFERROR(INDEX([1]物品基础表!$A:$A,MATCH(AJ732,[1]物品基础表!$B:$B,0)),"")</f>
        <v/>
      </c>
      <c r="AN732" s="1" t="str">
        <f>IFERROR(INDEX([1]物品基础表!$A:$A,MATCH(AM732,[1]物品基础表!$B:$B,0)),"")</f>
        <v/>
      </c>
      <c r="AQ732" s="1" t="str">
        <f>IFERROR(INDEX([1]物品基础表!$A:$A,MATCH(AP732,[1]物品基础表!$B:$B,0)),"")</f>
        <v/>
      </c>
    </row>
    <row r="733" spans="1:43">
      <c r="A733" s="1" t="str">
        <f>INDEX([2]活动总表!$A$8:$A$429,MATCH(B733,[2]活动总表!$B$8:$B$429,0))</f>
        <v>龙抬头-限购-符石（15-60天）</v>
      </c>
      <c r="B733" s="1">
        <v>933</v>
      </c>
      <c r="C733" s="1">
        <v>4</v>
      </c>
      <c r="D733" s="1">
        <v>5</v>
      </c>
      <c r="E733" s="1">
        <v>0</v>
      </c>
      <c r="F733" s="1" t="s">
        <v>706</v>
      </c>
      <c r="G733" s="1">
        <v>8888</v>
      </c>
      <c r="H733" s="1">
        <v>15000</v>
      </c>
      <c r="I733" s="1">
        <v>10</v>
      </c>
      <c r="O733" s="1">
        <v>59</v>
      </c>
      <c r="X733" s="1">
        <v>200208</v>
      </c>
      <c r="Y733" s="1" t="str">
        <f>IFERROR(INDEX([1]物品基础表!$A:$A,MATCH(X733,[1]物品基础表!$B:$B,0)),"")</f>
        <v>烈焰印记低级升级材料</v>
      </c>
      <c r="Z733" s="1">
        <v>1500</v>
      </c>
      <c r="AB733" s="1" t="str">
        <f>IFERROR(INDEX([1]物品基础表!$A:$A,MATCH(AA733,[1]物品基础表!$B:$B,0)),"")</f>
        <v/>
      </c>
      <c r="AE733" s="1" t="str">
        <f>IFERROR(INDEX([1]物品基础表!$A:$A,MATCH(AD733,[1]物品基础表!$B:$B,0)),"")</f>
        <v/>
      </c>
      <c r="AH733" s="1" t="str">
        <f>IFERROR(INDEX([1]物品基础表!$A:$A,MATCH(AG733,[1]物品基础表!$B:$B,0)),"")</f>
        <v/>
      </c>
      <c r="AK733" s="1" t="str">
        <f>IFERROR(INDEX([1]物品基础表!$A:$A,MATCH(AJ733,[1]物品基础表!$B:$B,0)),"")</f>
        <v/>
      </c>
      <c r="AN733" s="1" t="str">
        <f>IFERROR(INDEX([1]物品基础表!$A:$A,MATCH(AM733,[1]物品基础表!$B:$B,0)),"")</f>
        <v/>
      </c>
      <c r="AQ733" s="1" t="str">
        <f>IFERROR(INDEX([1]物品基础表!$A:$A,MATCH(AP733,[1]物品基础表!$B:$B,0)),"")</f>
        <v/>
      </c>
    </row>
    <row r="734" spans="1:43">
      <c r="A734" s="1" t="str">
        <f>INDEX([2]活动总表!$A$8:$A$429,MATCH(B734,[2]活动总表!$B$8:$B$429,0))</f>
        <v>龙抬头-限购-符石（15-60天）</v>
      </c>
      <c r="B734" s="1">
        <v>934</v>
      </c>
      <c r="C734" s="1">
        <v>1</v>
      </c>
      <c r="D734" s="1">
        <v>5</v>
      </c>
      <c r="E734" s="1">
        <v>0</v>
      </c>
      <c r="F734" s="1" t="s">
        <v>706</v>
      </c>
      <c r="G734" s="1">
        <v>888</v>
      </c>
      <c r="H734" s="1">
        <v>1500</v>
      </c>
      <c r="I734" s="1">
        <v>3</v>
      </c>
      <c r="O734" s="1">
        <v>59</v>
      </c>
      <c r="X734" s="1">
        <v>200208</v>
      </c>
      <c r="Y734" s="1" t="str">
        <f>IFERROR(INDEX([1]物品基础表!$A:$A,MATCH(X734,[1]物品基础表!$B:$B,0)),"")</f>
        <v>烈焰印记低级升级材料</v>
      </c>
      <c r="Z734" s="1">
        <v>150</v>
      </c>
      <c r="AB734" s="1" t="str">
        <f>IFERROR(INDEX([1]物品基础表!$A:$A,MATCH(AA734,[1]物品基础表!$B:$B,0)),"")</f>
        <v/>
      </c>
      <c r="AE734" s="1" t="str">
        <f>IFERROR(INDEX([1]物品基础表!$A:$A,MATCH(AD734,[1]物品基础表!$B:$B,0)),"")</f>
        <v/>
      </c>
      <c r="AH734" s="1" t="str">
        <f>IFERROR(INDEX([1]物品基础表!$A:$A,MATCH(AG734,[1]物品基础表!$B:$B,0)),"")</f>
        <v/>
      </c>
      <c r="AK734" s="1" t="str">
        <f>IFERROR(INDEX([1]物品基础表!$A:$A,MATCH(AJ734,[1]物品基础表!$B:$B,0)),"")</f>
        <v/>
      </c>
      <c r="AN734" s="1" t="str">
        <f>IFERROR(INDEX([1]物品基础表!$A:$A,MATCH(AM734,[1]物品基础表!$B:$B,0)),"")</f>
        <v/>
      </c>
      <c r="AQ734" s="1" t="str">
        <f>IFERROR(INDEX([1]物品基础表!$A:$A,MATCH(AP734,[1]物品基础表!$B:$B,0)),"")</f>
        <v/>
      </c>
    </row>
    <row r="735" spans="1:43">
      <c r="A735" s="1" t="str">
        <f>INDEX([2]活动总表!$A$8:$A$429,MATCH(B735,[2]活动总表!$B$8:$B$429,0))</f>
        <v>龙抬头-限购-符石（15-60天）</v>
      </c>
      <c r="B735" s="1">
        <v>934</v>
      </c>
      <c r="C735" s="1">
        <v>2</v>
      </c>
      <c r="D735" s="1">
        <v>7</v>
      </c>
      <c r="E735" s="1">
        <v>0</v>
      </c>
      <c r="F735" s="1" t="s">
        <v>706</v>
      </c>
      <c r="G735" s="1">
        <v>1588</v>
      </c>
      <c r="H735" s="1">
        <v>4500</v>
      </c>
      <c r="I735" s="1">
        <v>2</v>
      </c>
      <c r="O735" s="1">
        <v>35</v>
      </c>
      <c r="X735" s="1">
        <v>200208</v>
      </c>
      <c r="Y735" s="1" t="str">
        <f>IFERROR(INDEX([1]物品基础表!$A:$A,MATCH(X735,[1]物品基础表!$B:$B,0)),"")</f>
        <v>烈焰印记低级升级材料</v>
      </c>
      <c r="Z735" s="1">
        <v>450</v>
      </c>
      <c r="AB735" s="1" t="str">
        <f>IFERROR(INDEX([1]物品基础表!$A:$A,MATCH(AA735,[1]物品基础表!$B:$B,0)),"")</f>
        <v/>
      </c>
      <c r="AE735" s="1" t="str">
        <f>IFERROR(INDEX([1]物品基础表!$A:$A,MATCH(AD735,[1]物品基础表!$B:$B,0)),"")</f>
        <v/>
      </c>
      <c r="AH735" s="1" t="str">
        <f>IFERROR(INDEX([1]物品基础表!$A:$A,MATCH(AG735,[1]物品基础表!$B:$B,0)),"")</f>
        <v/>
      </c>
      <c r="AK735" s="1" t="str">
        <f>IFERROR(INDEX([1]物品基础表!$A:$A,MATCH(AJ735,[1]物品基础表!$B:$B,0)),"")</f>
        <v/>
      </c>
      <c r="AN735" s="1" t="str">
        <f>IFERROR(INDEX([1]物品基础表!$A:$A,MATCH(AM735,[1]物品基础表!$B:$B,0)),"")</f>
        <v/>
      </c>
      <c r="AQ735" s="1" t="str">
        <f>IFERROR(INDEX([1]物品基础表!$A:$A,MATCH(AP735,[1]物品基础表!$B:$B,0)),"")</f>
        <v/>
      </c>
    </row>
    <row r="736" spans="1:43">
      <c r="A736" s="1" t="str">
        <f>INDEX([2]活动总表!$A$8:$A$429,MATCH(B736,[2]活动总表!$B$8:$B$429,0))</f>
        <v>龙抬头-限购-符石（15-60天）</v>
      </c>
      <c r="B736" s="1">
        <v>934</v>
      </c>
      <c r="C736" s="1">
        <v>3</v>
      </c>
      <c r="D736" s="1">
        <v>5</v>
      </c>
      <c r="E736" s="1">
        <v>0</v>
      </c>
      <c r="F736" s="1" t="s">
        <v>706</v>
      </c>
      <c r="G736" s="1">
        <v>2888</v>
      </c>
      <c r="H736" s="1">
        <v>5000</v>
      </c>
      <c r="I736" s="1">
        <v>3</v>
      </c>
      <c r="O736" s="1">
        <v>57</v>
      </c>
      <c r="X736" s="1">
        <v>200208</v>
      </c>
      <c r="Y736" s="1" t="str">
        <f>IFERROR(INDEX([1]物品基础表!$A:$A,MATCH(X736,[1]物品基础表!$B:$B,0)),"")</f>
        <v>烈焰印记低级升级材料</v>
      </c>
      <c r="Z736" s="1">
        <v>500</v>
      </c>
      <c r="AB736" s="1" t="str">
        <f>IFERROR(INDEX([1]物品基础表!$A:$A,MATCH(AA736,[1]物品基础表!$B:$B,0)),"")</f>
        <v/>
      </c>
      <c r="AE736" s="1" t="str">
        <f>IFERROR(INDEX([1]物品基础表!$A:$A,MATCH(AD736,[1]物品基础表!$B:$B,0)),"")</f>
        <v/>
      </c>
      <c r="AH736" s="1" t="str">
        <f>IFERROR(INDEX([1]物品基础表!$A:$A,MATCH(AG736,[1]物品基础表!$B:$B,0)),"")</f>
        <v/>
      </c>
      <c r="AK736" s="1" t="str">
        <f>IFERROR(INDEX([1]物品基础表!$A:$A,MATCH(AJ736,[1]物品基础表!$B:$B,0)),"")</f>
        <v/>
      </c>
      <c r="AN736" s="1" t="str">
        <f>IFERROR(INDEX([1]物品基础表!$A:$A,MATCH(AM736,[1]物品基础表!$B:$B,0)),"")</f>
        <v/>
      </c>
      <c r="AQ736" s="1" t="str">
        <f>IFERROR(INDEX([1]物品基础表!$A:$A,MATCH(AP736,[1]物品基础表!$B:$B,0)),"")</f>
        <v/>
      </c>
    </row>
    <row r="737" spans="1:43">
      <c r="A737" s="1" t="str">
        <f>INDEX([2]活动总表!$A$8:$A$429,MATCH(B737,[2]活动总表!$B$8:$B$429,0))</f>
        <v>龙抬头-限购-符石（15-60天）</v>
      </c>
      <c r="B737" s="1">
        <v>934</v>
      </c>
      <c r="C737" s="1">
        <v>4</v>
      </c>
      <c r="D737" s="1">
        <v>5</v>
      </c>
      <c r="E737" s="1">
        <v>0</v>
      </c>
      <c r="F737" s="1" t="s">
        <v>706</v>
      </c>
      <c r="G737" s="1">
        <v>8888</v>
      </c>
      <c r="H737" s="1">
        <v>15000</v>
      </c>
      <c r="I737" s="1">
        <v>10</v>
      </c>
      <c r="O737" s="1">
        <v>59</v>
      </c>
      <c r="X737" s="1">
        <v>200208</v>
      </c>
      <c r="Y737" s="1" t="str">
        <f>IFERROR(INDEX([1]物品基础表!$A:$A,MATCH(X737,[1]物品基础表!$B:$B,0)),"")</f>
        <v>烈焰印记低级升级材料</v>
      </c>
      <c r="Z737" s="1">
        <v>1500</v>
      </c>
      <c r="AB737" s="1" t="str">
        <f>IFERROR(INDEX([1]物品基础表!$A:$A,MATCH(AA737,[1]物品基础表!$B:$B,0)),"")</f>
        <v/>
      </c>
      <c r="AE737" s="1" t="str">
        <f>IFERROR(INDEX([1]物品基础表!$A:$A,MATCH(AD737,[1]物品基础表!$B:$B,0)),"")</f>
        <v/>
      </c>
      <c r="AH737" s="1" t="str">
        <f>IFERROR(INDEX([1]物品基础表!$A:$A,MATCH(AG737,[1]物品基础表!$B:$B,0)),"")</f>
        <v/>
      </c>
      <c r="AK737" s="1" t="str">
        <f>IFERROR(INDEX([1]物品基础表!$A:$A,MATCH(AJ737,[1]物品基础表!$B:$B,0)),"")</f>
        <v/>
      </c>
      <c r="AN737" s="1" t="str">
        <f>IFERROR(INDEX([1]物品基础表!$A:$A,MATCH(AM737,[1]物品基础表!$B:$B,0)),"")</f>
        <v/>
      </c>
      <c r="AQ737" s="1" t="str">
        <f>IFERROR(INDEX([1]物品基础表!$A:$A,MATCH(AP737,[1]物品基础表!$B:$B,0)),"")</f>
        <v/>
      </c>
    </row>
    <row r="738" spans="1:43">
      <c r="A738" s="1" t="str">
        <f>INDEX([2]活动总表!$A$8:$A$429,MATCH(B738,[2]活动总表!$B$8:$B$429,0))</f>
        <v>龙抬头-限购-符石（15-60天）</v>
      </c>
      <c r="B738" s="1">
        <v>935</v>
      </c>
      <c r="C738" s="1">
        <v>1</v>
      </c>
      <c r="D738" s="1">
        <v>5</v>
      </c>
      <c r="E738" s="1">
        <v>0</v>
      </c>
      <c r="F738" s="1" t="s">
        <v>706</v>
      </c>
      <c r="G738" s="1">
        <v>888</v>
      </c>
      <c r="H738" s="1">
        <v>1500</v>
      </c>
      <c r="I738" s="1">
        <v>3</v>
      </c>
      <c r="O738" s="1">
        <v>59</v>
      </c>
      <c r="X738" s="1">
        <v>200208</v>
      </c>
      <c r="Y738" s="1" t="str">
        <f>IFERROR(INDEX([1]物品基础表!$A:$A,MATCH(X738,[1]物品基础表!$B:$B,0)),"")</f>
        <v>烈焰印记低级升级材料</v>
      </c>
      <c r="Z738" s="1">
        <v>150</v>
      </c>
      <c r="AB738" s="1" t="str">
        <f>IFERROR(INDEX([1]物品基础表!$A:$A,MATCH(AA738,[1]物品基础表!$B:$B,0)),"")</f>
        <v/>
      </c>
      <c r="AE738" s="1" t="str">
        <f>IFERROR(INDEX([1]物品基础表!$A:$A,MATCH(AD738,[1]物品基础表!$B:$B,0)),"")</f>
        <v/>
      </c>
      <c r="AH738" s="1" t="str">
        <f>IFERROR(INDEX([1]物品基础表!$A:$A,MATCH(AG738,[1]物品基础表!$B:$B,0)),"")</f>
        <v/>
      </c>
      <c r="AK738" s="1" t="str">
        <f>IFERROR(INDEX([1]物品基础表!$A:$A,MATCH(AJ738,[1]物品基础表!$B:$B,0)),"")</f>
        <v/>
      </c>
      <c r="AN738" s="1" t="str">
        <f>IFERROR(INDEX([1]物品基础表!$A:$A,MATCH(AM738,[1]物品基础表!$B:$B,0)),"")</f>
        <v/>
      </c>
      <c r="AQ738" s="1" t="str">
        <f>IFERROR(INDEX([1]物品基础表!$A:$A,MATCH(AP738,[1]物品基础表!$B:$B,0)),"")</f>
        <v/>
      </c>
    </row>
    <row r="739" spans="1:43">
      <c r="A739" s="1" t="str">
        <f>INDEX([2]活动总表!$A$8:$A$429,MATCH(B739,[2]活动总表!$B$8:$B$429,0))</f>
        <v>龙抬头-限购-符石（15-60天）</v>
      </c>
      <c r="B739" s="1">
        <v>935</v>
      </c>
      <c r="C739" s="1">
        <v>2</v>
      </c>
      <c r="D739" s="1">
        <v>7</v>
      </c>
      <c r="E739" s="1">
        <v>0</v>
      </c>
      <c r="F739" s="1" t="s">
        <v>706</v>
      </c>
      <c r="G739" s="1">
        <v>1588</v>
      </c>
      <c r="H739" s="1">
        <v>4500</v>
      </c>
      <c r="I739" s="1">
        <v>2</v>
      </c>
      <c r="O739" s="1">
        <v>35</v>
      </c>
      <c r="X739" s="1">
        <v>200208</v>
      </c>
      <c r="Y739" s="1" t="str">
        <f>IFERROR(INDEX([1]物品基础表!$A:$A,MATCH(X739,[1]物品基础表!$B:$B,0)),"")</f>
        <v>烈焰印记低级升级材料</v>
      </c>
      <c r="Z739" s="1">
        <v>450</v>
      </c>
      <c r="AB739" s="1" t="str">
        <f>IFERROR(INDEX([1]物品基础表!$A:$A,MATCH(AA739,[1]物品基础表!$B:$B,0)),"")</f>
        <v/>
      </c>
      <c r="AE739" s="1" t="str">
        <f>IFERROR(INDEX([1]物品基础表!$A:$A,MATCH(AD739,[1]物品基础表!$B:$B,0)),"")</f>
        <v/>
      </c>
      <c r="AH739" s="1" t="str">
        <f>IFERROR(INDEX([1]物品基础表!$A:$A,MATCH(AG739,[1]物品基础表!$B:$B,0)),"")</f>
        <v/>
      </c>
      <c r="AK739" s="1" t="str">
        <f>IFERROR(INDEX([1]物品基础表!$A:$A,MATCH(AJ739,[1]物品基础表!$B:$B,0)),"")</f>
        <v/>
      </c>
      <c r="AN739" s="1" t="str">
        <f>IFERROR(INDEX([1]物品基础表!$A:$A,MATCH(AM739,[1]物品基础表!$B:$B,0)),"")</f>
        <v/>
      </c>
      <c r="AQ739" s="1" t="str">
        <f>IFERROR(INDEX([1]物品基础表!$A:$A,MATCH(AP739,[1]物品基础表!$B:$B,0)),"")</f>
        <v/>
      </c>
    </row>
    <row r="740" spans="1:43">
      <c r="A740" s="1" t="str">
        <f>INDEX([2]活动总表!$A$8:$A$429,MATCH(B740,[2]活动总表!$B$8:$B$429,0))</f>
        <v>龙抬头-限购-符石（15-60天）</v>
      </c>
      <c r="B740" s="1">
        <v>935</v>
      </c>
      <c r="C740" s="1">
        <v>3</v>
      </c>
      <c r="D740" s="1">
        <v>5</v>
      </c>
      <c r="E740" s="1">
        <v>0</v>
      </c>
      <c r="F740" s="1" t="s">
        <v>706</v>
      </c>
      <c r="G740" s="1">
        <v>2888</v>
      </c>
      <c r="H740" s="1">
        <v>5000</v>
      </c>
      <c r="I740" s="1">
        <v>3</v>
      </c>
      <c r="O740" s="1">
        <v>57</v>
      </c>
      <c r="X740" s="1">
        <v>200208</v>
      </c>
      <c r="Y740" s="1" t="str">
        <f>IFERROR(INDEX([1]物品基础表!$A:$A,MATCH(X740,[1]物品基础表!$B:$B,0)),"")</f>
        <v>烈焰印记低级升级材料</v>
      </c>
      <c r="Z740" s="1">
        <v>500</v>
      </c>
      <c r="AB740" s="1" t="str">
        <f>IFERROR(INDEX([1]物品基础表!$A:$A,MATCH(AA740,[1]物品基础表!$B:$B,0)),"")</f>
        <v/>
      </c>
      <c r="AE740" s="1" t="str">
        <f>IFERROR(INDEX([1]物品基础表!$A:$A,MATCH(AD740,[1]物品基础表!$B:$B,0)),"")</f>
        <v/>
      </c>
      <c r="AH740" s="1" t="str">
        <f>IFERROR(INDEX([1]物品基础表!$A:$A,MATCH(AG740,[1]物品基础表!$B:$B,0)),"")</f>
        <v/>
      </c>
      <c r="AK740" s="1" t="str">
        <f>IFERROR(INDEX([1]物品基础表!$A:$A,MATCH(AJ740,[1]物品基础表!$B:$B,0)),"")</f>
        <v/>
      </c>
      <c r="AN740" s="1" t="str">
        <f>IFERROR(INDEX([1]物品基础表!$A:$A,MATCH(AM740,[1]物品基础表!$B:$B,0)),"")</f>
        <v/>
      </c>
      <c r="AQ740" s="1" t="str">
        <f>IFERROR(INDEX([1]物品基础表!$A:$A,MATCH(AP740,[1]物品基础表!$B:$B,0)),"")</f>
        <v/>
      </c>
    </row>
    <row r="741" spans="1:43">
      <c r="A741" s="1" t="str">
        <f>INDEX([2]活动总表!$A$8:$A$429,MATCH(B741,[2]活动总表!$B$8:$B$429,0))</f>
        <v>龙抬头-限购-符石（15-60天）</v>
      </c>
      <c r="B741" s="1">
        <v>935</v>
      </c>
      <c r="C741" s="1">
        <v>4</v>
      </c>
      <c r="D741" s="1">
        <v>5</v>
      </c>
      <c r="E741" s="1">
        <v>0</v>
      </c>
      <c r="F741" s="1" t="s">
        <v>706</v>
      </c>
      <c r="G741" s="1">
        <v>8888</v>
      </c>
      <c r="H741" s="1">
        <v>15000</v>
      </c>
      <c r="I741" s="1">
        <v>10</v>
      </c>
      <c r="O741" s="1">
        <v>59</v>
      </c>
      <c r="X741" s="1">
        <v>200208</v>
      </c>
      <c r="Y741" s="1" t="str">
        <f>IFERROR(INDEX([1]物品基础表!$A:$A,MATCH(X741,[1]物品基础表!$B:$B,0)),"")</f>
        <v>烈焰印记低级升级材料</v>
      </c>
      <c r="Z741" s="1">
        <v>1500</v>
      </c>
      <c r="AB741" s="1" t="str">
        <f>IFERROR(INDEX([1]物品基础表!$A:$A,MATCH(AA741,[1]物品基础表!$B:$B,0)),"")</f>
        <v/>
      </c>
      <c r="AE741" s="1" t="str">
        <f>IFERROR(INDEX([1]物品基础表!$A:$A,MATCH(AD741,[1]物品基础表!$B:$B,0)),"")</f>
        <v/>
      </c>
      <c r="AH741" s="1" t="str">
        <f>IFERROR(INDEX([1]物品基础表!$A:$A,MATCH(AG741,[1]物品基础表!$B:$B,0)),"")</f>
        <v/>
      </c>
      <c r="AK741" s="1" t="str">
        <f>IFERROR(INDEX([1]物品基础表!$A:$A,MATCH(AJ741,[1]物品基础表!$B:$B,0)),"")</f>
        <v/>
      </c>
      <c r="AN741" s="1" t="str">
        <f>IFERROR(INDEX([1]物品基础表!$A:$A,MATCH(AM741,[1]物品基础表!$B:$B,0)),"")</f>
        <v/>
      </c>
      <c r="AQ741" s="1" t="str">
        <f>IFERROR(INDEX([1]物品基础表!$A:$A,MATCH(AP741,[1]物品基础表!$B:$B,0)),"")</f>
        <v/>
      </c>
    </row>
    <row r="742" spans="1:43">
      <c r="A742" s="1" t="str">
        <f>INDEX([2]活动总表!$A$8:$A$429,MATCH(B742,[2]活动总表!$B$8:$B$429,0))</f>
        <v>龙抬头-限购-特戒碎片（61+天）</v>
      </c>
      <c r="B742" s="1">
        <v>936</v>
      </c>
      <c r="C742" s="1">
        <v>1</v>
      </c>
      <c r="D742" s="1">
        <v>5</v>
      </c>
      <c r="E742" s="1">
        <v>0</v>
      </c>
      <c r="F742" s="1" t="s">
        <v>706</v>
      </c>
      <c r="G742" s="1">
        <v>888</v>
      </c>
      <c r="H742" s="1">
        <v>1500</v>
      </c>
      <c r="I742" s="1">
        <v>3</v>
      </c>
      <c r="O742" s="1">
        <v>59</v>
      </c>
      <c r="X742" s="1">
        <v>200015</v>
      </c>
      <c r="Y742" s="1" t="str">
        <f>IFERROR(INDEX([1]物品基础表!$A:$A,MATCH(X742,[1]物品基础表!$B:$B,0)),"")</f>
        <v>特戒碎片</v>
      </c>
      <c r="Z742" s="1">
        <v>150</v>
      </c>
      <c r="AB742" s="1" t="str">
        <f>IFERROR(INDEX([1]物品基础表!$A:$A,MATCH(AA742,[1]物品基础表!$B:$B,0)),"")</f>
        <v/>
      </c>
      <c r="AE742" s="1" t="str">
        <f>IFERROR(INDEX([1]物品基础表!$A:$A,MATCH(AD742,[1]物品基础表!$B:$B,0)),"")</f>
        <v/>
      </c>
      <c r="AH742" s="1" t="str">
        <f>IFERROR(INDEX([1]物品基础表!$A:$A,MATCH(AG742,[1]物品基础表!$B:$B,0)),"")</f>
        <v/>
      </c>
      <c r="AK742" s="1" t="str">
        <f>IFERROR(INDEX([1]物品基础表!$A:$A,MATCH(AJ742,[1]物品基础表!$B:$B,0)),"")</f>
        <v/>
      </c>
      <c r="AN742" s="1" t="str">
        <f>IFERROR(INDEX([1]物品基础表!$A:$A,MATCH(AM742,[1]物品基础表!$B:$B,0)),"")</f>
        <v/>
      </c>
      <c r="AQ742" s="1" t="str">
        <f>IFERROR(INDEX([1]物品基础表!$A:$A,MATCH(AP742,[1]物品基础表!$B:$B,0)),"")</f>
        <v/>
      </c>
    </row>
    <row r="743" spans="1:43">
      <c r="A743" s="1" t="str">
        <f>INDEX([2]活动总表!$A$8:$A$429,MATCH(B743,[2]活动总表!$B$8:$B$429,0))</f>
        <v>龙抬头-限购-特戒碎片（61+天）</v>
      </c>
      <c r="B743" s="1">
        <v>936</v>
      </c>
      <c r="C743" s="1">
        <v>2</v>
      </c>
      <c r="D743" s="1">
        <v>7</v>
      </c>
      <c r="E743" s="1">
        <v>0</v>
      </c>
      <c r="F743" s="1" t="s">
        <v>706</v>
      </c>
      <c r="G743" s="1">
        <v>1588</v>
      </c>
      <c r="H743" s="1">
        <v>4500</v>
      </c>
      <c r="I743" s="1">
        <v>2</v>
      </c>
      <c r="O743" s="1">
        <v>35</v>
      </c>
      <c r="X743" s="1">
        <v>200015</v>
      </c>
      <c r="Y743" s="1" t="str">
        <f>IFERROR(INDEX([1]物品基础表!$A:$A,MATCH(X743,[1]物品基础表!$B:$B,0)),"")</f>
        <v>特戒碎片</v>
      </c>
      <c r="Z743" s="1">
        <v>450</v>
      </c>
      <c r="AB743" s="1" t="str">
        <f>IFERROR(INDEX([1]物品基础表!$A:$A,MATCH(AA743,[1]物品基础表!$B:$B,0)),"")</f>
        <v/>
      </c>
      <c r="AE743" s="1" t="str">
        <f>IFERROR(INDEX([1]物品基础表!$A:$A,MATCH(AD743,[1]物品基础表!$B:$B,0)),"")</f>
        <v/>
      </c>
      <c r="AH743" s="1" t="str">
        <f>IFERROR(INDEX([1]物品基础表!$A:$A,MATCH(AG743,[1]物品基础表!$B:$B,0)),"")</f>
        <v/>
      </c>
      <c r="AK743" s="1" t="str">
        <f>IFERROR(INDEX([1]物品基础表!$A:$A,MATCH(AJ743,[1]物品基础表!$B:$B,0)),"")</f>
        <v/>
      </c>
      <c r="AN743" s="1" t="str">
        <f>IFERROR(INDEX([1]物品基础表!$A:$A,MATCH(AM743,[1]物品基础表!$B:$B,0)),"")</f>
        <v/>
      </c>
      <c r="AQ743" s="1" t="str">
        <f>IFERROR(INDEX([1]物品基础表!$A:$A,MATCH(AP743,[1]物品基础表!$B:$B,0)),"")</f>
        <v/>
      </c>
    </row>
    <row r="744" spans="1:43">
      <c r="A744" s="1" t="str">
        <f>INDEX([2]活动总表!$A$8:$A$429,MATCH(B744,[2]活动总表!$B$8:$B$429,0))</f>
        <v>龙抬头-限购-特戒碎片（61+天）</v>
      </c>
      <c r="B744" s="1">
        <v>936</v>
      </c>
      <c r="C744" s="1">
        <v>3</v>
      </c>
      <c r="D744" s="1">
        <v>7</v>
      </c>
      <c r="E744" s="1">
        <v>0</v>
      </c>
      <c r="F744" s="1" t="s">
        <v>706</v>
      </c>
      <c r="G744" s="1">
        <v>2888</v>
      </c>
      <c r="H744" s="1">
        <v>8000</v>
      </c>
      <c r="I744" s="1">
        <v>2</v>
      </c>
      <c r="O744" s="1">
        <v>36</v>
      </c>
      <c r="X744" s="1">
        <v>200015</v>
      </c>
      <c r="Y744" s="1" t="str">
        <f>IFERROR(INDEX([1]物品基础表!$A:$A,MATCH(X744,[1]物品基础表!$B:$B,0)),"")</f>
        <v>特戒碎片</v>
      </c>
      <c r="Z744" s="1">
        <v>800</v>
      </c>
      <c r="AB744" s="1" t="str">
        <f>IFERROR(INDEX([1]物品基础表!$A:$A,MATCH(AA744,[1]物品基础表!$B:$B,0)),"")</f>
        <v/>
      </c>
      <c r="AE744" s="1" t="str">
        <f>IFERROR(INDEX([1]物品基础表!$A:$A,MATCH(AD744,[1]物品基础表!$B:$B,0)),"")</f>
        <v/>
      </c>
      <c r="AH744" s="1" t="str">
        <f>IFERROR(INDEX([1]物品基础表!$A:$A,MATCH(AG744,[1]物品基础表!$B:$B,0)),"")</f>
        <v/>
      </c>
      <c r="AK744" s="1" t="str">
        <f>IFERROR(INDEX([1]物品基础表!$A:$A,MATCH(AJ744,[1]物品基础表!$B:$B,0)),"")</f>
        <v/>
      </c>
      <c r="AN744" s="1" t="str">
        <f>IFERROR(INDEX([1]物品基础表!$A:$A,MATCH(AM744,[1]物品基础表!$B:$B,0)),"")</f>
        <v/>
      </c>
      <c r="AQ744" s="1" t="str">
        <f>IFERROR(INDEX([1]物品基础表!$A:$A,MATCH(AP744,[1]物品基础表!$B:$B,0)),"")</f>
        <v/>
      </c>
    </row>
    <row r="745" spans="1:43">
      <c r="A745" s="1" t="str">
        <f>INDEX([2]活动总表!$A$8:$A$429,MATCH(B745,[2]活动总表!$B$8:$B$429,0))</f>
        <v>龙抬头-限购-特戒碎片（61+天）</v>
      </c>
      <c r="B745" s="1">
        <v>936</v>
      </c>
      <c r="C745" s="1">
        <v>4</v>
      </c>
      <c r="D745" s="1">
        <v>5</v>
      </c>
      <c r="E745" s="1">
        <v>0</v>
      </c>
      <c r="F745" s="1" t="s">
        <v>706</v>
      </c>
      <c r="G745" s="1">
        <v>2888</v>
      </c>
      <c r="H745" s="1">
        <v>5000</v>
      </c>
      <c r="I745" s="1">
        <v>3</v>
      </c>
      <c r="O745" s="1">
        <v>57</v>
      </c>
      <c r="X745" s="1">
        <v>200015</v>
      </c>
      <c r="Y745" s="1" t="str">
        <f>IFERROR(INDEX([1]物品基础表!$A:$A,MATCH(X745,[1]物品基础表!$B:$B,0)),"")</f>
        <v>特戒碎片</v>
      </c>
      <c r="Z745" s="1">
        <v>500</v>
      </c>
      <c r="AB745" s="1" t="str">
        <f>IFERROR(INDEX([1]物品基础表!$A:$A,MATCH(AA745,[1]物品基础表!$B:$B,0)),"")</f>
        <v/>
      </c>
      <c r="AE745" s="1" t="str">
        <f>IFERROR(INDEX([1]物品基础表!$A:$A,MATCH(AD745,[1]物品基础表!$B:$B,0)),"")</f>
        <v/>
      </c>
      <c r="AH745" s="1" t="str">
        <f>IFERROR(INDEX([1]物品基础表!$A:$A,MATCH(AG745,[1]物品基础表!$B:$B,0)),"")</f>
        <v/>
      </c>
      <c r="AK745" s="1" t="str">
        <f>IFERROR(INDEX([1]物品基础表!$A:$A,MATCH(AJ745,[1]物品基础表!$B:$B,0)),"")</f>
        <v/>
      </c>
      <c r="AN745" s="1" t="str">
        <f>IFERROR(INDEX([1]物品基础表!$A:$A,MATCH(AM745,[1]物品基础表!$B:$B,0)),"")</f>
        <v/>
      </c>
      <c r="AQ745" s="1" t="str">
        <f>IFERROR(INDEX([1]物品基础表!$A:$A,MATCH(AP745,[1]物品基础表!$B:$B,0)),"")</f>
        <v/>
      </c>
    </row>
    <row r="746" spans="1:43">
      <c r="A746" s="1" t="str">
        <f>INDEX([2]活动总表!$A$8:$A$429,MATCH(B746,[2]活动总表!$B$8:$B$429,0))</f>
        <v>龙抬头-限购-特戒碎片（61+天）</v>
      </c>
      <c r="B746" s="1">
        <v>936</v>
      </c>
      <c r="C746" s="1">
        <v>5</v>
      </c>
      <c r="D746" s="1">
        <v>5</v>
      </c>
      <c r="E746" s="1">
        <v>0</v>
      </c>
      <c r="F746" s="1" t="s">
        <v>706</v>
      </c>
      <c r="G746" s="1">
        <v>8888</v>
      </c>
      <c r="H746" s="1">
        <v>15000</v>
      </c>
      <c r="I746" s="1">
        <v>10</v>
      </c>
      <c r="O746" s="1">
        <v>59</v>
      </c>
      <c r="X746" s="1">
        <v>200015</v>
      </c>
      <c r="Y746" s="1" t="str">
        <f>IFERROR(INDEX([1]物品基础表!$A:$A,MATCH(X746,[1]物品基础表!$B:$B,0)),"")</f>
        <v>特戒碎片</v>
      </c>
      <c r="Z746" s="1">
        <v>1500</v>
      </c>
      <c r="AB746" s="1" t="str">
        <f>IFERROR(INDEX([1]物品基础表!$A:$A,MATCH(AA746,[1]物品基础表!$B:$B,0)),"")</f>
        <v/>
      </c>
      <c r="AE746" s="1" t="str">
        <f>IFERROR(INDEX([1]物品基础表!$A:$A,MATCH(AD746,[1]物品基础表!$B:$B,0)),"")</f>
        <v/>
      </c>
      <c r="AH746" s="1" t="str">
        <f>IFERROR(INDEX([1]物品基础表!$A:$A,MATCH(AG746,[1]物品基础表!$B:$B,0)),"")</f>
        <v/>
      </c>
      <c r="AK746" s="1" t="str">
        <f>IFERROR(INDEX([1]物品基础表!$A:$A,MATCH(AJ746,[1]物品基础表!$B:$B,0)),"")</f>
        <v/>
      </c>
      <c r="AN746" s="1" t="str">
        <f>IFERROR(INDEX([1]物品基础表!$A:$A,MATCH(AM746,[1]物品基础表!$B:$B,0)),"")</f>
        <v/>
      </c>
      <c r="AQ746" s="1" t="str">
        <f>IFERROR(INDEX([1]物品基础表!$A:$A,MATCH(AP746,[1]物品基础表!$B:$B,0)),"")</f>
        <v/>
      </c>
    </row>
    <row r="747" spans="1:43">
      <c r="A747" s="1" t="str">
        <f>INDEX([2]活动总表!$A$8:$A$429,MATCH(B747,[2]活动总表!$B$8:$B$429,0))</f>
        <v>龙抬头-限购-特戒碎片（61+天）</v>
      </c>
      <c r="B747" s="1">
        <v>937</v>
      </c>
      <c r="C747" s="1">
        <v>1</v>
      </c>
      <c r="D747" s="1">
        <v>5</v>
      </c>
      <c r="E747" s="1">
        <v>0</v>
      </c>
      <c r="F747" s="1" t="s">
        <v>706</v>
      </c>
      <c r="G747" s="1">
        <v>888</v>
      </c>
      <c r="H747" s="1">
        <v>1500</v>
      </c>
      <c r="I747" s="1">
        <v>3</v>
      </c>
      <c r="O747" s="1">
        <v>59</v>
      </c>
      <c r="X747" s="1">
        <v>200015</v>
      </c>
      <c r="Y747" s="1" t="str">
        <f>IFERROR(INDEX([1]物品基础表!$A:$A,MATCH(X747,[1]物品基础表!$B:$B,0)),"")</f>
        <v>特戒碎片</v>
      </c>
      <c r="Z747" s="1">
        <v>150</v>
      </c>
      <c r="AB747" s="1" t="str">
        <f>IFERROR(INDEX([1]物品基础表!$A:$A,MATCH(AA747,[1]物品基础表!$B:$B,0)),"")</f>
        <v/>
      </c>
      <c r="AE747" s="1" t="str">
        <f>IFERROR(INDEX([1]物品基础表!$A:$A,MATCH(AD747,[1]物品基础表!$B:$B,0)),"")</f>
        <v/>
      </c>
      <c r="AH747" s="1" t="str">
        <f>IFERROR(INDEX([1]物品基础表!$A:$A,MATCH(AG747,[1]物品基础表!$B:$B,0)),"")</f>
        <v/>
      </c>
      <c r="AK747" s="1" t="str">
        <f>IFERROR(INDEX([1]物品基础表!$A:$A,MATCH(AJ747,[1]物品基础表!$B:$B,0)),"")</f>
        <v/>
      </c>
      <c r="AN747" s="1" t="str">
        <f>IFERROR(INDEX([1]物品基础表!$A:$A,MATCH(AM747,[1]物品基础表!$B:$B,0)),"")</f>
        <v/>
      </c>
      <c r="AQ747" s="1" t="str">
        <f>IFERROR(INDEX([1]物品基础表!$A:$A,MATCH(AP747,[1]物品基础表!$B:$B,0)),"")</f>
        <v/>
      </c>
    </row>
    <row r="748" spans="1:43">
      <c r="A748" s="1" t="str">
        <f>INDEX([2]活动总表!$A$8:$A$429,MATCH(B748,[2]活动总表!$B$8:$B$429,0))</f>
        <v>龙抬头-限购-特戒碎片（61+天）</v>
      </c>
      <c r="B748" s="1">
        <v>937</v>
      </c>
      <c r="C748" s="1">
        <v>2</v>
      </c>
      <c r="D748" s="1">
        <v>7</v>
      </c>
      <c r="E748" s="1">
        <v>0</v>
      </c>
      <c r="F748" s="1" t="s">
        <v>706</v>
      </c>
      <c r="G748" s="1">
        <v>1588</v>
      </c>
      <c r="H748" s="1">
        <v>4500</v>
      </c>
      <c r="I748" s="1">
        <v>2</v>
      </c>
      <c r="O748" s="1">
        <v>35</v>
      </c>
      <c r="X748" s="1">
        <v>200015</v>
      </c>
      <c r="Y748" s="1" t="str">
        <f>IFERROR(INDEX([1]物品基础表!$A:$A,MATCH(X748,[1]物品基础表!$B:$B,0)),"")</f>
        <v>特戒碎片</v>
      </c>
      <c r="Z748" s="1">
        <v>450</v>
      </c>
      <c r="AB748" s="1" t="str">
        <f>IFERROR(INDEX([1]物品基础表!$A:$A,MATCH(AA748,[1]物品基础表!$B:$B,0)),"")</f>
        <v/>
      </c>
      <c r="AE748" s="1" t="str">
        <f>IFERROR(INDEX([1]物品基础表!$A:$A,MATCH(AD748,[1]物品基础表!$B:$B,0)),"")</f>
        <v/>
      </c>
      <c r="AH748" s="1" t="str">
        <f>IFERROR(INDEX([1]物品基础表!$A:$A,MATCH(AG748,[1]物品基础表!$B:$B,0)),"")</f>
        <v/>
      </c>
      <c r="AK748" s="1" t="str">
        <f>IFERROR(INDEX([1]物品基础表!$A:$A,MATCH(AJ748,[1]物品基础表!$B:$B,0)),"")</f>
        <v/>
      </c>
      <c r="AN748" s="1" t="str">
        <f>IFERROR(INDEX([1]物品基础表!$A:$A,MATCH(AM748,[1]物品基础表!$B:$B,0)),"")</f>
        <v/>
      </c>
      <c r="AQ748" s="1" t="str">
        <f>IFERROR(INDEX([1]物品基础表!$A:$A,MATCH(AP748,[1]物品基础表!$B:$B,0)),"")</f>
        <v/>
      </c>
    </row>
    <row r="749" spans="1:43">
      <c r="A749" s="1" t="str">
        <f>INDEX([2]活动总表!$A$8:$A$429,MATCH(B749,[2]活动总表!$B$8:$B$429,0))</f>
        <v>龙抬头-限购-特戒碎片（61+天）</v>
      </c>
      <c r="B749" s="1">
        <v>937</v>
      </c>
      <c r="C749" s="1">
        <v>3</v>
      </c>
      <c r="D749" s="1">
        <v>7</v>
      </c>
      <c r="E749" s="1">
        <v>0</v>
      </c>
      <c r="F749" s="1" t="s">
        <v>706</v>
      </c>
      <c r="G749" s="1">
        <v>2888</v>
      </c>
      <c r="H749" s="1">
        <v>8000</v>
      </c>
      <c r="I749" s="1">
        <v>2</v>
      </c>
      <c r="O749" s="1">
        <v>36</v>
      </c>
      <c r="X749" s="1">
        <v>200015</v>
      </c>
      <c r="Y749" s="1" t="str">
        <f>IFERROR(INDEX([1]物品基础表!$A:$A,MATCH(X749,[1]物品基础表!$B:$B,0)),"")</f>
        <v>特戒碎片</v>
      </c>
      <c r="Z749" s="1">
        <v>800</v>
      </c>
      <c r="AB749" s="1" t="str">
        <f>IFERROR(INDEX([1]物品基础表!$A:$A,MATCH(AA749,[1]物品基础表!$B:$B,0)),"")</f>
        <v/>
      </c>
      <c r="AE749" s="1" t="str">
        <f>IFERROR(INDEX([1]物品基础表!$A:$A,MATCH(AD749,[1]物品基础表!$B:$B,0)),"")</f>
        <v/>
      </c>
      <c r="AH749" s="1" t="str">
        <f>IFERROR(INDEX([1]物品基础表!$A:$A,MATCH(AG749,[1]物品基础表!$B:$B,0)),"")</f>
        <v/>
      </c>
      <c r="AK749" s="1" t="str">
        <f>IFERROR(INDEX([1]物品基础表!$A:$A,MATCH(AJ749,[1]物品基础表!$B:$B,0)),"")</f>
        <v/>
      </c>
      <c r="AN749" s="1" t="str">
        <f>IFERROR(INDEX([1]物品基础表!$A:$A,MATCH(AM749,[1]物品基础表!$B:$B,0)),"")</f>
        <v/>
      </c>
      <c r="AQ749" s="1" t="str">
        <f>IFERROR(INDEX([1]物品基础表!$A:$A,MATCH(AP749,[1]物品基础表!$B:$B,0)),"")</f>
        <v/>
      </c>
    </row>
    <row r="750" spans="1:43">
      <c r="A750" s="1" t="str">
        <f>INDEX([2]活动总表!$A$8:$A$429,MATCH(B750,[2]活动总表!$B$8:$B$429,0))</f>
        <v>龙抬头-限购-特戒碎片（61+天）</v>
      </c>
      <c r="B750" s="1">
        <v>937</v>
      </c>
      <c r="C750" s="1">
        <v>4</v>
      </c>
      <c r="D750" s="1">
        <v>5</v>
      </c>
      <c r="E750" s="1">
        <v>0</v>
      </c>
      <c r="F750" s="1" t="s">
        <v>706</v>
      </c>
      <c r="G750" s="1">
        <v>2888</v>
      </c>
      <c r="H750" s="1">
        <v>5000</v>
      </c>
      <c r="I750" s="1">
        <v>3</v>
      </c>
      <c r="O750" s="1">
        <v>57</v>
      </c>
      <c r="X750" s="1">
        <v>200015</v>
      </c>
      <c r="Y750" s="1" t="str">
        <f>IFERROR(INDEX([1]物品基础表!$A:$A,MATCH(X750,[1]物品基础表!$B:$B,0)),"")</f>
        <v>特戒碎片</v>
      </c>
      <c r="Z750" s="1">
        <v>500</v>
      </c>
      <c r="AB750" s="1" t="str">
        <f>IFERROR(INDEX([1]物品基础表!$A:$A,MATCH(AA750,[1]物品基础表!$B:$B,0)),"")</f>
        <v/>
      </c>
      <c r="AE750" s="1" t="str">
        <f>IFERROR(INDEX([1]物品基础表!$A:$A,MATCH(AD750,[1]物品基础表!$B:$B,0)),"")</f>
        <v/>
      </c>
      <c r="AH750" s="1" t="str">
        <f>IFERROR(INDEX([1]物品基础表!$A:$A,MATCH(AG750,[1]物品基础表!$B:$B,0)),"")</f>
        <v/>
      </c>
      <c r="AK750" s="1" t="str">
        <f>IFERROR(INDEX([1]物品基础表!$A:$A,MATCH(AJ750,[1]物品基础表!$B:$B,0)),"")</f>
        <v/>
      </c>
      <c r="AN750" s="1" t="str">
        <f>IFERROR(INDEX([1]物品基础表!$A:$A,MATCH(AM750,[1]物品基础表!$B:$B,0)),"")</f>
        <v/>
      </c>
      <c r="AQ750" s="1" t="str">
        <f>IFERROR(INDEX([1]物品基础表!$A:$A,MATCH(AP750,[1]物品基础表!$B:$B,0)),"")</f>
        <v/>
      </c>
    </row>
    <row r="751" spans="1:43">
      <c r="A751" s="1" t="str">
        <f>INDEX([2]活动总表!$A$8:$A$429,MATCH(B751,[2]活动总表!$B$8:$B$429,0))</f>
        <v>龙抬头-限购-特戒碎片（61+天）</v>
      </c>
      <c r="B751" s="1">
        <v>937</v>
      </c>
      <c r="C751" s="1">
        <v>5</v>
      </c>
      <c r="D751" s="1">
        <v>5</v>
      </c>
      <c r="E751" s="1">
        <v>0</v>
      </c>
      <c r="F751" s="1" t="s">
        <v>706</v>
      </c>
      <c r="G751" s="1">
        <v>8888</v>
      </c>
      <c r="H751" s="1">
        <v>15000</v>
      </c>
      <c r="I751" s="1">
        <v>10</v>
      </c>
      <c r="O751" s="1">
        <v>59</v>
      </c>
      <c r="X751" s="1">
        <v>200015</v>
      </c>
      <c r="Y751" s="1" t="str">
        <f>IFERROR(INDEX([1]物品基础表!$A:$A,MATCH(X751,[1]物品基础表!$B:$B,0)),"")</f>
        <v>特戒碎片</v>
      </c>
      <c r="Z751" s="1">
        <v>1500</v>
      </c>
      <c r="AB751" s="1" t="str">
        <f>IFERROR(INDEX([1]物品基础表!$A:$A,MATCH(AA751,[1]物品基础表!$B:$B,0)),"")</f>
        <v/>
      </c>
      <c r="AE751" s="1" t="str">
        <f>IFERROR(INDEX([1]物品基础表!$A:$A,MATCH(AD751,[1]物品基础表!$B:$B,0)),"")</f>
        <v/>
      </c>
      <c r="AH751" s="1" t="str">
        <f>IFERROR(INDEX([1]物品基础表!$A:$A,MATCH(AG751,[1]物品基础表!$B:$B,0)),"")</f>
        <v/>
      </c>
      <c r="AK751" s="1" t="str">
        <f>IFERROR(INDEX([1]物品基础表!$A:$A,MATCH(AJ751,[1]物品基础表!$B:$B,0)),"")</f>
        <v/>
      </c>
      <c r="AN751" s="1" t="str">
        <f>IFERROR(INDEX([1]物品基础表!$A:$A,MATCH(AM751,[1]物品基础表!$B:$B,0)),"")</f>
        <v/>
      </c>
      <c r="AQ751" s="1" t="str">
        <f>IFERROR(INDEX([1]物品基础表!$A:$A,MATCH(AP751,[1]物品基础表!$B:$B,0)),"")</f>
        <v/>
      </c>
    </row>
    <row r="752" spans="1:43">
      <c r="A752" s="1" t="str">
        <f>INDEX([2]活动总表!$A$8:$A$429,MATCH(B752,[2]活动总表!$B$8:$B$429,0))</f>
        <v>龙抬头-限购-特戒碎片（61+天）</v>
      </c>
      <c r="B752" s="1">
        <v>938</v>
      </c>
      <c r="C752" s="1">
        <v>1</v>
      </c>
      <c r="D752" s="1">
        <v>5</v>
      </c>
      <c r="E752" s="1">
        <v>0</v>
      </c>
      <c r="F752" s="1" t="s">
        <v>706</v>
      </c>
      <c r="G752" s="1">
        <v>888</v>
      </c>
      <c r="H752" s="1">
        <v>1500</v>
      </c>
      <c r="I752" s="1">
        <v>3</v>
      </c>
      <c r="O752" s="1">
        <v>59</v>
      </c>
      <c r="X752" s="1">
        <v>200015</v>
      </c>
      <c r="Y752" s="1" t="str">
        <f>IFERROR(INDEX([1]物品基础表!$A:$A,MATCH(X752,[1]物品基础表!$B:$B,0)),"")</f>
        <v>特戒碎片</v>
      </c>
      <c r="Z752" s="1">
        <v>150</v>
      </c>
      <c r="AB752" s="1" t="str">
        <f>IFERROR(INDEX([1]物品基础表!$A:$A,MATCH(AA752,[1]物品基础表!$B:$B,0)),"")</f>
        <v/>
      </c>
      <c r="AE752" s="1" t="str">
        <f>IFERROR(INDEX([1]物品基础表!$A:$A,MATCH(AD752,[1]物品基础表!$B:$B,0)),"")</f>
        <v/>
      </c>
      <c r="AH752" s="1" t="str">
        <f>IFERROR(INDEX([1]物品基础表!$A:$A,MATCH(AG752,[1]物品基础表!$B:$B,0)),"")</f>
        <v/>
      </c>
      <c r="AK752" s="1" t="str">
        <f>IFERROR(INDEX([1]物品基础表!$A:$A,MATCH(AJ752,[1]物品基础表!$B:$B,0)),"")</f>
        <v/>
      </c>
      <c r="AN752" s="1" t="str">
        <f>IFERROR(INDEX([1]物品基础表!$A:$A,MATCH(AM752,[1]物品基础表!$B:$B,0)),"")</f>
        <v/>
      </c>
      <c r="AQ752" s="1" t="str">
        <f>IFERROR(INDEX([1]物品基础表!$A:$A,MATCH(AP752,[1]物品基础表!$B:$B,0)),"")</f>
        <v/>
      </c>
    </row>
    <row r="753" spans="1:43">
      <c r="A753" s="1" t="str">
        <f>INDEX([2]活动总表!$A$8:$A$429,MATCH(B753,[2]活动总表!$B$8:$B$429,0))</f>
        <v>龙抬头-限购-特戒碎片（61+天）</v>
      </c>
      <c r="B753" s="1">
        <v>938</v>
      </c>
      <c r="C753" s="1">
        <v>2</v>
      </c>
      <c r="D753" s="1">
        <v>7</v>
      </c>
      <c r="E753" s="1">
        <v>0</v>
      </c>
      <c r="F753" s="1" t="s">
        <v>706</v>
      </c>
      <c r="G753" s="1">
        <v>1588</v>
      </c>
      <c r="H753" s="1">
        <v>4500</v>
      </c>
      <c r="I753" s="1">
        <v>2</v>
      </c>
      <c r="O753" s="1">
        <v>35</v>
      </c>
      <c r="X753" s="1">
        <v>200015</v>
      </c>
      <c r="Y753" s="1" t="str">
        <f>IFERROR(INDEX([1]物品基础表!$A:$A,MATCH(X753,[1]物品基础表!$B:$B,0)),"")</f>
        <v>特戒碎片</v>
      </c>
      <c r="Z753" s="1">
        <v>450</v>
      </c>
      <c r="AB753" s="1" t="str">
        <f>IFERROR(INDEX([1]物品基础表!$A:$A,MATCH(AA753,[1]物品基础表!$B:$B,0)),"")</f>
        <v/>
      </c>
      <c r="AE753" s="1" t="str">
        <f>IFERROR(INDEX([1]物品基础表!$A:$A,MATCH(AD753,[1]物品基础表!$B:$B,0)),"")</f>
        <v/>
      </c>
      <c r="AH753" s="1" t="str">
        <f>IFERROR(INDEX([1]物品基础表!$A:$A,MATCH(AG753,[1]物品基础表!$B:$B,0)),"")</f>
        <v/>
      </c>
      <c r="AK753" s="1" t="str">
        <f>IFERROR(INDEX([1]物品基础表!$A:$A,MATCH(AJ753,[1]物品基础表!$B:$B,0)),"")</f>
        <v/>
      </c>
      <c r="AN753" s="1" t="str">
        <f>IFERROR(INDEX([1]物品基础表!$A:$A,MATCH(AM753,[1]物品基础表!$B:$B,0)),"")</f>
        <v/>
      </c>
      <c r="AQ753" s="1" t="str">
        <f>IFERROR(INDEX([1]物品基础表!$A:$A,MATCH(AP753,[1]物品基础表!$B:$B,0)),"")</f>
        <v/>
      </c>
    </row>
    <row r="754" spans="1:43">
      <c r="A754" s="1" t="str">
        <f>INDEX([2]活动总表!$A$8:$A$429,MATCH(B754,[2]活动总表!$B$8:$B$429,0))</f>
        <v>龙抬头-限购-特戒碎片（61+天）</v>
      </c>
      <c r="B754" s="1">
        <v>938</v>
      </c>
      <c r="C754" s="1">
        <v>3</v>
      </c>
      <c r="D754" s="1">
        <v>7</v>
      </c>
      <c r="E754" s="1">
        <v>0</v>
      </c>
      <c r="F754" s="1" t="s">
        <v>706</v>
      </c>
      <c r="G754" s="1">
        <v>2888</v>
      </c>
      <c r="H754" s="1">
        <v>8000</v>
      </c>
      <c r="I754" s="1">
        <v>2</v>
      </c>
      <c r="O754" s="1">
        <v>36</v>
      </c>
      <c r="X754" s="1">
        <v>200015</v>
      </c>
      <c r="Y754" s="1" t="str">
        <f>IFERROR(INDEX([1]物品基础表!$A:$A,MATCH(X754,[1]物品基础表!$B:$B,0)),"")</f>
        <v>特戒碎片</v>
      </c>
      <c r="Z754" s="1">
        <v>800</v>
      </c>
      <c r="AB754" s="1" t="str">
        <f>IFERROR(INDEX([1]物品基础表!$A:$A,MATCH(AA754,[1]物品基础表!$B:$B,0)),"")</f>
        <v/>
      </c>
      <c r="AE754" s="1" t="str">
        <f>IFERROR(INDEX([1]物品基础表!$A:$A,MATCH(AD754,[1]物品基础表!$B:$B,0)),"")</f>
        <v/>
      </c>
      <c r="AH754" s="1" t="str">
        <f>IFERROR(INDEX([1]物品基础表!$A:$A,MATCH(AG754,[1]物品基础表!$B:$B,0)),"")</f>
        <v/>
      </c>
      <c r="AK754" s="1" t="str">
        <f>IFERROR(INDEX([1]物品基础表!$A:$A,MATCH(AJ754,[1]物品基础表!$B:$B,0)),"")</f>
        <v/>
      </c>
      <c r="AN754" s="1" t="str">
        <f>IFERROR(INDEX([1]物品基础表!$A:$A,MATCH(AM754,[1]物品基础表!$B:$B,0)),"")</f>
        <v/>
      </c>
      <c r="AQ754" s="1" t="str">
        <f>IFERROR(INDEX([1]物品基础表!$A:$A,MATCH(AP754,[1]物品基础表!$B:$B,0)),"")</f>
        <v/>
      </c>
    </row>
    <row r="755" spans="1:43">
      <c r="A755" s="1" t="str">
        <f>INDEX([2]活动总表!$A$8:$A$429,MATCH(B755,[2]活动总表!$B$8:$B$429,0))</f>
        <v>龙抬头-限购-特戒碎片（61+天）</v>
      </c>
      <c r="B755" s="1">
        <v>938</v>
      </c>
      <c r="C755" s="1">
        <v>4</v>
      </c>
      <c r="D755" s="1">
        <v>5</v>
      </c>
      <c r="E755" s="1">
        <v>0</v>
      </c>
      <c r="F755" s="1" t="s">
        <v>706</v>
      </c>
      <c r="G755" s="1">
        <v>2888</v>
      </c>
      <c r="H755" s="1">
        <v>5000</v>
      </c>
      <c r="I755" s="1">
        <v>3</v>
      </c>
      <c r="O755" s="1">
        <v>57</v>
      </c>
      <c r="X755" s="1">
        <v>200015</v>
      </c>
      <c r="Y755" s="1" t="str">
        <f>IFERROR(INDEX([1]物品基础表!$A:$A,MATCH(X755,[1]物品基础表!$B:$B,0)),"")</f>
        <v>特戒碎片</v>
      </c>
      <c r="Z755" s="1">
        <v>500</v>
      </c>
      <c r="AB755" s="1" t="str">
        <f>IFERROR(INDEX([1]物品基础表!$A:$A,MATCH(AA755,[1]物品基础表!$B:$B,0)),"")</f>
        <v/>
      </c>
      <c r="AE755" s="1" t="str">
        <f>IFERROR(INDEX([1]物品基础表!$A:$A,MATCH(AD755,[1]物品基础表!$B:$B,0)),"")</f>
        <v/>
      </c>
      <c r="AH755" s="1" t="str">
        <f>IFERROR(INDEX([1]物品基础表!$A:$A,MATCH(AG755,[1]物品基础表!$B:$B,0)),"")</f>
        <v/>
      </c>
      <c r="AK755" s="1" t="str">
        <f>IFERROR(INDEX([1]物品基础表!$A:$A,MATCH(AJ755,[1]物品基础表!$B:$B,0)),"")</f>
        <v/>
      </c>
      <c r="AN755" s="1" t="str">
        <f>IFERROR(INDEX([1]物品基础表!$A:$A,MATCH(AM755,[1]物品基础表!$B:$B,0)),"")</f>
        <v/>
      </c>
      <c r="AQ755" s="1" t="str">
        <f>IFERROR(INDEX([1]物品基础表!$A:$A,MATCH(AP755,[1]物品基础表!$B:$B,0)),"")</f>
        <v/>
      </c>
    </row>
    <row r="756" spans="1:43">
      <c r="A756" s="1" t="str">
        <f>INDEX([2]活动总表!$A$8:$A$429,MATCH(B756,[2]活动总表!$B$8:$B$429,0))</f>
        <v>龙抬头-限购-特戒碎片（61+天）</v>
      </c>
      <c r="B756" s="1">
        <v>938</v>
      </c>
      <c r="C756" s="1">
        <v>5</v>
      </c>
      <c r="D756" s="1">
        <v>5</v>
      </c>
      <c r="E756" s="1">
        <v>0</v>
      </c>
      <c r="F756" s="1" t="s">
        <v>706</v>
      </c>
      <c r="G756" s="1">
        <v>8888</v>
      </c>
      <c r="H756" s="1">
        <v>15000</v>
      </c>
      <c r="I756" s="1">
        <v>10</v>
      </c>
      <c r="O756" s="1">
        <v>59</v>
      </c>
      <c r="X756" s="1">
        <v>200015</v>
      </c>
      <c r="Y756" s="1" t="str">
        <f>IFERROR(INDEX([1]物品基础表!$A:$A,MATCH(X756,[1]物品基础表!$B:$B,0)),"")</f>
        <v>特戒碎片</v>
      </c>
      <c r="Z756" s="1">
        <v>1500</v>
      </c>
      <c r="AB756" s="1" t="str">
        <f>IFERROR(INDEX([1]物品基础表!$A:$A,MATCH(AA756,[1]物品基础表!$B:$B,0)),"")</f>
        <v/>
      </c>
      <c r="AE756" s="1" t="str">
        <f>IFERROR(INDEX([1]物品基础表!$A:$A,MATCH(AD756,[1]物品基础表!$B:$B,0)),"")</f>
        <v/>
      </c>
      <c r="AH756" s="1" t="str">
        <f>IFERROR(INDEX([1]物品基础表!$A:$A,MATCH(AG756,[1]物品基础表!$B:$B,0)),"")</f>
        <v/>
      </c>
      <c r="AK756" s="1" t="str">
        <f>IFERROR(INDEX([1]物品基础表!$A:$A,MATCH(AJ756,[1]物品基础表!$B:$B,0)),"")</f>
        <v/>
      </c>
      <c r="AN756" s="1" t="str">
        <f>IFERROR(INDEX([1]物品基础表!$A:$A,MATCH(AM756,[1]物品基础表!$B:$B,0)),"")</f>
        <v/>
      </c>
      <c r="AQ756" s="1" t="str">
        <f>IFERROR(INDEX([1]物品基础表!$A:$A,MATCH(AP756,[1]物品基础表!$B:$B,0)),"")</f>
        <v/>
      </c>
    </row>
    <row r="757" spans="1:43">
      <c r="A757" s="1" t="str">
        <f>INDEX([2]活动总表!$A$8:$A$429,MATCH(B757,[2]活动总表!$B$8:$B$429,0))</f>
        <v>龙抬头-限购-符石（61+天）</v>
      </c>
      <c r="B757" s="1">
        <v>939</v>
      </c>
      <c r="C757" s="1">
        <v>1</v>
      </c>
      <c r="D757" s="1">
        <v>5</v>
      </c>
      <c r="E757" s="1">
        <v>0</v>
      </c>
      <c r="F757" s="1" t="s">
        <v>706</v>
      </c>
      <c r="G757" s="1">
        <v>888</v>
      </c>
      <c r="H757" s="1">
        <v>1500</v>
      </c>
      <c r="I757" s="1">
        <v>3</v>
      </c>
      <c r="O757" s="1">
        <v>59</v>
      </c>
      <c r="X757" s="1">
        <v>200208</v>
      </c>
      <c r="Y757" s="1" t="str">
        <f>IFERROR(INDEX([1]物品基础表!$A:$A,MATCH(X757,[1]物品基础表!$B:$B,0)),"")</f>
        <v>烈焰印记低级升级材料</v>
      </c>
      <c r="Z757" s="1">
        <v>150</v>
      </c>
      <c r="AB757" s="1" t="str">
        <f>IFERROR(INDEX([1]物品基础表!$A:$A,MATCH(AA757,[1]物品基础表!$B:$B,0)),"")</f>
        <v/>
      </c>
      <c r="AE757" s="1" t="str">
        <f>IFERROR(INDEX([1]物品基础表!$A:$A,MATCH(AD757,[1]物品基础表!$B:$B,0)),"")</f>
        <v/>
      </c>
      <c r="AH757" s="1" t="str">
        <f>IFERROR(INDEX([1]物品基础表!$A:$A,MATCH(AG757,[1]物品基础表!$B:$B,0)),"")</f>
        <v/>
      </c>
      <c r="AK757" s="1" t="str">
        <f>IFERROR(INDEX([1]物品基础表!$A:$A,MATCH(AJ757,[1]物品基础表!$B:$B,0)),"")</f>
        <v/>
      </c>
      <c r="AN757" s="1" t="str">
        <f>IFERROR(INDEX([1]物品基础表!$A:$A,MATCH(AM757,[1]物品基础表!$B:$B,0)),"")</f>
        <v/>
      </c>
      <c r="AQ757" s="1" t="str">
        <f>IFERROR(INDEX([1]物品基础表!$A:$A,MATCH(AP757,[1]物品基础表!$B:$B,0)),"")</f>
        <v/>
      </c>
    </row>
    <row r="758" spans="1:43">
      <c r="A758" s="1" t="str">
        <f>INDEX([2]活动总表!$A$8:$A$429,MATCH(B758,[2]活动总表!$B$8:$B$429,0))</f>
        <v>龙抬头-限购-符石（61+天）</v>
      </c>
      <c r="B758" s="1">
        <v>939</v>
      </c>
      <c r="C758" s="1">
        <v>2</v>
      </c>
      <c r="D758" s="1">
        <v>7</v>
      </c>
      <c r="E758" s="1">
        <v>0</v>
      </c>
      <c r="F758" s="1" t="s">
        <v>706</v>
      </c>
      <c r="G758" s="1">
        <v>1588</v>
      </c>
      <c r="H758" s="1">
        <v>4500</v>
      </c>
      <c r="I758" s="1">
        <v>2</v>
      </c>
      <c r="O758" s="1">
        <v>35</v>
      </c>
      <c r="X758" s="1">
        <v>200208</v>
      </c>
      <c r="Y758" s="1" t="str">
        <f>IFERROR(INDEX([1]物品基础表!$A:$A,MATCH(X758,[1]物品基础表!$B:$B,0)),"")</f>
        <v>烈焰印记低级升级材料</v>
      </c>
      <c r="Z758" s="1">
        <v>450</v>
      </c>
      <c r="AB758" s="1" t="str">
        <f>IFERROR(INDEX([1]物品基础表!$A:$A,MATCH(AA758,[1]物品基础表!$B:$B,0)),"")</f>
        <v/>
      </c>
      <c r="AE758" s="1" t="str">
        <f>IFERROR(INDEX([1]物品基础表!$A:$A,MATCH(AD758,[1]物品基础表!$B:$B,0)),"")</f>
        <v/>
      </c>
      <c r="AH758" s="1" t="str">
        <f>IFERROR(INDEX([1]物品基础表!$A:$A,MATCH(AG758,[1]物品基础表!$B:$B,0)),"")</f>
        <v/>
      </c>
      <c r="AK758" s="1" t="str">
        <f>IFERROR(INDEX([1]物品基础表!$A:$A,MATCH(AJ758,[1]物品基础表!$B:$B,0)),"")</f>
        <v/>
      </c>
      <c r="AN758" s="1" t="str">
        <f>IFERROR(INDEX([1]物品基础表!$A:$A,MATCH(AM758,[1]物品基础表!$B:$B,0)),"")</f>
        <v/>
      </c>
      <c r="AQ758" s="1" t="str">
        <f>IFERROR(INDEX([1]物品基础表!$A:$A,MATCH(AP758,[1]物品基础表!$B:$B,0)),"")</f>
        <v/>
      </c>
    </row>
    <row r="759" spans="1:43">
      <c r="A759" s="1" t="str">
        <f>INDEX([2]活动总表!$A$8:$A$429,MATCH(B759,[2]活动总表!$B$8:$B$429,0))</f>
        <v>龙抬头-限购-符石（61+天）</v>
      </c>
      <c r="B759" s="1">
        <v>939</v>
      </c>
      <c r="C759" s="1">
        <v>3</v>
      </c>
      <c r="D759" s="1">
        <v>7</v>
      </c>
      <c r="E759" s="1">
        <v>0</v>
      </c>
      <c r="F759" s="1" t="s">
        <v>706</v>
      </c>
      <c r="G759" s="1">
        <v>2888</v>
      </c>
      <c r="H759" s="1">
        <v>8000</v>
      </c>
      <c r="I759" s="1">
        <v>2</v>
      </c>
      <c r="O759" s="1">
        <v>36</v>
      </c>
      <c r="X759" s="1">
        <v>200208</v>
      </c>
      <c r="Y759" s="1" t="str">
        <f>IFERROR(INDEX([1]物品基础表!$A:$A,MATCH(X759,[1]物品基础表!$B:$B,0)),"")</f>
        <v>烈焰印记低级升级材料</v>
      </c>
      <c r="Z759" s="1">
        <v>800</v>
      </c>
      <c r="AB759" s="1" t="str">
        <f>IFERROR(INDEX([1]物品基础表!$A:$A,MATCH(AA759,[1]物品基础表!$B:$B,0)),"")</f>
        <v/>
      </c>
      <c r="AE759" s="1" t="str">
        <f>IFERROR(INDEX([1]物品基础表!$A:$A,MATCH(AD759,[1]物品基础表!$B:$B,0)),"")</f>
        <v/>
      </c>
      <c r="AH759" s="1" t="str">
        <f>IFERROR(INDEX([1]物品基础表!$A:$A,MATCH(AG759,[1]物品基础表!$B:$B,0)),"")</f>
        <v/>
      </c>
      <c r="AK759" s="1" t="str">
        <f>IFERROR(INDEX([1]物品基础表!$A:$A,MATCH(AJ759,[1]物品基础表!$B:$B,0)),"")</f>
        <v/>
      </c>
      <c r="AN759" s="1" t="str">
        <f>IFERROR(INDEX([1]物品基础表!$A:$A,MATCH(AM759,[1]物品基础表!$B:$B,0)),"")</f>
        <v/>
      </c>
      <c r="AQ759" s="1" t="str">
        <f>IFERROR(INDEX([1]物品基础表!$A:$A,MATCH(AP759,[1]物品基础表!$B:$B,0)),"")</f>
        <v/>
      </c>
    </row>
    <row r="760" spans="1:43">
      <c r="A760" s="1" t="str">
        <f>INDEX([2]活动总表!$A$8:$A$429,MATCH(B760,[2]活动总表!$B$8:$B$429,0))</f>
        <v>龙抬头-限购-符石（61+天）</v>
      </c>
      <c r="B760" s="1">
        <v>939</v>
      </c>
      <c r="C760" s="1">
        <v>4</v>
      </c>
      <c r="D760" s="1">
        <v>5</v>
      </c>
      <c r="E760" s="1">
        <v>0</v>
      </c>
      <c r="F760" s="1" t="s">
        <v>706</v>
      </c>
      <c r="G760" s="1">
        <v>2888</v>
      </c>
      <c r="H760" s="1">
        <v>5000</v>
      </c>
      <c r="I760" s="1">
        <v>3</v>
      </c>
      <c r="O760" s="1">
        <v>57</v>
      </c>
      <c r="X760" s="1">
        <v>200208</v>
      </c>
      <c r="Y760" s="1" t="str">
        <f>IFERROR(INDEX([1]物品基础表!$A:$A,MATCH(X760,[1]物品基础表!$B:$B,0)),"")</f>
        <v>烈焰印记低级升级材料</v>
      </c>
      <c r="Z760" s="1">
        <v>500</v>
      </c>
      <c r="AB760" s="1" t="str">
        <f>IFERROR(INDEX([1]物品基础表!$A:$A,MATCH(AA760,[1]物品基础表!$B:$B,0)),"")</f>
        <v/>
      </c>
      <c r="AE760" s="1" t="str">
        <f>IFERROR(INDEX([1]物品基础表!$A:$A,MATCH(AD760,[1]物品基础表!$B:$B,0)),"")</f>
        <v/>
      </c>
      <c r="AH760" s="1" t="str">
        <f>IFERROR(INDEX([1]物品基础表!$A:$A,MATCH(AG760,[1]物品基础表!$B:$B,0)),"")</f>
        <v/>
      </c>
      <c r="AK760" s="1" t="str">
        <f>IFERROR(INDEX([1]物品基础表!$A:$A,MATCH(AJ760,[1]物品基础表!$B:$B,0)),"")</f>
        <v/>
      </c>
      <c r="AN760" s="1" t="str">
        <f>IFERROR(INDEX([1]物品基础表!$A:$A,MATCH(AM760,[1]物品基础表!$B:$B,0)),"")</f>
        <v/>
      </c>
      <c r="AQ760" s="1" t="str">
        <f>IFERROR(INDEX([1]物品基础表!$A:$A,MATCH(AP760,[1]物品基础表!$B:$B,0)),"")</f>
        <v/>
      </c>
    </row>
    <row r="761" spans="1:43">
      <c r="A761" s="1" t="str">
        <f>INDEX([2]活动总表!$A$8:$A$429,MATCH(B761,[2]活动总表!$B$8:$B$429,0))</f>
        <v>龙抬头-限购-符石（61+天）</v>
      </c>
      <c r="B761" s="1">
        <v>939</v>
      </c>
      <c r="C761" s="1">
        <v>5</v>
      </c>
      <c r="D761" s="1">
        <v>5</v>
      </c>
      <c r="E761" s="1">
        <v>0</v>
      </c>
      <c r="F761" s="1" t="s">
        <v>706</v>
      </c>
      <c r="G761" s="1">
        <v>8888</v>
      </c>
      <c r="H761" s="1">
        <v>15000</v>
      </c>
      <c r="I761" s="1">
        <v>10</v>
      </c>
      <c r="O761" s="1">
        <v>59</v>
      </c>
      <c r="X761" s="1">
        <v>200208</v>
      </c>
      <c r="Y761" s="1" t="str">
        <f>IFERROR(INDEX([1]物品基础表!$A:$A,MATCH(X761,[1]物品基础表!$B:$B,0)),"")</f>
        <v>烈焰印记低级升级材料</v>
      </c>
      <c r="Z761" s="1">
        <v>1500</v>
      </c>
      <c r="AB761" s="1" t="str">
        <f>IFERROR(INDEX([1]物品基础表!$A:$A,MATCH(AA761,[1]物品基础表!$B:$B,0)),"")</f>
        <v/>
      </c>
      <c r="AE761" s="1" t="str">
        <f>IFERROR(INDEX([1]物品基础表!$A:$A,MATCH(AD761,[1]物品基础表!$B:$B,0)),"")</f>
        <v/>
      </c>
      <c r="AH761" s="1" t="str">
        <f>IFERROR(INDEX([1]物品基础表!$A:$A,MATCH(AG761,[1]物品基础表!$B:$B,0)),"")</f>
        <v/>
      </c>
      <c r="AK761" s="1" t="str">
        <f>IFERROR(INDEX([1]物品基础表!$A:$A,MATCH(AJ761,[1]物品基础表!$B:$B,0)),"")</f>
        <v/>
      </c>
      <c r="AN761" s="1" t="str">
        <f>IFERROR(INDEX([1]物品基础表!$A:$A,MATCH(AM761,[1]物品基础表!$B:$B,0)),"")</f>
        <v/>
      </c>
      <c r="AQ761" s="1" t="str">
        <f>IFERROR(INDEX([1]物品基础表!$A:$A,MATCH(AP761,[1]物品基础表!$B:$B,0)),"")</f>
        <v/>
      </c>
    </row>
    <row r="762" spans="1:43">
      <c r="A762" s="1" t="str">
        <f>INDEX([2]活动总表!$A$8:$A$429,MATCH(B762,[2]活动总表!$B$8:$B$429,0))</f>
        <v>龙抬头-限购-符石（61+天）</v>
      </c>
      <c r="B762" s="1">
        <v>940</v>
      </c>
      <c r="C762" s="1">
        <v>1</v>
      </c>
      <c r="D762" s="1">
        <v>5</v>
      </c>
      <c r="E762" s="1">
        <v>0</v>
      </c>
      <c r="F762" s="1" t="s">
        <v>706</v>
      </c>
      <c r="G762" s="1">
        <v>888</v>
      </c>
      <c r="H762" s="1">
        <v>1500</v>
      </c>
      <c r="I762" s="1">
        <v>3</v>
      </c>
      <c r="O762" s="1">
        <v>59</v>
      </c>
      <c r="X762" s="1">
        <v>200208</v>
      </c>
      <c r="Y762" s="1" t="str">
        <f>IFERROR(INDEX([1]物品基础表!$A:$A,MATCH(X762,[1]物品基础表!$B:$B,0)),"")</f>
        <v>烈焰印记低级升级材料</v>
      </c>
      <c r="Z762" s="1">
        <v>150</v>
      </c>
      <c r="AB762" s="1" t="str">
        <f>IFERROR(INDEX([1]物品基础表!$A:$A,MATCH(AA762,[1]物品基础表!$B:$B,0)),"")</f>
        <v/>
      </c>
      <c r="AE762" s="1" t="str">
        <f>IFERROR(INDEX([1]物品基础表!$A:$A,MATCH(AD762,[1]物品基础表!$B:$B,0)),"")</f>
        <v/>
      </c>
      <c r="AH762" s="1" t="str">
        <f>IFERROR(INDEX([1]物品基础表!$A:$A,MATCH(AG762,[1]物品基础表!$B:$B,0)),"")</f>
        <v/>
      </c>
      <c r="AK762" s="1" t="str">
        <f>IFERROR(INDEX([1]物品基础表!$A:$A,MATCH(AJ762,[1]物品基础表!$B:$B,0)),"")</f>
        <v/>
      </c>
      <c r="AN762" s="1" t="str">
        <f>IFERROR(INDEX([1]物品基础表!$A:$A,MATCH(AM762,[1]物品基础表!$B:$B,0)),"")</f>
        <v/>
      </c>
      <c r="AQ762" s="1" t="str">
        <f>IFERROR(INDEX([1]物品基础表!$A:$A,MATCH(AP762,[1]物品基础表!$B:$B,0)),"")</f>
        <v/>
      </c>
    </row>
    <row r="763" spans="1:43">
      <c r="A763" s="1" t="str">
        <f>INDEX([2]活动总表!$A$8:$A$429,MATCH(B763,[2]活动总表!$B$8:$B$429,0))</f>
        <v>龙抬头-限购-符石（61+天）</v>
      </c>
      <c r="B763" s="1">
        <v>940</v>
      </c>
      <c r="C763" s="1">
        <v>2</v>
      </c>
      <c r="D763" s="1">
        <v>7</v>
      </c>
      <c r="E763" s="1">
        <v>0</v>
      </c>
      <c r="F763" s="1" t="s">
        <v>706</v>
      </c>
      <c r="G763" s="1">
        <v>1588</v>
      </c>
      <c r="H763" s="1">
        <v>4500</v>
      </c>
      <c r="I763" s="1">
        <v>2</v>
      </c>
      <c r="O763" s="1">
        <v>35</v>
      </c>
      <c r="X763" s="1">
        <v>200208</v>
      </c>
      <c r="Y763" s="1" t="str">
        <f>IFERROR(INDEX([1]物品基础表!$A:$A,MATCH(X763,[1]物品基础表!$B:$B,0)),"")</f>
        <v>烈焰印记低级升级材料</v>
      </c>
      <c r="Z763" s="1">
        <v>450</v>
      </c>
      <c r="AB763" s="1" t="str">
        <f>IFERROR(INDEX([1]物品基础表!$A:$A,MATCH(AA763,[1]物品基础表!$B:$B,0)),"")</f>
        <v/>
      </c>
      <c r="AE763" s="1" t="str">
        <f>IFERROR(INDEX([1]物品基础表!$A:$A,MATCH(AD763,[1]物品基础表!$B:$B,0)),"")</f>
        <v/>
      </c>
      <c r="AH763" s="1" t="str">
        <f>IFERROR(INDEX([1]物品基础表!$A:$A,MATCH(AG763,[1]物品基础表!$B:$B,0)),"")</f>
        <v/>
      </c>
      <c r="AK763" s="1" t="str">
        <f>IFERROR(INDEX([1]物品基础表!$A:$A,MATCH(AJ763,[1]物品基础表!$B:$B,0)),"")</f>
        <v/>
      </c>
      <c r="AN763" s="1" t="str">
        <f>IFERROR(INDEX([1]物品基础表!$A:$A,MATCH(AM763,[1]物品基础表!$B:$B,0)),"")</f>
        <v/>
      </c>
      <c r="AQ763" s="1" t="str">
        <f>IFERROR(INDEX([1]物品基础表!$A:$A,MATCH(AP763,[1]物品基础表!$B:$B,0)),"")</f>
        <v/>
      </c>
    </row>
    <row r="764" spans="1:43">
      <c r="A764" s="1" t="str">
        <f>INDEX([2]活动总表!$A$8:$A$429,MATCH(B764,[2]活动总表!$B$8:$B$429,0))</f>
        <v>龙抬头-限购-符石（61+天）</v>
      </c>
      <c r="B764" s="1">
        <v>940</v>
      </c>
      <c r="C764" s="1">
        <v>3</v>
      </c>
      <c r="D764" s="1">
        <v>7</v>
      </c>
      <c r="E764" s="1">
        <v>0</v>
      </c>
      <c r="F764" s="1" t="s">
        <v>706</v>
      </c>
      <c r="G764" s="1">
        <v>2888</v>
      </c>
      <c r="H764" s="1">
        <v>8000</v>
      </c>
      <c r="I764" s="1">
        <v>2</v>
      </c>
      <c r="O764" s="1">
        <v>36</v>
      </c>
      <c r="X764" s="1">
        <v>200208</v>
      </c>
      <c r="Y764" s="1" t="str">
        <f>IFERROR(INDEX([1]物品基础表!$A:$A,MATCH(X764,[1]物品基础表!$B:$B,0)),"")</f>
        <v>烈焰印记低级升级材料</v>
      </c>
      <c r="Z764" s="1">
        <v>800</v>
      </c>
      <c r="AB764" s="1" t="str">
        <f>IFERROR(INDEX([1]物品基础表!$A:$A,MATCH(AA764,[1]物品基础表!$B:$B,0)),"")</f>
        <v/>
      </c>
      <c r="AE764" s="1" t="str">
        <f>IFERROR(INDEX([1]物品基础表!$A:$A,MATCH(AD764,[1]物品基础表!$B:$B,0)),"")</f>
        <v/>
      </c>
      <c r="AH764" s="1" t="str">
        <f>IFERROR(INDEX([1]物品基础表!$A:$A,MATCH(AG764,[1]物品基础表!$B:$B,0)),"")</f>
        <v/>
      </c>
      <c r="AK764" s="1" t="str">
        <f>IFERROR(INDEX([1]物品基础表!$A:$A,MATCH(AJ764,[1]物品基础表!$B:$B,0)),"")</f>
        <v/>
      </c>
      <c r="AN764" s="1" t="str">
        <f>IFERROR(INDEX([1]物品基础表!$A:$A,MATCH(AM764,[1]物品基础表!$B:$B,0)),"")</f>
        <v/>
      </c>
      <c r="AQ764" s="1" t="str">
        <f>IFERROR(INDEX([1]物品基础表!$A:$A,MATCH(AP764,[1]物品基础表!$B:$B,0)),"")</f>
        <v/>
      </c>
    </row>
    <row r="765" spans="1:43">
      <c r="A765" s="1" t="str">
        <f>INDEX([2]活动总表!$A$8:$A$429,MATCH(B765,[2]活动总表!$B$8:$B$429,0))</f>
        <v>龙抬头-限购-符石（61+天）</v>
      </c>
      <c r="B765" s="1">
        <v>940</v>
      </c>
      <c r="C765" s="1">
        <v>4</v>
      </c>
      <c r="D765" s="1">
        <v>5</v>
      </c>
      <c r="E765" s="1">
        <v>0</v>
      </c>
      <c r="F765" s="1" t="s">
        <v>706</v>
      </c>
      <c r="G765" s="1">
        <v>2888</v>
      </c>
      <c r="H765" s="1">
        <v>5000</v>
      </c>
      <c r="I765" s="1">
        <v>3</v>
      </c>
      <c r="O765" s="1">
        <v>57</v>
      </c>
      <c r="X765" s="1">
        <v>200208</v>
      </c>
      <c r="Y765" s="1" t="str">
        <f>IFERROR(INDEX([1]物品基础表!$A:$A,MATCH(X765,[1]物品基础表!$B:$B,0)),"")</f>
        <v>烈焰印记低级升级材料</v>
      </c>
      <c r="Z765" s="1">
        <v>500</v>
      </c>
      <c r="AB765" s="1" t="str">
        <f>IFERROR(INDEX([1]物品基础表!$A:$A,MATCH(AA765,[1]物品基础表!$B:$B,0)),"")</f>
        <v/>
      </c>
      <c r="AE765" s="1" t="str">
        <f>IFERROR(INDEX([1]物品基础表!$A:$A,MATCH(AD765,[1]物品基础表!$B:$B,0)),"")</f>
        <v/>
      </c>
      <c r="AH765" s="1" t="str">
        <f>IFERROR(INDEX([1]物品基础表!$A:$A,MATCH(AG765,[1]物品基础表!$B:$B,0)),"")</f>
        <v/>
      </c>
      <c r="AK765" s="1" t="str">
        <f>IFERROR(INDEX([1]物品基础表!$A:$A,MATCH(AJ765,[1]物品基础表!$B:$B,0)),"")</f>
        <v/>
      </c>
      <c r="AN765" s="1" t="str">
        <f>IFERROR(INDEX([1]物品基础表!$A:$A,MATCH(AM765,[1]物品基础表!$B:$B,0)),"")</f>
        <v/>
      </c>
      <c r="AQ765" s="1" t="str">
        <f>IFERROR(INDEX([1]物品基础表!$A:$A,MATCH(AP765,[1]物品基础表!$B:$B,0)),"")</f>
        <v/>
      </c>
    </row>
    <row r="766" spans="1:43">
      <c r="A766" s="1" t="str">
        <f>INDEX([2]活动总表!$A$8:$A$429,MATCH(B766,[2]活动总表!$B$8:$B$429,0))</f>
        <v>龙抬头-限购-符石（61+天）</v>
      </c>
      <c r="B766" s="1">
        <v>940</v>
      </c>
      <c r="C766" s="1">
        <v>5</v>
      </c>
      <c r="D766" s="1">
        <v>5</v>
      </c>
      <c r="E766" s="1">
        <v>0</v>
      </c>
      <c r="F766" s="1" t="s">
        <v>706</v>
      </c>
      <c r="G766" s="1">
        <v>8888</v>
      </c>
      <c r="H766" s="1">
        <v>15000</v>
      </c>
      <c r="I766" s="1">
        <v>10</v>
      </c>
      <c r="O766" s="1">
        <v>59</v>
      </c>
      <c r="X766" s="1">
        <v>200208</v>
      </c>
      <c r="Y766" s="1" t="str">
        <f>IFERROR(INDEX([1]物品基础表!$A:$A,MATCH(X766,[1]物品基础表!$B:$B,0)),"")</f>
        <v>烈焰印记低级升级材料</v>
      </c>
      <c r="Z766" s="1">
        <v>1500</v>
      </c>
      <c r="AB766" s="1" t="str">
        <f>IFERROR(INDEX([1]物品基础表!$A:$A,MATCH(AA766,[1]物品基础表!$B:$B,0)),"")</f>
        <v/>
      </c>
      <c r="AE766" s="1" t="str">
        <f>IFERROR(INDEX([1]物品基础表!$A:$A,MATCH(AD766,[1]物品基础表!$B:$B,0)),"")</f>
        <v/>
      </c>
      <c r="AH766" s="1" t="str">
        <f>IFERROR(INDEX([1]物品基础表!$A:$A,MATCH(AG766,[1]物品基础表!$B:$B,0)),"")</f>
        <v/>
      </c>
      <c r="AK766" s="1" t="str">
        <f>IFERROR(INDEX([1]物品基础表!$A:$A,MATCH(AJ766,[1]物品基础表!$B:$B,0)),"")</f>
        <v/>
      </c>
      <c r="AN766" s="1" t="str">
        <f>IFERROR(INDEX([1]物品基础表!$A:$A,MATCH(AM766,[1]物品基础表!$B:$B,0)),"")</f>
        <v/>
      </c>
      <c r="AQ766" s="1" t="str">
        <f>IFERROR(INDEX([1]物品基础表!$A:$A,MATCH(AP766,[1]物品基础表!$B:$B,0)),"")</f>
        <v/>
      </c>
    </row>
    <row r="767" spans="1:43">
      <c r="A767" s="1" t="str">
        <f>INDEX([2]活动总表!$A$8:$A$429,MATCH(B767,[2]活动总表!$B$8:$B$429,0))</f>
        <v>龙抬头-限购-符石（61+天）</v>
      </c>
      <c r="B767" s="1">
        <v>941</v>
      </c>
      <c r="C767" s="1">
        <v>1</v>
      </c>
      <c r="D767" s="1">
        <v>5</v>
      </c>
      <c r="E767" s="1">
        <v>0</v>
      </c>
      <c r="F767" s="1" t="s">
        <v>706</v>
      </c>
      <c r="G767" s="1">
        <v>888</v>
      </c>
      <c r="H767" s="1">
        <v>1500</v>
      </c>
      <c r="I767" s="1">
        <v>3</v>
      </c>
      <c r="O767" s="1">
        <v>59</v>
      </c>
      <c r="X767" s="1">
        <v>200208</v>
      </c>
      <c r="Y767" s="1" t="str">
        <f>IFERROR(INDEX([1]物品基础表!$A:$A,MATCH(X767,[1]物品基础表!$B:$B,0)),"")</f>
        <v>烈焰印记低级升级材料</v>
      </c>
      <c r="Z767" s="1">
        <v>150</v>
      </c>
      <c r="AB767" s="1" t="str">
        <f>IFERROR(INDEX([1]物品基础表!$A:$A,MATCH(AA767,[1]物品基础表!$B:$B,0)),"")</f>
        <v/>
      </c>
      <c r="AE767" s="1" t="str">
        <f>IFERROR(INDEX([1]物品基础表!$A:$A,MATCH(AD767,[1]物品基础表!$B:$B,0)),"")</f>
        <v/>
      </c>
      <c r="AH767" s="1" t="str">
        <f>IFERROR(INDEX([1]物品基础表!$A:$A,MATCH(AG767,[1]物品基础表!$B:$B,0)),"")</f>
        <v/>
      </c>
      <c r="AK767" s="1" t="str">
        <f>IFERROR(INDEX([1]物品基础表!$A:$A,MATCH(AJ767,[1]物品基础表!$B:$B,0)),"")</f>
        <v/>
      </c>
      <c r="AN767" s="1" t="str">
        <f>IFERROR(INDEX([1]物品基础表!$A:$A,MATCH(AM767,[1]物品基础表!$B:$B,0)),"")</f>
        <v/>
      </c>
      <c r="AQ767" s="1" t="str">
        <f>IFERROR(INDEX([1]物品基础表!$A:$A,MATCH(AP767,[1]物品基础表!$B:$B,0)),"")</f>
        <v/>
      </c>
    </row>
    <row r="768" spans="1:43">
      <c r="A768" s="1" t="str">
        <f>INDEX([2]活动总表!$A$8:$A$429,MATCH(B768,[2]活动总表!$B$8:$B$429,0))</f>
        <v>龙抬头-限购-符石（61+天）</v>
      </c>
      <c r="B768" s="1">
        <v>941</v>
      </c>
      <c r="C768" s="1">
        <v>2</v>
      </c>
      <c r="D768" s="1">
        <v>7</v>
      </c>
      <c r="E768" s="1">
        <v>0</v>
      </c>
      <c r="F768" s="1" t="s">
        <v>706</v>
      </c>
      <c r="G768" s="1">
        <v>1588</v>
      </c>
      <c r="H768" s="1">
        <v>4500</v>
      </c>
      <c r="I768" s="1">
        <v>2</v>
      </c>
      <c r="O768" s="1">
        <v>35</v>
      </c>
      <c r="X768" s="1">
        <v>200208</v>
      </c>
      <c r="Y768" s="1" t="str">
        <f>IFERROR(INDEX([1]物品基础表!$A:$A,MATCH(X768,[1]物品基础表!$B:$B,0)),"")</f>
        <v>烈焰印记低级升级材料</v>
      </c>
      <c r="Z768" s="1">
        <v>450</v>
      </c>
      <c r="AB768" s="1" t="str">
        <f>IFERROR(INDEX([1]物品基础表!$A:$A,MATCH(AA768,[1]物品基础表!$B:$B,0)),"")</f>
        <v/>
      </c>
      <c r="AE768" s="1" t="str">
        <f>IFERROR(INDEX([1]物品基础表!$A:$A,MATCH(AD768,[1]物品基础表!$B:$B,0)),"")</f>
        <v/>
      </c>
      <c r="AH768" s="1" t="str">
        <f>IFERROR(INDEX([1]物品基础表!$A:$A,MATCH(AG768,[1]物品基础表!$B:$B,0)),"")</f>
        <v/>
      </c>
      <c r="AK768" s="1" t="str">
        <f>IFERROR(INDEX([1]物品基础表!$A:$A,MATCH(AJ768,[1]物品基础表!$B:$B,0)),"")</f>
        <v/>
      </c>
      <c r="AN768" s="1" t="str">
        <f>IFERROR(INDEX([1]物品基础表!$A:$A,MATCH(AM768,[1]物品基础表!$B:$B,0)),"")</f>
        <v/>
      </c>
      <c r="AQ768" s="1" t="str">
        <f>IFERROR(INDEX([1]物品基础表!$A:$A,MATCH(AP768,[1]物品基础表!$B:$B,0)),"")</f>
        <v/>
      </c>
    </row>
    <row r="769" spans="1:44">
      <c r="A769" s="1" t="str">
        <f>INDEX([2]活动总表!$A$8:$A$429,MATCH(B769,[2]活动总表!$B$8:$B$429,0))</f>
        <v>龙抬头-限购-符石（61+天）</v>
      </c>
      <c r="B769" s="1">
        <v>941</v>
      </c>
      <c r="C769" s="1">
        <v>3</v>
      </c>
      <c r="D769" s="1">
        <v>7</v>
      </c>
      <c r="E769" s="1">
        <v>0</v>
      </c>
      <c r="F769" s="1" t="s">
        <v>706</v>
      </c>
      <c r="G769" s="1">
        <v>2888</v>
      </c>
      <c r="H769" s="1">
        <v>8000</v>
      </c>
      <c r="I769" s="1">
        <v>2</v>
      </c>
      <c r="O769" s="1">
        <v>36</v>
      </c>
      <c r="X769" s="1">
        <v>200208</v>
      </c>
      <c r="Y769" s="1" t="str">
        <f>IFERROR(INDEX([1]物品基础表!$A:$A,MATCH(X769,[1]物品基础表!$B:$B,0)),"")</f>
        <v>烈焰印记低级升级材料</v>
      </c>
      <c r="Z769" s="1">
        <v>800</v>
      </c>
      <c r="AB769" s="1" t="str">
        <f>IFERROR(INDEX([1]物品基础表!$A:$A,MATCH(AA769,[1]物品基础表!$B:$B,0)),"")</f>
        <v/>
      </c>
      <c r="AE769" s="1" t="str">
        <f>IFERROR(INDEX([1]物品基础表!$A:$A,MATCH(AD769,[1]物品基础表!$B:$B,0)),"")</f>
        <v/>
      </c>
      <c r="AH769" s="1" t="str">
        <f>IFERROR(INDEX([1]物品基础表!$A:$A,MATCH(AG769,[1]物品基础表!$B:$B,0)),"")</f>
        <v/>
      </c>
      <c r="AK769" s="1" t="str">
        <f>IFERROR(INDEX([1]物品基础表!$A:$A,MATCH(AJ769,[1]物品基础表!$B:$B,0)),"")</f>
        <v/>
      </c>
      <c r="AN769" s="1" t="str">
        <f>IFERROR(INDEX([1]物品基础表!$A:$A,MATCH(AM769,[1]物品基础表!$B:$B,0)),"")</f>
        <v/>
      </c>
      <c r="AQ769" s="1" t="str">
        <f>IFERROR(INDEX([1]物品基础表!$A:$A,MATCH(AP769,[1]物品基础表!$B:$B,0)),"")</f>
        <v/>
      </c>
    </row>
    <row r="770" spans="1:44">
      <c r="A770" s="1" t="str">
        <f>INDEX([2]活动总表!$A$8:$A$429,MATCH(B770,[2]活动总表!$B$8:$B$429,0))</f>
        <v>龙抬头-限购-符石（61+天）</v>
      </c>
      <c r="B770" s="1">
        <v>941</v>
      </c>
      <c r="C770" s="1">
        <v>4</v>
      </c>
      <c r="D770" s="1">
        <v>5</v>
      </c>
      <c r="E770" s="1">
        <v>0</v>
      </c>
      <c r="F770" s="1" t="s">
        <v>706</v>
      </c>
      <c r="G770" s="1">
        <v>2888</v>
      </c>
      <c r="H770" s="1">
        <v>5000</v>
      </c>
      <c r="I770" s="1">
        <v>3</v>
      </c>
      <c r="O770" s="1">
        <v>57</v>
      </c>
      <c r="X770" s="1">
        <v>200208</v>
      </c>
      <c r="Y770" s="1" t="str">
        <f>IFERROR(INDEX([1]物品基础表!$A:$A,MATCH(X770,[1]物品基础表!$B:$B,0)),"")</f>
        <v>烈焰印记低级升级材料</v>
      </c>
      <c r="Z770" s="1">
        <v>500</v>
      </c>
      <c r="AB770" s="1" t="str">
        <f>IFERROR(INDEX([1]物品基础表!$A:$A,MATCH(AA770,[1]物品基础表!$B:$B,0)),"")</f>
        <v/>
      </c>
      <c r="AE770" s="1" t="str">
        <f>IFERROR(INDEX([1]物品基础表!$A:$A,MATCH(AD770,[1]物品基础表!$B:$B,0)),"")</f>
        <v/>
      </c>
      <c r="AH770" s="1" t="str">
        <f>IFERROR(INDEX([1]物品基础表!$A:$A,MATCH(AG770,[1]物品基础表!$B:$B,0)),"")</f>
        <v/>
      </c>
      <c r="AK770" s="1" t="str">
        <f>IFERROR(INDEX([1]物品基础表!$A:$A,MATCH(AJ770,[1]物品基础表!$B:$B,0)),"")</f>
        <v/>
      </c>
      <c r="AN770" s="1" t="str">
        <f>IFERROR(INDEX([1]物品基础表!$A:$A,MATCH(AM770,[1]物品基础表!$B:$B,0)),"")</f>
        <v/>
      </c>
      <c r="AQ770" s="1" t="str">
        <f>IFERROR(INDEX([1]物品基础表!$A:$A,MATCH(AP770,[1]物品基础表!$B:$B,0)),"")</f>
        <v/>
      </c>
    </row>
    <row r="771" spans="1:44">
      <c r="A771" s="1" t="str">
        <f>INDEX([2]活动总表!$A$8:$A$429,MATCH(B771,[2]活动总表!$B$8:$B$429,0))</f>
        <v>龙抬头-限购-符石（61+天）</v>
      </c>
      <c r="B771" s="1">
        <v>941</v>
      </c>
      <c r="C771" s="1">
        <v>5</v>
      </c>
      <c r="D771" s="1">
        <v>5</v>
      </c>
      <c r="E771" s="1">
        <v>0</v>
      </c>
      <c r="F771" s="1" t="s">
        <v>706</v>
      </c>
      <c r="G771" s="1">
        <v>8888</v>
      </c>
      <c r="H771" s="1">
        <v>15000</v>
      </c>
      <c r="I771" s="1">
        <v>10</v>
      </c>
      <c r="O771" s="1">
        <v>59</v>
      </c>
      <c r="X771" s="1">
        <v>200208</v>
      </c>
      <c r="Y771" s="1" t="str">
        <f>IFERROR(INDEX([1]物品基础表!$A:$A,MATCH(X771,[1]物品基础表!$B:$B,0)),"")</f>
        <v>烈焰印记低级升级材料</v>
      </c>
      <c r="Z771" s="1">
        <v>1500</v>
      </c>
      <c r="AB771" s="1" t="str">
        <f>IFERROR(INDEX([1]物品基础表!$A:$A,MATCH(AA771,[1]物品基础表!$B:$B,0)),"")</f>
        <v/>
      </c>
      <c r="AE771" s="1" t="str">
        <f>IFERROR(INDEX([1]物品基础表!$A:$A,MATCH(AD771,[1]物品基础表!$B:$B,0)),"")</f>
        <v/>
      </c>
      <c r="AH771" s="1" t="str">
        <f>IFERROR(INDEX([1]物品基础表!$A:$A,MATCH(AG771,[1]物品基础表!$B:$B,0)),"")</f>
        <v/>
      </c>
      <c r="AK771" s="1" t="str">
        <f>IFERROR(INDEX([1]物品基础表!$A:$A,MATCH(AJ771,[1]物品基础表!$B:$B,0)),"")</f>
        <v/>
      </c>
      <c r="AN771" s="1" t="str">
        <f>IFERROR(INDEX([1]物品基础表!$A:$A,MATCH(AM771,[1]物品基础表!$B:$B,0)),"")</f>
        <v/>
      </c>
      <c r="AQ771" s="1" t="str">
        <f>IFERROR(INDEX([1]物品基础表!$A:$A,MATCH(AP771,[1]物品基础表!$B:$B,0)),"")</f>
        <v/>
      </c>
    </row>
    <row r="772" spans="1:44">
      <c r="A772" s="1" t="str">
        <f>INDEX([2]活动总表!$A$8:$A$429,MATCH(B772,[2]活动总表!$B$8:$B$429,0))</f>
        <v>月末狂欢-跨服团购</v>
      </c>
      <c r="B772" s="1">
        <v>1003</v>
      </c>
      <c r="C772" s="1">
        <v>1</v>
      </c>
      <c r="D772" s="1">
        <v>5</v>
      </c>
      <c r="E772" s="1">
        <v>0</v>
      </c>
      <c r="F772" s="1" t="s">
        <v>706</v>
      </c>
      <c r="G772" s="1">
        <v>3888</v>
      </c>
      <c r="I772" s="1">
        <v>1</v>
      </c>
      <c r="P772" s="1" t="s">
        <v>709</v>
      </c>
      <c r="Q772" s="1" t="s">
        <v>712</v>
      </c>
      <c r="R772" s="1" t="s">
        <v>710</v>
      </c>
      <c r="S772" s="1" t="s">
        <v>711</v>
      </c>
      <c r="X772" s="1">
        <v>200003</v>
      </c>
      <c r="Y772" s="1" t="str">
        <f>IFERROR(INDEX([1]物品基础表!$A:$A,MATCH(X772,[1]物品基础表!$B:$B,0)),"")</f>
        <v>铸造晶石</v>
      </c>
      <c r="Z772" s="1">
        <v>30</v>
      </c>
      <c r="AA772" s="1">
        <v>200005</v>
      </c>
      <c r="AB772" s="1" t="str">
        <f>IFERROR(INDEX([1]物品基础表!$A:$A,MATCH(AA772,[1]物品基础表!$B:$B,0)),"")</f>
        <v>龙魂碎片</v>
      </c>
      <c r="AC772" s="1">
        <v>20</v>
      </c>
      <c r="AD772" s="1">
        <v>200001</v>
      </c>
      <c r="AE772" s="1" t="str">
        <f>IFERROR(INDEX([1]物品基础表!$A:$A,MATCH(AD772,[1]物品基础表!$B:$B,0)),"")</f>
        <v>羽毛</v>
      </c>
      <c r="AF772" s="1">
        <v>15</v>
      </c>
      <c r="AG772" s="1">
        <v>200004</v>
      </c>
      <c r="AH772" s="1" t="str">
        <f>IFERROR(INDEX([1]物品基础表!$A:$A,MATCH(AG772,[1]物品基础表!$B:$B,0)),"")</f>
        <v>经脉丹</v>
      </c>
      <c r="AI772" s="1">
        <v>10</v>
      </c>
      <c r="AJ772" s="1">
        <v>200156</v>
      </c>
      <c r="AK772" s="1" t="str">
        <f>IFERROR(INDEX([1]物品基础表!$A:$A,MATCH(AJ772,[1]物品基础表!$B:$B,0)),"")</f>
        <v>野外BOSS次数卷轴</v>
      </c>
      <c r="AL772" s="1">
        <v>1</v>
      </c>
      <c r="AM772" s="1">
        <v>1</v>
      </c>
      <c r="AN772" s="1" t="s">
        <v>695</v>
      </c>
      <c r="AO772" s="1">
        <v>1000000</v>
      </c>
      <c r="AP772" s="1">
        <v>200002</v>
      </c>
      <c r="AQ772" s="1" t="str">
        <f>IFERROR(INDEX([1]物品基础表!$A:$A,MATCH(AP772,[1]物品基础表!$B:$B,0)),"")</f>
        <v>强化石</v>
      </c>
      <c r="AR772" s="1">
        <v>100</v>
      </c>
    </row>
    <row r="773" spans="1:44">
      <c r="A773" s="1" t="str">
        <f>INDEX([2]活动总表!$A$8:$A$429,MATCH(B773,[2]活动总表!$B$8:$B$429,0))</f>
        <v>月末狂欢-跨服团购</v>
      </c>
      <c r="B773" s="1">
        <v>1003</v>
      </c>
      <c r="C773" s="1">
        <v>2</v>
      </c>
      <c r="D773" s="1">
        <v>5</v>
      </c>
      <c r="E773" s="1">
        <v>0</v>
      </c>
      <c r="F773" s="1" t="s">
        <v>706</v>
      </c>
      <c r="G773" s="1">
        <v>16888</v>
      </c>
      <c r="I773" s="1">
        <v>1</v>
      </c>
      <c r="T773" s="1" t="s">
        <v>709</v>
      </c>
      <c r="U773" s="1" t="s">
        <v>712</v>
      </c>
      <c r="V773" s="1" t="s">
        <v>710</v>
      </c>
      <c r="W773" s="1" t="s">
        <v>713</v>
      </c>
      <c r="X773" s="1">
        <v>269999</v>
      </c>
      <c r="Y773" s="1" t="str">
        <f>IFERROR(INDEX([1]物品基础表!$A:$A,MATCH(X773,[1]物品基础表!$B:$B,0)),"")</f>
        <v>职业金装</v>
      </c>
      <c r="Z773" s="1">
        <v>2</v>
      </c>
      <c r="AA773" s="1">
        <v>200165</v>
      </c>
      <c r="AB773" s="1" t="str">
        <f>IFERROR(INDEX([1]物品基础表!$A:$A,MATCH(AA773,[1]物品基础表!$B:$B,0)),"")</f>
        <v>寻宝卷</v>
      </c>
      <c r="AC773" s="1">
        <v>20</v>
      </c>
      <c r="AD773" s="1">
        <v>200004</v>
      </c>
      <c r="AE773" s="1" t="str">
        <f>IFERROR(INDEX([1]物品基础表!$A:$A,MATCH(AD773,[1]物品基础表!$B:$B,0)),"")</f>
        <v>经脉丹</v>
      </c>
      <c r="AF773" s="1">
        <v>10</v>
      </c>
      <c r="AG773" s="1">
        <v>200005</v>
      </c>
      <c r="AH773" s="1" t="str">
        <f>IFERROR(INDEX([1]物品基础表!$A:$A,MATCH(AG773,[1]物品基础表!$B:$B,0)),"")</f>
        <v>龙魂碎片</v>
      </c>
      <c r="AI773" s="1">
        <v>10</v>
      </c>
      <c r="AJ773" s="1">
        <v>200156</v>
      </c>
      <c r="AK773" s="1" t="str">
        <f>IFERROR(INDEX([1]物品基础表!$A:$A,MATCH(AJ773,[1]物品基础表!$B:$B,0)),"")</f>
        <v>野外BOSS次数卷轴</v>
      </c>
      <c r="AL773" s="1">
        <v>2</v>
      </c>
      <c r="AM773" s="1">
        <v>200157</v>
      </c>
      <c r="AN773" s="1" t="str">
        <f>IFERROR(INDEX([1]物品基础表!$A:$A,MATCH(AM773,[1]物品基础表!$B:$B,0)),"")</f>
        <v>秘境BOSS次数卷轴</v>
      </c>
      <c r="AO773" s="1">
        <v>1</v>
      </c>
      <c r="AP773" s="1">
        <v>1</v>
      </c>
      <c r="AQ773" s="1" t="s">
        <v>695</v>
      </c>
      <c r="AR773" s="1">
        <v>1000000</v>
      </c>
    </row>
    <row r="774" spans="1:44">
      <c r="A774" s="1" t="str">
        <f>INDEX([2]活动总表!$A$8:$A$429,MATCH(B774,[2]活动总表!$B$8:$B$429,0))</f>
        <v>月末狂欢-跨服团购</v>
      </c>
      <c r="B774" s="1">
        <v>1003</v>
      </c>
      <c r="C774" s="1">
        <v>3</v>
      </c>
      <c r="D774" s="1">
        <v>5</v>
      </c>
      <c r="E774" s="1">
        <v>0</v>
      </c>
      <c r="F774" s="1" t="s">
        <v>706</v>
      </c>
      <c r="G774" s="1">
        <v>36888</v>
      </c>
      <c r="I774" s="1">
        <v>1</v>
      </c>
      <c r="T774" s="1" t="s">
        <v>709</v>
      </c>
      <c r="U774" s="1" t="s">
        <v>712</v>
      </c>
      <c r="V774" s="1" t="s">
        <v>710</v>
      </c>
      <c r="W774" s="1" t="s">
        <v>714</v>
      </c>
      <c r="X774" s="1">
        <v>200150</v>
      </c>
      <c r="Y774" s="1" t="str">
        <f>IFERROR(INDEX([1]物品基础表!$A:$A,MATCH(X774,[1]物品基础表!$B:$B,0)),"")</f>
        <v>翅膀直升1阶丹</v>
      </c>
      <c r="Z774" s="1">
        <v>1</v>
      </c>
      <c r="AA774" s="1">
        <v>200001</v>
      </c>
      <c r="AB774" s="1" t="str">
        <f>IFERROR(INDEX([1]物品基础表!$A:$A,MATCH(AA774,[1]物品基础表!$B:$B,0)),"")</f>
        <v>羽毛</v>
      </c>
      <c r="AC774" s="1">
        <v>50</v>
      </c>
      <c r="AD774" s="1">
        <v>200004</v>
      </c>
      <c r="AE774" s="1" t="str">
        <f>IFERROR(INDEX([1]物品基础表!$A:$A,MATCH(AD774,[1]物品基础表!$B:$B,0)),"")</f>
        <v>经脉丹</v>
      </c>
      <c r="AF774" s="1">
        <v>15</v>
      </c>
      <c r="AG774" s="1">
        <v>220010</v>
      </c>
      <c r="AH774" s="1" t="str">
        <f>IFERROR(INDEX([1]物品基础表!$A:$A,MATCH(AG774,[1]物品基础表!$B:$B,0)),"")</f>
        <v>中级秘籍宝箱</v>
      </c>
      <c r="AI774" s="1">
        <v>2</v>
      </c>
      <c r="AJ774" s="1">
        <v>200156</v>
      </c>
      <c r="AK774" s="1" t="str">
        <f>IFERROR(INDEX([1]物品基础表!$A:$A,MATCH(AJ774,[1]物品基础表!$B:$B,0)),"")</f>
        <v>野外BOSS次数卷轴</v>
      </c>
      <c r="AL774" s="1">
        <v>2</v>
      </c>
      <c r="AM774" s="1">
        <v>200157</v>
      </c>
      <c r="AN774" s="1" t="str">
        <f>IFERROR(INDEX([1]物品基础表!$A:$A,MATCH(AM774,[1]物品基础表!$B:$B,0)),"")</f>
        <v>秘境BOSS次数卷轴</v>
      </c>
      <c r="AO774" s="1">
        <v>1</v>
      </c>
      <c r="AP774" s="1">
        <v>1</v>
      </c>
      <c r="AQ774" s="1" t="s">
        <v>695</v>
      </c>
      <c r="AR774" s="1">
        <v>3000000</v>
      </c>
    </row>
    <row r="775" spans="1:44">
      <c r="A775" s="1" t="str">
        <f>INDEX([2]活动总表!$A$8:$A$429,MATCH(B775,[2]活动总表!$B$8:$B$429,0))</f>
        <v>月末狂欢-跨服团购</v>
      </c>
      <c r="B775" s="1">
        <v>1003</v>
      </c>
      <c r="C775" s="1">
        <v>4</v>
      </c>
      <c r="D775" s="1">
        <v>5</v>
      </c>
      <c r="E775" s="1">
        <v>0</v>
      </c>
      <c r="F775" s="1" t="s">
        <v>706</v>
      </c>
      <c r="G775" s="1">
        <v>58888</v>
      </c>
      <c r="I775" s="1">
        <v>1</v>
      </c>
      <c r="T775" s="1" t="s">
        <v>709</v>
      </c>
      <c r="U775" s="1" t="s">
        <v>712</v>
      </c>
      <c r="V775" s="1" t="s">
        <v>710</v>
      </c>
      <c r="W775" s="1" t="s">
        <v>715</v>
      </c>
      <c r="X775" s="1">
        <v>101411</v>
      </c>
      <c r="Y775" s="1" t="str">
        <f>IFERROR(INDEX([1]物品基础表!$A:$A,MATCH(X775,[1]物品基础表!$B:$B,0)),"")</f>
        <v>红色战士100级武器</v>
      </c>
      <c r="Z775" s="1">
        <v>1</v>
      </c>
      <c r="AA775" s="1">
        <v>102411</v>
      </c>
      <c r="AB775" s="1" t="str">
        <f>IFERROR(INDEX([1]物品基础表!$A:$A,MATCH(AA775,[1]物品基础表!$B:$B,0)),"")</f>
        <v>红色法师100级武器</v>
      </c>
      <c r="AC775" s="1">
        <v>1</v>
      </c>
      <c r="AD775" s="1">
        <v>103411</v>
      </c>
      <c r="AE775" s="1" t="str">
        <f>IFERROR(INDEX([1]物品基础表!$A:$A,MATCH(AD775,[1]物品基础表!$B:$B,0)),"")</f>
        <v>红色道士100级武器</v>
      </c>
      <c r="AF775" s="1">
        <v>1</v>
      </c>
      <c r="AG775" s="1">
        <v>200007</v>
      </c>
      <c r="AH775" s="1" t="str">
        <f>IFERROR(INDEX([1]物品基础表!$A:$A,MATCH(AG775,[1]物品基础表!$B:$B,0)),"")</f>
        <v>神装碎片</v>
      </c>
      <c r="AI775" s="1">
        <v>1000</v>
      </c>
      <c r="AJ775" s="1">
        <v>200156</v>
      </c>
      <c r="AK775" s="1" t="str">
        <f>IFERROR(INDEX([1]物品基础表!$A:$A,MATCH(AJ775,[1]物品基础表!$B:$B,0)),"")</f>
        <v>野外BOSS次数卷轴</v>
      </c>
      <c r="AL775" s="1">
        <v>2</v>
      </c>
      <c r="AM775" s="1">
        <v>200157</v>
      </c>
      <c r="AN775" s="1" t="str">
        <f>IFERROR(INDEX([1]物品基础表!$A:$A,MATCH(AM775,[1]物品基础表!$B:$B,0)),"")</f>
        <v>秘境BOSS次数卷轴</v>
      </c>
      <c r="AO775" s="1">
        <v>1</v>
      </c>
      <c r="AP775" s="1">
        <v>1</v>
      </c>
      <c r="AQ775" s="1" t="s">
        <v>695</v>
      </c>
      <c r="AR775" s="1">
        <v>5000000</v>
      </c>
    </row>
  </sheetData>
  <mergeCells count="2">
    <mergeCell ref="X1:AR1"/>
    <mergeCell ref="P1:W1"/>
  </mergeCells>
  <phoneticPr fontId="1" type="noConversion"/>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Y375"/>
  <sheetViews>
    <sheetView workbookViewId="0">
      <pane xSplit="1" ySplit="2" topLeftCell="C170" activePane="bottomRight" state="frozen"/>
      <selection pane="topRight" activeCell="B1" sqref="B1"/>
      <selection pane="bottomLeft" activeCell="A3" sqref="A3"/>
      <selection pane="bottomRight" activeCell="H210" sqref="H210"/>
    </sheetView>
  </sheetViews>
  <sheetFormatPr defaultRowHeight="13.5"/>
  <cols>
    <col min="1" max="1" width="27.875" style="32" bestFit="1" customWidth="1"/>
    <col min="2" max="4" width="9" style="32"/>
    <col min="5" max="5" width="5.25" style="32" bestFit="1" customWidth="1"/>
    <col min="6" max="6" width="9" style="32"/>
    <col min="7" max="7" width="13.125" style="32" bestFit="1" customWidth="1"/>
    <col min="8" max="8" width="7.5" style="32" bestFit="1" customWidth="1"/>
    <col min="9" max="9" width="25.5" style="32" bestFit="1" customWidth="1"/>
    <col min="10" max="10" width="8.5" style="32" bestFit="1" customWidth="1"/>
    <col min="11" max="11" width="7.5" style="32" bestFit="1" customWidth="1"/>
    <col min="12" max="12" width="21.375" style="32" bestFit="1" customWidth="1"/>
    <col min="13" max="13" width="8.5" style="32" bestFit="1" customWidth="1"/>
    <col min="14" max="14" width="7.5" style="32" bestFit="1" customWidth="1"/>
    <col min="15" max="15" width="21.375" style="32" bestFit="1" customWidth="1"/>
    <col min="16" max="17" width="7.5" style="32" bestFit="1" customWidth="1"/>
    <col min="18" max="18" width="15.125" style="32" bestFit="1" customWidth="1"/>
    <col min="19" max="19" width="8.5" style="32" bestFit="1" customWidth="1"/>
    <col min="20" max="20" width="7.5" style="32" bestFit="1" customWidth="1"/>
    <col min="21" max="21" width="9" style="32"/>
    <col min="22" max="22" width="5.25" style="32" bestFit="1" customWidth="1"/>
    <col min="23" max="23" width="7.5" style="32" bestFit="1" customWidth="1"/>
    <col min="24" max="24" width="9" style="32"/>
    <col min="25" max="25" width="5.25" style="32" bestFit="1" customWidth="1"/>
    <col min="26" max="16384" width="9" style="32"/>
  </cols>
  <sheetData>
    <row r="1" spans="1:25">
      <c r="A1" s="36" t="s">
        <v>726</v>
      </c>
      <c r="H1" s="108" t="s">
        <v>708</v>
      </c>
      <c r="I1" s="108"/>
      <c r="J1" s="108"/>
      <c r="K1" s="108"/>
      <c r="L1" s="108"/>
      <c r="M1" s="108"/>
      <c r="N1" s="108"/>
      <c r="O1" s="108"/>
      <c r="P1" s="108"/>
      <c r="Q1" s="108"/>
      <c r="R1" s="108"/>
      <c r="S1" s="108"/>
      <c r="T1" s="108"/>
      <c r="U1" s="108"/>
      <c r="V1" s="108"/>
      <c r="W1" s="108"/>
      <c r="X1" s="108"/>
      <c r="Y1" s="108"/>
    </row>
    <row r="2" spans="1:25">
      <c r="A2" s="4" t="s">
        <v>19</v>
      </c>
      <c r="B2" s="4" t="s">
        <v>32</v>
      </c>
      <c r="C2" s="4" t="s">
        <v>33</v>
      </c>
      <c r="D2" s="33" t="s">
        <v>45</v>
      </c>
      <c r="E2" s="33" t="s">
        <v>0</v>
      </c>
      <c r="F2" s="4" t="s">
        <v>46</v>
      </c>
      <c r="G2" s="4" t="s">
        <v>717</v>
      </c>
      <c r="H2" s="4" t="s">
        <v>2</v>
      </c>
      <c r="I2" s="4" t="s">
        <v>3</v>
      </c>
      <c r="J2" s="4" t="s">
        <v>4</v>
      </c>
      <c r="K2" s="4" t="s">
        <v>2</v>
      </c>
      <c r="L2" s="4" t="s">
        <v>3</v>
      </c>
      <c r="M2" s="4" t="s">
        <v>4</v>
      </c>
      <c r="N2" s="4" t="s">
        <v>2</v>
      </c>
      <c r="O2" s="4" t="s">
        <v>3</v>
      </c>
      <c r="P2" s="4" t="s">
        <v>4</v>
      </c>
      <c r="Q2" s="4" t="s">
        <v>2</v>
      </c>
      <c r="R2" s="4" t="s">
        <v>3</v>
      </c>
      <c r="S2" s="4" t="s">
        <v>4</v>
      </c>
      <c r="T2" s="4" t="s">
        <v>2</v>
      </c>
      <c r="U2" s="4" t="s">
        <v>3</v>
      </c>
      <c r="V2" s="4" t="s">
        <v>4</v>
      </c>
      <c r="W2" s="4" t="s">
        <v>2</v>
      </c>
      <c r="X2" s="4" t="s">
        <v>3</v>
      </c>
      <c r="Y2" s="4" t="s">
        <v>4</v>
      </c>
    </row>
    <row r="3" spans="1:25">
      <c r="A3" s="32" t="str">
        <f>INDEX([2]活动总表!$A$8:$A$429,MATCH(B3,[2]活动总表!$B$8:$B$429,0))</f>
        <v>开服活动-七日连充</v>
      </c>
      <c r="B3" s="32">
        <v>13</v>
      </c>
      <c r="C3" s="32">
        <v>1</v>
      </c>
      <c r="D3" s="32">
        <v>1</v>
      </c>
      <c r="E3" s="32">
        <v>3</v>
      </c>
      <c r="F3" s="32">
        <v>10000</v>
      </c>
      <c r="H3" s="32">
        <v>201007</v>
      </c>
      <c r="I3" s="1" t="str">
        <f>IFERROR(INDEX([1]物品基础表!$A:$A,MATCH(H3,[1]物品基础表!$B:$B,0)),"")</f>
        <v>红色图鉴包·美女如云</v>
      </c>
      <c r="J3" s="32">
        <v>1</v>
      </c>
      <c r="K3" s="32">
        <v>220010</v>
      </c>
      <c r="L3" s="1" t="str">
        <f>IFERROR(INDEX([1]物品基础表!$A:$A,MATCH(K3,[1]物品基础表!$B:$B,0)),"")</f>
        <v>中级秘籍宝箱</v>
      </c>
      <c r="M3" s="32">
        <v>2</v>
      </c>
      <c r="N3" s="32">
        <v>200004</v>
      </c>
      <c r="O3" s="1" t="str">
        <f>IFERROR(INDEX([1]物品基础表!$A:$A,MATCH(N3,[1]物品基础表!$B:$B,0)),"")</f>
        <v>经脉丹</v>
      </c>
      <c r="P3" s="32">
        <v>10</v>
      </c>
      <c r="Q3" s="32">
        <v>200005</v>
      </c>
      <c r="R3" s="1" t="str">
        <f>IFERROR(INDEX([1]物品基础表!$A:$A,MATCH(Q3,[1]物品基础表!$B:$B,0)),"")</f>
        <v>龙魂碎片</v>
      </c>
      <c r="S3" s="32">
        <v>10</v>
      </c>
      <c r="T3" s="32">
        <v>200001</v>
      </c>
      <c r="U3" s="1" t="str">
        <f>IFERROR(INDEX([1]物品基础表!$A:$A,MATCH(T3,[1]物品基础表!$B:$B,0)),"")</f>
        <v>羽毛</v>
      </c>
      <c r="V3" s="32">
        <v>10</v>
      </c>
      <c r="W3" s="32">
        <v>200003</v>
      </c>
      <c r="X3" s="1" t="str">
        <f>IFERROR(INDEX([1]物品基础表!$A:$A,MATCH(W3,[1]物品基础表!$B:$B,0)),"")</f>
        <v>铸造晶石</v>
      </c>
      <c r="Y3" s="32">
        <v>10</v>
      </c>
    </row>
    <row r="4" spans="1:25">
      <c r="A4" s="32" t="str">
        <f>INDEX([2]活动总表!$A$8:$A$429,MATCH(B4,[2]活动总表!$B$8:$B$429,0))</f>
        <v>开服活动-七日连充</v>
      </c>
      <c r="B4" s="32">
        <v>13</v>
      </c>
      <c r="C4" s="32">
        <v>2</v>
      </c>
      <c r="D4" s="32">
        <v>1</v>
      </c>
      <c r="E4" s="32">
        <v>6</v>
      </c>
      <c r="F4" s="32">
        <v>10000</v>
      </c>
      <c r="H4" s="32">
        <v>900010</v>
      </c>
      <c r="I4" s="1" t="str">
        <f>IFERROR(INDEX([1]物品基础表!$A:$A,MATCH(H4,[1]物品基础表!$B:$B,0)),"")</f>
        <v>恶魔之翼</v>
      </c>
      <c r="J4" s="32">
        <v>1</v>
      </c>
      <c r="K4" s="32">
        <v>220011</v>
      </c>
      <c r="L4" s="1" t="str">
        <f>IFERROR(INDEX([1]物品基础表!$A:$A,MATCH(K4,[1]物品基础表!$B:$B,0)),"")</f>
        <v>高级秘籍宝箱</v>
      </c>
      <c r="M4" s="32">
        <v>1</v>
      </c>
      <c r="N4" s="32">
        <v>200004</v>
      </c>
      <c r="O4" s="1" t="str">
        <f>IFERROR(INDEX([1]物品基础表!$A:$A,MATCH(N4,[1]物品基础表!$B:$B,0)),"")</f>
        <v>经脉丹</v>
      </c>
      <c r="P4" s="32">
        <v>20</v>
      </c>
      <c r="Q4" s="32">
        <v>200005</v>
      </c>
      <c r="R4" s="1" t="str">
        <f>IFERROR(INDEX([1]物品基础表!$A:$A,MATCH(Q4,[1]物品基础表!$B:$B,0)),"")</f>
        <v>龙魂碎片</v>
      </c>
      <c r="S4" s="32">
        <v>20</v>
      </c>
      <c r="T4" s="32">
        <v>200001</v>
      </c>
      <c r="U4" s="1" t="str">
        <f>IFERROR(INDEX([1]物品基础表!$A:$A,MATCH(T4,[1]物品基础表!$B:$B,0)),"")</f>
        <v>羽毛</v>
      </c>
      <c r="V4" s="32">
        <v>20</v>
      </c>
      <c r="W4" s="32">
        <v>200003</v>
      </c>
      <c r="X4" s="1" t="str">
        <f>IFERROR(INDEX([1]物品基础表!$A:$A,MATCH(W4,[1]物品基础表!$B:$B,0)),"")</f>
        <v>铸造晶石</v>
      </c>
      <c r="Y4" s="32">
        <v>20</v>
      </c>
    </row>
    <row r="5" spans="1:25">
      <c r="A5" s="32" t="str">
        <f>INDEX([2]活动总表!$A$8:$A$429,MATCH(B5,[2]活动总表!$B$8:$B$429,0))</f>
        <v>开服活动-七日累充</v>
      </c>
      <c r="B5" s="32">
        <v>14</v>
      </c>
      <c r="C5" s="32">
        <v>1</v>
      </c>
      <c r="D5" s="32">
        <v>2</v>
      </c>
      <c r="E5" s="32">
        <v>7</v>
      </c>
      <c r="F5" s="32">
        <v>588888</v>
      </c>
      <c r="H5" s="32">
        <v>900005</v>
      </c>
      <c r="I5" s="1" t="str">
        <f>IFERROR(INDEX([1]物品基础表!$A:$A,MATCH(H5,[1]物品基础表!$B:$B,0)),"")</f>
        <v>夏日狂欢</v>
      </c>
      <c r="J5" s="32">
        <v>1</v>
      </c>
      <c r="K5" s="32">
        <v>900004</v>
      </c>
      <c r="L5" s="1" t="str">
        <f>IFERROR(INDEX([1]物品基础表!$A:$A,MATCH(K5,[1]物品基础表!$B:$B,0)),"")</f>
        <v>泳池伞</v>
      </c>
      <c r="M5" s="32">
        <v>1</v>
      </c>
      <c r="N5" s="32">
        <v>600012</v>
      </c>
      <c r="O5" s="1" t="str">
        <f>IFERROR(INDEX([1]物品基础表!$A:$A,MATCH(N5,[1]物品基础表!$B:$B,0)),"")</f>
        <v>8阶官印</v>
      </c>
      <c r="P5" s="32">
        <v>1</v>
      </c>
      <c r="Q5" s="32">
        <v>200004</v>
      </c>
      <c r="R5" s="1" t="str">
        <f>IFERROR(INDEX([1]物品基础表!$A:$A,MATCH(Q5,[1]物品基础表!$B:$B,0)),"")</f>
        <v>经脉丹</v>
      </c>
      <c r="S5" s="32">
        <v>50</v>
      </c>
      <c r="T5" s="32">
        <v>200005</v>
      </c>
      <c r="U5" s="1" t="str">
        <f>IFERROR(INDEX([1]物品基础表!$A:$A,MATCH(T5,[1]物品基础表!$B:$B,0)),"")</f>
        <v>龙魂碎片</v>
      </c>
      <c r="V5" s="32">
        <v>50</v>
      </c>
      <c r="W5" s="32">
        <v>200001</v>
      </c>
      <c r="X5" s="1" t="str">
        <f>IFERROR(INDEX([1]物品基础表!$A:$A,MATCH(W5,[1]物品基础表!$B:$B,0)),"")</f>
        <v>羽毛</v>
      </c>
      <c r="Y5" s="32">
        <v>50</v>
      </c>
    </row>
    <row r="6" spans="1:25">
      <c r="A6" s="32" t="str">
        <f>INDEX([2]活动总表!$A$8:$A$429,MATCH(B6,[2]活动总表!$B$8:$B$429,0))</f>
        <v>开服活动-次周累充返利</v>
      </c>
      <c r="B6" s="32">
        <v>101</v>
      </c>
      <c r="C6" s="32">
        <v>1</v>
      </c>
      <c r="D6" s="32">
        <v>3</v>
      </c>
      <c r="E6" s="32">
        <v>1</v>
      </c>
      <c r="F6" s="32">
        <v>5000</v>
      </c>
      <c r="H6" s="32">
        <v>201006</v>
      </c>
      <c r="I6" s="1" t="str">
        <f>IFERROR(INDEX([1]物品基础表!$A:$A,MATCH(H6,[1]物品基础表!$B:$B,0)),"")</f>
        <v>橙色图鉴包·美女如云</v>
      </c>
      <c r="J6" s="32">
        <v>1</v>
      </c>
      <c r="K6" s="32">
        <v>601601</v>
      </c>
      <c r="L6" s="1" t="str">
        <f>IFERROR(INDEX([1]物品基础表!$A:$A,MATCH(K6,[1]物品基础表!$B:$B,0)),"")</f>
        <v>神羽宝箱</v>
      </c>
      <c r="M6" s="32">
        <v>1</v>
      </c>
      <c r="N6" s="32">
        <v>220010</v>
      </c>
      <c r="O6" s="1" t="str">
        <f>IFERROR(INDEX([1]物品基础表!$A:$A,MATCH(N6,[1]物品基础表!$B:$B,0)),"")</f>
        <v>中级秘籍宝箱</v>
      </c>
      <c r="P6" s="32">
        <v>1</v>
      </c>
      <c r="Q6" s="32">
        <v>200005</v>
      </c>
      <c r="R6" s="1" t="str">
        <f>IFERROR(INDEX([1]物品基础表!$A:$A,MATCH(Q6,[1]物品基础表!$B:$B,0)),"")</f>
        <v>龙魂碎片</v>
      </c>
      <c r="S6" s="32">
        <v>10</v>
      </c>
      <c r="T6" s="32">
        <v>200004</v>
      </c>
      <c r="U6" s="1" t="str">
        <f>IFERROR(INDEX([1]物品基础表!$A:$A,MATCH(T6,[1]物品基础表!$B:$B,0)),"")</f>
        <v>经脉丹</v>
      </c>
      <c r="V6" s="32">
        <v>10</v>
      </c>
      <c r="W6" s="32">
        <v>200166</v>
      </c>
      <c r="X6" s="1" t="str">
        <f>IFERROR(INDEX([1]物品基础表!$A:$A,MATCH(W6,[1]物品基础表!$B:$B,0)),"")</f>
        <v>寻宝卷</v>
      </c>
      <c r="Y6" s="32">
        <v>5</v>
      </c>
    </row>
    <row r="7" spans="1:25">
      <c r="A7" s="32" t="str">
        <f>INDEX([2]活动总表!$A$8:$A$429,MATCH(B7,[2]活动总表!$B$8:$B$429,0))</f>
        <v>开服活动-次周累充返利</v>
      </c>
      <c r="B7" s="32">
        <v>101</v>
      </c>
      <c r="C7" s="32">
        <v>2</v>
      </c>
      <c r="D7" s="32">
        <v>3</v>
      </c>
      <c r="E7" s="32">
        <v>2</v>
      </c>
      <c r="F7" s="32">
        <v>5000</v>
      </c>
      <c r="H7" s="32">
        <v>201006</v>
      </c>
      <c r="I7" s="1" t="str">
        <f>IFERROR(INDEX([1]物品基础表!$A:$A,MATCH(H7,[1]物品基础表!$B:$B,0)),"")</f>
        <v>橙色图鉴包·美女如云</v>
      </c>
      <c r="J7" s="32">
        <v>1</v>
      </c>
      <c r="K7" s="32">
        <v>601601</v>
      </c>
      <c r="L7" s="1" t="str">
        <f>IFERROR(INDEX([1]物品基础表!$A:$A,MATCH(K7,[1]物品基础表!$B:$B,0)),"")</f>
        <v>神羽宝箱</v>
      </c>
      <c r="M7" s="32">
        <v>1</v>
      </c>
      <c r="N7" s="32">
        <v>220010</v>
      </c>
      <c r="O7" s="1" t="str">
        <f>IFERROR(INDEX([1]物品基础表!$A:$A,MATCH(N7,[1]物品基础表!$B:$B,0)),"")</f>
        <v>中级秘籍宝箱</v>
      </c>
      <c r="P7" s="32">
        <v>1</v>
      </c>
      <c r="Q7" s="32">
        <v>200005</v>
      </c>
      <c r="R7" s="1" t="str">
        <f>IFERROR(INDEX([1]物品基础表!$A:$A,MATCH(Q7,[1]物品基础表!$B:$B,0)),"")</f>
        <v>龙魂碎片</v>
      </c>
      <c r="S7" s="32">
        <v>10</v>
      </c>
      <c r="T7" s="32">
        <v>200004</v>
      </c>
      <c r="U7" s="1" t="str">
        <f>IFERROR(INDEX([1]物品基础表!$A:$A,MATCH(T7,[1]物品基础表!$B:$B,0)),"")</f>
        <v>经脉丹</v>
      </c>
      <c r="V7" s="32">
        <v>10</v>
      </c>
      <c r="W7" s="32">
        <v>200166</v>
      </c>
      <c r="X7" s="1" t="str">
        <f>IFERROR(INDEX([1]物品基础表!$A:$A,MATCH(W7,[1]物品基础表!$B:$B,0)),"")</f>
        <v>寻宝卷</v>
      </c>
      <c r="Y7" s="32">
        <v>5</v>
      </c>
    </row>
    <row r="8" spans="1:25">
      <c r="A8" s="32" t="str">
        <f>INDEX([2]活动总表!$A$8:$A$429,MATCH(B8,[2]活动总表!$B$8:$B$429,0))</f>
        <v>开服活动-次周累充返利</v>
      </c>
      <c r="B8" s="32">
        <v>101</v>
      </c>
      <c r="C8" s="32">
        <v>3</v>
      </c>
      <c r="D8" s="32">
        <v>3</v>
      </c>
      <c r="E8" s="32">
        <v>3</v>
      </c>
      <c r="F8" s="32">
        <v>5000</v>
      </c>
      <c r="H8" s="32">
        <v>201006</v>
      </c>
      <c r="I8" s="1" t="str">
        <f>IFERROR(INDEX([1]物品基础表!$A:$A,MATCH(H8,[1]物品基础表!$B:$B,0)),"")</f>
        <v>橙色图鉴包·美女如云</v>
      </c>
      <c r="J8" s="32">
        <v>1</v>
      </c>
      <c r="K8" s="32">
        <v>601601</v>
      </c>
      <c r="L8" s="1" t="str">
        <f>IFERROR(INDEX([1]物品基础表!$A:$A,MATCH(K8,[1]物品基础表!$B:$B,0)),"")</f>
        <v>神羽宝箱</v>
      </c>
      <c r="M8" s="32">
        <v>1</v>
      </c>
      <c r="N8" s="32">
        <v>220010</v>
      </c>
      <c r="O8" s="1" t="str">
        <f>IFERROR(INDEX([1]物品基础表!$A:$A,MATCH(N8,[1]物品基础表!$B:$B,0)),"")</f>
        <v>中级秘籍宝箱</v>
      </c>
      <c r="P8" s="32">
        <v>1</v>
      </c>
      <c r="Q8" s="32">
        <v>200005</v>
      </c>
      <c r="R8" s="1" t="str">
        <f>IFERROR(INDEX([1]物品基础表!$A:$A,MATCH(Q8,[1]物品基础表!$B:$B,0)),"")</f>
        <v>龙魂碎片</v>
      </c>
      <c r="S8" s="32">
        <v>10</v>
      </c>
      <c r="T8" s="32">
        <v>200004</v>
      </c>
      <c r="U8" s="1" t="str">
        <f>IFERROR(INDEX([1]物品基础表!$A:$A,MATCH(T8,[1]物品基础表!$B:$B,0)),"")</f>
        <v>经脉丹</v>
      </c>
      <c r="V8" s="32">
        <v>10</v>
      </c>
      <c r="W8" s="32">
        <v>200166</v>
      </c>
      <c r="X8" s="1" t="str">
        <f>IFERROR(INDEX([1]物品基础表!$A:$A,MATCH(W8,[1]物品基础表!$B:$B,0)),"")</f>
        <v>寻宝卷</v>
      </c>
      <c r="Y8" s="32">
        <v>5</v>
      </c>
    </row>
    <row r="9" spans="1:25">
      <c r="A9" s="32" t="str">
        <f>INDEX([2]活动总表!$A$8:$A$429,MATCH(B9,[2]活动总表!$B$8:$B$429,0))</f>
        <v>开服活动-次周累充返利</v>
      </c>
      <c r="B9" s="32">
        <v>101</v>
      </c>
      <c r="C9" s="32">
        <v>4</v>
      </c>
      <c r="D9" s="32">
        <v>3</v>
      </c>
      <c r="E9" s="32">
        <v>4</v>
      </c>
      <c r="F9" s="32">
        <v>5000</v>
      </c>
      <c r="H9" s="32">
        <v>201006</v>
      </c>
      <c r="I9" s="1" t="str">
        <f>IFERROR(INDEX([1]物品基础表!$A:$A,MATCH(H9,[1]物品基础表!$B:$B,0)),"")</f>
        <v>橙色图鉴包·美女如云</v>
      </c>
      <c r="J9" s="32">
        <v>1</v>
      </c>
      <c r="K9" s="32">
        <v>601601</v>
      </c>
      <c r="L9" s="1" t="str">
        <f>IFERROR(INDEX([1]物品基础表!$A:$A,MATCH(K9,[1]物品基础表!$B:$B,0)),"")</f>
        <v>神羽宝箱</v>
      </c>
      <c r="M9" s="32">
        <v>1</v>
      </c>
      <c r="N9" s="32">
        <v>220010</v>
      </c>
      <c r="O9" s="1" t="str">
        <f>IFERROR(INDEX([1]物品基础表!$A:$A,MATCH(N9,[1]物品基础表!$B:$B,0)),"")</f>
        <v>中级秘籍宝箱</v>
      </c>
      <c r="P9" s="32">
        <v>1</v>
      </c>
      <c r="Q9" s="32">
        <v>200005</v>
      </c>
      <c r="R9" s="1" t="str">
        <f>IFERROR(INDEX([1]物品基础表!$A:$A,MATCH(Q9,[1]物品基础表!$B:$B,0)),"")</f>
        <v>龙魂碎片</v>
      </c>
      <c r="S9" s="32">
        <v>10</v>
      </c>
      <c r="T9" s="32">
        <v>200004</v>
      </c>
      <c r="U9" s="1" t="str">
        <f>IFERROR(INDEX([1]物品基础表!$A:$A,MATCH(T9,[1]物品基础表!$B:$B,0)),"")</f>
        <v>经脉丹</v>
      </c>
      <c r="V9" s="32">
        <v>10</v>
      </c>
      <c r="W9" s="32">
        <v>200166</v>
      </c>
      <c r="X9" s="1" t="str">
        <f>IFERROR(INDEX([1]物品基础表!$A:$A,MATCH(W9,[1]物品基础表!$B:$B,0)),"")</f>
        <v>寻宝卷</v>
      </c>
      <c r="Y9" s="32">
        <v>5</v>
      </c>
    </row>
    <row r="10" spans="1:25">
      <c r="A10" s="32" t="str">
        <f>INDEX([2]活动总表!$A$8:$A$429,MATCH(B10,[2]活动总表!$B$8:$B$429,0))</f>
        <v>开服活动-次周累充返利</v>
      </c>
      <c r="B10" s="32">
        <v>101</v>
      </c>
      <c r="C10" s="32">
        <v>5</v>
      </c>
      <c r="D10" s="32">
        <v>3</v>
      </c>
      <c r="E10" s="32">
        <v>5</v>
      </c>
      <c r="F10" s="32">
        <v>5000</v>
      </c>
      <c r="H10" s="32">
        <v>201006</v>
      </c>
      <c r="I10" s="1" t="str">
        <f>IFERROR(INDEX([1]物品基础表!$A:$A,MATCH(H10,[1]物品基础表!$B:$B,0)),"")</f>
        <v>橙色图鉴包·美女如云</v>
      </c>
      <c r="J10" s="32">
        <v>1</v>
      </c>
      <c r="K10" s="32">
        <v>601601</v>
      </c>
      <c r="L10" s="1" t="str">
        <f>IFERROR(INDEX([1]物品基础表!$A:$A,MATCH(K10,[1]物品基础表!$B:$B,0)),"")</f>
        <v>神羽宝箱</v>
      </c>
      <c r="M10" s="32">
        <v>1</v>
      </c>
      <c r="N10" s="32">
        <v>220010</v>
      </c>
      <c r="O10" s="1" t="str">
        <f>IFERROR(INDEX([1]物品基础表!$A:$A,MATCH(N10,[1]物品基础表!$B:$B,0)),"")</f>
        <v>中级秘籍宝箱</v>
      </c>
      <c r="P10" s="32">
        <v>1</v>
      </c>
      <c r="Q10" s="32">
        <v>200005</v>
      </c>
      <c r="R10" s="1" t="str">
        <f>IFERROR(INDEX([1]物品基础表!$A:$A,MATCH(Q10,[1]物品基础表!$B:$B,0)),"")</f>
        <v>龙魂碎片</v>
      </c>
      <c r="S10" s="32">
        <v>10</v>
      </c>
      <c r="T10" s="32">
        <v>200004</v>
      </c>
      <c r="U10" s="1" t="str">
        <f>IFERROR(INDEX([1]物品基础表!$A:$A,MATCH(T10,[1]物品基础表!$B:$B,0)),"")</f>
        <v>经脉丹</v>
      </c>
      <c r="V10" s="32">
        <v>10</v>
      </c>
      <c r="W10" s="32">
        <v>200166</v>
      </c>
      <c r="X10" s="1" t="str">
        <f>IFERROR(INDEX([1]物品基础表!$A:$A,MATCH(W10,[1]物品基础表!$B:$B,0)),"")</f>
        <v>寻宝卷</v>
      </c>
      <c r="Y10" s="32">
        <v>5</v>
      </c>
    </row>
    <row r="11" spans="1:25">
      <c r="A11" s="32" t="str">
        <f>INDEX([2]活动总表!$A$8:$A$429,MATCH(B11,[2]活动总表!$B$8:$B$429,0))</f>
        <v>开服活动-次周累充返利</v>
      </c>
      <c r="B11" s="32">
        <v>101</v>
      </c>
      <c r="C11" s="32">
        <v>6</v>
      </c>
      <c r="D11" s="32">
        <v>3</v>
      </c>
      <c r="E11" s="32">
        <v>6</v>
      </c>
      <c r="F11" s="32">
        <v>5000</v>
      </c>
      <c r="H11" s="32">
        <v>201006</v>
      </c>
      <c r="I11" s="1" t="str">
        <f>IFERROR(INDEX([1]物品基础表!$A:$A,MATCH(H11,[1]物品基础表!$B:$B,0)),"")</f>
        <v>橙色图鉴包·美女如云</v>
      </c>
      <c r="J11" s="32">
        <v>1</v>
      </c>
      <c r="K11" s="32">
        <v>601601</v>
      </c>
      <c r="L11" s="1" t="str">
        <f>IFERROR(INDEX([1]物品基础表!$A:$A,MATCH(K11,[1]物品基础表!$B:$B,0)),"")</f>
        <v>神羽宝箱</v>
      </c>
      <c r="M11" s="32">
        <v>1</v>
      </c>
      <c r="N11" s="32">
        <v>220010</v>
      </c>
      <c r="O11" s="1" t="str">
        <f>IFERROR(INDEX([1]物品基础表!$A:$A,MATCH(N11,[1]物品基础表!$B:$B,0)),"")</f>
        <v>中级秘籍宝箱</v>
      </c>
      <c r="P11" s="32">
        <v>1</v>
      </c>
      <c r="Q11" s="32">
        <v>200005</v>
      </c>
      <c r="R11" s="1" t="str">
        <f>IFERROR(INDEX([1]物品基础表!$A:$A,MATCH(Q11,[1]物品基础表!$B:$B,0)),"")</f>
        <v>龙魂碎片</v>
      </c>
      <c r="S11" s="32">
        <v>10</v>
      </c>
      <c r="T11" s="32">
        <v>200004</v>
      </c>
      <c r="U11" s="1" t="str">
        <f>IFERROR(INDEX([1]物品基础表!$A:$A,MATCH(T11,[1]物品基础表!$B:$B,0)),"")</f>
        <v>经脉丹</v>
      </c>
      <c r="V11" s="32">
        <v>10</v>
      </c>
      <c r="W11" s="32">
        <v>200166</v>
      </c>
      <c r="X11" s="1" t="str">
        <f>IFERROR(INDEX([1]物品基础表!$A:$A,MATCH(W11,[1]物品基础表!$B:$B,0)),"")</f>
        <v>寻宝卷</v>
      </c>
      <c r="Y11" s="32">
        <v>5</v>
      </c>
    </row>
    <row r="12" spans="1:25">
      <c r="A12" s="32" t="str">
        <f>INDEX([2]活动总表!$A$8:$A$429,MATCH(B12,[2]活动总表!$B$8:$B$429,0))</f>
        <v>开服活动-次周累充返利</v>
      </c>
      <c r="B12" s="32">
        <v>101</v>
      </c>
      <c r="C12" s="32">
        <v>7</v>
      </c>
      <c r="D12" s="32">
        <v>3</v>
      </c>
      <c r="E12" s="32">
        <v>7</v>
      </c>
      <c r="F12" s="32">
        <v>5000</v>
      </c>
      <c r="H12" s="32">
        <v>201006</v>
      </c>
      <c r="I12" s="1" t="str">
        <f>IFERROR(INDEX([1]物品基础表!$A:$A,MATCH(H12,[1]物品基础表!$B:$B,0)),"")</f>
        <v>橙色图鉴包·美女如云</v>
      </c>
      <c r="J12" s="32">
        <v>1</v>
      </c>
      <c r="K12" s="32">
        <v>601601</v>
      </c>
      <c r="L12" s="1" t="str">
        <f>IFERROR(INDEX([1]物品基础表!$A:$A,MATCH(K12,[1]物品基础表!$B:$B,0)),"")</f>
        <v>神羽宝箱</v>
      </c>
      <c r="M12" s="32">
        <v>1</v>
      </c>
      <c r="N12" s="32">
        <v>220010</v>
      </c>
      <c r="O12" s="1" t="str">
        <f>IFERROR(INDEX([1]物品基础表!$A:$A,MATCH(N12,[1]物品基础表!$B:$B,0)),"")</f>
        <v>中级秘籍宝箱</v>
      </c>
      <c r="P12" s="32">
        <v>1</v>
      </c>
      <c r="Q12" s="32">
        <v>200005</v>
      </c>
      <c r="R12" s="1" t="str">
        <f>IFERROR(INDEX([1]物品基础表!$A:$A,MATCH(Q12,[1]物品基础表!$B:$B,0)),"")</f>
        <v>龙魂碎片</v>
      </c>
      <c r="S12" s="32">
        <v>10</v>
      </c>
      <c r="T12" s="32">
        <v>200004</v>
      </c>
      <c r="U12" s="1" t="str">
        <f>IFERROR(INDEX([1]物品基础表!$A:$A,MATCH(T12,[1]物品基础表!$B:$B,0)),"")</f>
        <v>经脉丹</v>
      </c>
      <c r="V12" s="32">
        <v>10</v>
      </c>
      <c r="W12" s="32">
        <v>200166</v>
      </c>
      <c r="X12" s="1" t="str">
        <f>IFERROR(INDEX([1]物品基础表!$A:$A,MATCH(W12,[1]物品基础表!$B:$B,0)),"")</f>
        <v>寻宝卷</v>
      </c>
      <c r="Y12" s="32">
        <v>5</v>
      </c>
    </row>
    <row r="13" spans="1:25">
      <c r="A13" s="32" t="str">
        <f>INDEX([2]活动总表!$A$8:$A$429,MATCH(B13,[2]活动总表!$B$8:$B$429,0))</f>
        <v>开服活动-次周累充返利</v>
      </c>
      <c r="B13" s="32">
        <v>101</v>
      </c>
      <c r="C13" s="32">
        <v>8</v>
      </c>
      <c r="D13" s="32">
        <v>2</v>
      </c>
      <c r="E13" s="32">
        <v>7</v>
      </c>
      <c r="F13" s="32">
        <v>188888</v>
      </c>
      <c r="H13" s="32">
        <v>601602</v>
      </c>
      <c r="I13" s="1" t="str">
        <f>IFERROR(INDEX([1]物品基础表!$A:$A,MATCH(H13,[1]物品基础表!$B:$B,0)),"")</f>
        <v>炫彩神羽礼包</v>
      </c>
      <c r="J13" s="32">
        <v>1</v>
      </c>
      <c r="K13" s="32">
        <v>220011</v>
      </c>
      <c r="L13" s="1" t="str">
        <f>IFERROR(INDEX([1]物品基础表!$A:$A,MATCH(K13,[1]物品基础表!$B:$B,0)),"")</f>
        <v>高级秘籍宝箱</v>
      </c>
      <c r="M13" s="32">
        <v>2</v>
      </c>
      <c r="N13" s="32">
        <v>200003</v>
      </c>
      <c r="O13" s="1" t="str">
        <f>IFERROR(INDEX([1]物品基础表!$A:$A,MATCH(N13,[1]物品基础表!$B:$B,0)),"")</f>
        <v>铸造晶石</v>
      </c>
      <c r="P13" s="32">
        <v>100</v>
      </c>
      <c r="Q13" s="32">
        <v>200005</v>
      </c>
      <c r="R13" s="1" t="str">
        <f>IFERROR(INDEX([1]物品基础表!$A:$A,MATCH(Q13,[1]物品基础表!$B:$B,0)),"")</f>
        <v>龙魂碎片</v>
      </c>
      <c r="S13" s="32">
        <v>100</v>
      </c>
      <c r="T13" s="32">
        <v>200004</v>
      </c>
      <c r="U13" s="1" t="str">
        <f>IFERROR(INDEX([1]物品基础表!$A:$A,MATCH(T13,[1]物品基础表!$B:$B,0)),"")</f>
        <v>经脉丹</v>
      </c>
      <c r="V13" s="32">
        <v>100</v>
      </c>
      <c r="X13" s="1" t="str">
        <f>IFERROR(INDEX([1]物品基础表!$A:$A,MATCH(W13,[1]物品基础表!$B:$B,0)),"")</f>
        <v/>
      </c>
    </row>
    <row r="14" spans="1:25">
      <c r="A14" s="32" t="str">
        <f>INDEX([2]活动总表!$A$8:$A$429,MATCH(B14,[2]活动总表!$B$8:$B$429,0))</f>
        <v>累计充值</v>
      </c>
      <c r="B14" s="32">
        <v>117</v>
      </c>
      <c r="C14" s="32">
        <v>1</v>
      </c>
      <c r="D14" s="32">
        <v>2</v>
      </c>
      <c r="E14" s="32">
        <v>3</v>
      </c>
      <c r="F14" s="32">
        <v>3000</v>
      </c>
      <c r="H14" s="32">
        <v>200300</v>
      </c>
      <c r="I14" s="1" t="str">
        <f>IFERROR(INDEX([1]物品基础表!$A:$A,MATCH(H14,[1]物品基础表!$B:$B,0)),"")</f>
        <v>传世寻宝卷</v>
      </c>
      <c r="J14" s="32">
        <v>10</v>
      </c>
      <c r="K14" s="32">
        <v>200004</v>
      </c>
      <c r="L14" s="1" t="str">
        <f>IFERROR(INDEX([1]物品基础表!$A:$A,MATCH(K14,[1]物品基础表!$B:$B,0)),"")</f>
        <v>经脉丹</v>
      </c>
      <c r="M14" s="32">
        <v>20</v>
      </c>
      <c r="N14" s="32">
        <v>1</v>
      </c>
      <c r="O14" s="1" t="s">
        <v>695</v>
      </c>
      <c r="P14" s="32">
        <v>200000</v>
      </c>
      <c r="R14" s="1" t="str">
        <f>IFERROR(INDEX([1]物品基础表!$A:$A,MATCH(Q14,[1]物品基础表!$B:$B,0)),"")</f>
        <v/>
      </c>
      <c r="U14" s="1" t="str">
        <f>IFERROR(INDEX([1]物品基础表!$A:$A,MATCH(T14,[1]物品基础表!$B:$B,0)),"")</f>
        <v/>
      </c>
      <c r="X14" s="1" t="str">
        <f>IFERROR(INDEX([1]物品基础表!$A:$A,MATCH(W14,[1]物品基础表!$B:$B,0)),"")</f>
        <v/>
      </c>
    </row>
    <row r="15" spans="1:25">
      <c r="A15" s="32" t="str">
        <f>INDEX([2]活动总表!$A$8:$A$429,MATCH(B15,[2]活动总表!$B$8:$B$429,0))</f>
        <v>累计充值</v>
      </c>
      <c r="B15" s="32">
        <v>117</v>
      </c>
      <c r="C15" s="32">
        <v>2</v>
      </c>
      <c r="D15" s="32">
        <v>2</v>
      </c>
      <c r="E15" s="32">
        <v>3</v>
      </c>
      <c r="F15" s="32">
        <v>8000</v>
      </c>
      <c r="H15" s="32">
        <v>200301</v>
      </c>
      <c r="I15" s="1" t="str">
        <f>IFERROR(INDEX([1]物品基础表!$A:$A,MATCH(H15,[1]物品基础表!$B:$B,0)),"")</f>
        <v>传世宝钻</v>
      </c>
      <c r="J15" s="32">
        <v>140</v>
      </c>
      <c r="K15" s="32">
        <v>200004</v>
      </c>
      <c r="L15" s="1" t="str">
        <f>IFERROR(INDEX([1]物品基础表!$A:$A,MATCH(K15,[1]物品基础表!$B:$B,0)),"")</f>
        <v>经脉丹</v>
      </c>
      <c r="M15" s="32">
        <v>20</v>
      </c>
      <c r="N15" s="32">
        <v>1</v>
      </c>
      <c r="O15" s="1" t="s">
        <v>695</v>
      </c>
      <c r="P15" s="32">
        <v>200000</v>
      </c>
      <c r="R15" s="1" t="str">
        <f>IFERROR(INDEX([1]物品基础表!$A:$A,MATCH(Q15,[1]物品基础表!$B:$B,0)),"")</f>
        <v/>
      </c>
      <c r="U15" s="1" t="str">
        <f>IFERROR(INDEX([1]物品基础表!$A:$A,MATCH(T15,[1]物品基础表!$B:$B,0)),"")</f>
        <v/>
      </c>
      <c r="X15" s="1" t="str">
        <f>IFERROR(INDEX([1]物品基础表!$A:$A,MATCH(W15,[1]物品基础表!$B:$B,0)),"")</f>
        <v/>
      </c>
    </row>
    <row r="16" spans="1:25">
      <c r="A16" s="32" t="str">
        <f>INDEX([2]活动总表!$A$8:$A$429,MATCH(B16,[2]活动总表!$B$8:$B$429,0))</f>
        <v>累计充值</v>
      </c>
      <c r="B16" s="32">
        <v>117</v>
      </c>
      <c r="C16" s="32">
        <v>3</v>
      </c>
      <c r="D16" s="32">
        <v>2</v>
      </c>
      <c r="E16" s="32">
        <v>3</v>
      </c>
      <c r="F16" s="32">
        <v>20000</v>
      </c>
      <c r="H16" s="32">
        <v>200997</v>
      </c>
      <c r="I16" s="1" t="str">
        <f>IFERROR(INDEX([1]物品基础表!$A:$A,MATCH(H16,[1]物品基础表!$B:$B,0)),"")</f>
        <v>星☆传世宝箱</v>
      </c>
      <c r="J16" s="32">
        <v>1</v>
      </c>
      <c r="K16" s="32">
        <v>200004</v>
      </c>
      <c r="L16" s="1" t="str">
        <f>IFERROR(INDEX([1]物品基础表!$A:$A,MATCH(K16,[1]物品基础表!$B:$B,0)),"")</f>
        <v>经脉丹</v>
      </c>
      <c r="M16" s="32">
        <v>50</v>
      </c>
      <c r="N16" s="32">
        <v>1</v>
      </c>
      <c r="O16" s="1" t="s">
        <v>695</v>
      </c>
      <c r="P16" s="32">
        <v>500000</v>
      </c>
      <c r="R16" s="1" t="str">
        <f>IFERROR(INDEX([1]物品基础表!$A:$A,MATCH(Q16,[1]物品基础表!$B:$B,0)),"")</f>
        <v/>
      </c>
      <c r="U16" s="1" t="str">
        <f>IFERROR(INDEX([1]物品基础表!$A:$A,MATCH(T16,[1]物品基础表!$B:$B,0)),"")</f>
        <v/>
      </c>
      <c r="X16" s="1" t="str">
        <f>IFERROR(INDEX([1]物品基础表!$A:$A,MATCH(W16,[1]物品基础表!$B:$B,0)),"")</f>
        <v/>
      </c>
    </row>
    <row r="17" spans="1:24">
      <c r="A17" s="32" t="str">
        <f>INDEX([2]活动总表!$A$8:$A$429,MATCH(B17,[2]活动总表!$B$8:$B$429,0))</f>
        <v>双11活动-充值返利</v>
      </c>
      <c r="B17" s="32">
        <v>156</v>
      </c>
      <c r="C17" s="32">
        <v>1</v>
      </c>
      <c r="D17" s="32">
        <v>1</v>
      </c>
      <c r="E17" s="32">
        <v>1</v>
      </c>
      <c r="F17" s="32">
        <v>2000</v>
      </c>
      <c r="H17" s="32">
        <v>2</v>
      </c>
      <c r="I17" s="1" t="str">
        <f>IF(H17=2,"元宝","神兵经验")</f>
        <v>元宝</v>
      </c>
      <c r="J17" s="32">
        <v>2000</v>
      </c>
      <c r="L17" s="1" t="str">
        <f>IFERROR(INDEX([1]物品基础表!$A:$A,MATCH(K17,[1]物品基础表!$B:$B,0)),"")</f>
        <v/>
      </c>
      <c r="O17" s="1" t="str">
        <f>IFERROR(INDEX([1]物品基础表!$A:$A,MATCH(N17,[1]物品基础表!$B:$B,0)),"")</f>
        <v/>
      </c>
      <c r="R17" s="1" t="str">
        <f>IFERROR(INDEX([1]物品基础表!$A:$A,MATCH(Q17,[1]物品基础表!$B:$B,0)),"")</f>
        <v/>
      </c>
      <c r="U17" s="1" t="str">
        <f>IFERROR(INDEX([1]物品基础表!$A:$A,MATCH(T17,[1]物品基础表!$B:$B,0)),"")</f>
        <v/>
      </c>
      <c r="X17" s="1" t="str">
        <f>IFERROR(INDEX([1]物品基础表!$A:$A,MATCH(W17,[1]物品基础表!$B:$B,0)),"")</f>
        <v/>
      </c>
    </row>
    <row r="18" spans="1:24">
      <c r="A18" s="32" t="str">
        <f>INDEX([2]活动总表!$A$8:$A$429,MATCH(B18,[2]活动总表!$B$8:$B$429,0))</f>
        <v>双11活动-充值返利</v>
      </c>
      <c r="B18" s="32">
        <v>156</v>
      </c>
      <c r="C18" s="32">
        <v>2</v>
      </c>
      <c r="D18" s="32">
        <v>1</v>
      </c>
      <c r="E18" s="32">
        <v>1</v>
      </c>
      <c r="F18" s="32">
        <v>10000</v>
      </c>
      <c r="H18" s="32">
        <v>2</v>
      </c>
      <c r="I18" s="1" t="str">
        <f>IF(H18=2,"元宝","神兵经验")</f>
        <v>元宝</v>
      </c>
      <c r="J18" s="32">
        <v>10000</v>
      </c>
      <c r="L18" s="1" t="str">
        <f>IFERROR(INDEX([1]物品基础表!$A:$A,MATCH(K18,[1]物品基础表!$B:$B,0)),"")</f>
        <v/>
      </c>
      <c r="O18" s="1" t="str">
        <f>IFERROR(INDEX([1]物品基础表!$A:$A,MATCH(N18,[1]物品基础表!$B:$B,0)),"")</f>
        <v/>
      </c>
      <c r="R18" s="1" t="str">
        <f>IFERROR(INDEX([1]物品基础表!$A:$A,MATCH(Q18,[1]物品基础表!$B:$B,0)),"")</f>
        <v/>
      </c>
      <c r="U18" s="1" t="str">
        <f>IFERROR(INDEX([1]物品基础表!$A:$A,MATCH(T18,[1]物品基础表!$B:$B,0)),"")</f>
        <v/>
      </c>
      <c r="X18" s="1" t="str">
        <f>IFERROR(INDEX([1]物品基础表!$A:$A,MATCH(W18,[1]物品基础表!$B:$B,0)),"")</f>
        <v/>
      </c>
    </row>
    <row r="19" spans="1:24">
      <c r="A19" s="32" t="str">
        <f>INDEX([2]活动总表!$A$8:$A$429,MATCH(B19,[2]活动总表!$B$8:$B$429,0))</f>
        <v>感恩节累充</v>
      </c>
      <c r="B19" s="32">
        <v>212</v>
      </c>
      <c r="C19" s="32">
        <v>1</v>
      </c>
      <c r="D19" s="32">
        <v>3</v>
      </c>
      <c r="E19" s="32">
        <v>1</v>
      </c>
      <c r="F19" s="32">
        <v>2000</v>
      </c>
      <c r="H19" s="32">
        <v>202001</v>
      </c>
      <c r="I19" s="1" t="str">
        <f>IFERROR(INDEX([1]物品基础表!$A:$A,MATCH(H19,[1]物品基础表!$B:$B,0)),"")</f>
        <v>烈焰戒指技能1书</v>
      </c>
      <c r="J19" s="32">
        <v>2</v>
      </c>
      <c r="K19" s="32">
        <v>200009</v>
      </c>
      <c r="L19" s="1" t="str">
        <f>IFERROR(INDEX([1]物品基础表!$A:$A,MATCH(K19,[1]物品基础表!$B:$B,0)),"")</f>
        <v>高级转生丹</v>
      </c>
      <c r="M19" s="32">
        <v>3</v>
      </c>
      <c r="N19" s="32">
        <v>200005</v>
      </c>
      <c r="O19" s="1" t="str">
        <f>IFERROR(INDEX([1]物品基础表!$A:$A,MATCH(N19,[1]物品基础表!$B:$B,0)),"")</f>
        <v>龙魂碎片</v>
      </c>
      <c r="P19" s="32">
        <v>10</v>
      </c>
      <c r="Q19" s="32">
        <v>200004</v>
      </c>
      <c r="R19" s="1" t="str">
        <f>IFERROR(INDEX([1]物品基础表!$A:$A,MATCH(Q19,[1]物品基础表!$B:$B,0)),"")</f>
        <v>经脉丹</v>
      </c>
      <c r="S19" s="32">
        <v>10</v>
      </c>
      <c r="U19" s="1" t="str">
        <f>IFERROR(INDEX([1]物品基础表!$A:$A,MATCH(T19,[1]物品基础表!$B:$B,0)),"")</f>
        <v/>
      </c>
      <c r="X19" s="1" t="str">
        <f>IFERROR(INDEX([1]物品基础表!$A:$A,MATCH(W19,[1]物品基础表!$B:$B,0)),"")</f>
        <v/>
      </c>
    </row>
    <row r="20" spans="1:24">
      <c r="A20" s="32" t="str">
        <f>INDEX([2]活动总表!$A$8:$A$429,MATCH(B20,[2]活动总表!$B$8:$B$429,0))</f>
        <v>感恩节累充</v>
      </c>
      <c r="B20" s="32">
        <v>212</v>
      </c>
      <c r="C20" s="32">
        <v>2</v>
      </c>
      <c r="D20" s="32">
        <v>3</v>
      </c>
      <c r="E20" s="32">
        <v>2</v>
      </c>
      <c r="F20" s="32">
        <v>2000</v>
      </c>
      <c r="H20" s="32">
        <v>202001</v>
      </c>
      <c r="I20" s="1" t="str">
        <f>IFERROR(INDEX([1]物品基础表!$A:$A,MATCH(H20,[1]物品基础表!$B:$B,0)),"")</f>
        <v>烈焰戒指技能1书</v>
      </c>
      <c r="J20" s="32">
        <v>2</v>
      </c>
      <c r="K20" s="32">
        <v>200009</v>
      </c>
      <c r="L20" s="1" t="str">
        <f>IFERROR(INDEX([1]物品基础表!$A:$A,MATCH(K20,[1]物品基础表!$B:$B,0)),"")</f>
        <v>高级转生丹</v>
      </c>
      <c r="M20" s="32">
        <v>3</v>
      </c>
      <c r="N20" s="32">
        <v>200005</v>
      </c>
      <c r="O20" s="1" t="str">
        <f>IFERROR(INDEX([1]物品基础表!$A:$A,MATCH(N20,[1]物品基础表!$B:$B,0)),"")</f>
        <v>龙魂碎片</v>
      </c>
      <c r="P20" s="32">
        <v>10</v>
      </c>
      <c r="Q20" s="32">
        <v>200004</v>
      </c>
      <c r="R20" s="1" t="str">
        <f>IFERROR(INDEX([1]物品基础表!$A:$A,MATCH(Q20,[1]物品基础表!$B:$B,0)),"")</f>
        <v>经脉丹</v>
      </c>
      <c r="S20" s="32">
        <v>10</v>
      </c>
      <c r="U20" s="1" t="str">
        <f>IFERROR(INDEX([1]物品基础表!$A:$A,MATCH(T20,[1]物品基础表!$B:$B,0)),"")</f>
        <v/>
      </c>
      <c r="X20" s="1" t="str">
        <f>IFERROR(INDEX([1]物品基础表!$A:$A,MATCH(W20,[1]物品基础表!$B:$B,0)),"")</f>
        <v/>
      </c>
    </row>
    <row r="21" spans="1:24">
      <c r="A21" s="32" t="str">
        <f>INDEX([2]活动总表!$A$8:$A$429,MATCH(B21,[2]活动总表!$B$8:$B$429,0))</f>
        <v>感恩节累充</v>
      </c>
      <c r="B21" s="32">
        <v>212</v>
      </c>
      <c r="C21" s="32">
        <v>3</v>
      </c>
      <c r="D21" s="32">
        <v>3</v>
      </c>
      <c r="E21" s="32">
        <v>3</v>
      </c>
      <c r="F21" s="32">
        <v>2000</v>
      </c>
      <c r="H21" s="32">
        <v>202001</v>
      </c>
      <c r="I21" s="1" t="str">
        <f>IFERROR(INDEX([1]物品基础表!$A:$A,MATCH(H21,[1]物品基础表!$B:$B,0)),"")</f>
        <v>烈焰戒指技能1书</v>
      </c>
      <c r="J21" s="32">
        <v>2</v>
      </c>
      <c r="K21" s="32">
        <v>200009</v>
      </c>
      <c r="L21" s="1" t="str">
        <f>IFERROR(INDEX([1]物品基础表!$A:$A,MATCH(K21,[1]物品基础表!$B:$B,0)),"")</f>
        <v>高级转生丹</v>
      </c>
      <c r="M21" s="32">
        <v>3</v>
      </c>
      <c r="N21" s="32">
        <v>200005</v>
      </c>
      <c r="O21" s="1" t="str">
        <f>IFERROR(INDEX([1]物品基础表!$A:$A,MATCH(N21,[1]物品基础表!$B:$B,0)),"")</f>
        <v>龙魂碎片</v>
      </c>
      <c r="P21" s="32">
        <v>10</v>
      </c>
      <c r="Q21" s="32">
        <v>200004</v>
      </c>
      <c r="R21" s="1" t="str">
        <f>IFERROR(INDEX([1]物品基础表!$A:$A,MATCH(Q21,[1]物品基础表!$B:$B,0)),"")</f>
        <v>经脉丹</v>
      </c>
      <c r="S21" s="32">
        <v>10</v>
      </c>
      <c r="U21" s="1" t="str">
        <f>IFERROR(INDEX([1]物品基础表!$A:$A,MATCH(T21,[1]物品基础表!$B:$B,0)),"")</f>
        <v/>
      </c>
      <c r="X21" s="1" t="str">
        <f>IFERROR(INDEX([1]物品基础表!$A:$A,MATCH(W21,[1]物品基础表!$B:$B,0)),"")</f>
        <v/>
      </c>
    </row>
    <row r="22" spans="1:24">
      <c r="A22" s="32" t="str">
        <f>INDEX([2]活动总表!$A$8:$A$429,MATCH(B22,[2]活动总表!$B$8:$B$429,0))</f>
        <v>感恩节累充</v>
      </c>
      <c r="B22" s="32">
        <v>212</v>
      </c>
      <c r="C22" s="32">
        <v>4</v>
      </c>
      <c r="D22" s="32">
        <v>2</v>
      </c>
      <c r="E22" s="32">
        <v>3</v>
      </c>
      <c r="F22" s="32">
        <v>80000</v>
      </c>
      <c r="H22" s="32">
        <v>202004</v>
      </c>
      <c r="I22" s="1" t="str">
        <f>IFERROR(INDEX([1]物品基础表!$A:$A,MATCH(H22,[1]物品基础表!$B:$B,0)),"")</f>
        <v>烈焰戒指技能4书</v>
      </c>
      <c r="J22" s="32">
        <v>1</v>
      </c>
      <c r="K22" s="32">
        <v>200996</v>
      </c>
      <c r="L22" s="1" t="str">
        <f>IFERROR(INDEX([1]物品基础表!$A:$A,MATCH(K22,[1]物品基础表!$B:$B,0)),"")</f>
        <v>魅惑兵魂一套</v>
      </c>
      <c r="M22" s="32">
        <v>1</v>
      </c>
      <c r="N22" s="32">
        <v>220011</v>
      </c>
      <c r="O22" s="1" t="str">
        <f>IFERROR(INDEX([1]物品基础表!$A:$A,MATCH(N22,[1]物品基础表!$B:$B,0)),"")</f>
        <v>高级秘籍宝箱</v>
      </c>
      <c r="P22" s="32">
        <v>1</v>
      </c>
      <c r="Q22" s="32">
        <v>200004</v>
      </c>
      <c r="R22" s="1" t="str">
        <f>IFERROR(INDEX([1]物品基础表!$A:$A,MATCH(Q22,[1]物品基础表!$B:$B,0)),"")</f>
        <v>经脉丹</v>
      </c>
      <c r="S22" s="32">
        <v>50</v>
      </c>
      <c r="U22" s="1" t="str">
        <f>IFERROR(INDEX([1]物品基础表!$A:$A,MATCH(T22,[1]物品基础表!$B:$B,0)),"")</f>
        <v/>
      </c>
      <c r="X22" s="1" t="str">
        <f>IFERROR(INDEX([1]物品基础表!$A:$A,MATCH(W22,[1]物品基础表!$B:$B,0)),"")</f>
        <v/>
      </c>
    </row>
    <row r="23" spans="1:24">
      <c r="A23" s="32" t="str">
        <f>INDEX([2]活动总表!$A$8:$A$429,MATCH(B23,[2]活动总表!$B$8:$B$429,0))</f>
        <v>双12活动-累充第1档</v>
      </c>
      <c r="B23" s="32">
        <v>225</v>
      </c>
      <c r="C23" s="32">
        <v>1</v>
      </c>
      <c r="D23" s="32">
        <v>2</v>
      </c>
      <c r="E23" s="32">
        <v>3</v>
      </c>
      <c r="F23" s="32">
        <v>5000</v>
      </c>
      <c r="H23" s="32">
        <v>299999</v>
      </c>
      <c r="I23" s="1" t="str">
        <f>IFERROR(INDEX([1]物品基础表!$A:$A,MATCH(H23,[1]物品基础表!$B:$B,0)),"")</f>
        <v>神兵幻境卷</v>
      </c>
      <c r="J23" s="32">
        <v>1</v>
      </c>
      <c r="K23" s="32">
        <v>200009</v>
      </c>
      <c r="L23" s="1" t="str">
        <f>IFERROR(INDEX([1]物品基础表!$A:$A,MATCH(K23,[1]物品基础表!$B:$B,0)),"")</f>
        <v>高级转生丹</v>
      </c>
      <c r="M23" s="32">
        <v>5</v>
      </c>
      <c r="N23" s="32">
        <v>202002</v>
      </c>
      <c r="O23" s="1" t="str">
        <f>IFERROR(INDEX([1]物品基础表!$A:$A,MATCH(N23,[1]物品基础表!$B:$B,0)),"")</f>
        <v>烈焰戒指技能2书</v>
      </c>
      <c r="P23" s="32">
        <v>1</v>
      </c>
      <c r="Q23" s="32">
        <v>200310</v>
      </c>
      <c r="R23" s="1" t="str">
        <f>IFERROR(INDEX([1]物品基础表!$A:$A,MATCH(Q23,[1]物品基础表!$B:$B,0)),"")</f>
        <v>双十二抽奖钥匙</v>
      </c>
      <c r="S23" s="32">
        <v>2</v>
      </c>
      <c r="U23" s="1" t="str">
        <f>IFERROR(INDEX([1]物品基础表!$A:$A,MATCH(T23,[1]物品基础表!$B:$B,0)),"")</f>
        <v/>
      </c>
      <c r="X23" s="1" t="str">
        <f>IFERROR(INDEX([1]物品基础表!$A:$A,MATCH(W23,[1]物品基础表!$B:$B,0)),"")</f>
        <v/>
      </c>
    </row>
    <row r="24" spans="1:24">
      <c r="A24" s="32" t="str">
        <f>INDEX([2]活动总表!$A$8:$A$429,MATCH(B24,[2]活动总表!$B$8:$B$429,0))</f>
        <v>双12活动-累充第2档</v>
      </c>
      <c r="B24" s="32">
        <v>226</v>
      </c>
      <c r="C24" s="32">
        <v>1</v>
      </c>
      <c r="D24" s="32">
        <v>2</v>
      </c>
      <c r="E24" s="32">
        <v>3</v>
      </c>
      <c r="F24" s="32">
        <v>20000</v>
      </c>
      <c r="H24" s="32">
        <v>220011</v>
      </c>
      <c r="I24" s="1" t="str">
        <f>IFERROR(INDEX([1]物品基础表!$A:$A,MATCH(H24,[1]物品基础表!$B:$B,0)),"")</f>
        <v>高级秘籍宝箱</v>
      </c>
      <c r="J24" s="32">
        <v>1</v>
      </c>
      <c r="K24" s="32">
        <v>200010</v>
      </c>
      <c r="L24" s="1" t="str">
        <f>IFERROR(INDEX([1]物品基础表!$A:$A,MATCH(K24,[1]物品基础表!$B:$B,0)),"")</f>
        <v>超级转生丹</v>
      </c>
      <c r="M24" s="32">
        <v>1</v>
      </c>
      <c r="N24" s="32">
        <v>202003</v>
      </c>
      <c r="O24" s="1" t="str">
        <f>IFERROR(INDEX([1]物品基础表!$A:$A,MATCH(N24,[1]物品基础表!$B:$B,0)),"")</f>
        <v>烈焰戒指技能3书</v>
      </c>
      <c r="P24" s="32">
        <v>1</v>
      </c>
      <c r="Q24" s="32">
        <v>500006</v>
      </c>
      <c r="R24" s="1" t="str">
        <f>IFERROR(INDEX([1]物品基础表!$A:$A,MATCH(Q24,[1]物品基础表!$B:$B,0)),"")</f>
        <v>战纹精华-金</v>
      </c>
      <c r="S24" s="32">
        <v>1</v>
      </c>
      <c r="U24" s="1" t="str">
        <f>IFERROR(INDEX([1]物品基础表!$A:$A,MATCH(T24,[1]物品基础表!$B:$B,0)),"")</f>
        <v/>
      </c>
      <c r="X24" s="1" t="str">
        <f>IFERROR(INDEX([1]物品基础表!$A:$A,MATCH(W24,[1]物品基础表!$B:$B,0)),"")</f>
        <v/>
      </c>
    </row>
    <row r="25" spans="1:24">
      <c r="A25" s="32" t="str">
        <f>INDEX([2]活动总表!$A$8:$A$429,MATCH(B25,[2]活动总表!$B$8:$B$429,0))</f>
        <v>双12活动-累充第3档</v>
      </c>
      <c r="B25" s="32">
        <v>227</v>
      </c>
      <c r="C25" s="32">
        <v>1</v>
      </c>
      <c r="D25" s="32">
        <v>2</v>
      </c>
      <c r="E25" s="32">
        <v>3</v>
      </c>
      <c r="F25" s="32">
        <v>100000</v>
      </c>
      <c r="H25" s="32">
        <v>200912</v>
      </c>
      <c r="I25" s="1" t="str">
        <f>IFERROR(INDEX([1]物品基础表!$A:$A,MATCH(H25,[1]物品基础表!$B:$B,0)),"")</f>
        <v>红色圣物宝箱</v>
      </c>
      <c r="J25" s="32">
        <v>1</v>
      </c>
      <c r="K25" s="32">
        <v>210110</v>
      </c>
      <c r="L25" s="1" t="str">
        <f>IFERROR(INDEX([1]物品基础表!$A:$A,MATCH(K25,[1]物品基础表!$B:$B,0)),"")</f>
        <v>高级神佑</v>
      </c>
      <c r="M25" s="32">
        <v>1</v>
      </c>
      <c r="N25" s="32">
        <v>202004</v>
      </c>
      <c r="O25" s="1" t="str">
        <f>IFERROR(INDEX([1]物品基础表!$A:$A,MATCH(N25,[1]物品基础表!$B:$B,0)),"")</f>
        <v>烈焰戒指技能4书</v>
      </c>
      <c r="P25" s="32">
        <v>1</v>
      </c>
      <c r="Q25" s="32">
        <v>500006</v>
      </c>
      <c r="R25" s="1" t="str">
        <f>IFERROR(INDEX([1]物品基础表!$A:$A,MATCH(Q25,[1]物品基础表!$B:$B,0)),"")</f>
        <v>战纹精华-金</v>
      </c>
      <c r="S25" s="32">
        <v>3</v>
      </c>
      <c r="U25" s="1" t="str">
        <f>IFERROR(INDEX([1]物品基础表!$A:$A,MATCH(T25,[1]物品基础表!$B:$B,0)),"")</f>
        <v/>
      </c>
      <c r="X25" s="1" t="str">
        <f>IFERROR(INDEX([1]物品基础表!$A:$A,MATCH(W25,[1]物品基础表!$B:$B,0)),"")</f>
        <v/>
      </c>
    </row>
    <row r="26" spans="1:24">
      <c r="A26" s="32" t="str">
        <f>INDEX([2]活动总表!$A$8:$A$429,MATCH(B26,[2]活动总表!$B$8:$B$429,0))</f>
        <v>合服累充162</v>
      </c>
      <c r="B26" s="32">
        <v>172</v>
      </c>
      <c r="C26" s="32">
        <v>1</v>
      </c>
      <c r="D26" s="32">
        <v>2</v>
      </c>
      <c r="E26" s="32">
        <v>7</v>
      </c>
      <c r="F26" s="32">
        <v>36800</v>
      </c>
      <c r="H26" s="32">
        <v>202003</v>
      </c>
      <c r="I26" s="1" t="str">
        <f>IFERROR(INDEX([1]物品基础表!$A:$A,MATCH(H26,[1]物品基础表!$B:$B,0)),"")</f>
        <v>烈焰戒指技能3书</v>
      </c>
      <c r="J26" s="32">
        <v>1</v>
      </c>
      <c r="K26" s="32">
        <v>200320</v>
      </c>
      <c r="L26" s="1" t="str">
        <f>IFERROR(INDEX([1]物品基础表!$A:$A,MATCH(K26,[1]物品基础表!$B:$B,0)),"")</f>
        <v>至尊令牌</v>
      </c>
      <c r="M26" s="32">
        <v>100</v>
      </c>
      <c r="N26" s="32">
        <v>500004</v>
      </c>
      <c r="O26" s="1" t="str">
        <f>IFERROR(INDEX([1]物品基础表!$A:$A,MATCH(N26,[1]物品基础表!$B:$B,0)),"")</f>
        <v>战纹精华-橙</v>
      </c>
      <c r="P26" s="32">
        <v>5</v>
      </c>
      <c r="Q26" s="32">
        <v>200005</v>
      </c>
      <c r="R26" s="1" t="str">
        <f>IFERROR(INDEX([1]物品基础表!$A:$A,MATCH(Q26,[1]物品基础表!$B:$B,0)),"")</f>
        <v>龙魂碎片</v>
      </c>
      <c r="S26" s="32">
        <v>25</v>
      </c>
      <c r="U26" s="1" t="str">
        <f>IFERROR(INDEX([1]物品基础表!$A:$A,MATCH(T26,[1]物品基础表!$B:$B,0)),"")</f>
        <v/>
      </c>
      <c r="X26" s="1" t="str">
        <f>IFERROR(INDEX([1]物品基础表!$A:$A,MATCH(W26,[1]物品基础表!$B:$B,0)),"")</f>
        <v/>
      </c>
    </row>
    <row r="27" spans="1:24">
      <c r="A27" s="32" t="str">
        <f>INDEX([2]活动总表!$A$8:$A$429,MATCH(B27,[2]活动总表!$B$8:$B$429,0))</f>
        <v>合服累充162</v>
      </c>
      <c r="B27" s="32">
        <v>172</v>
      </c>
      <c r="C27" s="32">
        <v>2</v>
      </c>
      <c r="D27" s="32">
        <v>2</v>
      </c>
      <c r="E27" s="32">
        <v>7</v>
      </c>
      <c r="F27" s="32">
        <v>88888</v>
      </c>
      <c r="H27" s="32">
        <v>200951</v>
      </c>
      <c r="I27" s="1" t="str">
        <f>IFERROR(INDEX([1]物品基础表!$A:$A,MATCH(H27,[1]物品基础表!$B:$B,0)),"")</f>
        <v>金色战纹任选宝箱</v>
      </c>
      <c r="J27" s="32">
        <v>1</v>
      </c>
      <c r="K27" s="32">
        <v>200320</v>
      </c>
      <c r="L27" s="1" t="str">
        <f>IFERROR(INDEX([1]物品基础表!$A:$A,MATCH(K27,[1]物品基础表!$B:$B,0)),"")</f>
        <v>至尊令牌</v>
      </c>
      <c r="M27" s="32">
        <v>160</v>
      </c>
      <c r="N27" s="32">
        <v>500004</v>
      </c>
      <c r="O27" s="1" t="str">
        <f>IFERROR(INDEX([1]物品基础表!$A:$A,MATCH(N27,[1]物品基础表!$B:$B,0)),"")</f>
        <v>战纹精华-橙</v>
      </c>
      <c r="P27" s="32">
        <v>6</v>
      </c>
      <c r="Q27" s="32">
        <v>200005</v>
      </c>
      <c r="R27" s="1" t="str">
        <f>IFERROR(INDEX([1]物品基础表!$A:$A,MATCH(Q27,[1]物品基础表!$B:$B,0)),"")</f>
        <v>龙魂碎片</v>
      </c>
      <c r="S27" s="32">
        <v>80</v>
      </c>
      <c r="U27" s="1" t="str">
        <f>IFERROR(INDEX([1]物品基础表!$A:$A,MATCH(T27,[1]物品基础表!$B:$B,0)),"")</f>
        <v/>
      </c>
      <c r="X27" s="1" t="str">
        <f>IFERROR(INDEX([1]物品基础表!$A:$A,MATCH(W27,[1]物品基础表!$B:$B,0)),"")</f>
        <v/>
      </c>
    </row>
    <row r="28" spans="1:24">
      <c r="A28" s="32" t="str">
        <f>INDEX([2]活动总表!$A$8:$A$429,MATCH(B28,[2]活动总表!$B$8:$B$429,0))</f>
        <v>合服累充162</v>
      </c>
      <c r="B28" s="32">
        <v>172</v>
      </c>
      <c r="C28" s="32">
        <v>3</v>
      </c>
      <c r="D28" s="32">
        <v>2</v>
      </c>
      <c r="E28" s="32">
        <v>7</v>
      </c>
      <c r="F28" s="32">
        <v>188888</v>
      </c>
      <c r="H28" s="32">
        <v>200326</v>
      </c>
      <c r="I28" s="1" t="str">
        <f>IFERROR(INDEX([1]物品基础表!$A:$A,MATCH(H28,[1]物品基础表!$B:$B,0)),"")</f>
        <v>兵魂之灵</v>
      </c>
      <c r="J28" s="32">
        <v>1</v>
      </c>
      <c r="K28" s="32">
        <v>200320</v>
      </c>
      <c r="L28" s="1" t="str">
        <f>IFERROR(INDEX([1]物品基础表!$A:$A,MATCH(K28,[1]物品基础表!$B:$B,0)),"")</f>
        <v>至尊令牌</v>
      </c>
      <c r="M28" s="32">
        <v>250</v>
      </c>
      <c r="N28" s="32">
        <v>500004</v>
      </c>
      <c r="O28" s="1" t="str">
        <f>IFERROR(INDEX([1]物品基础表!$A:$A,MATCH(N28,[1]物品基础表!$B:$B,0)),"")</f>
        <v>战纹精华-橙</v>
      </c>
      <c r="P28" s="32">
        <v>8</v>
      </c>
      <c r="Q28" s="32">
        <v>200005</v>
      </c>
      <c r="R28" s="1" t="str">
        <f>IFERROR(INDEX([1]物品基础表!$A:$A,MATCH(Q28,[1]物品基础表!$B:$B,0)),"")</f>
        <v>龙魂碎片</v>
      </c>
      <c r="S28" s="32">
        <v>120</v>
      </c>
      <c r="U28" s="1" t="str">
        <f>IFERROR(INDEX([1]物品基础表!$A:$A,MATCH(T28,[1]物品基础表!$B:$B,0)),"")</f>
        <v/>
      </c>
      <c r="X28" s="1" t="str">
        <f>IFERROR(INDEX([1]物品基础表!$A:$A,MATCH(W28,[1]物品基础表!$B:$B,0)),"")</f>
        <v/>
      </c>
    </row>
    <row r="29" spans="1:24">
      <c r="A29" s="32" t="str">
        <f>INDEX([2]活动总表!$A$8:$A$429,MATCH(B29,[2]活动总表!$B$8:$B$429,0))</f>
        <v>合服累充162</v>
      </c>
      <c r="B29" s="32">
        <v>172</v>
      </c>
      <c r="C29" s="32">
        <v>4</v>
      </c>
      <c r="D29" s="32">
        <v>2</v>
      </c>
      <c r="E29" s="32">
        <v>7</v>
      </c>
      <c r="F29" s="32">
        <v>348888</v>
      </c>
      <c r="H29" s="32">
        <v>200926</v>
      </c>
      <c r="I29" s="1" t="str">
        <f>IFERROR(INDEX([1]物品基础表!$A:$A,MATCH(H29,[1]物品基础表!$B:$B,0)),"")</f>
        <v>神兵大招1三选一</v>
      </c>
      <c r="J29" s="32">
        <v>1</v>
      </c>
      <c r="K29" s="32">
        <v>200320</v>
      </c>
      <c r="L29" s="1" t="str">
        <f>IFERROR(INDEX([1]物品基础表!$A:$A,MATCH(K29,[1]物品基础表!$B:$B,0)),"")</f>
        <v>至尊令牌</v>
      </c>
      <c r="M29" s="32">
        <v>400</v>
      </c>
      <c r="N29" s="32">
        <v>500004</v>
      </c>
      <c r="O29" s="1" t="str">
        <f>IFERROR(INDEX([1]物品基础表!$A:$A,MATCH(N29,[1]物品基础表!$B:$B,0)),"")</f>
        <v>战纹精华-橙</v>
      </c>
      <c r="P29" s="32">
        <v>10</v>
      </c>
      <c r="Q29" s="32">
        <v>200005</v>
      </c>
      <c r="R29" s="1" t="str">
        <f>IFERROR(INDEX([1]物品基础表!$A:$A,MATCH(Q29,[1]物品基础表!$B:$B,0)),"")</f>
        <v>龙魂碎片</v>
      </c>
      <c r="S29" s="32">
        <v>200</v>
      </c>
      <c r="U29" s="1" t="str">
        <f>IFERROR(INDEX([1]物品基础表!$A:$A,MATCH(T29,[1]物品基础表!$B:$B,0)),"")</f>
        <v/>
      </c>
      <c r="X29" s="1" t="str">
        <f>IFERROR(INDEX([1]物品基础表!$A:$A,MATCH(W29,[1]物品基础表!$B:$B,0)),"")</f>
        <v/>
      </c>
    </row>
    <row r="30" spans="1:24">
      <c r="A30" s="32" t="str">
        <f>INDEX([2]活动总表!$A$8:$A$429,MATCH(B30,[2]活动总表!$B$8:$B$429,0))</f>
        <v>合服累充162</v>
      </c>
      <c r="B30" s="32">
        <v>172</v>
      </c>
      <c r="C30" s="32">
        <v>5</v>
      </c>
      <c r="D30" s="32">
        <v>2</v>
      </c>
      <c r="E30" s="32">
        <v>7</v>
      </c>
      <c r="F30" s="32">
        <v>588888</v>
      </c>
      <c r="H30" s="32">
        <v>200927</v>
      </c>
      <c r="I30" s="1" t="str">
        <f>IFERROR(INDEX([1]物品基础表!$A:$A,MATCH(H30,[1]物品基础表!$B:$B,0)),"")</f>
        <v>神兵大招2三选一</v>
      </c>
      <c r="J30" s="32">
        <v>1</v>
      </c>
      <c r="K30" s="32">
        <v>200320</v>
      </c>
      <c r="L30" s="1" t="str">
        <f>IFERROR(INDEX([1]物品基础表!$A:$A,MATCH(K30,[1]物品基础表!$B:$B,0)),"")</f>
        <v>至尊令牌</v>
      </c>
      <c r="M30" s="32">
        <v>600</v>
      </c>
      <c r="N30" s="32">
        <v>500004</v>
      </c>
      <c r="O30" s="1" t="str">
        <f>IFERROR(INDEX([1]物品基础表!$A:$A,MATCH(N30,[1]物品基础表!$B:$B,0)),"")</f>
        <v>战纹精华-橙</v>
      </c>
      <c r="P30" s="32">
        <v>20</v>
      </c>
      <c r="Q30" s="32">
        <v>200005</v>
      </c>
      <c r="R30" s="1" t="str">
        <f>IFERROR(INDEX([1]物品基础表!$A:$A,MATCH(Q30,[1]物品基础表!$B:$B,0)),"")</f>
        <v>龙魂碎片</v>
      </c>
      <c r="S30" s="32">
        <v>300</v>
      </c>
      <c r="U30" s="1" t="str">
        <f>IFERROR(INDEX([1]物品基础表!$A:$A,MATCH(T30,[1]物品基础表!$B:$B,0)),"")</f>
        <v/>
      </c>
      <c r="X30" s="1" t="str">
        <f>IFERROR(INDEX([1]物品基础表!$A:$A,MATCH(W30,[1]物品基础表!$B:$B,0)),"")</f>
        <v/>
      </c>
    </row>
    <row r="31" spans="1:24">
      <c r="A31" s="32" t="str">
        <f>INDEX([2]活动总表!$A$8:$A$429,MATCH(B31,[2]活动总表!$B$8:$B$429,0))</f>
        <v>合服连充162-100元</v>
      </c>
      <c r="B31" s="32">
        <v>173</v>
      </c>
      <c r="C31" s="32">
        <v>1</v>
      </c>
      <c r="D31" s="32">
        <v>1</v>
      </c>
      <c r="E31" s="32">
        <v>1</v>
      </c>
      <c r="F31" s="32">
        <v>10000</v>
      </c>
      <c r="H31" s="32">
        <v>200320</v>
      </c>
      <c r="I31" s="1" t="str">
        <f>IFERROR(INDEX([1]物品基础表!$A:$A,MATCH(H31,[1]物品基础表!$B:$B,0)),"")</f>
        <v>至尊令牌</v>
      </c>
      <c r="J31" s="32">
        <v>80</v>
      </c>
      <c r="K31" s="32">
        <v>200005</v>
      </c>
      <c r="L31" s="1" t="str">
        <f>IFERROR(INDEX([1]物品基础表!$A:$A,MATCH(K31,[1]物品基础表!$B:$B,0)),"")</f>
        <v>龙魂碎片</v>
      </c>
      <c r="M31" s="32">
        <v>100</v>
      </c>
      <c r="N31" s="32">
        <v>200004</v>
      </c>
      <c r="O31" s="1" t="str">
        <f>IFERROR(INDEX([1]物品基础表!$A:$A,MATCH(N31,[1]物品基础表!$B:$B,0)),"")</f>
        <v>经脉丹</v>
      </c>
      <c r="P31" s="32">
        <v>10</v>
      </c>
      <c r="R31" s="1" t="str">
        <f>IFERROR(INDEX([1]物品基础表!$A:$A,MATCH(Q31,[1]物品基础表!$B:$B,0)),"")</f>
        <v/>
      </c>
      <c r="U31" s="1" t="str">
        <f>IFERROR(INDEX([1]物品基础表!$A:$A,MATCH(T31,[1]物品基础表!$B:$B,0)),"")</f>
        <v/>
      </c>
      <c r="X31" s="1" t="str">
        <f>IFERROR(INDEX([1]物品基础表!$A:$A,MATCH(W31,[1]物品基础表!$B:$B,0)),"")</f>
        <v/>
      </c>
    </row>
    <row r="32" spans="1:24">
      <c r="A32" s="32" t="str">
        <f>INDEX([2]活动总表!$A$8:$A$429,MATCH(B32,[2]活动总表!$B$8:$B$429,0))</f>
        <v>合服连充162-100元</v>
      </c>
      <c r="B32" s="32">
        <v>173</v>
      </c>
      <c r="C32" s="32">
        <v>2</v>
      </c>
      <c r="D32" s="32">
        <v>1</v>
      </c>
      <c r="E32" s="32">
        <v>2</v>
      </c>
      <c r="F32" s="32">
        <v>10000</v>
      </c>
      <c r="H32" s="32">
        <v>200320</v>
      </c>
      <c r="I32" s="1" t="str">
        <f>IFERROR(INDEX([1]物品基础表!$A:$A,MATCH(H32,[1]物品基础表!$B:$B,0)),"")</f>
        <v>至尊令牌</v>
      </c>
      <c r="J32" s="32">
        <v>80</v>
      </c>
      <c r="K32" s="32">
        <v>210106</v>
      </c>
      <c r="L32" s="1" t="str">
        <f>IFERROR(INDEX([1]物品基础表!$A:$A,MATCH(K32,[1]物品基础表!$B:$B,0)),"")</f>
        <v>高级必杀</v>
      </c>
      <c r="M32" s="32">
        <v>1</v>
      </c>
      <c r="N32" s="32">
        <v>200004</v>
      </c>
      <c r="O32" s="1" t="str">
        <f>IFERROR(INDEX([1]物品基础表!$A:$A,MATCH(N32,[1]物品基础表!$B:$B,0)),"")</f>
        <v>经脉丹</v>
      </c>
      <c r="P32" s="32">
        <v>10</v>
      </c>
      <c r="R32" s="1" t="str">
        <f>IFERROR(INDEX([1]物品基础表!$A:$A,MATCH(Q32,[1]物品基础表!$B:$B,0)),"")</f>
        <v/>
      </c>
      <c r="U32" s="1" t="str">
        <f>IFERROR(INDEX([1]物品基础表!$A:$A,MATCH(T32,[1]物品基础表!$B:$B,0)),"")</f>
        <v/>
      </c>
      <c r="X32" s="1" t="str">
        <f>IFERROR(INDEX([1]物品基础表!$A:$A,MATCH(W32,[1]物品基础表!$B:$B,0)),"")</f>
        <v/>
      </c>
    </row>
    <row r="33" spans="1:24">
      <c r="A33" s="32" t="str">
        <f>INDEX([2]活动总表!$A$8:$A$429,MATCH(B33,[2]活动总表!$B$8:$B$429,0))</f>
        <v>合服连充162-100元</v>
      </c>
      <c r="B33" s="32">
        <v>173</v>
      </c>
      <c r="C33" s="32">
        <v>3</v>
      </c>
      <c r="D33" s="32">
        <v>1</v>
      </c>
      <c r="E33" s="32">
        <v>3</v>
      </c>
      <c r="F33" s="32">
        <v>10000</v>
      </c>
      <c r="H33" s="32">
        <v>200320</v>
      </c>
      <c r="I33" s="1" t="str">
        <f>IFERROR(INDEX([1]物品基础表!$A:$A,MATCH(H33,[1]物品基础表!$B:$B,0)),"")</f>
        <v>至尊令牌</v>
      </c>
      <c r="J33" s="32">
        <v>80</v>
      </c>
      <c r="K33" s="32">
        <v>204068</v>
      </c>
      <c r="L33" s="1" t="str">
        <f>IFERROR(INDEX([1]物品基础表!$A:$A,MATCH(K33,[1]物品基础表!$B:$B,0)),"")</f>
        <v>玉佩升级道具3</v>
      </c>
      <c r="M33" s="32">
        <v>1</v>
      </c>
      <c r="N33" s="32">
        <v>200004</v>
      </c>
      <c r="O33" s="1" t="str">
        <f>IFERROR(INDEX([1]物品基础表!$A:$A,MATCH(N33,[1]物品基础表!$B:$B,0)),"")</f>
        <v>经脉丹</v>
      </c>
      <c r="P33" s="32">
        <v>15</v>
      </c>
      <c r="R33" s="1" t="str">
        <f>IFERROR(INDEX([1]物品基础表!$A:$A,MATCH(Q33,[1]物品基础表!$B:$B,0)),"")</f>
        <v/>
      </c>
      <c r="U33" s="1" t="str">
        <f>IFERROR(INDEX([1]物品基础表!$A:$A,MATCH(T33,[1]物品基础表!$B:$B,0)),"")</f>
        <v/>
      </c>
      <c r="X33" s="1" t="str">
        <f>IFERROR(INDEX([1]物品基础表!$A:$A,MATCH(W33,[1]物品基础表!$B:$B,0)),"")</f>
        <v/>
      </c>
    </row>
    <row r="34" spans="1:24">
      <c r="A34" s="32" t="str">
        <f>INDEX([2]活动总表!$A$8:$A$429,MATCH(B34,[2]活动总表!$B$8:$B$429,0))</f>
        <v>合服连充162-100元</v>
      </c>
      <c r="B34" s="32">
        <v>173</v>
      </c>
      <c r="C34" s="32">
        <v>4</v>
      </c>
      <c r="D34" s="32">
        <v>1</v>
      </c>
      <c r="E34" s="32">
        <v>4</v>
      </c>
      <c r="F34" s="32">
        <v>10000</v>
      </c>
      <c r="H34" s="32">
        <v>200320</v>
      </c>
      <c r="I34" s="1" t="str">
        <f>IFERROR(INDEX([1]物品基础表!$A:$A,MATCH(H34,[1]物品基础表!$B:$B,0)),"")</f>
        <v>至尊令牌</v>
      </c>
      <c r="J34" s="32">
        <v>80</v>
      </c>
      <c r="K34" s="32">
        <v>200997</v>
      </c>
      <c r="L34" s="1" t="str">
        <f>IFERROR(INDEX([1]物品基础表!$A:$A,MATCH(K34,[1]物品基础表!$B:$B,0)),"")</f>
        <v>星☆传世宝箱</v>
      </c>
      <c r="M34" s="32">
        <v>1</v>
      </c>
      <c r="N34" s="32">
        <v>200004</v>
      </c>
      <c r="O34" s="1" t="str">
        <f>IFERROR(INDEX([1]物品基础表!$A:$A,MATCH(N34,[1]物品基础表!$B:$B,0)),"")</f>
        <v>经脉丹</v>
      </c>
      <c r="P34" s="32">
        <v>15</v>
      </c>
      <c r="R34" s="1" t="str">
        <f>IFERROR(INDEX([1]物品基础表!$A:$A,MATCH(Q34,[1]物品基础表!$B:$B,0)),"")</f>
        <v/>
      </c>
      <c r="U34" s="1" t="str">
        <f>IFERROR(INDEX([1]物品基础表!$A:$A,MATCH(T34,[1]物品基础表!$B:$B,0)),"")</f>
        <v/>
      </c>
      <c r="X34" s="1" t="str">
        <f>IFERROR(INDEX([1]物品基础表!$A:$A,MATCH(W34,[1]物品基础表!$B:$B,0)),"")</f>
        <v/>
      </c>
    </row>
    <row r="35" spans="1:24">
      <c r="A35" s="32" t="str">
        <f>INDEX([2]活动总表!$A$8:$A$429,MATCH(B35,[2]活动总表!$B$8:$B$429,0))</f>
        <v>合服连充162-100元</v>
      </c>
      <c r="B35" s="32">
        <v>173</v>
      </c>
      <c r="C35" s="32">
        <v>5</v>
      </c>
      <c r="D35" s="32">
        <v>1</v>
      </c>
      <c r="E35" s="32">
        <v>5</v>
      </c>
      <c r="F35" s="32">
        <v>10000</v>
      </c>
      <c r="H35" s="32">
        <v>200320</v>
      </c>
      <c r="I35" s="1" t="str">
        <f>IFERROR(INDEX([1]物品基础表!$A:$A,MATCH(H35,[1]物品基础表!$B:$B,0)),"")</f>
        <v>至尊令牌</v>
      </c>
      <c r="J35" s="32">
        <v>80</v>
      </c>
      <c r="K35" s="32">
        <v>204068</v>
      </c>
      <c r="L35" s="1" t="str">
        <f>IFERROR(INDEX([1]物品基础表!$A:$A,MATCH(K35,[1]物品基础表!$B:$B,0)),"")</f>
        <v>玉佩升级道具3</v>
      </c>
      <c r="M35" s="32">
        <v>1</v>
      </c>
      <c r="N35" s="32">
        <v>200004</v>
      </c>
      <c r="O35" s="1" t="str">
        <f>IFERROR(INDEX([1]物品基础表!$A:$A,MATCH(N35,[1]物品基础表!$B:$B,0)),"")</f>
        <v>经脉丹</v>
      </c>
      <c r="P35" s="32">
        <v>20</v>
      </c>
      <c r="R35" s="1" t="str">
        <f>IFERROR(INDEX([1]物品基础表!$A:$A,MATCH(Q35,[1]物品基础表!$B:$B,0)),"")</f>
        <v/>
      </c>
      <c r="U35" s="1" t="str">
        <f>IFERROR(INDEX([1]物品基础表!$A:$A,MATCH(T35,[1]物品基础表!$B:$B,0)),"")</f>
        <v/>
      </c>
      <c r="X35" s="1" t="str">
        <f>IFERROR(INDEX([1]物品基础表!$A:$A,MATCH(W35,[1]物品基础表!$B:$B,0)),"")</f>
        <v/>
      </c>
    </row>
    <row r="36" spans="1:24">
      <c r="A36" s="32" t="str">
        <f>INDEX([2]活动总表!$A$8:$A$429,MATCH(B36,[2]活动总表!$B$8:$B$429,0))</f>
        <v>合服连充162-100元</v>
      </c>
      <c r="B36" s="32">
        <v>173</v>
      </c>
      <c r="C36" s="32">
        <v>6</v>
      </c>
      <c r="D36" s="32">
        <v>1</v>
      </c>
      <c r="E36" s="32">
        <v>6</v>
      </c>
      <c r="F36" s="32">
        <v>10000</v>
      </c>
      <c r="H36" s="32">
        <v>200320</v>
      </c>
      <c r="I36" s="1" t="str">
        <f>IFERROR(INDEX([1]物品基础表!$A:$A,MATCH(H36,[1]物品基础表!$B:$B,0)),"")</f>
        <v>至尊令牌</v>
      </c>
      <c r="J36" s="32">
        <v>100</v>
      </c>
      <c r="K36" s="32">
        <v>204071</v>
      </c>
      <c r="L36" s="1" t="str">
        <f>IFERROR(INDEX([1]物品基础表!$A:$A,MATCH(K36,[1]物品基础表!$B:$B,0)),"")</f>
        <v>玉佩温养道具3</v>
      </c>
      <c r="M36" s="32">
        <v>1</v>
      </c>
      <c r="N36" s="32">
        <v>200004</v>
      </c>
      <c r="O36" s="1" t="str">
        <f>IFERROR(INDEX([1]物品基础表!$A:$A,MATCH(N36,[1]物品基础表!$B:$B,0)),"")</f>
        <v>经脉丹</v>
      </c>
      <c r="P36" s="32">
        <v>20</v>
      </c>
      <c r="R36" s="1" t="str">
        <f>IFERROR(INDEX([1]物品基础表!$A:$A,MATCH(Q36,[1]物品基础表!$B:$B,0)),"")</f>
        <v/>
      </c>
      <c r="U36" s="1" t="str">
        <f>IFERROR(INDEX([1]物品基础表!$A:$A,MATCH(T36,[1]物品基础表!$B:$B,0)),"")</f>
        <v/>
      </c>
      <c r="X36" s="1" t="str">
        <f>IFERROR(INDEX([1]物品基础表!$A:$A,MATCH(W36,[1]物品基础表!$B:$B,0)),"")</f>
        <v/>
      </c>
    </row>
    <row r="37" spans="1:24">
      <c r="A37" s="32" t="str">
        <f>INDEX([2]活动总表!$A$8:$A$429,MATCH(B37,[2]活动总表!$B$8:$B$429,0))</f>
        <v>合服连充162-100元</v>
      </c>
      <c r="B37" s="32">
        <v>173</v>
      </c>
      <c r="C37" s="32">
        <v>7</v>
      </c>
      <c r="D37" s="32">
        <v>1</v>
      </c>
      <c r="E37" s="32">
        <v>7</v>
      </c>
      <c r="F37" s="32">
        <v>10000</v>
      </c>
      <c r="H37" s="32">
        <v>200320</v>
      </c>
      <c r="I37" s="1" t="str">
        <f>IFERROR(INDEX([1]物品基础表!$A:$A,MATCH(H37,[1]物品基础表!$B:$B,0)),"")</f>
        <v>至尊令牌</v>
      </c>
      <c r="J37" s="32">
        <v>100</v>
      </c>
      <c r="K37" s="32">
        <v>204029</v>
      </c>
      <c r="L37" s="1" t="str">
        <f>IFERROR(INDEX([1]物品基础表!$A:$A,MATCH(K37,[1]物品基础表!$B:$B,0)),"")</f>
        <v>魔魂礼包</v>
      </c>
      <c r="M37" s="32">
        <v>1</v>
      </c>
      <c r="N37" s="32">
        <v>200004</v>
      </c>
      <c r="O37" s="1" t="str">
        <f>IFERROR(INDEX([1]物品基础表!$A:$A,MATCH(N37,[1]物品基础表!$B:$B,0)),"")</f>
        <v>经脉丹</v>
      </c>
      <c r="P37" s="32">
        <v>20</v>
      </c>
      <c r="R37" s="1" t="str">
        <f>IFERROR(INDEX([1]物品基础表!$A:$A,MATCH(Q37,[1]物品基础表!$B:$B,0)),"")</f>
        <v/>
      </c>
      <c r="U37" s="1" t="str">
        <f>IFERROR(INDEX([1]物品基础表!$A:$A,MATCH(T37,[1]物品基础表!$B:$B,0)),"")</f>
        <v/>
      </c>
      <c r="X37" s="1" t="str">
        <f>IFERROR(INDEX([1]物品基础表!$A:$A,MATCH(W37,[1]物品基础表!$B:$B,0)),"")</f>
        <v/>
      </c>
    </row>
    <row r="38" spans="1:24">
      <c r="A38" s="32" t="str">
        <f>INDEX([2]活动总表!$A$8:$A$429,MATCH(B38,[2]活动总表!$B$8:$B$429,0))</f>
        <v>合服连充新-10元</v>
      </c>
      <c r="B38" s="32">
        <v>174</v>
      </c>
      <c r="C38" s="32">
        <v>1</v>
      </c>
      <c r="D38" s="32">
        <v>1</v>
      </c>
      <c r="E38" s="32">
        <v>1</v>
      </c>
      <c r="F38" s="32">
        <v>1000</v>
      </c>
      <c r="H38" s="32">
        <v>200320</v>
      </c>
      <c r="I38" s="1" t="str">
        <f>IFERROR(INDEX([1]物品基础表!$A:$A,MATCH(H38,[1]物品基础表!$B:$B,0)),"")</f>
        <v>至尊令牌</v>
      </c>
      <c r="J38" s="32">
        <v>10</v>
      </c>
      <c r="K38" s="32">
        <v>200003</v>
      </c>
      <c r="L38" s="1" t="str">
        <f>IFERROR(INDEX([1]物品基础表!$A:$A,MATCH(K38,[1]物品基础表!$B:$B,0)),"")</f>
        <v>铸造晶石</v>
      </c>
      <c r="M38" s="32">
        <v>50</v>
      </c>
      <c r="N38" s="32">
        <v>500005</v>
      </c>
      <c r="O38" s="1" t="str">
        <f>IFERROR(INDEX([1]物品基础表!$A:$A,MATCH(N38,[1]物品基础表!$B:$B,0)),"")</f>
        <v>战纹精华-红</v>
      </c>
      <c r="P38" s="32">
        <v>1</v>
      </c>
      <c r="R38" s="1" t="str">
        <f>IFERROR(INDEX([1]物品基础表!$A:$A,MATCH(Q38,[1]物品基础表!$B:$B,0)),"")</f>
        <v/>
      </c>
      <c r="U38" s="1" t="str">
        <f>IFERROR(INDEX([1]物品基础表!$A:$A,MATCH(T38,[1]物品基础表!$B:$B,0)),"")</f>
        <v/>
      </c>
      <c r="X38" s="1" t="str">
        <f>IFERROR(INDEX([1]物品基础表!$A:$A,MATCH(W38,[1]物品基础表!$B:$B,0)),"")</f>
        <v/>
      </c>
    </row>
    <row r="39" spans="1:24">
      <c r="A39" s="32" t="str">
        <f>INDEX([2]活动总表!$A$8:$A$429,MATCH(B39,[2]活动总表!$B$8:$B$429,0))</f>
        <v>合服连充新-10元</v>
      </c>
      <c r="B39" s="32">
        <v>174</v>
      </c>
      <c r="C39" s="32">
        <v>2</v>
      </c>
      <c r="D39" s="32">
        <v>1</v>
      </c>
      <c r="E39" s="32">
        <v>2</v>
      </c>
      <c r="F39" s="32">
        <v>1000</v>
      </c>
      <c r="H39" s="32">
        <v>200320</v>
      </c>
      <c r="I39" s="1" t="str">
        <f>IFERROR(INDEX([1]物品基础表!$A:$A,MATCH(H39,[1]物品基础表!$B:$B,0)),"")</f>
        <v>至尊令牌</v>
      </c>
      <c r="J39" s="32">
        <v>10</v>
      </c>
      <c r="K39" s="32">
        <v>204067</v>
      </c>
      <c r="L39" s="1" t="str">
        <f>IFERROR(INDEX([1]物品基础表!$A:$A,MATCH(K39,[1]物品基础表!$B:$B,0)),"")</f>
        <v>玉佩升级道具2</v>
      </c>
      <c r="M39" s="32">
        <v>1</v>
      </c>
      <c r="N39" s="32">
        <v>500005</v>
      </c>
      <c r="O39" s="1" t="str">
        <f>IFERROR(INDEX([1]物品基础表!$A:$A,MATCH(N39,[1]物品基础表!$B:$B,0)),"")</f>
        <v>战纹精华-红</v>
      </c>
      <c r="P39" s="32">
        <v>1</v>
      </c>
      <c r="R39" s="1" t="str">
        <f>IFERROR(INDEX([1]物品基础表!$A:$A,MATCH(Q39,[1]物品基础表!$B:$B,0)),"")</f>
        <v/>
      </c>
      <c r="U39" s="1" t="str">
        <f>IFERROR(INDEX([1]物品基础表!$A:$A,MATCH(T39,[1]物品基础表!$B:$B,0)),"")</f>
        <v/>
      </c>
      <c r="X39" s="1" t="str">
        <f>IFERROR(INDEX([1]物品基础表!$A:$A,MATCH(W39,[1]物品基础表!$B:$B,0)),"")</f>
        <v/>
      </c>
    </row>
    <row r="40" spans="1:24">
      <c r="A40" s="32" t="str">
        <f>INDEX([2]活动总表!$A$8:$A$429,MATCH(B40,[2]活动总表!$B$8:$B$429,0))</f>
        <v>合服连充新-10元</v>
      </c>
      <c r="B40" s="32">
        <v>174</v>
      </c>
      <c r="C40" s="32">
        <v>3</v>
      </c>
      <c r="D40" s="32">
        <v>1</v>
      </c>
      <c r="E40" s="32">
        <v>3</v>
      </c>
      <c r="F40" s="32">
        <v>1000</v>
      </c>
      <c r="H40" s="32">
        <v>200320</v>
      </c>
      <c r="I40" s="1" t="str">
        <f>IFERROR(INDEX([1]物品基础表!$A:$A,MATCH(H40,[1]物品基础表!$B:$B,0)),"")</f>
        <v>至尊令牌</v>
      </c>
      <c r="J40" s="32">
        <v>10</v>
      </c>
      <c r="K40" s="32">
        <v>200015</v>
      </c>
      <c r="L40" s="1" t="str">
        <f>IFERROR(INDEX([1]物品基础表!$A:$A,MATCH(K40,[1]物品基础表!$B:$B,0)),"")</f>
        <v>特戒碎片</v>
      </c>
      <c r="M40" s="32">
        <v>500</v>
      </c>
      <c r="N40" s="32">
        <v>500005</v>
      </c>
      <c r="O40" s="1" t="str">
        <f>IFERROR(INDEX([1]物品基础表!$A:$A,MATCH(N40,[1]物品基础表!$B:$B,0)),"")</f>
        <v>战纹精华-红</v>
      </c>
      <c r="P40" s="32">
        <v>1</v>
      </c>
      <c r="R40" s="1" t="str">
        <f>IFERROR(INDEX([1]物品基础表!$A:$A,MATCH(Q40,[1]物品基础表!$B:$B,0)),"")</f>
        <v/>
      </c>
      <c r="U40" s="1" t="str">
        <f>IFERROR(INDEX([1]物品基础表!$A:$A,MATCH(T40,[1]物品基础表!$B:$B,0)),"")</f>
        <v/>
      </c>
      <c r="X40" s="1" t="str">
        <f>IFERROR(INDEX([1]物品基础表!$A:$A,MATCH(W40,[1]物品基础表!$B:$B,0)),"")</f>
        <v/>
      </c>
    </row>
    <row r="41" spans="1:24">
      <c r="A41" s="32" t="str">
        <f>INDEX([2]活动总表!$A$8:$A$429,MATCH(B41,[2]活动总表!$B$8:$B$429,0))</f>
        <v>合服连充新-10元</v>
      </c>
      <c r="B41" s="32">
        <v>174</v>
      </c>
      <c r="C41" s="32">
        <v>4</v>
      </c>
      <c r="D41" s="32">
        <v>1</v>
      </c>
      <c r="E41" s="32">
        <v>4</v>
      </c>
      <c r="F41" s="32">
        <v>1000</v>
      </c>
      <c r="H41" s="32">
        <v>200320</v>
      </c>
      <c r="I41" s="1" t="str">
        <f>IFERROR(INDEX([1]物品基础表!$A:$A,MATCH(H41,[1]物品基础表!$B:$B,0)),"")</f>
        <v>至尊令牌</v>
      </c>
      <c r="J41" s="32">
        <v>10</v>
      </c>
      <c r="K41" s="32">
        <v>200925</v>
      </c>
      <c r="L41" s="1" t="str">
        <f>IFERROR(INDEX([1]物品基础表!$A:$A,MATCH(K41,[1]物品基础表!$B:$B,0)),"")</f>
        <v>红色战纹任选宝箱</v>
      </c>
      <c r="M41" s="32">
        <v>1</v>
      </c>
      <c r="N41" s="32">
        <v>500005</v>
      </c>
      <c r="O41" s="1" t="str">
        <f>IFERROR(INDEX([1]物品基础表!$A:$A,MATCH(N41,[1]物品基础表!$B:$B,0)),"")</f>
        <v>战纹精华-红</v>
      </c>
      <c r="P41" s="32">
        <v>1</v>
      </c>
      <c r="R41" s="1" t="str">
        <f>IFERROR(INDEX([1]物品基础表!$A:$A,MATCH(Q41,[1]物品基础表!$B:$B,0)),"")</f>
        <v/>
      </c>
      <c r="U41" s="1" t="str">
        <f>IFERROR(INDEX([1]物品基础表!$A:$A,MATCH(T41,[1]物品基础表!$B:$B,0)),"")</f>
        <v/>
      </c>
      <c r="X41" s="1" t="str">
        <f>IFERROR(INDEX([1]物品基础表!$A:$A,MATCH(W41,[1]物品基础表!$B:$B,0)),"")</f>
        <v/>
      </c>
    </row>
    <row r="42" spans="1:24">
      <c r="A42" s="32" t="str">
        <f>INDEX([2]活动总表!$A$8:$A$429,MATCH(B42,[2]活动总表!$B$8:$B$429,0))</f>
        <v>合服连充新-10元</v>
      </c>
      <c r="B42" s="32">
        <v>174</v>
      </c>
      <c r="C42" s="32">
        <v>5</v>
      </c>
      <c r="D42" s="32">
        <v>1</v>
      </c>
      <c r="E42" s="32">
        <v>5</v>
      </c>
      <c r="F42" s="32">
        <v>1000</v>
      </c>
      <c r="H42" s="32">
        <v>200320</v>
      </c>
      <c r="I42" s="1" t="str">
        <f>IFERROR(INDEX([1]物品基础表!$A:$A,MATCH(H42,[1]物品基础表!$B:$B,0)),"")</f>
        <v>至尊令牌</v>
      </c>
      <c r="J42" s="32">
        <v>10</v>
      </c>
      <c r="K42" s="32">
        <v>200301</v>
      </c>
      <c r="L42" s="1" t="str">
        <f>IFERROR(INDEX([1]物品基础表!$A:$A,MATCH(K42,[1]物品基础表!$B:$B,0)),"")</f>
        <v>传世宝钻</v>
      </c>
      <c r="M42" s="32">
        <v>30</v>
      </c>
      <c r="N42" s="32">
        <v>500005</v>
      </c>
      <c r="O42" s="1" t="str">
        <f>IFERROR(INDEX([1]物品基础表!$A:$A,MATCH(N42,[1]物品基础表!$B:$B,0)),"")</f>
        <v>战纹精华-红</v>
      </c>
      <c r="P42" s="32">
        <v>1</v>
      </c>
      <c r="R42" s="1" t="str">
        <f>IFERROR(INDEX([1]物品基础表!$A:$A,MATCH(Q42,[1]物品基础表!$B:$B,0)),"")</f>
        <v/>
      </c>
      <c r="U42" s="1" t="str">
        <f>IFERROR(INDEX([1]物品基础表!$A:$A,MATCH(T42,[1]物品基础表!$B:$B,0)),"")</f>
        <v/>
      </c>
      <c r="X42" s="1" t="str">
        <f>IFERROR(INDEX([1]物品基础表!$A:$A,MATCH(W42,[1]物品基础表!$B:$B,0)),"")</f>
        <v/>
      </c>
    </row>
    <row r="43" spans="1:24">
      <c r="A43" s="32" t="str">
        <f>INDEX([2]活动总表!$A$8:$A$429,MATCH(B43,[2]活动总表!$B$8:$B$429,0))</f>
        <v>合服连充新-10元</v>
      </c>
      <c r="B43" s="32">
        <v>174</v>
      </c>
      <c r="C43" s="32">
        <v>6</v>
      </c>
      <c r="D43" s="32">
        <v>1</v>
      </c>
      <c r="E43" s="32">
        <v>6</v>
      </c>
      <c r="F43" s="32">
        <v>1000</v>
      </c>
      <c r="H43" s="32">
        <v>200320</v>
      </c>
      <c r="I43" s="1" t="str">
        <f>IFERROR(INDEX([1]物品基础表!$A:$A,MATCH(H43,[1]物品基础表!$B:$B,0)),"")</f>
        <v>至尊令牌</v>
      </c>
      <c r="J43" s="32">
        <v>20</v>
      </c>
      <c r="K43" s="32">
        <v>200301</v>
      </c>
      <c r="L43" s="1" t="str">
        <f>IFERROR(INDEX([1]物品基础表!$A:$A,MATCH(K43,[1]物品基础表!$B:$B,0)),"")</f>
        <v>传世宝钻</v>
      </c>
      <c r="M43" s="32">
        <v>30</v>
      </c>
      <c r="N43" s="32">
        <v>500005</v>
      </c>
      <c r="O43" s="1" t="str">
        <f>IFERROR(INDEX([1]物品基础表!$A:$A,MATCH(N43,[1]物品基础表!$B:$B,0)),"")</f>
        <v>战纹精华-红</v>
      </c>
      <c r="P43" s="32">
        <v>1</v>
      </c>
      <c r="R43" s="1" t="str">
        <f>IFERROR(INDEX([1]物品基础表!$A:$A,MATCH(Q43,[1]物品基础表!$B:$B,0)),"")</f>
        <v/>
      </c>
      <c r="U43" s="1" t="str">
        <f>IFERROR(INDEX([1]物品基础表!$A:$A,MATCH(T43,[1]物品基础表!$B:$B,0)),"")</f>
        <v/>
      </c>
      <c r="X43" s="1" t="str">
        <f>IFERROR(INDEX([1]物品基础表!$A:$A,MATCH(W43,[1]物品基础表!$B:$B,0)),"")</f>
        <v/>
      </c>
    </row>
    <row r="44" spans="1:24">
      <c r="A44" s="32" t="str">
        <f>INDEX([2]活动总表!$A$8:$A$429,MATCH(B44,[2]活动总表!$B$8:$B$429,0))</f>
        <v>合服连充新-10元</v>
      </c>
      <c r="B44" s="32">
        <v>174</v>
      </c>
      <c r="C44" s="32">
        <v>7</v>
      </c>
      <c r="D44" s="32">
        <v>1</v>
      </c>
      <c r="E44" s="32">
        <v>7</v>
      </c>
      <c r="F44" s="32">
        <v>1000</v>
      </c>
      <c r="H44" s="32">
        <v>200320</v>
      </c>
      <c r="I44" s="1" t="str">
        <f>IFERROR(INDEX([1]物品基础表!$A:$A,MATCH(H44,[1]物品基础表!$B:$B,0)),"")</f>
        <v>至尊令牌</v>
      </c>
      <c r="J44" s="32">
        <v>20</v>
      </c>
      <c r="K44" s="32">
        <v>200301</v>
      </c>
      <c r="L44" s="1" t="str">
        <f>IFERROR(INDEX([1]物品基础表!$A:$A,MATCH(K44,[1]物品基础表!$B:$B,0)),"")</f>
        <v>传世宝钻</v>
      </c>
      <c r="M44" s="32">
        <v>150</v>
      </c>
      <c r="N44" s="32">
        <v>500005</v>
      </c>
      <c r="O44" s="1" t="str">
        <f>IFERROR(INDEX([1]物品基础表!$A:$A,MATCH(N44,[1]物品基础表!$B:$B,0)),"")</f>
        <v>战纹精华-红</v>
      </c>
      <c r="P44" s="32">
        <v>1</v>
      </c>
      <c r="R44" s="1" t="str">
        <f>IFERROR(INDEX([1]物品基础表!$A:$A,MATCH(Q44,[1]物品基础表!$B:$B,0)),"")</f>
        <v/>
      </c>
      <c r="U44" s="1" t="str">
        <f>IFERROR(INDEX([1]物品基础表!$A:$A,MATCH(T44,[1]物品基础表!$B:$B,0)),"")</f>
        <v/>
      </c>
      <c r="X44" s="1" t="str">
        <f>IFERROR(INDEX([1]物品基础表!$A:$A,MATCH(W44,[1]物品基础表!$B:$B,0)),"")</f>
        <v/>
      </c>
    </row>
    <row r="45" spans="1:24">
      <c r="A45" s="32" t="str">
        <f>INDEX([2]活动总表!$A$8:$A$429,MATCH(B45,[2]活动总表!$B$8:$B$429,0))</f>
        <v>圣诞-累冲1档</v>
      </c>
      <c r="B45" s="32">
        <v>252</v>
      </c>
      <c r="C45" s="32">
        <v>1</v>
      </c>
      <c r="D45" s="32">
        <v>2</v>
      </c>
      <c r="E45" s="32">
        <v>3</v>
      </c>
      <c r="F45" s="32">
        <v>58888</v>
      </c>
      <c r="H45" s="32">
        <v>200326</v>
      </c>
      <c r="I45" s="1" t="str">
        <f>IFERROR(INDEX([1]物品基础表!$A:$A,MATCH(H45,[1]物品基础表!$B:$B,0)),"")</f>
        <v>兵魂之灵</v>
      </c>
      <c r="J45" s="32">
        <v>1</v>
      </c>
      <c r="L45" s="1" t="str">
        <f>IFERROR(INDEX([1]物品基础表!$A:$A,MATCH(K45,[1]物品基础表!$B:$B,0)),"")</f>
        <v/>
      </c>
      <c r="O45" s="1" t="str">
        <f>IFERROR(INDEX([1]物品基础表!$A:$A,MATCH(N45,[1]物品基础表!$B:$B,0)),"")</f>
        <v/>
      </c>
      <c r="R45" s="1" t="str">
        <f>IFERROR(INDEX([1]物品基础表!$A:$A,MATCH(Q45,[1]物品基础表!$B:$B,0)),"")</f>
        <v/>
      </c>
      <c r="U45" s="1" t="str">
        <f>IFERROR(INDEX([1]物品基础表!$A:$A,MATCH(T45,[1]物品基础表!$B:$B,0)),"")</f>
        <v/>
      </c>
      <c r="X45" s="1" t="str">
        <f>IFERROR(INDEX([1]物品基础表!$A:$A,MATCH(W45,[1]物品基础表!$B:$B,0)),"")</f>
        <v/>
      </c>
    </row>
    <row r="46" spans="1:24">
      <c r="A46" s="32" t="str">
        <f>INDEX([2]活动总表!$A$8:$A$429,MATCH(B46,[2]活动总表!$B$8:$B$429,0))</f>
        <v>圣诞-累冲1档</v>
      </c>
      <c r="B46" s="32">
        <v>252</v>
      </c>
      <c r="C46" s="32">
        <v>2</v>
      </c>
      <c r="D46" s="32">
        <v>2</v>
      </c>
      <c r="E46" s="32">
        <v>3</v>
      </c>
      <c r="F46" s="32">
        <v>128888</v>
      </c>
      <c r="H46" s="32">
        <v>200951</v>
      </c>
      <c r="I46" s="1" t="str">
        <f>IFERROR(INDEX([1]物品基础表!$A:$A,MATCH(H46,[1]物品基础表!$B:$B,0)),"")</f>
        <v>金色战纹任选宝箱</v>
      </c>
      <c r="J46" s="32">
        <v>1</v>
      </c>
      <c r="L46" s="1" t="str">
        <f>IFERROR(INDEX([1]物品基础表!$A:$A,MATCH(K46,[1]物品基础表!$B:$B,0)),"")</f>
        <v/>
      </c>
      <c r="O46" s="1" t="str">
        <f>IFERROR(INDEX([1]物品基础表!$A:$A,MATCH(N46,[1]物品基础表!$B:$B,0)),"")</f>
        <v/>
      </c>
      <c r="R46" s="1" t="str">
        <f>IFERROR(INDEX([1]物品基础表!$A:$A,MATCH(Q46,[1]物品基础表!$B:$B,0)),"")</f>
        <v/>
      </c>
      <c r="U46" s="1" t="str">
        <f>IFERROR(INDEX([1]物品基础表!$A:$A,MATCH(T46,[1]物品基础表!$B:$B,0)),"")</f>
        <v/>
      </c>
      <c r="X46" s="1" t="str">
        <f>IFERROR(INDEX([1]物品基础表!$A:$A,MATCH(W46,[1]物品基础表!$B:$B,0)),"")</f>
        <v/>
      </c>
    </row>
    <row r="47" spans="1:24">
      <c r="A47" s="32" t="str">
        <f>INDEX([2]活动总表!$A$8:$A$429,MATCH(B47,[2]活动总表!$B$8:$B$429,0))</f>
        <v>圣诞-累冲1档</v>
      </c>
      <c r="B47" s="32">
        <v>252</v>
      </c>
      <c r="C47" s="32">
        <v>3</v>
      </c>
      <c r="D47" s="32">
        <v>2</v>
      </c>
      <c r="E47" s="32">
        <v>3</v>
      </c>
      <c r="F47" s="32">
        <v>268888</v>
      </c>
      <c r="H47" s="32">
        <v>202009</v>
      </c>
      <c r="I47" s="1" t="str">
        <f>IFERROR(INDEX([1]物品基础表!$A:$A,MATCH(H47,[1]物品基础表!$B:$B,0)),"")</f>
        <v>神烈焰戒指</v>
      </c>
      <c r="J47" s="32">
        <v>1</v>
      </c>
      <c r="L47" s="1" t="str">
        <f>IFERROR(INDEX([1]物品基础表!$A:$A,MATCH(K47,[1]物品基础表!$B:$B,0)),"")</f>
        <v/>
      </c>
      <c r="O47" s="1" t="str">
        <f>IFERROR(INDEX([1]物品基础表!$A:$A,MATCH(N47,[1]物品基础表!$B:$B,0)),"")</f>
        <v/>
      </c>
      <c r="R47" s="1" t="str">
        <f>IFERROR(INDEX([1]物品基础表!$A:$A,MATCH(Q47,[1]物品基础表!$B:$B,0)),"")</f>
        <v/>
      </c>
      <c r="U47" s="1" t="str">
        <f>IFERROR(INDEX([1]物品基础表!$A:$A,MATCH(T47,[1]物品基础表!$B:$B,0)),"")</f>
        <v/>
      </c>
      <c r="X47" s="1" t="str">
        <f>IFERROR(INDEX([1]物品基础表!$A:$A,MATCH(W47,[1]物品基础表!$B:$B,0)),"")</f>
        <v/>
      </c>
    </row>
    <row r="48" spans="1:24">
      <c r="A48" s="32" t="str">
        <f>INDEX([2]活动总表!$A$8:$A$429,MATCH(B48,[2]活动总表!$B$8:$B$429,0))</f>
        <v>圣诞-累冲1档</v>
      </c>
      <c r="B48" s="32">
        <v>252</v>
      </c>
      <c r="C48" s="32">
        <v>4</v>
      </c>
      <c r="D48" s="32">
        <v>2</v>
      </c>
      <c r="E48" s="32">
        <v>3</v>
      </c>
      <c r="F48" s="32">
        <v>488888</v>
      </c>
      <c r="H48" s="32">
        <v>200926</v>
      </c>
      <c r="I48" s="1" t="str">
        <f>IFERROR(INDEX([1]物品基础表!$A:$A,MATCH(H48,[1]物品基础表!$B:$B,0)),"")</f>
        <v>神兵大招1三选一</v>
      </c>
      <c r="J48" s="32">
        <v>1</v>
      </c>
      <c r="L48" s="1" t="str">
        <f>IFERROR(INDEX([1]物品基础表!$A:$A,MATCH(K48,[1]物品基础表!$B:$B,0)),"")</f>
        <v/>
      </c>
      <c r="O48" s="1" t="str">
        <f>IFERROR(INDEX([1]物品基础表!$A:$A,MATCH(N48,[1]物品基础表!$B:$B,0)),"")</f>
        <v/>
      </c>
      <c r="R48" s="1" t="str">
        <f>IFERROR(INDEX([1]物品基础表!$A:$A,MATCH(Q48,[1]物品基础表!$B:$B,0)),"")</f>
        <v/>
      </c>
      <c r="U48" s="1" t="str">
        <f>IFERROR(INDEX([1]物品基础表!$A:$A,MATCH(T48,[1]物品基础表!$B:$B,0)),"")</f>
        <v/>
      </c>
      <c r="X48" s="1" t="str">
        <f>IFERROR(INDEX([1]物品基础表!$A:$A,MATCH(W48,[1]物品基础表!$B:$B,0)),"")</f>
        <v/>
      </c>
    </row>
    <row r="49" spans="1:24">
      <c r="A49" s="32" t="str">
        <f>INDEX([2]活动总表!$A$8:$A$429,MATCH(B49,[2]活动总表!$B$8:$B$429,0))</f>
        <v>圣诞-累冲1档</v>
      </c>
      <c r="B49" s="32">
        <v>252</v>
      </c>
      <c r="C49" s="32">
        <v>5</v>
      </c>
      <c r="D49" s="32">
        <v>2</v>
      </c>
      <c r="E49" s="32">
        <v>3</v>
      </c>
      <c r="F49" s="32">
        <v>688888</v>
      </c>
      <c r="H49" s="32">
        <v>200927</v>
      </c>
      <c r="I49" s="1" t="str">
        <f>IFERROR(INDEX([1]物品基础表!$A:$A,MATCH(H49,[1]物品基础表!$B:$B,0)),"")</f>
        <v>神兵大招2三选一</v>
      </c>
      <c r="J49" s="32">
        <v>1</v>
      </c>
      <c r="L49" s="1" t="str">
        <f>IFERROR(INDEX([1]物品基础表!$A:$A,MATCH(K49,[1]物品基础表!$B:$B,0)),"")</f>
        <v/>
      </c>
      <c r="O49" s="1" t="str">
        <f>IFERROR(INDEX([1]物品基础表!$A:$A,MATCH(N49,[1]物品基础表!$B:$B,0)),"")</f>
        <v/>
      </c>
      <c r="R49" s="1" t="str">
        <f>IFERROR(INDEX([1]物品基础表!$A:$A,MATCH(Q49,[1]物品基础表!$B:$B,0)),"")</f>
        <v/>
      </c>
      <c r="U49" s="1" t="str">
        <f>IFERROR(INDEX([1]物品基础表!$A:$A,MATCH(T49,[1]物品基础表!$B:$B,0)),"")</f>
        <v/>
      </c>
      <c r="X49" s="1" t="str">
        <f>IFERROR(INDEX([1]物品基础表!$A:$A,MATCH(W49,[1]物品基础表!$B:$B,0)),"")</f>
        <v/>
      </c>
    </row>
    <row r="50" spans="1:24">
      <c r="A50" s="32" t="str">
        <f>INDEX([2]活动总表!$A$8:$A$429,MATCH(B50,[2]活动总表!$B$8:$B$429,0))</f>
        <v>圣诞-累冲1档</v>
      </c>
      <c r="B50" s="32">
        <v>252</v>
      </c>
      <c r="C50" s="32">
        <v>6</v>
      </c>
      <c r="D50" s="32">
        <v>2</v>
      </c>
      <c r="E50" s="32">
        <v>3</v>
      </c>
      <c r="F50" s="32">
        <v>1288888</v>
      </c>
      <c r="H50" s="32">
        <v>200928</v>
      </c>
      <c r="I50" s="1" t="str">
        <f>IFERROR(INDEX([1]物品基础表!$A:$A,MATCH(H50,[1]物品基础表!$B:$B,0)),"")</f>
        <v>神兵大招3三选一</v>
      </c>
      <c r="J50" s="32">
        <v>1</v>
      </c>
      <c r="L50" s="1" t="str">
        <f>IFERROR(INDEX([1]物品基础表!$A:$A,MATCH(K50,[1]物品基础表!$B:$B,0)),"")</f>
        <v/>
      </c>
      <c r="O50" s="1" t="str">
        <f>IFERROR(INDEX([1]物品基础表!$A:$A,MATCH(N50,[1]物品基础表!$B:$B,0)),"")</f>
        <v/>
      </c>
      <c r="R50" s="1" t="str">
        <f>IFERROR(INDEX([1]物品基础表!$A:$A,MATCH(Q50,[1]物品基础表!$B:$B,0)),"")</f>
        <v/>
      </c>
      <c r="U50" s="1" t="str">
        <f>IFERROR(INDEX([1]物品基础表!$A:$A,MATCH(T50,[1]物品基础表!$B:$B,0)),"")</f>
        <v/>
      </c>
      <c r="X50" s="1" t="str">
        <f>IFERROR(INDEX([1]物品基础表!$A:$A,MATCH(W50,[1]物品基础表!$B:$B,0)),"")</f>
        <v/>
      </c>
    </row>
    <row r="51" spans="1:24">
      <c r="A51" s="32" t="str">
        <f>INDEX([2]活动总表!$A$8:$A$429,MATCH(B51,[2]活动总表!$B$8:$B$429,0))</f>
        <v>圣诞-累冲1档</v>
      </c>
      <c r="B51" s="32">
        <v>252</v>
      </c>
      <c r="C51" s="32">
        <v>7</v>
      </c>
      <c r="D51" s="32">
        <v>4</v>
      </c>
      <c r="F51" s="32">
        <v>10000</v>
      </c>
      <c r="H51" s="32">
        <v>200952</v>
      </c>
      <c r="I51" s="1" t="str">
        <f>IFERROR(INDEX([1]物品基础表!$A:$A,MATCH(H51,[1]物品基础表!$B:$B,0)),"")</f>
        <v>圣诞礼包</v>
      </c>
      <c r="J51" s="32">
        <v>1</v>
      </c>
      <c r="L51" s="1" t="str">
        <f>IFERROR(INDEX([1]物品基础表!$A:$A,MATCH(K51,[1]物品基础表!$B:$B,0)),"")</f>
        <v/>
      </c>
      <c r="O51" s="1" t="str">
        <f>IFERROR(INDEX([1]物品基础表!$A:$A,MATCH(N51,[1]物品基础表!$B:$B,0)),"")</f>
        <v/>
      </c>
      <c r="R51" s="1" t="str">
        <f>IFERROR(INDEX([1]物品基础表!$A:$A,MATCH(Q51,[1]物品基础表!$B:$B,0)),"")</f>
        <v/>
      </c>
      <c r="U51" s="1" t="str">
        <f>IFERROR(INDEX([1]物品基础表!$A:$A,MATCH(T51,[1]物品基础表!$B:$B,0)),"")</f>
        <v/>
      </c>
      <c r="X51" s="1" t="str">
        <f>IFERROR(INDEX([1]物品基础表!$A:$A,MATCH(W51,[1]物品基础表!$B:$B,0)),"")</f>
        <v/>
      </c>
    </row>
    <row r="52" spans="1:24">
      <c r="A52" s="32" t="str">
        <f>INDEX([2]活动总表!$A$8:$A$429,MATCH(B52,[2]活动总表!$B$8:$B$429,0))</f>
        <v>轮回-累充返利</v>
      </c>
      <c r="B52" s="32">
        <v>262</v>
      </c>
      <c r="C52" s="32">
        <v>1</v>
      </c>
      <c r="D52" s="32">
        <v>2</v>
      </c>
      <c r="E52" s="32">
        <v>5</v>
      </c>
      <c r="F52" s="32">
        <v>2000</v>
      </c>
      <c r="H52" s="32">
        <v>201106</v>
      </c>
      <c r="I52" s="1" t="str">
        <f>IFERROR(INDEX([1]物品基础表!$A:$A,MATCH(H52,[1]物品基础表!$B:$B,0)),"")</f>
        <v>高级轮回丹·无限制</v>
      </c>
      <c r="J52" s="32">
        <v>2</v>
      </c>
      <c r="K52" s="32">
        <v>200005</v>
      </c>
      <c r="L52" s="1" t="str">
        <f>IFERROR(INDEX([1]物品基础表!$A:$A,MATCH(K52,[1]物品基础表!$B:$B,0)),"")</f>
        <v>龙魂碎片</v>
      </c>
      <c r="M52" s="32">
        <v>20</v>
      </c>
      <c r="N52" s="32">
        <v>200004</v>
      </c>
      <c r="O52" s="1" t="str">
        <f>IFERROR(INDEX([1]物品基础表!$A:$A,MATCH(N52,[1]物品基础表!$B:$B,0)),"")</f>
        <v>经脉丹</v>
      </c>
      <c r="P52" s="32">
        <v>20</v>
      </c>
      <c r="Q52" s="32">
        <v>1</v>
      </c>
      <c r="R52" s="1" t="s">
        <v>695</v>
      </c>
      <c r="S52" s="32">
        <v>1000000</v>
      </c>
      <c r="U52" s="1" t="str">
        <f>IFERROR(INDEX([1]物品基础表!$A:$A,MATCH(T52,[1]物品基础表!$B:$B,0)),"")</f>
        <v/>
      </c>
      <c r="X52" s="1" t="str">
        <f>IFERROR(INDEX([1]物品基础表!$A:$A,MATCH(W52,[1]物品基础表!$B:$B,0)),"")</f>
        <v/>
      </c>
    </row>
    <row r="53" spans="1:24">
      <c r="A53" s="32" t="str">
        <f>INDEX([2]活动总表!$A$8:$A$429,MATCH(B53,[2]活动总表!$B$8:$B$429,0))</f>
        <v>轮回-累充返利</v>
      </c>
      <c r="B53" s="32">
        <v>262</v>
      </c>
      <c r="C53" s="32">
        <v>2</v>
      </c>
      <c r="D53" s="32">
        <v>2</v>
      </c>
      <c r="E53" s="32">
        <v>5</v>
      </c>
      <c r="F53" s="32">
        <v>10000</v>
      </c>
      <c r="H53" s="32">
        <v>201106</v>
      </c>
      <c r="I53" s="1" t="str">
        <f>IFERROR(INDEX([1]物品基础表!$A:$A,MATCH(H53,[1]物品基础表!$B:$B,0)),"")</f>
        <v>高级轮回丹·无限制</v>
      </c>
      <c r="J53" s="32">
        <v>8</v>
      </c>
      <c r="K53" s="32">
        <v>200005</v>
      </c>
      <c r="L53" s="1" t="str">
        <f>IFERROR(INDEX([1]物品基础表!$A:$A,MATCH(K53,[1]物品基础表!$B:$B,0)),"")</f>
        <v>龙魂碎片</v>
      </c>
      <c r="M53" s="32">
        <v>30</v>
      </c>
      <c r="N53" s="32">
        <v>200004</v>
      </c>
      <c r="O53" s="1" t="str">
        <f>IFERROR(INDEX([1]物品基础表!$A:$A,MATCH(N53,[1]物品基础表!$B:$B,0)),"")</f>
        <v>经脉丹</v>
      </c>
      <c r="P53" s="32">
        <v>30</v>
      </c>
      <c r="Q53" s="32">
        <v>1</v>
      </c>
      <c r="R53" s="1" t="s">
        <v>695</v>
      </c>
      <c r="S53" s="32">
        <v>1000000</v>
      </c>
      <c r="U53" s="1" t="str">
        <f>IFERROR(INDEX([1]物品基础表!$A:$A,MATCH(T53,[1]物品基础表!$B:$B,0)),"")</f>
        <v/>
      </c>
      <c r="X53" s="1" t="str">
        <f>IFERROR(INDEX([1]物品基础表!$A:$A,MATCH(W53,[1]物品基础表!$B:$B,0)),"")</f>
        <v/>
      </c>
    </row>
    <row r="54" spans="1:24">
      <c r="A54" s="32" t="str">
        <f>INDEX([2]活动总表!$A$8:$A$429,MATCH(B54,[2]活动总表!$B$8:$B$429,0))</f>
        <v>轮回-累充返利</v>
      </c>
      <c r="B54" s="32">
        <v>262</v>
      </c>
      <c r="C54" s="32">
        <v>3</v>
      </c>
      <c r="D54" s="32">
        <v>2</v>
      </c>
      <c r="E54" s="32">
        <v>5</v>
      </c>
      <c r="F54" s="32">
        <v>20000</v>
      </c>
      <c r="H54" s="32">
        <v>201107</v>
      </c>
      <c r="I54" s="1" t="str">
        <f>IFERROR(INDEX([1]物品基础表!$A:$A,MATCH(H54,[1]物品基础表!$B:$B,0)),"")</f>
        <v>超级轮回丹·无限制</v>
      </c>
      <c r="J54" s="32">
        <v>1</v>
      </c>
      <c r="K54" s="32">
        <v>200005</v>
      </c>
      <c r="L54" s="1" t="str">
        <f>IFERROR(INDEX([1]物品基础表!$A:$A,MATCH(K54,[1]物品基础表!$B:$B,0)),"")</f>
        <v>龙魂碎片</v>
      </c>
      <c r="M54" s="32">
        <v>40</v>
      </c>
      <c r="N54" s="32">
        <v>200004</v>
      </c>
      <c r="O54" s="1" t="str">
        <f>IFERROR(INDEX([1]物品基础表!$A:$A,MATCH(N54,[1]物品基础表!$B:$B,0)),"")</f>
        <v>经脉丹</v>
      </c>
      <c r="P54" s="32">
        <v>40</v>
      </c>
      <c r="Q54" s="32">
        <v>1</v>
      </c>
      <c r="R54" s="1" t="s">
        <v>695</v>
      </c>
      <c r="S54" s="32">
        <v>1000000</v>
      </c>
      <c r="U54" s="1" t="str">
        <f>IFERROR(INDEX([1]物品基础表!$A:$A,MATCH(T54,[1]物品基础表!$B:$B,0)),"")</f>
        <v/>
      </c>
      <c r="X54" s="1" t="str">
        <f>IFERROR(INDEX([1]物品基础表!$A:$A,MATCH(W54,[1]物品基础表!$B:$B,0)),"")</f>
        <v/>
      </c>
    </row>
    <row r="55" spans="1:24">
      <c r="A55" s="32" t="str">
        <f>INDEX([2]活动总表!$A$8:$A$429,MATCH(B55,[2]活动总表!$B$8:$B$429,0))</f>
        <v>元旦-每日累充1天</v>
      </c>
      <c r="B55" s="32">
        <v>244</v>
      </c>
      <c r="C55" s="32">
        <v>1</v>
      </c>
      <c r="D55" s="32">
        <v>2</v>
      </c>
      <c r="E55" s="32">
        <v>5</v>
      </c>
      <c r="F55" s="32">
        <v>2000</v>
      </c>
      <c r="H55" s="32">
        <v>2</v>
      </c>
      <c r="I55" s="1" t="str">
        <f>IF(H55=2,"元宝","神兵经验")</f>
        <v>元宝</v>
      </c>
      <c r="J55" s="32">
        <v>1000</v>
      </c>
      <c r="K55" s="32">
        <v>204064</v>
      </c>
      <c r="L55" s="1" t="str">
        <f>IFERROR(INDEX([1]物品基础表!$A:$A,MATCH(K55,[1]物品基础表!$B:$B,0)),"")</f>
        <v>高级转生轮回礼包</v>
      </c>
      <c r="M55" s="32">
        <v>3</v>
      </c>
      <c r="N55" s="32">
        <v>200005</v>
      </c>
      <c r="O55" s="1" t="str">
        <f>IFERROR(INDEX([1]物品基础表!$A:$A,MATCH(N55,[1]物品基础表!$B:$B,0)),"")</f>
        <v>龙魂碎片</v>
      </c>
      <c r="P55" s="32">
        <v>10</v>
      </c>
      <c r="Q55" s="32">
        <v>200004</v>
      </c>
      <c r="R55" s="1" t="str">
        <f>IFERROR(INDEX([1]物品基础表!$A:$A,MATCH(Q55,[1]物品基础表!$B:$B,0)),"")</f>
        <v>经脉丹</v>
      </c>
      <c r="S55" s="32">
        <v>10</v>
      </c>
      <c r="U55" s="1" t="str">
        <f>IFERROR(INDEX([1]物品基础表!$A:$A,MATCH(T55,[1]物品基础表!$B:$B,0)),"")</f>
        <v/>
      </c>
      <c r="X55" s="1" t="str">
        <f>IFERROR(INDEX([1]物品基础表!$A:$A,MATCH(W55,[1]物品基础表!$B:$B,0)),"")</f>
        <v/>
      </c>
    </row>
    <row r="56" spans="1:24">
      <c r="A56" s="32" t="str">
        <f>INDEX([2]活动总表!$A$8:$A$429,MATCH(B56,[2]活动总表!$B$8:$B$429,0))</f>
        <v>元旦-每日累充1天</v>
      </c>
      <c r="B56" s="32">
        <v>244</v>
      </c>
      <c r="C56" s="32">
        <v>2</v>
      </c>
      <c r="D56" s="32">
        <v>2</v>
      </c>
      <c r="E56" s="32">
        <v>5</v>
      </c>
      <c r="F56" s="32">
        <v>5000</v>
      </c>
      <c r="H56" s="32">
        <v>204030</v>
      </c>
      <c r="I56" s="1" t="str">
        <f>IFERROR(INDEX([1]物品基础表!$A:$A,MATCH(H56,[1]物品基础表!$B:$B,0)),"")</f>
        <v>元旦兑换</v>
      </c>
      <c r="J56" s="32">
        <v>30</v>
      </c>
      <c r="K56" s="32">
        <v>13</v>
      </c>
      <c r="L56" s="1" t="str">
        <f>IF(K56=2,"元宝","神兵经验")</f>
        <v>神兵经验</v>
      </c>
      <c r="M56" s="32">
        <v>1000000</v>
      </c>
      <c r="N56" s="32">
        <v>204064</v>
      </c>
      <c r="O56" s="1" t="str">
        <f>IFERROR(INDEX([1]物品基础表!$A:$A,MATCH(N56,[1]物品基础表!$B:$B,0)),"")</f>
        <v>高级转生轮回礼包</v>
      </c>
      <c r="P56" s="32">
        <v>5</v>
      </c>
      <c r="Q56" s="32">
        <v>200005</v>
      </c>
      <c r="R56" s="1" t="str">
        <f>IFERROR(INDEX([1]物品基础表!$A:$A,MATCH(Q56,[1]物品基础表!$B:$B,0)),"")</f>
        <v>龙魂碎片</v>
      </c>
      <c r="S56" s="32">
        <v>30</v>
      </c>
      <c r="U56" s="1" t="str">
        <f>IFERROR(INDEX([1]物品基础表!$A:$A,MATCH(T56,[1]物品基础表!$B:$B,0)),"")</f>
        <v/>
      </c>
      <c r="X56" s="1" t="str">
        <f>IFERROR(INDEX([1]物品基础表!$A:$A,MATCH(W56,[1]物品基础表!$B:$B,0)),"")</f>
        <v/>
      </c>
    </row>
    <row r="57" spans="1:24">
      <c r="A57" s="32" t="str">
        <f>INDEX([2]活动总表!$A$8:$A$429,MATCH(B57,[2]活动总表!$B$8:$B$429,0))</f>
        <v>元旦-每日累充1天</v>
      </c>
      <c r="B57" s="32">
        <v>244</v>
      </c>
      <c r="C57" s="32">
        <v>3</v>
      </c>
      <c r="D57" s="32">
        <v>2</v>
      </c>
      <c r="E57" s="32">
        <v>5</v>
      </c>
      <c r="F57" s="32">
        <v>20000</v>
      </c>
      <c r="H57" s="32">
        <v>204030</v>
      </c>
      <c r="I57" s="1" t="str">
        <f>IFERROR(INDEX([1]物品基础表!$A:$A,MATCH(H57,[1]物品基础表!$B:$B,0)),"")</f>
        <v>元旦兑换</v>
      </c>
      <c r="J57" s="32">
        <v>50</v>
      </c>
      <c r="K57" s="32">
        <v>220011</v>
      </c>
      <c r="L57" s="1" t="str">
        <f>IFERROR(INDEX([1]物品基础表!$A:$A,MATCH(K57,[1]物品基础表!$B:$B,0)),"")</f>
        <v>高级秘籍宝箱</v>
      </c>
      <c r="M57" s="32">
        <v>1</v>
      </c>
      <c r="N57" s="32">
        <v>204065</v>
      </c>
      <c r="O57" s="1" t="str">
        <f>IFERROR(INDEX([1]物品基础表!$A:$A,MATCH(N57,[1]物品基础表!$B:$B,0)),"")</f>
        <v>超级转生轮回礼包</v>
      </c>
      <c r="P57" s="32">
        <v>1</v>
      </c>
      <c r="Q57" s="32">
        <v>200005</v>
      </c>
      <c r="R57" s="1" t="str">
        <f>IFERROR(INDEX([1]物品基础表!$A:$A,MATCH(Q57,[1]物品基础表!$B:$B,0)),"")</f>
        <v>龙魂碎片</v>
      </c>
      <c r="S57" s="32">
        <v>50</v>
      </c>
      <c r="U57" s="1" t="str">
        <f>IFERROR(INDEX([1]物品基础表!$A:$A,MATCH(T57,[1]物品基础表!$B:$B,0)),"")</f>
        <v/>
      </c>
      <c r="X57" s="1" t="str">
        <f>IFERROR(INDEX([1]物品基础表!$A:$A,MATCH(W57,[1]物品基础表!$B:$B,0)),"")</f>
        <v/>
      </c>
    </row>
    <row r="58" spans="1:24">
      <c r="A58" s="32" t="str">
        <f>INDEX([2]活动总表!$A$8:$A$429,MATCH(B58,[2]活动总表!$B$8:$B$429,0))</f>
        <v>元旦-每日累充2天</v>
      </c>
      <c r="B58" s="32">
        <v>245</v>
      </c>
      <c r="C58" s="32">
        <v>1</v>
      </c>
      <c r="D58" s="32">
        <v>2</v>
      </c>
      <c r="E58" s="32">
        <v>5</v>
      </c>
      <c r="F58" s="32">
        <v>2000</v>
      </c>
      <c r="H58" s="32">
        <v>2</v>
      </c>
      <c r="I58" s="1" t="str">
        <f>IF(H58=2,"元宝","神兵经验")</f>
        <v>元宝</v>
      </c>
      <c r="J58" s="32">
        <v>1000</v>
      </c>
      <c r="K58" s="32">
        <v>204064</v>
      </c>
      <c r="L58" s="1" t="str">
        <f>IFERROR(INDEX([1]物品基础表!$A:$A,MATCH(K58,[1]物品基础表!$B:$B,0)),"")</f>
        <v>高级转生轮回礼包</v>
      </c>
      <c r="M58" s="32">
        <v>3</v>
      </c>
      <c r="N58" s="32">
        <v>200005</v>
      </c>
      <c r="O58" s="1" t="str">
        <f>IFERROR(INDEX([1]物品基础表!$A:$A,MATCH(N58,[1]物品基础表!$B:$B,0)),"")</f>
        <v>龙魂碎片</v>
      </c>
      <c r="P58" s="32">
        <v>10</v>
      </c>
      <c r="Q58" s="32">
        <v>200004</v>
      </c>
      <c r="R58" s="1" t="str">
        <f>IFERROR(INDEX([1]物品基础表!$A:$A,MATCH(Q58,[1]物品基础表!$B:$B,0)),"")</f>
        <v>经脉丹</v>
      </c>
      <c r="S58" s="32">
        <v>10</v>
      </c>
      <c r="U58" s="1" t="str">
        <f>IFERROR(INDEX([1]物品基础表!$A:$A,MATCH(T58,[1]物品基础表!$B:$B,0)),"")</f>
        <v/>
      </c>
      <c r="X58" s="1" t="str">
        <f>IFERROR(INDEX([1]物品基础表!$A:$A,MATCH(W58,[1]物品基础表!$B:$B,0)),"")</f>
        <v/>
      </c>
    </row>
    <row r="59" spans="1:24">
      <c r="A59" s="32" t="str">
        <f>INDEX([2]活动总表!$A$8:$A$429,MATCH(B59,[2]活动总表!$B$8:$B$429,0))</f>
        <v>元旦-每日累充2天</v>
      </c>
      <c r="B59" s="32">
        <v>245</v>
      </c>
      <c r="C59" s="32">
        <v>2</v>
      </c>
      <c r="D59" s="32">
        <v>2</v>
      </c>
      <c r="E59" s="32">
        <v>5</v>
      </c>
      <c r="F59" s="32">
        <v>5000</v>
      </c>
      <c r="H59" s="32">
        <v>204030</v>
      </c>
      <c r="I59" s="1" t="str">
        <f>IFERROR(INDEX([1]物品基础表!$A:$A,MATCH(H59,[1]物品基础表!$B:$B,0)),"")</f>
        <v>元旦兑换</v>
      </c>
      <c r="J59" s="32">
        <v>30</v>
      </c>
      <c r="K59" s="32">
        <v>13</v>
      </c>
      <c r="L59" s="1" t="str">
        <f>IF(K59=2,"元宝","神兵经验")</f>
        <v>神兵经验</v>
      </c>
      <c r="M59" s="32">
        <v>1000000</v>
      </c>
      <c r="N59" s="32">
        <v>204064</v>
      </c>
      <c r="O59" s="1" t="str">
        <f>IFERROR(INDEX([1]物品基础表!$A:$A,MATCH(N59,[1]物品基础表!$B:$B,0)),"")</f>
        <v>高级转生轮回礼包</v>
      </c>
      <c r="P59" s="32">
        <v>5</v>
      </c>
      <c r="Q59" s="32">
        <v>200005</v>
      </c>
      <c r="R59" s="1" t="str">
        <f>IFERROR(INDEX([1]物品基础表!$A:$A,MATCH(Q59,[1]物品基础表!$B:$B,0)),"")</f>
        <v>龙魂碎片</v>
      </c>
      <c r="S59" s="32">
        <v>30</v>
      </c>
      <c r="U59" s="1" t="str">
        <f>IFERROR(INDEX([1]物品基础表!$A:$A,MATCH(T59,[1]物品基础表!$B:$B,0)),"")</f>
        <v/>
      </c>
      <c r="X59" s="1" t="str">
        <f>IFERROR(INDEX([1]物品基础表!$A:$A,MATCH(W59,[1]物品基础表!$B:$B,0)),"")</f>
        <v/>
      </c>
    </row>
    <row r="60" spans="1:24">
      <c r="A60" s="32" t="str">
        <f>INDEX([2]活动总表!$A$8:$A$429,MATCH(B60,[2]活动总表!$B$8:$B$429,0))</f>
        <v>元旦-每日累充2天</v>
      </c>
      <c r="B60" s="32">
        <v>245</v>
      </c>
      <c r="C60" s="32">
        <v>3</v>
      </c>
      <c r="D60" s="32">
        <v>2</v>
      </c>
      <c r="E60" s="32">
        <v>5</v>
      </c>
      <c r="F60" s="32">
        <v>20000</v>
      </c>
      <c r="H60" s="32">
        <v>204030</v>
      </c>
      <c r="I60" s="1" t="str">
        <f>IFERROR(INDEX([1]物品基础表!$A:$A,MATCH(H60,[1]物品基础表!$B:$B,0)),"")</f>
        <v>元旦兑换</v>
      </c>
      <c r="J60" s="32">
        <v>50</v>
      </c>
      <c r="K60" s="32">
        <v>220011</v>
      </c>
      <c r="L60" s="1" t="str">
        <f>IFERROR(INDEX([1]物品基础表!$A:$A,MATCH(K60,[1]物品基础表!$B:$B,0)),"")</f>
        <v>高级秘籍宝箱</v>
      </c>
      <c r="M60" s="32">
        <v>1</v>
      </c>
      <c r="N60" s="32">
        <v>204065</v>
      </c>
      <c r="O60" s="1" t="str">
        <f>IFERROR(INDEX([1]物品基础表!$A:$A,MATCH(N60,[1]物品基础表!$B:$B,0)),"")</f>
        <v>超级转生轮回礼包</v>
      </c>
      <c r="P60" s="32">
        <v>1</v>
      </c>
      <c r="Q60" s="32">
        <v>200005</v>
      </c>
      <c r="R60" s="1" t="str">
        <f>IFERROR(INDEX([1]物品基础表!$A:$A,MATCH(Q60,[1]物品基础表!$B:$B,0)),"")</f>
        <v>龙魂碎片</v>
      </c>
      <c r="S60" s="32">
        <v>50</v>
      </c>
      <c r="U60" s="1" t="str">
        <f>IFERROR(INDEX([1]物品基础表!$A:$A,MATCH(T60,[1]物品基础表!$B:$B,0)),"")</f>
        <v/>
      </c>
      <c r="X60" s="1" t="str">
        <f>IFERROR(INDEX([1]物品基础表!$A:$A,MATCH(W60,[1]物品基础表!$B:$B,0)),"")</f>
        <v/>
      </c>
    </row>
    <row r="61" spans="1:24">
      <c r="A61" s="32" t="str">
        <f>INDEX([2]活动总表!$A$8:$A$429,MATCH(B61,[2]活动总表!$B$8:$B$429,0))</f>
        <v>元旦-每日累充3天</v>
      </c>
      <c r="B61" s="32">
        <v>246</v>
      </c>
      <c r="C61" s="32">
        <v>1</v>
      </c>
      <c r="D61" s="32">
        <v>2</v>
      </c>
      <c r="E61" s="32">
        <v>5</v>
      </c>
      <c r="F61" s="32">
        <v>2000</v>
      </c>
      <c r="H61" s="32">
        <v>2</v>
      </c>
      <c r="I61" s="1" t="str">
        <f>IF(H61=2,"元宝","神兵经验")</f>
        <v>元宝</v>
      </c>
      <c r="J61" s="32">
        <v>1000</v>
      </c>
      <c r="K61" s="32">
        <v>204064</v>
      </c>
      <c r="L61" s="1" t="str">
        <f>IFERROR(INDEX([1]物品基础表!$A:$A,MATCH(K61,[1]物品基础表!$B:$B,0)),"")</f>
        <v>高级转生轮回礼包</v>
      </c>
      <c r="M61" s="32">
        <v>3</v>
      </c>
      <c r="N61" s="32">
        <v>200005</v>
      </c>
      <c r="O61" s="1" t="str">
        <f>IFERROR(INDEX([1]物品基础表!$A:$A,MATCH(N61,[1]物品基础表!$B:$B,0)),"")</f>
        <v>龙魂碎片</v>
      </c>
      <c r="P61" s="32">
        <v>10</v>
      </c>
      <c r="Q61" s="32">
        <v>200004</v>
      </c>
      <c r="R61" s="1" t="str">
        <f>IFERROR(INDEX([1]物品基础表!$A:$A,MATCH(Q61,[1]物品基础表!$B:$B,0)),"")</f>
        <v>经脉丹</v>
      </c>
      <c r="S61" s="32">
        <v>10</v>
      </c>
      <c r="U61" s="1" t="str">
        <f>IFERROR(INDEX([1]物品基础表!$A:$A,MATCH(T61,[1]物品基础表!$B:$B,0)),"")</f>
        <v/>
      </c>
      <c r="X61" s="1" t="str">
        <f>IFERROR(INDEX([1]物品基础表!$A:$A,MATCH(W61,[1]物品基础表!$B:$B,0)),"")</f>
        <v/>
      </c>
    </row>
    <row r="62" spans="1:24">
      <c r="A62" s="32" t="str">
        <f>INDEX([2]活动总表!$A$8:$A$429,MATCH(B62,[2]活动总表!$B$8:$B$429,0))</f>
        <v>元旦-每日累充3天</v>
      </c>
      <c r="B62" s="32">
        <v>246</v>
      </c>
      <c r="C62" s="32">
        <v>2</v>
      </c>
      <c r="D62" s="32">
        <v>2</v>
      </c>
      <c r="E62" s="32">
        <v>5</v>
      </c>
      <c r="F62" s="32">
        <v>5000</v>
      </c>
      <c r="H62" s="32">
        <v>204030</v>
      </c>
      <c r="I62" s="1" t="str">
        <f>IFERROR(INDEX([1]物品基础表!$A:$A,MATCH(H62,[1]物品基础表!$B:$B,0)),"")</f>
        <v>元旦兑换</v>
      </c>
      <c r="J62" s="32">
        <v>30</v>
      </c>
      <c r="K62" s="32">
        <v>13</v>
      </c>
      <c r="L62" s="1" t="str">
        <f>IF(K62=2,"元宝","神兵经验")</f>
        <v>神兵经验</v>
      </c>
      <c r="M62" s="32">
        <v>1000000</v>
      </c>
      <c r="N62" s="32">
        <v>204064</v>
      </c>
      <c r="O62" s="1" t="str">
        <f>IFERROR(INDEX([1]物品基础表!$A:$A,MATCH(N62,[1]物品基础表!$B:$B,0)),"")</f>
        <v>高级转生轮回礼包</v>
      </c>
      <c r="P62" s="32">
        <v>5</v>
      </c>
      <c r="Q62" s="32">
        <v>200005</v>
      </c>
      <c r="R62" s="1" t="str">
        <f>IFERROR(INDEX([1]物品基础表!$A:$A,MATCH(Q62,[1]物品基础表!$B:$B,0)),"")</f>
        <v>龙魂碎片</v>
      </c>
      <c r="S62" s="32">
        <v>30</v>
      </c>
      <c r="U62" s="1" t="str">
        <f>IFERROR(INDEX([1]物品基础表!$A:$A,MATCH(T62,[1]物品基础表!$B:$B,0)),"")</f>
        <v/>
      </c>
      <c r="X62" s="1" t="str">
        <f>IFERROR(INDEX([1]物品基础表!$A:$A,MATCH(W62,[1]物品基础表!$B:$B,0)),"")</f>
        <v/>
      </c>
    </row>
    <row r="63" spans="1:24">
      <c r="A63" s="32" t="str">
        <f>INDEX([2]活动总表!$A$8:$A$429,MATCH(B63,[2]活动总表!$B$8:$B$429,0))</f>
        <v>元旦-每日累充3天</v>
      </c>
      <c r="B63" s="32">
        <v>246</v>
      </c>
      <c r="C63" s="32">
        <v>3</v>
      </c>
      <c r="D63" s="32">
        <v>2</v>
      </c>
      <c r="E63" s="32">
        <v>5</v>
      </c>
      <c r="F63" s="32">
        <v>20000</v>
      </c>
      <c r="H63" s="32">
        <v>204030</v>
      </c>
      <c r="I63" s="1" t="str">
        <f>IFERROR(INDEX([1]物品基础表!$A:$A,MATCH(H63,[1]物品基础表!$B:$B,0)),"")</f>
        <v>元旦兑换</v>
      </c>
      <c r="J63" s="32">
        <v>50</v>
      </c>
      <c r="K63" s="32">
        <v>220011</v>
      </c>
      <c r="L63" s="1" t="str">
        <f>IFERROR(INDEX([1]物品基础表!$A:$A,MATCH(K63,[1]物品基础表!$B:$B,0)),"")</f>
        <v>高级秘籍宝箱</v>
      </c>
      <c r="M63" s="32">
        <v>1</v>
      </c>
      <c r="N63" s="32">
        <v>204065</v>
      </c>
      <c r="O63" s="1" t="str">
        <f>IFERROR(INDEX([1]物品基础表!$A:$A,MATCH(N63,[1]物品基础表!$B:$B,0)),"")</f>
        <v>超级转生轮回礼包</v>
      </c>
      <c r="P63" s="32">
        <v>1</v>
      </c>
      <c r="Q63" s="32">
        <v>200005</v>
      </c>
      <c r="R63" s="1" t="str">
        <f>IFERROR(INDEX([1]物品基础表!$A:$A,MATCH(Q63,[1]物品基础表!$B:$B,0)),"")</f>
        <v>龙魂碎片</v>
      </c>
      <c r="S63" s="32">
        <v>50</v>
      </c>
      <c r="U63" s="1" t="str">
        <f>IFERROR(INDEX([1]物品基础表!$A:$A,MATCH(T63,[1]物品基础表!$B:$B,0)),"")</f>
        <v/>
      </c>
      <c r="X63" s="1" t="str">
        <f>IFERROR(INDEX([1]物品基础表!$A:$A,MATCH(W63,[1]物品基础表!$B:$B,0)),"")</f>
        <v/>
      </c>
    </row>
    <row r="64" spans="1:24">
      <c r="A64" s="32" t="str">
        <f>INDEX([2]活动总表!$A$8:$A$429,MATCH(B64,[2]活动总表!$B$8:$B$429,0))</f>
        <v>元旦-每日累充4天</v>
      </c>
      <c r="B64" s="32">
        <v>247</v>
      </c>
      <c r="C64" s="32">
        <v>1</v>
      </c>
      <c r="D64" s="32">
        <v>2</v>
      </c>
      <c r="E64" s="32">
        <v>5</v>
      </c>
      <c r="F64" s="32">
        <v>2000</v>
      </c>
      <c r="H64" s="32">
        <v>2</v>
      </c>
      <c r="I64" s="1" t="str">
        <f>IF(H64=2,"元宝","神兵经验")</f>
        <v>元宝</v>
      </c>
      <c r="J64" s="32">
        <v>1000</v>
      </c>
      <c r="K64" s="32">
        <v>204064</v>
      </c>
      <c r="L64" s="1" t="str">
        <f>IFERROR(INDEX([1]物品基础表!$A:$A,MATCH(K64,[1]物品基础表!$B:$B,0)),"")</f>
        <v>高级转生轮回礼包</v>
      </c>
      <c r="M64" s="32">
        <v>3</v>
      </c>
      <c r="N64" s="32">
        <v>200005</v>
      </c>
      <c r="O64" s="1" t="str">
        <f>IFERROR(INDEX([1]物品基础表!$A:$A,MATCH(N64,[1]物品基础表!$B:$B,0)),"")</f>
        <v>龙魂碎片</v>
      </c>
      <c r="P64" s="32">
        <v>10</v>
      </c>
      <c r="Q64" s="32">
        <v>200004</v>
      </c>
      <c r="R64" s="1" t="str">
        <f>IFERROR(INDEX([1]物品基础表!$A:$A,MATCH(Q64,[1]物品基础表!$B:$B,0)),"")</f>
        <v>经脉丹</v>
      </c>
      <c r="S64" s="32">
        <v>10</v>
      </c>
      <c r="U64" s="1" t="str">
        <f>IFERROR(INDEX([1]物品基础表!$A:$A,MATCH(T64,[1]物品基础表!$B:$B,0)),"")</f>
        <v/>
      </c>
      <c r="X64" s="1" t="str">
        <f>IFERROR(INDEX([1]物品基础表!$A:$A,MATCH(W64,[1]物品基础表!$B:$B,0)),"")</f>
        <v/>
      </c>
    </row>
    <row r="65" spans="1:24">
      <c r="A65" s="32" t="str">
        <f>INDEX([2]活动总表!$A$8:$A$429,MATCH(B65,[2]活动总表!$B$8:$B$429,0))</f>
        <v>元旦-每日累充4天</v>
      </c>
      <c r="B65" s="32">
        <v>247</v>
      </c>
      <c r="C65" s="32">
        <v>2</v>
      </c>
      <c r="D65" s="32">
        <v>2</v>
      </c>
      <c r="E65" s="32">
        <v>5</v>
      </c>
      <c r="F65" s="32">
        <v>5000</v>
      </c>
      <c r="H65" s="32">
        <v>204030</v>
      </c>
      <c r="I65" s="1" t="str">
        <f>IFERROR(INDEX([1]物品基础表!$A:$A,MATCH(H65,[1]物品基础表!$B:$B,0)),"")</f>
        <v>元旦兑换</v>
      </c>
      <c r="J65" s="32">
        <v>30</v>
      </c>
      <c r="K65" s="32">
        <v>13</v>
      </c>
      <c r="L65" s="1" t="str">
        <f>IF(K65=2,"元宝","神兵经验")</f>
        <v>神兵经验</v>
      </c>
      <c r="M65" s="32">
        <v>1000000</v>
      </c>
      <c r="N65" s="32">
        <v>204064</v>
      </c>
      <c r="O65" s="1" t="str">
        <f>IFERROR(INDEX([1]物品基础表!$A:$A,MATCH(N65,[1]物品基础表!$B:$B,0)),"")</f>
        <v>高级转生轮回礼包</v>
      </c>
      <c r="P65" s="32">
        <v>5</v>
      </c>
      <c r="Q65" s="32">
        <v>200005</v>
      </c>
      <c r="R65" s="1" t="str">
        <f>IFERROR(INDEX([1]物品基础表!$A:$A,MATCH(Q65,[1]物品基础表!$B:$B,0)),"")</f>
        <v>龙魂碎片</v>
      </c>
      <c r="S65" s="32">
        <v>30</v>
      </c>
      <c r="U65" s="1" t="str">
        <f>IFERROR(INDEX([1]物品基础表!$A:$A,MATCH(T65,[1]物品基础表!$B:$B,0)),"")</f>
        <v/>
      </c>
      <c r="X65" s="1" t="str">
        <f>IFERROR(INDEX([1]物品基础表!$A:$A,MATCH(W65,[1]物品基础表!$B:$B,0)),"")</f>
        <v/>
      </c>
    </row>
    <row r="66" spans="1:24">
      <c r="A66" s="32" t="str">
        <f>INDEX([2]活动总表!$A$8:$A$429,MATCH(B66,[2]活动总表!$B$8:$B$429,0))</f>
        <v>元旦-每日累充4天</v>
      </c>
      <c r="B66" s="32">
        <v>247</v>
      </c>
      <c r="C66" s="32">
        <v>3</v>
      </c>
      <c r="D66" s="32">
        <v>2</v>
      </c>
      <c r="E66" s="32">
        <v>5</v>
      </c>
      <c r="F66" s="32">
        <v>20000</v>
      </c>
      <c r="H66" s="32">
        <v>204030</v>
      </c>
      <c r="I66" s="1" t="str">
        <f>IFERROR(INDEX([1]物品基础表!$A:$A,MATCH(H66,[1]物品基础表!$B:$B,0)),"")</f>
        <v>元旦兑换</v>
      </c>
      <c r="J66" s="32">
        <v>50</v>
      </c>
      <c r="K66" s="32">
        <v>220011</v>
      </c>
      <c r="L66" s="1" t="str">
        <f>IFERROR(INDEX([1]物品基础表!$A:$A,MATCH(K66,[1]物品基础表!$B:$B,0)),"")</f>
        <v>高级秘籍宝箱</v>
      </c>
      <c r="M66" s="32">
        <v>1</v>
      </c>
      <c r="N66" s="32">
        <v>204065</v>
      </c>
      <c r="O66" s="1" t="str">
        <f>IFERROR(INDEX([1]物品基础表!$A:$A,MATCH(N66,[1]物品基础表!$B:$B,0)),"")</f>
        <v>超级转生轮回礼包</v>
      </c>
      <c r="P66" s="32">
        <v>1</v>
      </c>
      <c r="Q66" s="32">
        <v>200005</v>
      </c>
      <c r="R66" s="1" t="str">
        <f>IFERROR(INDEX([1]物品基础表!$A:$A,MATCH(Q66,[1]物品基础表!$B:$B,0)),"")</f>
        <v>龙魂碎片</v>
      </c>
      <c r="S66" s="32">
        <v>50</v>
      </c>
      <c r="U66" s="1" t="str">
        <f>IFERROR(INDEX([1]物品基础表!$A:$A,MATCH(T66,[1]物品基础表!$B:$B,0)),"")</f>
        <v/>
      </c>
      <c r="X66" s="1" t="str">
        <f>IFERROR(INDEX([1]物品基础表!$A:$A,MATCH(W66,[1]物品基础表!$B:$B,0)),"")</f>
        <v/>
      </c>
    </row>
    <row r="67" spans="1:24">
      <c r="A67" s="32" t="str">
        <f>INDEX([2]活动总表!$A$8:$A$429,MATCH(B67,[2]活动总表!$B$8:$B$429,0))</f>
        <v>元旦-每日累充5天</v>
      </c>
      <c r="B67" s="32">
        <v>248</v>
      </c>
      <c r="C67" s="32">
        <v>1</v>
      </c>
      <c r="D67" s="32">
        <v>2</v>
      </c>
      <c r="E67" s="32">
        <v>5</v>
      </c>
      <c r="F67" s="32">
        <v>2000</v>
      </c>
      <c r="H67" s="32">
        <v>2</v>
      </c>
      <c r="I67" s="1" t="str">
        <f>IF(H67=2,"元宝","神兵经验")</f>
        <v>元宝</v>
      </c>
      <c r="J67" s="32">
        <v>1000</v>
      </c>
      <c r="K67" s="32">
        <v>204064</v>
      </c>
      <c r="L67" s="1" t="str">
        <f>IFERROR(INDEX([1]物品基础表!$A:$A,MATCH(K67,[1]物品基础表!$B:$B,0)),"")</f>
        <v>高级转生轮回礼包</v>
      </c>
      <c r="M67" s="32">
        <v>3</v>
      </c>
      <c r="N67" s="32">
        <v>200005</v>
      </c>
      <c r="O67" s="1" t="str">
        <f>IFERROR(INDEX([1]物品基础表!$A:$A,MATCH(N67,[1]物品基础表!$B:$B,0)),"")</f>
        <v>龙魂碎片</v>
      </c>
      <c r="P67" s="32">
        <v>10</v>
      </c>
      <c r="Q67" s="32">
        <v>200004</v>
      </c>
      <c r="R67" s="1" t="str">
        <f>IFERROR(INDEX([1]物品基础表!$A:$A,MATCH(Q67,[1]物品基础表!$B:$B,0)),"")</f>
        <v>经脉丹</v>
      </c>
      <c r="S67" s="32">
        <v>10</v>
      </c>
      <c r="U67" s="1" t="str">
        <f>IFERROR(INDEX([1]物品基础表!$A:$A,MATCH(T67,[1]物品基础表!$B:$B,0)),"")</f>
        <v/>
      </c>
      <c r="X67" s="1" t="str">
        <f>IFERROR(INDEX([1]物品基础表!$A:$A,MATCH(W67,[1]物品基础表!$B:$B,0)),"")</f>
        <v/>
      </c>
    </row>
    <row r="68" spans="1:24">
      <c r="A68" s="32" t="str">
        <f>INDEX([2]活动总表!$A$8:$A$429,MATCH(B68,[2]活动总表!$B$8:$B$429,0))</f>
        <v>元旦-每日累充5天</v>
      </c>
      <c r="B68" s="32">
        <v>248</v>
      </c>
      <c r="C68" s="32">
        <v>2</v>
      </c>
      <c r="D68" s="32">
        <v>2</v>
      </c>
      <c r="E68" s="32">
        <v>5</v>
      </c>
      <c r="F68" s="32">
        <v>5000</v>
      </c>
      <c r="H68" s="32">
        <v>204030</v>
      </c>
      <c r="I68" s="1" t="str">
        <f>IFERROR(INDEX([1]物品基础表!$A:$A,MATCH(H68,[1]物品基础表!$B:$B,0)),"")</f>
        <v>元旦兑换</v>
      </c>
      <c r="J68" s="32">
        <v>30</v>
      </c>
      <c r="K68" s="32">
        <v>13</v>
      </c>
      <c r="L68" s="1" t="str">
        <f>IF(K68=2,"元宝","神兵经验")</f>
        <v>神兵经验</v>
      </c>
      <c r="M68" s="32">
        <v>1000000</v>
      </c>
      <c r="N68" s="32">
        <v>204064</v>
      </c>
      <c r="O68" s="1" t="str">
        <f>IFERROR(INDEX([1]物品基础表!$A:$A,MATCH(N68,[1]物品基础表!$B:$B,0)),"")</f>
        <v>高级转生轮回礼包</v>
      </c>
      <c r="P68" s="32">
        <v>5</v>
      </c>
      <c r="Q68" s="32">
        <v>200005</v>
      </c>
      <c r="R68" s="1" t="str">
        <f>IFERROR(INDEX([1]物品基础表!$A:$A,MATCH(Q68,[1]物品基础表!$B:$B,0)),"")</f>
        <v>龙魂碎片</v>
      </c>
      <c r="S68" s="32">
        <v>30</v>
      </c>
      <c r="U68" s="1" t="str">
        <f>IFERROR(INDEX([1]物品基础表!$A:$A,MATCH(T68,[1]物品基础表!$B:$B,0)),"")</f>
        <v/>
      </c>
      <c r="X68" s="1" t="str">
        <f>IFERROR(INDEX([1]物品基础表!$A:$A,MATCH(W68,[1]物品基础表!$B:$B,0)),"")</f>
        <v/>
      </c>
    </row>
    <row r="69" spans="1:24">
      <c r="A69" s="32" t="str">
        <f>INDEX([2]活动总表!$A$8:$A$429,MATCH(B69,[2]活动总表!$B$8:$B$429,0))</f>
        <v>元旦-每日累充5天</v>
      </c>
      <c r="B69" s="32">
        <v>248</v>
      </c>
      <c r="C69" s="32">
        <v>3</v>
      </c>
      <c r="D69" s="32">
        <v>2</v>
      </c>
      <c r="E69" s="32">
        <v>5</v>
      </c>
      <c r="F69" s="32">
        <v>20000</v>
      </c>
      <c r="H69" s="32">
        <v>204030</v>
      </c>
      <c r="I69" s="1" t="str">
        <f>IFERROR(INDEX([1]物品基础表!$A:$A,MATCH(H69,[1]物品基础表!$B:$B,0)),"")</f>
        <v>元旦兑换</v>
      </c>
      <c r="J69" s="32">
        <v>50</v>
      </c>
      <c r="K69" s="32">
        <v>220011</v>
      </c>
      <c r="L69" s="1" t="str">
        <f>IFERROR(INDEX([1]物品基础表!$A:$A,MATCH(K69,[1]物品基础表!$B:$B,0)),"")</f>
        <v>高级秘籍宝箱</v>
      </c>
      <c r="M69" s="32">
        <v>1</v>
      </c>
      <c r="N69" s="32">
        <v>204065</v>
      </c>
      <c r="O69" s="1" t="str">
        <f>IFERROR(INDEX([1]物品基础表!$A:$A,MATCH(N69,[1]物品基础表!$B:$B,0)),"")</f>
        <v>超级转生轮回礼包</v>
      </c>
      <c r="P69" s="32">
        <v>1</v>
      </c>
      <c r="Q69" s="32">
        <v>200005</v>
      </c>
      <c r="R69" s="1" t="str">
        <f>IFERROR(INDEX([1]物品基础表!$A:$A,MATCH(Q69,[1]物品基础表!$B:$B,0)),"")</f>
        <v>龙魂碎片</v>
      </c>
      <c r="S69" s="32">
        <v>50</v>
      </c>
      <c r="U69" s="1" t="str">
        <f>IFERROR(INDEX([1]物品基础表!$A:$A,MATCH(T69,[1]物品基础表!$B:$B,0)),"")</f>
        <v/>
      </c>
      <c r="X69" s="1" t="str">
        <f>IFERROR(INDEX([1]物品基础表!$A:$A,MATCH(W69,[1]物品基础表!$B:$B,0)),"")</f>
        <v/>
      </c>
    </row>
    <row r="70" spans="1:24">
      <c r="A70" s="32" t="str">
        <f>INDEX([2]活动总表!$A$8:$A$429,MATCH(B70,[2]活动总表!$B$8:$B$429,0))</f>
        <v>暖冬活动-累充1</v>
      </c>
      <c r="B70" s="32">
        <v>266</v>
      </c>
      <c r="C70" s="32">
        <v>1</v>
      </c>
      <c r="D70" s="32">
        <v>2</v>
      </c>
      <c r="E70" s="32">
        <v>3</v>
      </c>
      <c r="F70" s="32">
        <v>2000</v>
      </c>
      <c r="H70" s="32">
        <v>2</v>
      </c>
      <c r="I70" s="1" t="str">
        <f t="shared" ref="I70:I71" si="0">IF(H70=2,"元宝","神兵经验")</f>
        <v>元宝</v>
      </c>
      <c r="J70" s="32">
        <v>1000</v>
      </c>
      <c r="K70" s="32">
        <v>200004</v>
      </c>
      <c r="L70" s="1" t="str">
        <f>IFERROR(INDEX([1]物品基础表!$A:$A,MATCH(K70,[1]物品基础表!$B:$B,0)),"")</f>
        <v>经脉丹</v>
      </c>
      <c r="M70" s="32">
        <v>10</v>
      </c>
      <c r="N70" s="32">
        <v>204064</v>
      </c>
      <c r="O70" s="1" t="str">
        <f>IFERROR(INDEX([1]物品基础表!$A:$A,MATCH(N70,[1]物品基础表!$B:$B,0)),"")</f>
        <v>高级转生轮回礼包</v>
      </c>
      <c r="P70" s="32">
        <v>3</v>
      </c>
      <c r="Q70" s="32">
        <v>200005</v>
      </c>
      <c r="R70" s="1" t="str">
        <f>IFERROR(INDEX([1]物品基础表!$A:$A,MATCH(Q70,[1]物品基础表!$B:$B,0)),"")</f>
        <v>龙魂碎片</v>
      </c>
      <c r="S70" s="32">
        <v>10</v>
      </c>
      <c r="U70" s="1" t="str">
        <f>IFERROR(INDEX([1]物品基础表!$A:$A,MATCH(T70,[1]物品基础表!$B:$B,0)),"")</f>
        <v/>
      </c>
      <c r="X70" s="1" t="str">
        <f>IFERROR(INDEX([1]物品基础表!$A:$A,MATCH(W70,[1]物品基础表!$B:$B,0)),"")</f>
        <v/>
      </c>
    </row>
    <row r="71" spans="1:24">
      <c r="A71" s="32" t="str">
        <f>INDEX([2]活动总表!$A$8:$A$429,MATCH(B71,[2]活动总表!$B$8:$B$429,0))</f>
        <v>暖冬活动-累充1</v>
      </c>
      <c r="B71" s="32">
        <v>266</v>
      </c>
      <c r="C71" s="32">
        <v>2</v>
      </c>
      <c r="D71" s="32">
        <v>2</v>
      </c>
      <c r="E71" s="32">
        <v>3</v>
      </c>
      <c r="F71" s="32">
        <v>5000</v>
      </c>
      <c r="H71" s="32">
        <v>13</v>
      </c>
      <c r="I71" s="1" t="str">
        <f t="shared" si="0"/>
        <v>神兵经验</v>
      </c>
      <c r="J71" s="32">
        <v>1000000</v>
      </c>
      <c r="K71" s="32">
        <v>204067</v>
      </c>
      <c r="L71" s="1" t="str">
        <f>IFERROR(INDEX([1]物品基础表!$A:$A,MATCH(K71,[1]物品基础表!$B:$B,0)),"")</f>
        <v>玉佩升级道具2</v>
      </c>
      <c r="M71" s="32">
        <v>1</v>
      </c>
      <c r="N71" s="32">
        <v>204064</v>
      </c>
      <c r="O71" s="1" t="str">
        <f>IFERROR(INDEX([1]物品基础表!$A:$A,MATCH(N71,[1]物品基础表!$B:$B,0)),"")</f>
        <v>高级转生轮回礼包</v>
      </c>
      <c r="P71" s="32">
        <v>5</v>
      </c>
      <c r="Q71" s="32">
        <v>200005</v>
      </c>
      <c r="R71" s="1" t="str">
        <f>IFERROR(INDEX([1]物品基础表!$A:$A,MATCH(Q71,[1]物品基础表!$B:$B,0)),"")</f>
        <v>龙魂碎片</v>
      </c>
      <c r="S71" s="32">
        <v>30</v>
      </c>
      <c r="U71" s="1" t="str">
        <f>IFERROR(INDEX([1]物品基础表!$A:$A,MATCH(T71,[1]物品基础表!$B:$B,0)),"")</f>
        <v/>
      </c>
      <c r="X71" s="1" t="str">
        <f>IFERROR(INDEX([1]物品基础表!$A:$A,MATCH(W71,[1]物品基础表!$B:$B,0)),"")</f>
        <v/>
      </c>
    </row>
    <row r="72" spans="1:24">
      <c r="A72" s="32" t="str">
        <f>INDEX([2]活动总表!$A$8:$A$429,MATCH(B72,[2]活动总表!$B$8:$B$429,0))</f>
        <v>暖冬活动-累充1</v>
      </c>
      <c r="B72" s="32">
        <v>266</v>
      </c>
      <c r="C72" s="32">
        <v>3</v>
      </c>
      <c r="D72" s="32">
        <v>2</v>
      </c>
      <c r="E72" s="32">
        <v>3</v>
      </c>
      <c r="F72" s="32">
        <v>20000</v>
      </c>
      <c r="H72" s="32">
        <v>204071</v>
      </c>
      <c r="I72" s="1" t="str">
        <f>IFERROR(INDEX([1]物品基础表!$A:$A,MATCH(H72,[1]物品基础表!$B:$B,0)),"")</f>
        <v>玉佩温养道具3</v>
      </c>
      <c r="J72" s="32">
        <v>1</v>
      </c>
      <c r="K72" s="32">
        <v>204069</v>
      </c>
      <c r="L72" s="1" t="str">
        <f>IFERROR(INDEX([1]物品基础表!$A:$A,MATCH(K72,[1]物品基础表!$B:$B,0)),"")</f>
        <v>玉佩温养道具1</v>
      </c>
      <c r="M72" s="32">
        <v>1</v>
      </c>
      <c r="N72" s="32">
        <v>204065</v>
      </c>
      <c r="O72" s="1" t="str">
        <f>IFERROR(INDEX([1]物品基础表!$A:$A,MATCH(N72,[1]物品基础表!$B:$B,0)),"")</f>
        <v>超级转生轮回礼包</v>
      </c>
      <c r="P72" s="32">
        <v>1</v>
      </c>
      <c r="Q72" s="32">
        <v>204070</v>
      </c>
      <c r="R72" s="1" t="str">
        <f>IFERROR(INDEX([1]物品基础表!$A:$A,MATCH(Q72,[1]物品基础表!$B:$B,0)),"")</f>
        <v>玉佩温养道具2</v>
      </c>
      <c r="S72" s="32">
        <v>1</v>
      </c>
      <c r="U72" s="1" t="str">
        <f>IFERROR(INDEX([1]物品基础表!$A:$A,MATCH(T72,[1]物品基础表!$B:$B,0)),"")</f>
        <v/>
      </c>
      <c r="X72" s="1" t="str">
        <f>IFERROR(INDEX([1]物品基础表!$A:$A,MATCH(W72,[1]物品基础表!$B:$B,0)),"")</f>
        <v/>
      </c>
    </row>
    <row r="73" spans="1:24">
      <c r="A73" s="32" t="str">
        <f>INDEX([2]活动总表!$A$8:$A$429,MATCH(B73,[2]活动总表!$B$8:$B$429,0))</f>
        <v>暖冬活动-累充2</v>
      </c>
      <c r="B73" s="32">
        <v>267</v>
      </c>
      <c r="C73" s="32">
        <v>1</v>
      </c>
      <c r="D73" s="32">
        <v>2</v>
      </c>
      <c r="E73" s="32">
        <v>3</v>
      </c>
      <c r="F73" s="32">
        <v>2000</v>
      </c>
      <c r="H73" s="32">
        <v>2</v>
      </c>
      <c r="I73" s="1" t="str">
        <f t="shared" ref="I73:I74" si="1">IF(H73=2,"元宝","神兵经验")</f>
        <v>元宝</v>
      </c>
      <c r="J73" s="32">
        <v>1000</v>
      </c>
      <c r="K73" s="32">
        <v>200004</v>
      </c>
      <c r="L73" s="1" t="str">
        <f>IFERROR(INDEX([1]物品基础表!$A:$A,MATCH(K73,[1]物品基础表!$B:$B,0)),"")</f>
        <v>经脉丹</v>
      </c>
      <c r="M73" s="32">
        <v>10</v>
      </c>
      <c r="N73" s="32">
        <v>204064</v>
      </c>
      <c r="O73" s="1" t="str">
        <f>IFERROR(INDEX([1]物品基础表!$A:$A,MATCH(N73,[1]物品基础表!$B:$B,0)),"")</f>
        <v>高级转生轮回礼包</v>
      </c>
      <c r="P73" s="32">
        <v>3</v>
      </c>
      <c r="Q73" s="32">
        <v>200005</v>
      </c>
      <c r="R73" s="1" t="str">
        <f>IFERROR(INDEX([1]物品基础表!$A:$A,MATCH(Q73,[1]物品基础表!$B:$B,0)),"")</f>
        <v>龙魂碎片</v>
      </c>
      <c r="S73" s="32">
        <v>10</v>
      </c>
      <c r="U73" s="1" t="str">
        <f>IFERROR(INDEX([1]物品基础表!$A:$A,MATCH(T73,[1]物品基础表!$B:$B,0)),"")</f>
        <v/>
      </c>
      <c r="X73" s="1" t="str">
        <f>IFERROR(INDEX([1]物品基础表!$A:$A,MATCH(W73,[1]物品基础表!$B:$B,0)),"")</f>
        <v/>
      </c>
    </row>
    <row r="74" spans="1:24">
      <c r="A74" s="32" t="str">
        <f>INDEX([2]活动总表!$A$8:$A$429,MATCH(B74,[2]活动总表!$B$8:$B$429,0))</f>
        <v>暖冬活动-累充2</v>
      </c>
      <c r="B74" s="32">
        <v>267</v>
      </c>
      <c r="C74" s="32">
        <v>2</v>
      </c>
      <c r="D74" s="32">
        <v>2</v>
      </c>
      <c r="E74" s="32">
        <v>3</v>
      </c>
      <c r="F74" s="32">
        <v>5000</v>
      </c>
      <c r="H74" s="32">
        <v>13</v>
      </c>
      <c r="I74" s="1" t="str">
        <f t="shared" si="1"/>
        <v>神兵经验</v>
      </c>
      <c r="J74" s="32">
        <v>1000000</v>
      </c>
      <c r="K74" s="32">
        <v>204067</v>
      </c>
      <c r="L74" s="1" t="str">
        <f>IFERROR(INDEX([1]物品基础表!$A:$A,MATCH(K74,[1]物品基础表!$B:$B,0)),"")</f>
        <v>玉佩升级道具2</v>
      </c>
      <c r="M74" s="32">
        <v>1</v>
      </c>
      <c r="N74" s="32">
        <v>204064</v>
      </c>
      <c r="O74" s="1" t="str">
        <f>IFERROR(INDEX([1]物品基础表!$A:$A,MATCH(N74,[1]物品基础表!$B:$B,0)),"")</f>
        <v>高级转生轮回礼包</v>
      </c>
      <c r="P74" s="32">
        <v>5</v>
      </c>
      <c r="Q74" s="32">
        <v>200005</v>
      </c>
      <c r="R74" s="1" t="str">
        <f>IFERROR(INDEX([1]物品基础表!$A:$A,MATCH(Q74,[1]物品基础表!$B:$B,0)),"")</f>
        <v>龙魂碎片</v>
      </c>
      <c r="S74" s="32">
        <v>30</v>
      </c>
      <c r="U74" s="1" t="str">
        <f>IFERROR(INDEX([1]物品基础表!$A:$A,MATCH(T74,[1]物品基础表!$B:$B,0)),"")</f>
        <v/>
      </c>
      <c r="X74" s="1" t="str">
        <f>IFERROR(INDEX([1]物品基础表!$A:$A,MATCH(W74,[1]物品基础表!$B:$B,0)),"")</f>
        <v/>
      </c>
    </row>
    <row r="75" spans="1:24">
      <c r="A75" s="32" t="str">
        <f>INDEX([2]活动总表!$A$8:$A$429,MATCH(B75,[2]活动总表!$B$8:$B$429,0))</f>
        <v>暖冬活动-累充2</v>
      </c>
      <c r="B75" s="32">
        <v>267</v>
      </c>
      <c r="C75" s="32">
        <v>3</v>
      </c>
      <c r="D75" s="32">
        <v>2</v>
      </c>
      <c r="E75" s="32">
        <v>3</v>
      </c>
      <c r="F75" s="32">
        <v>20000</v>
      </c>
      <c r="H75" s="32">
        <v>204071</v>
      </c>
      <c r="I75" s="1" t="str">
        <f>IFERROR(INDEX([1]物品基础表!$A:$A,MATCH(H75,[1]物品基础表!$B:$B,0)),"")</f>
        <v>玉佩温养道具3</v>
      </c>
      <c r="J75" s="32">
        <v>1</v>
      </c>
      <c r="K75" s="32">
        <v>204069</v>
      </c>
      <c r="L75" s="1" t="str">
        <f>IFERROR(INDEX([1]物品基础表!$A:$A,MATCH(K75,[1]物品基础表!$B:$B,0)),"")</f>
        <v>玉佩温养道具1</v>
      </c>
      <c r="M75" s="32">
        <v>1</v>
      </c>
      <c r="N75" s="32">
        <v>204065</v>
      </c>
      <c r="O75" s="1" t="str">
        <f>IFERROR(INDEX([1]物品基础表!$A:$A,MATCH(N75,[1]物品基础表!$B:$B,0)),"")</f>
        <v>超级转生轮回礼包</v>
      </c>
      <c r="P75" s="32">
        <v>1</v>
      </c>
      <c r="Q75" s="32">
        <v>204070</v>
      </c>
      <c r="R75" s="1" t="str">
        <f>IFERROR(INDEX([1]物品基础表!$A:$A,MATCH(Q75,[1]物品基础表!$B:$B,0)),"")</f>
        <v>玉佩温养道具2</v>
      </c>
      <c r="S75" s="32">
        <v>1</v>
      </c>
      <c r="U75" s="1" t="str">
        <f>IFERROR(INDEX([1]物品基础表!$A:$A,MATCH(T75,[1]物品基础表!$B:$B,0)),"")</f>
        <v/>
      </c>
      <c r="X75" s="1" t="str">
        <f>IFERROR(INDEX([1]物品基础表!$A:$A,MATCH(W75,[1]物品基础表!$B:$B,0)),"")</f>
        <v/>
      </c>
    </row>
    <row r="76" spans="1:24">
      <c r="A76" s="32" t="str">
        <f>INDEX([2]活动总表!$A$8:$A$429,MATCH(B76,[2]活动总表!$B$8:$B$429,0))</f>
        <v>暖冬活动-累充3</v>
      </c>
      <c r="B76" s="32">
        <v>268</v>
      </c>
      <c r="C76" s="32">
        <v>1</v>
      </c>
      <c r="D76" s="32">
        <v>2</v>
      </c>
      <c r="E76" s="32">
        <v>3</v>
      </c>
      <c r="F76" s="32">
        <v>2000</v>
      </c>
      <c r="H76" s="32">
        <v>2</v>
      </c>
      <c r="I76" s="1" t="str">
        <f t="shared" ref="I76:I77" si="2">IF(H76=2,"元宝","神兵经验")</f>
        <v>元宝</v>
      </c>
      <c r="J76" s="32">
        <v>1000</v>
      </c>
      <c r="K76" s="32">
        <v>200004</v>
      </c>
      <c r="L76" s="1" t="str">
        <f>IFERROR(INDEX([1]物品基础表!$A:$A,MATCH(K76,[1]物品基础表!$B:$B,0)),"")</f>
        <v>经脉丹</v>
      </c>
      <c r="M76" s="32">
        <v>10</v>
      </c>
      <c r="N76" s="32">
        <v>204064</v>
      </c>
      <c r="O76" s="1" t="str">
        <f>IFERROR(INDEX([1]物品基础表!$A:$A,MATCH(N76,[1]物品基础表!$B:$B,0)),"")</f>
        <v>高级转生轮回礼包</v>
      </c>
      <c r="P76" s="32">
        <v>3</v>
      </c>
      <c r="Q76" s="32">
        <v>200005</v>
      </c>
      <c r="R76" s="1" t="str">
        <f>IFERROR(INDEX([1]物品基础表!$A:$A,MATCH(Q76,[1]物品基础表!$B:$B,0)),"")</f>
        <v>龙魂碎片</v>
      </c>
      <c r="S76" s="32">
        <v>10</v>
      </c>
      <c r="U76" s="1" t="str">
        <f>IFERROR(INDEX([1]物品基础表!$A:$A,MATCH(T76,[1]物品基础表!$B:$B,0)),"")</f>
        <v/>
      </c>
      <c r="X76" s="1" t="str">
        <f>IFERROR(INDEX([1]物品基础表!$A:$A,MATCH(W76,[1]物品基础表!$B:$B,0)),"")</f>
        <v/>
      </c>
    </row>
    <row r="77" spans="1:24">
      <c r="A77" s="32" t="str">
        <f>INDEX([2]活动总表!$A$8:$A$429,MATCH(B77,[2]活动总表!$B$8:$B$429,0))</f>
        <v>暖冬活动-累充3</v>
      </c>
      <c r="B77" s="32">
        <v>268</v>
      </c>
      <c r="C77" s="32">
        <v>2</v>
      </c>
      <c r="D77" s="32">
        <v>2</v>
      </c>
      <c r="E77" s="32">
        <v>3</v>
      </c>
      <c r="F77" s="32">
        <v>5000</v>
      </c>
      <c r="H77" s="32">
        <v>13</v>
      </c>
      <c r="I77" s="1" t="str">
        <f t="shared" si="2"/>
        <v>神兵经验</v>
      </c>
      <c r="J77" s="32">
        <v>1000000</v>
      </c>
      <c r="K77" s="32">
        <v>204067</v>
      </c>
      <c r="L77" s="1" t="str">
        <f>IFERROR(INDEX([1]物品基础表!$A:$A,MATCH(K77,[1]物品基础表!$B:$B,0)),"")</f>
        <v>玉佩升级道具2</v>
      </c>
      <c r="M77" s="32">
        <v>1</v>
      </c>
      <c r="N77" s="32">
        <v>204064</v>
      </c>
      <c r="O77" s="1" t="str">
        <f>IFERROR(INDEX([1]物品基础表!$A:$A,MATCH(N77,[1]物品基础表!$B:$B,0)),"")</f>
        <v>高级转生轮回礼包</v>
      </c>
      <c r="P77" s="32">
        <v>5</v>
      </c>
      <c r="Q77" s="32">
        <v>200005</v>
      </c>
      <c r="R77" s="1" t="str">
        <f>IFERROR(INDEX([1]物品基础表!$A:$A,MATCH(Q77,[1]物品基础表!$B:$B,0)),"")</f>
        <v>龙魂碎片</v>
      </c>
      <c r="S77" s="32">
        <v>30</v>
      </c>
      <c r="U77" s="1" t="str">
        <f>IFERROR(INDEX([1]物品基础表!$A:$A,MATCH(T77,[1]物品基础表!$B:$B,0)),"")</f>
        <v/>
      </c>
      <c r="X77" s="1" t="str">
        <f>IFERROR(INDEX([1]物品基础表!$A:$A,MATCH(W77,[1]物品基础表!$B:$B,0)),"")</f>
        <v/>
      </c>
    </row>
    <row r="78" spans="1:24">
      <c r="A78" s="32" t="str">
        <f>INDEX([2]活动总表!$A$8:$A$429,MATCH(B78,[2]活动总表!$B$8:$B$429,0))</f>
        <v>暖冬活动-累充3</v>
      </c>
      <c r="B78" s="32">
        <v>268</v>
      </c>
      <c r="C78" s="32">
        <v>3</v>
      </c>
      <c r="D78" s="32">
        <v>2</v>
      </c>
      <c r="E78" s="32">
        <v>3</v>
      </c>
      <c r="F78" s="32">
        <v>20000</v>
      </c>
      <c r="H78" s="32">
        <v>204071</v>
      </c>
      <c r="I78" s="1" t="str">
        <f>IFERROR(INDEX([1]物品基础表!$A:$A,MATCH(H78,[1]物品基础表!$B:$B,0)),"")</f>
        <v>玉佩温养道具3</v>
      </c>
      <c r="J78" s="32">
        <v>1</v>
      </c>
      <c r="K78" s="32">
        <v>204069</v>
      </c>
      <c r="L78" s="1" t="str">
        <f>IFERROR(INDEX([1]物品基础表!$A:$A,MATCH(K78,[1]物品基础表!$B:$B,0)),"")</f>
        <v>玉佩温养道具1</v>
      </c>
      <c r="M78" s="32">
        <v>1</v>
      </c>
      <c r="N78" s="32">
        <v>204065</v>
      </c>
      <c r="O78" s="1" t="str">
        <f>IFERROR(INDEX([1]物品基础表!$A:$A,MATCH(N78,[1]物品基础表!$B:$B,0)),"")</f>
        <v>超级转生轮回礼包</v>
      </c>
      <c r="P78" s="32">
        <v>1</v>
      </c>
      <c r="Q78" s="32">
        <v>204070</v>
      </c>
      <c r="R78" s="1" t="str">
        <f>IFERROR(INDEX([1]物品基础表!$A:$A,MATCH(Q78,[1]物品基础表!$B:$B,0)),"")</f>
        <v>玉佩温养道具2</v>
      </c>
      <c r="S78" s="32">
        <v>1</v>
      </c>
      <c r="U78" s="1" t="str">
        <f>IFERROR(INDEX([1]物品基础表!$A:$A,MATCH(T78,[1]物品基础表!$B:$B,0)),"")</f>
        <v/>
      </c>
      <c r="X78" s="1" t="str">
        <f>IFERROR(INDEX([1]物品基础表!$A:$A,MATCH(W78,[1]物品基础表!$B:$B,0)),"")</f>
        <v/>
      </c>
    </row>
    <row r="79" spans="1:24">
      <c r="A79" s="32" t="str">
        <f>INDEX([2]活动总表!$A$8:$A$429,MATCH(B79,[2]活动总表!$B$8:$B$429,0))</f>
        <v>版本庆典-累充</v>
      </c>
      <c r="B79" s="32">
        <v>311</v>
      </c>
      <c r="C79" s="32">
        <v>1</v>
      </c>
      <c r="D79" s="32">
        <v>2</v>
      </c>
      <c r="E79" s="32">
        <v>5</v>
      </c>
      <c r="F79" s="32">
        <v>2800</v>
      </c>
      <c r="H79" s="32">
        <v>200925</v>
      </c>
      <c r="I79" s="1" t="str">
        <f>IFERROR(INDEX([1]物品基础表!$A:$A,MATCH(H79,[1]物品基础表!$B:$B,0)),"")</f>
        <v>红色战纹任选宝箱</v>
      </c>
      <c r="J79" s="32">
        <v>1</v>
      </c>
      <c r="K79" s="32">
        <v>200015</v>
      </c>
      <c r="L79" s="1" t="str">
        <f>IFERROR(INDEX([1]物品基础表!$A:$A,MATCH(K79,[1]物品基础表!$B:$B,0)),"")</f>
        <v>特戒碎片</v>
      </c>
      <c r="M79" s="32">
        <v>50</v>
      </c>
      <c r="N79" s="32">
        <v>500006</v>
      </c>
      <c r="O79" s="1" t="str">
        <f>IFERROR(INDEX([1]物品基础表!$A:$A,MATCH(N79,[1]物品基础表!$B:$B,0)),"")</f>
        <v>战纹精华-金</v>
      </c>
      <c r="P79" s="32">
        <v>1</v>
      </c>
      <c r="Q79" s="32">
        <v>1</v>
      </c>
      <c r="R79" s="1" t="s">
        <v>695</v>
      </c>
      <c r="S79" s="32">
        <v>1000000</v>
      </c>
      <c r="U79" s="1" t="str">
        <f>IFERROR(INDEX([1]物品基础表!$A:$A,MATCH(T79,[1]物品基础表!$B:$B,0)),"")</f>
        <v/>
      </c>
      <c r="X79" s="1" t="str">
        <f>IFERROR(INDEX([1]物品基础表!$A:$A,MATCH(W79,[1]物品基础表!$B:$B,0)),"")</f>
        <v/>
      </c>
    </row>
    <row r="80" spans="1:24">
      <c r="A80" s="32" t="str">
        <f>INDEX([2]活动总表!$A$8:$A$429,MATCH(B80,[2]活动总表!$B$8:$B$429,0))</f>
        <v>版本庆典-累充</v>
      </c>
      <c r="B80" s="32">
        <v>311</v>
      </c>
      <c r="C80" s="32">
        <v>2</v>
      </c>
      <c r="D80" s="32">
        <v>2</v>
      </c>
      <c r="E80" s="32">
        <v>5</v>
      </c>
      <c r="F80" s="32">
        <v>6800</v>
      </c>
      <c r="H80" s="32">
        <v>204067</v>
      </c>
      <c r="I80" s="1" t="str">
        <f>IFERROR(INDEX([1]物品基础表!$A:$A,MATCH(H80,[1]物品基础表!$B:$B,0)),"")</f>
        <v>玉佩升级道具2</v>
      </c>
      <c r="J80" s="32">
        <v>1</v>
      </c>
      <c r="K80" s="32">
        <v>13</v>
      </c>
      <c r="L80" s="1" t="str">
        <f>IF(K80=2,"元宝","神兵经验")</f>
        <v>神兵经验</v>
      </c>
      <c r="M80" s="32">
        <v>1000000</v>
      </c>
      <c r="N80" s="32">
        <v>500006</v>
      </c>
      <c r="O80" s="1" t="str">
        <f>IFERROR(INDEX([1]物品基础表!$A:$A,MATCH(N80,[1]物品基础表!$B:$B,0)),"")</f>
        <v>战纹精华-金</v>
      </c>
      <c r="P80" s="32">
        <v>1</v>
      </c>
      <c r="Q80" s="32">
        <v>1</v>
      </c>
      <c r="R80" s="1" t="s">
        <v>695</v>
      </c>
      <c r="S80" s="32">
        <v>2000000</v>
      </c>
      <c r="U80" s="1" t="str">
        <f>IFERROR(INDEX([1]物品基础表!$A:$A,MATCH(T80,[1]物品基础表!$B:$B,0)),"")</f>
        <v/>
      </c>
      <c r="X80" s="1" t="str">
        <f>IFERROR(INDEX([1]物品基础表!$A:$A,MATCH(W80,[1]物品基础表!$B:$B,0)),"")</f>
        <v/>
      </c>
    </row>
    <row r="81" spans="1:24">
      <c r="A81" s="32" t="str">
        <f>INDEX([2]活动总表!$A$8:$A$429,MATCH(B81,[2]活动总表!$B$8:$B$429,0))</f>
        <v>版本庆典-累充</v>
      </c>
      <c r="B81" s="32">
        <v>311</v>
      </c>
      <c r="C81" s="32">
        <v>3</v>
      </c>
      <c r="D81" s="32">
        <v>2</v>
      </c>
      <c r="E81" s="32">
        <v>5</v>
      </c>
      <c r="F81" s="32">
        <v>12800</v>
      </c>
      <c r="H81" s="32">
        <v>204065</v>
      </c>
      <c r="I81" s="1" t="str">
        <f>IFERROR(INDEX([1]物品基础表!$A:$A,MATCH(H81,[1]物品基础表!$B:$B,0)),"")</f>
        <v>超级转生轮回礼包</v>
      </c>
      <c r="J81" s="32">
        <v>1</v>
      </c>
      <c r="K81" s="32">
        <v>200015</v>
      </c>
      <c r="L81" s="1" t="str">
        <f>IFERROR(INDEX([1]物品基础表!$A:$A,MATCH(K81,[1]物品基础表!$B:$B,0)),"")</f>
        <v>特戒碎片</v>
      </c>
      <c r="M81" s="32">
        <v>100</v>
      </c>
      <c r="N81" s="32">
        <v>500006</v>
      </c>
      <c r="O81" s="1" t="str">
        <f>IFERROR(INDEX([1]物品基础表!$A:$A,MATCH(N81,[1]物品基础表!$B:$B,0)),"")</f>
        <v>战纹精华-金</v>
      </c>
      <c r="P81" s="32">
        <v>2</v>
      </c>
      <c r="Q81" s="32">
        <v>200005</v>
      </c>
      <c r="R81" s="1" t="str">
        <f>IFERROR(INDEX([1]物品基础表!$A:$A,MATCH(Q81,[1]物品基础表!$B:$B,0)),"")</f>
        <v>龙魂碎片</v>
      </c>
      <c r="S81" s="32">
        <v>10</v>
      </c>
      <c r="U81" s="1" t="str">
        <f>IFERROR(INDEX([1]物品基础表!$A:$A,MATCH(T81,[1]物品基础表!$B:$B,0)),"")</f>
        <v/>
      </c>
      <c r="X81" s="1" t="str">
        <f>IFERROR(INDEX([1]物品基础表!$A:$A,MATCH(W81,[1]物品基础表!$B:$B,0)),"")</f>
        <v/>
      </c>
    </row>
    <row r="82" spans="1:24">
      <c r="A82" s="32" t="str">
        <f>INDEX([2]活动总表!$A$8:$A$429,MATCH(B82,[2]活动总表!$B$8:$B$429,0))</f>
        <v>版本庆典-累充</v>
      </c>
      <c r="B82" s="32">
        <v>311</v>
      </c>
      <c r="C82" s="32">
        <v>4</v>
      </c>
      <c r="D82" s="32">
        <v>2</v>
      </c>
      <c r="E82" s="32">
        <v>5</v>
      </c>
      <c r="F82" s="32">
        <v>38800</v>
      </c>
      <c r="H82" s="32">
        <v>200996</v>
      </c>
      <c r="I82" s="1" t="str">
        <f>IFERROR(INDEX([1]物品基础表!$A:$A,MATCH(H82,[1]物品基础表!$B:$B,0)),"")</f>
        <v>魅惑兵魂一套</v>
      </c>
      <c r="J82" s="32">
        <v>1</v>
      </c>
      <c r="K82" s="32">
        <v>200015</v>
      </c>
      <c r="L82" s="1" t="str">
        <f>IFERROR(INDEX([1]物品基础表!$A:$A,MATCH(K82,[1]物品基础表!$B:$B,0)),"")</f>
        <v>特戒碎片</v>
      </c>
      <c r="M82" s="32">
        <v>100</v>
      </c>
      <c r="N82" s="32">
        <v>500006</v>
      </c>
      <c r="O82" s="1" t="str">
        <f>IFERROR(INDEX([1]物品基础表!$A:$A,MATCH(N82,[1]物品基础表!$B:$B,0)),"")</f>
        <v>战纹精华-金</v>
      </c>
      <c r="P82" s="32">
        <v>2</v>
      </c>
      <c r="Q82" s="32">
        <v>200005</v>
      </c>
      <c r="R82" s="1" t="str">
        <f>IFERROR(INDEX([1]物品基础表!$A:$A,MATCH(Q82,[1]物品基础表!$B:$B,0)),"")</f>
        <v>龙魂碎片</v>
      </c>
      <c r="S82" s="32">
        <v>10</v>
      </c>
      <c r="U82" s="1" t="str">
        <f>IFERROR(INDEX([1]物品基础表!$A:$A,MATCH(T82,[1]物品基础表!$B:$B,0)),"")</f>
        <v/>
      </c>
      <c r="X82" s="1" t="str">
        <f>IFERROR(INDEX([1]物品基础表!$A:$A,MATCH(W82,[1]物品基础表!$B:$B,0)),"")</f>
        <v/>
      </c>
    </row>
    <row r="83" spans="1:24">
      <c r="A83" s="32" t="str">
        <f>INDEX([2]活动总表!$A$8:$A$429,MATCH(B83,[2]活动总表!$B$8:$B$429,0))</f>
        <v>版本庆典-累充</v>
      </c>
      <c r="B83" s="32">
        <v>311</v>
      </c>
      <c r="C83" s="32">
        <v>5</v>
      </c>
      <c r="D83" s="32">
        <v>2</v>
      </c>
      <c r="E83" s="32">
        <v>5</v>
      </c>
      <c r="F83" s="32">
        <v>58800</v>
      </c>
      <c r="H83" s="32">
        <v>200326</v>
      </c>
      <c r="I83" s="1" t="str">
        <f>IFERROR(INDEX([1]物品基础表!$A:$A,MATCH(H83,[1]物品基础表!$B:$B,0)),"")</f>
        <v>兵魂之灵</v>
      </c>
      <c r="J83" s="32">
        <v>1</v>
      </c>
      <c r="K83" s="32">
        <v>200015</v>
      </c>
      <c r="L83" s="1" t="str">
        <f>IFERROR(INDEX([1]物品基础表!$A:$A,MATCH(K83,[1]物品基础表!$B:$B,0)),"")</f>
        <v>特戒碎片</v>
      </c>
      <c r="M83" s="32">
        <v>200</v>
      </c>
      <c r="N83" s="32">
        <v>500006</v>
      </c>
      <c r="O83" s="1" t="str">
        <f>IFERROR(INDEX([1]物品基础表!$A:$A,MATCH(N83,[1]物品基础表!$B:$B,0)),"")</f>
        <v>战纹精华-金</v>
      </c>
      <c r="P83" s="32">
        <v>4</v>
      </c>
      <c r="Q83" s="32">
        <v>200005</v>
      </c>
      <c r="R83" s="1" t="str">
        <f>IFERROR(INDEX([1]物品基础表!$A:$A,MATCH(Q83,[1]物品基础表!$B:$B,0)),"")</f>
        <v>龙魂碎片</v>
      </c>
      <c r="S83" s="32">
        <v>20</v>
      </c>
      <c r="U83" s="1" t="str">
        <f>IFERROR(INDEX([1]物品基础表!$A:$A,MATCH(T83,[1]物品基础表!$B:$B,0)),"")</f>
        <v/>
      </c>
      <c r="X83" s="1" t="str">
        <f>IFERROR(INDEX([1]物品基础表!$A:$A,MATCH(W83,[1]物品基础表!$B:$B,0)),"")</f>
        <v/>
      </c>
    </row>
    <row r="84" spans="1:24">
      <c r="A84" s="32" t="str">
        <f>INDEX([2]活动总表!$A$8:$A$429,MATCH(B84,[2]活动总表!$B$8:$B$429,0))</f>
        <v>版本庆典-累充</v>
      </c>
      <c r="B84" s="32">
        <v>311</v>
      </c>
      <c r="C84" s="32">
        <v>6</v>
      </c>
      <c r="D84" s="32">
        <v>2</v>
      </c>
      <c r="E84" s="32">
        <v>5</v>
      </c>
      <c r="F84" s="32">
        <v>88800</v>
      </c>
      <c r="H84" s="32">
        <v>200951</v>
      </c>
      <c r="I84" s="1" t="str">
        <f>IFERROR(INDEX([1]物品基础表!$A:$A,MATCH(H84,[1]物品基础表!$B:$B,0)),"")</f>
        <v>金色战纹任选宝箱</v>
      </c>
      <c r="J84" s="32">
        <v>1</v>
      </c>
      <c r="K84" s="32">
        <v>200015</v>
      </c>
      <c r="L84" s="1" t="str">
        <f>IFERROR(INDEX([1]物品基础表!$A:$A,MATCH(K84,[1]物品基础表!$B:$B,0)),"")</f>
        <v>特戒碎片</v>
      </c>
      <c r="M84" s="32">
        <v>200</v>
      </c>
      <c r="N84" s="32">
        <v>500006</v>
      </c>
      <c r="O84" s="1" t="str">
        <f>IFERROR(INDEX([1]物品基础表!$A:$A,MATCH(N84,[1]物品基础表!$B:$B,0)),"")</f>
        <v>战纹精华-金</v>
      </c>
      <c r="P84" s="32">
        <v>4</v>
      </c>
      <c r="Q84" s="32">
        <v>200005</v>
      </c>
      <c r="R84" s="1" t="str">
        <f>IFERROR(INDEX([1]物品基础表!$A:$A,MATCH(Q84,[1]物品基础表!$B:$B,0)),"")</f>
        <v>龙魂碎片</v>
      </c>
      <c r="S84" s="32">
        <v>20</v>
      </c>
      <c r="U84" s="1" t="str">
        <f>IFERROR(INDEX([1]物品基础表!$A:$A,MATCH(T84,[1]物品基础表!$B:$B,0)),"")</f>
        <v/>
      </c>
      <c r="X84" s="1" t="str">
        <f>IFERROR(INDEX([1]物品基础表!$A:$A,MATCH(W84,[1]物品基础表!$B:$B,0)),"")</f>
        <v/>
      </c>
    </row>
    <row r="85" spans="1:24">
      <c r="A85" s="32" t="str">
        <f>INDEX([2]活动总表!$A$8:$A$429,MATCH(B85,[2]活动总表!$B$8:$B$429,0))</f>
        <v>版本庆典-累充</v>
      </c>
      <c r="B85" s="32">
        <v>311</v>
      </c>
      <c r="C85" s="32">
        <v>7</v>
      </c>
      <c r="D85" s="32">
        <v>2</v>
      </c>
      <c r="E85" s="32">
        <v>5</v>
      </c>
      <c r="F85" s="32">
        <v>128000</v>
      </c>
      <c r="H85" s="32">
        <v>201008</v>
      </c>
      <c r="I85" s="1" t="str">
        <f>IFERROR(INDEX([1]物品基础表!$A:$A,MATCH(H85,[1]物品基础表!$B:$B,0)),"")</f>
        <v>金色图鉴包·美女如云</v>
      </c>
      <c r="J85" s="32">
        <v>1</v>
      </c>
      <c r="K85" s="32">
        <v>200015</v>
      </c>
      <c r="L85" s="1" t="str">
        <f>IFERROR(INDEX([1]物品基础表!$A:$A,MATCH(K85,[1]物品基础表!$B:$B,0)),"")</f>
        <v>特戒碎片</v>
      </c>
      <c r="M85" s="32">
        <v>200</v>
      </c>
      <c r="N85" s="32">
        <v>500006</v>
      </c>
      <c r="O85" s="1" t="str">
        <f>IFERROR(INDEX([1]物品基础表!$A:$A,MATCH(N85,[1]物品基础表!$B:$B,0)),"")</f>
        <v>战纹精华-金</v>
      </c>
      <c r="P85" s="32">
        <v>4</v>
      </c>
      <c r="Q85" s="32">
        <v>200005</v>
      </c>
      <c r="R85" s="1" t="str">
        <f>IFERROR(INDEX([1]物品基础表!$A:$A,MATCH(Q85,[1]物品基础表!$B:$B,0)),"")</f>
        <v>龙魂碎片</v>
      </c>
      <c r="S85" s="32">
        <v>20</v>
      </c>
      <c r="U85" s="1" t="str">
        <f>IFERROR(INDEX([1]物品基础表!$A:$A,MATCH(T85,[1]物品基础表!$B:$B,0)),"")</f>
        <v/>
      </c>
      <c r="X85" s="1" t="str">
        <f>IFERROR(INDEX([1]物品基础表!$A:$A,MATCH(W85,[1]物品基础表!$B:$B,0)),"")</f>
        <v/>
      </c>
    </row>
    <row r="86" spans="1:24">
      <c r="A86" s="32" t="str">
        <f>INDEX([2]活动总表!$A$8:$A$429,MATCH(B86,[2]活动总表!$B$8:$B$429,0))</f>
        <v>腊八活动-累充（15-30天）1</v>
      </c>
      <c r="B86" s="32">
        <v>424</v>
      </c>
      <c r="C86" s="32">
        <v>1</v>
      </c>
      <c r="D86" s="32">
        <v>2</v>
      </c>
      <c r="E86" s="32">
        <v>1</v>
      </c>
      <c r="F86" s="32">
        <v>2000</v>
      </c>
      <c r="H86" s="32">
        <v>2</v>
      </c>
      <c r="I86" s="1" t="str">
        <f t="shared" ref="I86:I87" si="3">IF(H86=2,"元宝","神兵经验")</f>
        <v>元宝</v>
      </c>
      <c r="J86" s="32">
        <v>1000</v>
      </c>
      <c r="K86" s="32">
        <v>200004</v>
      </c>
      <c r="L86" s="1" t="str">
        <f>IFERROR(INDEX([1]物品基础表!$A:$A,MATCH(K86,[1]物品基础表!$B:$B,0)),"")</f>
        <v>经脉丹</v>
      </c>
      <c r="M86" s="32">
        <v>10</v>
      </c>
      <c r="N86" s="32">
        <v>204064</v>
      </c>
      <c r="O86" s="1" t="str">
        <f>IFERROR(INDEX([1]物品基础表!$A:$A,MATCH(N86,[1]物品基础表!$B:$B,0)),"")</f>
        <v>高级转生轮回礼包</v>
      </c>
      <c r="P86" s="32">
        <v>3</v>
      </c>
      <c r="Q86" s="32">
        <v>200301</v>
      </c>
      <c r="R86" s="1" t="str">
        <f>IFERROR(INDEX([1]物品基础表!$A:$A,MATCH(Q86,[1]物品基础表!$B:$B,0)),"")</f>
        <v>传世宝钻</v>
      </c>
      <c r="S86" s="32">
        <v>20</v>
      </c>
      <c r="U86" s="1" t="str">
        <f>IFERROR(INDEX([1]物品基础表!$A:$A,MATCH(T86,[1]物品基础表!$B:$B,0)),"")</f>
        <v/>
      </c>
      <c r="X86" s="1" t="str">
        <f>IFERROR(INDEX([1]物品基础表!$A:$A,MATCH(W86,[1]物品基础表!$B:$B,0)),"")</f>
        <v/>
      </c>
    </row>
    <row r="87" spans="1:24">
      <c r="A87" s="32" t="str">
        <f>INDEX([2]活动总表!$A$8:$A$429,MATCH(B87,[2]活动总表!$B$8:$B$429,0))</f>
        <v>腊八活动-累充（15-30天）1</v>
      </c>
      <c r="B87" s="32">
        <v>424</v>
      </c>
      <c r="C87" s="32">
        <v>2</v>
      </c>
      <c r="D87" s="32">
        <v>2</v>
      </c>
      <c r="E87" s="32">
        <v>1</v>
      </c>
      <c r="F87" s="32">
        <v>5000</v>
      </c>
      <c r="H87" s="32">
        <v>13</v>
      </c>
      <c r="I87" s="1" t="str">
        <f t="shared" si="3"/>
        <v>神兵经验</v>
      </c>
      <c r="J87" s="32">
        <v>1000000</v>
      </c>
      <c r="K87" s="32">
        <v>204067</v>
      </c>
      <c r="L87" s="1" t="str">
        <f>IFERROR(INDEX([1]物品基础表!$A:$A,MATCH(K87,[1]物品基础表!$B:$B,0)),"")</f>
        <v>玉佩升级道具2</v>
      </c>
      <c r="M87" s="32">
        <v>1</v>
      </c>
      <c r="N87" s="32">
        <v>204064</v>
      </c>
      <c r="O87" s="1" t="str">
        <f>IFERROR(INDEX([1]物品基础表!$A:$A,MATCH(N87,[1]物品基础表!$B:$B,0)),"")</f>
        <v>高级转生轮回礼包</v>
      </c>
      <c r="P87" s="32">
        <v>5</v>
      </c>
      <c r="Q87" s="32">
        <v>200301</v>
      </c>
      <c r="R87" s="1" t="str">
        <f>IFERROR(INDEX([1]物品基础表!$A:$A,MATCH(Q87,[1]物品基础表!$B:$B,0)),"")</f>
        <v>传世宝钻</v>
      </c>
      <c r="S87" s="32">
        <v>40</v>
      </c>
      <c r="U87" s="1" t="str">
        <f>IFERROR(INDEX([1]物品基础表!$A:$A,MATCH(T87,[1]物品基础表!$B:$B,0)),"")</f>
        <v/>
      </c>
      <c r="X87" s="1" t="str">
        <f>IFERROR(INDEX([1]物品基础表!$A:$A,MATCH(W87,[1]物品基础表!$B:$B,0)),"")</f>
        <v/>
      </c>
    </row>
    <row r="88" spans="1:24">
      <c r="A88" s="32" t="str">
        <f>INDEX([2]活动总表!$A$8:$A$429,MATCH(B88,[2]活动总表!$B$8:$B$429,0))</f>
        <v>腊八活动-累充（15-30天）1</v>
      </c>
      <c r="B88" s="32">
        <v>424</v>
      </c>
      <c r="C88" s="32">
        <v>3</v>
      </c>
      <c r="D88" s="32">
        <v>2</v>
      </c>
      <c r="E88" s="32">
        <v>1</v>
      </c>
      <c r="F88" s="32">
        <v>20000</v>
      </c>
      <c r="H88" s="32">
        <v>200911</v>
      </c>
      <c r="I88" s="1" t="str">
        <f>IFERROR(INDEX([1]物品基础表!$A:$A,MATCH(H88,[1]物品基础表!$B:$B,0)),"")</f>
        <v>橙色圣物宝箱</v>
      </c>
      <c r="J88" s="32">
        <v>1</v>
      </c>
      <c r="K88" s="32">
        <v>204071</v>
      </c>
      <c r="L88" s="1" t="str">
        <f>IFERROR(INDEX([1]物品基础表!$A:$A,MATCH(K88,[1]物品基础表!$B:$B,0)),"")</f>
        <v>玉佩温养道具3</v>
      </c>
      <c r="M88" s="32">
        <v>1</v>
      </c>
      <c r="N88" s="32">
        <v>204065</v>
      </c>
      <c r="O88" s="1" t="str">
        <f>IFERROR(INDEX([1]物品基础表!$A:$A,MATCH(N88,[1]物品基础表!$B:$B,0)),"")</f>
        <v>超级转生轮回礼包</v>
      </c>
      <c r="P88" s="32">
        <v>1</v>
      </c>
      <c r="Q88" s="32">
        <v>204070</v>
      </c>
      <c r="R88" s="1" t="str">
        <f>IFERROR(INDEX([1]物品基础表!$A:$A,MATCH(Q88,[1]物品基础表!$B:$B,0)),"")</f>
        <v>玉佩温养道具2</v>
      </c>
      <c r="S88" s="32">
        <v>1</v>
      </c>
      <c r="U88" s="1" t="str">
        <f>IFERROR(INDEX([1]物品基础表!$A:$A,MATCH(T88,[1]物品基础表!$B:$B,0)),"")</f>
        <v/>
      </c>
      <c r="X88" s="1" t="str">
        <f>IFERROR(INDEX([1]物品基础表!$A:$A,MATCH(W88,[1]物品基础表!$B:$B,0)),"")</f>
        <v/>
      </c>
    </row>
    <row r="89" spans="1:24">
      <c r="A89" s="32" t="str">
        <f>INDEX([2]活动总表!$A$8:$A$429,MATCH(B89,[2]活动总表!$B$8:$B$429,0))</f>
        <v>腊八活动-累充（15-30天）2</v>
      </c>
      <c r="B89" s="32">
        <v>425</v>
      </c>
      <c r="C89" s="32">
        <v>1</v>
      </c>
      <c r="D89" s="32">
        <v>2</v>
      </c>
      <c r="E89" s="32">
        <v>1</v>
      </c>
      <c r="F89" s="32">
        <v>2000</v>
      </c>
      <c r="H89" s="32">
        <v>2</v>
      </c>
      <c r="I89" s="1" t="str">
        <f t="shared" ref="I89:I90" si="4">IF(H89=2,"元宝","神兵经验")</f>
        <v>元宝</v>
      </c>
      <c r="J89" s="32">
        <v>1000</v>
      </c>
      <c r="K89" s="32">
        <v>200004</v>
      </c>
      <c r="L89" s="1" t="str">
        <f>IFERROR(INDEX([1]物品基础表!$A:$A,MATCH(K89,[1]物品基础表!$B:$B,0)),"")</f>
        <v>经脉丹</v>
      </c>
      <c r="M89" s="32">
        <v>10</v>
      </c>
      <c r="N89" s="32">
        <v>204064</v>
      </c>
      <c r="O89" s="1" t="str">
        <f>IFERROR(INDEX([1]物品基础表!$A:$A,MATCH(N89,[1]物品基础表!$B:$B,0)),"")</f>
        <v>高级转生轮回礼包</v>
      </c>
      <c r="P89" s="32">
        <v>3</v>
      </c>
      <c r="Q89" s="32">
        <v>200301</v>
      </c>
      <c r="R89" s="1" t="str">
        <f>IFERROR(INDEX([1]物品基础表!$A:$A,MATCH(Q89,[1]物品基础表!$B:$B,0)),"")</f>
        <v>传世宝钻</v>
      </c>
      <c r="S89" s="32">
        <v>20</v>
      </c>
      <c r="U89" s="1" t="str">
        <f>IFERROR(INDEX([1]物品基础表!$A:$A,MATCH(T89,[1]物品基础表!$B:$B,0)),"")</f>
        <v/>
      </c>
      <c r="X89" s="1" t="str">
        <f>IFERROR(INDEX([1]物品基础表!$A:$A,MATCH(W89,[1]物品基础表!$B:$B,0)),"")</f>
        <v/>
      </c>
    </row>
    <row r="90" spans="1:24">
      <c r="A90" s="32" t="str">
        <f>INDEX([2]活动总表!$A$8:$A$429,MATCH(B90,[2]活动总表!$B$8:$B$429,0))</f>
        <v>腊八活动-累充（15-30天）2</v>
      </c>
      <c r="B90" s="32">
        <v>425</v>
      </c>
      <c r="C90" s="32">
        <v>2</v>
      </c>
      <c r="D90" s="32">
        <v>2</v>
      </c>
      <c r="E90" s="32">
        <v>1</v>
      </c>
      <c r="F90" s="32">
        <v>5000</v>
      </c>
      <c r="H90" s="32">
        <v>13</v>
      </c>
      <c r="I90" s="1" t="str">
        <f t="shared" si="4"/>
        <v>神兵经验</v>
      </c>
      <c r="J90" s="32">
        <v>1000000</v>
      </c>
      <c r="K90" s="32">
        <v>204067</v>
      </c>
      <c r="L90" s="1" t="str">
        <f>IFERROR(INDEX([1]物品基础表!$A:$A,MATCH(K90,[1]物品基础表!$B:$B,0)),"")</f>
        <v>玉佩升级道具2</v>
      </c>
      <c r="M90" s="32">
        <v>1</v>
      </c>
      <c r="N90" s="32">
        <v>204064</v>
      </c>
      <c r="O90" s="1" t="str">
        <f>IFERROR(INDEX([1]物品基础表!$A:$A,MATCH(N90,[1]物品基础表!$B:$B,0)),"")</f>
        <v>高级转生轮回礼包</v>
      </c>
      <c r="P90" s="32">
        <v>5</v>
      </c>
      <c r="Q90" s="32">
        <v>200301</v>
      </c>
      <c r="R90" s="1" t="str">
        <f>IFERROR(INDEX([1]物品基础表!$A:$A,MATCH(Q90,[1]物品基础表!$B:$B,0)),"")</f>
        <v>传世宝钻</v>
      </c>
      <c r="S90" s="32">
        <v>40</v>
      </c>
      <c r="U90" s="1" t="str">
        <f>IFERROR(INDEX([1]物品基础表!$A:$A,MATCH(T90,[1]物品基础表!$B:$B,0)),"")</f>
        <v/>
      </c>
      <c r="X90" s="1" t="str">
        <f>IFERROR(INDEX([1]物品基础表!$A:$A,MATCH(W90,[1]物品基础表!$B:$B,0)),"")</f>
        <v/>
      </c>
    </row>
    <row r="91" spans="1:24">
      <c r="A91" s="32" t="str">
        <f>INDEX([2]活动总表!$A$8:$A$429,MATCH(B91,[2]活动总表!$B$8:$B$429,0))</f>
        <v>腊八活动-累充（15-30天）2</v>
      </c>
      <c r="B91" s="32">
        <v>425</v>
      </c>
      <c r="C91" s="32">
        <v>3</v>
      </c>
      <c r="D91" s="32">
        <v>2</v>
      </c>
      <c r="E91" s="32">
        <v>1</v>
      </c>
      <c r="F91" s="32">
        <v>20000</v>
      </c>
      <c r="H91" s="32">
        <v>200911</v>
      </c>
      <c r="I91" s="1" t="str">
        <f>IFERROR(INDEX([1]物品基础表!$A:$A,MATCH(H91,[1]物品基础表!$B:$B,0)),"")</f>
        <v>橙色圣物宝箱</v>
      </c>
      <c r="J91" s="32">
        <v>1</v>
      </c>
      <c r="K91" s="32">
        <v>204071</v>
      </c>
      <c r="L91" s="1" t="str">
        <f>IFERROR(INDEX([1]物品基础表!$A:$A,MATCH(K91,[1]物品基础表!$B:$B,0)),"")</f>
        <v>玉佩温养道具3</v>
      </c>
      <c r="M91" s="32">
        <v>1</v>
      </c>
      <c r="N91" s="32">
        <v>204065</v>
      </c>
      <c r="O91" s="1" t="str">
        <f>IFERROR(INDEX([1]物品基础表!$A:$A,MATCH(N91,[1]物品基础表!$B:$B,0)),"")</f>
        <v>超级转生轮回礼包</v>
      </c>
      <c r="P91" s="32">
        <v>1</v>
      </c>
      <c r="Q91" s="32">
        <v>204070</v>
      </c>
      <c r="R91" s="1" t="str">
        <f>IFERROR(INDEX([1]物品基础表!$A:$A,MATCH(Q91,[1]物品基础表!$B:$B,0)),"")</f>
        <v>玉佩温养道具2</v>
      </c>
      <c r="S91" s="32">
        <v>1</v>
      </c>
      <c r="U91" s="1" t="str">
        <f>IFERROR(INDEX([1]物品基础表!$A:$A,MATCH(T91,[1]物品基础表!$B:$B,0)),"")</f>
        <v/>
      </c>
      <c r="X91" s="1" t="str">
        <f>IFERROR(INDEX([1]物品基础表!$A:$A,MATCH(W91,[1]物品基础表!$B:$B,0)),"")</f>
        <v/>
      </c>
    </row>
    <row r="92" spans="1:24">
      <c r="A92" s="32" t="str">
        <f>INDEX([2]活动总表!$A$8:$A$429,MATCH(B92,[2]活动总表!$B$8:$B$429,0))</f>
        <v>腊八活动-累充（15-30天）3</v>
      </c>
      <c r="B92" s="32">
        <v>426</v>
      </c>
      <c r="C92" s="32">
        <v>1</v>
      </c>
      <c r="D92" s="32">
        <v>2</v>
      </c>
      <c r="E92" s="32">
        <v>1</v>
      </c>
      <c r="F92" s="32">
        <v>2000</v>
      </c>
      <c r="H92" s="32">
        <v>2</v>
      </c>
      <c r="I92" s="1" t="str">
        <f t="shared" ref="I92:I93" si="5">IF(H92=2,"元宝","神兵经验")</f>
        <v>元宝</v>
      </c>
      <c r="J92" s="32">
        <v>1000</v>
      </c>
      <c r="K92" s="32">
        <v>200004</v>
      </c>
      <c r="L92" s="1" t="str">
        <f>IFERROR(INDEX([1]物品基础表!$A:$A,MATCH(K92,[1]物品基础表!$B:$B,0)),"")</f>
        <v>经脉丹</v>
      </c>
      <c r="M92" s="32">
        <v>10</v>
      </c>
      <c r="N92" s="32">
        <v>204064</v>
      </c>
      <c r="O92" s="1" t="str">
        <f>IFERROR(INDEX([1]物品基础表!$A:$A,MATCH(N92,[1]物品基础表!$B:$B,0)),"")</f>
        <v>高级转生轮回礼包</v>
      </c>
      <c r="P92" s="32">
        <v>3</v>
      </c>
      <c r="Q92" s="32">
        <v>200301</v>
      </c>
      <c r="R92" s="1" t="str">
        <f>IFERROR(INDEX([1]物品基础表!$A:$A,MATCH(Q92,[1]物品基础表!$B:$B,0)),"")</f>
        <v>传世宝钻</v>
      </c>
      <c r="S92" s="32">
        <v>20</v>
      </c>
      <c r="U92" s="1" t="str">
        <f>IFERROR(INDEX([1]物品基础表!$A:$A,MATCH(T92,[1]物品基础表!$B:$B,0)),"")</f>
        <v/>
      </c>
      <c r="X92" s="1" t="str">
        <f>IFERROR(INDEX([1]物品基础表!$A:$A,MATCH(W92,[1]物品基础表!$B:$B,0)),"")</f>
        <v/>
      </c>
    </row>
    <row r="93" spans="1:24">
      <c r="A93" s="32" t="str">
        <f>INDEX([2]活动总表!$A$8:$A$429,MATCH(B93,[2]活动总表!$B$8:$B$429,0))</f>
        <v>腊八活动-累充（15-30天）3</v>
      </c>
      <c r="B93" s="32">
        <v>426</v>
      </c>
      <c r="C93" s="32">
        <v>2</v>
      </c>
      <c r="D93" s="32">
        <v>2</v>
      </c>
      <c r="E93" s="32">
        <v>1</v>
      </c>
      <c r="F93" s="32">
        <v>5000</v>
      </c>
      <c r="H93" s="32">
        <v>13</v>
      </c>
      <c r="I93" s="1" t="str">
        <f t="shared" si="5"/>
        <v>神兵经验</v>
      </c>
      <c r="J93" s="32">
        <v>1000000</v>
      </c>
      <c r="K93" s="32">
        <v>204067</v>
      </c>
      <c r="L93" s="1" t="str">
        <f>IFERROR(INDEX([1]物品基础表!$A:$A,MATCH(K93,[1]物品基础表!$B:$B,0)),"")</f>
        <v>玉佩升级道具2</v>
      </c>
      <c r="M93" s="32">
        <v>1</v>
      </c>
      <c r="N93" s="32">
        <v>204064</v>
      </c>
      <c r="O93" s="1" t="str">
        <f>IFERROR(INDEX([1]物品基础表!$A:$A,MATCH(N93,[1]物品基础表!$B:$B,0)),"")</f>
        <v>高级转生轮回礼包</v>
      </c>
      <c r="P93" s="32">
        <v>5</v>
      </c>
      <c r="Q93" s="32">
        <v>200301</v>
      </c>
      <c r="R93" s="1" t="str">
        <f>IFERROR(INDEX([1]物品基础表!$A:$A,MATCH(Q93,[1]物品基础表!$B:$B,0)),"")</f>
        <v>传世宝钻</v>
      </c>
      <c r="S93" s="32">
        <v>40</v>
      </c>
      <c r="U93" s="1" t="str">
        <f>IFERROR(INDEX([1]物品基础表!$A:$A,MATCH(T93,[1]物品基础表!$B:$B,0)),"")</f>
        <v/>
      </c>
      <c r="X93" s="1" t="str">
        <f>IFERROR(INDEX([1]物品基础表!$A:$A,MATCH(W93,[1]物品基础表!$B:$B,0)),"")</f>
        <v/>
      </c>
    </row>
    <row r="94" spans="1:24">
      <c r="A94" s="32" t="str">
        <f>INDEX([2]活动总表!$A$8:$A$429,MATCH(B94,[2]活动总表!$B$8:$B$429,0))</f>
        <v>腊八活动-累充（15-30天）3</v>
      </c>
      <c r="B94" s="32">
        <v>426</v>
      </c>
      <c r="C94" s="32">
        <v>3</v>
      </c>
      <c r="D94" s="32">
        <v>2</v>
      </c>
      <c r="E94" s="32">
        <v>1</v>
      </c>
      <c r="F94" s="32">
        <v>20000</v>
      </c>
      <c r="H94" s="32">
        <v>200911</v>
      </c>
      <c r="I94" s="1" t="str">
        <f>IFERROR(INDEX([1]物品基础表!$A:$A,MATCH(H94,[1]物品基础表!$B:$B,0)),"")</f>
        <v>橙色圣物宝箱</v>
      </c>
      <c r="J94" s="32">
        <v>1</v>
      </c>
      <c r="K94" s="32">
        <v>204071</v>
      </c>
      <c r="L94" s="1" t="str">
        <f>IFERROR(INDEX([1]物品基础表!$A:$A,MATCH(K94,[1]物品基础表!$B:$B,0)),"")</f>
        <v>玉佩温养道具3</v>
      </c>
      <c r="M94" s="32">
        <v>1</v>
      </c>
      <c r="N94" s="32">
        <v>204065</v>
      </c>
      <c r="O94" s="1" t="str">
        <f>IFERROR(INDEX([1]物品基础表!$A:$A,MATCH(N94,[1]物品基础表!$B:$B,0)),"")</f>
        <v>超级转生轮回礼包</v>
      </c>
      <c r="P94" s="32">
        <v>1</v>
      </c>
      <c r="Q94" s="32">
        <v>204070</v>
      </c>
      <c r="R94" s="1" t="str">
        <f>IFERROR(INDEX([1]物品基础表!$A:$A,MATCH(Q94,[1]物品基础表!$B:$B,0)),"")</f>
        <v>玉佩温养道具2</v>
      </c>
      <c r="S94" s="32">
        <v>1</v>
      </c>
      <c r="U94" s="1" t="str">
        <f>IFERROR(INDEX([1]物品基础表!$A:$A,MATCH(T94,[1]物品基础表!$B:$B,0)),"")</f>
        <v/>
      </c>
      <c r="X94" s="1" t="str">
        <f>IFERROR(INDEX([1]物品基础表!$A:$A,MATCH(W94,[1]物品基础表!$B:$B,0)),"")</f>
        <v/>
      </c>
    </row>
    <row r="95" spans="1:24">
      <c r="A95" s="32" t="str">
        <f>INDEX([2]活动总表!$A$8:$A$429,MATCH(B95,[2]活动总表!$B$8:$B$429,0))</f>
        <v>腊八活动-累充（15-30天）4</v>
      </c>
      <c r="B95" s="32">
        <v>427</v>
      </c>
      <c r="C95" s="32">
        <v>1</v>
      </c>
      <c r="D95" s="32">
        <v>2</v>
      </c>
      <c r="E95" s="32">
        <v>1</v>
      </c>
      <c r="F95" s="32">
        <v>2000</v>
      </c>
      <c r="H95" s="32">
        <v>2</v>
      </c>
      <c r="I95" s="1" t="str">
        <f t="shared" ref="I95:I96" si="6">IF(H95=2,"元宝","神兵经验")</f>
        <v>元宝</v>
      </c>
      <c r="J95" s="32">
        <v>1000</v>
      </c>
      <c r="K95" s="32">
        <v>200004</v>
      </c>
      <c r="L95" s="1" t="str">
        <f>IFERROR(INDEX([1]物品基础表!$A:$A,MATCH(K95,[1]物品基础表!$B:$B,0)),"")</f>
        <v>经脉丹</v>
      </c>
      <c r="M95" s="32">
        <v>10</v>
      </c>
      <c r="N95" s="32">
        <v>204064</v>
      </c>
      <c r="O95" s="1" t="str">
        <f>IFERROR(INDEX([1]物品基础表!$A:$A,MATCH(N95,[1]物品基础表!$B:$B,0)),"")</f>
        <v>高级转生轮回礼包</v>
      </c>
      <c r="P95" s="32">
        <v>3</v>
      </c>
      <c r="Q95" s="32">
        <v>200301</v>
      </c>
      <c r="R95" s="1" t="str">
        <f>IFERROR(INDEX([1]物品基础表!$A:$A,MATCH(Q95,[1]物品基础表!$B:$B,0)),"")</f>
        <v>传世宝钻</v>
      </c>
      <c r="S95" s="32">
        <v>20</v>
      </c>
      <c r="U95" s="1" t="str">
        <f>IFERROR(INDEX([1]物品基础表!$A:$A,MATCH(T95,[1]物品基础表!$B:$B,0)),"")</f>
        <v/>
      </c>
      <c r="X95" s="1" t="str">
        <f>IFERROR(INDEX([1]物品基础表!$A:$A,MATCH(W95,[1]物品基础表!$B:$B,0)),"")</f>
        <v/>
      </c>
    </row>
    <row r="96" spans="1:24">
      <c r="A96" s="32" t="str">
        <f>INDEX([2]活动总表!$A$8:$A$429,MATCH(B96,[2]活动总表!$B$8:$B$429,0))</f>
        <v>腊八活动-累充（15-30天）4</v>
      </c>
      <c r="B96" s="32">
        <v>427</v>
      </c>
      <c r="C96" s="32">
        <v>2</v>
      </c>
      <c r="D96" s="32">
        <v>2</v>
      </c>
      <c r="E96" s="32">
        <v>1</v>
      </c>
      <c r="F96" s="32">
        <v>5000</v>
      </c>
      <c r="H96" s="32">
        <v>13</v>
      </c>
      <c r="I96" s="1" t="str">
        <f t="shared" si="6"/>
        <v>神兵经验</v>
      </c>
      <c r="J96" s="32">
        <v>1000000</v>
      </c>
      <c r="K96" s="32">
        <v>204067</v>
      </c>
      <c r="L96" s="1" t="str">
        <f>IFERROR(INDEX([1]物品基础表!$A:$A,MATCH(K96,[1]物品基础表!$B:$B,0)),"")</f>
        <v>玉佩升级道具2</v>
      </c>
      <c r="M96" s="32">
        <v>1</v>
      </c>
      <c r="N96" s="32">
        <v>204064</v>
      </c>
      <c r="O96" s="1" t="str">
        <f>IFERROR(INDEX([1]物品基础表!$A:$A,MATCH(N96,[1]物品基础表!$B:$B,0)),"")</f>
        <v>高级转生轮回礼包</v>
      </c>
      <c r="P96" s="32">
        <v>5</v>
      </c>
      <c r="Q96" s="32">
        <v>200301</v>
      </c>
      <c r="R96" s="1" t="str">
        <f>IFERROR(INDEX([1]物品基础表!$A:$A,MATCH(Q96,[1]物品基础表!$B:$B,0)),"")</f>
        <v>传世宝钻</v>
      </c>
      <c r="S96" s="32">
        <v>40</v>
      </c>
      <c r="U96" s="1" t="str">
        <f>IFERROR(INDEX([1]物品基础表!$A:$A,MATCH(T96,[1]物品基础表!$B:$B,0)),"")</f>
        <v/>
      </c>
      <c r="X96" s="1" t="str">
        <f>IFERROR(INDEX([1]物品基础表!$A:$A,MATCH(W96,[1]物品基础表!$B:$B,0)),"")</f>
        <v/>
      </c>
    </row>
    <row r="97" spans="1:24">
      <c r="A97" s="32" t="str">
        <f>INDEX([2]活动总表!$A$8:$A$429,MATCH(B97,[2]活动总表!$B$8:$B$429,0))</f>
        <v>腊八活动-累充（15-30天）4</v>
      </c>
      <c r="B97" s="32">
        <v>427</v>
      </c>
      <c r="C97" s="32">
        <v>3</v>
      </c>
      <c r="D97" s="32">
        <v>2</v>
      </c>
      <c r="E97" s="32">
        <v>1</v>
      </c>
      <c r="F97" s="32">
        <v>20000</v>
      </c>
      <c r="H97" s="32">
        <v>200911</v>
      </c>
      <c r="I97" s="1" t="str">
        <f>IFERROR(INDEX([1]物品基础表!$A:$A,MATCH(H97,[1]物品基础表!$B:$B,0)),"")</f>
        <v>橙色圣物宝箱</v>
      </c>
      <c r="J97" s="32">
        <v>1</v>
      </c>
      <c r="K97" s="32">
        <v>204071</v>
      </c>
      <c r="L97" s="1" t="str">
        <f>IFERROR(INDEX([1]物品基础表!$A:$A,MATCH(K97,[1]物品基础表!$B:$B,0)),"")</f>
        <v>玉佩温养道具3</v>
      </c>
      <c r="M97" s="32">
        <v>1</v>
      </c>
      <c r="N97" s="32">
        <v>204065</v>
      </c>
      <c r="O97" s="1" t="str">
        <f>IFERROR(INDEX([1]物品基础表!$A:$A,MATCH(N97,[1]物品基础表!$B:$B,0)),"")</f>
        <v>超级转生轮回礼包</v>
      </c>
      <c r="P97" s="32">
        <v>1</v>
      </c>
      <c r="Q97" s="32">
        <v>204070</v>
      </c>
      <c r="R97" s="1" t="str">
        <f>IFERROR(INDEX([1]物品基础表!$A:$A,MATCH(Q97,[1]物品基础表!$B:$B,0)),"")</f>
        <v>玉佩温养道具2</v>
      </c>
      <c r="S97" s="32">
        <v>1</v>
      </c>
      <c r="U97" s="1" t="str">
        <f>IFERROR(INDEX([1]物品基础表!$A:$A,MATCH(T97,[1]物品基础表!$B:$B,0)),"")</f>
        <v/>
      </c>
      <c r="X97" s="1" t="str">
        <f>IFERROR(INDEX([1]物品基础表!$A:$A,MATCH(W97,[1]物品基础表!$B:$B,0)),"")</f>
        <v/>
      </c>
    </row>
    <row r="98" spans="1:24">
      <c r="A98" s="32" t="str">
        <f>INDEX([2]活动总表!$A$8:$A$429,MATCH(B98,[2]活动总表!$B$8:$B$429,0))</f>
        <v>腊八活动-累充（15-30天）5</v>
      </c>
      <c r="B98" s="32">
        <v>428</v>
      </c>
      <c r="C98" s="32">
        <v>1</v>
      </c>
      <c r="D98" s="32">
        <v>2</v>
      </c>
      <c r="E98" s="32">
        <v>1</v>
      </c>
      <c r="F98" s="32">
        <v>2000</v>
      </c>
      <c r="H98" s="32">
        <v>2</v>
      </c>
      <c r="I98" s="1" t="str">
        <f t="shared" ref="I98:I99" si="7">IF(H98=2,"元宝","神兵经验")</f>
        <v>元宝</v>
      </c>
      <c r="J98" s="32">
        <v>1000</v>
      </c>
      <c r="K98" s="32">
        <v>200004</v>
      </c>
      <c r="L98" s="1" t="str">
        <f>IFERROR(INDEX([1]物品基础表!$A:$A,MATCH(K98,[1]物品基础表!$B:$B,0)),"")</f>
        <v>经脉丹</v>
      </c>
      <c r="M98" s="32">
        <v>10</v>
      </c>
      <c r="N98" s="32">
        <v>204064</v>
      </c>
      <c r="O98" s="1" t="str">
        <f>IFERROR(INDEX([1]物品基础表!$A:$A,MATCH(N98,[1]物品基础表!$B:$B,0)),"")</f>
        <v>高级转生轮回礼包</v>
      </c>
      <c r="P98" s="32">
        <v>3</v>
      </c>
      <c r="Q98" s="32">
        <v>200301</v>
      </c>
      <c r="R98" s="1" t="str">
        <f>IFERROR(INDEX([1]物品基础表!$A:$A,MATCH(Q98,[1]物品基础表!$B:$B,0)),"")</f>
        <v>传世宝钻</v>
      </c>
      <c r="S98" s="32">
        <v>20</v>
      </c>
      <c r="U98" s="1" t="str">
        <f>IFERROR(INDEX([1]物品基础表!$A:$A,MATCH(T98,[1]物品基础表!$B:$B,0)),"")</f>
        <v/>
      </c>
      <c r="X98" s="1" t="str">
        <f>IFERROR(INDEX([1]物品基础表!$A:$A,MATCH(W98,[1]物品基础表!$B:$B,0)),"")</f>
        <v/>
      </c>
    </row>
    <row r="99" spans="1:24">
      <c r="A99" s="32" t="str">
        <f>INDEX([2]活动总表!$A$8:$A$429,MATCH(B99,[2]活动总表!$B$8:$B$429,0))</f>
        <v>腊八活动-累充（15-30天）5</v>
      </c>
      <c r="B99" s="32">
        <v>428</v>
      </c>
      <c r="C99" s="32">
        <v>2</v>
      </c>
      <c r="D99" s="32">
        <v>2</v>
      </c>
      <c r="E99" s="32">
        <v>1</v>
      </c>
      <c r="F99" s="32">
        <v>5000</v>
      </c>
      <c r="H99" s="32">
        <v>13</v>
      </c>
      <c r="I99" s="1" t="str">
        <f t="shared" si="7"/>
        <v>神兵经验</v>
      </c>
      <c r="J99" s="32">
        <v>1000000</v>
      </c>
      <c r="K99" s="32">
        <v>204067</v>
      </c>
      <c r="L99" s="1" t="str">
        <f>IFERROR(INDEX([1]物品基础表!$A:$A,MATCH(K99,[1]物品基础表!$B:$B,0)),"")</f>
        <v>玉佩升级道具2</v>
      </c>
      <c r="M99" s="32">
        <v>1</v>
      </c>
      <c r="N99" s="32">
        <v>204064</v>
      </c>
      <c r="O99" s="1" t="str">
        <f>IFERROR(INDEX([1]物品基础表!$A:$A,MATCH(N99,[1]物品基础表!$B:$B,0)),"")</f>
        <v>高级转生轮回礼包</v>
      </c>
      <c r="P99" s="32">
        <v>5</v>
      </c>
      <c r="Q99" s="32">
        <v>200301</v>
      </c>
      <c r="R99" s="1" t="str">
        <f>IFERROR(INDEX([1]物品基础表!$A:$A,MATCH(Q99,[1]物品基础表!$B:$B,0)),"")</f>
        <v>传世宝钻</v>
      </c>
      <c r="S99" s="32">
        <v>40</v>
      </c>
      <c r="U99" s="1" t="str">
        <f>IFERROR(INDEX([1]物品基础表!$A:$A,MATCH(T99,[1]物品基础表!$B:$B,0)),"")</f>
        <v/>
      </c>
      <c r="X99" s="1" t="str">
        <f>IFERROR(INDEX([1]物品基础表!$A:$A,MATCH(W99,[1]物品基础表!$B:$B,0)),"")</f>
        <v/>
      </c>
    </row>
    <row r="100" spans="1:24">
      <c r="A100" s="32" t="str">
        <f>INDEX([2]活动总表!$A$8:$A$429,MATCH(B100,[2]活动总表!$B$8:$B$429,0))</f>
        <v>腊八活动-累充（15-30天）5</v>
      </c>
      <c r="B100" s="32">
        <v>428</v>
      </c>
      <c r="C100" s="32">
        <v>3</v>
      </c>
      <c r="D100" s="32">
        <v>2</v>
      </c>
      <c r="E100" s="32">
        <v>1</v>
      </c>
      <c r="F100" s="32">
        <v>20000</v>
      </c>
      <c r="H100" s="32">
        <v>200911</v>
      </c>
      <c r="I100" s="1" t="str">
        <f>IFERROR(INDEX([1]物品基础表!$A:$A,MATCH(H100,[1]物品基础表!$B:$B,0)),"")</f>
        <v>橙色圣物宝箱</v>
      </c>
      <c r="J100" s="32">
        <v>1</v>
      </c>
      <c r="K100" s="32">
        <v>204071</v>
      </c>
      <c r="L100" s="1" t="str">
        <f>IFERROR(INDEX([1]物品基础表!$A:$A,MATCH(K100,[1]物品基础表!$B:$B,0)),"")</f>
        <v>玉佩温养道具3</v>
      </c>
      <c r="M100" s="32">
        <v>1</v>
      </c>
      <c r="N100" s="32">
        <v>204065</v>
      </c>
      <c r="O100" s="1" t="str">
        <f>IFERROR(INDEX([1]物品基础表!$A:$A,MATCH(N100,[1]物品基础表!$B:$B,0)),"")</f>
        <v>超级转生轮回礼包</v>
      </c>
      <c r="P100" s="32">
        <v>1</v>
      </c>
      <c r="Q100" s="32">
        <v>204070</v>
      </c>
      <c r="R100" s="1" t="str">
        <f>IFERROR(INDEX([1]物品基础表!$A:$A,MATCH(Q100,[1]物品基础表!$B:$B,0)),"")</f>
        <v>玉佩温养道具2</v>
      </c>
      <c r="S100" s="32">
        <v>1</v>
      </c>
      <c r="U100" s="1" t="str">
        <f>IFERROR(INDEX([1]物品基础表!$A:$A,MATCH(T100,[1]物品基础表!$B:$B,0)),"")</f>
        <v/>
      </c>
      <c r="X100" s="1" t="str">
        <f>IFERROR(INDEX([1]物品基础表!$A:$A,MATCH(W100,[1]物品基础表!$B:$B,0)),"")</f>
        <v/>
      </c>
    </row>
    <row r="101" spans="1:24">
      <c r="A101" s="32" t="str">
        <f>INDEX([2]活动总表!$A$8:$A$429,MATCH(B101,[2]活动总表!$B$8:$B$429,0))</f>
        <v>腊八活动-累充（31-60天）1</v>
      </c>
      <c r="B101" s="32">
        <v>429</v>
      </c>
      <c r="C101" s="32">
        <v>1</v>
      </c>
      <c r="D101" s="32">
        <v>2</v>
      </c>
      <c r="E101" s="32">
        <v>1</v>
      </c>
      <c r="F101" s="32">
        <v>2000</v>
      </c>
      <c r="H101" s="32">
        <v>2</v>
      </c>
      <c r="I101" s="1" t="str">
        <f>IF(H101=2,"元宝","神兵经验")</f>
        <v>元宝</v>
      </c>
      <c r="J101" s="32">
        <v>1000</v>
      </c>
      <c r="K101" s="32">
        <v>13</v>
      </c>
      <c r="L101" s="1" t="str">
        <f>IF(K101=2,"元宝","神兵经验")</f>
        <v>神兵经验</v>
      </c>
      <c r="M101" s="32">
        <v>1500000</v>
      </c>
      <c r="N101" s="32">
        <v>204064</v>
      </c>
      <c r="O101" s="1" t="str">
        <f>IFERROR(INDEX([1]物品基础表!$A:$A,MATCH(N101,[1]物品基础表!$B:$B,0)),"")</f>
        <v>高级转生轮回礼包</v>
      </c>
      <c r="P101" s="32">
        <v>3</v>
      </c>
      <c r="Q101" s="32">
        <v>200301</v>
      </c>
      <c r="R101" s="1" t="str">
        <f>IFERROR(INDEX([1]物品基础表!$A:$A,MATCH(Q101,[1]物品基础表!$B:$B,0)),"")</f>
        <v>传世宝钻</v>
      </c>
      <c r="S101" s="32">
        <v>20</v>
      </c>
      <c r="U101" s="1" t="str">
        <f>IFERROR(INDEX([1]物品基础表!$A:$A,MATCH(T101,[1]物品基础表!$B:$B,0)),"")</f>
        <v/>
      </c>
      <c r="X101" s="1" t="str">
        <f>IFERROR(INDEX([1]物品基础表!$A:$A,MATCH(W101,[1]物品基础表!$B:$B,0)),"")</f>
        <v/>
      </c>
    </row>
    <row r="102" spans="1:24">
      <c r="A102" s="32" t="str">
        <f>INDEX([2]活动总表!$A$8:$A$429,MATCH(B102,[2]活动总表!$B$8:$B$429,0))</f>
        <v>腊八活动-累充（31-60天）1</v>
      </c>
      <c r="B102" s="32">
        <v>429</v>
      </c>
      <c r="C102" s="32">
        <v>2</v>
      </c>
      <c r="D102" s="32">
        <v>2</v>
      </c>
      <c r="E102" s="32">
        <v>1</v>
      </c>
      <c r="F102" s="32">
        <v>5000</v>
      </c>
      <c r="H102" s="32">
        <v>200911</v>
      </c>
      <c r="I102" s="1" t="str">
        <f>IFERROR(INDEX([1]物品基础表!$A:$A,MATCH(H102,[1]物品基础表!$B:$B,0)),"")</f>
        <v>橙色圣物宝箱</v>
      </c>
      <c r="J102" s="32">
        <v>1</v>
      </c>
      <c r="K102" s="32">
        <v>204067</v>
      </c>
      <c r="L102" s="1" t="str">
        <f>IFERROR(INDEX([1]物品基础表!$A:$A,MATCH(K102,[1]物品基础表!$B:$B,0)),"")</f>
        <v>玉佩升级道具2</v>
      </c>
      <c r="M102" s="32">
        <v>2</v>
      </c>
      <c r="N102" s="32">
        <v>204064</v>
      </c>
      <c r="O102" s="1" t="str">
        <f>IFERROR(INDEX([1]物品基础表!$A:$A,MATCH(N102,[1]物品基础表!$B:$B,0)),"")</f>
        <v>高级转生轮回礼包</v>
      </c>
      <c r="P102" s="32">
        <v>5</v>
      </c>
      <c r="Q102" s="32">
        <v>200301</v>
      </c>
      <c r="R102" s="1" t="str">
        <f>IFERROR(INDEX([1]物品基础表!$A:$A,MATCH(Q102,[1]物品基础表!$B:$B,0)),"")</f>
        <v>传世宝钻</v>
      </c>
      <c r="S102" s="32">
        <v>40</v>
      </c>
      <c r="U102" s="1" t="str">
        <f>IFERROR(INDEX([1]物品基础表!$A:$A,MATCH(T102,[1]物品基础表!$B:$B,0)),"")</f>
        <v/>
      </c>
      <c r="X102" s="1" t="str">
        <f>IFERROR(INDEX([1]物品基础表!$A:$A,MATCH(W102,[1]物品基础表!$B:$B,0)),"")</f>
        <v/>
      </c>
    </row>
    <row r="103" spans="1:24">
      <c r="A103" s="32" t="str">
        <f>INDEX([2]活动总表!$A$8:$A$429,MATCH(B103,[2]活动总表!$B$8:$B$429,0))</f>
        <v>腊八活动-累充（31-60天）1</v>
      </c>
      <c r="B103" s="32">
        <v>429</v>
      </c>
      <c r="C103" s="32">
        <v>3</v>
      </c>
      <c r="D103" s="32">
        <v>2</v>
      </c>
      <c r="E103" s="32">
        <v>1</v>
      </c>
      <c r="F103" s="32">
        <v>20000</v>
      </c>
      <c r="H103" s="32">
        <v>200997</v>
      </c>
      <c r="I103" s="1" t="str">
        <f>IFERROR(INDEX([1]物品基础表!$A:$A,MATCH(H103,[1]物品基础表!$B:$B,0)),"")</f>
        <v>星☆传世宝箱</v>
      </c>
      <c r="J103" s="32">
        <v>1</v>
      </c>
      <c r="K103" s="32">
        <v>204071</v>
      </c>
      <c r="L103" s="1" t="str">
        <f>IFERROR(INDEX([1]物品基础表!$A:$A,MATCH(K103,[1]物品基础表!$B:$B,0)),"")</f>
        <v>玉佩温养道具3</v>
      </c>
      <c r="M103" s="32">
        <v>1</v>
      </c>
      <c r="N103" s="32">
        <v>204065</v>
      </c>
      <c r="O103" s="1" t="str">
        <f>IFERROR(INDEX([1]物品基础表!$A:$A,MATCH(N103,[1]物品基础表!$B:$B,0)),"")</f>
        <v>超级转生轮回礼包</v>
      </c>
      <c r="P103" s="32">
        <v>1</v>
      </c>
      <c r="Q103" s="32">
        <v>204070</v>
      </c>
      <c r="R103" s="1" t="str">
        <f>IFERROR(INDEX([1]物品基础表!$A:$A,MATCH(Q103,[1]物品基础表!$B:$B,0)),"")</f>
        <v>玉佩温养道具2</v>
      </c>
      <c r="S103" s="32">
        <v>1</v>
      </c>
      <c r="U103" s="1" t="str">
        <f>IFERROR(INDEX([1]物品基础表!$A:$A,MATCH(T103,[1]物品基础表!$B:$B,0)),"")</f>
        <v/>
      </c>
      <c r="X103" s="1" t="str">
        <f>IFERROR(INDEX([1]物品基础表!$A:$A,MATCH(W103,[1]物品基础表!$B:$B,0)),"")</f>
        <v/>
      </c>
    </row>
    <row r="104" spans="1:24">
      <c r="A104" s="32" t="str">
        <f>INDEX([2]活动总表!$A$8:$A$429,MATCH(B104,[2]活动总表!$B$8:$B$429,0))</f>
        <v>腊八活动-累充（31-60天）2</v>
      </c>
      <c r="B104" s="32">
        <v>430</v>
      </c>
      <c r="C104" s="32">
        <v>1</v>
      </c>
      <c r="D104" s="32">
        <v>2</v>
      </c>
      <c r="E104" s="32">
        <v>1</v>
      </c>
      <c r="F104" s="32">
        <v>2000</v>
      </c>
      <c r="H104" s="32">
        <v>2</v>
      </c>
      <c r="I104" s="1" t="str">
        <f>IF(H104=2,"元宝","神兵经验")</f>
        <v>元宝</v>
      </c>
      <c r="J104" s="32">
        <v>1000</v>
      </c>
      <c r="K104" s="32">
        <v>13</v>
      </c>
      <c r="L104" s="1" t="str">
        <f>IF(K104=2,"元宝","神兵经验")</f>
        <v>神兵经验</v>
      </c>
      <c r="M104" s="32">
        <v>1500000</v>
      </c>
      <c r="N104" s="32">
        <v>204064</v>
      </c>
      <c r="O104" s="1" t="str">
        <f>IFERROR(INDEX([1]物品基础表!$A:$A,MATCH(N104,[1]物品基础表!$B:$B,0)),"")</f>
        <v>高级转生轮回礼包</v>
      </c>
      <c r="P104" s="32">
        <v>3</v>
      </c>
      <c r="Q104" s="32">
        <v>200301</v>
      </c>
      <c r="R104" s="1" t="str">
        <f>IFERROR(INDEX([1]物品基础表!$A:$A,MATCH(Q104,[1]物品基础表!$B:$B,0)),"")</f>
        <v>传世宝钻</v>
      </c>
      <c r="S104" s="32">
        <v>20</v>
      </c>
      <c r="U104" s="1" t="str">
        <f>IFERROR(INDEX([1]物品基础表!$A:$A,MATCH(T104,[1]物品基础表!$B:$B,0)),"")</f>
        <v/>
      </c>
      <c r="X104" s="1" t="str">
        <f>IFERROR(INDEX([1]物品基础表!$A:$A,MATCH(W104,[1]物品基础表!$B:$B,0)),"")</f>
        <v/>
      </c>
    </row>
    <row r="105" spans="1:24">
      <c r="A105" s="32" t="str">
        <f>INDEX([2]活动总表!$A$8:$A$429,MATCH(B105,[2]活动总表!$B$8:$B$429,0))</f>
        <v>腊八活动-累充（31-60天）2</v>
      </c>
      <c r="B105" s="32">
        <v>430</v>
      </c>
      <c r="C105" s="32">
        <v>2</v>
      </c>
      <c r="D105" s="32">
        <v>2</v>
      </c>
      <c r="E105" s="32">
        <v>1</v>
      </c>
      <c r="F105" s="32">
        <v>5000</v>
      </c>
      <c r="H105" s="32">
        <v>200911</v>
      </c>
      <c r="I105" s="1" t="str">
        <f>IFERROR(INDEX([1]物品基础表!$A:$A,MATCH(H105,[1]物品基础表!$B:$B,0)),"")</f>
        <v>橙色圣物宝箱</v>
      </c>
      <c r="J105" s="32">
        <v>1</v>
      </c>
      <c r="K105" s="32">
        <v>204067</v>
      </c>
      <c r="L105" s="1" t="str">
        <f>IFERROR(INDEX([1]物品基础表!$A:$A,MATCH(K105,[1]物品基础表!$B:$B,0)),"")</f>
        <v>玉佩升级道具2</v>
      </c>
      <c r="M105" s="32">
        <v>2</v>
      </c>
      <c r="N105" s="32">
        <v>204064</v>
      </c>
      <c r="O105" s="1" t="str">
        <f>IFERROR(INDEX([1]物品基础表!$A:$A,MATCH(N105,[1]物品基础表!$B:$B,0)),"")</f>
        <v>高级转生轮回礼包</v>
      </c>
      <c r="P105" s="32">
        <v>5</v>
      </c>
      <c r="Q105" s="32">
        <v>200301</v>
      </c>
      <c r="R105" s="1" t="str">
        <f>IFERROR(INDEX([1]物品基础表!$A:$A,MATCH(Q105,[1]物品基础表!$B:$B,0)),"")</f>
        <v>传世宝钻</v>
      </c>
      <c r="S105" s="32">
        <v>40</v>
      </c>
      <c r="U105" s="1" t="str">
        <f>IFERROR(INDEX([1]物品基础表!$A:$A,MATCH(T105,[1]物品基础表!$B:$B,0)),"")</f>
        <v/>
      </c>
      <c r="X105" s="1" t="str">
        <f>IFERROR(INDEX([1]物品基础表!$A:$A,MATCH(W105,[1]物品基础表!$B:$B,0)),"")</f>
        <v/>
      </c>
    </row>
    <row r="106" spans="1:24">
      <c r="A106" s="32" t="str">
        <f>INDEX([2]活动总表!$A$8:$A$429,MATCH(B106,[2]活动总表!$B$8:$B$429,0))</f>
        <v>腊八活动-累充（31-60天）2</v>
      </c>
      <c r="B106" s="32">
        <v>430</v>
      </c>
      <c r="C106" s="32">
        <v>3</v>
      </c>
      <c r="D106" s="32">
        <v>2</v>
      </c>
      <c r="E106" s="32">
        <v>1</v>
      </c>
      <c r="F106" s="32">
        <v>20000</v>
      </c>
      <c r="H106" s="32">
        <v>200997</v>
      </c>
      <c r="I106" s="1" t="str">
        <f>IFERROR(INDEX([1]物品基础表!$A:$A,MATCH(H106,[1]物品基础表!$B:$B,0)),"")</f>
        <v>星☆传世宝箱</v>
      </c>
      <c r="J106" s="32">
        <v>1</v>
      </c>
      <c r="K106" s="32">
        <v>204071</v>
      </c>
      <c r="L106" s="1" t="str">
        <f>IFERROR(INDEX([1]物品基础表!$A:$A,MATCH(K106,[1]物品基础表!$B:$B,0)),"")</f>
        <v>玉佩温养道具3</v>
      </c>
      <c r="M106" s="32">
        <v>1</v>
      </c>
      <c r="N106" s="32">
        <v>204065</v>
      </c>
      <c r="O106" s="1" t="str">
        <f>IFERROR(INDEX([1]物品基础表!$A:$A,MATCH(N106,[1]物品基础表!$B:$B,0)),"")</f>
        <v>超级转生轮回礼包</v>
      </c>
      <c r="P106" s="32">
        <v>1</v>
      </c>
      <c r="Q106" s="32">
        <v>204070</v>
      </c>
      <c r="R106" s="1" t="str">
        <f>IFERROR(INDEX([1]物品基础表!$A:$A,MATCH(Q106,[1]物品基础表!$B:$B,0)),"")</f>
        <v>玉佩温养道具2</v>
      </c>
      <c r="S106" s="32">
        <v>1</v>
      </c>
      <c r="U106" s="1" t="str">
        <f>IFERROR(INDEX([1]物品基础表!$A:$A,MATCH(T106,[1]物品基础表!$B:$B,0)),"")</f>
        <v/>
      </c>
      <c r="X106" s="1" t="str">
        <f>IFERROR(INDEX([1]物品基础表!$A:$A,MATCH(W106,[1]物品基础表!$B:$B,0)),"")</f>
        <v/>
      </c>
    </row>
    <row r="107" spans="1:24">
      <c r="A107" s="32" t="str">
        <f>INDEX([2]活动总表!$A$8:$A$429,MATCH(B107,[2]活动总表!$B$8:$B$429,0))</f>
        <v>腊八活动-累充（31-60天）3</v>
      </c>
      <c r="B107" s="32">
        <v>431</v>
      </c>
      <c r="C107" s="32">
        <v>1</v>
      </c>
      <c r="D107" s="32">
        <v>2</v>
      </c>
      <c r="E107" s="32">
        <v>1</v>
      </c>
      <c r="F107" s="32">
        <v>2000</v>
      </c>
      <c r="H107" s="32">
        <v>2</v>
      </c>
      <c r="I107" s="1" t="str">
        <f>IF(H107=2,"元宝","神兵经验")</f>
        <v>元宝</v>
      </c>
      <c r="J107" s="32">
        <v>1000</v>
      </c>
      <c r="K107" s="32">
        <v>13</v>
      </c>
      <c r="L107" s="1" t="str">
        <f>IF(K107=2,"元宝","神兵经验")</f>
        <v>神兵经验</v>
      </c>
      <c r="M107" s="32">
        <v>1500000</v>
      </c>
      <c r="N107" s="32">
        <v>204064</v>
      </c>
      <c r="O107" s="1" t="str">
        <f>IFERROR(INDEX([1]物品基础表!$A:$A,MATCH(N107,[1]物品基础表!$B:$B,0)),"")</f>
        <v>高级转生轮回礼包</v>
      </c>
      <c r="P107" s="32">
        <v>3</v>
      </c>
      <c r="Q107" s="32">
        <v>200301</v>
      </c>
      <c r="R107" s="1" t="str">
        <f>IFERROR(INDEX([1]物品基础表!$A:$A,MATCH(Q107,[1]物品基础表!$B:$B,0)),"")</f>
        <v>传世宝钻</v>
      </c>
      <c r="S107" s="32">
        <v>20</v>
      </c>
      <c r="U107" s="1" t="str">
        <f>IFERROR(INDEX([1]物品基础表!$A:$A,MATCH(T107,[1]物品基础表!$B:$B,0)),"")</f>
        <v/>
      </c>
      <c r="X107" s="1" t="str">
        <f>IFERROR(INDEX([1]物品基础表!$A:$A,MATCH(W107,[1]物品基础表!$B:$B,0)),"")</f>
        <v/>
      </c>
    </row>
    <row r="108" spans="1:24">
      <c r="A108" s="32" t="str">
        <f>INDEX([2]活动总表!$A$8:$A$429,MATCH(B108,[2]活动总表!$B$8:$B$429,0))</f>
        <v>腊八活动-累充（31-60天）3</v>
      </c>
      <c r="B108" s="32">
        <v>431</v>
      </c>
      <c r="C108" s="32">
        <v>2</v>
      </c>
      <c r="D108" s="32">
        <v>2</v>
      </c>
      <c r="E108" s="32">
        <v>1</v>
      </c>
      <c r="F108" s="32">
        <v>5000</v>
      </c>
      <c r="H108" s="32">
        <v>200911</v>
      </c>
      <c r="I108" s="1" t="str">
        <f>IFERROR(INDEX([1]物品基础表!$A:$A,MATCH(H108,[1]物品基础表!$B:$B,0)),"")</f>
        <v>橙色圣物宝箱</v>
      </c>
      <c r="J108" s="32">
        <v>1</v>
      </c>
      <c r="K108" s="32">
        <v>204067</v>
      </c>
      <c r="L108" s="1" t="str">
        <f>IFERROR(INDEX([1]物品基础表!$A:$A,MATCH(K108,[1]物品基础表!$B:$B,0)),"")</f>
        <v>玉佩升级道具2</v>
      </c>
      <c r="M108" s="32">
        <v>2</v>
      </c>
      <c r="N108" s="32">
        <v>204064</v>
      </c>
      <c r="O108" s="1" t="str">
        <f>IFERROR(INDEX([1]物品基础表!$A:$A,MATCH(N108,[1]物品基础表!$B:$B,0)),"")</f>
        <v>高级转生轮回礼包</v>
      </c>
      <c r="P108" s="32">
        <v>5</v>
      </c>
      <c r="Q108" s="32">
        <v>200301</v>
      </c>
      <c r="R108" s="1" t="str">
        <f>IFERROR(INDEX([1]物品基础表!$A:$A,MATCH(Q108,[1]物品基础表!$B:$B,0)),"")</f>
        <v>传世宝钻</v>
      </c>
      <c r="S108" s="32">
        <v>40</v>
      </c>
      <c r="U108" s="1" t="str">
        <f>IFERROR(INDEX([1]物品基础表!$A:$A,MATCH(T108,[1]物品基础表!$B:$B,0)),"")</f>
        <v/>
      </c>
      <c r="X108" s="1" t="str">
        <f>IFERROR(INDEX([1]物品基础表!$A:$A,MATCH(W108,[1]物品基础表!$B:$B,0)),"")</f>
        <v/>
      </c>
    </row>
    <row r="109" spans="1:24">
      <c r="A109" s="32" t="str">
        <f>INDEX([2]活动总表!$A$8:$A$429,MATCH(B109,[2]活动总表!$B$8:$B$429,0))</f>
        <v>腊八活动-累充（31-60天）3</v>
      </c>
      <c r="B109" s="32">
        <v>431</v>
      </c>
      <c r="C109" s="32">
        <v>3</v>
      </c>
      <c r="D109" s="32">
        <v>2</v>
      </c>
      <c r="E109" s="32">
        <v>1</v>
      </c>
      <c r="F109" s="32">
        <v>20000</v>
      </c>
      <c r="H109" s="32">
        <v>200997</v>
      </c>
      <c r="I109" s="1" t="str">
        <f>IFERROR(INDEX([1]物品基础表!$A:$A,MATCH(H109,[1]物品基础表!$B:$B,0)),"")</f>
        <v>星☆传世宝箱</v>
      </c>
      <c r="J109" s="32">
        <v>1</v>
      </c>
      <c r="K109" s="32">
        <v>204071</v>
      </c>
      <c r="L109" s="1" t="str">
        <f>IFERROR(INDEX([1]物品基础表!$A:$A,MATCH(K109,[1]物品基础表!$B:$B,0)),"")</f>
        <v>玉佩温养道具3</v>
      </c>
      <c r="M109" s="32">
        <v>1</v>
      </c>
      <c r="N109" s="32">
        <v>204065</v>
      </c>
      <c r="O109" s="1" t="str">
        <f>IFERROR(INDEX([1]物品基础表!$A:$A,MATCH(N109,[1]物品基础表!$B:$B,0)),"")</f>
        <v>超级转生轮回礼包</v>
      </c>
      <c r="P109" s="32">
        <v>1</v>
      </c>
      <c r="Q109" s="32">
        <v>204070</v>
      </c>
      <c r="R109" s="1" t="str">
        <f>IFERROR(INDEX([1]物品基础表!$A:$A,MATCH(Q109,[1]物品基础表!$B:$B,0)),"")</f>
        <v>玉佩温养道具2</v>
      </c>
      <c r="S109" s="32">
        <v>1</v>
      </c>
      <c r="U109" s="1" t="str">
        <f>IFERROR(INDEX([1]物品基础表!$A:$A,MATCH(T109,[1]物品基础表!$B:$B,0)),"")</f>
        <v/>
      </c>
      <c r="X109" s="1" t="str">
        <f>IFERROR(INDEX([1]物品基础表!$A:$A,MATCH(W109,[1]物品基础表!$B:$B,0)),"")</f>
        <v/>
      </c>
    </row>
    <row r="110" spans="1:24">
      <c r="A110" s="32" t="str">
        <f>INDEX([2]活动总表!$A$8:$A$429,MATCH(B110,[2]活动总表!$B$8:$B$429,0))</f>
        <v>腊八活动-累充（31-60天）4</v>
      </c>
      <c r="B110" s="32">
        <v>432</v>
      </c>
      <c r="C110" s="32">
        <v>1</v>
      </c>
      <c r="D110" s="32">
        <v>2</v>
      </c>
      <c r="E110" s="32">
        <v>1</v>
      </c>
      <c r="F110" s="32">
        <v>2000</v>
      </c>
      <c r="H110" s="32">
        <v>2</v>
      </c>
      <c r="I110" s="1" t="str">
        <f>IF(H110=2,"元宝","神兵经验")</f>
        <v>元宝</v>
      </c>
      <c r="J110" s="32">
        <v>1000</v>
      </c>
      <c r="K110" s="32">
        <v>13</v>
      </c>
      <c r="L110" s="1" t="str">
        <f>IF(K110=2,"元宝","神兵经验")</f>
        <v>神兵经验</v>
      </c>
      <c r="M110" s="32">
        <v>1500000</v>
      </c>
      <c r="N110" s="32">
        <v>204064</v>
      </c>
      <c r="O110" s="1" t="str">
        <f>IFERROR(INDEX([1]物品基础表!$A:$A,MATCH(N110,[1]物品基础表!$B:$B,0)),"")</f>
        <v>高级转生轮回礼包</v>
      </c>
      <c r="P110" s="32">
        <v>3</v>
      </c>
      <c r="Q110" s="32">
        <v>200301</v>
      </c>
      <c r="R110" s="1" t="str">
        <f>IFERROR(INDEX([1]物品基础表!$A:$A,MATCH(Q110,[1]物品基础表!$B:$B,0)),"")</f>
        <v>传世宝钻</v>
      </c>
      <c r="S110" s="32">
        <v>20</v>
      </c>
      <c r="U110" s="1" t="str">
        <f>IFERROR(INDEX([1]物品基础表!$A:$A,MATCH(T110,[1]物品基础表!$B:$B,0)),"")</f>
        <v/>
      </c>
      <c r="X110" s="1" t="str">
        <f>IFERROR(INDEX([1]物品基础表!$A:$A,MATCH(W110,[1]物品基础表!$B:$B,0)),"")</f>
        <v/>
      </c>
    </row>
    <row r="111" spans="1:24">
      <c r="A111" s="32" t="str">
        <f>INDEX([2]活动总表!$A$8:$A$429,MATCH(B111,[2]活动总表!$B$8:$B$429,0))</f>
        <v>腊八活动-累充（31-60天）4</v>
      </c>
      <c r="B111" s="32">
        <v>432</v>
      </c>
      <c r="C111" s="32">
        <v>2</v>
      </c>
      <c r="D111" s="32">
        <v>2</v>
      </c>
      <c r="E111" s="32">
        <v>1</v>
      </c>
      <c r="F111" s="32">
        <v>5000</v>
      </c>
      <c r="H111" s="32">
        <v>200911</v>
      </c>
      <c r="I111" s="1" t="str">
        <f>IFERROR(INDEX([1]物品基础表!$A:$A,MATCH(H111,[1]物品基础表!$B:$B,0)),"")</f>
        <v>橙色圣物宝箱</v>
      </c>
      <c r="J111" s="32">
        <v>1</v>
      </c>
      <c r="K111" s="32">
        <v>204067</v>
      </c>
      <c r="L111" s="1" t="str">
        <f>IFERROR(INDEX([1]物品基础表!$A:$A,MATCH(K111,[1]物品基础表!$B:$B,0)),"")</f>
        <v>玉佩升级道具2</v>
      </c>
      <c r="M111" s="32">
        <v>2</v>
      </c>
      <c r="N111" s="32">
        <v>204064</v>
      </c>
      <c r="O111" s="1" t="str">
        <f>IFERROR(INDEX([1]物品基础表!$A:$A,MATCH(N111,[1]物品基础表!$B:$B,0)),"")</f>
        <v>高级转生轮回礼包</v>
      </c>
      <c r="P111" s="32">
        <v>5</v>
      </c>
      <c r="Q111" s="32">
        <v>200301</v>
      </c>
      <c r="R111" s="1" t="str">
        <f>IFERROR(INDEX([1]物品基础表!$A:$A,MATCH(Q111,[1]物品基础表!$B:$B,0)),"")</f>
        <v>传世宝钻</v>
      </c>
      <c r="S111" s="32">
        <v>40</v>
      </c>
      <c r="U111" s="1" t="str">
        <f>IFERROR(INDEX([1]物品基础表!$A:$A,MATCH(T111,[1]物品基础表!$B:$B,0)),"")</f>
        <v/>
      </c>
      <c r="X111" s="1" t="str">
        <f>IFERROR(INDEX([1]物品基础表!$A:$A,MATCH(W111,[1]物品基础表!$B:$B,0)),"")</f>
        <v/>
      </c>
    </row>
    <row r="112" spans="1:24">
      <c r="A112" s="32" t="str">
        <f>INDEX([2]活动总表!$A$8:$A$429,MATCH(B112,[2]活动总表!$B$8:$B$429,0))</f>
        <v>腊八活动-累充（31-60天）4</v>
      </c>
      <c r="B112" s="32">
        <v>432</v>
      </c>
      <c r="C112" s="32">
        <v>3</v>
      </c>
      <c r="D112" s="32">
        <v>2</v>
      </c>
      <c r="E112" s="32">
        <v>1</v>
      </c>
      <c r="F112" s="32">
        <v>20000</v>
      </c>
      <c r="H112" s="32">
        <v>200997</v>
      </c>
      <c r="I112" s="1" t="str">
        <f>IFERROR(INDEX([1]物品基础表!$A:$A,MATCH(H112,[1]物品基础表!$B:$B,0)),"")</f>
        <v>星☆传世宝箱</v>
      </c>
      <c r="J112" s="32">
        <v>1</v>
      </c>
      <c r="K112" s="32">
        <v>204071</v>
      </c>
      <c r="L112" s="1" t="str">
        <f>IFERROR(INDEX([1]物品基础表!$A:$A,MATCH(K112,[1]物品基础表!$B:$B,0)),"")</f>
        <v>玉佩温养道具3</v>
      </c>
      <c r="M112" s="32">
        <v>1</v>
      </c>
      <c r="N112" s="32">
        <v>204065</v>
      </c>
      <c r="O112" s="1" t="str">
        <f>IFERROR(INDEX([1]物品基础表!$A:$A,MATCH(N112,[1]物品基础表!$B:$B,0)),"")</f>
        <v>超级转生轮回礼包</v>
      </c>
      <c r="P112" s="32">
        <v>1</v>
      </c>
      <c r="Q112" s="32">
        <v>204070</v>
      </c>
      <c r="R112" s="1" t="str">
        <f>IFERROR(INDEX([1]物品基础表!$A:$A,MATCH(Q112,[1]物品基础表!$B:$B,0)),"")</f>
        <v>玉佩温养道具2</v>
      </c>
      <c r="S112" s="32">
        <v>1</v>
      </c>
      <c r="U112" s="1" t="str">
        <f>IFERROR(INDEX([1]物品基础表!$A:$A,MATCH(T112,[1]物品基础表!$B:$B,0)),"")</f>
        <v/>
      </c>
      <c r="X112" s="1" t="str">
        <f>IFERROR(INDEX([1]物品基础表!$A:$A,MATCH(W112,[1]物品基础表!$B:$B,0)),"")</f>
        <v/>
      </c>
    </row>
    <row r="113" spans="1:24">
      <c r="A113" s="32" t="str">
        <f>INDEX([2]活动总表!$A$8:$A$429,MATCH(B113,[2]活动总表!$B$8:$B$429,0))</f>
        <v>腊八活动-累充（31-60天）5</v>
      </c>
      <c r="B113" s="32">
        <v>433</v>
      </c>
      <c r="C113" s="32">
        <v>1</v>
      </c>
      <c r="D113" s="32">
        <v>2</v>
      </c>
      <c r="E113" s="32">
        <v>1</v>
      </c>
      <c r="F113" s="32">
        <v>2000</v>
      </c>
      <c r="H113" s="32">
        <v>2</v>
      </c>
      <c r="I113" s="1" t="str">
        <f>IF(H113=2,"元宝","神兵经验")</f>
        <v>元宝</v>
      </c>
      <c r="J113" s="32">
        <v>1000</v>
      </c>
      <c r="K113" s="32">
        <v>13</v>
      </c>
      <c r="L113" s="1" t="str">
        <f>IF(K113=2,"元宝","神兵经验")</f>
        <v>神兵经验</v>
      </c>
      <c r="M113" s="32">
        <v>1500000</v>
      </c>
      <c r="N113" s="32">
        <v>204064</v>
      </c>
      <c r="O113" s="1" t="str">
        <f>IFERROR(INDEX([1]物品基础表!$A:$A,MATCH(N113,[1]物品基础表!$B:$B,0)),"")</f>
        <v>高级转生轮回礼包</v>
      </c>
      <c r="P113" s="32">
        <v>3</v>
      </c>
      <c r="Q113" s="32">
        <v>200301</v>
      </c>
      <c r="R113" s="1" t="str">
        <f>IFERROR(INDEX([1]物品基础表!$A:$A,MATCH(Q113,[1]物品基础表!$B:$B,0)),"")</f>
        <v>传世宝钻</v>
      </c>
      <c r="S113" s="32">
        <v>20</v>
      </c>
      <c r="U113" s="1" t="str">
        <f>IFERROR(INDEX([1]物品基础表!$A:$A,MATCH(T113,[1]物品基础表!$B:$B,0)),"")</f>
        <v/>
      </c>
      <c r="X113" s="1" t="str">
        <f>IFERROR(INDEX([1]物品基础表!$A:$A,MATCH(W113,[1]物品基础表!$B:$B,0)),"")</f>
        <v/>
      </c>
    </row>
    <row r="114" spans="1:24">
      <c r="A114" s="32" t="str">
        <f>INDEX([2]活动总表!$A$8:$A$429,MATCH(B114,[2]活动总表!$B$8:$B$429,0))</f>
        <v>腊八活动-累充（31-60天）5</v>
      </c>
      <c r="B114" s="32">
        <v>433</v>
      </c>
      <c r="C114" s="32">
        <v>2</v>
      </c>
      <c r="D114" s="32">
        <v>2</v>
      </c>
      <c r="E114" s="32">
        <v>1</v>
      </c>
      <c r="F114" s="32">
        <v>5000</v>
      </c>
      <c r="H114" s="32">
        <v>200911</v>
      </c>
      <c r="I114" s="1" t="str">
        <f>IFERROR(INDEX([1]物品基础表!$A:$A,MATCH(H114,[1]物品基础表!$B:$B,0)),"")</f>
        <v>橙色圣物宝箱</v>
      </c>
      <c r="J114" s="32">
        <v>1</v>
      </c>
      <c r="K114" s="32">
        <v>204067</v>
      </c>
      <c r="L114" s="1" t="str">
        <f>IFERROR(INDEX([1]物品基础表!$A:$A,MATCH(K114,[1]物品基础表!$B:$B,0)),"")</f>
        <v>玉佩升级道具2</v>
      </c>
      <c r="M114" s="32">
        <v>2</v>
      </c>
      <c r="N114" s="32">
        <v>204064</v>
      </c>
      <c r="O114" s="1" t="str">
        <f>IFERROR(INDEX([1]物品基础表!$A:$A,MATCH(N114,[1]物品基础表!$B:$B,0)),"")</f>
        <v>高级转生轮回礼包</v>
      </c>
      <c r="P114" s="32">
        <v>5</v>
      </c>
      <c r="Q114" s="32">
        <v>200301</v>
      </c>
      <c r="R114" s="1" t="str">
        <f>IFERROR(INDEX([1]物品基础表!$A:$A,MATCH(Q114,[1]物品基础表!$B:$B,0)),"")</f>
        <v>传世宝钻</v>
      </c>
      <c r="S114" s="32">
        <v>40</v>
      </c>
      <c r="U114" s="1" t="str">
        <f>IFERROR(INDEX([1]物品基础表!$A:$A,MATCH(T114,[1]物品基础表!$B:$B,0)),"")</f>
        <v/>
      </c>
      <c r="X114" s="1" t="str">
        <f>IFERROR(INDEX([1]物品基础表!$A:$A,MATCH(W114,[1]物品基础表!$B:$B,0)),"")</f>
        <v/>
      </c>
    </row>
    <row r="115" spans="1:24">
      <c r="A115" s="32" t="str">
        <f>INDEX([2]活动总表!$A$8:$A$429,MATCH(B115,[2]活动总表!$B$8:$B$429,0))</f>
        <v>腊八活动-累充（31-60天）5</v>
      </c>
      <c r="B115" s="32">
        <v>433</v>
      </c>
      <c r="C115" s="32">
        <v>3</v>
      </c>
      <c r="D115" s="32">
        <v>2</v>
      </c>
      <c r="E115" s="32">
        <v>1</v>
      </c>
      <c r="F115" s="32">
        <v>20000</v>
      </c>
      <c r="H115" s="32">
        <v>200997</v>
      </c>
      <c r="I115" s="1" t="str">
        <f>IFERROR(INDEX([1]物品基础表!$A:$A,MATCH(H115,[1]物品基础表!$B:$B,0)),"")</f>
        <v>星☆传世宝箱</v>
      </c>
      <c r="J115" s="32">
        <v>1</v>
      </c>
      <c r="K115" s="32">
        <v>204071</v>
      </c>
      <c r="L115" s="1" t="str">
        <f>IFERROR(INDEX([1]物品基础表!$A:$A,MATCH(K115,[1]物品基础表!$B:$B,0)),"")</f>
        <v>玉佩温养道具3</v>
      </c>
      <c r="M115" s="32">
        <v>1</v>
      </c>
      <c r="N115" s="32">
        <v>204065</v>
      </c>
      <c r="O115" s="1" t="str">
        <f>IFERROR(INDEX([1]物品基础表!$A:$A,MATCH(N115,[1]物品基础表!$B:$B,0)),"")</f>
        <v>超级转生轮回礼包</v>
      </c>
      <c r="P115" s="32">
        <v>1</v>
      </c>
      <c r="Q115" s="32">
        <v>204070</v>
      </c>
      <c r="R115" s="1" t="str">
        <f>IFERROR(INDEX([1]物品基础表!$A:$A,MATCH(Q115,[1]物品基础表!$B:$B,0)),"")</f>
        <v>玉佩温养道具2</v>
      </c>
      <c r="S115" s="32">
        <v>1</v>
      </c>
      <c r="U115" s="1" t="str">
        <f>IFERROR(INDEX([1]物品基础表!$A:$A,MATCH(T115,[1]物品基础表!$B:$B,0)),"")</f>
        <v/>
      </c>
      <c r="X115" s="1" t="str">
        <f>IFERROR(INDEX([1]物品基础表!$A:$A,MATCH(W115,[1]物品基础表!$B:$B,0)),"")</f>
        <v/>
      </c>
    </row>
    <row r="116" spans="1:24">
      <c r="A116" s="32" t="str">
        <f>INDEX([2]活动总表!$A$8:$A$429,MATCH(B116,[2]活动总表!$B$8:$B$429,0))</f>
        <v>腊八活动-累充（61天以上）1</v>
      </c>
      <c r="B116" s="32">
        <v>434</v>
      </c>
      <c r="C116" s="32">
        <v>1</v>
      </c>
      <c r="D116" s="32">
        <v>2</v>
      </c>
      <c r="E116" s="32">
        <v>1</v>
      </c>
      <c r="F116" s="32">
        <v>2000</v>
      </c>
      <c r="H116" s="32">
        <v>2</v>
      </c>
      <c r="I116" s="1" t="str">
        <f>IF(H116=2,"元宝","神兵经验")</f>
        <v>元宝</v>
      </c>
      <c r="J116" s="32">
        <v>1000</v>
      </c>
      <c r="K116" s="32">
        <v>13</v>
      </c>
      <c r="L116" s="1" t="str">
        <f>IF(K116=2,"元宝","神兵经验")</f>
        <v>神兵经验</v>
      </c>
      <c r="M116" s="32">
        <v>2000000</v>
      </c>
      <c r="N116" s="32">
        <v>204064</v>
      </c>
      <c r="O116" s="1" t="str">
        <f>IFERROR(INDEX([1]物品基础表!$A:$A,MATCH(N116,[1]物品基础表!$B:$B,0)),"")</f>
        <v>高级转生轮回礼包</v>
      </c>
      <c r="P116" s="32">
        <v>3</v>
      </c>
      <c r="Q116" s="32">
        <v>200301</v>
      </c>
      <c r="R116" s="1" t="str">
        <f>IFERROR(INDEX([1]物品基础表!$A:$A,MATCH(Q116,[1]物品基础表!$B:$B,0)),"")</f>
        <v>传世宝钻</v>
      </c>
      <c r="S116" s="32">
        <v>20</v>
      </c>
      <c r="U116" s="1" t="str">
        <f>IFERROR(INDEX([1]物品基础表!$A:$A,MATCH(T116,[1]物品基础表!$B:$B,0)),"")</f>
        <v/>
      </c>
      <c r="X116" s="1" t="str">
        <f>IFERROR(INDEX([1]物品基础表!$A:$A,MATCH(W116,[1]物品基础表!$B:$B,0)),"")</f>
        <v/>
      </c>
    </row>
    <row r="117" spans="1:24">
      <c r="A117" s="32" t="str">
        <f>INDEX([2]活动总表!$A$8:$A$429,MATCH(B117,[2]活动总表!$B$8:$B$429,0))</f>
        <v>腊八活动-累充（61天以上）1</v>
      </c>
      <c r="B117" s="32">
        <v>434</v>
      </c>
      <c r="C117" s="32">
        <v>2</v>
      </c>
      <c r="D117" s="32">
        <v>2</v>
      </c>
      <c r="E117" s="32">
        <v>1</v>
      </c>
      <c r="F117" s="32">
        <v>5000</v>
      </c>
      <c r="H117" s="32">
        <v>200911</v>
      </c>
      <c r="I117" s="1" t="str">
        <f>IFERROR(INDEX([1]物品基础表!$A:$A,MATCH(H117,[1]物品基础表!$B:$B,0)),"")</f>
        <v>橙色圣物宝箱</v>
      </c>
      <c r="J117" s="32">
        <v>1</v>
      </c>
      <c r="K117" s="32">
        <v>204067</v>
      </c>
      <c r="L117" s="1" t="str">
        <f>IFERROR(INDEX([1]物品基础表!$A:$A,MATCH(K117,[1]物品基础表!$B:$B,0)),"")</f>
        <v>玉佩升级道具2</v>
      </c>
      <c r="M117" s="32">
        <v>2</v>
      </c>
      <c r="N117" s="32">
        <v>204064</v>
      </c>
      <c r="O117" s="1" t="str">
        <f>IFERROR(INDEX([1]物品基础表!$A:$A,MATCH(N117,[1]物品基础表!$B:$B,0)),"")</f>
        <v>高级转生轮回礼包</v>
      </c>
      <c r="P117" s="32">
        <v>5</v>
      </c>
      <c r="Q117" s="32">
        <v>200301</v>
      </c>
      <c r="R117" s="1" t="str">
        <f>IFERROR(INDEX([1]物品基础表!$A:$A,MATCH(Q117,[1]物品基础表!$B:$B,0)),"")</f>
        <v>传世宝钻</v>
      </c>
      <c r="S117" s="32">
        <v>40</v>
      </c>
      <c r="U117" s="1" t="str">
        <f>IFERROR(INDEX([1]物品基础表!$A:$A,MATCH(T117,[1]物品基础表!$B:$B,0)),"")</f>
        <v/>
      </c>
      <c r="X117" s="1" t="str">
        <f>IFERROR(INDEX([1]物品基础表!$A:$A,MATCH(W117,[1]物品基础表!$B:$B,0)),"")</f>
        <v/>
      </c>
    </row>
    <row r="118" spans="1:24">
      <c r="A118" s="32" t="str">
        <f>INDEX([2]活动总表!$A$8:$A$429,MATCH(B118,[2]活动总表!$B$8:$B$429,0))</f>
        <v>腊八活动-累充（61天以上）1</v>
      </c>
      <c r="B118" s="32">
        <v>434</v>
      </c>
      <c r="C118" s="32">
        <v>3</v>
      </c>
      <c r="D118" s="32">
        <v>2</v>
      </c>
      <c r="E118" s="32">
        <v>1</v>
      </c>
      <c r="F118" s="32">
        <v>20000</v>
      </c>
      <c r="H118" s="32">
        <v>200912</v>
      </c>
      <c r="I118" s="1" t="str">
        <f>IFERROR(INDEX([1]物品基础表!$A:$A,MATCH(H118,[1]物品基础表!$B:$B,0)),"")</f>
        <v>红色圣物宝箱</v>
      </c>
      <c r="J118" s="32">
        <v>1</v>
      </c>
      <c r="K118" s="32">
        <v>204071</v>
      </c>
      <c r="L118" s="1" t="str">
        <f>IFERROR(INDEX([1]物品基础表!$A:$A,MATCH(K118,[1]物品基础表!$B:$B,0)),"")</f>
        <v>玉佩温养道具3</v>
      </c>
      <c r="M118" s="32">
        <v>1</v>
      </c>
      <c r="N118" s="32">
        <v>204065</v>
      </c>
      <c r="O118" s="1" t="str">
        <f>IFERROR(INDEX([1]物品基础表!$A:$A,MATCH(N118,[1]物品基础表!$B:$B,0)),"")</f>
        <v>超级转生轮回礼包</v>
      </c>
      <c r="P118" s="32">
        <v>1</v>
      </c>
      <c r="Q118" s="32">
        <v>204070</v>
      </c>
      <c r="R118" s="1" t="str">
        <f>IFERROR(INDEX([1]物品基础表!$A:$A,MATCH(Q118,[1]物品基础表!$B:$B,0)),"")</f>
        <v>玉佩温养道具2</v>
      </c>
      <c r="S118" s="32">
        <v>1</v>
      </c>
      <c r="U118" s="1" t="str">
        <f>IFERROR(INDEX([1]物品基础表!$A:$A,MATCH(T118,[1]物品基础表!$B:$B,0)),"")</f>
        <v/>
      </c>
      <c r="X118" s="1" t="str">
        <f>IFERROR(INDEX([1]物品基础表!$A:$A,MATCH(W118,[1]物品基础表!$B:$B,0)),"")</f>
        <v/>
      </c>
    </row>
    <row r="119" spans="1:24">
      <c r="A119" s="32" t="str">
        <f>INDEX([2]活动总表!$A$8:$A$429,MATCH(B119,[2]活动总表!$B$8:$B$429,0))</f>
        <v>腊八活动-累充（61天以上）2</v>
      </c>
      <c r="B119" s="32">
        <v>435</v>
      </c>
      <c r="C119" s="32">
        <v>1</v>
      </c>
      <c r="D119" s="32">
        <v>2</v>
      </c>
      <c r="E119" s="32">
        <v>1</v>
      </c>
      <c r="F119" s="32">
        <v>2000</v>
      </c>
      <c r="H119" s="32">
        <v>2</v>
      </c>
      <c r="I119" s="1" t="str">
        <f>IF(H119=2,"元宝","神兵经验")</f>
        <v>元宝</v>
      </c>
      <c r="J119" s="32">
        <v>1000</v>
      </c>
      <c r="K119" s="32">
        <v>13</v>
      </c>
      <c r="L119" s="1" t="str">
        <f>IF(K119=2,"元宝","神兵经验")</f>
        <v>神兵经验</v>
      </c>
      <c r="M119" s="32">
        <v>2000000</v>
      </c>
      <c r="N119" s="32">
        <v>204064</v>
      </c>
      <c r="O119" s="1" t="str">
        <f>IFERROR(INDEX([1]物品基础表!$A:$A,MATCH(N119,[1]物品基础表!$B:$B,0)),"")</f>
        <v>高级转生轮回礼包</v>
      </c>
      <c r="P119" s="32">
        <v>3</v>
      </c>
      <c r="Q119" s="32">
        <v>200301</v>
      </c>
      <c r="R119" s="1" t="str">
        <f>IFERROR(INDEX([1]物品基础表!$A:$A,MATCH(Q119,[1]物品基础表!$B:$B,0)),"")</f>
        <v>传世宝钻</v>
      </c>
      <c r="S119" s="32">
        <v>20</v>
      </c>
      <c r="U119" s="1" t="str">
        <f>IFERROR(INDEX([1]物品基础表!$A:$A,MATCH(T119,[1]物品基础表!$B:$B,0)),"")</f>
        <v/>
      </c>
      <c r="X119" s="1" t="str">
        <f>IFERROR(INDEX([1]物品基础表!$A:$A,MATCH(W119,[1]物品基础表!$B:$B,0)),"")</f>
        <v/>
      </c>
    </row>
    <row r="120" spans="1:24">
      <c r="A120" s="32" t="str">
        <f>INDEX([2]活动总表!$A$8:$A$429,MATCH(B120,[2]活动总表!$B$8:$B$429,0))</f>
        <v>腊八活动-累充（61天以上）2</v>
      </c>
      <c r="B120" s="32">
        <v>435</v>
      </c>
      <c r="C120" s="32">
        <v>2</v>
      </c>
      <c r="D120" s="32">
        <v>2</v>
      </c>
      <c r="E120" s="32">
        <v>1</v>
      </c>
      <c r="F120" s="32">
        <v>5000</v>
      </c>
      <c r="H120" s="32">
        <v>200911</v>
      </c>
      <c r="I120" s="1" t="str">
        <f>IFERROR(INDEX([1]物品基础表!$A:$A,MATCH(H120,[1]物品基础表!$B:$B,0)),"")</f>
        <v>橙色圣物宝箱</v>
      </c>
      <c r="J120" s="32">
        <v>1</v>
      </c>
      <c r="K120" s="32">
        <v>204067</v>
      </c>
      <c r="L120" s="1" t="str">
        <f>IFERROR(INDEX([1]物品基础表!$A:$A,MATCH(K120,[1]物品基础表!$B:$B,0)),"")</f>
        <v>玉佩升级道具2</v>
      </c>
      <c r="M120" s="32">
        <v>2</v>
      </c>
      <c r="N120" s="32">
        <v>204064</v>
      </c>
      <c r="O120" s="1" t="str">
        <f>IFERROR(INDEX([1]物品基础表!$A:$A,MATCH(N120,[1]物品基础表!$B:$B,0)),"")</f>
        <v>高级转生轮回礼包</v>
      </c>
      <c r="P120" s="32">
        <v>5</v>
      </c>
      <c r="Q120" s="32">
        <v>200301</v>
      </c>
      <c r="R120" s="1" t="str">
        <f>IFERROR(INDEX([1]物品基础表!$A:$A,MATCH(Q120,[1]物品基础表!$B:$B,0)),"")</f>
        <v>传世宝钻</v>
      </c>
      <c r="S120" s="32">
        <v>40</v>
      </c>
      <c r="U120" s="1" t="str">
        <f>IFERROR(INDEX([1]物品基础表!$A:$A,MATCH(T120,[1]物品基础表!$B:$B,0)),"")</f>
        <v/>
      </c>
      <c r="X120" s="1" t="str">
        <f>IFERROR(INDEX([1]物品基础表!$A:$A,MATCH(W120,[1]物品基础表!$B:$B,0)),"")</f>
        <v/>
      </c>
    </row>
    <row r="121" spans="1:24">
      <c r="A121" s="32" t="str">
        <f>INDEX([2]活动总表!$A$8:$A$429,MATCH(B121,[2]活动总表!$B$8:$B$429,0))</f>
        <v>腊八活动-累充（61天以上）2</v>
      </c>
      <c r="B121" s="32">
        <v>435</v>
      </c>
      <c r="C121" s="32">
        <v>3</v>
      </c>
      <c r="D121" s="32">
        <v>2</v>
      </c>
      <c r="E121" s="32">
        <v>1</v>
      </c>
      <c r="F121" s="32">
        <v>20000</v>
      </c>
      <c r="H121" s="32">
        <v>200912</v>
      </c>
      <c r="I121" s="1" t="str">
        <f>IFERROR(INDEX([1]物品基础表!$A:$A,MATCH(H121,[1]物品基础表!$B:$B,0)),"")</f>
        <v>红色圣物宝箱</v>
      </c>
      <c r="J121" s="32">
        <v>1</v>
      </c>
      <c r="K121" s="32">
        <v>204071</v>
      </c>
      <c r="L121" s="1" t="str">
        <f>IFERROR(INDEX([1]物品基础表!$A:$A,MATCH(K121,[1]物品基础表!$B:$B,0)),"")</f>
        <v>玉佩温养道具3</v>
      </c>
      <c r="M121" s="32">
        <v>1</v>
      </c>
      <c r="N121" s="32">
        <v>204065</v>
      </c>
      <c r="O121" s="1" t="str">
        <f>IFERROR(INDEX([1]物品基础表!$A:$A,MATCH(N121,[1]物品基础表!$B:$B,0)),"")</f>
        <v>超级转生轮回礼包</v>
      </c>
      <c r="P121" s="32">
        <v>1</v>
      </c>
      <c r="Q121" s="32">
        <v>204070</v>
      </c>
      <c r="R121" s="1" t="str">
        <f>IFERROR(INDEX([1]物品基础表!$A:$A,MATCH(Q121,[1]物品基础表!$B:$B,0)),"")</f>
        <v>玉佩温养道具2</v>
      </c>
      <c r="S121" s="32">
        <v>1</v>
      </c>
      <c r="U121" s="1" t="str">
        <f>IFERROR(INDEX([1]物品基础表!$A:$A,MATCH(T121,[1]物品基础表!$B:$B,0)),"")</f>
        <v/>
      </c>
      <c r="X121" s="1" t="str">
        <f>IFERROR(INDEX([1]物品基础表!$A:$A,MATCH(W121,[1]物品基础表!$B:$B,0)),"")</f>
        <v/>
      </c>
    </row>
    <row r="122" spans="1:24">
      <c r="A122" s="32" t="str">
        <f>INDEX([2]活动总表!$A$8:$A$429,MATCH(B122,[2]活动总表!$B$8:$B$429,0))</f>
        <v>腊八活动-累充（61天以上）3</v>
      </c>
      <c r="B122" s="32">
        <v>436</v>
      </c>
      <c r="C122" s="32">
        <v>1</v>
      </c>
      <c r="D122" s="32">
        <v>2</v>
      </c>
      <c r="E122" s="32">
        <v>1</v>
      </c>
      <c r="F122" s="32">
        <v>2000</v>
      </c>
      <c r="H122" s="32">
        <v>2</v>
      </c>
      <c r="I122" s="1" t="str">
        <f>IF(H122=2,"元宝","神兵经验")</f>
        <v>元宝</v>
      </c>
      <c r="J122" s="32">
        <v>1000</v>
      </c>
      <c r="K122" s="32">
        <v>13</v>
      </c>
      <c r="L122" s="1" t="str">
        <f>IF(K122=2,"元宝","神兵经验")</f>
        <v>神兵经验</v>
      </c>
      <c r="M122" s="32">
        <v>2000000</v>
      </c>
      <c r="N122" s="32">
        <v>204064</v>
      </c>
      <c r="O122" s="1" t="str">
        <f>IFERROR(INDEX([1]物品基础表!$A:$A,MATCH(N122,[1]物品基础表!$B:$B,0)),"")</f>
        <v>高级转生轮回礼包</v>
      </c>
      <c r="P122" s="32">
        <v>3</v>
      </c>
      <c r="Q122" s="32">
        <v>200301</v>
      </c>
      <c r="R122" s="1" t="str">
        <f>IFERROR(INDEX([1]物品基础表!$A:$A,MATCH(Q122,[1]物品基础表!$B:$B,0)),"")</f>
        <v>传世宝钻</v>
      </c>
      <c r="S122" s="32">
        <v>20</v>
      </c>
      <c r="U122" s="1" t="str">
        <f>IFERROR(INDEX([1]物品基础表!$A:$A,MATCH(T122,[1]物品基础表!$B:$B,0)),"")</f>
        <v/>
      </c>
      <c r="X122" s="1" t="str">
        <f>IFERROR(INDEX([1]物品基础表!$A:$A,MATCH(W122,[1]物品基础表!$B:$B,0)),"")</f>
        <v/>
      </c>
    </row>
    <row r="123" spans="1:24">
      <c r="A123" s="32" t="str">
        <f>INDEX([2]活动总表!$A$8:$A$429,MATCH(B123,[2]活动总表!$B$8:$B$429,0))</f>
        <v>腊八活动-累充（61天以上）3</v>
      </c>
      <c r="B123" s="32">
        <v>436</v>
      </c>
      <c r="C123" s="32">
        <v>2</v>
      </c>
      <c r="D123" s="32">
        <v>2</v>
      </c>
      <c r="E123" s="32">
        <v>1</v>
      </c>
      <c r="F123" s="32">
        <v>5000</v>
      </c>
      <c r="H123" s="32">
        <v>200911</v>
      </c>
      <c r="I123" s="1" t="str">
        <f>IFERROR(INDEX([1]物品基础表!$A:$A,MATCH(H123,[1]物品基础表!$B:$B,0)),"")</f>
        <v>橙色圣物宝箱</v>
      </c>
      <c r="J123" s="32">
        <v>1</v>
      </c>
      <c r="K123" s="32">
        <v>204067</v>
      </c>
      <c r="L123" s="1" t="str">
        <f>IFERROR(INDEX([1]物品基础表!$A:$A,MATCH(K123,[1]物品基础表!$B:$B,0)),"")</f>
        <v>玉佩升级道具2</v>
      </c>
      <c r="M123" s="32">
        <v>2</v>
      </c>
      <c r="N123" s="32">
        <v>204064</v>
      </c>
      <c r="O123" s="1" t="str">
        <f>IFERROR(INDEX([1]物品基础表!$A:$A,MATCH(N123,[1]物品基础表!$B:$B,0)),"")</f>
        <v>高级转生轮回礼包</v>
      </c>
      <c r="P123" s="32">
        <v>5</v>
      </c>
      <c r="Q123" s="32">
        <v>200301</v>
      </c>
      <c r="R123" s="1" t="str">
        <f>IFERROR(INDEX([1]物品基础表!$A:$A,MATCH(Q123,[1]物品基础表!$B:$B,0)),"")</f>
        <v>传世宝钻</v>
      </c>
      <c r="S123" s="32">
        <v>40</v>
      </c>
      <c r="U123" s="1" t="str">
        <f>IFERROR(INDEX([1]物品基础表!$A:$A,MATCH(T123,[1]物品基础表!$B:$B,0)),"")</f>
        <v/>
      </c>
      <c r="X123" s="1" t="str">
        <f>IFERROR(INDEX([1]物品基础表!$A:$A,MATCH(W123,[1]物品基础表!$B:$B,0)),"")</f>
        <v/>
      </c>
    </row>
    <row r="124" spans="1:24">
      <c r="A124" s="32" t="str">
        <f>INDEX([2]活动总表!$A$8:$A$429,MATCH(B124,[2]活动总表!$B$8:$B$429,0))</f>
        <v>腊八活动-累充（61天以上）3</v>
      </c>
      <c r="B124" s="32">
        <v>436</v>
      </c>
      <c r="C124" s="32">
        <v>3</v>
      </c>
      <c r="D124" s="32">
        <v>2</v>
      </c>
      <c r="E124" s="32">
        <v>1</v>
      </c>
      <c r="F124" s="32">
        <v>20000</v>
      </c>
      <c r="H124" s="32">
        <v>200912</v>
      </c>
      <c r="I124" s="1" t="str">
        <f>IFERROR(INDEX([1]物品基础表!$A:$A,MATCH(H124,[1]物品基础表!$B:$B,0)),"")</f>
        <v>红色圣物宝箱</v>
      </c>
      <c r="J124" s="32">
        <v>1</v>
      </c>
      <c r="K124" s="32">
        <v>204071</v>
      </c>
      <c r="L124" s="1" t="str">
        <f>IFERROR(INDEX([1]物品基础表!$A:$A,MATCH(K124,[1]物品基础表!$B:$B,0)),"")</f>
        <v>玉佩温养道具3</v>
      </c>
      <c r="M124" s="32">
        <v>1</v>
      </c>
      <c r="N124" s="32">
        <v>204065</v>
      </c>
      <c r="O124" s="1" t="str">
        <f>IFERROR(INDEX([1]物品基础表!$A:$A,MATCH(N124,[1]物品基础表!$B:$B,0)),"")</f>
        <v>超级转生轮回礼包</v>
      </c>
      <c r="P124" s="32">
        <v>1</v>
      </c>
      <c r="Q124" s="32">
        <v>204070</v>
      </c>
      <c r="R124" s="1" t="str">
        <f>IFERROR(INDEX([1]物品基础表!$A:$A,MATCH(Q124,[1]物品基础表!$B:$B,0)),"")</f>
        <v>玉佩温养道具2</v>
      </c>
      <c r="S124" s="32">
        <v>1</v>
      </c>
      <c r="U124" s="1" t="str">
        <f>IFERROR(INDEX([1]物品基础表!$A:$A,MATCH(T124,[1]物品基础表!$B:$B,0)),"")</f>
        <v/>
      </c>
      <c r="X124" s="1" t="str">
        <f>IFERROR(INDEX([1]物品基础表!$A:$A,MATCH(W124,[1]物品基础表!$B:$B,0)),"")</f>
        <v/>
      </c>
    </row>
    <row r="125" spans="1:24">
      <c r="A125" s="32" t="str">
        <f>INDEX([2]活动总表!$A$8:$A$429,MATCH(B125,[2]活动总表!$B$8:$B$429,0))</f>
        <v>腊八活动-累充（61天以上）4</v>
      </c>
      <c r="B125" s="32">
        <v>437</v>
      </c>
      <c r="C125" s="32">
        <v>1</v>
      </c>
      <c r="D125" s="32">
        <v>2</v>
      </c>
      <c r="E125" s="32">
        <v>1</v>
      </c>
      <c r="F125" s="32">
        <v>2000</v>
      </c>
      <c r="H125" s="32">
        <v>2</v>
      </c>
      <c r="I125" s="1" t="str">
        <f>IF(H125=2,"元宝","神兵经验")</f>
        <v>元宝</v>
      </c>
      <c r="J125" s="32">
        <v>1000</v>
      </c>
      <c r="K125" s="32">
        <v>13</v>
      </c>
      <c r="L125" s="1" t="str">
        <f>IF(K125=2,"元宝","神兵经验")</f>
        <v>神兵经验</v>
      </c>
      <c r="M125" s="32">
        <v>2000000</v>
      </c>
      <c r="N125" s="32">
        <v>204064</v>
      </c>
      <c r="O125" s="1" t="str">
        <f>IFERROR(INDEX([1]物品基础表!$A:$A,MATCH(N125,[1]物品基础表!$B:$B,0)),"")</f>
        <v>高级转生轮回礼包</v>
      </c>
      <c r="P125" s="32">
        <v>3</v>
      </c>
      <c r="Q125" s="32">
        <v>200301</v>
      </c>
      <c r="R125" s="1" t="str">
        <f>IFERROR(INDEX([1]物品基础表!$A:$A,MATCH(Q125,[1]物品基础表!$B:$B,0)),"")</f>
        <v>传世宝钻</v>
      </c>
      <c r="S125" s="32">
        <v>20</v>
      </c>
      <c r="U125" s="1" t="str">
        <f>IFERROR(INDEX([1]物品基础表!$A:$A,MATCH(T125,[1]物品基础表!$B:$B,0)),"")</f>
        <v/>
      </c>
      <c r="X125" s="1" t="str">
        <f>IFERROR(INDEX([1]物品基础表!$A:$A,MATCH(W125,[1]物品基础表!$B:$B,0)),"")</f>
        <v/>
      </c>
    </row>
    <row r="126" spans="1:24">
      <c r="A126" s="32" t="str">
        <f>INDEX([2]活动总表!$A$8:$A$429,MATCH(B126,[2]活动总表!$B$8:$B$429,0))</f>
        <v>腊八活动-累充（61天以上）4</v>
      </c>
      <c r="B126" s="32">
        <v>437</v>
      </c>
      <c r="C126" s="32">
        <v>2</v>
      </c>
      <c r="D126" s="32">
        <v>2</v>
      </c>
      <c r="E126" s="32">
        <v>1</v>
      </c>
      <c r="F126" s="32">
        <v>5000</v>
      </c>
      <c r="H126" s="32">
        <v>200911</v>
      </c>
      <c r="I126" s="1" t="str">
        <f>IFERROR(INDEX([1]物品基础表!$A:$A,MATCH(H126,[1]物品基础表!$B:$B,0)),"")</f>
        <v>橙色圣物宝箱</v>
      </c>
      <c r="J126" s="32">
        <v>1</v>
      </c>
      <c r="K126" s="32">
        <v>204067</v>
      </c>
      <c r="L126" s="1" t="str">
        <f>IFERROR(INDEX([1]物品基础表!$A:$A,MATCH(K126,[1]物品基础表!$B:$B,0)),"")</f>
        <v>玉佩升级道具2</v>
      </c>
      <c r="M126" s="32">
        <v>2</v>
      </c>
      <c r="N126" s="32">
        <v>204064</v>
      </c>
      <c r="O126" s="1" t="str">
        <f>IFERROR(INDEX([1]物品基础表!$A:$A,MATCH(N126,[1]物品基础表!$B:$B,0)),"")</f>
        <v>高级转生轮回礼包</v>
      </c>
      <c r="P126" s="32">
        <v>5</v>
      </c>
      <c r="Q126" s="32">
        <v>200301</v>
      </c>
      <c r="R126" s="1" t="str">
        <f>IFERROR(INDEX([1]物品基础表!$A:$A,MATCH(Q126,[1]物品基础表!$B:$B,0)),"")</f>
        <v>传世宝钻</v>
      </c>
      <c r="S126" s="32">
        <v>40</v>
      </c>
      <c r="U126" s="1" t="str">
        <f>IFERROR(INDEX([1]物品基础表!$A:$A,MATCH(T126,[1]物品基础表!$B:$B,0)),"")</f>
        <v/>
      </c>
      <c r="X126" s="1" t="str">
        <f>IFERROR(INDEX([1]物品基础表!$A:$A,MATCH(W126,[1]物品基础表!$B:$B,0)),"")</f>
        <v/>
      </c>
    </row>
    <row r="127" spans="1:24">
      <c r="A127" s="32" t="str">
        <f>INDEX([2]活动总表!$A$8:$A$429,MATCH(B127,[2]活动总表!$B$8:$B$429,0))</f>
        <v>腊八活动-累充（61天以上）4</v>
      </c>
      <c r="B127" s="32">
        <v>437</v>
      </c>
      <c r="C127" s="32">
        <v>3</v>
      </c>
      <c r="D127" s="32">
        <v>2</v>
      </c>
      <c r="E127" s="32">
        <v>1</v>
      </c>
      <c r="F127" s="32">
        <v>20000</v>
      </c>
      <c r="H127" s="32">
        <v>200912</v>
      </c>
      <c r="I127" s="1" t="str">
        <f>IFERROR(INDEX([1]物品基础表!$A:$A,MATCH(H127,[1]物品基础表!$B:$B,0)),"")</f>
        <v>红色圣物宝箱</v>
      </c>
      <c r="J127" s="32">
        <v>1</v>
      </c>
      <c r="K127" s="32">
        <v>204071</v>
      </c>
      <c r="L127" s="1" t="str">
        <f>IFERROR(INDEX([1]物品基础表!$A:$A,MATCH(K127,[1]物品基础表!$B:$B,0)),"")</f>
        <v>玉佩温养道具3</v>
      </c>
      <c r="M127" s="32">
        <v>1</v>
      </c>
      <c r="N127" s="32">
        <v>204065</v>
      </c>
      <c r="O127" s="1" t="str">
        <f>IFERROR(INDEX([1]物品基础表!$A:$A,MATCH(N127,[1]物品基础表!$B:$B,0)),"")</f>
        <v>超级转生轮回礼包</v>
      </c>
      <c r="P127" s="32">
        <v>1</v>
      </c>
      <c r="Q127" s="32">
        <v>204070</v>
      </c>
      <c r="R127" s="1" t="str">
        <f>IFERROR(INDEX([1]物品基础表!$A:$A,MATCH(Q127,[1]物品基础表!$B:$B,0)),"")</f>
        <v>玉佩温养道具2</v>
      </c>
      <c r="S127" s="32">
        <v>1</v>
      </c>
      <c r="U127" s="1" t="str">
        <f>IFERROR(INDEX([1]物品基础表!$A:$A,MATCH(T127,[1]物品基础表!$B:$B,0)),"")</f>
        <v/>
      </c>
      <c r="X127" s="1" t="str">
        <f>IFERROR(INDEX([1]物品基础表!$A:$A,MATCH(W127,[1]物品基础表!$B:$B,0)),"")</f>
        <v/>
      </c>
    </row>
    <row r="128" spans="1:24">
      <c r="A128" s="32" t="str">
        <f>INDEX([2]活动总表!$A$8:$A$429,MATCH(B128,[2]活动总表!$B$8:$B$429,0))</f>
        <v>腊八活动-累充（61天以上）5</v>
      </c>
      <c r="B128" s="32">
        <v>438</v>
      </c>
      <c r="C128" s="32">
        <v>1</v>
      </c>
      <c r="D128" s="32">
        <v>2</v>
      </c>
      <c r="E128" s="32">
        <v>1</v>
      </c>
      <c r="F128" s="32">
        <v>2000</v>
      </c>
      <c r="H128" s="32">
        <v>2</v>
      </c>
      <c r="I128" s="1" t="str">
        <f>IF(H128=2,"元宝","神兵经验")</f>
        <v>元宝</v>
      </c>
      <c r="J128" s="32">
        <v>1000</v>
      </c>
      <c r="K128" s="32">
        <v>13</v>
      </c>
      <c r="L128" s="1" t="str">
        <f>IF(K128=2,"元宝","神兵经验")</f>
        <v>神兵经验</v>
      </c>
      <c r="M128" s="32">
        <v>2000000</v>
      </c>
      <c r="N128" s="32">
        <v>204064</v>
      </c>
      <c r="O128" s="1" t="str">
        <f>IFERROR(INDEX([1]物品基础表!$A:$A,MATCH(N128,[1]物品基础表!$B:$B,0)),"")</f>
        <v>高级转生轮回礼包</v>
      </c>
      <c r="P128" s="32">
        <v>3</v>
      </c>
      <c r="Q128" s="32">
        <v>200301</v>
      </c>
      <c r="R128" s="1" t="str">
        <f>IFERROR(INDEX([1]物品基础表!$A:$A,MATCH(Q128,[1]物品基础表!$B:$B,0)),"")</f>
        <v>传世宝钻</v>
      </c>
      <c r="S128" s="32">
        <v>20</v>
      </c>
      <c r="U128" s="1" t="str">
        <f>IFERROR(INDEX([1]物品基础表!$A:$A,MATCH(T128,[1]物品基础表!$B:$B,0)),"")</f>
        <v/>
      </c>
      <c r="X128" s="1" t="str">
        <f>IFERROR(INDEX([1]物品基础表!$A:$A,MATCH(W128,[1]物品基础表!$B:$B,0)),"")</f>
        <v/>
      </c>
    </row>
    <row r="129" spans="1:24">
      <c r="A129" s="32" t="str">
        <f>INDEX([2]活动总表!$A$8:$A$429,MATCH(B129,[2]活动总表!$B$8:$B$429,0))</f>
        <v>腊八活动-累充（61天以上）5</v>
      </c>
      <c r="B129" s="32">
        <v>438</v>
      </c>
      <c r="C129" s="32">
        <v>2</v>
      </c>
      <c r="D129" s="32">
        <v>2</v>
      </c>
      <c r="E129" s="32">
        <v>1</v>
      </c>
      <c r="F129" s="32">
        <v>5000</v>
      </c>
      <c r="H129" s="32">
        <v>200911</v>
      </c>
      <c r="I129" s="1" t="str">
        <f>IFERROR(INDEX([1]物品基础表!$A:$A,MATCH(H129,[1]物品基础表!$B:$B,0)),"")</f>
        <v>橙色圣物宝箱</v>
      </c>
      <c r="J129" s="32">
        <v>1</v>
      </c>
      <c r="K129" s="32">
        <v>204067</v>
      </c>
      <c r="L129" s="1" t="str">
        <f>IFERROR(INDEX([1]物品基础表!$A:$A,MATCH(K129,[1]物品基础表!$B:$B,0)),"")</f>
        <v>玉佩升级道具2</v>
      </c>
      <c r="M129" s="32">
        <v>2</v>
      </c>
      <c r="N129" s="32">
        <v>204064</v>
      </c>
      <c r="O129" s="1" t="str">
        <f>IFERROR(INDEX([1]物品基础表!$A:$A,MATCH(N129,[1]物品基础表!$B:$B,0)),"")</f>
        <v>高级转生轮回礼包</v>
      </c>
      <c r="P129" s="32">
        <v>5</v>
      </c>
      <c r="Q129" s="32">
        <v>200301</v>
      </c>
      <c r="R129" s="1" t="str">
        <f>IFERROR(INDEX([1]物品基础表!$A:$A,MATCH(Q129,[1]物品基础表!$B:$B,0)),"")</f>
        <v>传世宝钻</v>
      </c>
      <c r="S129" s="32">
        <v>40</v>
      </c>
      <c r="U129" s="1" t="str">
        <f>IFERROR(INDEX([1]物品基础表!$A:$A,MATCH(T129,[1]物品基础表!$B:$B,0)),"")</f>
        <v/>
      </c>
      <c r="X129" s="1" t="str">
        <f>IFERROR(INDEX([1]物品基础表!$A:$A,MATCH(W129,[1]物品基础表!$B:$B,0)),"")</f>
        <v/>
      </c>
    </row>
    <row r="130" spans="1:24">
      <c r="A130" s="32" t="str">
        <f>INDEX([2]活动总表!$A$8:$A$429,MATCH(B130,[2]活动总表!$B$8:$B$429,0))</f>
        <v>腊八活动-累充（61天以上）5</v>
      </c>
      <c r="B130" s="32">
        <v>438</v>
      </c>
      <c r="C130" s="32">
        <v>3</v>
      </c>
      <c r="D130" s="32">
        <v>2</v>
      </c>
      <c r="E130" s="32">
        <v>1</v>
      </c>
      <c r="F130" s="32">
        <v>20000</v>
      </c>
      <c r="H130" s="32">
        <v>200912</v>
      </c>
      <c r="I130" s="1" t="str">
        <f>IFERROR(INDEX([1]物品基础表!$A:$A,MATCH(H130,[1]物品基础表!$B:$B,0)),"")</f>
        <v>红色圣物宝箱</v>
      </c>
      <c r="J130" s="32">
        <v>1</v>
      </c>
      <c r="K130" s="32">
        <v>204071</v>
      </c>
      <c r="L130" s="1" t="str">
        <f>IFERROR(INDEX([1]物品基础表!$A:$A,MATCH(K130,[1]物品基础表!$B:$B,0)),"")</f>
        <v>玉佩温养道具3</v>
      </c>
      <c r="M130" s="32">
        <v>1</v>
      </c>
      <c r="N130" s="32">
        <v>204065</v>
      </c>
      <c r="O130" s="1" t="str">
        <f>IFERROR(INDEX([1]物品基础表!$A:$A,MATCH(N130,[1]物品基础表!$B:$B,0)),"")</f>
        <v>超级转生轮回礼包</v>
      </c>
      <c r="P130" s="32">
        <v>1</v>
      </c>
      <c r="Q130" s="32">
        <v>204070</v>
      </c>
      <c r="R130" s="1" t="str">
        <f>IFERROR(INDEX([1]物品基础表!$A:$A,MATCH(Q130,[1]物品基础表!$B:$B,0)),"")</f>
        <v>玉佩温养道具2</v>
      </c>
      <c r="S130" s="32">
        <v>1</v>
      </c>
      <c r="U130" s="1" t="str">
        <f>IFERROR(INDEX([1]物品基础表!$A:$A,MATCH(T130,[1]物品基础表!$B:$B,0)),"")</f>
        <v/>
      </c>
      <c r="X130" s="1" t="str">
        <f>IFERROR(INDEX([1]物品基础表!$A:$A,MATCH(W130,[1]物品基础表!$B:$B,0)),"")</f>
        <v/>
      </c>
    </row>
    <row r="131" spans="1:24">
      <c r="A131" s="32" t="str">
        <f>INDEX([2]活动总表!$A$8:$A$429,MATCH(B131,[2]活动总表!$B$8:$B$429,0))</f>
        <v>立春-累充</v>
      </c>
      <c r="B131" s="32">
        <v>324</v>
      </c>
      <c r="C131" s="32">
        <v>1</v>
      </c>
      <c r="D131" s="32">
        <v>2</v>
      </c>
      <c r="E131" s="32">
        <v>3</v>
      </c>
      <c r="F131" s="32">
        <v>2888</v>
      </c>
      <c r="H131" s="32">
        <v>2</v>
      </c>
      <c r="I131" s="1" t="str">
        <f t="shared" ref="I131:I132" si="8">IF(H131=2,"元宝","神兵经验")</f>
        <v>元宝</v>
      </c>
      <c r="J131" s="32">
        <v>2888</v>
      </c>
      <c r="K131" s="32">
        <v>204064</v>
      </c>
      <c r="L131" s="1" t="str">
        <f>IFERROR(INDEX([1]物品基础表!$A:$A,MATCH(K131,[1]物品基础表!$B:$B,0)),"")</f>
        <v>高级转生轮回礼包</v>
      </c>
      <c r="M131" s="32">
        <v>5</v>
      </c>
      <c r="N131" s="32">
        <v>204152</v>
      </c>
      <c r="O131" s="1" t="str">
        <f>IFERROR(INDEX([1]物品基础表!$A:$A,MATCH(N131,[1]物品基础表!$B:$B,0)),"")</f>
        <v>奇遇刷新卷</v>
      </c>
      <c r="P131" s="32">
        <v>5</v>
      </c>
      <c r="R131" s="1" t="str">
        <f>IFERROR(INDEX([1]物品基础表!$A:$A,MATCH(Q131,[1]物品基础表!$B:$B,0)),"")</f>
        <v/>
      </c>
      <c r="U131" s="1" t="str">
        <f>IFERROR(INDEX([1]物品基础表!$A:$A,MATCH(T131,[1]物品基础表!$B:$B,0)),"")</f>
        <v/>
      </c>
      <c r="X131" s="1" t="str">
        <f>IFERROR(INDEX([1]物品基础表!$A:$A,MATCH(W131,[1]物品基础表!$B:$B,0)),"")</f>
        <v/>
      </c>
    </row>
    <row r="132" spans="1:24">
      <c r="A132" s="32" t="str">
        <f>INDEX([2]活动总表!$A$8:$A$429,MATCH(B132,[2]活动总表!$B$8:$B$429,0))</f>
        <v>立春-累充</v>
      </c>
      <c r="B132" s="32">
        <v>324</v>
      </c>
      <c r="C132" s="32">
        <v>2</v>
      </c>
      <c r="D132" s="32">
        <v>2</v>
      </c>
      <c r="E132" s="32">
        <v>3</v>
      </c>
      <c r="F132" s="32">
        <v>5888</v>
      </c>
      <c r="H132" s="32">
        <v>2</v>
      </c>
      <c r="I132" s="1" t="str">
        <f t="shared" si="8"/>
        <v>元宝</v>
      </c>
      <c r="J132" s="32">
        <v>2888</v>
      </c>
      <c r="K132" s="32">
        <v>204065</v>
      </c>
      <c r="L132" s="1" t="str">
        <f>IFERROR(INDEX([1]物品基础表!$A:$A,MATCH(K132,[1]物品基础表!$B:$B,0)),"")</f>
        <v>超级转生轮回礼包</v>
      </c>
      <c r="M132" s="32">
        <v>1</v>
      </c>
      <c r="N132" s="32">
        <v>204152</v>
      </c>
      <c r="O132" s="1" t="str">
        <f>IFERROR(INDEX([1]物品基础表!$A:$A,MATCH(N132,[1]物品基础表!$B:$B,0)),"")</f>
        <v>奇遇刷新卷</v>
      </c>
      <c r="P132" s="32">
        <v>5</v>
      </c>
      <c r="R132" s="1" t="str">
        <f>IFERROR(INDEX([1]物品基础表!$A:$A,MATCH(Q132,[1]物品基础表!$B:$B,0)),"")</f>
        <v/>
      </c>
      <c r="U132" s="1" t="str">
        <f>IFERROR(INDEX([1]物品基础表!$A:$A,MATCH(T132,[1]物品基础表!$B:$B,0)),"")</f>
        <v/>
      </c>
      <c r="X132" s="1" t="str">
        <f>IFERROR(INDEX([1]物品基础表!$A:$A,MATCH(W132,[1]物品基础表!$B:$B,0)),"")</f>
        <v/>
      </c>
    </row>
    <row r="133" spans="1:24">
      <c r="A133" s="32" t="str">
        <f>INDEX([2]活动总表!$A$8:$A$429,MATCH(B133,[2]活动总表!$B$8:$B$429,0))</f>
        <v>立春-累充</v>
      </c>
      <c r="B133" s="32">
        <v>324</v>
      </c>
      <c r="C133" s="32">
        <v>3</v>
      </c>
      <c r="D133" s="32">
        <v>2</v>
      </c>
      <c r="E133" s="32">
        <v>3</v>
      </c>
      <c r="F133" s="32">
        <v>10888</v>
      </c>
      <c r="H133" s="32">
        <v>200951</v>
      </c>
      <c r="I133" s="1" t="str">
        <f>IFERROR(INDEX([1]物品基础表!$A:$A,MATCH(H133,[1]物品基础表!$B:$B,0)),"")</f>
        <v>金色战纹任选宝箱</v>
      </c>
      <c r="J133" s="32">
        <v>1</v>
      </c>
      <c r="K133" s="32">
        <v>200301</v>
      </c>
      <c r="L133" s="1" t="str">
        <f>IFERROR(INDEX([1]物品基础表!$A:$A,MATCH(K133,[1]物品基础表!$B:$B,0)),"")</f>
        <v>传世宝钻</v>
      </c>
      <c r="M133" s="32">
        <v>100</v>
      </c>
      <c r="N133" s="32">
        <v>204152</v>
      </c>
      <c r="O133" s="1" t="str">
        <f>IFERROR(INDEX([1]物品基础表!$A:$A,MATCH(N133,[1]物品基础表!$B:$B,0)),"")</f>
        <v>奇遇刷新卷</v>
      </c>
      <c r="P133" s="32">
        <v>5</v>
      </c>
      <c r="R133" s="1" t="str">
        <f>IFERROR(INDEX([1]物品基础表!$A:$A,MATCH(Q133,[1]物品基础表!$B:$B,0)),"")</f>
        <v/>
      </c>
      <c r="U133" s="1" t="str">
        <f>IFERROR(INDEX([1]物品基础表!$A:$A,MATCH(T133,[1]物品基础表!$B:$B,0)),"")</f>
        <v/>
      </c>
      <c r="X133" s="1" t="str">
        <f>IFERROR(INDEX([1]物品基础表!$A:$A,MATCH(W133,[1]物品基础表!$B:$B,0)),"")</f>
        <v/>
      </c>
    </row>
    <row r="134" spans="1:24">
      <c r="A134" s="32" t="str">
        <f>INDEX([2]活动总表!$A$8:$A$429,MATCH(B134,[2]活动总表!$B$8:$B$429,0))</f>
        <v>立春-累充</v>
      </c>
      <c r="B134" s="32">
        <v>324</v>
      </c>
      <c r="C134" s="32">
        <v>4</v>
      </c>
      <c r="D134" s="32">
        <v>2</v>
      </c>
      <c r="E134" s="32">
        <v>3</v>
      </c>
      <c r="F134" s="32">
        <v>21888</v>
      </c>
      <c r="H134" s="32">
        <v>200997</v>
      </c>
      <c r="I134" s="1" t="str">
        <f>IFERROR(INDEX([1]物品基础表!$A:$A,MATCH(H134,[1]物品基础表!$B:$B,0)),"")</f>
        <v>星☆传世宝箱</v>
      </c>
      <c r="J134" s="32">
        <v>1</v>
      </c>
      <c r="K134" s="32">
        <v>204071</v>
      </c>
      <c r="L134" s="1" t="str">
        <f>IFERROR(INDEX([1]物品基础表!$A:$A,MATCH(K134,[1]物品基础表!$B:$B,0)),"")</f>
        <v>玉佩温养道具3</v>
      </c>
      <c r="M134" s="32">
        <v>1</v>
      </c>
      <c r="N134" s="32">
        <v>204152</v>
      </c>
      <c r="O134" s="1" t="str">
        <f>IFERROR(INDEX([1]物品基础表!$A:$A,MATCH(N134,[1]物品基础表!$B:$B,0)),"")</f>
        <v>奇遇刷新卷</v>
      </c>
      <c r="P134" s="32">
        <v>5</v>
      </c>
      <c r="R134" s="1" t="str">
        <f>IFERROR(INDEX([1]物品基础表!$A:$A,MATCH(Q134,[1]物品基础表!$B:$B,0)),"")</f>
        <v/>
      </c>
      <c r="U134" s="1" t="str">
        <f>IFERROR(INDEX([1]物品基础表!$A:$A,MATCH(T134,[1]物品基础表!$B:$B,0)),"")</f>
        <v/>
      </c>
      <c r="X134" s="1" t="str">
        <f>IFERROR(INDEX([1]物品基础表!$A:$A,MATCH(W134,[1]物品基础表!$B:$B,0)),"")</f>
        <v/>
      </c>
    </row>
    <row r="135" spans="1:24">
      <c r="A135" s="32" t="str">
        <f>INDEX([2]活动总表!$A$8:$A$429,MATCH(B135,[2]活动总表!$B$8:$B$429,0))</f>
        <v>立春-累充</v>
      </c>
      <c r="B135" s="32">
        <v>324</v>
      </c>
      <c r="C135" s="32">
        <v>5</v>
      </c>
      <c r="D135" s="32">
        <v>2</v>
      </c>
      <c r="E135" s="32">
        <v>3</v>
      </c>
      <c r="F135" s="32">
        <v>52888</v>
      </c>
      <c r="H135" s="32">
        <v>200312</v>
      </c>
      <c r="I135" s="1" t="str">
        <f>IFERROR(INDEX([1]物品基础表!$A:$A,MATCH(H135,[1]物品基础表!$B:$B,0)),"")</f>
        <v>缤纷兵魂任选礼包</v>
      </c>
      <c r="J135" s="32">
        <v>8</v>
      </c>
      <c r="K135" s="32">
        <v>200326</v>
      </c>
      <c r="L135" s="1" t="str">
        <f>IFERROR(INDEX([1]物品基础表!$A:$A,MATCH(K135,[1]物品基础表!$B:$B,0)),"")</f>
        <v>兵魂之灵</v>
      </c>
      <c r="M135" s="32">
        <v>1</v>
      </c>
      <c r="N135" s="32">
        <v>204152</v>
      </c>
      <c r="O135" s="1" t="str">
        <f>IFERROR(INDEX([1]物品基础表!$A:$A,MATCH(N135,[1]物品基础表!$B:$B,0)),"")</f>
        <v>奇遇刷新卷</v>
      </c>
      <c r="P135" s="32">
        <v>5</v>
      </c>
      <c r="R135" s="1" t="str">
        <f>IFERROR(INDEX([1]物品基础表!$A:$A,MATCH(Q135,[1]物品基础表!$B:$B,0)),"")</f>
        <v/>
      </c>
      <c r="U135" s="1" t="str">
        <f>IFERROR(INDEX([1]物品基础表!$A:$A,MATCH(T135,[1]物品基础表!$B:$B,0)),"")</f>
        <v/>
      </c>
      <c r="X135" s="1" t="str">
        <f>IFERROR(INDEX([1]物品基础表!$A:$A,MATCH(W135,[1]物品基础表!$B:$B,0)),"")</f>
        <v/>
      </c>
    </row>
    <row r="136" spans="1:24">
      <c r="A136" s="32" t="str">
        <f>INDEX([2]活动总表!$A$8:$A$429,MATCH(B136,[2]活动总表!$B$8:$B$429,0))</f>
        <v>立春-累充</v>
      </c>
      <c r="B136" s="32">
        <v>324</v>
      </c>
      <c r="C136" s="32">
        <v>6</v>
      </c>
      <c r="D136" s="32">
        <v>2</v>
      </c>
      <c r="E136" s="32">
        <v>3</v>
      </c>
      <c r="F136" s="32">
        <v>128888</v>
      </c>
      <c r="H136" s="32">
        <v>204029</v>
      </c>
      <c r="I136" s="1" t="str">
        <f>IFERROR(INDEX([1]物品基础表!$A:$A,MATCH(H136,[1]物品基础表!$B:$B,0)),"")</f>
        <v>魔魂礼包</v>
      </c>
      <c r="J136" s="32">
        <v>1</v>
      </c>
      <c r="K136" s="32">
        <v>200301</v>
      </c>
      <c r="L136" s="1" t="str">
        <f>IFERROR(INDEX([1]物品基础表!$A:$A,MATCH(K136,[1]物品基础表!$B:$B,0)),"")</f>
        <v>传世宝钻</v>
      </c>
      <c r="M136" s="32">
        <v>300</v>
      </c>
      <c r="N136" s="32">
        <v>200208</v>
      </c>
      <c r="O136" s="1" t="str">
        <f>IFERROR(INDEX([1]物品基础表!$A:$A,MATCH(N136,[1]物品基础表!$B:$B,0)),"")</f>
        <v>烈焰印记低级升级材料</v>
      </c>
      <c r="P136" s="32">
        <v>500</v>
      </c>
      <c r="R136" s="1" t="str">
        <f>IFERROR(INDEX([1]物品基础表!$A:$A,MATCH(Q136,[1]物品基础表!$B:$B,0)),"")</f>
        <v/>
      </c>
      <c r="U136" s="1" t="str">
        <f>IFERROR(INDEX([1]物品基础表!$A:$A,MATCH(T136,[1]物品基础表!$B:$B,0)),"")</f>
        <v/>
      </c>
      <c r="X136" s="1" t="str">
        <f>IFERROR(INDEX([1]物品基础表!$A:$A,MATCH(W136,[1]物品基础表!$B:$B,0)),"")</f>
        <v/>
      </c>
    </row>
    <row r="137" spans="1:24">
      <c r="A137" s="32" t="str">
        <f>INDEX([2]活动总表!$A$8:$A$429,MATCH(B137,[2]活动总表!$B$8:$B$429,0))</f>
        <v>立春-累充</v>
      </c>
      <c r="B137" s="32">
        <v>324</v>
      </c>
      <c r="C137" s="32">
        <v>7</v>
      </c>
      <c r="D137" s="32">
        <v>2</v>
      </c>
      <c r="E137" s="32">
        <v>3</v>
      </c>
      <c r="F137" s="32">
        <v>218888</v>
      </c>
      <c r="H137" s="32">
        <v>204105</v>
      </c>
      <c r="I137" s="1" t="str">
        <f>IFERROR(INDEX([1]物品基础表!$A:$A,MATCH(H137,[1]物品基础表!$B:$B,0)),"")</f>
        <v>至尊至宝</v>
      </c>
      <c r="J137" s="32">
        <v>1</v>
      </c>
      <c r="K137" s="32">
        <v>200951</v>
      </c>
      <c r="L137" s="1" t="str">
        <f>IFERROR(INDEX([1]物品基础表!$A:$A,MATCH(K137,[1]物品基础表!$B:$B,0)),"")</f>
        <v>金色战纹任选宝箱</v>
      </c>
      <c r="M137" s="32">
        <v>1</v>
      </c>
      <c r="N137" s="32">
        <v>200208</v>
      </c>
      <c r="O137" s="1" t="str">
        <f>IFERROR(INDEX([1]物品基础表!$A:$A,MATCH(N137,[1]物品基础表!$B:$B,0)),"")</f>
        <v>烈焰印记低级升级材料</v>
      </c>
      <c r="P137" s="32">
        <v>800</v>
      </c>
      <c r="R137" s="1" t="str">
        <f>IFERROR(INDEX([1]物品基础表!$A:$A,MATCH(Q137,[1]物品基础表!$B:$B,0)),"")</f>
        <v/>
      </c>
      <c r="U137" s="1" t="str">
        <f>IFERROR(INDEX([1]物品基础表!$A:$A,MATCH(T137,[1]物品基础表!$B:$B,0)),"")</f>
        <v/>
      </c>
      <c r="X137" s="1" t="str">
        <f>IFERROR(INDEX([1]物品基础表!$A:$A,MATCH(W137,[1]物品基础表!$B:$B,0)),"")</f>
        <v/>
      </c>
    </row>
    <row r="138" spans="1:24">
      <c r="A138" s="32" t="str">
        <f>INDEX([2]活动总表!$A$8:$A$429,MATCH(B138,[2]活动总表!$B$8:$B$429,0))</f>
        <v>立春-累充</v>
      </c>
      <c r="B138" s="32">
        <v>324</v>
      </c>
      <c r="C138" s="32">
        <v>8</v>
      </c>
      <c r="D138" s="32">
        <v>2</v>
      </c>
      <c r="E138" s="32">
        <v>3</v>
      </c>
      <c r="F138" s="32">
        <v>528888</v>
      </c>
      <c r="H138" s="32">
        <v>200927</v>
      </c>
      <c r="I138" s="1" t="str">
        <f>IFERROR(INDEX([1]物品基础表!$A:$A,MATCH(H138,[1]物品基础表!$B:$B,0)),"")</f>
        <v>神兵大招2三选一</v>
      </c>
      <c r="J138" s="32">
        <v>1</v>
      </c>
      <c r="K138" s="32">
        <v>200301</v>
      </c>
      <c r="L138" s="1" t="str">
        <f>IFERROR(INDEX([1]物品基础表!$A:$A,MATCH(K138,[1]物品基础表!$B:$B,0)),"")</f>
        <v>传世宝钻</v>
      </c>
      <c r="M138" s="32">
        <v>600</v>
      </c>
      <c r="N138" s="32">
        <v>200208</v>
      </c>
      <c r="O138" s="1" t="str">
        <f>IFERROR(INDEX([1]物品基础表!$A:$A,MATCH(N138,[1]物品基础表!$B:$B,0)),"")</f>
        <v>烈焰印记低级升级材料</v>
      </c>
      <c r="P138" s="32">
        <v>1200</v>
      </c>
      <c r="R138" s="1" t="str">
        <f>IFERROR(INDEX([1]物品基础表!$A:$A,MATCH(Q138,[1]物品基础表!$B:$B,0)),"")</f>
        <v/>
      </c>
      <c r="U138" s="1" t="str">
        <f>IFERROR(INDEX([1]物品基础表!$A:$A,MATCH(T138,[1]物品基础表!$B:$B,0)),"")</f>
        <v/>
      </c>
      <c r="X138" s="1" t="str">
        <f>IFERROR(INDEX([1]物品基础表!$A:$A,MATCH(W138,[1]物品基础表!$B:$B,0)),"")</f>
        <v/>
      </c>
    </row>
    <row r="139" spans="1:24">
      <c r="A139" s="32" t="str">
        <f>INDEX([2]活动总表!$A$8:$A$429,MATCH(B139,[2]活动总表!$B$8:$B$429,0))</f>
        <v>立春-累充</v>
      </c>
      <c r="B139" s="32">
        <v>324</v>
      </c>
      <c r="C139" s="32">
        <v>9</v>
      </c>
      <c r="D139" s="32">
        <v>2</v>
      </c>
      <c r="E139" s="32">
        <v>3</v>
      </c>
      <c r="F139" s="32">
        <v>1288888</v>
      </c>
      <c r="H139" s="32">
        <v>200928</v>
      </c>
      <c r="I139" s="1" t="str">
        <f>IFERROR(INDEX([1]物品基础表!$A:$A,MATCH(H139,[1]物品基础表!$B:$B,0)),"")</f>
        <v>神兵大招3三选一</v>
      </c>
      <c r="J139" s="32">
        <v>1</v>
      </c>
      <c r="K139" s="32">
        <v>200301</v>
      </c>
      <c r="L139" s="1" t="str">
        <f>IFERROR(INDEX([1]物品基础表!$A:$A,MATCH(K139,[1]物品基础表!$B:$B,0)),"")</f>
        <v>传世宝钻</v>
      </c>
      <c r="M139" s="32">
        <v>1000</v>
      </c>
      <c r="N139" s="32">
        <v>200208</v>
      </c>
      <c r="O139" s="1" t="str">
        <f>IFERROR(INDEX([1]物品基础表!$A:$A,MATCH(N139,[1]物品基础表!$B:$B,0)),"")</f>
        <v>烈焰印记低级升级材料</v>
      </c>
      <c r="P139" s="32">
        <v>1600</v>
      </c>
      <c r="R139" s="1" t="str">
        <f>IFERROR(INDEX([1]物品基础表!$A:$A,MATCH(Q139,[1]物品基础表!$B:$B,0)),"")</f>
        <v/>
      </c>
      <c r="U139" s="1" t="str">
        <f>IFERROR(INDEX([1]物品基础表!$A:$A,MATCH(T139,[1]物品基础表!$B:$B,0)),"")</f>
        <v/>
      </c>
      <c r="X139" s="1" t="str">
        <f>IFERROR(INDEX([1]物品基础表!$A:$A,MATCH(W139,[1]物品基础表!$B:$B,0)),"")</f>
        <v/>
      </c>
    </row>
    <row r="140" spans="1:24">
      <c r="A140" s="32" t="str">
        <f>INDEX([2]活动总表!$A$8:$A$429,MATCH(B140,[2]活动总表!$B$8:$B$429,0))</f>
        <v>第2次合服累充162</v>
      </c>
      <c r="B140" s="32">
        <v>331</v>
      </c>
      <c r="C140" s="32">
        <v>1</v>
      </c>
      <c r="D140" s="32">
        <v>2</v>
      </c>
      <c r="E140" s="32">
        <v>7</v>
      </c>
      <c r="F140" s="32">
        <v>36800</v>
      </c>
      <c r="H140" s="32">
        <v>204134</v>
      </c>
      <c r="I140" s="1" t="str">
        <f>IFERROR(INDEX([1]物品基础表!$A:$A,MATCH(H140,[1]物品基础表!$B:$B,0)),"")</f>
        <v>金色图鉴包·倾国倾城</v>
      </c>
      <c r="J140" s="32">
        <v>1</v>
      </c>
      <c r="K140" s="32">
        <v>200320</v>
      </c>
      <c r="L140" s="1" t="str">
        <f>IFERROR(INDEX([1]物品基础表!$A:$A,MATCH(K140,[1]物品基础表!$B:$B,0)),"")</f>
        <v>至尊令牌</v>
      </c>
      <c r="M140" s="32">
        <v>100</v>
      </c>
      <c r="N140" s="32">
        <v>500004</v>
      </c>
      <c r="O140" s="1" t="str">
        <f>IFERROR(INDEX([1]物品基础表!$A:$A,MATCH(N140,[1]物品基础表!$B:$B,0)),"")</f>
        <v>战纹精华-橙</v>
      </c>
      <c r="P140" s="32">
        <v>5</v>
      </c>
      <c r="Q140" s="32">
        <v>200005</v>
      </c>
      <c r="R140" s="1" t="str">
        <f>IFERROR(INDEX([1]物品基础表!$A:$A,MATCH(Q140,[1]物品基础表!$B:$B,0)),"")</f>
        <v>龙魂碎片</v>
      </c>
      <c r="S140" s="32">
        <v>25</v>
      </c>
      <c r="U140" s="1" t="str">
        <f>IFERROR(INDEX([1]物品基础表!$A:$A,MATCH(T140,[1]物品基础表!$B:$B,0)),"")</f>
        <v/>
      </c>
      <c r="X140" s="1" t="str">
        <f>IFERROR(INDEX([1]物品基础表!$A:$A,MATCH(W140,[1]物品基础表!$B:$B,0)),"")</f>
        <v/>
      </c>
    </row>
    <row r="141" spans="1:24">
      <c r="A141" s="32" t="str">
        <f>INDEX([2]活动总表!$A$8:$A$429,MATCH(B141,[2]活动总表!$B$8:$B$429,0))</f>
        <v>第2次合服累充162</v>
      </c>
      <c r="B141" s="32">
        <v>331</v>
      </c>
      <c r="C141" s="32">
        <v>2</v>
      </c>
      <c r="D141" s="32">
        <v>2</v>
      </c>
      <c r="E141" s="32">
        <v>7</v>
      </c>
      <c r="F141" s="32">
        <v>88888</v>
      </c>
      <c r="H141" s="32">
        <v>200951</v>
      </c>
      <c r="I141" s="1" t="str">
        <f>IFERROR(INDEX([1]物品基础表!$A:$A,MATCH(H141,[1]物品基础表!$B:$B,0)),"")</f>
        <v>金色战纹任选宝箱</v>
      </c>
      <c r="J141" s="32">
        <v>1</v>
      </c>
      <c r="K141" s="32">
        <v>200320</v>
      </c>
      <c r="L141" s="1" t="str">
        <f>IFERROR(INDEX([1]物品基础表!$A:$A,MATCH(K141,[1]物品基础表!$B:$B,0)),"")</f>
        <v>至尊令牌</v>
      </c>
      <c r="M141" s="32">
        <v>160</v>
      </c>
      <c r="N141" s="32">
        <v>500004</v>
      </c>
      <c r="O141" s="1" t="str">
        <f>IFERROR(INDEX([1]物品基础表!$A:$A,MATCH(N141,[1]物品基础表!$B:$B,0)),"")</f>
        <v>战纹精华-橙</v>
      </c>
      <c r="P141" s="32">
        <v>6</v>
      </c>
      <c r="Q141" s="32">
        <v>200005</v>
      </c>
      <c r="R141" s="1" t="str">
        <f>IFERROR(INDEX([1]物品基础表!$A:$A,MATCH(Q141,[1]物品基础表!$B:$B,0)),"")</f>
        <v>龙魂碎片</v>
      </c>
      <c r="S141" s="32">
        <v>80</v>
      </c>
      <c r="U141" s="1" t="str">
        <f>IFERROR(INDEX([1]物品基础表!$A:$A,MATCH(T141,[1]物品基础表!$B:$B,0)),"")</f>
        <v/>
      </c>
      <c r="X141" s="1" t="str">
        <f>IFERROR(INDEX([1]物品基础表!$A:$A,MATCH(W141,[1]物品基础表!$B:$B,0)),"")</f>
        <v/>
      </c>
    </row>
    <row r="142" spans="1:24">
      <c r="A142" s="32" t="str">
        <f>INDEX([2]活动总表!$A$8:$A$429,MATCH(B142,[2]活动总表!$B$8:$B$429,0))</f>
        <v>第2次合服累充162</v>
      </c>
      <c r="B142" s="32">
        <v>331</v>
      </c>
      <c r="C142" s="32">
        <v>3</v>
      </c>
      <c r="D142" s="32">
        <v>2</v>
      </c>
      <c r="E142" s="32">
        <v>7</v>
      </c>
      <c r="F142" s="32">
        <v>188888</v>
      </c>
      <c r="H142" s="32">
        <v>204105</v>
      </c>
      <c r="I142" s="1" t="str">
        <f>IFERROR(INDEX([1]物品基础表!$A:$A,MATCH(H142,[1]物品基础表!$B:$B,0)),"")</f>
        <v>至尊至宝</v>
      </c>
      <c r="J142" s="32">
        <v>1</v>
      </c>
      <c r="K142" s="32">
        <v>200320</v>
      </c>
      <c r="L142" s="1" t="str">
        <f>IFERROR(INDEX([1]物品基础表!$A:$A,MATCH(K142,[1]物品基础表!$B:$B,0)),"")</f>
        <v>至尊令牌</v>
      </c>
      <c r="M142" s="32">
        <v>250</v>
      </c>
      <c r="N142" s="32">
        <v>500004</v>
      </c>
      <c r="O142" s="1" t="str">
        <f>IFERROR(INDEX([1]物品基础表!$A:$A,MATCH(N142,[1]物品基础表!$B:$B,0)),"")</f>
        <v>战纹精华-橙</v>
      </c>
      <c r="P142" s="32">
        <v>8</v>
      </c>
      <c r="Q142" s="32">
        <v>200005</v>
      </c>
      <c r="R142" s="1" t="str">
        <f>IFERROR(INDEX([1]物品基础表!$A:$A,MATCH(Q142,[1]物品基础表!$B:$B,0)),"")</f>
        <v>龙魂碎片</v>
      </c>
      <c r="S142" s="32">
        <v>120</v>
      </c>
      <c r="U142" s="1" t="str">
        <f>IFERROR(INDEX([1]物品基础表!$A:$A,MATCH(T142,[1]物品基础表!$B:$B,0)),"")</f>
        <v/>
      </c>
      <c r="X142" s="1" t="str">
        <f>IFERROR(INDEX([1]物品基础表!$A:$A,MATCH(W142,[1]物品基础表!$B:$B,0)),"")</f>
        <v/>
      </c>
    </row>
    <row r="143" spans="1:24">
      <c r="A143" s="32" t="str">
        <f>INDEX([2]活动总表!$A$8:$A$429,MATCH(B143,[2]活动总表!$B$8:$B$429,0))</f>
        <v>第2次合服累充162</v>
      </c>
      <c r="B143" s="32">
        <v>331</v>
      </c>
      <c r="C143" s="32">
        <v>4</v>
      </c>
      <c r="D143" s="32">
        <v>2</v>
      </c>
      <c r="E143" s="32">
        <v>7</v>
      </c>
      <c r="F143" s="32">
        <v>348888</v>
      </c>
      <c r="H143" s="32">
        <v>200926</v>
      </c>
      <c r="I143" s="1" t="str">
        <f>IFERROR(INDEX([1]物品基础表!$A:$A,MATCH(H143,[1]物品基础表!$B:$B,0)),"")</f>
        <v>神兵大招1三选一</v>
      </c>
      <c r="J143" s="32">
        <v>1</v>
      </c>
      <c r="K143" s="32">
        <v>200320</v>
      </c>
      <c r="L143" s="1" t="str">
        <f>IFERROR(INDEX([1]物品基础表!$A:$A,MATCH(K143,[1]物品基础表!$B:$B,0)),"")</f>
        <v>至尊令牌</v>
      </c>
      <c r="M143" s="32">
        <v>400</v>
      </c>
      <c r="N143" s="32">
        <v>500004</v>
      </c>
      <c r="O143" s="1" t="str">
        <f>IFERROR(INDEX([1]物品基础表!$A:$A,MATCH(N143,[1]物品基础表!$B:$B,0)),"")</f>
        <v>战纹精华-橙</v>
      </c>
      <c r="P143" s="32">
        <v>10</v>
      </c>
      <c r="Q143" s="32">
        <v>200005</v>
      </c>
      <c r="R143" s="1" t="str">
        <f>IFERROR(INDEX([1]物品基础表!$A:$A,MATCH(Q143,[1]物品基础表!$B:$B,0)),"")</f>
        <v>龙魂碎片</v>
      </c>
      <c r="S143" s="32">
        <v>200</v>
      </c>
      <c r="U143" s="1" t="str">
        <f>IFERROR(INDEX([1]物品基础表!$A:$A,MATCH(T143,[1]物品基础表!$B:$B,0)),"")</f>
        <v/>
      </c>
      <c r="X143" s="1" t="str">
        <f>IFERROR(INDEX([1]物品基础表!$A:$A,MATCH(W143,[1]物品基础表!$B:$B,0)),"")</f>
        <v/>
      </c>
    </row>
    <row r="144" spans="1:24">
      <c r="A144" s="32" t="str">
        <f>INDEX([2]活动总表!$A$8:$A$429,MATCH(B144,[2]活动总表!$B$8:$B$429,0))</f>
        <v>第2次合服累充162</v>
      </c>
      <c r="B144" s="32">
        <v>331</v>
      </c>
      <c r="C144" s="32">
        <v>5</v>
      </c>
      <c r="D144" s="32">
        <v>2</v>
      </c>
      <c r="E144" s="32">
        <v>7</v>
      </c>
      <c r="F144" s="32">
        <v>588888</v>
      </c>
      <c r="H144" s="32">
        <v>200927</v>
      </c>
      <c r="I144" s="1" t="str">
        <f>IFERROR(INDEX([1]物品基础表!$A:$A,MATCH(H144,[1]物品基础表!$B:$B,0)),"")</f>
        <v>神兵大招2三选一</v>
      </c>
      <c r="J144" s="32">
        <v>1</v>
      </c>
      <c r="K144" s="32">
        <v>200320</v>
      </c>
      <c r="L144" s="1" t="str">
        <f>IFERROR(INDEX([1]物品基础表!$A:$A,MATCH(K144,[1]物品基础表!$B:$B,0)),"")</f>
        <v>至尊令牌</v>
      </c>
      <c r="M144" s="32">
        <v>600</v>
      </c>
      <c r="N144" s="32">
        <v>500004</v>
      </c>
      <c r="O144" s="1" t="str">
        <f>IFERROR(INDEX([1]物品基础表!$A:$A,MATCH(N144,[1]物品基础表!$B:$B,0)),"")</f>
        <v>战纹精华-橙</v>
      </c>
      <c r="P144" s="32">
        <v>20</v>
      </c>
      <c r="Q144" s="32">
        <v>200005</v>
      </c>
      <c r="R144" s="1" t="str">
        <f>IFERROR(INDEX([1]物品基础表!$A:$A,MATCH(Q144,[1]物品基础表!$B:$B,0)),"")</f>
        <v>龙魂碎片</v>
      </c>
      <c r="S144" s="32">
        <v>300</v>
      </c>
      <c r="U144" s="1" t="str">
        <f>IFERROR(INDEX([1]物品基础表!$A:$A,MATCH(T144,[1]物品基础表!$B:$B,0)),"")</f>
        <v/>
      </c>
      <c r="X144" s="1" t="str">
        <f>IFERROR(INDEX([1]物品基础表!$A:$A,MATCH(W144,[1]物品基础表!$B:$B,0)),"")</f>
        <v/>
      </c>
    </row>
    <row r="145" spans="1:24">
      <c r="A145" s="32" t="str">
        <f>INDEX([2]活动总表!$A$8:$A$429,MATCH(B145,[2]活动总表!$B$8:$B$429,0))</f>
        <v>第2次合服连充162</v>
      </c>
      <c r="B145" s="32">
        <v>332</v>
      </c>
      <c r="C145" s="32">
        <v>1</v>
      </c>
      <c r="D145" s="32">
        <v>1</v>
      </c>
      <c r="E145" s="32">
        <v>1</v>
      </c>
      <c r="F145" s="32">
        <v>10000</v>
      </c>
      <c r="H145" s="32">
        <v>200320</v>
      </c>
      <c r="I145" s="1" t="str">
        <f>IFERROR(INDEX([1]物品基础表!$A:$A,MATCH(H145,[1]物品基础表!$B:$B,0)),"")</f>
        <v>至尊令牌</v>
      </c>
      <c r="J145" s="32">
        <v>80</v>
      </c>
      <c r="K145" s="32">
        <v>200005</v>
      </c>
      <c r="L145" s="1" t="str">
        <f>IFERROR(INDEX([1]物品基础表!$A:$A,MATCH(K145,[1]物品基础表!$B:$B,0)),"")</f>
        <v>龙魂碎片</v>
      </c>
      <c r="M145" s="32">
        <v>100</v>
      </c>
      <c r="N145" s="32">
        <v>200004</v>
      </c>
      <c r="O145" s="1" t="str">
        <f>IFERROR(INDEX([1]物品基础表!$A:$A,MATCH(N145,[1]物品基础表!$B:$B,0)),"")</f>
        <v>经脉丹</v>
      </c>
      <c r="P145" s="32">
        <v>10</v>
      </c>
      <c r="R145" s="1" t="str">
        <f>IFERROR(INDEX([1]物品基础表!$A:$A,MATCH(Q145,[1]物品基础表!$B:$B,0)),"")</f>
        <v/>
      </c>
      <c r="U145" s="1" t="str">
        <f>IFERROR(INDEX([1]物品基础表!$A:$A,MATCH(T145,[1]物品基础表!$B:$B,0)),"")</f>
        <v/>
      </c>
      <c r="X145" s="1" t="str">
        <f>IFERROR(INDEX([1]物品基础表!$A:$A,MATCH(W145,[1]物品基础表!$B:$B,0)),"")</f>
        <v/>
      </c>
    </row>
    <row r="146" spans="1:24">
      <c r="A146" s="32" t="str">
        <f>INDEX([2]活动总表!$A$8:$A$429,MATCH(B146,[2]活动总表!$B$8:$B$429,0))</f>
        <v>第2次合服连充162</v>
      </c>
      <c r="B146" s="32">
        <v>332</v>
      </c>
      <c r="C146" s="32">
        <v>2</v>
      </c>
      <c r="D146" s="32">
        <v>1</v>
      </c>
      <c r="E146" s="32">
        <v>2</v>
      </c>
      <c r="F146" s="32">
        <v>10000</v>
      </c>
      <c r="H146" s="32">
        <v>200320</v>
      </c>
      <c r="I146" s="1" t="str">
        <f>IFERROR(INDEX([1]物品基础表!$A:$A,MATCH(H146,[1]物品基础表!$B:$B,0)),"")</f>
        <v>至尊令牌</v>
      </c>
      <c r="J146" s="32">
        <v>80</v>
      </c>
      <c r="K146" s="32">
        <v>200997</v>
      </c>
      <c r="L146" s="1" t="str">
        <f>IFERROR(INDEX([1]物品基础表!$A:$A,MATCH(K146,[1]物品基础表!$B:$B,0)),"")</f>
        <v>星☆传世宝箱</v>
      </c>
      <c r="M146" s="32">
        <v>1</v>
      </c>
      <c r="N146" s="32">
        <v>200004</v>
      </c>
      <c r="O146" s="1" t="str">
        <f>IFERROR(INDEX([1]物品基础表!$A:$A,MATCH(N146,[1]物品基础表!$B:$B,0)),"")</f>
        <v>经脉丹</v>
      </c>
      <c r="P146" s="32">
        <v>10</v>
      </c>
      <c r="R146" s="1" t="str">
        <f>IFERROR(INDEX([1]物品基础表!$A:$A,MATCH(Q146,[1]物品基础表!$B:$B,0)),"")</f>
        <v/>
      </c>
      <c r="U146" s="1" t="str">
        <f>IFERROR(INDEX([1]物品基础表!$A:$A,MATCH(T146,[1]物品基础表!$B:$B,0)),"")</f>
        <v/>
      </c>
      <c r="X146" s="1" t="str">
        <f>IFERROR(INDEX([1]物品基础表!$A:$A,MATCH(W146,[1]物品基础表!$B:$B,0)),"")</f>
        <v/>
      </c>
    </row>
    <row r="147" spans="1:24">
      <c r="A147" s="32" t="str">
        <f>INDEX([2]活动总表!$A$8:$A$429,MATCH(B147,[2]活动总表!$B$8:$B$429,0))</f>
        <v>第2次合服连充162</v>
      </c>
      <c r="B147" s="32">
        <v>332</v>
      </c>
      <c r="C147" s="32">
        <v>3</v>
      </c>
      <c r="D147" s="32">
        <v>1</v>
      </c>
      <c r="E147" s="32">
        <v>3</v>
      </c>
      <c r="F147" s="32">
        <v>10000</v>
      </c>
      <c r="H147" s="32">
        <v>200320</v>
      </c>
      <c r="I147" s="1" t="str">
        <f>IFERROR(INDEX([1]物品基础表!$A:$A,MATCH(H147,[1]物品基础表!$B:$B,0)),"")</f>
        <v>至尊令牌</v>
      </c>
      <c r="J147" s="32">
        <v>80</v>
      </c>
      <c r="K147" s="32">
        <v>204068</v>
      </c>
      <c r="L147" s="1" t="str">
        <f>IFERROR(INDEX([1]物品基础表!$A:$A,MATCH(K147,[1]物品基础表!$B:$B,0)),"")</f>
        <v>玉佩升级道具3</v>
      </c>
      <c r="M147" s="32">
        <v>1</v>
      </c>
      <c r="N147" s="32">
        <v>200004</v>
      </c>
      <c r="O147" s="1" t="str">
        <f>IFERROR(INDEX([1]物品基础表!$A:$A,MATCH(N147,[1]物品基础表!$B:$B,0)),"")</f>
        <v>经脉丹</v>
      </c>
      <c r="P147" s="32">
        <v>15</v>
      </c>
      <c r="R147" s="1" t="str">
        <f>IFERROR(INDEX([1]物品基础表!$A:$A,MATCH(Q147,[1]物品基础表!$B:$B,0)),"")</f>
        <v/>
      </c>
      <c r="U147" s="1" t="str">
        <f>IFERROR(INDEX([1]物品基础表!$A:$A,MATCH(T147,[1]物品基础表!$B:$B,0)),"")</f>
        <v/>
      </c>
      <c r="X147" s="1" t="str">
        <f>IFERROR(INDEX([1]物品基础表!$A:$A,MATCH(W147,[1]物品基础表!$B:$B,0)),"")</f>
        <v/>
      </c>
    </row>
    <row r="148" spans="1:24">
      <c r="A148" s="32" t="str">
        <f>INDEX([2]活动总表!$A$8:$A$429,MATCH(B148,[2]活动总表!$B$8:$B$429,0))</f>
        <v>第2次合服连充162</v>
      </c>
      <c r="B148" s="32">
        <v>332</v>
      </c>
      <c r="C148" s="32">
        <v>4</v>
      </c>
      <c r="D148" s="32">
        <v>1</v>
      </c>
      <c r="E148" s="32">
        <v>4</v>
      </c>
      <c r="F148" s="32">
        <v>10000</v>
      </c>
      <c r="H148" s="32">
        <v>200320</v>
      </c>
      <c r="I148" s="1" t="str">
        <f>IFERROR(INDEX([1]物品基础表!$A:$A,MATCH(H148,[1]物品基础表!$B:$B,0)),"")</f>
        <v>至尊令牌</v>
      </c>
      <c r="J148" s="32">
        <v>80</v>
      </c>
      <c r="K148" s="32">
        <v>200311</v>
      </c>
      <c r="L148" s="1" t="str">
        <f>IFERROR(INDEX([1]物品基础表!$A:$A,MATCH(K148,[1]物品基础表!$B:$B,0)),"")</f>
        <v>战神兵魂任选礼包</v>
      </c>
      <c r="M148" s="32">
        <v>8</v>
      </c>
      <c r="N148" s="32">
        <v>200004</v>
      </c>
      <c r="O148" s="1" t="str">
        <f>IFERROR(INDEX([1]物品基础表!$A:$A,MATCH(N148,[1]物品基础表!$B:$B,0)),"")</f>
        <v>经脉丹</v>
      </c>
      <c r="P148" s="32">
        <v>15</v>
      </c>
      <c r="R148" s="1" t="str">
        <f>IFERROR(INDEX([1]物品基础表!$A:$A,MATCH(Q148,[1]物品基础表!$B:$B,0)),"")</f>
        <v/>
      </c>
      <c r="U148" s="1" t="str">
        <f>IFERROR(INDEX([1]物品基础表!$A:$A,MATCH(T148,[1]物品基础表!$B:$B,0)),"")</f>
        <v/>
      </c>
      <c r="X148" s="1" t="str">
        <f>IFERROR(INDEX([1]物品基础表!$A:$A,MATCH(W148,[1]物品基础表!$B:$B,0)),"")</f>
        <v/>
      </c>
    </row>
    <row r="149" spans="1:24">
      <c r="A149" s="32" t="str">
        <f>INDEX([2]活动总表!$A$8:$A$429,MATCH(B149,[2]活动总表!$B$8:$B$429,0))</f>
        <v>第2次合服连充162</v>
      </c>
      <c r="B149" s="32">
        <v>332</v>
      </c>
      <c r="C149" s="32">
        <v>5</v>
      </c>
      <c r="D149" s="32">
        <v>1</v>
      </c>
      <c r="E149" s="32">
        <v>5</v>
      </c>
      <c r="F149" s="32">
        <v>10000</v>
      </c>
      <c r="H149" s="32">
        <v>200320</v>
      </c>
      <c r="I149" s="1" t="str">
        <f>IFERROR(INDEX([1]物品基础表!$A:$A,MATCH(H149,[1]物品基础表!$B:$B,0)),"")</f>
        <v>至尊令牌</v>
      </c>
      <c r="J149" s="32">
        <v>80</v>
      </c>
      <c r="K149" s="32">
        <v>204068</v>
      </c>
      <c r="L149" s="1" t="str">
        <f>IFERROR(INDEX([1]物品基础表!$A:$A,MATCH(K149,[1]物品基础表!$B:$B,0)),"")</f>
        <v>玉佩升级道具3</v>
      </c>
      <c r="M149" s="32">
        <v>1</v>
      </c>
      <c r="N149" s="32">
        <v>200004</v>
      </c>
      <c r="O149" s="1" t="str">
        <f>IFERROR(INDEX([1]物品基础表!$A:$A,MATCH(N149,[1]物品基础表!$B:$B,0)),"")</f>
        <v>经脉丹</v>
      </c>
      <c r="P149" s="32">
        <v>20</v>
      </c>
      <c r="R149" s="1" t="str">
        <f>IFERROR(INDEX([1]物品基础表!$A:$A,MATCH(Q149,[1]物品基础表!$B:$B,0)),"")</f>
        <v/>
      </c>
      <c r="U149" s="1" t="str">
        <f>IFERROR(INDEX([1]物品基础表!$A:$A,MATCH(T149,[1]物品基础表!$B:$B,0)),"")</f>
        <v/>
      </c>
      <c r="X149" s="1" t="str">
        <f>IFERROR(INDEX([1]物品基础表!$A:$A,MATCH(W149,[1]物品基础表!$B:$B,0)),"")</f>
        <v/>
      </c>
    </row>
    <row r="150" spans="1:24">
      <c r="A150" s="32" t="str">
        <f>INDEX([2]活动总表!$A$8:$A$429,MATCH(B150,[2]活动总表!$B$8:$B$429,0))</f>
        <v>第2次合服连充162</v>
      </c>
      <c r="B150" s="32">
        <v>332</v>
      </c>
      <c r="C150" s="32">
        <v>6</v>
      </c>
      <c r="D150" s="32">
        <v>1</v>
      </c>
      <c r="E150" s="32">
        <v>6</v>
      </c>
      <c r="F150" s="32">
        <v>10000</v>
      </c>
      <c r="H150" s="32">
        <v>200320</v>
      </c>
      <c r="I150" s="1" t="str">
        <f>IFERROR(INDEX([1]物品基础表!$A:$A,MATCH(H150,[1]物品基础表!$B:$B,0)),"")</f>
        <v>至尊令牌</v>
      </c>
      <c r="J150" s="32">
        <v>100</v>
      </c>
      <c r="K150" s="32">
        <v>204071</v>
      </c>
      <c r="L150" s="1" t="str">
        <f>IFERROR(INDEX([1]物品基础表!$A:$A,MATCH(K150,[1]物品基础表!$B:$B,0)),"")</f>
        <v>玉佩温养道具3</v>
      </c>
      <c r="M150" s="32">
        <v>1</v>
      </c>
      <c r="N150" s="32">
        <v>200004</v>
      </c>
      <c r="O150" s="1" t="str">
        <f>IFERROR(INDEX([1]物品基础表!$A:$A,MATCH(N150,[1]物品基础表!$B:$B,0)),"")</f>
        <v>经脉丹</v>
      </c>
      <c r="P150" s="32">
        <v>20</v>
      </c>
      <c r="R150" s="1" t="str">
        <f>IFERROR(INDEX([1]物品基础表!$A:$A,MATCH(Q150,[1]物品基础表!$B:$B,0)),"")</f>
        <v/>
      </c>
      <c r="U150" s="1" t="str">
        <f>IFERROR(INDEX([1]物品基础表!$A:$A,MATCH(T150,[1]物品基础表!$B:$B,0)),"")</f>
        <v/>
      </c>
      <c r="X150" s="1" t="str">
        <f>IFERROR(INDEX([1]物品基础表!$A:$A,MATCH(W150,[1]物品基础表!$B:$B,0)),"")</f>
        <v/>
      </c>
    </row>
    <row r="151" spans="1:24">
      <c r="A151" s="32" t="str">
        <f>INDEX([2]活动总表!$A$8:$A$429,MATCH(B151,[2]活动总表!$B$8:$B$429,0))</f>
        <v>第2次合服连充162</v>
      </c>
      <c r="B151" s="32">
        <v>332</v>
      </c>
      <c r="C151" s="32">
        <v>7</v>
      </c>
      <c r="D151" s="32">
        <v>1</v>
      </c>
      <c r="E151" s="32">
        <v>7</v>
      </c>
      <c r="F151" s="32">
        <v>10000</v>
      </c>
      <c r="H151" s="32">
        <v>200320</v>
      </c>
      <c r="I151" s="1" t="str">
        <f>IFERROR(INDEX([1]物品基础表!$A:$A,MATCH(H151,[1]物品基础表!$B:$B,0)),"")</f>
        <v>至尊令牌</v>
      </c>
      <c r="J151" s="32">
        <v>100</v>
      </c>
      <c r="K151" s="32">
        <v>204029</v>
      </c>
      <c r="L151" s="1" t="str">
        <f>IFERROR(INDEX([1]物品基础表!$A:$A,MATCH(K151,[1]物品基础表!$B:$B,0)),"")</f>
        <v>魔魂礼包</v>
      </c>
      <c r="M151" s="32">
        <v>1</v>
      </c>
      <c r="N151" s="32">
        <v>200004</v>
      </c>
      <c r="O151" s="1" t="str">
        <f>IFERROR(INDEX([1]物品基础表!$A:$A,MATCH(N151,[1]物品基础表!$B:$B,0)),"")</f>
        <v>经脉丹</v>
      </c>
      <c r="P151" s="32">
        <v>20</v>
      </c>
      <c r="R151" s="1" t="str">
        <f>IFERROR(INDEX([1]物品基础表!$A:$A,MATCH(Q151,[1]物品基础表!$B:$B,0)),"")</f>
        <v/>
      </c>
      <c r="U151" s="1" t="str">
        <f>IFERROR(INDEX([1]物品基础表!$A:$A,MATCH(T151,[1]物品基础表!$B:$B,0)),"")</f>
        <v/>
      </c>
      <c r="X151" s="1" t="str">
        <f>IFERROR(INDEX([1]物品基础表!$A:$A,MATCH(W151,[1]物品基础表!$B:$B,0)),"")</f>
        <v/>
      </c>
    </row>
    <row r="152" spans="1:24">
      <c r="A152" s="32" t="str">
        <f>INDEX([2]活动总表!$A$8:$A$429,MATCH(B152,[2]活动总表!$B$8:$B$429,0))</f>
        <v>第2次合服连充-10元</v>
      </c>
      <c r="B152" s="32">
        <v>342</v>
      </c>
      <c r="C152" s="32">
        <v>1</v>
      </c>
      <c r="D152" s="32">
        <v>1</v>
      </c>
      <c r="E152" s="32">
        <v>1</v>
      </c>
      <c r="F152" s="32">
        <v>1000</v>
      </c>
      <c r="H152" s="32">
        <v>200320</v>
      </c>
      <c r="I152" s="1" t="str">
        <f>IFERROR(INDEX([1]物品基础表!$A:$A,MATCH(H152,[1]物品基础表!$B:$B,0)),"")</f>
        <v>至尊令牌</v>
      </c>
      <c r="J152" s="32">
        <v>10</v>
      </c>
      <c r="K152" s="32">
        <v>200003</v>
      </c>
      <c r="L152" s="1" t="str">
        <f>IFERROR(INDEX([1]物品基础表!$A:$A,MATCH(K152,[1]物品基础表!$B:$B,0)),"")</f>
        <v>铸造晶石</v>
      </c>
      <c r="M152" s="32">
        <v>50</v>
      </c>
      <c r="N152" s="32">
        <v>201002</v>
      </c>
      <c r="O152" s="1" t="str">
        <f>IFERROR(INDEX([1]物品基础表!$A:$A,MATCH(N152,[1]物品基础表!$B:$B,0)),"")</f>
        <v>神秘钥匙</v>
      </c>
      <c r="P152" s="32">
        <v>1</v>
      </c>
      <c r="R152" s="1" t="str">
        <f>IFERROR(INDEX([1]物品基础表!$A:$A,MATCH(Q152,[1]物品基础表!$B:$B,0)),"")</f>
        <v/>
      </c>
      <c r="U152" s="1" t="str">
        <f>IFERROR(INDEX([1]物品基础表!$A:$A,MATCH(T152,[1]物品基础表!$B:$B,0)),"")</f>
        <v/>
      </c>
      <c r="X152" s="1" t="str">
        <f>IFERROR(INDEX([1]物品基础表!$A:$A,MATCH(W152,[1]物品基础表!$B:$B,0)),"")</f>
        <v/>
      </c>
    </row>
    <row r="153" spans="1:24">
      <c r="A153" s="32" t="str">
        <f>INDEX([2]活动总表!$A$8:$A$429,MATCH(B153,[2]活动总表!$B$8:$B$429,0))</f>
        <v>第2次合服连充-10元</v>
      </c>
      <c r="B153" s="32">
        <v>342</v>
      </c>
      <c r="C153" s="32">
        <v>2</v>
      </c>
      <c r="D153" s="32">
        <v>1</v>
      </c>
      <c r="E153" s="32">
        <v>2</v>
      </c>
      <c r="F153" s="32">
        <v>1000</v>
      </c>
      <c r="H153" s="32">
        <v>200320</v>
      </c>
      <c r="I153" s="1" t="str">
        <f>IFERROR(INDEX([1]物品基础表!$A:$A,MATCH(H153,[1]物品基础表!$B:$B,0)),"")</f>
        <v>至尊令牌</v>
      </c>
      <c r="J153" s="32">
        <v>10</v>
      </c>
      <c r="K153" s="32">
        <v>200925</v>
      </c>
      <c r="L153" s="1" t="str">
        <f>IFERROR(INDEX([1]物品基础表!$A:$A,MATCH(K153,[1]物品基础表!$B:$B,0)),"")</f>
        <v>红色战纹任选宝箱</v>
      </c>
      <c r="M153" s="32">
        <v>1</v>
      </c>
      <c r="N153" s="32">
        <v>201002</v>
      </c>
      <c r="O153" s="1" t="str">
        <f>IFERROR(INDEX([1]物品基础表!$A:$A,MATCH(N153,[1]物品基础表!$B:$B,0)),"")</f>
        <v>神秘钥匙</v>
      </c>
      <c r="P153" s="32">
        <v>1</v>
      </c>
      <c r="R153" s="1" t="str">
        <f>IFERROR(INDEX([1]物品基础表!$A:$A,MATCH(Q153,[1]物品基础表!$B:$B,0)),"")</f>
        <v/>
      </c>
      <c r="U153" s="1" t="str">
        <f>IFERROR(INDEX([1]物品基础表!$A:$A,MATCH(T153,[1]物品基础表!$B:$B,0)),"")</f>
        <v/>
      </c>
      <c r="X153" s="1" t="str">
        <f>IFERROR(INDEX([1]物品基础表!$A:$A,MATCH(W153,[1]物品基础表!$B:$B,0)),"")</f>
        <v/>
      </c>
    </row>
    <row r="154" spans="1:24">
      <c r="A154" s="32" t="str">
        <f>INDEX([2]活动总表!$A$8:$A$429,MATCH(B154,[2]活动总表!$B$8:$B$429,0))</f>
        <v>第2次合服连充-10元</v>
      </c>
      <c r="B154" s="32">
        <v>342</v>
      </c>
      <c r="C154" s="32">
        <v>3</v>
      </c>
      <c r="D154" s="32">
        <v>1</v>
      </c>
      <c r="E154" s="32">
        <v>3</v>
      </c>
      <c r="F154" s="32">
        <v>1000</v>
      </c>
      <c r="H154" s="32">
        <v>200320</v>
      </c>
      <c r="I154" s="1" t="str">
        <f>IFERROR(INDEX([1]物品基础表!$A:$A,MATCH(H154,[1]物品基础表!$B:$B,0)),"")</f>
        <v>至尊令牌</v>
      </c>
      <c r="J154" s="32">
        <v>10</v>
      </c>
      <c r="K154" s="32">
        <v>200005</v>
      </c>
      <c r="L154" s="1" t="str">
        <f>IFERROR(INDEX([1]物品基础表!$A:$A,MATCH(K154,[1]物品基础表!$B:$B,0)),"")</f>
        <v>龙魂碎片</v>
      </c>
      <c r="M154" s="32">
        <v>50</v>
      </c>
      <c r="N154" s="32">
        <v>201002</v>
      </c>
      <c r="O154" s="1" t="str">
        <f>IFERROR(INDEX([1]物品基础表!$A:$A,MATCH(N154,[1]物品基础表!$B:$B,0)),"")</f>
        <v>神秘钥匙</v>
      </c>
      <c r="P154" s="32">
        <v>1</v>
      </c>
      <c r="R154" s="1" t="str">
        <f>IFERROR(INDEX([1]物品基础表!$A:$A,MATCH(Q154,[1]物品基础表!$B:$B,0)),"")</f>
        <v/>
      </c>
      <c r="U154" s="1" t="str">
        <f>IFERROR(INDEX([1]物品基础表!$A:$A,MATCH(T154,[1]物品基础表!$B:$B,0)),"")</f>
        <v/>
      </c>
      <c r="X154" s="1" t="str">
        <f>IFERROR(INDEX([1]物品基础表!$A:$A,MATCH(W154,[1]物品基础表!$B:$B,0)),"")</f>
        <v/>
      </c>
    </row>
    <row r="155" spans="1:24">
      <c r="A155" s="32" t="str">
        <f>INDEX([2]活动总表!$A$8:$A$429,MATCH(B155,[2]活动总表!$B$8:$B$429,0))</f>
        <v>第2次合服连充-10元</v>
      </c>
      <c r="B155" s="32">
        <v>342</v>
      </c>
      <c r="C155" s="32">
        <v>4</v>
      </c>
      <c r="D155" s="32">
        <v>1</v>
      </c>
      <c r="E155" s="32">
        <v>4</v>
      </c>
      <c r="F155" s="32">
        <v>1000</v>
      </c>
      <c r="H155" s="32">
        <v>200320</v>
      </c>
      <c r="I155" s="1" t="str">
        <f>IFERROR(INDEX([1]物品基础表!$A:$A,MATCH(H155,[1]物品基础表!$B:$B,0)),"")</f>
        <v>至尊令牌</v>
      </c>
      <c r="J155" s="32">
        <v>10</v>
      </c>
      <c r="K155" s="32">
        <v>200015</v>
      </c>
      <c r="L155" s="1" t="str">
        <f>IFERROR(INDEX([1]物品基础表!$A:$A,MATCH(K155,[1]物品基础表!$B:$B,0)),"")</f>
        <v>特戒碎片</v>
      </c>
      <c r="M155" s="32">
        <v>1500</v>
      </c>
      <c r="N155" s="32">
        <v>201002</v>
      </c>
      <c r="O155" s="1" t="str">
        <f>IFERROR(INDEX([1]物品基础表!$A:$A,MATCH(N155,[1]物品基础表!$B:$B,0)),"")</f>
        <v>神秘钥匙</v>
      </c>
      <c r="P155" s="32">
        <v>1</v>
      </c>
      <c r="R155" s="1" t="str">
        <f>IFERROR(INDEX([1]物品基础表!$A:$A,MATCH(Q155,[1]物品基础表!$B:$B,0)),"")</f>
        <v/>
      </c>
      <c r="U155" s="1" t="str">
        <f>IFERROR(INDEX([1]物品基础表!$A:$A,MATCH(T155,[1]物品基础表!$B:$B,0)),"")</f>
        <v/>
      </c>
      <c r="X155" s="1" t="str">
        <f>IFERROR(INDEX([1]物品基础表!$A:$A,MATCH(W155,[1]物品基础表!$B:$B,0)),"")</f>
        <v/>
      </c>
    </row>
    <row r="156" spans="1:24">
      <c r="A156" s="32" t="str">
        <f>INDEX([2]活动总表!$A$8:$A$429,MATCH(B156,[2]活动总表!$B$8:$B$429,0))</f>
        <v>第2次合服连充-10元</v>
      </c>
      <c r="B156" s="32">
        <v>342</v>
      </c>
      <c r="C156" s="32">
        <v>5</v>
      </c>
      <c r="D156" s="32">
        <v>1</v>
      </c>
      <c r="E156" s="32">
        <v>5</v>
      </c>
      <c r="F156" s="32">
        <v>1000</v>
      </c>
      <c r="H156" s="32">
        <v>200320</v>
      </c>
      <c r="I156" s="1" t="str">
        <f>IFERROR(INDEX([1]物品基础表!$A:$A,MATCH(H156,[1]物品基础表!$B:$B,0)),"")</f>
        <v>至尊令牌</v>
      </c>
      <c r="J156" s="32">
        <v>10</v>
      </c>
      <c r="K156" s="32">
        <v>200301</v>
      </c>
      <c r="L156" s="1" t="str">
        <f>IFERROR(INDEX([1]物品基础表!$A:$A,MATCH(K156,[1]物品基础表!$B:$B,0)),"")</f>
        <v>传世宝钻</v>
      </c>
      <c r="M156" s="32">
        <v>40</v>
      </c>
      <c r="N156" s="32">
        <v>201002</v>
      </c>
      <c r="O156" s="1" t="str">
        <f>IFERROR(INDEX([1]物品基础表!$A:$A,MATCH(N156,[1]物品基础表!$B:$B,0)),"")</f>
        <v>神秘钥匙</v>
      </c>
      <c r="P156" s="32">
        <v>1</v>
      </c>
      <c r="R156" s="1" t="str">
        <f>IFERROR(INDEX([1]物品基础表!$A:$A,MATCH(Q156,[1]物品基础表!$B:$B,0)),"")</f>
        <v/>
      </c>
      <c r="U156" s="1" t="str">
        <f>IFERROR(INDEX([1]物品基础表!$A:$A,MATCH(T156,[1]物品基础表!$B:$B,0)),"")</f>
        <v/>
      </c>
      <c r="X156" s="1" t="str">
        <f>IFERROR(INDEX([1]物品基础表!$A:$A,MATCH(W156,[1]物品基础表!$B:$B,0)),"")</f>
        <v/>
      </c>
    </row>
    <row r="157" spans="1:24">
      <c r="A157" s="32" t="str">
        <f>INDEX([2]活动总表!$A$8:$A$429,MATCH(B157,[2]活动总表!$B$8:$B$429,0))</f>
        <v>第2次合服连充-10元</v>
      </c>
      <c r="B157" s="32">
        <v>342</v>
      </c>
      <c r="C157" s="32">
        <v>6</v>
      </c>
      <c r="D157" s="32">
        <v>1</v>
      </c>
      <c r="E157" s="32">
        <v>6</v>
      </c>
      <c r="F157" s="32">
        <v>1000</v>
      </c>
      <c r="H157" s="32">
        <v>200320</v>
      </c>
      <c r="I157" s="1" t="str">
        <f>IFERROR(INDEX([1]物品基础表!$A:$A,MATCH(H157,[1]物品基础表!$B:$B,0)),"")</f>
        <v>至尊令牌</v>
      </c>
      <c r="J157" s="32">
        <v>20</v>
      </c>
      <c r="K157" s="32">
        <v>200301</v>
      </c>
      <c r="L157" s="1" t="str">
        <f>IFERROR(INDEX([1]物品基础表!$A:$A,MATCH(K157,[1]物品基础表!$B:$B,0)),"")</f>
        <v>传世宝钻</v>
      </c>
      <c r="M157" s="32">
        <v>40</v>
      </c>
      <c r="N157" s="32">
        <v>201002</v>
      </c>
      <c r="O157" s="1" t="str">
        <f>IFERROR(INDEX([1]物品基础表!$A:$A,MATCH(N157,[1]物品基础表!$B:$B,0)),"")</f>
        <v>神秘钥匙</v>
      </c>
      <c r="P157" s="32">
        <v>2</v>
      </c>
      <c r="R157" s="1" t="str">
        <f>IFERROR(INDEX([1]物品基础表!$A:$A,MATCH(Q157,[1]物品基础表!$B:$B,0)),"")</f>
        <v/>
      </c>
      <c r="U157" s="1" t="str">
        <f>IFERROR(INDEX([1]物品基础表!$A:$A,MATCH(T157,[1]物品基础表!$B:$B,0)),"")</f>
        <v/>
      </c>
      <c r="X157" s="1" t="str">
        <f>IFERROR(INDEX([1]物品基础表!$A:$A,MATCH(W157,[1]物品基础表!$B:$B,0)),"")</f>
        <v/>
      </c>
    </row>
    <row r="158" spans="1:24">
      <c r="A158" s="32" t="str">
        <f>INDEX([2]活动总表!$A$8:$A$429,MATCH(B158,[2]活动总表!$B$8:$B$429,0))</f>
        <v>第2次合服连充-10元</v>
      </c>
      <c r="B158" s="32">
        <v>342</v>
      </c>
      <c r="C158" s="32">
        <v>7</v>
      </c>
      <c r="D158" s="32">
        <v>1</v>
      </c>
      <c r="E158" s="32">
        <v>7</v>
      </c>
      <c r="F158" s="32">
        <v>1000</v>
      </c>
      <c r="H158" s="32">
        <v>200320</v>
      </c>
      <c r="I158" s="1" t="str">
        <f>IFERROR(INDEX([1]物品基础表!$A:$A,MATCH(H158,[1]物品基础表!$B:$B,0)),"")</f>
        <v>至尊令牌</v>
      </c>
      <c r="J158" s="32">
        <v>20</v>
      </c>
      <c r="K158" s="32">
        <v>200301</v>
      </c>
      <c r="L158" s="1" t="str">
        <f>IFERROR(INDEX([1]物品基础表!$A:$A,MATCH(K158,[1]物品基础表!$B:$B,0)),"")</f>
        <v>传世宝钻</v>
      </c>
      <c r="M158" s="32">
        <v>200</v>
      </c>
      <c r="N158" s="32">
        <v>201002</v>
      </c>
      <c r="O158" s="1" t="str">
        <f>IFERROR(INDEX([1]物品基础表!$A:$A,MATCH(N158,[1]物品基础表!$B:$B,0)),"")</f>
        <v>神秘钥匙</v>
      </c>
      <c r="P158" s="32">
        <v>2</v>
      </c>
      <c r="R158" s="1" t="str">
        <f>IFERROR(INDEX([1]物品基础表!$A:$A,MATCH(Q158,[1]物品基础表!$B:$B,0)),"")</f>
        <v/>
      </c>
      <c r="U158" s="1" t="str">
        <f>IFERROR(INDEX([1]物品基础表!$A:$A,MATCH(T158,[1]物品基础表!$B:$B,0)),"")</f>
        <v/>
      </c>
      <c r="X158" s="1" t="str">
        <f>IFERROR(INDEX([1]物品基础表!$A:$A,MATCH(W158,[1]物品基础表!$B:$B,0)),"")</f>
        <v/>
      </c>
    </row>
    <row r="159" spans="1:24">
      <c r="A159" s="32" t="str">
        <f>INDEX([2]活动总表!$A$8:$A$429,MATCH(B159,[2]活动总表!$B$8:$B$429,0))</f>
        <v>战灵版本-累充（15-30天）1</v>
      </c>
      <c r="B159" s="32">
        <v>361</v>
      </c>
      <c r="C159" s="32">
        <v>1</v>
      </c>
      <c r="D159" s="32">
        <v>2</v>
      </c>
      <c r="E159" s="32">
        <v>1</v>
      </c>
      <c r="F159" s="32">
        <v>2000</v>
      </c>
      <c r="H159" s="32">
        <v>2</v>
      </c>
      <c r="I159" s="1" t="str">
        <f t="shared" ref="I159:I160" si="9">IF(H159=2,"元宝","神兵经验")</f>
        <v>元宝</v>
      </c>
      <c r="J159" s="32">
        <v>1000</v>
      </c>
      <c r="K159" s="32">
        <v>200004</v>
      </c>
      <c r="L159" s="1" t="str">
        <f>IFERROR(INDEX([1]物品基础表!$A:$A,MATCH(K159,[1]物品基础表!$B:$B,0)),"")</f>
        <v>经脉丹</v>
      </c>
      <c r="M159" s="32">
        <v>10</v>
      </c>
      <c r="N159" s="32">
        <v>204064</v>
      </c>
      <c r="O159" s="1" t="str">
        <f>IFERROR(INDEX([1]物品基础表!$A:$A,MATCH(N159,[1]物品基础表!$B:$B,0)),"")</f>
        <v>高级转生轮回礼包</v>
      </c>
      <c r="P159" s="32">
        <v>3</v>
      </c>
      <c r="Q159" s="32">
        <v>200301</v>
      </c>
      <c r="R159" s="1" t="str">
        <f>IFERROR(INDEX([1]物品基础表!$A:$A,MATCH(Q159,[1]物品基础表!$B:$B,0)),"")</f>
        <v>传世宝钻</v>
      </c>
      <c r="S159" s="32">
        <v>20</v>
      </c>
      <c r="U159" s="1" t="str">
        <f>IFERROR(INDEX([1]物品基础表!$A:$A,MATCH(T159,[1]物品基础表!$B:$B,0)),"")</f>
        <v/>
      </c>
      <c r="X159" s="1" t="str">
        <f>IFERROR(INDEX([1]物品基础表!$A:$A,MATCH(W159,[1]物品基础表!$B:$B,0)),"")</f>
        <v/>
      </c>
    </row>
    <row r="160" spans="1:24">
      <c r="A160" s="32" t="str">
        <f>INDEX([2]活动总表!$A$8:$A$429,MATCH(B160,[2]活动总表!$B$8:$B$429,0))</f>
        <v>战灵版本-累充（15-30天）1</v>
      </c>
      <c r="B160" s="32">
        <v>361</v>
      </c>
      <c r="C160" s="32">
        <v>2</v>
      </c>
      <c r="D160" s="32">
        <v>2</v>
      </c>
      <c r="E160" s="32">
        <v>1</v>
      </c>
      <c r="F160" s="32">
        <v>5000</v>
      </c>
      <c r="H160" s="32">
        <v>13</v>
      </c>
      <c r="I160" s="1" t="str">
        <f t="shared" si="9"/>
        <v>神兵经验</v>
      </c>
      <c r="J160" s="32">
        <v>1000000</v>
      </c>
      <c r="K160" s="32">
        <v>204067</v>
      </c>
      <c r="L160" s="1" t="str">
        <f>IFERROR(INDEX([1]物品基础表!$A:$A,MATCH(K160,[1]物品基础表!$B:$B,0)),"")</f>
        <v>玉佩升级道具2</v>
      </c>
      <c r="M160" s="32">
        <v>1</v>
      </c>
      <c r="N160" s="32">
        <v>204064</v>
      </c>
      <c r="O160" s="1" t="str">
        <f>IFERROR(INDEX([1]物品基础表!$A:$A,MATCH(N160,[1]物品基础表!$B:$B,0)),"")</f>
        <v>高级转生轮回礼包</v>
      </c>
      <c r="P160" s="32">
        <v>5</v>
      </c>
      <c r="Q160" s="32">
        <v>200301</v>
      </c>
      <c r="R160" s="1" t="str">
        <f>IFERROR(INDEX([1]物品基础表!$A:$A,MATCH(Q160,[1]物品基础表!$B:$B,0)),"")</f>
        <v>传世宝钻</v>
      </c>
      <c r="S160" s="32">
        <v>40</v>
      </c>
      <c r="U160" s="1" t="str">
        <f>IFERROR(INDEX([1]物品基础表!$A:$A,MATCH(T160,[1]物品基础表!$B:$B,0)),"")</f>
        <v/>
      </c>
      <c r="X160" s="1" t="str">
        <f>IFERROR(INDEX([1]物品基础表!$A:$A,MATCH(W160,[1]物品基础表!$B:$B,0)),"")</f>
        <v/>
      </c>
    </row>
    <row r="161" spans="1:24">
      <c r="A161" s="32" t="str">
        <f>INDEX([2]活动总表!$A$8:$A$429,MATCH(B161,[2]活动总表!$B$8:$B$429,0))</f>
        <v>战灵版本-累充（15-30天）1</v>
      </c>
      <c r="B161" s="32">
        <v>361</v>
      </c>
      <c r="C161" s="32">
        <v>3</v>
      </c>
      <c r="D161" s="32">
        <v>2</v>
      </c>
      <c r="E161" s="32">
        <v>1</v>
      </c>
      <c r="F161" s="32">
        <v>20000</v>
      </c>
      <c r="H161" s="32">
        <v>200911</v>
      </c>
      <c r="I161" s="1" t="str">
        <f>IFERROR(INDEX([1]物品基础表!$A:$A,MATCH(H161,[1]物品基础表!$B:$B,0)),"")</f>
        <v>橙色圣物宝箱</v>
      </c>
      <c r="J161" s="32">
        <v>1</v>
      </c>
      <c r="K161" s="32">
        <v>204071</v>
      </c>
      <c r="L161" s="1" t="str">
        <f>IFERROR(INDEX([1]物品基础表!$A:$A,MATCH(K161,[1]物品基础表!$B:$B,0)),"")</f>
        <v>玉佩温养道具3</v>
      </c>
      <c r="M161" s="32">
        <v>1</v>
      </c>
      <c r="N161" s="32">
        <v>204065</v>
      </c>
      <c r="O161" s="1" t="str">
        <f>IFERROR(INDEX([1]物品基础表!$A:$A,MATCH(N161,[1]物品基础表!$B:$B,0)),"")</f>
        <v>超级转生轮回礼包</v>
      </c>
      <c r="P161" s="32">
        <v>1</v>
      </c>
      <c r="Q161" s="32">
        <v>204070</v>
      </c>
      <c r="R161" s="1" t="str">
        <f>IFERROR(INDEX([1]物品基础表!$A:$A,MATCH(Q161,[1]物品基础表!$B:$B,0)),"")</f>
        <v>玉佩温养道具2</v>
      </c>
      <c r="S161" s="32">
        <v>1</v>
      </c>
      <c r="U161" s="1" t="str">
        <f>IFERROR(INDEX([1]物品基础表!$A:$A,MATCH(T161,[1]物品基础表!$B:$B,0)),"")</f>
        <v/>
      </c>
      <c r="X161" s="1" t="str">
        <f>IFERROR(INDEX([1]物品基础表!$A:$A,MATCH(W161,[1]物品基础表!$B:$B,0)),"")</f>
        <v/>
      </c>
    </row>
    <row r="162" spans="1:24">
      <c r="A162" s="32" t="str">
        <f>INDEX([2]活动总表!$A$8:$A$429,MATCH(B162,[2]活动总表!$B$8:$B$429,0))</f>
        <v>战灵版本-累充（31-60天）1</v>
      </c>
      <c r="B162" s="32">
        <v>362</v>
      </c>
      <c r="C162" s="32">
        <v>1</v>
      </c>
      <c r="D162" s="32">
        <v>2</v>
      </c>
      <c r="E162" s="32">
        <v>1</v>
      </c>
      <c r="F162" s="32">
        <v>2000</v>
      </c>
      <c r="H162" s="32">
        <v>2</v>
      </c>
      <c r="I162" s="1" t="str">
        <f>IF(H162=2,"元宝","神兵经验")</f>
        <v>元宝</v>
      </c>
      <c r="J162" s="32">
        <v>1000</v>
      </c>
      <c r="K162" s="32">
        <v>13</v>
      </c>
      <c r="L162" s="1" t="str">
        <f>IF(K162=2,"元宝","神兵经验")</f>
        <v>神兵经验</v>
      </c>
      <c r="M162" s="32">
        <v>1500000</v>
      </c>
      <c r="N162" s="32">
        <v>204064</v>
      </c>
      <c r="O162" s="1" t="str">
        <f>IFERROR(INDEX([1]物品基础表!$A:$A,MATCH(N162,[1]物品基础表!$B:$B,0)),"")</f>
        <v>高级转生轮回礼包</v>
      </c>
      <c r="P162" s="32">
        <v>3</v>
      </c>
      <c r="Q162" s="32">
        <v>200301</v>
      </c>
      <c r="R162" s="1" t="str">
        <f>IFERROR(INDEX([1]物品基础表!$A:$A,MATCH(Q162,[1]物品基础表!$B:$B,0)),"")</f>
        <v>传世宝钻</v>
      </c>
      <c r="S162" s="32">
        <v>20</v>
      </c>
      <c r="U162" s="1" t="str">
        <f>IFERROR(INDEX([1]物品基础表!$A:$A,MATCH(T162,[1]物品基础表!$B:$B,0)),"")</f>
        <v/>
      </c>
      <c r="X162" s="1" t="str">
        <f>IFERROR(INDEX([1]物品基础表!$A:$A,MATCH(W162,[1]物品基础表!$B:$B,0)),"")</f>
        <v/>
      </c>
    </row>
    <row r="163" spans="1:24">
      <c r="A163" s="32" t="str">
        <f>INDEX([2]活动总表!$A$8:$A$429,MATCH(B163,[2]活动总表!$B$8:$B$429,0))</f>
        <v>战灵版本-累充（31-60天）1</v>
      </c>
      <c r="B163" s="32">
        <v>362</v>
      </c>
      <c r="C163" s="32">
        <v>2</v>
      </c>
      <c r="D163" s="32">
        <v>2</v>
      </c>
      <c r="E163" s="32">
        <v>1</v>
      </c>
      <c r="F163" s="32">
        <v>5000</v>
      </c>
      <c r="H163" s="32">
        <v>200911</v>
      </c>
      <c r="I163" s="1" t="str">
        <f>IFERROR(INDEX([1]物品基础表!$A:$A,MATCH(H163,[1]物品基础表!$B:$B,0)),"")</f>
        <v>橙色圣物宝箱</v>
      </c>
      <c r="J163" s="32">
        <v>1</v>
      </c>
      <c r="K163" s="32">
        <v>204067</v>
      </c>
      <c r="L163" s="1" t="str">
        <f>IFERROR(INDEX([1]物品基础表!$A:$A,MATCH(K163,[1]物品基础表!$B:$B,0)),"")</f>
        <v>玉佩升级道具2</v>
      </c>
      <c r="M163" s="32">
        <v>2</v>
      </c>
      <c r="N163" s="32">
        <v>204064</v>
      </c>
      <c r="O163" s="1" t="str">
        <f>IFERROR(INDEX([1]物品基础表!$A:$A,MATCH(N163,[1]物品基础表!$B:$B,0)),"")</f>
        <v>高级转生轮回礼包</v>
      </c>
      <c r="P163" s="32">
        <v>5</v>
      </c>
      <c r="Q163" s="32">
        <v>200301</v>
      </c>
      <c r="R163" s="1" t="str">
        <f>IFERROR(INDEX([1]物品基础表!$A:$A,MATCH(Q163,[1]物品基础表!$B:$B,0)),"")</f>
        <v>传世宝钻</v>
      </c>
      <c r="S163" s="32">
        <v>40</v>
      </c>
      <c r="U163" s="1" t="str">
        <f>IFERROR(INDEX([1]物品基础表!$A:$A,MATCH(T163,[1]物品基础表!$B:$B,0)),"")</f>
        <v/>
      </c>
      <c r="X163" s="1" t="str">
        <f>IFERROR(INDEX([1]物品基础表!$A:$A,MATCH(W163,[1]物品基础表!$B:$B,0)),"")</f>
        <v/>
      </c>
    </row>
    <row r="164" spans="1:24">
      <c r="A164" s="32" t="str">
        <f>INDEX([2]活动总表!$A$8:$A$429,MATCH(B164,[2]活动总表!$B$8:$B$429,0))</f>
        <v>战灵版本-累充（31-60天）1</v>
      </c>
      <c r="B164" s="32">
        <v>362</v>
      </c>
      <c r="C164" s="32">
        <v>3</v>
      </c>
      <c r="D164" s="32">
        <v>2</v>
      </c>
      <c r="E164" s="32">
        <v>1</v>
      </c>
      <c r="F164" s="32">
        <v>20000</v>
      </c>
      <c r="H164" s="32">
        <v>200997</v>
      </c>
      <c r="I164" s="1" t="str">
        <f>IFERROR(INDEX([1]物品基础表!$A:$A,MATCH(H164,[1]物品基础表!$B:$B,0)),"")</f>
        <v>星☆传世宝箱</v>
      </c>
      <c r="J164" s="32">
        <v>1</v>
      </c>
      <c r="K164" s="32">
        <v>204071</v>
      </c>
      <c r="L164" s="1" t="str">
        <f>IFERROR(INDEX([1]物品基础表!$A:$A,MATCH(K164,[1]物品基础表!$B:$B,0)),"")</f>
        <v>玉佩温养道具3</v>
      </c>
      <c r="M164" s="32">
        <v>1</v>
      </c>
      <c r="N164" s="32">
        <v>204065</v>
      </c>
      <c r="O164" s="1" t="str">
        <f>IFERROR(INDEX([1]物品基础表!$A:$A,MATCH(N164,[1]物品基础表!$B:$B,0)),"")</f>
        <v>超级转生轮回礼包</v>
      </c>
      <c r="P164" s="32">
        <v>1</v>
      </c>
      <c r="Q164" s="32">
        <v>204070</v>
      </c>
      <c r="R164" s="1" t="str">
        <f>IFERROR(INDEX([1]物品基础表!$A:$A,MATCH(Q164,[1]物品基础表!$B:$B,0)),"")</f>
        <v>玉佩温养道具2</v>
      </c>
      <c r="S164" s="32">
        <v>1</v>
      </c>
      <c r="U164" s="1" t="str">
        <f>IFERROR(INDEX([1]物品基础表!$A:$A,MATCH(T164,[1]物品基础表!$B:$B,0)),"")</f>
        <v/>
      </c>
      <c r="X164" s="1" t="str">
        <f>IFERROR(INDEX([1]物品基础表!$A:$A,MATCH(W164,[1]物品基础表!$B:$B,0)),"")</f>
        <v/>
      </c>
    </row>
    <row r="165" spans="1:24">
      <c r="A165" s="32" t="str">
        <f>INDEX([2]活动总表!$A$8:$A$429,MATCH(B165,[2]活动总表!$B$8:$B$429,0))</f>
        <v>战灵版本-累充（61天以上）1</v>
      </c>
      <c r="B165" s="32">
        <v>363</v>
      </c>
      <c r="C165" s="32">
        <v>1</v>
      </c>
      <c r="D165" s="32">
        <v>2</v>
      </c>
      <c r="E165" s="32">
        <v>1</v>
      </c>
      <c r="F165" s="32">
        <v>2000</v>
      </c>
      <c r="H165" s="32">
        <v>2</v>
      </c>
      <c r="I165" s="1" t="str">
        <f>IF(H165=2,"元宝","神兵经验")</f>
        <v>元宝</v>
      </c>
      <c r="J165" s="32">
        <v>1000</v>
      </c>
      <c r="K165" s="32">
        <v>13</v>
      </c>
      <c r="L165" s="1" t="str">
        <f>IF(K165=2,"元宝","神兵经验")</f>
        <v>神兵经验</v>
      </c>
      <c r="M165" s="32">
        <v>2000000</v>
      </c>
      <c r="N165" s="32">
        <v>204064</v>
      </c>
      <c r="O165" s="1" t="str">
        <f>IFERROR(INDEX([1]物品基础表!$A:$A,MATCH(N165,[1]物品基础表!$B:$B,0)),"")</f>
        <v>高级转生轮回礼包</v>
      </c>
      <c r="P165" s="32">
        <v>3</v>
      </c>
      <c r="Q165" s="32">
        <v>200301</v>
      </c>
      <c r="R165" s="1" t="str">
        <f>IFERROR(INDEX([1]物品基础表!$A:$A,MATCH(Q165,[1]物品基础表!$B:$B,0)),"")</f>
        <v>传世宝钻</v>
      </c>
      <c r="S165" s="32">
        <v>20</v>
      </c>
      <c r="U165" s="1" t="str">
        <f>IFERROR(INDEX([1]物品基础表!$A:$A,MATCH(T165,[1]物品基础表!$B:$B,0)),"")</f>
        <v/>
      </c>
      <c r="X165" s="1" t="str">
        <f>IFERROR(INDEX([1]物品基础表!$A:$A,MATCH(W165,[1]物品基础表!$B:$B,0)),"")</f>
        <v/>
      </c>
    </row>
    <row r="166" spans="1:24">
      <c r="A166" s="32" t="str">
        <f>INDEX([2]活动总表!$A$8:$A$429,MATCH(B166,[2]活动总表!$B$8:$B$429,0))</f>
        <v>战灵版本-累充（61天以上）1</v>
      </c>
      <c r="B166" s="32">
        <v>363</v>
      </c>
      <c r="C166" s="32">
        <v>2</v>
      </c>
      <c r="D166" s="32">
        <v>2</v>
      </c>
      <c r="E166" s="32">
        <v>1</v>
      </c>
      <c r="F166" s="32">
        <v>5000</v>
      </c>
      <c r="H166" s="32">
        <v>200911</v>
      </c>
      <c r="I166" s="1" t="str">
        <f>IFERROR(INDEX([1]物品基础表!$A:$A,MATCH(H166,[1]物品基础表!$B:$B,0)),"")</f>
        <v>橙色圣物宝箱</v>
      </c>
      <c r="J166" s="32">
        <v>1</v>
      </c>
      <c r="K166" s="32">
        <v>204067</v>
      </c>
      <c r="L166" s="1" t="str">
        <f>IFERROR(INDEX([1]物品基础表!$A:$A,MATCH(K166,[1]物品基础表!$B:$B,0)),"")</f>
        <v>玉佩升级道具2</v>
      </c>
      <c r="M166" s="32">
        <v>2</v>
      </c>
      <c r="N166" s="32">
        <v>204064</v>
      </c>
      <c r="O166" s="1" t="str">
        <f>IFERROR(INDEX([1]物品基础表!$A:$A,MATCH(N166,[1]物品基础表!$B:$B,0)),"")</f>
        <v>高级转生轮回礼包</v>
      </c>
      <c r="P166" s="32">
        <v>5</v>
      </c>
      <c r="Q166" s="32">
        <v>200301</v>
      </c>
      <c r="R166" s="1" t="str">
        <f>IFERROR(INDEX([1]物品基础表!$A:$A,MATCH(Q166,[1]物品基础表!$B:$B,0)),"")</f>
        <v>传世宝钻</v>
      </c>
      <c r="S166" s="32">
        <v>40</v>
      </c>
      <c r="U166" s="1" t="str">
        <f>IFERROR(INDEX([1]物品基础表!$A:$A,MATCH(T166,[1]物品基础表!$B:$B,0)),"")</f>
        <v/>
      </c>
      <c r="X166" s="1" t="str">
        <f>IFERROR(INDEX([1]物品基础表!$A:$A,MATCH(W166,[1]物品基础表!$B:$B,0)),"")</f>
        <v/>
      </c>
    </row>
    <row r="167" spans="1:24">
      <c r="A167" s="32" t="str">
        <f>INDEX([2]活动总表!$A$8:$A$429,MATCH(B167,[2]活动总表!$B$8:$B$429,0))</f>
        <v>战灵版本-累充（61天以上）1</v>
      </c>
      <c r="B167" s="32">
        <v>363</v>
      </c>
      <c r="C167" s="32">
        <v>3</v>
      </c>
      <c r="D167" s="32">
        <v>2</v>
      </c>
      <c r="E167" s="32">
        <v>1</v>
      </c>
      <c r="F167" s="32">
        <v>20000</v>
      </c>
      <c r="H167" s="32">
        <v>200912</v>
      </c>
      <c r="I167" s="1" t="str">
        <f>IFERROR(INDEX([1]物品基础表!$A:$A,MATCH(H167,[1]物品基础表!$B:$B,0)),"")</f>
        <v>红色圣物宝箱</v>
      </c>
      <c r="J167" s="32">
        <v>1</v>
      </c>
      <c r="K167" s="32">
        <v>204071</v>
      </c>
      <c r="L167" s="1" t="str">
        <f>IFERROR(INDEX([1]物品基础表!$A:$A,MATCH(K167,[1]物品基础表!$B:$B,0)),"")</f>
        <v>玉佩温养道具3</v>
      </c>
      <c r="M167" s="32">
        <v>1</v>
      </c>
      <c r="N167" s="32">
        <v>204065</v>
      </c>
      <c r="O167" s="1" t="str">
        <f>IFERROR(INDEX([1]物品基础表!$A:$A,MATCH(N167,[1]物品基础表!$B:$B,0)),"")</f>
        <v>超级转生轮回礼包</v>
      </c>
      <c r="P167" s="32">
        <v>1</v>
      </c>
      <c r="Q167" s="32">
        <v>204070</v>
      </c>
      <c r="R167" s="1" t="str">
        <f>IFERROR(INDEX([1]物品基础表!$A:$A,MATCH(Q167,[1]物品基础表!$B:$B,0)),"")</f>
        <v>玉佩温养道具2</v>
      </c>
      <c r="S167" s="32">
        <v>1</v>
      </c>
      <c r="U167" s="1" t="str">
        <f>IFERROR(INDEX([1]物品基础表!$A:$A,MATCH(T167,[1]物品基础表!$B:$B,0)),"")</f>
        <v/>
      </c>
      <c r="X167" s="1" t="str">
        <f>IFERROR(INDEX([1]物品基础表!$A:$A,MATCH(W167,[1]物品基础表!$B:$B,0)),"")</f>
        <v/>
      </c>
    </row>
    <row r="168" spans="1:24">
      <c r="A168" s="32" t="str">
        <f>INDEX([2]活动总表!$A$8:$A$429,MATCH(B168,[2]活动总表!$B$8:$B$429,0))</f>
        <v>立春-累充</v>
      </c>
      <c r="B168" s="32">
        <v>366</v>
      </c>
      <c r="C168" s="32">
        <v>1</v>
      </c>
      <c r="D168" s="32">
        <v>2</v>
      </c>
      <c r="E168" s="32">
        <v>3</v>
      </c>
      <c r="F168" s="32">
        <v>2888</v>
      </c>
      <c r="H168" s="32">
        <v>2</v>
      </c>
      <c r="I168" s="1" t="str">
        <f t="shared" ref="I168:I169" si="10">IF(H168=2,"元宝","神兵经验")</f>
        <v>元宝</v>
      </c>
      <c r="J168" s="32">
        <v>2888</v>
      </c>
      <c r="K168" s="32">
        <v>204064</v>
      </c>
      <c r="L168" s="1" t="str">
        <f>IFERROR(INDEX([1]物品基础表!$A:$A,MATCH(K168,[1]物品基础表!$B:$B,0)),"")</f>
        <v>高级转生轮回礼包</v>
      </c>
      <c r="M168" s="32">
        <v>5</v>
      </c>
      <c r="N168" s="32">
        <v>204152</v>
      </c>
      <c r="O168" s="1" t="str">
        <f>IFERROR(INDEX([1]物品基础表!$A:$A,MATCH(N168,[1]物品基础表!$B:$B,0)),"")</f>
        <v>奇遇刷新卷</v>
      </c>
      <c r="P168" s="32">
        <v>5</v>
      </c>
      <c r="R168" s="1" t="str">
        <f>IFERROR(INDEX([1]物品基础表!$A:$A,MATCH(Q168,[1]物品基础表!$B:$B,0)),"")</f>
        <v/>
      </c>
      <c r="U168" s="1" t="str">
        <f>IFERROR(INDEX([1]物品基础表!$A:$A,MATCH(T168,[1]物品基础表!$B:$B,0)),"")</f>
        <v/>
      </c>
      <c r="X168" s="1" t="str">
        <f>IFERROR(INDEX([1]物品基础表!$A:$A,MATCH(W168,[1]物品基础表!$B:$B,0)),"")</f>
        <v/>
      </c>
    </row>
    <row r="169" spans="1:24">
      <c r="A169" s="32" t="str">
        <f>INDEX([2]活动总表!$A$8:$A$429,MATCH(B169,[2]活动总表!$B$8:$B$429,0))</f>
        <v>立春-累充</v>
      </c>
      <c r="B169" s="32">
        <v>366</v>
      </c>
      <c r="C169" s="32">
        <v>2</v>
      </c>
      <c r="D169" s="32">
        <v>2</v>
      </c>
      <c r="E169" s="32">
        <v>3</v>
      </c>
      <c r="F169" s="32">
        <v>5888</v>
      </c>
      <c r="H169" s="32">
        <v>2</v>
      </c>
      <c r="I169" s="1" t="str">
        <f t="shared" si="10"/>
        <v>元宝</v>
      </c>
      <c r="J169" s="32">
        <v>2888</v>
      </c>
      <c r="K169" s="32">
        <v>204065</v>
      </c>
      <c r="L169" s="1" t="str">
        <f>IFERROR(INDEX([1]物品基础表!$A:$A,MATCH(K169,[1]物品基础表!$B:$B,0)),"")</f>
        <v>超级转生轮回礼包</v>
      </c>
      <c r="M169" s="32">
        <v>1</v>
      </c>
      <c r="N169" s="32">
        <v>204152</v>
      </c>
      <c r="O169" s="1" t="str">
        <f>IFERROR(INDEX([1]物品基础表!$A:$A,MATCH(N169,[1]物品基础表!$B:$B,0)),"")</f>
        <v>奇遇刷新卷</v>
      </c>
      <c r="P169" s="32">
        <v>5</v>
      </c>
      <c r="R169" s="1" t="str">
        <f>IFERROR(INDEX([1]物品基础表!$A:$A,MATCH(Q169,[1]物品基础表!$B:$B,0)),"")</f>
        <v/>
      </c>
      <c r="U169" s="1" t="str">
        <f>IFERROR(INDEX([1]物品基础表!$A:$A,MATCH(T169,[1]物品基础表!$B:$B,0)),"")</f>
        <v/>
      </c>
      <c r="X169" s="1" t="str">
        <f>IFERROR(INDEX([1]物品基础表!$A:$A,MATCH(W169,[1]物品基础表!$B:$B,0)),"")</f>
        <v/>
      </c>
    </row>
    <row r="170" spans="1:24">
      <c r="A170" s="32" t="str">
        <f>INDEX([2]活动总表!$A$8:$A$429,MATCH(B170,[2]活动总表!$B$8:$B$429,0))</f>
        <v>立春-累充</v>
      </c>
      <c r="B170" s="32">
        <v>366</v>
      </c>
      <c r="C170" s="32">
        <v>3</v>
      </c>
      <c r="D170" s="32">
        <v>2</v>
      </c>
      <c r="E170" s="32">
        <v>3</v>
      </c>
      <c r="F170" s="32">
        <v>10888</v>
      </c>
      <c r="H170" s="32">
        <v>200951</v>
      </c>
      <c r="I170" s="1" t="str">
        <f>IFERROR(INDEX([1]物品基础表!$A:$A,MATCH(H170,[1]物品基础表!$B:$B,0)),"")</f>
        <v>金色战纹任选宝箱</v>
      </c>
      <c r="J170" s="32">
        <v>1</v>
      </c>
      <c r="K170" s="32">
        <v>200301</v>
      </c>
      <c r="L170" s="1" t="str">
        <f>IFERROR(INDEX([1]物品基础表!$A:$A,MATCH(K170,[1]物品基础表!$B:$B,0)),"")</f>
        <v>传世宝钻</v>
      </c>
      <c r="M170" s="32">
        <v>100</v>
      </c>
      <c r="N170" s="32">
        <v>204152</v>
      </c>
      <c r="O170" s="1" t="str">
        <f>IFERROR(INDEX([1]物品基础表!$A:$A,MATCH(N170,[1]物品基础表!$B:$B,0)),"")</f>
        <v>奇遇刷新卷</v>
      </c>
      <c r="P170" s="32">
        <v>5</v>
      </c>
      <c r="R170" s="1" t="str">
        <f>IFERROR(INDEX([1]物品基础表!$A:$A,MATCH(Q170,[1]物品基础表!$B:$B,0)),"")</f>
        <v/>
      </c>
      <c r="U170" s="1" t="str">
        <f>IFERROR(INDEX([1]物品基础表!$A:$A,MATCH(T170,[1]物品基础表!$B:$B,0)),"")</f>
        <v/>
      </c>
      <c r="X170" s="1" t="str">
        <f>IFERROR(INDEX([1]物品基础表!$A:$A,MATCH(W170,[1]物品基础表!$B:$B,0)),"")</f>
        <v/>
      </c>
    </row>
    <row r="171" spans="1:24">
      <c r="A171" s="32" t="str">
        <f>INDEX([2]活动总表!$A$8:$A$429,MATCH(B171,[2]活动总表!$B$8:$B$429,0))</f>
        <v>立春-累充</v>
      </c>
      <c r="B171" s="32">
        <v>366</v>
      </c>
      <c r="C171" s="32">
        <v>4</v>
      </c>
      <c r="D171" s="32">
        <v>2</v>
      </c>
      <c r="E171" s="32">
        <v>3</v>
      </c>
      <c r="F171" s="32">
        <v>21888</v>
      </c>
      <c r="H171" s="32">
        <v>200997</v>
      </c>
      <c r="I171" s="1" t="str">
        <f>IFERROR(INDEX([1]物品基础表!$A:$A,MATCH(H171,[1]物品基础表!$B:$B,0)),"")</f>
        <v>星☆传世宝箱</v>
      </c>
      <c r="J171" s="32">
        <v>1</v>
      </c>
      <c r="K171" s="32">
        <v>204071</v>
      </c>
      <c r="L171" s="1" t="str">
        <f>IFERROR(INDEX([1]物品基础表!$A:$A,MATCH(K171,[1]物品基础表!$B:$B,0)),"")</f>
        <v>玉佩温养道具3</v>
      </c>
      <c r="M171" s="32">
        <v>1</v>
      </c>
      <c r="N171" s="32">
        <v>204152</v>
      </c>
      <c r="O171" s="1" t="str">
        <f>IFERROR(INDEX([1]物品基础表!$A:$A,MATCH(N171,[1]物品基础表!$B:$B,0)),"")</f>
        <v>奇遇刷新卷</v>
      </c>
      <c r="P171" s="32">
        <v>5</v>
      </c>
      <c r="R171" s="1" t="str">
        <f>IFERROR(INDEX([1]物品基础表!$A:$A,MATCH(Q171,[1]物品基础表!$B:$B,0)),"")</f>
        <v/>
      </c>
      <c r="U171" s="1" t="str">
        <f>IFERROR(INDEX([1]物品基础表!$A:$A,MATCH(T171,[1]物品基础表!$B:$B,0)),"")</f>
        <v/>
      </c>
      <c r="X171" s="1" t="str">
        <f>IFERROR(INDEX([1]物品基础表!$A:$A,MATCH(W171,[1]物品基础表!$B:$B,0)),"")</f>
        <v/>
      </c>
    </row>
    <row r="172" spans="1:24">
      <c r="A172" s="32" t="str">
        <f>INDEX([2]活动总表!$A$8:$A$429,MATCH(B172,[2]活动总表!$B$8:$B$429,0))</f>
        <v>立春-累充</v>
      </c>
      <c r="B172" s="32">
        <v>366</v>
      </c>
      <c r="C172" s="32">
        <v>5</v>
      </c>
      <c r="D172" s="32">
        <v>2</v>
      </c>
      <c r="E172" s="32">
        <v>3</v>
      </c>
      <c r="F172" s="32">
        <v>52888</v>
      </c>
      <c r="H172" s="32">
        <v>200312</v>
      </c>
      <c r="I172" s="1" t="str">
        <f>IFERROR(INDEX([1]物品基础表!$A:$A,MATCH(H172,[1]物品基础表!$B:$B,0)),"")</f>
        <v>缤纷兵魂任选礼包</v>
      </c>
      <c r="J172" s="32">
        <v>8</v>
      </c>
      <c r="K172" s="32">
        <v>200326</v>
      </c>
      <c r="L172" s="1" t="str">
        <f>IFERROR(INDEX([1]物品基础表!$A:$A,MATCH(K172,[1]物品基础表!$B:$B,0)),"")</f>
        <v>兵魂之灵</v>
      </c>
      <c r="M172" s="32">
        <v>1</v>
      </c>
      <c r="N172" s="32">
        <v>204152</v>
      </c>
      <c r="O172" s="1" t="str">
        <f>IFERROR(INDEX([1]物品基础表!$A:$A,MATCH(N172,[1]物品基础表!$B:$B,0)),"")</f>
        <v>奇遇刷新卷</v>
      </c>
      <c r="P172" s="32">
        <v>5</v>
      </c>
      <c r="R172" s="1" t="str">
        <f>IFERROR(INDEX([1]物品基础表!$A:$A,MATCH(Q172,[1]物品基础表!$B:$B,0)),"")</f>
        <v/>
      </c>
      <c r="U172" s="1" t="str">
        <f>IFERROR(INDEX([1]物品基础表!$A:$A,MATCH(T172,[1]物品基础表!$B:$B,0)),"")</f>
        <v/>
      </c>
      <c r="X172" s="1" t="str">
        <f>IFERROR(INDEX([1]物品基础表!$A:$A,MATCH(W172,[1]物品基础表!$B:$B,0)),"")</f>
        <v/>
      </c>
    </row>
    <row r="173" spans="1:24">
      <c r="A173" s="32" t="str">
        <f>INDEX([2]活动总表!$A$8:$A$429,MATCH(B173,[2]活动总表!$B$8:$B$429,0))</f>
        <v>立春-累充</v>
      </c>
      <c r="B173" s="32">
        <v>366</v>
      </c>
      <c r="C173" s="32">
        <v>6</v>
      </c>
      <c r="D173" s="32">
        <v>2</v>
      </c>
      <c r="E173" s="32">
        <v>3</v>
      </c>
      <c r="F173" s="32">
        <v>128888</v>
      </c>
      <c r="H173" s="32">
        <v>204029</v>
      </c>
      <c r="I173" s="1" t="str">
        <f>IFERROR(INDEX([1]物品基础表!$A:$A,MATCH(H173,[1]物品基础表!$B:$B,0)),"")</f>
        <v>魔魂礼包</v>
      </c>
      <c r="J173" s="32">
        <v>1</v>
      </c>
      <c r="K173" s="32">
        <v>200301</v>
      </c>
      <c r="L173" s="1" t="str">
        <f>IFERROR(INDEX([1]物品基础表!$A:$A,MATCH(K173,[1]物品基础表!$B:$B,0)),"")</f>
        <v>传世宝钻</v>
      </c>
      <c r="M173" s="32">
        <v>300</v>
      </c>
      <c r="N173" s="32">
        <v>200208</v>
      </c>
      <c r="O173" s="1" t="str">
        <f>IFERROR(INDEX([1]物品基础表!$A:$A,MATCH(N173,[1]物品基础表!$B:$B,0)),"")</f>
        <v>烈焰印记低级升级材料</v>
      </c>
      <c r="P173" s="32">
        <v>500</v>
      </c>
      <c r="R173" s="1" t="str">
        <f>IFERROR(INDEX([1]物品基础表!$A:$A,MATCH(Q173,[1]物品基础表!$B:$B,0)),"")</f>
        <v/>
      </c>
      <c r="U173" s="1" t="str">
        <f>IFERROR(INDEX([1]物品基础表!$A:$A,MATCH(T173,[1]物品基础表!$B:$B,0)),"")</f>
        <v/>
      </c>
      <c r="X173" s="1" t="str">
        <f>IFERROR(INDEX([1]物品基础表!$A:$A,MATCH(W173,[1]物品基础表!$B:$B,0)),"")</f>
        <v/>
      </c>
    </row>
    <row r="174" spans="1:24">
      <c r="A174" s="32" t="str">
        <f>INDEX([2]活动总表!$A$8:$A$429,MATCH(B174,[2]活动总表!$B$8:$B$429,0))</f>
        <v>立春-累充</v>
      </c>
      <c r="B174" s="32">
        <v>366</v>
      </c>
      <c r="C174" s="32">
        <v>7</v>
      </c>
      <c r="D174" s="32">
        <v>2</v>
      </c>
      <c r="E174" s="32">
        <v>3</v>
      </c>
      <c r="F174" s="32">
        <v>218888</v>
      </c>
      <c r="H174" s="32">
        <v>204105</v>
      </c>
      <c r="I174" s="1" t="str">
        <f>IFERROR(INDEX([1]物品基础表!$A:$A,MATCH(H174,[1]物品基础表!$B:$B,0)),"")</f>
        <v>至尊至宝</v>
      </c>
      <c r="J174" s="32">
        <v>1</v>
      </c>
      <c r="K174" s="32">
        <v>200951</v>
      </c>
      <c r="L174" s="1" t="str">
        <f>IFERROR(INDEX([1]物品基础表!$A:$A,MATCH(K174,[1]物品基础表!$B:$B,0)),"")</f>
        <v>金色战纹任选宝箱</v>
      </c>
      <c r="M174" s="32">
        <v>1</v>
      </c>
      <c r="N174" s="32">
        <v>200208</v>
      </c>
      <c r="O174" s="1" t="str">
        <f>IFERROR(INDEX([1]物品基础表!$A:$A,MATCH(N174,[1]物品基础表!$B:$B,0)),"")</f>
        <v>烈焰印记低级升级材料</v>
      </c>
      <c r="P174" s="32">
        <v>800</v>
      </c>
      <c r="R174" s="1" t="str">
        <f>IFERROR(INDEX([1]物品基础表!$A:$A,MATCH(Q174,[1]物品基础表!$B:$B,0)),"")</f>
        <v/>
      </c>
      <c r="U174" s="1" t="str">
        <f>IFERROR(INDEX([1]物品基础表!$A:$A,MATCH(T174,[1]物品基础表!$B:$B,0)),"")</f>
        <v/>
      </c>
      <c r="X174" s="1" t="str">
        <f>IFERROR(INDEX([1]物品基础表!$A:$A,MATCH(W174,[1]物品基础表!$B:$B,0)),"")</f>
        <v/>
      </c>
    </row>
    <row r="175" spans="1:24">
      <c r="A175" s="32" t="str">
        <f>INDEX([2]活动总表!$A$8:$A$429,MATCH(B175,[2]活动总表!$B$8:$B$429,0))</f>
        <v>立春-累充</v>
      </c>
      <c r="B175" s="32">
        <v>366</v>
      </c>
      <c r="C175" s="32">
        <v>8</v>
      </c>
      <c r="D175" s="32">
        <v>2</v>
      </c>
      <c r="E175" s="32">
        <v>3</v>
      </c>
      <c r="F175" s="32">
        <v>528888</v>
      </c>
      <c r="H175" s="32">
        <v>200927</v>
      </c>
      <c r="I175" s="1" t="str">
        <f>IFERROR(INDEX([1]物品基础表!$A:$A,MATCH(H175,[1]物品基础表!$B:$B,0)),"")</f>
        <v>神兵大招2三选一</v>
      </c>
      <c r="J175" s="32">
        <v>1</v>
      </c>
      <c r="K175" s="32">
        <v>200301</v>
      </c>
      <c r="L175" s="1" t="str">
        <f>IFERROR(INDEX([1]物品基础表!$A:$A,MATCH(K175,[1]物品基础表!$B:$B,0)),"")</f>
        <v>传世宝钻</v>
      </c>
      <c r="M175" s="32">
        <v>600</v>
      </c>
      <c r="N175" s="32">
        <v>200208</v>
      </c>
      <c r="O175" s="1" t="str">
        <f>IFERROR(INDEX([1]物品基础表!$A:$A,MATCH(N175,[1]物品基础表!$B:$B,0)),"")</f>
        <v>烈焰印记低级升级材料</v>
      </c>
      <c r="P175" s="32">
        <v>1200</v>
      </c>
      <c r="R175" s="1" t="str">
        <f>IFERROR(INDEX([1]物品基础表!$A:$A,MATCH(Q175,[1]物品基础表!$B:$B,0)),"")</f>
        <v/>
      </c>
      <c r="U175" s="1" t="str">
        <f>IFERROR(INDEX([1]物品基础表!$A:$A,MATCH(T175,[1]物品基础表!$B:$B,0)),"")</f>
        <v/>
      </c>
      <c r="X175" s="1" t="str">
        <f>IFERROR(INDEX([1]物品基础表!$A:$A,MATCH(W175,[1]物品基础表!$B:$B,0)),"")</f>
        <v/>
      </c>
    </row>
    <row r="176" spans="1:24">
      <c r="A176" s="32" t="str">
        <f>INDEX([2]活动总表!$A$8:$A$429,MATCH(B176,[2]活动总表!$B$8:$B$429,0))</f>
        <v>立春-累充</v>
      </c>
      <c r="B176" s="32">
        <v>366</v>
      </c>
      <c r="C176" s="32">
        <v>9</v>
      </c>
      <c r="D176" s="32">
        <v>2</v>
      </c>
      <c r="E176" s="32">
        <v>3</v>
      </c>
      <c r="F176" s="32">
        <v>1288888</v>
      </c>
      <c r="H176" s="32">
        <v>200928</v>
      </c>
      <c r="I176" s="1" t="str">
        <f>IFERROR(INDEX([1]物品基础表!$A:$A,MATCH(H176,[1]物品基础表!$B:$B,0)),"")</f>
        <v>神兵大招3三选一</v>
      </c>
      <c r="J176" s="32">
        <v>1</v>
      </c>
      <c r="K176" s="32">
        <v>200301</v>
      </c>
      <c r="L176" s="1" t="str">
        <f>IFERROR(INDEX([1]物品基础表!$A:$A,MATCH(K176,[1]物品基础表!$B:$B,0)),"")</f>
        <v>传世宝钻</v>
      </c>
      <c r="M176" s="32">
        <v>1000</v>
      </c>
      <c r="N176" s="32">
        <v>200208</v>
      </c>
      <c r="O176" s="1" t="str">
        <f>IFERROR(INDEX([1]物品基础表!$A:$A,MATCH(N176,[1]物品基础表!$B:$B,0)),"")</f>
        <v>烈焰印记低级升级材料</v>
      </c>
      <c r="P176" s="32">
        <v>1600</v>
      </c>
      <c r="R176" s="1" t="str">
        <f>IFERROR(INDEX([1]物品基础表!$A:$A,MATCH(Q176,[1]物品基础表!$B:$B,0)),"")</f>
        <v/>
      </c>
      <c r="U176" s="1" t="str">
        <f>IFERROR(INDEX([1]物品基础表!$A:$A,MATCH(T176,[1]物品基础表!$B:$B,0)),"")</f>
        <v/>
      </c>
      <c r="X176" s="1" t="str">
        <f>IFERROR(INDEX([1]物品基础表!$A:$A,MATCH(W176,[1]物品基础表!$B:$B,0)),"")</f>
        <v/>
      </c>
    </row>
    <row r="177" spans="1:24">
      <c r="A177" s="32" t="str">
        <f>INDEX([2]活动总表!$A$8:$A$429,MATCH(B177,[2]活动总表!$B$8:$B$429,0))</f>
        <v>谁与争锋-累充</v>
      </c>
      <c r="B177" s="32">
        <v>506</v>
      </c>
      <c r="C177" s="32">
        <v>1</v>
      </c>
      <c r="D177" s="32">
        <v>2</v>
      </c>
      <c r="E177" s="32">
        <v>5</v>
      </c>
      <c r="F177" s="32">
        <v>2800</v>
      </c>
      <c r="H177" s="32">
        <v>200925</v>
      </c>
      <c r="I177" s="1" t="str">
        <f>IFERROR(INDEX([1]物品基础表!$A:$A,MATCH(H177,[1]物品基础表!$B:$B,0)),"")</f>
        <v>红色战纹任选宝箱</v>
      </c>
      <c r="J177" s="32">
        <v>1</v>
      </c>
      <c r="K177" s="32">
        <v>200015</v>
      </c>
      <c r="L177" s="1" t="str">
        <f>IFERROR(INDEX([1]物品基础表!$A:$A,MATCH(K177,[1]物品基础表!$B:$B,0)),"")</f>
        <v>特戒碎片</v>
      </c>
      <c r="M177" s="32">
        <v>50</v>
      </c>
      <c r="N177" s="32">
        <v>500006</v>
      </c>
      <c r="O177" s="1" t="str">
        <f>IFERROR(INDEX([1]物品基础表!$A:$A,MATCH(N177,[1]物品基础表!$B:$B,0)),"")</f>
        <v>战纹精华-金</v>
      </c>
      <c r="P177" s="32">
        <v>1</v>
      </c>
      <c r="Q177" s="32">
        <v>1</v>
      </c>
      <c r="R177" s="1" t="s">
        <v>695</v>
      </c>
      <c r="S177" s="32">
        <v>1000000</v>
      </c>
      <c r="U177" s="1" t="str">
        <f>IFERROR(INDEX([1]物品基础表!$A:$A,MATCH(T177,[1]物品基础表!$B:$B,0)),"")</f>
        <v/>
      </c>
      <c r="X177" s="1" t="str">
        <f>IFERROR(INDEX([1]物品基础表!$A:$A,MATCH(W177,[1]物品基础表!$B:$B,0)),"")</f>
        <v/>
      </c>
    </row>
    <row r="178" spans="1:24">
      <c r="A178" s="32" t="str">
        <f>INDEX([2]活动总表!$A$8:$A$429,MATCH(B178,[2]活动总表!$B$8:$B$429,0))</f>
        <v>谁与争锋-累充</v>
      </c>
      <c r="B178" s="32">
        <v>506</v>
      </c>
      <c r="C178" s="32">
        <v>2</v>
      </c>
      <c r="D178" s="32">
        <v>2</v>
      </c>
      <c r="E178" s="32">
        <v>5</v>
      </c>
      <c r="F178" s="32">
        <v>6800</v>
      </c>
      <c r="H178" s="32">
        <v>204067</v>
      </c>
      <c r="I178" s="1" t="str">
        <f>IFERROR(INDEX([1]物品基础表!$A:$A,MATCH(H178,[1]物品基础表!$B:$B,0)),"")</f>
        <v>玉佩升级道具2</v>
      </c>
      <c r="J178" s="32">
        <v>1</v>
      </c>
      <c r="K178" s="32">
        <v>13</v>
      </c>
      <c r="L178" s="1" t="str">
        <f>IF(K178=2,"元宝","神兵经验")</f>
        <v>神兵经验</v>
      </c>
      <c r="M178" s="32">
        <v>1000000</v>
      </c>
      <c r="N178" s="32">
        <v>500006</v>
      </c>
      <c r="O178" s="1" t="str">
        <f>IFERROR(INDEX([1]物品基础表!$A:$A,MATCH(N178,[1]物品基础表!$B:$B,0)),"")</f>
        <v>战纹精华-金</v>
      </c>
      <c r="P178" s="32">
        <v>1</v>
      </c>
      <c r="Q178" s="32">
        <v>1</v>
      </c>
      <c r="R178" s="1" t="s">
        <v>695</v>
      </c>
      <c r="S178" s="32">
        <v>2000000</v>
      </c>
      <c r="U178" s="1" t="str">
        <f>IFERROR(INDEX([1]物品基础表!$A:$A,MATCH(T178,[1]物品基础表!$B:$B,0)),"")</f>
        <v/>
      </c>
      <c r="X178" s="1" t="str">
        <f>IFERROR(INDEX([1]物品基础表!$A:$A,MATCH(W178,[1]物品基础表!$B:$B,0)),"")</f>
        <v/>
      </c>
    </row>
    <row r="179" spans="1:24">
      <c r="A179" s="32" t="str">
        <f>INDEX([2]活动总表!$A$8:$A$429,MATCH(B179,[2]活动总表!$B$8:$B$429,0))</f>
        <v>谁与争锋-累充</v>
      </c>
      <c r="B179" s="32">
        <v>506</v>
      </c>
      <c r="C179" s="32">
        <v>3</v>
      </c>
      <c r="D179" s="32">
        <v>2</v>
      </c>
      <c r="E179" s="32">
        <v>5</v>
      </c>
      <c r="F179" s="32">
        <v>12800</v>
      </c>
      <c r="H179" s="32">
        <v>200003</v>
      </c>
      <c r="I179" s="1" t="str">
        <f>IFERROR(INDEX([1]物品基础表!$A:$A,MATCH(H179,[1]物品基础表!$B:$B,0)),"")</f>
        <v>铸造晶石</v>
      </c>
      <c r="J179" s="32">
        <v>300</v>
      </c>
      <c r="K179" s="32">
        <v>200015</v>
      </c>
      <c r="L179" s="1" t="str">
        <f>IFERROR(INDEX([1]物品基础表!$A:$A,MATCH(K179,[1]物品基础表!$B:$B,0)),"")</f>
        <v>特戒碎片</v>
      </c>
      <c r="M179" s="32">
        <v>100</v>
      </c>
      <c r="N179" s="32">
        <v>500006</v>
      </c>
      <c r="O179" s="1" t="str">
        <f>IFERROR(INDEX([1]物品基础表!$A:$A,MATCH(N179,[1]物品基础表!$B:$B,0)),"")</f>
        <v>战纹精华-金</v>
      </c>
      <c r="P179" s="32">
        <v>2</v>
      </c>
      <c r="Q179" s="32">
        <v>200005</v>
      </c>
      <c r="R179" s="1" t="str">
        <f>IFERROR(INDEX([1]物品基础表!$A:$A,MATCH(Q179,[1]物品基础表!$B:$B,0)),"")</f>
        <v>龙魂碎片</v>
      </c>
      <c r="S179" s="32">
        <v>10</v>
      </c>
      <c r="U179" s="1" t="str">
        <f>IFERROR(INDEX([1]物品基础表!$A:$A,MATCH(T179,[1]物品基础表!$B:$B,0)),"")</f>
        <v/>
      </c>
      <c r="X179" s="1" t="str">
        <f>IFERROR(INDEX([1]物品基础表!$A:$A,MATCH(W179,[1]物品基础表!$B:$B,0)),"")</f>
        <v/>
      </c>
    </row>
    <row r="180" spans="1:24">
      <c r="A180" s="32" t="str">
        <f>INDEX([2]活动总表!$A$8:$A$429,MATCH(B180,[2]活动总表!$B$8:$B$429,0))</f>
        <v>谁与争锋-累充</v>
      </c>
      <c r="B180" s="32">
        <v>506</v>
      </c>
      <c r="C180" s="32">
        <v>4</v>
      </c>
      <c r="D180" s="32">
        <v>2</v>
      </c>
      <c r="E180" s="32">
        <v>5</v>
      </c>
      <c r="F180" s="32">
        <v>36800</v>
      </c>
      <c r="H180" s="32">
        <v>200996</v>
      </c>
      <c r="I180" s="1" t="str">
        <f>IFERROR(INDEX([1]物品基础表!$A:$A,MATCH(H180,[1]物品基础表!$B:$B,0)),"")</f>
        <v>魅惑兵魂一套</v>
      </c>
      <c r="J180" s="32">
        <v>1</v>
      </c>
      <c r="K180" s="32">
        <v>204065</v>
      </c>
      <c r="L180" s="1" t="str">
        <f>IFERROR(INDEX([1]物品基础表!$A:$A,MATCH(K180,[1]物品基础表!$B:$B,0)),"")</f>
        <v>超级转生轮回礼包</v>
      </c>
      <c r="M180" s="32">
        <v>1</v>
      </c>
      <c r="N180" s="32">
        <v>500006</v>
      </c>
      <c r="O180" s="1" t="str">
        <f>IFERROR(INDEX([1]物品基础表!$A:$A,MATCH(N180,[1]物品基础表!$B:$B,0)),"")</f>
        <v>战纹精华-金</v>
      </c>
      <c r="P180" s="32">
        <v>2</v>
      </c>
      <c r="Q180" s="32">
        <v>200005</v>
      </c>
      <c r="R180" s="1" t="str">
        <f>IFERROR(INDEX([1]物品基础表!$A:$A,MATCH(Q180,[1]物品基础表!$B:$B,0)),"")</f>
        <v>龙魂碎片</v>
      </c>
      <c r="S180" s="32">
        <v>10</v>
      </c>
      <c r="U180" s="1" t="str">
        <f>IFERROR(INDEX([1]物品基础表!$A:$A,MATCH(T180,[1]物品基础表!$B:$B,0)),"")</f>
        <v/>
      </c>
      <c r="X180" s="1" t="str">
        <f>IFERROR(INDEX([1]物品基础表!$A:$A,MATCH(W180,[1]物品基础表!$B:$B,0)),"")</f>
        <v/>
      </c>
    </row>
    <row r="181" spans="1:24">
      <c r="A181" s="32" t="str">
        <f>INDEX([2]活动总表!$A$8:$A$429,MATCH(B181,[2]活动总表!$B$8:$B$429,0))</f>
        <v>谁与争锋-累充</v>
      </c>
      <c r="B181" s="32">
        <v>506</v>
      </c>
      <c r="C181" s="32">
        <v>5</v>
      </c>
      <c r="D181" s="32">
        <v>2</v>
      </c>
      <c r="E181" s="32">
        <v>5</v>
      </c>
      <c r="F181" s="32">
        <v>58800</v>
      </c>
      <c r="H181" s="32">
        <v>200326</v>
      </c>
      <c r="I181" s="1" t="str">
        <f>IFERROR(INDEX([1]物品基础表!$A:$A,MATCH(H181,[1]物品基础表!$B:$B,0)),"")</f>
        <v>兵魂之灵</v>
      </c>
      <c r="J181" s="32">
        <v>1</v>
      </c>
      <c r="K181" s="32">
        <v>200301</v>
      </c>
      <c r="L181" s="1" t="str">
        <f>IFERROR(INDEX([1]物品基础表!$A:$A,MATCH(K181,[1]物品基础表!$B:$B,0)),"")</f>
        <v>传世宝钻</v>
      </c>
      <c r="M181" s="32">
        <v>200</v>
      </c>
      <c r="N181" s="32">
        <v>500006</v>
      </c>
      <c r="O181" s="1" t="str">
        <f>IFERROR(INDEX([1]物品基础表!$A:$A,MATCH(N181,[1]物品基础表!$B:$B,0)),"")</f>
        <v>战纹精华-金</v>
      </c>
      <c r="P181" s="32">
        <v>4</v>
      </c>
      <c r="Q181" s="32">
        <v>200005</v>
      </c>
      <c r="R181" s="1" t="str">
        <f>IFERROR(INDEX([1]物品基础表!$A:$A,MATCH(Q181,[1]物品基础表!$B:$B,0)),"")</f>
        <v>龙魂碎片</v>
      </c>
      <c r="S181" s="32">
        <v>20</v>
      </c>
      <c r="U181" s="1" t="str">
        <f>IFERROR(INDEX([1]物品基础表!$A:$A,MATCH(T181,[1]物品基础表!$B:$B,0)),"")</f>
        <v/>
      </c>
      <c r="X181" s="1" t="str">
        <f>IFERROR(INDEX([1]物品基础表!$A:$A,MATCH(W181,[1]物品基础表!$B:$B,0)),"")</f>
        <v/>
      </c>
    </row>
    <row r="182" spans="1:24">
      <c r="A182" s="32" t="str">
        <f>INDEX([2]活动总表!$A$8:$A$429,MATCH(B182,[2]活动总表!$B$8:$B$429,0))</f>
        <v>谁与争锋-累充</v>
      </c>
      <c r="B182" s="32">
        <v>506</v>
      </c>
      <c r="C182" s="32">
        <v>6</v>
      </c>
      <c r="D182" s="32">
        <v>2</v>
      </c>
      <c r="E182" s="32">
        <v>5</v>
      </c>
      <c r="F182" s="32">
        <v>88800</v>
      </c>
      <c r="H182" s="32">
        <v>200319</v>
      </c>
      <c r="I182" s="1" t="str">
        <f>IFERROR(INDEX([1]物品基础表!$A:$A,MATCH(H182,[1]物品基础表!$B:$B,0)),"")</f>
        <v>高级合击符文</v>
      </c>
      <c r="J182" s="32">
        <v>30</v>
      </c>
      <c r="K182" s="32">
        <v>201007</v>
      </c>
      <c r="L182" s="1" t="str">
        <f>IFERROR(INDEX([1]物品基础表!$A:$A,MATCH(K182,[1]物品基础表!$B:$B,0)),"")</f>
        <v>红色图鉴包·美女如云</v>
      </c>
      <c r="M182" s="32">
        <v>1</v>
      </c>
      <c r="N182" s="32">
        <v>500006</v>
      </c>
      <c r="O182" s="1" t="str">
        <f>IFERROR(INDEX([1]物品基础表!$A:$A,MATCH(N182,[1]物品基础表!$B:$B,0)),"")</f>
        <v>战纹精华-金</v>
      </c>
      <c r="P182" s="32">
        <v>4</v>
      </c>
      <c r="Q182" s="32">
        <v>200005</v>
      </c>
      <c r="R182" s="1" t="str">
        <f>IFERROR(INDEX([1]物品基础表!$A:$A,MATCH(Q182,[1]物品基础表!$B:$B,0)),"")</f>
        <v>龙魂碎片</v>
      </c>
      <c r="S182" s="32">
        <v>20</v>
      </c>
      <c r="U182" s="1" t="str">
        <f>IFERROR(INDEX([1]物品基础表!$A:$A,MATCH(T182,[1]物品基础表!$B:$B,0)),"")</f>
        <v/>
      </c>
      <c r="X182" s="1" t="str">
        <f>IFERROR(INDEX([1]物品基础表!$A:$A,MATCH(W182,[1]物品基础表!$B:$B,0)),"")</f>
        <v/>
      </c>
    </row>
    <row r="183" spans="1:24">
      <c r="A183" s="32" t="str">
        <f>INDEX([2]活动总表!$A$8:$A$429,MATCH(B183,[2]活动总表!$B$8:$B$429,0))</f>
        <v>谁与争锋-累充</v>
      </c>
      <c r="B183" s="32">
        <v>514</v>
      </c>
      <c r="C183" s="32">
        <v>1</v>
      </c>
      <c r="D183" s="32">
        <v>2</v>
      </c>
      <c r="E183" s="32">
        <v>5</v>
      </c>
      <c r="F183" s="32">
        <v>2800</v>
      </c>
      <c r="H183" s="32">
        <v>200925</v>
      </c>
      <c r="I183" s="1" t="str">
        <f>IFERROR(INDEX([1]物品基础表!$A:$A,MATCH(H183,[1]物品基础表!$B:$B,0)),"")</f>
        <v>红色战纹任选宝箱</v>
      </c>
      <c r="J183" s="32">
        <v>1</v>
      </c>
      <c r="K183" s="32">
        <v>200015</v>
      </c>
      <c r="L183" s="1" t="str">
        <f>IFERROR(INDEX([1]物品基础表!$A:$A,MATCH(K183,[1]物品基础表!$B:$B,0)),"")</f>
        <v>特戒碎片</v>
      </c>
      <c r="M183" s="32">
        <v>50</v>
      </c>
      <c r="N183" s="32">
        <v>500006</v>
      </c>
      <c r="O183" s="1" t="str">
        <f>IFERROR(INDEX([1]物品基础表!$A:$A,MATCH(N183,[1]物品基础表!$B:$B,0)),"")</f>
        <v>战纹精华-金</v>
      </c>
      <c r="P183" s="32">
        <v>1</v>
      </c>
      <c r="Q183" s="32">
        <v>1</v>
      </c>
      <c r="R183" s="1" t="s">
        <v>695</v>
      </c>
      <c r="S183" s="32">
        <v>1000000</v>
      </c>
      <c r="U183" s="1" t="str">
        <f>IFERROR(INDEX([1]物品基础表!$A:$A,MATCH(T183,[1]物品基础表!$B:$B,0)),"")</f>
        <v/>
      </c>
      <c r="X183" s="1" t="str">
        <f>IFERROR(INDEX([1]物品基础表!$A:$A,MATCH(W183,[1]物品基础表!$B:$B,0)),"")</f>
        <v/>
      </c>
    </row>
    <row r="184" spans="1:24">
      <c r="A184" s="32" t="str">
        <f>INDEX([2]活动总表!$A$8:$A$429,MATCH(B184,[2]活动总表!$B$8:$B$429,0))</f>
        <v>谁与争锋-累充</v>
      </c>
      <c r="B184" s="32">
        <v>514</v>
      </c>
      <c r="C184" s="32">
        <v>2</v>
      </c>
      <c r="D184" s="32">
        <v>2</v>
      </c>
      <c r="E184" s="32">
        <v>5</v>
      </c>
      <c r="F184" s="32">
        <v>6800</v>
      </c>
      <c r="H184" s="32">
        <v>204067</v>
      </c>
      <c r="I184" s="1" t="str">
        <f>IFERROR(INDEX([1]物品基础表!$A:$A,MATCH(H184,[1]物品基础表!$B:$B,0)),"")</f>
        <v>玉佩升级道具2</v>
      </c>
      <c r="J184" s="32">
        <v>1</v>
      </c>
      <c r="K184" s="32">
        <v>13</v>
      </c>
      <c r="L184" s="1" t="str">
        <f>IF(K184=2,"元宝","神兵经验")</f>
        <v>神兵经验</v>
      </c>
      <c r="M184" s="32">
        <v>1000000</v>
      </c>
      <c r="N184" s="32">
        <v>500006</v>
      </c>
      <c r="O184" s="1" t="str">
        <f>IFERROR(INDEX([1]物品基础表!$A:$A,MATCH(N184,[1]物品基础表!$B:$B,0)),"")</f>
        <v>战纹精华-金</v>
      </c>
      <c r="P184" s="32">
        <v>1</v>
      </c>
      <c r="Q184" s="32">
        <v>1</v>
      </c>
      <c r="R184" s="1" t="s">
        <v>695</v>
      </c>
      <c r="S184" s="32">
        <v>2000000</v>
      </c>
      <c r="U184" s="1" t="str">
        <f>IFERROR(INDEX([1]物品基础表!$A:$A,MATCH(T184,[1]物品基础表!$B:$B,0)),"")</f>
        <v/>
      </c>
      <c r="X184" s="1" t="str">
        <f>IFERROR(INDEX([1]物品基础表!$A:$A,MATCH(W184,[1]物品基础表!$B:$B,0)),"")</f>
        <v/>
      </c>
    </row>
    <row r="185" spans="1:24">
      <c r="A185" s="32" t="str">
        <f>INDEX([2]活动总表!$A$8:$A$429,MATCH(B185,[2]活动总表!$B$8:$B$429,0))</f>
        <v>谁与争锋-累充</v>
      </c>
      <c r="B185" s="32">
        <v>514</v>
      </c>
      <c r="C185" s="32">
        <v>3</v>
      </c>
      <c r="D185" s="32">
        <v>2</v>
      </c>
      <c r="E185" s="32">
        <v>5</v>
      </c>
      <c r="F185" s="32">
        <v>12800</v>
      </c>
      <c r="H185" s="32">
        <v>200003</v>
      </c>
      <c r="I185" s="1" t="str">
        <f>IFERROR(INDEX([1]物品基础表!$A:$A,MATCH(H185,[1]物品基础表!$B:$B,0)),"")</f>
        <v>铸造晶石</v>
      </c>
      <c r="J185" s="32">
        <v>300</v>
      </c>
      <c r="K185" s="32">
        <v>200015</v>
      </c>
      <c r="L185" s="1" t="str">
        <f>IFERROR(INDEX([1]物品基础表!$A:$A,MATCH(K185,[1]物品基础表!$B:$B,0)),"")</f>
        <v>特戒碎片</v>
      </c>
      <c r="M185" s="32">
        <v>100</v>
      </c>
      <c r="N185" s="32">
        <v>500006</v>
      </c>
      <c r="O185" s="1" t="str">
        <f>IFERROR(INDEX([1]物品基础表!$A:$A,MATCH(N185,[1]物品基础表!$B:$B,0)),"")</f>
        <v>战纹精华-金</v>
      </c>
      <c r="P185" s="32">
        <v>2</v>
      </c>
      <c r="Q185" s="32">
        <v>200005</v>
      </c>
      <c r="R185" s="1" t="str">
        <f>IFERROR(INDEX([1]物品基础表!$A:$A,MATCH(Q185,[1]物品基础表!$B:$B,0)),"")</f>
        <v>龙魂碎片</v>
      </c>
      <c r="S185" s="32">
        <v>10</v>
      </c>
      <c r="U185" s="1" t="str">
        <f>IFERROR(INDEX([1]物品基础表!$A:$A,MATCH(T185,[1]物品基础表!$B:$B,0)),"")</f>
        <v/>
      </c>
      <c r="X185" s="1" t="str">
        <f>IFERROR(INDEX([1]物品基础表!$A:$A,MATCH(W185,[1]物品基础表!$B:$B,0)),"")</f>
        <v/>
      </c>
    </row>
    <row r="186" spans="1:24">
      <c r="A186" s="32" t="str">
        <f>INDEX([2]活动总表!$A$8:$A$429,MATCH(B186,[2]活动总表!$B$8:$B$429,0))</f>
        <v>谁与争锋-累充</v>
      </c>
      <c r="B186" s="32">
        <v>514</v>
      </c>
      <c r="C186" s="32">
        <v>4</v>
      </c>
      <c r="D186" s="32">
        <v>2</v>
      </c>
      <c r="E186" s="32">
        <v>5</v>
      </c>
      <c r="F186" s="32">
        <v>36800</v>
      </c>
      <c r="H186" s="32">
        <v>200996</v>
      </c>
      <c r="I186" s="1" t="str">
        <f>IFERROR(INDEX([1]物品基础表!$A:$A,MATCH(H186,[1]物品基础表!$B:$B,0)),"")</f>
        <v>魅惑兵魂一套</v>
      </c>
      <c r="J186" s="32">
        <v>1</v>
      </c>
      <c r="K186" s="32">
        <v>204065</v>
      </c>
      <c r="L186" s="1" t="str">
        <f>IFERROR(INDEX([1]物品基础表!$A:$A,MATCH(K186,[1]物品基础表!$B:$B,0)),"")</f>
        <v>超级转生轮回礼包</v>
      </c>
      <c r="M186" s="32">
        <v>1</v>
      </c>
      <c r="N186" s="32">
        <v>500006</v>
      </c>
      <c r="O186" s="1" t="str">
        <f>IFERROR(INDEX([1]物品基础表!$A:$A,MATCH(N186,[1]物品基础表!$B:$B,0)),"")</f>
        <v>战纹精华-金</v>
      </c>
      <c r="P186" s="32">
        <v>2</v>
      </c>
      <c r="Q186" s="32">
        <v>200005</v>
      </c>
      <c r="R186" s="1" t="str">
        <f>IFERROR(INDEX([1]物品基础表!$A:$A,MATCH(Q186,[1]物品基础表!$B:$B,0)),"")</f>
        <v>龙魂碎片</v>
      </c>
      <c r="S186" s="32">
        <v>10</v>
      </c>
      <c r="U186" s="1" t="str">
        <f>IFERROR(INDEX([1]物品基础表!$A:$A,MATCH(T186,[1]物品基础表!$B:$B,0)),"")</f>
        <v/>
      </c>
      <c r="X186" s="1" t="str">
        <f>IFERROR(INDEX([1]物品基础表!$A:$A,MATCH(W186,[1]物品基础表!$B:$B,0)),"")</f>
        <v/>
      </c>
    </row>
    <row r="187" spans="1:24">
      <c r="A187" s="32" t="str">
        <f>INDEX([2]活动总表!$A$8:$A$429,MATCH(B187,[2]活动总表!$B$8:$B$429,0))</f>
        <v>谁与争锋-累充</v>
      </c>
      <c r="B187" s="32">
        <v>514</v>
      </c>
      <c r="C187" s="32">
        <v>5</v>
      </c>
      <c r="D187" s="32">
        <v>2</v>
      </c>
      <c r="E187" s="32">
        <v>5</v>
      </c>
      <c r="F187" s="32">
        <v>58800</v>
      </c>
      <c r="H187" s="32">
        <v>200326</v>
      </c>
      <c r="I187" s="1" t="str">
        <f>IFERROR(INDEX([1]物品基础表!$A:$A,MATCH(H187,[1]物品基础表!$B:$B,0)),"")</f>
        <v>兵魂之灵</v>
      </c>
      <c r="J187" s="32">
        <v>1</v>
      </c>
      <c r="K187" s="32">
        <v>200301</v>
      </c>
      <c r="L187" s="1" t="str">
        <f>IFERROR(INDEX([1]物品基础表!$A:$A,MATCH(K187,[1]物品基础表!$B:$B,0)),"")</f>
        <v>传世宝钻</v>
      </c>
      <c r="M187" s="32">
        <v>200</v>
      </c>
      <c r="N187" s="32">
        <v>500006</v>
      </c>
      <c r="O187" s="1" t="str">
        <f>IFERROR(INDEX([1]物品基础表!$A:$A,MATCH(N187,[1]物品基础表!$B:$B,0)),"")</f>
        <v>战纹精华-金</v>
      </c>
      <c r="P187" s="32">
        <v>4</v>
      </c>
      <c r="Q187" s="32">
        <v>200005</v>
      </c>
      <c r="R187" s="1" t="str">
        <f>IFERROR(INDEX([1]物品基础表!$A:$A,MATCH(Q187,[1]物品基础表!$B:$B,0)),"")</f>
        <v>龙魂碎片</v>
      </c>
      <c r="S187" s="32">
        <v>20</v>
      </c>
      <c r="U187" s="1" t="str">
        <f>IFERROR(INDEX([1]物品基础表!$A:$A,MATCH(T187,[1]物品基础表!$B:$B,0)),"")</f>
        <v/>
      </c>
      <c r="X187" s="1" t="str">
        <f>IFERROR(INDEX([1]物品基础表!$A:$A,MATCH(W187,[1]物品基础表!$B:$B,0)),"")</f>
        <v/>
      </c>
    </row>
    <row r="188" spans="1:24">
      <c r="A188" s="32" t="str">
        <f>INDEX([2]活动总表!$A$8:$A$429,MATCH(B188,[2]活动总表!$B$8:$B$429,0))</f>
        <v>谁与争锋-累充</v>
      </c>
      <c r="B188" s="32">
        <v>514</v>
      </c>
      <c r="C188" s="32">
        <v>6</v>
      </c>
      <c r="D188" s="32">
        <v>2</v>
      </c>
      <c r="E188" s="32">
        <v>5</v>
      </c>
      <c r="F188" s="32">
        <v>88800</v>
      </c>
      <c r="H188" s="32">
        <v>200319</v>
      </c>
      <c r="I188" s="1" t="str">
        <f>IFERROR(INDEX([1]物品基础表!$A:$A,MATCH(H188,[1]物品基础表!$B:$B,0)),"")</f>
        <v>高级合击符文</v>
      </c>
      <c r="J188" s="32">
        <v>30</v>
      </c>
      <c r="K188" s="32">
        <v>201007</v>
      </c>
      <c r="L188" s="1" t="str">
        <f>IFERROR(INDEX([1]物品基础表!$A:$A,MATCH(K188,[1]物品基础表!$B:$B,0)),"")</f>
        <v>红色图鉴包·美女如云</v>
      </c>
      <c r="M188" s="32">
        <v>1</v>
      </c>
      <c r="N188" s="32">
        <v>500006</v>
      </c>
      <c r="O188" s="1" t="str">
        <f>IFERROR(INDEX([1]物品基础表!$A:$A,MATCH(N188,[1]物品基础表!$B:$B,0)),"")</f>
        <v>战纹精华-金</v>
      </c>
      <c r="P188" s="32">
        <v>4</v>
      </c>
      <c r="Q188" s="32">
        <v>200005</v>
      </c>
      <c r="R188" s="1" t="str">
        <f>IFERROR(INDEX([1]物品基础表!$A:$A,MATCH(Q188,[1]物品基础表!$B:$B,0)),"")</f>
        <v>龙魂碎片</v>
      </c>
      <c r="S188" s="32">
        <v>20</v>
      </c>
      <c r="U188" s="1" t="str">
        <f>IFERROR(INDEX([1]物品基础表!$A:$A,MATCH(T188,[1]物品基础表!$B:$B,0)),"")</f>
        <v/>
      </c>
      <c r="X188" s="1" t="str">
        <f>IFERROR(INDEX([1]物品基础表!$A:$A,MATCH(W188,[1]物品基础表!$B:$B,0)),"")</f>
        <v/>
      </c>
    </row>
    <row r="189" spans="1:24">
      <c r="A189" s="32" t="str">
        <f>INDEX([2]活动总表!$A$8:$A$429,MATCH(B189,[2]活动总表!$B$8:$B$429,0))</f>
        <v>春节-累充</v>
      </c>
      <c r="B189" s="32">
        <v>564</v>
      </c>
      <c r="C189" s="32">
        <v>1</v>
      </c>
      <c r="D189" s="32">
        <v>2</v>
      </c>
      <c r="E189" s="32">
        <v>8</v>
      </c>
      <c r="F189" s="32">
        <v>2888</v>
      </c>
      <c r="H189" s="32">
        <v>2</v>
      </c>
      <c r="I189" s="1" t="str">
        <f t="shared" ref="I189:I190" si="11">IF(H189=2,"元宝","神兵经验")</f>
        <v>元宝</v>
      </c>
      <c r="J189" s="32">
        <v>2888</v>
      </c>
      <c r="K189" s="32">
        <v>204064</v>
      </c>
      <c r="L189" s="1" t="str">
        <f>IFERROR(INDEX([1]物品基础表!$A:$A,MATCH(K189,[1]物品基础表!$B:$B,0)),"")</f>
        <v>高级转生轮回礼包</v>
      </c>
      <c r="M189" s="32">
        <v>5</v>
      </c>
      <c r="N189" s="32">
        <v>200015</v>
      </c>
      <c r="O189" s="1" t="str">
        <f>IFERROR(INDEX([1]物品基础表!$A:$A,MATCH(N189,[1]物品基础表!$B:$B,0)),"")</f>
        <v>特戒碎片</v>
      </c>
      <c r="P189" s="32">
        <v>200</v>
      </c>
      <c r="R189" s="1" t="str">
        <f>IFERROR(INDEX([1]物品基础表!$A:$A,MATCH(Q189,[1]物品基础表!$B:$B,0)),"")</f>
        <v/>
      </c>
      <c r="U189" s="1" t="str">
        <f>IFERROR(INDEX([1]物品基础表!$A:$A,MATCH(T189,[1]物品基础表!$B:$B,0)),"")</f>
        <v/>
      </c>
      <c r="X189" s="1" t="str">
        <f>IFERROR(INDEX([1]物品基础表!$A:$A,MATCH(W189,[1]物品基础表!$B:$B,0)),"")</f>
        <v/>
      </c>
    </row>
    <row r="190" spans="1:24">
      <c r="A190" s="32" t="str">
        <f>INDEX([2]活动总表!$A$8:$A$429,MATCH(B190,[2]活动总表!$B$8:$B$429,0))</f>
        <v>春节-累充</v>
      </c>
      <c r="B190" s="32">
        <v>564</v>
      </c>
      <c r="C190" s="32">
        <v>2</v>
      </c>
      <c r="D190" s="32">
        <v>2</v>
      </c>
      <c r="E190" s="32">
        <v>8</v>
      </c>
      <c r="F190" s="32">
        <v>5888</v>
      </c>
      <c r="H190" s="32">
        <v>2</v>
      </c>
      <c r="I190" s="1" t="str">
        <f t="shared" si="11"/>
        <v>元宝</v>
      </c>
      <c r="J190" s="32">
        <v>2888</v>
      </c>
      <c r="K190" s="32">
        <v>204065</v>
      </c>
      <c r="L190" s="1" t="str">
        <f>IFERROR(INDEX([1]物品基础表!$A:$A,MATCH(K190,[1]物品基础表!$B:$B,0)),"")</f>
        <v>超级转生轮回礼包</v>
      </c>
      <c r="M190" s="32">
        <v>1</v>
      </c>
      <c r="N190" s="32">
        <v>200015</v>
      </c>
      <c r="O190" s="1" t="str">
        <f>IFERROR(INDEX([1]物品基础表!$A:$A,MATCH(N190,[1]物品基础表!$B:$B,0)),"")</f>
        <v>特戒碎片</v>
      </c>
      <c r="P190" s="32">
        <v>200</v>
      </c>
      <c r="R190" s="1" t="str">
        <f>IFERROR(INDEX([1]物品基础表!$A:$A,MATCH(Q190,[1]物品基础表!$B:$B,0)),"")</f>
        <v/>
      </c>
      <c r="U190" s="1" t="str">
        <f>IFERROR(INDEX([1]物品基础表!$A:$A,MATCH(T190,[1]物品基础表!$B:$B,0)),"")</f>
        <v/>
      </c>
      <c r="X190" s="1" t="str">
        <f>IFERROR(INDEX([1]物品基础表!$A:$A,MATCH(W190,[1]物品基础表!$B:$B,0)),"")</f>
        <v/>
      </c>
    </row>
    <row r="191" spans="1:24">
      <c r="A191" s="32" t="str">
        <f>INDEX([2]活动总表!$A$8:$A$429,MATCH(B191,[2]活动总表!$B$8:$B$429,0))</f>
        <v>春节-累充</v>
      </c>
      <c r="B191" s="32">
        <v>564</v>
      </c>
      <c r="C191" s="32">
        <v>3</v>
      </c>
      <c r="D191" s="32">
        <v>2</v>
      </c>
      <c r="E191" s="32">
        <v>8</v>
      </c>
      <c r="F191" s="32">
        <v>10888</v>
      </c>
      <c r="H191" s="32">
        <v>200951</v>
      </c>
      <c r="I191" s="1" t="str">
        <f>IFERROR(INDEX([1]物品基础表!$A:$A,MATCH(H191,[1]物品基础表!$B:$B,0)),"")</f>
        <v>金色战纹任选宝箱</v>
      </c>
      <c r="J191" s="32">
        <v>1</v>
      </c>
      <c r="K191" s="32">
        <v>200301</v>
      </c>
      <c r="L191" s="1" t="str">
        <f>IFERROR(INDEX([1]物品基础表!$A:$A,MATCH(K191,[1]物品基础表!$B:$B,0)),"")</f>
        <v>传世宝钻</v>
      </c>
      <c r="M191" s="32">
        <v>100</v>
      </c>
      <c r="N191" s="32">
        <v>200015</v>
      </c>
      <c r="O191" s="1" t="str">
        <f>IFERROR(INDEX([1]物品基础表!$A:$A,MATCH(N191,[1]物品基础表!$B:$B,0)),"")</f>
        <v>特戒碎片</v>
      </c>
      <c r="P191" s="32">
        <v>300</v>
      </c>
      <c r="R191" s="1" t="str">
        <f>IFERROR(INDEX([1]物品基础表!$A:$A,MATCH(Q191,[1]物品基础表!$B:$B,0)),"")</f>
        <v/>
      </c>
      <c r="U191" s="1" t="str">
        <f>IFERROR(INDEX([1]物品基础表!$A:$A,MATCH(T191,[1]物品基础表!$B:$B,0)),"")</f>
        <v/>
      </c>
      <c r="X191" s="1" t="str">
        <f>IFERROR(INDEX([1]物品基础表!$A:$A,MATCH(W191,[1]物品基础表!$B:$B,0)),"")</f>
        <v/>
      </c>
    </row>
    <row r="192" spans="1:24">
      <c r="A192" s="32" t="str">
        <f>INDEX([2]活动总表!$A$8:$A$429,MATCH(B192,[2]活动总表!$B$8:$B$429,0))</f>
        <v>春节-累充</v>
      </c>
      <c r="B192" s="32">
        <v>564</v>
      </c>
      <c r="C192" s="32">
        <v>4</v>
      </c>
      <c r="D192" s="32">
        <v>2</v>
      </c>
      <c r="E192" s="32">
        <v>8</v>
      </c>
      <c r="F192" s="32">
        <v>21888</v>
      </c>
      <c r="H192" s="32">
        <v>200997</v>
      </c>
      <c r="I192" s="1" t="str">
        <f>IFERROR(INDEX([1]物品基础表!$A:$A,MATCH(H192,[1]物品基础表!$B:$B,0)),"")</f>
        <v>星☆传世宝箱</v>
      </c>
      <c r="J192" s="32">
        <v>1</v>
      </c>
      <c r="K192" s="32">
        <v>204071</v>
      </c>
      <c r="L192" s="1" t="str">
        <f>IFERROR(INDEX([1]物品基础表!$A:$A,MATCH(K192,[1]物品基础表!$B:$B,0)),"")</f>
        <v>玉佩温养道具3</v>
      </c>
      <c r="M192" s="32">
        <v>1</v>
      </c>
      <c r="N192" s="32">
        <v>200015</v>
      </c>
      <c r="O192" s="1" t="str">
        <f>IFERROR(INDEX([1]物品基础表!$A:$A,MATCH(N192,[1]物品基础表!$B:$B,0)),"")</f>
        <v>特戒碎片</v>
      </c>
      <c r="P192" s="32">
        <v>400</v>
      </c>
      <c r="R192" s="1" t="str">
        <f>IFERROR(INDEX([1]物品基础表!$A:$A,MATCH(Q192,[1]物品基础表!$B:$B,0)),"")</f>
        <v/>
      </c>
      <c r="U192" s="1" t="str">
        <f>IFERROR(INDEX([1]物品基础表!$A:$A,MATCH(T192,[1]物品基础表!$B:$B,0)),"")</f>
        <v/>
      </c>
      <c r="X192" s="1" t="str">
        <f>IFERROR(INDEX([1]物品基础表!$A:$A,MATCH(W192,[1]物品基础表!$B:$B,0)),"")</f>
        <v/>
      </c>
    </row>
    <row r="193" spans="1:24">
      <c r="A193" s="32" t="str">
        <f>INDEX([2]活动总表!$A$8:$A$429,MATCH(B193,[2]活动总表!$B$8:$B$429,0))</f>
        <v>春节-累充</v>
      </c>
      <c r="B193" s="32">
        <v>564</v>
      </c>
      <c r="C193" s="32">
        <v>5</v>
      </c>
      <c r="D193" s="32">
        <v>2</v>
      </c>
      <c r="E193" s="32">
        <v>8</v>
      </c>
      <c r="F193" s="32">
        <v>52888</v>
      </c>
      <c r="H193" s="32">
        <v>200973</v>
      </c>
      <c r="I193" s="1" t="str">
        <f>IFERROR(INDEX([1]物品基础表!$A:$A,MATCH(H193,[1]物品基础表!$B:$B,0)),"")</f>
        <v>极品橙色兽神装备任选宝箱</v>
      </c>
      <c r="J193" s="32">
        <v>1</v>
      </c>
      <c r="K193" s="32">
        <v>200326</v>
      </c>
      <c r="L193" s="1" t="str">
        <f>IFERROR(INDEX([1]物品基础表!$A:$A,MATCH(K193,[1]物品基础表!$B:$B,0)),"")</f>
        <v>兵魂之灵</v>
      </c>
      <c r="M193" s="32">
        <v>1</v>
      </c>
      <c r="N193" s="32">
        <v>200015</v>
      </c>
      <c r="O193" s="1" t="str">
        <f>IFERROR(INDEX([1]物品基础表!$A:$A,MATCH(N193,[1]物品基础表!$B:$B,0)),"")</f>
        <v>特戒碎片</v>
      </c>
      <c r="P193" s="32">
        <v>500</v>
      </c>
      <c r="R193" s="1" t="str">
        <f>IFERROR(INDEX([1]物品基础表!$A:$A,MATCH(Q193,[1]物品基础表!$B:$B,0)),"")</f>
        <v/>
      </c>
      <c r="U193" s="1" t="str">
        <f>IFERROR(INDEX([1]物品基础表!$A:$A,MATCH(T193,[1]物品基础表!$B:$B,0)),"")</f>
        <v/>
      </c>
      <c r="X193" s="1" t="str">
        <f>IFERROR(INDEX([1]物品基础表!$A:$A,MATCH(W193,[1]物品基础表!$B:$B,0)),"")</f>
        <v/>
      </c>
    </row>
    <row r="194" spans="1:24">
      <c r="A194" s="32" t="str">
        <f>INDEX([2]活动总表!$A$8:$A$429,MATCH(B194,[2]活动总表!$B$8:$B$429,0))</f>
        <v>春节-累充</v>
      </c>
      <c r="B194" s="32">
        <v>564</v>
      </c>
      <c r="C194" s="32">
        <v>6</v>
      </c>
      <c r="D194" s="32">
        <v>2</v>
      </c>
      <c r="E194" s="32">
        <v>8</v>
      </c>
      <c r="F194" s="32">
        <v>128888</v>
      </c>
      <c r="H194" s="32">
        <v>204029</v>
      </c>
      <c r="I194" s="1" t="str">
        <f>IFERROR(INDEX([1]物品基础表!$A:$A,MATCH(H194,[1]物品基础表!$B:$B,0)),"")</f>
        <v>魔魂礼包</v>
      </c>
      <c r="J194" s="32">
        <v>1</v>
      </c>
      <c r="K194" s="32">
        <v>200301</v>
      </c>
      <c r="L194" s="1" t="str">
        <f>IFERROR(INDEX([1]物品基础表!$A:$A,MATCH(K194,[1]物品基础表!$B:$B,0)),"")</f>
        <v>传世宝钻</v>
      </c>
      <c r="M194" s="32">
        <v>300</v>
      </c>
      <c r="N194" s="32">
        <v>200208</v>
      </c>
      <c r="O194" s="1" t="str">
        <f>IFERROR(INDEX([1]物品基础表!$A:$A,MATCH(N194,[1]物品基础表!$B:$B,0)),"")</f>
        <v>烈焰印记低级升级材料</v>
      </c>
      <c r="P194" s="32">
        <v>500</v>
      </c>
      <c r="R194" s="1" t="str">
        <f>IFERROR(INDEX([1]物品基础表!$A:$A,MATCH(Q194,[1]物品基础表!$B:$B,0)),"")</f>
        <v/>
      </c>
      <c r="U194" s="1" t="str">
        <f>IFERROR(INDEX([1]物品基础表!$A:$A,MATCH(T194,[1]物品基础表!$B:$B,0)),"")</f>
        <v/>
      </c>
      <c r="X194" s="1" t="str">
        <f>IFERROR(INDEX([1]物品基础表!$A:$A,MATCH(W194,[1]物品基础表!$B:$B,0)),"")</f>
        <v/>
      </c>
    </row>
    <row r="195" spans="1:24">
      <c r="A195" s="32" t="str">
        <f>INDEX([2]活动总表!$A$8:$A$429,MATCH(B195,[2]活动总表!$B$8:$B$429,0))</f>
        <v>春节-累充</v>
      </c>
      <c r="B195" s="32">
        <v>564</v>
      </c>
      <c r="C195" s="32">
        <v>7</v>
      </c>
      <c r="D195" s="32">
        <v>2</v>
      </c>
      <c r="E195" s="32">
        <v>8</v>
      </c>
      <c r="F195" s="32">
        <v>218888</v>
      </c>
      <c r="H195" s="32">
        <v>204105</v>
      </c>
      <c r="I195" s="1" t="str">
        <f>IFERROR(INDEX([1]物品基础表!$A:$A,MATCH(H195,[1]物品基础表!$B:$B,0)),"")</f>
        <v>至尊至宝</v>
      </c>
      <c r="J195" s="32">
        <v>1</v>
      </c>
      <c r="K195" s="32">
        <v>200951</v>
      </c>
      <c r="L195" s="1" t="str">
        <f>IFERROR(INDEX([1]物品基础表!$A:$A,MATCH(K195,[1]物品基础表!$B:$B,0)),"")</f>
        <v>金色战纹任选宝箱</v>
      </c>
      <c r="M195" s="32">
        <v>1</v>
      </c>
      <c r="N195" s="32">
        <v>200208</v>
      </c>
      <c r="O195" s="1" t="str">
        <f>IFERROR(INDEX([1]物品基础表!$A:$A,MATCH(N195,[1]物品基础表!$B:$B,0)),"")</f>
        <v>烈焰印记低级升级材料</v>
      </c>
      <c r="P195" s="32">
        <v>800</v>
      </c>
      <c r="R195" s="1" t="str">
        <f>IFERROR(INDEX([1]物品基础表!$A:$A,MATCH(Q195,[1]物品基础表!$B:$B,0)),"")</f>
        <v/>
      </c>
      <c r="U195" s="1" t="str">
        <f>IFERROR(INDEX([1]物品基础表!$A:$A,MATCH(T195,[1]物品基础表!$B:$B,0)),"")</f>
        <v/>
      </c>
      <c r="X195" s="1" t="str">
        <f>IFERROR(INDEX([1]物品基础表!$A:$A,MATCH(W195,[1]物品基础表!$B:$B,0)),"")</f>
        <v/>
      </c>
    </row>
    <row r="196" spans="1:24">
      <c r="A196" s="32" t="str">
        <f>INDEX([2]活动总表!$A$8:$A$429,MATCH(B196,[2]活动总表!$B$8:$B$429,0))</f>
        <v>春节-累充</v>
      </c>
      <c r="B196" s="32">
        <v>564</v>
      </c>
      <c r="C196" s="32">
        <v>8</v>
      </c>
      <c r="D196" s="32">
        <v>2</v>
      </c>
      <c r="E196" s="32">
        <v>8</v>
      </c>
      <c r="F196" s="32">
        <v>528888</v>
      </c>
      <c r="H196" s="32">
        <v>200927</v>
      </c>
      <c r="I196" s="1" t="str">
        <f>IFERROR(INDEX([1]物品基础表!$A:$A,MATCH(H196,[1]物品基础表!$B:$B,0)),"")</f>
        <v>神兵大招2三选一</v>
      </c>
      <c r="J196" s="32">
        <v>1</v>
      </c>
      <c r="K196" s="32">
        <v>200301</v>
      </c>
      <c r="L196" s="1" t="str">
        <f>IFERROR(INDEX([1]物品基础表!$A:$A,MATCH(K196,[1]物品基础表!$B:$B,0)),"")</f>
        <v>传世宝钻</v>
      </c>
      <c r="M196" s="32">
        <v>600</v>
      </c>
      <c r="N196" s="32">
        <v>200208</v>
      </c>
      <c r="O196" s="1" t="str">
        <f>IFERROR(INDEX([1]物品基础表!$A:$A,MATCH(N196,[1]物品基础表!$B:$B,0)),"")</f>
        <v>烈焰印记低级升级材料</v>
      </c>
      <c r="P196" s="32">
        <v>1200</v>
      </c>
      <c r="R196" s="1" t="str">
        <f>IFERROR(INDEX([1]物品基础表!$A:$A,MATCH(Q196,[1]物品基础表!$B:$B,0)),"")</f>
        <v/>
      </c>
      <c r="U196" s="1" t="str">
        <f>IFERROR(INDEX([1]物品基础表!$A:$A,MATCH(T196,[1]物品基础表!$B:$B,0)),"")</f>
        <v/>
      </c>
      <c r="X196" s="1" t="str">
        <f>IFERROR(INDEX([1]物品基础表!$A:$A,MATCH(W196,[1]物品基础表!$B:$B,0)),"")</f>
        <v/>
      </c>
    </row>
    <row r="197" spans="1:24">
      <c r="A197" s="32" t="str">
        <f>INDEX([2]活动总表!$A$8:$A$429,MATCH(B197,[2]活动总表!$B$8:$B$429,0))</f>
        <v>春节-累充</v>
      </c>
      <c r="B197" s="32">
        <v>564</v>
      </c>
      <c r="C197" s="32">
        <v>9</v>
      </c>
      <c r="D197" s="32">
        <v>2</v>
      </c>
      <c r="E197" s="32">
        <v>8</v>
      </c>
      <c r="F197" s="32">
        <v>1288888</v>
      </c>
      <c r="H197" s="32">
        <v>200928</v>
      </c>
      <c r="I197" s="1" t="str">
        <f>IFERROR(INDEX([1]物品基础表!$A:$A,MATCH(H197,[1]物品基础表!$B:$B,0)),"")</f>
        <v>神兵大招3三选一</v>
      </c>
      <c r="J197" s="32">
        <v>1</v>
      </c>
      <c r="K197" s="32">
        <v>200301</v>
      </c>
      <c r="L197" s="1" t="str">
        <f>IFERROR(INDEX([1]物品基础表!$A:$A,MATCH(K197,[1]物品基础表!$B:$B,0)),"")</f>
        <v>传世宝钻</v>
      </c>
      <c r="M197" s="32">
        <v>1000</v>
      </c>
      <c r="N197" s="32">
        <v>200208</v>
      </c>
      <c r="O197" s="1" t="str">
        <f>IFERROR(INDEX([1]物品基础表!$A:$A,MATCH(N197,[1]物品基础表!$B:$B,0)),"")</f>
        <v>烈焰印记低级升级材料</v>
      </c>
      <c r="P197" s="32">
        <v>1600</v>
      </c>
      <c r="R197" s="1" t="str">
        <f>IFERROR(INDEX([1]物品基础表!$A:$A,MATCH(Q197,[1]物品基础表!$B:$B,0)),"")</f>
        <v/>
      </c>
      <c r="U197" s="1" t="str">
        <f>IFERROR(INDEX([1]物品基础表!$A:$A,MATCH(T197,[1]物品基础表!$B:$B,0)),"")</f>
        <v/>
      </c>
      <c r="X197" s="1" t="str">
        <f>IFERROR(INDEX([1]物品基础表!$A:$A,MATCH(W197,[1]物品基础表!$B:$B,0)),"")</f>
        <v/>
      </c>
    </row>
    <row r="198" spans="1:24">
      <c r="A198" s="32" t="str">
        <f>INDEX([2]活动总表!$A$8:$A$429,MATCH(B198,[2]活动总表!$B$8:$B$429,0))</f>
        <v>春节-累充</v>
      </c>
      <c r="B198" s="32">
        <v>564</v>
      </c>
      <c r="C198" s="32">
        <v>10</v>
      </c>
      <c r="D198" s="32">
        <v>2</v>
      </c>
      <c r="E198" s="32">
        <v>8</v>
      </c>
      <c r="F198" s="32">
        <v>2088888</v>
      </c>
      <c r="H198" s="32">
        <v>204106</v>
      </c>
      <c r="I198" s="1" t="str">
        <f>IFERROR(INDEX([1]物品基础表!$A:$A,MATCH(H198,[1]物品基础表!$B:$B,0)),"")</f>
        <v>极品至尊至宝</v>
      </c>
      <c r="J198" s="32">
        <v>1</v>
      </c>
      <c r="K198" s="32">
        <v>200301</v>
      </c>
      <c r="L198" s="1" t="str">
        <f>IFERROR(INDEX([1]物品基础表!$A:$A,MATCH(K198,[1]物品基础表!$B:$B,0)),"")</f>
        <v>传世宝钻</v>
      </c>
      <c r="M198" s="32">
        <v>1200</v>
      </c>
      <c r="N198" s="32">
        <v>200208</v>
      </c>
      <c r="O198" s="1" t="str">
        <f>IFERROR(INDEX([1]物品基础表!$A:$A,MATCH(N198,[1]物品基础表!$B:$B,0)),"")</f>
        <v>烈焰印记低级升级材料</v>
      </c>
      <c r="P198" s="32">
        <v>2000</v>
      </c>
      <c r="R198" s="1" t="str">
        <f>IFERROR(INDEX([1]物品基础表!$A:$A,MATCH(Q198,[1]物品基础表!$B:$B,0)),"")</f>
        <v/>
      </c>
      <c r="U198" s="1" t="str">
        <f>IFERROR(INDEX([1]物品基础表!$A:$A,MATCH(T198,[1]物品基础表!$B:$B,0)),"")</f>
        <v/>
      </c>
      <c r="X198" s="1" t="str">
        <f>IFERROR(INDEX([1]物品基础表!$A:$A,MATCH(W198,[1]物品基础表!$B:$B,0)),"")</f>
        <v/>
      </c>
    </row>
    <row r="199" spans="1:24">
      <c r="A199" s="32" t="str">
        <f>INDEX([2]活动总表!$A$8:$A$429,MATCH(B199,[2]活动总表!$B$8:$B$429,0))</f>
        <v>春节-累充</v>
      </c>
      <c r="B199" s="32">
        <v>564</v>
      </c>
      <c r="C199" s="32">
        <v>11</v>
      </c>
      <c r="D199" s="32">
        <v>2</v>
      </c>
      <c r="E199" s="32">
        <v>8</v>
      </c>
      <c r="F199" s="32">
        <v>3088888</v>
      </c>
      <c r="H199" s="32">
        <v>204077</v>
      </c>
      <c r="I199" s="1" t="str">
        <f>IFERROR(INDEX([1]物品基础表!$A:$A,MATCH(H199,[1]物品基础表!$B:$B,0)),"")</f>
        <v>至尊武器</v>
      </c>
      <c r="J199" s="32">
        <v>1</v>
      </c>
      <c r="K199" s="32">
        <v>200301</v>
      </c>
      <c r="L199" s="1" t="str">
        <f>IFERROR(INDEX([1]物品基础表!$A:$A,MATCH(K199,[1]物品基础表!$B:$B,0)),"")</f>
        <v>传世宝钻</v>
      </c>
      <c r="M199" s="32">
        <v>1500</v>
      </c>
      <c r="N199" s="32">
        <v>200208</v>
      </c>
      <c r="O199" s="1" t="str">
        <f>IFERROR(INDEX([1]物品基础表!$A:$A,MATCH(N199,[1]物品基础表!$B:$B,0)),"")</f>
        <v>烈焰印记低级升级材料</v>
      </c>
      <c r="P199" s="32">
        <v>2500</v>
      </c>
      <c r="R199" s="1" t="str">
        <f>IFERROR(INDEX([1]物品基础表!$A:$A,MATCH(Q199,[1]物品基础表!$B:$B,0)),"")</f>
        <v/>
      </c>
      <c r="U199" s="1" t="str">
        <f>IFERROR(INDEX([1]物品基础表!$A:$A,MATCH(T199,[1]物品基础表!$B:$B,0)),"")</f>
        <v/>
      </c>
      <c r="X199" s="1" t="str">
        <f>IFERROR(INDEX([1]物品基础表!$A:$A,MATCH(W199,[1]物品基础表!$B:$B,0)),"")</f>
        <v/>
      </c>
    </row>
    <row r="200" spans="1:24">
      <c r="A200" s="32" t="str">
        <f>INDEX([2]活动总表!$A$8:$A$429,MATCH(B200,[2]活动总表!$B$8:$B$429,0))</f>
        <v>春节-累充</v>
      </c>
      <c r="B200" s="32">
        <v>569</v>
      </c>
      <c r="C200" s="32">
        <v>1</v>
      </c>
      <c r="D200" s="32">
        <v>2</v>
      </c>
      <c r="E200" s="32">
        <v>8</v>
      </c>
      <c r="F200" s="32">
        <v>2888</v>
      </c>
      <c r="H200" s="32">
        <v>2</v>
      </c>
      <c r="I200" s="1" t="str">
        <f t="shared" ref="I200:I201" si="12">IF(H200=2,"元宝","神兵经验")</f>
        <v>元宝</v>
      </c>
      <c r="J200" s="32">
        <v>2888</v>
      </c>
      <c r="K200" s="32">
        <v>204064</v>
      </c>
      <c r="L200" s="1" t="str">
        <f>IFERROR(INDEX([1]物品基础表!$A:$A,MATCH(K200,[1]物品基础表!$B:$B,0)),"")</f>
        <v>高级转生轮回礼包</v>
      </c>
      <c r="M200" s="32">
        <v>5</v>
      </c>
      <c r="N200" s="32">
        <v>200015</v>
      </c>
      <c r="O200" s="1" t="str">
        <f>IFERROR(INDEX([1]物品基础表!$A:$A,MATCH(N200,[1]物品基础表!$B:$B,0)),"")</f>
        <v>特戒碎片</v>
      </c>
      <c r="P200" s="32">
        <v>200</v>
      </c>
      <c r="R200" s="1" t="str">
        <f>IFERROR(INDEX([1]物品基础表!$A:$A,MATCH(Q200,[1]物品基础表!$B:$B,0)),"")</f>
        <v/>
      </c>
      <c r="U200" s="1" t="str">
        <f>IFERROR(INDEX([1]物品基础表!$A:$A,MATCH(T200,[1]物品基础表!$B:$B,0)),"")</f>
        <v/>
      </c>
      <c r="X200" s="1" t="str">
        <f>IFERROR(INDEX([1]物品基础表!$A:$A,MATCH(W200,[1]物品基础表!$B:$B,0)),"")</f>
        <v/>
      </c>
    </row>
    <row r="201" spans="1:24">
      <c r="A201" s="32" t="str">
        <f>INDEX([2]活动总表!$A$8:$A$429,MATCH(B201,[2]活动总表!$B$8:$B$429,0))</f>
        <v>春节-累充</v>
      </c>
      <c r="B201" s="32">
        <v>569</v>
      </c>
      <c r="C201" s="32">
        <v>2</v>
      </c>
      <c r="D201" s="32">
        <v>2</v>
      </c>
      <c r="E201" s="32">
        <v>8</v>
      </c>
      <c r="F201" s="32">
        <v>5888</v>
      </c>
      <c r="H201" s="32">
        <v>2</v>
      </c>
      <c r="I201" s="1" t="str">
        <f t="shared" si="12"/>
        <v>元宝</v>
      </c>
      <c r="J201" s="32">
        <v>2888</v>
      </c>
      <c r="K201" s="32">
        <v>204065</v>
      </c>
      <c r="L201" s="1" t="str">
        <f>IFERROR(INDEX([1]物品基础表!$A:$A,MATCH(K201,[1]物品基础表!$B:$B,0)),"")</f>
        <v>超级转生轮回礼包</v>
      </c>
      <c r="M201" s="32">
        <v>1</v>
      </c>
      <c r="N201" s="32">
        <v>200015</v>
      </c>
      <c r="O201" s="1" t="str">
        <f>IFERROR(INDEX([1]物品基础表!$A:$A,MATCH(N201,[1]物品基础表!$B:$B,0)),"")</f>
        <v>特戒碎片</v>
      </c>
      <c r="P201" s="32">
        <v>200</v>
      </c>
      <c r="R201" s="1" t="str">
        <f>IFERROR(INDEX([1]物品基础表!$A:$A,MATCH(Q201,[1]物品基础表!$B:$B,0)),"")</f>
        <v/>
      </c>
      <c r="U201" s="1" t="str">
        <f>IFERROR(INDEX([1]物品基础表!$A:$A,MATCH(T201,[1]物品基础表!$B:$B,0)),"")</f>
        <v/>
      </c>
      <c r="X201" s="1" t="str">
        <f>IFERROR(INDEX([1]物品基础表!$A:$A,MATCH(W201,[1]物品基础表!$B:$B,0)),"")</f>
        <v/>
      </c>
    </row>
    <row r="202" spans="1:24">
      <c r="A202" s="32" t="str">
        <f>INDEX([2]活动总表!$A$8:$A$429,MATCH(B202,[2]活动总表!$B$8:$B$429,0))</f>
        <v>春节-累充</v>
      </c>
      <c r="B202" s="32">
        <v>569</v>
      </c>
      <c r="C202" s="32">
        <v>3</v>
      </c>
      <c r="D202" s="32">
        <v>2</v>
      </c>
      <c r="E202" s="32">
        <v>8</v>
      </c>
      <c r="F202" s="32">
        <v>10888</v>
      </c>
      <c r="H202" s="32">
        <v>200951</v>
      </c>
      <c r="I202" s="1" t="str">
        <f>IFERROR(INDEX([1]物品基础表!$A:$A,MATCH(H202,[1]物品基础表!$B:$B,0)),"")</f>
        <v>金色战纹任选宝箱</v>
      </c>
      <c r="J202" s="32">
        <v>1</v>
      </c>
      <c r="K202" s="32">
        <v>200301</v>
      </c>
      <c r="L202" s="1" t="str">
        <f>IFERROR(INDEX([1]物品基础表!$A:$A,MATCH(K202,[1]物品基础表!$B:$B,0)),"")</f>
        <v>传世宝钻</v>
      </c>
      <c r="M202" s="32">
        <v>100</v>
      </c>
      <c r="N202" s="32">
        <v>200015</v>
      </c>
      <c r="O202" s="1" t="str">
        <f>IFERROR(INDEX([1]物品基础表!$A:$A,MATCH(N202,[1]物品基础表!$B:$B,0)),"")</f>
        <v>特戒碎片</v>
      </c>
      <c r="P202" s="32">
        <v>300</v>
      </c>
      <c r="R202" s="1" t="str">
        <f>IFERROR(INDEX([1]物品基础表!$A:$A,MATCH(Q202,[1]物品基础表!$B:$B,0)),"")</f>
        <v/>
      </c>
      <c r="U202" s="1" t="str">
        <f>IFERROR(INDEX([1]物品基础表!$A:$A,MATCH(T202,[1]物品基础表!$B:$B,0)),"")</f>
        <v/>
      </c>
      <c r="X202" s="1" t="str">
        <f>IFERROR(INDEX([1]物品基础表!$A:$A,MATCH(W202,[1]物品基础表!$B:$B,0)),"")</f>
        <v/>
      </c>
    </row>
    <row r="203" spans="1:24">
      <c r="A203" s="32" t="str">
        <f>INDEX([2]活动总表!$A$8:$A$429,MATCH(B203,[2]活动总表!$B$8:$B$429,0))</f>
        <v>春节-累充</v>
      </c>
      <c r="B203" s="32">
        <v>569</v>
      </c>
      <c r="C203" s="32">
        <v>4</v>
      </c>
      <c r="D203" s="32">
        <v>2</v>
      </c>
      <c r="E203" s="32">
        <v>8</v>
      </c>
      <c r="F203" s="32">
        <v>21888</v>
      </c>
      <c r="H203" s="32">
        <v>200997</v>
      </c>
      <c r="I203" s="1" t="str">
        <f>IFERROR(INDEX([1]物品基础表!$A:$A,MATCH(H203,[1]物品基础表!$B:$B,0)),"")</f>
        <v>星☆传世宝箱</v>
      </c>
      <c r="J203" s="32">
        <v>1</v>
      </c>
      <c r="K203" s="32">
        <v>204071</v>
      </c>
      <c r="L203" s="1" t="str">
        <f>IFERROR(INDEX([1]物品基础表!$A:$A,MATCH(K203,[1]物品基础表!$B:$B,0)),"")</f>
        <v>玉佩温养道具3</v>
      </c>
      <c r="M203" s="32">
        <v>1</v>
      </c>
      <c r="N203" s="32">
        <v>200015</v>
      </c>
      <c r="O203" s="1" t="str">
        <f>IFERROR(INDEX([1]物品基础表!$A:$A,MATCH(N203,[1]物品基础表!$B:$B,0)),"")</f>
        <v>特戒碎片</v>
      </c>
      <c r="P203" s="32">
        <v>400</v>
      </c>
      <c r="R203" s="1" t="str">
        <f>IFERROR(INDEX([1]物品基础表!$A:$A,MATCH(Q203,[1]物品基础表!$B:$B,0)),"")</f>
        <v/>
      </c>
      <c r="U203" s="1" t="str">
        <f>IFERROR(INDEX([1]物品基础表!$A:$A,MATCH(T203,[1]物品基础表!$B:$B,0)),"")</f>
        <v/>
      </c>
      <c r="X203" s="1" t="str">
        <f>IFERROR(INDEX([1]物品基础表!$A:$A,MATCH(W203,[1]物品基础表!$B:$B,0)),"")</f>
        <v/>
      </c>
    </row>
    <row r="204" spans="1:24">
      <c r="A204" s="32" t="str">
        <f>INDEX([2]活动总表!$A$8:$A$429,MATCH(B204,[2]活动总表!$B$8:$B$429,0))</f>
        <v>春节-累充</v>
      </c>
      <c r="B204" s="32">
        <v>569</v>
      </c>
      <c r="C204" s="32">
        <v>5</v>
      </c>
      <c r="D204" s="32">
        <v>2</v>
      </c>
      <c r="E204" s="32">
        <v>8</v>
      </c>
      <c r="F204" s="32">
        <v>52888</v>
      </c>
      <c r="H204" s="32">
        <v>200973</v>
      </c>
      <c r="I204" s="1" t="str">
        <f>IFERROR(INDEX([1]物品基础表!$A:$A,MATCH(H204,[1]物品基础表!$B:$B,0)),"")</f>
        <v>极品橙色兽神装备任选宝箱</v>
      </c>
      <c r="J204" s="32">
        <v>1</v>
      </c>
      <c r="K204" s="32">
        <v>200326</v>
      </c>
      <c r="L204" s="1" t="str">
        <f>IFERROR(INDEX([1]物品基础表!$A:$A,MATCH(K204,[1]物品基础表!$B:$B,0)),"")</f>
        <v>兵魂之灵</v>
      </c>
      <c r="M204" s="32">
        <v>1</v>
      </c>
      <c r="N204" s="32">
        <v>200015</v>
      </c>
      <c r="O204" s="1" t="str">
        <f>IFERROR(INDEX([1]物品基础表!$A:$A,MATCH(N204,[1]物品基础表!$B:$B,0)),"")</f>
        <v>特戒碎片</v>
      </c>
      <c r="P204" s="32">
        <v>500</v>
      </c>
      <c r="R204" s="1" t="str">
        <f>IFERROR(INDEX([1]物品基础表!$A:$A,MATCH(Q204,[1]物品基础表!$B:$B,0)),"")</f>
        <v/>
      </c>
      <c r="U204" s="1" t="str">
        <f>IFERROR(INDEX([1]物品基础表!$A:$A,MATCH(T204,[1]物品基础表!$B:$B,0)),"")</f>
        <v/>
      </c>
      <c r="X204" s="1" t="str">
        <f>IFERROR(INDEX([1]物品基础表!$A:$A,MATCH(W204,[1]物品基础表!$B:$B,0)),"")</f>
        <v/>
      </c>
    </row>
    <row r="205" spans="1:24">
      <c r="A205" s="32" t="str">
        <f>INDEX([2]活动总表!$A$8:$A$429,MATCH(B205,[2]活动总表!$B$8:$B$429,0))</f>
        <v>春节-累充</v>
      </c>
      <c r="B205" s="32">
        <v>569</v>
      </c>
      <c r="C205" s="32">
        <v>6</v>
      </c>
      <c r="D205" s="32">
        <v>2</v>
      </c>
      <c r="E205" s="32">
        <v>8</v>
      </c>
      <c r="F205" s="32">
        <v>128888</v>
      </c>
      <c r="H205" s="32">
        <v>204029</v>
      </c>
      <c r="I205" s="1" t="str">
        <f>IFERROR(INDEX([1]物品基础表!$A:$A,MATCH(H205,[1]物品基础表!$B:$B,0)),"")</f>
        <v>魔魂礼包</v>
      </c>
      <c r="J205" s="32">
        <v>1</v>
      </c>
      <c r="K205" s="32">
        <v>200301</v>
      </c>
      <c r="L205" s="1" t="str">
        <f>IFERROR(INDEX([1]物品基础表!$A:$A,MATCH(K205,[1]物品基础表!$B:$B,0)),"")</f>
        <v>传世宝钻</v>
      </c>
      <c r="M205" s="32">
        <v>300</v>
      </c>
      <c r="N205" s="32">
        <v>200208</v>
      </c>
      <c r="O205" s="1" t="str">
        <f>IFERROR(INDEX([1]物品基础表!$A:$A,MATCH(N205,[1]物品基础表!$B:$B,0)),"")</f>
        <v>烈焰印记低级升级材料</v>
      </c>
      <c r="P205" s="32">
        <v>500</v>
      </c>
      <c r="R205" s="1" t="str">
        <f>IFERROR(INDEX([1]物品基础表!$A:$A,MATCH(Q205,[1]物品基础表!$B:$B,0)),"")</f>
        <v/>
      </c>
      <c r="U205" s="1" t="str">
        <f>IFERROR(INDEX([1]物品基础表!$A:$A,MATCH(T205,[1]物品基础表!$B:$B,0)),"")</f>
        <v/>
      </c>
      <c r="X205" s="1" t="str">
        <f>IFERROR(INDEX([1]物品基础表!$A:$A,MATCH(W205,[1]物品基础表!$B:$B,0)),"")</f>
        <v/>
      </c>
    </row>
    <row r="206" spans="1:24">
      <c r="A206" s="32" t="str">
        <f>INDEX([2]活动总表!$A$8:$A$429,MATCH(B206,[2]活动总表!$B$8:$B$429,0))</f>
        <v>春节-累充</v>
      </c>
      <c r="B206" s="32">
        <v>569</v>
      </c>
      <c r="C206" s="32">
        <v>7</v>
      </c>
      <c r="D206" s="32">
        <v>2</v>
      </c>
      <c r="E206" s="32">
        <v>8</v>
      </c>
      <c r="F206" s="32">
        <v>218888</v>
      </c>
      <c r="H206" s="32">
        <v>204105</v>
      </c>
      <c r="I206" s="1" t="str">
        <f>IFERROR(INDEX([1]物品基础表!$A:$A,MATCH(H206,[1]物品基础表!$B:$B,0)),"")</f>
        <v>至尊至宝</v>
      </c>
      <c r="J206" s="32">
        <v>1</v>
      </c>
      <c r="K206" s="32">
        <v>200951</v>
      </c>
      <c r="L206" s="1" t="str">
        <f>IFERROR(INDEX([1]物品基础表!$A:$A,MATCH(K206,[1]物品基础表!$B:$B,0)),"")</f>
        <v>金色战纹任选宝箱</v>
      </c>
      <c r="M206" s="32">
        <v>1</v>
      </c>
      <c r="N206" s="32">
        <v>200208</v>
      </c>
      <c r="O206" s="1" t="str">
        <f>IFERROR(INDEX([1]物品基础表!$A:$A,MATCH(N206,[1]物品基础表!$B:$B,0)),"")</f>
        <v>烈焰印记低级升级材料</v>
      </c>
      <c r="P206" s="32">
        <v>800</v>
      </c>
      <c r="R206" s="1" t="str">
        <f>IFERROR(INDEX([1]物品基础表!$A:$A,MATCH(Q206,[1]物品基础表!$B:$B,0)),"")</f>
        <v/>
      </c>
      <c r="U206" s="1" t="str">
        <f>IFERROR(INDEX([1]物品基础表!$A:$A,MATCH(T206,[1]物品基础表!$B:$B,0)),"")</f>
        <v/>
      </c>
      <c r="X206" s="1" t="str">
        <f>IFERROR(INDEX([1]物品基础表!$A:$A,MATCH(W206,[1]物品基础表!$B:$B,0)),"")</f>
        <v/>
      </c>
    </row>
    <row r="207" spans="1:24">
      <c r="A207" s="32" t="str">
        <f>INDEX([2]活动总表!$A$8:$A$429,MATCH(B207,[2]活动总表!$B$8:$B$429,0))</f>
        <v>春节-累充</v>
      </c>
      <c r="B207" s="32">
        <v>569</v>
      </c>
      <c r="C207" s="32">
        <v>8</v>
      </c>
      <c r="D207" s="32">
        <v>2</v>
      </c>
      <c r="E207" s="32">
        <v>8</v>
      </c>
      <c r="F207" s="32">
        <v>528888</v>
      </c>
      <c r="H207" s="32">
        <v>200927</v>
      </c>
      <c r="I207" s="1" t="str">
        <f>IFERROR(INDEX([1]物品基础表!$A:$A,MATCH(H207,[1]物品基础表!$B:$B,0)),"")</f>
        <v>神兵大招2三选一</v>
      </c>
      <c r="J207" s="32">
        <v>1</v>
      </c>
      <c r="K207" s="32">
        <v>200301</v>
      </c>
      <c r="L207" s="1" t="str">
        <f>IFERROR(INDEX([1]物品基础表!$A:$A,MATCH(K207,[1]物品基础表!$B:$B,0)),"")</f>
        <v>传世宝钻</v>
      </c>
      <c r="M207" s="32">
        <v>600</v>
      </c>
      <c r="N207" s="32">
        <v>200208</v>
      </c>
      <c r="O207" s="1" t="str">
        <f>IFERROR(INDEX([1]物品基础表!$A:$A,MATCH(N207,[1]物品基础表!$B:$B,0)),"")</f>
        <v>烈焰印记低级升级材料</v>
      </c>
      <c r="P207" s="32">
        <v>1200</v>
      </c>
      <c r="R207" s="1" t="str">
        <f>IFERROR(INDEX([1]物品基础表!$A:$A,MATCH(Q207,[1]物品基础表!$B:$B,0)),"")</f>
        <v/>
      </c>
      <c r="U207" s="1" t="str">
        <f>IFERROR(INDEX([1]物品基础表!$A:$A,MATCH(T207,[1]物品基础表!$B:$B,0)),"")</f>
        <v/>
      </c>
      <c r="X207" s="1" t="str">
        <f>IFERROR(INDEX([1]物品基础表!$A:$A,MATCH(W207,[1]物品基础表!$B:$B,0)),"")</f>
        <v/>
      </c>
    </row>
    <row r="208" spans="1:24">
      <c r="A208" s="32" t="str">
        <f>INDEX([2]活动总表!$A$8:$A$429,MATCH(B208,[2]活动总表!$B$8:$B$429,0))</f>
        <v>春节-累充</v>
      </c>
      <c r="B208" s="32">
        <v>569</v>
      </c>
      <c r="C208" s="32">
        <v>9</v>
      </c>
      <c r="D208" s="32">
        <v>2</v>
      </c>
      <c r="E208" s="32">
        <v>8</v>
      </c>
      <c r="F208" s="32">
        <v>1288888</v>
      </c>
      <c r="H208" s="32">
        <v>200928</v>
      </c>
      <c r="I208" s="1" t="str">
        <f>IFERROR(INDEX([1]物品基础表!$A:$A,MATCH(H208,[1]物品基础表!$B:$B,0)),"")</f>
        <v>神兵大招3三选一</v>
      </c>
      <c r="J208" s="32">
        <v>1</v>
      </c>
      <c r="K208" s="32">
        <v>200301</v>
      </c>
      <c r="L208" s="1" t="str">
        <f>IFERROR(INDEX([1]物品基础表!$A:$A,MATCH(K208,[1]物品基础表!$B:$B,0)),"")</f>
        <v>传世宝钻</v>
      </c>
      <c r="M208" s="32">
        <v>1000</v>
      </c>
      <c r="N208" s="32">
        <v>200208</v>
      </c>
      <c r="O208" s="1" t="str">
        <f>IFERROR(INDEX([1]物品基础表!$A:$A,MATCH(N208,[1]物品基础表!$B:$B,0)),"")</f>
        <v>烈焰印记低级升级材料</v>
      </c>
      <c r="P208" s="32">
        <v>1600</v>
      </c>
      <c r="R208" s="1" t="str">
        <f>IFERROR(INDEX([1]物品基础表!$A:$A,MATCH(Q208,[1]物品基础表!$B:$B,0)),"")</f>
        <v/>
      </c>
      <c r="U208" s="1" t="str">
        <f>IFERROR(INDEX([1]物品基础表!$A:$A,MATCH(T208,[1]物品基础表!$B:$B,0)),"")</f>
        <v/>
      </c>
      <c r="X208" s="1" t="str">
        <f>IFERROR(INDEX([1]物品基础表!$A:$A,MATCH(W208,[1]物品基础表!$B:$B,0)),"")</f>
        <v/>
      </c>
    </row>
    <row r="209" spans="1:24">
      <c r="A209" s="32" t="str">
        <f>INDEX([2]活动总表!$A$8:$A$429,MATCH(B209,[2]活动总表!$B$8:$B$429,0))</f>
        <v>春节-累充</v>
      </c>
      <c r="B209" s="32">
        <v>569</v>
      </c>
      <c r="C209" s="32">
        <v>10</v>
      </c>
      <c r="D209" s="32">
        <v>2</v>
      </c>
      <c r="E209" s="32">
        <v>8</v>
      </c>
      <c r="F209" s="32">
        <v>2088888</v>
      </c>
      <c r="H209" s="32">
        <v>204106</v>
      </c>
      <c r="I209" s="1" t="str">
        <f>IFERROR(INDEX([1]物品基础表!$A:$A,MATCH(H209,[1]物品基础表!$B:$B,0)),"")</f>
        <v>极品至尊至宝</v>
      </c>
      <c r="J209" s="32">
        <v>1</v>
      </c>
      <c r="K209" s="32">
        <v>200301</v>
      </c>
      <c r="L209" s="1" t="str">
        <f>IFERROR(INDEX([1]物品基础表!$A:$A,MATCH(K209,[1]物品基础表!$B:$B,0)),"")</f>
        <v>传世宝钻</v>
      </c>
      <c r="M209" s="32">
        <v>1200</v>
      </c>
      <c r="N209" s="32">
        <v>200208</v>
      </c>
      <c r="O209" s="1" t="str">
        <f>IFERROR(INDEX([1]物品基础表!$A:$A,MATCH(N209,[1]物品基础表!$B:$B,0)),"")</f>
        <v>烈焰印记低级升级材料</v>
      </c>
      <c r="P209" s="32">
        <v>2000</v>
      </c>
      <c r="R209" s="1" t="str">
        <f>IFERROR(INDEX([1]物品基础表!$A:$A,MATCH(Q209,[1]物品基础表!$B:$B,0)),"")</f>
        <v/>
      </c>
      <c r="U209" s="1" t="str">
        <f>IFERROR(INDEX([1]物品基础表!$A:$A,MATCH(T209,[1]物品基础表!$B:$B,0)),"")</f>
        <v/>
      </c>
      <c r="X209" s="1" t="str">
        <f>IFERROR(INDEX([1]物品基础表!$A:$A,MATCH(W209,[1]物品基础表!$B:$B,0)),"")</f>
        <v/>
      </c>
    </row>
    <row r="210" spans="1:24">
      <c r="A210" s="32" t="str">
        <f>INDEX([2]活动总表!$A$8:$A$429,MATCH(B210,[2]活动总表!$B$8:$B$429,0))</f>
        <v>春节-累充</v>
      </c>
      <c r="B210" s="32">
        <v>569</v>
      </c>
      <c r="C210" s="32">
        <v>11</v>
      </c>
      <c r="D210" s="32">
        <v>2</v>
      </c>
      <c r="E210" s="32">
        <v>8</v>
      </c>
      <c r="F210" s="32">
        <v>3088888</v>
      </c>
      <c r="H210" s="32">
        <v>204077</v>
      </c>
      <c r="I210" s="1" t="str">
        <f>IFERROR(INDEX([1]物品基础表!$A:$A,MATCH(H210,[1]物品基础表!$B:$B,0)),"")</f>
        <v>至尊武器</v>
      </c>
      <c r="J210" s="32">
        <v>1</v>
      </c>
      <c r="K210" s="32">
        <v>200301</v>
      </c>
      <c r="L210" s="1" t="str">
        <f>IFERROR(INDEX([1]物品基础表!$A:$A,MATCH(K210,[1]物品基础表!$B:$B,0)),"")</f>
        <v>传世宝钻</v>
      </c>
      <c r="M210" s="32">
        <v>1500</v>
      </c>
      <c r="N210" s="32">
        <v>200208</v>
      </c>
      <c r="O210" s="1" t="str">
        <f>IFERROR(INDEX([1]物品基础表!$A:$A,MATCH(N210,[1]物品基础表!$B:$B,0)),"")</f>
        <v>烈焰印记低级升级材料</v>
      </c>
      <c r="P210" s="32">
        <v>2500</v>
      </c>
      <c r="R210" s="1" t="str">
        <f>IFERROR(INDEX([1]物品基础表!$A:$A,MATCH(Q210,[1]物品基础表!$B:$B,0)),"")</f>
        <v/>
      </c>
      <c r="U210" s="1" t="str">
        <f>IFERROR(INDEX([1]物品基础表!$A:$A,MATCH(T210,[1]物品基础表!$B:$B,0)),"")</f>
        <v/>
      </c>
      <c r="X210" s="1" t="str">
        <f>IFERROR(INDEX([1]物品基础表!$A:$A,MATCH(W210,[1]物品基础表!$B:$B,0)),"")</f>
        <v/>
      </c>
    </row>
    <row r="211" spans="1:24">
      <c r="A211" s="32" t="str">
        <f>INDEX([2]活动总表!$A$8:$A$429,MATCH(B211,[2]活动总表!$B$8:$B$429,0))</f>
        <v>开门红活动-新连冲</v>
      </c>
      <c r="B211" s="32">
        <v>600</v>
      </c>
      <c r="C211" s="32">
        <v>1</v>
      </c>
      <c r="D211" s="32">
        <v>3</v>
      </c>
      <c r="E211" s="32">
        <v>1</v>
      </c>
      <c r="F211" s="32">
        <v>2000</v>
      </c>
      <c r="G211" s="32" t="s">
        <v>724</v>
      </c>
      <c r="H211" s="32">
        <v>2</v>
      </c>
      <c r="I211" s="1" t="str">
        <f t="shared" ref="I211:I214" si="13">IF(H211=2,"元宝","神兵经验")</f>
        <v>元宝</v>
      </c>
      <c r="J211" s="32">
        <v>1000</v>
      </c>
      <c r="K211" s="32">
        <v>204064</v>
      </c>
      <c r="L211" s="1" t="str">
        <f>IFERROR(INDEX([1]物品基础表!$A:$A,MATCH(K211,[1]物品基础表!$B:$B,0)),"")</f>
        <v>高级转生轮回礼包</v>
      </c>
      <c r="M211" s="32">
        <v>3</v>
      </c>
      <c r="N211" s="32">
        <v>200015</v>
      </c>
      <c r="O211" s="1" t="str">
        <f>IFERROR(INDEX([1]物品基础表!$A:$A,MATCH(N211,[1]物品基础表!$B:$B,0)),"")</f>
        <v>特戒碎片</v>
      </c>
      <c r="P211" s="32">
        <v>500</v>
      </c>
      <c r="R211" s="1" t="str">
        <f>IFERROR(INDEX([1]物品基础表!$A:$A,MATCH(Q211,[1]物品基础表!$B:$B,0)),"")</f>
        <v/>
      </c>
      <c r="U211" s="1" t="str">
        <f>IFERROR(INDEX([1]物品基础表!$A:$A,MATCH(T211,[1]物品基础表!$B:$B,0)),"")</f>
        <v/>
      </c>
      <c r="X211" s="1" t="str">
        <f>IFERROR(INDEX([1]物品基础表!$A:$A,MATCH(W211,[1]物品基础表!$B:$B,0)),"")</f>
        <v/>
      </c>
    </row>
    <row r="212" spans="1:24">
      <c r="A212" s="32" t="str">
        <f>INDEX([2]活动总表!$A$8:$A$429,MATCH(B212,[2]活动总表!$B$8:$B$429,0))</f>
        <v>开门红活动-新连冲</v>
      </c>
      <c r="B212" s="32">
        <v>600</v>
      </c>
      <c r="C212" s="32">
        <v>2</v>
      </c>
      <c r="D212" s="32">
        <v>3</v>
      </c>
      <c r="E212" s="32">
        <v>2</v>
      </c>
      <c r="F212" s="32">
        <v>2000</v>
      </c>
      <c r="G212" s="32" t="s">
        <v>718</v>
      </c>
      <c r="H212" s="32">
        <v>2</v>
      </c>
      <c r="I212" s="1" t="str">
        <f t="shared" si="13"/>
        <v>元宝</v>
      </c>
      <c r="J212" s="32">
        <v>1000</v>
      </c>
      <c r="K212" s="32">
        <v>204064</v>
      </c>
      <c r="L212" s="1" t="str">
        <f>IFERROR(INDEX([1]物品基础表!$A:$A,MATCH(K212,[1]物品基础表!$B:$B,0)),"")</f>
        <v>高级转生轮回礼包</v>
      </c>
      <c r="M212" s="32">
        <v>3</v>
      </c>
      <c r="N212" s="32">
        <v>200015</v>
      </c>
      <c r="O212" s="1" t="str">
        <f>IFERROR(INDEX([1]物品基础表!$A:$A,MATCH(N212,[1]物品基础表!$B:$B,0)),"")</f>
        <v>特戒碎片</v>
      </c>
      <c r="P212" s="32">
        <v>500</v>
      </c>
      <c r="R212" s="1" t="str">
        <f>IFERROR(INDEX([1]物品基础表!$A:$A,MATCH(Q212,[1]物品基础表!$B:$B,0)),"")</f>
        <v/>
      </c>
      <c r="U212" s="1" t="str">
        <f>IFERROR(INDEX([1]物品基础表!$A:$A,MATCH(T212,[1]物品基础表!$B:$B,0)),"")</f>
        <v/>
      </c>
      <c r="X212" s="1" t="str">
        <f>IFERROR(INDEX([1]物品基础表!$A:$A,MATCH(W212,[1]物品基础表!$B:$B,0)),"")</f>
        <v/>
      </c>
    </row>
    <row r="213" spans="1:24">
      <c r="A213" s="32" t="str">
        <f>INDEX([2]活动总表!$A$8:$A$429,MATCH(B213,[2]活动总表!$B$8:$B$429,0))</f>
        <v>开门红活动-新连冲</v>
      </c>
      <c r="B213" s="32">
        <v>600</v>
      </c>
      <c r="C213" s="32">
        <v>3</v>
      </c>
      <c r="D213" s="32">
        <v>3</v>
      </c>
      <c r="E213" s="32">
        <v>3</v>
      </c>
      <c r="F213" s="32">
        <v>2000</v>
      </c>
      <c r="G213" s="32" t="s">
        <v>718</v>
      </c>
      <c r="H213" s="32">
        <v>2</v>
      </c>
      <c r="I213" s="1" t="str">
        <f t="shared" si="13"/>
        <v>元宝</v>
      </c>
      <c r="J213" s="32">
        <v>1000</v>
      </c>
      <c r="K213" s="32">
        <v>204064</v>
      </c>
      <c r="L213" s="1" t="str">
        <f>IFERROR(INDEX([1]物品基础表!$A:$A,MATCH(K213,[1]物品基础表!$B:$B,0)),"")</f>
        <v>高级转生轮回礼包</v>
      </c>
      <c r="M213" s="32">
        <v>3</v>
      </c>
      <c r="N213" s="32">
        <v>200015</v>
      </c>
      <c r="O213" s="1" t="str">
        <f>IFERROR(INDEX([1]物品基础表!$A:$A,MATCH(N213,[1]物品基础表!$B:$B,0)),"")</f>
        <v>特戒碎片</v>
      </c>
      <c r="P213" s="32">
        <v>500</v>
      </c>
      <c r="R213" s="1" t="str">
        <f>IFERROR(INDEX([1]物品基础表!$A:$A,MATCH(Q213,[1]物品基础表!$B:$B,0)),"")</f>
        <v/>
      </c>
      <c r="U213" s="1" t="str">
        <f>IFERROR(INDEX([1]物品基础表!$A:$A,MATCH(T213,[1]物品基础表!$B:$B,0)),"")</f>
        <v/>
      </c>
      <c r="X213" s="1" t="str">
        <f>IFERROR(INDEX([1]物品基础表!$A:$A,MATCH(W213,[1]物品基础表!$B:$B,0)),"")</f>
        <v/>
      </c>
    </row>
    <row r="214" spans="1:24">
      <c r="A214" s="32" t="str">
        <f>INDEX([2]活动总表!$A$8:$A$429,MATCH(B214,[2]活动总表!$B$8:$B$429,0))</f>
        <v>开门红活动-新连冲</v>
      </c>
      <c r="B214" s="32">
        <v>600</v>
      </c>
      <c r="C214" s="32">
        <v>4</v>
      </c>
      <c r="D214" s="32">
        <v>1</v>
      </c>
      <c r="E214" s="32">
        <v>3</v>
      </c>
      <c r="F214" s="32">
        <v>2000</v>
      </c>
      <c r="G214" s="32" t="s">
        <v>718</v>
      </c>
      <c r="H214" s="32">
        <v>2</v>
      </c>
      <c r="I214" s="1" t="str">
        <f t="shared" si="13"/>
        <v>元宝</v>
      </c>
      <c r="J214" s="32">
        <v>3000</v>
      </c>
      <c r="K214" s="32">
        <v>204064</v>
      </c>
      <c r="L214" s="1" t="str">
        <f>IFERROR(INDEX([1]物品基础表!$A:$A,MATCH(K214,[1]物品基础表!$B:$B,0)),"")</f>
        <v>高级转生轮回礼包</v>
      </c>
      <c r="M214" s="32">
        <v>5</v>
      </c>
      <c r="N214" s="32">
        <v>200980</v>
      </c>
      <c r="O214" s="1" t="str">
        <f>IFERROR(INDEX([1]物品基础表!$A:$A,MATCH(N214,[1]物品基础表!$B:$B,0)),"")</f>
        <v>4-6转神装宝箱</v>
      </c>
      <c r="P214" s="32">
        <v>1</v>
      </c>
      <c r="R214" s="1" t="str">
        <f>IFERROR(INDEX([1]物品基础表!$A:$A,MATCH(Q214,[1]物品基础表!$B:$B,0)),"")</f>
        <v/>
      </c>
      <c r="U214" s="1" t="str">
        <f>IFERROR(INDEX([1]物品基础表!$A:$A,MATCH(T214,[1]物品基础表!$B:$B,0)),"")</f>
        <v/>
      </c>
      <c r="X214" s="1" t="str">
        <f>IFERROR(INDEX([1]物品基础表!$A:$A,MATCH(W214,[1]物品基础表!$B:$B,0)),"")</f>
        <v/>
      </c>
    </row>
    <row r="215" spans="1:24">
      <c r="A215" s="32" t="str">
        <f>INDEX([2]活动总表!$A$8:$A$429,MATCH(B215,[2]活动总表!$B$8:$B$429,0))</f>
        <v>开门红活动-新连冲</v>
      </c>
      <c r="B215" s="32">
        <v>601</v>
      </c>
      <c r="C215" s="32">
        <v>1</v>
      </c>
      <c r="D215" s="32">
        <v>3</v>
      </c>
      <c r="E215" s="32">
        <v>1</v>
      </c>
      <c r="F215" s="32">
        <v>5000</v>
      </c>
      <c r="H215" s="32">
        <v>204067</v>
      </c>
      <c r="I215" s="1" t="str">
        <f>IFERROR(INDEX([1]物品基础表!$A:$A,MATCH(H215,[1]物品基础表!$B:$B,0)),"")</f>
        <v>玉佩升级道具2</v>
      </c>
      <c r="J215" s="32">
        <v>1</v>
      </c>
      <c r="K215" s="32">
        <v>204064</v>
      </c>
      <c r="L215" s="1" t="str">
        <f>IFERROR(INDEX([1]物品基础表!$A:$A,MATCH(K215,[1]物品基础表!$B:$B,0)),"")</f>
        <v>高级转生轮回礼包</v>
      </c>
      <c r="M215" s="32">
        <v>5</v>
      </c>
      <c r="N215" s="32">
        <v>200208</v>
      </c>
      <c r="O215" s="1" t="str">
        <f>IFERROR(INDEX([1]物品基础表!$A:$A,MATCH(N215,[1]物品基础表!$B:$B,0)),"")</f>
        <v>烈焰印记低级升级材料</v>
      </c>
      <c r="P215" s="32">
        <v>500</v>
      </c>
      <c r="R215" s="1" t="str">
        <f>IFERROR(INDEX([1]物品基础表!$A:$A,MATCH(Q215,[1]物品基础表!$B:$B,0)),"")</f>
        <v/>
      </c>
      <c r="U215" s="1" t="str">
        <f>IFERROR(INDEX([1]物品基础表!$A:$A,MATCH(T215,[1]物品基础表!$B:$B,0)),"")</f>
        <v/>
      </c>
      <c r="X215" s="1" t="str">
        <f>IFERROR(INDEX([1]物品基础表!$A:$A,MATCH(W215,[1]物品基础表!$B:$B,0)),"")</f>
        <v/>
      </c>
    </row>
    <row r="216" spans="1:24">
      <c r="A216" s="32" t="str">
        <f>INDEX([2]活动总表!$A$8:$A$429,MATCH(B216,[2]活动总表!$B$8:$B$429,0))</f>
        <v>开门红活动-新连冲</v>
      </c>
      <c r="B216" s="32">
        <v>601</v>
      </c>
      <c r="C216" s="32">
        <v>2</v>
      </c>
      <c r="D216" s="32">
        <v>3</v>
      </c>
      <c r="E216" s="32">
        <v>2</v>
      </c>
      <c r="F216" s="32">
        <v>5000</v>
      </c>
      <c r="H216" s="32">
        <v>204067</v>
      </c>
      <c r="I216" s="1" t="str">
        <f>IFERROR(INDEX([1]物品基础表!$A:$A,MATCH(H216,[1]物品基础表!$B:$B,0)),"")</f>
        <v>玉佩升级道具2</v>
      </c>
      <c r="J216" s="32">
        <v>1</v>
      </c>
      <c r="K216" s="32">
        <v>204064</v>
      </c>
      <c r="L216" s="1" t="str">
        <f>IFERROR(INDEX([1]物品基础表!$A:$A,MATCH(K216,[1]物品基础表!$B:$B,0)),"")</f>
        <v>高级转生轮回礼包</v>
      </c>
      <c r="M216" s="32">
        <v>5</v>
      </c>
      <c r="N216" s="32">
        <v>200208</v>
      </c>
      <c r="O216" s="1" t="str">
        <f>IFERROR(INDEX([1]物品基础表!$A:$A,MATCH(N216,[1]物品基础表!$B:$B,0)),"")</f>
        <v>烈焰印记低级升级材料</v>
      </c>
      <c r="P216" s="32">
        <v>500</v>
      </c>
      <c r="R216" s="1" t="str">
        <f>IFERROR(INDEX([1]物品基础表!$A:$A,MATCH(Q216,[1]物品基础表!$B:$B,0)),"")</f>
        <v/>
      </c>
      <c r="U216" s="1" t="str">
        <f>IFERROR(INDEX([1]物品基础表!$A:$A,MATCH(T216,[1]物品基础表!$B:$B,0)),"")</f>
        <v/>
      </c>
      <c r="X216" s="1" t="str">
        <f>IFERROR(INDEX([1]物品基础表!$A:$A,MATCH(W216,[1]物品基础表!$B:$B,0)),"")</f>
        <v/>
      </c>
    </row>
    <row r="217" spans="1:24">
      <c r="A217" s="32" t="str">
        <f>INDEX([2]活动总表!$A$8:$A$429,MATCH(B217,[2]活动总表!$B$8:$B$429,0))</f>
        <v>开门红活动-新连冲</v>
      </c>
      <c r="B217" s="32">
        <v>601</v>
      </c>
      <c r="C217" s="32">
        <v>3</v>
      </c>
      <c r="D217" s="32">
        <v>3</v>
      </c>
      <c r="E217" s="32">
        <v>3</v>
      </c>
      <c r="F217" s="32">
        <v>5000</v>
      </c>
      <c r="H217" s="32">
        <v>204067</v>
      </c>
      <c r="I217" s="1" t="str">
        <f>IFERROR(INDEX([1]物品基础表!$A:$A,MATCH(H217,[1]物品基础表!$B:$B,0)),"")</f>
        <v>玉佩升级道具2</v>
      </c>
      <c r="J217" s="32">
        <v>1</v>
      </c>
      <c r="K217" s="32">
        <v>204064</v>
      </c>
      <c r="L217" s="1" t="str">
        <f>IFERROR(INDEX([1]物品基础表!$A:$A,MATCH(K217,[1]物品基础表!$B:$B,0)),"")</f>
        <v>高级转生轮回礼包</v>
      </c>
      <c r="M217" s="32">
        <v>5</v>
      </c>
      <c r="N217" s="32">
        <v>200208</v>
      </c>
      <c r="O217" s="1" t="str">
        <f>IFERROR(INDEX([1]物品基础表!$A:$A,MATCH(N217,[1]物品基础表!$B:$B,0)),"")</f>
        <v>烈焰印记低级升级材料</v>
      </c>
      <c r="P217" s="32">
        <v>500</v>
      </c>
      <c r="R217" s="1" t="str">
        <f>IFERROR(INDEX([1]物品基础表!$A:$A,MATCH(Q217,[1]物品基础表!$B:$B,0)),"")</f>
        <v/>
      </c>
      <c r="U217" s="1" t="str">
        <f>IFERROR(INDEX([1]物品基础表!$A:$A,MATCH(T217,[1]物品基础表!$B:$B,0)),"")</f>
        <v/>
      </c>
      <c r="X217" s="1" t="str">
        <f>IFERROR(INDEX([1]物品基础表!$A:$A,MATCH(W217,[1]物品基础表!$B:$B,0)),"")</f>
        <v/>
      </c>
    </row>
    <row r="218" spans="1:24">
      <c r="A218" s="32" t="str">
        <f>INDEX([2]活动总表!$A$8:$A$429,MATCH(B218,[2]活动总表!$B$8:$B$429,0))</f>
        <v>开门红活动-新连冲</v>
      </c>
      <c r="B218" s="32">
        <v>601</v>
      </c>
      <c r="C218" s="32">
        <v>4</v>
      </c>
      <c r="D218" s="32">
        <v>1</v>
      </c>
      <c r="E218" s="32">
        <v>3</v>
      </c>
      <c r="F218" s="32">
        <v>5000</v>
      </c>
      <c r="H218" s="32">
        <v>200997</v>
      </c>
      <c r="I218" s="1" t="str">
        <f>IFERROR(INDEX([1]物品基础表!$A:$A,MATCH(H218,[1]物品基础表!$B:$B,0)),"")</f>
        <v>星☆传世宝箱</v>
      </c>
      <c r="J218" s="32">
        <v>1</v>
      </c>
      <c r="K218" s="32">
        <v>204071</v>
      </c>
      <c r="L218" s="1" t="str">
        <f>IFERROR(INDEX([1]物品基础表!$A:$A,MATCH(K218,[1]物品基础表!$B:$B,0)),"")</f>
        <v>玉佩温养道具3</v>
      </c>
      <c r="M218" s="32">
        <v>1</v>
      </c>
      <c r="N218" s="32">
        <v>204068</v>
      </c>
      <c r="O218" s="1" t="str">
        <f>IFERROR(INDEX([1]物品基础表!$A:$A,MATCH(N218,[1]物品基础表!$B:$B,0)),"")</f>
        <v>玉佩升级道具3</v>
      </c>
      <c r="P218" s="32">
        <v>1</v>
      </c>
      <c r="R218" s="1" t="str">
        <f>IFERROR(INDEX([1]物品基础表!$A:$A,MATCH(Q218,[1]物品基础表!$B:$B,0)),"")</f>
        <v/>
      </c>
      <c r="U218" s="1" t="str">
        <f>IFERROR(INDEX([1]物品基础表!$A:$A,MATCH(T218,[1]物品基础表!$B:$B,0)),"")</f>
        <v/>
      </c>
      <c r="X218" s="1" t="str">
        <f>IFERROR(INDEX([1]物品基础表!$A:$A,MATCH(W218,[1]物品基础表!$B:$B,0)),"")</f>
        <v/>
      </c>
    </row>
    <row r="219" spans="1:24">
      <c r="A219" s="32" t="str">
        <f>INDEX([2]活动总表!$A$8:$A$429,MATCH(B219,[2]活动总表!$B$8:$B$429,0))</f>
        <v>开门红活动-新连冲</v>
      </c>
      <c r="B219" s="32">
        <v>602</v>
      </c>
      <c r="C219" s="32">
        <v>1</v>
      </c>
      <c r="D219" s="32">
        <v>3</v>
      </c>
      <c r="E219" s="32">
        <v>1</v>
      </c>
      <c r="F219" s="32">
        <v>20000</v>
      </c>
      <c r="H219" s="32">
        <v>200997</v>
      </c>
      <c r="I219" s="1" t="str">
        <f>IFERROR(INDEX([1]物品基础表!$A:$A,MATCH(H219,[1]物品基础表!$B:$B,0)),"")</f>
        <v>星☆传世宝箱</v>
      </c>
      <c r="J219" s="32">
        <v>1</v>
      </c>
      <c r="K219" s="32">
        <v>204065</v>
      </c>
      <c r="L219" s="1" t="str">
        <f>IFERROR(INDEX([1]物品基础表!$A:$A,MATCH(K219,[1]物品基础表!$B:$B,0)),"")</f>
        <v>超级转生轮回礼包</v>
      </c>
      <c r="M219" s="32">
        <v>1</v>
      </c>
      <c r="N219" s="32">
        <v>200329</v>
      </c>
      <c r="O219" s="1" t="str">
        <f>IFERROR(INDEX([1]物品基础表!$A:$A,MATCH(N219,[1]物品基础表!$B:$B,0)),"")</f>
        <v>羽翼飞升丹</v>
      </c>
      <c r="P219" s="32">
        <v>3</v>
      </c>
      <c r="R219" s="1" t="str">
        <f>IFERROR(INDEX([1]物品基础表!$A:$A,MATCH(Q219,[1]物品基础表!$B:$B,0)),"")</f>
        <v/>
      </c>
      <c r="U219" s="1" t="str">
        <f>IFERROR(INDEX([1]物品基础表!$A:$A,MATCH(T219,[1]物品基础表!$B:$B,0)),"")</f>
        <v/>
      </c>
      <c r="X219" s="1" t="str">
        <f>IFERROR(INDEX([1]物品基础表!$A:$A,MATCH(W219,[1]物品基础表!$B:$B,0)),"")</f>
        <v/>
      </c>
    </row>
    <row r="220" spans="1:24">
      <c r="A220" s="32" t="str">
        <f>INDEX([2]活动总表!$A$8:$A$429,MATCH(B220,[2]活动总表!$B$8:$B$429,0))</f>
        <v>开门红活动-新连冲</v>
      </c>
      <c r="B220" s="32">
        <v>602</v>
      </c>
      <c r="C220" s="32">
        <v>2</v>
      </c>
      <c r="D220" s="32">
        <v>3</v>
      </c>
      <c r="E220" s="32">
        <v>2</v>
      </c>
      <c r="F220" s="32">
        <v>20000</v>
      </c>
      <c r="H220" s="32">
        <v>200997</v>
      </c>
      <c r="I220" s="1" t="str">
        <f>IFERROR(INDEX([1]物品基础表!$A:$A,MATCH(H220,[1]物品基础表!$B:$B,0)),"")</f>
        <v>星☆传世宝箱</v>
      </c>
      <c r="J220" s="32">
        <v>1</v>
      </c>
      <c r="K220" s="32">
        <v>204065</v>
      </c>
      <c r="L220" s="1" t="str">
        <f>IFERROR(INDEX([1]物品基础表!$A:$A,MATCH(K220,[1]物品基础表!$B:$B,0)),"")</f>
        <v>超级转生轮回礼包</v>
      </c>
      <c r="M220" s="32">
        <v>1</v>
      </c>
      <c r="N220" s="32">
        <v>200329</v>
      </c>
      <c r="O220" s="1" t="str">
        <f>IFERROR(INDEX([1]物品基础表!$A:$A,MATCH(N220,[1]物品基础表!$B:$B,0)),"")</f>
        <v>羽翼飞升丹</v>
      </c>
      <c r="P220" s="32">
        <v>3</v>
      </c>
      <c r="R220" s="1" t="str">
        <f>IFERROR(INDEX([1]物品基础表!$A:$A,MATCH(Q220,[1]物品基础表!$B:$B,0)),"")</f>
        <v/>
      </c>
      <c r="U220" s="1" t="str">
        <f>IFERROR(INDEX([1]物品基础表!$A:$A,MATCH(T220,[1]物品基础表!$B:$B,0)),"")</f>
        <v/>
      </c>
      <c r="X220" s="1" t="str">
        <f>IFERROR(INDEX([1]物品基础表!$A:$A,MATCH(W220,[1]物品基础表!$B:$B,0)),"")</f>
        <v/>
      </c>
    </row>
    <row r="221" spans="1:24">
      <c r="A221" s="32" t="str">
        <f>INDEX([2]活动总表!$A$8:$A$429,MATCH(B221,[2]活动总表!$B$8:$B$429,0))</f>
        <v>开门红活动-新连冲</v>
      </c>
      <c r="B221" s="32">
        <v>602</v>
      </c>
      <c r="C221" s="32">
        <v>3</v>
      </c>
      <c r="D221" s="32">
        <v>3</v>
      </c>
      <c r="E221" s="32">
        <v>3</v>
      </c>
      <c r="F221" s="32">
        <v>20000</v>
      </c>
      <c r="H221" s="32">
        <v>200997</v>
      </c>
      <c r="I221" s="1" t="str">
        <f>IFERROR(INDEX([1]物品基础表!$A:$A,MATCH(H221,[1]物品基础表!$B:$B,0)),"")</f>
        <v>星☆传世宝箱</v>
      </c>
      <c r="J221" s="32">
        <v>1</v>
      </c>
      <c r="K221" s="32">
        <v>204065</v>
      </c>
      <c r="L221" s="1" t="str">
        <f>IFERROR(INDEX([1]物品基础表!$A:$A,MATCH(K221,[1]物品基础表!$B:$B,0)),"")</f>
        <v>超级转生轮回礼包</v>
      </c>
      <c r="M221" s="32">
        <v>1</v>
      </c>
      <c r="N221" s="32">
        <v>200329</v>
      </c>
      <c r="O221" s="1" t="str">
        <f>IFERROR(INDEX([1]物品基础表!$A:$A,MATCH(N221,[1]物品基础表!$B:$B,0)),"")</f>
        <v>羽翼飞升丹</v>
      </c>
      <c r="P221" s="32">
        <v>3</v>
      </c>
      <c r="R221" s="1" t="str">
        <f>IFERROR(INDEX([1]物品基础表!$A:$A,MATCH(Q221,[1]物品基础表!$B:$B,0)),"")</f>
        <v/>
      </c>
      <c r="U221" s="1" t="str">
        <f>IFERROR(INDEX([1]物品基础表!$A:$A,MATCH(T221,[1]物品基础表!$B:$B,0)),"")</f>
        <v/>
      </c>
      <c r="X221" s="1" t="str">
        <f>IFERROR(INDEX([1]物品基础表!$A:$A,MATCH(W221,[1]物品基础表!$B:$B,0)),"")</f>
        <v/>
      </c>
    </row>
    <row r="222" spans="1:24">
      <c r="A222" s="32" t="str">
        <f>INDEX([2]活动总表!$A$8:$A$429,MATCH(B222,[2]活动总表!$B$8:$B$429,0))</f>
        <v>开门红活动-新连冲</v>
      </c>
      <c r="B222" s="32">
        <v>602</v>
      </c>
      <c r="C222" s="32">
        <v>4</v>
      </c>
      <c r="D222" s="32">
        <v>1</v>
      </c>
      <c r="E222" s="32">
        <v>3</v>
      </c>
      <c r="F222" s="32">
        <v>20000</v>
      </c>
      <c r="H222" s="32">
        <v>204029</v>
      </c>
      <c r="I222" s="1" t="str">
        <f>IFERROR(INDEX([1]物品基础表!$A:$A,MATCH(H222,[1]物品基础表!$B:$B,0)),"")</f>
        <v>魔魂礼包</v>
      </c>
      <c r="J222" s="32">
        <v>1</v>
      </c>
      <c r="K222" s="32">
        <v>205002</v>
      </c>
      <c r="L222" s="1" t="str">
        <f>IFERROR(INDEX([1]物品基础表!$A:$A,MATCH(K222,[1]物品基础表!$B:$B,0)),"")</f>
        <v>战灵飞升丹</v>
      </c>
      <c r="M222" s="32">
        <v>1</v>
      </c>
      <c r="N222" s="32">
        <v>204068</v>
      </c>
      <c r="O222" s="1" t="str">
        <f>IFERROR(INDEX([1]物品基础表!$A:$A,MATCH(N222,[1]物品基础表!$B:$B,0)),"")</f>
        <v>玉佩升级道具3</v>
      </c>
      <c r="P222" s="32">
        <v>1</v>
      </c>
      <c r="R222" s="1" t="str">
        <f>IFERROR(INDEX([1]物品基础表!$A:$A,MATCH(Q222,[1]物品基础表!$B:$B,0)),"")</f>
        <v/>
      </c>
      <c r="U222" s="1" t="str">
        <f>IFERROR(INDEX([1]物品基础表!$A:$A,MATCH(T222,[1]物品基础表!$B:$B,0)),"")</f>
        <v/>
      </c>
      <c r="X222" s="1" t="str">
        <f>IFERROR(INDEX([1]物品基础表!$A:$A,MATCH(W222,[1]物品基础表!$B:$B,0)),"")</f>
        <v/>
      </c>
    </row>
    <row r="223" spans="1:24">
      <c r="A223" s="32" t="str">
        <f>INDEX([2]活动总表!$A$8:$A$429,MATCH(B223,[2]活动总表!$B$8:$B$429,0))</f>
        <v>开门红活动-新连冲</v>
      </c>
      <c r="B223" s="32">
        <v>608</v>
      </c>
      <c r="C223" s="32">
        <v>1</v>
      </c>
      <c r="D223" s="32">
        <v>3</v>
      </c>
      <c r="E223" s="32">
        <v>1</v>
      </c>
      <c r="F223" s="32">
        <v>2000</v>
      </c>
      <c r="G223" s="32" t="s">
        <v>719</v>
      </c>
      <c r="H223" s="32">
        <v>2</v>
      </c>
      <c r="I223" s="1" t="str">
        <f t="shared" ref="I223:I226" si="14">IF(H223=2,"元宝","神兵经验")</f>
        <v>元宝</v>
      </c>
      <c r="J223" s="32">
        <v>1000</v>
      </c>
      <c r="K223" s="32">
        <v>204064</v>
      </c>
      <c r="L223" s="1" t="str">
        <f>IFERROR(INDEX([1]物品基础表!$A:$A,MATCH(K223,[1]物品基础表!$B:$B,0)),"")</f>
        <v>高级转生轮回礼包</v>
      </c>
      <c r="M223" s="32">
        <v>3</v>
      </c>
      <c r="N223" s="32">
        <v>200015</v>
      </c>
      <c r="O223" s="1" t="str">
        <f>IFERROR(INDEX([1]物品基础表!$A:$A,MATCH(N223,[1]物品基础表!$B:$B,0)),"")</f>
        <v>特戒碎片</v>
      </c>
      <c r="P223" s="32">
        <v>500</v>
      </c>
      <c r="R223" s="1" t="str">
        <f>IFERROR(INDEX([1]物品基础表!$A:$A,MATCH(Q223,[1]物品基础表!$B:$B,0)),"")</f>
        <v/>
      </c>
      <c r="U223" s="1" t="str">
        <f>IFERROR(INDEX([1]物品基础表!$A:$A,MATCH(T223,[1]物品基础表!$B:$B,0)),"")</f>
        <v/>
      </c>
      <c r="X223" s="1" t="str">
        <f>IFERROR(INDEX([1]物品基础表!$A:$A,MATCH(W223,[1]物品基础表!$B:$B,0)),"")</f>
        <v/>
      </c>
    </row>
    <row r="224" spans="1:24">
      <c r="A224" s="32" t="str">
        <f>INDEX([2]活动总表!$A$8:$A$429,MATCH(B224,[2]活动总表!$B$8:$B$429,0))</f>
        <v>开门红活动-新连冲</v>
      </c>
      <c r="B224" s="32">
        <v>608</v>
      </c>
      <c r="C224" s="32">
        <v>2</v>
      </c>
      <c r="D224" s="32">
        <v>3</v>
      </c>
      <c r="E224" s="32">
        <v>2</v>
      </c>
      <c r="F224" s="32">
        <v>2000</v>
      </c>
      <c r="G224" s="32" t="s">
        <v>719</v>
      </c>
      <c r="H224" s="32">
        <v>2</v>
      </c>
      <c r="I224" s="1" t="str">
        <f t="shared" si="14"/>
        <v>元宝</v>
      </c>
      <c r="J224" s="32">
        <v>1000</v>
      </c>
      <c r="K224" s="32">
        <v>204064</v>
      </c>
      <c r="L224" s="1" t="str">
        <f>IFERROR(INDEX([1]物品基础表!$A:$A,MATCH(K224,[1]物品基础表!$B:$B,0)),"")</f>
        <v>高级转生轮回礼包</v>
      </c>
      <c r="M224" s="32">
        <v>3</v>
      </c>
      <c r="N224" s="32">
        <v>200015</v>
      </c>
      <c r="O224" s="1" t="str">
        <f>IFERROR(INDEX([1]物品基础表!$A:$A,MATCH(N224,[1]物品基础表!$B:$B,0)),"")</f>
        <v>特戒碎片</v>
      </c>
      <c r="P224" s="32">
        <v>500</v>
      </c>
      <c r="R224" s="1" t="str">
        <f>IFERROR(INDEX([1]物品基础表!$A:$A,MATCH(Q224,[1]物品基础表!$B:$B,0)),"")</f>
        <v/>
      </c>
      <c r="U224" s="1" t="str">
        <f>IFERROR(INDEX([1]物品基础表!$A:$A,MATCH(T224,[1]物品基础表!$B:$B,0)),"")</f>
        <v/>
      </c>
      <c r="X224" s="1" t="str">
        <f>IFERROR(INDEX([1]物品基础表!$A:$A,MATCH(W224,[1]物品基础表!$B:$B,0)),"")</f>
        <v/>
      </c>
    </row>
    <row r="225" spans="1:24">
      <c r="A225" s="32" t="str">
        <f>INDEX([2]活动总表!$A$8:$A$429,MATCH(B225,[2]活动总表!$B$8:$B$429,0))</f>
        <v>开门红活动-新连冲</v>
      </c>
      <c r="B225" s="32">
        <v>608</v>
      </c>
      <c r="C225" s="32">
        <v>3</v>
      </c>
      <c r="D225" s="32">
        <v>3</v>
      </c>
      <c r="E225" s="32">
        <v>3</v>
      </c>
      <c r="F225" s="32">
        <v>2000</v>
      </c>
      <c r="G225" s="32" t="s">
        <v>719</v>
      </c>
      <c r="H225" s="32">
        <v>2</v>
      </c>
      <c r="I225" s="1" t="str">
        <f t="shared" si="14"/>
        <v>元宝</v>
      </c>
      <c r="J225" s="32">
        <v>1000</v>
      </c>
      <c r="K225" s="32">
        <v>204064</v>
      </c>
      <c r="L225" s="1" t="str">
        <f>IFERROR(INDEX([1]物品基础表!$A:$A,MATCH(K225,[1]物品基础表!$B:$B,0)),"")</f>
        <v>高级转生轮回礼包</v>
      </c>
      <c r="M225" s="32">
        <v>3</v>
      </c>
      <c r="N225" s="32">
        <v>200015</v>
      </c>
      <c r="O225" s="1" t="str">
        <f>IFERROR(INDEX([1]物品基础表!$A:$A,MATCH(N225,[1]物品基础表!$B:$B,0)),"")</f>
        <v>特戒碎片</v>
      </c>
      <c r="P225" s="32">
        <v>500</v>
      </c>
      <c r="R225" s="1" t="str">
        <f>IFERROR(INDEX([1]物品基础表!$A:$A,MATCH(Q225,[1]物品基础表!$B:$B,0)),"")</f>
        <v/>
      </c>
      <c r="U225" s="1" t="str">
        <f>IFERROR(INDEX([1]物品基础表!$A:$A,MATCH(T225,[1]物品基础表!$B:$B,0)),"")</f>
        <v/>
      </c>
      <c r="X225" s="1" t="str">
        <f>IFERROR(INDEX([1]物品基础表!$A:$A,MATCH(W225,[1]物品基础表!$B:$B,0)),"")</f>
        <v/>
      </c>
    </row>
    <row r="226" spans="1:24">
      <c r="A226" s="32" t="str">
        <f>INDEX([2]活动总表!$A$8:$A$429,MATCH(B226,[2]活动总表!$B$8:$B$429,0))</f>
        <v>开门红活动-新连冲</v>
      </c>
      <c r="B226" s="32">
        <v>608</v>
      </c>
      <c r="C226" s="32">
        <v>4</v>
      </c>
      <c r="D226" s="32">
        <v>1</v>
      </c>
      <c r="E226" s="32">
        <v>3</v>
      </c>
      <c r="F226" s="32">
        <v>2000</v>
      </c>
      <c r="G226" s="32" t="s">
        <v>719</v>
      </c>
      <c r="H226" s="32">
        <v>2</v>
      </c>
      <c r="I226" s="1" t="str">
        <f t="shared" si="14"/>
        <v>元宝</v>
      </c>
      <c r="J226" s="32">
        <v>3000</v>
      </c>
      <c r="K226" s="32">
        <v>204064</v>
      </c>
      <c r="L226" s="1" t="str">
        <f>IFERROR(INDEX([1]物品基础表!$A:$A,MATCH(K226,[1]物品基础表!$B:$B,0)),"")</f>
        <v>高级转生轮回礼包</v>
      </c>
      <c r="M226" s="32">
        <v>5</v>
      </c>
      <c r="N226" s="32">
        <v>200980</v>
      </c>
      <c r="O226" s="1" t="str">
        <f>IFERROR(INDEX([1]物品基础表!$A:$A,MATCH(N226,[1]物品基础表!$B:$B,0)),"")</f>
        <v>4-6转神装宝箱</v>
      </c>
      <c r="P226" s="32">
        <v>1</v>
      </c>
      <c r="R226" s="1" t="str">
        <f>IFERROR(INDEX([1]物品基础表!$A:$A,MATCH(Q226,[1]物品基础表!$B:$B,0)),"")</f>
        <v/>
      </c>
      <c r="U226" s="1" t="str">
        <f>IFERROR(INDEX([1]物品基础表!$A:$A,MATCH(T226,[1]物品基础表!$B:$B,0)),"")</f>
        <v/>
      </c>
      <c r="X226" s="1" t="str">
        <f>IFERROR(INDEX([1]物品基础表!$A:$A,MATCH(W226,[1]物品基础表!$B:$B,0)),"")</f>
        <v/>
      </c>
    </row>
    <row r="227" spans="1:24">
      <c r="A227" s="32" t="str">
        <f>INDEX([2]活动总表!$A$8:$A$429,MATCH(B227,[2]活动总表!$B$8:$B$429,0))</f>
        <v>开门红活动-新连冲</v>
      </c>
      <c r="B227" s="32">
        <v>609</v>
      </c>
      <c r="C227" s="32">
        <v>1</v>
      </c>
      <c r="D227" s="32">
        <v>3</v>
      </c>
      <c r="E227" s="32">
        <v>1</v>
      </c>
      <c r="F227" s="32">
        <v>5000</v>
      </c>
      <c r="H227" s="32">
        <v>204067</v>
      </c>
      <c r="I227" s="1" t="str">
        <f>IFERROR(INDEX([1]物品基础表!$A:$A,MATCH(H227,[1]物品基础表!$B:$B,0)),"")</f>
        <v>玉佩升级道具2</v>
      </c>
      <c r="J227" s="32">
        <v>1</v>
      </c>
      <c r="K227" s="32">
        <v>204064</v>
      </c>
      <c r="L227" s="1" t="str">
        <f>IFERROR(INDEX([1]物品基础表!$A:$A,MATCH(K227,[1]物品基础表!$B:$B,0)),"")</f>
        <v>高级转生轮回礼包</v>
      </c>
      <c r="M227" s="32">
        <v>5</v>
      </c>
      <c r="N227" s="32">
        <v>200208</v>
      </c>
      <c r="O227" s="1" t="str">
        <f>IFERROR(INDEX([1]物品基础表!$A:$A,MATCH(N227,[1]物品基础表!$B:$B,0)),"")</f>
        <v>烈焰印记低级升级材料</v>
      </c>
      <c r="P227" s="32">
        <v>500</v>
      </c>
      <c r="R227" s="1" t="str">
        <f>IFERROR(INDEX([1]物品基础表!$A:$A,MATCH(Q227,[1]物品基础表!$B:$B,0)),"")</f>
        <v/>
      </c>
      <c r="U227" s="1" t="str">
        <f>IFERROR(INDEX([1]物品基础表!$A:$A,MATCH(T227,[1]物品基础表!$B:$B,0)),"")</f>
        <v/>
      </c>
      <c r="X227" s="1" t="str">
        <f>IFERROR(INDEX([1]物品基础表!$A:$A,MATCH(W227,[1]物品基础表!$B:$B,0)),"")</f>
        <v/>
      </c>
    </row>
    <row r="228" spans="1:24">
      <c r="A228" s="32" t="str">
        <f>INDEX([2]活动总表!$A$8:$A$429,MATCH(B228,[2]活动总表!$B$8:$B$429,0))</f>
        <v>开门红活动-新连冲</v>
      </c>
      <c r="B228" s="32">
        <v>609</v>
      </c>
      <c r="C228" s="32">
        <v>2</v>
      </c>
      <c r="D228" s="32">
        <v>3</v>
      </c>
      <c r="E228" s="32">
        <v>2</v>
      </c>
      <c r="F228" s="32">
        <v>5000</v>
      </c>
      <c r="H228" s="32">
        <v>204067</v>
      </c>
      <c r="I228" s="1" t="str">
        <f>IFERROR(INDEX([1]物品基础表!$A:$A,MATCH(H228,[1]物品基础表!$B:$B,0)),"")</f>
        <v>玉佩升级道具2</v>
      </c>
      <c r="J228" s="32">
        <v>1</v>
      </c>
      <c r="K228" s="32">
        <v>204064</v>
      </c>
      <c r="L228" s="1" t="str">
        <f>IFERROR(INDEX([1]物品基础表!$A:$A,MATCH(K228,[1]物品基础表!$B:$B,0)),"")</f>
        <v>高级转生轮回礼包</v>
      </c>
      <c r="M228" s="32">
        <v>5</v>
      </c>
      <c r="N228" s="32">
        <v>200208</v>
      </c>
      <c r="O228" s="1" t="str">
        <f>IFERROR(INDEX([1]物品基础表!$A:$A,MATCH(N228,[1]物品基础表!$B:$B,0)),"")</f>
        <v>烈焰印记低级升级材料</v>
      </c>
      <c r="P228" s="32">
        <v>500</v>
      </c>
      <c r="R228" s="1" t="str">
        <f>IFERROR(INDEX([1]物品基础表!$A:$A,MATCH(Q228,[1]物品基础表!$B:$B,0)),"")</f>
        <v/>
      </c>
      <c r="U228" s="1" t="str">
        <f>IFERROR(INDEX([1]物品基础表!$A:$A,MATCH(T228,[1]物品基础表!$B:$B,0)),"")</f>
        <v/>
      </c>
      <c r="X228" s="1" t="str">
        <f>IFERROR(INDEX([1]物品基础表!$A:$A,MATCH(W228,[1]物品基础表!$B:$B,0)),"")</f>
        <v/>
      </c>
    </row>
    <row r="229" spans="1:24">
      <c r="A229" s="32" t="str">
        <f>INDEX([2]活动总表!$A$8:$A$429,MATCH(B229,[2]活动总表!$B$8:$B$429,0))</f>
        <v>开门红活动-新连冲</v>
      </c>
      <c r="B229" s="32">
        <v>609</v>
      </c>
      <c r="C229" s="32">
        <v>3</v>
      </c>
      <c r="D229" s="32">
        <v>3</v>
      </c>
      <c r="E229" s="32">
        <v>3</v>
      </c>
      <c r="F229" s="32">
        <v>5000</v>
      </c>
      <c r="H229" s="32">
        <v>204067</v>
      </c>
      <c r="I229" s="1" t="str">
        <f>IFERROR(INDEX([1]物品基础表!$A:$A,MATCH(H229,[1]物品基础表!$B:$B,0)),"")</f>
        <v>玉佩升级道具2</v>
      </c>
      <c r="J229" s="32">
        <v>1</v>
      </c>
      <c r="K229" s="32">
        <v>204064</v>
      </c>
      <c r="L229" s="1" t="str">
        <f>IFERROR(INDEX([1]物品基础表!$A:$A,MATCH(K229,[1]物品基础表!$B:$B,0)),"")</f>
        <v>高级转生轮回礼包</v>
      </c>
      <c r="M229" s="32">
        <v>5</v>
      </c>
      <c r="N229" s="32">
        <v>200208</v>
      </c>
      <c r="O229" s="1" t="str">
        <f>IFERROR(INDEX([1]物品基础表!$A:$A,MATCH(N229,[1]物品基础表!$B:$B,0)),"")</f>
        <v>烈焰印记低级升级材料</v>
      </c>
      <c r="P229" s="32">
        <v>500</v>
      </c>
      <c r="R229" s="1" t="str">
        <f>IFERROR(INDEX([1]物品基础表!$A:$A,MATCH(Q229,[1]物品基础表!$B:$B,0)),"")</f>
        <v/>
      </c>
      <c r="U229" s="1" t="str">
        <f>IFERROR(INDEX([1]物品基础表!$A:$A,MATCH(T229,[1]物品基础表!$B:$B,0)),"")</f>
        <v/>
      </c>
      <c r="X229" s="1" t="str">
        <f>IFERROR(INDEX([1]物品基础表!$A:$A,MATCH(W229,[1]物品基础表!$B:$B,0)),"")</f>
        <v/>
      </c>
    </row>
    <row r="230" spans="1:24">
      <c r="A230" s="32" t="str">
        <f>INDEX([2]活动总表!$A$8:$A$429,MATCH(B230,[2]活动总表!$B$8:$B$429,0))</f>
        <v>开门红活动-新连冲</v>
      </c>
      <c r="B230" s="32">
        <v>609</v>
      </c>
      <c r="C230" s="32">
        <v>4</v>
      </c>
      <c r="D230" s="32">
        <v>1</v>
      </c>
      <c r="E230" s="32">
        <v>3</v>
      </c>
      <c r="F230" s="32">
        <v>5000</v>
      </c>
      <c r="H230" s="32">
        <v>200997</v>
      </c>
      <c r="I230" s="1" t="str">
        <f>IFERROR(INDEX([1]物品基础表!$A:$A,MATCH(H230,[1]物品基础表!$B:$B,0)),"")</f>
        <v>星☆传世宝箱</v>
      </c>
      <c r="J230" s="32">
        <v>1</v>
      </c>
      <c r="K230" s="32">
        <v>204071</v>
      </c>
      <c r="L230" s="1" t="str">
        <f>IFERROR(INDEX([1]物品基础表!$A:$A,MATCH(K230,[1]物品基础表!$B:$B,0)),"")</f>
        <v>玉佩温养道具3</v>
      </c>
      <c r="M230" s="32">
        <v>1</v>
      </c>
      <c r="N230" s="32">
        <v>204068</v>
      </c>
      <c r="O230" s="1" t="str">
        <f>IFERROR(INDEX([1]物品基础表!$A:$A,MATCH(N230,[1]物品基础表!$B:$B,0)),"")</f>
        <v>玉佩升级道具3</v>
      </c>
      <c r="P230" s="32">
        <v>1</v>
      </c>
      <c r="R230" s="1" t="str">
        <f>IFERROR(INDEX([1]物品基础表!$A:$A,MATCH(Q230,[1]物品基础表!$B:$B,0)),"")</f>
        <v/>
      </c>
      <c r="U230" s="1" t="str">
        <f>IFERROR(INDEX([1]物品基础表!$A:$A,MATCH(T230,[1]物品基础表!$B:$B,0)),"")</f>
        <v/>
      </c>
      <c r="X230" s="1" t="str">
        <f>IFERROR(INDEX([1]物品基础表!$A:$A,MATCH(W230,[1]物品基础表!$B:$B,0)),"")</f>
        <v/>
      </c>
    </row>
    <row r="231" spans="1:24">
      <c r="A231" s="32" t="str">
        <f>INDEX([2]活动总表!$A$8:$A$429,MATCH(B231,[2]活动总表!$B$8:$B$429,0))</f>
        <v>开门红活动-新连冲</v>
      </c>
      <c r="B231" s="32">
        <v>610</v>
      </c>
      <c r="C231" s="32">
        <v>1</v>
      </c>
      <c r="D231" s="32">
        <v>3</v>
      </c>
      <c r="E231" s="32">
        <v>1</v>
      </c>
      <c r="F231" s="32">
        <v>20000</v>
      </c>
      <c r="H231" s="32">
        <v>200997</v>
      </c>
      <c r="I231" s="1" t="str">
        <f>IFERROR(INDEX([1]物品基础表!$A:$A,MATCH(H231,[1]物品基础表!$B:$B,0)),"")</f>
        <v>星☆传世宝箱</v>
      </c>
      <c r="J231" s="32">
        <v>1</v>
      </c>
      <c r="K231" s="32">
        <v>204065</v>
      </c>
      <c r="L231" s="1" t="str">
        <f>IFERROR(INDEX([1]物品基础表!$A:$A,MATCH(K231,[1]物品基础表!$B:$B,0)),"")</f>
        <v>超级转生轮回礼包</v>
      </c>
      <c r="M231" s="32">
        <v>1</v>
      </c>
      <c r="N231" s="32">
        <v>200329</v>
      </c>
      <c r="O231" s="1" t="str">
        <f>IFERROR(INDEX([1]物品基础表!$A:$A,MATCH(N231,[1]物品基础表!$B:$B,0)),"")</f>
        <v>羽翼飞升丹</v>
      </c>
      <c r="P231" s="32">
        <v>3</v>
      </c>
      <c r="R231" s="1" t="str">
        <f>IFERROR(INDEX([1]物品基础表!$A:$A,MATCH(Q231,[1]物品基础表!$B:$B,0)),"")</f>
        <v/>
      </c>
      <c r="U231" s="1" t="str">
        <f>IFERROR(INDEX([1]物品基础表!$A:$A,MATCH(T231,[1]物品基础表!$B:$B,0)),"")</f>
        <v/>
      </c>
      <c r="X231" s="1" t="str">
        <f>IFERROR(INDEX([1]物品基础表!$A:$A,MATCH(W231,[1]物品基础表!$B:$B,0)),"")</f>
        <v/>
      </c>
    </row>
    <row r="232" spans="1:24">
      <c r="A232" s="32" t="str">
        <f>INDEX([2]活动总表!$A$8:$A$429,MATCH(B232,[2]活动总表!$B$8:$B$429,0))</f>
        <v>开门红活动-新连冲</v>
      </c>
      <c r="B232" s="32">
        <v>610</v>
      </c>
      <c r="C232" s="32">
        <v>2</v>
      </c>
      <c r="D232" s="32">
        <v>3</v>
      </c>
      <c r="E232" s="32">
        <v>2</v>
      </c>
      <c r="F232" s="32">
        <v>20000</v>
      </c>
      <c r="H232" s="32">
        <v>200997</v>
      </c>
      <c r="I232" s="1" t="str">
        <f>IFERROR(INDEX([1]物品基础表!$A:$A,MATCH(H232,[1]物品基础表!$B:$B,0)),"")</f>
        <v>星☆传世宝箱</v>
      </c>
      <c r="J232" s="32">
        <v>1</v>
      </c>
      <c r="K232" s="32">
        <v>204065</v>
      </c>
      <c r="L232" s="1" t="str">
        <f>IFERROR(INDEX([1]物品基础表!$A:$A,MATCH(K232,[1]物品基础表!$B:$B,0)),"")</f>
        <v>超级转生轮回礼包</v>
      </c>
      <c r="M232" s="32">
        <v>1</v>
      </c>
      <c r="N232" s="32">
        <v>200329</v>
      </c>
      <c r="O232" s="1" t="str">
        <f>IFERROR(INDEX([1]物品基础表!$A:$A,MATCH(N232,[1]物品基础表!$B:$B,0)),"")</f>
        <v>羽翼飞升丹</v>
      </c>
      <c r="P232" s="32">
        <v>3</v>
      </c>
      <c r="R232" s="1" t="str">
        <f>IFERROR(INDEX([1]物品基础表!$A:$A,MATCH(Q232,[1]物品基础表!$B:$B,0)),"")</f>
        <v/>
      </c>
      <c r="U232" s="1" t="str">
        <f>IFERROR(INDEX([1]物品基础表!$A:$A,MATCH(T232,[1]物品基础表!$B:$B,0)),"")</f>
        <v/>
      </c>
      <c r="X232" s="1" t="str">
        <f>IFERROR(INDEX([1]物品基础表!$A:$A,MATCH(W232,[1]物品基础表!$B:$B,0)),"")</f>
        <v/>
      </c>
    </row>
    <row r="233" spans="1:24">
      <c r="A233" s="32" t="str">
        <f>INDEX([2]活动总表!$A$8:$A$429,MATCH(B233,[2]活动总表!$B$8:$B$429,0))</f>
        <v>开门红活动-新连冲</v>
      </c>
      <c r="B233" s="32">
        <v>610</v>
      </c>
      <c r="C233" s="32">
        <v>3</v>
      </c>
      <c r="D233" s="32">
        <v>3</v>
      </c>
      <c r="E233" s="32">
        <v>3</v>
      </c>
      <c r="F233" s="32">
        <v>20000</v>
      </c>
      <c r="H233" s="32">
        <v>200997</v>
      </c>
      <c r="I233" s="1" t="str">
        <f>IFERROR(INDEX([1]物品基础表!$A:$A,MATCH(H233,[1]物品基础表!$B:$B,0)),"")</f>
        <v>星☆传世宝箱</v>
      </c>
      <c r="J233" s="32">
        <v>1</v>
      </c>
      <c r="K233" s="32">
        <v>204065</v>
      </c>
      <c r="L233" s="1" t="str">
        <f>IFERROR(INDEX([1]物品基础表!$A:$A,MATCH(K233,[1]物品基础表!$B:$B,0)),"")</f>
        <v>超级转生轮回礼包</v>
      </c>
      <c r="M233" s="32">
        <v>1</v>
      </c>
      <c r="N233" s="32">
        <v>200329</v>
      </c>
      <c r="O233" s="1" t="str">
        <f>IFERROR(INDEX([1]物品基础表!$A:$A,MATCH(N233,[1]物品基础表!$B:$B,0)),"")</f>
        <v>羽翼飞升丹</v>
      </c>
      <c r="P233" s="32">
        <v>3</v>
      </c>
      <c r="R233" s="1" t="str">
        <f>IFERROR(INDEX([1]物品基础表!$A:$A,MATCH(Q233,[1]物品基础表!$B:$B,0)),"")</f>
        <v/>
      </c>
      <c r="U233" s="1" t="str">
        <f>IFERROR(INDEX([1]物品基础表!$A:$A,MATCH(T233,[1]物品基础表!$B:$B,0)),"")</f>
        <v/>
      </c>
      <c r="X233" s="1" t="str">
        <f>IFERROR(INDEX([1]物品基础表!$A:$A,MATCH(W233,[1]物品基础表!$B:$B,0)),"")</f>
        <v/>
      </c>
    </row>
    <row r="234" spans="1:24">
      <c r="A234" s="32" t="str">
        <f>INDEX([2]活动总表!$A$8:$A$429,MATCH(B234,[2]活动总表!$B$8:$B$429,0))</f>
        <v>开门红活动-新连冲</v>
      </c>
      <c r="B234" s="32">
        <v>610</v>
      </c>
      <c r="C234" s="32">
        <v>4</v>
      </c>
      <c r="D234" s="32">
        <v>1</v>
      </c>
      <c r="E234" s="32">
        <v>3</v>
      </c>
      <c r="F234" s="32">
        <v>20000</v>
      </c>
      <c r="H234" s="32">
        <v>204029</v>
      </c>
      <c r="I234" s="1" t="str">
        <f>IFERROR(INDEX([1]物品基础表!$A:$A,MATCH(H234,[1]物品基础表!$B:$B,0)),"")</f>
        <v>魔魂礼包</v>
      </c>
      <c r="J234" s="32">
        <v>1</v>
      </c>
      <c r="K234" s="32">
        <v>205002</v>
      </c>
      <c r="L234" s="1" t="str">
        <f>IFERROR(INDEX([1]物品基础表!$A:$A,MATCH(K234,[1]物品基础表!$B:$B,0)),"")</f>
        <v>战灵飞升丹</v>
      </c>
      <c r="M234" s="32">
        <v>1</v>
      </c>
      <c r="N234" s="32">
        <v>204068</v>
      </c>
      <c r="O234" s="1" t="str">
        <f>IFERROR(INDEX([1]物品基础表!$A:$A,MATCH(N234,[1]物品基础表!$B:$B,0)),"")</f>
        <v>玉佩升级道具3</v>
      </c>
      <c r="P234" s="32">
        <v>1</v>
      </c>
      <c r="R234" s="1" t="str">
        <f>IFERROR(INDEX([1]物品基础表!$A:$A,MATCH(Q234,[1]物品基础表!$B:$B,0)),"")</f>
        <v/>
      </c>
      <c r="U234" s="1" t="str">
        <f>IFERROR(INDEX([1]物品基础表!$A:$A,MATCH(T234,[1]物品基础表!$B:$B,0)),"")</f>
        <v/>
      </c>
      <c r="X234" s="1" t="str">
        <f>IFERROR(INDEX([1]物品基础表!$A:$A,MATCH(W234,[1]物品基础表!$B:$B,0)),"")</f>
        <v/>
      </c>
    </row>
    <row r="235" spans="1:24">
      <c r="A235" s="32" t="str">
        <f>INDEX([2]活动总表!$A$8:$A$429,MATCH(B235,[2]活动总表!$B$8:$B$429,0))</f>
        <v>开门红活动-新连冲</v>
      </c>
      <c r="B235" s="32">
        <v>620</v>
      </c>
      <c r="C235" s="32">
        <v>1</v>
      </c>
      <c r="D235" s="32">
        <v>3</v>
      </c>
      <c r="E235" s="32">
        <v>1</v>
      </c>
      <c r="F235" s="32">
        <v>2000</v>
      </c>
      <c r="G235" s="32" t="s">
        <v>720</v>
      </c>
      <c r="H235" s="32">
        <v>2</v>
      </c>
      <c r="I235" s="1" t="str">
        <f t="shared" ref="I235:I238" si="15">IF(H235=2,"元宝","神兵经验")</f>
        <v>元宝</v>
      </c>
      <c r="J235" s="32">
        <v>1000</v>
      </c>
      <c r="K235" s="32">
        <v>204064</v>
      </c>
      <c r="L235" s="1" t="str">
        <f>IFERROR(INDEX([1]物品基础表!$A:$A,MATCH(K235,[1]物品基础表!$B:$B,0)),"")</f>
        <v>高级转生轮回礼包</v>
      </c>
      <c r="M235" s="32">
        <v>3</v>
      </c>
      <c r="N235" s="32">
        <v>200015</v>
      </c>
      <c r="O235" s="1" t="str">
        <f>IFERROR(INDEX([1]物品基础表!$A:$A,MATCH(N235,[1]物品基础表!$B:$B,0)),"")</f>
        <v>特戒碎片</v>
      </c>
      <c r="P235" s="32">
        <v>500</v>
      </c>
      <c r="R235" s="1" t="str">
        <f>IFERROR(INDEX([1]物品基础表!$A:$A,MATCH(Q235,[1]物品基础表!$B:$B,0)),"")</f>
        <v/>
      </c>
      <c r="U235" s="1" t="str">
        <f>IFERROR(INDEX([1]物品基础表!$A:$A,MATCH(T235,[1]物品基础表!$B:$B,0)),"")</f>
        <v/>
      </c>
      <c r="X235" s="1" t="str">
        <f>IFERROR(INDEX([1]物品基础表!$A:$A,MATCH(W235,[1]物品基础表!$B:$B,0)),"")</f>
        <v/>
      </c>
    </row>
    <row r="236" spans="1:24">
      <c r="A236" s="32" t="str">
        <f>INDEX([2]活动总表!$A$8:$A$429,MATCH(B236,[2]活动总表!$B$8:$B$429,0))</f>
        <v>开门红活动-新连冲</v>
      </c>
      <c r="B236" s="32">
        <v>620</v>
      </c>
      <c r="C236" s="32">
        <v>2</v>
      </c>
      <c r="D236" s="32">
        <v>3</v>
      </c>
      <c r="E236" s="32">
        <v>2</v>
      </c>
      <c r="F236" s="32">
        <v>2000</v>
      </c>
      <c r="G236" s="32" t="s">
        <v>720</v>
      </c>
      <c r="H236" s="32">
        <v>2</v>
      </c>
      <c r="I236" s="1" t="str">
        <f t="shared" si="15"/>
        <v>元宝</v>
      </c>
      <c r="J236" s="32">
        <v>1000</v>
      </c>
      <c r="K236" s="32">
        <v>204064</v>
      </c>
      <c r="L236" s="1" t="str">
        <f>IFERROR(INDEX([1]物品基础表!$A:$A,MATCH(K236,[1]物品基础表!$B:$B,0)),"")</f>
        <v>高级转生轮回礼包</v>
      </c>
      <c r="M236" s="32">
        <v>3</v>
      </c>
      <c r="N236" s="32">
        <v>200015</v>
      </c>
      <c r="O236" s="1" t="str">
        <f>IFERROR(INDEX([1]物品基础表!$A:$A,MATCH(N236,[1]物品基础表!$B:$B,0)),"")</f>
        <v>特戒碎片</v>
      </c>
      <c r="P236" s="32">
        <v>500</v>
      </c>
      <c r="R236" s="1" t="str">
        <f>IFERROR(INDEX([1]物品基础表!$A:$A,MATCH(Q236,[1]物品基础表!$B:$B,0)),"")</f>
        <v/>
      </c>
      <c r="U236" s="1" t="str">
        <f>IFERROR(INDEX([1]物品基础表!$A:$A,MATCH(T236,[1]物品基础表!$B:$B,0)),"")</f>
        <v/>
      </c>
      <c r="X236" s="1" t="str">
        <f>IFERROR(INDEX([1]物品基础表!$A:$A,MATCH(W236,[1]物品基础表!$B:$B,0)),"")</f>
        <v/>
      </c>
    </row>
    <row r="237" spans="1:24">
      <c r="A237" s="32" t="str">
        <f>INDEX([2]活动总表!$A$8:$A$429,MATCH(B237,[2]活动总表!$B$8:$B$429,0))</f>
        <v>开门红活动-新连冲</v>
      </c>
      <c r="B237" s="32">
        <v>620</v>
      </c>
      <c r="C237" s="32">
        <v>3</v>
      </c>
      <c r="D237" s="32">
        <v>3</v>
      </c>
      <c r="E237" s="32">
        <v>3</v>
      </c>
      <c r="F237" s="32">
        <v>2000</v>
      </c>
      <c r="G237" s="32" t="s">
        <v>720</v>
      </c>
      <c r="H237" s="32">
        <v>2</v>
      </c>
      <c r="I237" s="1" t="str">
        <f t="shared" si="15"/>
        <v>元宝</v>
      </c>
      <c r="J237" s="32">
        <v>1000</v>
      </c>
      <c r="K237" s="32">
        <v>204064</v>
      </c>
      <c r="L237" s="1" t="str">
        <f>IFERROR(INDEX([1]物品基础表!$A:$A,MATCH(K237,[1]物品基础表!$B:$B,0)),"")</f>
        <v>高级转生轮回礼包</v>
      </c>
      <c r="M237" s="32">
        <v>3</v>
      </c>
      <c r="N237" s="32">
        <v>200015</v>
      </c>
      <c r="O237" s="1" t="str">
        <f>IFERROR(INDEX([1]物品基础表!$A:$A,MATCH(N237,[1]物品基础表!$B:$B,0)),"")</f>
        <v>特戒碎片</v>
      </c>
      <c r="P237" s="32">
        <v>500</v>
      </c>
      <c r="R237" s="1" t="str">
        <f>IFERROR(INDEX([1]物品基础表!$A:$A,MATCH(Q237,[1]物品基础表!$B:$B,0)),"")</f>
        <v/>
      </c>
      <c r="U237" s="1" t="str">
        <f>IFERROR(INDEX([1]物品基础表!$A:$A,MATCH(T237,[1]物品基础表!$B:$B,0)),"")</f>
        <v/>
      </c>
      <c r="X237" s="1" t="str">
        <f>IFERROR(INDEX([1]物品基础表!$A:$A,MATCH(W237,[1]物品基础表!$B:$B,0)),"")</f>
        <v/>
      </c>
    </row>
    <row r="238" spans="1:24">
      <c r="A238" s="32" t="str">
        <f>INDEX([2]活动总表!$A$8:$A$429,MATCH(B238,[2]活动总表!$B$8:$B$429,0))</f>
        <v>开门红活动-新连冲</v>
      </c>
      <c r="B238" s="32">
        <v>620</v>
      </c>
      <c r="C238" s="32">
        <v>4</v>
      </c>
      <c r="D238" s="32">
        <v>1</v>
      </c>
      <c r="E238" s="32">
        <v>3</v>
      </c>
      <c r="F238" s="32">
        <v>2000</v>
      </c>
      <c r="G238" s="32" t="s">
        <v>720</v>
      </c>
      <c r="H238" s="32">
        <v>2</v>
      </c>
      <c r="I238" s="1" t="str">
        <f t="shared" si="15"/>
        <v>元宝</v>
      </c>
      <c r="J238" s="32">
        <v>3000</v>
      </c>
      <c r="K238" s="32">
        <v>204064</v>
      </c>
      <c r="L238" s="1" t="str">
        <f>IFERROR(INDEX([1]物品基础表!$A:$A,MATCH(K238,[1]物品基础表!$B:$B,0)),"")</f>
        <v>高级转生轮回礼包</v>
      </c>
      <c r="M238" s="32">
        <v>5</v>
      </c>
      <c r="N238" s="32">
        <v>200980</v>
      </c>
      <c r="O238" s="1" t="str">
        <f>IFERROR(INDEX([1]物品基础表!$A:$A,MATCH(N238,[1]物品基础表!$B:$B,0)),"")</f>
        <v>4-6转神装宝箱</v>
      </c>
      <c r="P238" s="32">
        <v>1</v>
      </c>
      <c r="R238" s="1" t="str">
        <f>IFERROR(INDEX([1]物品基础表!$A:$A,MATCH(Q238,[1]物品基础表!$B:$B,0)),"")</f>
        <v/>
      </c>
      <c r="U238" s="1" t="str">
        <f>IFERROR(INDEX([1]物品基础表!$A:$A,MATCH(T238,[1]物品基础表!$B:$B,0)),"")</f>
        <v/>
      </c>
      <c r="X238" s="1" t="str">
        <f>IFERROR(INDEX([1]物品基础表!$A:$A,MATCH(W238,[1]物品基础表!$B:$B,0)),"")</f>
        <v/>
      </c>
    </row>
    <row r="239" spans="1:24">
      <c r="A239" s="32" t="str">
        <f>INDEX([2]活动总表!$A$8:$A$429,MATCH(B239,[2]活动总表!$B$8:$B$429,0))</f>
        <v>开门红活动-新连冲</v>
      </c>
      <c r="B239" s="32">
        <v>621</v>
      </c>
      <c r="C239" s="32">
        <v>1</v>
      </c>
      <c r="D239" s="32">
        <v>3</v>
      </c>
      <c r="E239" s="32">
        <v>1</v>
      </c>
      <c r="F239" s="32">
        <v>5000</v>
      </c>
      <c r="H239" s="32">
        <v>204067</v>
      </c>
      <c r="I239" s="1" t="str">
        <f>IFERROR(INDEX([1]物品基础表!$A:$A,MATCH(H239,[1]物品基础表!$B:$B,0)),"")</f>
        <v>玉佩升级道具2</v>
      </c>
      <c r="J239" s="32">
        <v>1</v>
      </c>
      <c r="K239" s="32">
        <v>204064</v>
      </c>
      <c r="L239" s="1" t="str">
        <f>IFERROR(INDEX([1]物品基础表!$A:$A,MATCH(K239,[1]物品基础表!$B:$B,0)),"")</f>
        <v>高级转生轮回礼包</v>
      </c>
      <c r="M239" s="32">
        <v>5</v>
      </c>
      <c r="N239" s="32">
        <v>200208</v>
      </c>
      <c r="O239" s="1" t="str">
        <f>IFERROR(INDEX([1]物品基础表!$A:$A,MATCH(N239,[1]物品基础表!$B:$B,0)),"")</f>
        <v>烈焰印记低级升级材料</v>
      </c>
      <c r="P239" s="32">
        <v>500</v>
      </c>
      <c r="R239" s="1" t="str">
        <f>IFERROR(INDEX([1]物品基础表!$A:$A,MATCH(Q239,[1]物品基础表!$B:$B,0)),"")</f>
        <v/>
      </c>
      <c r="U239" s="1" t="str">
        <f>IFERROR(INDEX([1]物品基础表!$A:$A,MATCH(T239,[1]物品基础表!$B:$B,0)),"")</f>
        <v/>
      </c>
      <c r="X239" s="1" t="str">
        <f>IFERROR(INDEX([1]物品基础表!$A:$A,MATCH(W239,[1]物品基础表!$B:$B,0)),"")</f>
        <v/>
      </c>
    </row>
    <row r="240" spans="1:24">
      <c r="A240" s="32" t="str">
        <f>INDEX([2]活动总表!$A$8:$A$429,MATCH(B240,[2]活动总表!$B$8:$B$429,0))</f>
        <v>开门红活动-新连冲</v>
      </c>
      <c r="B240" s="32">
        <v>621</v>
      </c>
      <c r="C240" s="32">
        <v>2</v>
      </c>
      <c r="D240" s="32">
        <v>3</v>
      </c>
      <c r="E240" s="32">
        <v>2</v>
      </c>
      <c r="F240" s="32">
        <v>5000</v>
      </c>
      <c r="H240" s="32">
        <v>204067</v>
      </c>
      <c r="I240" s="1" t="str">
        <f>IFERROR(INDEX([1]物品基础表!$A:$A,MATCH(H240,[1]物品基础表!$B:$B,0)),"")</f>
        <v>玉佩升级道具2</v>
      </c>
      <c r="J240" s="32">
        <v>1</v>
      </c>
      <c r="K240" s="32">
        <v>204064</v>
      </c>
      <c r="L240" s="1" t="str">
        <f>IFERROR(INDEX([1]物品基础表!$A:$A,MATCH(K240,[1]物品基础表!$B:$B,0)),"")</f>
        <v>高级转生轮回礼包</v>
      </c>
      <c r="M240" s="32">
        <v>5</v>
      </c>
      <c r="N240" s="32">
        <v>200208</v>
      </c>
      <c r="O240" s="1" t="str">
        <f>IFERROR(INDEX([1]物品基础表!$A:$A,MATCH(N240,[1]物品基础表!$B:$B,0)),"")</f>
        <v>烈焰印记低级升级材料</v>
      </c>
      <c r="P240" s="32">
        <v>500</v>
      </c>
      <c r="R240" s="1" t="str">
        <f>IFERROR(INDEX([1]物品基础表!$A:$A,MATCH(Q240,[1]物品基础表!$B:$B,0)),"")</f>
        <v/>
      </c>
      <c r="U240" s="1" t="str">
        <f>IFERROR(INDEX([1]物品基础表!$A:$A,MATCH(T240,[1]物品基础表!$B:$B,0)),"")</f>
        <v/>
      </c>
      <c r="X240" s="1" t="str">
        <f>IFERROR(INDEX([1]物品基础表!$A:$A,MATCH(W240,[1]物品基础表!$B:$B,0)),"")</f>
        <v/>
      </c>
    </row>
    <row r="241" spans="1:24">
      <c r="A241" s="32" t="str">
        <f>INDEX([2]活动总表!$A$8:$A$429,MATCH(B241,[2]活动总表!$B$8:$B$429,0))</f>
        <v>开门红活动-新连冲</v>
      </c>
      <c r="B241" s="32">
        <v>621</v>
      </c>
      <c r="C241" s="32">
        <v>3</v>
      </c>
      <c r="D241" s="32">
        <v>3</v>
      </c>
      <c r="E241" s="32">
        <v>3</v>
      </c>
      <c r="F241" s="32">
        <v>5000</v>
      </c>
      <c r="H241" s="32">
        <v>204067</v>
      </c>
      <c r="I241" s="1" t="str">
        <f>IFERROR(INDEX([1]物品基础表!$A:$A,MATCH(H241,[1]物品基础表!$B:$B,0)),"")</f>
        <v>玉佩升级道具2</v>
      </c>
      <c r="J241" s="32">
        <v>1</v>
      </c>
      <c r="K241" s="32">
        <v>204064</v>
      </c>
      <c r="L241" s="1" t="str">
        <f>IFERROR(INDEX([1]物品基础表!$A:$A,MATCH(K241,[1]物品基础表!$B:$B,0)),"")</f>
        <v>高级转生轮回礼包</v>
      </c>
      <c r="M241" s="32">
        <v>5</v>
      </c>
      <c r="N241" s="32">
        <v>200208</v>
      </c>
      <c r="O241" s="1" t="str">
        <f>IFERROR(INDEX([1]物品基础表!$A:$A,MATCH(N241,[1]物品基础表!$B:$B,0)),"")</f>
        <v>烈焰印记低级升级材料</v>
      </c>
      <c r="P241" s="32">
        <v>500</v>
      </c>
      <c r="R241" s="1" t="str">
        <f>IFERROR(INDEX([1]物品基础表!$A:$A,MATCH(Q241,[1]物品基础表!$B:$B,0)),"")</f>
        <v/>
      </c>
      <c r="U241" s="1" t="str">
        <f>IFERROR(INDEX([1]物品基础表!$A:$A,MATCH(T241,[1]物品基础表!$B:$B,0)),"")</f>
        <v/>
      </c>
      <c r="X241" s="1" t="str">
        <f>IFERROR(INDEX([1]物品基础表!$A:$A,MATCH(W241,[1]物品基础表!$B:$B,0)),"")</f>
        <v/>
      </c>
    </row>
    <row r="242" spans="1:24">
      <c r="A242" s="32" t="str">
        <f>INDEX([2]活动总表!$A$8:$A$429,MATCH(B242,[2]活动总表!$B$8:$B$429,0))</f>
        <v>开门红活动-新连冲</v>
      </c>
      <c r="B242" s="32">
        <v>621</v>
      </c>
      <c r="C242" s="32">
        <v>4</v>
      </c>
      <c r="D242" s="32">
        <v>1</v>
      </c>
      <c r="E242" s="32">
        <v>3</v>
      </c>
      <c r="F242" s="32">
        <v>5000</v>
      </c>
      <c r="H242" s="32">
        <v>200997</v>
      </c>
      <c r="I242" s="1" t="str">
        <f>IFERROR(INDEX([1]物品基础表!$A:$A,MATCH(H242,[1]物品基础表!$B:$B,0)),"")</f>
        <v>星☆传世宝箱</v>
      </c>
      <c r="J242" s="32">
        <v>1</v>
      </c>
      <c r="K242" s="32">
        <v>204071</v>
      </c>
      <c r="L242" s="1" t="str">
        <f>IFERROR(INDEX([1]物品基础表!$A:$A,MATCH(K242,[1]物品基础表!$B:$B,0)),"")</f>
        <v>玉佩温养道具3</v>
      </c>
      <c r="M242" s="32">
        <v>1</v>
      </c>
      <c r="N242" s="32">
        <v>204068</v>
      </c>
      <c r="O242" s="1" t="str">
        <f>IFERROR(INDEX([1]物品基础表!$A:$A,MATCH(N242,[1]物品基础表!$B:$B,0)),"")</f>
        <v>玉佩升级道具3</v>
      </c>
      <c r="P242" s="32">
        <v>1</v>
      </c>
      <c r="R242" s="1" t="str">
        <f>IFERROR(INDEX([1]物品基础表!$A:$A,MATCH(Q242,[1]物品基础表!$B:$B,0)),"")</f>
        <v/>
      </c>
      <c r="U242" s="1" t="str">
        <f>IFERROR(INDEX([1]物品基础表!$A:$A,MATCH(T242,[1]物品基础表!$B:$B,0)),"")</f>
        <v/>
      </c>
      <c r="X242" s="1" t="str">
        <f>IFERROR(INDEX([1]物品基础表!$A:$A,MATCH(W242,[1]物品基础表!$B:$B,0)),"")</f>
        <v/>
      </c>
    </row>
    <row r="243" spans="1:24">
      <c r="A243" s="32" t="str">
        <f>INDEX([2]活动总表!$A$8:$A$429,MATCH(B243,[2]活动总表!$B$8:$B$429,0))</f>
        <v>开门红活动-新连冲</v>
      </c>
      <c r="B243" s="32">
        <v>622</v>
      </c>
      <c r="C243" s="32">
        <v>1</v>
      </c>
      <c r="D243" s="32">
        <v>3</v>
      </c>
      <c r="E243" s="32">
        <v>1</v>
      </c>
      <c r="F243" s="32">
        <v>20000</v>
      </c>
      <c r="H243" s="32">
        <v>200997</v>
      </c>
      <c r="I243" s="1" t="str">
        <f>IFERROR(INDEX([1]物品基础表!$A:$A,MATCH(H243,[1]物品基础表!$B:$B,0)),"")</f>
        <v>星☆传世宝箱</v>
      </c>
      <c r="J243" s="32">
        <v>1</v>
      </c>
      <c r="K243" s="32">
        <v>204065</v>
      </c>
      <c r="L243" s="1" t="str">
        <f>IFERROR(INDEX([1]物品基础表!$A:$A,MATCH(K243,[1]物品基础表!$B:$B,0)),"")</f>
        <v>超级转生轮回礼包</v>
      </c>
      <c r="M243" s="32">
        <v>1</v>
      </c>
      <c r="N243" s="32">
        <v>200329</v>
      </c>
      <c r="O243" s="1" t="str">
        <f>IFERROR(INDEX([1]物品基础表!$A:$A,MATCH(N243,[1]物品基础表!$B:$B,0)),"")</f>
        <v>羽翼飞升丹</v>
      </c>
      <c r="P243" s="32">
        <v>3</v>
      </c>
      <c r="R243" s="1" t="str">
        <f>IFERROR(INDEX([1]物品基础表!$A:$A,MATCH(Q243,[1]物品基础表!$B:$B,0)),"")</f>
        <v/>
      </c>
      <c r="U243" s="1" t="str">
        <f>IFERROR(INDEX([1]物品基础表!$A:$A,MATCH(T243,[1]物品基础表!$B:$B,0)),"")</f>
        <v/>
      </c>
      <c r="X243" s="1" t="str">
        <f>IFERROR(INDEX([1]物品基础表!$A:$A,MATCH(W243,[1]物品基础表!$B:$B,0)),"")</f>
        <v/>
      </c>
    </row>
    <row r="244" spans="1:24">
      <c r="A244" s="32" t="str">
        <f>INDEX([2]活动总表!$A$8:$A$429,MATCH(B244,[2]活动总表!$B$8:$B$429,0))</f>
        <v>开门红活动-新连冲</v>
      </c>
      <c r="B244" s="32">
        <v>622</v>
      </c>
      <c r="C244" s="32">
        <v>2</v>
      </c>
      <c r="D244" s="32">
        <v>3</v>
      </c>
      <c r="E244" s="32">
        <v>2</v>
      </c>
      <c r="F244" s="32">
        <v>20000</v>
      </c>
      <c r="H244" s="32">
        <v>200997</v>
      </c>
      <c r="I244" s="1" t="str">
        <f>IFERROR(INDEX([1]物品基础表!$A:$A,MATCH(H244,[1]物品基础表!$B:$B,0)),"")</f>
        <v>星☆传世宝箱</v>
      </c>
      <c r="J244" s="32">
        <v>1</v>
      </c>
      <c r="K244" s="32">
        <v>204065</v>
      </c>
      <c r="L244" s="1" t="str">
        <f>IFERROR(INDEX([1]物品基础表!$A:$A,MATCH(K244,[1]物品基础表!$B:$B,0)),"")</f>
        <v>超级转生轮回礼包</v>
      </c>
      <c r="M244" s="32">
        <v>1</v>
      </c>
      <c r="N244" s="32">
        <v>200329</v>
      </c>
      <c r="O244" s="1" t="str">
        <f>IFERROR(INDEX([1]物品基础表!$A:$A,MATCH(N244,[1]物品基础表!$B:$B,0)),"")</f>
        <v>羽翼飞升丹</v>
      </c>
      <c r="P244" s="32">
        <v>3</v>
      </c>
      <c r="R244" s="1" t="str">
        <f>IFERROR(INDEX([1]物品基础表!$A:$A,MATCH(Q244,[1]物品基础表!$B:$B,0)),"")</f>
        <v/>
      </c>
      <c r="U244" s="1" t="str">
        <f>IFERROR(INDEX([1]物品基础表!$A:$A,MATCH(T244,[1]物品基础表!$B:$B,0)),"")</f>
        <v/>
      </c>
      <c r="X244" s="1" t="str">
        <f>IFERROR(INDEX([1]物品基础表!$A:$A,MATCH(W244,[1]物品基础表!$B:$B,0)),"")</f>
        <v/>
      </c>
    </row>
    <row r="245" spans="1:24">
      <c r="A245" s="32" t="str">
        <f>INDEX([2]活动总表!$A$8:$A$429,MATCH(B245,[2]活动总表!$B$8:$B$429,0))</f>
        <v>开门红活动-新连冲</v>
      </c>
      <c r="B245" s="32">
        <v>622</v>
      </c>
      <c r="C245" s="32">
        <v>3</v>
      </c>
      <c r="D245" s="32">
        <v>3</v>
      </c>
      <c r="E245" s="32">
        <v>3</v>
      </c>
      <c r="F245" s="32">
        <v>20000</v>
      </c>
      <c r="H245" s="32">
        <v>200997</v>
      </c>
      <c r="I245" s="1" t="str">
        <f>IFERROR(INDEX([1]物品基础表!$A:$A,MATCH(H245,[1]物品基础表!$B:$B,0)),"")</f>
        <v>星☆传世宝箱</v>
      </c>
      <c r="J245" s="32">
        <v>1</v>
      </c>
      <c r="K245" s="32">
        <v>204065</v>
      </c>
      <c r="L245" s="1" t="str">
        <f>IFERROR(INDEX([1]物品基础表!$A:$A,MATCH(K245,[1]物品基础表!$B:$B,0)),"")</f>
        <v>超级转生轮回礼包</v>
      </c>
      <c r="M245" s="32">
        <v>1</v>
      </c>
      <c r="N245" s="32">
        <v>200329</v>
      </c>
      <c r="O245" s="1" t="str">
        <f>IFERROR(INDEX([1]物品基础表!$A:$A,MATCH(N245,[1]物品基础表!$B:$B,0)),"")</f>
        <v>羽翼飞升丹</v>
      </c>
      <c r="P245" s="32">
        <v>3</v>
      </c>
      <c r="R245" s="1" t="str">
        <f>IFERROR(INDEX([1]物品基础表!$A:$A,MATCH(Q245,[1]物品基础表!$B:$B,0)),"")</f>
        <v/>
      </c>
      <c r="U245" s="1" t="str">
        <f>IFERROR(INDEX([1]物品基础表!$A:$A,MATCH(T245,[1]物品基础表!$B:$B,0)),"")</f>
        <v/>
      </c>
      <c r="X245" s="1" t="str">
        <f>IFERROR(INDEX([1]物品基础表!$A:$A,MATCH(W245,[1]物品基础表!$B:$B,0)),"")</f>
        <v/>
      </c>
    </row>
    <row r="246" spans="1:24">
      <c r="A246" s="32" t="str">
        <f>INDEX([2]活动总表!$A$8:$A$429,MATCH(B246,[2]活动总表!$B$8:$B$429,0))</f>
        <v>开门红活动-新连冲</v>
      </c>
      <c r="B246" s="32">
        <v>622</v>
      </c>
      <c r="C246" s="32">
        <v>4</v>
      </c>
      <c r="D246" s="32">
        <v>1</v>
      </c>
      <c r="E246" s="32">
        <v>3</v>
      </c>
      <c r="F246" s="32">
        <v>20000</v>
      </c>
      <c r="H246" s="32">
        <v>204029</v>
      </c>
      <c r="I246" s="1" t="str">
        <f>IFERROR(INDEX([1]物品基础表!$A:$A,MATCH(H246,[1]物品基础表!$B:$B,0)),"")</f>
        <v>魔魂礼包</v>
      </c>
      <c r="J246" s="32">
        <v>1</v>
      </c>
      <c r="K246" s="32">
        <v>205002</v>
      </c>
      <c r="L246" s="1" t="str">
        <f>IFERROR(INDEX([1]物品基础表!$A:$A,MATCH(K246,[1]物品基础表!$B:$B,0)),"")</f>
        <v>战灵飞升丹</v>
      </c>
      <c r="M246" s="32">
        <v>1</v>
      </c>
      <c r="N246" s="32">
        <v>204068</v>
      </c>
      <c r="O246" s="1" t="str">
        <f>IFERROR(INDEX([1]物品基础表!$A:$A,MATCH(N246,[1]物品基础表!$B:$B,0)),"")</f>
        <v>玉佩升级道具3</v>
      </c>
      <c r="P246" s="32">
        <v>1</v>
      </c>
      <c r="R246" s="1" t="str">
        <f>IFERROR(INDEX([1]物品基础表!$A:$A,MATCH(Q246,[1]物品基础表!$B:$B,0)),"")</f>
        <v/>
      </c>
      <c r="U246" s="1" t="str">
        <f>IFERROR(INDEX([1]物品基础表!$A:$A,MATCH(T246,[1]物品基础表!$B:$B,0)),"")</f>
        <v/>
      </c>
      <c r="X246" s="1" t="str">
        <f>IFERROR(INDEX([1]物品基础表!$A:$A,MATCH(W246,[1]物品基础表!$B:$B,0)),"")</f>
        <v/>
      </c>
    </row>
    <row r="247" spans="1:24">
      <c r="A247" s="32" t="str">
        <f>INDEX([2]活动总表!$A$8:$A$429,MATCH(B247,[2]活动总表!$B$8:$B$429,0))</f>
        <v>元宵活动-累充1</v>
      </c>
      <c r="B247" s="32">
        <v>659</v>
      </c>
      <c r="C247" s="32">
        <v>1</v>
      </c>
      <c r="D247" s="32">
        <v>2</v>
      </c>
      <c r="E247" s="32">
        <v>1</v>
      </c>
      <c r="F247" s="32">
        <v>2000</v>
      </c>
      <c r="H247" s="32">
        <v>2</v>
      </c>
      <c r="I247" s="1" t="str">
        <f>IF(H247=2,"元宝","神兵经验")</f>
        <v>元宝</v>
      </c>
      <c r="J247" s="32">
        <v>1000</v>
      </c>
      <c r="K247" s="32">
        <v>13</v>
      </c>
      <c r="L247" s="1" t="str">
        <f>IF(K247=2,"元宝","神兵经验")</f>
        <v>神兵经验</v>
      </c>
      <c r="M247" s="32">
        <v>2000000</v>
      </c>
      <c r="N247" s="32">
        <v>204064</v>
      </c>
      <c r="O247" s="1" t="str">
        <f>IFERROR(INDEX([1]物品基础表!$A:$A,MATCH(N247,[1]物品基础表!$B:$B,0)),"")</f>
        <v>高级转生轮回礼包</v>
      </c>
      <c r="P247" s="32">
        <v>3</v>
      </c>
      <c r="Q247" s="32">
        <v>200301</v>
      </c>
      <c r="R247" s="1" t="str">
        <f>IFERROR(INDEX([1]物品基础表!$A:$A,MATCH(Q247,[1]物品基础表!$B:$B,0)),"")</f>
        <v>传世宝钻</v>
      </c>
      <c r="S247" s="32">
        <v>20</v>
      </c>
      <c r="U247" s="1" t="str">
        <f>IFERROR(INDEX([1]物品基础表!$A:$A,MATCH(T247,[1]物品基础表!$B:$B,0)),"")</f>
        <v/>
      </c>
      <c r="X247" s="1" t="str">
        <f>IFERROR(INDEX([1]物品基础表!$A:$A,MATCH(W247,[1]物品基础表!$B:$B,0)),"")</f>
        <v/>
      </c>
    </row>
    <row r="248" spans="1:24">
      <c r="A248" s="32" t="str">
        <f>INDEX([2]活动总表!$A$8:$A$429,MATCH(B248,[2]活动总表!$B$8:$B$429,0))</f>
        <v>元宵活动-累充1</v>
      </c>
      <c r="B248" s="32">
        <v>659</v>
      </c>
      <c r="C248" s="32">
        <v>2</v>
      </c>
      <c r="D248" s="32">
        <v>2</v>
      </c>
      <c r="E248" s="32">
        <v>1</v>
      </c>
      <c r="F248" s="32">
        <v>5000</v>
      </c>
      <c r="H248" s="32">
        <v>200911</v>
      </c>
      <c r="I248" s="1" t="str">
        <f>IFERROR(INDEX([1]物品基础表!$A:$A,MATCH(H248,[1]物品基础表!$B:$B,0)),"")</f>
        <v>橙色圣物宝箱</v>
      </c>
      <c r="J248" s="32">
        <v>1</v>
      </c>
      <c r="K248" s="32">
        <v>204067</v>
      </c>
      <c r="L248" s="1" t="str">
        <f>IFERROR(INDEX([1]物品基础表!$A:$A,MATCH(K248,[1]物品基础表!$B:$B,0)),"")</f>
        <v>玉佩升级道具2</v>
      </c>
      <c r="M248" s="32">
        <v>2</v>
      </c>
      <c r="N248" s="32">
        <v>204064</v>
      </c>
      <c r="O248" s="1" t="str">
        <f>IFERROR(INDEX([1]物品基础表!$A:$A,MATCH(N248,[1]物品基础表!$B:$B,0)),"")</f>
        <v>高级转生轮回礼包</v>
      </c>
      <c r="P248" s="32">
        <v>5</v>
      </c>
      <c r="Q248" s="32">
        <v>200301</v>
      </c>
      <c r="R248" s="1" t="str">
        <f>IFERROR(INDEX([1]物品基础表!$A:$A,MATCH(Q248,[1]物品基础表!$B:$B,0)),"")</f>
        <v>传世宝钻</v>
      </c>
      <c r="S248" s="32">
        <v>40</v>
      </c>
      <c r="U248" s="1" t="str">
        <f>IFERROR(INDEX([1]物品基础表!$A:$A,MATCH(T248,[1]物品基础表!$B:$B,0)),"")</f>
        <v/>
      </c>
      <c r="X248" s="1" t="str">
        <f>IFERROR(INDEX([1]物品基础表!$A:$A,MATCH(W248,[1]物品基础表!$B:$B,0)),"")</f>
        <v/>
      </c>
    </row>
    <row r="249" spans="1:24">
      <c r="A249" s="32" t="str">
        <f>INDEX([2]活动总表!$A$8:$A$429,MATCH(B249,[2]活动总表!$B$8:$B$429,0))</f>
        <v>元宵活动-累充1</v>
      </c>
      <c r="B249" s="32">
        <v>659</v>
      </c>
      <c r="C249" s="32">
        <v>3</v>
      </c>
      <c r="D249" s="32">
        <v>2</v>
      </c>
      <c r="E249" s="32">
        <v>1</v>
      </c>
      <c r="F249" s="32">
        <v>20000</v>
      </c>
      <c r="H249" s="32">
        <v>200912</v>
      </c>
      <c r="I249" s="1" t="str">
        <f>IFERROR(INDEX([1]物品基础表!$A:$A,MATCH(H249,[1]物品基础表!$B:$B,0)),"")</f>
        <v>红色圣物宝箱</v>
      </c>
      <c r="J249" s="32">
        <v>1</v>
      </c>
      <c r="K249" s="32">
        <v>204071</v>
      </c>
      <c r="L249" s="1" t="str">
        <f>IFERROR(INDEX([1]物品基础表!$A:$A,MATCH(K249,[1]物品基础表!$B:$B,0)),"")</f>
        <v>玉佩温养道具3</v>
      </c>
      <c r="M249" s="32">
        <v>1</v>
      </c>
      <c r="N249" s="32">
        <v>204065</v>
      </c>
      <c r="O249" s="1" t="str">
        <f>IFERROR(INDEX([1]物品基础表!$A:$A,MATCH(N249,[1]物品基础表!$B:$B,0)),"")</f>
        <v>超级转生轮回礼包</v>
      </c>
      <c r="P249" s="32">
        <v>1</v>
      </c>
      <c r="Q249" s="32">
        <v>204070</v>
      </c>
      <c r="R249" s="1" t="str">
        <f>IFERROR(INDEX([1]物品基础表!$A:$A,MATCH(Q249,[1]物品基础表!$B:$B,0)),"")</f>
        <v>玉佩温养道具2</v>
      </c>
      <c r="S249" s="32">
        <v>1</v>
      </c>
      <c r="U249" s="1" t="str">
        <f>IFERROR(INDEX([1]物品基础表!$A:$A,MATCH(T249,[1]物品基础表!$B:$B,0)),"")</f>
        <v/>
      </c>
      <c r="X249" s="1" t="str">
        <f>IFERROR(INDEX([1]物品基础表!$A:$A,MATCH(W249,[1]物品基础表!$B:$B,0)),"")</f>
        <v/>
      </c>
    </row>
    <row r="250" spans="1:24">
      <c r="A250" s="32" t="str">
        <f>INDEX([2]活动总表!$A$8:$A$429,MATCH(B250,[2]活动总表!$B$8:$B$429,0))</f>
        <v>元宵活动-累充2</v>
      </c>
      <c r="B250" s="32">
        <v>660</v>
      </c>
      <c r="C250" s="32">
        <v>1</v>
      </c>
      <c r="D250" s="32">
        <v>2</v>
      </c>
      <c r="E250" s="32">
        <v>1</v>
      </c>
      <c r="F250" s="32">
        <v>2000</v>
      </c>
      <c r="H250" s="32">
        <v>2</v>
      </c>
      <c r="I250" s="1" t="str">
        <f>IF(H250=2,"元宝","神兵经验")</f>
        <v>元宝</v>
      </c>
      <c r="J250" s="32">
        <v>1000</v>
      </c>
      <c r="K250" s="32">
        <v>13</v>
      </c>
      <c r="L250" s="1" t="str">
        <f>IF(K250=2,"元宝","神兵经验")</f>
        <v>神兵经验</v>
      </c>
      <c r="M250" s="32">
        <v>2000000</v>
      </c>
      <c r="N250" s="32">
        <v>204064</v>
      </c>
      <c r="O250" s="1" t="str">
        <f>IFERROR(INDEX([1]物品基础表!$A:$A,MATCH(N250,[1]物品基础表!$B:$B,0)),"")</f>
        <v>高级转生轮回礼包</v>
      </c>
      <c r="P250" s="32">
        <v>3</v>
      </c>
      <c r="Q250" s="32">
        <v>200301</v>
      </c>
      <c r="R250" s="1" t="str">
        <f>IFERROR(INDEX([1]物品基础表!$A:$A,MATCH(Q250,[1]物品基础表!$B:$B,0)),"")</f>
        <v>传世宝钻</v>
      </c>
      <c r="S250" s="32">
        <v>20</v>
      </c>
      <c r="U250" s="1" t="str">
        <f>IFERROR(INDEX([1]物品基础表!$A:$A,MATCH(T250,[1]物品基础表!$B:$B,0)),"")</f>
        <v/>
      </c>
      <c r="X250" s="1" t="str">
        <f>IFERROR(INDEX([1]物品基础表!$A:$A,MATCH(W250,[1]物品基础表!$B:$B,0)),"")</f>
        <v/>
      </c>
    </row>
    <row r="251" spans="1:24">
      <c r="A251" s="32" t="str">
        <f>INDEX([2]活动总表!$A$8:$A$429,MATCH(B251,[2]活动总表!$B$8:$B$429,0))</f>
        <v>元宵活动-累充2</v>
      </c>
      <c r="B251" s="32">
        <v>660</v>
      </c>
      <c r="C251" s="32">
        <v>2</v>
      </c>
      <c r="D251" s="32">
        <v>2</v>
      </c>
      <c r="E251" s="32">
        <v>1</v>
      </c>
      <c r="F251" s="32">
        <v>5000</v>
      </c>
      <c r="H251" s="32">
        <v>200911</v>
      </c>
      <c r="I251" s="1" t="str">
        <f>IFERROR(INDEX([1]物品基础表!$A:$A,MATCH(H251,[1]物品基础表!$B:$B,0)),"")</f>
        <v>橙色圣物宝箱</v>
      </c>
      <c r="J251" s="32">
        <v>1</v>
      </c>
      <c r="K251" s="32">
        <v>204067</v>
      </c>
      <c r="L251" s="1" t="str">
        <f>IFERROR(INDEX([1]物品基础表!$A:$A,MATCH(K251,[1]物品基础表!$B:$B,0)),"")</f>
        <v>玉佩升级道具2</v>
      </c>
      <c r="M251" s="32">
        <v>2</v>
      </c>
      <c r="N251" s="32">
        <v>204064</v>
      </c>
      <c r="O251" s="1" t="str">
        <f>IFERROR(INDEX([1]物品基础表!$A:$A,MATCH(N251,[1]物品基础表!$B:$B,0)),"")</f>
        <v>高级转生轮回礼包</v>
      </c>
      <c r="P251" s="32">
        <v>5</v>
      </c>
      <c r="Q251" s="32">
        <v>200301</v>
      </c>
      <c r="R251" s="1" t="str">
        <f>IFERROR(INDEX([1]物品基础表!$A:$A,MATCH(Q251,[1]物品基础表!$B:$B,0)),"")</f>
        <v>传世宝钻</v>
      </c>
      <c r="S251" s="32">
        <v>40</v>
      </c>
      <c r="U251" s="1" t="str">
        <f>IFERROR(INDEX([1]物品基础表!$A:$A,MATCH(T251,[1]物品基础表!$B:$B,0)),"")</f>
        <v/>
      </c>
      <c r="X251" s="1" t="str">
        <f>IFERROR(INDEX([1]物品基础表!$A:$A,MATCH(W251,[1]物品基础表!$B:$B,0)),"")</f>
        <v/>
      </c>
    </row>
    <row r="252" spans="1:24">
      <c r="A252" s="32" t="str">
        <f>INDEX([2]活动总表!$A$8:$A$429,MATCH(B252,[2]活动总表!$B$8:$B$429,0))</f>
        <v>元宵活动-累充2</v>
      </c>
      <c r="B252" s="32">
        <v>660</v>
      </c>
      <c r="C252" s="32">
        <v>3</v>
      </c>
      <c r="D252" s="32">
        <v>2</v>
      </c>
      <c r="E252" s="32">
        <v>1</v>
      </c>
      <c r="F252" s="32">
        <v>20000</v>
      </c>
      <c r="H252" s="32">
        <v>200912</v>
      </c>
      <c r="I252" s="1" t="str">
        <f>IFERROR(INDEX([1]物品基础表!$A:$A,MATCH(H252,[1]物品基础表!$B:$B,0)),"")</f>
        <v>红色圣物宝箱</v>
      </c>
      <c r="J252" s="32">
        <v>1</v>
      </c>
      <c r="K252" s="32">
        <v>204071</v>
      </c>
      <c r="L252" s="1" t="str">
        <f>IFERROR(INDEX([1]物品基础表!$A:$A,MATCH(K252,[1]物品基础表!$B:$B,0)),"")</f>
        <v>玉佩温养道具3</v>
      </c>
      <c r="M252" s="32">
        <v>1</v>
      </c>
      <c r="N252" s="32">
        <v>204065</v>
      </c>
      <c r="O252" s="1" t="str">
        <f>IFERROR(INDEX([1]物品基础表!$A:$A,MATCH(N252,[1]物品基础表!$B:$B,0)),"")</f>
        <v>超级转生轮回礼包</v>
      </c>
      <c r="P252" s="32">
        <v>1</v>
      </c>
      <c r="Q252" s="32">
        <v>204070</v>
      </c>
      <c r="R252" s="1" t="str">
        <f>IFERROR(INDEX([1]物品基础表!$A:$A,MATCH(Q252,[1]物品基础表!$B:$B,0)),"")</f>
        <v>玉佩温养道具2</v>
      </c>
      <c r="S252" s="32">
        <v>1</v>
      </c>
      <c r="U252" s="1" t="str">
        <f>IFERROR(INDEX([1]物品基础表!$A:$A,MATCH(T252,[1]物品基础表!$B:$B,0)),"")</f>
        <v/>
      </c>
      <c r="X252" s="1" t="str">
        <f>IFERROR(INDEX([1]物品基础表!$A:$A,MATCH(W252,[1]物品基础表!$B:$B,0)),"")</f>
        <v/>
      </c>
    </row>
    <row r="253" spans="1:24">
      <c r="A253" s="32" t="str">
        <f>INDEX([2]活动总表!$A$8:$A$429,MATCH(B253,[2]活动总表!$B$8:$B$429,0))</f>
        <v>元宵活动-累充3</v>
      </c>
      <c r="B253" s="32">
        <v>661</v>
      </c>
      <c r="C253" s="32">
        <v>1</v>
      </c>
      <c r="D253" s="32">
        <v>2</v>
      </c>
      <c r="E253" s="32">
        <v>1</v>
      </c>
      <c r="F253" s="32">
        <v>2000</v>
      </c>
      <c r="H253" s="32">
        <v>2</v>
      </c>
      <c r="I253" s="1" t="str">
        <f>IF(H253=2,"元宝","神兵经验")</f>
        <v>元宝</v>
      </c>
      <c r="J253" s="32">
        <v>1000</v>
      </c>
      <c r="K253" s="32">
        <v>13</v>
      </c>
      <c r="L253" s="1" t="str">
        <f>IF(K253=2,"元宝","神兵经验")</f>
        <v>神兵经验</v>
      </c>
      <c r="M253" s="32">
        <v>2000000</v>
      </c>
      <c r="N253" s="32">
        <v>204064</v>
      </c>
      <c r="O253" s="1" t="str">
        <f>IFERROR(INDEX([1]物品基础表!$A:$A,MATCH(N253,[1]物品基础表!$B:$B,0)),"")</f>
        <v>高级转生轮回礼包</v>
      </c>
      <c r="P253" s="32">
        <v>3</v>
      </c>
      <c r="Q253" s="32">
        <v>200301</v>
      </c>
      <c r="R253" s="1" t="str">
        <f>IFERROR(INDEX([1]物品基础表!$A:$A,MATCH(Q253,[1]物品基础表!$B:$B,0)),"")</f>
        <v>传世宝钻</v>
      </c>
      <c r="S253" s="32">
        <v>20</v>
      </c>
      <c r="U253" s="1" t="str">
        <f>IFERROR(INDEX([1]物品基础表!$A:$A,MATCH(T253,[1]物品基础表!$B:$B,0)),"")</f>
        <v/>
      </c>
      <c r="X253" s="1" t="str">
        <f>IFERROR(INDEX([1]物品基础表!$A:$A,MATCH(W253,[1]物品基础表!$B:$B,0)),"")</f>
        <v/>
      </c>
    </row>
    <row r="254" spans="1:24">
      <c r="A254" s="32" t="str">
        <f>INDEX([2]活动总表!$A$8:$A$429,MATCH(B254,[2]活动总表!$B$8:$B$429,0))</f>
        <v>元宵活动-累充3</v>
      </c>
      <c r="B254" s="32">
        <v>661</v>
      </c>
      <c r="C254" s="32">
        <v>2</v>
      </c>
      <c r="D254" s="32">
        <v>2</v>
      </c>
      <c r="E254" s="32">
        <v>1</v>
      </c>
      <c r="F254" s="32">
        <v>5000</v>
      </c>
      <c r="H254" s="32">
        <v>200911</v>
      </c>
      <c r="I254" s="1" t="str">
        <f>IFERROR(INDEX([1]物品基础表!$A:$A,MATCH(H254,[1]物品基础表!$B:$B,0)),"")</f>
        <v>橙色圣物宝箱</v>
      </c>
      <c r="J254" s="32">
        <v>1</v>
      </c>
      <c r="K254" s="32">
        <v>204067</v>
      </c>
      <c r="L254" s="1" t="str">
        <f>IFERROR(INDEX([1]物品基础表!$A:$A,MATCH(K254,[1]物品基础表!$B:$B,0)),"")</f>
        <v>玉佩升级道具2</v>
      </c>
      <c r="M254" s="32">
        <v>2</v>
      </c>
      <c r="N254" s="32">
        <v>204064</v>
      </c>
      <c r="O254" s="1" t="str">
        <f>IFERROR(INDEX([1]物品基础表!$A:$A,MATCH(N254,[1]物品基础表!$B:$B,0)),"")</f>
        <v>高级转生轮回礼包</v>
      </c>
      <c r="P254" s="32">
        <v>5</v>
      </c>
      <c r="Q254" s="32">
        <v>200301</v>
      </c>
      <c r="R254" s="1" t="str">
        <f>IFERROR(INDEX([1]物品基础表!$A:$A,MATCH(Q254,[1]物品基础表!$B:$B,0)),"")</f>
        <v>传世宝钻</v>
      </c>
      <c r="S254" s="32">
        <v>40</v>
      </c>
      <c r="U254" s="1" t="str">
        <f>IFERROR(INDEX([1]物品基础表!$A:$A,MATCH(T254,[1]物品基础表!$B:$B,0)),"")</f>
        <v/>
      </c>
      <c r="X254" s="1" t="str">
        <f>IFERROR(INDEX([1]物品基础表!$A:$A,MATCH(W254,[1]物品基础表!$B:$B,0)),"")</f>
        <v/>
      </c>
    </row>
    <row r="255" spans="1:24">
      <c r="A255" s="32" t="str">
        <f>INDEX([2]活动总表!$A$8:$A$429,MATCH(B255,[2]活动总表!$B$8:$B$429,0))</f>
        <v>元宵活动-累充3</v>
      </c>
      <c r="B255" s="32">
        <v>661</v>
      </c>
      <c r="C255" s="32">
        <v>3</v>
      </c>
      <c r="D255" s="32">
        <v>2</v>
      </c>
      <c r="E255" s="32">
        <v>1</v>
      </c>
      <c r="F255" s="32">
        <v>20000</v>
      </c>
      <c r="H255" s="32">
        <v>200912</v>
      </c>
      <c r="I255" s="1" t="str">
        <f>IFERROR(INDEX([1]物品基础表!$A:$A,MATCH(H255,[1]物品基础表!$B:$B,0)),"")</f>
        <v>红色圣物宝箱</v>
      </c>
      <c r="J255" s="32">
        <v>1</v>
      </c>
      <c r="K255" s="32">
        <v>204071</v>
      </c>
      <c r="L255" s="1" t="str">
        <f>IFERROR(INDEX([1]物品基础表!$A:$A,MATCH(K255,[1]物品基础表!$B:$B,0)),"")</f>
        <v>玉佩温养道具3</v>
      </c>
      <c r="M255" s="32">
        <v>1</v>
      </c>
      <c r="N255" s="32">
        <v>204065</v>
      </c>
      <c r="O255" s="1" t="str">
        <f>IFERROR(INDEX([1]物品基础表!$A:$A,MATCH(N255,[1]物品基础表!$B:$B,0)),"")</f>
        <v>超级转生轮回礼包</v>
      </c>
      <c r="P255" s="32">
        <v>1</v>
      </c>
      <c r="Q255" s="32">
        <v>204070</v>
      </c>
      <c r="R255" s="1" t="str">
        <f>IFERROR(INDEX([1]物品基础表!$A:$A,MATCH(Q255,[1]物品基础表!$B:$B,0)),"")</f>
        <v>玉佩温养道具2</v>
      </c>
      <c r="S255" s="32">
        <v>1</v>
      </c>
      <c r="U255" s="1" t="str">
        <f>IFERROR(INDEX([1]物品基础表!$A:$A,MATCH(T255,[1]物品基础表!$B:$B,0)),"")</f>
        <v/>
      </c>
      <c r="X255" s="1" t="str">
        <f>IFERROR(INDEX([1]物品基础表!$A:$A,MATCH(W255,[1]物品基础表!$B:$B,0)),"")</f>
        <v/>
      </c>
    </row>
    <row r="256" spans="1:24">
      <c r="A256" s="32" t="str">
        <f>INDEX([2]活动总表!$A$8:$A$429,MATCH(B256,[2]活动总表!$B$8:$B$429,0))</f>
        <v>元宵活动-累充4</v>
      </c>
      <c r="B256" s="32">
        <v>662</v>
      </c>
      <c r="C256" s="32">
        <v>1</v>
      </c>
      <c r="D256" s="32">
        <v>2</v>
      </c>
      <c r="E256" s="32">
        <v>1</v>
      </c>
      <c r="F256" s="32">
        <v>2000</v>
      </c>
      <c r="H256" s="32">
        <v>2</v>
      </c>
      <c r="I256" s="1" t="str">
        <f>IF(H256=2,"元宝","神兵经验")</f>
        <v>元宝</v>
      </c>
      <c r="J256" s="32">
        <v>1000</v>
      </c>
      <c r="K256" s="32">
        <v>13</v>
      </c>
      <c r="L256" s="1" t="str">
        <f>IF(K256=2,"元宝","神兵经验")</f>
        <v>神兵经验</v>
      </c>
      <c r="M256" s="32">
        <v>2000000</v>
      </c>
      <c r="N256" s="32">
        <v>204064</v>
      </c>
      <c r="O256" s="1" t="str">
        <f>IFERROR(INDEX([1]物品基础表!$A:$A,MATCH(N256,[1]物品基础表!$B:$B,0)),"")</f>
        <v>高级转生轮回礼包</v>
      </c>
      <c r="P256" s="32">
        <v>3</v>
      </c>
      <c r="Q256" s="32">
        <v>200301</v>
      </c>
      <c r="R256" s="1" t="str">
        <f>IFERROR(INDEX([1]物品基础表!$A:$A,MATCH(Q256,[1]物品基础表!$B:$B,0)),"")</f>
        <v>传世宝钻</v>
      </c>
      <c r="S256" s="32">
        <v>20</v>
      </c>
      <c r="U256" s="1" t="str">
        <f>IFERROR(INDEX([1]物品基础表!$A:$A,MATCH(T256,[1]物品基础表!$B:$B,0)),"")</f>
        <v/>
      </c>
      <c r="X256" s="1" t="str">
        <f>IFERROR(INDEX([1]物品基础表!$A:$A,MATCH(W256,[1]物品基础表!$B:$B,0)),"")</f>
        <v/>
      </c>
    </row>
    <row r="257" spans="1:24">
      <c r="A257" s="32" t="str">
        <f>INDEX([2]活动总表!$A$8:$A$429,MATCH(B257,[2]活动总表!$B$8:$B$429,0))</f>
        <v>元宵活动-累充4</v>
      </c>
      <c r="B257" s="32">
        <v>662</v>
      </c>
      <c r="C257" s="32">
        <v>2</v>
      </c>
      <c r="D257" s="32">
        <v>2</v>
      </c>
      <c r="E257" s="32">
        <v>1</v>
      </c>
      <c r="F257" s="32">
        <v>5000</v>
      </c>
      <c r="H257" s="32">
        <v>200911</v>
      </c>
      <c r="I257" s="1" t="str">
        <f>IFERROR(INDEX([1]物品基础表!$A:$A,MATCH(H257,[1]物品基础表!$B:$B,0)),"")</f>
        <v>橙色圣物宝箱</v>
      </c>
      <c r="J257" s="32">
        <v>1</v>
      </c>
      <c r="K257" s="32">
        <v>204067</v>
      </c>
      <c r="L257" s="1" t="str">
        <f>IFERROR(INDEX([1]物品基础表!$A:$A,MATCH(K257,[1]物品基础表!$B:$B,0)),"")</f>
        <v>玉佩升级道具2</v>
      </c>
      <c r="M257" s="32">
        <v>2</v>
      </c>
      <c r="N257" s="32">
        <v>204064</v>
      </c>
      <c r="O257" s="1" t="str">
        <f>IFERROR(INDEX([1]物品基础表!$A:$A,MATCH(N257,[1]物品基础表!$B:$B,0)),"")</f>
        <v>高级转生轮回礼包</v>
      </c>
      <c r="P257" s="32">
        <v>5</v>
      </c>
      <c r="Q257" s="32">
        <v>200301</v>
      </c>
      <c r="R257" s="1" t="str">
        <f>IFERROR(INDEX([1]物品基础表!$A:$A,MATCH(Q257,[1]物品基础表!$B:$B,0)),"")</f>
        <v>传世宝钻</v>
      </c>
      <c r="S257" s="32">
        <v>40</v>
      </c>
      <c r="U257" s="1" t="str">
        <f>IFERROR(INDEX([1]物品基础表!$A:$A,MATCH(T257,[1]物品基础表!$B:$B,0)),"")</f>
        <v/>
      </c>
      <c r="X257" s="1" t="str">
        <f>IFERROR(INDEX([1]物品基础表!$A:$A,MATCH(W257,[1]物品基础表!$B:$B,0)),"")</f>
        <v/>
      </c>
    </row>
    <row r="258" spans="1:24">
      <c r="A258" s="32" t="str">
        <f>INDEX([2]活动总表!$A$8:$A$429,MATCH(B258,[2]活动总表!$B$8:$B$429,0))</f>
        <v>元宵活动-累充4</v>
      </c>
      <c r="B258" s="32">
        <v>662</v>
      </c>
      <c r="C258" s="32">
        <v>3</v>
      </c>
      <c r="D258" s="32">
        <v>2</v>
      </c>
      <c r="E258" s="32">
        <v>1</v>
      </c>
      <c r="F258" s="32">
        <v>20000</v>
      </c>
      <c r="H258" s="32">
        <v>200912</v>
      </c>
      <c r="I258" s="1" t="str">
        <f>IFERROR(INDEX([1]物品基础表!$A:$A,MATCH(H258,[1]物品基础表!$B:$B,0)),"")</f>
        <v>红色圣物宝箱</v>
      </c>
      <c r="J258" s="32">
        <v>1</v>
      </c>
      <c r="K258" s="32">
        <v>204071</v>
      </c>
      <c r="L258" s="1" t="str">
        <f>IFERROR(INDEX([1]物品基础表!$A:$A,MATCH(K258,[1]物品基础表!$B:$B,0)),"")</f>
        <v>玉佩温养道具3</v>
      </c>
      <c r="M258" s="32">
        <v>1</v>
      </c>
      <c r="N258" s="32">
        <v>204065</v>
      </c>
      <c r="O258" s="1" t="str">
        <f>IFERROR(INDEX([1]物品基础表!$A:$A,MATCH(N258,[1]物品基础表!$B:$B,0)),"")</f>
        <v>超级转生轮回礼包</v>
      </c>
      <c r="P258" s="32">
        <v>1</v>
      </c>
      <c r="Q258" s="32">
        <v>204070</v>
      </c>
      <c r="R258" s="1" t="str">
        <f>IFERROR(INDEX([1]物品基础表!$A:$A,MATCH(Q258,[1]物品基础表!$B:$B,0)),"")</f>
        <v>玉佩温养道具2</v>
      </c>
      <c r="S258" s="32">
        <v>1</v>
      </c>
      <c r="U258" s="1" t="str">
        <f>IFERROR(INDEX([1]物品基础表!$A:$A,MATCH(T258,[1]物品基础表!$B:$B,0)),"")</f>
        <v/>
      </c>
      <c r="X258" s="1" t="str">
        <f>IFERROR(INDEX([1]物品基础表!$A:$A,MATCH(W258,[1]物品基础表!$B:$B,0)),"")</f>
        <v/>
      </c>
    </row>
    <row r="259" spans="1:24">
      <c r="A259" s="32" t="str">
        <f>INDEX([2]活动总表!$A$8:$A$429,MATCH(B259,[2]活动总表!$B$8:$B$429,0))</f>
        <v>元宵-累充</v>
      </c>
      <c r="B259" s="32">
        <v>663</v>
      </c>
      <c r="C259" s="32">
        <v>1</v>
      </c>
      <c r="D259" s="32">
        <v>2</v>
      </c>
      <c r="E259" s="32">
        <v>1</v>
      </c>
      <c r="F259" s="32">
        <v>2000</v>
      </c>
      <c r="H259" s="32">
        <v>2</v>
      </c>
      <c r="I259" s="1" t="str">
        <f>IF(H259=2,"元宝","神兵经验")</f>
        <v>元宝</v>
      </c>
      <c r="J259" s="32">
        <v>1000</v>
      </c>
      <c r="K259" s="32">
        <v>13</v>
      </c>
      <c r="L259" s="1" t="str">
        <f>IF(K259=2,"元宝","神兵经验")</f>
        <v>神兵经验</v>
      </c>
      <c r="M259" s="32">
        <v>2000000</v>
      </c>
      <c r="N259" s="32">
        <v>204064</v>
      </c>
      <c r="O259" s="1" t="str">
        <f>IFERROR(INDEX([1]物品基础表!$A:$A,MATCH(N259,[1]物品基础表!$B:$B,0)),"")</f>
        <v>高级转生轮回礼包</v>
      </c>
      <c r="P259" s="32">
        <v>3</v>
      </c>
      <c r="Q259" s="32">
        <v>200301</v>
      </c>
      <c r="R259" s="1" t="str">
        <f>IFERROR(INDEX([1]物品基础表!$A:$A,MATCH(Q259,[1]物品基础表!$B:$B,0)),"")</f>
        <v>传世宝钻</v>
      </c>
      <c r="S259" s="32">
        <v>20</v>
      </c>
      <c r="U259" s="1" t="str">
        <f>IFERROR(INDEX([1]物品基础表!$A:$A,MATCH(T259,[1]物品基础表!$B:$B,0)),"")</f>
        <v/>
      </c>
      <c r="X259" s="1" t="str">
        <f>IFERROR(INDEX([1]物品基础表!$A:$A,MATCH(W259,[1]物品基础表!$B:$B,0)),"")</f>
        <v/>
      </c>
    </row>
    <row r="260" spans="1:24">
      <c r="A260" s="32" t="str">
        <f>INDEX([2]活动总表!$A$8:$A$429,MATCH(B260,[2]活动总表!$B$8:$B$429,0))</f>
        <v>元宵-累充</v>
      </c>
      <c r="B260" s="32">
        <v>663</v>
      </c>
      <c r="C260" s="32">
        <v>2</v>
      </c>
      <c r="D260" s="32">
        <v>2</v>
      </c>
      <c r="E260" s="32">
        <v>1</v>
      </c>
      <c r="F260" s="32">
        <v>5000</v>
      </c>
      <c r="H260" s="32">
        <v>200911</v>
      </c>
      <c r="I260" s="1" t="str">
        <f>IFERROR(INDEX([1]物品基础表!$A:$A,MATCH(H260,[1]物品基础表!$B:$B,0)),"")</f>
        <v>橙色圣物宝箱</v>
      </c>
      <c r="J260" s="32">
        <v>1</v>
      </c>
      <c r="K260" s="32">
        <v>204067</v>
      </c>
      <c r="L260" s="1" t="str">
        <f>IFERROR(INDEX([1]物品基础表!$A:$A,MATCH(K260,[1]物品基础表!$B:$B,0)),"")</f>
        <v>玉佩升级道具2</v>
      </c>
      <c r="M260" s="32">
        <v>2</v>
      </c>
      <c r="N260" s="32">
        <v>204064</v>
      </c>
      <c r="O260" s="1" t="str">
        <f>IFERROR(INDEX([1]物品基础表!$A:$A,MATCH(N260,[1]物品基础表!$B:$B,0)),"")</f>
        <v>高级转生轮回礼包</v>
      </c>
      <c r="P260" s="32">
        <v>5</v>
      </c>
      <c r="Q260" s="32">
        <v>200301</v>
      </c>
      <c r="R260" s="1" t="str">
        <f>IFERROR(INDEX([1]物品基础表!$A:$A,MATCH(Q260,[1]物品基础表!$B:$B,0)),"")</f>
        <v>传世宝钻</v>
      </c>
      <c r="S260" s="32">
        <v>40</v>
      </c>
      <c r="U260" s="1" t="str">
        <f>IFERROR(INDEX([1]物品基础表!$A:$A,MATCH(T260,[1]物品基础表!$B:$B,0)),"")</f>
        <v/>
      </c>
      <c r="X260" s="1" t="str">
        <f>IFERROR(INDEX([1]物品基础表!$A:$A,MATCH(W260,[1]物品基础表!$B:$B,0)),"")</f>
        <v/>
      </c>
    </row>
    <row r="261" spans="1:24">
      <c r="A261" s="32" t="str">
        <f>INDEX([2]活动总表!$A$8:$A$429,MATCH(B261,[2]活动总表!$B$8:$B$429,0))</f>
        <v>元宵-累充</v>
      </c>
      <c r="B261" s="32">
        <v>663</v>
      </c>
      <c r="C261" s="32">
        <v>3</v>
      </c>
      <c r="D261" s="32">
        <v>2</v>
      </c>
      <c r="E261" s="32">
        <v>1</v>
      </c>
      <c r="F261" s="32">
        <v>20000</v>
      </c>
      <c r="H261" s="32">
        <v>200912</v>
      </c>
      <c r="I261" s="1" t="str">
        <f>IFERROR(INDEX([1]物品基础表!$A:$A,MATCH(H261,[1]物品基础表!$B:$B,0)),"")</f>
        <v>红色圣物宝箱</v>
      </c>
      <c r="J261" s="32">
        <v>1</v>
      </c>
      <c r="K261" s="32">
        <v>204071</v>
      </c>
      <c r="L261" s="1" t="str">
        <f>IFERROR(INDEX([1]物品基础表!$A:$A,MATCH(K261,[1]物品基础表!$B:$B,0)),"")</f>
        <v>玉佩温养道具3</v>
      </c>
      <c r="M261" s="32">
        <v>1</v>
      </c>
      <c r="N261" s="32">
        <v>204065</v>
      </c>
      <c r="O261" s="1" t="str">
        <f>IFERROR(INDEX([1]物品基础表!$A:$A,MATCH(N261,[1]物品基础表!$B:$B,0)),"")</f>
        <v>超级转生轮回礼包</v>
      </c>
      <c r="P261" s="32">
        <v>1</v>
      </c>
      <c r="Q261" s="32">
        <v>204070</v>
      </c>
      <c r="R261" s="1" t="str">
        <f>IFERROR(INDEX([1]物品基础表!$A:$A,MATCH(Q261,[1]物品基础表!$B:$B,0)),"")</f>
        <v>玉佩温养道具2</v>
      </c>
      <c r="S261" s="32">
        <v>1</v>
      </c>
      <c r="U261" s="1" t="str">
        <f>IFERROR(INDEX([1]物品基础表!$A:$A,MATCH(T261,[1]物品基础表!$B:$B,0)),"")</f>
        <v/>
      </c>
      <c r="X261" s="1" t="str">
        <f>IFERROR(INDEX([1]物品基础表!$A:$A,MATCH(W261,[1]物品基础表!$B:$B,0)),"")</f>
        <v/>
      </c>
    </row>
    <row r="262" spans="1:24">
      <c r="A262" s="32" t="str">
        <f>INDEX([2]活动总表!$A$8:$A$429,MATCH(B262,[2]活动总表!$B$8:$B$429,0))</f>
        <v>（15-30）元宵活动-累充1</v>
      </c>
      <c r="B262" s="32">
        <v>722</v>
      </c>
      <c r="C262" s="32">
        <v>1</v>
      </c>
      <c r="D262" s="32">
        <v>2</v>
      </c>
      <c r="E262" s="32">
        <v>1</v>
      </c>
      <c r="F262" s="32">
        <v>2000</v>
      </c>
      <c r="H262" s="32">
        <v>2</v>
      </c>
      <c r="I262" s="1" t="str">
        <f>IF(H262=2,"元宝","神兵经验")</f>
        <v>元宝</v>
      </c>
      <c r="J262" s="32">
        <v>1000</v>
      </c>
      <c r="K262" s="32">
        <v>13</v>
      </c>
      <c r="L262" s="1" t="str">
        <f>IF(K262=2,"元宝","神兵经验")</f>
        <v>神兵经验</v>
      </c>
      <c r="M262" s="32">
        <v>2000000</v>
      </c>
      <c r="N262" s="32">
        <v>204064</v>
      </c>
      <c r="O262" s="1" t="str">
        <f>IFERROR(INDEX([1]物品基础表!$A:$A,MATCH(N262,[1]物品基础表!$B:$B,0)),"")</f>
        <v>高级转生轮回礼包</v>
      </c>
      <c r="P262" s="32">
        <v>3</v>
      </c>
      <c r="Q262" s="32">
        <v>200301</v>
      </c>
      <c r="R262" s="1" t="str">
        <f>IFERROR(INDEX([1]物品基础表!$A:$A,MATCH(Q262,[1]物品基础表!$B:$B,0)),"")</f>
        <v>传世宝钻</v>
      </c>
      <c r="S262" s="32">
        <v>20</v>
      </c>
      <c r="U262" s="1" t="str">
        <f>IFERROR(INDEX([1]物品基础表!$A:$A,MATCH(T262,[1]物品基础表!$B:$B,0)),"")</f>
        <v/>
      </c>
      <c r="X262" s="1" t="str">
        <f>IFERROR(INDEX([1]物品基础表!$A:$A,MATCH(W262,[1]物品基础表!$B:$B,0)),"")</f>
        <v/>
      </c>
    </row>
    <row r="263" spans="1:24">
      <c r="A263" s="32" t="str">
        <f>INDEX([2]活动总表!$A$8:$A$429,MATCH(B263,[2]活动总表!$B$8:$B$429,0))</f>
        <v>（15-30）元宵活动-累充1</v>
      </c>
      <c r="B263" s="32">
        <v>722</v>
      </c>
      <c r="C263" s="32">
        <v>2</v>
      </c>
      <c r="D263" s="32">
        <v>2</v>
      </c>
      <c r="E263" s="32">
        <v>1</v>
      </c>
      <c r="F263" s="32">
        <v>5000</v>
      </c>
      <c r="H263" s="32">
        <v>200911</v>
      </c>
      <c r="I263" s="1" t="str">
        <f>IFERROR(INDEX([1]物品基础表!$A:$A,MATCH(H263,[1]物品基础表!$B:$B,0)),"")</f>
        <v>橙色圣物宝箱</v>
      </c>
      <c r="J263" s="32">
        <v>1</v>
      </c>
      <c r="K263" s="32">
        <v>204067</v>
      </c>
      <c r="L263" s="1" t="str">
        <f>IFERROR(INDEX([1]物品基础表!$A:$A,MATCH(K263,[1]物品基础表!$B:$B,0)),"")</f>
        <v>玉佩升级道具2</v>
      </c>
      <c r="M263" s="32">
        <v>2</v>
      </c>
      <c r="N263" s="32">
        <v>204064</v>
      </c>
      <c r="O263" s="1" t="str">
        <f>IFERROR(INDEX([1]物品基础表!$A:$A,MATCH(N263,[1]物品基础表!$B:$B,0)),"")</f>
        <v>高级转生轮回礼包</v>
      </c>
      <c r="P263" s="32">
        <v>5</v>
      </c>
      <c r="Q263" s="32">
        <v>200301</v>
      </c>
      <c r="R263" s="1" t="str">
        <f>IFERROR(INDEX([1]物品基础表!$A:$A,MATCH(Q263,[1]物品基础表!$B:$B,0)),"")</f>
        <v>传世宝钻</v>
      </c>
      <c r="S263" s="32">
        <v>40</v>
      </c>
      <c r="U263" s="1" t="str">
        <f>IFERROR(INDEX([1]物品基础表!$A:$A,MATCH(T263,[1]物品基础表!$B:$B,0)),"")</f>
        <v/>
      </c>
      <c r="X263" s="1" t="str">
        <f>IFERROR(INDEX([1]物品基础表!$A:$A,MATCH(W263,[1]物品基础表!$B:$B,0)),"")</f>
        <v/>
      </c>
    </row>
    <row r="264" spans="1:24">
      <c r="A264" s="32" t="str">
        <f>INDEX([2]活动总表!$A$8:$A$429,MATCH(B264,[2]活动总表!$B$8:$B$429,0))</f>
        <v>（15-30）元宵活动-累充1</v>
      </c>
      <c r="B264" s="32">
        <v>722</v>
      </c>
      <c r="C264" s="32">
        <v>3</v>
      </c>
      <c r="D264" s="32">
        <v>2</v>
      </c>
      <c r="E264" s="32">
        <v>1</v>
      </c>
      <c r="F264" s="32">
        <v>20000</v>
      </c>
      <c r="H264" s="32">
        <v>200912</v>
      </c>
      <c r="I264" s="1" t="str">
        <f>IFERROR(INDEX([1]物品基础表!$A:$A,MATCH(H264,[1]物品基础表!$B:$B,0)),"")</f>
        <v>红色圣物宝箱</v>
      </c>
      <c r="J264" s="32">
        <v>1</v>
      </c>
      <c r="K264" s="32">
        <v>204071</v>
      </c>
      <c r="L264" s="1" t="str">
        <f>IFERROR(INDEX([1]物品基础表!$A:$A,MATCH(K264,[1]物品基础表!$B:$B,0)),"")</f>
        <v>玉佩温养道具3</v>
      </c>
      <c r="M264" s="32">
        <v>1</v>
      </c>
      <c r="N264" s="32">
        <v>204065</v>
      </c>
      <c r="O264" s="1" t="str">
        <f>IFERROR(INDEX([1]物品基础表!$A:$A,MATCH(N264,[1]物品基础表!$B:$B,0)),"")</f>
        <v>超级转生轮回礼包</v>
      </c>
      <c r="P264" s="32">
        <v>1</v>
      </c>
      <c r="Q264" s="32">
        <v>204070</v>
      </c>
      <c r="R264" s="1" t="str">
        <f>IFERROR(INDEX([1]物品基础表!$A:$A,MATCH(Q264,[1]物品基础表!$B:$B,0)),"")</f>
        <v>玉佩温养道具2</v>
      </c>
      <c r="S264" s="32">
        <v>1</v>
      </c>
      <c r="U264" s="1" t="str">
        <f>IFERROR(INDEX([1]物品基础表!$A:$A,MATCH(T264,[1]物品基础表!$B:$B,0)),"")</f>
        <v/>
      </c>
      <c r="X264" s="1" t="str">
        <f>IFERROR(INDEX([1]物品基础表!$A:$A,MATCH(W264,[1]物品基础表!$B:$B,0)),"")</f>
        <v/>
      </c>
    </row>
    <row r="265" spans="1:24">
      <c r="A265" s="32" t="str">
        <f>INDEX([2]活动总表!$A$8:$A$429,MATCH(B265,[2]活动总表!$B$8:$B$429,0))</f>
        <v>（15-30）元宵活动-累充2</v>
      </c>
      <c r="B265" s="32">
        <v>723</v>
      </c>
      <c r="C265" s="32">
        <v>1</v>
      </c>
      <c r="D265" s="32">
        <v>2</v>
      </c>
      <c r="E265" s="32">
        <v>1</v>
      </c>
      <c r="F265" s="32">
        <v>2000</v>
      </c>
      <c r="H265" s="32">
        <v>2</v>
      </c>
      <c r="I265" s="1" t="str">
        <f>IF(H265=2,"元宝","神兵经验")</f>
        <v>元宝</v>
      </c>
      <c r="J265" s="32">
        <v>1000</v>
      </c>
      <c r="K265" s="32">
        <v>13</v>
      </c>
      <c r="L265" s="1" t="str">
        <f>IF(K265=2,"元宝","神兵经验")</f>
        <v>神兵经验</v>
      </c>
      <c r="M265" s="32">
        <v>2000000</v>
      </c>
      <c r="N265" s="32">
        <v>204064</v>
      </c>
      <c r="O265" s="1" t="str">
        <f>IFERROR(INDEX([1]物品基础表!$A:$A,MATCH(N265,[1]物品基础表!$B:$B,0)),"")</f>
        <v>高级转生轮回礼包</v>
      </c>
      <c r="P265" s="32">
        <v>3</v>
      </c>
      <c r="Q265" s="32">
        <v>200301</v>
      </c>
      <c r="R265" s="1" t="str">
        <f>IFERROR(INDEX([1]物品基础表!$A:$A,MATCH(Q265,[1]物品基础表!$B:$B,0)),"")</f>
        <v>传世宝钻</v>
      </c>
      <c r="S265" s="32">
        <v>20</v>
      </c>
      <c r="U265" s="1" t="str">
        <f>IFERROR(INDEX([1]物品基础表!$A:$A,MATCH(T265,[1]物品基础表!$B:$B,0)),"")</f>
        <v/>
      </c>
      <c r="X265" s="1" t="str">
        <f>IFERROR(INDEX([1]物品基础表!$A:$A,MATCH(W265,[1]物品基础表!$B:$B,0)),"")</f>
        <v/>
      </c>
    </row>
    <row r="266" spans="1:24">
      <c r="A266" s="32" t="str">
        <f>INDEX([2]活动总表!$A$8:$A$429,MATCH(B266,[2]活动总表!$B$8:$B$429,0))</f>
        <v>（15-30）元宵活动-累充2</v>
      </c>
      <c r="B266" s="32">
        <v>723</v>
      </c>
      <c r="C266" s="32">
        <v>2</v>
      </c>
      <c r="D266" s="32">
        <v>2</v>
      </c>
      <c r="E266" s="32">
        <v>1</v>
      </c>
      <c r="F266" s="32">
        <v>5000</v>
      </c>
      <c r="H266" s="32">
        <v>200911</v>
      </c>
      <c r="I266" s="1" t="str">
        <f>IFERROR(INDEX([1]物品基础表!$A:$A,MATCH(H266,[1]物品基础表!$B:$B,0)),"")</f>
        <v>橙色圣物宝箱</v>
      </c>
      <c r="J266" s="32">
        <v>1</v>
      </c>
      <c r="K266" s="32">
        <v>204067</v>
      </c>
      <c r="L266" s="1" t="str">
        <f>IFERROR(INDEX([1]物品基础表!$A:$A,MATCH(K266,[1]物品基础表!$B:$B,0)),"")</f>
        <v>玉佩升级道具2</v>
      </c>
      <c r="M266" s="32">
        <v>2</v>
      </c>
      <c r="N266" s="32">
        <v>204064</v>
      </c>
      <c r="O266" s="1" t="str">
        <f>IFERROR(INDEX([1]物品基础表!$A:$A,MATCH(N266,[1]物品基础表!$B:$B,0)),"")</f>
        <v>高级转生轮回礼包</v>
      </c>
      <c r="P266" s="32">
        <v>5</v>
      </c>
      <c r="Q266" s="32">
        <v>200301</v>
      </c>
      <c r="R266" s="1" t="str">
        <f>IFERROR(INDEX([1]物品基础表!$A:$A,MATCH(Q266,[1]物品基础表!$B:$B,0)),"")</f>
        <v>传世宝钻</v>
      </c>
      <c r="S266" s="32">
        <v>40</v>
      </c>
      <c r="U266" s="1" t="str">
        <f>IFERROR(INDEX([1]物品基础表!$A:$A,MATCH(T266,[1]物品基础表!$B:$B,0)),"")</f>
        <v/>
      </c>
      <c r="X266" s="1" t="str">
        <f>IFERROR(INDEX([1]物品基础表!$A:$A,MATCH(W266,[1]物品基础表!$B:$B,0)),"")</f>
        <v/>
      </c>
    </row>
    <row r="267" spans="1:24">
      <c r="A267" s="32" t="str">
        <f>INDEX([2]活动总表!$A$8:$A$429,MATCH(B267,[2]活动总表!$B$8:$B$429,0))</f>
        <v>（15-30）元宵活动-累充2</v>
      </c>
      <c r="B267" s="32">
        <v>723</v>
      </c>
      <c r="C267" s="32">
        <v>3</v>
      </c>
      <c r="D267" s="32">
        <v>2</v>
      </c>
      <c r="E267" s="32">
        <v>1</v>
      </c>
      <c r="F267" s="32">
        <v>20000</v>
      </c>
      <c r="H267" s="32">
        <v>200912</v>
      </c>
      <c r="I267" s="1" t="str">
        <f>IFERROR(INDEX([1]物品基础表!$A:$A,MATCH(H267,[1]物品基础表!$B:$B,0)),"")</f>
        <v>红色圣物宝箱</v>
      </c>
      <c r="J267" s="32">
        <v>1</v>
      </c>
      <c r="K267" s="32">
        <v>204071</v>
      </c>
      <c r="L267" s="1" t="str">
        <f>IFERROR(INDEX([1]物品基础表!$A:$A,MATCH(K267,[1]物品基础表!$B:$B,0)),"")</f>
        <v>玉佩温养道具3</v>
      </c>
      <c r="M267" s="32">
        <v>1</v>
      </c>
      <c r="N267" s="32">
        <v>204065</v>
      </c>
      <c r="O267" s="1" t="str">
        <f>IFERROR(INDEX([1]物品基础表!$A:$A,MATCH(N267,[1]物品基础表!$B:$B,0)),"")</f>
        <v>超级转生轮回礼包</v>
      </c>
      <c r="P267" s="32">
        <v>1</v>
      </c>
      <c r="Q267" s="32">
        <v>204070</v>
      </c>
      <c r="R267" s="1" t="str">
        <f>IFERROR(INDEX([1]物品基础表!$A:$A,MATCH(Q267,[1]物品基础表!$B:$B,0)),"")</f>
        <v>玉佩温养道具2</v>
      </c>
      <c r="S267" s="32">
        <v>1</v>
      </c>
      <c r="U267" s="1" t="str">
        <f>IFERROR(INDEX([1]物品基础表!$A:$A,MATCH(T267,[1]物品基础表!$B:$B,0)),"")</f>
        <v/>
      </c>
      <c r="X267" s="1" t="str">
        <f>IFERROR(INDEX([1]物品基础表!$A:$A,MATCH(W267,[1]物品基础表!$B:$B,0)),"")</f>
        <v/>
      </c>
    </row>
    <row r="268" spans="1:24">
      <c r="A268" s="32" t="str">
        <f>INDEX([2]活动总表!$A$8:$A$429,MATCH(B268,[2]活动总表!$B$8:$B$429,0))</f>
        <v>（15-30）元宵活动-累充3</v>
      </c>
      <c r="B268" s="32">
        <v>724</v>
      </c>
      <c r="C268" s="32">
        <v>1</v>
      </c>
      <c r="D268" s="32">
        <v>2</v>
      </c>
      <c r="E268" s="32">
        <v>1</v>
      </c>
      <c r="F268" s="32">
        <v>2000</v>
      </c>
      <c r="H268" s="32">
        <v>2</v>
      </c>
      <c r="I268" s="1" t="str">
        <f>IF(H268=2,"元宝","神兵经验")</f>
        <v>元宝</v>
      </c>
      <c r="J268" s="32">
        <v>1000</v>
      </c>
      <c r="K268" s="32">
        <v>13</v>
      </c>
      <c r="L268" s="1" t="str">
        <f>IF(K268=2,"元宝","神兵经验")</f>
        <v>神兵经验</v>
      </c>
      <c r="M268" s="32">
        <v>2000000</v>
      </c>
      <c r="N268" s="32">
        <v>204064</v>
      </c>
      <c r="O268" s="1" t="str">
        <f>IFERROR(INDEX([1]物品基础表!$A:$A,MATCH(N268,[1]物品基础表!$B:$B,0)),"")</f>
        <v>高级转生轮回礼包</v>
      </c>
      <c r="P268" s="32">
        <v>3</v>
      </c>
      <c r="Q268" s="32">
        <v>200301</v>
      </c>
      <c r="R268" s="1" t="str">
        <f>IFERROR(INDEX([1]物品基础表!$A:$A,MATCH(Q268,[1]物品基础表!$B:$B,0)),"")</f>
        <v>传世宝钻</v>
      </c>
      <c r="S268" s="32">
        <v>20</v>
      </c>
      <c r="U268" s="1" t="str">
        <f>IFERROR(INDEX([1]物品基础表!$A:$A,MATCH(T268,[1]物品基础表!$B:$B,0)),"")</f>
        <v/>
      </c>
      <c r="X268" s="1" t="str">
        <f>IFERROR(INDEX([1]物品基础表!$A:$A,MATCH(W268,[1]物品基础表!$B:$B,0)),"")</f>
        <v/>
      </c>
    </row>
    <row r="269" spans="1:24">
      <c r="A269" s="32" t="str">
        <f>INDEX([2]活动总表!$A$8:$A$429,MATCH(B269,[2]活动总表!$B$8:$B$429,0))</f>
        <v>（15-30）元宵活动-累充3</v>
      </c>
      <c r="B269" s="32">
        <v>724</v>
      </c>
      <c r="C269" s="32">
        <v>2</v>
      </c>
      <c r="D269" s="32">
        <v>2</v>
      </c>
      <c r="E269" s="32">
        <v>1</v>
      </c>
      <c r="F269" s="32">
        <v>5000</v>
      </c>
      <c r="H269" s="32">
        <v>200911</v>
      </c>
      <c r="I269" s="1" t="str">
        <f>IFERROR(INDEX([1]物品基础表!$A:$A,MATCH(H269,[1]物品基础表!$B:$B,0)),"")</f>
        <v>橙色圣物宝箱</v>
      </c>
      <c r="J269" s="32">
        <v>1</v>
      </c>
      <c r="K269" s="32">
        <v>204067</v>
      </c>
      <c r="L269" s="1" t="str">
        <f>IFERROR(INDEX([1]物品基础表!$A:$A,MATCH(K269,[1]物品基础表!$B:$B,0)),"")</f>
        <v>玉佩升级道具2</v>
      </c>
      <c r="M269" s="32">
        <v>2</v>
      </c>
      <c r="N269" s="32">
        <v>204064</v>
      </c>
      <c r="O269" s="1" t="str">
        <f>IFERROR(INDEX([1]物品基础表!$A:$A,MATCH(N269,[1]物品基础表!$B:$B,0)),"")</f>
        <v>高级转生轮回礼包</v>
      </c>
      <c r="P269" s="32">
        <v>5</v>
      </c>
      <c r="Q269" s="32">
        <v>200301</v>
      </c>
      <c r="R269" s="1" t="str">
        <f>IFERROR(INDEX([1]物品基础表!$A:$A,MATCH(Q269,[1]物品基础表!$B:$B,0)),"")</f>
        <v>传世宝钻</v>
      </c>
      <c r="S269" s="32">
        <v>40</v>
      </c>
      <c r="U269" s="1" t="str">
        <f>IFERROR(INDEX([1]物品基础表!$A:$A,MATCH(T269,[1]物品基础表!$B:$B,0)),"")</f>
        <v/>
      </c>
      <c r="X269" s="1" t="str">
        <f>IFERROR(INDEX([1]物品基础表!$A:$A,MATCH(W269,[1]物品基础表!$B:$B,0)),"")</f>
        <v/>
      </c>
    </row>
    <row r="270" spans="1:24">
      <c r="A270" s="32" t="str">
        <f>INDEX([2]活动总表!$A$8:$A$429,MATCH(B270,[2]活动总表!$B$8:$B$429,0))</f>
        <v>（15-30）元宵活动-累充3</v>
      </c>
      <c r="B270" s="32">
        <v>724</v>
      </c>
      <c r="C270" s="32">
        <v>3</v>
      </c>
      <c r="D270" s="32">
        <v>2</v>
      </c>
      <c r="E270" s="32">
        <v>1</v>
      </c>
      <c r="F270" s="32">
        <v>20000</v>
      </c>
      <c r="H270" s="32">
        <v>200912</v>
      </c>
      <c r="I270" s="1" t="str">
        <f>IFERROR(INDEX([1]物品基础表!$A:$A,MATCH(H270,[1]物品基础表!$B:$B,0)),"")</f>
        <v>红色圣物宝箱</v>
      </c>
      <c r="J270" s="32">
        <v>1</v>
      </c>
      <c r="K270" s="32">
        <v>204071</v>
      </c>
      <c r="L270" s="1" t="str">
        <f>IFERROR(INDEX([1]物品基础表!$A:$A,MATCH(K270,[1]物品基础表!$B:$B,0)),"")</f>
        <v>玉佩温养道具3</v>
      </c>
      <c r="M270" s="32">
        <v>1</v>
      </c>
      <c r="N270" s="32">
        <v>204065</v>
      </c>
      <c r="O270" s="1" t="str">
        <f>IFERROR(INDEX([1]物品基础表!$A:$A,MATCH(N270,[1]物品基础表!$B:$B,0)),"")</f>
        <v>超级转生轮回礼包</v>
      </c>
      <c r="P270" s="32">
        <v>1</v>
      </c>
      <c r="Q270" s="32">
        <v>204070</v>
      </c>
      <c r="R270" s="1" t="str">
        <f>IFERROR(INDEX([1]物品基础表!$A:$A,MATCH(Q270,[1]物品基础表!$B:$B,0)),"")</f>
        <v>玉佩温养道具2</v>
      </c>
      <c r="S270" s="32">
        <v>1</v>
      </c>
      <c r="U270" s="1" t="str">
        <f>IFERROR(INDEX([1]物品基础表!$A:$A,MATCH(T270,[1]物品基础表!$B:$B,0)),"")</f>
        <v/>
      </c>
      <c r="X270" s="1" t="str">
        <f>IFERROR(INDEX([1]物品基础表!$A:$A,MATCH(W270,[1]物品基础表!$B:$B,0)),"")</f>
        <v/>
      </c>
    </row>
    <row r="271" spans="1:24">
      <c r="A271" s="32" t="str">
        <f>INDEX([2]活动总表!$A$8:$A$429,MATCH(B271,[2]活动总表!$B$8:$B$429,0))</f>
        <v>（15-30）元宵活动-累充4</v>
      </c>
      <c r="B271" s="32">
        <v>725</v>
      </c>
      <c r="C271" s="32">
        <v>1</v>
      </c>
      <c r="D271" s="32">
        <v>2</v>
      </c>
      <c r="E271" s="32">
        <v>1</v>
      </c>
      <c r="F271" s="32">
        <v>2000</v>
      </c>
      <c r="H271" s="32">
        <v>2</v>
      </c>
      <c r="I271" s="1" t="str">
        <f>IF(H271=2,"元宝","神兵经验")</f>
        <v>元宝</v>
      </c>
      <c r="J271" s="32">
        <v>1000</v>
      </c>
      <c r="K271" s="32">
        <v>13</v>
      </c>
      <c r="L271" s="1" t="str">
        <f>IF(K271=2,"元宝","神兵经验")</f>
        <v>神兵经验</v>
      </c>
      <c r="M271" s="32">
        <v>2000000</v>
      </c>
      <c r="N271" s="32">
        <v>204064</v>
      </c>
      <c r="O271" s="1" t="str">
        <f>IFERROR(INDEX([1]物品基础表!$A:$A,MATCH(N271,[1]物品基础表!$B:$B,0)),"")</f>
        <v>高级转生轮回礼包</v>
      </c>
      <c r="P271" s="32">
        <v>3</v>
      </c>
      <c r="Q271" s="32">
        <v>200301</v>
      </c>
      <c r="R271" s="1" t="str">
        <f>IFERROR(INDEX([1]物品基础表!$A:$A,MATCH(Q271,[1]物品基础表!$B:$B,0)),"")</f>
        <v>传世宝钻</v>
      </c>
      <c r="S271" s="32">
        <v>20</v>
      </c>
      <c r="U271" s="1" t="str">
        <f>IFERROR(INDEX([1]物品基础表!$A:$A,MATCH(T271,[1]物品基础表!$B:$B,0)),"")</f>
        <v/>
      </c>
      <c r="X271" s="1" t="str">
        <f>IFERROR(INDEX([1]物品基础表!$A:$A,MATCH(W271,[1]物品基础表!$B:$B,0)),"")</f>
        <v/>
      </c>
    </row>
    <row r="272" spans="1:24">
      <c r="A272" s="32" t="str">
        <f>INDEX([2]活动总表!$A$8:$A$429,MATCH(B272,[2]活动总表!$B$8:$B$429,0))</f>
        <v>（15-30）元宵活动-累充4</v>
      </c>
      <c r="B272" s="32">
        <v>725</v>
      </c>
      <c r="C272" s="32">
        <v>2</v>
      </c>
      <c r="D272" s="32">
        <v>2</v>
      </c>
      <c r="E272" s="32">
        <v>1</v>
      </c>
      <c r="F272" s="32">
        <v>5000</v>
      </c>
      <c r="H272" s="32">
        <v>200911</v>
      </c>
      <c r="I272" s="1" t="str">
        <f>IFERROR(INDEX([1]物品基础表!$A:$A,MATCH(H272,[1]物品基础表!$B:$B,0)),"")</f>
        <v>橙色圣物宝箱</v>
      </c>
      <c r="J272" s="32">
        <v>1</v>
      </c>
      <c r="K272" s="32">
        <v>204067</v>
      </c>
      <c r="L272" s="1" t="str">
        <f>IFERROR(INDEX([1]物品基础表!$A:$A,MATCH(K272,[1]物品基础表!$B:$B,0)),"")</f>
        <v>玉佩升级道具2</v>
      </c>
      <c r="M272" s="32">
        <v>2</v>
      </c>
      <c r="N272" s="32">
        <v>204064</v>
      </c>
      <c r="O272" s="1" t="str">
        <f>IFERROR(INDEX([1]物品基础表!$A:$A,MATCH(N272,[1]物品基础表!$B:$B,0)),"")</f>
        <v>高级转生轮回礼包</v>
      </c>
      <c r="P272" s="32">
        <v>5</v>
      </c>
      <c r="Q272" s="32">
        <v>200301</v>
      </c>
      <c r="R272" s="1" t="str">
        <f>IFERROR(INDEX([1]物品基础表!$A:$A,MATCH(Q272,[1]物品基础表!$B:$B,0)),"")</f>
        <v>传世宝钻</v>
      </c>
      <c r="S272" s="32">
        <v>40</v>
      </c>
      <c r="U272" s="1" t="str">
        <f>IFERROR(INDEX([1]物品基础表!$A:$A,MATCH(T272,[1]物品基础表!$B:$B,0)),"")</f>
        <v/>
      </c>
      <c r="X272" s="1" t="str">
        <f>IFERROR(INDEX([1]物品基础表!$A:$A,MATCH(W272,[1]物品基础表!$B:$B,0)),"")</f>
        <v/>
      </c>
    </row>
    <row r="273" spans="1:24">
      <c r="A273" s="32" t="str">
        <f>INDEX([2]活动总表!$A$8:$A$429,MATCH(B273,[2]活动总表!$B$8:$B$429,0))</f>
        <v>（15-30）元宵活动-累充4</v>
      </c>
      <c r="B273" s="32">
        <v>725</v>
      </c>
      <c r="C273" s="32">
        <v>3</v>
      </c>
      <c r="D273" s="32">
        <v>2</v>
      </c>
      <c r="E273" s="32">
        <v>1</v>
      </c>
      <c r="F273" s="32">
        <v>20000</v>
      </c>
      <c r="H273" s="32">
        <v>200912</v>
      </c>
      <c r="I273" s="1" t="str">
        <f>IFERROR(INDEX([1]物品基础表!$A:$A,MATCH(H273,[1]物品基础表!$B:$B,0)),"")</f>
        <v>红色圣物宝箱</v>
      </c>
      <c r="J273" s="32">
        <v>1</v>
      </c>
      <c r="K273" s="32">
        <v>204071</v>
      </c>
      <c r="L273" s="1" t="str">
        <f>IFERROR(INDEX([1]物品基础表!$A:$A,MATCH(K273,[1]物品基础表!$B:$B,0)),"")</f>
        <v>玉佩温养道具3</v>
      </c>
      <c r="M273" s="32">
        <v>1</v>
      </c>
      <c r="N273" s="32">
        <v>204065</v>
      </c>
      <c r="O273" s="1" t="str">
        <f>IFERROR(INDEX([1]物品基础表!$A:$A,MATCH(N273,[1]物品基础表!$B:$B,0)),"")</f>
        <v>超级转生轮回礼包</v>
      </c>
      <c r="P273" s="32">
        <v>1</v>
      </c>
      <c r="Q273" s="32">
        <v>204070</v>
      </c>
      <c r="R273" s="1" t="str">
        <f>IFERROR(INDEX([1]物品基础表!$A:$A,MATCH(Q273,[1]物品基础表!$B:$B,0)),"")</f>
        <v>玉佩温养道具2</v>
      </c>
      <c r="S273" s="32">
        <v>1</v>
      </c>
      <c r="U273" s="1" t="str">
        <f>IFERROR(INDEX([1]物品基础表!$A:$A,MATCH(T273,[1]物品基础表!$B:$B,0)),"")</f>
        <v/>
      </c>
      <c r="X273" s="1" t="str">
        <f>IFERROR(INDEX([1]物品基础表!$A:$A,MATCH(W273,[1]物品基础表!$B:$B,0)),"")</f>
        <v/>
      </c>
    </row>
    <row r="274" spans="1:24">
      <c r="A274" s="32" t="str">
        <f>INDEX([2]活动总表!$A$8:$A$429,MATCH(B274,[2]活动总表!$B$8:$B$429,0))</f>
        <v>（31-60）元宵活动-累充1</v>
      </c>
      <c r="B274" s="32">
        <v>727</v>
      </c>
      <c r="C274" s="32">
        <v>1</v>
      </c>
      <c r="D274" s="32">
        <v>2</v>
      </c>
      <c r="E274" s="32">
        <v>1</v>
      </c>
      <c r="F274" s="32">
        <v>2000</v>
      </c>
      <c r="H274" s="32">
        <v>2</v>
      </c>
      <c r="I274" s="1" t="str">
        <f>IF(H274=2,"元宝","神兵经验")</f>
        <v>元宝</v>
      </c>
      <c r="J274" s="32">
        <v>1000</v>
      </c>
      <c r="K274" s="32">
        <v>13</v>
      </c>
      <c r="L274" s="1" t="str">
        <f>IF(K274=2,"元宝","神兵经验")</f>
        <v>神兵经验</v>
      </c>
      <c r="M274" s="32">
        <v>2000000</v>
      </c>
      <c r="N274" s="32">
        <v>204064</v>
      </c>
      <c r="O274" s="1" t="str">
        <f>IFERROR(INDEX([1]物品基础表!$A:$A,MATCH(N274,[1]物品基础表!$B:$B,0)),"")</f>
        <v>高级转生轮回礼包</v>
      </c>
      <c r="P274" s="32">
        <v>3</v>
      </c>
      <c r="Q274" s="32">
        <v>200301</v>
      </c>
      <c r="R274" s="1" t="str">
        <f>IFERROR(INDEX([1]物品基础表!$A:$A,MATCH(Q274,[1]物品基础表!$B:$B,0)),"")</f>
        <v>传世宝钻</v>
      </c>
      <c r="S274" s="32">
        <v>20</v>
      </c>
      <c r="U274" s="1" t="str">
        <f>IFERROR(INDEX([1]物品基础表!$A:$A,MATCH(T274,[1]物品基础表!$B:$B,0)),"")</f>
        <v/>
      </c>
      <c r="X274" s="1" t="str">
        <f>IFERROR(INDEX([1]物品基础表!$A:$A,MATCH(W274,[1]物品基础表!$B:$B,0)),"")</f>
        <v/>
      </c>
    </row>
    <row r="275" spans="1:24">
      <c r="A275" s="32" t="str">
        <f>INDEX([2]活动总表!$A$8:$A$429,MATCH(B275,[2]活动总表!$B$8:$B$429,0))</f>
        <v>（31-60）元宵活动-累充1</v>
      </c>
      <c r="B275" s="32">
        <v>727</v>
      </c>
      <c r="C275" s="32">
        <v>2</v>
      </c>
      <c r="D275" s="32">
        <v>2</v>
      </c>
      <c r="E275" s="32">
        <v>1</v>
      </c>
      <c r="F275" s="32">
        <v>5000</v>
      </c>
      <c r="H275" s="32">
        <v>200911</v>
      </c>
      <c r="I275" s="1" t="str">
        <f>IFERROR(INDEX([1]物品基础表!$A:$A,MATCH(H275,[1]物品基础表!$B:$B,0)),"")</f>
        <v>橙色圣物宝箱</v>
      </c>
      <c r="J275" s="32">
        <v>1</v>
      </c>
      <c r="K275" s="32">
        <v>204067</v>
      </c>
      <c r="L275" s="1" t="str">
        <f>IFERROR(INDEX([1]物品基础表!$A:$A,MATCH(K275,[1]物品基础表!$B:$B,0)),"")</f>
        <v>玉佩升级道具2</v>
      </c>
      <c r="M275" s="32">
        <v>2</v>
      </c>
      <c r="N275" s="32">
        <v>204064</v>
      </c>
      <c r="O275" s="1" t="str">
        <f>IFERROR(INDEX([1]物品基础表!$A:$A,MATCH(N275,[1]物品基础表!$B:$B,0)),"")</f>
        <v>高级转生轮回礼包</v>
      </c>
      <c r="P275" s="32">
        <v>5</v>
      </c>
      <c r="Q275" s="32">
        <v>200301</v>
      </c>
      <c r="R275" s="1" t="str">
        <f>IFERROR(INDEX([1]物品基础表!$A:$A,MATCH(Q275,[1]物品基础表!$B:$B,0)),"")</f>
        <v>传世宝钻</v>
      </c>
      <c r="S275" s="32">
        <v>40</v>
      </c>
      <c r="U275" s="1" t="str">
        <f>IFERROR(INDEX([1]物品基础表!$A:$A,MATCH(T275,[1]物品基础表!$B:$B,0)),"")</f>
        <v/>
      </c>
      <c r="X275" s="1" t="str">
        <f>IFERROR(INDEX([1]物品基础表!$A:$A,MATCH(W275,[1]物品基础表!$B:$B,0)),"")</f>
        <v/>
      </c>
    </row>
    <row r="276" spans="1:24">
      <c r="A276" s="32" t="str">
        <f>INDEX([2]活动总表!$A$8:$A$429,MATCH(B276,[2]活动总表!$B$8:$B$429,0))</f>
        <v>（31-60）元宵活动-累充1</v>
      </c>
      <c r="B276" s="32">
        <v>727</v>
      </c>
      <c r="C276" s="32">
        <v>3</v>
      </c>
      <c r="D276" s="32">
        <v>2</v>
      </c>
      <c r="E276" s="32">
        <v>1</v>
      </c>
      <c r="F276" s="32">
        <v>20000</v>
      </c>
      <c r="H276" s="32">
        <v>200912</v>
      </c>
      <c r="I276" s="1" t="str">
        <f>IFERROR(INDEX([1]物品基础表!$A:$A,MATCH(H276,[1]物品基础表!$B:$B,0)),"")</f>
        <v>红色圣物宝箱</v>
      </c>
      <c r="J276" s="32">
        <v>1</v>
      </c>
      <c r="K276" s="32">
        <v>204071</v>
      </c>
      <c r="L276" s="1" t="str">
        <f>IFERROR(INDEX([1]物品基础表!$A:$A,MATCH(K276,[1]物品基础表!$B:$B,0)),"")</f>
        <v>玉佩温养道具3</v>
      </c>
      <c r="M276" s="32">
        <v>1</v>
      </c>
      <c r="N276" s="32">
        <v>204065</v>
      </c>
      <c r="O276" s="1" t="str">
        <f>IFERROR(INDEX([1]物品基础表!$A:$A,MATCH(N276,[1]物品基础表!$B:$B,0)),"")</f>
        <v>超级转生轮回礼包</v>
      </c>
      <c r="P276" s="32">
        <v>1</v>
      </c>
      <c r="Q276" s="32">
        <v>204070</v>
      </c>
      <c r="R276" s="1" t="str">
        <f>IFERROR(INDEX([1]物品基础表!$A:$A,MATCH(Q276,[1]物品基础表!$B:$B,0)),"")</f>
        <v>玉佩温养道具2</v>
      </c>
      <c r="S276" s="32">
        <v>1</v>
      </c>
      <c r="U276" s="1" t="str">
        <f>IFERROR(INDEX([1]物品基础表!$A:$A,MATCH(T276,[1]物品基础表!$B:$B,0)),"")</f>
        <v/>
      </c>
      <c r="X276" s="1" t="str">
        <f>IFERROR(INDEX([1]物品基础表!$A:$A,MATCH(W276,[1]物品基础表!$B:$B,0)),"")</f>
        <v/>
      </c>
    </row>
    <row r="277" spans="1:24">
      <c r="A277" s="32" t="str">
        <f>INDEX([2]活动总表!$A$8:$A$429,MATCH(B277,[2]活动总表!$B$8:$B$429,0))</f>
        <v>（31-60）元宵活动-累充2</v>
      </c>
      <c r="B277" s="32">
        <v>728</v>
      </c>
      <c r="C277" s="32">
        <v>1</v>
      </c>
      <c r="D277" s="32">
        <v>2</v>
      </c>
      <c r="E277" s="32">
        <v>1</v>
      </c>
      <c r="F277" s="32">
        <v>2000</v>
      </c>
      <c r="H277" s="32">
        <v>2</v>
      </c>
      <c r="I277" s="1" t="str">
        <f>IF(H277=2,"元宝","神兵经验")</f>
        <v>元宝</v>
      </c>
      <c r="J277" s="32">
        <v>1000</v>
      </c>
      <c r="K277" s="32">
        <v>13</v>
      </c>
      <c r="L277" s="1" t="str">
        <f>IF(K277=2,"元宝","神兵经验")</f>
        <v>神兵经验</v>
      </c>
      <c r="M277" s="32">
        <v>2000000</v>
      </c>
      <c r="N277" s="32">
        <v>204064</v>
      </c>
      <c r="O277" s="1" t="str">
        <f>IFERROR(INDEX([1]物品基础表!$A:$A,MATCH(N277,[1]物品基础表!$B:$B,0)),"")</f>
        <v>高级转生轮回礼包</v>
      </c>
      <c r="P277" s="32">
        <v>3</v>
      </c>
      <c r="Q277" s="32">
        <v>200301</v>
      </c>
      <c r="R277" s="1" t="str">
        <f>IFERROR(INDEX([1]物品基础表!$A:$A,MATCH(Q277,[1]物品基础表!$B:$B,0)),"")</f>
        <v>传世宝钻</v>
      </c>
      <c r="S277" s="32">
        <v>20</v>
      </c>
      <c r="U277" s="1" t="str">
        <f>IFERROR(INDEX([1]物品基础表!$A:$A,MATCH(T277,[1]物品基础表!$B:$B,0)),"")</f>
        <v/>
      </c>
      <c r="X277" s="1" t="str">
        <f>IFERROR(INDEX([1]物品基础表!$A:$A,MATCH(W277,[1]物品基础表!$B:$B,0)),"")</f>
        <v/>
      </c>
    </row>
    <row r="278" spans="1:24">
      <c r="A278" s="32" t="str">
        <f>INDEX([2]活动总表!$A$8:$A$429,MATCH(B278,[2]活动总表!$B$8:$B$429,0))</f>
        <v>（31-60）元宵活动-累充2</v>
      </c>
      <c r="B278" s="32">
        <v>728</v>
      </c>
      <c r="C278" s="32">
        <v>2</v>
      </c>
      <c r="D278" s="32">
        <v>2</v>
      </c>
      <c r="E278" s="32">
        <v>1</v>
      </c>
      <c r="F278" s="32">
        <v>5000</v>
      </c>
      <c r="H278" s="32">
        <v>200911</v>
      </c>
      <c r="I278" s="1" t="str">
        <f>IFERROR(INDEX([1]物品基础表!$A:$A,MATCH(H278,[1]物品基础表!$B:$B,0)),"")</f>
        <v>橙色圣物宝箱</v>
      </c>
      <c r="J278" s="32">
        <v>1</v>
      </c>
      <c r="K278" s="32">
        <v>204067</v>
      </c>
      <c r="L278" s="1" t="str">
        <f>IFERROR(INDEX([1]物品基础表!$A:$A,MATCH(K278,[1]物品基础表!$B:$B,0)),"")</f>
        <v>玉佩升级道具2</v>
      </c>
      <c r="M278" s="32">
        <v>2</v>
      </c>
      <c r="N278" s="32">
        <v>204064</v>
      </c>
      <c r="O278" s="1" t="str">
        <f>IFERROR(INDEX([1]物品基础表!$A:$A,MATCH(N278,[1]物品基础表!$B:$B,0)),"")</f>
        <v>高级转生轮回礼包</v>
      </c>
      <c r="P278" s="32">
        <v>5</v>
      </c>
      <c r="Q278" s="32">
        <v>200301</v>
      </c>
      <c r="R278" s="1" t="str">
        <f>IFERROR(INDEX([1]物品基础表!$A:$A,MATCH(Q278,[1]物品基础表!$B:$B,0)),"")</f>
        <v>传世宝钻</v>
      </c>
      <c r="S278" s="32">
        <v>40</v>
      </c>
      <c r="U278" s="1" t="str">
        <f>IFERROR(INDEX([1]物品基础表!$A:$A,MATCH(T278,[1]物品基础表!$B:$B,0)),"")</f>
        <v/>
      </c>
      <c r="X278" s="1" t="str">
        <f>IFERROR(INDEX([1]物品基础表!$A:$A,MATCH(W278,[1]物品基础表!$B:$B,0)),"")</f>
        <v/>
      </c>
    </row>
    <row r="279" spans="1:24">
      <c r="A279" s="32" t="str">
        <f>INDEX([2]活动总表!$A$8:$A$429,MATCH(B279,[2]活动总表!$B$8:$B$429,0))</f>
        <v>（31-60）元宵活动-累充2</v>
      </c>
      <c r="B279" s="32">
        <v>728</v>
      </c>
      <c r="C279" s="32">
        <v>3</v>
      </c>
      <c r="D279" s="32">
        <v>2</v>
      </c>
      <c r="E279" s="32">
        <v>1</v>
      </c>
      <c r="F279" s="32">
        <v>20000</v>
      </c>
      <c r="H279" s="32">
        <v>200912</v>
      </c>
      <c r="I279" s="1" t="str">
        <f>IFERROR(INDEX([1]物品基础表!$A:$A,MATCH(H279,[1]物品基础表!$B:$B,0)),"")</f>
        <v>红色圣物宝箱</v>
      </c>
      <c r="J279" s="32">
        <v>1</v>
      </c>
      <c r="K279" s="32">
        <v>204071</v>
      </c>
      <c r="L279" s="1" t="str">
        <f>IFERROR(INDEX([1]物品基础表!$A:$A,MATCH(K279,[1]物品基础表!$B:$B,0)),"")</f>
        <v>玉佩温养道具3</v>
      </c>
      <c r="M279" s="32">
        <v>1</v>
      </c>
      <c r="N279" s="32">
        <v>204065</v>
      </c>
      <c r="O279" s="1" t="str">
        <f>IFERROR(INDEX([1]物品基础表!$A:$A,MATCH(N279,[1]物品基础表!$B:$B,0)),"")</f>
        <v>超级转生轮回礼包</v>
      </c>
      <c r="P279" s="32">
        <v>1</v>
      </c>
      <c r="Q279" s="32">
        <v>204070</v>
      </c>
      <c r="R279" s="1" t="str">
        <f>IFERROR(INDEX([1]物品基础表!$A:$A,MATCH(Q279,[1]物品基础表!$B:$B,0)),"")</f>
        <v>玉佩温养道具2</v>
      </c>
      <c r="S279" s="32">
        <v>1</v>
      </c>
      <c r="U279" s="1" t="str">
        <f>IFERROR(INDEX([1]物品基础表!$A:$A,MATCH(T279,[1]物品基础表!$B:$B,0)),"")</f>
        <v/>
      </c>
      <c r="X279" s="1" t="str">
        <f>IFERROR(INDEX([1]物品基础表!$A:$A,MATCH(W279,[1]物品基础表!$B:$B,0)),"")</f>
        <v/>
      </c>
    </row>
    <row r="280" spans="1:24">
      <c r="A280" s="32" t="str">
        <f>INDEX([2]活动总表!$A$8:$A$429,MATCH(B280,[2]活动总表!$B$8:$B$429,0))</f>
        <v>（31-60）元宵活动-累充3</v>
      </c>
      <c r="B280" s="32">
        <v>729</v>
      </c>
      <c r="C280" s="32">
        <v>1</v>
      </c>
      <c r="D280" s="32">
        <v>2</v>
      </c>
      <c r="E280" s="32">
        <v>1</v>
      </c>
      <c r="F280" s="32">
        <v>2000</v>
      </c>
      <c r="H280" s="32">
        <v>2</v>
      </c>
      <c r="I280" s="1" t="str">
        <f>IF(H280=2,"元宝","神兵经验")</f>
        <v>元宝</v>
      </c>
      <c r="J280" s="32">
        <v>1000</v>
      </c>
      <c r="K280" s="32">
        <v>13</v>
      </c>
      <c r="L280" s="1" t="str">
        <f>IF(K280=2,"元宝","神兵经验")</f>
        <v>神兵经验</v>
      </c>
      <c r="M280" s="32">
        <v>2000000</v>
      </c>
      <c r="N280" s="32">
        <v>204064</v>
      </c>
      <c r="O280" s="1" t="str">
        <f>IFERROR(INDEX([1]物品基础表!$A:$A,MATCH(N280,[1]物品基础表!$B:$B,0)),"")</f>
        <v>高级转生轮回礼包</v>
      </c>
      <c r="P280" s="32">
        <v>3</v>
      </c>
      <c r="Q280" s="32">
        <v>200301</v>
      </c>
      <c r="R280" s="1" t="str">
        <f>IFERROR(INDEX([1]物品基础表!$A:$A,MATCH(Q280,[1]物品基础表!$B:$B,0)),"")</f>
        <v>传世宝钻</v>
      </c>
      <c r="S280" s="32">
        <v>20</v>
      </c>
      <c r="U280" s="1" t="str">
        <f>IFERROR(INDEX([1]物品基础表!$A:$A,MATCH(T280,[1]物品基础表!$B:$B,0)),"")</f>
        <v/>
      </c>
      <c r="X280" s="1" t="str">
        <f>IFERROR(INDEX([1]物品基础表!$A:$A,MATCH(W280,[1]物品基础表!$B:$B,0)),"")</f>
        <v/>
      </c>
    </row>
    <row r="281" spans="1:24">
      <c r="A281" s="32" t="str">
        <f>INDEX([2]活动总表!$A$8:$A$429,MATCH(B281,[2]活动总表!$B$8:$B$429,0))</f>
        <v>（31-60）元宵活动-累充3</v>
      </c>
      <c r="B281" s="32">
        <v>729</v>
      </c>
      <c r="C281" s="32">
        <v>2</v>
      </c>
      <c r="D281" s="32">
        <v>2</v>
      </c>
      <c r="E281" s="32">
        <v>1</v>
      </c>
      <c r="F281" s="32">
        <v>5000</v>
      </c>
      <c r="H281" s="32">
        <v>200911</v>
      </c>
      <c r="I281" s="1" t="str">
        <f>IFERROR(INDEX([1]物品基础表!$A:$A,MATCH(H281,[1]物品基础表!$B:$B,0)),"")</f>
        <v>橙色圣物宝箱</v>
      </c>
      <c r="J281" s="32">
        <v>1</v>
      </c>
      <c r="K281" s="32">
        <v>204067</v>
      </c>
      <c r="L281" s="1" t="str">
        <f>IFERROR(INDEX([1]物品基础表!$A:$A,MATCH(K281,[1]物品基础表!$B:$B,0)),"")</f>
        <v>玉佩升级道具2</v>
      </c>
      <c r="M281" s="32">
        <v>2</v>
      </c>
      <c r="N281" s="32">
        <v>204064</v>
      </c>
      <c r="O281" s="1" t="str">
        <f>IFERROR(INDEX([1]物品基础表!$A:$A,MATCH(N281,[1]物品基础表!$B:$B,0)),"")</f>
        <v>高级转生轮回礼包</v>
      </c>
      <c r="P281" s="32">
        <v>5</v>
      </c>
      <c r="Q281" s="32">
        <v>200301</v>
      </c>
      <c r="R281" s="1" t="str">
        <f>IFERROR(INDEX([1]物品基础表!$A:$A,MATCH(Q281,[1]物品基础表!$B:$B,0)),"")</f>
        <v>传世宝钻</v>
      </c>
      <c r="S281" s="32">
        <v>40</v>
      </c>
      <c r="U281" s="1" t="str">
        <f>IFERROR(INDEX([1]物品基础表!$A:$A,MATCH(T281,[1]物品基础表!$B:$B,0)),"")</f>
        <v/>
      </c>
      <c r="X281" s="1" t="str">
        <f>IFERROR(INDEX([1]物品基础表!$A:$A,MATCH(W281,[1]物品基础表!$B:$B,0)),"")</f>
        <v/>
      </c>
    </row>
    <row r="282" spans="1:24">
      <c r="A282" s="32" t="str">
        <f>INDEX([2]活动总表!$A$8:$A$429,MATCH(B282,[2]活动总表!$B$8:$B$429,0))</f>
        <v>（31-60）元宵活动-累充3</v>
      </c>
      <c r="B282" s="32">
        <v>729</v>
      </c>
      <c r="C282" s="32">
        <v>3</v>
      </c>
      <c r="D282" s="32">
        <v>2</v>
      </c>
      <c r="E282" s="32">
        <v>1</v>
      </c>
      <c r="F282" s="32">
        <v>20000</v>
      </c>
      <c r="H282" s="32">
        <v>200912</v>
      </c>
      <c r="I282" s="1" t="str">
        <f>IFERROR(INDEX([1]物品基础表!$A:$A,MATCH(H282,[1]物品基础表!$B:$B,0)),"")</f>
        <v>红色圣物宝箱</v>
      </c>
      <c r="J282" s="32">
        <v>1</v>
      </c>
      <c r="K282" s="32">
        <v>204071</v>
      </c>
      <c r="L282" s="1" t="str">
        <f>IFERROR(INDEX([1]物品基础表!$A:$A,MATCH(K282,[1]物品基础表!$B:$B,0)),"")</f>
        <v>玉佩温养道具3</v>
      </c>
      <c r="M282" s="32">
        <v>1</v>
      </c>
      <c r="N282" s="32">
        <v>204065</v>
      </c>
      <c r="O282" s="1" t="str">
        <f>IFERROR(INDEX([1]物品基础表!$A:$A,MATCH(N282,[1]物品基础表!$B:$B,0)),"")</f>
        <v>超级转生轮回礼包</v>
      </c>
      <c r="P282" s="32">
        <v>1</v>
      </c>
      <c r="Q282" s="32">
        <v>204070</v>
      </c>
      <c r="R282" s="1" t="str">
        <f>IFERROR(INDEX([1]物品基础表!$A:$A,MATCH(Q282,[1]物品基础表!$B:$B,0)),"")</f>
        <v>玉佩温养道具2</v>
      </c>
      <c r="S282" s="32">
        <v>1</v>
      </c>
      <c r="U282" s="1" t="str">
        <f>IFERROR(INDEX([1]物品基础表!$A:$A,MATCH(T282,[1]物品基础表!$B:$B,0)),"")</f>
        <v/>
      </c>
      <c r="X282" s="1" t="str">
        <f>IFERROR(INDEX([1]物品基础表!$A:$A,MATCH(W282,[1]物品基础表!$B:$B,0)),"")</f>
        <v/>
      </c>
    </row>
    <row r="283" spans="1:24">
      <c r="A283" s="32" t="str">
        <f>INDEX([2]活动总表!$A$8:$A$429,MATCH(B283,[2]活动总表!$B$8:$B$429,0))</f>
        <v>（31-60）元宵活动-累充4</v>
      </c>
      <c r="B283" s="32">
        <v>730</v>
      </c>
      <c r="C283" s="32">
        <v>1</v>
      </c>
      <c r="D283" s="32">
        <v>2</v>
      </c>
      <c r="E283" s="32">
        <v>1</v>
      </c>
      <c r="F283" s="32">
        <v>2000</v>
      </c>
      <c r="H283" s="32">
        <v>2</v>
      </c>
      <c r="I283" s="1" t="str">
        <f>IF(H283=2,"元宝","神兵经验")</f>
        <v>元宝</v>
      </c>
      <c r="J283" s="32">
        <v>1000</v>
      </c>
      <c r="K283" s="32">
        <v>13</v>
      </c>
      <c r="L283" s="1" t="str">
        <f>IF(K283=2,"元宝","神兵经验")</f>
        <v>神兵经验</v>
      </c>
      <c r="M283" s="32">
        <v>2000000</v>
      </c>
      <c r="N283" s="32">
        <v>204064</v>
      </c>
      <c r="O283" s="1" t="str">
        <f>IFERROR(INDEX([1]物品基础表!$A:$A,MATCH(N283,[1]物品基础表!$B:$B,0)),"")</f>
        <v>高级转生轮回礼包</v>
      </c>
      <c r="P283" s="32">
        <v>3</v>
      </c>
      <c r="Q283" s="32">
        <v>200301</v>
      </c>
      <c r="R283" s="1" t="str">
        <f>IFERROR(INDEX([1]物品基础表!$A:$A,MATCH(Q283,[1]物品基础表!$B:$B,0)),"")</f>
        <v>传世宝钻</v>
      </c>
      <c r="S283" s="32">
        <v>20</v>
      </c>
      <c r="U283" s="1" t="str">
        <f>IFERROR(INDEX([1]物品基础表!$A:$A,MATCH(T283,[1]物品基础表!$B:$B,0)),"")</f>
        <v/>
      </c>
      <c r="X283" s="1" t="str">
        <f>IFERROR(INDEX([1]物品基础表!$A:$A,MATCH(W283,[1]物品基础表!$B:$B,0)),"")</f>
        <v/>
      </c>
    </row>
    <row r="284" spans="1:24">
      <c r="A284" s="32" t="str">
        <f>INDEX([2]活动总表!$A$8:$A$429,MATCH(B284,[2]活动总表!$B$8:$B$429,0))</f>
        <v>（31-60）元宵活动-累充4</v>
      </c>
      <c r="B284" s="32">
        <v>730</v>
      </c>
      <c r="C284" s="32">
        <v>2</v>
      </c>
      <c r="D284" s="32">
        <v>2</v>
      </c>
      <c r="E284" s="32">
        <v>1</v>
      </c>
      <c r="F284" s="32">
        <v>5000</v>
      </c>
      <c r="H284" s="32">
        <v>200911</v>
      </c>
      <c r="I284" s="1" t="str">
        <f>IFERROR(INDEX([1]物品基础表!$A:$A,MATCH(H284,[1]物品基础表!$B:$B,0)),"")</f>
        <v>橙色圣物宝箱</v>
      </c>
      <c r="J284" s="32">
        <v>1</v>
      </c>
      <c r="K284" s="32">
        <v>204067</v>
      </c>
      <c r="L284" s="1" t="str">
        <f>IFERROR(INDEX([1]物品基础表!$A:$A,MATCH(K284,[1]物品基础表!$B:$B,0)),"")</f>
        <v>玉佩升级道具2</v>
      </c>
      <c r="M284" s="32">
        <v>2</v>
      </c>
      <c r="N284" s="32">
        <v>204064</v>
      </c>
      <c r="O284" s="1" t="str">
        <f>IFERROR(INDEX([1]物品基础表!$A:$A,MATCH(N284,[1]物品基础表!$B:$B,0)),"")</f>
        <v>高级转生轮回礼包</v>
      </c>
      <c r="P284" s="32">
        <v>5</v>
      </c>
      <c r="Q284" s="32">
        <v>200301</v>
      </c>
      <c r="R284" s="1" t="str">
        <f>IFERROR(INDEX([1]物品基础表!$A:$A,MATCH(Q284,[1]物品基础表!$B:$B,0)),"")</f>
        <v>传世宝钻</v>
      </c>
      <c r="S284" s="32">
        <v>40</v>
      </c>
      <c r="U284" s="1" t="str">
        <f>IFERROR(INDEX([1]物品基础表!$A:$A,MATCH(T284,[1]物品基础表!$B:$B,0)),"")</f>
        <v/>
      </c>
      <c r="X284" s="1" t="str">
        <f>IFERROR(INDEX([1]物品基础表!$A:$A,MATCH(W284,[1]物品基础表!$B:$B,0)),"")</f>
        <v/>
      </c>
    </row>
    <row r="285" spans="1:24">
      <c r="A285" s="32" t="str">
        <f>INDEX([2]活动总表!$A$8:$A$429,MATCH(B285,[2]活动总表!$B$8:$B$429,0))</f>
        <v>（31-60）元宵活动-累充4</v>
      </c>
      <c r="B285" s="32">
        <v>730</v>
      </c>
      <c r="C285" s="32">
        <v>3</v>
      </c>
      <c r="D285" s="32">
        <v>2</v>
      </c>
      <c r="E285" s="32">
        <v>1</v>
      </c>
      <c r="F285" s="32">
        <v>20000</v>
      </c>
      <c r="H285" s="32">
        <v>200912</v>
      </c>
      <c r="I285" s="1" t="str">
        <f>IFERROR(INDEX([1]物品基础表!$A:$A,MATCH(H285,[1]物品基础表!$B:$B,0)),"")</f>
        <v>红色圣物宝箱</v>
      </c>
      <c r="J285" s="32">
        <v>1</v>
      </c>
      <c r="K285" s="32">
        <v>204071</v>
      </c>
      <c r="L285" s="1" t="str">
        <f>IFERROR(INDEX([1]物品基础表!$A:$A,MATCH(K285,[1]物品基础表!$B:$B,0)),"")</f>
        <v>玉佩温养道具3</v>
      </c>
      <c r="M285" s="32">
        <v>1</v>
      </c>
      <c r="N285" s="32">
        <v>204065</v>
      </c>
      <c r="O285" s="1" t="str">
        <f>IFERROR(INDEX([1]物品基础表!$A:$A,MATCH(N285,[1]物品基础表!$B:$B,0)),"")</f>
        <v>超级转生轮回礼包</v>
      </c>
      <c r="P285" s="32">
        <v>1</v>
      </c>
      <c r="Q285" s="32">
        <v>204070</v>
      </c>
      <c r="R285" s="1" t="str">
        <f>IFERROR(INDEX([1]物品基础表!$A:$A,MATCH(Q285,[1]物品基础表!$B:$B,0)),"")</f>
        <v>玉佩温养道具2</v>
      </c>
      <c r="S285" s="32">
        <v>1</v>
      </c>
      <c r="U285" s="1" t="str">
        <f>IFERROR(INDEX([1]物品基础表!$A:$A,MATCH(T285,[1]物品基础表!$B:$B,0)),"")</f>
        <v/>
      </c>
      <c r="X285" s="1" t="str">
        <f>IFERROR(INDEX([1]物品基础表!$A:$A,MATCH(W285,[1]物品基础表!$B:$B,0)),"")</f>
        <v/>
      </c>
    </row>
    <row r="286" spans="1:24">
      <c r="A286" s="32" t="str">
        <f>INDEX([2]活动总表!$A$8:$A$429,MATCH(B286,[2]活动总表!$B$8:$B$429,0))</f>
        <v>（61+）元宵活动-累充1</v>
      </c>
      <c r="B286" s="32">
        <v>732</v>
      </c>
      <c r="C286" s="32">
        <v>1</v>
      </c>
      <c r="D286" s="32">
        <v>2</v>
      </c>
      <c r="E286" s="32">
        <v>1</v>
      </c>
      <c r="F286" s="32">
        <v>2000</v>
      </c>
      <c r="H286" s="32">
        <v>2</v>
      </c>
      <c r="I286" s="1" t="str">
        <f>IF(H286=2,"元宝","神兵经验")</f>
        <v>元宝</v>
      </c>
      <c r="J286" s="32">
        <v>1000</v>
      </c>
      <c r="K286" s="32">
        <v>13</v>
      </c>
      <c r="L286" s="1" t="str">
        <f>IF(K286=2,"元宝","神兵经验")</f>
        <v>神兵经验</v>
      </c>
      <c r="M286" s="32">
        <v>2000000</v>
      </c>
      <c r="N286" s="32">
        <v>204064</v>
      </c>
      <c r="O286" s="1" t="str">
        <f>IFERROR(INDEX([1]物品基础表!$A:$A,MATCH(N286,[1]物品基础表!$B:$B,0)),"")</f>
        <v>高级转生轮回礼包</v>
      </c>
      <c r="P286" s="32">
        <v>3</v>
      </c>
      <c r="Q286" s="32">
        <v>200301</v>
      </c>
      <c r="R286" s="1" t="str">
        <f>IFERROR(INDEX([1]物品基础表!$A:$A,MATCH(Q286,[1]物品基础表!$B:$B,0)),"")</f>
        <v>传世宝钻</v>
      </c>
      <c r="S286" s="32">
        <v>20</v>
      </c>
      <c r="U286" s="1" t="str">
        <f>IFERROR(INDEX([1]物品基础表!$A:$A,MATCH(T286,[1]物品基础表!$B:$B,0)),"")</f>
        <v/>
      </c>
      <c r="X286" s="1" t="str">
        <f>IFERROR(INDEX([1]物品基础表!$A:$A,MATCH(W286,[1]物品基础表!$B:$B,0)),"")</f>
        <v/>
      </c>
    </row>
    <row r="287" spans="1:24">
      <c r="A287" s="32" t="str">
        <f>INDEX([2]活动总表!$A$8:$A$429,MATCH(B287,[2]活动总表!$B$8:$B$429,0))</f>
        <v>（61+）元宵活动-累充1</v>
      </c>
      <c r="B287" s="32">
        <v>732</v>
      </c>
      <c r="C287" s="32">
        <v>2</v>
      </c>
      <c r="D287" s="32">
        <v>2</v>
      </c>
      <c r="E287" s="32">
        <v>1</v>
      </c>
      <c r="F287" s="32">
        <v>5000</v>
      </c>
      <c r="H287" s="32">
        <v>200911</v>
      </c>
      <c r="I287" s="1" t="str">
        <f>IFERROR(INDEX([1]物品基础表!$A:$A,MATCH(H287,[1]物品基础表!$B:$B,0)),"")</f>
        <v>橙色圣物宝箱</v>
      </c>
      <c r="J287" s="32">
        <v>1</v>
      </c>
      <c r="K287" s="32">
        <v>204067</v>
      </c>
      <c r="L287" s="1" t="str">
        <f>IFERROR(INDEX([1]物品基础表!$A:$A,MATCH(K287,[1]物品基础表!$B:$B,0)),"")</f>
        <v>玉佩升级道具2</v>
      </c>
      <c r="M287" s="32">
        <v>2</v>
      </c>
      <c r="N287" s="32">
        <v>204064</v>
      </c>
      <c r="O287" s="1" t="str">
        <f>IFERROR(INDEX([1]物品基础表!$A:$A,MATCH(N287,[1]物品基础表!$B:$B,0)),"")</f>
        <v>高级转生轮回礼包</v>
      </c>
      <c r="P287" s="32">
        <v>5</v>
      </c>
      <c r="Q287" s="32">
        <v>200301</v>
      </c>
      <c r="R287" s="1" t="str">
        <f>IFERROR(INDEX([1]物品基础表!$A:$A,MATCH(Q287,[1]物品基础表!$B:$B,0)),"")</f>
        <v>传世宝钻</v>
      </c>
      <c r="S287" s="32">
        <v>40</v>
      </c>
      <c r="U287" s="1" t="str">
        <f>IFERROR(INDEX([1]物品基础表!$A:$A,MATCH(T287,[1]物品基础表!$B:$B,0)),"")</f>
        <v/>
      </c>
      <c r="X287" s="1" t="str">
        <f>IFERROR(INDEX([1]物品基础表!$A:$A,MATCH(W287,[1]物品基础表!$B:$B,0)),"")</f>
        <v/>
      </c>
    </row>
    <row r="288" spans="1:24">
      <c r="A288" s="32" t="str">
        <f>INDEX([2]活动总表!$A$8:$A$429,MATCH(B288,[2]活动总表!$B$8:$B$429,0))</f>
        <v>（61+）元宵活动-累充1</v>
      </c>
      <c r="B288" s="32">
        <v>732</v>
      </c>
      <c r="C288" s="32">
        <v>3</v>
      </c>
      <c r="D288" s="32">
        <v>2</v>
      </c>
      <c r="E288" s="32">
        <v>1</v>
      </c>
      <c r="F288" s="32">
        <v>20000</v>
      </c>
      <c r="H288" s="32">
        <v>200912</v>
      </c>
      <c r="I288" s="1" t="str">
        <f>IFERROR(INDEX([1]物品基础表!$A:$A,MATCH(H288,[1]物品基础表!$B:$B,0)),"")</f>
        <v>红色圣物宝箱</v>
      </c>
      <c r="J288" s="32">
        <v>1</v>
      </c>
      <c r="K288" s="32">
        <v>204071</v>
      </c>
      <c r="L288" s="1" t="str">
        <f>IFERROR(INDEX([1]物品基础表!$A:$A,MATCH(K288,[1]物品基础表!$B:$B,0)),"")</f>
        <v>玉佩温养道具3</v>
      </c>
      <c r="M288" s="32">
        <v>1</v>
      </c>
      <c r="N288" s="32">
        <v>204065</v>
      </c>
      <c r="O288" s="1" t="str">
        <f>IFERROR(INDEX([1]物品基础表!$A:$A,MATCH(N288,[1]物品基础表!$B:$B,0)),"")</f>
        <v>超级转生轮回礼包</v>
      </c>
      <c r="P288" s="32">
        <v>1</v>
      </c>
      <c r="Q288" s="32">
        <v>204070</v>
      </c>
      <c r="R288" s="1" t="str">
        <f>IFERROR(INDEX([1]物品基础表!$A:$A,MATCH(Q288,[1]物品基础表!$B:$B,0)),"")</f>
        <v>玉佩温养道具2</v>
      </c>
      <c r="S288" s="32">
        <v>1</v>
      </c>
      <c r="U288" s="1" t="str">
        <f>IFERROR(INDEX([1]物品基础表!$A:$A,MATCH(T288,[1]物品基础表!$B:$B,0)),"")</f>
        <v/>
      </c>
      <c r="X288" s="1" t="str">
        <f>IFERROR(INDEX([1]物品基础表!$A:$A,MATCH(W288,[1]物品基础表!$B:$B,0)),"")</f>
        <v/>
      </c>
    </row>
    <row r="289" spans="1:24">
      <c r="A289" s="32" t="str">
        <f>INDEX([2]活动总表!$A$8:$A$429,MATCH(B289,[2]活动总表!$B$8:$B$429,0))</f>
        <v>（61+）元宵活动-累充2</v>
      </c>
      <c r="B289" s="32">
        <v>733</v>
      </c>
      <c r="C289" s="32">
        <v>1</v>
      </c>
      <c r="D289" s="32">
        <v>2</v>
      </c>
      <c r="E289" s="32">
        <v>1</v>
      </c>
      <c r="F289" s="32">
        <v>2000</v>
      </c>
      <c r="H289" s="32">
        <v>2</v>
      </c>
      <c r="I289" s="1" t="str">
        <f>IF(H289=2,"元宝","神兵经验")</f>
        <v>元宝</v>
      </c>
      <c r="J289" s="32">
        <v>1000</v>
      </c>
      <c r="K289" s="32">
        <v>13</v>
      </c>
      <c r="L289" s="1" t="str">
        <f>IF(K289=2,"元宝","神兵经验")</f>
        <v>神兵经验</v>
      </c>
      <c r="M289" s="32">
        <v>2000000</v>
      </c>
      <c r="N289" s="32">
        <v>204064</v>
      </c>
      <c r="O289" s="1" t="str">
        <f>IFERROR(INDEX([1]物品基础表!$A:$A,MATCH(N289,[1]物品基础表!$B:$B,0)),"")</f>
        <v>高级转生轮回礼包</v>
      </c>
      <c r="P289" s="32">
        <v>3</v>
      </c>
      <c r="Q289" s="32">
        <v>200301</v>
      </c>
      <c r="R289" s="1" t="str">
        <f>IFERROR(INDEX([1]物品基础表!$A:$A,MATCH(Q289,[1]物品基础表!$B:$B,0)),"")</f>
        <v>传世宝钻</v>
      </c>
      <c r="S289" s="32">
        <v>20</v>
      </c>
      <c r="U289" s="1" t="str">
        <f>IFERROR(INDEX([1]物品基础表!$A:$A,MATCH(T289,[1]物品基础表!$B:$B,0)),"")</f>
        <v/>
      </c>
      <c r="X289" s="1" t="str">
        <f>IFERROR(INDEX([1]物品基础表!$A:$A,MATCH(W289,[1]物品基础表!$B:$B,0)),"")</f>
        <v/>
      </c>
    </row>
    <row r="290" spans="1:24">
      <c r="A290" s="32" t="str">
        <f>INDEX([2]活动总表!$A$8:$A$429,MATCH(B290,[2]活动总表!$B$8:$B$429,0))</f>
        <v>（61+）元宵活动-累充2</v>
      </c>
      <c r="B290" s="32">
        <v>733</v>
      </c>
      <c r="C290" s="32">
        <v>2</v>
      </c>
      <c r="D290" s="32">
        <v>2</v>
      </c>
      <c r="E290" s="32">
        <v>1</v>
      </c>
      <c r="F290" s="32">
        <v>5000</v>
      </c>
      <c r="H290" s="32">
        <v>200911</v>
      </c>
      <c r="I290" s="1" t="str">
        <f>IFERROR(INDEX([1]物品基础表!$A:$A,MATCH(H290,[1]物品基础表!$B:$B,0)),"")</f>
        <v>橙色圣物宝箱</v>
      </c>
      <c r="J290" s="32">
        <v>1</v>
      </c>
      <c r="K290" s="32">
        <v>204067</v>
      </c>
      <c r="L290" s="1" t="str">
        <f>IFERROR(INDEX([1]物品基础表!$A:$A,MATCH(K290,[1]物品基础表!$B:$B,0)),"")</f>
        <v>玉佩升级道具2</v>
      </c>
      <c r="M290" s="32">
        <v>2</v>
      </c>
      <c r="N290" s="32">
        <v>204064</v>
      </c>
      <c r="O290" s="1" t="str">
        <f>IFERROR(INDEX([1]物品基础表!$A:$A,MATCH(N290,[1]物品基础表!$B:$B,0)),"")</f>
        <v>高级转生轮回礼包</v>
      </c>
      <c r="P290" s="32">
        <v>5</v>
      </c>
      <c r="Q290" s="32">
        <v>200301</v>
      </c>
      <c r="R290" s="1" t="str">
        <f>IFERROR(INDEX([1]物品基础表!$A:$A,MATCH(Q290,[1]物品基础表!$B:$B,0)),"")</f>
        <v>传世宝钻</v>
      </c>
      <c r="S290" s="32">
        <v>40</v>
      </c>
      <c r="U290" s="1" t="str">
        <f>IFERROR(INDEX([1]物品基础表!$A:$A,MATCH(T290,[1]物品基础表!$B:$B,0)),"")</f>
        <v/>
      </c>
      <c r="X290" s="1" t="str">
        <f>IFERROR(INDEX([1]物品基础表!$A:$A,MATCH(W290,[1]物品基础表!$B:$B,0)),"")</f>
        <v/>
      </c>
    </row>
    <row r="291" spans="1:24">
      <c r="A291" s="32" t="str">
        <f>INDEX([2]活动总表!$A$8:$A$429,MATCH(B291,[2]活动总表!$B$8:$B$429,0))</f>
        <v>（61+）元宵活动-累充2</v>
      </c>
      <c r="B291" s="32">
        <v>733</v>
      </c>
      <c r="C291" s="32">
        <v>3</v>
      </c>
      <c r="D291" s="32">
        <v>2</v>
      </c>
      <c r="E291" s="32">
        <v>1</v>
      </c>
      <c r="F291" s="32">
        <v>20000</v>
      </c>
      <c r="H291" s="32">
        <v>200912</v>
      </c>
      <c r="I291" s="1" t="str">
        <f>IFERROR(INDEX([1]物品基础表!$A:$A,MATCH(H291,[1]物品基础表!$B:$B,0)),"")</f>
        <v>红色圣物宝箱</v>
      </c>
      <c r="J291" s="32">
        <v>1</v>
      </c>
      <c r="K291" s="32">
        <v>204071</v>
      </c>
      <c r="L291" s="1" t="str">
        <f>IFERROR(INDEX([1]物品基础表!$A:$A,MATCH(K291,[1]物品基础表!$B:$B,0)),"")</f>
        <v>玉佩温养道具3</v>
      </c>
      <c r="M291" s="32">
        <v>1</v>
      </c>
      <c r="N291" s="32">
        <v>204065</v>
      </c>
      <c r="O291" s="1" t="str">
        <f>IFERROR(INDEX([1]物品基础表!$A:$A,MATCH(N291,[1]物品基础表!$B:$B,0)),"")</f>
        <v>超级转生轮回礼包</v>
      </c>
      <c r="P291" s="32">
        <v>1</v>
      </c>
      <c r="Q291" s="32">
        <v>204070</v>
      </c>
      <c r="R291" s="1" t="str">
        <f>IFERROR(INDEX([1]物品基础表!$A:$A,MATCH(Q291,[1]物品基础表!$B:$B,0)),"")</f>
        <v>玉佩温养道具2</v>
      </c>
      <c r="S291" s="32">
        <v>1</v>
      </c>
      <c r="U291" s="1" t="str">
        <f>IFERROR(INDEX([1]物品基础表!$A:$A,MATCH(T291,[1]物品基础表!$B:$B,0)),"")</f>
        <v/>
      </c>
      <c r="X291" s="1" t="str">
        <f>IFERROR(INDEX([1]物品基础表!$A:$A,MATCH(W291,[1]物品基础表!$B:$B,0)),"")</f>
        <v/>
      </c>
    </row>
    <row r="292" spans="1:24">
      <c r="A292" s="32" t="str">
        <f>INDEX([2]活动总表!$A$8:$A$429,MATCH(B292,[2]活动总表!$B$8:$B$429,0))</f>
        <v>（61+）元宵活动-累充3</v>
      </c>
      <c r="B292" s="32">
        <v>734</v>
      </c>
      <c r="C292" s="32">
        <v>1</v>
      </c>
      <c r="D292" s="32">
        <v>2</v>
      </c>
      <c r="E292" s="32">
        <v>1</v>
      </c>
      <c r="F292" s="32">
        <v>2000</v>
      </c>
      <c r="H292" s="32">
        <v>2</v>
      </c>
      <c r="I292" s="1" t="str">
        <f>IF(H292=2,"元宝","神兵经验")</f>
        <v>元宝</v>
      </c>
      <c r="J292" s="32">
        <v>1000</v>
      </c>
      <c r="K292" s="32">
        <v>13</v>
      </c>
      <c r="L292" s="1" t="str">
        <f>IF(K292=2,"元宝","神兵经验")</f>
        <v>神兵经验</v>
      </c>
      <c r="M292" s="32">
        <v>2000000</v>
      </c>
      <c r="N292" s="32">
        <v>204064</v>
      </c>
      <c r="O292" s="1" t="str">
        <f>IFERROR(INDEX([1]物品基础表!$A:$A,MATCH(N292,[1]物品基础表!$B:$B,0)),"")</f>
        <v>高级转生轮回礼包</v>
      </c>
      <c r="P292" s="32">
        <v>3</v>
      </c>
      <c r="Q292" s="32">
        <v>200301</v>
      </c>
      <c r="R292" s="1" t="str">
        <f>IFERROR(INDEX([1]物品基础表!$A:$A,MATCH(Q292,[1]物品基础表!$B:$B,0)),"")</f>
        <v>传世宝钻</v>
      </c>
      <c r="S292" s="32">
        <v>20</v>
      </c>
      <c r="U292" s="1" t="str">
        <f>IFERROR(INDEX([1]物品基础表!$A:$A,MATCH(T292,[1]物品基础表!$B:$B,0)),"")</f>
        <v/>
      </c>
      <c r="X292" s="1" t="str">
        <f>IFERROR(INDEX([1]物品基础表!$A:$A,MATCH(W292,[1]物品基础表!$B:$B,0)),"")</f>
        <v/>
      </c>
    </row>
    <row r="293" spans="1:24">
      <c r="A293" s="32" t="str">
        <f>INDEX([2]活动总表!$A$8:$A$429,MATCH(B293,[2]活动总表!$B$8:$B$429,0))</f>
        <v>（61+）元宵活动-累充3</v>
      </c>
      <c r="B293" s="32">
        <v>734</v>
      </c>
      <c r="C293" s="32">
        <v>2</v>
      </c>
      <c r="D293" s="32">
        <v>2</v>
      </c>
      <c r="E293" s="32">
        <v>1</v>
      </c>
      <c r="F293" s="32">
        <v>5000</v>
      </c>
      <c r="H293" s="32">
        <v>200911</v>
      </c>
      <c r="I293" s="1" t="str">
        <f>IFERROR(INDEX([1]物品基础表!$A:$A,MATCH(H293,[1]物品基础表!$B:$B,0)),"")</f>
        <v>橙色圣物宝箱</v>
      </c>
      <c r="J293" s="32">
        <v>1</v>
      </c>
      <c r="K293" s="32">
        <v>204067</v>
      </c>
      <c r="L293" s="1" t="str">
        <f>IFERROR(INDEX([1]物品基础表!$A:$A,MATCH(K293,[1]物品基础表!$B:$B,0)),"")</f>
        <v>玉佩升级道具2</v>
      </c>
      <c r="M293" s="32">
        <v>2</v>
      </c>
      <c r="N293" s="32">
        <v>204064</v>
      </c>
      <c r="O293" s="1" t="str">
        <f>IFERROR(INDEX([1]物品基础表!$A:$A,MATCH(N293,[1]物品基础表!$B:$B,0)),"")</f>
        <v>高级转生轮回礼包</v>
      </c>
      <c r="P293" s="32">
        <v>5</v>
      </c>
      <c r="Q293" s="32">
        <v>200301</v>
      </c>
      <c r="R293" s="1" t="str">
        <f>IFERROR(INDEX([1]物品基础表!$A:$A,MATCH(Q293,[1]物品基础表!$B:$B,0)),"")</f>
        <v>传世宝钻</v>
      </c>
      <c r="S293" s="32">
        <v>40</v>
      </c>
      <c r="U293" s="1" t="str">
        <f>IFERROR(INDEX([1]物品基础表!$A:$A,MATCH(T293,[1]物品基础表!$B:$B,0)),"")</f>
        <v/>
      </c>
      <c r="X293" s="1" t="str">
        <f>IFERROR(INDEX([1]物品基础表!$A:$A,MATCH(W293,[1]物品基础表!$B:$B,0)),"")</f>
        <v/>
      </c>
    </row>
    <row r="294" spans="1:24">
      <c r="A294" s="32" t="str">
        <f>INDEX([2]活动总表!$A$8:$A$429,MATCH(B294,[2]活动总表!$B$8:$B$429,0))</f>
        <v>（61+）元宵活动-累充3</v>
      </c>
      <c r="B294" s="32">
        <v>734</v>
      </c>
      <c r="C294" s="32">
        <v>3</v>
      </c>
      <c r="D294" s="32">
        <v>2</v>
      </c>
      <c r="E294" s="32">
        <v>1</v>
      </c>
      <c r="F294" s="32">
        <v>20000</v>
      </c>
      <c r="H294" s="32">
        <v>200912</v>
      </c>
      <c r="I294" s="1" t="str">
        <f>IFERROR(INDEX([1]物品基础表!$A:$A,MATCH(H294,[1]物品基础表!$B:$B,0)),"")</f>
        <v>红色圣物宝箱</v>
      </c>
      <c r="J294" s="32">
        <v>1</v>
      </c>
      <c r="K294" s="32">
        <v>204071</v>
      </c>
      <c r="L294" s="1" t="str">
        <f>IFERROR(INDEX([1]物品基础表!$A:$A,MATCH(K294,[1]物品基础表!$B:$B,0)),"")</f>
        <v>玉佩温养道具3</v>
      </c>
      <c r="M294" s="32">
        <v>1</v>
      </c>
      <c r="N294" s="32">
        <v>204065</v>
      </c>
      <c r="O294" s="1" t="str">
        <f>IFERROR(INDEX([1]物品基础表!$A:$A,MATCH(N294,[1]物品基础表!$B:$B,0)),"")</f>
        <v>超级转生轮回礼包</v>
      </c>
      <c r="P294" s="32">
        <v>1</v>
      </c>
      <c r="Q294" s="32">
        <v>204070</v>
      </c>
      <c r="R294" s="1" t="str">
        <f>IFERROR(INDEX([1]物品基础表!$A:$A,MATCH(Q294,[1]物品基础表!$B:$B,0)),"")</f>
        <v>玉佩温养道具2</v>
      </c>
      <c r="S294" s="32">
        <v>1</v>
      </c>
      <c r="U294" s="1" t="str">
        <f>IFERROR(INDEX([1]物品基础表!$A:$A,MATCH(T294,[1]物品基础表!$B:$B,0)),"")</f>
        <v/>
      </c>
      <c r="X294" s="1" t="str">
        <f>IFERROR(INDEX([1]物品基础表!$A:$A,MATCH(W294,[1]物品基础表!$B:$B,0)),"")</f>
        <v/>
      </c>
    </row>
    <row r="295" spans="1:24">
      <c r="A295" s="32" t="str">
        <f>INDEX([2]活动总表!$A$8:$A$429,MATCH(B295,[2]活动总表!$B$8:$B$429,0))</f>
        <v>（61+）元宵活动-累充4</v>
      </c>
      <c r="B295" s="32">
        <v>735</v>
      </c>
      <c r="C295" s="32">
        <v>1</v>
      </c>
      <c r="D295" s="32">
        <v>2</v>
      </c>
      <c r="E295" s="32">
        <v>1</v>
      </c>
      <c r="F295" s="32">
        <v>2000</v>
      </c>
      <c r="H295" s="32">
        <v>2</v>
      </c>
      <c r="I295" s="1" t="str">
        <f>IF(H295=2,"元宝","神兵经验")</f>
        <v>元宝</v>
      </c>
      <c r="J295" s="32">
        <v>1000</v>
      </c>
      <c r="K295" s="32">
        <v>13</v>
      </c>
      <c r="L295" s="1" t="str">
        <f>IF(K295=2,"元宝","神兵经验")</f>
        <v>神兵经验</v>
      </c>
      <c r="M295" s="32">
        <v>2000000</v>
      </c>
      <c r="N295" s="32">
        <v>204064</v>
      </c>
      <c r="O295" s="1" t="str">
        <f>IFERROR(INDEX([1]物品基础表!$A:$A,MATCH(N295,[1]物品基础表!$B:$B,0)),"")</f>
        <v>高级转生轮回礼包</v>
      </c>
      <c r="P295" s="32">
        <v>3</v>
      </c>
      <c r="Q295" s="32">
        <v>200301</v>
      </c>
      <c r="R295" s="1" t="str">
        <f>IFERROR(INDEX([1]物品基础表!$A:$A,MATCH(Q295,[1]物品基础表!$B:$B,0)),"")</f>
        <v>传世宝钻</v>
      </c>
      <c r="S295" s="32">
        <v>20</v>
      </c>
      <c r="U295" s="1" t="str">
        <f>IFERROR(INDEX([1]物品基础表!$A:$A,MATCH(T295,[1]物品基础表!$B:$B,0)),"")</f>
        <v/>
      </c>
      <c r="X295" s="1" t="str">
        <f>IFERROR(INDEX([1]物品基础表!$A:$A,MATCH(W295,[1]物品基础表!$B:$B,0)),"")</f>
        <v/>
      </c>
    </row>
    <row r="296" spans="1:24">
      <c r="A296" s="32" t="str">
        <f>INDEX([2]活动总表!$A$8:$A$429,MATCH(B296,[2]活动总表!$B$8:$B$429,0))</f>
        <v>（61+）元宵活动-累充4</v>
      </c>
      <c r="B296" s="32">
        <v>735</v>
      </c>
      <c r="C296" s="32">
        <v>2</v>
      </c>
      <c r="D296" s="32">
        <v>2</v>
      </c>
      <c r="E296" s="32">
        <v>1</v>
      </c>
      <c r="F296" s="32">
        <v>5000</v>
      </c>
      <c r="H296" s="32">
        <v>200911</v>
      </c>
      <c r="I296" s="1" t="str">
        <f>IFERROR(INDEX([1]物品基础表!$A:$A,MATCH(H296,[1]物品基础表!$B:$B,0)),"")</f>
        <v>橙色圣物宝箱</v>
      </c>
      <c r="J296" s="32">
        <v>1</v>
      </c>
      <c r="K296" s="32">
        <v>204067</v>
      </c>
      <c r="L296" s="1" t="str">
        <f>IFERROR(INDEX([1]物品基础表!$A:$A,MATCH(K296,[1]物品基础表!$B:$B,0)),"")</f>
        <v>玉佩升级道具2</v>
      </c>
      <c r="M296" s="32">
        <v>2</v>
      </c>
      <c r="N296" s="32">
        <v>204064</v>
      </c>
      <c r="O296" s="1" t="str">
        <f>IFERROR(INDEX([1]物品基础表!$A:$A,MATCH(N296,[1]物品基础表!$B:$B,0)),"")</f>
        <v>高级转生轮回礼包</v>
      </c>
      <c r="P296" s="32">
        <v>5</v>
      </c>
      <c r="Q296" s="32">
        <v>200301</v>
      </c>
      <c r="R296" s="1" t="str">
        <f>IFERROR(INDEX([1]物品基础表!$A:$A,MATCH(Q296,[1]物品基础表!$B:$B,0)),"")</f>
        <v>传世宝钻</v>
      </c>
      <c r="S296" s="32">
        <v>40</v>
      </c>
      <c r="U296" s="1" t="str">
        <f>IFERROR(INDEX([1]物品基础表!$A:$A,MATCH(T296,[1]物品基础表!$B:$B,0)),"")</f>
        <v/>
      </c>
      <c r="X296" s="1" t="str">
        <f>IFERROR(INDEX([1]物品基础表!$A:$A,MATCH(W296,[1]物品基础表!$B:$B,0)),"")</f>
        <v/>
      </c>
    </row>
    <row r="297" spans="1:24">
      <c r="A297" s="32" t="str">
        <f>INDEX([2]活动总表!$A$8:$A$429,MATCH(B297,[2]活动总表!$B$8:$B$429,0))</f>
        <v>（61+）元宵活动-累充4</v>
      </c>
      <c r="B297" s="32">
        <v>735</v>
      </c>
      <c r="C297" s="32">
        <v>3</v>
      </c>
      <c r="D297" s="32">
        <v>2</v>
      </c>
      <c r="E297" s="32">
        <v>1</v>
      </c>
      <c r="F297" s="32">
        <v>20000</v>
      </c>
      <c r="H297" s="32">
        <v>200912</v>
      </c>
      <c r="I297" s="1" t="str">
        <f>IFERROR(INDEX([1]物品基础表!$A:$A,MATCH(H297,[1]物品基础表!$B:$B,0)),"")</f>
        <v>红色圣物宝箱</v>
      </c>
      <c r="J297" s="32">
        <v>1</v>
      </c>
      <c r="K297" s="32">
        <v>204071</v>
      </c>
      <c r="L297" s="1" t="str">
        <f>IFERROR(INDEX([1]物品基础表!$A:$A,MATCH(K297,[1]物品基础表!$B:$B,0)),"")</f>
        <v>玉佩温养道具3</v>
      </c>
      <c r="M297" s="32">
        <v>1</v>
      </c>
      <c r="N297" s="32">
        <v>204065</v>
      </c>
      <c r="O297" s="1" t="str">
        <f>IFERROR(INDEX([1]物品基础表!$A:$A,MATCH(N297,[1]物品基础表!$B:$B,0)),"")</f>
        <v>超级转生轮回礼包</v>
      </c>
      <c r="P297" s="32">
        <v>1</v>
      </c>
      <c r="Q297" s="32">
        <v>204070</v>
      </c>
      <c r="R297" s="1" t="str">
        <f>IFERROR(INDEX([1]物品基础表!$A:$A,MATCH(Q297,[1]物品基础表!$B:$B,0)),"")</f>
        <v>玉佩温养道具2</v>
      </c>
      <c r="S297" s="32">
        <v>1</v>
      </c>
      <c r="U297" s="1" t="str">
        <f>IFERROR(INDEX([1]物品基础表!$A:$A,MATCH(T297,[1]物品基础表!$B:$B,0)),"")</f>
        <v/>
      </c>
      <c r="X297" s="1" t="str">
        <f>IFERROR(INDEX([1]物品基础表!$A:$A,MATCH(W297,[1]物品基础表!$B:$B,0)),"")</f>
        <v/>
      </c>
    </row>
    <row r="298" spans="1:24">
      <c r="A298" s="32" t="str">
        <f>INDEX([2]活动总表!$A$8:$A$429,MATCH(B298,[2]活动总表!$B$8:$B$429,0))</f>
        <v>元宵-累充</v>
      </c>
      <c r="B298" s="32">
        <v>663</v>
      </c>
      <c r="C298" s="32">
        <v>1</v>
      </c>
      <c r="D298" s="32">
        <v>2</v>
      </c>
      <c r="E298" s="32">
        <v>3</v>
      </c>
      <c r="F298" s="32">
        <v>2888</v>
      </c>
      <c r="H298" s="32">
        <v>2</v>
      </c>
      <c r="I298" s="1" t="str">
        <f t="shared" ref="I298:I299" si="16">IF(H298=2,"元宝","神兵经验")</f>
        <v>元宝</v>
      </c>
      <c r="J298" s="32">
        <v>2888</v>
      </c>
      <c r="K298" s="32">
        <v>204064</v>
      </c>
      <c r="L298" s="1" t="str">
        <f>IFERROR(INDEX([1]物品基础表!$A:$A,MATCH(K298,[1]物品基础表!$B:$B,0)),"")</f>
        <v>高级转生轮回礼包</v>
      </c>
      <c r="M298" s="32">
        <v>5</v>
      </c>
      <c r="N298" s="32">
        <v>200015</v>
      </c>
      <c r="O298" s="1" t="str">
        <f>IFERROR(INDEX([1]物品基础表!$A:$A,MATCH(N298,[1]物品基础表!$B:$B,0)),"")</f>
        <v>特戒碎片</v>
      </c>
      <c r="P298" s="32">
        <v>200</v>
      </c>
      <c r="R298" s="1" t="str">
        <f>IFERROR(INDEX([1]物品基础表!$A:$A,MATCH(Q298,[1]物品基础表!$B:$B,0)),"")</f>
        <v/>
      </c>
      <c r="U298" s="1" t="str">
        <f>IFERROR(INDEX([1]物品基础表!$A:$A,MATCH(T298,[1]物品基础表!$B:$B,0)),"")</f>
        <v/>
      </c>
      <c r="X298" s="1" t="str">
        <f>IFERROR(INDEX([1]物品基础表!$A:$A,MATCH(W298,[1]物品基础表!$B:$B,0)),"")</f>
        <v/>
      </c>
    </row>
    <row r="299" spans="1:24">
      <c r="A299" s="32" t="str">
        <f>INDEX([2]活动总表!$A$8:$A$429,MATCH(B299,[2]活动总表!$B$8:$B$429,0))</f>
        <v>元宵-累充</v>
      </c>
      <c r="B299" s="32">
        <v>663</v>
      </c>
      <c r="C299" s="32">
        <v>2</v>
      </c>
      <c r="D299" s="32">
        <v>2</v>
      </c>
      <c r="E299" s="32">
        <v>3</v>
      </c>
      <c r="F299" s="32">
        <v>5888</v>
      </c>
      <c r="H299" s="32">
        <v>2</v>
      </c>
      <c r="I299" s="1" t="str">
        <f t="shared" si="16"/>
        <v>元宝</v>
      </c>
      <c r="J299" s="32">
        <v>2888</v>
      </c>
      <c r="K299" s="32">
        <v>204065</v>
      </c>
      <c r="L299" s="1" t="str">
        <f>IFERROR(INDEX([1]物品基础表!$A:$A,MATCH(K299,[1]物品基础表!$B:$B,0)),"")</f>
        <v>超级转生轮回礼包</v>
      </c>
      <c r="M299" s="32">
        <v>1</v>
      </c>
      <c r="N299" s="32">
        <v>200015</v>
      </c>
      <c r="O299" s="1" t="str">
        <f>IFERROR(INDEX([1]物品基础表!$A:$A,MATCH(N299,[1]物品基础表!$B:$B,0)),"")</f>
        <v>特戒碎片</v>
      </c>
      <c r="P299" s="32">
        <v>200</v>
      </c>
      <c r="R299" s="1" t="str">
        <f>IFERROR(INDEX([1]物品基础表!$A:$A,MATCH(Q299,[1]物品基础表!$B:$B,0)),"")</f>
        <v/>
      </c>
      <c r="U299" s="1" t="str">
        <f>IFERROR(INDEX([1]物品基础表!$A:$A,MATCH(T299,[1]物品基础表!$B:$B,0)),"")</f>
        <v/>
      </c>
      <c r="X299" s="1" t="str">
        <f>IFERROR(INDEX([1]物品基础表!$A:$A,MATCH(W299,[1]物品基础表!$B:$B,0)),"")</f>
        <v/>
      </c>
    </row>
    <row r="300" spans="1:24">
      <c r="A300" s="32" t="str">
        <f>INDEX([2]活动总表!$A$8:$A$429,MATCH(B300,[2]活动总表!$B$8:$B$429,0))</f>
        <v>元宵-累充</v>
      </c>
      <c r="B300" s="32">
        <v>663</v>
      </c>
      <c r="C300" s="32">
        <v>3</v>
      </c>
      <c r="D300" s="32">
        <v>2</v>
      </c>
      <c r="E300" s="32">
        <v>3</v>
      </c>
      <c r="F300" s="32">
        <v>10888</v>
      </c>
      <c r="H300" s="32">
        <v>200951</v>
      </c>
      <c r="I300" s="1" t="str">
        <f>IFERROR(INDEX([1]物品基础表!$A:$A,MATCH(H300,[1]物品基础表!$B:$B,0)),"")</f>
        <v>金色战纹任选宝箱</v>
      </c>
      <c r="J300" s="32">
        <v>1</v>
      </c>
      <c r="K300" s="32">
        <v>200301</v>
      </c>
      <c r="L300" s="1" t="str">
        <f>IFERROR(INDEX([1]物品基础表!$A:$A,MATCH(K300,[1]物品基础表!$B:$B,0)),"")</f>
        <v>传世宝钻</v>
      </c>
      <c r="M300" s="32">
        <v>100</v>
      </c>
      <c r="N300" s="32">
        <v>200015</v>
      </c>
      <c r="O300" s="1" t="str">
        <f>IFERROR(INDEX([1]物品基础表!$A:$A,MATCH(N300,[1]物品基础表!$B:$B,0)),"")</f>
        <v>特戒碎片</v>
      </c>
      <c r="P300" s="32">
        <v>300</v>
      </c>
      <c r="R300" s="1" t="str">
        <f>IFERROR(INDEX([1]物品基础表!$A:$A,MATCH(Q300,[1]物品基础表!$B:$B,0)),"")</f>
        <v/>
      </c>
      <c r="U300" s="1" t="str">
        <f>IFERROR(INDEX([1]物品基础表!$A:$A,MATCH(T300,[1]物品基础表!$B:$B,0)),"")</f>
        <v/>
      </c>
      <c r="X300" s="1" t="str">
        <f>IFERROR(INDEX([1]物品基础表!$A:$A,MATCH(W300,[1]物品基础表!$B:$B,0)),"")</f>
        <v/>
      </c>
    </row>
    <row r="301" spans="1:24">
      <c r="A301" s="32" t="str">
        <f>INDEX([2]活动总表!$A$8:$A$429,MATCH(B301,[2]活动总表!$B$8:$B$429,0))</f>
        <v>元宵-累充</v>
      </c>
      <c r="B301" s="32">
        <v>663</v>
      </c>
      <c r="C301" s="32">
        <v>4</v>
      </c>
      <c r="D301" s="32">
        <v>2</v>
      </c>
      <c r="E301" s="32">
        <v>3</v>
      </c>
      <c r="F301" s="32">
        <v>21888</v>
      </c>
      <c r="H301" s="32">
        <v>200997</v>
      </c>
      <c r="I301" s="1" t="str">
        <f>IFERROR(INDEX([1]物品基础表!$A:$A,MATCH(H301,[1]物品基础表!$B:$B,0)),"")</f>
        <v>星☆传世宝箱</v>
      </c>
      <c r="J301" s="32">
        <v>1</v>
      </c>
      <c r="K301" s="32">
        <v>204071</v>
      </c>
      <c r="L301" s="1" t="str">
        <f>IFERROR(INDEX([1]物品基础表!$A:$A,MATCH(K301,[1]物品基础表!$B:$B,0)),"")</f>
        <v>玉佩温养道具3</v>
      </c>
      <c r="M301" s="32">
        <v>1</v>
      </c>
      <c r="N301" s="32">
        <v>200015</v>
      </c>
      <c r="O301" s="1" t="str">
        <f>IFERROR(INDEX([1]物品基础表!$A:$A,MATCH(N301,[1]物品基础表!$B:$B,0)),"")</f>
        <v>特戒碎片</v>
      </c>
      <c r="P301" s="32">
        <v>400</v>
      </c>
      <c r="R301" s="1" t="str">
        <f>IFERROR(INDEX([1]物品基础表!$A:$A,MATCH(Q301,[1]物品基础表!$B:$B,0)),"")</f>
        <v/>
      </c>
      <c r="U301" s="1" t="str">
        <f>IFERROR(INDEX([1]物品基础表!$A:$A,MATCH(T301,[1]物品基础表!$B:$B,0)),"")</f>
        <v/>
      </c>
      <c r="X301" s="1" t="str">
        <f>IFERROR(INDEX([1]物品基础表!$A:$A,MATCH(W301,[1]物品基础表!$B:$B,0)),"")</f>
        <v/>
      </c>
    </row>
    <row r="302" spans="1:24">
      <c r="A302" s="32" t="str">
        <f>INDEX([2]活动总表!$A$8:$A$429,MATCH(B302,[2]活动总表!$B$8:$B$429,0))</f>
        <v>元宵-累充</v>
      </c>
      <c r="B302" s="32">
        <v>663</v>
      </c>
      <c r="C302" s="32">
        <v>5</v>
      </c>
      <c r="D302" s="32">
        <v>2</v>
      </c>
      <c r="E302" s="32">
        <v>3</v>
      </c>
      <c r="F302" s="32">
        <v>52888</v>
      </c>
      <c r="H302" s="32">
        <v>200973</v>
      </c>
      <c r="I302" s="1" t="str">
        <f>IFERROR(INDEX([1]物品基础表!$A:$A,MATCH(H302,[1]物品基础表!$B:$B,0)),"")</f>
        <v>极品橙色兽神装备任选宝箱</v>
      </c>
      <c r="J302" s="32">
        <v>1</v>
      </c>
      <c r="K302" s="32">
        <v>200326</v>
      </c>
      <c r="L302" s="1" t="str">
        <f>IFERROR(INDEX([1]物品基础表!$A:$A,MATCH(K302,[1]物品基础表!$B:$B,0)),"")</f>
        <v>兵魂之灵</v>
      </c>
      <c r="M302" s="32">
        <v>1</v>
      </c>
      <c r="N302" s="32">
        <v>200015</v>
      </c>
      <c r="O302" s="1" t="str">
        <f>IFERROR(INDEX([1]物品基础表!$A:$A,MATCH(N302,[1]物品基础表!$B:$B,0)),"")</f>
        <v>特戒碎片</v>
      </c>
      <c r="P302" s="32">
        <v>500</v>
      </c>
      <c r="R302" s="1" t="str">
        <f>IFERROR(INDEX([1]物品基础表!$A:$A,MATCH(Q302,[1]物品基础表!$B:$B,0)),"")</f>
        <v/>
      </c>
      <c r="U302" s="1" t="str">
        <f>IFERROR(INDEX([1]物品基础表!$A:$A,MATCH(T302,[1]物品基础表!$B:$B,0)),"")</f>
        <v/>
      </c>
      <c r="X302" s="1" t="str">
        <f>IFERROR(INDEX([1]物品基础表!$A:$A,MATCH(W302,[1]物品基础表!$B:$B,0)),"")</f>
        <v/>
      </c>
    </row>
    <row r="303" spans="1:24">
      <c r="A303" s="32" t="str">
        <f>INDEX([2]活动总表!$A$8:$A$429,MATCH(B303,[2]活动总表!$B$8:$B$429,0))</f>
        <v>元宵-累充</v>
      </c>
      <c r="B303" s="32">
        <v>663</v>
      </c>
      <c r="C303" s="32">
        <v>6</v>
      </c>
      <c r="D303" s="32">
        <v>2</v>
      </c>
      <c r="E303" s="32">
        <v>3</v>
      </c>
      <c r="F303" s="32">
        <v>128888</v>
      </c>
      <c r="H303" s="32">
        <v>204029</v>
      </c>
      <c r="I303" s="1" t="str">
        <f>IFERROR(INDEX([1]物品基础表!$A:$A,MATCH(H303,[1]物品基础表!$B:$B,0)),"")</f>
        <v>魔魂礼包</v>
      </c>
      <c r="J303" s="32">
        <v>1</v>
      </c>
      <c r="K303" s="32">
        <v>200301</v>
      </c>
      <c r="L303" s="1" t="str">
        <f>IFERROR(INDEX([1]物品基础表!$A:$A,MATCH(K303,[1]物品基础表!$B:$B,0)),"")</f>
        <v>传世宝钻</v>
      </c>
      <c r="M303" s="32">
        <v>300</v>
      </c>
      <c r="N303" s="32">
        <v>200208</v>
      </c>
      <c r="O303" s="1" t="str">
        <f>IFERROR(INDEX([1]物品基础表!$A:$A,MATCH(N303,[1]物品基础表!$B:$B,0)),"")</f>
        <v>烈焰印记低级升级材料</v>
      </c>
      <c r="P303" s="32">
        <v>500</v>
      </c>
      <c r="R303" s="1" t="str">
        <f>IFERROR(INDEX([1]物品基础表!$A:$A,MATCH(Q303,[1]物品基础表!$B:$B,0)),"")</f>
        <v/>
      </c>
      <c r="U303" s="1" t="str">
        <f>IFERROR(INDEX([1]物品基础表!$A:$A,MATCH(T303,[1]物品基础表!$B:$B,0)),"")</f>
        <v/>
      </c>
      <c r="X303" s="1" t="str">
        <f>IFERROR(INDEX([1]物品基础表!$A:$A,MATCH(W303,[1]物品基础表!$B:$B,0)),"")</f>
        <v/>
      </c>
    </row>
    <row r="304" spans="1:24">
      <c r="A304" s="32" t="str">
        <f>INDEX([2]活动总表!$A$8:$A$429,MATCH(B304,[2]活动总表!$B$8:$B$429,0))</f>
        <v>元宵-累充</v>
      </c>
      <c r="B304" s="32">
        <v>663</v>
      </c>
      <c r="C304" s="32">
        <v>7</v>
      </c>
      <c r="D304" s="32">
        <v>2</v>
      </c>
      <c r="E304" s="32">
        <v>3</v>
      </c>
      <c r="F304" s="32">
        <v>218888</v>
      </c>
      <c r="H304" s="32">
        <v>204105</v>
      </c>
      <c r="I304" s="1" t="str">
        <f>IFERROR(INDEX([1]物品基础表!$A:$A,MATCH(H304,[1]物品基础表!$B:$B,0)),"")</f>
        <v>至尊至宝</v>
      </c>
      <c r="J304" s="32">
        <v>1</v>
      </c>
      <c r="K304" s="32">
        <v>200951</v>
      </c>
      <c r="L304" s="1" t="str">
        <f>IFERROR(INDEX([1]物品基础表!$A:$A,MATCH(K304,[1]物品基础表!$B:$B,0)),"")</f>
        <v>金色战纹任选宝箱</v>
      </c>
      <c r="M304" s="32">
        <v>1</v>
      </c>
      <c r="N304" s="32">
        <v>200208</v>
      </c>
      <c r="O304" s="1" t="str">
        <f>IFERROR(INDEX([1]物品基础表!$A:$A,MATCH(N304,[1]物品基础表!$B:$B,0)),"")</f>
        <v>烈焰印记低级升级材料</v>
      </c>
      <c r="P304" s="32">
        <v>800</v>
      </c>
      <c r="R304" s="1" t="str">
        <f>IFERROR(INDEX([1]物品基础表!$A:$A,MATCH(Q304,[1]物品基础表!$B:$B,0)),"")</f>
        <v/>
      </c>
      <c r="U304" s="1" t="str">
        <f>IFERROR(INDEX([1]物品基础表!$A:$A,MATCH(T304,[1]物品基础表!$B:$B,0)),"")</f>
        <v/>
      </c>
      <c r="X304" s="1" t="str">
        <f>IFERROR(INDEX([1]物品基础表!$A:$A,MATCH(W304,[1]物品基础表!$B:$B,0)),"")</f>
        <v/>
      </c>
    </row>
    <row r="305" spans="1:24">
      <c r="A305" s="32" t="str">
        <f>INDEX([2]活动总表!$A$8:$A$429,MATCH(B305,[2]活动总表!$B$8:$B$429,0))</f>
        <v>元宵-累充</v>
      </c>
      <c r="B305" s="32">
        <v>663</v>
      </c>
      <c r="C305" s="32">
        <v>8</v>
      </c>
      <c r="D305" s="32">
        <v>2</v>
      </c>
      <c r="E305" s="32">
        <v>3</v>
      </c>
      <c r="F305" s="32">
        <v>528888</v>
      </c>
      <c r="H305" s="32">
        <v>200927</v>
      </c>
      <c r="I305" s="1" t="str">
        <f>IFERROR(INDEX([1]物品基础表!$A:$A,MATCH(H305,[1]物品基础表!$B:$B,0)),"")</f>
        <v>神兵大招2三选一</v>
      </c>
      <c r="J305" s="32">
        <v>1</v>
      </c>
      <c r="K305" s="32">
        <v>200301</v>
      </c>
      <c r="L305" s="1" t="str">
        <f>IFERROR(INDEX([1]物品基础表!$A:$A,MATCH(K305,[1]物品基础表!$B:$B,0)),"")</f>
        <v>传世宝钻</v>
      </c>
      <c r="M305" s="32">
        <v>600</v>
      </c>
      <c r="N305" s="32">
        <v>200208</v>
      </c>
      <c r="O305" s="1" t="str">
        <f>IFERROR(INDEX([1]物品基础表!$A:$A,MATCH(N305,[1]物品基础表!$B:$B,0)),"")</f>
        <v>烈焰印记低级升级材料</v>
      </c>
      <c r="P305" s="32">
        <v>1200</v>
      </c>
      <c r="R305" s="1" t="str">
        <f>IFERROR(INDEX([1]物品基础表!$A:$A,MATCH(Q305,[1]物品基础表!$B:$B,0)),"")</f>
        <v/>
      </c>
      <c r="U305" s="1" t="str">
        <f>IFERROR(INDEX([1]物品基础表!$A:$A,MATCH(T305,[1]物品基础表!$B:$B,0)),"")</f>
        <v/>
      </c>
      <c r="X305" s="1" t="str">
        <f>IFERROR(INDEX([1]物品基础表!$A:$A,MATCH(W305,[1]物品基础表!$B:$B,0)),"")</f>
        <v/>
      </c>
    </row>
    <row r="306" spans="1:24">
      <c r="A306" s="32" t="str">
        <f>INDEX([2]活动总表!$A$8:$A$429,MATCH(B306,[2]活动总表!$B$8:$B$429,0))</f>
        <v>元宵-累充</v>
      </c>
      <c r="B306" s="32">
        <v>663</v>
      </c>
      <c r="C306" s="32">
        <v>9</v>
      </c>
      <c r="D306" s="32">
        <v>2</v>
      </c>
      <c r="E306" s="32">
        <v>3</v>
      </c>
      <c r="F306" s="32">
        <v>1288888</v>
      </c>
      <c r="H306" s="32">
        <v>200928</v>
      </c>
      <c r="I306" s="1" t="str">
        <f>IFERROR(INDEX([1]物品基础表!$A:$A,MATCH(H306,[1]物品基础表!$B:$B,0)),"")</f>
        <v>神兵大招3三选一</v>
      </c>
      <c r="J306" s="32">
        <v>1</v>
      </c>
      <c r="K306" s="32">
        <v>200301</v>
      </c>
      <c r="L306" s="1" t="str">
        <f>IFERROR(INDEX([1]物品基础表!$A:$A,MATCH(K306,[1]物品基础表!$B:$B,0)),"")</f>
        <v>传世宝钻</v>
      </c>
      <c r="M306" s="32">
        <v>1000</v>
      </c>
      <c r="N306" s="32">
        <v>200208</v>
      </c>
      <c r="O306" s="1" t="str">
        <f>IFERROR(INDEX([1]物品基础表!$A:$A,MATCH(N306,[1]物品基础表!$B:$B,0)),"")</f>
        <v>烈焰印记低级升级材料</v>
      </c>
      <c r="P306" s="32">
        <v>1600</v>
      </c>
      <c r="R306" s="1" t="str">
        <f>IFERROR(INDEX([1]物品基础表!$A:$A,MATCH(Q306,[1]物品基础表!$B:$B,0)),"")</f>
        <v/>
      </c>
      <c r="U306" s="1" t="str">
        <f>IFERROR(INDEX([1]物品基础表!$A:$A,MATCH(T306,[1]物品基础表!$B:$B,0)),"")</f>
        <v/>
      </c>
      <c r="X306" s="1" t="str">
        <f>IFERROR(INDEX([1]物品基础表!$A:$A,MATCH(W306,[1]物品基础表!$B:$B,0)),"")</f>
        <v/>
      </c>
    </row>
    <row r="307" spans="1:24">
      <c r="A307" s="32" t="str">
        <f>INDEX([2]活动总表!$A$8:$A$429,MATCH(B307,[2]活动总表!$B$8:$B$429,0))</f>
        <v>元宵-累充</v>
      </c>
      <c r="B307" s="32">
        <v>740</v>
      </c>
      <c r="C307" s="32">
        <v>1</v>
      </c>
      <c r="D307" s="32">
        <v>2</v>
      </c>
      <c r="E307" s="32">
        <v>3</v>
      </c>
      <c r="F307" s="32">
        <v>2888</v>
      </c>
      <c r="H307" s="32">
        <v>2</v>
      </c>
      <c r="I307" s="1" t="str">
        <f t="shared" ref="I307:I308" si="17">IF(H307=2,"元宝","神兵经验")</f>
        <v>元宝</v>
      </c>
      <c r="J307" s="32">
        <v>2888</v>
      </c>
      <c r="K307" s="32">
        <v>204064</v>
      </c>
      <c r="L307" s="1" t="str">
        <f>IFERROR(INDEX([1]物品基础表!$A:$A,MATCH(K307,[1]物品基础表!$B:$B,0)),"")</f>
        <v>高级转生轮回礼包</v>
      </c>
      <c r="M307" s="32">
        <v>5</v>
      </c>
      <c r="N307" s="32">
        <v>200015</v>
      </c>
      <c r="O307" s="1" t="str">
        <f>IFERROR(INDEX([1]物品基础表!$A:$A,MATCH(N307,[1]物品基础表!$B:$B,0)),"")</f>
        <v>特戒碎片</v>
      </c>
      <c r="P307" s="32">
        <v>200</v>
      </c>
      <c r="R307" s="1" t="str">
        <f>IFERROR(INDEX([1]物品基础表!$A:$A,MATCH(Q307,[1]物品基础表!$B:$B,0)),"")</f>
        <v/>
      </c>
      <c r="U307" s="1" t="str">
        <f>IFERROR(INDEX([1]物品基础表!$A:$A,MATCH(T307,[1]物品基础表!$B:$B,0)),"")</f>
        <v/>
      </c>
      <c r="X307" s="1" t="str">
        <f>IFERROR(INDEX([1]物品基础表!$A:$A,MATCH(W307,[1]物品基础表!$B:$B,0)),"")</f>
        <v/>
      </c>
    </row>
    <row r="308" spans="1:24">
      <c r="A308" s="32" t="str">
        <f>INDEX([2]活动总表!$A$8:$A$429,MATCH(B308,[2]活动总表!$B$8:$B$429,0))</f>
        <v>元宵-累充</v>
      </c>
      <c r="B308" s="32">
        <v>740</v>
      </c>
      <c r="C308" s="32">
        <v>2</v>
      </c>
      <c r="D308" s="32">
        <v>2</v>
      </c>
      <c r="E308" s="32">
        <v>3</v>
      </c>
      <c r="F308" s="32">
        <v>5888</v>
      </c>
      <c r="H308" s="32">
        <v>2</v>
      </c>
      <c r="I308" s="1" t="str">
        <f t="shared" si="17"/>
        <v>元宝</v>
      </c>
      <c r="J308" s="32">
        <v>2888</v>
      </c>
      <c r="K308" s="32">
        <v>204065</v>
      </c>
      <c r="L308" s="1" t="str">
        <f>IFERROR(INDEX([1]物品基础表!$A:$A,MATCH(K308,[1]物品基础表!$B:$B,0)),"")</f>
        <v>超级转生轮回礼包</v>
      </c>
      <c r="M308" s="32">
        <v>1</v>
      </c>
      <c r="N308" s="32">
        <v>200015</v>
      </c>
      <c r="O308" s="1" t="str">
        <f>IFERROR(INDEX([1]物品基础表!$A:$A,MATCH(N308,[1]物品基础表!$B:$B,0)),"")</f>
        <v>特戒碎片</v>
      </c>
      <c r="P308" s="32">
        <v>200</v>
      </c>
      <c r="R308" s="1" t="str">
        <f>IFERROR(INDEX([1]物品基础表!$A:$A,MATCH(Q308,[1]物品基础表!$B:$B,0)),"")</f>
        <v/>
      </c>
      <c r="U308" s="1" t="str">
        <f>IFERROR(INDEX([1]物品基础表!$A:$A,MATCH(T308,[1]物品基础表!$B:$B,0)),"")</f>
        <v/>
      </c>
      <c r="X308" s="1" t="str">
        <f>IFERROR(INDEX([1]物品基础表!$A:$A,MATCH(W308,[1]物品基础表!$B:$B,0)),"")</f>
        <v/>
      </c>
    </row>
    <row r="309" spans="1:24">
      <c r="A309" s="32" t="str">
        <f>INDEX([2]活动总表!$A$8:$A$429,MATCH(B309,[2]活动总表!$B$8:$B$429,0))</f>
        <v>元宵-累充</v>
      </c>
      <c r="B309" s="32">
        <v>740</v>
      </c>
      <c r="C309" s="32">
        <v>3</v>
      </c>
      <c r="D309" s="32">
        <v>2</v>
      </c>
      <c r="E309" s="32">
        <v>3</v>
      </c>
      <c r="F309" s="32">
        <v>10888</v>
      </c>
      <c r="H309" s="32">
        <v>200951</v>
      </c>
      <c r="I309" s="1" t="str">
        <f>IFERROR(INDEX([1]物品基础表!$A:$A,MATCH(H309,[1]物品基础表!$B:$B,0)),"")</f>
        <v>金色战纹任选宝箱</v>
      </c>
      <c r="J309" s="32">
        <v>1</v>
      </c>
      <c r="K309" s="32">
        <v>200301</v>
      </c>
      <c r="L309" s="1" t="str">
        <f>IFERROR(INDEX([1]物品基础表!$A:$A,MATCH(K309,[1]物品基础表!$B:$B,0)),"")</f>
        <v>传世宝钻</v>
      </c>
      <c r="M309" s="32">
        <v>100</v>
      </c>
      <c r="N309" s="32">
        <v>200015</v>
      </c>
      <c r="O309" s="1" t="str">
        <f>IFERROR(INDEX([1]物品基础表!$A:$A,MATCH(N309,[1]物品基础表!$B:$B,0)),"")</f>
        <v>特戒碎片</v>
      </c>
      <c r="P309" s="32">
        <v>300</v>
      </c>
      <c r="R309" s="1" t="str">
        <f>IFERROR(INDEX([1]物品基础表!$A:$A,MATCH(Q309,[1]物品基础表!$B:$B,0)),"")</f>
        <v/>
      </c>
      <c r="U309" s="1" t="str">
        <f>IFERROR(INDEX([1]物品基础表!$A:$A,MATCH(T309,[1]物品基础表!$B:$B,0)),"")</f>
        <v/>
      </c>
      <c r="X309" s="1" t="str">
        <f>IFERROR(INDEX([1]物品基础表!$A:$A,MATCH(W309,[1]物品基础表!$B:$B,0)),"")</f>
        <v/>
      </c>
    </row>
    <row r="310" spans="1:24">
      <c r="A310" s="32" t="str">
        <f>INDEX([2]活动总表!$A$8:$A$429,MATCH(B310,[2]活动总表!$B$8:$B$429,0))</f>
        <v>元宵-累充</v>
      </c>
      <c r="B310" s="32">
        <v>740</v>
      </c>
      <c r="C310" s="32">
        <v>4</v>
      </c>
      <c r="D310" s="32">
        <v>2</v>
      </c>
      <c r="E310" s="32">
        <v>3</v>
      </c>
      <c r="F310" s="32">
        <v>21888</v>
      </c>
      <c r="H310" s="32">
        <v>200997</v>
      </c>
      <c r="I310" s="1" t="str">
        <f>IFERROR(INDEX([1]物品基础表!$A:$A,MATCH(H310,[1]物品基础表!$B:$B,0)),"")</f>
        <v>星☆传世宝箱</v>
      </c>
      <c r="J310" s="32">
        <v>1</v>
      </c>
      <c r="K310" s="32">
        <v>204071</v>
      </c>
      <c r="L310" s="1" t="str">
        <f>IFERROR(INDEX([1]物品基础表!$A:$A,MATCH(K310,[1]物品基础表!$B:$B,0)),"")</f>
        <v>玉佩温养道具3</v>
      </c>
      <c r="M310" s="32">
        <v>1</v>
      </c>
      <c r="N310" s="32">
        <v>200015</v>
      </c>
      <c r="O310" s="1" t="str">
        <f>IFERROR(INDEX([1]物品基础表!$A:$A,MATCH(N310,[1]物品基础表!$B:$B,0)),"")</f>
        <v>特戒碎片</v>
      </c>
      <c r="P310" s="32">
        <v>400</v>
      </c>
      <c r="R310" s="1" t="str">
        <f>IFERROR(INDEX([1]物品基础表!$A:$A,MATCH(Q310,[1]物品基础表!$B:$B,0)),"")</f>
        <v/>
      </c>
      <c r="U310" s="1" t="str">
        <f>IFERROR(INDEX([1]物品基础表!$A:$A,MATCH(T310,[1]物品基础表!$B:$B,0)),"")</f>
        <v/>
      </c>
      <c r="X310" s="1" t="str">
        <f>IFERROR(INDEX([1]物品基础表!$A:$A,MATCH(W310,[1]物品基础表!$B:$B,0)),"")</f>
        <v/>
      </c>
    </row>
    <row r="311" spans="1:24">
      <c r="A311" s="32" t="str">
        <f>INDEX([2]活动总表!$A$8:$A$429,MATCH(B311,[2]活动总表!$B$8:$B$429,0))</f>
        <v>元宵-累充</v>
      </c>
      <c r="B311" s="32">
        <v>740</v>
      </c>
      <c r="C311" s="32">
        <v>5</v>
      </c>
      <c r="D311" s="32">
        <v>2</v>
      </c>
      <c r="E311" s="32">
        <v>3</v>
      </c>
      <c r="F311" s="32">
        <v>52888</v>
      </c>
      <c r="H311" s="32">
        <v>200973</v>
      </c>
      <c r="I311" s="1" t="str">
        <f>IFERROR(INDEX([1]物品基础表!$A:$A,MATCH(H311,[1]物品基础表!$B:$B,0)),"")</f>
        <v>极品橙色兽神装备任选宝箱</v>
      </c>
      <c r="J311" s="32">
        <v>1</v>
      </c>
      <c r="K311" s="32">
        <v>200326</v>
      </c>
      <c r="L311" s="1" t="str">
        <f>IFERROR(INDEX([1]物品基础表!$A:$A,MATCH(K311,[1]物品基础表!$B:$B,0)),"")</f>
        <v>兵魂之灵</v>
      </c>
      <c r="M311" s="32">
        <v>1</v>
      </c>
      <c r="N311" s="32">
        <v>200015</v>
      </c>
      <c r="O311" s="1" t="str">
        <f>IFERROR(INDEX([1]物品基础表!$A:$A,MATCH(N311,[1]物品基础表!$B:$B,0)),"")</f>
        <v>特戒碎片</v>
      </c>
      <c r="P311" s="32">
        <v>500</v>
      </c>
      <c r="R311" s="1" t="str">
        <f>IFERROR(INDEX([1]物品基础表!$A:$A,MATCH(Q311,[1]物品基础表!$B:$B,0)),"")</f>
        <v/>
      </c>
      <c r="U311" s="1" t="str">
        <f>IFERROR(INDEX([1]物品基础表!$A:$A,MATCH(T311,[1]物品基础表!$B:$B,0)),"")</f>
        <v/>
      </c>
      <c r="X311" s="1" t="str">
        <f>IFERROR(INDEX([1]物品基础表!$A:$A,MATCH(W311,[1]物品基础表!$B:$B,0)),"")</f>
        <v/>
      </c>
    </row>
    <row r="312" spans="1:24">
      <c r="A312" s="32" t="str">
        <f>INDEX([2]活动总表!$A$8:$A$429,MATCH(B312,[2]活动总表!$B$8:$B$429,0))</f>
        <v>元宵-累充</v>
      </c>
      <c r="B312" s="32">
        <v>740</v>
      </c>
      <c r="C312" s="32">
        <v>6</v>
      </c>
      <c r="D312" s="32">
        <v>2</v>
      </c>
      <c r="E312" s="32">
        <v>3</v>
      </c>
      <c r="F312" s="32">
        <v>128888</v>
      </c>
      <c r="H312" s="32">
        <v>204029</v>
      </c>
      <c r="I312" s="1" t="str">
        <f>IFERROR(INDEX([1]物品基础表!$A:$A,MATCH(H312,[1]物品基础表!$B:$B,0)),"")</f>
        <v>魔魂礼包</v>
      </c>
      <c r="J312" s="32">
        <v>1</v>
      </c>
      <c r="K312" s="32">
        <v>200301</v>
      </c>
      <c r="L312" s="1" t="str">
        <f>IFERROR(INDEX([1]物品基础表!$A:$A,MATCH(K312,[1]物品基础表!$B:$B,0)),"")</f>
        <v>传世宝钻</v>
      </c>
      <c r="M312" s="32">
        <v>300</v>
      </c>
      <c r="N312" s="32">
        <v>200208</v>
      </c>
      <c r="O312" s="1" t="str">
        <f>IFERROR(INDEX([1]物品基础表!$A:$A,MATCH(N312,[1]物品基础表!$B:$B,0)),"")</f>
        <v>烈焰印记低级升级材料</v>
      </c>
      <c r="P312" s="32">
        <v>500</v>
      </c>
      <c r="R312" s="1" t="str">
        <f>IFERROR(INDEX([1]物品基础表!$A:$A,MATCH(Q312,[1]物品基础表!$B:$B,0)),"")</f>
        <v/>
      </c>
      <c r="U312" s="1" t="str">
        <f>IFERROR(INDEX([1]物品基础表!$A:$A,MATCH(T312,[1]物品基础表!$B:$B,0)),"")</f>
        <v/>
      </c>
      <c r="X312" s="1" t="str">
        <f>IFERROR(INDEX([1]物品基础表!$A:$A,MATCH(W312,[1]物品基础表!$B:$B,0)),"")</f>
        <v/>
      </c>
    </row>
    <row r="313" spans="1:24">
      <c r="A313" s="32" t="str">
        <f>INDEX([2]活动总表!$A$8:$A$429,MATCH(B313,[2]活动总表!$B$8:$B$429,0))</f>
        <v>元宵-累充</v>
      </c>
      <c r="B313" s="32">
        <v>740</v>
      </c>
      <c r="C313" s="32">
        <v>7</v>
      </c>
      <c r="D313" s="32">
        <v>2</v>
      </c>
      <c r="E313" s="32">
        <v>3</v>
      </c>
      <c r="F313" s="32">
        <v>218888</v>
      </c>
      <c r="H313" s="32">
        <v>204105</v>
      </c>
      <c r="I313" s="1" t="str">
        <f>IFERROR(INDEX([1]物品基础表!$A:$A,MATCH(H313,[1]物品基础表!$B:$B,0)),"")</f>
        <v>至尊至宝</v>
      </c>
      <c r="J313" s="32">
        <v>1</v>
      </c>
      <c r="K313" s="32">
        <v>200951</v>
      </c>
      <c r="L313" s="1" t="str">
        <f>IFERROR(INDEX([1]物品基础表!$A:$A,MATCH(K313,[1]物品基础表!$B:$B,0)),"")</f>
        <v>金色战纹任选宝箱</v>
      </c>
      <c r="M313" s="32">
        <v>1</v>
      </c>
      <c r="N313" s="32">
        <v>200208</v>
      </c>
      <c r="O313" s="1" t="str">
        <f>IFERROR(INDEX([1]物品基础表!$A:$A,MATCH(N313,[1]物品基础表!$B:$B,0)),"")</f>
        <v>烈焰印记低级升级材料</v>
      </c>
      <c r="P313" s="32">
        <v>800</v>
      </c>
      <c r="R313" s="1" t="str">
        <f>IFERROR(INDEX([1]物品基础表!$A:$A,MATCH(Q313,[1]物品基础表!$B:$B,0)),"")</f>
        <v/>
      </c>
      <c r="U313" s="1" t="str">
        <f>IFERROR(INDEX([1]物品基础表!$A:$A,MATCH(T313,[1]物品基础表!$B:$B,0)),"")</f>
        <v/>
      </c>
      <c r="X313" s="1" t="str">
        <f>IFERROR(INDEX([1]物品基础表!$A:$A,MATCH(W313,[1]物品基础表!$B:$B,0)),"")</f>
        <v/>
      </c>
    </row>
    <row r="314" spans="1:24">
      <c r="A314" s="32" t="str">
        <f>INDEX([2]活动总表!$A$8:$A$429,MATCH(B314,[2]活动总表!$B$8:$B$429,0))</f>
        <v>元宵-累充</v>
      </c>
      <c r="B314" s="32">
        <v>740</v>
      </c>
      <c r="C314" s="32">
        <v>8</v>
      </c>
      <c r="D314" s="32">
        <v>2</v>
      </c>
      <c r="E314" s="32">
        <v>3</v>
      </c>
      <c r="F314" s="32">
        <v>528888</v>
      </c>
      <c r="H314" s="32">
        <v>200927</v>
      </c>
      <c r="I314" s="1" t="str">
        <f>IFERROR(INDEX([1]物品基础表!$A:$A,MATCH(H314,[1]物品基础表!$B:$B,0)),"")</f>
        <v>神兵大招2三选一</v>
      </c>
      <c r="J314" s="32">
        <v>1</v>
      </c>
      <c r="K314" s="32">
        <v>200301</v>
      </c>
      <c r="L314" s="1" t="str">
        <f>IFERROR(INDEX([1]物品基础表!$A:$A,MATCH(K314,[1]物品基础表!$B:$B,0)),"")</f>
        <v>传世宝钻</v>
      </c>
      <c r="M314" s="32">
        <v>600</v>
      </c>
      <c r="N314" s="32">
        <v>200208</v>
      </c>
      <c r="O314" s="1" t="str">
        <f>IFERROR(INDEX([1]物品基础表!$A:$A,MATCH(N314,[1]物品基础表!$B:$B,0)),"")</f>
        <v>烈焰印记低级升级材料</v>
      </c>
      <c r="P314" s="32">
        <v>1200</v>
      </c>
      <c r="R314" s="1" t="str">
        <f>IFERROR(INDEX([1]物品基础表!$A:$A,MATCH(Q314,[1]物品基础表!$B:$B,0)),"")</f>
        <v/>
      </c>
      <c r="U314" s="1" t="str">
        <f>IFERROR(INDEX([1]物品基础表!$A:$A,MATCH(T314,[1]物品基础表!$B:$B,0)),"")</f>
        <v/>
      </c>
      <c r="X314" s="1" t="str">
        <f>IFERROR(INDEX([1]物品基础表!$A:$A,MATCH(W314,[1]物品基础表!$B:$B,0)),"")</f>
        <v/>
      </c>
    </row>
    <row r="315" spans="1:24">
      <c r="A315" s="32" t="str">
        <f>INDEX([2]活动总表!$A$8:$A$429,MATCH(B315,[2]活动总表!$B$8:$B$429,0))</f>
        <v>元宵-累充</v>
      </c>
      <c r="B315" s="32">
        <v>740</v>
      </c>
      <c r="C315" s="32">
        <v>9</v>
      </c>
      <c r="D315" s="32">
        <v>2</v>
      </c>
      <c r="E315" s="32">
        <v>3</v>
      </c>
      <c r="F315" s="32">
        <v>1288888</v>
      </c>
      <c r="H315" s="32">
        <v>200928</v>
      </c>
      <c r="I315" s="1" t="str">
        <f>IFERROR(INDEX([1]物品基础表!$A:$A,MATCH(H315,[1]物品基础表!$B:$B,0)),"")</f>
        <v>神兵大招3三选一</v>
      </c>
      <c r="J315" s="32">
        <v>1</v>
      </c>
      <c r="K315" s="32">
        <v>200301</v>
      </c>
      <c r="L315" s="1" t="str">
        <f>IFERROR(INDEX([1]物品基础表!$A:$A,MATCH(K315,[1]物品基础表!$B:$B,0)),"")</f>
        <v>传世宝钻</v>
      </c>
      <c r="M315" s="32">
        <v>1000</v>
      </c>
      <c r="N315" s="32">
        <v>200208</v>
      </c>
      <c r="O315" s="1" t="str">
        <f>IFERROR(INDEX([1]物品基础表!$A:$A,MATCH(N315,[1]物品基础表!$B:$B,0)),"")</f>
        <v>烈焰印记低级升级材料</v>
      </c>
      <c r="P315" s="32">
        <v>1600</v>
      </c>
      <c r="R315" s="1" t="str">
        <f>IFERROR(INDEX([1]物品基础表!$A:$A,MATCH(Q315,[1]物品基础表!$B:$B,0)),"")</f>
        <v/>
      </c>
      <c r="U315" s="1" t="str">
        <f>IFERROR(INDEX([1]物品基础表!$A:$A,MATCH(T315,[1]物品基础表!$B:$B,0)),"")</f>
        <v/>
      </c>
      <c r="X315" s="1" t="str">
        <f>IFERROR(INDEX([1]物品基础表!$A:$A,MATCH(W315,[1]物品基础表!$B:$B,0)),"")</f>
        <v/>
      </c>
    </row>
    <row r="316" spans="1:24">
      <c r="A316" s="32" t="str">
        <f>INDEX([2]活动总表!$A$8:$A$429,MATCH(B316,[2]活动总表!$B$8:$B$429,0))</f>
        <v>谁与争锋-累充</v>
      </c>
      <c r="B316" s="32">
        <v>806</v>
      </c>
      <c r="C316" s="32">
        <v>1</v>
      </c>
      <c r="D316" s="32">
        <v>2</v>
      </c>
      <c r="E316" s="32">
        <v>3</v>
      </c>
      <c r="F316" s="32">
        <v>2800</v>
      </c>
      <c r="H316" s="32">
        <v>200925</v>
      </c>
      <c r="I316" s="1" t="str">
        <f>IFERROR(INDEX([1]物品基础表!$A:$A,MATCH(H316,[1]物品基础表!$B:$B,0)),"")</f>
        <v>红色战纹任选宝箱</v>
      </c>
      <c r="J316" s="32">
        <v>1</v>
      </c>
      <c r="K316" s="32">
        <v>200015</v>
      </c>
      <c r="L316" s="1" t="str">
        <f>IFERROR(INDEX([1]物品基础表!$A:$A,MATCH(K316,[1]物品基础表!$B:$B,0)),"")</f>
        <v>特戒碎片</v>
      </c>
      <c r="M316" s="32">
        <v>50</v>
      </c>
      <c r="N316" s="32">
        <v>500006</v>
      </c>
      <c r="O316" s="1" t="str">
        <f>IFERROR(INDEX([1]物品基础表!$A:$A,MATCH(N316,[1]物品基础表!$B:$B,0)),"")</f>
        <v>战纹精华-金</v>
      </c>
      <c r="P316" s="32">
        <v>1</v>
      </c>
      <c r="Q316" s="32">
        <v>1</v>
      </c>
      <c r="R316" s="1" t="s">
        <v>695</v>
      </c>
      <c r="S316" s="32">
        <v>1000000</v>
      </c>
      <c r="U316" s="1" t="str">
        <f>IFERROR(INDEX([1]物品基础表!$A:$A,MATCH(T316,[1]物品基础表!$B:$B,0)),"")</f>
        <v/>
      </c>
      <c r="X316" s="1" t="str">
        <f>IFERROR(INDEX([1]物品基础表!$A:$A,MATCH(W316,[1]物品基础表!$B:$B,0)),"")</f>
        <v/>
      </c>
    </row>
    <row r="317" spans="1:24">
      <c r="A317" s="32" t="str">
        <f>INDEX([2]活动总表!$A$8:$A$429,MATCH(B317,[2]活动总表!$B$8:$B$429,0))</f>
        <v>谁与争锋-累充</v>
      </c>
      <c r="B317" s="32">
        <v>806</v>
      </c>
      <c r="C317" s="32">
        <v>2</v>
      </c>
      <c r="D317" s="32">
        <v>2</v>
      </c>
      <c r="E317" s="32">
        <v>3</v>
      </c>
      <c r="F317" s="32">
        <v>6800</v>
      </c>
      <c r="H317" s="32">
        <v>204067</v>
      </c>
      <c r="I317" s="1" t="str">
        <f>IFERROR(INDEX([1]物品基础表!$A:$A,MATCH(H317,[1]物品基础表!$B:$B,0)),"")</f>
        <v>玉佩升级道具2</v>
      </c>
      <c r="J317" s="32">
        <v>1</v>
      </c>
      <c r="K317" s="32">
        <v>13</v>
      </c>
      <c r="L317" s="1" t="str">
        <f>IF(K317=2,"元宝","神兵经验")</f>
        <v>神兵经验</v>
      </c>
      <c r="M317" s="32">
        <v>1000000</v>
      </c>
      <c r="N317" s="32">
        <v>500006</v>
      </c>
      <c r="O317" s="1" t="str">
        <f>IFERROR(INDEX([1]物品基础表!$A:$A,MATCH(N317,[1]物品基础表!$B:$B,0)),"")</f>
        <v>战纹精华-金</v>
      </c>
      <c r="P317" s="32">
        <v>1</v>
      </c>
      <c r="Q317" s="32">
        <v>1</v>
      </c>
      <c r="R317" s="1" t="s">
        <v>695</v>
      </c>
      <c r="S317" s="32">
        <v>2000000</v>
      </c>
      <c r="U317" s="1" t="str">
        <f>IFERROR(INDEX([1]物品基础表!$A:$A,MATCH(T317,[1]物品基础表!$B:$B,0)),"")</f>
        <v/>
      </c>
      <c r="X317" s="1" t="str">
        <f>IFERROR(INDEX([1]物品基础表!$A:$A,MATCH(W317,[1]物品基础表!$B:$B,0)),"")</f>
        <v/>
      </c>
    </row>
    <row r="318" spans="1:24">
      <c r="A318" s="32" t="str">
        <f>INDEX([2]活动总表!$A$8:$A$429,MATCH(B318,[2]活动总表!$B$8:$B$429,0))</f>
        <v>谁与争锋-累充</v>
      </c>
      <c r="B318" s="32">
        <v>806</v>
      </c>
      <c r="C318" s="32">
        <v>3</v>
      </c>
      <c r="D318" s="32">
        <v>2</v>
      </c>
      <c r="E318" s="32">
        <v>3</v>
      </c>
      <c r="F318" s="32">
        <v>12800</v>
      </c>
      <c r="H318" s="32">
        <v>200003</v>
      </c>
      <c r="I318" s="1" t="str">
        <f>IFERROR(INDEX([1]物品基础表!$A:$A,MATCH(H318,[1]物品基础表!$B:$B,0)),"")</f>
        <v>铸造晶石</v>
      </c>
      <c r="J318" s="32">
        <v>300</v>
      </c>
      <c r="K318" s="32">
        <v>200015</v>
      </c>
      <c r="L318" s="1" t="str">
        <f>IFERROR(INDEX([1]物品基础表!$A:$A,MATCH(K318,[1]物品基础表!$B:$B,0)),"")</f>
        <v>特戒碎片</v>
      </c>
      <c r="M318" s="32">
        <v>100</v>
      </c>
      <c r="N318" s="32">
        <v>500006</v>
      </c>
      <c r="O318" s="1" t="str">
        <f>IFERROR(INDEX([1]物品基础表!$A:$A,MATCH(N318,[1]物品基础表!$B:$B,0)),"")</f>
        <v>战纹精华-金</v>
      </c>
      <c r="P318" s="32">
        <v>2</v>
      </c>
      <c r="Q318" s="32">
        <v>200005</v>
      </c>
      <c r="R318" s="1" t="str">
        <f>IFERROR(INDEX([1]物品基础表!$A:$A,MATCH(Q318,[1]物品基础表!$B:$B,0)),"")</f>
        <v>龙魂碎片</v>
      </c>
      <c r="S318" s="32">
        <v>10</v>
      </c>
      <c r="U318" s="1" t="str">
        <f>IFERROR(INDEX([1]物品基础表!$A:$A,MATCH(T318,[1]物品基础表!$B:$B,0)),"")</f>
        <v/>
      </c>
      <c r="X318" s="1" t="str">
        <f>IFERROR(INDEX([1]物品基础表!$A:$A,MATCH(W318,[1]物品基础表!$B:$B,0)),"")</f>
        <v/>
      </c>
    </row>
    <row r="319" spans="1:24">
      <c r="A319" s="32" t="str">
        <f>INDEX([2]活动总表!$A$8:$A$429,MATCH(B319,[2]活动总表!$B$8:$B$429,0))</f>
        <v>谁与争锋-累充</v>
      </c>
      <c r="B319" s="32">
        <v>806</v>
      </c>
      <c r="C319" s="32">
        <v>4</v>
      </c>
      <c r="D319" s="32">
        <v>2</v>
      </c>
      <c r="E319" s="32">
        <v>3</v>
      </c>
      <c r="F319" s="32">
        <v>36800</v>
      </c>
      <c r="H319" s="32">
        <v>200973</v>
      </c>
      <c r="I319" s="1" t="str">
        <f>IFERROR(INDEX([1]物品基础表!$A:$A,MATCH(H319,[1]物品基础表!$B:$B,0)),"")</f>
        <v>极品橙色兽神装备任选宝箱</v>
      </c>
      <c r="J319" s="32">
        <v>1</v>
      </c>
      <c r="K319" s="32">
        <v>204065</v>
      </c>
      <c r="L319" s="1" t="str">
        <f>IFERROR(INDEX([1]物品基础表!$A:$A,MATCH(K319,[1]物品基础表!$B:$B,0)),"")</f>
        <v>超级转生轮回礼包</v>
      </c>
      <c r="M319" s="32">
        <v>1</v>
      </c>
      <c r="N319" s="32">
        <v>500006</v>
      </c>
      <c r="O319" s="1" t="str">
        <f>IFERROR(INDEX([1]物品基础表!$A:$A,MATCH(N319,[1]物品基础表!$B:$B,0)),"")</f>
        <v>战纹精华-金</v>
      </c>
      <c r="P319" s="32">
        <v>2</v>
      </c>
      <c r="Q319" s="32">
        <v>200005</v>
      </c>
      <c r="R319" s="1" t="str">
        <f>IFERROR(INDEX([1]物品基础表!$A:$A,MATCH(Q319,[1]物品基础表!$B:$B,0)),"")</f>
        <v>龙魂碎片</v>
      </c>
      <c r="S319" s="32">
        <v>10</v>
      </c>
      <c r="U319" s="1" t="str">
        <f>IFERROR(INDEX([1]物品基础表!$A:$A,MATCH(T319,[1]物品基础表!$B:$B,0)),"")</f>
        <v/>
      </c>
      <c r="X319" s="1" t="str">
        <f>IFERROR(INDEX([1]物品基础表!$A:$A,MATCH(W319,[1]物品基础表!$B:$B,0)),"")</f>
        <v/>
      </c>
    </row>
    <row r="320" spans="1:24">
      <c r="A320" s="32" t="str">
        <f>INDEX([2]活动总表!$A$8:$A$429,MATCH(B320,[2]活动总表!$B$8:$B$429,0))</f>
        <v>谁与争锋-累充</v>
      </c>
      <c r="B320" s="32">
        <v>806</v>
      </c>
      <c r="C320" s="32">
        <v>5</v>
      </c>
      <c r="D320" s="32">
        <v>2</v>
      </c>
      <c r="E320" s="32">
        <v>3</v>
      </c>
      <c r="F320" s="32">
        <v>58800</v>
      </c>
      <c r="H320" s="32">
        <v>200326</v>
      </c>
      <c r="I320" s="1" t="str">
        <f>IFERROR(INDEX([1]物品基础表!$A:$A,MATCH(H320,[1]物品基础表!$B:$B,0)),"")</f>
        <v>兵魂之灵</v>
      </c>
      <c r="J320" s="32">
        <v>1</v>
      </c>
      <c r="K320" s="32">
        <v>200301</v>
      </c>
      <c r="L320" s="1" t="str">
        <f>IFERROR(INDEX([1]物品基础表!$A:$A,MATCH(K320,[1]物品基础表!$B:$B,0)),"")</f>
        <v>传世宝钻</v>
      </c>
      <c r="M320" s="32">
        <v>200</v>
      </c>
      <c r="N320" s="32">
        <v>500006</v>
      </c>
      <c r="O320" s="1" t="str">
        <f>IFERROR(INDEX([1]物品基础表!$A:$A,MATCH(N320,[1]物品基础表!$B:$B,0)),"")</f>
        <v>战纹精华-金</v>
      </c>
      <c r="P320" s="32">
        <v>4</v>
      </c>
      <c r="Q320" s="32">
        <v>200005</v>
      </c>
      <c r="R320" s="1" t="str">
        <f>IFERROR(INDEX([1]物品基础表!$A:$A,MATCH(Q320,[1]物品基础表!$B:$B,0)),"")</f>
        <v>龙魂碎片</v>
      </c>
      <c r="S320" s="32">
        <v>20</v>
      </c>
      <c r="U320" s="1" t="str">
        <f>IFERROR(INDEX([1]物品基础表!$A:$A,MATCH(T320,[1]物品基础表!$B:$B,0)),"")</f>
        <v/>
      </c>
      <c r="X320" s="1" t="str">
        <f>IFERROR(INDEX([1]物品基础表!$A:$A,MATCH(W320,[1]物品基础表!$B:$B,0)),"")</f>
        <v/>
      </c>
    </row>
    <row r="321" spans="1:24">
      <c r="A321" s="32" t="str">
        <f>INDEX([2]活动总表!$A$8:$A$429,MATCH(B321,[2]活动总表!$B$8:$B$429,0))</f>
        <v>谁与争锋-累充</v>
      </c>
      <c r="B321" s="32">
        <v>806</v>
      </c>
      <c r="C321" s="32">
        <v>6</v>
      </c>
      <c r="D321" s="32">
        <v>2</v>
      </c>
      <c r="E321" s="32">
        <v>3</v>
      </c>
      <c r="F321" s="32">
        <v>88800</v>
      </c>
      <c r="H321" s="32">
        <v>204158</v>
      </c>
      <c r="I321" s="1" t="str">
        <f>IFERROR(INDEX([1]物品基础表!$A:$A,MATCH(H321,[1]物品基础表!$B:$B,0)),"")</f>
        <v>5阶战灵装备</v>
      </c>
      <c r="J321" s="32">
        <v>1</v>
      </c>
      <c r="K321" s="32">
        <v>201007</v>
      </c>
      <c r="L321" s="1" t="str">
        <f>IFERROR(INDEX([1]物品基础表!$A:$A,MATCH(K321,[1]物品基础表!$B:$B,0)),"")</f>
        <v>红色图鉴包·美女如云</v>
      </c>
      <c r="M321" s="32">
        <v>1</v>
      </c>
      <c r="N321" s="32">
        <v>500006</v>
      </c>
      <c r="O321" s="1" t="str">
        <f>IFERROR(INDEX([1]物品基础表!$A:$A,MATCH(N321,[1]物品基础表!$B:$B,0)),"")</f>
        <v>战纹精华-金</v>
      </c>
      <c r="P321" s="32">
        <v>4</v>
      </c>
      <c r="Q321" s="32">
        <v>200005</v>
      </c>
      <c r="R321" s="1" t="str">
        <f>IFERROR(INDEX([1]物品基础表!$A:$A,MATCH(Q321,[1]物品基础表!$B:$B,0)),"")</f>
        <v>龙魂碎片</v>
      </c>
      <c r="S321" s="32">
        <v>20</v>
      </c>
      <c r="U321" s="1" t="str">
        <f>IFERROR(INDEX([1]物品基础表!$A:$A,MATCH(T321,[1]物品基础表!$B:$B,0)),"")</f>
        <v/>
      </c>
      <c r="X321" s="1" t="str">
        <f>IFERROR(INDEX([1]物品基础表!$A:$A,MATCH(W321,[1]物品基础表!$B:$B,0)),"")</f>
        <v/>
      </c>
    </row>
    <row r="322" spans="1:24">
      <c r="A322" s="32" t="str">
        <f>INDEX([2]活动总表!$A$8:$A$429,MATCH(B322,[2]活动总表!$B$8:$B$429,0))</f>
        <v>谁与争锋-累充（15-30天）</v>
      </c>
      <c r="B322" s="32">
        <v>814</v>
      </c>
      <c r="C322" s="32">
        <v>1</v>
      </c>
      <c r="D322" s="32">
        <v>2</v>
      </c>
      <c r="E322" s="32">
        <v>3</v>
      </c>
      <c r="F322" s="32">
        <v>2800</v>
      </c>
      <c r="H322" s="32">
        <v>200925</v>
      </c>
      <c r="I322" s="1" t="str">
        <f>IFERROR(INDEX([1]物品基础表!$A:$A,MATCH(H322,[1]物品基础表!$B:$B,0)),"")</f>
        <v>红色战纹任选宝箱</v>
      </c>
      <c r="J322" s="32">
        <v>1</v>
      </c>
      <c r="K322" s="32">
        <v>200015</v>
      </c>
      <c r="L322" s="1" t="str">
        <f>IFERROR(INDEX([1]物品基础表!$A:$A,MATCH(K322,[1]物品基础表!$B:$B,0)),"")</f>
        <v>特戒碎片</v>
      </c>
      <c r="M322" s="32">
        <v>50</v>
      </c>
      <c r="N322" s="32">
        <v>500006</v>
      </c>
      <c r="O322" s="1" t="str">
        <f>IFERROR(INDEX([1]物品基础表!$A:$A,MATCH(N322,[1]物品基础表!$B:$B,0)),"")</f>
        <v>战纹精华-金</v>
      </c>
      <c r="P322" s="32">
        <v>1</v>
      </c>
      <c r="Q322" s="32">
        <v>1</v>
      </c>
      <c r="R322" s="1" t="s">
        <v>695</v>
      </c>
      <c r="S322" s="32">
        <v>1000000</v>
      </c>
      <c r="U322" s="1" t="str">
        <f>IFERROR(INDEX([1]物品基础表!$A:$A,MATCH(T322,[1]物品基础表!$B:$B,0)),"")</f>
        <v/>
      </c>
      <c r="X322" s="1" t="str">
        <f>IFERROR(INDEX([1]物品基础表!$A:$A,MATCH(W322,[1]物品基础表!$B:$B,0)),"")</f>
        <v/>
      </c>
    </row>
    <row r="323" spans="1:24">
      <c r="A323" s="32" t="str">
        <f>INDEX([2]活动总表!$A$8:$A$429,MATCH(B323,[2]活动总表!$B$8:$B$429,0))</f>
        <v>谁与争锋-累充（15-30天）</v>
      </c>
      <c r="B323" s="32">
        <v>814</v>
      </c>
      <c r="C323" s="32">
        <v>2</v>
      </c>
      <c r="D323" s="32">
        <v>2</v>
      </c>
      <c r="E323" s="32">
        <v>3</v>
      </c>
      <c r="F323" s="32">
        <v>6800</v>
      </c>
      <c r="H323" s="32">
        <v>204067</v>
      </c>
      <c r="I323" s="1" t="str">
        <f>IFERROR(INDEX([1]物品基础表!$A:$A,MATCH(H323,[1]物品基础表!$B:$B,0)),"")</f>
        <v>玉佩升级道具2</v>
      </c>
      <c r="J323" s="32">
        <v>1</v>
      </c>
      <c r="K323" s="32">
        <v>13</v>
      </c>
      <c r="L323" s="1" t="str">
        <f>IF(K323=2,"元宝","神兵经验")</f>
        <v>神兵经验</v>
      </c>
      <c r="M323" s="32">
        <v>1000000</v>
      </c>
      <c r="N323" s="32">
        <v>500006</v>
      </c>
      <c r="O323" s="1" t="str">
        <f>IFERROR(INDEX([1]物品基础表!$A:$A,MATCH(N323,[1]物品基础表!$B:$B,0)),"")</f>
        <v>战纹精华-金</v>
      </c>
      <c r="P323" s="32">
        <v>1</v>
      </c>
      <c r="Q323" s="32">
        <v>1</v>
      </c>
      <c r="R323" s="1" t="s">
        <v>695</v>
      </c>
      <c r="S323" s="32">
        <v>2000000</v>
      </c>
      <c r="U323" s="1" t="str">
        <f>IFERROR(INDEX([1]物品基础表!$A:$A,MATCH(T323,[1]物品基础表!$B:$B,0)),"")</f>
        <v/>
      </c>
      <c r="X323" s="1" t="str">
        <f>IFERROR(INDEX([1]物品基础表!$A:$A,MATCH(W323,[1]物品基础表!$B:$B,0)),"")</f>
        <v/>
      </c>
    </row>
    <row r="324" spans="1:24">
      <c r="A324" s="32" t="str">
        <f>INDEX([2]活动总表!$A$8:$A$429,MATCH(B324,[2]活动总表!$B$8:$B$429,0))</f>
        <v>谁与争锋-累充（15-30天）</v>
      </c>
      <c r="B324" s="32">
        <v>814</v>
      </c>
      <c r="C324" s="32">
        <v>3</v>
      </c>
      <c r="D324" s="32">
        <v>2</v>
      </c>
      <c r="E324" s="32">
        <v>3</v>
      </c>
      <c r="F324" s="32">
        <v>12800</v>
      </c>
      <c r="H324" s="32">
        <v>200003</v>
      </c>
      <c r="I324" s="1" t="str">
        <f>IFERROR(INDEX([1]物品基础表!$A:$A,MATCH(H324,[1]物品基础表!$B:$B,0)),"")</f>
        <v>铸造晶石</v>
      </c>
      <c r="J324" s="32">
        <v>200</v>
      </c>
      <c r="K324" s="32">
        <v>200015</v>
      </c>
      <c r="L324" s="1" t="str">
        <f>IFERROR(INDEX([1]物品基础表!$A:$A,MATCH(K324,[1]物品基础表!$B:$B,0)),"")</f>
        <v>特戒碎片</v>
      </c>
      <c r="M324" s="32">
        <v>100</v>
      </c>
      <c r="N324" s="32">
        <v>500006</v>
      </c>
      <c r="O324" s="1" t="str">
        <f>IFERROR(INDEX([1]物品基础表!$A:$A,MATCH(N324,[1]物品基础表!$B:$B,0)),"")</f>
        <v>战纹精华-金</v>
      </c>
      <c r="P324" s="32">
        <v>2</v>
      </c>
      <c r="Q324" s="32">
        <v>200005</v>
      </c>
      <c r="R324" s="1" t="str">
        <f>IFERROR(INDEX([1]物品基础表!$A:$A,MATCH(Q324,[1]物品基础表!$B:$B,0)),"")</f>
        <v>龙魂碎片</v>
      </c>
      <c r="S324" s="32">
        <v>10</v>
      </c>
      <c r="U324" s="1" t="str">
        <f>IFERROR(INDEX([1]物品基础表!$A:$A,MATCH(T324,[1]物品基础表!$B:$B,0)),"")</f>
        <v/>
      </c>
      <c r="X324" s="1" t="str">
        <f>IFERROR(INDEX([1]物品基础表!$A:$A,MATCH(W324,[1]物品基础表!$B:$B,0)),"")</f>
        <v/>
      </c>
    </row>
    <row r="325" spans="1:24">
      <c r="A325" s="32" t="str">
        <f>INDEX([2]活动总表!$A$8:$A$429,MATCH(B325,[2]活动总表!$B$8:$B$429,0))</f>
        <v>谁与争锋-累充（15-30天）</v>
      </c>
      <c r="B325" s="32">
        <v>814</v>
      </c>
      <c r="C325" s="32">
        <v>4</v>
      </c>
      <c r="D325" s="32">
        <v>2</v>
      </c>
      <c r="E325" s="32">
        <v>3</v>
      </c>
      <c r="F325" s="32">
        <v>36800</v>
      </c>
      <c r="H325" s="32">
        <v>200996</v>
      </c>
      <c r="I325" s="1" t="str">
        <f>IFERROR(INDEX([1]物品基础表!$A:$A,MATCH(H325,[1]物品基础表!$B:$B,0)),"")</f>
        <v>魅惑兵魂一套</v>
      </c>
      <c r="J325" s="32">
        <v>1</v>
      </c>
      <c r="K325" s="32">
        <v>204065</v>
      </c>
      <c r="L325" s="1" t="str">
        <f>IFERROR(INDEX([1]物品基础表!$A:$A,MATCH(K325,[1]物品基础表!$B:$B,0)),"")</f>
        <v>超级转生轮回礼包</v>
      </c>
      <c r="M325" s="32">
        <v>1</v>
      </c>
      <c r="N325" s="32">
        <v>500006</v>
      </c>
      <c r="O325" s="1" t="str">
        <f>IFERROR(INDEX([1]物品基础表!$A:$A,MATCH(N325,[1]物品基础表!$B:$B,0)),"")</f>
        <v>战纹精华-金</v>
      </c>
      <c r="P325" s="32">
        <v>2</v>
      </c>
      <c r="Q325" s="32">
        <v>200005</v>
      </c>
      <c r="R325" s="1" t="str">
        <f>IFERROR(INDEX([1]物品基础表!$A:$A,MATCH(Q325,[1]物品基础表!$B:$B,0)),"")</f>
        <v>龙魂碎片</v>
      </c>
      <c r="S325" s="32">
        <v>10</v>
      </c>
      <c r="U325" s="1" t="str">
        <f>IFERROR(INDEX([1]物品基础表!$A:$A,MATCH(T325,[1]物品基础表!$B:$B,0)),"")</f>
        <v/>
      </c>
      <c r="X325" s="1" t="str">
        <f>IFERROR(INDEX([1]物品基础表!$A:$A,MATCH(W325,[1]物品基础表!$B:$B,0)),"")</f>
        <v/>
      </c>
    </row>
    <row r="326" spans="1:24">
      <c r="A326" s="32" t="str">
        <f>INDEX([2]活动总表!$A$8:$A$429,MATCH(B326,[2]活动总表!$B$8:$B$429,0))</f>
        <v>谁与争锋-累充（15-30天）</v>
      </c>
      <c r="B326" s="32">
        <v>814</v>
      </c>
      <c r="C326" s="32">
        <v>5</v>
      </c>
      <c r="D326" s="32">
        <v>2</v>
      </c>
      <c r="E326" s="32">
        <v>3</v>
      </c>
      <c r="F326" s="32">
        <v>58800</v>
      </c>
      <c r="H326" s="32">
        <v>200326</v>
      </c>
      <c r="I326" s="1" t="str">
        <f>IFERROR(INDEX([1]物品基础表!$A:$A,MATCH(H326,[1]物品基础表!$B:$B,0)),"")</f>
        <v>兵魂之灵</v>
      </c>
      <c r="J326" s="32">
        <v>1</v>
      </c>
      <c r="K326" s="32">
        <v>200301</v>
      </c>
      <c r="L326" s="1" t="str">
        <f>IFERROR(INDEX([1]物品基础表!$A:$A,MATCH(K326,[1]物品基础表!$B:$B,0)),"")</f>
        <v>传世宝钻</v>
      </c>
      <c r="M326" s="32">
        <v>200</v>
      </c>
      <c r="N326" s="32">
        <v>500006</v>
      </c>
      <c r="O326" s="1" t="str">
        <f>IFERROR(INDEX([1]物品基础表!$A:$A,MATCH(N326,[1]物品基础表!$B:$B,0)),"")</f>
        <v>战纹精华-金</v>
      </c>
      <c r="P326" s="32">
        <v>4</v>
      </c>
      <c r="Q326" s="32">
        <v>200005</v>
      </c>
      <c r="R326" s="1" t="str">
        <f>IFERROR(INDEX([1]物品基础表!$A:$A,MATCH(Q326,[1]物品基础表!$B:$B,0)),"")</f>
        <v>龙魂碎片</v>
      </c>
      <c r="S326" s="32">
        <v>20</v>
      </c>
      <c r="U326" s="1" t="str">
        <f>IFERROR(INDEX([1]物品基础表!$A:$A,MATCH(T326,[1]物品基础表!$B:$B,0)),"")</f>
        <v/>
      </c>
      <c r="X326" s="1" t="str">
        <f>IFERROR(INDEX([1]物品基础表!$A:$A,MATCH(W326,[1]物品基础表!$B:$B,0)),"")</f>
        <v/>
      </c>
    </row>
    <row r="327" spans="1:24">
      <c r="A327" s="32" t="str">
        <f>INDEX([2]活动总表!$A$8:$A$429,MATCH(B327,[2]活动总表!$B$8:$B$429,0))</f>
        <v>谁与争锋-累充（15-30天）</v>
      </c>
      <c r="B327" s="32">
        <v>814</v>
      </c>
      <c r="C327" s="32">
        <v>6</v>
      </c>
      <c r="D327" s="32">
        <v>2</v>
      </c>
      <c r="E327" s="32">
        <v>3</v>
      </c>
      <c r="F327" s="32">
        <v>88800</v>
      </c>
      <c r="H327" s="32">
        <v>200319</v>
      </c>
      <c r="I327" s="1" t="str">
        <f>IFERROR(INDEX([1]物品基础表!$A:$A,MATCH(H327,[1]物品基础表!$B:$B,0)),"")</f>
        <v>高级合击符文</v>
      </c>
      <c r="J327" s="32">
        <v>30</v>
      </c>
      <c r="K327" s="32">
        <v>201007</v>
      </c>
      <c r="L327" s="1" t="str">
        <f>IFERROR(INDEX([1]物品基础表!$A:$A,MATCH(K327,[1]物品基础表!$B:$B,0)),"")</f>
        <v>红色图鉴包·美女如云</v>
      </c>
      <c r="M327" s="32">
        <v>1</v>
      </c>
      <c r="N327" s="32">
        <v>500006</v>
      </c>
      <c r="O327" s="1" t="str">
        <f>IFERROR(INDEX([1]物品基础表!$A:$A,MATCH(N327,[1]物品基础表!$B:$B,0)),"")</f>
        <v>战纹精华-金</v>
      </c>
      <c r="P327" s="32">
        <v>4</v>
      </c>
      <c r="Q327" s="32">
        <v>200005</v>
      </c>
      <c r="R327" s="1" t="str">
        <f>IFERROR(INDEX([1]物品基础表!$A:$A,MATCH(Q327,[1]物品基础表!$B:$B,0)),"")</f>
        <v>龙魂碎片</v>
      </c>
      <c r="S327" s="32">
        <v>20</v>
      </c>
      <c r="U327" s="1" t="str">
        <f>IFERROR(INDEX([1]物品基础表!$A:$A,MATCH(T327,[1]物品基础表!$B:$B,0)),"")</f>
        <v/>
      </c>
      <c r="X327" s="1" t="str">
        <f>IFERROR(INDEX([1]物品基础表!$A:$A,MATCH(W327,[1]物品基础表!$B:$B,0)),"")</f>
        <v/>
      </c>
    </row>
    <row r="328" spans="1:24">
      <c r="A328" s="32" t="str">
        <f>INDEX([2]活动总表!$A$8:$A$429,MATCH(B328,[2]活动总表!$B$8:$B$429,0))</f>
        <v>谁与争锋-累充（31-60天）</v>
      </c>
      <c r="B328" s="32">
        <v>819</v>
      </c>
      <c r="C328" s="32">
        <v>1</v>
      </c>
      <c r="D328" s="32">
        <v>2</v>
      </c>
      <c r="E328" s="32">
        <v>3</v>
      </c>
      <c r="F328" s="32">
        <v>2800</v>
      </c>
      <c r="H328" s="32">
        <v>200925</v>
      </c>
      <c r="I328" s="1" t="str">
        <f>IFERROR(INDEX([1]物品基础表!$A:$A,MATCH(H328,[1]物品基础表!$B:$B,0)),"")</f>
        <v>红色战纹任选宝箱</v>
      </c>
      <c r="J328" s="32">
        <v>1</v>
      </c>
      <c r="K328" s="32">
        <v>200015</v>
      </c>
      <c r="L328" s="1" t="str">
        <f>IFERROR(INDEX([1]物品基础表!$A:$A,MATCH(K328,[1]物品基础表!$B:$B,0)),"")</f>
        <v>特戒碎片</v>
      </c>
      <c r="M328" s="32">
        <v>50</v>
      </c>
      <c r="N328" s="32">
        <v>500006</v>
      </c>
      <c r="O328" s="1" t="str">
        <f>IFERROR(INDEX([1]物品基础表!$A:$A,MATCH(N328,[1]物品基础表!$B:$B,0)),"")</f>
        <v>战纹精华-金</v>
      </c>
      <c r="P328" s="32">
        <v>1</v>
      </c>
      <c r="Q328" s="32">
        <v>1</v>
      </c>
      <c r="R328" s="1" t="s">
        <v>695</v>
      </c>
      <c r="S328" s="32">
        <v>1000000</v>
      </c>
      <c r="U328" s="1" t="str">
        <f>IFERROR(INDEX([1]物品基础表!$A:$A,MATCH(T328,[1]物品基础表!$B:$B,0)),"")</f>
        <v/>
      </c>
      <c r="X328" s="1" t="str">
        <f>IFERROR(INDEX([1]物品基础表!$A:$A,MATCH(W328,[1]物品基础表!$B:$B,0)),"")</f>
        <v/>
      </c>
    </row>
    <row r="329" spans="1:24">
      <c r="A329" s="32" t="str">
        <f>INDEX([2]活动总表!$A$8:$A$429,MATCH(B329,[2]活动总表!$B$8:$B$429,0))</f>
        <v>谁与争锋-累充（31-60天）</v>
      </c>
      <c r="B329" s="32">
        <v>819</v>
      </c>
      <c r="C329" s="32">
        <v>2</v>
      </c>
      <c r="D329" s="32">
        <v>2</v>
      </c>
      <c r="E329" s="32">
        <v>3</v>
      </c>
      <c r="F329" s="32">
        <v>6800</v>
      </c>
      <c r="H329" s="32">
        <v>204067</v>
      </c>
      <c r="I329" s="1" t="str">
        <f>IFERROR(INDEX([1]物品基础表!$A:$A,MATCH(H329,[1]物品基础表!$B:$B,0)),"")</f>
        <v>玉佩升级道具2</v>
      </c>
      <c r="J329" s="32">
        <v>1</v>
      </c>
      <c r="K329" s="32">
        <v>13</v>
      </c>
      <c r="L329" s="1" t="str">
        <f>IF(K329=2,"元宝","神兵经验")</f>
        <v>神兵经验</v>
      </c>
      <c r="M329" s="32">
        <v>1000000</v>
      </c>
      <c r="N329" s="32">
        <v>500006</v>
      </c>
      <c r="O329" s="1" t="str">
        <f>IFERROR(INDEX([1]物品基础表!$A:$A,MATCH(N329,[1]物品基础表!$B:$B,0)),"")</f>
        <v>战纹精华-金</v>
      </c>
      <c r="P329" s="32">
        <v>1</v>
      </c>
      <c r="Q329" s="32">
        <v>1</v>
      </c>
      <c r="R329" s="1" t="s">
        <v>695</v>
      </c>
      <c r="S329" s="32">
        <v>2000000</v>
      </c>
      <c r="U329" s="1" t="str">
        <f>IFERROR(INDEX([1]物品基础表!$A:$A,MATCH(T329,[1]物品基础表!$B:$B,0)),"")</f>
        <v/>
      </c>
      <c r="X329" s="1" t="str">
        <f>IFERROR(INDEX([1]物品基础表!$A:$A,MATCH(W329,[1]物品基础表!$B:$B,0)),"")</f>
        <v/>
      </c>
    </row>
    <row r="330" spans="1:24">
      <c r="A330" s="32" t="str">
        <f>INDEX([2]活动总表!$A$8:$A$429,MATCH(B330,[2]活动总表!$B$8:$B$429,0))</f>
        <v>谁与争锋-累充（31-60天）</v>
      </c>
      <c r="B330" s="32">
        <v>819</v>
      </c>
      <c r="C330" s="32">
        <v>3</v>
      </c>
      <c r="D330" s="32">
        <v>2</v>
      </c>
      <c r="E330" s="32">
        <v>3</v>
      </c>
      <c r="F330" s="32">
        <v>12800</v>
      </c>
      <c r="H330" s="32">
        <v>200003</v>
      </c>
      <c r="I330" s="1" t="str">
        <f>IFERROR(INDEX([1]物品基础表!$A:$A,MATCH(H330,[1]物品基础表!$B:$B,0)),"")</f>
        <v>铸造晶石</v>
      </c>
      <c r="J330" s="32">
        <v>250</v>
      </c>
      <c r="K330" s="32">
        <v>200015</v>
      </c>
      <c r="L330" s="1" t="str">
        <f>IFERROR(INDEX([1]物品基础表!$A:$A,MATCH(K330,[1]物品基础表!$B:$B,0)),"")</f>
        <v>特戒碎片</v>
      </c>
      <c r="M330" s="32">
        <v>100</v>
      </c>
      <c r="N330" s="32">
        <v>500006</v>
      </c>
      <c r="O330" s="1" t="str">
        <f>IFERROR(INDEX([1]物品基础表!$A:$A,MATCH(N330,[1]物品基础表!$B:$B,0)),"")</f>
        <v>战纹精华-金</v>
      </c>
      <c r="P330" s="32">
        <v>2</v>
      </c>
      <c r="Q330" s="32">
        <v>200005</v>
      </c>
      <c r="R330" s="1" t="str">
        <f>IFERROR(INDEX([1]物品基础表!$A:$A,MATCH(Q330,[1]物品基础表!$B:$B,0)),"")</f>
        <v>龙魂碎片</v>
      </c>
      <c r="S330" s="32">
        <v>10</v>
      </c>
      <c r="U330" s="1" t="str">
        <f>IFERROR(INDEX([1]物品基础表!$A:$A,MATCH(T330,[1]物品基础表!$B:$B,0)),"")</f>
        <v/>
      </c>
      <c r="X330" s="1" t="str">
        <f>IFERROR(INDEX([1]物品基础表!$A:$A,MATCH(W330,[1]物品基础表!$B:$B,0)),"")</f>
        <v/>
      </c>
    </row>
    <row r="331" spans="1:24">
      <c r="A331" s="32" t="str">
        <f>INDEX([2]活动总表!$A$8:$A$429,MATCH(B331,[2]活动总表!$B$8:$B$429,0))</f>
        <v>谁与争锋-累充（31-60天）</v>
      </c>
      <c r="B331" s="32">
        <v>819</v>
      </c>
      <c r="C331" s="32">
        <v>4</v>
      </c>
      <c r="D331" s="32">
        <v>2</v>
      </c>
      <c r="E331" s="32">
        <v>3</v>
      </c>
      <c r="F331" s="32">
        <v>36800</v>
      </c>
      <c r="H331" s="32">
        <v>200997</v>
      </c>
      <c r="I331" s="1" t="str">
        <f>IFERROR(INDEX([1]物品基础表!$A:$A,MATCH(H331,[1]物品基础表!$B:$B,0)),"")</f>
        <v>星☆传世宝箱</v>
      </c>
      <c r="J331" s="32">
        <v>1</v>
      </c>
      <c r="K331" s="32">
        <v>204065</v>
      </c>
      <c r="L331" s="1" t="str">
        <f>IFERROR(INDEX([1]物品基础表!$A:$A,MATCH(K331,[1]物品基础表!$B:$B,0)),"")</f>
        <v>超级转生轮回礼包</v>
      </c>
      <c r="M331" s="32">
        <v>1</v>
      </c>
      <c r="N331" s="32">
        <v>500006</v>
      </c>
      <c r="O331" s="1" t="str">
        <f>IFERROR(INDEX([1]物品基础表!$A:$A,MATCH(N331,[1]物品基础表!$B:$B,0)),"")</f>
        <v>战纹精华-金</v>
      </c>
      <c r="P331" s="32">
        <v>2</v>
      </c>
      <c r="Q331" s="32">
        <v>200005</v>
      </c>
      <c r="R331" s="1" t="str">
        <f>IFERROR(INDEX([1]物品基础表!$A:$A,MATCH(Q331,[1]物品基础表!$B:$B,0)),"")</f>
        <v>龙魂碎片</v>
      </c>
      <c r="S331" s="32">
        <v>10</v>
      </c>
      <c r="U331" s="1" t="str">
        <f>IFERROR(INDEX([1]物品基础表!$A:$A,MATCH(T331,[1]物品基础表!$B:$B,0)),"")</f>
        <v/>
      </c>
      <c r="X331" s="1" t="str">
        <f>IFERROR(INDEX([1]物品基础表!$A:$A,MATCH(W331,[1]物品基础表!$B:$B,0)),"")</f>
        <v/>
      </c>
    </row>
    <row r="332" spans="1:24">
      <c r="A332" s="32" t="str">
        <f>INDEX([2]活动总表!$A$8:$A$429,MATCH(B332,[2]活动总表!$B$8:$B$429,0))</f>
        <v>谁与争锋-累充（31-60天）</v>
      </c>
      <c r="B332" s="32">
        <v>819</v>
      </c>
      <c r="C332" s="32">
        <v>5</v>
      </c>
      <c r="D332" s="32">
        <v>2</v>
      </c>
      <c r="E332" s="32">
        <v>3</v>
      </c>
      <c r="F332" s="32">
        <v>58800</v>
      </c>
      <c r="H332" s="32">
        <v>200326</v>
      </c>
      <c r="I332" s="1" t="str">
        <f>IFERROR(INDEX([1]物品基础表!$A:$A,MATCH(H332,[1]物品基础表!$B:$B,0)),"")</f>
        <v>兵魂之灵</v>
      </c>
      <c r="J332" s="32">
        <v>1</v>
      </c>
      <c r="K332" s="32">
        <v>200301</v>
      </c>
      <c r="L332" s="1" t="str">
        <f>IFERROR(INDEX([1]物品基础表!$A:$A,MATCH(K332,[1]物品基础表!$B:$B,0)),"")</f>
        <v>传世宝钻</v>
      </c>
      <c r="M332" s="32">
        <v>200</v>
      </c>
      <c r="N332" s="32">
        <v>500006</v>
      </c>
      <c r="O332" s="1" t="str">
        <f>IFERROR(INDEX([1]物品基础表!$A:$A,MATCH(N332,[1]物品基础表!$B:$B,0)),"")</f>
        <v>战纹精华-金</v>
      </c>
      <c r="P332" s="32">
        <v>4</v>
      </c>
      <c r="Q332" s="32">
        <v>200005</v>
      </c>
      <c r="R332" s="1" t="str">
        <f>IFERROR(INDEX([1]物品基础表!$A:$A,MATCH(Q332,[1]物品基础表!$B:$B,0)),"")</f>
        <v>龙魂碎片</v>
      </c>
      <c r="S332" s="32">
        <v>20</v>
      </c>
      <c r="U332" s="1" t="str">
        <f>IFERROR(INDEX([1]物品基础表!$A:$A,MATCH(T332,[1]物品基础表!$B:$B,0)),"")</f>
        <v/>
      </c>
      <c r="X332" s="1" t="str">
        <f>IFERROR(INDEX([1]物品基础表!$A:$A,MATCH(W332,[1]物品基础表!$B:$B,0)),"")</f>
        <v/>
      </c>
    </row>
    <row r="333" spans="1:24">
      <c r="A333" s="32" t="str">
        <f>INDEX([2]活动总表!$A$8:$A$429,MATCH(B333,[2]活动总表!$B$8:$B$429,0))</f>
        <v>谁与争锋-累充（31-60天）</v>
      </c>
      <c r="B333" s="32">
        <v>819</v>
      </c>
      <c r="C333" s="32">
        <v>6</v>
      </c>
      <c r="D333" s="32">
        <v>2</v>
      </c>
      <c r="E333" s="32">
        <v>3</v>
      </c>
      <c r="F333" s="32">
        <v>88800</v>
      </c>
      <c r="H333" s="32">
        <v>204158</v>
      </c>
      <c r="I333" s="1" t="str">
        <f>IFERROR(INDEX([1]物品基础表!$A:$A,MATCH(H333,[1]物品基础表!$B:$B,0)),"")</f>
        <v>5阶战灵装备</v>
      </c>
      <c r="J333" s="32">
        <v>1</v>
      </c>
      <c r="K333" s="32">
        <v>201007</v>
      </c>
      <c r="L333" s="1" t="str">
        <f>IFERROR(INDEX([1]物品基础表!$A:$A,MATCH(K333,[1]物品基础表!$B:$B,0)),"")</f>
        <v>红色图鉴包·美女如云</v>
      </c>
      <c r="M333" s="32">
        <v>1</v>
      </c>
      <c r="N333" s="32">
        <v>500006</v>
      </c>
      <c r="O333" s="1" t="str">
        <f>IFERROR(INDEX([1]物品基础表!$A:$A,MATCH(N333,[1]物品基础表!$B:$B,0)),"")</f>
        <v>战纹精华-金</v>
      </c>
      <c r="P333" s="32">
        <v>4</v>
      </c>
      <c r="Q333" s="32">
        <v>200005</v>
      </c>
      <c r="R333" s="1" t="str">
        <f>IFERROR(INDEX([1]物品基础表!$A:$A,MATCH(Q333,[1]物品基础表!$B:$B,0)),"")</f>
        <v>龙魂碎片</v>
      </c>
      <c r="S333" s="32">
        <v>20</v>
      </c>
      <c r="U333" s="1" t="str">
        <f>IFERROR(INDEX([1]物品基础表!$A:$A,MATCH(T333,[1]物品基础表!$B:$B,0)),"")</f>
        <v/>
      </c>
      <c r="X333" s="1" t="str">
        <f>IFERROR(INDEX([1]物品基础表!$A:$A,MATCH(W333,[1]物品基础表!$B:$B,0)),"")</f>
        <v/>
      </c>
    </row>
    <row r="334" spans="1:24">
      <c r="A334" s="32" t="str">
        <f>INDEX([2]活动总表!$A$8:$A$429,MATCH(B334,[2]活动总表!$B$8:$B$429,0))</f>
        <v>谁与争锋-累充（61+天）</v>
      </c>
      <c r="B334" s="32">
        <v>820</v>
      </c>
      <c r="C334" s="32">
        <v>1</v>
      </c>
      <c r="D334" s="32">
        <v>2</v>
      </c>
      <c r="E334" s="32">
        <v>3</v>
      </c>
      <c r="F334" s="32">
        <v>2800</v>
      </c>
      <c r="H334" s="32">
        <v>200925</v>
      </c>
      <c r="I334" s="1" t="str">
        <f>IFERROR(INDEX([1]物品基础表!$A:$A,MATCH(H334,[1]物品基础表!$B:$B,0)),"")</f>
        <v>红色战纹任选宝箱</v>
      </c>
      <c r="J334" s="32">
        <v>1</v>
      </c>
      <c r="K334" s="32">
        <v>200015</v>
      </c>
      <c r="L334" s="1" t="str">
        <f>IFERROR(INDEX([1]物品基础表!$A:$A,MATCH(K334,[1]物品基础表!$B:$B,0)),"")</f>
        <v>特戒碎片</v>
      </c>
      <c r="M334" s="32">
        <v>50</v>
      </c>
      <c r="N334" s="32">
        <v>500006</v>
      </c>
      <c r="O334" s="1" t="str">
        <f>IFERROR(INDEX([1]物品基础表!$A:$A,MATCH(N334,[1]物品基础表!$B:$B,0)),"")</f>
        <v>战纹精华-金</v>
      </c>
      <c r="P334" s="32">
        <v>1</v>
      </c>
      <c r="Q334" s="32">
        <v>1</v>
      </c>
      <c r="R334" s="1" t="s">
        <v>695</v>
      </c>
      <c r="S334" s="32">
        <v>1000000</v>
      </c>
      <c r="U334" s="1" t="str">
        <f>IFERROR(INDEX([1]物品基础表!$A:$A,MATCH(T334,[1]物品基础表!$B:$B,0)),"")</f>
        <v/>
      </c>
      <c r="X334" s="1" t="str">
        <f>IFERROR(INDEX([1]物品基础表!$A:$A,MATCH(W334,[1]物品基础表!$B:$B,0)),"")</f>
        <v/>
      </c>
    </row>
    <row r="335" spans="1:24">
      <c r="A335" s="32" t="str">
        <f>INDEX([2]活动总表!$A$8:$A$429,MATCH(B335,[2]活动总表!$B$8:$B$429,0))</f>
        <v>谁与争锋-累充（61+天）</v>
      </c>
      <c r="B335" s="32">
        <v>820</v>
      </c>
      <c r="C335" s="32">
        <v>2</v>
      </c>
      <c r="D335" s="32">
        <v>2</v>
      </c>
      <c r="E335" s="32">
        <v>3</v>
      </c>
      <c r="F335" s="32">
        <v>6800</v>
      </c>
      <c r="H335" s="32">
        <v>204067</v>
      </c>
      <c r="I335" s="1" t="str">
        <f>IFERROR(INDEX([1]物品基础表!$A:$A,MATCH(H335,[1]物品基础表!$B:$B,0)),"")</f>
        <v>玉佩升级道具2</v>
      </c>
      <c r="J335" s="32">
        <v>1</v>
      </c>
      <c r="K335" s="32">
        <v>13</v>
      </c>
      <c r="L335" s="1" t="str">
        <f>IF(K335=2,"元宝","神兵经验")</f>
        <v>神兵经验</v>
      </c>
      <c r="M335" s="32">
        <v>1000000</v>
      </c>
      <c r="N335" s="32">
        <v>500006</v>
      </c>
      <c r="O335" s="1" t="str">
        <f>IFERROR(INDEX([1]物品基础表!$A:$A,MATCH(N335,[1]物品基础表!$B:$B,0)),"")</f>
        <v>战纹精华-金</v>
      </c>
      <c r="P335" s="32">
        <v>1</v>
      </c>
      <c r="Q335" s="32">
        <v>1</v>
      </c>
      <c r="R335" s="1" t="s">
        <v>695</v>
      </c>
      <c r="S335" s="32">
        <v>2000000</v>
      </c>
      <c r="U335" s="1" t="str">
        <f>IFERROR(INDEX([1]物品基础表!$A:$A,MATCH(T335,[1]物品基础表!$B:$B,0)),"")</f>
        <v/>
      </c>
      <c r="X335" s="1" t="str">
        <f>IFERROR(INDEX([1]物品基础表!$A:$A,MATCH(W335,[1]物品基础表!$B:$B,0)),"")</f>
        <v/>
      </c>
    </row>
    <row r="336" spans="1:24">
      <c r="A336" s="32" t="str">
        <f>INDEX([2]活动总表!$A$8:$A$429,MATCH(B336,[2]活动总表!$B$8:$B$429,0))</f>
        <v>谁与争锋-累充（61+天）</v>
      </c>
      <c r="B336" s="32">
        <v>820</v>
      </c>
      <c r="C336" s="32">
        <v>3</v>
      </c>
      <c r="D336" s="32">
        <v>2</v>
      </c>
      <c r="E336" s="32">
        <v>3</v>
      </c>
      <c r="F336" s="32">
        <v>12800</v>
      </c>
      <c r="H336" s="32">
        <v>200003</v>
      </c>
      <c r="I336" s="1" t="str">
        <f>IFERROR(INDEX([1]物品基础表!$A:$A,MATCH(H336,[1]物品基础表!$B:$B,0)),"")</f>
        <v>铸造晶石</v>
      </c>
      <c r="J336" s="32">
        <v>300</v>
      </c>
      <c r="K336" s="32">
        <v>200015</v>
      </c>
      <c r="L336" s="1" t="str">
        <f>IFERROR(INDEX([1]物品基础表!$A:$A,MATCH(K336,[1]物品基础表!$B:$B,0)),"")</f>
        <v>特戒碎片</v>
      </c>
      <c r="M336" s="32">
        <v>100</v>
      </c>
      <c r="N336" s="32">
        <v>500006</v>
      </c>
      <c r="O336" s="1" t="str">
        <f>IFERROR(INDEX([1]物品基础表!$A:$A,MATCH(N336,[1]物品基础表!$B:$B,0)),"")</f>
        <v>战纹精华-金</v>
      </c>
      <c r="P336" s="32">
        <v>2</v>
      </c>
      <c r="Q336" s="32">
        <v>200005</v>
      </c>
      <c r="R336" s="1" t="str">
        <f>IFERROR(INDEX([1]物品基础表!$A:$A,MATCH(Q336,[1]物品基础表!$B:$B,0)),"")</f>
        <v>龙魂碎片</v>
      </c>
      <c r="S336" s="32">
        <v>10</v>
      </c>
      <c r="U336" s="1" t="str">
        <f>IFERROR(INDEX([1]物品基础表!$A:$A,MATCH(T336,[1]物品基础表!$B:$B,0)),"")</f>
        <v/>
      </c>
      <c r="X336" s="1" t="str">
        <f>IFERROR(INDEX([1]物品基础表!$A:$A,MATCH(W336,[1]物品基础表!$B:$B,0)),"")</f>
        <v/>
      </c>
    </row>
    <row r="337" spans="1:24">
      <c r="A337" s="32" t="str">
        <f>INDEX([2]活动总表!$A$8:$A$429,MATCH(B337,[2]活动总表!$B$8:$B$429,0))</f>
        <v>谁与争锋-累充（61+天）</v>
      </c>
      <c r="B337" s="32">
        <v>820</v>
      </c>
      <c r="C337" s="32">
        <v>4</v>
      </c>
      <c r="D337" s="32">
        <v>2</v>
      </c>
      <c r="E337" s="32">
        <v>3</v>
      </c>
      <c r="F337" s="32">
        <v>36800</v>
      </c>
      <c r="H337" s="32">
        <v>200973</v>
      </c>
      <c r="I337" s="1" t="str">
        <f>IFERROR(INDEX([1]物品基础表!$A:$A,MATCH(H337,[1]物品基础表!$B:$B,0)),"")</f>
        <v>极品橙色兽神装备任选宝箱</v>
      </c>
      <c r="J337" s="32">
        <v>1</v>
      </c>
      <c r="K337" s="32">
        <v>204065</v>
      </c>
      <c r="L337" s="1" t="str">
        <f>IFERROR(INDEX([1]物品基础表!$A:$A,MATCH(K337,[1]物品基础表!$B:$B,0)),"")</f>
        <v>超级转生轮回礼包</v>
      </c>
      <c r="M337" s="32">
        <v>1</v>
      </c>
      <c r="N337" s="32">
        <v>500006</v>
      </c>
      <c r="O337" s="1" t="str">
        <f>IFERROR(INDEX([1]物品基础表!$A:$A,MATCH(N337,[1]物品基础表!$B:$B,0)),"")</f>
        <v>战纹精华-金</v>
      </c>
      <c r="P337" s="32">
        <v>2</v>
      </c>
      <c r="Q337" s="32">
        <v>200005</v>
      </c>
      <c r="R337" s="1" t="str">
        <f>IFERROR(INDEX([1]物品基础表!$A:$A,MATCH(Q337,[1]物品基础表!$B:$B,0)),"")</f>
        <v>龙魂碎片</v>
      </c>
      <c r="S337" s="32">
        <v>10</v>
      </c>
      <c r="U337" s="1" t="str">
        <f>IFERROR(INDEX([1]物品基础表!$A:$A,MATCH(T337,[1]物品基础表!$B:$B,0)),"")</f>
        <v/>
      </c>
      <c r="X337" s="1" t="str">
        <f>IFERROR(INDEX([1]物品基础表!$A:$A,MATCH(W337,[1]物品基础表!$B:$B,0)),"")</f>
        <v/>
      </c>
    </row>
    <row r="338" spans="1:24">
      <c r="A338" s="32" t="str">
        <f>INDEX([2]活动总表!$A$8:$A$429,MATCH(B338,[2]活动总表!$B$8:$B$429,0))</f>
        <v>谁与争锋-累充（61+天）</v>
      </c>
      <c r="B338" s="32">
        <v>820</v>
      </c>
      <c r="C338" s="32">
        <v>5</v>
      </c>
      <c r="D338" s="32">
        <v>2</v>
      </c>
      <c r="E338" s="32">
        <v>3</v>
      </c>
      <c r="F338" s="32">
        <v>58800</v>
      </c>
      <c r="H338" s="32">
        <v>200326</v>
      </c>
      <c r="I338" s="1" t="str">
        <f>IFERROR(INDEX([1]物品基础表!$A:$A,MATCH(H338,[1]物品基础表!$B:$B,0)),"")</f>
        <v>兵魂之灵</v>
      </c>
      <c r="J338" s="32">
        <v>1</v>
      </c>
      <c r="K338" s="32">
        <v>200301</v>
      </c>
      <c r="L338" s="1" t="str">
        <f>IFERROR(INDEX([1]物品基础表!$A:$A,MATCH(K338,[1]物品基础表!$B:$B,0)),"")</f>
        <v>传世宝钻</v>
      </c>
      <c r="M338" s="32">
        <v>200</v>
      </c>
      <c r="N338" s="32">
        <v>500006</v>
      </c>
      <c r="O338" s="1" t="str">
        <f>IFERROR(INDEX([1]物品基础表!$A:$A,MATCH(N338,[1]物品基础表!$B:$B,0)),"")</f>
        <v>战纹精华-金</v>
      </c>
      <c r="P338" s="32">
        <v>4</v>
      </c>
      <c r="Q338" s="32">
        <v>200005</v>
      </c>
      <c r="R338" s="1" t="str">
        <f>IFERROR(INDEX([1]物品基础表!$A:$A,MATCH(Q338,[1]物品基础表!$B:$B,0)),"")</f>
        <v>龙魂碎片</v>
      </c>
      <c r="S338" s="32">
        <v>20</v>
      </c>
      <c r="U338" s="1" t="str">
        <f>IFERROR(INDEX([1]物品基础表!$A:$A,MATCH(T338,[1]物品基础表!$B:$B,0)),"")</f>
        <v/>
      </c>
      <c r="X338" s="1" t="str">
        <f>IFERROR(INDEX([1]物品基础表!$A:$A,MATCH(W338,[1]物品基础表!$B:$B,0)),"")</f>
        <v/>
      </c>
    </row>
    <row r="339" spans="1:24">
      <c r="A339" s="32" t="str">
        <f>INDEX([2]活动总表!$A$8:$A$429,MATCH(B339,[2]活动总表!$B$8:$B$429,0))</f>
        <v>谁与争锋-累充（61+天）</v>
      </c>
      <c r="B339" s="32">
        <v>820</v>
      </c>
      <c r="C339" s="32">
        <v>6</v>
      </c>
      <c r="D339" s="32">
        <v>2</v>
      </c>
      <c r="E339" s="32">
        <v>3</v>
      </c>
      <c r="F339" s="32">
        <v>88800</v>
      </c>
      <c r="H339" s="32">
        <v>204158</v>
      </c>
      <c r="I339" s="1" t="str">
        <f>IFERROR(INDEX([1]物品基础表!$A:$A,MATCH(H339,[1]物品基础表!$B:$B,0)),"")</f>
        <v>5阶战灵装备</v>
      </c>
      <c r="J339" s="32">
        <v>1</v>
      </c>
      <c r="K339" s="32">
        <v>201007</v>
      </c>
      <c r="L339" s="1" t="str">
        <f>IFERROR(INDEX([1]物品基础表!$A:$A,MATCH(K339,[1]物品基础表!$B:$B,0)),"")</f>
        <v>红色图鉴包·美女如云</v>
      </c>
      <c r="M339" s="32">
        <v>1</v>
      </c>
      <c r="N339" s="32">
        <v>500006</v>
      </c>
      <c r="O339" s="1" t="str">
        <f>IFERROR(INDEX([1]物品基础表!$A:$A,MATCH(N339,[1]物品基础表!$B:$B,0)),"")</f>
        <v>战纹精华-金</v>
      </c>
      <c r="P339" s="32">
        <v>4</v>
      </c>
      <c r="Q339" s="32">
        <v>200005</v>
      </c>
      <c r="R339" s="1" t="str">
        <f>IFERROR(INDEX([1]物品基础表!$A:$A,MATCH(Q339,[1]物品基础表!$B:$B,0)),"")</f>
        <v>龙魂碎片</v>
      </c>
      <c r="S339" s="32">
        <v>20</v>
      </c>
      <c r="U339" s="1" t="str">
        <f>IFERROR(INDEX([1]物品基础表!$A:$A,MATCH(T339,[1]物品基础表!$B:$B,0)),"")</f>
        <v/>
      </c>
      <c r="X339" s="1" t="str">
        <f>IFERROR(INDEX([1]物品基础表!$A:$A,MATCH(W339,[1]物品基础表!$B:$B,0)),"")</f>
        <v/>
      </c>
    </row>
    <row r="340" spans="1:24">
      <c r="A340" s="32" t="str">
        <f>INDEX([2]活动总表!$A$8:$A$429,MATCH(B340,[2]活动总表!$B$8:$B$429,0))</f>
        <v>龙抬头-新连冲</v>
      </c>
      <c r="B340" s="32">
        <v>903</v>
      </c>
      <c r="C340" s="32">
        <v>1</v>
      </c>
      <c r="D340" s="32">
        <v>3</v>
      </c>
      <c r="E340" s="32">
        <v>1</v>
      </c>
      <c r="F340" s="32">
        <v>2000</v>
      </c>
      <c r="G340" s="32" t="s">
        <v>721</v>
      </c>
      <c r="H340" s="32">
        <v>2</v>
      </c>
      <c r="I340" s="1" t="str">
        <f t="shared" ref="I340:I343" si="18">IF(H340=2,"元宝","神兵经验")</f>
        <v>元宝</v>
      </c>
      <c r="J340" s="32">
        <v>1000</v>
      </c>
      <c r="K340" s="32">
        <v>204064</v>
      </c>
      <c r="L340" s="1" t="str">
        <f>IFERROR(INDEX([1]物品基础表!$A:$A,MATCH(K340,[1]物品基础表!$B:$B,0)),"")</f>
        <v>高级转生轮回礼包</v>
      </c>
      <c r="M340" s="32">
        <v>3</v>
      </c>
      <c r="N340" s="32">
        <v>200015</v>
      </c>
      <c r="O340" s="1" t="str">
        <f>IFERROR(INDEX([1]物品基础表!$A:$A,MATCH(N340,[1]物品基础表!$B:$B,0)),"")</f>
        <v>特戒碎片</v>
      </c>
      <c r="P340" s="32">
        <v>400</v>
      </c>
      <c r="R340" s="1" t="str">
        <f>IFERROR(INDEX([1]物品基础表!$A:$A,MATCH(Q340,[1]物品基础表!$B:$B,0)),"")</f>
        <v/>
      </c>
      <c r="U340" s="1" t="str">
        <f>IFERROR(INDEX([1]物品基础表!$A:$A,MATCH(T340,[1]物品基础表!$B:$B,0)),"")</f>
        <v/>
      </c>
      <c r="X340" s="1" t="str">
        <f>IFERROR(INDEX([1]物品基础表!$A:$A,MATCH(W340,[1]物品基础表!$B:$B,0)),"")</f>
        <v/>
      </c>
    </row>
    <row r="341" spans="1:24">
      <c r="A341" s="32" t="str">
        <f>INDEX([2]活动总表!$A$8:$A$429,MATCH(B341,[2]活动总表!$B$8:$B$429,0))</f>
        <v>龙抬头-新连冲</v>
      </c>
      <c r="B341" s="32">
        <v>903</v>
      </c>
      <c r="C341" s="32">
        <v>2</v>
      </c>
      <c r="D341" s="32">
        <v>3</v>
      </c>
      <c r="E341" s="32">
        <v>2</v>
      </c>
      <c r="F341" s="32">
        <v>2000</v>
      </c>
      <c r="G341" s="32" t="s">
        <v>721</v>
      </c>
      <c r="H341" s="32">
        <v>2</v>
      </c>
      <c r="I341" s="1" t="str">
        <f t="shared" si="18"/>
        <v>元宝</v>
      </c>
      <c r="J341" s="32">
        <v>1000</v>
      </c>
      <c r="K341" s="32">
        <v>204064</v>
      </c>
      <c r="L341" s="1" t="str">
        <f>IFERROR(INDEX([1]物品基础表!$A:$A,MATCH(K341,[1]物品基础表!$B:$B,0)),"")</f>
        <v>高级转生轮回礼包</v>
      </c>
      <c r="M341" s="32">
        <v>3</v>
      </c>
      <c r="N341" s="32">
        <v>200015</v>
      </c>
      <c r="O341" s="1" t="str">
        <f>IFERROR(INDEX([1]物品基础表!$A:$A,MATCH(N341,[1]物品基础表!$B:$B,0)),"")</f>
        <v>特戒碎片</v>
      </c>
      <c r="P341" s="32">
        <v>400</v>
      </c>
      <c r="R341" s="1" t="str">
        <f>IFERROR(INDEX([1]物品基础表!$A:$A,MATCH(Q341,[1]物品基础表!$B:$B,0)),"")</f>
        <v/>
      </c>
      <c r="U341" s="1" t="str">
        <f>IFERROR(INDEX([1]物品基础表!$A:$A,MATCH(T341,[1]物品基础表!$B:$B,0)),"")</f>
        <v/>
      </c>
      <c r="X341" s="1" t="str">
        <f>IFERROR(INDEX([1]物品基础表!$A:$A,MATCH(W341,[1]物品基础表!$B:$B,0)),"")</f>
        <v/>
      </c>
    </row>
    <row r="342" spans="1:24">
      <c r="A342" s="32" t="str">
        <f>INDEX([2]活动总表!$A$8:$A$429,MATCH(B342,[2]活动总表!$B$8:$B$429,0))</f>
        <v>龙抬头-新连冲</v>
      </c>
      <c r="B342" s="32">
        <v>903</v>
      </c>
      <c r="C342" s="32">
        <v>3</v>
      </c>
      <c r="D342" s="32">
        <v>3</v>
      </c>
      <c r="E342" s="32">
        <v>3</v>
      </c>
      <c r="F342" s="32">
        <v>2000</v>
      </c>
      <c r="G342" s="32" t="s">
        <v>721</v>
      </c>
      <c r="H342" s="32">
        <v>2</v>
      </c>
      <c r="I342" s="1" t="str">
        <f t="shared" si="18"/>
        <v>元宝</v>
      </c>
      <c r="J342" s="32">
        <v>1000</v>
      </c>
      <c r="K342" s="32">
        <v>204064</v>
      </c>
      <c r="L342" s="1" t="str">
        <f>IFERROR(INDEX([1]物品基础表!$A:$A,MATCH(K342,[1]物品基础表!$B:$B,0)),"")</f>
        <v>高级转生轮回礼包</v>
      </c>
      <c r="M342" s="32">
        <v>3</v>
      </c>
      <c r="N342" s="32">
        <v>200015</v>
      </c>
      <c r="O342" s="1" t="str">
        <f>IFERROR(INDEX([1]物品基础表!$A:$A,MATCH(N342,[1]物品基础表!$B:$B,0)),"")</f>
        <v>特戒碎片</v>
      </c>
      <c r="P342" s="32">
        <v>400</v>
      </c>
      <c r="R342" s="1" t="str">
        <f>IFERROR(INDEX([1]物品基础表!$A:$A,MATCH(Q342,[1]物品基础表!$B:$B,0)),"")</f>
        <v/>
      </c>
      <c r="U342" s="1" t="str">
        <f>IFERROR(INDEX([1]物品基础表!$A:$A,MATCH(T342,[1]物品基础表!$B:$B,0)),"")</f>
        <v/>
      </c>
      <c r="X342" s="1" t="str">
        <f>IFERROR(INDEX([1]物品基础表!$A:$A,MATCH(W342,[1]物品基础表!$B:$B,0)),"")</f>
        <v/>
      </c>
    </row>
    <row r="343" spans="1:24">
      <c r="A343" s="32" t="str">
        <f>INDEX([2]活动总表!$A$8:$A$429,MATCH(B343,[2]活动总表!$B$8:$B$429,0))</f>
        <v>龙抬头-新连冲</v>
      </c>
      <c r="B343" s="32">
        <v>903</v>
      </c>
      <c r="C343" s="32">
        <v>4</v>
      </c>
      <c r="D343" s="32">
        <v>1</v>
      </c>
      <c r="E343" s="32">
        <v>3</v>
      </c>
      <c r="F343" s="32">
        <v>2000</v>
      </c>
      <c r="G343" s="32" t="s">
        <v>721</v>
      </c>
      <c r="H343" s="32">
        <v>2</v>
      </c>
      <c r="I343" s="1" t="str">
        <f t="shared" si="18"/>
        <v>元宝</v>
      </c>
      <c r="J343" s="32">
        <v>3000</v>
      </c>
      <c r="K343" s="32">
        <v>204064</v>
      </c>
      <c r="L343" s="1" t="str">
        <f>IFERROR(INDEX([1]物品基础表!$A:$A,MATCH(K343,[1]物品基础表!$B:$B,0)),"")</f>
        <v>高级转生轮回礼包</v>
      </c>
      <c r="M343" s="32">
        <v>5</v>
      </c>
      <c r="N343" s="32">
        <v>220011</v>
      </c>
      <c r="O343" s="1" t="str">
        <f>IFERROR(INDEX([1]物品基础表!$A:$A,MATCH(N343,[1]物品基础表!$B:$B,0)),"")</f>
        <v>高级秘籍宝箱</v>
      </c>
      <c r="P343" s="32">
        <v>1</v>
      </c>
      <c r="R343" s="1" t="str">
        <f>IFERROR(INDEX([1]物品基础表!$A:$A,MATCH(Q343,[1]物品基础表!$B:$B,0)),"")</f>
        <v/>
      </c>
      <c r="U343" s="1" t="str">
        <f>IFERROR(INDEX([1]物品基础表!$A:$A,MATCH(T343,[1]物品基础表!$B:$B,0)),"")</f>
        <v/>
      </c>
      <c r="X343" s="1" t="str">
        <f>IFERROR(INDEX([1]物品基础表!$A:$A,MATCH(W343,[1]物品基础表!$B:$B,0)),"")</f>
        <v/>
      </c>
    </row>
    <row r="344" spans="1:24">
      <c r="A344" s="32" t="str">
        <f>INDEX([2]活动总表!$A$8:$A$429,MATCH(B344,[2]活动总表!$B$8:$B$429,0))</f>
        <v>龙抬头-新连冲</v>
      </c>
      <c r="B344" s="32">
        <v>904</v>
      </c>
      <c r="C344" s="32">
        <v>1</v>
      </c>
      <c r="D344" s="32">
        <v>3</v>
      </c>
      <c r="E344" s="32">
        <v>1</v>
      </c>
      <c r="F344" s="32">
        <v>5000</v>
      </c>
      <c r="H344" s="32">
        <v>204067</v>
      </c>
      <c r="I344" s="1" t="str">
        <f>IFERROR(INDEX([1]物品基础表!$A:$A,MATCH(H344,[1]物品基础表!$B:$B,0)),"")</f>
        <v>玉佩升级道具2</v>
      </c>
      <c r="J344" s="32">
        <v>1</v>
      </c>
      <c r="K344" s="32">
        <v>204064</v>
      </c>
      <c r="L344" s="1" t="str">
        <f>IFERROR(INDEX([1]物品基础表!$A:$A,MATCH(K344,[1]物品基础表!$B:$B,0)),"")</f>
        <v>高级转生轮回礼包</v>
      </c>
      <c r="M344" s="32">
        <v>4</v>
      </c>
      <c r="N344" s="32">
        <v>200208</v>
      </c>
      <c r="O344" s="1" t="str">
        <f>IFERROR(INDEX([1]物品基础表!$A:$A,MATCH(N344,[1]物品基础表!$B:$B,0)),"")</f>
        <v>烈焰印记低级升级材料</v>
      </c>
      <c r="P344" s="32">
        <v>400</v>
      </c>
      <c r="R344" s="1" t="str">
        <f>IFERROR(INDEX([1]物品基础表!$A:$A,MATCH(Q344,[1]物品基础表!$B:$B,0)),"")</f>
        <v/>
      </c>
      <c r="U344" s="1" t="str">
        <f>IFERROR(INDEX([1]物品基础表!$A:$A,MATCH(T344,[1]物品基础表!$B:$B,0)),"")</f>
        <v/>
      </c>
      <c r="X344" s="1" t="str">
        <f>IFERROR(INDEX([1]物品基础表!$A:$A,MATCH(W344,[1]物品基础表!$B:$B,0)),"")</f>
        <v/>
      </c>
    </row>
    <row r="345" spans="1:24">
      <c r="A345" s="32" t="str">
        <f>INDEX([2]活动总表!$A$8:$A$429,MATCH(B345,[2]活动总表!$B$8:$B$429,0))</f>
        <v>龙抬头-新连冲</v>
      </c>
      <c r="B345" s="32">
        <v>904</v>
      </c>
      <c r="C345" s="32">
        <v>2</v>
      </c>
      <c r="D345" s="32">
        <v>3</v>
      </c>
      <c r="E345" s="32">
        <v>2</v>
      </c>
      <c r="F345" s="32">
        <v>5000</v>
      </c>
      <c r="H345" s="32">
        <v>204067</v>
      </c>
      <c r="I345" s="1" t="str">
        <f>IFERROR(INDEX([1]物品基础表!$A:$A,MATCH(H345,[1]物品基础表!$B:$B,0)),"")</f>
        <v>玉佩升级道具2</v>
      </c>
      <c r="J345" s="32">
        <v>1</v>
      </c>
      <c r="K345" s="32">
        <v>204064</v>
      </c>
      <c r="L345" s="1" t="str">
        <f>IFERROR(INDEX([1]物品基础表!$A:$A,MATCH(K345,[1]物品基础表!$B:$B,0)),"")</f>
        <v>高级转生轮回礼包</v>
      </c>
      <c r="M345" s="32">
        <v>4</v>
      </c>
      <c r="N345" s="32">
        <v>200208</v>
      </c>
      <c r="O345" s="1" t="str">
        <f>IFERROR(INDEX([1]物品基础表!$A:$A,MATCH(N345,[1]物品基础表!$B:$B,0)),"")</f>
        <v>烈焰印记低级升级材料</v>
      </c>
      <c r="P345" s="32">
        <v>400</v>
      </c>
      <c r="R345" s="1" t="str">
        <f>IFERROR(INDEX([1]物品基础表!$A:$A,MATCH(Q345,[1]物品基础表!$B:$B,0)),"")</f>
        <v/>
      </c>
      <c r="U345" s="1" t="str">
        <f>IFERROR(INDEX([1]物品基础表!$A:$A,MATCH(T345,[1]物品基础表!$B:$B,0)),"")</f>
        <v/>
      </c>
      <c r="X345" s="1" t="str">
        <f>IFERROR(INDEX([1]物品基础表!$A:$A,MATCH(W345,[1]物品基础表!$B:$B,0)),"")</f>
        <v/>
      </c>
    </row>
    <row r="346" spans="1:24">
      <c r="A346" s="32" t="str">
        <f>INDEX([2]活动总表!$A$8:$A$429,MATCH(B346,[2]活动总表!$B$8:$B$429,0))</f>
        <v>龙抬头-新连冲</v>
      </c>
      <c r="B346" s="32">
        <v>904</v>
      </c>
      <c r="C346" s="32">
        <v>3</v>
      </c>
      <c r="D346" s="32">
        <v>3</v>
      </c>
      <c r="E346" s="32">
        <v>3</v>
      </c>
      <c r="F346" s="32">
        <v>5000</v>
      </c>
      <c r="H346" s="32">
        <v>204067</v>
      </c>
      <c r="I346" s="1" t="str">
        <f>IFERROR(INDEX([1]物品基础表!$A:$A,MATCH(H346,[1]物品基础表!$B:$B,0)),"")</f>
        <v>玉佩升级道具2</v>
      </c>
      <c r="J346" s="32">
        <v>1</v>
      </c>
      <c r="K346" s="32">
        <v>204064</v>
      </c>
      <c r="L346" s="1" t="str">
        <f>IFERROR(INDEX([1]物品基础表!$A:$A,MATCH(K346,[1]物品基础表!$B:$B,0)),"")</f>
        <v>高级转生轮回礼包</v>
      </c>
      <c r="M346" s="32">
        <v>4</v>
      </c>
      <c r="N346" s="32">
        <v>200208</v>
      </c>
      <c r="O346" s="1" t="str">
        <f>IFERROR(INDEX([1]物品基础表!$A:$A,MATCH(N346,[1]物品基础表!$B:$B,0)),"")</f>
        <v>烈焰印记低级升级材料</v>
      </c>
      <c r="P346" s="32">
        <v>400</v>
      </c>
      <c r="R346" s="1" t="str">
        <f>IFERROR(INDEX([1]物品基础表!$A:$A,MATCH(Q346,[1]物品基础表!$B:$B,0)),"")</f>
        <v/>
      </c>
      <c r="U346" s="1" t="str">
        <f>IFERROR(INDEX([1]物品基础表!$A:$A,MATCH(T346,[1]物品基础表!$B:$B,0)),"")</f>
        <v/>
      </c>
      <c r="X346" s="1" t="str">
        <f>IFERROR(INDEX([1]物品基础表!$A:$A,MATCH(W346,[1]物品基础表!$B:$B,0)),"")</f>
        <v/>
      </c>
    </row>
    <row r="347" spans="1:24">
      <c r="A347" s="32" t="str">
        <f>INDEX([2]活动总表!$A$8:$A$429,MATCH(B347,[2]活动总表!$B$8:$B$429,0))</f>
        <v>龙抬头-新连冲</v>
      </c>
      <c r="B347" s="32">
        <v>904</v>
      </c>
      <c r="C347" s="32">
        <v>4</v>
      </c>
      <c r="D347" s="32">
        <v>1</v>
      </c>
      <c r="E347" s="32">
        <v>3</v>
      </c>
      <c r="F347" s="32">
        <v>5000</v>
      </c>
      <c r="H347" s="32">
        <v>200997</v>
      </c>
      <c r="I347" s="1" t="str">
        <f>IFERROR(INDEX([1]物品基础表!$A:$A,MATCH(H347,[1]物品基础表!$B:$B,0)),"")</f>
        <v>星☆传世宝箱</v>
      </c>
      <c r="J347" s="32">
        <v>1</v>
      </c>
      <c r="K347" s="32">
        <v>500011</v>
      </c>
      <c r="L347" s="1" t="str">
        <f>IFERROR(INDEX([1]物品基础表!$A:$A,MATCH(K347,[1]物品基础表!$B:$B,0)),"")</f>
        <v>战纹碎片（小）</v>
      </c>
      <c r="M347" s="32">
        <v>2000</v>
      </c>
      <c r="N347" s="32">
        <v>204068</v>
      </c>
      <c r="O347" s="1" t="str">
        <f>IFERROR(INDEX([1]物品基础表!$A:$A,MATCH(N347,[1]物品基础表!$B:$B,0)),"")</f>
        <v>玉佩升级道具3</v>
      </c>
      <c r="P347" s="32">
        <v>1</v>
      </c>
      <c r="R347" s="1" t="str">
        <f>IFERROR(INDEX([1]物品基础表!$A:$A,MATCH(Q347,[1]物品基础表!$B:$B,0)),"")</f>
        <v/>
      </c>
      <c r="U347" s="1" t="str">
        <f>IFERROR(INDEX([1]物品基础表!$A:$A,MATCH(T347,[1]物品基础表!$B:$B,0)),"")</f>
        <v/>
      </c>
      <c r="X347" s="1" t="str">
        <f>IFERROR(INDEX([1]物品基础表!$A:$A,MATCH(W347,[1]物品基础表!$B:$B,0)),"")</f>
        <v/>
      </c>
    </row>
    <row r="348" spans="1:24">
      <c r="A348" s="32" t="str">
        <f>INDEX([2]活动总表!$A$8:$A$429,MATCH(B348,[2]活动总表!$B$8:$B$429,0))</f>
        <v>龙抬头-新连冲</v>
      </c>
      <c r="B348" s="32">
        <v>905</v>
      </c>
      <c r="C348" s="32">
        <v>1</v>
      </c>
      <c r="D348" s="32">
        <v>3</v>
      </c>
      <c r="E348" s="32">
        <v>1</v>
      </c>
      <c r="F348" s="32">
        <v>20000</v>
      </c>
      <c r="H348" s="32">
        <v>200997</v>
      </c>
      <c r="I348" s="1" t="str">
        <f>IFERROR(INDEX([1]物品基础表!$A:$A,MATCH(H348,[1]物品基础表!$B:$B,0)),"")</f>
        <v>星☆传世宝箱</v>
      </c>
      <c r="J348" s="32">
        <v>1</v>
      </c>
      <c r="K348" s="32">
        <v>500011</v>
      </c>
      <c r="L348" s="1" t="str">
        <f>IFERROR(INDEX([1]物品基础表!$A:$A,MATCH(K348,[1]物品基础表!$B:$B,0)),"")</f>
        <v>战纹碎片（小）</v>
      </c>
      <c r="M348" s="32">
        <v>2000</v>
      </c>
      <c r="N348" s="32">
        <v>200329</v>
      </c>
      <c r="O348" s="1" t="str">
        <f>IFERROR(INDEX([1]物品基础表!$A:$A,MATCH(N348,[1]物品基础表!$B:$B,0)),"")</f>
        <v>羽翼飞升丹</v>
      </c>
      <c r="P348" s="32">
        <v>1</v>
      </c>
      <c r="R348" s="1" t="str">
        <f>IFERROR(INDEX([1]物品基础表!$A:$A,MATCH(Q348,[1]物品基础表!$B:$B,0)),"")</f>
        <v/>
      </c>
      <c r="U348" s="1" t="str">
        <f>IFERROR(INDEX([1]物品基础表!$A:$A,MATCH(T348,[1]物品基础表!$B:$B,0)),"")</f>
        <v/>
      </c>
      <c r="X348" s="1" t="str">
        <f>IFERROR(INDEX([1]物品基础表!$A:$A,MATCH(W348,[1]物品基础表!$B:$B,0)),"")</f>
        <v/>
      </c>
    </row>
    <row r="349" spans="1:24">
      <c r="A349" s="32" t="str">
        <f>INDEX([2]活动总表!$A$8:$A$429,MATCH(B349,[2]活动总表!$B$8:$B$429,0))</f>
        <v>龙抬头-新连冲</v>
      </c>
      <c r="B349" s="32">
        <v>905</v>
      </c>
      <c r="C349" s="32">
        <v>2</v>
      </c>
      <c r="D349" s="32">
        <v>3</v>
      </c>
      <c r="E349" s="32">
        <v>2</v>
      </c>
      <c r="F349" s="32">
        <v>20000</v>
      </c>
      <c r="H349" s="32">
        <v>200997</v>
      </c>
      <c r="I349" s="1" t="str">
        <f>IFERROR(INDEX([1]物品基础表!$A:$A,MATCH(H349,[1]物品基础表!$B:$B,0)),"")</f>
        <v>星☆传世宝箱</v>
      </c>
      <c r="J349" s="32">
        <v>1</v>
      </c>
      <c r="K349" s="32">
        <v>500011</v>
      </c>
      <c r="L349" s="1" t="str">
        <f>IFERROR(INDEX([1]物品基础表!$A:$A,MATCH(K349,[1]物品基础表!$B:$B,0)),"")</f>
        <v>战纹碎片（小）</v>
      </c>
      <c r="M349" s="32">
        <v>2000</v>
      </c>
      <c r="N349" s="32">
        <v>200329</v>
      </c>
      <c r="O349" s="1" t="str">
        <f>IFERROR(INDEX([1]物品基础表!$A:$A,MATCH(N349,[1]物品基础表!$B:$B,0)),"")</f>
        <v>羽翼飞升丹</v>
      </c>
      <c r="P349" s="32">
        <v>1</v>
      </c>
      <c r="R349" s="1" t="str">
        <f>IFERROR(INDEX([1]物品基础表!$A:$A,MATCH(Q349,[1]物品基础表!$B:$B,0)),"")</f>
        <v/>
      </c>
      <c r="U349" s="1" t="str">
        <f>IFERROR(INDEX([1]物品基础表!$A:$A,MATCH(T349,[1]物品基础表!$B:$B,0)),"")</f>
        <v/>
      </c>
      <c r="X349" s="1" t="str">
        <f>IFERROR(INDEX([1]物品基础表!$A:$A,MATCH(W349,[1]物品基础表!$B:$B,0)),"")</f>
        <v/>
      </c>
    </row>
    <row r="350" spans="1:24">
      <c r="A350" s="32" t="str">
        <f>INDEX([2]活动总表!$A$8:$A$429,MATCH(B350,[2]活动总表!$B$8:$B$429,0))</f>
        <v>龙抬头-新连冲</v>
      </c>
      <c r="B350" s="32">
        <v>905</v>
      </c>
      <c r="C350" s="32">
        <v>3</v>
      </c>
      <c r="D350" s="32">
        <v>3</v>
      </c>
      <c r="E350" s="32">
        <v>3</v>
      </c>
      <c r="F350" s="32">
        <v>20000</v>
      </c>
      <c r="H350" s="32">
        <v>200997</v>
      </c>
      <c r="I350" s="1" t="str">
        <f>IFERROR(INDEX([1]物品基础表!$A:$A,MATCH(H350,[1]物品基础表!$B:$B,0)),"")</f>
        <v>星☆传世宝箱</v>
      </c>
      <c r="J350" s="32">
        <v>1</v>
      </c>
      <c r="K350" s="32">
        <v>500011</v>
      </c>
      <c r="L350" s="1" t="str">
        <f>IFERROR(INDEX([1]物品基础表!$A:$A,MATCH(K350,[1]物品基础表!$B:$B,0)),"")</f>
        <v>战纹碎片（小）</v>
      </c>
      <c r="M350" s="32">
        <v>2000</v>
      </c>
      <c r="N350" s="32">
        <v>200329</v>
      </c>
      <c r="O350" s="1" t="str">
        <f>IFERROR(INDEX([1]物品基础表!$A:$A,MATCH(N350,[1]物品基础表!$B:$B,0)),"")</f>
        <v>羽翼飞升丹</v>
      </c>
      <c r="P350" s="32">
        <v>1</v>
      </c>
      <c r="R350" s="1" t="str">
        <f>IFERROR(INDEX([1]物品基础表!$A:$A,MATCH(Q350,[1]物品基础表!$B:$B,0)),"")</f>
        <v/>
      </c>
      <c r="U350" s="1" t="str">
        <f>IFERROR(INDEX([1]物品基础表!$A:$A,MATCH(T350,[1]物品基础表!$B:$B,0)),"")</f>
        <v/>
      </c>
      <c r="X350" s="1" t="str">
        <f>IFERROR(INDEX([1]物品基础表!$A:$A,MATCH(W350,[1]物品基础表!$B:$B,0)),"")</f>
        <v/>
      </c>
    </row>
    <row r="351" spans="1:24">
      <c r="A351" s="32" t="str">
        <f>INDEX([2]活动总表!$A$8:$A$429,MATCH(B351,[2]活动总表!$B$8:$B$429,0))</f>
        <v>龙抬头-新连冲</v>
      </c>
      <c r="B351" s="32">
        <v>905</v>
      </c>
      <c r="C351" s="32">
        <v>4</v>
      </c>
      <c r="D351" s="32">
        <v>1</v>
      </c>
      <c r="E351" s="32">
        <v>3</v>
      </c>
      <c r="F351" s="32">
        <v>20000</v>
      </c>
      <c r="H351" s="32">
        <v>204029</v>
      </c>
      <c r="I351" s="1" t="str">
        <f>IFERROR(INDEX([1]物品基础表!$A:$A,MATCH(H351,[1]物品基础表!$B:$B,0)),"")</f>
        <v>魔魂礼包</v>
      </c>
      <c r="J351" s="32">
        <v>1</v>
      </c>
      <c r="K351" s="32">
        <v>202009</v>
      </c>
      <c r="L351" s="1" t="str">
        <f>IFERROR(INDEX([1]物品基础表!$A:$A,MATCH(K351,[1]物品基础表!$B:$B,0)),"")</f>
        <v>神烈焰戒指</v>
      </c>
      <c r="M351" s="32">
        <v>1</v>
      </c>
      <c r="N351" s="32">
        <v>204068</v>
      </c>
      <c r="O351" s="1" t="str">
        <f>IFERROR(INDEX([1]物品基础表!$A:$A,MATCH(N351,[1]物品基础表!$B:$B,0)),"")</f>
        <v>玉佩升级道具3</v>
      </c>
      <c r="P351" s="32">
        <v>1</v>
      </c>
      <c r="R351" s="1" t="str">
        <f>IFERROR(INDEX([1]物品基础表!$A:$A,MATCH(Q351,[1]物品基础表!$B:$B,0)),"")</f>
        <v/>
      </c>
      <c r="U351" s="1" t="str">
        <f>IFERROR(INDEX([1]物品基础表!$A:$A,MATCH(T351,[1]物品基础表!$B:$B,0)),"")</f>
        <v/>
      </c>
      <c r="X351" s="1" t="str">
        <f>IFERROR(INDEX([1]物品基础表!$A:$A,MATCH(W351,[1]物品基础表!$B:$B,0)),"")</f>
        <v/>
      </c>
    </row>
    <row r="352" spans="1:24">
      <c r="A352" s="32" t="str">
        <f>INDEX([2]活动总表!$A$8:$A$429,MATCH(B352,[2]活动总表!$B$8:$B$429,0))</f>
        <v>龙抬头-新连冲（15-60天）</v>
      </c>
      <c r="B352" s="32">
        <v>924</v>
      </c>
      <c r="C352" s="32">
        <v>1</v>
      </c>
      <c r="D352" s="32">
        <v>3</v>
      </c>
      <c r="E352" s="32">
        <v>1</v>
      </c>
      <c r="F352" s="32">
        <v>2000</v>
      </c>
      <c r="G352" s="32" t="s">
        <v>722</v>
      </c>
      <c r="H352" s="32">
        <v>2</v>
      </c>
      <c r="I352" s="1" t="str">
        <f t="shared" ref="I352:I355" si="19">IF(H352=2,"元宝","神兵经验")</f>
        <v>元宝</v>
      </c>
      <c r="J352" s="32">
        <v>1000</v>
      </c>
      <c r="K352" s="32">
        <v>204064</v>
      </c>
      <c r="L352" s="1" t="str">
        <f>IFERROR(INDEX([1]物品基础表!$A:$A,MATCH(K352,[1]物品基础表!$B:$B,0)),"")</f>
        <v>高级转生轮回礼包</v>
      </c>
      <c r="M352" s="32">
        <v>2</v>
      </c>
      <c r="N352" s="32">
        <v>200015</v>
      </c>
      <c r="O352" s="1" t="str">
        <f>IFERROR(INDEX([1]物品基础表!$A:$A,MATCH(N352,[1]物品基础表!$B:$B,0)),"")</f>
        <v>特戒碎片</v>
      </c>
      <c r="P352" s="32">
        <v>300</v>
      </c>
      <c r="R352" s="1" t="str">
        <f>IFERROR(INDEX([1]物品基础表!$A:$A,MATCH(Q352,[1]物品基础表!$B:$B,0)),"")</f>
        <v/>
      </c>
      <c r="U352" s="1" t="str">
        <f>IFERROR(INDEX([1]物品基础表!$A:$A,MATCH(T352,[1]物品基础表!$B:$B,0)),"")</f>
        <v/>
      </c>
      <c r="X352" s="1" t="str">
        <f>IFERROR(INDEX([1]物品基础表!$A:$A,MATCH(W352,[1]物品基础表!$B:$B,0)),"")</f>
        <v/>
      </c>
    </row>
    <row r="353" spans="1:24">
      <c r="A353" s="32" t="str">
        <f>INDEX([2]活动总表!$A$8:$A$429,MATCH(B353,[2]活动总表!$B$8:$B$429,0))</f>
        <v>龙抬头-新连冲（15-60天）</v>
      </c>
      <c r="B353" s="32">
        <v>924</v>
      </c>
      <c r="C353" s="32">
        <v>2</v>
      </c>
      <c r="D353" s="32">
        <v>3</v>
      </c>
      <c r="E353" s="32">
        <v>2</v>
      </c>
      <c r="F353" s="32">
        <v>2000</v>
      </c>
      <c r="G353" s="32" t="s">
        <v>722</v>
      </c>
      <c r="H353" s="32">
        <v>2</v>
      </c>
      <c r="I353" s="1" t="str">
        <f t="shared" si="19"/>
        <v>元宝</v>
      </c>
      <c r="J353" s="32">
        <v>1000</v>
      </c>
      <c r="K353" s="32">
        <v>204064</v>
      </c>
      <c r="L353" s="1" t="str">
        <f>IFERROR(INDEX([1]物品基础表!$A:$A,MATCH(K353,[1]物品基础表!$B:$B,0)),"")</f>
        <v>高级转生轮回礼包</v>
      </c>
      <c r="M353" s="32">
        <v>2</v>
      </c>
      <c r="N353" s="32">
        <v>200015</v>
      </c>
      <c r="O353" s="1" t="str">
        <f>IFERROR(INDEX([1]物品基础表!$A:$A,MATCH(N353,[1]物品基础表!$B:$B,0)),"")</f>
        <v>特戒碎片</v>
      </c>
      <c r="P353" s="32">
        <v>300</v>
      </c>
      <c r="R353" s="1" t="str">
        <f>IFERROR(INDEX([1]物品基础表!$A:$A,MATCH(Q353,[1]物品基础表!$B:$B,0)),"")</f>
        <v/>
      </c>
      <c r="U353" s="1" t="str">
        <f>IFERROR(INDEX([1]物品基础表!$A:$A,MATCH(T353,[1]物品基础表!$B:$B,0)),"")</f>
        <v/>
      </c>
      <c r="X353" s="1" t="str">
        <f>IFERROR(INDEX([1]物品基础表!$A:$A,MATCH(W353,[1]物品基础表!$B:$B,0)),"")</f>
        <v/>
      </c>
    </row>
    <row r="354" spans="1:24">
      <c r="A354" s="32" t="str">
        <f>INDEX([2]活动总表!$A$8:$A$429,MATCH(B354,[2]活动总表!$B$8:$B$429,0))</f>
        <v>龙抬头-新连冲（15-60天）</v>
      </c>
      <c r="B354" s="32">
        <v>924</v>
      </c>
      <c r="C354" s="32">
        <v>3</v>
      </c>
      <c r="D354" s="32">
        <v>3</v>
      </c>
      <c r="E354" s="32">
        <v>3</v>
      </c>
      <c r="F354" s="32">
        <v>2000</v>
      </c>
      <c r="G354" s="32" t="s">
        <v>722</v>
      </c>
      <c r="H354" s="32">
        <v>2</v>
      </c>
      <c r="I354" s="1" t="str">
        <f t="shared" si="19"/>
        <v>元宝</v>
      </c>
      <c r="J354" s="32">
        <v>1000</v>
      </c>
      <c r="K354" s="32">
        <v>204064</v>
      </c>
      <c r="L354" s="1" t="str">
        <f>IFERROR(INDEX([1]物品基础表!$A:$A,MATCH(K354,[1]物品基础表!$B:$B,0)),"")</f>
        <v>高级转生轮回礼包</v>
      </c>
      <c r="M354" s="32">
        <v>2</v>
      </c>
      <c r="N354" s="32">
        <v>200015</v>
      </c>
      <c r="O354" s="1" t="str">
        <f>IFERROR(INDEX([1]物品基础表!$A:$A,MATCH(N354,[1]物品基础表!$B:$B,0)),"")</f>
        <v>特戒碎片</v>
      </c>
      <c r="P354" s="32">
        <v>300</v>
      </c>
      <c r="R354" s="1" t="str">
        <f>IFERROR(INDEX([1]物品基础表!$A:$A,MATCH(Q354,[1]物品基础表!$B:$B,0)),"")</f>
        <v/>
      </c>
      <c r="U354" s="1" t="str">
        <f>IFERROR(INDEX([1]物品基础表!$A:$A,MATCH(T354,[1]物品基础表!$B:$B,0)),"")</f>
        <v/>
      </c>
      <c r="X354" s="1" t="str">
        <f>IFERROR(INDEX([1]物品基础表!$A:$A,MATCH(W354,[1]物品基础表!$B:$B,0)),"")</f>
        <v/>
      </c>
    </row>
    <row r="355" spans="1:24">
      <c r="A355" s="32" t="str">
        <f>INDEX([2]活动总表!$A$8:$A$429,MATCH(B355,[2]活动总表!$B$8:$B$429,0))</f>
        <v>龙抬头-新连冲（15-60天）</v>
      </c>
      <c r="B355" s="32">
        <v>924</v>
      </c>
      <c r="C355" s="32">
        <v>4</v>
      </c>
      <c r="D355" s="32">
        <v>1</v>
      </c>
      <c r="E355" s="32">
        <v>3</v>
      </c>
      <c r="F355" s="32">
        <v>2000</v>
      </c>
      <c r="G355" s="32" t="s">
        <v>722</v>
      </c>
      <c r="H355" s="32">
        <v>2</v>
      </c>
      <c r="I355" s="1" t="str">
        <f t="shared" si="19"/>
        <v>元宝</v>
      </c>
      <c r="J355" s="32">
        <v>3000</v>
      </c>
      <c r="K355" s="32">
        <v>204064</v>
      </c>
      <c r="L355" s="1" t="str">
        <f>IFERROR(INDEX([1]物品基础表!$A:$A,MATCH(K355,[1]物品基础表!$B:$B,0)),"")</f>
        <v>高级转生轮回礼包</v>
      </c>
      <c r="M355" s="32">
        <v>5</v>
      </c>
      <c r="N355" s="32">
        <v>200980</v>
      </c>
      <c r="O355" s="1" t="str">
        <f>IFERROR(INDEX([1]物品基础表!$A:$A,MATCH(N355,[1]物品基础表!$B:$B,0)),"")</f>
        <v>4-6转神装宝箱</v>
      </c>
      <c r="P355" s="32">
        <v>1</v>
      </c>
      <c r="R355" s="1" t="str">
        <f>IFERROR(INDEX([1]物品基础表!$A:$A,MATCH(Q355,[1]物品基础表!$B:$B,0)),"")</f>
        <v/>
      </c>
      <c r="U355" s="1" t="str">
        <f>IFERROR(INDEX([1]物品基础表!$A:$A,MATCH(T355,[1]物品基础表!$B:$B,0)),"")</f>
        <v/>
      </c>
      <c r="X355" s="1" t="str">
        <f>IFERROR(INDEX([1]物品基础表!$A:$A,MATCH(W355,[1]物品基础表!$B:$B,0)),"")</f>
        <v/>
      </c>
    </row>
    <row r="356" spans="1:24">
      <c r="A356" s="32" t="str">
        <f>INDEX([2]活动总表!$A$8:$A$429,MATCH(B356,[2]活动总表!$B$8:$B$429,0))</f>
        <v>龙抬头-新连冲（15-60天）</v>
      </c>
      <c r="B356" s="32">
        <v>925</v>
      </c>
      <c r="C356" s="32">
        <v>1</v>
      </c>
      <c r="D356" s="32">
        <v>3</v>
      </c>
      <c r="E356" s="32">
        <v>1</v>
      </c>
      <c r="F356" s="32">
        <v>5000</v>
      </c>
      <c r="H356" s="32">
        <v>204067</v>
      </c>
      <c r="I356" s="1" t="str">
        <f>IFERROR(INDEX([1]物品基础表!$A:$A,MATCH(H356,[1]物品基础表!$B:$B,0)),"")</f>
        <v>玉佩升级道具2</v>
      </c>
      <c r="J356" s="32">
        <v>1</v>
      </c>
      <c r="K356" s="32">
        <v>204064</v>
      </c>
      <c r="L356" s="1" t="str">
        <f>IFERROR(INDEX([1]物品基础表!$A:$A,MATCH(K356,[1]物品基础表!$B:$B,0)),"")</f>
        <v>高级转生轮回礼包</v>
      </c>
      <c r="M356" s="32">
        <v>3</v>
      </c>
      <c r="N356" s="32">
        <v>200208</v>
      </c>
      <c r="O356" s="1" t="str">
        <f>IFERROR(INDEX([1]物品基础表!$A:$A,MATCH(N356,[1]物品基础表!$B:$B,0)),"")</f>
        <v>烈焰印记低级升级材料</v>
      </c>
      <c r="P356" s="32">
        <v>300</v>
      </c>
      <c r="R356" s="1" t="str">
        <f>IFERROR(INDEX([1]物品基础表!$A:$A,MATCH(Q356,[1]物品基础表!$B:$B,0)),"")</f>
        <v/>
      </c>
      <c r="U356" s="1" t="str">
        <f>IFERROR(INDEX([1]物品基础表!$A:$A,MATCH(T356,[1]物品基础表!$B:$B,0)),"")</f>
        <v/>
      </c>
      <c r="X356" s="1" t="str">
        <f>IFERROR(INDEX([1]物品基础表!$A:$A,MATCH(W356,[1]物品基础表!$B:$B,0)),"")</f>
        <v/>
      </c>
    </row>
    <row r="357" spans="1:24">
      <c r="A357" s="32" t="str">
        <f>INDEX([2]活动总表!$A$8:$A$429,MATCH(B357,[2]活动总表!$B$8:$B$429,0))</f>
        <v>龙抬头-新连冲（15-60天）</v>
      </c>
      <c r="B357" s="32">
        <v>925</v>
      </c>
      <c r="C357" s="32">
        <v>2</v>
      </c>
      <c r="D357" s="32">
        <v>3</v>
      </c>
      <c r="E357" s="32">
        <v>2</v>
      </c>
      <c r="F357" s="32">
        <v>5000</v>
      </c>
      <c r="H357" s="32">
        <v>204067</v>
      </c>
      <c r="I357" s="1" t="str">
        <f>IFERROR(INDEX([1]物品基础表!$A:$A,MATCH(H357,[1]物品基础表!$B:$B,0)),"")</f>
        <v>玉佩升级道具2</v>
      </c>
      <c r="J357" s="32">
        <v>1</v>
      </c>
      <c r="K357" s="32">
        <v>204064</v>
      </c>
      <c r="L357" s="1" t="str">
        <f>IFERROR(INDEX([1]物品基础表!$A:$A,MATCH(K357,[1]物品基础表!$B:$B,0)),"")</f>
        <v>高级转生轮回礼包</v>
      </c>
      <c r="M357" s="32">
        <v>3</v>
      </c>
      <c r="N357" s="32">
        <v>200208</v>
      </c>
      <c r="O357" s="1" t="str">
        <f>IFERROR(INDEX([1]物品基础表!$A:$A,MATCH(N357,[1]物品基础表!$B:$B,0)),"")</f>
        <v>烈焰印记低级升级材料</v>
      </c>
      <c r="P357" s="32">
        <v>300</v>
      </c>
      <c r="R357" s="1" t="str">
        <f>IFERROR(INDEX([1]物品基础表!$A:$A,MATCH(Q357,[1]物品基础表!$B:$B,0)),"")</f>
        <v/>
      </c>
      <c r="U357" s="1" t="str">
        <f>IFERROR(INDEX([1]物品基础表!$A:$A,MATCH(T357,[1]物品基础表!$B:$B,0)),"")</f>
        <v/>
      </c>
      <c r="X357" s="1" t="str">
        <f>IFERROR(INDEX([1]物品基础表!$A:$A,MATCH(W357,[1]物品基础表!$B:$B,0)),"")</f>
        <v/>
      </c>
    </row>
    <row r="358" spans="1:24">
      <c r="A358" s="32" t="str">
        <f>INDEX([2]活动总表!$A$8:$A$429,MATCH(B358,[2]活动总表!$B$8:$B$429,0))</f>
        <v>龙抬头-新连冲（15-60天）</v>
      </c>
      <c r="B358" s="32">
        <v>925</v>
      </c>
      <c r="C358" s="32">
        <v>3</v>
      </c>
      <c r="D358" s="32">
        <v>3</v>
      </c>
      <c r="E358" s="32">
        <v>3</v>
      </c>
      <c r="F358" s="32">
        <v>5000</v>
      </c>
      <c r="H358" s="32">
        <v>204067</v>
      </c>
      <c r="I358" s="1" t="str">
        <f>IFERROR(INDEX([1]物品基础表!$A:$A,MATCH(H358,[1]物品基础表!$B:$B,0)),"")</f>
        <v>玉佩升级道具2</v>
      </c>
      <c r="J358" s="32">
        <v>1</v>
      </c>
      <c r="K358" s="32">
        <v>204064</v>
      </c>
      <c r="L358" s="1" t="str">
        <f>IFERROR(INDEX([1]物品基础表!$A:$A,MATCH(K358,[1]物品基础表!$B:$B,0)),"")</f>
        <v>高级转生轮回礼包</v>
      </c>
      <c r="M358" s="32">
        <v>3</v>
      </c>
      <c r="N358" s="32">
        <v>200208</v>
      </c>
      <c r="O358" s="1" t="str">
        <f>IFERROR(INDEX([1]物品基础表!$A:$A,MATCH(N358,[1]物品基础表!$B:$B,0)),"")</f>
        <v>烈焰印记低级升级材料</v>
      </c>
      <c r="P358" s="32">
        <v>300</v>
      </c>
      <c r="R358" s="1" t="str">
        <f>IFERROR(INDEX([1]物品基础表!$A:$A,MATCH(Q358,[1]物品基础表!$B:$B,0)),"")</f>
        <v/>
      </c>
      <c r="U358" s="1" t="str">
        <f>IFERROR(INDEX([1]物品基础表!$A:$A,MATCH(T358,[1]物品基础表!$B:$B,0)),"")</f>
        <v/>
      </c>
      <c r="X358" s="1" t="str">
        <f>IFERROR(INDEX([1]物品基础表!$A:$A,MATCH(W358,[1]物品基础表!$B:$B,0)),"")</f>
        <v/>
      </c>
    </row>
    <row r="359" spans="1:24">
      <c r="A359" s="32" t="str">
        <f>INDEX([2]活动总表!$A$8:$A$429,MATCH(B359,[2]活动总表!$B$8:$B$429,0))</f>
        <v>龙抬头-新连冲（15-60天）</v>
      </c>
      <c r="B359" s="32">
        <v>925</v>
      </c>
      <c r="C359" s="32">
        <v>4</v>
      </c>
      <c r="D359" s="32">
        <v>1</v>
      </c>
      <c r="E359" s="32">
        <v>3</v>
      </c>
      <c r="F359" s="32">
        <v>5000</v>
      </c>
      <c r="H359" s="32">
        <v>200997</v>
      </c>
      <c r="I359" s="1" t="str">
        <f>IFERROR(INDEX([1]物品基础表!$A:$A,MATCH(H359,[1]物品基础表!$B:$B,0)),"")</f>
        <v>星☆传世宝箱</v>
      </c>
      <c r="J359" s="32">
        <v>1</v>
      </c>
      <c r="K359" s="32">
        <v>204071</v>
      </c>
      <c r="L359" s="1" t="str">
        <f>IFERROR(INDEX([1]物品基础表!$A:$A,MATCH(K359,[1]物品基础表!$B:$B,0)),"")</f>
        <v>玉佩温养道具3</v>
      </c>
      <c r="M359" s="32">
        <v>1</v>
      </c>
      <c r="N359" s="32">
        <v>204068</v>
      </c>
      <c r="O359" s="1" t="str">
        <f>IFERROR(INDEX([1]物品基础表!$A:$A,MATCH(N359,[1]物品基础表!$B:$B,0)),"")</f>
        <v>玉佩升级道具3</v>
      </c>
      <c r="P359" s="32">
        <v>1</v>
      </c>
      <c r="R359" s="1" t="str">
        <f>IFERROR(INDEX([1]物品基础表!$A:$A,MATCH(Q359,[1]物品基础表!$B:$B,0)),"")</f>
        <v/>
      </c>
      <c r="U359" s="1" t="str">
        <f>IFERROR(INDEX([1]物品基础表!$A:$A,MATCH(T359,[1]物品基础表!$B:$B,0)),"")</f>
        <v/>
      </c>
      <c r="X359" s="1" t="str">
        <f>IFERROR(INDEX([1]物品基础表!$A:$A,MATCH(W359,[1]物品基础表!$B:$B,0)),"")</f>
        <v/>
      </c>
    </row>
    <row r="360" spans="1:24">
      <c r="A360" s="32" t="str">
        <f>INDEX([2]活动总表!$A$8:$A$429,MATCH(B360,[2]活动总表!$B$8:$B$429,0))</f>
        <v>龙抬头-新连冲（15-60天）</v>
      </c>
      <c r="B360" s="32">
        <v>926</v>
      </c>
      <c r="C360" s="32">
        <v>1</v>
      </c>
      <c r="D360" s="32">
        <v>3</v>
      </c>
      <c r="E360" s="32">
        <v>1</v>
      </c>
      <c r="F360" s="32">
        <v>20000</v>
      </c>
      <c r="H360" s="32">
        <v>200997</v>
      </c>
      <c r="I360" s="1" t="str">
        <f>IFERROR(INDEX([1]物品基础表!$A:$A,MATCH(H360,[1]物品基础表!$B:$B,0)),"")</f>
        <v>星☆传世宝箱</v>
      </c>
      <c r="J360" s="32">
        <v>1</v>
      </c>
      <c r="K360" s="32">
        <v>204065</v>
      </c>
      <c r="L360" s="1" t="str">
        <f>IFERROR(INDEX([1]物品基础表!$A:$A,MATCH(K360,[1]物品基础表!$B:$B,0)),"")</f>
        <v>超级转生轮回礼包</v>
      </c>
      <c r="M360" s="32">
        <v>1</v>
      </c>
      <c r="N360" s="32">
        <v>200329</v>
      </c>
      <c r="O360" s="1" t="str">
        <f>IFERROR(INDEX([1]物品基础表!$A:$A,MATCH(N360,[1]物品基础表!$B:$B,0)),"")</f>
        <v>羽翼飞升丹</v>
      </c>
      <c r="P360" s="32">
        <v>1</v>
      </c>
      <c r="R360" s="1" t="str">
        <f>IFERROR(INDEX([1]物品基础表!$A:$A,MATCH(Q360,[1]物品基础表!$B:$B,0)),"")</f>
        <v/>
      </c>
      <c r="U360" s="1" t="str">
        <f>IFERROR(INDEX([1]物品基础表!$A:$A,MATCH(T360,[1]物品基础表!$B:$B,0)),"")</f>
        <v/>
      </c>
      <c r="X360" s="1" t="str">
        <f>IFERROR(INDEX([1]物品基础表!$A:$A,MATCH(W360,[1]物品基础表!$B:$B,0)),"")</f>
        <v/>
      </c>
    </row>
    <row r="361" spans="1:24">
      <c r="A361" s="32" t="str">
        <f>INDEX([2]活动总表!$A$8:$A$429,MATCH(B361,[2]活动总表!$B$8:$B$429,0))</f>
        <v>龙抬头-新连冲（15-60天）</v>
      </c>
      <c r="B361" s="32">
        <v>926</v>
      </c>
      <c r="C361" s="32">
        <v>2</v>
      </c>
      <c r="D361" s="32">
        <v>3</v>
      </c>
      <c r="E361" s="32">
        <v>2</v>
      </c>
      <c r="F361" s="32">
        <v>20000</v>
      </c>
      <c r="H361" s="32">
        <v>200997</v>
      </c>
      <c r="I361" s="1" t="str">
        <f>IFERROR(INDEX([1]物品基础表!$A:$A,MATCH(H361,[1]物品基础表!$B:$B,0)),"")</f>
        <v>星☆传世宝箱</v>
      </c>
      <c r="J361" s="32">
        <v>1</v>
      </c>
      <c r="K361" s="32">
        <v>204065</v>
      </c>
      <c r="L361" s="1" t="str">
        <f>IFERROR(INDEX([1]物品基础表!$A:$A,MATCH(K361,[1]物品基础表!$B:$B,0)),"")</f>
        <v>超级转生轮回礼包</v>
      </c>
      <c r="M361" s="32">
        <v>1</v>
      </c>
      <c r="N361" s="32">
        <v>200329</v>
      </c>
      <c r="O361" s="1" t="str">
        <f>IFERROR(INDEX([1]物品基础表!$A:$A,MATCH(N361,[1]物品基础表!$B:$B,0)),"")</f>
        <v>羽翼飞升丹</v>
      </c>
      <c r="P361" s="32">
        <v>1</v>
      </c>
      <c r="R361" s="1" t="str">
        <f>IFERROR(INDEX([1]物品基础表!$A:$A,MATCH(Q361,[1]物品基础表!$B:$B,0)),"")</f>
        <v/>
      </c>
      <c r="U361" s="1" t="str">
        <f>IFERROR(INDEX([1]物品基础表!$A:$A,MATCH(T361,[1]物品基础表!$B:$B,0)),"")</f>
        <v/>
      </c>
      <c r="X361" s="1" t="str">
        <f>IFERROR(INDEX([1]物品基础表!$A:$A,MATCH(W361,[1]物品基础表!$B:$B,0)),"")</f>
        <v/>
      </c>
    </row>
    <row r="362" spans="1:24">
      <c r="A362" s="32" t="str">
        <f>INDEX([2]活动总表!$A$8:$A$429,MATCH(B362,[2]活动总表!$B$8:$B$429,0))</f>
        <v>龙抬头-新连冲（15-60天）</v>
      </c>
      <c r="B362" s="32">
        <v>926</v>
      </c>
      <c r="C362" s="32">
        <v>3</v>
      </c>
      <c r="D362" s="32">
        <v>3</v>
      </c>
      <c r="E362" s="32">
        <v>3</v>
      </c>
      <c r="F362" s="32">
        <v>20000</v>
      </c>
      <c r="H362" s="32">
        <v>200997</v>
      </c>
      <c r="I362" s="1" t="str">
        <f>IFERROR(INDEX([1]物品基础表!$A:$A,MATCH(H362,[1]物品基础表!$B:$B,0)),"")</f>
        <v>星☆传世宝箱</v>
      </c>
      <c r="J362" s="32">
        <v>1</v>
      </c>
      <c r="K362" s="32">
        <v>204065</v>
      </c>
      <c r="L362" s="1" t="str">
        <f>IFERROR(INDEX([1]物品基础表!$A:$A,MATCH(K362,[1]物品基础表!$B:$B,0)),"")</f>
        <v>超级转生轮回礼包</v>
      </c>
      <c r="M362" s="32">
        <v>1</v>
      </c>
      <c r="N362" s="32">
        <v>200329</v>
      </c>
      <c r="O362" s="1" t="str">
        <f>IFERROR(INDEX([1]物品基础表!$A:$A,MATCH(N362,[1]物品基础表!$B:$B,0)),"")</f>
        <v>羽翼飞升丹</v>
      </c>
      <c r="P362" s="32">
        <v>1</v>
      </c>
      <c r="R362" s="1" t="str">
        <f>IFERROR(INDEX([1]物品基础表!$A:$A,MATCH(Q362,[1]物品基础表!$B:$B,0)),"")</f>
        <v/>
      </c>
      <c r="U362" s="1" t="str">
        <f>IFERROR(INDEX([1]物品基础表!$A:$A,MATCH(T362,[1]物品基础表!$B:$B,0)),"")</f>
        <v/>
      </c>
      <c r="X362" s="1" t="str">
        <f>IFERROR(INDEX([1]物品基础表!$A:$A,MATCH(W362,[1]物品基础表!$B:$B,0)),"")</f>
        <v/>
      </c>
    </row>
    <row r="363" spans="1:24">
      <c r="A363" s="32" t="str">
        <f>INDEX([2]活动总表!$A$8:$A$429,MATCH(B363,[2]活动总表!$B$8:$B$429,0))</f>
        <v>龙抬头-新连冲（15-60天）</v>
      </c>
      <c r="B363" s="32">
        <v>926</v>
      </c>
      <c r="C363" s="32">
        <v>4</v>
      </c>
      <c r="D363" s="32">
        <v>1</v>
      </c>
      <c r="E363" s="32">
        <v>3</v>
      </c>
      <c r="F363" s="32">
        <v>20000</v>
      </c>
      <c r="H363" s="32">
        <v>204029</v>
      </c>
      <c r="I363" s="1" t="str">
        <f>IFERROR(INDEX([1]物品基础表!$A:$A,MATCH(H363,[1]物品基础表!$B:$B,0)),"")</f>
        <v>魔魂礼包</v>
      </c>
      <c r="J363" s="32">
        <v>1</v>
      </c>
      <c r="K363" s="32">
        <v>202009</v>
      </c>
      <c r="L363" s="1" t="str">
        <f>IFERROR(INDEX([1]物品基础表!$A:$A,MATCH(K363,[1]物品基础表!$B:$B,0)),"")</f>
        <v>神烈焰戒指</v>
      </c>
      <c r="M363" s="32">
        <v>1</v>
      </c>
      <c r="N363" s="32">
        <v>204068</v>
      </c>
      <c r="O363" s="1" t="str">
        <f>IFERROR(INDEX([1]物品基础表!$A:$A,MATCH(N363,[1]物品基础表!$B:$B,0)),"")</f>
        <v>玉佩升级道具3</v>
      </c>
      <c r="P363" s="32">
        <v>1</v>
      </c>
      <c r="R363" s="1" t="str">
        <f>IFERROR(INDEX([1]物品基础表!$A:$A,MATCH(Q363,[1]物品基础表!$B:$B,0)),"")</f>
        <v/>
      </c>
      <c r="U363" s="1" t="str">
        <f>IFERROR(INDEX([1]物品基础表!$A:$A,MATCH(T363,[1]物品基础表!$B:$B,0)),"")</f>
        <v/>
      </c>
      <c r="X363" s="1" t="str">
        <f>IFERROR(INDEX([1]物品基础表!$A:$A,MATCH(W363,[1]物品基础表!$B:$B,0)),"")</f>
        <v/>
      </c>
    </row>
    <row r="364" spans="1:24">
      <c r="A364" s="32" t="str">
        <f>INDEX([2]活动总表!$A$8:$A$429,MATCH(B364,[2]活动总表!$B$8:$B$429,0))</f>
        <v>龙抬头-新连冲（61+天）</v>
      </c>
      <c r="B364" s="32">
        <v>927</v>
      </c>
      <c r="C364" s="32">
        <v>1</v>
      </c>
      <c r="D364" s="32">
        <v>3</v>
      </c>
      <c r="E364" s="32">
        <v>1</v>
      </c>
      <c r="F364" s="32">
        <v>2000</v>
      </c>
      <c r="G364" s="32" t="s">
        <v>723</v>
      </c>
      <c r="H364" s="32">
        <v>2</v>
      </c>
      <c r="I364" s="1" t="str">
        <f t="shared" ref="I364:I367" si="20">IF(H364=2,"元宝","神兵经验")</f>
        <v>元宝</v>
      </c>
      <c r="J364" s="32">
        <v>1000</v>
      </c>
      <c r="K364" s="32">
        <v>204064</v>
      </c>
      <c r="L364" s="1" t="str">
        <f>IFERROR(INDEX([1]物品基础表!$A:$A,MATCH(K364,[1]物品基础表!$B:$B,0)),"")</f>
        <v>高级转生轮回礼包</v>
      </c>
      <c r="M364" s="32">
        <v>3</v>
      </c>
      <c r="N364" s="32">
        <v>200015</v>
      </c>
      <c r="O364" s="1" t="str">
        <f>IFERROR(INDEX([1]物品基础表!$A:$A,MATCH(N364,[1]物品基础表!$B:$B,0)),"")</f>
        <v>特戒碎片</v>
      </c>
      <c r="P364" s="32">
        <v>400</v>
      </c>
      <c r="R364" s="1" t="str">
        <f>IFERROR(INDEX([1]物品基础表!$A:$A,MATCH(Q364,[1]物品基础表!$B:$B,0)),"")</f>
        <v/>
      </c>
      <c r="U364" s="1" t="str">
        <f>IFERROR(INDEX([1]物品基础表!$A:$A,MATCH(T364,[1]物品基础表!$B:$B,0)),"")</f>
        <v/>
      </c>
      <c r="X364" s="1" t="str">
        <f>IFERROR(INDEX([1]物品基础表!$A:$A,MATCH(W364,[1]物品基础表!$B:$B,0)),"")</f>
        <v/>
      </c>
    </row>
    <row r="365" spans="1:24">
      <c r="A365" s="32" t="str">
        <f>INDEX([2]活动总表!$A$8:$A$429,MATCH(B365,[2]活动总表!$B$8:$B$429,0))</f>
        <v>龙抬头-新连冲（61+天）</v>
      </c>
      <c r="B365" s="32">
        <v>927</v>
      </c>
      <c r="C365" s="32">
        <v>2</v>
      </c>
      <c r="D365" s="32">
        <v>3</v>
      </c>
      <c r="E365" s="32">
        <v>2</v>
      </c>
      <c r="F365" s="32">
        <v>2000</v>
      </c>
      <c r="G365" s="32" t="s">
        <v>723</v>
      </c>
      <c r="H365" s="32">
        <v>2</v>
      </c>
      <c r="I365" s="1" t="str">
        <f t="shared" si="20"/>
        <v>元宝</v>
      </c>
      <c r="J365" s="32">
        <v>1000</v>
      </c>
      <c r="K365" s="32">
        <v>204064</v>
      </c>
      <c r="L365" s="1" t="str">
        <f>IFERROR(INDEX([1]物品基础表!$A:$A,MATCH(K365,[1]物品基础表!$B:$B,0)),"")</f>
        <v>高级转生轮回礼包</v>
      </c>
      <c r="M365" s="32">
        <v>3</v>
      </c>
      <c r="N365" s="32">
        <v>200015</v>
      </c>
      <c r="O365" s="1" t="str">
        <f>IFERROR(INDEX([1]物品基础表!$A:$A,MATCH(N365,[1]物品基础表!$B:$B,0)),"")</f>
        <v>特戒碎片</v>
      </c>
      <c r="P365" s="32">
        <v>400</v>
      </c>
      <c r="R365" s="1" t="str">
        <f>IFERROR(INDEX([1]物品基础表!$A:$A,MATCH(Q365,[1]物品基础表!$B:$B,0)),"")</f>
        <v/>
      </c>
      <c r="U365" s="1" t="str">
        <f>IFERROR(INDEX([1]物品基础表!$A:$A,MATCH(T365,[1]物品基础表!$B:$B,0)),"")</f>
        <v/>
      </c>
      <c r="X365" s="1" t="str">
        <f>IFERROR(INDEX([1]物品基础表!$A:$A,MATCH(W365,[1]物品基础表!$B:$B,0)),"")</f>
        <v/>
      </c>
    </row>
    <row r="366" spans="1:24">
      <c r="A366" s="32" t="str">
        <f>INDEX([2]活动总表!$A$8:$A$429,MATCH(B366,[2]活动总表!$B$8:$B$429,0))</f>
        <v>龙抬头-新连冲（61+天）</v>
      </c>
      <c r="B366" s="32">
        <v>927</v>
      </c>
      <c r="C366" s="32">
        <v>3</v>
      </c>
      <c r="D366" s="32">
        <v>3</v>
      </c>
      <c r="E366" s="32">
        <v>3</v>
      </c>
      <c r="F366" s="32">
        <v>2000</v>
      </c>
      <c r="G366" s="32" t="s">
        <v>723</v>
      </c>
      <c r="H366" s="32">
        <v>2</v>
      </c>
      <c r="I366" s="1" t="str">
        <f t="shared" si="20"/>
        <v>元宝</v>
      </c>
      <c r="J366" s="32">
        <v>1000</v>
      </c>
      <c r="K366" s="32">
        <v>204064</v>
      </c>
      <c r="L366" s="1" t="str">
        <f>IFERROR(INDEX([1]物品基础表!$A:$A,MATCH(K366,[1]物品基础表!$B:$B,0)),"")</f>
        <v>高级转生轮回礼包</v>
      </c>
      <c r="M366" s="32">
        <v>3</v>
      </c>
      <c r="N366" s="32">
        <v>200015</v>
      </c>
      <c r="O366" s="1" t="str">
        <f>IFERROR(INDEX([1]物品基础表!$A:$A,MATCH(N366,[1]物品基础表!$B:$B,0)),"")</f>
        <v>特戒碎片</v>
      </c>
      <c r="P366" s="32">
        <v>400</v>
      </c>
      <c r="R366" s="1" t="str">
        <f>IFERROR(INDEX([1]物品基础表!$A:$A,MATCH(Q366,[1]物品基础表!$B:$B,0)),"")</f>
        <v/>
      </c>
      <c r="U366" s="1" t="str">
        <f>IFERROR(INDEX([1]物品基础表!$A:$A,MATCH(T366,[1]物品基础表!$B:$B,0)),"")</f>
        <v/>
      </c>
      <c r="X366" s="1" t="str">
        <f>IFERROR(INDEX([1]物品基础表!$A:$A,MATCH(W366,[1]物品基础表!$B:$B,0)),"")</f>
        <v/>
      </c>
    </row>
    <row r="367" spans="1:24">
      <c r="A367" s="32" t="str">
        <f>INDEX([2]活动总表!$A$8:$A$429,MATCH(B367,[2]活动总表!$B$8:$B$429,0))</f>
        <v>龙抬头-新连冲（61+天）</v>
      </c>
      <c r="B367" s="32">
        <v>927</v>
      </c>
      <c r="C367" s="32">
        <v>4</v>
      </c>
      <c r="D367" s="32">
        <v>1</v>
      </c>
      <c r="E367" s="32">
        <v>3</v>
      </c>
      <c r="F367" s="32">
        <v>2000</v>
      </c>
      <c r="G367" s="32" t="s">
        <v>723</v>
      </c>
      <c r="H367" s="32">
        <v>2</v>
      </c>
      <c r="I367" s="1" t="str">
        <f t="shared" si="20"/>
        <v>元宝</v>
      </c>
      <c r="J367" s="32">
        <v>3000</v>
      </c>
      <c r="K367" s="32">
        <v>204064</v>
      </c>
      <c r="L367" s="1" t="str">
        <f>IFERROR(INDEX([1]物品基础表!$A:$A,MATCH(K367,[1]物品基础表!$B:$B,0)),"")</f>
        <v>高级转生轮回礼包</v>
      </c>
      <c r="M367" s="32">
        <v>5</v>
      </c>
      <c r="N367" s="32">
        <v>220011</v>
      </c>
      <c r="O367" s="1" t="str">
        <f>IFERROR(INDEX([1]物品基础表!$A:$A,MATCH(N367,[1]物品基础表!$B:$B,0)),"")</f>
        <v>高级秘籍宝箱</v>
      </c>
      <c r="P367" s="32">
        <v>1</v>
      </c>
      <c r="R367" s="1" t="str">
        <f>IFERROR(INDEX([1]物品基础表!$A:$A,MATCH(Q367,[1]物品基础表!$B:$B,0)),"")</f>
        <v/>
      </c>
      <c r="U367" s="1" t="str">
        <f>IFERROR(INDEX([1]物品基础表!$A:$A,MATCH(T367,[1]物品基础表!$B:$B,0)),"")</f>
        <v/>
      </c>
      <c r="X367" s="1" t="str">
        <f>IFERROR(INDEX([1]物品基础表!$A:$A,MATCH(W367,[1]物品基础表!$B:$B,0)),"")</f>
        <v/>
      </c>
    </row>
    <row r="368" spans="1:24">
      <c r="A368" s="32" t="str">
        <f>INDEX([2]活动总表!$A$8:$A$429,MATCH(B368,[2]活动总表!$B$8:$B$429,0))</f>
        <v>龙抬头-新连冲（61+天）</v>
      </c>
      <c r="B368" s="32">
        <v>928</v>
      </c>
      <c r="C368" s="32">
        <v>1</v>
      </c>
      <c r="D368" s="32">
        <v>3</v>
      </c>
      <c r="E368" s="32">
        <v>1</v>
      </c>
      <c r="F368" s="32">
        <v>5000</v>
      </c>
      <c r="H368" s="32">
        <v>204067</v>
      </c>
      <c r="I368" s="1" t="str">
        <f>IFERROR(INDEX([1]物品基础表!$A:$A,MATCH(H368,[1]物品基础表!$B:$B,0)),"")</f>
        <v>玉佩升级道具2</v>
      </c>
      <c r="J368" s="32">
        <v>1</v>
      </c>
      <c r="K368" s="32">
        <v>204064</v>
      </c>
      <c r="L368" s="1" t="str">
        <f>IFERROR(INDEX([1]物品基础表!$A:$A,MATCH(K368,[1]物品基础表!$B:$B,0)),"")</f>
        <v>高级转生轮回礼包</v>
      </c>
      <c r="M368" s="32">
        <v>4</v>
      </c>
      <c r="N368" s="32">
        <v>200208</v>
      </c>
      <c r="O368" s="1" t="str">
        <f>IFERROR(INDEX([1]物品基础表!$A:$A,MATCH(N368,[1]物品基础表!$B:$B,0)),"")</f>
        <v>烈焰印记低级升级材料</v>
      </c>
      <c r="P368" s="32">
        <v>400</v>
      </c>
      <c r="R368" s="1" t="str">
        <f>IFERROR(INDEX([1]物品基础表!$A:$A,MATCH(Q368,[1]物品基础表!$B:$B,0)),"")</f>
        <v/>
      </c>
      <c r="U368" s="1" t="str">
        <f>IFERROR(INDEX([1]物品基础表!$A:$A,MATCH(T368,[1]物品基础表!$B:$B,0)),"")</f>
        <v/>
      </c>
      <c r="X368" s="1" t="str">
        <f>IFERROR(INDEX([1]物品基础表!$A:$A,MATCH(W368,[1]物品基础表!$B:$B,0)),"")</f>
        <v/>
      </c>
    </row>
    <row r="369" spans="1:24">
      <c r="A369" s="32" t="str">
        <f>INDEX([2]活动总表!$A$8:$A$429,MATCH(B369,[2]活动总表!$B$8:$B$429,0))</f>
        <v>龙抬头-新连冲（61+天）</v>
      </c>
      <c r="B369" s="32">
        <v>928</v>
      </c>
      <c r="C369" s="32">
        <v>2</v>
      </c>
      <c r="D369" s="32">
        <v>3</v>
      </c>
      <c r="E369" s="32">
        <v>2</v>
      </c>
      <c r="F369" s="32">
        <v>5000</v>
      </c>
      <c r="H369" s="32">
        <v>204067</v>
      </c>
      <c r="I369" s="1" t="str">
        <f>IFERROR(INDEX([1]物品基础表!$A:$A,MATCH(H369,[1]物品基础表!$B:$B,0)),"")</f>
        <v>玉佩升级道具2</v>
      </c>
      <c r="J369" s="32">
        <v>1</v>
      </c>
      <c r="K369" s="32">
        <v>204064</v>
      </c>
      <c r="L369" s="1" t="str">
        <f>IFERROR(INDEX([1]物品基础表!$A:$A,MATCH(K369,[1]物品基础表!$B:$B,0)),"")</f>
        <v>高级转生轮回礼包</v>
      </c>
      <c r="M369" s="32">
        <v>4</v>
      </c>
      <c r="N369" s="32">
        <v>200208</v>
      </c>
      <c r="O369" s="1" t="str">
        <f>IFERROR(INDEX([1]物品基础表!$A:$A,MATCH(N369,[1]物品基础表!$B:$B,0)),"")</f>
        <v>烈焰印记低级升级材料</v>
      </c>
      <c r="P369" s="32">
        <v>400</v>
      </c>
      <c r="R369" s="1" t="str">
        <f>IFERROR(INDEX([1]物品基础表!$A:$A,MATCH(Q369,[1]物品基础表!$B:$B,0)),"")</f>
        <v/>
      </c>
      <c r="U369" s="1" t="str">
        <f>IFERROR(INDEX([1]物品基础表!$A:$A,MATCH(T369,[1]物品基础表!$B:$B,0)),"")</f>
        <v/>
      </c>
      <c r="X369" s="1" t="str">
        <f>IFERROR(INDEX([1]物品基础表!$A:$A,MATCH(W369,[1]物品基础表!$B:$B,0)),"")</f>
        <v/>
      </c>
    </row>
    <row r="370" spans="1:24">
      <c r="A370" s="32" t="str">
        <f>INDEX([2]活动总表!$A$8:$A$429,MATCH(B370,[2]活动总表!$B$8:$B$429,0))</f>
        <v>龙抬头-新连冲（61+天）</v>
      </c>
      <c r="B370" s="32">
        <v>928</v>
      </c>
      <c r="C370" s="32">
        <v>3</v>
      </c>
      <c r="D370" s="32">
        <v>3</v>
      </c>
      <c r="E370" s="32">
        <v>3</v>
      </c>
      <c r="F370" s="32">
        <v>5000</v>
      </c>
      <c r="H370" s="32">
        <v>204067</v>
      </c>
      <c r="I370" s="1" t="str">
        <f>IFERROR(INDEX([1]物品基础表!$A:$A,MATCH(H370,[1]物品基础表!$B:$B,0)),"")</f>
        <v>玉佩升级道具2</v>
      </c>
      <c r="J370" s="32">
        <v>1</v>
      </c>
      <c r="K370" s="32">
        <v>204064</v>
      </c>
      <c r="L370" s="1" t="str">
        <f>IFERROR(INDEX([1]物品基础表!$A:$A,MATCH(K370,[1]物品基础表!$B:$B,0)),"")</f>
        <v>高级转生轮回礼包</v>
      </c>
      <c r="M370" s="32">
        <v>4</v>
      </c>
      <c r="N370" s="32">
        <v>200208</v>
      </c>
      <c r="O370" s="1" t="str">
        <f>IFERROR(INDEX([1]物品基础表!$A:$A,MATCH(N370,[1]物品基础表!$B:$B,0)),"")</f>
        <v>烈焰印记低级升级材料</v>
      </c>
      <c r="P370" s="32">
        <v>400</v>
      </c>
      <c r="R370" s="1" t="str">
        <f>IFERROR(INDEX([1]物品基础表!$A:$A,MATCH(Q370,[1]物品基础表!$B:$B,0)),"")</f>
        <v/>
      </c>
      <c r="U370" s="1" t="str">
        <f>IFERROR(INDEX([1]物品基础表!$A:$A,MATCH(T370,[1]物品基础表!$B:$B,0)),"")</f>
        <v/>
      </c>
      <c r="X370" s="1" t="str">
        <f>IFERROR(INDEX([1]物品基础表!$A:$A,MATCH(W370,[1]物品基础表!$B:$B,0)),"")</f>
        <v/>
      </c>
    </row>
    <row r="371" spans="1:24">
      <c r="A371" s="32" t="str">
        <f>INDEX([2]活动总表!$A$8:$A$429,MATCH(B371,[2]活动总表!$B$8:$B$429,0))</f>
        <v>龙抬头-新连冲（61+天）</v>
      </c>
      <c r="B371" s="32">
        <v>928</v>
      </c>
      <c r="C371" s="32">
        <v>4</v>
      </c>
      <c r="D371" s="32">
        <v>1</v>
      </c>
      <c r="E371" s="32">
        <v>3</v>
      </c>
      <c r="F371" s="32">
        <v>5000</v>
      </c>
      <c r="H371" s="32">
        <v>200997</v>
      </c>
      <c r="I371" s="1" t="str">
        <f>IFERROR(INDEX([1]物品基础表!$A:$A,MATCH(H371,[1]物品基础表!$B:$B,0)),"")</f>
        <v>星☆传世宝箱</v>
      </c>
      <c r="J371" s="32">
        <v>1</v>
      </c>
      <c r="K371" s="32">
        <v>500011</v>
      </c>
      <c r="L371" s="1" t="str">
        <f>IFERROR(INDEX([1]物品基础表!$A:$A,MATCH(K371,[1]物品基础表!$B:$B,0)),"")</f>
        <v>战纹碎片（小）</v>
      </c>
      <c r="M371" s="32">
        <v>2000</v>
      </c>
      <c r="N371" s="32">
        <v>204068</v>
      </c>
      <c r="O371" s="1" t="str">
        <f>IFERROR(INDEX([1]物品基础表!$A:$A,MATCH(N371,[1]物品基础表!$B:$B,0)),"")</f>
        <v>玉佩升级道具3</v>
      </c>
      <c r="P371" s="32">
        <v>1</v>
      </c>
      <c r="R371" s="1" t="str">
        <f>IFERROR(INDEX([1]物品基础表!$A:$A,MATCH(Q371,[1]物品基础表!$B:$B,0)),"")</f>
        <v/>
      </c>
      <c r="U371" s="1" t="str">
        <f>IFERROR(INDEX([1]物品基础表!$A:$A,MATCH(T371,[1]物品基础表!$B:$B,0)),"")</f>
        <v/>
      </c>
      <c r="X371" s="1" t="str">
        <f>IFERROR(INDEX([1]物品基础表!$A:$A,MATCH(W371,[1]物品基础表!$B:$B,0)),"")</f>
        <v/>
      </c>
    </row>
    <row r="372" spans="1:24">
      <c r="A372" s="32" t="str">
        <f>INDEX([2]活动总表!$A$8:$A$429,MATCH(B372,[2]活动总表!$B$8:$B$429,0))</f>
        <v>龙抬头-新连冲（61+天）</v>
      </c>
      <c r="B372" s="32">
        <v>929</v>
      </c>
      <c r="C372" s="32">
        <v>1</v>
      </c>
      <c r="D372" s="32">
        <v>3</v>
      </c>
      <c r="E372" s="32">
        <v>1</v>
      </c>
      <c r="F372" s="32">
        <v>20000</v>
      </c>
      <c r="H372" s="32">
        <v>200997</v>
      </c>
      <c r="I372" s="1" t="str">
        <f>IFERROR(INDEX([1]物品基础表!$A:$A,MATCH(H372,[1]物品基础表!$B:$B,0)),"")</f>
        <v>星☆传世宝箱</v>
      </c>
      <c r="J372" s="32">
        <v>1</v>
      </c>
      <c r="K372" s="32">
        <v>500011</v>
      </c>
      <c r="L372" s="1" t="str">
        <f>IFERROR(INDEX([1]物品基础表!$A:$A,MATCH(K372,[1]物品基础表!$B:$B,0)),"")</f>
        <v>战纹碎片（小）</v>
      </c>
      <c r="M372" s="32">
        <v>2000</v>
      </c>
      <c r="N372" s="32">
        <v>200329</v>
      </c>
      <c r="O372" s="1" t="str">
        <f>IFERROR(INDEX([1]物品基础表!$A:$A,MATCH(N372,[1]物品基础表!$B:$B,0)),"")</f>
        <v>羽翼飞升丹</v>
      </c>
      <c r="P372" s="32">
        <v>1</v>
      </c>
      <c r="R372" s="1" t="str">
        <f>IFERROR(INDEX([1]物品基础表!$A:$A,MATCH(Q372,[1]物品基础表!$B:$B,0)),"")</f>
        <v/>
      </c>
      <c r="U372" s="1" t="str">
        <f>IFERROR(INDEX([1]物品基础表!$A:$A,MATCH(T372,[1]物品基础表!$B:$B,0)),"")</f>
        <v/>
      </c>
      <c r="X372" s="1" t="str">
        <f>IFERROR(INDEX([1]物品基础表!$A:$A,MATCH(W372,[1]物品基础表!$B:$B,0)),"")</f>
        <v/>
      </c>
    </row>
    <row r="373" spans="1:24">
      <c r="A373" s="32" t="str">
        <f>INDEX([2]活动总表!$A$8:$A$429,MATCH(B373,[2]活动总表!$B$8:$B$429,0))</f>
        <v>龙抬头-新连冲（61+天）</v>
      </c>
      <c r="B373" s="32">
        <v>929</v>
      </c>
      <c r="C373" s="32">
        <v>2</v>
      </c>
      <c r="D373" s="32">
        <v>3</v>
      </c>
      <c r="E373" s="32">
        <v>2</v>
      </c>
      <c r="F373" s="32">
        <v>20000</v>
      </c>
      <c r="H373" s="32">
        <v>200997</v>
      </c>
      <c r="I373" s="1" t="str">
        <f>IFERROR(INDEX([1]物品基础表!$A:$A,MATCH(H373,[1]物品基础表!$B:$B,0)),"")</f>
        <v>星☆传世宝箱</v>
      </c>
      <c r="J373" s="32">
        <v>1</v>
      </c>
      <c r="K373" s="32">
        <v>500011</v>
      </c>
      <c r="L373" s="1" t="str">
        <f>IFERROR(INDEX([1]物品基础表!$A:$A,MATCH(K373,[1]物品基础表!$B:$B,0)),"")</f>
        <v>战纹碎片（小）</v>
      </c>
      <c r="M373" s="32">
        <v>2000</v>
      </c>
      <c r="N373" s="32">
        <v>200329</v>
      </c>
      <c r="O373" s="1" t="str">
        <f>IFERROR(INDEX([1]物品基础表!$A:$A,MATCH(N373,[1]物品基础表!$B:$B,0)),"")</f>
        <v>羽翼飞升丹</v>
      </c>
      <c r="P373" s="32">
        <v>1</v>
      </c>
      <c r="R373" s="1" t="str">
        <f>IFERROR(INDEX([1]物品基础表!$A:$A,MATCH(Q373,[1]物品基础表!$B:$B,0)),"")</f>
        <v/>
      </c>
      <c r="U373" s="1" t="str">
        <f>IFERROR(INDEX([1]物品基础表!$A:$A,MATCH(T373,[1]物品基础表!$B:$B,0)),"")</f>
        <v/>
      </c>
      <c r="X373" s="1" t="str">
        <f>IFERROR(INDEX([1]物品基础表!$A:$A,MATCH(W373,[1]物品基础表!$B:$B,0)),"")</f>
        <v/>
      </c>
    </row>
    <row r="374" spans="1:24">
      <c r="A374" s="32" t="str">
        <f>INDEX([2]活动总表!$A$8:$A$429,MATCH(B374,[2]活动总表!$B$8:$B$429,0))</f>
        <v>龙抬头-新连冲（61+天）</v>
      </c>
      <c r="B374" s="32">
        <v>929</v>
      </c>
      <c r="C374" s="32">
        <v>3</v>
      </c>
      <c r="D374" s="32">
        <v>3</v>
      </c>
      <c r="E374" s="32">
        <v>3</v>
      </c>
      <c r="F374" s="32">
        <v>20000</v>
      </c>
      <c r="H374" s="32">
        <v>200997</v>
      </c>
      <c r="I374" s="1" t="str">
        <f>IFERROR(INDEX([1]物品基础表!$A:$A,MATCH(H374,[1]物品基础表!$B:$B,0)),"")</f>
        <v>星☆传世宝箱</v>
      </c>
      <c r="J374" s="32">
        <v>1</v>
      </c>
      <c r="K374" s="32">
        <v>500011</v>
      </c>
      <c r="L374" s="1" t="str">
        <f>IFERROR(INDEX([1]物品基础表!$A:$A,MATCH(K374,[1]物品基础表!$B:$B,0)),"")</f>
        <v>战纹碎片（小）</v>
      </c>
      <c r="M374" s="32">
        <v>2000</v>
      </c>
      <c r="N374" s="32">
        <v>200329</v>
      </c>
      <c r="O374" s="1" t="str">
        <f>IFERROR(INDEX([1]物品基础表!$A:$A,MATCH(N374,[1]物品基础表!$B:$B,0)),"")</f>
        <v>羽翼飞升丹</v>
      </c>
      <c r="P374" s="32">
        <v>1</v>
      </c>
      <c r="R374" s="1" t="str">
        <f>IFERROR(INDEX([1]物品基础表!$A:$A,MATCH(Q374,[1]物品基础表!$B:$B,0)),"")</f>
        <v/>
      </c>
      <c r="U374" s="1" t="str">
        <f>IFERROR(INDEX([1]物品基础表!$A:$A,MATCH(T374,[1]物品基础表!$B:$B,0)),"")</f>
        <v/>
      </c>
      <c r="X374" s="1" t="str">
        <f>IFERROR(INDEX([1]物品基础表!$A:$A,MATCH(W374,[1]物品基础表!$B:$B,0)),"")</f>
        <v/>
      </c>
    </row>
    <row r="375" spans="1:24">
      <c r="A375" s="32" t="str">
        <f>INDEX([2]活动总表!$A$8:$A$429,MATCH(B375,[2]活动总表!$B$8:$B$429,0))</f>
        <v>龙抬头-新连冲（61+天）</v>
      </c>
      <c r="B375" s="32">
        <v>929</v>
      </c>
      <c r="C375" s="32">
        <v>4</v>
      </c>
      <c r="D375" s="32">
        <v>1</v>
      </c>
      <c r="E375" s="32">
        <v>3</v>
      </c>
      <c r="F375" s="32">
        <v>20000</v>
      </c>
      <c r="H375" s="32">
        <v>204029</v>
      </c>
      <c r="I375" s="1" t="str">
        <f>IFERROR(INDEX([1]物品基础表!$A:$A,MATCH(H375,[1]物品基础表!$B:$B,0)),"")</f>
        <v>魔魂礼包</v>
      </c>
      <c r="J375" s="32">
        <v>1</v>
      </c>
      <c r="K375" s="32">
        <v>202009</v>
      </c>
      <c r="L375" s="1" t="str">
        <f>IFERROR(INDEX([1]物品基础表!$A:$A,MATCH(K375,[1]物品基础表!$B:$B,0)),"")</f>
        <v>神烈焰戒指</v>
      </c>
      <c r="M375" s="32">
        <v>1</v>
      </c>
      <c r="N375" s="32">
        <v>204068</v>
      </c>
      <c r="O375" s="1" t="str">
        <f>IFERROR(INDEX([1]物品基础表!$A:$A,MATCH(N375,[1]物品基础表!$B:$B,0)),"")</f>
        <v>玉佩升级道具3</v>
      </c>
      <c r="P375" s="32">
        <v>1</v>
      </c>
      <c r="R375" s="1" t="str">
        <f>IFERROR(INDEX([1]物品基础表!$A:$A,MATCH(Q375,[1]物品基础表!$B:$B,0)),"")</f>
        <v/>
      </c>
      <c r="U375" s="1" t="str">
        <f>IFERROR(INDEX([1]物品基础表!$A:$A,MATCH(T375,[1]物品基础表!$B:$B,0)),"")</f>
        <v/>
      </c>
      <c r="X375" s="1" t="str">
        <f>IFERROR(INDEX([1]物品基础表!$A:$A,MATCH(W375,[1]物品基础表!$B:$B,0)),"")</f>
        <v/>
      </c>
    </row>
  </sheetData>
  <mergeCells count="1">
    <mergeCell ref="H1:Y1"/>
  </mergeCells>
  <phoneticPr fontId="1"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70"/>
  <sheetViews>
    <sheetView topLeftCell="A134" workbookViewId="0">
      <selection activeCell="F154" sqref="F154"/>
    </sheetView>
  </sheetViews>
  <sheetFormatPr defaultRowHeight="13.5"/>
  <cols>
    <col min="1" max="1" width="22.5" style="1" bestFit="1" customWidth="1"/>
    <col min="2" max="2" width="9" style="1"/>
    <col min="3" max="3" width="5.25" style="1" bestFit="1" customWidth="1"/>
    <col min="4" max="4" width="9" style="1"/>
    <col min="5" max="5" width="21.5" style="1" bestFit="1" customWidth="1"/>
    <col min="6" max="6" width="7.5" style="1" bestFit="1" customWidth="1"/>
    <col min="7" max="7" width="17.5" style="1" bestFit="1" customWidth="1"/>
    <col min="8" max="8" width="5.25" style="1" bestFit="1" customWidth="1"/>
    <col min="9" max="9" width="7.5" style="1" bestFit="1" customWidth="1"/>
    <col min="10" max="10" width="16.25" style="1" bestFit="1" customWidth="1"/>
    <col min="11" max="11" width="5.25" style="1" bestFit="1" customWidth="1"/>
    <col min="12" max="12" width="7.5" style="1" bestFit="1" customWidth="1"/>
    <col min="13" max="13" width="9.125" style="1" bestFit="1" customWidth="1"/>
    <col min="14" max="14" width="5.25" style="1" bestFit="1" customWidth="1"/>
    <col min="15" max="16384" width="9" style="1"/>
  </cols>
  <sheetData>
    <row r="1" spans="1:14">
      <c r="A1" s="37" t="s">
        <v>731</v>
      </c>
      <c r="F1" s="109" t="s">
        <v>708</v>
      </c>
      <c r="G1" s="109"/>
      <c r="H1" s="109"/>
      <c r="I1" s="109"/>
      <c r="J1" s="109"/>
      <c r="K1" s="109"/>
      <c r="L1" s="109"/>
      <c r="M1" s="109"/>
      <c r="N1" s="109"/>
    </row>
    <row r="2" spans="1:14">
      <c r="A2" s="3" t="s">
        <v>19</v>
      </c>
      <c r="B2" s="4" t="s">
        <v>32</v>
      </c>
      <c r="C2" s="4" t="s">
        <v>727</v>
      </c>
      <c r="D2" s="4" t="s">
        <v>728</v>
      </c>
      <c r="E2" s="4" t="s">
        <v>729</v>
      </c>
      <c r="F2" s="4" t="s">
        <v>2</v>
      </c>
      <c r="G2" s="4" t="s">
        <v>3</v>
      </c>
      <c r="H2" s="4" t="s">
        <v>4</v>
      </c>
      <c r="I2" s="4" t="s">
        <v>2</v>
      </c>
      <c r="J2" s="4" t="s">
        <v>3</v>
      </c>
      <c r="K2" s="4" t="s">
        <v>4</v>
      </c>
      <c r="L2" s="4" t="s">
        <v>2</v>
      </c>
      <c r="M2" s="4" t="s">
        <v>3</v>
      </c>
      <c r="N2" s="4" t="s">
        <v>4</v>
      </c>
    </row>
    <row r="3" spans="1:14">
      <c r="A3" s="32" t="str">
        <f>INDEX([2]活动总表!$A$8:$A$429,MATCH(B3,[2]活动总表!$B$8:$B$429,0))</f>
        <v>开服活动-铸造榜</v>
      </c>
      <c r="B3" s="1">
        <v>7</v>
      </c>
      <c r="C3" s="1">
        <v>1</v>
      </c>
      <c r="D3" s="1">
        <v>0</v>
      </c>
      <c r="E3" s="1">
        <v>12</v>
      </c>
      <c r="F3" s="1">
        <v>900014</v>
      </c>
      <c r="G3" s="1" t="str">
        <f>IFERROR(INDEX([1]物品基础表!$A:$A,MATCH(F3,[1]物品基础表!$B:$B,0)),"")</f>
        <v>天下首富</v>
      </c>
      <c r="H3" s="1">
        <v>1</v>
      </c>
      <c r="I3" s="1">
        <v>200003</v>
      </c>
      <c r="J3" s="1" t="str">
        <f>IFERROR(INDEX([1]物品基础表!$A:$A,MATCH(I3,[1]物品基础表!$B:$B,0)),"")</f>
        <v>铸造晶石</v>
      </c>
      <c r="K3" s="1">
        <v>160</v>
      </c>
      <c r="M3" s="1" t="str">
        <f>IFERROR(INDEX([1]物品基础表!$A:$A,MATCH(L3,[1]物品基础表!$B:$B,0)),"")</f>
        <v/>
      </c>
    </row>
    <row r="4" spans="1:14">
      <c r="A4" s="32" t="str">
        <f>INDEX([2]活动总表!$A$8:$A$429,MATCH(B4,[2]活动总表!$B$8:$B$429,0))</f>
        <v>开服活动-铸造榜</v>
      </c>
      <c r="B4" s="1">
        <v>7</v>
      </c>
      <c r="C4" s="1">
        <v>2</v>
      </c>
      <c r="D4" s="1">
        <v>0</v>
      </c>
      <c r="E4" s="1">
        <v>12</v>
      </c>
      <c r="F4" s="1">
        <v>200003</v>
      </c>
      <c r="G4" s="1" t="str">
        <f>IFERROR(INDEX([1]物品基础表!$A:$A,MATCH(F4,[1]物品基础表!$B:$B,0)),"")</f>
        <v>铸造晶石</v>
      </c>
      <c r="H4" s="1">
        <v>140</v>
      </c>
      <c r="J4" s="1" t="str">
        <f>IFERROR(INDEX([1]物品基础表!$A:$A,MATCH(I4,[1]物品基础表!$B:$B,0)),"")</f>
        <v/>
      </c>
      <c r="M4" s="1" t="str">
        <f>IFERROR(INDEX([1]物品基础表!$A:$A,MATCH(L4,[1]物品基础表!$B:$B,0)),"")</f>
        <v/>
      </c>
    </row>
    <row r="5" spans="1:14">
      <c r="A5" s="32" t="str">
        <f>INDEX([2]活动总表!$A$8:$A$429,MATCH(B5,[2]活动总表!$B$8:$B$429,0))</f>
        <v>开服活动-铸造榜</v>
      </c>
      <c r="B5" s="1">
        <v>7</v>
      </c>
      <c r="C5" s="1">
        <v>3</v>
      </c>
      <c r="D5" s="1">
        <v>0</v>
      </c>
      <c r="E5" s="1">
        <v>12</v>
      </c>
      <c r="F5" s="1">
        <v>200003</v>
      </c>
      <c r="G5" s="1" t="str">
        <f>IFERROR(INDEX([1]物品基础表!$A:$A,MATCH(F5,[1]物品基础表!$B:$B,0)),"")</f>
        <v>铸造晶石</v>
      </c>
      <c r="H5" s="1">
        <v>110</v>
      </c>
      <c r="J5" s="1" t="str">
        <f>IFERROR(INDEX([1]物品基础表!$A:$A,MATCH(I5,[1]物品基础表!$B:$B,0)),"")</f>
        <v/>
      </c>
      <c r="M5" s="1" t="str">
        <f>IFERROR(INDEX([1]物品基础表!$A:$A,MATCH(L5,[1]物品基础表!$B:$B,0)),"")</f>
        <v/>
      </c>
    </row>
    <row r="6" spans="1:14">
      <c r="A6" s="32" t="str">
        <f>INDEX([2]活动总表!$A$8:$A$429,MATCH(B6,[2]活动总表!$B$8:$B$429,0))</f>
        <v>开服活动-铸造榜</v>
      </c>
      <c r="B6" s="1">
        <v>7</v>
      </c>
      <c r="C6" s="1">
        <v>4</v>
      </c>
      <c r="D6" s="1">
        <v>0</v>
      </c>
      <c r="E6" s="1">
        <v>12</v>
      </c>
      <c r="F6" s="1">
        <v>200003</v>
      </c>
      <c r="G6" s="1" t="str">
        <f>IFERROR(INDEX([1]物品基础表!$A:$A,MATCH(F6,[1]物品基础表!$B:$B,0)),"")</f>
        <v>铸造晶石</v>
      </c>
      <c r="H6" s="1">
        <v>80</v>
      </c>
      <c r="J6" s="1" t="str">
        <f>IFERROR(INDEX([1]物品基础表!$A:$A,MATCH(I6,[1]物品基础表!$B:$B,0)),"")</f>
        <v/>
      </c>
      <c r="M6" s="1" t="str">
        <f>IFERROR(INDEX([1]物品基础表!$A:$A,MATCH(L6,[1]物品基础表!$B:$B,0)),"")</f>
        <v/>
      </c>
    </row>
    <row r="7" spans="1:14">
      <c r="A7" s="32" t="str">
        <f>INDEX([2]活动总表!$A$8:$A$429,MATCH(B7,[2]活动总表!$B$8:$B$429,0))</f>
        <v>开服活动-铸造榜</v>
      </c>
      <c r="B7" s="1">
        <v>7</v>
      </c>
      <c r="C7" s="1">
        <v>5</v>
      </c>
      <c r="D7" s="1">
        <v>0</v>
      </c>
      <c r="E7" s="1">
        <v>12</v>
      </c>
      <c r="F7" s="1">
        <v>200003</v>
      </c>
      <c r="G7" s="1" t="str">
        <f>IFERROR(INDEX([1]物品基础表!$A:$A,MATCH(F7,[1]物品基础表!$B:$B,0)),"")</f>
        <v>铸造晶石</v>
      </c>
      <c r="H7" s="1">
        <v>80</v>
      </c>
      <c r="J7" s="1" t="str">
        <f>IFERROR(INDEX([1]物品基础表!$A:$A,MATCH(I7,[1]物品基础表!$B:$B,0)),"")</f>
        <v/>
      </c>
      <c r="M7" s="1" t="str">
        <f>IFERROR(INDEX([1]物品基础表!$A:$A,MATCH(L7,[1]物品基础表!$B:$B,0)),"")</f>
        <v/>
      </c>
    </row>
    <row r="8" spans="1:14">
      <c r="A8" s="32" t="str">
        <f>INDEX([2]活动总表!$A$8:$A$429,MATCH(B8,[2]活动总表!$B$8:$B$429,0))</f>
        <v>开服活动-铸造榜</v>
      </c>
      <c r="B8" s="1">
        <v>7</v>
      </c>
      <c r="C8" s="1">
        <v>6</v>
      </c>
      <c r="D8" s="1">
        <v>0</v>
      </c>
      <c r="E8" s="1">
        <v>12</v>
      </c>
      <c r="F8" s="1">
        <v>200003</v>
      </c>
      <c r="G8" s="1" t="str">
        <f>IFERROR(INDEX([1]物品基础表!$A:$A,MATCH(F8,[1]物品基础表!$B:$B,0)),"")</f>
        <v>铸造晶石</v>
      </c>
      <c r="H8" s="1">
        <v>80</v>
      </c>
      <c r="J8" s="1" t="str">
        <f>IFERROR(INDEX([1]物品基础表!$A:$A,MATCH(I8,[1]物品基础表!$B:$B,0)),"")</f>
        <v/>
      </c>
      <c r="M8" s="1" t="str">
        <f>IFERROR(INDEX([1]物品基础表!$A:$A,MATCH(L8,[1]物品基础表!$B:$B,0)),"")</f>
        <v/>
      </c>
    </row>
    <row r="9" spans="1:14">
      <c r="A9" s="32" t="str">
        <f>INDEX([2]活动总表!$A$8:$A$429,MATCH(B9,[2]活动总表!$B$8:$B$429,0))</f>
        <v>开服活动-铸造榜</v>
      </c>
      <c r="B9" s="1">
        <v>7</v>
      </c>
      <c r="C9" s="1">
        <v>7</v>
      </c>
      <c r="D9" s="1">
        <v>0</v>
      </c>
      <c r="E9" s="1">
        <v>12</v>
      </c>
      <c r="F9" s="1">
        <v>200003</v>
      </c>
      <c r="G9" s="1" t="str">
        <f>IFERROR(INDEX([1]物品基础表!$A:$A,MATCH(F9,[1]物品基础表!$B:$B,0)),"")</f>
        <v>铸造晶石</v>
      </c>
      <c r="H9" s="1">
        <v>80</v>
      </c>
      <c r="J9" s="1" t="str">
        <f>IFERROR(INDEX([1]物品基础表!$A:$A,MATCH(I9,[1]物品基础表!$B:$B,0)),"")</f>
        <v/>
      </c>
      <c r="M9" s="1" t="str">
        <f>IFERROR(INDEX([1]物品基础表!$A:$A,MATCH(L9,[1]物品基础表!$B:$B,0)),"")</f>
        <v/>
      </c>
    </row>
    <row r="10" spans="1:14">
      <c r="A10" s="32" t="str">
        <f>INDEX([2]活动总表!$A$8:$A$429,MATCH(B10,[2]活动总表!$B$8:$B$429,0))</f>
        <v>开服活动-铸造榜</v>
      </c>
      <c r="B10" s="1">
        <v>7</v>
      </c>
      <c r="C10" s="1">
        <v>8</v>
      </c>
      <c r="D10" s="1">
        <v>0</v>
      </c>
      <c r="E10" s="1">
        <v>12</v>
      </c>
      <c r="F10" s="1">
        <v>200003</v>
      </c>
      <c r="G10" s="1" t="str">
        <f>IFERROR(INDEX([1]物品基础表!$A:$A,MATCH(F10,[1]物品基础表!$B:$B,0)),"")</f>
        <v>铸造晶石</v>
      </c>
      <c r="H10" s="1">
        <v>80</v>
      </c>
      <c r="J10" s="1" t="str">
        <f>IFERROR(INDEX([1]物品基础表!$A:$A,MATCH(I10,[1]物品基础表!$B:$B,0)),"")</f>
        <v/>
      </c>
      <c r="M10" s="1" t="str">
        <f>IFERROR(INDEX([1]物品基础表!$A:$A,MATCH(L10,[1]物品基础表!$B:$B,0)),"")</f>
        <v/>
      </c>
    </row>
    <row r="11" spans="1:14">
      <c r="A11" s="32" t="str">
        <f>INDEX([2]活动总表!$A$8:$A$429,MATCH(B11,[2]活动总表!$B$8:$B$429,0))</f>
        <v>开服活动-铸造榜</v>
      </c>
      <c r="B11" s="1">
        <v>7</v>
      </c>
      <c r="C11" s="1">
        <v>9</v>
      </c>
      <c r="D11" s="1">
        <v>0</v>
      </c>
      <c r="E11" s="1">
        <v>12</v>
      </c>
      <c r="F11" s="1">
        <v>200003</v>
      </c>
      <c r="G11" s="1" t="str">
        <f>IFERROR(INDEX([1]物品基础表!$A:$A,MATCH(F11,[1]物品基础表!$B:$B,0)),"")</f>
        <v>铸造晶石</v>
      </c>
      <c r="H11" s="1">
        <v>80</v>
      </c>
      <c r="J11" s="1" t="str">
        <f>IFERROR(INDEX([1]物品基础表!$A:$A,MATCH(I11,[1]物品基础表!$B:$B,0)),"")</f>
        <v/>
      </c>
      <c r="M11" s="1" t="str">
        <f>IFERROR(INDEX([1]物品基础表!$A:$A,MATCH(L11,[1]物品基础表!$B:$B,0)),"")</f>
        <v/>
      </c>
    </row>
    <row r="12" spans="1:14">
      <c r="A12" s="32" t="str">
        <f>INDEX([2]活动总表!$A$8:$A$429,MATCH(B12,[2]活动总表!$B$8:$B$429,0))</f>
        <v>开服活动-铸造榜</v>
      </c>
      <c r="B12" s="1">
        <v>7</v>
      </c>
      <c r="C12" s="1">
        <v>10</v>
      </c>
      <c r="D12" s="1">
        <v>0</v>
      </c>
      <c r="E12" s="1">
        <v>12</v>
      </c>
      <c r="F12" s="1">
        <v>200003</v>
      </c>
      <c r="G12" s="1" t="str">
        <f>IFERROR(INDEX([1]物品基础表!$A:$A,MATCH(F12,[1]物品基础表!$B:$B,0)),"")</f>
        <v>铸造晶石</v>
      </c>
      <c r="H12" s="1">
        <v>80</v>
      </c>
      <c r="J12" s="1" t="str">
        <f>IFERROR(INDEX([1]物品基础表!$A:$A,MATCH(I12,[1]物品基础表!$B:$B,0)),"")</f>
        <v/>
      </c>
      <c r="M12" s="1" t="str">
        <f>IFERROR(INDEX([1]物品基础表!$A:$A,MATCH(L12,[1]物品基础表!$B:$B,0)),"")</f>
        <v/>
      </c>
    </row>
    <row r="13" spans="1:14">
      <c r="A13" s="32" t="str">
        <f>INDEX([2]活动总表!$A$8:$A$429,MATCH(B13,[2]活动总表!$B$8:$B$429,0))</f>
        <v>开服活动-铸造榜</v>
      </c>
      <c r="B13" s="1">
        <v>7</v>
      </c>
      <c r="C13" s="1">
        <v>11</v>
      </c>
      <c r="D13" s="1">
        <v>0</v>
      </c>
      <c r="E13" s="1">
        <v>12</v>
      </c>
      <c r="F13" s="1">
        <v>200003</v>
      </c>
      <c r="G13" s="1" t="str">
        <f>IFERROR(INDEX([1]物品基础表!$A:$A,MATCH(F13,[1]物品基础表!$B:$B,0)),"")</f>
        <v>铸造晶石</v>
      </c>
      <c r="H13" s="1">
        <v>80</v>
      </c>
      <c r="J13" s="1" t="str">
        <f>IFERROR(INDEX([1]物品基础表!$A:$A,MATCH(I13,[1]物品基础表!$B:$B,0)),"")</f>
        <v/>
      </c>
      <c r="M13" s="1" t="str">
        <f>IFERROR(INDEX([1]物品基础表!$A:$A,MATCH(L13,[1]物品基础表!$B:$B,0)),"")</f>
        <v/>
      </c>
    </row>
    <row r="14" spans="1:14">
      <c r="A14" s="32" t="str">
        <f>INDEX([2]活动总表!$A$8:$A$429,MATCH(B14,[2]活动总表!$B$8:$B$429,0))</f>
        <v>开服活动-铸造榜</v>
      </c>
      <c r="B14" s="1">
        <v>7</v>
      </c>
      <c r="C14" s="1">
        <v>12</v>
      </c>
      <c r="D14" s="1">
        <v>0</v>
      </c>
      <c r="E14" s="1">
        <v>12</v>
      </c>
      <c r="F14" s="1">
        <v>200003</v>
      </c>
      <c r="G14" s="1" t="str">
        <f>IFERROR(INDEX([1]物品基础表!$A:$A,MATCH(F14,[1]物品基础表!$B:$B,0)),"")</f>
        <v>铸造晶石</v>
      </c>
      <c r="H14" s="1">
        <v>80</v>
      </c>
      <c r="J14" s="1" t="str">
        <f>IFERROR(INDEX([1]物品基础表!$A:$A,MATCH(I14,[1]物品基础表!$B:$B,0)),"")</f>
        <v/>
      </c>
      <c r="M14" s="1" t="str">
        <f>IFERROR(INDEX([1]物品基础表!$A:$A,MATCH(L14,[1]物品基础表!$B:$B,0)),"")</f>
        <v/>
      </c>
    </row>
    <row r="15" spans="1:14">
      <c r="A15" s="32" t="str">
        <f>INDEX([2]活动总表!$A$8:$A$429,MATCH(B15,[2]活动总表!$B$8:$B$429,0))</f>
        <v>开服活动-铸造榜</v>
      </c>
      <c r="B15" s="1">
        <v>7</v>
      </c>
      <c r="C15" s="1">
        <v>13</v>
      </c>
      <c r="D15" s="1">
        <v>0</v>
      </c>
      <c r="E15" s="1">
        <v>12</v>
      </c>
      <c r="F15" s="1">
        <v>200003</v>
      </c>
      <c r="G15" s="1" t="str">
        <f>IFERROR(INDEX([1]物品基础表!$A:$A,MATCH(F15,[1]物品基础表!$B:$B,0)),"")</f>
        <v>铸造晶石</v>
      </c>
      <c r="H15" s="1">
        <v>80</v>
      </c>
      <c r="J15" s="1" t="str">
        <f>IFERROR(INDEX([1]物品基础表!$A:$A,MATCH(I15,[1]物品基础表!$B:$B,0)),"")</f>
        <v/>
      </c>
      <c r="M15" s="1" t="str">
        <f>IFERROR(INDEX([1]物品基础表!$A:$A,MATCH(L15,[1]物品基础表!$B:$B,0)),"")</f>
        <v/>
      </c>
    </row>
    <row r="16" spans="1:14">
      <c r="A16" s="32" t="str">
        <f>INDEX([2]活动总表!$A$8:$A$429,MATCH(B16,[2]活动总表!$B$8:$B$429,0))</f>
        <v>开服活动-铸造榜</v>
      </c>
      <c r="B16" s="1">
        <v>7</v>
      </c>
      <c r="C16" s="1">
        <v>14</v>
      </c>
      <c r="D16" s="1">
        <v>0</v>
      </c>
      <c r="E16" s="1">
        <v>12</v>
      </c>
      <c r="F16" s="1">
        <v>200003</v>
      </c>
      <c r="G16" s="1" t="str">
        <f>IFERROR(INDEX([1]物品基础表!$A:$A,MATCH(F16,[1]物品基础表!$B:$B,0)),"")</f>
        <v>铸造晶石</v>
      </c>
      <c r="H16" s="1">
        <v>80</v>
      </c>
      <c r="J16" s="1" t="str">
        <f>IFERROR(INDEX([1]物品基础表!$A:$A,MATCH(I16,[1]物品基础表!$B:$B,0)),"")</f>
        <v/>
      </c>
      <c r="M16" s="1" t="str">
        <f>IFERROR(INDEX([1]物品基础表!$A:$A,MATCH(L16,[1]物品基础表!$B:$B,0)),"")</f>
        <v/>
      </c>
    </row>
    <row r="17" spans="1:13">
      <c r="A17" s="32" t="str">
        <f>INDEX([2]活动总表!$A$8:$A$429,MATCH(B17,[2]活动总表!$B$8:$B$429,0))</f>
        <v>开服活动-铸造榜</v>
      </c>
      <c r="B17" s="1">
        <v>7</v>
      </c>
      <c r="C17" s="1">
        <v>15</v>
      </c>
      <c r="D17" s="1">
        <v>0</v>
      </c>
      <c r="E17" s="1">
        <v>12</v>
      </c>
      <c r="F17" s="1">
        <v>200003</v>
      </c>
      <c r="G17" s="1" t="str">
        <f>IFERROR(INDEX([1]物品基础表!$A:$A,MATCH(F17,[1]物品基础表!$B:$B,0)),"")</f>
        <v>铸造晶石</v>
      </c>
      <c r="H17" s="1">
        <v>80</v>
      </c>
      <c r="J17" s="1" t="str">
        <f>IFERROR(INDEX([1]物品基础表!$A:$A,MATCH(I17,[1]物品基础表!$B:$B,0)),"")</f>
        <v/>
      </c>
      <c r="M17" s="1" t="str">
        <f>IFERROR(INDEX([1]物品基础表!$A:$A,MATCH(L17,[1]物品基础表!$B:$B,0)),"")</f>
        <v/>
      </c>
    </row>
    <row r="18" spans="1:13">
      <c r="A18" s="32" t="str">
        <f>INDEX([2]活动总表!$A$8:$A$429,MATCH(B18,[2]活动总表!$B$8:$B$429,0))</f>
        <v>开服活动-铸造榜</v>
      </c>
      <c r="B18" s="1">
        <v>7</v>
      </c>
      <c r="C18" s="1">
        <v>16</v>
      </c>
      <c r="D18" s="1">
        <v>0</v>
      </c>
      <c r="E18" s="1">
        <v>12</v>
      </c>
      <c r="F18" s="1">
        <v>200003</v>
      </c>
      <c r="G18" s="1" t="str">
        <f>IFERROR(INDEX([1]物品基础表!$A:$A,MATCH(F18,[1]物品基础表!$B:$B,0)),"")</f>
        <v>铸造晶石</v>
      </c>
      <c r="H18" s="1">
        <v>80</v>
      </c>
      <c r="J18" s="1" t="str">
        <f>IFERROR(INDEX([1]物品基础表!$A:$A,MATCH(I18,[1]物品基础表!$B:$B,0)),"")</f>
        <v/>
      </c>
      <c r="M18" s="1" t="str">
        <f>IFERROR(INDEX([1]物品基础表!$A:$A,MATCH(L18,[1]物品基础表!$B:$B,0)),"")</f>
        <v/>
      </c>
    </row>
    <row r="19" spans="1:13">
      <c r="A19" s="32" t="str">
        <f>INDEX([2]活动总表!$A$8:$A$429,MATCH(B19,[2]活动总表!$B$8:$B$429,0))</f>
        <v>开服活动-铸造榜</v>
      </c>
      <c r="B19" s="1">
        <v>7</v>
      </c>
      <c r="C19" s="1">
        <v>17</v>
      </c>
      <c r="D19" s="1">
        <v>0</v>
      </c>
      <c r="E19" s="1">
        <v>12</v>
      </c>
      <c r="F19" s="1">
        <v>200003</v>
      </c>
      <c r="G19" s="1" t="str">
        <f>IFERROR(INDEX([1]物品基础表!$A:$A,MATCH(F19,[1]物品基础表!$B:$B,0)),"")</f>
        <v>铸造晶石</v>
      </c>
      <c r="H19" s="1">
        <v>80</v>
      </c>
      <c r="J19" s="1" t="str">
        <f>IFERROR(INDEX([1]物品基础表!$A:$A,MATCH(I19,[1]物品基础表!$B:$B,0)),"")</f>
        <v/>
      </c>
      <c r="M19" s="1" t="str">
        <f>IFERROR(INDEX([1]物品基础表!$A:$A,MATCH(L19,[1]物品基础表!$B:$B,0)),"")</f>
        <v/>
      </c>
    </row>
    <row r="20" spans="1:13">
      <c r="A20" s="32" t="str">
        <f>INDEX([2]活动总表!$A$8:$A$429,MATCH(B20,[2]活动总表!$B$8:$B$429,0))</f>
        <v>开服活动-铸造榜</v>
      </c>
      <c r="B20" s="1">
        <v>7</v>
      </c>
      <c r="C20" s="1">
        <v>18</v>
      </c>
      <c r="D20" s="1">
        <v>0</v>
      </c>
      <c r="E20" s="1">
        <v>12</v>
      </c>
      <c r="F20" s="1">
        <v>200003</v>
      </c>
      <c r="G20" s="1" t="str">
        <f>IFERROR(INDEX([1]物品基础表!$A:$A,MATCH(F20,[1]物品基础表!$B:$B,0)),"")</f>
        <v>铸造晶石</v>
      </c>
      <c r="H20" s="1">
        <v>80</v>
      </c>
      <c r="J20" s="1" t="str">
        <f>IFERROR(INDEX([1]物品基础表!$A:$A,MATCH(I20,[1]物品基础表!$B:$B,0)),"")</f>
        <v/>
      </c>
      <c r="M20" s="1" t="str">
        <f>IFERROR(INDEX([1]物品基础表!$A:$A,MATCH(L20,[1]物品基础表!$B:$B,0)),"")</f>
        <v/>
      </c>
    </row>
    <row r="21" spans="1:13">
      <c r="A21" s="32" t="str">
        <f>INDEX([2]活动总表!$A$8:$A$429,MATCH(B21,[2]活动总表!$B$8:$B$429,0))</f>
        <v>开服活动-铸造榜</v>
      </c>
      <c r="B21" s="1">
        <v>7</v>
      </c>
      <c r="C21" s="1">
        <v>19</v>
      </c>
      <c r="D21" s="1">
        <v>0</v>
      </c>
      <c r="E21" s="1">
        <v>12</v>
      </c>
      <c r="F21" s="1">
        <v>200003</v>
      </c>
      <c r="G21" s="1" t="str">
        <f>IFERROR(INDEX([1]物品基础表!$A:$A,MATCH(F21,[1]物品基础表!$B:$B,0)),"")</f>
        <v>铸造晶石</v>
      </c>
      <c r="H21" s="1">
        <v>80</v>
      </c>
      <c r="J21" s="1" t="str">
        <f>IFERROR(INDEX([1]物品基础表!$A:$A,MATCH(I21,[1]物品基础表!$B:$B,0)),"")</f>
        <v/>
      </c>
      <c r="M21" s="1" t="str">
        <f>IFERROR(INDEX([1]物品基础表!$A:$A,MATCH(L21,[1]物品基础表!$B:$B,0)),"")</f>
        <v/>
      </c>
    </row>
    <row r="22" spans="1:13">
      <c r="A22" s="32" t="str">
        <f>INDEX([2]活动总表!$A$8:$A$429,MATCH(B22,[2]活动总表!$B$8:$B$429,0))</f>
        <v>开服活动-铸造榜</v>
      </c>
      <c r="B22" s="1">
        <v>7</v>
      </c>
      <c r="C22" s="1">
        <v>20</v>
      </c>
      <c r="D22" s="1">
        <v>0</v>
      </c>
      <c r="E22" s="1">
        <v>12</v>
      </c>
      <c r="F22" s="1">
        <v>200003</v>
      </c>
      <c r="G22" s="1" t="str">
        <f>IFERROR(INDEX([1]物品基础表!$A:$A,MATCH(F22,[1]物品基础表!$B:$B,0)),"")</f>
        <v>铸造晶石</v>
      </c>
      <c r="H22" s="1">
        <v>80</v>
      </c>
      <c r="J22" s="1" t="str">
        <f>IFERROR(INDEX([1]物品基础表!$A:$A,MATCH(I22,[1]物品基础表!$B:$B,0)),"")</f>
        <v/>
      </c>
      <c r="M22" s="1" t="str">
        <f>IFERROR(INDEX([1]物品基础表!$A:$A,MATCH(L22,[1]物品基础表!$B:$B,0)),"")</f>
        <v/>
      </c>
    </row>
    <row r="23" spans="1:13">
      <c r="A23" s="32" t="str">
        <f>INDEX([2]活动总表!$A$8:$A$429,MATCH(B23,[2]活动总表!$B$8:$B$429,0))</f>
        <v>开服活动-铸造榜</v>
      </c>
      <c r="B23" s="1">
        <v>7</v>
      </c>
      <c r="C23" s="1">
        <v>0</v>
      </c>
      <c r="E23" s="1">
        <v>12</v>
      </c>
      <c r="G23" s="1" t="str">
        <f>IFERROR(INDEX([1]物品基础表!$A:$A,MATCH(F23,[1]物品基础表!$B:$B,0)),"")</f>
        <v/>
      </c>
      <c r="J23" s="1" t="str">
        <f>IFERROR(INDEX([1]物品基础表!$A:$A,MATCH(I23,[1]物品基础表!$B:$B,0)),"")</f>
        <v/>
      </c>
      <c r="M23" s="1" t="str">
        <f>IFERROR(INDEX([1]物品基础表!$A:$A,MATCH(L23,[1]物品基础表!$B:$B,0)),"")</f>
        <v/>
      </c>
    </row>
    <row r="24" spans="1:13">
      <c r="A24" s="32" t="str">
        <f>INDEX([2]活动总表!$A$8:$A$429,MATCH(B24,[2]活动总表!$B$8:$B$429,0))</f>
        <v>开服活动-龙魂榜</v>
      </c>
      <c r="B24" s="1">
        <v>8</v>
      </c>
      <c r="C24" s="1">
        <v>1</v>
      </c>
      <c r="D24" s="1">
        <v>0</v>
      </c>
      <c r="E24" s="1">
        <v>14</v>
      </c>
      <c r="F24" s="1">
        <v>900015</v>
      </c>
      <c r="G24" s="1" t="str">
        <f>IFERROR(INDEX([1]物品基础表!$A:$A,MATCH(F24,[1]物品基础表!$B:$B,0)),"")</f>
        <v>龙曜九天</v>
      </c>
      <c r="H24" s="1">
        <v>1</v>
      </c>
      <c r="I24" s="1">
        <v>200005</v>
      </c>
      <c r="J24" s="1" t="str">
        <f>IFERROR(INDEX([1]物品基础表!$A:$A,MATCH(I24,[1]物品基础表!$B:$B,0)),"")</f>
        <v>龙魂碎片</v>
      </c>
      <c r="K24" s="1">
        <v>80</v>
      </c>
      <c r="M24" s="1" t="str">
        <f>IFERROR(INDEX([1]物品基础表!$A:$A,MATCH(L24,[1]物品基础表!$B:$B,0)),"")</f>
        <v/>
      </c>
    </row>
    <row r="25" spans="1:13">
      <c r="A25" s="32" t="str">
        <f>INDEX([2]活动总表!$A$8:$A$429,MATCH(B25,[2]活动总表!$B$8:$B$429,0))</f>
        <v>开服活动-龙魂榜</v>
      </c>
      <c r="B25" s="1">
        <v>8</v>
      </c>
      <c r="C25" s="1">
        <v>2</v>
      </c>
      <c r="D25" s="1">
        <v>0</v>
      </c>
      <c r="E25" s="1">
        <v>14</v>
      </c>
      <c r="F25" s="1">
        <v>200005</v>
      </c>
      <c r="G25" s="1" t="str">
        <f>IFERROR(INDEX([1]物品基础表!$A:$A,MATCH(F25,[1]物品基础表!$B:$B,0)),"")</f>
        <v>龙魂碎片</v>
      </c>
      <c r="H25" s="1">
        <v>70</v>
      </c>
      <c r="J25" s="1" t="str">
        <f>IFERROR(INDEX([1]物品基础表!$A:$A,MATCH(I25,[1]物品基础表!$B:$B,0)),"")</f>
        <v/>
      </c>
      <c r="M25" s="1" t="str">
        <f>IFERROR(INDEX([1]物品基础表!$A:$A,MATCH(L25,[1]物品基础表!$B:$B,0)),"")</f>
        <v/>
      </c>
    </row>
    <row r="26" spans="1:13">
      <c r="A26" s="32" t="str">
        <f>INDEX([2]活动总表!$A$8:$A$429,MATCH(B26,[2]活动总表!$B$8:$B$429,0))</f>
        <v>开服活动-龙魂榜</v>
      </c>
      <c r="B26" s="1">
        <v>8</v>
      </c>
      <c r="C26" s="1">
        <v>3</v>
      </c>
      <c r="D26" s="1">
        <v>0</v>
      </c>
      <c r="E26" s="1">
        <v>14</v>
      </c>
      <c r="F26" s="1">
        <v>200005</v>
      </c>
      <c r="G26" s="1" t="str">
        <f>IFERROR(INDEX([1]物品基础表!$A:$A,MATCH(F26,[1]物品基础表!$B:$B,0)),"")</f>
        <v>龙魂碎片</v>
      </c>
      <c r="H26" s="1">
        <v>60</v>
      </c>
      <c r="J26" s="1" t="str">
        <f>IFERROR(INDEX([1]物品基础表!$A:$A,MATCH(I26,[1]物品基础表!$B:$B,0)),"")</f>
        <v/>
      </c>
      <c r="M26" s="1" t="str">
        <f>IFERROR(INDEX([1]物品基础表!$A:$A,MATCH(L26,[1]物品基础表!$B:$B,0)),"")</f>
        <v/>
      </c>
    </row>
    <row r="27" spans="1:13">
      <c r="A27" s="32" t="str">
        <f>INDEX([2]活动总表!$A$8:$A$429,MATCH(B27,[2]活动总表!$B$8:$B$429,0))</f>
        <v>开服活动-龙魂榜</v>
      </c>
      <c r="B27" s="1">
        <v>8</v>
      </c>
      <c r="C27" s="1">
        <v>4</v>
      </c>
      <c r="D27" s="1">
        <v>0</v>
      </c>
      <c r="E27" s="1">
        <v>14</v>
      </c>
      <c r="F27" s="1">
        <v>200005</v>
      </c>
      <c r="G27" s="1" t="str">
        <f>IFERROR(INDEX([1]物品基础表!$A:$A,MATCH(F27,[1]物品基础表!$B:$B,0)),"")</f>
        <v>龙魂碎片</v>
      </c>
      <c r="H27" s="1">
        <v>40</v>
      </c>
      <c r="J27" s="1" t="str">
        <f>IFERROR(INDEX([1]物品基础表!$A:$A,MATCH(I27,[1]物品基础表!$B:$B,0)),"")</f>
        <v/>
      </c>
      <c r="M27" s="1" t="str">
        <f>IFERROR(INDEX([1]物品基础表!$A:$A,MATCH(L27,[1]物品基础表!$B:$B,0)),"")</f>
        <v/>
      </c>
    </row>
    <row r="28" spans="1:13">
      <c r="A28" s="32" t="str">
        <f>INDEX([2]活动总表!$A$8:$A$429,MATCH(B28,[2]活动总表!$B$8:$B$429,0))</f>
        <v>开服活动-龙魂榜</v>
      </c>
      <c r="B28" s="1">
        <v>8</v>
      </c>
      <c r="C28" s="1">
        <v>5</v>
      </c>
      <c r="D28" s="1">
        <v>0</v>
      </c>
      <c r="E28" s="1">
        <v>14</v>
      </c>
      <c r="F28" s="1">
        <v>200005</v>
      </c>
      <c r="G28" s="1" t="str">
        <f>IFERROR(INDEX([1]物品基础表!$A:$A,MATCH(F28,[1]物品基础表!$B:$B,0)),"")</f>
        <v>龙魂碎片</v>
      </c>
      <c r="H28" s="1">
        <v>40</v>
      </c>
      <c r="J28" s="1" t="str">
        <f>IFERROR(INDEX([1]物品基础表!$A:$A,MATCH(I28,[1]物品基础表!$B:$B,0)),"")</f>
        <v/>
      </c>
      <c r="M28" s="1" t="str">
        <f>IFERROR(INDEX([1]物品基础表!$A:$A,MATCH(L28,[1]物品基础表!$B:$B,0)),"")</f>
        <v/>
      </c>
    </row>
    <row r="29" spans="1:13">
      <c r="A29" s="32" t="str">
        <f>INDEX([2]活动总表!$A$8:$A$429,MATCH(B29,[2]活动总表!$B$8:$B$429,0))</f>
        <v>开服活动-龙魂榜</v>
      </c>
      <c r="B29" s="1">
        <v>8</v>
      </c>
      <c r="C29" s="1">
        <v>6</v>
      </c>
      <c r="D29" s="1">
        <v>0</v>
      </c>
      <c r="E29" s="1">
        <v>14</v>
      </c>
      <c r="F29" s="1">
        <v>200005</v>
      </c>
      <c r="G29" s="1" t="str">
        <f>IFERROR(INDEX([1]物品基础表!$A:$A,MATCH(F29,[1]物品基础表!$B:$B,0)),"")</f>
        <v>龙魂碎片</v>
      </c>
      <c r="H29" s="1">
        <v>40</v>
      </c>
      <c r="J29" s="1" t="str">
        <f>IFERROR(INDEX([1]物品基础表!$A:$A,MATCH(I29,[1]物品基础表!$B:$B,0)),"")</f>
        <v/>
      </c>
      <c r="M29" s="1" t="str">
        <f>IFERROR(INDEX([1]物品基础表!$A:$A,MATCH(L29,[1]物品基础表!$B:$B,0)),"")</f>
        <v/>
      </c>
    </row>
    <row r="30" spans="1:13">
      <c r="A30" s="32" t="str">
        <f>INDEX([2]活动总表!$A$8:$A$429,MATCH(B30,[2]活动总表!$B$8:$B$429,0))</f>
        <v>开服活动-龙魂榜</v>
      </c>
      <c r="B30" s="1">
        <v>8</v>
      </c>
      <c r="C30" s="1">
        <v>7</v>
      </c>
      <c r="D30" s="1">
        <v>0</v>
      </c>
      <c r="E30" s="1">
        <v>14</v>
      </c>
      <c r="F30" s="1">
        <v>200005</v>
      </c>
      <c r="G30" s="1" t="str">
        <f>IFERROR(INDEX([1]物品基础表!$A:$A,MATCH(F30,[1]物品基础表!$B:$B,0)),"")</f>
        <v>龙魂碎片</v>
      </c>
      <c r="H30" s="1">
        <v>40</v>
      </c>
      <c r="J30" s="1" t="str">
        <f>IFERROR(INDEX([1]物品基础表!$A:$A,MATCH(I30,[1]物品基础表!$B:$B,0)),"")</f>
        <v/>
      </c>
      <c r="M30" s="1" t="str">
        <f>IFERROR(INDEX([1]物品基础表!$A:$A,MATCH(L30,[1]物品基础表!$B:$B,0)),"")</f>
        <v/>
      </c>
    </row>
    <row r="31" spans="1:13">
      <c r="A31" s="32" t="str">
        <f>INDEX([2]活动总表!$A$8:$A$429,MATCH(B31,[2]活动总表!$B$8:$B$429,0))</f>
        <v>开服活动-龙魂榜</v>
      </c>
      <c r="B31" s="1">
        <v>8</v>
      </c>
      <c r="C31" s="1">
        <v>8</v>
      </c>
      <c r="D31" s="1">
        <v>0</v>
      </c>
      <c r="E31" s="1">
        <v>14</v>
      </c>
      <c r="F31" s="1">
        <v>200005</v>
      </c>
      <c r="G31" s="1" t="str">
        <f>IFERROR(INDEX([1]物品基础表!$A:$A,MATCH(F31,[1]物品基础表!$B:$B,0)),"")</f>
        <v>龙魂碎片</v>
      </c>
      <c r="H31" s="1">
        <v>40</v>
      </c>
      <c r="J31" s="1" t="str">
        <f>IFERROR(INDEX([1]物品基础表!$A:$A,MATCH(I31,[1]物品基础表!$B:$B,0)),"")</f>
        <v/>
      </c>
      <c r="M31" s="1" t="str">
        <f>IFERROR(INDEX([1]物品基础表!$A:$A,MATCH(L31,[1]物品基础表!$B:$B,0)),"")</f>
        <v/>
      </c>
    </row>
    <row r="32" spans="1:13">
      <c r="A32" s="32" t="str">
        <f>INDEX([2]活动总表!$A$8:$A$429,MATCH(B32,[2]活动总表!$B$8:$B$429,0))</f>
        <v>开服活动-龙魂榜</v>
      </c>
      <c r="B32" s="1">
        <v>8</v>
      </c>
      <c r="C32" s="1">
        <v>9</v>
      </c>
      <c r="D32" s="1">
        <v>0</v>
      </c>
      <c r="E32" s="1">
        <v>14</v>
      </c>
      <c r="F32" s="1">
        <v>200005</v>
      </c>
      <c r="G32" s="1" t="str">
        <f>IFERROR(INDEX([1]物品基础表!$A:$A,MATCH(F32,[1]物品基础表!$B:$B,0)),"")</f>
        <v>龙魂碎片</v>
      </c>
      <c r="H32" s="1">
        <v>40</v>
      </c>
      <c r="J32" s="1" t="str">
        <f>IFERROR(INDEX([1]物品基础表!$A:$A,MATCH(I32,[1]物品基础表!$B:$B,0)),"")</f>
        <v/>
      </c>
      <c r="M32" s="1" t="str">
        <f>IFERROR(INDEX([1]物品基础表!$A:$A,MATCH(L32,[1]物品基础表!$B:$B,0)),"")</f>
        <v/>
      </c>
    </row>
    <row r="33" spans="1:13">
      <c r="A33" s="32" t="str">
        <f>INDEX([2]活动总表!$A$8:$A$429,MATCH(B33,[2]活动总表!$B$8:$B$429,0))</f>
        <v>开服活动-龙魂榜</v>
      </c>
      <c r="B33" s="1">
        <v>8</v>
      </c>
      <c r="C33" s="1">
        <v>10</v>
      </c>
      <c r="D33" s="1">
        <v>0</v>
      </c>
      <c r="E33" s="1">
        <v>14</v>
      </c>
      <c r="F33" s="1">
        <v>200005</v>
      </c>
      <c r="G33" s="1" t="str">
        <f>IFERROR(INDEX([1]物品基础表!$A:$A,MATCH(F33,[1]物品基础表!$B:$B,0)),"")</f>
        <v>龙魂碎片</v>
      </c>
      <c r="H33" s="1">
        <v>40</v>
      </c>
      <c r="J33" s="1" t="str">
        <f>IFERROR(INDEX([1]物品基础表!$A:$A,MATCH(I33,[1]物品基础表!$B:$B,0)),"")</f>
        <v/>
      </c>
      <c r="M33" s="1" t="str">
        <f>IFERROR(INDEX([1]物品基础表!$A:$A,MATCH(L33,[1]物品基础表!$B:$B,0)),"")</f>
        <v/>
      </c>
    </row>
    <row r="34" spans="1:13">
      <c r="A34" s="32" t="str">
        <f>INDEX([2]活动总表!$A$8:$A$429,MATCH(B34,[2]活动总表!$B$8:$B$429,0))</f>
        <v>开服活动-龙魂榜</v>
      </c>
      <c r="B34" s="1">
        <v>8</v>
      </c>
      <c r="C34" s="1">
        <v>11</v>
      </c>
      <c r="D34" s="1">
        <v>0</v>
      </c>
      <c r="E34" s="1">
        <v>14</v>
      </c>
      <c r="F34" s="1">
        <v>200005</v>
      </c>
      <c r="G34" s="1" t="str">
        <f>IFERROR(INDEX([1]物品基础表!$A:$A,MATCH(F34,[1]物品基础表!$B:$B,0)),"")</f>
        <v>龙魂碎片</v>
      </c>
      <c r="H34" s="1">
        <v>40</v>
      </c>
      <c r="J34" s="1" t="str">
        <f>IFERROR(INDEX([1]物品基础表!$A:$A,MATCH(I34,[1]物品基础表!$B:$B,0)),"")</f>
        <v/>
      </c>
      <c r="M34" s="1" t="str">
        <f>IFERROR(INDEX([1]物品基础表!$A:$A,MATCH(L34,[1]物品基础表!$B:$B,0)),"")</f>
        <v/>
      </c>
    </row>
    <row r="35" spans="1:13">
      <c r="A35" s="32" t="str">
        <f>INDEX([2]活动总表!$A$8:$A$429,MATCH(B35,[2]活动总表!$B$8:$B$429,0))</f>
        <v>开服活动-龙魂榜</v>
      </c>
      <c r="B35" s="1">
        <v>8</v>
      </c>
      <c r="C35" s="1">
        <v>12</v>
      </c>
      <c r="D35" s="1">
        <v>0</v>
      </c>
      <c r="E35" s="1">
        <v>14</v>
      </c>
      <c r="F35" s="1">
        <v>200005</v>
      </c>
      <c r="G35" s="1" t="str">
        <f>IFERROR(INDEX([1]物品基础表!$A:$A,MATCH(F35,[1]物品基础表!$B:$B,0)),"")</f>
        <v>龙魂碎片</v>
      </c>
      <c r="H35" s="1">
        <v>40</v>
      </c>
      <c r="J35" s="1" t="str">
        <f>IFERROR(INDEX([1]物品基础表!$A:$A,MATCH(I35,[1]物品基础表!$B:$B,0)),"")</f>
        <v/>
      </c>
      <c r="M35" s="1" t="str">
        <f>IFERROR(INDEX([1]物品基础表!$A:$A,MATCH(L35,[1]物品基础表!$B:$B,0)),"")</f>
        <v/>
      </c>
    </row>
    <row r="36" spans="1:13">
      <c r="A36" s="32" t="str">
        <f>INDEX([2]活动总表!$A$8:$A$429,MATCH(B36,[2]活动总表!$B$8:$B$429,0))</f>
        <v>开服活动-龙魂榜</v>
      </c>
      <c r="B36" s="1">
        <v>8</v>
      </c>
      <c r="C36" s="1">
        <v>13</v>
      </c>
      <c r="D36" s="1">
        <v>0</v>
      </c>
      <c r="E36" s="1">
        <v>14</v>
      </c>
      <c r="F36" s="1">
        <v>200005</v>
      </c>
      <c r="G36" s="1" t="str">
        <f>IFERROR(INDEX([1]物品基础表!$A:$A,MATCH(F36,[1]物品基础表!$B:$B,0)),"")</f>
        <v>龙魂碎片</v>
      </c>
      <c r="H36" s="1">
        <v>40</v>
      </c>
      <c r="J36" s="1" t="str">
        <f>IFERROR(INDEX([1]物品基础表!$A:$A,MATCH(I36,[1]物品基础表!$B:$B,0)),"")</f>
        <v/>
      </c>
      <c r="M36" s="1" t="str">
        <f>IFERROR(INDEX([1]物品基础表!$A:$A,MATCH(L36,[1]物品基础表!$B:$B,0)),"")</f>
        <v/>
      </c>
    </row>
    <row r="37" spans="1:13">
      <c r="A37" s="32" t="str">
        <f>INDEX([2]活动总表!$A$8:$A$429,MATCH(B37,[2]活动总表!$B$8:$B$429,0))</f>
        <v>开服活动-龙魂榜</v>
      </c>
      <c r="B37" s="1">
        <v>8</v>
      </c>
      <c r="C37" s="1">
        <v>14</v>
      </c>
      <c r="D37" s="1">
        <v>0</v>
      </c>
      <c r="E37" s="1">
        <v>14</v>
      </c>
      <c r="F37" s="1">
        <v>200005</v>
      </c>
      <c r="G37" s="1" t="str">
        <f>IFERROR(INDEX([1]物品基础表!$A:$A,MATCH(F37,[1]物品基础表!$B:$B,0)),"")</f>
        <v>龙魂碎片</v>
      </c>
      <c r="H37" s="1">
        <v>40</v>
      </c>
      <c r="J37" s="1" t="str">
        <f>IFERROR(INDEX([1]物品基础表!$A:$A,MATCH(I37,[1]物品基础表!$B:$B,0)),"")</f>
        <v/>
      </c>
      <c r="M37" s="1" t="str">
        <f>IFERROR(INDEX([1]物品基础表!$A:$A,MATCH(L37,[1]物品基础表!$B:$B,0)),"")</f>
        <v/>
      </c>
    </row>
    <row r="38" spans="1:13">
      <c r="A38" s="32" t="str">
        <f>INDEX([2]活动总表!$A$8:$A$429,MATCH(B38,[2]活动总表!$B$8:$B$429,0))</f>
        <v>开服活动-龙魂榜</v>
      </c>
      <c r="B38" s="1">
        <v>8</v>
      </c>
      <c r="C38" s="1">
        <v>15</v>
      </c>
      <c r="D38" s="1">
        <v>0</v>
      </c>
      <c r="E38" s="1">
        <v>14</v>
      </c>
      <c r="F38" s="1">
        <v>200005</v>
      </c>
      <c r="G38" s="1" t="str">
        <f>IFERROR(INDEX([1]物品基础表!$A:$A,MATCH(F38,[1]物品基础表!$B:$B,0)),"")</f>
        <v>龙魂碎片</v>
      </c>
      <c r="H38" s="1">
        <v>40</v>
      </c>
      <c r="J38" s="1" t="str">
        <f>IFERROR(INDEX([1]物品基础表!$A:$A,MATCH(I38,[1]物品基础表!$B:$B,0)),"")</f>
        <v/>
      </c>
      <c r="M38" s="1" t="str">
        <f>IFERROR(INDEX([1]物品基础表!$A:$A,MATCH(L38,[1]物品基础表!$B:$B,0)),"")</f>
        <v/>
      </c>
    </row>
    <row r="39" spans="1:13">
      <c r="A39" s="32" t="str">
        <f>INDEX([2]活动总表!$A$8:$A$429,MATCH(B39,[2]活动总表!$B$8:$B$429,0))</f>
        <v>开服活动-龙魂榜</v>
      </c>
      <c r="B39" s="1">
        <v>8</v>
      </c>
      <c r="C39" s="1">
        <v>16</v>
      </c>
      <c r="D39" s="1">
        <v>0</v>
      </c>
      <c r="E39" s="1">
        <v>14</v>
      </c>
      <c r="F39" s="1">
        <v>200005</v>
      </c>
      <c r="G39" s="1" t="str">
        <f>IFERROR(INDEX([1]物品基础表!$A:$A,MATCH(F39,[1]物品基础表!$B:$B,0)),"")</f>
        <v>龙魂碎片</v>
      </c>
      <c r="H39" s="1">
        <v>40</v>
      </c>
      <c r="J39" s="1" t="str">
        <f>IFERROR(INDEX([1]物品基础表!$A:$A,MATCH(I39,[1]物品基础表!$B:$B,0)),"")</f>
        <v/>
      </c>
      <c r="M39" s="1" t="str">
        <f>IFERROR(INDEX([1]物品基础表!$A:$A,MATCH(L39,[1]物品基础表!$B:$B,0)),"")</f>
        <v/>
      </c>
    </row>
    <row r="40" spans="1:13">
      <c r="A40" s="32" t="str">
        <f>INDEX([2]活动总表!$A$8:$A$429,MATCH(B40,[2]活动总表!$B$8:$B$429,0))</f>
        <v>开服活动-龙魂榜</v>
      </c>
      <c r="B40" s="1">
        <v>8</v>
      </c>
      <c r="C40" s="1">
        <v>17</v>
      </c>
      <c r="D40" s="1">
        <v>0</v>
      </c>
      <c r="E40" s="1">
        <v>14</v>
      </c>
      <c r="F40" s="1">
        <v>200005</v>
      </c>
      <c r="G40" s="1" t="str">
        <f>IFERROR(INDEX([1]物品基础表!$A:$A,MATCH(F40,[1]物品基础表!$B:$B,0)),"")</f>
        <v>龙魂碎片</v>
      </c>
      <c r="H40" s="1">
        <v>40</v>
      </c>
      <c r="J40" s="1" t="str">
        <f>IFERROR(INDEX([1]物品基础表!$A:$A,MATCH(I40,[1]物品基础表!$B:$B,0)),"")</f>
        <v/>
      </c>
      <c r="M40" s="1" t="str">
        <f>IFERROR(INDEX([1]物品基础表!$A:$A,MATCH(L40,[1]物品基础表!$B:$B,0)),"")</f>
        <v/>
      </c>
    </row>
    <row r="41" spans="1:13">
      <c r="A41" s="32" t="str">
        <f>INDEX([2]活动总表!$A$8:$A$429,MATCH(B41,[2]活动总表!$B$8:$B$429,0))</f>
        <v>开服活动-龙魂榜</v>
      </c>
      <c r="B41" s="1">
        <v>8</v>
      </c>
      <c r="C41" s="1">
        <v>18</v>
      </c>
      <c r="D41" s="1">
        <v>0</v>
      </c>
      <c r="E41" s="1">
        <v>14</v>
      </c>
      <c r="F41" s="1">
        <v>200005</v>
      </c>
      <c r="G41" s="1" t="str">
        <f>IFERROR(INDEX([1]物品基础表!$A:$A,MATCH(F41,[1]物品基础表!$B:$B,0)),"")</f>
        <v>龙魂碎片</v>
      </c>
      <c r="H41" s="1">
        <v>40</v>
      </c>
      <c r="J41" s="1" t="str">
        <f>IFERROR(INDEX([1]物品基础表!$A:$A,MATCH(I41,[1]物品基础表!$B:$B,0)),"")</f>
        <v/>
      </c>
      <c r="M41" s="1" t="str">
        <f>IFERROR(INDEX([1]物品基础表!$A:$A,MATCH(L41,[1]物品基础表!$B:$B,0)),"")</f>
        <v/>
      </c>
    </row>
    <row r="42" spans="1:13">
      <c r="A42" s="32" t="str">
        <f>INDEX([2]活动总表!$A$8:$A$429,MATCH(B42,[2]活动总表!$B$8:$B$429,0))</f>
        <v>开服活动-龙魂榜</v>
      </c>
      <c r="B42" s="1">
        <v>8</v>
      </c>
      <c r="C42" s="1">
        <v>19</v>
      </c>
      <c r="D42" s="1">
        <v>0</v>
      </c>
      <c r="E42" s="1">
        <v>14</v>
      </c>
      <c r="F42" s="1">
        <v>200005</v>
      </c>
      <c r="G42" s="1" t="str">
        <f>IFERROR(INDEX([1]物品基础表!$A:$A,MATCH(F42,[1]物品基础表!$B:$B,0)),"")</f>
        <v>龙魂碎片</v>
      </c>
      <c r="H42" s="1">
        <v>40</v>
      </c>
      <c r="J42" s="1" t="str">
        <f>IFERROR(INDEX([1]物品基础表!$A:$A,MATCH(I42,[1]物品基础表!$B:$B,0)),"")</f>
        <v/>
      </c>
      <c r="M42" s="1" t="str">
        <f>IFERROR(INDEX([1]物品基础表!$A:$A,MATCH(L42,[1]物品基础表!$B:$B,0)),"")</f>
        <v/>
      </c>
    </row>
    <row r="43" spans="1:13">
      <c r="A43" s="32" t="str">
        <f>INDEX([2]活动总表!$A$8:$A$429,MATCH(B43,[2]活动总表!$B$8:$B$429,0))</f>
        <v>开服活动-龙魂榜</v>
      </c>
      <c r="B43" s="1">
        <v>8</v>
      </c>
      <c r="C43" s="1">
        <v>20</v>
      </c>
      <c r="D43" s="1">
        <v>0</v>
      </c>
      <c r="E43" s="1">
        <v>14</v>
      </c>
      <c r="F43" s="1">
        <v>200005</v>
      </c>
      <c r="G43" s="1" t="str">
        <f>IFERROR(INDEX([1]物品基础表!$A:$A,MATCH(F43,[1]物品基础表!$B:$B,0)),"")</f>
        <v>龙魂碎片</v>
      </c>
      <c r="H43" s="1">
        <v>40</v>
      </c>
      <c r="J43" s="1" t="str">
        <f>IFERROR(INDEX([1]物品基础表!$A:$A,MATCH(I43,[1]物品基础表!$B:$B,0)),"")</f>
        <v/>
      </c>
      <c r="M43" s="1" t="str">
        <f>IFERROR(INDEX([1]物品基础表!$A:$A,MATCH(L43,[1]物品基础表!$B:$B,0)),"")</f>
        <v/>
      </c>
    </row>
    <row r="44" spans="1:13">
      <c r="A44" s="32" t="str">
        <f>INDEX([2]活动总表!$A$8:$A$429,MATCH(B44,[2]活动总表!$B$8:$B$429,0))</f>
        <v>开服活动-龙魂榜</v>
      </c>
      <c r="B44" s="1">
        <v>8</v>
      </c>
      <c r="C44" s="1">
        <v>0</v>
      </c>
      <c r="E44" s="1">
        <v>14</v>
      </c>
      <c r="G44" s="1" t="str">
        <f>IFERROR(INDEX([1]物品基础表!$A:$A,MATCH(F44,[1]物品基础表!$B:$B,0)),"")</f>
        <v/>
      </c>
      <c r="J44" s="1" t="str">
        <f>IFERROR(INDEX([1]物品基础表!$A:$A,MATCH(I44,[1]物品基础表!$B:$B,0)),"")</f>
        <v/>
      </c>
      <c r="M44" s="1" t="str">
        <f>IFERROR(INDEX([1]物品基础表!$A:$A,MATCH(L44,[1]物品基础表!$B:$B,0)),"")</f>
        <v/>
      </c>
    </row>
    <row r="45" spans="1:13">
      <c r="A45" s="32" t="str">
        <f>INDEX([2]活动总表!$A$8:$A$429,MATCH(B45,[2]活动总表!$B$8:$B$429,0))</f>
        <v>开服活动-翅膀榜</v>
      </c>
      <c r="B45" s="1">
        <v>9</v>
      </c>
      <c r="C45" s="1">
        <v>1</v>
      </c>
      <c r="D45" s="1">
        <v>0</v>
      </c>
      <c r="E45" s="1">
        <v>16</v>
      </c>
      <c r="F45" s="1">
        <v>900016</v>
      </c>
      <c r="G45" s="1" t="str">
        <f>IFERROR(INDEX([1]物品基础表!$A:$A,MATCH(F45,[1]物品基础表!$B:$B,0)),"")</f>
        <v>飞龙乘云</v>
      </c>
      <c r="H45" s="1">
        <v>1</v>
      </c>
      <c r="I45" s="1">
        <v>601000</v>
      </c>
      <c r="J45" s="1" t="str">
        <f>IFERROR(INDEX([1]物品基础表!$A:$A,MATCH(I45,[1]物品基础表!$B:$B,0)),"")</f>
        <v>神羽碎片</v>
      </c>
      <c r="K45" s="1">
        <v>32</v>
      </c>
      <c r="M45" s="1" t="str">
        <f>IFERROR(INDEX([1]物品基础表!$A:$A,MATCH(L45,[1]物品基础表!$B:$B,0)),"")</f>
        <v/>
      </c>
    </row>
    <row r="46" spans="1:13">
      <c r="A46" s="32" t="str">
        <f>INDEX([2]活动总表!$A$8:$A$429,MATCH(B46,[2]活动总表!$B$8:$B$429,0))</f>
        <v>开服活动-翅膀榜</v>
      </c>
      <c r="B46" s="1">
        <v>9</v>
      </c>
      <c r="C46" s="1">
        <v>2</v>
      </c>
      <c r="D46" s="1">
        <v>0</v>
      </c>
      <c r="E46" s="1">
        <v>16</v>
      </c>
      <c r="F46" s="1">
        <v>601000</v>
      </c>
      <c r="G46" s="1" t="str">
        <f>IFERROR(INDEX([1]物品基础表!$A:$A,MATCH(F46,[1]物品基础表!$B:$B,0)),"")</f>
        <v>神羽碎片</v>
      </c>
      <c r="H46" s="1">
        <v>28</v>
      </c>
      <c r="J46" s="1" t="str">
        <f>IFERROR(INDEX([1]物品基础表!$A:$A,MATCH(I46,[1]物品基础表!$B:$B,0)),"")</f>
        <v/>
      </c>
      <c r="M46" s="1" t="str">
        <f>IFERROR(INDEX([1]物品基础表!$A:$A,MATCH(L46,[1]物品基础表!$B:$B,0)),"")</f>
        <v/>
      </c>
    </row>
    <row r="47" spans="1:13">
      <c r="A47" s="32" t="str">
        <f>INDEX([2]活动总表!$A$8:$A$429,MATCH(B47,[2]活动总表!$B$8:$B$429,0))</f>
        <v>开服活动-翅膀榜</v>
      </c>
      <c r="B47" s="1">
        <v>9</v>
      </c>
      <c r="C47" s="1">
        <v>3</v>
      </c>
      <c r="D47" s="1">
        <v>0</v>
      </c>
      <c r="E47" s="1">
        <v>16</v>
      </c>
      <c r="F47" s="1">
        <v>601000</v>
      </c>
      <c r="G47" s="1" t="str">
        <f>IFERROR(INDEX([1]物品基础表!$A:$A,MATCH(F47,[1]物品基础表!$B:$B,0)),"")</f>
        <v>神羽碎片</v>
      </c>
      <c r="H47" s="1">
        <v>24</v>
      </c>
      <c r="J47" s="1" t="str">
        <f>IFERROR(INDEX([1]物品基础表!$A:$A,MATCH(I47,[1]物品基础表!$B:$B,0)),"")</f>
        <v/>
      </c>
      <c r="M47" s="1" t="str">
        <f>IFERROR(INDEX([1]物品基础表!$A:$A,MATCH(L47,[1]物品基础表!$B:$B,0)),"")</f>
        <v/>
      </c>
    </row>
    <row r="48" spans="1:13">
      <c r="A48" s="32" t="str">
        <f>INDEX([2]活动总表!$A$8:$A$429,MATCH(B48,[2]活动总表!$B$8:$B$429,0))</f>
        <v>开服活动-翅膀榜</v>
      </c>
      <c r="B48" s="1">
        <v>9</v>
      </c>
      <c r="C48" s="1">
        <v>4</v>
      </c>
      <c r="D48" s="1">
        <v>0</v>
      </c>
      <c r="E48" s="1">
        <v>16</v>
      </c>
      <c r="F48" s="1">
        <v>601000</v>
      </c>
      <c r="G48" s="1" t="str">
        <f>IFERROR(INDEX([1]物品基础表!$A:$A,MATCH(F48,[1]物品基础表!$B:$B,0)),"")</f>
        <v>神羽碎片</v>
      </c>
      <c r="H48" s="1">
        <v>16</v>
      </c>
      <c r="J48" s="1" t="str">
        <f>IFERROR(INDEX([1]物品基础表!$A:$A,MATCH(I48,[1]物品基础表!$B:$B,0)),"")</f>
        <v/>
      </c>
      <c r="M48" s="1" t="str">
        <f>IFERROR(INDEX([1]物品基础表!$A:$A,MATCH(L48,[1]物品基础表!$B:$B,0)),"")</f>
        <v/>
      </c>
    </row>
    <row r="49" spans="1:13">
      <c r="A49" s="32" t="str">
        <f>INDEX([2]活动总表!$A$8:$A$429,MATCH(B49,[2]活动总表!$B$8:$B$429,0))</f>
        <v>开服活动-翅膀榜</v>
      </c>
      <c r="B49" s="1">
        <v>9</v>
      </c>
      <c r="C49" s="1">
        <v>5</v>
      </c>
      <c r="D49" s="1">
        <v>0</v>
      </c>
      <c r="E49" s="1">
        <v>16</v>
      </c>
      <c r="F49" s="1">
        <v>601000</v>
      </c>
      <c r="G49" s="1" t="str">
        <f>IFERROR(INDEX([1]物品基础表!$A:$A,MATCH(F49,[1]物品基础表!$B:$B,0)),"")</f>
        <v>神羽碎片</v>
      </c>
      <c r="H49" s="1">
        <v>16</v>
      </c>
      <c r="J49" s="1" t="str">
        <f>IFERROR(INDEX([1]物品基础表!$A:$A,MATCH(I49,[1]物品基础表!$B:$B,0)),"")</f>
        <v/>
      </c>
      <c r="M49" s="1" t="str">
        <f>IFERROR(INDEX([1]物品基础表!$A:$A,MATCH(L49,[1]物品基础表!$B:$B,0)),"")</f>
        <v/>
      </c>
    </row>
    <row r="50" spans="1:13">
      <c r="A50" s="32" t="str">
        <f>INDEX([2]活动总表!$A$8:$A$429,MATCH(B50,[2]活动总表!$B$8:$B$429,0))</f>
        <v>开服活动-翅膀榜</v>
      </c>
      <c r="B50" s="1">
        <v>9</v>
      </c>
      <c r="C50" s="1">
        <v>6</v>
      </c>
      <c r="D50" s="1">
        <v>0</v>
      </c>
      <c r="E50" s="1">
        <v>16</v>
      </c>
      <c r="F50" s="1">
        <v>601000</v>
      </c>
      <c r="G50" s="1" t="str">
        <f>IFERROR(INDEX([1]物品基础表!$A:$A,MATCH(F50,[1]物品基础表!$B:$B,0)),"")</f>
        <v>神羽碎片</v>
      </c>
      <c r="H50" s="1">
        <v>16</v>
      </c>
      <c r="J50" s="1" t="str">
        <f>IFERROR(INDEX([1]物品基础表!$A:$A,MATCH(I50,[1]物品基础表!$B:$B,0)),"")</f>
        <v/>
      </c>
      <c r="M50" s="1" t="str">
        <f>IFERROR(INDEX([1]物品基础表!$A:$A,MATCH(L50,[1]物品基础表!$B:$B,0)),"")</f>
        <v/>
      </c>
    </row>
    <row r="51" spans="1:13">
      <c r="A51" s="32" t="str">
        <f>INDEX([2]活动总表!$A$8:$A$429,MATCH(B51,[2]活动总表!$B$8:$B$429,0))</f>
        <v>开服活动-翅膀榜</v>
      </c>
      <c r="B51" s="1">
        <v>9</v>
      </c>
      <c r="C51" s="1">
        <v>7</v>
      </c>
      <c r="D51" s="1">
        <v>0</v>
      </c>
      <c r="E51" s="1">
        <v>16</v>
      </c>
      <c r="F51" s="1">
        <v>601000</v>
      </c>
      <c r="G51" s="1" t="str">
        <f>IFERROR(INDEX([1]物品基础表!$A:$A,MATCH(F51,[1]物品基础表!$B:$B,0)),"")</f>
        <v>神羽碎片</v>
      </c>
      <c r="H51" s="1">
        <v>16</v>
      </c>
      <c r="J51" s="1" t="str">
        <f>IFERROR(INDEX([1]物品基础表!$A:$A,MATCH(I51,[1]物品基础表!$B:$B,0)),"")</f>
        <v/>
      </c>
      <c r="M51" s="1" t="str">
        <f>IFERROR(INDEX([1]物品基础表!$A:$A,MATCH(L51,[1]物品基础表!$B:$B,0)),"")</f>
        <v/>
      </c>
    </row>
    <row r="52" spans="1:13">
      <c r="A52" s="32" t="str">
        <f>INDEX([2]活动总表!$A$8:$A$429,MATCH(B52,[2]活动总表!$B$8:$B$429,0))</f>
        <v>开服活动-翅膀榜</v>
      </c>
      <c r="B52" s="1">
        <v>9</v>
      </c>
      <c r="C52" s="1">
        <v>8</v>
      </c>
      <c r="D52" s="1">
        <v>0</v>
      </c>
      <c r="E52" s="1">
        <v>16</v>
      </c>
      <c r="F52" s="1">
        <v>601000</v>
      </c>
      <c r="G52" s="1" t="str">
        <f>IFERROR(INDEX([1]物品基础表!$A:$A,MATCH(F52,[1]物品基础表!$B:$B,0)),"")</f>
        <v>神羽碎片</v>
      </c>
      <c r="H52" s="1">
        <v>16</v>
      </c>
      <c r="J52" s="1" t="str">
        <f>IFERROR(INDEX([1]物品基础表!$A:$A,MATCH(I52,[1]物品基础表!$B:$B,0)),"")</f>
        <v/>
      </c>
      <c r="M52" s="1" t="str">
        <f>IFERROR(INDEX([1]物品基础表!$A:$A,MATCH(L52,[1]物品基础表!$B:$B,0)),"")</f>
        <v/>
      </c>
    </row>
    <row r="53" spans="1:13">
      <c r="A53" s="32" t="str">
        <f>INDEX([2]活动总表!$A$8:$A$429,MATCH(B53,[2]活动总表!$B$8:$B$429,0))</f>
        <v>开服活动-翅膀榜</v>
      </c>
      <c r="B53" s="1">
        <v>9</v>
      </c>
      <c r="C53" s="1">
        <v>9</v>
      </c>
      <c r="D53" s="1">
        <v>0</v>
      </c>
      <c r="E53" s="1">
        <v>16</v>
      </c>
      <c r="F53" s="1">
        <v>601000</v>
      </c>
      <c r="G53" s="1" t="str">
        <f>IFERROR(INDEX([1]物品基础表!$A:$A,MATCH(F53,[1]物品基础表!$B:$B,0)),"")</f>
        <v>神羽碎片</v>
      </c>
      <c r="H53" s="1">
        <v>16</v>
      </c>
      <c r="J53" s="1" t="str">
        <f>IFERROR(INDEX([1]物品基础表!$A:$A,MATCH(I53,[1]物品基础表!$B:$B,0)),"")</f>
        <v/>
      </c>
      <c r="M53" s="1" t="str">
        <f>IFERROR(INDEX([1]物品基础表!$A:$A,MATCH(L53,[1]物品基础表!$B:$B,0)),"")</f>
        <v/>
      </c>
    </row>
    <row r="54" spans="1:13">
      <c r="A54" s="32" t="str">
        <f>INDEX([2]活动总表!$A$8:$A$429,MATCH(B54,[2]活动总表!$B$8:$B$429,0))</f>
        <v>开服活动-翅膀榜</v>
      </c>
      <c r="B54" s="1">
        <v>9</v>
      </c>
      <c r="C54" s="1">
        <v>10</v>
      </c>
      <c r="D54" s="1">
        <v>0</v>
      </c>
      <c r="E54" s="1">
        <v>16</v>
      </c>
      <c r="F54" s="1">
        <v>601000</v>
      </c>
      <c r="G54" s="1" t="str">
        <f>IFERROR(INDEX([1]物品基础表!$A:$A,MATCH(F54,[1]物品基础表!$B:$B,0)),"")</f>
        <v>神羽碎片</v>
      </c>
      <c r="H54" s="1">
        <v>16</v>
      </c>
      <c r="J54" s="1" t="str">
        <f>IFERROR(INDEX([1]物品基础表!$A:$A,MATCH(I54,[1]物品基础表!$B:$B,0)),"")</f>
        <v/>
      </c>
      <c r="M54" s="1" t="str">
        <f>IFERROR(INDEX([1]物品基础表!$A:$A,MATCH(L54,[1]物品基础表!$B:$B,0)),"")</f>
        <v/>
      </c>
    </row>
    <row r="55" spans="1:13">
      <c r="A55" s="32" t="str">
        <f>INDEX([2]活动总表!$A$8:$A$429,MATCH(B55,[2]活动总表!$B$8:$B$429,0))</f>
        <v>开服活动-翅膀榜</v>
      </c>
      <c r="B55" s="1">
        <v>9</v>
      </c>
      <c r="C55" s="1">
        <v>11</v>
      </c>
      <c r="D55" s="1">
        <v>0</v>
      </c>
      <c r="E55" s="1">
        <v>16</v>
      </c>
      <c r="F55" s="1">
        <v>601000</v>
      </c>
      <c r="G55" s="1" t="str">
        <f>IFERROR(INDEX([1]物品基础表!$A:$A,MATCH(F55,[1]物品基础表!$B:$B,0)),"")</f>
        <v>神羽碎片</v>
      </c>
      <c r="H55" s="1">
        <v>16</v>
      </c>
      <c r="J55" s="1" t="str">
        <f>IFERROR(INDEX([1]物品基础表!$A:$A,MATCH(I55,[1]物品基础表!$B:$B,0)),"")</f>
        <v/>
      </c>
      <c r="M55" s="1" t="str">
        <f>IFERROR(INDEX([1]物品基础表!$A:$A,MATCH(L55,[1]物品基础表!$B:$B,0)),"")</f>
        <v/>
      </c>
    </row>
    <row r="56" spans="1:13">
      <c r="A56" s="32" t="str">
        <f>INDEX([2]活动总表!$A$8:$A$429,MATCH(B56,[2]活动总表!$B$8:$B$429,0))</f>
        <v>开服活动-翅膀榜</v>
      </c>
      <c r="B56" s="1">
        <v>9</v>
      </c>
      <c r="C56" s="1">
        <v>12</v>
      </c>
      <c r="D56" s="1">
        <v>0</v>
      </c>
      <c r="E56" s="1">
        <v>16</v>
      </c>
      <c r="F56" s="1">
        <v>601000</v>
      </c>
      <c r="G56" s="1" t="str">
        <f>IFERROR(INDEX([1]物品基础表!$A:$A,MATCH(F56,[1]物品基础表!$B:$B,0)),"")</f>
        <v>神羽碎片</v>
      </c>
      <c r="H56" s="1">
        <v>16</v>
      </c>
      <c r="J56" s="1" t="str">
        <f>IFERROR(INDEX([1]物品基础表!$A:$A,MATCH(I56,[1]物品基础表!$B:$B,0)),"")</f>
        <v/>
      </c>
      <c r="M56" s="1" t="str">
        <f>IFERROR(INDEX([1]物品基础表!$A:$A,MATCH(L56,[1]物品基础表!$B:$B,0)),"")</f>
        <v/>
      </c>
    </row>
    <row r="57" spans="1:13">
      <c r="A57" s="32" t="str">
        <f>INDEX([2]活动总表!$A$8:$A$429,MATCH(B57,[2]活动总表!$B$8:$B$429,0))</f>
        <v>开服活动-翅膀榜</v>
      </c>
      <c r="B57" s="1">
        <v>9</v>
      </c>
      <c r="C57" s="1">
        <v>13</v>
      </c>
      <c r="D57" s="1">
        <v>0</v>
      </c>
      <c r="E57" s="1">
        <v>16</v>
      </c>
      <c r="F57" s="1">
        <v>601000</v>
      </c>
      <c r="G57" s="1" t="str">
        <f>IFERROR(INDEX([1]物品基础表!$A:$A,MATCH(F57,[1]物品基础表!$B:$B,0)),"")</f>
        <v>神羽碎片</v>
      </c>
      <c r="H57" s="1">
        <v>16</v>
      </c>
      <c r="J57" s="1" t="str">
        <f>IFERROR(INDEX([1]物品基础表!$A:$A,MATCH(I57,[1]物品基础表!$B:$B,0)),"")</f>
        <v/>
      </c>
      <c r="M57" s="1" t="str">
        <f>IFERROR(INDEX([1]物品基础表!$A:$A,MATCH(L57,[1]物品基础表!$B:$B,0)),"")</f>
        <v/>
      </c>
    </row>
    <row r="58" spans="1:13">
      <c r="A58" s="32" t="str">
        <f>INDEX([2]活动总表!$A$8:$A$429,MATCH(B58,[2]活动总表!$B$8:$B$429,0))</f>
        <v>开服活动-翅膀榜</v>
      </c>
      <c r="B58" s="1">
        <v>9</v>
      </c>
      <c r="C58" s="1">
        <v>14</v>
      </c>
      <c r="D58" s="1">
        <v>0</v>
      </c>
      <c r="E58" s="1">
        <v>16</v>
      </c>
      <c r="F58" s="1">
        <v>601000</v>
      </c>
      <c r="G58" s="1" t="str">
        <f>IFERROR(INDEX([1]物品基础表!$A:$A,MATCH(F58,[1]物品基础表!$B:$B,0)),"")</f>
        <v>神羽碎片</v>
      </c>
      <c r="H58" s="1">
        <v>16</v>
      </c>
      <c r="J58" s="1" t="str">
        <f>IFERROR(INDEX([1]物品基础表!$A:$A,MATCH(I58,[1]物品基础表!$B:$B,0)),"")</f>
        <v/>
      </c>
      <c r="M58" s="1" t="str">
        <f>IFERROR(INDEX([1]物品基础表!$A:$A,MATCH(L58,[1]物品基础表!$B:$B,0)),"")</f>
        <v/>
      </c>
    </row>
    <row r="59" spans="1:13">
      <c r="A59" s="32" t="str">
        <f>INDEX([2]活动总表!$A$8:$A$429,MATCH(B59,[2]活动总表!$B$8:$B$429,0))</f>
        <v>开服活动-翅膀榜</v>
      </c>
      <c r="B59" s="1">
        <v>9</v>
      </c>
      <c r="C59" s="1">
        <v>15</v>
      </c>
      <c r="D59" s="1">
        <v>0</v>
      </c>
      <c r="E59" s="1">
        <v>16</v>
      </c>
      <c r="F59" s="1">
        <v>601000</v>
      </c>
      <c r="G59" s="1" t="str">
        <f>IFERROR(INDEX([1]物品基础表!$A:$A,MATCH(F59,[1]物品基础表!$B:$B,0)),"")</f>
        <v>神羽碎片</v>
      </c>
      <c r="H59" s="1">
        <v>16</v>
      </c>
      <c r="J59" s="1" t="str">
        <f>IFERROR(INDEX([1]物品基础表!$A:$A,MATCH(I59,[1]物品基础表!$B:$B,0)),"")</f>
        <v/>
      </c>
      <c r="M59" s="1" t="str">
        <f>IFERROR(INDEX([1]物品基础表!$A:$A,MATCH(L59,[1]物品基础表!$B:$B,0)),"")</f>
        <v/>
      </c>
    </row>
    <row r="60" spans="1:13">
      <c r="A60" s="32" t="str">
        <f>INDEX([2]活动总表!$A$8:$A$429,MATCH(B60,[2]活动总表!$B$8:$B$429,0))</f>
        <v>开服活动-翅膀榜</v>
      </c>
      <c r="B60" s="1">
        <v>9</v>
      </c>
      <c r="C60" s="1">
        <v>16</v>
      </c>
      <c r="D60" s="1">
        <v>0</v>
      </c>
      <c r="E60" s="1">
        <v>16</v>
      </c>
      <c r="F60" s="1">
        <v>601000</v>
      </c>
      <c r="G60" s="1" t="str">
        <f>IFERROR(INDEX([1]物品基础表!$A:$A,MATCH(F60,[1]物品基础表!$B:$B,0)),"")</f>
        <v>神羽碎片</v>
      </c>
      <c r="H60" s="1">
        <v>16</v>
      </c>
      <c r="J60" s="1" t="str">
        <f>IFERROR(INDEX([1]物品基础表!$A:$A,MATCH(I60,[1]物品基础表!$B:$B,0)),"")</f>
        <v/>
      </c>
      <c r="M60" s="1" t="str">
        <f>IFERROR(INDEX([1]物品基础表!$A:$A,MATCH(L60,[1]物品基础表!$B:$B,0)),"")</f>
        <v/>
      </c>
    </row>
    <row r="61" spans="1:13">
      <c r="A61" s="32" t="str">
        <f>INDEX([2]活动总表!$A$8:$A$429,MATCH(B61,[2]活动总表!$B$8:$B$429,0))</f>
        <v>开服活动-翅膀榜</v>
      </c>
      <c r="B61" s="1">
        <v>9</v>
      </c>
      <c r="C61" s="1">
        <v>17</v>
      </c>
      <c r="D61" s="1">
        <v>0</v>
      </c>
      <c r="E61" s="1">
        <v>16</v>
      </c>
      <c r="F61" s="1">
        <v>601000</v>
      </c>
      <c r="G61" s="1" t="str">
        <f>IFERROR(INDEX([1]物品基础表!$A:$A,MATCH(F61,[1]物品基础表!$B:$B,0)),"")</f>
        <v>神羽碎片</v>
      </c>
      <c r="H61" s="1">
        <v>16</v>
      </c>
      <c r="J61" s="1" t="str">
        <f>IFERROR(INDEX([1]物品基础表!$A:$A,MATCH(I61,[1]物品基础表!$B:$B,0)),"")</f>
        <v/>
      </c>
      <c r="M61" s="1" t="str">
        <f>IFERROR(INDEX([1]物品基础表!$A:$A,MATCH(L61,[1]物品基础表!$B:$B,0)),"")</f>
        <v/>
      </c>
    </row>
    <row r="62" spans="1:13">
      <c r="A62" s="32" t="str">
        <f>INDEX([2]活动总表!$A$8:$A$429,MATCH(B62,[2]活动总表!$B$8:$B$429,0))</f>
        <v>开服活动-翅膀榜</v>
      </c>
      <c r="B62" s="1">
        <v>9</v>
      </c>
      <c r="C62" s="1">
        <v>18</v>
      </c>
      <c r="D62" s="1">
        <v>0</v>
      </c>
      <c r="E62" s="1">
        <v>16</v>
      </c>
      <c r="F62" s="1">
        <v>601000</v>
      </c>
      <c r="G62" s="1" t="str">
        <f>IFERROR(INDEX([1]物品基础表!$A:$A,MATCH(F62,[1]物品基础表!$B:$B,0)),"")</f>
        <v>神羽碎片</v>
      </c>
      <c r="H62" s="1">
        <v>16</v>
      </c>
      <c r="J62" s="1" t="str">
        <f>IFERROR(INDEX([1]物品基础表!$A:$A,MATCH(I62,[1]物品基础表!$B:$B,0)),"")</f>
        <v/>
      </c>
      <c r="M62" s="1" t="str">
        <f>IFERROR(INDEX([1]物品基础表!$A:$A,MATCH(L62,[1]物品基础表!$B:$B,0)),"")</f>
        <v/>
      </c>
    </row>
    <row r="63" spans="1:13">
      <c r="A63" s="32" t="str">
        <f>INDEX([2]活动总表!$A$8:$A$429,MATCH(B63,[2]活动总表!$B$8:$B$429,0))</f>
        <v>开服活动-翅膀榜</v>
      </c>
      <c r="B63" s="1">
        <v>9</v>
      </c>
      <c r="C63" s="1">
        <v>19</v>
      </c>
      <c r="D63" s="1">
        <v>0</v>
      </c>
      <c r="E63" s="1">
        <v>16</v>
      </c>
      <c r="F63" s="1">
        <v>601000</v>
      </c>
      <c r="G63" s="1" t="str">
        <f>IFERROR(INDEX([1]物品基础表!$A:$A,MATCH(F63,[1]物品基础表!$B:$B,0)),"")</f>
        <v>神羽碎片</v>
      </c>
      <c r="H63" s="1">
        <v>16</v>
      </c>
      <c r="J63" s="1" t="str">
        <f>IFERROR(INDEX([1]物品基础表!$A:$A,MATCH(I63,[1]物品基础表!$B:$B,0)),"")</f>
        <v/>
      </c>
      <c r="M63" s="1" t="str">
        <f>IFERROR(INDEX([1]物品基础表!$A:$A,MATCH(L63,[1]物品基础表!$B:$B,0)),"")</f>
        <v/>
      </c>
    </row>
    <row r="64" spans="1:13">
      <c r="A64" s="32" t="str">
        <f>INDEX([2]活动总表!$A$8:$A$429,MATCH(B64,[2]活动总表!$B$8:$B$429,0))</f>
        <v>开服活动-翅膀榜</v>
      </c>
      <c r="B64" s="1">
        <v>9</v>
      </c>
      <c r="C64" s="1">
        <v>20</v>
      </c>
      <c r="D64" s="1">
        <v>0</v>
      </c>
      <c r="E64" s="1">
        <v>16</v>
      </c>
      <c r="F64" s="1">
        <v>601000</v>
      </c>
      <c r="G64" s="1" t="str">
        <f>IFERROR(INDEX([1]物品基础表!$A:$A,MATCH(F64,[1]物品基础表!$B:$B,0)),"")</f>
        <v>神羽碎片</v>
      </c>
      <c r="H64" s="1">
        <v>16</v>
      </c>
      <c r="J64" s="1" t="str">
        <f>IFERROR(INDEX([1]物品基础表!$A:$A,MATCH(I64,[1]物品基础表!$B:$B,0)),"")</f>
        <v/>
      </c>
      <c r="M64" s="1" t="str">
        <f>IFERROR(INDEX([1]物品基础表!$A:$A,MATCH(L64,[1]物品基础表!$B:$B,0)),"")</f>
        <v/>
      </c>
    </row>
    <row r="65" spans="1:13">
      <c r="A65" s="32" t="str">
        <f>INDEX([2]活动总表!$A$8:$A$429,MATCH(B65,[2]活动总表!$B$8:$B$429,0))</f>
        <v>开服活动-翅膀榜</v>
      </c>
      <c r="B65" s="1">
        <v>9</v>
      </c>
      <c r="C65" s="1">
        <v>0</v>
      </c>
      <c r="E65" s="1">
        <v>16</v>
      </c>
      <c r="G65" s="1" t="str">
        <f>IFERROR(INDEX([1]物品基础表!$A:$A,MATCH(F65,[1]物品基础表!$B:$B,0)),"")</f>
        <v/>
      </c>
      <c r="J65" s="1" t="str">
        <f>IFERROR(INDEX([1]物品基础表!$A:$A,MATCH(I65,[1]物品基础表!$B:$B,0)),"")</f>
        <v/>
      </c>
      <c r="M65" s="1" t="str">
        <f>IFERROR(INDEX([1]物品基础表!$A:$A,MATCH(L65,[1]物品基础表!$B:$B,0)),"")</f>
        <v/>
      </c>
    </row>
    <row r="66" spans="1:13">
      <c r="A66" s="32" t="str">
        <f>INDEX([2]活动总表!$A$8:$A$429,MATCH(B66,[2]活动总表!$B$8:$B$429,0))</f>
        <v>开服活动-图鉴榜</v>
      </c>
      <c r="B66" s="1">
        <v>10</v>
      </c>
      <c r="C66" s="1">
        <v>1</v>
      </c>
      <c r="D66" s="1">
        <v>0</v>
      </c>
      <c r="E66" s="1">
        <v>17</v>
      </c>
      <c r="F66" s="1">
        <v>900017</v>
      </c>
      <c r="G66" s="1" t="str">
        <f>IFERROR(INDEX([1]物品基础表!$A:$A,MATCH(F66,[1]物品基础表!$B:$B,0)),"")</f>
        <v>学识无双</v>
      </c>
      <c r="H66" s="1">
        <v>1</v>
      </c>
      <c r="I66" s="1">
        <v>270002</v>
      </c>
      <c r="J66" s="1" t="str">
        <f>IFERROR(INDEX([1]物品基础表!$A:$A,MATCH(I66,[1]物品基础表!$B:$B,0)),"")</f>
        <v>中级经验卡</v>
      </c>
      <c r="K66" s="1">
        <v>10</v>
      </c>
      <c r="M66" s="1" t="str">
        <f>IFERROR(INDEX([1]物品基础表!$A:$A,MATCH(L66,[1]物品基础表!$B:$B,0)),"")</f>
        <v/>
      </c>
    </row>
    <row r="67" spans="1:13">
      <c r="A67" s="32" t="str">
        <f>INDEX([2]活动总表!$A$8:$A$429,MATCH(B67,[2]活动总表!$B$8:$B$429,0))</f>
        <v>开服活动-图鉴榜</v>
      </c>
      <c r="B67" s="1">
        <v>10</v>
      </c>
      <c r="C67" s="1">
        <v>2</v>
      </c>
      <c r="D67" s="1">
        <v>0</v>
      </c>
      <c r="E67" s="1">
        <v>17</v>
      </c>
      <c r="F67" s="1">
        <v>270002</v>
      </c>
      <c r="G67" s="1" t="str">
        <f>IFERROR(INDEX([1]物品基础表!$A:$A,MATCH(F67,[1]物品基础表!$B:$B,0)),"")</f>
        <v>中级经验卡</v>
      </c>
      <c r="H67" s="1">
        <v>8</v>
      </c>
      <c r="J67" s="1" t="str">
        <f>IFERROR(INDEX([1]物品基础表!$A:$A,MATCH(I67,[1]物品基础表!$B:$B,0)),"")</f>
        <v/>
      </c>
      <c r="M67" s="1" t="str">
        <f>IFERROR(INDEX([1]物品基础表!$A:$A,MATCH(L67,[1]物品基础表!$B:$B,0)),"")</f>
        <v/>
      </c>
    </row>
    <row r="68" spans="1:13">
      <c r="A68" s="32" t="str">
        <f>INDEX([2]活动总表!$A$8:$A$429,MATCH(B68,[2]活动总表!$B$8:$B$429,0))</f>
        <v>开服活动-图鉴榜</v>
      </c>
      <c r="B68" s="1">
        <v>10</v>
      </c>
      <c r="C68" s="1">
        <v>3</v>
      </c>
      <c r="D68" s="1">
        <v>0</v>
      </c>
      <c r="E68" s="1">
        <v>17</v>
      </c>
      <c r="F68" s="1">
        <v>270002</v>
      </c>
      <c r="G68" s="1" t="str">
        <f>IFERROR(INDEX([1]物品基础表!$A:$A,MATCH(F68,[1]物品基础表!$B:$B,0)),"")</f>
        <v>中级经验卡</v>
      </c>
      <c r="H68" s="1">
        <v>7</v>
      </c>
      <c r="J68" s="1" t="str">
        <f>IFERROR(INDEX([1]物品基础表!$A:$A,MATCH(I68,[1]物品基础表!$B:$B,0)),"")</f>
        <v/>
      </c>
      <c r="M68" s="1" t="str">
        <f>IFERROR(INDEX([1]物品基础表!$A:$A,MATCH(L68,[1]物品基础表!$B:$B,0)),"")</f>
        <v/>
      </c>
    </row>
    <row r="69" spans="1:13">
      <c r="A69" s="32" t="str">
        <f>INDEX([2]活动总表!$A$8:$A$429,MATCH(B69,[2]活动总表!$B$8:$B$429,0))</f>
        <v>开服活动-图鉴榜</v>
      </c>
      <c r="B69" s="1">
        <v>10</v>
      </c>
      <c r="C69" s="1">
        <v>4</v>
      </c>
      <c r="D69" s="1">
        <v>0</v>
      </c>
      <c r="E69" s="1">
        <v>17</v>
      </c>
      <c r="F69" s="1">
        <v>270002</v>
      </c>
      <c r="G69" s="1" t="str">
        <f>IFERROR(INDEX([1]物品基础表!$A:$A,MATCH(F69,[1]物品基础表!$B:$B,0)),"")</f>
        <v>中级经验卡</v>
      </c>
      <c r="H69" s="1">
        <v>5</v>
      </c>
      <c r="J69" s="1" t="str">
        <f>IFERROR(INDEX([1]物品基础表!$A:$A,MATCH(I69,[1]物品基础表!$B:$B,0)),"")</f>
        <v/>
      </c>
      <c r="M69" s="1" t="str">
        <f>IFERROR(INDEX([1]物品基础表!$A:$A,MATCH(L69,[1]物品基础表!$B:$B,0)),"")</f>
        <v/>
      </c>
    </row>
    <row r="70" spans="1:13">
      <c r="A70" s="32" t="str">
        <f>INDEX([2]活动总表!$A$8:$A$429,MATCH(B70,[2]活动总表!$B$8:$B$429,0))</f>
        <v>开服活动-图鉴榜</v>
      </c>
      <c r="B70" s="1">
        <v>10</v>
      </c>
      <c r="C70" s="1">
        <v>5</v>
      </c>
      <c r="D70" s="1">
        <v>0</v>
      </c>
      <c r="E70" s="1">
        <v>17</v>
      </c>
      <c r="F70" s="1">
        <v>270002</v>
      </c>
      <c r="G70" s="1" t="str">
        <f>IFERROR(INDEX([1]物品基础表!$A:$A,MATCH(F70,[1]物品基础表!$B:$B,0)),"")</f>
        <v>中级经验卡</v>
      </c>
      <c r="H70" s="1">
        <v>5</v>
      </c>
      <c r="J70" s="1" t="str">
        <f>IFERROR(INDEX([1]物品基础表!$A:$A,MATCH(I70,[1]物品基础表!$B:$B,0)),"")</f>
        <v/>
      </c>
      <c r="M70" s="1" t="str">
        <f>IFERROR(INDEX([1]物品基础表!$A:$A,MATCH(L70,[1]物品基础表!$B:$B,0)),"")</f>
        <v/>
      </c>
    </row>
    <row r="71" spans="1:13">
      <c r="A71" s="32" t="str">
        <f>INDEX([2]活动总表!$A$8:$A$429,MATCH(B71,[2]活动总表!$B$8:$B$429,0))</f>
        <v>开服活动-图鉴榜</v>
      </c>
      <c r="B71" s="1">
        <v>10</v>
      </c>
      <c r="C71" s="1">
        <v>6</v>
      </c>
      <c r="D71" s="1">
        <v>0</v>
      </c>
      <c r="E71" s="1">
        <v>17</v>
      </c>
      <c r="F71" s="1">
        <v>270002</v>
      </c>
      <c r="G71" s="1" t="str">
        <f>IFERROR(INDEX([1]物品基础表!$A:$A,MATCH(F71,[1]物品基础表!$B:$B,0)),"")</f>
        <v>中级经验卡</v>
      </c>
      <c r="H71" s="1">
        <v>5</v>
      </c>
      <c r="J71" s="1" t="str">
        <f>IFERROR(INDEX([1]物品基础表!$A:$A,MATCH(I71,[1]物品基础表!$B:$B,0)),"")</f>
        <v/>
      </c>
      <c r="M71" s="1" t="str">
        <f>IFERROR(INDEX([1]物品基础表!$A:$A,MATCH(L71,[1]物品基础表!$B:$B,0)),"")</f>
        <v/>
      </c>
    </row>
    <row r="72" spans="1:13">
      <c r="A72" s="32" t="str">
        <f>INDEX([2]活动总表!$A$8:$A$429,MATCH(B72,[2]活动总表!$B$8:$B$429,0))</f>
        <v>开服活动-图鉴榜</v>
      </c>
      <c r="B72" s="1">
        <v>10</v>
      </c>
      <c r="C72" s="1">
        <v>7</v>
      </c>
      <c r="D72" s="1">
        <v>0</v>
      </c>
      <c r="E72" s="1">
        <v>17</v>
      </c>
      <c r="F72" s="1">
        <v>270002</v>
      </c>
      <c r="G72" s="1" t="str">
        <f>IFERROR(INDEX([1]物品基础表!$A:$A,MATCH(F72,[1]物品基础表!$B:$B,0)),"")</f>
        <v>中级经验卡</v>
      </c>
      <c r="H72" s="1">
        <v>5</v>
      </c>
      <c r="J72" s="1" t="str">
        <f>IFERROR(INDEX([1]物品基础表!$A:$A,MATCH(I72,[1]物品基础表!$B:$B,0)),"")</f>
        <v/>
      </c>
      <c r="M72" s="1" t="str">
        <f>IFERROR(INDEX([1]物品基础表!$A:$A,MATCH(L72,[1]物品基础表!$B:$B,0)),"")</f>
        <v/>
      </c>
    </row>
    <row r="73" spans="1:13">
      <c r="A73" s="32" t="str">
        <f>INDEX([2]活动总表!$A$8:$A$429,MATCH(B73,[2]活动总表!$B$8:$B$429,0))</f>
        <v>开服活动-图鉴榜</v>
      </c>
      <c r="B73" s="1">
        <v>10</v>
      </c>
      <c r="C73" s="1">
        <v>8</v>
      </c>
      <c r="D73" s="1">
        <v>0</v>
      </c>
      <c r="E73" s="1">
        <v>17</v>
      </c>
      <c r="F73" s="1">
        <v>270002</v>
      </c>
      <c r="G73" s="1" t="str">
        <f>IFERROR(INDEX([1]物品基础表!$A:$A,MATCH(F73,[1]物品基础表!$B:$B,0)),"")</f>
        <v>中级经验卡</v>
      </c>
      <c r="H73" s="1">
        <v>5</v>
      </c>
      <c r="J73" s="1" t="str">
        <f>IFERROR(INDEX([1]物品基础表!$A:$A,MATCH(I73,[1]物品基础表!$B:$B,0)),"")</f>
        <v/>
      </c>
      <c r="M73" s="1" t="str">
        <f>IFERROR(INDEX([1]物品基础表!$A:$A,MATCH(L73,[1]物品基础表!$B:$B,0)),"")</f>
        <v/>
      </c>
    </row>
    <row r="74" spans="1:13">
      <c r="A74" s="32" t="str">
        <f>INDEX([2]活动总表!$A$8:$A$429,MATCH(B74,[2]活动总表!$B$8:$B$429,0))</f>
        <v>开服活动-图鉴榜</v>
      </c>
      <c r="B74" s="1">
        <v>10</v>
      </c>
      <c r="C74" s="1">
        <v>9</v>
      </c>
      <c r="D74" s="1">
        <v>0</v>
      </c>
      <c r="E74" s="1">
        <v>17</v>
      </c>
      <c r="F74" s="1">
        <v>270002</v>
      </c>
      <c r="G74" s="1" t="str">
        <f>IFERROR(INDEX([1]物品基础表!$A:$A,MATCH(F74,[1]物品基础表!$B:$B,0)),"")</f>
        <v>中级经验卡</v>
      </c>
      <c r="H74" s="1">
        <v>5</v>
      </c>
      <c r="J74" s="1" t="str">
        <f>IFERROR(INDEX([1]物品基础表!$A:$A,MATCH(I74,[1]物品基础表!$B:$B,0)),"")</f>
        <v/>
      </c>
      <c r="M74" s="1" t="str">
        <f>IFERROR(INDEX([1]物品基础表!$A:$A,MATCH(L74,[1]物品基础表!$B:$B,0)),"")</f>
        <v/>
      </c>
    </row>
    <row r="75" spans="1:13">
      <c r="A75" s="32" t="str">
        <f>INDEX([2]活动总表!$A$8:$A$429,MATCH(B75,[2]活动总表!$B$8:$B$429,0))</f>
        <v>开服活动-图鉴榜</v>
      </c>
      <c r="B75" s="1">
        <v>10</v>
      </c>
      <c r="C75" s="1">
        <v>10</v>
      </c>
      <c r="D75" s="1">
        <v>0</v>
      </c>
      <c r="E75" s="1">
        <v>17</v>
      </c>
      <c r="F75" s="1">
        <v>270002</v>
      </c>
      <c r="G75" s="1" t="str">
        <f>IFERROR(INDEX([1]物品基础表!$A:$A,MATCH(F75,[1]物品基础表!$B:$B,0)),"")</f>
        <v>中级经验卡</v>
      </c>
      <c r="H75" s="1">
        <v>5</v>
      </c>
      <c r="J75" s="1" t="str">
        <f>IFERROR(INDEX([1]物品基础表!$A:$A,MATCH(I75,[1]物品基础表!$B:$B,0)),"")</f>
        <v/>
      </c>
      <c r="M75" s="1" t="str">
        <f>IFERROR(INDEX([1]物品基础表!$A:$A,MATCH(L75,[1]物品基础表!$B:$B,0)),"")</f>
        <v/>
      </c>
    </row>
    <row r="76" spans="1:13">
      <c r="A76" s="32" t="str">
        <f>INDEX([2]活动总表!$A$8:$A$429,MATCH(B76,[2]活动总表!$B$8:$B$429,0))</f>
        <v>开服活动-图鉴榜</v>
      </c>
      <c r="B76" s="1">
        <v>10</v>
      </c>
      <c r="C76" s="1">
        <v>11</v>
      </c>
      <c r="D76" s="1">
        <v>0</v>
      </c>
      <c r="E76" s="1">
        <v>17</v>
      </c>
      <c r="F76" s="1">
        <v>270002</v>
      </c>
      <c r="G76" s="1" t="str">
        <f>IFERROR(INDEX([1]物品基础表!$A:$A,MATCH(F76,[1]物品基础表!$B:$B,0)),"")</f>
        <v>中级经验卡</v>
      </c>
      <c r="H76" s="1">
        <v>5</v>
      </c>
      <c r="J76" s="1" t="str">
        <f>IFERROR(INDEX([1]物品基础表!$A:$A,MATCH(I76,[1]物品基础表!$B:$B,0)),"")</f>
        <v/>
      </c>
      <c r="M76" s="1" t="str">
        <f>IFERROR(INDEX([1]物品基础表!$A:$A,MATCH(L76,[1]物品基础表!$B:$B,0)),"")</f>
        <v/>
      </c>
    </row>
    <row r="77" spans="1:13">
      <c r="A77" s="32" t="str">
        <f>INDEX([2]活动总表!$A$8:$A$429,MATCH(B77,[2]活动总表!$B$8:$B$429,0))</f>
        <v>开服活动-图鉴榜</v>
      </c>
      <c r="B77" s="1">
        <v>10</v>
      </c>
      <c r="C77" s="1">
        <v>12</v>
      </c>
      <c r="D77" s="1">
        <v>0</v>
      </c>
      <c r="E77" s="1">
        <v>17</v>
      </c>
      <c r="F77" s="1">
        <v>270002</v>
      </c>
      <c r="G77" s="1" t="str">
        <f>IFERROR(INDEX([1]物品基础表!$A:$A,MATCH(F77,[1]物品基础表!$B:$B,0)),"")</f>
        <v>中级经验卡</v>
      </c>
      <c r="H77" s="1">
        <v>5</v>
      </c>
      <c r="J77" s="1" t="str">
        <f>IFERROR(INDEX([1]物品基础表!$A:$A,MATCH(I77,[1]物品基础表!$B:$B,0)),"")</f>
        <v/>
      </c>
      <c r="M77" s="1" t="str">
        <f>IFERROR(INDEX([1]物品基础表!$A:$A,MATCH(L77,[1]物品基础表!$B:$B,0)),"")</f>
        <v/>
      </c>
    </row>
    <row r="78" spans="1:13">
      <c r="A78" s="32" t="str">
        <f>INDEX([2]活动总表!$A$8:$A$429,MATCH(B78,[2]活动总表!$B$8:$B$429,0))</f>
        <v>开服活动-图鉴榜</v>
      </c>
      <c r="B78" s="1">
        <v>10</v>
      </c>
      <c r="C78" s="1">
        <v>13</v>
      </c>
      <c r="D78" s="1">
        <v>0</v>
      </c>
      <c r="E78" s="1">
        <v>17</v>
      </c>
      <c r="F78" s="1">
        <v>270002</v>
      </c>
      <c r="G78" s="1" t="str">
        <f>IFERROR(INDEX([1]物品基础表!$A:$A,MATCH(F78,[1]物品基础表!$B:$B,0)),"")</f>
        <v>中级经验卡</v>
      </c>
      <c r="H78" s="1">
        <v>5</v>
      </c>
      <c r="J78" s="1" t="str">
        <f>IFERROR(INDEX([1]物品基础表!$A:$A,MATCH(I78,[1]物品基础表!$B:$B,0)),"")</f>
        <v/>
      </c>
      <c r="M78" s="1" t="str">
        <f>IFERROR(INDEX([1]物品基础表!$A:$A,MATCH(L78,[1]物品基础表!$B:$B,0)),"")</f>
        <v/>
      </c>
    </row>
    <row r="79" spans="1:13">
      <c r="A79" s="32" t="str">
        <f>INDEX([2]活动总表!$A$8:$A$429,MATCH(B79,[2]活动总表!$B$8:$B$429,0))</f>
        <v>开服活动-图鉴榜</v>
      </c>
      <c r="B79" s="1">
        <v>10</v>
      </c>
      <c r="C79" s="1">
        <v>14</v>
      </c>
      <c r="D79" s="1">
        <v>0</v>
      </c>
      <c r="E79" s="1">
        <v>17</v>
      </c>
      <c r="F79" s="1">
        <v>270002</v>
      </c>
      <c r="G79" s="1" t="str">
        <f>IFERROR(INDEX([1]物品基础表!$A:$A,MATCH(F79,[1]物品基础表!$B:$B,0)),"")</f>
        <v>中级经验卡</v>
      </c>
      <c r="H79" s="1">
        <v>5</v>
      </c>
      <c r="J79" s="1" t="str">
        <f>IFERROR(INDEX([1]物品基础表!$A:$A,MATCH(I79,[1]物品基础表!$B:$B,0)),"")</f>
        <v/>
      </c>
      <c r="M79" s="1" t="str">
        <f>IFERROR(INDEX([1]物品基础表!$A:$A,MATCH(L79,[1]物品基础表!$B:$B,0)),"")</f>
        <v/>
      </c>
    </row>
    <row r="80" spans="1:13">
      <c r="A80" s="32" t="str">
        <f>INDEX([2]活动总表!$A$8:$A$429,MATCH(B80,[2]活动总表!$B$8:$B$429,0))</f>
        <v>开服活动-图鉴榜</v>
      </c>
      <c r="B80" s="1">
        <v>10</v>
      </c>
      <c r="C80" s="1">
        <v>15</v>
      </c>
      <c r="D80" s="1">
        <v>0</v>
      </c>
      <c r="E80" s="1">
        <v>17</v>
      </c>
      <c r="F80" s="1">
        <v>270002</v>
      </c>
      <c r="G80" s="1" t="str">
        <f>IFERROR(INDEX([1]物品基础表!$A:$A,MATCH(F80,[1]物品基础表!$B:$B,0)),"")</f>
        <v>中级经验卡</v>
      </c>
      <c r="H80" s="1">
        <v>5</v>
      </c>
      <c r="J80" s="1" t="str">
        <f>IFERROR(INDEX([1]物品基础表!$A:$A,MATCH(I80,[1]物品基础表!$B:$B,0)),"")</f>
        <v/>
      </c>
      <c r="M80" s="1" t="str">
        <f>IFERROR(INDEX([1]物品基础表!$A:$A,MATCH(L80,[1]物品基础表!$B:$B,0)),"")</f>
        <v/>
      </c>
    </row>
    <row r="81" spans="1:13">
      <c r="A81" s="32" t="str">
        <f>INDEX([2]活动总表!$A$8:$A$429,MATCH(B81,[2]活动总表!$B$8:$B$429,0))</f>
        <v>开服活动-图鉴榜</v>
      </c>
      <c r="B81" s="1">
        <v>10</v>
      </c>
      <c r="C81" s="1">
        <v>16</v>
      </c>
      <c r="D81" s="1">
        <v>0</v>
      </c>
      <c r="E81" s="1">
        <v>17</v>
      </c>
      <c r="F81" s="1">
        <v>270002</v>
      </c>
      <c r="G81" s="1" t="str">
        <f>IFERROR(INDEX([1]物品基础表!$A:$A,MATCH(F81,[1]物品基础表!$B:$B,0)),"")</f>
        <v>中级经验卡</v>
      </c>
      <c r="H81" s="1">
        <v>5</v>
      </c>
      <c r="J81" s="1" t="str">
        <f>IFERROR(INDEX([1]物品基础表!$A:$A,MATCH(I81,[1]物品基础表!$B:$B,0)),"")</f>
        <v/>
      </c>
      <c r="M81" s="1" t="str">
        <f>IFERROR(INDEX([1]物品基础表!$A:$A,MATCH(L81,[1]物品基础表!$B:$B,0)),"")</f>
        <v/>
      </c>
    </row>
    <row r="82" spans="1:13">
      <c r="A82" s="32" t="str">
        <f>INDEX([2]活动总表!$A$8:$A$429,MATCH(B82,[2]活动总表!$B$8:$B$429,0))</f>
        <v>开服活动-图鉴榜</v>
      </c>
      <c r="B82" s="1">
        <v>10</v>
      </c>
      <c r="C82" s="1">
        <v>17</v>
      </c>
      <c r="D82" s="1">
        <v>0</v>
      </c>
      <c r="E82" s="1">
        <v>17</v>
      </c>
      <c r="F82" s="1">
        <v>270002</v>
      </c>
      <c r="G82" s="1" t="str">
        <f>IFERROR(INDEX([1]物品基础表!$A:$A,MATCH(F82,[1]物品基础表!$B:$B,0)),"")</f>
        <v>中级经验卡</v>
      </c>
      <c r="H82" s="1">
        <v>5</v>
      </c>
      <c r="J82" s="1" t="str">
        <f>IFERROR(INDEX([1]物品基础表!$A:$A,MATCH(I82,[1]物品基础表!$B:$B,0)),"")</f>
        <v/>
      </c>
      <c r="M82" s="1" t="str">
        <f>IFERROR(INDEX([1]物品基础表!$A:$A,MATCH(L82,[1]物品基础表!$B:$B,0)),"")</f>
        <v/>
      </c>
    </row>
    <row r="83" spans="1:13">
      <c r="A83" s="32" t="str">
        <f>INDEX([2]活动总表!$A$8:$A$429,MATCH(B83,[2]活动总表!$B$8:$B$429,0))</f>
        <v>开服活动-图鉴榜</v>
      </c>
      <c r="B83" s="1">
        <v>10</v>
      </c>
      <c r="C83" s="1">
        <v>18</v>
      </c>
      <c r="D83" s="1">
        <v>0</v>
      </c>
      <c r="E83" s="1">
        <v>17</v>
      </c>
      <c r="F83" s="1">
        <v>270002</v>
      </c>
      <c r="G83" s="1" t="str">
        <f>IFERROR(INDEX([1]物品基础表!$A:$A,MATCH(F83,[1]物品基础表!$B:$B,0)),"")</f>
        <v>中级经验卡</v>
      </c>
      <c r="H83" s="1">
        <v>5</v>
      </c>
      <c r="J83" s="1" t="str">
        <f>IFERROR(INDEX([1]物品基础表!$A:$A,MATCH(I83,[1]物品基础表!$B:$B,0)),"")</f>
        <v/>
      </c>
      <c r="M83" s="1" t="str">
        <f>IFERROR(INDEX([1]物品基础表!$A:$A,MATCH(L83,[1]物品基础表!$B:$B,0)),"")</f>
        <v/>
      </c>
    </row>
    <row r="84" spans="1:13">
      <c r="A84" s="32" t="str">
        <f>INDEX([2]活动总表!$A$8:$A$429,MATCH(B84,[2]活动总表!$B$8:$B$429,0))</f>
        <v>开服活动-图鉴榜</v>
      </c>
      <c r="B84" s="1">
        <v>10</v>
      </c>
      <c r="C84" s="1">
        <v>19</v>
      </c>
      <c r="D84" s="1">
        <v>0</v>
      </c>
      <c r="E84" s="1">
        <v>17</v>
      </c>
      <c r="F84" s="1">
        <v>270002</v>
      </c>
      <c r="G84" s="1" t="str">
        <f>IFERROR(INDEX([1]物品基础表!$A:$A,MATCH(F84,[1]物品基础表!$B:$B,0)),"")</f>
        <v>中级经验卡</v>
      </c>
      <c r="H84" s="1">
        <v>5</v>
      </c>
      <c r="J84" s="1" t="str">
        <f>IFERROR(INDEX([1]物品基础表!$A:$A,MATCH(I84,[1]物品基础表!$B:$B,0)),"")</f>
        <v/>
      </c>
      <c r="M84" s="1" t="str">
        <f>IFERROR(INDEX([1]物品基础表!$A:$A,MATCH(L84,[1]物品基础表!$B:$B,0)),"")</f>
        <v/>
      </c>
    </row>
    <row r="85" spans="1:13">
      <c r="A85" s="32" t="str">
        <f>INDEX([2]活动总表!$A$8:$A$429,MATCH(B85,[2]活动总表!$B$8:$B$429,0))</f>
        <v>开服活动-图鉴榜</v>
      </c>
      <c r="B85" s="1">
        <v>10</v>
      </c>
      <c r="C85" s="1">
        <v>20</v>
      </c>
      <c r="D85" s="1">
        <v>0</v>
      </c>
      <c r="E85" s="1">
        <v>17</v>
      </c>
      <c r="F85" s="1">
        <v>270002</v>
      </c>
      <c r="G85" s="1" t="str">
        <f>IFERROR(INDEX([1]物品基础表!$A:$A,MATCH(F85,[1]物品基础表!$B:$B,0)),"")</f>
        <v>中级经验卡</v>
      </c>
      <c r="H85" s="1">
        <v>5</v>
      </c>
      <c r="J85" s="1" t="str">
        <f>IFERROR(INDEX([1]物品基础表!$A:$A,MATCH(I85,[1]物品基础表!$B:$B,0)),"")</f>
        <v/>
      </c>
      <c r="M85" s="1" t="str">
        <f>IFERROR(INDEX([1]物品基础表!$A:$A,MATCH(L85,[1]物品基础表!$B:$B,0)),"")</f>
        <v/>
      </c>
    </row>
    <row r="86" spans="1:13">
      <c r="A86" s="32" t="str">
        <f>INDEX([2]活动总表!$A$8:$A$429,MATCH(B86,[2]活动总表!$B$8:$B$429,0))</f>
        <v>开服活动-图鉴榜</v>
      </c>
      <c r="B86" s="1">
        <v>10</v>
      </c>
      <c r="C86" s="1">
        <v>0</v>
      </c>
      <c r="E86" s="1">
        <v>17</v>
      </c>
      <c r="G86" s="1" t="str">
        <f>IFERROR(INDEX([1]物品基础表!$A:$A,MATCH(F86,[1]物品基础表!$B:$B,0)),"")</f>
        <v/>
      </c>
      <c r="J86" s="1" t="str">
        <f>IFERROR(INDEX([1]物品基础表!$A:$A,MATCH(I86,[1]物品基础表!$B:$B,0)),"")</f>
        <v/>
      </c>
      <c r="M86" s="1" t="str">
        <f>IFERROR(INDEX([1]物品基础表!$A:$A,MATCH(L86,[1]物品基础表!$B:$B,0)),"")</f>
        <v/>
      </c>
    </row>
    <row r="87" spans="1:13">
      <c r="A87" s="32" t="str">
        <f>INDEX([2]活动总表!$A$8:$A$429,MATCH(B87,[2]活动总表!$B$8:$B$429,0))</f>
        <v>开服活动-转生榜</v>
      </c>
      <c r="B87" s="1">
        <v>11</v>
      </c>
      <c r="C87" s="1">
        <v>1</v>
      </c>
      <c r="D87" s="1">
        <v>0</v>
      </c>
      <c r="E87" s="1">
        <v>18</v>
      </c>
      <c r="F87" s="1">
        <v>900018</v>
      </c>
      <c r="G87" s="1" t="str">
        <f>IFERROR(INDEX([1]物品基础表!$A:$A,MATCH(F87,[1]物品基础表!$B:$B,0)),"")</f>
        <v>只手遮天</v>
      </c>
      <c r="H87" s="1">
        <v>1</v>
      </c>
      <c r="I87" s="1">
        <v>200009</v>
      </c>
      <c r="J87" s="1" t="str">
        <f>IFERROR(INDEX([1]物品基础表!$A:$A,MATCH(I87,[1]物品基础表!$B:$B,0)),"")</f>
        <v>高级转生丹</v>
      </c>
      <c r="K87" s="1">
        <v>8</v>
      </c>
      <c r="M87" s="1" t="str">
        <f>IFERROR(INDEX([1]物品基础表!$A:$A,MATCH(L87,[1]物品基础表!$B:$B,0)),"")</f>
        <v/>
      </c>
    </row>
    <row r="88" spans="1:13">
      <c r="A88" s="32" t="str">
        <f>INDEX([2]活动总表!$A$8:$A$429,MATCH(B88,[2]活动总表!$B$8:$B$429,0))</f>
        <v>开服活动-转生榜</v>
      </c>
      <c r="B88" s="1">
        <v>11</v>
      </c>
      <c r="C88" s="1">
        <v>2</v>
      </c>
      <c r="D88" s="1">
        <v>0</v>
      </c>
      <c r="E88" s="1">
        <v>18</v>
      </c>
      <c r="F88" s="1">
        <v>200009</v>
      </c>
      <c r="G88" s="1" t="str">
        <f>IFERROR(INDEX([1]物品基础表!$A:$A,MATCH(F88,[1]物品基础表!$B:$B,0)),"")</f>
        <v>高级转生丹</v>
      </c>
      <c r="H88" s="1">
        <v>7</v>
      </c>
      <c r="J88" s="1" t="str">
        <f>IFERROR(INDEX([1]物品基础表!$A:$A,MATCH(I88,[1]物品基础表!$B:$B,0)),"")</f>
        <v/>
      </c>
      <c r="M88" s="1" t="str">
        <f>IFERROR(INDEX([1]物品基础表!$A:$A,MATCH(L88,[1]物品基础表!$B:$B,0)),"")</f>
        <v/>
      </c>
    </row>
    <row r="89" spans="1:13">
      <c r="A89" s="32" t="str">
        <f>INDEX([2]活动总表!$A$8:$A$429,MATCH(B89,[2]活动总表!$B$8:$B$429,0))</f>
        <v>开服活动-转生榜</v>
      </c>
      <c r="B89" s="1">
        <v>11</v>
      </c>
      <c r="C89" s="1">
        <v>3</v>
      </c>
      <c r="D89" s="1">
        <v>0</v>
      </c>
      <c r="E89" s="1">
        <v>18</v>
      </c>
      <c r="F89" s="1">
        <v>200009</v>
      </c>
      <c r="G89" s="1" t="str">
        <f>IFERROR(INDEX([1]物品基础表!$A:$A,MATCH(F89,[1]物品基础表!$B:$B,0)),"")</f>
        <v>高级转生丹</v>
      </c>
      <c r="H89" s="1">
        <v>6</v>
      </c>
      <c r="J89" s="1" t="str">
        <f>IFERROR(INDEX([1]物品基础表!$A:$A,MATCH(I89,[1]物品基础表!$B:$B,0)),"")</f>
        <v/>
      </c>
      <c r="M89" s="1" t="str">
        <f>IFERROR(INDEX([1]物品基础表!$A:$A,MATCH(L89,[1]物品基础表!$B:$B,0)),"")</f>
        <v/>
      </c>
    </row>
    <row r="90" spans="1:13">
      <c r="A90" s="32" t="str">
        <f>INDEX([2]活动总表!$A$8:$A$429,MATCH(B90,[2]活动总表!$B$8:$B$429,0))</f>
        <v>开服活动-转生榜</v>
      </c>
      <c r="B90" s="1">
        <v>11</v>
      </c>
      <c r="C90" s="1">
        <v>4</v>
      </c>
      <c r="D90" s="1">
        <v>0</v>
      </c>
      <c r="E90" s="1">
        <v>18</v>
      </c>
      <c r="F90" s="1">
        <v>200009</v>
      </c>
      <c r="G90" s="1" t="str">
        <f>IFERROR(INDEX([1]物品基础表!$A:$A,MATCH(F90,[1]物品基础表!$B:$B,0)),"")</f>
        <v>高级转生丹</v>
      </c>
      <c r="H90" s="1">
        <v>4</v>
      </c>
      <c r="J90" s="1" t="str">
        <f>IFERROR(INDEX([1]物品基础表!$A:$A,MATCH(I90,[1]物品基础表!$B:$B,0)),"")</f>
        <v/>
      </c>
      <c r="M90" s="1" t="str">
        <f>IFERROR(INDEX([1]物品基础表!$A:$A,MATCH(L90,[1]物品基础表!$B:$B,0)),"")</f>
        <v/>
      </c>
    </row>
    <row r="91" spans="1:13">
      <c r="A91" s="32" t="str">
        <f>INDEX([2]活动总表!$A$8:$A$429,MATCH(B91,[2]活动总表!$B$8:$B$429,0))</f>
        <v>开服活动-转生榜</v>
      </c>
      <c r="B91" s="1">
        <v>11</v>
      </c>
      <c r="C91" s="1">
        <v>5</v>
      </c>
      <c r="D91" s="1">
        <v>0</v>
      </c>
      <c r="E91" s="1">
        <v>18</v>
      </c>
      <c r="F91" s="1">
        <v>200009</v>
      </c>
      <c r="G91" s="1" t="str">
        <f>IFERROR(INDEX([1]物品基础表!$A:$A,MATCH(F91,[1]物品基础表!$B:$B,0)),"")</f>
        <v>高级转生丹</v>
      </c>
      <c r="H91" s="1">
        <v>4</v>
      </c>
      <c r="J91" s="1" t="str">
        <f>IFERROR(INDEX([1]物品基础表!$A:$A,MATCH(I91,[1]物品基础表!$B:$B,0)),"")</f>
        <v/>
      </c>
      <c r="M91" s="1" t="str">
        <f>IFERROR(INDEX([1]物品基础表!$A:$A,MATCH(L91,[1]物品基础表!$B:$B,0)),"")</f>
        <v/>
      </c>
    </row>
    <row r="92" spans="1:13">
      <c r="A92" s="32" t="str">
        <f>INDEX([2]活动总表!$A$8:$A$429,MATCH(B92,[2]活动总表!$B$8:$B$429,0))</f>
        <v>开服活动-转生榜</v>
      </c>
      <c r="B92" s="1">
        <v>11</v>
      </c>
      <c r="C92" s="1">
        <v>6</v>
      </c>
      <c r="D92" s="1">
        <v>0</v>
      </c>
      <c r="E92" s="1">
        <v>18</v>
      </c>
      <c r="F92" s="1">
        <v>200009</v>
      </c>
      <c r="G92" s="1" t="str">
        <f>IFERROR(INDEX([1]物品基础表!$A:$A,MATCH(F92,[1]物品基础表!$B:$B,0)),"")</f>
        <v>高级转生丹</v>
      </c>
      <c r="H92" s="1">
        <v>4</v>
      </c>
      <c r="J92" s="1" t="str">
        <f>IFERROR(INDEX([1]物品基础表!$A:$A,MATCH(I92,[1]物品基础表!$B:$B,0)),"")</f>
        <v/>
      </c>
      <c r="M92" s="1" t="str">
        <f>IFERROR(INDEX([1]物品基础表!$A:$A,MATCH(L92,[1]物品基础表!$B:$B,0)),"")</f>
        <v/>
      </c>
    </row>
    <row r="93" spans="1:13">
      <c r="A93" s="32" t="str">
        <f>INDEX([2]活动总表!$A$8:$A$429,MATCH(B93,[2]活动总表!$B$8:$B$429,0))</f>
        <v>开服活动-转生榜</v>
      </c>
      <c r="B93" s="1">
        <v>11</v>
      </c>
      <c r="C93" s="1">
        <v>7</v>
      </c>
      <c r="D93" s="1">
        <v>0</v>
      </c>
      <c r="E93" s="1">
        <v>18</v>
      </c>
      <c r="F93" s="1">
        <v>200009</v>
      </c>
      <c r="G93" s="1" t="str">
        <f>IFERROR(INDEX([1]物品基础表!$A:$A,MATCH(F93,[1]物品基础表!$B:$B,0)),"")</f>
        <v>高级转生丹</v>
      </c>
      <c r="H93" s="1">
        <v>4</v>
      </c>
      <c r="J93" s="1" t="str">
        <f>IFERROR(INDEX([1]物品基础表!$A:$A,MATCH(I93,[1]物品基础表!$B:$B,0)),"")</f>
        <v/>
      </c>
      <c r="M93" s="1" t="str">
        <f>IFERROR(INDEX([1]物品基础表!$A:$A,MATCH(L93,[1]物品基础表!$B:$B,0)),"")</f>
        <v/>
      </c>
    </row>
    <row r="94" spans="1:13">
      <c r="A94" s="32" t="str">
        <f>INDEX([2]活动总表!$A$8:$A$429,MATCH(B94,[2]活动总表!$B$8:$B$429,0))</f>
        <v>开服活动-转生榜</v>
      </c>
      <c r="B94" s="1">
        <v>11</v>
      </c>
      <c r="C94" s="1">
        <v>8</v>
      </c>
      <c r="D94" s="1">
        <v>0</v>
      </c>
      <c r="E94" s="1">
        <v>18</v>
      </c>
      <c r="F94" s="1">
        <v>200009</v>
      </c>
      <c r="G94" s="1" t="str">
        <f>IFERROR(INDEX([1]物品基础表!$A:$A,MATCH(F94,[1]物品基础表!$B:$B,0)),"")</f>
        <v>高级转生丹</v>
      </c>
      <c r="H94" s="1">
        <v>4</v>
      </c>
      <c r="J94" s="1" t="str">
        <f>IFERROR(INDEX([1]物品基础表!$A:$A,MATCH(I94,[1]物品基础表!$B:$B,0)),"")</f>
        <v/>
      </c>
      <c r="M94" s="1" t="str">
        <f>IFERROR(INDEX([1]物品基础表!$A:$A,MATCH(L94,[1]物品基础表!$B:$B,0)),"")</f>
        <v/>
      </c>
    </row>
    <row r="95" spans="1:13">
      <c r="A95" s="32" t="str">
        <f>INDEX([2]活动总表!$A$8:$A$429,MATCH(B95,[2]活动总表!$B$8:$B$429,0))</f>
        <v>开服活动-转生榜</v>
      </c>
      <c r="B95" s="1">
        <v>11</v>
      </c>
      <c r="C95" s="1">
        <v>9</v>
      </c>
      <c r="D95" s="1">
        <v>0</v>
      </c>
      <c r="E95" s="1">
        <v>18</v>
      </c>
      <c r="F95" s="1">
        <v>200009</v>
      </c>
      <c r="G95" s="1" t="str">
        <f>IFERROR(INDEX([1]物品基础表!$A:$A,MATCH(F95,[1]物品基础表!$B:$B,0)),"")</f>
        <v>高级转生丹</v>
      </c>
      <c r="H95" s="1">
        <v>4</v>
      </c>
      <c r="J95" s="1" t="str">
        <f>IFERROR(INDEX([1]物品基础表!$A:$A,MATCH(I95,[1]物品基础表!$B:$B,0)),"")</f>
        <v/>
      </c>
      <c r="M95" s="1" t="str">
        <f>IFERROR(INDEX([1]物品基础表!$A:$A,MATCH(L95,[1]物品基础表!$B:$B,0)),"")</f>
        <v/>
      </c>
    </row>
    <row r="96" spans="1:13">
      <c r="A96" s="32" t="str">
        <f>INDEX([2]活动总表!$A$8:$A$429,MATCH(B96,[2]活动总表!$B$8:$B$429,0))</f>
        <v>开服活动-转生榜</v>
      </c>
      <c r="B96" s="1">
        <v>11</v>
      </c>
      <c r="C96" s="1">
        <v>10</v>
      </c>
      <c r="D96" s="1">
        <v>0</v>
      </c>
      <c r="E96" s="1">
        <v>18</v>
      </c>
      <c r="F96" s="1">
        <v>200009</v>
      </c>
      <c r="G96" s="1" t="str">
        <f>IFERROR(INDEX([1]物品基础表!$A:$A,MATCH(F96,[1]物品基础表!$B:$B,0)),"")</f>
        <v>高级转生丹</v>
      </c>
      <c r="H96" s="1">
        <v>4</v>
      </c>
      <c r="J96" s="1" t="str">
        <f>IFERROR(INDEX([1]物品基础表!$A:$A,MATCH(I96,[1]物品基础表!$B:$B,0)),"")</f>
        <v/>
      </c>
      <c r="M96" s="1" t="str">
        <f>IFERROR(INDEX([1]物品基础表!$A:$A,MATCH(L96,[1]物品基础表!$B:$B,0)),"")</f>
        <v/>
      </c>
    </row>
    <row r="97" spans="1:13">
      <c r="A97" s="32" t="str">
        <f>INDEX([2]活动总表!$A$8:$A$429,MATCH(B97,[2]活动总表!$B$8:$B$429,0))</f>
        <v>开服活动-转生榜</v>
      </c>
      <c r="B97" s="1">
        <v>11</v>
      </c>
      <c r="C97" s="1">
        <v>11</v>
      </c>
      <c r="D97" s="1">
        <v>0</v>
      </c>
      <c r="E97" s="1">
        <v>18</v>
      </c>
      <c r="F97" s="1">
        <v>200009</v>
      </c>
      <c r="G97" s="1" t="str">
        <f>IFERROR(INDEX([1]物品基础表!$A:$A,MATCH(F97,[1]物品基础表!$B:$B,0)),"")</f>
        <v>高级转生丹</v>
      </c>
      <c r="H97" s="1">
        <v>4</v>
      </c>
      <c r="J97" s="1" t="str">
        <f>IFERROR(INDEX([1]物品基础表!$A:$A,MATCH(I97,[1]物品基础表!$B:$B,0)),"")</f>
        <v/>
      </c>
      <c r="M97" s="1" t="str">
        <f>IFERROR(INDEX([1]物品基础表!$A:$A,MATCH(L97,[1]物品基础表!$B:$B,0)),"")</f>
        <v/>
      </c>
    </row>
    <row r="98" spans="1:13">
      <c r="A98" s="32" t="str">
        <f>INDEX([2]活动总表!$A$8:$A$429,MATCH(B98,[2]活动总表!$B$8:$B$429,0))</f>
        <v>开服活动-转生榜</v>
      </c>
      <c r="B98" s="1">
        <v>11</v>
      </c>
      <c r="C98" s="1">
        <v>12</v>
      </c>
      <c r="D98" s="1">
        <v>0</v>
      </c>
      <c r="E98" s="1">
        <v>18</v>
      </c>
      <c r="F98" s="1">
        <v>200009</v>
      </c>
      <c r="G98" s="1" t="str">
        <f>IFERROR(INDEX([1]物品基础表!$A:$A,MATCH(F98,[1]物品基础表!$B:$B,0)),"")</f>
        <v>高级转生丹</v>
      </c>
      <c r="H98" s="1">
        <v>4</v>
      </c>
      <c r="J98" s="1" t="str">
        <f>IFERROR(INDEX([1]物品基础表!$A:$A,MATCH(I98,[1]物品基础表!$B:$B,0)),"")</f>
        <v/>
      </c>
      <c r="M98" s="1" t="str">
        <f>IFERROR(INDEX([1]物品基础表!$A:$A,MATCH(L98,[1]物品基础表!$B:$B,0)),"")</f>
        <v/>
      </c>
    </row>
    <row r="99" spans="1:13">
      <c r="A99" s="32" t="str">
        <f>INDEX([2]活动总表!$A$8:$A$429,MATCH(B99,[2]活动总表!$B$8:$B$429,0))</f>
        <v>开服活动-转生榜</v>
      </c>
      <c r="B99" s="1">
        <v>11</v>
      </c>
      <c r="C99" s="1">
        <v>13</v>
      </c>
      <c r="D99" s="1">
        <v>0</v>
      </c>
      <c r="E99" s="1">
        <v>18</v>
      </c>
      <c r="F99" s="1">
        <v>200009</v>
      </c>
      <c r="G99" s="1" t="str">
        <f>IFERROR(INDEX([1]物品基础表!$A:$A,MATCH(F99,[1]物品基础表!$B:$B,0)),"")</f>
        <v>高级转生丹</v>
      </c>
      <c r="H99" s="1">
        <v>4</v>
      </c>
      <c r="J99" s="1" t="str">
        <f>IFERROR(INDEX([1]物品基础表!$A:$A,MATCH(I99,[1]物品基础表!$B:$B,0)),"")</f>
        <v/>
      </c>
      <c r="M99" s="1" t="str">
        <f>IFERROR(INDEX([1]物品基础表!$A:$A,MATCH(L99,[1]物品基础表!$B:$B,0)),"")</f>
        <v/>
      </c>
    </row>
    <row r="100" spans="1:13">
      <c r="A100" s="32" t="str">
        <f>INDEX([2]活动总表!$A$8:$A$429,MATCH(B100,[2]活动总表!$B$8:$B$429,0))</f>
        <v>开服活动-转生榜</v>
      </c>
      <c r="B100" s="1">
        <v>11</v>
      </c>
      <c r="C100" s="1">
        <v>14</v>
      </c>
      <c r="D100" s="1">
        <v>0</v>
      </c>
      <c r="E100" s="1">
        <v>18</v>
      </c>
      <c r="F100" s="1">
        <v>200009</v>
      </c>
      <c r="G100" s="1" t="str">
        <f>IFERROR(INDEX([1]物品基础表!$A:$A,MATCH(F100,[1]物品基础表!$B:$B,0)),"")</f>
        <v>高级转生丹</v>
      </c>
      <c r="H100" s="1">
        <v>4</v>
      </c>
      <c r="J100" s="1" t="str">
        <f>IFERROR(INDEX([1]物品基础表!$A:$A,MATCH(I100,[1]物品基础表!$B:$B,0)),"")</f>
        <v/>
      </c>
      <c r="M100" s="1" t="str">
        <f>IFERROR(INDEX([1]物品基础表!$A:$A,MATCH(L100,[1]物品基础表!$B:$B,0)),"")</f>
        <v/>
      </c>
    </row>
    <row r="101" spans="1:13">
      <c r="A101" s="32" t="str">
        <f>INDEX([2]活动总表!$A$8:$A$429,MATCH(B101,[2]活动总表!$B$8:$B$429,0))</f>
        <v>开服活动-转生榜</v>
      </c>
      <c r="B101" s="1">
        <v>11</v>
      </c>
      <c r="C101" s="1">
        <v>15</v>
      </c>
      <c r="D101" s="1">
        <v>0</v>
      </c>
      <c r="E101" s="1">
        <v>18</v>
      </c>
      <c r="F101" s="1">
        <v>200009</v>
      </c>
      <c r="G101" s="1" t="str">
        <f>IFERROR(INDEX([1]物品基础表!$A:$A,MATCH(F101,[1]物品基础表!$B:$B,0)),"")</f>
        <v>高级转生丹</v>
      </c>
      <c r="H101" s="1">
        <v>4</v>
      </c>
      <c r="J101" s="1" t="str">
        <f>IFERROR(INDEX([1]物品基础表!$A:$A,MATCH(I101,[1]物品基础表!$B:$B,0)),"")</f>
        <v/>
      </c>
      <c r="M101" s="1" t="str">
        <f>IFERROR(INDEX([1]物品基础表!$A:$A,MATCH(L101,[1]物品基础表!$B:$B,0)),"")</f>
        <v/>
      </c>
    </row>
    <row r="102" spans="1:13">
      <c r="A102" s="32" t="str">
        <f>INDEX([2]活动总表!$A$8:$A$429,MATCH(B102,[2]活动总表!$B$8:$B$429,0))</f>
        <v>开服活动-转生榜</v>
      </c>
      <c r="B102" s="1">
        <v>11</v>
      </c>
      <c r="C102" s="1">
        <v>16</v>
      </c>
      <c r="D102" s="1">
        <v>0</v>
      </c>
      <c r="E102" s="1">
        <v>18</v>
      </c>
      <c r="F102" s="1">
        <v>200009</v>
      </c>
      <c r="G102" s="1" t="str">
        <f>IFERROR(INDEX([1]物品基础表!$A:$A,MATCH(F102,[1]物品基础表!$B:$B,0)),"")</f>
        <v>高级转生丹</v>
      </c>
      <c r="H102" s="1">
        <v>4</v>
      </c>
      <c r="J102" s="1" t="str">
        <f>IFERROR(INDEX([1]物品基础表!$A:$A,MATCH(I102,[1]物品基础表!$B:$B,0)),"")</f>
        <v/>
      </c>
      <c r="M102" s="1" t="str">
        <f>IFERROR(INDEX([1]物品基础表!$A:$A,MATCH(L102,[1]物品基础表!$B:$B,0)),"")</f>
        <v/>
      </c>
    </row>
    <row r="103" spans="1:13">
      <c r="A103" s="32" t="str">
        <f>INDEX([2]活动总表!$A$8:$A$429,MATCH(B103,[2]活动总表!$B$8:$B$429,0))</f>
        <v>开服活动-转生榜</v>
      </c>
      <c r="B103" s="1">
        <v>11</v>
      </c>
      <c r="C103" s="1">
        <v>17</v>
      </c>
      <c r="D103" s="1">
        <v>0</v>
      </c>
      <c r="E103" s="1">
        <v>18</v>
      </c>
      <c r="F103" s="1">
        <v>200009</v>
      </c>
      <c r="G103" s="1" t="str">
        <f>IFERROR(INDEX([1]物品基础表!$A:$A,MATCH(F103,[1]物品基础表!$B:$B,0)),"")</f>
        <v>高级转生丹</v>
      </c>
      <c r="H103" s="1">
        <v>4</v>
      </c>
      <c r="J103" s="1" t="str">
        <f>IFERROR(INDEX([1]物品基础表!$A:$A,MATCH(I103,[1]物品基础表!$B:$B,0)),"")</f>
        <v/>
      </c>
      <c r="M103" s="1" t="str">
        <f>IFERROR(INDEX([1]物品基础表!$A:$A,MATCH(L103,[1]物品基础表!$B:$B,0)),"")</f>
        <v/>
      </c>
    </row>
    <row r="104" spans="1:13">
      <c r="A104" s="32" t="str">
        <f>INDEX([2]活动总表!$A$8:$A$429,MATCH(B104,[2]活动总表!$B$8:$B$429,0))</f>
        <v>开服活动-转生榜</v>
      </c>
      <c r="B104" s="1">
        <v>11</v>
      </c>
      <c r="C104" s="1">
        <v>18</v>
      </c>
      <c r="D104" s="1">
        <v>0</v>
      </c>
      <c r="E104" s="1">
        <v>18</v>
      </c>
      <c r="F104" s="1">
        <v>200009</v>
      </c>
      <c r="G104" s="1" t="str">
        <f>IFERROR(INDEX([1]物品基础表!$A:$A,MATCH(F104,[1]物品基础表!$B:$B,0)),"")</f>
        <v>高级转生丹</v>
      </c>
      <c r="H104" s="1">
        <v>4</v>
      </c>
      <c r="J104" s="1" t="str">
        <f>IFERROR(INDEX([1]物品基础表!$A:$A,MATCH(I104,[1]物品基础表!$B:$B,0)),"")</f>
        <v/>
      </c>
      <c r="M104" s="1" t="str">
        <f>IFERROR(INDEX([1]物品基础表!$A:$A,MATCH(L104,[1]物品基础表!$B:$B,0)),"")</f>
        <v/>
      </c>
    </row>
    <row r="105" spans="1:13">
      <c r="A105" s="32" t="str">
        <f>INDEX([2]活动总表!$A$8:$A$429,MATCH(B105,[2]活动总表!$B$8:$B$429,0))</f>
        <v>开服活动-转生榜</v>
      </c>
      <c r="B105" s="1">
        <v>11</v>
      </c>
      <c r="C105" s="1">
        <v>19</v>
      </c>
      <c r="D105" s="1">
        <v>0</v>
      </c>
      <c r="E105" s="1">
        <v>18</v>
      </c>
      <c r="F105" s="1">
        <v>200009</v>
      </c>
      <c r="G105" s="1" t="str">
        <f>IFERROR(INDEX([1]物品基础表!$A:$A,MATCH(F105,[1]物品基础表!$B:$B,0)),"")</f>
        <v>高级转生丹</v>
      </c>
      <c r="H105" s="1">
        <v>4</v>
      </c>
      <c r="J105" s="1" t="str">
        <f>IFERROR(INDEX([1]物品基础表!$A:$A,MATCH(I105,[1]物品基础表!$B:$B,0)),"")</f>
        <v/>
      </c>
      <c r="M105" s="1" t="str">
        <f>IFERROR(INDEX([1]物品基础表!$A:$A,MATCH(L105,[1]物品基础表!$B:$B,0)),"")</f>
        <v/>
      </c>
    </row>
    <row r="106" spans="1:13">
      <c r="A106" s="32" t="str">
        <f>INDEX([2]活动总表!$A$8:$A$429,MATCH(B106,[2]活动总表!$B$8:$B$429,0))</f>
        <v>开服活动-转生榜</v>
      </c>
      <c r="B106" s="1">
        <v>11</v>
      </c>
      <c r="C106" s="1">
        <v>20</v>
      </c>
      <c r="D106" s="1">
        <v>0</v>
      </c>
      <c r="E106" s="1">
        <v>18</v>
      </c>
      <c r="F106" s="1">
        <v>200009</v>
      </c>
      <c r="G106" s="1" t="str">
        <f>IFERROR(INDEX([1]物品基础表!$A:$A,MATCH(F106,[1]物品基础表!$B:$B,0)),"")</f>
        <v>高级转生丹</v>
      </c>
      <c r="H106" s="1">
        <v>4</v>
      </c>
      <c r="J106" s="1" t="str">
        <f>IFERROR(INDEX([1]物品基础表!$A:$A,MATCH(I106,[1]物品基础表!$B:$B,0)),"")</f>
        <v/>
      </c>
      <c r="M106" s="1" t="str">
        <f>IFERROR(INDEX([1]物品基础表!$A:$A,MATCH(L106,[1]物品基础表!$B:$B,0)),"")</f>
        <v/>
      </c>
    </row>
    <row r="107" spans="1:13">
      <c r="A107" s="32" t="str">
        <f>INDEX([2]活动总表!$A$8:$A$429,MATCH(B107,[2]活动总表!$B$8:$B$429,0))</f>
        <v>开服活动-转生榜</v>
      </c>
      <c r="B107" s="1">
        <v>11</v>
      </c>
      <c r="C107" s="1">
        <v>0</v>
      </c>
      <c r="E107" s="1">
        <v>18</v>
      </c>
      <c r="G107" s="1" t="str">
        <f>IFERROR(INDEX([1]物品基础表!$A:$A,MATCH(F107,[1]物品基础表!$B:$B,0)),"")</f>
        <v/>
      </c>
      <c r="J107" s="1" t="str">
        <f>IFERROR(INDEX([1]物品基础表!$A:$A,MATCH(I107,[1]物品基础表!$B:$B,0)),"")</f>
        <v/>
      </c>
      <c r="M107" s="1" t="str">
        <f>IFERROR(INDEX([1]物品基础表!$A:$A,MATCH(L107,[1]物品基础表!$B:$B,0)),"")</f>
        <v/>
      </c>
    </row>
    <row r="108" spans="1:13">
      <c r="A108" s="32" t="str">
        <f>INDEX([2]活动总表!$A$8:$A$429,MATCH(B108,[2]活动总表!$B$8:$B$429,0))</f>
        <v>开服活动-装备总评分榜</v>
      </c>
      <c r="B108" s="1">
        <v>12</v>
      </c>
      <c r="C108" s="1">
        <v>1</v>
      </c>
      <c r="D108" s="1">
        <v>0</v>
      </c>
      <c r="E108" s="1">
        <v>19</v>
      </c>
      <c r="F108" s="1">
        <v>900019</v>
      </c>
      <c r="G108" s="1" t="str">
        <f>IFERROR(INDEX([1]物品基础表!$A:$A,MATCH(F108,[1]物品基础表!$B:$B,0)),"")</f>
        <v>传奇无双战神</v>
      </c>
      <c r="H108" s="1">
        <v>1</v>
      </c>
      <c r="I108" s="1">
        <v>200007</v>
      </c>
      <c r="J108" s="1" t="str">
        <f>IFERROR(INDEX([1]物品基础表!$A:$A,MATCH(I108,[1]物品基础表!$B:$B,0)),"")</f>
        <v>神装碎片</v>
      </c>
      <c r="K108" s="1">
        <v>800</v>
      </c>
      <c r="M108" s="1" t="str">
        <f>IFERROR(INDEX([1]物品基础表!$A:$A,MATCH(L108,[1]物品基础表!$B:$B,0)),"")</f>
        <v/>
      </c>
    </row>
    <row r="109" spans="1:13">
      <c r="A109" s="32" t="str">
        <f>INDEX([2]活动总表!$A$8:$A$429,MATCH(B109,[2]活动总表!$B$8:$B$429,0))</f>
        <v>开服活动-装备总评分榜</v>
      </c>
      <c r="B109" s="1">
        <v>12</v>
      </c>
      <c r="C109" s="1">
        <v>2</v>
      </c>
      <c r="D109" s="1">
        <v>0</v>
      </c>
      <c r="E109" s="1">
        <v>19</v>
      </c>
      <c r="F109" s="1">
        <v>200007</v>
      </c>
      <c r="G109" s="1" t="str">
        <f>IFERROR(INDEX([1]物品基础表!$A:$A,MATCH(F109,[1]物品基础表!$B:$B,0)),"")</f>
        <v>神装碎片</v>
      </c>
      <c r="H109" s="1">
        <v>700</v>
      </c>
      <c r="J109" s="1" t="str">
        <f>IFERROR(INDEX([1]物品基础表!$A:$A,MATCH(I109,[1]物品基础表!$B:$B,0)),"")</f>
        <v/>
      </c>
      <c r="M109" s="1" t="str">
        <f>IFERROR(INDEX([1]物品基础表!$A:$A,MATCH(L109,[1]物品基础表!$B:$B,0)),"")</f>
        <v/>
      </c>
    </row>
    <row r="110" spans="1:13">
      <c r="A110" s="32" t="str">
        <f>INDEX([2]活动总表!$A$8:$A$429,MATCH(B110,[2]活动总表!$B$8:$B$429,0))</f>
        <v>开服活动-装备总评分榜</v>
      </c>
      <c r="B110" s="1">
        <v>12</v>
      </c>
      <c r="C110" s="1">
        <v>3</v>
      </c>
      <c r="D110" s="1">
        <v>0</v>
      </c>
      <c r="E110" s="1">
        <v>19</v>
      </c>
      <c r="F110" s="1">
        <v>200007</v>
      </c>
      <c r="G110" s="1" t="str">
        <f>IFERROR(INDEX([1]物品基础表!$A:$A,MATCH(F110,[1]物品基础表!$B:$B,0)),"")</f>
        <v>神装碎片</v>
      </c>
      <c r="H110" s="1">
        <v>600</v>
      </c>
      <c r="J110" s="1" t="str">
        <f>IFERROR(INDEX([1]物品基础表!$A:$A,MATCH(I110,[1]物品基础表!$B:$B,0)),"")</f>
        <v/>
      </c>
      <c r="M110" s="1" t="str">
        <f>IFERROR(INDEX([1]物品基础表!$A:$A,MATCH(L110,[1]物品基础表!$B:$B,0)),"")</f>
        <v/>
      </c>
    </row>
    <row r="111" spans="1:13">
      <c r="A111" s="32" t="str">
        <f>INDEX([2]活动总表!$A$8:$A$429,MATCH(B111,[2]活动总表!$B$8:$B$429,0))</f>
        <v>开服活动-装备总评分榜</v>
      </c>
      <c r="B111" s="1">
        <v>12</v>
      </c>
      <c r="C111" s="1">
        <v>4</v>
      </c>
      <c r="D111" s="1">
        <v>0</v>
      </c>
      <c r="E111" s="1">
        <v>19</v>
      </c>
      <c r="F111" s="1">
        <v>200007</v>
      </c>
      <c r="G111" s="1" t="str">
        <f>IFERROR(INDEX([1]物品基础表!$A:$A,MATCH(F111,[1]物品基础表!$B:$B,0)),"")</f>
        <v>神装碎片</v>
      </c>
      <c r="H111" s="1">
        <v>400</v>
      </c>
      <c r="J111" s="1" t="str">
        <f>IFERROR(INDEX([1]物品基础表!$A:$A,MATCH(I111,[1]物品基础表!$B:$B,0)),"")</f>
        <v/>
      </c>
      <c r="M111" s="1" t="str">
        <f>IFERROR(INDEX([1]物品基础表!$A:$A,MATCH(L111,[1]物品基础表!$B:$B,0)),"")</f>
        <v/>
      </c>
    </row>
    <row r="112" spans="1:13">
      <c r="A112" s="32" t="str">
        <f>INDEX([2]活动总表!$A$8:$A$429,MATCH(B112,[2]活动总表!$B$8:$B$429,0))</f>
        <v>开服活动-装备总评分榜</v>
      </c>
      <c r="B112" s="1">
        <v>12</v>
      </c>
      <c r="C112" s="1">
        <v>5</v>
      </c>
      <c r="D112" s="1">
        <v>0</v>
      </c>
      <c r="E112" s="1">
        <v>19</v>
      </c>
      <c r="F112" s="1">
        <v>200007</v>
      </c>
      <c r="G112" s="1" t="str">
        <f>IFERROR(INDEX([1]物品基础表!$A:$A,MATCH(F112,[1]物品基础表!$B:$B,0)),"")</f>
        <v>神装碎片</v>
      </c>
      <c r="H112" s="1">
        <v>400</v>
      </c>
      <c r="J112" s="1" t="str">
        <f>IFERROR(INDEX([1]物品基础表!$A:$A,MATCH(I112,[1]物品基础表!$B:$B,0)),"")</f>
        <v/>
      </c>
      <c r="M112" s="1" t="str">
        <f>IFERROR(INDEX([1]物品基础表!$A:$A,MATCH(L112,[1]物品基础表!$B:$B,0)),"")</f>
        <v/>
      </c>
    </row>
    <row r="113" spans="1:13">
      <c r="A113" s="32" t="str">
        <f>INDEX([2]活动总表!$A$8:$A$429,MATCH(B113,[2]活动总表!$B$8:$B$429,0))</f>
        <v>开服活动-装备总评分榜</v>
      </c>
      <c r="B113" s="1">
        <v>12</v>
      </c>
      <c r="C113" s="1">
        <v>6</v>
      </c>
      <c r="D113" s="1">
        <v>0</v>
      </c>
      <c r="E113" s="1">
        <v>19</v>
      </c>
      <c r="F113" s="1">
        <v>200007</v>
      </c>
      <c r="G113" s="1" t="str">
        <f>IFERROR(INDEX([1]物品基础表!$A:$A,MATCH(F113,[1]物品基础表!$B:$B,0)),"")</f>
        <v>神装碎片</v>
      </c>
      <c r="H113" s="1">
        <v>400</v>
      </c>
      <c r="J113" s="1" t="str">
        <f>IFERROR(INDEX([1]物品基础表!$A:$A,MATCH(I113,[1]物品基础表!$B:$B,0)),"")</f>
        <v/>
      </c>
      <c r="M113" s="1" t="str">
        <f>IFERROR(INDEX([1]物品基础表!$A:$A,MATCH(L113,[1]物品基础表!$B:$B,0)),"")</f>
        <v/>
      </c>
    </row>
    <row r="114" spans="1:13">
      <c r="A114" s="32" t="str">
        <f>INDEX([2]活动总表!$A$8:$A$429,MATCH(B114,[2]活动总表!$B$8:$B$429,0))</f>
        <v>开服活动-装备总评分榜</v>
      </c>
      <c r="B114" s="1">
        <v>12</v>
      </c>
      <c r="C114" s="1">
        <v>7</v>
      </c>
      <c r="D114" s="1">
        <v>0</v>
      </c>
      <c r="E114" s="1">
        <v>19</v>
      </c>
      <c r="F114" s="1">
        <v>200007</v>
      </c>
      <c r="G114" s="1" t="str">
        <f>IFERROR(INDEX([1]物品基础表!$A:$A,MATCH(F114,[1]物品基础表!$B:$B,0)),"")</f>
        <v>神装碎片</v>
      </c>
      <c r="H114" s="1">
        <v>400</v>
      </c>
      <c r="J114" s="1" t="str">
        <f>IFERROR(INDEX([1]物品基础表!$A:$A,MATCH(I114,[1]物品基础表!$B:$B,0)),"")</f>
        <v/>
      </c>
      <c r="M114" s="1" t="str">
        <f>IFERROR(INDEX([1]物品基础表!$A:$A,MATCH(L114,[1]物品基础表!$B:$B,0)),"")</f>
        <v/>
      </c>
    </row>
    <row r="115" spans="1:13">
      <c r="A115" s="32" t="str">
        <f>INDEX([2]活动总表!$A$8:$A$429,MATCH(B115,[2]活动总表!$B$8:$B$429,0))</f>
        <v>开服活动-装备总评分榜</v>
      </c>
      <c r="B115" s="1">
        <v>12</v>
      </c>
      <c r="C115" s="1">
        <v>8</v>
      </c>
      <c r="D115" s="1">
        <v>0</v>
      </c>
      <c r="E115" s="1">
        <v>19</v>
      </c>
      <c r="F115" s="1">
        <v>200007</v>
      </c>
      <c r="G115" s="1" t="str">
        <f>IFERROR(INDEX([1]物品基础表!$A:$A,MATCH(F115,[1]物品基础表!$B:$B,0)),"")</f>
        <v>神装碎片</v>
      </c>
      <c r="H115" s="1">
        <v>400</v>
      </c>
      <c r="J115" s="1" t="str">
        <f>IFERROR(INDEX([1]物品基础表!$A:$A,MATCH(I115,[1]物品基础表!$B:$B,0)),"")</f>
        <v/>
      </c>
      <c r="M115" s="1" t="str">
        <f>IFERROR(INDEX([1]物品基础表!$A:$A,MATCH(L115,[1]物品基础表!$B:$B,0)),"")</f>
        <v/>
      </c>
    </row>
    <row r="116" spans="1:13">
      <c r="A116" s="32" t="str">
        <f>INDEX([2]活动总表!$A$8:$A$429,MATCH(B116,[2]活动总表!$B$8:$B$429,0))</f>
        <v>开服活动-装备总评分榜</v>
      </c>
      <c r="B116" s="1">
        <v>12</v>
      </c>
      <c r="C116" s="1">
        <v>9</v>
      </c>
      <c r="D116" s="1">
        <v>0</v>
      </c>
      <c r="E116" s="1">
        <v>19</v>
      </c>
      <c r="F116" s="1">
        <v>200007</v>
      </c>
      <c r="G116" s="1" t="str">
        <f>IFERROR(INDEX([1]物品基础表!$A:$A,MATCH(F116,[1]物品基础表!$B:$B,0)),"")</f>
        <v>神装碎片</v>
      </c>
      <c r="H116" s="1">
        <v>400</v>
      </c>
      <c r="J116" s="1" t="str">
        <f>IFERROR(INDEX([1]物品基础表!$A:$A,MATCH(I116,[1]物品基础表!$B:$B,0)),"")</f>
        <v/>
      </c>
      <c r="M116" s="1" t="str">
        <f>IFERROR(INDEX([1]物品基础表!$A:$A,MATCH(L116,[1]物品基础表!$B:$B,0)),"")</f>
        <v/>
      </c>
    </row>
    <row r="117" spans="1:13">
      <c r="A117" s="32" t="str">
        <f>INDEX([2]活动总表!$A$8:$A$429,MATCH(B117,[2]活动总表!$B$8:$B$429,0))</f>
        <v>开服活动-装备总评分榜</v>
      </c>
      <c r="B117" s="1">
        <v>12</v>
      </c>
      <c r="C117" s="1">
        <v>10</v>
      </c>
      <c r="D117" s="1">
        <v>0</v>
      </c>
      <c r="E117" s="1">
        <v>19</v>
      </c>
      <c r="F117" s="1">
        <v>200007</v>
      </c>
      <c r="G117" s="1" t="str">
        <f>IFERROR(INDEX([1]物品基础表!$A:$A,MATCH(F117,[1]物品基础表!$B:$B,0)),"")</f>
        <v>神装碎片</v>
      </c>
      <c r="H117" s="1">
        <v>400</v>
      </c>
      <c r="J117" s="1" t="str">
        <f>IFERROR(INDEX([1]物品基础表!$A:$A,MATCH(I117,[1]物品基础表!$B:$B,0)),"")</f>
        <v/>
      </c>
      <c r="M117" s="1" t="str">
        <f>IFERROR(INDEX([1]物品基础表!$A:$A,MATCH(L117,[1]物品基础表!$B:$B,0)),"")</f>
        <v/>
      </c>
    </row>
    <row r="118" spans="1:13">
      <c r="A118" s="32" t="str">
        <f>INDEX([2]活动总表!$A$8:$A$429,MATCH(B118,[2]活动总表!$B$8:$B$429,0))</f>
        <v>开服活动-装备总评分榜</v>
      </c>
      <c r="B118" s="1">
        <v>12</v>
      </c>
      <c r="C118" s="1">
        <v>11</v>
      </c>
      <c r="D118" s="1">
        <v>0</v>
      </c>
      <c r="E118" s="1">
        <v>19</v>
      </c>
      <c r="F118" s="1">
        <v>200007</v>
      </c>
      <c r="G118" s="1" t="str">
        <f>IFERROR(INDEX([1]物品基础表!$A:$A,MATCH(F118,[1]物品基础表!$B:$B,0)),"")</f>
        <v>神装碎片</v>
      </c>
      <c r="H118" s="1">
        <v>400</v>
      </c>
      <c r="J118" s="1" t="str">
        <f>IFERROR(INDEX([1]物品基础表!$A:$A,MATCH(I118,[1]物品基础表!$B:$B,0)),"")</f>
        <v/>
      </c>
      <c r="M118" s="1" t="str">
        <f>IFERROR(INDEX([1]物品基础表!$A:$A,MATCH(L118,[1]物品基础表!$B:$B,0)),"")</f>
        <v/>
      </c>
    </row>
    <row r="119" spans="1:13">
      <c r="A119" s="32" t="str">
        <f>INDEX([2]活动总表!$A$8:$A$429,MATCH(B119,[2]活动总表!$B$8:$B$429,0))</f>
        <v>开服活动-装备总评分榜</v>
      </c>
      <c r="B119" s="1">
        <v>12</v>
      </c>
      <c r="C119" s="1">
        <v>12</v>
      </c>
      <c r="D119" s="1">
        <v>0</v>
      </c>
      <c r="E119" s="1">
        <v>19</v>
      </c>
      <c r="F119" s="1">
        <v>200007</v>
      </c>
      <c r="G119" s="1" t="str">
        <f>IFERROR(INDEX([1]物品基础表!$A:$A,MATCH(F119,[1]物品基础表!$B:$B,0)),"")</f>
        <v>神装碎片</v>
      </c>
      <c r="H119" s="1">
        <v>400</v>
      </c>
      <c r="J119" s="1" t="str">
        <f>IFERROR(INDEX([1]物品基础表!$A:$A,MATCH(I119,[1]物品基础表!$B:$B,0)),"")</f>
        <v/>
      </c>
      <c r="M119" s="1" t="str">
        <f>IFERROR(INDEX([1]物品基础表!$A:$A,MATCH(L119,[1]物品基础表!$B:$B,0)),"")</f>
        <v/>
      </c>
    </row>
    <row r="120" spans="1:13">
      <c r="A120" s="32" t="str">
        <f>INDEX([2]活动总表!$A$8:$A$429,MATCH(B120,[2]活动总表!$B$8:$B$429,0))</f>
        <v>开服活动-装备总评分榜</v>
      </c>
      <c r="B120" s="1">
        <v>12</v>
      </c>
      <c r="C120" s="1">
        <v>13</v>
      </c>
      <c r="D120" s="1">
        <v>0</v>
      </c>
      <c r="E120" s="1">
        <v>19</v>
      </c>
      <c r="F120" s="1">
        <v>200007</v>
      </c>
      <c r="G120" s="1" t="str">
        <f>IFERROR(INDEX([1]物品基础表!$A:$A,MATCH(F120,[1]物品基础表!$B:$B,0)),"")</f>
        <v>神装碎片</v>
      </c>
      <c r="H120" s="1">
        <v>400</v>
      </c>
      <c r="J120" s="1" t="str">
        <f>IFERROR(INDEX([1]物品基础表!$A:$A,MATCH(I120,[1]物品基础表!$B:$B,0)),"")</f>
        <v/>
      </c>
      <c r="M120" s="1" t="str">
        <f>IFERROR(INDEX([1]物品基础表!$A:$A,MATCH(L120,[1]物品基础表!$B:$B,0)),"")</f>
        <v/>
      </c>
    </row>
    <row r="121" spans="1:13">
      <c r="A121" s="32" t="str">
        <f>INDEX([2]活动总表!$A$8:$A$429,MATCH(B121,[2]活动总表!$B$8:$B$429,0))</f>
        <v>开服活动-装备总评分榜</v>
      </c>
      <c r="B121" s="1">
        <v>12</v>
      </c>
      <c r="C121" s="1">
        <v>14</v>
      </c>
      <c r="D121" s="1">
        <v>0</v>
      </c>
      <c r="E121" s="1">
        <v>19</v>
      </c>
      <c r="F121" s="1">
        <v>200007</v>
      </c>
      <c r="G121" s="1" t="str">
        <f>IFERROR(INDEX([1]物品基础表!$A:$A,MATCH(F121,[1]物品基础表!$B:$B,0)),"")</f>
        <v>神装碎片</v>
      </c>
      <c r="H121" s="1">
        <v>400</v>
      </c>
      <c r="J121" s="1" t="str">
        <f>IFERROR(INDEX([1]物品基础表!$A:$A,MATCH(I121,[1]物品基础表!$B:$B,0)),"")</f>
        <v/>
      </c>
      <c r="M121" s="1" t="str">
        <f>IFERROR(INDEX([1]物品基础表!$A:$A,MATCH(L121,[1]物品基础表!$B:$B,0)),"")</f>
        <v/>
      </c>
    </row>
    <row r="122" spans="1:13">
      <c r="A122" s="32" t="str">
        <f>INDEX([2]活动总表!$A$8:$A$429,MATCH(B122,[2]活动总表!$B$8:$B$429,0))</f>
        <v>开服活动-装备总评分榜</v>
      </c>
      <c r="B122" s="1">
        <v>12</v>
      </c>
      <c r="C122" s="1">
        <v>15</v>
      </c>
      <c r="D122" s="1">
        <v>0</v>
      </c>
      <c r="E122" s="1">
        <v>19</v>
      </c>
      <c r="F122" s="1">
        <v>200007</v>
      </c>
      <c r="G122" s="1" t="str">
        <f>IFERROR(INDEX([1]物品基础表!$A:$A,MATCH(F122,[1]物品基础表!$B:$B,0)),"")</f>
        <v>神装碎片</v>
      </c>
      <c r="H122" s="1">
        <v>400</v>
      </c>
      <c r="J122" s="1" t="str">
        <f>IFERROR(INDEX([1]物品基础表!$A:$A,MATCH(I122,[1]物品基础表!$B:$B,0)),"")</f>
        <v/>
      </c>
      <c r="M122" s="1" t="str">
        <f>IFERROR(INDEX([1]物品基础表!$A:$A,MATCH(L122,[1]物品基础表!$B:$B,0)),"")</f>
        <v/>
      </c>
    </row>
    <row r="123" spans="1:13">
      <c r="A123" s="32" t="str">
        <f>INDEX([2]活动总表!$A$8:$A$429,MATCH(B123,[2]活动总表!$B$8:$B$429,0))</f>
        <v>开服活动-装备总评分榜</v>
      </c>
      <c r="B123" s="1">
        <v>12</v>
      </c>
      <c r="C123" s="1">
        <v>16</v>
      </c>
      <c r="D123" s="1">
        <v>0</v>
      </c>
      <c r="E123" s="1">
        <v>19</v>
      </c>
      <c r="F123" s="1">
        <v>200007</v>
      </c>
      <c r="G123" s="1" t="str">
        <f>IFERROR(INDEX([1]物品基础表!$A:$A,MATCH(F123,[1]物品基础表!$B:$B,0)),"")</f>
        <v>神装碎片</v>
      </c>
      <c r="H123" s="1">
        <v>400</v>
      </c>
      <c r="J123" s="1" t="str">
        <f>IFERROR(INDEX([1]物品基础表!$A:$A,MATCH(I123,[1]物品基础表!$B:$B,0)),"")</f>
        <v/>
      </c>
      <c r="M123" s="1" t="str">
        <f>IFERROR(INDEX([1]物品基础表!$A:$A,MATCH(L123,[1]物品基础表!$B:$B,0)),"")</f>
        <v/>
      </c>
    </row>
    <row r="124" spans="1:13">
      <c r="A124" s="32" t="str">
        <f>INDEX([2]活动总表!$A$8:$A$429,MATCH(B124,[2]活动总表!$B$8:$B$429,0))</f>
        <v>开服活动-装备总评分榜</v>
      </c>
      <c r="B124" s="1">
        <v>12</v>
      </c>
      <c r="C124" s="1">
        <v>17</v>
      </c>
      <c r="D124" s="1">
        <v>0</v>
      </c>
      <c r="E124" s="1">
        <v>19</v>
      </c>
      <c r="F124" s="1">
        <v>200007</v>
      </c>
      <c r="G124" s="1" t="str">
        <f>IFERROR(INDEX([1]物品基础表!$A:$A,MATCH(F124,[1]物品基础表!$B:$B,0)),"")</f>
        <v>神装碎片</v>
      </c>
      <c r="H124" s="1">
        <v>400</v>
      </c>
      <c r="J124" s="1" t="str">
        <f>IFERROR(INDEX([1]物品基础表!$A:$A,MATCH(I124,[1]物品基础表!$B:$B,0)),"")</f>
        <v/>
      </c>
      <c r="M124" s="1" t="str">
        <f>IFERROR(INDEX([1]物品基础表!$A:$A,MATCH(L124,[1]物品基础表!$B:$B,0)),"")</f>
        <v/>
      </c>
    </row>
    <row r="125" spans="1:13">
      <c r="A125" s="32" t="str">
        <f>INDEX([2]活动总表!$A$8:$A$429,MATCH(B125,[2]活动总表!$B$8:$B$429,0))</f>
        <v>开服活动-装备总评分榜</v>
      </c>
      <c r="B125" s="1">
        <v>12</v>
      </c>
      <c r="C125" s="1">
        <v>18</v>
      </c>
      <c r="D125" s="1">
        <v>0</v>
      </c>
      <c r="E125" s="1">
        <v>19</v>
      </c>
      <c r="F125" s="1">
        <v>200007</v>
      </c>
      <c r="G125" s="1" t="str">
        <f>IFERROR(INDEX([1]物品基础表!$A:$A,MATCH(F125,[1]物品基础表!$B:$B,0)),"")</f>
        <v>神装碎片</v>
      </c>
      <c r="H125" s="1">
        <v>400</v>
      </c>
      <c r="J125" s="1" t="str">
        <f>IFERROR(INDEX([1]物品基础表!$A:$A,MATCH(I125,[1]物品基础表!$B:$B,0)),"")</f>
        <v/>
      </c>
      <c r="M125" s="1" t="str">
        <f>IFERROR(INDEX([1]物品基础表!$A:$A,MATCH(L125,[1]物品基础表!$B:$B,0)),"")</f>
        <v/>
      </c>
    </row>
    <row r="126" spans="1:13">
      <c r="A126" s="32" t="str">
        <f>INDEX([2]活动总表!$A$8:$A$429,MATCH(B126,[2]活动总表!$B$8:$B$429,0))</f>
        <v>开服活动-装备总评分榜</v>
      </c>
      <c r="B126" s="1">
        <v>12</v>
      </c>
      <c r="C126" s="1">
        <v>19</v>
      </c>
      <c r="D126" s="1">
        <v>0</v>
      </c>
      <c r="E126" s="1">
        <v>19</v>
      </c>
      <c r="F126" s="1">
        <v>200007</v>
      </c>
      <c r="G126" s="1" t="str">
        <f>IFERROR(INDEX([1]物品基础表!$A:$A,MATCH(F126,[1]物品基础表!$B:$B,0)),"")</f>
        <v>神装碎片</v>
      </c>
      <c r="H126" s="1">
        <v>400</v>
      </c>
      <c r="J126" s="1" t="str">
        <f>IFERROR(INDEX([1]物品基础表!$A:$A,MATCH(I126,[1]物品基础表!$B:$B,0)),"")</f>
        <v/>
      </c>
      <c r="M126" s="1" t="str">
        <f>IFERROR(INDEX([1]物品基础表!$A:$A,MATCH(L126,[1]物品基础表!$B:$B,0)),"")</f>
        <v/>
      </c>
    </row>
    <row r="127" spans="1:13">
      <c r="A127" s="32" t="str">
        <f>INDEX([2]活动总表!$A$8:$A$429,MATCH(B127,[2]活动总表!$B$8:$B$429,0))</f>
        <v>开服活动-装备总评分榜</v>
      </c>
      <c r="B127" s="1">
        <v>12</v>
      </c>
      <c r="C127" s="1">
        <v>20</v>
      </c>
      <c r="D127" s="1">
        <v>0</v>
      </c>
      <c r="E127" s="1">
        <v>19</v>
      </c>
      <c r="F127" s="1">
        <v>200007</v>
      </c>
      <c r="G127" s="1" t="str">
        <f>IFERROR(INDEX([1]物品基础表!$A:$A,MATCH(F127,[1]物品基础表!$B:$B,0)),"")</f>
        <v>神装碎片</v>
      </c>
      <c r="H127" s="1">
        <v>400</v>
      </c>
      <c r="J127" s="1" t="str">
        <f>IFERROR(INDEX([1]物品基础表!$A:$A,MATCH(I127,[1]物品基础表!$B:$B,0)),"")</f>
        <v/>
      </c>
      <c r="M127" s="1" t="str">
        <f>IFERROR(INDEX([1]物品基础表!$A:$A,MATCH(L127,[1]物品基础表!$B:$B,0)),"")</f>
        <v/>
      </c>
    </row>
    <row r="128" spans="1:13">
      <c r="A128" s="32" t="str">
        <f>INDEX([2]活动总表!$A$8:$A$429,MATCH(B128,[2]活动总表!$B$8:$B$429,0))</f>
        <v>开服活动-装备总评分榜</v>
      </c>
      <c r="B128" s="1">
        <v>12</v>
      </c>
      <c r="C128" s="1">
        <v>0</v>
      </c>
      <c r="E128" s="1">
        <v>19</v>
      </c>
      <c r="G128" s="1" t="str">
        <f>IFERROR(INDEX([1]物品基础表!$A:$A,MATCH(F128,[1]物品基础表!$B:$B,0)),"")</f>
        <v/>
      </c>
      <c r="J128" s="1" t="str">
        <f>IFERROR(INDEX([1]物品基础表!$A:$A,MATCH(I128,[1]物品基础表!$B:$B,0)),"")</f>
        <v/>
      </c>
      <c r="M128" s="1" t="str">
        <f>IFERROR(INDEX([1]物品基础表!$A:$A,MATCH(L128,[1]物品基础表!$B:$B,0)),"")</f>
        <v/>
      </c>
    </row>
    <row r="129" spans="1:14">
      <c r="A129" s="32" t="str">
        <f>INDEX([2]活动总表!$A$8:$A$429,MATCH(B129,[2]活动总表!$B$8:$B$429,0))</f>
        <v>合服累消排行</v>
      </c>
      <c r="B129" s="1">
        <v>159</v>
      </c>
      <c r="C129" s="1">
        <v>1</v>
      </c>
      <c r="D129" s="1">
        <v>200000</v>
      </c>
      <c r="E129" s="1">
        <v>21</v>
      </c>
      <c r="F129" s="1">
        <v>900022</v>
      </c>
      <c r="G129" s="1" t="str">
        <f>IFERROR(INDEX([1]物品基础表!$A:$A,MATCH(F129,[1]物品基础表!$B:$B,0)),"")</f>
        <v>挥金如土称号</v>
      </c>
      <c r="H129" s="1">
        <v>1</v>
      </c>
      <c r="I129" s="1">
        <v>200928</v>
      </c>
      <c r="J129" s="1" t="str">
        <f>IFERROR(INDEX([1]物品基础表!$A:$A,MATCH(I129,[1]物品基础表!$B:$B,0)),"")</f>
        <v>神兵大招3三选一</v>
      </c>
      <c r="K129" s="1">
        <v>1</v>
      </c>
      <c r="L129" s="1">
        <v>600014</v>
      </c>
      <c r="M129" s="1" t="str">
        <f>IFERROR(INDEX([1]物品基础表!$A:$A,MATCH(L129,[1]物品基础表!$B:$B,0)),"")</f>
        <v>10阶官印</v>
      </c>
      <c r="N129" s="1">
        <v>1</v>
      </c>
    </row>
    <row r="130" spans="1:14">
      <c r="A130" s="32" t="str">
        <f>INDEX([2]活动总表!$A$8:$A$429,MATCH(B130,[2]活动总表!$B$8:$B$429,0))</f>
        <v>合服累消排行</v>
      </c>
      <c r="B130" s="1">
        <v>159</v>
      </c>
      <c r="C130" s="1">
        <v>2</v>
      </c>
      <c r="D130" s="1">
        <v>120000</v>
      </c>
      <c r="E130" s="1">
        <v>21</v>
      </c>
      <c r="F130" s="1">
        <v>200930</v>
      </c>
      <c r="G130" s="1" t="str">
        <f>IFERROR(INDEX([1]物品基础表!$A:$A,MATCH(F130,[1]物品基础表!$B:$B,0)),"")</f>
        <v>合服消费第2-3名</v>
      </c>
      <c r="H130" s="1">
        <v>1</v>
      </c>
      <c r="J130" s="1" t="str">
        <f>IFERROR(INDEX([1]物品基础表!$A:$A,MATCH(I130,[1]物品基础表!$B:$B,0)),"")</f>
        <v/>
      </c>
      <c r="M130" s="1" t="str">
        <f>IFERROR(INDEX([1]物品基础表!$A:$A,MATCH(L130,[1]物品基础表!$B:$B,0)),"")</f>
        <v/>
      </c>
    </row>
    <row r="131" spans="1:14">
      <c r="A131" s="32" t="str">
        <f>INDEX([2]活动总表!$A$8:$A$429,MATCH(B131,[2]活动总表!$B$8:$B$429,0))</f>
        <v>合服累消排行</v>
      </c>
      <c r="B131" s="1">
        <v>159</v>
      </c>
      <c r="C131" s="1">
        <v>3</v>
      </c>
      <c r="D131" s="1">
        <v>120000</v>
      </c>
      <c r="E131" s="1">
        <v>21</v>
      </c>
      <c r="F131" s="1">
        <v>200930</v>
      </c>
      <c r="G131" s="1" t="str">
        <f>IFERROR(INDEX([1]物品基础表!$A:$A,MATCH(F131,[1]物品基础表!$B:$B,0)),"")</f>
        <v>合服消费第2-3名</v>
      </c>
      <c r="H131" s="1">
        <v>1</v>
      </c>
      <c r="J131" s="1" t="str">
        <f>IFERROR(INDEX([1]物品基础表!$A:$A,MATCH(I131,[1]物品基础表!$B:$B,0)),"")</f>
        <v/>
      </c>
      <c r="M131" s="1" t="str">
        <f>IFERROR(INDEX([1]物品基础表!$A:$A,MATCH(L131,[1]物品基础表!$B:$B,0)),"")</f>
        <v/>
      </c>
    </row>
    <row r="132" spans="1:14">
      <c r="A132" s="32" t="str">
        <f>INDEX([2]活动总表!$A$8:$A$429,MATCH(B132,[2]活动总表!$B$8:$B$429,0))</f>
        <v>合服累消排行</v>
      </c>
      <c r="B132" s="1">
        <v>159</v>
      </c>
      <c r="C132" s="1">
        <v>4</v>
      </c>
      <c r="D132" s="1">
        <v>50000</v>
      </c>
      <c r="E132" s="1">
        <v>21</v>
      </c>
      <c r="F132" s="1">
        <v>200931</v>
      </c>
      <c r="G132" s="1" t="str">
        <f>IFERROR(INDEX([1]物品基础表!$A:$A,MATCH(F132,[1]物品基础表!$B:$B,0)),"")</f>
        <v>合服消费第4-5名</v>
      </c>
      <c r="H132" s="1">
        <v>1</v>
      </c>
      <c r="J132" s="1" t="str">
        <f>IFERROR(INDEX([1]物品基础表!$A:$A,MATCH(I132,[1]物品基础表!$B:$B,0)),"")</f>
        <v/>
      </c>
      <c r="M132" s="1" t="str">
        <f>IFERROR(INDEX([1]物品基础表!$A:$A,MATCH(L132,[1]物品基础表!$B:$B,0)),"")</f>
        <v/>
      </c>
    </row>
    <row r="133" spans="1:14">
      <c r="A133" s="32" t="str">
        <f>INDEX([2]活动总表!$A$8:$A$429,MATCH(B133,[2]活动总表!$B$8:$B$429,0))</f>
        <v>合服累消排行</v>
      </c>
      <c r="B133" s="1">
        <v>159</v>
      </c>
      <c r="C133" s="1">
        <v>5</v>
      </c>
      <c r="D133" s="1">
        <v>50000</v>
      </c>
      <c r="E133" s="1">
        <v>21</v>
      </c>
      <c r="F133" s="1">
        <v>200931</v>
      </c>
      <c r="G133" s="1" t="str">
        <f>IFERROR(INDEX([1]物品基础表!$A:$A,MATCH(F133,[1]物品基础表!$B:$B,0)),"")</f>
        <v>合服消费第4-5名</v>
      </c>
      <c r="H133" s="1">
        <v>1</v>
      </c>
      <c r="J133" s="1" t="str">
        <f>IFERROR(INDEX([1]物品基础表!$A:$A,MATCH(I133,[1]物品基础表!$B:$B,0)),"")</f>
        <v/>
      </c>
      <c r="M133" s="1" t="str">
        <f>IFERROR(INDEX([1]物品基础表!$A:$A,MATCH(L133,[1]物品基础表!$B:$B,0)),"")</f>
        <v/>
      </c>
    </row>
    <row r="134" spans="1:14">
      <c r="A134" s="32" t="str">
        <f>INDEX([2]活动总表!$A$8:$A$429,MATCH(B134,[2]活动总表!$B$8:$B$429,0))</f>
        <v>合服累消排行</v>
      </c>
      <c r="B134" s="1">
        <v>159</v>
      </c>
      <c r="C134" s="1">
        <v>6</v>
      </c>
      <c r="D134" s="1">
        <v>0</v>
      </c>
      <c r="E134" s="1">
        <v>21</v>
      </c>
      <c r="F134" s="1">
        <v>200932</v>
      </c>
      <c r="G134" s="1" t="str">
        <f>IFERROR(INDEX([1]物品基础表!$A:$A,MATCH(F134,[1]物品基础表!$B:$B,0)),"")</f>
        <v>合服消费第6-20名</v>
      </c>
      <c r="H134" s="1">
        <v>1</v>
      </c>
      <c r="J134" s="1" t="str">
        <f>IFERROR(INDEX([1]物品基础表!$A:$A,MATCH(I134,[1]物品基础表!$B:$B,0)),"")</f>
        <v/>
      </c>
      <c r="M134" s="1" t="str">
        <f>IFERROR(INDEX([1]物品基础表!$A:$A,MATCH(L134,[1]物品基础表!$B:$B,0)),"")</f>
        <v/>
      </c>
    </row>
    <row r="135" spans="1:14">
      <c r="A135" s="32" t="str">
        <f>INDEX([2]活动总表!$A$8:$A$429,MATCH(B135,[2]活动总表!$B$8:$B$429,0))</f>
        <v>合服累消排行</v>
      </c>
      <c r="B135" s="1">
        <v>159</v>
      </c>
      <c r="C135" s="1">
        <v>7</v>
      </c>
      <c r="D135" s="1">
        <v>0</v>
      </c>
      <c r="E135" s="1">
        <v>21</v>
      </c>
      <c r="F135" s="1">
        <v>200932</v>
      </c>
      <c r="G135" s="1" t="str">
        <f>IFERROR(INDEX([1]物品基础表!$A:$A,MATCH(F135,[1]物品基础表!$B:$B,0)),"")</f>
        <v>合服消费第6-20名</v>
      </c>
      <c r="H135" s="1">
        <v>1</v>
      </c>
      <c r="J135" s="1" t="str">
        <f>IFERROR(INDEX([1]物品基础表!$A:$A,MATCH(I135,[1]物品基础表!$B:$B,0)),"")</f>
        <v/>
      </c>
      <c r="M135" s="1" t="str">
        <f>IFERROR(INDEX([1]物品基础表!$A:$A,MATCH(L135,[1]物品基础表!$B:$B,0)),"")</f>
        <v/>
      </c>
    </row>
    <row r="136" spans="1:14">
      <c r="A136" s="32" t="str">
        <f>INDEX([2]活动总表!$A$8:$A$429,MATCH(B136,[2]活动总表!$B$8:$B$429,0))</f>
        <v>合服累消排行</v>
      </c>
      <c r="B136" s="1">
        <v>159</v>
      </c>
      <c r="C136" s="1">
        <v>8</v>
      </c>
      <c r="D136" s="1">
        <v>0</v>
      </c>
      <c r="E136" s="1">
        <v>21</v>
      </c>
      <c r="F136" s="1">
        <v>200932</v>
      </c>
      <c r="G136" s="1" t="str">
        <f>IFERROR(INDEX([1]物品基础表!$A:$A,MATCH(F136,[1]物品基础表!$B:$B,0)),"")</f>
        <v>合服消费第6-20名</v>
      </c>
      <c r="H136" s="1">
        <v>1</v>
      </c>
      <c r="J136" s="1" t="str">
        <f>IFERROR(INDEX([1]物品基础表!$A:$A,MATCH(I136,[1]物品基础表!$B:$B,0)),"")</f>
        <v/>
      </c>
      <c r="M136" s="1" t="str">
        <f>IFERROR(INDEX([1]物品基础表!$A:$A,MATCH(L136,[1]物品基础表!$B:$B,0)),"")</f>
        <v/>
      </c>
    </row>
    <row r="137" spans="1:14">
      <c r="A137" s="32" t="str">
        <f>INDEX([2]活动总表!$A$8:$A$429,MATCH(B137,[2]活动总表!$B$8:$B$429,0))</f>
        <v>合服累消排行</v>
      </c>
      <c r="B137" s="1">
        <v>159</v>
      </c>
      <c r="C137" s="1">
        <v>9</v>
      </c>
      <c r="D137" s="1">
        <v>0</v>
      </c>
      <c r="E137" s="1">
        <v>21</v>
      </c>
      <c r="F137" s="1">
        <v>200932</v>
      </c>
      <c r="G137" s="1" t="str">
        <f>IFERROR(INDEX([1]物品基础表!$A:$A,MATCH(F137,[1]物品基础表!$B:$B,0)),"")</f>
        <v>合服消费第6-20名</v>
      </c>
      <c r="H137" s="1">
        <v>1</v>
      </c>
      <c r="J137" s="1" t="str">
        <f>IFERROR(INDEX([1]物品基础表!$A:$A,MATCH(I137,[1]物品基础表!$B:$B,0)),"")</f>
        <v/>
      </c>
      <c r="M137" s="1" t="str">
        <f>IFERROR(INDEX([1]物品基础表!$A:$A,MATCH(L137,[1]物品基础表!$B:$B,0)),"")</f>
        <v/>
      </c>
    </row>
    <row r="138" spans="1:14">
      <c r="A138" s="32" t="str">
        <f>INDEX([2]活动总表!$A$8:$A$429,MATCH(B138,[2]活动总表!$B$8:$B$429,0))</f>
        <v>合服累消排行</v>
      </c>
      <c r="B138" s="1">
        <v>159</v>
      </c>
      <c r="C138" s="1">
        <v>10</v>
      </c>
      <c r="D138" s="1">
        <v>0</v>
      </c>
      <c r="E138" s="1">
        <v>21</v>
      </c>
      <c r="F138" s="1">
        <v>200932</v>
      </c>
      <c r="G138" s="1" t="str">
        <f>IFERROR(INDEX([1]物品基础表!$A:$A,MATCH(F138,[1]物品基础表!$B:$B,0)),"")</f>
        <v>合服消费第6-20名</v>
      </c>
      <c r="H138" s="1">
        <v>1</v>
      </c>
      <c r="J138" s="1" t="str">
        <f>IFERROR(INDEX([1]物品基础表!$A:$A,MATCH(I138,[1]物品基础表!$B:$B,0)),"")</f>
        <v/>
      </c>
      <c r="M138" s="1" t="str">
        <f>IFERROR(INDEX([1]物品基础表!$A:$A,MATCH(L138,[1]物品基础表!$B:$B,0)),"")</f>
        <v/>
      </c>
    </row>
    <row r="139" spans="1:14">
      <c r="A139" s="32" t="str">
        <f>INDEX([2]活动总表!$A$8:$A$429,MATCH(B139,[2]活动总表!$B$8:$B$429,0))</f>
        <v>合服累消排行</v>
      </c>
      <c r="B139" s="1">
        <v>159</v>
      </c>
      <c r="C139" s="1">
        <v>11</v>
      </c>
      <c r="D139" s="1">
        <v>0</v>
      </c>
      <c r="E139" s="1">
        <v>21</v>
      </c>
      <c r="F139" s="1">
        <v>200932</v>
      </c>
      <c r="G139" s="1" t="str">
        <f>IFERROR(INDEX([1]物品基础表!$A:$A,MATCH(F139,[1]物品基础表!$B:$B,0)),"")</f>
        <v>合服消费第6-20名</v>
      </c>
      <c r="H139" s="1">
        <v>1</v>
      </c>
      <c r="J139" s="1" t="str">
        <f>IFERROR(INDEX([1]物品基础表!$A:$A,MATCH(I139,[1]物品基础表!$B:$B,0)),"")</f>
        <v/>
      </c>
      <c r="M139" s="1" t="str">
        <f>IFERROR(INDEX([1]物品基础表!$A:$A,MATCH(L139,[1]物品基础表!$B:$B,0)),"")</f>
        <v/>
      </c>
    </row>
    <row r="140" spans="1:14">
      <c r="A140" s="32" t="str">
        <f>INDEX([2]活动总表!$A$8:$A$429,MATCH(B140,[2]活动总表!$B$8:$B$429,0))</f>
        <v>合服累消排行</v>
      </c>
      <c r="B140" s="1">
        <v>159</v>
      </c>
      <c r="C140" s="1">
        <v>12</v>
      </c>
      <c r="D140" s="1">
        <v>0</v>
      </c>
      <c r="E140" s="1">
        <v>21</v>
      </c>
      <c r="F140" s="1">
        <v>200932</v>
      </c>
      <c r="G140" s="1" t="str">
        <f>IFERROR(INDEX([1]物品基础表!$A:$A,MATCH(F140,[1]物品基础表!$B:$B,0)),"")</f>
        <v>合服消费第6-20名</v>
      </c>
      <c r="H140" s="1">
        <v>1</v>
      </c>
      <c r="J140" s="1" t="str">
        <f>IFERROR(INDEX([1]物品基础表!$A:$A,MATCH(I140,[1]物品基础表!$B:$B,0)),"")</f>
        <v/>
      </c>
      <c r="M140" s="1" t="str">
        <f>IFERROR(INDEX([1]物品基础表!$A:$A,MATCH(L140,[1]物品基础表!$B:$B,0)),"")</f>
        <v/>
      </c>
    </row>
    <row r="141" spans="1:14">
      <c r="A141" s="32" t="str">
        <f>INDEX([2]活动总表!$A$8:$A$429,MATCH(B141,[2]活动总表!$B$8:$B$429,0))</f>
        <v>合服累消排行</v>
      </c>
      <c r="B141" s="1">
        <v>159</v>
      </c>
      <c r="C141" s="1">
        <v>13</v>
      </c>
      <c r="D141" s="1">
        <v>0</v>
      </c>
      <c r="E141" s="1">
        <v>21</v>
      </c>
      <c r="F141" s="1">
        <v>200932</v>
      </c>
      <c r="G141" s="1" t="str">
        <f>IFERROR(INDEX([1]物品基础表!$A:$A,MATCH(F141,[1]物品基础表!$B:$B,0)),"")</f>
        <v>合服消费第6-20名</v>
      </c>
      <c r="H141" s="1">
        <v>1</v>
      </c>
      <c r="J141" s="1" t="str">
        <f>IFERROR(INDEX([1]物品基础表!$A:$A,MATCH(I141,[1]物品基础表!$B:$B,0)),"")</f>
        <v/>
      </c>
      <c r="M141" s="1" t="str">
        <f>IFERROR(INDEX([1]物品基础表!$A:$A,MATCH(L141,[1]物品基础表!$B:$B,0)),"")</f>
        <v/>
      </c>
    </row>
    <row r="142" spans="1:14">
      <c r="A142" s="32" t="str">
        <f>INDEX([2]活动总表!$A$8:$A$429,MATCH(B142,[2]活动总表!$B$8:$B$429,0))</f>
        <v>合服累消排行</v>
      </c>
      <c r="B142" s="1">
        <v>159</v>
      </c>
      <c r="C142" s="1">
        <v>14</v>
      </c>
      <c r="D142" s="1">
        <v>0</v>
      </c>
      <c r="E142" s="1">
        <v>21</v>
      </c>
      <c r="F142" s="1">
        <v>200932</v>
      </c>
      <c r="G142" s="1" t="str">
        <f>IFERROR(INDEX([1]物品基础表!$A:$A,MATCH(F142,[1]物品基础表!$B:$B,0)),"")</f>
        <v>合服消费第6-20名</v>
      </c>
      <c r="H142" s="1">
        <v>1</v>
      </c>
      <c r="J142" s="1" t="str">
        <f>IFERROR(INDEX([1]物品基础表!$A:$A,MATCH(I142,[1]物品基础表!$B:$B,0)),"")</f>
        <v/>
      </c>
      <c r="M142" s="1" t="str">
        <f>IFERROR(INDEX([1]物品基础表!$A:$A,MATCH(L142,[1]物品基础表!$B:$B,0)),"")</f>
        <v/>
      </c>
    </row>
    <row r="143" spans="1:14">
      <c r="A143" s="32" t="str">
        <f>INDEX([2]活动总表!$A$8:$A$429,MATCH(B143,[2]活动总表!$B$8:$B$429,0))</f>
        <v>合服累消排行</v>
      </c>
      <c r="B143" s="1">
        <v>159</v>
      </c>
      <c r="C143" s="1">
        <v>15</v>
      </c>
      <c r="D143" s="1">
        <v>0</v>
      </c>
      <c r="E143" s="1">
        <v>21</v>
      </c>
      <c r="F143" s="1">
        <v>200932</v>
      </c>
      <c r="G143" s="1" t="str">
        <f>IFERROR(INDEX([1]物品基础表!$A:$A,MATCH(F143,[1]物品基础表!$B:$B,0)),"")</f>
        <v>合服消费第6-20名</v>
      </c>
      <c r="H143" s="1">
        <v>1</v>
      </c>
      <c r="J143" s="1" t="str">
        <f>IFERROR(INDEX([1]物品基础表!$A:$A,MATCH(I143,[1]物品基础表!$B:$B,0)),"")</f>
        <v/>
      </c>
      <c r="M143" s="1" t="str">
        <f>IFERROR(INDEX([1]物品基础表!$A:$A,MATCH(L143,[1]物品基础表!$B:$B,0)),"")</f>
        <v/>
      </c>
    </row>
    <row r="144" spans="1:14">
      <c r="A144" s="32" t="str">
        <f>INDEX([2]活动总表!$A$8:$A$429,MATCH(B144,[2]活动总表!$B$8:$B$429,0))</f>
        <v>合服累消排行</v>
      </c>
      <c r="B144" s="1">
        <v>159</v>
      </c>
      <c r="C144" s="1">
        <v>16</v>
      </c>
      <c r="D144" s="1">
        <v>0</v>
      </c>
      <c r="E144" s="1">
        <v>21</v>
      </c>
      <c r="F144" s="1">
        <v>200932</v>
      </c>
      <c r="G144" s="1" t="str">
        <f>IFERROR(INDEX([1]物品基础表!$A:$A,MATCH(F144,[1]物品基础表!$B:$B,0)),"")</f>
        <v>合服消费第6-20名</v>
      </c>
      <c r="H144" s="1">
        <v>1</v>
      </c>
      <c r="J144" s="1" t="str">
        <f>IFERROR(INDEX([1]物品基础表!$A:$A,MATCH(I144,[1]物品基础表!$B:$B,0)),"")</f>
        <v/>
      </c>
      <c r="M144" s="1" t="str">
        <f>IFERROR(INDEX([1]物品基础表!$A:$A,MATCH(L144,[1]物品基础表!$B:$B,0)),"")</f>
        <v/>
      </c>
    </row>
    <row r="145" spans="1:14">
      <c r="A145" s="32" t="str">
        <f>INDEX([2]活动总表!$A$8:$A$429,MATCH(B145,[2]活动总表!$B$8:$B$429,0))</f>
        <v>合服累消排行</v>
      </c>
      <c r="B145" s="1">
        <v>159</v>
      </c>
      <c r="C145" s="1">
        <v>17</v>
      </c>
      <c r="D145" s="1">
        <v>0</v>
      </c>
      <c r="E145" s="1">
        <v>21</v>
      </c>
      <c r="F145" s="1">
        <v>200932</v>
      </c>
      <c r="G145" s="1" t="str">
        <f>IFERROR(INDEX([1]物品基础表!$A:$A,MATCH(F145,[1]物品基础表!$B:$B,0)),"")</f>
        <v>合服消费第6-20名</v>
      </c>
      <c r="H145" s="1">
        <v>1</v>
      </c>
      <c r="J145" s="1" t="str">
        <f>IFERROR(INDEX([1]物品基础表!$A:$A,MATCH(I145,[1]物品基础表!$B:$B,0)),"")</f>
        <v/>
      </c>
      <c r="M145" s="1" t="str">
        <f>IFERROR(INDEX([1]物品基础表!$A:$A,MATCH(L145,[1]物品基础表!$B:$B,0)),"")</f>
        <v/>
      </c>
    </row>
    <row r="146" spans="1:14">
      <c r="A146" s="32" t="str">
        <f>INDEX([2]活动总表!$A$8:$A$429,MATCH(B146,[2]活动总表!$B$8:$B$429,0))</f>
        <v>合服累消排行</v>
      </c>
      <c r="B146" s="1">
        <v>159</v>
      </c>
      <c r="C146" s="1">
        <v>18</v>
      </c>
      <c r="D146" s="1">
        <v>0</v>
      </c>
      <c r="E146" s="1">
        <v>21</v>
      </c>
      <c r="F146" s="1">
        <v>200932</v>
      </c>
      <c r="G146" s="1" t="str">
        <f>IFERROR(INDEX([1]物品基础表!$A:$A,MATCH(F146,[1]物品基础表!$B:$B,0)),"")</f>
        <v>合服消费第6-20名</v>
      </c>
      <c r="H146" s="1">
        <v>1</v>
      </c>
      <c r="J146" s="1" t="str">
        <f>IFERROR(INDEX([1]物品基础表!$A:$A,MATCH(I146,[1]物品基础表!$B:$B,0)),"")</f>
        <v/>
      </c>
      <c r="M146" s="1" t="str">
        <f>IFERROR(INDEX([1]物品基础表!$A:$A,MATCH(L146,[1]物品基础表!$B:$B,0)),"")</f>
        <v/>
      </c>
    </row>
    <row r="147" spans="1:14">
      <c r="A147" s="32" t="str">
        <f>INDEX([2]活动总表!$A$8:$A$429,MATCH(B147,[2]活动总表!$B$8:$B$429,0))</f>
        <v>合服累消排行</v>
      </c>
      <c r="B147" s="1">
        <v>159</v>
      </c>
      <c r="C147" s="1">
        <v>19</v>
      </c>
      <c r="D147" s="1">
        <v>0</v>
      </c>
      <c r="E147" s="1">
        <v>21</v>
      </c>
      <c r="F147" s="1">
        <v>200932</v>
      </c>
      <c r="G147" s="1" t="str">
        <f>IFERROR(INDEX([1]物品基础表!$A:$A,MATCH(F147,[1]物品基础表!$B:$B,0)),"")</f>
        <v>合服消费第6-20名</v>
      </c>
      <c r="H147" s="1">
        <v>1</v>
      </c>
      <c r="J147" s="1" t="str">
        <f>IFERROR(INDEX([1]物品基础表!$A:$A,MATCH(I147,[1]物品基础表!$B:$B,0)),"")</f>
        <v/>
      </c>
      <c r="M147" s="1" t="str">
        <f>IFERROR(INDEX([1]物品基础表!$A:$A,MATCH(L147,[1]物品基础表!$B:$B,0)),"")</f>
        <v/>
      </c>
    </row>
    <row r="148" spans="1:14">
      <c r="A148" s="32" t="str">
        <f>INDEX([2]活动总表!$A$8:$A$429,MATCH(B148,[2]活动总表!$B$8:$B$429,0))</f>
        <v>合服累消排行</v>
      </c>
      <c r="B148" s="1">
        <v>159</v>
      </c>
      <c r="C148" s="1">
        <v>20</v>
      </c>
      <c r="D148" s="1">
        <v>0</v>
      </c>
      <c r="E148" s="1">
        <v>21</v>
      </c>
      <c r="F148" s="1">
        <v>200932</v>
      </c>
      <c r="G148" s="1" t="str">
        <f>IFERROR(INDEX([1]物品基础表!$A:$A,MATCH(F148,[1]物品基础表!$B:$B,0)),"")</f>
        <v>合服消费第6-20名</v>
      </c>
      <c r="H148" s="1">
        <v>1</v>
      </c>
      <c r="J148" s="1" t="str">
        <f>IFERROR(INDEX([1]物品基础表!$A:$A,MATCH(I148,[1]物品基础表!$B:$B,0)),"")</f>
        <v/>
      </c>
      <c r="M148" s="1" t="str">
        <f>IFERROR(INDEX([1]物品基础表!$A:$A,MATCH(L148,[1]物品基础表!$B:$B,0)),"")</f>
        <v/>
      </c>
    </row>
    <row r="149" spans="1:14">
      <c r="A149" s="32" t="str">
        <f>INDEX([2]活动总表!$A$8:$A$429,MATCH(B149,[2]活动总表!$B$8:$B$429,0))</f>
        <v>合服累消排行</v>
      </c>
      <c r="B149" s="1">
        <v>159</v>
      </c>
      <c r="C149" s="1">
        <v>0</v>
      </c>
      <c r="E149" s="1">
        <v>21</v>
      </c>
      <c r="G149" s="1" t="str">
        <f>IFERROR(INDEX([1]物品基础表!$A:$A,MATCH(F149,[1]物品基础表!$B:$B,0)),"")</f>
        <v/>
      </c>
      <c r="J149" s="1" t="str">
        <f>IFERROR(INDEX([1]物品基础表!$A:$A,MATCH(I149,[1]物品基础表!$B:$B,0)),"")</f>
        <v/>
      </c>
      <c r="M149" s="1" t="str">
        <f>IFERROR(INDEX([1]物品基础表!$A:$A,MATCH(L149,[1]物品基础表!$B:$B,0)),"")</f>
        <v/>
      </c>
    </row>
    <row r="150" spans="1:14">
      <c r="A150" s="32" t="str">
        <f>INDEX([2]活动总表!$A$8:$A$429,MATCH(B150,[2]活动总表!$B$8:$B$429,0))</f>
        <v>第2次合服累消排行</v>
      </c>
      <c r="B150" s="1">
        <v>328</v>
      </c>
      <c r="C150" s="1">
        <v>1</v>
      </c>
      <c r="D150" s="1">
        <v>200000</v>
      </c>
      <c r="E150" s="1">
        <v>21</v>
      </c>
      <c r="F150" s="1">
        <v>200928</v>
      </c>
      <c r="G150" s="1" t="str">
        <f>IFERROR(INDEX([1]物品基础表!$A:$A,MATCH(F150,[1]物品基础表!$B:$B,0)),"")</f>
        <v>神兵大招3三选一</v>
      </c>
      <c r="H150" s="1">
        <v>1</v>
      </c>
      <c r="I150" s="1">
        <v>200927</v>
      </c>
      <c r="J150" s="1" t="str">
        <f>IFERROR(INDEX([1]物品基础表!$A:$A,MATCH(I150,[1]物品基础表!$B:$B,0)),"")</f>
        <v>神兵大招2三选一</v>
      </c>
      <c r="K150" s="1">
        <v>1</v>
      </c>
      <c r="L150" s="1">
        <v>200302</v>
      </c>
      <c r="M150" s="1" t="str">
        <f>IFERROR(INDEX([1]物品基础表!$A:$A,MATCH(L150,[1]物品基础表!$B:$B,0)),"")</f>
        <v>传世至宝</v>
      </c>
      <c r="N150" s="1">
        <v>1</v>
      </c>
    </row>
    <row r="151" spans="1:14">
      <c r="A151" s="32" t="str">
        <f>INDEX([2]活动总表!$A$8:$A$429,MATCH(B151,[2]活动总表!$B$8:$B$429,0))</f>
        <v>第2次合服累消排行</v>
      </c>
      <c r="B151" s="1">
        <v>328</v>
      </c>
      <c r="C151" s="1">
        <v>2</v>
      </c>
      <c r="D151" s="1">
        <v>120000</v>
      </c>
      <c r="E151" s="1">
        <v>21</v>
      </c>
      <c r="F151" s="1">
        <v>200927</v>
      </c>
      <c r="G151" s="1" t="str">
        <f>IFERROR(INDEX([1]物品基础表!$A:$A,MATCH(F151,[1]物品基础表!$B:$B,0)),"")</f>
        <v>神兵大招2三选一</v>
      </c>
      <c r="H151" s="1">
        <v>1</v>
      </c>
      <c r="I151" s="1">
        <v>200301</v>
      </c>
      <c r="J151" s="1" t="str">
        <f>IFERROR(INDEX([1]物品基础表!$A:$A,MATCH(I151,[1]物品基础表!$B:$B,0)),"")</f>
        <v>传世宝钻</v>
      </c>
      <c r="K151" s="1">
        <v>500</v>
      </c>
      <c r="M151" s="1" t="str">
        <f>IFERROR(INDEX([1]物品基础表!$A:$A,MATCH(L151,[1]物品基础表!$B:$B,0)),"")</f>
        <v/>
      </c>
    </row>
    <row r="152" spans="1:14">
      <c r="A152" s="32" t="str">
        <f>INDEX([2]活动总表!$A$8:$A$429,MATCH(B152,[2]活动总表!$B$8:$B$429,0))</f>
        <v>第2次合服累消排行</v>
      </c>
      <c r="B152" s="1">
        <v>328</v>
      </c>
      <c r="C152" s="1">
        <v>3</v>
      </c>
      <c r="D152" s="1">
        <v>120000</v>
      </c>
      <c r="E152" s="1">
        <v>21</v>
      </c>
      <c r="F152" s="1">
        <v>200927</v>
      </c>
      <c r="G152" s="1" t="str">
        <f>IFERROR(INDEX([1]物品基础表!$A:$A,MATCH(F152,[1]物品基础表!$B:$B,0)),"")</f>
        <v>神兵大招2三选一</v>
      </c>
      <c r="H152" s="1">
        <v>1</v>
      </c>
      <c r="I152" s="1">
        <v>200301</v>
      </c>
      <c r="J152" s="1" t="str">
        <f>IFERROR(INDEX([1]物品基础表!$A:$A,MATCH(I152,[1]物品基础表!$B:$B,0)),"")</f>
        <v>传世宝钻</v>
      </c>
      <c r="K152" s="1">
        <v>500</v>
      </c>
      <c r="M152" s="1" t="str">
        <f>IFERROR(INDEX([1]物品基础表!$A:$A,MATCH(L152,[1]物品基础表!$B:$B,0)),"")</f>
        <v/>
      </c>
    </row>
    <row r="153" spans="1:14">
      <c r="A153" s="32" t="str">
        <f>INDEX([2]活动总表!$A$8:$A$429,MATCH(B153,[2]活动总表!$B$8:$B$429,0))</f>
        <v>第2次合服累消排行</v>
      </c>
      <c r="B153" s="1">
        <v>328</v>
      </c>
      <c r="C153" s="1">
        <v>4</v>
      </c>
      <c r="D153" s="1">
        <v>50000</v>
      </c>
      <c r="E153" s="1">
        <v>21</v>
      </c>
      <c r="F153" s="1">
        <v>202004</v>
      </c>
      <c r="G153" s="1" t="str">
        <f>IFERROR(INDEX([1]物品基础表!$A:$A,MATCH(F153,[1]物品基础表!$B:$B,0)),"")</f>
        <v>烈焰戒指技能4书</v>
      </c>
      <c r="H153" s="1">
        <v>1</v>
      </c>
      <c r="I153" s="1">
        <v>200301</v>
      </c>
      <c r="J153" s="1" t="str">
        <f>IFERROR(INDEX([1]物品基础表!$A:$A,MATCH(I153,[1]物品基础表!$B:$B,0)),"")</f>
        <v>传世宝钻</v>
      </c>
      <c r="K153" s="1">
        <v>300</v>
      </c>
      <c r="M153" s="1" t="str">
        <f>IFERROR(INDEX([1]物品基础表!$A:$A,MATCH(L153,[1]物品基础表!$B:$B,0)),"")</f>
        <v/>
      </c>
    </row>
    <row r="154" spans="1:14">
      <c r="A154" s="32" t="str">
        <f>INDEX([2]活动总表!$A$8:$A$429,MATCH(B154,[2]活动总表!$B$8:$B$429,0))</f>
        <v>第2次合服累消排行</v>
      </c>
      <c r="B154" s="1">
        <v>328</v>
      </c>
      <c r="C154" s="1">
        <v>5</v>
      </c>
      <c r="D154" s="1">
        <v>50000</v>
      </c>
      <c r="E154" s="1">
        <v>21</v>
      </c>
      <c r="F154" s="1">
        <v>202004</v>
      </c>
      <c r="G154" s="1" t="str">
        <f>IFERROR(INDEX([1]物品基础表!$A:$A,MATCH(F154,[1]物品基础表!$B:$B,0)),"")</f>
        <v>烈焰戒指技能4书</v>
      </c>
      <c r="H154" s="1">
        <v>1</v>
      </c>
      <c r="I154" s="1">
        <v>200301</v>
      </c>
      <c r="J154" s="1" t="str">
        <f>IFERROR(INDEX([1]物品基础表!$A:$A,MATCH(I154,[1]物品基础表!$B:$B,0)),"")</f>
        <v>传世宝钻</v>
      </c>
      <c r="K154" s="1">
        <v>300</v>
      </c>
      <c r="M154" s="1" t="str">
        <f>IFERROR(INDEX([1]物品基础表!$A:$A,MATCH(L154,[1]物品基础表!$B:$B,0)),"")</f>
        <v/>
      </c>
    </row>
    <row r="155" spans="1:14">
      <c r="A155" s="32" t="str">
        <f>INDEX([2]活动总表!$A$8:$A$429,MATCH(B155,[2]活动总表!$B$8:$B$429,0))</f>
        <v>第2次合服累消排行</v>
      </c>
      <c r="B155" s="1">
        <v>328</v>
      </c>
      <c r="C155" s="1">
        <v>6</v>
      </c>
      <c r="D155" s="1">
        <v>0</v>
      </c>
      <c r="E155" s="1">
        <v>21</v>
      </c>
      <c r="F155" s="1">
        <v>202003</v>
      </c>
      <c r="G155" s="1" t="str">
        <f>IFERROR(INDEX([1]物品基础表!$A:$A,MATCH(F155,[1]物品基础表!$B:$B,0)),"")</f>
        <v>烈焰戒指技能3书</v>
      </c>
      <c r="H155" s="1">
        <v>1</v>
      </c>
      <c r="I155" s="1">
        <v>200301</v>
      </c>
      <c r="J155" s="1" t="str">
        <f>IFERROR(INDEX([1]物品基础表!$A:$A,MATCH(I155,[1]物品基础表!$B:$B,0)),"")</f>
        <v>传世宝钻</v>
      </c>
      <c r="K155" s="1">
        <v>200</v>
      </c>
      <c r="M155" s="1" t="str">
        <f>IFERROR(INDEX([1]物品基础表!$A:$A,MATCH(L155,[1]物品基础表!$B:$B,0)),"")</f>
        <v/>
      </c>
    </row>
    <row r="156" spans="1:14">
      <c r="A156" s="32" t="str">
        <f>INDEX([2]活动总表!$A$8:$A$429,MATCH(B156,[2]活动总表!$B$8:$B$429,0))</f>
        <v>第2次合服累消排行</v>
      </c>
      <c r="B156" s="1">
        <v>328</v>
      </c>
      <c r="C156" s="1">
        <v>7</v>
      </c>
      <c r="D156" s="1">
        <v>0</v>
      </c>
      <c r="E156" s="1">
        <v>21</v>
      </c>
      <c r="F156" s="1">
        <v>202003</v>
      </c>
      <c r="G156" s="1" t="str">
        <f>IFERROR(INDEX([1]物品基础表!$A:$A,MATCH(F156,[1]物品基础表!$B:$B,0)),"")</f>
        <v>烈焰戒指技能3书</v>
      </c>
      <c r="H156" s="1">
        <v>1</v>
      </c>
      <c r="I156" s="1">
        <v>200301</v>
      </c>
      <c r="J156" s="1" t="str">
        <f>IFERROR(INDEX([1]物品基础表!$A:$A,MATCH(I156,[1]物品基础表!$B:$B,0)),"")</f>
        <v>传世宝钻</v>
      </c>
      <c r="K156" s="1">
        <v>200</v>
      </c>
      <c r="M156" s="1" t="str">
        <f>IFERROR(INDEX([1]物品基础表!$A:$A,MATCH(L156,[1]物品基础表!$B:$B,0)),"")</f>
        <v/>
      </c>
    </row>
    <row r="157" spans="1:14">
      <c r="A157" s="32" t="str">
        <f>INDEX([2]活动总表!$A$8:$A$429,MATCH(B157,[2]活动总表!$B$8:$B$429,0))</f>
        <v>第2次合服累消排行</v>
      </c>
      <c r="B157" s="1">
        <v>328</v>
      </c>
      <c r="C157" s="1">
        <v>8</v>
      </c>
      <c r="D157" s="1">
        <v>0</v>
      </c>
      <c r="E157" s="1">
        <v>21</v>
      </c>
      <c r="F157" s="1">
        <v>202003</v>
      </c>
      <c r="G157" s="1" t="str">
        <f>IFERROR(INDEX([1]物品基础表!$A:$A,MATCH(F157,[1]物品基础表!$B:$B,0)),"")</f>
        <v>烈焰戒指技能3书</v>
      </c>
      <c r="H157" s="1">
        <v>1</v>
      </c>
      <c r="I157" s="1">
        <v>200301</v>
      </c>
      <c r="J157" s="1" t="str">
        <f>IFERROR(INDEX([1]物品基础表!$A:$A,MATCH(I157,[1]物品基础表!$B:$B,0)),"")</f>
        <v>传世宝钻</v>
      </c>
      <c r="K157" s="1">
        <v>200</v>
      </c>
      <c r="M157" s="1" t="str">
        <f>IFERROR(INDEX([1]物品基础表!$A:$A,MATCH(L157,[1]物品基础表!$B:$B,0)),"")</f>
        <v/>
      </c>
    </row>
    <row r="158" spans="1:14">
      <c r="A158" s="32" t="str">
        <f>INDEX([2]活动总表!$A$8:$A$429,MATCH(B158,[2]活动总表!$B$8:$B$429,0))</f>
        <v>第2次合服累消排行</v>
      </c>
      <c r="B158" s="1">
        <v>328</v>
      </c>
      <c r="C158" s="1">
        <v>9</v>
      </c>
      <c r="D158" s="1">
        <v>0</v>
      </c>
      <c r="E158" s="1">
        <v>21</v>
      </c>
      <c r="F158" s="1">
        <v>202003</v>
      </c>
      <c r="G158" s="1" t="str">
        <f>IFERROR(INDEX([1]物品基础表!$A:$A,MATCH(F158,[1]物品基础表!$B:$B,0)),"")</f>
        <v>烈焰戒指技能3书</v>
      </c>
      <c r="H158" s="1">
        <v>1</v>
      </c>
      <c r="I158" s="1">
        <v>200301</v>
      </c>
      <c r="J158" s="1" t="str">
        <f>IFERROR(INDEX([1]物品基础表!$A:$A,MATCH(I158,[1]物品基础表!$B:$B,0)),"")</f>
        <v>传世宝钻</v>
      </c>
      <c r="K158" s="1">
        <v>200</v>
      </c>
      <c r="M158" s="1" t="str">
        <f>IFERROR(INDEX([1]物品基础表!$A:$A,MATCH(L158,[1]物品基础表!$B:$B,0)),"")</f>
        <v/>
      </c>
    </row>
    <row r="159" spans="1:14">
      <c r="A159" s="32" t="str">
        <f>INDEX([2]活动总表!$A$8:$A$429,MATCH(B159,[2]活动总表!$B$8:$B$429,0))</f>
        <v>第2次合服累消排行</v>
      </c>
      <c r="B159" s="1">
        <v>328</v>
      </c>
      <c r="C159" s="1">
        <v>10</v>
      </c>
      <c r="D159" s="1">
        <v>0</v>
      </c>
      <c r="E159" s="1">
        <v>21</v>
      </c>
      <c r="F159" s="1">
        <v>202003</v>
      </c>
      <c r="G159" s="1" t="str">
        <f>IFERROR(INDEX([1]物品基础表!$A:$A,MATCH(F159,[1]物品基础表!$B:$B,0)),"")</f>
        <v>烈焰戒指技能3书</v>
      </c>
      <c r="H159" s="1">
        <v>1</v>
      </c>
      <c r="I159" s="1">
        <v>200301</v>
      </c>
      <c r="J159" s="1" t="str">
        <f>IFERROR(INDEX([1]物品基础表!$A:$A,MATCH(I159,[1]物品基础表!$B:$B,0)),"")</f>
        <v>传世宝钻</v>
      </c>
      <c r="K159" s="1">
        <v>200</v>
      </c>
      <c r="M159" s="1" t="str">
        <f>IFERROR(INDEX([1]物品基础表!$A:$A,MATCH(L159,[1]物品基础表!$B:$B,0)),"")</f>
        <v/>
      </c>
    </row>
    <row r="160" spans="1:14">
      <c r="A160" s="32" t="str">
        <f>INDEX([2]活动总表!$A$8:$A$429,MATCH(B160,[2]活动总表!$B$8:$B$429,0))</f>
        <v>第2次合服累消排行</v>
      </c>
      <c r="B160" s="1">
        <v>328</v>
      </c>
      <c r="C160" s="1">
        <v>11</v>
      </c>
      <c r="D160" s="1">
        <v>0</v>
      </c>
      <c r="E160" s="1">
        <v>21</v>
      </c>
      <c r="F160" s="1">
        <v>202003</v>
      </c>
      <c r="G160" s="1" t="str">
        <f>IFERROR(INDEX([1]物品基础表!$A:$A,MATCH(F160,[1]物品基础表!$B:$B,0)),"")</f>
        <v>烈焰戒指技能3书</v>
      </c>
      <c r="H160" s="1">
        <v>1</v>
      </c>
      <c r="I160" s="1">
        <v>200301</v>
      </c>
      <c r="J160" s="1" t="str">
        <f>IFERROR(INDEX([1]物品基础表!$A:$A,MATCH(I160,[1]物品基础表!$B:$B,0)),"")</f>
        <v>传世宝钻</v>
      </c>
      <c r="K160" s="1">
        <v>200</v>
      </c>
      <c r="M160" s="1" t="str">
        <f>IFERROR(INDEX([1]物品基础表!$A:$A,MATCH(L160,[1]物品基础表!$B:$B,0)),"")</f>
        <v/>
      </c>
    </row>
    <row r="161" spans="1:13">
      <c r="A161" s="32" t="str">
        <f>INDEX([2]活动总表!$A$8:$A$429,MATCH(B161,[2]活动总表!$B$8:$B$429,0))</f>
        <v>第2次合服累消排行</v>
      </c>
      <c r="B161" s="1">
        <v>328</v>
      </c>
      <c r="C161" s="1">
        <v>12</v>
      </c>
      <c r="D161" s="1">
        <v>0</v>
      </c>
      <c r="E161" s="1">
        <v>21</v>
      </c>
      <c r="F161" s="1">
        <v>202003</v>
      </c>
      <c r="G161" s="1" t="str">
        <f>IFERROR(INDEX([1]物品基础表!$A:$A,MATCH(F161,[1]物品基础表!$B:$B,0)),"")</f>
        <v>烈焰戒指技能3书</v>
      </c>
      <c r="H161" s="1">
        <v>1</v>
      </c>
      <c r="I161" s="1">
        <v>200301</v>
      </c>
      <c r="J161" s="1" t="str">
        <f>IFERROR(INDEX([1]物品基础表!$A:$A,MATCH(I161,[1]物品基础表!$B:$B,0)),"")</f>
        <v>传世宝钻</v>
      </c>
      <c r="K161" s="1">
        <v>200</v>
      </c>
      <c r="M161" s="1" t="str">
        <f>IFERROR(INDEX([1]物品基础表!$A:$A,MATCH(L161,[1]物品基础表!$B:$B,0)),"")</f>
        <v/>
      </c>
    </row>
    <row r="162" spans="1:13">
      <c r="A162" s="32" t="str">
        <f>INDEX([2]活动总表!$A$8:$A$429,MATCH(B162,[2]活动总表!$B$8:$B$429,0))</f>
        <v>第2次合服累消排行</v>
      </c>
      <c r="B162" s="1">
        <v>328</v>
      </c>
      <c r="C162" s="1">
        <v>13</v>
      </c>
      <c r="D162" s="1">
        <v>0</v>
      </c>
      <c r="E162" s="1">
        <v>21</v>
      </c>
      <c r="F162" s="1">
        <v>202003</v>
      </c>
      <c r="G162" s="1" t="str">
        <f>IFERROR(INDEX([1]物品基础表!$A:$A,MATCH(F162,[1]物品基础表!$B:$B,0)),"")</f>
        <v>烈焰戒指技能3书</v>
      </c>
      <c r="H162" s="1">
        <v>1</v>
      </c>
      <c r="I162" s="1">
        <v>200301</v>
      </c>
      <c r="J162" s="1" t="str">
        <f>IFERROR(INDEX([1]物品基础表!$A:$A,MATCH(I162,[1]物品基础表!$B:$B,0)),"")</f>
        <v>传世宝钻</v>
      </c>
      <c r="K162" s="1">
        <v>200</v>
      </c>
      <c r="M162" s="1" t="str">
        <f>IFERROR(INDEX([1]物品基础表!$A:$A,MATCH(L162,[1]物品基础表!$B:$B,0)),"")</f>
        <v/>
      </c>
    </row>
    <row r="163" spans="1:13">
      <c r="A163" s="32" t="str">
        <f>INDEX([2]活动总表!$A$8:$A$429,MATCH(B163,[2]活动总表!$B$8:$B$429,0))</f>
        <v>第2次合服累消排行</v>
      </c>
      <c r="B163" s="1">
        <v>328</v>
      </c>
      <c r="C163" s="1">
        <v>14</v>
      </c>
      <c r="D163" s="1">
        <v>0</v>
      </c>
      <c r="E163" s="1">
        <v>21</v>
      </c>
      <c r="F163" s="1">
        <v>202003</v>
      </c>
      <c r="G163" s="1" t="str">
        <f>IFERROR(INDEX([1]物品基础表!$A:$A,MATCH(F163,[1]物品基础表!$B:$B,0)),"")</f>
        <v>烈焰戒指技能3书</v>
      </c>
      <c r="H163" s="1">
        <v>1</v>
      </c>
      <c r="I163" s="1">
        <v>200301</v>
      </c>
      <c r="J163" s="1" t="str">
        <f>IFERROR(INDEX([1]物品基础表!$A:$A,MATCH(I163,[1]物品基础表!$B:$B,0)),"")</f>
        <v>传世宝钻</v>
      </c>
      <c r="K163" s="1">
        <v>200</v>
      </c>
      <c r="M163" s="1" t="str">
        <f>IFERROR(INDEX([1]物品基础表!$A:$A,MATCH(L163,[1]物品基础表!$B:$B,0)),"")</f>
        <v/>
      </c>
    </row>
    <row r="164" spans="1:13">
      <c r="A164" s="32" t="str">
        <f>INDEX([2]活动总表!$A$8:$A$429,MATCH(B164,[2]活动总表!$B$8:$B$429,0))</f>
        <v>第2次合服累消排行</v>
      </c>
      <c r="B164" s="1">
        <v>328</v>
      </c>
      <c r="C164" s="1">
        <v>15</v>
      </c>
      <c r="D164" s="1">
        <v>0</v>
      </c>
      <c r="E164" s="1">
        <v>21</v>
      </c>
      <c r="F164" s="1">
        <v>202003</v>
      </c>
      <c r="G164" s="1" t="str">
        <f>IFERROR(INDEX([1]物品基础表!$A:$A,MATCH(F164,[1]物品基础表!$B:$B,0)),"")</f>
        <v>烈焰戒指技能3书</v>
      </c>
      <c r="H164" s="1">
        <v>1</v>
      </c>
      <c r="I164" s="1">
        <v>200301</v>
      </c>
      <c r="J164" s="1" t="str">
        <f>IFERROR(INDEX([1]物品基础表!$A:$A,MATCH(I164,[1]物品基础表!$B:$B,0)),"")</f>
        <v>传世宝钻</v>
      </c>
      <c r="K164" s="1">
        <v>200</v>
      </c>
      <c r="M164" s="1" t="str">
        <f>IFERROR(INDEX([1]物品基础表!$A:$A,MATCH(L164,[1]物品基础表!$B:$B,0)),"")</f>
        <v/>
      </c>
    </row>
    <row r="165" spans="1:13">
      <c r="A165" s="32" t="str">
        <f>INDEX([2]活动总表!$A$8:$A$429,MATCH(B165,[2]活动总表!$B$8:$B$429,0))</f>
        <v>第2次合服累消排行</v>
      </c>
      <c r="B165" s="1">
        <v>328</v>
      </c>
      <c r="C165" s="1">
        <v>16</v>
      </c>
      <c r="D165" s="1">
        <v>0</v>
      </c>
      <c r="E165" s="1">
        <v>21</v>
      </c>
      <c r="F165" s="1">
        <v>202003</v>
      </c>
      <c r="G165" s="1" t="str">
        <f>IFERROR(INDEX([1]物品基础表!$A:$A,MATCH(F165,[1]物品基础表!$B:$B,0)),"")</f>
        <v>烈焰戒指技能3书</v>
      </c>
      <c r="H165" s="1">
        <v>1</v>
      </c>
      <c r="I165" s="1">
        <v>200301</v>
      </c>
      <c r="J165" s="1" t="str">
        <f>IFERROR(INDEX([1]物品基础表!$A:$A,MATCH(I165,[1]物品基础表!$B:$B,0)),"")</f>
        <v>传世宝钻</v>
      </c>
      <c r="K165" s="1">
        <v>200</v>
      </c>
      <c r="M165" s="1" t="str">
        <f>IFERROR(INDEX([1]物品基础表!$A:$A,MATCH(L165,[1]物品基础表!$B:$B,0)),"")</f>
        <v/>
      </c>
    </row>
    <row r="166" spans="1:13">
      <c r="A166" s="32" t="str">
        <f>INDEX([2]活动总表!$A$8:$A$429,MATCH(B166,[2]活动总表!$B$8:$B$429,0))</f>
        <v>第2次合服累消排行</v>
      </c>
      <c r="B166" s="1">
        <v>328</v>
      </c>
      <c r="C166" s="1">
        <v>17</v>
      </c>
      <c r="D166" s="1">
        <v>0</v>
      </c>
      <c r="E166" s="1">
        <v>21</v>
      </c>
      <c r="F166" s="1">
        <v>202003</v>
      </c>
      <c r="G166" s="1" t="str">
        <f>IFERROR(INDEX([1]物品基础表!$A:$A,MATCH(F166,[1]物品基础表!$B:$B,0)),"")</f>
        <v>烈焰戒指技能3书</v>
      </c>
      <c r="H166" s="1">
        <v>1</v>
      </c>
      <c r="I166" s="1">
        <v>200301</v>
      </c>
      <c r="J166" s="1" t="str">
        <f>IFERROR(INDEX([1]物品基础表!$A:$A,MATCH(I166,[1]物品基础表!$B:$B,0)),"")</f>
        <v>传世宝钻</v>
      </c>
      <c r="K166" s="1">
        <v>200</v>
      </c>
      <c r="M166" s="1" t="str">
        <f>IFERROR(INDEX([1]物品基础表!$A:$A,MATCH(L166,[1]物品基础表!$B:$B,0)),"")</f>
        <v/>
      </c>
    </row>
    <row r="167" spans="1:13">
      <c r="A167" s="32" t="str">
        <f>INDEX([2]活动总表!$A$8:$A$429,MATCH(B167,[2]活动总表!$B$8:$B$429,0))</f>
        <v>第2次合服累消排行</v>
      </c>
      <c r="B167" s="1">
        <v>328</v>
      </c>
      <c r="C167" s="1">
        <v>18</v>
      </c>
      <c r="D167" s="1">
        <v>0</v>
      </c>
      <c r="E167" s="1">
        <v>21</v>
      </c>
      <c r="F167" s="1">
        <v>202003</v>
      </c>
      <c r="G167" s="1" t="str">
        <f>IFERROR(INDEX([1]物品基础表!$A:$A,MATCH(F167,[1]物品基础表!$B:$B,0)),"")</f>
        <v>烈焰戒指技能3书</v>
      </c>
      <c r="H167" s="1">
        <v>1</v>
      </c>
      <c r="I167" s="1">
        <v>200301</v>
      </c>
      <c r="J167" s="1" t="str">
        <f>IFERROR(INDEX([1]物品基础表!$A:$A,MATCH(I167,[1]物品基础表!$B:$B,0)),"")</f>
        <v>传世宝钻</v>
      </c>
      <c r="K167" s="1">
        <v>200</v>
      </c>
      <c r="M167" s="1" t="str">
        <f>IFERROR(INDEX([1]物品基础表!$A:$A,MATCH(L167,[1]物品基础表!$B:$B,0)),"")</f>
        <v/>
      </c>
    </row>
    <row r="168" spans="1:13">
      <c r="A168" s="32" t="str">
        <f>INDEX([2]活动总表!$A$8:$A$429,MATCH(B168,[2]活动总表!$B$8:$B$429,0))</f>
        <v>第2次合服累消排行</v>
      </c>
      <c r="B168" s="1">
        <v>328</v>
      </c>
      <c r="C168" s="1">
        <v>19</v>
      </c>
      <c r="D168" s="1">
        <v>0</v>
      </c>
      <c r="E168" s="1">
        <v>21</v>
      </c>
      <c r="F168" s="1">
        <v>202003</v>
      </c>
      <c r="G168" s="1" t="str">
        <f>IFERROR(INDEX([1]物品基础表!$A:$A,MATCH(F168,[1]物品基础表!$B:$B,0)),"")</f>
        <v>烈焰戒指技能3书</v>
      </c>
      <c r="H168" s="1">
        <v>1</v>
      </c>
      <c r="I168" s="1">
        <v>200301</v>
      </c>
      <c r="J168" s="1" t="str">
        <f>IFERROR(INDEX([1]物品基础表!$A:$A,MATCH(I168,[1]物品基础表!$B:$B,0)),"")</f>
        <v>传世宝钻</v>
      </c>
      <c r="K168" s="1">
        <v>200</v>
      </c>
      <c r="M168" s="1" t="str">
        <f>IFERROR(INDEX([1]物品基础表!$A:$A,MATCH(L168,[1]物品基础表!$B:$B,0)),"")</f>
        <v/>
      </c>
    </row>
    <row r="169" spans="1:13">
      <c r="A169" s="32" t="str">
        <f>INDEX([2]活动总表!$A$8:$A$429,MATCH(B169,[2]活动总表!$B$8:$B$429,0))</f>
        <v>第2次合服累消排行</v>
      </c>
      <c r="B169" s="1">
        <v>328</v>
      </c>
      <c r="C169" s="1">
        <v>20</v>
      </c>
      <c r="D169" s="1">
        <v>0</v>
      </c>
      <c r="E169" s="1">
        <v>21</v>
      </c>
      <c r="F169" s="1">
        <v>202003</v>
      </c>
      <c r="G169" s="1" t="str">
        <f>IFERROR(INDEX([1]物品基础表!$A:$A,MATCH(F169,[1]物品基础表!$B:$B,0)),"")</f>
        <v>烈焰戒指技能3书</v>
      </c>
      <c r="H169" s="1">
        <v>1</v>
      </c>
      <c r="I169" s="1">
        <v>200301</v>
      </c>
      <c r="J169" s="1" t="str">
        <f>IFERROR(INDEX([1]物品基础表!$A:$A,MATCH(I169,[1]物品基础表!$B:$B,0)),"")</f>
        <v>传世宝钻</v>
      </c>
      <c r="K169" s="1">
        <v>200</v>
      </c>
      <c r="M169" s="1" t="str">
        <f>IFERROR(INDEX([1]物品基础表!$A:$A,MATCH(L169,[1]物品基础表!$B:$B,0)),"")</f>
        <v/>
      </c>
    </row>
    <row r="170" spans="1:13">
      <c r="A170" s="32" t="str">
        <f>INDEX([2]活动总表!$A$8:$A$429,MATCH(B170,[2]活动总表!$B$8:$B$429,0))</f>
        <v>第2次合服累消排行</v>
      </c>
      <c r="B170" s="1">
        <v>328</v>
      </c>
      <c r="C170" s="1">
        <v>0</v>
      </c>
      <c r="E170" s="1">
        <v>21</v>
      </c>
      <c r="G170" s="1" t="str">
        <f>IFERROR(INDEX([1]物品基础表!$A:$A,MATCH(F170,[1]物品基础表!$B:$B,0)),"")</f>
        <v/>
      </c>
      <c r="J170" s="1" t="str">
        <f>IFERROR(INDEX([1]物品基础表!$A:$A,MATCH(I170,[1]物品基础表!$B:$B,0)),"")</f>
        <v/>
      </c>
      <c r="M170" s="1" t="str">
        <f>IFERROR(INDEX([1]物品基础表!$A:$A,MATCH(L170,[1]物品基础表!$B:$B,0)),"")</f>
        <v/>
      </c>
    </row>
  </sheetData>
  <mergeCells count="1">
    <mergeCell ref="F1:N1"/>
  </mergeCells>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87"/>
  <sheetViews>
    <sheetView topLeftCell="A67" workbookViewId="0">
      <selection activeCell="E86" sqref="E86"/>
    </sheetView>
  </sheetViews>
  <sheetFormatPr defaultRowHeight="13.5"/>
  <cols>
    <col min="1" max="1" width="18.375" style="1" bestFit="1" customWidth="1"/>
    <col min="2" max="3" width="9" style="1"/>
    <col min="4" max="4" width="5.25" style="1" bestFit="1" customWidth="1"/>
    <col min="5" max="5" width="7.5" style="1" bestFit="1" customWidth="1"/>
    <col min="6" max="6" width="21.375" style="1" bestFit="1" customWidth="1"/>
    <col min="7" max="7" width="5.5" style="1" bestFit="1" customWidth="1"/>
    <col min="8" max="8" width="7.5" style="1" bestFit="1" customWidth="1"/>
    <col min="9" max="9" width="12.125" style="1" bestFit="1" customWidth="1"/>
    <col min="10" max="10" width="5.25" style="1" bestFit="1" customWidth="1"/>
    <col min="11" max="11" width="7.5" style="1" bestFit="1" customWidth="1"/>
    <col min="12" max="12" width="12.125" style="1" bestFit="1" customWidth="1"/>
    <col min="13" max="13" width="5.25" style="1" bestFit="1" customWidth="1"/>
    <col min="14" max="14" width="7.5" style="1" bestFit="1" customWidth="1"/>
    <col min="15" max="15" width="17.5" style="1" bestFit="1" customWidth="1"/>
    <col min="16" max="16" width="8.5" style="1" bestFit="1" customWidth="1"/>
    <col min="17" max="17" width="7.5" style="1" bestFit="1" customWidth="1"/>
    <col min="18" max="18" width="11" style="1" bestFit="1" customWidth="1"/>
    <col min="19" max="19" width="5.25" style="1" bestFit="1" customWidth="1"/>
    <col min="20" max="16384" width="9" style="1"/>
  </cols>
  <sheetData>
    <row r="1" spans="1:19">
      <c r="A1" s="35" t="s">
        <v>732</v>
      </c>
      <c r="E1" s="109" t="s">
        <v>35</v>
      </c>
      <c r="F1" s="109"/>
      <c r="G1" s="109"/>
      <c r="H1" s="109"/>
      <c r="I1" s="109"/>
      <c r="J1" s="109"/>
      <c r="K1" s="109"/>
      <c r="L1" s="109"/>
      <c r="M1" s="109"/>
      <c r="N1" s="109"/>
      <c r="O1" s="109"/>
      <c r="P1" s="109"/>
      <c r="Q1" s="109"/>
      <c r="R1" s="109"/>
      <c r="S1" s="109"/>
    </row>
    <row r="2" spans="1:19">
      <c r="A2" s="3" t="s">
        <v>19</v>
      </c>
      <c r="B2" s="4" t="s">
        <v>32</v>
      </c>
      <c r="C2" s="4" t="s">
        <v>33</v>
      </c>
      <c r="D2" s="4" t="s">
        <v>0</v>
      </c>
      <c r="E2" s="4" t="s">
        <v>2</v>
      </c>
      <c r="F2" s="4" t="s">
        <v>3</v>
      </c>
      <c r="G2" s="4" t="s">
        <v>4</v>
      </c>
      <c r="H2" s="4" t="s">
        <v>2</v>
      </c>
      <c r="I2" s="4" t="s">
        <v>3</v>
      </c>
      <c r="J2" s="4" t="s">
        <v>4</v>
      </c>
      <c r="K2" s="4" t="s">
        <v>2</v>
      </c>
      <c r="L2" s="4" t="s">
        <v>3</v>
      </c>
      <c r="M2" s="4" t="s">
        <v>4</v>
      </c>
      <c r="N2" s="4" t="s">
        <v>2</v>
      </c>
      <c r="O2" s="4" t="s">
        <v>3</v>
      </c>
      <c r="P2" s="4" t="s">
        <v>4</v>
      </c>
      <c r="Q2" s="4" t="s">
        <v>2</v>
      </c>
      <c r="R2" s="4" t="s">
        <v>3</v>
      </c>
      <c r="S2" s="4" t="s">
        <v>4</v>
      </c>
    </row>
    <row r="3" spans="1:19">
      <c r="A3" s="32" t="str">
        <f>INDEX([2]活动总表!$A$8:$A$429,MATCH(B3,[2]活动总表!$B$8:$B$429,0))</f>
        <v>合服登录活动</v>
      </c>
      <c r="B3" s="1">
        <v>157</v>
      </c>
      <c r="C3" s="1">
        <v>1</v>
      </c>
      <c r="D3" s="1">
        <v>1</v>
      </c>
      <c r="E3" s="1">
        <v>200156</v>
      </c>
      <c r="F3" s="1" t="str">
        <f>IFERROR(INDEX([1]物品基础表!$A:$A,MATCH(E3,[1]物品基础表!$B:$B,0)),"")</f>
        <v>野外BOSS次数卷轴</v>
      </c>
      <c r="G3" s="1">
        <v>10</v>
      </c>
      <c r="H3" s="1">
        <v>200320</v>
      </c>
      <c r="I3" s="1" t="str">
        <f>IFERROR(INDEX([1]物品基础表!$A:$A,MATCH(H3,[1]物品基础表!$B:$B,0)),"")</f>
        <v>至尊令牌</v>
      </c>
      <c r="J3" s="1">
        <v>10</v>
      </c>
      <c r="K3" s="1">
        <v>200005</v>
      </c>
      <c r="L3" s="1" t="str">
        <f>IFERROR(INDEX([1]物品基础表!$A:$A,MATCH(K3,[1]物品基础表!$B:$B,0)),"")</f>
        <v>龙魂碎片</v>
      </c>
      <c r="M3" s="1">
        <v>10</v>
      </c>
      <c r="N3" s="1">
        <v>1</v>
      </c>
      <c r="O3" s="1" t="s">
        <v>695</v>
      </c>
      <c r="P3" s="1">
        <v>800000</v>
      </c>
      <c r="R3" s="1" t="str">
        <f>IFERROR(INDEX([1]物品基础表!$A:$A,MATCH(Q3,[1]物品基础表!$B:$B,0)),"")</f>
        <v/>
      </c>
    </row>
    <row r="4" spans="1:19">
      <c r="A4" s="32" t="str">
        <f>INDEX([2]活动总表!$A$8:$A$429,MATCH(B4,[2]活动总表!$B$8:$B$429,0))</f>
        <v>合服登录活动</v>
      </c>
      <c r="B4" s="1">
        <v>157</v>
      </c>
      <c r="C4" s="1">
        <v>2</v>
      </c>
      <c r="D4" s="1">
        <v>2</v>
      </c>
      <c r="E4" s="1">
        <v>200009</v>
      </c>
      <c r="F4" s="1" t="str">
        <f>IFERROR(INDEX([1]物品基础表!$A:$A,MATCH(E4,[1]物品基础表!$B:$B,0)),"")</f>
        <v>高级转生丹</v>
      </c>
      <c r="G4" s="1">
        <v>3</v>
      </c>
      <c r="H4" s="1">
        <v>200320</v>
      </c>
      <c r="I4" s="1" t="str">
        <f>IFERROR(INDEX([1]物品基础表!$A:$A,MATCH(H4,[1]物品基础表!$B:$B,0)),"")</f>
        <v>至尊令牌</v>
      </c>
      <c r="J4" s="1">
        <v>10</v>
      </c>
      <c r="K4" s="1">
        <v>200005</v>
      </c>
      <c r="L4" s="1" t="str">
        <f>IFERROR(INDEX([1]物品基础表!$A:$A,MATCH(K4,[1]物品基础表!$B:$B,0)),"")</f>
        <v>龙魂碎片</v>
      </c>
      <c r="M4" s="1">
        <v>10</v>
      </c>
      <c r="N4" s="1">
        <v>1</v>
      </c>
      <c r="O4" s="1" t="s">
        <v>695</v>
      </c>
      <c r="P4" s="1">
        <v>1000000</v>
      </c>
      <c r="R4" s="1" t="str">
        <f>IFERROR(INDEX([1]物品基础表!$A:$A,MATCH(Q4,[1]物品基础表!$B:$B,0)),"")</f>
        <v/>
      </c>
    </row>
    <row r="5" spans="1:19">
      <c r="A5" s="32" t="str">
        <f>INDEX([2]活动总表!$A$8:$A$429,MATCH(B5,[2]活动总表!$B$8:$B$429,0))</f>
        <v>合服登录活动</v>
      </c>
      <c r="B5" s="1">
        <v>157</v>
      </c>
      <c r="C5" s="1">
        <v>3</v>
      </c>
      <c r="D5" s="1">
        <v>3</v>
      </c>
      <c r="E5" s="1">
        <v>202001</v>
      </c>
      <c r="F5" s="1" t="str">
        <f>IFERROR(INDEX([1]物品基础表!$A:$A,MATCH(E5,[1]物品基础表!$B:$B,0)),"")</f>
        <v>烈焰戒指技能1书</v>
      </c>
      <c r="G5" s="1">
        <v>1</v>
      </c>
      <c r="H5" s="1">
        <v>200320</v>
      </c>
      <c r="I5" s="1" t="str">
        <f>IFERROR(INDEX([1]物品基础表!$A:$A,MATCH(H5,[1]物品基础表!$B:$B,0)),"")</f>
        <v>至尊令牌</v>
      </c>
      <c r="J5" s="1">
        <v>15</v>
      </c>
      <c r="K5" s="1">
        <v>200005</v>
      </c>
      <c r="L5" s="1" t="str">
        <f>IFERROR(INDEX([1]物品基础表!$A:$A,MATCH(K5,[1]物品基础表!$B:$B,0)),"")</f>
        <v>龙魂碎片</v>
      </c>
      <c r="M5" s="1">
        <v>10</v>
      </c>
      <c r="N5" s="1">
        <v>1</v>
      </c>
      <c r="O5" s="1" t="s">
        <v>695</v>
      </c>
      <c r="P5" s="1">
        <v>1200000</v>
      </c>
      <c r="R5" s="1" t="str">
        <f>IFERROR(INDEX([1]物品基础表!$A:$A,MATCH(Q5,[1]物品基础表!$B:$B,0)),"")</f>
        <v/>
      </c>
    </row>
    <row r="6" spans="1:19">
      <c r="A6" s="32" t="str">
        <f>INDEX([2]活动总表!$A$8:$A$429,MATCH(B6,[2]活动总表!$B$8:$B$429,0))</f>
        <v>合服登录活动</v>
      </c>
      <c r="B6" s="1">
        <v>157</v>
      </c>
      <c r="C6" s="1">
        <v>4</v>
      </c>
      <c r="D6" s="1">
        <v>4</v>
      </c>
      <c r="E6" s="1">
        <v>2</v>
      </c>
      <c r="F6" s="1" t="s">
        <v>706</v>
      </c>
      <c r="G6" s="1">
        <v>1000</v>
      </c>
      <c r="H6" s="1">
        <v>200320</v>
      </c>
      <c r="I6" s="1" t="str">
        <f>IFERROR(INDEX([1]物品基础表!$A:$A,MATCH(H6,[1]物品基础表!$B:$B,0)),"")</f>
        <v>至尊令牌</v>
      </c>
      <c r="J6" s="1">
        <v>15</v>
      </c>
      <c r="K6" s="1">
        <v>200005</v>
      </c>
      <c r="L6" s="1" t="str">
        <f>IFERROR(INDEX([1]物品基础表!$A:$A,MATCH(K6,[1]物品基础表!$B:$B,0)),"")</f>
        <v>龙魂碎片</v>
      </c>
      <c r="M6" s="1">
        <v>10</v>
      </c>
      <c r="N6" s="1">
        <v>1</v>
      </c>
      <c r="O6" s="1" t="s">
        <v>695</v>
      </c>
      <c r="P6" s="1">
        <v>1400000</v>
      </c>
      <c r="R6" s="1" t="str">
        <f>IFERROR(INDEX([1]物品基础表!$A:$A,MATCH(Q6,[1]物品基础表!$B:$B,0)),"")</f>
        <v/>
      </c>
    </row>
    <row r="7" spans="1:19">
      <c r="A7" s="32" t="str">
        <f>INDEX([2]活动总表!$A$8:$A$429,MATCH(B7,[2]活动总表!$B$8:$B$429,0))</f>
        <v>合服登录活动</v>
      </c>
      <c r="B7" s="1">
        <v>157</v>
      </c>
      <c r="C7" s="1">
        <v>5</v>
      </c>
      <c r="D7" s="1">
        <v>5</v>
      </c>
      <c r="E7" s="1">
        <v>299999</v>
      </c>
      <c r="F7" s="1" t="str">
        <f>IFERROR(INDEX([1]物品基础表!$A:$A,MATCH(E7,[1]物品基础表!$B:$B,0)),"")</f>
        <v>神兵幻境卷</v>
      </c>
      <c r="G7" s="1">
        <v>1</v>
      </c>
      <c r="H7" s="1">
        <v>200320</v>
      </c>
      <c r="I7" s="1" t="str">
        <f>IFERROR(INDEX([1]物品基础表!$A:$A,MATCH(H7,[1]物品基础表!$B:$B,0)),"")</f>
        <v>至尊令牌</v>
      </c>
      <c r="J7" s="1">
        <v>20</v>
      </c>
      <c r="K7" s="1">
        <v>200005</v>
      </c>
      <c r="L7" s="1" t="str">
        <f>IFERROR(INDEX([1]物品基础表!$A:$A,MATCH(K7,[1]物品基础表!$B:$B,0)),"")</f>
        <v>龙魂碎片</v>
      </c>
      <c r="M7" s="1">
        <v>10</v>
      </c>
      <c r="N7" s="1">
        <v>1</v>
      </c>
      <c r="O7" s="1" t="s">
        <v>695</v>
      </c>
      <c r="P7" s="1">
        <v>1600000</v>
      </c>
      <c r="R7" s="1" t="str">
        <f>IFERROR(INDEX([1]物品基础表!$A:$A,MATCH(Q7,[1]物品基础表!$B:$B,0)),"")</f>
        <v/>
      </c>
    </row>
    <row r="8" spans="1:19">
      <c r="A8" s="32" t="str">
        <f>INDEX([2]活动总表!$A$8:$A$429,MATCH(B8,[2]活动总表!$B$8:$B$429,0))</f>
        <v>合服登录活动</v>
      </c>
      <c r="B8" s="1">
        <v>157</v>
      </c>
      <c r="C8" s="1">
        <v>6</v>
      </c>
      <c r="D8" s="1">
        <v>6</v>
      </c>
      <c r="E8" s="1">
        <v>200007</v>
      </c>
      <c r="F8" s="1" t="str">
        <f>IFERROR(INDEX([1]物品基础表!$A:$A,MATCH(E8,[1]物品基础表!$B:$B,0)),"")</f>
        <v>神装碎片</v>
      </c>
      <c r="G8" s="1">
        <v>300</v>
      </c>
      <c r="H8" s="1">
        <v>200320</v>
      </c>
      <c r="I8" s="1" t="str">
        <f>IFERROR(INDEX([1]物品基础表!$A:$A,MATCH(H8,[1]物品基础表!$B:$B,0)),"")</f>
        <v>至尊令牌</v>
      </c>
      <c r="J8" s="1">
        <v>20</v>
      </c>
      <c r="K8" s="1">
        <v>200005</v>
      </c>
      <c r="L8" s="1" t="str">
        <f>IFERROR(INDEX([1]物品基础表!$A:$A,MATCH(K8,[1]物品基础表!$B:$B,0)),"")</f>
        <v>龙魂碎片</v>
      </c>
      <c r="M8" s="1">
        <v>10</v>
      </c>
      <c r="N8" s="1">
        <v>1</v>
      </c>
      <c r="O8" s="1" t="s">
        <v>695</v>
      </c>
      <c r="P8" s="1">
        <v>2000000</v>
      </c>
      <c r="R8" s="1" t="str">
        <f>IFERROR(INDEX([1]物品基础表!$A:$A,MATCH(Q8,[1]物品基础表!$B:$B,0)),"")</f>
        <v/>
      </c>
    </row>
    <row r="9" spans="1:19">
      <c r="A9" s="32" t="str">
        <f>INDEX([2]活动总表!$A$8:$A$429,MATCH(B9,[2]活动总表!$B$8:$B$429,0))</f>
        <v>合服登录活动</v>
      </c>
      <c r="B9" s="1">
        <v>157</v>
      </c>
      <c r="C9" s="1">
        <v>7</v>
      </c>
      <c r="D9" s="1">
        <v>7</v>
      </c>
      <c r="E9" s="1">
        <v>2</v>
      </c>
      <c r="F9" s="1" t="s">
        <v>706</v>
      </c>
      <c r="G9" s="1">
        <v>2000</v>
      </c>
      <c r="H9" s="1">
        <v>200320</v>
      </c>
      <c r="I9" s="1" t="str">
        <f>IFERROR(INDEX([1]物品基础表!$A:$A,MATCH(H9,[1]物品基础表!$B:$B,0)),"")</f>
        <v>至尊令牌</v>
      </c>
      <c r="J9" s="1">
        <v>25</v>
      </c>
      <c r="K9" s="1">
        <v>200005</v>
      </c>
      <c r="L9" s="1" t="str">
        <f>IFERROR(INDEX([1]物品基础表!$A:$A,MATCH(K9,[1]物品基础表!$B:$B,0)),"")</f>
        <v>龙魂碎片</v>
      </c>
      <c r="M9" s="1">
        <v>20</v>
      </c>
      <c r="N9" s="1">
        <v>1</v>
      </c>
      <c r="O9" s="1" t="s">
        <v>695</v>
      </c>
      <c r="P9" s="1">
        <v>3000000</v>
      </c>
      <c r="R9" s="1" t="str">
        <f>IFERROR(INDEX([1]物品基础表!$A:$A,MATCH(Q9,[1]物品基础表!$B:$B,0)),"")</f>
        <v/>
      </c>
    </row>
    <row r="10" spans="1:19">
      <c r="A10" s="32" t="str">
        <f>INDEX([2]活动总表!$A$8:$A$429,MATCH(B10,[2]活动总表!$B$8:$B$429,0))</f>
        <v>感恩节-登录奖励</v>
      </c>
      <c r="B10" s="1">
        <v>210</v>
      </c>
      <c r="C10" s="1">
        <v>1</v>
      </c>
      <c r="D10" s="1">
        <v>1</v>
      </c>
      <c r="E10" s="1">
        <v>200156</v>
      </c>
      <c r="F10" s="1" t="str">
        <f>IFERROR(INDEX([1]物品基础表!$A:$A,MATCH(E10,[1]物品基础表!$B:$B,0)),"")</f>
        <v>野外BOSS次数卷轴</v>
      </c>
      <c r="G10" s="1">
        <v>5</v>
      </c>
      <c r="H10" s="1">
        <v>200309</v>
      </c>
      <c r="I10" s="1" t="str">
        <f>IFERROR(INDEX([1]物品基础表!$A:$A,MATCH(H10,[1]物品基础表!$B:$B,0)),"")</f>
        <v>抽奖钥匙</v>
      </c>
      <c r="J10" s="1">
        <v>1</v>
      </c>
      <c r="K10" s="1">
        <v>200005</v>
      </c>
      <c r="L10" s="1" t="str">
        <f>IFERROR(INDEX([1]物品基础表!$A:$A,MATCH(K10,[1]物品基础表!$B:$B,0)),"")</f>
        <v>龙魂碎片</v>
      </c>
      <c r="M10" s="1">
        <v>10</v>
      </c>
      <c r="N10" s="1">
        <v>1</v>
      </c>
      <c r="O10" s="1" t="s">
        <v>695</v>
      </c>
      <c r="P10" s="1">
        <v>800000</v>
      </c>
      <c r="R10" s="1" t="str">
        <f>IFERROR(INDEX([1]物品基础表!$A:$A,MATCH(Q10,[1]物品基础表!$B:$B,0)),"")</f>
        <v/>
      </c>
    </row>
    <row r="11" spans="1:19">
      <c r="A11" s="32" t="str">
        <f>INDEX([2]活动总表!$A$8:$A$429,MATCH(B11,[2]活动总表!$B$8:$B$429,0))</f>
        <v>感恩节-登录奖励</v>
      </c>
      <c r="B11" s="1">
        <v>210</v>
      </c>
      <c r="C11" s="1">
        <v>2</v>
      </c>
      <c r="D11" s="1">
        <v>2</v>
      </c>
      <c r="E11" s="1">
        <v>200009</v>
      </c>
      <c r="F11" s="1" t="str">
        <f>IFERROR(INDEX([1]物品基础表!$A:$A,MATCH(E11,[1]物品基础表!$B:$B,0)),"")</f>
        <v>高级转生丹</v>
      </c>
      <c r="G11" s="1">
        <v>3</v>
      </c>
      <c r="H11" s="1">
        <v>201002</v>
      </c>
      <c r="I11" s="1" t="str">
        <f>IFERROR(INDEX([1]物品基础表!$A:$A,MATCH(H11,[1]物品基础表!$B:$B,0)),"")</f>
        <v>神秘钥匙</v>
      </c>
      <c r="J11" s="1">
        <v>2</v>
      </c>
      <c r="K11" s="1">
        <v>200005</v>
      </c>
      <c r="L11" s="1" t="str">
        <f>IFERROR(INDEX([1]物品基础表!$A:$A,MATCH(K11,[1]物品基础表!$B:$B,0)),"")</f>
        <v>龙魂碎片</v>
      </c>
      <c r="M11" s="1">
        <v>10</v>
      </c>
      <c r="N11" s="1">
        <v>1</v>
      </c>
      <c r="O11" s="1" t="s">
        <v>695</v>
      </c>
      <c r="P11" s="1">
        <v>1000000</v>
      </c>
      <c r="R11" s="1" t="str">
        <f>IFERROR(INDEX([1]物品基础表!$A:$A,MATCH(Q11,[1]物品基础表!$B:$B,0)),"")</f>
        <v/>
      </c>
    </row>
    <row r="12" spans="1:19">
      <c r="A12" s="32" t="str">
        <f>INDEX([2]活动总表!$A$8:$A$429,MATCH(B12,[2]活动总表!$B$8:$B$429,0))</f>
        <v>感恩节-登录奖励</v>
      </c>
      <c r="B12" s="1">
        <v>210</v>
      </c>
      <c r="C12" s="1">
        <v>3</v>
      </c>
      <c r="D12" s="1">
        <v>3</v>
      </c>
      <c r="E12" s="1">
        <v>299999</v>
      </c>
      <c r="F12" s="1" t="str">
        <f>IFERROR(INDEX([1]物品基础表!$A:$A,MATCH(E12,[1]物品基础表!$B:$B,0)),"")</f>
        <v>神兵幻境卷</v>
      </c>
      <c r="G12" s="1">
        <v>1</v>
      </c>
      <c r="H12" s="1">
        <v>200309</v>
      </c>
      <c r="I12" s="1" t="str">
        <f>IFERROR(INDEX([1]物品基础表!$A:$A,MATCH(H12,[1]物品基础表!$B:$B,0)),"")</f>
        <v>抽奖钥匙</v>
      </c>
      <c r="J12" s="1">
        <v>1</v>
      </c>
      <c r="K12" s="1">
        <v>200005</v>
      </c>
      <c r="L12" s="1" t="str">
        <f>IFERROR(INDEX([1]物品基础表!$A:$A,MATCH(K12,[1]物品基础表!$B:$B,0)),"")</f>
        <v>龙魂碎片</v>
      </c>
      <c r="M12" s="1">
        <v>10</v>
      </c>
      <c r="N12" s="1">
        <v>1</v>
      </c>
      <c r="O12" s="1" t="s">
        <v>695</v>
      </c>
      <c r="P12" s="1">
        <v>1200000</v>
      </c>
      <c r="R12" s="1" t="str">
        <f>IFERROR(INDEX([1]物品基础表!$A:$A,MATCH(Q12,[1]物品基础表!$B:$B,0)),"")</f>
        <v/>
      </c>
    </row>
    <row r="13" spans="1:19">
      <c r="A13" s="32" t="str">
        <f>INDEX([2]活动总表!$A$8:$A$429,MATCH(B13,[2]活动总表!$B$8:$B$429,0))</f>
        <v>圣诞登录</v>
      </c>
      <c r="B13" s="1">
        <v>250</v>
      </c>
      <c r="C13" s="1">
        <v>1</v>
      </c>
      <c r="D13" s="1">
        <v>1</v>
      </c>
      <c r="E13" s="1">
        <v>200156</v>
      </c>
      <c r="F13" s="1" t="str">
        <f>IFERROR(INDEX([1]物品基础表!$A:$A,MATCH(E13,[1]物品基础表!$B:$B,0)),"")</f>
        <v>野外BOSS次数卷轴</v>
      </c>
      <c r="G13" s="1">
        <v>5</v>
      </c>
      <c r="H13" s="1">
        <v>500004</v>
      </c>
      <c r="I13" s="1" t="str">
        <f>IFERROR(INDEX([1]物品基础表!$A:$A,MATCH(H13,[1]物品基础表!$B:$B,0)),"")</f>
        <v>战纹精华-橙</v>
      </c>
      <c r="J13" s="1">
        <v>3</v>
      </c>
      <c r="K13" s="1">
        <v>200005</v>
      </c>
      <c r="L13" s="1" t="str">
        <f>IFERROR(INDEX([1]物品基础表!$A:$A,MATCH(K13,[1]物品基础表!$B:$B,0)),"")</f>
        <v>龙魂碎片</v>
      </c>
      <c r="M13" s="1">
        <v>10</v>
      </c>
      <c r="N13" s="1">
        <v>1</v>
      </c>
      <c r="O13" s="1" t="s">
        <v>695</v>
      </c>
      <c r="P13" s="1">
        <v>800000</v>
      </c>
      <c r="R13" s="1" t="str">
        <f>IFERROR(INDEX([1]物品基础表!$A:$A,MATCH(Q13,[1]物品基础表!$B:$B,0)),"")</f>
        <v/>
      </c>
    </row>
    <row r="14" spans="1:19">
      <c r="A14" s="32" t="str">
        <f>INDEX([2]活动总表!$A$8:$A$429,MATCH(B14,[2]活动总表!$B$8:$B$429,0))</f>
        <v>圣诞登录</v>
      </c>
      <c r="B14" s="1">
        <v>250</v>
      </c>
      <c r="C14" s="1">
        <v>2</v>
      </c>
      <c r="D14" s="1">
        <v>2</v>
      </c>
      <c r="E14" s="1">
        <v>200009</v>
      </c>
      <c r="F14" s="1" t="str">
        <f>IFERROR(INDEX([1]物品基础表!$A:$A,MATCH(E14,[1]物品基础表!$B:$B,0)),"")</f>
        <v>高级转生丹</v>
      </c>
      <c r="G14" s="1">
        <v>2</v>
      </c>
      <c r="H14" s="1">
        <v>500004</v>
      </c>
      <c r="I14" s="1" t="str">
        <f>IFERROR(INDEX([1]物品基础表!$A:$A,MATCH(H14,[1]物品基础表!$B:$B,0)),"")</f>
        <v>战纹精华-橙</v>
      </c>
      <c r="J14" s="1">
        <v>4</v>
      </c>
      <c r="K14" s="1">
        <v>200005</v>
      </c>
      <c r="L14" s="1" t="str">
        <f>IFERROR(INDEX([1]物品基础表!$A:$A,MATCH(K14,[1]物品基础表!$B:$B,0)),"")</f>
        <v>龙魂碎片</v>
      </c>
      <c r="M14" s="1">
        <v>10</v>
      </c>
      <c r="N14" s="1">
        <v>1</v>
      </c>
      <c r="O14" s="1" t="s">
        <v>695</v>
      </c>
      <c r="P14" s="1">
        <v>1000000</v>
      </c>
      <c r="R14" s="1" t="str">
        <f>IFERROR(INDEX([1]物品基础表!$A:$A,MATCH(Q14,[1]物品基础表!$B:$B,0)),"")</f>
        <v/>
      </c>
    </row>
    <row r="15" spans="1:19">
      <c r="A15" s="32" t="str">
        <f>INDEX([2]活动总表!$A$8:$A$429,MATCH(B15,[2]活动总表!$B$8:$B$429,0))</f>
        <v>圣诞登录</v>
      </c>
      <c r="B15" s="1">
        <v>250</v>
      </c>
      <c r="C15" s="1">
        <v>3</v>
      </c>
      <c r="D15" s="1">
        <v>3</v>
      </c>
      <c r="E15" s="1">
        <v>2</v>
      </c>
      <c r="F15" s="1" t="s">
        <v>706</v>
      </c>
      <c r="G15" s="1">
        <v>1000</v>
      </c>
      <c r="H15" s="1">
        <v>500004</v>
      </c>
      <c r="I15" s="1" t="str">
        <f>IFERROR(INDEX([1]物品基础表!$A:$A,MATCH(H15,[1]物品基础表!$B:$B,0)),"")</f>
        <v>战纹精华-橙</v>
      </c>
      <c r="J15" s="1">
        <v>5</v>
      </c>
      <c r="K15" s="1">
        <v>200005</v>
      </c>
      <c r="L15" s="1" t="str">
        <f>IFERROR(INDEX([1]物品基础表!$A:$A,MATCH(K15,[1]物品基础表!$B:$B,0)),"")</f>
        <v>龙魂碎片</v>
      </c>
      <c r="M15" s="1">
        <v>10</v>
      </c>
      <c r="N15" s="1">
        <v>1</v>
      </c>
      <c r="O15" s="1" t="s">
        <v>695</v>
      </c>
      <c r="P15" s="1">
        <v>1200000</v>
      </c>
      <c r="R15" s="1" t="str">
        <f>IFERROR(INDEX([1]物品基础表!$A:$A,MATCH(Q15,[1]物品基础表!$B:$B,0)),"")</f>
        <v/>
      </c>
    </row>
    <row r="16" spans="1:19">
      <c r="A16" s="32" t="str">
        <f>INDEX([2]活动总表!$A$8:$A$429,MATCH(B16,[2]活动总表!$B$8:$B$429,0))</f>
        <v>元旦登录</v>
      </c>
      <c r="B16" s="1">
        <v>230</v>
      </c>
      <c r="C16" s="1">
        <v>1</v>
      </c>
      <c r="D16" s="1">
        <v>1</v>
      </c>
      <c r="E16" s="1">
        <v>200156</v>
      </c>
      <c r="F16" s="1" t="str">
        <f>IFERROR(INDEX([1]物品基础表!$A:$A,MATCH(E16,[1]物品基础表!$B:$B,0)),"")</f>
        <v>野外BOSS次数卷轴</v>
      </c>
      <c r="G16" s="1">
        <v>10</v>
      </c>
      <c r="H16" s="1">
        <v>204030</v>
      </c>
      <c r="I16" s="1" t="str">
        <f>IFERROR(INDEX([1]物品基础表!$A:$A,MATCH(H16,[1]物品基础表!$B:$B,0)),"")</f>
        <v>元旦兑换</v>
      </c>
      <c r="J16" s="1">
        <v>10</v>
      </c>
      <c r="K16" s="1">
        <v>200005</v>
      </c>
      <c r="L16" s="1" t="str">
        <f>IFERROR(INDEX([1]物品基础表!$A:$A,MATCH(K16,[1]物品基础表!$B:$B,0)),"")</f>
        <v>龙魂碎片</v>
      </c>
      <c r="M16" s="1">
        <v>10</v>
      </c>
      <c r="N16" s="1">
        <v>1</v>
      </c>
      <c r="O16" s="1" t="s">
        <v>695</v>
      </c>
      <c r="P16" s="1">
        <v>800000</v>
      </c>
      <c r="Q16" s="1">
        <v>201002</v>
      </c>
      <c r="R16" s="1" t="str">
        <f>IFERROR(INDEX([1]物品基础表!$A:$A,MATCH(Q16,[1]物品基础表!$B:$B,0)),"")</f>
        <v>神秘钥匙</v>
      </c>
      <c r="S16" s="1">
        <v>1</v>
      </c>
    </row>
    <row r="17" spans="1:19">
      <c r="A17" s="32" t="str">
        <f>INDEX([2]活动总表!$A$8:$A$429,MATCH(B17,[2]活动总表!$B$8:$B$429,0))</f>
        <v>元旦登录</v>
      </c>
      <c r="B17" s="1">
        <v>230</v>
      </c>
      <c r="C17" s="1">
        <v>2</v>
      </c>
      <c r="D17" s="1">
        <v>2</v>
      </c>
      <c r="E17" s="1">
        <v>200009</v>
      </c>
      <c r="F17" s="1" t="str">
        <f>IFERROR(INDEX([1]物品基础表!$A:$A,MATCH(E17,[1]物品基础表!$B:$B,0)),"")</f>
        <v>高级转生丹</v>
      </c>
      <c r="G17" s="1">
        <v>2</v>
      </c>
      <c r="H17" s="1">
        <v>204030</v>
      </c>
      <c r="I17" s="1" t="str">
        <f>IFERROR(INDEX([1]物品基础表!$A:$A,MATCH(H17,[1]物品基础表!$B:$B,0)),"")</f>
        <v>元旦兑换</v>
      </c>
      <c r="J17" s="1">
        <v>10</v>
      </c>
      <c r="K17" s="1">
        <v>200005</v>
      </c>
      <c r="L17" s="1" t="str">
        <f>IFERROR(INDEX([1]物品基础表!$A:$A,MATCH(K17,[1]物品基础表!$B:$B,0)),"")</f>
        <v>龙魂碎片</v>
      </c>
      <c r="M17" s="1">
        <v>10</v>
      </c>
      <c r="N17" s="1">
        <v>1</v>
      </c>
      <c r="O17" s="1" t="s">
        <v>695</v>
      </c>
      <c r="P17" s="1">
        <v>1000000</v>
      </c>
      <c r="Q17" s="1">
        <v>201002</v>
      </c>
      <c r="R17" s="1" t="str">
        <f>IFERROR(INDEX([1]物品基础表!$A:$A,MATCH(Q17,[1]物品基础表!$B:$B,0)),"")</f>
        <v>神秘钥匙</v>
      </c>
      <c r="S17" s="1">
        <v>1</v>
      </c>
    </row>
    <row r="18" spans="1:19">
      <c r="A18" s="32" t="str">
        <f>INDEX([2]活动总表!$A$8:$A$429,MATCH(B18,[2]活动总表!$B$8:$B$429,0))</f>
        <v>元旦登录</v>
      </c>
      <c r="B18" s="1">
        <v>230</v>
      </c>
      <c r="C18" s="1">
        <v>3</v>
      </c>
      <c r="D18" s="1">
        <v>3</v>
      </c>
      <c r="E18" s="1">
        <v>202001</v>
      </c>
      <c r="F18" s="1" t="str">
        <f>IFERROR(INDEX([1]物品基础表!$A:$A,MATCH(E18,[1]物品基础表!$B:$B,0)),"")</f>
        <v>烈焰戒指技能1书</v>
      </c>
      <c r="G18" s="1">
        <v>1</v>
      </c>
      <c r="H18" s="1">
        <v>204030</v>
      </c>
      <c r="I18" s="1" t="str">
        <f>IFERROR(INDEX([1]物品基础表!$A:$A,MATCH(H18,[1]物品基础表!$B:$B,0)),"")</f>
        <v>元旦兑换</v>
      </c>
      <c r="J18" s="1">
        <v>15</v>
      </c>
      <c r="K18" s="1">
        <v>200005</v>
      </c>
      <c r="L18" s="1" t="str">
        <f>IFERROR(INDEX([1]物品基础表!$A:$A,MATCH(K18,[1]物品基础表!$B:$B,0)),"")</f>
        <v>龙魂碎片</v>
      </c>
      <c r="M18" s="1">
        <v>10</v>
      </c>
      <c r="N18" s="1">
        <v>1</v>
      </c>
      <c r="O18" s="1" t="s">
        <v>695</v>
      </c>
      <c r="P18" s="1">
        <v>1200000</v>
      </c>
      <c r="Q18" s="1">
        <v>201002</v>
      </c>
      <c r="R18" s="1" t="str">
        <f>IFERROR(INDEX([1]物品基础表!$A:$A,MATCH(Q18,[1]物品基础表!$B:$B,0)),"")</f>
        <v>神秘钥匙</v>
      </c>
      <c r="S18" s="1">
        <v>1</v>
      </c>
    </row>
    <row r="19" spans="1:19">
      <c r="A19" s="32" t="str">
        <f>INDEX([2]活动总表!$A$8:$A$429,MATCH(B19,[2]活动总表!$B$8:$B$429,0))</f>
        <v>元旦登录</v>
      </c>
      <c r="B19" s="1">
        <v>230</v>
      </c>
      <c r="C19" s="1">
        <v>4</v>
      </c>
      <c r="D19" s="1">
        <v>4</v>
      </c>
      <c r="E19" s="1">
        <v>200165</v>
      </c>
      <c r="F19" s="1" t="str">
        <f>IFERROR(INDEX([1]物品基础表!$A:$A,MATCH(E19,[1]物品基础表!$B:$B,0)),"")</f>
        <v>寻宝卷</v>
      </c>
      <c r="G19" s="1">
        <v>2</v>
      </c>
      <c r="H19" s="1">
        <v>204030</v>
      </c>
      <c r="I19" s="1" t="str">
        <f>IFERROR(INDEX([1]物品基础表!$A:$A,MATCH(H19,[1]物品基础表!$B:$B,0)),"")</f>
        <v>元旦兑换</v>
      </c>
      <c r="J19" s="1">
        <v>15</v>
      </c>
      <c r="K19" s="1">
        <v>200005</v>
      </c>
      <c r="L19" s="1" t="str">
        <f>IFERROR(INDEX([1]物品基础表!$A:$A,MATCH(K19,[1]物品基础表!$B:$B,0)),"")</f>
        <v>龙魂碎片</v>
      </c>
      <c r="M19" s="1">
        <v>10</v>
      </c>
      <c r="N19" s="1">
        <v>1</v>
      </c>
      <c r="O19" s="1" t="s">
        <v>695</v>
      </c>
      <c r="P19" s="1">
        <v>1400000</v>
      </c>
      <c r="Q19" s="1">
        <v>201002</v>
      </c>
      <c r="R19" s="1" t="str">
        <f>IFERROR(INDEX([1]物品基础表!$A:$A,MATCH(Q19,[1]物品基础表!$B:$B,0)),"")</f>
        <v>神秘钥匙</v>
      </c>
      <c r="S19" s="1">
        <v>1</v>
      </c>
    </row>
    <row r="20" spans="1:19">
      <c r="A20" s="32" t="str">
        <f>INDEX([2]活动总表!$A$8:$A$429,MATCH(B20,[2]活动总表!$B$8:$B$429,0))</f>
        <v>元旦登录</v>
      </c>
      <c r="B20" s="1">
        <v>230</v>
      </c>
      <c r="C20" s="1">
        <v>5</v>
      </c>
      <c r="D20" s="1">
        <v>5</v>
      </c>
      <c r="E20" s="1">
        <v>2</v>
      </c>
      <c r="F20" s="1" t="s">
        <v>706</v>
      </c>
      <c r="G20" s="1">
        <v>1000</v>
      </c>
      <c r="H20" s="1">
        <v>204030</v>
      </c>
      <c r="I20" s="1" t="str">
        <f>IFERROR(INDEX([1]物品基础表!$A:$A,MATCH(H20,[1]物品基础表!$B:$B,0)),"")</f>
        <v>元旦兑换</v>
      </c>
      <c r="J20" s="1">
        <v>20</v>
      </c>
      <c r="K20" s="1">
        <v>200005</v>
      </c>
      <c r="L20" s="1" t="str">
        <f>IFERROR(INDEX([1]物品基础表!$A:$A,MATCH(K20,[1]物品基础表!$B:$B,0)),"")</f>
        <v>龙魂碎片</v>
      </c>
      <c r="M20" s="1">
        <v>10</v>
      </c>
      <c r="N20" s="1">
        <v>1</v>
      </c>
      <c r="O20" s="1" t="s">
        <v>695</v>
      </c>
      <c r="P20" s="1">
        <v>1600000</v>
      </c>
      <c r="Q20" s="1">
        <v>200307</v>
      </c>
      <c r="R20" s="1" t="str">
        <f>IFERROR(INDEX([1]物品基础表!$A:$A,MATCH(Q20,[1]物品基础表!$B:$B,0)),"")</f>
        <v>神兵塔门票</v>
      </c>
      <c r="S20" s="1">
        <v>1</v>
      </c>
    </row>
    <row r="21" spans="1:19">
      <c r="A21" s="32" t="str">
        <f>INDEX([2]活动总表!$A$8:$A$429,MATCH(B21,[2]活动总表!$B$8:$B$429,0))</f>
        <v>版本庆典-登录</v>
      </c>
      <c r="B21" s="1">
        <v>309</v>
      </c>
      <c r="C21" s="1">
        <v>1</v>
      </c>
      <c r="D21" s="1">
        <v>1</v>
      </c>
      <c r="E21" s="1">
        <v>200156</v>
      </c>
      <c r="F21" s="1" t="str">
        <f>IFERROR(INDEX([1]物品基础表!$A:$A,MATCH(E21,[1]物品基础表!$B:$B,0)),"")</f>
        <v>野外BOSS次数卷轴</v>
      </c>
      <c r="G21" s="1">
        <v>10</v>
      </c>
      <c r="H21" s="1">
        <v>200005</v>
      </c>
      <c r="I21" s="1" t="str">
        <f>IFERROR(INDEX([1]物品基础表!$A:$A,MATCH(H21,[1]物品基础表!$B:$B,0)),"")</f>
        <v>龙魂碎片</v>
      </c>
      <c r="J21" s="1">
        <v>10</v>
      </c>
      <c r="K21" s="1">
        <v>500004</v>
      </c>
      <c r="L21" s="1" t="str">
        <f>IFERROR(INDEX([1]物品基础表!$A:$A,MATCH(K21,[1]物品基础表!$B:$B,0)),"")</f>
        <v>战纹精华-橙</v>
      </c>
      <c r="M21" s="1">
        <v>2</v>
      </c>
      <c r="N21" s="1">
        <v>500011</v>
      </c>
      <c r="O21" s="1" t="str">
        <f>IFERROR(INDEX([1]物品基础表!$A:$A,MATCH(N21,[1]物品基础表!$B:$B,0)),"")</f>
        <v>战纹碎片（小）</v>
      </c>
      <c r="P21" s="1">
        <v>100</v>
      </c>
      <c r="Q21" s="1">
        <v>201002</v>
      </c>
      <c r="R21" s="1" t="str">
        <f>IFERROR(INDEX([1]物品基础表!$A:$A,MATCH(Q21,[1]物品基础表!$B:$B,0)),"")</f>
        <v>神秘钥匙</v>
      </c>
      <c r="S21" s="1">
        <v>1</v>
      </c>
    </row>
    <row r="22" spans="1:19">
      <c r="A22" s="32" t="str">
        <f>INDEX([2]活动总表!$A$8:$A$429,MATCH(B22,[2]活动总表!$B$8:$B$429,0))</f>
        <v>版本庆典-登录</v>
      </c>
      <c r="B22" s="1">
        <v>309</v>
      </c>
      <c r="C22" s="1">
        <v>2</v>
      </c>
      <c r="D22" s="1">
        <v>2</v>
      </c>
      <c r="E22" s="1">
        <v>200009</v>
      </c>
      <c r="F22" s="1" t="str">
        <f>IFERROR(INDEX([1]物品基础表!$A:$A,MATCH(E22,[1]物品基础表!$B:$B,0)),"")</f>
        <v>高级转生丹</v>
      </c>
      <c r="G22" s="1">
        <v>2</v>
      </c>
      <c r="H22" s="1">
        <v>200005</v>
      </c>
      <c r="I22" s="1" t="str">
        <f>IFERROR(INDEX([1]物品基础表!$A:$A,MATCH(H22,[1]物品基础表!$B:$B,0)),"")</f>
        <v>龙魂碎片</v>
      </c>
      <c r="J22" s="1">
        <v>12</v>
      </c>
      <c r="K22" s="1">
        <v>500004</v>
      </c>
      <c r="L22" s="1" t="str">
        <f>IFERROR(INDEX([1]物品基础表!$A:$A,MATCH(K22,[1]物品基础表!$B:$B,0)),"")</f>
        <v>战纹精华-橙</v>
      </c>
      <c r="M22" s="1">
        <v>4</v>
      </c>
      <c r="N22" s="1">
        <v>500011</v>
      </c>
      <c r="O22" s="1" t="str">
        <f>IFERROR(INDEX([1]物品基础表!$A:$A,MATCH(N22,[1]物品基础表!$B:$B,0)),"")</f>
        <v>战纹碎片（小）</v>
      </c>
      <c r="P22" s="1">
        <v>100</v>
      </c>
      <c r="Q22" s="1">
        <v>201002</v>
      </c>
      <c r="R22" s="1" t="str">
        <f>IFERROR(INDEX([1]物品基础表!$A:$A,MATCH(Q22,[1]物品基础表!$B:$B,0)),"")</f>
        <v>神秘钥匙</v>
      </c>
      <c r="S22" s="1">
        <v>1</v>
      </c>
    </row>
    <row r="23" spans="1:19">
      <c r="A23" s="32" t="str">
        <f>INDEX([2]活动总表!$A$8:$A$429,MATCH(B23,[2]活动总表!$B$8:$B$429,0))</f>
        <v>版本庆典-登录</v>
      </c>
      <c r="B23" s="1">
        <v>309</v>
      </c>
      <c r="C23" s="1">
        <v>3</v>
      </c>
      <c r="D23" s="1">
        <v>3</v>
      </c>
      <c r="E23" s="1">
        <v>202001</v>
      </c>
      <c r="F23" s="1" t="str">
        <f>IFERROR(INDEX([1]物品基础表!$A:$A,MATCH(E23,[1]物品基础表!$B:$B,0)),"")</f>
        <v>烈焰戒指技能1书</v>
      </c>
      <c r="G23" s="1">
        <v>1</v>
      </c>
      <c r="H23" s="1">
        <v>200005</v>
      </c>
      <c r="I23" s="1" t="str">
        <f>IFERROR(INDEX([1]物品基础表!$A:$A,MATCH(H23,[1]物品基础表!$B:$B,0)),"")</f>
        <v>龙魂碎片</v>
      </c>
      <c r="J23" s="1">
        <v>14</v>
      </c>
      <c r="K23" s="1">
        <v>500004</v>
      </c>
      <c r="L23" s="1" t="str">
        <f>IFERROR(INDEX([1]物品基础表!$A:$A,MATCH(K23,[1]物品基础表!$B:$B,0)),"")</f>
        <v>战纹精华-橙</v>
      </c>
      <c r="M23" s="1">
        <v>6</v>
      </c>
      <c r="N23" s="1">
        <v>500011</v>
      </c>
      <c r="O23" s="1" t="str">
        <f>IFERROR(INDEX([1]物品基础表!$A:$A,MATCH(N23,[1]物品基础表!$B:$B,0)),"")</f>
        <v>战纹碎片（小）</v>
      </c>
      <c r="P23" s="1">
        <v>100</v>
      </c>
      <c r="Q23" s="1">
        <v>201002</v>
      </c>
      <c r="R23" s="1" t="str">
        <f>IFERROR(INDEX([1]物品基础表!$A:$A,MATCH(Q23,[1]物品基础表!$B:$B,0)),"")</f>
        <v>神秘钥匙</v>
      </c>
      <c r="S23" s="1">
        <v>1</v>
      </c>
    </row>
    <row r="24" spans="1:19">
      <c r="A24" s="32" t="str">
        <f>INDEX([2]活动总表!$A$8:$A$429,MATCH(B24,[2]活动总表!$B$8:$B$429,0))</f>
        <v>版本庆典-登录</v>
      </c>
      <c r="B24" s="1">
        <v>309</v>
      </c>
      <c r="C24" s="1">
        <v>4</v>
      </c>
      <c r="D24" s="1">
        <v>4</v>
      </c>
      <c r="E24" s="1">
        <v>200165</v>
      </c>
      <c r="F24" s="1" t="str">
        <f>IFERROR(INDEX([1]物品基础表!$A:$A,MATCH(E24,[1]物品基础表!$B:$B,0)),"")</f>
        <v>寻宝卷</v>
      </c>
      <c r="G24" s="1">
        <v>2</v>
      </c>
      <c r="H24" s="1">
        <v>200005</v>
      </c>
      <c r="I24" s="1" t="str">
        <f>IFERROR(INDEX([1]物品基础表!$A:$A,MATCH(H24,[1]物品基础表!$B:$B,0)),"")</f>
        <v>龙魂碎片</v>
      </c>
      <c r="J24" s="1">
        <v>16</v>
      </c>
      <c r="K24" s="1">
        <v>500004</v>
      </c>
      <c r="L24" s="1" t="str">
        <f>IFERROR(INDEX([1]物品基础表!$A:$A,MATCH(K24,[1]物品基础表!$B:$B,0)),"")</f>
        <v>战纹精华-橙</v>
      </c>
      <c r="M24" s="1">
        <v>8</v>
      </c>
      <c r="N24" s="1">
        <v>500011</v>
      </c>
      <c r="O24" s="1" t="str">
        <f>IFERROR(INDEX([1]物品基础表!$A:$A,MATCH(N24,[1]物品基础表!$B:$B,0)),"")</f>
        <v>战纹碎片（小）</v>
      </c>
      <c r="P24" s="1">
        <v>100</v>
      </c>
      <c r="Q24" s="1">
        <v>201002</v>
      </c>
      <c r="R24" s="1" t="str">
        <f>IFERROR(INDEX([1]物品基础表!$A:$A,MATCH(Q24,[1]物品基础表!$B:$B,0)),"")</f>
        <v>神秘钥匙</v>
      </c>
      <c r="S24" s="1">
        <v>1</v>
      </c>
    </row>
    <row r="25" spans="1:19">
      <c r="A25" s="32" t="str">
        <f>INDEX([2]活动总表!$A$8:$A$429,MATCH(B25,[2]活动总表!$B$8:$B$429,0))</f>
        <v>版本庆典-登录</v>
      </c>
      <c r="B25" s="1">
        <v>309</v>
      </c>
      <c r="C25" s="1">
        <v>5</v>
      </c>
      <c r="D25" s="1">
        <v>5</v>
      </c>
      <c r="E25" s="1">
        <v>2</v>
      </c>
      <c r="F25" s="1" t="s">
        <v>706</v>
      </c>
      <c r="G25" s="1">
        <v>1000</v>
      </c>
      <c r="H25" s="1">
        <v>200005</v>
      </c>
      <c r="I25" s="1" t="str">
        <f>IFERROR(INDEX([1]物品基础表!$A:$A,MATCH(H25,[1]物品基础表!$B:$B,0)),"")</f>
        <v>龙魂碎片</v>
      </c>
      <c r="J25" s="1">
        <v>18</v>
      </c>
      <c r="K25" s="1">
        <v>500004</v>
      </c>
      <c r="L25" s="1" t="str">
        <f>IFERROR(INDEX([1]物品基础表!$A:$A,MATCH(K25,[1]物品基础表!$B:$B,0)),"")</f>
        <v>战纹精华-橙</v>
      </c>
      <c r="M25" s="1">
        <v>10</v>
      </c>
      <c r="N25" s="1">
        <v>500011</v>
      </c>
      <c r="O25" s="1" t="str">
        <f>IFERROR(INDEX([1]物品基础表!$A:$A,MATCH(N25,[1]物品基础表!$B:$B,0)),"")</f>
        <v>战纹碎片（小）</v>
      </c>
      <c r="P25" s="1">
        <v>100</v>
      </c>
      <c r="Q25" s="1">
        <v>200307</v>
      </c>
      <c r="R25" s="1" t="str">
        <f>IFERROR(INDEX([1]物品基础表!$A:$A,MATCH(Q25,[1]物品基础表!$B:$B,0)),"")</f>
        <v>神兵塔门票</v>
      </c>
      <c r="S25" s="1">
        <v>1</v>
      </c>
    </row>
    <row r="26" spans="1:19">
      <c r="A26" s="32" t="str">
        <f>INDEX([2]活动总表!$A$8:$A$429,MATCH(B26,[2]活动总表!$B$8:$B$429,0))</f>
        <v>立春-登录</v>
      </c>
      <c r="B26" s="1">
        <v>323</v>
      </c>
      <c r="C26" s="1">
        <v>1</v>
      </c>
      <c r="D26" s="1">
        <v>1</v>
      </c>
      <c r="E26" s="1">
        <v>200015</v>
      </c>
      <c r="F26" s="1" t="str">
        <f>IFERROR(INDEX([1]物品基础表!$A:$A,MATCH(E26,[1]物品基础表!$B:$B,0)),"")</f>
        <v>特戒碎片</v>
      </c>
      <c r="G26" s="1">
        <v>200</v>
      </c>
      <c r="H26" s="1">
        <v>200005</v>
      </c>
      <c r="I26" s="1" t="str">
        <f>IFERROR(INDEX([1]物品基础表!$A:$A,MATCH(H26,[1]物品基础表!$B:$B,0)),"")</f>
        <v>龙魂碎片</v>
      </c>
      <c r="J26" s="1">
        <v>10</v>
      </c>
      <c r="K26" s="1">
        <v>500004</v>
      </c>
      <c r="L26" s="1" t="str">
        <f>IFERROR(INDEX([1]物品基础表!$A:$A,MATCH(K26,[1]物品基础表!$B:$B,0)),"")</f>
        <v>战纹精华-橙</v>
      </c>
      <c r="M26" s="1">
        <v>2</v>
      </c>
      <c r="N26" s="1">
        <v>200156</v>
      </c>
      <c r="O26" s="1" t="str">
        <f>IFERROR(INDEX([1]物品基础表!$A:$A,MATCH(N26,[1]物品基础表!$B:$B,0)),"")</f>
        <v>野外BOSS次数卷轴</v>
      </c>
      <c r="P26" s="1">
        <v>3</v>
      </c>
      <c r="Q26" s="1">
        <v>204152</v>
      </c>
      <c r="R26" s="1" t="str">
        <f>IFERROR(INDEX([1]物品基础表!$A:$A,MATCH(Q26,[1]物品基础表!$B:$B,0)),"")</f>
        <v>奇遇刷新卷</v>
      </c>
      <c r="S26" s="1">
        <v>5</v>
      </c>
    </row>
    <row r="27" spans="1:19">
      <c r="A27" s="32" t="str">
        <f>INDEX([2]活动总表!$A$8:$A$429,MATCH(B27,[2]活动总表!$B$8:$B$429,0))</f>
        <v>立春-登录</v>
      </c>
      <c r="B27" s="1">
        <v>323</v>
      </c>
      <c r="C27" s="1">
        <v>2</v>
      </c>
      <c r="D27" s="1">
        <v>2</v>
      </c>
      <c r="E27" s="1">
        <v>200165</v>
      </c>
      <c r="F27" s="1" t="str">
        <f>IFERROR(INDEX([1]物品基础表!$A:$A,MATCH(E27,[1]物品基础表!$B:$B,0)),"")</f>
        <v>寻宝卷</v>
      </c>
      <c r="G27" s="1">
        <v>3</v>
      </c>
      <c r="H27" s="1">
        <v>200005</v>
      </c>
      <c r="I27" s="1" t="str">
        <f>IFERROR(INDEX([1]物品基础表!$A:$A,MATCH(H27,[1]物品基础表!$B:$B,0)),"")</f>
        <v>龙魂碎片</v>
      </c>
      <c r="J27" s="1">
        <v>12</v>
      </c>
      <c r="K27" s="1">
        <v>500004</v>
      </c>
      <c r="L27" s="1" t="str">
        <f>IFERROR(INDEX([1]物品基础表!$A:$A,MATCH(K27,[1]物品基础表!$B:$B,0)),"")</f>
        <v>战纹精华-橙</v>
      </c>
      <c r="M27" s="1">
        <v>4</v>
      </c>
      <c r="N27" s="1">
        <v>200156</v>
      </c>
      <c r="O27" s="1" t="str">
        <f>IFERROR(INDEX([1]物品基础表!$A:$A,MATCH(N27,[1]物品基础表!$B:$B,0)),"")</f>
        <v>野外BOSS次数卷轴</v>
      </c>
      <c r="P27" s="1">
        <v>3</v>
      </c>
      <c r="Q27" s="1">
        <v>204152</v>
      </c>
      <c r="R27" s="1" t="str">
        <f>IFERROR(INDEX([1]物品基础表!$A:$A,MATCH(Q27,[1]物品基础表!$B:$B,0)),"")</f>
        <v>奇遇刷新卷</v>
      </c>
      <c r="S27" s="1">
        <v>5</v>
      </c>
    </row>
    <row r="28" spans="1:19">
      <c r="A28" s="32" t="str">
        <f>INDEX([2]活动总表!$A$8:$A$429,MATCH(B28,[2]活动总表!$B$8:$B$429,0))</f>
        <v>立春-登录</v>
      </c>
      <c r="B28" s="1">
        <v>323</v>
      </c>
      <c r="C28" s="1">
        <v>3</v>
      </c>
      <c r="D28" s="1">
        <v>3</v>
      </c>
      <c r="E28" s="1">
        <v>200009</v>
      </c>
      <c r="F28" s="1" t="str">
        <f>IFERROR(INDEX([1]物品基础表!$A:$A,MATCH(E28,[1]物品基础表!$B:$B,0)),"")</f>
        <v>高级转生丹</v>
      </c>
      <c r="G28" s="1">
        <v>3</v>
      </c>
      <c r="H28" s="1">
        <v>200005</v>
      </c>
      <c r="I28" s="1" t="str">
        <f>IFERROR(INDEX([1]物品基础表!$A:$A,MATCH(H28,[1]物品基础表!$B:$B,0)),"")</f>
        <v>龙魂碎片</v>
      </c>
      <c r="J28" s="1">
        <v>16</v>
      </c>
      <c r="K28" s="1">
        <v>500004</v>
      </c>
      <c r="L28" s="1" t="str">
        <f>IFERROR(INDEX([1]物品基础表!$A:$A,MATCH(K28,[1]物品基础表!$B:$B,0)),"")</f>
        <v>战纹精华-橙</v>
      </c>
      <c r="M28" s="1">
        <v>8</v>
      </c>
      <c r="N28" s="1">
        <v>200936</v>
      </c>
      <c r="O28" s="1" t="str">
        <f>IFERROR(INDEX([1]物品基础表!$A:$A,MATCH(N28,[1]物品基础表!$B:$B,0)),"")</f>
        <v>矿锄</v>
      </c>
      <c r="P28" s="1">
        <v>5</v>
      </c>
      <c r="Q28" s="1">
        <v>204152</v>
      </c>
      <c r="R28" s="1" t="str">
        <f>IFERROR(INDEX([1]物品基础表!$A:$A,MATCH(Q28,[1]物品基础表!$B:$B,0)),"")</f>
        <v>奇遇刷新卷</v>
      </c>
      <c r="S28" s="1">
        <v>5</v>
      </c>
    </row>
    <row r="29" spans="1:19">
      <c r="A29" s="32" t="str">
        <f>INDEX([2]活动总表!$A$8:$A$429,MATCH(B29,[2]活动总表!$B$8:$B$429,0))</f>
        <v>第2次合服登录活动</v>
      </c>
      <c r="B29" s="1">
        <v>326</v>
      </c>
      <c r="C29" s="1">
        <v>1</v>
      </c>
      <c r="D29" s="1">
        <v>1</v>
      </c>
      <c r="E29" s="1">
        <v>200156</v>
      </c>
      <c r="F29" s="1" t="str">
        <f>IFERROR(INDEX([1]物品基础表!$A:$A,MATCH(E29,[1]物品基础表!$B:$B,0)),"")</f>
        <v>野外BOSS次数卷轴</v>
      </c>
      <c r="G29" s="1">
        <v>10</v>
      </c>
      <c r="H29" s="1">
        <v>200320</v>
      </c>
      <c r="I29" s="1" t="str">
        <f>IFERROR(INDEX([1]物品基础表!$A:$A,MATCH(H29,[1]物品基础表!$B:$B,0)),"")</f>
        <v>至尊令牌</v>
      </c>
      <c r="J29" s="1">
        <v>10</v>
      </c>
      <c r="K29" s="1">
        <v>200005</v>
      </c>
      <c r="L29" s="1" t="str">
        <f>IFERROR(INDEX([1]物品基础表!$A:$A,MATCH(K29,[1]物品基础表!$B:$B,0)),"")</f>
        <v>龙魂碎片</v>
      </c>
      <c r="M29" s="1">
        <v>10</v>
      </c>
      <c r="N29" s="1">
        <v>500011</v>
      </c>
      <c r="O29" s="1" t="str">
        <f>IFERROR(INDEX([1]物品基础表!$A:$A,MATCH(N29,[1]物品基础表!$B:$B,0)),"")</f>
        <v>战纹碎片（小）</v>
      </c>
      <c r="P29" s="1">
        <v>100</v>
      </c>
      <c r="R29" s="1" t="str">
        <f>IFERROR(INDEX([1]物品基础表!$A:$A,MATCH(Q29,[1]物品基础表!$B:$B,0)),"")</f>
        <v/>
      </c>
    </row>
    <row r="30" spans="1:19">
      <c r="A30" s="32" t="str">
        <f>INDEX([2]活动总表!$A$8:$A$429,MATCH(B30,[2]活动总表!$B$8:$B$429,0))</f>
        <v>第2次合服登录活动</v>
      </c>
      <c r="B30" s="1">
        <v>326</v>
      </c>
      <c r="C30" s="1">
        <v>2</v>
      </c>
      <c r="D30" s="1">
        <v>2</v>
      </c>
      <c r="E30" s="1">
        <v>200009</v>
      </c>
      <c r="F30" s="1" t="str">
        <f>IFERROR(INDEX([1]物品基础表!$A:$A,MATCH(E30,[1]物品基础表!$B:$B,0)),"")</f>
        <v>高级转生丹</v>
      </c>
      <c r="G30" s="1">
        <v>3</v>
      </c>
      <c r="H30" s="1">
        <v>200320</v>
      </c>
      <c r="I30" s="1" t="str">
        <f>IFERROR(INDEX([1]物品基础表!$A:$A,MATCH(H30,[1]物品基础表!$B:$B,0)),"")</f>
        <v>至尊令牌</v>
      </c>
      <c r="J30" s="1">
        <v>10</v>
      </c>
      <c r="K30" s="1">
        <v>200005</v>
      </c>
      <c r="L30" s="1" t="str">
        <f>IFERROR(INDEX([1]物品基础表!$A:$A,MATCH(K30,[1]物品基础表!$B:$B,0)),"")</f>
        <v>龙魂碎片</v>
      </c>
      <c r="M30" s="1">
        <v>10</v>
      </c>
      <c r="N30" s="1">
        <v>500011</v>
      </c>
      <c r="O30" s="1" t="str">
        <f>IFERROR(INDEX([1]物品基础表!$A:$A,MATCH(N30,[1]物品基础表!$B:$B,0)),"")</f>
        <v>战纹碎片（小）</v>
      </c>
      <c r="P30" s="1">
        <v>100</v>
      </c>
      <c r="R30" s="1" t="str">
        <f>IFERROR(INDEX([1]物品基础表!$A:$A,MATCH(Q30,[1]物品基础表!$B:$B,0)),"")</f>
        <v/>
      </c>
    </row>
    <row r="31" spans="1:19">
      <c r="A31" s="32" t="str">
        <f>INDEX([2]活动总表!$A$8:$A$429,MATCH(B31,[2]活动总表!$B$8:$B$429,0))</f>
        <v>第2次合服登录活动</v>
      </c>
      <c r="B31" s="1">
        <v>326</v>
      </c>
      <c r="C31" s="1">
        <v>3</v>
      </c>
      <c r="D31" s="1">
        <v>3</v>
      </c>
      <c r="E31" s="1">
        <v>202001</v>
      </c>
      <c r="F31" s="1" t="str">
        <f>IFERROR(INDEX([1]物品基础表!$A:$A,MATCH(E31,[1]物品基础表!$B:$B,0)),"")</f>
        <v>烈焰戒指技能1书</v>
      </c>
      <c r="G31" s="1">
        <v>1</v>
      </c>
      <c r="H31" s="1">
        <v>200320</v>
      </c>
      <c r="I31" s="1" t="str">
        <f>IFERROR(INDEX([1]物品基础表!$A:$A,MATCH(H31,[1]物品基础表!$B:$B,0)),"")</f>
        <v>至尊令牌</v>
      </c>
      <c r="J31" s="1">
        <v>15</v>
      </c>
      <c r="K31" s="1">
        <v>200005</v>
      </c>
      <c r="L31" s="1" t="str">
        <f>IFERROR(INDEX([1]物品基础表!$A:$A,MATCH(K31,[1]物品基础表!$B:$B,0)),"")</f>
        <v>龙魂碎片</v>
      </c>
      <c r="M31" s="1">
        <v>10</v>
      </c>
      <c r="N31" s="1">
        <v>500011</v>
      </c>
      <c r="O31" s="1" t="str">
        <f>IFERROR(INDEX([1]物品基础表!$A:$A,MATCH(N31,[1]物品基础表!$B:$B,0)),"")</f>
        <v>战纹碎片（小）</v>
      </c>
      <c r="P31" s="1">
        <v>100</v>
      </c>
      <c r="R31" s="1" t="str">
        <f>IFERROR(INDEX([1]物品基础表!$A:$A,MATCH(Q31,[1]物品基础表!$B:$B,0)),"")</f>
        <v/>
      </c>
    </row>
    <row r="32" spans="1:19">
      <c r="A32" s="32" t="str">
        <f>INDEX([2]活动总表!$A$8:$A$429,MATCH(B32,[2]活动总表!$B$8:$B$429,0))</f>
        <v>第2次合服登录活动</v>
      </c>
      <c r="B32" s="1">
        <v>326</v>
      </c>
      <c r="C32" s="1">
        <v>4</v>
      </c>
      <c r="D32" s="1">
        <v>4</v>
      </c>
      <c r="E32" s="1">
        <v>2</v>
      </c>
      <c r="F32" s="1" t="s">
        <v>706</v>
      </c>
      <c r="G32" s="1">
        <v>1000</v>
      </c>
      <c r="H32" s="1">
        <v>200320</v>
      </c>
      <c r="I32" s="1" t="str">
        <f>IFERROR(INDEX([1]物品基础表!$A:$A,MATCH(H32,[1]物品基础表!$B:$B,0)),"")</f>
        <v>至尊令牌</v>
      </c>
      <c r="J32" s="1">
        <v>15</v>
      </c>
      <c r="K32" s="1">
        <v>200005</v>
      </c>
      <c r="L32" s="1" t="str">
        <f>IFERROR(INDEX([1]物品基础表!$A:$A,MATCH(K32,[1]物品基础表!$B:$B,0)),"")</f>
        <v>龙魂碎片</v>
      </c>
      <c r="M32" s="1">
        <v>10</v>
      </c>
      <c r="N32" s="1">
        <v>500011</v>
      </c>
      <c r="O32" s="1" t="str">
        <f>IFERROR(INDEX([1]物品基础表!$A:$A,MATCH(N32,[1]物品基础表!$B:$B,0)),"")</f>
        <v>战纹碎片（小）</v>
      </c>
      <c r="P32" s="1">
        <v>100</v>
      </c>
      <c r="R32" s="1" t="str">
        <f>IFERROR(INDEX([1]物品基础表!$A:$A,MATCH(Q32,[1]物品基础表!$B:$B,0)),"")</f>
        <v/>
      </c>
    </row>
    <row r="33" spans="1:19">
      <c r="A33" s="32" t="str">
        <f>INDEX([2]活动总表!$A$8:$A$429,MATCH(B33,[2]活动总表!$B$8:$B$429,0))</f>
        <v>第2次合服登录活动</v>
      </c>
      <c r="B33" s="1">
        <v>326</v>
      </c>
      <c r="C33" s="1">
        <v>5</v>
      </c>
      <c r="D33" s="1">
        <v>5</v>
      </c>
      <c r="E33" s="1">
        <v>299999</v>
      </c>
      <c r="F33" s="1" t="str">
        <f>IFERROR(INDEX([1]物品基础表!$A:$A,MATCH(E33,[1]物品基础表!$B:$B,0)),"")</f>
        <v>神兵幻境卷</v>
      </c>
      <c r="G33" s="1">
        <v>1</v>
      </c>
      <c r="H33" s="1">
        <v>200320</v>
      </c>
      <c r="I33" s="1" t="str">
        <f>IFERROR(INDEX([1]物品基础表!$A:$A,MATCH(H33,[1]物品基础表!$B:$B,0)),"")</f>
        <v>至尊令牌</v>
      </c>
      <c r="J33" s="1">
        <v>20</v>
      </c>
      <c r="K33" s="1">
        <v>200005</v>
      </c>
      <c r="L33" s="1" t="str">
        <f>IFERROR(INDEX([1]物品基础表!$A:$A,MATCH(K33,[1]物品基础表!$B:$B,0)),"")</f>
        <v>龙魂碎片</v>
      </c>
      <c r="M33" s="1">
        <v>10</v>
      </c>
      <c r="N33" s="1">
        <v>500011</v>
      </c>
      <c r="O33" s="1" t="str">
        <f>IFERROR(INDEX([1]物品基础表!$A:$A,MATCH(N33,[1]物品基础表!$B:$B,0)),"")</f>
        <v>战纹碎片（小）</v>
      </c>
      <c r="P33" s="1">
        <v>100</v>
      </c>
      <c r="R33" s="1" t="str">
        <f>IFERROR(INDEX([1]物品基础表!$A:$A,MATCH(Q33,[1]物品基础表!$B:$B,0)),"")</f>
        <v/>
      </c>
    </row>
    <row r="34" spans="1:19">
      <c r="A34" s="32" t="str">
        <f>INDEX([2]活动总表!$A$8:$A$429,MATCH(B34,[2]活动总表!$B$8:$B$429,0))</f>
        <v>第2次合服登录活动</v>
      </c>
      <c r="B34" s="1">
        <v>326</v>
      </c>
      <c r="C34" s="1">
        <v>6</v>
      </c>
      <c r="D34" s="1">
        <v>6</v>
      </c>
      <c r="E34" s="1">
        <v>200007</v>
      </c>
      <c r="F34" s="1" t="str">
        <f>IFERROR(INDEX([1]物品基础表!$A:$A,MATCH(E34,[1]物品基础表!$B:$B,0)),"")</f>
        <v>神装碎片</v>
      </c>
      <c r="G34" s="1">
        <v>300</v>
      </c>
      <c r="H34" s="1">
        <v>200320</v>
      </c>
      <c r="I34" s="1" t="str">
        <f>IFERROR(INDEX([1]物品基础表!$A:$A,MATCH(H34,[1]物品基础表!$B:$B,0)),"")</f>
        <v>至尊令牌</v>
      </c>
      <c r="J34" s="1">
        <v>20</v>
      </c>
      <c r="K34" s="1">
        <v>200005</v>
      </c>
      <c r="L34" s="1" t="str">
        <f>IFERROR(INDEX([1]物品基础表!$A:$A,MATCH(K34,[1]物品基础表!$B:$B,0)),"")</f>
        <v>龙魂碎片</v>
      </c>
      <c r="M34" s="1">
        <v>10</v>
      </c>
      <c r="N34" s="1">
        <v>500011</v>
      </c>
      <c r="O34" s="1" t="str">
        <f>IFERROR(INDEX([1]物品基础表!$A:$A,MATCH(N34,[1]物品基础表!$B:$B,0)),"")</f>
        <v>战纹碎片（小）</v>
      </c>
      <c r="P34" s="1">
        <v>100</v>
      </c>
      <c r="R34" s="1" t="str">
        <f>IFERROR(INDEX([1]物品基础表!$A:$A,MATCH(Q34,[1]物品基础表!$B:$B,0)),"")</f>
        <v/>
      </c>
    </row>
    <row r="35" spans="1:19">
      <c r="A35" s="32" t="str">
        <f>INDEX([2]活动总表!$A$8:$A$429,MATCH(B35,[2]活动总表!$B$8:$B$429,0))</f>
        <v>第2次合服登录活动</v>
      </c>
      <c r="B35" s="1">
        <v>326</v>
      </c>
      <c r="C35" s="1">
        <v>7</v>
      </c>
      <c r="D35" s="1">
        <v>7</v>
      </c>
      <c r="E35" s="1">
        <v>2</v>
      </c>
      <c r="F35" s="1" t="s">
        <v>706</v>
      </c>
      <c r="G35" s="1">
        <v>2000</v>
      </c>
      <c r="H35" s="1">
        <v>200320</v>
      </c>
      <c r="I35" s="1" t="str">
        <f>IFERROR(INDEX([1]物品基础表!$A:$A,MATCH(H35,[1]物品基础表!$B:$B,0)),"")</f>
        <v>至尊令牌</v>
      </c>
      <c r="J35" s="1">
        <v>25</v>
      </c>
      <c r="K35" s="1">
        <v>200005</v>
      </c>
      <c r="L35" s="1" t="str">
        <f>IFERROR(INDEX([1]物品基础表!$A:$A,MATCH(K35,[1]物品基础表!$B:$B,0)),"")</f>
        <v>龙魂碎片</v>
      </c>
      <c r="M35" s="1">
        <v>20</v>
      </c>
      <c r="N35" s="1">
        <v>500011</v>
      </c>
      <c r="O35" s="1" t="str">
        <f>IFERROR(INDEX([1]物品基础表!$A:$A,MATCH(N35,[1]物品基础表!$B:$B,0)),"")</f>
        <v>战纹碎片（小）</v>
      </c>
      <c r="P35" s="1">
        <v>100</v>
      </c>
      <c r="R35" s="1" t="str">
        <f>IFERROR(INDEX([1]物品基础表!$A:$A,MATCH(Q35,[1]物品基础表!$B:$B,0)),"")</f>
        <v/>
      </c>
    </row>
    <row r="36" spans="1:19">
      <c r="A36" s="32" t="str">
        <f>INDEX([2]活动总表!$A$8:$A$429,MATCH(B36,[2]活动总表!$B$8:$B$429,0))</f>
        <v>立春-登录</v>
      </c>
      <c r="B36" s="1">
        <v>365</v>
      </c>
      <c r="C36" s="1">
        <v>1</v>
      </c>
      <c r="D36" s="1">
        <v>1</v>
      </c>
      <c r="E36" s="1">
        <v>200015</v>
      </c>
      <c r="F36" s="1" t="str">
        <f>IFERROR(INDEX([1]物品基础表!$A:$A,MATCH(E36,[1]物品基础表!$B:$B,0)),"")</f>
        <v>特戒碎片</v>
      </c>
      <c r="G36" s="1">
        <v>200</v>
      </c>
      <c r="H36" s="1">
        <v>200005</v>
      </c>
      <c r="I36" s="1" t="str">
        <f>IFERROR(INDEX([1]物品基础表!$A:$A,MATCH(H36,[1]物品基础表!$B:$B,0)),"")</f>
        <v>龙魂碎片</v>
      </c>
      <c r="J36" s="1">
        <v>10</v>
      </c>
      <c r="K36" s="1">
        <v>500004</v>
      </c>
      <c r="L36" s="1" t="str">
        <f>IFERROR(INDEX([1]物品基础表!$A:$A,MATCH(K36,[1]物品基础表!$B:$B,0)),"")</f>
        <v>战纹精华-橙</v>
      </c>
      <c r="M36" s="1">
        <v>2</v>
      </c>
      <c r="N36" s="1">
        <v>200156</v>
      </c>
      <c r="O36" s="1" t="str">
        <f>IFERROR(INDEX([1]物品基础表!$A:$A,MATCH(N36,[1]物品基础表!$B:$B,0)),"")</f>
        <v>野外BOSS次数卷轴</v>
      </c>
      <c r="P36" s="1">
        <v>3</v>
      </c>
      <c r="Q36" s="1">
        <v>204152</v>
      </c>
      <c r="R36" s="1" t="str">
        <f>IFERROR(INDEX([1]物品基础表!$A:$A,MATCH(Q36,[1]物品基础表!$B:$B,0)),"")</f>
        <v>奇遇刷新卷</v>
      </c>
      <c r="S36" s="1">
        <v>5</v>
      </c>
    </row>
    <row r="37" spans="1:19">
      <c r="A37" s="32" t="str">
        <f>INDEX([2]活动总表!$A$8:$A$429,MATCH(B37,[2]活动总表!$B$8:$B$429,0))</f>
        <v>立春-登录</v>
      </c>
      <c r="B37" s="1">
        <v>365</v>
      </c>
      <c r="C37" s="1">
        <v>2</v>
      </c>
      <c r="D37" s="1">
        <v>2</v>
      </c>
      <c r="E37" s="1">
        <v>200165</v>
      </c>
      <c r="F37" s="1" t="str">
        <f>IFERROR(INDEX([1]物品基础表!$A:$A,MATCH(E37,[1]物品基础表!$B:$B,0)),"")</f>
        <v>寻宝卷</v>
      </c>
      <c r="G37" s="1">
        <v>3</v>
      </c>
      <c r="H37" s="1">
        <v>200005</v>
      </c>
      <c r="I37" s="1" t="str">
        <f>IFERROR(INDEX([1]物品基础表!$A:$A,MATCH(H37,[1]物品基础表!$B:$B,0)),"")</f>
        <v>龙魂碎片</v>
      </c>
      <c r="J37" s="1">
        <v>12</v>
      </c>
      <c r="K37" s="1">
        <v>500004</v>
      </c>
      <c r="L37" s="1" t="str">
        <f>IFERROR(INDEX([1]物品基础表!$A:$A,MATCH(K37,[1]物品基础表!$B:$B,0)),"")</f>
        <v>战纹精华-橙</v>
      </c>
      <c r="M37" s="1">
        <v>4</v>
      </c>
      <c r="N37" s="1">
        <v>200156</v>
      </c>
      <c r="O37" s="1" t="str">
        <f>IFERROR(INDEX([1]物品基础表!$A:$A,MATCH(N37,[1]物品基础表!$B:$B,0)),"")</f>
        <v>野外BOSS次数卷轴</v>
      </c>
      <c r="P37" s="1">
        <v>3</v>
      </c>
      <c r="Q37" s="1">
        <v>204152</v>
      </c>
      <c r="R37" s="1" t="str">
        <f>IFERROR(INDEX([1]物品基础表!$A:$A,MATCH(Q37,[1]物品基础表!$B:$B,0)),"")</f>
        <v>奇遇刷新卷</v>
      </c>
      <c r="S37" s="1">
        <v>5</v>
      </c>
    </row>
    <row r="38" spans="1:19">
      <c r="A38" s="32" t="str">
        <f>INDEX([2]活动总表!$A$8:$A$429,MATCH(B38,[2]活动总表!$B$8:$B$429,0))</f>
        <v>立春-登录</v>
      </c>
      <c r="B38" s="1">
        <v>365</v>
      </c>
      <c r="C38" s="1">
        <v>3</v>
      </c>
      <c r="D38" s="1">
        <v>3</v>
      </c>
      <c r="E38" s="1">
        <v>200009</v>
      </c>
      <c r="F38" s="1" t="str">
        <f>IFERROR(INDEX([1]物品基础表!$A:$A,MATCH(E38,[1]物品基础表!$B:$B,0)),"")</f>
        <v>高级转生丹</v>
      </c>
      <c r="G38" s="1">
        <v>3</v>
      </c>
      <c r="H38" s="1">
        <v>200005</v>
      </c>
      <c r="I38" s="1" t="str">
        <f>IFERROR(INDEX([1]物品基础表!$A:$A,MATCH(H38,[1]物品基础表!$B:$B,0)),"")</f>
        <v>龙魂碎片</v>
      </c>
      <c r="J38" s="1">
        <v>16</v>
      </c>
      <c r="K38" s="1">
        <v>500004</v>
      </c>
      <c r="L38" s="1" t="str">
        <f>IFERROR(INDEX([1]物品基础表!$A:$A,MATCH(K38,[1]物品基础表!$B:$B,0)),"")</f>
        <v>战纹精华-橙</v>
      </c>
      <c r="M38" s="1">
        <v>8</v>
      </c>
      <c r="N38" s="1">
        <v>200936</v>
      </c>
      <c r="O38" s="1" t="str">
        <f>IFERROR(INDEX([1]物品基础表!$A:$A,MATCH(N38,[1]物品基础表!$B:$B,0)),"")</f>
        <v>矿锄</v>
      </c>
      <c r="P38" s="1">
        <v>5</v>
      </c>
      <c r="Q38" s="1">
        <v>204152</v>
      </c>
      <c r="R38" s="1" t="str">
        <f>IFERROR(INDEX([1]物品基础表!$A:$A,MATCH(Q38,[1]物品基础表!$B:$B,0)),"")</f>
        <v>奇遇刷新卷</v>
      </c>
      <c r="S38" s="1">
        <v>5</v>
      </c>
    </row>
    <row r="39" spans="1:19">
      <c r="A39" s="32" t="str">
        <f>INDEX([2]活动总表!$A$8:$A$429,MATCH(B39,[2]活动总表!$B$8:$B$429,0))</f>
        <v>谁与争锋-登录</v>
      </c>
      <c r="B39" s="1">
        <v>504</v>
      </c>
      <c r="C39" s="1">
        <v>1</v>
      </c>
      <c r="D39" s="1">
        <v>1</v>
      </c>
      <c r="E39" s="1">
        <v>200156</v>
      </c>
      <c r="F39" s="1" t="str">
        <f>IFERROR(INDEX([1]物品基础表!$A:$A,MATCH(E39,[1]物品基础表!$B:$B,0)),"")</f>
        <v>野外BOSS次数卷轴</v>
      </c>
      <c r="G39" s="1">
        <v>10</v>
      </c>
      <c r="H39" s="1">
        <v>200005</v>
      </c>
      <c r="I39" s="1" t="str">
        <f>IFERROR(INDEX([1]物品基础表!$A:$A,MATCH(H39,[1]物品基础表!$B:$B,0)),"")</f>
        <v>龙魂碎片</v>
      </c>
      <c r="J39" s="1">
        <v>10</v>
      </c>
      <c r="K39" s="1">
        <v>500004</v>
      </c>
      <c r="L39" s="1" t="str">
        <f>IFERROR(INDEX([1]物品基础表!$A:$A,MATCH(K39,[1]物品基础表!$B:$B,0)),"")</f>
        <v>战纹精华-橙</v>
      </c>
      <c r="M39" s="1">
        <v>2</v>
      </c>
      <c r="N39" s="1">
        <v>500011</v>
      </c>
      <c r="O39" s="1" t="str">
        <f>IFERROR(INDEX([1]物品基础表!$A:$A,MATCH(N39,[1]物品基础表!$B:$B,0)),"")</f>
        <v>战纹碎片（小）</v>
      </c>
      <c r="P39" s="1">
        <v>100</v>
      </c>
      <c r="Q39" s="1">
        <v>201002</v>
      </c>
      <c r="R39" s="1" t="str">
        <f>IFERROR(INDEX([1]物品基础表!$A:$A,MATCH(Q39,[1]物品基础表!$B:$B,0)),"")</f>
        <v>神秘钥匙</v>
      </c>
      <c r="S39" s="1">
        <v>1</v>
      </c>
    </row>
    <row r="40" spans="1:19">
      <c r="A40" s="32" t="str">
        <f>INDEX([2]活动总表!$A$8:$A$429,MATCH(B40,[2]活动总表!$B$8:$B$429,0))</f>
        <v>谁与争锋-登录</v>
      </c>
      <c r="B40" s="1">
        <v>504</v>
      </c>
      <c r="C40" s="1">
        <v>2</v>
      </c>
      <c r="D40" s="1">
        <v>2</v>
      </c>
      <c r="E40" s="1">
        <v>202001</v>
      </c>
      <c r="F40" s="1" t="str">
        <f>IFERROR(INDEX([1]物品基础表!$A:$A,MATCH(E40,[1]物品基础表!$B:$B,0)),"")</f>
        <v>烈焰戒指技能1书</v>
      </c>
      <c r="G40" s="1">
        <v>1</v>
      </c>
      <c r="H40" s="1">
        <v>200005</v>
      </c>
      <c r="I40" s="1" t="str">
        <f>IFERROR(INDEX([1]物品基础表!$A:$A,MATCH(H40,[1]物品基础表!$B:$B,0)),"")</f>
        <v>龙魂碎片</v>
      </c>
      <c r="J40" s="1">
        <v>12</v>
      </c>
      <c r="K40" s="1">
        <v>500004</v>
      </c>
      <c r="L40" s="1" t="str">
        <f>IFERROR(INDEX([1]物品基础表!$A:$A,MATCH(K40,[1]物品基础表!$B:$B,0)),"")</f>
        <v>战纹精华-橙</v>
      </c>
      <c r="M40" s="1">
        <v>4</v>
      </c>
      <c r="N40" s="1">
        <v>500011</v>
      </c>
      <c r="O40" s="1" t="str">
        <f>IFERROR(INDEX([1]物品基础表!$A:$A,MATCH(N40,[1]物品基础表!$B:$B,0)),"")</f>
        <v>战纹碎片（小）</v>
      </c>
      <c r="P40" s="1">
        <v>100</v>
      </c>
      <c r="Q40" s="1">
        <v>201002</v>
      </c>
      <c r="R40" s="1" t="str">
        <f>IFERROR(INDEX([1]物品基础表!$A:$A,MATCH(Q40,[1]物品基础表!$B:$B,0)),"")</f>
        <v>神秘钥匙</v>
      </c>
      <c r="S40" s="1">
        <v>1</v>
      </c>
    </row>
    <row r="41" spans="1:19">
      <c r="A41" s="32" t="str">
        <f>INDEX([2]活动总表!$A$8:$A$429,MATCH(B41,[2]活动总表!$B$8:$B$429,0))</f>
        <v>谁与争锋-登录</v>
      </c>
      <c r="B41" s="1">
        <v>504</v>
      </c>
      <c r="C41" s="1">
        <v>3</v>
      </c>
      <c r="D41" s="1">
        <v>3</v>
      </c>
      <c r="E41" s="1">
        <v>2</v>
      </c>
      <c r="F41" s="1" t="s">
        <v>706</v>
      </c>
      <c r="G41" s="1">
        <v>1000</v>
      </c>
      <c r="H41" s="1">
        <v>200005</v>
      </c>
      <c r="I41" s="1" t="str">
        <f>IFERROR(INDEX([1]物品基础表!$A:$A,MATCH(H41,[1]物品基础表!$B:$B,0)),"")</f>
        <v>龙魂碎片</v>
      </c>
      <c r="J41" s="1">
        <v>14</v>
      </c>
      <c r="K41" s="1">
        <v>500004</v>
      </c>
      <c r="L41" s="1" t="str">
        <f>IFERROR(INDEX([1]物品基础表!$A:$A,MATCH(K41,[1]物品基础表!$B:$B,0)),"")</f>
        <v>战纹精华-橙</v>
      </c>
      <c r="M41" s="1">
        <v>6</v>
      </c>
      <c r="N41" s="1">
        <v>500011</v>
      </c>
      <c r="O41" s="1" t="str">
        <f>IFERROR(INDEX([1]物品基础表!$A:$A,MATCH(N41,[1]物品基础表!$B:$B,0)),"")</f>
        <v>战纹碎片（小）</v>
      </c>
      <c r="P41" s="1">
        <v>100</v>
      </c>
      <c r="Q41" s="1">
        <v>200307</v>
      </c>
      <c r="R41" s="1" t="str">
        <f>IFERROR(INDEX([1]物品基础表!$A:$A,MATCH(Q41,[1]物品基础表!$B:$B,0)),"")</f>
        <v>神兵塔门票</v>
      </c>
      <c r="S41" s="1">
        <v>1</v>
      </c>
    </row>
    <row r="42" spans="1:19">
      <c r="A42" s="32" t="str">
        <f>INDEX([2]活动总表!$A$8:$A$429,MATCH(B42,[2]活动总表!$B$8:$B$429,0))</f>
        <v>谁与争锋-登录</v>
      </c>
      <c r="B42" s="1">
        <v>512</v>
      </c>
      <c r="C42" s="1">
        <v>1</v>
      </c>
      <c r="D42" s="1">
        <v>1</v>
      </c>
      <c r="E42" s="1">
        <v>200156</v>
      </c>
      <c r="F42" s="1" t="str">
        <f>IFERROR(INDEX([1]物品基础表!$A:$A,MATCH(E42,[1]物品基础表!$B:$B,0)),"")</f>
        <v>野外BOSS次数卷轴</v>
      </c>
      <c r="G42" s="1">
        <v>10</v>
      </c>
      <c r="H42" s="1">
        <v>200005</v>
      </c>
      <c r="I42" s="1" t="str">
        <f>IFERROR(INDEX([1]物品基础表!$A:$A,MATCH(H42,[1]物品基础表!$B:$B,0)),"")</f>
        <v>龙魂碎片</v>
      </c>
      <c r="J42" s="1">
        <v>10</v>
      </c>
      <c r="K42" s="1">
        <v>500004</v>
      </c>
      <c r="L42" s="1" t="str">
        <f>IFERROR(INDEX([1]物品基础表!$A:$A,MATCH(K42,[1]物品基础表!$B:$B,0)),"")</f>
        <v>战纹精华-橙</v>
      </c>
      <c r="M42" s="1">
        <v>2</v>
      </c>
      <c r="N42" s="1">
        <v>500011</v>
      </c>
      <c r="O42" s="1" t="str">
        <f>IFERROR(INDEX([1]物品基础表!$A:$A,MATCH(N42,[1]物品基础表!$B:$B,0)),"")</f>
        <v>战纹碎片（小）</v>
      </c>
      <c r="P42" s="1">
        <v>100</v>
      </c>
      <c r="Q42" s="1">
        <v>201002</v>
      </c>
      <c r="R42" s="1" t="str">
        <f>IFERROR(INDEX([1]物品基础表!$A:$A,MATCH(Q42,[1]物品基础表!$B:$B,0)),"")</f>
        <v>神秘钥匙</v>
      </c>
      <c r="S42" s="1">
        <v>1</v>
      </c>
    </row>
    <row r="43" spans="1:19">
      <c r="A43" s="32" t="str">
        <f>INDEX([2]活动总表!$A$8:$A$429,MATCH(B43,[2]活动总表!$B$8:$B$429,0))</f>
        <v>谁与争锋-登录</v>
      </c>
      <c r="B43" s="1">
        <v>512</v>
      </c>
      <c r="C43" s="1">
        <v>2</v>
      </c>
      <c r="D43" s="1">
        <v>2</v>
      </c>
      <c r="E43" s="1">
        <v>202001</v>
      </c>
      <c r="F43" s="1" t="str">
        <f>IFERROR(INDEX([1]物品基础表!$A:$A,MATCH(E43,[1]物品基础表!$B:$B,0)),"")</f>
        <v>烈焰戒指技能1书</v>
      </c>
      <c r="G43" s="1">
        <v>1</v>
      </c>
      <c r="H43" s="1">
        <v>200005</v>
      </c>
      <c r="I43" s="1" t="str">
        <f>IFERROR(INDEX([1]物品基础表!$A:$A,MATCH(H43,[1]物品基础表!$B:$B,0)),"")</f>
        <v>龙魂碎片</v>
      </c>
      <c r="J43" s="1">
        <v>12</v>
      </c>
      <c r="K43" s="1">
        <v>500004</v>
      </c>
      <c r="L43" s="1" t="str">
        <f>IFERROR(INDEX([1]物品基础表!$A:$A,MATCH(K43,[1]物品基础表!$B:$B,0)),"")</f>
        <v>战纹精华-橙</v>
      </c>
      <c r="M43" s="1">
        <v>4</v>
      </c>
      <c r="N43" s="1">
        <v>500011</v>
      </c>
      <c r="O43" s="1" t="str">
        <f>IFERROR(INDEX([1]物品基础表!$A:$A,MATCH(N43,[1]物品基础表!$B:$B,0)),"")</f>
        <v>战纹碎片（小）</v>
      </c>
      <c r="P43" s="1">
        <v>100</v>
      </c>
      <c r="Q43" s="1">
        <v>201002</v>
      </c>
      <c r="R43" s="1" t="str">
        <f>IFERROR(INDEX([1]物品基础表!$A:$A,MATCH(Q43,[1]物品基础表!$B:$B,0)),"")</f>
        <v>神秘钥匙</v>
      </c>
      <c r="S43" s="1">
        <v>1</v>
      </c>
    </row>
    <row r="44" spans="1:19">
      <c r="A44" s="32" t="str">
        <f>INDEX([2]活动总表!$A$8:$A$429,MATCH(B44,[2]活动总表!$B$8:$B$429,0))</f>
        <v>谁与争锋-登录</v>
      </c>
      <c r="B44" s="1">
        <v>512</v>
      </c>
      <c r="C44" s="1">
        <v>3</v>
      </c>
      <c r="D44" s="1">
        <v>3</v>
      </c>
      <c r="E44" s="1">
        <v>2</v>
      </c>
      <c r="F44" s="1" t="s">
        <v>706</v>
      </c>
      <c r="G44" s="1">
        <v>1000</v>
      </c>
      <c r="H44" s="1">
        <v>200005</v>
      </c>
      <c r="I44" s="1" t="str">
        <f>IFERROR(INDEX([1]物品基础表!$A:$A,MATCH(H44,[1]物品基础表!$B:$B,0)),"")</f>
        <v>龙魂碎片</v>
      </c>
      <c r="J44" s="1">
        <v>14</v>
      </c>
      <c r="K44" s="1">
        <v>500004</v>
      </c>
      <c r="L44" s="1" t="str">
        <f>IFERROR(INDEX([1]物品基础表!$A:$A,MATCH(K44,[1]物品基础表!$B:$B,0)),"")</f>
        <v>战纹精华-橙</v>
      </c>
      <c r="M44" s="1">
        <v>6</v>
      </c>
      <c r="N44" s="1">
        <v>500011</v>
      </c>
      <c r="O44" s="1" t="str">
        <f>IFERROR(INDEX([1]物品基础表!$A:$A,MATCH(N44,[1]物品基础表!$B:$B,0)),"")</f>
        <v>战纹碎片（小）</v>
      </c>
      <c r="P44" s="1">
        <v>100</v>
      </c>
      <c r="Q44" s="1">
        <v>200307</v>
      </c>
      <c r="R44" s="1" t="str">
        <f>IFERROR(INDEX([1]物品基础表!$A:$A,MATCH(Q44,[1]物品基础表!$B:$B,0)),"")</f>
        <v>神兵塔门票</v>
      </c>
      <c r="S44" s="1">
        <v>1</v>
      </c>
    </row>
    <row r="45" spans="1:19">
      <c r="A45" s="32" t="str">
        <f>INDEX([2]活动总表!$A$8:$A$429,MATCH(B45,[2]活动总表!$B$8:$B$429,0))</f>
        <v>春节登录</v>
      </c>
      <c r="B45" s="1">
        <v>551</v>
      </c>
      <c r="C45" s="1">
        <v>1</v>
      </c>
      <c r="D45" s="1">
        <v>1</v>
      </c>
      <c r="E45" s="1">
        <v>200015</v>
      </c>
      <c r="F45" s="1" t="str">
        <f>IFERROR(INDEX([1]物品基础表!$A:$A,MATCH(E45,[1]物品基础表!$B:$B,0)),"")</f>
        <v>特戒碎片</v>
      </c>
      <c r="G45" s="1">
        <v>500</v>
      </c>
      <c r="H45" s="1">
        <v>200005</v>
      </c>
      <c r="I45" s="1" t="str">
        <f>IFERROR(INDEX([1]物品基础表!$A:$A,MATCH(H45,[1]物品基础表!$B:$B,0)),"")</f>
        <v>龙魂碎片</v>
      </c>
      <c r="J45" s="1">
        <v>15</v>
      </c>
      <c r="K45" s="1">
        <v>500004</v>
      </c>
      <c r="L45" s="1" t="str">
        <f>IFERROR(INDEX([1]物品基础表!$A:$A,MATCH(K45,[1]物品基础表!$B:$B,0)),"")</f>
        <v>战纹精华-橙</v>
      </c>
      <c r="M45" s="1">
        <v>2</v>
      </c>
      <c r="N45" s="1">
        <v>500011</v>
      </c>
      <c r="O45" s="1" t="str">
        <f>IFERROR(INDEX([1]物品基础表!$A:$A,MATCH(N45,[1]物品基础表!$B:$B,0)),"")</f>
        <v>战纹碎片（小）</v>
      </c>
      <c r="P45" s="1">
        <v>100</v>
      </c>
      <c r="Q45" s="1">
        <v>201002</v>
      </c>
      <c r="R45" s="1" t="str">
        <f>IFERROR(INDEX([1]物品基础表!$A:$A,MATCH(Q45,[1]物品基础表!$B:$B,0)),"")</f>
        <v>神秘钥匙</v>
      </c>
      <c r="S45" s="1">
        <v>1</v>
      </c>
    </row>
    <row r="46" spans="1:19">
      <c r="A46" s="32" t="str">
        <f>INDEX([2]活动总表!$A$8:$A$429,MATCH(B46,[2]活动总表!$B$8:$B$429,0))</f>
        <v>春节登录</v>
      </c>
      <c r="B46" s="1">
        <v>551</v>
      </c>
      <c r="C46" s="1">
        <v>2</v>
      </c>
      <c r="D46" s="1">
        <v>2</v>
      </c>
      <c r="E46" s="1">
        <v>204064</v>
      </c>
      <c r="F46" s="1" t="str">
        <f>IFERROR(INDEX([1]物品基础表!$A:$A,MATCH(E46,[1]物品基础表!$B:$B,0)),"")</f>
        <v>高级转生轮回礼包</v>
      </c>
      <c r="G46" s="1">
        <v>8</v>
      </c>
      <c r="H46" s="1">
        <v>200005</v>
      </c>
      <c r="I46" s="1" t="str">
        <f>IFERROR(INDEX([1]物品基础表!$A:$A,MATCH(H46,[1]物品基础表!$B:$B,0)),"")</f>
        <v>龙魂碎片</v>
      </c>
      <c r="J46" s="1">
        <v>15</v>
      </c>
      <c r="K46" s="1">
        <v>500004</v>
      </c>
      <c r="L46" s="1" t="str">
        <f>IFERROR(INDEX([1]物品基础表!$A:$A,MATCH(K46,[1]物品基础表!$B:$B,0)),"")</f>
        <v>战纹精华-橙</v>
      </c>
      <c r="M46" s="1">
        <v>2</v>
      </c>
      <c r="N46" s="1">
        <v>500011</v>
      </c>
      <c r="O46" s="1" t="str">
        <f>IFERROR(INDEX([1]物品基础表!$A:$A,MATCH(N46,[1]物品基础表!$B:$B,0)),"")</f>
        <v>战纹碎片（小）</v>
      </c>
      <c r="P46" s="1">
        <v>100</v>
      </c>
      <c r="Q46" s="1">
        <v>201002</v>
      </c>
      <c r="R46" s="1" t="str">
        <f>IFERROR(INDEX([1]物品基础表!$A:$A,MATCH(Q46,[1]物品基础表!$B:$B,0)),"")</f>
        <v>神秘钥匙</v>
      </c>
      <c r="S46" s="1">
        <v>1</v>
      </c>
    </row>
    <row r="47" spans="1:19">
      <c r="A47" s="32" t="str">
        <f>INDEX([2]活动总表!$A$8:$A$429,MATCH(B47,[2]活动总表!$B$8:$B$429,0))</f>
        <v>春节登录</v>
      </c>
      <c r="B47" s="1">
        <v>551</v>
      </c>
      <c r="C47" s="1">
        <v>3</v>
      </c>
      <c r="D47" s="1">
        <v>3</v>
      </c>
      <c r="E47" s="1">
        <v>2</v>
      </c>
      <c r="F47" s="1" t="s">
        <v>706</v>
      </c>
      <c r="G47" s="1">
        <v>1000</v>
      </c>
      <c r="H47" s="1">
        <v>200005</v>
      </c>
      <c r="I47" s="1" t="str">
        <f>IFERROR(INDEX([1]物品基础表!$A:$A,MATCH(H47,[1]物品基础表!$B:$B,0)),"")</f>
        <v>龙魂碎片</v>
      </c>
      <c r="J47" s="1">
        <v>18</v>
      </c>
      <c r="K47" s="1">
        <v>500004</v>
      </c>
      <c r="L47" s="1" t="str">
        <f>IFERROR(INDEX([1]物品基础表!$A:$A,MATCH(K47,[1]物品基础表!$B:$B,0)),"")</f>
        <v>战纹精华-橙</v>
      </c>
      <c r="M47" s="1">
        <v>4</v>
      </c>
      <c r="N47" s="1">
        <v>500011</v>
      </c>
      <c r="O47" s="1" t="str">
        <f>IFERROR(INDEX([1]物品基础表!$A:$A,MATCH(N47,[1]物品基础表!$B:$B,0)),"")</f>
        <v>战纹碎片（小）</v>
      </c>
      <c r="P47" s="1">
        <v>100</v>
      </c>
      <c r="Q47" s="1">
        <v>201002</v>
      </c>
      <c r="R47" s="1" t="str">
        <f>IFERROR(INDEX([1]物品基础表!$A:$A,MATCH(Q47,[1]物品基础表!$B:$B,0)),"")</f>
        <v>神秘钥匙</v>
      </c>
      <c r="S47" s="1">
        <v>1</v>
      </c>
    </row>
    <row r="48" spans="1:19">
      <c r="A48" s="32" t="str">
        <f>INDEX([2]活动总表!$A$8:$A$429,MATCH(B48,[2]活动总表!$B$8:$B$429,0))</f>
        <v>春节登录</v>
      </c>
      <c r="B48" s="1">
        <v>551</v>
      </c>
      <c r="C48" s="1">
        <v>4</v>
      </c>
      <c r="D48" s="1">
        <v>4</v>
      </c>
      <c r="E48" s="1">
        <v>200925</v>
      </c>
      <c r="F48" s="1" t="str">
        <f>IFERROR(INDEX([1]物品基础表!$A:$A,MATCH(E48,[1]物品基础表!$B:$B,0)),"")</f>
        <v>红色战纹任选宝箱</v>
      </c>
      <c r="G48" s="1">
        <v>1</v>
      </c>
      <c r="H48" s="1">
        <v>200005</v>
      </c>
      <c r="I48" s="1" t="str">
        <f>IFERROR(INDEX([1]物品基础表!$A:$A,MATCH(H48,[1]物品基础表!$B:$B,0)),"")</f>
        <v>龙魂碎片</v>
      </c>
      <c r="J48" s="1">
        <v>18</v>
      </c>
      <c r="K48" s="1">
        <v>500004</v>
      </c>
      <c r="L48" s="1" t="str">
        <f>IFERROR(INDEX([1]物品基础表!$A:$A,MATCH(K48,[1]物品基础表!$B:$B,0)),"")</f>
        <v>战纹精华-橙</v>
      </c>
      <c r="M48" s="1">
        <v>4</v>
      </c>
      <c r="N48" s="1">
        <v>500011</v>
      </c>
      <c r="O48" s="1" t="str">
        <f>IFERROR(INDEX([1]物品基础表!$A:$A,MATCH(N48,[1]物品基础表!$B:$B,0)),"")</f>
        <v>战纹碎片（小）</v>
      </c>
      <c r="P48" s="1">
        <v>100</v>
      </c>
      <c r="Q48" s="1">
        <v>201002</v>
      </c>
      <c r="R48" s="1" t="str">
        <f>IFERROR(INDEX([1]物品基础表!$A:$A,MATCH(Q48,[1]物品基础表!$B:$B,0)),"")</f>
        <v>神秘钥匙</v>
      </c>
      <c r="S48" s="1">
        <v>1</v>
      </c>
    </row>
    <row r="49" spans="1:19">
      <c r="A49" s="32" t="str">
        <f>INDEX([2]活动总表!$A$8:$A$429,MATCH(B49,[2]活动总表!$B$8:$B$429,0))</f>
        <v>春节登录</v>
      </c>
      <c r="B49" s="1">
        <v>551</v>
      </c>
      <c r="C49" s="1">
        <v>5</v>
      </c>
      <c r="D49" s="1">
        <v>5</v>
      </c>
      <c r="E49" s="1">
        <v>204065</v>
      </c>
      <c r="F49" s="1" t="str">
        <f>IFERROR(INDEX([1]物品基础表!$A:$A,MATCH(E49,[1]物品基础表!$B:$B,0)),"")</f>
        <v>超级转生轮回礼包</v>
      </c>
      <c r="G49" s="1">
        <v>1</v>
      </c>
      <c r="H49" s="1">
        <v>200005</v>
      </c>
      <c r="I49" s="1" t="str">
        <f>IFERROR(INDEX([1]物品基础表!$A:$A,MATCH(H49,[1]物品基础表!$B:$B,0)),"")</f>
        <v>龙魂碎片</v>
      </c>
      <c r="J49" s="1">
        <v>20</v>
      </c>
      <c r="K49" s="1">
        <v>500004</v>
      </c>
      <c r="L49" s="1" t="str">
        <f>IFERROR(INDEX([1]物品基础表!$A:$A,MATCH(K49,[1]物品基础表!$B:$B,0)),"")</f>
        <v>战纹精华-橙</v>
      </c>
      <c r="M49" s="1">
        <v>6</v>
      </c>
      <c r="N49" s="1">
        <v>500011</v>
      </c>
      <c r="O49" s="1" t="str">
        <f>IFERROR(INDEX([1]物品基础表!$A:$A,MATCH(N49,[1]物品基础表!$B:$B,0)),"")</f>
        <v>战纹碎片（小）</v>
      </c>
      <c r="P49" s="1">
        <v>100</v>
      </c>
      <c r="Q49" s="1">
        <v>200307</v>
      </c>
      <c r="R49" s="1" t="str">
        <f>IFERROR(INDEX([1]物品基础表!$A:$A,MATCH(Q49,[1]物品基础表!$B:$B,0)),"")</f>
        <v>神兵塔门票</v>
      </c>
      <c r="S49" s="1">
        <v>1</v>
      </c>
    </row>
    <row r="50" spans="1:19">
      <c r="A50" s="32" t="str">
        <f>INDEX([2]活动总表!$A$8:$A$429,MATCH(B50,[2]活动总表!$B$8:$B$429,0))</f>
        <v>春节登录</v>
      </c>
      <c r="B50" s="1">
        <v>551</v>
      </c>
      <c r="C50" s="1">
        <v>6</v>
      </c>
      <c r="D50" s="1">
        <v>6</v>
      </c>
      <c r="E50" s="1">
        <v>201011</v>
      </c>
      <c r="F50" s="1" t="str">
        <f>IFERROR(INDEX([1]物品基础表!$A:$A,MATCH(E50,[1]物品基础表!$B:$B,0)),"")</f>
        <v>橙色图鉴包·传奇盛世</v>
      </c>
      <c r="G50" s="1">
        <v>1</v>
      </c>
      <c r="H50" s="1">
        <v>200005</v>
      </c>
      <c r="I50" s="1" t="str">
        <f>IFERROR(INDEX([1]物品基础表!$A:$A,MATCH(H50,[1]物品基础表!$B:$B,0)),"")</f>
        <v>龙魂碎片</v>
      </c>
      <c r="J50" s="1">
        <v>20</v>
      </c>
      <c r="K50" s="1">
        <v>500004</v>
      </c>
      <c r="L50" s="1" t="str">
        <f>IFERROR(INDEX([1]物品基础表!$A:$A,MATCH(K50,[1]物品基础表!$B:$B,0)),"")</f>
        <v>战纹精华-橙</v>
      </c>
      <c r="M50" s="1">
        <v>6</v>
      </c>
      <c r="N50" s="1">
        <v>500011</v>
      </c>
      <c r="O50" s="1" t="str">
        <f>IFERROR(INDEX([1]物品基础表!$A:$A,MATCH(N50,[1]物品基础表!$B:$B,0)),"")</f>
        <v>战纹碎片（小）</v>
      </c>
      <c r="P50" s="1">
        <v>100</v>
      </c>
      <c r="Q50" s="1">
        <v>201002</v>
      </c>
      <c r="R50" s="1" t="str">
        <f>IFERROR(INDEX([1]物品基础表!$A:$A,MATCH(Q50,[1]物品基础表!$B:$B,0)),"")</f>
        <v>神秘钥匙</v>
      </c>
      <c r="S50" s="1">
        <v>1</v>
      </c>
    </row>
    <row r="51" spans="1:19">
      <c r="A51" s="32" t="str">
        <f>INDEX([2]活动总表!$A$8:$A$429,MATCH(B51,[2]活动总表!$B$8:$B$429,0))</f>
        <v>春节登录</v>
      </c>
      <c r="B51" s="1">
        <v>551</v>
      </c>
      <c r="C51" s="1">
        <v>7</v>
      </c>
      <c r="D51" s="1">
        <v>7</v>
      </c>
      <c r="E51" s="1">
        <v>2</v>
      </c>
      <c r="F51" s="1" t="s">
        <v>706</v>
      </c>
      <c r="G51" s="1">
        <v>1000</v>
      </c>
      <c r="H51" s="1">
        <v>200005</v>
      </c>
      <c r="I51" s="1" t="str">
        <f>IFERROR(INDEX([1]物品基础表!$A:$A,MATCH(H51,[1]物品基础表!$B:$B,0)),"")</f>
        <v>龙魂碎片</v>
      </c>
      <c r="J51" s="1">
        <v>20</v>
      </c>
      <c r="K51" s="1">
        <v>500004</v>
      </c>
      <c r="L51" s="1" t="str">
        <f>IFERROR(INDEX([1]物品基础表!$A:$A,MATCH(K51,[1]物品基础表!$B:$B,0)),"")</f>
        <v>战纹精华-橙</v>
      </c>
      <c r="M51" s="1">
        <v>8</v>
      </c>
      <c r="N51" s="1">
        <v>500011</v>
      </c>
      <c r="O51" s="1" t="str">
        <f>IFERROR(INDEX([1]物品基础表!$A:$A,MATCH(N51,[1]物品基础表!$B:$B,0)),"")</f>
        <v>战纹碎片（小）</v>
      </c>
      <c r="P51" s="1">
        <v>100</v>
      </c>
      <c r="Q51" s="1">
        <v>201002</v>
      </c>
      <c r="R51" s="1" t="str">
        <f>IFERROR(INDEX([1]物品基础表!$A:$A,MATCH(Q51,[1]物品基础表!$B:$B,0)),"")</f>
        <v>神秘钥匙</v>
      </c>
      <c r="S51" s="1">
        <v>1</v>
      </c>
    </row>
    <row r="52" spans="1:19">
      <c r="A52" s="32" t="str">
        <f>INDEX([2]活动总表!$A$8:$A$429,MATCH(B52,[2]活动总表!$B$8:$B$429,0))</f>
        <v>春节登录</v>
      </c>
      <c r="B52" s="1">
        <v>551</v>
      </c>
      <c r="C52" s="1">
        <v>8</v>
      </c>
      <c r="D52" s="1">
        <v>8</v>
      </c>
      <c r="E52" s="1">
        <v>131414</v>
      </c>
      <c r="F52" s="1" t="str">
        <f>IFERROR(INDEX([1]物品基础表!$A:$A,MATCH(E52,[1]物品基础表!$B:$B,0)),"")</f>
        <v>红色战士130级项链</v>
      </c>
      <c r="G52" s="1">
        <v>1</v>
      </c>
      <c r="H52" s="1">
        <v>200005</v>
      </c>
      <c r="I52" s="1" t="str">
        <f>IFERROR(INDEX([1]物品基础表!$A:$A,MATCH(H52,[1]物品基础表!$B:$B,0)),"")</f>
        <v>龙魂碎片</v>
      </c>
      <c r="J52" s="1">
        <v>20</v>
      </c>
      <c r="K52" s="1">
        <v>500004</v>
      </c>
      <c r="L52" s="1" t="str">
        <f>IFERROR(INDEX([1]物品基础表!$A:$A,MATCH(K52,[1]物品基础表!$B:$B,0)),"")</f>
        <v>战纹精华-橙</v>
      </c>
      <c r="M52" s="1">
        <v>8</v>
      </c>
      <c r="N52" s="1">
        <v>500011</v>
      </c>
      <c r="O52" s="1" t="str">
        <f>IFERROR(INDEX([1]物品基础表!$A:$A,MATCH(N52,[1]物品基础表!$B:$B,0)),"")</f>
        <v>战纹碎片（小）</v>
      </c>
      <c r="P52" s="1">
        <v>100</v>
      </c>
      <c r="Q52" s="1">
        <v>200307</v>
      </c>
      <c r="R52" s="1" t="str">
        <f>IFERROR(INDEX([1]物品基础表!$A:$A,MATCH(Q52,[1]物品基础表!$B:$B,0)),"")</f>
        <v>神兵塔门票</v>
      </c>
      <c r="S52" s="1">
        <v>1</v>
      </c>
    </row>
    <row r="53" spans="1:19">
      <c r="A53" s="32" t="str">
        <f>INDEX([2]活动总表!$A$8:$A$429,MATCH(B53,[2]活动总表!$B$8:$B$429,0))</f>
        <v>春节登录(1-30</v>
      </c>
      <c r="B53" s="1">
        <v>570</v>
      </c>
      <c r="C53" s="1">
        <v>1</v>
      </c>
      <c r="D53" s="1">
        <v>1</v>
      </c>
      <c r="E53" s="1">
        <v>200015</v>
      </c>
      <c r="F53" s="1" t="str">
        <f>IFERROR(INDEX([1]物品基础表!$A:$A,MATCH(E53,[1]物品基础表!$B:$B,0)),"")</f>
        <v>特戒碎片</v>
      </c>
      <c r="G53" s="1">
        <v>200</v>
      </c>
      <c r="H53" s="1">
        <v>200005</v>
      </c>
      <c r="I53" s="1" t="str">
        <f>IFERROR(INDEX([1]物品基础表!$A:$A,MATCH(H53,[1]物品基础表!$B:$B,0)),"")</f>
        <v>龙魂碎片</v>
      </c>
      <c r="J53" s="1">
        <v>10</v>
      </c>
      <c r="K53" s="1">
        <v>500004</v>
      </c>
      <c r="L53" s="1" t="str">
        <f>IFERROR(INDEX([1]物品基础表!$A:$A,MATCH(K53,[1]物品基础表!$B:$B,0)),"")</f>
        <v>战纹精华-橙</v>
      </c>
      <c r="M53" s="1">
        <v>2</v>
      </c>
      <c r="N53" s="1">
        <v>500011</v>
      </c>
      <c r="O53" s="1" t="str">
        <f>IFERROR(INDEX([1]物品基础表!$A:$A,MATCH(N53,[1]物品基础表!$B:$B,0)),"")</f>
        <v>战纹碎片（小）</v>
      </c>
      <c r="P53" s="1">
        <v>50</v>
      </c>
      <c r="Q53" s="1">
        <v>201002</v>
      </c>
      <c r="R53" s="1" t="str">
        <f>IFERROR(INDEX([1]物品基础表!$A:$A,MATCH(Q53,[1]物品基础表!$B:$B,0)),"")</f>
        <v>神秘钥匙</v>
      </c>
      <c r="S53" s="1">
        <v>1</v>
      </c>
    </row>
    <row r="54" spans="1:19">
      <c r="A54" s="32" t="str">
        <f>INDEX([2]活动总表!$A$8:$A$429,MATCH(B54,[2]活动总表!$B$8:$B$429,0))</f>
        <v>春节登录(1-30</v>
      </c>
      <c r="B54" s="1">
        <v>570</v>
      </c>
      <c r="C54" s="1">
        <v>2</v>
      </c>
      <c r="D54" s="1">
        <v>2</v>
      </c>
      <c r="E54" s="1">
        <v>200009</v>
      </c>
      <c r="F54" s="1" t="str">
        <f>IFERROR(INDEX([1]物品基础表!$A:$A,MATCH(E54,[1]物品基础表!$B:$B,0)),"")</f>
        <v>高级转生丹</v>
      </c>
      <c r="G54" s="1">
        <v>2</v>
      </c>
      <c r="H54" s="1">
        <v>200005</v>
      </c>
      <c r="I54" s="1" t="str">
        <f>IFERROR(INDEX([1]物品基础表!$A:$A,MATCH(H54,[1]物品基础表!$B:$B,0)),"")</f>
        <v>龙魂碎片</v>
      </c>
      <c r="J54" s="1">
        <v>10</v>
      </c>
      <c r="K54" s="1">
        <v>500004</v>
      </c>
      <c r="L54" s="1" t="str">
        <f>IFERROR(INDEX([1]物品基础表!$A:$A,MATCH(K54,[1]物品基础表!$B:$B,0)),"")</f>
        <v>战纹精华-橙</v>
      </c>
      <c r="M54" s="1">
        <v>2</v>
      </c>
      <c r="N54" s="1">
        <v>500011</v>
      </c>
      <c r="O54" s="1" t="str">
        <f>IFERROR(INDEX([1]物品基础表!$A:$A,MATCH(N54,[1]物品基础表!$B:$B,0)),"")</f>
        <v>战纹碎片（小）</v>
      </c>
      <c r="P54" s="1">
        <v>50</v>
      </c>
      <c r="Q54" s="1">
        <v>201002</v>
      </c>
      <c r="R54" s="1" t="str">
        <f>IFERROR(INDEX([1]物品基础表!$A:$A,MATCH(Q54,[1]物品基础表!$B:$B,0)),"")</f>
        <v>神秘钥匙</v>
      </c>
      <c r="S54" s="1">
        <v>1</v>
      </c>
    </row>
    <row r="55" spans="1:19">
      <c r="A55" s="32" t="str">
        <f>INDEX([2]活动总表!$A$8:$A$429,MATCH(B55,[2]活动总表!$B$8:$B$429,0))</f>
        <v>春节登录(1-30</v>
      </c>
      <c r="B55" s="1">
        <v>570</v>
      </c>
      <c r="C55" s="1">
        <v>3</v>
      </c>
      <c r="D55" s="1">
        <v>3</v>
      </c>
      <c r="E55" s="1">
        <v>2</v>
      </c>
      <c r="F55" s="1" t="s">
        <v>706</v>
      </c>
      <c r="G55" s="1">
        <v>1000</v>
      </c>
      <c r="H55" s="1">
        <v>200005</v>
      </c>
      <c r="I55" s="1" t="str">
        <f>IFERROR(INDEX([1]物品基础表!$A:$A,MATCH(H55,[1]物品基础表!$B:$B,0)),"")</f>
        <v>龙魂碎片</v>
      </c>
      <c r="J55" s="1">
        <v>12</v>
      </c>
      <c r="K55" s="1">
        <v>500004</v>
      </c>
      <c r="L55" s="1" t="str">
        <f>IFERROR(INDEX([1]物品基础表!$A:$A,MATCH(K55,[1]物品基础表!$B:$B,0)),"")</f>
        <v>战纹精华-橙</v>
      </c>
      <c r="M55" s="1">
        <v>4</v>
      </c>
      <c r="N55" s="1">
        <v>500011</v>
      </c>
      <c r="O55" s="1" t="str">
        <f>IFERROR(INDEX([1]物品基础表!$A:$A,MATCH(N55,[1]物品基础表!$B:$B,0)),"")</f>
        <v>战纹碎片（小）</v>
      </c>
      <c r="P55" s="1">
        <v>50</v>
      </c>
      <c r="Q55" s="1">
        <v>201002</v>
      </c>
      <c r="R55" s="1" t="str">
        <f>IFERROR(INDEX([1]物品基础表!$A:$A,MATCH(Q55,[1]物品基础表!$B:$B,0)),"")</f>
        <v>神秘钥匙</v>
      </c>
      <c r="S55" s="1">
        <v>1</v>
      </c>
    </row>
    <row r="56" spans="1:19">
      <c r="A56" s="32" t="str">
        <f>INDEX([2]活动总表!$A$8:$A$429,MATCH(B56,[2]活动总表!$B$8:$B$429,0))</f>
        <v>春节登录(1-30</v>
      </c>
      <c r="B56" s="1">
        <v>570</v>
      </c>
      <c r="C56" s="1">
        <v>4</v>
      </c>
      <c r="D56" s="1">
        <v>4</v>
      </c>
      <c r="E56" s="1">
        <v>201010</v>
      </c>
      <c r="F56" s="1" t="str">
        <f>IFERROR(INDEX([1]物品基础表!$A:$A,MATCH(E56,[1]物品基础表!$B:$B,0)),"")</f>
        <v>紫色图鉴包·传奇盛世</v>
      </c>
      <c r="G56" s="1">
        <v>1</v>
      </c>
      <c r="H56" s="1">
        <v>200005</v>
      </c>
      <c r="I56" s="1" t="str">
        <f>IFERROR(INDEX([1]物品基础表!$A:$A,MATCH(H56,[1]物品基础表!$B:$B,0)),"")</f>
        <v>龙魂碎片</v>
      </c>
      <c r="J56" s="1">
        <v>12</v>
      </c>
      <c r="K56" s="1">
        <v>500004</v>
      </c>
      <c r="L56" s="1" t="str">
        <f>IFERROR(INDEX([1]物品基础表!$A:$A,MATCH(K56,[1]物品基础表!$B:$B,0)),"")</f>
        <v>战纹精华-橙</v>
      </c>
      <c r="M56" s="1">
        <v>4</v>
      </c>
      <c r="N56" s="1">
        <v>500011</v>
      </c>
      <c r="O56" s="1" t="str">
        <f>IFERROR(INDEX([1]物品基础表!$A:$A,MATCH(N56,[1]物品基础表!$B:$B,0)),"")</f>
        <v>战纹碎片（小）</v>
      </c>
      <c r="P56" s="1">
        <v>50</v>
      </c>
      <c r="Q56" s="1">
        <v>201002</v>
      </c>
      <c r="R56" s="1" t="str">
        <f>IFERROR(INDEX([1]物品基础表!$A:$A,MATCH(Q56,[1]物品基础表!$B:$B,0)),"")</f>
        <v>神秘钥匙</v>
      </c>
      <c r="S56" s="1">
        <v>1</v>
      </c>
    </row>
    <row r="57" spans="1:19">
      <c r="A57" s="32" t="str">
        <f>INDEX([2]活动总表!$A$8:$A$429,MATCH(B57,[2]活动总表!$B$8:$B$429,0))</f>
        <v>春节登录(1-30</v>
      </c>
      <c r="B57" s="1">
        <v>570</v>
      </c>
      <c r="C57" s="1">
        <v>5</v>
      </c>
      <c r="D57" s="1">
        <v>5</v>
      </c>
      <c r="E57" s="1">
        <v>200009</v>
      </c>
      <c r="F57" s="1" t="str">
        <f>IFERROR(INDEX([1]物品基础表!$A:$A,MATCH(E57,[1]物品基础表!$B:$B,0)),"")</f>
        <v>高级转生丹</v>
      </c>
      <c r="G57" s="1">
        <v>5</v>
      </c>
      <c r="H57" s="1">
        <v>200005</v>
      </c>
      <c r="I57" s="1" t="str">
        <f>IFERROR(INDEX([1]物品基础表!$A:$A,MATCH(H57,[1]物品基础表!$B:$B,0)),"")</f>
        <v>龙魂碎片</v>
      </c>
      <c r="J57" s="1">
        <v>14</v>
      </c>
      <c r="K57" s="1">
        <v>500004</v>
      </c>
      <c r="L57" s="1" t="str">
        <f>IFERROR(INDEX([1]物品基础表!$A:$A,MATCH(K57,[1]物品基础表!$B:$B,0)),"")</f>
        <v>战纹精华-橙</v>
      </c>
      <c r="M57" s="1">
        <v>6</v>
      </c>
      <c r="N57" s="1">
        <v>500011</v>
      </c>
      <c r="O57" s="1" t="str">
        <f>IFERROR(INDEX([1]物品基础表!$A:$A,MATCH(N57,[1]物品基础表!$B:$B,0)),"")</f>
        <v>战纹碎片（小）</v>
      </c>
      <c r="P57" s="1">
        <v>50</v>
      </c>
      <c r="Q57" s="1">
        <v>200307</v>
      </c>
      <c r="R57" s="1" t="str">
        <f>IFERROR(INDEX([1]物品基础表!$A:$A,MATCH(Q57,[1]物品基础表!$B:$B,0)),"")</f>
        <v>神兵塔门票</v>
      </c>
      <c r="S57" s="1">
        <v>1</v>
      </c>
    </row>
    <row r="58" spans="1:19">
      <c r="A58" s="32" t="str">
        <f>INDEX([2]活动总表!$A$8:$A$429,MATCH(B58,[2]活动总表!$B$8:$B$429,0))</f>
        <v>春节登录(1-30</v>
      </c>
      <c r="B58" s="1">
        <v>570</v>
      </c>
      <c r="C58" s="1">
        <v>6</v>
      </c>
      <c r="D58" s="1">
        <v>6</v>
      </c>
      <c r="E58" s="1">
        <v>201011</v>
      </c>
      <c r="F58" s="1" t="str">
        <f>IFERROR(INDEX([1]物品基础表!$A:$A,MATCH(E58,[1]物品基础表!$B:$B,0)),"")</f>
        <v>橙色图鉴包·传奇盛世</v>
      </c>
      <c r="G58" s="1">
        <v>1</v>
      </c>
      <c r="H58" s="1">
        <v>200005</v>
      </c>
      <c r="I58" s="1" t="str">
        <f>IFERROR(INDEX([1]物品基础表!$A:$A,MATCH(H58,[1]物品基础表!$B:$B,0)),"")</f>
        <v>龙魂碎片</v>
      </c>
      <c r="J58" s="1">
        <v>14</v>
      </c>
      <c r="K58" s="1">
        <v>500004</v>
      </c>
      <c r="L58" s="1" t="str">
        <f>IFERROR(INDEX([1]物品基础表!$A:$A,MATCH(K58,[1]物品基础表!$B:$B,0)),"")</f>
        <v>战纹精华-橙</v>
      </c>
      <c r="M58" s="1">
        <v>6</v>
      </c>
      <c r="N58" s="1">
        <v>500011</v>
      </c>
      <c r="O58" s="1" t="str">
        <f>IFERROR(INDEX([1]物品基础表!$A:$A,MATCH(N58,[1]物品基础表!$B:$B,0)),"")</f>
        <v>战纹碎片（小）</v>
      </c>
      <c r="P58" s="1">
        <v>50</v>
      </c>
      <c r="Q58" s="1">
        <v>201002</v>
      </c>
      <c r="R58" s="1" t="str">
        <f>IFERROR(INDEX([1]物品基础表!$A:$A,MATCH(Q58,[1]物品基础表!$B:$B,0)),"")</f>
        <v>神秘钥匙</v>
      </c>
      <c r="S58" s="1">
        <v>1</v>
      </c>
    </row>
    <row r="59" spans="1:19">
      <c r="A59" s="32" t="str">
        <f>INDEX([2]活动总表!$A$8:$A$429,MATCH(B59,[2]活动总表!$B$8:$B$429,0))</f>
        <v>春节登录(1-30</v>
      </c>
      <c r="B59" s="1">
        <v>570</v>
      </c>
      <c r="C59" s="1">
        <v>7</v>
      </c>
      <c r="D59" s="1">
        <v>7</v>
      </c>
      <c r="E59" s="1">
        <v>2</v>
      </c>
      <c r="F59" s="1" t="s">
        <v>706</v>
      </c>
      <c r="G59" s="1">
        <v>1000</v>
      </c>
      <c r="H59" s="1">
        <v>200005</v>
      </c>
      <c r="I59" s="1" t="str">
        <f>IFERROR(INDEX([1]物品基础表!$A:$A,MATCH(H59,[1]物品基础表!$B:$B,0)),"")</f>
        <v>龙魂碎片</v>
      </c>
      <c r="J59" s="1">
        <v>16</v>
      </c>
      <c r="K59" s="1">
        <v>500004</v>
      </c>
      <c r="L59" s="1" t="str">
        <f>IFERROR(INDEX([1]物品基础表!$A:$A,MATCH(K59,[1]物品基础表!$B:$B,0)),"")</f>
        <v>战纹精华-橙</v>
      </c>
      <c r="M59" s="1">
        <v>8</v>
      </c>
      <c r="N59" s="1">
        <v>500011</v>
      </c>
      <c r="O59" s="1" t="str">
        <f>IFERROR(INDEX([1]物品基础表!$A:$A,MATCH(N59,[1]物品基础表!$B:$B,0)),"")</f>
        <v>战纹碎片（小）</v>
      </c>
      <c r="P59" s="1">
        <v>50</v>
      </c>
      <c r="Q59" s="1">
        <v>201002</v>
      </c>
      <c r="R59" s="1" t="str">
        <f>IFERROR(INDEX([1]物品基础表!$A:$A,MATCH(Q59,[1]物品基础表!$B:$B,0)),"")</f>
        <v>神秘钥匙</v>
      </c>
      <c r="S59" s="1">
        <v>1</v>
      </c>
    </row>
    <row r="60" spans="1:19">
      <c r="A60" s="32" t="str">
        <f>INDEX([2]活动总表!$A$8:$A$429,MATCH(B60,[2]活动总表!$B$8:$B$429,0))</f>
        <v>春节登录(1-30</v>
      </c>
      <c r="B60" s="1">
        <v>570</v>
      </c>
      <c r="C60" s="1">
        <v>8</v>
      </c>
      <c r="D60" s="1">
        <v>8</v>
      </c>
      <c r="E60" s="1">
        <v>131412</v>
      </c>
      <c r="F60" s="1" t="str">
        <f>IFERROR(INDEX([1]物品基础表!$A:$A,MATCH(E60,[1]物品基础表!$B:$B,0)),"")</f>
        <v>红色战士110级项链</v>
      </c>
      <c r="G60" s="1">
        <v>1</v>
      </c>
      <c r="H60" s="1">
        <v>200005</v>
      </c>
      <c r="I60" s="1" t="str">
        <f>IFERROR(INDEX([1]物品基础表!$A:$A,MATCH(H60,[1]物品基础表!$B:$B,0)),"")</f>
        <v>龙魂碎片</v>
      </c>
      <c r="J60" s="1">
        <v>16</v>
      </c>
      <c r="K60" s="1">
        <v>500004</v>
      </c>
      <c r="L60" s="1" t="str">
        <f>IFERROR(INDEX([1]物品基础表!$A:$A,MATCH(K60,[1]物品基础表!$B:$B,0)),"")</f>
        <v>战纹精华-橙</v>
      </c>
      <c r="M60" s="1">
        <v>8</v>
      </c>
      <c r="N60" s="1">
        <v>500011</v>
      </c>
      <c r="O60" s="1" t="str">
        <f>IFERROR(INDEX([1]物品基础表!$A:$A,MATCH(N60,[1]物品基础表!$B:$B,0)),"")</f>
        <v>战纹碎片（小）</v>
      </c>
      <c r="P60" s="1">
        <v>50</v>
      </c>
      <c r="Q60" s="1">
        <v>200307</v>
      </c>
      <c r="R60" s="1" t="str">
        <f>IFERROR(INDEX([1]物品基础表!$A:$A,MATCH(Q60,[1]物品基础表!$B:$B,0)),"")</f>
        <v>神兵塔门票</v>
      </c>
      <c r="S60" s="1">
        <v>1</v>
      </c>
    </row>
    <row r="61" spans="1:19">
      <c r="A61" s="32" t="str">
        <f>INDEX([2]活动总表!$A$8:$A$429,MATCH(B61,[2]活动总表!$B$8:$B$429,0))</f>
        <v>春节登录(31-60</v>
      </c>
      <c r="B61" s="1">
        <v>571</v>
      </c>
      <c r="C61" s="1">
        <v>1</v>
      </c>
      <c r="D61" s="1">
        <v>1</v>
      </c>
      <c r="E61" s="1">
        <v>200015</v>
      </c>
      <c r="F61" s="1" t="str">
        <f>IFERROR(INDEX([1]物品基础表!$A:$A,MATCH(E61,[1]物品基础表!$B:$B,0)),"")</f>
        <v>特戒碎片</v>
      </c>
      <c r="G61" s="1">
        <v>400</v>
      </c>
      <c r="H61" s="1">
        <v>200005</v>
      </c>
      <c r="I61" s="1" t="str">
        <f>IFERROR(INDEX([1]物品基础表!$A:$A,MATCH(H61,[1]物品基础表!$B:$B,0)),"")</f>
        <v>龙魂碎片</v>
      </c>
      <c r="J61" s="1">
        <v>12</v>
      </c>
      <c r="K61" s="1">
        <v>500004</v>
      </c>
      <c r="L61" s="1" t="str">
        <f>IFERROR(INDEX([1]物品基础表!$A:$A,MATCH(K61,[1]物品基础表!$B:$B,0)),"")</f>
        <v>战纹精华-橙</v>
      </c>
      <c r="M61" s="1">
        <v>2</v>
      </c>
      <c r="N61" s="1">
        <v>500011</v>
      </c>
      <c r="O61" s="1" t="str">
        <f>IFERROR(INDEX([1]物品基础表!$A:$A,MATCH(N61,[1]物品基础表!$B:$B,0)),"")</f>
        <v>战纹碎片（小）</v>
      </c>
      <c r="P61" s="1">
        <v>80</v>
      </c>
      <c r="Q61" s="1">
        <v>201002</v>
      </c>
      <c r="R61" s="1" t="str">
        <f>IFERROR(INDEX([1]物品基础表!$A:$A,MATCH(Q61,[1]物品基础表!$B:$B,0)),"")</f>
        <v>神秘钥匙</v>
      </c>
      <c r="S61" s="1">
        <v>1</v>
      </c>
    </row>
    <row r="62" spans="1:19">
      <c r="A62" s="32" t="str">
        <f>INDEX([2]活动总表!$A$8:$A$429,MATCH(B62,[2]活动总表!$B$8:$B$429,0))</f>
        <v>春节登录(31-60</v>
      </c>
      <c r="B62" s="1">
        <v>571</v>
      </c>
      <c r="C62" s="1">
        <v>2</v>
      </c>
      <c r="D62" s="1">
        <v>2</v>
      </c>
      <c r="E62" s="1">
        <v>200009</v>
      </c>
      <c r="F62" s="1" t="str">
        <f>IFERROR(INDEX([1]物品基础表!$A:$A,MATCH(E62,[1]物品基础表!$B:$B,0)),"")</f>
        <v>高级转生丹</v>
      </c>
      <c r="G62" s="1">
        <v>5</v>
      </c>
      <c r="H62" s="1">
        <v>200005</v>
      </c>
      <c r="I62" s="1" t="str">
        <f>IFERROR(INDEX([1]物品基础表!$A:$A,MATCH(H62,[1]物品基础表!$B:$B,0)),"")</f>
        <v>龙魂碎片</v>
      </c>
      <c r="J62" s="1">
        <v>12</v>
      </c>
      <c r="K62" s="1">
        <v>500004</v>
      </c>
      <c r="L62" s="1" t="str">
        <f>IFERROR(INDEX([1]物品基础表!$A:$A,MATCH(K62,[1]物品基础表!$B:$B,0)),"")</f>
        <v>战纹精华-橙</v>
      </c>
      <c r="M62" s="1">
        <v>2</v>
      </c>
      <c r="N62" s="1">
        <v>500011</v>
      </c>
      <c r="O62" s="1" t="str">
        <f>IFERROR(INDEX([1]物品基础表!$A:$A,MATCH(N62,[1]物品基础表!$B:$B,0)),"")</f>
        <v>战纹碎片（小）</v>
      </c>
      <c r="P62" s="1">
        <v>80</v>
      </c>
      <c r="Q62" s="1">
        <v>201002</v>
      </c>
      <c r="R62" s="1" t="str">
        <f>IFERROR(INDEX([1]物品基础表!$A:$A,MATCH(Q62,[1]物品基础表!$B:$B,0)),"")</f>
        <v>神秘钥匙</v>
      </c>
      <c r="S62" s="1">
        <v>1</v>
      </c>
    </row>
    <row r="63" spans="1:19">
      <c r="A63" s="32" t="str">
        <f>INDEX([2]活动总表!$A$8:$A$429,MATCH(B63,[2]活动总表!$B$8:$B$429,0))</f>
        <v>春节登录(31-60</v>
      </c>
      <c r="B63" s="1">
        <v>571</v>
      </c>
      <c r="C63" s="1">
        <v>3</v>
      </c>
      <c r="D63" s="1">
        <v>3</v>
      </c>
      <c r="E63" s="1">
        <v>2</v>
      </c>
      <c r="F63" s="1" t="s">
        <v>706</v>
      </c>
      <c r="G63" s="1">
        <v>1000</v>
      </c>
      <c r="H63" s="1">
        <v>200005</v>
      </c>
      <c r="I63" s="1" t="str">
        <f>IFERROR(INDEX([1]物品基础表!$A:$A,MATCH(H63,[1]物品基础表!$B:$B,0)),"")</f>
        <v>龙魂碎片</v>
      </c>
      <c r="J63" s="1">
        <v>14</v>
      </c>
      <c r="K63" s="1">
        <v>500004</v>
      </c>
      <c r="L63" s="1" t="str">
        <f>IFERROR(INDEX([1]物品基础表!$A:$A,MATCH(K63,[1]物品基础表!$B:$B,0)),"")</f>
        <v>战纹精华-橙</v>
      </c>
      <c r="M63" s="1">
        <v>4</v>
      </c>
      <c r="N63" s="1">
        <v>500011</v>
      </c>
      <c r="O63" s="1" t="str">
        <f>IFERROR(INDEX([1]物品基础表!$A:$A,MATCH(N63,[1]物品基础表!$B:$B,0)),"")</f>
        <v>战纹碎片（小）</v>
      </c>
      <c r="P63" s="1">
        <v>80</v>
      </c>
      <c r="Q63" s="1">
        <v>201002</v>
      </c>
      <c r="R63" s="1" t="str">
        <f>IFERROR(INDEX([1]物品基础表!$A:$A,MATCH(Q63,[1]物品基础表!$B:$B,0)),"")</f>
        <v>神秘钥匙</v>
      </c>
      <c r="S63" s="1">
        <v>1</v>
      </c>
    </row>
    <row r="64" spans="1:19">
      <c r="A64" s="32" t="str">
        <f>INDEX([2]活动总表!$A$8:$A$429,MATCH(B64,[2]活动总表!$B$8:$B$429,0))</f>
        <v>春节登录(31-60</v>
      </c>
      <c r="B64" s="1">
        <v>571</v>
      </c>
      <c r="C64" s="1">
        <v>4</v>
      </c>
      <c r="D64" s="1">
        <v>4</v>
      </c>
      <c r="E64" s="1">
        <v>201011</v>
      </c>
      <c r="F64" s="1" t="str">
        <f>IFERROR(INDEX([1]物品基础表!$A:$A,MATCH(E64,[1]物品基础表!$B:$B,0)),"")</f>
        <v>橙色图鉴包·传奇盛世</v>
      </c>
      <c r="G64" s="1">
        <v>1</v>
      </c>
      <c r="H64" s="1">
        <v>200005</v>
      </c>
      <c r="I64" s="1" t="str">
        <f>IFERROR(INDEX([1]物品基础表!$A:$A,MATCH(H64,[1]物品基础表!$B:$B,0)),"")</f>
        <v>龙魂碎片</v>
      </c>
      <c r="J64" s="1">
        <v>14</v>
      </c>
      <c r="K64" s="1">
        <v>500004</v>
      </c>
      <c r="L64" s="1" t="str">
        <f>IFERROR(INDEX([1]物品基础表!$A:$A,MATCH(K64,[1]物品基础表!$B:$B,0)),"")</f>
        <v>战纹精华-橙</v>
      </c>
      <c r="M64" s="1">
        <v>4</v>
      </c>
      <c r="N64" s="1">
        <v>500011</v>
      </c>
      <c r="O64" s="1" t="str">
        <f>IFERROR(INDEX([1]物品基础表!$A:$A,MATCH(N64,[1]物品基础表!$B:$B,0)),"")</f>
        <v>战纹碎片（小）</v>
      </c>
      <c r="P64" s="1">
        <v>80</v>
      </c>
      <c r="Q64" s="1">
        <v>201002</v>
      </c>
      <c r="R64" s="1" t="str">
        <f>IFERROR(INDEX([1]物品基础表!$A:$A,MATCH(Q64,[1]物品基础表!$B:$B,0)),"")</f>
        <v>神秘钥匙</v>
      </c>
      <c r="S64" s="1">
        <v>1</v>
      </c>
    </row>
    <row r="65" spans="1:19">
      <c r="A65" s="32" t="str">
        <f>INDEX([2]活动总表!$A$8:$A$429,MATCH(B65,[2]活动总表!$B$8:$B$429,0))</f>
        <v>春节登录(31-60</v>
      </c>
      <c r="B65" s="1">
        <v>571</v>
      </c>
      <c r="C65" s="1">
        <v>5</v>
      </c>
      <c r="D65" s="1">
        <v>5</v>
      </c>
      <c r="E65" s="1">
        <v>200009</v>
      </c>
      <c r="F65" s="1" t="str">
        <f>IFERROR(INDEX([1]物品基础表!$A:$A,MATCH(E65,[1]物品基础表!$B:$B,0)),"")</f>
        <v>高级转生丹</v>
      </c>
      <c r="G65" s="1">
        <v>8</v>
      </c>
      <c r="H65" s="1">
        <v>200005</v>
      </c>
      <c r="I65" s="1" t="str">
        <f>IFERROR(INDEX([1]物品基础表!$A:$A,MATCH(H65,[1]物品基础表!$B:$B,0)),"")</f>
        <v>龙魂碎片</v>
      </c>
      <c r="J65" s="1">
        <v>16</v>
      </c>
      <c r="K65" s="1">
        <v>500004</v>
      </c>
      <c r="L65" s="1" t="str">
        <f>IFERROR(INDEX([1]物品基础表!$A:$A,MATCH(K65,[1]物品基础表!$B:$B,0)),"")</f>
        <v>战纹精华-橙</v>
      </c>
      <c r="M65" s="1">
        <v>6</v>
      </c>
      <c r="N65" s="1">
        <v>500011</v>
      </c>
      <c r="O65" s="1" t="str">
        <f>IFERROR(INDEX([1]物品基础表!$A:$A,MATCH(N65,[1]物品基础表!$B:$B,0)),"")</f>
        <v>战纹碎片（小）</v>
      </c>
      <c r="P65" s="1">
        <v>80</v>
      </c>
      <c r="Q65" s="1">
        <v>200307</v>
      </c>
      <c r="R65" s="1" t="str">
        <f>IFERROR(INDEX([1]物品基础表!$A:$A,MATCH(Q65,[1]物品基础表!$B:$B,0)),"")</f>
        <v>神兵塔门票</v>
      </c>
      <c r="S65" s="1">
        <v>1</v>
      </c>
    </row>
    <row r="66" spans="1:19">
      <c r="A66" s="32" t="str">
        <f>INDEX([2]活动总表!$A$8:$A$429,MATCH(B66,[2]活动总表!$B$8:$B$429,0))</f>
        <v>春节登录(31-60</v>
      </c>
      <c r="B66" s="1">
        <v>571</v>
      </c>
      <c r="C66" s="1">
        <v>6</v>
      </c>
      <c r="D66" s="1">
        <v>6</v>
      </c>
      <c r="E66" s="1">
        <v>201011</v>
      </c>
      <c r="F66" s="1" t="str">
        <f>IFERROR(INDEX([1]物品基础表!$A:$A,MATCH(E66,[1]物品基础表!$B:$B,0)),"")</f>
        <v>橙色图鉴包·传奇盛世</v>
      </c>
      <c r="G66" s="1">
        <v>1</v>
      </c>
      <c r="H66" s="1">
        <v>200005</v>
      </c>
      <c r="I66" s="1" t="str">
        <f>IFERROR(INDEX([1]物品基础表!$A:$A,MATCH(H66,[1]物品基础表!$B:$B,0)),"")</f>
        <v>龙魂碎片</v>
      </c>
      <c r="J66" s="1">
        <v>16</v>
      </c>
      <c r="K66" s="1">
        <v>500004</v>
      </c>
      <c r="L66" s="1" t="str">
        <f>IFERROR(INDEX([1]物品基础表!$A:$A,MATCH(K66,[1]物品基础表!$B:$B,0)),"")</f>
        <v>战纹精华-橙</v>
      </c>
      <c r="M66" s="1">
        <v>6</v>
      </c>
      <c r="N66" s="1">
        <v>500011</v>
      </c>
      <c r="O66" s="1" t="str">
        <f>IFERROR(INDEX([1]物品基础表!$A:$A,MATCH(N66,[1]物品基础表!$B:$B,0)),"")</f>
        <v>战纹碎片（小）</v>
      </c>
      <c r="P66" s="1">
        <v>80</v>
      </c>
      <c r="Q66" s="1">
        <v>201002</v>
      </c>
      <c r="R66" s="1" t="str">
        <f>IFERROR(INDEX([1]物品基础表!$A:$A,MATCH(Q66,[1]物品基础表!$B:$B,0)),"")</f>
        <v>神秘钥匙</v>
      </c>
      <c r="S66" s="1">
        <v>1</v>
      </c>
    </row>
    <row r="67" spans="1:19">
      <c r="A67" s="32" t="str">
        <f>INDEX([2]活动总表!$A$8:$A$429,MATCH(B67,[2]活动总表!$B$8:$B$429,0))</f>
        <v>春节登录(31-60</v>
      </c>
      <c r="B67" s="1">
        <v>571</v>
      </c>
      <c r="C67" s="1">
        <v>7</v>
      </c>
      <c r="D67" s="1">
        <v>7</v>
      </c>
      <c r="E67" s="1">
        <v>2</v>
      </c>
      <c r="F67" s="1" t="s">
        <v>706</v>
      </c>
      <c r="G67" s="1">
        <v>1000</v>
      </c>
      <c r="H67" s="1">
        <v>200005</v>
      </c>
      <c r="I67" s="1" t="str">
        <f>IFERROR(INDEX([1]物品基础表!$A:$A,MATCH(H67,[1]物品基础表!$B:$B,0)),"")</f>
        <v>龙魂碎片</v>
      </c>
      <c r="J67" s="1">
        <v>18</v>
      </c>
      <c r="K67" s="1">
        <v>500004</v>
      </c>
      <c r="L67" s="1" t="str">
        <f>IFERROR(INDEX([1]物品基础表!$A:$A,MATCH(K67,[1]物品基础表!$B:$B,0)),"")</f>
        <v>战纹精华-橙</v>
      </c>
      <c r="M67" s="1">
        <v>8</v>
      </c>
      <c r="N67" s="1">
        <v>500011</v>
      </c>
      <c r="O67" s="1" t="str">
        <f>IFERROR(INDEX([1]物品基础表!$A:$A,MATCH(N67,[1]物品基础表!$B:$B,0)),"")</f>
        <v>战纹碎片（小）</v>
      </c>
      <c r="P67" s="1">
        <v>80</v>
      </c>
      <c r="Q67" s="1">
        <v>201002</v>
      </c>
      <c r="R67" s="1" t="str">
        <f>IFERROR(INDEX([1]物品基础表!$A:$A,MATCH(Q67,[1]物品基础表!$B:$B,0)),"")</f>
        <v>神秘钥匙</v>
      </c>
      <c r="S67" s="1">
        <v>1</v>
      </c>
    </row>
    <row r="68" spans="1:19">
      <c r="A68" s="32" t="str">
        <f>INDEX([2]活动总表!$A$8:$A$429,MATCH(B68,[2]活动总表!$B$8:$B$429,0))</f>
        <v>春节登录(31-60</v>
      </c>
      <c r="B68" s="1">
        <v>571</v>
      </c>
      <c r="C68" s="1">
        <v>8</v>
      </c>
      <c r="D68" s="1">
        <v>8</v>
      </c>
      <c r="E68" s="1">
        <v>131413</v>
      </c>
      <c r="F68" s="1" t="str">
        <f>IFERROR(INDEX([1]物品基础表!$A:$A,MATCH(E68,[1]物品基础表!$B:$B,0)),"")</f>
        <v>红色战士120级项链</v>
      </c>
      <c r="G68" s="1">
        <v>1</v>
      </c>
      <c r="H68" s="1">
        <v>200005</v>
      </c>
      <c r="I68" s="1" t="str">
        <f>IFERROR(INDEX([1]物品基础表!$A:$A,MATCH(H68,[1]物品基础表!$B:$B,0)),"")</f>
        <v>龙魂碎片</v>
      </c>
      <c r="J68" s="1">
        <v>18</v>
      </c>
      <c r="K68" s="1">
        <v>500004</v>
      </c>
      <c r="L68" s="1" t="str">
        <f>IFERROR(INDEX([1]物品基础表!$A:$A,MATCH(K68,[1]物品基础表!$B:$B,0)),"")</f>
        <v>战纹精华-橙</v>
      </c>
      <c r="M68" s="1">
        <v>8</v>
      </c>
      <c r="N68" s="1">
        <v>500011</v>
      </c>
      <c r="O68" s="1" t="str">
        <f>IFERROR(INDEX([1]物品基础表!$A:$A,MATCH(N68,[1]物品基础表!$B:$B,0)),"")</f>
        <v>战纹碎片（小）</v>
      </c>
      <c r="P68" s="1">
        <v>80</v>
      </c>
      <c r="Q68" s="1">
        <v>200307</v>
      </c>
      <c r="R68" s="1" t="str">
        <f>IFERROR(INDEX([1]物品基础表!$A:$A,MATCH(Q68,[1]物品基础表!$B:$B,0)),"")</f>
        <v>神兵塔门票</v>
      </c>
      <c r="S68" s="1">
        <v>1</v>
      </c>
    </row>
    <row r="69" spans="1:19">
      <c r="A69" s="32" t="str">
        <f>INDEX([2]活动总表!$A$8:$A$429,MATCH(B69,[2]活动总表!$B$8:$B$429,0))</f>
        <v>春节登录(61+</v>
      </c>
      <c r="B69" s="1">
        <v>572</v>
      </c>
      <c r="C69" s="1">
        <v>1</v>
      </c>
      <c r="D69" s="1">
        <v>1</v>
      </c>
      <c r="E69" s="1">
        <v>200015</v>
      </c>
      <c r="F69" s="1" t="str">
        <f>IFERROR(INDEX([1]物品基础表!$A:$A,MATCH(E69,[1]物品基础表!$B:$B,0)),"")</f>
        <v>特戒碎片</v>
      </c>
      <c r="G69" s="1">
        <v>500</v>
      </c>
      <c r="H69" s="1">
        <v>200005</v>
      </c>
      <c r="I69" s="1" t="str">
        <f>IFERROR(INDEX([1]物品基础表!$A:$A,MATCH(H69,[1]物品基础表!$B:$B,0)),"")</f>
        <v>龙魂碎片</v>
      </c>
      <c r="J69" s="1">
        <v>15</v>
      </c>
      <c r="K69" s="1">
        <v>500004</v>
      </c>
      <c r="L69" s="1" t="str">
        <f>IFERROR(INDEX([1]物品基础表!$A:$A,MATCH(K69,[1]物品基础表!$B:$B,0)),"")</f>
        <v>战纹精华-橙</v>
      </c>
      <c r="M69" s="1">
        <v>2</v>
      </c>
      <c r="N69" s="1">
        <v>500011</v>
      </c>
      <c r="O69" s="1" t="str">
        <f>IFERROR(INDEX([1]物品基础表!$A:$A,MATCH(N69,[1]物品基础表!$B:$B,0)),"")</f>
        <v>战纹碎片（小）</v>
      </c>
      <c r="P69" s="1">
        <v>100</v>
      </c>
      <c r="Q69" s="1">
        <v>201002</v>
      </c>
      <c r="R69" s="1" t="str">
        <f>IFERROR(INDEX([1]物品基础表!$A:$A,MATCH(Q69,[1]物品基础表!$B:$B,0)),"")</f>
        <v>神秘钥匙</v>
      </c>
      <c r="S69" s="1">
        <v>1</v>
      </c>
    </row>
    <row r="70" spans="1:19">
      <c r="A70" s="32" t="str">
        <f>INDEX([2]活动总表!$A$8:$A$429,MATCH(B70,[2]活动总表!$B$8:$B$429,0))</f>
        <v>春节登录(61+</v>
      </c>
      <c r="B70" s="1">
        <v>572</v>
      </c>
      <c r="C70" s="1">
        <v>2</v>
      </c>
      <c r="D70" s="1">
        <v>2</v>
      </c>
      <c r="E70" s="1">
        <v>204064</v>
      </c>
      <c r="F70" s="1" t="str">
        <f>IFERROR(INDEX([1]物品基础表!$A:$A,MATCH(E70,[1]物品基础表!$B:$B,0)),"")</f>
        <v>高级转生轮回礼包</v>
      </c>
      <c r="G70" s="1">
        <v>8</v>
      </c>
      <c r="H70" s="1">
        <v>200005</v>
      </c>
      <c r="I70" s="1" t="str">
        <f>IFERROR(INDEX([1]物品基础表!$A:$A,MATCH(H70,[1]物品基础表!$B:$B,0)),"")</f>
        <v>龙魂碎片</v>
      </c>
      <c r="J70" s="1">
        <v>15</v>
      </c>
      <c r="K70" s="1">
        <v>500004</v>
      </c>
      <c r="L70" s="1" t="str">
        <f>IFERROR(INDEX([1]物品基础表!$A:$A,MATCH(K70,[1]物品基础表!$B:$B,0)),"")</f>
        <v>战纹精华-橙</v>
      </c>
      <c r="M70" s="1">
        <v>2</v>
      </c>
      <c r="N70" s="1">
        <v>500011</v>
      </c>
      <c r="O70" s="1" t="str">
        <f>IFERROR(INDEX([1]物品基础表!$A:$A,MATCH(N70,[1]物品基础表!$B:$B,0)),"")</f>
        <v>战纹碎片（小）</v>
      </c>
      <c r="P70" s="1">
        <v>100</v>
      </c>
      <c r="Q70" s="1">
        <v>201002</v>
      </c>
      <c r="R70" s="1" t="str">
        <f>IFERROR(INDEX([1]物品基础表!$A:$A,MATCH(Q70,[1]物品基础表!$B:$B,0)),"")</f>
        <v>神秘钥匙</v>
      </c>
      <c r="S70" s="1">
        <v>1</v>
      </c>
    </row>
    <row r="71" spans="1:19">
      <c r="A71" s="32" t="str">
        <f>INDEX([2]活动总表!$A$8:$A$429,MATCH(B71,[2]活动总表!$B$8:$B$429,0))</f>
        <v>春节登录(61+</v>
      </c>
      <c r="B71" s="1">
        <v>572</v>
      </c>
      <c r="C71" s="1">
        <v>3</v>
      </c>
      <c r="D71" s="1">
        <v>3</v>
      </c>
      <c r="E71" s="1">
        <v>2</v>
      </c>
      <c r="F71" s="1" t="s">
        <v>706</v>
      </c>
      <c r="G71" s="1">
        <v>1000</v>
      </c>
      <c r="H71" s="1">
        <v>200005</v>
      </c>
      <c r="I71" s="1" t="str">
        <f>IFERROR(INDEX([1]物品基础表!$A:$A,MATCH(H71,[1]物品基础表!$B:$B,0)),"")</f>
        <v>龙魂碎片</v>
      </c>
      <c r="J71" s="1">
        <v>18</v>
      </c>
      <c r="K71" s="1">
        <v>500004</v>
      </c>
      <c r="L71" s="1" t="str">
        <f>IFERROR(INDEX([1]物品基础表!$A:$A,MATCH(K71,[1]物品基础表!$B:$B,0)),"")</f>
        <v>战纹精华-橙</v>
      </c>
      <c r="M71" s="1">
        <v>4</v>
      </c>
      <c r="N71" s="1">
        <v>500011</v>
      </c>
      <c r="O71" s="1" t="str">
        <f>IFERROR(INDEX([1]物品基础表!$A:$A,MATCH(N71,[1]物品基础表!$B:$B,0)),"")</f>
        <v>战纹碎片（小）</v>
      </c>
      <c r="P71" s="1">
        <v>100</v>
      </c>
      <c r="Q71" s="1">
        <v>201002</v>
      </c>
      <c r="R71" s="1" t="str">
        <f>IFERROR(INDEX([1]物品基础表!$A:$A,MATCH(Q71,[1]物品基础表!$B:$B,0)),"")</f>
        <v>神秘钥匙</v>
      </c>
      <c r="S71" s="1">
        <v>1</v>
      </c>
    </row>
    <row r="72" spans="1:19">
      <c r="A72" s="32" t="str">
        <f>INDEX([2]活动总表!$A$8:$A$429,MATCH(B72,[2]活动总表!$B$8:$B$429,0))</f>
        <v>春节登录(61+</v>
      </c>
      <c r="B72" s="1">
        <v>572</v>
      </c>
      <c r="C72" s="1">
        <v>4</v>
      </c>
      <c r="D72" s="1">
        <v>4</v>
      </c>
      <c r="E72" s="1">
        <v>200925</v>
      </c>
      <c r="F72" s="1" t="str">
        <f>IFERROR(INDEX([1]物品基础表!$A:$A,MATCH(E72,[1]物品基础表!$B:$B,0)),"")</f>
        <v>红色战纹任选宝箱</v>
      </c>
      <c r="G72" s="1">
        <v>1</v>
      </c>
      <c r="H72" s="1">
        <v>200005</v>
      </c>
      <c r="I72" s="1" t="str">
        <f>IFERROR(INDEX([1]物品基础表!$A:$A,MATCH(H72,[1]物品基础表!$B:$B,0)),"")</f>
        <v>龙魂碎片</v>
      </c>
      <c r="J72" s="1">
        <v>18</v>
      </c>
      <c r="K72" s="1">
        <v>500004</v>
      </c>
      <c r="L72" s="1" t="str">
        <f>IFERROR(INDEX([1]物品基础表!$A:$A,MATCH(K72,[1]物品基础表!$B:$B,0)),"")</f>
        <v>战纹精华-橙</v>
      </c>
      <c r="M72" s="1">
        <v>4</v>
      </c>
      <c r="N72" s="1">
        <v>500011</v>
      </c>
      <c r="O72" s="1" t="str">
        <f>IFERROR(INDEX([1]物品基础表!$A:$A,MATCH(N72,[1]物品基础表!$B:$B,0)),"")</f>
        <v>战纹碎片（小）</v>
      </c>
      <c r="P72" s="1">
        <v>100</v>
      </c>
      <c r="Q72" s="1">
        <v>201002</v>
      </c>
      <c r="R72" s="1" t="str">
        <f>IFERROR(INDEX([1]物品基础表!$A:$A,MATCH(Q72,[1]物品基础表!$B:$B,0)),"")</f>
        <v>神秘钥匙</v>
      </c>
      <c r="S72" s="1">
        <v>1</v>
      </c>
    </row>
    <row r="73" spans="1:19">
      <c r="A73" s="32" t="str">
        <f>INDEX([2]活动总表!$A$8:$A$429,MATCH(B73,[2]活动总表!$B$8:$B$429,0))</f>
        <v>春节登录(61+</v>
      </c>
      <c r="B73" s="1">
        <v>572</v>
      </c>
      <c r="C73" s="1">
        <v>5</v>
      </c>
      <c r="D73" s="1">
        <v>5</v>
      </c>
      <c r="E73" s="1">
        <v>204065</v>
      </c>
      <c r="F73" s="1" t="str">
        <f>IFERROR(INDEX([1]物品基础表!$A:$A,MATCH(E73,[1]物品基础表!$B:$B,0)),"")</f>
        <v>超级转生轮回礼包</v>
      </c>
      <c r="G73" s="1">
        <v>1</v>
      </c>
      <c r="H73" s="1">
        <v>200005</v>
      </c>
      <c r="I73" s="1" t="str">
        <f>IFERROR(INDEX([1]物品基础表!$A:$A,MATCH(H73,[1]物品基础表!$B:$B,0)),"")</f>
        <v>龙魂碎片</v>
      </c>
      <c r="J73" s="1">
        <v>20</v>
      </c>
      <c r="K73" s="1">
        <v>500004</v>
      </c>
      <c r="L73" s="1" t="str">
        <f>IFERROR(INDEX([1]物品基础表!$A:$A,MATCH(K73,[1]物品基础表!$B:$B,0)),"")</f>
        <v>战纹精华-橙</v>
      </c>
      <c r="M73" s="1">
        <v>6</v>
      </c>
      <c r="N73" s="1">
        <v>500011</v>
      </c>
      <c r="O73" s="1" t="str">
        <f>IFERROR(INDEX([1]物品基础表!$A:$A,MATCH(N73,[1]物品基础表!$B:$B,0)),"")</f>
        <v>战纹碎片（小）</v>
      </c>
      <c r="P73" s="1">
        <v>100</v>
      </c>
      <c r="Q73" s="1">
        <v>200307</v>
      </c>
      <c r="R73" s="1" t="str">
        <f>IFERROR(INDEX([1]物品基础表!$A:$A,MATCH(Q73,[1]物品基础表!$B:$B,0)),"")</f>
        <v>神兵塔门票</v>
      </c>
      <c r="S73" s="1">
        <v>1</v>
      </c>
    </row>
    <row r="74" spans="1:19">
      <c r="A74" s="32" t="str">
        <f>INDEX([2]活动总表!$A$8:$A$429,MATCH(B74,[2]活动总表!$B$8:$B$429,0))</f>
        <v>春节登录(61+</v>
      </c>
      <c r="B74" s="1">
        <v>572</v>
      </c>
      <c r="C74" s="1">
        <v>6</v>
      </c>
      <c r="D74" s="1">
        <v>6</v>
      </c>
      <c r="E74" s="1">
        <v>201011</v>
      </c>
      <c r="F74" s="1" t="str">
        <f>IFERROR(INDEX([1]物品基础表!$A:$A,MATCH(E74,[1]物品基础表!$B:$B,0)),"")</f>
        <v>橙色图鉴包·传奇盛世</v>
      </c>
      <c r="G74" s="1">
        <v>1</v>
      </c>
      <c r="H74" s="1">
        <v>200005</v>
      </c>
      <c r="I74" s="1" t="str">
        <f>IFERROR(INDEX([1]物品基础表!$A:$A,MATCH(H74,[1]物品基础表!$B:$B,0)),"")</f>
        <v>龙魂碎片</v>
      </c>
      <c r="J74" s="1">
        <v>20</v>
      </c>
      <c r="K74" s="1">
        <v>500004</v>
      </c>
      <c r="L74" s="1" t="str">
        <f>IFERROR(INDEX([1]物品基础表!$A:$A,MATCH(K74,[1]物品基础表!$B:$B,0)),"")</f>
        <v>战纹精华-橙</v>
      </c>
      <c r="M74" s="1">
        <v>6</v>
      </c>
      <c r="N74" s="1">
        <v>500011</v>
      </c>
      <c r="O74" s="1" t="str">
        <f>IFERROR(INDEX([1]物品基础表!$A:$A,MATCH(N74,[1]物品基础表!$B:$B,0)),"")</f>
        <v>战纹碎片（小）</v>
      </c>
      <c r="P74" s="1">
        <v>100</v>
      </c>
      <c r="Q74" s="1">
        <v>201002</v>
      </c>
      <c r="R74" s="1" t="str">
        <f>IFERROR(INDEX([1]物品基础表!$A:$A,MATCH(Q74,[1]物品基础表!$B:$B,0)),"")</f>
        <v>神秘钥匙</v>
      </c>
      <c r="S74" s="1">
        <v>1</v>
      </c>
    </row>
    <row r="75" spans="1:19">
      <c r="A75" s="32" t="str">
        <f>INDEX([2]活动总表!$A$8:$A$429,MATCH(B75,[2]活动总表!$B$8:$B$429,0))</f>
        <v>春节登录(61+</v>
      </c>
      <c r="B75" s="1">
        <v>572</v>
      </c>
      <c r="C75" s="1">
        <v>7</v>
      </c>
      <c r="D75" s="1">
        <v>7</v>
      </c>
      <c r="E75" s="1">
        <v>2</v>
      </c>
      <c r="F75" s="1" t="s">
        <v>706</v>
      </c>
      <c r="G75" s="1">
        <v>1000</v>
      </c>
      <c r="H75" s="1">
        <v>200005</v>
      </c>
      <c r="I75" s="1" t="str">
        <f>IFERROR(INDEX([1]物品基础表!$A:$A,MATCH(H75,[1]物品基础表!$B:$B,0)),"")</f>
        <v>龙魂碎片</v>
      </c>
      <c r="J75" s="1">
        <v>20</v>
      </c>
      <c r="K75" s="1">
        <v>500004</v>
      </c>
      <c r="L75" s="1" t="str">
        <f>IFERROR(INDEX([1]物品基础表!$A:$A,MATCH(K75,[1]物品基础表!$B:$B,0)),"")</f>
        <v>战纹精华-橙</v>
      </c>
      <c r="M75" s="1">
        <v>8</v>
      </c>
      <c r="N75" s="1">
        <v>500011</v>
      </c>
      <c r="O75" s="1" t="str">
        <f>IFERROR(INDEX([1]物品基础表!$A:$A,MATCH(N75,[1]物品基础表!$B:$B,0)),"")</f>
        <v>战纹碎片（小）</v>
      </c>
      <c r="P75" s="1">
        <v>100</v>
      </c>
      <c r="Q75" s="1">
        <v>201002</v>
      </c>
      <c r="R75" s="1" t="str">
        <f>IFERROR(INDEX([1]物品基础表!$A:$A,MATCH(Q75,[1]物品基础表!$B:$B,0)),"")</f>
        <v>神秘钥匙</v>
      </c>
      <c r="S75" s="1">
        <v>1</v>
      </c>
    </row>
    <row r="76" spans="1:19">
      <c r="A76" s="32" t="str">
        <f>INDEX([2]活动总表!$A$8:$A$429,MATCH(B76,[2]活动总表!$B$8:$B$429,0))</f>
        <v>春节登录(61+</v>
      </c>
      <c r="B76" s="1">
        <v>572</v>
      </c>
      <c r="C76" s="1">
        <v>8</v>
      </c>
      <c r="D76" s="1">
        <v>8</v>
      </c>
      <c r="E76" s="1">
        <v>131414</v>
      </c>
      <c r="F76" s="1" t="str">
        <f>IFERROR(INDEX([1]物品基础表!$A:$A,MATCH(E76,[1]物品基础表!$B:$B,0)),"")</f>
        <v>红色战士130级项链</v>
      </c>
      <c r="G76" s="1">
        <v>1</v>
      </c>
      <c r="H76" s="1">
        <v>200005</v>
      </c>
      <c r="I76" s="1" t="str">
        <f>IFERROR(INDEX([1]物品基础表!$A:$A,MATCH(H76,[1]物品基础表!$B:$B,0)),"")</f>
        <v>龙魂碎片</v>
      </c>
      <c r="J76" s="1">
        <v>20</v>
      </c>
      <c r="K76" s="1">
        <v>500004</v>
      </c>
      <c r="L76" s="1" t="str">
        <f>IFERROR(INDEX([1]物品基础表!$A:$A,MATCH(K76,[1]物品基础表!$B:$B,0)),"")</f>
        <v>战纹精华-橙</v>
      </c>
      <c r="M76" s="1">
        <v>8</v>
      </c>
      <c r="N76" s="1">
        <v>500011</v>
      </c>
      <c r="O76" s="1" t="str">
        <f>IFERROR(INDEX([1]物品基础表!$A:$A,MATCH(N76,[1]物品基础表!$B:$B,0)),"")</f>
        <v>战纹碎片（小）</v>
      </c>
      <c r="P76" s="1">
        <v>100</v>
      </c>
      <c r="Q76" s="1">
        <v>200307</v>
      </c>
      <c r="R76" s="1" t="str">
        <f>IFERROR(INDEX([1]物品基础表!$A:$A,MATCH(Q76,[1]物品基础表!$B:$B,0)),"")</f>
        <v>神兵塔门票</v>
      </c>
      <c r="S76" s="1">
        <v>1</v>
      </c>
    </row>
    <row r="77" spans="1:19">
      <c r="A77" s="32" t="str">
        <f>INDEX([2]活动总表!$A$8:$A$429,MATCH(B77,[2]活动总表!$B$8:$B$429,0))</f>
        <v>谁与争锋-登录</v>
      </c>
      <c r="B77" s="1">
        <v>804</v>
      </c>
      <c r="C77" s="1">
        <v>1</v>
      </c>
      <c r="D77" s="1">
        <v>1</v>
      </c>
      <c r="E77" s="1">
        <v>200156</v>
      </c>
      <c r="F77" s="1" t="str">
        <f>IFERROR(INDEX([1]物品基础表!$A:$A,MATCH(E77,[1]物品基础表!$B:$B,0)),"")</f>
        <v>野外BOSS次数卷轴</v>
      </c>
      <c r="G77" s="1">
        <v>10</v>
      </c>
      <c r="H77" s="1">
        <v>200005</v>
      </c>
      <c r="I77" s="1" t="str">
        <f>IFERROR(INDEX([1]物品基础表!$A:$A,MATCH(H77,[1]物品基础表!$B:$B,0)),"")</f>
        <v>龙魂碎片</v>
      </c>
      <c r="J77" s="1">
        <v>10</v>
      </c>
      <c r="K77" s="1">
        <v>500004</v>
      </c>
      <c r="L77" s="1" t="str">
        <f>IFERROR(INDEX([1]物品基础表!$A:$A,MATCH(K77,[1]物品基础表!$B:$B,0)),"")</f>
        <v>战纹精华-橙</v>
      </c>
      <c r="M77" s="1">
        <v>2</v>
      </c>
      <c r="N77" s="1">
        <v>500011</v>
      </c>
      <c r="O77" s="1" t="str">
        <f>IFERROR(INDEX([1]物品基础表!$A:$A,MATCH(N77,[1]物品基础表!$B:$B,0)),"")</f>
        <v>战纹碎片（小）</v>
      </c>
      <c r="P77" s="1">
        <v>100</v>
      </c>
      <c r="Q77" s="1">
        <v>201002</v>
      </c>
      <c r="R77" s="1" t="str">
        <f>IFERROR(INDEX([1]物品基础表!$A:$A,MATCH(Q77,[1]物品基础表!$B:$B,0)),"")</f>
        <v>神秘钥匙</v>
      </c>
      <c r="S77" s="1">
        <v>1</v>
      </c>
    </row>
    <row r="78" spans="1:19">
      <c r="A78" s="32" t="str">
        <f>INDEX([2]活动总表!$A$8:$A$429,MATCH(B78,[2]活动总表!$B$8:$B$429,0))</f>
        <v>谁与争锋-登录</v>
      </c>
      <c r="B78" s="1">
        <v>804</v>
      </c>
      <c r="C78" s="1">
        <v>2</v>
      </c>
      <c r="D78" s="1">
        <v>2</v>
      </c>
      <c r="E78" s="1">
        <v>202001</v>
      </c>
      <c r="F78" s="1" t="str">
        <f>IFERROR(INDEX([1]物品基础表!$A:$A,MATCH(E78,[1]物品基础表!$B:$B,0)),"")</f>
        <v>烈焰戒指技能1书</v>
      </c>
      <c r="G78" s="1">
        <v>1</v>
      </c>
      <c r="H78" s="1">
        <v>200005</v>
      </c>
      <c r="I78" s="1" t="str">
        <f>IFERROR(INDEX([1]物品基础表!$A:$A,MATCH(H78,[1]物品基础表!$B:$B,0)),"")</f>
        <v>龙魂碎片</v>
      </c>
      <c r="J78" s="1">
        <v>12</v>
      </c>
      <c r="K78" s="1">
        <v>500004</v>
      </c>
      <c r="L78" s="1" t="str">
        <f>IFERROR(INDEX([1]物品基础表!$A:$A,MATCH(K78,[1]物品基础表!$B:$B,0)),"")</f>
        <v>战纹精华-橙</v>
      </c>
      <c r="M78" s="1">
        <v>4</v>
      </c>
      <c r="N78" s="1">
        <v>500011</v>
      </c>
      <c r="O78" s="1" t="str">
        <f>IFERROR(INDEX([1]物品基础表!$A:$A,MATCH(N78,[1]物品基础表!$B:$B,0)),"")</f>
        <v>战纹碎片（小）</v>
      </c>
      <c r="P78" s="1">
        <v>100</v>
      </c>
      <c r="Q78" s="1">
        <v>201002</v>
      </c>
      <c r="R78" s="1" t="str">
        <f>IFERROR(INDEX([1]物品基础表!$A:$A,MATCH(Q78,[1]物品基础表!$B:$B,0)),"")</f>
        <v>神秘钥匙</v>
      </c>
      <c r="S78" s="1">
        <v>1</v>
      </c>
    </row>
    <row r="79" spans="1:19">
      <c r="A79" s="32" t="str">
        <f>INDEX([2]活动总表!$A$8:$A$429,MATCH(B79,[2]活动总表!$B$8:$B$429,0))</f>
        <v>谁与争锋-登录</v>
      </c>
      <c r="B79" s="1">
        <v>804</v>
      </c>
      <c r="C79" s="1">
        <v>3</v>
      </c>
      <c r="D79" s="1">
        <v>3</v>
      </c>
      <c r="E79" s="1">
        <v>2</v>
      </c>
      <c r="F79" s="1" t="s">
        <v>706</v>
      </c>
      <c r="G79" s="1">
        <v>1000</v>
      </c>
      <c r="H79" s="1">
        <v>200005</v>
      </c>
      <c r="I79" s="1" t="str">
        <f>IFERROR(INDEX([1]物品基础表!$A:$A,MATCH(H79,[1]物品基础表!$B:$B,0)),"")</f>
        <v>龙魂碎片</v>
      </c>
      <c r="J79" s="1">
        <v>14</v>
      </c>
      <c r="K79" s="1">
        <v>500004</v>
      </c>
      <c r="L79" s="1" t="str">
        <f>IFERROR(INDEX([1]物品基础表!$A:$A,MATCH(K79,[1]物品基础表!$B:$B,0)),"")</f>
        <v>战纹精华-橙</v>
      </c>
      <c r="M79" s="1">
        <v>6</v>
      </c>
      <c r="N79" s="1">
        <v>500011</v>
      </c>
      <c r="O79" s="1" t="str">
        <f>IFERROR(INDEX([1]物品基础表!$A:$A,MATCH(N79,[1]物品基础表!$B:$B,0)),"")</f>
        <v>战纹碎片（小）</v>
      </c>
      <c r="P79" s="1">
        <v>100</v>
      </c>
      <c r="Q79" s="1">
        <v>200307</v>
      </c>
      <c r="R79" s="1" t="str">
        <f>IFERROR(INDEX([1]物品基础表!$A:$A,MATCH(Q79,[1]物品基础表!$B:$B,0)),"")</f>
        <v>神兵塔门票</v>
      </c>
      <c r="S79" s="1">
        <v>1</v>
      </c>
    </row>
    <row r="80" spans="1:19">
      <c r="A80" s="32" t="str">
        <f>INDEX([2]活动总表!$A$8:$A$429,MATCH(B80,[2]活动总表!$B$8:$B$429,0))</f>
        <v>谁与争锋-登录</v>
      </c>
      <c r="B80" s="1">
        <v>812</v>
      </c>
      <c r="C80" s="1">
        <v>1</v>
      </c>
      <c r="D80" s="1">
        <v>1</v>
      </c>
      <c r="E80" s="1">
        <v>200156</v>
      </c>
      <c r="F80" s="1" t="str">
        <f>IFERROR(INDEX([1]物品基础表!$A:$A,MATCH(E80,[1]物品基础表!$B:$B,0)),"")</f>
        <v>野外BOSS次数卷轴</v>
      </c>
      <c r="G80" s="1">
        <v>10</v>
      </c>
      <c r="H80" s="1">
        <v>200005</v>
      </c>
      <c r="I80" s="1" t="str">
        <f>IFERROR(INDEX([1]物品基础表!$A:$A,MATCH(H80,[1]物品基础表!$B:$B,0)),"")</f>
        <v>龙魂碎片</v>
      </c>
      <c r="J80" s="1">
        <v>10</v>
      </c>
      <c r="K80" s="1">
        <v>500004</v>
      </c>
      <c r="L80" s="1" t="str">
        <f>IFERROR(INDEX([1]物品基础表!$A:$A,MATCH(K80,[1]物品基础表!$B:$B,0)),"")</f>
        <v>战纹精华-橙</v>
      </c>
      <c r="M80" s="1">
        <v>2</v>
      </c>
      <c r="N80" s="1">
        <v>500011</v>
      </c>
      <c r="O80" s="1" t="str">
        <f>IFERROR(INDEX([1]物品基础表!$A:$A,MATCH(N80,[1]物品基础表!$B:$B,0)),"")</f>
        <v>战纹碎片（小）</v>
      </c>
      <c r="P80" s="1">
        <v>100</v>
      </c>
      <c r="Q80" s="1">
        <v>201002</v>
      </c>
      <c r="R80" s="1" t="str">
        <f>IFERROR(INDEX([1]物品基础表!$A:$A,MATCH(Q80,[1]物品基础表!$B:$B,0)),"")</f>
        <v>神秘钥匙</v>
      </c>
      <c r="S80" s="1">
        <v>1</v>
      </c>
    </row>
    <row r="81" spans="1:19">
      <c r="A81" s="32" t="str">
        <f>INDEX([2]活动总表!$A$8:$A$429,MATCH(B81,[2]活动总表!$B$8:$B$429,0))</f>
        <v>谁与争锋-登录</v>
      </c>
      <c r="B81" s="1">
        <v>812</v>
      </c>
      <c r="C81" s="1">
        <v>2</v>
      </c>
      <c r="D81" s="1">
        <v>2</v>
      </c>
      <c r="E81" s="1">
        <v>202001</v>
      </c>
      <c r="F81" s="1" t="str">
        <f>IFERROR(INDEX([1]物品基础表!$A:$A,MATCH(E81,[1]物品基础表!$B:$B,0)),"")</f>
        <v>烈焰戒指技能1书</v>
      </c>
      <c r="G81" s="1">
        <v>1</v>
      </c>
      <c r="H81" s="1">
        <v>200005</v>
      </c>
      <c r="I81" s="1" t="str">
        <f>IFERROR(INDEX([1]物品基础表!$A:$A,MATCH(H81,[1]物品基础表!$B:$B,0)),"")</f>
        <v>龙魂碎片</v>
      </c>
      <c r="J81" s="1">
        <v>12</v>
      </c>
      <c r="K81" s="1">
        <v>500004</v>
      </c>
      <c r="L81" s="1" t="str">
        <f>IFERROR(INDEX([1]物品基础表!$A:$A,MATCH(K81,[1]物品基础表!$B:$B,0)),"")</f>
        <v>战纹精华-橙</v>
      </c>
      <c r="M81" s="1">
        <v>4</v>
      </c>
      <c r="N81" s="1">
        <v>500011</v>
      </c>
      <c r="O81" s="1" t="str">
        <f>IFERROR(INDEX([1]物品基础表!$A:$A,MATCH(N81,[1]物品基础表!$B:$B,0)),"")</f>
        <v>战纹碎片（小）</v>
      </c>
      <c r="P81" s="1">
        <v>100</v>
      </c>
      <c r="Q81" s="1">
        <v>201002</v>
      </c>
      <c r="R81" s="1" t="str">
        <f>IFERROR(INDEX([1]物品基础表!$A:$A,MATCH(Q81,[1]物品基础表!$B:$B,0)),"")</f>
        <v>神秘钥匙</v>
      </c>
      <c r="S81" s="1">
        <v>1</v>
      </c>
    </row>
    <row r="82" spans="1:19">
      <c r="A82" s="32" t="str">
        <f>INDEX([2]活动总表!$A$8:$A$429,MATCH(B82,[2]活动总表!$B$8:$B$429,0))</f>
        <v>谁与争锋-登录</v>
      </c>
      <c r="B82" s="1">
        <v>812</v>
      </c>
      <c r="C82" s="1">
        <v>3</v>
      </c>
      <c r="D82" s="1">
        <v>3</v>
      </c>
      <c r="E82" s="1">
        <v>2</v>
      </c>
      <c r="F82" s="1" t="s">
        <v>706</v>
      </c>
      <c r="G82" s="1">
        <v>1000</v>
      </c>
      <c r="H82" s="1">
        <v>200005</v>
      </c>
      <c r="I82" s="1" t="str">
        <f>IFERROR(INDEX([1]物品基础表!$A:$A,MATCH(H82,[1]物品基础表!$B:$B,0)),"")</f>
        <v>龙魂碎片</v>
      </c>
      <c r="J82" s="1">
        <v>14</v>
      </c>
      <c r="K82" s="1">
        <v>500004</v>
      </c>
      <c r="L82" s="1" t="str">
        <f>IFERROR(INDEX([1]物品基础表!$A:$A,MATCH(K82,[1]物品基础表!$B:$B,0)),"")</f>
        <v>战纹精华-橙</v>
      </c>
      <c r="M82" s="1">
        <v>6</v>
      </c>
      <c r="N82" s="1">
        <v>500011</v>
      </c>
      <c r="O82" s="1" t="str">
        <f>IFERROR(INDEX([1]物品基础表!$A:$A,MATCH(N82,[1]物品基础表!$B:$B,0)),"")</f>
        <v>战纹碎片（小）</v>
      </c>
      <c r="P82" s="1">
        <v>100</v>
      </c>
      <c r="Q82" s="1">
        <v>200307</v>
      </c>
      <c r="R82" s="1" t="str">
        <f>IFERROR(INDEX([1]物品基础表!$A:$A,MATCH(Q82,[1]物品基础表!$B:$B,0)),"")</f>
        <v>神兵塔门票</v>
      </c>
      <c r="S82" s="1">
        <v>1</v>
      </c>
    </row>
    <row r="83" spans="1:19">
      <c r="A83" s="32" t="str">
        <f>INDEX([2]活动总表!$A$8:$A$429,MATCH(B83,[2]活动总表!$B$8:$B$429,0))</f>
        <v>版本庆典-5日登录</v>
      </c>
      <c r="B83" s="1">
        <v>1004</v>
      </c>
      <c r="C83" s="1">
        <v>1</v>
      </c>
      <c r="D83" s="1">
        <v>1</v>
      </c>
      <c r="E83" s="1">
        <v>200015</v>
      </c>
      <c r="F83" s="1" t="str">
        <f>IFERROR(INDEX([1]物品基础表!$A:$A,MATCH(E83,[1]物品基础表!$B:$B,0)),"")</f>
        <v>特戒碎片</v>
      </c>
      <c r="G83" s="1">
        <v>500</v>
      </c>
      <c r="H83" s="1">
        <v>200005</v>
      </c>
      <c r="I83" s="1" t="str">
        <f>IFERROR(INDEX([1]物品基础表!$A:$A,MATCH(H83,[1]物品基础表!$B:$B,0)),"")</f>
        <v>龙魂碎片</v>
      </c>
      <c r="J83" s="1">
        <v>15</v>
      </c>
      <c r="K83" s="1">
        <v>500004</v>
      </c>
      <c r="L83" s="1" t="str">
        <f>IFERROR(INDEX([1]物品基础表!$A:$A,MATCH(K83,[1]物品基础表!$B:$B,0)),"")</f>
        <v>战纹精华-橙</v>
      </c>
      <c r="M83" s="1">
        <v>2</v>
      </c>
      <c r="N83" s="1">
        <v>500011</v>
      </c>
      <c r="O83" s="1" t="str">
        <f>IFERROR(INDEX([1]物品基础表!$A:$A,MATCH(N83,[1]物品基础表!$B:$B,0)),"")</f>
        <v>战纹碎片（小）</v>
      </c>
      <c r="P83" s="1">
        <v>100</v>
      </c>
      <c r="Q83" s="1">
        <v>201002</v>
      </c>
      <c r="R83" s="1" t="str">
        <f>IFERROR(INDEX([1]物品基础表!$A:$A,MATCH(Q83,[1]物品基础表!$B:$B,0)),"")</f>
        <v>神秘钥匙</v>
      </c>
      <c r="S83" s="1">
        <v>1</v>
      </c>
    </row>
    <row r="84" spans="1:19">
      <c r="A84" s="32" t="str">
        <f>INDEX([2]活动总表!$A$8:$A$429,MATCH(B84,[2]活动总表!$B$8:$B$429,0))</f>
        <v>版本庆典-5日登录</v>
      </c>
      <c r="B84" s="1">
        <v>1004</v>
      </c>
      <c r="C84" s="1">
        <v>2</v>
      </c>
      <c r="D84" s="1">
        <v>2</v>
      </c>
      <c r="E84" s="1">
        <v>204064</v>
      </c>
      <c r="F84" s="1" t="str">
        <f>IFERROR(INDEX([1]物品基础表!$A:$A,MATCH(E84,[1]物品基础表!$B:$B,0)),"")</f>
        <v>高级转生轮回礼包</v>
      </c>
      <c r="G84" s="1">
        <v>8</v>
      </c>
      <c r="H84" s="1">
        <v>200005</v>
      </c>
      <c r="I84" s="1" t="str">
        <f>IFERROR(INDEX([1]物品基础表!$A:$A,MATCH(H84,[1]物品基础表!$B:$B,0)),"")</f>
        <v>龙魂碎片</v>
      </c>
      <c r="J84" s="1">
        <v>15</v>
      </c>
      <c r="K84" s="1">
        <v>500004</v>
      </c>
      <c r="L84" s="1" t="str">
        <f>IFERROR(INDEX([1]物品基础表!$A:$A,MATCH(K84,[1]物品基础表!$B:$B,0)),"")</f>
        <v>战纹精华-橙</v>
      </c>
      <c r="M84" s="1">
        <v>2</v>
      </c>
      <c r="N84" s="1">
        <v>500011</v>
      </c>
      <c r="O84" s="1" t="str">
        <f>IFERROR(INDEX([1]物品基础表!$A:$A,MATCH(N84,[1]物品基础表!$B:$B,0)),"")</f>
        <v>战纹碎片（小）</v>
      </c>
      <c r="P84" s="1">
        <v>100</v>
      </c>
      <c r="Q84" s="1">
        <v>201002</v>
      </c>
      <c r="R84" s="1" t="str">
        <f>IFERROR(INDEX([1]物品基础表!$A:$A,MATCH(Q84,[1]物品基础表!$B:$B,0)),"")</f>
        <v>神秘钥匙</v>
      </c>
      <c r="S84" s="1">
        <v>1</v>
      </c>
    </row>
    <row r="85" spans="1:19">
      <c r="A85" s="32" t="str">
        <f>INDEX([2]活动总表!$A$8:$A$429,MATCH(B85,[2]活动总表!$B$8:$B$429,0))</f>
        <v>版本庆典-5日登录</v>
      </c>
      <c r="B85" s="1">
        <v>1004</v>
      </c>
      <c r="C85" s="1">
        <v>3</v>
      </c>
      <c r="D85" s="1">
        <v>3</v>
      </c>
      <c r="E85" s="1">
        <v>2</v>
      </c>
      <c r="F85" s="1" t="s">
        <v>706</v>
      </c>
      <c r="G85" s="1">
        <v>1000</v>
      </c>
      <c r="H85" s="1">
        <v>200005</v>
      </c>
      <c r="I85" s="1" t="str">
        <f>IFERROR(INDEX([1]物品基础表!$A:$A,MATCH(H85,[1]物品基础表!$B:$B,0)),"")</f>
        <v>龙魂碎片</v>
      </c>
      <c r="J85" s="1">
        <v>18</v>
      </c>
      <c r="K85" s="1">
        <v>500004</v>
      </c>
      <c r="L85" s="1" t="str">
        <f>IFERROR(INDEX([1]物品基础表!$A:$A,MATCH(K85,[1]物品基础表!$B:$B,0)),"")</f>
        <v>战纹精华-橙</v>
      </c>
      <c r="M85" s="1">
        <v>4</v>
      </c>
      <c r="N85" s="1">
        <v>500011</v>
      </c>
      <c r="O85" s="1" t="str">
        <f>IFERROR(INDEX([1]物品基础表!$A:$A,MATCH(N85,[1]物品基础表!$B:$B,0)),"")</f>
        <v>战纹碎片（小）</v>
      </c>
      <c r="P85" s="1">
        <v>100</v>
      </c>
      <c r="Q85" s="1">
        <v>201002</v>
      </c>
      <c r="R85" s="1" t="str">
        <f>IFERROR(INDEX([1]物品基础表!$A:$A,MATCH(Q85,[1]物品基础表!$B:$B,0)),"")</f>
        <v>神秘钥匙</v>
      </c>
      <c r="S85" s="1">
        <v>1</v>
      </c>
    </row>
    <row r="86" spans="1:19">
      <c r="A86" s="32" t="str">
        <f>INDEX([2]活动总表!$A$8:$A$429,MATCH(B86,[2]活动总表!$B$8:$B$429,0))</f>
        <v>版本庆典-5日登录</v>
      </c>
      <c r="B86" s="1">
        <v>1004</v>
      </c>
      <c r="C86" s="1">
        <v>4</v>
      </c>
      <c r="D86" s="1">
        <v>4</v>
      </c>
      <c r="E86" s="1">
        <v>200925</v>
      </c>
      <c r="F86" s="1" t="str">
        <f>IFERROR(INDEX([1]物品基础表!$A:$A,MATCH(E86,[1]物品基础表!$B:$B,0)),"")</f>
        <v>红色战纹任选宝箱</v>
      </c>
      <c r="G86" s="1">
        <v>1</v>
      </c>
      <c r="H86" s="1">
        <v>200005</v>
      </c>
      <c r="I86" s="1" t="str">
        <f>IFERROR(INDEX([1]物品基础表!$A:$A,MATCH(H86,[1]物品基础表!$B:$B,0)),"")</f>
        <v>龙魂碎片</v>
      </c>
      <c r="J86" s="1">
        <v>18</v>
      </c>
      <c r="K86" s="1">
        <v>500004</v>
      </c>
      <c r="L86" s="1" t="str">
        <f>IFERROR(INDEX([1]物品基础表!$A:$A,MATCH(K86,[1]物品基础表!$B:$B,0)),"")</f>
        <v>战纹精华-橙</v>
      </c>
      <c r="M86" s="1">
        <v>4</v>
      </c>
      <c r="N86" s="1">
        <v>500011</v>
      </c>
      <c r="O86" s="1" t="str">
        <f>IFERROR(INDEX([1]物品基础表!$A:$A,MATCH(N86,[1]物品基础表!$B:$B,0)),"")</f>
        <v>战纹碎片（小）</v>
      </c>
      <c r="P86" s="1">
        <v>100</v>
      </c>
      <c r="Q86" s="1">
        <v>201002</v>
      </c>
      <c r="R86" s="1" t="str">
        <f>IFERROR(INDEX([1]物品基础表!$A:$A,MATCH(Q86,[1]物品基础表!$B:$B,0)),"")</f>
        <v>神秘钥匙</v>
      </c>
      <c r="S86" s="1">
        <v>1</v>
      </c>
    </row>
    <row r="87" spans="1:19">
      <c r="A87" s="32" t="str">
        <f>INDEX([2]活动总表!$A$8:$A$429,MATCH(B87,[2]活动总表!$B$8:$B$429,0))</f>
        <v>版本庆典-5日登录</v>
      </c>
      <c r="B87" s="1">
        <v>1004</v>
      </c>
      <c r="C87" s="1">
        <v>5</v>
      </c>
      <c r="D87" s="1">
        <v>5</v>
      </c>
      <c r="E87" s="1">
        <v>204065</v>
      </c>
      <c r="F87" s="1" t="str">
        <f>IFERROR(INDEX([1]物品基础表!$A:$A,MATCH(E87,[1]物品基础表!$B:$B,0)),"")</f>
        <v>超级转生轮回礼包</v>
      </c>
      <c r="G87" s="1">
        <v>1</v>
      </c>
      <c r="H87" s="1">
        <v>200005</v>
      </c>
      <c r="I87" s="1" t="str">
        <f>IFERROR(INDEX([1]物品基础表!$A:$A,MATCH(H87,[1]物品基础表!$B:$B,0)),"")</f>
        <v>龙魂碎片</v>
      </c>
      <c r="J87" s="1">
        <v>20</v>
      </c>
      <c r="K87" s="1">
        <v>500004</v>
      </c>
      <c r="L87" s="1" t="str">
        <f>IFERROR(INDEX([1]物品基础表!$A:$A,MATCH(K87,[1]物品基础表!$B:$B,0)),"")</f>
        <v>战纹精华-橙</v>
      </c>
      <c r="M87" s="1">
        <v>6</v>
      </c>
      <c r="N87" s="1">
        <v>500011</v>
      </c>
      <c r="O87" s="1" t="str">
        <f>IFERROR(INDEX([1]物品基础表!$A:$A,MATCH(N87,[1]物品基础表!$B:$B,0)),"")</f>
        <v>战纹碎片（小）</v>
      </c>
      <c r="P87" s="1">
        <v>100</v>
      </c>
      <c r="Q87" s="1">
        <v>200307</v>
      </c>
      <c r="R87" s="1" t="str">
        <f>IFERROR(INDEX([1]物品基础表!$A:$A,MATCH(Q87,[1]物品基础表!$B:$B,0)),"")</f>
        <v>神兵塔门票</v>
      </c>
      <c r="S87" s="1">
        <v>1</v>
      </c>
    </row>
  </sheetData>
  <mergeCells count="1">
    <mergeCell ref="E1:S1"/>
  </mergeCells>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7"/>
  <sheetViews>
    <sheetView workbookViewId="0">
      <selection activeCell="A7" sqref="A7"/>
    </sheetView>
  </sheetViews>
  <sheetFormatPr defaultRowHeight="13.5"/>
  <cols>
    <col min="1" max="1" width="18.625" style="1" bestFit="1" customWidth="1"/>
    <col min="2" max="3" width="9" style="1"/>
    <col min="4" max="4" width="28.25" style="1" bestFit="1" customWidth="1"/>
    <col min="5" max="7" width="19.5" style="1" bestFit="1" customWidth="1"/>
    <col min="8" max="14" width="9" style="1"/>
    <col min="15" max="15" width="17.5" style="1" bestFit="1" customWidth="1"/>
    <col min="16" max="16384" width="9" style="1"/>
  </cols>
  <sheetData>
    <row r="1" spans="1:16">
      <c r="A1" s="35" t="s">
        <v>738</v>
      </c>
      <c r="E1" s="30"/>
      <c r="F1" s="30"/>
      <c r="G1" s="30"/>
      <c r="H1" s="30" t="s">
        <v>35</v>
      </c>
      <c r="I1" s="30"/>
      <c r="J1" s="30"/>
      <c r="K1" s="30"/>
      <c r="L1" s="30"/>
      <c r="M1" s="30"/>
      <c r="N1" s="30"/>
      <c r="O1" s="30"/>
      <c r="P1" s="30"/>
    </row>
    <row r="2" spans="1:16">
      <c r="A2" s="3" t="s">
        <v>19</v>
      </c>
      <c r="B2" s="4" t="s">
        <v>32</v>
      </c>
      <c r="C2" s="4" t="s">
        <v>33</v>
      </c>
      <c r="D2" s="4" t="s">
        <v>739</v>
      </c>
      <c r="E2" s="4" t="s">
        <v>688</v>
      </c>
      <c r="F2" s="4" t="s">
        <v>689</v>
      </c>
      <c r="G2" s="4" t="s">
        <v>690</v>
      </c>
      <c r="H2" s="4" t="s">
        <v>2</v>
      </c>
      <c r="I2" s="4" t="s">
        <v>3</v>
      </c>
      <c r="J2" s="4" t="s">
        <v>4</v>
      </c>
      <c r="K2" s="4" t="s">
        <v>2</v>
      </c>
      <c r="L2" s="4" t="s">
        <v>3</v>
      </c>
      <c r="M2" s="4" t="s">
        <v>4</v>
      </c>
      <c r="N2" s="4" t="s">
        <v>2</v>
      </c>
      <c r="O2" s="4" t="s">
        <v>3</v>
      </c>
      <c r="P2" s="4" t="s">
        <v>4</v>
      </c>
    </row>
    <row r="3" spans="1:16">
      <c r="A3" s="32" t="str">
        <f>INDEX([2]活动总表!$A$8:$A$429,MATCH(B3,[2]活动总表!$B$8:$B$429,0))</f>
        <v>开服活动-全民BOSS</v>
      </c>
      <c r="B3" s="1">
        <v>5</v>
      </c>
      <c r="C3" s="1">
        <v>1</v>
      </c>
      <c r="D3" s="1" t="s">
        <v>733</v>
      </c>
      <c r="E3" s="1" t="s">
        <v>740</v>
      </c>
      <c r="F3" s="1" t="s">
        <v>747</v>
      </c>
      <c r="G3" s="1" t="s">
        <v>752</v>
      </c>
      <c r="H3" s="1">
        <v>2</v>
      </c>
      <c r="I3" s="1" t="s">
        <v>706</v>
      </c>
      <c r="J3" s="1">
        <v>500</v>
      </c>
      <c r="K3" s="1">
        <v>1</v>
      </c>
      <c r="L3" s="1" t="s">
        <v>695</v>
      </c>
      <c r="M3" s="1">
        <v>200000</v>
      </c>
      <c r="N3" s="1">
        <v>200156</v>
      </c>
      <c r="O3" s="1" t="str">
        <f>IFERROR(INDEX([1]物品基础表!$A:$A,MATCH(N3,[1]物品基础表!$B:$B,0)),"")</f>
        <v>野外BOSS次数卷轴</v>
      </c>
      <c r="P3" s="1">
        <v>1</v>
      </c>
    </row>
    <row r="4" spans="1:16">
      <c r="A4" s="32" t="str">
        <f>INDEX([2]活动总表!$A$8:$A$429,MATCH(B4,[2]活动总表!$B$8:$B$429,0))</f>
        <v>开服活动-全民BOSS</v>
      </c>
      <c r="B4" s="1">
        <v>5</v>
      </c>
      <c r="C4" s="1">
        <v>2</v>
      </c>
      <c r="D4" s="1" t="s">
        <v>734</v>
      </c>
      <c r="E4" s="1" t="s">
        <v>742</v>
      </c>
      <c r="F4" s="1" t="s">
        <v>748</v>
      </c>
      <c r="G4" s="1" t="s">
        <v>753</v>
      </c>
      <c r="H4" s="1">
        <v>2</v>
      </c>
      <c r="I4" s="1" t="s">
        <v>706</v>
      </c>
      <c r="J4" s="1">
        <v>1000</v>
      </c>
      <c r="K4" s="1">
        <v>1</v>
      </c>
      <c r="L4" s="1" t="s">
        <v>695</v>
      </c>
      <c r="M4" s="1">
        <v>300000</v>
      </c>
      <c r="N4" s="1">
        <v>200156</v>
      </c>
      <c r="O4" s="1" t="str">
        <f>IFERROR(INDEX([1]物品基础表!$A:$A,MATCH(N4,[1]物品基础表!$B:$B,0)),"")</f>
        <v>野外BOSS次数卷轴</v>
      </c>
      <c r="P4" s="1">
        <v>1</v>
      </c>
    </row>
    <row r="5" spans="1:16">
      <c r="A5" s="32" t="str">
        <f>INDEX([2]活动总表!$A$8:$A$429,MATCH(B5,[2]活动总表!$B$8:$B$429,0))</f>
        <v>开服活动-全民BOSS</v>
      </c>
      <c r="B5" s="1">
        <v>5</v>
      </c>
      <c r="C5" s="1">
        <v>3</v>
      </c>
      <c r="D5" s="1" t="s">
        <v>735</v>
      </c>
      <c r="E5" s="1" t="s">
        <v>743</v>
      </c>
      <c r="F5" s="1" t="s">
        <v>749</v>
      </c>
      <c r="G5" s="1" t="s">
        <v>754</v>
      </c>
      <c r="H5" s="1">
        <v>2</v>
      </c>
      <c r="I5" s="1" t="s">
        <v>706</v>
      </c>
      <c r="J5" s="1">
        <v>1500</v>
      </c>
      <c r="K5" s="1">
        <v>1</v>
      </c>
      <c r="L5" s="1" t="s">
        <v>695</v>
      </c>
      <c r="M5" s="1">
        <v>500000</v>
      </c>
      <c r="N5" s="1">
        <v>200156</v>
      </c>
      <c r="O5" s="1" t="str">
        <f>IFERROR(INDEX([1]物品基础表!$A:$A,MATCH(N5,[1]物品基础表!$B:$B,0)),"")</f>
        <v>野外BOSS次数卷轴</v>
      </c>
      <c r="P5" s="1">
        <v>1</v>
      </c>
    </row>
    <row r="6" spans="1:16">
      <c r="A6" s="32" t="str">
        <f>INDEX([2]活动总表!$A$8:$A$429,MATCH(B6,[2]活动总表!$B$8:$B$429,0))</f>
        <v>开服活动-全民BOSS</v>
      </c>
      <c r="B6" s="1">
        <v>5</v>
      </c>
      <c r="C6" s="1">
        <v>4</v>
      </c>
      <c r="D6" s="1" t="s">
        <v>736</v>
      </c>
      <c r="E6" s="1" t="s">
        <v>744</v>
      </c>
      <c r="F6" s="1" t="s">
        <v>750</v>
      </c>
      <c r="G6" s="1" t="s">
        <v>755</v>
      </c>
      <c r="H6" s="1">
        <v>2</v>
      </c>
      <c r="I6" s="1" t="s">
        <v>706</v>
      </c>
      <c r="J6" s="1">
        <v>2000</v>
      </c>
      <c r="K6" s="1">
        <v>1</v>
      </c>
      <c r="L6" s="1" t="s">
        <v>695</v>
      </c>
      <c r="M6" s="1">
        <v>1000000</v>
      </c>
      <c r="N6" s="1">
        <v>200156</v>
      </c>
      <c r="O6" s="1" t="str">
        <f>IFERROR(INDEX([1]物品基础表!$A:$A,MATCH(N6,[1]物品基础表!$B:$B,0)),"")</f>
        <v>野外BOSS次数卷轴</v>
      </c>
      <c r="P6" s="1">
        <v>1</v>
      </c>
    </row>
    <row r="7" spans="1:16">
      <c r="A7" s="32" t="str">
        <f>INDEX([2]活动总表!$A$8:$A$429,MATCH(B7,[2]活动总表!$B$8:$B$429,0))</f>
        <v>开服活动-全民BOSS</v>
      </c>
      <c r="B7" s="1">
        <v>5</v>
      </c>
      <c r="C7" s="1">
        <v>5</v>
      </c>
      <c r="D7" s="1" t="s">
        <v>737</v>
      </c>
      <c r="E7" s="1" t="s">
        <v>745</v>
      </c>
      <c r="F7" s="1" t="s">
        <v>751</v>
      </c>
      <c r="G7" s="1" t="s">
        <v>756</v>
      </c>
      <c r="H7" s="1">
        <v>2</v>
      </c>
      <c r="I7" s="1" t="s">
        <v>706</v>
      </c>
      <c r="J7" s="1">
        <v>200</v>
      </c>
      <c r="K7" s="1">
        <v>1</v>
      </c>
      <c r="L7" s="1" t="s">
        <v>695</v>
      </c>
      <c r="M7" s="1">
        <v>100000</v>
      </c>
      <c r="N7" s="1">
        <v>200156</v>
      </c>
      <c r="O7" s="1" t="str">
        <f>IFERROR(INDEX([1]物品基础表!$A:$A,MATCH(N7,[1]物品基础表!$B:$B,0)),"")</f>
        <v>野外BOSS次数卷轴</v>
      </c>
      <c r="P7" s="1">
        <v>1</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38"/>
  <sheetViews>
    <sheetView workbookViewId="0">
      <pane xSplit="1" ySplit="2" topLeftCell="B183" activePane="bottomRight" state="frozen"/>
      <selection pane="topRight" activeCell="B1" sqref="B1"/>
      <selection pane="bottomLeft" activeCell="A3" sqref="A3"/>
      <selection pane="bottomRight" activeCell="G200" sqref="G200"/>
    </sheetView>
  </sheetViews>
  <sheetFormatPr defaultRowHeight="13.5"/>
  <cols>
    <col min="1" max="1" width="19.75" style="39" bestFit="1" customWidth="1"/>
    <col min="2" max="4" width="9" style="41"/>
    <col min="5" max="5" width="11" style="41" bestFit="1" customWidth="1"/>
    <col min="6" max="6" width="9.5" style="41" customWidth="1"/>
    <col min="7" max="7" width="9" style="41"/>
    <col min="8" max="8" width="13" style="41" bestFit="1" customWidth="1"/>
    <col min="9" max="10" width="15.125" style="41" bestFit="1" customWidth="1"/>
    <col min="11" max="13" width="9" style="41"/>
    <col min="14" max="14" width="23.5" style="41" bestFit="1" customWidth="1"/>
    <col min="15" max="16384" width="9" style="41"/>
  </cols>
  <sheetData>
    <row r="1" spans="1:15" s="38" customFormat="1">
      <c r="A1" s="46" t="s">
        <v>779</v>
      </c>
      <c r="M1" s="110" t="s">
        <v>708</v>
      </c>
      <c r="N1" s="111"/>
      <c r="O1" s="112"/>
    </row>
    <row r="2" spans="1:15" s="38" customFormat="1">
      <c r="A2" s="44" t="s">
        <v>19</v>
      </c>
      <c r="B2" s="45" t="s">
        <v>32</v>
      </c>
      <c r="C2" s="45" t="s">
        <v>33</v>
      </c>
      <c r="D2" s="45" t="s">
        <v>778</v>
      </c>
      <c r="E2" s="45" t="s">
        <v>757</v>
      </c>
      <c r="F2" s="45" t="s">
        <v>758</v>
      </c>
      <c r="G2" s="45" t="s">
        <v>759</v>
      </c>
      <c r="H2" s="45" t="s">
        <v>760</v>
      </c>
      <c r="I2" s="45" t="s">
        <v>761</v>
      </c>
      <c r="J2" s="45" t="s">
        <v>762</v>
      </c>
      <c r="K2" s="45" t="s">
        <v>763</v>
      </c>
      <c r="L2" s="45" t="s">
        <v>764</v>
      </c>
      <c r="M2" s="4" t="s">
        <v>2</v>
      </c>
      <c r="N2" s="4" t="s">
        <v>3</v>
      </c>
      <c r="O2" s="4" t="s">
        <v>4</v>
      </c>
    </row>
    <row r="3" spans="1:15">
      <c r="A3" s="39" t="str">
        <f>INDEX([2]活动总表!$A$8:$A$429,MATCH(B3,[2]活动总表!$B$8:$B$429,0))</f>
        <v>次周活动-烈焰积分</v>
      </c>
      <c r="B3" s="40">
        <v>202</v>
      </c>
      <c r="C3" s="40">
        <v>1</v>
      </c>
      <c r="D3" s="40"/>
      <c r="E3" s="40"/>
      <c r="F3" s="40"/>
      <c r="G3" s="40">
        <v>100</v>
      </c>
      <c r="H3" s="40"/>
      <c r="I3" s="40">
        <v>300</v>
      </c>
      <c r="J3" s="40"/>
      <c r="K3" s="40"/>
      <c r="L3" s="40"/>
      <c r="M3" s="41">
        <v>200015</v>
      </c>
      <c r="N3" s="1" t="str">
        <f>IFERROR(INDEX([1]物品基础表!$A:$A,MATCH(M3,[1]物品基础表!$B:$B,0)),"")</f>
        <v>特戒碎片</v>
      </c>
      <c r="O3" s="41">
        <v>1</v>
      </c>
    </row>
    <row r="4" spans="1:15">
      <c r="A4" s="39" t="str">
        <f>INDEX([2]活动总表!$A$8:$A$429,MATCH(B4,[2]活动总表!$B$8:$B$429,0))</f>
        <v>次周活动-烈焰积分</v>
      </c>
      <c r="B4" s="40">
        <v>202</v>
      </c>
      <c r="C4" s="40">
        <v>2</v>
      </c>
      <c r="D4" s="40"/>
      <c r="E4" s="40"/>
      <c r="F4" s="40"/>
      <c r="G4" s="40">
        <v>2000</v>
      </c>
      <c r="H4" s="40"/>
      <c r="I4" s="40">
        <v>15</v>
      </c>
      <c r="J4" s="40"/>
      <c r="K4" s="40"/>
      <c r="L4" s="40"/>
      <c r="M4" s="41">
        <v>200156</v>
      </c>
      <c r="N4" s="1" t="str">
        <f>IFERROR(INDEX([1]物品基础表!$A:$A,MATCH(M4,[1]物品基础表!$B:$B,0)),"")</f>
        <v>野外BOSS次数卷轴</v>
      </c>
      <c r="O4" s="41">
        <v>1</v>
      </c>
    </row>
    <row r="5" spans="1:15">
      <c r="A5" s="39" t="str">
        <f>INDEX([2]活动总表!$A$8:$A$429,MATCH(B5,[2]活动总表!$B$8:$B$429,0))</f>
        <v>次周活动-烈焰积分</v>
      </c>
      <c r="B5" s="40">
        <v>202</v>
      </c>
      <c r="C5" s="40">
        <v>3</v>
      </c>
      <c r="D5" s="40"/>
      <c r="E5" s="40"/>
      <c r="F5" s="40"/>
      <c r="G5" s="40">
        <v>2000</v>
      </c>
      <c r="H5" s="40"/>
      <c r="I5" s="40">
        <v>6</v>
      </c>
      <c r="J5" s="40"/>
      <c r="K5" s="40"/>
      <c r="L5" s="40"/>
      <c r="M5" s="41">
        <v>201002</v>
      </c>
      <c r="N5" s="1" t="str">
        <f>IFERROR(INDEX([1]物品基础表!$A:$A,MATCH(M5,[1]物品基础表!$B:$B,0)),"")</f>
        <v>神秘钥匙</v>
      </c>
      <c r="O5" s="41">
        <v>1</v>
      </c>
    </row>
    <row r="6" spans="1:15">
      <c r="A6" s="39" t="str">
        <f>INDEX([2]活动总表!$A$8:$A$429,MATCH(B6,[2]活动总表!$B$8:$B$429,0))</f>
        <v>次周活动-烈焰积分</v>
      </c>
      <c r="B6" s="40">
        <v>202</v>
      </c>
      <c r="C6" s="40">
        <v>4</v>
      </c>
      <c r="D6" s="40"/>
      <c r="E6" s="40"/>
      <c r="F6" s="40"/>
      <c r="G6" s="40">
        <v>2000</v>
      </c>
      <c r="H6" s="40"/>
      <c r="I6" s="40"/>
      <c r="J6" s="40"/>
      <c r="K6" s="40"/>
      <c r="L6" s="40"/>
      <c r="M6" s="41">
        <v>200164</v>
      </c>
      <c r="N6" s="1" t="str">
        <f>IFERROR(INDEX([1]物品基础表!$A:$A,MATCH(M6,[1]物品基础表!$B:$B,0)),"")</f>
        <v>金砖</v>
      </c>
      <c r="O6" s="41">
        <v>1</v>
      </c>
    </row>
    <row r="7" spans="1:15">
      <c r="A7" s="39" t="str">
        <f>INDEX([2]活动总表!$A$8:$A$429,MATCH(B7,[2]活动总表!$B$8:$B$429,0))</f>
        <v>合服BOSS积分</v>
      </c>
      <c r="B7" s="40">
        <v>161</v>
      </c>
      <c r="C7" s="40">
        <v>1</v>
      </c>
      <c r="D7" s="40"/>
      <c r="E7" s="40"/>
      <c r="F7" s="40"/>
      <c r="G7" s="40">
        <v>1000</v>
      </c>
      <c r="H7" s="40"/>
      <c r="I7" s="42">
        <v>50</v>
      </c>
      <c r="J7" s="40"/>
      <c r="K7" s="40"/>
      <c r="L7" s="40"/>
      <c r="M7" s="41">
        <v>200320</v>
      </c>
      <c r="N7" s="1" t="str">
        <f>IFERROR(INDEX([1]物品基础表!$A:$A,MATCH(M7,[1]物品基础表!$B:$B,0)),"")</f>
        <v>至尊令牌</v>
      </c>
      <c r="O7" s="41">
        <v>1</v>
      </c>
    </row>
    <row r="8" spans="1:15">
      <c r="A8" s="39" t="str">
        <f>INDEX([2]活动总表!$A$8:$A$429,MATCH(B8,[2]活动总表!$B$8:$B$429,0))</f>
        <v>合服BOSS积分</v>
      </c>
      <c r="B8" s="40">
        <v>161</v>
      </c>
      <c r="C8" s="40">
        <v>2</v>
      </c>
      <c r="D8" s="40"/>
      <c r="E8" s="40"/>
      <c r="F8" s="40"/>
      <c r="G8" s="40">
        <v>1500</v>
      </c>
      <c r="H8" s="40"/>
      <c r="I8" s="42">
        <v>100</v>
      </c>
      <c r="J8" s="40"/>
      <c r="K8" s="40"/>
      <c r="L8" s="40"/>
      <c r="M8" s="41">
        <v>200005</v>
      </c>
      <c r="N8" s="1" t="str">
        <f>IFERROR(INDEX([1]物品基础表!$A:$A,MATCH(M8,[1]物品基础表!$B:$B,0)),"")</f>
        <v>龙魂碎片</v>
      </c>
      <c r="O8" s="41">
        <v>1</v>
      </c>
    </row>
    <row r="9" spans="1:15">
      <c r="A9" s="39" t="str">
        <f>INDEX([2]活动总表!$A$8:$A$429,MATCH(B9,[2]活动总表!$B$8:$B$429,0))</f>
        <v>合服BOSS积分</v>
      </c>
      <c r="B9" s="40">
        <v>161</v>
      </c>
      <c r="C9" s="40">
        <v>3</v>
      </c>
      <c r="D9" s="40"/>
      <c r="E9" s="40"/>
      <c r="F9" s="40"/>
      <c r="G9" s="40">
        <v>10000</v>
      </c>
      <c r="H9" s="40"/>
      <c r="I9" s="42">
        <v>5</v>
      </c>
      <c r="J9" s="40"/>
      <c r="K9" s="40"/>
      <c r="L9" s="40"/>
      <c r="M9" s="41">
        <v>200905</v>
      </c>
      <c r="N9" s="1" t="str">
        <f>IFERROR(INDEX([1]物品基础表!$A:$A,MATCH(M9,[1]物品基础表!$B:$B,0)),"")</f>
        <v>BOSS积分宝盒</v>
      </c>
      <c r="O9" s="41">
        <v>1</v>
      </c>
    </row>
    <row r="10" spans="1:15">
      <c r="A10" s="39" t="str">
        <f>INDEX([2]活动总表!$A$8:$A$429,MATCH(B10,[2]活动总表!$B$8:$B$429,0))</f>
        <v>合服BOSS积分</v>
      </c>
      <c r="B10" s="40">
        <v>161</v>
      </c>
      <c r="C10" s="40">
        <v>4</v>
      </c>
      <c r="D10" s="40"/>
      <c r="E10" s="40"/>
      <c r="F10" s="40"/>
      <c r="G10" s="40">
        <v>7000</v>
      </c>
      <c r="H10" s="40"/>
      <c r="I10" s="42">
        <v>5</v>
      </c>
      <c r="J10" s="40"/>
      <c r="K10" s="40"/>
      <c r="L10" s="40"/>
      <c r="M10" s="41">
        <v>200157</v>
      </c>
      <c r="N10" s="1" t="str">
        <f>IFERROR(INDEX([1]物品基础表!$A:$A,MATCH(M10,[1]物品基础表!$B:$B,0)),"")</f>
        <v>秘境BOSS次数卷轴</v>
      </c>
      <c r="O10" s="41">
        <v>1</v>
      </c>
    </row>
    <row r="11" spans="1:15">
      <c r="A11" s="39" t="str">
        <f>INDEX([2]活动总表!$A$8:$A$429,MATCH(B11,[2]活动总表!$B$8:$B$429,0))</f>
        <v>合服BOSS积分</v>
      </c>
      <c r="B11" s="40">
        <v>161</v>
      </c>
      <c r="C11" s="40">
        <v>5</v>
      </c>
      <c r="D11" s="40"/>
      <c r="E11" s="40"/>
      <c r="F11" s="40"/>
      <c r="G11" s="40">
        <v>2500</v>
      </c>
      <c r="H11" s="40"/>
      <c r="I11" s="42">
        <v>15</v>
      </c>
      <c r="J11" s="40"/>
      <c r="K11" s="40"/>
      <c r="L11" s="40"/>
      <c r="M11" s="41">
        <v>200156</v>
      </c>
      <c r="N11" s="1" t="str">
        <f>IFERROR(INDEX([1]物品基础表!$A:$A,MATCH(M11,[1]物品基础表!$B:$B,0)),"")</f>
        <v>野外BOSS次数卷轴</v>
      </c>
      <c r="O11" s="41">
        <v>1</v>
      </c>
    </row>
    <row r="12" spans="1:15">
      <c r="A12" s="39" t="str">
        <f>INDEX([2]活动总表!$A$8:$A$429,MATCH(B12,[2]活动总表!$B$8:$B$429,0))</f>
        <v>合服BOSS积分</v>
      </c>
      <c r="B12" s="40">
        <v>161</v>
      </c>
      <c r="C12" s="40">
        <v>6</v>
      </c>
      <c r="D12" s="40"/>
      <c r="E12" s="40"/>
      <c r="F12" s="40"/>
      <c r="G12" s="40">
        <v>2000</v>
      </c>
      <c r="H12" s="40"/>
      <c r="I12" s="42">
        <v>5</v>
      </c>
      <c r="J12" s="40"/>
      <c r="K12" s="40"/>
      <c r="L12" s="40"/>
      <c r="M12" s="41">
        <v>201002</v>
      </c>
      <c r="N12" s="1" t="str">
        <f>IFERROR(INDEX([1]物品基础表!$A:$A,MATCH(M12,[1]物品基础表!$B:$B,0)),"")</f>
        <v>神秘钥匙</v>
      </c>
      <c r="O12" s="41">
        <v>1</v>
      </c>
    </row>
    <row r="13" spans="1:15">
      <c r="A13" s="39" t="str">
        <f>INDEX([2]活动总表!$A$8:$A$429,MATCH(B13,[2]活动总表!$B$8:$B$429,0))</f>
        <v>合服BOSS积分</v>
      </c>
      <c r="B13" s="40">
        <v>161</v>
      </c>
      <c r="C13" s="40">
        <v>7</v>
      </c>
      <c r="D13" s="40"/>
      <c r="E13" s="40"/>
      <c r="F13" s="40"/>
      <c r="G13" s="40">
        <v>2000</v>
      </c>
      <c r="H13" s="40"/>
      <c r="I13" s="40"/>
      <c r="J13" s="40"/>
      <c r="K13" s="40"/>
      <c r="L13" s="40"/>
      <c r="M13" s="41">
        <v>200164</v>
      </c>
      <c r="N13" s="1" t="str">
        <f>IFERROR(INDEX([1]物品基础表!$A:$A,MATCH(M13,[1]物品基础表!$B:$B,0)),"")</f>
        <v>金砖</v>
      </c>
      <c r="O13" s="41">
        <v>1</v>
      </c>
    </row>
    <row r="14" spans="1:15">
      <c r="A14" s="39" t="str">
        <f>INDEX([2]活动总表!$A$8:$A$429,MATCH(B14,[2]活动总表!$B$8:$B$429,0))</f>
        <v>合服BOSS积分</v>
      </c>
      <c r="B14" s="40">
        <v>161</v>
      </c>
      <c r="C14" s="40">
        <v>8</v>
      </c>
      <c r="D14" s="40"/>
      <c r="E14" s="40"/>
      <c r="F14" s="40"/>
      <c r="G14" s="40">
        <v>25032</v>
      </c>
      <c r="H14" s="40"/>
      <c r="I14" s="40"/>
      <c r="J14" s="40"/>
      <c r="K14" s="40"/>
      <c r="L14" s="40"/>
      <c r="M14" s="41">
        <v>101312</v>
      </c>
      <c r="N14" s="1" t="str">
        <f>IFERROR(INDEX([1]物品基础表!$A:$A,MATCH(M14,[1]物品基础表!$B:$B,0)),"")</f>
        <v>橙色战士110级武器</v>
      </c>
      <c r="O14" s="41">
        <v>1</v>
      </c>
    </row>
    <row r="15" spans="1:15">
      <c r="A15" s="39" t="str">
        <f>INDEX([2]活动总表!$A$8:$A$429,MATCH(B15,[2]活动总表!$B$8:$B$429,0))</f>
        <v>合服BOSS积分</v>
      </c>
      <c r="B15" s="40">
        <v>161</v>
      </c>
      <c r="C15" s="40">
        <v>9</v>
      </c>
      <c r="D15" s="40"/>
      <c r="E15" s="40"/>
      <c r="F15" s="40"/>
      <c r="G15" s="40">
        <v>18022</v>
      </c>
      <c r="H15" s="40"/>
      <c r="I15" s="40"/>
      <c r="J15" s="40"/>
      <c r="K15" s="40"/>
      <c r="L15" s="40"/>
      <c r="M15" s="41">
        <v>121312</v>
      </c>
      <c r="N15" s="1" t="str">
        <f>IFERROR(INDEX([1]物品基础表!$A:$A,MATCH(M15,[1]物品基础表!$B:$B,0)),"")</f>
        <v>橙色战士110级衣服</v>
      </c>
      <c r="O15" s="41">
        <v>1</v>
      </c>
    </row>
    <row r="16" spans="1:15">
      <c r="A16" s="39" t="str">
        <f>INDEX([2]活动总表!$A$8:$A$429,MATCH(B16,[2]活动总表!$B$8:$B$429,0))</f>
        <v>合服BOSS积分</v>
      </c>
      <c r="B16" s="40">
        <v>161</v>
      </c>
      <c r="C16" s="40">
        <v>10</v>
      </c>
      <c r="D16" s="40"/>
      <c r="E16" s="40"/>
      <c r="F16" s="40"/>
      <c r="G16" s="40">
        <v>10012</v>
      </c>
      <c r="H16" s="40"/>
      <c r="I16" s="40"/>
      <c r="J16" s="40"/>
      <c r="K16" s="40"/>
      <c r="L16" s="40"/>
      <c r="M16" s="41">
        <v>141312</v>
      </c>
      <c r="N16" s="1" t="str">
        <f>IFERROR(INDEX([1]物品基础表!$A:$A,MATCH(M16,[1]物品基础表!$B:$B,0)),"")</f>
        <v>橙色战士110级手镯</v>
      </c>
      <c r="O16" s="41">
        <v>1</v>
      </c>
    </row>
    <row r="17" spans="1:15">
      <c r="A17" s="39" t="str">
        <f>INDEX([2]活动总表!$A$8:$A$429,MATCH(B17,[2]活动总表!$B$8:$B$429,0))</f>
        <v>合服BOSS积分</v>
      </c>
      <c r="B17" s="40">
        <v>161</v>
      </c>
      <c r="C17" s="40">
        <v>11</v>
      </c>
      <c r="D17" s="40"/>
      <c r="E17" s="40"/>
      <c r="F17" s="40"/>
      <c r="G17" s="40">
        <v>10012</v>
      </c>
      <c r="H17" s="40"/>
      <c r="I17" s="40"/>
      <c r="J17" s="40"/>
      <c r="K17" s="40"/>
      <c r="L17" s="40"/>
      <c r="M17" s="41">
        <v>161312</v>
      </c>
      <c r="N17" s="1" t="str">
        <f>IFERROR(INDEX([1]物品基础表!$A:$A,MATCH(M17,[1]物品基础表!$B:$B,0)),"")</f>
        <v>橙色战士110级戒指</v>
      </c>
      <c r="O17" s="41">
        <v>1</v>
      </c>
    </row>
    <row r="18" spans="1:15">
      <c r="A18" s="39" t="str">
        <f>INDEX([2]活动总表!$A$8:$A$429,MATCH(B18,[2]活动总表!$B$8:$B$429,0))</f>
        <v>合服BOSS积分</v>
      </c>
      <c r="B18" s="40">
        <v>161</v>
      </c>
      <c r="C18" s="40">
        <v>12</v>
      </c>
      <c r="D18" s="40"/>
      <c r="E18" s="40"/>
      <c r="F18" s="40"/>
      <c r="G18" s="40">
        <v>10012</v>
      </c>
      <c r="H18" s="40"/>
      <c r="I18" s="40"/>
      <c r="J18" s="40"/>
      <c r="K18" s="40"/>
      <c r="L18" s="40"/>
      <c r="M18" s="41">
        <v>111312</v>
      </c>
      <c r="N18" s="1" t="str">
        <f>IFERROR(INDEX([1]物品基础表!$A:$A,MATCH(M18,[1]物品基础表!$B:$B,0)),"")</f>
        <v>橙色战士110级头盔</v>
      </c>
      <c r="O18" s="41">
        <v>1</v>
      </c>
    </row>
    <row r="19" spans="1:15">
      <c r="A19" s="39" t="str">
        <f>INDEX([2]活动总表!$A$8:$A$429,MATCH(B19,[2]活动总表!$B$8:$B$429,0))</f>
        <v>合服BOSS积分</v>
      </c>
      <c r="B19" s="40">
        <v>161</v>
      </c>
      <c r="C19" s="40">
        <v>13</v>
      </c>
      <c r="D19" s="40"/>
      <c r="E19" s="40"/>
      <c r="F19" s="40"/>
      <c r="G19" s="40">
        <v>10012</v>
      </c>
      <c r="H19" s="40"/>
      <c r="I19" s="40"/>
      <c r="J19" s="40"/>
      <c r="K19" s="40"/>
      <c r="L19" s="40"/>
      <c r="M19" s="41">
        <v>131312</v>
      </c>
      <c r="N19" s="1" t="str">
        <f>IFERROR(INDEX([1]物品基础表!$A:$A,MATCH(M19,[1]物品基础表!$B:$B,0)),"")</f>
        <v>橙色战士110级项链</v>
      </c>
      <c r="O19" s="41">
        <v>1</v>
      </c>
    </row>
    <row r="20" spans="1:15">
      <c r="A20" s="39" t="str">
        <f>INDEX([2]活动总表!$A$8:$A$429,MATCH(B20,[2]活动总表!$B$8:$B$429,0))</f>
        <v>合服BOSS积分</v>
      </c>
      <c r="B20" s="40">
        <v>161</v>
      </c>
      <c r="C20" s="40">
        <v>14</v>
      </c>
      <c r="D20" s="40"/>
      <c r="E20" s="40"/>
      <c r="F20" s="40"/>
      <c r="G20" s="40">
        <v>10012</v>
      </c>
      <c r="H20" s="40"/>
      <c r="I20" s="40"/>
      <c r="J20" s="40"/>
      <c r="K20" s="40"/>
      <c r="L20" s="40"/>
      <c r="M20" s="41">
        <v>151312</v>
      </c>
      <c r="N20" s="1" t="str">
        <f>IFERROR(INDEX([1]物品基础表!$A:$A,MATCH(M20,[1]物品基础表!$B:$B,0)),"")</f>
        <v>橙色战士110级腰带</v>
      </c>
      <c r="O20" s="41">
        <v>1</v>
      </c>
    </row>
    <row r="21" spans="1:15">
      <c r="A21" s="39" t="str">
        <f>INDEX([2]活动总表!$A$8:$A$429,MATCH(B21,[2]活动总表!$B$8:$B$429,0))</f>
        <v>合服BOSS积分</v>
      </c>
      <c r="B21" s="40">
        <v>161</v>
      </c>
      <c r="C21" s="40">
        <v>15</v>
      </c>
      <c r="D21" s="40"/>
      <c r="E21" s="40"/>
      <c r="F21" s="40"/>
      <c r="G21" s="40">
        <v>10012</v>
      </c>
      <c r="H21" s="40"/>
      <c r="I21" s="40"/>
      <c r="J21" s="40"/>
      <c r="K21" s="40"/>
      <c r="L21" s="40"/>
      <c r="M21" s="41">
        <v>171312</v>
      </c>
      <c r="N21" s="1" t="str">
        <f>IFERROR(INDEX([1]物品基础表!$A:$A,MATCH(M21,[1]物品基础表!$B:$B,0)),"")</f>
        <v>橙色战士110级鞋子</v>
      </c>
      <c r="O21" s="41">
        <v>1</v>
      </c>
    </row>
    <row r="22" spans="1:15">
      <c r="A22" s="39" t="str">
        <f>INDEX([2]活动总表!$A$8:$A$429,MATCH(B22,[2]活动总表!$B$8:$B$429,0))</f>
        <v>合服BOSS积分</v>
      </c>
      <c r="B22" s="40">
        <v>161</v>
      </c>
      <c r="C22" s="40">
        <v>16</v>
      </c>
      <c r="D22" s="40"/>
      <c r="E22" s="40"/>
      <c r="F22" s="40"/>
      <c r="G22" s="40">
        <v>25032</v>
      </c>
      <c r="H22" s="40"/>
      <c r="I22" s="40"/>
      <c r="J22" s="40"/>
      <c r="K22" s="40"/>
      <c r="L22" s="40"/>
      <c r="M22" s="41">
        <v>102312</v>
      </c>
      <c r="N22" s="1" t="str">
        <f>IFERROR(INDEX([1]物品基础表!$A:$A,MATCH(M22,[1]物品基础表!$B:$B,0)),"")</f>
        <v>橙色法师110级武器</v>
      </c>
      <c r="O22" s="41">
        <v>1</v>
      </c>
    </row>
    <row r="23" spans="1:15">
      <c r="A23" s="39" t="str">
        <f>INDEX([2]活动总表!$A$8:$A$429,MATCH(B23,[2]活动总表!$B$8:$B$429,0))</f>
        <v>合服BOSS积分</v>
      </c>
      <c r="B23" s="40">
        <v>161</v>
      </c>
      <c r="C23" s="40">
        <v>17</v>
      </c>
      <c r="D23" s="40"/>
      <c r="E23" s="40"/>
      <c r="F23" s="40"/>
      <c r="G23" s="40">
        <v>18022</v>
      </c>
      <c r="H23" s="40"/>
      <c r="I23" s="40"/>
      <c r="J23" s="40"/>
      <c r="K23" s="40"/>
      <c r="L23" s="40"/>
      <c r="M23" s="41">
        <v>122312</v>
      </c>
      <c r="N23" s="1" t="str">
        <f>IFERROR(INDEX([1]物品基础表!$A:$A,MATCH(M23,[1]物品基础表!$B:$B,0)),"")</f>
        <v>橙色法师110级衣服</v>
      </c>
      <c r="O23" s="41">
        <v>1</v>
      </c>
    </row>
    <row r="24" spans="1:15">
      <c r="A24" s="39" t="str">
        <f>INDEX([2]活动总表!$A$8:$A$429,MATCH(B24,[2]活动总表!$B$8:$B$429,0))</f>
        <v>合服BOSS积分</v>
      </c>
      <c r="B24" s="40">
        <v>161</v>
      </c>
      <c r="C24" s="40">
        <v>18</v>
      </c>
      <c r="D24" s="40"/>
      <c r="E24" s="40"/>
      <c r="F24" s="40"/>
      <c r="G24" s="40">
        <v>10012</v>
      </c>
      <c r="H24" s="40"/>
      <c r="I24" s="40"/>
      <c r="J24" s="40"/>
      <c r="K24" s="40"/>
      <c r="L24" s="40"/>
      <c r="M24" s="41">
        <v>142312</v>
      </c>
      <c r="N24" s="1" t="str">
        <f>IFERROR(INDEX([1]物品基础表!$A:$A,MATCH(M24,[1]物品基础表!$B:$B,0)),"")</f>
        <v>橙色法师110级手镯</v>
      </c>
      <c r="O24" s="41">
        <v>1</v>
      </c>
    </row>
    <row r="25" spans="1:15">
      <c r="A25" s="39" t="str">
        <f>INDEX([2]活动总表!$A$8:$A$429,MATCH(B25,[2]活动总表!$B$8:$B$429,0))</f>
        <v>合服BOSS积分</v>
      </c>
      <c r="B25" s="40">
        <v>161</v>
      </c>
      <c r="C25" s="40">
        <v>19</v>
      </c>
      <c r="D25" s="40"/>
      <c r="E25" s="40"/>
      <c r="F25" s="40"/>
      <c r="G25" s="40">
        <v>10012</v>
      </c>
      <c r="H25" s="40"/>
      <c r="I25" s="40"/>
      <c r="J25" s="40"/>
      <c r="K25" s="40"/>
      <c r="L25" s="40"/>
      <c r="M25" s="41">
        <v>162312</v>
      </c>
      <c r="N25" s="1" t="str">
        <f>IFERROR(INDEX([1]物品基础表!$A:$A,MATCH(M25,[1]物品基础表!$B:$B,0)),"")</f>
        <v>橙色法师110级戒指</v>
      </c>
      <c r="O25" s="41">
        <v>1</v>
      </c>
    </row>
    <row r="26" spans="1:15">
      <c r="A26" s="39" t="str">
        <f>INDEX([2]活动总表!$A$8:$A$429,MATCH(B26,[2]活动总表!$B$8:$B$429,0))</f>
        <v>合服BOSS积分</v>
      </c>
      <c r="B26" s="40">
        <v>161</v>
      </c>
      <c r="C26" s="40">
        <v>20</v>
      </c>
      <c r="D26" s="40"/>
      <c r="E26" s="40"/>
      <c r="F26" s="40"/>
      <c r="G26" s="40">
        <v>10012</v>
      </c>
      <c r="H26" s="40"/>
      <c r="I26" s="40"/>
      <c r="J26" s="40"/>
      <c r="K26" s="40"/>
      <c r="L26" s="40"/>
      <c r="M26" s="41">
        <v>112312</v>
      </c>
      <c r="N26" s="1" t="str">
        <f>IFERROR(INDEX([1]物品基础表!$A:$A,MATCH(M26,[1]物品基础表!$B:$B,0)),"")</f>
        <v>橙色法师110级头盔</v>
      </c>
      <c r="O26" s="41">
        <v>1</v>
      </c>
    </row>
    <row r="27" spans="1:15">
      <c r="A27" s="39" t="str">
        <f>INDEX([2]活动总表!$A$8:$A$429,MATCH(B27,[2]活动总表!$B$8:$B$429,0))</f>
        <v>合服BOSS积分</v>
      </c>
      <c r="B27" s="40">
        <v>161</v>
      </c>
      <c r="C27" s="40">
        <v>21</v>
      </c>
      <c r="D27" s="40"/>
      <c r="E27" s="40"/>
      <c r="F27" s="40"/>
      <c r="G27" s="40">
        <v>10012</v>
      </c>
      <c r="H27" s="40"/>
      <c r="I27" s="40"/>
      <c r="J27" s="40"/>
      <c r="K27" s="40"/>
      <c r="L27" s="40"/>
      <c r="M27" s="41">
        <v>132312</v>
      </c>
      <c r="N27" s="1" t="str">
        <f>IFERROR(INDEX([1]物品基础表!$A:$A,MATCH(M27,[1]物品基础表!$B:$B,0)),"")</f>
        <v>橙色法师110级项链</v>
      </c>
      <c r="O27" s="41">
        <v>1</v>
      </c>
    </row>
    <row r="28" spans="1:15">
      <c r="A28" s="39" t="str">
        <f>INDEX([2]活动总表!$A$8:$A$429,MATCH(B28,[2]活动总表!$B$8:$B$429,0))</f>
        <v>合服BOSS积分</v>
      </c>
      <c r="B28" s="40">
        <v>161</v>
      </c>
      <c r="C28" s="40">
        <v>22</v>
      </c>
      <c r="D28" s="40"/>
      <c r="E28" s="40"/>
      <c r="F28" s="40"/>
      <c r="G28" s="40">
        <v>10012</v>
      </c>
      <c r="H28" s="40"/>
      <c r="I28" s="40"/>
      <c r="J28" s="40"/>
      <c r="K28" s="40"/>
      <c r="L28" s="40"/>
      <c r="M28" s="41">
        <v>152312</v>
      </c>
      <c r="N28" s="1" t="str">
        <f>IFERROR(INDEX([1]物品基础表!$A:$A,MATCH(M28,[1]物品基础表!$B:$B,0)),"")</f>
        <v>橙色法师110级腰带</v>
      </c>
      <c r="O28" s="41">
        <v>1</v>
      </c>
    </row>
    <row r="29" spans="1:15">
      <c r="A29" s="39" t="str">
        <f>INDEX([2]活动总表!$A$8:$A$429,MATCH(B29,[2]活动总表!$B$8:$B$429,0))</f>
        <v>合服BOSS积分</v>
      </c>
      <c r="B29" s="40">
        <v>161</v>
      </c>
      <c r="C29" s="40">
        <v>23</v>
      </c>
      <c r="D29" s="40"/>
      <c r="E29" s="40"/>
      <c r="F29" s="40"/>
      <c r="G29" s="40">
        <v>10012</v>
      </c>
      <c r="H29" s="40"/>
      <c r="I29" s="40"/>
      <c r="J29" s="40"/>
      <c r="K29" s="40"/>
      <c r="L29" s="40"/>
      <c r="M29" s="41">
        <v>172312</v>
      </c>
      <c r="N29" s="1" t="str">
        <f>IFERROR(INDEX([1]物品基础表!$A:$A,MATCH(M29,[1]物品基础表!$B:$B,0)),"")</f>
        <v>橙色法师110级鞋子</v>
      </c>
      <c r="O29" s="41">
        <v>1</v>
      </c>
    </row>
    <row r="30" spans="1:15">
      <c r="A30" s="39" t="str">
        <f>INDEX([2]活动总表!$A$8:$A$429,MATCH(B30,[2]活动总表!$B$8:$B$429,0))</f>
        <v>合服BOSS积分</v>
      </c>
      <c r="B30" s="40">
        <v>161</v>
      </c>
      <c r="C30" s="40">
        <v>24</v>
      </c>
      <c r="D30" s="40"/>
      <c r="E30" s="40"/>
      <c r="F30" s="40"/>
      <c r="G30" s="40">
        <v>25032</v>
      </c>
      <c r="H30" s="40"/>
      <c r="I30" s="40"/>
      <c r="J30" s="40"/>
      <c r="K30" s="40"/>
      <c r="L30" s="40"/>
      <c r="M30" s="41">
        <v>103312</v>
      </c>
      <c r="N30" s="1" t="str">
        <f>IFERROR(INDEX([1]物品基础表!$A:$A,MATCH(M30,[1]物品基础表!$B:$B,0)),"")</f>
        <v>橙色道士110级武器</v>
      </c>
      <c r="O30" s="41">
        <v>1</v>
      </c>
    </row>
    <row r="31" spans="1:15">
      <c r="A31" s="39" t="str">
        <f>INDEX([2]活动总表!$A$8:$A$429,MATCH(B31,[2]活动总表!$B$8:$B$429,0))</f>
        <v>合服BOSS积分</v>
      </c>
      <c r="B31" s="40">
        <v>161</v>
      </c>
      <c r="C31" s="40">
        <v>25</v>
      </c>
      <c r="D31" s="40"/>
      <c r="E31" s="40"/>
      <c r="F31" s="40"/>
      <c r="G31" s="40">
        <v>18022</v>
      </c>
      <c r="H31" s="40"/>
      <c r="I31" s="40"/>
      <c r="J31" s="40"/>
      <c r="K31" s="40"/>
      <c r="L31" s="40"/>
      <c r="M31" s="41">
        <v>123312</v>
      </c>
      <c r="N31" s="1" t="str">
        <f>IFERROR(INDEX([1]物品基础表!$A:$A,MATCH(M31,[1]物品基础表!$B:$B,0)),"")</f>
        <v>橙色道士110级衣服</v>
      </c>
      <c r="O31" s="41">
        <v>1</v>
      </c>
    </row>
    <row r="32" spans="1:15">
      <c r="A32" s="39" t="str">
        <f>INDEX([2]活动总表!$A$8:$A$429,MATCH(B32,[2]活动总表!$B$8:$B$429,0))</f>
        <v>合服BOSS积分</v>
      </c>
      <c r="B32" s="40">
        <v>161</v>
      </c>
      <c r="C32" s="40">
        <v>26</v>
      </c>
      <c r="D32" s="40"/>
      <c r="E32" s="40"/>
      <c r="F32" s="40"/>
      <c r="G32" s="40">
        <v>10012</v>
      </c>
      <c r="H32" s="40"/>
      <c r="I32" s="40"/>
      <c r="J32" s="40"/>
      <c r="K32" s="40"/>
      <c r="L32" s="40"/>
      <c r="M32" s="41">
        <v>143312</v>
      </c>
      <c r="N32" s="1" t="str">
        <f>IFERROR(INDEX([1]物品基础表!$A:$A,MATCH(M32,[1]物品基础表!$B:$B,0)),"")</f>
        <v>橙色道士110级手镯</v>
      </c>
      <c r="O32" s="41">
        <v>1</v>
      </c>
    </row>
    <row r="33" spans="1:15">
      <c r="A33" s="39" t="str">
        <f>INDEX([2]活动总表!$A$8:$A$429,MATCH(B33,[2]活动总表!$B$8:$B$429,0))</f>
        <v>合服BOSS积分</v>
      </c>
      <c r="B33" s="40">
        <v>161</v>
      </c>
      <c r="C33" s="40">
        <v>27</v>
      </c>
      <c r="D33" s="40"/>
      <c r="E33" s="40"/>
      <c r="F33" s="40"/>
      <c r="G33" s="40">
        <v>10012</v>
      </c>
      <c r="H33" s="40"/>
      <c r="I33" s="40"/>
      <c r="J33" s="40"/>
      <c r="K33" s="40"/>
      <c r="L33" s="40"/>
      <c r="M33" s="41">
        <v>163312</v>
      </c>
      <c r="N33" s="1" t="str">
        <f>IFERROR(INDEX([1]物品基础表!$A:$A,MATCH(M33,[1]物品基础表!$B:$B,0)),"")</f>
        <v>橙色道士110级戒指</v>
      </c>
      <c r="O33" s="41">
        <v>1</v>
      </c>
    </row>
    <row r="34" spans="1:15">
      <c r="A34" s="39" t="str">
        <f>INDEX([2]活动总表!$A$8:$A$429,MATCH(B34,[2]活动总表!$B$8:$B$429,0))</f>
        <v>合服BOSS积分</v>
      </c>
      <c r="B34" s="40">
        <v>161</v>
      </c>
      <c r="C34" s="40">
        <v>28</v>
      </c>
      <c r="D34" s="40"/>
      <c r="E34" s="40"/>
      <c r="F34" s="40"/>
      <c r="G34" s="40">
        <v>10012</v>
      </c>
      <c r="H34" s="40"/>
      <c r="I34" s="40"/>
      <c r="J34" s="40"/>
      <c r="K34" s="40"/>
      <c r="L34" s="40"/>
      <c r="M34" s="41">
        <v>113312</v>
      </c>
      <c r="N34" s="1" t="str">
        <f>IFERROR(INDEX([1]物品基础表!$A:$A,MATCH(M34,[1]物品基础表!$B:$B,0)),"")</f>
        <v>橙色道士110级头盔</v>
      </c>
      <c r="O34" s="41">
        <v>1</v>
      </c>
    </row>
    <row r="35" spans="1:15">
      <c r="A35" s="39" t="str">
        <f>INDEX([2]活动总表!$A$8:$A$429,MATCH(B35,[2]活动总表!$B$8:$B$429,0))</f>
        <v>合服BOSS积分</v>
      </c>
      <c r="B35" s="40">
        <v>161</v>
      </c>
      <c r="C35" s="40">
        <v>29</v>
      </c>
      <c r="D35" s="40"/>
      <c r="E35" s="40"/>
      <c r="F35" s="40"/>
      <c r="G35" s="40">
        <v>10012</v>
      </c>
      <c r="H35" s="40"/>
      <c r="I35" s="40"/>
      <c r="J35" s="40"/>
      <c r="K35" s="40"/>
      <c r="L35" s="40"/>
      <c r="M35" s="41">
        <v>133312</v>
      </c>
      <c r="N35" s="1" t="str">
        <f>IFERROR(INDEX([1]物品基础表!$A:$A,MATCH(M35,[1]物品基础表!$B:$B,0)),"")</f>
        <v>橙色道士110级项链</v>
      </c>
      <c r="O35" s="41">
        <v>1</v>
      </c>
    </row>
    <row r="36" spans="1:15">
      <c r="A36" s="39" t="str">
        <f>INDEX([2]活动总表!$A$8:$A$429,MATCH(B36,[2]活动总表!$B$8:$B$429,0))</f>
        <v>合服BOSS积分</v>
      </c>
      <c r="B36" s="40">
        <v>161</v>
      </c>
      <c r="C36" s="40">
        <v>30</v>
      </c>
      <c r="D36" s="40"/>
      <c r="E36" s="40"/>
      <c r="F36" s="40"/>
      <c r="G36" s="40">
        <v>10012</v>
      </c>
      <c r="H36" s="40"/>
      <c r="I36" s="40"/>
      <c r="J36" s="40"/>
      <c r="K36" s="40"/>
      <c r="L36" s="40"/>
      <c r="M36" s="41">
        <v>153312</v>
      </c>
      <c r="N36" s="1" t="str">
        <f>IFERROR(INDEX([1]物品基础表!$A:$A,MATCH(M36,[1]物品基础表!$B:$B,0)),"")</f>
        <v>橙色道士110级腰带</v>
      </c>
      <c r="O36" s="41">
        <v>1</v>
      </c>
    </row>
    <row r="37" spans="1:15">
      <c r="A37" s="39" t="str">
        <f>INDEX([2]活动总表!$A$8:$A$429,MATCH(B37,[2]活动总表!$B$8:$B$429,0))</f>
        <v>合服BOSS积分</v>
      </c>
      <c r="B37" s="40">
        <v>161</v>
      </c>
      <c r="C37" s="40">
        <v>31</v>
      </c>
      <c r="D37" s="40"/>
      <c r="E37" s="40"/>
      <c r="F37" s="40"/>
      <c r="G37" s="40">
        <v>10012</v>
      </c>
      <c r="H37" s="40"/>
      <c r="I37" s="40"/>
      <c r="J37" s="40"/>
      <c r="K37" s="40"/>
      <c r="L37" s="40"/>
      <c r="M37" s="41">
        <v>173312</v>
      </c>
      <c r="N37" s="1" t="str">
        <f>IFERROR(INDEX([1]物品基础表!$A:$A,MATCH(M37,[1]物品基础表!$B:$B,0)),"")</f>
        <v>橙色道士110级鞋子</v>
      </c>
      <c r="O37" s="41">
        <v>1</v>
      </c>
    </row>
    <row r="38" spans="1:15">
      <c r="A38" s="39" t="str">
        <f>INDEX([2]活动总表!$A$8:$A$429,MATCH(B38,[2]活动总表!$B$8:$B$429,0))</f>
        <v>合服BOSS积分</v>
      </c>
      <c r="B38" s="40">
        <v>161</v>
      </c>
      <c r="C38" s="40">
        <v>32</v>
      </c>
      <c r="D38" s="40"/>
      <c r="E38" s="40"/>
      <c r="F38" s="40"/>
      <c r="G38" s="40">
        <v>35752</v>
      </c>
      <c r="H38" s="40"/>
      <c r="I38" s="40"/>
      <c r="J38" s="40"/>
      <c r="K38" s="40"/>
      <c r="L38" s="40"/>
      <c r="M38" s="41">
        <v>101313</v>
      </c>
      <c r="N38" s="1" t="str">
        <f>IFERROR(INDEX([1]物品基础表!$A:$A,MATCH(M38,[1]物品基础表!$B:$B,0)),"")</f>
        <v>橙色战士120级武器</v>
      </c>
      <c r="O38" s="41">
        <v>1</v>
      </c>
    </row>
    <row r="39" spans="1:15">
      <c r="A39" s="39" t="str">
        <f>INDEX([2]活动总表!$A$8:$A$429,MATCH(B39,[2]活动总表!$B$8:$B$429,0))</f>
        <v>合服BOSS积分</v>
      </c>
      <c r="B39" s="40">
        <v>161</v>
      </c>
      <c r="C39" s="40">
        <v>33</v>
      </c>
      <c r="D39" s="40"/>
      <c r="E39" s="40"/>
      <c r="F39" s="40"/>
      <c r="G39" s="40">
        <v>25740</v>
      </c>
      <c r="H39" s="40"/>
      <c r="I39" s="40"/>
      <c r="J39" s="40"/>
      <c r="K39" s="40"/>
      <c r="L39" s="40"/>
      <c r="M39" s="41">
        <v>121313</v>
      </c>
      <c r="N39" s="1" t="str">
        <f>IFERROR(INDEX([1]物品基础表!$A:$A,MATCH(M39,[1]物品基础表!$B:$B,0)),"")</f>
        <v>橙色战士120级衣服</v>
      </c>
      <c r="O39" s="41">
        <v>1</v>
      </c>
    </row>
    <row r="40" spans="1:15">
      <c r="A40" s="39" t="str">
        <f>INDEX([2]活动总表!$A$8:$A$429,MATCH(B40,[2]活动总表!$B$8:$B$429,0))</f>
        <v>合服BOSS积分</v>
      </c>
      <c r="B40" s="40">
        <v>161</v>
      </c>
      <c r="C40" s="40">
        <v>34</v>
      </c>
      <c r="D40" s="40"/>
      <c r="E40" s="40"/>
      <c r="F40" s="40"/>
      <c r="G40" s="40">
        <v>14300</v>
      </c>
      <c r="H40" s="40"/>
      <c r="I40" s="40"/>
      <c r="J40" s="40"/>
      <c r="K40" s="40"/>
      <c r="L40" s="40"/>
      <c r="M40" s="41">
        <v>141313</v>
      </c>
      <c r="N40" s="1" t="str">
        <f>IFERROR(INDEX([1]物品基础表!$A:$A,MATCH(M40,[1]物品基础表!$B:$B,0)),"")</f>
        <v>橙色战士120级手镯</v>
      </c>
      <c r="O40" s="41">
        <v>1</v>
      </c>
    </row>
    <row r="41" spans="1:15">
      <c r="A41" s="39" t="str">
        <f>INDEX([2]活动总表!$A$8:$A$429,MATCH(B41,[2]活动总表!$B$8:$B$429,0))</f>
        <v>合服BOSS积分</v>
      </c>
      <c r="B41" s="40">
        <v>161</v>
      </c>
      <c r="C41" s="40">
        <v>35</v>
      </c>
      <c r="D41" s="40"/>
      <c r="E41" s="40"/>
      <c r="F41" s="40"/>
      <c r="G41" s="40">
        <v>14300</v>
      </c>
      <c r="H41" s="40"/>
      <c r="I41" s="40"/>
      <c r="J41" s="40"/>
      <c r="K41" s="40"/>
      <c r="L41" s="40"/>
      <c r="M41" s="41">
        <v>161313</v>
      </c>
      <c r="N41" s="1" t="str">
        <f>IFERROR(INDEX([1]物品基础表!$A:$A,MATCH(M41,[1]物品基础表!$B:$B,0)),"")</f>
        <v>橙色战士120级戒指</v>
      </c>
      <c r="O41" s="41">
        <v>1</v>
      </c>
    </row>
    <row r="42" spans="1:15">
      <c r="A42" s="39" t="str">
        <f>INDEX([2]活动总表!$A$8:$A$429,MATCH(B42,[2]活动总表!$B$8:$B$429,0))</f>
        <v>合服BOSS积分</v>
      </c>
      <c r="B42" s="40">
        <v>161</v>
      </c>
      <c r="C42" s="40">
        <v>36</v>
      </c>
      <c r="D42" s="40"/>
      <c r="E42" s="40"/>
      <c r="F42" s="40"/>
      <c r="G42" s="40">
        <v>14300</v>
      </c>
      <c r="H42" s="40"/>
      <c r="I42" s="40"/>
      <c r="J42" s="40"/>
      <c r="K42" s="40"/>
      <c r="L42" s="40"/>
      <c r="M42" s="41">
        <v>111313</v>
      </c>
      <c r="N42" s="1" t="str">
        <f>IFERROR(INDEX([1]物品基础表!$A:$A,MATCH(M42,[1]物品基础表!$B:$B,0)),"")</f>
        <v>橙色战士120级头盔</v>
      </c>
      <c r="O42" s="41">
        <v>1</v>
      </c>
    </row>
    <row r="43" spans="1:15">
      <c r="A43" s="39" t="str">
        <f>INDEX([2]活动总表!$A$8:$A$429,MATCH(B43,[2]活动总表!$B$8:$B$429,0))</f>
        <v>合服BOSS积分</v>
      </c>
      <c r="B43" s="40">
        <v>161</v>
      </c>
      <c r="C43" s="40">
        <v>37</v>
      </c>
      <c r="D43" s="40"/>
      <c r="E43" s="40"/>
      <c r="F43" s="40"/>
      <c r="G43" s="40">
        <v>14300</v>
      </c>
      <c r="H43" s="40"/>
      <c r="I43" s="40"/>
      <c r="J43" s="40"/>
      <c r="K43" s="40"/>
      <c r="L43" s="40"/>
      <c r="M43" s="41">
        <v>131313</v>
      </c>
      <c r="N43" s="1" t="str">
        <f>IFERROR(INDEX([1]物品基础表!$A:$A,MATCH(M43,[1]物品基础表!$B:$B,0)),"")</f>
        <v>橙色战士120级项链</v>
      </c>
      <c r="O43" s="41">
        <v>1</v>
      </c>
    </row>
    <row r="44" spans="1:15">
      <c r="A44" s="39" t="str">
        <f>INDEX([2]活动总表!$A$8:$A$429,MATCH(B44,[2]活动总表!$B$8:$B$429,0))</f>
        <v>合服BOSS积分</v>
      </c>
      <c r="B44" s="40">
        <v>161</v>
      </c>
      <c r="C44" s="40">
        <v>38</v>
      </c>
      <c r="D44" s="40"/>
      <c r="E44" s="40"/>
      <c r="F44" s="40"/>
      <c r="G44" s="40">
        <v>14300</v>
      </c>
      <c r="H44" s="40"/>
      <c r="I44" s="40"/>
      <c r="J44" s="40"/>
      <c r="K44" s="40"/>
      <c r="L44" s="40"/>
      <c r="M44" s="41">
        <v>151313</v>
      </c>
      <c r="N44" s="1" t="str">
        <f>IFERROR(INDEX([1]物品基础表!$A:$A,MATCH(M44,[1]物品基础表!$B:$B,0)),"")</f>
        <v>橙色战士120级腰带</v>
      </c>
      <c r="O44" s="41">
        <v>1</v>
      </c>
    </row>
    <row r="45" spans="1:15">
      <c r="A45" s="39" t="str">
        <f>INDEX([2]活动总表!$A$8:$A$429,MATCH(B45,[2]活动总表!$B$8:$B$429,0))</f>
        <v>合服BOSS积分</v>
      </c>
      <c r="B45" s="40">
        <v>161</v>
      </c>
      <c r="C45" s="40">
        <v>39</v>
      </c>
      <c r="D45" s="40"/>
      <c r="E45" s="40"/>
      <c r="F45" s="40"/>
      <c r="G45" s="40">
        <v>14300</v>
      </c>
      <c r="H45" s="40"/>
      <c r="I45" s="40"/>
      <c r="J45" s="40"/>
      <c r="K45" s="40"/>
      <c r="L45" s="40"/>
      <c r="M45" s="41">
        <v>171313</v>
      </c>
      <c r="N45" s="1" t="str">
        <f>IFERROR(INDEX([1]物品基础表!$A:$A,MATCH(M45,[1]物品基础表!$B:$B,0)),"")</f>
        <v>橙色战士120级鞋子</v>
      </c>
      <c r="O45" s="41">
        <v>1</v>
      </c>
    </row>
    <row r="46" spans="1:15">
      <c r="A46" s="39" t="str">
        <f>INDEX([2]活动总表!$A$8:$A$429,MATCH(B46,[2]活动总表!$B$8:$B$429,0))</f>
        <v>合服BOSS积分</v>
      </c>
      <c r="B46" s="40">
        <v>161</v>
      </c>
      <c r="C46" s="40">
        <v>40</v>
      </c>
      <c r="D46" s="40"/>
      <c r="E46" s="40"/>
      <c r="F46" s="40"/>
      <c r="G46" s="40">
        <v>35752</v>
      </c>
      <c r="H46" s="40"/>
      <c r="I46" s="40"/>
      <c r="J46" s="40"/>
      <c r="K46" s="40"/>
      <c r="L46" s="40"/>
      <c r="M46" s="41">
        <v>102313</v>
      </c>
      <c r="N46" s="1" t="str">
        <f>IFERROR(INDEX([1]物品基础表!$A:$A,MATCH(M46,[1]物品基础表!$B:$B,0)),"")</f>
        <v>橙色法师120级武器</v>
      </c>
      <c r="O46" s="41">
        <v>1</v>
      </c>
    </row>
    <row r="47" spans="1:15">
      <c r="A47" s="39" t="str">
        <f>INDEX([2]活动总表!$A$8:$A$429,MATCH(B47,[2]活动总表!$B$8:$B$429,0))</f>
        <v>合服BOSS积分</v>
      </c>
      <c r="B47" s="40">
        <v>161</v>
      </c>
      <c r="C47" s="40">
        <v>41</v>
      </c>
      <c r="D47" s="40"/>
      <c r="E47" s="40"/>
      <c r="F47" s="40"/>
      <c r="G47" s="40">
        <v>25740</v>
      </c>
      <c r="H47" s="40"/>
      <c r="I47" s="40"/>
      <c r="J47" s="40"/>
      <c r="K47" s="40"/>
      <c r="L47" s="40"/>
      <c r="M47" s="41">
        <v>122313</v>
      </c>
      <c r="N47" s="1" t="str">
        <f>IFERROR(INDEX([1]物品基础表!$A:$A,MATCH(M47,[1]物品基础表!$B:$B,0)),"")</f>
        <v>橙色法师120级衣服</v>
      </c>
      <c r="O47" s="41">
        <v>1</v>
      </c>
    </row>
    <row r="48" spans="1:15">
      <c r="A48" s="39" t="str">
        <f>INDEX([2]活动总表!$A$8:$A$429,MATCH(B48,[2]活动总表!$B$8:$B$429,0))</f>
        <v>合服BOSS积分</v>
      </c>
      <c r="B48" s="40">
        <v>161</v>
      </c>
      <c r="C48" s="40">
        <v>42</v>
      </c>
      <c r="D48" s="40"/>
      <c r="E48" s="40"/>
      <c r="F48" s="40"/>
      <c r="G48" s="40">
        <v>14300</v>
      </c>
      <c r="H48" s="40"/>
      <c r="I48" s="40"/>
      <c r="J48" s="40"/>
      <c r="K48" s="40"/>
      <c r="L48" s="40"/>
      <c r="M48" s="41">
        <v>142313</v>
      </c>
      <c r="N48" s="1" t="str">
        <f>IFERROR(INDEX([1]物品基础表!$A:$A,MATCH(M48,[1]物品基础表!$B:$B,0)),"")</f>
        <v>橙色法师120级手镯</v>
      </c>
      <c r="O48" s="41">
        <v>1</v>
      </c>
    </row>
    <row r="49" spans="1:15">
      <c r="A49" s="39" t="str">
        <f>INDEX([2]活动总表!$A$8:$A$429,MATCH(B49,[2]活动总表!$B$8:$B$429,0))</f>
        <v>合服BOSS积分</v>
      </c>
      <c r="B49" s="40">
        <v>161</v>
      </c>
      <c r="C49" s="40">
        <v>43</v>
      </c>
      <c r="D49" s="40"/>
      <c r="E49" s="40"/>
      <c r="F49" s="40"/>
      <c r="G49" s="40">
        <v>14300</v>
      </c>
      <c r="H49" s="40"/>
      <c r="I49" s="40"/>
      <c r="J49" s="40"/>
      <c r="K49" s="40"/>
      <c r="L49" s="40"/>
      <c r="M49" s="41">
        <v>162313</v>
      </c>
      <c r="N49" s="1" t="str">
        <f>IFERROR(INDEX([1]物品基础表!$A:$A,MATCH(M49,[1]物品基础表!$B:$B,0)),"")</f>
        <v>橙色法师120级戒指</v>
      </c>
      <c r="O49" s="41">
        <v>1</v>
      </c>
    </row>
    <row r="50" spans="1:15">
      <c r="A50" s="39" t="str">
        <f>INDEX([2]活动总表!$A$8:$A$429,MATCH(B50,[2]活动总表!$B$8:$B$429,0))</f>
        <v>合服BOSS积分</v>
      </c>
      <c r="B50" s="40">
        <v>161</v>
      </c>
      <c r="C50" s="40">
        <v>44</v>
      </c>
      <c r="D50" s="40"/>
      <c r="E50" s="40"/>
      <c r="F50" s="40"/>
      <c r="G50" s="40">
        <v>14300</v>
      </c>
      <c r="H50" s="40"/>
      <c r="I50" s="40"/>
      <c r="J50" s="40"/>
      <c r="K50" s="40"/>
      <c r="L50" s="40"/>
      <c r="M50" s="41">
        <v>112313</v>
      </c>
      <c r="N50" s="1" t="str">
        <f>IFERROR(INDEX([1]物品基础表!$A:$A,MATCH(M50,[1]物品基础表!$B:$B,0)),"")</f>
        <v>橙色法师120级头盔</v>
      </c>
      <c r="O50" s="41">
        <v>1</v>
      </c>
    </row>
    <row r="51" spans="1:15">
      <c r="A51" s="39" t="str">
        <f>INDEX([2]活动总表!$A$8:$A$429,MATCH(B51,[2]活动总表!$B$8:$B$429,0))</f>
        <v>合服BOSS积分</v>
      </c>
      <c r="B51" s="40">
        <v>161</v>
      </c>
      <c r="C51" s="40">
        <v>45</v>
      </c>
      <c r="D51" s="40"/>
      <c r="E51" s="40"/>
      <c r="F51" s="40"/>
      <c r="G51" s="40">
        <v>14300</v>
      </c>
      <c r="H51" s="40"/>
      <c r="I51" s="40"/>
      <c r="J51" s="40"/>
      <c r="K51" s="40"/>
      <c r="L51" s="40"/>
      <c r="M51" s="41">
        <v>132313</v>
      </c>
      <c r="N51" s="1" t="str">
        <f>IFERROR(INDEX([1]物品基础表!$A:$A,MATCH(M51,[1]物品基础表!$B:$B,0)),"")</f>
        <v>橙色法师120级项链</v>
      </c>
      <c r="O51" s="41">
        <v>1</v>
      </c>
    </row>
    <row r="52" spans="1:15">
      <c r="A52" s="39" t="str">
        <f>INDEX([2]活动总表!$A$8:$A$429,MATCH(B52,[2]活动总表!$B$8:$B$429,0))</f>
        <v>合服BOSS积分</v>
      </c>
      <c r="B52" s="40">
        <v>161</v>
      </c>
      <c r="C52" s="40">
        <v>46</v>
      </c>
      <c r="D52" s="40"/>
      <c r="E52" s="40"/>
      <c r="F52" s="40"/>
      <c r="G52" s="40">
        <v>14300</v>
      </c>
      <c r="H52" s="40"/>
      <c r="I52" s="40"/>
      <c r="J52" s="40"/>
      <c r="K52" s="40"/>
      <c r="L52" s="40"/>
      <c r="M52" s="41">
        <v>152313</v>
      </c>
      <c r="N52" s="1" t="str">
        <f>IFERROR(INDEX([1]物品基础表!$A:$A,MATCH(M52,[1]物品基础表!$B:$B,0)),"")</f>
        <v>橙色法师120级腰带</v>
      </c>
      <c r="O52" s="41">
        <v>1</v>
      </c>
    </row>
    <row r="53" spans="1:15">
      <c r="A53" s="39" t="str">
        <f>INDEX([2]活动总表!$A$8:$A$429,MATCH(B53,[2]活动总表!$B$8:$B$429,0))</f>
        <v>合服BOSS积分</v>
      </c>
      <c r="B53" s="40">
        <v>161</v>
      </c>
      <c r="C53" s="40">
        <v>47</v>
      </c>
      <c r="D53" s="40"/>
      <c r="E53" s="40"/>
      <c r="F53" s="40"/>
      <c r="G53" s="40">
        <v>14300</v>
      </c>
      <c r="H53" s="40"/>
      <c r="I53" s="40"/>
      <c r="J53" s="40"/>
      <c r="K53" s="40"/>
      <c r="L53" s="40"/>
      <c r="M53" s="41">
        <v>172313</v>
      </c>
      <c r="N53" s="1" t="str">
        <f>IFERROR(INDEX([1]物品基础表!$A:$A,MATCH(M53,[1]物品基础表!$B:$B,0)),"")</f>
        <v>橙色法师120级鞋子</v>
      </c>
      <c r="O53" s="41">
        <v>1</v>
      </c>
    </row>
    <row r="54" spans="1:15">
      <c r="A54" s="39" t="str">
        <f>INDEX([2]活动总表!$A$8:$A$429,MATCH(B54,[2]活动总表!$B$8:$B$429,0))</f>
        <v>合服BOSS积分</v>
      </c>
      <c r="B54" s="40">
        <v>161</v>
      </c>
      <c r="C54" s="40">
        <v>48</v>
      </c>
      <c r="D54" s="40"/>
      <c r="E54" s="40"/>
      <c r="F54" s="40"/>
      <c r="G54" s="40">
        <v>35752</v>
      </c>
      <c r="H54" s="40"/>
      <c r="I54" s="40"/>
      <c r="J54" s="40"/>
      <c r="K54" s="40"/>
      <c r="L54" s="40"/>
      <c r="M54" s="41">
        <v>103313</v>
      </c>
      <c r="N54" s="1" t="str">
        <f>IFERROR(INDEX([1]物品基础表!$A:$A,MATCH(M54,[1]物品基础表!$B:$B,0)),"")</f>
        <v>橙色道士120级武器</v>
      </c>
      <c r="O54" s="41">
        <v>1</v>
      </c>
    </row>
    <row r="55" spans="1:15">
      <c r="A55" s="39" t="str">
        <f>INDEX([2]活动总表!$A$8:$A$429,MATCH(B55,[2]活动总表!$B$8:$B$429,0))</f>
        <v>合服BOSS积分</v>
      </c>
      <c r="B55" s="40">
        <v>161</v>
      </c>
      <c r="C55" s="40">
        <v>49</v>
      </c>
      <c r="D55" s="40"/>
      <c r="E55" s="40"/>
      <c r="F55" s="40"/>
      <c r="G55" s="40">
        <v>25740</v>
      </c>
      <c r="H55" s="40"/>
      <c r="I55" s="40"/>
      <c r="J55" s="40"/>
      <c r="K55" s="40"/>
      <c r="L55" s="40"/>
      <c r="M55" s="41">
        <v>123313</v>
      </c>
      <c r="N55" s="1" t="str">
        <f>IFERROR(INDEX([1]物品基础表!$A:$A,MATCH(M55,[1]物品基础表!$B:$B,0)),"")</f>
        <v>橙色道士120级衣服</v>
      </c>
      <c r="O55" s="41">
        <v>1</v>
      </c>
    </row>
    <row r="56" spans="1:15">
      <c r="A56" s="39" t="str">
        <f>INDEX([2]活动总表!$A$8:$A$429,MATCH(B56,[2]活动总表!$B$8:$B$429,0))</f>
        <v>合服BOSS积分</v>
      </c>
      <c r="B56" s="40">
        <v>161</v>
      </c>
      <c r="C56" s="40">
        <v>50</v>
      </c>
      <c r="D56" s="40"/>
      <c r="E56" s="40"/>
      <c r="F56" s="40"/>
      <c r="G56" s="40">
        <v>14300</v>
      </c>
      <c r="H56" s="40"/>
      <c r="I56" s="40"/>
      <c r="J56" s="40"/>
      <c r="K56" s="40"/>
      <c r="L56" s="40"/>
      <c r="M56" s="41">
        <v>143313</v>
      </c>
      <c r="N56" s="1" t="str">
        <f>IFERROR(INDEX([1]物品基础表!$A:$A,MATCH(M56,[1]物品基础表!$B:$B,0)),"")</f>
        <v>橙色道士120级手镯</v>
      </c>
      <c r="O56" s="41">
        <v>1</v>
      </c>
    </row>
    <row r="57" spans="1:15">
      <c r="A57" s="39" t="str">
        <f>INDEX([2]活动总表!$A$8:$A$429,MATCH(B57,[2]活动总表!$B$8:$B$429,0))</f>
        <v>合服BOSS积分</v>
      </c>
      <c r="B57" s="40">
        <v>161</v>
      </c>
      <c r="C57" s="40">
        <v>51</v>
      </c>
      <c r="D57" s="40"/>
      <c r="E57" s="40"/>
      <c r="F57" s="40"/>
      <c r="G57" s="40">
        <v>14300</v>
      </c>
      <c r="H57" s="40"/>
      <c r="I57" s="40"/>
      <c r="J57" s="40"/>
      <c r="K57" s="40"/>
      <c r="L57" s="40"/>
      <c r="M57" s="41">
        <v>163313</v>
      </c>
      <c r="N57" s="1" t="str">
        <f>IFERROR(INDEX([1]物品基础表!$A:$A,MATCH(M57,[1]物品基础表!$B:$B,0)),"")</f>
        <v>橙色道士120级戒指</v>
      </c>
      <c r="O57" s="41">
        <v>1</v>
      </c>
    </row>
    <row r="58" spans="1:15">
      <c r="A58" s="39" t="str">
        <f>INDEX([2]活动总表!$A$8:$A$429,MATCH(B58,[2]活动总表!$B$8:$B$429,0))</f>
        <v>合服BOSS积分</v>
      </c>
      <c r="B58" s="40">
        <v>161</v>
      </c>
      <c r="C58" s="40">
        <v>52</v>
      </c>
      <c r="D58" s="40"/>
      <c r="E58" s="40"/>
      <c r="F58" s="40"/>
      <c r="G58" s="40">
        <v>14300</v>
      </c>
      <c r="H58" s="40"/>
      <c r="I58" s="40"/>
      <c r="J58" s="40"/>
      <c r="K58" s="40"/>
      <c r="L58" s="40"/>
      <c r="M58" s="41">
        <v>113313</v>
      </c>
      <c r="N58" s="1" t="str">
        <f>IFERROR(INDEX([1]物品基础表!$A:$A,MATCH(M58,[1]物品基础表!$B:$B,0)),"")</f>
        <v>橙色道士120级头盔</v>
      </c>
      <c r="O58" s="41">
        <v>1</v>
      </c>
    </row>
    <row r="59" spans="1:15">
      <c r="A59" s="39" t="str">
        <f>INDEX([2]活动总表!$A$8:$A$429,MATCH(B59,[2]活动总表!$B$8:$B$429,0))</f>
        <v>合服BOSS积分</v>
      </c>
      <c r="B59" s="40">
        <v>161</v>
      </c>
      <c r="C59" s="40">
        <v>53</v>
      </c>
      <c r="D59" s="40"/>
      <c r="E59" s="40"/>
      <c r="F59" s="40"/>
      <c r="G59" s="40">
        <v>14300</v>
      </c>
      <c r="H59" s="40"/>
      <c r="I59" s="40"/>
      <c r="J59" s="40"/>
      <c r="K59" s="40"/>
      <c r="L59" s="40"/>
      <c r="M59" s="41">
        <v>133313</v>
      </c>
      <c r="N59" s="1" t="str">
        <f>IFERROR(INDEX([1]物品基础表!$A:$A,MATCH(M59,[1]物品基础表!$B:$B,0)),"")</f>
        <v>橙色道士120级项链</v>
      </c>
      <c r="O59" s="41">
        <v>1</v>
      </c>
    </row>
    <row r="60" spans="1:15">
      <c r="A60" s="39" t="str">
        <f>INDEX([2]活动总表!$A$8:$A$429,MATCH(B60,[2]活动总表!$B$8:$B$429,0))</f>
        <v>合服BOSS积分</v>
      </c>
      <c r="B60" s="40">
        <v>161</v>
      </c>
      <c r="C60" s="40">
        <v>54</v>
      </c>
      <c r="D60" s="40"/>
      <c r="E60" s="40"/>
      <c r="F60" s="40"/>
      <c r="G60" s="40">
        <v>14300</v>
      </c>
      <c r="H60" s="40"/>
      <c r="I60" s="40"/>
      <c r="J60" s="40"/>
      <c r="K60" s="40"/>
      <c r="L60" s="40"/>
      <c r="M60" s="41">
        <v>153313</v>
      </c>
      <c r="N60" s="1" t="str">
        <f>IFERROR(INDEX([1]物品基础表!$A:$A,MATCH(M60,[1]物品基础表!$B:$B,0)),"")</f>
        <v>橙色道士120级腰带</v>
      </c>
      <c r="O60" s="41">
        <v>1</v>
      </c>
    </row>
    <row r="61" spans="1:15">
      <c r="A61" s="39" t="str">
        <f>INDEX([2]活动总表!$A$8:$A$429,MATCH(B61,[2]活动总表!$B$8:$B$429,0))</f>
        <v>合服BOSS积分</v>
      </c>
      <c r="B61" s="40">
        <v>161</v>
      </c>
      <c r="C61" s="40">
        <v>55</v>
      </c>
      <c r="D61" s="40"/>
      <c r="E61" s="40"/>
      <c r="F61" s="40"/>
      <c r="G61" s="40">
        <v>14300</v>
      </c>
      <c r="H61" s="40"/>
      <c r="I61" s="40"/>
      <c r="J61" s="40"/>
      <c r="K61" s="40"/>
      <c r="L61" s="40"/>
      <c r="M61" s="41">
        <v>173313</v>
      </c>
      <c r="N61" s="1" t="str">
        <f>IFERROR(INDEX([1]物品基础表!$A:$A,MATCH(M61,[1]物品基础表!$B:$B,0)),"")</f>
        <v>橙色道士120级鞋子</v>
      </c>
      <c r="O61" s="41">
        <v>1</v>
      </c>
    </row>
    <row r="62" spans="1:15">
      <c r="A62" s="39" t="str">
        <f>INDEX([2]活动总表!$A$8:$A$429,MATCH(B62,[2]活动总表!$B$8:$B$429,0))</f>
        <v>合服BOSS积分</v>
      </c>
      <c r="B62" s="40">
        <v>161</v>
      </c>
      <c r="C62" s="40">
        <v>56</v>
      </c>
      <c r="D62" s="40"/>
      <c r="E62" s="40"/>
      <c r="F62" s="40"/>
      <c r="G62" s="40">
        <v>49800</v>
      </c>
      <c r="H62" s="40"/>
      <c r="I62" s="40"/>
      <c r="J62" s="40"/>
      <c r="K62" s="40"/>
      <c r="L62" s="40"/>
      <c r="M62" s="41">
        <v>101314</v>
      </c>
      <c r="N62" s="1" t="str">
        <f>IFERROR(INDEX([1]物品基础表!$A:$A,MATCH(M62,[1]物品基础表!$B:$B,0)),"")</f>
        <v>橙色战士130级武器</v>
      </c>
      <c r="O62" s="41">
        <v>1</v>
      </c>
    </row>
    <row r="63" spans="1:15">
      <c r="A63" s="39" t="str">
        <f>INDEX([2]活动总表!$A$8:$A$429,MATCH(B63,[2]活动总表!$B$8:$B$429,0))</f>
        <v>合服BOSS积分</v>
      </c>
      <c r="B63" s="40">
        <v>161</v>
      </c>
      <c r="C63" s="40">
        <v>57</v>
      </c>
      <c r="D63" s="40"/>
      <c r="E63" s="40"/>
      <c r="F63" s="40"/>
      <c r="G63" s="40">
        <v>35856</v>
      </c>
      <c r="H63" s="40"/>
      <c r="I63" s="40"/>
      <c r="J63" s="40"/>
      <c r="K63" s="40"/>
      <c r="L63" s="40"/>
      <c r="M63" s="41">
        <v>121314</v>
      </c>
      <c r="N63" s="1" t="str">
        <f>IFERROR(INDEX([1]物品基础表!$A:$A,MATCH(M63,[1]物品基础表!$B:$B,0)),"")</f>
        <v>橙色战士130级衣服</v>
      </c>
      <c r="O63" s="41">
        <v>1</v>
      </c>
    </row>
    <row r="64" spans="1:15">
      <c r="A64" s="39" t="str">
        <f>INDEX([2]活动总表!$A$8:$A$429,MATCH(B64,[2]活动总表!$B$8:$B$429,0))</f>
        <v>合服BOSS积分</v>
      </c>
      <c r="B64" s="40">
        <v>161</v>
      </c>
      <c r="C64" s="40">
        <v>58</v>
      </c>
      <c r="D64" s="40"/>
      <c r="E64" s="40"/>
      <c r="F64" s="40"/>
      <c r="G64" s="40">
        <v>19920</v>
      </c>
      <c r="H64" s="40"/>
      <c r="I64" s="40"/>
      <c r="J64" s="40"/>
      <c r="K64" s="40"/>
      <c r="L64" s="40"/>
      <c r="M64" s="41">
        <v>141314</v>
      </c>
      <c r="N64" s="1" t="str">
        <f>IFERROR(INDEX([1]物品基础表!$A:$A,MATCH(M64,[1]物品基础表!$B:$B,0)),"")</f>
        <v>橙色战士130级手镯</v>
      </c>
      <c r="O64" s="41">
        <v>1</v>
      </c>
    </row>
    <row r="65" spans="1:15">
      <c r="A65" s="39" t="str">
        <f>INDEX([2]活动总表!$A$8:$A$429,MATCH(B65,[2]活动总表!$B$8:$B$429,0))</f>
        <v>合服BOSS积分</v>
      </c>
      <c r="B65" s="40">
        <v>161</v>
      </c>
      <c r="C65" s="40">
        <v>59</v>
      </c>
      <c r="D65" s="40"/>
      <c r="E65" s="40"/>
      <c r="F65" s="40"/>
      <c r="G65" s="40">
        <v>19920</v>
      </c>
      <c r="H65" s="40"/>
      <c r="I65" s="40"/>
      <c r="J65" s="40"/>
      <c r="K65" s="40"/>
      <c r="L65" s="40"/>
      <c r="M65" s="41">
        <v>161314</v>
      </c>
      <c r="N65" s="1" t="str">
        <f>IFERROR(INDEX([1]物品基础表!$A:$A,MATCH(M65,[1]物品基础表!$B:$B,0)),"")</f>
        <v>橙色战士130级戒指</v>
      </c>
      <c r="O65" s="41">
        <v>1</v>
      </c>
    </row>
    <row r="66" spans="1:15">
      <c r="A66" s="39" t="str">
        <f>INDEX([2]活动总表!$A$8:$A$429,MATCH(B66,[2]活动总表!$B$8:$B$429,0))</f>
        <v>合服BOSS积分</v>
      </c>
      <c r="B66" s="40">
        <v>161</v>
      </c>
      <c r="C66" s="40">
        <v>60</v>
      </c>
      <c r="D66" s="40"/>
      <c r="E66" s="40"/>
      <c r="F66" s="40"/>
      <c r="G66" s="40">
        <v>19920</v>
      </c>
      <c r="H66" s="40"/>
      <c r="I66" s="40"/>
      <c r="J66" s="40"/>
      <c r="K66" s="40"/>
      <c r="L66" s="40"/>
      <c r="M66" s="41">
        <v>111314</v>
      </c>
      <c r="N66" s="1" t="str">
        <f>IFERROR(INDEX([1]物品基础表!$A:$A,MATCH(M66,[1]物品基础表!$B:$B,0)),"")</f>
        <v>橙色战士130级头盔</v>
      </c>
      <c r="O66" s="41">
        <v>1</v>
      </c>
    </row>
    <row r="67" spans="1:15">
      <c r="A67" s="39" t="str">
        <f>INDEX([2]活动总表!$A$8:$A$429,MATCH(B67,[2]活动总表!$B$8:$B$429,0))</f>
        <v>合服BOSS积分</v>
      </c>
      <c r="B67" s="40">
        <v>161</v>
      </c>
      <c r="C67" s="40">
        <v>61</v>
      </c>
      <c r="D67" s="40"/>
      <c r="E67" s="40"/>
      <c r="F67" s="40"/>
      <c r="G67" s="40">
        <v>19920</v>
      </c>
      <c r="H67" s="40"/>
      <c r="I67" s="40"/>
      <c r="J67" s="40"/>
      <c r="K67" s="40"/>
      <c r="L67" s="40"/>
      <c r="M67" s="41">
        <v>131314</v>
      </c>
      <c r="N67" s="1" t="str">
        <f>IFERROR(INDEX([1]物品基础表!$A:$A,MATCH(M67,[1]物品基础表!$B:$B,0)),"")</f>
        <v>橙色战士130级项链</v>
      </c>
      <c r="O67" s="41">
        <v>1</v>
      </c>
    </row>
    <row r="68" spans="1:15">
      <c r="A68" s="39" t="str">
        <f>INDEX([2]活动总表!$A$8:$A$429,MATCH(B68,[2]活动总表!$B$8:$B$429,0))</f>
        <v>合服BOSS积分</v>
      </c>
      <c r="B68" s="40">
        <v>161</v>
      </c>
      <c r="C68" s="40">
        <v>62</v>
      </c>
      <c r="D68" s="40"/>
      <c r="E68" s="40"/>
      <c r="F68" s="40"/>
      <c r="G68" s="40">
        <v>19920</v>
      </c>
      <c r="H68" s="40"/>
      <c r="I68" s="40"/>
      <c r="J68" s="40"/>
      <c r="K68" s="40"/>
      <c r="L68" s="40"/>
      <c r="M68" s="41">
        <v>151314</v>
      </c>
      <c r="N68" s="1" t="str">
        <f>IFERROR(INDEX([1]物品基础表!$A:$A,MATCH(M68,[1]物品基础表!$B:$B,0)),"")</f>
        <v>橙色战士130级腰带</v>
      </c>
      <c r="O68" s="41">
        <v>1</v>
      </c>
    </row>
    <row r="69" spans="1:15">
      <c r="A69" s="39" t="str">
        <f>INDEX([2]活动总表!$A$8:$A$429,MATCH(B69,[2]活动总表!$B$8:$B$429,0))</f>
        <v>合服BOSS积分</v>
      </c>
      <c r="B69" s="40">
        <v>161</v>
      </c>
      <c r="C69" s="40">
        <v>63</v>
      </c>
      <c r="D69" s="40"/>
      <c r="E69" s="40"/>
      <c r="F69" s="40"/>
      <c r="G69" s="40">
        <v>19920</v>
      </c>
      <c r="H69" s="40"/>
      <c r="I69" s="40"/>
      <c r="J69" s="40"/>
      <c r="K69" s="40"/>
      <c r="L69" s="40"/>
      <c r="M69" s="41">
        <v>171314</v>
      </c>
      <c r="N69" s="1" t="str">
        <f>IFERROR(INDEX([1]物品基础表!$A:$A,MATCH(M69,[1]物品基础表!$B:$B,0)),"")</f>
        <v>橙色战士130级鞋子</v>
      </c>
      <c r="O69" s="41">
        <v>1</v>
      </c>
    </row>
    <row r="70" spans="1:15">
      <c r="A70" s="39" t="str">
        <f>INDEX([2]活动总表!$A$8:$A$429,MATCH(B70,[2]活动总表!$B$8:$B$429,0))</f>
        <v>合服BOSS积分</v>
      </c>
      <c r="B70" s="40">
        <v>161</v>
      </c>
      <c r="C70" s="40">
        <v>64</v>
      </c>
      <c r="D70" s="40"/>
      <c r="E70" s="40"/>
      <c r="F70" s="40"/>
      <c r="G70" s="40">
        <v>49800</v>
      </c>
      <c r="H70" s="40"/>
      <c r="I70" s="40"/>
      <c r="J70" s="40"/>
      <c r="K70" s="40"/>
      <c r="L70" s="40"/>
      <c r="M70" s="41">
        <v>102314</v>
      </c>
      <c r="N70" s="1" t="str">
        <f>IFERROR(INDEX([1]物品基础表!$A:$A,MATCH(M70,[1]物品基础表!$B:$B,0)),"")</f>
        <v>橙色法师130级武器</v>
      </c>
      <c r="O70" s="41">
        <v>1</v>
      </c>
    </row>
    <row r="71" spans="1:15">
      <c r="A71" s="39" t="str">
        <f>INDEX([2]活动总表!$A$8:$A$429,MATCH(B71,[2]活动总表!$B$8:$B$429,0))</f>
        <v>合服BOSS积分</v>
      </c>
      <c r="B71" s="40">
        <v>161</v>
      </c>
      <c r="C71" s="40">
        <v>65</v>
      </c>
      <c r="D71" s="40"/>
      <c r="E71" s="40"/>
      <c r="F71" s="40"/>
      <c r="G71" s="40">
        <v>35856</v>
      </c>
      <c r="H71" s="40"/>
      <c r="I71" s="40"/>
      <c r="J71" s="40"/>
      <c r="K71" s="40"/>
      <c r="L71" s="40"/>
      <c r="M71" s="41">
        <v>122314</v>
      </c>
      <c r="N71" s="1" t="str">
        <f>IFERROR(INDEX([1]物品基础表!$A:$A,MATCH(M71,[1]物品基础表!$B:$B,0)),"")</f>
        <v>橙色法师130级衣服</v>
      </c>
      <c r="O71" s="41">
        <v>1</v>
      </c>
    </row>
    <row r="72" spans="1:15">
      <c r="A72" s="39" t="str">
        <f>INDEX([2]活动总表!$A$8:$A$429,MATCH(B72,[2]活动总表!$B$8:$B$429,0))</f>
        <v>合服BOSS积分</v>
      </c>
      <c r="B72" s="40">
        <v>161</v>
      </c>
      <c r="C72" s="40">
        <v>66</v>
      </c>
      <c r="D72" s="40"/>
      <c r="E72" s="40"/>
      <c r="F72" s="40"/>
      <c r="G72" s="40">
        <v>19920</v>
      </c>
      <c r="H72" s="40"/>
      <c r="I72" s="40"/>
      <c r="J72" s="40"/>
      <c r="K72" s="40"/>
      <c r="L72" s="40"/>
      <c r="M72" s="41">
        <v>142314</v>
      </c>
      <c r="N72" s="1" t="str">
        <f>IFERROR(INDEX([1]物品基础表!$A:$A,MATCH(M72,[1]物品基础表!$B:$B,0)),"")</f>
        <v>橙色法师130级手镯</v>
      </c>
      <c r="O72" s="41">
        <v>1</v>
      </c>
    </row>
    <row r="73" spans="1:15">
      <c r="A73" s="39" t="str">
        <f>INDEX([2]活动总表!$A$8:$A$429,MATCH(B73,[2]活动总表!$B$8:$B$429,0))</f>
        <v>合服BOSS积分</v>
      </c>
      <c r="B73" s="40">
        <v>161</v>
      </c>
      <c r="C73" s="40">
        <v>67</v>
      </c>
      <c r="D73" s="40"/>
      <c r="E73" s="40"/>
      <c r="F73" s="40"/>
      <c r="G73" s="40">
        <v>19920</v>
      </c>
      <c r="H73" s="40"/>
      <c r="I73" s="40"/>
      <c r="J73" s="40"/>
      <c r="K73" s="40"/>
      <c r="L73" s="40"/>
      <c r="M73" s="41">
        <v>162314</v>
      </c>
      <c r="N73" s="1" t="str">
        <f>IFERROR(INDEX([1]物品基础表!$A:$A,MATCH(M73,[1]物品基础表!$B:$B,0)),"")</f>
        <v>橙色法师130级戒指</v>
      </c>
      <c r="O73" s="41">
        <v>1</v>
      </c>
    </row>
    <row r="74" spans="1:15">
      <c r="A74" s="39" t="str">
        <f>INDEX([2]活动总表!$A$8:$A$429,MATCH(B74,[2]活动总表!$B$8:$B$429,0))</f>
        <v>合服BOSS积分</v>
      </c>
      <c r="B74" s="40">
        <v>161</v>
      </c>
      <c r="C74" s="40">
        <v>68</v>
      </c>
      <c r="D74" s="40"/>
      <c r="E74" s="40"/>
      <c r="F74" s="40"/>
      <c r="G74" s="40">
        <v>19920</v>
      </c>
      <c r="H74" s="40"/>
      <c r="I74" s="40"/>
      <c r="J74" s="40"/>
      <c r="K74" s="40"/>
      <c r="L74" s="40"/>
      <c r="M74" s="41">
        <v>112314</v>
      </c>
      <c r="N74" s="1" t="str">
        <f>IFERROR(INDEX([1]物品基础表!$A:$A,MATCH(M74,[1]物品基础表!$B:$B,0)),"")</f>
        <v>橙色法师130级头盔</v>
      </c>
      <c r="O74" s="41">
        <v>1</v>
      </c>
    </row>
    <row r="75" spans="1:15">
      <c r="A75" s="39" t="str">
        <f>INDEX([2]活动总表!$A$8:$A$429,MATCH(B75,[2]活动总表!$B$8:$B$429,0))</f>
        <v>合服BOSS积分</v>
      </c>
      <c r="B75" s="40">
        <v>161</v>
      </c>
      <c r="C75" s="40">
        <v>69</v>
      </c>
      <c r="D75" s="40"/>
      <c r="E75" s="40"/>
      <c r="F75" s="40"/>
      <c r="G75" s="40">
        <v>19920</v>
      </c>
      <c r="H75" s="40"/>
      <c r="I75" s="40"/>
      <c r="J75" s="40"/>
      <c r="K75" s="40"/>
      <c r="L75" s="40"/>
      <c r="M75" s="41">
        <v>132314</v>
      </c>
      <c r="N75" s="1" t="str">
        <f>IFERROR(INDEX([1]物品基础表!$A:$A,MATCH(M75,[1]物品基础表!$B:$B,0)),"")</f>
        <v>橙色法师130级项链</v>
      </c>
      <c r="O75" s="41">
        <v>1</v>
      </c>
    </row>
    <row r="76" spans="1:15">
      <c r="A76" s="39" t="str">
        <f>INDEX([2]活动总表!$A$8:$A$429,MATCH(B76,[2]活动总表!$B$8:$B$429,0))</f>
        <v>合服BOSS积分</v>
      </c>
      <c r="B76" s="40">
        <v>161</v>
      </c>
      <c r="C76" s="40">
        <v>70</v>
      </c>
      <c r="D76" s="40"/>
      <c r="E76" s="40"/>
      <c r="F76" s="40"/>
      <c r="G76" s="40">
        <v>19920</v>
      </c>
      <c r="H76" s="40"/>
      <c r="I76" s="40"/>
      <c r="J76" s="40"/>
      <c r="K76" s="40"/>
      <c r="L76" s="40"/>
      <c r="M76" s="41">
        <v>152314</v>
      </c>
      <c r="N76" s="1" t="str">
        <f>IFERROR(INDEX([1]物品基础表!$A:$A,MATCH(M76,[1]物品基础表!$B:$B,0)),"")</f>
        <v>橙色法师130级腰带</v>
      </c>
      <c r="O76" s="41">
        <v>1</v>
      </c>
    </row>
    <row r="77" spans="1:15">
      <c r="A77" s="39" t="str">
        <f>INDEX([2]活动总表!$A$8:$A$429,MATCH(B77,[2]活动总表!$B$8:$B$429,0))</f>
        <v>合服BOSS积分</v>
      </c>
      <c r="B77" s="40">
        <v>161</v>
      </c>
      <c r="C77" s="40">
        <v>71</v>
      </c>
      <c r="D77" s="40"/>
      <c r="E77" s="40"/>
      <c r="F77" s="40"/>
      <c r="G77" s="40">
        <v>19920</v>
      </c>
      <c r="H77" s="40"/>
      <c r="I77" s="40"/>
      <c r="J77" s="40"/>
      <c r="K77" s="40"/>
      <c r="L77" s="40"/>
      <c r="M77" s="41">
        <v>172314</v>
      </c>
      <c r="N77" s="1" t="str">
        <f>IFERROR(INDEX([1]物品基础表!$A:$A,MATCH(M77,[1]物品基础表!$B:$B,0)),"")</f>
        <v>橙色法师130级鞋子</v>
      </c>
      <c r="O77" s="41">
        <v>1</v>
      </c>
    </row>
    <row r="78" spans="1:15">
      <c r="A78" s="39" t="str">
        <f>INDEX([2]活动总表!$A$8:$A$429,MATCH(B78,[2]活动总表!$B$8:$B$429,0))</f>
        <v>合服BOSS积分</v>
      </c>
      <c r="B78" s="40">
        <v>161</v>
      </c>
      <c r="C78" s="40">
        <v>72</v>
      </c>
      <c r="D78" s="40"/>
      <c r="E78" s="40"/>
      <c r="F78" s="40"/>
      <c r="G78" s="40">
        <v>49800</v>
      </c>
      <c r="H78" s="40"/>
      <c r="I78" s="40"/>
      <c r="J78" s="40"/>
      <c r="K78" s="40"/>
      <c r="L78" s="40"/>
      <c r="M78" s="41">
        <v>103314</v>
      </c>
      <c r="N78" s="1" t="str">
        <f>IFERROR(INDEX([1]物品基础表!$A:$A,MATCH(M78,[1]物品基础表!$B:$B,0)),"")</f>
        <v>橙色道士130级武器</v>
      </c>
      <c r="O78" s="41">
        <v>1</v>
      </c>
    </row>
    <row r="79" spans="1:15">
      <c r="A79" s="39" t="str">
        <f>INDEX([2]活动总表!$A$8:$A$429,MATCH(B79,[2]活动总表!$B$8:$B$429,0))</f>
        <v>合服BOSS积分</v>
      </c>
      <c r="B79" s="40">
        <v>161</v>
      </c>
      <c r="C79" s="40">
        <v>73</v>
      </c>
      <c r="D79" s="40"/>
      <c r="E79" s="40"/>
      <c r="F79" s="40"/>
      <c r="G79" s="40">
        <v>35856</v>
      </c>
      <c r="H79" s="40"/>
      <c r="I79" s="40"/>
      <c r="J79" s="40"/>
      <c r="K79" s="40"/>
      <c r="L79" s="40"/>
      <c r="M79" s="41">
        <v>123314</v>
      </c>
      <c r="N79" s="1" t="str">
        <f>IFERROR(INDEX([1]物品基础表!$A:$A,MATCH(M79,[1]物品基础表!$B:$B,0)),"")</f>
        <v>橙色道士130级衣服</v>
      </c>
      <c r="O79" s="41">
        <v>1</v>
      </c>
    </row>
    <row r="80" spans="1:15">
      <c r="A80" s="39" t="str">
        <f>INDEX([2]活动总表!$A$8:$A$429,MATCH(B80,[2]活动总表!$B$8:$B$429,0))</f>
        <v>合服BOSS积分</v>
      </c>
      <c r="B80" s="40">
        <v>161</v>
      </c>
      <c r="C80" s="40">
        <v>74</v>
      </c>
      <c r="D80" s="40"/>
      <c r="E80" s="40"/>
      <c r="F80" s="40"/>
      <c r="G80" s="40">
        <v>19920</v>
      </c>
      <c r="H80" s="40"/>
      <c r="I80" s="40"/>
      <c r="J80" s="40"/>
      <c r="K80" s="40"/>
      <c r="L80" s="40"/>
      <c r="M80" s="41">
        <v>143314</v>
      </c>
      <c r="N80" s="1" t="str">
        <f>IFERROR(INDEX([1]物品基础表!$A:$A,MATCH(M80,[1]物品基础表!$B:$B,0)),"")</f>
        <v>橙色道士130级手镯</v>
      </c>
      <c r="O80" s="41">
        <v>1</v>
      </c>
    </row>
    <row r="81" spans="1:15">
      <c r="A81" s="39" t="str">
        <f>INDEX([2]活动总表!$A$8:$A$429,MATCH(B81,[2]活动总表!$B$8:$B$429,0))</f>
        <v>合服BOSS积分</v>
      </c>
      <c r="B81" s="40">
        <v>161</v>
      </c>
      <c r="C81" s="40">
        <v>75</v>
      </c>
      <c r="D81" s="40"/>
      <c r="E81" s="40"/>
      <c r="F81" s="40"/>
      <c r="G81" s="40">
        <v>19920</v>
      </c>
      <c r="H81" s="40"/>
      <c r="I81" s="40"/>
      <c r="J81" s="40"/>
      <c r="K81" s="40"/>
      <c r="L81" s="40"/>
      <c r="M81" s="41">
        <v>163314</v>
      </c>
      <c r="N81" s="1" t="str">
        <f>IFERROR(INDEX([1]物品基础表!$A:$A,MATCH(M81,[1]物品基础表!$B:$B,0)),"")</f>
        <v>橙色道士130级戒指</v>
      </c>
      <c r="O81" s="41">
        <v>1</v>
      </c>
    </row>
    <row r="82" spans="1:15">
      <c r="A82" s="39" t="str">
        <f>INDEX([2]活动总表!$A$8:$A$429,MATCH(B82,[2]活动总表!$B$8:$B$429,0))</f>
        <v>合服BOSS积分</v>
      </c>
      <c r="B82" s="40">
        <v>161</v>
      </c>
      <c r="C82" s="40">
        <v>76</v>
      </c>
      <c r="D82" s="40"/>
      <c r="E82" s="40"/>
      <c r="F82" s="40"/>
      <c r="G82" s="40">
        <v>19920</v>
      </c>
      <c r="H82" s="40"/>
      <c r="I82" s="40"/>
      <c r="J82" s="40"/>
      <c r="K82" s="40"/>
      <c r="L82" s="40"/>
      <c r="M82" s="41">
        <v>113314</v>
      </c>
      <c r="N82" s="1" t="str">
        <f>IFERROR(INDEX([1]物品基础表!$A:$A,MATCH(M82,[1]物品基础表!$B:$B,0)),"")</f>
        <v>橙色道士130级头盔</v>
      </c>
      <c r="O82" s="41">
        <v>1</v>
      </c>
    </row>
    <row r="83" spans="1:15">
      <c r="A83" s="39" t="str">
        <f>INDEX([2]活动总表!$A$8:$A$429,MATCH(B83,[2]活动总表!$B$8:$B$429,0))</f>
        <v>合服BOSS积分</v>
      </c>
      <c r="B83" s="40">
        <v>161</v>
      </c>
      <c r="C83" s="40">
        <v>77</v>
      </c>
      <c r="D83" s="40"/>
      <c r="E83" s="40"/>
      <c r="F83" s="40"/>
      <c r="G83" s="40">
        <v>19920</v>
      </c>
      <c r="H83" s="40"/>
      <c r="I83" s="40"/>
      <c r="J83" s="40"/>
      <c r="K83" s="40"/>
      <c r="L83" s="40"/>
      <c r="M83" s="41">
        <v>133314</v>
      </c>
      <c r="N83" s="1" t="str">
        <f>IFERROR(INDEX([1]物品基础表!$A:$A,MATCH(M83,[1]物品基础表!$B:$B,0)),"")</f>
        <v>橙色道士130级项链</v>
      </c>
      <c r="O83" s="41">
        <v>1</v>
      </c>
    </row>
    <row r="84" spans="1:15">
      <c r="A84" s="39" t="str">
        <f>INDEX([2]活动总表!$A$8:$A$429,MATCH(B84,[2]活动总表!$B$8:$B$429,0))</f>
        <v>合服BOSS积分</v>
      </c>
      <c r="B84" s="40">
        <v>161</v>
      </c>
      <c r="C84" s="40">
        <v>78</v>
      </c>
      <c r="D84" s="40"/>
      <c r="E84" s="40"/>
      <c r="F84" s="40"/>
      <c r="G84" s="40">
        <v>19920</v>
      </c>
      <c r="H84" s="40"/>
      <c r="I84" s="40"/>
      <c r="J84" s="40"/>
      <c r="K84" s="40"/>
      <c r="L84" s="40"/>
      <c r="M84" s="41">
        <v>153314</v>
      </c>
      <c r="N84" s="1" t="str">
        <f>IFERROR(INDEX([1]物品基础表!$A:$A,MATCH(M84,[1]物品基础表!$B:$B,0)),"")</f>
        <v>橙色道士130级腰带</v>
      </c>
      <c r="O84" s="41">
        <v>1</v>
      </c>
    </row>
    <row r="85" spans="1:15">
      <c r="A85" s="39" t="str">
        <f>INDEX([2]活动总表!$A$8:$A$429,MATCH(B85,[2]活动总表!$B$8:$B$429,0))</f>
        <v>合服BOSS积分</v>
      </c>
      <c r="B85" s="40">
        <v>161</v>
      </c>
      <c r="C85" s="40">
        <v>79</v>
      </c>
      <c r="D85" s="40"/>
      <c r="E85" s="40"/>
      <c r="F85" s="40"/>
      <c r="G85" s="40">
        <v>19920</v>
      </c>
      <c r="H85" s="40"/>
      <c r="I85" s="40"/>
      <c r="J85" s="40"/>
      <c r="K85" s="40"/>
      <c r="L85" s="40"/>
      <c r="M85" s="41">
        <v>173314</v>
      </c>
      <c r="N85" s="1" t="str">
        <f>IFERROR(INDEX([1]物品基础表!$A:$A,MATCH(M85,[1]物品基础表!$B:$B,0)),"")</f>
        <v>橙色道士130级鞋子</v>
      </c>
      <c r="O85" s="41">
        <v>1</v>
      </c>
    </row>
    <row r="86" spans="1:15">
      <c r="A86" s="39" t="str">
        <f>INDEX([2]活动总表!$A$8:$A$429,MATCH(B86,[2]活动总表!$B$8:$B$429,0))</f>
        <v>合服BOSS积分</v>
      </c>
      <c r="B86" s="40">
        <v>161</v>
      </c>
      <c r="C86" s="40">
        <v>80</v>
      </c>
      <c r="D86" s="40"/>
      <c r="E86" s="40"/>
      <c r="F86" s="40"/>
      <c r="G86" s="40">
        <v>66392</v>
      </c>
      <c r="H86" s="40"/>
      <c r="I86" s="40"/>
      <c r="J86" s="40"/>
      <c r="K86" s="40"/>
      <c r="L86" s="40"/>
      <c r="M86" s="41">
        <v>101315</v>
      </c>
      <c r="N86" s="1" t="str">
        <f>IFERROR(INDEX([1]物品基础表!$A:$A,MATCH(M86,[1]物品基础表!$B:$B,0)),"")</f>
        <v>橙色战士140级武器</v>
      </c>
      <c r="O86" s="41">
        <v>1</v>
      </c>
    </row>
    <row r="87" spans="1:15">
      <c r="A87" s="39" t="str">
        <f>INDEX([2]活动总表!$A$8:$A$429,MATCH(B87,[2]活动总表!$B$8:$B$429,0))</f>
        <v>合服BOSS积分</v>
      </c>
      <c r="B87" s="40">
        <v>161</v>
      </c>
      <c r="C87" s="40">
        <v>81</v>
      </c>
      <c r="D87" s="40"/>
      <c r="E87" s="40"/>
      <c r="F87" s="40"/>
      <c r="G87" s="40">
        <v>47801</v>
      </c>
      <c r="H87" s="40"/>
      <c r="I87" s="40"/>
      <c r="J87" s="40"/>
      <c r="K87" s="40"/>
      <c r="L87" s="40"/>
      <c r="M87" s="41">
        <v>121315</v>
      </c>
      <c r="N87" s="1" t="str">
        <f>IFERROR(INDEX([1]物品基础表!$A:$A,MATCH(M87,[1]物品基础表!$B:$B,0)),"")</f>
        <v>橙色战士140级衣服</v>
      </c>
      <c r="O87" s="41">
        <v>1</v>
      </c>
    </row>
    <row r="88" spans="1:15">
      <c r="A88" s="39" t="str">
        <f>INDEX([2]活动总表!$A$8:$A$429,MATCH(B88,[2]活动总表!$B$8:$B$429,0))</f>
        <v>合服BOSS积分</v>
      </c>
      <c r="B88" s="40">
        <v>161</v>
      </c>
      <c r="C88" s="40">
        <v>82</v>
      </c>
      <c r="D88" s="40"/>
      <c r="E88" s="40"/>
      <c r="F88" s="40"/>
      <c r="G88" s="40">
        <v>26556</v>
      </c>
      <c r="H88" s="40"/>
      <c r="I88" s="40"/>
      <c r="J88" s="40"/>
      <c r="K88" s="40"/>
      <c r="L88" s="40"/>
      <c r="M88" s="41">
        <v>141315</v>
      </c>
      <c r="N88" s="1" t="str">
        <f>IFERROR(INDEX([1]物品基础表!$A:$A,MATCH(M88,[1]物品基础表!$B:$B,0)),"")</f>
        <v>橙色战士140级手镯</v>
      </c>
      <c r="O88" s="41">
        <v>1</v>
      </c>
    </row>
    <row r="89" spans="1:15">
      <c r="A89" s="39" t="str">
        <f>INDEX([2]活动总表!$A$8:$A$429,MATCH(B89,[2]活动总表!$B$8:$B$429,0))</f>
        <v>合服BOSS积分</v>
      </c>
      <c r="B89" s="40">
        <v>161</v>
      </c>
      <c r="C89" s="40">
        <v>83</v>
      </c>
      <c r="D89" s="40"/>
      <c r="E89" s="40"/>
      <c r="F89" s="40"/>
      <c r="G89" s="40">
        <v>26556</v>
      </c>
      <c r="H89" s="40"/>
      <c r="I89" s="40"/>
      <c r="J89" s="40"/>
      <c r="K89" s="40"/>
      <c r="L89" s="40"/>
      <c r="M89" s="41">
        <v>161315</v>
      </c>
      <c r="N89" s="1" t="str">
        <f>IFERROR(INDEX([1]物品基础表!$A:$A,MATCH(M89,[1]物品基础表!$B:$B,0)),"")</f>
        <v>橙色战士140级戒指</v>
      </c>
      <c r="O89" s="41">
        <v>1</v>
      </c>
    </row>
    <row r="90" spans="1:15">
      <c r="A90" s="39" t="str">
        <f>INDEX([2]活动总表!$A$8:$A$429,MATCH(B90,[2]活动总表!$B$8:$B$429,0))</f>
        <v>合服BOSS积分</v>
      </c>
      <c r="B90" s="40">
        <v>161</v>
      </c>
      <c r="C90" s="40">
        <v>84</v>
      </c>
      <c r="D90" s="40"/>
      <c r="E90" s="40"/>
      <c r="F90" s="40"/>
      <c r="G90" s="40">
        <v>26556</v>
      </c>
      <c r="H90" s="40"/>
      <c r="I90" s="40"/>
      <c r="J90" s="40"/>
      <c r="K90" s="40"/>
      <c r="L90" s="40"/>
      <c r="M90" s="41">
        <v>111315</v>
      </c>
      <c r="N90" s="1" t="str">
        <f>IFERROR(INDEX([1]物品基础表!$A:$A,MATCH(M90,[1]物品基础表!$B:$B,0)),"")</f>
        <v>橙色战士140级头盔</v>
      </c>
      <c r="O90" s="41">
        <v>1</v>
      </c>
    </row>
    <row r="91" spans="1:15">
      <c r="A91" s="39" t="str">
        <f>INDEX([2]活动总表!$A$8:$A$429,MATCH(B91,[2]活动总表!$B$8:$B$429,0))</f>
        <v>合服BOSS积分</v>
      </c>
      <c r="B91" s="40">
        <v>161</v>
      </c>
      <c r="C91" s="40">
        <v>85</v>
      </c>
      <c r="D91" s="40"/>
      <c r="E91" s="40"/>
      <c r="F91" s="40"/>
      <c r="G91" s="40">
        <v>26556</v>
      </c>
      <c r="H91" s="40"/>
      <c r="I91" s="40"/>
      <c r="J91" s="40"/>
      <c r="K91" s="40"/>
      <c r="L91" s="40"/>
      <c r="M91" s="41">
        <v>131315</v>
      </c>
      <c r="N91" s="1" t="str">
        <f>IFERROR(INDEX([1]物品基础表!$A:$A,MATCH(M91,[1]物品基础表!$B:$B,0)),"")</f>
        <v>橙色战士140级项链</v>
      </c>
      <c r="O91" s="41">
        <v>1</v>
      </c>
    </row>
    <row r="92" spans="1:15">
      <c r="A92" s="39" t="str">
        <f>INDEX([2]活动总表!$A$8:$A$429,MATCH(B92,[2]活动总表!$B$8:$B$429,0))</f>
        <v>合服BOSS积分</v>
      </c>
      <c r="B92" s="40">
        <v>161</v>
      </c>
      <c r="C92" s="40">
        <v>86</v>
      </c>
      <c r="D92" s="40"/>
      <c r="E92" s="40"/>
      <c r="F92" s="40"/>
      <c r="G92" s="40">
        <v>26556</v>
      </c>
      <c r="H92" s="40"/>
      <c r="I92" s="40"/>
      <c r="J92" s="40"/>
      <c r="K92" s="40"/>
      <c r="L92" s="40"/>
      <c r="M92" s="41">
        <v>151315</v>
      </c>
      <c r="N92" s="1" t="str">
        <f>IFERROR(INDEX([1]物品基础表!$A:$A,MATCH(M92,[1]物品基础表!$B:$B,0)),"")</f>
        <v>橙色战士140级腰带</v>
      </c>
      <c r="O92" s="41">
        <v>1</v>
      </c>
    </row>
    <row r="93" spans="1:15">
      <c r="A93" s="39" t="str">
        <f>INDEX([2]活动总表!$A$8:$A$429,MATCH(B93,[2]活动总表!$B$8:$B$429,0))</f>
        <v>合服BOSS积分</v>
      </c>
      <c r="B93" s="40">
        <v>161</v>
      </c>
      <c r="C93" s="40">
        <v>87</v>
      </c>
      <c r="D93" s="40"/>
      <c r="E93" s="40"/>
      <c r="F93" s="40"/>
      <c r="G93" s="40">
        <v>26556</v>
      </c>
      <c r="H93" s="40"/>
      <c r="I93" s="40"/>
      <c r="J93" s="40"/>
      <c r="K93" s="40"/>
      <c r="L93" s="40"/>
      <c r="M93" s="41">
        <v>171315</v>
      </c>
      <c r="N93" s="1" t="str">
        <f>IFERROR(INDEX([1]物品基础表!$A:$A,MATCH(M93,[1]物品基础表!$B:$B,0)),"")</f>
        <v>橙色战士140级鞋子</v>
      </c>
      <c r="O93" s="41">
        <v>1</v>
      </c>
    </row>
    <row r="94" spans="1:15">
      <c r="A94" s="39" t="str">
        <f>INDEX([2]活动总表!$A$8:$A$429,MATCH(B94,[2]活动总表!$B$8:$B$429,0))</f>
        <v>合服BOSS积分</v>
      </c>
      <c r="B94" s="40">
        <v>161</v>
      </c>
      <c r="C94" s="40">
        <v>88</v>
      </c>
      <c r="D94" s="40"/>
      <c r="E94" s="40"/>
      <c r="F94" s="40"/>
      <c r="G94" s="40">
        <v>66392</v>
      </c>
      <c r="H94" s="40"/>
      <c r="I94" s="40"/>
      <c r="J94" s="40"/>
      <c r="K94" s="40"/>
      <c r="L94" s="40"/>
      <c r="M94" s="41">
        <v>102315</v>
      </c>
      <c r="N94" s="1" t="str">
        <f>IFERROR(INDEX([1]物品基础表!$A:$A,MATCH(M94,[1]物品基础表!$B:$B,0)),"")</f>
        <v>橙色法师140级武器</v>
      </c>
      <c r="O94" s="41">
        <v>1</v>
      </c>
    </row>
    <row r="95" spans="1:15">
      <c r="A95" s="39" t="str">
        <f>INDEX([2]活动总表!$A$8:$A$429,MATCH(B95,[2]活动总表!$B$8:$B$429,0))</f>
        <v>合服BOSS积分</v>
      </c>
      <c r="B95" s="40">
        <v>161</v>
      </c>
      <c r="C95" s="40">
        <v>89</v>
      </c>
      <c r="D95" s="40"/>
      <c r="E95" s="40"/>
      <c r="F95" s="40"/>
      <c r="G95" s="40">
        <v>47801</v>
      </c>
      <c r="H95" s="40"/>
      <c r="I95" s="40"/>
      <c r="J95" s="40"/>
      <c r="K95" s="40"/>
      <c r="L95" s="40"/>
      <c r="M95" s="41">
        <v>122315</v>
      </c>
      <c r="N95" s="1" t="str">
        <f>IFERROR(INDEX([1]物品基础表!$A:$A,MATCH(M95,[1]物品基础表!$B:$B,0)),"")</f>
        <v>橙色法师140级衣服</v>
      </c>
      <c r="O95" s="41">
        <v>1</v>
      </c>
    </row>
    <row r="96" spans="1:15">
      <c r="A96" s="39" t="str">
        <f>INDEX([2]活动总表!$A$8:$A$429,MATCH(B96,[2]活动总表!$B$8:$B$429,0))</f>
        <v>合服BOSS积分</v>
      </c>
      <c r="B96" s="40">
        <v>161</v>
      </c>
      <c r="C96" s="40">
        <v>90</v>
      </c>
      <c r="D96" s="40"/>
      <c r="E96" s="40"/>
      <c r="F96" s="40"/>
      <c r="G96" s="40">
        <v>26556</v>
      </c>
      <c r="H96" s="40"/>
      <c r="I96" s="40"/>
      <c r="J96" s="40"/>
      <c r="K96" s="40"/>
      <c r="L96" s="40"/>
      <c r="M96" s="41">
        <v>142315</v>
      </c>
      <c r="N96" s="1" t="str">
        <f>IFERROR(INDEX([1]物品基础表!$A:$A,MATCH(M96,[1]物品基础表!$B:$B,0)),"")</f>
        <v>橙色法师140级手镯</v>
      </c>
      <c r="O96" s="41">
        <v>1</v>
      </c>
    </row>
    <row r="97" spans="1:15">
      <c r="A97" s="39" t="str">
        <f>INDEX([2]活动总表!$A$8:$A$429,MATCH(B97,[2]活动总表!$B$8:$B$429,0))</f>
        <v>合服BOSS积分</v>
      </c>
      <c r="B97" s="40">
        <v>161</v>
      </c>
      <c r="C97" s="40">
        <v>91</v>
      </c>
      <c r="D97" s="40"/>
      <c r="E97" s="40"/>
      <c r="F97" s="40"/>
      <c r="G97" s="40">
        <v>26556</v>
      </c>
      <c r="H97" s="40"/>
      <c r="I97" s="40"/>
      <c r="J97" s="40"/>
      <c r="K97" s="40"/>
      <c r="L97" s="40"/>
      <c r="M97" s="41">
        <v>162315</v>
      </c>
      <c r="N97" s="1" t="str">
        <f>IFERROR(INDEX([1]物品基础表!$A:$A,MATCH(M97,[1]物品基础表!$B:$B,0)),"")</f>
        <v>橙色法师140级戒指</v>
      </c>
      <c r="O97" s="41">
        <v>1</v>
      </c>
    </row>
    <row r="98" spans="1:15">
      <c r="A98" s="39" t="str">
        <f>INDEX([2]活动总表!$A$8:$A$429,MATCH(B98,[2]活动总表!$B$8:$B$429,0))</f>
        <v>合服BOSS积分</v>
      </c>
      <c r="B98" s="40">
        <v>161</v>
      </c>
      <c r="C98" s="40">
        <v>92</v>
      </c>
      <c r="D98" s="40"/>
      <c r="E98" s="40"/>
      <c r="F98" s="40"/>
      <c r="G98" s="40">
        <v>26556</v>
      </c>
      <c r="H98" s="40"/>
      <c r="I98" s="40"/>
      <c r="J98" s="40"/>
      <c r="K98" s="40"/>
      <c r="L98" s="40"/>
      <c r="M98" s="41">
        <v>112315</v>
      </c>
      <c r="N98" s="1" t="str">
        <f>IFERROR(INDEX([1]物品基础表!$A:$A,MATCH(M98,[1]物品基础表!$B:$B,0)),"")</f>
        <v>橙色法师140级头盔</v>
      </c>
      <c r="O98" s="41">
        <v>1</v>
      </c>
    </row>
    <row r="99" spans="1:15">
      <c r="A99" s="39" t="str">
        <f>INDEX([2]活动总表!$A$8:$A$429,MATCH(B99,[2]活动总表!$B$8:$B$429,0))</f>
        <v>合服BOSS积分</v>
      </c>
      <c r="B99" s="40">
        <v>161</v>
      </c>
      <c r="C99" s="40">
        <v>93</v>
      </c>
      <c r="D99" s="40"/>
      <c r="E99" s="40"/>
      <c r="F99" s="40"/>
      <c r="G99" s="40">
        <v>26556</v>
      </c>
      <c r="H99" s="40"/>
      <c r="I99" s="40"/>
      <c r="J99" s="40"/>
      <c r="K99" s="40"/>
      <c r="L99" s="40"/>
      <c r="M99" s="41">
        <v>132315</v>
      </c>
      <c r="N99" s="1" t="str">
        <f>IFERROR(INDEX([1]物品基础表!$A:$A,MATCH(M99,[1]物品基础表!$B:$B,0)),"")</f>
        <v>橙色法师140级项链</v>
      </c>
      <c r="O99" s="41">
        <v>1</v>
      </c>
    </row>
    <row r="100" spans="1:15">
      <c r="A100" s="39" t="str">
        <f>INDEX([2]活动总表!$A$8:$A$429,MATCH(B100,[2]活动总表!$B$8:$B$429,0))</f>
        <v>合服BOSS积分</v>
      </c>
      <c r="B100" s="40">
        <v>161</v>
      </c>
      <c r="C100" s="40">
        <v>94</v>
      </c>
      <c r="D100" s="40"/>
      <c r="E100" s="40"/>
      <c r="F100" s="40"/>
      <c r="G100" s="40">
        <v>26556</v>
      </c>
      <c r="H100" s="40"/>
      <c r="I100" s="40"/>
      <c r="J100" s="40"/>
      <c r="K100" s="40"/>
      <c r="L100" s="40"/>
      <c r="M100" s="41">
        <v>152315</v>
      </c>
      <c r="N100" s="1" t="str">
        <f>IFERROR(INDEX([1]物品基础表!$A:$A,MATCH(M100,[1]物品基础表!$B:$B,0)),"")</f>
        <v>橙色法师140级腰带</v>
      </c>
      <c r="O100" s="41">
        <v>1</v>
      </c>
    </row>
    <row r="101" spans="1:15">
      <c r="A101" s="39" t="str">
        <f>INDEX([2]活动总表!$A$8:$A$429,MATCH(B101,[2]活动总表!$B$8:$B$429,0))</f>
        <v>合服BOSS积分</v>
      </c>
      <c r="B101" s="40">
        <v>161</v>
      </c>
      <c r="C101" s="40">
        <v>95</v>
      </c>
      <c r="D101" s="40"/>
      <c r="E101" s="40"/>
      <c r="F101" s="40"/>
      <c r="G101" s="40">
        <v>26556</v>
      </c>
      <c r="H101" s="40"/>
      <c r="I101" s="40"/>
      <c r="J101" s="40"/>
      <c r="K101" s="40"/>
      <c r="L101" s="40"/>
      <c r="M101" s="41">
        <v>172315</v>
      </c>
      <c r="N101" s="1" t="str">
        <f>IFERROR(INDEX([1]物品基础表!$A:$A,MATCH(M101,[1]物品基础表!$B:$B,0)),"")</f>
        <v>橙色法师140级鞋子</v>
      </c>
      <c r="O101" s="41">
        <v>1</v>
      </c>
    </row>
    <row r="102" spans="1:15">
      <c r="A102" s="39" t="str">
        <f>INDEX([2]活动总表!$A$8:$A$429,MATCH(B102,[2]活动总表!$B$8:$B$429,0))</f>
        <v>合服BOSS积分</v>
      </c>
      <c r="B102" s="40">
        <v>161</v>
      </c>
      <c r="C102" s="40">
        <v>96</v>
      </c>
      <c r="D102" s="40"/>
      <c r="E102" s="40"/>
      <c r="F102" s="40"/>
      <c r="G102" s="40">
        <v>66392</v>
      </c>
      <c r="H102" s="40"/>
      <c r="I102" s="40"/>
      <c r="J102" s="40"/>
      <c r="K102" s="40"/>
      <c r="L102" s="40"/>
      <c r="M102" s="41">
        <v>103315</v>
      </c>
      <c r="N102" s="1" t="str">
        <f>IFERROR(INDEX([1]物品基础表!$A:$A,MATCH(M102,[1]物品基础表!$B:$B,0)),"")</f>
        <v>橙色道士140级武器</v>
      </c>
      <c r="O102" s="41">
        <v>1</v>
      </c>
    </row>
    <row r="103" spans="1:15">
      <c r="A103" s="39" t="str">
        <f>INDEX([2]活动总表!$A$8:$A$429,MATCH(B103,[2]活动总表!$B$8:$B$429,0))</f>
        <v>合服BOSS积分</v>
      </c>
      <c r="B103" s="40">
        <v>161</v>
      </c>
      <c r="C103" s="40">
        <v>97</v>
      </c>
      <c r="D103" s="40"/>
      <c r="E103" s="40"/>
      <c r="F103" s="40"/>
      <c r="G103" s="40">
        <v>47801</v>
      </c>
      <c r="H103" s="40"/>
      <c r="I103" s="40"/>
      <c r="J103" s="40"/>
      <c r="K103" s="40"/>
      <c r="L103" s="40"/>
      <c r="M103" s="41">
        <v>123315</v>
      </c>
      <c r="N103" s="1" t="str">
        <f>IFERROR(INDEX([1]物品基础表!$A:$A,MATCH(M103,[1]物品基础表!$B:$B,0)),"")</f>
        <v>橙色道士140级衣服</v>
      </c>
      <c r="O103" s="41">
        <v>1</v>
      </c>
    </row>
    <row r="104" spans="1:15">
      <c r="A104" s="39" t="str">
        <f>INDEX([2]活动总表!$A$8:$A$429,MATCH(B104,[2]活动总表!$B$8:$B$429,0))</f>
        <v>合服BOSS积分</v>
      </c>
      <c r="B104" s="40">
        <v>161</v>
      </c>
      <c r="C104" s="40">
        <v>98</v>
      </c>
      <c r="D104" s="40"/>
      <c r="E104" s="40"/>
      <c r="F104" s="40"/>
      <c r="G104" s="40">
        <v>26556</v>
      </c>
      <c r="H104" s="40"/>
      <c r="I104" s="40"/>
      <c r="J104" s="40"/>
      <c r="K104" s="40"/>
      <c r="L104" s="40"/>
      <c r="M104" s="41">
        <v>143315</v>
      </c>
      <c r="N104" s="1" t="str">
        <f>IFERROR(INDEX([1]物品基础表!$A:$A,MATCH(M104,[1]物品基础表!$B:$B,0)),"")</f>
        <v>橙色道士140级手镯</v>
      </c>
      <c r="O104" s="41">
        <v>1</v>
      </c>
    </row>
    <row r="105" spans="1:15">
      <c r="A105" s="39" t="str">
        <f>INDEX([2]活动总表!$A$8:$A$429,MATCH(B105,[2]活动总表!$B$8:$B$429,0))</f>
        <v>合服BOSS积分</v>
      </c>
      <c r="B105" s="40">
        <v>161</v>
      </c>
      <c r="C105" s="40">
        <v>99</v>
      </c>
      <c r="D105" s="40"/>
      <c r="E105" s="40"/>
      <c r="F105" s="40"/>
      <c r="G105" s="40">
        <v>26556</v>
      </c>
      <c r="H105" s="40"/>
      <c r="I105" s="40"/>
      <c r="J105" s="40"/>
      <c r="K105" s="40"/>
      <c r="L105" s="40"/>
      <c r="M105" s="41">
        <v>163315</v>
      </c>
      <c r="N105" s="1" t="str">
        <f>IFERROR(INDEX([1]物品基础表!$A:$A,MATCH(M105,[1]物品基础表!$B:$B,0)),"")</f>
        <v>橙色道士140级戒指</v>
      </c>
      <c r="O105" s="41">
        <v>1</v>
      </c>
    </row>
    <row r="106" spans="1:15">
      <c r="A106" s="39" t="str">
        <f>INDEX([2]活动总表!$A$8:$A$429,MATCH(B106,[2]活动总表!$B$8:$B$429,0))</f>
        <v>合服BOSS积分</v>
      </c>
      <c r="B106" s="40">
        <v>161</v>
      </c>
      <c r="C106" s="40">
        <v>100</v>
      </c>
      <c r="D106" s="40"/>
      <c r="E106" s="40"/>
      <c r="F106" s="40"/>
      <c r="G106" s="40">
        <v>26556</v>
      </c>
      <c r="H106" s="40"/>
      <c r="I106" s="40"/>
      <c r="J106" s="40"/>
      <c r="K106" s="40"/>
      <c r="L106" s="40"/>
      <c r="M106" s="41">
        <v>113315</v>
      </c>
      <c r="N106" s="1" t="str">
        <f>IFERROR(INDEX([1]物品基础表!$A:$A,MATCH(M106,[1]物品基础表!$B:$B,0)),"")</f>
        <v>橙色道士140级头盔</v>
      </c>
      <c r="O106" s="41">
        <v>1</v>
      </c>
    </row>
    <row r="107" spans="1:15">
      <c r="A107" s="39" t="str">
        <f>INDEX([2]活动总表!$A$8:$A$429,MATCH(B107,[2]活动总表!$B$8:$B$429,0))</f>
        <v>合服BOSS积分</v>
      </c>
      <c r="B107" s="40">
        <v>161</v>
      </c>
      <c r="C107" s="40">
        <v>101</v>
      </c>
      <c r="D107" s="40"/>
      <c r="E107" s="40"/>
      <c r="F107" s="40"/>
      <c r="G107" s="40">
        <v>26556</v>
      </c>
      <c r="H107" s="40"/>
      <c r="I107" s="40"/>
      <c r="J107" s="40"/>
      <c r="K107" s="40"/>
      <c r="L107" s="40"/>
      <c r="M107" s="41">
        <v>133315</v>
      </c>
      <c r="N107" s="1" t="str">
        <f>IFERROR(INDEX([1]物品基础表!$A:$A,MATCH(M107,[1]物品基础表!$B:$B,0)),"")</f>
        <v>橙色道士140级项链</v>
      </c>
      <c r="O107" s="41">
        <v>1</v>
      </c>
    </row>
    <row r="108" spans="1:15">
      <c r="A108" s="39" t="str">
        <f>INDEX([2]活动总表!$A$8:$A$429,MATCH(B108,[2]活动总表!$B$8:$B$429,0))</f>
        <v>合服BOSS积分</v>
      </c>
      <c r="B108" s="40">
        <v>161</v>
      </c>
      <c r="C108" s="40">
        <v>102</v>
      </c>
      <c r="D108" s="40"/>
      <c r="E108" s="40"/>
      <c r="F108" s="40"/>
      <c r="G108" s="40">
        <v>26556</v>
      </c>
      <c r="H108" s="40"/>
      <c r="I108" s="40"/>
      <c r="J108" s="40"/>
      <c r="K108" s="40"/>
      <c r="L108" s="40"/>
      <c r="M108" s="41">
        <v>153315</v>
      </c>
      <c r="N108" s="1" t="str">
        <f>IFERROR(INDEX([1]物品基础表!$A:$A,MATCH(M108,[1]物品基础表!$B:$B,0)),"")</f>
        <v>橙色道士140级腰带</v>
      </c>
      <c r="O108" s="41">
        <v>1</v>
      </c>
    </row>
    <row r="109" spans="1:15">
      <c r="A109" s="39" t="str">
        <f>INDEX([2]活动总表!$A$8:$A$429,MATCH(B109,[2]活动总表!$B$8:$B$429,0))</f>
        <v>合服BOSS积分</v>
      </c>
      <c r="B109" s="40">
        <v>161</v>
      </c>
      <c r="C109" s="40">
        <v>103</v>
      </c>
      <c r="D109" s="40"/>
      <c r="E109" s="40"/>
      <c r="F109" s="40"/>
      <c r="G109" s="40">
        <v>26556</v>
      </c>
      <c r="H109" s="40"/>
      <c r="I109" s="40"/>
      <c r="J109" s="40"/>
      <c r="K109" s="40"/>
      <c r="L109" s="40"/>
      <c r="M109" s="41">
        <v>173315</v>
      </c>
      <c r="N109" s="1" t="str">
        <f>IFERROR(INDEX([1]物品基础表!$A:$A,MATCH(M109,[1]物品基础表!$B:$B,0)),"")</f>
        <v>橙色道士140级鞋子</v>
      </c>
      <c r="O109" s="41">
        <v>1</v>
      </c>
    </row>
    <row r="110" spans="1:15">
      <c r="A110" s="39" t="str">
        <f>INDEX([2]活动总表!$A$8:$A$429,MATCH(B110,[2]活动总表!$B$8:$B$429,0))</f>
        <v>合服BOSS积分</v>
      </c>
      <c r="B110" s="40">
        <v>161</v>
      </c>
      <c r="C110" s="40">
        <v>104</v>
      </c>
      <c r="D110" s="40"/>
      <c r="E110" s="40"/>
      <c r="F110" s="40"/>
      <c r="G110" s="40">
        <v>84272</v>
      </c>
      <c r="H110" s="40"/>
      <c r="I110" s="40"/>
      <c r="J110" s="40"/>
      <c r="K110" s="40"/>
      <c r="L110" s="40"/>
      <c r="M110" s="41">
        <v>101316</v>
      </c>
      <c r="N110" s="1" t="str">
        <f>IFERROR(INDEX([1]物品基础表!$A:$A,MATCH(M110,[1]物品基础表!$B:$B,0)),"")</f>
        <v>橙色战士150级武器</v>
      </c>
      <c r="O110" s="41">
        <v>1</v>
      </c>
    </row>
    <row r="111" spans="1:15">
      <c r="A111" s="39" t="str">
        <f>INDEX([2]活动总表!$A$8:$A$429,MATCH(B111,[2]活动总表!$B$8:$B$429,0))</f>
        <v>合服BOSS积分</v>
      </c>
      <c r="B111" s="40">
        <v>161</v>
      </c>
      <c r="C111" s="40">
        <v>105</v>
      </c>
      <c r="D111" s="40"/>
      <c r="E111" s="40"/>
      <c r="F111" s="40"/>
      <c r="G111" s="40">
        <v>60675</v>
      </c>
      <c r="H111" s="40"/>
      <c r="I111" s="40"/>
      <c r="J111" s="40"/>
      <c r="K111" s="40"/>
      <c r="L111" s="40"/>
      <c r="M111" s="41">
        <v>121316</v>
      </c>
      <c r="N111" s="1" t="str">
        <f>IFERROR(INDEX([1]物品基础表!$A:$A,MATCH(M111,[1]物品基础表!$B:$B,0)),"")</f>
        <v>橙色战士150级衣服</v>
      </c>
      <c r="O111" s="41">
        <v>1</v>
      </c>
    </row>
    <row r="112" spans="1:15">
      <c r="A112" s="39" t="str">
        <f>INDEX([2]活动总表!$A$8:$A$429,MATCH(B112,[2]活动总表!$B$8:$B$429,0))</f>
        <v>合服BOSS积分</v>
      </c>
      <c r="B112" s="40">
        <v>161</v>
      </c>
      <c r="C112" s="40">
        <v>106</v>
      </c>
      <c r="D112" s="40"/>
      <c r="E112" s="40"/>
      <c r="F112" s="40"/>
      <c r="G112" s="40">
        <v>33708</v>
      </c>
      <c r="H112" s="40"/>
      <c r="I112" s="40"/>
      <c r="J112" s="40"/>
      <c r="K112" s="40"/>
      <c r="L112" s="40"/>
      <c r="M112" s="41">
        <v>141316</v>
      </c>
      <c r="N112" s="1" t="str">
        <f>IFERROR(INDEX([1]物品基础表!$A:$A,MATCH(M112,[1]物品基础表!$B:$B,0)),"")</f>
        <v>橙色战士150级手镯</v>
      </c>
      <c r="O112" s="41">
        <v>1</v>
      </c>
    </row>
    <row r="113" spans="1:15">
      <c r="A113" s="39" t="str">
        <f>INDEX([2]活动总表!$A$8:$A$429,MATCH(B113,[2]活动总表!$B$8:$B$429,0))</f>
        <v>合服BOSS积分</v>
      </c>
      <c r="B113" s="40">
        <v>161</v>
      </c>
      <c r="C113" s="40">
        <v>107</v>
      </c>
      <c r="D113" s="40"/>
      <c r="E113" s="40"/>
      <c r="F113" s="40"/>
      <c r="G113" s="40">
        <v>33708</v>
      </c>
      <c r="H113" s="40"/>
      <c r="I113" s="40"/>
      <c r="J113" s="40"/>
      <c r="K113" s="40"/>
      <c r="L113" s="40"/>
      <c r="M113" s="41">
        <v>161316</v>
      </c>
      <c r="N113" s="1" t="str">
        <f>IFERROR(INDEX([1]物品基础表!$A:$A,MATCH(M113,[1]物品基础表!$B:$B,0)),"")</f>
        <v>橙色战士150级戒指</v>
      </c>
      <c r="O113" s="41">
        <v>1</v>
      </c>
    </row>
    <row r="114" spans="1:15">
      <c r="A114" s="39" t="str">
        <f>INDEX([2]活动总表!$A$8:$A$429,MATCH(B114,[2]活动总表!$B$8:$B$429,0))</f>
        <v>合服BOSS积分</v>
      </c>
      <c r="B114" s="40">
        <v>161</v>
      </c>
      <c r="C114" s="40">
        <v>108</v>
      </c>
      <c r="D114" s="40"/>
      <c r="E114" s="40"/>
      <c r="F114" s="40"/>
      <c r="G114" s="40">
        <v>33708</v>
      </c>
      <c r="H114" s="40"/>
      <c r="I114" s="40"/>
      <c r="J114" s="40"/>
      <c r="K114" s="40"/>
      <c r="L114" s="40"/>
      <c r="M114" s="41">
        <v>111316</v>
      </c>
      <c r="N114" s="1" t="str">
        <f>IFERROR(INDEX([1]物品基础表!$A:$A,MATCH(M114,[1]物品基础表!$B:$B,0)),"")</f>
        <v>橙色战士150级头盔</v>
      </c>
      <c r="O114" s="41">
        <v>1</v>
      </c>
    </row>
    <row r="115" spans="1:15">
      <c r="A115" s="39" t="str">
        <f>INDEX([2]活动总表!$A$8:$A$429,MATCH(B115,[2]活动总表!$B$8:$B$429,0))</f>
        <v>合服BOSS积分</v>
      </c>
      <c r="B115" s="40">
        <v>161</v>
      </c>
      <c r="C115" s="40">
        <v>109</v>
      </c>
      <c r="D115" s="40"/>
      <c r="E115" s="40"/>
      <c r="F115" s="40"/>
      <c r="G115" s="40">
        <v>33708</v>
      </c>
      <c r="H115" s="40"/>
      <c r="I115" s="40"/>
      <c r="J115" s="40"/>
      <c r="K115" s="40"/>
      <c r="L115" s="40"/>
      <c r="M115" s="41">
        <v>131316</v>
      </c>
      <c r="N115" s="1" t="str">
        <f>IFERROR(INDEX([1]物品基础表!$A:$A,MATCH(M115,[1]物品基础表!$B:$B,0)),"")</f>
        <v>橙色战士150级项链</v>
      </c>
      <c r="O115" s="41">
        <v>1</v>
      </c>
    </row>
    <row r="116" spans="1:15">
      <c r="A116" s="39" t="str">
        <f>INDEX([2]活动总表!$A$8:$A$429,MATCH(B116,[2]活动总表!$B$8:$B$429,0))</f>
        <v>合服BOSS积分</v>
      </c>
      <c r="B116" s="40">
        <v>161</v>
      </c>
      <c r="C116" s="40">
        <v>110</v>
      </c>
      <c r="D116" s="40"/>
      <c r="E116" s="40"/>
      <c r="F116" s="40"/>
      <c r="G116" s="40">
        <v>33708</v>
      </c>
      <c r="H116" s="40"/>
      <c r="I116" s="40"/>
      <c r="J116" s="40"/>
      <c r="K116" s="40"/>
      <c r="L116" s="40"/>
      <c r="M116" s="41">
        <v>151316</v>
      </c>
      <c r="N116" s="1" t="str">
        <f>IFERROR(INDEX([1]物品基础表!$A:$A,MATCH(M116,[1]物品基础表!$B:$B,0)),"")</f>
        <v>橙色战士150级腰带</v>
      </c>
      <c r="O116" s="41">
        <v>1</v>
      </c>
    </row>
    <row r="117" spans="1:15">
      <c r="A117" s="39" t="str">
        <f>INDEX([2]活动总表!$A$8:$A$429,MATCH(B117,[2]活动总表!$B$8:$B$429,0))</f>
        <v>合服BOSS积分</v>
      </c>
      <c r="B117" s="40">
        <v>161</v>
      </c>
      <c r="C117" s="40">
        <v>111</v>
      </c>
      <c r="D117" s="40"/>
      <c r="E117" s="40"/>
      <c r="F117" s="40"/>
      <c r="G117" s="40">
        <v>33708</v>
      </c>
      <c r="H117" s="40"/>
      <c r="I117" s="40"/>
      <c r="J117" s="40"/>
      <c r="K117" s="40"/>
      <c r="L117" s="40"/>
      <c r="M117" s="41">
        <v>171316</v>
      </c>
      <c r="N117" s="1" t="str">
        <f>IFERROR(INDEX([1]物品基础表!$A:$A,MATCH(M117,[1]物品基础表!$B:$B,0)),"")</f>
        <v>橙色战士150级鞋子</v>
      </c>
      <c r="O117" s="41">
        <v>1</v>
      </c>
    </row>
    <row r="118" spans="1:15">
      <c r="A118" s="39" t="str">
        <f>INDEX([2]活动总表!$A$8:$A$429,MATCH(B118,[2]活动总表!$B$8:$B$429,0))</f>
        <v>合服BOSS积分</v>
      </c>
      <c r="B118" s="40">
        <v>161</v>
      </c>
      <c r="C118" s="40">
        <v>112</v>
      </c>
      <c r="D118" s="40"/>
      <c r="E118" s="40"/>
      <c r="F118" s="40"/>
      <c r="G118" s="40">
        <v>84272</v>
      </c>
      <c r="H118" s="40"/>
      <c r="I118" s="40"/>
      <c r="J118" s="40"/>
      <c r="K118" s="40"/>
      <c r="L118" s="40"/>
      <c r="M118" s="41">
        <v>102316</v>
      </c>
      <c r="N118" s="1" t="str">
        <f>IFERROR(INDEX([1]物品基础表!$A:$A,MATCH(M118,[1]物品基础表!$B:$B,0)),"")</f>
        <v>橙色法师150级武器</v>
      </c>
      <c r="O118" s="41">
        <v>1</v>
      </c>
    </row>
    <row r="119" spans="1:15">
      <c r="A119" s="39" t="str">
        <f>INDEX([2]活动总表!$A$8:$A$429,MATCH(B119,[2]活动总表!$B$8:$B$429,0))</f>
        <v>合服BOSS积分</v>
      </c>
      <c r="B119" s="40">
        <v>161</v>
      </c>
      <c r="C119" s="40">
        <v>113</v>
      </c>
      <c r="D119" s="40"/>
      <c r="E119" s="40"/>
      <c r="F119" s="40"/>
      <c r="G119" s="40">
        <v>60675</v>
      </c>
      <c r="H119" s="40"/>
      <c r="I119" s="40"/>
      <c r="J119" s="40"/>
      <c r="K119" s="40"/>
      <c r="L119" s="40"/>
      <c r="M119" s="41">
        <v>122316</v>
      </c>
      <c r="N119" s="1" t="str">
        <f>IFERROR(INDEX([1]物品基础表!$A:$A,MATCH(M119,[1]物品基础表!$B:$B,0)),"")</f>
        <v>橙色法师150级衣服</v>
      </c>
      <c r="O119" s="41">
        <v>1</v>
      </c>
    </row>
    <row r="120" spans="1:15">
      <c r="A120" s="39" t="str">
        <f>INDEX([2]活动总表!$A$8:$A$429,MATCH(B120,[2]活动总表!$B$8:$B$429,0))</f>
        <v>合服BOSS积分</v>
      </c>
      <c r="B120" s="40">
        <v>161</v>
      </c>
      <c r="C120" s="40">
        <v>114</v>
      </c>
      <c r="D120" s="40"/>
      <c r="E120" s="40"/>
      <c r="F120" s="40"/>
      <c r="G120" s="40">
        <v>33708</v>
      </c>
      <c r="H120" s="40"/>
      <c r="I120" s="40"/>
      <c r="J120" s="40"/>
      <c r="K120" s="40"/>
      <c r="L120" s="40"/>
      <c r="M120" s="41">
        <v>142316</v>
      </c>
      <c r="N120" s="1" t="str">
        <f>IFERROR(INDEX([1]物品基础表!$A:$A,MATCH(M120,[1]物品基础表!$B:$B,0)),"")</f>
        <v>橙色法师150级手镯</v>
      </c>
      <c r="O120" s="41">
        <v>1</v>
      </c>
    </row>
    <row r="121" spans="1:15">
      <c r="A121" s="39" t="str">
        <f>INDEX([2]活动总表!$A$8:$A$429,MATCH(B121,[2]活动总表!$B$8:$B$429,0))</f>
        <v>合服BOSS积分</v>
      </c>
      <c r="B121" s="40">
        <v>161</v>
      </c>
      <c r="C121" s="40">
        <v>115</v>
      </c>
      <c r="D121" s="40"/>
      <c r="E121" s="40"/>
      <c r="F121" s="40"/>
      <c r="G121" s="40">
        <v>33708</v>
      </c>
      <c r="H121" s="40"/>
      <c r="I121" s="40"/>
      <c r="J121" s="40"/>
      <c r="K121" s="40"/>
      <c r="L121" s="40"/>
      <c r="M121" s="41">
        <v>162316</v>
      </c>
      <c r="N121" s="1" t="str">
        <f>IFERROR(INDEX([1]物品基础表!$A:$A,MATCH(M121,[1]物品基础表!$B:$B,0)),"")</f>
        <v>橙色法师150级戒指</v>
      </c>
      <c r="O121" s="41">
        <v>1</v>
      </c>
    </row>
    <row r="122" spans="1:15">
      <c r="A122" s="39" t="str">
        <f>INDEX([2]活动总表!$A$8:$A$429,MATCH(B122,[2]活动总表!$B$8:$B$429,0))</f>
        <v>合服BOSS积分</v>
      </c>
      <c r="B122" s="40">
        <v>161</v>
      </c>
      <c r="C122" s="40">
        <v>116</v>
      </c>
      <c r="D122" s="40"/>
      <c r="E122" s="40"/>
      <c r="F122" s="40"/>
      <c r="G122" s="40">
        <v>33708</v>
      </c>
      <c r="H122" s="40"/>
      <c r="I122" s="40"/>
      <c r="J122" s="40"/>
      <c r="K122" s="40"/>
      <c r="L122" s="40"/>
      <c r="M122" s="41">
        <v>112316</v>
      </c>
      <c r="N122" s="1" t="str">
        <f>IFERROR(INDEX([1]物品基础表!$A:$A,MATCH(M122,[1]物品基础表!$B:$B,0)),"")</f>
        <v>橙色法师150级头盔</v>
      </c>
      <c r="O122" s="41">
        <v>1</v>
      </c>
    </row>
    <row r="123" spans="1:15">
      <c r="A123" s="39" t="str">
        <f>INDEX([2]活动总表!$A$8:$A$429,MATCH(B123,[2]活动总表!$B$8:$B$429,0))</f>
        <v>合服BOSS积分</v>
      </c>
      <c r="B123" s="40">
        <v>161</v>
      </c>
      <c r="C123" s="40">
        <v>117</v>
      </c>
      <c r="D123" s="40"/>
      <c r="E123" s="40"/>
      <c r="F123" s="40"/>
      <c r="G123" s="40">
        <v>33708</v>
      </c>
      <c r="H123" s="40"/>
      <c r="I123" s="40"/>
      <c r="J123" s="40"/>
      <c r="K123" s="40"/>
      <c r="L123" s="40"/>
      <c r="M123" s="41">
        <v>132316</v>
      </c>
      <c r="N123" s="1" t="str">
        <f>IFERROR(INDEX([1]物品基础表!$A:$A,MATCH(M123,[1]物品基础表!$B:$B,0)),"")</f>
        <v>橙色法师150级项链</v>
      </c>
      <c r="O123" s="41">
        <v>1</v>
      </c>
    </row>
    <row r="124" spans="1:15">
      <c r="A124" s="39" t="str">
        <f>INDEX([2]活动总表!$A$8:$A$429,MATCH(B124,[2]活动总表!$B$8:$B$429,0))</f>
        <v>合服BOSS积分</v>
      </c>
      <c r="B124" s="40">
        <v>161</v>
      </c>
      <c r="C124" s="40">
        <v>118</v>
      </c>
      <c r="D124" s="40"/>
      <c r="E124" s="40"/>
      <c r="F124" s="40"/>
      <c r="G124" s="40">
        <v>33708</v>
      </c>
      <c r="H124" s="40"/>
      <c r="I124" s="40"/>
      <c r="J124" s="40"/>
      <c r="K124" s="40"/>
      <c r="L124" s="40"/>
      <c r="M124" s="41">
        <v>152316</v>
      </c>
      <c r="N124" s="1" t="str">
        <f>IFERROR(INDEX([1]物品基础表!$A:$A,MATCH(M124,[1]物品基础表!$B:$B,0)),"")</f>
        <v>橙色法师150级腰带</v>
      </c>
      <c r="O124" s="41">
        <v>1</v>
      </c>
    </row>
    <row r="125" spans="1:15">
      <c r="A125" s="39" t="str">
        <f>INDEX([2]活动总表!$A$8:$A$429,MATCH(B125,[2]活动总表!$B$8:$B$429,0))</f>
        <v>合服BOSS积分</v>
      </c>
      <c r="B125" s="40">
        <v>161</v>
      </c>
      <c r="C125" s="40">
        <v>119</v>
      </c>
      <c r="D125" s="40"/>
      <c r="E125" s="40"/>
      <c r="F125" s="40"/>
      <c r="G125" s="40">
        <v>33708</v>
      </c>
      <c r="H125" s="40"/>
      <c r="I125" s="40"/>
      <c r="J125" s="40"/>
      <c r="K125" s="40"/>
      <c r="L125" s="40"/>
      <c r="M125" s="41">
        <v>172316</v>
      </c>
      <c r="N125" s="1" t="str">
        <f>IFERROR(INDEX([1]物品基础表!$A:$A,MATCH(M125,[1]物品基础表!$B:$B,0)),"")</f>
        <v>橙色法师150级鞋子</v>
      </c>
      <c r="O125" s="41">
        <v>1</v>
      </c>
    </row>
    <row r="126" spans="1:15">
      <c r="A126" s="39" t="str">
        <f>INDEX([2]活动总表!$A$8:$A$429,MATCH(B126,[2]活动总表!$B$8:$B$429,0))</f>
        <v>合服BOSS积分</v>
      </c>
      <c r="B126" s="40">
        <v>161</v>
      </c>
      <c r="C126" s="40">
        <v>120</v>
      </c>
      <c r="D126" s="40"/>
      <c r="E126" s="40"/>
      <c r="F126" s="40"/>
      <c r="G126" s="40">
        <v>84272</v>
      </c>
      <c r="H126" s="40"/>
      <c r="I126" s="40"/>
      <c r="J126" s="40"/>
      <c r="K126" s="40"/>
      <c r="L126" s="40"/>
      <c r="M126" s="41">
        <v>103316</v>
      </c>
      <c r="N126" s="1" t="str">
        <f>IFERROR(INDEX([1]物品基础表!$A:$A,MATCH(M126,[1]物品基础表!$B:$B,0)),"")</f>
        <v>橙色道士150级武器</v>
      </c>
      <c r="O126" s="41">
        <v>1</v>
      </c>
    </row>
    <row r="127" spans="1:15">
      <c r="A127" s="39" t="str">
        <f>INDEX([2]活动总表!$A$8:$A$429,MATCH(B127,[2]活动总表!$B$8:$B$429,0))</f>
        <v>合服BOSS积分</v>
      </c>
      <c r="B127" s="40">
        <v>161</v>
      </c>
      <c r="C127" s="40">
        <v>121</v>
      </c>
      <c r="D127" s="40"/>
      <c r="E127" s="40"/>
      <c r="F127" s="40"/>
      <c r="G127" s="40">
        <v>60675</v>
      </c>
      <c r="H127" s="40"/>
      <c r="I127" s="40"/>
      <c r="J127" s="40"/>
      <c r="K127" s="40"/>
      <c r="L127" s="40"/>
      <c r="M127" s="41">
        <v>123316</v>
      </c>
      <c r="N127" s="1" t="str">
        <f>IFERROR(INDEX([1]物品基础表!$A:$A,MATCH(M127,[1]物品基础表!$B:$B,0)),"")</f>
        <v>橙色道士150级衣服</v>
      </c>
      <c r="O127" s="41">
        <v>1</v>
      </c>
    </row>
    <row r="128" spans="1:15">
      <c r="A128" s="39" t="str">
        <f>INDEX([2]活动总表!$A$8:$A$429,MATCH(B128,[2]活动总表!$B$8:$B$429,0))</f>
        <v>合服BOSS积分</v>
      </c>
      <c r="B128" s="40">
        <v>161</v>
      </c>
      <c r="C128" s="40">
        <v>122</v>
      </c>
      <c r="D128" s="40"/>
      <c r="E128" s="40"/>
      <c r="F128" s="40"/>
      <c r="G128" s="40">
        <v>33708</v>
      </c>
      <c r="H128" s="40"/>
      <c r="I128" s="40"/>
      <c r="J128" s="40"/>
      <c r="K128" s="40"/>
      <c r="L128" s="40"/>
      <c r="M128" s="41">
        <v>143316</v>
      </c>
      <c r="N128" s="1" t="str">
        <f>IFERROR(INDEX([1]物品基础表!$A:$A,MATCH(M128,[1]物品基础表!$B:$B,0)),"")</f>
        <v>橙色道士150级手镯</v>
      </c>
      <c r="O128" s="41">
        <v>1</v>
      </c>
    </row>
    <row r="129" spans="1:15">
      <c r="A129" s="39" t="str">
        <f>INDEX([2]活动总表!$A$8:$A$429,MATCH(B129,[2]活动总表!$B$8:$B$429,0))</f>
        <v>合服BOSS积分</v>
      </c>
      <c r="B129" s="40">
        <v>161</v>
      </c>
      <c r="C129" s="40">
        <v>123</v>
      </c>
      <c r="D129" s="40"/>
      <c r="E129" s="40"/>
      <c r="F129" s="40"/>
      <c r="G129" s="40">
        <v>33708</v>
      </c>
      <c r="H129" s="40"/>
      <c r="I129" s="40"/>
      <c r="J129" s="40"/>
      <c r="K129" s="40"/>
      <c r="L129" s="40"/>
      <c r="M129" s="41">
        <v>163316</v>
      </c>
      <c r="N129" s="1" t="str">
        <f>IFERROR(INDEX([1]物品基础表!$A:$A,MATCH(M129,[1]物品基础表!$B:$B,0)),"")</f>
        <v>橙色道士150级戒指</v>
      </c>
      <c r="O129" s="41">
        <v>1</v>
      </c>
    </row>
    <row r="130" spans="1:15">
      <c r="A130" s="39" t="str">
        <f>INDEX([2]活动总表!$A$8:$A$429,MATCH(B130,[2]活动总表!$B$8:$B$429,0))</f>
        <v>合服BOSS积分</v>
      </c>
      <c r="B130" s="40">
        <v>161</v>
      </c>
      <c r="C130" s="40">
        <v>124</v>
      </c>
      <c r="D130" s="40"/>
      <c r="E130" s="40"/>
      <c r="F130" s="40"/>
      <c r="G130" s="40">
        <v>33708</v>
      </c>
      <c r="H130" s="40"/>
      <c r="I130" s="40"/>
      <c r="J130" s="40"/>
      <c r="K130" s="40"/>
      <c r="L130" s="40"/>
      <c r="M130" s="41">
        <v>113316</v>
      </c>
      <c r="N130" s="1" t="str">
        <f>IFERROR(INDEX([1]物品基础表!$A:$A,MATCH(M130,[1]物品基础表!$B:$B,0)),"")</f>
        <v>橙色道士150级头盔</v>
      </c>
      <c r="O130" s="41">
        <v>1</v>
      </c>
    </row>
    <row r="131" spans="1:15">
      <c r="A131" s="39" t="str">
        <f>INDEX([2]活动总表!$A$8:$A$429,MATCH(B131,[2]活动总表!$B$8:$B$429,0))</f>
        <v>合服BOSS积分</v>
      </c>
      <c r="B131" s="40">
        <v>161</v>
      </c>
      <c r="C131" s="40">
        <v>125</v>
      </c>
      <c r="D131" s="40"/>
      <c r="E131" s="40"/>
      <c r="F131" s="40"/>
      <c r="G131" s="40">
        <v>33708</v>
      </c>
      <c r="H131" s="40"/>
      <c r="I131" s="40"/>
      <c r="J131" s="40"/>
      <c r="K131" s="40"/>
      <c r="L131" s="40"/>
      <c r="M131" s="41">
        <v>133316</v>
      </c>
      <c r="N131" s="1" t="str">
        <f>IFERROR(INDEX([1]物品基础表!$A:$A,MATCH(M131,[1]物品基础表!$B:$B,0)),"")</f>
        <v>橙色道士150级项链</v>
      </c>
      <c r="O131" s="41">
        <v>1</v>
      </c>
    </row>
    <row r="132" spans="1:15">
      <c r="A132" s="39" t="str">
        <f>INDEX([2]活动总表!$A$8:$A$429,MATCH(B132,[2]活动总表!$B$8:$B$429,0))</f>
        <v>合服BOSS积分</v>
      </c>
      <c r="B132" s="40">
        <v>161</v>
      </c>
      <c r="C132" s="40">
        <v>126</v>
      </c>
      <c r="D132" s="40"/>
      <c r="E132" s="40"/>
      <c r="F132" s="40"/>
      <c r="G132" s="40">
        <v>33708</v>
      </c>
      <c r="H132" s="40"/>
      <c r="I132" s="40"/>
      <c r="J132" s="40"/>
      <c r="K132" s="40"/>
      <c r="L132" s="40"/>
      <c r="M132" s="41">
        <v>153316</v>
      </c>
      <c r="N132" s="1" t="str">
        <f>IFERROR(INDEX([1]物品基础表!$A:$A,MATCH(M132,[1]物品基础表!$B:$B,0)),"")</f>
        <v>橙色道士150级腰带</v>
      </c>
      <c r="O132" s="41">
        <v>1</v>
      </c>
    </row>
    <row r="133" spans="1:15">
      <c r="A133" s="39" t="str">
        <f>INDEX([2]活动总表!$A$8:$A$429,MATCH(B133,[2]活动总表!$B$8:$B$429,0))</f>
        <v>合服BOSS积分</v>
      </c>
      <c r="B133" s="40">
        <v>161</v>
      </c>
      <c r="C133" s="40">
        <v>127</v>
      </c>
      <c r="D133" s="40"/>
      <c r="E133" s="40"/>
      <c r="F133" s="40"/>
      <c r="G133" s="40">
        <v>33708</v>
      </c>
      <c r="H133" s="40"/>
      <c r="I133" s="40"/>
      <c r="J133" s="40"/>
      <c r="K133" s="40"/>
      <c r="L133" s="40"/>
      <c r="M133" s="41">
        <v>173316</v>
      </c>
      <c r="N133" s="1" t="str">
        <f>IFERROR(INDEX([1]物品基础表!$A:$A,MATCH(M133,[1]物品基础表!$B:$B,0)),"")</f>
        <v>橙色道士150级鞋子</v>
      </c>
      <c r="O133" s="41">
        <v>1</v>
      </c>
    </row>
    <row r="134" spans="1:15">
      <c r="A134" s="39" t="str">
        <f>INDEX([2]活动总表!$A$8:$A$429,MATCH(B134,[2]活动总表!$B$8:$B$429,0))</f>
        <v>合服BOSS积分</v>
      </c>
      <c r="B134" s="40">
        <v>161</v>
      </c>
      <c r="C134" s="40">
        <v>128</v>
      </c>
      <c r="D134" s="40"/>
      <c r="E134" s="40"/>
      <c r="F134" s="40"/>
      <c r="G134" s="40">
        <v>104696</v>
      </c>
      <c r="H134" s="40"/>
      <c r="I134" s="40"/>
      <c r="J134" s="40"/>
      <c r="K134" s="40"/>
      <c r="L134" s="40"/>
      <c r="M134" s="41">
        <v>101317</v>
      </c>
      <c r="N134" s="1" t="str">
        <f>IFERROR(INDEX([1]物品基础表!$A:$A,MATCH(M134,[1]物品基础表!$B:$B,0)),"")</f>
        <v>橙色战士160级武器</v>
      </c>
      <c r="O134" s="41">
        <v>1</v>
      </c>
    </row>
    <row r="135" spans="1:15">
      <c r="A135" s="39" t="str">
        <f>INDEX([2]活动总表!$A$8:$A$429,MATCH(B135,[2]活动总表!$B$8:$B$429,0))</f>
        <v>合服BOSS积分</v>
      </c>
      <c r="B135" s="40">
        <v>161</v>
      </c>
      <c r="C135" s="40">
        <v>129</v>
      </c>
      <c r="D135" s="40"/>
      <c r="E135" s="40"/>
      <c r="F135" s="40"/>
      <c r="G135" s="40">
        <v>75380</v>
      </c>
      <c r="H135" s="40"/>
      <c r="I135" s="40"/>
      <c r="J135" s="40"/>
      <c r="K135" s="40"/>
      <c r="L135" s="40"/>
      <c r="M135" s="41">
        <v>121317</v>
      </c>
      <c r="N135" s="1" t="str">
        <f>IFERROR(INDEX([1]物品基础表!$A:$A,MATCH(M135,[1]物品基础表!$B:$B,0)),"")</f>
        <v>橙色战士160级衣服</v>
      </c>
      <c r="O135" s="41">
        <v>1</v>
      </c>
    </row>
    <row r="136" spans="1:15">
      <c r="A136" s="39" t="str">
        <f>INDEX([2]活动总表!$A$8:$A$429,MATCH(B136,[2]活动总表!$B$8:$B$429,0))</f>
        <v>合服BOSS积分</v>
      </c>
      <c r="B136" s="40">
        <v>161</v>
      </c>
      <c r="C136" s="40">
        <v>130</v>
      </c>
      <c r="D136" s="40"/>
      <c r="E136" s="40"/>
      <c r="F136" s="40"/>
      <c r="G136" s="40">
        <v>41878</v>
      </c>
      <c r="H136" s="40"/>
      <c r="I136" s="40"/>
      <c r="J136" s="40"/>
      <c r="K136" s="40"/>
      <c r="L136" s="40"/>
      <c r="M136" s="41">
        <v>141317</v>
      </c>
      <c r="N136" s="1" t="str">
        <f>IFERROR(INDEX([1]物品基础表!$A:$A,MATCH(M136,[1]物品基础表!$B:$B,0)),"")</f>
        <v>橙色战士160级手镯</v>
      </c>
      <c r="O136" s="41">
        <v>1</v>
      </c>
    </row>
    <row r="137" spans="1:15">
      <c r="A137" s="39" t="str">
        <f>INDEX([2]活动总表!$A$8:$A$429,MATCH(B137,[2]活动总表!$B$8:$B$429,0))</f>
        <v>合服BOSS积分</v>
      </c>
      <c r="B137" s="40">
        <v>161</v>
      </c>
      <c r="C137" s="40">
        <v>131</v>
      </c>
      <c r="D137" s="40"/>
      <c r="E137" s="40"/>
      <c r="F137" s="40"/>
      <c r="G137" s="40">
        <v>41878</v>
      </c>
      <c r="H137" s="40"/>
      <c r="I137" s="40"/>
      <c r="J137" s="40"/>
      <c r="K137" s="40"/>
      <c r="L137" s="40"/>
      <c r="M137" s="41">
        <v>161317</v>
      </c>
      <c r="N137" s="1" t="str">
        <f>IFERROR(INDEX([1]物品基础表!$A:$A,MATCH(M137,[1]物品基础表!$B:$B,0)),"")</f>
        <v>橙色战士160级戒指</v>
      </c>
      <c r="O137" s="41">
        <v>1</v>
      </c>
    </row>
    <row r="138" spans="1:15">
      <c r="A138" s="39" t="str">
        <f>INDEX([2]活动总表!$A$8:$A$429,MATCH(B138,[2]活动总表!$B$8:$B$429,0))</f>
        <v>合服BOSS积分</v>
      </c>
      <c r="B138" s="40">
        <v>161</v>
      </c>
      <c r="C138" s="40">
        <v>132</v>
      </c>
      <c r="D138" s="40"/>
      <c r="E138" s="40"/>
      <c r="F138" s="40"/>
      <c r="G138" s="40">
        <v>41878</v>
      </c>
      <c r="H138" s="40"/>
      <c r="I138" s="40"/>
      <c r="J138" s="40"/>
      <c r="K138" s="40"/>
      <c r="L138" s="40"/>
      <c r="M138" s="41">
        <v>111317</v>
      </c>
      <c r="N138" s="1" t="str">
        <f>IFERROR(INDEX([1]物品基础表!$A:$A,MATCH(M138,[1]物品基础表!$B:$B,0)),"")</f>
        <v>橙色战士160级头盔</v>
      </c>
      <c r="O138" s="41">
        <v>1</v>
      </c>
    </row>
    <row r="139" spans="1:15">
      <c r="A139" s="39" t="str">
        <f>INDEX([2]活动总表!$A$8:$A$429,MATCH(B139,[2]活动总表!$B$8:$B$429,0))</f>
        <v>合服BOSS积分</v>
      </c>
      <c r="B139" s="40">
        <v>161</v>
      </c>
      <c r="C139" s="40">
        <v>133</v>
      </c>
      <c r="D139" s="40"/>
      <c r="E139" s="40"/>
      <c r="F139" s="40"/>
      <c r="G139" s="40">
        <v>41878</v>
      </c>
      <c r="H139" s="40"/>
      <c r="I139" s="40"/>
      <c r="J139" s="40"/>
      <c r="K139" s="40"/>
      <c r="L139" s="40"/>
      <c r="M139" s="41">
        <v>131317</v>
      </c>
      <c r="N139" s="1" t="str">
        <f>IFERROR(INDEX([1]物品基础表!$A:$A,MATCH(M139,[1]物品基础表!$B:$B,0)),"")</f>
        <v>橙色战士160级项链</v>
      </c>
      <c r="O139" s="41">
        <v>1</v>
      </c>
    </row>
    <row r="140" spans="1:15">
      <c r="A140" s="39" t="str">
        <f>INDEX([2]活动总表!$A$8:$A$429,MATCH(B140,[2]活动总表!$B$8:$B$429,0))</f>
        <v>合服BOSS积分</v>
      </c>
      <c r="B140" s="40">
        <v>161</v>
      </c>
      <c r="C140" s="40">
        <v>134</v>
      </c>
      <c r="D140" s="40"/>
      <c r="E140" s="40"/>
      <c r="F140" s="40"/>
      <c r="G140" s="40">
        <v>41878</v>
      </c>
      <c r="H140" s="40"/>
      <c r="I140" s="40"/>
      <c r="J140" s="40"/>
      <c r="K140" s="40"/>
      <c r="L140" s="40"/>
      <c r="M140" s="41">
        <v>151317</v>
      </c>
      <c r="N140" s="1" t="str">
        <f>IFERROR(INDEX([1]物品基础表!$A:$A,MATCH(M140,[1]物品基础表!$B:$B,0)),"")</f>
        <v>橙色战士160级腰带</v>
      </c>
      <c r="O140" s="41">
        <v>1</v>
      </c>
    </row>
    <row r="141" spans="1:15">
      <c r="A141" s="39" t="str">
        <f>INDEX([2]活动总表!$A$8:$A$429,MATCH(B141,[2]活动总表!$B$8:$B$429,0))</f>
        <v>合服BOSS积分</v>
      </c>
      <c r="B141" s="40">
        <v>161</v>
      </c>
      <c r="C141" s="40">
        <v>135</v>
      </c>
      <c r="D141" s="40"/>
      <c r="E141" s="40"/>
      <c r="F141" s="40"/>
      <c r="G141" s="40">
        <v>41878</v>
      </c>
      <c r="H141" s="40"/>
      <c r="I141" s="40"/>
      <c r="J141" s="40"/>
      <c r="K141" s="40"/>
      <c r="L141" s="40"/>
      <c r="M141" s="41">
        <v>171317</v>
      </c>
      <c r="N141" s="1" t="str">
        <f>IFERROR(INDEX([1]物品基础表!$A:$A,MATCH(M141,[1]物品基础表!$B:$B,0)),"")</f>
        <v>橙色战士160级鞋子</v>
      </c>
      <c r="O141" s="41">
        <v>1</v>
      </c>
    </row>
    <row r="142" spans="1:15">
      <c r="A142" s="39" t="str">
        <f>INDEX([2]活动总表!$A$8:$A$429,MATCH(B142,[2]活动总表!$B$8:$B$429,0))</f>
        <v>合服BOSS积分</v>
      </c>
      <c r="B142" s="40">
        <v>161</v>
      </c>
      <c r="C142" s="40">
        <v>136</v>
      </c>
      <c r="D142" s="40"/>
      <c r="E142" s="40"/>
      <c r="F142" s="40"/>
      <c r="G142" s="40">
        <v>104696</v>
      </c>
      <c r="H142" s="40"/>
      <c r="I142" s="40"/>
      <c r="J142" s="40"/>
      <c r="K142" s="40"/>
      <c r="L142" s="40"/>
      <c r="M142" s="41">
        <v>102317</v>
      </c>
      <c r="N142" s="1" t="str">
        <f>IFERROR(INDEX([1]物品基础表!$A:$A,MATCH(M142,[1]物品基础表!$B:$B,0)),"")</f>
        <v>橙色法师160级武器</v>
      </c>
      <c r="O142" s="41">
        <v>1</v>
      </c>
    </row>
    <row r="143" spans="1:15">
      <c r="A143" s="39" t="str">
        <f>INDEX([2]活动总表!$A$8:$A$429,MATCH(B143,[2]活动总表!$B$8:$B$429,0))</f>
        <v>合服BOSS积分</v>
      </c>
      <c r="B143" s="40">
        <v>161</v>
      </c>
      <c r="C143" s="40">
        <v>137</v>
      </c>
      <c r="D143" s="40"/>
      <c r="E143" s="40"/>
      <c r="F143" s="40"/>
      <c r="G143" s="40">
        <v>75380</v>
      </c>
      <c r="H143" s="40"/>
      <c r="I143" s="40"/>
      <c r="J143" s="40"/>
      <c r="K143" s="40"/>
      <c r="L143" s="40"/>
      <c r="M143" s="41">
        <v>122317</v>
      </c>
      <c r="N143" s="1" t="str">
        <f>IFERROR(INDEX([1]物品基础表!$A:$A,MATCH(M143,[1]物品基础表!$B:$B,0)),"")</f>
        <v>橙色法师160级衣服</v>
      </c>
      <c r="O143" s="41">
        <v>1</v>
      </c>
    </row>
    <row r="144" spans="1:15">
      <c r="A144" s="39" t="str">
        <f>INDEX([2]活动总表!$A$8:$A$429,MATCH(B144,[2]活动总表!$B$8:$B$429,0))</f>
        <v>合服BOSS积分</v>
      </c>
      <c r="B144" s="40">
        <v>161</v>
      </c>
      <c r="C144" s="40">
        <v>138</v>
      </c>
      <c r="D144" s="40"/>
      <c r="E144" s="40"/>
      <c r="F144" s="40"/>
      <c r="G144" s="40">
        <v>41878</v>
      </c>
      <c r="H144" s="40"/>
      <c r="I144" s="40"/>
      <c r="J144" s="40"/>
      <c r="K144" s="40"/>
      <c r="L144" s="40"/>
      <c r="M144" s="41">
        <v>142317</v>
      </c>
      <c r="N144" s="1" t="str">
        <f>IFERROR(INDEX([1]物品基础表!$A:$A,MATCH(M144,[1]物品基础表!$B:$B,0)),"")</f>
        <v>橙色法师160级手镯</v>
      </c>
      <c r="O144" s="41">
        <v>1</v>
      </c>
    </row>
    <row r="145" spans="1:15">
      <c r="A145" s="39" t="str">
        <f>INDEX([2]活动总表!$A$8:$A$429,MATCH(B145,[2]活动总表!$B$8:$B$429,0))</f>
        <v>合服BOSS积分</v>
      </c>
      <c r="B145" s="40">
        <v>161</v>
      </c>
      <c r="C145" s="40">
        <v>139</v>
      </c>
      <c r="D145" s="40"/>
      <c r="E145" s="40"/>
      <c r="F145" s="40"/>
      <c r="G145" s="40">
        <v>41878</v>
      </c>
      <c r="H145" s="40"/>
      <c r="I145" s="40"/>
      <c r="J145" s="40"/>
      <c r="K145" s="40"/>
      <c r="L145" s="40"/>
      <c r="M145" s="41">
        <v>162317</v>
      </c>
      <c r="N145" s="1" t="str">
        <f>IFERROR(INDEX([1]物品基础表!$A:$A,MATCH(M145,[1]物品基础表!$B:$B,0)),"")</f>
        <v>橙色法师160级戒指</v>
      </c>
      <c r="O145" s="41">
        <v>1</v>
      </c>
    </row>
    <row r="146" spans="1:15">
      <c r="A146" s="39" t="str">
        <f>INDEX([2]活动总表!$A$8:$A$429,MATCH(B146,[2]活动总表!$B$8:$B$429,0))</f>
        <v>合服BOSS积分</v>
      </c>
      <c r="B146" s="40">
        <v>161</v>
      </c>
      <c r="C146" s="40">
        <v>140</v>
      </c>
      <c r="D146" s="40"/>
      <c r="E146" s="40"/>
      <c r="F146" s="40"/>
      <c r="G146" s="40">
        <v>41878</v>
      </c>
      <c r="H146" s="40"/>
      <c r="I146" s="40"/>
      <c r="J146" s="40"/>
      <c r="K146" s="40"/>
      <c r="L146" s="40"/>
      <c r="M146" s="41">
        <v>112317</v>
      </c>
      <c r="N146" s="1" t="str">
        <f>IFERROR(INDEX([1]物品基础表!$A:$A,MATCH(M146,[1]物品基础表!$B:$B,0)),"")</f>
        <v>橙色法师160级头盔</v>
      </c>
      <c r="O146" s="41">
        <v>1</v>
      </c>
    </row>
    <row r="147" spans="1:15">
      <c r="A147" s="39" t="str">
        <f>INDEX([2]活动总表!$A$8:$A$429,MATCH(B147,[2]活动总表!$B$8:$B$429,0))</f>
        <v>合服BOSS积分</v>
      </c>
      <c r="B147" s="40">
        <v>161</v>
      </c>
      <c r="C147" s="40">
        <v>141</v>
      </c>
      <c r="D147" s="40"/>
      <c r="E147" s="40"/>
      <c r="F147" s="40"/>
      <c r="G147" s="40">
        <v>41878</v>
      </c>
      <c r="H147" s="40"/>
      <c r="I147" s="40"/>
      <c r="J147" s="40"/>
      <c r="K147" s="40"/>
      <c r="L147" s="40"/>
      <c r="M147" s="41">
        <v>132317</v>
      </c>
      <c r="N147" s="1" t="str">
        <f>IFERROR(INDEX([1]物品基础表!$A:$A,MATCH(M147,[1]物品基础表!$B:$B,0)),"")</f>
        <v>橙色法师160级项链</v>
      </c>
      <c r="O147" s="41">
        <v>1</v>
      </c>
    </row>
    <row r="148" spans="1:15">
      <c r="A148" s="39" t="str">
        <f>INDEX([2]活动总表!$A$8:$A$429,MATCH(B148,[2]活动总表!$B$8:$B$429,0))</f>
        <v>合服BOSS积分</v>
      </c>
      <c r="B148" s="40">
        <v>161</v>
      </c>
      <c r="C148" s="40">
        <v>142</v>
      </c>
      <c r="D148" s="40"/>
      <c r="E148" s="40"/>
      <c r="F148" s="40"/>
      <c r="G148" s="40">
        <v>41878</v>
      </c>
      <c r="H148" s="40"/>
      <c r="I148" s="40"/>
      <c r="J148" s="40"/>
      <c r="K148" s="40"/>
      <c r="L148" s="40"/>
      <c r="M148" s="41">
        <v>152317</v>
      </c>
      <c r="N148" s="1" t="str">
        <f>IFERROR(INDEX([1]物品基础表!$A:$A,MATCH(M148,[1]物品基础表!$B:$B,0)),"")</f>
        <v>橙色法师160级腰带</v>
      </c>
      <c r="O148" s="41">
        <v>1</v>
      </c>
    </row>
    <row r="149" spans="1:15">
      <c r="A149" s="39" t="str">
        <f>INDEX([2]活动总表!$A$8:$A$429,MATCH(B149,[2]活动总表!$B$8:$B$429,0))</f>
        <v>合服BOSS积分</v>
      </c>
      <c r="B149" s="40">
        <v>161</v>
      </c>
      <c r="C149" s="40">
        <v>143</v>
      </c>
      <c r="D149" s="40"/>
      <c r="E149" s="40"/>
      <c r="F149" s="40"/>
      <c r="G149" s="40">
        <v>41878</v>
      </c>
      <c r="H149" s="40"/>
      <c r="I149" s="40"/>
      <c r="J149" s="40"/>
      <c r="K149" s="40"/>
      <c r="L149" s="40"/>
      <c r="M149" s="41">
        <v>172317</v>
      </c>
      <c r="N149" s="1" t="str">
        <f>IFERROR(INDEX([1]物品基础表!$A:$A,MATCH(M149,[1]物品基础表!$B:$B,0)),"")</f>
        <v>橙色法师160级鞋子</v>
      </c>
      <c r="O149" s="41">
        <v>1</v>
      </c>
    </row>
    <row r="150" spans="1:15">
      <c r="A150" s="39" t="str">
        <f>INDEX([2]活动总表!$A$8:$A$429,MATCH(B150,[2]活动总表!$B$8:$B$429,0))</f>
        <v>合服BOSS积分</v>
      </c>
      <c r="B150" s="40">
        <v>161</v>
      </c>
      <c r="C150" s="40">
        <v>144</v>
      </c>
      <c r="D150" s="40"/>
      <c r="E150" s="40"/>
      <c r="F150" s="40"/>
      <c r="G150" s="40">
        <v>104696</v>
      </c>
      <c r="H150" s="40"/>
      <c r="I150" s="40"/>
      <c r="J150" s="40"/>
      <c r="K150" s="40"/>
      <c r="L150" s="40"/>
      <c r="M150" s="41">
        <v>103317</v>
      </c>
      <c r="N150" s="1" t="str">
        <f>IFERROR(INDEX([1]物品基础表!$A:$A,MATCH(M150,[1]物品基础表!$B:$B,0)),"")</f>
        <v>橙色道士160级武器</v>
      </c>
      <c r="O150" s="41">
        <v>1</v>
      </c>
    </row>
    <row r="151" spans="1:15">
      <c r="A151" s="39" t="str">
        <f>INDEX([2]活动总表!$A$8:$A$429,MATCH(B151,[2]活动总表!$B$8:$B$429,0))</f>
        <v>合服BOSS积分</v>
      </c>
      <c r="B151" s="40">
        <v>161</v>
      </c>
      <c r="C151" s="40">
        <v>145</v>
      </c>
      <c r="D151" s="40"/>
      <c r="E151" s="40"/>
      <c r="F151" s="40"/>
      <c r="G151" s="40">
        <v>75380</v>
      </c>
      <c r="H151" s="40"/>
      <c r="I151" s="40"/>
      <c r="J151" s="40"/>
      <c r="K151" s="40"/>
      <c r="L151" s="40"/>
      <c r="M151" s="41">
        <v>123317</v>
      </c>
      <c r="N151" s="1" t="str">
        <f>IFERROR(INDEX([1]物品基础表!$A:$A,MATCH(M151,[1]物品基础表!$B:$B,0)),"")</f>
        <v>橙色道士160级衣服</v>
      </c>
      <c r="O151" s="41">
        <v>1</v>
      </c>
    </row>
    <row r="152" spans="1:15">
      <c r="A152" s="39" t="str">
        <f>INDEX([2]活动总表!$A$8:$A$429,MATCH(B152,[2]活动总表!$B$8:$B$429,0))</f>
        <v>合服BOSS积分</v>
      </c>
      <c r="B152" s="40">
        <v>161</v>
      </c>
      <c r="C152" s="40">
        <v>146</v>
      </c>
      <c r="D152" s="40"/>
      <c r="E152" s="40"/>
      <c r="F152" s="40"/>
      <c r="G152" s="40">
        <v>41878</v>
      </c>
      <c r="H152" s="40"/>
      <c r="I152" s="40"/>
      <c r="J152" s="40"/>
      <c r="K152" s="40"/>
      <c r="L152" s="40"/>
      <c r="M152" s="41">
        <v>143317</v>
      </c>
      <c r="N152" s="1" t="str">
        <f>IFERROR(INDEX([1]物品基础表!$A:$A,MATCH(M152,[1]物品基础表!$B:$B,0)),"")</f>
        <v>橙色道士160级手镯</v>
      </c>
      <c r="O152" s="41">
        <v>1</v>
      </c>
    </row>
    <row r="153" spans="1:15">
      <c r="A153" s="39" t="str">
        <f>INDEX([2]活动总表!$A$8:$A$429,MATCH(B153,[2]活动总表!$B$8:$B$429,0))</f>
        <v>合服BOSS积分</v>
      </c>
      <c r="B153" s="40">
        <v>161</v>
      </c>
      <c r="C153" s="40">
        <v>147</v>
      </c>
      <c r="D153" s="40"/>
      <c r="E153" s="40"/>
      <c r="F153" s="40"/>
      <c r="G153" s="40">
        <v>41878</v>
      </c>
      <c r="H153" s="40"/>
      <c r="I153" s="40"/>
      <c r="J153" s="40"/>
      <c r="K153" s="40"/>
      <c r="L153" s="40"/>
      <c r="M153" s="41">
        <v>163317</v>
      </c>
      <c r="N153" s="1" t="str">
        <f>IFERROR(INDEX([1]物品基础表!$A:$A,MATCH(M153,[1]物品基础表!$B:$B,0)),"")</f>
        <v>橙色道士160级戒指</v>
      </c>
      <c r="O153" s="41">
        <v>1</v>
      </c>
    </row>
    <row r="154" spans="1:15">
      <c r="A154" s="39" t="str">
        <f>INDEX([2]活动总表!$A$8:$A$429,MATCH(B154,[2]活动总表!$B$8:$B$429,0))</f>
        <v>合服BOSS积分</v>
      </c>
      <c r="B154" s="40">
        <v>161</v>
      </c>
      <c r="C154" s="40">
        <v>148</v>
      </c>
      <c r="D154" s="40"/>
      <c r="E154" s="40"/>
      <c r="F154" s="40"/>
      <c r="G154" s="40">
        <v>41878</v>
      </c>
      <c r="H154" s="40"/>
      <c r="I154" s="40"/>
      <c r="J154" s="40"/>
      <c r="K154" s="40"/>
      <c r="L154" s="40"/>
      <c r="M154" s="41">
        <v>113317</v>
      </c>
      <c r="N154" s="1" t="str">
        <f>IFERROR(INDEX([1]物品基础表!$A:$A,MATCH(M154,[1]物品基础表!$B:$B,0)),"")</f>
        <v>橙色道士160级头盔</v>
      </c>
      <c r="O154" s="41">
        <v>1</v>
      </c>
    </row>
    <row r="155" spans="1:15">
      <c r="A155" s="39" t="str">
        <f>INDEX([2]活动总表!$A$8:$A$429,MATCH(B155,[2]活动总表!$B$8:$B$429,0))</f>
        <v>合服BOSS积分</v>
      </c>
      <c r="B155" s="40">
        <v>161</v>
      </c>
      <c r="C155" s="40">
        <v>149</v>
      </c>
      <c r="D155" s="40"/>
      <c r="E155" s="40"/>
      <c r="F155" s="40"/>
      <c r="G155" s="40">
        <v>41878</v>
      </c>
      <c r="H155" s="40"/>
      <c r="I155" s="40"/>
      <c r="J155" s="40"/>
      <c r="K155" s="40"/>
      <c r="L155" s="40"/>
      <c r="M155" s="41">
        <v>133317</v>
      </c>
      <c r="N155" s="1" t="str">
        <f>IFERROR(INDEX([1]物品基础表!$A:$A,MATCH(M155,[1]物品基础表!$B:$B,0)),"")</f>
        <v>橙色道士160级项链</v>
      </c>
      <c r="O155" s="41">
        <v>1</v>
      </c>
    </row>
    <row r="156" spans="1:15">
      <c r="A156" s="39" t="str">
        <f>INDEX([2]活动总表!$A$8:$A$429,MATCH(B156,[2]活动总表!$B$8:$B$429,0))</f>
        <v>合服BOSS积分</v>
      </c>
      <c r="B156" s="40">
        <v>161</v>
      </c>
      <c r="C156" s="40">
        <v>150</v>
      </c>
      <c r="D156" s="40"/>
      <c r="E156" s="40"/>
      <c r="F156" s="40"/>
      <c r="G156" s="40">
        <v>41878</v>
      </c>
      <c r="H156" s="40"/>
      <c r="I156" s="40"/>
      <c r="J156" s="40"/>
      <c r="K156" s="40"/>
      <c r="L156" s="40"/>
      <c r="M156" s="41">
        <v>153317</v>
      </c>
      <c r="N156" s="1" t="str">
        <f>IFERROR(INDEX([1]物品基础表!$A:$A,MATCH(M156,[1]物品基础表!$B:$B,0)),"")</f>
        <v>橙色道士160级腰带</v>
      </c>
      <c r="O156" s="41">
        <v>1</v>
      </c>
    </row>
    <row r="157" spans="1:15">
      <c r="A157" s="39" t="str">
        <f>INDEX([2]活动总表!$A$8:$A$429,MATCH(B157,[2]活动总表!$B$8:$B$429,0))</f>
        <v>合服BOSS积分</v>
      </c>
      <c r="B157" s="40">
        <v>161</v>
      </c>
      <c r="C157" s="40">
        <v>151</v>
      </c>
      <c r="D157" s="40"/>
      <c r="E157" s="40"/>
      <c r="F157" s="40"/>
      <c r="G157" s="40">
        <v>41878</v>
      </c>
      <c r="H157" s="40"/>
      <c r="I157" s="40"/>
      <c r="J157" s="40"/>
      <c r="K157" s="40"/>
      <c r="L157" s="40"/>
      <c r="M157" s="41">
        <v>173317</v>
      </c>
      <c r="N157" s="1" t="str">
        <f>IFERROR(INDEX([1]物品基础表!$A:$A,MATCH(M157,[1]物品基础表!$B:$B,0)),"")</f>
        <v>橙色道士160级鞋子</v>
      </c>
      <c r="O157" s="41">
        <v>1</v>
      </c>
    </row>
    <row r="158" spans="1:15">
      <c r="A158" s="39" t="str">
        <f>INDEX([2]活动总表!$A$8:$A$429,MATCH(B158,[2]活动总表!$B$8:$B$429,0))</f>
        <v>合服BOSS积分</v>
      </c>
      <c r="B158" s="40">
        <v>161</v>
      </c>
      <c r="C158" s="40">
        <v>152</v>
      </c>
      <c r="D158" s="40"/>
      <c r="E158" s="40"/>
      <c r="F158" s="40"/>
      <c r="G158" s="40">
        <v>127680</v>
      </c>
      <c r="H158" s="40"/>
      <c r="I158" s="40"/>
      <c r="J158" s="40"/>
      <c r="K158" s="40"/>
      <c r="L158" s="40"/>
      <c r="M158" s="41">
        <v>101318</v>
      </c>
      <c r="N158" s="1" t="str">
        <f>IFERROR(INDEX([1]物品基础表!$A:$A,MATCH(M158,[1]物品基础表!$B:$B,0)),"")</f>
        <v>橙色战士170级武器</v>
      </c>
      <c r="O158" s="41">
        <v>1</v>
      </c>
    </row>
    <row r="159" spans="1:15">
      <c r="A159" s="39" t="str">
        <f>INDEX([2]活动总表!$A$8:$A$429,MATCH(B159,[2]活动总表!$B$8:$B$429,0))</f>
        <v>合服BOSS积分</v>
      </c>
      <c r="B159" s="40">
        <v>161</v>
      </c>
      <c r="C159" s="40">
        <v>153</v>
      </c>
      <c r="D159" s="40"/>
      <c r="E159" s="40"/>
      <c r="F159" s="40"/>
      <c r="G159" s="40">
        <v>91929</v>
      </c>
      <c r="H159" s="40"/>
      <c r="I159" s="40"/>
      <c r="J159" s="40"/>
      <c r="K159" s="40"/>
      <c r="L159" s="40"/>
      <c r="M159" s="41">
        <v>121318</v>
      </c>
      <c r="N159" s="1" t="str">
        <f>IFERROR(INDEX([1]物品基础表!$A:$A,MATCH(M159,[1]物品基础表!$B:$B,0)),"")</f>
        <v>橙色战士170级衣服</v>
      </c>
      <c r="O159" s="41">
        <v>1</v>
      </c>
    </row>
    <row r="160" spans="1:15">
      <c r="A160" s="39" t="str">
        <f>INDEX([2]活动总表!$A$8:$A$429,MATCH(B160,[2]活动总表!$B$8:$B$429,0))</f>
        <v>合服BOSS积分</v>
      </c>
      <c r="B160" s="40">
        <v>161</v>
      </c>
      <c r="C160" s="40">
        <v>154</v>
      </c>
      <c r="D160" s="40"/>
      <c r="E160" s="40"/>
      <c r="F160" s="40"/>
      <c r="G160" s="40">
        <v>51072</v>
      </c>
      <c r="H160" s="40"/>
      <c r="I160" s="40"/>
      <c r="J160" s="40"/>
      <c r="K160" s="40"/>
      <c r="L160" s="40"/>
      <c r="M160" s="41">
        <v>141318</v>
      </c>
      <c r="N160" s="1" t="str">
        <f>IFERROR(INDEX([1]物品基础表!$A:$A,MATCH(M160,[1]物品基础表!$B:$B,0)),"")</f>
        <v>橙色战士170级手镯</v>
      </c>
      <c r="O160" s="41">
        <v>1</v>
      </c>
    </row>
    <row r="161" spans="1:15">
      <c r="A161" s="39" t="str">
        <f>INDEX([2]活动总表!$A$8:$A$429,MATCH(B161,[2]活动总表!$B$8:$B$429,0))</f>
        <v>合服BOSS积分</v>
      </c>
      <c r="B161" s="40">
        <v>161</v>
      </c>
      <c r="C161" s="40">
        <v>155</v>
      </c>
      <c r="D161" s="40"/>
      <c r="E161" s="40"/>
      <c r="F161" s="40"/>
      <c r="G161" s="40">
        <v>51072</v>
      </c>
      <c r="H161" s="40"/>
      <c r="I161" s="40"/>
      <c r="J161" s="40"/>
      <c r="K161" s="40"/>
      <c r="L161" s="40"/>
      <c r="M161" s="41">
        <v>161318</v>
      </c>
      <c r="N161" s="1" t="str">
        <f>IFERROR(INDEX([1]物品基础表!$A:$A,MATCH(M161,[1]物品基础表!$B:$B,0)),"")</f>
        <v>橙色战士170级戒指</v>
      </c>
      <c r="O161" s="41">
        <v>1</v>
      </c>
    </row>
    <row r="162" spans="1:15">
      <c r="A162" s="39" t="str">
        <f>INDEX([2]活动总表!$A$8:$A$429,MATCH(B162,[2]活动总表!$B$8:$B$429,0))</f>
        <v>合服BOSS积分</v>
      </c>
      <c r="B162" s="40">
        <v>161</v>
      </c>
      <c r="C162" s="40">
        <v>156</v>
      </c>
      <c r="D162" s="40"/>
      <c r="E162" s="40"/>
      <c r="F162" s="40"/>
      <c r="G162" s="40">
        <v>51072</v>
      </c>
      <c r="H162" s="40"/>
      <c r="I162" s="40"/>
      <c r="J162" s="40"/>
      <c r="K162" s="40"/>
      <c r="L162" s="40"/>
      <c r="M162" s="41">
        <v>111318</v>
      </c>
      <c r="N162" s="1" t="str">
        <f>IFERROR(INDEX([1]物品基础表!$A:$A,MATCH(M162,[1]物品基础表!$B:$B,0)),"")</f>
        <v>橙色战士170级头盔</v>
      </c>
      <c r="O162" s="41">
        <v>1</v>
      </c>
    </row>
    <row r="163" spans="1:15">
      <c r="A163" s="39" t="str">
        <f>INDEX([2]活动总表!$A$8:$A$429,MATCH(B163,[2]活动总表!$B$8:$B$429,0))</f>
        <v>合服BOSS积分</v>
      </c>
      <c r="B163" s="40">
        <v>161</v>
      </c>
      <c r="C163" s="40">
        <v>157</v>
      </c>
      <c r="D163" s="40"/>
      <c r="E163" s="40"/>
      <c r="F163" s="40"/>
      <c r="G163" s="40">
        <v>51072</v>
      </c>
      <c r="H163" s="40"/>
      <c r="I163" s="40"/>
      <c r="J163" s="40"/>
      <c r="K163" s="40"/>
      <c r="L163" s="40"/>
      <c r="M163" s="41">
        <v>131318</v>
      </c>
      <c r="N163" s="1" t="str">
        <f>IFERROR(INDEX([1]物品基础表!$A:$A,MATCH(M163,[1]物品基础表!$B:$B,0)),"")</f>
        <v>橙色战士170级项链</v>
      </c>
      <c r="O163" s="41">
        <v>1</v>
      </c>
    </row>
    <row r="164" spans="1:15">
      <c r="A164" s="39" t="str">
        <f>INDEX([2]活动总表!$A$8:$A$429,MATCH(B164,[2]活动总表!$B$8:$B$429,0))</f>
        <v>合服BOSS积分</v>
      </c>
      <c r="B164" s="40">
        <v>161</v>
      </c>
      <c r="C164" s="40">
        <v>158</v>
      </c>
      <c r="D164" s="40"/>
      <c r="E164" s="40"/>
      <c r="F164" s="40"/>
      <c r="G164" s="40">
        <v>51072</v>
      </c>
      <c r="H164" s="40"/>
      <c r="I164" s="40"/>
      <c r="J164" s="40"/>
      <c r="K164" s="40"/>
      <c r="L164" s="40"/>
      <c r="M164" s="41">
        <v>151318</v>
      </c>
      <c r="N164" s="1" t="str">
        <f>IFERROR(INDEX([1]物品基础表!$A:$A,MATCH(M164,[1]物品基础表!$B:$B,0)),"")</f>
        <v>橙色战士170级腰带</v>
      </c>
      <c r="O164" s="41">
        <v>1</v>
      </c>
    </row>
    <row r="165" spans="1:15">
      <c r="A165" s="39" t="str">
        <f>INDEX([2]活动总表!$A$8:$A$429,MATCH(B165,[2]活动总表!$B$8:$B$429,0))</f>
        <v>合服BOSS积分</v>
      </c>
      <c r="B165" s="40">
        <v>161</v>
      </c>
      <c r="C165" s="40">
        <v>159</v>
      </c>
      <c r="D165" s="40"/>
      <c r="E165" s="40"/>
      <c r="F165" s="40"/>
      <c r="G165" s="40">
        <v>51072</v>
      </c>
      <c r="H165" s="40"/>
      <c r="I165" s="40"/>
      <c r="J165" s="40"/>
      <c r="K165" s="40"/>
      <c r="L165" s="40"/>
      <c r="M165" s="41">
        <v>171318</v>
      </c>
      <c r="N165" s="1" t="str">
        <f>IFERROR(INDEX([1]物品基础表!$A:$A,MATCH(M165,[1]物品基础表!$B:$B,0)),"")</f>
        <v>橙色战士170级鞋子</v>
      </c>
      <c r="O165" s="41">
        <v>1</v>
      </c>
    </row>
    <row r="166" spans="1:15">
      <c r="A166" s="39" t="str">
        <f>INDEX([2]活动总表!$A$8:$A$429,MATCH(B166,[2]活动总表!$B$8:$B$429,0))</f>
        <v>合服BOSS积分</v>
      </c>
      <c r="B166" s="40">
        <v>161</v>
      </c>
      <c r="C166" s="40">
        <v>160</v>
      </c>
      <c r="D166" s="40"/>
      <c r="E166" s="40"/>
      <c r="F166" s="40"/>
      <c r="G166" s="40">
        <v>127680</v>
      </c>
      <c r="H166" s="40"/>
      <c r="I166" s="40"/>
      <c r="J166" s="40"/>
      <c r="K166" s="40"/>
      <c r="L166" s="40"/>
      <c r="M166" s="41">
        <v>102318</v>
      </c>
      <c r="N166" s="1" t="str">
        <f>IFERROR(INDEX([1]物品基础表!$A:$A,MATCH(M166,[1]物品基础表!$B:$B,0)),"")</f>
        <v>橙色法师170级武器</v>
      </c>
      <c r="O166" s="41">
        <v>1</v>
      </c>
    </row>
    <row r="167" spans="1:15">
      <c r="A167" s="39" t="str">
        <f>INDEX([2]活动总表!$A$8:$A$429,MATCH(B167,[2]活动总表!$B$8:$B$429,0))</f>
        <v>合服BOSS积分</v>
      </c>
      <c r="B167" s="40">
        <v>161</v>
      </c>
      <c r="C167" s="40">
        <v>161</v>
      </c>
      <c r="D167" s="40"/>
      <c r="E167" s="40"/>
      <c r="F167" s="40"/>
      <c r="G167" s="40">
        <v>91929</v>
      </c>
      <c r="H167" s="40"/>
      <c r="I167" s="40"/>
      <c r="J167" s="40"/>
      <c r="K167" s="40"/>
      <c r="L167" s="40"/>
      <c r="M167" s="41">
        <v>122318</v>
      </c>
      <c r="N167" s="1" t="str">
        <f>IFERROR(INDEX([1]物品基础表!$A:$A,MATCH(M167,[1]物品基础表!$B:$B,0)),"")</f>
        <v>橙色法师170级衣服</v>
      </c>
      <c r="O167" s="41">
        <v>1</v>
      </c>
    </row>
    <row r="168" spans="1:15">
      <c r="A168" s="39" t="str">
        <f>INDEX([2]活动总表!$A$8:$A$429,MATCH(B168,[2]活动总表!$B$8:$B$429,0))</f>
        <v>合服BOSS积分</v>
      </c>
      <c r="B168" s="40">
        <v>161</v>
      </c>
      <c r="C168" s="40">
        <v>162</v>
      </c>
      <c r="D168" s="40"/>
      <c r="E168" s="40"/>
      <c r="F168" s="40"/>
      <c r="G168" s="40">
        <v>51072</v>
      </c>
      <c r="H168" s="40"/>
      <c r="I168" s="40"/>
      <c r="J168" s="40"/>
      <c r="K168" s="40"/>
      <c r="L168" s="40"/>
      <c r="M168" s="41">
        <v>142318</v>
      </c>
      <c r="N168" s="1" t="str">
        <f>IFERROR(INDEX([1]物品基础表!$A:$A,MATCH(M168,[1]物品基础表!$B:$B,0)),"")</f>
        <v>橙色法师170级手镯</v>
      </c>
      <c r="O168" s="41">
        <v>1</v>
      </c>
    </row>
    <row r="169" spans="1:15">
      <c r="A169" s="39" t="str">
        <f>INDEX([2]活动总表!$A$8:$A$429,MATCH(B169,[2]活动总表!$B$8:$B$429,0))</f>
        <v>合服BOSS积分</v>
      </c>
      <c r="B169" s="40">
        <v>161</v>
      </c>
      <c r="C169" s="40">
        <v>163</v>
      </c>
      <c r="D169" s="40"/>
      <c r="E169" s="40"/>
      <c r="F169" s="40"/>
      <c r="G169" s="40">
        <v>51072</v>
      </c>
      <c r="H169" s="40"/>
      <c r="I169" s="40"/>
      <c r="J169" s="40"/>
      <c r="K169" s="40"/>
      <c r="L169" s="40"/>
      <c r="M169" s="41">
        <v>162318</v>
      </c>
      <c r="N169" s="1" t="str">
        <f>IFERROR(INDEX([1]物品基础表!$A:$A,MATCH(M169,[1]物品基础表!$B:$B,0)),"")</f>
        <v>橙色法师170级戒指</v>
      </c>
      <c r="O169" s="41">
        <v>1</v>
      </c>
    </row>
    <row r="170" spans="1:15">
      <c r="A170" s="39" t="str">
        <f>INDEX([2]活动总表!$A$8:$A$429,MATCH(B170,[2]活动总表!$B$8:$B$429,0))</f>
        <v>合服BOSS积分</v>
      </c>
      <c r="B170" s="40">
        <v>161</v>
      </c>
      <c r="C170" s="40">
        <v>164</v>
      </c>
      <c r="D170" s="40"/>
      <c r="E170" s="40"/>
      <c r="F170" s="40"/>
      <c r="G170" s="40">
        <v>51072</v>
      </c>
      <c r="H170" s="40"/>
      <c r="I170" s="40"/>
      <c r="J170" s="40"/>
      <c r="K170" s="40"/>
      <c r="L170" s="40"/>
      <c r="M170" s="41">
        <v>112318</v>
      </c>
      <c r="N170" s="1" t="str">
        <f>IFERROR(INDEX([1]物品基础表!$A:$A,MATCH(M170,[1]物品基础表!$B:$B,0)),"")</f>
        <v>橙色法师170级头盔</v>
      </c>
      <c r="O170" s="41">
        <v>1</v>
      </c>
    </row>
    <row r="171" spans="1:15">
      <c r="A171" s="39" t="str">
        <f>INDEX([2]活动总表!$A$8:$A$429,MATCH(B171,[2]活动总表!$B$8:$B$429,0))</f>
        <v>合服BOSS积分</v>
      </c>
      <c r="B171" s="40">
        <v>161</v>
      </c>
      <c r="C171" s="40">
        <v>165</v>
      </c>
      <c r="D171" s="40"/>
      <c r="E171" s="40"/>
      <c r="F171" s="40"/>
      <c r="G171" s="40">
        <v>51072</v>
      </c>
      <c r="H171" s="40"/>
      <c r="I171" s="40"/>
      <c r="J171" s="40"/>
      <c r="K171" s="40"/>
      <c r="L171" s="40"/>
      <c r="M171" s="41">
        <v>132318</v>
      </c>
      <c r="N171" s="1" t="str">
        <f>IFERROR(INDEX([1]物品基础表!$A:$A,MATCH(M171,[1]物品基础表!$B:$B,0)),"")</f>
        <v>橙色法师170级项链</v>
      </c>
      <c r="O171" s="41">
        <v>1</v>
      </c>
    </row>
    <row r="172" spans="1:15">
      <c r="A172" s="39" t="str">
        <f>INDEX([2]活动总表!$A$8:$A$429,MATCH(B172,[2]活动总表!$B$8:$B$429,0))</f>
        <v>合服BOSS积分</v>
      </c>
      <c r="B172" s="40">
        <v>161</v>
      </c>
      <c r="C172" s="40">
        <v>166</v>
      </c>
      <c r="D172" s="40"/>
      <c r="E172" s="40"/>
      <c r="F172" s="40"/>
      <c r="G172" s="40">
        <v>51072</v>
      </c>
      <c r="H172" s="40"/>
      <c r="I172" s="40"/>
      <c r="J172" s="40"/>
      <c r="K172" s="40"/>
      <c r="L172" s="40"/>
      <c r="M172" s="41">
        <v>152318</v>
      </c>
      <c r="N172" s="1" t="str">
        <f>IFERROR(INDEX([1]物品基础表!$A:$A,MATCH(M172,[1]物品基础表!$B:$B,0)),"")</f>
        <v>橙色法师170级腰带</v>
      </c>
      <c r="O172" s="41">
        <v>1</v>
      </c>
    </row>
    <row r="173" spans="1:15">
      <c r="A173" s="39" t="str">
        <f>INDEX([2]活动总表!$A$8:$A$429,MATCH(B173,[2]活动总表!$B$8:$B$429,0))</f>
        <v>合服BOSS积分</v>
      </c>
      <c r="B173" s="40">
        <v>161</v>
      </c>
      <c r="C173" s="40">
        <v>167</v>
      </c>
      <c r="D173" s="40"/>
      <c r="E173" s="40"/>
      <c r="F173" s="40"/>
      <c r="G173" s="40">
        <v>51072</v>
      </c>
      <c r="H173" s="40"/>
      <c r="I173" s="40"/>
      <c r="J173" s="40"/>
      <c r="K173" s="40"/>
      <c r="L173" s="40"/>
      <c r="M173" s="41">
        <v>172318</v>
      </c>
      <c r="N173" s="1" t="str">
        <f>IFERROR(INDEX([1]物品基础表!$A:$A,MATCH(M173,[1]物品基础表!$B:$B,0)),"")</f>
        <v>橙色法师170级鞋子</v>
      </c>
      <c r="O173" s="41">
        <v>1</v>
      </c>
    </row>
    <row r="174" spans="1:15">
      <c r="A174" s="39" t="str">
        <f>INDEX([2]活动总表!$A$8:$A$429,MATCH(B174,[2]活动总表!$B$8:$B$429,0))</f>
        <v>合服BOSS积分</v>
      </c>
      <c r="B174" s="40">
        <v>161</v>
      </c>
      <c r="C174" s="40">
        <v>168</v>
      </c>
      <c r="D174" s="40"/>
      <c r="E174" s="40"/>
      <c r="F174" s="40"/>
      <c r="G174" s="40">
        <v>127680</v>
      </c>
      <c r="H174" s="40"/>
      <c r="I174" s="40"/>
      <c r="J174" s="40"/>
      <c r="K174" s="40"/>
      <c r="L174" s="40"/>
      <c r="M174" s="41">
        <v>103318</v>
      </c>
      <c r="N174" s="1" t="str">
        <f>IFERROR(INDEX([1]物品基础表!$A:$A,MATCH(M174,[1]物品基础表!$B:$B,0)),"")</f>
        <v>橙色道士170级武器</v>
      </c>
      <c r="O174" s="41">
        <v>1</v>
      </c>
    </row>
    <row r="175" spans="1:15">
      <c r="A175" s="39" t="str">
        <f>INDEX([2]活动总表!$A$8:$A$429,MATCH(B175,[2]活动总表!$B$8:$B$429,0))</f>
        <v>合服BOSS积分</v>
      </c>
      <c r="B175" s="40">
        <v>161</v>
      </c>
      <c r="C175" s="40">
        <v>169</v>
      </c>
      <c r="D175" s="40"/>
      <c r="E175" s="40"/>
      <c r="F175" s="40"/>
      <c r="G175" s="40">
        <v>91929</v>
      </c>
      <c r="H175" s="40"/>
      <c r="I175" s="40"/>
      <c r="J175" s="40"/>
      <c r="K175" s="40"/>
      <c r="L175" s="40"/>
      <c r="M175" s="41">
        <v>123318</v>
      </c>
      <c r="N175" s="1" t="str">
        <f>IFERROR(INDEX([1]物品基础表!$A:$A,MATCH(M175,[1]物品基础表!$B:$B,0)),"")</f>
        <v>橙色道士170级衣服</v>
      </c>
      <c r="O175" s="41">
        <v>1</v>
      </c>
    </row>
    <row r="176" spans="1:15">
      <c r="A176" s="39" t="str">
        <f>INDEX([2]活动总表!$A$8:$A$429,MATCH(B176,[2]活动总表!$B$8:$B$429,0))</f>
        <v>合服BOSS积分</v>
      </c>
      <c r="B176" s="40">
        <v>161</v>
      </c>
      <c r="C176" s="40">
        <v>170</v>
      </c>
      <c r="D176" s="40"/>
      <c r="E176" s="40"/>
      <c r="F176" s="40"/>
      <c r="G176" s="40">
        <v>51072</v>
      </c>
      <c r="H176" s="40"/>
      <c r="I176" s="40"/>
      <c r="J176" s="40"/>
      <c r="K176" s="40"/>
      <c r="L176" s="40"/>
      <c r="M176" s="41">
        <v>143318</v>
      </c>
      <c r="N176" s="1" t="str">
        <f>IFERROR(INDEX([1]物品基础表!$A:$A,MATCH(M176,[1]物品基础表!$B:$B,0)),"")</f>
        <v>橙色道士170级手镯</v>
      </c>
      <c r="O176" s="41">
        <v>1</v>
      </c>
    </row>
    <row r="177" spans="1:15">
      <c r="A177" s="39" t="str">
        <f>INDEX([2]活动总表!$A$8:$A$429,MATCH(B177,[2]活动总表!$B$8:$B$429,0))</f>
        <v>合服BOSS积分</v>
      </c>
      <c r="B177" s="40">
        <v>161</v>
      </c>
      <c r="C177" s="40">
        <v>171</v>
      </c>
      <c r="D177" s="40"/>
      <c r="E177" s="40"/>
      <c r="F177" s="40"/>
      <c r="G177" s="40">
        <v>51072</v>
      </c>
      <c r="H177" s="40"/>
      <c r="I177" s="40"/>
      <c r="J177" s="40"/>
      <c r="K177" s="40"/>
      <c r="L177" s="40"/>
      <c r="M177" s="41">
        <v>163318</v>
      </c>
      <c r="N177" s="1" t="str">
        <f>IFERROR(INDEX([1]物品基础表!$A:$A,MATCH(M177,[1]物品基础表!$B:$B,0)),"")</f>
        <v>橙色道士170级戒指</v>
      </c>
      <c r="O177" s="41">
        <v>1</v>
      </c>
    </row>
    <row r="178" spans="1:15">
      <c r="A178" s="39" t="str">
        <f>INDEX([2]活动总表!$A$8:$A$429,MATCH(B178,[2]活动总表!$B$8:$B$429,0))</f>
        <v>合服BOSS积分</v>
      </c>
      <c r="B178" s="40">
        <v>161</v>
      </c>
      <c r="C178" s="40">
        <v>172</v>
      </c>
      <c r="D178" s="40"/>
      <c r="E178" s="40"/>
      <c r="F178" s="40"/>
      <c r="G178" s="40">
        <v>51072</v>
      </c>
      <c r="H178" s="40"/>
      <c r="I178" s="40"/>
      <c r="J178" s="40"/>
      <c r="K178" s="40"/>
      <c r="L178" s="40"/>
      <c r="M178" s="41">
        <v>113318</v>
      </c>
      <c r="N178" s="1" t="str">
        <f>IFERROR(INDEX([1]物品基础表!$A:$A,MATCH(M178,[1]物品基础表!$B:$B,0)),"")</f>
        <v>橙色道士170级头盔</v>
      </c>
      <c r="O178" s="41">
        <v>1</v>
      </c>
    </row>
    <row r="179" spans="1:15">
      <c r="A179" s="39" t="str">
        <f>INDEX([2]活动总表!$A$8:$A$429,MATCH(B179,[2]活动总表!$B$8:$B$429,0))</f>
        <v>合服BOSS积分</v>
      </c>
      <c r="B179" s="40">
        <v>161</v>
      </c>
      <c r="C179" s="40">
        <v>173</v>
      </c>
      <c r="D179" s="40"/>
      <c r="E179" s="40"/>
      <c r="F179" s="40"/>
      <c r="G179" s="40">
        <v>51072</v>
      </c>
      <c r="H179" s="40"/>
      <c r="I179" s="40"/>
      <c r="J179" s="40"/>
      <c r="K179" s="40"/>
      <c r="L179" s="40"/>
      <c r="M179" s="41">
        <v>133318</v>
      </c>
      <c r="N179" s="1" t="str">
        <f>IFERROR(INDEX([1]物品基础表!$A:$A,MATCH(M179,[1]物品基础表!$B:$B,0)),"")</f>
        <v>橙色道士170级项链</v>
      </c>
      <c r="O179" s="41">
        <v>1</v>
      </c>
    </row>
    <row r="180" spans="1:15">
      <c r="A180" s="39" t="str">
        <f>INDEX([2]活动总表!$A$8:$A$429,MATCH(B180,[2]活动总表!$B$8:$B$429,0))</f>
        <v>合服BOSS积分</v>
      </c>
      <c r="B180" s="40">
        <v>161</v>
      </c>
      <c r="C180" s="40">
        <v>174</v>
      </c>
      <c r="D180" s="40"/>
      <c r="E180" s="40"/>
      <c r="F180" s="40"/>
      <c r="G180" s="40">
        <v>51072</v>
      </c>
      <c r="H180" s="40"/>
      <c r="I180" s="40"/>
      <c r="J180" s="40"/>
      <c r="K180" s="40"/>
      <c r="L180" s="40"/>
      <c r="M180" s="41">
        <v>153318</v>
      </c>
      <c r="N180" s="1" t="str">
        <f>IFERROR(INDEX([1]物品基础表!$A:$A,MATCH(M180,[1]物品基础表!$B:$B,0)),"")</f>
        <v>橙色道士170级腰带</v>
      </c>
      <c r="O180" s="41">
        <v>1</v>
      </c>
    </row>
    <row r="181" spans="1:15">
      <c r="A181" s="39" t="str">
        <f>INDEX([2]活动总表!$A$8:$A$429,MATCH(B181,[2]活动总表!$B$8:$B$429,0))</f>
        <v>合服BOSS积分</v>
      </c>
      <c r="B181" s="40">
        <v>161</v>
      </c>
      <c r="C181" s="40">
        <v>175</v>
      </c>
      <c r="D181" s="40"/>
      <c r="E181" s="40"/>
      <c r="F181" s="40"/>
      <c r="G181" s="40">
        <v>51072</v>
      </c>
      <c r="H181" s="40"/>
      <c r="I181" s="40"/>
      <c r="J181" s="40"/>
      <c r="K181" s="40"/>
      <c r="L181" s="40"/>
      <c r="M181" s="41">
        <v>173318</v>
      </c>
      <c r="N181" s="1" t="str">
        <f>IFERROR(INDEX([1]物品基础表!$A:$A,MATCH(M181,[1]物品基础表!$B:$B,0)),"")</f>
        <v>橙色道士170级鞋子</v>
      </c>
      <c r="O181" s="41">
        <v>1</v>
      </c>
    </row>
    <row r="182" spans="1:15">
      <c r="A182" s="39" t="str">
        <f>INDEX([2]活动总表!$A$8:$A$429,MATCH(B182,[2]活动总表!$B$8:$B$429,0))</f>
        <v>感恩节BOSS积分</v>
      </c>
      <c r="B182" s="40">
        <v>211</v>
      </c>
      <c r="C182" s="40">
        <v>1</v>
      </c>
      <c r="D182" s="40"/>
      <c r="E182" s="40"/>
      <c r="F182" s="40"/>
      <c r="G182" s="40">
        <v>1500</v>
      </c>
      <c r="H182" s="40"/>
      <c r="I182" s="42">
        <v>100</v>
      </c>
      <c r="J182" s="40"/>
      <c r="K182" s="40"/>
      <c r="L182" s="40"/>
      <c r="M182" s="41">
        <v>200005</v>
      </c>
      <c r="N182" s="1" t="str">
        <f>IFERROR(INDEX([1]物品基础表!$A:$A,MATCH(M182,[1]物品基础表!$B:$B,0)),"")</f>
        <v>龙魂碎片</v>
      </c>
      <c r="O182" s="41">
        <v>1</v>
      </c>
    </row>
    <row r="183" spans="1:15">
      <c r="A183" s="39" t="str">
        <f>INDEX([2]活动总表!$A$8:$A$429,MATCH(B183,[2]活动总表!$B$8:$B$429,0))</f>
        <v>感恩节BOSS积分</v>
      </c>
      <c r="B183" s="40">
        <v>211</v>
      </c>
      <c r="C183" s="40">
        <v>2</v>
      </c>
      <c r="D183" s="40"/>
      <c r="E183" s="40"/>
      <c r="F183" s="40"/>
      <c r="G183" s="40">
        <v>10000</v>
      </c>
      <c r="H183" s="40"/>
      <c r="I183" s="42">
        <v>3</v>
      </c>
      <c r="J183" s="40"/>
      <c r="K183" s="40"/>
      <c r="L183" s="40"/>
      <c r="M183" s="41">
        <v>200905</v>
      </c>
      <c r="N183" s="1" t="str">
        <f>IFERROR(INDEX([1]物品基础表!$A:$A,MATCH(M183,[1]物品基础表!$B:$B,0)),"")</f>
        <v>BOSS积分宝盒</v>
      </c>
      <c r="O183" s="41">
        <v>1</v>
      </c>
    </row>
    <row r="184" spans="1:15">
      <c r="A184" s="39" t="str">
        <f>INDEX([2]活动总表!$A$8:$A$429,MATCH(B184,[2]活动总表!$B$8:$B$429,0))</f>
        <v>感恩节BOSS积分</v>
      </c>
      <c r="B184" s="40">
        <v>211</v>
      </c>
      <c r="C184" s="40">
        <v>3</v>
      </c>
      <c r="D184" s="40"/>
      <c r="E184" s="40"/>
      <c r="F184" s="40"/>
      <c r="G184" s="40">
        <v>7000</v>
      </c>
      <c r="H184" s="40"/>
      <c r="I184" s="42">
        <v>5</v>
      </c>
      <c r="J184" s="40"/>
      <c r="K184" s="40"/>
      <c r="L184" s="40"/>
      <c r="M184" s="41">
        <v>200157</v>
      </c>
      <c r="N184" s="1" t="str">
        <f>IFERROR(INDEX([1]物品基础表!$A:$A,MATCH(M184,[1]物品基础表!$B:$B,0)),"")</f>
        <v>秘境BOSS次数卷轴</v>
      </c>
      <c r="O184" s="41">
        <v>1</v>
      </c>
    </row>
    <row r="185" spans="1:15">
      <c r="A185" s="39" t="str">
        <f>INDEX([2]活动总表!$A$8:$A$429,MATCH(B185,[2]活动总表!$B$8:$B$429,0))</f>
        <v>感恩节BOSS积分</v>
      </c>
      <c r="B185" s="40">
        <v>211</v>
      </c>
      <c r="C185" s="40">
        <v>4</v>
      </c>
      <c r="D185" s="40"/>
      <c r="E185" s="40"/>
      <c r="F185" s="40"/>
      <c r="G185" s="40">
        <v>2500</v>
      </c>
      <c r="H185" s="40"/>
      <c r="I185" s="42">
        <v>15</v>
      </c>
      <c r="J185" s="40"/>
      <c r="K185" s="40"/>
      <c r="L185" s="40"/>
      <c r="M185" s="41">
        <v>200156</v>
      </c>
      <c r="N185" s="1" t="str">
        <f>IFERROR(INDEX([1]物品基础表!$A:$A,MATCH(M185,[1]物品基础表!$B:$B,0)),"")</f>
        <v>野外BOSS次数卷轴</v>
      </c>
      <c r="O185" s="41">
        <v>1</v>
      </c>
    </row>
    <row r="186" spans="1:15">
      <c r="A186" s="39" t="str">
        <f>INDEX([2]活动总表!$A$8:$A$429,MATCH(B186,[2]活动总表!$B$8:$B$429,0))</f>
        <v>感恩节BOSS积分</v>
      </c>
      <c r="B186" s="40">
        <v>211</v>
      </c>
      <c r="C186" s="40">
        <v>5</v>
      </c>
      <c r="D186" s="40"/>
      <c r="E186" s="40"/>
      <c r="F186" s="40"/>
      <c r="G186" s="40">
        <v>2000</v>
      </c>
      <c r="H186" s="40"/>
      <c r="I186" s="42">
        <v>5</v>
      </c>
      <c r="J186" s="40"/>
      <c r="K186" s="40"/>
      <c r="L186" s="40"/>
      <c r="M186" s="41">
        <v>201002</v>
      </c>
      <c r="N186" s="1" t="str">
        <f>IFERROR(INDEX([1]物品基础表!$A:$A,MATCH(M186,[1]物品基础表!$B:$B,0)),"")</f>
        <v>神秘钥匙</v>
      </c>
      <c r="O186" s="41">
        <v>1</v>
      </c>
    </row>
    <row r="187" spans="1:15">
      <c r="A187" s="39" t="str">
        <f>INDEX([2]活动总表!$A$8:$A$429,MATCH(B187,[2]活动总表!$B$8:$B$429,0))</f>
        <v>感恩节BOSS积分</v>
      </c>
      <c r="B187" s="40">
        <v>211</v>
      </c>
      <c r="C187" s="40">
        <v>6</v>
      </c>
      <c r="D187" s="40"/>
      <c r="E187" s="40"/>
      <c r="F187" s="40"/>
      <c r="G187" s="40">
        <v>2000</v>
      </c>
      <c r="H187" s="40"/>
      <c r="I187" s="40"/>
      <c r="J187" s="40"/>
      <c r="K187" s="40"/>
      <c r="L187" s="40"/>
      <c r="M187" s="41">
        <v>200164</v>
      </c>
      <c r="N187" s="1" t="str">
        <f>IFERROR(INDEX([1]物品基础表!$A:$A,MATCH(M187,[1]物品基础表!$B:$B,0)),"")</f>
        <v>金砖</v>
      </c>
      <c r="O187" s="41">
        <v>1</v>
      </c>
    </row>
    <row r="188" spans="1:15">
      <c r="A188" s="39" t="str">
        <f>INDEX([2]活动总表!$A$8:$A$429,MATCH(B188,[2]活动总表!$B$8:$B$429,0))</f>
        <v>合服限时兑换</v>
      </c>
      <c r="B188" s="40">
        <v>171</v>
      </c>
      <c r="C188" s="40">
        <v>1</v>
      </c>
      <c r="D188" s="40">
        <v>200320</v>
      </c>
      <c r="E188" s="40">
        <v>2500</v>
      </c>
      <c r="F188" s="40"/>
      <c r="G188" s="40"/>
      <c r="H188" s="40"/>
      <c r="I188" s="40">
        <v>1</v>
      </c>
      <c r="J188" s="40"/>
      <c r="K188" s="40"/>
      <c r="L188" s="40"/>
      <c r="M188" s="41">
        <v>600012</v>
      </c>
      <c r="N188" s="1" t="str">
        <f>IFERROR(INDEX([1]物品基础表!$A:$A,MATCH(M188,[1]物品基础表!$B:$B,0)),"")</f>
        <v>8阶官印</v>
      </c>
      <c r="O188" s="41">
        <v>1</v>
      </c>
    </row>
    <row r="189" spans="1:15">
      <c r="A189" s="39" t="str">
        <f>INDEX([2]活动总表!$A$8:$A$429,MATCH(B189,[2]活动总表!$B$8:$B$429,0))</f>
        <v>合服限时兑换</v>
      </c>
      <c r="B189" s="40">
        <v>171</v>
      </c>
      <c r="C189" s="40">
        <v>2</v>
      </c>
      <c r="D189" s="40">
        <v>200320</v>
      </c>
      <c r="E189" s="40">
        <v>800</v>
      </c>
      <c r="F189" s="40"/>
      <c r="G189" s="40"/>
      <c r="H189" s="40"/>
      <c r="I189" s="40">
        <v>1</v>
      </c>
      <c r="J189" s="40"/>
      <c r="K189" s="40"/>
      <c r="L189" s="40"/>
      <c r="M189" s="41">
        <v>900004</v>
      </c>
      <c r="N189" s="1" t="str">
        <f>IFERROR(INDEX([1]物品基础表!$A:$A,MATCH(M189,[1]物品基础表!$B:$B,0)),"")</f>
        <v>泳池伞</v>
      </c>
      <c r="O189" s="41">
        <v>1</v>
      </c>
    </row>
    <row r="190" spans="1:15">
      <c r="A190" s="39" t="str">
        <f>INDEX([2]活动总表!$A$8:$A$429,MATCH(B190,[2]活动总表!$B$8:$B$429,0))</f>
        <v>合服限时兑换</v>
      </c>
      <c r="B190" s="40">
        <v>171</v>
      </c>
      <c r="C190" s="40">
        <v>3</v>
      </c>
      <c r="D190" s="40">
        <v>200320</v>
      </c>
      <c r="E190" s="40">
        <v>600</v>
      </c>
      <c r="F190" s="40"/>
      <c r="G190" s="40"/>
      <c r="H190" s="40"/>
      <c r="I190" s="40">
        <v>1</v>
      </c>
      <c r="J190" s="40"/>
      <c r="K190" s="40"/>
      <c r="L190" s="40"/>
      <c r="M190" s="41">
        <v>900005</v>
      </c>
      <c r="N190" s="1" t="str">
        <f>IFERROR(INDEX([1]物品基础表!$A:$A,MATCH(M190,[1]物品基础表!$B:$B,0)),"")</f>
        <v>夏日狂欢</v>
      </c>
      <c r="O190" s="41">
        <v>1</v>
      </c>
    </row>
    <row r="191" spans="1:15">
      <c r="A191" s="39" t="str">
        <f>INDEX([2]活动总表!$A$8:$A$429,MATCH(B191,[2]活动总表!$B$8:$B$429,0))</f>
        <v>合服限时兑换</v>
      </c>
      <c r="B191" s="40">
        <v>171</v>
      </c>
      <c r="C191" s="40">
        <v>4</v>
      </c>
      <c r="D191" s="40">
        <v>200320</v>
      </c>
      <c r="E191" s="40">
        <v>500</v>
      </c>
      <c r="F191" s="40"/>
      <c r="G191" s="40"/>
      <c r="H191" s="40"/>
      <c r="I191" s="40">
        <v>1</v>
      </c>
      <c r="J191" s="40"/>
      <c r="K191" s="40"/>
      <c r="L191" s="40"/>
      <c r="M191" s="41">
        <v>900011</v>
      </c>
      <c r="N191" s="1" t="str">
        <f>IFERROR(INDEX([1]物品基础表!$A:$A,MATCH(M191,[1]物品基础表!$B:$B,0)),"")</f>
        <v>蝶舞轻扬</v>
      </c>
      <c r="O191" s="41">
        <v>1</v>
      </c>
    </row>
    <row r="192" spans="1:15">
      <c r="A192" s="39" t="str">
        <f>INDEX([2]活动总表!$A$8:$A$429,MATCH(B192,[2]活动总表!$B$8:$B$429,0))</f>
        <v>合服限时兑换</v>
      </c>
      <c r="B192" s="40">
        <v>171</v>
      </c>
      <c r="C192" s="40">
        <v>5</v>
      </c>
      <c r="D192" s="40">
        <v>200320</v>
      </c>
      <c r="E192" s="40">
        <v>200</v>
      </c>
      <c r="F192" s="40"/>
      <c r="G192" s="40"/>
      <c r="H192" s="40"/>
      <c r="I192" s="40">
        <v>1</v>
      </c>
      <c r="J192" s="40"/>
      <c r="K192" s="40"/>
      <c r="L192" s="40"/>
      <c r="M192" s="41">
        <v>900012</v>
      </c>
      <c r="N192" s="1" t="str">
        <f>IFERROR(INDEX([1]物品基础表!$A:$A,MATCH(M192,[1]物品基础表!$B:$B,0)),"")</f>
        <v>天使之翼</v>
      </c>
      <c r="O192" s="41">
        <v>1</v>
      </c>
    </row>
    <row r="193" spans="1:15">
      <c r="A193" s="39" t="str">
        <f>INDEX([2]活动总表!$A$8:$A$429,MATCH(B193,[2]活动总表!$B$8:$B$429,0))</f>
        <v>合服限时兑换</v>
      </c>
      <c r="B193" s="40">
        <v>171</v>
      </c>
      <c r="C193" s="40">
        <v>6</v>
      </c>
      <c r="D193" s="40">
        <v>200320</v>
      </c>
      <c r="E193" s="40">
        <v>300</v>
      </c>
      <c r="F193" s="40"/>
      <c r="G193" s="40"/>
      <c r="H193" s="40"/>
      <c r="I193" s="40">
        <v>1</v>
      </c>
      <c r="J193" s="40"/>
      <c r="K193" s="40"/>
      <c r="L193" s="40"/>
      <c r="M193" s="41">
        <v>900001</v>
      </c>
      <c r="N193" s="1" t="str">
        <f>IFERROR(INDEX([1]物品基础表!$A:$A,MATCH(M193,[1]物品基础表!$B:$B,0)),"")</f>
        <v>摸金校尉</v>
      </c>
      <c r="O193" s="41">
        <v>1</v>
      </c>
    </row>
    <row r="194" spans="1:15">
      <c r="A194" s="39" t="str">
        <f>INDEX([2]活动总表!$A$8:$A$429,MATCH(B194,[2]活动总表!$B$8:$B$429,0))</f>
        <v>合服限时兑换</v>
      </c>
      <c r="B194" s="40">
        <v>171</v>
      </c>
      <c r="C194" s="40">
        <v>7</v>
      </c>
      <c r="D194" s="40">
        <v>200320</v>
      </c>
      <c r="E194" s="40">
        <v>300</v>
      </c>
      <c r="F194" s="40"/>
      <c r="G194" s="40"/>
      <c r="H194" s="40"/>
      <c r="I194" s="40">
        <v>1</v>
      </c>
      <c r="J194" s="40"/>
      <c r="K194" s="40"/>
      <c r="L194" s="40"/>
      <c r="M194" s="41">
        <v>200113</v>
      </c>
      <c r="N194" s="1" t="str">
        <f>IFERROR(INDEX([1]物品基础表!$A:$A,MATCH(M194,[1]物品基础表!$B:$B,0)),"")</f>
        <v>暗黑战神</v>
      </c>
      <c r="O194" s="41">
        <v>1</v>
      </c>
    </row>
    <row r="195" spans="1:15">
      <c r="A195" s="39" t="str">
        <f>INDEX([2]活动总表!$A$8:$A$429,MATCH(B195,[2]活动总表!$B$8:$B$429,0))</f>
        <v>合服限时兑换</v>
      </c>
      <c r="B195" s="40">
        <v>171</v>
      </c>
      <c r="C195" s="40">
        <v>8</v>
      </c>
      <c r="D195" s="40">
        <v>200320</v>
      </c>
      <c r="E195" s="40">
        <v>800</v>
      </c>
      <c r="F195" s="40"/>
      <c r="G195" s="40"/>
      <c r="H195" s="40"/>
      <c r="I195" s="40">
        <v>1</v>
      </c>
      <c r="J195" s="40"/>
      <c r="K195" s="40"/>
      <c r="L195" s="40"/>
      <c r="M195" s="41">
        <v>200326</v>
      </c>
      <c r="N195" s="1" t="str">
        <f>IFERROR(INDEX([1]物品基础表!$A:$A,MATCH(M195,[1]物品基础表!$B:$B,0)),"")</f>
        <v>兵魂之灵</v>
      </c>
      <c r="O195" s="41">
        <v>1</v>
      </c>
    </row>
    <row r="196" spans="1:15">
      <c r="A196" s="39" t="str">
        <f>INDEX([2]活动总表!$A$8:$A$429,MATCH(B196,[2]活动总表!$B$8:$B$429,0))</f>
        <v>合服限时兑换</v>
      </c>
      <c r="B196" s="40">
        <v>171</v>
      </c>
      <c r="C196" s="40">
        <v>9</v>
      </c>
      <c r="D196" s="40">
        <v>200320</v>
      </c>
      <c r="E196" s="40">
        <v>2400</v>
      </c>
      <c r="F196" s="40"/>
      <c r="G196" s="40"/>
      <c r="H196" s="40"/>
      <c r="I196" s="40">
        <v>1</v>
      </c>
      <c r="J196" s="40"/>
      <c r="K196" s="40"/>
      <c r="L196" s="40"/>
      <c r="M196" s="41">
        <v>410001</v>
      </c>
      <c r="N196" s="1" t="str">
        <f>IFERROR(INDEX([1]物品基础表!$A:$A,MATCH(M196,[1]物品基础表!$B:$B,0)),"")</f>
        <v>上古魔魂斗笠</v>
      </c>
      <c r="O196" s="41">
        <v>1</v>
      </c>
    </row>
    <row r="197" spans="1:15">
      <c r="A197" s="39" t="str">
        <f>INDEX([2]活动总表!$A$8:$A$429,MATCH(B197,[2]活动总表!$B$8:$B$429,0))</f>
        <v>合服限时兑换</v>
      </c>
      <c r="B197" s="40">
        <v>171</v>
      </c>
      <c r="C197" s="40">
        <v>10</v>
      </c>
      <c r="D197" s="40">
        <v>200320</v>
      </c>
      <c r="E197" s="40">
        <v>1600</v>
      </c>
      <c r="F197" s="40"/>
      <c r="G197" s="40"/>
      <c r="H197" s="40"/>
      <c r="I197" s="40">
        <v>1</v>
      </c>
      <c r="J197" s="40"/>
      <c r="K197" s="40"/>
      <c r="L197" s="40"/>
      <c r="M197" s="41">
        <v>410002</v>
      </c>
      <c r="N197" s="1" t="str">
        <f>IFERROR(INDEX([1]物品基础表!$A:$A,MATCH(M197,[1]物品基础表!$B:$B,0)),"")</f>
        <v>上古魔魂面甲</v>
      </c>
      <c r="O197" s="41">
        <v>1</v>
      </c>
    </row>
    <row r="198" spans="1:15">
      <c r="A198" s="39" t="str">
        <f>INDEX([2]活动总表!$A$8:$A$429,MATCH(B198,[2]活动总表!$B$8:$B$429,0))</f>
        <v>合服限时兑换</v>
      </c>
      <c r="B198" s="40">
        <v>171</v>
      </c>
      <c r="C198" s="40">
        <v>11</v>
      </c>
      <c r="D198" s="40">
        <v>200320</v>
      </c>
      <c r="E198" s="40">
        <v>1600</v>
      </c>
      <c r="F198" s="40"/>
      <c r="G198" s="40"/>
      <c r="H198" s="40"/>
      <c r="I198" s="40">
        <v>1</v>
      </c>
      <c r="J198" s="40"/>
      <c r="K198" s="40"/>
      <c r="L198" s="40"/>
      <c r="M198" s="41">
        <v>410003</v>
      </c>
      <c r="N198" s="1" t="str">
        <f>IFERROR(INDEX([1]物品基础表!$A:$A,MATCH(M198,[1]物品基础表!$B:$B,0)),"")</f>
        <v>上古魔魂披风</v>
      </c>
      <c r="O198" s="41">
        <v>1</v>
      </c>
    </row>
    <row r="199" spans="1:15">
      <c r="A199" s="39" t="str">
        <f>INDEX([2]活动总表!$A$8:$A$429,MATCH(B199,[2]活动总表!$B$8:$B$429,0))</f>
        <v>合服限时兑换</v>
      </c>
      <c r="B199" s="40">
        <v>171</v>
      </c>
      <c r="C199" s="40">
        <v>12</v>
      </c>
      <c r="D199" s="40">
        <v>200320</v>
      </c>
      <c r="E199" s="40">
        <v>1600</v>
      </c>
      <c r="F199" s="40"/>
      <c r="G199" s="40"/>
      <c r="H199" s="40"/>
      <c r="I199" s="40">
        <v>1</v>
      </c>
      <c r="J199" s="40"/>
      <c r="K199" s="40"/>
      <c r="L199" s="40"/>
      <c r="M199" s="41">
        <v>410004</v>
      </c>
      <c r="N199" s="1" t="str">
        <f>IFERROR(INDEX([1]物品基础表!$A:$A,MATCH(M199,[1]物品基础表!$B:$B,0)),"")</f>
        <v>上古魔魂盾牌</v>
      </c>
      <c r="O199" s="41">
        <v>1</v>
      </c>
    </row>
    <row r="200" spans="1:15">
      <c r="A200" s="39" t="str">
        <f>INDEX([2]活动总表!$A$8:$A$429,MATCH(B200,[2]活动总表!$B$8:$B$429,0))</f>
        <v>合服限时兑换</v>
      </c>
      <c r="B200" s="40">
        <v>171</v>
      </c>
      <c r="C200" s="40">
        <v>13</v>
      </c>
      <c r="D200" s="40">
        <v>200320</v>
      </c>
      <c r="E200" s="40">
        <v>180</v>
      </c>
      <c r="F200" s="40"/>
      <c r="G200" s="40"/>
      <c r="H200" s="40"/>
      <c r="I200" s="40">
        <v>3</v>
      </c>
      <c r="J200" s="40"/>
      <c r="K200" s="40"/>
      <c r="L200" s="40"/>
      <c r="M200" s="41">
        <v>200925</v>
      </c>
      <c r="N200" s="1" t="str">
        <f>IFERROR(INDEX([1]物品基础表!$A:$A,MATCH(M200,[1]物品基础表!$B:$B,0)),"")</f>
        <v>红色战纹任选宝箱</v>
      </c>
      <c r="O200" s="41">
        <v>1</v>
      </c>
    </row>
    <row r="201" spans="1:15">
      <c r="A201" s="39" t="str">
        <f>INDEX([2]活动总表!$A$8:$A$429,MATCH(B201,[2]活动总表!$B$8:$B$429,0))</f>
        <v>合服限时兑换</v>
      </c>
      <c r="B201" s="40">
        <v>171</v>
      </c>
      <c r="C201" s="40">
        <v>14</v>
      </c>
      <c r="D201" s="40">
        <v>200320</v>
      </c>
      <c r="E201" s="40">
        <v>300</v>
      </c>
      <c r="F201" s="40"/>
      <c r="G201" s="40"/>
      <c r="H201" s="40"/>
      <c r="I201" s="40">
        <v>5</v>
      </c>
      <c r="J201" s="40"/>
      <c r="K201" s="40"/>
      <c r="L201" s="40"/>
      <c r="M201" s="41">
        <v>220011</v>
      </c>
      <c r="N201" s="1" t="str">
        <f>IFERROR(INDEX([1]物品基础表!$A:$A,MATCH(M201,[1]物品基础表!$B:$B,0)),"")</f>
        <v>高级秘籍宝箱</v>
      </c>
      <c r="O201" s="41">
        <v>1</v>
      </c>
    </row>
    <row r="202" spans="1:15">
      <c r="A202" s="39" t="str">
        <f>INDEX([2]活动总表!$A$8:$A$429,MATCH(B202,[2]活动总表!$B$8:$B$429,0))</f>
        <v>合服限时兑换</v>
      </c>
      <c r="B202" s="40">
        <v>171</v>
      </c>
      <c r="C202" s="40">
        <v>15</v>
      </c>
      <c r="D202" s="40">
        <v>200320</v>
      </c>
      <c r="E202" s="40">
        <v>200</v>
      </c>
      <c r="F202" s="40"/>
      <c r="G202" s="40"/>
      <c r="H202" s="40"/>
      <c r="I202" s="40">
        <v>1</v>
      </c>
      <c r="J202" s="40"/>
      <c r="K202" s="40"/>
      <c r="L202" s="40"/>
      <c r="M202" s="41">
        <v>200325</v>
      </c>
      <c r="N202" s="1" t="str">
        <f>IFERROR(INDEX([1]物品基础表!$A:$A,MATCH(M202,[1]物品基础表!$B:$B,0)),"")</f>
        <v>极品如意圣魂（战法道）</v>
      </c>
      <c r="O202" s="41">
        <v>1</v>
      </c>
    </row>
    <row r="203" spans="1:15">
      <c r="A203" s="39" t="str">
        <f>INDEX([2]活动总表!$A$8:$A$429,MATCH(B203,[2]活动总表!$B$8:$B$429,0))</f>
        <v>合服限时兑换</v>
      </c>
      <c r="B203" s="40">
        <v>171</v>
      </c>
      <c r="C203" s="40">
        <v>16</v>
      </c>
      <c r="D203" s="40">
        <v>200320</v>
      </c>
      <c r="E203" s="40">
        <v>80</v>
      </c>
      <c r="F203" s="40"/>
      <c r="G203" s="40"/>
      <c r="H203" s="40"/>
      <c r="I203" s="40">
        <v>5</v>
      </c>
      <c r="J203" s="40"/>
      <c r="K203" s="40"/>
      <c r="L203" s="40"/>
      <c r="M203" s="41">
        <v>202003</v>
      </c>
      <c r="N203" s="1" t="str">
        <f>IFERROR(INDEX([1]物品基础表!$A:$A,MATCH(M203,[1]物品基础表!$B:$B,0)),"")</f>
        <v>烈焰戒指技能3书</v>
      </c>
      <c r="O203" s="41">
        <v>1</v>
      </c>
    </row>
    <row r="204" spans="1:15">
      <c r="A204" s="39" t="str">
        <f>INDEX([2]活动总表!$A$8:$A$429,MATCH(B204,[2]活动总表!$B$8:$B$429,0))</f>
        <v>合服限时兑换</v>
      </c>
      <c r="B204" s="40">
        <v>171</v>
      </c>
      <c r="C204" s="40">
        <v>17</v>
      </c>
      <c r="D204" s="40">
        <v>200320</v>
      </c>
      <c r="E204" s="40">
        <v>15</v>
      </c>
      <c r="F204" s="40"/>
      <c r="G204" s="40"/>
      <c r="H204" s="40"/>
      <c r="I204" s="40">
        <v>5</v>
      </c>
      <c r="J204" s="40"/>
      <c r="K204" s="40"/>
      <c r="L204" s="40"/>
      <c r="M204" s="41">
        <v>200157</v>
      </c>
      <c r="N204" s="1" t="str">
        <f>IFERROR(INDEX([1]物品基础表!$A:$A,MATCH(M204,[1]物品基础表!$B:$B,0)),"")</f>
        <v>秘境BOSS次数卷轴</v>
      </c>
      <c r="O204" s="41">
        <v>1</v>
      </c>
    </row>
    <row r="205" spans="1:15">
      <c r="A205" s="39" t="str">
        <f>INDEX([2]活动总表!$A$8:$A$429,MATCH(B205,[2]活动总表!$B$8:$B$429,0))</f>
        <v>合服限时兑换</v>
      </c>
      <c r="B205" s="40">
        <v>171</v>
      </c>
      <c r="C205" s="40">
        <v>18</v>
      </c>
      <c r="D205" s="40">
        <v>200320</v>
      </c>
      <c r="E205" s="40">
        <v>10</v>
      </c>
      <c r="F205" s="40"/>
      <c r="G205" s="40"/>
      <c r="H205" s="40"/>
      <c r="I205" s="40"/>
      <c r="J205" s="40"/>
      <c r="K205" s="40"/>
      <c r="L205" s="40"/>
      <c r="M205" s="41">
        <v>200167</v>
      </c>
      <c r="N205" s="1" t="str">
        <f>IFERROR(INDEX([1]物品基础表!$A:$A,MATCH(M205,[1]物品基础表!$B:$B,0)),"")</f>
        <v>黑铁</v>
      </c>
      <c r="O205" s="41">
        <v>200</v>
      </c>
    </row>
    <row r="206" spans="1:15">
      <c r="A206" s="39" t="str">
        <f>INDEX([2]活动总表!$A$8:$A$429,MATCH(B206,[2]活动总表!$B$8:$B$429,0))</f>
        <v>合服限时兑换</v>
      </c>
      <c r="B206" s="40">
        <v>171</v>
      </c>
      <c r="C206" s="40">
        <v>19</v>
      </c>
      <c r="D206" s="40">
        <v>200320</v>
      </c>
      <c r="E206" s="40">
        <v>1</v>
      </c>
      <c r="F206" s="40"/>
      <c r="G206" s="40"/>
      <c r="H206" s="40"/>
      <c r="I206" s="40"/>
      <c r="J206" s="40"/>
      <c r="K206" s="40"/>
      <c r="L206" s="40"/>
      <c r="M206" s="41">
        <v>200015</v>
      </c>
      <c r="N206" s="1" t="str">
        <f>IFERROR(INDEX([1]物品基础表!$A:$A,MATCH(M206,[1]物品基础表!$B:$B,0)),"")</f>
        <v>特戒碎片</v>
      </c>
      <c r="O206" s="41">
        <v>5</v>
      </c>
    </row>
    <row r="207" spans="1:15">
      <c r="A207" s="43" t="s">
        <v>765</v>
      </c>
      <c r="B207" s="40">
        <v>242</v>
      </c>
      <c r="C207" s="40">
        <v>1</v>
      </c>
      <c r="D207" s="40">
        <v>204030</v>
      </c>
      <c r="E207" s="42">
        <v>800</v>
      </c>
      <c r="F207" s="42"/>
      <c r="G207" s="40"/>
      <c r="H207" s="40"/>
      <c r="I207" s="40">
        <v>2</v>
      </c>
      <c r="J207" s="40"/>
      <c r="K207" s="40"/>
      <c r="L207" s="40"/>
      <c r="M207" s="41">
        <v>200326</v>
      </c>
      <c r="N207" s="1" t="str">
        <f>IFERROR(INDEX([1]物品基础表!$A:$A,MATCH(M207,[1]物品基础表!$B:$B,0)),"")</f>
        <v>兵魂之灵</v>
      </c>
      <c r="O207" s="41">
        <v>1</v>
      </c>
    </row>
    <row r="208" spans="1:15">
      <c r="A208" s="43" t="s">
        <v>765</v>
      </c>
      <c r="B208" s="40">
        <v>242</v>
      </c>
      <c r="C208" s="40">
        <v>2</v>
      </c>
      <c r="D208" s="40">
        <v>204030</v>
      </c>
      <c r="E208" s="42">
        <v>1800</v>
      </c>
      <c r="F208" s="42"/>
      <c r="G208" s="40"/>
      <c r="H208" s="40"/>
      <c r="I208" s="40">
        <v>3</v>
      </c>
      <c r="J208" s="40"/>
      <c r="K208" s="40"/>
      <c r="L208" s="40"/>
      <c r="M208" s="41">
        <v>410001</v>
      </c>
      <c r="N208" s="1" t="str">
        <f>IFERROR(INDEX([1]物品基础表!$A:$A,MATCH(M208,[1]物品基础表!$B:$B,0)),"")</f>
        <v>上古魔魂斗笠</v>
      </c>
      <c r="O208" s="41">
        <v>1</v>
      </c>
    </row>
    <row r="209" spans="1:15">
      <c r="A209" s="43" t="s">
        <v>765</v>
      </c>
      <c r="B209" s="40">
        <v>242</v>
      </c>
      <c r="C209" s="40">
        <v>3</v>
      </c>
      <c r="D209" s="40">
        <v>204030</v>
      </c>
      <c r="E209" s="42">
        <v>1200</v>
      </c>
      <c r="F209" s="42"/>
      <c r="G209" s="40"/>
      <c r="H209" s="40"/>
      <c r="I209" s="40">
        <v>3</v>
      </c>
      <c r="J209" s="40"/>
      <c r="K209" s="40"/>
      <c r="L209" s="40"/>
      <c r="M209" s="41">
        <v>410002</v>
      </c>
      <c r="N209" s="1" t="str">
        <f>IFERROR(INDEX([1]物品基础表!$A:$A,MATCH(M209,[1]物品基础表!$B:$B,0)),"")</f>
        <v>上古魔魂面甲</v>
      </c>
      <c r="O209" s="41">
        <v>1</v>
      </c>
    </row>
    <row r="210" spans="1:15">
      <c r="A210" s="43" t="s">
        <v>765</v>
      </c>
      <c r="B210" s="40">
        <v>242</v>
      </c>
      <c r="C210" s="40">
        <v>4</v>
      </c>
      <c r="D210" s="40">
        <v>204030</v>
      </c>
      <c r="E210" s="42">
        <v>1200</v>
      </c>
      <c r="F210" s="42"/>
      <c r="G210" s="40"/>
      <c r="H210" s="40"/>
      <c r="I210" s="40">
        <v>3</v>
      </c>
      <c r="J210" s="40"/>
      <c r="K210" s="40"/>
      <c r="L210" s="40"/>
      <c r="M210" s="41">
        <v>410003</v>
      </c>
      <c r="N210" s="1" t="str">
        <f>IFERROR(INDEX([1]物品基础表!$A:$A,MATCH(M210,[1]物品基础表!$B:$B,0)),"")</f>
        <v>上古魔魂披风</v>
      </c>
      <c r="O210" s="41">
        <v>1</v>
      </c>
    </row>
    <row r="211" spans="1:15">
      <c r="A211" s="43" t="s">
        <v>765</v>
      </c>
      <c r="B211" s="40">
        <v>242</v>
      </c>
      <c r="C211" s="40">
        <v>5</v>
      </c>
      <c r="D211" s="40">
        <v>204030</v>
      </c>
      <c r="E211" s="42">
        <v>1200</v>
      </c>
      <c r="F211" s="42"/>
      <c r="G211" s="40"/>
      <c r="H211" s="40"/>
      <c r="I211" s="40">
        <v>3</v>
      </c>
      <c r="J211" s="40"/>
      <c r="K211" s="40"/>
      <c r="L211" s="40"/>
      <c r="M211" s="41">
        <v>410004</v>
      </c>
      <c r="N211" s="1" t="str">
        <f>IFERROR(INDEX([1]物品基础表!$A:$A,MATCH(M211,[1]物品基础表!$B:$B,0)),"")</f>
        <v>上古魔魂盾牌</v>
      </c>
      <c r="O211" s="41">
        <v>1</v>
      </c>
    </row>
    <row r="212" spans="1:15">
      <c r="A212" s="43" t="s">
        <v>765</v>
      </c>
      <c r="B212" s="40">
        <v>242</v>
      </c>
      <c r="C212" s="40">
        <v>6</v>
      </c>
      <c r="D212" s="40">
        <v>204030</v>
      </c>
      <c r="E212" s="42">
        <v>800</v>
      </c>
      <c r="F212" s="42"/>
      <c r="G212" s="40"/>
      <c r="H212" s="40"/>
      <c r="I212" s="40">
        <v>1</v>
      </c>
      <c r="J212" s="40"/>
      <c r="K212" s="40"/>
      <c r="L212" s="40"/>
      <c r="M212" s="41">
        <v>204041</v>
      </c>
      <c r="N212" s="1" t="str">
        <f>IFERROR(INDEX([1]物品基础表!$A:$A,MATCH(M212,[1]物品基础表!$B:$B,0)),"")</f>
        <v>9转斗笠</v>
      </c>
      <c r="O212" s="41">
        <v>1</v>
      </c>
    </row>
    <row r="213" spans="1:15">
      <c r="A213" s="43" t="s">
        <v>765</v>
      </c>
      <c r="B213" s="40">
        <v>242</v>
      </c>
      <c r="C213" s="40">
        <v>7</v>
      </c>
      <c r="D213" s="40">
        <v>204030</v>
      </c>
      <c r="E213" s="42">
        <v>600</v>
      </c>
      <c r="F213" s="42"/>
      <c r="G213" s="40"/>
      <c r="H213" s="40"/>
      <c r="I213" s="40">
        <v>1</v>
      </c>
      <c r="J213" s="40"/>
      <c r="K213" s="40"/>
      <c r="L213" s="40"/>
      <c r="M213" s="41">
        <v>204042</v>
      </c>
      <c r="N213" s="1" t="str">
        <f>IFERROR(INDEX([1]物品基础表!$A:$A,MATCH(M213,[1]物品基础表!$B:$B,0)),"")</f>
        <v>9转面甲</v>
      </c>
      <c r="O213" s="41">
        <v>1</v>
      </c>
    </row>
    <row r="214" spans="1:15">
      <c r="A214" s="43" t="s">
        <v>765</v>
      </c>
      <c r="B214" s="40">
        <v>242</v>
      </c>
      <c r="C214" s="40">
        <v>8</v>
      </c>
      <c r="D214" s="40">
        <v>204030</v>
      </c>
      <c r="E214" s="42">
        <v>600</v>
      </c>
      <c r="F214" s="42"/>
      <c r="G214" s="40"/>
      <c r="H214" s="40"/>
      <c r="I214" s="40">
        <v>1</v>
      </c>
      <c r="J214" s="40"/>
      <c r="K214" s="40"/>
      <c r="L214" s="40"/>
      <c r="M214" s="41">
        <v>204043</v>
      </c>
      <c r="N214" s="1" t="str">
        <f>IFERROR(INDEX([1]物品基础表!$A:$A,MATCH(M214,[1]物品基础表!$B:$B,0)),"")</f>
        <v>9转披风</v>
      </c>
      <c r="O214" s="41">
        <v>1</v>
      </c>
    </row>
    <row r="215" spans="1:15">
      <c r="A215" s="43" t="s">
        <v>765</v>
      </c>
      <c r="B215" s="40">
        <v>242</v>
      </c>
      <c r="C215" s="40">
        <v>9</v>
      </c>
      <c r="D215" s="40">
        <v>204030</v>
      </c>
      <c r="E215" s="42">
        <v>600</v>
      </c>
      <c r="F215" s="42"/>
      <c r="G215" s="40"/>
      <c r="H215" s="40"/>
      <c r="I215" s="40">
        <v>1</v>
      </c>
      <c r="J215" s="40"/>
      <c r="K215" s="40"/>
      <c r="L215" s="40"/>
      <c r="M215" s="41">
        <v>204044</v>
      </c>
      <c r="N215" s="1" t="str">
        <f>IFERROR(INDEX([1]物品基础表!$A:$A,MATCH(M215,[1]物品基础表!$B:$B,0)),"")</f>
        <v>9转盾牌</v>
      </c>
      <c r="O215" s="41">
        <v>1</v>
      </c>
    </row>
    <row r="216" spans="1:15">
      <c r="A216" s="43" t="s">
        <v>765</v>
      </c>
      <c r="B216" s="40">
        <v>242</v>
      </c>
      <c r="C216" s="40">
        <v>10</v>
      </c>
      <c r="D216" s="40">
        <v>204030</v>
      </c>
      <c r="E216" s="42">
        <v>400</v>
      </c>
      <c r="F216" s="42"/>
      <c r="G216" s="40"/>
      <c r="H216" s="40"/>
      <c r="I216" s="40">
        <v>1</v>
      </c>
      <c r="J216" s="40"/>
      <c r="K216" s="40"/>
      <c r="L216" s="40"/>
      <c r="M216" s="41">
        <v>200327</v>
      </c>
      <c r="N216" s="1" t="str">
        <f>IFERROR(INDEX([1]物品基础表!$A:$A,MATCH(M216,[1]物品基础表!$B:$B,0)),"")</f>
        <v>圣诞树</v>
      </c>
      <c r="O216" s="41">
        <v>1</v>
      </c>
    </row>
    <row r="217" spans="1:15">
      <c r="A217" s="43" t="s">
        <v>765</v>
      </c>
      <c r="B217" s="40">
        <v>242</v>
      </c>
      <c r="C217" s="40">
        <v>11</v>
      </c>
      <c r="D217" s="40">
        <v>204030</v>
      </c>
      <c r="E217" s="42">
        <v>600</v>
      </c>
      <c r="F217" s="42"/>
      <c r="G217" s="40"/>
      <c r="H217" s="40"/>
      <c r="I217" s="40">
        <v>1</v>
      </c>
      <c r="J217" s="40"/>
      <c r="K217" s="40"/>
      <c r="L217" s="40"/>
      <c r="M217" s="41">
        <v>900003</v>
      </c>
      <c r="N217" s="1" t="str">
        <f>IFERROR(INDEX([1]物品基础表!$A:$A,MATCH(M217,[1]物品基础表!$B:$B,0)),"")</f>
        <v>圣诞老人</v>
      </c>
      <c r="O217" s="41">
        <v>1</v>
      </c>
    </row>
    <row r="218" spans="1:15">
      <c r="A218" s="43" t="s">
        <v>765</v>
      </c>
      <c r="B218" s="40">
        <v>242</v>
      </c>
      <c r="C218" s="40">
        <v>12</v>
      </c>
      <c r="D218" s="40">
        <v>204030</v>
      </c>
      <c r="E218" s="42">
        <v>200</v>
      </c>
      <c r="F218" s="42"/>
      <c r="G218" s="40"/>
      <c r="H218" s="40"/>
      <c r="I218" s="40">
        <v>1</v>
      </c>
      <c r="J218" s="40"/>
      <c r="K218" s="40"/>
      <c r="L218" s="40"/>
      <c r="M218" s="41">
        <v>900001</v>
      </c>
      <c r="N218" s="1" t="str">
        <f>IFERROR(INDEX([1]物品基础表!$A:$A,MATCH(M218,[1]物品基础表!$B:$B,0)),"")</f>
        <v>摸金校尉</v>
      </c>
      <c r="O218" s="41">
        <v>1</v>
      </c>
    </row>
    <row r="219" spans="1:15">
      <c r="A219" s="43" t="s">
        <v>765</v>
      </c>
      <c r="B219" s="40">
        <v>242</v>
      </c>
      <c r="C219" s="40">
        <v>13</v>
      </c>
      <c r="D219" s="40">
        <v>204030</v>
      </c>
      <c r="E219" s="42">
        <v>300</v>
      </c>
      <c r="F219" s="42"/>
      <c r="G219" s="40"/>
      <c r="H219" s="40"/>
      <c r="I219" s="40">
        <v>5</v>
      </c>
      <c r="J219" s="40"/>
      <c r="K219" s="40"/>
      <c r="L219" s="40"/>
      <c r="M219" s="41">
        <v>220011</v>
      </c>
      <c r="N219" s="1" t="str">
        <f>IFERROR(INDEX([1]物品基础表!$A:$A,MATCH(M219,[1]物品基础表!$B:$B,0)),"")</f>
        <v>高级秘籍宝箱</v>
      </c>
      <c r="O219" s="41">
        <v>1</v>
      </c>
    </row>
    <row r="220" spans="1:15">
      <c r="A220" s="43" t="s">
        <v>765</v>
      </c>
      <c r="B220" s="40">
        <v>242</v>
      </c>
      <c r="C220" s="40">
        <v>14</v>
      </c>
      <c r="D220" s="40">
        <v>204030</v>
      </c>
      <c r="E220" s="42">
        <v>200</v>
      </c>
      <c r="F220" s="42"/>
      <c r="G220" s="40"/>
      <c r="H220" s="40"/>
      <c r="I220" s="40">
        <v>1</v>
      </c>
      <c r="J220" s="40"/>
      <c r="K220" s="40"/>
      <c r="L220" s="40"/>
      <c r="M220" s="41">
        <v>200911</v>
      </c>
      <c r="N220" s="1" t="str">
        <f>IFERROR(INDEX([1]物品基础表!$A:$A,MATCH(M220,[1]物品基础表!$B:$B,0)),"")</f>
        <v>橙色圣物宝箱</v>
      </c>
      <c r="O220" s="41">
        <v>1</v>
      </c>
    </row>
    <row r="221" spans="1:15">
      <c r="A221" s="43" t="s">
        <v>765</v>
      </c>
      <c r="B221" s="40">
        <v>242</v>
      </c>
      <c r="C221" s="40">
        <v>15</v>
      </c>
      <c r="D221" s="40">
        <v>204030</v>
      </c>
      <c r="E221" s="42">
        <v>150</v>
      </c>
      <c r="F221" s="42"/>
      <c r="G221" s="40"/>
      <c r="H221" s="40"/>
      <c r="I221" s="40">
        <v>2</v>
      </c>
      <c r="J221" s="40"/>
      <c r="K221" s="40"/>
      <c r="L221" s="40"/>
      <c r="M221" s="41">
        <v>204033</v>
      </c>
      <c r="N221" s="1" t="str">
        <f>IFERROR(INDEX([1]物品基础表!$A:$A,MATCH(M221,[1]物品基础表!$B:$B,0)),"")</f>
        <v>7转斗笠</v>
      </c>
      <c r="O221" s="41">
        <v>1</v>
      </c>
    </row>
    <row r="222" spans="1:15">
      <c r="A222" s="43" t="s">
        <v>765</v>
      </c>
      <c r="B222" s="40">
        <v>242</v>
      </c>
      <c r="C222" s="40">
        <v>16</v>
      </c>
      <c r="D222" s="40">
        <v>204030</v>
      </c>
      <c r="E222" s="42">
        <v>150</v>
      </c>
      <c r="F222" s="42"/>
      <c r="G222" s="40"/>
      <c r="H222" s="40"/>
      <c r="I222" s="40">
        <v>2</v>
      </c>
      <c r="J222" s="40"/>
      <c r="K222" s="40"/>
      <c r="L222" s="40"/>
      <c r="M222" s="41">
        <v>204034</v>
      </c>
      <c r="N222" s="1" t="str">
        <f>IFERROR(INDEX([1]物品基础表!$A:$A,MATCH(M222,[1]物品基础表!$B:$B,0)),"")</f>
        <v>7转面甲</v>
      </c>
      <c r="O222" s="41">
        <v>1</v>
      </c>
    </row>
    <row r="223" spans="1:15">
      <c r="A223" s="43" t="s">
        <v>765</v>
      </c>
      <c r="B223" s="40">
        <v>242</v>
      </c>
      <c r="C223" s="40">
        <v>17</v>
      </c>
      <c r="D223" s="40">
        <v>204030</v>
      </c>
      <c r="E223" s="42">
        <v>150</v>
      </c>
      <c r="F223" s="42"/>
      <c r="G223" s="40"/>
      <c r="H223" s="40"/>
      <c r="I223" s="40">
        <v>2</v>
      </c>
      <c r="J223" s="40"/>
      <c r="K223" s="40"/>
      <c r="L223" s="40"/>
      <c r="M223" s="41">
        <v>204035</v>
      </c>
      <c r="N223" s="1" t="str">
        <f>IFERROR(INDEX([1]物品基础表!$A:$A,MATCH(M223,[1]物品基础表!$B:$B,0)),"")</f>
        <v>7转披风</v>
      </c>
      <c r="O223" s="41">
        <v>1</v>
      </c>
    </row>
    <row r="224" spans="1:15">
      <c r="A224" s="43" t="s">
        <v>765</v>
      </c>
      <c r="B224" s="40">
        <v>242</v>
      </c>
      <c r="C224" s="40">
        <v>18</v>
      </c>
      <c r="D224" s="40">
        <v>204030</v>
      </c>
      <c r="E224" s="42">
        <v>150</v>
      </c>
      <c r="F224" s="42"/>
      <c r="G224" s="40"/>
      <c r="H224" s="40"/>
      <c r="I224" s="40">
        <v>2</v>
      </c>
      <c r="J224" s="40"/>
      <c r="K224" s="40"/>
      <c r="L224" s="40"/>
      <c r="M224" s="41">
        <v>204036</v>
      </c>
      <c r="N224" s="1" t="str">
        <f>IFERROR(INDEX([1]物品基础表!$A:$A,MATCH(M224,[1]物品基础表!$B:$B,0)),"")</f>
        <v>7转盾牌</v>
      </c>
      <c r="O224" s="41">
        <v>1</v>
      </c>
    </row>
    <row r="225" spans="1:15">
      <c r="A225" s="43" t="s">
        <v>765</v>
      </c>
      <c r="B225" s="40">
        <v>242</v>
      </c>
      <c r="C225" s="40">
        <v>19</v>
      </c>
      <c r="D225" s="40">
        <v>204030</v>
      </c>
      <c r="E225" s="42">
        <v>40</v>
      </c>
      <c r="F225" s="42"/>
      <c r="G225" s="40"/>
      <c r="H225" s="40"/>
      <c r="I225" s="40"/>
      <c r="J225" s="40"/>
      <c r="K225" s="40"/>
      <c r="L225" s="40"/>
      <c r="M225" s="41">
        <v>202001</v>
      </c>
      <c r="N225" s="1" t="str">
        <f>IFERROR(INDEX([1]物品基础表!$A:$A,MATCH(M225,[1]物品基础表!$B:$B,0)),"")</f>
        <v>烈焰戒指技能1书</v>
      </c>
      <c r="O225" s="41">
        <v>1</v>
      </c>
    </row>
    <row r="226" spans="1:15">
      <c r="A226" s="43" t="s">
        <v>765</v>
      </c>
      <c r="B226" s="40">
        <v>242</v>
      </c>
      <c r="C226" s="40">
        <v>20</v>
      </c>
      <c r="D226" s="40">
        <v>204030</v>
      </c>
      <c r="E226" s="42">
        <v>15</v>
      </c>
      <c r="F226" s="42"/>
      <c r="G226" s="40"/>
      <c r="H226" s="40"/>
      <c r="I226" s="40"/>
      <c r="J226" s="40"/>
      <c r="K226" s="40"/>
      <c r="L226" s="40"/>
      <c r="M226" s="41">
        <v>200157</v>
      </c>
      <c r="N226" s="1" t="str">
        <f>IFERROR(INDEX([1]物品基础表!$A:$A,MATCH(M226,[1]物品基础表!$B:$B,0)),"")</f>
        <v>秘境BOSS次数卷轴</v>
      </c>
      <c r="O226" s="41">
        <v>1</v>
      </c>
    </row>
    <row r="227" spans="1:15">
      <c r="A227" s="43" t="s">
        <v>765</v>
      </c>
      <c r="B227" s="40">
        <v>242</v>
      </c>
      <c r="C227" s="40">
        <v>21</v>
      </c>
      <c r="D227" s="40">
        <v>204030</v>
      </c>
      <c r="E227" s="42">
        <v>10</v>
      </c>
      <c r="F227" s="42"/>
      <c r="G227" s="40"/>
      <c r="H227" s="40"/>
      <c r="I227" s="40"/>
      <c r="J227" s="40"/>
      <c r="K227" s="40"/>
      <c r="L227" s="40"/>
      <c r="M227" s="41">
        <v>200167</v>
      </c>
      <c r="N227" s="1" t="str">
        <f>IFERROR(INDEX([1]物品基础表!$A:$A,MATCH(M227,[1]物品基础表!$B:$B,0)),"")</f>
        <v>黑铁</v>
      </c>
      <c r="O227" s="41">
        <v>200</v>
      </c>
    </row>
    <row r="228" spans="1:15">
      <c r="A228" s="43" t="s">
        <v>765</v>
      </c>
      <c r="B228" s="40">
        <v>242</v>
      </c>
      <c r="C228" s="40">
        <v>22</v>
      </c>
      <c r="D228" s="40">
        <v>204030</v>
      </c>
      <c r="E228" s="42">
        <v>1</v>
      </c>
      <c r="F228" s="42"/>
      <c r="G228" s="40"/>
      <c r="H228" s="40"/>
      <c r="I228" s="40"/>
      <c r="J228" s="40"/>
      <c r="K228" s="40"/>
      <c r="L228" s="40"/>
      <c r="M228" s="41">
        <v>200015</v>
      </c>
      <c r="N228" s="1" t="str">
        <f>IFERROR(INDEX([1]物品基础表!$A:$A,MATCH(M228,[1]物品基础表!$B:$B,0)),"")</f>
        <v>特戒碎片</v>
      </c>
      <c r="O228" s="41">
        <v>5</v>
      </c>
    </row>
    <row r="229" spans="1:15">
      <c r="A229" s="43" t="s">
        <v>766</v>
      </c>
      <c r="B229" s="40">
        <v>251</v>
      </c>
      <c r="C229" s="40">
        <v>1</v>
      </c>
      <c r="D229" s="40"/>
      <c r="E229" s="40"/>
      <c r="F229" s="40"/>
      <c r="G229" s="40">
        <v>10</v>
      </c>
      <c r="H229" s="40"/>
      <c r="I229" s="40">
        <v>1</v>
      </c>
      <c r="J229" s="40"/>
      <c r="K229" s="40">
        <v>1</v>
      </c>
      <c r="L229" s="40">
        <v>50</v>
      </c>
      <c r="M229" s="41">
        <v>200005</v>
      </c>
      <c r="N229" s="1" t="str">
        <f>IFERROR(INDEX([1]物品基础表!$A:$A,MATCH(M229,[1]物品基础表!$B:$B,0)),"")</f>
        <v>龙魂碎片</v>
      </c>
      <c r="O229" s="41">
        <v>10</v>
      </c>
    </row>
    <row r="230" spans="1:15">
      <c r="A230" s="43" t="s">
        <v>766</v>
      </c>
      <c r="B230" s="40">
        <v>251</v>
      </c>
      <c r="C230" s="40">
        <v>2</v>
      </c>
      <c r="D230" s="40"/>
      <c r="E230" s="40"/>
      <c r="F230" s="40"/>
      <c r="G230" s="40">
        <v>30</v>
      </c>
      <c r="H230" s="40"/>
      <c r="I230" s="40">
        <v>1</v>
      </c>
      <c r="J230" s="40"/>
      <c r="K230" s="40">
        <v>1</v>
      </c>
      <c r="L230" s="40">
        <v>50</v>
      </c>
      <c r="M230" s="41">
        <v>500006</v>
      </c>
      <c r="N230" s="1" t="str">
        <f>IFERROR(INDEX([1]物品基础表!$A:$A,MATCH(M230,[1]物品基础表!$B:$B,0)),"")</f>
        <v>战纹精华-金</v>
      </c>
      <c r="O230" s="41">
        <v>1</v>
      </c>
    </row>
    <row r="231" spans="1:15">
      <c r="A231" s="43" t="s">
        <v>766</v>
      </c>
      <c r="B231" s="40">
        <v>251</v>
      </c>
      <c r="C231" s="40">
        <v>3</v>
      </c>
      <c r="D231" s="40"/>
      <c r="E231" s="40"/>
      <c r="F231" s="40"/>
      <c r="G231" s="40">
        <v>60</v>
      </c>
      <c r="H231" s="40"/>
      <c r="I231" s="40">
        <v>1</v>
      </c>
      <c r="J231" s="40"/>
      <c r="K231" s="40">
        <v>1</v>
      </c>
      <c r="L231" s="40">
        <v>50</v>
      </c>
      <c r="M231" s="41">
        <v>200165</v>
      </c>
      <c r="N231" s="1" t="str">
        <f>IFERROR(INDEX([1]物品基础表!$A:$A,MATCH(M231,[1]物品基础表!$B:$B,0)),"")</f>
        <v>寻宝卷</v>
      </c>
      <c r="O231" s="41">
        <v>2</v>
      </c>
    </row>
    <row r="232" spans="1:15">
      <c r="A232" s="43" t="s">
        <v>766</v>
      </c>
      <c r="B232" s="40">
        <v>251</v>
      </c>
      <c r="C232" s="40">
        <v>4</v>
      </c>
      <c r="D232" s="40"/>
      <c r="E232" s="40"/>
      <c r="F232" s="40"/>
      <c r="G232" s="40">
        <v>100</v>
      </c>
      <c r="H232" s="40"/>
      <c r="I232" s="40">
        <v>1</v>
      </c>
      <c r="J232" s="40"/>
      <c r="K232" s="40">
        <v>1</v>
      </c>
      <c r="L232" s="40">
        <v>50</v>
      </c>
      <c r="M232" s="41">
        <v>200009</v>
      </c>
      <c r="N232" s="1" t="str">
        <f>IFERROR(INDEX([1]物品基础表!$A:$A,MATCH(M232,[1]物品基础表!$B:$B,0)),"")</f>
        <v>高级转生丹</v>
      </c>
      <c r="O232" s="41">
        <v>2</v>
      </c>
    </row>
    <row r="233" spans="1:15">
      <c r="A233" s="43" t="s">
        <v>766</v>
      </c>
      <c r="B233" s="40">
        <v>251</v>
      </c>
      <c r="C233" s="40">
        <v>5</v>
      </c>
      <c r="D233" s="40"/>
      <c r="E233" s="40"/>
      <c r="F233" s="40"/>
      <c r="G233" s="40">
        <v>200</v>
      </c>
      <c r="H233" s="40"/>
      <c r="I233" s="40">
        <v>1</v>
      </c>
      <c r="J233" s="40"/>
      <c r="K233" s="40">
        <v>1</v>
      </c>
      <c r="L233" s="40">
        <v>50</v>
      </c>
      <c r="M233" s="41">
        <v>202001</v>
      </c>
      <c r="N233" s="1" t="str">
        <f>IFERROR(INDEX([1]物品基础表!$A:$A,MATCH(M233,[1]物品基础表!$B:$B,0)),"")</f>
        <v>烈焰戒指技能1书</v>
      </c>
      <c r="O233" s="41">
        <v>1</v>
      </c>
    </row>
    <row r="234" spans="1:15">
      <c r="A234" s="43" t="s">
        <v>766</v>
      </c>
      <c r="B234" s="40">
        <v>251</v>
      </c>
      <c r="C234" s="40">
        <v>6</v>
      </c>
      <c r="D234" s="40"/>
      <c r="E234" s="40"/>
      <c r="F234" s="40"/>
      <c r="G234" s="40">
        <v>300</v>
      </c>
      <c r="H234" s="40"/>
      <c r="I234" s="40">
        <v>1</v>
      </c>
      <c r="J234" s="40"/>
      <c r="K234" s="40">
        <v>1</v>
      </c>
      <c r="L234" s="40">
        <v>50</v>
      </c>
      <c r="M234" s="41">
        <v>2</v>
      </c>
      <c r="N234" s="1" t="s">
        <v>7</v>
      </c>
      <c r="O234" s="41">
        <v>1000</v>
      </c>
    </row>
    <row r="235" spans="1:15">
      <c r="A235" s="43" t="s">
        <v>766</v>
      </c>
      <c r="B235" s="40">
        <v>251</v>
      </c>
      <c r="C235" s="40">
        <v>7</v>
      </c>
      <c r="D235" s="40"/>
      <c r="E235" s="40"/>
      <c r="F235" s="40"/>
      <c r="G235" s="40">
        <v>400</v>
      </c>
      <c r="H235" s="40"/>
      <c r="I235" s="40">
        <v>1</v>
      </c>
      <c r="J235" s="40"/>
      <c r="K235" s="40">
        <v>1</v>
      </c>
      <c r="L235" s="40">
        <v>50</v>
      </c>
      <c r="M235" s="41">
        <v>200910</v>
      </c>
      <c r="N235" s="1" t="str">
        <f>IFERROR(INDEX([1]物品基础表!$A:$A,MATCH(M235,[1]物品基础表!$B:$B,0)),"")</f>
        <v>紫色圣物宝箱</v>
      </c>
      <c r="O235" s="41">
        <v>1</v>
      </c>
    </row>
    <row r="236" spans="1:15">
      <c r="A236" s="43" t="s">
        <v>358</v>
      </c>
      <c r="B236" s="40">
        <v>310</v>
      </c>
      <c r="C236" s="40">
        <v>1</v>
      </c>
      <c r="D236" s="40"/>
      <c r="E236" s="40"/>
      <c r="F236" s="40"/>
      <c r="G236" s="40">
        <v>30000</v>
      </c>
      <c r="H236" s="40"/>
      <c r="I236" s="42">
        <v>5</v>
      </c>
      <c r="J236" s="40"/>
      <c r="K236" s="40"/>
      <c r="L236" s="40"/>
      <c r="M236" s="41">
        <v>220010</v>
      </c>
      <c r="N236" s="1" t="str">
        <f>IFERROR(INDEX([1]物品基础表!$A:$A,MATCH(M236,[1]物品基础表!$B:$B,0)),"")</f>
        <v>中级秘籍宝箱</v>
      </c>
      <c r="O236" s="41">
        <v>1</v>
      </c>
    </row>
    <row r="237" spans="1:15">
      <c r="A237" s="43" t="s">
        <v>358</v>
      </c>
      <c r="B237" s="40">
        <v>310</v>
      </c>
      <c r="C237" s="40">
        <v>2</v>
      </c>
      <c r="D237" s="40"/>
      <c r="E237" s="40"/>
      <c r="F237" s="40"/>
      <c r="G237" s="40">
        <v>1500</v>
      </c>
      <c r="H237" s="40"/>
      <c r="I237" s="42">
        <v>50</v>
      </c>
      <c r="J237" s="40"/>
      <c r="K237" s="40"/>
      <c r="L237" s="40"/>
      <c r="M237" s="41">
        <v>200005</v>
      </c>
      <c r="N237" s="1" t="str">
        <f>IFERROR(INDEX([1]物品基础表!$A:$A,MATCH(M237,[1]物品基础表!$B:$B,0)),"")</f>
        <v>龙魂碎片</v>
      </c>
      <c r="O237" s="41">
        <v>1</v>
      </c>
    </row>
    <row r="238" spans="1:15">
      <c r="A238" s="43" t="s">
        <v>358</v>
      </c>
      <c r="B238" s="40">
        <v>310</v>
      </c>
      <c r="C238" s="40">
        <v>3</v>
      </c>
      <c r="D238" s="40"/>
      <c r="E238" s="40"/>
      <c r="F238" s="40"/>
      <c r="G238" s="40">
        <v>10000</v>
      </c>
      <c r="H238" s="40"/>
      <c r="I238" s="42">
        <v>5</v>
      </c>
      <c r="J238" s="40"/>
      <c r="K238" s="40"/>
      <c r="L238" s="40"/>
      <c r="M238" s="41">
        <v>200905</v>
      </c>
      <c r="N238" s="1" t="str">
        <f>IFERROR(INDEX([1]物品基础表!$A:$A,MATCH(M238,[1]物品基础表!$B:$B,0)),"")</f>
        <v>BOSS积分宝盒</v>
      </c>
      <c r="O238" s="41">
        <v>1</v>
      </c>
    </row>
    <row r="239" spans="1:15">
      <c r="A239" s="43" t="s">
        <v>358</v>
      </c>
      <c r="B239" s="40">
        <v>310</v>
      </c>
      <c r="C239" s="40">
        <v>4</v>
      </c>
      <c r="D239" s="40"/>
      <c r="E239" s="40"/>
      <c r="F239" s="40"/>
      <c r="G239" s="40">
        <v>7000</v>
      </c>
      <c r="H239" s="40"/>
      <c r="I239" s="42">
        <v>5</v>
      </c>
      <c r="J239" s="40"/>
      <c r="K239" s="40"/>
      <c r="L239" s="40"/>
      <c r="M239" s="41">
        <v>200157</v>
      </c>
      <c r="N239" s="1" t="str">
        <f>IFERROR(INDEX([1]物品基础表!$A:$A,MATCH(M239,[1]物品基础表!$B:$B,0)),"")</f>
        <v>秘境BOSS次数卷轴</v>
      </c>
      <c r="O239" s="41">
        <v>1</v>
      </c>
    </row>
    <row r="240" spans="1:15">
      <c r="A240" s="43" t="s">
        <v>358</v>
      </c>
      <c r="B240" s="40">
        <v>310</v>
      </c>
      <c r="C240" s="40">
        <v>5</v>
      </c>
      <c r="D240" s="40"/>
      <c r="E240" s="40"/>
      <c r="F240" s="40"/>
      <c r="G240" s="40">
        <v>2500</v>
      </c>
      <c r="H240" s="40"/>
      <c r="I240" s="42">
        <v>15</v>
      </c>
      <c r="J240" s="40"/>
      <c r="K240" s="40"/>
      <c r="L240" s="40"/>
      <c r="M240" s="41">
        <v>200156</v>
      </c>
      <c r="N240" s="1" t="str">
        <f>IFERROR(INDEX([1]物品基础表!$A:$A,MATCH(M240,[1]物品基础表!$B:$B,0)),"")</f>
        <v>野外BOSS次数卷轴</v>
      </c>
      <c r="O240" s="41">
        <v>1</v>
      </c>
    </row>
    <row r="241" spans="1:15">
      <c r="A241" s="43" t="s">
        <v>358</v>
      </c>
      <c r="B241" s="40">
        <v>310</v>
      </c>
      <c r="C241" s="40">
        <v>6</v>
      </c>
      <c r="D241" s="40"/>
      <c r="E241" s="40"/>
      <c r="F241" s="40"/>
      <c r="G241" s="40">
        <v>2000</v>
      </c>
      <c r="H241" s="40"/>
      <c r="I241" s="42">
        <v>5</v>
      </c>
      <c r="J241" s="40"/>
      <c r="K241" s="40"/>
      <c r="L241" s="40"/>
      <c r="M241" s="41">
        <v>201002</v>
      </c>
      <c r="N241" s="1" t="str">
        <f>IFERROR(INDEX([1]物品基础表!$A:$A,MATCH(M241,[1]物品基础表!$B:$B,0)),"")</f>
        <v>神秘钥匙</v>
      </c>
      <c r="O241" s="41">
        <v>1</v>
      </c>
    </row>
    <row r="242" spans="1:15">
      <c r="A242" s="43" t="s">
        <v>358</v>
      </c>
      <c r="B242" s="40">
        <v>310</v>
      </c>
      <c r="C242" s="40">
        <v>7</v>
      </c>
      <c r="D242" s="40"/>
      <c r="E242" s="40"/>
      <c r="F242" s="40"/>
      <c r="G242" s="40">
        <v>2000</v>
      </c>
      <c r="H242" s="40"/>
      <c r="I242" s="40">
        <v>15</v>
      </c>
      <c r="J242" s="40"/>
      <c r="K242" s="40"/>
      <c r="L242" s="40"/>
      <c r="M242" s="41">
        <v>200164</v>
      </c>
      <c r="N242" s="1" t="str">
        <f>IFERROR(INDEX([1]物品基础表!$A:$A,MATCH(M242,[1]物品基础表!$B:$B,0)),"")</f>
        <v>金砖</v>
      </c>
      <c r="O242" s="41">
        <v>1</v>
      </c>
    </row>
    <row r="243" spans="1:15">
      <c r="A243" s="43" t="s">
        <v>358</v>
      </c>
      <c r="B243" s="40">
        <v>310</v>
      </c>
      <c r="C243" s="40">
        <v>8</v>
      </c>
      <c r="D243" s="40"/>
      <c r="E243" s="40"/>
      <c r="F243" s="40"/>
      <c r="G243" s="40">
        <v>2500</v>
      </c>
      <c r="H243" s="40"/>
      <c r="I243" s="40"/>
      <c r="J243" s="40"/>
      <c r="K243" s="40"/>
      <c r="L243" s="40"/>
      <c r="M243" s="41">
        <v>200167</v>
      </c>
      <c r="N243" s="1" t="str">
        <f>IFERROR(INDEX([1]物品基础表!$A:$A,MATCH(M243,[1]物品基础表!$B:$B,0)),"")</f>
        <v>黑铁</v>
      </c>
      <c r="O243" s="41">
        <v>100</v>
      </c>
    </row>
    <row r="244" spans="1:15">
      <c r="A244" s="43" t="s">
        <v>767</v>
      </c>
      <c r="B244" s="40">
        <v>403</v>
      </c>
      <c r="C244" s="40">
        <v>1</v>
      </c>
      <c r="D244" s="40"/>
      <c r="E244" s="40"/>
      <c r="F244" s="40" t="s">
        <v>768</v>
      </c>
      <c r="G244" s="40"/>
      <c r="H244" s="40">
        <v>20</v>
      </c>
      <c r="I244" s="40"/>
      <c r="J244" s="40"/>
      <c r="K244" s="40"/>
      <c r="L244" s="40"/>
      <c r="M244" s="41">
        <v>204112</v>
      </c>
      <c r="N244" s="1" t="str">
        <f>IFERROR(INDEX([1]物品基础表!$A:$A,MATCH(M244,[1]物品基础表!$B:$B,0)),"")</f>
        <v>高级腊八粥</v>
      </c>
      <c r="O244" s="41">
        <v>1</v>
      </c>
    </row>
    <row r="245" spans="1:15">
      <c r="A245" s="43" t="s">
        <v>767</v>
      </c>
      <c r="B245" s="40">
        <v>403</v>
      </c>
      <c r="C245" s="40">
        <v>2</v>
      </c>
      <c r="D245" s="40"/>
      <c r="E245" s="40"/>
      <c r="F245" s="40" t="s">
        <v>769</v>
      </c>
      <c r="G245" s="40"/>
      <c r="H245" s="40">
        <v>40</v>
      </c>
      <c r="I245" s="40"/>
      <c r="J245" s="40"/>
      <c r="K245" s="40"/>
      <c r="L245" s="40"/>
      <c r="M245" s="41">
        <v>204111</v>
      </c>
      <c r="N245" s="1" t="str">
        <f>IFERROR(INDEX([1]物品基础表!$A:$A,MATCH(M245,[1]物品基础表!$B:$B,0)),"")</f>
        <v>腊八粥</v>
      </c>
      <c r="O245" s="41">
        <v>1</v>
      </c>
    </row>
    <row r="246" spans="1:15">
      <c r="A246" s="43" t="s">
        <v>767</v>
      </c>
      <c r="B246" s="40">
        <v>403</v>
      </c>
      <c r="C246" s="40">
        <v>3</v>
      </c>
      <c r="D246" s="40"/>
      <c r="E246" s="40"/>
      <c r="F246" s="40" t="s">
        <v>770</v>
      </c>
      <c r="G246" s="40"/>
      <c r="H246" s="40">
        <v>100</v>
      </c>
      <c r="I246" s="40"/>
      <c r="J246" s="40"/>
      <c r="K246" s="40"/>
      <c r="L246" s="40"/>
      <c r="M246" s="41">
        <v>200015</v>
      </c>
      <c r="N246" s="1" t="str">
        <f>IFERROR(INDEX([1]物品基础表!$A:$A,MATCH(M246,[1]物品基础表!$B:$B,0)),"")</f>
        <v>特戒碎片</v>
      </c>
      <c r="O246" s="41">
        <v>5</v>
      </c>
    </row>
    <row r="247" spans="1:15">
      <c r="A247" s="43" t="s">
        <v>767</v>
      </c>
      <c r="B247" s="40">
        <v>403</v>
      </c>
      <c r="C247" s="40">
        <v>4</v>
      </c>
      <c r="D247" s="40"/>
      <c r="E247" s="40"/>
      <c r="F247" s="40" t="s">
        <v>771</v>
      </c>
      <c r="G247" s="40"/>
      <c r="H247" s="40">
        <v>100</v>
      </c>
      <c r="I247" s="40"/>
      <c r="J247" s="40"/>
      <c r="K247" s="40"/>
      <c r="L247" s="40"/>
      <c r="M247" s="41">
        <v>500004</v>
      </c>
      <c r="N247" s="1" t="str">
        <f>IFERROR(INDEX([1]物品基础表!$A:$A,MATCH(M247,[1]物品基础表!$B:$B,0)),"")</f>
        <v>战纹精华-橙</v>
      </c>
      <c r="O247" s="41">
        <v>2</v>
      </c>
    </row>
    <row r="248" spans="1:15">
      <c r="A248" s="43" t="s">
        <v>687</v>
      </c>
      <c r="B248" s="40">
        <v>327</v>
      </c>
      <c r="C248" s="40">
        <v>1</v>
      </c>
      <c r="D248" s="40">
        <v>200320</v>
      </c>
      <c r="E248" s="40">
        <v>2500</v>
      </c>
      <c r="F248" s="40"/>
      <c r="G248" s="40"/>
      <c r="H248" s="40"/>
      <c r="I248" s="40">
        <v>1</v>
      </c>
      <c r="J248" s="40"/>
      <c r="K248" s="40"/>
      <c r="L248" s="40"/>
      <c r="M248" s="41">
        <v>600012</v>
      </c>
      <c r="N248" s="1" t="str">
        <f>IFERROR(INDEX([1]物品基础表!$A:$A,MATCH(M248,[1]物品基础表!$B:$B,0)),"")</f>
        <v>8阶官印</v>
      </c>
      <c r="O248" s="41">
        <v>1</v>
      </c>
    </row>
    <row r="249" spans="1:15">
      <c r="A249" s="43" t="s">
        <v>687</v>
      </c>
      <c r="B249" s="40">
        <v>327</v>
      </c>
      <c r="C249" s="40">
        <v>2</v>
      </c>
      <c r="D249" s="40">
        <v>200320</v>
      </c>
      <c r="E249" s="40">
        <v>800</v>
      </c>
      <c r="F249" s="40"/>
      <c r="G249" s="40"/>
      <c r="H249" s="40"/>
      <c r="I249" s="40">
        <v>1</v>
      </c>
      <c r="J249" s="40"/>
      <c r="K249" s="40"/>
      <c r="L249" s="40"/>
      <c r="M249" s="41">
        <v>900004</v>
      </c>
      <c r="N249" s="1" t="str">
        <f>IFERROR(INDEX([1]物品基础表!$A:$A,MATCH(M249,[1]物品基础表!$B:$B,0)),"")</f>
        <v>泳池伞</v>
      </c>
      <c r="O249" s="41">
        <v>1</v>
      </c>
    </row>
    <row r="250" spans="1:15">
      <c r="A250" s="43" t="s">
        <v>687</v>
      </c>
      <c r="B250" s="40">
        <v>327</v>
      </c>
      <c r="C250" s="40">
        <v>3</v>
      </c>
      <c r="D250" s="40">
        <v>200320</v>
      </c>
      <c r="E250" s="40">
        <v>600</v>
      </c>
      <c r="F250" s="40"/>
      <c r="G250" s="40"/>
      <c r="H250" s="40"/>
      <c r="I250" s="40">
        <v>1</v>
      </c>
      <c r="J250" s="40"/>
      <c r="K250" s="40"/>
      <c r="L250" s="40"/>
      <c r="M250" s="41">
        <v>900005</v>
      </c>
      <c r="N250" s="1" t="str">
        <f>IFERROR(INDEX([1]物品基础表!$A:$A,MATCH(M250,[1]物品基础表!$B:$B,0)),"")</f>
        <v>夏日狂欢</v>
      </c>
      <c r="O250" s="41">
        <v>1</v>
      </c>
    </row>
    <row r="251" spans="1:15">
      <c r="A251" s="43" t="s">
        <v>687</v>
      </c>
      <c r="B251" s="40">
        <v>327</v>
      </c>
      <c r="C251" s="40">
        <v>4</v>
      </c>
      <c r="D251" s="40">
        <v>200320</v>
      </c>
      <c r="E251" s="40">
        <v>500</v>
      </c>
      <c r="F251" s="40"/>
      <c r="G251" s="40"/>
      <c r="H251" s="40"/>
      <c r="I251" s="40">
        <v>1</v>
      </c>
      <c r="J251" s="40"/>
      <c r="K251" s="40"/>
      <c r="L251" s="40"/>
      <c r="M251" s="41">
        <v>900011</v>
      </c>
      <c r="N251" s="1" t="str">
        <f>IFERROR(INDEX([1]物品基础表!$A:$A,MATCH(M251,[1]物品基础表!$B:$B,0)),"")</f>
        <v>蝶舞轻扬</v>
      </c>
      <c r="O251" s="41">
        <v>1</v>
      </c>
    </row>
    <row r="252" spans="1:15">
      <c r="A252" s="43" t="s">
        <v>687</v>
      </c>
      <c r="B252" s="40">
        <v>327</v>
      </c>
      <c r="C252" s="40">
        <v>5</v>
      </c>
      <c r="D252" s="40">
        <v>200320</v>
      </c>
      <c r="E252" s="40">
        <v>500</v>
      </c>
      <c r="F252" s="40"/>
      <c r="G252" s="40"/>
      <c r="H252" s="40"/>
      <c r="I252" s="40">
        <v>1</v>
      </c>
      <c r="J252" s="40"/>
      <c r="K252" s="40"/>
      <c r="L252" s="40"/>
      <c r="M252" s="41">
        <v>200327</v>
      </c>
      <c r="N252" s="1" t="str">
        <f>IFERROR(INDEX([1]物品基础表!$A:$A,MATCH(M252,[1]物品基础表!$B:$B,0)),"")</f>
        <v>圣诞树</v>
      </c>
      <c r="O252" s="41">
        <v>1</v>
      </c>
    </row>
    <row r="253" spans="1:15">
      <c r="A253" s="43" t="s">
        <v>687</v>
      </c>
      <c r="B253" s="40">
        <v>327</v>
      </c>
      <c r="C253" s="40">
        <v>6</v>
      </c>
      <c r="D253" s="40">
        <v>200320</v>
      </c>
      <c r="E253" s="40">
        <v>500</v>
      </c>
      <c r="F253" s="40"/>
      <c r="G253" s="40"/>
      <c r="H253" s="40"/>
      <c r="I253" s="40">
        <v>1</v>
      </c>
      <c r="J253" s="40"/>
      <c r="K253" s="40"/>
      <c r="L253" s="40"/>
      <c r="M253" s="41">
        <v>900003</v>
      </c>
      <c r="N253" s="1" t="str">
        <f>IFERROR(INDEX([1]物品基础表!$A:$A,MATCH(M253,[1]物品基础表!$B:$B,0)),"")</f>
        <v>圣诞老人</v>
      </c>
      <c r="O253" s="41">
        <v>1</v>
      </c>
    </row>
    <row r="254" spans="1:15">
      <c r="A254" s="43" t="s">
        <v>687</v>
      </c>
      <c r="B254" s="40">
        <v>327</v>
      </c>
      <c r="C254" s="40">
        <v>7</v>
      </c>
      <c r="D254" s="40">
        <v>200320</v>
      </c>
      <c r="E254" s="40">
        <v>500</v>
      </c>
      <c r="F254" s="40"/>
      <c r="G254" s="40"/>
      <c r="H254" s="40"/>
      <c r="I254" s="40">
        <v>1</v>
      </c>
      <c r="J254" s="40"/>
      <c r="K254" s="40"/>
      <c r="L254" s="40"/>
      <c r="M254" s="41">
        <v>900012</v>
      </c>
      <c r="N254" s="1" t="str">
        <f>IFERROR(INDEX([1]物品基础表!$A:$A,MATCH(M254,[1]物品基础表!$B:$B,0)),"")</f>
        <v>天使之翼</v>
      </c>
      <c r="O254" s="41">
        <v>1</v>
      </c>
    </row>
    <row r="255" spans="1:15">
      <c r="A255" s="43" t="s">
        <v>687</v>
      </c>
      <c r="B255" s="40">
        <v>327</v>
      </c>
      <c r="C255" s="40">
        <v>8</v>
      </c>
      <c r="D255" s="40">
        <v>200320</v>
      </c>
      <c r="E255" s="40">
        <v>300</v>
      </c>
      <c r="F255" s="40"/>
      <c r="G255" s="40"/>
      <c r="H255" s="40"/>
      <c r="I255" s="40">
        <v>1</v>
      </c>
      <c r="J255" s="40"/>
      <c r="K255" s="40"/>
      <c r="L255" s="40"/>
      <c r="M255" s="41">
        <v>900001</v>
      </c>
      <c r="N255" s="1" t="str">
        <f>IFERROR(INDEX([1]物品基础表!$A:$A,MATCH(M255,[1]物品基础表!$B:$B,0)),"")</f>
        <v>摸金校尉</v>
      </c>
      <c r="O255" s="41">
        <v>1</v>
      </c>
    </row>
    <row r="256" spans="1:15">
      <c r="A256" s="43" t="s">
        <v>687</v>
      </c>
      <c r="B256" s="40">
        <v>327</v>
      </c>
      <c r="C256" s="40">
        <v>9</v>
      </c>
      <c r="D256" s="40">
        <v>200320</v>
      </c>
      <c r="E256" s="40">
        <v>200</v>
      </c>
      <c r="F256" s="40"/>
      <c r="G256" s="40"/>
      <c r="H256" s="40"/>
      <c r="I256" s="40">
        <v>1</v>
      </c>
      <c r="J256" s="40"/>
      <c r="K256" s="40"/>
      <c r="L256" s="40"/>
      <c r="M256" s="41">
        <v>200113</v>
      </c>
      <c r="N256" s="1" t="str">
        <f>IFERROR(INDEX([1]物品基础表!$A:$A,MATCH(M256,[1]物品基础表!$B:$B,0)),"")</f>
        <v>暗黑战神</v>
      </c>
      <c r="O256" s="41">
        <v>1</v>
      </c>
    </row>
    <row r="257" spans="1:15">
      <c r="A257" s="43" t="s">
        <v>687</v>
      </c>
      <c r="B257" s="40">
        <v>327</v>
      </c>
      <c r="C257" s="40">
        <v>10</v>
      </c>
      <c r="D257" s="40">
        <v>200320</v>
      </c>
      <c r="E257" s="40">
        <v>800</v>
      </c>
      <c r="F257" s="40"/>
      <c r="G257" s="40"/>
      <c r="H257" s="40"/>
      <c r="I257" s="40">
        <v>1</v>
      </c>
      <c r="J257" s="40"/>
      <c r="K257" s="40"/>
      <c r="L257" s="40"/>
      <c r="M257" s="41">
        <v>200326</v>
      </c>
      <c r="N257" s="1" t="str">
        <f>IFERROR(INDEX([1]物品基础表!$A:$A,MATCH(M257,[1]物品基础表!$B:$B,0)),"")</f>
        <v>兵魂之灵</v>
      </c>
      <c r="O257" s="41">
        <v>1</v>
      </c>
    </row>
    <row r="258" spans="1:15">
      <c r="A258" s="43" t="s">
        <v>687</v>
      </c>
      <c r="B258" s="40">
        <v>327</v>
      </c>
      <c r="C258" s="40">
        <v>11</v>
      </c>
      <c r="D258" s="40">
        <v>200320</v>
      </c>
      <c r="E258" s="40">
        <v>2400</v>
      </c>
      <c r="F258" s="40"/>
      <c r="G258" s="40"/>
      <c r="H258" s="40"/>
      <c r="I258" s="40">
        <v>1</v>
      </c>
      <c r="J258" s="40"/>
      <c r="K258" s="40"/>
      <c r="L258" s="40"/>
      <c r="M258" s="41">
        <v>410001</v>
      </c>
      <c r="N258" s="1" t="str">
        <f>IFERROR(INDEX([1]物品基础表!$A:$A,MATCH(M258,[1]物品基础表!$B:$B,0)),"")</f>
        <v>上古魔魂斗笠</v>
      </c>
      <c r="O258" s="41">
        <v>1</v>
      </c>
    </row>
    <row r="259" spans="1:15">
      <c r="A259" s="43" t="s">
        <v>687</v>
      </c>
      <c r="B259" s="40">
        <v>327</v>
      </c>
      <c r="C259" s="40">
        <v>12</v>
      </c>
      <c r="D259" s="40">
        <v>200320</v>
      </c>
      <c r="E259" s="40">
        <v>1600</v>
      </c>
      <c r="F259" s="40"/>
      <c r="G259" s="40"/>
      <c r="H259" s="40"/>
      <c r="I259" s="40">
        <v>1</v>
      </c>
      <c r="J259" s="40"/>
      <c r="K259" s="40"/>
      <c r="L259" s="40"/>
      <c r="M259" s="41">
        <v>410002</v>
      </c>
      <c r="N259" s="1" t="str">
        <f>IFERROR(INDEX([1]物品基础表!$A:$A,MATCH(M259,[1]物品基础表!$B:$B,0)),"")</f>
        <v>上古魔魂面甲</v>
      </c>
      <c r="O259" s="41">
        <v>1</v>
      </c>
    </row>
    <row r="260" spans="1:15">
      <c r="A260" s="43" t="s">
        <v>687</v>
      </c>
      <c r="B260" s="40">
        <v>327</v>
      </c>
      <c r="C260" s="40">
        <v>13</v>
      </c>
      <c r="D260" s="40">
        <v>200320</v>
      </c>
      <c r="E260" s="40">
        <v>1600</v>
      </c>
      <c r="F260" s="40"/>
      <c r="G260" s="40"/>
      <c r="H260" s="40"/>
      <c r="I260" s="40">
        <v>1</v>
      </c>
      <c r="J260" s="40"/>
      <c r="K260" s="40"/>
      <c r="L260" s="40"/>
      <c r="M260" s="41">
        <v>410003</v>
      </c>
      <c r="N260" s="1" t="str">
        <f>IFERROR(INDEX([1]物品基础表!$A:$A,MATCH(M260,[1]物品基础表!$B:$B,0)),"")</f>
        <v>上古魔魂披风</v>
      </c>
      <c r="O260" s="41">
        <v>1</v>
      </c>
    </row>
    <row r="261" spans="1:15">
      <c r="A261" s="43" t="s">
        <v>687</v>
      </c>
      <c r="B261" s="40">
        <v>327</v>
      </c>
      <c r="C261" s="40">
        <v>14</v>
      </c>
      <c r="D261" s="40">
        <v>200320</v>
      </c>
      <c r="E261" s="40">
        <v>1600</v>
      </c>
      <c r="F261" s="40"/>
      <c r="G261" s="40"/>
      <c r="H261" s="40"/>
      <c r="I261" s="40">
        <v>1</v>
      </c>
      <c r="J261" s="40"/>
      <c r="K261" s="40"/>
      <c r="L261" s="40"/>
      <c r="M261" s="41">
        <v>410004</v>
      </c>
      <c r="N261" s="1" t="str">
        <f>IFERROR(INDEX([1]物品基础表!$A:$A,MATCH(M261,[1]物品基础表!$B:$B,0)),"")</f>
        <v>上古魔魂盾牌</v>
      </c>
      <c r="O261" s="41">
        <v>1</v>
      </c>
    </row>
    <row r="262" spans="1:15">
      <c r="A262" s="43" t="s">
        <v>687</v>
      </c>
      <c r="B262" s="40">
        <v>327</v>
      </c>
      <c r="C262" s="40">
        <v>15</v>
      </c>
      <c r="D262" s="40">
        <v>200320</v>
      </c>
      <c r="E262" s="40">
        <v>180</v>
      </c>
      <c r="F262" s="40"/>
      <c r="G262" s="40"/>
      <c r="H262" s="40"/>
      <c r="I262" s="40">
        <v>3</v>
      </c>
      <c r="J262" s="40"/>
      <c r="K262" s="40"/>
      <c r="L262" s="40"/>
      <c r="M262" s="41">
        <v>200925</v>
      </c>
      <c r="N262" s="1" t="str">
        <f>IFERROR(INDEX([1]物品基础表!$A:$A,MATCH(M262,[1]物品基础表!$B:$B,0)),"")</f>
        <v>红色战纹任选宝箱</v>
      </c>
      <c r="O262" s="41">
        <v>1</v>
      </c>
    </row>
    <row r="263" spans="1:15">
      <c r="A263" s="43" t="s">
        <v>687</v>
      </c>
      <c r="B263" s="40">
        <v>327</v>
      </c>
      <c r="C263" s="40">
        <v>16</v>
      </c>
      <c r="D263" s="40">
        <v>200320</v>
      </c>
      <c r="E263" s="40">
        <v>300</v>
      </c>
      <c r="F263" s="40"/>
      <c r="G263" s="40"/>
      <c r="H263" s="40"/>
      <c r="I263" s="40">
        <v>5</v>
      </c>
      <c r="J263" s="40"/>
      <c r="K263" s="40"/>
      <c r="L263" s="40"/>
      <c r="M263" s="41">
        <v>220011</v>
      </c>
      <c r="N263" s="1" t="str">
        <f>IFERROR(INDEX([1]物品基础表!$A:$A,MATCH(M263,[1]物品基础表!$B:$B,0)),"")</f>
        <v>高级秘籍宝箱</v>
      </c>
      <c r="O263" s="41">
        <v>1</v>
      </c>
    </row>
    <row r="264" spans="1:15">
      <c r="A264" s="43" t="s">
        <v>687</v>
      </c>
      <c r="B264" s="40">
        <v>327</v>
      </c>
      <c r="C264" s="40">
        <v>17</v>
      </c>
      <c r="D264" s="40">
        <v>200320</v>
      </c>
      <c r="E264" s="40">
        <v>200</v>
      </c>
      <c r="F264" s="40"/>
      <c r="G264" s="40"/>
      <c r="H264" s="40"/>
      <c r="I264" s="40">
        <v>1</v>
      </c>
      <c r="J264" s="40"/>
      <c r="K264" s="40"/>
      <c r="L264" s="40"/>
      <c r="M264" s="41">
        <v>200325</v>
      </c>
      <c r="N264" s="1" t="str">
        <f>IFERROR(INDEX([1]物品基础表!$A:$A,MATCH(M264,[1]物品基础表!$B:$B,0)),"")</f>
        <v>极品如意圣魂（战法道）</v>
      </c>
      <c r="O264" s="41">
        <v>1</v>
      </c>
    </row>
    <row r="265" spans="1:15">
      <c r="A265" s="43" t="s">
        <v>687</v>
      </c>
      <c r="B265" s="40">
        <v>327</v>
      </c>
      <c r="C265" s="40">
        <v>18</v>
      </c>
      <c r="D265" s="40">
        <v>200320</v>
      </c>
      <c r="E265" s="40">
        <v>80</v>
      </c>
      <c r="F265" s="40"/>
      <c r="G265" s="40"/>
      <c r="H265" s="40"/>
      <c r="I265" s="40">
        <v>5</v>
      </c>
      <c r="J265" s="40"/>
      <c r="K265" s="40"/>
      <c r="L265" s="40"/>
      <c r="M265" s="41">
        <v>202003</v>
      </c>
      <c r="N265" s="1" t="str">
        <f>IFERROR(INDEX([1]物品基础表!$A:$A,MATCH(M265,[1]物品基础表!$B:$B,0)),"")</f>
        <v>烈焰戒指技能3书</v>
      </c>
      <c r="O265" s="41">
        <v>1</v>
      </c>
    </row>
    <row r="266" spans="1:15">
      <c r="A266" s="43" t="s">
        <v>687</v>
      </c>
      <c r="B266" s="40">
        <v>327</v>
      </c>
      <c r="C266" s="40">
        <v>19</v>
      </c>
      <c r="D266" s="40">
        <v>200320</v>
      </c>
      <c r="E266" s="40">
        <v>15</v>
      </c>
      <c r="F266" s="40"/>
      <c r="G266" s="40"/>
      <c r="H266" s="40"/>
      <c r="I266" s="40">
        <v>5</v>
      </c>
      <c r="J266" s="40"/>
      <c r="K266" s="40"/>
      <c r="L266" s="40"/>
      <c r="M266" s="41">
        <v>200157</v>
      </c>
      <c r="N266" s="1" t="str">
        <f>IFERROR(INDEX([1]物品基础表!$A:$A,MATCH(M266,[1]物品基础表!$B:$B,0)),"")</f>
        <v>秘境BOSS次数卷轴</v>
      </c>
      <c r="O266" s="41">
        <v>1</v>
      </c>
    </row>
    <row r="267" spans="1:15">
      <c r="A267" s="43" t="s">
        <v>687</v>
      </c>
      <c r="B267" s="40">
        <v>327</v>
      </c>
      <c r="C267" s="40">
        <v>20</v>
      </c>
      <c r="D267" s="40">
        <v>200320</v>
      </c>
      <c r="E267" s="40">
        <v>10</v>
      </c>
      <c r="F267" s="40"/>
      <c r="G267" s="40"/>
      <c r="H267" s="40"/>
      <c r="I267" s="40">
        <v>50</v>
      </c>
      <c r="J267" s="40"/>
      <c r="K267" s="40"/>
      <c r="L267" s="40"/>
      <c r="M267" s="41">
        <v>205000</v>
      </c>
      <c r="N267" s="1" t="str">
        <f>IFERROR(INDEX([1]物品基础表!$A:$A,MATCH(M267,[1]物品基础表!$B:$B,0)),"")</f>
        <v>战灵进阶丹</v>
      </c>
      <c r="O267" s="41">
        <v>10</v>
      </c>
    </row>
    <row r="268" spans="1:15">
      <c r="A268" s="43" t="s">
        <v>687</v>
      </c>
      <c r="B268" s="40">
        <v>327</v>
      </c>
      <c r="C268" s="40">
        <v>21</v>
      </c>
      <c r="D268" s="40">
        <v>200320</v>
      </c>
      <c r="E268" s="40">
        <v>10</v>
      </c>
      <c r="F268" s="40"/>
      <c r="G268" s="40"/>
      <c r="H268" s="40"/>
      <c r="I268" s="40"/>
      <c r="J268" s="40"/>
      <c r="K268" s="40"/>
      <c r="L268" s="40"/>
      <c r="M268" s="41">
        <v>200167</v>
      </c>
      <c r="N268" s="1" t="str">
        <f>IFERROR(INDEX([1]物品基础表!$A:$A,MATCH(M268,[1]物品基础表!$B:$B,0)),"")</f>
        <v>黑铁</v>
      </c>
      <c r="O268" s="41">
        <v>200</v>
      </c>
    </row>
    <row r="269" spans="1:15">
      <c r="A269" s="43" t="s">
        <v>687</v>
      </c>
      <c r="B269" s="40">
        <v>327</v>
      </c>
      <c r="C269" s="40">
        <v>22</v>
      </c>
      <c r="D269" s="40">
        <v>200320</v>
      </c>
      <c r="E269" s="40">
        <v>1</v>
      </c>
      <c r="F269" s="40"/>
      <c r="G269" s="40"/>
      <c r="H269" s="40"/>
      <c r="I269" s="40"/>
      <c r="J269" s="40"/>
      <c r="K269" s="40"/>
      <c r="L269" s="40"/>
      <c r="M269" s="41">
        <v>200015</v>
      </c>
      <c r="N269" s="1" t="str">
        <f>IFERROR(INDEX([1]物品基础表!$A:$A,MATCH(M269,[1]物品基础表!$B:$B,0)),"")</f>
        <v>特戒碎片</v>
      </c>
      <c r="O269" s="41">
        <v>5</v>
      </c>
    </row>
    <row r="270" spans="1:15">
      <c r="A270" s="43" t="s">
        <v>772</v>
      </c>
      <c r="B270" s="40">
        <v>333</v>
      </c>
      <c r="C270" s="40">
        <v>1</v>
      </c>
      <c r="D270" s="40"/>
      <c r="E270" s="40"/>
      <c r="F270" s="40"/>
      <c r="G270" s="40">
        <v>1000</v>
      </c>
      <c r="H270" s="40"/>
      <c r="I270" s="42">
        <v>50</v>
      </c>
      <c r="J270" s="40"/>
      <c r="K270" s="40"/>
      <c r="L270" s="40"/>
      <c r="M270" s="41">
        <v>200320</v>
      </c>
      <c r="N270" s="1" t="str">
        <f>IFERROR(INDEX([1]物品基础表!$A:$A,MATCH(M270,[1]物品基础表!$B:$B,0)),"")</f>
        <v>至尊令牌</v>
      </c>
      <c r="O270" s="41">
        <v>1</v>
      </c>
    </row>
    <row r="271" spans="1:15">
      <c r="A271" s="43" t="s">
        <v>772</v>
      </c>
      <c r="B271" s="40">
        <v>333</v>
      </c>
      <c r="C271" s="40">
        <v>2</v>
      </c>
      <c r="D271" s="40"/>
      <c r="E271" s="40"/>
      <c r="F271" s="40"/>
      <c r="G271" s="40">
        <v>1500</v>
      </c>
      <c r="H271" s="40"/>
      <c r="I271" s="42">
        <v>100</v>
      </c>
      <c r="J271" s="40"/>
      <c r="K271" s="40"/>
      <c r="L271" s="40"/>
      <c r="M271" s="41">
        <v>200005</v>
      </c>
      <c r="N271" s="1" t="str">
        <f>IFERROR(INDEX([1]物品基础表!$A:$A,MATCH(M271,[1]物品基础表!$B:$B,0)),"")</f>
        <v>龙魂碎片</v>
      </c>
      <c r="O271" s="41">
        <v>1</v>
      </c>
    </row>
    <row r="272" spans="1:15">
      <c r="A272" s="43" t="s">
        <v>772</v>
      </c>
      <c r="B272" s="40">
        <v>333</v>
      </c>
      <c r="C272" s="40">
        <v>3</v>
      </c>
      <c r="D272" s="40"/>
      <c r="E272" s="40"/>
      <c r="F272" s="40"/>
      <c r="G272" s="40">
        <v>10000</v>
      </c>
      <c r="H272" s="40"/>
      <c r="I272" s="42">
        <v>5</v>
      </c>
      <c r="J272" s="40"/>
      <c r="K272" s="40"/>
      <c r="L272" s="40"/>
      <c r="M272" s="41">
        <v>200905</v>
      </c>
      <c r="N272" s="1" t="str">
        <f>IFERROR(INDEX([1]物品基础表!$A:$A,MATCH(M272,[1]物品基础表!$B:$B,0)),"")</f>
        <v>BOSS积分宝盒</v>
      </c>
      <c r="O272" s="41">
        <v>1</v>
      </c>
    </row>
    <row r="273" spans="1:15">
      <c r="A273" s="43" t="s">
        <v>772</v>
      </c>
      <c r="B273" s="40">
        <v>333</v>
      </c>
      <c r="C273" s="40">
        <v>4</v>
      </c>
      <c r="D273" s="40"/>
      <c r="E273" s="40"/>
      <c r="F273" s="40"/>
      <c r="G273" s="40">
        <v>7000</v>
      </c>
      <c r="H273" s="40"/>
      <c r="I273" s="42">
        <v>5</v>
      </c>
      <c r="J273" s="40"/>
      <c r="K273" s="40"/>
      <c r="L273" s="40"/>
      <c r="M273" s="41">
        <v>200157</v>
      </c>
      <c r="N273" s="1" t="str">
        <f>IFERROR(INDEX([1]物品基础表!$A:$A,MATCH(M273,[1]物品基础表!$B:$B,0)),"")</f>
        <v>秘境BOSS次数卷轴</v>
      </c>
      <c r="O273" s="41">
        <v>1</v>
      </c>
    </row>
    <row r="274" spans="1:15">
      <c r="A274" s="43" t="s">
        <v>772</v>
      </c>
      <c r="B274" s="40">
        <v>333</v>
      </c>
      <c r="C274" s="40">
        <v>5</v>
      </c>
      <c r="D274" s="40"/>
      <c r="E274" s="40"/>
      <c r="F274" s="40"/>
      <c r="G274" s="40">
        <v>2500</v>
      </c>
      <c r="H274" s="40"/>
      <c r="I274" s="42">
        <v>15</v>
      </c>
      <c r="J274" s="40"/>
      <c r="K274" s="40"/>
      <c r="L274" s="40"/>
      <c r="M274" s="41">
        <v>200156</v>
      </c>
      <c r="N274" s="1" t="str">
        <f>IFERROR(INDEX([1]物品基础表!$A:$A,MATCH(M274,[1]物品基础表!$B:$B,0)),"")</f>
        <v>野外BOSS次数卷轴</v>
      </c>
      <c r="O274" s="41">
        <v>1</v>
      </c>
    </row>
    <row r="275" spans="1:15">
      <c r="A275" s="43" t="s">
        <v>772</v>
      </c>
      <c r="B275" s="40">
        <v>333</v>
      </c>
      <c r="C275" s="40">
        <v>6</v>
      </c>
      <c r="D275" s="40"/>
      <c r="E275" s="40"/>
      <c r="F275" s="40"/>
      <c r="G275" s="40">
        <v>2000</v>
      </c>
      <c r="H275" s="40"/>
      <c r="I275" s="42">
        <v>5</v>
      </c>
      <c r="J275" s="40"/>
      <c r="K275" s="40"/>
      <c r="L275" s="40"/>
      <c r="M275" s="41">
        <v>201002</v>
      </c>
      <c r="N275" s="1" t="str">
        <f>IFERROR(INDEX([1]物品基础表!$A:$A,MATCH(M275,[1]物品基础表!$B:$B,0)),"")</f>
        <v>神秘钥匙</v>
      </c>
      <c r="O275" s="41">
        <v>1</v>
      </c>
    </row>
    <row r="276" spans="1:15">
      <c r="A276" s="43" t="s">
        <v>772</v>
      </c>
      <c r="B276" s="40">
        <v>333</v>
      </c>
      <c r="C276" s="40">
        <v>7</v>
      </c>
      <c r="D276" s="40"/>
      <c r="E276" s="40"/>
      <c r="F276" s="40"/>
      <c r="G276" s="40">
        <v>2000</v>
      </c>
      <c r="H276" s="40"/>
      <c r="I276" s="40"/>
      <c r="J276" s="40"/>
      <c r="K276" s="40"/>
      <c r="L276" s="40"/>
      <c r="M276" s="41">
        <v>200164</v>
      </c>
      <c r="N276" s="1" t="str">
        <f>IFERROR(INDEX([1]物品基础表!$A:$A,MATCH(M276,[1]物品基础表!$B:$B,0)),"")</f>
        <v>金砖</v>
      </c>
      <c r="O276" s="41">
        <v>1</v>
      </c>
    </row>
    <row r="277" spans="1:15">
      <c r="A277" s="43" t="s">
        <v>772</v>
      </c>
      <c r="B277" s="40">
        <v>333</v>
      </c>
      <c r="C277" s="40">
        <v>8</v>
      </c>
      <c r="D277" s="40"/>
      <c r="E277" s="40"/>
      <c r="F277" s="40"/>
      <c r="G277" s="40">
        <v>25032</v>
      </c>
      <c r="H277" s="40"/>
      <c r="I277" s="40"/>
      <c r="J277" s="40"/>
      <c r="K277" s="40"/>
      <c r="L277" s="40"/>
      <c r="M277" s="41">
        <v>101312</v>
      </c>
      <c r="N277" s="1" t="str">
        <f>IFERROR(INDEX([1]物品基础表!$A:$A,MATCH(M277,[1]物品基础表!$B:$B,0)),"")</f>
        <v>橙色战士110级武器</v>
      </c>
      <c r="O277" s="41">
        <v>1</v>
      </c>
    </row>
    <row r="278" spans="1:15">
      <c r="A278" s="43" t="s">
        <v>772</v>
      </c>
      <c r="B278" s="40">
        <v>333</v>
      </c>
      <c r="C278" s="40">
        <v>9</v>
      </c>
      <c r="D278" s="40"/>
      <c r="E278" s="40"/>
      <c r="F278" s="40"/>
      <c r="G278" s="40">
        <v>18022</v>
      </c>
      <c r="H278" s="40"/>
      <c r="I278" s="40"/>
      <c r="J278" s="40"/>
      <c r="K278" s="40"/>
      <c r="L278" s="40"/>
      <c r="M278" s="41">
        <v>121312</v>
      </c>
      <c r="N278" s="1" t="str">
        <f>IFERROR(INDEX([1]物品基础表!$A:$A,MATCH(M278,[1]物品基础表!$B:$B,0)),"")</f>
        <v>橙色战士110级衣服</v>
      </c>
      <c r="O278" s="41">
        <v>1</v>
      </c>
    </row>
    <row r="279" spans="1:15">
      <c r="A279" s="43" t="s">
        <v>772</v>
      </c>
      <c r="B279" s="40">
        <v>333</v>
      </c>
      <c r="C279" s="40">
        <v>10</v>
      </c>
      <c r="D279" s="40"/>
      <c r="E279" s="40"/>
      <c r="F279" s="40"/>
      <c r="G279" s="40">
        <v>10012</v>
      </c>
      <c r="H279" s="40"/>
      <c r="I279" s="40"/>
      <c r="J279" s="40"/>
      <c r="K279" s="40"/>
      <c r="L279" s="40"/>
      <c r="M279" s="41">
        <v>141312</v>
      </c>
      <c r="N279" s="1" t="str">
        <f>IFERROR(INDEX([1]物品基础表!$A:$A,MATCH(M279,[1]物品基础表!$B:$B,0)),"")</f>
        <v>橙色战士110级手镯</v>
      </c>
      <c r="O279" s="41">
        <v>1</v>
      </c>
    </row>
    <row r="280" spans="1:15">
      <c r="A280" s="43" t="s">
        <v>772</v>
      </c>
      <c r="B280" s="40">
        <v>333</v>
      </c>
      <c r="C280" s="40">
        <v>11</v>
      </c>
      <c r="D280" s="40"/>
      <c r="E280" s="40"/>
      <c r="F280" s="40"/>
      <c r="G280" s="40">
        <v>10012</v>
      </c>
      <c r="H280" s="40"/>
      <c r="I280" s="40"/>
      <c r="J280" s="40"/>
      <c r="K280" s="40"/>
      <c r="L280" s="40"/>
      <c r="M280" s="41">
        <v>161312</v>
      </c>
      <c r="N280" s="1" t="str">
        <f>IFERROR(INDEX([1]物品基础表!$A:$A,MATCH(M280,[1]物品基础表!$B:$B,0)),"")</f>
        <v>橙色战士110级戒指</v>
      </c>
      <c r="O280" s="41">
        <v>1</v>
      </c>
    </row>
    <row r="281" spans="1:15">
      <c r="A281" s="43" t="s">
        <v>772</v>
      </c>
      <c r="B281" s="40">
        <v>333</v>
      </c>
      <c r="C281" s="40">
        <v>12</v>
      </c>
      <c r="D281" s="40"/>
      <c r="E281" s="40"/>
      <c r="F281" s="40"/>
      <c r="G281" s="40">
        <v>10012</v>
      </c>
      <c r="H281" s="40"/>
      <c r="I281" s="40"/>
      <c r="J281" s="40"/>
      <c r="K281" s="40"/>
      <c r="L281" s="40"/>
      <c r="M281" s="41">
        <v>111312</v>
      </c>
      <c r="N281" s="1" t="str">
        <f>IFERROR(INDEX([1]物品基础表!$A:$A,MATCH(M281,[1]物品基础表!$B:$B,0)),"")</f>
        <v>橙色战士110级头盔</v>
      </c>
      <c r="O281" s="41">
        <v>1</v>
      </c>
    </row>
    <row r="282" spans="1:15">
      <c r="A282" s="43" t="s">
        <v>772</v>
      </c>
      <c r="B282" s="40">
        <v>333</v>
      </c>
      <c r="C282" s="40">
        <v>13</v>
      </c>
      <c r="D282" s="40"/>
      <c r="E282" s="40"/>
      <c r="F282" s="40"/>
      <c r="G282" s="40">
        <v>10012</v>
      </c>
      <c r="H282" s="40"/>
      <c r="I282" s="40"/>
      <c r="J282" s="40"/>
      <c r="K282" s="40"/>
      <c r="L282" s="40"/>
      <c r="M282" s="41">
        <v>131312</v>
      </c>
      <c r="N282" s="1" t="str">
        <f>IFERROR(INDEX([1]物品基础表!$A:$A,MATCH(M282,[1]物品基础表!$B:$B,0)),"")</f>
        <v>橙色战士110级项链</v>
      </c>
      <c r="O282" s="41">
        <v>1</v>
      </c>
    </row>
    <row r="283" spans="1:15">
      <c r="A283" s="43" t="s">
        <v>772</v>
      </c>
      <c r="B283" s="40">
        <v>333</v>
      </c>
      <c r="C283" s="40">
        <v>14</v>
      </c>
      <c r="D283" s="40"/>
      <c r="E283" s="40"/>
      <c r="F283" s="40"/>
      <c r="G283" s="40">
        <v>10012</v>
      </c>
      <c r="H283" s="40"/>
      <c r="I283" s="40"/>
      <c r="J283" s="40"/>
      <c r="K283" s="40"/>
      <c r="L283" s="40"/>
      <c r="M283" s="41">
        <v>151312</v>
      </c>
      <c r="N283" s="1" t="str">
        <f>IFERROR(INDEX([1]物品基础表!$A:$A,MATCH(M283,[1]物品基础表!$B:$B,0)),"")</f>
        <v>橙色战士110级腰带</v>
      </c>
      <c r="O283" s="41">
        <v>1</v>
      </c>
    </row>
    <row r="284" spans="1:15">
      <c r="A284" s="43" t="s">
        <v>772</v>
      </c>
      <c r="B284" s="40">
        <v>333</v>
      </c>
      <c r="C284" s="40">
        <v>15</v>
      </c>
      <c r="D284" s="40"/>
      <c r="E284" s="40"/>
      <c r="F284" s="40"/>
      <c r="G284" s="40">
        <v>10012</v>
      </c>
      <c r="H284" s="40"/>
      <c r="I284" s="40"/>
      <c r="J284" s="40"/>
      <c r="K284" s="40"/>
      <c r="L284" s="40"/>
      <c r="M284" s="41">
        <v>171312</v>
      </c>
      <c r="N284" s="1" t="str">
        <f>IFERROR(INDEX([1]物品基础表!$A:$A,MATCH(M284,[1]物品基础表!$B:$B,0)),"")</f>
        <v>橙色战士110级鞋子</v>
      </c>
      <c r="O284" s="41">
        <v>1</v>
      </c>
    </row>
    <row r="285" spans="1:15">
      <c r="A285" s="43" t="s">
        <v>772</v>
      </c>
      <c r="B285" s="40">
        <v>333</v>
      </c>
      <c r="C285" s="40">
        <v>16</v>
      </c>
      <c r="D285" s="40"/>
      <c r="E285" s="40"/>
      <c r="F285" s="40"/>
      <c r="G285" s="40">
        <v>25032</v>
      </c>
      <c r="H285" s="40"/>
      <c r="I285" s="40"/>
      <c r="J285" s="40"/>
      <c r="K285" s="40"/>
      <c r="L285" s="40"/>
      <c r="M285" s="41">
        <v>102312</v>
      </c>
      <c r="N285" s="1" t="str">
        <f>IFERROR(INDEX([1]物品基础表!$A:$A,MATCH(M285,[1]物品基础表!$B:$B,0)),"")</f>
        <v>橙色法师110级武器</v>
      </c>
      <c r="O285" s="41">
        <v>1</v>
      </c>
    </row>
    <row r="286" spans="1:15">
      <c r="A286" s="43" t="s">
        <v>772</v>
      </c>
      <c r="B286" s="40">
        <v>333</v>
      </c>
      <c r="C286" s="40">
        <v>17</v>
      </c>
      <c r="D286" s="40"/>
      <c r="E286" s="40"/>
      <c r="F286" s="40"/>
      <c r="G286" s="40">
        <v>18022</v>
      </c>
      <c r="H286" s="40"/>
      <c r="I286" s="40"/>
      <c r="J286" s="40"/>
      <c r="K286" s="40"/>
      <c r="L286" s="40"/>
      <c r="M286" s="41">
        <v>122312</v>
      </c>
      <c r="N286" s="1" t="str">
        <f>IFERROR(INDEX([1]物品基础表!$A:$A,MATCH(M286,[1]物品基础表!$B:$B,0)),"")</f>
        <v>橙色法师110级衣服</v>
      </c>
      <c r="O286" s="41">
        <v>1</v>
      </c>
    </row>
    <row r="287" spans="1:15">
      <c r="A287" s="43" t="s">
        <v>772</v>
      </c>
      <c r="B287" s="40">
        <v>333</v>
      </c>
      <c r="C287" s="40">
        <v>18</v>
      </c>
      <c r="D287" s="40"/>
      <c r="E287" s="40"/>
      <c r="F287" s="40"/>
      <c r="G287" s="40">
        <v>10012</v>
      </c>
      <c r="H287" s="40"/>
      <c r="I287" s="40"/>
      <c r="J287" s="40"/>
      <c r="K287" s="40"/>
      <c r="L287" s="40"/>
      <c r="M287" s="41">
        <v>142312</v>
      </c>
      <c r="N287" s="1" t="str">
        <f>IFERROR(INDEX([1]物品基础表!$A:$A,MATCH(M287,[1]物品基础表!$B:$B,0)),"")</f>
        <v>橙色法师110级手镯</v>
      </c>
      <c r="O287" s="41">
        <v>1</v>
      </c>
    </row>
    <row r="288" spans="1:15">
      <c r="A288" s="43" t="s">
        <v>772</v>
      </c>
      <c r="B288" s="40">
        <v>333</v>
      </c>
      <c r="C288" s="40">
        <v>19</v>
      </c>
      <c r="D288" s="40"/>
      <c r="E288" s="40"/>
      <c r="F288" s="40"/>
      <c r="G288" s="40">
        <v>10012</v>
      </c>
      <c r="H288" s="40"/>
      <c r="I288" s="40"/>
      <c r="J288" s="40"/>
      <c r="K288" s="40"/>
      <c r="L288" s="40"/>
      <c r="M288" s="41">
        <v>162312</v>
      </c>
      <c r="N288" s="1" t="str">
        <f>IFERROR(INDEX([1]物品基础表!$A:$A,MATCH(M288,[1]物品基础表!$B:$B,0)),"")</f>
        <v>橙色法师110级戒指</v>
      </c>
      <c r="O288" s="41">
        <v>1</v>
      </c>
    </row>
    <row r="289" spans="1:15">
      <c r="A289" s="43" t="s">
        <v>772</v>
      </c>
      <c r="B289" s="40">
        <v>333</v>
      </c>
      <c r="C289" s="40">
        <v>20</v>
      </c>
      <c r="D289" s="40"/>
      <c r="E289" s="40"/>
      <c r="F289" s="40"/>
      <c r="G289" s="40">
        <v>10012</v>
      </c>
      <c r="H289" s="40"/>
      <c r="I289" s="40"/>
      <c r="J289" s="40"/>
      <c r="K289" s="40"/>
      <c r="L289" s="40"/>
      <c r="M289" s="41">
        <v>112312</v>
      </c>
      <c r="N289" s="1" t="str">
        <f>IFERROR(INDEX([1]物品基础表!$A:$A,MATCH(M289,[1]物品基础表!$B:$B,0)),"")</f>
        <v>橙色法师110级头盔</v>
      </c>
      <c r="O289" s="41">
        <v>1</v>
      </c>
    </row>
    <row r="290" spans="1:15">
      <c r="A290" s="43" t="s">
        <v>772</v>
      </c>
      <c r="B290" s="40">
        <v>333</v>
      </c>
      <c r="C290" s="40">
        <v>21</v>
      </c>
      <c r="D290" s="40"/>
      <c r="E290" s="40"/>
      <c r="F290" s="40"/>
      <c r="G290" s="40">
        <v>10012</v>
      </c>
      <c r="H290" s="40"/>
      <c r="I290" s="40"/>
      <c r="J290" s="40"/>
      <c r="K290" s="40"/>
      <c r="L290" s="40"/>
      <c r="M290" s="41">
        <v>132312</v>
      </c>
      <c r="N290" s="1" t="str">
        <f>IFERROR(INDEX([1]物品基础表!$A:$A,MATCH(M290,[1]物品基础表!$B:$B,0)),"")</f>
        <v>橙色法师110级项链</v>
      </c>
      <c r="O290" s="41">
        <v>1</v>
      </c>
    </row>
    <row r="291" spans="1:15">
      <c r="A291" s="43" t="s">
        <v>772</v>
      </c>
      <c r="B291" s="40">
        <v>333</v>
      </c>
      <c r="C291" s="40">
        <v>22</v>
      </c>
      <c r="D291" s="40"/>
      <c r="E291" s="40"/>
      <c r="F291" s="40"/>
      <c r="G291" s="40">
        <v>10012</v>
      </c>
      <c r="H291" s="40"/>
      <c r="I291" s="40"/>
      <c r="J291" s="40"/>
      <c r="K291" s="40"/>
      <c r="L291" s="40"/>
      <c r="M291" s="41">
        <v>152312</v>
      </c>
      <c r="N291" s="1" t="str">
        <f>IFERROR(INDEX([1]物品基础表!$A:$A,MATCH(M291,[1]物品基础表!$B:$B,0)),"")</f>
        <v>橙色法师110级腰带</v>
      </c>
      <c r="O291" s="41">
        <v>1</v>
      </c>
    </row>
    <row r="292" spans="1:15">
      <c r="A292" s="43" t="s">
        <v>772</v>
      </c>
      <c r="B292" s="40">
        <v>333</v>
      </c>
      <c r="C292" s="40">
        <v>23</v>
      </c>
      <c r="D292" s="40"/>
      <c r="E292" s="40"/>
      <c r="F292" s="40"/>
      <c r="G292" s="40">
        <v>10012</v>
      </c>
      <c r="H292" s="40"/>
      <c r="I292" s="40"/>
      <c r="J292" s="40"/>
      <c r="K292" s="40"/>
      <c r="L292" s="40"/>
      <c r="M292" s="41">
        <v>172312</v>
      </c>
      <c r="N292" s="1" t="str">
        <f>IFERROR(INDEX([1]物品基础表!$A:$A,MATCH(M292,[1]物品基础表!$B:$B,0)),"")</f>
        <v>橙色法师110级鞋子</v>
      </c>
      <c r="O292" s="41">
        <v>1</v>
      </c>
    </row>
    <row r="293" spans="1:15">
      <c r="A293" s="43" t="s">
        <v>772</v>
      </c>
      <c r="B293" s="40">
        <v>333</v>
      </c>
      <c r="C293" s="40">
        <v>24</v>
      </c>
      <c r="D293" s="40"/>
      <c r="E293" s="40"/>
      <c r="F293" s="40"/>
      <c r="G293" s="40">
        <v>25032</v>
      </c>
      <c r="H293" s="40"/>
      <c r="I293" s="40"/>
      <c r="J293" s="40"/>
      <c r="K293" s="40"/>
      <c r="L293" s="40"/>
      <c r="M293" s="41">
        <v>103312</v>
      </c>
      <c r="N293" s="1" t="str">
        <f>IFERROR(INDEX([1]物品基础表!$A:$A,MATCH(M293,[1]物品基础表!$B:$B,0)),"")</f>
        <v>橙色道士110级武器</v>
      </c>
      <c r="O293" s="41">
        <v>1</v>
      </c>
    </row>
    <row r="294" spans="1:15">
      <c r="A294" s="43" t="s">
        <v>772</v>
      </c>
      <c r="B294" s="40">
        <v>333</v>
      </c>
      <c r="C294" s="40">
        <v>25</v>
      </c>
      <c r="D294" s="40"/>
      <c r="E294" s="40"/>
      <c r="F294" s="40"/>
      <c r="G294" s="40">
        <v>18022</v>
      </c>
      <c r="H294" s="40"/>
      <c r="I294" s="40"/>
      <c r="J294" s="40"/>
      <c r="K294" s="40"/>
      <c r="L294" s="40"/>
      <c r="M294" s="41">
        <v>123312</v>
      </c>
      <c r="N294" s="1" t="str">
        <f>IFERROR(INDEX([1]物品基础表!$A:$A,MATCH(M294,[1]物品基础表!$B:$B,0)),"")</f>
        <v>橙色道士110级衣服</v>
      </c>
      <c r="O294" s="41">
        <v>1</v>
      </c>
    </row>
    <row r="295" spans="1:15">
      <c r="A295" s="43" t="s">
        <v>772</v>
      </c>
      <c r="B295" s="40">
        <v>333</v>
      </c>
      <c r="C295" s="40">
        <v>26</v>
      </c>
      <c r="D295" s="40"/>
      <c r="E295" s="40"/>
      <c r="F295" s="40"/>
      <c r="G295" s="40">
        <v>10012</v>
      </c>
      <c r="H295" s="40"/>
      <c r="I295" s="40"/>
      <c r="J295" s="40"/>
      <c r="K295" s="40"/>
      <c r="L295" s="40"/>
      <c r="M295" s="41">
        <v>143312</v>
      </c>
      <c r="N295" s="1" t="str">
        <f>IFERROR(INDEX([1]物品基础表!$A:$A,MATCH(M295,[1]物品基础表!$B:$B,0)),"")</f>
        <v>橙色道士110级手镯</v>
      </c>
      <c r="O295" s="41">
        <v>1</v>
      </c>
    </row>
    <row r="296" spans="1:15">
      <c r="A296" s="43" t="s">
        <v>772</v>
      </c>
      <c r="B296" s="40">
        <v>333</v>
      </c>
      <c r="C296" s="40">
        <v>27</v>
      </c>
      <c r="D296" s="40"/>
      <c r="E296" s="40"/>
      <c r="F296" s="40"/>
      <c r="G296" s="40">
        <v>10012</v>
      </c>
      <c r="H296" s="40"/>
      <c r="I296" s="40"/>
      <c r="J296" s="40"/>
      <c r="K296" s="40"/>
      <c r="L296" s="40"/>
      <c r="M296" s="41">
        <v>163312</v>
      </c>
      <c r="N296" s="1" t="str">
        <f>IFERROR(INDEX([1]物品基础表!$A:$A,MATCH(M296,[1]物品基础表!$B:$B,0)),"")</f>
        <v>橙色道士110级戒指</v>
      </c>
      <c r="O296" s="41">
        <v>1</v>
      </c>
    </row>
    <row r="297" spans="1:15">
      <c r="A297" s="43" t="s">
        <v>772</v>
      </c>
      <c r="B297" s="40">
        <v>333</v>
      </c>
      <c r="C297" s="40">
        <v>28</v>
      </c>
      <c r="D297" s="40"/>
      <c r="E297" s="40"/>
      <c r="F297" s="40"/>
      <c r="G297" s="40">
        <v>10012</v>
      </c>
      <c r="H297" s="40"/>
      <c r="I297" s="40"/>
      <c r="J297" s="40"/>
      <c r="K297" s="40"/>
      <c r="L297" s="40"/>
      <c r="M297" s="41">
        <v>113312</v>
      </c>
      <c r="N297" s="1" t="str">
        <f>IFERROR(INDEX([1]物品基础表!$A:$A,MATCH(M297,[1]物品基础表!$B:$B,0)),"")</f>
        <v>橙色道士110级头盔</v>
      </c>
      <c r="O297" s="41">
        <v>1</v>
      </c>
    </row>
    <row r="298" spans="1:15">
      <c r="A298" s="43" t="s">
        <v>772</v>
      </c>
      <c r="B298" s="40">
        <v>333</v>
      </c>
      <c r="C298" s="40">
        <v>29</v>
      </c>
      <c r="D298" s="40"/>
      <c r="E298" s="40"/>
      <c r="F298" s="40"/>
      <c r="G298" s="40">
        <v>10012</v>
      </c>
      <c r="H298" s="40"/>
      <c r="I298" s="40"/>
      <c r="J298" s="40"/>
      <c r="K298" s="40"/>
      <c r="L298" s="40"/>
      <c r="M298" s="41">
        <v>133312</v>
      </c>
      <c r="N298" s="1" t="str">
        <f>IFERROR(INDEX([1]物品基础表!$A:$A,MATCH(M298,[1]物品基础表!$B:$B,0)),"")</f>
        <v>橙色道士110级项链</v>
      </c>
      <c r="O298" s="41">
        <v>1</v>
      </c>
    </row>
    <row r="299" spans="1:15">
      <c r="A299" s="43" t="s">
        <v>772</v>
      </c>
      <c r="B299" s="40">
        <v>333</v>
      </c>
      <c r="C299" s="40">
        <v>30</v>
      </c>
      <c r="D299" s="40"/>
      <c r="E299" s="40"/>
      <c r="F299" s="40"/>
      <c r="G299" s="40">
        <v>10012</v>
      </c>
      <c r="H299" s="40"/>
      <c r="I299" s="40"/>
      <c r="J299" s="40"/>
      <c r="K299" s="40"/>
      <c r="L299" s="40"/>
      <c r="M299" s="41">
        <v>153312</v>
      </c>
      <c r="N299" s="1" t="str">
        <f>IFERROR(INDEX([1]物品基础表!$A:$A,MATCH(M299,[1]物品基础表!$B:$B,0)),"")</f>
        <v>橙色道士110级腰带</v>
      </c>
      <c r="O299" s="41">
        <v>1</v>
      </c>
    </row>
    <row r="300" spans="1:15">
      <c r="A300" s="43" t="s">
        <v>772</v>
      </c>
      <c r="B300" s="40">
        <v>333</v>
      </c>
      <c r="C300" s="40">
        <v>31</v>
      </c>
      <c r="D300" s="40"/>
      <c r="E300" s="40"/>
      <c r="F300" s="40"/>
      <c r="G300" s="40">
        <v>10012</v>
      </c>
      <c r="H300" s="40"/>
      <c r="I300" s="40"/>
      <c r="J300" s="40"/>
      <c r="K300" s="40"/>
      <c r="L300" s="40"/>
      <c r="M300" s="41">
        <v>173312</v>
      </c>
      <c r="N300" s="1" t="str">
        <f>IFERROR(INDEX([1]物品基础表!$A:$A,MATCH(M300,[1]物品基础表!$B:$B,0)),"")</f>
        <v>橙色道士110级鞋子</v>
      </c>
      <c r="O300" s="41">
        <v>1</v>
      </c>
    </row>
    <row r="301" spans="1:15">
      <c r="A301" s="43" t="s">
        <v>772</v>
      </c>
      <c r="B301" s="40">
        <v>333</v>
      </c>
      <c r="C301" s="40">
        <v>32</v>
      </c>
      <c r="D301" s="40"/>
      <c r="E301" s="40"/>
      <c r="F301" s="40"/>
      <c r="G301" s="40">
        <v>35752</v>
      </c>
      <c r="H301" s="40"/>
      <c r="I301" s="40"/>
      <c r="J301" s="40"/>
      <c r="K301" s="40"/>
      <c r="L301" s="40"/>
      <c r="M301" s="41">
        <v>101313</v>
      </c>
      <c r="N301" s="1" t="str">
        <f>IFERROR(INDEX([1]物品基础表!$A:$A,MATCH(M301,[1]物品基础表!$B:$B,0)),"")</f>
        <v>橙色战士120级武器</v>
      </c>
      <c r="O301" s="41">
        <v>1</v>
      </c>
    </row>
    <row r="302" spans="1:15">
      <c r="A302" s="43" t="s">
        <v>772</v>
      </c>
      <c r="B302" s="40">
        <v>333</v>
      </c>
      <c r="C302" s="40">
        <v>33</v>
      </c>
      <c r="D302" s="40"/>
      <c r="E302" s="40"/>
      <c r="F302" s="40"/>
      <c r="G302" s="40">
        <v>25740</v>
      </c>
      <c r="H302" s="40"/>
      <c r="I302" s="40"/>
      <c r="J302" s="40"/>
      <c r="K302" s="40"/>
      <c r="L302" s="40"/>
      <c r="M302" s="41">
        <v>121313</v>
      </c>
      <c r="N302" s="1" t="str">
        <f>IFERROR(INDEX([1]物品基础表!$A:$A,MATCH(M302,[1]物品基础表!$B:$B,0)),"")</f>
        <v>橙色战士120级衣服</v>
      </c>
      <c r="O302" s="41">
        <v>1</v>
      </c>
    </row>
    <row r="303" spans="1:15">
      <c r="A303" s="43" t="s">
        <v>772</v>
      </c>
      <c r="B303" s="40">
        <v>333</v>
      </c>
      <c r="C303" s="40">
        <v>34</v>
      </c>
      <c r="D303" s="40"/>
      <c r="E303" s="40"/>
      <c r="F303" s="40"/>
      <c r="G303" s="40">
        <v>14300</v>
      </c>
      <c r="H303" s="40"/>
      <c r="I303" s="40"/>
      <c r="J303" s="40"/>
      <c r="K303" s="40"/>
      <c r="L303" s="40"/>
      <c r="M303" s="41">
        <v>141313</v>
      </c>
      <c r="N303" s="1" t="str">
        <f>IFERROR(INDEX([1]物品基础表!$A:$A,MATCH(M303,[1]物品基础表!$B:$B,0)),"")</f>
        <v>橙色战士120级手镯</v>
      </c>
      <c r="O303" s="41">
        <v>1</v>
      </c>
    </row>
    <row r="304" spans="1:15">
      <c r="A304" s="43" t="s">
        <v>772</v>
      </c>
      <c r="B304" s="40">
        <v>333</v>
      </c>
      <c r="C304" s="40">
        <v>35</v>
      </c>
      <c r="D304" s="40"/>
      <c r="E304" s="40"/>
      <c r="F304" s="40"/>
      <c r="G304" s="40">
        <v>14300</v>
      </c>
      <c r="H304" s="40"/>
      <c r="I304" s="40"/>
      <c r="J304" s="40"/>
      <c r="K304" s="40"/>
      <c r="L304" s="40"/>
      <c r="M304" s="41">
        <v>161313</v>
      </c>
      <c r="N304" s="1" t="str">
        <f>IFERROR(INDEX([1]物品基础表!$A:$A,MATCH(M304,[1]物品基础表!$B:$B,0)),"")</f>
        <v>橙色战士120级戒指</v>
      </c>
      <c r="O304" s="41">
        <v>1</v>
      </c>
    </row>
    <row r="305" spans="1:15">
      <c r="A305" s="43" t="s">
        <v>772</v>
      </c>
      <c r="B305" s="40">
        <v>333</v>
      </c>
      <c r="C305" s="40">
        <v>36</v>
      </c>
      <c r="D305" s="40"/>
      <c r="E305" s="40"/>
      <c r="F305" s="40"/>
      <c r="G305" s="40">
        <v>14300</v>
      </c>
      <c r="H305" s="40"/>
      <c r="I305" s="40"/>
      <c r="J305" s="40"/>
      <c r="K305" s="40"/>
      <c r="L305" s="40"/>
      <c r="M305" s="41">
        <v>111313</v>
      </c>
      <c r="N305" s="1" t="str">
        <f>IFERROR(INDEX([1]物品基础表!$A:$A,MATCH(M305,[1]物品基础表!$B:$B,0)),"")</f>
        <v>橙色战士120级头盔</v>
      </c>
      <c r="O305" s="41">
        <v>1</v>
      </c>
    </row>
    <row r="306" spans="1:15">
      <c r="A306" s="43" t="s">
        <v>772</v>
      </c>
      <c r="B306" s="40">
        <v>333</v>
      </c>
      <c r="C306" s="40">
        <v>37</v>
      </c>
      <c r="D306" s="40"/>
      <c r="E306" s="40"/>
      <c r="F306" s="40"/>
      <c r="G306" s="40">
        <v>14300</v>
      </c>
      <c r="H306" s="40"/>
      <c r="I306" s="40"/>
      <c r="J306" s="40"/>
      <c r="K306" s="40"/>
      <c r="L306" s="40"/>
      <c r="M306" s="41">
        <v>131313</v>
      </c>
      <c r="N306" s="1" t="str">
        <f>IFERROR(INDEX([1]物品基础表!$A:$A,MATCH(M306,[1]物品基础表!$B:$B,0)),"")</f>
        <v>橙色战士120级项链</v>
      </c>
      <c r="O306" s="41">
        <v>1</v>
      </c>
    </row>
    <row r="307" spans="1:15">
      <c r="A307" s="43" t="s">
        <v>772</v>
      </c>
      <c r="B307" s="40">
        <v>333</v>
      </c>
      <c r="C307" s="40">
        <v>38</v>
      </c>
      <c r="D307" s="40"/>
      <c r="E307" s="40"/>
      <c r="F307" s="40"/>
      <c r="G307" s="40">
        <v>14300</v>
      </c>
      <c r="H307" s="40"/>
      <c r="I307" s="40"/>
      <c r="J307" s="40"/>
      <c r="K307" s="40"/>
      <c r="L307" s="40"/>
      <c r="M307" s="41">
        <v>151313</v>
      </c>
      <c r="N307" s="1" t="str">
        <f>IFERROR(INDEX([1]物品基础表!$A:$A,MATCH(M307,[1]物品基础表!$B:$B,0)),"")</f>
        <v>橙色战士120级腰带</v>
      </c>
      <c r="O307" s="41">
        <v>1</v>
      </c>
    </row>
    <row r="308" spans="1:15">
      <c r="A308" s="43" t="s">
        <v>772</v>
      </c>
      <c r="B308" s="40">
        <v>333</v>
      </c>
      <c r="C308" s="40">
        <v>39</v>
      </c>
      <c r="D308" s="40"/>
      <c r="E308" s="40"/>
      <c r="F308" s="40"/>
      <c r="G308" s="40">
        <v>14300</v>
      </c>
      <c r="H308" s="40"/>
      <c r="I308" s="40"/>
      <c r="J308" s="40"/>
      <c r="K308" s="40"/>
      <c r="L308" s="40"/>
      <c r="M308" s="41">
        <v>171313</v>
      </c>
      <c r="N308" s="1" t="str">
        <f>IFERROR(INDEX([1]物品基础表!$A:$A,MATCH(M308,[1]物品基础表!$B:$B,0)),"")</f>
        <v>橙色战士120级鞋子</v>
      </c>
      <c r="O308" s="41">
        <v>1</v>
      </c>
    </row>
    <row r="309" spans="1:15">
      <c r="A309" s="43" t="s">
        <v>772</v>
      </c>
      <c r="B309" s="40">
        <v>333</v>
      </c>
      <c r="C309" s="40">
        <v>40</v>
      </c>
      <c r="D309" s="40"/>
      <c r="E309" s="40"/>
      <c r="F309" s="40"/>
      <c r="G309" s="40">
        <v>35752</v>
      </c>
      <c r="H309" s="40"/>
      <c r="I309" s="40"/>
      <c r="J309" s="40"/>
      <c r="K309" s="40"/>
      <c r="L309" s="40"/>
      <c r="M309" s="41">
        <v>102313</v>
      </c>
      <c r="N309" s="1" t="str">
        <f>IFERROR(INDEX([1]物品基础表!$A:$A,MATCH(M309,[1]物品基础表!$B:$B,0)),"")</f>
        <v>橙色法师120级武器</v>
      </c>
      <c r="O309" s="41">
        <v>1</v>
      </c>
    </row>
    <row r="310" spans="1:15">
      <c r="A310" s="43" t="s">
        <v>772</v>
      </c>
      <c r="B310" s="40">
        <v>333</v>
      </c>
      <c r="C310" s="40">
        <v>41</v>
      </c>
      <c r="D310" s="40"/>
      <c r="E310" s="40"/>
      <c r="F310" s="40"/>
      <c r="G310" s="40">
        <v>25740</v>
      </c>
      <c r="H310" s="40"/>
      <c r="I310" s="40"/>
      <c r="J310" s="40"/>
      <c r="K310" s="40"/>
      <c r="L310" s="40"/>
      <c r="M310" s="41">
        <v>122313</v>
      </c>
      <c r="N310" s="1" t="str">
        <f>IFERROR(INDEX([1]物品基础表!$A:$A,MATCH(M310,[1]物品基础表!$B:$B,0)),"")</f>
        <v>橙色法师120级衣服</v>
      </c>
      <c r="O310" s="41">
        <v>1</v>
      </c>
    </row>
    <row r="311" spans="1:15">
      <c r="A311" s="43" t="s">
        <v>772</v>
      </c>
      <c r="B311" s="40">
        <v>333</v>
      </c>
      <c r="C311" s="40">
        <v>42</v>
      </c>
      <c r="D311" s="40"/>
      <c r="E311" s="40"/>
      <c r="F311" s="40"/>
      <c r="G311" s="40">
        <v>14300</v>
      </c>
      <c r="H311" s="40"/>
      <c r="I311" s="40"/>
      <c r="J311" s="40"/>
      <c r="K311" s="40"/>
      <c r="L311" s="40"/>
      <c r="M311" s="41">
        <v>142313</v>
      </c>
      <c r="N311" s="1" t="str">
        <f>IFERROR(INDEX([1]物品基础表!$A:$A,MATCH(M311,[1]物品基础表!$B:$B,0)),"")</f>
        <v>橙色法师120级手镯</v>
      </c>
      <c r="O311" s="41">
        <v>1</v>
      </c>
    </row>
    <row r="312" spans="1:15">
      <c r="A312" s="43" t="s">
        <v>772</v>
      </c>
      <c r="B312" s="40">
        <v>333</v>
      </c>
      <c r="C312" s="40">
        <v>43</v>
      </c>
      <c r="D312" s="40"/>
      <c r="E312" s="40"/>
      <c r="F312" s="40"/>
      <c r="G312" s="40">
        <v>14300</v>
      </c>
      <c r="H312" s="40"/>
      <c r="I312" s="40"/>
      <c r="J312" s="40"/>
      <c r="K312" s="40"/>
      <c r="L312" s="40"/>
      <c r="M312" s="41">
        <v>162313</v>
      </c>
      <c r="N312" s="1" t="str">
        <f>IFERROR(INDEX([1]物品基础表!$A:$A,MATCH(M312,[1]物品基础表!$B:$B,0)),"")</f>
        <v>橙色法师120级戒指</v>
      </c>
      <c r="O312" s="41">
        <v>1</v>
      </c>
    </row>
    <row r="313" spans="1:15">
      <c r="A313" s="43" t="s">
        <v>772</v>
      </c>
      <c r="B313" s="40">
        <v>333</v>
      </c>
      <c r="C313" s="40">
        <v>44</v>
      </c>
      <c r="D313" s="40"/>
      <c r="E313" s="40"/>
      <c r="F313" s="40"/>
      <c r="G313" s="40">
        <v>14300</v>
      </c>
      <c r="H313" s="40"/>
      <c r="I313" s="40"/>
      <c r="J313" s="40"/>
      <c r="K313" s="40"/>
      <c r="L313" s="40"/>
      <c r="M313" s="41">
        <v>112313</v>
      </c>
      <c r="N313" s="1" t="str">
        <f>IFERROR(INDEX([1]物品基础表!$A:$A,MATCH(M313,[1]物品基础表!$B:$B,0)),"")</f>
        <v>橙色法师120级头盔</v>
      </c>
      <c r="O313" s="41">
        <v>1</v>
      </c>
    </row>
    <row r="314" spans="1:15">
      <c r="A314" s="43" t="s">
        <v>772</v>
      </c>
      <c r="B314" s="40">
        <v>333</v>
      </c>
      <c r="C314" s="40">
        <v>45</v>
      </c>
      <c r="D314" s="40"/>
      <c r="E314" s="40"/>
      <c r="F314" s="40"/>
      <c r="G314" s="40">
        <v>14300</v>
      </c>
      <c r="H314" s="40"/>
      <c r="I314" s="40"/>
      <c r="J314" s="40"/>
      <c r="K314" s="40"/>
      <c r="L314" s="40"/>
      <c r="M314" s="41">
        <v>132313</v>
      </c>
      <c r="N314" s="1" t="str">
        <f>IFERROR(INDEX([1]物品基础表!$A:$A,MATCH(M314,[1]物品基础表!$B:$B,0)),"")</f>
        <v>橙色法师120级项链</v>
      </c>
      <c r="O314" s="41">
        <v>1</v>
      </c>
    </row>
    <row r="315" spans="1:15">
      <c r="A315" s="43" t="s">
        <v>772</v>
      </c>
      <c r="B315" s="40">
        <v>333</v>
      </c>
      <c r="C315" s="40">
        <v>46</v>
      </c>
      <c r="D315" s="40"/>
      <c r="E315" s="40"/>
      <c r="F315" s="40"/>
      <c r="G315" s="40">
        <v>14300</v>
      </c>
      <c r="H315" s="40"/>
      <c r="I315" s="40"/>
      <c r="J315" s="40"/>
      <c r="K315" s="40"/>
      <c r="L315" s="40"/>
      <c r="M315" s="41">
        <v>152313</v>
      </c>
      <c r="N315" s="1" t="str">
        <f>IFERROR(INDEX([1]物品基础表!$A:$A,MATCH(M315,[1]物品基础表!$B:$B,0)),"")</f>
        <v>橙色法师120级腰带</v>
      </c>
      <c r="O315" s="41">
        <v>1</v>
      </c>
    </row>
    <row r="316" spans="1:15">
      <c r="A316" s="43" t="s">
        <v>772</v>
      </c>
      <c r="B316" s="40">
        <v>333</v>
      </c>
      <c r="C316" s="40">
        <v>47</v>
      </c>
      <c r="D316" s="40"/>
      <c r="E316" s="40"/>
      <c r="F316" s="40"/>
      <c r="G316" s="40">
        <v>14300</v>
      </c>
      <c r="H316" s="40"/>
      <c r="I316" s="40"/>
      <c r="J316" s="40"/>
      <c r="K316" s="40"/>
      <c r="L316" s="40"/>
      <c r="M316" s="41">
        <v>172313</v>
      </c>
      <c r="N316" s="1" t="str">
        <f>IFERROR(INDEX([1]物品基础表!$A:$A,MATCH(M316,[1]物品基础表!$B:$B,0)),"")</f>
        <v>橙色法师120级鞋子</v>
      </c>
      <c r="O316" s="41">
        <v>1</v>
      </c>
    </row>
    <row r="317" spans="1:15">
      <c r="A317" s="43" t="s">
        <v>772</v>
      </c>
      <c r="B317" s="40">
        <v>333</v>
      </c>
      <c r="C317" s="40">
        <v>48</v>
      </c>
      <c r="D317" s="40"/>
      <c r="E317" s="40"/>
      <c r="F317" s="40"/>
      <c r="G317" s="40">
        <v>35752</v>
      </c>
      <c r="H317" s="40"/>
      <c r="I317" s="40"/>
      <c r="J317" s="40"/>
      <c r="K317" s="40"/>
      <c r="L317" s="40"/>
      <c r="M317" s="41">
        <v>103313</v>
      </c>
      <c r="N317" s="1" t="str">
        <f>IFERROR(INDEX([1]物品基础表!$A:$A,MATCH(M317,[1]物品基础表!$B:$B,0)),"")</f>
        <v>橙色道士120级武器</v>
      </c>
      <c r="O317" s="41">
        <v>1</v>
      </c>
    </row>
    <row r="318" spans="1:15">
      <c r="A318" s="43" t="s">
        <v>772</v>
      </c>
      <c r="B318" s="40">
        <v>333</v>
      </c>
      <c r="C318" s="40">
        <v>49</v>
      </c>
      <c r="D318" s="40"/>
      <c r="E318" s="40"/>
      <c r="F318" s="40"/>
      <c r="G318" s="40">
        <v>25740</v>
      </c>
      <c r="H318" s="40"/>
      <c r="I318" s="40"/>
      <c r="J318" s="40"/>
      <c r="K318" s="40"/>
      <c r="L318" s="40"/>
      <c r="M318" s="41">
        <v>123313</v>
      </c>
      <c r="N318" s="1" t="str">
        <f>IFERROR(INDEX([1]物品基础表!$A:$A,MATCH(M318,[1]物品基础表!$B:$B,0)),"")</f>
        <v>橙色道士120级衣服</v>
      </c>
      <c r="O318" s="41">
        <v>1</v>
      </c>
    </row>
    <row r="319" spans="1:15">
      <c r="A319" s="43" t="s">
        <v>772</v>
      </c>
      <c r="B319" s="40">
        <v>333</v>
      </c>
      <c r="C319" s="40">
        <v>50</v>
      </c>
      <c r="D319" s="40"/>
      <c r="E319" s="40"/>
      <c r="F319" s="40"/>
      <c r="G319" s="40">
        <v>14300</v>
      </c>
      <c r="H319" s="40"/>
      <c r="I319" s="40"/>
      <c r="J319" s="40"/>
      <c r="K319" s="40"/>
      <c r="L319" s="40"/>
      <c r="M319" s="41">
        <v>143313</v>
      </c>
      <c r="N319" s="1" t="str">
        <f>IFERROR(INDEX([1]物品基础表!$A:$A,MATCH(M319,[1]物品基础表!$B:$B,0)),"")</f>
        <v>橙色道士120级手镯</v>
      </c>
      <c r="O319" s="41">
        <v>1</v>
      </c>
    </row>
    <row r="320" spans="1:15">
      <c r="A320" s="43" t="s">
        <v>772</v>
      </c>
      <c r="B320" s="40">
        <v>333</v>
      </c>
      <c r="C320" s="40">
        <v>51</v>
      </c>
      <c r="D320" s="40"/>
      <c r="E320" s="40"/>
      <c r="F320" s="40"/>
      <c r="G320" s="40">
        <v>14300</v>
      </c>
      <c r="H320" s="40"/>
      <c r="I320" s="40"/>
      <c r="J320" s="40"/>
      <c r="K320" s="40"/>
      <c r="L320" s="40"/>
      <c r="M320" s="41">
        <v>163313</v>
      </c>
      <c r="N320" s="1" t="str">
        <f>IFERROR(INDEX([1]物品基础表!$A:$A,MATCH(M320,[1]物品基础表!$B:$B,0)),"")</f>
        <v>橙色道士120级戒指</v>
      </c>
      <c r="O320" s="41">
        <v>1</v>
      </c>
    </row>
    <row r="321" spans="1:15">
      <c r="A321" s="43" t="s">
        <v>772</v>
      </c>
      <c r="B321" s="40">
        <v>333</v>
      </c>
      <c r="C321" s="40">
        <v>52</v>
      </c>
      <c r="D321" s="40"/>
      <c r="E321" s="40"/>
      <c r="F321" s="40"/>
      <c r="G321" s="40">
        <v>14300</v>
      </c>
      <c r="H321" s="40"/>
      <c r="I321" s="40"/>
      <c r="J321" s="40"/>
      <c r="K321" s="40"/>
      <c r="L321" s="40"/>
      <c r="M321" s="41">
        <v>113313</v>
      </c>
      <c r="N321" s="1" t="str">
        <f>IFERROR(INDEX([1]物品基础表!$A:$A,MATCH(M321,[1]物品基础表!$B:$B,0)),"")</f>
        <v>橙色道士120级头盔</v>
      </c>
      <c r="O321" s="41">
        <v>1</v>
      </c>
    </row>
    <row r="322" spans="1:15">
      <c r="A322" s="43" t="s">
        <v>772</v>
      </c>
      <c r="B322" s="40">
        <v>333</v>
      </c>
      <c r="C322" s="40">
        <v>53</v>
      </c>
      <c r="D322" s="40"/>
      <c r="E322" s="40"/>
      <c r="F322" s="40"/>
      <c r="G322" s="40">
        <v>14300</v>
      </c>
      <c r="H322" s="40"/>
      <c r="I322" s="40"/>
      <c r="J322" s="40"/>
      <c r="K322" s="40"/>
      <c r="L322" s="40"/>
      <c r="M322" s="41">
        <v>133313</v>
      </c>
      <c r="N322" s="1" t="str">
        <f>IFERROR(INDEX([1]物品基础表!$A:$A,MATCH(M322,[1]物品基础表!$B:$B,0)),"")</f>
        <v>橙色道士120级项链</v>
      </c>
      <c r="O322" s="41">
        <v>1</v>
      </c>
    </row>
    <row r="323" spans="1:15">
      <c r="A323" s="43" t="s">
        <v>772</v>
      </c>
      <c r="B323" s="40">
        <v>333</v>
      </c>
      <c r="C323" s="40">
        <v>54</v>
      </c>
      <c r="D323" s="40"/>
      <c r="E323" s="40"/>
      <c r="F323" s="40"/>
      <c r="G323" s="40">
        <v>14300</v>
      </c>
      <c r="H323" s="40"/>
      <c r="I323" s="40"/>
      <c r="J323" s="40"/>
      <c r="K323" s="40"/>
      <c r="L323" s="40"/>
      <c r="M323" s="41">
        <v>153313</v>
      </c>
      <c r="N323" s="1" t="str">
        <f>IFERROR(INDEX([1]物品基础表!$A:$A,MATCH(M323,[1]物品基础表!$B:$B,0)),"")</f>
        <v>橙色道士120级腰带</v>
      </c>
      <c r="O323" s="41">
        <v>1</v>
      </c>
    </row>
    <row r="324" spans="1:15">
      <c r="A324" s="43" t="s">
        <v>772</v>
      </c>
      <c r="B324" s="40">
        <v>333</v>
      </c>
      <c r="C324" s="40">
        <v>55</v>
      </c>
      <c r="D324" s="40"/>
      <c r="E324" s="40"/>
      <c r="F324" s="40"/>
      <c r="G324" s="40">
        <v>14300</v>
      </c>
      <c r="H324" s="40"/>
      <c r="I324" s="40"/>
      <c r="J324" s="40"/>
      <c r="K324" s="40"/>
      <c r="L324" s="40"/>
      <c r="M324" s="41">
        <v>173313</v>
      </c>
      <c r="N324" s="1" t="str">
        <f>IFERROR(INDEX([1]物品基础表!$A:$A,MATCH(M324,[1]物品基础表!$B:$B,0)),"")</f>
        <v>橙色道士120级鞋子</v>
      </c>
      <c r="O324" s="41">
        <v>1</v>
      </c>
    </row>
    <row r="325" spans="1:15">
      <c r="A325" s="43" t="s">
        <v>772</v>
      </c>
      <c r="B325" s="40">
        <v>333</v>
      </c>
      <c r="C325" s="40">
        <v>56</v>
      </c>
      <c r="D325" s="40"/>
      <c r="E325" s="40"/>
      <c r="F325" s="40"/>
      <c r="G325" s="40">
        <v>49800</v>
      </c>
      <c r="H325" s="40"/>
      <c r="I325" s="40"/>
      <c r="J325" s="40"/>
      <c r="K325" s="40"/>
      <c r="L325" s="40"/>
      <c r="M325" s="41">
        <v>101314</v>
      </c>
      <c r="N325" s="1" t="str">
        <f>IFERROR(INDEX([1]物品基础表!$A:$A,MATCH(M325,[1]物品基础表!$B:$B,0)),"")</f>
        <v>橙色战士130级武器</v>
      </c>
      <c r="O325" s="41">
        <v>1</v>
      </c>
    </row>
    <row r="326" spans="1:15">
      <c r="A326" s="43" t="s">
        <v>772</v>
      </c>
      <c r="B326" s="40">
        <v>333</v>
      </c>
      <c r="C326" s="40">
        <v>57</v>
      </c>
      <c r="D326" s="40"/>
      <c r="E326" s="40"/>
      <c r="F326" s="40"/>
      <c r="G326" s="40">
        <v>35856</v>
      </c>
      <c r="H326" s="40"/>
      <c r="I326" s="40"/>
      <c r="J326" s="40"/>
      <c r="K326" s="40"/>
      <c r="L326" s="40"/>
      <c r="M326" s="41">
        <v>121314</v>
      </c>
      <c r="N326" s="1" t="str">
        <f>IFERROR(INDEX([1]物品基础表!$A:$A,MATCH(M326,[1]物品基础表!$B:$B,0)),"")</f>
        <v>橙色战士130级衣服</v>
      </c>
      <c r="O326" s="41">
        <v>1</v>
      </c>
    </row>
    <row r="327" spans="1:15">
      <c r="A327" s="43" t="s">
        <v>772</v>
      </c>
      <c r="B327" s="40">
        <v>333</v>
      </c>
      <c r="C327" s="40">
        <v>58</v>
      </c>
      <c r="D327" s="40"/>
      <c r="E327" s="40"/>
      <c r="F327" s="40"/>
      <c r="G327" s="40">
        <v>19920</v>
      </c>
      <c r="H327" s="40"/>
      <c r="I327" s="40"/>
      <c r="J327" s="40"/>
      <c r="K327" s="40"/>
      <c r="L327" s="40"/>
      <c r="M327" s="41">
        <v>141314</v>
      </c>
      <c r="N327" s="1" t="str">
        <f>IFERROR(INDEX([1]物品基础表!$A:$A,MATCH(M327,[1]物品基础表!$B:$B,0)),"")</f>
        <v>橙色战士130级手镯</v>
      </c>
      <c r="O327" s="41">
        <v>1</v>
      </c>
    </row>
    <row r="328" spans="1:15">
      <c r="A328" s="43" t="s">
        <v>772</v>
      </c>
      <c r="B328" s="40">
        <v>333</v>
      </c>
      <c r="C328" s="40">
        <v>59</v>
      </c>
      <c r="D328" s="40"/>
      <c r="E328" s="40"/>
      <c r="F328" s="40"/>
      <c r="G328" s="40">
        <v>19920</v>
      </c>
      <c r="H328" s="40"/>
      <c r="I328" s="40"/>
      <c r="J328" s="40"/>
      <c r="K328" s="40"/>
      <c r="L328" s="40"/>
      <c r="M328" s="41">
        <v>161314</v>
      </c>
      <c r="N328" s="1" t="str">
        <f>IFERROR(INDEX([1]物品基础表!$A:$A,MATCH(M328,[1]物品基础表!$B:$B,0)),"")</f>
        <v>橙色战士130级戒指</v>
      </c>
      <c r="O328" s="41">
        <v>1</v>
      </c>
    </row>
    <row r="329" spans="1:15">
      <c r="A329" s="43" t="s">
        <v>772</v>
      </c>
      <c r="B329" s="40">
        <v>333</v>
      </c>
      <c r="C329" s="40">
        <v>60</v>
      </c>
      <c r="D329" s="40"/>
      <c r="E329" s="40"/>
      <c r="F329" s="40"/>
      <c r="G329" s="40">
        <v>19920</v>
      </c>
      <c r="H329" s="40"/>
      <c r="I329" s="40"/>
      <c r="J329" s="40"/>
      <c r="K329" s="40"/>
      <c r="L329" s="40"/>
      <c r="M329" s="41">
        <v>111314</v>
      </c>
      <c r="N329" s="1" t="str">
        <f>IFERROR(INDEX([1]物品基础表!$A:$A,MATCH(M329,[1]物品基础表!$B:$B,0)),"")</f>
        <v>橙色战士130级头盔</v>
      </c>
      <c r="O329" s="41">
        <v>1</v>
      </c>
    </row>
    <row r="330" spans="1:15">
      <c r="A330" s="43" t="s">
        <v>772</v>
      </c>
      <c r="B330" s="40">
        <v>333</v>
      </c>
      <c r="C330" s="40">
        <v>61</v>
      </c>
      <c r="D330" s="40"/>
      <c r="E330" s="40"/>
      <c r="F330" s="40"/>
      <c r="G330" s="40">
        <v>19920</v>
      </c>
      <c r="H330" s="40"/>
      <c r="I330" s="40"/>
      <c r="J330" s="40"/>
      <c r="K330" s="40"/>
      <c r="L330" s="40"/>
      <c r="M330" s="41">
        <v>131314</v>
      </c>
      <c r="N330" s="1" t="str">
        <f>IFERROR(INDEX([1]物品基础表!$A:$A,MATCH(M330,[1]物品基础表!$B:$B,0)),"")</f>
        <v>橙色战士130级项链</v>
      </c>
      <c r="O330" s="41">
        <v>1</v>
      </c>
    </row>
    <row r="331" spans="1:15">
      <c r="A331" s="43" t="s">
        <v>772</v>
      </c>
      <c r="B331" s="40">
        <v>333</v>
      </c>
      <c r="C331" s="40">
        <v>62</v>
      </c>
      <c r="D331" s="40"/>
      <c r="E331" s="40"/>
      <c r="F331" s="40"/>
      <c r="G331" s="40">
        <v>19920</v>
      </c>
      <c r="H331" s="40"/>
      <c r="I331" s="40"/>
      <c r="J331" s="40"/>
      <c r="K331" s="40"/>
      <c r="L331" s="40"/>
      <c r="M331" s="41">
        <v>151314</v>
      </c>
      <c r="N331" s="1" t="str">
        <f>IFERROR(INDEX([1]物品基础表!$A:$A,MATCH(M331,[1]物品基础表!$B:$B,0)),"")</f>
        <v>橙色战士130级腰带</v>
      </c>
      <c r="O331" s="41">
        <v>1</v>
      </c>
    </row>
    <row r="332" spans="1:15">
      <c r="A332" s="43" t="s">
        <v>772</v>
      </c>
      <c r="B332" s="40">
        <v>333</v>
      </c>
      <c r="C332" s="40">
        <v>63</v>
      </c>
      <c r="D332" s="40"/>
      <c r="E332" s="40"/>
      <c r="F332" s="40"/>
      <c r="G332" s="40">
        <v>19920</v>
      </c>
      <c r="H332" s="40"/>
      <c r="I332" s="40"/>
      <c r="J332" s="40"/>
      <c r="K332" s="40"/>
      <c r="L332" s="40"/>
      <c r="M332" s="41">
        <v>171314</v>
      </c>
      <c r="N332" s="1" t="str">
        <f>IFERROR(INDEX([1]物品基础表!$A:$A,MATCH(M332,[1]物品基础表!$B:$B,0)),"")</f>
        <v>橙色战士130级鞋子</v>
      </c>
      <c r="O332" s="41">
        <v>1</v>
      </c>
    </row>
    <row r="333" spans="1:15">
      <c r="A333" s="43" t="s">
        <v>772</v>
      </c>
      <c r="B333" s="40">
        <v>333</v>
      </c>
      <c r="C333" s="40">
        <v>64</v>
      </c>
      <c r="D333" s="40"/>
      <c r="E333" s="40"/>
      <c r="F333" s="40"/>
      <c r="G333" s="40">
        <v>49800</v>
      </c>
      <c r="H333" s="40"/>
      <c r="I333" s="40"/>
      <c r="J333" s="40"/>
      <c r="K333" s="40"/>
      <c r="L333" s="40"/>
      <c r="M333" s="41">
        <v>102314</v>
      </c>
      <c r="N333" s="1" t="str">
        <f>IFERROR(INDEX([1]物品基础表!$A:$A,MATCH(M333,[1]物品基础表!$B:$B,0)),"")</f>
        <v>橙色法师130级武器</v>
      </c>
      <c r="O333" s="41">
        <v>1</v>
      </c>
    </row>
    <row r="334" spans="1:15">
      <c r="A334" s="43" t="s">
        <v>772</v>
      </c>
      <c r="B334" s="40">
        <v>333</v>
      </c>
      <c r="C334" s="40">
        <v>65</v>
      </c>
      <c r="D334" s="40"/>
      <c r="E334" s="40"/>
      <c r="F334" s="40"/>
      <c r="G334" s="40">
        <v>35856</v>
      </c>
      <c r="H334" s="40"/>
      <c r="I334" s="40"/>
      <c r="J334" s="40"/>
      <c r="K334" s="40"/>
      <c r="L334" s="40"/>
      <c r="M334" s="41">
        <v>122314</v>
      </c>
      <c r="N334" s="1" t="str">
        <f>IFERROR(INDEX([1]物品基础表!$A:$A,MATCH(M334,[1]物品基础表!$B:$B,0)),"")</f>
        <v>橙色法师130级衣服</v>
      </c>
      <c r="O334" s="41">
        <v>1</v>
      </c>
    </row>
    <row r="335" spans="1:15">
      <c r="A335" s="43" t="s">
        <v>772</v>
      </c>
      <c r="B335" s="40">
        <v>333</v>
      </c>
      <c r="C335" s="40">
        <v>66</v>
      </c>
      <c r="D335" s="40"/>
      <c r="E335" s="40"/>
      <c r="F335" s="40"/>
      <c r="G335" s="40">
        <v>19920</v>
      </c>
      <c r="H335" s="40"/>
      <c r="I335" s="40"/>
      <c r="J335" s="40"/>
      <c r="K335" s="40"/>
      <c r="L335" s="40"/>
      <c r="M335" s="41">
        <v>142314</v>
      </c>
      <c r="N335" s="1" t="str">
        <f>IFERROR(INDEX([1]物品基础表!$A:$A,MATCH(M335,[1]物品基础表!$B:$B,0)),"")</f>
        <v>橙色法师130级手镯</v>
      </c>
      <c r="O335" s="41">
        <v>1</v>
      </c>
    </row>
    <row r="336" spans="1:15">
      <c r="A336" s="43" t="s">
        <v>772</v>
      </c>
      <c r="B336" s="40">
        <v>333</v>
      </c>
      <c r="C336" s="40">
        <v>67</v>
      </c>
      <c r="D336" s="40"/>
      <c r="E336" s="40"/>
      <c r="F336" s="40"/>
      <c r="G336" s="40">
        <v>19920</v>
      </c>
      <c r="H336" s="40"/>
      <c r="I336" s="40"/>
      <c r="J336" s="40"/>
      <c r="K336" s="40"/>
      <c r="L336" s="40"/>
      <c r="M336" s="41">
        <v>162314</v>
      </c>
      <c r="N336" s="1" t="str">
        <f>IFERROR(INDEX([1]物品基础表!$A:$A,MATCH(M336,[1]物品基础表!$B:$B,0)),"")</f>
        <v>橙色法师130级戒指</v>
      </c>
      <c r="O336" s="41">
        <v>1</v>
      </c>
    </row>
    <row r="337" spans="1:15">
      <c r="A337" s="43" t="s">
        <v>772</v>
      </c>
      <c r="B337" s="40">
        <v>333</v>
      </c>
      <c r="C337" s="40">
        <v>68</v>
      </c>
      <c r="D337" s="40"/>
      <c r="E337" s="40"/>
      <c r="F337" s="40"/>
      <c r="G337" s="40">
        <v>19920</v>
      </c>
      <c r="H337" s="40"/>
      <c r="I337" s="40"/>
      <c r="J337" s="40"/>
      <c r="K337" s="40"/>
      <c r="L337" s="40"/>
      <c r="M337" s="41">
        <v>112314</v>
      </c>
      <c r="N337" s="1" t="str">
        <f>IFERROR(INDEX([1]物品基础表!$A:$A,MATCH(M337,[1]物品基础表!$B:$B,0)),"")</f>
        <v>橙色法师130级头盔</v>
      </c>
      <c r="O337" s="41">
        <v>1</v>
      </c>
    </row>
    <row r="338" spans="1:15">
      <c r="A338" s="43" t="s">
        <v>772</v>
      </c>
      <c r="B338" s="40">
        <v>333</v>
      </c>
      <c r="C338" s="40">
        <v>69</v>
      </c>
      <c r="D338" s="40"/>
      <c r="E338" s="40"/>
      <c r="F338" s="40"/>
      <c r="G338" s="40">
        <v>19920</v>
      </c>
      <c r="H338" s="40"/>
      <c r="I338" s="40"/>
      <c r="J338" s="40"/>
      <c r="K338" s="40"/>
      <c r="L338" s="40"/>
      <c r="M338" s="41">
        <v>132314</v>
      </c>
      <c r="N338" s="1" t="str">
        <f>IFERROR(INDEX([1]物品基础表!$A:$A,MATCH(M338,[1]物品基础表!$B:$B,0)),"")</f>
        <v>橙色法师130级项链</v>
      </c>
      <c r="O338" s="41">
        <v>1</v>
      </c>
    </row>
    <row r="339" spans="1:15">
      <c r="A339" s="43" t="s">
        <v>772</v>
      </c>
      <c r="B339" s="40">
        <v>333</v>
      </c>
      <c r="C339" s="40">
        <v>70</v>
      </c>
      <c r="D339" s="40"/>
      <c r="E339" s="40"/>
      <c r="F339" s="40"/>
      <c r="G339" s="40">
        <v>19920</v>
      </c>
      <c r="H339" s="40"/>
      <c r="I339" s="40"/>
      <c r="J339" s="40"/>
      <c r="K339" s="40"/>
      <c r="L339" s="40"/>
      <c r="M339" s="41">
        <v>152314</v>
      </c>
      <c r="N339" s="1" t="str">
        <f>IFERROR(INDEX([1]物品基础表!$A:$A,MATCH(M339,[1]物品基础表!$B:$B,0)),"")</f>
        <v>橙色法师130级腰带</v>
      </c>
      <c r="O339" s="41">
        <v>1</v>
      </c>
    </row>
    <row r="340" spans="1:15">
      <c r="A340" s="43" t="s">
        <v>772</v>
      </c>
      <c r="B340" s="40">
        <v>333</v>
      </c>
      <c r="C340" s="40">
        <v>71</v>
      </c>
      <c r="D340" s="40"/>
      <c r="E340" s="40"/>
      <c r="F340" s="40"/>
      <c r="G340" s="40">
        <v>19920</v>
      </c>
      <c r="H340" s="40"/>
      <c r="I340" s="40"/>
      <c r="J340" s="40"/>
      <c r="K340" s="40"/>
      <c r="L340" s="40"/>
      <c r="M340" s="41">
        <v>172314</v>
      </c>
      <c r="N340" s="1" t="str">
        <f>IFERROR(INDEX([1]物品基础表!$A:$A,MATCH(M340,[1]物品基础表!$B:$B,0)),"")</f>
        <v>橙色法师130级鞋子</v>
      </c>
      <c r="O340" s="41">
        <v>1</v>
      </c>
    </row>
    <row r="341" spans="1:15">
      <c r="A341" s="43" t="s">
        <v>772</v>
      </c>
      <c r="B341" s="40">
        <v>333</v>
      </c>
      <c r="C341" s="40">
        <v>72</v>
      </c>
      <c r="D341" s="40"/>
      <c r="E341" s="40"/>
      <c r="F341" s="40"/>
      <c r="G341" s="40">
        <v>49800</v>
      </c>
      <c r="H341" s="40"/>
      <c r="I341" s="40"/>
      <c r="J341" s="40"/>
      <c r="K341" s="40"/>
      <c r="L341" s="40"/>
      <c r="M341" s="41">
        <v>103314</v>
      </c>
      <c r="N341" s="1" t="str">
        <f>IFERROR(INDEX([1]物品基础表!$A:$A,MATCH(M341,[1]物品基础表!$B:$B,0)),"")</f>
        <v>橙色道士130级武器</v>
      </c>
      <c r="O341" s="41">
        <v>1</v>
      </c>
    </row>
    <row r="342" spans="1:15">
      <c r="A342" s="43" t="s">
        <v>772</v>
      </c>
      <c r="B342" s="40">
        <v>333</v>
      </c>
      <c r="C342" s="40">
        <v>73</v>
      </c>
      <c r="D342" s="40"/>
      <c r="E342" s="40"/>
      <c r="F342" s="40"/>
      <c r="G342" s="40">
        <v>35856</v>
      </c>
      <c r="H342" s="40"/>
      <c r="I342" s="40"/>
      <c r="J342" s="40"/>
      <c r="K342" s="40"/>
      <c r="L342" s="40"/>
      <c r="M342" s="41">
        <v>123314</v>
      </c>
      <c r="N342" s="1" t="str">
        <f>IFERROR(INDEX([1]物品基础表!$A:$A,MATCH(M342,[1]物品基础表!$B:$B,0)),"")</f>
        <v>橙色道士130级衣服</v>
      </c>
      <c r="O342" s="41">
        <v>1</v>
      </c>
    </row>
    <row r="343" spans="1:15">
      <c r="A343" s="43" t="s">
        <v>772</v>
      </c>
      <c r="B343" s="40">
        <v>333</v>
      </c>
      <c r="C343" s="40">
        <v>74</v>
      </c>
      <c r="D343" s="40"/>
      <c r="E343" s="40"/>
      <c r="F343" s="40"/>
      <c r="G343" s="40">
        <v>19920</v>
      </c>
      <c r="H343" s="40"/>
      <c r="I343" s="40"/>
      <c r="J343" s="40"/>
      <c r="K343" s="40"/>
      <c r="L343" s="40"/>
      <c r="M343" s="41">
        <v>143314</v>
      </c>
      <c r="N343" s="1" t="str">
        <f>IFERROR(INDEX([1]物品基础表!$A:$A,MATCH(M343,[1]物品基础表!$B:$B,0)),"")</f>
        <v>橙色道士130级手镯</v>
      </c>
      <c r="O343" s="41">
        <v>1</v>
      </c>
    </row>
    <row r="344" spans="1:15">
      <c r="A344" s="43" t="s">
        <v>772</v>
      </c>
      <c r="B344" s="40">
        <v>333</v>
      </c>
      <c r="C344" s="40">
        <v>75</v>
      </c>
      <c r="D344" s="40"/>
      <c r="E344" s="40"/>
      <c r="F344" s="40"/>
      <c r="G344" s="40">
        <v>19920</v>
      </c>
      <c r="H344" s="40"/>
      <c r="I344" s="40"/>
      <c r="J344" s="40"/>
      <c r="K344" s="40"/>
      <c r="L344" s="40"/>
      <c r="M344" s="41">
        <v>163314</v>
      </c>
      <c r="N344" s="1" t="str">
        <f>IFERROR(INDEX([1]物品基础表!$A:$A,MATCH(M344,[1]物品基础表!$B:$B,0)),"")</f>
        <v>橙色道士130级戒指</v>
      </c>
      <c r="O344" s="41">
        <v>1</v>
      </c>
    </row>
    <row r="345" spans="1:15">
      <c r="A345" s="43" t="s">
        <v>772</v>
      </c>
      <c r="B345" s="40">
        <v>333</v>
      </c>
      <c r="C345" s="40">
        <v>76</v>
      </c>
      <c r="D345" s="40"/>
      <c r="E345" s="40"/>
      <c r="F345" s="40"/>
      <c r="G345" s="40">
        <v>19920</v>
      </c>
      <c r="H345" s="40"/>
      <c r="I345" s="40"/>
      <c r="J345" s="40"/>
      <c r="K345" s="40"/>
      <c r="L345" s="40"/>
      <c r="M345" s="41">
        <v>113314</v>
      </c>
      <c r="N345" s="1" t="str">
        <f>IFERROR(INDEX([1]物品基础表!$A:$A,MATCH(M345,[1]物品基础表!$B:$B,0)),"")</f>
        <v>橙色道士130级头盔</v>
      </c>
      <c r="O345" s="41">
        <v>1</v>
      </c>
    </row>
    <row r="346" spans="1:15">
      <c r="A346" s="43" t="s">
        <v>772</v>
      </c>
      <c r="B346" s="40">
        <v>333</v>
      </c>
      <c r="C346" s="40">
        <v>77</v>
      </c>
      <c r="D346" s="40"/>
      <c r="E346" s="40"/>
      <c r="F346" s="40"/>
      <c r="G346" s="40">
        <v>19920</v>
      </c>
      <c r="H346" s="40"/>
      <c r="I346" s="40"/>
      <c r="J346" s="40"/>
      <c r="K346" s="40"/>
      <c r="L346" s="40"/>
      <c r="M346" s="41">
        <v>133314</v>
      </c>
      <c r="N346" s="1" t="str">
        <f>IFERROR(INDEX([1]物品基础表!$A:$A,MATCH(M346,[1]物品基础表!$B:$B,0)),"")</f>
        <v>橙色道士130级项链</v>
      </c>
      <c r="O346" s="41">
        <v>1</v>
      </c>
    </row>
    <row r="347" spans="1:15">
      <c r="A347" s="43" t="s">
        <v>772</v>
      </c>
      <c r="B347" s="40">
        <v>333</v>
      </c>
      <c r="C347" s="40">
        <v>78</v>
      </c>
      <c r="D347" s="40"/>
      <c r="E347" s="40"/>
      <c r="F347" s="40"/>
      <c r="G347" s="40">
        <v>19920</v>
      </c>
      <c r="H347" s="40"/>
      <c r="I347" s="40"/>
      <c r="J347" s="40"/>
      <c r="K347" s="40"/>
      <c r="L347" s="40"/>
      <c r="M347" s="41">
        <v>153314</v>
      </c>
      <c r="N347" s="1" t="str">
        <f>IFERROR(INDEX([1]物品基础表!$A:$A,MATCH(M347,[1]物品基础表!$B:$B,0)),"")</f>
        <v>橙色道士130级腰带</v>
      </c>
      <c r="O347" s="41">
        <v>1</v>
      </c>
    </row>
    <row r="348" spans="1:15">
      <c r="A348" s="43" t="s">
        <v>772</v>
      </c>
      <c r="B348" s="40">
        <v>333</v>
      </c>
      <c r="C348" s="40">
        <v>79</v>
      </c>
      <c r="D348" s="40"/>
      <c r="E348" s="40"/>
      <c r="F348" s="40"/>
      <c r="G348" s="40">
        <v>19920</v>
      </c>
      <c r="H348" s="40"/>
      <c r="I348" s="40"/>
      <c r="J348" s="40"/>
      <c r="K348" s="40"/>
      <c r="L348" s="40"/>
      <c r="M348" s="41">
        <v>173314</v>
      </c>
      <c r="N348" s="1" t="str">
        <f>IFERROR(INDEX([1]物品基础表!$A:$A,MATCH(M348,[1]物品基础表!$B:$B,0)),"")</f>
        <v>橙色道士130级鞋子</v>
      </c>
      <c r="O348" s="41">
        <v>1</v>
      </c>
    </row>
    <row r="349" spans="1:15">
      <c r="A349" s="43" t="s">
        <v>772</v>
      </c>
      <c r="B349" s="40">
        <v>333</v>
      </c>
      <c r="C349" s="40">
        <v>80</v>
      </c>
      <c r="D349" s="40"/>
      <c r="E349" s="40"/>
      <c r="F349" s="40"/>
      <c r="G349" s="40">
        <v>66392</v>
      </c>
      <c r="H349" s="40"/>
      <c r="I349" s="40"/>
      <c r="J349" s="40"/>
      <c r="K349" s="40"/>
      <c r="L349" s="40"/>
      <c r="M349" s="41">
        <v>101315</v>
      </c>
      <c r="N349" s="1" t="str">
        <f>IFERROR(INDEX([1]物品基础表!$A:$A,MATCH(M349,[1]物品基础表!$B:$B,0)),"")</f>
        <v>橙色战士140级武器</v>
      </c>
      <c r="O349" s="41">
        <v>1</v>
      </c>
    </row>
    <row r="350" spans="1:15">
      <c r="A350" s="43" t="s">
        <v>772</v>
      </c>
      <c r="B350" s="40">
        <v>333</v>
      </c>
      <c r="C350" s="40">
        <v>81</v>
      </c>
      <c r="D350" s="40"/>
      <c r="E350" s="40"/>
      <c r="F350" s="40"/>
      <c r="G350" s="40">
        <v>47801</v>
      </c>
      <c r="H350" s="40"/>
      <c r="I350" s="40"/>
      <c r="J350" s="40"/>
      <c r="K350" s="40"/>
      <c r="L350" s="40"/>
      <c r="M350" s="41">
        <v>121315</v>
      </c>
      <c r="N350" s="1" t="str">
        <f>IFERROR(INDEX([1]物品基础表!$A:$A,MATCH(M350,[1]物品基础表!$B:$B,0)),"")</f>
        <v>橙色战士140级衣服</v>
      </c>
      <c r="O350" s="41">
        <v>1</v>
      </c>
    </row>
    <row r="351" spans="1:15">
      <c r="A351" s="43" t="s">
        <v>772</v>
      </c>
      <c r="B351" s="40">
        <v>333</v>
      </c>
      <c r="C351" s="40">
        <v>82</v>
      </c>
      <c r="D351" s="40"/>
      <c r="E351" s="40"/>
      <c r="F351" s="40"/>
      <c r="G351" s="40">
        <v>26556</v>
      </c>
      <c r="H351" s="40"/>
      <c r="I351" s="40"/>
      <c r="J351" s="40"/>
      <c r="K351" s="40"/>
      <c r="L351" s="40"/>
      <c r="M351" s="41">
        <v>141315</v>
      </c>
      <c r="N351" s="1" t="str">
        <f>IFERROR(INDEX([1]物品基础表!$A:$A,MATCH(M351,[1]物品基础表!$B:$B,0)),"")</f>
        <v>橙色战士140级手镯</v>
      </c>
      <c r="O351" s="41">
        <v>1</v>
      </c>
    </row>
    <row r="352" spans="1:15">
      <c r="A352" s="43" t="s">
        <v>772</v>
      </c>
      <c r="B352" s="40">
        <v>333</v>
      </c>
      <c r="C352" s="40">
        <v>83</v>
      </c>
      <c r="D352" s="40"/>
      <c r="E352" s="40"/>
      <c r="F352" s="40"/>
      <c r="G352" s="40">
        <v>26556</v>
      </c>
      <c r="H352" s="40"/>
      <c r="I352" s="40"/>
      <c r="J352" s="40"/>
      <c r="K352" s="40"/>
      <c r="L352" s="40"/>
      <c r="M352" s="41">
        <v>161315</v>
      </c>
      <c r="N352" s="1" t="str">
        <f>IFERROR(INDEX([1]物品基础表!$A:$A,MATCH(M352,[1]物品基础表!$B:$B,0)),"")</f>
        <v>橙色战士140级戒指</v>
      </c>
      <c r="O352" s="41">
        <v>1</v>
      </c>
    </row>
    <row r="353" spans="1:15">
      <c r="A353" s="43" t="s">
        <v>772</v>
      </c>
      <c r="B353" s="40">
        <v>333</v>
      </c>
      <c r="C353" s="40">
        <v>84</v>
      </c>
      <c r="D353" s="40"/>
      <c r="E353" s="40"/>
      <c r="F353" s="40"/>
      <c r="G353" s="40">
        <v>26556</v>
      </c>
      <c r="H353" s="40"/>
      <c r="I353" s="40"/>
      <c r="J353" s="40"/>
      <c r="K353" s="40"/>
      <c r="L353" s="40"/>
      <c r="M353" s="41">
        <v>111315</v>
      </c>
      <c r="N353" s="1" t="str">
        <f>IFERROR(INDEX([1]物品基础表!$A:$A,MATCH(M353,[1]物品基础表!$B:$B,0)),"")</f>
        <v>橙色战士140级头盔</v>
      </c>
      <c r="O353" s="41">
        <v>1</v>
      </c>
    </row>
    <row r="354" spans="1:15">
      <c r="A354" s="43" t="s">
        <v>772</v>
      </c>
      <c r="B354" s="40">
        <v>333</v>
      </c>
      <c r="C354" s="40">
        <v>85</v>
      </c>
      <c r="D354" s="40"/>
      <c r="E354" s="40"/>
      <c r="F354" s="40"/>
      <c r="G354" s="40">
        <v>26556</v>
      </c>
      <c r="H354" s="40"/>
      <c r="I354" s="40"/>
      <c r="J354" s="40"/>
      <c r="K354" s="40"/>
      <c r="L354" s="40"/>
      <c r="M354" s="41">
        <v>131315</v>
      </c>
      <c r="N354" s="1" t="str">
        <f>IFERROR(INDEX([1]物品基础表!$A:$A,MATCH(M354,[1]物品基础表!$B:$B,0)),"")</f>
        <v>橙色战士140级项链</v>
      </c>
      <c r="O354" s="41">
        <v>1</v>
      </c>
    </row>
    <row r="355" spans="1:15">
      <c r="A355" s="43" t="s">
        <v>772</v>
      </c>
      <c r="B355" s="40">
        <v>333</v>
      </c>
      <c r="C355" s="40">
        <v>86</v>
      </c>
      <c r="D355" s="40"/>
      <c r="E355" s="40"/>
      <c r="F355" s="40"/>
      <c r="G355" s="40">
        <v>26556</v>
      </c>
      <c r="H355" s="40"/>
      <c r="I355" s="40"/>
      <c r="J355" s="40"/>
      <c r="K355" s="40"/>
      <c r="L355" s="40"/>
      <c r="M355" s="41">
        <v>151315</v>
      </c>
      <c r="N355" s="1" t="str">
        <f>IFERROR(INDEX([1]物品基础表!$A:$A,MATCH(M355,[1]物品基础表!$B:$B,0)),"")</f>
        <v>橙色战士140级腰带</v>
      </c>
      <c r="O355" s="41">
        <v>1</v>
      </c>
    </row>
    <row r="356" spans="1:15">
      <c r="A356" s="43" t="s">
        <v>772</v>
      </c>
      <c r="B356" s="40">
        <v>333</v>
      </c>
      <c r="C356" s="40">
        <v>87</v>
      </c>
      <c r="D356" s="40"/>
      <c r="E356" s="40"/>
      <c r="F356" s="40"/>
      <c r="G356" s="40">
        <v>26556</v>
      </c>
      <c r="H356" s="40"/>
      <c r="I356" s="40"/>
      <c r="J356" s="40"/>
      <c r="K356" s="40"/>
      <c r="L356" s="40"/>
      <c r="M356" s="41">
        <v>171315</v>
      </c>
      <c r="N356" s="1" t="str">
        <f>IFERROR(INDEX([1]物品基础表!$A:$A,MATCH(M356,[1]物品基础表!$B:$B,0)),"")</f>
        <v>橙色战士140级鞋子</v>
      </c>
      <c r="O356" s="41">
        <v>1</v>
      </c>
    </row>
    <row r="357" spans="1:15">
      <c r="A357" s="43" t="s">
        <v>772</v>
      </c>
      <c r="B357" s="40">
        <v>333</v>
      </c>
      <c r="C357" s="40">
        <v>88</v>
      </c>
      <c r="D357" s="40"/>
      <c r="E357" s="40"/>
      <c r="F357" s="40"/>
      <c r="G357" s="40">
        <v>66392</v>
      </c>
      <c r="H357" s="40"/>
      <c r="I357" s="40"/>
      <c r="J357" s="40"/>
      <c r="K357" s="40"/>
      <c r="L357" s="40"/>
      <c r="M357" s="41">
        <v>102315</v>
      </c>
      <c r="N357" s="1" t="str">
        <f>IFERROR(INDEX([1]物品基础表!$A:$A,MATCH(M357,[1]物品基础表!$B:$B,0)),"")</f>
        <v>橙色法师140级武器</v>
      </c>
      <c r="O357" s="41">
        <v>1</v>
      </c>
    </row>
    <row r="358" spans="1:15">
      <c r="A358" s="43" t="s">
        <v>772</v>
      </c>
      <c r="B358" s="40">
        <v>333</v>
      </c>
      <c r="C358" s="40">
        <v>89</v>
      </c>
      <c r="D358" s="40"/>
      <c r="E358" s="40"/>
      <c r="F358" s="40"/>
      <c r="G358" s="40">
        <v>47801</v>
      </c>
      <c r="H358" s="40"/>
      <c r="I358" s="40"/>
      <c r="J358" s="40"/>
      <c r="K358" s="40"/>
      <c r="L358" s="40"/>
      <c r="M358" s="41">
        <v>122315</v>
      </c>
      <c r="N358" s="1" t="str">
        <f>IFERROR(INDEX([1]物品基础表!$A:$A,MATCH(M358,[1]物品基础表!$B:$B,0)),"")</f>
        <v>橙色法师140级衣服</v>
      </c>
      <c r="O358" s="41">
        <v>1</v>
      </c>
    </row>
    <row r="359" spans="1:15">
      <c r="A359" s="43" t="s">
        <v>772</v>
      </c>
      <c r="B359" s="40">
        <v>333</v>
      </c>
      <c r="C359" s="40">
        <v>90</v>
      </c>
      <c r="D359" s="40"/>
      <c r="E359" s="40"/>
      <c r="F359" s="40"/>
      <c r="G359" s="40">
        <v>26556</v>
      </c>
      <c r="H359" s="40"/>
      <c r="I359" s="40"/>
      <c r="J359" s="40"/>
      <c r="K359" s="40"/>
      <c r="L359" s="40"/>
      <c r="M359" s="41">
        <v>142315</v>
      </c>
      <c r="N359" s="1" t="str">
        <f>IFERROR(INDEX([1]物品基础表!$A:$A,MATCH(M359,[1]物品基础表!$B:$B,0)),"")</f>
        <v>橙色法师140级手镯</v>
      </c>
      <c r="O359" s="41">
        <v>1</v>
      </c>
    </row>
    <row r="360" spans="1:15">
      <c r="A360" s="43" t="s">
        <v>772</v>
      </c>
      <c r="B360" s="40">
        <v>333</v>
      </c>
      <c r="C360" s="40">
        <v>91</v>
      </c>
      <c r="D360" s="40"/>
      <c r="E360" s="40"/>
      <c r="F360" s="40"/>
      <c r="G360" s="40">
        <v>26556</v>
      </c>
      <c r="H360" s="40"/>
      <c r="I360" s="40"/>
      <c r="J360" s="40"/>
      <c r="K360" s="40"/>
      <c r="L360" s="40"/>
      <c r="M360" s="41">
        <v>162315</v>
      </c>
      <c r="N360" s="1" t="str">
        <f>IFERROR(INDEX([1]物品基础表!$A:$A,MATCH(M360,[1]物品基础表!$B:$B,0)),"")</f>
        <v>橙色法师140级戒指</v>
      </c>
      <c r="O360" s="41">
        <v>1</v>
      </c>
    </row>
    <row r="361" spans="1:15">
      <c r="A361" s="43" t="s">
        <v>772</v>
      </c>
      <c r="B361" s="40">
        <v>333</v>
      </c>
      <c r="C361" s="40">
        <v>92</v>
      </c>
      <c r="D361" s="40"/>
      <c r="E361" s="40"/>
      <c r="F361" s="40"/>
      <c r="G361" s="40">
        <v>26556</v>
      </c>
      <c r="H361" s="40"/>
      <c r="I361" s="40"/>
      <c r="J361" s="40"/>
      <c r="K361" s="40"/>
      <c r="L361" s="40"/>
      <c r="M361" s="41">
        <v>112315</v>
      </c>
      <c r="N361" s="1" t="str">
        <f>IFERROR(INDEX([1]物品基础表!$A:$A,MATCH(M361,[1]物品基础表!$B:$B,0)),"")</f>
        <v>橙色法师140级头盔</v>
      </c>
      <c r="O361" s="41">
        <v>1</v>
      </c>
    </row>
    <row r="362" spans="1:15">
      <c r="A362" s="43" t="s">
        <v>772</v>
      </c>
      <c r="B362" s="40">
        <v>333</v>
      </c>
      <c r="C362" s="40">
        <v>93</v>
      </c>
      <c r="D362" s="40"/>
      <c r="E362" s="40"/>
      <c r="F362" s="40"/>
      <c r="G362" s="40">
        <v>26556</v>
      </c>
      <c r="H362" s="40"/>
      <c r="I362" s="40"/>
      <c r="J362" s="40"/>
      <c r="K362" s="40"/>
      <c r="L362" s="40"/>
      <c r="M362" s="41">
        <v>132315</v>
      </c>
      <c r="N362" s="1" t="str">
        <f>IFERROR(INDEX([1]物品基础表!$A:$A,MATCH(M362,[1]物品基础表!$B:$B,0)),"")</f>
        <v>橙色法师140级项链</v>
      </c>
      <c r="O362" s="41">
        <v>1</v>
      </c>
    </row>
    <row r="363" spans="1:15">
      <c r="A363" s="43" t="s">
        <v>772</v>
      </c>
      <c r="B363" s="40">
        <v>333</v>
      </c>
      <c r="C363" s="40">
        <v>94</v>
      </c>
      <c r="D363" s="40"/>
      <c r="E363" s="40"/>
      <c r="F363" s="40"/>
      <c r="G363" s="40">
        <v>26556</v>
      </c>
      <c r="H363" s="40"/>
      <c r="I363" s="40"/>
      <c r="J363" s="40"/>
      <c r="K363" s="40"/>
      <c r="L363" s="40"/>
      <c r="M363" s="41">
        <v>152315</v>
      </c>
      <c r="N363" s="1" t="str">
        <f>IFERROR(INDEX([1]物品基础表!$A:$A,MATCH(M363,[1]物品基础表!$B:$B,0)),"")</f>
        <v>橙色法师140级腰带</v>
      </c>
      <c r="O363" s="41">
        <v>1</v>
      </c>
    </row>
    <row r="364" spans="1:15">
      <c r="A364" s="43" t="s">
        <v>772</v>
      </c>
      <c r="B364" s="40">
        <v>333</v>
      </c>
      <c r="C364" s="40">
        <v>95</v>
      </c>
      <c r="D364" s="40"/>
      <c r="E364" s="40"/>
      <c r="F364" s="40"/>
      <c r="G364" s="40">
        <v>26556</v>
      </c>
      <c r="H364" s="40"/>
      <c r="I364" s="40"/>
      <c r="J364" s="40"/>
      <c r="K364" s="40"/>
      <c r="L364" s="40"/>
      <c r="M364" s="41">
        <v>172315</v>
      </c>
      <c r="N364" s="1" t="str">
        <f>IFERROR(INDEX([1]物品基础表!$A:$A,MATCH(M364,[1]物品基础表!$B:$B,0)),"")</f>
        <v>橙色法师140级鞋子</v>
      </c>
      <c r="O364" s="41">
        <v>1</v>
      </c>
    </row>
    <row r="365" spans="1:15">
      <c r="A365" s="43" t="s">
        <v>772</v>
      </c>
      <c r="B365" s="40">
        <v>333</v>
      </c>
      <c r="C365" s="40">
        <v>96</v>
      </c>
      <c r="D365" s="40"/>
      <c r="E365" s="40"/>
      <c r="F365" s="40"/>
      <c r="G365" s="40">
        <v>66392</v>
      </c>
      <c r="H365" s="40"/>
      <c r="I365" s="40"/>
      <c r="J365" s="40"/>
      <c r="K365" s="40"/>
      <c r="L365" s="40"/>
      <c r="M365" s="41">
        <v>103315</v>
      </c>
      <c r="N365" s="1" t="str">
        <f>IFERROR(INDEX([1]物品基础表!$A:$A,MATCH(M365,[1]物品基础表!$B:$B,0)),"")</f>
        <v>橙色道士140级武器</v>
      </c>
      <c r="O365" s="41">
        <v>1</v>
      </c>
    </row>
    <row r="366" spans="1:15">
      <c r="A366" s="43" t="s">
        <v>772</v>
      </c>
      <c r="B366" s="40">
        <v>333</v>
      </c>
      <c r="C366" s="40">
        <v>97</v>
      </c>
      <c r="D366" s="40"/>
      <c r="E366" s="40"/>
      <c r="F366" s="40"/>
      <c r="G366" s="40">
        <v>47801</v>
      </c>
      <c r="H366" s="40"/>
      <c r="I366" s="40"/>
      <c r="J366" s="40"/>
      <c r="K366" s="40"/>
      <c r="L366" s="40"/>
      <c r="M366" s="41">
        <v>123315</v>
      </c>
      <c r="N366" s="1" t="str">
        <f>IFERROR(INDEX([1]物品基础表!$A:$A,MATCH(M366,[1]物品基础表!$B:$B,0)),"")</f>
        <v>橙色道士140级衣服</v>
      </c>
      <c r="O366" s="41">
        <v>1</v>
      </c>
    </row>
    <row r="367" spans="1:15">
      <c r="A367" s="43" t="s">
        <v>772</v>
      </c>
      <c r="B367" s="40">
        <v>333</v>
      </c>
      <c r="C367" s="40">
        <v>98</v>
      </c>
      <c r="D367" s="40"/>
      <c r="E367" s="40"/>
      <c r="F367" s="40"/>
      <c r="G367" s="40">
        <v>26556</v>
      </c>
      <c r="H367" s="40"/>
      <c r="I367" s="40"/>
      <c r="J367" s="40"/>
      <c r="K367" s="40"/>
      <c r="L367" s="40"/>
      <c r="M367" s="41">
        <v>143315</v>
      </c>
      <c r="N367" s="1" t="str">
        <f>IFERROR(INDEX([1]物品基础表!$A:$A,MATCH(M367,[1]物品基础表!$B:$B,0)),"")</f>
        <v>橙色道士140级手镯</v>
      </c>
      <c r="O367" s="41">
        <v>1</v>
      </c>
    </row>
    <row r="368" spans="1:15">
      <c r="A368" s="43" t="s">
        <v>772</v>
      </c>
      <c r="B368" s="40">
        <v>333</v>
      </c>
      <c r="C368" s="40">
        <v>99</v>
      </c>
      <c r="D368" s="40"/>
      <c r="E368" s="40"/>
      <c r="F368" s="40"/>
      <c r="G368" s="40">
        <v>26556</v>
      </c>
      <c r="H368" s="40"/>
      <c r="I368" s="40"/>
      <c r="J368" s="40"/>
      <c r="K368" s="40"/>
      <c r="L368" s="40"/>
      <c r="M368" s="41">
        <v>163315</v>
      </c>
      <c r="N368" s="1" t="str">
        <f>IFERROR(INDEX([1]物品基础表!$A:$A,MATCH(M368,[1]物品基础表!$B:$B,0)),"")</f>
        <v>橙色道士140级戒指</v>
      </c>
      <c r="O368" s="41">
        <v>1</v>
      </c>
    </row>
    <row r="369" spans="1:15">
      <c r="A369" s="43" t="s">
        <v>772</v>
      </c>
      <c r="B369" s="40">
        <v>333</v>
      </c>
      <c r="C369" s="40">
        <v>100</v>
      </c>
      <c r="D369" s="40"/>
      <c r="E369" s="40"/>
      <c r="F369" s="40"/>
      <c r="G369" s="40">
        <v>26556</v>
      </c>
      <c r="H369" s="40"/>
      <c r="I369" s="40"/>
      <c r="J369" s="40"/>
      <c r="K369" s="40"/>
      <c r="L369" s="40"/>
      <c r="M369" s="41">
        <v>113315</v>
      </c>
      <c r="N369" s="1" t="str">
        <f>IFERROR(INDEX([1]物品基础表!$A:$A,MATCH(M369,[1]物品基础表!$B:$B,0)),"")</f>
        <v>橙色道士140级头盔</v>
      </c>
      <c r="O369" s="41">
        <v>1</v>
      </c>
    </row>
    <row r="370" spans="1:15">
      <c r="A370" s="43" t="s">
        <v>772</v>
      </c>
      <c r="B370" s="40">
        <v>333</v>
      </c>
      <c r="C370" s="40">
        <v>101</v>
      </c>
      <c r="D370" s="40"/>
      <c r="E370" s="40"/>
      <c r="F370" s="40"/>
      <c r="G370" s="40">
        <v>26556</v>
      </c>
      <c r="H370" s="40"/>
      <c r="I370" s="40"/>
      <c r="J370" s="40"/>
      <c r="K370" s="40"/>
      <c r="L370" s="40"/>
      <c r="M370" s="41">
        <v>133315</v>
      </c>
      <c r="N370" s="1" t="str">
        <f>IFERROR(INDEX([1]物品基础表!$A:$A,MATCH(M370,[1]物品基础表!$B:$B,0)),"")</f>
        <v>橙色道士140级项链</v>
      </c>
      <c r="O370" s="41">
        <v>1</v>
      </c>
    </row>
    <row r="371" spans="1:15">
      <c r="A371" s="43" t="s">
        <v>772</v>
      </c>
      <c r="B371" s="40">
        <v>333</v>
      </c>
      <c r="C371" s="40">
        <v>102</v>
      </c>
      <c r="D371" s="40"/>
      <c r="E371" s="40"/>
      <c r="F371" s="40"/>
      <c r="G371" s="40">
        <v>26556</v>
      </c>
      <c r="H371" s="40"/>
      <c r="I371" s="40"/>
      <c r="J371" s="40"/>
      <c r="K371" s="40"/>
      <c r="L371" s="40"/>
      <c r="M371" s="41">
        <v>153315</v>
      </c>
      <c r="N371" s="1" t="str">
        <f>IFERROR(INDEX([1]物品基础表!$A:$A,MATCH(M371,[1]物品基础表!$B:$B,0)),"")</f>
        <v>橙色道士140级腰带</v>
      </c>
      <c r="O371" s="41">
        <v>1</v>
      </c>
    </row>
    <row r="372" spans="1:15">
      <c r="A372" s="43" t="s">
        <v>772</v>
      </c>
      <c r="B372" s="40">
        <v>333</v>
      </c>
      <c r="C372" s="40">
        <v>103</v>
      </c>
      <c r="D372" s="40"/>
      <c r="E372" s="40"/>
      <c r="F372" s="40"/>
      <c r="G372" s="40">
        <v>26556</v>
      </c>
      <c r="H372" s="40"/>
      <c r="I372" s="40"/>
      <c r="J372" s="40"/>
      <c r="K372" s="40"/>
      <c r="L372" s="40"/>
      <c r="M372" s="41">
        <v>173315</v>
      </c>
      <c r="N372" s="1" t="str">
        <f>IFERROR(INDEX([1]物品基础表!$A:$A,MATCH(M372,[1]物品基础表!$B:$B,0)),"")</f>
        <v>橙色道士140级鞋子</v>
      </c>
      <c r="O372" s="41">
        <v>1</v>
      </c>
    </row>
    <row r="373" spans="1:15">
      <c r="A373" s="43" t="s">
        <v>772</v>
      </c>
      <c r="B373" s="40">
        <v>333</v>
      </c>
      <c r="C373" s="40">
        <v>104</v>
      </c>
      <c r="D373" s="40"/>
      <c r="E373" s="40"/>
      <c r="F373" s="40"/>
      <c r="G373" s="40">
        <v>84272</v>
      </c>
      <c r="H373" s="40"/>
      <c r="I373" s="40"/>
      <c r="J373" s="40"/>
      <c r="K373" s="40"/>
      <c r="L373" s="40"/>
      <c r="M373" s="41">
        <v>101316</v>
      </c>
      <c r="N373" s="1" t="str">
        <f>IFERROR(INDEX([1]物品基础表!$A:$A,MATCH(M373,[1]物品基础表!$B:$B,0)),"")</f>
        <v>橙色战士150级武器</v>
      </c>
      <c r="O373" s="41">
        <v>1</v>
      </c>
    </row>
    <row r="374" spans="1:15">
      <c r="A374" s="43" t="s">
        <v>772</v>
      </c>
      <c r="B374" s="40">
        <v>333</v>
      </c>
      <c r="C374" s="40">
        <v>105</v>
      </c>
      <c r="D374" s="40"/>
      <c r="E374" s="40"/>
      <c r="F374" s="40"/>
      <c r="G374" s="40">
        <v>60675</v>
      </c>
      <c r="H374" s="40"/>
      <c r="I374" s="40"/>
      <c r="J374" s="40"/>
      <c r="K374" s="40"/>
      <c r="L374" s="40"/>
      <c r="M374" s="41">
        <v>121316</v>
      </c>
      <c r="N374" s="1" t="str">
        <f>IFERROR(INDEX([1]物品基础表!$A:$A,MATCH(M374,[1]物品基础表!$B:$B,0)),"")</f>
        <v>橙色战士150级衣服</v>
      </c>
      <c r="O374" s="41">
        <v>1</v>
      </c>
    </row>
    <row r="375" spans="1:15">
      <c r="A375" s="43" t="s">
        <v>772</v>
      </c>
      <c r="B375" s="40">
        <v>333</v>
      </c>
      <c r="C375" s="40">
        <v>106</v>
      </c>
      <c r="D375" s="40"/>
      <c r="E375" s="40"/>
      <c r="F375" s="40"/>
      <c r="G375" s="40">
        <v>33708</v>
      </c>
      <c r="H375" s="40"/>
      <c r="I375" s="40"/>
      <c r="J375" s="40"/>
      <c r="K375" s="40"/>
      <c r="L375" s="40"/>
      <c r="M375" s="41">
        <v>141316</v>
      </c>
      <c r="N375" s="1" t="str">
        <f>IFERROR(INDEX([1]物品基础表!$A:$A,MATCH(M375,[1]物品基础表!$B:$B,0)),"")</f>
        <v>橙色战士150级手镯</v>
      </c>
      <c r="O375" s="41">
        <v>1</v>
      </c>
    </row>
    <row r="376" spans="1:15">
      <c r="A376" s="43" t="s">
        <v>772</v>
      </c>
      <c r="B376" s="40">
        <v>333</v>
      </c>
      <c r="C376" s="40">
        <v>107</v>
      </c>
      <c r="D376" s="40"/>
      <c r="E376" s="40"/>
      <c r="F376" s="40"/>
      <c r="G376" s="40">
        <v>33708</v>
      </c>
      <c r="H376" s="40"/>
      <c r="I376" s="40"/>
      <c r="J376" s="40"/>
      <c r="K376" s="40"/>
      <c r="L376" s="40"/>
      <c r="M376" s="41">
        <v>161316</v>
      </c>
      <c r="N376" s="1" t="str">
        <f>IFERROR(INDEX([1]物品基础表!$A:$A,MATCH(M376,[1]物品基础表!$B:$B,0)),"")</f>
        <v>橙色战士150级戒指</v>
      </c>
      <c r="O376" s="41">
        <v>1</v>
      </c>
    </row>
    <row r="377" spans="1:15">
      <c r="A377" s="43" t="s">
        <v>772</v>
      </c>
      <c r="B377" s="40">
        <v>333</v>
      </c>
      <c r="C377" s="40">
        <v>108</v>
      </c>
      <c r="D377" s="40"/>
      <c r="E377" s="40"/>
      <c r="F377" s="40"/>
      <c r="G377" s="40">
        <v>33708</v>
      </c>
      <c r="H377" s="40"/>
      <c r="I377" s="40"/>
      <c r="J377" s="40"/>
      <c r="K377" s="40"/>
      <c r="L377" s="40"/>
      <c r="M377" s="41">
        <v>111316</v>
      </c>
      <c r="N377" s="1" t="str">
        <f>IFERROR(INDEX([1]物品基础表!$A:$A,MATCH(M377,[1]物品基础表!$B:$B,0)),"")</f>
        <v>橙色战士150级头盔</v>
      </c>
      <c r="O377" s="41">
        <v>1</v>
      </c>
    </row>
    <row r="378" spans="1:15">
      <c r="A378" s="43" t="s">
        <v>772</v>
      </c>
      <c r="B378" s="40">
        <v>333</v>
      </c>
      <c r="C378" s="40">
        <v>109</v>
      </c>
      <c r="D378" s="40"/>
      <c r="E378" s="40"/>
      <c r="F378" s="40"/>
      <c r="G378" s="40">
        <v>33708</v>
      </c>
      <c r="H378" s="40"/>
      <c r="I378" s="40"/>
      <c r="J378" s="40"/>
      <c r="K378" s="40"/>
      <c r="L378" s="40"/>
      <c r="M378" s="41">
        <v>131316</v>
      </c>
      <c r="N378" s="1" t="str">
        <f>IFERROR(INDEX([1]物品基础表!$A:$A,MATCH(M378,[1]物品基础表!$B:$B,0)),"")</f>
        <v>橙色战士150级项链</v>
      </c>
      <c r="O378" s="41">
        <v>1</v>
      </c>
    </row>
    <row r="379" spans="1:15">
      <c r="A379" s="43" t="s">
        <v>772</v>
      </c>
      <c r="B379" s="40">
        <v>333</v>
      </c>
      <c r="C379" s="40">
        <v>110</v>
      </c>
      <c r="D379" s="40"/>
      <c r="E379" s="40"/>
      <c r="F379" s="40"/>
      <c r="G379" s="40">
        <v>33708</v>
      </c>
      <c r="H379" s="40"/>
      <c r="I379" s="40"/>
      <c r="J379" s="40"/>
      <c r="K379" s="40"/>
      <c r="L379" s="40"/>
      <c r="M379" s="41">
        <v>151316</v>
      </c>
      <c r="N379" s="1" t="str">
        <f>IFERROR(INDEX([1]物品基础表!$A:$A,MATCH(M379,[1]物品基础表!$B:$B,0)),"")</f>
        <v>橙色战士150级腰带</v>
      </c>
      <c r="O379" s="41">
        <v>1</v>
      </c>
    </row>
    <row r="380" spans="1:15">
      <c r="A380" s="43" t="s">
        <v>772</v>
      </c>
      <c r="B380" s="40">
        <v>333</v>
      </c>
      <c r="C380" s="40">
        <v>111</v>
      </c>
      <c r="D380" s="40"/>
      <c r="E380" s="40"/>
      <c r="F380" s="40"/>
      <c r="G380" s="40">
        <v>33708</v>
      </c>
      <c r="H380" s="40"/>
      <c r="I380" s="40"/>
      <c r="J380" s="40"/>
      <c r="K380" s="40"/>
      <c r="L380" s="40"/>
      <c r="M380" s="41">
        <v>171316</v>
      </c>
      <c r="N380" s="1" t="str">
        <f>IFERROR(INDEX([1]物品基础表!$A:$A,MATCH(M380,[1]物品基础表!$B:$B,0)),"")</f>
        <v>橙色战士150级鞋子</v>
      </c>
      <c r="O380" s="41">
        <v>1</v>
      </c>
    </row>
    <row r="381" spans="1:15">
      <c r="A381" s="43" t="s">
        <v>772</v>
      </c>
      <c r="B381" s="40">
        <v>333</v>
      </c>
      <c r="C381" s="40">
        <v>112</v>
      </c>
      <c r="D381" s="40"/>
      <c r="E381" s="40"/>
      <c r="F381" s="40"/>
      <c r="G381" s="40">
        <v>84272</v>
      </c>
      <c r="H381" s="40"/>
      <c r="I381" s="40"/>
      <c r="J381" s="40"/>
      <c r="K381" s="40"/>
      <c r="L381" s="40"/>
      <c r="M381" s="41">
        <v>102316</v>
      </c>
      <c r="N381" s="1" t="str">
        <f>IFERROR(INDEX([1]物品基础表!$A:$A,MATCH(M381,[1]物品基础表!$B:$B,0)),"")</f>
        <v>橙色法师150级武器</v>
      </c>
      <c r="O381" s="41">
        <v>1</v>
      </c>
    </row>
    <row r="382" spans="1:15">
      <c r="A382" s="43" t="s">
        <v>772</v>
      </c>
      <c r="B382" s="40">
        <v>333</v>
      </c>
      <c r="C382" s="40">
        <v>113</v>
      </c>
      <c r="D382" s="40"/>
      <c r="E382" s="40"/>
      <c r="F382" s="40"/>
      <c r="G382" s="40">
        <v>60675</v>
      </c>
      <c r="H382" s="40"/>
      <c r="I382" s="40"/>
      <c r="J382" s="40"/>
      <c r="K382" s="40"/>
      <c r="L382" s="40"/>
      <c r="M382" s="41">
        <v>122316</v>
      </c>
      <c r="N382" s="1" t="str">
        <f>IFERROR(INDEX([1]物品基础表!$A:$A,MATCH(M382,[1]物品基础表!$B:$B,0)),"")</f>
        <v>橙色法师150级衣服</v>
      </c>
      <c r="O382" s="41">
        <v>1</v>
      </c>
    </row>
    <row r="383" spans="1:15">
      <c r="A383" s="43" t="s">
        <v>772</v>
      </c>
      <c r="B383" s="40">
        <v>333</v>
      </c>
      <c r="C383" s="40">
        <v>114</v>
      </c>
      <c r="D383" s="40"/>
      <c r="E383" s="40"/>
      <c r="F383" s="40"/>
      <c r="G383" s="40">
        <v>33708</v>
      </c>
      <c r="H383" s="40"/>
      <c r="I383" s="40"/>
      <c r="J383" s="40"/>
      <c r="K383" s="40"/>
      <c r="L383" s="40"/>
      <c r="M383" s="41">
        <v>142316</v>
      </c>
      <c r="N383" s="1" t="str">
        <f>IFERROR(INDEX([1]物品基础表!$A:$A,MATCH(M383,[1]物品基础表!$B:$B,0)),"")</f>
        <v>橙色法师150级手镯</v>
      </c>
      <c r="O383" s="41">
        <v>1</v>
      </c>
    </row>
    <row r="384" spans="1:15">
      <c r="A384" s="43" t="s">
        <v>772</v>
      </c>
      <c r="B384" s="40">
        <v>333</v>
      </c>
      <c r="C384" s="40">
        <v>115</v>
      </c>
      <c r="D384" s="40"/>
      <c r="E384" s="40"/>
      <c r="F384" s="40"/>
      <c r="G384" s="40">
        <v>33708</v>
      </c>
      <c r="H384" s="40"/>
      <c r="I384" s="40"/>
      <c r="J384" s="40"/>
      <c r="K384" s="40"/>
      <c r="L384" s="40"/>
      <c r="M384" s="41">
        <v>162316</v>
      </c>
      <c r="N384" s="1" t="str">
        <f>IFERROR(INDEX([1]物品基础表!$A:$A,MATCH(M384,[1]物品基础表!$B:$B,0)),"")</f>
        <v>橙色法师150级戒指</v>
      </c>
      <c r="O384" s="41">
        <v>1</v>
      </c>
    </row>
    <row r="385" spans="1:15">
      <c r="A385" s="43" t="s">
        <v>772</v>
      </c>
      <c r="B385" s="40">
        <v>333</v>
      </c>
      <c r="C385" s="40">
        <v>116</v>
      </c>
      <c r="D385" s="40"/>
      <c r="E385" s="40"/>
      <c r="F385" s="40"/>
      <c r="G385" s="40">
        <v>33708</v>
      </c>
      <c r="H385" s="40"/>
      <c r="I385" s="40"/>
      <c r="J385" s="40"/>
      <c r="K385" s="40"/>
      <c r="L385" s="40"/>
      <c r="M385" s="41">
        <v>112316</v>
      </c>
      <c r="N385" s="1" t="str">
        <f>IFERROR(INDEX([1]物品基础表!$A:$A,MATCH(M385,[1]物品基础表!$B:$B,0)),"")</f>
        <v>橙色法师150级头盔</v>
      </c>
      <c r="O385" s="41">
        <v>1</v>
      </c>
    </row>
    <row r="386" spans="1:15">
      <c r="A386" s="43" t="s">
        <v>772</v>
      </c>
      <c r="B386" s="40">
        <v>333</v>
      </c>
      <c r="C386" s="40">
        <v>117</v>
      </c>
      <c r="D386" s="40"/>
      <c r="E386" s="40"/>
      <c r="F386" s="40"/>
      <c r="G386" s="40">
        <v>33708</v>
      </c>
      <c r="H386" s="40"/>
      <c r="I386" s="40"/>
      <c r="J386" s="40"/>
      <c r="K386" s="40"/>
      <c r="L386" s="40"/>
      <c r="M386" s="41">
        <v>132316</v>
      </c>
      <c r="N386" s="1" t="str">
        <f>IFERROR(INDEX([1]物品基础表!$A:$A,MATCH(M386,[1]物品基础表!$B:$B,0)),"")</f>
        <v>橙色法师150级项链</v>
      </c>
      <c r="O386" s="41">
        <v>1</v>
      </c>
    </row>
    <row r="387" spans="1:15">
      <c r="A387" s="43" t="s">
        <v>772</v>
      </c>
      <c r="B387" s="40">
        <v>333</v>
      </c>
      <c r="C387" s="40">
        <v>118</v>
      </c>
      <c r="D387" s="40"/>
      <c r="E387" s="40"/>
      <c r="F387" s="40"/>
      <c r="G387" s="40">
        <v>33708</v>
      </c>
      <c r="H387" s="40"/>
      <c r="I387" s="40"/>
      <c r="J387" s="40"/>
      <c r="K387" s="40"/>
      <c r="L387" s="40"/>
      <c r="M387" s="41">
        <v>152316</v>
      </c>
      <c r="N387" s="1" t="str">
        <f>IFERROR(INDEX([1]物品基础表!$A:$A,MATCH(M387,[1]物品基础表!$B:$B,0)),"")</f>
        <v>橙色法师150级腰带</v>
      </c>
      <c r="O387" s="41">
        <v>1</v>
      </c>
    </row>
    <row r="388" spans="1:15">
      <c r="A388" s="43" t="s">
        <v>772</v>
      </c>
      <c r="B388" s="40">
        <v>333</v>
      </c>
      <c r="C388" s="40">
        <v>119</v>
      </c>
      <c r="D388" s="40"/>
      <c r="E388" s="40"/>
      <c r="F388" s="40"/>
      <c r="G388" s="40">
        <v>33708</v>
      </c>
      <c r="H388" s="40"/>
      <c r="I388" s="40"/>
      <c r="J388" s="40"/>
      <c r="K388" s="40"/>
      <c r="L388" s="40"/>
      <c r="M388" s="41">
        <v>172316</v>
      </c>
      <c r="N388" s="1" t="str">
        <f>IFERROR(INDEX([1]物品基础表!$A:$A,MATCH(M388,[1]物品基础表!$B:$B,0)),"")</f>
        <v>橙色法师150级鞋子</v>
      </c>
      <c r="O388" s="41">
        <v>1</v>
      </c>
    </row>
    <row r="389" spans="1:15">
      <c r="A389" s="43" t="s">
        <v>772</v>
      </c>
      <c r="B389" s="40">
        <v>333</v>
      </c>
      <c r="C389" s="40">
        <v>120</v>
      </c>
      <c r="D389" s="40"/>
      <c r="E389" s="40"/>
      <c r="F389" s="40"/>
      <c r="G389" s="40">
        <v>84272</v>
      </c>
      <c r="H389" s="40"/>
      <c r="I389" s="40"/>
      <c r="J389" s="40"/>
      <c r="K389" s="40"/>
      <c r="L389" s="40"/>
      <c r="M389" s="41">
        <v>103316</v>
      </c>
      <c r="N389" s="1" t="str">
        <f>IFERROR(INDEX([1]物品基础表!$A:$A,MATCH(M389,[1]物品基础表!$B:$B,0)),"")</f>
        <v>橙色道士150级武器</v>
      </c>
      <c r="O389" s="41">
        <v>1</v>
      </c>
    </row>
    <row r="390" spans="1:15">
      <c r="A390" s="43" t="s">
        <v>772</v>
      </c>
      <c r="B390" s="40">
        <v>333</v>
      </c>
      <c r="C390" s="40">
        <v>121</v>
      </c>
      <c r="D390" s="40"/>
      <c r="E390" s="40"/>
      <c r="F390" s="40"/>
      <c r="G390" s="40">
        <v>60675</v>
      </c>
      <c r="H390" s="40"/>
      <c r="I390" s="40"/>
      <c r="J390" s="40"/>
      <c r="K390" s="40"/>
      <c r="L390" s="40"/>
      <c r="M390" s="41">
        <v>123316</v>
      </c>
      <c r="N390" s="1" t="str">
        <f>IFERROR(INDEX([1]物品基础表!$A:$A,MATCH(M390,[1]物品基础表!$B:$B,0)),"")</f>
        <v>橙色道士150级衣服</v>
      </c>
      <c r="O390" s="41">
        <v>1</v>
      </c>
    </row>
    <row r="391" spans="1:15">
      <c r="A391" s="43" t="s">
        <v>772</v>
      </c>
      <c r="B391" s="40">
        <v>333</v>
      </c>
      <c r="C391" s="40">
        <v>122</v>
      </c>
      <c r="D391" s="40"/>
      <c r="E391" s="40"/>
      <c r="F391" s="40"/>
      <c r="G391" s="40">
        <v>33708</v>
      </c>
      <c r="H391" s="40"/>
      <c r="I391" s="40"/>
      <c r="J391" s="40"/>
      <c r="K391" s="40"/>
      <c r="L391" s="40"/>
      <c r="M391" s="41">
        <v>143316</v>
      </c>
      <c r="N391" s="1" t="str">
        <f>IFERROR(INDEX([1]物品基础表!$A:$A,MATCH(M391,[1]物品基础表!$B:$B,0)),"")</f>
        <v>橙色道士150级手镯</v>
      </c>
      <c r="O391" s="41">
        <v>1</v>
      </c>
    </row>
    <row r="392" spans="1:15">
      <c r="A392" s="43" t="s">
        <v>772</v>
      </c>
      <c r="B392" s="40">
        <v>333</v>
      </c>
      <c r="C392" s="40">
        <v>123</v>
      </c>
      <c r="D392" s="40"/>
      <c r="E392" s="40"/>
      <c r="F392" s="40"/>
      <c r="G392" s="40">
        <v>33708</v>
      </c>
      <c r="H392" s="40"/>
      <c r="I392" s="40"/>
      <c r="J392" s="40"/>
      <c r="K392" s="40"/>
      <c r="L392" s="40"/>
      <c r="M392" s="41">
        <v>163316</v>
      </c>
      <c r="N392" s="1" t="str">
        <f>IFERROR(INDEX([1]物品基础表!$A:$A,MATCH(M392,[1]物品基础表!$B:$B,0)),"")</f>
        <v>橙色道士150级戒指</v>
      </c>
      <c r="O392" s="41">
        <v>1</v>
      </c>
    </row>
    <row r="393" spans="1:15">
      <c r="A393" s="43" t="s">
        <v>772</v>
      </c>
      <c r="B393" s="40">
        <v>333</v>
      </c>
      <c r="C393" s="40">
        <v>124</v>
      </c>
      <c r="D393" s="40"/>
      <c r="E393" s="40"/>
      <c r="F393" s="40"/>
      <c r="G393" s="40">
        <v>33708</v>
      </c>
      <c r="H393" s="40"/>
      <c r="I393" s="40"/>
      <c r="J393" s="40"/>
      <c r="K393" s="40"/>
      <c r="L393" s="40"/>
      <c r="M393" s="41">
        <v>113316</v>
      </c>
      <c r="N393" s="1" t="str">
        <f>IFERROR(INDEX([1]物品基础表!$A:$A,MATCH(M393,[1]物品基础表!$B:$B,0)),"")</f>
        <v>橙色道士150级头盔</v>
      </c>
      <c r="O393" s="41">
        <v>1</v>
      </c>
    </row>
    <row r="394" spans="1:15">
      <c r="A394" s="43" t="s">
        <v>772</v>
      </c>
      <c r="B394" s="40">
        <v>333</v>
      </c>
      <c r="C394" s="40">
        <v>125</v>
      </c>
      <c r="D394" s="40"/>
      <c r="E394" s="40"/>
      <c r="F394" s="40"/>
      <c r="G394" s="40">
        <v>33708</v>
      </c>
      <c r="H394" s="40"/>
      <c r="I394" s="40"/>
      <c r="J394" s="40"/>
      <c r="K394" s="40"/>
      <c r="L394" s="40"/>
      <c r="M394" s="41">
        <v>133316</v>
      </c>
      <c r="N394" s="1" t="str">
        <f>IFERROR(INDEX([1]物品基础表!$A:$A,MATCH(M394,[1]物品基础表!$B:$B,0)),"")</f>
        <v>橙色道士150级项链</v>
      </c>
      <c r="O394" s="41">
        <v>1</v>
      </c>
    </row>
    <row r="395" spans="1:15">
      <c r="A395" s="43" t="s">
        <v>772</v>
      </c>
      <c r="B395" s="40">
        <v>333</v>
      </c>
      <c r="C395" s="40">
        <v>126</v>
      </c>
      <c r="D395" s="40"/>
      <c r="E395" s="40"/>
      <c r="F395" s="40"/>
      <c r="G395" s="40">
        <v>33708</v>
      </c>
      <c r="H395" s="40"/>
      <c r="I395" s="40"/>
      <c r="J395" s="40"/>
      <c r="K395" s="40"/>
      <c r="L395" s="40"/>
      <c r="M395" s="41">
        <v>153316</v>
      </c>
      <c r="N395" s="1" t="str">
        <f>IFERROR(INDEX([1]物品基础表!$A:$A,MATCH(M395,[1]物品基础表!$B:$B,0)),"")</f>
        <v>橙色道士150级腰带</v>
      </c>
      <c r="O395" s="41">
        <v>1</v>
      </c>
    </row>
    <row r="396" spans="1:15">
      <c r="A396" s="43" t="s">
        <v>772</v>
      </c>
      <c r="B396" s="40">
        <v>333</v>
      </c>
      <c r="C396" s="40">
        <v>127</v>
      </c>
      <c r="D396" s="40"/>
      <c r="E396" s="40"/>
      <c r="F396" s="40"/>
      <c r="G396" s="40">
        <v>33708</v>
      </c>
      <c r="H396" s="40"/>
      <c r="I396" s="40"/>
      <c r="J396" s="40"/>
      <c r="K396" s="40"/>
      <c r="L396" s="40"/>
      <c r="M396" s="41">
        <v>173316</v>
      </c>
      <c r="N396" s="1" t="str">
        <f>IFERROR(INDEX([1]物品基础表!$A:$A,MATCH(M396,[1]物品基础表!$B:$B,0)),"")</f>
        <v>橙色道士150级鞋子</v>
      </c>
      <c r="O396" s="41">
        <v>1</v>
      </c>
    </row>
    <row r="397" spans="1:15">
      <c r="A397" s="43" t="s">
        <v>772</v>
      </c>
      <c r="B397" s="40">
        <v>333</v>
      </c>
      <c r="C397" s="40">
        <v>128</v>
      </c>
      <c r="D397" s="40"/>
      <c r="E397" s="40"/>
      <c r="F397" s="40"/>
      <c r="G397" s="40">
        <v>104696</v>
      </c>
      <c r="H397" s="40"/>
      <c r="I397" s="40"/>
      <c r="J397" s="40"/>
      <c r="K397" s="40"/>
      <c r="L397" s="40"/>
      <c r="M397" s="41">
        <v>101317</v>
      </c>
      <c r="N397" s="1" t="str">
        <f>IFERROR(INDEX([1]物品基础表!$A:$A,MATCH(M397,[1]物品基础表!$B:$B,0)),"")</f>
        <v>橙色战士160级武器</v>
      </c>
      <c r="O397" s="41">
        <v>1</v>
      </c>
    </row>
    <row r="398" spans="1:15">
      <c r="A398" s="43" t="s">
        <v>772</v>
      </c>
      <c r="B398" s="40">
        <v>333</v>
      </c>
      <c r="C398" s="40">
        <v>129</v>
      </c>
      <c r="D398" s="40"/>
      <c r="E398" s="40"/>
      <c r="F398" s="40"/>
      <c r="G398" s="40">
        <v>75380</v>
      </c>
      <c r="H398" s="40"/>
      <c r="I398" s="40"/>
      <c r="J398" s="40"/>
      <c r="K398" s="40"/>
      <c r="L398" s="40"/>
      <c r="M398" s="41">
        <v>121317</v>
      </c>
      <c r="N398" s="1" t="str">
        <f>IFERROR(INDEX([1]物品基础表!$A:$A,MATCH(M398,[1]物品基础表!$B:$B,0)),"")</f>
        <v>橙色战士160级衣服</v>
      </c>
      <c r="O398" s="41">
        <v>1</v>
      </c>
    </row>
    <row r="399" spans="1:15">
      <c r="A399" s="43" t="s">
        <v>772</v>
      </c>
      <c r="B399" s="40">
        <v>333</v>
      </c>
      <c r="C399" s="40">
        <v>130</v>
      </c>
      <c r="D399" s="40"/>
      <c r="E399" s="40"/>
      <c r="F399" s="40"/>
      <c r="G399" s="40">
        <v>41878</v>
      </c>
      <c r="H399" s="40"/>
      <c r="I399" s="40"/>
      <c r="J399" s="40"/>
      <c r="K399" s="40"/>
      <c r="L399" s="40"/>
      <c r="M399" s="41">
        <v>141317</v>
      </c>
      <c r="N399" s="1" t="str">
        <f>IFERROR(INDEX([1]物品基础表!$A:$A,MATCH(M399,[1]物品基础表!$B:$B,0)),"")</f>
        <v>橙色战士160级手镯</v>
      </c>
      <c r="O399" s="41">
        <v>1</v>
      </c>
    </row>
    <row r="400" spans="1:15">
      <c r="A400" s="43" t="s">
        <v>772</v>
      </c>
      <c r="B400" s="40">
        <v>333</v>
      </c>
      <c r="C400" s="40">
        <v>131</v>
      </c>
      <c r="D400" s="40"/>
      <c r="E400" s="40"/>
      <c r="F400" s="40"/>
      <c r="G400" s="40">
        <v>41878</v>
      </c>
      <c r="H400" s="40"/>
      <c r="I400" s="40"/>
      <c r="J400" s="40"/>
      <c r="K400" s="40"/>
      <c r="L400" s="40"/>
      <c r="M400" s="41">
        <v>161317</v>
      </c>
      <c r="N400" s="1" t="str">
        <f>IFERROR(INDEX([1]物品基础表!$A:$A,MATCH(M400,[1]物品基础表!$B:$B,0)),"")</f>
        <v>橙色战士160级戒指</v>
      </c>
      <c r="O400" s="41">
        <v>1</v>
      </c>
    </row>
    <row r="401" spans="1:15">
      <c r="A401" s="43" t="s">
        <v>772</v>
      </c>
      <c r="B401" s="40">
        <v>333</v>
      </c>
      <c r="C401" s="40">
        <v>132</v>
      </c>
      <c r="D401" s="40"/>
      <c r="E401" s="40"/>
      <c r="F401" s="40"/>
      <c r="G401" s="40">
        <v>41878</v>
      </c>
      <c r="H401" s="40"/>
      <c r="I401" s="40"/>
      <c r="J401" s="40"/>
      <c r="K401" s="40"/>
      <c r="L401" s="40"/>
      <c r="M401" s="41">
        <v>111317</v>
      </c>
      <c r="N401" s="1" t="str">
        <f>IFERROR(INDEX([1]物品基础表!$A:$A,MATCH(M401,[1]物品基础表!$B:$B,0)),"")</f>
        <v>橙色战士160级头盔</v>
      </c>
      <c r="O401" s="41">
        <v>1</v>
      </c>
    </row>
    <row r="402" spans="1:15">
      <c r="A402" s="43" t="s">
        <v>772</v>
      </c>
      <c r="B402" s="40">
        <v>333</v>
      </c>
      <c r="C402" s="40">
        <v>133</v>
      </c>
      <c r="D402" s="40"/>
      <c r="E402" s="40"/>
      <c r="F402" s="40"/>
      <c r="G402" s="40">
        <v>41878</v>
      </c>
      <c r="H402" s="40"/>
      <c r="I402" s="40"/>
      <c r="J402" s="40"/>
      <c r="K402" s="40"/>
      <c r="L402" s="40"/>
      <c r="M402" s="41">
        <v>131317</v>
      </c>
      <c r="N402" s="1" t="str">
        <f>IFERROR(INDEX([1]物品基础表!$A:$A,MATCH(M402,[1]物品基础表!$B:$B,0)),"")</f>
        <v>橙色战士160级项链</v>
      </c>
      <c r="O402" s="41">
        <v>1</v>
      </c>
    </row>
    <row r="403" spans="1:15">
      <c r="A403" s="43" t="s">
        <v>772</v>
      </c>
      <c r="B403" s="40">
        <v>333</v>
      </c>
      <c r="C403" s="40">
        <v>134</v>
      </c>
      <c r="D403" s="40"/>
      <c r="E403" s="40"/>
      <c r="F403" s="40"/>
      <c r="G403" s="40">
        <v>41878</v>
      </c>
      <c r="H403" s="40"/>
      <c r="I403" s="40"/>
      <c r="J403" s="40"/>
      <c r="K403" s="40"/>
      <c r="L403" s="40"/>
      <c r="M403" s="41">
        <v>151317</v>
      </c>
      <c r="N403" s="1" t="str">
        <f>IFERROR(INDEX([1]物品基础表!$A:$A,MATCH(M403,[1]物品基础表!$B:$B,0)),"")</f>
        <v>橙色战士160级腰带</v>
      </c>
      <c r="O403" s="41">
        <v>1</v>
      </c>
    </row>
    <row r="404" spans="1:15">
      <c r="A404" s="43" t="s">
        <v>772</v>
      </c>
      <c r="B404" s="40">
        <v>333</v>
      </c>
      <c r="C404" s="40">
        <v>135</v>
      </c>
      <c r="D404" s="40"/>
      <c r="E404" s="40"/>
      <c r="F404" s="40"/>
      <c r="G404" s="40">
        <v>41878</v>
      </c>
      <c r="H404" s="40"/>
      <c r="I404" s="40"/>
      <c r="J404" s="40"/>
      <c r="K404" s="40"/>
      <c r="L404" s="40"/>
      <c r="M404" s="41">
        <v>171317</v>
      </c>
      <c r="N404" s="1" t="str">
        <f>IFERROR(INDEX([1]物品基础表!$A:$A,MATCH(M404,[1]物品基础表!$B:$B,0)),"")</f>
        <v>橙色战士160级鞋子</v>
      </c>
      <c r="O404" s="41">
        <v>1</v>
      </c>
    </row>
    <row r="405" spans="1:15">
      <c r="A405" s="43" t="s">
        <v>772</v>
      </c>
      <c r="B405" s="40">
        <v>333</v>
      </c>
      <c r="C405" s="40">
        <v>136</v>
      </c>
      <c r="D405" s="40"/>
      <c r="E405" s="40"/>
      <c r="F405" s="40"/>
      <c r="G405" s="40">
        <v>104696</v>
      </c>
      <c r="H405" s="40"/>
      <c r="I405" s="40"/>
      <c r="J405" s="40"/>
      <c r="K405" s="40"/>
      <c r="L405" s="40"/>
      <c r="M405" s="41">
        <v>102317</v>
      </c>
      <c r="N405" s="1" t="str">
        <f>IFERROR(INDEX([1]物品基础表!$A:$A,MATCH(M405,[1]物品基础表!$B:$B,0)),"")</f>
        <v>橙色法师160级武器</v>
      </c>
      <c r="O405" s="41">
        <v>1</v>
      </c>
    </row>
    <row r="406" spans="1:15">
      <c r="A406" s="43" t="s">
        <v>772</v>
      </c>
      <c r="B406" s="40">
        <v>333</v>
      </c>
      <c r="C406" s="40">
        <v>137</v>
      </c>
      <c r="D406" s="40"/>
      <c r="E406" s="40"/>
      <c r="F406" s="40"/>
      <c r="G406" s="40">
        <v>75380</v>
      </c>
      <c r="H406" s="40"/>
      <c r="I406" s="40"/>
      <c r="J406" s="40"/>
      <c r="K406" s="40"/>
      <c r="L406" s="40"/>
      <c r="M406" s="41">
        <v>122317</v>
      </c>
      <c r="N406" s="1" t="str">
        <f>IFERROR(INDEX([1]物品基础表!$A:$A,MATCH(M406,[1]物品基础表!$B:$B,0)),"")</f>
        <v>橙色法师160级衣服</v>
      </c>
      <c r="O406" s="41">
        <v>1</v>
      </c>
    </row>
    <row r="407" spans="1:15">
      <c r="A407" s="43" t="s">
        <v>772</v>
      </c>
      <c r="B407" s="40">
        <v>333</v>
      </c>
      <c r="C407" s="40">
        <v>138</v>
      </c>
      <c r="D407" s="40"/>
      <c r="E407" s="40"/>
      <c r="F407" s="40"/>
      <c r="G407" s="40">
        <v>41878</v>
      </c>
      <c r="H407" s="40"/>
      <c r="I407" s="40"/>
      <c r="J407" s="40"/>
      <c r="K407" s="40"/>
      <c r="L407" s="40"/>
      <c r="M407" s="41">
        <v>142317</v>
      </c>
      <c r="N407" s="1" t="str">
        <f>IFERROR(INDEX([1]物品基础表!$A:$A,MATCH(M407,[1]物品基础表!$B:$B,0)),"")</f>
        <v>橙色法师160级手镯</v>
      </c>
      <c r="O407" s="41">
        <v>1</v>
      </c>
    </row>
    <row r="408" spans="1:15">
      <c r="A408" s="43" t="s">
        <v>772</v>
      </c>
      <c r="B408" s="40">
        <v>333</v>
      </c>
      <c r="C408" s="40">
        <v>139</v>
      </c>
      <c r="D408" s="40"/>
      <c r="E408" s="40"/>
      <c r="F408" s="40"/>
      <c r="G408" s="40">
        <v>41878</v>
      </c>
      <c r="H408" s="40"/>
      <c r="I408" s="40"/>
      <c r="J408" s="40"/>
      <c r="K408" s="40"/>
      <c r="L408" s="40"/>
      <c r="M408" s="41">
        <v>162317</v>
      </c>
      <c r="N408" s="1" t="str">
        <f>IFERROR(INDEX([1]物品基础表!$A:$A,MATCH(M408,[1]物品基础表!$B:$B,0)),"")</f>
        <v>橙色法师160级戒指</v>
      </c>
      <c r="O408" s="41">
        <v>1</v>
      </c>
    </row>
    <row r="409" spans="1:15">
      <c r="A409" s="43" t="s">
        <v>772</v>
      </c>
      <c r="B409" s="40">
        <v>333</v>
      </c>
      <c r="C409" s="40">
        <v>140</v>
      </c>
      <c r="D409" s="40"/>
      <c r="E409" s="40"/>
      <c r="F409" s="40"/>
      <c r="G409" s="40">
        <v>41878</v>
      </c>
      <c r="H409" s="40"/>
      <c r="I409" s="40"/>
      <c r="J409" s="40"/>
      <c r="K409" s="40"/>
      <c r="L409" s="40"/>
      <c r="M409" s="41">
        <v>112317</v>
      </c>
      <c r="N409" s="1" t="str">
        <f>IFERROR(INDEX([1]物品基础表!$A:$A,MATCH(M409,[1]物品基础表!$B:$B,0)),"")</f>
        <v>橙色法师160级头盔</v>
      </c>
      <c r="O409" s="41">
        <v>1</v>
      </c>
    </row>
    <row r="410" spans="1:15">
      <c r="A410" s="43" t="s">
        <v>772</v>
      </c>
      <c r="B410" s="40">
        <v>333</v>
      </c>
      <c r="C410" s="40">
        <v>141</v>
      </c>
      <c r="D410" s="40"/>
      <c r="E410" s="40"/>
      <c r="F410" s="40"/>
      <c r="G410" s="40">
        <v>41878</v>
      </c>
      <c r="H410" s="40"/>
      <c r="I410" s="40"/>
      <c r="J410" s="40"/>
      <c r="K410" s="40"/>
      <c r="L410" s="40"/>
      <c r="M410" s="41">
        <v>132317</v>
      </c>
      <c r="N410" s="1" t="str">
        <f>IFERROR(INDEX([1]物品基础表!$A:$A,MATCH(M410,[1]物品基础表!$B:$B,0)),"")</f>
        <v>橙色法师160级项链</v>
      </c>
      <c r="O410" s="41">
        <v>1</v>
      </c>
    </row>
    <row r="411" spans="1:15">
      <c r="A411" s="43" t="s">
        <v>772</v>
      </c>
      <c r="B411" s="40">
        <v>333</v>
      </c>
      <c r="C411" s="40">
        <v>142</v>
      </c>
      <c r="D411" s="40"/>
      <c r="E411" s="40"/>
      <c r="F411" s="40"/>
      <c r="G411" s="40">
        <v>41878</v>
      </c>
      <c r="H411" s="40"/>
      <c r="I411" s="40"/>
      <c r="J411" s="40"/>
      <c r="K411" s="40"/>
      <c r="L411" s="40"/>
      <c r="M411" s="41">
        <v>152317</v>
      </c>
      <c r="N411" s="1" t="str">
        <f>IFERROR(INDEX([1]物品基础表!$A:$A,MATCH(M411,[1]物品基础表!$B:$B,0)),"")</f>
        <v>橙色法师160级腰带</v>
      </c>
      <c r="O411" s="41">
        <v>1</v>
      </c>
    </row>
    <row r="412" spans="1:15">
      <c r="A412" s="43" t="s">
        <v>772</v>
      </c>
      <c r="B412" s="40">
        <v>333</v>
      </c>
      <c r="C412" s="40">
        <v>143</v>
      </c>
      <c r="D412" s="40"/>
      <c r="E412" s="40"/>
      <c r="F412" s="40"/>
      <c r="G412" s="40">
        <v>41878</v>
      </c>
      <c r="H412" s="40"/>
      <c r="I412" s="40"/>
      <c r="J412" s="40"/>
      <c r="K412" s="40"/>
      <c r="L412" s="40"/>
      <c r="M412" s="41">
        <v>172317</v>
      </c>
      <c r="N412" s="1" t="str">
        <f>IFERROR(INDEX([1]物品基础表!$A:$A,MATCH(M412,[1]物品基础表!$B:$B,0)),"")</f>
        <v>橙色法师160级鞋子</v>
      </c>
      <c r="O412" s="41">
        <v>1</v>
      </c>
    </row>
    <row r="413" spans="1:15">
      <c r="A413" s="43" t="s">
        <v>772</v>
      </c>
      <c r="B413" s="40">
        <v>333</v>
      </c>
      <c r="C413" s="40">
        <v>144</v>
      </c>
      <c r="D413" s="40"/>
      <c r="E413" s="40"/>
      <c r="F413" s="40"/>
      <c r="G413" s="40">
        <v>104696</v>
      </c>
      <c r="H413" s="40"/>
      <c r="I413" s="40"/>
      <c r="J413" s="40"/>
      <c r="K413" s="40"/>
      <c r="L413" s="40"/>
      <c r="M413" s="41">
        <v>103317</v>
      </c>
      <c r="N413" s="1" t="str">
        <f>IFERROR(INDEX([1]物品基础表!$A:$A,MATCH(M413,[1]物品基础表!$B:$B,0)),"")</f>
        <v>橙色道士160级武器</v>
      </c>
      <c r="O413" s="41">
        <v>1</v>
      </c>
    </row>
    <row r="414" spans="1:15">
      <c r="A414" s="43" t="s">
        <v>772</v>
      </c>
      <c r="B414" s="40">
        <v>333</v>
      </c>
      <c r="C414" s="40">
        <v>145</v>
      </c>
      <c r="D414" s="40"/>
      <c r="E414" s="40"/>
      <c r="F414" s="40"/>
      <c r="G414" s="40">
        <v>75380</v>
      </c>
      <c r="H414" s="40"/>
      <c r="I414" s="40"/>
      <c r="J414" s="40"/>
      <c r="K414" s="40"/>
      <c r="L414" s="40"/>
      <c r="M414" s="41">
        <v>123317</v>
      </c>
      <c r="N414" s="1" t="str">
        <f>IFERROR(INDEX([1]物品基础表!$A:$A,MATCH(M414,[1]物品基础表!$B:$B,0)),"")</f>
        <v>橙色道士160级衣服</v>
      </c>
      <c r="O414" s="41">
        <v>1</v>
      </c>
    </row>
    <row r="415" spans="1:15">
      <c r="A415" s="43" t="s">
        <v>772</v>
      </c>
      <c r="B415" s="40">
        <v>333</v>
      </c>
      <c r="C415" s="40">
        <v>146</v>
      </c>
      <c r="D415" s="40"/>
      <c r="E415" s="40"/>
      <c r="F415" s="40"/>
      <c r="G415" s="40">
        <v>41878</v>
      </c>
      <c r="H415" s="40"/>
      <c r="I415" s="40"/>
      <c r="J415" s="40"/>
      <c r="K415" s="40"/>
      <c r="L415" s="40"/>
      <c r="M415" s="41">
        <v>143317</v>
      </c>
      <c r="N415" s="1" t="str">
        <f>IFERROR(INDEX([1]物品基础表!$A:$A,MATCH(M415,[1]物品基础表!$B:$B,0)),"")</f>
        <v>橙色道士160级手镯</v>
      </c>
      <c r="O415" s="41">
        <v>1</v>
      </c>
    </row>
    <row r="416" spans="1:15">
      <c r="A416" s="43" t="s">
        <v>772</v>
      </c>
      <c r="B416" s="40">
        <v>333</v>
      </c>
      <c r="C416" s="40">
        <v>147</v>
      </c>
      <c r="D416" s="40"/>
      <c r="E416" s="40"/>
      <c r="F416" s="40"/>
      <c r="G416" s="40">
        <v>41878</v>
      </c>
      <c r="H416" s="40"/>
      <c r="I416" s="40"/>
      <c r="J416" s="40"/>
      <c r="K416" s="40"/>
      <c r="L416" s="40"/>
      <c r="M416" s="41">
        <v>163317</v>
      </c>
      <c r="N416" s="1" t="str">
        <f>IFERROR(INDEX([1]物品基础表!$A:$A,MATCH(M416,[1]物品基础表!$B:$B,0)),"")</f>
        <v>橙色道士160级戒指</v>
      </c>
      <c r="O416" s="41">
        <v>1</v>
      </c>
    </row>
    <row r="417" spans="1:15">
      <c r="A417" s="43" t="s">
        <v>772</v>
      </c>
      <c r="B417" s="40">
        <v>333</v>
      </c>
      <c r="C417" s="40">
        <v>148</v>
      </c>
      <c r="D417" s="40"/>
      <c r="E417" s="40"/>
      <c r="F417" s="40"/>
      <c r="G417" s="40">
        <v>41878</v>
      </c>
      <c r="H417" s="40"/>
      <c r="I417" s="40"/>
      <c r="J417" s="40"/>
      <c r="K417" s="40"/>
      <c r="L417" s="40"/>
      <c r="M417" s="41">
        <v>113317</v>
      </c>
      <c r="N417" s="1" t="str">
        <f>IFERROR(INDEX([1]物品基础表!$A:$A,MATCH(M417,[1]物品基础表!$B:$B,0)),"")</f>
        <v>橙色道士160级头盔</v>
      </c>
      <c r="O417" s="41">
        <v>1</v>
      </c>
    </row>
    <row r="418" spans="1:15">
      <c r="A418" s="43" t="s">
        <v>772</v>
      </c>
      <c r="B418" s="40">
        <v>333</v>
      </c>
      <c r="C418" s="40">
        <v>149</v>
      </c>
      <c r="D418" s="40"/>
      <c r="E418" s="40"/>
      <c r="F418" s="40"/>
      <c r="G418" s="40">
        <v>41878</v>
      </c>
      <c r="H418" s="40"/>
      <c r="I418" s="40"/>
      <c r="J418" s="40"/>
      <c r="K418" s="40"/>
      <c r="L418" s="40"/>
      <c r="M418" s="41">
        <v>133317</v>
      </c>
      <c r="N418" s="1" t="str">
        <f>IFERROR(INDEX([1]物品基础表!$A:$A,MATCH(M418,[1]物品基础表!$B:$B,0)),"")</f>
        <v>橙色道士160级项链</v>
      </c>
      <c r="O418" s="41">
        <v>1</v>
      </c>
    </row>
    <row r="419" spans="1:15">
      <c r="A419" s="43" t="s">
        <v>772</v>
      </c>
      <c r="B419" s="40">
        <v>333</v>
      </c>
      <c r="C419" s="40">
        <v>150</v>
      </c>
      <c r="D419" s="40"/>
      <c r="E419" s="40"/>
      <c r="F419" s="40"/>
      <c r="G419" s="40">
        <v>41878</v>
      </c>
      <c r="H419" s="40"/>
      <c r="I419" s="40"/>
      <c r="J419" s="40"/>
      <c r="K419" s="40"/>
      <c r="L419" s="40"/>
      <c r="M419" s="41">
        <v>153317</v>
      </c>
      <c r="N419" s="1" t="str">
        <f>IFERROR(INDEX([1]物品基础表!$A:$A,MATCH(M419,[1]物品基础表!$B:$B,0)),"")</f>
        <v>橙色道士160级腰带</v>
      </c>
      <c r="O419" s="41">
        <v>1</v>
      </c>
    </row>
    <row r="420" spans="1:15">
      <c r="A420" s="43" t="s">
        <v>772</v>
      </c>
      <c r="B420" s="40">
        <v>333</v>
      </c>
      <c r="C420" s="40">
        <v>151</v>
      </c>
      <c r="D420" s="40"/>
      <c r="E420" s="40"/>
      <c r="F420" s="40"/>
      <c r="G420" s="40">
        <v>41878</v>
      </c>
      <c r="H420" s="40"/>
      <c r="I420" s="40"/>
      <c r="J420" s="40"/>
      <c r="K420" s="40"/>
      <c r="L420" s="40"/>
      <c r="M420" s="41">
        <v>173317</v>
      </c>
      <c r="N420" s="1" t="str">
        <f>IFERROR(INDEX([1]物品基础表!$A:$A,MATCH(M420,[1]物品基础表!$B:$B,0)),"")</f>
        <v>橙色道士160级鞋子</v>
      </c>
      <c r="O420" s="41">
        <v>1</v>
      </c>
    </row>
    <row r="421" spans="1:15">
      <c r="A421" s="43" t="s">
        <v>772</v>
      </c>
      <c r="B421" s="40">
        <v>333</v>
      </c>
      <c r="C421" s="40">
        <v>152</v>
      </c>
      <c r="D421" s="40"/>
      <c r="E421" s="40"/>
      <c r="F421" s="40"/>
      <c r="G421" s="40">
        <v>127680</v>
      </c>
      <c r="H421" s="40"/>
      <c r="I421" s="40"/>
      <c r="J421" s="40"/>
      <c r="K421" s="40"/>
      <c r="L421" s="40"/>
      <c r="M421" s="41">
        <v>101318</v>
      </c>
      <c r="N421" s="1" t="str">
        <f>IFERROR(INDEX([1]物品基础表!$A:$A,MATCH(M421,[1]物品基础表!$B:$B,0)),"")</f>
        <v>橙色战士170级武器</v>
      </c>
      <c r="O421" s="41">
        <v>1</v>
      </c>
    </row>
    <row r="422" spans="1:15">
      <c r="A422" s="43" t="s">
        <v>772</v>
      </c>
      <c r="B422" s="40">
        <v>333</v>
      </c>
      <c r="C422" s="40">
        <v>153</v>
      </c>
      <c r="D422" s="40"/>
      <c r="E422" s="40"/>
      <c r="F422" s="40"/>
      <c r="G422" s="40">
        <v>91929</v>
      </c>
      <c r="H422" s="40"/>
      <c r="I422" s="40"/>
      <c r="J422" s="40"/>
      <c r="K422" s="40"/>
      <c r="L422" s="40"/>
      <c r="M422" s="41">
        <v>121318</v>
      </c>
      <c r="N422" s="1" t="str">
        <f>IFERROR(INDEX([1]物品基础表!$A:$A,MATCH(M422,[1]物品基础表!$B:$B,0)),"")</f>
        <v>橙色战士170级衣服</v>
      </c>
      <c r="O422" s="41">
        <v>1</v>
      </c>
    </row>
    <row r="423" spans="1:15">
      <c r="A423" s="43" t="s">
        <v>772</v>
      </c>
      <c r="B423" s="40">
        <v>333</v>
      </c>
      <c r="C423" s="40">
        <v>154</v>
      </c>
      <c r="D423" s="40"/>
      <c r="E423" s="40"/>
      <c r="F423" s="40"/>
      <c r="G423" s="40">
        <v>51072</v>
      </c>
      <c r="H423" s="40"/>
      <c r="I423" s="40"/>
      <c r="J423" s="40"/>
      <c r="K423" s="40"/>
      <c r="L423" s="40"/>
      <c r="M423" s="41">
        <v>141318</v>
      </c>
      <c r="N423" s="1" t="str">
        <f>IFERROR(INDEX([1]物品基础表!$A:$A,MATCH(M423,[1]物品基础表!$B:$B,0)),"")</f>
        <v>橙色战士170级手镯</v>
      </c>
      <c r="O423" s="41">
        <v>1</v>
      </c>
    </row>
    <row r="424" spans="1:15">
      <c r="A424" s="43" t="s">
        <v>772</v>
      </c>
      <c r="B424" s="40">
        <v>333</v>
      </c>
      <c r="C424" s="40">
        <v>155</v>
      </c>
      <c r="D424" s="40"/>
      <c r="E424" s="40"/>
      <c r="F424" s="40"/>
      <c r="G424" s="40">
        <v>51072</v>
      </c>
      <c r="H424" s="40"/>
      <c r="I424" s="40"/>
      <c r="J424" s="40"/>
      <c r="K424" s="40"/>
      <c r="L424" s="40"/>
      <c r="M424" s="41">
        <v>161318</v>
      </c>
      <c r="N424" s="1" t="str">
        <f>IFERROR(INDEX([1]物品基础表!$A:$A,MATCH(M424,[1]物品基础表!$B:$B,0)),"")</f>
        <v>橙色战士170级戒指</v>
      </c>
      <c r="O424" s="41">
        <v>1</v>
      </c>
    </row>
    <row r="425" spans="1:15">
      <c r="A425" s="43" t="s">
        <v>772</v>
      </c>
      <c r="B425" s="40">
        <v>333</v>
      </c>
      <c r="C425" s="40">
        <v>156</v>
      </c>
      <c r="D425" s="40"/>
      <c r="E425" s="40"/>
      <c r="F425" s="40"/>
      <c r="G425" s="40">
        <v>51072</v>
      </c>
      <c r="H425" s="40"/>
      <c r="I425" s="40"/>
      <c r="J425" s="40"/>
      <c r="K425" s="40"/>
      <c r="L425" s="40"/>
      <c r="M425" s="41">
        <v>111318</v>
      </c>
      <c r="N425" s="1" t="str">
        <f>IFERROR(INDEX([1]物品基础表!$A:$A,MATCH(M425,[1]物品基础表!$B:$B,0)),"")</f>
        <v>橙色战士170级头盔</v>
      </c>
      <c r="O425" s="41">
        <v>1</v>
      </c>
    </row>
    <row r="426" spans="1:15">
      <c r="A426" s="43" t="s">
        <v>772</v>
      </c>
      <c r="B426" s="40">
        <v>333</v>
      </c>
      <c r="C426" s="40">
        <v>157</v>
      </c>
      <c r="D426" s="40"/>
      <c r="E426" s="40"/>
      <c r="F426" s="40"/>
      <c r="G426" s="40">
        <v>51072</v>
      </c>
      <c r="H426" s="40"/>
      <c r="I426" s="40"/>
      <c r="J426" s="40"/>
      <c r="K426" s="40"/>
      <c r="L426" s="40"/>
      <c r="M426" s="41">
        <v>131318</v>
      </c>
      <c r="N426" s="1" t="str">
        <f>IFERROR(INDEX([1]物品基础表!$A:$A,MATCH(M426,[1]物品基础表!$B:$B,0)),"")</f>
        <v>橙色战士170级项链</v>
      </c>
      <c r="O426" s="41">
        <v>1</v>
      </c>
    </row>
    <row r="427" spans="1:15">
      <c r="A427" s="43" t="s">
        <v>772</v>
      </c>
      <c r="B427" s="40">
        <v>333</v>
      </c>
      <c r="C427" s="40">
        <v>158</v>
      </c>
      <c r="D427" s="40"/>
      <c r="E427" s="40"/>
      <c r="F427" s="40"/>
      <c r="G427" s="40">
        <v>51072</v>
      </c>
      <c r="H427" s="40"/>
      <c r="I427" s="40"/>
      <c r="J427" s="40"/>
      <c r="K427" s="40"/>
      <c r="L427" s="40"/>
      <c r="M427" s="41">
        <v>151318</v>
      </c>
      <c r="N427" s="1" t="str">
        <f>IFERROR(INDEX([1]物品基础表!$A:$A,MATCH(M427,[1]物品基础表!$B:$B,0)),"")</f>
        <v>橙色战士170级腰带</v>
      </c>
      <c r="O427" s="41">
        <v>1</v>
      </c>
    </row>
    <row r="428" spans="1:15">
      <c r="A428" s="43" t="s">
        <v>772</v>
      </c>
      <c r="B428" s="40">
        <v>333</v>
      </c>
      <c r="C428" s="40">
        <v>159</v>
      </c>
      <c r="D428" s="40"/>
      <c r="E428" s="40"/>
      <c r="F428" s="40"/>
      <c r="G428" s="40">
        <v>51072</v>
      </c>
      <c r="H428" s="40"/>
      <c r="I428" s="40"/>
      <c r="J428" s="40"/>
      <c r="K428" s="40"/>
      <c r="L428" s="40"/>
      <c r="M428" s="41">
        <v>171318</v>
      </c>
      <c r="N428" s="1" t="str">
        <f>IFERROR(INDEX([1]物品基础表!$A:$A,MATCH(M428,[1]物品基础表!$B:$B,0)),"")</f>
        <v>橙色战士170级鞋子</v>
      </c>
      <c r="O428" s="41">
        <v>1</v>
      </c>
    </row>
    <row r="429" spans="1:15">
      <c r="A429" s="43" t="s">
        <v>772</v>
      </c>
      <c r="B429" s="40">
        <v>333</v>
      </c>
      <c r="C429" s="40">
        <v>160</v>
      </c>
      <c r="D429" s="40"/>
      <c r="E429" s="40"/>
      <c r="F429" s="40"/>
      <c r="G429" s="40">
        <v>127680</v>
      </c>
      <c r="H429" s="40"/>
      <c r="I429" s="40"/>
      <c r="J429" s="40"/>
      <c r="K429" s="40"/>
      <c r="L429" s="40"/>
      <c r="M429" s="41">
        <v>102318</v>
      </c>
      <c r="N429" s="1" t="str">
        <f>IFERROR(INDEX([1]物品基础表!$A:$A,MATCH(M429,[1]物品基础表!$B:$B,0)),"")</f>
        <v>橙色法师170级武器</v>
      </c>
      <c r="O429" s="41">
        <v>1</v>
      </c>
    </row>
    <row r="430" spans="1:15">
      <c r="A430" s="43" t="s">
        <v>772</v>
      </c>
      <c r="B430" s="40">
        <v>333</v>
      </c>
      <c r="C430" s="40">
        <v>161</v>
      </c>
      <c r="D430" s="40"/>
      <c r="E430" s="40"/>
      <c r="F430" s="40"/>
      <c r="G430" s="40">
        <v>91929</v>
      </c>
      <c r="H430" s="40"/>
      <c r="I430" s="40"/>
      <c r="J430" s="40"/>
      <c r="K430" s="40"/>
      <c r="L430" s="40"/>
      <c r="M430" s="41">
        <v>122318</v>
      </c>
      <c r="N430" s="1" t="str">
        <f>IFERROR(INDEX([1]物品基础表!$A:$A,MATCH(M430,[1]物品基础表!$B:$B,0)),"")</f>
        <v>橙色法师170级衣服</v>
      </c>
      <c r="O430" s="41">
        <v>1</v>
      </c>
    </row>
    <row r="431" spans="1:15">
      <c r="A431" s="43" t="s">
        <v>772</v>
      </c>
      <c r="B431" s="40">
        <v>333</v>
      </c>
      <c r="C431" s="40">
        <v>162</v>
      </c>
      <c r="D431" s="40"/>
      <c r="E431" s="40"/>
      <c r="F431" s="40"/>
      <c r="G431" s="40">
        <v>51072</v>
      </c>
      <c r="H431" s="40"/>
      <c r="I431" s="40"/>
      <c r="J431" s="40"/>
      <c r="K431" s="40"/>
      <c r="L431" s="40"/>
      <c r="M431" s="41">
        <v>142318</v>
      </c>
      <c r="N431" s="1" t="str">
        <f>IFERROR(INDEX([1]物品基础表!$A:$A,MATCH(M431,[1]物品基础表!$B:$B,0)),"")</f>
        <v>橙色法师170级手镯</v>
      </c>
      <c r="O431" s="41">
        <v>1</v>
      </c>
    </row>
    <row r="432" spans="1:15">
      <c r="A432" s="43" t="s">
        <v>772</v>
      </c>
      <c r="B432" s="40">
        <v>333</v>
      </c>
      <c r="C432" s="40">
        <v>163</v>
      </c>
      <c r="D432" s="40"/>
      <c r="E432" s="40"/>
      <c r="F432" s="40"/>
      <c r="G432" s="40">
        <v>51072</v>
      </c>
      <c r="H432" s="40"/>
      <c r="I432" s="40"/>
      <c r="J432" s="40"/>
      <c r="K432" s="40"/>
      <c r="L432" s="40"/>
      <c r="M432" s="41">
        <v>162318</v>
      </c>
      <c r="N432" s="1" t="str">
        <f>IFERROR(INDEX([1]物品基础表!$A:$A,MATCH(M432,[1]物品基础表!$B:$B,0)),"")</f>
        <v>橙色法师170级戒指</v>
      </c>
      <c r="O432" s="41">
        <v>1</v>
      </c>
    </row>
    <row r="433" spans="1:15">
      <c r="A433" s="43" t="s">
        <v>772</v>
      </c>
      <c r="B433" s="40">
        <v>333</v>
      </c>
      <c r="C433" s="40">
        <v>164</v>
      </c>
      <c r="D433" s="40"/>
      <c r="E433" s="40"/>
      <c r="F433" s="40"/>
      <c r="G433" s="40">
        <v>51072</v>
      </c>
      <c r="H433" s="40"/>
      <c r="I433" s="40"/>
      <c r="J433" s="40"/>
      <c r="K433" s="40"/>
      <c r="L433" s="40"/>
      <c r="M433" s="41">
        <v>112318</v>
      </c>
      <c r="N433" s="1" t="str">
        <f>IFERROR(INDEX([1]物品基础表!$A:$A,MATCH(M433,[1]物品基础表!$B:$B,0)),"")</f>
        <v>橙色法师170级头盔</v>
      </c>
      <c r="O433" s="41">
        <v>1</v>
      </c>
    </row>
    <row r="434" spans="1:15">
      <c r="A434" s="43" t="s">
        <v>772</v>
      </c>
      <c r="B434" s="40">
        <v>333</v>
      </c>
      <c r="C434" s="40">
        <v>165</v>
      </c>
      <c r="D434" s="40"/>
      <c r="E434" s="40"/>
      <c r="F434" s="40"/>
      <c r="G434" s="40">
        <v>51072</v>
      </c>
      <c r="H434" s="40"/>
      <c r="I434" s="40"/>
      <c r="J434" s="40"/>
      <c r="K434" s="40"/>
      <c r="L434" s="40"/>
      <c r="M434" s="41">
        <v>132318</v>
      </c>
      <c r="N434" s="1" t="str">
        <f>IFERROR(INDEX([1]物品基础表!$A:$A,MATCH(M434,[1]物品基础表!$B:$B,0)),"")</f>
        <v>橙色法师170级项链</v>
      </c>
      <c r="O434" s="41">
        <v>1</v>
      </c>
    </row>
    <row r="435" spans="1:15">
      <c r="A435" s="43" t="s">
        <v>772</v>
      </c>
      <c r="B435" s="40">
        <v>333</v>
      </c>
      <c r="C435" s="40">
        <v>166</v>
      </c>
      <c r="D435" s="40"/>
      <c r="E435" s="40"/>
      <c r="F435" s="40"/>
      <c r="G435" s="40">
        <v>51072</v>
      </c>
      <c r="H435" s="40"/>
      <c r="I435" s="40"/>
      <c r="J435" s="40"/>
      <c r="K435" s="40"/>
      <c r="L435" s="40"/>
      <c r="M435" s="41">
        <v>152318</v>
      </c>
      <c r="N435" s="1" t="str">
        <f>IFERROR(INDEX([1]物品基础表!$A:$A,MATCH(M435,[1]物品基础表!$B:$B,0)),"")</f>
        <v>橙色法师170级腰带</v>
      </c>
      <c r="O435" s="41">
        <v>1</v>
      </c>
    </row>
    <row r="436" spans="1:15">
      <c r="A436" s="43" t="s">
        <v>772</v>
      </c>
      <c r="B436" s="40">
        <v>333</v>
      </c>
      <c r="C436" s="40">
        <v>167</v>
      </c>
      <c r="D436" s="40"/>
      <c r="E436" s="40"/>
      <c r="F436" s="40"/>
      <c r="G436" s="40">
        <v>51072</v>
      </c>
      <c r="H436" s="40"/>
      <c r="I436" s="40"/>
      <c r="J436" s="40"/>
      <c r="K436" s="40"/>
      <c r="L436" s="40"/>
      <c r="M436" s="41">
        <v>172318</v>
      </c>
      <c r="N436" s="1" t="str">
        <f>IFERROR(INDEX([1]物品基础表!$A:$A,MATCH(M436,[1]物品基础表!$B:$B,0)),"")</f>
        <v>橙色法师170级鞋子</v>
      </c>
      <c r="O436" s="41">
        <v>1</v>
      </c>
    </row>
    <row r="437" spans="1:15">
      <c r="A437" s="43" t="s">
        <v>772</v>
      </c>
      <c r="B437" s="40">
        <v>333</v>
      </c>
      <c r="C437" s="40">
        <v>168</v>
      </c>
      <c r="D437" s="40"/>
      <c r="E437" s="40"/>
      <c r="F437" s="40"/>
      <c r="G437" s="40">
        <v>127680</v>
      </c>
      <c r="H437" s="40"/>
      <c r="I437" s="40"/>
      <c r="J437" s="40"/>
      <c r="K437" s="40"/>
      <c r="L437" s="40"/>
      <c r="M437" s="41">
        <v>103318</v>
      </c>
      <c r="N437" s="1" t="str">
        <f>IFERROR(INDEX([1]物品基础表!$A:$A,MATCH(M437,[1]物品基础表!$B:$B,0)),"")</f>
        <v>橙色道士170级武器</v>
      </c>
      <c r="O437" s="41">
        <v>1</v>
      </c>
    </row>
    <row r="438" spans="1:15">
      <c r="A438" s="43" t="s">
        <v>772</v>
      </c>
      <c r="B438" s="40">
        <v>333</v>
      </c>
      <c r="C438" s="40">
        <v>169</v>
      </c>
      <c r="D438" s="40"/>
      <c r="E438" s="40"/>
      <c r="F438" s="40"/>
      <c r="G438" s="40">
        <v>91929</v>
      </c>
      <c r="H438" s="40"/>
      <c r="I438" s="40"/>
      <c r="J438" s="40"/>
      <c r="K438" s="40"/>
      <c r="L438" s="40"/>
      <c r="M438" s="41">
        <v>123318</v>
      </c>
      <c r="N438" s="1" t="str">
        <f>IFERROR(INDEX([1]物品基础表!$A:$A,MATCH(M438,[1]物品基础表!$B:$B,0)),"")</f>
        <v>橙色道士170级衣服</v>
      </c>
      <c r="O438" s="41">
        <v>1</v>
      </c>
    </row>
    <row r="439" spans="1:15">
      <c r="A439" s="43" t="s">
        <v>772</v>
      </c>
      <c r="B439" s="40">
        <v>333</v>
      </c>
      <c r="C439" s="40">
        <v>170</v>
      </c>
      <c r="D439" s="40"/>
      <c r="E439" s="40"/>
      <c r="F439" s="40"/>
      <c r="G439" s="40">
        <v>51072</v>
      </c>
      <c r="H439" s="40"/>
      <c r="I439" s="40"/>
      <c r="J439" s="40"/>
      <c r="K439" s="40"/>
      <c r="L439" s="40"/>
      <c r="M439" s="41">
        <v>143318</v>
      </c>
      <c r="N439" s="1" t="str">
        <f>IFERROR(INDEX([1]物品基础表!$A:$A,MATCH(M439,[1]物品基础表!$B:$B,0)),"")</f>
        <v>橙色道士170级手镯</v>
      </c>
      <c r="O439" s="41">
        <v>1</v>
      </c>
    </row>
    <row r="440" spans="1:15">
      <c r="A440" s="43" t="s">
        <v>772</v>
      </c>
      <c r="B440" s="40">
        <v>333</v>
      </c>
      <c r="C440" s="40">
        <v>171</v>
      </c>
      <c r="D440" s="40"/>
      <c r="E440" s="40"/>
      <c r="F440" s="40"/>
      <c r="G440" s="40">
        <v>51072</v>
      </c>
      <c r="H440" s="40"/>
      <c r="I440" s="40"/>
      <c r="J440" s="40"/>
      <c r="K440" s="40"/>
      <c r="L440" s="40"/>
      <c r="M440" s="41">
        <v>163318</v>
      </c>
      <c r="N440" s="1" t="str">
        <f>IFERROR(INDEX([1]物品基础表!$A:$A,MATCH(M440,[1]物品基础表!$B:$B,0)),"")</f>
        <v>橙色道士170级戒指</v>
      </c>
      <c r="O440" s="41">
        <v>1</v>
      </c>
    </row>
    <row r="441" spans="1:15">
      <c r="A441" s="43" t="s">
        <v>772</v>
      </c>
      <c r="B441" s="40">
        <v>333</v>
      </c>
      <c r="C441" s="40">
        <v>172</v>
      </c>
      <c r="D441" s="40"/>
      <c r="E441" s="40"/>
      <c r="F441" s="40"/>
      <c r="G441" s="40">
        <v>51072</v>
      </c>
      <c r="H441" s="40"/>
      <c r="I441" s="40"/>
      <c r="J441" s="40"/>
      <c r="K441" s="40"/>
      <c r="L441" s="40"/>
      <c r="M441" s="41">
        <v>113318</v>
      </c>
      <c r="N441" s="1" t="str">
        <f>IFERROR(INDEX([1]物品基础表!$A:$A,MATCH(M441,[1]物品基础表!$B:$B,0)),"")</f>
        <v>橙色道士170级头盔</v>
      </c>
      <c r="O441" s="41">
        <v>1</v>
      </c>
    </row>
    <row r="442" spans="1:15">
      <c r="A442" s="43" t="s">
        <v>772</v>
      </c>
      <c r="B442" s="40">
        <v>333</v>
      </c>
      <c r="C442" s="40">
        <v>173</v>
      </c>
      <c r="D442" s="40"/>
      <c r="E442" s="40"/>
      <c r="F442" s="40"/>
      <c r="G442" s="40">
        <v>51072</v>
      </c>
      <c r="H442" s="40"/>
      <c r="I442" s="40"/>
      <c r="J442" s="40"/>
      <c r="K442" s="40"/>
      <c r="L442" s="40"/>
      <c r="M442" s="41">
        <v>133318</v>
      </c>
      <c r="N442" s="1" t="str">
        <f>IFERROR(INDEX([1]物品基础表!$A:$A,MATCH(M442,[1]物品基础表!$B:$B,0)),"")</f>
        <v>橙色道士170级项链</v>
      </c>
      <c r="O442" s="41">
        <v>1</v>
      </c>
    </row>
    <row r="443" spans="1:15">
      <c r="A443" s="43" t="s">
        <v>772</v>
      </c>
      <c r="B443" s="40">
        <v>333</v>
      </c>
      <c r="C443" s="40">
        <v>174</v>
      </c>
      <c r="D443" s="40"/>
      <c r="E443" s="40"/>
      <c r="F443" s="40"/>
      <c r="G443" s="40">
        <v>51072</v>
      </c>
      <c r="H443" s="40"/>
      <c r="I443" s="40"/>
      <c r="J443" s="40"/>
      <c r="K443" s="40"/>
      <c r="L443" s="40"/>
      <c r="M443" s="41">
        <v>153318</v>
      </c>
      <c r="N443" s="1" t="str">
        <f>IFERROR(INDEX([1]物品基础表!$A:$A,MATCH(M443,[1]物品基础表!$B:$B,0)),"")</f>
        <v>橙色道士170级腰带</v>
      </c>
      <c r="O443" s="41">
        <v>1</v>
      </c>
    </row>
    <row r="444" spans="1:15">
      <c r="A444" s="43" t="s">
        <v>772</v>
      </c>
      <c r="B444" s="40">
        <v>333</v>
      </c>
      <c r="C444" s="40">
        <v>175</v>
      </c>
      <c r="D444" s="40"/>
      <c r="E444" s="40"/>
      <c r="F444" s="40"/>
      <c r="G444" s="40">
        <v>51072</v>
      </c>
      <c r="H444" s="40"/>
      <c r="I444" s="40"/>
      <c r="J444" s="40"/>
      <c r="K444" s="40"/>
      <c r="L444" s="40"/>
      <c r="M444" s="41">
        <v>173318</v>
      </c>
      <c r="N444" s="1" t="str">
        <f>IFERROR(INDEX([1]物品基础表!$A:$A,MATCH(M444,[1]物品基础表!$B:$B,0)),"")</f>
        <v>橙色道士170级鞋子</v>
      </c>
      <c r="O444" s="41">
        <v>1</v>
      </c>
    </row>
    <row r="445" spans="1:15">
      <c r="A445" s="43" t="s">
        <v>502</v>
      </c>
      <c r="B445" s="40">
        <v>505</v>
      </c>
      <c r="C445" s="40">
        <v>1</v>
      </c>
      <c r="D445" s="40"/>
      <c r="E445" s="40"/>
      <c r="F445" s="40"/>
      <c r="G445" s="40">
        <v>30000</v>
      </c>
      <c r="H445" s="40"/>
      <c r="I445" s="40">
        <v>5</v>
      </c>
      <c r="J445" s="40"/>
      <c r="K445" s="40"/>
      <c r="L445" s="40"/>
      <c r="M445" s="41">
        <v>220010</v>
      </c>
      <c r="N445" s="1" t="str">
        <f>IFERROR(INDEX([1]物品基础表!$A:$A,MATCH(M445,[1]物品基础表!$B:$B,0)),"")</f>
        <v>中级秘籍宝箱</v>
      </c>
      <c r="O445" s="41">
        <v>1</v>
      </c>
    </row>
    <row r="446" spans="1:15">
      <c r="A446" s="43" t="s">
        <v>502</v>
      </c>
      <c r="B446" s="40">
        <v>505</v>
      </c>
      <c r="C446" s="40">
        <v>2</v>
      </c>
      <c r="D446" s="40"/>
      <c r="E446" s="40"/>
      <c r="F446" s="40"/>
      <c r="G446" s="40">
        <v>1500</v>
      </c>
      <c r="H446" s="40"/>
      <c r="I446" s="40">
        <v>50</v>
      </c>
      <c r="J446" s="40"/>
      <c r="K446" s="40"/>
      <c r="L446" s="40"/>
      <c r="M446" s="41">
        <v>200005</v>
      </c>
      <c r="N446" s="1" t="str">
        <f>IFERROR(INDEX([1]物品基础表!$A:$A,MATCH(M446,[1]物品基础表!$B:$B,0)),"")</f>
        <v>龙魂碎片</v>
      </c>
      <c r="O446" s="41">
        <v>1</v>
      </c>
    </row>
    <row r="447" spans="1:15">
      <c r="A447" s="43" t="s">
        <v>502</v>
      </c>
      <c r="B447" s="40">
        <v>505</v>
      </c>
      <c r="C447" s="40">
        <v>3</v>
      </c>
      <c r="D447" s="40"/>
      <c r="E447" s="40"/>
      <c r="F447" s="40"/>
      <c r="G447" s="40">
        <v>10000</v>
      </c>
      <c r="H447" s="40"/>
      <c r="I447" s="40">
        <v>5</v>
      </c>
      <c r="J447" s="40"/>
      <c r="K447" s="40"/>
      <c r="L447" s="40"/>
      <c r="M447" s="41">
        <v>200905</v>
      </c>
      <c r="N447" s="1" t="str">
        <f>IFERROR(INDEX([1]物品基础表!$A:$A,MATCH(M447,[1]物品基础表!$B:$B,0)),"")</f>
        <v>BOSS积分宝盒</v>
      </c>
      <c r="O447" s="41">
        <v>1</v>
      </c>
    </row>
    <row r="448" spans="1:15">
      <c r="A448" s="43" t="s">
        <v>502</v>
      </c>
      <c r="B448" s="40">
        <v>505</v>
      </c>
      <c r="C448" s="40">
        <v>4</v>
      </c>
      <c r="D448" s="40"/>
      <c r="E448" s="40"/>
      <c r="F448" s="40"/>
      <c r="G448" s="40">
        <v>7000</v>
      </c>
      <c r="H448" s="40"/>
      <c r="I448" s="40">
        <v>5</v>
      </c>
      <c r="J448" s="40"/>
      <c r="K448" s="40"/>
      <c r="L448" s="40"/>
      <c r="M448" s="41">
        <v>200157</v>
      </c>
      <c r="N448" s="1" t="str">
        <f>IFERROR(INDEX([1]物品基础表!$A:$A,MATCH(M448,[1]物品基础表!$B:$B,0)),"")</f>
        <v>秘境BOSS次数卷轴</v>
      </c>
      <c r="O448" s="41">
        <v>1</v>
      </c>
    </row>
    <row r="449" spans="1:15">
      <c r="A449" s="43" t="s">
        <v>502</v>
      </c>
      <c r="B449" s="40">
        <v>505</v>
      </c>
      <c r="C449" s="40">
        <v>5</v>
      </c>
      <c r="D449" s="40"/>
      <c r="E449" s="40"/>
      <c r="F449" s="40"/>
      <c r="G449" s="40">
        <v>2500</v>
      </c>
      <c r="H449" s="40"/>
      <c r="I449" s="40">
        <v>15</v>
      </c>
      <c r="J449" s="40"/>
      <c r="K449" s="40"/>
      <c r="L449" s="40"/>
      <c r="M449" s="41">
        <v>200156</v>
      </c>
      <c r="N449" s="1" t="str">
        <f>IFERROR(INDEX([1]物品基础表!$A:$A,MATCH(M449,[1]物品基础表!$B:$B,0)),"")</f>
        <v>野外BOSS次数卷轴</v>
      </c>
      <c r="O449" s="41">
        <v>1</v>
      </c>
    </row>
    <row r="450" spans="1:15">
      <c r="A450" s="43" t="s">
        <v>502</v>
      </c>
      <c r="B450" s="40">
        <v>505</v>
      </c>
      <c r="C450" s="40">
        <v>6</v>
      </c>
      <c r="D450" s="40"/>
      <c r="E450" s="40"/>
      <c r="F450" s="40"/>
      <c r="G450" s="40">
        <v>2000</v>
      </c>
      <c r="H450" s="40"/>
      <c r="I450" s="40">
        <v>5</v>
      </c>
      <c r="J450" s="40"/>
      <c r="K450" s="40"/>
      <c r="L450" s="40"/>
      <c r="M450" s="41">
        <v>201002</v>
      </c>
      <c r="N450" s="1" t="str">
        <f>IFERROR(INDEX([1]物品基础表!$A:$A,MATCH(M450,[1]物品基础表!$B:$B,0)),"")</f>
        <v>神秘钥匙</v>
      </c>
      <c r="O450" s="41">
        <v>1</v>
      </c>
    </row>
    <row r="451" spans="1:15">
      <c r="A451" s="43" t="s">
        <v>502</v>
      </c>
      <c r="B451" s="40">
        <v>505</v>
      </c>
      <c r="C451" s="40">
        <v>7</v>
      </c>
      <c r="D451" s="40"/>
      <c r="E451" s="40"/>
      <c r="F451" s="40"/>
      <c r="G451" s="40">
        <v>2000</v>
      </c>
      <c r="H451" s="40"/>
      <c r="I451" s="40">
        <v>15</v>
      </c>
      <c r="J451" s="40"/>
      <c r="K451" s="40"/>
      <c r="L451" s="40"/>
      <c r="M451" s="41">
        <v>200164</v>
      </c>
      <c r="N451" s="1" t="str">
        <f>IFERROR(INDEX([1]物品基础表!$A:$A,MATCH(M451,[1]物品基础表!$B:$B,0)),"")</f>
        <v>金砖</v>
      </c>
      <c r="O451" s="41">
        <v>1</v>
      </c>
    </row>
    <row r="452" spans="1:15">
      <c r="A452" s="43" t="s">
        <v>502</v>
      </c>
      <c r="B452" s="40">
        <v>505</v>
      </c>
      <c r="C452" s="40">
        <v>8</v>
      </c>
      <c r="D452" s="40"/>
      <c r="E452" s="40"/>
      <c r="F452" s="40"/>
      <c r="G452" s="40">
        <v>2500</v>
      </c>
      <c r="H452" s="40"/>
      <c r="I452" s="40"/>
      <c r="J452" s="40"/>
      <c r="K452" s="40"/>
      <c r="L452" s="40"/>
      <c r="M452" s="41">
        <v>200167</v>
      </c>
      <c r="N452" s="1" t="str">
        <f>IFERROR(INDEX([1]物品基础表!$A:$A,MATCH(M452,[1]物品基础表!$B:$B,0)),"")</f>
        <v>黑铁</v>
      </c>
      <c r="O452" s="41">
        <v>100</v>
      </c>
    </row>
    <row r="453" spans="1:15">
      <c r="A453" s="43" t="s">
        <v>502</v>
      </c>
      <c r="B453" s="40">
        <v>505</v>
      </c>
      <c r="C453" s="40">
        <v>9</v>
      </c>
      <c r="D453" s="40"/>
      <c r="E453" s="40"/>
      <c r="F453" s="40"/>
      <c r="G453" s="40">
        <v>2000</v>
      </c>
      <c r="H453" s="40"/>
      <c r="I453" s="40"/>
      <c r="J453" s="40"/>
      <c r="K453" s="40"/>
      <c r="L453" s="40"/>
      <c r="M453" s="41">
        <v>200015</v>
      </c>
      <c r="N453" s="1" t="str">
        <f>IFERROR(INDEX([1]物品基础表!$A:$A,MATCH(M453,[1]物品基础表!$B:$B,0)),"")</f>
        <v>特戒碎片</v>
      </c>
      <c r="O453" s="41">
        <v>20</v>
      </c>
    </row>
    <row r="454" spans="1:15">
      <c r="A454" s="43" t="s">
        <v>502</v>
      </c>
      <c r="B454" s="40">
        <v>513</v>
      </c>
      <c r="C454" s="40">
        <v>1</v>
      </c>
      <c r="D454" s="40"/>
      <c r="E454" s="40"/>
      <c r="F454" s="40"/>
      <c r="G454" s="40">
        <v>30000</v>
      </c>
      <c r="H454" s="40"/>
      <c r="I454" s="40">
        <v>5</v>
      </c>
      <c r="J454" s="40"/>
      <c r="K454" s="40"/>
      <c r="L454" s="40"/>
      <c r="M454" s="41">
        <v>220010</v>
      </c>
      <c r="N454" s="1" t="str">
        <f>IFERROR(INDEX([1]物品基础表!$A:$A,MATCH(M454,[1]物品基础表!$B:$B,0)),"")</f>
        <v>中级秘籍宝箱</v>
      </c>
      <c r="O454" s="41">
        <v>1</v>
      </c>
    </row>
    <row r="455" spans="1:15">
      <c r="A455" s="43" t="s">
        <v>502</v>
      </c>
      <c r="B455" s="40">
        <v>513</v>
      </c>
      <c r="C455" s="40">
        <v>2</v>
      </c>
      <c r="D455" s="40"/>
      <c r="E455" s="40"/>
      <c r="F455" s="40"/>
      <c r="G455" s="40">
        <v>1500</v>
      </c>
      <c r="H455" s="40"/>
      <c r="I455" s="40">
        <v>50</v>
      </c>
      <c r="J455" s="40"/>
      <c r="K455" s="40"/>
      <c r="L455" s="40"/>
      <c r="M455" s="41">
        <v>200005</v>
      </c>
      <c r="N455" s="1" t="str">
        <f>IFERROR(INDEX([1]物品基础表!$A:$A,MATCH(M455,[1]物品基础表!$B:$B,0)),"")</f>
        <v>龙魂碎片</v>
      </c>
      <c r="O455" s="41">
        <v>1</v>
      </c>
    </row>
    <row r="456" spans="1:15">
      <c r="A456" s="43" t="s">
        <v>502</v>
      </c>
      <c r="B456" s="40">
        <v>513</v>
      </c>
      <c r="C456" s="40">
        <v>3</v>
      </c>
      <c r="D456" s="40"/>
      <c r="E456" s="40"/>
      <c r="F456" s="40"/>
      <c r="G456" s="40">
        <v>10000</v>
      </c>
      <c r="H456" s="40"/>
      <c r="I456" s="40">
        <v>5</v>
      </c>
      <c r="J456" s="40"/>
      <c r="K456" s="40"/>
      <c r="L456" s="40"/>
      <c r="M456" s="41">
        <v>200905</v>
      </c>
      <c r="N456" s="1" t="str">
        <f>IFERROR(INDEX([1]物品基础表!$A:$A,MATCH(M456,[1]物品基础表!$B:$B,0)),"")</f>
        <v>BOSS积分宝盒</v>
      </c>
      <c r="O456" s="41">
        <v>1</v>
      </c>
    </row>
    <row r="457" spans="1:15">
      <c r="A457" s="43" t="s">
        <v>502</v>
      </c>
      <c r="B457" s="40">
        <v>513</v>
      </c>
      <c r="C457" s="40">
        <v>4</v>
      </c>
      <c r="D457" s="40"/>
      <c r="E457" s="40"/>
      <c r="F457" s="40"/>
      <c r="G457" s="40">
        <v>7000</v>
      </c>
      <c r="H457" s="40"/>
      <c r="I457" s="40">
        <v>5</v>
      </c>
      <c r="J457" s="40"/>
      <c r="K457" s="40"/>
      <c r="L457" s="40"/>
      <c r="M457" s="41">
        <v>200157</v>
      </c>
      <c r="N457" s="1" t="str">
        <f>IFERROR(INDEX([1]物品基础表!$A:$A,MATCH(M457,[1]物品基础表!$B:$B,0)),"")</f>
        <v>秘境BOSS次数卷轴</v>
      </c>
      <c r="O457" s="41">
        <v>1</v>
      </c>
    </row>
    <row r="458" spans="1:15">
      <c r="A458" s="43" t="s">
        <v>502</v>
      </c>
      <c r="B458" s="40">
        <v>513</v>
      </c>
      <c r="C458" s="40">
        <v>5</v>
      </c>
      <c r="D458" s="40"/>
      <c r="E458" s="40"/>
      <c r="F458" s="40"/>
      <c r="G458" s="40">
        <v>2500</v>
      </c>
      <c r="H458" s="40"/>
      <c r="I458" s="40">
        <v>15</v>
      </c>
      <c r="J458" s="40"/>
      <c r="K458" s="40"/>
      <c r="L458" s="40"/>
      <c r="M458" s="41">
        <v>200156</v>
      </c>
      <c r="N458" s="1" t="str">
        <f>IFERROR(INDEX([1]物品基础表!$A:$A,MATCH(M458,[1]物品基础表!$B:$B,0)),"")</f>
        <v>野外BOSS次数卷轴</v>
      </c>
      <c r="O458" s="41">
        <v>1</v>
      </c>
    </row>
    <row r="459" spans="1:15">
      <c r="A459" s="43" t="s">
        <v>502</v>
      </c>
      <c r="B459" s="40">
        <v>513</v>
      </c>
      <c r="C459" s="40">
        <v>6</v>
      </c>
      <c r="D459" s="40"/>
      <c r="E459" s="40"/>
      <c r="F459" s="40"/>
      <c r="G459" s="40">
        <v>2000</v>
      </c>
      <c r="H459" s="40"/>
      <c r="I459" s="40">
        <v>5</v>
      </c>
      <c r="J459" s="40"/>
      <c r="K459" s="40"/>
      <c r="L459" s="40"/>
      <c r="M459" s="41">
        <v>201002</v>
      </c>
      <c r="N459" s="1" t="str">
        <f>IFERROR(INDEX([1]物品基础表!$A:$A,MATCH(M459,[1]物品基础表!$B:$B,0)),"")</f>
        <v>神秘钥匙</v>
      </c>
      <c r="O459" s="41">
        <v>1</v>
      </c>
    </row>
    <row r="460" spans="1:15">
      <c r="A460" s="43" t="s">
        <v>502</v>
      </c>
      <c r="B460" s="40">
        <v>513</v>
      </c>
      <c r="C460" s="40">
        <v>7</v>
      </c>
      <c r="D460" s="40"/>
      <c r="E460" s="40"/>
      <c r="F460" s="40"/>
      <c r="G460" s="40">
        <v>2000</v>
      </c>
      <c r="H460" s="40"/>
      <c r="I460" s="40">
        <v>15</v>
      </c>
      <c r="J460" s="40"/>
      <c r="K460" s="40"/>
      <c r="L460" s="40"/>
      <c r="M460" s="41">
        <v>200164</v>
      </c>
      <c r="N460" s="1" t="str">
        <f>IFERROR(INDEX([1]物品基础表!$A:$A,MATCH(M460,[1]物品基础表!$B:$B,0)),"")</f>
        <v>金砖</v>
      </c>
      <c r="O460" s="41">
        <v>1</v>
      </c>
    </row>
    <row r="461" spans="1:15">
      <c r="A461" s="43" t="s">
        <v>502</v>
      </c>
      <c r="B461" s="40">
        <v>513</v>
      </c>
      <c r="C461" s="40">
        <v>8</v>
      </c>
      <c r="D461" s="40"/>
      <c r="E461" s="40"/>
      <c r="F461" s="40"/>
      <c r="G461" s="40">
        <v>2500</v>
      </c>
      <c r="H461" s="40"/>
      <c r="I461" s="40"/>
      <c r="J461" s="40"/>
      <c r="K461" s="40"/>
      <c r="L461" s="40"/>
      <c r="M461" s="41">
        <v>200167</v>
      </c>
      <c r="N461" s="1" t="str">
        <f>IFERROR(INDEX([1]物品基础表!$A:$A,MATCH(M461,[1]物品基础表!$B:$B,0)),"")</f>
        <v>黑铁</v>
      </c>
      <c r="O461" s="41">
        <v>100</v>
      </c>
    </row>
    <row r="462" spans="1:15">
      <c r="A462" s="43" t="s">
        <v>502</v>
      </c>
      <c r="B462" s="40">
        <v>513</v>
      </c>
      <c r="C462" s="40">
        <v>9</v>
      </c>
      <c r="D462" s="40"/>
      <c r="E462" s="40"/>
      <c r="F462" s="40"/>
      <c r="G462" s="40">
        <v>2000</v>
      </c>
      <c r="H462" s="40"/>
      <c r="I462" s="40"/>
      <c r="J462" s="40"/>
      <c r="K462" s="40"/>
      <c r="L462" s="40"/>
      <c r="M462" s="41">
        <v>200015</v>
      </c>
      <c r="N462" s="1" t="str">
        <f>IFERROR(INDEX([1]物品基础表!$A:$A,MATCH(M462,[1]物品基础表!$B:$B,0)),"")</f>
        <v>特戒碎片</v>
      </c>
      <c r="O462" s="41">
        <v>20</v>
      </c>
    </row>
    <row r="463" spans="1:15">
      <c r="A463" s="43" t="s">
        <v>514</v>
      </c>
      <c r="B463" s="40">
        <v>552</v>
      </c>
      <c r="C463" s="40">
        <v>1</v>
      </c>
      <c r="D463" s="40"/>
      <c r="E463" s="40"/>
      <c r="F463" s="40"/>
      <c r="G463" s="40">
        <v>1000</v>
      </c>
      <c r="H463" s="40"/>
      <c r="I463" s="40">
        <v>200</v>
      </c>
      <c r="J463" s="40"/>
      <c r="K463" s="40"/>
      <c r="L463" s="40"/>
      <c r="M463" s="41">
        <v>200003</v>
      </c>
      <c r="N463" s="1" t="str">
        <f>IFERROR(INDEX([1]物品基础表!$A:$A,MATCH(M463,[1]物品基础表!$B:$B,0)),"")</f>
        <v>铸造晶石</v>
      </c>
      <c r="O463" s="41">
        <v>2</v>
      </c>
    </row>
    <row r="464" spans="1:15">
      <c r="A464" s="43" t="s">
        <v>514</v>
      </c>
      <c r="B464" s="40">
        <v>552</v>
      </c>
      <c r="C464" s="40">
        <v>2</v>
      </c>
      <c r="D464" s="40"/>
      <c r="E464" s="40"/>
      <c r="F464" s="40"/>
      <c r="G464" s="40">
        <v>1500</v>
      </c>
      <c r="H464" s="40"/>
      <c r="I464" s="40">
        <v>100</v>
      </c>
      <c r="J464" s="40"/>
      <c r="K464" s="40"/>
      <c r="L464" s="40"/>
      <c r="M464" s="41">
        <v>200005</v>
      </c>
      <c r="N464" s="1" t="str">
        <f>IFERROR(INDEX([1]物品基础表!$A:$A,MATCH(M464,[1]物品基础表!$B:$B,0)),"")</f>
        <v>龙魂碎片</v>
      </c>
      <c r="O464" s="41">
        <v>1</v>
      </c>
    </row>
    <row r="465" spans="1:15">
      <c r="A465" s="43" t="s">
        <v>514</v>
      </c>
      <c r="B465" s="40">
        <v>552</v>
      </c>
      <c r="C465" s="40">
        <v>3</v>
      </c>
      <c r="D465" s="40"/>
      <c r="E465" s="40"/>
      <c r="F465" s="40"/>
      <c r="G465" s="40">
        <v>10000</v>
      </c>
      <c r="H465" s="40"/>
      <c r="I465" s="40">
        <v>5</v>
      </c>
      <c r="J465" s="40"/>
      <c r="K465" s="40"/>
      <c r="L465" s="40"/>
      <c r="M465" s="41">
        <v>200905</v>
      </c>
      <c r="N465" s="1" t="str">
        <f>IFERROR(INDEX([1]物品基础表!$A:$A,MATCH(M465,[1]物品基础表!$B:$B,0)),"")</f>
        <v>BOSS积分宝盒</v>
      </c>
      <c r="O465" s="41">
        <v>1</v>
      </c>
    </row>
    <row r="466" spans="1:15">
      <c r="A466" s="43" t="s">
        <v>514</v>
      </c>
      <c r="B466" s="40">
        <v>552</v>
      </c>
      <c r="C466" s="40">
        <v>4</v>
      </c>
      <c r="D466" s="40"/>
      <c r="E466" s="40"/>
      <c r="F466" s="40"/>
      <c r="G466" s="40">
        <v>7000</v>
      </c>
      <c r="H466" s="40"/>
      <c r="I466" s="40">
        <v>5</v>
      </c>
      <c r="J466" s="40"/>
      <c r="K466" s="40"/>
      <c r="L466" s="40"/>
      <c r="M466" s="41">
        <v>200157</v>
      </c>
      <c r="N466" s="1" t="str">
        <f>IFERROR(INDEX([1]物品基础表!$A:$A,MATCH(M466,[1]物品基础表!$B:$B,0)),"")</f>
        <v>秘境BOSS次数卷轴</v>
      </c>
      <c r="O466" s="41">
        <v>1</v>
      </c>
    </row>
    <row r="467" spans="1:15">
      <c r="A467" s="43" t="s">
        <v>514</v>
      </c>
      <c r="B467" s="40">
        <v>552</v>
      </c>
      <c r="C467" s="40">
        <v>5</v>
      </c>
      <c r="D467" s="40"/>
      <c r="E467" s="40"/>
      <c r="F467" s="40"/>
      <c r="G467" s="40">
        <v>2500</v>
      </c>
      <c r="H467" s="40"/>
      <c r="I467" s="40">
        <v>15</v>
      </c>
      <c r="J467" s="40"/>
      <c r="K467" s="40"/>
      <c r="L467" s="40"/>
      <c r="M467" s="41">
        <v>200156</v>
      </c>
      <c r="N467" s="1" t="str">
        <f>IFERROR(INDEX([1]物品基础表!$A:$A,MATCH(M467,[1]物品基础表!$B:$B,0)),"")</f>
        <v>野外BOSS次数卷轴</v>
      </c>
      <c r="O467" s="41">
        <v>1</v>
      </c>
    </row>
    <row r="468" spans="1:15">
      <c r="A468" s="43" t="s">
        <v>514</v>
      </c>
      <c r="B468" s="40">
        <v>552</v>
      </c>
      <c r="C468" s="40">
        <v>6</v>
      </c>
      <c r="D468" s="40"/>
      <c r="E468" s="40"/>
      <c r="F468" s="40"/>
      <c r="G468" s="40">
        <v>2000</v>
      </c>
      <c r="H468" s="40"/>
      <c r="I468" s="40">
        <v>5</v>
      </c>
      <c r="J468" s="40"/>
      <c r="K468" s="40"/>
      <c r="L468" s="40"/>
      <c r="M468" s="41">
        <v>201002</v>
      </c>
      <c r="N468" s="1" t="str">
        <f>IFERROR(INDEX([1]物品基础表!$A:$A,MATCH(M468,[1]物品基础表!$B:$B,0)),"")</f>
        <v>神秘钥匙</v>
      </c>
      <c r="O468" s="41">
        <v>1</v>
      </c>
    </row>
    <row r="469" spans="1:15">
      <c r="A469" s="43" t="s">
        <v>514</v>
      </c>
      <c r="B469" s="40">
        <v>552</v>
      </c>
      <c r="C469" s="40">
        <v>7</v>
      </c>
      <c r="D469" s="40"/>
      <c r="E469" s="40"/>
      <c r="F469" s="40"/>
      <c r="G469" s="40">
        <v>2000</v>
      </c>
      <c r="H469" s="40"/>
      <c r="I469" s="40"/>
      <c r="J469" s="40"/>
      <c r="K469" s="40"/>
      <c r="L469" s="40"/>
      <c r="M469" s="41">
        <v>200164</v>
      </c>
      <c r="N469" s="1" t="str">
        <f>IFERROR(INDEX([1]物品基础表!$A:$A,MATCH(M469,[1]物品基础表!$B:$B,0)),"")</f>
        <v>金砖</v>
      </c>
      <c r="O469" s="41">
        <v>1</v>
      </c>
    </row>
    <row r="470" spans="1:15">
      <c r="A470" s="43" t="s">
        <v>514</v>
      </c>
      <c r="B470" s="40">
        <v>552</v>
      </c>
      <c r="C470" s="40">
        <v>8</v>
      </c>
      <c r="D470" s="40"/>
      <c r="E470" s="40"/>
      <c r="F470" s="40"/>
      <c r="G470" s="40">
        <v>25032</v>
      </c>
      <c r="H470" s="40"/>
      <c r="I470" s="40"/>
      <c r="J470" s="40"/>
      <c r="K470" s="40"/>
      <c r="L470" s="40"/>
      <c r="M470" s="41">
        <v>101312</v>
      </c>
      <c r="N470" s="1" t="str">
        <f>IFERROR(INDEX([1]物品基础表!$A:$A,MATCH(M470,[1]物品基础表!$B:$B,0)),"")</f>
        <v>橙色战士110级武器</v>
      </c>
      <c r="O470" s="41">
        <v>1</v>
      </c>
    </row>
    <row r="471" spans="1:15">
      <c r="A471" s="43" t="s">
        <v>514</v>
      </c>
      <c r="B471" s="40">
        <v>552</v>
      </c>
      <c r="C471" s="40">
        <v>9</v>
      </c>
      <c r="D471" s="40"/>
      <c r="E471" s="40"/>
      <c r="F471" s="40"/>
      <c r="G471" s="40">
        <v>18022</v>
      </c>
      <c r="H471" s="40"/>
      <c r="I471" s="40"/>
      <c r="J471" s="40"/>
      <c r="K471" s="40"/>
      <c r="L471" s="40"/>
      <c r="M471" s="41">
        <v>121312</v>
      </c>
      <c r="N471" s="1" t="str">
        <f>IFERROR(INDEX([1]物品基础表!$A:$A,MATCH(M471,[1]物品基础表!$B:$B,0)),"")</f>
        <v>橙色战士110级衣服</v>
      </c>
      <c r="O471" s="41">
        <v>1</v>
      </c>
    </row>
    <row r="472" spans="1:15">
      <c r="A472" s="43" t="s">
        <v>514</v>
      </c>
      <c r="B472" s="40">
        <v>552</v>
      </c>
      <c r="C472" s="40">
        <v>10</v>
      </c>
      <c r="D472" s="40"/>
      <c r="E472" s="40"/>
      <c r="F472" s="40"/>
      <c r="G472" s="40">
        <v>10012</v>
      </c>
      <c r="H472" s="40"/>
      <c r="I472" s="40"/>
      <c r="J472" s="40"/>
      <c r="K472" s="40"/>
      <c r="L472" s="40"/>
      <c r="M472" s="41">
        <v>141312</v>
      </c>
      <c r="N472" s="1" t="str">
        <f>IFERROR(INDEX([1]物品基础表!$A:$A,MATCH(M472,[1]物品基础表!$B:$B,0)),"")</f>
        <v>橙色战士110级手镯</v>
      </c>
      <c r="O472" s="41">
        <v>1</v>
      </c>
    </row>
    <row r="473" spans="1:15">
      <c r="A473" s="43" t="s">
        <v>514</v>
      </c>
      <c r="B473" s="40">
        <v>552</v>
      </c>
      <c r="C473" s="40">
        <v>11</v>
      </c>
      <c r="D473" s="40"/>
      <c r="E473" s="40"/>
      <c r="F473" s="40"/>
      <c r="G473" s="40">
        <v>10012</v>
      </c>
      <c r="H473" s="40"/>
      <c r="I473" s="40"/>
      <c r="J473" s="40"/>
      <c r="K473" s="40"/>
      <c r="L473" s="40"/>
      <c r="M473" s="41">
        <v>161312</v>
      </c>
      <c r="N473" s="1" t="str">
        <f>IFERROR(INDEX([1]物品基础表!$A:$A,MATCH(M473,[1]物品基础表!$B:$B,0)),"")</f>
        <v>橙色战士110级戒指</v>
      </c>
      <c r="O473" s="41">
        <v>1</v>
      </c>
    </row>
    <row r="474" spans="1:15">
      <c r="A474" s="43" t="s">
        <v>514</v>
      </c>
      <c r="B474" s="40">
        <v>552</v>
      </c>
      <c r="C474" s="40">
        <v>12</v>
      </c>
      <c r="D474" s="40"/>
      <c r="E474" s="40"/>
      <c r="F474" s="40"/>
      <c r="G474" s="40">
        <v>10012</v>
      </c>
      <c r="H474" s="40"/>
      <c r="I474" s="40"/>
      <c r="J474" s="40"/>
      <c r="K474" s="40"/>
      <c r="L474" s="40"/>
      <c r="M474" s="41">
        <v>111312</v>
      </c>
      <c r="N474" s="1" t="str">
        <f>IFERROR(INDEX([1]物品基础表!$A:$A,MATCH(M474,[1]物品基础表!$B:$B,0)),"")</f>
        <v>橙色战士110级头盔</v>
      </c>
      <c r="O474" s="41">
        <v>1</v>
      </c>
    </row>
    <row r="475" spans="1:15">
      <c r="A475" s="43" t="s">
        <v>514</v>
      </c>
      <c r="B475" s="40">
        <v>552</v>
      </c>
      <c r="C475" s="40">
        <v>13</v>
      </c>
      <c r="D475" s="40"/>
      <c r="E475" s="40"/>
      <c r="F475" s="40"/>
      <c r="G475" s="40">
        <v>10012</v>
      </c>
      <c r="H475" s="40"/>
      <c r="I475" s="40"/>
      <c r="J475" s="40"/>
      <c r="K475" s="40"/>
      <c r="L475" s="40"/>
      <c r="M475" s="41">
        <v>131312</v>
      </c>
      <c r="N475" s="1" t="str">
        <f>IFERROR(INDEX([1]物品基础表!$A:$A,MATCH(M475,[1]物品基础表!$B:$B,0)),"")</f>
        <v>橙色战士110级项链</v>
      </c>
      <c r="O475" s="41">
        <v>1</v>
      </c>
    </row>
    <row r="476" spans="1:15">
      <c r="A476" s="43" t="s">
        <v>514</v>
      </c>
      <c r="B476" s="40">
        <v>552</v>
      </c>
      <c r="C476" s="40">
        <v>14</v>
      </c>
      <c r="D476" s="40"/>
      <c r="E476" s="40"/>
      <c r="F476" s="40"/>
      <c r="G476" s="40">
        <v>10012</v>
      </c>
      <c r="H476" s="40"/>
      <c r="I476" s="40"/>
      <c r="J476" s="40"/>
      <c r="K476" s="40"/>
      <c r="L476" s="40"/>
      <c r="M476" s="41">
        <v>151312</v>
      </c>
      <c r="N476" s="1" t="str">
        <f>IFERROR(INDEX([1]物品基础表!$A:$A,MATCH(M476,[1]物品基础表!$B:$B,0)),"")</f>
        <v>橙色战士110级腰带</v>
      </c>
      <c r="O476" s="41">
        <v>1</v>
      </c>
    </row>
    <row r="477" spans="1:15">
      <c r="A477" s="43" t="s">
        <v>514</v>
      </c>
      <c r="B477" s="40">
        <v>552</v>
      </c>
      <c r="C477" s="40">
        <v>15</v>
      </c>
      <c r="D477" s="40"/>
      <c r="E477" s="40"/>
      <c r="F477" s="40"/>
      <c r="G477" s="40">
        <v>10012</v>
      </c>
      <c r="H477" s="40"/>
      <c r="I477" s="40"/>
      <c r="J477" s="40"/>
      <c r="K477" s="40"/>
      <c r="L477" s="40"/>
      <c r="M477" s="41">
        <v>171312</v>
      </c>
      <c r="N477" s="1" t="str">
        <f>IFERROR(INDEX([1]物品基础表!$A:$A,MATCH(M477,[1]物品基础表!$B:$B,0)),"")</f>
        <v>橙色战士110级鞋子</v>
      </c>
      <c r="O477" s="41">
        <v>1</v>
      </c>
    </row>
    <row r="478" spans="1:15">
      <c r="A478" s="43" t="s">
        <v>514</v>
      </c>
      <c r="B478" s="40">
        <v>552</v>
      </c>
      <c r="C478" s="40">
        <v>16</v>
      </c>
      <c r="D478" s="40"/>
      <c r="E478" s="40"/>
      <c r="F478" s="40"/>
      <c r="G478" s="40">
        <v>25032</v>
      </c>
      <c r="H478" s="40"/>
      <c r="I478" s="40"/>
      <c r="J478" s="40"/>
      <c r="K478" s="40"/>
      <c r="L478" s="40"/>
      <c r="M478" s="41">
        <v>102312</v>
      </c>
      <c r="N478" s="1" t="str">
        <f>IFERROR(INDEX([1]物品基础表!$A:$A,MATCH(M478,[1]物品基础表!$B:$B,0)),"")</f>
        <v>橙色法师110级武器</v>
      </c>
      <c r="O478" s="41">
        <v>1</v>
      </c>
    </row>
    <row r="479" spans="1:15">
      <c r="A479" s="43" t="s">
        <v>514</v>
      </c>
      <c r="B479" s="40">
        <v>552</v>
      </c>
      <c r="C479" s="40">
        <v>17</v>
      </c>
      <c r="D479" s="40"/>
      <c r="E479" s="40"/>
      <c r="F479" s="40"/>
      <c r="G479" s="40">
        <v>18022</v>
      </c>
      <c r="H479" s="40"/>
      <c r="I479" s="40"/>
      <c r="J479" s="40"/>
      <c r="K479" s="40"/>
      <c r="L479" s="40"/>
      <c r="M479" s="41">
        <v>122312</v>
      </c>
      <c r="N479" s="1" t="str">
        <f>IFERROR(INDEX([1]物品基础表!$A:$A,MATCH(M479,[1]物品基础表!$B:$B,0)),"")</f>
        <v>橙色法师110级衣服</v>
      </c>
      <c r="O479" s="41">
        <v>1</v>
      </c>
    </row>
    <row r="480" spans="1:15">
      <c r="A480" s="43" t="s">
        <v>514</v>
      </c>
      <c r="B480" s="40">
        <v>552</v>
      </c>
      <c r="C480" s="40">
        <v>18</v>
      </c>
      <c r="D480" s="40"/>
      <c r="E480" s="40"/>
      <c r="F480" s="40"/>
      <c r="G480" s="40">
        <v>10012</v>
      </c>
      <c r="H480" s="40"/>
      <c r="I480" s="40"/>
      <c r="J480" s="40"/>
      <c r="K480" s="40"/>
      <c r="L480" s="40"/>
      <c r="M480" s="41">
        <v>142312</v>
      </c>
      <c r="N480" s="1" t="str">
        <f>IFERROR(INDEX([1]物品基础表!$A:$A,MATCH(M480,[1]物品基础表!$B:$B,0)),"")</f>
        <v>橙色法师110级手镯</v>
      </c>
      <c r="O480" s="41">
        <v>1</v>
      </c>
    </row>
    <row r="481" spans="1:15">
      <c r="A481" s="43" t="s">
        <v>514</v>
      </c>
      <c r="B481" s="40">
        <v>552</v>
      </c>
      <c r="C481" s="40">
        <v>19</v>
      </c>
      <c r="D481" s="40"/>
      <c r="E481" s="40"/>
      <c r="F481" s="40"/>
      <c r="G481" s="40">
        <v>10012</v>
      </c>
      <c r="H481" s="40"/>
      <c r="I481" s="40"/>
      <c r="J481" s="40"/>
      <c r="K481" s="40"/>
      <c r="L481" s="40"/>
      <c r="M481" s="41">
        <v>162312</v>
      </c>
      <c r="N481" s="1" t="str">
        <f>IFERROR(INDEX([1]物品基础表!$A:$A,MATCH(M481,[1]物品基础表!$B:$B,0)),"")</f>
        <v>橙色法师110级戒指</v>
      </c>
      <c r="O481" s="41">
        <v>1</v>
      </c>
    </row>
    <row r="482" spans="1:15">
      <c r="A482" s="43" t="s">
        <v>514</v>
      </c>
      <c r="B482" s="40">
        <v>552</v>
      </c>
      <c r="C482" s="40">
        <v>20</v>
      </c>
      <c r="D482" s="40"/>
      <c r="E482" s="40"/>
      <c r="F482" s="40"/>
      <c r="G482" s="40">
        <v>10012</v>
      </c>
      <c r="H482" s="40"/>
      <c r="I482" s="40"/>
      <c r="J482" s="40"/>
      <c r="K482" s="40"/>
      <c r="L482" s="40"/>
      <c r="M482" s="41">
        <v>112312</v>
      </c>
      <c r="N482" s="1" t="str">
        <f>IFERROR(INDEX([1]物品基础表!$A:$A,MATCH(M482,[1]物品基础表!$B:$B,0)),"")</f>
        <v>橙色法师110级头盔</v>
      </c>
      <c r="O482" s="41">
        <v>1</v>
      </c>
    </row>
    <row r="483" spans="1:15">
      <c r="A483" s="43" t="s">
        <v>514</v>
      </c>
      <c r="B483" s="40">
        <v>552</v>
      </c>
      <c r="C483" s="40">
        <v>21</v>
      </c>
      <c r="D483" s="40"/>
      <c r="E483" s="40"/>
      <c r="F483" s="40"/>
      <c r="G483" s="40">
        <v>10012</v>
      </c>
      <c r="H483" s="40"/>
      <c r="I483" s="40"/>
      <c r="J483" s="40"/>
      <c r="K483" s="40"/>
      <c r="L483" s="40"/>
      <c r="M483" s="41">
        <v>132312</v>
      </c>
      <c r="N483" s="1" t="str">
        <f>IFERROR(INDEX([1]物品基础表!$A:$A,MATCH(M483,[1]物品基础表!$B:$B,0)),"")</f>
        <v>橙色法师110级项链</v>
      </c>
      <c r="O483" s="41">
        <v>1</v>
      </c>
    </row>
    <row r="484" spans="1:15">
      <c r="A484" s="43" t="s">
        <v>514</v>
      </c>
      <c r="B484" s="40">
        <v>552</v>
      </c>
      <c r="C484" s="40">
        <v>22</v>
      </c>
      <c r="D484" s="40"/>
      <c r="E484" s="40"/>
      <c r="F484" s="40"/>
      <c r="G484" s="40">
        <v>10012</v>
      </c>
      <c r="H484" s="40"/>
      <c r="I484" s="40"/>
      <c r="J484" s="40"/>
      <c r="K484" s="40"/>
      <c r="L484" s="40"/>
      <c r="M484" s="41">
        <v>152312</v>
      </c>
      <c r="N484" s="1" t="str">
        <f>IFERROR(INDEX([1]物品基础表!$A:$A,MATCH(M484,[1]物品基础表!$B:$B,0)),"")</f>
        <v>橙色法师110级腰带</v>
      </c>
      <c r="O484" s="41">
        <v>1</v>
      </c>
    </row>
    <row r="485" spans="1:15">
      <c r="A485" s="43" t="s">
        <v>514</v>
      </c>
      <c r="B485" s="40">
        <v>552</v>
      </c>
      <c r="C485" s="40">
        <v>23</v>
      </c>
      <c r="D485" s="40"/>
      <c r="E485" s="40"/>
      <c r="F485" s="40"/>
      <c r="G485" s="40">
        <v>10012</v>
      </c>
      <c r="H485" s="40"/>
      <c r="I485" s="40"/>
      <c r="J485" s="40"/>
      <c r="K485" s="40"/>
      <c r="L485" s="40"/>
      <c r="M485" s="41">
        <v>172312</v>
      </c>
      <c r="N485" s="1" t="str">
        <f>IFERROR(INDEX([1]物品基础表!$A:$A,MATCH(M485,[1]物品基础表!$B:$B,0)),"")</f>
        <v>橙色法师110级鞋子</v>
      </c>
      <c r="O485" s="41">
        <v>1</v>
      </c>
    </row>
    <row r="486" spans="1:15">
      <c r="A486" s="43" t="s">
        <v>514</v>
      </c>
      <c r="B486" s="40">
        <v>552</v>
      </c>
      <c r="C486" s="40">
        <v>24</v>
      </c>
      <c r="D486" s="40"/>
      <c r="E486" s="40"/>
      <c r="F486" s="40"/>
      <c r="G486" s="40">
        <v>25032</v>
      </c>
      <c r="H486" s="40"/>
      <c r="I486" s="40"/>
      <c r="J486" s="40"/>
      <c r="K486" s="40"/>
      <c r="L486" s="40"/>
      <c r="M486" s="41">
        <v>103312</v>
      </c>
      <c r="N486" s="1" t="str">
        <f>IFERROR(INDEX([1]物品基础表!$A:$A,MATCH(M486,[1]物品基础表!$B:$B,0)),"")</f>
        <v>橙色道士110级武器</v>
      </c>
      <c r="O486" s="41">
        <v>1</v>
      </c>
    </row>
    <row r="487" spans="1:15">
      <c r="A487" s="43" t="s">
        <v>514</v>
      </c>
      <c r="B487" s="40">
        <v>552</v>
      </c>
      <c r="C487" s="40">
        <v>25</v>
      </c>
      <c r="D487" s="40"/>
      <c r="E487" s="40"/>
      <c r="F487" s="40"/>
      <c r="G487" s="40">
        <v>18022</v>
      </c>
      <c r="H487" s="40"/>
      <c r="I487" s="40"/>
      <c r="J487" s="40"/>
      <c r="K487" s="40"/>
      <c r="L487" s="40"/>
      <c r="M487" s="41">
        <v>123312</v>
      </c>
      <c r="N487" s="1" t="str">
        <f>IFERROR(INDEX([1]物品基础表!$A:$A,MATCH(M487,[1]物品基础表!$B:$B,0)),"")</f>
        <v>橙色道士110级衣服</v>
      </c>
      <c r="O487" s="41">
        <v>1</v>
      </c>
    </row>
    <row r="488" spans="1:15">
      <c r="A488" s="43" t="s">
        <v>514</v>
      </c>
      <c r="B488" s="40">
        <v>552</v>
      </c>
      <c r="C488" s="40">
        <v>26</v>
      </c>
      <c r="D488" s="40"/>
      <c r="E488" s="40"/>
      <c r="F488" s="40"/>
      <c r="G488" s="40">
        <v>10012</v>
      </c>
      <c r="H488" s="40"/>
      <c r="I488" s="40"/>
      <c r="J488" s="40"/>
      <c r="K488" s="40"/>
      <c r="L488" s="40"/>
      <c r="M488" s="41">
        <v>143312</v>
      </c>
      <c r="N488" s="1" t="str">
        <f>IFERROR(INDEX([1]物品基础表!$A:$A,MATCH(M488,[1]物品基础表!$B:$B,0)),"")</f>
        <v>橙色道士110级手镯</v>
      </c>
      <c r="O488" s="41">
        <v>1</v>
      </c>
    </row>
    <row r="489" spans="1:15">
      <c r="A489" s="43" t="s">
        <v>514</v>
      </c>
      <c r="B489" s="40">
        <v>552</v>
      </c>
      <c r="C489" s="40">
        <v>27</v>
      </c>
      <c r="D489" s="40"/>
      <c r="E489" s="40"/>
      <c r="F489" s="40"/>
      <c r="G489" s="40">
        <v>10012</v>
      </c>
      <c r="H489" s="40"/>
      <c r="I489" s="40"/>
      <c r="J489" s="40"/>
      <c r="K489" s="40"/>
      <c r="L489" s="40"/>
      <c r="M489" s="41">
        <v>163312</v>
      </c>
      <c r="N489" s="1" t="str">
        <f>IFERROR(INDEX([1]物品基础表!$A:$A,MATCH(M489,[1]物品基础表!$B:$B,0)),"")</f>
        <v>橙色道士110级戒指</v>
      </c>
      <c r="O489" s="41">
        <v>1</v>
      </c>
    </row>
    <row r="490" spans="1:15">
      <c r="A490" s="43" t="s">
        <v>514</v>
      </c>
      <c r="B490" s="40">
        <v>552</v>
      </c>
      <c r="C490" s="40">
        <v>28</v>
      </c>
      <c r="D490" s="40"/>
      <c r="E490" s="40"/>
      <c r="F490" s="40"/>
      <c r="G490" s="40">
        <v>10012</v>
      </c>
      <c r="H490" s="40"/>
      <c r="I490" s="40"/>
      <c r="J490" s="40"/>
      <c r="K490" s="40"/>
      <c r="L490" s="40"/>
      <c r="M490" s="41">
        <v>113312</v>
      </c>
      <c r="N490" s="1" t="str">
        <f>IFERROR(INDEX([1]物品基础表!$A:$A,MATCH(M490,[1]物品基础表!$B:$B,0)),"")</f>
        <v>橙色道士110级头盔</v>
      </c>
      <c r="O490" s="41">
        <v>1</v>
      </c>
    </row>
    <row r="491" spans="1:15">
      <c r="A491" s="43" t="s">
        <v>514</v>
      </c>
      <c r="B491" s="40">
        <v>552</v>
      </c>
      <c r="C491" s="40">
        <v>29</v>
      </c>
      <c r="D491" s="40"/>
      <c r="E491" s="40"/>
      <c r="F491" s="40"/>
      <c r="G491" s="40">
        <v>10012</v>
      </c>
      <c r="H491" s="40"/>
      <c r="I491" s="40"/>
      <c r="J491" s="40"/>
      <c r="K491" s="40"/>
      <c r="L491" s="40"/>
      <c r="M491" s="41">
        <v>133312</v>
      </c>
      <c r="N491" s="1" t="str">
        <f>IFERROR(INDEX([1]物品基础表!$A:$A,MATCH(M491,[1]物品基础表!$B:$B,0)),"")</f>
        <v>橙色道士110级项链</v>
      </c>
      <c r="O491" s="41">
        <v>1</v>
      </c>
    </row>
    <row r="492" spans="1:15">
      <c r="A492" s="43" t="s">
        <v>514</v>
      </c>
      <c r="B492" s="40">
        <v>552</v>
      </c>
      <c r="C492" s="40">
        <v>30</v>
      </c>
      <c r="D492" s="40"/>
      <c r="E492" s="40"/>
      <c r="F492" s="40"/>
      <c r="G492" s="40">
        <v>10012</v>
      </c>
      <c r="H492" s="40"/>
      <c r="I492" s="40"/>
      <c r="J492" s="40"/>
      <c r="K492" s="40"/>
      <c r="L492" s="40"/>
      <c r="M492" s="41">
        <v>153312</v>
      </c>
      <c r="N492" s="1" t="str">
        <f>IFERROR(INDEX([1]物品基础表!$A:$A,MATCH(M492,[1]物品基础表!$B:$B,0)),"")</f>
        <v>橙色道士110级腰带</v>
      </c>
      <c r="O492" s="41">
        <v>1</v>
      </c>
    </row>
    <row r="493" spans="1:15">
      <c r="A493" s="43" t="s">
        <v>514</v>
      </c>
      <c r="B493" s="40">
        <v>552</v>
      </c>
      <c r="C493" s="40">
        <v>31</v>
      </c>
      <c r="D493" s="40"/>
      <c r="E493" s="40"/>
      <c r="F493" s="40"/>
      <c r="G493" s="40">
        <v>10012</v>
      </c>
      <c r="H493" s="40"/>
      <c r="I493" s="40"/>
      <c r="J493" s="40"/>
      <c r="K493" s="40"/>
      <c r="L493" s="40"/>
      <c r="M493" s="41">
        <v>173312</v>
      </c>
      <c r="N493" s="1" t="str">
        <f>IFERROR(INDEX([1]物品基础表!$A:$A,MATCH(M493,[1]物品基础表!$B:$B,0)),"")</f>
        <v>橙色道士110级鞋子</v>
      </c>
      <c r="O493" s="41">
        <v>1</v>
      </c>
    </row>
    <row r="494" spans="1:15">
      <c r="A494" s="43" t="s">
        <v>514</v>
      </c>
      <c r="B494" s="40">
        <v>552</v>
      </c>
      <c r="C494" s="40">
        <v>32</v>
      </c>
      <c r="D494" s="40"/>
      <c r="E494" s="40"/>
      <c r="F494" s="40"/>
      <c r="G494" s="40">
        <v>35752</v>
      </c>
      <c r="H494" s="40"/>
      <c r="I494" s="40"/>
      <c r="J494" s="40"/>
      <c r="K494" s="40"/>
      <c r="L494" s="40"/>
      <c r="M494" s="41">
        <v>101313</v>
      </c>
      <c r="N494" s="1" t="str">
        <f>IFERROR(INDEX([1]物品基础表!$A:$A,MATCH(M494,[1]物品基础表!$B:$B,0)),"")</f>
        <v>橙色战士120级武器</v>
      </c>
      <c r="O494" s="41">
        <v>1</v>
      </c>
    </row>
    <row r="495" spans="1:15">
      <c r="A495" s="43" t="s">
        <v>514</v>
      </c>
      <c r="B495" s="40">
        <v>552</v>
      </c>
      <c r="C495" s="40">
        <v>33</v>
      </c>
      <c r="D495" s="40"/>
      <c r="E495" s="40"/>
      <c r="F495" s="40"/>
      <c r="G495" s="40">
        <v>25740</v>
      </c>
      <c r="H495" s="40"/>
      <c r="I495" s="40"/>
      <c r="J495" s="40"/>
      <c r="K495" s="40"/>
      <c r="L495" s="40"/>
      <c r="M495" s="41">
        <v>121313</v>
      </c>
      <c r="N495" s="1" t="str">
        <f>IFERROR(INDEX([1]物品基础表!$A:$A,MATCH(M495,[1]物品基础表!$B:$B,0)),"")</f>
        <v>橙色战士120级衣服</v>
      </c>
      <c r="O495" s="41">
        <v>1</v>
      </c>
    </row>
    <row r="496" spans="1:15">
      <c r="A496" s="43" t="s">
        <v>514</v>
      </c>
      <c r="B496" s="40">
        <v>552</v>
      </c>
      <c r="C496" s="40">
        <v>34</v>
      </c>
      <c r="D496" s="40"/>
      <c r="E496" s="40"/>
      <c r="F496" s="40"/>
      <c r="G496" s="40">
        <v>14300</v>
      </c>
      <c r="H496" s="40"/>
      <c r="I496" s="40"/>
      <c r="J496" s="40"/>
      <c r="K496" s="40"/>
      <c r="L496" s="40"/>
      <c r="M496" s="41">
        <v>141313</v>
      </c>
      <c r="N496" s="1" t="str">
        <f>IFERROR(INDEX([1]物品基础表!$A:$A,MATCH(M496,[1]物品基础表!$B:$B,0)),"")</f>
        <v>橙色战士120级手镯</v>
      </c>
      <c r="O496" s="41">
        <v>1</v>
      </c>
    </row>
    <row r="497" spans="1:15">
      <c r="A497" s="43" t="s">
        <v>514</v>
      </c>
      <c r="B497" s="40">
        <v>552</v>
      </c>
      <c r="C497" s="40">
        <v>35</v>
      </c>
      <c r="D497" s="40"/>
      <c r="E497" s="40"/>
      <c r="F497" s="40"/>
      <c r="G497" s="40">
        <v>14300</v>
      </c>
      <c r="H497" s="40"/>
      <c r="I497" s="40"/>
      <c r="J497" s="40"/>
      <c r="K497" s="40"/>
      <c r="L497" s="40"/>
      <c r="M497" s="41">
        <v>161313</v>
      </c>
      <c r="N497" s="1" t="str">
        <f>IFERROR(INDEX([1]物品基础表!$A:$A,MATCH(M497,[1]物品基础表!$B:$B,0)),"")</f>
        <v>橙色战士120级戒指</v>
      </c>
      <c r="O497" s="41">
        <v>1</v>
      </c>
    </row>
    <row r="498" spans="1:15">
      <c r="A498" s="43" t="s">
        <v>514</v>
      </c>
      <c r="B498" s="40">
        <v>552</v>
      </c>
      <c r="C498" s="40">
        <v>36</v>
      </c>
      <c r="D498" s="40"/>
      <c r="E498" s="40"/>
      <c r="F498" s="40"/>
      <c r="G498" s="40">
        <v>14300</v>
      </c>
      <c r="H498" s="40"/>
      <c r="I498" s="40"/>
      <c r="J498" s="40"/>
      <c r="K498" s="40"/>
      <c r="L498" s="40"/>
      <c r="M498" s="41">
        <v>111313</v>
      </c>
      <c r="N498" s="1" t="str">
        <f>IFERROR(INDEX([1]物品基础表!$A:$A,MATCH(M498,[1]物品基础表!$B:$B,0)),"")</f>
        <v>橙色战士120级头盔</v>
      </c>
      <c r="O498" s="41">
        <v>1</v>
      </c>
    </row>
    <row r="499" spans="1:15">
      <c r="A499" s="43" t="s">
        <v>514</v>
      </c>
      <c r="B499" s="40">
        <v>552</v>
      </c>
      <c r="C499" s="40">
        <v>37</v>
      </c>
      <c r="D499" s="40"/>
      <c r="E499" s="40"/>
      <c r="F499" s="40"/>
      <c r="G499" s="40">
        <v>14300</v>
      </c>
      <c r="H499" s="40"/>
      <c r="I499" s="40"/>
      <c r="J499" s="40"/>
      <c r="K499" s="40"/>
      <c r="L499" s="40"/>
      <c r="M499" s="41">
        <v>131313</v>
      </c>
      <c r="N499" s="1" t="str">
        <f>IFERROR(INDEX([1]物品基础表!$A:$A,MATCH(M499,[1]物品基础表!$B:$B,0)),"")</f>
        <v>橙色战士120级项链</v>
      </c>
      <c r="O499" s="41">
        <v>1</v>
      </c>
    </row>
    <row r="500" spans="1:15">
      <c r="A500" s="43" t="s">
        <v>514</v>
      </c>
      <c r="B500" s="40">
        <v>552</v>
      </c>
      <c r="C500" s="40">
        <v>38</v>
      </c>
      <c r="D500" s="40"/>
      <c r="E500" s="40"/>
      <c r="F500" s="40"/>
      <c r="G500" s="40">
        <v>14300</v>
      </c>
      <c r="H500" s="40"/>
      <c r="I500" s="40"/>
      <c r="J500" s="40"/>
      <c r="K500" s="40"/>
      <c r="L500" s="40"/>
      <c r="M500" s="41">
        <v>151313</v>
      </c>
      <c r="N500" s="1" t="str">
        <f>IFERROR(INDEX([1]物品基础表!$A:$A,MATCH(M500,[1]物品基础表!$B:$B,0)),"")</f>
        <v>橙色战士120级腰带</v>
      </c>
      <c r="O500" s="41">
        <v>1</v>
      </c>
    </row>
    <row r="501" spans="1:15">
      <c r="A501" s="43" t="s">
        <v>514</v>
      </c>
      <c r="B501" s="40">
        <v>552</v>
      </c>
      <c r="C501" s="40">
        <v>39</v>
      </c>
      <c r="D501" s="40"/>
      <c r="E501" s="40"/>
      <c r="F501" s="40"/>
      <c r="G501" s="40">
        <v>14300</v>
      </c>
      <c r="H501" s="40"/>
      <c r="I501" s="40"/>
      <c r="J501" s="40"/>
      <c r="K501" s="40"/>
      <c r="L501" s="40"/>
      <c r="M501" s="41">
        <v>171313</v>
      </c>
      <c r="N501" s="1" t="str">
        <f>IFERROR(INDEX([1]物品基础表!$A:$A,MATCH(M501,[1]物品基础表!$B:$B,0)),"")</f>
        <v>橙色战士120级鞋子</v>
      </c>
      <c r="O501" s="41">
        <v>1</v>
      </c>
    </row>
    <row r="502" spans="1:15">
      <c r="A502" s="43" t="s">
        <v>514</v>
      </c>
      <c r="B502" s="40">
        <v>552</v>
      </c>
      <c r="C502" s="40">
        <v>40</v>
      </c>
      <c r="D502" s="40"/>
      <c r="E502" s="40"/>
      <c r="F502" s="40"/>
      <c r="G502" s="40">
        <v>35752</v>
      </c>
      <c r="H502" s="40"/>
      <c r="I502" s="40"/>
      <c r="J502" s="40"/>
      <c r="K502" s="40"/>
      <c r="L502" s="40"/>
      <c r="M502" s="41">
        <v>102313</v>
      </c>
      <c r="N502" s="1" t="str">
        <f>IFERROR(INDEX([1]物品基础表!$A:$A,MATCH(M502,[1]物品基础表!$B:$B,0)),"")</f>
        <v>橙色法师120级武器</v>
      </c>
      <c r="O502" s="41">
        <v>1</v>
      </c>
    </row>
    <row r="503" spans="1:15">
      <c r="A503" s="43" t="s">
        <v>514</v>
      </c>
      <c r="B503" s="40">
        <v>552</v>
      </c>
      <c r="C503" s="40">
        <v>41</v>
      </c>
      <c r="D503" s="40"/>
      <c r="E503" s="40"/>
      <c r="F503" s="40"/>
      <c r="G503" s="40">
        <v>25740</v>
      </c>
      <c r="H503" s="40"/>
      <c r="I503" s="40"/>
      <c r="J503" s="40"/>
      <c r="K503" s="40"/>
      <c r="L503" s="40"/>
      <c r="M503" s="41">
        <v>122313</v>
      </c>
      <c r="N503" s="1" t="str">
        <f>IFERROR(INDEX([1]物品基础表!$A:$A,MATCH(M503,[1]物品基础表!$B:$B,0)),"")</f>
        <v>橙色法师120级衣服</v>
      </c>
      <c r="O503" s="41">
        <v>1</v>
      </c>
    </row>
    <row r="504" spans="1:15">
      <c r="A504" s="43" t="s">
        <v>514</v>
      </c>
      <c r="B504" s="40">
        <v>552</v>
      </c>
      <c r="C504" s="40">
        <v>42</v>
      </c>
      <c r="D504" s="40"/>
      <c r="E504" s="40"/>
      <c r="F504" s="40"/>
      <c r="G504" s="40">
        <v>14300</v>
      </c>
      <c r="H504" s="40"/>
      <c r="I504" s="40"/>
      <c r="J504" s="40"/>
      <c r="K504" s="40"/>
      <c r="L504" s="40"/>
      <c r="M504" s="41">
        <v>142313</v>
      </c>
      <c r="N504" s="1" t="str">
        <f>IFERROR(INDEX([1]物品基础表!$A:$A,MATCH(M504,[1]物品基础表!$B:$B,0)),"")</f>
        <v>橙色法师120级手镯</v>
      </c>
      <c r="O504" s="41">
        <v>1</v>
      </c>
    </row>
    <row r="505" spans="1:15">
      <c r="A505" s="43" t="s">
        <v>514</v>
      </c>
      <c r="B505" s="40">
        <v>552</v>
      </c>
      <c r="C505" s="40">
        <v>43</v>
      </c>
      <c r="D505" s="40"/>
      <c r="E505" s="40"/>
      <c r="F505" s="40"/>
      <c r="G505" s="40">
        <v>14300</v>
      </c>
      <c r="H505" s="40"/>
      <c r="I505" s="40"/>
      <c r="J505" s="40"/>
      <c r="K505" s="40"/>
      <c r="L505" s="40"/>
      <c r="M505" s="41">
        <v>162313</v>
      </c>
      <c r="N505" s="1" t="str">
        <f>IFERROR(INDEX([1]物品基础表!$A:$A,MATCH(M505,[1]物品基础表!$B:$B,0)),"")</f>
        <v>橙色法师120级戒指</v>
      </c>
      <c r="O505" s="41">
        <v>1</v>
      </c>
    </row>
    <row r="506" spans="1:15">
      <c r="A506" s="43" t="s">
        <v>514</v>
      </c>
      <c r="B506" s="40">
        <v>552</v>
      </c>
      <c r="C506" s="40">
        <v>44</v>
      </c>
      <c r="D506" s="40"/>
      <c r="E506" s="40"/>
      <c r="F506" s="40"/>
      <c r="G506" s="40">
        <v>14300</v>
      </c>
      <c r="H506" s="40"/>
      <c r="I506" s="40"/>
      <c r="J506" s="40"/>
      <c r="K506" s="40"/>
      <c r="L506" s="40"/>
      <c r="M506" s="41">
        <v>112313</v>
      </c>
      <c r="N506" s="1" t="str">
        <f>IFERROR(INDEX([1]物品基础表!$A:$A,MATCH(M506,[1]物品基础表!$B:$B,0)),"")</f>
        <v>橙色法师120级头盔</v>
      </c>
      <c r="O506" s="41">
        <v>1</v>
      </c>
    </row>
    <row r="507" spans="1:15">
      <c r="A507" s="43" t="s">
        <v>514</v>
      </c>
      <c r="B507" s="40">
        <v>552</v>
      </c>
      <c r="C507" s="40">
        <v>45</v>
      </c>
      <c r="D507" s="40"/>
      <c r="E507" s="40"/>
      <c r="F507" s="40"/>
      <c r="G507" s="40">
        <v>14300</v>
      </c>
      <c r="H507" s="40"/>
      <c r="I507" s="40"/>
      <c r="J507" s="40"/>
      <c r="K507" s="40"/>
      <c r="L507" s="40"/>
      <c r="M507" s="41">
        <v>132313</v>
      </c>
      <c r="N507" s="1" t="str">
        <f>IFERROR(INDEX([1]物品基础表!$A:$A,MATCH(M507,[1]物品基础表!$B:$B,0)),"")</f>
        <v>橙色法师120级项链</v>
      </c>
      <c r="O507" s="41">
        <v>1</v>
      </c>
    </row>
    <row r="508" spans="1:15">
      <c r="A508" s="43" t="s">
        <v>514</v>
      </c>
      <c r="B508" s="40">
        <v>552</v>
      </c>
      <c r="C508" s="40">
        <v>46</v>
      </c>
      <c r="D508" s="40"/>
      <c r="E508" s="40"/>
      <c r="F508" s="40"/>
      <c r="G508" s="40">
        <v>14300</v>
      </c>
      <c r="H508" s="40"/>
      <c r="I508" s="40"/>
      <c r="J508" s="40"/>
      <c r="K508" s="40"/>
      <c r="L508" s="40"/>
      <c r="M508" s="41">
        <v>152313</v>
      </c>
      <c r="N508" s="1" t="str">
        <f>IFERROR(INDEX([1]物品基础表!$A:$A,MATCH(M508,[1]物品基础表!$B:$B,0)),"")</f>
        <v>橙色法师120级腰带</v>
      </c>
      <c r="O508" s="41">
        <v>1</v>
      </c>
    </row>
    <row r="509" spans="1:15">
      <c r="A509" s="43" t="s">
        <v>514</v>
      </c>
      <c r="B509" s="40">
        <v>552</v>
      </c>
      <c r="C509" s="40">
        <v>47</v>
      </c>
      <c r="D509" s="40"/>
      <c r="E509" s="40"/>
      <c r="F509" s="40"/>
      <c r="G509" s="40">
        <v>14300</v>
      </c>
      <c r="H509" s="40"/>
      <c r="I509" s="40"/>
      <c r="J509" s="40"/>
      <c r="K509" s="40"/>
      <c r="L509" s="40"/>
      <c r="M509" s="41">
        <v>172313</v>
      </c>
      <c r="N509" s="1" t="str">
        <f>IFERROR(INDEX([1]物品基础表!$A:$A,MATCH(M509,[1]物品基础表!$B:$B,0)),"")</f>
        <v>橙色法师120级鞋子</v>
      </c>
      <c r="O509" s="41">
        <v>1</v>
      </c>
    </row>
    <row r="510" spans="1:15">
      <c r="A510" s="43" t="s">
        <v>514</v>
      </c>
      <c r="B510" s="40">
        <v>552</v>
      </c>
      <c r="C510" s="40">
        <v>48</v>
      </c>
      <c r="D510" s="40"/>
      <c r="E510" s="40"/>
      <c r="F510" s="40"/>
      <c r="G510" s="40">
        <v>35752</v>
      </c>
      <c r="H510" s="40"/>
      <c r="I510" s="40"/>
      <c r="J510" s="40"/>
      <c r="K510" s="40"/>
      <c r="L510" s="40"/>
      <c r="M510" s="41">
        <v>103313</v>
      </c>
      <c r="N510" s="1" t="str">
        <f>IFERROR(INDEX([1]物品基础表!$A:$A,MATCH(M510,[1]物品基础表!$B:$B,0)),"")</f>
        <v>橙色道士120级武器</v>
      </c>
      <c r="O510" s="41">
        <v>1</v>
      </c>
    </row>
    <row r="511" spans="1:15">
      <c r="A511" s="43" t="s">
        <v>514</v>
      </c>
      <c r="B511" s="40">
        <v>552</v>
      </c>
      <c r="C511" s="40">
        <v>49</v>
      </c>
      <c r="D511" s="40"/>
      <c r="E511" s="40"/>
      <c r="F511" s="40"/>
      <c r="G511" s="40">
        <v>25740</v>
      </c>
      <c r="H511" s="40"/>
      <c r="I511" s="40"/>
      <c r="J511" s="40"/>
      <c r="K511" s="40"/>
      <c r="L511" s="40"/>
      <c r="M511" s="41">
        <v>123313</v>
      </c>
      <c r="N511" s="1" t="str">
        <f>IFERROR(INDEX([1]物品基础表!$A:$A,MATCH(M511,[1]物品基础表!$B:$B,0)),"")</f>
        <v>橙色道士120级衣服</v>
      </c>
      <c r="O511" s="41">
        <v>1</v>
      </c>
    </row>
    <row r="512" spans="1:15">
      <c r="A512" s="43" t="s">
        <v>514</v>
      </c>
      <c r="B512" s="40">
        <v>552</v>
      </c>
      <c r="C512" s="40">
        <v>50</v>
      </c>
      <c r="D512" s="40"/>
      <c r="E512" s="40"/>
      <c r="F512" s="40"/>
      <c r="G512" s="40">
        <v>14300</v>
      </c>
      <c r="H512" s="40"/>
      <c r="I512" s="40"/>
      <c r="J512" s="40"/>
      <c r="K512" s="40"/>
      <c r="L512" s="40"/>
      <c r="M512" s="41">
        <v>143313</v>
      </c>
      <c r="N512" s="1" t="str">
        <f>IFERROR(INDEX([1]物品基础表!$A:$A,MATCH(M512,[1]物品基础表!$B:$B,0)),"")</f>
        <v>橙色道士120级手镯</v>
      </c>
      <c r="O512" s="41">
        <v>1</v>
      </c>
    </row>
    <row r="513" spans="1:15">
      <c r="A513" s="43" t="s">
        <v>514</v>
      </c>
      <c r="B513" s="40">
        <v>552</v>
      </c>
      <c r="C513" s="40">
        <v>51</v>
      </c>
      <c r="D513" s="40"/>
      <c r="E513" s="40"/>
      <c r="F513" s="40"/>
      <c r="G513" s="40">
        <v>14300</v>
      </c>
      <c r="H513" s="40"/>
      <c r="I513" s="40"/>
      <c r="J513" s="40"/>
      <c r="K513" s="40"/>
      <c r="L513" s="40"/>
      <c r="M513" s="41">
        <v>163313</v>
      </c>
      <c r="N513" s="1" t="str">
        <f>IFERROR(INDEX([1]物品基础表!$A:$A,MATCH(M513,[1]物品基础表!$B:$B,0)),"")</f>
        <v>橙色道士120级戒指</v>
      </c>
      <c r="O513" s="41">
        <v>1</v>
      </c>
    </row>
    <row r="514" spans="1:15">
      <c r="A514" s="43" t="s">
        <v>514</v>
      </c>
      <c r="B514" s="40">
        <v>552</v>
      </c>
      <c r="C514" s="40">
        <v>52</v>
      </c>
      <c r="D514" s="40"/>
      <c r="E514" s="40"/>
      <c r="F514" s="40"/>
      <c r="G514" s="40">
        <v>14300</v>
      </c>
      <c r="H514" s="40"/>
      <c r="I514" s="40"/>
      <c r="J514" s="40"/>
      <c r="K514" s="40"/>
      <c r="L514" s="40"/>
      <c r="M514" s="41">
        <v>113313</v>
      </c>
      <c r="N514" s="1" t="str">
        <f>IFERROR(INDEX([1]物品基础表!$A:$A,MATCH(M514,[1]物品基础表!$B:$B,0)),"")</f>
        <v>橙色道士120级头盔</v>
      </c>
      <c r="O514" s="41">
        <v>1</v>
      </c>
    </row>
    <row r="515" spans="1:15">
      <c r="A515" s="43" t="s">
        <v>514</v>
      </c>
      <c r="B515" s="40">
        <v>552</v>
      </c>
      <c r="C515" s="40">
        <v>53</v>
      </c>
      <c r="D515" s="40"/>
      <c r="E515" s="40"/>
      <c r="F515" s="40"/>
      <c r="G515" s="40">
        <v>14300</v>
      </c>
      <c r="H515" s="40"/>
      <c r="I515" s="40"/>
      <c r="J515" s="40"/>
      <c r="K515" s="40"/>
      <c r="L515" s="40"/>
      <c r="M515" s="41">
        <v>133313</v>
      </c>
      <c r="N515" s="1" t="str">
        <f>IFERROR(INDEX([1]物品基础表!$A:$A,MATCH(M515,[1]物品基础表!$B:$B,0)),"")</f>
        <v>橙色道士120级项链</v>
      </c>
      <c r="O515" s="41">
        <v>1</v>
      </c>
    </row>
    <row r="516" spans="1:15">
      <c r="A516" s="43" t="s">
        <v>514</v>
      </c>
      <c r="B516" s="40">
        <v>552</v>
      </c>
      <c r="C516" s="40">
        <v>54</v>
      </c>
      <c r="D516" s="40"/>
      <c r="E516" s="40"/>
      <c r="F516" s="40"/>
      <c r="G516" s="40">
        <v>14300</v>
      </c>
      <c r="H516" s="40"/>
      <c r="I516" s="40"/>
      <c r="J516" s="40"/>
      <c r="K516" s="40"/>
      <c r="L516" s="40"/>
      <c r="M516" s="41">
        <v>153313</v>
      </c>
      <c r="N516" s="1" t="str">
        <f>IFERROR(INDEX([1]物品基础表!$A:$A,MATCH(M516,[1]物品基础表!$B:$B,0)),"")</f>
        <v>橙色道士120级腰带</v>
      </c>
      <c r="O516" s="41">
        <v>1</v>
      </c>
    </row>
    <row r="517" spans="1:15">
      <c r="A517" s="43" t="s">
        <v>514</v>
      </c>
      <c r="B517" s="40">
        <v>552</v>
      </c>
      <c r="C517" s="40">
        <v>55</v>
      </c>
      <c r="D517" s="40"/>
      <c r="E517" s="40"/>
      <c r="F517" s="40"/>
      <c r="G517" s="40">
        <v>14300</v>
      </c>
      <c r="H517" s="40"/>
      <c r="I517" s="40"/>
      <c r="J517" s="40"/>
      <c r="K517" s="40"/>
      <c r="L517" s="40"/>
      <c r="M517" s="41">
        <v>173313</v>
      </c>
      <c r="N517" s="1" t="str">
        <f>IFERROR(INDEX([1]物品基础表!$A:$A,MATCH(M517,[1]物品基础表!$B:$B,0)),"")</f>
        <v>橙色道士120级鞋子</v>
      </c>
      <c r="O517" s="41">
        <v>1</v>
      </c>
    </row>
    <row r="518" spans="1:15">
      <c r="A518" s="43" t="s">
        <v>514</v>
      </c>
      <c r="B518" s="40">
        <v>552</v>
      </c>
      <c r="C518" s="40">
        <v>56</v>
      </c>
      <c r="D518" s="40"/>
      <c r="E518" s="40"/>
      <c r="F518" s="40"/>
      <c r="G518" s="40">
        <v>49800</v>
      </c>
      <c r="H518" s="40"/>
      <c r="I518" s="40"/>
      <c r="J518" s="40"/>
      <c r="K518" s="40"/>
      <c r="L518" s="40"/>
      <c r="M518" s="41">
        <v>101314</v>
      </c>
      <c r="N518" s="1" t="str">
        <f>IFERROR(INDEX([1]物品基础表!$A:$A,MATCH(M518,[1]物品基础表!$B:$B,0)),"")</f>
        <v>橙色战士130级武器</v>
      </c>
      <c r="O518" s="41">
        <v>1</v>
      </c>
    </row>
    <row r="519" spans="1:15">
      <c r="A519" s="43" t="s">
        <v>514</v>
      </c>
      <c r="B519" s="40">
        <v>552</v>
      </c>
      <c r="C519" s="40">
        <v>57</v>
      </c>
      <c r="D519" s="40"/>
      <c r="E519" s="40"/>
      <c r="F519" s="40"/>
      <c r="G519" s="40">
        <v>35856</v>
      </c>
      <c r="H519" s="40"/>
      <c r="I519" s="40"/>
      <c r="J519" s="40"/>
      <c r="K519" s="40"/>
      <c r="L519" s="40"/>
      <c r="M519" s="41">
        <v>121314</v>
      </c>
      <c r="N519" s="1" t="str">
        <f>IFERROR(INDEX([1]物品基础表!$A:$A,MATCH(M519,[1]物品基础表!$B:$B,0)),"")</f>
        <v>橙色战士130级衣服</v>
      </c>
      <c r="O519" s="41">
        <v>1</v>
      </c>
    </row>
    <row r="520" spans="1:15">
      <c r="A520" s="43" t="s">
        <v>514</v>
      </c>
      <c r="B520" s="40">
        <v>552</v>
      </c>
      <c r="C520" s="40">
        <v>58</v>
      </c>
      <c r="D520" s="40"/>
      <c r="E520" s="40"/>
      <c r="F520" s="40"/>
      <c r="G520" s="40">
        <v>19920</v>
      </c>
      <c r="H520" s="40"/>
      <c r="I520" s="40"/>
      <c r="J520" s="40"/>
      <c r="K520" s="40"/>
      <c r="L520" s="40"/>
      <c r="M520" s="41">
        <v>141314</v>
      </c>
      <c r="N520" s="1" t="str">
        <f>IFERROR(INDEX([1]物品基础表!$A:$A,MATCH(M520,[1]物品基础表!$B:$B,0)),"")</f>
        <v>橙色战士130级手镯</v>
      </c>
      <c r="O520" s="41">
        <v>1</v>
      </c>
    </row>
    <row r="521" spans="1:15">
      <c r="A521" s="43" t="s">
        <v>514</v>
      </c>
      <c r="B521" s="40">
        <v>552</v>
      </c>
      <c r="C521" s="40">
        <v>59</v>
      </c>
      <c r="D521" s="40"/>
      <c r="E521" s="40"/>
      <c r="F521" s="40"/>
      <c r="G521" s="40">
        <v>19920</v>
      </c>
      <c r="H521" s="40"/>
      <c r="I521" s="40"/>
      <c r="J521" s="40"/>
      <c r="K521" s="40"/>
      <c r="L521" s="40"/>
      <c r="M521" s="41">
        <v>161314</v>
      </c>
      <c r="N521" s="1" t="str">
        <f>IFERROR(INDEX([1]物品基础表!$A:$A,MATCH(M521,[1]物品基础表!$B:$B,0)),"")</f>
        <v>橙色战士130级戒指</v>
      </c>
      <c r="O521" s="41">
        <v>1</v>
      </c>
    </row>
    <row r="522" spans="1:15">
      <c r="A522" s="43" t="s">
        <v>514</v>
      </c>
      <c r="B522" s="40">
        <v>552</v>
      </c>
      <c r="C522" s="40">
        <v>60</v>
      </c>
      <c r="D522" s="40"/>
      <c r="E522" s="40"/>
      <c r="F522" s="40"/>
      <c r="G522" s="40">
        <v>19920</v>
      </c>
      <c r="H522" s="40"/>
      <c r="I522" s="40"/>
      <c r="J522" s="40"/>
      <c r="K522" s="40"/>
      <c r="L522" s="40"/>
      <c r="M522" s="41">
        <v>111314</v>
      </c>
      <c r="N522" s="1" t="str">
        <f>IFERROR(INDEX([1]物品基础表!$A:$A,MATCH(M522,[1]物品基础表!$B:$B,0)),"")</f>
        <v>橙色战士130级头盔</v>
      </c>
      <c r="O522" s="41">
        <v>1</v>
      </c>
    </row>
    <row r="523" spans="1:15">
      <c r="A523" s="43" t="s">
        <v>514</v>
      </c>
      <c r="B523" s="40">
        <v>552</v>
      </c>
      <c r="C523" s="40">
        <v>61</v>
      </c>
      <c r="D523" s="40"/>
      <c r="E523" s="40"/>
      <c r="F523" s="40"/>
      <c r="G523" s="40">
        <v>19920</v>
      </c>
      <c r="H523" s="40"/>
      <c r="I523" s="40"/>
      <c r="J523" s="40"/>
      <c r="K523" s="40"/>
      <c r="L523" s="40"/>
      <c r="M523" s="41">
        <v>131314</v>
      </c>
      <c r="N523" s="1" t="str">
        <f>IFERROR(INDEX([1]物品基础表!$A:$A,MATCH(M523,[1]物品基础表!$B:$B,0)),"")</f>
        <v>橙色战士130级项链</v>
      </c>
      <c r="O523" s="41">
        <v>1</v>
      </c>
    </row>
    <row r="524" spans="1:15">
      <c r="A524" s="43" t="s">
        <v>514</v>
      </c>
      <c r="B524" s="40">
        <v>552</v>
      </c>
      <c r="C524" s="40">
        <v>62</v>
      </c>
      <c r="D524" s="40"/>
      <c r="E524" s="40"/>
      <c r="F524" s="40"/>
      <c r="G524" s="40">
        <v>19920</v>
      </c>
      <c r="H524" s="40"/>
      <c r="I524" s="40"/>
      <c r="J524" s="40"/>
      <c r="K524" s="40"/>
      <c r="L524" s="40"/>
      <c r="M524" s="41">
        <v>151314</v>
      </c>
      <c r="N524" s="1" t="str">
        <f>IFERROR(INDEX([1]物品基础表!$A:$A,MATCH(M524,[1]物品基础表!$B:$B,0)),"")</f>
        <v>橙色战士130级腰带</v>
      </c>
      <c r="O524" s="41">
        <v>1</v>
      </c>
    </row>
    <row r="525" spans="1:15">
      <c r="A525" s="43" t="s">
        <v>514</v>
      </c>
      <c r="B525" s="40">
        <v>552</v>
      </c>
      <c r="C525" s="40">
        <v>63</v>
      </c>
      <c r="D525" s="40"/>
      <c r="E525" s="40"/>
      <c r="F525" s="40"/>
      <c r="G525" s="40">
        <v>19920</v>
      </c>
      <c r="H525" s="40"/>
      <c r="I525" s="40"/>
      <c r="J525" s="40"/>
      <c r="K525" s="40"/>
      <c r="L525" s="40"/>
      <c r="M525" s="41">
        <v>171314</v>
      </c>
      <c r="N525" s="1" t="str">
        <f>IFERROR(INDEX([1]物品基础表!$A:$A,MATCH(M525,[1]物品基础表!$B:$B,0)),"")</f>
        <v>橙色战士130级鞋子</v>
      </c>
      <c r="O525" s="41">
        <v>1</v>
      </c>
    </row>
    <row r="526" spans="1:15">
      <c r="A526" s="43" t="s">
        <v>514</v>
      </c>
      <c r="B526" s="40">
        <v>552</v>
      </c>
      <c r="C526" s="40">
        <v>64</v>
      </c>
      <c r="D526" s="40"/>
      <c r="E526" s="40"/>
      <c r="F526" s="40"/>
      <c r="G526" s="40">
        <v>49800</v>
      </c>
      <c r="H526" s="40"/>
      <c r="I526" s="40"/>
      <c r="J526" s="40"/>
      <c r="K526" s="40"/>
      <c r="L526" s="40"/>
      <c r="M526" s="41">
        <v>102314</v>
      </c>
      <c r="N526" s="1" t="str">
        <f>IFERROR(INDEX([1]物品基础表!$A:$A,MATCH(M526,[1]物品基础表!$B:$B,0)),"")</f>
        <v>橙色法师130级武器</v>
      </c>
      <c r="O526" s="41">
        <v>1</v>
      </c>
    </row>
    <row r="527" spans="1:15">
      <c r="A527" s="43" t="s">
        <v>514</v>
      </c>
      <c r="B527" s="40">
        <v>552</v>
      </c>
      <c r="C527" s="40">
        <v>65</v>
      </c>
      <c r="D527" s="40"/>
      <c r="E527" s="40"/>
      <c r="F527" s="40"/>
      <c r="G527" s="40">
        <v>35856</v>
      </c>
      <c r="H527" s="40"/>
      <c r="I527" s="40"/>
      <c r="J527" s="40"/>
      <c r="K527" s="40"/>
      <c r="L527" s="40"/>
      <c r="M527" s="41">
        <v>122314</v>
      </c>
      <c r="N527" s="1" t="str">
        <f>IFERROR(INDEX([1]物品基础表!$A:$A,MATCH(M527,[1]物品基础表!$B:$B,0)),"")</f>
        <v>橙色法师130级衣服</v>
      </c>
      <c r="O527" s="41">
        <v>1</v>
      </c>
    </row>
    <row r="528" spans="1:15">
      <c r="A528" s="43" t="s">
        <v>514</v>
      </c>
      <c r="B528" s="40">
        <v>552</v>
      </c>
      <c r="C528" s="40">
        <v>66</v>
      </c>
      <c r="D528" s="40"/>
      <c r="E528" s="40"/>
      <c r="F528" s="40"/>
      <c r="G528" s="40">
        <v>19920</v>
      </c>
      <c r="H528" s="40"/>
      <c r="I528" s="40"/>
      <c r="J528" s="40"/>
      <c r="K528" s="40"/>
      <c r="L528" s="40"/>
      <c r="M528" s="41">
        <v>142314</v>
      </c>
      <c r="N528" s="1" t="str">
        <f>IFERROR(INDEX([1]物品基础表!$A:$A,MATCH(M528,[1]物品基础表!$B:$B,0)),"")</f>
        <v>橙色法师130级手镯</v>
      </c>
      <c r="O528" s="41">
        <v>1</v>
      </c>
    </row>
    <row r="529" spans="1:15">
      <c r="A529" s="43" t="s">
        <v>514</v>
      </c>
      <c r="B529" s="40">
        <v>552</v>
      </c>
      <c r="C529" s="40">
        <v>67</v>
      </c>
      <c r="D529" s="40"/>
      <c r="E529" s="40"/>
      <c r="F529" s="40"/>
      <c r="G529" s="40">
        <v>19920</v>
      </c>
      <c r="H529" s="40"/>
      <c r="I529" s="40"/>
      <c r="J529" s="40"/>
      <c r="K529" s="40"/>
      <c r="L529" s="40"/>
      <c r="M529" s="41">
        <v>162314</v>
      </c>
      <c r="N529" s="1" t="str">
        <f>IFERROR(INDEX([1]物品基础表!$A:$A,MATCH(M529,[1]物品基础表!$B:$B,0)),"")</f>
        <v>橙色法师130级戒指</v>
      </c>
      <c r="O529" s="41">
        <v>1</v>
      </c>
    </row>
    <row r="530" spans="1:15">
      <c r="A530" s="43" t="s">
        <v>514</v>
      </c>
      <c r="B530" s="40">
        <v>552</v>
      </c>
      <c r="C530" s="40">
        <v>68</v>
      </c>
      <c r="D530" s="40"/>
      <c r="E530" s="40"/>
      <c r="F530" s="40"/>
      <c r="G530" s="40">
        <v>19920</v>
      </c>
      <c r="H530" s="40"/>
      <c r="I530" s="40"/>
      <c r="J530" s="40"/>
      <c r="K530" s="40"/>
      <c r="L530" s="40"/>
      <c r="M530" s="41">
        <v>112314</v>
      </c>
      <c r="N530" s="1" t="str">
        <f>IFERROR(INDEX([1]物品基础表!$A:$A,MATCH(M530,[1]物品基础表!$B:$B,0)),"")</f>
        <v>橙色法师130级头盔</v>
      </c>
      <c r="O530" s="41">
        <v>1</v>
      </c>
    </row>
    <row r="531" spans="1:15">
      <c r="A531" s="43" t="s">
        <v>514</v>
      </c>
      <c r="B531" s="40">
        <v>552</v>
      </c>
      <c r="C531" s="40">
        <v>69</v>
      </c>
      <c r="D531" s="40"/>
      <c r="E531" s="40"/>
      <c r="F531" s="40"/>
      <c r="G531" s="40">
        <v>19920</v>
      </c>
      <c r="H531" s="40"/>
      <c r="I531" s="40"/>
      <c r="J531" s="40"/>
      <c r="K531" s="40"/>
      <c r="L531" s="40"/>
      <c r="M531" s="41">
        <v>132314</v>
      </c>
      <c r="N531" s="1" t="str">
        <f>IFERROR(INDEX([1]物品基础表!$A:$A,MATCH(M531,[1]物品基础表!$B:$B,0)),"")</f>
        <v>橙色法师130级项链</v>
      </c>
      <c r="O531" s="41">
        <v>1</v>
      </c>
    </row>
    <row r="532" spans="1:15">
      <c r="A532" s="43" t="s">
        <v>514</v>
      </c>
      <c r="B532" s="40">
        <v>552</v>
      </c>
      <c r="C532" s="40">
        <v>70</v>
      </c>
      <c r="D532" s="40"/>
      <c r="E532" s="40"/>
      <c r="F532" s="40"/>
      <c r="G532" s="40">
        <v>19920</v>
      </c>
      <c r="H532" s="40"/>
      <c r="I532" s="40"/>
      <c r="J532" s="40"/>
      <c r="K532" s="40"/>
      <c r="L532" s="40"/>
      <c r="M532" s="41">
        <v>152314</v>
      </c>
      <c r="N532" s="1" t="str">
        <f>IFERROR(INDEX([1]物品基础表!$A:$A,MATCH(M532,[1]物品基础表!$B:$B,0)),"")</f>
        <v>橙色法师130级腰带</v>
      </c>
      <c r="O532" s="41">
        <v>1</v>
      </c>
    </row>
    <row r="533" spans="1:15">
      <c r="A533" s="43" t="s">
        <v>514</v>
      </c>
      <c r="B533" s="40">
        <v>552</v>
      </c>
      <c r="C533" s="40">
        <v>71</v>
      </c>
      <c r="D533" s="40"/>
      <c r="E533" s="40"/>
      <c r="F533" s="40"/>
      <c r="G533" s="40">
        <v>19920</v>
      </c>
      <c r="H533" s="40"/>
      <c r="I533" s="40"/>
      <c r="J533" s="40"/>
      <c r="K533" s="40"/>
      <c r="L533" s="40"/>
      <c r="M533" s="41">
        <v>172314</v>
      </c>
      <c r="N533" s="1" t="str">
        <f>IFERROR(INDEX([1]物品基础表!$A:$A,MATCH(M533,[1]物品基础表!$B:$B,0)),"")</f>
        <v>橙色法师130级鞋子</v>
      </c>
      <c r="O533" s="41">
        <v>1</v>
      </c>
    </row>
    <row r="534" spans="1:15">
      <c r="A534" s="43" t="s">
        <v>514</v>
      </c>
      <c r="B534" s="40">
        <v>552</v>
      </c>
      <c r="C534" s="40">
        <v>72</v>
      </c>
      <c r="D534" s="40"/>
      <c r="E534" s="40"/>
      <c r="F534" s="40"/>
      <c r="G534" s="40">
        <v>49800</v>
      </c>
      <c r="H534" s="40"/>
      <c r="I534" s="40"/>
      <c r="J534" s="40"/>
      <c r="K534" s="40"/>
      <c r="L534" s="40"/>
      <c r="M534" s="41">
        <v>103314</v>
      </c>
      <c r="N534" s="1" t="str">
        <f>IFERROR(INDEX([1]物品基础表!$A:$A,MATCH(M534,[1]物品基础表!$B:$B,0)),"")</f>
        <v>橙色道士130级武器</v>
      </c>
      <c r="O534" s="41">
        <v>1</v>
      </c>
    </row>
    <row r="535" spans="1:15">
      <c r="A535" s="43" t="s">
        <v>514</v>
      </c>
      <c r="B535" s="40">
        <v>552</v>
      </c>
      <c r="C535" s="40">
        <v>73</v>
      </c>
      <c r="D535" s="40"/>
      <c r="E535" s="40"/>
      <c r="F535" s="40"/>
      <c r="G535" s="40">
        <v>35856</v>
      </c>
      <c r="H535" s="40"/>
      <c r="I535" s="40"/>
      <c r="J535" s="40"/>
      <c r="K535" s="40"/>
      <c r="L535" s="40"/>
      <c r="M535" s="41">
        <v>123314</v>
      </c>
      <c r="N535" s="1" t="str">
        <f>IFERROR(INDEX([1]物品基础表!$A:$A,MATCH(M535,[1]物品基础表!$B:$B,0)),"")</f>
        <v>橙色道士130级衣服</v>
      </c>
      <c r="O535" s="41">
        <v>1</v>
      </c>
    </row>
    <row r="536" spans="1:15">
      <c r="A536" s="43" t="s">
        <v>514</v>
      </c>
      <c r="B536" s="40">
        <v>552</v>
      </c>
      <c r="C536" s="40">
        <v>74</v>
      </c>
      <c r="D536" s="40"/>
      <c r="E536" s="40"/>
      <c r="F536" s="40"/>
      <c r="G536" s="40">
        <v>19920</v>
      </c>
      <c r="H536" s="40"/>
      <c r="I536" s="40"/>
      <c r="J536" s="40"/>
      <c r="K536" s="40"/>
      <c r="L536" s="40"/>
      <c r="M536" s="41">
        <v>143314</v>
      </c>
      <c r="N536" s="1" t="str">
        <f>IFERROR(INDEX([1]物品基础表!$A:$A,MATCH(M536,[1]物品基础表!$B:$B,0)),"")</f>
        <v>橙色道士130级手镯</v>
      </c>
      <c r="O536" s="41">
        <v>1</v>
      </c>
    </row>
    <row r="537" spans="1:15">
      <c r="A537" s="43" t="s">
        <v>514</v>
      </c>
      <c r="B537" s="40">
        <v>552</v>
      </c>
      <c r="C537" s="40">
        <v>75</v>
      </c>
      <c r="D537" s="40"/>
      <c r="E537" s="40"/>
      <c r="F537" s="40"/>
      <c r="G537" s="40">
        <v>19920</v>
      </c>
      <c r="H537" s="40"/>
      <c r="I537" s="40"/>
      <c r="J537" s="40"/>
      <c r="K537" s="40"/>
      <c r="L537" s="40"/>
      <c r="M537" s="41">
        <v>163314</v>
      </c>
      <c r="N537" s="1" t="str">
        <f>IFERROR(INDEX([1]物品基础表!$A:$A,MATCH(M537,[1]物品基础表!$B:$B,0)),"")</f>
        <v>橙色道士130级戒指</v>
      </c>
      <c r="O537" s="41">
        <v>1</v>
      </c>
    </row>
    <row r="538" spans="1:15">
      <c r="A538" s="43" t="s">
        <v>514</v>
      </c>
      <c r="B538" s="40">
        <v>552</v>
      </c>
      <c r="C538" s="40">
        <v>76</v>
      </c>
      <c r="D538" s="40"/>
      <c r="E538" s="40"/>
      <c r="F538" s="40"/>
      <c r="G538" s="40">
        <v>19920</v>
      </c>
      <c r="H538" s="40"/>
      <c r="I538" s="40"/>
      <c r="J538" s="40"/>
      <c r="K538" s="40"/>
      <c r="L538" s="40"/>
      <c r="M538" s="41">
        <v>113314</v>
      </c>
      <c r="N538" s="1" t="str">
        <f>IFERROR(INDEX([1]物品基础表!$A:$A,MATCH(M538,[1]物品基础表!$B:$B,0)),"")</f>
        <v>橙色道士130级头盔</v>
      </c>
      <c r="O538" s="41">
        <v>1</v>
      </c>
    </row>
    <row r="539" spans="1:15">
      <c r="A539" s="43" t="s">
        <v>514</v>
      </c>
      <c r="B539" s="40">
        <v>552</v>
      </c>
      <c r="C539" s="40">
        <v>77</v>
      </c>
      <c r="D539" s="40"/>
      <c r="E539" s="40"/>
      <c r="F539" s="40"/>
      <c r="G539" s="40">
        <v>19920</v>
      </c>
      <c r="H539" s="40"/>
      <c r="I539" s="40"/>
      <c r="J539" s="40"/>
      <c r="K539" s="40"/>
      <c r="L539" s="40"/>
      <c r="M539" s="41">
        <v>133314</v>
      </c>
      <c r="N539" s="1" t="str">
        <f>IFERROR(INDEX([1]物品基础表!$A:$A,MATCH(M539,[1]物品基础表!$B:$B,0)),"")</f>
        <v>橙色道士130级项链</v>
      </c>
      <c r="O539" s="41">
        <v>1</v>
      </c>
    </row>
    <row r="540" spans="1:15">
      <c r="A540" s="43" t="s">
        <v>514</v>
      </c>
      <c r="B540" s="40">
        <v>552</v>
      </c>
      <c r="C540" s="40">
        <v>78</v>
      </c>
      <c r="D540" s="40"/>
      <c r="E540" s="40"/>
      <c r="F540" s="40"/>
      <c r="G540" s="40">
        <v>19920</v>
      </c>
      <c r="H540" s="40"/>
      <c r="I540" s="40"/>
      <c r="J540" s="40"/>
      <c r="K540" s="40"/>
      <c r="L540" s="40"/>
      <c r="M540" s="41">
        <v>153314</v>
      </c>
      <c r="N540" s="1" t="str">
        <f>IFERROR(INDEX([1]物品基础表!$A:$A,MATCH(M540,[1]物品基础表!$B:$B,0)),"")</f>
        <v>橙色道士130级腰带</v>
      </c>
      <c r="O540" s="41">
        <v>1</v>
      </c>
    </row>
    <row r="541" spans="1:15">
      <c r="A541" s="43" t="s">
        <v>514</v>
      </c>
      <c r="B541" s="40">
        <v>552</v>
      </c>
      <c r="C541" s="40">
        <v>79</v>
      </c>
      <c r="D541" s="40"/>
      <c r="E541" s="40"/>
      <c r="F541" s="40"/>
      <c r="G541" s="40">
        <v>19920</v>
      </c>
      <c r="H541" s="40"/>
      <c r="I541" s="40"/>
      <c r="J541" s="40"/>
      <c r="K541" s="40"/>
      <c r="L541" s="40"/>
      <c r="M541" s="41">
        <v>173314</v>
      </c>
      <c r="N541" s="1" t="str">
        <f>IFERROR(INDEX([1]物品基础表!$A:$A,MATCH(M541,[1]物品基础表!$B:$B,0)),"")</f>
        <v>橙色道士130级鞋子</v>
      </c>
      <c r="O541" s="41">
        <v>1</v>
      </c>
    </row>
    <row r="542" spans="1:15">
      <c r="A542" s="43" t="s">
        <v>514</v>
      </c>
      <c r="B542" s="40">
        <v>552</v>
      </c>
      <c r="C542" s="40">
        <v>80</v>
      </c>
      <c r="D542" s="40"/>
      <c r="E542" s="40"/>
      <c r="F542" s="40"/>
      <c r="G542" s="40">
        <v>66392</v>
      </c>
      <c r="H542" s="40"/>
      <c r="I542" s="40"/>
      <c r="J542" s="40"/>
      <c r="K542" s="40"/>
      <c r="L542" s="40"/>
      <c r="M542" s="41">
        <v>101315</v>
      </c>
      <c r="N542" s="1" t="str">
        <f>IFERROR(INDEX([1]物品基础表!$A:$A,MATCH(M542,[1]物品基础表!$B:$B,0)),"")</f>
        <v>橙色战士140级武器</v>
      </c>
      <c r="O542" s="41">
        <v>1</v>
      </c>
    </row>
    <row r="543" spans="1:15">
      <c r="A543" s="43" t="s">
        <v>514</v>
      </c>
      <c r="B543" s="40">
        <v>552</v>
      </c>
      <c r="C543" s="40">
        <v>81</v>
      </c>
      <c r="D543" s="40"/>
      <c r="E543" s="40"/>
      <c r="F543" s="40"/>
      <c r="G543" s="40">
        <v>47801</v>
      </c>
      <c r="H543" s="40"/>
      <c r="I543" s="40"/>
      <c r="J543" s="40"/>
      <c r="K543" s="40"/>
      <c r="L543" s="40"/>
      <c r="M543" s="41">
        <v>121315</v>
      </c>
      <c r="N543" s="1" t="str">
        <f>IFERROR(INDEX([1]物品基础表!$A:$A,MATCH(M543,[1]物品基础表!$B:$B,0)),"")</f>
        <v>橙色战士140级衣服</v>
      </c>
      <c r="O543" s="41">
        <v>1</v>
      </c>
    </row>
    <row r="544" spans="1:15">
      <c r="A544" s="43" t="s">
        <v>514</v>
      </c>
      <c r="B544" s="40">
        <v>552</v>
      </c>
      <c r="C544" s="40">
        <v>82</v>
      </c>
      <c r="D544" s="40"/>
      <c r="E544" s="40"/>
      <c r="F544" s="40"/>
      <c r="G544" s="40">
        <v>26556</v>
      </c>
      <c r="H544" s="40"/>
      <c r="I544" s="40"/>
      <c r="J544" s="40"/>
      <c r="K544" s="40"/>
      <c r="L544" s="40"/>
      <c r="M544" s="41">
        <v>141315</v>
      </c>
      <c r="N544" s="1" t="str">
        <f>IFERROR(INDEX([1]物品基础表!$A:$A,MATCH(M544,[1]物品基础表!$B:$B,0)),"")</f>
        <v>橙色战士140级手镯</v>
      </c>
      <c r="O544" s="41">
        <v>1</v>
      </c>
    </row>
    <row r="545" spans="1:15">
      <c r="A545" s="43" t="s">
        <v>514</v>
      </c>
      <c r="B545" s="40">
        <v>552</v>
      </c>
      <c r="C545" s="40">
        <v>83</v>
      </c>
      <c r="D545" s="40"/>
      <c r="E545" s="40"/>
      <c r="F545" s="40"/>
      <c r="G545" s="40">
        <v>26556</v>
      </c>
      <c r="H545" s="40"/>
      <c r="I545" s="40"/>
      <c r="J545" s="40"/>
      <c r="K545" s="40"/>
      <c r="L545" s="40"/>
      <c r="M545" s="41">
        <v>161315</v>
      </c>
      <c r="N545" s="1" t="str">
        <f>IFERROR(INDEX([1]物品基础表!$A:$A,MATCH(M545,[1]物品基础表!$B:$B,0)),"")</f>
        <v>橙色战士140级戒指</v>
      </c>
      <c r="O545" s="41">
        <v>1</v>
      </c>
    </row>
    <row r="546" spans="1:15">
      <c r="A546" s="43" t="s">
        <v>514</v>
      </c>
      <c r="B546" s="40">
        <v>552</v>
      </c>
      <c r="C546" s="40">
        <v>84</v>
      </c>
      <c r="D546" s="40"/>
      <c r="E546" s="40"/>
      <c r="F546" s="40"/>
      <c r="G546" s="40">
        <v>26556</v>
      </c>
      <c r="H546" s="40"/>
      <c r="I546" s="40"/>
      <c r="J546" s="40"/>
      <c r="K546" s="40"/>
      <c r="L546" s="40"/>
      <c r="M546" s="41">
        <v>111315</v>
      </c>
      <c r="N546" s="1" t="str">
        <f>IFERROR(INDEX([1]物品基础表!$A:$A,MATCH(M546,[1]物品基础表!$B:$B,0)),"")</f>
        <v>橙色战士140级头盔</v>
      </c>
      <c r="O546" s="41">
        <v>1</v>
      </c>
    </row>
    <row r="547" spans="1:15">
      <c r="A547" s="43" t="s">
        <v>514</v>
      </c>
      <c r="B547" s="40">
        <v>552</v>
      </c>
      <c r="C547" s="40">
        <v>85</v>
      </c>
      <c r="D547" s="40"/>
      <c r="E547" s="40"/>
      <c r="F547" s="40"/>
      <c r="G547" s="40">
        <v>26556</v>
      </c>
      <c r="H547" s="40"/>
      <c r="I547" s="40"/>
      <c r="J547" s="40"/>
      <c r="K547" s="40"/>
      <c r="L547" s="40"/>
      <c r="M547" s="41">
        <v>131315</v>
      </c>
      <c r="N547" s="1" t="str">
        <f>IFERROR(INDEX([1]物品基础表!$A:$A,MATCH(M547,[1]物品基础表!$B:$B,0)),"")</f>
        <v>橙色战士140级项链</v>
      </c>
      <c r="O547" s="41">
        <v>1</v>
      </c>
    </row>
    <row r="548" spans="1:15">
      <c r="A548" s="43" t="s">
        <v>514</v>
      </c>
      <c r="B548" s="40">
        <v>552</v>
      </c>
      <c r="C548" s="40">
        <v>86</v>
      </c>
      <c r="D548" s="40"/>
      <c r="E548" s="40"/>
      <c r="F548" s="40"/>
      <c r="G548" s="40">
        <v>26556</v>
      </c>
      <c r="H548" s="40"/>
      <c r="I548" s="40"/>
      <c r="J548" s="40"/>
      <c r="K548" s="40"/>
      <c r="L548" s="40"/>
      <c r="M548" s="41">
        <v>151315</v>
      </c>
      <c r="N548" s="1" t="str">
        <f>IFERROR(INDEX([1]物品基础表!$A:$A,MATCH(M548,[1]物品基础表!$B:$B,0)),"")</f>
        <v>橙色战士140级腰带</v>
      </c>
      <c r="O548" s="41">
        <v>1</v>
      </c>
    </row>
    <row r="549" spans="1:15">
      <c r="A549" s="43" t="s">
        <v>514</v>
      </c>
      <c r="B549" s="40">
        <v>552</v>
      </c>
      <c r="C549" s="40">
        <v>87</v>
      </c>
      <c r="D549" s="40"/>
      <c r="E549" s="40"/>
      <c r="F549" s="40"/>
      <c r="G549" s="40">
        <v>26556</v>
      </c>
      <c r="H549" s="40"/>
      <c r="I549" s="40"/>
      <c r="J549" s="40"/>
      <c r="K549" s="40"/>
      <c r="L549" s="40"/>
      <c r="M549" s="41">
        <v>171315</v>
      </c>
      <c r="N549" s="1" t="str">
        <f>IFERROR(INDEX([1]物品基础表!$A:$A,MATCH(M549,[1]物品基础表!$B:$B,0)),"")</f>
        <v>橙色战士140级鞋子</v>
      </c>
      <c r="O549" s="41">
        <v>1</v>
      </c>
    </row>
    <row r="550" spans="1:15">
      <c r="A550" s="43" t="s">
        <v>514</v>
      </c>
      <c r="B550" s="40">
        <v>552</v>
      </c>
      <c r="C550" s="40">
        <v>88</v>
      </c>
      <c r="D550" s="40"/>
      <c r="E550" s="40"/>
      <c r="F550" s="40"/>
      <c r="G550" s="40">
        <v>66392</v>
      </c>
      <c r="H550" s="40"/>
      <c r="I550" s="40"/>
      <c r="J550" s="40"/>
      <c r="K550" s="40"/>
      <c r="L550" s="40"/>
      <c r="M550" s="41">
        <v>102315</v>
      </c>
      <c r="N550" s="1" t="str">
        <f>IFERROR(INDEX([1]物品基础表!$A:$A,MATCH(M550,[1]物品基础表!$B:$B,0)),"")</f>
        <v>橙色法师140级武器</v>
      </c>
      <c r="O550" s="41">
        <v>1</v>
      </c>
    </row>
    <row r="551" spans="1:15">
      <c r="A551" s="43" t="s">
        <v>514</v>
      </c>
      <c r="B551" s="40">
        <v>552</v>
      </c>
      <c r="C551" s="40">
        <v>89</v>
      </c>
      <c r="D551" s="40"/>
      <c r="E551" s="40"/>
      <c r="F551" s="40"/>
      <c r="G551" s="40">
        <v>47801</v>
      </c>
      <c r="H551" s="40"/>
      <c r="I551" s="40"/>
      <c r="J551" s="40"/>
      <c r="K551" s="40"/>
      <c r="L551" s="40"/>
      <c r="M551" s="41">
        <v>122315</v>
      </c>
      <c r="N551" s="1" t="str">
        <f>IFERROR(INDEX([1]物品基础表!$A:$A,MATCH(M551,[1]物品基础表!$B:$B,0)),"")</f>
        <v>橙色法师140级衣服</v>
      </c>
      <c r="O551" s="41">
        <v>1</v>
      </c>
    </row>
    <row r="552" spans="1:15">
      <c r="A552" s="43" t="s">
        <v>514</v>
      </c>
      <c r="B552" s="40">
        <v>552</v>
      </c>
      <c r="C552" s="40">
        <v>90</v>
      </c>
      <c r="D552" s="40"/>
      <c r="E552" s="40"/>
      <c r="F552" s="40"/>
      <c r="G552" s="40">
        <v>26556</v>
      </c>
      <c r="H552" s="40"/>
      <c r="I552" s="40"/>
      <c r="J552" s="40"/>
      <c r="K552" s="40"/>
      <c r="L552" s="40"/>
      <c r="M552" s="41">
        <v>142315</v>
      </c>
      <c r="N552" s="1" t="str">
        <f>IFERROR(INDEX([1]物品基础表!$A:$A,MATCH(M552,[1]物品基础表!$B:$B,0)),"")</f>
        <v>橙色法师140级手镯</v>
      </c>
      <c r="O552" s="41">
        <v>1</v>
      </c>
    </row>
    <row r="553" spans="1:15">
      <c r="A553" s="43" t="s">
        <v>514</v>
      </c>
      <c r="B553" s="40">
        <v>552</v>
      </c>
      <c r="C553" s="40">
        <v>91</v>
      </c>
      <c r="D553" s="40"/>
      <c r="E553" s="40"/>
      <c r="F553" s="40"/>
      <c r="G553" s="40">
        <v>26556</v>
      </c>
      <c r="H553" s="40"/>
      <c r="I553" s="40"/>
      <c r="J553" s="40"/>
      <c r="K553" s="40"/>
      <c r="L553" s="40"/>
      <c r="M553" s="41">
        <v>162315</v>
      </c>
      <c r="N553" s="1" t="str">
        <f>IFERROR(INDEX([1]物品基础表!$A:$A,MATCH(M553,[1]物品基础表!$B:$B,0)),"")</f>
        <v>橙色法师140级戒指</v>
      </c>
      <c r="O553" s="41">
        <v>1</v>
      </c>
    </row>
    <row r="554" spans="1:15">
      <c r="A554" s="43" t="s">
        <v>514</v>
      </c>
      <c r="B554" s="40">
        <v>552</v>
      </c>
      <c r="C554" s="40">
        <v>92</v>
      </c>
      <c r="D554" s="40"/>
      <c r="E554" s="40"/>
      <c r="F554" s="40"/>
      <c r="G554" s="40">
        <v>26556</v>
      </c>
      <c r="H554" s="40"/>
      <c r="I554" s="40"/>
      <c r="J554" s="40"/>
      <c r="K554" s="40"/>
      <c r="L554" s="40"/>
      <c r="M554" s="41">
        <v>112315</v>
      </c>
      <c r="N554" s="1" t="str">
        <f>IFERROR(INDEX([1]物品基础表!$A:$A,MATCH(M554,[1]物品基础表!$B:$B,0)),"")</f>
        <v>橙色法师140级头盔</v>
      </c>
      <c r="O554" s="41">
        <v>1</v>
      </c>
    </row>
    <row r="555" spans="1:15">
      <c r="A555" s="43" t="s">
        <v>514</v>
      </c>
      <c r="B555" s="40">
        <v>552</v>
      </c>
      <c r="C555" s="40">
        <v>93</v>
      </c>
      <c r="D555" s="40"/>
      <c r="E555" s="40"/>
      <c r="F555" s="40"/>
      <c r="G555" s="40">
        <v>26556</v>
      </c>
      <c r="H555" s="40"/>
      <c r="I555" s="40"/>
      <c r="J555" s="40"/>
      <c r="K555" s="40"/>
      <c r="L555" s="40"/>
      <c r="M555" s="41">
        <v>132315</v>
      </c>
      <c r="N555" s="1" t="str">
        <f>IFERROR(INDEX([1]物品基础表!$A:$A,MATCH(M555,[1]物品基础表!$B:$B,0)),"")</f>
        <v>橙色法师140级项链</v>
      </c>
      <c r="O555" s="41">
        <v>1</v>
      </c>
    </row>
    <row r="556" spans="1:15">
      <c r="A556" s="43" t="s">
        <v>514</v>
      </c>
      <c r="B556" s="40">
        <v>552</v>
      </c>
      <c r="C556" s="40">
        <v>94</v>
      </c>
      <c r="D556" s="40"/>
      <c r="E556" s="40"/>
      <c r="F556" s="40"/>
      <c r="G556" s="40">
        <v>26556</v>
      </c>
      <c r="H556" s="40"/>
      <c r="I556" s="40"/>
      <c r="J556" s="40"/>
      <c r="K556" s="40"/>
      <c r="L556" s="40"/>
      <c r="M556" s="41">
        <v>152315</v>
      </c>
      <c r="N556" s="1" t="str">
        <f>IFERROR(INDEX([1]物品基础表!$A:$A,MATCH(M556,[1]物品基础表!$B:$B,0)),"")</f>
        <v>橙色法师140级腰带</v>
      </c>
      <c r="O556" s="41">
        <v>1</v>
      </c>
    </row>
    <row r="557" spans="1:15">
      <c r="A557" s="43" t="s">
        <v>514</v>
      </c>
      <c r="B557" s="40">
        <v>552</v>
      </c>
      <c r="C557" s="40">
        <v>95</v>
      </c>
      <c r="D557" s="40"/>
      <c r="E557" s="40"/>
      <c r="F557" s="40"/>
      <c r="G557" s="40">
        <v>26556</v>
      </c>
      <c r="H557" s="40"/>
      <c r="I557" s="40"/>
      <c r="J557" s="40"/>
      <c r="K557" s="40"/>
      <c r="L557" s="40"/>
      <c r="M557" s="41">
        <v>172315</v>
      </c>
      <c r="N557" s="1" t="str">
        <f>IFERROR(INDEX([1]物品基础表!$A:$A,MATCH(M557,[1]物品基础表!$B:$B,0)),"")</f>
        <v>橙色法师140级鞋子</v>
      </c>
      <c r="O557" s="41">
        <v>1</v>
      </c>
    </row>
    <row r="558" spans="1:15">
      <c r="A558" s="43" t="s">
        <v>514</v>
      </c>
      <c r="B558" s="40">
        <v>552</v>
      </c>
      <c r="C558" s="40">
        <v>96</v>
      </c>
      <c r="D558" s="40"/>
      <c r="E558" s="40"/>
      <c r="F558" s="40"/>
      <c r="G558" s="40">
        <v>66392</v>
      </c>
      <c r="H558" s="40"/>
      <c r="I558" s="40"/>
      <c r="J558" s="40"/>
      <c r="K558" s="40"/>
      <c r="L558" s="40"/>
      <c r="M558" s="41">
        <v>103315</v>
      </c>
      <c r="N558" s="1" t="str">
        <f>IFERROR(INDEX([1]物品基础表!$A:$A,MATCH(M558,[1]物品基础表!$B:$B,0)),"")</f>
        <v>橙色道士140级武器</v>
      </c>
      <c r="O558" s="41">
        <v>1</v>
      </c>
    </row>
    <row r="559" spans="1:15">
      <c r="A559" s="43" t="s">
        <v>514</v>
      </c>
      <c r="B559" s="40">
        <v>552</v>
      </c>
      <c r="C559" s="40">
        <v>97</v>
      </c>
      <c r="D559" s="40"/>
      <c r="E559" s="40"/>
      <c r="F559" s="40"/>
      <c r="G559" s="40">
        <v>47801</v>
      </c>
      <c r="H559" s="40"/>
      <c r="I559" s="40"/>
      <c r="J559" s="40"/>
      <c r="K559" s="40"/>
      <c r="L559" s="40"/>
      <c r="M559" s="41">
        <v>123315</v>
      </c>
      <c r="N559" s="1" t="str">
        <f>IFERROR(INDEX([1]物品基础表!$A:$A,MATCH(M559,[1]物品基础表!$B:$B,0)),"")</f>
        <v>橙色道士140级衣服</v>
      </c>
      <c r="O559" s="41">
        <v>1</v>
      </c>
    </row>
    <row r="560" spans="1:15">
      <c r="A560" s="43" t="s">
        <v>514</v>
      </c>
      <c r="B560" s="40">
        <v>552</v>
      </c>
      <c r="C560" s="40">
        <v>98</v>
      </c>
      <c r="D560" s="40"/>
      <c r="E560" s="40"/>
      <c r="F560" s="40"/>
      <c r="G560" s="40">
        <v>26556</v>
      </c>
      <c r="H560" s="40"/>
      <c r="I560" s="40"/>
      <c r="J560" s="40"/>
      <c r="K560" s="40"/>
      <c r="L560" s="40"/>
      <c r="M560" s="41">
        <v>143315</v>
      </c>
      <c r="N560" s="1" t="str">
        <f>IFERROR(INDEX([1]物品基础表!$A:$A,MATCH(M560,[1]物品基础表!$B:$B,0)),"")</f>
        <v>橙色道士140级手镯</v>
      </c>
      <c r="O560" s="41">
        <v>1</v>
      </c>
    </row>
    <row r="561" spans="1:15">
      <c r="A561" s="43" t="s">
        <v>514</v>
      </c>
      <c r="B561" s="40">
        <v>552</v>
      </c>
      <c r="C561" s="40">
        <v>99</v>
      </c>
      <c r="D561" s="40"/>
      <c r="E561" s="40"/>
      <c r="F561" s="40"/>
      <c r="G561" s="40">
        <v>26556</v>
      </c>
      <c r="H561" s="40"/>
      <c r="I561" s="40"/>
      <c r="J561" s="40"/>
      <c r="K561" s="40"/>
      <c r="L561" s="40"/>
      <c r="M561" s="41">
        <v>163315</v>
      </c>
      <c r="N561" s="1" t="str">
        <f>IFERROR(INDEX([1]物品基础表!$A:$A,MATCH(M561,[1]物品基础表!$B:$B,0)),"")</f>
        <v>橙色道士140级戒指</v>
      </c>
      <c r="O561" s="41">
        <v>1</v>
      </c>
    </row>
    <row r="562" spans="1:15">
      <c r="A562" s="43" t="s">
        <v>514</v>
      </c>
      <c r="B562" s="40">
        <v>552</v>
      </c>
      <c r="C562" s="40">
        <v>100</v>
      </c>
      <c r="D562" s="40"/>
      <c r="E562" s="40"/>
      <c r="F562" s="40"/>
      <c r="G562" s="40">
        <v>26556</v>
      </c>
      <c r="H562" s="40"/>
      <c r="I562" s="40"/>
      <c r="J562" s="40"/>
      <c r="K562" s="40"/>
      <c r="L562" s="40"/>
      <c r="M562" s="41">
        <v>113315</v>
      </c>
      <c r="N562" s="1" t="str">
        <f>IFERROR(INDEX([1]物品基础表!$A:$A,MATCH(M562,[1]物品基础表!$B:$B,0)),"")</f>
        <v>橙色道士140级头盔</v>
      </c>
      <c r="O562" s="41">
        <v>1</v>
      </c>
    </row>
    <row r="563" spans="1:15">
      <c r="A563" s="43" t="s">
        <v>514</v>
      </c>
      <c r="B563" s="40">
        <v>552</v>
      </c>
      <c r="C563" s="40">
        <v>101</v>
      </c>
      <c r="D563" s="40"/>
      <c r="E563" s="40"/>
      <c r="F563" s="40"/>
      <c r="G563" s="40">
        <v>26556</v>
      </c>
      <c r="H563" s="40"/>
      <c r="I563" s="40"/>
      <c r="J563" s="40"/>
      <c r="K563" s="40"/>
      <c r="L563" s="40"/>
      <c r="M563" s="41">
        <v>133315</v>
      </c>
      <c r="N563" s="1" t="str">
        <f>IFERROR(INDEX([1]物品基础表!$A:$A,MATCH(M563,[1]物品基础表!$B:$B,0)),"")</f>
        <v>橙色道士140级项链</v>
      </c>
      <c r="O563" s="41">
        <v>1</v>
      </c>
    </row>
    <row r="564" spans="1:15">
      <c r="A564" s="43" t="s">
        <v>514</v>
      </c>
      <c r="B564" s="40">
        <v>552</v>
      </c>
      <c r="C564" s="40">
        <v>102</v>
      </c>
      <c r="D564" s="40"/>
      <c r="E564" s="40"/>
      <c r="F564" s="40"/>
      <c r="G564" s="40">
        <v>26556</v>
      </c>
      <c r="H564" s="40"/>
      <c r="I564" s="40"/>
      <c r="J564" s="40"/>
      <c r="K564" s="40"/>
      <c r="L564" s="40"/>
      <c r="M564" s="41">
        <v>153315</v>
      </c>
      <c r="N564" s="1" t="str">
        <f>IFERROR(INDEX([1]物品基础表!$A:$A,MATCH(M564,[1]物品基础表!$B:$B,0)),"")</f>
        <v>橙色道士140级腰带</v>
      </c>
      <c r="O564" s="41">
        <v>1</v>
      </c>
    </row>
    <row r="565" spans="1:15">
      <c r="A565" s="43" t="s">
        <v>514</v>
      </c>
      <c r="B565" s="40">
        <v>552</v>
      </c>
      <c r="C565" s="40">
        <v>103</v>
      </c>
      <c r="D565" s="40"/>
      <c r="E565" s="40"/>
      <c r="F565" s="40"/>
      <c r="G565" s="40">
        <v>26556</v>
      </c>
      <c r="H565" s="40"/>
      <c r="I565" s="40"/>
      <c r="J565" s="40"/>
      <c r="K565" s="40"/>
      <c r="L565" s="40"/>
      <c r="M565" s="41">
        <v>173315</v>
      </c>
      <c r="N565" s="1" t="str">
        <f>IFERROR(INDEX([1]物品基础表!$A:$A,MATCH(M565,[1]物品基础表!$B:$B,0)),"")</f>
        <v>橙色道士140级鞋子</v>
      </c>
      <c r="O565" s="41">
        <v>1</v>
      </c>
    </row>
    <row r="566" spans="1:15">
      <c r="A566" s="43" t="s">
        <v>514</v>
      </c>
      <c r="B566" s="40">
        <v>552</v>
      </c>
      <c r="C566" s="40">
        <v>104</v>
      </c>
      <c r="D566" s="40"/>
      <c r="E566" s="40"/>
      <c r="F566" s="40"/>
      <c r="G566" s="40">
        <v>84272</v>
      </c>
      <c r="H566" s="40"/>
      <c r="I566" s="40"/>
      <c r="J566" s="40"/>
      <c r="K566" s="40"/>
      <c r="L566" s="40"/>
      <c r="M566" s="41">
        <v>101316</v>
      </c>
      <c r="N566" s="1" t="str">
        <f>IFERROR(INDEX([1]物品基础表!$A:$A,MATCH(M566,[1]物品基础表!$B:$B,0)),"")</f>
        <v>橙色战士150级武器</v>
      </c>
      <c r="O566" s="41">
        <v>1</v>
      </c>
    </row>
    <row r="567" spans="1:15">
      <c r="A567" s="43" t="s">
        <v>514</v>
      </c>
      <c r="B567" s="40">
        <v>552</v>
      </c>
      <c r="C567" s="40">
        <v>105</v>
      </c>
      <c r="D567" s="40"/>
      <c r="E567" s="40"/>
      <c r="F567" s="40"/>
      <c r="G567" s="40">
        <v>60675</v>
      </c>
      <c r="H567" s="40"/>
      <c r="I567" s="40"/>
      <c r="J567" s="40"/>
      <c r="K567" s="40"/>
      <c r="L567" s="40"/>
      <c r="M567" s="41">
        <v>121316</v>
      </c>
      <c r="N567" s="1" t="str">
        <f>IFERROR(INDEX([1]物品基础表!$A:$A,MATCH(M567,[1]物品基础表!$B:$B,0)),"")</f>
        <v>橙色战士150级衣服</v>
      </c>
      <c r="O567" s="41">
        <v>1</v>
      </c>
    </row>
    <row r="568" spans="1:15">
      <c r="A568" s="43" t="s">
        <v>514</v>
      </c>
      <c r="B568" s="40">
        <v>552</v>
      </c>
      <c r="C568" s="40">
        <v>106</v>
      </c>
      <c r="D568" s="40"/>
      <c r="E568" s="40"/>
      <c r="F568" s="40"/>
      <c r="G568" s="40">
        <v>33708</v>
      </c>
      <c r="H568" s="40"/>
      <c r="I568" s="40"/>
      <c r="J568" s="40"/>
      <c r="K568" s="40"/>
      <c r="L568" s="40"/>
      <c r="M568" s="41">
        <v>141316</v>
      </c>
      <c r="N568" s="1" t="str">
        <f>IFERROR(INDEX([1]物品基础表!$A:$A,MATCH(M568,[1]物品基础表!$B:$B,0)),"")</f>
        <v>橙色战士150级手镯</v>
      </c>
      <c r="O568" s="41">
        <v>1</v>
      </c>
    </row>
    <row r="569" spans="1:15">
      <c r="A569" s="43" t="s">
        <v>514</v>
      </c>
      <c r="B569" s="40">
        <v>552</v>
      </c>
      <c r="C569" s="40">
        <v>107</v>
      </c>
      <c r="D569" s="40"/>
      <c r="E569" s="40"/>
      <c r="F569" s="40"/>
      <c r="G569" s="40">
        <v>33708</v>
      </c>
      <c r="H569" s="40"/>
      <c r="I569" s="40"/>
      <c r="J569" s="40"/>
      <c r="K569" s="40"/>
      <c r="L569" s="40"/>
      <c r="M569" s="41">
        <v>161316</v>
      </c>
      <c r="N569" s="1" t="str">
        <f>IFERROR(INDEX([1]物品基础表!$A:$A,MATCH(M569,[1]物品基础表!$B:$B,0)),"")</f>
        <v>橙色战士150级戒指</v>
      </c>
      <c r="O569" s="41">
        <v>1</v>
      </c>
    </row>
    <row r="570" spans="1:15">
      <c r="A570" s="43" t="s">
        <v>514</v>
      </c>
      <c r="B570" s="40">
        <v>552</v>
      </c>
      <c r="C570" s="40">
        <v>108</v>
      </c>
      <c r="D570" s="40"/>
      <c r="E570" s="40"/>
      <c r="F570" s="40"/>
      <c r="G570" s="40">
        <v>33708</v>
      </c>
      <c r="H570" s="40"/>
      <c r="I570" s="40"/>
      <c r="J570" s="40"/>
      <c r="K570" s="40"/>
      <c r="L570" s="40"/>
      <c r="M570" s="41">
        <v>111316</v>
      </c>
      <c r="N570" s="1" t="str">
        <f>IFERROR(INDEX([1]物品基础表!$A:$A,MATCH(M570,[1]物品基础表!$B:$B,0)),"")</f>
        <v>橙色战士150级头盔</v>
      </c>
      <c r="O570" s="41">
        <v>1</v>
      </c>
    </row>
    <row r="571" spans="1:15">
      <c r="A571" s="43" t="s">
        <v>514</v>
      </c>
      <c r="B571" s="40">
        <v>552</v>
      </c>
      <c r="C571" s="40">
        <v>109</v>
      </c>
      <c r="D571" s="40"/>
      <c r="E571" s="40"/>
      <c r="F571" s="40"/>
      <c r="G571" s="40">
        <v>33708</v>
      </c>
      <c r="H571" s="40"/>
      <c r="I571" s="40"/>
      <c r="J571" s="40"/>
      <c r="K571" s="40"/>
      <c r="L571" s="40"/>
      <c r="M571" s="41">
        <v>131316</v>
      </c>
      <c r="N571" s="1" t="str">
        <f>IFERROR(INDEX([1]物品基础表!$A:$A,MATCH(M571,[1]物品基础表!$B:$B,0)),"")</f>
        <v>橙色战士150级项链</v>
      </c>
      <c r="O571" s="41">
        <v>1</v>
      </c>
    </row>
    <row r="572" spans="1:15">
      <c r="A572" s="43" t="s">
        <v>514</v>
      </c>
      <c r="B572" s="40">
        <v>552</v>
      </c>
      <c r="C572" s="40">
        <v>110</v>
      </c>
      <c r="D572" s="40"/>
      <c r="E572" s="40"/>
      <c r="F572" s="40"/>
      <c r="G572" s="40">
        <v>33708</v>
      </c>
      <c r="H572" s="40"/>
      <c r="I572" s="40"/>
      <c r="J572" s="40"/>
      <c r="K572" s="40"/>
      <c r="L572" s="40"/>
      <c r="M572" s="41">
        <v>151316</v>
      </c>
      <c r="N572" s="1" t="str">
        <f>IFERROR(INDEX([1]物品基础表!$A:$A,MATCH(M572,[1]物品基础表!$B:$B,0)),"")</f>
        <v>橙色战士150级腰带</v>
      </c>
      <c r="O572" s="41">
        <v>1</v>
      </c>
    </row>
    <row r="573" spans="1:15">
      <c r="A573" s="43" t="s">
        <v>514</v>
      </c>
      <c r="B573" s="40">
        <v>552</v>
      </c>
      <c r="C573" s="40">
        <v>111</v>
      </c>
      <c r="D573" s="40"/>
      <c r="E573" s="40"/>
      <c r="F573" s="40"/>
      <c r="G573" s="40">
        <v>33708</v>
      </c>
      <c r="H573" s="40"/>
      <c r="I573" s="40"/>
      <c r="J573" s="40"/>
      <c r="K573" s="40"/>
      <c r="L573" s="40"/>
      <c r="M573" s="41">
        <v>171316</v>
      </c>
      <c r="N573" s="1" t="str">
        <f>IFERROR(INDEX([1]物品基础表!$A:$A,MATCH(M573,[1]物品基础表!$B:$B,0)),"")</f>
        <v>橙色战士150级鞋子</v>
      </c>
      <c r="O573" s="41">
        <v>1</v>
      </c>
    </row>
    <row r="574" spans="1:15">
      <c r="A574" s="43" t="s">
        <v>514</v>
      </c>
      <c r="B574" s="40">
        <v>552</v>
      </c>
      <c r="C574" s="40">
        <v>112</v>
      </c>
      <c r="D574" s="40"/>
      <c r="E574" s="40"/>
      <c r="F574" s="40"/>
      <c r="G574" s="40">
        <v>84272</v>
      </c>
      <c r="H574" s="40"/>
      <c r="I574" s="40"/>
      <c r="J574" s="40"/>
      <c r="K574" s="40"/>
      <c r="L574" s="40"/>
      <c r="M574" s="41">
        <v>102316</v>
      </c>
      <c r="N574" s="1" t="str">
        <f>IFERROR(INDEX([1]物品基础表!$A:$A,MATCH(M574,[1]物品基础表!$B:$B,0)),"")</f>
        <v>橙色法师150级武器</v>
      </c>
      <c r="O574" s="41">
        <v>1</v>
      </c>
    </row>
    <row r="575" spans="1:15">
      <c r="A575" s="43" t="s">
        <v>514</v>
      </c>
      <c r="B575" s="40">
        <v>552</v>
      </c>
      <c r="C575" s="40">
        <v>113</v>
      </c>
      <c r="D575" s="40"/>
      <c r="E575" s="40"/>
      <c r="F575" s="40"/>
      <c r="G575" s="40">
        <v>60675</v>
      </c>
      <c r="H575" s="40"/>
      <c r="I575" s="40"/>
      <c r="J575" s="40"/>
      <c r="K575" s="40"/>
      <c r="L575" s="40"/>
      <c r="M575" s="41">
        <v>122316</v>
      </c>
      <c r="N575" s="1" t="str">
        <f>IFERROR(INDEX([1]物品基础表!$A:$A,MATCH(M575,[1]物品基础表!$B:$B,0)),"")</f>
        <v>橙色法师150级衣服</v>
      </c>
      <c r="O575" s="41">
        <v>1</v>
      </c>
    </row>
    <row r="576" spans="1:15">
      <c r="A576" s="43" t="s">
        <v>514</v>
      </c>
      <c r="B576" s="40">
        <v>552</v>
      </c>
      <c r="C576" s="40">
        <v>114</v>
      </c>
      <c r="D576" s="40"/>
      <c r="E576" s="40"/>
      <c r="F576" s="40"/>
      <c r="G576" s="40">
        <v>33708</v>
      </c>
      <c r="H576" s="40"/>
      <c r="I576" s="40"/>
      <c r="J576" s="40"/>
      <c r="K576" s="40"/>
      <c r="L576" s="40"/>
      <c r="M576" s="41">
        <v>142316</v>
      </c>
      <c r="N576" s="1" t="str">
        <f>IFERROR(INDEX([1]物品基础表!$A:$A,MATCH(M576,[1]物品基础表!$B:$B,0)),"")</f>
        <v>橙色法师150级手镯</v>
      </c>
      <c r="O576" s="41">
        <v>1</v>
      </c>
    </row>
    <row r="577" spans="1:15">
      <c r="A577" s="43" t="s">
        <v>514</v>
      </c>
      <c r="B577" s="40">
        <v>552</v>
      </c>
      <c r="C577" s="40">
        <v>115</v>
      </c>
      <c r="D577" s="40"/>
      <c r="E577" s="40"/>
      <c r="F577" s="40"/>
      <c r="G577" s="40">
        <v>33708</v>
      </c>
      <c r="H577" s="40"/>
      <c r="I577" s="40"/>
      <c r="J577" s="40"/>
      <c r="K577" s="40"/>
      <c r="L577" s="40"/>
      <c r="M577" s="41">
        <v>162316</v>
      </c>
      <c r="N577" s="1" t="str">
        <f>IFERROR(INDEX([1]物品基础表!$A:$A,MATCH(M577,[1]物品基础表!$B:$B,0)),"")</f>
        <v>橙色法师150级戒指</v>
      </c>
      <c r="O577" s="41">
        <v>1</v>
      </c>
    </row>
    <row r="578" spans="1:15">
      <c r="A578" s="43" t="s">
        <v>514</v>
      </c>
      <c r="B578" s="40">
        <v>552</v>
      </c>
      <c r="C578" s="40">
        <v>116</v>
      </c>
      <c r="D578" s="40"/>
      <c r="E578" s="40"/>
      <c r="F578" s="40"/>
      <c r="G578" s="40">
        <v>33708</v>
      </c>
      <c r="H578" s="40"/>
      <c r="I578" s="40"/>
      <c r="J578" s="40"/>
      <c r="K578" s="40"/>
      <c r="L578" s="40"/>
      <c r="M578" s="41">
        <v>112316</v>
      </c>
      <c r="N578" s="1" t="str">
        <f>IFERROR(INDEX([1]物品基础表!$A:$A,MATCH(M578,[1]物品基础表!$B:$B,0)),"")</f>
        <v>橙色法师150级头盔</v>
      </c>
      <c r="O578" s="41">
        <v>1</v>
      </c>
    </row>
    <row r="579" spans="1:15">
      <c r="A579" s="43" t="s">
        <v>514</v>
      </c>
      <c r="B579" s="40">
        <v>552</v>
      </c>
      <c r="C579" s="40">
        <v>117</v>
      </c>
      <c r="D579" s="40"/>
      <c r="E579" s="40"/>
      <c r="F579" s="40"/>
      <c r="G579" s="40">
        <v>33708</v>
      </c>
      <c r="H579" s="40"/>
      <c r="I579" s="40"/>
      <c r="J579" s="40"/>
      <c r="K579" s="40"/>
      <c r="L579" s="40"/>
      <c r="M579" s="41">
        <v>132316</v>
      </c>
      <c r="N579" s="1" t="str">
        <f>IFERROR(INDEX([1]物品基础表!$A:$A,MATCH(M579,[1]物品基础表!$B:$B,0)),"")</f>
        <v>橙色法师150级项链</v>
      </c>
      <c r="O579" s="41">
        <v>1</v>
      </c>
    </row>
    <row r="580" spans="1:15">
      <c r="A580" s="43" t="s">
        <v>514</v>
      </c>
      <c r="B580" s="40">
        <v>552</v>
      </c>
      <c r="C580" s="40">
        <v>118</v>
      </c>
      <c r="D580" s="40"/>
      <c r="E580" s="40"/>
      <c r="F580" s="40"/>
      <c r="G580" s="40">
        <v>33708</v>
      </c>
      <c r="H580" s="40"/>
      <c r="I580" s="40"/>
      <c r="J580" s="40"/>
      <c r="K580" s="40"/>
      <c r="L580" s="40"/>
      <c r="M580" s="41">
        <v>152316</v>
      </c>
      <c r="N580" s="1" t="str">
        <f>IFERROR(INDEX([1]物品基础表!$A:$A,MATCH(M580,[1]物品基础表!$B:$B,0)),"")</f>
        <v>橙色法师150级腰带</v>
      </c>
      <c r="O580" s="41">
        <v>1</v>
      </c>
    </row>
    <row r="581" spans="1:15">
      <c r="A581" s="43" t="s">
        <v>514</v>
      </c>
      <c r="B581" s="40">
        <v>552</v>
      </c>
      <c r="C581" s="40">
        <v>119</v>
      </c>
      <c r="D581" s="40"/>
      <c r="E581" s="40"/>
      <c r="F581" s="40"/>
      <c r="G581" s="40">
        <v>33708</v>
      </c>
      <c r="H581" s="40"/>
      <c r="I581" s="40"/>
      <c r="J581" s="40"/>
      <c r="K581" s="40"/>
      <c r="L581" s="40"/>
      <c r="M581" s="41">
        <v>172316</v>
      </c>
      <c r="N581" s="1" t="str">
        <f>IFERROR(INDEX([1]物品基础表!$A:$A,MATCH(M581,[1]物品基础表!$B:$B,0)),"")</f>
        <v>橙色法师150级鞋子</v>
      </c>
      <c r="O581" s="41">
        <v>1</v>
      </c>
    </row>
    <row r="582" spans="1:15">
      <c r="A582" s="43" t="s">
        <v>514</v>
      </c>
      <c r="B582" s="40">
        <v>552</v>
      </c>
      <c r="C582" s="40">
        <v>120</v>
      </c>
      <c r="D582" s="40"/>
      <c r="E582" s="40"/>
      <c r="F582" s="40"/>
      <c r="G582" s="40">
        <v>84272</v>
      </c>
      <c r="H582" s="40"/>
      <c r="I582" s="40"/>
      <c r="J582" s="40"/>
      <c r="K582" s="40"/>
      <c r="L582" s="40"/>
      <c r="M582" s="41">
        <v>103316</v>
      </c>
      <c r="N582" s="1" t="str">
        <f>IFERROR(INDEX([1]物品基础表!$A:$A,MATCH(M582,[1]物品基础表!$B:$B,0)),"")</f>
        <v>橙色道士150级武器</v>
      </c>
      <c r="O582" s="41">
        <v>1</v>
      </c>
    </row>
    <row r="583" spans="1:15">
      <c r="A583" s="43" t="s">
        <v>514</v>
      </c>
      <c r="B583" s="40">
        <v>552</v>
      </c>
      <c r="C583" s="40">
        <v>121</v>
      </c>
      <c r="D583" s="40"/>
      <c r="E583" s="40"/>
      <c r="F583" s="40"/>
      <c r="G583" s="40">
        <v>60675</v>
      </c>
      <c r="H583" s="40"/>
      <c r="I583" s="40"/>
      <c r="J583" s="40"/>
      <c r="K583" s="40"/>
      <c r="L583" s="40"/>
      <c r="M583" s="41">
        <v>123316</v>
      </c>
      <c r="N583" s="1" t="str">
        <f>IFERROR(INDEX([1]物品基础表!$A:$A,MATCH(M583,[1]物品基础表!$B:$B,0)),"")</f>
        <v>橙色道士150级衣服</v>
      </c>
      <c r="O583" s="41">
        <v>1</v>
      </c>
    </row>
    <row r="584" spans="1:15">
      <c r="A584" s="43" t="s">
        <v>514</v>
      </c>
      <c r="B584" s="40">
        <v>552</v>
      </c>
      <c r="C584" s="40">
        <v>122</v>
      </c>
      <c r="D584" s="40"/>
      <c r="E584" s="40"/>
      <c r="F584" s="40"/>
      <c r="G584" s="40">
        <v>33708</v>
      </c>
      <c r="H584" s="40"/>
      <c r="I584" s="40"/>
      <c r="J584" s="40"/>
      <c r="K584" s="40"/>
      <c r="L584" s="40"/>
      <c r="M584" s="41">
        <v>143316</v>
      </c>
      <c r="N584" s="1" t="str">
        <f>IFERROR(INDEX([1]物品基础表!$A:$A,MATCH(M584,[1]物品基础表!$B:$B,0)),"")</f>
        <v>橙色道士150级手镯</v>
      </c>
      <c r="O584" s="41">
        <v>1</v>
      </c>
    </row>
    <row r="585" spans="1:15">
      <c r="A585" s="43" t="s">
        <v>514</v>
      </c>
      <c r="B585" s="40">
        <v>552</v>
      </c>
      <c r="C585" s="40">
        <v>123</v>
      </c>
      <c r="D585" s="40"/>
      <c r="E585" s="40"/>
      <c r="F585" s="40"/>
      <c r="G585" s="40">
        <v>33708</v>
      </c>
      <c r="H585" s="40"/>
      <c r="I585" s="40"/>
      <c r="J585" s="40"/>
      <c r="K585" s="40"/>
      <c r="L585" s="40"/>
      <c r="M585" s="41">
        <v>163316</v>
      </c>
      <c r="N585" s="1" t="str">
        <f>IFERROR(INDEX([1]物品基础表!$A:$A,MATCH(M585,[1]物品基础表!$B:$B,0)),"")</f>
        <v>橙色道士150级戒指</v>
      </c>
      <c r="O585" s="41">
        <v>1</v>
      </c>
    </row>
    <row r="586" spans="1:15">
      <c r="A586" s="43" t="s">
        <v>514</v>
      </c>
      <c r="B586" s="40">
        <v>552</v>
      </c>
      <c r="C586" s="40">
        <v>124</v>
      </c>
      <c r="D586" s="40"/>
      <c r="E586" s="40"/>
      <c r="F586" s="40"/>
      <c r="G586" s="40">
        <v>33708</v>
      </c>
      <c r="H586" s="40"/>
      <c r="I586" s="40"/>
      <c r="J586" s="40"/>
      <c r="K586" s="40"/>
      <c r="L586" s="40"/>
      <c r="M586" s="41">
        <v>113316</v>
      </c>
      <c r="N586" s="1" t="str">
        <f>IFERROR(INDEX([1]物品基础表!$A:$A,MATCH(M586,[1]物品基础表!$B:$B,0)),"")</f>
        <v>橙色道士150级头盔</v>
      </c>
      <c r="O586" s="41">
        <v>1</v>
      </c>
    </row>
    <row r="587" spans="1:15">
      <c r="A587" s="43" t="s">
        <v>514</v>
      </c>
      <c r="B587" s="40">
        <v>552</v>
      </c>
      <c r="C587" s="40">
        <v>125</v>
      </c>
      <c r="D587" s="40"/>
      <c r="E587" s="40"/>
      <c r="F587" s="40"/>
      <c r="G587" s="40">
        <v>33708</v>
      </c>
      <c r="H587" s="40"/>
      <c r="I587" s="40"/>
      <c r="J587" s="40"/>
      <c r="K587" s="40"/>
      <c r="L587" s="40"/>
      <c r="M587" s="41">
        <v>133316</v>
      </c>
      <c r="N587" s="1" t="str">
        <f>IFERROR(INDEX([1]物品基础表!$A:$A,MATCH(M587,[1]物品基础表!$B:$B,0)),"")</f>
        <v>橙色道士150级项链</v>
      </c>
      <c r="O587" s="41">
        <v>1</v>
      </c>
    </row>
    <row r="588" spans="1:15">
      <c r="A588" s="43" t="s">
        <v>514</v>
      </c>
      <c r="B588" s="40">
        <v>552</v>
      </c>
      <c r="C588" s="40">
        <v>126</v>
      </c>
      <c r="D588" s="40"/>
      <c r="E588" s="40"/>
      <c r="F588" s="40"/>
      <c r="G588" s="40">
        <v>33708</v>
      </c>
      <c r="H588" s="40"/>
      <c r="I588" s="40"/>
      <c r="J588" s="40"/>
      <c r="K588" s="40"/>
      <c r="L588" s="40"/>
      <c r="M588" s="41">
        <v>153316</v>
      </c>
      <c r="N588" s="1" t="str">
        <f>IFERROR(INDEX([1]物品基础表!$A:$A,MATCH(M588,[1]物品基础表!$B:$B,0)),"")</f>
        <v>橙色道士150级腰带</v>
      </c>
      <c r="O588" s="41">
        <v>1</v>
      </c>
    </row>
    <row r="589" spans="1:15">
      <c r="A589" s="43" t="s">
        <v>514</v>
      </c>
      <c r="B589" s="40">
        <v>552</v>
      </c>
      <c r="C589" s="40">
        <v>127</v>
      </c>
      <c r="D589" s="40"/>
      <c r="E589" s="40"/>
      <c r="F589" s="40"/>
      <c r="G589" s="40">
        <v>33708</v>
      </c>
      <c r="H589" s="40"/>
      <c r="I589" s="40"/>
      <c r="J589" s="40"/>
      <c r="K589" s="40"/>
      <c r="L589" s="40"/>
      <c r="M589" s="41">
        <v>173316</v>
      </c>
      <c r="N589" s="1" t="str">
        <f>IFERROR(INDEX([1]物品基础表!$A:$A,MATCH(M589,[1]物品基础表!$B:$B,0)),"")</f>
        <v>橙色道士150级鞋子</v>
      </c>
      <c r="O589" s="41">
        <v>1</v>
      </c>
    </row>
    <row r="590" spans="1:15">
      <c r="A590" s="43" t="s">
        <v>514</v>
      </c>
      <c r="B590" s="40">
        <v>552</v>
      </c>
      <c r="C590" s="40">
        <v>128</v>
      </c>
      <c r="D590" s="40"/>
      <c r="E590" s="40"/>
      <c r="F590" s="40"/>
      <c r="G590" s="40">
        <v>104696</v>
      </c>
      <c r="H590" s="40"/>
      <c r="I590" s="40"/>
      <c r="J590" s="40"/>
      <c r="K590" s="40"/>
      <c r="L590" s="40"/>
      <c r="M590" s="41">
        <v>101317</v>
      </c>
      <c r="N590" s="1" t="str">
        <f>IFERROR(INDEX([1]物品基础表!$A:$A,MATCH(M590,[1]物品基础表!$B:$B,0)),"")</f>
        <v>橙色战士160级武器</v>
      </c>
      <c r="O590" s="41">
        <v>1</v>
      </c>
    </row>
    <row r="591" spans="1:15">
      <c r="A591" s="43" t="s">
        <v>514</v>
      </c>
      <c r="B591" s="40">
        <v>552</v>
      </c>
      <c r="C591" s="40">
        <v>129</v>
      </c>
      <c r="D591" s="40"/>
      <c r="E591" s="40"/>
      <c r="F591" s="40"/>
      <c r="G591" s="40">
        <v>75380</v>
      </c>
      <c r="H591" s="40"/>
      <c r="I591" s="40"/>
      <c r="J591" s="40"/>
      <c r="K591" s="40"/>
      <c r="L591" s="40"/>
      <c r="M591" s="41">
        <v>121317</v>
      </c>
      <c r="N591" s="1" t="str">
        <f>IFERROR(INDEX([1]物品基础表!$A:$A,MATCH(M591,[1]物品基础表!$B:$B,0)),"")</f>
        <v>橙色战士160级衣服</v>
      </c>
      <c r="O591" s="41">
        <v>1</v>
      </c>
    </row>
    <row r="592" spans="1:15">
      <c r="A592" s="43" t="s">
        <v>514</v>
      </c>
      <c r="B592" s="40">
        <v>552</v>
      </c>
      <c r="C592" s="40">
        <v>130</v>
      </c>
      <c r="D592" s="40"/>
      <c r="E592" s="40"/>
      <c r="F592" s="40"/>
      <c r="G592" s="40">
        <v>41878</v>
      </c>
      <c r="H592" s="40"/>
      <c r="I592" s="40"/>
      <c r="J592" s="40"/>
      <c r="K592" s="40"/>
      <c r="L592" s="40"/>
      <c r="M592" s="41">
        <v>141317</v>
      </c>
      <c r="N592" s="1" t="str">
        <f>IFERROR(INDEX([1]物品基础表!$A:$A,MATCH(M592,[1]物品基础表!$B:$B,0)),"")</f>
        <v>橙色战士160级手镯</v>
      </c>
      <c r="O592" s="41">
        <v>1</v>
      </c>
    </row>
    <row r="593" spans="1:15">
      <c r="A593" s="43" t="s">
        <v>514</v>
      </c>
      <c r="B593" s="40">
        <v>552</v>
      </c>
      <c r="C593" s="40">
        <v>131</v>
      </c>
      <c r="D593" s="40"/>
      <c r="E593" s="40"/>
      <c r="F593" s="40"/>
      <c r="G593" s="40">
        <v>41878</v>
      </c>
      <c r="H593" s="40"/>
      <c r="I593" s="40"/>
      <c r="J593" s="40"/>
      <c r="K593" s="40"/>
      <c r="L593" s="40"/>
      <c r="M593" s="41">
        <v>161317</v>
      </c>
      <c r="N593" s="1" t="str">
        <f>IFERROR(INDEX([1]物品基础表!$A:$A,MATCH(M593,[1]物品基础表!$B:$B,0)),"")</f>
        <v>橙色战士160级戒指</v>
      </c>
      <c r="O593" s="41">
        <v>1</v>
      </c>
    </row>
    <row r="594" spans="1:15">
      <c r="A594" s="43" t="s">
        <v>514</v>
      </c>
      <c r="B594" s="40">
        <v>552</v>
      </c>
      <c r="C594" s="40">
        <v>132</v>
      </c>
      <c r="D594" s="40"/>
      <c r="E594" s="40"/>
      <c r="F594" s="40"/>
      <c r="G594" s="40">
        <v>41878</v>
      </c>
      <c r="H594" s="40"/>
      <c r="I594" s="40"/>
      <c r="J594" s="40"/>
      <c r="K594" s="40"/>
      <c r="L594" s="40"/>
      <c r="M594" s="41">
        <v>111317</v>
      </c>
      <c r="N594" s="1" t="str">
        <f>IFERROR(INDEX([1]物品基础表!$A:$A,MATCH(M594,[1]物品基础表!$B:$B,0)),"")</f>
        <v>橙色战士160级头盔</v>
      </c>
      <c r="O594" s="41">
        <v>1</v>
      </c>
    </row>
    <row r="595" spans="1:15">
      <c r="A595" s="43" t="s">
        <v>514</v>
      </c>
      <c r="B595" s="40">
        <v>552</v>
      </c>
      <c r="C595" s="40">
        <v>133</v>
      </c>
      <c r="D595" s="40"/>
      <c r="E595" s="40"/>
      <c r="F595" s="40"/>
      <c r="G595" s="40">
        <v>41878</v>
      </c>
      <c r="H595" s="40"/>
      <c r="I595" s="40"/>
      <c r="J595" s="40"/>
      <c r="K595" s="40"/>
      <c r="L595" s="40"/>
      <c r="M595" s="41">
        <v>131317</v>
      </c>
      <c r="N595" s="1" t="str">
        <f>IFERROR(INDEX([1]物品基础表!$A:$A,MATCH(M595,[1]物品基础表!$B:$B,0)),"")</f>
        <v>橙色战士160级项链</v>
      </c>
      <c r="O595" s="41">
        <v>1</v>
      </c>
    </row>
    <row r="596" spans="1:15">
      <c r="A596" s="43" t="s">
        <v>514</v>
      </c>
      <c r="B596" s="40">
        <v>552</v>
      </c>
      <c r="C596" s="40">
        <v>134</v>
      </c>
      <c r="D596" s="40"/>
      <c r="E596" s="40"/>
      <c r="F596" s="40"/>
      <c r="G596" s="40">
        <v>41878</v>
      </c>
      <c r="H596" s="40"/>
      <c r="I596" s="40"/>
      <c r="J596" s="40"/>
      <c r="K596" s="40"/>
      <c r="L596" s="40"/>
      <c r="M596" s="41">
        <v>151317</v>
      </c>
      <c r="N596" s="1" t="str">
        <f>IFERROR(INDEX([1]物品基础表!$A:$A,MATCH(M596,[1]物品基础表!$B:$B,0)),"")</f>
        <v>橙色战士160级腰带</v>
      </c>
      <c r="O596" s="41">
        <v>1</v>
      </c>
    </row>
    <row r="597" spans="1:15">
      <c r="A597" s="43" t="s">
        <v>514</v>
      </c>
      <c r="B597" s="40">
        <v>552</v>
      </c>
      <c r="C597" s="40">
        <v>135</v>
      </c>
      <c r="D597" s="40"/>
      <c r="E597" s="40"/>
      <c r="F597" s="40"/>
      <c r="G597" s="40">
        <v>41878</v>
      </c>
      <c r="H597" s="40"/>
      <c r="I597" s="40"/>
      <c r="J597" s="40"/>
      <c r="K597" s="40"/>
      <c r="L597" s="40"/>
      <c r="M597" s="41">
        <v>171317</v>
      </c>
      <c r="N597" s="1" t="str">
        <f>IFERROR(INDEX([1]物品基础表!$A:$A,MATCH(M597,[1]物品基础表!$B:$B,0)),"")</f>
        <v>橙色战士160级鞋子</v>
      </c>
      <c r="O597" s="41">
        <v>1</v>
      </c>
    </row>
    <row r="598" spans="1:15">
      <c r="A598" s="43" t="s">
        <v>514</v>
      </c>
      <c r="B598" s="40">
        <v>552</v>
      </c>
      <c r="C598" s="40">
        <v>136</v>
      </c>
      <c r="D598" s="40"/>
      <c r="E598" s="40"/>
      <c r="F598" s="40"/>
      <c r="G598" s="40">
        <v>104696</v>
      </c>
      <c r="H598" s="40"/>
      <c r="I598" s="40"/>
      <c r="J598" s="40"/>
      <c r="K598" s="40"/>
      <c r="L598" s="40"/>
      <c r="M598" s="41">
        <v>102317</v>
      </c>
      <c r="N598" s="1" t="str">
        <f>IFERROR(INDEX([1]物品基础表!$A:$A,MATCH(M598,[1]物品基础表!$B:$B,0)),"")</f>
        <v>橙色法师160级武器</v>
      </c>
      <c r="O598" s="41">
        <v>1</v>
      </c>
    </row>
    <row r="599" spans="1:15">
      <c r="A599" s="43" t="s">
        <v>514</v>
      </c>
      <c r="B599" s="40">
        <v>552</v>
      </c>
      <c r="C599" s="40">
        <v>137</v>
      </c>
      <c r="D599" s="40"/>
      <c r="E599" s="40"/>
      <c r="F599" s="40"/>
      <c r="G599" s="40">
        <v>75380</v>
      </c>
      <c r="H599" s="40"/>
      <c r="I599" s="40"/>
      <c r="J599" s="40"/>
      <c r="K599" s="40"/>
      <c r="L599" s="40"/>
      <c r="M599" s="41">
        <v>122317</v>
      </c>
      <c r="N599" s="1" t="str">
        <f>IFERROR(INDEX([1]物品基础表!$A:$A,MATCH(M599,[1]物品基础表!$B:$B,0)),"")</f>
        <v>橙色法师160级衣服</v>
      </c>
      <c r="O599" s="41">
        <v>1</v>
      </c>
    </row>
    <row r="600" spans="1:15">
      <c r="A600" s="43" t="s">
        <v>514</v>
      </c>
      <c r="B600" s="40">
        <v>552</v>
      </c>
      <c r="C600" s="40">
        <v>138</v>
      </c>
      <c r="D600" s="40"/>
      <c r="E600" s="40"/>
      <c r="F600" s="40"/>
      <c r="G600" s="40">
        <v>41878</v>
      </c>
      <c r="H600" s="40"/>
      <c r="I600" s="40"/>
      <c r="J600" s="40"/>
      <c r="K600" s="40"/>
      <c r="L600" s="40"/>
      <c r="M600" s="41">
        <v>142317</v>
      </c>
      <c r="N600" s="1" t="str">
        <f>IFERROR(INDEX([1]物品基础表!$A:$A,MATCH(M600,[1]物品基础表!$B:$B,0)),"")</f>
        <v>橙色法师160级手镯</v>
      </c>
      <c r="O600" s="41">
        <v>1</v>
      </c>
    </row>
    <row r="601" spans="1:15">
      <c r="A601" s="43" t="s">
        <v>514</v>
      </c>
      <c r="B601" s="40">
        <v>552</v>
      </c>
      <c r="C601" s="40">
        <v>139</v>
      </c>
      <c r="D601" s="40"/>
      <c r="E601" s="40"/>
      <c r="F601" s="40"/>
      <c r="G601" s="40">
        <v>41878</v>
      </c>
      <c r="H601" s="40"/>
      <c r="I601" s="40"/>
      <c r="J601" s="40"/>
      <c r="K601" s="40"/>
      <c r="L601" s="40"/>
      <c r="M601" s="41">
        <v>162317</v>
      </c>
      <c r="N601" s="1" t="str">
        <f>IFERROR(INDEX([1]物品基础表!$A:$A,MATCH(M601,[1]物品基础表!$B:$B,0)),"")</f>
        <v>橙色法师160级戒指</v>
      </c>
      <c r="O601" s="41">
        <v>1</v>
      </c>
    </row>
    <row r="602" spans="1:15">
      <c r="A602" s="43" t="s">
        <v>514</v>
      </c>
      <c r="B602" s="40">
        <v>552</v>
      </c>
      <c r="C602" s="40">
        <v>140</v>
      </c>
      <c r="D602" s="40"/>
      <c r="E602" s="40"/>
      <c r="F602" s="40"/>
      <c r="G602" s="40">
        <v>41878</v>
      </c>
      <c r="H602" s="40"/>
      <c r="I602" s="40"/>
      <c r="J602" s="40"/>
      <c r="K602" s="40"/>
      <c r="L602" s="40"/>
      <c r="M602" s="41">
        <v>112317</v>
      </c>
      <c r="N602" s="1" t="str">
        <f>IFERROR(INDEX([1]物品基础表!$A:$A,MATCH(M602,[1]物品基础表!$B:$B,0)),"")</f>
        <v>橙色法师160级头盔</v>
      </c>
      <c r="O602" s="41">
        <v>1</v>
      </c>
    </row>
    <row r="603" spans="1:15">
      <c r="A603" s="43" t="s">
        <v>514</v>
      </c>
      <c r="B603" s="40">
        <v>552</v>
      </c>
      <c r="C603" s="40">
        <v>141</v>
      </c>
      <c r="D603" s="40"/>
      <c r="E603" s="40"/>
      <c r="F603" s="40"/>
      <c r="G603" s="40">
        <v>41878</v>
      </c>
      <c r="H603" s="40"/>
      <c r="I603" s="40"/>
      <c r="J603" s="40"/>
      <c r="K603" s="40"/>
      <c r="L603" s="40"/>
      <c r="M603" s="41">
        <v>132317</v>
      </c>
      <c r="N603" s="1" t="str">
        <f>IFERROR(INDEX([1]物品基础表!$A:$A,MATCH(M603,[1]物品基础表!$B:$B,0)),"")</f>
        <v>橙色法师160级项链</v>
      </c>
      <c r="O603" s="41">
        <v>1</v>
      </c>
    </row>
    <row r="604" spans="1:15">
      <c r="A604" s="43" t="s">
        <v>514</v>
      </c>
      <c r="B604" s="40">
        <v>552</v>
      </c>
      <c r="C604" s="40">
        <v>142</v>
      </c>
      <c r="D604" s="40"/>
      <c r="E604" s="40"/>
      <c r="F604" s="40"/>
      <c r="G604" s="40">
        <v>41878</v>
      </c>
      <c r="H604" s="40"/>
      <c r="I604" s="40"/>
      <c r="J604" s="40"/>
      <c r="K604" s="40"/>
      <c r="L604" s="40"/>
      <c r="M604" s="41">
        <v>152317</v>
      </c>
      <c r="N604" s="1" t="str">
        <f>IFERROR(INDEX([1]物品基础表!$A:$A,MATCH(M604,[1]物品基础表!$B:$B,0)),"")</f>
        <v>橙色法师160级腰带</v>
      </c>
      <c r="O604" s="41">
        <v>1</v>
      </c>
    </row>
    <row r="605" spans="1:15">
      <c r="A605" s="43" t="s">
        <v>514</v>
      </c>
      <c r="B605" s="40">
        <v>552</v>
      </c>
      <c r="C605" s="40">
        <v>143</v>
      </c>
      <c r="D605" s="40"/>
      <c r="E605" s="40"/>
      <c r="F605" s="40"/>
      <c r="G605" s="40">
        <v>41878</v>
      </c>
      <c r="H605" s="40"/>
      <c r="I605" s="40"/>
      <c r="J605" s="40"/>
      <c r="K605" s="40"/>
      <c r="L605" s="40"/>
      <c r="M605" s="41">
        <v>172317</v>
      </c>
      <c r="N605" s="1" t="str">
        <f>IFERROR(INDEX([1]物品基础表!$A:$A,MATCH(M605,[1]物品基础表!$B:$B,0)),"")</f>
        <v>橙色法师160级鞋子</v>
      </c>
      <c r="O605" s="41">
        <v>1</v>
      </c>
    </row>
    <row r="606" spans="1:15">
      <c r="A606" s="43" t="s">
        <v>514</v>
      </c>
      <c r="B606" s="40">
        <v>552</v>
      </c>
      <c r="C606" s="40">
        <v>144</v>
      </c>
      <c r="D606" s="40"/>
      <c r="E606" s="40"/>
      <c r="F606" s="40"/>
      <c r="G606" s="40">
        <v>104696</v>
      </c>
      <c r="H606" s="40"/>
      <c r="I606" s="40"/>
      <c r="J606" s="40"/>
      <c r="K606" s="40"/>
      <c r="L606" s="40"/>
      <c r="M606" s="41">
        <v>103317</v>
      </c>
      <c r="N606" s="1" t="str">
        <f>IFERROR(INDEX([1]物品基础表!$A:$A,MATCH(M606,[1]物品基础表!$B:$B,0)),"")</f>
        <v>橙色道士160级武器</v>
      </c>
      <c r="O606" s="41">
        <v>1</v>
      </c>
    </row>
    <row r="607" spans="1:15">
      <c r="A607" s="43" t="s">
        <v>514</v>
      </c>
      <c r="B607" s="40">
        <v>552</v>
      </c>
      <c r="C607" s="40">
        <v>145</v>
      </c>
      <c r="D607" s="40"/>
      <c r="E607" s="40"/>
      <c r="F607" s="40"/>
      <c r="G607" s="40">
        <v>75380</v>
      </c>
      <c r="H607" s="40"/>
      <c r="I607" s="40"/>
      <c r="J607" s="40"/>
      <c r="K607" s="40"/>
      <c r="L607" s="40"/>
      <c r="M607" s="41">
        <v>123317</v>
      </c>
      <c r="N607" s="1" t="str">
        <f>IFERROR(INDEX([1]物品基础表!$A:$A,MATCH(M607,[1]物品基础表!$B:$B,0)),"")</f>
        <v>橙色道士160级衣服</v>
      </c>
      <c r="O607" s="41">
        <v>1</v>
      </c>
    </row>
    <row r="608" spans="1:15">
      <c r="A608" s="43" t="s">
        <v>514</v>
      </c>
      <c r="B608" s="40">
        <v>552</v>
      </c>
      <c r="C608" s="40">
        <v>146</v>
      </c>
      <c r="D608" s="40"/>
      <c r="E608" s="40"/>
      <c r="F608" s="40"/>
      <c r="G608" s="40">
        <v>41878</v>
      </c>
      <c r="H608" s="40"/>
      <c r="I608" s="40"/>
      <c r="J608" s="40"/>
      <c r="K608" s="40"/>
      <c r="L608" s="40"/>
      <c r="M608" s="41">
        <v>143317</v>
      </c>
      <c r="N608" s="1" t="str">
        <f>IFERROR(INDEX([1]物品基础表!$A:$A,MATCH(M608,[1]物品基础表!$B:$B,0)),"")</f>
        <v>橙色道士160级手镯</v>
      </c>
      <c r="O608" s="41">
        <v>1</v>
      </c>
    </row>
    <row r="609" spans="1:15">
      <c r="A609" s="43" t="s">
        <v>514</v>
      </c>
      <c r="B609" s="40">
        <v>552</v>
      </c>
      <c r="C609" s="40">
        <v>147</v>
      </c>
      <c r="D609" s="40"/>
      <c r="E609" s="40"/>
      <c r="F609" s="40"/>
      <c r="G609" s="40">
        <v>41878</v>
      </c>
      <c r="H609" s="40"/>
      <c r="I609" s="40"/>
      <c r="J609" s="40"/>
      <c r="K609" s="40"/>
      <c r="L609" s="40"/>
      <c r="M609" s="41">
        <v>163317</v>
      </c>
      <c r="N609" s="1" t="str">
        <f>IFERROR(INDEX([1]物品基础表!$A:$A,MATCH(M609,[1]物品基础表!$B:$B,0)),"")</f>
        <v>橙色道士160级戒指</v>
      </c>
      <c r="O609" s="41">
        <v>1</v>
      </c>
    </row>
    <row r="610" spans="1:15">
      <c r="A610" s="43" t="s">
        <v>514</v>
      </c>
      <c r="B610" s="40">
        <v>552</v>
      </c>
      <c r="C610" s="40">
        <v>148</v>
      </c>
      <c r="D610" s="40"/>
      <c r="E610" s="40"/>
      <c r="F610" s="40"/>
      <c r="G610" s="40">
        <v>41878</v>
      </c>
      <c r="H610" s="40"/>
      <c r="I610" s="40"/>
      <c r="J610" s="40"/>
      <c r="K610" s="40"/>
      <c r="L610" s="40"/>
      <c r="M610" s="41">
        <v>113317</v>
      </c>
      <c r="N610" s="1" t="str">
        <f>IFERROR(INDEX([1]物品基础表!$A:$A,MATCH(M610,[1]物品基础表!$B:$B,0)),"")</f>
        <v>橙色道士160级头盔</v>
      </c>
      <c r="O610" s="41">
        <v>1</v>
      </c>
    </row>
    <row r="611" spans="1:15">
      <c r="A611" s="43" t="s">
        <v>514</v>
      </c>
      <c r="B611" s="40">
        <v>552</v>
      </c>
      <c r="C611" s="40">
        <v>149</v>
      </c>
      <c r="D611" s="40"/>
      <c r="E611" s="40"/>
      <c r="F611" s="40"/>
      <c r="G611" s="40">
        <v>41878</v>
      </c>
      <c r="H611" s="40"/>
      <c r="I611" s="40"/>
      <c r="J611" s="40"/>
      <c r="K611" s="40"/>
      <c r="L611" s="40"/>
      <c r="M611" s="41">
        <v>133317</v>
      </c>
      <c r="N611" s="1" t="str">
        <f>IFERROR(INDEX([1]物品基础表!$A:$A,MATCH(M611,[1]物品基础表!$B:$B,0)),"")</f>
        <v>橙色道士160级项链</v>
      </c>
      <c r="O611" s="41">
        <v>1</v>
      </c>
    </row>
    <row r="612" spans="1:15">
      <c r="A612" s="43" t="s">
        <v>514</v>
      </c>
      <c r="B612" s="40">
        <v>552</v>
      </c>
      <c r="C612" s="40">
        <v>150</v>
      </c>
      <c r="D612" s="40"/>
      <c r="E612" s="40"/>
      <c r="F612" s="40"/>
      <c r="G612" s="40">
        <v>41878</v>
      </c>
      <c r="H612" s="40"/>
      <c r="I612" s="40"/>
      <c r="J612" s="40"/>
      <c r="K612" s="40"/>
      <c r="L612" s="40"/>
      <c r="M612" s="41">
        <v>153317</v>
      </c>
      <c r="N612" s="1" t="str">
        <f>IFERROR(INDEX([1]物品基础表!$A:$A,MATCH(M612,[1]物品基础表!$B:$B,0)),"")</f>
        <v>橙色道士160级腰带</v>
      </c>
      <c r="O612" s="41">
        <v>1</v>
      </c>
    </row>
    <row r="613" spans="1:15">
      <c r="A613" s="43" t="s">
        <v>514</v>
      </c>
      <c r="B613" s="40">
        <v>552</v>
      </c>
      <c r="C613" s="40">
        <v>151</v>
      </c>
      <c r="D613" s="40"/>
      <c r="E613" s="40"/>
      <c r="F613" s="40"/>
      <c r="G613" s="40">
        <v>41878</v>
      </c>
      <c r="H613" s="40"/>
      <c r="I613" s="40"/>
      <c r="J613" s="40"/>
      <c r="K613" s="40"/>
      <c r="L613" s="40"/>
      <c r="M613" s="41">
        <v>173317</v>
      </c>
      <c r="N613" s="1" t="str">
        <f>IFERROR(INDEX([1]物品基础表!$A:$A,MATCH(M613,[1]物品基础表!$B:$B,0)),"")</f>
        <v>橙色道士160级鞋子</v>
      </c>
      <c r="O613" s="41">
        <v>1</v>
      </c>
    </row>
    <row r="614" spans="1:15">
      <c r="A614" s="43" t="s">
        <v>514</v>
      </c>
      <c r="B614" s="40">
        <v>552</v>
      </c>
      <c r="C614" s="40">
        <v>152</v>
      </c>
      <c r="D614" s="40"/>
      <c r="E614" s="40"/>
      <c r="F614" s="40"/>
      <c r="G614" s="40">
        <v>127680</v>
      </c>
      <c r="H614" s="40"/>
      <c r="I614" s="40"/>
      <c r="J614" s="40"/>
      <c r="K614" s="40"/>
      <c r="L614" s="40"/>
      <c r="M614" s="41">
        <v>101318</v>
      </c>
      <c r="N614" s="1" t="str">
        <f>IFERROR(INDEX([1]物品基础表!$A:$A,MATCH(M614,[1]物品基础表!$B:$B,0)),"")</f>
        <v>橙色战士170级武器</v>
      </c>
      <c r="O614" s="41">
        <v>1</v>
      </c>
    </row>
    <row r="615" spans="1:15">
      <c r="A615" s="43" t="s">
        <v>514</v>
      </c>
      <c r="B615" s="40">
        <v>552</v>
      </c>
      <c r="C615" s="40">
        <v>153</v>
      </c>
      <c r="D615" s="40"/>
      <c r="E615" s="40"/>
      <c r="F615" s="40"/>
      <c r="G615" s="40">
        <v>91929</v>
      </c>
      <c r="H615" s="40"/>
      <c r="I615" s="40"/>
      <c r="J615" s="40"/>
      <c r="K615" s="40"/>
      <c r="L615" s="40"/>
      <c r="M615" s="41">
        <v>121318</v>
      </c>
      <c r="N615" s="1" t="str">
        <f>IFERROR(INDEX([1]物品基础表!$A:$A,MATCH(M615,[1]物品基础表!$B:$B,0)),"")</f>
        <v>橙色战士170级衣服</v>
      </c>
      <c r="O615" s="41">
        <v>1</v>
      </c>
    </row>
    <row r="616" spans="1:15">
      <c r="A616" s="43" t="s">
        <v>514</v>
      </c>
      <c r="B616" s="40">
        <v>552</v>
      </c>
      <c r="C616" s="40">
        <v>154</v>
      </c>
      <c r="D616" s="40"/>
      <c r="E616" s="40"/>
      <c r="F616" s="40"/>
      <c r="G616" s="40">
        <v>51072</v>
      </c>
      <c r="H616" s="40"/>
      <c r="I616" s="40"/>
      <c r="J616" s="40"/>
      <c r="K616" s="40"/>
      <c r="L616" s="40"/>
      <c r="M616" s="41">
        <v>141318</v>
      </c>
      <c r="N616" s="1" t="str">
        <f>IFERROR(INDEX([1]物品基础表!$A:$A,MATCH(M616,[1]物品基础表!$B:$B,0)),"")</f>
        <v>橙色战士170级手镯</v>
      </c>
      <c r="O616" s="41">
        <v>1</v>
      </c>
    </row>
    <row r="617" spans="1:15">
      <c r="A617" s="43" t="s">
        <v>514</v>
      </c>
      <c r="B617" s="40">
        <v>552</v>
      </c>
      <c r="C617" s="40">
        <v>155</v>
      </c>
      <c r="D617" s="40"/>
      <c r="E617" s="40"/>
      <c r="F617" s="40"/>
      <c r="G617" s="40">
        <v>51072</v>
      </c>
      <c r="H617" s="40"/>
      <c r="I617" s="40"/>
      <c r="J617" s="40"/>
      <c r="K617" s="40"/>
      <c r="L617" s="40"/>
      <c r="M617" s="41">
        <v>161318</v>
      </c>
      <c r="N617" s="1" t="str">
        <f>IFERROR(INDEX([1]物品基础表!$A:$A,MATCH(M617,[1]物品基础表!$B:$B,0)),"")</f>
        <v>橙色战士170级戒指</v>
      </c>
      <c r="O617" s="41">
        <v>1</v>
      </c>
    </row>
    <row r="618" spans="1:15">
      <c r="A618" s="43" t="s">
        <v>514</v>
      </c>
      <c r="B618" s="40">
        <v>552</v>
      </c>
      <c r="C618" s="40">
        <v>156</v>
      </c>
      <c r="D618" s="40"/>
      <c r="E618" s="40"/>
      <c r="F618" s="40"/>
      <c r="G618" s="40">
        <v>51072</v>
      </c>
      <c r="H618" s="40"/>
      <c r="I618" s="40"/>
      <c r="J618" s="40"/>
      <c r="K618" s="40"/>
      <c r="L618" s="40"/>
      <c r="M618" s="41">
        <v>111318</v>
      </c>
      <c r="N618" s="1" t="str">
        <f>IFERROR(INDEX([1]物品基础表!$A:$A,MATCH(M618,[1]物品基础表!$B:$B,0)),"")</f>
        <v>橙色战士170级头盔</v>
      </c>
      <c r="O618" s="41">
        <v>1</v>
      </c>
    </row>
    <row r="619" spans="1:15">
      <c r="A619" s="43" t="s">
        <v>514</v>
      </c>
      <c r="B619" s="40">
        <v>552</v>
      </c>
      <c r="C619" s="40">
        <v>157</v>
      </c>
      <c r="D619" s="40"/>
      <c r="E619" s="40"/>
      <c r="F619" s="40"/>
      <c r="G619" s="40">
        <v>51072</v>
      </c>
      <c r="H619" s="40"/>
      <c r="I619" s="40"/>
      <c r="J619" s="40"/>
      <c r="K619" s="40"/>
      <c r="L619" s="40"/>
      <c r="M619" s="41">
        <v>131318</v>
      </c>
      <c r="N619" s="1" t="str">
        <f>IFERROR(INDEX([1]物品基础表!$A:$A,MATCH(M619,[1]物品基础表!$B:$B,0)),"")</f>
        <v>橙色战士170级项链</v>
      </c>
      <c r="O619" s="41">
        <v>1</v>
      </c>
    </row>
    <row r="620" spans="1:15">
      <c r="A620" s="43" t="s">
        <v>514</v>
      </c>
      <c r="B620" s="40">
        <v>552</v>
      </c>
      <c r="C620" s="40">
        <v>158</v>
      </c>
      <c r="D620" s="40"/>
      <c r="E620" s="40"/>
      <c r="F620" s="40"/>
      <c r="G620" s="40">
        <v>51072</v>
      </c>
      <c r="H620" s="40"/>
      <c r="I620" s="40"/>
      <c r="J620" s="40"/>
      <c r="K620" s="40"/>
      <c r="L620" s="40"/>
      <c r="M620" s="41">
        <v>151318</v>
      </c>
      <c r="N620" s="1" t="str">
        <f>IFERROR(INDEX([1]物品基础表!$A:$A,MATCH(M620,[1]物品基础表!$B:$B,0)),"")</f>
        <v>橙色战士170级腰带</v>
      </c>
      <c r="O620" s="41">
        <v>1</v>
      </c>
    </row>
    <row r="621" spans="1:15">
      <c r="A621" s="43" t="s">
        <v>514</v>
      </c>
      <c r="B621" s="40">
        <v>552</v>
      </c>
      <c r="C621" s="40">
        <v>159</v>
      </c>
      <c r="D621" s="40"/>
      <c r="E621" s="40"/>
      <c r="F621" s="40"/>
      <c r="G621" s="40">
        <v>51072</v>
      </c>
      <c r="H621" s="40"/>
      <c r="I621" s="40"/>
      <c r="J621" s="40"/>
      <c r="K621" s="40"/>
      <c r="L621" s="40"/>
      <c r="M621" s="41">
        <v>171318</v>
      </c>
      <c r="N621" s="1" t="str">
        <f>IFERROR(INDEX([1]物品基础表!$A:$A,MATCH(M621,[1]物品基础表!$B:$B,0)),"")</f>
        <v>橙色战士170级鞋子</v>
      </c>
      <c r="O621" s="41">
        <v>1</v>
      </c>
    </row>
    <row r="622" spans="1:15">
      <c r="A622" s="43" t="s">
        <v>514</v>
      </c>
      <c r="B622" s="40">
        <v>552</v>
      </c>
      <c r="C622" s="40">
        <v>160</v>
      </c>
      <c r="D622" s="40"/>
      <c r="E622" s="40"/>
      <c r="F622" s="40"/>
      <c r="G622" s="40">
        <v>127680</v>
      </c>
      <c r="H622" s="40"/>
      <c r="I622" s="40"/>
      <c r="J622" s="40"/>
      <c r="K622" s="40"/>
      <c r="L622" s="40"/>
      <c r="M622" s="41">
        <v>102318</v>
      </c>
      <c r="N622" s="1" t="str">
        <f>IFERROR(INDEX([1]物品基础表!$A:$A,MATCH(M622,[1]物品基础表!$B:$B,0)),"")</f>
        <v>橙色法师170级武器</v>
      </c>
      <c r="O622" s="41">
        <v>1</v>
      </c>
    </row>
    <row r="623" spans="1:15">
      <c r="A623" s="43" t="s">
        <v>514</v>
      </c>
      <c r="B623" s="40">
        <v>552</v>
      </c>
      <c r="C623" s="40">
        <v>161</v>
      </c>
      <c r="D623" s="40"/>
      <c r="E623" s="40"/>
      <c r="F623" s="40"/>
      <c r="G623" s="40">
        <v>91929</v>
      </c>
      <c r="H623" s="40"/>
      <c r="I623" s="40"/>
      <c r="J623" s="40"/>
      <c r="K623" s="40"/>
      <c r="L623" s="40"/>
      <c r="M623" s="41">
        <v>122318</v>
      </c>
      <c r="N623" s="1" t="str">
        <f>IFERROR(INDEX([1]物品基础表!$A:$A,MATCH(M623,[1]物品基础表!$B:$B,0)),"")</f>
        <v>橙色法师170级衣服</v>
      </c>
      <c r="O623" s="41">
        <v>1</v>
      </c>
    </row>
    <row r="624" spans="1:15">
      <c r="A624" s="43" t="s">
        <v>514</v>
      </c>
      <c r="B624" s="40">
        <v>552</v>
      </c>
      <c r="C624" s="40">
        <v>162</v>
      </c>
      <c r="D624" s="40"/>
      <c r="E624" s="40"/>
      <c r="F624" s="40"/>
      <c r="G624" s="40">
        <v>51072</v>
      </c>
      <c r="H624" s="40"/>
      <c r="I624" s="40"/>
      <c r="J624" s="40"/>
      <c r="K624" s="40"/>
      <c r="L624" s="40"/>
      <c r="M624" s="41">
        <v>142318</v>
      </c>
      <c r="N624" s="1" t="str">
        <f>IFERROR(INDEX([1]物品基础表!$A:$A,MATCH(M624,[1]物品基础表!$B:$B,0)),"")</f>
        <v>橙色法师170级手镯</v>
      </c>
      <c r="O624" s="41">
        <v>1</v>
      </c>
    </row>
    <row r="625" spans="1:15">
      <c r="A625" s="43" t="s">
        <v>514</v>
      </c>
      <c r="B625" s="40">
        <v>552</v>
      </c>
      <c r="C625" s="40">
        <v>163</v>
      </c>
      <c r="D625" s="40"/>
      <c r="E625" s="40"/>
      <c r="F625" s="40"/>
      <c r="G625" s="40">
        <v>51072</v>
      </c>
      <c r="H625" s="40"/>
      <c r="I625" s="40"/>
      <c r="J625" s="40"/>
      <c r="K625" s="40"/>
      <c r="L625" s="40"/>
      <c r="M625" s="41">
        <v>162318</v>
      </c>
      <c r="N625" s="1" t="str">
        <f>IFERROR(INDEX([1]物品基础表!$A:$A,MATCH(M625,[1]物品基础表!$B:$B,0)),"")</f>
        <v>橙色法师170级戒指</v>
      </c>
      <c r="O625" s="41">
        <v>1</v>
      </c>
    </row>
    <row r="626" spans="1:15">
      <c r="A626" s="43" t="s">
        <v>514</v>
      </c>
      <c r="B626" s="40">
        <v>552</v>
      </c>
      <c r="C626" s="40">
        <v>164</v>
      </c>
      <c r="D626" s="40"/>
      <c r="E626" s="40"/>
      <c r="F626" s="40"/>
      <c r="G626" s="40">
        <v>51072</v>
      </c>
      <c r="H626" s="40"/>
      <c r="I626" s="40"/>
      <c r="J626" s="40"/>
      <c r="K626" s="40"/>
      <c r="L626" s="40"/>
      <c r="M626" s="41">
        <v>112318</v>
      </c>
      <c r="N626" s="1" t="str">
        <f>IFERROR(INDEX([1]物品基础表!$A:$A,MATCH(M626,[1]物品基础表!$B:$B,0)),"")</f>
        <v>橙色法师170级头盔</v>
      </c>
      <c r="O626" s="41">
        <v>1</v>
      </c>
    </row>
    <row r="627" spans="1:15">
      <c r="A627" s="43" t="s">
        <v>514</v>
      </c>
      <c r="B627" s="40">
        <v>552</v>
      </c>
      <c r="C627" s="40">
        <v>165</v>
      </c>
      <c r="D627" s="40"/>
      <c r="E627" s="40"/>
      <c r="F627" s="40"/>
      <c r="G627" s="40">
        <v>51072</v>
      </c>
      <c r="H627" s="40"/>
      <c r="I627" s="40"/>
      <c r="J627" s="40"/>
      <c r="K627" s="40"/>
      <c r="L627" s="40"/>
      <c r="M627" s="41">
        <v>132318</v>
      </c>
      <c r="N627" s="1" t="str">
        <f>IFERROR(INDEX([1]物品基础表!$A:$A,MATCH(M627,[1]物品基础表!$B:$B,0)),"")</f>
        <v>橙色法师170级项链</v>
      </c>
      <c r="O627" s="41">
        <v>1</v>
      </c>
    </row>
    <row r="628" spans="1:15">
      <c r="A628" s="43" t="s">
        <v>514</v>
      </c>
      <c r="B628" s="40">
        <v>552</v>
      </c>
      <c r="C628" s="40">
        <v>166</v>
      </c>
      <c r="D628" s="40"/>
      <c r="E628" s="40"/>
      <c r="F628" s="40"/>
      <c r="G628" s="40">
        <v>51072</v>
      </c>
      <c r="H628" s="40"/>
      <c r="I628" s="40"/>
      <c r="J628" s="40"/>
      <c r="K628" s="40"/>
      <c r="L628" s="40"/>
      <c r="M628" s="41">
        <v>152318</v>
      </c>
      <c r="N628" s="1" t="str">
        <f>IFERROR(INDEX([1]物品基础表!$A:$A,MATCH(M628,[1]物品基础表!$B:$B,0)),"")</f>
        <v>橙色法师170级腰带</v>
      </c>
      <c r="O628" s="41">
        <v>1</v>
      </c>
    </row>
    <row r="629" spans="1:15">
      <c r="A629" s="43" t="s">
        <v>514</v>
      </c>
      <c r="B629" s="40">
        <v>552</v>
      </c>
      <c r="C629" s="40">
        <v>167</v>
      </c>
      <c r="D629" s="40"/>
      <c r="E629" s="40"/>
      <c r="F629" s="40"/>
      <c r="G629" s="40">
        <v>51072</v>
      </c>
      <c r="H629" s="40"/>
      <c r="I629" s="40"/>
      <c r="J629" s="40"/>
      <c r="K629" s="40"/>
      <c r="L629" s="40"/>
      <c r="M629" s="41">
        <v>172318</v>
      </c>
      <c r="N629" s="1" t="str">
        <f>IFERROR(INDEX([1]物品基础表!$A:$A,MATCH(M629,[1]物品基础表!$B:$B,0)),"")</f>
        <v>橙色法师170级鞋子</v>
      </c>
      <c r="O629" s="41">
        <v>1</v>
      </c>
    </row>
    <row r="630" spans="1:15">
      <c r="A630" s="43" t="s">
        <v>514</v>
      </c>
      <c r="B630" s="40">
        <v>552</v>
      </c>
      <c r="C630" s="40">
        <v>168</v>
      </c>
      <c r="D630" s="40"/>
      <c r="E630" s="40"/>
      <c r="F630" s="40"/>
      <c r="G630" s="40">
        <v>127680</v>
      </c>
      <c r="H630" s="40"/>
      <c r="I630" s="40"/>
      <c r="J630" s="40"/>
      <c r="K630" s="40"/>
      <c r="L630" s="40"/>
      <c r="M630" s="41">
        <v>103318</v>
      </c>
      <c r="N630" s="1" t="str">
        <f>IFERROR(INDEX([1]物品基础表!$A:$A,MATCH(M630,[1]物品基础表!$B:$B,0)),"")</f>
        <v>橙色道士170级武器</v>
      </c>
      <c r="O630" s="41">
        <v>1</v>
      </c>
    </row>
    <row r="631" spans="1:15">
      <c r="A631" s="43" t="s">
        <v>514</v>
      </c>
      <c r="B631" s="40">
        <v>552</v>
      </c>
      <c r="C631" s="40">
        <v>169</v>
      </c>
      <c r="D631" s="40"/>
      <c r="E631" s="40"/>
      <c r="F631" s="40"/>
      <c r="G631" s="40">
        <v>91929</v>
      </c>
      <c r="H631" s="40"/>
      <c r="I631" s="40"/>
      <c r="J631" s="40"/>
      <c r="K631" s="40"/>
      <c r="L631" s="40"/>
      <c r="M631" s="41">
        <v>123318</v>
      </c>
      <c r="N631" s="1" t="str">
        <f>IFERROR(INDEX([1]物品基础表!$A:$A,MATCH(M631,[1]物品基础表!$B:$B,0)),"")</f>
        <v>橙色道士170级衣服</v>
      </c>
      <c r="O631" s="41">
        <v>1</v>
      </c>
    </row>
    <row r="632" spans="1:15">
      <c r="A632" s="43" t="s">
        <v>514</v>
      </c>
      <c r="B632" s="40">
        <v>552</v>
      </c>
      <c r="C632" s="40">
        <v>170</v>
      </c>
      <c r="D632" s="40"/>
      <c r="E632" s="40"/>
      <c r="F632" s="40"/>
      <c r="G632" s="40">
        <v>51072</v>
      </c>
      <c r="H632" s="40"/>
      <c r="I632" s="40"/>
      <c r="J632" s="40"/>
      <c r="K632" s="40"/>
      <c r="L632" s="40"/>
      <c r="M632" s="41">
        <v>143318</v>
      </c>
      <c r="N632" s="1" t="str">
        <f>IFERROR(INDEX([1]物品基础表!$A:$A,MATCH(M632,[1]物品基础表!$B:$B,0)),"")</f>
        <v>橙色道士170级手镯</v>
      </c>
      <c r="O632" s="41">
        <v>1</v>
      </c>
    </row>
    <row r="633" spans="1:15">
      <c r="A633" s="43" t="s">
        <v>514</v>
      </c>
      <c r="B633" s="40">
        <v>552</v>
      </c>
      <c r="C633" s="40">
        <v>171</v>
      </c>
      <c r="D633" s="40"/>
      <c r="E633" s="40"/>
      <c r="F633" s="40"/>
      <c r="G633" s="40">
        <v>51072</v>
      </c>
      <c r="H633" s="40"/>
      <c r="I633" s="40"/>
      <c r="J633" s="40"/>
      <c r="K633" s="40"/>
      <c r="L633" s="40"/>
      <c r="M633" s="41">
        <v>163318</v>
      </c>
      <c r="N633" s="1" t="str">
        <f>IFERROR(INDEX([1]物品基础表!$A:$A,MATCH(M633,[1]物品基础表!$B:$B,0)),"")</f>
        <v>橙色道士170级戒指</v>
      </c>
      <c r="O633" s="41">
        <v>1</v>
      </c>
    </row>
    <row r="634" spans="1:15">
      <c r="A634" s="43" t="s">
        <v>514</v>
      </c>
      <c r="B634" s="40">
        <v>552</v>
      </c>
      <c r="C634" s="40">
        <v>172</v>
      </c>
      <c r="D634" s="40"/>
      <c r="E634" s="40"/>
      <c r="F634" s="40"/>
      <c r="G634" s="40">
        <v>51072</v>
      </c>
      <c r="H634" s="40"/>
      <c r="I634" s="40"/>
      <c r="J634" s="40"/>
      <c r="K634" s="40"/>
      <c r="L634" s="40"/>
      <c r="M634" s="41">
        <v>113318</v>
      </c>
      <c r="N634" s="1" t="str">
        <f>IFERROR(INDEX([1]物品基础表!$A:$A,MATCH(M634,[1]物品基础表!$B:$B,0)),"")</f>
        <v>橙色道士170级头盔</v>
      </c>
      <c r="O634" s="41">
        <v>1</v>
      </c>
    </row>
    <row r="635" spans="1:15">
      <c r="A635" s="43" t="s">
        <v>514</v>
      </c>
      <c r="B635" s="40">
        <v>552</v>
      </c>
      <c r="C635" s="40">
        <v>173</v>
      </c>
      <c r="D635" s="40"/>
      <c r="E635" s="40"/>
      <c r="F635" s="40"/>
      <c r="G635" s="40">
        <v>51072</v>
      </c>
      <c r="H635" s="40"/>
      <c r="I635" s="40"/>
      <c r="J635" s="40"/>
      <c r="K635" s="40"/>
      <c r="L635" s="40"/>
      <c r="M635" s="41">
        <v>133318</v>
      </c>
      <c r="N635" s="1" t="str">
        <f>IFERROR(INDEX([1]物品基础表!$A:$A,MATCH(M635,[1]物品基础表!$B:$B,0)),"")</f>
        <v>橙色道士170级项链</v>
      </c>
      <c r="O635" s="41">
        <v>1</v>
      </c>
    </row>
    <row r="636" spans="1:15">
      <c r="A636" s="43" t="s">
        <v>514</v>
      </c>
      <c r="B636" s="40">
        <v>552</v>
      </c>
      <c r="C636" s="40">
        <v>174</v>
      </c>
      <c r="D636" s="40"/>
      <c r="E636" s="40"/>
      <c r="F636" s="40"/>
      <c r="G636" s="40">
        <v>51072</v>
      </c>
      <c r="H636" s="40"/>
      <c r="I636" s="40"/>
      <c r="J636" s="40"/>
      <c r="K636" s="40"/>
      <c r="L636" s="40"/>
      <c r="M636" s="41">
        <v>153318</v>
      </c>
      <c r="N636" s="1" t="str">
        <f>IFERROR(INDEX([1]物品基础表!$A:$A,MATCH(M636,[1]物品基础表!$B:$B,0)),"")</f>
        <v>橙色道士170级腰带</v>
      </c>
      <c r="O636" s="41">
        <v>1</v>
      </c>
    </row>
    <row r="637" spans="1:15">
      <c r="A637" s="43" t="s">
        <v>514</v>
      </c>
      <c r="B637" s="40">
        <v>552</v>
      </c>
      <c r="C637" s="40">
        <v>175</v>
      </c>
      <c r="D637" s="40"/>
      <c r="E637" s="40"/>
      <c r="F637" s="40"/>
      <c r="G637" s="40">
        <v>51072</v>
      </c>
      <c r="H637" s="40"/>
      <c r="I637" s="40"/>
      <c r="J637" s="40"/>
      <c r="K637" s="40"/>
      <c r="L637" s="40"/>
      <c r="M637" s="41">
        <v>173318</v>
      </c>
      <c r="N637" s="1" t="str">
        <f>IFERROR(INDEX([1]物品基础表!$A:$A,MATCH(M637,[1]物品基础表!$B:$B,0)),"")</f>
        <v>橙色道士170级鞋子</v>
      </c>
      <c r="O637" s="41">
        <v>1</v>
      </c>
    </row>
    <row r="638" spans="1:15">
      <c r="A638" s="43" t="s">
        <v>514</v>
      </c>
      <c r="B638" s="40">
        <v>566</v>
      </c>
      <c r="C638" s="40">
        <v>1</v>
      </c>
      <c r="D638" s="40"/>
      <c r="E638" s="40"/>
      <c r="F638" s="40"/>
      <c r="G638" s="40">
        <v>1000</v>
      </c>
      <c r="H638" s="40"/>
      <c r="I638" s="40">
        <v>200</v>
      </c>
      <c r="J638" s="40"/>
      <c r="K638" s="40"/>
      <c r="L638" s="40"/>
      <c r="M638" s="41">
        <v>200003</v>
      </c>
      <c r="N638" s="1" t="str">
        <f>IFERROR(INDEX([1]物品基础表!$A:$A,MATCH(M638,[1]物品基础表!$B:$B,0)),"")</f>
        <v>铸造晶石</v>
      </c>
      <c r="O638" s="41">
        <v>2</v>
      </c>
    </row>
    <row r="639" spans="1:15">
      <c r="A639" s="43" t="s">
        <v>514</v>
      </c>
      <c r="B639" s="40">
        <v>566</v>
      </c>
      <c r="C639" s="40">
        <v>2</v>
      </c>
      <c r="D639" s="40"/>
      <c r="E639" s="40"/>
      <c r="F639" s="40"/>
      <c r="G639" s="40">
        <v>1500</v>
      </c>
      <c r="H639" s="40"/>
      <c r="I639" s="40">
        <v>100</v>
      </c>
      <c r="J639" s="40"/>
      <c r="K639" s="40"/>
      <c r="L639" s="40"/>
      <c r="M639" s="41">
        <v>200005</v>
      </c>
      <c r="N639" s="1" t="str">
        <f>IFERROR(INDEX([1]物品基础表!$A:$A,MATCH(M639,[1]物品基础表!$B:$B,0)),"")</f>
        <v>龙魂碎片</v>
      </c>
      <c r="O639" s="41">
        <v>1</v>
      </c>
    </row>
    <row r="640" spans="1:15">
      <c r="A640" s="43" t="s">
        <v>514</v>
      </c>
      <c r="B640" s="40">
        <v>566</v>
      </c>
      <c r="C640" s="40">
        <v>3</v>
      </c>
      <c r="D640" s="40"/>
      <c r="E640" s="40"/>
      <c r="F640" s="40"/>
      <c r="G640" s="40">
        <v>10000</v>
      </c>
      <c r="H640" s="40"/>
      <c r="I640" s="40">
        <v>5</v>
      </c>
      <c r="J640" s="40"/>
      <c r="K640" s="40"/>
      <c r="L640" s="40"/>
      <c r="M640" s="41">
        <v>200905</v>
      </c>
      <c r="N640" s="1" t="str">
        <f>IFERROR(INDEX([1]物品基础表!$A:$A,MATCH(M640,[1]物品基础表!$B:$B,0)),"")</f>
        <v>BOSS积分宝盒</v>
      </c>
      <c r="O640" s="41">
        <v>1</v>
      </c>
    </row>
    <row r="641" spans="1:15">
      <c r="A641" s="43" t="s">
        <v>514</v>
      </c>
      <c r="B641" s="40">
        <v>566</v>
      </c>
      <c r="C641" s="40">
        <v>4</v>
      </c>
      <c r="D641" s="40"/>
      <c r="E641" s="40"/>
      <c r="F641" s="40"/>
      <c r="G641" s="40">
        <v>7000</v>
      </c>
      <c r="H641" s="40"/>
      <c r="I641" s="40">
        <v>5</v>
      </c>
      <c r="J641" s="40"/>
      <c r="K641" s="40"/>
      <c r="L641" s="40"/>
      <c r="M641" s="41">
        <v>200157</v>
      </c>
      <c r="N641" s="1" t="str">
        <f>IFERROR(INDEX([1]物品基础表!$A:$A,MATCH(M641,[1]物品基础表!$B:$B,0)),"")</f>
        <v>秘境BOSS次数卷轴</v>
      </c>
      <c r="O641" s="41">
        <v>1</v>
      </c>
    </row>
    <row r="642" spans="1:15">
      <c r="A642" s="43" t="s">
        <v>514</v>
      </c>
      <c r="B642" s="40">
        <v>566</v>
      </c>
      <c r="C642" s="40">
        <v>5</v>
      </c>
      <c r="D642" s="40"/>
      <c r="E642" s="40"/>
      <c r="F642" s="40"/>
      <c r="G642" s="40">
        <v>2500</v>
      </c>
      <c r="H642" s="40"/>
      <c r="I642" s="40">
        <v>15</v>
      </c>
      <c r="J642" s="40"/>
      <c r="K642" s="40"/>
      <c r="L642" s="40"/>
      <c r="M642" s="41">
        <v>200156</v>
      </c>
      <c r="N642" s="1" t="str">
        <f>IFERROR(INDEX([1]物品基础表!$A:$A,MATCH(M642,[1]物品基础表!$B:$B,0)),"")</f>
        <v>野外BOSS次数卷轴</v>
      </c>
      <c r="O642" s="41">
        <v>1</v>
      </c>
    </row>
    <row r="643" spans="1:15">
      <c r="A643" s="43" t="s">
        <v>514</v>
      </c>
      <c r="B643" s="40">
        <v>566</v>
      </c>
      <c r="C643" s="40">
        <v>6</v>
      </c>
      <c r="D643" s="40"/>
      <c r="E643" s="40"/>
      <c r="F643" s="40"/>
      <c r="G643" s="40">
        <v>2000</v>
      </c>
      <c r="H643" s="40"/>
      <c r="I643" s="40">
        <v>5</v>
      </c>
      <c r="J643" s="40"/>
      <c r="K643" s="40"/>
      <c r="L643" s="40"/>
      <c r="M643" s="41">
        <v>201002</v>
      </c>
      <c r="N643" s="1" t="str">
        <f>IFERROR(INDEX([1]物品基础表!$A:$A,MATCH(M643,[1]物品基础表!$B:$B,0)),"")</f>
        <v>神秘钥匙</v>
      </c>
      <c r="O643" s="41">
        <v>1</v>
      </c>
    </row>
    <row r="644" spans="1:15">
      <c r="A644" s="43" t="s">
        <v>514</v>
      </c>
      <c r="B644" s="40">
        <v>566</v>
      </c>
      <c r="C644" s="40">
        <v>7</v>
      </c>
      <c r="D644" s="40"/>
      <c r="E644" s="40"/>
      <c r="F644" s="40"/>
      <c r="G644" s="40">
        <v>2000</v>
      </c>
      <c r="H644" s="40"/>
      <c r="I644" s="40"/>
      <c r="J644" s="40"/>
      <c r="K644" s="40"/>
      <c r="L644" s="40"/>
      <c r="M644" s="41">
        <v>200164</v>
      </c>
      <c r="N644" s="1" t="str">
        <f>IFERROR(INDEX([1]物品基础表!$A:$A,MATCH(M644,[1]物品基础表!$B:$B,0)),"")</f>
        <v>金砖</v>
      </c>
      <c r="O644" s="41">
        <v>1</v>
      </c>
    </row>
    <row r="645" spans="1:15">
      <c r="A645" s="43" t="s">
        <v>514</v>
      </c>
      <c r="B645" s="40">
        <v>566</v>
      </c>
      <c r="C645" s="40">
        <v>8</v>
      </c>
      <c r="D645" s="40"/>
      <c r="E645" s="40"/>
      <c r="F645" s="40"/>
      <c r="G645" s="40">
        <v>25032</v>
      </c>
      <c r="H645" s="40"/>
      <c r="I645" s="40"/>
      <c r="J645" s="40"/>
      <c r="K645" s="40"/>
      <c r="L645" s="40"/>
      <c r="M645" s="41">
        <v>101312</v>
      </c>
      <c r="N645" s="1" t="str">
        <f>IFERROR(INDEX([1]物品基础表!$A:$A,MATCH(M645,[1]物品基础表!$B:$B,0)),"")</f>
        <v>橙色战士110级武器</v>
      </c>
      <c r="O645" s="41">
        <v>1</v>
      </c>
    </row>
    <row r="646" spans="1:15">
      <c r="A646" s="43" t="s">
        <v>514</v>
      </c>
      <c r="B646" s="40">
        <v>566</v>
      </c>
      <c r="C646" s="40">
        <v>9</v>
      </c>
      <c r="D646" s="40"/>
      <c r="E646" s="40"/>
      <c r="F646" s="40"/>
      <c r="G646" s="40">
        <v>18022</v>
      </c>
      <c r="H646" s="40"/>
      <c r="I646" s="40"/>
      <c r="J646" s="40"/>
      <c r="K646" s="40"/>
      <c r="L646" s="40"/>
      <c r="M646" s="41">
        <v>121312</v>
      </c>
      <c r="N646" s="1" t="str">
        <f>IFERROR(INDEX([1]物品基础表!$A:$A,MATCH(M646,[1]物品基础表!$B:$B,0)),"")</f>
        <v>橙色战士110级衣服</v>
      </c>
      <c r="O646" s="41">
        <v>1</v>
      </c>
    </row>
    <row r="647" spans="1:15">
      <c r="A647" s="43" t="s">
        <v>514</v>
      </c>
      <c r="B647" s="40">
        <v>566</v>
      </c>
      <c r="C647" s="40">
        <v>10</v>
      </c>
      <c r="D647" s="40"/>
      <c r="E647" s="40"/>
      <c r="F647" s="40"/>
      <c r="G647" s="40">
        <v>10012</v>
      </c>
      <c r="H647" s="40"/>
      <c r="I647" s="40"/>
      <c r="J647" s="40"/>
      <c r="K647" s="40"/>
      <c r="L647" s="40"/>
      <c r="M647" s="41">
        <v>141312</v>
      </c>
      <c r="N647" s="1" t="str">
        <f>IFERROR(INDEX([1]物品基础表!$A:$A,MATCH(M647,[1]物品基础表!$B:$B,0)),"")</f>
        <v>橙色战士110级手镯</v>
      </c>
      <c r="O647" s="41">
        <v>1</v>
      </c>
    </row>
    <row r="648" spans="1:15">
      <c r="A648" s="43" t="s">
        <v>514</v>
      </c>
      <c r="B648" s="40">
        <v>566</v>
      </c>
      <c r="C648" s="40">
        <v>11</v>
      </c>
      <c r="D648" s="40"/>
      <c r="E648" s="40"/>
      <c r="F648" s="40"/>
      <c r="G648" s="40">
        <v>10012</v>
      </c>
      <c r="H648" s="40"/>
      <c r="I648" s="40"/>
      <c r="J648" s="40"/>
      <c r="K648" s="40"/>
      <c r="L648" s="40"/>
      <c r="M648" s="41">
        <v>161312</v>
      </c>
      <c r="N648" s="1" t="str">
        <f>IFERROR(INDEX([1]物品基础表!$A:$A,MATCH(M648,[1]物品基础表!$B:$B,0)),"")</f>
        <v>橙色战士110级戒指</v>
      </c>
      <c r="O648" s="41">
        <v>1</v>
      </c>
    </row>
    <row r="649" spans="1:15">
      <c r="A649" s="43" t="s">
        <v>514</v>
      </c>
      <c r="B649" s="40">
        <v>566</v>
      </c>
      <c r="C649" s="40">
        <v>12</v>
      </c>
      <c r="D649" s="40"/>
      <c r="E649" s="40"/>
      <c r="F649" s="40"/>
      <c r="G649" s="40">
        <v>10012</v>
      </c>
      <c r="H649" s="40"/>
      <c r="I649" s="40"/>
      <c r="J649" s="40"/>
      <c r="K649" s="40"/>
      <c r="L649" s="40"/>
      <c r="M649" s="41">
        <v>111312</v>
      </c>
      <c r="N649" s="1" t="str">
        <f>IFERROR(INDEX([1]物品基础表!$A:$A,MATCH(M649,[1]物品基础表!$B:$B,0)),"")</f>
        <v>橙色战士110级头盔</v>
      </c>
      <c r="O649" s="41">
        <v>1</v>
      </c>
    </row>
    <row r="650" spans="1:15">
      <c r="A650" s="43" t="s">
        <v>514</v>
      </c>
      <c r="B650" s="40">
        <v>566</v>
      </c>
      <c r="C650" s="40">
        <v>13</v>
      </c>
      <c r="D650" s="40"/>
      <c r="E650" s="40"/>
      <c r="F650" s="40"/>
      <c r="G650" s="40">
        <v>10012</v>
      </c>
      <c r="H650" s="40"/>
      <c r="I650" s="40"/>
      <c r="J650" s="40"/>
      <c r="K650" s="40"/>
      <c r="L650" s="40"/>
      <c r="M650" s="41">
        <v>131312</v>
      </c>
      <c r="N650" s="1" t="str">
        <f>IFERROR(INDEX([1]物品基础表!$A:$A,MATCH(M650,[1]物品基础表!$B:$B,0)),"")</f>
        <v>橙色战士110级项链</v>
      </c>
      <c r="O650" s="41">
        <v>1</v>
      </c>
    </row>
    <row r="651" spans="1:15">
      <c r="A651" s="43" t="s">
        <v>514</v>
      </c>
      <c r="B651" s="40">
        <v>566</v>
      </c>
      <c r="C651" s="40">
        <v>14</v>
      </c>
      <c r="D651" s="40"/>
      <c r="E651" s="40"/>
      <c r="F651" s="40"/>
      <c r="G651" s="40">
        <v>10012</v>
      </c>
      <c r="H651" s="40"/>
      <c r="I651" s="40"/>
      <c r="J651" s="40"/>
      <c r="K651" s="40"/>
      <c r="L651" s="40"/>
      <c r="M651" s="41">
        <v>151312</v>
      </c>
      <c r="N651" s="1" t="str">
        <f>IFERROR(INDEX([1]物品基础表!$A:$A,MATCH(M651,[1]物品基础表!$B:$B,0)),"")</f>
        <v>橙色战士110级腰带</v>
      </c>
      <c r="O651" s="41">
        <v>1</v>
      </c>
    </row>
    <row r="652" spans="1:15">
      <c r="A652" s="43" t="s">
        <v>514</v>
      </c>
      <c r="B652" s="40">
        <v>566</v>
      </c>
      <c r="C652" s="40">
        <v>15</v>
      </c>
      <c r="D652" s="40"/>
      <c r="E652" s="40"/>
      <c r="F652" s="40"/>
      <c r="G652" s="40">
        <v>10012</v>
      </c>
      <c r="H652" s="40"/>
      <c r="I652" s="40"/>
      <c r="J652" s="40"/>
      <c r="K652" s="40"/>
      <c r="L652" s="40"/>
      <c r="M652" s="41">
        <v>171312</v>
      </c>
      <c r="N652" s="1" t="str">
        <f>IFERROR(INDEX([1]物品基础表!$A:$A,MATCH(M652,[1]物品基础表!$B:$B,0)),"")</f>
        <v>橙色战士110级鞋子</v>
      </c>
      <c r="O652" s="41">
        <v>1</v>
      </c>
    </row>
    <row r="653" spans="1:15">
      <c r="A653" s="43" t="s">
        <v>514</v>
      </c>
      <c r="B653" s="40">
        <v>566</v>
      </c>
      <c r="C653" s="40">
        <v>16</v>
      </c>
      <c r="D653" s="40"/>
      <c r="E653" s="40"/>
      <c r="F653" s="40"/>
      <c r="G653" s="40">
        <v>25032</v>
      </c>
      <c r="H653" s="40"/>
      <c r="I653" s="40"/>
      <c r="J653" s="40"/>
      <c r="K653" s="40"/>
      <c r="L653" s="40"/>
      <c r="M653" s="41">
        <v>102312</v>
      </c>
      <c r="N653" s="1" t="str">
        <f>IFERROR(INDEX([1]物品基础表!$A:$A,MATCH(M653,[1]物品基础表!$B:$B,0)),"")</f>
        <v>橙色法师110级武器</v>
      </c>
      <c r="O653" s="41">
        <v>1</v>
      </c>
    </row>
    <row r="654" spans="1:15">
      <c r="A654" s="43" t="s">
        <v>514</v>
      </c>
      <c r="B654" s="40">
        <v>566</v>
      </c>
      <c r="C654" s="40">
        <v>17</v>
      </c>
      <c r="D654" s="40"/>
      <c r="E654" s="40"/>
      <c r="F654" s="40"/>
      <c r="G654" s="40">
        <v>18022</v>
      </c>
      <c r="H654" s="40"/>
      <c r="I654" s="40"/>
      <c r="J654" s="40"/>
      <c r="K654" s="40"/>
      <c r="L654" s="40"/>
      <c r="M654" s="41">
        <v>122312</v>
      </c>
      <c r="N654" s="1" t="str">
        <f>IFERROR(INDEX([1]物品基础表!$A:$A,MATCH(M654,[1]物品基础表!$B:$B,0)),"")</f>
        <v>橙色法师110级衣服</v>
      </c>
      <c r="O654" s="41">
        <v>1</v>
      </c>
    </row>
    <row r="655" spans="1:15">
      <c r="A655" s="43" t="s">
        <v>514</v>
      </c>
      <c r="B655" s="40">
        <v>566</v>
      </c>
      <c r="C655" s="40">
        <v>18</v>
      </c>
      <c r="D655" s="40"/>
      <c r="E655" s="40"/>
      <c r="F655" s="40"/>
      <c r="G655" s="40">
        <v>10012</v>
      </c>
      <c r="H655" s="40"/>
      <c r="I655" s="40"/>
      <c r="J655" s="40"/>
      <c r="K655" s="40"/>
      <c r="L655" s="40"/>
      <c r="M655" s="41">
        <v>142312</v>
      </c>
      <c r="N655" s="1" t="str">
        <f>IFERROR(INDEX([1]物品基础表!$A:$A,MATCH(M655,[1]物品基础表!$B:$B,0)),"")</f>
        <v>橙色法师110级手镯</v>
      </c>
      <c r="O655" s="41">
        <v>1</v>
      </c>
    </row>
    <row r="656" spans="1:15">
      <c r="A656" s="43" t="s">
        <v>514</v>
      </c>
      <c r="B656" s="40">
        <v>566</v>
      </c>
      <c r="C656" s="40">
        <v>19</v>
      </c>
      <c r="D656" s="40"/>
      <c r="E656" s="40"/>
      <c r="F656" s="40"/>
      <c r="G656" s="40">
        <v>10012</v>
      </c>
      <c r="H656" s="40"/>
      <c r="I656" s="40"/>
      <c r="J656" s="40"/>
      <c r="K656" s="40"/>
      <c r="L656" s="40"/>
      <c r="M656" s="41">
        <v>162312</v>
      </c>
      <c r="N656" s="1" t="str">
        <f>IFERROR(INDEX([1]物品基础表!$A:$A,MATCH(M656,[1]物品基础表!$B:$B,0)),"")</f>
        <v>橙色法师110级戒指</v>
      </c>
      <c r="O656" s="41">
        <v>1</v>
      </c>
    </row>
    <row r="657" spans="1:15">
      <c r="A657" s="43" t="s">
        <v>514</v>
      </c>
      <c r="B657" s="40">
        <v>566</v>
      </c>
      <c r="C657" s="40">
        <v>20</v>
      </c>
      <c r="D657" s="40"/>
      <c r="E657" s="40"/>
      <c r="F657" s="40"/>
      <c r="G657" s="40">
        <v>10012</v>
      </c>
      <c r="H657" s="40"/>
      <c r="I657" s="40"/>
      <c r="J657" s="40"/>
      <c r="K657" s="40"/>
      <c r="L657" s="40"/>
      <c r="M657" s="41">
        <v>112312</v>
      </c>
      <c r="N657" s="1" t="str">
        <f>IFERROR(INDEX([1]物品基础表!$A:$A,MATCH(M657,[1]物品基础表!$B:$B,0)),"")</f>
        <v>橙色法师110级头盔</v>
      </c>
      <c r="O657" s="41">
        <v>1</v>
      </c>
    </row>
    <row r="658" spans="1:15">
      <c r="A658" s="43" t="s">
        <v>514</v>
      </c>
      <c r="B658" s="40">
        <v>566</v>
      </c>
      <c r="C658" s="40">
        <v>21</v>
      </c>
      <c r="D658" s="40"/>
      <c r="E658" s="40"/>
      <c r="F658" s="40"/>
      <c r="G658" s="40">
        <v>10012</v>
      </c>
      <c r="H658" s="40"/>
      <c r="I658" s="40"/>
      <c r="J658" s="40"/>
      <c r="K658" s="40"/>
      <c r="L658" s="40"/>
      <c r="M658" s="41">
        <v>132312</v>
      </c>
      <c r="N658" s="1" t="str">
        <f>IFERROR(INDEX([1]物品基础表!$A:$A,MATCH(M658,[1]物品基础表!$B:$B,0)),"")</f>
        <v>橙色法师110级项链</v>
      </c>
      <c r="O658" s="41">
        <v>1</v>
      </c>
    </row>
    <row r="659" spans="1:15">
      <c r="A659" s="43" t="s">
        <v>514</v>
      </c>
      <c r="B659" s="40">
        <v>566</v>
      </c>
      <c r="C659" s="40">
        <v>22</v>
      </c>
      <c r="D659" s="40"/>
      <c r="E659" s="40"/>
      <c r="F659" s="40"/>
      <c r="G659" s="40">
        <v>10012</v>
      </c>
      <c r="H659" s="40"/>
      <c r="I659" s="40"/>
      <c r="J659" s="40"/>
      <c r="K659" s="40"/>
      <c r="L659" s="40"/>
      <c r="M659" s="41">
        <v>152312</v>
      </c>
      <c r="N659" s="1" t="str">
        <f>IFERROR(INDEX([1]物品基础表!$A:$A,MATCH(M659,[1]物品基础表!$B:$B,0)),"")</f>
        <v>橙色法师110级腰带</v>
      </c>
      <c r="O659" s="41">
        <v>1</v>
      </c>
    </row>
    <row r="660" spans="1:15">
      <c r="A660" s="43" t="s">
        <v>514</v>
      </c>
      <c r="B660" s="40">
        <v>566</v>
      </c>
      <c r="C660" s="40">
        <v>23</v>
      </c>
      <c r="D660" s="40"/>
      <c r="E660" s="40"/>
      <c r="F660" s="40"/>
      <c r="G660" s="40">
        <v>10012</v>
      </c>
      <c r="H660" s="40"/>
      <c r="I660" s="40"/>
      <c r="J660" s="40"/>
      <c r="K660" s="40"/>
      <c r="L660" s="40"/>
      <c r="M660" s="41">
        <v>172312</v>
      </c>
      <c r="N660" s="1" t="str">
        <f>IFERROR(INDEX([1]物品基础表!$A:$A,MATCH(M660,[1]物品基础表!$B:$B,0)),"")</f>
        <v>橙色法师110级鞋子</v>
      </c>
      <c r="O660" s="41">
        <v>1</v>
      </c>
    </row>
    <row r="661" spans="1:15">
      <c r="A661" s="43" t="s">
        <v>514</v>
      </c>
      <c r="B661" s="40">
        <v>566</v>
      </c>
      <c r="C661" s="40">
        <v>24</v>
      </c>
      <c r="D661" s="40"/>
      <c r="E661" s="40"/>
      <c r="F661" s="40"/>
      <c r="G661" s="40">
        <v>25032</v>
      </c>
      <c r="H661" s="40"/>
      <c r="I661" s="40"/>
      <c r="J661" s="40"/>
      <c r="K661" s="40"/>
      <c r="L661" s="40"/>
      <c r="M661" s="41">
        <v>103312</v>
      </c>
      <c r="N661" s="1" t="str">
        <f>IFERROR(INDEX([1]物品基础表!$A:$A,MATCH(M661,[1]物品基础表!$B:$B,0)),"")</f>
        <v>橙色道士110级武器</v>
      </c>
      <c r="O661" s="41">
        <v>1</v>
      </c>
    </row>
    <row r="662" spans="1:15">
      <c r="A662" s="43" t="s">
        <v>514</v>
      </c>
      <c r="B662" s="40">
        <v>566</v>
      </c>
      <c r="C662" s="40">
        <v>25</v>
      </c>
      <c r="D662" s="40"/>
      <c r="E662" s="40"/>
      <c r="F662" s="40"/>
      <c r="G662" s="40">
        <v>18022</v>
      </c>
      <c r="H662" s="40"/>
      <c r="I662" s="40"/>
      <c r="J662" s="40"/>
      <c r="K662" s="40"/>
      <c r="L662" s="40"/>
      <c r="M662" s="41">
        <v>123312</v>
      </c>
      <c r="N662" s="1" t="str">
        <f>IFERROR(INDEX([1]物品基础表!$A:$A,MATCH(M662,[1]物品基础表!$B:$B,0)),"")</f>
        <v>橙色道士110级衣服</v>
      </c>
      <c r="O662" s="41">
        <v>1</v>
      </c>
    </row>
    <row r="663" spans="1:15">
      <c r="A663" s="43" t="s">
        <v>514</v>
      </c>
      <c r="B663" s="40">
        <v>566</v>
      </c>
      <c r="C663" s="40">
        <v>26</v>
      </c>
      <c r="D663" s="40"/>
      <c r="E663" s="40"/>
      <c r="F663" s="40"/>
      <c r="G663" s="40">
        <v>10012</v>
      </c>
      <c r="H663" s="40"/>
      <c r="I663" s="40"/>
      <c r="J663" s="40"/>
      <c r="K663" s="40"/>
      <c r="L663" s="40"/>
      <c r="M663" s="41">
        <v>143312</v>
      </c>
      <c r="N663" s="1" t="str">
        <f>IFERROR(INDEX([1]物品基础表!$A:$A,MATCH(M663,[1]物品基础表!$B:$B,0)),"")</f>
        <v>橙色道士110级手镯</v>
      </c>
      <c r="O663" s="41">
        <v>1</v>
      </c>
    </row>
    <row r="664" spans="1:15">
      <c r="A664" s="43" t="s">
        <v>514</v>
      </c>
      <c r="B664" s="40">
        <v>566</v>
      </c>
      <c r="C664" s="40">
        <v>27</v>
      </c>
      <c r="D664" s="40"/>
      <c r="E664" s="40"/>
      <c r="F664" s="40"/>
      <c r="G664" s="40">
        <v>10012</v>
      </c>
      <c r="H664" s="40"/>
      <c r="I664" s="40"/>
      <c r="J664" s="40"/>
      <c r="K664" s="40"/>
      <c r="L664" s="40"/>
      <c r="M664" s="41">
        <v>163312</v>
      </c>
      <c r="N664" s="1" t="str">
        <f>IFERROR(INDEX([1]物品基础表!$A:$A,MATCH(M664,[1]物品基础表!$B:$B,0)),"")</f>
        <v>橙色道士110级戒指</v>
      </c>
      <c r="O664" s="41">
        <v>1</v>
      </c>
    </row>
    <row r="665" spans="1:15">
      <c r="A665" s="43" t="s">
        <v>514</v>
      </c>
      <c r="B665" s="40">
        <v>566</v>
      </c>
      <c r="C665" s="40">
        <v>28</v>
      </c>
      <c r="D665" s="40"/>
      <c r="E665" s="40"/>
      <c r="F665" s="40"/>
      <c r="G665" s="40">
        <v>10012</v>
      </c>
      <c r="H665" s="40"/>
      <c r="I665" s="40"/>
      <c r="J665" s="40"/>
      <c r="K665" s="40"/>
      <c r="L665" s="40"/>
      <c r="M665" s="41">
        <v>113312</v>
      </c>
      <c r="N665" s="1" t="str">
        <f>IFERROR(INDEX([1]物品基础表!$A:$A,MATCH(M665,[1]物品基础表!$B:$B,0)),"")</f>
        <v>橙色道士110级头盔</v>
      </c>
      <c r="O665" s="41">
        <v>1</v>
      </c>
    </row>
    <row r="666" spans="1:15">
      <c r="A666" s="43" t="s">
        <v>514</v>
      </c>
      <c r="B666" s="40">
        <v>566</v>
      </c>
      <c r="C666" s="40">
        <v>29</v>
      </c>
      <c r="D666" s="40"/>
      <c r="E666" s="40"/>
      <c r="F666" s="40"/>
      <c r="G666" s="40">
        <v>10012</v>
      </c>
      <c r="H666" s="40"/>
      <c r="I666" s="40"/>
      <c r="J666" s="40"/>
      <c r="K666" s="40"/>
      <c r="L666" s="40"/>
      <c r="M666" s="41">
        <v>133312</v>
      </c>
      <c r="N666" s="1" t="str">
        <f>IFERROR(INDEX([1]物品基础表!$A:$A,MATCH(M666,[1]物品基础表!$B:$B,0)),"")</f>
        <v>橙色道士110级项链</v>
      </c>
      <c r="O666" s="41">
        <v>1</v>
      </c>
    </row>
    <row r="667" spans="1:15">
      <c r="A667" s="43" t="s">
        <v>514</v>
      </c>
      <c r="B667" s="40">
        <v>566</v>
      </c>
      <c r="C667" s="40">
        <v>30</v>
      </c>
      <c r="D667" s="40"/>
      <c r="E667" s="40"/>
      <c r="F667" s="40"/>
      <c r="G667" s="40">
        <v>10012</v>
      </c>
      <c r="H667" s="40"/>
      <c r="I667" s="40"/>
      <c r="J667" s="40"/>
      <c r="K667" s="40"/>
      <c r="L667" s="40"/>
      <c r="M667" s="41">
        <v>153312</v>
      </c>
      <c r="N667" s="1" t="str">
        <f>IFERROR(INDEX([1]物品基础表!$A:$A,MATCH(M667,[1]物品基础表!$B:$B,0)),"")</f>
        <v>橙色道士110级腰带</v>
      </c>
      <c r="O667" s="41">
        <v>1</v>
      </c>
    </row>
    <row r="668" spans="1:15">
      <c r="A668" s="43" t="s">
        <v>514</v>
      </c>
      <c r="B668" s="40">
        <v>566</v>
      </c>
      <c r="C668" s="40">
        <v>31</v>
      </c>
      <c r="D668" s="40"/>
      <c r="E668" s="40"/>
      <c r="F668" s="40"/>
      <c r="G668" s="40">
        <v>10012</v>
      </c>
      <c r="H668" s="40"/>
      <c r="I668" s="40"/>
      <c r="J668" s="40"/>
      <c r="K668" s="40"/>
      <c r="L668" s="40"/>
      <c r="M668" s="41">
        <v>173312</v>
      </c>
      <c r="N668" s="1" t="str">
        <f>IFERROR(INDEX([1]物品基础表!$A:$A,MATCH(M668,[1]物品基础表!$B:$B,0)),"")</f>
        <v>橙色道士110级鞋子</v>
      </c>
      <c r="O668" s="41">
        <v>1</v>
      </c>
    </row>
    <row r="669" spans="1:15">
      <c r="A669" s="43" t="s">
        <v>514</v>
      </c>
      <c r="B669" s="40">
        <v>566</v>
      </c>
      <c r="C669" s="40">
        <v>32</v>
      </c>
      <c r="D669" s="40"/>
      <c r="E669" s="40"/>
      <c r="F669" s="40"/>
      <c r="G669" s="40">
        <v>35752</v>
      </c>
      <c r="H669" s="40"/>
      <c r="I669" s="40"/>
      <c r="J669" s="40"/>
      <c r="K669" s="40"/>
      <c r="L669" s="40"/>
      <c r="M669" s="41">
        <v>101313</v>
      </c>
      <c r="N669" s="1" t="str">
        <f>IFERROR(INDEX([1]物品基础表!$A:$A,MATCH(M669,[1]物品基础表!$B:$B,0)),"")</f>
        <v>橙色战士120级武器</v>
      </c>
      <c r="O669" s="41">
        <v>1</v>
      </c>
    </row>
    <row r="670" spans="1:15">
      <c r="A670" s="43" t="s">
        <v>514</v>
      </c>
      <c r="B670" s="40">
        <v>566</v>
      </c>
      <c r="C670" s="40">
        <v>33</v>
      </c>
      <c r="D670" s="40"/>
      <c r="E670" s="40"/>
      <c r="F670" s="40"/>
      <c r="G670" s="40">
        <v>25740</v>
      </c>
      <c r="H670" s="40"/>
      <c r="I670" s="40"/>
      <c r="J670" s="40"/>
      <c r="K670" s="40"/>
      <c r="L670" s="40"/>
      <c r="M670" s="41">
        <v>121313</v>
      </c>
      <c r="N670" s="1" t="str">
        <f>IFERROR(INDEX([1]物品基础表!$A:$A,MATCH(M670,[1]物品基础表!$B:$B,0)),"")</f>
        <v>橙色战士120级衣服</v>
      </c>
      <c r="O670" s="41">
        <v>1</v>
      </c>
    </row>
    <row r="671" spans="1:15">
      <c r="A671" s="43" t="s">
        <v>514</v>
      </c>
      <c r="B671" s="40">
        <v>566</v>
      </c>
      <c r="C671" s="40">
        <v>34</v>
      </c>
      <c r="D671" s="40"/>
      <c r="E671" s="40"/>
      <c r="F671" s="40"/>
      <c r="G671" s="40">
        <v>14300</v>
      </c>
      <c r="H671" s="40"/>
      <c r="I671" s="40"/>
      <c r="J671" s="40"/>
      <c r="K671" s="40"/>
      <c r="L671" s="40"/>
      <c r="M671" s="41">
        <v>141313</v>
      </c>
      <c r="N671" s="1" t="str">
        <f>IFERROR(INDEX([1]物品基础表!$A:$A,MATCH(M671,[1]物品基础表!$B:$B,0)),"")</f>
        <v>橙色战士120级手镯</v>
      </c>
      <c r="O671" s="41">
        <v>1</v>
      </c>
    </row>
    <row r="672" spans="1:15">
      <c r="A672" s="43" t="s">
        <v>514</v>
      </c>
      <c r="B672" s="40">
        <v>566</v>
      </c>
      <c r="C672" s="40">
        <v>35</v>
      </c>
      <c r="D672" s="40"/>
      <c r="E672" s="40"/>
      <c r="F672" s="40"/>
      <c r="G672" s="40">
        <v>14300</v>
      </c>
      <c r="H672" s="40"/>
      <c r="I672" s="40"/>
      <c r="J672" s="40"/>
      <c r="K672" s="40"/>
      <c r="L672" s="40"/>
      <c r="M672" s="41">
        <v>161313</v>
      </c>
      <c r="N672" s="1" t="str">
        <f>IFERROR(INDEX([1]物品基础表!$A:$A,MATCH(M672,[1]物品基础表!$B:$B,0)),"")</f>
        <v>橙色战士120级戒指</v>
      </c>
      <c r="O672" s="41">
        <v>1</v>
      </c>
    </row>
    <row r="673" spans="1:15">
      <c r="A673" s="43" t="s">
        <v>514</v>
      </c>
      <c r="B673" s="40">
        <v>566</v>
      </c>
      <c r="C673" s="40">
        <v>36</v>
      </c>
      <c r="D673" s="40"/>
      <c r="E673" s="40"/>
      <c r="F673" s="40"/>
      <c r="G673" s="40">
        <v>14300</v>
      </c>
      <c r="H673" s="40"/>
      <c r="I673" s="40"/>
      <c r="J673" s="40"/>
      <c r="K673" s="40"/>
      <c r="L673" s="40"/>
      <c r="M673" s="41">
        <v>111313</v>
      </c>
      <c r="N673" s="1" t="str">
        <f>IFERROR(INDEX([1]物品基础表!$A:$A,MATCH(M673,[1]物品基础表!$B:$B,0)),"")</f>
        <v>橙色战士120级头盔</v>
      </c>
      <c r="O673" s="41">
        <v>1</v>
      </c>
    </row>
    <row r="674" spans="1:15">
      <c r="A674" s="43" t="s">
        <v>514</v>
      </c>
      <c r="B674" s="40">
        <v>566</v>
      </c>
      <c r="C674" s="40">
        <v>37</v>
      </c>
      <c r="D674" s="40"/>
      <c r="E674" s="40"/>
      <c r="F674" s="40"/>
      <c r="G674" s="40">
        <v>14300</v>
      </c>
      <c r="H674" s="40"/>
      <c r="I674" s="40"/>
      <c r="J674" s="40"/>
      <c r="K674" s="40"/>
      <c r="L674" s="40"/>
      <c r="M674" s="41">
        <v>131313</v>
      </c>
      <c r="N674" s="1" t="str">
        <f>IFERROR(INDEX([1]物品基础表!$A:$A,MATCH(M674,[1]物品基础表!$B:$B,0)),"")</f>
        <v>橙色战士120级项链</v>
      </c>
      <c r="O674" s="41">
        <v>1</v>
      </c>
    </row>
    <row r="675" spans="1:15">
      <c r="A675" s="43" t="s">
        <v>514</v>
      </c>
      <c r="B675" s="40">
        <v>566</v>
      </c>
      <c r="C675" s="40">
        <v>38</v>
      </c>
      <c r="D675" s="40"/>
      <c r="E675" s="40"/>
      <c r="F675" s="40"/>
      <c r="G675" s="40">
        <v>14300</v>
      </c>
      <c r="H675" s="40"/>
      <c r="I675" s="40"/>
      <c r="J675" s="40"/>
      <c r="K675" s="40"/>
      <c r="L675" s="40"/>
      <c r="M675" s="41">
        <v>151313</v>
      </c>
      <c r="N675" s="1" t="str">
        <f>IFERROR(INDEX([1]物品基础表!$A:$A,MATCH(M675,[1]物品基础表!$B:$B,0)),"")</f>
        <v>橙色战士120级腰带</v>
      </c>
      <c r="O675" s="41">
        <v>1</v>
      </c>
    </row>
    <row r="676" spans="1:15">
      <c r="A676" s="43" t="s">
        <v>514</v>
      </c>
      <c r="B676" s="40">
        <v>566</v>
      </c>
      <c r="C676" s="40">
        <v>39</v>
      </c>
      <c r="D676" s="40"/>
      <c r="E676" s="40"/>
      <c r="F676" s="40"/>
      <c r="G676" s="40">
        <v>14300</v>
      </c>
      <c r="H676" s="40"/>
      <c r="I676" s="40"/>
      <c r="J676" s="40"/>
      <c r="K676" s="40"/>
      <c r="L676" s="40"/>
      <c r="M676" s="41">
        <v>171313</v>
      </c>
      <c r="N676" s="1" t="str">
        <f>IFERROR(INDEX([1]物品基础表!$A:$A,MATCH(M676,[1]物品基础表!$B:$B,0)),"")</f>
        <v>橙色战士120级鞋子</v>
      </c>
      <c r="O676" s="41">
        <v>1</v>
      </c>
    </row>
    <row r="677" spans="1:15">
      <c r="A677" s="43" t="s">
        <v>514</v>
      </c>
      <c r="B677" s="40">
        <v>566</v>
      </c>
      <c r="C677" s="40">
        <v>40</v>
      </c>
      <c r="D677" s="40"/>
      <c r="E677" s="40"/>
      <c r="F677" s="40"/>
      <c r="G677" s="40">
        <v>35752</v>
      </c>
      <c r="H677" s="40"/>
      <c r="I677" s="40"/>
      <c r="J677" s="40"/>
      <c r="K677" s="40"/>
      <c r="L677" s="40"/>
      <c r="M677" s="41">
        <v>102313</v>
      </c>
      <c r="N677" s="1" t="str">
        <f>IFERROR(INDEX([1]物品基础表!$A:$A,MATCH(M677,[1]物品基础表!$B:$B,0)),"")</f>
        <v>橙色法师120级武器</v>
      </c>
      <c r="O677" s="41">
        <v>1</v>
      </c>
    </row>
    <row r="678" spans="1:15">
      <c r="A678" s="43" t="s">
        <v>514</v>
      </c>
      <c r="B678" s="40">
        <v>566</v>
      </c>
      <c r="C678" s="40">
        <v>41</v>
      </c>
      <c r="D678" s="40"/>
      <c r="E678" s="40"/>
      <c r="F678" s="40"/>
      <c r="G678" s="40">
        <v>25740</v>
      </c>
      <c r="H678" s="40"/>
      <c r="I678" s="40"/>
      <c r="J678" s="40"/>
      <c r="K678" s="40"/>
      <c r="L678" s="40"/>
      <c r="M678" s="41">
        <v>122313</v>
      </c>
      <c r="N678" s="1" t="str">
        <f>IFERROR(INDEX([1]物品基础表!$A:$A,MATCH(M678,[1]物品基础表!$B:$B,0)),"")</f>
        <v>橙色法师120级衣服</v>
      </c>
      <c r="O678" s="41">
        <v>1</v>
      </c>
    </row>
    <row r="679" spans="1:15">
      <c r="A679" s="43" t="s">
        <v>514</v>
      </c>
      <c r="B679" s="40">
        <v>566</v>
      </c>
      <c r="C679" s="40">
        <v>42</v>
      </c>
      <c r="D679" s="40"/>
      <c r="E679" s="40"/>
      <c r="F679" s="40"/>
      <c r="G679" s="40">
        <v>14300</v>
      </c>
      <c r="H679" s="40"/>
      <c r="I679" s="40"/>
      <c r="J679" s="40"/>
      <c r="K679" s="40"/>
      <c r="L679" s="40"/>
      <c r="M679" s="41">
        <v>142313</v>
      </c>
      <c r="N679" s="1" t="str">
        <f>IFERROR(INDEX([1]物品基础表!$A:$A,MATCH(M679,[1]物品基础表!$B:$B,0)),"")</f>
        <v>橙色法师120级手镯</v>
      </c>
      <c r="O679" s="41">
        <v>1</v>
      </c>
    </row>
    <row r="680" spans="1:15">
      <c r="A680" s="43" t="s">
        <v>514</v>
      </c>
      <c r="B680" s="40">
        <v>566</v>
      </c>
      <c r="C680" s="40">
        <v>43</v>
      </c>
      <c r="D680" s="40"/>
      <c r="E680" s="40"/>
      <c r="F680" s="40"/>
      <c r="G680" s="40">
        <v>14300</v>
      </c>
      <c r="H680" s="40"/>
      <c r="I680" s="40"/>
      <c r="J680" s="40"/>
      <c r="K680" s="40"/>
      <c r="L680" s="40"/>
      <c r="M680" s="41">
        <v>162313</v>
      </c>
      <c r="N680" s="1" t="str">
        <f>IFERROR(INDEX([1]物品基础表!$A:$A,MATCH(M680,[1]物品基础表!$B:$B,0)),"")</f>
        <v>橙色法师120级戒指</v>
      </c>
      <c r="O680" s="41">
        <v>1</v>
      </c>
    </row>
    <row r="681" spans="1:15">
      <c r="A681" s="43" t="s">
        <v>514</v>
      </c>
      <c r="B681" s="40">
        <v>566</v>
      </c>
      <c r="C681" s="40">
        <v>44</v>
      </c>
      <c r="D681" s="40"/>
      <c r="E681" s="40"/>
      <c r="F681" s="40"/>
      <c r="G681" s="40">
        <v>14300</v>
      </c>
      <c r="H681" s="40"/>
      <c r="I681" s="40"/>
      <c r="J681" s="40"/>
      <c r="K681" s="40"/>
      <c r="L681" s="40"/>
      <c r="M681" s="41">
        <v>112313</v>
      </c>
      <c r="N681" s="1" t="str">
        <f>IFERROR(INDEX([1]物品基础表!$A:$A,MATCH(M681,[1]物品基础表!$B:$B,0)),"")</f>
        <v>橙色法师120级头盔</v>
      </c>
      <c r="O681" s="41">
        <v>1</v>
      </c>
    </row>
    <row r="682" spans="1:15">
      <c r="A682" s="43" t="s">
        <v>514</v>
      </c>
      <c r="B682" s="40">
        <v>566</v>
      </c>
      <c r="C682" s="40">
        <v>45</v>
      </c>
      <c r="D682" s="40"/>
      <c r="E682" s="40"/>
      <c r="F682" s="40"/>
      <c r="G682" s="40">
        <v>14300</v>
      </c>
      <c r="H682" s="40"/>
      <c r="I682" s="40"/>
      <c r="J682" s="40"/>
      <c r="K682" s="40"/>
      <c r="L682" s="40"/>
      <c r="M682" s="41">
        <v>132313</v>
      </c>
      <c r="N682" s="1" t="str">
        <f>IFERROR(INDEX([1]物品基础表!$A:$A,MATCH(M682,[1]物品基础表!$B:$B,0)),"")</f>
        <v>橙色法师120级项链</v>
      </c>
      <c r="O682" s="41">
        <v>1</v>
      </c>
    </row>
    <row r="683" spans="1:15">
      <c r="A683" s="43" t="s">
        <v>514</v>
      </c>
      <c r="B683" s="40">
        <v>566</v>
      </c>
      <c r="C683" s="40">
        <v>46</v>
      </c>
      <c r="D683" s="40"/>
      <c r="E683" s="40"/>
      <c r="F683" s="40"/>
      <c r="G683" s="40">
        <v>14300</v>
      </c>
      <c r="H683" s="40"/>
      <c r="I683" s="40"/>
      <c r="J683" s="40"/>
      <c r="K683" s="40"/>
      <c r="L683" s="40"/>
      <c r="M683" s="41">
        <v>152313</v>
      </c>
      <c r="N683" s="1" t="str">
        <f>IFERROR(INDEX([1]物品基础表!$A:$A,MATCH(M683,[1]物品基础表!$B:$B,0)),"")</f>
        <v>橙色法师120级腰带</v>
      </c>
      <c r="O683" s="41">
        <v>1</v>
      </c>
    </row>
    <row r="684" spans="1:15">
      <c r="A684" s="43" t="s">
        <v>514</v>
      </c>
      <c r="B684" s="40">
        <v>566</v>
      </c>
      <c r="C684" s="40">
        <v>47</v>
      </c>
      <c r="D684" s="40"/>
      <c r="E684" s="40"/>
      <c r="F684" s="40"/>
      <c r="G684" s="40">
        <v>14300</v>
      </c>
      <c r="H684" s="40"/>
      <c r="I684" s="40"/>
      <c r="J684" s="40"/>
      <c r="K684" s="40"/>
      <c r="L684" s="40"/>
      <c r="M684" s="41">
        <v>172313</v>
      </c>
      <c r="N684" s="1" t="str">
        <f>IFERROR(INDEX([1]物品基础表!$A:$A,MATCH(M684,[1]物品基础表!$B:$B,0)),"")</f>
        <v>橙色法师120级鞋子</v>
      </c>
      <c r="O684" s="41">
        <v>1</v>
      </c>
    </row>
    <row r="685" spans="1:15">
      <c r="A685" s="43" t="s">
        <v>514</v>
      </c>
      <c r="B685" s="40">
        <v>566</v>
      </c>
      <c r="C685" s="40">
        <v>48</v>
      </c>
      <c r="D685" s="40"/>
      <c r="E685" s="40"/>
      <c r="F685" s="40"/>
      <c r="G685" s="40">
        <v>35752</v>
      </c>
      <c r="H685" s="40"/>
      <c r="I685" s="40"/>
      <c r="J685" s="40"/>
      <c r="K685" s="40"/>
      <c r="L685" s="40"/>
      <c r="M685" s="41">
        <v>103313</v>
      </c>
      <c r="N685" s="1" t="str">
        <f>IFERROR(INDEX([1]物品基础表!$A:$A,MATCH(M685,[1]物品基础表!$B:$B,0)),"")</f>
        <v>橙色道士120级武器</v>
      </c>
      <c r="O685" s="41">
        <v>1</v>
      </c>
    </row>
    <row r="686" spans="1:15">
      <c r="A686" s="43" t="s">
        <v>514</v>
      </c>
      <c r="B686" s="40">
        <v>566</v>
      </c>
      <c r="C686" s="40">
        <v>49</v>
      </c>
      <c r="D686" s="40"/>
      <c r="E686" s="40"/>
      <c r="F686" s="40"/>
      <c r="G686" s="40">
        <v>25740</v>
      </c>
      <c r="H686" s="40"/>
      <c r="I686" s="40"/>
      <c r="J686" s="40"/>
      <c r="K686" s="40"/>
      <c r="L686" s="40"/>
      <c r="M686" s="41">
        <v>123313</v>
      </c>
      <c r="N686" s="1" t="str">
        <f>IFERROR(INDEX([1]物品基础表!$A:$A,MATCH(M686,[1]物品基础表!$B:$B,0)),"")</f>
        <v>橙色道士120级衣服</v>
      </c>
      <c r="O686" s="41">
        <v>1</v>
      </c>
    </row>
    <row r="687" spans="1:15">
      <c r="A687" s="43" t="s">
        <v>514</v>
      </c>
      <c r="B687" s="40">
        <v>566</v>
      </c>
      <c r="C687" s="40">
        <v>50</v>
      </c>
      <c r="D687" s="40"/>
      <c r="E687" s="40"/>
      <c r="F687" s="40"/>
      <c r="G687" s="40">
        <v>14300</v>
      </c>
      <c r="H687" s="40"/>
      <c r="I687" s="40"/>
      <c r="J687" s="40"/>
      <c r="K687" s="40"/>
      <c r="L687" s="40"/>
      <c r="M687" s="41">
        <v>143313</v>
      </c>
      <c r="N687" s="1" t="str">
        <f>IFERROR(INDEX([1]物品基础表!$A:$A,MATCH(M687,[1]物品基础表!$B:$B,0)),"")</f>
        <v>橙色道士120级手镯</v>
      </c>
      <c r="O687" s="41">
        <v>1</v>
      </c>
    </row>
    <row r="688" spans="1:15">
      <c r="A688" s="43" t="s">
        <v>514</v>
      </c>
      <c r="B688" s="40">
        <v>566</v>
      </c>
      <c r="C688" s="40">
        <v>51</v>
      </c>
      <c r="D688" s="40"/>
      <c r="E688" s="40"/>
      <c r="F688" s="40"/>
      <c r="G688" s="40">
        <v>14300</v>
      </c>
      <c r="H688" s="40"/>
      <c r="I688" s="40"/>
      <c r="J688" s="40"/>
      <c r="K688" s="40"/>
      <c r="L688" s="40"/>
      <c r="M688" s="41">
        <v>163313</v>
      </c>
      <c r="N688" s="1" t="str">
        <f>IFERROR(INDEX([1]物品基础表!$A:$A,MATCH(M688,[1]物品基础表!$B:$B,0)),"")</f>
        <v>橙色道士120级戒指</v>
      </c>
      <c r="O688" s="41">
        <v>1</v>
      </c>
    </row>
    <row r="689" spans="1:15">
      <c r="A689" s="43" t="s">
        <v>514</v>
      </c>
      <c r="B689" s="40">
        <v>566</v>
      </c>
      <c r="C689" s="40">
        <v>52</v>
      </c>
      <c r="D689" s="40"/>
      <c r="E689" s="40"/>
      <c r="F689" s="40"/>
      <c r="G689" s="40">
        <v>14300</v>
      </c>
      <c r="H689" s="40"/>
      <c r="I689" s="40"/>
      <c r="J689" s="40"/>
      <c r="K689" s="40"/>
      <c r="L689" s="40"/>
      <c r="M689" s="41">
        <v>113313</v>
      </c>
      <c r="N689" s="1" t="str">
        <f>IFERROR(INDEX([1]物品基础表!$A:$A,MATCH(M689,[1]物品基础表!$B:$B,0)),"")</f>
        <v>橙色道士120级头盔</v>
      </c>
      <c r="O689" s="41">
        <v>1</v>
      </c>
    </row>
    <row r="690" spans="1:15">
      <c r="A690" s="43" t="s">
        <v>514</v>
      </c>
      <c r="B690" s="40">
        <v>566</v>
      </c>
      <c r="C690" s="40">
        <v>53</v>
      </c>
      <c r="D690" s="40"/>
      <c r="E690" s="40"/>
      <c r="F690" s="40"/>
      <c r="G690" s="40">
        <v>14300</v>
      </c>
      <c r="H690" s="40"/>
      <c r="I690" s="40"/>
      <c r="J690" s="40"/>
      <c r="K690" s="40"/>
      <c r="L690" s="40"/>
      <c r="M690" s="41">
        <v>133313</v>
      </c>
      <c r="N690" s="1" t="str">
        <f>IFERROR(INDEX([1]物品基础表!$A:$A,MATCH(M690,[1]物品基础表!$B:$B,0)),"")</f>
        <v>橙色道士120级项链</v>
      </c>
      <c r="O690" s="41">
        <v>1</v>
      </c>
    </row>
    <row r="691" spans="1:15">
      <c r="A691" s="43" t="s">
        <v>514</v>
      </c>
      <c r="B691" s="40">
        <v>566</v>
      </c>
      <c r="C691" s="40">
        <v>54</v>
      </c>
      <c r="D691" s="40"/>
      <c r="E691" s="40"/>
      <c r="F691" s="40"/>
      <c r="G691" s="40">
        <v>14300</v>
      </c>
      <c r="H691" s="40"/>
      <c r="I691" s="40"/>
      <c r="J691" s="40"/>
      <c r="K691" s="40"/>
      <c r="L691" s="40"/>
      <c r="M691" s="41">
        <v>153313</v>
      </c>
      <c r="N691" s="1" t="str">
        <f>IFERROR(INDEX([1]物品基础表!$A:$A,MATCH(M691,[1]物品基础表!$B:$B,0)),"")</f>
        <v>橙色道士120级腰带</v>
      </c>
      <c r="O691" s="41">
        <v>1</v>
      </c>
    </row>
    <row r="692" spans="1:15">
      <c r="A692" s="43" t="s">
        <v>514</v>
      </c>
      <c r="B692" s="40">
        <v>566</v>
      </c>
      <c r="C692" s="40">
        <v>55</v>
      </c>
      <c r="D692" s="40"/>
      <c r="E692" s="40"/>
      <c r="F692" s="40"/>
      <c r="G692" s="40">
        <v>14300</v>
      </c>
      <c r="H692" s="40"/>
      <c r="I692" s="40"/>
      <c r="J692" s="40"/>
      <c r="K692" s="40"/>
      <c r="L692" s="40"/>
      <c r="M692" s="41">
        <v>173313</v>
      </c>
      <c r="N692" s="1" t="str">
        <f>IFERROR(INDEX([1]物品基础表!$A:$A,MATCH(M692,[1]物品基础表!$B:$B,0)),"")</f>
        <v>橙色道士120级鞋子</v>
      </c>
      <c r="O692" s="41">
        <v>1</v>
      </c>
    </row>
    <row r="693" spans="1:15">
      <c r="A693" s="43" t="s">
        <v>514</v>
      </c>
      <c r="B693" s="40">
        <v>566</v>
      </c>
      <c r="C693" s="40">
        <v>56</v>
      </c>
      <c r="D693" s="40"/>
      <c r="E693" s="40"/>
      <c r="F693" s="40"/>
      <c r="G693" s="40">
        <v>49800</v>
      </c>
      <c r="H693" s="40"/>
      <c r="I693" s="40"/>
      <c r="J693" s="40"/>
      <c r="K693" s="40"/>
      <c r="L693" s="40"/>
      <c r="M693" s="41">
        <v>101314</v>
      </c>
      <c r="N693" s="1" t="str">
        <f>IFERROR(INDEX([1]物品基础表!$A:$A,MATCH(M693,[1]物品基础表!$B:$B,0)),"")</f>
        <v>橙色战士130级武器</v>
      </c>
      <c r="O693" s="41">
        <v>1</v>
      </c>
    </row>
    <row r="694" spans="1:15">
      <c r="A694" s="43" t="s">
        <v>514</v>
      </c>
      <c r="B694" s="40">
        <v>566</v>
      </c>
      <c r="C694" s="40">
        <v>57</v>
      </c>
      <c r="D694" s="40"/>
      <c r="E694" s="40"/>
      <c r="F694" s="40"/>
      <c r="G694" s="40">
        <v>35856</v>
      </c>
      <c r="H694" s="40"/>
      <c r="I694" s="40"/>
      <c r="J694" s="40"/>
      <c r="K694" s="40"/>
      <c r="L694" s="40"/>
      <c r="M694" s="41">
        <v>121314</v>
      </c>
      <c r="N694" s="1" t="str">
        <f>IFERROR(INDEX([1]物品基础表!$A:$A,MATCH(M694,[1]物品基础表!$B:$B,0)),"")</f>
        <v>橙色战士130级衣服</v>
      </c>
      <c r="O694" s="41">
        <v>1</v>
      </c>
    </row>
    <row r="695" spans="1:15">
      <c r="A695" s="43" t="s">
        <v>514</v>
      </c>
      <c r="B695" s="40">
        <v>566</v>
      </c>
      <c r="C695" s="40">
        <v>58</v>
      </c>
      <c r="D695" s="40"/>
      <c r="E695" s="40"/>
      <c r="F695" s="40"/>
      <c r="G695" s="40">
        <v>19920</v>
      </c>
      <c r="H695" s="40"/>
      <c r="I695" s="40"/>
      <c r="J695" s="40"/>
      <c r="K695" s="40"/>
      <c r="L695" s="40"/>
      <c r="M695" s="41">
        <v>141314</v>
      </c>
      <c r="N695" s="1" t="str">
        <f>IFERROR(INDEX([1]物品基础表!$A:$A,MATCH(M695,[1]物品基础表!$B:$B,0)),"")</f>
        <v>橙色战士130级手镯</v>
      </c>
      <c r="O695" s="41">
        <v>1</v>
      </c>
    </row>
    <row r="696" spans="1:15">
      <c r="A696" s="43" t="s">
        <v>514</v>
      </c>
      <c r="B696" s="40">
        <v>566</v>
      </c>
      <c r="C696" s="40">
        <v>59</v>
      </c>
      <c r="D696" s="40"/>
      <c r="E696" s="40"/>
      <c r="F696" s="40"/>
      <c r="G696" s="40">
        <v>19920</v>
      </c>
      <c r="H696" s="40"/>
      <c r="I696" s="40"/>
      <c r="J696" s="40"/>
      <c r="K696" s="40"/>
      <c r="L696" s="40"/>
      <c r="M696" s="41">
        <v>161314</v>
      </c>
      <c r="N696" s="1" t="str">
        <f>IFERROR(INDEX([1]物品基础表!$A:$A,MATCH(M696,[1]物品基础表!$B:$B,0)),"")</f>
        <v>橙色战士130级戒指</v>
      </c>
      <c r="O696" s="41">
        <v>1</v>
      </c>
    </row>
    <row r="697" spans="1:15">
      <c r="A697" s="43" t="s">
        <v>514</v>
      </c>
      <c r="B697" s="40">
        <v>566</v>
      </c>
      <c r="C697" s="40">
        <v>60</v>
      </c>
      <c r="D697" s="40"/>
      <c r="E697" s="40"/>
      <c r="F697" s="40"/>
      <c r="G697" s="40">
        <v>19920</v>
      </c>
      <c r="H697" s="40"/>
      <c r="I697" s="40"/>
      <c r="J697" s="40"/>
      <c r="K697" s="40"/>
      <c r="L697" s="40"/>
      <c r="M697" s="41">
        <v>111314</v>
      </c>
      <c r="N697" s="1" t="str">
        <f>IFERROR(INDEX([1]物品基础表!$A:$A,MATCH(M697,[1]物品基础表!$B:$B,0)),"")</f>
        <v>橙色战士130级头盔</v>
      </c>
      <c r="O697" s="41">
        <v>1</v>
      </c>
    </row>
    <row r="698" spans="1:15">
      <c r="A698" s="43" t="s">
        <v>514</v>
      </c>
      <c r="B698" s="40">
        <v>566</v>
      </c>
      <c r="C698" s="40">
        <v>61</v>
      </c>
      <c r="D698" s="40"/>
      <c r="E698" s="40"/>
      <c r="F698" s="40"/>
      <c r="G698" s="40">
        <v>19920</v>
      </c>
      <c r="H698" s="40"/>
      <c r="I698" s="40"/>
      <c r="J698" s="40"/>
      <c r="K698" s="40"/>
      <c r="L698" s="40"/>
      <c r="M698" s="41">
        <v>131314</v>
      </c>
      <c r="N698" s="1" t="str">
        <f>IFERROR(INDEX([1]物品基础表!$A:$A,MATCH(M698,[1]物品基础表!$B:$B,0)),"")</f>
        <v>橙色战士130级项链</v>
      </c>
      <c r="O698" s="41">
        <v>1</v>
      </c>
    </row>
    <row r="699" spans="1:15">
      <c r="A699" s="43" t="s">
        <v>514</v>
      </c>
      <c r="B699" s="40">
        <v>566</v>
      </c>
      <c r="C699" s="40">
        <v>62</v>
      </c>
      <c r="D699" s="40"/>
      <c r="E699" s="40"/>
      <c r="F699" s="40"/>
      <c r="G699" s="40">
        <v>19920</v>
      </c>
      <c r="H699" s="40"/>
      <c r="I699" s="40"/>
      <c r="J699" s="40"/>
      <c r="K699" s="40"/>
      <c r="L699" s="40"/>
      <c r="M699" s="41">
        <v>151314</v>
      </c>
      <c r="N699" s="1" t="str">
        <f>IFERROR(INDEX([1]物品基础表!$A:$A,MATCH(M699,[1]物品基础表!$B:$B,0)),"")</f>
        <v>橙色战士130级腰带</v>
      </c>
      <c r="O699" s="41">
        <v>1</v>
      </c>
    </row>
    <row r="700" spans="1:15">
      <c r="A700" s="43" t="s">
        <v>514</v>
      </c>
      <c r="B700" s="40">
        <v>566</v>
      </c>
      <c r="C700" s="40">
        <v>63</v>
      </c>
      <c r="D700" s="40"/>
      <c r="E700" s="40"/>
      <c r="F700" s="40"/>
      <c r="G700" s="40">
        <v>19920</v>
      </c>
      <c r="H700" s="40"/>
      <c r="I700" s="40"/>
      <c r="J700" s="40"/>
      <c r="K700" s="40"/>
      <c r="L700" s="40"/>
      <c r="M700" s="41">
        <v>171314</v>
      </c>
      <c r="N700" s="1" t="str">
        <f>IFERROR(INDEX([1]物品基础表!$A:$A,MATCH(M700,[1]物品基础表!$B:$B,0)),"")</f>
        <v>橙色战士130级鞋子</v>
      </c>
      <c r="O700" s="41">
        <v>1</v>
      </c>
    </row>
    <row r="701" spans="1:15">
      <c r="A701" s="43" t="s">
        <v>514</v>
      </c>
      <c r="B701" s="40">
        <v>566</v>
      </c>
      <c r="C701" s="40">
        <v>64</v>
      </c>
      <c r="D701" s="40"/>
      <c r="E701" s="40"/>
      <c r="F701" s="40"/>
      <c r="G701" s="40">
        <v>49800</v>
      </c>
      <c r="H701" s="40"/>
      <c r="I701" s="40"/>
      <c r="J701" s="40"/>
      <c r="K701" s="40"/>
      <c r="L701" s="40"/>
      <c r="M701" s="41">
        <v>102314</v>
      </c>
      <c r="N701" s="1" t="str">
        <f>IFERROR(INDEX([1]物品基础表!$A:$A,MATCH(M701,[1]物品基础表!$B:$B,0)),"")</f>
        <v>橙色法师130级武器</v>
      </c>
      <c r="O701" s="41">
        <v>1</v>
      </c>
    </row>
    <row r="702" spans="1:15">
      <c r="A702" s="43" t="s">
        <v>514</v>
      </c>
      <c r="B702" s="40">
        <v>566</v>
      </c>
      <c r="C702" s="40">
        <v>65</v>
      </c>
      <c r="D702" s="40"/>
      <c r="E702" s="40"/>
      <c r="F702" s="40"/>
      <c r="G702" s="40">
        <v>35856</v>
      </c>
      <c r="H702" s="40"/>
      <c r="I702" s="40"/>
      <c r="J702" s="40"/>
      <c r="K702" s="40"/>
      <c r="L702" s="40"/>
      <c r="M702" s="41">
        <v>122314</v>
      </c>
      <c r="N702" s="1" t="str">
        <f>IFERROR(INDEX([1]物品基础表!$A:$A,MATCH(M702,[1]物品基础表!$B:$B,0)),"")</f>
        <v>橙色法师130级衣服</v>
      </c>
      <c r="O702" s="41">
        <v>1</v>
      </c>
    </row>
    <row r="703" spans="1:15">
      <c r="A703" s="43" t="s">
        <v>514</v>
      </c>
      <c r="B703" s="40">
        <v>566</v>
      </c>
      <c r="C703" s="40">
        <v>66</v>
      </c>
      <c r="D703" s="40"/>
      <c r="E703" s="40"/>
      <c r="F703" s="40"/>
      <c r="G703" s="40">
        <v>19920</v>
      </c>
      <c r="H703" s="40"/>
      <c r="I703" s="40"/>
      <c r="J703" s="40"/>
      <c r="K703" s="40"/>
      <c r="L703" s="40"/>
      <c r="M703" s="41">
        <v>142314</v>
      </c>
      <c r="N703" s="1" t="str">
        <f>IFERROR(INDEX([1]物品基础表!$A:$A,MATCH(M703,[1]物品基础表!$B:$B,0)),"")</f>
        <v>橙色法师130级手镯</v>
      </c>
      <c r="O703" s="41">
        <v>1</v>
      </c>
    </row>
    <row r="704" spans="1:15">
      <c r="A704" s="43" t="s">
        <v>514</v>
      </c>
      <c r="B704" s="40">
        <v>566</v>
      </c>
      <c r="C704" s="40">
        <v>67</v>
      </c>
      <c r="D704" s="40"/>
      <c r="E704" s="40"/>
      <c r="F704" s="40"/>
      <c r="G704" s="40">
        <v>19920</v>
      </c>
      <c r="H704" s="40"/>
      <c r="I704" s="40"/>
      <c r="J704" s="40"/>
      <c r="K704" s="40"/>
      <c r="L704" s="40"/>
      <c r="M704" s="41">
        <v>162314</v>
      </c>
      <c r="N704" s="1" t="str">
        <f>IFERROR(INDEX([1]物品基础表!$A:$A,MATCH(M704,[1]物品基础表!$B:$B,0)),"")</f>
        <v>橙色法师130级戒指</v>
      </c>
      <c r="O704" s="41">
        <v>1</v>
      </c>
    </row>
    <row r="705" spans="1:15">
      <c r="A705" s="43" t="s">
        <v>514</v>
      </c>
      <c r="B705" s="40">
        <v>566</v>
      </c>
      <c r="C705" s="40">
        <v>68</v>
      </c>
      <c r="D705" s="40"/>
      <c r="E705" s="40"/>
      <c r="F705" s="40"/>
      <c r="G705" s="40">
        <v>19920</v>
      </c>
      <c r="H705" s="40"/>
      <c r="I705" s="40"/>
      <c r="J705" s="40"/>
      <c r="K705" s="40"/>
      <c r="L705" s="40"/>
      <c r="M705" s="41">
        <v>112314</v>
      </c>
      <c r="N705" s="1" t="str">
        <f>IFERROR(INDEX([1]物品基础表!$A:$A,MATCH(M705,[1]物品基础表!$B:$B,0)),"")</f>
        <v>橙色法师130级头盔</v>
      </c>
      <c r="O705" s="41">
        <v>1</v>
      </c>
    </row>
    <row r="706" spans="1:15">
      <c r="A706" s="43" t="s">
        <v>514</v>
      </c>
      <c r="B706" s="40">
        <v>566</v>
      </c>
      <c r="C706" s="40">
        <v>69</v>
      </c>
      <c r="D706" s="40"/>
      <c r="E706" s="40"/>
      <c r="F706" s="40"/>
      <c r="G706" s="40">
        <v>19920</v>
      </c>
      <c r="H706" s="40"/>
      <c r="I706" s="40"/>
      <c r="J706" s="40"/>
      <c r="K706" s="40"/>
      <c r="L706" s="40"/>
      <c r="M706" s="41">
        <v>132314</v>
      </c>
      <c r="N706" s="1" t="str">
        <f>IFERROR(INDEX([1]物品基础表!$A:$A,MATCH(M706,[1]物品基础表!$B:$B,0)),"")</f>
        <v>橙色法师130级项链</v>
      </c>
      <c r="O706" s="41">
        <v>1</v>
      </c>
    </row>
    <row r="707" spans="1:15">
      <c r="A707" s="43" t="s">
        <v>514</v>
      </c>
      <c r="B707" s="40">
        <v>566</v>
      </c>
      <c r="C707" s="40">
        <v>70</v>
      </c>
      <c r="D707" s="40"/>
      <c r="E707" s="40"/>
      <c r="F707" s="40"/>
      <c r="G707" s="40">
        <v>19920</v>
      </c>
      <c r="H707" s="40"/>
      <c r="I707" s="40"/>
      <c r="J707" s="40"/>
      <c r="K707" s="40"/>
      <c r="L707" s="40"/>
      <c r="M707" s="41">
        <v>152314</v>
      </c>
      <c r="N707" s="1" t="str">
        <f>IFERROR(INDEX([1]物品基础表!$A:$A,MATCH(M707,[1]物品基础表!$B:$B,0)),"")</f>
        <v>橙色法师130级腰带</v>
      </c>
      <c r="O707" s="41">
        <v>1</v>
      </c>
    </row>
    <row r="708" spans="1:15">
      <c r="A708" s="43" t="s">
        <v>514</v>
      </c>
      <c r="B708" s="40">
        <v>566</v>
      </c>
      <c r="C708" s="40">
        <v>71</v>
      </c>
      <c r="D708" s="40"/>
      <c r="E708" s="40"/>
      <c r="F708" s="40"/>
      <c r="G708" s="40">
        <v>19920</v>
      </c>
      <c r="H708" s="40"/>
      <c r="I708" s="40"/>
      <c r="J708" s="40"/>
      <c r="K708" s="40"/>
      <c r="L708" s="40"/>
      <c r="M708" s="41">
        <v>172314</v>
      </c>
      <c r="N708" s="1" t="str">
        <f>IFERROR(INDEX([1]物品基础表!$A:$A,MATCH(M708,[1]物品基础表!$B:$B,0)),"")</f>
        <v>橙色法师130级鞋子</v>
      </c>
      <c r="O708" s="41">
        <v>1</v>
      </c>
    </row>
    <row r="709" spans="1:15">
      <c r="A709" s="43" t="s">
        <v>514</v>
      </c>
      <c r="B709" s="40">
        <v>566</v>
      </c>
      <c r="C709" s="40">
        <v>72</v>
      </c>
      <c r="D709" s="40"/>
      <c r="E709" s="40"/>
      <c r="F709" s="40"/>
      <c r="G709" s="40">
        <v>49800</v>
      </c>
      <c r="H709" s="40"/>
      <c r="I709" s="40"/>
      <c r="J709" s="40"/>
      <c r="K709" s="40"/>
      <c r="L709" s="40"/>
      <c r="M709" s="41">
        <v>103314</v>
      </c>
      <c r="N709" s="1" t="str">
        <f>IFERROR(INDEX([1]物品基础表!$A:$A,MATCH(M709,[1]物品基础表!$B:$B,0)),"")</f>
        <v>橙色道士130级武器</v>
      </c>
      <c r="O709" s="41">
        <v>1</v>
      </c>
    </row>
    <row r="710" spans="1:15">
      <c r="A710" s="43" t="s">
        <v>514</v>
      </c>
      <c r="B710" s="40">
        <v>566</v>
      </c>
      <c r="C710" s="40">
        <v>73</v>
      </c>
      <c r="D710" s="40"/>
      <c r="E710" s="40"/>
      <c r="F710" s="40"/>
      <c r="G710" s="40">
        <v>35856</v>
      </c>
      <c r="H710" s="40"/>
      <c r="I710" s="40"/>
      <c r="J710" s="40"/>
      <c r="K710" s="40"/>
      <c r="L710" s="40"/>
      <c r="M710" s="41">
        <v>123314</v>
      </c>
      <c r="N710" s="1" t="str">
        <f>IFERROR(INDEX([1]物品基础表!$A:$A,MATCH(M710,[1]物品基础表!$B:$B,0)),"")</f>
        <v>橙色道士130级衣服</v>
      </c>
      <c r="O710" s="41">
        <v>1</v>
      </c>
    </row>
    <row r="711" spans="1:15">
      <c r="A711" s="43" t="s">
        <v>514</v>
      </c>
      <c r="B711" s="40">
        <v>566</v>
      </c>
      <c r="C711" s="40">
        <v>74</v>
      </c>
      <c r="D711" s="40"/>
      <c r="E711" s="40"/>
      <c r="F711" s="40"/>
      <c r="G711" s="40">
        <v>19920</v>
      </c>
      <c r="H711" s="40"/>
      <c r="I711" s="40"/>
      <c r="J711" s="40"/>
      <c r="K711" s="40"/>
      <c r="L711" s="40"/>
      <c r="M711" s="41">
        <v>143314</v>
      </c>
      <c r="N711" s="1" t="str">
        <f>IFERROR(INDEX([1]物品基础表!$A:$A,MATCH(M711,[1]物品基础表!$B:$B,0)),"")</f>
        <v>橙色道士130级手镯</v>
      </c>
      <c r="O711" s="41">
        <v>1</v>
      </c>
    </row>
    <row r="712" spans="1:15">
      <c r="A712" s="43" t="s">
        <v>514</v>
      </c>
      <c r="B712" s="40">
        <v>566</v>
      </c>
      <c r="C712" s="40">
        <v>75</v>
      </c>
      <c r="D712" s="40"/>
      <c r="E712" s="40"/>
      <c r="F712" s="40"/>
      <c r="G712" s="40">
        <v>19920</v>
      </c>
      <c r="H712" s="40"/>
      <c r="I712" s="40"/>
      <c r="J712" s="40"/>
      <c r="K712" s="40"/>
      <c r="L712" s="40"/>
      <c r="M712" s="41">
        <v>163314</v>
      </c>
      <c r="N712" s="1" t="str">
        <f>IFERROR(INDEX([1]物品基础表!$A:$A,MATCH(M712,[1]物品基础表!$B:$B,0)),"")</f>
        <v>橙色道士130级戒指</v>
      </c>
      <c r="O712" s="41">
        <v>1</v>
      </c>
    </row>
    <row r="713" spans="1:15">
      <c r="A713" s="43" t="s">
        <v>514</v>
      </c>
      <c r="B713" s="40">
        <v>566</v>
      </c>
      <c r="C713" s="40">
        <v>76</v>
      </c>
      <c r="D713" s="40"/>
      <c r="E713" s="40"/>
      <c r="F713" s="40"/>
      <c r="G713" s="40">
        <v>19920</v>
      </c>
      <c r="H713" s="40"/>
      <c r="I713" s="40"/>
      <c r="J713" s="40"/>
      <c r="K713" s="40"/>
      <c r="L713" s="40"/>
      <c r="M713" s="41">
        <v>113314</v>
      </c>
      <c r="N713" s="1" t="str">
        <f>IFERROR(INDEX([1]物品基础表!$A:$A,MATCH(M713,[1]物品基础表!$B:$B,0)),"")</f>
        <v>橙色道士130级头盔</v>
      </c>
      <c r="O713" s="41">
        <v>1</v>
      </c>
    </row>
    <row r="714" spans="1:15">
      <c r="A714" s="43" t="s">
        <v>514</v>
      </c>
      <c r="B714" s="40">
        <v>566</v>
      </c>
      <c r="C714" s="40">
        <v>77</v>
      </c>
      <c r="D714" s="40"/>
      <c r="E714" s="40"/>
      <c r="F714" s="40"/>
      <c r="G714" s="40">
        <v>19920</v>
      </c>
      <c r="H714" s="40"/>
      <c r="I714" s="40"/>
      <c r="J714" s="40"/>
      <c r="K714" s="40"/>
      <c r="L714" s="40"/>
      <c r="M714" s="41">
        <v>133314</v>
      </c>
      <c r="N714" s="1" t="str">
        <f>IFERROR(INDEX([1]物品基础表!$A:$A,MATCH(M714,[1]物品基础表!$B:$B,0)),"")</f>
        <v>橙色道士130级项链</v>
      </c>
      <c r="O714" s="41">
        <v>1</v>
      </c>
    </row>
    <row r="715" spans="1:15">
      <c r="A715" s="43" t="s">
        <v>514</v>
      </c>
      <c r="B715" s="40">
        <v>566</v>
      </c>
      <c r="C715" s="40">
        <v>78</v>
      </c>
      <c r="D715" s="40"/>
      <c r="E715" s="40"/>
      <c r="F715" s="40"/>
      <c r="G715" s="40">
        <v>19920</v>
      </c>
      <c r="H715" s="40"/>
      <c r="I715" s="40"/>
      <c r="J715" s="40"/>
      <c r="K715" s="40"/>
      <c r="L715" s="40"/>
      <c r="M715" s="41">
        <v>153314</v>
      </c>
      <c r="N715" s="1" t="str">
        <f>IFERROR(INDEX([1]物品基础表!$A:$A,MATCH(M715,[1]物品基础表!$B:$B,0)),"")</f>
        <v>橙色道士130级腰带</v>
      </c>
      <c r="O715" s="41">
        <v>1</v>
      </c>
    </row>
    <row r="716" spans="1:15">
      <c r="A716" s="43" t="s">
        <v>514</v>
      </c>
      <c r="B716" s="40">
        <v>566</v>
      </c>
      <c r="C716" s="40">
        <v>79</v>
      </c>
      <c r="D716" s="40"/>
      <c r="E716" s="40"/>
      <c r="F716" s="40"/>
      <c r="G716" s="40">
        <v>19920</v>
      </c>
      <c r="H716" s="40"/>
      <c r="I716" s="40"/>
      <c r="J716" s="40"/>
      <c r="K716" s="40"/>
      <c r="L716" s="40"/>
      <c r="M716" s="41">
        <v>173314</v>
      </c>
      <c r="N716" s="1" t="str">
        <f>IFERROR(INDEX([1]物品基础表!$A:$A,MATCH(M716,[1]物品基础表!$B:$B,0)),"")</f>
        <v>橙色道士130级鞋子</v>
      </c>
      <c r="O716" s="41">
        <v>1</v>
      </c>
    </row>
    <row r="717" spans="1:15">
      <c r="A717" s="43" t="s">
        <v>514</v>
      </c>
      <c r="B717" s="40">
        <v>566</v>
      </c>
      <c r="C717" s="40">
        <v>80</v>
      </c>
      <c r="D717" s="40"/>
      <c r="E717" s="40"/>
      <c r="F717" s="40"/>
      <c r="G717" s="40">
        <v>66392</v>
      </c>
      <c r="H717" s="40"/>
      <c r="I717" s="40"/>
      <c r="J717" s="40"/>
      <c r="K717" s="40"/>
      <c r="L717" s="40"/>
      <c r="M717" s="41">
        <v>101315</v>
      </c>
      <c r="N717" s="1" t="str">
        <f>IFERROR(INDEX([1]物品基础表!$A:$A,MATCH(M717,[1]物品基础表!$B:$B,0)),"")</f>
        <v>橙色战士140级武器</v>
      </c>
      <c r="O717" s="41">
        <v>1</v>
      </c>
    </row>
    <row r="718" spans="1:15">
      <c r="A718" s="43" t="s">
        <v>514</v>
      </c>
      <c r="B718" s="40">
        <v>566</v>
      </c>
      <c r="C718" s="40">
        <v>81</v>
      </c>
      <c r="D718" s="40"/>
      <c r="E718" s="40"/>
      <c r="F718" s="40"/>
      <c r="G718" s="40">
        <v>47801</v>
      </c>
      <c r="H718" s="40"/>
      <c r="I718" s="40"/>
      <c r="J718" s="40"/>
      <c r="K718" s="40"/>
      <c r="L718" s="40"/>
      <c r="M718" s="41">
        <v>121315</v>
      </c>
      <c r="N718" s="1" t="str">
        <f>IFERROR(INDEX([1]物品基础表!$A:$A,MATCH(M718,[1]物品基础表!$B:$B,0)),"")</f>
        <v>橙色战士140级衣服</v>
      </c>
      <c r="O718" s="41">
        <v>1</v>
      </c>
    </row>
    <row r="719" spans="1:15">
      <c r="A719" s="43" t="s">
        <v>514</v>
      </c>
      <c r="B719" s="40">
        <v>566</v>
      </c>
      <c r="C719" s="40">
        <v>82</v>
      </c>
      <c r="D719" s="40"/>
      <c r="E719" s="40"/>
      <c r="F719" s="40"/>
      <c r="G719" s="40">
        <v>26556</v>
      </c>
      <c r="H719" s="40"/>
      <c r="I719" s="40"/>
      <c r="J719" s="40"/>
      <c r="K719" s="40"/>
      <c r="L719" s="40"/>
      <c r="M719" s="41">
        <v>141315</v>
      </c>
      <c r="N719" s="1" t="str">
        <f>IFERROR(INDEX([1]物品基础表!$A:$A,MATCH(M719,[1]物品基础表!$B:$B,0)),"")</f>
        <v>橙色战士140级手镯</v>
      </c>
      <c r="O719" s="41">
        <v>1</v>
      </c>
    </row>
    <row r="720" spans="1:15">
      <c r="A720" s="43" t="s">
        <v>514</v>
      </c>
      <c r="B720" s="40">
        <v>566</v>
      </c>
      <c r="C720" s="40">
        <v>83</v>
      </c>
      <c r="D720" s="40"/>
      <c r="E720" s="40"/>
      <c r="F720" s="40"/>
      <c r="G720" s="40">
        <v>26556</v>
      </c>
      <c r="H720" s="40"/>
      <c r="I720" s="40"/>
      <c r="J720" s="40"/>
      <c r="K720" s="40"/>
      <c r="L720" s="40"/>
      <c r="M720" s="41">
        <v>161315</v>
      </c>
      <c r="N720" s="1" t="str">
        <f>IFERROR(INDEX([1]物品基础表!$A:$A,MATCH(M720,[1]物品基础表!$B:$B,0)),"")</f>
        <v>橙色战士140级戒指</v>
      </c>
      <c r="O720" s="41">
        <v>1</v>
      </c>
    </row>
    <row r="721" spans="1:15">
      <c r="A721" s="43" t="s">
        <v>514</v>
      </c>
      <c r="B721" s="40">
        <v>566</v>
      </c>
      <c r="C721" s="40">
        <v>84</v>
      </c>
      <c r="D721" s="40"/>
      <c r="E721" s="40"/>
      <c r="F721" s="40"/>
      <c r="G721" s="40">
        <v>26556</v>
      </c>
      <c r="H721" s="40"/>
      <c r="I721" s="40"/>
      <c r="J721" s="40"/>
      <c r="K721" s="40"/>
      <c r="L721" s="40"/>
      <c r="M721" s="41">
        <v>111315</v>
      </c>
      <c r="N721" s="1" t="str">
        <f>IFERROR(INDEX([1]物品基础表!$A:$A,MATCH(M721,[1]物品基础表!$B:$B,0)),"")</f>
        <v>橙色战士140级头盔</v>
      </c>
      <c r="O721" s="41">
        <v>1</v>
      </c>
    </row>
    <row r="722" spans="1:15">
      <c r="A722" s="43" t="s">
        <v>514</v>
      </c>
      <c r="B722" s="40">
        <v>566</v>
      </c>
      <c r="C722" s="40">
        <v>85</v>
      </c>
      <c r="D722" s="40"/>
      <c r="E722" s="40"/>
      <c r="F722" s="40"/>
      <c r="G722" s="40">
        <v>26556</v>
      </c>
      <c r="H722" s="40"/>
      <c r="I722" s="40"/>
      <c r="J722" s="40"/>
      <c r="K722" s="40"/>
      <c r="L722" s="40"/>
      <c r="M722" s="41">
        <v>131315</v>
      </c>
      <c r="N722" s="1" t="str">
        <f>IFERROR(INDEX([1]物品基础表!$A:$A,MATCH(M722,[1]物品基础表!$B:$B,0)),"")</f>
        <v>橙色战士140级项链</v>
      </c>
      <c r="O722" s="41">
        <v>1</v>
      </c>
    </row>
    <row r="723" spans="1:15">
      <c r="A723" s="43" t="s">
        <v>514</v>
      </c>
      <c r="B723" s="40">
        <v>566</v>
      </c>
      <c r="C723" s="40">
        <v>86</v>
      </c>
      <c r="D723" s="40"/>
      <c r="E723" s="40"/>
      <c r="F723" s="40"/>
      <c r="G723" s="40">
        <v>26556</v>
      </c>
      <c r="H723" s="40"/>
      <c r="I723" s="40"/>
      <c r="J723" s="40"/>
      <c r="K723" s="40"/>
      <c r="L723" s="40"/>
      <c r="M723" s="41">
        <v>151315</v>
      </c>
      <c r="N723" s="1" t="str">
        <f>IFERROR(INDEX([1]物品基础表!$A:$A,MATCH(M723,[1]物品基础表!$B:$B,0)),"")</f>
        <v>橙色战士140级腰带</v>
      </c>
      <c r="O723" s="41">
        <v>1</v>
      </c>
    </row>
    <row r="724" spans="1:15">
      <c r="A724" s="43" t="s">
        <v>514</v>
      </c>
      <c r="B724" s="40">
        <v>566</v>
      </c>
      <c r="C724" s="40">
        <v>87</v>
      </c>
      <c r="D724" s="40"/>
      <c r="E724" s="40"/>
      <c r="F724" s="40"/>
      <c r="G724" s="40">
        <v>26556</v>
      </c>
      <c r="H724" s="40"/>
      <c r="I724" s="40"/>
      <c r="J724" s="40"/>
      <c r="K724" s="40"/>
      <c r="L724" s="40"/>
      <c r="M724" s="41">
        <v>171315</v>
      </c>
      <c r="N724" s="1" t="str">
        <f>IFERROR(INDEX([1]物品基础表!$A:$A,MATCH(M724,[1]物品基础表!$B:$B,0)),"")</f>
        <v>橙色战士140级鞋子</v>
      </c>
      <c r="O724" s="41">
        <v>1</v>
      </c>
    </row>
    <row r="725" spans="1:15">
      <c r="A725" s="43" t="s">
        <v>514</v>
      </c>
      <c r="B725" s="40">
        <v>566</v>
      </c>
      <c r="C725" s="40">
        <v>88</v>
      </c>
      <c r="D725" s="40"/>
      <c r="E725" s="40"/>
      <c r="F725" s="40"/>
      <c r="G725" s="40">
        <v>66392</v>
      </c>
      <c r="H725" s="40"/>
      <c r="I725" s="40"/>
      <c r="J725" s="40"/>
      <c r="K725" s="40"/>
      <c r="L725" s="40"/>
      <c r="M725" s="41">
        <v>102315</v>
      </c>
      <c r="N725" s="1" t="str">
        <f>IFERROR(INDEX([1]物品基础表!$A:$A,MATCH(M725,[1]物品基础表!$B:$B,0)),"")</f>
        <v>橙色法师140级武器</v>
      </c>
      <c r="O725" s="41">
        <v>1</v>
      </c>
    </row>
    <row r="726" spans="1:15">
      <c r="A726" s="43" t="s">
        <v>514</v>
      </c>
      <c r="B726" s="40">
        <v>566</v>
      </c>
      <c r="C726" s="40">
        <v>89</v>
      </c>
      <c r="D726" s="40"/>
      <c r="E726" s="40"/>
      <c r="F726" s="40"/>
      <c r="G726" s="40">
        <v>47801</v>
      </c>
      <c r="H726" s="40"/>
      <c r="I726" s="40"/>
      <c r="J726" s="40"/>
      <c r="K726" s="40"/>
      <c r="L726" s="40"/>
      <c r="M726" s="41">
        <v>122315</v>
      </c>
      <c r="N726" s="1" t="str">
        <f>IFERROR(INDEX([1]物品基础表!$A:$A,MATCH(M726,[1]物品基础表!$B:$B,0)),"")</f>
        <v>橙色法师140级衣服</v>
      </c>
      <c r="O726" s="41">
        <v>1</v>
      </c>
    </row>
    <row r="727" spans="1:15">
      <c r="A727" s="43" t="s">
        <v>514</v>
      </c>
      <c r="B727" s="40">
        <v>566</v>
      </c>
      <c r="C727" s="40">
        <v>90</v>
      </c>
      <c r="D727" s="40"/>
      <c r="E727" s="40"/>
      <c r="F727" s="40"/>
      <c r="G727" s="40">
        <v>26556</v>
      </c>
      <c r="H727" s="40"/>
      <c r="I727" s="40"/>
      <c r="J727" s="40"/>
      <c r="K727" s="40"/>
      <c r="L727" s="40"/>
      <c r="M727" s="41">
        <v>142315</v>
      </c>
      <c r="N727" s="1" t="str">
        <f>IFERROR(INDEX([1]物品基础表!$A:$A,MATCH(M727,[1]物品基础表!$B:$B,0)),"")</f>
        <v>橙色法师140级手镯</v>
      </c>
      <c r="O727" s="41">
        <v>1</v>
      </c>
    </row>
    <row r="728" spans="1:15">
      <c r="A728" s="43" t="s">
        <v>514</v>
      </c>
      <c r="B728" s="40">
        <v>566</v>
      </c>
      <c r="C728" s="40">
        <v>91</v>
      </c>
      <c r="D728" s="40"/>
      <c r="E728" s="40"/>
      <c r="F728" s="40"/>
      <c r="G728" s="40">
        <v>26556</v>
      </c>
      <c r="H728" s="40"/>
      <c r="I728" s="40"/>
      <c r="J728" s="40"/>
      <c r="K728" s="40"/>
      <c r="L728" s="40"/>
      <c r="M728" s="41">
        <v>162315</v>
      </c>
      <c r="N728" s="1" t="str">
        <f>IFERROR(INDEX([1]物品基础表!$A:$A,MATCH(M728,[1]物品基础表!$B:$B,0)),"")</f>
        <v>橙色法师140级戒指</v>
      </c>
      <c r="O728" s="41">
        <v>1</v>
      </c>
    </row>
    <row r="729" spans="1:15">
      <c r="A729" s="43" t="s">
        <v>514</v>
      </c>
      <c r="B729" s="40">
        <v>566</v>
      </c>
      <c r="C729" s="40">
        <v>92</v>
      </c>
      <c r="D729" s="40"/>
      <c r="E729" s="40"/>
      <c r="F729" s="40"/>
      <c r="G729" s="40">
        <v>26556</v>
      </c>
      <c r="H729" s="40"/>
      <c r="I729" s="40"/>
      <c r="J729" s="40"/>
      <c r="K729" s="40"/>
      <c r="L729" s="40"/>
      <c r="M729" s="41">
        <v>112315</v>
      </c>
      <c r="N729" s="1" t="str">
        <f>IFERROR(INDEX([1]物品基础表!$A:$A,MATCH(M729,[1]物品基础表!$B:$B,0)),"")</f>
        <v>橙色法师140级头盔</v>
      </c>
      <c r="O729" s="41">
        <v>1</v>
      </c>
    </row>
    <row r="730" spans="1:15">
      <c r="A730" s="43" t="s">
        <v>514</v>
      </c>
      <c r="B730" s="40">
        <v>566</v>
      </c>
      <c r="C730" s="40">
        <v>93</v>
      </c>
      <c r="D730" s="40"/>
      <c r="E730" s="40"/>
      <c r="F730" s="40"/>
      <c r="G730" s="40">
        <v>26556</v>
      </c>
      <c r="H730" s="40"/>
      <c r="I730" s="40"/>
      <c r="J730" s="40"/>
      <c r="K730" s="40"/>
      <c r="L730" s="40"/>
      <c r="M730" s="41">
        <v>132315</v>
      </c>
      <c r="N730" s="1" t="str">
        <f>IFERROR(INDEX([1]物品基础表!$A:$A,MATCH(M730,[1]物品基础表!$B:$B,0)),"")</f>
        <v>橙色法师140级项链</v>
      </c>
      <c r="O730" s="41">
        <v>1</v>
      </c>
    </row>
    <row r="731" spans="1:15">
      <c r="A731" s="43" t="s">
        <v>514</v>
      </c>
      <c r="B731" s="40">
        <v>566</v>
      </c>
      <c r="C731" s="40">
        <v>94</v>
      </c>
      <c r="D731" s="40"/>
      <c r="E731" s="40"/>
      <c r="F731" s="40"/>
      <c r="G731" s="40">
        <v>26556</v>
      </c>
      <c r="H731" s="40"/>
      <c r="I731" s="40"/>
      <c r="J731" s="40"/>
      <c r="K731" s="40"/>
      <c r="L731" s="40"/>
      <c r="M731" s="41">
        <v>152315</v>
      </c>
      <c r="N731" s="1" t="str">
        <f>IFERROR(INDEX([1]物品基础表!$A:$A,MATCH(M731,[1]物品基础表!$B:$B,0)),"")</f>
        <v>橙色法师140级腰带</v>
      </c>
      <c r="O731" s="41">
        <v>1</v>
      </c>
    </row>
    <row r="732" spans="1:15">
      <c r="A732" s="43" t="s">
        <v>514</v>
      </c>
      <c r="B732" s="40">
        <v>566</v>
      </c>
      <c r="C732" s="40">
        <v>95</v>
      </c>
      <c r="D732" s="40"/>
      <c r="E732" s="40"/>
      <c r="F732" s="40"/>
      <c r="G732" s="40">
        <v>26556</v>
      </c>
      <c r="H732" s="40"/>
      <c r="I732" s="40"/>
      <c r="J732" s="40"/>
      <c r="K732" s="40"/>
      <c r="L732" s="40"/>
      <c r="M732" s="41">
        <v>172315</v>
      </c>
      <c r="N732" s="1" t="str">
        <f>IFERROR(INDEX([1]物品基础表!$A:$A,MATCH(M732,[1]物品基础表!$B:$B,0)),"")</f>
        <v>橙色法师140级鞋子</v>
      </c>
      <c r="O732" s="41">
        <v>1</v>
      </c>
    </row>
    <row r="733" spans="1:15">
      <c r="A733" s="43" t="s">
        <v>514</v>
      </c>
      <c r="B733" s="40">
        <v>566</v>
      </c>
      <c r="C733" s="40">
        <v>96</v>
      </c>
      <c r="D733" s="40"/>
      <c r="E733" s="40"/>
      <c r="F733" s="40"/>
      <c r="G733" s="40">
        <v>66392</v>
      </c>
      <c r="H733" s="40"/>
      <c r="I733" s="40"/>
      <c r="J733" s="40"/>
      <c r="K733" s="40"/>
      <c r="L733" s="40"/>
      <c r="M733" s="41">
        <v>103315</v>
      </c>
      <c r="N733" s="1" t="str">
        <f>IFERROR(INDEX([1]物品基础表!$A:$A,MATCH(M733,[1]物品基础表!$B:$B,0)),"")</f>
        <v>橙色道士140级武器</v>
      </c>
      <c r="O733" s="41">
        <v>1</v>
      </c>
    </row>
    <row r="734" spans="1:15">
      <c r="A734" s="43" t="s">
        <v>514</v>
      </c>
      <c r="B734" s="40">
        <v>566</v>
      </c>
      <c r="C734" s="40">
        <v>97</v>
      </c>
      <c r="D734" s="40"/>
      <c r="E734" s="40"/>
      <c r="F734" s="40"/>
      <c r="G734" s="40">
        <v>47801</v>
      </c>
      <c r="H734" s="40"/>
      <c r="I734" s="40"/>
      <c r="J734" s="40"/>
      <c r="K734" s="40"/>
      <c r="L734" s="40"/>
      <c r="M734" s="41">
        <v>123315</v>
      </c>
      <c r="N734" s="1" t="str">
        <f>IFERROR(INDEX([1]物品基础表!$A:$A,MATCH(M734,[1]物品基础表!$B:$B,0)),"")</f>
        <v>橙色道士140级衣服</v>
      </c>
      <c r="O734" s="41">
        <v>1</v>
      </c>
    </row>
    <row r="735" spans="1:15">
      <c r="A735" s="43" t="s">
        <v>514</v>
      </c>
      <c r="B735" s="40">
        <v>566</v>
      </c>
      <c r="C735" s="40">
        <v>98</v>
      </c>
      <c r="D735" s="40"/>
      <c r="E735" s="40"/>
      <c r="F735" s="40"/>
      <c r="G735" s="40">
        <v>26556</v>
      </c>
      <c r="H735" s="40"/>
      <c r="I735" s="40"/>
      <c r="J735" s="40"/>
      <c r="K735" s="40"/>
      <c r="L735" s="40"/>
      <c r="M735" s="41">
        <v>143315</v>
      </c>
      <c r="N735" s="1" t="str">
        <f>IFERROR(INDEX([1]物品基础表!$A:$A,MATCH(M735,[1]物品基础表!$B:$B,0)),"")</f>
        <v>橙色道士140级手镯</v>
      </c>
      <c r="O735" s="41">
        <v>1</v>
      </c>
    </row>
    <row r="736" spans="1:15">
      <c r="A736" s="43" t="s">
        <v>514</v>
      </c>
      <c r="B736" s="40">
        <v>566</v>
      </c>
      <c r="C736" s="40">
        <v>99</v>
      </c>
      <c r="D736" s="40"/>
      <c r="E736" s="40"/>
      <c r="F736" s="40"/>
      <c r="G736" s="40">
        <v>26556</v>
      </c>
      <c r="H736" s="40"/>
      <c r="I736" s="40"/>
      <c r="J736" s="40"/>
      <c r="K736" s="40"/>
      <c r="L736" s="40"/>
      <c r="M736" s="41">
        <v>163315</v>
      </c>
      <c r="N736" s="1" t="str">
        <f>IFERROR(INDEX([1]物品基础表!$A:$A,MATCH(M736,[1]物品基础表!$B:$B,0)),"")</f>
        <v>橙色道士140级戒指</v>
      </c>
      <c r="O736" s="41">
        <v>1</v>
      </c>
    </row>
    <row r="737" spans="1:15">
      <c r="A737" s="43" t="s">
        <v>514</v>
      </c>
      <c r="B737" s="40">
        <v>566</v>
      </c>
      <c r="C737" s="40">
        <v>100</v>
      </c>
      <c r="D737" s="40"/>
      <c r="E737" s="40"/>
      <c r="F737" s="40"/>
      <c r="G737" s="40">
        <v>26556</v>
      </c>
      <c r="H737" s="40"/>
      <c r="I737" s="40"/>
      <c r="J737" s="40"/>
      <c r="K737" s="40"/>
      <c r="L737" s="40"/>
      <c r="M737" s="41">
        <v>113315</v>
      </c>
      <c r="N737" s="1" t="str">
        <f>IFERROR(INDEX([1]物品基础表!$A:$A,MATCH(M737,[1]物品基础表!$B:$B,0)),"")</f>
        <v>橙色道士140级头盔</v>
      </c>
      <c r="O737" s="41">
        <v>1</v>
      </c>
    </row>
    <row r="738" spans="1:15">
      <c r="A738" s="43" t="s">
        <v>514</v>
      </c>
      <c r="B738" s="40">
        <v>566</v>
      </c>
      <c r="C738" s="40">
        <v>101</v>
      </c>
      <c r="D738" s="40"/>
      <c r="E738" s="40"/>
      <c r="F738" s="40"/>
      <c r="G738" s="40">
        <v>26556</v>
      </c>
      <c r="H738" s="40"/>
      <c r="I738" s="40"/>
      <c r="J738" s="40"/>
      <c r="K738" s="40"/>
      <c r="L738" s="40"/>
      <c r="M738" s="41">
        <v>133315</v>
      </c>
      <c r="N738" s="1" t="str">
        <f>IFERROR(INDEX([1]物品基础表!$A:$A,MATCH(M738,[1]物品基础表!$B:$B,0)),"")</f>
        <v>橙色道士140级项链</v>
      </c>
      <c r="O738" s="41">
        <v>1</v>
      </c>
    </row>
    <row r="739" spans="1:15">
      <c r="A739" s="43" t="s">
        <v>514</v>
      </c>
      <c r="B739" s="40">
        <v>566</v>
      </c>
      <c r="C739" s="40">
        <v>102</v>
      </c>
      <c r="D739" s="40"/>
      <c r="E739" s="40"/>
      <c r="F739" s="40"/>
      <c r="G739" s="40">
        <v>26556</v>
      </c>
      <c r="H739" s="40"/>
      <c r="I739" s="40"/>
      <c r="J739" s="40"/>
      <c r="K739" s="40"/>
      <c r="L739" s="40"/>
      <c r="M739" s="41">
        <v>153315</v>
      </c>
      <c r="N739" s="1" t="str">
        <f>IFERROR(INDEX([1]物品基础表!$A:$A,MATCH(M739,[1]物品基础表!$B:$B,0)),"")</f>
        <v>橙色道士140级腰带</v>
      </c>
      <c r="O739" s="41">
        <v>1</v>
      </c>
    </row>
    <row r="740" spans="1:15">
      <c r="A740" s="43" t="s">
        <v>514</v>
      </c>
      <c r="B740" s="40">
        <v>566</v>
      </c>
      <c r="C740" s="40">
        <v>103</v>
      </c>
      <c r="D740" s="40"/>
      <c r="E740" s="40"/>
      <c r="F740" s="40"/>
      <c r="G740" s="40">
        <v>26556</v>
      </c>
      <c r="H740" s="40"/>
      <c r="I740" s="40"/>
      <c r="J740" s="40"/>
      <c r="K740" s="40"/>
      <c r="L740" s="40"/>
      <c r="M740" s="41">
        <v>173315</v>
      </c>
      <c r="N740" s="1" t="str">
        <f>IFERROR(INDEX([1]物品基础表!$A:$A,MATCH(M740,[1]物品基础表!$B:$B,0)),"")</f>
        <v>橙色道士140级鞋子</v>
      </c>
      <c r="O740" s="41">
        <v>1</v>
      </c>
    </row>
    <row r="741" spans="1:15">
      <c r="A741" s="43" t="s">
        <v>514</v>
      </c>
      <c r="B741" s="40">
        <v>566</v>
      </c>
      <c r="C741" s="40">
        <v>104</v>
      </c>
      <c r="D741" s="40"/>
      <c r="E741" s="40"/>
      <c r="F741" s="40"/>
      <c r="G741" s="40">
        <v>84272</v>
      </c>
      <c r="H741" s="40"/>
      <c r="I741" s="40"/>
      <c r="J741" s="40"/>
      <c r="K741" s="40"/>
      <c r="L741" s="40"/>
      <c r="M741" s="41">
        <v>101316</v>
      </c>
      <c r="N741" s="1" t="str">
        <f>IFERROR(INDEX([1]物品基础表!$A:$A,MATCH(M741,[1]物品基础表!$B:$B,0)),"")</f>
        <v>橙色战士150级武器</v>
      </c>
      <c r="O741" s="41">
        <v>1</v>
      </c>
    </row>
    <row r="742" spans="1:15">
      <c r="A742" s="43" t="s">
        <v>514</v>
      </c>
      <c r="B742" s="40">
        <v>566</v>
      </c>
      <c r="C742" s="40">
        <v>105</v>
      </c>
      <c r="D742" s="40"/>
      <c r="E742" s="40"/>
      <c r="F742" s="40"/>
      <c r="G742" s="40">
        <v>60675</v>
      </c>
      <c r="H742" s="40"/>
      <c r="I742" s="40"/>
      <c r="J742" s="40"/>
      <c r="K742" s="40"/>
      <c r="L742" s="40"/>
      <c r="M742" s="41">
        <v>121316</v>
      </c>
      <c r="N742" s="1" t="str">
        <f>IFERROR(INDEX([1]物品基础表!$A:$A,MATCH(M742,[1]物品基础表!$B:$B,0)),"")</f>
        <v>橙色战士150级衣服</v>
      </c>
      <c r="O742" s="41">
        <v>1</v>
      </c>
    </row>
    <row r="743" spans="1:15">
      <c r="A743" s="43" t="s">
        <v>514</v>
      </c>
      <c r="B743" s="40">
        <v>566</v>
      </c>
      <c r="C743" s="40">
        <v>106</v>
      </c>
      <c r="D743" s="40"/>
      <c r="E743" s="40"/>
      <c r="F743" s="40"/>
      <c r="G743" s="40">
        <v>33708</v>
      </c>
      <c r="H743" s="40"/>
      <c r="I743" s="40"/>
      <c r="J743" s="40"/>
      <c r="K743" s="40"/>
      <c r="L743" s="40"/>
      <c r="M743" s="41">
        <v>141316</v>
      </c>
      <c r="N743" s="1" t="str">
        <f>IFERROR(INDEX([1]物品基础表!$A:$A,MATCH(M743,[1]物品基础表!$B:$B,0)),"")</f>
        <v>橙色战士150级手镯</v>
      </c>
      <c r="O743" s="41">
        <v>1</v>
      </c>
    </row>
    <row r="744" spans="1:15">
      <c r="A744" s="43" t="s">
        <v>514</v>
      </c>
      <c r="B744" s="40">
        <v>566</v>
      </c>
      <c r="C744" s="40">
        <v>107</v>
      </c>
      <c r="D744" s="40"/>
      <c r="E744" s="40"/>
      <c r="F744" s="40"/>
      <c r="G744" s="40">
        <v>33708</v>
      </c>
      <c r="H744" s="40"/>
      <c r="I744" s="40"/>
      <c r="J744" s="40"/>
      <c r="K744" s="40"/>
      <c r="L744" s="40"/>
      <c r="M744" s="41">
        <v>161316</v>
      </c>
      <c r="N744" s="1" t="str">
        <f>IFERROR(INDEX([1]物品基础表!$A:$A,MATCH(M744,[1]物品基础表!$B:$B,0)),"")</f>
        <v>橙色战士150级戒指</v>
      </c>
      <c r="O744" s="41">
        <v>1</v>
      </c>
    </row>
    <row r="745" spans="1:15">
      <c r="A745" s="43" t="s">
        <v>514</v>
      </c>
      <c r="B745" s="40">
        <v>566</v>
      </c>
      <c r="C745" s="40">
        <v>108</v>
      </c>
      <c r="D745" s="40"/>
      <c r="E745" s="40"/>
      <c r="F745" s="40"/>
      <c r="G745" s="40">
        <v>33708</v>
      </c>
      <c r="H745" s="40"/>
      <c r="I745" s="40"/>
      <c r="J745" s="40"/>
      <c r="K745" s="40"/>
      <c r="L745" s="40"/>
      <c r="M745" s="41">
        <v>111316</v>
      </c>
      <c r="N745" s="1" t="str">
        <f>IFERROR(INDEX([1]物品基础表!$A:$A,MATCH(M745,[1]物品基础表!$B:$B,0)),"")</f>
        <v>橙色战士150级头盔</v>
      </c>
      <c r="O745" s="41">
        <v>1</v>
      </c>
    </row>
    <row r="746" spans="1:15">
      <c r="A746" s="43" t="s">
        <v>514</v>
      </c>
      <c r="B746" s="40">
        <v>566</v>
      </c>
      <c r="C746" s="40">
        <v>109</v>
      </c>
      <c r="D746" s="40"/>
      <c r="E746" s="40"/>
      <c r="F746" s="40"/>
      <c r="G746" s="40">
        <v>33708</v>
      </c>
      <c r="H746" s="40"/>
      <c r="I746" s="40"/>
      <c r="J746" s="40"/>
      <c r="K746" s="40"/>
      <c r="L746" s="40"/>
      <c r="M746" s="41">
        <v>131316</v>
      </c>
      <c r="N746" s="1" t="str">
        <f>IFERROR(INDEX([1]物品基础表!$A:$A,MATCH(M746,[1]物品基础表!$B:$B,0)),"")</f>
        <v>橙色战士150级项链</v>
      </c>
      <c r="O746" s="41">
        <v>1</v>
      </c>
    </row>
    <row r="747" spans="1:15">
      <c r="A747" s="43" t="s">
        <v>514</v>
      </c>
      <c r="B747" s="40">
        <v>566</v>
      </c>
      <c r="C747" s="40">
        <v>110</v>
      </c>
      <c r="D747" s="40"/>
      <c r="E747" s="40"/>
      <c r="F747" s="40"/>
      <c r="G747" s="40">
        <v>33708</v>
      </c>
      <c r="H747" s="40"/>
      <c r="I747" s="40"/>
      <c r="J747" s="40"/>
      <c r="K747" s="40"/>
      <c r="L747" s="40"/>
      <c r="M747" s="41">
        <v>151316</v>
      </c>
      <c r="N747" s="1" t="str">
        <f>IFERROR(INDEX([1]物品基础表!$A:$A,MATCH(M747,[1]物品基础表!$B:$B,0)),"")</f>
        <v>橙色战士150级腰带</v>
      </c>
      <c r="O747" s="41">
        <v>1</v>
      </c>
    </row>
    <row r="748" spans="1:15">
      <c r="A748" s="43" t="s">
        <v>514</v>
      </c>
      <c r="B748" s="40">
        <v>566</v>
      </c>
      <c r="C748" s="40">
        <v>111</v>
      </c>
      <c r="D748" s="40"/>
      <c r="E748" s="40"/>
      <c r="F748" s="40"/>
      <c r="G748" s="40">
        <v>33708</v>
      </c>
      <c r="H748" s="40"/>
      <c r="I748" s="40"/>
      <c r="J748" s="40"/>
      <c r="K748" s="40"/>
      <c r="L748" s="40"/>
      <c r="M748" s="41">
        <v>171316</v>
      </c>
      <c r="N748" s="1" t="str">
        <f>IFERROR(INDEX([1]物品基础表!$A:$A,MATCH(M748,[1]物品基础表!$B:$B,0)),"")</f>
        <v>橙色战士150级鞋子</v>
      </c>
      <c r="O748" s="41">
        <v>1</v>
      </c>
    </row>
    <row r="749" spans="1:15">
      <c r="A749" s="43" t="s">
        <v>514</v>
      </c>
      <c r="B749" s="40">
        <v>566</v>
      </c>
      <c r="C749" s="40">
        <v>112</v>
      </c>
      <c r="D749" s="40"/>
      <c r="E749" s="40"/>
      <c r="F749" s="40"/>
      <c r="G749" s="40">
        <v>84272</v>
      </c>
      <c r="H749" s="40"/>
      <c r="I749" s="40"/>
      <c r="J749" s="40"/>
      <c r="K749" s="40"/>
      <c r="L749" s="40"/>
      <c r="M749" s="41">
        <v>102316</v>
      </c>
      <c r="N749" s="1" t="str">
        <f>IFERROR(INDEX([1]物品基础表!$A:$A,MATCH(M749,[1]物品基础表!$B:$B,0)),"")</f>
        <v>橙色法师150级武器</v>
      </c>
      <c r="O749" s="41">
        <v>1</v>
      </c>
    </row>
    <row r="750" spans="1:15">
      <c r="A750" s="43" t="s">
        <v>514</v>
      </c>
      <c r="B750" s="40">
        <v>566</v>
      </c>
      <c r="C750" s="40">
        <v>113</v>
      </c>
      <c r="D750" s="40"/>
      <c r="E750" s="40"/>
      <c r="F750" s="40"/>
      <c r="G750" s="40">
        <v>60675</v>
      </c>
      <c r="H750" s="40"/>
      <c r="I750" s="40"/>
      <c r="J750" s="40"/>
      <c r="K750" s="40"/>
      <c r="L750" s="40"/>
      <c r="M750" s="41">
        <v>122316</v>
      </c>
      <c r="N750" s="1" t="str">
        <f>IFERROR(INDEX([1]物品基础表!$A:$A,MATCH(M750,[1]物品基础表!$B:$B,0)),"")</f>
        <v>橙色法师150级衣服</v>
      </c>
      <c r="O750" s="41">
        <v>1</v>
      </c>
    </row>
    <row r="751" spans="1:15">
      <c r="A751" s="43" t="s">
        <v>514</v>
      </c>
      <c r="B751" s="40">
        <v>566</v>
      </c>
      <c r="C751" s="40">
        <v>114</v>
      </c>
      <c r="D751" s="40"/>
      <c r="E751" s="40"/>
      <c r="F751" s="40"/>
      <c r="G751" s="40">
        <v>33708</v>
      </c>
      <c r="H751" s="40"/>
      <c r="I751" s="40"/>
      <c r="J751" s="40"/>
      <c r="K751" s="40"/>
      <c r="L751" s="40"/>
      <c r="M751" s="41">
        <v>142316</v>
      </c>
      <c r="N751" s="1" t="str">
        <f>IFERROR(INDEX([1]物品基础表!$A:$A,MATCH(M751,[1]物品基础表!$B:$B,0)),"")</f>
        <v>橙色法师150级手镯</v>
      </c>
      <c r="O751" s="41">
        <v>1</v>
      </c>
    </row>
    <row r="752" spans="1:15">
      <c r="A752" s="43" t="s">
        <v>514</v>
      </c>
      <c r="B752" s="40">
        <v>566</v>
      </c>
      <c r="C752" s="40">
        <v>115</v>
      </c>
      <c r="D752" s="40"/>
      <c r="E752" s="40"/>
      <c r="F752" s="40"/>
      <c r="G752" s="40">
        <v>33708</v>
      </c>
      <c r="H752" s="40"/>
      <c r="I752" s="40"/>
      <c r="J752" s="40"/>
      <c r="K752" s="40"/>
      <c r="L752" s="40"/>
      <c r="M752" s="41">
        <v>162316</v>
      </c>
      <c r="N752" s="1" t="str">
        <f>IFERROR(INDEX([1]物品基础表!$A:$A,MATCH(M752,[1]物品基础表!$B:$B,0)),"")</f>
        <v>橙色法师150级戒指</v>
      </c>
      <c r="O752" s="41">
        <v>1</v>
      </c>
    </row>
    <row r="753" spans="1:15">
      <c r="A753" s="43" t="s">
        <v>514</v>
      </c>
      <c r="B753" s="40">
        <v>566</v>
      </c>
      <c r="C753" s="40">
        <v>116</v>
      </c>
      <c r="D753" s="40"/>
      <c r="E753" s="40"/>
      <c r="F753" s="40"/>
      <c r="G753" s="40">
        <v>33708</v>
      </c>
      <c r="H753" s="40"/>
      <c r="I753" s="40"/>
      <c r="J753" s="40"/>
      <c r="K753" s="40"/>
      <c r="L753" s="40"/>
      <c r="M753" s="41">
        <v>112316</v>
      </c>
      <c r="N753" s="1" t="str">
        <f>IFERROR(INDEX([1]物品基础表!$A:$A,MATCH(M753,[1]物品基础表!$B:$B,0)),"")</f>
        <v>橙色法师150级头盔</v>
      </c>
      <c r="O753" s="41">
        <v>1</v>
      </c>
    </row>
    <row r="754" spans="1:15">
      <c r="A754" s="43" t="s">
        <v>514</v>
      </c>
      <c r="B754" s="40">
        <v>566</v>
      </c>
      <c r="C754" s="40">
        <v>117</v>
      </c>
      <c r="D754" s="40"/>
      <c r="E754" s="40"/>
      <c r="F754" s="40"/>
      <c r="G754" s="40">
        <v>33708</v>
      </c>
      <c r="H754" s="40"/>
      <c r="I754" s="40"/>
      <c r="J754" s="40"/>
      <c r="K754" s="40"/>
      <c r="L754" s="40"/>
      <c r="M754" s="41">
        <v>132316</v>
      </c>
      <c r="N754" s="1" t="str">
        <f>IFERROR(INDEX([1]物品基础表!$A:$A,MATCH(M754,[1]物品基础表!$B:$B,0)),"")</f>
        <v>橙色法师150级项链</v>
      </c>
      <c r="O754" s="41">
        <v>1</v>
      </c>
    </row>
    <row r="755" spans="1:15">
      <c r="A755" s="43" t="s">
        <v>514</v>
      </c>
      <c r="B755" s="40">
        <v>566</v>
      </c>
      <c r="C755" s="40">
        <v>118</v>
      </c>
      <c r="D755" s="40"/>
      <c r="E755" s="40"/>
      <c r="F755" s="40"/>
      <c r="G755" s="40">
        <v>33708</v>
      </c>
      <c r="H755" s="40"/>
      <c r="I755" s="40"/>
      <c r="J755" s="40"/>
      <c r="K755" s="40"/>
      <c r="L755" s="40"/>
      <c r="M755" s="41">
        <v>152316</v>
      </c>
      <c r="N755" s="1" t="str">
        <f>IFERROR(INDEX([1]物品基础表!$A:$A,MATCH(M755,[1]物品基础表!$B:$B,0)),"")</f>
        <v>橙色法师150级腰带</v>
      </c>
      <c r="O755" s="41">
        <v>1</v>
      </c>
    </row>
    <row r="756" spans="1:15">
      <c r="A756" s="43" t="s">
        <v>514</v>
      </c>
      <c r="B756" s="40">
        <v>566</v>
      </c>
      <c r="C756" s="40">
        <v>119</v>
      </c>
      <c r="D756" s="40"/>
      <c r="E756" s="40"/>
      <c r="F756" s="40"/>
      <c r="G756" s="40">
        <v>33708</v>
      </c>
      <c r="H756" s="40"/>
      <c r="I756" s="40"/>
      <c r="J756" s="40"/>
      <c r="K756" s="40"/>
      <c r="L756" s="40"/>
      <c r="M756" s="41">
        <v>172316</v>
      </c>
      <c r="N756" s="1" t="str">
        <f>IFERROR(INDEX([1]物品基础表!$A:$A,MATCH(M756,[1]物品基础表!$B:$B,0)),"")</f>
        <v>橙色法师150级鞋子</v>
      </c>
      <c r="O756" s="41">
        <v>1</v>
      </c>
    </row>
    <row r="757" spans="1:15">
      <c r="A757" s="43" t="s">
        <v>514</v>
      </c>
      <c r="B757" s="40">
        <v>566</v>
      </c>
      <c r="C757" s="40">
        <v>120</v>
      </c>
      <c r="D757" s="40"/>
      <c r="E757" s="40"/>
      <c r="F757" s="40"/>
      <c r="G757" s="40">
        <v>84272</v>
      </c>
      <c r="H757" s="40"/>
      <c r="I757" s="40"/>
      <c r="J757" s="40"/>
      <c r="K757" s="40"/>
      <c r="L757" s="40"/>
      <c r="M757" s="41">
        <v>103316</v>
      </c>
      <c r="N757" s="1" t="str">
        <f>IFERROR(INDEX([1]物品基础表!$A:$A,MATCH(M757,[1]物品基础表!$B:$B,0)),"")</f>
        <v>橙色道士150级武器</v>
      </c>
      <c r="O757" s="41">
        <v>1</v>
      </c>
    </row>
    <row r="758" spans="1:15">
      <c r="A758" s="43" t="s">
        <v>514</v>
      </c>
      <c r="B758" s="40">
        <v>566</v>
      </c>
      <c r="C758" s="40">
        <v>121</v>
      </c>
      <c r="D758" s="40"/>
      <c r="E758" s="40"/>
      <c r="F758" s="40"/>
      <c r="G758" s="40">
        <v>60675</v>
      </c>
      <c r="H758" s="40"/>
      <c r="I758" s="40"/>
      <c r="J758" s="40"/>
      <c r="K758" s="40"/>
      <c r="L758" s="40"/>
      <c r="M758" s="41">
        <v>123316</v>
      </c>
      <c r="N758" s="1" t="str">
        <f>IFERROR(INDEX([1]物品基础表!$A:$A,MATCH(M758,[1]物品基础表!$B:$B,0)),"")</f>
        <v>橙色道士150级衣服</v>
      </c>
      <c r="O758" s="41">
        <v>1</v>
      </c>
    </row>
    <row r="759" spans="1:15">
      <c r="A759" s="43" t="s">
        <v>514</v>
      </c>
      <c r="B759" s="40">
        <v>566</v>
      </c>
      <c r="C759" s="40">
        <v>122</v>
      </c>
      <c r="D759" s="40"/>
      <c r="E759" s="40"/>
      <c r="F759" s="40"/>
      <c r="G759" s="40">
        <v>33708</v>
      </c>
      <c r="H759" s="40"/>
      <c r="I759" s="40"/>
      <c r="J759" s="40"/>
      <c r="K759" s="40"/>
      <c r="L759" s="40"/>
      <c r="M759" s="41">
        <v>143316</v>
      </c>
      <c r="N759" s="1" t="str">
        <f>IFERROR(INDEX([1]物品基础表!$A:$A,MATCH(M759,[1]物品基础表!$B:$B,0)),"")</f>
        <v>橙色道士150级手镯</v>
      </c>
      <c r="O759" s="41">
        <v>1</v>
      </c>
    </row>
    <row r="760" spans="1:15">
      <c r="A760" s="43" t="s">
        <v>514</v>
      </c>
      <c r="B760" s="40">
        <v>566</v>
      </c>
      <c r="C760" s="40">
        <v>123</v>
      </c>
      <c r="D760" s="40"/>
      <c r="E760" s="40"/>
      <c r="F760" s="40"/>
      <c r="G760" s="40">
        <v>33708</v>
      </c>
      <c r="H760" s="40"/>
      <c r="I760" s="40"/>
      <c r="J760" s="40"/>
      <c r="K760" s="40"/>
      <c r="L760" s="40"/>
      <c r="M760" s="41">
        <v>163316</v>
      </c>
      <c r="N760" s="1" t="str">
        <f>IFERROR(INDEX([1]物品基础表!$A:$A,MATCH(M760,[1]物品基础表!$B:$B,0)),"")</f>
        <v>橙色道士150级戒指</v>
      </c>
      <c r="O760" s="41">
        <v>1</v>
      </c>
    </row>
    <row r="761" spans="1:15">
      <c r="A761" s="43" t="s">
        <v>514</v>
      </c>
      <c r="B761" s="40">
        <v>566</v>
      </c>
      <c r="C761" s="40">
        <v>124</v>
      </c>
      <c r="D761" s="40"/>
      <c r="E761" s="40"/>
      <c r="F761" s="40"/>
      <c r="G761" s="40">
        <v>33708</v>
      </c>
      <c r="H761" s="40"/>
      <c r="I761" s="40"/>
      <c r="J761" s="40"/>
      <c r="K761" s="40"/>
      <c r="L761" s="40"/>
      <c r="M761" s="41">
        <v>113316</v>
      </c>
      <c r="N761" s="1" t="str">
        <f>IFERROR(INDEX([1]物品基础表!$A:$A,MATCH(M761,[1]物品基础表!$B:$B,0)),"")</f>
        <v>橙色道士150级头盔</v>
      </c>
      <c r="O761" s="41">
        <v>1</v>
      </c>
    </row>
    <row r="762" spans="1:15">
      <c r="A762" s="43" t="s">
        <v>514</v>
      </c>
      <c r="B762" s="40">
        <v>566</v>
      </c>
      <c r="C762" s="40">
        <v>125</v>
      </c>
      <c r="D762" s="40"/>
      <c r="E762" s="40"/>
      <c r="F762" s="40"/>
      <c r="G762" s="40">
        <v>33708</v>
      </c>
      <c r="H762" s="40"/>
      <c r="I762" s="40"/>
      <c r="J762" s="40"/>
      <c r="K762" s="40"/>
      <c r="L762" s="40"/>
      <c r="M762" s="41">
        <v>133316</v>
      </c>
      <c r="N762" s="1" t="str">
        <f>IFERROR(INDEX([1]物品基础表!$A:$A,MATCH(M762,[1]物品基础表!$B:$B,0)),"")</f>
        <v>橙色道士150级项链</v>
      </c>
      <c r="O762" s="41">
        <v>1</v>
      </c>
    </row>
    <row r="763" spans="1:15">
      <c r="A763" s="43" t="s">
        <v>514</v>
      </c>
      <c r="B763" s="40">
        <v>566</v>
      </c>
      <c r="C763" s="40">
        <v>126</v>
      </c>
      <c r="D763" s="40"/>
      <c r="E763" s="40"/>
      <c r="F763" s="40"/>
      <c r="G763" s="40">
        <v>33708</v>
      </c>
      <c r="H763" s="40"/>
      <c r="I763" s="40"/>
      <c r="J763" s="40"/>
      <c r="K763" s="40"/>
      <c r="L763" s="40"/>
      <c r="M763" s="41">
        <v>153316</v>
      </c>
      <c r="N763" s="1" t="str">
        <f>IFERROR(INDEX([1]物品基础表!$A:$A,MATCH(M763,[1]物品基础表!$B:$B,0)),"")</f>
        <v>橙色道士150级腰带</v>
      </c>
      <c r="O763" s="41">
        <v>1</v>
      </c>
    </row>
    <row r="764" spans="1:15">
      <c r="A764" s="43" t="s">
        <v>514</v>
      </c>
      <c r="B764" s="40">
        <v>566</v>
      </c>
      <c r="C764" s="40">
        <v>127</v>
      </c>
      <c r="D764" s="40"/>
      <c r="E764" s="40"/>
      <c r="F764" s="40"/>
      <c r="G764" s="40">
        <v>33708</v>
      </c>
      <c r="H764" s="40"/>
      <c r="I764" s="40"/>
      <c r="J764" s="40"/>
      <c r="K764" s="40"/>
      <c r="L764" s="40"/>
      <c r="M764" s="41">
        <v>173316</v>
      </c>
      <c r="N764" s="1" t="str">
        <f>IFERROR(INDEX([1]物品基础表!$A:$A,MATCH(M764,[1]物品基础表!$B:$B,0)),"")</f>
        <v>橙色道士150级鞋子</v>
      </c>
      <c r="O764" s="41">
        <v>1</v>
      </c>
    </row>
    <row r="765" spans="1:15">
      <c r="A765" s="43" t="s">
        <v>514</v>
      </c>
      <c r="B765" s="40">
        <v>566</v>
      </c>
      <c r="C765" s="40">
        <v>128</v>
      </c>
      <c r="D765" s="40"/>
      <c r="E765" s="40"/>
      <c r="F765" s="40"/>
      <c r="G765" s="40">
        <v>104696</v>
      </c>
      <c r="H765" s="40"/>
      <c r="I765" s="40"/>
      <c r="J765" s="40"/>
      <c r="K765" s="40"/>
      <c r="L765" s="40"/>
      <c r="M765" s="41">
        <v>101317</v>
      </c>
      <c r="N765" s="1" t="str">
        <f>IFERROR(INDEX([1]物品基础表!$A:$A,MATCH(M765,[1]物品基础表!$B:$B,0)),"")</f>
        <v>橙色战士160级武器</v>
      </c>
      <c r="O765" s="41">
        <v>1</v>
      </c>
    </row>
    <row r="766" spans="1:15">
      <c r="A766" s="43" t="s">
        <v>514</v>
      </c>
      <c r="B766" s="40">
        <v>566</v>
      </c>
      <c r="C766" s="40">
        <v>129</v>
      </c>
      <c r="D766" s="40"/>
      <c r="E766" s="40"/>
      <c r="F766" s="40"/>
      <c r="G766" s="40">
        <v>75380</v>
      </c>
      <c r="H766" s="40"/>
      <c r="I766" s="40"/>
      <c r="J766" s="40"/>
      <c r="K766" s="40"/>
      <c r="L766" s="40"/>
      <c r="M766" s="41">
        <v>121317</v>
      </c>
      <c r="N766" s="1" t="str">
        <f>IFERROR(INDEX([1]物品基础表!$A:$A,MATCH(M766,[1]物品基础表!$B:$B,0)),"")</f>
        <v>橙色战士160级衣服</v>
      </c>
      <c r="O766" s="41">
        <v>1</v>
      </c>
    </row>
    <row r="767" spans="1:15">
      <c r="A767" s="43" t="s">
        <v>514</v>
      </c>
      <c r="B767" s="40">
        <v>566</v>
      </c>
      <c r="C767" s="40">
        <v>130</v>
      </c>
      <c r="D767" s="40"/>
      <c r="E767" s="40"/>
      <c r="F767" s="40"/>
      <c r="G767" s="40">
        <v>41878</v>
      </c>
      <c r="H767" s="40"/>
      <c r="I767" s="40"/>
      <c r="J767" s="40"/>
      <c r="K767" s="40"/>
      <c r="L767" s="40"/>
      <c r="M767" s="41">
        <v>141317</v>
      </c>
      <c r="N767" s="1" t="str">
        <f>IFERROR(INDEX([1]物品基础表!$A:$A,MATCH(M767,[1]物品基础表!$B:$B,0)),"")</f>
        <v>橙色战士160级手镯</v>
      </c>
      <c r="O767" s="41">
        <v>1</v>
      </c>
    </row>
    <row r="768" spans="1:15">
      <c r="A768" s="43" t="s">
        <v>514</v>
      </c>
      <c r="B768" s="40">
        <v>566</v>
      </c>
      <c r="C768" s="40">
        <v>131</v>
      </c>
      <c r="D768" s="40"/>
      <c r="E768" s="40"/>
      <c r="F768" s="40"/>
      <c r="G768" s="40">
        <v>41878</v>
      </c>
      <c r="H768" s="40"/>
      <c r="I768" s="40"/>
      <c r="J768" s="40"/>
      <c r="K768" s="40"/>
      <c r="L768" s="40"/>
      <c r="M768" s="41">
        <v>161317</v>
      </c>
      <c r="N768" s="1" t="str">
        <f>IFERROR(INDEX([1]物品基础表!$A:$A,MATCH(M768,[1]物品基础表!$B:$B,0)),"")</f>
        <v>橙色战士160级戒指</v>
      </c>
      <c r="O768" s="41">
        <v>1</v>
      </c>
    </row>
    <row r="769" spans="1:15">
      <c r="A769" s="43" t="s">
        <v>514</v>
      </c>
      <c r="B769" s="40">
        <v>566</v>
      </c>
      <c r="C769" s="40">
        <v>132</v>
      </c>
      <c r="D769" s="40"/>
      <c r="E769" s="40"/>
      <c r="F769" s="40"/>
      <c r="G769" s="40">
        <v>41878</v>
      </c>
      <c r="H769" s="40"/>
      <c r="I769" s="40"/>
      <c r="J769" s="40"/>
      <c r="K769" s="40"/>
      <c r="L769" s="40"/>
      <c r="M769" s="41">
        <v>111317</v>
      </c>
      <c r="N769" s="1" t="str">
        <f>IFERROR(INDEX([1]物品基础表!$A:$A,MATCH(M769,[1]物品基础表!$B:$B,0)),"")</f>
        <v>橙色战士160级头盔</v>
      </c>
      <c r="O769" s="41">
        <v>1</v>
      </c>
    </row>
    <row r="770" spans="1:15">
      <c r="A770" s="43" t="s">
        <v>514</v>
      </c>
      <c r="B770" s="40">
        <v>566</v>
      </c>
      <c r="C770" s="40">
        <v>133</v>
      </c>
      <c r="D770" s="40"/>
      <c r="E770" s="40"/>
      <c r="F770" s="40"/>
      <c r="G770" s="40">
        <v>41878</v>
      </c>
      <c r="H770" s="40"/>
      <c r="I770" s="40"/>
      <c r="J770" s="40"/>
      <c r="K770" s="40"/>
      <c r="L770" s="40"/>
      <c r="M770" s="41">
        <v>131317</v>
      </c>
      <c r="N770" s="1" t="str">
        <f>IFERROR(INDEX([1]物品基础表!$A:$A,MATCH(M770,[1]物品基础表!$B:$B,0)),"")</f>
        <v>橙色战士160级项链</v>
      </c>
      <c r="O770" s="41">
        <v>1</v>
      </c>
    </row>
    <row r="771" spans="1:15">
      <c r="A771" s="43" t="s">
        <v>514</v>
      </c>
      <c r="B771" s="40">
        <v>566</v>
      </c>
      <c r="C771" s="40">
        <v>134</v>
      </c>
      <c r="D771" s="40"/>
      <c r="E771" s="40"/>
      <c r="F771" s="40"/>
      <c r="G771" s="40">
        <v>41878</v>
      </c>
      <c r="H771" s="40"/>
      <c r="I771" s="40"/>
      <c r="J771" s="40"/>
      <c r="K771" s="40"/>
      <c r="L771" s="40"/>
      <c r="M771" s="41">
        <v>151317</v>
      </c>
      <c r="N771" s="1" t="str">
        <f>IFERROR(INDEX([1]物品基础表!$A:$A,MATCH(M771,[1]物品基础表!$B:$B,0)),"")</f>
        <v>橙色战士160级腰带</v>
      </c>
      <c r="O771" s="41">
        <v>1</v>
      </c>
    </row>
    <row r="772" spans="1:15">
      <c r="A772" s="43" t="s">
        <v>514</v>
      </c>
      <c r="B772" s="40">
        <v>566</v>
      </c>
      <c r="C772" s="40">
        <v>135</v>
      </c>
      <c r="D772" s="40"/>
      <c r="E772" s="40"/>
      <c r="F772" s="40"/>
      <c r="G772" s="40">
        <v>41878</v>
      </c>
      <c r="H772" s="40"/>
      <c r="I772" s="40"/>
      <c r="J772" s="40"/>
      <c r="K772" s="40"/>
      <c r="L772" s="40"/>
      <c r="M772" s="41">
        <v>171317</v>
      </c>
      <c r="N772" s="1" t="str">
        <f>IFERROR(INDEX([1]物品基础表!$A:$A,MATCH(M772,[1]物品基础表!$B:$B,0)),"")</f>
        <v>橙色战士160级鞋子</v>
      </c>
      <c r="O772" s="41">
        <v>1</v>
      </c>
    </row>
    <row r="773" spans="1:15">
      <c r="A773" s="43" t="s">
        <v>514</v>
      </c>
      <c r="B773" s="40">
        <v>566</v>
      </c>
      <c r="C773" s="40">
        <v>136</v>
      </c>
      <c r="D773" s="40"/>
      <c r="E773" s="40"/>
      <c r="F773" s="40"/>
      <c r="G773" s="40">
        <v>104696</v>
      </c>
      <c r="H773" s="40"/>
      <c r="I773" s="40"/>
      <c r="J773" s="40"/>
      <c r="K773" s="40"/>
      <c r="L773" s="40"/>
      <c r="M773" s="41">
        <v>102317</v>
      </c>
      <c r="N773" s="1" t="str">
        <f>IFERROR(INDEX([1]物品基础表!$A:$A,MATCH(M773,[1]物品基础表!$B:$B,0)),"")</f>
        <v>橙色法师160级武器</v>
      </c>
      <c r="O773" s="41">
        <v>1</v>
      </c>
    </row>
    <row r="774" spans="1:15">
      <c r="A774" s="43" t="s">
        <v>514</v>
      </c>
      <c r="B774" s="40">
        <v>566</v>
      </c>
      <c r="C774" s="40">
        <v>137</v>
      </c>
      <c r="D774" s="40"/>
      <c r="E774" s="40"/>
      <c r="F774" s="40"/>
      <c r="G774" s="40">
        <v>75380</v>
      </c>
      <c r="H774" s="40"/>
      <c r="I774" s="40"/>
      <c r="J774" s="40"/>
      <c r="K774" s="40"/>
      <c r="L774" s="40"/>
      <c r="M774" s="41">
        <v>122317</v>
      </c>
      <c r="N774" s="1" t="str">
        <f>IFERROR(INDEX([1]物品基础表!$A:$A,MATCH(M774,[1]物品基础表!$B:$B,0)),"")</f>
        <v>橙色法师160级衣服</v>
      </c>
      <c r="O774" s="41">
        <v>1</v>
      </c>
    </row>
    <row r="775" spans="1:15">
      <c r="A775" s="43" t="s">
        <v>514</v>
      </c>
      <c r="B775" s="40">
        <v>566</v>
      </c>
      <c r="C775" s="40">
        <v>138</v>
      </c>
      <c r="D775" s="40"/>
      <c r="E775" s="40"/>
      <c r="F775" s="40"/>
      <c r="G775" s="40">
        <v>41878</v>
      </c>
      <c r="H775" s="40"/>
      <c r="I775" s="40"/>
      <c r="J775" s="40"/>
      <c r="K775" s="40"/>
      <c r="L775" s="40"/>
      <c r="M775" s="41">
        <v>142317</v>
      </c>
      <c r="N775" s="1" t="str">
        <f>IFERROR(INDEX([1]物品基础表!$A:$A,MATCH(M775,[1]物品基础表!$B:$B,0)),"")</f>
        <v>橙色法师160级手镯</v>
      </c>
      <c r="O775" s="41">
        <v>1</v>
      </c>
    </row>
    <row r="776" spans="1:15">
      <c r="A776" s="43" t="s">
        <v>514</v>
      </c>
      <c r="B776" s="40">
        <v>566</v>
      </c>
      <c r="C776" s="40">
        <v>139</v>
      </c>
      <c r="D776" s="40"/>
      <c r="E776" s="40"/>
      <c r="F776" s="40"/>
      <c r="G776" s="40">
        <v>41878</v>
      </c>
      <c r="H776" s="40"/>
      <c r="I776" s="40"/>
      <c r="J776" s="40"/>
      <c r="K776" s="40"/>
      <c r="L776" s="40"/>
      <c r="M776" s="41">
        <v>162317</v>
      </c>
      <c r="N776" s="1" t="str">
        <f>IFERROR(INDEX([1]物品基础表!$A:$A,MATCH(M776,[1]物品基础表!$B:$B,0)),"")</f>
        <v>橙色法师160级戒指</v>
      </c>
      <c r="O776" s="41">
        <v>1</v>
      </c>
    </row>
    <row r="777" spans="1:15">
      <c r="A777" s="43" t="s">
        <v>514</v>
      </c>
      <c r="B777" s="40">
        <v>566</v>
      </c>
      <c r="C777" s="40">
        <v>140</v>
      </c>
      <c r="D777" s="40"/>
      <c r="E777" s="40"/>
      <c r="F777" s="40"/>
      <c r="G777" s="40">
        <v>41878</v>
      </c>
      <c r="H777" s="40"/>
      <c r="I777" s="40"/>
      <c r="J777" s="40"/>
      <c r="K777" s="40"/>
      <c r="L777" s="40"/>
      <c r="M777" s="41">
        <v>112317</v>
      </c>
      <c r="N777" s="1" t="str">
        <f>IFERROR(INDEX([1]物品基础表!$A:$A,MATCH(M777,[1]物品基础表!$B:$B,0)),"")</f>
        <v>橙色法师160级头盔</v>
      </c>
      <c r="O777" s="41">
        <v>1</v>
      </c>
    </row>
    <row r="778" spans="1:15">
      <c r="A778" s="43" t="s">
        <v>514</v>
      </c>
      <c r="B778" s="40">
        <v>566</v>
      </c>
      <c r="C778" s="40">
        <v>141</v>
      </c>
      <c r="D778" s="40"/>
      <c r="E778" s="40"/>
      <c r="F778" s="40"/>
      <c r="G778" s="40">
        <v>41878</v>
      </c>
      <c r="H778" s="40"/>
      <c r="I778" s="40"/>
      <c r="J778" s="40"/>
      <c r="K778" s="40"/>
      <c r="L778" s="40"/>
      <c r="M778" s="41">
        <v>132317</v>
      </c>
      <c r="N778" s="1" t="str">
        <f>IFERROR(INDEX([1]物品基础表!$A:$A,MATCH(M778,[1]物品基础表!$B:$B,0)),"")</f>
        <v>橙色法师160级项链</v>
      </c>
      <c r="O778" s="41">
        <v>1</v>
      </c>
    </row>
    <row r="779" spans="1:15">
      <c r="A779" s="43" t="s">
        <v>514</v>
      </c>
      <c r="B779" s="40">
        <v>566</v>
      </c>
      <c r="C779" s="40">
        <v>142</v>
      </c>
      <c r="D779" s="40"/>
      <c r="E779" s="40"/>
      <c r="F779" s="40"/>
      <c r="G779" s="40">
        <v>41878</v>
      </c>
      <c r="H779" s="40"/>
      <c r="I779" s="40"/>
      <c r="J779" s="40"/>
      <c r="K779" s="40"/>
      <c r="L779" s="40"/>
      <c r="M779" s="41">
        <v>152317</v>
      </c>
      <c r="N779" s="1" t="str">
        <f>IFERROR(INDEX([1]物品基础表!$A:$A,MATCH(M779,[1]物品基础表!$B:$B,0)),"")</f>
        <v>橙色法师160级腰带</v>
      </c>
      <c r="O779" s="41">
        <v>1</v>
      </c>
    </row>
    <row r="780" spans="1:15">
      <c r="A780" s="43" t="s">
        <v>514</v>
      </c>
      <c r="B780" s="40">
        <v>566</v>
      </c>
      <c r="C780" s="40">
        <v>143</v>
      </c>
      <c r="D780" s="40"/>
      <c r="E780" s="40"/>
      <c r="F780" s="40"/>
      <c r="G780" s="40">
        <v>41878</v>
      </c>
      <c r="H780" s="40"/>
      <c r="I780" s="40"/>
      <c r="J780" s="40"/>
      <c r="K780" s="40"/>
      <c r="L780" s="40"/>
      <c r="M780" s="41">
        <v>172317</v>
      </c>
      <c r="N780" s="1" t="str">
        <f>IFERROR(INDEX([1]物品基础表!$A:$A,MATCH(M780,[1]物品基础表!$B:$B,0)),"")</f>
        <v>橙色法师160级鞋子</v>
      </c>
      <c r="O780" s="41">
        <v>1</v>
      </c>
    </row>
    <row r="781" spans="1:15">
      <c r="A781" s="43" t="s">
        <v>514</v>
      </c>
      <c r="B781" s="40">
        <v>566</v>
      </c>
      <c r="C781" s="40">
        <v>144</v>
      </c>
      <c r="D781" s="40"/>
      <c r="E781" s="40"/>
      <c r="F781" s="40"/>
      <c r="G781" s="40">
        <v>104696</v>
      </c>
      <c r="H781" s="40"/>
      <c r="I781" s="40"/>
      <c r="J781" s="40"/>
      <c r="K781" s="40"/>
      <c r="L781" s="40"/>
      <c r="M781" s="41">
        <v>103317</v>
      </c>
      <c r="N781" s="1" t="str">
        <f>IFERROR(INDEX([1]物品基础表!$A:$A,MATCH(M781,[1]物品基础表!$B:$B,0)),"")</f>
        <v>橙色道士160级武器</v>
      </c>
      <c r="O781" s="41">
        <v>1</v>
      </c>
    </row>
    <row r="782" spans="1:15">
      <c r="A782" s="43" t="s">
        <v>514</v>
      </c>
      <c r="B782" s="40">
        <v>566</v>
      </c>
      <c r="C782" s="40">
        <v>145</v>
      </c>
      <c r="D782" s="40"/>
      <c r="E782" s="40"/>
      <c r="F782" s="40"/>
      <c r="G782" s="40">
        <v>75380</v>
      </c>
      <c r="H782" s="40"/>
      <c r="I782" s="40"/>
      <c r="J782" s="40"/>
      <c r="K782" s="40"/>
      <c r="L782" s="40"/>
      <c r="M782" s="41">
        <v>123317</v>
      </c>
      <c r="N782" s="1" t="str">
        <f>IFERROR(INDEX([1]物品基础表!$A:$A,MATCH(M782,[1]物品基础表!$B:$B,0)),"")</f>
        <v>橙色道士160级衣服</v>
      </c>
      <c r="O782" s="41">
        <v>1</v>
      </c>
    </row>
    <row r="783" spans="1:15">
      <c r="A783" s="43" t="s">
        <v>514</v>
      </c>
      <c r="B783" s="40">
        <v>566</v>
      </c>
      <c r="C783" s="40">
        <v>146</v>
      </c>
      <c r="D783" s="40"/>
      <c r="E783" s="40"/>
      <c r="F783" s="40"/>
      <c r="G783" s="40">
        <v>41878</v>
      </c>
      <c r="H783" s="40"/>
      <c r="I783" s="40"/>
      <c r="J783" s="40"/>
      <c r="K783" s="40"/>
      <c r="L783" s="40"/>
      <c r="M783" s="41">
        <v>143317</v>
      </c>
      <c r="N783" s="1" t="str">
        <f>IFERROR(INDEX([1]物品基础表!$A:$A,MATCH(M783,[1]物品基础表!$B:$B,0)),"")</f>
        <v>橙色道士160级手镯</v>
      </c>
      <c r="O783" s="41">
        <v>1</v>
      </c>
    </row>
    <row r="784" spans="1:15">
      <c r="A784" s="43" t="s">
        <v>514</v>
      </c>
      <c r="B784" s="40">
        <v>566</v>
      </c>
      <c r="C784" s="40">
        <v>147</v>
      </c>
      <c r="D784" s="40"/>
      <c r="E784" s="40"/>
      <c r="F784" s="40"/>
      <c r="G784" s="40">
        <v>41878</v>
      </c>
      <c r="H784" s="40"/>
      <c r="I784" s="40"/>
      <c r="J784" s="40"/>
      <c r="K784" s="40"/>
      <c r="L784" s="40"/>
      <c r="M784" s="41">
        <v>163317</v>
      </c>
      <c r="N784" s="1" t="str">
        <f>IFERROR(INDEX([1]物品基础表!$A:$A,MATCH(M784,[1]物品基础表!$B:$B,0)),"")</f>
        <v>橙色道士160级戒指</v>
      </c>
      <c r="O784" s="41">
        <v>1</v>
      </c>
    </row>
    <row r="785" spans="1:15">
      <c r="A785" s="43" t="s">
        <v>514</v>
      </c>
      <c r="B785" s="40">
        <v>566</v>
      </c>
      <c r="C785" s="40">
        <v>148</v>
      </c>
      <c r="D785" s="40"/>
      <c r="E785" s="40"/>
      <c r="F785" s="40"/>
      <c r="G785" s="40">
        <v>41878</v>
      </c>
      <c r="H785" s="40"/>
      <c r="I785" s="40"/>
      <c r="J785" s="40"/>
      <c r="K785" s="40"/>
      <c r="L785" s="40"/>
      <c r="M785" s="41">
        <v>113317</v>
      </c>
      <c r="N785" s="1" t="str">
        <f>IFERROR(INDEX([1]物品基础表!$A:$A,MATCH(M785,[1]物品基础表!$B:$B,0)),"")</f>
        <v>橙色道士160级头盔</v>
      </c>
      <c r="O785" s="41">
        <v>1</v>
      </c>
    </row>
    <row r="786" spans="1:15">
      <c r="A786" s="43" t="s">
        <v>514</v>
      </c>
      <c r="B786" s="40">
        <v>566</v>
      </c>
      <c r="C786" s="40">
        <v>149</v>
      </c>
      <c r="D786" s="40"/>
      <c r="E786" s="40"/>
      <c r="F786" s="40"/>
      <c r="G786" s="40">
        <v>41878</v>
      </c>
      <c r="H786" s="40"/>
      <c r="I786" s="40"/>
      <c r="J786" s="40"/>
      <c r="K786" s="40"/>
      <c r="L786" s="40"/>
      <c r="M786" s="41">
        <v>133317</v>
      </c>
      <c r="N786" s="1" t="str">
        <f>IFERROR(INDEX([1]物品基础表!$A:$A,MATCH(M786,[1]物品基础表!$B:$B,0)),"")</f>
        <v>橙色道士160级项链</v>
      </c>
      <c r="O786" s="41">
        <v>1</v>
      </c>
    </row>
    <row r="787" spans="1:15">
      <c r="A787" s="43" t="s">
        <v>514</v>
      </c>
      <c r="B787" s="40">
        <v>566</v>
      </c>
      <c r="C787" s="40">
        <v>150</v>
      </c>
      <c r="D787" s="40"/>
      <c r="E787" s="40"/>
      <c r="F787" s="40"/>
      <c r="G787" s="40">
        <v>41878</v>
      </c>
      <c r="H787" s="40"/>
      <c r="I787" s="40"/>
      <c r="J787" s="40"/>
      <c r="K787" s="40"/>
      <c r="L787" s="40"/>
      <c r="M787" s="41">
        <v>153317</v>
      </c>
      <c r="N787" s="1" t="str">
        <f>IFERROR(INDEX([1]物品基础表!$A:$A,MATCH(M787,[1]物品基础表!$B:$B,0)),"")</f>
        <v>橙色道士160级腰带</v>
      </c>
      <c r="O787" s="41">
        <v>1</v>
      </c>
    </row>
    <row r="788" spans="1:15">
      <c r="A788" s="43" t="s">
        <v>514</v>
      </c>
      <c r="B788" s="40">
        <v>566</v>
      </c>
      <c r="C788" s="40">
        <v>151</v>
      </c>
      <c r="D788" s="40"/>
      <c r="E788" s="40"/>
      <c r="F788" s="40"/>
      <c r="G788" s="40">
        <v>41878</v>
      </c>
      <c r="H788" s="40"/>
      <c r="I788" s="40"/>
      <c r="J788" s="40"/>
      <c r="K788" s="40"/>
      <c r="L788" s="40"/>
      <c r="M788" s="41">
        <v>173317</v>
      </c>
      <c r="N788" s="1" t="str">
        <f>IFERROR(INDEX([1]物品基础表!$A:$A,MATCH(M788,[1]物品基础表!$B:$B,0)),"")</f>
        <v>橙色道士160级鞋子</v>
      </c>
      <c r="O788" s="41">
        <v>1</v>
      </c>
    </row>
    <row r="789" spans="1:15">
      <c r="A789" s="43" t="s">
        <v>514</v>
      </c>
      <c r="B789" s="40">
        <v>566</v>
      </c>
      <c r="C789" s="40">
        <v>152</v>
      </c>
      <c r="D789" s="40"/>
      <c r="E789" s="40"/>
      <c r="F789" s="40"/>
      <c r="G789" s="40">
        <v>127680</v>
      </c>
      <c r="H789" s="40"/>
      <c r="I789" s="40"/>
      <c r="J789" s="40"/>
      <c r="K789" s="40"/>
      <c r="L789" s="40"/>
      <c r="M789" s="41">
        <v>101318</v>
      </c>
      <c r="N789" s="1" t="str">
        <f>IFERROR(INDEX([1]物品基础表!$A:$A,MATCH(M789,[1]物品基础表!$B:$B,0)),"")</f>
        <v>橙色战士170级武器</v>
      </c>
      <c r="O789" s="41">
        <v>1</v>
      </c>
    </row>
    <row r="790" spans="1:15">
      <c r="A790" s="43" t="s">
        <v>514</v>
      </c>
      <c r="B790" s="40">
        <v>566</v>
      </c>
      <c r="C790" s="40">
        <v>153</v>
      </c>
      <c r="D790" s="40"/>
      <c r="E790" s="40"/>
      <c r="F790" s="40"/>
      <c r="G790" s="40">
        <v>91929</v>
      </c>
      <c r="H790" s="40"/>
      <c r="I790" s="40"/>
      <c r="J790" s="40"/>
      <c r="K790" s="40"/>
      <c r="L790" s="40"/>
      <c r="M790" s="41">
        <v>121318</v>
      </c>
      <c r="N790" s="1" t="str">
        <f>IFERROR(INDEX([1]物品基础表!$A:$A,MATCH(M790,[1]物品基础表!$B:$B,0)),"")</f>
        <v>橙色战士170级衣服</v>
      </c>
      <c r="O790" s="41">
        <v>1</v>
      </c>
    </row>
    <row r="791" spans="1:15">
      <c r="A791" s="43" t="s">
        <v>514</v>
      </c>
      <c r="B791" s="40">
        <v>566</v>
      </c>
      <c r="C791" s="40">
        <v>154</v>
      </c>
      <c r="D791" s="40"/>
      <c r="E791" s="40"/>
      <c r="F791" s="40"/>
      <c r="G791" s="40">
        <v>51072</v>
      </c>
      <c r="H791" s="40"/>
      <c r="I791" s="40"/>
      <c r="J791" s="40"/>
      <c r="K791" s="40"/>
      <c r="L791" s="40"/>
      <c r="M791" s="41">
        <v>141318</v>
      </c>
      <c r="N791" s="1" t="str">
        <f>IFERROR(INDEX([1]物品基础表!$A:$A,MATCH(M791,[1]物品基础表!$B:$B,0)),"")</f>
        <v>橙色战士170级手镯</v>
      </c>
      <c r="O791" s="41">
        <v>1</v>
      </c>
    </row>
    <row r="792" spans="1:15">
      <c r="A792" s="43" t="s">
        <v>514</v>
      </c>
      <c r="B792" s="40">
        <v>566</v>
      </c>
      <c r="C792" s="40">
        <v>155</v>
      </c>
      <c r="D792" s="40"/>
      <c r="E792" s="40"/>
      <c r="F792" s="40"/>
      <c r="G792" s="40">
        <v>51072</v>
      </c>
      <c r="H792" s="40"/>
      <c r="I792" s="40"/>
      <c r="J792" s="40"/>
      <c r="K792" s="40"/>
      <c r="L792" s="40"/>
      <c r="M792" s="41">
        <v>161318</v>
      </c>
      <c r="N792" s="1" t="str">
        <f>IFERROR(INDEX([1]物品基础表!$A:$A,MATCH(M792,[1]物品基础表!$B:$B,0)),"")</f>
        <v>橙色战士170级戒指</v>
      </c>
      <c r="O792" s="41">
        <v>1</v>
      </c>
    </row>
    <row r="793" spans="1:15">
      <c r="A793" s="43" t="s">
        <v>514</v>
      </c>
      <c r="B793" s="40">
        <v>566</v>
      </c>
      <c r="C793" s="40">
        <v>156</v>
      </c>
      <c r="D793" s="40"/>
      <c r="E793" s="40"/>
      <c r="F793" s="40"/>
      <c r="G793" s="40">
        <v>51072</v>
      </c>
      <c r="H793" s="40"/>
      <c r="I793" s="40"/>
      <c r="J793" s="40"/>
      <c r="K793" s="40"/>
      <c r="L793" s="40"/>
      <c r="M793" s="41">
        <v>111318</v>
      </c>
      <c r="N793" s="1" t="str">
        <f>IFERROR(INDEX([1]物品基础表!$A:$A,MATCH(M793,[1]物品基础表!$B:$B,0)),"")</f>
        <v>橙色战士170级头盔</v>
      </c>
      <c r="O793" s="41">
        <v>1</v>
      </c>
    </row>
    <row r="794" spans="1:15">
      <c r="A794" s="43" t="s">
        <v>514</v>
      </c>
      <c r="B794" s="40">
        <v>566</v>
      </c>
      <c r="C794" s="40">
        <v>157</v>
      </c>
      <c r="D794" s="40"/>
      <c r="E794" s="40"/>
      <c r="F794" s="40"/>
      <c r="G794" s="40">
        <v>51072</v>
      </c>
      <c r="H794" s="40"/>
      <c r="I794" s="40"/>
      <c r="J794" s="40"/>
      <c r="K794" s="40"/>
      <c r="L794" s="40"/>
      <c r="M794" s="41">
        <v>131318</v>
      </c>
      <c r="N794" s="1" t="str">
        <f>IFERROR(INDEX([1]物品基础表!$A:$A,MATCH(M794,[1]物品基础表!$B:$B,0)),"")</f>
        <v>橙色战士170级项链</v>
      </c>
      <c r="O794" s="41">
        <v>1</v>
      </c>
    </row>
    <row r="795" spans="1:15">
      <c r="A795" s="43" t="s">
        <v>514</v>
      </c>
      <c r="B795" s="40">
        <v>566</v>
      </c>
      <c r="C795" s="40">
        <v>158</v>
      </c>
      <c r="D795" s="40"/>
      <c r="E795" s="40"/>
      <c r="F795" s="40"/>
      <c r="G795" s="40">
        <v>51072</v>
      </c>
      <c r="H795" s="40"/>
      <c r="I795" s="40"/>
      <c r="J795" s="40"/>
      <c r="K795" s="40"/>
      <c r="L795" s="40"/>
      <c r="M795" s="41">
        <v>151318</v>
      </c>
      <c r="N795" s="1" t="str">
        <f>IFERROR(INDEX([1]物品基础表!$A:$A,MATCH(M795,[1]物品基础表!$B:$B,0)),"")</f>
        <v>橙色战士170级腰带</v>
      </c>
      <c r="O795" s="41">
        <v>1</v>
      </c>
    </row>
    <row r="796" spans="1:15">
      <c r="A796" s="43" t="s">
        <v>514</v>
      </c>
      <c r="B796" s="40">
        <v>566</v>
      </c>
      <c r="C796" s="40">
        <v>159</v>
      </c>
      <c r="D796" s="40"/>
      <c r="E796" s="40"/>
      <c r="F796" s="40"/>
      <c r="G796" s="40">
        <v>51072</v>
      </c>
      <c r="H796" s="40"/>
      <c r="I796" s="40"/>
      <c r="J796" s="40"/>
      <c r="K796" s="40"/>
      <c r="L796" s="40"/>
      <c r="M796" s="41">
        <v>171318</v>
      </c>
      <c r="N796" s="1" t="str">
        <f>IFERROR(INDEX([1]物品基础表!$A:$A,MATCH(M796,[1]物品基础表!$B:$B,0)),"")</f>
        <v>橙色战士170级鞋子</v>
      </c>
      <c r="O796" s="41">
        <v>1</v>
      </c>
    </row>
    <row r="797" spans="1:15">
      <c r="A797" s="43" t="s">
        <v>514</v>
      </c>
      <c r="B797" s="40">
        <v>566</v>
      </c>
      <c r="C797" s="40">
        <v>160</v>
      </c>
      <c r="D797" s="40"/>
      <c r="E797" s="40"/>
      <c r="F797" s="40"/>
      <c r="G797" s="40">
        <v>127680</v>
      </c>
      <c r="H797" s="40"/>
      <c r="I797" s="40"/>
      <c r="J797" s="40"/>
      <c r="K797" s="40"/>
      <c r="L797" s="40"/>
      <c r="M797" s="41">
        <v>102318</v>
      </c>
      <c r="N797" s="1" t="str">
        <f>IFERROR(INDEX([1]物品基础表!$A:$A,MATCH(M797,[1]物品基础表!$B:$B,0)),"")</f>
        <v>橙色法师170级武器</v>
      </c>
      <c r="O797" s="41">
        <v>1</v>
      </c>
    </row>
    <row r="798" spans="1:15">
      <c r="A798" s="43" t="s">
        <v>514</v>
      </c>
      <c r="B798" s="40">
        <v>566</v>
      </c>
      <c r="C798" s="40">
        <v>161</v>
      </c>
      <c r="D798" s="40"/>
      <c r="E798" s="40"/>
      <c r="F798" s="40"/>
      <c r="G798" s="40">
        <v>91929</v>
      </c>
      <c r="H798" s="40"/>
      <c r="I798" s="40"/>
      <c r="J798" s="40"/>
      <c r="K798" s="40"/>
      <c r="L798" s="40"/>
      <c r="M798" s="41">
        <v>122318</v>
      </c>
      <c r="N798" s="1" t="str">
        <f>IFERROR(INDEX([1]物品基础表!$A:$A,MATCH(M798,[1]物品基础表!$B:$B,0)),"")</f>
        <v>橙色法师170级衣服</v>
      </c>
      <c r="O798" s="41">
        <v>1</v>
      </c>
    </row>
    <row r="799" spans="1:15">
      <c r="A799" s="43" t="s">
        <v>514</v>
      </c>
      <c r="B799" s="40">
        <v>566</v>
      </c>
      <c r="C799" s="40">
        <v>162</v>
      </c>
      <c r="D799" s="40"/>
      <c r="E799" s="40"/>
      <c r="F799" s="40"/>
      <c r="G799" s="40">
        <v>51072</v>
      </c>
      <c r="H799" s="40"/>
      <c r="I799" s="40"/>
      <c r="J799" s="40"/>
      <c r="K799" s="40"/>
      <c r="L799" s="40"/>
      <c r="M799" s="41">
        <v>142318</v>
      </c>
      <c r="N799" s="1" t="str">
        <f>IFERROR(INDEX([1]物品基础表!$A:$A,MATCH(M799,[1]物品基础表!$B:$B,0)),"")</f>
        <v>橙色法师170级手镯</v>
      </c>
      <c r="O799" s="41">
        <v>1</v>
      </c>
    </row>
    <row r="800" spans="1:15">
      <c r="A800" s="43" t="s">
        <v>514</v>
      </c>
      <c r="B800" s="40">
        <v>566</v>
      </c>
      <c r="C800" s="40">
        <v>163</v>
      </c>
      <c r="D800" s="40"/>
      <c r="E800" s="40"/>
      <c r="F800" s="40"/>
      <c r="G800" s="40">
        <v>51072</v>
      </c>
      <c r="H800" s="40"/>
      <c r="I800" s="40"/>
      <c r="J800" s="40"/>
      <c r="K800" s="40"/>
      <c r="L800" s="40"/>
      <c r="M800" s="41">
        <v>162318</v>
      </c>
      <c r="N800" s="1" t="str">
        <f>IFERROR(INDEX([1]物品基础表!$A:$A,MATCH(M800,[1]物品基础表!$B:$B,0)),"")</f>
        <v>橙色法师170级戒指</v>
      </c>
      <c r="O800" s="41">
        <v>1</v>
      </c>
    </row>
    <row r="801" spans="1:15">
      <c r="A801" s="43" t="s">
        <v>514</v>
      </c>
      <c r="B801" s="40">
        <v>566</v>
      </c>
      <c r="C801" s="40">
        <v>164</v>
      </c>
      <c r="D801" s="40"/>
      <c r="E801" s="40"/>
      <c r="F801" s="40"/>
      <c r="G801" s="40">
        <v>51072</v>
      </c>
      <c r="H801" s="40"/>
      <c r="I801" s="40"/>
      <c r="J801" s="40"/>
      <c r="K801" s="40"/>
      <c r="L801" s="40"/>
      <c r="M801" s="41">
        <v>112318</v>
      </c>
      <c r="N801" s="1" t="str">
        <f>IFERROR(INDEX([1]物品基础表!$A:$A,MATCH(M801,[1]物品基础表!$B:$B,0)),"")</f>
        <v>橙色法师170级头盔</v>
      </c>
      <c r="O801" s="41">
        <v>1</v>
      </c>
    </row>
    <row r="802" spans="1:15">
      <c r="A802" s="43" t="s">
        <v>514</v>
      </c>
      <c r="B802" s="40">
        <v>566</v>
      </c>
      <c r="C802" s="40">
        <v>165</v>
      </c>
      <c r="D802" s="40"/>
      <c r="E802" s="40"/>
      <c r="F802" s="40"/>
      <c r="G802" s="40">
        <v>51072</v>
      </c>
      <c r="H802" s="40"/>
      <c r="I802" s="40"/>
      <c r="J802" s="40"/>
      <c r="K802" s="40"/>
      <c r="L802" s="40"/>
      <c r="M802" s="41">
        <v>132318</v>
      </c>
      <c r="N802" s="1" t="str">
        <f>IFERROR(INDEX([1]物品基础表!$A:$A,MATCH(M802,[1]物品基础表!$B:$B,0)),"")</f>
        <v>橙色法师170级项链</v>
      </c>
      <c r="O802" s="41">
        <v>1</v>
      </c>
    </row>
    <row r="803" spans="1:15">
      <c r="A803" s="43" t="s">
        <v>514</v>
      </c>
      <c r="B803" s="40">
        <v>566</v>
      </c>
      <c r="C803" s="40">
        <v>166</v>
      </c>
      <c r="D803" s="40"/>
      <c r="E803" s="40"/>
      <c r="F803" s="40"/>
      <c r="G803" s="40">
        <v>51072</v>
      </c>
      <c r="H803" s="40"/>
      <c r="I803" s="40"/>
      <c r="J803" s="40"/>
      <c r="K803" s="40"/>
      <c r="L803" s="40"/>
      <c r="M803" s="41">
        <v>152318</v>
      </c>
      <c r="N803" s="1" t="str">
        <f>IFERROR(INDEX([1]物品基础表!$A:$A,MATCH(M803,[1]物品基础表!$B:$B,0)),"")</f>
        <v>橙色法师170级腰带</v>
      </c>
      <c r="O803" s="41">
        <v>1</v>
      </c>
    </row>
    <row r="804" spans="1:15">
      <c r="A804" s="43" t="s">
        <v>514</v>
      </c>
      <c r="B804" s="40">
        <v>566</v>
      </c>
      <c r="C804" s="40">
        <v>167</v>
      </c>
      <c r="D804" s="40"/>
      <c r="E804" s="40"/>
      <c r="F804" s="40"/>
      <c r="G804" s="40">
        <v>51072</v>
      </c>
      <c r="H804" s="40"/>
      <c r="I804" s="40"/>
      <c r="J804" s="40"/>
      <c r="K804" s="40"/>
      <c r="L804" s="40"/>
      <c r="M804" s="41">
        <v>172318</v>
      </c>
      <c r="N804" s="1" t="str">
        <f>IFERROR(INDEX([1]物品基础表!$A:$A,MATCH(M804,[1]物品基础表!$B:$B,0)),"")</f>
        <v>橙色法师170级鞋子</v>
      </c>
      <c r="O804" s="41">
        <v>1</v>
      </c>
    </row>
    <row r="805" spans="1:15">
      <c r="A805" s="43" t="s">
        <v>514</v>
      </c>
      <c r="B805" s="40">
        <v>566</v>
      </c>
      <c r="C805" s="40">
        <v>168</v>
      </c>
      <c r="D805" s="40"/>
      <c r="E805" s="40"/>
      <c r="F805" s="40"/>
      <c r="G805" s="40">
        <v>127680</v>
      </c>
      <c r="H805" s="40"/>
      <c r="I805" s="40"/>
      <c r="J805" s="40"/>
      <c r="K805" s="40"/>
      <c r="L805" s="40"/>
      <c r="M805" s="41">
        <v>103318</v>
      </c>
      <c r="N805" s="1" t="str">
        <f>IFERROR(INDEX([1]物品基础表!$A:$A,MATCH(M805,[1]物品基础表!$B:$B,0)),"")</f>
        <v>橙色道士170级武器</v>
      </c>
      <c r="O805" s="41">
        <v>1</v>
      </c>
    </row>
    <row r="806" spans="1:15">
      <c r="A806" s="43" t="s">
        <v>514</v>
      </c>
      <c r="B806" s="40">
        <v>566</v>
      </c>
      <c r="C806" s="40">
        <v>169</v>
      </c>
      <c r="D806" s="40"/>
      <c r="E806" s="40"/>
      <c r="F806" s="40"/>
      <c r="G806" s="40">
        <v>91929</v>
      </c>
      <c r="H806" s="40"/>
      <c r="I806" s="40"/>
      <c r="J806" s="40"/>
      <c r="K806" s="40"/>
      <c r="L806" s="40"/>
      <c r="M806" s="41">
        <v>123318</v>
      </c>
      <c r="N806" s="1" t="str">
        <f>IFERROR(INDEX([1]物品基础表!$A:$A,MATCH(M806,[1]物品基础表!$B:$B,0)),"")</f>
        <v>橙色道士170级衣服</v>
      </c>
      <c r="O806" s="41">
        <v>1</v>
      </c>
    </row>
    <row r="807" spans="1:15">
      <c r="A807" s="43" t="s">
        <v>514</v>
      </c>
      <c r="B807" s="40">
        <v>566</v>
      </c>
      <c r="C807" s="40">
        <v>170</v>
      </c>
      <c r="D807" s="40"/>
      <c r="E807" s="40"/>
      <c r="F807" s="40"/>
      <c r="G807" s="40">
        <v>51072</v>
      </c>
      <c r="H807" s="40"/>
      <c r="I807" s="40"/>
      <c r="J807" s="40"/>
      <c r="K807" s="40"/>
      <c r="L807" s="40"/>
      <c r="M807" s="41">
        <v>143318</v>
      </c>
      <c r="N807" s="1" t="str">
        <f>IFERROR(INDEX([1]物品基础表!$A:$A,MATCH(M807,[1]物品基础表!$B:$B,0)),"")</f>
        <v>橙色道士170级手镯</v>
      </c>
      <c r="O807" s="41">
        <v>1</v>
      </c>
    </row>
    <row r="808" spans="1:15">
      <c r="A808" s="43" t="s">
        <v>514</v>
      </c>
      <c r="B808" s="40">
        <v>566</v>
      </c>
      <c r="C808" s="40">
        <v>171</v>
      </c>
      <c r="D808" s="40"/>
      <c r="E808" s="40"/>
      <c r="F808" s="40"/>
      <c r="G808" s="40">
        <v>51072</v>
      </c>
      <c r="H808" s="40"/>
      <c r="I808" s="40"/>
      <c r="J808" s="40"/>
      <c r="K808" s="40"/>
      <c r="L808" s="40"/>
      <c r="M808" s="41">
        <v>163318</v>
      </c>
      <c r="N808" s="1" t="str">
        <f>IFERROR(INDEX([1]物品基础表!$A:$A,MATCH(M808,[1]物品基础表!$B:$B,0)),"")</f>
        <v>橙色道士170级戒指</v>
      </c>
      <c r="O808" s="41">
        <v>1</v>
      </c>
    </row>
    <row r="809" spans="1:15">
      <c r="A809" s="43" t="s">
        <v>514</v>
      </c>
      <c r="B809" s="40">
        <v>566</v>
      </c>
      <c r="C809" s="40">
        <v>172</v>
      </c>
      <c r="D809" s="40"/>
      <c r="E809" s="40"/>
      <c r="F809" s="40"/>
      <c r="G809" s="40">
        <v>51072</v>
      </c>
      <c r="H809" s="40"/>
      <c r="I809" s="40"/>
      <c r="J809" s="40"/>
      <c r="K809" s="40"/>
      <c r="L809" s="40"/>
      <c r="M809" s="41">
        <v>113318</v>
      </c>
      <c r="N809" s="1" t="str">
        <f>IFERROR(INDEX([1]物品基础表!$A:$A,MATCH(M809,[1]物品基础表!$B:$B,0)),"")</f>
        <v>橙色道士170级头盔</v>
      </c>
      <c r="O809" s="41">
        <v>1</v>
      </c>
    </row>
    <row r="810" spans="1:15">
      <c r="A810" s="43" t="s">
        <v>514</v>
      </c>
      <c r="B810" s="40">
        <v>566</v>
      </c>
      <c r="C810" s="40">
        <v>173</v>
      </c>
      <c r="D810" s="40"/>
      <c r="E810" s="40"/>
      <c r="F810" s="40"/>
      <c r="G810" s="40">
        <v>51072</v>
      </c>
      <c r="H810" s="40"/>
      <c r="I810" s="40"/>
      <c r="J810" s="40"/>
      <c r="K810" s="40"/>
      <c r="L810" s="40"/>
      <c r="M810" s="41">
        <v>133318</v>
      </c>
      <c r="N810" s="1" t="str">
        <f>IFERROR(INDEX([1]物品基础表!$A:$A,MATCH(M810,[1]物品基础表!$B:$B,0)),"")</f>
        <v>橙色道士170级项链</v>
      </c>
      <c r="O810" s="41">
        <v>1</v>
      </c>
    </row>
    <row r="811" spans="1:15">
      <c r="A811" s="43" t="s">
        <v>514</v>
      </c>
      <c r="B811" s="40">
        <v>566</v>
      </c>
      <c r="C811" s="40">
        <v>174</v>
      </c>
      <c r="D811" s="40"/>
      <c r="E811" s="40"/>
      <c r="F811" s="40"/>
      <c r="G811" s="40">
        <v>51072</v>
      </c>
      <c r="H811" s="40"/>
      <c r="I811" s="40"/>
      <c r="J811" s="40"/>
      <c r="K811" s="40"/>
      <c r="L811" s="40"/>
      <c r="M811" s="41">
        <v>153318</v>
      </c>
      <c r="N811" s="1" t="str">
        <f>IFERROR(INDEX([1]物品基础表!$A:$A,MATCH(M811,[1]物品基础表!$B:$B,0)),"")</f>
        <v>橙色道士170级腰带</v>
      </c>
      <c r="O811" s="41">
        <v>1</v>
      </c>
    </row>
    <row r="812" spans="1:15">
      <c r="A812" s="43" t="s">
        <v>514</v>
      </c>
      <c r="B812" s="40">
        <v>566</v>
      </c>
      <c r="C812" s="40">
        <v>175</v>
      </c>
      <c r="D812" s="40"/>
      <c r="E812" s="40"/>
      <c r="F812" s="40"/>
      <c r="G812" s="40">
        <v>51072</v>
      </c>
      <c r="H812" s="40"/>
      <c r="I812" s="40"/>
      <c r="J812" s="40"/>
      <c r="K812" s="40"/>
      <c r="L812" s="40"/>
      <c r="M812" s="41">
        <v>173318</v>
      </c>
      <c r="N812" s="1" t="str">
        <f>IFERROR(INDEX([1]物品基础表!$A:$A,MATCH(M812,[1]物品基础表!$B:$B,0)),"")</f>
        <v>橙色道士170级鞋子</v>
      </c>
      <c r="O812" s="41">
        <v>1</v>
      </c>
    </row>
    <row r="813" spans="1:15">
      <c r="A813" s="43" t="s">
        <v>773</v>
      </c>
      <c r="B813" s="40">
        <v>652</v>
      </c>
      <c r="C813" s="40">
        <v>1</v>
      </c>
      <c r="D813" s="40"/>
      <c r="E813" s="40"/>
      <c r="F813" s="40" t="s">
        <v>774</v>
      </c>
      <c r="G813" s="40"/>
      <c r="H813" s="40">
        <v>20</v>
      </c>
      <c r="I813" s="40"/>
      <c r="J813" s="40"/>
      <c r="K813" s="40"/>
      <c r="L813" s="40"/>
      <c r="M813" s="41">
        <v>200987</v>
      </c>
      <c r="N813" s="1" t="str">
        <f>IFERROR(INDEX([1]物品基础表!$A:$A,MATCH(M813,[1]物品基础表!$B:$B,0)),"")</f>
        <v>元宵高级礼包</v>
      </c>
      <c r="O813" s="41">
        <v>1</v>
      </c>
    </row>
    <row r="814" spans="1:15">
      <c r="A814" s="43" t="s">
        <v>773</v>
      </c>
      <c r="B814" s="40">
        <v>652</v>
      </c>
      <c r="C814" s="40">
        <v>2</v>
      </c>
      <c r="D814" s="40"/>
      <c r="E814" s="40"/>
      <c r="F814" s="40" t="s">
        <v>775</v>
      </c>
      <c r="G814" s="40"/>
      <c r="H814" s="40">
        <v>30</v>
      </c>
      <c r="I814" s="40"/>
      <c r="J814" s="40"/>
      <c r="K814" s="40"/>
      <c r="L814" s="40"/>
      <c r="M814" s="41">
        <v>200986</v>
      </c>
      <c r="N814" s="1" t="str">
        <f>IFERROR(INDEX([1]物品基础表!$A:$A,MATCH(M814,[1]物品基础表!$B:$B,0)),"")</f>
        <v>元宵中级礼包</v>
      </c>
      <c r="O814" s="41">
        <v>1</v>
      </c>
    </row>
    <row r="815" spans="1:15">
      <c r="A815" s="43" t="s">
        <v>773</v>
      </c>
      <c r="B815" s="40">
        <v>652</v>
      </c>
      <c r="C815" s="40">
        <v>3</v>
      </c>
      <c r="D815" s="40"/>
      <c r="E815" s="40"/>
      <c r="F815" s="40" t="s">
        <v>776</v>
      </c>
      <c r="G815" s="40"/>
      <c r="H815" s="40">
        <v>50</v>
      </c>
      <c r="I815" s="40"/>
      <c r="J815" s="40"/>
      <c r="K815" s="40"/>
      <c r="L815" s="40"/>
      <c r="M815" s="41">
        <v>200015</v>
      </c>
      <c r="N815" s="1" t="str">
        <f>IFERROR(INDEX([1]物品基础表!$A:$A,MATCH(M815,[1]物品基础表!$B:$B,0)),"")</f>
        <v>特戒碎片</v>
      </c>
      <c r="O815" s="41">
        <v>5</v>
      </c>
    </row>
    <row r="816" spans="1:15">
      <c r="A816" s="43" t="s">
        <v>773</v>
      </c>
      <c r="B816" s="40">
        <v>652</v>
      </c>
      <c r="C816" s="40">
        <v>4</v>
      </c>
      <c r="D816" s="40"/>
      <c r="E816" s="40"/>
      <c r="F816" s="40" t="s">
        <v>777</v>
      </c>
      <c r="G816" s="40"/>
      <c r="H816" s="40">
        <v>50</v>
      </c>
      <c r="I816" s="40"/>
      <c r="J816" s="40"/>
      <c r="K816" s="40"/>
      <c r="L816" s="40"/>
      <c r="M816" s="41">
        <v>500004</v>
      </c>
      <c r="N816" s="1" t="str">
        <f>IFERROR(INDEX([1]物品基础表!$A:$A,MATCH(M816,[1]物品基础表!$B:$B,0)),"")</f>
        <v>战纹精华-橙</v>
      </c>
      <c r="O816" s="41">
        <v>2</v>
      </c>
    </row>
    <row r="817" spans="1:15">
      <c r="A817" s="43" t="s">
        <v>773</v>
      </c>
      <c r="B817" s="40">
        <v>701</v>
      </c>
      <c r="C817" s="40">
        <v>1</v>
      </c>
      <c r="D817" s="40"/>
      <c r="E817" s="40"/>
      <c r="F817" s="40" t="s">
        <v>774</v>
      </c>
      <c r="G817" s="40"/>
      <c r="H817" s="40">
        <v>20</v>
      </c>
      <c r="I817" s="40"/>
      <c r="J817" s="40"/>
      <c r="K817" s="40"/>
      <c r="L817" s="40"/>
      <c r="M817" s="41">
        <v>200987</v>
      </c>
      <c r="N817" s="1" t="str">
        <f>IFERROR(INDEX([1]物品基础表!$A:$A,MATCH(M817,[1]物品基础表!$B:$B,0)),"")</f>
        <v>元宵高级礼包</v>
      </c>
      <c r="O817" s="41">
        <v>1</v>
      </c>
    </row>
    <row r="818" spans="1:15">
      <c r="A818" s="43" t="s">
        <v>773</v>
      </c>
      <c r="B818" s="40">
        <v>701</v>
      </c>
      <c r="C818" s="40">
        <v>2</v>
      </c>
      <c r="D818" s="40"/>
      <c r="E818" s="40"/>
      <c r="F818" s="40" t="s">
        <v>775</v>
      </c>
      <c r="G818" s="40"/>
      <c r="H818" s="40">
        <v>30</v>
      </c>
      <c r="I818" s="40"/>
      <c r="J818" s="40"/>
      <c r="K818" s="40"/>
      <c r="L818" s="40"/>
      <c r="M818" s="41">
        <v>200986</v>
      </c>
      <c r="N818" s="1" t="str">
        <f>IFERROR(INDEX([1]物品基础表!$A:$A,MATCH(M818,[1]物品基础表!$B:$B,0)),"")</f>
        <v>元宵中级礼包</v>
      </c>
      <c r="O818" s="41">
        <v>1</v>
      </c>
    </row>
    <row r="819" spans="1:15">
      <c r="A819" s="43" t="s">
        <v>773</v>
      </c>
      <c r="B819" s="40">
        <v>701</v>
      </c>
      <c r="C819" s="40">
        <v>3</v>
      </c>
      <c r="D819" s="40"/>
      <c r="E819" s="40"/>
      <c r="F819" s="40" t="s">
        <v>776</v>
      </c>
      <c r="G819" s="40"/>
      <c r="H819" s="40">
        <v>50</v>
      </c>
      <c r="I819" s="40"/>
      <c r="J819" s="40"/>
      <c r="K819" s="40"/>
      <c r="L819" s="40"/>
      <c r="M819" s="41">
        <v>200015</v>
      </c>
      <c r="N819" s="1" t="str">
        <f>IFERROR(INDEX([1]物品基础表!$A:$A,MATCH(M819,[1]物品基础表!$B:$B,0)),"")</f>
        <v>特戒碎片</v>
      </c>
      <c r="O819" s="41">
        <v>5</v>
      </c>
    </row>
    <row r="820" spans="1:15">
      <c r="A820" s="43" t="s">
        <v>773</v>
      </c>
      <c r="B820" s="40">
        <v>701</v>
      </c>
      <c r="C820" s="40">
        <v>4</v>
      </c>
      <c r="D820" s="40"/>
      <c r="E820" s="40"/>
      <c r="F820" s="40" t="s">
        <v>777</v>
      </c>
      <c r="G820" s="40"/>
      <c r="H820" s="40">
        <v>50</v>
      </c>
      <c r="I820" s="40"/>
      <c r="J820" s="40"/>
      <c r="K820" s="40"/>
      <c r="L820" s="40"/>
      <c r="M820" s="41">
        <v>500004</v>
      </c>
      <c r="N820" s="1" t="str">
        <f>IFERROR(INDEX([1]物品基础表!$A:$A,MATCH(M820,[1]物品基础表!$B:$B,0)),"")</f>
        <v>战纹精华-橙</v>
      </c>
      <c r="O820" s="41">
        <v>2</v>
      </c>
    </row>
    <row r="821" spans="1:15">
      <c r="A821" s="43" t="s">
        <v>502</v>
      </c>
      <c r="B821" s="40">
        <v>805</v>
      </c>
      <c r="C821" s="40">
        <v>1</v>
      </c>
      <c r="D821" s="40"/>
      <c r="E821" s="40"/>
      <c r="F821" s="40"/>
      <c r="G821" s="40">
        <v>30000</v>
      </c>
      <c r="H821" s="40"/>
      <c r="I821" s="40">
        <v>5</v>
      </c>
      <c r="J821" s="40"/>
      <c r="K821" s="40"/>
      <c r="L821" s="40"/>
      <c r="M821" s="41">
        <v>220010</v>
      </c>
      <c r="N821" s="1" t="str">
        <f>IFERROR(INDEX([1]物品基础表!$A:$A,MATCH(M821,[1]物品基础表!$B:$B,0)),"")</f>
        <v>中级秘籍宝箱</v>
      </c>
      <c r="O821" s="41">
        <v>1</v>
      </c>
    </row>
    <row r="822" spans="1:15">
      <c r="A822" s="43" t="s">
        <v>502</v>
      </c>
      <c r="B822" s="40">
        <v>805</v>
      </c>
      <c r="C822" s="40">
        <v>2</v>
      </c>
      <c r="D822" s="40"/>
      <c r="E822" s="40"/>
      <c r="F822" s="40"/>
      <c r="G822" s="40">
        <v>1500</v>
      </c>
      <c r="H822" s="40"/>
      <c r="I822" s="40">
        <v>50</v>
      </c>
      <c r="J822" s="40"/>
      <c r="K822" s="40"/>
      <c r="L822" s="40"/>
      <c r="M822" s="41">
        <v>200005</v>
      </c>
      <c r="N822" s="1" t="str">
        <f>IFERROR(INDEX([1]物品基础表!$A:$A,MATCH(M822,[1]物品基础表!$B:$B,0)),"")</f>
        <v>龙魂碎片</v>
      </c>
      <c r="O822" s="41">
        <v>1</v>
      </c>
    </row>
    <row r="823" spans="1:15">
      <c r="A823" s="43" t="s">
        <v>502</v>
      </c>
      <c r="B823" s="40">
        <v>805</v>
      </c>
      <c r="C823" s="40">
        <v>3</v>
      </c>
      <c r="D823" s="40"/>
      <c r="E823" s="40"/>
      <c r="F823" s="40"/>
      <c r="G823" s="40">
        <v>10000</v>
      </c>
      <c r="H823" s="40"/>
      <c r="I823" s="40">
        <v>5</v>
      </c>
      <c r="J823" s="40"/>
      <c r="K823" s="40"/>
      <c r="L823" s="40"/>
      <c r="M823" s="41">
        <v>200905</v>
      </c>
      <c r="N823" s="1" t="str">
        <f>IFERROR(INDEX([1]物品基础表!$A:$A,MATCH(M823,[1]物品基础表!$B:$B,0)),"")</f>
        <v>BOSS积分宝盒</v>
      </c>
      <c r="O823" s="41">
        <v>1</v>
      </c>
    </row>
    <row r="824" spans="1:15">
      <c r="A824" s="43" t="s">
        <v>502</v>
      </c>
      <c r="B824" s="40">
        <v>805</v>
      </c>
      <c r="C824" s="40">
        <v>4</v>
      </c>
      <c r="D824" s="40"/>
      <c r="E824" s="40"/>
      <c r="F824" s="40"/>
      <c r="G824" s="40">
        <v>7000</v>
      </c>
      <c r="H824" s="40"/>
      <c r="I824" s="40">
        <v>5</v>
      </c>
      <c r="J824" s="40"/>
      <c r="K824" s="40"/>
      <c r="L824" s="40"/>
      <c r="M824" s="41">
        <v>200157</v>
      </c>
      <c r="N824" s="1" t="str">
        <f>IFERROR(INDEX([1]物品基础表!$A:$A,MATCH(M824,[1]物品基础表!$B:$B,0)),"")</f>
        <v>秘境BOSS次数卷轴</v>
      </c>
      <c r="O824" s="41">
        <v>1</v>
      </c>
    </row>
    <row r="825" spans="1:15">
      <c r="A825" s="43" t="s">
        <v>502</v>
      </c>
      <c r="B825" s="40">
        <v>805</v>
      </c>
      <c r="C825" s="40">
        <v>5</v>
      </c>
      <c r="D825" s="40"/>
      <c r="E825" s="40"/>
      <c r="F825" s="40"/>
      <c r="G825" s="40">
        <v>2500</v>
      </c>
      <c r="H825" s="40"/>
      <c r="I825" s="40">
        <v>15</v>
      </c>
      <c r="J825" s="40"/>
      <c r="K825" s="40"/>
      <c r="L825" s="40"/>
      <c r="M825" s="41">
        <v>200156</v>
      </c>
      <c r="N825" s="1" t="str">
        <f>IFERROR(INDEX([1]物品基础表!$A:$A,MATCH(M825,[1]物品基础表!$B:$B,0)),"")</f>
        <v>野外BOSS次数卷轴</v>
      </c>
      <c r="O825" s="41">
        <v>1</v>
      </c>
    </row>
    <row r="826" spans="1:15">
      <c r="A826" s="43" t="s">
        <v>502</v>
      </c>
      <c r="B826" s="40">
        <v>805</v>
      </c>
      <c r="C826" s="40">
        <v>6</v>
      </c>
      <c r="D826" s="40"/>
      <c r="E826" s="40"/>
      <c r="F826" s="40"/>
      <c r="G826" s="40">
        <v>2000</v>
      </c>
      <c r="H826" s="40"/>
      <c r="I826" s="40">
        <v>5</v>
      </c>
      <c r="J826" s="40"/>
      <c r="K826" s="40"/>
      <c r="L826" s="40"/>
      <c r="M826" s="41">
        <v>201002</v>
      </c>
      <c r="N826" s="1" t="str">
        <f>IFERROR(INDEX([1]物品基础表!$A:$A,MATCH(M826,[1]物品基础表!$B:$B,0)),"")</f>
        <v>神秘钥匙</v>
      </c>
      <c r="O826" s="41">
        <v>1</v>
      </c>
    </row>
    <row r="827" spans="1:15">
      <c r="A827" s="43" t="s">
        <v>502</v>
      </c>
      <c r="B827" s="40">
        <v>805</v>
      </c>
      <c r="C827" s="40">
        <v>7</v>
      </c>
      <c r="D827" s="40"/>
      <c r="E827" s="40"/>
      <c r="F827" s="40"/>
      <c r="G827" s="40">
        <v>2000</v>
      </c>
      <c r="H827" s="40"/>
      <c r="I827" s="40">
        <v>15</v>
      </c>
      <c r="J827" s="40"/>
      <c r="K827" s="40"/>
      <c r="L827" s="40"/>
      <c r="M827" s="41">
        <v>200164</v>
      </c>
      <c r="N827" s="1" t="str">
        <f>IFERROR(INDEX([1]物品基础表!$A:$A,MATCH(M827,[1]物品基础表!$B:$B,0)),"")</f>
        <v>金砖</v>
      </c>
      <c r="O827" s="41">
        <v>1</v>
      </c>
    </row>
    <row r="828" spans="1:15">
      <c r="A828" s="43" t="s">
        <v>502</v>
      </c>
      <c r="B828" s="40">
        <v>805</v>
      </c>
      <c r="C828" s="40">
        <v>8</v>
      </c>
      <c r="D828" s="40"/>
      <c r="E828" s="40"/>
      <c r="F828" s="40"/>
      <c r="G828" s="40">
        <v>2500</v>
      </c>
      <c r="H828" s="40"/>
      <c r="I828" s="40"/>
      <c r="J828" s="40"/>
      <c r="K828" s="40"/>
      <c r="L828" s="40"/>
      <c r="M828" s="41">
        <v>200167</v>
      </c>
      <c r="N828" s="1" t="str">
        <f>IFERROR(INDEX([1]物品基础表!$A:$A,MATCH(M828,[1]物品基础表!$B:$B,0)),"")</f>
        <v>黑铁</v>
      </c>
      <c r="O828" s="41">
        <v>100</v>
      </c>
    </row>
    <row r="829" spans="1:15">
      <c r="A829" s="43" t="s">
        <v>502</v>
      </c>
      <c r="B829" s="40">
        <v>805</v>
      </c>
      <c r="C829" s="40">
        <v>9</v>
      </c>
      <c r="D829" s="40"/>
      <c r="E829" s="40"/>
      <c r="F829" s="40"/>
      <c r="G829" s="40">
        <v>2000</v>
      </c>
      <c r="H829" s="40"/>
      <c r="I829" s="40"/>
      <c r="J829" s="40"/>
      <c r="K829" s="40"/>
      <c r="L829" s="40"/>
      <c r="M829" s="41">
        <v>200015</v>
      </c>
      <c r="N829" s="1" t="str">
        <f>IFERROR(INDEX([1]物品基础表!$A:$A,MATCH(M829,[1]物品基础表!$B:$B,0)),"")</f>
        <v>特戒碎片</v>
      </c>
      <c r="O829" s="41">
        <v>20</v>
      </c>
    </row>
    <row r="830" spans="1:15">
      <c r="A830" s="43" t="s">
        <v>502</v>
      </c>
      <c r="B830" s="40">
        <v>813</v>
      </c>
      <c r="C830" s="40">
        <v>1</v>
      </c>
      <c r="D830" s="40"/>
      <c r="E830" s="40"/>
      <c r="F830" s="40"/>
      <c r="G830" s="40">
        <v>30000</v>
      </c>
      <c r="H830" s="40"/>
      <c r="I830" s="40">
        <v>5</v>
      </c>
      <c r="J830" s="40"/>
      <c r="K830" s="40"/>
      <c r="L830" s="40"/>
      <c r="M830" s="41">
        <v>220010</v>
      </c>
      <c r="N830" s="1" t="str">
        <f>IFERROR(INDEX([1]物品基础表!$A:$A,MATCH(M830,[1]物品基础表!$B:$B,0)),"")</f>
        <v>中级秘籍宝箱</v>
      </c>
      <c r="O830" s="41">
        <v>1</v>
      </c>
    </row>
    <row r="831" spans="1:15">
      <c r="A831" s="43" t="s">
        <v>502</v>
      </c>
      <c r="B831" s="40">
        <v>813</v>
      </c>
      <c r="C831" s="40">
        <v>2</v>
      </c>
      <c r="D831" s="40"/>
      <c r="E831" s="40"/>
      <c r="F831" s="40"/>
      <c r="G831" s="40">
        <v>1500</v>
      </c>
      <c r="H831" s="40"/>
      <c r="I831" s="40">
        <v>50</v>
      </c>
      <c r="J831" s="40"/>
      <c r="K831" s="40"/>
      <c r="L831" s="40"/>
      <c r="M831" s="41">
        <v>200005</v>
      </c>
      <c r="N831" s="1" t="str">
        <f>IFERROR(INDEX([1]物品基础表!$A:$A,MATCH(M831,[1]物品基础表!$B:$B,0)),"")</f>
        <v>龙魂碎片</v>
      </c>
      <c r="O831" s="41">
        <v>1</v>
      </c>
    </row>
    <row r="832" spans="1:15">
      <c r="A832" s="43" t="s">
        <v>502</v>
      </c>
      <c r="B832" s="40">
        <v>813</v>
      </c>
      <c r="C832" s="40">
        <v>3</v>
      </c>
      <c r="D832" s="40"/>
      <c r="E832" s="40"/>
      <c r="F832" s="40"/>
      <c r="G832" s="40">
        <v>10000</v>
      </c>
      <c r="H832" s="40"/>
      <c r="I832" s="40">
        <v>5</v>
      </c>
      <c r="J832" s="40"/>
      <c r="K832" s="40"/>
      <c r="L832" s="40"/>
      <c r="M832" s="41">
        <v>200905</v>
      </c>
      <c r="N832" s="1" t="str">
        <f>IFERROR(INDEX([1]物品基础表!$A:$A,MATCH(M832,[1]物品基础表!$B:$B,0)),"")</f>
        <v>BOSS积分宝盒</v>
      </c>
      <c r="O832" s="41">
        <v>1</v>
      </c>
    </row>
    <row r="833" spans="1:15">
      <c r="A833" s="43" t="s">
        <v>502</v>
      </c>
      <c r="B833" s="40">
        <v>813</v>
      </c>
      <c r="C833" s="40">
        <v>4</v>
      </c>
      <c r="D833" s="40"/>
      <c r="E833" s="40"/>
      <c r="F833" s="40"/>
      <c r="G833" s="40">
        <v>7000</v>
      </c>
      <c r="H833" s="40"/>
      <c r="I833" s="40">
        <v>5</v>
      </c>
      <c r="J833" s="40"/>
      <c r="K833" s="40"/>
      <c r="L833" s="40"/>
      <c r="M833" s="41">
        <v>200157</v>
      </c>
      <c r="N833" s="1" t="str">
        <f>IFERROR(INDEX([1]物品基础表!$A:$A,MATCH(M833,[1]物品基础表!$B:$B,0)),"")</f>
        <v>秘境BOSS次数卷轴</v>
      </c>
      <c r="O833" s="41">
        <v>1</v>
      </c>
    </row>
    <row r="834" spans="1:15">
      <c r="A834" s="43" t="s">
        <v>502</v>
      </c>
      <c r="B834" s="40">
        <v>813</v>
      </c>
      <c r="C834" s="40">
        <v>5</v>
      </c>
      <c r="D834" s="40"/>
      <c r="E834" s="40"/>
      <c r="F834" s="40"/>
      <c r="G834" s="40">
        <v>2500</v>
      </c>
      <c r="H834" s="40"/>
      <c r="I834" s="40">
        <v>15</v>
      </c>
      <c r="J834" s="40"/>
      <c r="K834" s="40"/>
      <c r="L834" s="40"/>
      <c r="M834" s="41">
        <v>200156</v>
      </c>
      <c r="N834" s="1" t="str">
        <f>IFERROR(INDEX([1]物品基础表!$A:$A,MATCH(M834,[1]物品基础表!$B:$B,0)),"")</f>
        <v>野外BOSS次数卷轴</v>
      </c>
      <c r="O834" s="41">
        <v>1</v>
      </c>
    </row>
    <row r="835" spans="1:15">
      <c r="A835" s="43" t="s">
        <v>502</v>
      </c>
      <c r="B835" s="40">
        <v>813</v>
      </c>
      <c r="C835" s="40">
        <v>6</v>
      </c>
      <c r="D835" s="40"/>
      <c r="E835" s="40"/>
      <c r="F835" s="40"/>
      <c r="G835" s="40">
        <v>2000</v>
      </c>
      <c r="H835" s="40"/>
      <c r="I835" s="40">
        <v>5</v>
      </c>
      <c r="J835" s="40"/>
      <c r="K835" s="40"/>
      <c r="L835" s="40"/>
      <c r="M835" s="41">
        <v>201002</v>
      </c>
      <c r="N835" s="1" t="str">
        <f>IFERROR(INDEX([1]物品基础表!$A:$A,MATCH(M835,[1]物品基础表!$B:$B,0)),"")</f>
        <v>神秘钥匙</v>
      </c>
      <c r="O835" s="41">
        <v>1</v>
      </c>
    </row>
    <row r="836" spans="1:15">
      <c r="A836" s="43" t="s">
        <v>502</v>
      </c>
      <c r="B836" s="40">
        <v>813</v>
      </c>
      <c r="C836" s="40">
        <v>7</v>
      </c>
      <c r="D836" s="40"/>
      <c r="E836" s="40"/>
      <c r="F836" s="40"/>
      <c r="G836" s="40">
        <v>2000</v>
      </c>
      <c r="H836" s="40"/>
      <c r="I836" s="40">
        <v>15</v>
      </c>
      <c r="J836" s="40"/>
      <c r="K836" s="40"/>
      <c r="L836" s="40"/>
      <c r="M836" s="41">
        <v>200164</v>
      </c>
      <c r="N836" s="1" t="str">
        <f>IFERROR(INDEX([1]物品基础表!$A:$A,MATCH(M836,[1]物品基础表!$B:$B,0)),"")</f>
        <v>金砖</v>
      </c>
      <c r="O836" s="41">
        <v>1</v>
      </c>
    </row>
    <row r="837" spans="1:15">
      <c r="A837" s="43" t="s">
        <v>502</v>
      </c>
      <c r="B837" s="40">
        <v>813</v>
      </c>
      <c r="C837" s="40">
        <v>8</v>
      </c>
      <c r="D837" s="40"/>
      <c r="E837" s="40"/>
      <c r="F837" s="40"/>
      <c r="G837" s="40">
        <v>2500</v>
      </c>
      <c r="H837" s="40"/>
      <c r="I837" s="40"/>
      <c r="J837" s="40"/>
      <c r="K837" s="40"/>
      <c r="L837" s="40"/>
      <c r="M837" s="41">
        <v>200167</v>
      </c>
      <c r="N837" s="1" t="str">
        <f>IFERROR(INDEX([1]物品基础表!$A:$A,MATCH(M837,[1]物品基础表!$B:$B,0)),"")</f>
        <v>黑铁</v>
      </c>
      <c r="O837" s="41">
        <v>100</v>
      </c>
    </row>
    <row r="838" spans="1:15">
      <c r="A838" s="43" t="s">
        <v>502</v>
      </c>
      <c r="B838" s="40">
        <v>813</v>
      </c>
      <c r="C838" s="40">
        <v>9</v>
      </c>
      <c r="D838" s="40"/>
      <c r="E838" s="40"/>
      <c r="F838" s="40"/>
      <c r="G838" s="40">
        <v>2000</v>
      </c>
      <c r="H838" s="40"/>
      <c r="I838" s="40"/>
      <c r="J838" s="40"/>
      <c r="K838" s="40"/>
      <c r="L838" s="40"/>
      <c r="M838" s="41">
        <v>200015</v>
      </c>
      <c r="N838" s="1" t="str">
        <f>IFERROR(INDEX([1]物品基础表!$A:$A,MATCH(M838,[1]物品基础表!$B:$B,0)),"")</f>
        <v>特戒碎片</v>
      </c>
      <c r="O838" s="41">
        <v>20</v>
      </c>
    </row>
  </sheetData>
  <mergeCells count="1">
    <mergeCell ref="M1:O1"/>
  </mergeCells>
  <phoneticPr fontId="1"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17"/>
  <sheetViews>
    <sheetView workbookViewId="0">
      <selection activeCell="H21" sqref="H21"/>
    </sheetView>
  </sheetViews>
  <sheetFormatPr defaultRowHeight="13.5"/>
  <cols>
    <col min="1" max="1" width="18.375" style="32" bestFit="1" customWidth="1"/>
    <col min="2" max="11" width="9" style="32"/>
    <col min="12" max="12" width="16.25" style="32" bestFit="1" customWidth="1"/>
    <col min="13" max="14" width="9" style="32"/>
    <col min="15" max="15" width="16.25" style="32" bestFit="1" customWidth="1"/>
    <col min="16" max="16384" width="9" style="32"/>
  </cols>
  <sheetData>
    <row r="1" spans="1:16">
      <c r="A1" s="36" t="s">
        <v>785</v>
      </c>
      <c r="H1" s="104" t="s">
        <v>782</v>
      </c>
      <c r="I1" s="104"/>
      <c r="J1" s="104"/>
      <c r="K1" s="104"/>
      <c r="L1" s="104"/>
      <c r="M1" s="104"/>
      <c r="N1" s="104"/>
      <c r="O1" s="104"/>
      <c r="P1" s="104"/>
    </row>
    <row r="2" spans="1:16">
      <c r="A2" s="49" t="s">
        <v>19</v>
      </c>
      <c r="B2" s="50" t="s">
        <v>32</v>
      </c>
      <c r="C2" s="50" t="s">
        <v>33</v>
      </c>
      <c r="D2" s="50" t="s">
        <v>784</v>
      </c>
      <c r="E2" s="50" t="s">
        <v>780</v>
      </c>
      <c r="F2" s="50" t="s">
        <v>781</v>
      </c>
      <c r="G2" s="51" t="s">
        <v>783</v>
      </c>
      <c r="H2" s="4" t="s">
        <v>2</v>
      </c>
      <c r="I2" s="4" t="s">
        <v>3</v>
      </c>
      <c r="J2" s="4" t="s">
        <v>4</v>
      </c>
      <c r="K2" s="4" t="s">
        <v>2</v>
      </c>
      <c r="L2" s="4" t="s">
        <v>3</v>
      </c>
      <c r="M2" s="4" t="s">
        <v>4</v>
      </c>
      <c r="N2" s="4" t="s">
        <v>2</v>
      </c>
      <c r="O2" s="4" t="s">
        <v>3</v>
      </c>
      <c r="P2" s="4" t="s">
        <v>4</v>
      </c>
    </row>
    <row r="3" spans="1:16">
      <c r="A3" s="39" t="str">
        <f>INDEX([2]活动总表!$A$8:$A$429,MATCH(B3,[2]活动总表!$B$8:$B$429,0))</f>
        <v>次周活动-烈焰副本</v>
      </c>
      <c r="B3" s="52">
        <v>201</v>
      </c>
      <c r="C3" s="52">
        <v>1</v>
      </c>
      <c r="D3" s="52">
        <v>32001</v>
      </c>
      <c r="E3" s="52"/>
      <c r="F3" s="52">
        <v>888</v>
      </c>
      <c r="G3" s="53">
        <v>150</v>
      </c>
      <c r="H3" s="52">
        <v>200015</v>
      </c>
      <c r="I3" s="1" t="str">
        <f>IFERROR(INDEX([1]物品基础表!$A:$A,MATCH(H3,[1]物品基础表!$B:$B,0)),"")</f>
        <v>特戒碎片</v>
      </c>
      <c r="J3" s="1">
        <v>150</v>
      </c>
      <c r="K3" s="32">
        <v>202001</v>
      </c>
      <c r="L3" s="1" t="str">
        <f>IFERROR(INDEX([1]物品基础表!$A:$A,MATCH(K3,[1]物品基础表!$B:$B,0)),"")</f>
        <v>烈焰戒指技能1书</v>
      </c>
      <c r="M3" s="1">
        <v>0.5</v>
      </c>
      <c r="N3" s="32">
        <v>202002</v>
      </c>
      <c r="O3" s="1" t="str">
        <f>IFERROR(INDEX([1]物品基础表!$A:$A,MATCH(N3,[1]物品基础表!$B:$B,0)),"")</f>
        <v>烈焰戒指技能2书</v>
      </c>
      <c r="P3" s="1">
        <v>0</v>
      </c>
    </row>
    <row r="4" spans="1:16">
      <c r="A4" s="39" t="str">
        <f>INDEX([2]活动总表!$A$8:$A$429,MATCH(B4,[2]活动总表!$B$8:$B$429,0))</f>
        <v>次周活动-烈焰副本</v>
      </c>
      <c r="B4" s="52">
        <v>201</v>
      </c>
      <c r="C4" s="52">
        <v>2</v>
      </c>
      <c r="D4" s="52">
        <v>32002</v>
      </c>
      <c r="E4" s="52">
        <v>1</v>
      </c>
      <c r="F4" s="52">
        <v>2888</v>
      </c>
      <c r="G4" s="53">
        <v>400</v>
      </c>
      <c r="H4" s="52">
        <v>200015</v>
      </c>
      <c r="I4" s="1" t="str">
        <f>IFERROR(INDEX([1]物品基础表!$A:$A,MATCH(H4,[1]物品基础表!$B:$B,0)),"")</f>
        <v>特戒碎片</v>
      </c>
      <c r="J4" s="1">
        <v>400</v>
      </c>
      <c r="K4" s="32">
        <v>202001</v>
      </c>
      <c r="L4" s="1" t="str">
        <f>IFERROR(INDEX([1]物品基础表!$A:$A,MATCH(K4,[1]物品基础表!$B:$B,0)),"")</f>
        <v>烈焰戒指技能1书</v>
      </c>
      <c r="M4" s="1">
        <v>0.5</v>
      </c>
      <c r="N4" s="32">
        <v>202002</v>
      </c>
      <c r="O4" s="1" t="str">
        <f>IFERROR(INDEX([1]物品基础表!$A:$A,MATCH(N4,[1]物品基础表!$B:$B,0)),"")</f>
        <v>烈焰戒指技能2书</v>
      </c>
      <c r="P4" s="1">
        <v>0</v>
      </c>
    </row>
    <row r="5" spans="1:16">
      <c r="A5" s="39" t="str">
        <f>INDEX([2]活动总表!$A$8:$A$429,MATCH(B5,[2]活动总表!$B$8:$B$429,0))</f>
        <v>次周活动-烈焰副本</v>
      </c>
      <c r="B5" s="52">
        <v>201</v>
      </c>
      <c r="C5" s="52">
        <v>3</v>
      </c>
      <c r="D5" s="52">
        <v>32003</v>
      </c>
      <c r="E5" s="52">
        <v>2</v>
      </c>
      <c r="F5" s="52">
        <v>5888</v>
      </c>
      <c r="G5" s="53">
        <v>800</v>
      </c>
      <c r="H5" s="52">
        <v>200015</v>
      </c>
      <c r="I5" s="1" t="str">
        <f>IFERROR(INDEX([1]物品基础表!$A:$A,MATCH(H5,[1]物品基础表!$B:$B,0)),"")</f>
        <v>特戒碎片</v>
      </c>
      <c r="J5" s="1">
        <v>800</v>
      </c>
      <c r="K5" s="32">
        <v>202001</v>
      </c>
      <c r="L5" s="1" t="str">
        <f>IFERROR(INDEX([1]物品基础表!$A:$A,MATCH(K5,[1]物品基础表!$B:$B,0)),"")</f>
        <v>烈焰戒指技能1书</v>
      </c>
      <c r="M5" s="1">
        <v>0.4</v>
      </c>
      <c r="N5" s="32">
        <v>202002</v>
      </c>
      <c r="O5" s="1" t="str">
        <f>IFERROR(INDEX([1]物品基础表!$A:$A,MATCH(N5,[1]物品基础表!$B:$B,0)),"")</f>
        <v>烈焰戒指技能2书</v>
      </c>
      <c r="P5" s="1">
        <v>0.1</v>
      </c>
    </row>
    <row r="6" spans="1:16">
      <c r="A6" s="39" t="str">
        <f>INDEX([2]活动总表!$A$8:$A$429,MATCH(B6,[2]活动总表!$B$8:$B$429,0))</f>
        <v>次周活动-烈焰副本</v>
      </c>
      <c r="B6" s="52">
        <v>201</v>
      </c>
      <c r="C6" s="52">
        <v>4</v>
      </c>
      <c r="D6" s="52">
        <v>32004</v>
      </c>
      <c r="E6" s="52">
        <v>3</v>
      </c>
      <c r="F6" s="52">
        <v>8888</v>
      </c>
      <c r="G6" s="53">
        <v>1200</v>
      </c>
      <c r="H6" s="52">
        <v>200015</v>
      </c>
      <c r="I6" s="1" t="str">
        <f>IFERROR(INDEX([1]物品基础表!$A:$A,MATCH(H6,[1]物品基础表!$B:$B,0)),"")</f>
        <v>特戒碎片</v>
      </c>
      <c r="J6" s="1">
        <v>1200</v>
      </c>
      <c r="K6" s="32">
        <v>202001</v>
      </c>
      <c r="L6" s="1" t="str">
        <f>IFERROR(INDEX([1]物品基础表!$A:$A,MATCH(K6,[1]物品基础表!$B:$B,0)),"")</f>
        <v>烈焰戒指技能1书</v>
      </c>
      <c r="M6" s="1">
        <v>0.4</v>
      </c>
      <c r="N6" s="32">
        <v>202002</v>
      </c>
      <c r="O6" s="1" t="str">
        <f>IFERROR(INDEX([1]物品基础表!$A:$A,MATCH(N6,[1]物品基础表!$B:$B,0)),"")</f>
        <v>烈焰戒指技能2书</v>
      </c>
      <c r="P6" s="1">
        <v>0.1</v>
      </c>
    </row>
    <row r="7" spans="1:16">
      <c r="A7" s="39" t="str">
        <f>INDEX([2]活动总表!$A$8:$A$429,MATCH(B7,[2]活动总表!$B$8:$B$429,0))</f>
        <v>次周活动-烈焰副本</v>
      </c>
      <c r="B7" s="52">
        <v>201</v>
      </c>
      <c r="C7" s="52">
        <v>5</v>
      </c>
      <c r="D7" s="52">
        <v>32005</v>
      </c>
      <c r="E7" s="52">
        <v>4</v>
      </c>
      <c r="F7" s="52">
        <v>12888</v>
      </c>
      <c r="G7" s="53">
        <v>1600</v>
      </c>
      <c r="H7" s="52">
        <v>200015</v>
      </c>
      <c r="I7" s="1" t="str">
        <f>IFERROR(INDEX([1]物品基础表!$A:$A,MATCH(H7,[1]物品基础表!$B:$B,0)),"")</f>
        <v>特戒碎片</v>
      </c>
      <c r="J7" s="1">
        <v>1600</v>
      </c>
      <c r="K7" s="32">
        <v>202001</v>
      </c>
      <c r="L7" s="1" t="str">
        <f>IFERROR(INDEX([1]物品基础表!$A:$A,MATCH(K7,[1]物品基础表!$B:$B,0)),"")</f>
        <v>烈焰戒指技能1书</v>
      </c>
      <c r="M7" s="1">
        <v>0.4</v>
      </c>
      <c r="N7" s="32">
        <v>202002</v>
      </c>
      <c r="O7" s="1" t="str">
        <f>IFERROR(INDEX([1]物品基础表!$A:$A,MATCH(N7,[1]物品基础表!$B:$B,0)),"")</f>
        <v>烈焰戒指技能2书</v>
      </c>
      <c r="P7" s="1">
        <v>0.1</v>
      </c>
    </row>
    <row r="8" spans="1:16">
      <c r="A8" s="39" t="str">
        <f>INDEX([2]活动总表!$A$8:$A$429,MATCH(B8,[2]活动总表!$B$8:$B$429,0))</f>
        <v>次周活动-烈焰副本</v>
      </c>
      <c r="B8" s="52">
        <v>201</v>
      </c>
      <c r="C8" s="52">
        <v>6</v>
      </c>
      <c r="D8" s="52">
        <v>32006</v>
      </c>
      <c r="E8" s="52">
        <v>5</v>
      </c>
      <c r="F8" s="52">
        <v>16888</v>
      </c>
      <c r="G8" s="53">
        <v>2100</v>
      </c>
      <c r="H8" s="52">
        <v>200015</v>
      </c>
      <c r="I8" s="1" t="str">
        <f>IFERROR(INDEX([1]物品基础表!$A:$A,MATCH(H8,[1]物品基础表!$B:$B,0)),"")</f>
        <v>特戒碎片</v>
      </c>
      <c r="J8" s="1">
        <v>2100</v>
      </c>
      <c r="K8" s="32">
        <v>202001</v>
      </c>
      <c r="L8" s="1" t="str">
        <f>IFERROR(INDEX([1]物品基础表!$A:$A,MATCH(K8,[1]物品基础表!$B:$B,0)),"")</f>
        <v>烈焰戒指技能1书</v>
      </c>
      <c r="M8" s="1">
        <v>0.4</v>
      </c>
      <c r="N8" s="32">
        <v>202002</v>
      </c>
      <c r="O8" s="1" t="str">
        <f>IFERROR(INDEX([1]物品基础表!$A:$A,MATCH(N8,[1]物品基础表!$B:$B,0)),"")</f>
        <v>烈焰戒指技能2书</v>
      </c>
      <c r="P8" s="1">
        <v>0.2</v>
      </c>
    </row>
    <row r="9" spans="1:16">
      <c r="A9" s="39" t="str">
        <f>INDEX([2]活动总表!$A$8:$A$429,MATCH(B9,[2]活动总表!$B$8:$B$429,0))</f>
        <v>次周活动-烈焰副本</v>
      </c>
      <c r="B9" s="52">
        <v>201</v>
      </c>
      <c r="C9" s="52">
        <v>7</v>
      </c>
      <c r="D9" s="52">
        <v>32006</v>
      </c>
      <c r="E9" s="52">
        <v>6</v>
      </c>
      <c r="F9" s="52">
        <v>16888</v>
      </c>
      <c r="G9" s="53">
        <v>2100</v>
      </c>
      <c r="H9" s="52">
        <v>200015</v>
      </c>
      <c r="I9" s="1" t="str">
        <f>IFERROR(INDEX([1]物品基础表!$A:$A,MATCH(H9,[1]物品基础表!$B:$B,0)),"")</f>
        <v>特戒碎片</v>
      </c>
      <c r="J9" s="1">
        <v>2100</v>
      </c>
      <c r="K9" s="32">
        <v>202001</v>
      </c>
      <c r="L9" s="1" t="str">
        <f>IFERROR(INDEX([1]物品基础表!$A:$A,MATCH(K9,[1]物品基础表!$B:$B,0)),"")</f>
        <v>烈焰戒指技能1书</v>
      </c>
      <c r="M9" s="1">
        <v>0.4</v>
      </c>
      <c r="N9" s="32">
        <v>202002</v>
      </c>
      <c r="O9" s="1" t="str">
        <f>IFERROR(INDEX([1]物品基础表!$A:$A,MATCH(N9,[1]物品基础表!$B:$B,0)),"")</f>
        <v>烈焰戒指技能2书</v>
      </c>
      <c r="P9" s="1">
        <v>0.2</v>
      </c>
    </row>
    <row r="10" spans="1:16">
      <c r="A10" s="39" t="str">
        <f>INDEX([2]活动总表!$A$8:$A$429,MATCH(B10,[2]活动总表!$B$8:$B$429,0))</f>
        <v>次周活动-烈焰副本</v>
      </c>
      <c r="B10" s="52">
        <v>201</v>
      </c>
      <c r="C10" s="52">
        <v>8</v>
      </c>
      <c r="D10" s="52">
        <v>32006</v>
      </c>
      <c r="E10" s="52">
        <v>7</v>
      </c>
      <c r="F10" s="52">
        <v>16888</v>
      </c>
      <c r="G10" s="53">
        <v>2100</v>
      </c>
      <c r="H10" s="52">
        <v>200015</v>
      </c>
      <c r="I10" s="1" t="str">
        <f>IFERROR(INDEX([1]物品基础表!$A:$A,MATCH(H10,[1]物品基础表!$B:$B,0)),"")</f>
        <v>特戒碎片</v>
      </c>
      <c r="J10" s="1">
        <v>2100</v>
      </c>
      <c r="K10" s="32">
        <v>202001</v>
      </c>
      <c r="L10" s="1" t="str">
        <f>IFERROR(INDEX([1]物品基础表!$A:$A,MATCH(K10,[1]物品基础表!$B:$B,0)),"")</f>
        <v>烈焰戒指技能1书</v>
      </c>
      <c r="M10" s="1">
        <v>0.4</v>
      </c>
      <c r="N10" s="32">
        <v>202002</v>
      </c>
      <c r="O10" s="1" t="str">
        <f>IFERROR(INDEX([1]物品基础表!$A:$A,MATCH(N10,[1]物品基础表!$B:$B,0)),"")</f>
        <v>烈焰戒指技能2书</v>
      </c>
      <c r="P10" s="1">
        <v>0.2</v>
      </c>
    </row>
    <row r="11" spans="1:16">
      <c r="A11" s="39" t="str">
        <f>INDEX([2]活动总表!$A$8:$A$429,MATCH(B11,[2]活动总表!$B$8:$B$429,0))</f>
        <v>次周活动-烈焰副本</v>
      </c>
      <c r="B11" s="52">
        <v>201</v>
      </c>
      <c r="C11" s="52">
        <v>9</v>
      </c>
      <c r="D11" s="52">
        <v>32006</v>
      </c>
      <c r="E11" s="52">
        <v>8</v>
      </c>
      <c r="F11" s="52">
        <v>16888</v>
      </c>
      <c r="G11" s="53">
        <v>2100</v>
      </c>
      <c r="H11" s="52">
        <v>200015</v>
      </c>
      <c r="I11" s="1" t="str">
        <f>IFERROR(INDEX([1]物品基础表!$A:$A,MATCH(H11,[1]物品基础表!$B:$B,0)),"")</f>
        <v>特戒碎片</v>
      </c>
      <c r="J11" s="1">
        <v>2100</v>
      </c>
      <c r="K11" s="32">
        <v>202001</v>
      </c>
      <c r="L11" s="1" t="str">
        <f>IFERROR(INDEX([1]物品基础表!$A:$A,MATCH(K11,[1]物品基础表!$B:$B,0)),"")</f>
        <v>烈焰戒指技能1书</v>
      </c>
      <c r="M11" s="1">
        <v>0.4</v>
      </c>
      <c r="N11" s="32">
        <v>202002</v>
      </c>
      <c r="O11" s="1" t="str">
        <f>IFERROR(INDEX([1]物品基础表!$A:$A,MATCH(N11,[1]物品基础表!$B:$B,0)),"")</f>
        <v>烈焰戒指技能2书</v>
      </c>
      <c r="P11" s="1">
        <v>0.2</v>
      </c>
    </row>
    <row r="12" spans="1:16">
      <c r="A12" s="39" t="str">
        <f>INDEX([2]活动总表!$A$8:$A$429,MATCH(B12,[2]活动总表!$B$8:$B$429,0))</f>
        <v>次周活动-烈焰副本</v>
      </c>
      <c r="B12" s="47">
        <v>201</v>
      </c>
      <c r="C12" s="47">
        <v>10</v>
      </c>
      <c r="D12" s="47">
        <v>32006</v>
      </c>
      <c r="E12" s="47">
        <v>9</v>
      </c>
      <c r="F12" s="47">
        <v>16888</v>
      </c>
      <c r="G12" s="54">
        <v>2100</v>
      </c>
      <c r="H12" s="52">
        <v>200015</v>
      </c>
      <c r="I12" s="1" t="str">
        <f>IFERROR(INDEX([1]物品基础表!$A:$A,MATCH(H12,[1]物品基础表!$B:$B,0)),"")</f>
        <v>特戒碎片</v>
      </c>
      <c r="J12" s="1">
        <v>2100</v>
      </c>
      <c r="K12" s="32">
        <v>202001</v>
      </c>
      <c r="L12" s="1" t="str">
        <f>IFERROR(INDEX([1]物品基础表!$A:$A,MATCH(K12,[1]物品基础表!$B:$B,0)),"")</f>
        <v>烈焰戒指技能1书</v>
      </c>
      <c r="M12" s="1">
        <v>0.4</v>
      </c>
      <c r="N12" s="32">
        <v>202002</v>
      </c>
      <c r="O12" s="1" t="str">
        <f>IFERROR(INDEX([1]物品基础表!$A:$A,MATCH(N12,[1]物品基础表!$B:$B,0)),"")</f>
        <v>烈焰戒指技能2书</v>
      </c>
      <c r="P12" s="1">
        <v>0.2</v>
      </c>
    </row>
    <row r="13" spans="1:16">
      <c r="A13" s="39" t="str">
        <f>INDEX([2]活动总表!$A$8:$A$429,MATCH(B13,[2]活动总表!$B$8:$B$429,0))</f>
        <v>次周活动-烈焰副本</v>
      </c>
      <c r="B13" s="47">
        <v>201</v>
      </c>
      <c r="C13" s="47">
        <v>11</v>
      </c>
      <c r="D13" s="47">
        <v>32006</v>
      </c>
      <c r="E13" s="47">
        <v>10</v>
      </c>
      <c r="F13" s="47">
        <v>16888</v>
      </c>
      <c r="G13" s="54">
        <v>2100</v>
      </c>
      <c r="H13" s="52">
        <v>200015</v>
      </c>
      <c r="I13" s="1" t="str">
        <f>IFERROR(INDEX([1]物品基础表!$A:$A,MATCH(H13,[1]物品基础表!$B:$B,0)),"")</f>
        <v>特戒碎片</v>
      </c>
      <c r="J13" s="1">
        <v>2100</v>
      </c>
      <c r="K13" s="32">
        <v>202001</v>
      </c>
      <c r="L13" s="1" t="str">
        <f>IFERROR(INDEX([1]物品基础表!$A:$A,MATCH(K13,[1]物品基础表!$B:$B,0)),"")</f>
        <v>烈焰戒指技能1书</v>
      </c>
      <c r="M13" s="1">
        <v>0.4</v>
      </c>
      <c r="N13" s="32">
        <v>202002</v>
      </c>
      <c r="O13" s="1" t="str">
        <f>IFERROR(INDEX([1]物品基础表!$A:$A,MATCH(N13,[1]物品基础表!$B:$B,0)),"")</f>
        <v>烈焰戒指技能2书</v>
      </c>
      <c r="P13" s="1">
        <v>0.2</v>
      </c>
    </row>
    <row r="14" spans="1:16">
      <c r="A14" s="39" t="str">
        <f>INDEX([2]活动总表!$A$8:$A$429,MATCH(B14,[2]活动总表!$B$8:$B$429,0))</f>
        <v>次周活动-烈焰副本</v>
      </c>
      <c r="B14" s="48">
        <v>201</v>
      </c>
      <c r="C14" s="48">
        <v>12</v>
      </c>
      <c r="D14" s="48">
        <v>32006</v>
      </c>
      <c r="E14" s="48">
        <v>11</v>
      </c>
      <c r="F14" s="48">
        <v>16888</v>
      </c>
      <c r="G14" s="55">
        <v>2100</v>
      </c>
      <c r="H14" s="52">
        <v>200015</v>
      </c>
      <c r="I14" s="1" t="str">
        <f>IFERROR(INDEX([1]物品基础表!$A:$A,MATCH(H14,[1]物品基础表!$B:$B,0)),"")</f>
        <v>特戒碎片</v>
      </c>
      <c r="J14" s="1">
        <v>2100</v>
      </c>
      <c r="K14" s="32">
        <v>202001</v>
      </c>
      <c r="L14" s="1" t="str">
        <f>IFERROR(INDEX([1]物品基础表!$A:$A,MATCH(K14,[1]物品基础表!$B:$B,0)),"")</f>
        <v>烈焰戒指技能1书</v>
      </c>
      <c r="M14" s="1">
        <v>0.4</v>
      </c>
      <c r="N14" s="32">
        <v>202002</v>
      </c>
      <c r="O14" s="1" t="str">
        <f>IFERROR(INDEX([1]物品基础表!$A:$A,MATCH(N14,[1]物品基础表!$B:$B,0)),"")</f>
        <v>烈焰戒指技能2书</v>
      </c>
      <c r="P14" s="1">
        <v>0.2</v>
      </c>
    </row>
    <row r="17" ht="12.75" customHeight="1"/>
  </sheetData>
  <mergeCells count="1">
    <mergeCell ref="H1:P1"/>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L385"/>
  <sheetViews>
    <sheetView workbookViewId="0">
      <pane xSplit="2" ySplit="3" topLeftCell="O335" activePane="bottomRight" state="frozen"/>
      <selection pane="topRight" activeCell="C1" sqref="C1"/>
      <selection pane="bottomLeft" activeCell="A4" sqref="A4"/>
      <selection pane="bottomRight" activeCell="T374" sqref="T374"/>
    </sheetView>
  </sheetViews>
  <sheetFormatPr defaultRowHeight="13.5"/>
  <cols>
    <col min="1" max="1" width="25.625" style="1" bestFit="1" customWidth="1"/>
    <col min="2" max="5" width="9" style="1"/>
    <col min="6" max="6" width="35" style="1" bestFit="1" customWidth="1"/>
    <col min="7" max="7" width="9" style="1"/>
    <col min="8" max="8" width="13" style="1" bestFit="1" customWidth="1"/>
    <col min="9" max="9" width="21.625" style="1" bestFit="1" customWidth="1"/>
    <col min="10" max="10" width="68.25" style="1" bestFit="1" customWidth="1"/>
    <col min="11" max="11" width="7.5" style="1" bestFit="1" customWidth="1"/>
    <col min="12" max="12" width="21.375" style="1" bestFit="1" customWidth="1"/>
    <col min="13" max="14" width="7.5" style="1" bestFit="1" customWidth="1"/>
    <col min="15" max="15" width="19.75" style="1" bestFit="1" customWidth="1"/>
    <col min="16" max="16" width="5.25" style="1" bestFit="1" customWidth="1"/>
    <col min="17" max="17" width="7.5" style="1" bestFit="1" customWidth="1"/>
    <col min="18" max="18" width="21.375" style="1" bestFit="1" customWidth="1"/>
    <col min="19" max="19" width="5.25" style="1" bestFit="1" customWidth="1"/>
    <col min="20" max="20" width="7.5" style="1" bestFit="1" customWidth="1"/>
    <col min="21" max="21" width="19.75" style="1" bestFit="1" customWidth="1"/>
    <col min="22" max="22" width="5.25" style="1" bestFit="1" customWidth="1"/>
    <col min="23" max="23" width="7.5" style="1" bestFit="1" customWidth="1"/>
    <col min="24" max="24" width="21.375" style="1" bestFit="1" customWidth="1"/>
    <col min="25" max="25" width="5.25" style="1" bestFit="1" customWidth="1"/>
    <col min="26" max="26" width="7.5" style="1" bestFit="1" customWidth="1"/>
    <col min="27" max="27" width="21.375" style="1" bestFit="1" customWidth="1"/>
    <col min="28" max="28" width="5.25" style="1" bestFit="1" customWidth="1"/>
    <col min="29" max="29" width="7.5" style="1" bestFit="1" customWidth="1"/>
    <col min="30" max="30" width="13" style="1" bestFit="1" customWidth="1"/>
    <col min="31" max="31" width="5.25" style="1" bestFit="1" customWidth="1"/>
    <col min="32" max="32" width="7.5" style="1" bestFit="1" customWidth="1"/>
    <col min="33" max="33" width="19.75" style="1" bestFit="1" customWidth="1"/>
    <col min="34" max="34" width="5.25" style="1" bestFit="1" customWidth="1"/>
    <col min="35" max="35" width="7.5" style="1" bestFit="1" customWidth="1"/>
    <col min="36" max="36" width="21.375" style="1" bestFit="1" customWidth="1"/>
    <col min="37" max="37" width="5.5" style="1" bestFit="1" customWidth="1"/>
    <col min="38" max="38" width="7.5" style="1" bestFit="1" customWidth="1"/>
    <col min="39" max="39" width="21.375" style="1" bestFit="1" customWidth="1"/>
    <col min="40" max="40" width="5.5" style="1" bestFit="1" customWidth="1"/>
    <col min="41" max="41" width="7.5" style="1" bestFit="1" customWidth="1"/>
    <col min="42" max="42" width="19.75" style="1" bestFit="1" customWidth="1"/>
    <col min="43" max="43" width="5.25" style="1" bestFit="1" customWidth="1"/>
    <col min="44" max="44" width="7.5" style="1" bestFit="1" customWidth="1"/>
    <col min="45" max="45" width="21.375" style="1" bestFit="1" customWidth="1"/>
    <col min="46" max="46" width="5.5" style="1" bestFit="1" customWidth="1"/>
    <col min="47" max="47" width="7.5" style="1" bestFit="1" customWidth="1"/>
    <col min="48" max="48" width="21.375" style="1" bestFit="1" customWidth="1"/>
    <col min="49" max="49" width="5.5" style="1" bestFit="1" customWidth="1"/>
    <col min="50" max="50" width="7.5" style="1" bestFit="1" customWidth="1"/>
    <col min="51" max="51" width="20.75" style="1" bestFit="1" customWidth="1"/>
    <col min="52" max="52" width="5.25" style="1" bestFit="1" customWidth="1"/>
    <col min="53" max="53" width="7.5" style="1" bestFit="1" customWidth="1"/>
    <col min="54" max="54" width="20.75" style="1" bestFit="1" customWidth="1"/>
    <col min="55" max="55" width="5.25" style="1" bestFit="1" customWidth="1"/>
    <col min="56" max="56" width="7.5" style="1" bestFit="1" customWidth="1"/>
    <col min="57" max="57" width="20.75" style="1" bestFit="1" customWidth="1"/>
    <col min="58" max="58" width="5.25" style="1" bestFit="1" customWidth="1"/>
    <col min="59" max="59" width="7.5" style="1" bestFit="1" customWidth="1"/>
    <col min="60" max="60" width="20.75" style="1" bestFit="1" customWidth="1"/>
    <col min="61" max="61" width="5.25" style="1" bestFit="1" customWidth="1"/>
    <col min="62" max="62" width="7.5" style="1" bestFit="1" customWidth="1"/>
    <col min="63" max="63" width="20.75" style="1" bestFit="1" customWidth="1"/>
    <col min="64" max="64" width="5.25" style="1" bestFit="1" customWidth="1"/>
    <col min="65" max="16384" width="9" style="1"/>
  </cols>
  <sheetData>
    <row r="1" spans="1:64">
      <c r="N1" s="107" t="s">
        <v>899</v>
      </c>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row>
    <row r="2" spans="1:64">
      <c r="A2" s="68" t="s">
        <v>898</v>
      </c>
      <c r="B2" s="58"/>
      <c r="C2" s="58"/>
      <c r="D2" s="58"/>
      <c r="E2" s="58"/>
      <c r="F2" s="58"/>
      <c r="G2" s="58"/>
      <c r="H2" s="58"/>
      <c r="I2" s="58"/>
      <c r="J2" s="59"/>
      <c r="K2" s="109" t="s">
        <v>708</v>
      </c>
      <c r="L2" s="109"/>
      <c r="M2" s="109"/>
      <c r="N2" s="113">
        <v>5</v>
      </c>
      <c r="O2" s="113"/>
      <c r="P2" s="113"/>
      <c r="Q2" s="113">
        <v>10</v>
      </c>
      <c r="R2" s="113"/>
      <c r="S2" s="113"/>
      <c r="T2" s="113">
        <v>20</v>
      </c>
      <c r="U2" s="113"/>
      <c r="V2" s="113"/>
      <c r="W2" s="113">
        <v>30</v>
      </c>
      <c r="X2" s="113"/>
      <c r="Y2" s="113"/>
      <c r="Z2" s="113">
        <v>50</v>
      </c>
      <c r="AA2" s="113"/>
      <c r="AB2" s="113"/>
      <c r="AC2" s="113">
        <v>70</v>
      </c>
      <c r="AD2" s="113"/>
      <c r="AE2" s="113"/>
      <c r="AF2" s="113">
        <v>100</v>
      </c>
      <c r="AG2" s="113"/>
      <c r="AH2" s="113"/>
      <c r="AI2" s="113">
        <v>150</v>
      </c>
      <c r="AJ2" s="113"/>
      <c r="AK2" s="113"/>
      <c r="AL2" s="113">
        <v>200</v>
      </c>
      <c r="AM2" s="113"/>
      <c r="AN2" s="113"/>
      <c r="AO2" s="113">
        <v>250</v>
      </c>
      <c r="AP2" s="113"/>
      <c r="AQ2" s="113"/>
      <c r="AR2" s="113">
        <v>300</v>
      </c>
      <c r="AS2" s="113"/>
      <c r="AT2" s="113"/>
      <c r="AU2" s="113">
        <v>400</v>
      </c>
      <c r="AV2" s="113"/>
      <c r="AW2" s="113"/>
      <c r="AX2" s="113">
        <v>500</v>
      </c>
      <c r="AY2" s="113"/>
      <c r="AZ2" s="113"/>
      <c r="BA2" s="113">
        <v>600</v>
      </c>
      <c r="BB2" s="113"/>
      <c r="BC2" s="113"/>
      <c r="BD2" s="113">
        <v>800</v>
      </c>
      <c r="BE2" s="113"/>
      <c r="BF2" s="113"/>
      <c r="BG2" s="113">
        <v>1000</v>
      </c>
      <c r="BH2" s="113"/>
      <c r="BI2" s="113"/>
      <c r="BJ2" s="113">
        <v>1200</v>
      </c>
      <c r="BK2" s="113"/>
      <c r="BL2" s="113"/>
    </row>
    <row r="3" spans="1:64">
      <c r="A3" s="64" t="s">
        <v>19</v>
      </c>
      <c r="B3" s="65" t="s">
        <v>32</v>
      </c>
      <c r="C3" s="65" t="s">
        <v>33</v>
      </c>
      <c r="D3" s="65" t="s">
        <v>51</v>
      </c>
      <c r="E3" s="65" t="s">
        <v>52</v>
      </c>
      <c r="F3" s="65" t="s">
        <v>53</v>
      </c>
      <c r="G3" s="66" t="s">
        <v>716</v>
      </c>
      <c r="H3" s="66" t="s">
        <v>787</v>
      </c>
      <c r="I3" s="66" t="s">
        <v>788</v>
      </c>
      <c r="J3" s="67" t="s">
        <v>789</v>
      </c>
      <c r="K3" s="4" t="s">
        <v>2</v>
      </c>
      <c r="L3" s="4" t="s">
        <v>3</v>
      </c>
      <c r="M3" s="4" t="s">
        <v>4</v>
      </c>
      <c r="N3" s="69" t="str">
        <f>K3</f>
        <v>id</v>
      </c>
      <c r="O3" s="69" t="str">
        <f t="shared" ref="O3:BL3" si="0">L3</f>
        <v>物品名</v>
      </c>
      <c r="P3" s="69" t="str">
        <f t="shared" si="0"/>
        <v>数量</v>
      </c>
      <c r="Q3" s="69" t="str">
        <f t="shared" si="0"/>
        <v>id</v>
      </c>
      <c r="R3" s="69" t="str">
        <f t="shared" si="0"/>
        <v>物品名</v>
      </c>
      <c r="S3" s="69" t="str">
        <f t="shared" si="0"/>
        <v>数量</v>
      </c>
      <c r="T3" s="69" t="str">
        <f t="shared" si="0"/>
        <v>id</v>
      </c>
      <c r="U3" s="69" t="str">
        <f t="shared" si="0"/>
        <v>物品名</v>
      </c>
      <c r="V3" s="69" t="str">
        <f t="shared" si="0"/>
        <v>数量</v>
      </c>
      <c r="W3" s="69" t="str">
        <f t="shared" si="0"/>
        <v>id</v>
      </c>
      <c r="X3" s="69" t="str">
        <f t="shared" si="0"/>
        <v>物品名</v>
      </c>
      <c r="Y3" s="69" t="str">
        <f t="shared" si="0"/>
        <v>数量</v>
      </c>
      <c r="Z3" s="69" t="str">
        <f t="shared" si="0"/>
        <v>id</v>
      </c>
      <c r="AA3" s="69" t="str">
        <f t="shared" si="0"/>
        <v>物品名</v>
      </c>
      <c r="AB3" s="69" t="str">
        <f t="shared" si="0"/>
        <v>数量</v>
      </c>
      <c r="AC3" s="69" t="str">
        <f t="shared" ref="AC3" si="1">Z3</f>
        <v>id</v>
      </c>
      <c r="AD3" s="69" t="str">
        <f t="shared" ref="AD3" si="2">AA3</f>
        <v>物品名</v>
      </c>
      <c r="AE3" s="69" t="str">
        <f t="shared" ref="AE3" si="3">AB3</f>
        <v>数量</v>
      </c>
      <c r="AF3" s="69" t="str">
        <f>Z3</f>
        <v>id</v>
      </c>
      <c r="AG3" s="69" t="str">
        <f>AA3</f>
        <v>物品名</v>
      </c>
      <c r="AH3" s="69" t="str">
        <f>AB3</f>
        <v>数量</v>
      </c>
      <c r="AI3" s="69" t="str">
        <f t="shared" si="0"/>
        <v>id</v>
      </c>
      <c r="AJ3" s="69" t="str">
        <f t="shared" si="0"/>
        <v>物品名</v>
      </c>
      <c r="AK3" s="69" t="str">
        <f t="shared" si="0"/>
        <v>数量</v>
      </c>
      <c r="AL3" s="69" t="str">
        <f t="shared" si="0"/>
        <v>id</v>
      </c>
      <c r="AM3" s="69" t="str">
        <f t="shared" si="0"/>
        <v>物品名</v>
      </c>
      <c r="AN3" s="69" t="str">
        <f t="shared" si="0"/>
        <v>数量</v>
      </c>
      <c r="AO3" s="69" t="str">
        <f t="shared" si="0"/>
        <v>id</v>
      </c>
      <c r="AP3" s="69" t="str">
        <f t="shared" si="0"/>
        <v>物品名</v>
      </c>
      <c r="AQ3" s="69" t="str">
        <f t="shared" si="0"/>
        <v>数量</v>
      </c>
      <c r="AR3" s="69" t="str">
        <f t="shared" si="0"/>
        <v>id</v>
      </c>
      <c r="AS3" s="69" t="str">
        <f t="shared" si="0"/>
        <v>物品名</v>
      </c>
      <c r="AT3" s="69" t="str">
        <f t="shared" si="0"/>
        <v>数量</v>
      </c>
      <c r="AU3" s="69" t="str">
        <f t="shared" si="0"/>
        <v>id</v>
      </c>
      <c r="AV3" s="69" t="str">
        <f t="shared" si="0"/>
        <v>物品名</v>
      </c>
      <c r="AW3" s="69" t="str">
        <f t="shared" si="0"/>
        <v>数量</v>
      </c>
      <c r="AX3" s="69" t="str">
        <f t="shared" si="0"/>
        <v>id</v>
      </c>
      <c r="AY3" s="69" t="str">
        <f t="shared" si="0"/>
        <v>物品名</v>
      </c>
      <c r="AZ3" s="69" t="str">
        <f t="shared" si="0"/>
        <v>数量</v>
      </c>
      <c r="BA3" s="69" t="str">
        <f t="shared" si="0"/>
        <v>id</v>
      </c>
      <c r="BB3" s="69" t="str">
        <f t="shared" si="0"/>
        <v>物品名</v>
      </c>
      <c r="BC3" s="69" t="str">
        <f t="shared" si="0"/>
        <v>数量</v>
      </c>
      <c r="BD3" s="69" t="str">
        <f t="shared" si="0"/>
        <v>id</v>
      </c>
      <c r="BE3" s="69" t="str">
        <f t="shared" si="0"/>
        <v>物品名</v>
      </c>
      <c r="BF3" s="69" t="str">
        <f t="shared" si="0"/>
        <v>数量</v>
      </c>
      <c r="BG3" s="69" t="str">
        <f t="shared" si="0"/>
        <v>id</v>
      </c>
      <c r="BH3" s="69" t="str">
        <f t="shared" si="0"/>
        <v>物品名</v>
      </c>
      <c r="BI3" s="69" t="str">
        <f t="shared" si="0"/>
        <v>数量</v>
      </c>
      <c r="BJ3" s="69" t="str">
        <f t="shared" si="0"/>
        <v>id</v>
      </c>
      <c r="BK3" s="69" t="str">
        <f t="shared" si="0"/>
        <v>物品名</v>
      </c>
      <c r="BL3" s="69" t="str">
        <f t="shared" si="0"/>
        <v>数量</v>
      </c>
    </row>
    <row r="4" spans="1:64">
      <c r="A4" s="39" t="str">
        <f>INDEX([2]活动总表!$A$8:$A$429,MATCH(B4,[2]活动总表!$B$8:$B$429,0))</f>
        <v>感恩节幸运转盘</v>
      </c>
      <c r="B4" s="56">
        <v>214</v>
      </c>
      <c r="C4" s="56">
        <v>0</v>
      </c>
      <c r="D4" s="56">
        <v>200309</v>
      </c>
      <c r="E4" s="56">
        <v>500</v>
      </c>
      <c r="F4" s="56"/>
      <c r="G4" s="40">
        <v>1</v>
      </c>
      <c r="H4" s="56"/>
      <c r="I4" s="56"/>
      <c r="J4" s="60"/>
      <c r="O4" s="1" t="str">
        <f>IFERROR(INDEX([1]物品基础表!$A:$A,MATCH(N4,[1]物品基础表!$B:$B,0)),"")</f>
        <v/>
      </c>
      <c r="Q4" s="1">
        <v>200907</v>
      </c>
      <c r="R4" s="1" t="str">
        <f>IFERROR(INDEX([1]物品基础表!$A:$A,MATCH(Q4,[1]物品基础表!$B:$B,0)),"")</f>
        <v>感恩礼包</v>
      </c>
      <c r="S4" s="1">
        <v>1</v>
      </c>
      <c r="U4" s="1" t="str">
        <f>IFERROR(INDEX([1]物品基础表!$A:$A,MATCH(T4,[1]物品基础表!$B:$B,0)),"")</f>
        <v/>
      </c>
      <c r="W4" s="1">
        <v>200908</v>
      </c>
      <c r="X4" s="1" t="str">
        <f>IFERROR(INDEX([1]物品基础表!$A:$A,MATCH(W4,[1]物品基础表!$B:$B,0)),"")</f>
        <v>节日礼包</v>
      </c>
      <c r="Y4" s="1">
        <v>1</v>
      </c>
      <c r="AA4" s="1" t="str">
        <f>IFERROR(INDEX([1]物品基础表!$A:$A,MATCH(Z4,[1]物品基础表!$B:$B,0)),"")</f>
        <v/>
      </c>
      <c r="AD4" s="1" t="str">
        <f>IFERROR(INDEX([1]物品基础表!$A:$A,MATCH(AC4,[1]物品基础表!$B:$B,0)),"")</f>
        <v/>
      </c>
      <c r="AF4" s="1">
        <v>200909</v>
      </c>
      <c r="AG4" s="1" t="str">
        <f>IFERROR(INDEX([1]物品基础表!$A:$A,MATCH(AF4,[1]物品基础表!$B:$B,0)),"")</f>
        <v>送豪礼礼包</v>
      </c>
      <c r="AH4" s="1">
        <v>1</v>
      </c>
      <c r="AJ4" s="1" t="str">
        <f>IFERROR(INDEX([1]物品基础表!$A:$A,MATCH(AI4,[1]物品基础表!$B:$B,0)),"")</f>
        <v/>
      </c>
      <c r="AM4" s="1" t="str">
        <f>IFERROR(INDEX([1]物品基础表!$A:$A,MATCH(AL4,[1]物品基础表!$B:$B,0)),"")</f>
        <v/>
      </c>
      <c r="AP4" s="1" t="str">
        <f>IFERROR(INDEX([1]物品基础表!$A:$A,MATCH(AO4,[1]物品基础表!$B:$B,0)),"")</f>
        <v/>
      </c>
      <c r="AS4" s="1" t="str">
        <f>IFERROR(INDEX([1]物品基础表!$A:$A,MATCH(AR4,[1]物品基础表!$B:$B,0)),"")</f>
        <v/>
      </c>
      <c r="AV4" s="1" t="str">
        <f>IFERROR(INDEX([1]物品基础表!$A:$A,MATCH(AU4,[1]物品基础表!$B:$B,0)),"")</f>
        <v/>
      </c>
      <c r="AY4" s="1" t="str">
        <f>IFERROR(INDEX([1]物品基础表!$A:$A,MATCH(AX4,[1]物品基础表!$B:$B,0)),"")</f>
        <v/>
      </c>
      <c r="BB4" s="1" t="str">
        <f>IFERROR(INDEX([1]物品基础表!$A:$A,MATCH(BA4,[1]物品基础表!$B:$B,0)),"")</f>
        <v/>
      </c>
      <c r="BE4" s="1" t="str">
        <f>IFERROR(INDEX([1]物品基础表!$A:$A,MATCH(BD4,[1]物品基础表!$B:$B,0)),"")</f>
        <v/>
      </c>
      <c r="BH4" s="1" t="str">
        <f>IFERROR(INDEX([1]物品基础表!$A:$A,MATCH(BG4,[1]物品基础表!$B:$B,0)),"")</f>
        <v/>
      </c>
      <c r="BK4" s="1" t="str">
        <f>IFERROR(INDEX([1]物品基础表!$A:$A,MATCH(BJ4,[1]物品基础表!$B:$B,0)),"")</f>
        <v/>
      </c>
    </row>
    <row r="5" spans="1:64">
      <c r="A5" s="39" t="str">
        <f>INDEX([2]活动总表!$A$8:$A$429,MATCH(B5,[2]活动总表!$B$8:$B$429,0))</f>
        <v>感恩节幸运转盘</v>
      </c>
      <c r="B5" s="56">
        <v>214</v>
      </c>
      <c r="C5" s="56">
        <v>1</v>
      </c>
      <c r="D5" s="56"/>
      <c r="E5" s="56"/>
      <c r="F5" s="56" t="s">
        <v>790</v>
      </c>
      <c r="G5" s="40">
        <v>1</v>
      </c>
      <c r="H5" s="56"/>
      <c r="I5" s="56"/>
      <c r="J5" s="60"/>
      <c r="K5" s="1">
        <v>131419</v>
      </c>
      <c r="L5" s="1" t="str">
        <f>IFERROR(INDEX([1]物品基础表!$A:$A,MATCH(K5,[1]物品基础表!$B:$B,0)),"")</f>
        <v>红色战士180级项链</v>
      </c>
      <c r="M5" s="1">
        <v>1</v>
      </c>
      <c r="O5" s="1" t="str">
        <f>IFERROR(INDEX([1]物品基础表!$A:$A,MATCH(N5,[1]物品基础表!$B:$B,0)),"")</f>
        <v/>
      </c>
      <c r="R5" s="1" t="str">
        <f>IFERROR(INDEX([1]物品基础表!$A:$A,MATCH(Q5,[1]物品基础表!$B:$B,0)),"")</f>
        <v/>
      </c>
      <c r="U5" s="1" t="str">
        <f>IFERROR(INDEX([1]物品基础表!$A:$A,MATCH(T5,[1]物品基础表!$B:$B,0)),"")</f>
        <v/>
      </c>
      <c r="X5" s="1" t="str">
        <f>IFERROR(INDEX([1]物品基础表!$A:$A,MATCH(W5,[1]物品基础表!$B:$B,0)),"")</f>
        <v/>
      </c>
      <c r="AA5" s="1" t="str">
        <f>IFERROR(INDEX([1]物品基础表!$A:$A,MATCH(Z5,[1]物品基础表!$B:$B,0)),"")</f>
        <v/>
      </c>
      <c r="AD5" s="1" t="str">
        <f>IFERROR(INDEX([1]物品基础表!$A:$A,MATCH(AC5,[1]物品基础表!$B:$B,0)),"")</f>
        <v/>
      </c>
      <c r="AG5" s="1" t="str">
        <f>IFERROR(INDEX([1]物品基础表!$A:$A,MATCH(AF5,[1]物品基础表!$B:$B,0)),"")</f>
        <v/>
      </c>
      <c r="AJ5" s="1" t="str">
        <f>IFERROR(INDEX([1]物品基础表!$A:$A,MATCH(AI5,[1]物品基础表!$B:$B,0)),"")</f>
        <v/>
      </c>
      <c r="AM5" s="1" t="str">
        <f>IFERROR(INDEX([1]物品基础表!$A:$A,MATCH(AL5,[1]物品基础表!$B:$B,0)),"")</f>
        <v/>
      </c>
      <c r="AP5" s="1" t="str">
        <f>IFERROR(INDEX([1]物品基础表!$A:$A,MATCH(AO5,[1]物品基础表!$B:$B,0)),"")</f>
        <v/>
      </c>
      <c r="AS5" s="1" t="str">
        <f>IFERROR(INDEX([1]物品基础表!$A:$A,MATCH(AR5,[1]物品基础表!$B:$B,0)),"")</f>
        <v/>
      </c>
      <c r="AV5" s="1" t="str">
        <f>IFERROR(INDEX([1]物品基础表!$A:$A,MATCH(AU5,[1]物品基础表!$B:$B,0)),"")</f>
        <v/>
      </c>
      <c r="AY5" s="1" t="str">
        <f>IFERROR(INDEX([1]物品基础表!$A:$A,MATCH(AX5,[1]物品基础表!$B:$B,0)),"")</f>
        <v/>
      </c>
      <c r="BB5" s="1" t="str">
        <f>IFERROR(INDEX([1]物品基础表!$A:$A,MATCH(BA5,[1]物品基础表!$B:$B,0)),"")</f>
        <v/>
      </c>
      <c r="BE5" s="1" t="str">
        <f>IFERROR(INDEX([1]物品基础表!$A:$A,MATCH(BD5,[1]物品基础表!$B:$B,0)),"")</f>
        <v/>
      </c>
      <c r="BH5" s="1" t="str">
        <f>IFERROR(INDEX([1]物品基础表!$A:$A,MATCH(BG5,[1]物品基础表!$B:$B,0)),"")</f>
        <v/>
      </c>
      <c r="BK5" s="1" t="str">
        <f>IFERROR(INDEX([1]物品基础表!$A:$A,MATCH(BJ5,[1]物品基础表!$B:$B,0)),"")</f>
        <v/>
      </c>
    </row>
    <row r="6" spans="1:64">
      <c r="A6" s="39" t="str">
        <f>INDEX([2]活动总表!$A$8:$A$429,MATCH(B6,[2]活动总表!$B$8:$B$429,0))</f>
        <v>感恩节幸运转盘</v>
      </c>
      <c r="B6" s="56">
        <v>214</v>
      </c>
      <c r="C6" s="56">
        <v>2</v>
      </c>
      <c r="D6" s="56"/>
      <c r="E6" s="56"/>
      <c r="F6" s="56" t="s">
        <v>791</v>
      </c>
      <c r="G6" s="40">
        <v>1</v>
      </c>
      <c r="H6" s="56"/>
      <c r="I6" s="56"/>
      <c r="J6" s="60"/>
      <c r="K6" s="1">
        <v>200005</v>
      </c>
      <c r="L6" s="1" t="str">
        <f>IFERROR(INDEX([1]物品基础表!$A:$A,MATCH(K6,[1]物品基础表!$B:$B,0)),"")</f>
        <v>龙魂碎片</v>
      </c>
      <c r="M6" s="1">
        <v>2</v>
      </c>
      <c r="O6" s="1" t="str">
        <f>IFERROR(INDEX([1]物品基础表!$A:$A,MATCH(N6,[1]物品基础表!$B:$B,0)),"")</f>
        <v/>
      </c>
      <c r="R6" s="1" t="str">
        <f>IFERROR(INDEX([1]物品基础表!$A:$A,MATCH(Q6,[1]物品基础表!$B:$B,0)),"")</f>
        <v/>
      </c>
      <c r="U6" s="1" t="str">
        <f>IFERROR(INDEX([1]物品基础表!$A:$A,MATCH(T6,[1]物品基础表!$B:$B,0)),"")</f>
        <v/>
      </c>
      <c r="X6" s="1" t="str">
        <f>IFERROR(INDEX([1]物品基础表!$A:$A,MATCH(W6,[1]物品基础表!$B:$B,0)),"")</f>
        <v/>
      </c>
      <c r="AA6" s="1" t="str">
        <f>IFERROR(INDEX([1]物品基础表!$A:$A,MATCH(Z6,[1]物品基础表!$B:$B,0)),"")</f>
        <v/>
      </c>
      <c r="AD6" s="1" t="str">
        <f>IFERROR(INDEX([1]物品基础表!$A:$A,MATCH(AC6,[1]物品基础表!$B:$B,0)),"")</f>
        <v/>
      </c>
      <c r="AG6" s="1" t="str">
        <f>IFERROR(INDEX([1]物品基础表!$A:$A,MATCH(AF6,[1]物品基础表!$B:$B,0)),"")</f>
        <v/>
      </c>
      <c r="AJ6" s="1" t="str">
        <f>IFERROR(INDEX([1]物品基础表!$A:$A,MATCH(AI6,[1]物品基础表!$B:$B,0)),"")</f>
        <v/>
      </c>
      <c r="AM6" s="1" t="str">
        <f>IFERROR(INDEX([1]物品基础表!$A:$A,MATCH(AL6,[1]物品基础表!$B:$B,0)),"")</f>
        <v/>
      </c>
      <c r="AP6" s="1" t="str">
        <f>IFERROR(INDEX([1]物品基础表!$A:$A,MATCH(AO6,[1]物品基础表!$B:$B,0)),"")</f>
        <v/>
      </c>
      <c r="AS6" s="1" t="str">
        <f>IFERROR(INDEX([1]物品基础表!$A:$A,MATCH(AR6,[1]物品基础表!$B:$B,0)),"")</f>
        <v/>
      </c>
      <c r="AV6" s="1" t="str">
        <f>IFERROR(INDEX([1]物品基础表!$A:$A,MATCH(AU6,[1]物品基础表!$B:$B,0)),"")</f>
        <v/>
      </c>
      <c r="AY6" s="1" t="str">
        <f>IFERROR(INDEX([1]物品基础表!$A:$A,MATCH(AX6,[1]物品基础表!$B:$B,0)),"")</f>
        <v/>
      </c>
      <c r="BB6" s="1" t="str">
        <f>IFERROR(INDEX([1]物品基础表!$A:$A,MATCH(BA6,[1]物品基础表!$B:$B,0)),"")</f>
        <v/>
      </c>
      <c r="BE6" s="1" t="str">
        <f>IFERROR(INDEX([1]物品基础表!$A:$A,MATCH(BD6,[1]物品基础表!$B:$B,0)),"")</f>
        <v/>
      </c>
      <c r="BH6" s="1" t="str">
        <f>IFERROR(INDEX([1]物品基础表!$A:$A,MATCH(BG6,[1]物品基础表!$B:$B,0)),"")</f>
        <v/>
      </c>
      <c r="BK6" s="1" t="str">
        <f>IFERROR(INDEX([1]物品基础表!$A:$A,MATCH(BJ6,[1]物品基础表!$B:$B,0)),"")</f>
        <v/>
      </c>
    </row>
    <row r="7" spans="1:64">
      <c r="A7" s="39" t="str">
        <f>INDEX([2]活动总表!$A$8:$A$429,MATCH(B7,[2]活动总表!$B$8:$B$429,0))</f>
        <v>感恩节幸运转盘</v>
      </c>
      <c r="B7" s="56">
        <v>214</v>
      </c>
      <c r="C7" s="56">
        <v>3</v>
      </c>
      <c r="D7" s="56"/>
      <c r="E7" s="56"/>
      <c r="F7" s="56" t="s">
        <v>792</v>
      </c>
      <c r="G7" s="40">
        <v>1</v>
      </c>
      <c r="H7" s="56"/>
      <c r="I7" s="56"/>
      <c r="J7" s="60"/>
      <c r="K7" s="1">
        <v>131413</v>
      </c>
      <c r="L7" s="1" t="str">
        <f>IFERROR(INDEX([1]物品基础表!$A:$A,MATCH(K7,[1]物品基础表!$B:$B,0)),"")</f>
        <v>红色战士120级项链</v>
      </c>
      <c r="M7" s="1">
        <v>1</v>
      </c>
      <c r="O7" s="1" t="str">
        <f>IFERROR(INDEX([1]物品基础表!$A:$A,MATCH(N7,[1]物品基础表!$B:$B,0)),"")</f>
        <v/>
      </c>
      <c r="R7" s="1" t="str">
        <f>IFERROR(INDEX([1]物品基础表!$A:$A,MATCH(Q7,[1]物品基础表!$B:$B,0)),"")</f>
        <v/>
      </c>
      <c r="U7" s="1" t="str">
        <f>IFERROR(INDEX([1]物品基础表!$A:$A,MATCH(T7,[1]物品基础表!$B:$B,0)),"")</f>
        <v/>
      </c>
      <c r="X7" s="1" t="str">
        <f>IFERROR(INDEX([1]物品基础表!$A:$A,MATCH(W7,[1]物品基础表!$B:$B,0)),"")</f>
        <v/>
      </c>
      <c r="AA7" s="1" t="str">
        <f>IFERROR(INDEX([1]物品基础表!$A:$A,MATCH(Z7,[1]物品基础表!$B:$B,0)),"")</f>
        <v/>
      </c>
      <c r="AD7" s="1" t="str">
        <f>IFERROR(INDEX([1]物品基础表!$A:$A,MATCH(AC7,[1]物品基础表!$B:$B,0)),"")</f>
        <v/>
      </c>
      <c r="AG7" s="1" t="str">
        <f>IFERROR(INDEX([1]物品基础表!$A:$A,MATCH(AF7,[1]物品基础表!$B:$B,0)),"")</f>
        <v/>
      </c>
      <c r="AJ7" s="1" t="str">
        <f>IFERROR(INDEX([1]物品基础表!$A:$A,MATCH(AI7,[1]物品基础表!$B:$B,0)),"")</f>
        <v/>
      </c>
      <c r="AM7" s="1" t="str">
        <f>IFERROR(INDEX([1]物品基础表!$A:$A,MATCH(AL7,[1]物品基础表!$B:$B,0)),"")</f>
        <v/>
      </c>
      <c r="AP7" s="1" t="str">
        <f>IFERROR(INDEX([1]物品基础表!$A:$A,MATCH(AO7,[1]物品基础表!$B:$B,0)),"")</f>
        <v/>
      </c>
      <c r="AS7" s="1" t="str">
        <f>IFERROR(INDEX([1]物品基础表!$A:$A,MATCH(AR7,[1]物品基础表!$B:$B,0)),"")</f>
        <v/>
      </c>
      <c r="AV7" s="1" t="str">
        <f>IFERROR(INDEX([1]物品基础表!$A:$A,MATCH(AU7,[1]物品基础表!$B:$B,0)),"")</f>
        <v/>
      </c>
      <c r="AY7" s="1" t="str">
        <f>IFERROR(INDEX([1]物品基础表!$A:$A,MATCH(AX7,[1]物品基础表!$B:$B,0)),"")</f>
        <v/>
      </c>
      <c r="BB7" s="1" t="str">
        <f>IFERROR(INDEX([1]物品基础表!$A:$A,MATCH(BA7,[1]物品基础表!$B:$B,0)),"")</f>
        <v/>
      </c>
      <c r="BE7" s="1" t="str">
        <f>IFERROR(INDEX([1]物品基础表!$A:$A,MATCH(BD7,[1]物品基础表!$B:$B,0)),"")</f>
        <v/>
      </c>
      <c r="BH7" s="1" t="str">
        <f>IFERROR(INDEX([1]物品基础表!$A:$A,MATCH(BG7,[1]物品基础表!$B:$B,0)),"")</f>
        <v/>
      </c>
      <c r="BK7" s="1" t="str">
        <f>IFERROR(INDEX([1]物品基础表!$A:$A,MATCH(BJ7,[1]物品基础表!$B:$B,0)),"")</f>
        <v/>
      </c>
    </row>
    <row r="8" spans="1:64">
      <c r="A8" s="39" t="str">
        <f>INDEX([2]活动总表!$A$8:$A$429,MATCH(B8,[2]活动总表!$B$8:$B$429,0))</f>
        <v>感恩节幸运转盘</v>
      </c>
      <c r="B8" s="56">
        <v>214</v>
      </c>
      <c r="C8" s="56">
        <v>4</v>
      </c>
      <c r="D8" s="56"/>
      <c r="E8" s="56"/>
      <c r="F8" s="56" t="s">
        <v>793</v>
      </c>
      <c r="G8" s="40">
        <v>1</v>
      </c>
      <c r="H8" s="56"/>
      <c r="I8" s="56"/>
      <c r="J8" s="60"/>
      <c r="K8" s="1">
        <v>200167</v>
      </c>
      <c r="L8" s="1" t="str">
        <f>IFERROR(INDEX([1]物品基础表!$A:$A,MATCH(K8,[1]物品基础表!$B:$B,0)),"")</f>
        <v>黑铁</v>
      </c>
      <c r="M8" s="1">
        <v>50</v>
      </c>
      <c r="O8" s="1" t="str">
        <f>IFERROR(INDEX([1]物品基础表!$A:$A,MATCH(N8,[1]物品基础表!$B:$B,0)),"")</f>
        <v/>
      </c>
      <c r="R8" s="1" t="str">
        <f>IFERROR(INDEX([1]物品基础表!$A:$A,MATCH(Q8,[1]物品基础表!$B:$B,0)),"")</f>
        <v/>
      </c>
      <c r="U8" s="1" t="str">
        <f>IFERROR(INDEX([1]物品基础表!$A:$A,MATCH(T8,[1]物品基础表!$B:$B,0)),"")</f>
        <v/>
      </c>
      <c r="X8" s="1" t="str">
        <f>IFERROR(INDEX([1]物品基础表!$A:$A,MATCH(W8,[1]物品基础表!$B:$B,0)),"")</f>
        <v/>
      </c>
      <c r="AA8" s="1" t="str">
        <f>IFERROR(INDEX([1]物品基础表!$A:$A,MATCH(Z8,[1]物品基础表!$B:$B,0)),"")</f>
        <v/>
      </c>
      <c r="AD8" s="1" t="str">
        <f>IFERROR(INDEX([1]物品基础表!$A:$A,MATCH(AC8,[1]物品基础表!$B:$B,0)),"")</f>
        <v/>
      </c>
      <c r="AG8" s="1" t="str">
        <f>IFERROR(INDEX([1]物品基础表!$A:$A,MATCH(AF8,[1]物品基础表!$B:$B,0)),"")</f>
        <v/>
      </c>
      <c r="AJ8" s="1" t="str">
        <f>IFERROR(INDEX([1]物品基础表!$A:$A,MATCH(AI8,[1]物品基础表!$B:$B,0)),"")</f>
        <v/>
      </c>
      <c r="AM8" s="1" t="str">
        <f>IFERROR(INDEX([1]物品基础表!$A:$A,MATCH(AL8,[1]物品基础表!$B:$B,0)),"")</f>
        <v/>
      </c>
      <c r="AP8" s="1" t="str">
        <f>IFERROR(INDEX([1]物品基础表!$A:$A,MATCH(AO8,[1]物品基础表!$B:$B,0)),"")</f>
        <v/>
      </c>
      <c r="AS8" s="1" t="str">
        <f>IFERROR(INDEX([1]物品基础表!$A:$A,MATCH(AR8,[1]物品基础表!$B:$B,0)),"")</f>
        <v/>
      </c>
      <c r="AV8" s="1" t="str">
        <f>IFERROR(INDEX([1]物品基础表!$A:$A,MATCH(AU8,[1]物品基础表!$B:$B,0)),"")</f>
        <v/>
      </c>
      <c r="AY8" s="1" t="str">
        <f>IFERROR(INDEX([1]物品基础表!$A:$A,MATCH(AX8,[1]物品基础表!$B:$B,0)),"")</f>
        <v/>
      </c>
      <c r="BB8" s="1" t="str">
        <f>IFERROR(INDEX([1]物品基础表!$A:$A,MATCH(BA8,[1]物品基础表!$B:$B,0)),"")</f>
        <v/>
      </c>
      <c r="BE8" s="1" t="str">
        <f>IFERROR(INDEX([1]物品基础表!$A:$A,MATCH(BD8,[1]物品基础表!$B:$B,0)),"")</f>
        <v/>
      </c>
      <c r="BH8" s="1" t="str">
        <f>IFERROR(INDEX([1]物品基础表!$A:$A,MATCH(BG8,[1]物品基础表!$B:$B,0)),"")</f>
        <v/>
      </c>
      <c r="BK8" s="1" t="str">
        <f>IFERROR(INDEX([1]物品基础表!$A:$A,MATCH(BJ8,[1]物品基础表!$B:$B,0)),"")</f>
        <v/>
      </c>
    </row>
    <row r="9" spans="1:64">
      <c r="A9" s="39" t="str">
        <f>INDEX([2]活动总表!$A$8:$A$429,MATCH(B9,[2]活动总表!$B$8:$B$429,0))</f>
        <v>感恩节幸运转盘</v>
      </c>
      <c r="B9" s="56">
        <v>214</v>
      </c>
      <c r="C9" s="56">
        <v>5</v>
      </c>
      <c r="D9" s="56"/>
      <c r="E9" s="56"/>
      <c r="F9" s="56" t="s">
        <v>794</v>
      </c>
      <c r="G9" s="40">
        <v>1</v>
      </c>
      <c r="H9" s="56"/>
      <c r="I9" s="56"/>
      <c r="J9" s="60"/>
      <c r="K9" s="1">
        <v>500006</v>
      </c>
      <c r="L9" s="1" t="str">
        <f>IFERROR(INDEX([1]物品基础表!$A:$A,MATCH(K9,[1]物品基础表!$B:$B,0)),"")</f>
        <v>战纹精华-金</v>
      </c>
      <c r="M9" s="1">
        <v>1</v>
      </c>
      <c r="O9" s="1" t="str">
        <f>IFERROR(INDEX([1]物品基础表!$A:$A,MATCH(N9,[1]物品基础表!$B:$B,0)),"")</f>
        <v/>
      </c>
      <c r="R9" s="1" t="str">
        <f>IFERROR(INDEX([1]物品基础表!$A:$A,MATCH(Q9,[1]物品基础表!$B:$B,0)),"")</f>
        <v/>
      </c>
      <c r="U9" s="1" t="str">
        <f>IFERROR(INDEX([1]物品基础表!$A:$A,MATCH(T9,[1]物品基础表!$B:$B,0)),"")</f>
        <v/>
      </c>
      <c r="X9" s="1" t="str">
        <f>IFERROR(INDEX([1]物品基础表!$A:$A,MATCH(W9,[1]物品基础表!$B:$B,0)),"")</f>
        <v/>
      </c>
      <c r="AA9" s="1" t="str">
        <f>IFERROR(INDEX([1]物品基础表!$A:$A,MATCH(Z9,[1]物品基础表!$B:$B,0)),"")</f>
        <v/>
      </c>
      <c r="AD9" s="1" t="str">
        <f>IFERROR(INDEX([1]物品基础表!$A:$A,MATCH(AC9,[1]物品基础表!$B:$B,0)),"")</f>
        <v/>
      </c>
      <c r="AG9" s="1" t="str">
        <f>IFERROR(INDEX([1]物品基础表!$A:$A,MATCH(AF9,[1]物品基础表!$B:$B,0)),"")</f>
        <v/>
      </c>
      <c r="AJ9" s="1" t="str">
        <f>IFERROR(INDEX([1]物品基础表!$A:$A,MATCH(AI9,[1]物品基础表!$B:$B,0)),"")</f>
        <v/>
      </c>
      <c r="AM9" s="1" t="str">
        <f>IFERROR(INDEX([1]物品基础表!$A:$A,MATCH(AL9,[1]物品基础表!$B:$B,0)),"")</f>
        <v/>
      </c>
      <c r="AP9" s="1" t="str">
        <f>IFERROR(INDEX([1]物品基础表!$A:$A,MATCH(AO9,[1]物品基础表!$B:$B,0)),"")</f>
        <v/>
      </c>
      <c r="AS9" s="1" t="str">
        <f>IFERROR(INDEX([1]物品基础表!$A:$A,MATCH(AR9,[1]物品基础表!$B:$B,0)),"")</f>
        <v/>
      </c>
      <c r="AV9" s="1" t="str">
        <f>IFERROR(INDEX([1]物品基础表!$A:$A,MATCH(AU9,[1]物品基础表!$B:$B,0)),"")</f>
        <v/>
      </c>
      <c r="AY9" s="1" t="str">
        <f>IFERROR(INDEX([1]物品基础表!$A:$A,MATCH(AX9,[1]物品基础表!$B:$B,0)),"")</f>
        <v/>
      </c>
      <c r="BB9" s="1" t="str">
        <f>IFERROR(INDEX([1]物品基础表!$A:$A,MATCH(BA9,[1]物品基础表!$B:$B,0)),"")</f>
        <v/>
      </c>
      <c r="BE9" s="1" t="str">
        <f>IFERROR(INDEX([1]物品基础表!$A:$A,MATCH(BD9,[1]物品基础表!$B:$B,0)),"")</f>
        <v/>
      </c>
      <c r="BH9" s="1" t="str">
        <f>IFERROR(INDEX([1]物品基础表!$A:$A,MATCH(BG9,[1]物品基础表!$B:$B,0)),"")</f>
        <v/>
      </c>
      <c r="BK9" s="1" t="str">
        <f>IFERROR(INDEX([1]物品基础表!$A:$A,MATCH(BJ9,[1]物品基础表!$B:$B,0)),"")</f>
        <v/>
      </c>
    </row>
    <row r="10" spans="1:64">
      <c r="A10" s="39" t="str">
        <f>INDEX([2]活动总表!$A$8:$A$429,MATCH(B10,[2]活动总表!$B$8:$B$429,0))</f>
        <v>感恩节幸运转盘</v>
      </c>
      <c r="B10" s="56">
        <v>214</v>
      </c>
      <c r="C10" s="56">
        <v>6</v>
      </c>
      <c r="D10" s="56"/>
      <c r="E10" s="56"/>
      <c r="F10" s="56" t="s">
        <v>795</v>
      </c>
      <c r="G10" s="40">
        <v>1</v>
      </c>
      <c r="H10" s="56"/>
      <c r="I10" s="56"/>
      <c r="J10" s="60"/>
      <c r="K10" s="1">
        <v>200312</v>
      </c>
      <c r="L10" s="1" t="str">
        <f>IFERROR(INDEX([1]物品基础表!$A:$A,MATCH(K10,[1]物品基础表!$B:$B,0)),"")</f>
        <v>缤纷兵魂任选礼包</v>
      </c>
      <c r="M10" s="1">
        <v>1</v>
      </c>
      <c r="O10" s="1" t="str">
        <f>IFERROR(INDEX([1]物品基础表!$A:$A,MATCH(N10,[1]物品基础表!$B:$B,0)),"")</f>
        <v/>
      </c>
      <c r="R10" s="1" t="str">
        <f>IFERROR(INDEX([1]物品基础表!$A:$A,MATCH(Q10,[1]物品基础表!$B:$B,0)),"")</f>
        <v/>
      </c>
      <c r="U10" s="1" t="str">
        <f>IFERROR(INDEX([1]物品基础表!$A:$A,MATCH(T10,[1]物品基础表!$B:$B,0)),"")</f>
        <v/>
      </c>
      <c r="X10" s="1" t="str">
        <f>IFERROR(INDEX([1]物品基础表!$A:$A,MATCH(W10,[1]物品基础表!$B:$B,0)),"")</f>
        <v/>
      </c>
      <c r="AA10" s="1" t="str">
        <f>IFERROR(INDEX([1]物品基础表!$A:$A,MATCH(Z10,[1]物品基础表!$B:$B,0)),"")</f>
        <v/>
      </c>
      <c r="AD10" s="1" t="str">
        <f>IFERROR(INDEX([1]物品基础表!$A:$A,MATCH(AC10,[1]物品基础表!$B:$B,0)),"")</f>
        <v/>
      </c>
      <c r="AG10" s="1" t="str">
        <f>IFERROR(INDEX([1]物品基础表!$A:$A,MATCH(AF10,[1]物品基础表!$B:$B,0)),"")</f>
        <v/>
      </c>
      <c r="AJ10" s="1" t="str">
        <f>IFERROR(INDEX([1]物品基础表!$A:$A,MATCH(AI10,[1]物品基础表!$B:$B,0)),"")</f>
        <v/>
      </c>
      <c r="AM10" s="1" t="str">
        <f>IFERROR(INDEX([1]物品基础表!$A:$A,MATCH(AL10,[1]物品基础表!$B:$B,0)),"")</f>
        <v/>
      </c>
      <c r="AP10" s="1" t="str">
        <f>IFERROR(INDEX([1]物品基础表!$A:$A,MATCH(AO10,[1]物品基础表!$B:$B,0)),"")</f>
        <v/>
      </c>
      <c r="AS10" s="1" t="str">
        <f>IFERROR(INDEX([1]物品基础表!$A:$A,MATCH(AR10,[1]物品基础表!$B:$B,0)),"")</f>
        <v/>
      </c>
      <c r="AV10" s="1" t="str">
        <f>IFERROR(INDEX([1]物品基础表!$A:$A,MATCH(AU10,[1]物品基础表!$B:$B,0)),"")</f>
        <v/>
      </c>
      <c r="AY10" s="1" t="str">
        <f>IFERROR(INDEX([1]物品基础表!$A:$A,MATCH(AX10,[1]物品基础表!$B:$B,0)),"")</f>
        <v/>
      </c>
      <c r="BB10" s="1" t="str">
        <f>IFERROR(INDEX([1]物品基础表!$A:$A,MATCH(BA10,[1]物品基础表!$B:$B,0)),"")</f>
        <v/>
      </c>
      <c r="BE10" s="1" t="str">
        <f>IFERROR(INDEX([1]物品基础表!$A:$A,MATCH(BD10,[1]物品基础表!$B:$B,0)),"")</f>
        <v/>
      </c>
      <c r="BH10" s="1" t="str">
        <f>IFERROR(INDEX([1]物品基础表!$A:$A,MATCH(BG10,[1]物品基础表!$B:$B,0)),"")</f>
        <v/>
      </c>
      <c r="BK10" s="1" t="str">
        <f>IFERROR(INDEX([1]物品基础表!$A:$A,MATCH(BJ10,[1]物品基础表!$B:$B,0)),"")</f>
        <v/>
      </c>
    </row>
    <row r="11" spans="1:64">
      <c r="A11" s="39" t="str">
        <f>INDEX([2]活动总表!$A$8:$A$429,MATCH(B11,[2]活动总表!$B$8:$B$429,0))</f>
        <v>感恩节幸运转盘</v>
      </c>
      <c r="B11" s="56">
        <v>214</v>
      </c>
      <c r="C11" s="56">
        <v>7</v>
      </c>
      <c r="D11" s="56"/>
      <c r="E11" s="56"/>
      <c r="F11" s="56" t="s">
        <v>55</v>
      </c>
      <c r="G11" s="40">
        <v>1</v>
      </c>
      <c r="H11" s="56"/>
      <c r="I11" s="56"/>
      <c r="J11" s="60"/>
      <c r="K11" s="1">
        <v>200015</v>
      </c>
      <c r="L11" s="1" t="str">
        <f>IFERROR(INDEX([1]物品基础表!$A:$A,MATCH(K11,[1]物品基础表!$B:$B,0)),"")</f>
        <v>特戒碎片</v>
      </c>
      <c r="M11" s="1">
        <v>20</v>
      </c>
      <c r="O11" s="1" t="str">
        <f>IFERROR(INDEX([1]物品基础表!$A:$A,MATCH(N11,[1]物品基础表!$B:$B,0)),"")</f>
        <v/>
      </c>
      <c r="R11" s="1" t="str">
        <f>IFERROR(INDEX([1]物品基础表!$A:$A,MATCH(Q11,[1]物品基础表!$B:$B,0)),"")</f>
        <v/>
      </c>
      <c r="U11" s="1" t="str">
        <f>IFERROR(INDEX([1]物品基础表!$A:$A,MATCH(T11,[1]物品基础表!$B:$B,0)),"")</f>
        <v/>
      </c>
      <c r="X11" s="1" t="str">
        <f>IFERROR(INDEX([1]物品基础表!$A:$A,MATCH(W11,[1]物品基础表!$B:$B,0)),"")</f>
        <v/>
      </c>
      <c r="AA11" s="1" t="str">
        <f>IFERROR(INDEX([1]物品基础表!$A:$A,MATCH(Z11,[1]物品基础表!$B:$B,0)),"")</f>
        <v/>
      </c>
      <c r="AD11" s="1" t="str">
        <f>IFERROR(INDEX([1]物品基础表!$A:$A,MATCH(AC11,[1]物品基础表!$B:$B,0)),"")</f>
        <v/>
      </c>
      <c r="AG11" s="1" t="str">
        <f>IFERROR(INDEX([1]物品基础表!$A:$A,MATCH(AF11,[1]物品基础表!$B:$B,0)),"")</f>
        <v/>
      </c>
      <c r="AJ11" s="1" t="str">
        <f>IFERROR(INDEX([1]物品基础表!$A:$A,MATCH(AI11,[1]物品基础表!$B:$B,0)),"")</f>
        <v/>
      </c>
      <c r="AM11" s="1" t="str">
        <f>IFERROR(INDEX([1]物品基础表!$A:$A,MATCH(AL11,[1]物品基础表!$B:$B,0)),"")</f>
        <v/>
      </c>
      <c r="AP11" s="1" t="str">
        <f>IFERROR(INDEX([1]物品基础表!$A:$A,MATCH(AO11,[1]物品基础表!$B:$B,0)),"")</f>
        <v/>
      </c>
      <c r="AS11" s="1" t="str">
        <f>IFERROR(INDEX([1]物品基础表!$A:$A,MATCH(AR11,[1]物品基础表!$B:$B,0)),"")</f>
        <v/>
      </c>
      <c r="AV11" s="1" t="str">
        <f>IFERROR(INDEX([1]物品基础表!$A:$A,MATCH(AU11,[1]物品基础表!$B:$B,0)),"")</f>
        <v/>
      </c>
      <c r="AY11" s="1" t="str">
        <f>IFERROR(INDEX([1]物品基础表!$A:$A,MATCH(AX11,[1]物品基础表!$B:$B,0)),"")</f>
        <v/>
      </c>
      <c r="BB11" s="1" t="str">
        <f>IFERROR(INDEX([1]物品基础表!$A:$A,MATCH(BA11,[1]物品基础表!$B:$B,0)),"")</f>
        <v/>
      </c>
      <c r="BE11" s="1" t="str">
        <f>IFERROR(INDEX([1]物品基础表!$A:$A,MATCH(BD11,[1]物品基础表!$B:$B,0)),"")</f>
        <v/>
      </c>
      <c r="BH11" s="1" t="str">
        <f>IFERROR(INDEX([1]物品基础表!$A:$A,MATCH(BG11,[1]物品基础表!$B:$B,0)),"")</f>
        <v/>
      </c>
      <c r="BK11" s="1" t="str">
        <f>IFERROR(INDEX([1]物品基础表!$A:$A,MATCH(BJ11,[1]物品基础表!$B:$B,0)),"")</f>
        <v/>
      </c>
    </row>
    <row r="12" spans="1:64">
      <c r="A12" s="39" t="str">
        <f>INDEX([2]活动总表!$A$8:$A$429,MATCH(B12,[2]活动总表!$B$8:$B$429,0))</f>
        <v>感恩节幸运转盘</v>
      </c>
      <c r="B12" s="56">
        <v>214</v>
      </c>
      <c r="C12" s="56">
        <v>8</v>
      </c>
      <c r="D12" s="56"/>
      <c r="E12" s="56"/>
      <c r="F12" s="56" t="s">
        <v>796</v>
      </c>
      <c r="G12" s="40">
        <v>1</v>
      </c>
      <c r="H12" s="56"/>
      <c r="I12" s="56"/>
      <c r="J12" s="60"/>
      <c r="K12" s="1">
        <v>131410</v>
      </c>
      <c r="L12" s="1" t="str">
        <f>IFERROR(INDEX([1]物品基础表!$A:$A,MATCH(K12,[1]物品基础表!$B:$B,0)),"")</f>
        <v>红色战士90级项链</v>
      </c>
      <c r="M12" s="1">
        <v>1</v>
      </c>
      <c r="O12" s="1" t="str">
        <f>IFERROR(INDEX([1]物品基础表!$A:$A,MATCH(N12,[1]物品基础表!$B:$B,0)),"")</f>
        <v/>
      </c>
      <c r="R12" s="1" t="str">
        <f>IFERROR(INDEX([1]物品基础表!$A:$A,MATCH(Q12,[1]物品基础表!$B:$B,0)),"")</f>
        <v/>
      </c>
      <c r="U12" s="1" t="str">
        <f>IFERROR(INDEX([1]物品基础表!$A:$A,MATCH(T12,[1]物品基础表!$B:$B,0)),"")</f>
        <v/>
      </c>
      <c r="X12" s="1" t="str">
        <f>IFERROR(INDEX([1]物品基础表!$A:$A,MATCH(W12,[1]物品基础表!$B:$B,0)),"")</f>
        <v/>
      </c>
      <c r="AA12" s="1" t="str">
        <f>IFERROR(INDEX([1]物品基础表!$A:$A,MATCH(Z12,[1]物品基础表!$B:$B,0)),"")</f>
        <v/>
      </c>
      <c r="AD12" s="1" t="str">
        <f>IFERROR(INDEX([1]物品基础表!$A:$A,MATCH(AC12,[1]物品基础表!$B:$B,0)),"")</f>
        <v/>
      </c>
      <c r="AG12" s="1" t="str">
        <f>IFERROR(INDEX([1]物品基础表!$A:$A,MATCH(AF12,[1]物品基础表!$B:$B,0)),"")</f>
        <v/>
      </c>
      <c r="AJ12" s="1" t="str">
        <f>IFERROR(INDEX([1]物品基础表!$A:$A,MATCH(AI12,[1]物品基础表!$B:$B,0)),"")</f>
        <v/>
      </c>
      <c r="AM12" s="1" t="str">
        <f>IFERROR(INDEX([1]物品基础表!$A:$A,MATCH(AL12,[1]物品基础表!$B:$B,0)),"")</f>
        <v/>
      </c>
      <c r="AP12" s="1" t="str">
        <f>IFERROR(INDEX([1]物品基础表!$A:$A,MATCH(AO12,[1]物品基础表!$B:$B,0)),"")</f>
        <v/>
      </c>
      <c r="AS12" s="1" t="str">
        <f>IFERROR(INDEX([1]物品基础表!$A:$A,MATCH(AR12,[1]物品基础表!$B:$B,0)),"")</f>
        <v/>
      </c>
      <c r="AV12" s="1" t="str">
        <f>IFERROR(INDEX([1]物品基础表!$A:$A,MATCH(AU12,[1]物品基础表!$B:$B,0)),"")</f>
        <v/>
      </c>
      <c r="AY12" s="1" t="str">
        <f>IFERROR(INDEX([1]物品基础表!$A:$A,MATCH(AX12,[1]物品基础表!$B:$B,0)),"")</f>
        <v/>
      </c>
      <c r="BB12" s="1" t="str">
        <f>IFERROR(INDEX([1]物品基础表!$A:$A,MATCH(BA12,[1]物品基础表!$B:$B,0)),"")</f>
        <v/>
      </c>
      <c r="BE12" s="1" t="str">
        <f>IFERROR(INDEX([1]物品基础表!$A:$A,MATCH(BD12,[1]物品基础表!$B:$B,0)),"")</f>
        <v/>
      </c>
      <c r="BH12" s="1" t="str">
        <f>IFERROR(INDEX([1]物品基础表!$A:$A,MATCH(BG12,[1]物品基础表!$B:$B,0)),"")</f>
        <v/>
      </c>
      <c r="BK12" s="1" t="str">
        <f>IFERROR(INDEX([1]物品基础表!$A:$A,MATCH(BJ12,[1]物品基础表!$B:$B,0)),"")</f>
        <v/>
      </c>
    </row>
    <row r="13" spans="1:64">
      <c r="A13" s="39" t="str">
        <f>INDEX([2]活动总表!$A$8:$A$429,MATCH(B13,[2]活动总表!$B$8:$B$429,0))</f>
        <v>感恩节幸运转盘</v>
      </c>
      <c r="B13" s="56">
        <v>214</v>
      </c>
      <c r="C13" s="56">
        <v>9</v>
      </c>
      <c r="D13" s="56"/>
      <c r="E13" s="56"/>
      <c r="F13" s="56" t="s">
        <v>794</v>
      </c>
      <c r="G13" s="40">
        <v>1</v>
      </c>
      <c r="H13" s="56"/>
      <c r="I13" s="56"/>
      <c r="J13" s="60"/>
      <c r="K13" s="1">
        <v>200167</v>
      </c>
      <c r="L13" s="1" t="str">
        <f>IFERROR(INDEX([1]物品基础表!$A:$A,MATCH(K13,[1]物品基础表!$B:$B,0)),"")</f>
        <v>黑铁</v>
      </c>
      <c r="M13" s="1">
        <v>400</v>
      </c>
      <c r="O13" s="1" t="str">
        <f>IFERROR(INDEX([1]物品基础表!$A:$A,MATCH(N13,[1]物品基础表!$B:$B,0)),"")</f>
        <v/>
      </c>
      <c r="R13" s="1" t="str">
        <f>IFERROR(INDEX([1]物品基础表!$A:$A,MATCH(Q13,[1]物品基础表!$B:$B,0)),"")</f>
        <v/>
      </c>
      <c r="U13" s="1" t="str">
        <f>IFERROR(INDEX([1]物品基础表!$A:$A,MATCH(T13,[1]物品基础表!$B:$B,0)),"")</f>
        <v/>
      </c>
      <c r="X13" s="1" t="str">
        <f>IFERROR(INDEX([1]物品基础表!$A:$A,MATCH(W13,[1]物品基础表!$B:$B,0)),"")</f>
        <v/>
      </c>
      <c r="AA13" s="1" t="str">
        <f>IFERROR(INDEX([1]物品基础表!$A:$A,MATCH(Z13,[1]物品基础表!$B:$B,0)),"")</f>
        <v/>
      </c>
      <c r="AD13" s="1" t="str">
        <f>IFERROR(INDEX([1]物品基础表!$A:$A,MATCH(AC13,[1]物品基础表!$B:$B,0)),"")</f>
        <v/>
      </c>
      <c r="AG13" s="1" t="str">
        <f>IFERROR(INDEX([1]物品基础表!$A:$A,MATCH(AF13,[1]物品基础表!$B:$B,0)),"")</f>
        <v/>
      </c>
      <c r="AJ13" s="1" t="str">
        <f>IFERROR(INDEX([1]物品基础表!$A:$A,MATCH(AI13,[1]物品基础表!$B:$B,0)),"")</f>
        <v/>
      </c>
      <c r="AM13" s="1" t="str">
        <f>IFERROR(INDEX([1]物品基础表!$A:$A,MATCH(AL13,[1]物品基础表!$B:$B,0)),"")</f>
        <v/>
      </c>
      <c r="AP13" s="1" t="str">
        <f>IFERROR(INDEX([1]物品基础表!$A:$A,MATCH(AO13,[1]物品基础表!$B:$B,0)),"")</f>
        <v/>
      </c>
      <c r="AS13" s="1" t="str">
        <f>IFERROR(INDEX([1]物品基础表!$A:$A,MATCH(AR13,[1]物品基础表!$B:$B,0)),"")</f>
        <v/>
      </c>
      <c r="AV13" s="1" t="str">
        <f>IFERROR(INDEX([1]物品基础表!$A:$A,MATCH(AU13,[1]物品基础表!$B:$B,0)),"")</f>
        <v/>
      </c>
      <c r="AY13" s="1" t="str">
        <f>IFERROR(INDEX([1]物品基础表!$A:$A,MATCH(AX13,[1]物品基础表!$B:$B,0)),"")</f>
        <v/>
      </c>
      <c r="BB13" s="1" t="str">
        <f>IFERROR(INDEX([1]物品基础表!$A:$A,MATCH(BA13,[1]物品基础表!$B:$B,0)),"")</f>
        <v/>
      </c>
      <c r="BE13" s="1" t="str">
        <f>IFERROR(INDEX([1]物品基础表!$A:$A,MATCH(BD13,[1]物品基础表!$B:$B,0)),"")</f>
        <v/>
      </c>
      <c r="BH13" s="1" t="str">
        <f>IFERROR(INDEX([1]物品基础表!$A:$A,MATCH(BG13,[1]物品基础表!$B:$B,0)),"")</f>
        <v/>
      </c>
      <c r="BK13" s="1" t="str">
        <f>IFERROR(INDEX([1]物品基础表!$A:$A,MATCH(BJ13,[1]物品基础表!$B:$B,0)),"")</f>
        <v/>
      </c>
    </row>
    <row r="14" spans="1:64">
      <c r="A14" s="39" t="str">
        <f>INDEX([2]活动总表!$A$8:$A$429,MATCH(B14,[2]活动总表!$B$8:$B$429,0))</f>
        <v>感恩节幸运转盘</v>
      </c>
      <c r="B14" s="56">
        <v>214</v>
      </c>
      <c r="C14" s="56">
        <v>10</v>
      </c>
      <c r="D14" s="56"/>
      <c r="E14" s="56"/>
      <c r="F14" s="56" t="s">
        <v>791</v>
      </c>
      <c r="G14" s="40">
        <v>1</v>
      </c>
      <c r="H14" s="56"/>
      <c r="I14" s="56"/>
      <c r="J14" s="60"/>
      <c r="K14" s="1">
        <v>500005</v>
      </c>
      <c r="L14" s="1" t="str">
        <f>IFERROR(INDEX([1]物品基础表!$A:$A,MATCH(K14,[1]物品基础表!$B:$B,0)),"")</f>
        <v>战纹精华-红</v>
      </c>
      <c r="M14" s="1">
        <v>1</v>
      </c>
      <c r="O14" s="1" t="str">
        <f>IFERROR(INDEX([1]物品基础表!$A:$A,MATCH(N14,[1]物品基础表!$B:$B,0)),"")</f>
        <v/>
      </c>
      <c r="R14" s="1" t="str">
        <f>IFERROR(INDEX([1]物品基础表!$A:$A,MATCH(Q14,[1]物品基础表!$B:$B,0)),"")</f>
        <v/>
      </c>
      <c r="U14" s="1" t="str">
        <f>IFERROR(INDEX([1]物品基础表!$A:$A,MATCH(T14,[1]物品基础表!$B:$B,0)),"")</f>
        <v/>
      </c>
      <c r="X14" s="1" t="str">
        <f>IFERROR(INDEX([1]物品基础表!$A:$A,MATCH(W14,[1]物品基础表!$B:$B,0)),"")</f>
        <v/>
      </c>
      <c r="AA14" s="1" t="str">
        <f>IFERROR(INDEX([1]物品基础表!$A:$A,MATCH(Z14,[1]物品基础表!$B:$B,0)),"")</f>
        <v/>
      </c>
      <c r="AD14" s="1" t="str">
        <f>IFERROR(INDEX([1]物品基础表!$A:$A,MATCH(AC14,[1]物品基础表!$B:$B,0)),"")</f>
        <v/>
      </c>
      <c r="AG14" s="1" t="str">
        <f>IFERROR(INDEX([1]物品基础表!$A:$A,MATCH(AF14,[1]物品基础表!$B:$B,0)),"")</f>
        <v/>
      </c>
      <c r="AJ14" s="1" t="str">
        <f>IFERROR(INDEX([1]物品基础表!$A:$A,MATCH(AI14,[1]物品基础表!$B:$B,0)),"")</f>
        <v/>
      </c>
      <c r="AM14" s="1" t="str">
        <f>IFERROR(INDEX([1]物品基础表!$A:$A,MATCH(AL14,[1]物品基础表!$B:$B,0)),"")</f>
        <v/>
      </c>
      <c r="AP14" s="1" t="str">
        <f>IFERROR(INDEX([1]物品基础表!$A:$A,MATCH(AO14,[1]物品基础表!$B:$B,0)),"")</f>
        <v/>
      </c>
      <c r="AS14" s="1" t="str">
        <f>IFERROR(INDEX([1]物品基础表!$A:$A,MATCH(AR14,[1]物品基础表!$B:$B,0)),"")</f>
        <v/>
      </c>
      <c r="AV14" s="1" t="str">
        <f>IFERROR(INDEX([1]物品基础表!$A:$A,MATCH(AU14,[1]物品基础表!$B:$B,0)),"")</f>
        <v/>
      </c>
      <c r="AY14" s="1" t="str">
        <f>IFERROR(INDEX([1]物品基础表!$A:$A,MATCH(AX14,[1]物品基础表!$B:$B,0)),"")</f>
        <v/>
      </c>
      <c r="BB14" s="1" t="str">
        <f>IFERROR(INDEX([1]物品基础表!$A:$A,MATCH(BA14,[1]物品基础表!$B:$B,0)),"")</f>
        <v/>
      </c>
      <c r="BE14" s="1" t="str">
        <f>IFERROR(INDEX([1]物品基础表!$A:$A,MATCH(BD14,[1]物品基础表!$B:$B,0)),"")</f>
        <v/>
      </c>
      <c r="BH14" s="1" t="str">
        <f>IFERROR(INDEX([1]物品基础表!$A:$A,MATCH(BG14,[1]物品基础表!$B:$B,0)),"")</f>
        <v/>
      </c>
      <c r="BK14" s="1" t="str">
        <f>IFERROR(INDEX([1]物品基础表!$A:$A,MATCH(BJ14,[1]物品基础表!$B:$B,0)),"")</f>
        <v/>
      </c>
    </row>
    <row r="15" spans="1:64">
      <c r="A15" s="39" t="str">
        <f>INDEX([2]活动总表!$A$8:$A$429,MATCH(B15,[2]活动总表!$B$8:$B$429,0))</f>
        <v>双12活动-第一天转盘</v>
      </c>
      <c r="B15" s="40">
        <v>221</v>
      </c>
      <c r="C15" s="40">
        <v>0</v>
      </c>
      <c r="D15" s="40">
        <v>200310</v>
      </c>
      <c r="E15" s="40">
        <v>500</v>
      </c>
      <c r="F15" s="40"/>
      <c r="G15" s="40">
        <v>1</v>
      </c>
      <c r="H15" s="40"/>
      <c r="I15" s="56"/>
      <c r="J15" s="60"/>
      <c r="L15" s="1" t="str">
        <f>IFERROR(INDEX([1]物品基础表!$A:$A,MATCH(K15,[1]物品基础表!$B:$B,0)),"")</f>
        <v/>
      </c>
      <c r="O15" s="1" t="str">
        <f>IFERROR(INDEX([1]物品基础表!$A:$A,MATCH(N15,[1]物品基础表!$B:$B,0)),"")</f>
        <v/>
      </c>
      <c r="R15" s="1" t="str">
        <f>IFERROR(INDEX([1]物品基础表!$A:$A,MATCH(Q15,[1]物品基础表!$B:$B,0)),"")</f>
        <v/>
      </c>
      <c r="T15" s="1">
        <v>200939</v>
      </c>
      <c r="U15" s="1" t="str">
        <f>IFERROR(INDEX([1]物品基础表!$A:$A,MATCH(T15,[1]物品基础表!$B:$B,0)),"")</f>
        <v>节日礼包</v>
      </c>
      <c r="V15" s="1">
        <v>1</v>
      </c>
      <c r="X15" s="1" t="str">
        <f>IFERROR(INDEX([1]物品基础表!$A:$A,MATCH(W15,[1]物品基础表!$B:$B,0)),"")</f>
        <v/>
      </c>
      <c r="Z15" s="1">
        <v>200940</v>
      </c>
      <c r="AA15" s="1" t="str">
        <f>IFERROR(INDEX([1]物品基础表!$A:$A,MATCH(Z15,[1]物品基础表!$B:$B,0)),"")</f>
        <v>狂欢礼包</v>
      </c>
      <c r="AB15" s="1">
        <v>1</v>
      </c>
      <c r="AD15" s="1" t="str">
        <f>IFERROR(INDEX([1]物品基础表!$A:$A,MATCH(AC15,[1]物品基础表!$B:$B,0)),"")</f>
        <v/>
      </c>
      <c r="AG15" s="1" t="str">
        <f>IFERROR(INDEX([1]物品基础表!$A:$A,MATCH(AF15,[1]物品基础表!$B:$B,0)),"")</f>
        <v/>
      </c>
      <c r="AJ15" s="1" t="str">
        <f>IFERROR(INDEX([1]物品基础表!$A:$A,MATCH(AI15,[1]物品基础表!$B:$B,0)),"")</f>
        <v/>
      </c>
      <c r="AL15" s="1">
        <v>200941</v>
      </c>
      <c r="AM15" s="1" t="str">
        <f>IFERROR(INDEX([1]物品基础表!$A:$A,MATCH(AL15,[1]物品基础表!$B:$B,0)),"")</f>
        <v>送豪礼礼包</v>
      </c>
      <c r="AN15" s="1">
        <v>1</v>
      </c>
      <c r="AP15" s="1" t="str">
        <f>IFERROR(INDEX([1]物品基础表!$A:$A,MATCH(AO15,[1]物品基础表!$B:$B,0)),"")</f>
        <v/>
      </c>
      <c r="AS15" s="1" t="str">
        <f>IFERROR(INDEX([1]物品基础表!$A:$A,MATCH(AR15,[1]物品基础表!$B:$B,0)),"")</f>
        <v/>
      </c>
      <c r="AV15" s="1" t="str">
        <f>IFERROR(INDEX([1]物品基础表!$A:$A,MATCH(AU15,[1]物品基础表!$B:$B,0)),"")</f>
        <v/>
      </c>
      <c r="AY15" s="1" t="str">
        <f>IFERROR(INDEX([1]物品基础表!$A:$A,MATCH(AX15,[1]物品基础表!$B:$B,0)),"")</f>
        <v/>
      </c>
      <c r="BB15" s="1" t="str">
        <f>IFERROR(INDEX([1]物品基础表!$A:$A,MATCH(BA15,[1]物品基础表!$B:$B,0)),"")</f>
        <v/>
      </c>
      <c r="BE15" s="1" t="str">
        <f>IFERROR(INDEX([1]物品基础表!$A:$A,MATCH(BD15,[1]物品基础表!$B:$B,0)),"")</f>
        <v/>
      </c>
      <c r="BH15" s="1" t="str">
        <f>IFERROR(INDEX([1]物品基础表!$A:$A,MATCH(BG15,[1]物品基础表!$B:$B,0)),"")</f>
        <v/>
      </c>
      <c r="BK15" s="1" t="str">
        <f>IFERROR(INDEX([1]物品基础表!$A:$A,MATCH(BJ15,[1]物品基础表!$B:$B,0)),"")</f>
        <v/>
      </c>
    </row>
    <row r="16" spans="1:64">
      <c r="A16" s="39" t="str">
        <f>INDEX([2]活动总表!$A$8:$A$429,MATCH(B16,[2]活动总表!$B$8:$B$429,0))</f>
        <v>双12活动-第一天转盘</v>
      </c>
      <c r="B16" s="40">
        <v>221</v>
      </c>
      <c r="C16" s="40">
        <v>1</v>
      </c>
      <c r="D16" s="40"/>
      <c r="E16" s="40"/>
      <c r="F16" s="40" t="s">
        <v>797</v>
      </c>
      <c r="G16" s="40">
        <v>1</v>
      </c>
      <c r="H16" s="40"/>
      <c r="I16" s="56"/>
      <c r="J16" s="60"/>
      <c r="K16" s="1">
        <v>200317</v>
      </c>
      <c r="L16" s="1" t="str">
        <f>IFERROR(INDEX([1]物品基础表!$A:$A,MATCH(K16,[1]物品基础表!$B:$B,0)),"")</f>
        <v>4阶神羽宝箱</v>
      </c>
      <c r="M16" s="1">
        <v>1</v>
      </c>
      <c r="O16" s="1" t="str">
        <f>IFERROR(INDEX([1]物品基础表!$A:$A,MATCH(N16,[1]物品基础表!$B:$B,0)),"")</f>
        <v/>
      </c>
      <c r="R16" s="1" t="str">
        <f>IFERROR(INDEX([1]物品基础表!$A:$A,MATCH(Q16,[1]物品基础表!$B:$B,0)),"")</f>
        <v/>
      </c>
      <c r="U16" s="1" t="str">
        <f>IFERROR(INDEX([1]物品基础表!$A:$A,MATCH(T16,[1]物品基础表!$B:$B,0)),"")</f>
        <v/>
      </c>
      <c r="X16" s="1" t="str">
        <f>IFERROR(INDEX([1]物品基础表!$A:$A,MATCH(W16,[1]物品基础表!$B:$B,0)),"")</f>
        <v/>
      </c>
      <c r="AA16" s="1" t="str">
        <f>IFERROR(INDEX([1]物品基础表!$A:$A,MATCH(Z16,[1]物品基础表!$B:$B,0)),"")</f>
        <v/>
      </c>
      <c r="AD16" s="1" t="str">
        <f>IFERROR(INDEX([1]物品基础表!$A:$A,MATCH(AC16,[1]物品基础表!$B:$B,0)),"")</f>
        <v/>
      </c>
      <c r="AG16" s="1" t="str">
        <f>IFERROR(INDEX([1]物品基础表!$A:$A,MATCH(AF16,[1]物品基础表!$B:$B,0)),"")</f>
        <v/>
      </c>
      <c r="AJ16" s="1" t="str">
        <f>IFERROR(INDEX([1]物品基础表!$A:$A,MATCH(AI16,[1]物品基础表!$B:$B,0)),"")</f>
        <v/>
      </c>
      <c r="AM16" s="1" t="str">
        <f>IFERROR(INDEX([1]物品基础表!$A:$A,MATCH(AL16,[1]物品基础表!$B:$B,0)),"")</f>
        <v/>
      </c>
      <c r="AP16" s="1" t="str">
        <f>IFERROR(INDEX([1]物品基础表!$A:$A,MATCH(AO16,[1]物品基础表!$B:$B,0)),"")</f>
        <v/>
      </c>
      <c r="AS16" s="1" t="str">
        <f>IFERROR(INDEX([1]物品基础表!$A:$A,MATCH(AR16,[1]物品基础表!$B:$B,0)),"")</f>
        <v/>
      </c>
      <c r="AV16" s="1" t="str">
        <f>IFERROR(INDEX([1]物品基础表!$A:$A,MATCH(AU16,[1]物品基础表!$B:$B,0)),"")</f>
        <v/>
      </c>
      <c r="AY16" s="1" t="str">
        <f>IFERROR(INDEX([1]物品基础表!$A:$A,MATCH(AX16,[1]物品基础表!$B:$B,0)),"")</f>
        <v/>
      </c>
      <c r="BB16" s="1" t="str">
        <f>IFERROR(INDEX([1]物品基础表!$A:$A,MATCH(BA16,[1]物品基础表!$B:$B,0)),"")</f>
        <v/>
      </c>
      <c r="BE16" s="1" t="str">
        <f>IFERROR(INDEX([1]物品基础表!$A:$A,MATCH(BD16,[1]物品基础表!$B:$B,0)),"")</f>
        <v/>
      </c>
      <c r="BH16" s="1" t="str">
        <f>IFERROR(INDEX([1]物品基础表!$A:$A,MATCH(BG16,[1]物品基础表!$B:$B,0)),"")</f>
        <v/>
      </c>
      <c r="BK16" s="1" t="str">
        <f>IFERROR(INDEX([1]物品基础表!$A:$A,MATCH(BJ16,[1]物品基础表!$B:$B,0)),"")</f>
        <v/>
      </c>
    </row>
    <row r="17" spans="1:63">
      <c r="A17" s="39" t="str">
        <f>INDEX([2]活动总表!$A$8:$A$429,MATCH(B17,[2]活动总表!$B$8:$B$429,0))</f>
        <v>双12活动-第一天转盘</v>
      </c>
      <c r="B17" s="40">
        <v>221</v>
      </c>
      <c r="C17" s="40">
        <v>2</v>
      </c>
      <c r="D17" s="40"/>
      <c r="E17" s="40"/>
      <c r="F17" s="40" t="s">
        <v>798</v>
      </c>
      <c r="G17" s="40">
        <v>1</v>
      </c>
      <c r="H17" s="40"/>
      <c r="I17" s="56"/>
      <c r="J17" s="60"/>
      <c r="K17" s="1">
        <v>200005</v>
      </c>
      <c r="L17" s="1" t="str">
        <f>IFERROR(INDEX([1]物品基础表!$A:$A,MATCH(K17,[1]物品基础表!$B:$B,0)),"")</f>
        <v>龙魂碎片</v>
      </c>
      <c r="M17" s="1">
        <v>2</v>
      </c>
      <c r="O17" s="1" t="str">
        <f>IFERROR(INDEX([1]物品基础表!$A:$A,MATCH(N17,[1]物品基础表!$B:$B,0)),"")</f>
        <v/>
      </c>
      <c r="R17" s="1" t="str">
        <f>IFERROR(INDEX([1]物品基础表!$A:$A,MATCH(Q17,[1]物品基础表!$B:$B,0)),"")</f>
        <v/>
      </c>
      <c r="U17" s="1" t="str">
        <f>IFERROR(INDEX([1]物品基础表!$A:$A,MATCH(T17,[1]物品基础表!$B:$B,0)),"")</f>
        <v/>
      </c>
      <c r="X17" s="1" t="str">
        <f>IFERROR(INDEX([1]物品基础表!$A:$A,MATCH(W17,[1]物品基础表!$B:$B,0)),"")</f>
        <v/>
      </c>
      <c r="AA17" s="1" t="str">
        <f>IFERROR(INDEX([1]物品基础表!$A:$A,MATCH(Z17,[1]物品基础表!$B:$B,0)),"")</f>
        <v/>
      </c>
      <c r="AD17" s="1" t="str">
        <f>IFERROR(INDEX([1]物品基础表!$A:$A,MATCH(AC17,[1]物品基础表!$B:$B,0)),"")</f>
        <v/>
      </c>
      <c r="AG17" s="1" t="str">
        <f>IFERROR(INDEX([1]物品基础表!$A:$A,MATCH(AF17,[1]物品基础表!$B:$B,0)),"")</f>
        <v/>
      </c>
      <c r="AJ17" s="1" t="str">
        <f>IFERROR(INDEX([1]物品基础表!$A:$A,MATCH(AI17,[1]物品基础表!$B:$B,0)),"")</f>
        <v/>
      </c>
      <c r="AM17" s="1" t="str">
        <f>IFERROR(INDEX([1]物品基础表!$A:$A,MATCH(AL17,[1]物品基础表!$B:$B,0)),"")</f>
        <v/>
      </c>
      <c r="AP17" s="1" t="str">
        <f>IFERROR(INDEX([1]物品基础表!$A:$A,MATCH(AO17,[1]物品基础表!$B:$B,0)),"")</f>
        <v/>
      </c>
      <c r="AS17" s="1" t="str">
        <f>IFERROR(INDEX([1]物品基础表!$A:$A,MATCH(AR17,[1]物品基础表!$B:$B,0)),"")</f>
        <v/>
      </c>
      <c r="AV17" s="1" t="str">
        <f>IFERROR(INDEX([1]物品基础表!$A:$A,MATCH(AU17,[1]物品基础表!$B:$B,0)),"")</f>
        <v/>
      </c>
      <c r="AY17" s="1" t="str">
        <f>IFERROR(INDEX([1]物品基础表!$A:$A,MATCH(AX17,[1]物品基础表!$B:$B,0)),"")</f>
        <v/>
      </c>
      <c r="BB17" s="1" t="str">
        <f>IFERROR(INDEX([1]物品基础表!$A:$A,MATCH(BA17,[1]物品基础表!$B:$B,0)),"")</f>
        <v/>
      </c>
      <c r="BE17" s="1" t="str">
        <f>IFERROR(INDEX([1]物品基础表!$A:$A,MATCH(BD17,[1]物品基础表!$B:$B,0)),"")</f>
        <v/>
      </c>
      <c r="BH17" s="1" t="str">
        <f>IFERROR(INDEX([1]物品基础表!$A:$A,MATCH(BG17,[1]物品基础表!$B:$B,0)),"")</f>
        <v/>
      </c>
      <c r="BK17" s="1" t="str">
        <f>IFERROR(INDEX([1]物品基础表!$A:$A,MATCH(BJ17,[1]物品基础表!$B:$B,0)),"")</f>
        <v/>
      </c>
    </row>
    <row r="18" spans="1:63">
      <c r="A18" s="39" t="str">
        <f>INDEX([2]活动总表!$A$8:$A$429,MATCH(B18,[2]活动总表!$B$8:$B$429,0))</f>
        <v>双12活动-第一天转盘</v>
      </c>
      <c r="B18" s="40">
        <v>221</v>
      </c>
      <c r="C18" s="40">
        <v>3</v>
      </c>
      <c r="D18" s="40"/>
      <c r="E18" s="40"/>
      <c r="F18" s="40" t="s">
        <v>799</v>
      </c>
      <c r="G18" s="40">
        <v>1</v>
      </c>
      <c r="H18" s="40"/>
      <c r="I18" s="56"/>
      <c r="J18" s="60"/>
      <c r="K18" s="1">
        <v>200315</v>
      </c>
      <c r="L18" s="1" t="str">
        <f>IFERROR(INDEX([1]物品基础表!$A:$A,MATCH(K18,[1]物品基础表!$B:$B,0)),"")</f>
        <v>2阶神羽宝箱</v>
      </c>
      <c r="M18" s="1">
        <v>1</v>
      </c>
      <c r="O18" s="1" t="str">
        <f>IFERROR(INDEX([1]物品基础表!$A:$A,MATCH(N18,[1]物品基础表!$B:$B,0)),"")</f>
        <v/>
      </c>
      <c r="R18" s="1" t="str">
        <f>IFERROR(INDEX([1]物品基础表!$A:$A,MATCH(Q18,[1]物品基础表!$B:$B,0)),"")</f>
        <v/>
      </c>
      <c r="U18" s="1" t="str">
        <f>IFERROR(INDEX([1]物品基础表!$A:$A,MATCH(T18,[1]物品基础表!$B:$B,0)),"")</f>
        <v/>
      </c>
      <c r="X18" s="1" t="str">
        <f>IFERROR(INDEX([1]物品基础表!$A:$A,MATCH(W18,[1]物品基础表!$B:$B,0)),"")</f>
        <v/>
      </c>
      <c r="AA18" s="1" t="str">
        <f>IFERROR(INDEX([1]物品基础表!$A:$A,MATCH(Z18,[1]物品基础表!$B:$B,0)),"")</f>
        <v/>
      </c>
      <c r="AD18" s="1" t="str">
        <f>IFERROR(INDEX([1]物品基础表!$A:$A,MATCH(AC18,[1]物品基础表!$B:$B,0)),"")</f>
        <v/>
      </c>
      <c r="AG18" s="1" t="str">
        <f>IFERROR(INDEX([1]物品基础表!$A:$A,MATCH(AF18,[1]物品基础表!$B:$B,0)),"")</f>
        <v/>
      </c>
      <c r="AJ18" s="1" t="str">
        <f>IFERROR(INDEX([1]物品基础表!$A:$A,MATCH(AI18,[1]物品基础表!$B:$B,0)),"")</f>
        <v/>
      </c>
      <c r="AM18" s="1" t="str">
        <f>IFERROR(INDEX([1]物品基础表!$A:$A,MATCH(AL18,[1]物品基础表!$B:$B,0)),"")</f>
        <v/>
      </c>
      <c r="AP18" s="1" t="str">
        <f>IFERROR(INDEX([1]物品基础表!$A:$A,MATCH(AO18,[1]物品基础表!$B:$B,0)),"")</f>
        <v/>
      </c>
      <c r="AS18" s="1" t="str">
        <f>IFERROR(INDEX([1]物品基础表!$A:$A,MATCH(AR18,[1]物品基础表!$B:$B,0)),"")</f>
        <v/>
      </c>
      <c r="AV18" s="1" t="str">
        <f>IFERROR(INDEX([1]物品基础表!$A:$A,MATCH(AU18,[1]物品基础表!$B:$B,0)),"")</f>
        <v/>
      </c>
      <c r="AY18" s="1" t="str">
        <f>IFERROR(INDEX([1]物品基础表!$A:$A,MATCH(AX18,[1]物品基础表!$B:$B,0)),"")</f>
        <v/>
      </c>
      <c r="BB18" s="1" t="str">
        <f>IFERROR(INDEX([1]物品基础表!$A:$A,MATCH(BA18,[1]物品基础表!$B:$B,0)),"")</f>
        <v/>
      </c>
      <c r="BE18" s="1" t="str">
        <f>IFERROR(INDEX([1]物品基础表!$A:$A,MATCH(BD18,[1]物品基础表!$B:$B,0)),"")</f>
        <v/>
      </c>
      <c r="BH18" s="1" t="str">
        <f>IFERROR(INDEX([1]物品基础表!$A:$A,MATCH(BG18,[1]物品基础表!$B:$B,0)),"")</f>
        <v/>
      </c>
      <c r="BK18" s="1" t="str">
        <f>IFERROR(INDEX([1]物品基础表!$A:$A,MATCH(BJ18,[1]物品基础表!$B:$B,0)),"")</f>
        <v/>
      </c>
    </row>
    <row r="19" spans="1:63">
      <c r="A19" s="39" t="str">
        <f>INDEX([2]活动总表!$A$8:$A$429,MATCH(B19,[2]活动总表!$B$8:$B$429,0))</f>
        <v>双12活动-第一天转盘</v>
      </c>
      <c r="B19" s="40">
        <v>221</v>
      </c>
      <c r="C19" s="40">
        <v>4</v>
      </c>
      <c r="D19" s="40"/>
      <c r="E19" s="40"/>
      <c r="F19" s="40" t="s">
        <v>800</v>
      </c>
      <c r="G19" s="40">
        <v>1</v>
      </c>
      <c r="H19" s="40"/>
      <c r="I19" s="56"/>
      <c r="J19" s="60"/>
      <c r="K19" s="1">
        <v>200167</v>
      </c>
      <c r="L19" s="1" t="str">
        <f>IFERROR(INDEX([1]物品基础表!$A:$A,MATCH(K19,[1]物品基础表!$B:$B,0)),"")</f>
        <v>黑铁</v>
      </c>
      <c r="M19" s="1">
        <v>50</v>
      </c>
      <c r="O19" s="1" t="str">
        <f>IFERROR(INDEX([1]物品基础表!$A:$A,MATCH(N19,[1]物品基础表!$B:$B,0)),"")</f>
        <v/>
      </c>
      <c r="R19" s="1" t="str">
        <f>IFERROR(INDEX([1]物品基础表!$A:$A,MATCH(Q19,[1]物品基础表!$B:$B,0)),"")</f>
        <v/>
      </c>
      <c r="U19" s="1" t="str">
        <f>IFERROR(INDEX([1]物品基础表!$A:$A,MATCH(T19,[1]物品基础表!$B:$B,0)),"")</f>
        <v/>
      </c>
      <c r="X19" s="1" t="str">
        <f>IFERROR(INDEX([1]物品基础表!$A:$A,MATCH(W19,[1]物品基础表!$B:$B,0)),"")</f>
        <v/>
      </c>
      <c r="AA19" s="1" t="str">
        <f>IFERROR(INDEX([1]物品基础表!$A:$A,MATCH(Z19,[1]物品基础表!$B:$B,0)),"")</f>
        <v/>
      </c>
      <c r="AD19" s="1" t="str">
        <f>IFERROR(INDEX([1]物品基础表!$A:$A,MATCH(AC19,[1]物品基础表!$B:$B,0)),"")</f>
        <v/>
      </c>
      <c r="AG19" s="1" t="str">
        <f>IFERROR(INDEX([1]物品基础表!$A:$A,MATCH(AF19,[1]物品基础表!$B:$B,0)),"")</f>
        <v/>
      </c>
      <c r="AJ19" s="1" t="str">
        <f>IFERROR(INDEX([1]物品基础表!$A:$A,MATCH(AI19,[1]物品基础表!$B:$B,0)),"")</f>
        <v/>
      </c>
      <c r="AM19" s="1" t="str">
        <f>IFERROR(INDEX([1]物品基础表!$A:$A,MATCH(AL19,[1]物品基础表!$B:$B,0)),"")</f>
        <v/>
      </c>
      <c r="AP19" s="1" t="str">
        <f>IFERROR(INDEX([1]物品基础表!$A:$A,MATCH(AO19,[1]物品基础表!$B:$B,0)),"")</f>
        <v/>
      </c>
      <c r="AS19" s="1" t="str">
        <f>IFERROR(INDEX([1]物品基础表!$A:$A,MATCH(AR19,[1]物品基础表!$B:$B,0)),"")</f>
        <v/>
      </c>
      <c r="AV19" s="1" t="str">
        <f>IFERROR(INDEX([1]物品基础表!$A:$A,MATCH(AU19,[1]物品基础表!$B:$B,0)),"")</f>
        <v/>
      </c>
      <c r="AY19" s="1" t="str">
        <f>IFERROR(INDEX([1]物品基础表!$A:$A,MATCH(AX19,[1]物品基础表!$B:$B,0)),"")</f>
        <v/>
      </c>
      <c r="BB19" s="1" t="str">
        <f>IFERROR(INDEX([1]物品基础表!$A:$A,MATCH(BA19,[1]物品基础表!$B:$B,0)),"")</f>
        <v/>
      </c>
      <c r="BE19" s="1" t="str">
        <f>IFERROR(INDEX([1]物品基础表!$A:$A,MATCH(BD19,[1]物品基础表!$B:$B,0)),"")</f>
        <v/>
      </c>
      <c r="BH19" s="1" t="str">
        <f>IFERROR(INDEX([1]物品基础表!$A:$A,MATCH(BG19,[1]物品基础表!$B:$B,0)),"")</f>
        <v/>
      </c>
      <c r="BK19" s="1" t="str">
        <f>IFERROR(INDEX([1]物品基础表!$A:$A,MATCH(BJ19,[1]物品基础表!$B:$B,0)),"")</f>
        <v/>
      </c>
    </row>
    <row r="20" spans="1:63">
      <c r="A20" s="39" t="str">
        <f>INDEX([2]活动总表!$A$8:$A$429,MATCH(B20,[2]活动总表!$B$8:$B$429,0))</f>
        <v>双12活动-第一天转盘</v>
      </c>
      <c r="B20" s="40">
        <v>221</v>
      </c>
      <c r="C20" s="40">
        <v>5</v>
      </c>
      <c r="D20" s="40"/>
      <c r="E20" s="40"/>
      <c r="F20" s="40" t="s">
        <v>801</v>
      </c>
      <c r="G20" s="40">
        <v>1</v>
      </c>
      <c r="H20" s="40"/>
      <c r="I20" s="56"/>
      <c r="J20" s="60"/>
      <c r="K20" s="1">
        <v>500006</v>
      </c>
      <c r="L20" s="1" t="str">
        <f>IFERROR(INDEX([1]物品基础表!$A:$A,MATCH(K20,[1]物品基础表!$B:$B,0)),"")</f>
        <v>战纹精华-金</v>
      </c>
      <c r="M20" s="1">
        <v>1</v>
      </c>
      <c r="O20" s="1" t="str">
        <f>IFERROR(INDEX([1]物品基础表!$A:$A,MATCH(N20,[1]物品基础表!$B:$B,0)),"")</f>
        <v/>
      </c>
      <c r="R20" s="1" t="str">
        <f>IFERROR(INDEX([1]物品基础表!$A:$A,MATCH(Q20,[1]物品基础表!$B:$B,0)),"")</f>
        <v/>
      </c>
      <c r="U20" s="1" t="str">
        <f>IFERROR(INDEX([1]物品基础表!$A:$A,MATCH(T20,[1]物品基础表!$B:$B,0)),"")</f>
        <v/>
      </c>
      <c r="X20" s="1" t="str">
        <f>IFERROR(INDEX([1]物品基础表!$A:$A,MATCH(W20,[1]物品基础表!$B:$B,0)),"")</f>
        <v/>
      </c>
      <c r="AA20" s="1" t="str">
        <f>IFERROR(INDEX([1]物品基础表!$A:$A,MATCH(Z20,[1]物品基础表!$B:$B,0)),"")</f>
        <v/>
      </c>
      <c r="AD20" s="1" t="str">
        <f>IFERROR(INDEX([1]物品基础表!$A:$A,MATCH(AC20,[1]物品基础表!$B:$B,0)),"")</f>
        <v/>
      </c>
      <c r="AG20" s="1" t="str">
        <f>IFERROR(INDEX([1]物品基础表!$A:$A,MATCH(AF20,[1]物品基础表!$B:$B,0)),"")</f>
        <v/>
      </c>
      <c r="AJ20" s="1" t="str">
        <f>IFERROR(INDEX([1]物品基础表!$A:$A,MATCH(AI20,[1]物品基础表!$B:$B,0)),"")</f>
        <v/>
      </c>
      <c r="AM20" s="1" t="str">
        <f>IFERROR(INDEX([1]物品基础表!$A:$A,MATCH(AL20,[1]物品基础表!$B:$B,0)),"")</f>
        <v/>
      </c>
      <c r="AP20" s="1" t="str">
        <f>IFERROR(INDEX([1]物品基础表!$A:$A,MATCH(AO20,[1]物品基础表!$B:$B,0)),"")</f>
        <v/>
      </c>
      <c r="AS20" s="1" t="str">
        <f>IFERROR(INDEX([1]物品基础表!$A:$A,MATCH(AR20,[1]物品基础表!$B:$B,0)),"")</f>
        <v/>
      </c>
      <c r="AV20" s="1" t="str">
        <f>IFERROR(INDEX([1]物品基础表!$A:$A,MATCH(AU20,[1]物品基础表!$B:$B,0)),"")</f>
        <v/>
      </c>
      <c r="AY20" s="1" t="str">
        <f>IFERROR(INDEX([1]物品基础表!$A:$A,MATCH(AX20,[1]物品基础表!$B:$B,0)),"")</f>
        <v/>
      </c>
      <c r="BB20" s="1" t="str">
        <f>IFERROR(INDEX([1]物品基础表!$A:$A,MATCH(BA20,[1]物品基础表!$B:$B,0)),"")</f>
        <v/>
      </c>
      <c r="BE20" s="1" t="str">
        <f>IFERROR(INDEX([1]物品基础表!$A:$A,MATCH(BD20,[1]物品基础表!$B:$B,0)),"")</f>
        <v/>
      </c>
      <c r="BH20" s="1" t="str">
        <f>IFERROR(INDEX([1]物品基础表!$A:$A,MATCH(BG20,[1]物品基础表!$B:$B,0)),"")</f>
        <v/>
      </c>
      <c r="BK20" s="1" t="str">
        <f>IFERROR(INDEX([1]物品基础表!$A:$A,MATCH(BJ20,[1]物品基础表!$B:$B,0)),"")</f>
        <v/>
      </c>
    </row>
    <row r="21" spans="1:63">
      <c r="A21" s="39" t="str">
        <f>INDEX([2]活动总表!$A$8:$A$429,MATCH(B21,[2]活动总表!$B$8:$B$429,0))</f>
        <v>双12活动-第一天转盘</v>
      </c>
      <c r="B21" s="40">
        <v>221</v>
      </c>
      <c r="C21" s="40">
        <v>6</v>
      </c>
      <c r="D21" s="40"/>
      <c r="E21" s="40"/>
      <c r="F21" s="40" t="s">
        <v>802</v>
      </c>
      <c r="G21" s="40">
        <v>1</v>
      </c>
      <c r="H21" s="40"/>
      <c r="I21" s="56"/>
      <c r="J21" s="60"/>
      <c r="K21" s="1">
        <v>200314</v>
      </c>
      <c r="L21" s="1" t="str">
        <f>IFERROR(INDEX([1]物品基础表!$A:$A,MATCH(K21,[1]物品基础表!$B:$B,0)),"")</f>
        <v>蛊毒兵魂任选礼包</v>
      </c>
      <c r="M21" s="1">
        <v>1</v>
      </c>
      <c r="O21" s="1" t="str">
        <f>IFERROR(INDEX([1]物品基础表!$A:$A,MATCH(N21,[1]物品基础表!$B:$B,0)),"")</f>
        <v/>
      </c>
      <c r="R21" s="1" t="str">
        <f>IFERROR(INDEX([1]物品基础表!$A:$A,MATCH(Q21,[1]物品基础表!$B:$B,0)),"")</f>
        <v/>
      </c>
      <c r="U21" s="1" t="str">
        <f>IFERROR(INDEX([1]物品基础表!$A:$A,MATCH(T21,[1]物品基础表!$B:$B,0)),"")</f>
        <v/>
      </c>
      <c r="X21" s="1" t="str">
        <f>IFERROR(INDEX([1]物品基础表!$A:$A,MATCH(W21,[1]物品基础表!$B:$B,0)),"")</f>
        <v/>
      </c>
      <c r="AA21" s="1" t="str">
        <f>IFERROR(INDEX([1]物品基础表!$A:$A,MATCH(Z21,[1]物品基础表!$B:$B,0)),"")</f>
        <v/>
      </c>
      <c r="AD21" s="1" t="str">
        <f>IFERROR(INDEX([1]物品基础表!$A:$A,MATCH(AC21,[1]物品基础表!$B:$B,0)),"")</f>
        <v/>
      </c>
      <c r="AG21" s="1" t="str">
        <f>IFERROR(INDEX([1]物品基础表!$A:$A,MATCH(AF21,[1]物品基础表!$B:$B,0)),"")</f>
        <v/>
      </c>
      <c r="AJ21" s="1" t="str">
        <f>IFERROR(INDEX([1]物品基础表!$A:$A,MATCH(AI21,[1]物品基础表!$B:$B,0)),"")</f>
        <v/>
      </c>
      <c r="AM21" s="1" t="str">
        <f>IFERROR(INDEX([1]物品基础表!$A:$A,MATCH(AL21,[1]物品基础表!$B:$B,0)),"")</f>
        <v/>
      </c>
      <c r="AP21" s="1" t="str">
        <f>IFERROR(INDEX([1]物品基础表!$A:$A,MATCH(AO21,[1]物品基础表!$B:$B,0)),"")</f>
        <v/>
      </c>
      <c r="AS21" s="1" t="str">
        <f>IFERROR(INDEX([1]物品基础表!$A:$A,MATCH(AR21,[1]物品基础表!$B:$B,0)),"")</f>
        <v/>
      </c>
      <c r="AV21" s="1" t="str">
        <f>IFERROR(INDEX([1]物品基础表!$A:$A,MATCH(AU21,[1]物品基础表!$B:$B,0)),"")</f>
        <v/>
      </c>
      <c r="AY21" s="1" t="str">
        <f>IFERROR(INDEX([1]物品基础表!$A:$A,MATCH(AX21,[1]物品基础表!$B:$B,0)),"")</f>
        <v/>
      </c>
      <c r="BB21" s="1" t="str">
        <f>IFERROR(INDEX([1]物品基础表!$A:$A,MATCH(BA21,[1]物品基础表!$B:$B,0)),"")</f>
        <v/>
      </c>
      <c r="BE21" s="1" t="str">
        <f>IFERROR(INDEX([1]物品基础表!$A:$A,MATCH(BD21,[1]物品基础表!$B:$B,0)),"")</f>
        <v/>
      </c>
      <c r="BH21" s="1" t="str">
        <f>IFERROR(INDEX([1]物品基础表!$A:$A,MATCH(BG21,[1]物品基础表!$B:$B,0)),"")</f>
        <v/>
      </c>
      <c r="BK21" s="1" t="str">
        <f>IFERROR(INDEX([1]物品基础表!$A:$A,MATCH(BJ21,[1]物品基础表!$B:$B,0)),"")</f>
        <v/>
      </c>
    </row>
    <row r="22" spans="1:63">
      <c r="A22" s="39" t="str">
        <f>INDEX([2]活动总表!$A$8:$A$429,MATCH(B22,[2]活动总表!$B$8:$B$429,0))</f>
        <v>双12活动-第一天转盘</v>
      </c>
      <c r="B22" s="40">
        <v>221</v>
      </c>
      <c r="C22" s="40">
        <v>7</v>
      </c>
      <c r="D22" s="40"/>
      <c r="E22" s="40"/>
      <c r="F22" s="40" t="s">
        <v>803</v>
      </c>
      <c r="G22" s="40">
        <v>1</v>
      </c>
      <c r="H22" s="40"/>
      <c r="I22" s="56"/>
      <c r="J22" s="60"/>
      <c r="K22" s="1">
        <v>200015</v>
      </c>
      <c r="L22" s="1" t="str">
        <f>IFERROR(INDEX([1]物品基础表!$A:$A,MATCH(K22,[1]物品基础表!$B:$B,0)),"")</f>
        <v>特戒碎片</v>
      </c>
      <c r="M22" s="1">
        <v>20</v>
      </c>
      <c r="O22" s="1" t="str">
        <f>IFERROR(INDEX([1]物品基础表!$A:$A,MATCH(N22,[1]物品基础表!$B:$B,0)),"")</f>
        <v/>
      </c>
      <c r="R22" s="1" t="str">
        <f>IFERROR(INDEX([1]物品基础表!$A:$A,MATCH(Q22,[1]物品基础表!$B:$B,0)),"")</f>
        <v/>
      </c>
      <c r="U22" s="1" t="str">
        <f>IFERROR(INDEX([1]物品基础表!$A:$A,MATCH(T22,[1]物品基础表!$B:$B,0)),"")</f>
        <v/>
      </c>
      <c r="X22" s="1" t="str">
        <f>IFERROR(INDEX([1]物品基础表!$A:$A,MATCH(W22,[1]物品基础表!$B:$B,0)),"")</f>
        <v/>
      </c>
      <c r="AA22" s="1" t="str">
        <f>IFERROR(INDEX([1]物品基础表!$A:$A,MATCH(Z22,[1]物品基础表!$B:$B,0)),"")</f>
        <v/>
      </c>
      <c r="AD22" s="1" t="str">
        <f>IFERROR(INDEX([1]物品基础表!$A:$A,MATCH(AC22,[1]物品基础表!$B:$B,0)),"")</f>
        <v/>
      </c>
      <c r="AG22" s="1" t="str">
        <f>IFERROR(INDEX([1]物品基础表!$A:$A,MATCH(AF22,[1]物品基础表!$B:$B,0)),"")</f>
        <v/>
      </c>
      <c r="AJ22" s="1" t="str">
        <f>IFERROR(INDEX([1]物品基础表!$A:$A,MATCH(AI22,[1]物品基础表!$B:$B,0)),"")</f>
        <v/>
      </c>
      <c r="AM22" s="1" t="str">
        <f>IFERROR(INDEX([1]物品基础表!$A:$A,MATCH(AL22,[1]物品基础表!$B:$B,0)),"")</f>
        <v/>
      </c>
      <c r="AP22" s="1" t="str">
        <f>IFERROR(INDEX([1]物品基础表!$A:$A,MATCH(AO22,[1]物品基础表!$B:$B,0)),"")</f>
        <v/>
      </c>
      <c r="AS22" s="1" t="str">
        <f>IFERROR(INDEX([1]物品基础表!$A:$A,MATCH(AR22,[1]物品基础表!$B:$B,0)),"")</f>
        <v/>
      </c>
      <c r="AV22" s="1" t="str">
        <f>IFERROR(INDEX([1]物品基础表!$A:$A,MATCH(AU22,[1]物品基础表!$B:$B,0)),"")</f>
        <v/>
      </c>
      <c r="AY22" s="1" t="str">
        <f>IFERROR(INDEX([1]物品基础表!$A:$A,MATCH(AX22,[1]物品基础表!$B:$B,0)),"")</f>
        <v/>
      </c>
      <c r="BB22" s="1" t="str">
        <f>IFERROR(INDEX([1]物品基础表!$A:$A,MATCH(BA22,[1]物品基础表!$B:$B,0)),"")</f>
        <v/>
      </c>
      <c r="BE22" s="1" t="str">
        <f>IFERROR(INDEX([1]物品基础表!$A:$A,MATCH(BD22,[1]物品基础表!$B:$B,0)),"")</f>
        <v/>
      </c>
      <c r="BH22" s="1" t="str">
        <f>IFERROR(INDEX([1]物品基础表!$A:$A,MATCH(BG22,[1]物品基础表!$B:$B,0)),"")</f>
        <v/>
      </c>
      <c r="BK22" s="1" t="str">
        <f>IFERROR(INDEX([1]物品基础表!$A:$A,MATCH(BJ22,[1]物品基础表!$B:$B,0)),"")</f>
        <v/>
      </c>
    </row>
    <row r="23" spans="1:63">
      <c r="A23" s="39" t="str">
        <f>INDEX([2]活动总表!$A$8:$A$429,MATCH(B23,[2]活动总表!$B$8:$B$429,0))</f>
        <v>双12活动-第一天转盘</v>
      </c>
      <c r="B23" s="40">
        <v>221</v>
      </c>
      <c r="C23" s="40">
        <v>8</v>
      </c>
      <c r="D23" s="40"/>
      <c r="E23" s="40"/>
      <c r="F23" s="40" t="s">
        <v>804</v>
      </c>
      <c r="G23" s="40">
        <v>1</v>
      </c>
      <c r="H23" s="40"/>
      <c r="I23" s="56"/>
      <c r="J23" s="60"/>
      <c r="K23" s="1">
        <v>200316</v>
      </c>
      <c r="L23" s="1" t="str">
        <f>IFERROR(INDEX([1]物品基础表!$A:$A,MATCH(K23,[1]物品基础表!$B:$B,0)),"")</f>
        <v>3阶神羽宝箱</v>
      </c>
      <c r="M23" s="1">
        <v>1</v>
      </c>
      <c r="O23" s="1" t="str">
        <f>IFERROR(INDEX([1]物品基础表!$A:$A,MATCH(N23,[1]物品基础表!$B:$B,0)),"")</f>
        <v/>
      </c>
      <c r="R23" s="1" t="str">
        <f>IFERROR(INDEX([1]物品基础表!$A:$A,MATCH(Q23,[1]物品基础表!$B:$B,0)),"")</f>
        <v/>
      </c>
      <c r="U23" s="1" t="str">
        <f>IFERROR(INDEX([1]物品基础表!$A:$A,MATCH(T23,[1]物品基础表!$B:$B,0)),"")</f>
        <v/>
      </c>
      <c r="X23" s="1" t="str">
        <f>IFERROR(INDEX([1]物品基础表!$A:$A,MATCH(W23,[1]物品基础表!$B:$B,0)),"")</f>
        <v/>
      </c>
      <c r="AA23" s="1" t="str">
        <f>IFERROR(INDEX([1]物品基础表!$A:$A,MATCH(Z23,[1]物品基础表!$B:$B,0)),"")</f>
        <v/>
      </c>
      <c r="AD23" s="1" t="str">
        <f>IFERROR(INDEX([1]物品基础表!$A:$A,MATCH(AC23,[1]物品基础表!$B:$B,0)),"")</f>
        <v/>
      </c>
      <c r="AG23" s="1" t="str">
        <f>IFERROR(INDEX([1]物品基础表!$A:$A,MATCH(AF23,[1]物品基础表!$B:$B,0)),"")</f>
        <v/>
      </c>
      <c r="AJ23" s="1" t="str">
        <f>IFERROR(INDEX([1]物品基础表!$A:$A,MATCH(AI23,[1]物品基础表!$B:$B,0)),"")</f>
        <v/>
      </c>
      <c r="AM23" s="1" t="str">
        <f>IFERROR(INDEX([1]物品基础表!$A:$A,MATCH(AL23,[1]物品基础表!$B:$B,0)),"")</f>
        <v/>
      </c>
      <c r="AP23" s="1" t="str">
        <f>IFERROR(INDEX([1]物品基础表!$A:$A,MATCH(AO23,[1]物品基础表!$B:$B,0)),"")</f>
        <v/>
      </c>
      <c r="AS23" s="1" t="str">
        <f>IFERROR(INDEX([1]物品基础表!$A:$A,MATCH(AR23,[1]物品基础表!$B:$B,0)),"")</f>
        <v/>
      </c>
      <c r="AV23" s="1" t="str">
        <f>IFERROR(INDEX([1]物品基础表!$A:$A,MATCH(AU23,[1]物品基础表!$B:$B,0)),"")</f>
        <v/>
      </c>
      <c r="AY23" s="1" t="str">
        <f>IFERROR(INDEX([1]物品基础表!$A:$A,MATCH(AX23,[1]物品基础表!$B:$B,0)),"")</f>
        <v/>
      </c>
      <c r="BB23" s="1" t="str">
        <f>IFERROR(INDEX([1]物品基础表!$A:$A,MATCH(BA23,[1]物品基础表!$B:$B,0)),"")</f>
        <v/>
      </c>
      <c r="BE23" s="1" t="str">
        <f>IFERROR(INDEX([1]物品基础表!$A:$A,MATCH(BD23,[1]物品基础表!$B:$B,0)),"")</f>
        <v/>
      </c>
      <c r="BH23" s="1" t="str">
        <f>IFERROR(INDEX([1]物品基础表!$A:$A,MATCH(BG23,[1]物品基础表!$B:$B,0)),"")</f>
        <v/>
      </c>
      <c r="BK23" s="1" t="str">
        <f>IFERROR(INDEX([1]物品基础表!$A:$A,MATCH(BJ23,[1]物品基础表!$B:$B,0)),"")</f>
        <v/>
      </c>
    </row>
    <row r="24" spans="1:63">
      <c r="A24" s="39" t="str">
        <f>INDEX([2]活动总表!$A$8:$A$429,MATCH(B24,[2]活动总表!$B$8:$B$429,0))</f>
        <v>双12活动-第一天转盘</v>
      </c>
      <c r="B24" s="40">
        <v>221</v>
      </c>
      <c r="C24" s="40">
        <v>9</v>
      </c>
      <c r="D24" s="40"/>
      <c r="E24" s="40"/>
      <c r="F24" s="40" t="s">
        <v>805</v>
      </c>
      <c r="G24" s="40">
        <v>1</v>
      </c>
      <c r="H24" s="40"/>
      <c r="I24" s="56"/>
      <c r="J24" s="60"/>
      <c r="K24" s="1">
        <v>200167</v>
      </c>
      <c r="L24" s="1" t="str">
        <f>IFERROR(INDEX([1]物品基础表!$A:$A,MATCH(K24,[1]物品基础表!$B:$B,0)),"")</f>
        <v>黑铁</v>
      </c>
      <c r="M24" s="1">
        <v>400</v>
      </c>
      <c r="O24" s="1" t="str">
        <f>IFERROR(INDEX([1]物品基础表!$A:$A,MATCH(N24,[1]物品基础表!$B:$B,0)),"")</f>
        <v/>
      </c>
      <c r="R24" s="1" t="str">
        <f>IFERROR(INDEX([1]物品基础表!$A:$A,MATCH(Q24,[1]物品基础表!$B:$B,0)),"")</f>
        <v/>
      </c>
      <c r="U24" s="1" t="str">
        <f>IFERROR(INDEX([1]物品基础表!$A:$A,MATCH(T24,[1]物品基础表!$B:$B,0)),"")</f>
        <v/>
      </c>
      <c r="X24" s="1" t="str">
        <f>IFERROR(INDEX([1]物品基础表!$A:$A,MATCH(W24,[1]物品基础表!$B:$B,0)),"")</f>
        <v/>
      </c>
      <c r="AA24" s="1" t="str">
        <f>IFERROR(INDEX([1]物品基础表!$A:$A,MATCH(Z24,[1]物品基础表!$B:$B,0)),"")</f>
        <v/>
      </c>
      <c r="AD24" s="1" t="str">
        <f>IFERROR(INDEX([1]物品基础表!$A:$A,MATCH(AC24,[1]物品基础表!$B:$B,0)),"")</f>
        <v/>
      </c>
      <c r="AG24" s="1" t="str">
        <f>IFERROR(INDEX([1]物品基础表!$A:$A,MATCH(AF24,[1]物品基础表!$B:$B,0)),"")</f>
        <v/>
      </c>
      <c r="AJ24" s="1" t="str">
        <f>IFERROR(INDEX([1]物品基础表!$A:$A,MATCH(AI24,[1]物品基础表!$B:$B,0)),"")</f>
        <v/>
      </c>
      <c r="AM24" s="1" t="str">
        <f>IFERROR(INDEX([1]物品基础表!$A:$A,MATCH(AL24,[1]物品基础表!$B:$B,0)),"")</f>
        <v/>
      </c>
      <c r="AP24" s="1" t="str">
        <f>IFERROR(INDEX([1]物品基础表!$A:$A,MATCH(AO24,[1]物品基础表!$B:$B,0)),"")</f>
        <v/>
      </c>
      <c r="AS24" s="1" t="str">
        <f>IFERROR(INDEX([1]物品基础表!$A:$A,MATCH(AR24,[1]物品基础表!$B:$B,0)),"")</f>
        <v/>
      </c>
      <c r="AV24" s="1" t="str">
        <f>IFERROR(INDEX([1]物品基础表!$A:$A,MATCH(AU24,[1]物品基础表!$B:$B,0)),"")</f>
        <v/>
      </c>
      <c r="AY24" s="1" t="str">
        <f>IFERROR(INDEX([1]物品基础表!$A:$A,MATCH(AX24,[1]物品基础表!$B:$B,0)),"")</f>
        <v/>
      </c>
      <c r="BB24" s="1" t="str">
        <f>IFERROR(INDEX([1]物品基础表!$A:$A,MATCH(BA24,[1]物品基础表!$B:$B,0)),"")</f>
        <v/>
      </c>
      <c r="BE24" s="1" t="str">
        <f>IFERROR(INDEX([1]物品基础表!$A:$A,MATCH(BD24,[1]物品基础表!$B:$B,0)),"")</f>
        <v/>
      </c>
      <c r="BH24" s="1" t="str">
        <f>IFERROR(INDEX([1]物品基础表!$A:$A,MATCH(BG24,[1]物品基础表!$B:$B,0)),"")</f>
        <v/>
      </c>
      <c r="BK24" s="1" t="str">
        <f>IFERROR(INDEX([1]物品基础表!$A:$A,MATCH(BJ24,[1]物品基础表!$B:$B,0)),"")</f>
        <v/>
      </c>
    </row>
    <row r="25" spans="1:63">
      <c r="A25" s="39" t="str">
        <f>INDEX([2]活动总表!$A$8:$A$429,MATCH(B25,[2]活动总表!$B$8:$B$429,0))</f>
        <v>双12活动-第一天转盘</v>
      </c>
      <c r="B25" s="40">
        <v>221</v>
      </c>
      <c r="C25" s="40">
        <v>10</v>
      </c>
      <c r="D25" s="40"/>
      <c r="E25" s="40"/>
      <c r="F25" s="40" t="s">
        <v>806</v>
      </c>
      <c r="G25" s="40">
        <v>1</v>
      </c>
      <c r="H25" s="40"/>
      <c r="I25" s="56"/>
      <c r="J25" s="60"/>
      <c r="K25" s="1">
        <v>601000</v>
      </c>
      <c r="L25" s="1" t="str">
        <f>IFERROR(INDEX([1]物品基础表!$A:$A,MATCH(K25,[1]物品基础表!$B:$B,0)),"")</f>
        <v>神羽碎片</v>
      </c>
      <c r="M25" s="1">
        <v>1</v>
      </c>
      <c r="O25" s="1" t="str">
        <f>IFERROR(INDEX([1]物品基础表!$A:$A,MATCH(N25,[1]物品基础表!$B:$B,0)),"")</f>
        <v/>
      </c>
      <c r="R25" s="1" t="str">
        <f>IFERROR(INDEX([1]物品基础表!$A:$A,MATCH(Q25,[1]物品基础表!$B:$B,0)),"")</f>
        <v/>
      </c>
      <c r="U25" s="1" t="str">
        <f>IFERROR(INDEX([1]物品基础表!$A:$A,MATCH(T25,[1]物品基础表!$B:$B,0)),"")</f>
        <v/>
      </c>
      <c r="X25" s="1" t="str">
        <f>IFERROR(INDEX([1]物品基础表!$A:$A,MATCH(W25,[1]物品基础表!$B:$B,0)),"")</f>
        <v/>
      </c>
      <c r="AA25" s="1" t="str">
        <f>IFERROR(INDEX([1]物品基础表!$A:$A,MATCH(Z25,[1]物品基础表!$B:$B,0)),"")</f>
        <v/>
      </c>
      <c r="AD25" s="1" t="str">
        <f>IFERROR(INDEX([1]物品基础表!$A:$A,MATCH(AC25,[1]物品基础表!$B:$B,0)),"")</f>
        <v/>
      </c>
      <c r="AG25" s="1" t="str">
        <f>IFERROR(INDEX([1]物品基础表!$A:$A,MATCH(AF25,[1]物品基础表!$B:$B,0)),"")</f>
        <v/>
      </c>
      <c r="AJ25" s="1" t="str">
        <f>IFERROR(INDEX([1]物品基础表!$A:$A,MATCH(AI25,[1]物品基础表!$B:$B,0)),"")</f>
        <v/>
      </c>
      <c r="AM25" s="1" t="str">
        <f>IFERROR(INDEX([1]物品基础表!$A:$A,MATCH(AL25,[1]物品基础表!$B:$B,0)),"")</f>
        <v/>
      </c>
      <c r="AP25" s="1" t="str">
        <f>IFERROR(INDEX([1]物品基础表!$A:$A,MATCH(AO25,[1]物品基础表!$B:$B,0)),"")</f>
        <v/>
      </c>
      <c r="AS25" s="1" t="str">
        <f>IFERROR(INDEX([1]物品基础表!$A:$A,MATCH(AR25,[1]物品基础表!$B:$B,0)),"")</f>
        <v/>
      </c>
      <c r="AV25" s="1" t="str">
        <f>IFERROR(INDEX([1]物品基础表!$A:$A,MATCH(AU25,[1]物品基础表!$B:$B,0)),"")</f>
        <v/>
      </c>
      <c r="AY25" s="1" t="str">
        <f>IFERROR(INDEX([1]物品基础表!$A:$A,MATCH(AX25,[1]物品基础表!$B:$B,0)),"")</f>
        <v/>
      </c>
      <c r="BB25" s="1" t="str">
        <f>IFERROR(INDEX([1]物品基础表!$A:$A,MATCH(BA25,[1]物品基础表!$B:$B,0)),"")</f>
        <v/>
      </c>
      <c r="BE25" s="1" t="str">
        <f>IFERROR(INDEX([1]物品基础表!$A:$A,MATCH(BD25,[1]物品基础表!$B:$B,0)),"")</f>
        <v/>
      </c>
      <c r="BH25" s="1" t="str">
        <f>IFERROR(INDEX([1]物品基础表!$A:$A,MATCH(BG25,[1]物品基础表!$B:$B,0)),"")</f>
        <v/>
      </c>
      <c r="BK25" s="1" t="str">
        <f>IFERROR(INDEX([1]物品基础表!$A:$A,MATCH(BJ25,[1]物品基础表!$B:$B,0)),"")</f>
        <v/>
      </c>
    </row>
    <row r="26" spans="1:63">
      <c r="A26" s="39" t="str">
        <f>INDEX([2]活动总表!$A$8:$A$429,MATCH(B26,[2]活动总表!$B$8:$B$429,0))</f>
        <v>双12活动-第二天转盘</v>
      </c>
      <c r="B26" s="40">
        <v>222</v>
      </c>
      <c r="C26" s="40">
        <v>0</v>
      </c>
      <c r="D26" s="40">
        <v>200310</v>
      </c>
      <c r="E26" s="40">
        <v>500</v>
      </c>
      <c r="F26" s="40"/>
      <c r="G26" s="40">
        <v>1</v>
      </c>
      <c r="H26" s="40"/>
      <c r="I26" s="56"/>
      <c r="J26" s="60"/>
      <c r="L26" s="1" t="str">
        <f>IFERROR(INDEX([1]物品基础表!$A:$A,MATCH(K26,[1]物品基础表!$B:$B,0)),"")</f>
        <v/>
      </c>
      <c r="O26" s="1" t="str">
        <f>IFERROR(INDEX([1]物品基础表!$A:$A,MATCH(N26,[1]物品基础表!$B:$B,0)),"")</f>
        <v/>
      </c>
      <c r="R26" s="1" t="str">
        <f>IFERROR(INDEX([1]物品基础表!$A:$A,MATCH(Q26,[1]物品基础表!$B:$B,0)),"")</f>
        <v/>
      </c>
      <c r="T26" s="1">
        <v>200939</v>
      </c>
      <c r="U26" s="1" t="str">
        <f>IFERROR(INDEX([1]物品基础表!$A:$A,MATCH(T26,[1]物品基础表!$B:$B,0)),"")</f>
        <v>节日礼包</v>
      </c>
      <c r="V26" s="1">
        <v>1</v>
      </c>
      <c r="X26" s="1" t="str">
        <f>IFERROR(INDEX([1]物品基础表!$A:$A,MATCH(W26,[1]物品基础表!$B:$B,0)),"")</f>
        <v/>
      </c>
      <c r="Z26" s="1">
        <v>200940</v>
      </c>
      <c r="AA26" s="1" t="str">
        <f>IFERROR(INDEX([1]物品基础表!$A:$A,MATCH(Z26,[1]物品基础表!$B:$B,0)),"")</f>
        <v>狂欢礼包</v>
      </c>
      <c r="AB26" s="1">
        <v>1</v>
      </c>
      <c r="AD26" s="1" t="str">
        <f>IFERROR(INDEX([1]物品基础表!$A:$A,MATCH(AC26,[1]物品基础表!$B:$B,0)),"")</f>
        <v/>
      </c>
      <c r="AG26" s="1" t="str">
        <f>IFERROR(INDEX([1]物品基础表!$A:$A,MATCH(AF26,[1]物品基础表!$B:$B,0)),"")</f>
        <v/>
      </c>
      <c r="AJ26" s="1" t="str">
        <f>IFERROR(INDEX([1]物品基础表!$A:$A,MATCH(AI26,[1]物品基础表!$B:$B,0)),"")</f>
        <v/>
      </c>
      <c r="AL26" s="1">
        <v>200941</v>
      </c>
      <c r="AM26" s="1" t="str">
        <f>IFERROR(INDEX([1]物品基础表!$A:$A,MATCH(AL26,[1]物品基础表!$B:$B,0)),"")</f>
        <v>送豪礼礼包</v>
      </c>
      <c r="AN26" s="1">
        <v>1</v>
      </c>
      <c r="AP26" s="1" t="str">
        <f>IFERROR(INDEX([1]物品基础表!$A:$A,MATCH(AO26,[1]物品基础表!$B:$B,0)),"")</f>
        <v/>
      </c>
      <c r="AS26" s="1" t="str">
        <f>IFERROR(INDEX([1]物品基础表!$A:$A,MATCH(AR26,[1]物品基础表!$B:$B,0)),"")</f>
        <v/>
      </c>
      <c r="AV26" s="1" t="str">
        <f>IFERROR(INDEX([1]物品基础表!$A:$A,MATCH(AU26,[1]物品基础表!$B:$B,0)),"")</f>
        <v/>
      </c>
      <c r="AY26" s="1" t="str">
        <f>IFERROR(INDEX([1]物品基础表!$A:$A,MATCH(AX26,[1]物品基础表!$B:$B,0)),"")</f>
        <v/>
      </c>
      <c r="BB26" s="1" t="str">
        <f>IFERROR(INDEX([1]物品基础表!$A:$A,MATCH(BA26,[1]物品基础表!$B:$B,0)),"")</f>
        <v/>
      </c>
      <c r="BE26" s="1" t="str">
        <f>IFERROR(INDEX([1]物品基础表!$A:$A,MATCH(BD26,[1]物品基础表!$B:$B,0)),"")</f>
        <v/>
      </c>
      <c r="BH26" s="1" t="str">
        <f>IFERROR(INDEX([1]物品基础表!$A:$A,MATCH(BG26,[1]物品基础表!$B:$B,0)),"")</f>
        <v/>
      </c>
      <c r="BK26" s="1" t="str">
        <f>IFERROR(INDEX([1]物品基础表!$A:$A,MATCH(BJ26,[1]物品基础表!$B:$B,0)),"")</f>
        <v/>
      </c>
    </row>
    <row r="27" spans="1:63">
      <c r="A27" s="39" t="str">
        <f>INDEX([2]活动总表!$A$8:$A$429,MATCH(B27,[2]活动总表!$B$8:$B$429,0))</f>
        <v>双12活动-第二天转盘</v>
      </c>
      <c r="B27" s="40">
        <v>222</v>
      </c>
      <c r="C27" s="40">
        <v>1</v>
      </c>
      <c r="D27" s="40"/>
      <c r="E27" s="40"/>
      <c r="F27" s="40" t="s">
        <v>797</v>
      </c>
      <c r="G27" s="40">
        <v>1</v>
      </c>
      <c r="H27" s="40"/>
      <c r="I27" s="56"/>
      <c r="J27" s="60"/>
      <c r="K27" s="1">
        <v>200317</v>
      </c>
      <c r="L27" s="1" t="str">
        <f>IFERROR(INDEX([1]物品基础表!$A:$A,MATCH(K27,[1]物品基础表!$B:$B,0)),"")</f>
        <v>4阶神羽宝箱</v>
      </c>
      <c r="M27" s="1">
        <v>1</v>
      </c>
      <c r="O27" s="1" t="str">
        <f>IFERROR(INDEX([1]物品基础表!$A:$A,MATCH(N27,[1]物品基础表!$B:$B,0)),"")</f>
        <v/>
      </c>
      <c r="R27" s="1" t="str">
        <f>IFERROR(INDEX([1]物品基础表!$A:$A,MATCH(Q27,[1]物品基础表!$B:$B,0)),"")</f>
        <v/>
      </c>
      <c r="U27" s="1" t="str">
        <f>IFERROR(INDEX([1]物品基础表!$A:$A,MATCH(T27,[1]物品基础表!$B:$B,0)),"")</f>
        <v/>
      </c>
      <c r="X27" s="1" t="str">
        <f>IFERROR(INDEX([1]物品基础表!$A:$A,MATCH(W27,[1]物品基础表!$B:$B,0)),"")</f>
        <v/>
      </c>
      <c r="AA27" s="1" t="str">
        <f>IFERROR(INDEX([1]物品基础表!$A:$A,MATCH(Z27,[1]物品基础表!$B:$B,0)),"")</f>
        <v/>
      </c>
      <c r="AD27" s="1" t="str">
        <f>IFERROR(INDEX([1]物品基础表!$A:$A,MATCH(AC27,[1]物品基础表!$B:$B,0)),"")</f>
        <v/>
      </c>
      <c r="AG27" s="1" t="str">
        <f>IFERROR(INDEX([1]物品基础表!$A:$A,MATCH(AF27,[1]物品基础表!$B:$B,0)),"")</f>
        <v/>
      </c>
      <c r="AJ27" s="1" t="str">
        <f>IFERROR(INDEX([1]物品基础表!$A:$A,MATCH(AI27,[1]物品基础表!$B:$B,0)),"")</f>
        <v/>
      </c>
      <c r="AM27" s="1" t="str">
        <f>IFERROR(INDEX([1]物品基础表!$A:$A,MATCH(AL27,[1]物品基础表!$B:$B,0)),"")</f>
        <v/>
      </c>
      <c r="AP27" s="1" t="str">
        <f>IFERROR(INDEX([1]物品基础表!$A:$A,MATCH(AO27,[1]物品基础表!$B:$B,0)),"")</f>
        <v/>
      </c>
      <c r="AS27" s="1" t="str">
        <f>IFERROR(INDEX([1]物品基础表!$A:$A,MATCH(AR27,[1]物品基础表!$B:$B,0)),"")</f>
        <v/>
      </c>
      <c r="AV27" s="1" t="str">
        <f>IFERROR(INDEX([1]物品基础表!$A:$A,MATCH(AU27,[1]物品基础表!$B:$B,0)),"")</f>
        <v/>
      </c>
      <c r="AY27" s="1" t="str">
        <f>IFERROR(INDEX([1]物品基础表!$A:$A,MATCH(AX27,[1]物品基础表!$B:$B,0)),"")</f>
        <v/>
      </c>
      <c r="BB27" s="1" t="str">
        <f>IFERROR(INDEX([1]物品基础表!$A:$A,MATCH(BA27,[1]物品基础表!$B:$B,0)),"")</f>
        <v/>
      </c>
      <c r="BE27" s="1" t="str">
        <f>IFERROR(INDEX([1]物品基础表!$A:$A,MATCH(BD27,[1]物品基础表!$B:$B,0)),"")</f>
        <v/>
      </c>
      <c r="BH27" s="1" t="str">
        <f>IFERROR(INDEX([1]物品基础表!$A:$A,MATCH(BG27,[1]物品基础表!$B:$B,0)),"")</f>
        <v/>
      </c>
      <c r="BK27" s="1" t="str">
        <f>IFERROR(INDEX([1]物品基础表!$A:$A,MATCH(BJ27,[1]物品基础表!$B:$B,0)),"")</f>
        <v/>
      </c>
    </row>
    <row r="28" spans="1:63">
      <c r="A28" s="39" t="str">
        <f>INDEX([2]活动总表!$A$8:$A$429,MATCH(B28,[2]活动总表!$B$8:$B$429,0))</f>
        <v>双12活动-第二天转盘</v>
      </c>
      <c r="B28" s="40">
        <v>222</v>
      </c>
      <c r="C28" s="40">
        <v>2</v>
      </c>
      <c r="D28" s="40"/>
      <c r="E28" s="40"/>
      <c r="F28" s="40" t="s">
        <v>798</v>
      </c>
      <c r="G28" s="40">
        <v>1</v>
      </c>
      <c r="H28" s="40"/>
      <c r="I28" s="56"/>
      <c r="J28" s="60"/>
      <c r="K28" s="1">
        <v>200005</v>
      </c>
      <c r="L28" s="1" t="str">
        <f>IFERROR(INDEX([1]物品基础表!$A:$A,MATCH(K28,[1]物品基础表!$B:$B,0)),"")</f>
        <v>龙魂碎片</v>
      </c>
      <c r="M28" s="1">
        <v>2</v>
      </c>
      <c r="O28" s="1" t="str">
        <f>IFERROR(INDEX([1]物品基础表!$A:$A,MATCH(N28,[1]物品基础表!$B:$B,0)),"")</f>
        <v/>
      </c>
      <c r="R28" s="1" t="str">
        <f>IFERROR(INDEX([1]物品基础表!$A:$A,MATCH(Q28,[1]物品基础表!$B:$B,0)),"")</f>
        <v/>
      </c>
      <c r="U28" s="1" t="str">
        <f>IFERROR(INDEX([1]物品基础表!$A:$A,MATCH(T28,[1]物品基础表!$B:$B,0)),"")</f>
        <v/>
      </c>
      <c r="X28" s="1" t="str">
        <f>IFERROR(INDEX([1]物品基础表!$A:$A,MATCH(W28,[1]物品基础表!$B:$B,0)),"")</f>
        <v/>
      </c>
      <c r="AA28" s="1" t="str">
        <f>IFERROR(INDEX([1]物品基础表!$A:$A,MATCH(Z28,[1]物品基础表!$B:$B,0)),"")</f>
        <v/>
      </c>
      <c r="AD28" s="1" t="str">
        <f>IFERROR(INDEX([1]物品基础表!$A:$A,MATCH(AC28,[1]物品基础表!$B:$B,0)),"")</f>
        <v/>
      </c>
      <c r="AG28" s="1" t="str">
        <f>IFERROR(INDEX([1]物品基础表!$A:$A,MATCH(AF28,[1]物品基础表!$B:$B,0)),"")</f>
        <v/>
      </c>
      <c r="AJ28" s="1" t="str">
        <f>IFERROR(INDEX([1]物品基础表!$A:$A,MATCH(AI28,[1]物品基础表!$B:$B,0)),"")</f>
        <v/>
      </c>
      <c r="AM28" s="1" t="str">
        <f>IFERROR(INDEX([1]物品基础表!$A:$A,MATCH(AL28,[1]物品基础表!$B:$B,0)),"")</f>
        <v/>
      </c>
      <c r="AP28" s="1" t="str">
        <f>IFERROR(INDEX([1]物品基础表!$A:$A,MATCH(AO28,[1]物品基础表!$B:$B,0)),"")</f>
        <v/>
      </c>
      <c r="AS28" s="1" t="str">
        <f>IFERROR(INDEX([1]物品基础表!$A:$A,MATCH(AR28,[1]物品基础表!$B:$B,0)),"")</f>
        <v/>
      </c>
      <c r="AV28" s="1" t="str">
        <f>IFERROR(INDEX([1]物品基础表!$A:$A,MATCH(AU28,[1]物品基础表!$B:$B,0)),"")</f>
        <v/>
      </c>
      <c r="AY28" s="1" t="str">
        <f>IFERROR(INDEX([1]物品基础表!$A:$A,MATCH(AX28,[1]物品基础表!$B:$B,0)),"")</f>
        <v/>
      </c>
      <c r="BB28" s="1" t="str">
        <f>IFERROR(INDEX([1]物品基础表!$A:$A,MATCH(BA28,[1]物品基础表!$B:$B,0)),"")</f>
        <v/>
      </c>
      <c r="BE28" s="1" t="str">
        <f>IFERROR(INDEX([1]物品基础表!$A:$A,MATCH(BD28,[1]物品基础表!$B:$B,0)),"")</f>
        <v/>
      </c>
      <c r="BH28" s="1" t="str">
        <f>IFERROR(INDEX([1]物品基础表!$A:$A,MATCH(BG28,[1]物品基础表!$B:$B,0)),"")</f>
        <v/>
      </c>
      <c r="BK28" s="1" t="str">
        <f>IFERROR(INDEX([1]物品基础表!$A:$A,MATCH(BJ28,[1]物品基础表!$B:$B,0)),"")</f>
        <v/>
      </c>
    </row>
    <row r="29" spans="1:63">
      <c r="A29" s="39" t="str">
        <f>INDEX([2]活动总表!$A$8:$A$429,MATCH(B29,[2]活动总表!$B$8:$B$429,0))</f>
        <v>双12活动-第二天转盘</v>
      </c>
      <c r="B29" s="40">
        <v>222</v>
      </c>
      <c r="C29" s="40">
        <v>3</v>
      </c>
      <c r="D29" s="40"/>
      <c r="E29" s="40"/>
      <c r="F29" s="40" t="s">
        <v>799</v>
      </c>
      <c r="G29" s="40">
        <v>1</v>
      </c>
      <c r="H29" s="40"/>
      <c r="I29" s="56"/>
      <c r="J29" s="60"/>
      <c r="K29" s="1">
        <v>200315</v>
      </c>
      <c r="L29" s="1" t="str">
        <f>IFERROR(INDEX([1]物品基础表!$A:$A,MATCH(K29,[1]物品基础表!$B:$B,0)),"")</f>
        <v>2阶神羽宝箱</v>
      </c>
      <c r="M29" s="1">
        <v>1</v>
      </c>
      <c r="O29" s="1" t="str">
        <f>IFERROR(INDEX([1]物品基础表!$A:$A,MATCH(N29,[1]物品基础表!$B:$B,0)),"")</f>
        <v/>
      </c>
      <c r="R29" s="1" t="str">
        <f>IFERROR(INDEX([1]物品基础表!$A:$A,MATCH(Q29,[1]物品基础表!$B:$B,0)),"")</f>
        <v/>
      </c>
      <c r="U29" s="1" t="str">
        <f>IFERROR(INDEX([1]物品基础表!$A:$A,MATCH(T29,[1]物品基础表!$B:$B,0)),"")</f>
        <v/>
      </c>
      <c r="X29" s="1" t="str">
        <f>IFERROR(INDEX([1]物品基础表!$A:$A,MATCH(W29,[1]物品基础表!$B:$B,0)),"")</f>
        <v/>
      </c>
      <c r="AA29" s="1" t="str">
        <f>IFERROR(INDEX([1]物品基础表!$A:$A,MATCH(Z29,[1]物品基础表!$B:$B,0)),"")</f>
        <v/>
      </c>
      <c r="AD29" s="1" t="str">
        <f>IFERROR(INDEX([1]物品基础表!$A:$A,MATCH(AC29,[1]物品基础表!$B:$B,0)),"")</f>
        <v/>
      </c>
      <c r="AG29" s="1" t="str">
        <f>IFERROR(INDEX([1]物品基础表!$A:$A,MATCH(AF29,[1]物品基础表!$B:$B,0)),"")</f>
        <v/>
      </c>
      <c r="AJ29" s="1" t="str">
        <f>IFERROR(INDEX([1]物品基础表!$A:$A,MATCH(AI29,[1]物品基础表!$B:$B,0)),"")</f>
        <v/>
      </c>
      <c r="AM29" s="1" t="str">
        <f>IFERROR(INDEX([1]物品基础表!$A:$A,MATCH(AL29,[1]物品基础表!$B:$B,0)),"")</f>
        <v/>
      </c>
      <c r="AP29" s="1" t="str">
        <f>IFERROR(INDEX([1]物品基础表!$A:$A,MATCH(AO29,[1]物品基础表!$B:$B,0)),"")</f>
        <v/>
      </c>
      <c r="AS29" s="1" t="str">
        <f>IFERROR(INDEX([1]物品基础表!$A:$A,MATCH(AR29,[1]物品基础表!$B:$B,0)),"")</f>
        <v/>
      </c>
      <c r="AV29" s="1" t="str">
        <f>IFERROR(INDEX([1]物品基础表!$A:$A,MATCH(AU29,[1]物品基础表!$B:$B,0)),"")</f>
        <v/>
      </c>
      <c r="AY29" s="1" t="str">
        <f>IFERROR(INDEX([1]物品基础表!$A:$A,MATCH(AX29,[1]物品基础表!$B:$B,0)),"")</f>
        <v/>
      </c>
      <c r="BB29" s="1" t="str">
        <f>IFERROR(INDEX([1]物品基础表!$A:$A,MATCH(BA29,[1]物品基础表!$B:$B,0)),"")</f>
        <v/>
      </c>
      <c r="BE29" s="1" t="str">
        <f>IFERROR(INDEX([1]物品基础表!$A:$A,MATCH(BD29,[1]物品基础表!$B:$B,0)),"")</f>
        <v/>
      </c>
      <c r="BH29" s="1" t="str">
        <f>IFERROR(INDEX([1]物品基础表!$A:$A,MATCH(BG29,[1]物品基础表!$B:$B,0)),"")</f>
        <v/>
      </c>
      <c r="BK29" s="1" t="str">
        <f>IFERROR(INDEX([1]物品基础表!$A:$A,MATCH(BJ29,[1]物品基础表!$B:$B,0)),"")</f>
        <v/>
      </c>
    </row>
    <row r="30" spans="1:63">
      <c r="A30" s="39" t="str">
        <f>INDEX([2]活动总表!$A$8:$A$429,MATCH(B30,[2]活动总表!$B$8:$B$429,0))</f>
        <v>双12活动-第二天转盘</v>
      </c>
      <c r="B30" s="40">
        <v>222</v>
      </c>
      <c r="C30" s="40">
        <v>4</v>
      </c>
      <c r="D30" s="40"/>
      <c r="E30" s="40"/>
      <c r="F30" s="40" t="s">
        <v>800</v>
      </c>
      <c r="G30" s="40">
        <v>1</v>
      </c>
      <c r="H30" s="40"/>
      <c r="I30" s="56"/>
      <c r="J30" s="60"/>
      <c r="K30" s="1">
        <v>200167</v>
      </c>
      <c r="L30" s="1" t="str">
        <f>IFERROR(INDEX([1]物品基础表!$A:$A,MATCH(K30,[1]物品基础表!$B:$B,0)),"")</f>
        <v>黑铁</v>
      </c>
      <c r="M30" s="1">
        <v>50</v>
      </c>
      <c r="O30" s="1" t="str">
        <f>IFERROR(INDEX([1]物品基础表!$A:$A,MATCH(N30,[1]物品基础表!$B:$B,0)),"")</f>
        <v/>
      </c>
      <c r="R30" s="1" t="str">
        <f>IFERROR(INDEX([1]物品基础表!$A:$A,MATCH(Q30,[1]物品基础表!$B:$B,0)),"")</f>
        <v/>
      </c>
      <c r="U30" s="1" t="str">
        <f>IFERROR(INDEX([1]物品基础表!$A:$A,MATCH(T30,[1]物品基础表!$B:$B,0)),"")</f>
        <v/>
      </c>
      <c r="X30" s="1" t="str">
        <f>IFERROR(INDEX([1]物品基础表!$A:$A,MATCH(W30,[1]物品基础表!$B:$B,0)),"")</f>
        <v/>
      </c>
      <c r="AA30" s="1" t="str">
        <f>IFERROR(INDEX([1]物品基础表!$A:$A,MATCH(Z30,[1]物品基础表!$B:$B,0)),"")</f>
        <v/>
      </c>
      <c r="AD30" s="1" t="str">
        <f>IFERROR(INDEX([1]物品基础表!$A:$A,MATCH(AC30,[1]物品基础表!$B:$B,0)),"")</f>
        <v/>
      </c>
      <c r="AG30" s="1" t="str">
        <f>IFERROR(INDEX([1]物品基础表!$A:$A,MATCH(AF30,[1]物品基础表!$B:$B,0)),"")</f>
        <v/>
      </c>
      <c r="AJ30" s="1" t="str">
        <f>IFERROR(INDEX([1]物品基础表!$A:$A,MATCH(AI30,[1]物品基础表!$B:$B,0)),"")</f>
        <v/>
      </c>
      <c r="AM30" s="1" t="str">
        <f>IFERROR(INDEX([1]物品基础表!$A:$A,MATCH(AL30,[1]物品基础表!$B:$B,0)),"")</f>
        <v/>
      </c>
      <c r="AP30" s="1" t="str">
        <f>IFERROR(INDEX([1]物品基础表!$A:$A,MATCH(AO30,[1]物品基础表!$B:$B,0)),"")</f>
        <v/>
      </c>
      <c r="AS30" s="1" t="str">
        <f>IFERROR(INDEX([1]物品基础表!$A:$A,MATCH(AR30,[1]物品基础表!$B:$B,0)),"")</f>
        <v/>
      </c>
      <c r="AV30" s="1" t="str">
        <f>IFERROR(INDEX([1]物品基础表!$A:$A,MATCH(AU30,[1]物品基础表!$B:$B,0)),"")</f>
        <v/>
      </c>
      <c r="AY30" s="1" t="str">
        <f>IFERROR(INDEX([1]物品基础表!$A:$A,MATCH(AX30,[1]物品基础表!$B:$B,0)),"")</f>
        <v/>
      </c>
      <c r="BB30" s="1" t="str">
        <f>IFERROR(INDEX([1]物品基础表!$A:$A,MATCH(BA30,[1]物品基础表!$B:$B,0)),"")</f>
        <v/>
      </c>
      <c r="BE30" s="1" t="str">
        <f>IFERROR(INDEX([1]物品基础表!$A:$A,MATCH(BD30,[1]物品基础表!$B:$B,0)),"")</f>
        <v/>
      </c>
      <c r="BH30" s="1" t="str">
        <f>IFERROR(INDEX([1]物品基础表!$A:$A,MATCH(BG30,[1]物品基础表!$B:$B,0)),"")</f>
        <v/>
      </c>
      <c r="BK30" s="1" t="str">
        <f>IFERROR(INDEX([1]物品基础表!$A:$A,MATCH(BJ30,[1]物品基础表!$B:$B,0)),"")</f>
        <v/>
      </c>
    </row>
    <row r="31" spans="1:63">
      <c r="A31" s="39" t="str">
        <f>INDEX([2]活动总表!$A$8:$A$429,MATCH(B31,[2]活动总表!$B$8:$B$429,0))</f>
        <v>双12活动-第二天转盘</v>
      </c>
      <c r="B31" s="40">
        <v>222</v>
      </c>
      <c r="C31" s="40">
        <v>5</v>
      </c>
      <c r="D31" s="40"/>
      <c r="E31" s="40"/>
      <c r="F31" s="40" t="s">
        <v>801</v>
      </c>
      <c r="G31" s="40">
        <v>1</v>
      </c>
      <c r="H31" s="40"/>
      <c r="I31" s="56"/>
      <c r="J31" s="60"/>
      <c r="K31" s="1">
        <v>500006</v>
      </c>
      <c r="L31" s="1" t="str">
        <f>IFERROR(INDEX([1]物品基础表!$A:$A,MATCH(K31,[1]物品基础表!$B:$B,0)),"")</f>
        <v>战纹精华-金</v>
      </c>
      <c r="M31" s="1">
        <v>1</v>
      </c>
      <c r="O31" s="1" t="str">
        <f>IFERROR(INDEX([1]物品基础表!$A:$A,MATCH(N31,[1]物品基础表!$B:$B,0)),"")</f>
        <v/>
      </c>
      <c r="R31" s="1" t="str">
        <f>IFERROR(INDEX([1]物品基础表!$A:$A,MATCH(Q31,[1]物品基础表!$B:$B,0)),"")</f>
        <v/>
      </c>
      <c r="U31" s="1" t="str">
        <f>IFERROR(INDEX([1]物品基础表!$A:$A,MATCH(T31,[1]物品基础表!$B:$B,0)),"")</f>
        <v/>
      </c>
      <c r="X31" s="1" t="str">
        <f>IFERROR(INDEX([1]物品基础表!$A:$A,MATCH(W31,[1]物品基础表!$B:$B,0)),"")</f>
        <v/>
      </c>
      <c r="AA31" s="1" t="str">
        <f>IFERROR(INDEX([1]物品基础表!$A:$A,MATCH(Z31,[1]物品基础表!$B:$B,0)),"")</f>
        <v/>
      </c>
      <c r="AD31" s="1" t="str">
        <f>IFERROR(INDEX([1]物品基础表!$A:$A,MATCH(AC31,[1]物品基础表!$B:$B,0)),"")</f>
        <v/>
      </c>
      <c r="AG31" s="1" t="str">
        <f>IFERROR(INDEX([1]物品基础表!$A:$A,MATCH(AF31,[1]物品基础表!$B:$B,0)),"")</f>
        <v/>
      </c>
      <c r="AJ31" s="1" t="str">
        <f>IFERROR(INDEX([1]物品基础表!$A:$A,MATCH(AI31,[1]物品基础表!$B:$B,0)),"")</f>
        <v/>
      </c>
      <c r="AM31" s="1" t="str">
        <f>IFERROR(INDEX([1]物品基础表!$A:$A,MATCH(AL31,[1]物品基础表!$B:$B,0)),"")</f>
        <v/>
      </c>
      <c r="AP31" s="1" t="str">
        <f>IFERROR(INDEX([1]物品基础表!$A:$A,MATCH(AO31,[1]物品基础表!$B:$B,0)),"")</f>
        <v/>
      </c>
      <c r="AS31" s="1" t="str">
        <f>IFERROR(INDEX([1]物品基础表!$A:$A,MATCH(AR31,[1]物品基础表!$B:$B,0)),"")</f>
        <v/>
      </c>
      <c r="AV31" s="1" t="str">
        <f>IFERROR(INDEX([1]物品基础表!$A:$A,MATCH(AU31,[1]物品基础表!$B:$B,0)),"")</f>
        <v/>
      </c>
      <c r="AY31" s="1" t="str">
        <f>IFERROR(INDEX([1]物品基础表!$A:$A,MATCH(AX31,[1]物品基础表!$B:$B,0)),"")</f>
        <v/>
      </c>
      <c r="BB31" s="1" t="str">
        <f>IFERROR(INDEX([1]物品基础表!$A:$A,MATCH(BA31,[1]物品基础表!$B:$B,0)),"")</f>
        <v/>
      </c>
      <c r="BE31" s="1" t="str">
        <f>IFERROR(INDEX([1]物品基础表!$A:$A,MATCH(BD31,[1]物品基础表!$B:$B,0)),"")</f>
        <v/>
      </c>
      <c r="BH31" s="1" t="str">
        <f>IFERROR(INDEX([1]物品基础表!$A:$A,MATCH(BG31,[1]物品基础表!$B:$B,0)),"")</f>
        <v/>
      </c>
      <c r="BK31" s="1" t="str">
        <f>IFERROR(INDEX([1]物品基础表!$A:$A,MATCH(BJ31,[1]物品基础表!$B:$B,0)),"")</f>
        <v/>
      </c>
    </row>
    <row r="32" spans="1:63">
      <c r="A32" s="39" t="str">
        <f>INDEX([2]活动总表!$A$8:$A$429,MATCH(B32,[2]活动总表!$B$8:$B$429,0))</f>
        <v>双12活动-第二天转盘</v>
      </c>
      <c r="B32" s="40">
        <v>222</v>
      </c>
      <c r="C32" s="40">
        <v>6</v>
      </c>
      <c r="D32" s="40"/>
      <c r="E32" s="40"/>
      <c r="F32" s="40" t="s">
        <v>802</v>
      </c>
      <c r="G32" s="40">
        <v>1</v>
      </c>
      <c r="H32" s="40"/>
      <c r="I32" s="56"/>
      <c r="J32" s="60"/>
      <c r="K32" s="1">
        <v>200314</v>
      </c>
      <c r="L32" s="1" t="str">
        <f>IFERROR(INDEX([1]物品基础表!$A:$A,MATCH(K32,[1]物品基础表!$B:$B,0)),"")</f>
        <v>蛊毒兵魂任选礼包</v>
      </c>
      <c r="M32" s="1">
        <v>1</v>
      </c>
      <c r="O32" s="1" t="str">
        <f>IFERROR(INDEX([1]物品基础表!$A:$A,MATCH(N32,[1]物品基础表!$B:$B,0)),"")</f>
        <v/>
      </c>
      <c r="R32" s="1" t="str">
        <f>IFERROR(INDEX([1]物品基础表!$A:$A,MATCH(Q32,[1]物品基础表!$B:$B,0)),"")</f>
        <v/>
      </c>
      <c r="U32" s="1" t="str">
        <f>IFERROR(INDEX([1]物品基础表!$A:$A,MATCH(T32,[1]物品基础表!$B:$B,0)),"")</f>
        <v/>
      </c>
      <c r="X32" s="1" t="str">
        <f>IFERROR(INDEX([1]物品基础表!$A:$A,MATCH(W32,[1]物品基础表!$B:$B,0)),"")</f>
        <v/>
      </c>
      <c r="AA32" s="1" t="str">
        <f>IFERROR(INDEX([1]物品基础表!$A:$A,MATCH(Z32,[1]物品基础表!$B:$B,0)),"")</f>
        <v/>
      </c>
      <c r="AD32" s="1" t="str">
        <f>IFERROR(INDEX([1]物品基础表!$A:$A,MATCH(AC32,[1]物品基础表!$B:$B,0)),"")</f>
        <v/>
      </c>
      <c r="AG32" s="1" t="str">
        <f>IFERROR(INDEX([1]物品基础表!$A:$A,MATCH(AF32,[1]物品基础表!$B:$B,0)),"")</f>
        <v/>
      </c>
      <c r="AJ32" s="1" t="str">
        <f>IFERROR(INDEX([1]物品基础表!$A:$A,MATCH(AI32,[1]物品基础表!$B:$B,0)),"")</f>
        <v/>
      </c>
      <c r="AM32" s="1" t="str">
        <f>IFERROR(INDEX([1]物品基础表!$A:$A,MATCH(AL32,[1]物品基础表!$B:$B,0)),"")</f>
        <v/>
      </c>
      <c r="AP32" s="1" t="str">
        <f>IFERROR(INDEX([1]物品基础表!$A:$A,MATCH(AO32,[1]物品基础表!$B:$B,0)),"")</f>
        <v/>
      </c>
      <c r="AS32" s="1" t="str">
        <f>IFERROR(INDEX([1]物品基础表!$A:$A,MATCH(AR32,[1]物品基础表!$B:$B,0)),"")</f>
        <v/>
      </c>
      <c r="AV32" s="1" t="str">
        <f>IFERROR(INDEX([1]物品基础表!$A:$A,MATCH(AU32,[1]物品基础表!$B:$B,0)),"")</f>
        <v/>
      </c>
      <c r="AY32" s="1" t="str">
        <f>IFERROR(INDEX([1]物品基础表!$A:$A,MATCH(AX32,[1]物品基础表!$B:$B,0)),"")</f>
        <v/>
      </c>
      <c r="BB32" s="1" t="str">
        <f>IFERROR(INDEX([1]物品基础表!$A:$A,MATCH(BA32,[1]物品基础表!$B:$B,0)),"")</f>
        <v/>
      </c>
      <c r="BE32" s="1" t="str">
        <f>IFERROR(INDEX([1]物品基础表!$A:$A,MATCH(BD32,[1]物品基础表!$B:$B,0)),"")</f>
        <v/>
      </c>
      <c r="BH32" s="1" t="str">
        <f>IFERROR(INDEX([1]物品基础表!$A:$A,MATCH(BG32,[1]物品基础表!$B:$B,0)),"")</f>
        <v/>
      </c>
      <c r="BK32" s="1" t="str">
        <f>IFERROR(INDEX([1]物品基础表!$A:$A,MATCH(BJ32,[1]物品基础表!$B:$B,0)),"")</f>
        <v/>
      </c>
    </row>
    <row r="33" spans="1:63">
      <c r="A33" s="39" t="str">
        <f>INDEX([2]活动总表!$A$8:$A$429,MATCH(B33,[2]活动总表!$B$8:$B$429,0))</f>
        <v>双12活动-第二天转盘</v>
      </c>
      <c r="B33" s="40">
        <v>222</v>
      </c>
      <c r="C33" s="40">
        <v>7</v>
      </c>
      <c r="D33" s="40"/>
      <c r="E33" s="40"/>
      <c r="F33" s="40" t="s">
        <v>803</v>
      </c>
      <c r="G33" s="40">
        <v>1</v>
      </c>
      <c r="H33" s="40"/>
      <c r="I33" s="56"/>
      <c r="J33" s="60"/>
      <c r="K33" s="1">
        <v>200015</v>
      </c>
      <c r="L33" s="1" t="str">
        <f>IFERROR(INDEX([1]物品基础表!$A:$A,MATCH(K33,[1]物品基础表!$B:$B,0)),"")</f>
        <v>特戒碎片</v>
      </c>
      <c r="M33" s="1">
        <v>20</v>
      </c>
      <c r="O33" s="1" t="str">
        <f>IFERROR(INDEX([1]物品基础表!$A:$A,MATCH(N33,[1]物品基础表!$B:$B,0)),"")</f>
        <v/>
      </c>
      <c r="R33" s="1" t="str">
        <f>IFERROR(INDEX([1]物品基础表!$A:$A,MATCH(Q33,[1]物品基础表!$B:$B,0)),"")</f>
        <v/>
      </c>
      <c r="U33" s="1" t="str">
        <f>IFERROR(INDEX([1]物品基础表!$A:$A,MATCH(T33,[1]物品基础表!$B:$B,0)),"")</f>
        <v/>
      </c>
      <c r="X33" s="1" t="str">
        <f>IFERROR(INDEX([1]物品基础表!$A:$A,MATCH(W33,[1]物品基础表!$B:$B,0)),"")</f>
        <v/>
      </c>
      <c r="AA33" s="1" t="str">
        <f>IFERROR(INDEX([1]物品基础表!$A:$A,MATCH(Z33,[1]物品基础表!$B:$B,0)),"")</f>
        <v/>
      </c>
      <c r="AD33" s="1" t="str">
        <f>IFERROR(INDEX([1]物品基础表!$A:$A,MATCH(AC33,[1]物品基础表!$B:$B,0)),"")</f>
        <v/>
      </c>
      <c r="AG33" s="1" t="str">
        <f>IFERROR(INDEX([1]物品基础表!$A:$A,MATCH(AF33,[1]物品基础表!$B:$B,0)),"")</f>
        <v/>
      </c>
      <c r="AJ33" s="1" t="str">
        <f>IFERROR(INDEX([1]物品基础表!$A:$A,MATCH(AI33,[1]物品基础表!$B:$B,0)),"")</f>
        <v/>
      </c>
      <c r="AM33" s="1" t="str">
        <f>IFERROR(INDEX([1]物品基础表!$A:$A,MATCH(AL33,[1]物品基础表!$B:$B,0)),"")</f>
        <v/>
      </c>
      <c r="AP33" s="1" t="str">
        <f>IFERROR(INDEX([1]物品基础表!$A:$A,MATCH(AO33,[1]物品基础表!$B:$B,0)),"")</f>
        <v/>
      </c>
      <c r="AS33" s="1" t="str">
        <f>IFERROR(INDEX([1]物品基础表!$A:$A,MATCH(AR33,[1]物品基础表!$B:$B,0)),"")</f>
        <v/>
      </c>
      <c r="AV33" s="1" t="str">
        <f>IFERROR(INDEX([1]物品基础表!$A:$A,MATCH(AU33,[1]物品基础表!$B:$B,0)),"")</f>
        <v/>
      </c>
      <c r="AY33" s="1" t="str">
        <f>IFERROR(INDEX([1]物品基础表!$A:$A,MATCH(AX33,[1]物品基础表!$B:$B,0)),"")</f>
        <v/>
      </c>
      <c r="BB33" s="1" t="str">
        <f>IFERROR(INDEX([1]物品基础表!$A:$A,MATCH(BA33,[1]物品基础表!$B:$B,0)),"")</f>
        <v/>
      </c>
      <c r="BE33" s="1" t="str">
        <f>IFERROR(INDEX([1]物品基础表!$A:$A,MATCH(BD33,[1]物品基础表!$B:$B,0)),"")</f>
        <v/>
      </c>
      <c r="BH33" s="1" t="str">
        <f>IFERROR(INDEX([1]物品基础表!$A:$A,MATCH(BG33,[1]物品基础表!$B:$B,0)),"")</f>
        <v/>
      </c>
      <c r="BK33" s="1" t="str">
        <f>IFERROR(INDEX([1]物品基础表!$A:$A,MATCH(BJ33,[1]物品基础表!$B:$B,0)),"")</f>
        <v/>
      </c>
    </row>
    <row r="34" spans="1:63">
      <c r="A34" s="39" t="str">
        <f>INDEX([2]活动总表!$A$8:$A$429,MATCH(B34,[2]活动总表!$B$8:$B$429,0))</f>
        <v>双12活动-第二天转盘</v>
      </c>
      <c r="B34" s="40">
        <v>222</v>
      </c>
      <c r="C34" s="40">
        <v>8</v>
      </c>
      <c r="D34" s="40"/>
      <c r="E34" s="40"/>
      <c r="F34" s="40" t="s">
        <v>804</v>
      </c>
      <c r="G34" s="40">
        <v>1</v>
      </c>
      <c r="H34" s="40"/>
      <c r="I34" s="56"/>
      <c r="J34" s="60"/>
      <c r="K34" s="1">
        <v>200316</v>
      </c>
      <c r="L34" s="1" t="str">
        <f>IFERROR(INDEX([1]物品基础表!$A:$A,MATCH(K34,[1]物品基础表!$B:$B,0)),"")</f>
        <v>3阶神羽宝箱</v>
      </c>
      <c r="M34" s="1">
        <v>1</v>
      </c>
      <c r="O34" s="1" t="str">
        <f>IFERROR(INDEX([1]物品基础表!$A:$A,MATCH(N34,[1]物品基础表!$B:$B,0)),"")</f>
        <v/>
      </c>
      <c r="R34" s="1" t="str">
        <f>IFERROR(INDEX([1]物品基础表!$A:$A,MATCH(Q34,[1]物品基础表!$B:$B,0)),"")</f>
        <v/>
      </c>
      <c r="U34" s="1" t="str">
        <f>IFERROR(INDEX([1]物品基础表!$A:$A,MATCH(T34,[1]物品基础表!$B:$B,0)),"")</f>
        <v/>
      </c>
      <c r="X34" s="1" t="str">
        <f>IFERROR(INDEX([1]物品基础表!$A:$A,MATCH(W34,[1]物品基础表!$B:$B,0)),"")</f>
        <v/>
      </c>
      <c r="AA34" s="1" t="str">
        <f>IFERROR(INDEX([1]物品基础表!$A:$A,MATCH(Z34,[1]物品基础表!$B:$B,0)),"")</f>
        <v/>
      </c>
      <c r="AD34" s="1" t="str">
        <f>IFERROR(INDEX([1]物品基础表!$A:$A,MATCH(AC34,[1]物品基础表!$B:$B,0)),"")</f>
        <v/>
      </c>
      <c r="AG34" s="1" t="str">
        <f>IFERROR(INDEX([1]物品基础表!$A:$A,MATCH(AF34,[1]物品基础表!$B:$B,0)),"")</f>
        <v/>
      </c>
      <c r="AJ34" s="1" t="str">
        <f>IFERROR(INDEX([1]物品基础表!$A:$A,MATCH(AI34,[1]物品基础表!$B:$B,0)),"")</f>
        <v/>
      </c>
      <c r="AM34" s="1" t="str">
        <f>IFERROR(INDEX([1]物品基础表!$A:$A,MATCH(AL34,[1]物品基础表!$B:$B,0)),"")</f>
        <v/>
      </c>
      <c r="AP34" s="1" t="str">
        <f>IFERROR(INDEX([1]物品基础表!$A:$A,MATCH(AO34,[1]物品基础表!$B:$B,0)),"")</f>
        <v/>
      </c>
      <c r="AS34" s="1" t="str">
        <f>IFERROR(INDEX([1]物品基础表!$A:$A,MATCH(AR34,[1]物品基础表!$B:$B,0)),"")</f>
        <v/>
      </c>
      <c r="AV34" s="1" t="str">
        <f>IFERROR(INDEX([1]物品基础表!$A:$A,MATCH(AU34,[1]物品基础表!$B:$B,0)),"")</f>
        <v/>
      </c>
      <c r="AY34" s="1" t="str">
        <f>IFERROR(INDEX([1]物品基础表!$A:$A,MATCH(AX34,[1]物品基础表!$B:$B,0)),"")</f>
        <v/>
      </c>
      <c r="BB34" s="1" t="str">
        <f>IFERROR(INDEX([1]物品基础表!$A:$A,MATCH(BA34,[1]物品基础表!$B:$B,0)),"")</f>
        <v/>
      </c>
      <c r="BE34" s="1" t="str">
        <f>IFERROR(INDEX([1]物品基础表!$A:$A,MATCH(BD34,[1]物品基础表!$B:$B,0)),"")</f>
        <v/>
      </c>
      <c r="BH34" s="1" t="str">
        <f>IFERROR(INDEX([1]物品基础表!$A:$A,MATCH(BG34,[1]物品基础表!$B:$B,0)),"")</f>
        <v/>
      </c>
      <c r="BK34" s="1" t="str">
        <f>IFERROR(INDEX([1]物品基础表!$A:$A,MATCH(BJ34,[1]物品基础表!$B:$B,0)),"")</f>
        <v/>
      </c>
    </row>
    <row r="35" spans="1:63">
      <c r="A35" s="39" t="str">
        <f>INDEX([2]活动总表!$A$8:$A$429,MATCH(B35,[2]活动总表!$B$8:$B$429,0))</f>
        <v>双12活动-第二天转盘</v>
      </c>
      <c r="B35" s="40">
        <v>222</v>
      </c>
      <c r="C35" s="40">
        <v>9</v>
      </c>
      <c r="D35" s="40"/>
      <c r="E35" s="40"/>
      <c r="F35" s="40" t="s">
        <v>805</v>
      </c>
      <c r="G35" s="40">
        <v>1</v>
      </c>
      <c r="H35" s="40"/>
      <c r="I35" s="56"/>
      <c r="J35" s="60"/>
      <c r="K35" s="1">
        <v>200167</v>
      </c>
      <c r="L35" s="1" t="str">
        <f>IFERROR(INDEX([1]物品基础表!$A:$A,MATCH(K35,[1]物品基础表!$B:$B,0)),"")</f>
        <v>黑铁</v>
      </c>
      <c r="M35" s="1">
        <v>400</v>
      </c>
      <c r="O35" s="1" t="str">
        <f>IFERROR(INDEX([1]物品基础表!$A:$A,MATCH(N35,[1]物品基础表!$B:$B,0)),"")</f>
        <v/>
      </c>
      <c r="R35" s="1" t="str">
        <f>IFERROR(INDEX([1]物品基础表!$A:$A,MATCH(Q35,[1]物品基础表!$B:$B,0)),"")</f>
        <v/>
      </c>
      <c r="U35" s="1" t="str">
        <f>IFERROR(INDEX([1]物品基础表!$A:$A,MATCH(T35,[1]物品基础表!$B:$B,0)),"")</f>
        <v/>
      </c>
      <c r="X35" s="1" t="str">
        <f>IFERROR(INDEX([1]物品基础表!$A:$A,MATCH(W35,[1]物品基础表!$B:$B,0)),"")</f>
        <v/>
      </c>
      <c r="AA35" s="1" t="str">
        <f>IFERROR(INDEX([1]物品基础表!$A:$A,MATCH(Z35,[1]物品基础表!$B:$B,0)),"")</f>
        <v/>
      </c>
      <c r="AD35" s="1" t="str">
        <f>IFERROR(INDEX([1]物品基础表!$A:$A,MATCH(AC35,[1]物品基础表!$B:$B,0)),"")</f>
        <v/>
      </c>
      <c r="AG35" s="1" t="str">
        <f>IFERROR(INDEX([1]物品基础表!$A:$A,MATCH(AF35,[1]物品基础表!$B:$B,0)),"")</f>
        <v/>
      </c>
      <c r="AJ35" s="1" t="str">
        <f>IFERROR(INDEX([1]物品基础表!$A:$A,MATCH(AI35,[1]物品基础表!$B:$B,0)),"")</f>
        <v/>
      </c>
      <c r="AM35" s="1" t="str">
        <f>IFERROR(INDEX([1]物品基础表!$A:$A,MATCH(AL35,[1]物品基础表!$B:$B,0)),"")</f>
        <v/>
      </c>
      <c r="AP35" s="1" t="str">
        <f>IFERROR(INDEX([1]物品基础表!$A:$A,MATCH(AO35,[1]物品基础表!$B:$B,0)),"")</f>
        <v/>
      </c>
      <c r="AS35" s="1" t="str">
        <f>IFERROR(INDEX([1]物品基础表!$A:$A,MATCH(AR35,[1]物品基础表!$B:$B,0)),"")</f>
        <v/>
      </c>
      <c r="AV35" s="1" t="str">
        <f>IFERROR(INDEX([1]物品基础表!$A:$A,MATCH(AU35,[1]物品基础表!$B:$B,0)),"")</f>
        <v/>
      </c>
      <c r="AY35" s="1" t="str">
        <f>IFERROR(INDEX([1]物品基础表!$A:$A,MATCH(AX35,[1]物品基础表!$B:$B,0)),"")</f>
        <v/>
      </c>
      <c r="BB35" s="1" t="str">
        <f>IFERROR(INDEX([1]物品基础表!$A:$A,MATCH(BA35,[1]物品基础表!$B:$B,0)),"")</f>
        <v/>
      </c>
      <c r="BE35" s="1" t="str">
        <f>IFERROR(INDEX([1]物品基础表!$A:$A,MATCH(BD35,[1]物品基础表!$B:$B,0)),"")</f>
        <v/>
      </c>
      <c r="BH35" s="1" t="str">
        <f>IFERROR(INDEX([1]物品基础表!$A:$A,MATCH(BG35,[1]物品基础表!$B:$B,0)),"")</f>
        <v/>
      </c>
      <c r="BK35" s="1" t="str">
        <f>IFERROR(INDEX([1]物品基础表!$A:$A,MATCH(BJ35,[1]物品基础表!$B:$B,0)),"")</f>
        <v/>
      </c>
    </row>
    <row r="36" spans="1:63">
      <c r="A36" s="39" t="str">
        <f>INDEX([2]活动总表!$A$8:$A$429,MATCH(B36,[2]活动总表!$B$8:$B$429,0))</f>
        <v>双12活动-第二天转盘</v>
      </c>
      <c r="B36" s="40">
        <v>222</v>
      </c>
      <c r="C36" s="40">
        <v>10</v>
      </c>
      <c r="D36" s="40"/>
      <c r="E36" s="40"/>
      <c r="F36" s="40" t="s">
        <v>806</v>
      </c>
      <c r="G36" s="40">
        <v>1</v>
      </c>
      <c r="H36" s="40"/>
      <c r="I36" s="56"/>
      <c r="J36" s="60"/>
      <c r="K36" s="1">
        <v>601000</v>
      </c>
      <c r="L36" s="1" t="str">
        <f>IFERROR(INDEX([1]物品基础表!$A:$A,MATCH(K36,[1]物品基础表!$B:$B,0)),"")</f>
        <v>神羽碎片</v>
      </c>
      <c r="M36" s="1">
        <v>1</v>
      </c>
      <c r="O36" s="1" t="str">
        <f>IFERROR(INDEX([1]物品基础表!$A:$A,MATCH(N36,[1]物品基础表!$B:$B,0)),"")</f>
        <v/>
      </c>
      <c r="R36" s="1" t="str">
        <f>IFERROR(INDEX([1]物品基础表!$A:$A,MATCH(Q36,[1]物品基础表!$B:$B,0)),"")</f>
        <v/>
      </c>
      <c r="U36" s="1" t="str">
        <f>IFERROR(INDEX([1]物品基础表!$A:$A,MATCH(T36,[1]物品基础表!$B:$B,0)),"")</f>
        <v/>
      </c>
      <c r="X36" s="1" t="str">
        <f>IFERROR(INDEX([1]物品基础表!$A:$A,MATCH(W36,[1]物品基础表!$B:$B,0)),"")</f>
        <v/>
      </c>
      <c r="AA36" s="1" t="str">
        <f>IFERROR(INDEX([1]物品基础表!$A:$A,MATCH(Z36,[1]物品基础表!$B:$B,0)),"")</f>
        <v/>
      </c>
      <c r="AD36" s="1" t="str">
        <f>IFERROR(INDEX([1]物品基础表!$A:$A,MATCH(AC36,[1]物品基础表!$B:$B,0)),"")</f>
        <v/>
      </c>
      <c r="AG36" s="1" t="str">
        <f>IFERROR(INDEX([1]物品基础表!$A:$A,MATCH(AF36,[1]物品基础表!$B:$B,0)),"")</f>
        <v/>
      </c>
      <c r="AJ36" s="1" t="str">
        <f>IFERROR(INDEX([1]物品基础表!$A:$A,MATCH(AI36,[1]物品基础表!$B:$B,0)),"")</f>
        <v/>
      </c>
      <c r="AM36" s="1" t="str">
        <f>IFERROR(INDEX([1]物品基础表!$A:$A,MATCH(AL36,[1]物品基础表!$B:$B,0)),"")</f>
        <v/>
      </c>
      <c r="AP36" s="1" t="str">
        <f>IFERROR(INDEX([1]物品基础表!$A:$A,MATCH(AO36,[1]物品基础表!$B:$B,0)),"")</f>
        <v/>
      </c>
      <c r="AS36" s="1" t="str">
        <f>IFERROR(INDEX([1]物品基础表!$A:$A,MATCH(AR36,[1]物品基础表!$B:$B,0)),"")</f>
        <v/>
      </c>
      <c r="AV36" s="1" t="str">
        <f>IFERROR(INDEX([1]物品基础表!$A:$A,MATCH(AU36,[1]物品基础表!$B:$B,0)),"")</f>
        <v/>
      </c>
      <c r="AY36" s="1" t="str">
        <f>IFERROR(INDEX([1]物品基础表!$A:$A,MATCH(AX36,[1]物品基础表!$B:$B,0)),"")</f>
        <v/>
      </c>
      <c r="BB36" s="1" t="str">
        <f>IFERROR(INDEX([1]物品基础表!$A:$A,MATCH(BA36,[1]物品基础表!$B:$B,0)),"")</f>
        <v/>
      </c>
      <c r="BE36" s="1" t="str">
        <f>IFERROR(INDEX([1]物品基础表!$A:$A,MATCH(BD36,[1]物品基础表!$B:$B,0)),"")</f>
        <v/>
      </c>
      <c r="BH36" s="1" t="str">
        <f>IFERROR(INDEX([1]物品基础表!$A:$A,MATCH(BG36,[1]物品基础表!$B:$B,0)),"")</f>
        <v/>
      </c>
      <c r="BK36" s="1" t="str">
        <f>IFERROR(INDEX([1]物品基础表!$A:$A,MATCH(BJ36,[1]物品基础表!$B:$B,0)),"")</f>
        <v/>
      </c>
    </row>
    <row r="37" spans="1:63">
      <c r="A37" s="39" t="str">
        <f>INDEX([2]活动总表!$A$8:$A$429,MATCH(B37,[2]活动总表!$B$8:$B$429,0))</f>
        <v>双12活动-第三天转盘</v>
      </c>
      <c r="B37" s="40">
        <v>223</v>
      </c>
      <c r="C37" s="40">
        <v>0</v>
      </c>
      <c r="D37" s="40">
        <v>200310</v>
      </c>
      <c r="E37" s="40">
        <v>500</v>
      </c>
      <c r="F37" s="40"/>
      <c r="G37" s="40">
        <v>1</v>
      </c>
      <c r="H37" s="40"/>
      <c r="I37" s="56"/>
      <c r="J37" s="60"/>
      <c r="L37" s="1" t="str">
        <f>IFERROR(INDEX([1]物品基础表!$A:$A,MATCH(K37,[1]物品基础表!$B:$B,0)),"")</f>
        <v/>
      </c>
      <c r="O37" s="1" t="str">
        <f>IFERROR(INDEX([1]物品基础表!$A:$A,MATCH(N37,[1]物品基础表!$B:$B,0)),"")</f>
        <v/>
      </c>
      <c r="R37" s="1" t="str">
        <f>IFERROR(INDEX([1]物品基础表!$A:$A,MATCH(Q37,[1]物品基础表!$B:$B,0)),"")</f>
        <v/>
      </c>
      <c r="T37" s="1">
        <v>200939</v>
      </c>
      <c r="U37" s="1" t="str">
        <f>IFERROR(INDEX([1]物品基础表!$A:$A,MATCH(T37,[1]物品基础表!$B:$B,0)),"")</f>
        <v>节日礼包</v>
      </c>
      <c r="V37" s="1">
        <v>1</v>
      </c>
      <c r="X37" s="1" t="str">
        <f>IFERROR(INDEX([1]物品基础表!$A:$A,MATCH(W37,[1]物品基础表!$B:$B,0)),"")</f>
        <v/>
      </c>
      <c r="Z37" s="1">
        <v>200940</v>
      </c>
      <c r="AA37" s="1" t="str">
        <f>IFERROR(INDEX([1]物品基础表!$A:$A,MATCH(Z37,[1]物品基础表!$B:$B,0)),"")</f>
        <v>狂欢礼包</v>
      </c>
      <c r="AB37" s="1">
        <v>1</v>
      </c>
      <c r="AD37" s="1" t="str">
        <f>IFERROR(INDEX([1]物品基础表!$A:$A,MATCH(AC37,[1]物品基础表!$B:$B,0)),"")</f>
        <v/>
      </c>
      <c r="AG37" s="1" t="str">
        <f>IFERROR(INDEX([1]物品基础表!$A:$A,MATCH(AF37,[1]物品基础表!$B:$B,0)),"")</f>
        <v/>
      </c>
      <c r="AJ37" s="1" t="str">
        <f>IFERROR(INDEX([1]物品基础表!$A:$A,MATCH(AI37,[1]物品基础表!$B:$B,0)),"")</f>
        <v/>
      </c>
      <c r="AL37" s="1">
        <v>200941</v>
      </c>
      <c r="AM37" s="1" t="str">
        <f>IFERROR(INDEX([1]物品基础表!$A:$A,MATCH(AL37,[1]物品基础表!$B:$B,0)),"")</f>
        <v>送豪礼礼包</v>
      </c>
      <c r="AN37" s="1">
        <v>1</v>
      </c>
      <c r="AP37" s="1" t="str">
        <f>IFERROR(INDEX([1]物品基础表!$A:$A,MATCH(AO37,[1]物品基础表!$B:$B,0)),"")</f>
        <v/>
      </c>
      <c r="AS37" s="1" t="str">
        <f>IFERROR(INDEX([1]物品基础表!$A:$A,MATCH(AR37,[1]物品基础表!$B:$B,0)),"")</f>
        <v/>
      </c>
      <c r="AV37" s="1" t="str">
        <f>IFERROR(INDEX([1]物品基础表!$A:$A,MATCH(AU37,[1]物品基础表!$B:$B,0)),"")</f>
        <v/>
      </c>
      <c r="AY37" s="1" t="str">
        <f>IFERROR(INDEX([1]物品基础表!$A:$A,MATCH(AX37,[1]物品基础表!$B:$B,0)),"")</f>
        <v/>
      </c>
      <c r="BB37" s="1" t="str">
        <f>IFERROR(INDEX([1]物品基础表!$A:$A,MATCH(BA37,[1]物品基础表!$B:$B,0)),"")</f>
        <v/>
      </c>
      <c r="BE37" s="1" t="str">
        <f>IFERROR(INDEX([1]物品基础表!$A:$A,MATCH(BD37,[1]物品基础表!$B:$B,0)),"")</f>
        <v/>
      </c>
      <c r="BH37" s="1" t="str">
        <f>IFERROR(INDEX([1]物品基础表!$A:$A,MATCH(BG37,[1]物品基础表!$B:$B,0)),"")</f>
        <v/>
      </c>
      <c r="BK37" s="1" t="str">
        <f>IFERROR(INDEX([1]物品基础表!$A:$A,MATCH(BJ37,[1]物品基础表!$B:$B,0)),"")</f>
        <v/>
      </c>
    </row>
    <row r="38" spans="1:63">
      <c r="A38" s="39" t="str">
        <f>INDEX([2]活动总表!$A$8:$A$429,MATCH(B38,[2]活动总表!$B$8:$B$429,0))</f>
        <v>双12活动-第三天转盘</v>
      </c>
      <c r="B38" s="40">
        <v>223</v>
      </c>
      <c r="C38" s="40">
        <v>1</v>
      </c>
      <c r="D38" s="40"/>
      <c r="E38" s="40"/>
      <c r="F38" s="40" t="s">
        <v>797</v>
      </c>
      <c r="G38" s="40">
        <v>1</v>
      </c>
      <c r="H38" s="40"/>
      <c r="I38" s="56"/>
      <c r="J38" s="60"/>
      <c r="K38" s="1">
        <v>200317</v>
      </c>
      <c r="L38" s="1" t="str">
        <f>IFERROR(INDEX([1]物品基础表!$A:$A,MATCH(K38,[1]物品基础表!$B:$B,0)),"")</f>
        <v>4阶神羽宝箱</v>
      </c>
      <c r="M38" s="1">
        <v>1</v>
      </c>
      <c r="O38" s="1" t="str">
        <f>IFERROR(INDEX([1]物品基础表!$A:$A,MATCH(N38,[1]物品基础表!$B:$B,0)),"")</f>
        <v/>
      </c>
      <c r="R38" s="1" t="str">
        <f>IFERROR(INDEX([1]物品基础表!$A:$A,MATCH(Q38,[1]物品基础表!$B:$B,0)),"")</f>
        <v/>
      </c>
      <c r="U38" s="1" t="str">
        <f>IFERROR(INDEX([1]物品基础表!$A:$A,MATCH(T38,[1]物品基础表!$B:$B,0)),"")</f>
        <v/>
      </c>
      <c r="X38" s="1" t="str">
        <f>IFERROR(INDEX([1]物品基础表!$A:$A,MATCH(W38,[1]物品基础表!$B:$B,0)),"")</f>
        <v/>
      </c>
      <c r="AA38" s="1" t="str">
        <f>IFERROR(INDEX([1]物品基础表!$A:$A,MATCH(Z38,[1]物品基础表!$B:$B,0)),"")</f>
        <v/>
      </c>
      <c r="AD38" s="1" t="str">
        <f>IFERROR(INDEX([1]物品基础表!$A:$A,MATCH(AC38,[1]物品基础表!$B:$B,0)),"")</f>
        <v/>
      </c>
      <c r="AG38" s="1" t="str">
        <f>IFERROR(INDEX([1]物品基础表!$A:$A,MATCH(AF38,[1]物品基础表!$B:$B,0)),"")</f>
        <v/>
      </c>
      <c r="AJ38" s="1" t="str">
        <f>IFERROR(INDEX([1]物品基础表!$A:$A,MATCH(AI38,[1]物品基础表!$B:$B,0)),"")</f>
        <v/>
      </c>
      <c r="AM38" s="1" t="str">
        <f>IFERROR(INDEX([1]物品基础表!$A:$A,MATCH(AL38,[1]物品基础表!$B:$B,0)),"")</f>
        <v/>
      </c>
      <c r="AP38" s="1" t="str">
        <f>IFERROR(INDEX([1]物品基础表!$A:$A,MATCH(AO38,[1]物品基础表!$B:$B,0)),"")</f>
        <v/>
      </c>
      <c r="AS38" s="1" t="str">
        <f>IFERROR(INDEX([1]物品基础表!$A:$A,MATCH(AR38,[1]物品基础表!$B:$B,0)),"")</f>
        <v/>
      </c>
      <c r="AV38" s="1" t="str">
        <f>IFERROR(INDEX([1]物品基础表!$A:$A,MATCH(AU38,[1]物品基础表!$B:$B,0)),"")</f>
        <v/>
      </c>
      <c r="AY38" s="1" t="str">
        <f>IFERROR(INDEX([1]物品基础表!$A:$A,MATCH(AX38,[1]物品基础表!$B:$B,0)),"")</f>
        <v/>
      </c>
      <c r="BB38" s="1" t="str">
        <f>IFERROR(INDEX([1]物品基础表!$A:$A,MATCH(BA38,[1]物品基础表!$B:$B,0)),"")</f>
        <v/>
      </c>
      <c r="BE38" s="1" t="str">
        <f>IFERROR(INDEX([1]物品基础表!$A:$A,MATCH(BD38,[1]物品基础表!$B:$B,0)),"")</f>
        <v/>
      </c>
      <c r="BH38" s="1" t="str">
        <f>IFERROR(INDEX([1]物品基础表!$A:$A,MATCH(BG38,[1]物品基础表!$B:$B,0)),"")</f>
        <v/>
      </c>
      <c r="BK38" s="1" t="str">
        <f>IFERROR(INDEX([1]物品基础表!$A:$A,MATCH(BJ38,[1]物品基础表!$B:$B,0)),"")</f>
        <v/>
      </c>
    </row>
    <row r="39" spans="1:63">
      <c r="A39" s="39" t="str">
        <f>INDEX([2]活动总表!$A$8:$A$429,MATCH(B39,[2]活动总表!$B$8:$B$429,0))</f>
        <v>双12活动-第三天转盘</v>
      </c>
      <c r="B39" s="40">
        <v>223</v>
      </c>
      <c r="C39" s="40">
        <v>2</v>
      </c>
      <c r="D39" s="40"/>
      <c r="E39" s="40"/>
      <c r="F39" s="40" t="s">
        <v>798</v>
      </c>
      <c r="G39" s="40">
        <v>1</v>
      </c>
      <c r="H39" s="40"/>
      <c r="I39" s="56"/>
      <c r="J39" s="60"/>
      <c r="K39" s="1">
        <v>200005</v>
      </c>
      <c r="L39" s="1" t="str">
        <f>IFERROR(INDEX([1]物品基础表!$A:$A,MATCH(K39,[1]物品基础表!$B:$B,0)),"")</f>
        <v>龙魂碎片</v>
      </c>
      <c r="M39" s="1">
        <v>2</v>
      </c>
      <c r="O39" s="1" t="str">
        <f>IFERROR(INDEX([1]物品基础表!$A:$A,MATCH(N39,[1]物品基础表!$B:$B,0)),"")</f>
        <v/>
      </c>
      <c r="R39" s="1" t="str">
        <f>IFERROR(INDEX([1]物品基础表!$A:$A,MATCH(Q39,[1]物品基础表!$B:$B,0)),"")</f>
        <v/>
      </c>
      <c r="U39" s="1" t="str">
        <f>IFERROR(INDEX([1]物品基础表!$A:$A,MATCH(T39,[1]物品基础表!$B:$B,0)),"")</f>
        <v/>
      </c>
      <c r="X39" s="1" t="str">
        <f>IFERROR(INDEX([1]物品基础表!$A:$A,MATCH(W39,[1]物品基础表!$B:$B,0)),"")</f>
        <v/>
      </c>
      <c r="AA39" s="1" t="str">
        <f>IFERROR(INDEX([1]物品基础表!$A:$A,MATCH(Z39,[1]物品基础表!$B:$B,0)),"")</f>
        <v/>
      </c>
      <c r="AD39" s="1" t="str">
        <f>IFERROR(INDEX([1]物品基础表!$A:$A,MATCH(AC39,[1]物品基础表!$B:$B,0)),"")</f>
        <v/>
      </c>
      <c r="AG39" s="1" t="str">
        <f>IFERROR(INDEX([1]物品基础表!$A:$A,MATCH(AF39,[1]物品基础表!$B:$B,0)),"")</f>
        <v/>
      </c>
      <c r="AJ39" s="1" t="str">
        <f>IFERROR(INDEX([1]物品基础表!$A:$A,MATCH(AI39,[1]物品基础表!$B:$B,0)),"")</f>
        <v/>
      </c>
      <c r="AM39" s="1" t="str">
        <f>IFERROR(INDEX([1]物品基础表!$A:$A,MATCH(AL39,[1]物品基础表!$B:$B,0)),"")</f>
        <v/>
      </c>
      <c r="AP39" s="1" t="str">
        <f>IFERROR(INDEX([1]物品基础表!$A:$A,MATCH(AO39,[1]物品基础表!$B:$B,0)),"")</f>
        <v/>
      </c>
      <c r="AS39" s="1" t="str">
        <f>IFERROR(INDEX([1]物品基础表!$A:$A,MATCH(AR39,[1]物品基础表!$B:$B,0)),"")</f>
        <v/>
      </c>
      <c r="AV39" s="1" t="str">
        <f>IFERROR(INDEX([1]物品基础表!$A:$A,MATCH(AU39,[1]物品基础表!$B:$B,0)),"")</f>
        <v/>
      </c>
      <c r="AY39" s="1" t="str">
        <f>IFERROR(INDEX([1]物品基础表!$A:$A,MATCH(AX39,[1]物品基础表!$B:$B,0)),"")</f>
        <v/>
      </c>
      <c r="BB39" s="1" t="str">
        <f>IFERROR(INDEX([1]物品基础表!$A:$A,MATCH(BA39,[1]物品基础表!$B:$B,0)),"")</f>
        <v/>
      </c>
      <c r="BE39" s="1" t="str">
        <f>IFERROR(INDEX([1]物品基础表!$A:$A,MATCH(BD39,[1]物品基础表!$B:$B,0)),"")</f>
        <v/>
      </c>
      <c r="BH39" s="1" t="str">
        <f>IFERROR(INDEX([1]物品基础表!$A:$A,MATCH(BG39,[1]物品基础表!$B:$B,0)),"")</f>
        <v/>
      </c>
      <c r="BK39" s="1" t="str">
        <f>IFERROR(INDEX([1]物品基础表!$A:$A,MATCH(BJ39,[1]物品基础表!$B:$B,0)),"")</f>
        <v/>
      </c>
    </row>
    <row r="40" spans="1:63">
      <c r="A40" s="39" t="str">
        <f>INDEX([2]活动总表!$A$8:$A$429,MATCH(B40,[2]活动总表!$B$8:$B$429,0))</f>
        <v>双12活动-第三天转盘</v>
      </c>
      <c r="B40" s="40">
        <v>223</v>
      </c>
      <c r="C40" s="40">
        <v>3</v>
      </c>
      <c r="D40" s="40"/>
      <c r="E40" s="40"/>
      <c r="F40" s="40" t="s">
        <v>799</v>
      </c>
      <c r="G40" s="40">
        <v>1</v>
      </c>
      <c r="H40" s="40"/>
      <c r="I40" s="56"/>
      <c r="J40" s="60"/>
      <c r="K40" s="1">
        <v>200315</v>
      </c>
      <c r="L40" s="1" t="str">
        <f>IFERROR(INDEX([1]物品基础表!$A:$A,MATCH(K40,[1]物品基础表!$B:$B,0)),"")</f>
        <v>2阶神羽宝箱</v>
      </c>
      <c r="M40" s="1">
        <v>1</v>
      </c>
      <c r="O40" s="1" t="str">
        <f>IFERROR(INDEX([1]物品基础表!$A:$A,MATCH(N40,[1]物品基础表!$B:$B,0)),"")</f>
        <v/>
      </c>
      <c r="R40" s="1" t="str">
        <f>IFERROR(INDEX([1]物品基础表!$A:$A,MATCH(Q40,[1]物品基础表!$B:$B,0)),"")</f>
        <v/>
      </c>
      <c r="U40" s="1" t="str">
        <f>IFERROR(INDEX([1]物品基础表!$A:$A,MATCH(T40,[1]物品基础表!$B:$B,0)),"")</f>
        <v/>
      </c>
      <c r="X40" s="1" t="str">
        <f>IFERROR(INDEX([1]物品基础表!$A:$A,MATCH(W40,[1]物品基础表!$B:$B,0)),"")</f>
        <v/>
      </c>
      <c r="AA40" s="1" t="str">
        <f>IFERROR(INDEX([1]物品基础表!$A:$A,MATCH(Z40,[1]物品基础表!$B:$B,0)),"")</f>
        <v/>
      </c>
      <c r="AD40" s="1" t="str">
        <f>IFERROR(INDEX([1]物品基础表!$A:$A,MATCH(AC40,[1]物品基础表!$B:$B,0)),"")</f>
        <v/>
      </c>
      <c r="AG40" s="1" t="str">
        <f>IFERROR(INDEX([1]物品基础表!$A:$A,MATCH(AF40,[1]物品基础表!$B:$B,0)),"")</f>
        <v/>
      </c>
      <c r="AJ40" s="1" t="str">
        <f>IFERROR(INDEX([1]物品基础表!$A:$A,MATCH(AI40,[1]物品基础表!$B:$B,0)),"")</f>
        <v/>
      </c>
      <c r="AM40" s="1" t="str">
        <f>IFERROR(INDEX([1]物品基础表!$A:$A,MATCH(AL40,[1]物品基础表!$B:$B,0)),"")</f>
        <v/>
      </c>
      <c r="AP40" s="1" t="str">
        <f>IFERROR(INDEX([1]物品基础表!$A:$A,MATCH(AO40,[1]物品基础表!$B:$B,0)),"")</f>
        <v/>
      </c>
      <c r="AS40" s="1" t="str">
        <f>IFERROR(INDEX([1]物品基础表!$A:$A,MATCH(AR40,[1]物品基础表!$B:$B,0)),"")</f>
        <v/>
      </c>
      <c r="AV40" s="1" t="str">
        <f>IFERROR(INDEX([1]物品基础表!$A:$A,MATCH(AU40,[1]物品基础表!$B:$B,0)),"")</f>
        <v/>
      </c>
      <c r="AY40" s="1" t="str">
        <f>IFERROR(INDEX([1]物品基础表!$A:$A,MATCH(AX40,[1]物品基础表!$B:$B,0)),"")</f>
        <v/>
      </c>
      <c r="BB40" s="1" t="str">
        <f>IFERROR(INDEX([1]物品基础表!$A:$A,MATCH(BA40,[1]物品基础表!$B:$B,0)),"")</f>
        <v/>
      </c>
      <c r="BE40" s="1" t="str">
        <f>IFERROR(INDEX([1]物品基础表!$A:$A,MATCH(BD40,[1]物品基础表!$B:$B,0)),"")</f>
        <v/>
      </c>
      <c r="BH40" s="1" t="str">
        <f>IFERROR(INDEX([1]物品基础表!$A:$A,MATCH(BG40,[1]物品基础表!$B:$B,0)),"")</f>
        <v/>
      </c>
      <c r="BK40" s="1" t="str">
        <f>IFERROR(INDEX([1]物品基础表!$A:$A,MATCH(BJ40,[1]物品基础表!$B:$B,0)),"")</f>
        <v/>
      </c>
    </row>
    <row r="41" spans="1:63">
      <c r="A41" s="39" t="str">
        <f>INDEX([2]活动总表!$A$8:$A$429,MATCH(B41,[2]活动总表!$B$8:$B$429,0))</f>
        <v>双12活动-第三天转盘</v>
      </c>
      <c r="B41" s="40">
        <v>223</v>
      </c>
      <c r="C41" s="40">
        <v>4</v>
      </c>
      <c r="D41" s="40"/>
      <c r="E41" s="40"/>
      <c r="F41" s="40" t="s">
        <v>800</v>
      </c>
      <c r="G41" s="40">
        <v>1</v>
      </c>
      <c r="H41" s="40"/>
      <c r="I41" s="56"/>
      <c r="J41" s="60"/>
      <c r="K41" s="1">
        <v>200167</v>
      </c>
      <c r="L41" s="1" t="str">
        <f>IFERROR(INDEX([1]物品基础表!$A:$A,MATCH(K41,[1]物品基础表!$B:$B,0)),"")</f>
        <v>黑铁</v>
      </c>
      <c r="M41" s="1">
        <v>50</v>
      </c>
      <c r="O41" s="1" t="str">
        <f>IFERROR(INDEX([1]物品基础表!$A:$A,MATCH(N41,[1]物品基础表!$B:$B,0)),"")</f>
        <v/>
      </c>
      <c r="R41" s="1" t="str">
        <f>IFERROR(INDEX([1]物品基础表!$A:$A,MATCH(Q41,[1]物品基础表!$B:$B,0)),"")</f>
        <v/>
      </c>
      <c r="U41" s="1" t="str">
        <f>IFERROR(INDEX([1]物品基础表!$A:$A,MATCH(T41,[1]物品基础表!$B:$B,0)),"")</f>
        <v/>
      </c>
      <c r="X41" s="1" t="str">
        <f>IFERROR(INDEX([1]物品基础表!$A:$A,MATCH(W41,[1]物品基础表!$B:$B,0)),"")</f>
        <v/>
      </c>
      <c r="AA41" s="1" t="str">
        <f>IFERROR(INDEX([1]物品基础表!$A:$A,MATCH(Z41,[1]物品基础表!$B:$B,0)),"")</f>
        <v/>
      </c>
      <c r="AD41" s="1" t="str">
        <f>IFERROR(INDEX([1]物品基础表!$A:$A,MATCH(AC41,[1]物品基础表!$B:$B,0)),"")</f>
        <v/>
      </c>
      <c r="AG41" s="1" t="str">
        <f>IFERROR(INDEX([1]物品基础表!$A:$A,MATCH(AF41,[1]物品基础表!$B:$B,0)),"")</f>
        <v/>
      </c>
      <c r="AJ41" s="1" t="str">
        <f>IFERROR(INDEX([1]物品基础表!$A:$A,MATCH(AI41,[1]物品基础表!$B:$B,0)),"")</f>
        <v/>
      </c>
      <c r="AM41" s="1" t="str">
        <f>IFERROR(INDEX([1]物品基础表!$A:$A,MATCH(AL41,[1]物品基础表!$B:$B,0)),"")</f>
        <v/>
      </c>
      <c r="AP41" s="1" t="str">
        <f>IFERROR(INDEX([1]物品基础表!$A:$A,MATCH(AO41,[1]物品基础表!$B:$B,0)),"")</f>
        <v/>
      </c>
      <c r="AS41" s="1" t="str">
        <f>IFERROR(INDEX([1]物品基础表!$A:$A,MATCH(AR41,[1]物品基础表!$B:$B,0)),"")</f>
        <v/>
      </c>
      <c r="AV41" s="1" t="str">
        <f>IFERROR(INDEX([1]物品基础表!$A:$A,MATCH(AU41,[1]物品基础表!$B:$B,0)),"")</f>
        <v/>
      </c>
      <c r="AY41" s="1" t="str">
        <f>IFERROR(INDEX([1]物品基础表!$A:$A,MATCH(AX41,[1]物品基础表!$B:$B,0)),"")</f>
        <v/>
      </c>
      <c r="BB41" s="1" t="str">
        <f>IFERROR(INDEX([1]物品基础表!$A:$A,MATCH(BA41,[1]物品基础表!$B:$B,0)),"")</f>
        <v/>
      </c>
      <c r="BE41" s="1" t="str">
        <f>IFERROR(INDEX([1]物品基础表!$A:$A,MATCH(BD41,[1]物品基础表!$B:$B,0)),"")</f>
        <v/>
      </c>
      <c r="BH41" s="1" t="str">
        <f>IFERROR(INDEX([1]物品基础表!$A:$A,MATCH(BG41,[1]物品基础表!$B:$B,0)),"")</f>
        <v/>
      </c>
      <c r="BK41" s="1" t="str">
        <f>IFERROR(INDEX([1]物品基础表!$A:$A,MATCH(BJ41,[1]物品基础表!$B:$B,0)),"")</f>
        <v/>
      </c>
    </row>
    <row r="42" spans="1:63">
      <c r="A42" s="39" t="str">
        <f>INDEX([2]活动总表!$A$8:$A$429,MATCH(B42,[2]活动总表!$B$8:$B$429,0))</f>
        <v>双12活动-第三天转盘</v>
      </c>
      <c r="B42" s="40">
        <v>223</v>
      </c>
      <c r="C42" s="40">
        <v>5</v>
      </c>
      <c r="D42" s="40"/>
      <c r="E42" s="40"/>
      <c r="F42" s="40" t="s">
        <v>801</v>
      </c>
      <c r="G42" s="40">
        <v>1</v>
      </c>
      <c r="H42" s="40"/>
      <c r="I42" s="56"/>
      <c r="J42" s="60"/>
      <c r="K42" s="1">
        <v>500006</v>
      </c>
      <c r="L42" s="1" t="str">
        <f>IFERROR(INDEX([1]物品基础表!$A:$A,MATCH(K42,[1]物品基础表!$B:$B,0)),"")</f>
        <v>战纹精华-金</v>
      </c>
      <c r="M42" s="1">
        <v>1</v>
      </c>
      <c r="O42" s="1" t="str">
        <f>IFERROR(INDEX([1]物品基础表!$A:$A,MATCH(N42,[1]物品基础表!$B:$B,0)),"")</f>
        <v/>
      </c>
      <c r="R42" s="1" t="str">
        <f>IFERROR(INDEX([1]物品基础表!$A:$A,MATCH(Q42,[1]物品基础表!$B:$B,0)),"")</f>
        <v/>
      </c>
      <c r="U42" s="1" t="str">
        <f>IFERROR(INDEX([1]物品基础表!$A:$A,MATCH(T42,[1]物品基础表!$B:$B,0)),"")</f>
        <v/>
      </c>
      <c r="X42" s="1" t="str">
        <f>IFERROR(INDEX([1]物品基础表!$A:$A,MATCH(W42,[1]物品基础表!$B:$B,0)),"")</f>
        <v/>
      </c>
      <c r="AA42" s="1" t="str">
        <f>IFERROR(INDEX([1]物品基础表!$A:$A,MATCH(Z42,[1]物品基础表!$B:$B,0)),"")</f>
        <v/>
      </c>
      <c r="AD42" s="1" t="str">
        <f>IFERROR(INDEX([1]物品基础表!$A:$A,MATCH(AC42,[1]物品基础表!$B:$B,0)),"")</f>
        <v/>
      </c>
      <c r="AG42" s="1" t="str">
        <f>IFERROR(INDEX([1]物品基础表!$A:$A,MATCH(AF42,[1]物品基础表!$B:$B,0)),"")</f>
        <v/>
      </c>
      <c r="AJ42" s="1" t="str">
        <f>IFERROR(INDEX([1]物品基础表!$A:$A,MATCH(AI42,[1]物品基础表!$B:$B,0)),"")</f>
        <v/>
      </c>
      <c r="AM42" s="1" t="str">
        <f>IFERROR(INDEX([1]物品基础表!$A:$A,MATCH(AL42,[1]物品基础表!$B:$B,0)),"")</f>
        <v/>
      </c>
      <c r="AP42" s="1" t="str">
        <f>IFERROR(INDEX([1]物品基础表!$A:$A,MATCH(AO42,[1]物品基础表!$B:$B,0)),"")</f>
        <v/>
      </c>
      <c r="AS42" s="1" t="str">
        <f>IFERROR(INDEX([1]物品基础表!$A:$A,MATCH(AR42,[1]物品基础表!$B:$B,0)),"")</f>
        <v/>
      </c>
      <c r="AV42" s="1" t="str">
        <f>IFERROR(INDEX([1]物品基础表!$A:$A,MATCH(AU42,[1]物品基础表!$B:$B,0)),"")</f>
        <v/>
      </c>
      <c r="AY42" s="1" t="str">
        <f>IFERROR(INDEX([1]物品基础表!$A:$A,MATCH(AX42,[1]物品基础表!$B:$B,0)),"")</f>
        <v/>
      </c>
      <c r="BB42" s="1" t="str">
        <f>IFERROR(INDEX([1]物品基础表!$A:$A,MATCH(BA42,[1]物品基础表!$B:$B,0)),"")</f>
        <v/>
      </c>
      <c r="BE42" s="1" t="str">
        <f>IFERROR(INDEX([1]物品基础表!$A:$A,MATCH(BD42,[1]物品基础表!$B:$B,0)),"")</f>
        <v/>
      </c>
      <c r="BH42" s="1" t="str">
        <f>IFERROR(INDEX([1]物品基础表!$A:$A,MATCH(BG42,[1]物品基础表!$B:$B,0)),"")</f>
        <v/>
      </c>
      <c r="BK42" s="1" t="str">
        <f>IFERROR(INDEX([1]物品基础表!$A:$A,MATCH(BJ42,[1]物品基础表!$B:$B,0)),"")</f>
        <v/>
      </c>
    </row>
    <row r="43" spans="1:63">
      <c r="A43" s="39" t="str">
        <f>INDEX([2]活动总表!$A$8:$A$429,MATCH(B43,[2]活动总表!$B$8:$B$429,0))</f>
        <v>双12活动-第三天转盘</v>
      </c>
      <c r="B43" s="40">
        <v>223</v>
      </c>
      <c r="C43" s="40">
        <v>6</v>
      </c>
      <c r="D43" s="40"/>
      <c r="E43" s="40"/>
      <c r="F43" s="40" t="s">
        <v>802</v>
      </c>
      <c r="G43" s="40">
        <v>1</v>
      </c>
      <c r="H43" s="40"/>
      <c r="I43" s="56"/>
      <c r="J43" s="60"/>
      <c r="K43" s="1">
        <v>200314</v>
      </c>
      <c r="L43" s="1" t="str">
        <f>IFERROR(INDEX([1]物品基础表!$A:$A,MATCH(K43,[1]物品基础表!$B:$B,0)),"")</f>
        <v>蛊毒兵魂任选礼包</v>
      </c>
      <c r="M43" s="1">
        <v>1</v>
      </c>
      <c r="O43" s="1" t="str">
        <f>IFERROR(INDEX([1]物品基础表!$A:$A,MATCH(N43,[1]物品基础表!$B:$B,0)),"")</f>
        <v/>
      </c>
      <c r="R43" s="1" t="str">
        <f>IFERROR(INDEX([1]物品基础表!$A:$A,MATCH(Q43,[1]物品基础表!$B:$B,0)),"")</f>
        <v/>
      </c>
      <c r="U43" s="1" t="str">
        <f>IFERROR(INDEX([1]物品基础表!$A:$A,MATCH(T43,[1]物品基础表!$B:$B,0)),"")</f>
        <v/>
      </c>
      <c r="X43" s="1" t="str">
        <f>IFERROR(INDEX([1]物品基础表!$A:$A,MATCH(W43,[1]物品基础表!$B:$B,0)),"")</f>
        <v/>
      </c>
      <c r="AA43" s="1" t="str">
        <f>IFERROR(INDEX([1]物品基础表!$A:$A,MATCH(Z43,[1]物品基础表!$B:$B,0)),"")</f>
        <v/>
      </c>
      <c r="AD43" s="1" t="str">
        <f>IFERROR(INDEX([1]物品基础表!$A:$A,MATCH(AC43,[1]物品基础表!$B:$B,0)),"")</f>
        <v/>
      </c>
      <c r="AG43" s="1" t="str">
        <f>IFERROR(INDEX([1]物品基础表!$A:$A,MATCH(AF43,[1]物品基础表!$B:$B,0)),"")</f>
        <v/>
      </c>
      <c r="AJ43" s="1" t="str">
        <f>IFERROR(INDEX([1]物品基础表!$A:$A,MATCH(AI43,[1]物品基础表!$B:$B,0)),"")</f>
        <v/>
      </c>
      <c r="AM43" s="1" t="str">
        <f>IFERROR(INDEX([1]物品基础表!$A:$A,MATCH(AL43,[1]物品基础表!$B:$B,0)),"")</f>
        <v/>
      </c>
      <c r="AP43" s="1" t="str">
        <f>IFERROR(INDEX([1]物品基础表!$A:$A,MATCH(AO43,[1]物品基础表!$B:$B,0)),"")</f>
        <v/>
      </c>
      <c r="AS43" s="1" t="str">
        <f>IFERROR(INDEX([1]物品基础表!$A:$A,MATCH(AR43,[1]物品基础表!$B:$B,0)),"")</f>
        <v/>
      </c>
      <c r="AV43" s="1" t="str">
        <f>IFERROR(INDEX([1]物品基础表!$A:$A,MATCH(AU43,[1]物品基础表!$B:$B,0)),"")</f>
        <v/>
      </c>
      <c r="AY43" s="1" t="str">
        <f>IFERROR(INDEX([1]物品基础表!$A:$A,MATCH(AX43,[1]物品基础表!$B:$B,0)),"")</f>
        <v/>
      </c>
      <c r="BB43" s="1" t="str">
        <f>IFERROR(INDEX([1]物品基础表!$A:$A,MATCH(BA43,[1]物品基础表!$B:$B,0)),"")</f>
        <v/>
      </c>
      <c r="BE43" s="1" t="str">
        <f>IFERROR(INDEX([1]物品基础表!$A:$A,MATCH(BD43,[1]物品基础表!$B:$B,0)),"")</f>
        <v/>
      </c>
      <c r="BH43" s="1" t="str">
        <f>IFERROR(INDEX([1]物品基础表!$A:$A,MATCH(BG43,[1]物品基础表!$B:$B,0)),"")</f>
        <v/>
      </c>
      <c r="BK43" s="1" t="str">
        <f>IFERROR(INDEX([1]物品基础表!$A:$A,MATCH(BJ43,[1]物品基础表!$B:$B,0)),"")</f>
        <v/>
      </c>
    </row>
    <row r="44" spans="1:63">
      <c r="A44" s="39" t="str">
        <f>INDEX([2]活动总表!$A$8:$A$429,MATCH(B44,[2]活动总表!$B$8:$B$429,0))</f>
        <v>双12活动-第三天转盘</v>
      </c>
      <c r="B44" s="40">
        <v>223</v>
      </c>
      <c r="C44" s="40">
        <v>7</v>
      </c>
      <c r="D44" s="40"/>
      <c r="E44" s="40"/>
      <c r="F44" s="40" t="s">
        <v>803</v>
      </c>
      <c r="G44" s="40">
        <v>1</v>
      </c>
      <c r="H44" s="40"/>
      <c r="I44" s="56"/>
      <c r="J44" s="60"/>
      <c r="K44" s="1">
        <v>200015</v>
      </c>
      <c r="L44" s="1" t="str">
        <f>IFERROR(INDEX([1]物品基础表!$A:$A,MATCH(K44,[1]物品基础表!$B:$B,0)),"")</f>
        <v>特戒碎片</v>
      </c>
      <c r="M44" s="1">
        <v>20</v>
      </c>
      <c r="O44" s="1" t="str">
        <f>IFERROR(INDEX([1]物品基础表!$A:$A,MATCH(N44,[1]物品基础表!$B:$B,0)),"")</f>
        <v/>
      </c>
      <c r="R44" s="1" t="str">
        <f>IFERROR(INDEX([1]物品基础表!$A:$A,MATCH(Q44,[1]物品基础表!$B:$B,0)),"")</f>
        <v/>
      </c>
      <c r="U44" s="1" t="str">
        <f>IFERROR(INDEX([1]物品基础表!$A:$A,MATCH(T44,[1]物品基础表!$B:$B,0)),"")</f>
        <v/>
      </c>
      <c r="X44" s="1" t="str">
        <f>IFERROR(INDEX([1]物品基础表!$A:$A,MATCH(W44,[1]物品基础表!$B:$B,0)),"")</f>
        <v/>
      </c>
      <c r="AA44" s="1" t="str">
        <f>IFERROR(INDEX([1]物品基础表!$A:$A,MATCH(Z44,[1]物品基础表!$B:$B,0)),"")</f>
        <v/>
      </c>
      <c r="AD44" s="1" t="str">
        <f>IFERROR(INDEX([1]物品基础表!$A:$A,MATCH(AC44,[1]物品基础表!$B:$B,0)),"")</f>
        <v/>
      </c>
      <c r="AG44" s="1" t="str">
        <f>IFERROR(INDEX([1]物品基础表!$A:$A,MATCH(AF44,[1]物品基础表!$B:$B,0)),"")</f>
        <v/>
      </c>
      <c r="AJ44" s="1" t="str">
        <f>IFERROR(INDEX([1]物品基础表!$A:$A,MATCH(AI44,[1]物品基础表!$B:$B,0)),"")</f>
        <v/>
      </c>
      <c r="AM44" s="1" t="str">
        <f>IFERROR(INDEX([1]物品基础表!$A:$A,MATCH(AL44,[1]物品基础表!$B:$B,0)),"")</f>
        <v/>
      </c>
      <c r="AP44" s="1" t="str">
        <f>IFERROR(INDEX([1]物品基础表!$A:$A,MATCH(AO44,[1]物品基础表!$B:$B,0)),"")</f>
        <v/>
      </c>
      <c r="AS44" s="1" t="str">
        <f>IFERROR(INDEX([1]物品基础表!$A:$A,MATCH(AR44,[1]物品基础表!$B:$B,0)),"")</f>
        <v/>
      </c>
      <c r="AV44" s="1" t="str">
        <f>IFERROR(INDEX([1]物品基础表!$A:$A,MATCH(AU44,[1]物品基础表!$B:$B,0)),"")</f>
        <v/>
      </c>
      <c r="AY44" s="1" t="str">
        <f>IFERROR(INDEX([1]物品基础表!$A:$A,MATCH(AX44,[1]物品基础表!$B:$B,0)),"")</f>
        <v/>
      </c>
      <c r="BB44" s="1" t="str">
        <f>IFERROR(INDEX([1]物品基础表!$A:$A,MATCH(BA44,[1]物品基础表!$B:$B,0)),"")</f>
        <v/>
      </c>
      <c r="BE44" s="1" t="str">
        <f>IFERROR(INDEX([1]物品基础表!$A:$A,MATCH(BD44,[1]物品基础表!$B:$B,0)),"")</f>
        <v/>
      </c>
      <c r="BH44" s="1" t="str">
        <f>IFERROR(INDEX([1]物品基础表!$A:$A,MATCH(BG44,[1]物品基础表!$B:$B,0)),"")</f>
        <v/>
      </c>
      <c r="BK44" s="1" t="str">
        <f>IFERROR(INDEX([1]物品基础表!$A:$A,MATCH(BJ44,[1]物品基础表!$B:$B,0)),"")</f>
        <v/>
      </c>
    </row>
    <row r="45" spans="1:63">
      <c r="A45" s="39" t="str">
        <f>INDEX([2]活动总表!$A$8:$A$429,MATCH(B45,[2]活动总表!$B$8:$B$429,0))</f>
        <v>双12活动-第三天转盘</v>
      </c>
      <c r="B45" s="40">
        <v>223</v>
      </c>
      <c r="C45" s="40">
        <v>8</v>
      </c>
      <c r="D45" s="40"/>
      <c r="E45" s="40"/>
      <c r="F45" s="40" t="s">
        <v>804</v>
      </c>
      <c r="G45" s="40">
        <v>1</v>
      </c>
      <c r="H45" s="40"/>
      <c r="I45" s="56"/>
      <c r="J45" s="60"/>
      <c r="K45" s="1">
        <v>200316</v>
      </c>
      <c r="L45" s="1" t="str">
        <f>IFERROR(INDEX([1]物品基础表!$A:$A,MATCH(K45,[1]物品基础表!$B:$B,0)),"")</f>
        <v>3阶神羽宝箱</v>
      </c>
      <c r="M45" s="1">
        <v>1</v>
      </c>
      <c r="O45" s="1" t="str">
        <f>IFERROR(INDEX([1]物品基础表!$A:$A,MATCH(N45,[1]物品基础表!$B:$B,0)),"")</f>
        <v/>
      </c>
      <c r="R45" s="1" t="str">
        <f>IFERROR(INDEX([1]物品基础表!$A:$A,MATCH(Q45,[1]物品基础表!$B:$B,0)),"")</f>
        <v/>
      </c>
      <c r="U45" s="1" t="str">
        <f>IFERROR(INDEX([1]物品基础表!$A:$A,MATCH(T45,[1]物品基础表!$B:$B,0)),"")</f>
        <v/>
      </c>
      <c r="X45" s="1" t="str">
        <f>IFERROR(INDEX([1]物品基础表!$A:$A,MATCH(W45,[1]物品基础表!$B:$B,0)),"")</f>
        <v/>
      </c>
      <c r="AA45" s="1" t="str">
        <f>IFERROR(INDEX([1]物品基础表!$A:$A,MATCH(Z45,[1]物品基础表!$B:$B,0)),"")</f>
        <v/>
      </c>
      <c r="AD45" s="1" t="str">
        <f>IFERROR(INDEX([1]物品基础表!$A:$A,MATCH(AC45,[1]物品基础表!$B:$B,0)),"")</f>
        <v/>
      </c>
      <c r="AG45" s="1" t="str">
        <f>IFERROR(INDEX([1]物品基础表!$A:$A,MATCH(AF45,[1]物品基础表!$B:$B,0)),"")</f>
        <v/>
      </c>
      <c r="AJ45" s="1" t="str">
        <f>IFERROR(INDEX([1]物品基础表!$A:$A,MATCH(AI45,[1]物品基础表!$B:$B,0)),"")</f>
        <v/>
      </c>
      <c r="AM45" s="1" t="str">
        <f>IFERROR(INDEX([1]物品基础表!$A:$A,MATCH(AL45,[1]物品基础表!$B:$B,0)),"")</f>
        <v/>
      </c>
      <c r="AP45" s="1" t="str">
        <f>IFERROR(INDEX([1]物品基础表!$A:$A,MATCH(AO45,[1]物品基础表!$B:$B,0)),"")</f>
        <v/>
      </c>
      <c r="AS45" s="1" t="str">
        <f>IFERROR(INDEX([1]物品基础表!$A:$A,MATCH(AR45,[1]物品基础表!$B:$B,0)),"")</f>
        <v/>
      </c>
      <c r="AV45" s="1" t="str">
        <f>IFERROR(INDEX([1]物品基础表!$A:$A,MATCH(AU45,[1]物品基础表!$B:$B,0)),"")</f>
        <v/>
      </c>
      <c r="AY45" s="1" t="str">
        <f>IFERROR(INDEX([1]物品基础表!$A:$A,MATCH(AX45,[1]物品基础表!$B:$B,0)),"")</f>
        <v/>
      </c>
      <c r="BB45" s="1" t="str">
        <f>IFERROR(INDEX([1]物品基础表!$A:$A,MATCH(BA45,[1]物品基础表!$B:$B,0)),"")</f>
        <v/>
      </c>
      <c r="BE45" s="1" t="str">
        <f>IFERROR(INDEX([1]物品基础表!$A:$A,MATCH(BD45,[1]物品基础表!$B:$B,0)),"")</f>
        <v/>
      </c>
      <c r="BH45" s="1" t="str">
        <f>IFERROR(INDEX([1]物品基础表!$A:$A,MATCH(BG45,[1]物品基础表!$B:$B,0)),"")</f>
        <v/>
      </c>
      <c r="BK45" s="1" t="str">
        <f>IFERROR(INDEX([1]物品基础表!$A:$A,MATCH(BJ45,[1]物品基础表!$B:$B,0)),"")</f>
        <v/>
      </c>
    </row>
    <row r="46" spans="1:63">
      <c r="A46" s="39" t="str">
        <f>INDEX([2]活动总表!$A$8:$A$429,MATCH(B46,[2]活动总表!$B$8:$B$429,0))</f>
        <v>双12活动-第三天转盘</v>
      </c>
      <c r="B46" s="40">
        <v>223</v>
      </c>
      <c r="C46" s="40">
        <v>9</v>
      </c>
      <c r="D46" s="40"/>
      <c r="E46" s="40"/>
      <c r="F46" s="40" t="s">
        <v>805</v>
      </c>
      <c r="G46" s="40">
        <v>1</v>
      </c>
      <c r="H46" s="40"/>
      <c r="I46" s="56"/>
      <c r="J46" s="60"/>
      <c r="K46" s="1">
        <v>200167</v>
      </c>
      <c r="L46" s="1" t="str">
        <f>IFERROR(INDEX([1]物品基础表!$A:$A,MATCH(K46,[1]物品基础表!$B:$B,0)),"")</f>
        <v>黑铁</v>
      </c>
      <c r="M46" s="1">
        <v>400</v>
      </c>
      <c r="O46" s="1" t="str">
        <f>IFERROR(INDEX([1]物品基础表!$A:$A,MATCH(N46,[1]物品基础表!$B:$B,0)),"")</f>
        <v/>
      </c>
      <c r="R46" s="1" t="str">
        <f>IFERROR(INDEX([1]物品基础表!$A:$A,MATCH(Q46,[1]物品基础表!$B:$B,0)),"")</f>
        <v/>
      </c>
      <c r="U46" s="1" t="str">
        <f>IFERROR(INDEX([1]物品基础表!$A:$A,MATCH(T46,[1]物品基础表!$B:$B,0)),"")</f>
        <v/>
      </c>
      <c r="X46" s="1" t="str">
        <f>IFERROR(INDEX([1]物品基础表!$A:$A,MATCH(W46,[1]物品基础表!$B:$B,0)),"")</f>
        <v/>
      </c>
      <c r="AA46" s="1" t="str">
        <f>IFERROR(INDEX([1]物品基础表!$A:$A,MATCH(Z46,[1]物品基础表!$B:$B,0)),"")</f>
        <v/>
      </c>
      <c r="AD46" s="1" t="str">
        <f>IFERROR(INDEX([1]物品基础表!$A:$A,MATCH(AC46,[1]物品基础表!$B:$B,0)),"")</f>
        <v/>
      </c>
      <c r="AG46" s="1" t="str">
        <f>IFERROR(INDEX([1]物品基础表!$A:$A,MATCH(AF46,[1]物品基础表!$B:$B,0)),"")</f>
        <v/>
      </c>
      <c r="AJ46" s="1" t="str">
        <f>IFERROR(INDEX([1]物品基础表!$A:$A,MATCH(AI46,[1]物品基础表!$B:$B,0)),"")</f>
        <v/>
      </c>
      <c r="AM46" s="1" t="str">
        <f>IFERROR(INDEX([1]物品基础表!$A:$A,MATCH(AL46,[1]物品基础表!$B:$B,0)),"")</f>
        <v/>
      </c>
      <c r="AP46" s="1" t="str">
        <f>IFERROR(INDEX([1]物品基础表!$A:$A,MATCH(AO46,[1]物品基础表!$B:$B,0)),"")</f>
        <v/>
      </c>
      <c r="AS46" s="1" t="str">
        <f>IFERROR(INDEX([1]物品基础表!$A:$A,MATCH(AR46,[1]物品基础表!$B:$B,0)),"")</f>
        <v/>
      </c>
      <c r="AV46" s="1" t="str">
        <f>IFERROR(INDEX([1]物品基础表!$A:$A,MATCH(AU46,[1]物品基础表!$B:$B,0)),"")</f>
        <v/>
      </c>
      <c r="AY46" s="1" t="str">
        <f>IFERROR(INDEX([1]物品基础表!$A:$A,MATCH(AX46,[1]物品基础表!$B:$B,0)),"")</f>
        <v/>
      </c>
      <c r="BB46" s="1" t="str">
        <f>IFERROR(INDEX([1]物品基础表!$A:$A,MATCH(BA46,[1]物品基础表!$B:$B,0)),"")</f>
        <v/>
      </c>
      <c r="BE46" s="1" t="str">
        <f>IFERROR(INDEX([1]物品基础表!$A:$A,MATCH(BD46,[1]物品基础表!$B:$B,0)),"")</f>
        <v/>
      </c>
      <c r="BH46" s="1" t="str">
        <f>IFERROR(INDEX([1]物品基础表!$A:$A,MATCH(BG46,[1]物品基础表!$B:$B,0)),"")</f>
        <v/>
      </c>
      <c r="BK46" s="1" t="str">
        <f>IFERROR(INDEX([1]物品基础表!$A:$A,MATCH(BJ46,[1]物品基础表!$B:$B,0)),"")</f>
        <v/>
      </c>
    </row>
    <row r="47" spans="1:63">
      <c r="A47" s="39" t="str">
        <f>INDEX([2]活动总表!$A$8:$A$429,MATCH(B47,[2]活动总表!$B$8:$B$429,0))</f>
        <v>双12活动-第三天转盘</v>
      </c>
      <c r="B47" s="40">
        <v>223</v>
      </c>
      <c r="C47" s="40">
        <v>10</v>
      </c>
      <c r="D47" s="40"/>
      <c r="E47" s="40"/>
      <c r="F47" s="40" t="s">
        <v>806</v>
      </c>
      <c r="G47" s="40">
        <v>1</v>
      </c>
      <c r="H47" s="40"/>
      <c r="I47" s="56"/>
      <c r="J47" s="60"/>
      <c r="K47" s="1">
        <v>601000</v>
      </c>
      <c r="L47" s="1" t="str">
        <f>IFERROR(INDEX([1]物品基础表!$A:$A,MATCH(K47,[1]物品基础表!$B:$B,0)),"")</f>
        <v>神羽碎片</v>
      </c>
      <c r="M47" s="1">
        <v>1</v>
      </c>
      <c r="O47" s="1" t="str">
        <f>IFERROR(INDEX([1]物品基础表!$A:$A,MATCH(N47,[1]物品基础表!$B:$B,0)),"")</f>
        <v/>
      </c>
      <c r="R47" s="1" t="str">
        <f>IFERROR(INDEX([1]物品基础表!$A:$A,MATCH(Q47,[1]物品基础表!$B:$B,0)),"")</f>
        <v/>
      </c>
      <c r="U47" s="1" t="str">
        <f>IFERROR(INDEX([1]物品基础表!$A:$A,MATCH(T47,[1]物品基础表!$B:$B,0)),"")</f>
        <v/>
      </c>
      <c r="X47" s="1" t="str">
        <f>IFERROR(INDEX([1]物品基础表!$A:$A,MATCH(W47,[1]物品基础表!$B:$B,0)),"")</f>
        <v/>
      </c>
      <c r="AA47" s="1" t="str">
        <f>IFERROR(INDEX([1]物品基础表!$A:$A,MATCH(Z47,[1]物品基础表!$B:$B,0)),"")</f>
        <v/>
      </c>
      <c r="AD47" s="1" t="str">
        <f>IFERROR(INDEX([1]物品基础表!$A:$A,MATCH(AC47,[1]物品基础表!$B:$B,0)),"")</f>
        <v/>
      </c>
      <c r="AG47" s="1" t="str">
        <f>IFERROR(INDEX([1]物品基础表!$A:$A,MATCH(AF47,[1]物品基础表!$B:$B,0)),"")</f>
        <v/>
      </c>
      <c r="AJ47" s="1" t="str">
        <f>IFERROR(INDEX([1]物品基础表!$A:$A,MATCH(AI47,[1]物品基础表!$B:$B,0)),"")</f>
        <v/>
      </c>
      <c r="AM47" s="1" t="str">
        <f>IFERROR(INDEX([1]物品基础表!$A:$A,MATCH(AL47,[1]物品基础表!$B:$B,0)),"")</f>
        <v/>
      </c>
      <c r="AP47" s="1" t="str">
        <f>IFERROR(INDEX([1]物品基础表!$A:$A,MATCH(AO47,[1]物品基础表!$B:$B,0)),"")</f>
        <v/>
      </c>
      <c r="AS47" s="1" t="str">
        <f>IFERROR(INDEX([1]物品基础表!$A:$A,MATCH(AR47,[1]物品基础表!$B:$B,0)),"")</f>
        <v/>
      </c>
      <c r="AV47" s="1" t="str">
        <f>IFERROR(INDEX([1]物品基础表!$A:$A,MATCH(AU47,[1]物品基础表!$B:$B,0)),"")</f>
        <v/>
      </c>
      <c r="AY47" s="1" t="str">
        <f>IFERROR(INDEX([1]物品基础表!$A:$A,MATCH(AX47,[1]物品基础表!$B:$B,0)),"")</f>
        <v/>
      </c>
      <c r="BB47" s="1" t="str">
        <f>IFERROR(INDEX([1]物品基础表!$A:$A,MATCH(BA47,[1]物品基础表!$B:$B,0)),"")</f>
        <v/>
      </c>
      <c r="BE47" s="1" t="str">
        <f>IFERROR(INDEX([1]物品基础表!$A:$A,MATCH(BD47,[1]物品基础表!$B:$B,0)),"")</f>
        <v/>
      </c>
      <c r="BH47" s="1" t="str">
        <f>IFERROR(INDEX([1]物品基础表!$A:$A,MATCH(BG47,[1]物品基础表!$B:$B,0)),"")</f>
        <v/>
      </c>
      <c r="BK47" s="1" t="str">
        <f>IFERROR(INDEX([1]物品基础表!$A:$A,MATCH(BJ47,[1]物品基础表!$B:$B,0)),"")</f>
        <v/>
      </c>
    </row>
    <row r="48" spans="1:63">
      <c r="A48" s="39" t="str">
        <f>INDEX([2]活动总表!$A$8:$A$429,MATCH(B48,[2]活动总表!$B$8:$B$429,0))</f>
        <v>元旦-爆竹1</v>
      </c>
      <c r="B48" s="40">
        <v>231</v>
      </c>
      <c r="C48" s="40">
        <v>0</v>
      </c>
      <c r="D48" s="40"/>
      <c r="E48" s="40">
        <v>998</v>
      </c>
      <c r="F48" s="40"/>
      <c r="G48" s="40">
        <v>2</v>
      </c>
      <c r="H48" s="40">
        <v>1</v>
      </c>
      <c r="I48" s="40"/>
      <c r="J48" s="57"/>
      <c r="L48" s="1" t="str">
        <f>IFERROR(INDEX([1]物品基础表!$A:$A,MATCH(K48,[1]物品基础表!$B:$B,0)),"")</f>
        <v/>
      </c>
      <c r="N48" s="1">
        <v>204030</v>
      </c>
      <c r="O48" s="1" t="str">
        <f>IFERROR(INDEX([1]物品基础表!$A:$A,MATCH(N48,[1]物品基础表!$B:$B,0)),"")</f>
        <v>元旦兑换</v>
      </c>
      <c r="P48" s="1">
        <v>50</v>
      </c>
      <c r="Q48" s="1">
        <v>204030</v>
      </c>
      <c r="R48" s="1" t="str">
        <f>IFERROR(INDEX([1]物品基础表!$A:$A,MATCH(Q48,[1]物品基础表!$B:$B,0)),"")</f>
        <v>元旦兑换</v>
      </c>
      <c r="S48" s="1">
        <v>50</v>
      </c>
      <c r="T48" s="1">
        <v>204030</v>
      </c>
      <c r="U48" s="1" t="str">
        <f>IFERROR(INDEX([1]物品基础表!$A:$A,MATCH(T48,[1]物品基础表!$B:$B,0)),"")</f>
        <v>元旦兑换</v>
      </c>
      <c r="V48" s="1">
        <v>50</v>
      </c>
      <c r="W48" s="1">
        <v>204030</v>
      </c>
      <c r="X48" s="1" t="str">
        <f>IFERROR(INDEX([1]物品基础表!$A:$A,MATCH(W48,[1]物品基础表!$B:$B,0)),"")</f>
        <v>元旦兑换</v>
      </c>
      <c r="Y48" s="1">
        <v>50</v>
      </c>
      <c r="Z48" s="1">
        <v>204030</v>
      </c>
      <c r="AA48" s="1" t="str">
        <f>IFERROR(INDEX([1]物品基础表!$A:$A,MATCH(Z48,[1]物品基础表!$B:$B,0)),"")</f>
        <v>元旦兑换</v>
      </c>
      <c r="AB48" s="1">
        <v>80</v>
      </c>
      <c r="AD48" s="1" t="str">
        <f>IFERROR(INDEX([1]物品基础表!$A:$A,MATCH(AC48,[1]物品基础表!$B:$B,0)),"")</f>
        <v/>
      </c>
      <c r="AF48" s="1">
        <v>204030</v>
      </c>
      <c r="AG48" s="1" t="str">
        <f>IFERROR(INDEX([1]物品基础表!$A:$A,MATCH(AF48,[1]物品基础表!$B:$B,0)),"")</f>
        <v>元旦兑换</v>
      </c>
      <c r="AH48" s="1">
        <v>120</v>
      </c>
      <c r="AI48" s="1">
        <v>204030</v>
      </c>
      <c r="AJ48" s="1" t="str">
        <f>IFERROR(INDEX([1]物品基础表!$A:$A,MATCH(AI48,[1]物品基础表!$B:$B,0)),"")</f>
        <v>元旦兑换</v>
      </c>
      <c r="AK48" s="1">
        <v>120</v>
      </c>
      <c r="AL48" s="1">
        <v>204030</v>
      </c>
      <c r="AM48" s="1" t="str">
        <f>IFERROR(INDEX([1]物品基础表!$A:$A,MATCH(AL48,[1]物品基础表!$B:$B,0)),"")</f>
        <v>元旦兑换</v>
      </c>
      <c r="AN48" s="1">
        <v>120</v>
      </c>
      <c r="AO48" s="1">
        <v>204030</v>
      </c>
      <c r="AP48" s="1" t="str">
        <f>IFERROR(INDEX([1]物品基础表!$A:$A,MATCH(AO48,[1]物品基础表!$B:$B,0)),"")</f>
        <v>元旦兑换</v>
      </c>
      <c r="AQ48" s="1">
        <v>120</v>
      </c>
      <c r="AR48" s="1">
        <v>204030</v>
      </c>
      <c r="AS48" s="1" t="str">
        <f>IFERROR(INDEX([1]物品基础表!$A:$A,MATCH(AR48,[1]物品基础表!$B:$B,0)),"")</f>
        <v>元旦兑换</v>
      </c>
      <c r="AT48" s="1">
        <v>120</v>
      </c>
      <c r="AU48" s="1">
        <v>204030</v>
      </c>
      <c r="AV48" s="1" t="str">
        <f>IFERROR(INDEX([1]物品基础表!$A:$A,MATCH(AU48,[1]物品基础表!$B:$B,0)),"")</f>
        <v>元旦兑换</v>
      </c>
      <c r="AW48" s="1">
        <v>200</v>
      </c>
      <c r="AX48" s="1">
        <v>204030</v>
      </c>
      <c r="AY48" s="1" t="str">
        <f>IFERROR(INDEX([1]物品基础表!$A:$A,MATCH(AX48,[1]物品基础表!$B:$B,0)),"")</f>
        <v>元旦兑换</v>
      </c>
      <c r="AZ48" s="1">
        <v>200</v>
      </c>
      <c r="BB48" s="1" t="str">
        <f>IFERROR(INDEX([1]物品基础表!$A:$A,MATCH(BA48,[1]物品基础表!$B:$B,0)),"")</f>
        <v/>
      </c>
      <c r="BE48" s="1" t="str">
        <f>IFERROR(INDEX([1]物品基础表!$A:$A,MATCH(BD48,[1]物品基础表!$B:$B,0)),"")</f>
        <v/>
      </c>
      <c r="BH48" s="1" t="str">
        <f>IFERROR(INDEX([1]物品基础表!$A:$A,MATCH(BG48,[1]物品基础表!$B:$B,0)),"")</f>
        <v/>
      </c>
      <c r="BK48" s="1" t="str">
        <f>IFERROR(INDEX([1]物品基础表!$A:$A,MATCH(BJ48,[1]物品基础表!$B:$B,0)),"")</f>
        <v/>
      </c>
    </row>
    <row r="49" spans="1:64">
      <c r="A49" s="39" t="str">
        <f>INDEX([2]活动总表!$A$8:$A$429,MATCH(B49,[2]活动总表!$B$8:$B$429,0))</f>
        <v>元旦-爆竹1</v>
      </c>
      <c r="B49" s="40">
        <v>231</v>
      </c>
      <c r="C49" s="40">
        <v>1</v>
      </c>
      <c r="D49" s="40"/>
      <c r="E49" s="40"/>
      <c r="F49" s="40" t="s">
        <v>790</v>
      </c>
      <c r="G49" s="40">
        <v>2</v>
      </c>
      <c r="H49" s="40"/>
      <c r="I49" s="40"/>
      <c r="J49" s="57"/>
      <c r="K49" s="1">
        <v>204029</v>
      </c>
      <c r="L49" s="1" t="str">
        <f>IFERROR(INDEX([1]物品基础表!$A:$A,MATCH(K49,[1]物品基础表!$B:$B,0)),"")</f>
        <v>魔魂礼包</v>
      </c>
      <c r="M49" s="1">
        <v>1</v>
      </c>
      <c r="O49" s="1" t="str">
        <f>IFERROR(INDEX([1]物品基础表!$A:$A,MATCH(N49,[1]物品基础表!$B:$B,0)),"")</f>
        <v/>
      </c>
      <c r="R49" s="1" t="str">
        <f>IFERROR(INDEX([1]物品基础表!$A:$A,MATCH(Q49,[1]物品基础表!$B:$B,0)),"")</f>
        <v/>
      </c>
      <c r="U49" s="1" t="str">
        <f>IFERROR(INDEX([1]物品基础表!$A:$A,MATCH(T49,[1]物品基础表!$B:$B,0)),"")</f>
        <v/>
      </c>
      <c r="X49" s="1" t="str">
        <f>IFERROR(INDEX([1]物品基础表!$A:$A,MATCH(W49,[1]物品基础表!$B:$B,0)),"")</f>
        <v/>
      </c>
      <c r="AA49" s="1" t="str">
        <f>IFERROR(INDEX([1]物品基础表!$A:$A,MATCH(Z49,[1]物品基础表!$B:$B,0)),"")</f>
        <v/>
      </c>
      <c r="AD49" s="1" t="str">
        <f>IFERROR(INDEX([1]物品基础表!$A:$A,MATCH(AC49,[1]物品基础表!$B:$B,0)),"")</f>
        <v/>
      </c>
      <c r="AG49" s="1" t="str">
        <f>IFERROR(INDEX([1]物品基础表!$A:$A,MATCH(AF49,[1]物品基础表!$B:$B,0)),"")</f>
        <v/>
      </c>
      <c r="AJ49" s="1" t="str">
        <f>IFERROR(INDEX([1]物品基础表!$A:$A,MATCH(AI49,[1]物品基础表!$B:$B,0)),"")</f>
        <v/>
      </c>
      <c r="AM49" s="1" t="str">
        <f>IFERROR(INDEX([1]物品基础表!$A:$A,MATCH(AL49,[1]物品基础表!$B:$B,0)),"")</f>
        <v/>
      </c>
      <c r="AP49" s="1" t="str">
        <f>IFERROR(INDEX([1]物品基础表!$A:$A,MATCH(AO49,[1]物品基础表!$B:$B,0)),"")</f>
        <v/>
      </c>
      <c r="AS49" s="1" t="str">
        <f>IFERROR(INDEX([1]物品基础表!$A:$A,MATCH(AR49,[1]物品基础表!$B:$B,0)),"")</f>
        <v/>
      </c>
      <c r="AV49" s="1" t="str">
        <f>IFERROR(INDEX([1]物品基础表!$A:$A,MATCH(AU49,[1]物品基础表!$B:$B,0)),"")</f>
        <v/>
      </c>
      <c r="AY49" s="1" t="str">
        <f>IFERROR(INDEX([1]物品基础表!$A:$A,MATCH(AX49,[1]物品基础表!$B:$B,0)),"")</f>
        <v/>
      </c>
      <c r="BB49" s="1" t="str">
        <f>IFERROR(INDEX([1]物品基础表!$A:$A,MATCH(BA49,[1]物品基础表!$B:$B,0)),"")</f>
        <v/>
      </c>
      <c r="BE49" s="1" t="str">
        <f>IFERROR(INDEX([1]物品基础表!$A:$A,MATCH(BD49,[1]物品基础表!$B:$B,0)),"")</f>
        <v/>
      </c>
      <c r="BH49" s="1" t="str">
        <f>IFERROR(INDEX([1]物品基础表!$A:$A,MATCH(BG49,[1]物品基础表!$B:$B,0)),"")</f>
        <v/>
      </c>
      <c r="BK49" s="1" t="str">
        <f>IFERROR(INDEX([1]物品基础表!$A:$A,MATCH(BJ49,[1]物品基础表!$B:$B,0)),"")</f>
        <v/>
      </c>
    </row>
    <row r="50" spans="1:64">
      <c r="A50" s="39" t="str">
        <f>INDEX([2]活动总表!$A$8:$A$429,MATCH(B50,[2]活动总表!$B$8:$B$429,0))</f>
        <v>元旦-爆竹1</v>
      </c>
      <c r="B50" s="40">
        <v>231</v>
      </c>
      <c r="C50" s="40">
        <v>2</v>
      </c>
      <c r="D50" s="40"/>
      <c r="E50" s="40"/>
      <c r="F50" s="40" t="s">
        <v>807</v>
      </c>
      <c r="G50" s="40">
        <v>2</v>
      </c>
      <c r="H50" s="40"/>
      <c r="I50" s="40"/>
      <c r="J50" s="57"/>
      <c r="K50" s="1">
        <v>200316</v>
      </c>
      <c r="L50" s="1" t="str">
        <f>IFERROR(INDEX([1]物品基础表!$A:$A,MATCH(K50,[1]物品基础表!$B:$B,0)),"")</f>
        <v>3阶神羽宝箱</v>
      </c>
      <c r="M50" s="1">
        <v>1</v>
      </c>
      <c r="O50" s="1" t="str">
        <f>IFERROR(INDEX([1]物品基础表!$A:$A,MATCH(N50,[1]物品基础表!$B:$B,0)),"")</f>
        <v/>
      </c>
      <c r="R50" s="1" t="str">
        <f>IFERROR(INDEX([1]物品基础表!$A:$A,MATCH(Q50,[1]物品基础表!$B:$B,0)),"")</f>
        <v/>
      </c>
      <c r="U50" s="1" t="str">
        <f>IFERROR(INDEX([1]物品基础表!$A:$A,MATCH(T50,[1]物品基础表!$B:$B,0)),"")</f>
        <v/>
      </c>
      <c r="X50" s="1" t="str">
        <f>IFERROR(INDEX([1]物品基础表!$A:$A,MATCH(W50,[1]物品基础表!$B:$B,0)),"")</f>
        <v/>
      </c>
      <c r="AA50" s="1" t="str">
        <f>IFERROR(INDEX([1]物品基础表!$A:$A,MATCH(Z50,[1]物品基础表!$B:$B,0)),"")</f>
        <v/>
      </c>
      <c r="AD50" s="1" t="str">
        <f>IFERROR(INDEX([1]物品基础表!$A:$A,MATCH(AC50,[1]物品基础表!$B:$B,0)),"")</f>
        <v/>
      </c>
      <c r="AG50" s="1" t="str">
        <f>IFERROR(INDEX([1]物品基础表!$A:$A,MATCH(AF50,[1]物品基础表!$B:$B,0)),"")</f>
        <v/>
      </c>
      <c r="AJ50" s="1" t="str">
        <f>IFERROR(INDEX([1]物品基础表!$A:$A,MATCH(AI50,[1]物品基础表!$B:$B,0)),"")</f>
        <v/>
      </c>
      <c r="AM50" s="1" t="str">
        <f>IFERROR(INDEX([1]物品基础表!$A:$A,MATCH(AL50,[1]物品基础表!$B:$B,0)),"")</f>
        <v/>
      </c>
      <c r="AP50" s="1" t="str">
        <f>IFERROR(INDEX([1]物品基础表!$A:$A,MATCH(AO50,[1]物品基础表!$B:$B,0)),"")</f>
        <v/>
      </c>
      <c r="AS50" s="1" t="str">
        <f>IFERROR(INDEX([1]物品基础表!$A:$A,MATCH(AR50,[1]物品基础表!$B:$B,0)),"")</f>
        <v/>
      </c>
      <c r="AV50" s="1" t="str">
        <f>IFERROR(INDEX([1]物品基础表!$A:$A,MATCH(AU50,[1]物品基础表!$B:$B,0)),"")</f>
        <v/>
      </c>
      <c r="AY50" s="1" t="str">
        <f>IFERROR(INDEX([1]物品基础表!$A:$A,MATCH(AX50,[1]物品基础表!$B:$B,0)),"")</f>
        <v/>
      </c>
      <c r="BB50" s="1" t="str">
        <f>IFERROR(INDEX([1]物品基础表!$A:$A,MATCH(BA50,[1]物品基础表!$B:$B,0)),"")</f>
        <v/>
      </c>
      <c r="BE50" s="1" t="str">
        <f>IFERROR(INDEX([1]物品基础表!$A:$A,MATCH(BD50,[1]物品基础表!$B:$B,0)),"")</f>
        <v/>
      </c>
      <c r="BH50" s="1" t="str">
        <f>IFERROR(INDEX([1]物品基础表!$A:$A,MATCH(BG50,[1]物品基础表!$B:$B,0)),"")</f>
        <v/>
      </c>
      <c r="BK50" s="1" t="str">
        <f>IFERROR(INDEX([1]物品基础表!$A:$A,MATCH(BJ50,[1]物品基础表!$B:$B,0)),"")</f>
        <v/>
      </c>
    </row>
    <row r="51" spans="1:64">
      <c r="A51" s="39" t="str">
        <f>INDEX([2]活动总表!$A$8:$A$429,MATCH(B51,[2]活动总表!$B$8:$B$429,0))</f>
        <v>元旦-爆竹1</v>
      </c>
      <c r="B51" s="40">
        <v>231</v>
      </c>
      <c r="C51" s="40">
        <v>3</v>
      </c>
      <c r="D51" s="40"/>
      <c r="E51" s="40"/>
      <c r="F51" s="40" t="s">
        <v>808</v>
      </c>
      <c r="G51" s="40">
        <v>2</v>
      </c>
      <c r="H51" s="40"/>
      <c r="I51" s="40"/>
      <c r="J51" s="57"/>
      <c r="K51" s="1">
        <v>204030</v>
      </c>
      <c r="L51" s="1" t="str">
        <f>IFERROR(INDEX([1]物品基础表!$A:$A,MATCH(K51,[1]物品基础表!$B:$B,0)),"")</f>
        <v>元旦兑换</v>
      </c>
      <c r="M51" s="1">
        <v>5</v>
      </c>
      <c r="O51" s="1" t="str">
        <f>IFERROR(INDEX([1]物品基础表!$A:$A,MATCH(N51,[1]物品基础表!$B:$B,0)),"")</f>
        <v/>
      </c>
      <c r="R51" s="1" t="str">
        <f>IFERROR(INDEX([1]物品基础表!$A:$A,MATCH(Q51,[1]物品基础表!$B:$B,0)),"")</f>
        <v/>
      </c>
      <c r="U51" s="1" t="str">
        <f>IFERROR(INDEX([1]物品基础表!$A:$A,MATCH(T51,[1]物品基础表!$B:$B,0)),"")</f>
        <v/>
      </c>
      <c r="X51" s="1" t="str">
        <f>IFERROR(INDEX([1]物品基础表!$A:$A,MATCH(W51,[1]物品基础表!$B:$B,0)),"")</f>
        <v/>
      </c>
      <c r="AA51" s="1" t="str">
        <f>IFERROR(INDEX([1]物品基础表!$A:$A,MATCH(Z51,[1]物品基础表!$B:$B,0)),"")</f>
        <v/>
      </c>
      <c r="AD51" s="1" t="str">
        <f>IFERROR(INDEX([1]物品基础表!$A:$A,MATCH(AC51,[1]物品基础表!$B:$B,0)),"")</f>
        <v/>
      </c>
      <c r="AG51" s="1" t="str">
        <f>IFERROR(INDEX([1]物品基础表!$A:$A,MATCH(AF51,[1]物品基础表!$B:$B,0)),"")</f>
        <v/>
      </c>
      <c r="AJ51" s="1" t="str">
        <f>IFERROR(INDEX([1]物品基础表!$A:$A,MATCH(AI51,[1]物品基础表!$B:$B,0)),"")</f>
        <v/>
      </c>
      <c r="AM51" s="1" t="str">
        <f>IFERROR(INDEX([1]物品基础表!$A:$A,MATCH(AL51,[1]物品基础表!$B:$B,0)),"")</f>
        <v/>
      </c>
      <c r="AP51" s="1" t="str">
        <f>IFERROR(INDEX([1]物品基础表!$A:$A,MATCH(AO51,[1]物品基础表!$B:$B,0)),"")</f>
        <v/>
      </c>
      <c r="AS51" s="1" t="str">
        <f>IFERROR(INDEX([1]物品基础表!$A:$A,MATCH(AR51,[1]物品基础表!$B:$B,0)),"")</f>
        <v/>
      </c>
      <c r="AV51" s="1" t="str">
        <f>IFERROR(INDEX([1]物品基础表!$A:$A,MATCH(AU51,[1]物品基础表!$B:$B,0)),"")</f>
        <v/>
      </c>
      <c r="AY51" s="1" t="str">
        <f>IFERROR(INDEX([1]物品基础表!$A:$A,MATCH(AX51,[1]物品基础表!$B:$B,0)),"")</f>
        <v/>
      </c>
      <c r="BB51" s="1" t="str">
        <f>IFERROR(INDEX([1]物品基础表!$A:$A,MATCH(BA51,[1]物品基础表!$B:$B,0)),"")</f>
        <v/>
      </c>
      <c r="BE51" s="1" t="str">
        <f>IFERROR(INDEX([1]物品基础表!$A:$A,MATCH(BD51,[1]物品基础表!$B:$B,0)),"")</f>
        <v/>
      </c>
      <c r="BH51" s="1" t="str">
        <f>IFERROR(INDEX([1]物品基础表!$A:$A,MATCH(BG51,[1]物品基础表!$B:$B,0)),"")</f>
        <v/>
      </c>
      <c r="BK51" s="1" t="str">
        <f>IFERROR(INDEX([1]物品基础表!$A:$A,MATCH(BJ51,[1]物品基础表!$B:$B,0)),"")</f>
        <v/>
      </c>
    </row>
    <row r="52" spans="1:64">
      <c r="A52" s="39" t="str">
        <f>INDEX([2]活动总表!$A$8:$A$429,MATCH(B52,[2]活动总表!$B$8:$B$429,0))</f>
        <v>元旦-爆竹1</v>
      </c>
      <c r="B52" s="40">
        <v>231</v>
      </c>
      <c r="C52" s="40">
        <v>4</v>
      </c>
      <c r="D52" s="40"/>
      <c r="E52" s="40"/>
      <c r="F52" s="40" t="s">
        <v>809</v>
      </c>
      <c r="G52" s="40">
        <v>2</v>
      </c>
      <c r="H52" s="40"/>
      <c r="I52" s="40"/>
      <c r="J52" s="57"/>
      <c r="K52" s="1">
        <v>204030</v>
      </c>
      <c r="L52" s="1" t="str">
        <f>IFERROR(INDEX([1]物品基础表!$A:$A,MATCH(K52,[1]物品基础表!$B:$B,0)),"")</f>
        <v>元旦兑换</v>
      </c>
      <c r="M52" s="1">
        <v>50</v>
      </c>
      <c r="O52" s="1" t="str">
        <f>IFERROR(INDEX([1]物品基础表!$A:$A,MATCH(N52,[1]物品基础表!$B:$B,0)),"")</f>
        <v/>
      </c>
      <c r="R52" s="1" t="str">
        <f>IFERROR(INDEX([1]物品基础表!$A:$A,MATCH(Q52,[1]物品基础表!$B:$B,0)),"")</f>
        <v/>
      </c>
      <c r="U52" s="1" t="str">
        <f>IFERROR(INDEX([1]物品基础表!$A:$A,MATCH(T52,[1]物品基础表!$B:$B,0)),"")</f>
        <v/>
      </c>
      <c r="X52" s="1" t="str">
        <f>IFERROR(INDEX([1]物品基础表!$A:$A,MATCH(W52,[1]物品基础表!$B:$B,0)),"")</f>
        <v/>
      </c>
      <c r="AA52" s="1" t="str">
        <f>IFERROR(INDEX([1]物品基础表!$A:$A,MATCH(Z52,[1]物品基础表!$B:$B,0)),"")</f>
        <v/>
      </c>
      <c r="AD52" s="1" t="str">
        <f>IFERROR(INDEX([1]物品基础表!$A:$A,MATCH(AC52,[1]物品基础表!$B:$B,0)),"")</f>
        <v/>
      </c>
      <c r="AG52" s="1" t="str">
        <f>IFERROR(INDEX([1]物品基础表!$A:$A,MATCH(AF52,[1]物品基础表!$B:$B,0)),"")</f>
        <v/>
      </c>
      <c r="AJ52" s="1" t="str">
        <f>IFERROR(INDEX([1]物品基础表!$A:$A,MATCH(AI52,[1]物品基础表!$B:$B,0)),"")</f>
        <v/>
      </c>
      <c r="AM52" s="1" t="str">
        <f>IFERROR(INDEX([1]物品基础表!$A:$A,MATCH(AL52,[1]物品基础表!$B:$B,0)),"")</f>
        <v/>
      </c>
      <c r="AP52" s="1" t="str">
        <f>IFERROR(INDEX([1]物品基础表!$A:$A,MATCH(AO52,[1]物品基础表!$B:$B,0)),"")</f>
        <v/>
      </c>
      <c r="AS52" s="1" t="str">
        <f>IFERROR(INDEX([1]物品基础表!$A:$A,MATCH(AR52,[1]物品基础表!$B:$B,0)),"")</f>
        <v/>
      </c>
      <c r="AV52" s="1" t="str">
        <f>IFERROR(INDEX([1]物品基础表!$A:$A,MATCH(AU52,[1]物品基础表!$B:$B,0)),"")</f>
        <v/>
      </c>
      <c r="AY52" s="1" t="str">
        <f>IFERROR(INDEX([1]物品基础表!$A:$A,MATCH(AX52,[1]物品基础表!$B:$B,0)),"")</f>
        <v/>
      </c>
      <c r="BB52" s="1" t="str">
        <f>IFERROR(INDEX([1]物品基础表!$A:$A,MATCH(BA52,[1]物品基础表!$B:$B,0)),"")</f>
        <v/>
      </c>
      <c r="BE52" s="1" t="str">
        <f>IFERROR(INDEX([1]物品基础表!$A:$A,MATCH(BD52,[1]物品基础表!$B:$B,0)),"")</f>
        <v/>
      </c>
      <c r="BH52" s="1" t="str">
        <f>IFERROR(INDEX([1]物品基础表!$A:$A,MATCH(BG52,[1]物品基础表!$B:$B,0)),"")</f>
        <v/>
      </c>
      <c r="BK52" s="1" t="str">
        <f>IFERROR(INDEX([1]物品基础表!$A:$A,MATCH(BJ52,[1]物品基础表!$B:$B,0)),"")</f>
        <v/>
      </c>
    </row>
    <row r="53" spans="1:64">
      <c r="A53" s="39" t="str">
        <f>INDEX([2]活动总表!$A$8:$A$429,MATCH(B53,[2]活动总表!$B$8:$B$429,0))</f>
        <v>元旦-爆竹1</v>
      </c>
      <c r="B53" s="40">
        <v>231</v>
      </c>
      <c r="C53" s="40">
        <v>5</v>
      </c>
      <c r="D53" s="40"/>
      <c r="E53" s="40"/>
      <c r="F53" s="40" t="s">
        <v>810</v>
      </c>
      <c r="G53" s="40">
        <v>2</v>
      </c>
      <c r="H53" s="40"/>
      <c r="I53" s="40"/>
      <c r="J53" s="57"/>
      <c r="K53" s="1">
        <v>200311</v>
      </c>
      <c r="L53" s="1" t="str">
        <f>IFERROR(INDEX([1]物品基础表!$A:$A,MATCH(K53,[1]物品基础表!$B:$B,0)),"")</f>
        <v>战神兵魂任选礼包</v>
      </c>
      <c r="M53" s="1">
        <v>1</v>
      </c>
      <c r="O53" s="1" t="str">
        <f>IFERROR(INDEX([1]物品基础表!$A:$A,MATCH(N53,[1]物品基础表!$B:$B,0)),"")</f>
        <v/>
      </c>
      <c r="R53" s="1" t="str">
        <f>IFERROR(INDEX([1]物品基础表!$A:$A,MATCH(Q53,[1]物品基础表!$B:$B,0)),"")</f>
        <v/>
      </c>
      <c r="U53" s="1" t="str">
        <f>IFERROR(INDEX([1]物品基础表!$A:$A,MATCH(T53,[1]物品基础表!$B:$B,0)),"")</f>
        <v/>
      </c>
      <c r="X53" s="1" t="str">
        <f>IFERROR(INDEX([1]物品基础表!$A:$A,MATCH(W53,[1]物品基础表!$B:$B,0)),"")</f>
        <v/>
      </c>
      <c r="AA53" s="1" t="str">
        <f>IFERROR(INDEX([1]物品基础表!$A:$A,MATCH(Z53,[1]物品基础表!$B:$B,0)),"")</f>
        <v/>
      </c>
      <c r="AD53" s="1" t="str">
        <f>IFERROR(INDEX([1]物品基础表!$A:$A,MATCH(AC53,[1]物品基础表!$B:$B,0)),"")</f>
        <v/>
      </c>
      <c r="AG53" s="1" t="str">
        <f>IFERROR(INDEX([1]物品基础表!$A:$A,MATCH(AF53,[1]物品基础表!$B:$B,0)),"")</f>
        <v/>
      </c>
      <c r="AJ53" s="1" t="str">
        <f>IFERROR(INDEX([1]物品基础表!$A:$A,MATCH(AI53,[1]物品基础表!$B:$B,0)),"")</f>
        <v/>
      </c>
      <c r="AM53" s="1" t="str">
        <f>IFERROR(INDEX([1]物品基础表!$A:$A,MATCH(AL53,[1]物品基础表!$B:$B,0)),"")</f>
        <v/>
      </c>
      <c r="AP53" s="1" t="str">
        <f>IFERROR(INDEX([1]物品基础表!$A:$A,MATCH(AO53,[1]物品基础表!$B:$B,0)),"")</f>
        <v/>
      </c>
      <c r="AS53" s="1" t="str">
        <f>IFERROR(INDEX([1]物品基础表!$A:$A,MATCH(AR53,[1]物品基础表!$B:$B,0)),"")</f>
        <v/>
      </c>
      <c r="AV53" s="1" t="str">
        <f>IFERROR(INDEX([1]物品基础表!$A:$A,MATCH(AU53,[1]物品基础表!$B:$B,0)),"")</f>
        <v/>
      </c>
      <c r="AY53" s="1" t="str">
        <f>IFERROR(INDEX([1]物品基础表!$A:$A,MATCH(AX53,[1]物品基础表!$B:$B,0)),"")</f>
        <v/>
      </c>
      <c r="BB53" s="1" t="str">
        <f>IFERROR(INDEX([1]物品基础表!$A:$A,MATCH(BA53,[1]物品基础表!$B:$B,0)),"")</f>
        <v/>
      </c>
      <c r="BE53" s="1" t="str">
        <f>IFERROR(INDEX([1]物品基础表!$A:$A,MATCH(BD53,[1]物品基础表!$B:$B,0)),"")</f>
        <v/>
      </c>
      <c r="BH53" s="1" t="str">
        <f>IFERROR(INDEX([1]物品基础表!$A:$A,MATCH(BG53,[1]物品基础表!$B:$B,0)),"")</f>
        <v/>
      </c>
      <c r="BK53" s="1" t="str">
        <f>IFERROR(INDEX([1]物品基础表!$A:$A,MATCH(BJ53,[1]物品基础表!$B:$B,0)),"")</f>
        <v/>
      </c>
    </row>
    <row r="54" spans="1:64">
      <c r="A54" s="39" t="str">
        <f>INDEX([2]活动总表!$A$8:$A$429,MATCH(B54,[2]活动总表!$B$8:$B$429,0))</f>
        <v>元旦-爆竹1</v>
      </c>
      <c r="B54" s="40">
        <v>231</v>
      </c>
      <c r="C54" s="40">
        <v>6</v>
      </c>
      <c r="D54" s="40"/>
      <c r="E54" s="40"/>
      <c r="F54" s="40" t="s">
        <v>55</v>
      </c>
      <c r="G54" s="40">
        <v>2</v>
      </c>
      <c r="H54" s="40"/>
      <c r="I54" s="40"/>
      <c r="J54" s="57"/>
      <c r="K54" s="1">
        <v>200015</v>
      </c>
      <c r="L54" s="1" t="str">
        <f>IFERROR(INDEX([1]物品基础表!$A:$A,MATCH(K54,[1]物品基础表!$B:$B,0)),"")</f>
        <v>特戒碎片</v>
      </c>
      <c r="M54" s="1">
        <v>100</v>
      </c>
      <c r="O54" s="1" t="str">
        <f>IFERROR(INDEX([1]物品基础表!$A:$A,MATCH(N54,[1]物品基础表!$B:$B,0)),"")</f>
        <v/>
      </c>
      <c r="R54" s="1" t="str">
        <f>IFERROR(INDEX([1]物品基础表!$A:$A,MATCH(Q54,[1]物品基础表!$B:$B,0)),"")</f>
        <v/>
      </c>
      <c r="U54" s="1" t="str">
        <f>IFERROR(INDEX([1]物品基础表!$A:$A,MATCH(T54,[1]物品基础表!$B:$B,0)),"")</f>
        <v/>
      </c>
      <c r="X54" s="1" t="str">
        <f>IFERROR(INDEX([1]物品基础表!$A:$A,MATCH(W54,[1]物品基础表!$B:$B,0)),"")</f>
        <v/>
      </c>
      <c r="AA54" s="1" t="str">
        <f>IFERROR(INDEX([1]物品基础表!$A:$A,MATCH(Z54,[1]物品基础表!$B:$B,0)),"")</f>
        <v/>
      </c>
      <c r="AD54" s="1" t="str">
        <f>IFERROR(INDEX([1]物品基础表!$A:$A,MATCH(AC54,[1]物品基础表!$B:$B,0)),"")</f>
        <v/>
      </c>
      <c r="AG54" s="1" t="str">
        <f>IFERROR(INDEX([1]物品基础表!$A:$A,MATCH(AF54,[1]物品基础表!$B:$B,0)),"")</f>
        <v/>
      </c>
      <c r="AJ54" s="1" t="str">
        <f>IFERROR(INDEX([1]物品基础表!$A:$A,MATCH(AI54,[1]物品基础表!$B:$B,0)),"")</f>
        <v/>
      </c>
      <c r="AM54" s="1" t="str">
        <f>IFERROR(INDEX([1]物品基础表!$A:$A,MATCH(AL54,[1]物品基础表!$B:$B,0)),"")</f>
        <v/>
      </c>
      <c r="AP54" s="1" t="str">
        <f>IFERROR(INDEX([1]物品基础表!$A:$A,MATCH(AO54,[1]物品基础表!$B:$B,0)),"")</f>
        <v/>
      </c>
      <c r="AS54" s="1" t="str">
        <f>IFERROR(INDEX([1]物品基础表!$A:$A,MATCH(AR54,[1]物品基础表!$B:$B,0)),"")</f>
        <v/>
      </c>
      <c r="AV54" s="1" t="str">
        <f>IFERROR(INDEX([1]物品基础表!$A:$A,MATCH(AU54,[1]物品基础表!$B:$B,0)),"")</f>
        <v/>
      </c>
      <c r="AY54" s="1" t="str">
        <f>IFERROR(INDEX([1]物品基础表!$A:$A,MATCH(AX54,[1]物品基础表!$B:$B,0)),"")</f>
        <v/>
      </c>
      <c r="BB54" s="1" t="str">
        <f>IFERROR(INDEX([1]物品基础表!$A:$A,MATCH(BA54,[1]物品基础表!$B:$B,0)),"")</f>
        <v/>
      </c>
      <c r="BE54" s="1" t="str">
        <f>IFERROR(INDEX([1]物品基础表!$A:$A,MATCH(BD54,[1]物品基础表!$B:$B,0)),"")</f>
        <v/>
      </c>
      <c r="BH54" s="1" t="str">
        <f>IFERROR(INDEX([1]物品基础表!$A:$A,MATCH(BG54,[1]物品基础表!$B:$B,0)),"")</f>
        <v/>
      </c>
      <c r="BK54" s="1" t="str">
        <f>IFERROR(INDEX([1]物品基础表!$A:$A,MATCH(BJ54,[1]物品基础表!$B:$B,0)),"")</f>
        <v/>
      </c>
    </row>
    <row r="55" spans="1:64">
      <c r="A55" s="39" t="str">
        <f>INDEX([2]活动总表!$A$8:$A$429,MATCH(B55,[2]活动总表!$B$8:$B$429,0))</f>
        <v>元旦-爆竹1</v>
      </c>
      <c r="B55" s="40">
        <v>231</v>
      </c>
      <c r="C55" s="40">
        <v>7</v>
      </c>
      <c r="D55" s="40"/>
      <c r="E55" s="40"/>
      <c r="F55" s="40" t="s">
        <v>803</v>
      </c>
      <c r="G55" s="40">
        <v>2</v>
      </c>
      <c r="H55" s="40"/>
      <c r="I55" s="40"/>
      <c r="J55" s="57"/>
      <c r="K55" s="1">
        <v>200167</v>
      </c>
      <c r="L55" s="1" t="str">
        <f>IFERROR(INDEX([1]物品基础表!$A:$A,MATCH(K55,[1]物品基础表!$B:$B,0)),"")</f>
        <v>黑铁</v>
      </c>
      <c r="M55" s="1">
        <v>200</v>
      </c>
      <c r="O55" s="1" t="str">
        <f>IFERROR(INDEX([1]物品基础表!$A:$A,MATCH(N55,[1]物品基础表!$B:$B,0)),"")</f>
        <v/>
      </c>
      <c r="R55" s="1" t="str">
        <f>IFERROR(INDEX([1]物品基础表!$A:$A,MATCH(Q55,[1]物品基础表!$B:$B,0)),"")</f>
        <v/>
      </c>
      <c r="U55" s="1" t="str">
        <f>IFERROR(INDEX([1]物品基础表!$A:$A,MATCH(T55,[1]物品基础表!$B:$B,0)),"")</f>
        <v/>
      </c>
      <c r="X55" s="1" t="str">
        <f>IFERROR(INDEX([1]物品基础表!$A:$A,MATCH(W55,[1]物品基础表!$B:$B,0)),"")</f>
        <v/>
      </c>
      <c r="AA55" s="1" t="str">
        <f>IFERROR(INDEX([1]物品基础表!$A:$A,MATCH(Z55,[1]物品基础表!$B:$B,0)),"")</f>
        <v/>
      </c>
      <c r="AD55" s="1" t="str">
        <f>IFERROR(INDEX([1]物品基础表!$A:$A,MATCH(AC55,[1]物品基础表!$B:$B,0)),"")</f>
        <v/>
      </c>
      <c r="AG55" s="1" t="str">
        <f>IFERROR(INDEX([1]物品基础表!$A:$A,MATCH(AF55,[1]物品基础表!$B:$B,0)),"")</f>
        <v/>
      </c>
      <c r="AJ55" s="1" t="str">
        <f>IFERROR(INDEX([1]物品基础表!$A:$A,MATCH(AI55,[1]物品基础表!$B:$B,0)),"")</f>
        <v/>
      </c>
      <c r="AM55" s="1" t="str">
        <f>IFERROR(INDEX([1]物品基础表!$A:$A,MATCH(AL55,[1]物品基础表!$B:$B,0)),"")</f>
        <v/>
      </c>
      <c r="AP55" s="1" t="str">
        <f>IFERROR(INDEX([1]物品基础表!$A:$A,MATCH(AO55,[1]物品基础表!$B:$B,0)),"")</f>
        <v/>
      </c>
      <c r="AS55" s="1" t="str">
        <f>IFERROR(INDEX([1]物品基础表!$A:$A,MATCH(AR55,[1]物品基础表!$B:$B,0)),"")</f>
        <v/>
      </c>
      <c r="AV55" s="1" t="str">
        <f>IFERROR(INDEX([1]物品基础表!$A:$A,MATCH(AU55,[1]物品基础表!$B:$B,0)),"")</f>
        <v/>
      </c>
      <c r="AY55" s="1" t="str">
        <f>IFERROR(INDEX([1]物品基础表!$A:$A,MATCH(AX55,[1]物品基础表!$B:$B,0)),"")</f>
        <v/>
      </c>
      <c r="BB55" s="1" t="str">
        <f>IFERROR(INDEX([1]物品基础表!$A:$A,MATCH(BA55,[1]物品基础表!$B:$B,0)),"")</f>
        <v/>
      </c>
      <c r="BE55" s="1" t="str">
        <f>IFERROR(INDEX([1]物品基础表!$A:$A,MATCH(BD55,[1]物品基础表!$B:$B,0)),"")</f>
        <v/>
      </c>
      <c r="BH55" s="1" t="str">
        <f>IFERROR(INDEX([1]物品基础表!$A:$A,MATCH(BG55,[1]物品基础表!$B:$B,0)),"")</f>
        <v/>
      </c>
      <c r="BK55" s="1" t="str">
        <f>IFERROR(INDEX([1]物品基础表!$A:$A,MATCH(BJ55,[1]物品基础表!$B:$B,0)),"")</f>
        <v/>
      </c>
    </row>
    <row r="56" spans="1:64">
      <c r="A56" s="39" t="str">
        <f>INDEX([2]活动总表!$A$8:$A$429,MATCH(B56,[2]活动总表!$B$8:$B$429,0))</f>
        <v>元旦-爆竹1</v>
      </c>
      <c r="B56" s="40">
        <v>231</v>
      </c>
      <c r="C56" s="40">
        <v>8</v>
      </c>
      <c r="D56" s="40"/>
      <c r="E56" s="40"/>
      <c r="F56" s="40" t="s">
        <v>811</v>
      </c>
      <c r="G56" s="40">
        <v>2</v>
      </c>
      <c r="H56" s="40"/>
      <c r="I56" s="40"/>
      <c r="J56" s="57"/>
      <c r="K56" s="1">
        <v>200001</v>
      </c>
      <c r="L56" s="1" t="str">
        <f>IFERROR(INDEX([1]物品基础表!$A:$A,MATCH(K56,[1]物品基础表!$B:$B,0)),"")</f>
        <v>羽毛</v>
      </c>
      <c r="M56" s="1">
        <v>10</v>
      </c>
      <c r="O56" s="1" t="str">
        <f>IFERROR(INDEX([1]物品基础表!$A:$A,MATCH(N56,[1]物品基础表!$B:$B,0)),"")</f>
        <v/>
      </c>
      <c r="R56" s="1" t="str">
        <f>IFERROR(INDEX([1]物品基础表!$A:$A,MATCH(Q56,[1]物品基础表!$B:$B,0)),"")</f>
        <v/>
      </c>
      <c r="U56" s="1" t="str">
        <f>IFERROR(INDEX([1]物品基础表!$A:$A,MATCH(T56,[1]物品基础表!$B:$B,0)),"")</f>
        <v/>
      </c>
      <c r="X56" s="1" t="str">
        <f>IFERROR(INDEX([1]物品基础表!$A:$A,MATCH(W56,[1]物品基础表!$B:$B,0)),"")</f>
        <v/>
      </c>
      <c r="AA56" s="1" t="str">
        <f>IFERROR(INDEX([1]物品基础表!$A:$A,MATCH(Z56,[1]物品基础表!$B:$B,0)),"")</f>
        <v/>
      </c>
      <c r="AD56" s="1" t="str">
        <f>IFERROR(INDEX([1]物品基础表!$A:$A,MATCH(AC56,[1]物品基础表!$B:$B,0)),"")</f>
        <v/>
      </c>
      <c r="AG56" s="1" t="str">
        <f>IFERROR(INDEX([1]物品基础表!$A:$A,MATCH(AF56,[1]物品基础表!$B:$B,0)),"")</f>
        <v/>
      </c>
      <c r="AJ56" s="1" t="str">
        <f>IFERROR(INDEX([1]物品基础表!$A:$A,MATCH(AI56,[1]物品基础表!$B:$B,0)),"")</f>
        <v/>
      </c>
      <c r="AM56" s="1" t="str">
        <f>IFERROR(INDEX([1]物品基础表!$A:$A,MATCH(AL56,[1]物品基础表!$B:$B,0)),"")</f>
        <v/>
      </c>
      <c r="AP56" s="1" t="str">
        <f>IFERROR(INDEX([1]物品基础表!$A:$A,MATCH(AO56,[1]物品基础表!$B:$B,0)),"")</f>
        <v/>
      </c>
      <c r="AS56" s="1" t="str">
        <f>IFERROR(INDEX([1]物品基础表!$A:$A,MATCH(AR56,[1]物品基础表!$B:$B,0)),"")</f>
        <v/>
      </c>
      <c r="AV56" s="1" t="str">
        <f>IFERROR(INDEX([1]物品基础表!$A:$A,MATCH(AU56,[1]物品基础表!$B:$B,0)),"")</f>
        <v/>
      </c>
      <c r="AY56" s="1" t="str">
        <f>IFERROR(INDEX([1]物品基础表!$A:$A,MATCH(AX56,[1]物品基础表!$B:$B,0)),"")</f>
        <v/>
      </c>
      <c r="BB56" s="1" t="str">
        <f>IFERROR(INDEX([1]物品基础表!$A:$A,MATCH(BA56,[1]物品基础表!$B:$B,0)),"")</f>
        <v/>
      </c>
      <c r="BE56" s="1" t="str">
        <f>IFERROR(INDEX([1]物品基础表!$A:$A,MATCH(BD56,[1]物品基础表!$B:$B,0)),"")</f>
        <v/>
      </c>
      <c r="BH56" s="1" t="str">
        <f>IFERROR(INDEX([1]物品基础表!$A:$A,MATCH(BG56,[1]物品基础表!$B:$B,0)),"")</f>
        <v/>
      </c>
      <c r="BK56" s="1" t="str">
        <f>IFERROR(INDEX([1]物品基础表!$A:$A,MATCH(BJ56,[1]物品基础表!$B:$B,0)),"")</f>
        <v/>
      </c>
    </row>
    <row r="57" spans="1:64">
      <c r="A57" s="39" t="str">
        <f>INDEX([2]活动总表!$A$8:$A$429,MATCH(B57,[2]活动总表!$B$8:$B$429,0))</f>
        <v>圣诞-雪娃1</v>
      </c>
      <c r="B57" s="40">
        <v>253</v>
      </c>
      <c r="C57" s="40">
        <v>0</v>
      </c>
      <c r="D57" s="40"/>
      <c r="E57" s="40">
        <v>998</v>
      </c>
      <c r="F57" s="40"/>
      <c r="G57" s="40">
        <v>2</v>
      </c>
      <c r="H57" s="40"/>
      <c r="I57" s="40"/>
      <c r="J57" s="57"/>
      <c r="L57" s="1" t="str">
        <f>IFERROR(INDEX([1]物品基础表!$A:$A,MATCH(K57,[1]物品基础表!$B:$B,0)),"")</f>
        <v/>
      </c>
      <c r="N57" s="1">
        <v>200953</v>
      </c>
      <c r="O57" s="1" t="str">
        <f>IFERROR(INDEX([1]物品基础表!$A:$A,MATCH(N57,[1]物品基础表!$B:$B,0)),"")</f>
        <v>圣诞福袋1</v>
      </c>
      <c r="P57" s="1">
        <v>1</v>
      </c>
      <c r="Q57" s="1">
        <v>200954</v>
      </c>
      <c r="R57" s="1" t="str">
        <f>IFERROR(INDEX([1]物品基础表!$A:$A,MATCH(Q57,[1]物品基础表!$B:$B,0)),"")</f>
        <v>圣诞福袋2</v>
      </c>
      <c r="S57" s="1">
        <v>1</v>
      </c>
      <c r="T57" s="1">
        <v>200955</v>
      </c>
      <c r="U57" s="1" t="str">
        <f>IFERROR(INDEX([1]物品基础表!$A:$A,MATCH(T57,[1]物品基础表!$B:$B,0)),"")</f>
        <v>圣诞福袋3</v>
      </c>
      <c r="V57" s="1">
        <v>1</v>
      </c>
      <c r="W57" s="32">
        <v>200956</v>
      </c>
      <c r="X57" s="1" t="str">
        <f>IFERROR(INDEX([1]物品基础表!$A:$A,MATCH(W57,[1]物品基础表!$B:$B,0)),"")</f>
        <v>圣诞福袋4</v>
      </c>
      <c r="Y57" s="32">
        <v>1</v>
      </c>
      <c r="Z57" s="1">
        <v>200957</v>
      </c>
      <c r="AA57" s="1" t="str">
        <f>IFERROR(INDEX([1]物品基础表!$A:$A,MATCH(Z57,[1]物品基础表!$B:$B,0)),"")</f>
        <v>圣诞福袋5</v>
      </c>
      <c r="AB57" s="1">
        <v>1</v>
      </c>
      <c r="AD57" s="1" t="str">
        <f>IFERROR(INDEX([1]物品基础表!$A:$A,MATCH(AC57,[1]物品基础表!$B:$B,0)),"")</f>
        <v/>
      </c>
      <c r="AF57" s="1">
        <v>200958</v>
      </c>
      <c r="AG57" s="1" t="str">
        <f>IFERROR(INDEX([1]物品基础表!$A:$A,MATCH(AF57,[1]物品基础表!$B:$B,0)),"")</f>
        <v>圣诞福袋6</v>
      </c>
      <c r="AH57" s="1">
        <v>1</v>
      </c>
      <c r="AI57" s="1">
        <v>200959</v>
      </c>
      <c r="AJ57" s="1" t="str">
        <f>IFERROR(INDEX([1]物品基础表!$A:$A,MATCH(AI57,[1]物品基础表!$B:$B,0)),"")</f>
        <v>圣诞福袋7</v>
      </c>
      <c r="AK57" s="1">
        <v>1</v>
      </c>
      <c r="AL57" s="1">
        <v>200960</v>
      </c>
      <c r="AM57" s="1" t="str">
        <f>IFERROR(INDEX([1]物品基础表!$A:$A,MATCH(AL57,[1]物品基础表!$B:$B,0)),"")</f>
        <v>圣诞福袋8</v>
      </c>
      <c r="AN57" s="1">
        <v>1</v>
      </c>
      <c r="AO57" s="1">
        <v>200961</v>
      </c>
      <c r="AP57" s="1" t="str">
        <f>IFERROR(INDEX([1]物品基础表!$A:$A,MATCH(AO57,[1]物品基础表!$B:$B,0)),"")</f>
        <v>圣诞福袋9</v>
      </c>
      <c r="AQ57" s="1">
        <v>1</v>
      </c>
      <c r="AR57" s="1">
        <v>200962</v>
      </c>
      <c r="AS57" s="1" t="str">
        <f>IFERROR(INDEX([1]物品基础表!$A:$A,MATCH(AR57,[1]物品基础表!$B:$B,0)),"")</f>
        <v>圣诞福袋10</v>
      </c>
      <c r="AT57" s="1">
        <v>1</v>
      </c>
      <c r="AU57" s="1">
        <v>200963</v>
      </c>
      <c r="AV57" s="1" t="str">
        <f>IFERROR(INDEX([1]物品基础表!$A:$A,MATCH(AU57,[1]物品基础表!$B:$B,0)),"")</f>
        <v>圣诞福袋11</v>
      </c>
      <c r="AW57" s="1">
        <v>1</v>
      </c>
      <c r="AX57" s="1">
        <v>200964</v>
      </c>
      <c r="AY57" s="1" t="str">
        <f>IFERROR(INDEX([1]物品基础表!$A:$A,MATCH(AX57,[1]物品基础表!$B:$B,0)),"")</f>
        <v>圣诞福袋12</v>
      </c>
      <c r="AZ57" s="1">
        <v>1</v>
      </c>
      <c r="BA57" s="1">
        <v>200965</v>
      </c>
      <c r="BB57" s="1" t="str">
        <f>IFERROR(INDEX([1]物品基础表!$A:$A,MATCH(BA57,[1]物品基础表!$B:$B,0)),"")</f>
        <v>圣诞福袋13</v>
      </c>
      <c r="BC57" s="1">
        <v>1</v>
      </c>
      <c r="BD57" s="1">
        <v>200966</v>
      </c>
      <c r="BE57" s="1" t="str">
        <f>IFERROR(INDEX([1]物品基础表!$A:$A,MATCH(BD57,[1]物品基础表!$B:$B,0)),"")</f>
        <v>圣诞福袋14</v>
      </c>
      <c r="BF57" s="1">
        <v>1</v>
      </c>
      <c r="BG57" s="1">
        <v>200967</v>
      </c>
      <c r="BH57" s="1" t="str">
        <f>IFERROR(INDEX([1]物品基础表!$A:$A,MATCH(BG57,[1]物品基础表!$B:$B,0)),"")</f>
        <v>圣诞福袋15</v>
      </c>
      <c r="BI57" s="1">
        <v>1</v>
      </c>
      <c r="BJ57" s="1">
        <v>200968</v>
      </c>
      <c r="BK57" s="1" t="str">
        <f>IFERROR(INDEX([1]物品基础表!$A:$A,MATCH(BJ57,[1]物品基础表!$B:$B,0)),"")</f>
        <v>圣诞福袋16</v>
      </c>
      <c r="BL57" s="1">
        <v>1</v>
      </c>
    </row>
    <row r="58" spans="1:64">
      <c r="A58" s="39" t="str">
        <f>INDEX([2]活动总表!$A$8:$A$429,MATCH(B58,[2]活动总表!$B$8:$B$429,0))</f>
        <v>圣诞-雪娃1</v>
      </c>
      <c r="B58" s="40">
        <v>253</v>
      </c>
      <c r="C58" s="40">
        <v>1</v>
      </c>
      <c r="D58" s="40"/>
      <c r="E58" s="40"/>
      <c r="F58" s="40" t="s">
        <v>812</v>
      </c>
      <c r="G58" s="40">
        <v>2</v>
      </c>
      <c r="H58" s="40"/>
      <c r="I58" s="40"/>
      <c r="J58" s="57"/>
      <c r="K58" s="1">
        <v>200317</v>
      </c>
      <c r="L58" s="1" t="str">
        <f>IFERROR(INDEX([1]物品基础表!$A:$A,MATCH(K58,[1]物品基础表!$B:$B,0)),"")</f>
        <v>4阶神羽宝箱</v>
      </c>
      <c r="M58" s="1">
        <v>1</v>
      </c>
      <c r="O58" s="1" t="str">
        <f>IFERROR(INDEX([1]物品基础表!$A:$A,MATCH(N58,[1]物品基础表!$B:$B,0)),"")</f>
        <v/>
      </c>
      <c r="R58" s="1" t="str">
        <f>IFERROR(INDEX([1]物品基础表!$A:$A,MATCH(Q58,[1]物品基础表!$B:$B,0)),"")</f>
        <v/>
      </c>
      <c r="U58" s="1" t="str">
        <f>IFERROR(INDEX([1]物品基础表!$A:$A,MATCH(T58,[1]物品基础表!$B:$B,0)),"")</f>
        <v/>
      </c>
      <c r="X58" s="1" t="str">
        <f>IFERROR(INDEX([1]物品基础表!$A:$A,MATCH(W58,[1]物品基础表!$B:$B,0)),"")</f>
        <v/>
      </c>
      <c r="AA58" s="1" t="str">
        <f>IFERROR(INDEX([1]物品基础表!$A:$A,MATCH(Z58,[1]物品基础表!$B:$B,0)),"")</f>
        <v/>
      </c>
      <c r="AD58" s="1" t="str">
        <f>IFERROR(INDEX([1]物品基础表!$A:$A,MATCH(AC58,[1]物品基础表!$B:$B,0)),"")</f>
        <v/>
      </c>
      <c r="AG58" s="1" t="str">
        <f>IFERROR(INDEX([1]物品基础表!$A:$A,MATCH(AF58,[1]物品基础表!$B:$B,0)),"")</f>
        <v/>
      </c>
      <c r="AJ58" s="1" t="str">
        <f>IFERROR(INDEX([1]物品基础表!$A:$A,MATCH(AI58,[1]物品基础表!$B:$B,0)),"")</f>
        <v/>
      </c>
      <c r="AM58" s="1" t="str">
        <f>IFERROR(INDEX([1]物品基础表!$A:$A,MATCH(AL58,[1]物品基础表!$B:$B,0)),"")</f>
        <v/>
      </c>
      <c r="AP58" s="1" t="str">
        <f>IFERROR(INDEX([1]物品基础表!$A:$A,MATCH(AO58,[1]物品基础表!$B:$B,0)),"")</f>
        <v/>
      </c>
      <c r="AS58" s="1" t="str">
        <f>IFERROR(INDEX([1]物品基础表!$A:$A,MATCH(AR58,[1]物品基础表!$B:$B,0)),"")</f>
        <v/>
      </c>
      <c r="AV58" s="1" t="str">
        <f>IFERROR(INDEX([1]物品基础表!$A:$A,MATCH(AU58,[1]物品基础表!$B:$B,0)),"")</f>
        <v/>
      </c>
      <c r="AY58" s="1" t="str">
        <f>IFERROR(INDEX([1]物品基础表!$A:$A,MATCH(AX58,[1]物品基础表!$B:$B,0)),"")</f>
        <v/>
      </c>
      <c r="BB58" s="1" t="str">
        <f>IFERROR(INDEX([1]物品基础表!$A:$A,MATCH(BA58,[1]物品基础表!$B:$B,0)),"")</f>
        <v/>
      </c>
      <c r="BE58" s="1" t="str">
        <f>IFERROR(INDEX([1]物品基础表!$A:$A,MATCH(BD58,[1]物品基础表!$B:$B,0)),"")</f>
        <v/>
      </c>
      <c r="BH58" s="1" t="str">
        <f>IFERROR(INDEX([1]物品基础表!$A:$A,MATCH(BG58,[1]物品基础表!$B:$B,0)),"")</f>
        <v/>
      </c>
      <c r="BK58" s="1" t="str">
        <f>IFERROR(INDEX([1]物品基础表!$A:$A,MATCH(BJ58,[1]物品基础表!$B:$B,0)),"")</f>
        <v/>
      </c>
    </row>
    <row r="59" spans="1:64">
      <c r="A59" s="39" t="str">
        <f>INDEX([2]活动总表!$A$8:$A$429,MATCH(B59,[2]活动总表!$B$8:$B$429,0))</f>
        <v>圣诞-雪娃1</v>
      </c>
      <c r="B59" s="40">
        <v>253</v>
      </c>
      <c r="C59" s="40">
        <v>2</v>
      </c>
      <c r="D59" s="40"/>
      <c r="E59" s="40"/>
      <c r="F59" s="40" t="s">
        <v>813</v>
      </c>
      <c r="G59" s="40">
        <v>2</v>
      </c>
      <c r="H59" s="40"/>
      <c r="I59" s="40"/>
      <c r="J59" s="57"/>
      <c r="K59" s="1">
        <v>200314</v>
      </c>
      <c r="L59" s="1" t="str">
        <f>IFERROR(INDEX([1]物品基础表!$A:$A,MATCH(K59,[1]物品基础表!$B:$B,0)),"")</f>
        <v>蛊毒兵魂任选礼包</v>
      </c>
      <c r="M59" s="1">
        <v>1</v>
      </c>
      <c r="O59" s="1" t="str">
        <f>IFERROR(INDEX([1]物品基础表!$A:$A,MATCH(N59,[1]物品基础表!$B:$B,0)),"")</f>
        <v/>
      </c>
      <c r="R59" s="1" t="str">
        <f>IFERROR(INDEX([1]物品基础表!$A:$A,MATCH(Q59,[1]物品基础表!$B:$B,0)),"")</f>
        <v/>
      </c>
      <c r="U59" s="1" t="str">
        <f>IFERROR(INDEX([1]物品基础表!$A:$A,MATCH(T59,[1]物品基础表!$B:$B,0)),"")</f>
        <v/>
      </c>
      <c r="X59" s="1" t="str">
        <f>IFERROR(INDEX([1]物品基础表!$A:$A,MATCH(W59,[1]物品基础表!$B:$B,0)),"")</f>
        <v/>
      </c>
      <c r="AA59" s="1" t="str">
        <f>IFERROR(INDEX([1]物品基础表!$A:$A,MATCH(Z59,[1]物品基础表!$B:$B,0)),"")</f>
        <v/>
      </c>
      <c r="AD59" s="1" t="str">
        <f>IFERROR(INDEX([1]物品基础表!$A:$A,MATCH(AC59,[1]物品基础表!$B:$B,0)),"")</f>
        <v/>
      </c>
      <c r="AG59" s="1" t="str">
        <f>IFERROR(INDEX([1]物品基础表!$A:$A,MATCH(AF59,[1]物品基础表!$B:$B,0)),"")</f>
        <v/>
      </c>
      <c r="AJ59" s="1" t="str">
        <f>IFERROR(INDEX([1]物品基础表!$A:$A,MATCH(AI59,[1]物品基础表!$B:$B,0)),"")</f>
        <v/>
      </c>
      <c r="AM59" s="1" t="str">
        <f>IFERROR(INDEX([1]物品基础表!$A:$A,MATCH(AL59,[1]物品基础表!$B:$B,0)),"")</f>
        <v/>
      </c>
      <c r="AP59" s="1" t="str">
        <f>IFERROR(INDEX([1]物品基础表!$A:$A,MATCH(AO59,[1]物品基础表!$B:$B,0)),"")</f>
        <v/>
      </c>
      <c r="AS59" s="1" t="str">
        <f>IFERROR(INDEX([1]物品基础表!$A:$A,MATCH(AR59,[1]物品基础表!$B:$B,0)),"")</f>
        <v/>
      </c>
      <c r="AV59" s="1" t="str">
        <f>IFERROR(INDEX([1]物品基础表!$A:$A,MATCH(AU59,[1]物品基础表!$B:$B,0)),"")</f>
        <v/>
      </c>
      <c r="AY59" s="1" t="str">
        <f>IFERROR(INDEX([1]物品基础表!$A:$A,MATCH(AX59,[1]物品基础表!$B:$B,0)),"")</f>
        <v/>
      </c>
      <c r="BB59" s="1" t="str">
        <f>IFERROR(INDEX([1]物品基础表!$A:$A,MATCH(BA59,[1]物品基础表!$B:$B,0)),"")</f>
        <v/>
      </c>
      <c r="BE59" s="1" t="str">
        <f>IFERROR(INDEX([1]物品基础表!$A:$A,MATCH(BD59,[1]物品基础表!$B:$B,0)),"")</f>
        <v/>
      </c>
      <c r="BH59" s="1" t="str">
        <f>IFERROR(INDEX([1]物品基础表!$A:$A,MATCH(BG59,[1]物品基础表!$B:$B,0)),"")</f>
        <v/>
      </c>
      <c r="BK59" s="1" t="str">
        <f>IFERROR(INDEX([1]物品基础表!$A:$A,MATCH(BJ59,[1]物品基础表!$B:$B,0)),"")</f>
        <v/>
      </c>
    </row>
    <row r="60" spans="1:64">
      <c r="A60" s="39" t="str">
        <f>INDEX([2]活动总表!$A$8:$A$429,MATCH(B60,[2]活动总表!$B$8:$B$429,0))</f>
        <v>圣诞-雪娃1</v>
      </c>
      <c r="B60" s="40">
        <v>253</v>
      </c>
      <c r="C60" s="40">
        <v>3</v>
      </c>
      <c r="D60" s="40"/>
      <c r="E60" s="40"/>
      <c r="F60" s="40" t="s">
        <v>814</v>
      </c>
      <c r="G60" s="40">
        <v>2</v>
      </c>
      <c r="H60" s="40"/>
      <c r="I60" s="40"/>
      <c r="J60" s="57"/>
      <c r="K60" s="1">
        <v>220011</v>
      </c>
      <c r="L60" s="1" t="str">
        <f>IFERROR(INDEX([1]物品基础表!$A:$A,MATCH(K60,[1]物品基础表!$B:$B,0)),"")</f>
        <v>高级秘籍宝箱</v>
      </c>
      <c r="M60" s="1">
        <v>1</v>
      </c>
      <c r="O60" s="1" t="str">
        <f>IFERROR(INDEX([1]物品基础表!$A:$A,MATCH(N60,[1]物品基础表!$B:$B,0)),"")</f>
        <v/>
      </c>
      <c r="R60" s="1" t="str">
        <f>IFERROR(INDEX([1]物品基础表!$A:$A,MATCH(Q60,[1]物品基础表!$B:$B,0)),"")</f>
        <v/>
      </c>
      <c r="U60" s="1" t="str">
        <f>IFERROR(INDEX([1]物品基础表!$A:$A,MATCH(T60,[1]物品基础表!$B:$B,0)),"")</f>
        <v/>
      </c>
      <c r="X60" s="1" t="str">
        <f>IFERROR(INDEX([1]物品基础表!$A:$A,MATCH(W60,[1]物品基础表!$B:$B,0)),"")</f>
        <v/>
      </c>
      <c r="AA60" s="1" t="str">
        <f>IFERROR(INDEX([1]物品基础表!$A:$A,MATCH(Z60,[1]物品基础表!$B:$B,0)),"")</f>
        <v/>
      </c>
      <c r="AD60" s="1" t="str">
        <f>IFERROR(INDEX([1]物品基础表!$A:$A,MATCH(AC60,[1]物品基础表!$B:$B,0)),"")</f>
        <v/>
      </c>
      <c r="AG60" s="1" t="str">
        <f>IFERROR(INDEX([1]物品基础表!$A:$A,MATCH(AF60,[1]物品基础表!$B:$B,0)),"")</f>
        <v/>
      </c>
      <c r="AJ60" s="1" t="str">
        <f>IFERROR(INDEX([1]物品基础表!$A:$A,MATCH(AI60,[1]物品基础表!$B:$B,0)),"")</f>
        <v/>
      </c>
      <c r="AM60" s="1" t="str">
        <f>IFERROR(INDEX([1]物品基础表!$A:$A,MATCH(AL60,[1]物品基础表!$B:$B,0)),"")</f>
        <v/>
      </c>
      <c r="AP60" s="1" t="str">
        <f>IFERROR(INDEX([1]物品基础表!$A:$A,MATCH(AO60,[1]物品基础表!$B:$B,0)),"")</f>
        <v/>
      </c>
      <c r="AS60" s="1" t="str">
        <f>IFERROR(INDEX([1]物品基础表!$A:$A,MATCH(AR60,[1]物品基础表!$B:$B,0)),"")</f>
        <v/>
      </c>
      <c r="AV60" s="1" t="str">
        <f>IFERROR(INDEX([1]物品基础表!$A:$A,MATCH(AU60,[1]物品基础表!$B:$B,0)),"")</f>
        <v/>
      </c>
      <c r="AY60" s="1" t="str">
        <f>IFERROR(INDEX([1]物品基础表!$A:$A,MATCH(AX60,[1]物品基础表!$B:$B,0)),"")</f>
        <v/>
      </c>
      <c r="BB60" s="1" t="str">
        <f>IFERROR(INDEX([1]物品基础表!$A:$A,MATCH(BA60,[1]物品基础表!$B:$B,0)),"")</f>
        <v/>
      </c>
      <c r="BE60" s="1" t="str">
        <f>IFERROR(INDEX([1]物品基础表!$A:$A,MATCH(BD60,[1]物品基础表!$B:$B,0)),"")</f>
        <v/>
      </c>
      <c r="BH60" s="1" t="str">
        <f>IFERROR(INDEX([1]物品基础表!$A:$A,MATCH(BG60,[1]物品基础表!$B:$B,0)),"")</f>
        <v/>
      </c>
      <c r="BK60" s="1" t="str">
        <f>IFERROR(INDEX([1]物品基础表!$A:$A,MATCH(BJ60,[1]物品基础表!$B:$B,0)),"")</f>
        <v/>
      </c>
    </row>
    <row r="61" spans="1:64">
      <c r="A61" s="39" t="str">
        <f>INDEX([2]活动总表!$A$8:$A$429,MATCH(B61,[2]活动总表!$B$8:$B$429,0))</f>
        <v>圣诞-雪娃1</v>
      </c>
      <c r="B61" s="40">
        <v>253</v>
      </c>
      <c r="C61" s="40">
        <v>4</v>
      </c>
      <c r="D61" s="40"/>
      <c r="E61" s="40"/>
      <c r="F61" s="40" t="s">
        <v>815</v>
      </c>
      <c r="G61" s="40">
        <v>2</v>
      </c>
      <c r="H61" s="40"/>
      <c r="I61" s="40"/>
      <c r="J61" s="57"/>
      <c r="K61" s="1">
        <v>204051</v>
      </c>
      <c r="L61" s="1" t="str">
        <f>IFERROR(INDEX([1]物品基础表!$A:$A,MATCH(K61,[1]物品基础表!$B:$B,0)),"")</f>
        <v>1阶神羽宝箱</v>
      </c>
      <c r="M61" s="1">
        <v>1</v>
      </c>
      <c r="O61" s="1" t="str">
        <f>IFERROR(INDEX([1]物品基础表!$A:$A,MATCH(N61,[1]物品基础表!$B:$B,0)),"")</f>
        <v/>
      </c>
      <c r="R61" s="1" t="str">
        <f>IFERROR(INDEX([1]物品基础表!$A:$A,MATCH(Q61,[1]物品基础表!$B:$B,0)),"")</f>
        <v/>
      </c>
      <c r="U61" s="1" t="str">
        <f>IFERROR(INDEX([1]物品基础表!$A:$A,MATCH(T61,[1]物品基础表!$B:$B,0)),"")</f>
        <v/>
      </c>
      <c r="X61" s="1" t="str">
        <f>IFERROR(INDEX([1]物品基础表!$A:$A,MATCH(W61,[1]物品基础表!$B:$B,0)),"")</f>
        <v/>
      </c>
      <c r="AA61" s="1" t="str">
        <f>IFERROR(INDEX([1]物品基础表!$A:$A,MATCH(Z61,[1]物品基础表!$B:$B,0)),"")</f>
        <v/>
      </c>
      <c r="AD61" s="1" t="str">
        <f>IFERROR(INDEX([1]物品基础表!$A:$A,MATCH(AC61,[1]物品基础表!$B:$B,0)),"")</f>
        <v/>
      </c>
      <c r="AG61" s="1" t="str">
        <f>IFERROR(INDEX([1]物品基础表!$A:$A,MATCH(AF61,[1]物品基础表!$B:$B,0)),"")</f>
        <v/>
      </c>
      <c r="AJ61" s="1" t="str">
        <f>IFERROR(INDEX([1]物品基础表!$A:$A,MATCH(AI61,[1]物品基础表!$B:$B,0)),"")</f>
        <v/>
      </c>
      <c r="AM61" s="1" t="str">
        <f>IFERROR(INDEX([1]物品基础表!$A:$A,MATCH(AL61,[1]物品基础表!$B:$B,0)),"")</f>
        <v/>
      </c>
      <c r="AP61" s="1" t="str">
        <f>IFERROR(INDEX([1]物品基础表!$A:$A,MATCH(AO61,[1]物品基础表!$B:$B,0)),"")</f>
        <v/>
      </c>
      <c r="AS61" s="1" t="str">
        <f>IFERROR(INDEX([1]物品基础表!$A:$A,MATCH(AR61,[1]物品基础表!$B:$B,0)),"")</f>
        <v/>
      </c>
      <c r="AV61" s="1" t="str">
        <f>IFERROR(INDEX([1]物品基础表!$A:$A,MATCH(AU61,[1]物品基础表!$B:$B,0)),"")</f>
        <v/>
      </c>
      <c r="AY61" s="1" t="str">
        <f>IFERROR(INDEX([1]物品基础表!$A:$A,MATCH(AX61,[1]物品基础表!$B:$B,0)),"")</f>
        <v/>
      </c>
      <c r="BB61" s="1" t="str">
        <f>IFERROR(INDEX([1]物品基础表!$A:$A,MATCH(BA61,[1]物品基础表!$B:$B,0)),"")</f>
        <v/>
      </c>
      <c r="BE61" s="1" t="str">
        <f>IFERROR(INDEX([1]物品基础表!$A:$A,MATCH(BD61,[1]物品基础表!$B:$B,0)),"")</f>
        <v/>
      </c>
      <c r="BH61" s="1" t="str">
        <f>IFERROR(INDEX([1]物品基础表!$A:$A,MATCH(BG61,[1]物品基础表!$B:$B,0)),"")</f>
        <v/>
      </c>
      <c r="BK61" s="1" t="str">
        <f>IFERROR(INDEX([1]物品基础表!$A:$A,MATCH(BJ61,[1]物品基础表!$B:$B,0)),"")</f>
        <v/>
      </c>
    </row>
    <row r="62" spans="1:64">
      <c r="A62" s="39" t="str">
        <f>INDEX([2]活动总表!$A$8:$A$429,MATCH(B62,[2]活动总表!$B$8:$B$429,0))</f>
        <v>圣诞-雪娃1</v>
      </c>
      <c r="B62" s="40">
        <v>253</v>
      </c>
      <c r="C62" s="40">
        <v>5</v>
      </c>
      <c r="D62" s="40"/>
      <c r="E62" s="40"/>
      <c r="F62" s="40" t="s">
        <v>816</v>
      </c>
      <c r="G62" s="40">
        <v>2</v>
      </c>
      <c r="H62" s="40"/>
      <c r="I62" s="40"/>
      <c r="J62" s="57"/>
      <c r="K62" s="1">
        <v>200001</v>
      </c>
      <c r="L62" s="1" t="str">
        <f>IFERROR(INDEX([1]物品基础表!$A:$A,MATCH(K62,[1]物品基础表!$B:$B,0)),"")</f>
        <v>羽毛</v>
      </c>
      <c r="M62" s="1">
        <v>10</v>
      </c>
      <c r="O62" s="1" t="str">
        <f>IFERROR(INDEX([1]物品基础表!$A:$A,MATCH(N62,[1]物品基础表!$B:$B,0)),"")</f>
        <v/>
      </c>
      <c r="R62" s="1" t="str">
        <f>IFERROR(INDEX([1]物品基础表!$A:$A,MATCH(Q62,[1]物品基础表!$B:$B,0)),"")</f>
        <v/>
      </c>
      <c r="U62" s="1" t="str">
        <f>IFERROR(INDEX([1]物品基础表!$A:$A,MATCH(T62,[1]物品基础表!$B:$B,0)),"")</f>
        <v/>
      </c>
      <c r="X62" s="1" t="str">
        <f>IFERROR(INDEX([1]物品基础表!$A:$A,MATCH(W62,[1]物品基础表!$B:$B,0)),"")</f>
        <v/>
      </c>
      <c r="AA62" s="1" t="str">
        <f>IFERROR(INDEX([1]物品基础表!$A:$A,MATCH(Z62,[1]物品基础表!$B:$B,0)),"")</f>
        <v/>
      </c>
      <c r="AD62" s="1" t="str">
        <f>IFERROR(INDEX([1]物品基础表!$A:$A,MATCH(AC62,[1]物品基础表!$B:$B,0)),"")</f>
        <v/>
      </c>
      <c r="AG62" s="1" t="str">
        <f>IFERROR(INDEX([1]物品基础表!$A:$A,MATCH(AF62,[1]物品基础表!$B:$B,0)),"")</f>
        <v/>
      </c>
      <c r="AJ62" s="1" t="str">
        <f>IFERROR(INDEX([1]物品基础表!$A:$A,MATCH(AI62,[1]物品基础表!$B:$B,0)),"")</f>
        <v/>
      </c>
      <c r="AM62" s="1" t="str">
        <f>IFERROR(INDEX([1]物品基础表!$A:$A,MATCH(AL62,[1]物品基础表!$B:$B,0)),"")</f>
        <v/>
      </c>
      <c r="AP62" s="1" t="str">
        <f>IFERROR(INDEX([1]物品基础表!$A:$A,MATCH(AO62,[1]物品基础表!$B:$B,0)),"")</f>
        <v/>
      </c>
      <c r="AS62" s="1" t="str">
        <f>IFERROR(INDEX([1]物品基础表!$A:$A,MATCH(AR62,[1]物品基础表!$B:$B,0)),"")</f>
        <v/>
      </c>
      <c r="AV62" s="1" t="str">
        <f>IFERROR(INDEX([1]物品基础表!$A:$A,MATCH(AU62,[1]物品基础表!$B:$B,0)),"")</f>
        <v/>
      </c>
      <c r="AY62" s="1" t="str">
        <f>IFERROR(INDEX([1]物品基础表!$A:$A,MATCH(AX62,[1]物品基础表!$B:$B,0)),"")</f>
        <v/>
      </c>
      <c r="BB62" s="1" t="str">
        <f>IFERROR(INDEX([1]物品基础表!$A:$A,MATCH(BA62,[1]物品基础表!$B:$B,0)),"")</f>
        <v/>
      </c>
      <c r="BE62" s="1" t="str">
        <f>IFERROR(INDEX([1]物品基础表!$A:$A,MATCH(BD62,[1]物品基础表!$B:$B,0)),"")</f>
        <v/>
      </c>
      <c r="BH62" s="1" t="str">
        <f>IFERROR(INDEX([1]物品基础表!$A:$A,MATCH(BG62,[1]物品基础表!$B:$B,0)),"")</f>
        <v/>
      </c>
      <c r="BK62" s="1" t="str">
        <f>IFERROR(INDEX([1]物品基础表!$A:$A,MATCH(BJ62,[1]物品基础表!$B:$B,0)),"")</f>
        <v/>
      </c>
    </row>
    <row r="63" spans="1:64">
      <c r="A63" s="39" t="str">
        <f>INDEX([2]活动总表!$A$8:$A$429,MATCH(B63,[2]活动总表!$B$8:$B$429,0))</f>
        <v>圣诞-雪娃1</v>
      </c>
      <c r="B63" s="40">
        <v>253</v>
      </c>
      <c r="C63" s="40">
        <v>6</v>
      </c>
      <c r="D63" s="40"/>
      <c r="E63" s="40"/>
      <c r="F63" s="40" t="s">
        <v>817</v>
      </c>
      <c r="G63" s="40">
        <v>2</v>
      </c>
      <c r="H63" s="40"/>
      <c r="I63" s="40"/>
      <c r="J63" s="57"/>
      <c r="K63" s="1">
        <v>500005</v>
      </c>
      <c r="L63" s="1" t="str">
        <f>IFERROR(INDEX([1]物品基础表!$A:$A,MATCH(K63,[1]物品基础表!$B:$B,0)),"")</f>
        <v>战纹精华-红</v>
      </c>
      <c r="M63" s="1">
        <v>1</v>
      </c>
      <c r="O63" s="1" t="str">
        <f>IFERROR(INDEX([1]物品基础表!$A:$A,MATCH(N63,[1]物品基础表!$B:$B,0)),"")</f>
        <v/>
      </c>
      <c r="R63" s="1" t="str">
        <f>IFERROR(INDEX([1]物品基础表!$A:$A,MATCH(Q63,[1]物品基础表!$B:$B,0)),"")</f>
        <v/>
      </c>
      <c r="U63" s="1" t="str">
        <f>IFERROR(INDEX([1]物品基础表!$A:$A,MATCH(T63,[1]物品基础表!$B:$B,0)),"")</f>
        <v/>
      </c>
      <c r="X63" s="1" t="str">
        <f>IFERROR(INDEX([1]物品基础表!$A:$A,MATCH(W63,[1]物品基础表!$B:$B,0)),"")</f>
        <v/>
      </c>
      <c r="AA63" s="1" t="str">
        <f>IFERROR(INDEX([1]物品基础表!$A:$A,MATCH(Z63,[1]物品基础表!$B:$B,0)),"")</f>
        <v/>
      </c>
      <c r="AD63" s="1" t="str">
        <f>IFERROR(INDEX([1]物品基础表!$A:$A,MATCH(AC63,[1]物品基础表!$B:$B,0)),"")</f>
        <v/>
      </c>
      <c r="AG63" s="1" t="str">
        <f>IFERROR(INDEX([1]物品基础表!$A:$A,MATCH(AF63,[1]物品基础表!$B:$B,0)),"")</f>
        <v/>
      </c>
      <c r="AJ63" s="1" t="str">
        <f>IFERROR(INDEX([1]物品基础表!$A:$A,MATCH(AI63,[1]物品基础表!$B:$B,0)),"")</f>
        <v/>
      </c>
      <c r="AM63" s="1" t="str">
        <f>IFERROR(INDEX([1]物品基础表!$A:$A,MATCH(AL63,[1]物品基础表!$B:$B,0)),"")</f>
        <v/>
      </c>
      <c r="AP63" s="1" t="str">
        <f>IFERROR(INDEX([1]物品基础表!$A:$A,MATCH(AO63,[1]物品基础表!$B:$B,0)),"")</f>
        <v/>
      </c>
      <c r="AS63" s="1" t="str">
        <f>IFERROR(INDEX([1]物品基础表!$A:$A,MATCH(AR63,[1]物品基础表!$B:$B,0)),"")</f>
        <v/>
      </c>
      <c r="AV63" s="1" t="str">
        <f>IFERROR(INDEX([1]物品基础表!$A:$A,MATCH(AU63,[1]物品基础表!$B:$B,0)),"")</f>
        <v/>
      </c>
      <c r="AY63" s="1" t="str">
        <f>IFERROR(INDEX([1]物品基础表!$A:$A,MATCH(AX63,[1]物品基础表!$B:$B,0)),"")</f>
        <v/>
      </c>
      <c r="BB63" s="1" t="str">
        <f>IFERROR(INDEX([1]物品基础表!$A:$A,MATCH(BA63,[1]物品基础表!$B:$B,0)),"")</f>
        <v/>
      </c>
      <c r="BE63" s="1" t="str">
        <f>IFERROR(INDEX([1]物品基础表!$A:$A,MATCH(BD63,[1]物品基础表!$B:$B,0)),"")</f>
        <v/>
      </c>
      <c r="BH63" s="1" t="str">
        <f>IFERROR(INDEX([1]物品基础表!$A:$A,MATCH(BG63,[1]物品基础表!$B:$B,0)),"")</f>
        <v/>
      </c>
      <c r="BK63" s="1" t="str">
        <f>IFERROR(INDEX([1]物品基础表!$A:$A,MATCH(BJ63,[1]物品基础表!$B:$B,0)),"")</f>
        <v/>
      </c>
    </row>
    <row r="64" spans="1:64">
      <c r="A64" s="39" t="str">
        <f>INDEX([2]活动总表!$A$8:$A$429,MATCH(B64,[2]活动总表!$B$8:$B$429,0))</f>
        <v>圣诞-雪娃1</v>
      </c>
      <c r="B64" s="40">
        <v>253</v>
      </c>
      <c r="C64" s="40">
        <v>7</v>
      </c>
      <c r="D64" s="40"/>
      <c r="E64" s="40"/>
      <c r="F64" s="40" t="s">
        <v>817</v>
      </c>
      <c r="G64" s="40">
        <v>2</v>
      </c>
      <c r="H64" s="40"/>
      <c r="I64" s="40"/>
      <c r="J64" s="57"/>
      <c r="K64" s="1">
        <v>200015</v>
      </c>
      <c r="L64" s="1" t="str">
        <f>IFERROR(INDEX([1]物品基础表!$A:$A,MATCH(K64,[1]物品基础表!$B:$B,0)),"")</f>
        <v>特戒碎片</v>
      </c>
      <c r="M64" s="1">
        <v>50</v>
      </c>
      <c r="O64" s="1" t="str">
        <f>IFERROR(INDEX([1]物品基础表!$A:$A,MATCH(N64,[1]物品基础表!$B:$B,0)),"")</f>
        <v/>
      </c>
      <c r="R64" s="1" t="str">
        <f>IFERROR(INDEX([1]物品基础表!$A:$A,MATCH(Q64,[1]物品基础表!$B:$B,0)),"")</f>
        <v/>
      </c>
      <c r="U64" s="1" t="str">
        <f>IFERROR(INDEX([1]物品基础表!$A:$A,MATCH(T64,[1]物品基础表!$B:$B,0)),"")</f>
        <v/>
      </c>
      <c r="X64" s="1" t="str">
        <f>IFERROR(INDEX([1]物品基础表!$A:$A,MATCH(W64,[1]物品基础表!$B:$B,0)),"")</f>
        <v/>
      </c>
      <c r="AA64" s="1" t="str">
        <f>IFERROR(INDEX([1]物品基础表!$A:$A,MATCH(Z64,[1]物品基础表!$B:$B,0)),"")</f>
        <v/>
      </c>
      <c r="AD64" s="1" t="str">
        <f>IFERROR(INDEX([1]物品基础表!$A:$A,MATCH(AC64,[1]物品基础表!$B:$B,0)),"")</f>
        <v/>
      </c>
      <c r="AG64" s="1" t="str">
        <f>IFERROR(INDEX([1]物品基础表!$A:$A,MATCH(AF64,[1]物品基础表!$B:$B,0)),"")</f>
        <v/>
      </c>
      <c r="AJ64" s="1" t="str">
        <f>IFERROR(INDEX([1]物品基础表!$A:$A,MATCH(AI64,[1]物品基础表!$B:$B,0)),"")</f>
        <v/>
      </c>
      <c r="AM64" s="1" t="str">
        <f>IFERROR(INDEX([1]物品基础表!$A:$A,MATCH(AL64,[1]物品基础表!$B:$B,0)),"")</f>
        <v/>
      </c>
      <c r="AP64" s="1" t="str">
        <f>IFERROR(INDEX([1]物品基础表!$A:$A,MATCH(AO64,[1]物品基础表!$B:$B,0)),"")</f>
        <v/>
      </c>
      <c r="AS64" s="1" t="str">
        <f>IFERROR(INDEX([1]物品基础表!$A:$A,MATCH(AR64,[1]物品基础表!$B:$B,0)),"")</f>
        <v/>
      </c>
      <c r="AV64" s="1" t="str">
        <f>IFERROR(INDEX([1]物品基础表!$A:$A,MATCH(AU64,[1]物品基础表!$B:$B,0)),"")</f>
        <v/>
      </c>
      <c r="AY64" s="1" t="str">
        <f>IFERROR(INDEX([1]物品基础表!$A:$A,MATCH(AX64,[1]物品基础表!$B:$B,0)),"")</f>
        <v/>
      </c>
      <c r="BB64" s="1" t="str">
        <f>IFERROR(INDEX([1]物品基础表!$A:$A,MATCH(BA64,[1]物品基础表!$B:$B,0)),"")</f>
        <v/>
      </c>
      <c r="BE64" s="1" t="str">
        <f>IFERROR(INDEX([1]物品基础表!$A:$A,MATCH(BD64,[1]物品基础表!$B:$B,0)),"")</f>
        <v/>
      </c>
      <c r="BH64" s="1" t="str">
        <f>IFERROR(INDEX([1]物品基础表!$A:$A,MATCH(BG64,[1]物品基础表!$B:$B,0)),"")</f>
        <v/>
      </c>
      <c r="BK64" s="1" t="str">
        <f>IFERROR(INDEX([1]物品基础表!$A:$A,MATCH(BJ64,[1]物品基础表!$B:$B,0)),"")</f>
        <v/>
      </c>
    </row>
    <row r="65" spans="1:64">
      <c r="A65" s="39" t="str">
        <f>INDEX([2]活动总表!$A$8:$A$429,MATCH(B65,[2]活动总表!$B$8:$B$429,0))</f>
        <v>圣诞-雪娃1</v>
      </c>
      <c r="B65" s="40">
        <v>253</v>
      </c>
      <c r="C65" s="40">
        <v>8</v>
      </c>
      <c r="D65" s="40"/>
      <c r="E65" s="40"/>
      <c r="F65" s="40" t="s">
        <v>818</v>
      </c>
      <c r="G65" s="40">
        <v>2</v>
      </c>
      <c r="H65" s="40"/>
      <c r="I65" s="40"/>
      <c r="J65" s="57"/>
      <c r="K65" s="1">
        <v>200167</v>
      </c>
      <c r="L65" s="1" t="str">
        <f>IFERROR(INDEX([1]物品基础表!$A:$A,MATCH(K65,[1]物品基础表!$B:$B,0)),"")</f>
        <v>黑铁</v>
      </c>
      <c r="M65" s="1">
        <v>500</v>
      </c>
      <c r="O65" s="1" t="str">
        <f>IFERROR(INDEX([1]物品基础表!$A:$A,MATCH(N65,[1]物品基础表!$B:$B,0)),"")</f>
        <v/>
      </c>
      <c r="R65" s="1" t="str">
        <f>IFERROR(INDEX([1]物品基础表!$A:$A,MATCH(Q65,[1]物品基础表!$B:$B,0)),"")</f>
        <v/>
      </c>
      <c r="U65" s="1" t="str">
        <f>IFERROR(INDEX([1]物品基础表!$A:$A,MATCH(T65,[1]物品基础表!$B:$B,0)),"")</f>
        <v/>
      </c>
      <c r="X65" s="1" t="str">
        <f>IFERROR(INDEX([1]物品基础表!$A:$A,MATCH(W65,[1]物品基础表!$B:$B,0)),"")</f>
        <v/>
      </c>
      <c r="AA65" s="1" t="str">
        <f>IFERROR(INDEX([1]物品基础表!$A:$A,MATCH(Z65,[1]物品基础表!$B:$B,0)),"")</f>
        <v/>
      </c>
      <c r="AD65" s="1" t="str">
        <f>IFERROR(INDEX([1]物品基础表!$A:$A,MATCH(AC65,[1]物品基础表!$B:$B,0)),"")</f>
        <v/>
      </c>
      <c r="AG65" s="1" t="str">
        <f>IFERROR(INDEX([1]物品基础表!$A:$A,MATCH(AF65,[1]物品基础表!$B:$B,0)),"")</f>
        <v/>
      </c>
      <c r="AJ65" s="1" t="str">
        <f>IFERROR(INDEX([1]物品基础表!$A:$A,MATCH(AI65,[1]物品基础表!$B:$B,0)),"")</f>
        <v/>
      </c>
      <c r="AM65" s="1" t="str">
        <f>IFERROR(INDEX([1]物品基础表!$A:$A,MATCH(AL65,[1]物品基础表!$B:$B,0)),"")</f>
        <v/>
      </c>
      <c r="AP65" s="1" t="str">
        <f>IFERROR(INDEX([1]物品基础表!$A:$A,MATCH(AO65,[1]物品基础表!$B:$B,0)),"")</f>
        <v/>
      </c>
      <c r="AS65" s="1" t="str">
        <f>IFERROR(INDEX([1]物品基础表!$A:$A,MATCH(AR65,[1]物品基础表!$B:$B,0)),"")</f>
        <v/>
      </c>
      <c r="AV65" s="1" t="str">
        <f>IFERROR(INDEX([1]物品基础表!$A:$A,MATCH(AU65,[1]物品基础表!$B:$B,0)),"")</f>
        <v/>
      </c>
      <c r="AY65" s="1" t="str">
        <f>IFERROR(INDEX([1]物品基础表!$A:$A,MATCH(AX65,[1]物品基础表!$B:$B,0)),"")</f>
        <v/>
      </c>
      <c r="BB65" s="1" t="str">
        <f>IFERROR(INDEX([1]物品基础表!$A:$A,MATCH(BA65,[1]物品基础表!$B:$B,0)),"")</f>
        <v/>
      </c>
      <c r="BE65" s="1" t="str">
        <f>IFERROR(INDEX([1]物品基础表!$A:$A,MATCH(BD65,[1]物品基础表!$B:$B,0)),"")</f>
        <v/>
      </c>
      <c r="BH65" s="1" t="str">
        <f>IFERROR(INDEX([1]物品基础表!$A:$A,MATCH(BG65,[1]物品基础表!$B:$B,0)),"")</f>
        <v/>
      </c>
      <c r="BK65" s="1" t="str">
        <f>IFERROR(INDEX([1]物品基础表!$A:$A,MATCH(BJ65,[1]物品基础表!$B:$B,0)),"")</f>
        <v/>
      </c>
    </row>
    <row r="66" spans="1:64">
      <c r="A66" s="39" t="str">
        <f>INDEX([2]活动总表!$A$8:$A$429,MATCH(B66,[2]活动总表!$B$8:$B$429,0))</f>
        <v>圣诞-雪娃1</v>
      </c>
      <c r="B66" s="40">
        <v>253</v>
      </c>
      <c r="C66" s="40">
        <v>9</v>
      </c>
      <c r="D66" s="40"/>
      <c r="E66" s="40"/>
      <c r="F66" s="40" t="s">
        <v>819</v>
      </c>
      <c r="G66" s="40">
        <v>2</v>
      </c>
      <c r="H66" s="40"/>
      <c r="I66" s="40"/>
      <c r="J66" s="57"/>
      <c r="K66" s="1">
        <v>200005</v>
      </c>
      <c r="L66" s="1" t="str">
        <f>IFERROR(INDEX([1]物品基础表!$A:$A,MATCH(K66,[1]物品基础表!$B:$B,0)),"")</f>
        <v>龙魂碎片</v>
      </c>
      <c r="M66" s="1">
        <v>10</v>
      </c>
      <c r="O66" s="1" t="str">
        <f>IFERROR(INDEX([1]物品基础表!$A:$A,MATCH(N66,[1]物品基础表!$B:$B,0)),"")</f>
        <v/>
      </c>
      <c r="R66" s="1" t="str">
        <f>IFERROR(INDEX([1]物品基础表!$A:$A,MATCH(Q66,[1]物品基础表!$B:$B,0)),"")</f>
        <v/>
      </c>
      <c r="U66" s="1" t="str">
        <f>IFERROR(INDEX([1]物品基础表!$A:$A,MATCH(T66,[1]物品基础表!$B:$B,0)),"")</f>
        <v/>
      </c>
      <c r="X66" s="1" t="str">
        <f>IFERROR(INDEX([1]物品基础表!$A:$A,MATCH(W66,[1]物品基础表!$B:$B,0)),"")</f>
        <v/>
      </c>
      <c r="AA66" s="1" t="str">
        <f>IFERROR(INDEX([1]物品基础表!$A:$A,MATCH(Z66,[1]物品基础表!$B:$B,0)),"")</f>
        <v/>
      </c>
      <c r="AD66" s="1" t="str">
        <f>IFERROR(INDEX([1]物品基础表!$A:$A,MATCH(AC66,[1]物品基础表!$B:$B,0)),"")</f>
        <v/>
      </c>
      <c r="AG66" s="1" t="str">
        <f>IFERROR(INDEX([1]物品基础表!$A:$A,MATCH(AF66,[1]物品基础表!$B:$B,0)),"")</f>
        <v/>
      </c>
      <c r="AJ66" s="1" t="str">
        <f>IFERROR(INDEX([1]物品基础表!$A:$A,MATCH(AI66,[1]物品基础表!$B:$B,0)),"")</f>
        <v/>
      </c>
      <c r="AM66" s="1" t="str">
        <f>IFERROR(INDEX([1]物品基础表!$A:$A,MATCH(AL66,[1]物品基础表!$B:$B,0)),"")</f>
        <v/>
      </c>
      <c r="AP66" s="1" t="str">
        <f>IFERROR(INDEX([1]物品基础表!$A:$A,MATCH(AO66,[1]物品基础表!$B:$B,0)),"")</f>
        <v/>
      </c>
      <c r="AS66" s="1" t="str">
        <f>IFERROR(INDEX([1]物品基础表!$A:$A,MATCH(AR66,[1]物品基础表!$B:$B,0)),"")</f>
        <v/>
      </c>
      <c r="AV66" s="1" t="str">
        <f>IFERROR(INDEX([1]物品基础表!$A:$A,MATCH(AU66,[1]物品基础表!$B:$B,0)),"")</f>
        <v/>
      </c>
      <c r="AY66" s="1" t="str">
        <f>IFERROR(INDEX([1]物品基础表!$A:$A,MATCH(AX66,[1]物品基础表!$B:$B,0)),"")</f>
        <v/>
      </c>
      <c r="BB66" s="1" t="str">
        <f>IFERROR(INDEX([1]物品基础表!$A:$A,MATCH(BA66,[1]物品基础表!$B:$B,0)),"")</f>
        <v/>
      </c>
      <c r="BE66" s="1" t="str">
        <f>IFERROR(INDEX([1]物品基础表!$A:$A,MATCH(BD66,[1]物品基础表!$B:$B,0)),"")</f>
        <v/>
      </c>
      <c r="BH66" s="1" t="str">
        <f>IFERROR(INDEX([1]物品基础表!$A:$A,MATCH(BG66,[1]物品基础表!$B:$B,0)),"")</f>
        <v/>
      </c>
      <c r="BK66" s="1" t="str">
        <f>IFERROR(INDEX([1]物品基础表!$A:$A,MATCH(BJ66,[1]物品基础表!$B:$B,0)),"")</f>
        <v/>
      </c>
    </row>
    <row r="67" spans="1:64">
      <c r="A67" s="39" t="str">
        <f>INDEX([2]活动总表!$A$8:$A$429,MATCH(B67,[2]活动总表!$B$8:$B$429,0))</f>
        <v>暖冬活动-幸运转盘</v>
      </c>
      <c r="B67" s="40">
        <v>272</v>
      </c>
      <c r="C67" s="40">
        <v>0</v>
      </c>
      <c r="D67" s="40"/>
      <c r="E67" s="40">
        <v>500</v>
      </c>
      <c r="F67" s="40"/>
      <c r="G67" s="40">
        <v>3</v>
      </c>
      <c r="H67" s="40">
        <v>1</v>
      </c>
      <c r="I67" s="40"/>
      <c r="J67" s="57"/>
      <c r="K67" s="1" t="s">
        <v>900</v>
      </c>
      <c r="L67" s="1" t="str">
        <f>IFERROR(INDEX([1]物品基础表!$A:$A,MATCH(K67,[1]物品基础表!$B:$B,0)),"")</f>
        <v/>
      </c>
      <c r="O67" s="1" t="str">
        <f>IFERROR(INDEX([1]物品基础表!$A:$A,MATCH(N67,[1]物品基础表!$B:$B,0)),"")</f>
        <v/>
      </c>
      <c r="Q67" s="1">
        <v>202002</v>
      </c>
      <c r="R67" s="1" t="str">
        <f>IFERROR(INDEX([1]物品基础表!$A:$A,MATCH(Q67,[1]物品基础表!$B:$B,0)),"")</f>
        <v>烈焰戒指技能2书</v>
      </c>
      <c r="S67" s="1">
        <v>1</v>
      </c>
      <c r="U67" s="1" t="str">
        <f>IFERROR(INDEX([1]物品基础表!$A:$A,MATCH(T67,[1]物品基础表!$B:$B,0)),"")</f>
        <v/>
      </c>
      <c r="W67" s="1">
        <v>200319</v>
      </c>
      <c r="X67" s="1" t="str">
        <f>IFERROR(INDEX([1]物品基础表!$A:$A,MATCH(W67,[1]物品基础表!$B:$B,0)),"")</f>
        <v>高级合击符文</v>
      </c>
      <c r="Y67" s="1">
        <v>3</v>
      </c>
      <c r="Z67" s="1">
        <v>200319</v>
      </c>
      <c r="AA67" s="1" t="str">
        <f>IFERROR(INDEX([1]物品基础表!$A:$A,MATCH(Z67,[1]物品基础表!$B:$B,0)),"")</f>
        <v>高级合击符文</v>
      </c>
      <c r="AB67" s="1">
        <v>3</v>
      </c>
      <c r="AC67" s="1">
        <v>200319</v>
      </c>
      <c r="AD67" s="1" t="str">
        <f>IFERROR(INDEX([1]物品基础表!$A:$A,MATCH(AC67,[1]物品基础表!$B:$B,0)),"")</f>
        <v>高级合击符文</v>
      </c>
      <c r="AE67" s="1">
        <v>3</v>
      </c>
      <c r="AF67" s="1">
        <v>200319</v>
      </c>
      <c r="AG67" s="1" t="str">
        <f>IFERROR(INDEX([1]物品基础表!$A:$A,MATCH(AF67,[1]物品基础表!$B:$B,0)),"")</f>
        <v>高级合击符文</v>
      </c>
      <c r="AH67" s="1">
        <v>4</v>
      </c>
      <c r="AI67" s="1">
        <v>200319</v>
      </c>
      <c r="AJ67" s="1" t="str">
        <f>IFERROR(INDEX([1]物品基础表!$A:$A,MATCH(AI67,[1]物品基础表!$B:$B,0)),"")</f>
        <v>高级合击符文</v>
      </c>
      <c r="AK67" s="1">
        <v>6</v>
      </c>
      <c r="AL67" s="1">
        <v>200319</v>
      </c>
      <c r="AM67" s="1" t="str">
        <f>IFERROR(INDEX([1]物品基础表!$A:$A,MATCH(AL67,[1]物品基础表!$B:$B,0)),"")</f>
        <v>高级合击符文</v>
      </c>
      <c r="AN67" s="1">
        <v>6</v>
      </c>
      <c r="AO67" s="1">
        <v>200319</v>
      </c>
      <c r="AP67" s="1" t="str">
        <f>IFERROR(INDEX([1]物品基础表!$A:$A,MATCH(AO67,[1]物品基础表!$B:$B,0)),"")</f>
        <v>高级合击符文</v>
      </c>
      <c r="AQ67" s="1">
        <v>6</v>
      </c>
      <c r="AR67" s="1">
        <v>200319</v>
      </c>
      <c r="AS67" s="1" t="str">
        <f>IFERROR(INDEX([1]物品基础表!$A:$A,MATCH(AR67,[1]物品基础表!$B:$B,0)),"")</f>
        <v>高级合击符文</v>
      </c>
      <c r="AT67" s="1">
        <v>6</v>
      </c>
      <c r="AV67" s="1" t="str">
        <f>IFERROR(INDEX([1]物品基础表!$A:$A,MATCH(AU67,[1]物品基础表!$B:$B,0)),"")</f>
        <v/>
      </c>
      <c r="AY67" s="1" t="str">
        <f>IFERROR(INDEX([1]物品基础表!$A:$A,MATCH(AX67,[1]物品基础表!$B:$B,0)),"")</f>
        <v/>
      </c>
      <c r="BB67" s="1" t="str">
        <f>IFERROR(INDEX([1]物品基础表!$A:$A,MATCH(BA67,[1]物品基础表!$B:$B,0)),"")</f>
        <v/>
      </c>
      <c r="BE67" s="1" t="str">
        <f>IFERROR(INDEX([1]物品基础表!$A:$A,MATCH(BD67,[1]物品基础表!$B:$B,0)),"")</f>
        <v/>
      </c>
      <c r="BH67" s="1" t="str">
        <f>IFERROR(INDEX([1]物品基础表!$A:$A,MATCH(BG67,[1]物品基础表!$B:$B,0)),"")</f>
        <v/>
      </c>
      <c r="BK67" s="1" t="str">
        <f>IFERROR(INDEX([1]物品基础表!$A:$A,MATCH(BJ67,[1]物品基础表!$B:$B,0)),"")</f>
        <v/>
      </c>
    </row>
    <row r="68" spans="1:64">
      <c r="A68" s="39" t="str">
        <f>INDEX([2]活动总表!$A$8:$A$429,MATCH(B68,[2]活动总表!$B$8:$B$429,0))</f>
        <v>暖冬活动-幸运转盘</v>
      </c>
      <c r="B68" s="40">
        <v>272</v>
      </c>
      <c r="C68" s="40">
        <v>1</v>
      </c>
      <c r="D68" s="40"/>
      <c r="E68" s="40"/>
      <c r="F68" s="40" t="s">
        <v>820</v>
      </c>
      <c r="G68" s="40">
        <v>3</v>
      </c>
      <c r="H68" s="40"/>
      <c r="I68" s="40"/>
      <c r="J68" s="57"/>
      <c r="K68" s="1">
        <v>910041</v>
      </c>
      <c r="L68" s="1" t="str">
        <f>IFERROR(INDEX([1]物品基础表!$A:$A,MATCH(K68,[1]物品基础表!$B:$B,0)),"")</f>
        <v>5转乾碎片</v>
      </c>
      <c r="M68" s="1">
        <v>1</v>
      </c>
      <c r="O68" s="1" t="str">
        <f>IFERROR(INDEX([1]物品基础表!$A:$A,MATCH(N68,[1]物品基础表!$B:$B,0)),"")</f>
        <v/>
      </c>
      <c r="R68" s="1" t="str">
        <f>IFERROR(INDEX([1]物品基础表!$A:$A,MATCH(Q68,[1]物品基础表!$B:$B,0)),"")</f>
        <v/>
      </c>
      <c r="U68" s="1" t="str">
        <f>IFERROR(INDEX([1]物品基础表!$A:$A,MATCH(T68,[1]物品基础表!$B:$B,0)),"")</f>
        <v/>
      </c>
      <c r="X68" s="1" t="str">
        <f>IFERROR(INDEX([1]物品基础表!$A:$A,MATCH(W68,[1]物品基础表!$B:$B,0)),"")</f>
        <v/>
      </c>
      <c r="AA68" s="1" t="str">
        <f>IFERROR(INDEX([1]物品基础表!$A:$A,MATCH(Z68,[1]物品基础表!$B:$B,0)),"")</f>
        <v/>
      </c>
      <c r="AD68" s="1" t="str">
        <f>IFERROR(INDEX([1]物品基础表!$A:$A,MATCH(AC68,[1]物品基础表!$B:$B,0)),"")</f>
        <v/>
      </c>
      <c r="AG68" s="1" t="str">
        <f>IFERROR(INDEX([1]物品基础表!$A:$A,MATCH(AF68,[1]物品基础表!$B:$B,0)),"")</f>
        <v/>
      </c>
      <c r="AJ68" s="1" t="str">
        <f>IFERROR(INDEX([1]物品基础表!$A:$A,MATCH(AI68,[1]物品基础表!$B:$B,0)),"")</f>
        <v/>
      </c>
      <c r="AM68" s="1" t="str">
        <f>IFERROR(INDEX([1]物品基础表!$A:$A,MATCH(AL68,[1]物品基础表!$B:$B,0)),"")</f>
        <v/>
      </c>
      <c r="AP68" s="1" t="str">
        <f>IFERROR(INDEX([1]物品基础表!$A:$A,MATCH(AO68,[1]物品基础表!$B:$B,0)),"")</f>
        <v/>
      </c>
      <c r="AS68" s="1" t="str">
        <f>IFERROR(INDEX([1]物品基础表!$A:$A,MATCH(AR68,[1]物品基础表!$B:$B,0)),"")</f>
        <v/>
      </c>
      <c r="AV68" s="1" t="str">
        <f>IFERROR(INDEX([1]物品基础表!$A:$A,MATCH(AU68,[1]物品基础表!$B:$B,0)),"")</f>
        <v/>
      </c>
      <c r="AY68" s="1" t="str">
        <f>IFERROR(INDEX([1]物品基础表!$A:$A,MATCH(AX68,[1]物品基础表!$B:$B,0)),"")</f>
        <v/>
      </c>
      <c r="BB68" s="1" t="str">
        <f>IFERROR(INDEX([1]物品基础表!$A:$A,MATCH(BA68,[1]物品基础表!$B:$B,0)),"")</f>
        <v/>
      </c>
      <c r="BE68" s="1" t="str">
        <f>IFERROR(INDEX([1]物品基础表!$A:$A,MATCH(BD68,[1]物品基础表!$B:$B,0)),"")</f>
        <v/>
      </c>
      <c r="BH68" s="1" t="str">
        <f>IFERROR(INDEX([1]物品基础表!$A:$A,MATCH(BG68,[1]物品基础表!$B:$B,0)),"")</f>
        <v/>
      </c>
      <c r="BK68" s="1" t="str">
        <f>IFERROR(INDEX([1]物品基础表!$A:$A,MATCH(BJ68,[1]物品基础表!$B:$B,0)),"")</f>
        <v/>
      </c>
    </row>
    <row r="69" spans="1:64">
      <c r="A69" s="39" t="str">
        <f>INDEX([2]活动总表!$A$8:$A$429,MATCH(B69,[2]活动总表!$B$8:$B$429,0))</f>
        <v>暖冬活动-幸运转盘</v>
      </c>
      <c r="B69" s="40">
        <v>272</v>
      </c>
      <c r="C69" s="40">
        <v>2</v>
      </c>
      <c r="D69" s="40"/>
      <c r="E69" s="40"/>
      <c r="F69" s="40" t="s">
        <v>55</v>
      </c>
      <c r="G69" s="40">
        <v>3</v>
      </c>
      <c r="H69" s="40"/>
      <c r="I69" s="40"/>
      <c r="J69" s="57"/>
      <c r="K69" s="1">
        <v>200005</v>
      </c>
      <c r="L69" s="1" t="str">
        <f>IFERROR(INDEX([1]物品基础表!$A:$A,MATCH(K69,[1]物品基础表!$B:$B,0)),"")</f>
        <v>龙魂碎片</v>
      </c>
      <c r="M69" s="1">
        <v>2</v>
      </c>
      <c r="O69" s="1" t="str">
        <f>IFERROR(INDEX([1]物品基础表!$A:$A,MATCH(N69,[1]物品基础表!$B:$B,0)),"")</f>
        <v/>
      </c>
      <c r="R69" s="1" t="str">
        <f>IFERROR(INDEX([1]物品基础表!$A:$A,MATCH(Q69,[1]物品基础表!$B:$B,0)),"")</f>
        <v/>
      </c>
      <c r="U69" s="1" t="str">
        <f>IFERROR(INDEX([1]物品基础表!$A:$A,MATCH(T69,[1]物品基础表!$B:$B,0)),"")</f>
        <v/>
      </c>
      <c r="X69" s="1" t="str">
        <f>IFERROR(INDEX([1]物品基础表!$A:$A,MATCH(W69,[1]物品基础表!$B:$B,0)),"")</f>
        <v/>
      </c>
      <c r="AA69" s="1" t="str">
        <f>IFERROR(INDEX([1]物品基础表!$A:$A,MATCH(Z69,[1]物品基础表!$B:$B,0)),"")</f>
        <v/>
      </c>
      <c r="AD69" s="1" t="str">
        <f>IFERROR(INDEX([1]物品基础表!$A:$A,MATCH(AC69,[1]物品基础表!$B:$B,0)),"")</f>
        <v/>
      </c>
      <c r="AG69" s="1" t="str">
        <f>IFERROR(INDEX([1]物品基础表!$A:$A,MATCH(AF69,[1]物品基础表!$B:$B,0)),"")</f>
        <v/>
      </c>
      <c r="AJ69" s="1" t="str">
        <f>IFERROR(INDEX([1]物品基础表!$A:$A,MATCH(AI69,[1]物品基础表!$B:$B,0)),"")</f>
        <v/>
      </c>
      <c r="AM69" s="1" t="str">
        <f>IFERROR(INDEX([1]物品基础表!$A:$A,MATCH(AL69,[1]物品基础表!$B:$B,0)),"")</f>
        <v/>
      </c>
      <c r="AP69" s="1" t="str">
        <f>IFERROR(INDEX([1]物品基础表!$A:$A,MATCH(AO69,[1]物品基础表!$B:$B,0)),"")</f>
        <v/>
      </c>
      <c r="AS69" s="1" t="str">
        <f>IFERROR(INDEX([1]物品基础表!$A:$A,MATCH(AR69,[1]物品基础表!$B:$B,0)),"")</f>
        <v/>
      </c>
      <c r="AV69" s="1" t="str">
        <f>IFERROR(INDEX([1]物品基础表!$A:$A,MATCH(AU69,[1]物品基础表!$B:$B,0)),"")</f>
        <v/>
      </c>
      <c r="AY69" s="1" t="str">
        <f>IFERROR(INDEX([1]物品基础表!$A:$A,MATCH(AX69,[1]物品基础表!$B:$B,0)),"")</f>
        <v/>
      </c>
      <c r="BB69" s="1" t="str">
        <f>IFERROR(INDEX([1]物品基础表!$A:$A,MATCH(BA69,[1]物品基础表!$B:$B,0)),"")</f>
        <v/>
      </c>
      <c r="BE69" s="1" t="str">
        <f>IFERROR(INDEX([1]物品基础表!$A:$A,MATCH(BD69,[1]物品基础表!$B:$B,0)),"")</f>
        <v/>
      </c>
      <c r="BH69" s="1" t="str">
        <f>IFERROR(INDEX([1]物品基础表!$A:$A,MATCH(BG69,[1]物品基础表!$B:$B,0)),"")</f>
        <v/>
      </c>
      <c r="BK69" s="1" t="str">
        <f>IFERROR(INDEX([1]物品基础表!$A:$A,MATCH(BJ69,[1]物品基础表!$B:$B,0)),"")</f>
        <v/>
      </c>
    </row>
    <row r="70" spans="1:64">
      <c r="A70" s="39" t="str">
        <f>INDEX([2]活动总表!$A$8:$A$429,MATCH(B70,[2]活动总表!$B$8:$B$429,0))</f>
        <v>暖冬活动-幸运转盘</v>
      </c>
      <c r="B70" s="40">
        <v>272</v>
      </c>
      <c r="C70" s="40">
        <v>3</v>
      </c>
      <c r="D70" s="40"/>
      <c r="E70" s="40"/>
      <c r="F70" s="40" t="s">
        <v>802</v>
      </c>
      <c r="G70" s="40">
        <v>3</v>
      </c>
      <c r="H70" s="40"/>
      <c r="I70" s="40"/>
      <c r="J70" s="57"/>
      <c r="K70" s="1">
        <v>200312</v>
      </c>
      <c r="L70" s="1" t="str">
        <f>IFERROR(INDEX([1]物品基础表!$A:$A,MATCH(K70,[1]物品基础表!$B:$B,0)),"")</f>
        <v>缤纷兵魂任选礼包</v>
      </c>
      <c r="M70" s="1">
        <v>1</v>
      </c>
      <c r="O70" s="1" t="str">
        <f>IFERROR(INDEX([1]物品基础表!$A:$A,MATCH(N70,[1]物品基础表!$B:$B,0)),"")</f>
        <v/>
      </c>
      <c r="R70" s="1" t="str">
        <f>IFERROR(INDEX([1]物品基础表!$A:$A,MATCH(Q70,[1]物品基础表!$B:$B,0)),"")</f>
        <v/>
      </c>
      <c r="U70" s="1" t="str">
        <f>IFERROR(INDEX([1]物品基础表!$A:$A,MATCH(T70,[1]物品基础表!$B:$B,0)),"")</f>
        <v/>
      </c>
      <c r="X70" s="1" t="str">
        <f>IFERROR(INDEX([1]物品基础表!$A:$A,MATCH(W70,[1]物品基础表!$B:$B,0)),"")</f>
        <v/>
      </c>
      <c r="AA70" s="1" t="str">
        <f>IFERROR(INDEX([1]物品基础表!$A:$A,MATCH(Z70,[1]物品基础表!$B:$B,0)),"")</f>
        <v/>
      </c>
      <c r="AD70" s="1" t="str">
        <f>IFERROR(INDEX([1]物品基础表!$A:$A,MATCH(AC70,[1]物品基础表!$B:$B,0)),"")</f>
        <v/>
      </c>
      <c r="AG70" s="1" t="str">
        <f>IFERROR(INDEX([1]物品基础表!$A:$A,MATCH(AF70,[1]物品基础表!$B:$B,0)),"")</f>
        <v/>
      </c>
      <c r="AJ70" s="1" t="str">
        <f>IFERROR(INDEX([1]物品基础表!$A:$A,MATCH(AI70,[1]物品基础表!$B:$B,0)),"")</f>
        <v/>
      </c>
      <c r="AM70" s="1" t="str">
        <f>IFERROR(INDEX([1]物品基础表!$A:$A,MATCH(AL70,[1]物品基础表!$B:$B,0)),"")</f>
        <v/>
      </c>
      <c r="AP70" s="1" t="str">
        <f>IFERROR(INDEX([1]物品基础表!$A:$A,MATCH(AO70,[1]物品基础表!$B:$B,0)),"")</f>
        <v/>
      </c>
      <c r="AS70" s="1" t="str">
        <f>IFERROR(INDEX([1]物品基础表!$A:$A,MATCH(AR70,[1]物品基础表!$B:$B,0)),"")</f>
        <v/>
      </c>
      <c r="AV70" s="1" t="str">
        <f>IFERROR(INDEX([1]物品基础表!$A:$A,MATCH(AU70,[1]物品基础表!$B:$B,0)),"")</f>
        <v/>
      </c>
      <c r="AY70" s="1" t="str">
        <f>IFERROR(INDEX([1]物品基础表!$A:$A,MATCH(AX70,[1]物品基础表!$B:$B,0)),"")</f>
        <v/>
      </c>
      <c r="BB70" s="1" t="str">
        <f>IFERROR(INDEX([1]物品基础表!$A:$A,MATCH(BA70,[1]物品基础表!$B:$B,0)),"")</f>
        <v/>
      </c>
      <c r="BE70" s="1" t="str">
        <f>IFERROR(INDEX([1]物品基础表!$A:$A,MATCH(BD70,[1]物品基础表!$B:$B,0)),"")</f>
        <v/>
      </c>
      <c r="BH70" s="1" t="str">
        <f>IFERROR(INDEX([1]物品基础表!$A:$A,MATCH(BG70,[1]物品基础表!$B:$B,0)),"")</f>
        <v/>
      </c>
      <c r="BK70" s="1" t="str">
        <f>IFERROR(INDEX([1]物品基础表!$A:$A,MATCH(BJ70,[1]物品基础表!$B:$B,0)),"")</f>
        <v/>
      </c>
    </row>
    <row r="71" spans="1:64">
      <c r="A71" s="39" t="str">
        <f>INDEX([2]活动总表!$A$8:$A$429,MATCH(B71,[2]活动总表!$B$8:$B$429,0))</f>
        <v>暖冬活动-幸运转盘</v>
      </c>
      <c r="B71" s="40">
        <v>272</v>
      </c>
      <c r="C71" s="40">
        <v>4</v>
      </c>
      <c r="D71" s="40"/>
      <c r="E71" s="40"/>
      <c r="F71" s="40" t="s">
        <v>55</v>
      </c>
      <c r="G71" s="40">
        <v>3</v>
      </c>
      <c r="H71" s="40"/>
      <c r="I71" s="40"/>
      <c r="J71" s="57"/>
      <c r="K71" s="1">
        <v>200167</v>
      </c>
      <c r="L71" s="1" t="str">
        <f>IFERROR(INDEX([1]物品基础表!$A:$A,MATCH(K71,[1]物品基础表!$B:$B,0)),"")</f>
        <v>黑铁</v>
      </c>
      <c r="M71" s="1">
        <v>50</v>
      </c>
      <c r="O71" s="1" t="str">
        <f>IFERROR(INDEX([1]物品基础表!$A:$A,MATCH(N71,[1]物品基础表!$B:$B,0)),"")</f>
        <v/>
      </c>
      <c r="R71" s="1" t="str">
        <f>IFERROR(INDEX([1]物品基础表!$A:$A,MATCH(Q71,[1]物品基础表!$B:$B,0)),"")</f>
        <v/>
      </c>
      <c r="U71" s="1" t="str">
        <f>IFERROR(INDEX([1]物品基础表!$A:$A,MATCH(T71,[1]物品基础表!$B:$B,0)),"")</f>
        <v/>
      </c>
      <c r="X71" s="1" t="str">
        <f>IFERROR(INDEX([1]物品基础表!$A:$A,MATCH(W71,[1]物品基础表!$B:$B,0)),"")</f>
        <v/>
      </c>
      <c r="AA71" s="1" t="str">
        <f>IFERROR(INDEX([1]物品基础表!$A:$A,MATCH(Z71,[1]物品基础表!$B:$B,0)),"")</f>
        <v/>
      </c>
      <c r="AD71" s="1" t="str">
        <f>IFERROR(INDEX([1]物品基础表!$A:$A,MATCH(AC71,[1]物品基础表!$B:$B,0)),"")</f>
        <v/>
      </c>
      <c r="AG71" s="1" t="str">
        <f>IFERROR(INDEX([1]物品基础表!$A:$A,MATCH(AF71,[1]物品基础表!$B:$B,0)),"")</f>
        <v/>
      </c>
      <c r="AJ71" s="1" t="str">
        <f>IFERROR(INDEX([1]物品基础表!$A:$A,MATCH(AI71,[1]物品基础表!$B:$B,0)),"")</f>
        <v/>
      </c>
      <c r="AM71" s="1" t="str">
        <f>IFERROR(INDEX([1]物品基础表!$A:$A,MATCH(AL71,[1]物品基础表!$B:$B,0)),"")</f>
        <v/>
      </c>
      <c r="AP71" s="1" t="str">
        <f>IFERROR(INDEX([1]物品基础表!$A:$A,MATCH(AO71,[1]物品基础表!$B:$B,0)),"")</f>
        <v/>
      </c>
      <c r="AS71" s="1" t="str">
        <f>IFERROR(INDEX([1]物品基础表!$A:$A,MATCH(AR71,[1]物品基础表!$B:$B,0)),"")</f>
        <v/>
      </c>
      <c r="AV71" s="1" t="str">
        <f>IFERROR(INDEX([1]物品基础表!$A:$A,MATCH(AU71,[1]物品基础表!$B:$B,0)),"")</f>
        <v/>
      </c>
      <c r="AY71" s="1" t="str">
        <f>IFERROR(INDEX([1]物品基础表!$A:$A,MATCH(AX71,[1]物品基础表!$B:$B,0)),"")</f>
        <v/>
      </c>
      <c r="BB71" s="1" t="str">
        <f>IFERROR(INDEX([1]物品基础表!$A:$A,MATCH(BA71,[1]物品基础表!$B:$B,0)),"")</f>
        <v/>
      </c>
      <c r="BE71" s="1" t="str">
        <f>IFERROR(INDEX([1]物品基础表!$A:$A,MATCH(BD71,[1]物品基础表!$B:$B,0)),"")</f>
        <v/>
      </c>
      <c r="BH71" s="1" t="str">
        <f>IFERROR(INDEX([1]物品基础表!$A:$A,MATCH(BG71,[1]物品基础表!$B:$B,0)),"")</f>
        <v/>
      </c>
      <c r="BK71" s="1" t="str">
        <f>IFERROR(INDEX([1]物品基础表!$A:$A,MATCH(BJ71,[1]物品基础表!$B:$B,0)),"")</f>
        <v/>
      </c>
    </row>
    <row r="72" spans="1:64">
      <c r="A72" s="39" t="str">
        <f>INDEX([2]活动总表!$A$8:$A$429,MATCH(B72,[2]活动总表!$B$8:$B$429,0))</f>
        <v>暖冬活动-幸运转盘</v>
      </c>
      <c r="B72" s="40">
        <v>272</v>
      </c>
      <c r="C72" s="40">
        <v>5</v>
      </c>
      <c r="D72" s="40"/>
      <c r="E72" s="40"/>
      <c r="F72" s="40" t="s">
        <v>821</v>
      </c>
      <c r="G72" s="40">
        <v>3</v>
      </c>
      <c r="H72" s="40"/>
      <c r="I72" s="40"/>
      <c r="J72" s="57"/>
      <c r="K72" s="1">
        <v>500006</v>
      </c>
      <c r="L72" s="1" t="str">
        <f>IFERROR(INDEX([1]物品基础表!$A:$A,MATCH(K72,[1]物品基础表!$B:$B,0)),"")</f>
        <v>战纹精华-金</v>
      </c>
      <c r="M72" s="1">
        <v>1</v>
      </c>
      <c r="O72" s="1" t="str">
        <f>IFERROR(INDEX([1]物品基础表!$A:$A,MATCH(N72,[1]物品基础表!$B:$B,0)),"")</f>
        <v/>
      </c>
      <c r="R72" s="1" t="str">
        <f>IFERROR(INDEX([1]物品基础表!$A:$A,MATCH(Q72,[1]物品基础表!$B:$B,0)),"")</f>
        <v/>
      </c>
      <c r="U72" s="1" t="str">
        <f>IFERROR(INDEX([1]物品基础表!$A:$A,MATCH(T72,[1]物品基础表!$B:$B,0)),"")</f>
        <v/>
      </c>
      <c r="X72" s="1" t="str">
        <f>IFERROR(INDEX([1]物品基础表!$A:$A,MATCH(W72,[1]物品基础表!$B:$B,0)),"")</f>
        <v/>
      </c>
      <c r="AA72" s="1" t="str">
        <f>IFERROR(INDEX([1]物品基础表!$A:$A,MATCH(Z72,[1]物品基础表!$B:$B,0)),"")</f>
        <v/>
      </c>
      <c r="AD72" s="1" t="str">
        <f>IFERROR(INDEX([1]物品基础表!$A:$A,MATCH(AC72,[1]物品基础表!$B:$B,0)),"")</f>
        <v/>
      </c>
      <c r="AG72" s="1" t="str">
        <f>IFERROR(INDEX([1]物品基础表!$A:$A,MATCH(AF72,[1]物品基础表!$B:$B,0)),"")</f>
        <v/>
      </c>
      <c r="AJ72" s="1" t="str">
        <f>IFERROR(INDEX([1]物品基础表!$A:$A,MATCH(AI72,[1]物品基础表!$B:$B,0)),"")</f>
        <v/>
      </c>
      <c r="AM72" s="1" t="str">
        <f>IFERROR(INDEX([1]物品基础表!$A:$A,MATCH(AL72,[1]物品基础表!$B:$B,0)),"")</f>
        <v/>
      </c>
      <c r="AP72" s="1" t="str">
        <f>IFERROR(INDEX([1]物品基础表!$A:$A,MATCH(AO72,[1]物品基础表!$B:$B,0)),"")</f>
        <v/>
      </c>
      <c r="AS72" s="1" t="str">
        <f>IFERROR(INDEX([1]物品基础表!$A:$A,MATCH(AR72,[1]物品基础表!$B:$B,0)),"")</f>
        <v/>
      </c>
      <c r="AV72" s="1" t="str">
        <f>IFERROR(INDEX([1]物品基础表!$A:$A,MATCH(AU72,[1]物品基础表!$B:$B,0)),"")</f>
        <v/>
      </c>
      <c r="AY72" s="1" t="str">
        <f>IFERROR(INDEX([1]物品基础表!$A:$A,MATCH(AX72,[1]物品基础表!$B:$B,0)),"")</f>
        <v/>
      </c>
      <c r="BB72" s="1" t="str">
        <f>IFERROR(INDEX([1]物品基础表!$A:$A,MATCH(BA72,[1]物品基础表!$B:$B,0)),"")</f>
        <v/>
      </c>
      <c r="BE72" s="1" t="str">
        <f>IFERROR(INDEX([1]物品基础表!$A:$A,MATCH(BD72,[1]物品基础表!$B:$B,0)),"")</f>
        <v/>
      </c>
      <c r="BH72" s="1" t="str">
        <f>IFERROR(INDEX([1]物品基础表!$A:$A,MATCH(BG72,[1]物品基础表!$B:$B,0)),"")</f>
        <v/>
      </c>
      <c r="BK72" s="1" t="str">
        <f>IFERROR(INDEX([1]物品基础表!$A:$A,MATCH(BJ72,[1]物品基础表!$B:$B,0)),"")</f>
        <v/>
      </c>
    </row>
    <row r="73" spans="1:64">
      <c r="A73" s="39" t="str">
        <f>INDEX([2]活动总表!$A$8:$A$429,MATCH(B73,[2]活动总表!$B$8:$B$429,0))</f>
        <v>暖冬活动-幸运转盘</v>
      </c>
      <c r="B73" s="40">
        <v>272</v>
      </c>
      <c r="C73" s="40">
        <v>6</v>
      </c>
      <c r="D73" s="40"/>
      <c r="E73" s="40"/>
      <c r="F73" s="40" t="s">
        <v>822</v>
      </c>
      <c r="G73" s="40">
        <v>3</v>
      </c>
      <c r="H73" s="40"/>
      <c r="I73" s="40"/>
      <c r="J73" s="57"/>
      <c r="K73" s="1">
        <v>200316</v>
      </c>
      <c r="L73" s="1" t="str">
        <f>IFERROR(INDEX([1]物品基础表!$A:$A,MATCH(K73,[1]物品基础表!$B:$B,0)),"")</f>
        <v>3阶神羽宝箱</v>
      </c>
      <c r="M73" s="1">
        <v>1</v>
      </c>
      <c r="O73" s="1" t="str">
        <f>IFERROR(INDEX([1]物品基础表!$A:$A,MATCH(N73,[1]物品基础表!$B:$B,0)),"")</f>
        <v/>
      </c>
      <c r="R73" s="1" t="str">
        <f>IFERROR(INDEX([1]物品基础表!$A:$A,MATCH(Q73,[1]物品基础表!$B:$B,0)),"")</f>
        <v/>
      </c>
      <c r="U73" s="1" t="str">
        <f>IFERROR(INDEX([1]物品基础表!$A:$A,MATCH(T73,[1]物品基础表!$B:$B,0)),"")</f>
        <v/>
      </c>
      <c r="X73" s="1" t="str">
        <f>IFERROR(INDEX([1]物品基础表!$A:$A,MATCH(W73,[1]物品基础表!$B:$B,0)),"")</f>
        <v/>
      </c>
      <c r="AA73" s="1" t="str">
        <f>IFERROR(INDEX([1]物品基础表!$A:$A,MATCH(Z73,[1]物品基础表!$B:$B,0)),"")</f>
        <v/>
      </c>
      <c r="AD73" s="1" t="str">
        <f>IFERROR(INDEX([1]物品基础表!$A:$A,MATCH(AC73,[1]物品基础表!$B:$B,0)),"")</f>
        <v/>
      </c>
      <c r="AG73" s="1" t="str">
        <f>IFERROR(INDEX([1]物品基础表!$A:$A,MATCH(AF73,[1]物品基础表!$B:$B,0)),"")</f>
        <v/>
      </c>
      <c r="AJ73" s="1" t="str">
        <f>IFERROR(INDEX([1]物品基础表!$A:$A,MATCH(AI73,[1]物品基础表!$B:$B,0)),"")</f>
        <v/>
      </c>
      <c r="AM73" s="1" t="str">
        <f>IFERROR(INDEX([1]物品基础表!$A:$A,MATCH(AL73,[1]物品基础表!$B:$B,0)),"")</f>
        <v/>
      </c>
      <c r="AP73" s="1" t="str">
        <f>IFERROR(INDEX([1]物品基础表!$A:$A,MATCH(AO73,[1]物品基础表!$B:$B,0)),"")</f>
        <v/>
      </c>
      <c r="AS73" s="1" t="str">
        <f>IFERROR(INDEX([1]物品基础表!$A:$A,MATCH(AR73,[1]物品基础表!$B:$B,0)),"")</f>
        <v/>
      </c>
      <c r="AV73" s="1" t="str">
        <f>IFERROR(INDEX([1]物品基础表!$A:$A,MATCH(AU73,[1]物品基础表!$B:$B,0)),"")</f>
        <v/>
      </c>
      <c r="AY73" s="1" t="str">
        <f>IFERROR(INDEX([1]物品基础表!$A:$A,MATCH(AX73,[1]物品基础表!$B:$B,0)),"")</f>
        <v/>
      </c>
      <c r="BB73" s="1" t="str">
        <f>IFERROR(INDEX([1]物品基础表!$A:$A,MATCH(BA73,[1]物品基础表!$B:$B,0)),"")</f>
        <v/>
      </c>
      <c r="BE73" s="1" t="str">
        <f>IFERROR(INDEX([1]物品基础表!$A:$A,MATCH(BD73,[1]物品基础表!$B:$B,0)),"")</f>
        <v/>
      </c>
      <c r="BH73" s="1" t="str">
        <f>IFERROR(INDEX([1]物品基础表!$A:$A,MATCH(BG73,[1]物品基础表!$B:$B,0)),"")</f>
        <v/>
      </c>
      <c r="BK73" s="1" t="str">
        <f>IFERROR(INDEX([1]物品基础表!$A:$A,MATCH(BJ73,[1]物品基础表!$B:$B,0)),"")</f>
        <v/>
      </c>
    </row>
    <row r="74" spans="1:64">
      <c r="A74" s="39" t="str">
        <f>INDEX([2]活动总表!$A$8:$A$429,MATCH(B74,[2]活动总表!$B$8:$B$429,0))</f>
        <v>暖冬活动-幸运转盘</v>
      </c>
      <c r="B74" s="40">
        <v>272</v>
      </c>
      <c r="C74" s="40">
        <v>7</v>
      </c>
      <c r="D74" s="40"/>
      <c r="E74" s="40"/>
      <c r="F74" s="40" t="s">
        <v>55</v>
      </c>
      <c r="G74" s="40">
        <v>3</v>
      </c>
      <c r="H74" s="40"/>
      <c r="I74" s="40"/>
      <c r="J74" s="57"/>
      <c r="K74" s="1">
        <v>200015</v>
      </c>
      <c r="L74" s="1" t="str">
        <f>IFERROR(INDEX([1]物品基础表!$A:$A,MATCH(K74,[1]物品基础表!$B:$B,0)),"")</f>
        <v>特戒碎片</v>
      </c>
      <c r="M74" s="1">
        <v>20</v>
      </c>
      <c r="O74" s="1" t="str">
        <f>IFERROR(INDEX([1]物品基础表!$A:$A,MATCH(N74,[1]物品基础表!$B:$B,0)),"")</f>
        <v/>
      </c>
      <c r="R74" s="1" t="str">
        <f>IFERROR(INDEX([1]物品基础表!$A:$A,MATCH(Q74,[1]物品基础表!$B:$B,0)),"")</f>
        <v/>
      </c>
      <c r="U74" s="1" t="str">
        <f>IFERROR(INDEX([1]物品基础表!$A:$A,MATCH(T74,[1]物品基础表!$B:$B,0)),"")</f>
        <v/>
      </c>
      <c r="X74" s="1" t="str">
        <f>IFERROR(INDEX([1]物品基础表!$A:$A,MATCH(W74,[1]物品基础表!$B:$B,0)),"")</f>
        <v/>
      </c>
      <c r="AA74" s="1" t="str">
        <f>IFERROR(INDEX([1]物品基础表!$A:$A,MATCH(Z74,[1]物品基础表!$B:$B,0)),"")</f>
        <v/>
      </c>
      <c r="AD74" s="1" t="str">
        <f>IFERROR(INDEX([1]物品基础表!$A:$A,MATCH(AC74,[1]物品基础表!$B:$B,0)),"")</f>
        <v/>
      </c>
      <c r="AG74" s="1" t="str">
        <f>IFERROR(INDEX([1]物品基础表!$A:$A,MATCH(AF74,[1]物品基础表!$B:$B,0)),"")</f>
        <v/>
      </c>
      <c r="AJ74" s="1" t="str">
        <f>IFERROR(INDEX([1]物品基础表!$A:$A,MATCH(AI74,[1]物品基础表!$B:$B,0)),"")</f>
        <v/>
      </c>
      <c r="AM74" s="1" t="str">
        <f>IFERROR(INDEX([1]物品基础表!$A:$A,MATCH(AL74,[1]物品基础表!$B:$B,0)),"")</f>
        <v/>
      </c>
      <c r="AP74" s="1" t="str">
        <f>IFERROR(INDEX([1]物品基础表!$A:$A,MATCH(AO74,[1]物品基础表!$B:$B,0)),"")</f>
        <v/>
      </c>
      <c r="AS74" s="1" t="str">
        <f>IFERROR(INDEX([1]物品基础表!$A:$A,MATCH(AR74,[1]物品基础表!$B:$B,0)),"")</f>
        <v/>
      </c>
      <c r="AV74" s="1" t="str">
        <f>IFERROR(INDEX([1]物品基础表!$A:$A,MATCH(AU74,[1]物品基础表!$B:$B,0)),"")</f>
        <v/>
      </c>
      <c r="AY74" s="1" t="str">
        <f>IFERROR(INDEX([1]物品基础表!$A:$A,MATCH(AX74,[1]物品基础表!$B:$B,0)),"")</f>
        <v/>
      </c>
      <c r="BB74" s="1" t="str">
        <f>IFERROR(INDEX([1]物品基础表!$A:$A,MATCH(BA74,[1]物品基础表!$B:$B,0)),"")</f>
        <v/>
      </c>
      <c r="BE74" s="1" t="str">
        <f>IFERROR(INDEX([1]物品基础表!$A:$A,MATCH(BD74,[1]物品基础表!$B:$B,0)),"")</f>
        <v/>
      </c>
      <c r="BH74" s="1" t="str">
        <f>IFERROR(INDEX([1]物品基础表!$A:$A,MATCH(BG74,[1]物品基础表!$B:$B,0)),"")</f>
        <v/>
      </c>
      <c r="BK74" s="1" t="str">
        <f>IFERROR(INDEX([1]物品基础表!$A:$A,MATCH(BJ74,[1]物品基础表!$B:$B,0)),"")</f>
        <v/>
      </c>
    </row>
    <row r="75" spans="1:64">
      <c r="A75" s="39" t="str">
        <f>INDEX([2]活动总表!$A$8:$A$429,MATCH(B75,[2]活动总表!$B$8:$B$429,0))</f>
        <v>暖冬活动-幸运转盘</v>
      </c>
      <c r="B75" s="40">
        <v>272</v>
      </c>
      <c r="C75" s="40">
        <v>8</v>
      </c>
      <c r="D75" s="40"/>
      <c r="E75" s="40"/>
      <c r="F75" s="40" t="s">
        <v>823</v>
      </c>
      <c r="G75" s="40">
        <v>3</v>
      </c>
      <c r="H75" s="40"/>
      <c r="I75" s="40"/>
      <c r="J75" s="57"/>
      <c r="K75" s="1">
        <v>200301</v>
      </c>
      <c r="L75" s="1" t="str">
        <f>IFERROR(INDEX([1]物品基础表!$A:$A,MATCH(K75,[1]物品基础表!$B:$B,0)),"")</f>
        <v>传世宝钻</v>
      </c>
      <c r="M75" s="1">
        <v>50</v>
      </c>
      <c r="O75" s="1" t="str">
        <f>IFERROR(INDEX([1]物品基础表!$A:$A,MATCH(N75,[1]物品基础表!$B:$B,0)),"")</f>
        <v/>
      </c>
      <c r="R75" s="1" t="str">
        <f>IFERROR(INDEX([1]物品基础表!$A:$A,MATCH(Q75,[1]物品基础表!$B:$B,0)),"")</f>
        <v/>
      </c>
      <c r="U75" s="1" t="str">
        <f>IFERROR(INDEX([1]物品基础表!$A:$A,MATCH(T75,[1]物品基础表!$B:$B,0)),"")</f>
        <v/>
      </c>
      <c r="X75" s="1" t="str">
        <f>IFERROR(INDEX([1]物品基础表!$A:$A,MATCH(W75,[1]物品基础表!$B:$B,0)),"")</f>
        <v/>
      </c>
      <c r="AA75" s="1" t="str">
        <f>IFERROR(INDEX([1]物品基础表!$A:$A,MATCH(Z75,[1]物品基础表!$B:$B,0)),"")</f>
        <v/>
      </c>
      <c r="AD75" s="1" t="str">
        <f>IFERROR(INDEX([1]物品基础表!$A:$A,MATCH(AC75,[1]物品基础表!$B:$B,0)),"")</f>
        <v/>
      </c>
      <c r="AG75" s="1" t="str">
        <f>IFERROR(INDEX([1]物品基础表!$A:$A,MATCH(AF75,[1]物品基础表!$B:$B,0)),"")</f>
        <v/>
      </c>
      <c r="AJ75" s="1" t="str">
        <f>IFERROR(INDEX([1]物品基础表!$A:$A,MATCH(AI75,[1]物品基础表!$B:$B,0)),"")</f>
        <v/>
      </c>
      <c r="AM75" s="1" t="str">
        <f>IFERROR(INDEX([1]物品基础表!$A:$A,MATCH(AL75,[1]物品基础表!$B:$B,0)),"")</f>
        <v/>
      </c>
      <c r="AP75" s="1" t="str">
        <f>IFERROR(INDEX([1]物品基础表!$A:$A,MATCH(AO75,[1]物品基础表!$B:$B,0)),"")</f>
        <v/>
      </c>
      <c r="AS75" s="1" t="str">
        <f>IFERROR(INDEX([1]物品基础表!$A:$A,MATCH(AR75,[1]物品基础表!$B:$B,0)),"")</f>
        <v/>
      </c>
      <c r="AV75" s="1" t="str">
        <f>IFERROR(INDEX([1]物品基础表!$A:$A,MATCH(AU75,[1]物品基础表!$B:$B,0)),"")</f>
        <v/>
      </c>
      <c r="AY75" s="1" t="str">
        <f>IFERROR(INDEX([1]物品基础表!$A:$A,MATCH(AX75,[1]物品基础表!$B:$B,0)),"")</f>
        <v/>
      </c>
      <c r="BB75" s="1" t="str">
        <f>IFERROR(INDEX([1]物品基础表!$A:$A,MATCH(BA75,[1]物品基础表!$B:$B,0)),"")</f>
        <v/>
      </c>
      <c r="BE75" s="1" t="str">
        <f>IFERROR(INDEX([1]物品基础表!$A:$A,MATCH(BD75,[1]物品基础表!$B:$B,0)),"")</f>
        <v/>
      </c>
      <c r="BH75" s="1" t="str">
        <f>IFERROR(INDEX([1]物品基础表!$A:$A,MATCH(BG75,[1]物品基础表!$B:$B,0)),"")</f>
        <v/>
      </c>
      <c r="BK75" s="1" t="str">
        <f>IFERROR(INDEX([1]物品基础表!$A:$A,MATCH(BJ75,[1]物品基础表!$B:$B,0)),"")</f>
        <v/>
      </c>
    </row>
    <row r="76" spans="1:64">
      <c r="A76" s="39" t="str">
        <f>INDEX([2]活动总表!$A$8:$A$429,MATCH(B76,[2]活动总表!$B$8:$B$429,0))</f>
        <v>暖冬活动-幸运转盘</v>
      </c>
      <c r="B76" s="40">
        <v>272</v>
      </c>
      <c r="C76" s="40">
        <v>9</v>
      </c>
      <c r="D76" s="40"/>
      <c r="E76" s="40"/>
      <c r="F76" s="40" t="s">
        <v>824</v>
      </c>
      <c r="G76" s="40">
        <v>3</v>
      </c>
      <c r="H76" s="40"/>
      <c r="I76" s="40"/>
      <c r="J76" s="57"/>
      <c r="K76" s="1">
        <v>200167</v>
      </c>
      <c r="L76" s="1" t="str">
        <f>IFERROR(INDEX([1]物品基础表!$A:$A,MATCH(K76,[1]物品基础表!$B:$B,0)),"")</f>
        <v>黑铁</v>
      </c>
      <c r="M76" s="1">
        <v>400</v>
      </c>
      <c r="O76" s="1" t="str">
        <f>IFERROR(INDEX([1]物品基础表!$A:$A,MATCH(N76,[1]物品基础表!$B:$B,0)),"")</f>
        <v/>
      </c>
      <c r="R76" s="1" t="str">
        <f>IFERROR(INDEX([1]物品基础表!$A:$A,MATCH(Q76,[1]物品基础表!$B:$B,0)),"")</f>
        <v/>
      </c>
      <c r="U76" s="1" t="str">
        <f>IFERROR(INDEX([1]物品基础表!$A:$A,MATCH(T76,[1]物品基础表!$B:$B,0)),"")</f>
        <v/>
      </c>
      <c r="X76" s="1" t="str">
        <f>IFERROR(INDEX([1]物品基础表!$A:$A,MATCH(W76,[1]物品基础表!$B:$B,0)),"")</f>
        <v/>
      </c>
      <c r="AA76" s="1" t="str">
        <f>IFERROR(INDEX([1]物品基础表!$A:$A,MATCH(Z76,[1]物品基础表!$B:$B,0)),"")</f>
        <v/>
      </c>
      <c r="AD76" s="1" t="str">
        <f>IFERROR(INDEX([1]物品基础表!$A:$A,MATCH(AC76,[1]物品基础表!$B:$B,0)),"")</f>
        <v/>
      </c>
      <c r="AG76" s="1" t="str">
        <f>IFERROR(INDEX([1]物品基础表!$A:$A,MATCH(AF76,[1]物品基础表!$B:$B,0)),"")</f>
        <v/>
      </c>
      <c r="AJ76" s="1" t="str">
        <f>IFERROR(INDEX([1]物品基础表!$A:$A,MATCH(AI76,[1]物品基础表!$B:$B,0)),"")</f>
        <v/>
      </c>
      <c r="AM76" s="1" t="str">
        <f>IFERROR(INDEX([1]物品基础表!$A:$A,MATCH(AL76,[1]物品基础表!$B:$B,0)),"")</f>
        <v/>
      </c>
      <c r="AP76" s="1" t="str">
        <f>IFERROR(INDEX([1]物品基础表!$A:$A,MATCH(AO76,[1]物品基础表!$B:$B,0)),"")</f>
        <v/>
      </c>
      <c r="AS76" s="1" t="str">
        <f>IFERROR(INDEX([1]物品基础表!$A:$A,MATCH(AR76,[1]物品基础表!$B:$B,0)),"")</f>
        <v/>
      </c>
      <c r="AV76" s="1" t="str">
        <f>IFERROR(INDEX([1]物品基础表!$A:$A,MATCH(AU76,[1]物品基础表!$B:$B,0)),"")</f>
        <v/>
      </c>
      <c r="AY76" s="1" t="str">
        <f>IFERROR(INDEX([1]物品基础表!$A:$A,MATCH(AX76,[1]物品基础表!$B:$B,0)),"")</f>
        <v/>
      </c>
      <c r="BB76" s="1" t="str">
        <f>IFERROR(INDEX([1]物品基础表!$A:$A,MATCH(BA76,[1]物品基础表!$B:$B,0)),"")</f>
        <v/>
      </c>
      <c r="BE76" s="1" t="str">
        <f>IFERROR(INDEX([1]物品基础表!$A:$A,MATCH(BD76,[1]物品基础表!$B:$B,0)),"")</f>
        <v/>
      </c>
      <c r="BH76" s="1" t="str">
        <f>IFERROR(INDEX([1]物品基础表!$A:$A,MATCH(BG76,[1]物品基础表!$B:$B,0)),"")</f>
        <v/>
      </c>
      <c r="BK76" s="1" t="str">
        <f>IFERROR(INDEX([1]物品基础表!$A:$A,MATCH(BJ76,[1]物品基础表!$B:$B,0)),"")</f>
        <v/>
      </c>
    </row>
    <row r="77" spans="1:64">
      <c r="A77" s="39" t="str">
        <f>INDEX([2]活动总表!$A$8:$A$429,MATCH(B77,[2]活动总表!$B$8:$B$429,0))</f>
        <v>暖冬活动-幸运转盘</v>
      </c>
      <c r="B77" s="40">
        <v>272</v>
      </c>
      <c r="C77" s="40">
        <v>10</v>
      </c>
      <c r="D77" s="40"/>
      <c r="E77" s="40"/>
      <c r="F77" s="40" t="s">
        <v>55</v>
      </c>
      <c r="G77" s="40">
        <v>3</v>
      </c>
      <c r="H77" s="40"/>
      <c r="I77" s="40"/>
      <c r="J77" s="57"/>
      <c r="K77" s="1">
        <v>500005</v>
      </c>
      <c r="L77" s="1" t="str">
        <f>IFERROR(INDEX([1]物品基础表!$A:$A,MATCH(K77,[1]物品基础表!$B:$B,0)),"")</f>
        <v>战纹精华-红</v>
      </c>
      <c r="M77" s="1">
        <v>1</v>
      </c>
      <c r="O77" s="1" t="str">
        <f>IFERROR(INDEX([1]物品基础表!$A:$A,MATCH(N77,[1]物品基础表!$B:$B,0)),"")</f>
        <v/>
      </c>
      <c r="R77" s="1" t="str">
        <f>IFERROR(INDEX([1]物品基础表!$A:$A,MATCH(Q77,[1]物品基础表!$B:$B,0)),"")</f>
        <v/>
      </c>
      <c r="U77" s="1" t="str">
        <f>IFERROR(INDEX([1]物品基础表!$A:$A,MATCH(T77,[1]物品基础表!$B:$B,0)),"")</f>
        <v/>
      </c>
      <c r="X77" s="1" t="str">
        <f>IFERROR(INDEX([1]物品基础表!$A:$A,MATCH(W77,[1]物品基础表!$B:$B,0)),"")</f>
        <v/>
      </c>
      <c r="AA77" s="1" t="str">
        <f>IFERROR(INDEX([1]物品基础表!$A:$A,MATCH(Z77,[1]物品基础表!$B:$B,0)),"")</f>
        <v/>
      </c>
      <c r="AD77" s="1" t="str">
        <f>IFERROR(INDEX([1]物品基础表!$A:$A,MATCH(AC77,[1]物品基础表!$B:$B,0)),"")</f>
        <v/>
      </c>
      <c r="AG77" s="1" t="str">
        <f>IFERROR(INDEX([1]物品基础表!$A:$A,MATCH(AF77,[1]物品基础表!$B:$B,0)),"")</f>
        <v/>
      </c>
      <c r="AJ77" s="1" t="str">
        <f>IFERROR(INDEX([1]物品基础表!$A:$A,MATCH(AI77,[1]物品基础表!$B:$B,0)),"")</f>
        <v/>
      </c>
      <c r="AM77" s="1" t="str">
        <f>IFERROR(INDEX([1]物品基础表!$A:$A,MATCH(AL77,[1]物品基础表!$B:$B,0)),"")</f>
        <v/>
      </c>
      <c r="AP77" s="1" t="str">
        <f>IFERROR(INDEX([1]物品基础表!$A:$A,MATCH(AO77,[1]物品基础表!$B:$B,0)),"")</f>
        <v/>
      </c>
      <c r="AS77" s="1" t="str">
        <f>IFERROR(INDEX([1]物品基础表!$A:$A,MATCH(AR77,[1]物品基础表!$B:$B,0)),"")</f>
        <v/>
      </c>
      <c r="AV77" s="1" t="str">
        <f>IFERROR(INDEX([1]物品基础表!$A:$A,MATCH(AU77,[1]物品基础表!$B:$B,0)),"")</f>
        <v/>
      </c>
      <c r="AY77" s="1" t="str">
        <f>IFERROR(INDEX([1]物品基础表!$A:$A,MATCH(AX77,[1]物品基础表!$B:$B,0)),"")</f>
        <v/>
      </c>
      <c r="BB77" s="1" t="str">
        <f>IFERROR(INDEX([1]物品基础表!$A:$A,MATCH(BA77,[1]物品基础表!$B:$B,0)),"")</f>
        <v/>
      </c>
      <c r="BE77" s="1" t="str">
        <f>IFERROR(INDEX([1]物品基础表!$A:$A,MATCH(BD77,[1]物品基础表!$B:$B,0)),"")</f>
        <v/>
      </c>
      <c r="BH77" s="1" t="str">
        <f>IFERROR(INDEX([1]物品基础表!$A:$A,MATCH(BG77,[1]物品基础表!$B:$B,0)),"")</f>
        <v/>
      </c>
      <c r="BK77" s="1" t="str">
        <f>IFERROR(INDEX([1]物品基础表!$A:$A,MATCH(BJ77,[1]物品基础表!$B:$B,0)),"")</f>
        <v/>
      </c>
    </row>
    <row r="78" spans="1:64">
      <c r="A78" s="39" t="str">
        <f>INDEX([2]活动总表!$A$8:$A$429,MATCH(B78,[2]活动总表!$B$8:$B$429,0))</f>
        <v>腊八-福袋（15-30天）</v>
      </c>
      <c r="B78" s="40">
        <v>404</v>
      </c>
      <c r="C78" s="40">
        <v>0</v>
      </c>
      <c r="D78" s="40"/>
      <c r="E78" s="40">
        <v>998</v>
      </c>
      <c r="F78" s="40"/>
      <c r="G78" s="40">
        <v>2</v>
      </c>
      <c r="H78" s="40"/>
      <c r="I78" s="40"/>
      <c r="J78" s="57"/>
      <c r="L78" s="1" t="str">
        <f>IFERROR(INDEX([1]物品基础表!$A:$A,MATCH(K78,[1]物品基础表!$B:$B,0)),"")</f>
        <v/>
      </c>
      <c r="N78" s="1">
        <v>204116</v>
      </c>
      <c r="O78" s="1" t="str">
        <f>IFERROR(INDEX([1]物品基础表!$A:$A,MATCH(N78,[1]物品基础表!$B:$B,0)),"")</f>
        <v>腊八福袋1</v>
      </c>
      <c r="P78" s="1">
        <v>1</v>
      </c>
      <c r="Q78" s="1">
        <v>204117</v>
      </c>
      <c r="R78" s="1" t="str">
        <f>IFERROR(INDEX([1]物品基础表!$A:$A,MATCH(Q78,[1]物品基础表!$B:$B,0)),"")</f>
        <v>腊八福袋2</v>
      </c>
      <c r="S78" s="1">
        <v>1</v>
      </c>
      <c r="T78" s="1">
        <v>204118</v>
      </c>
      <c r="U78" s="1" t="str">
        <f>IFERROR(INDEX([1]物品基础表!$A:$A,MATCH(T78,[1]物品基础表!$B:$B,0)),"")</f>
        <v>腊八福袋3</v>
      </c>
      <c r="V78" s="1">
        <v>1</v>
      </c>
      <c r="W78" s="1">
        <v>204119</v>
      </c>
      <c r="X78" s="1" t="str">
        <f>IFERROR(INDEX([1]物品基础表!$A:$A,MATCH(W78,[1]物品基础表!$B:$B,0)),"")</f>
        <v>腊八福袋4</v>
      </c>
      <c r="Y78" s="1">
        <v>1</v>
      </c>
      <c r="Z78" s="1">
        <v>204120</v>
      </c>
      <c r="AA78" s="1" t="str">
        <f>IFERROR(INDEX([1]物品基础表!$A:$A,MATCH(Z78,[1]物品基础表!$B:$B,0)),"")</f>
        <v>腊八福袋5</v>
      </c>
      <c r="AB78" s="1">
        <v>1</v>
      </c>
      <c r="AD78" s="1" t="str">
        <f>IFERROR(INDEX([1]物品基础表!$A:$A,MATCH(AC78,[1]物品基础表!$B:$B,0)),"")</f>
        <v/>
      </c>
      <c r="AF78" s="1">
        <v>204121</v>
      </c>
      <c r="AG78" s="1" t="str">
        <f>IFERROR(INDEX([1]物品基础表!$A:$A,MATCH(AF78,[1]物品基础表!$B:$B,0)),"")</f>
        <v>腊八福袋6</v>
      </c>
      <c r="AH78" s="1">
        <v>1</v>
      </c>
      <c r="AI78" s="1">
        <v>204122</v>
      </c>
      <c r="AJ78" s="1" t="str">
        <f>IFERROR(INDEX([1]物品基础表!$A:$A,MATCH(AI78,[1]物品基础表!$B:$B,0)),"")</f>
        <v>腊八福袋7</v>
      </c>
      <c r="AK78" s="1">
        <v>1</v>
      </c>
      <c r="AL78" s="1">
        <v>204123</v>
      </c>
      <c r="AM78" s="1" t="str">
        <f>IFERROR(INDEX([1]物品基础表!$A:$A,MATCH(AL78,[1]物品基础表!$B:$B,0)),"")</f>
        <v>腊八福袋8</v>
      </c>
      <c r="AN78" s="1">
        <v>1</v>
      </c>
      <c r="AO78" s="1">
        <v>204124</v>
      </c>
      <c r="AP78" s="1" t="str">
        <f>IFERROR(INDEX([1]物品基础表!$A:$A,MATCH(AO78,[1]物品基础表!$B:$B,0)),"")</f>
        <v>腊八福袋9</v>
      </c>
      <c r="AQ78" s="1">
        <v>1</v>
      </c>
      <c r="AR78" s="1">
        <v>204125</v>
      </c>
      <c r="AS78" s="1" t="str">
        <f>IFERROR(INDEX([1]物品基础表!$A:$A,MATCH(AR78,[1]物品基础表!$B:$B,0)),"")</f>
        <v>腊八福袋10</v>
      </c>
      <c r="AT78" s="1">
        <v>1</v>
      </c>
      <c r="AU78" s="1">
        <v>204126</v>
      </c>
      <c r="AV78" s="1" t="str">
        <f>IFERROR(INDEX([1]物品基础表!$A:$A,MATCH(AU78,[1]物品基础表!$B:$B,0)),"")</f>
        <v>腊八福袋11</v>
      </c>
      <c r="AW78" s="1">
        <v>1</v>
      </c>
      <c r="AX78" s="1">
        <v>204127</v>
      </c>
      <c r="AY78" s="1" t="str">
        <f>IFERROR(INDEX([1]物品基础表!$A:$A,MATCH(AX78,[1]物品基础表!$B:$B,0)),"")</f>
        <v>腊八福袋12</v>
      </c>
      <c r="AZ78" s="1">
        <v>1</v>
      </c>
      <c r="BA78" s="1">
        <v>204128</v>
      </c>
      <c r="BB78" s="1" t="str">
        <f>IFERROR(INDEX([1]物品基础表!$A:$A,MATCH(BA78,[1]物品基础表!$B:$B,0)),"")</f>
        <v>腊八福袋13</v>
      </c>
      <c r="BC78" s="1">
        <v>1</v>
      </c>
      <c r="BD78" s="1">
        <v>204129</v>
      </c>
      <c r="BE78" s="1" t="str">
        <f>IFERROR(INDEX([1]物品基础表!$A:$A,MATCH(BD78,[1]物品基础表!$B:$B,0)),"")</f>
        <v>腊八福袋14</v>
      </c>
      <c r="BF78" s="1">
        <v>1</v>
      </c>
      <c r="BG78" s="1">
        <v>204130</v>
      </c>
      <c r="BH78" s="1" t="str">
        <f>IFERROR(INDEX([1]物品基础表!$A:$A,MATCH(BG78,[1]物品基础表!$B:$B,0)),"")</f>
        <v>腊八福袋15</v>
      </c>
      <c r="BI78" s="1">
        <v>1</v>
      </c>
      <c r="BJ78" s="1">
        <v>204131</v>
      </c>
      <c r="BK78" s="1" t="str">
        <f>IFERROR(INDEX([1]物品基础表!$A:$A,MATCH(BJ78,[1]物品基础表!$B:$B,0)),"")</f>
        <v>腊八福袋16</v>
      </c>
      <c r="BL78" s="1">
        <v>1</v>
      </c>
    </row>
    <row r="79" spans="1:64">
      <c r="A79" s="39" t="str">
        <f>INDEX([2]活动总表!$A$8:$A$429,MATCH(B79,[2]活动总表!$B$8:$B$429,0))</f>
        <v>腊八-福袋（15-30天）</v>
      </c>
      <c r="B79" s="40">
        <v>404</v>
      </c>
      <c r="C79" s="40">
        <v>1</v>
      </c>
      <c r="D79" s="40"/>
      <c r="E79" s="40"/>
      <c r="F79" s="40" t="s">
        <v>825</v>
      </c>
      <c r="G79" s="40">
        <v>2</v>
      </c>
      <c r="H79" s="40"/>
      <c r="I79" s="40"/>
      <c r="J79" s="57"/>
      <c r="K79" s="1">
        <v>204134</v>
      </c>
      <c r="L79" s="1" t="str">
        <f>IFERROR(INDEX([1]物品基础表!$A:$A,MATCH(K79,[1]物品基础表!$B:$B,0)),"")</f>
        <v>金色图鉴包·倾国倾城</v>
      </c>
      <c r="M79" s="1">
        <v>1</v>
      </c>
      <c r="O79" s="1" t="str">
        <f>IFERROR(INDEX([1]物品基础表!$A:$A,MATCH(N79,[1]物品基础表!$B:$B,0)),"")</f>
        <v/>
      </c>
      <c r="R79" s="1" t="str">
        <f>IFERROR(INDEX([1]物品基础表!$A:$A,MATCH(Q79,[1]物品基础表!$B:$B,0)),"")</f>
        <v/>
      </c>
      <c r="U79" s="1" t="str">
        <f>IFERROR(INDEX([1]物品基础表!$A:$A,MATCH(T79,[1]物品基础表!$B:$B,0)),"")</f>
        <v/>
      </c>
      <c r="X79" s="1" t="str">
        <f>IFERROR(INDEX([1]物品基础表!$A:$A,MATCH(W79,[1]物品基础表!$B:$B,0)),"")</f>
        <v/>
      </c>
      <c r="AA79" s="1" t="str">
        <f>IFERROR(INDEX([1]物品基础表!$A:$A,MATCH(Z79,[1]物品基础表!$B:$B,0)),"")</f>
        <v/>
      </c>
      <c r="AD79" s="1" t="str">
        <f>IFERROR(INDEX([1]物品基础表!$A:$A,MATCH(AC79,[1]物品基础表!$B:$B,0)),"")</f>
        <v/>
      </c>
      <c r="AG79" s="1" t="str">
        <f>IFERROR(INDEX([1]物品基础表!$A:$A,MATCH(AF79,[1]物品基础表!$B:$B,0)),"")</f>
        <v/>
      </c>
      <c r="AJ79" s="1" t="str">
        <f>IFERROR(INDEX([1]物品基础表!$A:$A,MATCH(AI79,[1]物品基础表!$B:$B,0)),"")</f>
        <v/>
      </c>
      <c r="AM79" s="1" t="str">
        <f>IFERROR(INDEX([1]物品基础表!$A:$A,MATCH(AL79,[1]物品基础表!$B:$B,0)),"")</f>
        <v/>
      </c>
      <c r="AP79" s="1" t="str">
        <f>IFERROR(INDEX([1]物品基础表!$A:$A,MATCH(AO79,[1]物品基础表!$B:$B,0)),"")</f>
        <v/>
      </c>
      <c r="AS79" s="1" t="str">
        <f>IFERROR(INDEX([1]物品基础表!$A:$A,MATCH(AR79,[1]物品基础表!$B:$B,0)),"")</f>
        <v/>
      </c>
      <c r="AV79" s="1" t="str">
        <f>IFERROR(INDEX([1]物品基础表!$A:$A,MATCH(AU79,[1]物品基础表!$B:$B,0)),"")</f>
        <v/>
      </c>
      <c r="AY79" s="1" t="str">
        <f>IFERROR(INDEX([1]物品基础表!$A:$A,MATCH(AX79,[1]物品基础表!$B:$B,0)),"")</f>
        <v/>
      </c>
      <c r="BB79" s="1" t="str">
        <f>IFERROR(INDEX([1]物品基础表!$A:$A,MATCH(BA79,[1]物品基础表!$B:$B,0)),"")</f>
        <v/>
      </c>
      <c r="BE79" s="1" t="str">
        <f>IFERROR(INDEX([1]物品基础表!$A:$A,MATCH(BD79,[1]物品基础表!$B:$B,0)),"")</f>
        <v/>
      </c>
      <c r="BH79" s="1" t="str">
        <f>IFERROR(INDEX([1]物品基础表!$A:$A,MATCH(BG79,[1]物品基础表!$B:$B,0)),"")</f>
        <v/>
      </c>
      <c r="BK79" s="1" t="str">
        <f>IFERROR(INDEX([1]物品基础表!$A:$A,MATCH(BJ79,[1]物品基础表!$B:$B,0)),"")</f>
        <v/>
      </c>
    </row>
    <row r="80" spans="1:64">
      <c r="A80" s="39" t="str">
        <f>INDEX([2]活动总表!$A$8:$A$429,MATCH(B80,[2]活动总表!$B$8:$B$429,0))</f>
        <v>腊八-福袋（15-30天）</v>
      </c>
      <c r="B80" s="40">
        <v>404</v>
      </c>
      <c r="C80" s="40">
        <v>2</v>
      </c>
      <c r="D80" s="40"/>
      <c r="E80" s="40"/>
      <c r="F80" s="40" t="s">
        <v>826</v>
      </c>
      <c r="G80" s="40">
        <v>2</v>
      </c>
      <c r="H80" s="40"/>
      <c r="I80" s="40"/>
      <c r="J80" s="57"/>
      <c r="K80" s="1">
        <v>204133</v>
      </c>
      <c r="L80" s="1" t="str">
        <f>IFERROR(INDEX([1]物品基础表!$A:$A,MATCH(K80,[1]物品基础表!$B:$B,0)),"")</f>
        <v>红色图鉴包·倾国倾城</v>
      </c>
      <c r="M80" s="1">
        <v>1</v>
      </c>
      <c r="O80" s="1" t="str">
        <f>IFERROR(INDEX([1]物品基础表!$A:$A,MATCH(N80,[1]物品基础表!$B:$B,0)),"")</f>
        <v/>
      </c>
      <c r="R80" s="1" t="str">
        <f>IFERROR(INDEX([1]物品基础表!$A:$A,MATCH(Q80,[1]物品基础表!$B:$B,0)),"")</f>
        <v/>
      </c>
      <c r="U80" s="1" t="str">
        <f>IFERROR(INDEX([1]物品基础表!$A:$A,MATCH(T80,[1]物品基础表!$B:$B,0)),"")</f>
        <v/>
      </c>
      <c r="X80" s="1" t="str">
        <f>IFERROR(INDEX([1]物品基础表!$A:$A,MATCH(W80,[1]物品基础表!$B:$B,0)),"")</f>
        <v/>
      </c>
      <c r="AA80" s="1" t="str">
        <f>IFERROR(INDEX([1]物品基础表!$A:$A,MATCH(Z80,[1]物品基础表!$B:$B,0)),"")</f>
        <v/>
      </c>
      <c r="AD80" s="1" t="str">
        <f>IFERROR(INDEX([1]物品基础表!$A:$A,MATCH(AC80,[1]物品基础表!$B:$B,0)),"")</f>
        <v/>
      </c>
      <c r="AG80" s="1" t="str">
        <f>IFERROR(INDEX([1]物品基础表!$A:$A,MATCH(AF80,[1]物品基础表!$B:$B,0)),"")</f>
        <v/>
      </c>
      <c r="AJ80" s="1" t="str">
        <f>IFERROR(INDEX([1]物品基础表!$A:$A,MATCH(AI80,[1]物品基础表!$B:$B,0)),"")</f>
        <v/>
      </c>
      <c r="AM80" s="1" t="str">
        <f>IFERROR(INDEX([1]物品基础表!$A:$A,MATCH(AL80,[1]物品基础表!$B:$B,0)),"")</f>
        <v/>
      </c>
      <c r="AP80" s="1" t="str">
        <f>IFERROR(INDEX([1]物品基础表!$A:$A,MATCH(AO80,[1]物品基础表!$B:$B,0)),"")</f>
        <v/>
      </c>
      <c r="AS80" s="1" t="str">
        <f>IFERROR(INDEX([1]物品基础表!$A:$A,MATCH(AR80,[1]物品基础表!$B:$B,0)),"")</f>
        <v/>
      </c>
      <c r="AV80" s="1" t="str">
        <f>IFERROR(INDEX([1]物品基础表!$A:$A,MATCH(AU80,[1]物品基础表!$B:$B,0)),"")</f>
        <v/>
      </c>
      <c r="AY80" s="1" t="str">
        <f>IFERROR(INDEX([1]物品基础表!$A:$A,MATCH(AX80,[1]物品基础表!$B:$B,0)),"")</f>
        <v/>
      </c>
      <c r="BB80" s="1" t="str">
        <f>IFERROR(INDEX([1]物品基础表!$A:$A,MATCH(BA80,[1]物品基础表!$B:$B,0)),"")</f>
        <v/>
      </c>
      <c r="BE80" s="1" t="str">
        <f>IFERROR(INDEX([1]物品基础表!$A:$A,MATCH(BD80,[1]物品基础表!$B:$B,0)),"")</f>
        <v/>
      </c>
      <c r="BH80" s="1" t="str">
        <f>IFERROR(INDEX([1]物品基础表!$A:$A,MATCH(BG80,[1]物品基础表!$B:$B,0)),"")</f>
        <v/>
      </c>
      <c r="BK80" s="1" t="str">
        <f>IFERROR(INDEX([1]物品基础表!$A:$A,MATCH(BJ80,[1]物品基础表!$B:$B,0)),"")</f>
        <v/>
      </c>
    </row>
    <row r="81" spans="1:63">
      <c r="A81" s="39" t="str">
        <f>INDEX([2]活动总表!$A$8:$A$429,MATCH(B81,[2]活动总表!$B$8:$B$429,0))</f>
        <v>腊八-福袋（15-30天）</v>
      </c>
      <c r="B81" s="40">
        <v>404</v>
      </c>
      <c r="C81" s="40">
        <v>3</v>
      </c>
      <c r="D81" s="40"/>
      <c r="E81" s="40"/>
      <c r="F81" s="40" t="s">
        <v>827</v>
      </c>
      <c r="G81" s="40">
        <v>2</v>
      </c>
      <c r="H81" s="40"/>
      <c r="I81" s="40"/>
      <c r="J81" s="57"/>
      <c r="K81" s="1">
        <v>204138</v>
      </c>
      <c r="L81" s="1" t="str">
        <f>IFERROR(INDEX([1]物品基础表!$A:$A,MATCH(K81,[1]物品基础表!$B:$B,0)),"")</f>
        <v>轮回宝箱（10转）</v>
      </c>
      <c r="M81" s="1">
        <v>1</v>
      </c>
      <c r="O81" s="1" t="str">
        <f>IFERROR(INDEX([1]物品基础表!$A:$A,MATCH(N81,[1]物品基础表!$B:$B,0)),"")</f>
        <v/>
      </c>
      <c r="R81" s="1" t="str">
        <f>IFERROR(INDEX([1]物品基础表!$A:$A,MATCH(Q81,[1]物品基础表!$B:$B,0)),"")</f>
        <v/>
      </c>
      <c r="U81" s="1" t="str">
        <f>IFERROR(INDEX([1]物品基础表!$A:$A,MATCH(T81,[1]物品基础表!$B:$B,0)),"")</f>
        <v/>
      </c>
      <c r="X81" s="1" t="str">
        <f>IFERROR(INDEX([1]物品基础表!$A:$A,MATCH(W81,[1]物品基础表!$B:$B,0)),"")</f>
        <v/>
      </c>
      <c r="AA81" s="1" t="str">
        <f>IFERROR(INDEX([1]物品基础表!$A:$A,MATCH(Z81,[1]物品基础表!$B:$B,0)),"")</f>
        <v/>
      </c>
      <c r="AD81" s="1" t="str">
        <f>IFERROR(INDEX([1]物品基础表!$A:$A,MATCH(AC81,[1]物品基础表!$B:$B,0)),"")</f>
        <v/>
      </c>
      <c r="AG81" s="1" t="str">
        <f>IFERROR(INDEX([1]物品基础表!$A:$A,MATCH(AF81,[1]物品基础表!$B:$B,0)),"")</f>
        <v/>
      </c>
      <c r="AJ81" s="1" t="str">
        <f>IFERROR(INDEX([1]物品基础表!$A:$A,MATCH(AI81,[1]物品基础表!$B:$B,0)),"")</f>
        <v/>
      </c>
      <c r="AM81" s="1" t="str">
        <f>IFERROR(INDEX([1]物品基础表!$A:$A,MATCH(AL81,[1]物品基础表!$B:$B,0)),"")</f>
        <v/>
      </c>
      <c r="AP81" s="1" t="str">
        <f>IFERROR(INDEX([1]物品基础表!$A:$A,MATCH(AO81,[1]物品基础表!$B:$B,0)),"")</f>
        <v/>
      </c>
      <c r="AS81" s="1" t="str">
        <f>IFERROR(INDEX([1]物品基础表!$A:$A,MATCH(AR81,[1]物品基础表!$B:$B,0)),"")</f>
        <v/>
      </c>
      <c r="AV81" s="1" t="str">
        <f>IFERROR(INDEX([1]物品基础表!$A:$A,MATCH(AU81,[1]物品基础表!$B:$B,0)),"")</f>
        <v/>
      </c>
      <c r="AY81" s="1" t="str">
        <f>IFERROR(INDEX([1]物品基础表!$A:$A,MATCH(AX81,[1]物品基础表!$B:$B,0)),"")</f>
        <v/>
      </c>
      <c r="BB81" s="1" t="str">
        <f>IFERROR(INDEX([1]物品基础表!$A:$A,MATCH(BA81,[1]物品基础表!$B:$B,0)),"")</f>
        <v/>
      </c>
      <c r="BE81" s="1" t="str">
        <f>IFERROR(INDEX([1]物品基础表!$A:$A,MATCH(BD81,[1]物品基础表!$B:$B,0)),"")</f>
        <v/>
      </c>
      <c r="BH81" s="1" t="str">
        <f>IFERROR(INDEX([1]物品基础表!$A:$A,MATCH(BG81,[1]物品基础表!$B:$B,0)),"")</f>
        <v/>
      </c>
      <c r="BK81" s="1" t="str">
        <f>IFERROR(INDEX([1]物品基础表!$A:$A,MATCH(BJ81,[1]物品基础表!$B:$B,0)),"")</f>
        <v/>
      </c>
    </row>
    <row r="82" spans="1:63">
      <c r="A82" s="39" t="str">
        <f>INDEX([2]活动总表!$A$8:$A$429,MATCH(B82,[2]活动总表!$B$8:$B$429,0))</f>
        <v>腊八-福袋（15-30天）</v>
      </c>
      <c r="B82" s="40">
        <v>404</v>
      </c>
      <c r="C82" s="40">
        <v>4</v>
      </c>
      <c r="D82" s="40"/>
      <c r="E82" s="40"/>
      <c r="F82" s="40" t="s">
        <v>828</v>
      </c>
      <c r="G82" s="40">
        <v>2</v>
      </c>
      <c r="H82" s="40"/>
      <c r="I82" s="40"/>
      <c r="J82" s="57"/>
      <c r="K82" s="1">
        <v>204137</v>
      </c>
      <c r="L82" s="1" t="str">
        <f>IFERROR(INDEX([1]物品基础表!$A:$A,MATCH(K82,[1]物品基础表!$B:$B,0)),"")</f>
        <v>轮回宝箱（9转）</v>
      </c>
      <c r="M82" s="1">
        <v>1</v>
      </c>
      <c r="O82" s="1" t="str">
        <f>IFERROR(INDEX([1]物品基础表!$A:$A,MATCH(N82,[1]物品基础表!$B:$B,0)),"")</f>
        <v/>
      </c>
      <c r="R82" s="1" t="str">
        <f>IFERROR(INDEX([1]物品基础表!$A:$A,MATCH(Q82,[1]物品基础表!$B:$B,0)),"")</f>
        <v/>
      </c>
      <c r="U82" s="1" t="str">
        <f>IFERROR(INDEX([1]物品基础表!$A:$A,MATCH(T82,[1]物品基础表!$B:$B,0)),"")</f>
        <v/>
      </c>
      <c r="X82" s="1" t="str">
        <f>IFERROR(INDEX([1]物品基础表!$A:$A,MATCH(W82,[1]物品基础表!$B:$B,0)),"")</f>
        <v/>
      </c>
      <c r="AA82" s="1" t="str">
        <f>IFERROR(INDEX([1]物品基础表!$A:$A,MATCH(Z82,[1]物品基础表!$B:$B,0)),"")</f>
        <v/>
      </c>
      <c r="AD82" s="1" t="str">
        <f>IFERROR(INDEX([1]物品基础表!$A:$A,MATCH(AC82,[1]物品基础表!$B:$B,0)),"")</f>
        <v/>
      </c>
      <c r="AG82" s="1" t="str">
        <f>IFERROR(INDEX([1]物品基础表!$A:$A,MATCH(AF82,[1]物品基础表!$B:$B,0)),"")</f>
        <v/>
      </c>
      <c r="AJ82" s="1" t="str">
        <f>IFERROR(INDEX([1]物品基础表!$A:$A,MATCH(AI82,[1]物品基础表!$B:$B,0)),"")</f>
        <v/>
      </c>
      <c r="AM82" s="1" t="str">
        <f>IFERROR(INDEX([1]物品基础表!$A:$A,MATCH(AL82,[1]物品基础表!$B:$B,0)),"")</f>
        <v/>
      </c>
      <c r="AP82" s="1" t="str">
        <f>IFERROR(INDEX([1]物品基础表!$A:$A,MATCH(AO82,[1]物品基础表!$B:$B,0)),"")</f>
        <v/>
      </c>
      <c r="AS82" s="1" t="str">
        <f>IFERROR(INDEX([1]物品基础表!$A:$A,MATCH(AR82,[1]物品基础表!$B:$B,0)),"")</f>
        <v/>
      </c>
      <c r="AV82" s="1" t="str">
        <f>IFERROR(INDEX([1]物品基础表!$A:$A,MATCH(AU82,[1]物品基础表!$B:$B,0)),"")</f>
        <v/>
      </c>
      <c r="AY82" s="1" t="str">
        <f>IFERROR(INDEX([1]物品基础表!$A:$A,MATCH(AX82,[1]物品基础表!$B:$B,0)),"")</f>
        <v/>
      </c>
      <c r="BB82" s="1" t="str">
        <f>IFERROR(INDEX([1]物品基础表!$A:$A,MATCH(BA82,[1]物品基础表!$B:$B,0)),"")</f>
        <v/>
      </c>
      <c r="BE82" s="1" t="str">
        <f>IFERROR(INDEX([1]物品基础表!$A:$A,MATCH(BD82,[1]物品基础表!$B:$B,0)),"")</f>
        <v/>
      </c>
      <c r="BH82" s="1" t="str">
        <f>IFERROR(INDEX([1]物品基础表!$A:$A,MATCH(BG82,[1]物品基础表!$B:$B,0)),"")</f>
        <v/>
      </c>
      <c r="BK82" s="1" t="str">
        <f>IFERROR(INDEX([1]物品基础表!$A:$A,MATCH(BJ82,[1]物品基础表!$B:$B,0)),"")</f>
        <v/>
      </c>
    </row>
    <row r="83" spans="1:63">
      <c r="A83" s="39" t="str">
        <f>INDEX([2]活动总表!$A$8:$A$429,MATCH(B83,[2]活动总表!$B$8:$B$429,0))</f>
        <v>腊八-福袋（15-30天）</v>
      </c>
      <c r="B83" s="40">
        <v>404</v>
      </c>
      <c r="C83" s="40">
        <v>5</v>
      </c>
      <c r="D83" s="40"/>
      <c r="E83" s="40"/>
      <c r="F83" s="40" t="s">
        <v>829</v>
      </c>
      <c r="G83" s="40">
        <v>2</v>
      </c>
      <c r="H83" s="40"/>
      <c r="I83" s="40"/>
      <c r="J83" s="57"/>
      <c r="K83" s="1">
        <v>200143</v>
      </c>
      <c r="L83" s="1" t="str">
        <f>IFERROR(INDEX([1]物品基础表!$A:$A,MATCH(K83,[1]物品基础表!$B:$B,0)),"")</f>
        <v>传世头盔</v>
      </c>
      <c r="M83" s="1">
        <v>1</v>
      </c>
      <c r="O83" s="1" t="str">
        <f>IFERROR(INDEX([1]物品基础表!$A:$A,MATCH(N83,[1]物品基础表!$B:$B,0)),"")</f>
        <v/>
      </c>
      <c r="R83" s="1" t="str">
        <f>IFERROR(INDEX([1]物品基础表!$A:$A,MATCH(Q83,[1]物品基础表!$B:$B,0)),"")</f>
        <v/>
      </c>
      <c r="U83" s="1" t="str">
        <f>IFERROR(INDEX([1]物品基础表!$A:$A,MATCH(T83,[1]物品基础表!$B:$B,0)),"")</f>
        <v/>
      </c>
      <c r="X83" s="1" t="str">
        <f>IFERROR(INDEX([1]物品基础表!$A:$A,MATCH(W83,[1]物品基础表!$B:$B,0)),"")</f>
        <v/>
      </c>
      <c r="AA83" s="1" t="str">
        <f>IFERROR(INDEX([1]物品基础表!$A:$A,MATCH(Z83,[1]物品基础表!$B:$B,0)),"")</f>
        <v/>
      </c>
      <c r="AD83" s="1" t="str">
        <f>IFERROR(INDEX([1]物品基础表!$A:$A,MATCH(AC83,[1]物品基础表!$B:$B,0)),"")</f>
        <v/>
      </c>
      <c r="AG83" s="1" t="str">
        <f>IFERROR(INDEX([1]物品基础表!$A:$A,MATCH(AF83,[1]物品基础表!$B:$B,0)),"")</f>
        <v/>
      </c>
      <c r="AJ83" s="1" t="str">
        <f>IFERROR(INDEX([1]物品基础表!$A:$A,MATCH(AI83,[1]物品基础表!$B:$B,0)),"")</f>
        <v/>
      </c>
      <c r="AM83" s="1" t="str">
        <f>IFERROR(INDEX([1]物品基础表!$A:$A,MATCH(AL83,[1]物品基础表!$B:$B,0)),"")</f>
        <v/>
      </c>
      <c r="AP83" s="1" t="str">
        <f>IFERROR(INDEX([1]物品基础表!$A:$A,MATCH(AO83,[1]物品基础表!$B:$B,0)),"")</f>
        <v/>
      </c>
      <c r="AS83" s="1" t="str">
        <f>IFERROR(INDEX([1]物品基础表!$A:$A,MATCH(AR83,[1]物品基础表!$B:$B,0)),"")</f>
        <v/>
      </c>
      <c r="AV83" s="1" t="str">
        <f>IFERROR(INDEX([1]物品基础表!$A:$A,MATCH(AU83,[1]物品基础表!$B:$B,0)),"")</f>
        <v/>
      </c>
      <c r="AY83" s="1" t="str">
        <f>IFERROR(INDEX([1]物品基础表!$A:$A,MATCH(AX83,[1]物品基础表!$B:$B,0)),"")</f>
        <v/>
      </c>
      <c r="BB83" s="1" t="str">
        <f>IFERROR(INDEX([1]物品基础表!$A:$A,MATCH(BA83,[1]物品基础表!$B:$B,0)),"")</f>
        <v/>
      </c>
      <c r="BE83" s="1" t="str">
        <f>IFERROR(INDEX([1]物品基础表!$A:$A,MATCH(BD83,[1]物品基础表!$B:$B,0)),"")</f>
        <v/>
      </c>
      <c r="BH83" s="1" t="str">
        <f>IFERROR(INDEX([1]物品基础表!$A:$A,MATCH(BG83,[1]物品基础表!$B:$B,0)),"")</f>
        <v/>
      </c>
      <c r="BK83" s="1" t="str">
        <f>IFERROR(INDEX([1]物品基础表!$A:$A,MATCH(BJ83,[1]物品基础表!$B:$B,0)),"")</f>
        <v/>
      </c>
    </row>
    <row r="84" spans="1:63">
      <c r="A84" s="39" t="str">
        <f>INDEX([2]活动总表!$A$8:$A$429,MATCH(B84,[2]活动总表!$B$8:$B$429,0))</f>
        <v>腊八-福袋（15-30天）</v>
      </c>
      <c r="B84" s="40">
        <v>404</v>
      </c>
      <c r="C84" s="40">
        <v>6</v>
      </c>
      <c r="D84" s="40"/>
      <c r="E84" s="40"/>
      <c r="F84" s="40" t="s">
        <v>829</v>
      </c>
      <c r="G84" s="40">
        <v>2</v>
      </c>
      <c r="H84" s="40"/>
      <c r="I84" s="40"/>
      <c r="J84" s="57"/>
      <c r="K84" s="1">
        <v>200145</v>
      </c>
      <c r="L84" s="1" t="str">
        <f>IFERROR(INDEX([1]物品基础表!$A:$A,MATCH(K84,[1]物品基础表!$B:$B,0)),"")</f>
        <v>传世项链</v>
      </c>
      <c r="M84" s="1">
        <v>1</v>
      </c>
      <c r="O84" s="1" t="str">
        <f>IFERROR(INDEX([1]物品基础表!$A:$A,MATCH(N84,[1]物品基础表!$B:$B,0)),"")</f>
        <v/>
      </c>
      <c r="R84" s="1" t="str">
        <f>IFERROR(INDEX([1]物品基础表!$A:$A,MATCH(Q84,[1]物品基础表!$B:$B,0)),"")</f>
        <v/>
      </c>
      <c r="U84" s="1" t="str">
        <f>IFERROR(INDEX([1]物品基础表!$A:$A,MATCH(T84,[1]物品基础表!$B:$B,0)),"")</f>
        <v/>
      </c>
      <c r="X84" s="1" t="str">
        <f>IFERROR(INDEX([1]物品基础表!$A:$A,MATCH(W84,[1]物品基础表!$B:$B,0)),"")</f>
        <v/>
      </c>
      <c r="AA84" s="1" t="str">
        <f>IFERROR(INDEX([1]物品基础表!$A:$A,MATCH(Z84,[1]物品基础表!$B:$B,0)),"")</f>
        <v/>
      </c>
      <c r="AD84" s="1" t="str">
        <f>IFERROR(INDEX([1]物品基础表!$A:$A,MATCH(AC84,[1]物品基础表!$B:$B,0)),"")</f>
        <v/>
      </c>
      <c r="AG84" s="1" t="str">
        <f>IFERROR(INDEX([1]物品基础表!$A:$A,MATCH(AF84,[1]物品基础表!$B:$B,0)),"")</f>
        <v/>
      </c>
      <c r="AJ84" s="1" t="str">
        <f>IFERROR(INDEX([1]物品基础表!$A:$A,MATCH(AI84,[1]物品基础表!$B:$B,0)),"")</f>
        <v/>
      </c>
      <c r="AM84" s="1" t="str">
        <f>IFERROR(INDEX([1]物品基础表!$A:$A,MATCH(AL84,[1]物品基础表!$B:$B,0)),"")</f>
        <v/>
      </c>
      <c r="AP84" s="1" t="str">
        <f>IFERROR(INDEX([1]物品基础表!$A:$A,MATCH(AO84,[1]物品基础表!$B:$B,0)),"")</f>
        <v/>
      </c>
      <c r="AS84" s="1" t="str">
        <f>IFERROR(INDEX([1]物品基础表!$A:$A,MATCH(AR84,[1]物品基础表!$B:$B,0)),"")</f>
        <v/>
      </c>
      <c r="AV84" s="1" t="str">
        <f>IFERROR(INDEX([1]物品基础表!$A:$A,MATCH(AU84,[1]物品基础表!$B:$B,0)),"")</f>
        <v/>
      </c>
      <c r="AY84" s="1" t="str">
        <f>IFERROR(INDEX([1]物品基础表!$A:$A,MATCH(AX84,[1]物品基础表!$B:$B,0)),"")</f>
        <v/>
      </c>
      <c r="BB84" s="1" t="str">
        <f>IFERROR(INDEX([1]物品基础表!$A:$A,MATCH(BA84,[1]物品基础表!$B:$B,0)),"")</f>
        <v/>
      </c>
      <c r="BE84" s="1" t="str">
        <f>IFERROR(INDEX([1]物品基础表!$A:$A,MATCH(BD84,[1]物品基础表!$B:$B,0)),"")</f>
        <v/>
      </c>
      <c r="BH84" s="1" t="str">
        <f>IFERROR(INDEX([1]物品基础表!$A:$A,MATCH(BG84,[1]物品基础表!$B:$B,0)),"")</f>
        <v/>
      </c>
      <c r="BK84" s="1" t="str">
        <f>IFERROR(INDEX([1]物品基础表!$A:$A,MATCH(BJ84,[1]物品基础表!$B:$B,0)),"")</f>
        <v/>
      </c>
    </row>
    <row r="85" spans="1:63">
      <c r="A85" s="39" t="str">
        <f>INDEX([2]活动总表!$A$8:$A$429,MATCH(B85,[2]活动总表!$B$8:$B$429,0))</f>
        <v>腊八-福袋（15-30天）</v>
      </c>
      <c r="B85" s="40">
        <v>404</v>
      </c>
      <c r="C85" s="40">
        <v>7</v>
      </c>
      <c r="D85" s="40"/>
      <c r="E85" s="40"/>
      <c r="F85" s="40" t="s">
        <v>829</v>
      </c>
      <c r="G85" s="40">
        <v>2</v>
      </c>
      <c r="H85" s="40"/>
      <c r="I85" s="40"/>
      <c r="J85" s="57"/>
      <c r="K85" s="1">
        <v>200147</v>
      </c>
      <c r="L85" s="1" t="str">
        <f>IFERROR(INDEX([1]物品基础表!$A:$A,MATCH(K85,[1]物品基础表!$B:$B,0)),"")</f>
        <v>传世腰带</v>
      </c>
      <c r="M85" s="1">
        <v>1</v>
      </c>
      <c r="O85" s="1" t="str">
        <f>IFERROR(INDEX([1]物品基础表!$A:$A,MATCH(N85,[1]物品基础表!$B:$B,0)),"")</f>
        <v/>
      </c>
      <c r="R85" s="1" t="str">
        <f>IFERROR(INDEX([1]物品基础表!$A:$A,MATCH(Q85,[1]物品基础表!$B:$B,0)),"")</f>
        <v/>
      </c>
      <c r="U85" s="1" t="str">
        <f>IFERROR(INDEX([1]物品基础表!$A:$A,MATCH(T85,[1]物品基础表!$B:$B,0)),"")</f>
        <v/>
      </c>
      <c r="X85" s="1" t="str">
        <f>IFERROR(INDEX([1]物品基础表!$A:$A,MATCH(W85,[1]物品基础表!$B:$B,0)),"")</f>
        <v/>
      </c>
      <c r="AA85" s="1" t="str">
        <f>IFERROR(INDEX([1]物品基础表!$A:$A,MATCH(Z85,[1]物品基础表!$B:$B,0)),"")</f>
        <v/>
      </c>
      <c r="AD85" s="1" t="str">
        <f>IFERROR(INDEX([1]物品基础表!$A:$A,MATCH(AC85,[1]物品基础表!$B:$B,0)),"")</f>
        <v/>
      </c>
      <c r="AG85" s="1" t="str">
        <f>IFERROR(INDEX([1]物品基础表!$A:$A,MATCH(AF85,[1]物品基础表!$B:$B,0)),"")</f>
        <v/>
      </c>
      <c r="AJ85" s="1" t="str">
        <f>IFERROR(INDEX([1]物品基础表!$A:$A,MATCH(AI85,[1]物品基础表!$B:$B,0)),"")</f>
        <v/>
      </c>
      <c r="AM85" s="1" t="str">
        <f>IFERROR(INDEX([1]物品基础表!$A:$A,MATCH(AL85,[1]物品基础表!$B:$B,0)),"")</f>
        <v/>
      </c>
      <c r="AP85" s="1" t="str">
        <f>IFERROR(INDEX([1]物品基础表!$A:$A,MATCH(AO85,[1]物品基础表!$B:$B,0)),"")</f>
        <v/>
      </c>
      <c r="AS85" s="1" t="str">
        <f>IFERROR(INDEX([1]物品基础表!$A:$A,MATCH(AR85,[1]物品基础表!$B:$B,0)),"")</f>
        <v/>
      </c>
      <c r="AV85" s="1" t="str">
        <f>IFERROR(INDEX([1]物品基础表!$A:$A,MATCH(AU85,[1]物品基础表!$B:$B,0)),"")</f>
        <v/>
      </c>
      <c r="AY85" s="1" t="str">
        <f>IFERROR(INDEX([1]物品基础表!$A:$A,MATCH(AX85,[1]物品基础表!$B:$B,0)),"")</f>
        <v/>
      </c>
      <c r="BB85" s="1" t="str">
        <f>IFERROR(INDEX([1]物品基础表!$A:$A,MATCH(BA85,[1]物品基础表!$B:$B,0)),"")</f>
        <v/>
      </c>
      <c r="BE85" s="1" t="str">
        <f>IFERROR(INDEX([1]物品基础表!$A:$A,MATCH(BD85,[1]物品基础表!$B:$B,0)),"")</f>
        <v/>
      </c>
      <c r="BH85" s="1" t="str">
        <f>IFERROR(INDEX([1]物品基础表!$A:$A,MATCH(BG85,[1]物品基础表!$B:$B,0)),"")</f>
        <v/>
      </c>
      <c r="BK85" s="1" t="str">
        <f>IFERROR(INDEX([1]物品基础表!$A:$A,MATCH(BJ85,[1]物品基础表!$B:$B,0)),"")</f>
        <v/>
      </c>
    </row>
    <row r="86" spans="1:63">
      <c r="A86" s="39" t="str">
        <f>INDEX([2]活动总表!$A$8:$A$429,MATCH(B86,[2]活动总表!$B$8:$B$429,0))</f>
        <v>腊八-福袋（15-30天）</v>
      </c>
      <c r="B86" s="40">
        <v>404</v>
      </c>
      <c r="C86" s="40">
        <v>8</v>
      </c>
      <c r="D86" s="40"/>
      <c r="E86" s="40"/>
      <c r="F86" s="40" t="s">
        <v>829</v>
      </c>
      <c r="G86" s="40">
        <v>2</v>
      </c>
      <c r="H86" s="40"/>
      <c r="I86" s="40"/>
      <c r="J86" s="57"/>
      <c r="K86" s="1">
        <v>200149</v>
      </c>
      <c r="L86" s="1" t="str">
        <f>IFERROR(INDEX([1]物品基础表!$A:$A,MATCH(K86,[1]物品基础表!$B:$B,0)),"")</f>
        <v>传世鞋子</v>
      </c>
      <c r="M86" s="1">
        <v>1</v>
      </c>
      <c r="O86" s="1" t="str">
        <f>IFERROR(INDEX([1]物品基础表!$A:$A,MATCH(N86,[1]物品基础表!$B:$B,0)),"")</f>
        <v/>
      </c>
      <c r="R86" s="1" t="str">
        <f>IFERROR(INDEX([1]物品基础表!$A:$A,MATCH(Q86,[1]物品基础表!$B:$B,0)),"")</f>
        <v/>
      </c>
      <c r="U86" s="1" t="str">
        <f>IFERROR(INDEX([1]物品基础表!$A:$A,MATCH(T86,[1]物品基础表!$B:$B,0)),"")</f>
        <v/>
      </c>
      <c r="X86" s="1" t="str">
        <f>IFERROR(INDEX([1]物品基础表!$A:$A,MATCH(W86,[1]物品基础表!$B:$B,0)),"")</f>
        <v/>
      </c>
      <c r="AA86" s="1" t="str">
        <f>IFERROR(INDEX([1]物品基础表!$A:$A,MATCH(Z86,[1]物品基础表!$B:$B,0)),"")</f>
        <v/>
      </c>
      <c r="AD86" s="1" t="str">
        <f>IFERROR(INDEX([1]物品基础表!$A:$A,MATCH(AC86,[1]物品基础表!$B:$B,0)),"")</f>
        <v/>
      </c>
      <c r="AG86" s="1" t="str">
        <f>IFERROR(INDEX([1]物品基础表!$A:$A,MATCH(AF86,[1]物品基础表!$B:$B,0)),"")</f>
        <v/>
      </c>
      <c r="AJ86" s="1" t="str">
        <f>IFERROR(INDEX([1]物品基础表!$A:$A,MATCH(AI86,[1]物品基础表!$B:$B,0)),"")</f>
        <v/>
      </c>
      <c r="AM86" s="1" t="str">
        <f>IFERROR(INDEX([1]物品基础表!$A:$A,MATCH(AL86,[1]物品基础表!$B:$B,0)),"")</f>
        <v/>
      </c>
      <c r="AP86" s="1" t="str">
        <f>IFERROR(INDEX([1]物品基础表!$A:$A,MATCH(AO86,[1]物品基础表!$B:$B,0)),"")</f>
        <v/>
      </c>
      <c r="AS86" s="1" t="str">
        <f>IFERROR(INDEX([1]物品基础表!$A:$A,MATCH(AR86,[1]物品基础表!$B:$B,0)),"")</f>
        <v/>
      </c>
      <c r="AV86" s="1" t="str">
        <f>IFERROR(INDEX([1]物品基础表!$A:$A,MATCH(AU86,[1]物品基础表!$B:$B,0)),"")</f>
        <v/>
      </c>
      <c r="AY86" s="1" t="str">
        <f>IFERROR(INDEX([1]物品基础表!$A:$A,MATCH(AX86,[1]物品基础表!$B:$B,0)),"")</f>
        <v/>
      </c>
      <c r="BB86" s="1" t="str">
        <f>IFERROR(INDEX([1]物品基础表!$A:$A,MATCH(BA86,[1]物品基础表!$B:$B,0)),"")</f>
        <v/>
      </c>
      <c r="BE86" s="1" t="str">
        <f>IFERROR(INDEX([1]物品基础表!$A:$A,MATCH(BD86,[1]物品基础表!$B:$B,0)),"")</f>
        <v/>
      </c>
      <c r="BH86" s="1" t="str">
        <f>IFERROR(INDEX([1]物品基础表!$A:$A,MATCH(BG86,[1]物品基础表!$B:$B,0)),"")</f>
        <v/>
      </c>
      <c r="BK86" s="1" t="str">
        <f>IFERROR(INDEX([1]物品基础表!$A:$A,MATCH(BJ86,[1]物品基础表!$B:$B,0)),"")</f>
        <v/>
      </c>
    </row>
    <row r="87" spans="1:63">
      <c r="A87" s="39" t="str">
        <f>INDEX([2]活动总表!$A$8:$A$429,MATCH(B87,[2]活动总表!$B$8:$B$429,0))</f>
        <v>腊八-福袋（15-30天）</v>
      </c>
      <c r="B87" s="40">
        <v>404</v>
      </c>
      <c r="C87" s="40">
        <v>9</v>
      </c>
      <c r="D87" s="40"/>
      <c r="E87" s="40"/>
      <c r="F87" s="40" t="s">
        <v>829</v>
      </c>
      <c r="G87" s="40">
        <v>2</v>
      </c>
      <c r="H87" s="40"/>
      <c r="I87" s="40"/>
      <c r="J87" s="57"/>
      <c r="K87" s="1">
        <v>200148</v>
      </c>
      <c r="L87" s="1" t="str">
        <f>IFERROR(INDEX([1]物品基础表!$A:$A,MATCH(K87,[1]物品基础表!$B:$B,0)),"")</f>
        <v>传世戒指</v>
      </c>
      <c r="M87" s="1">
        <v>1</v>
      </c>
      <c r="O87" s="1" t="str">
        <f>IFERROR(INDEX([1]物品基础表!$A:$A,MATCH(N87,[1]物品基础表!$B:$B,0)),"")</f>
        <v/>
      </c>
      <c r="R87" s="1" t="str">
        <f>IFERROR(INDEX([1]物品基础表!$A:$A,MATCH(Q87,[1]物品基础表!$B:$B,0)),"")</f>
        <v/>
      </c>
      <c r="U87" s="1" t="str">
        <f>IFERROR(INDEX([1]物品基础表!$A:$A,MATCH(T87,[1]物品基础表!$B:$B,0)),"")</f>
        <v/>
      </c>
      <c r="X87" s="1" t="str">
        <f>IFERROR(INDEX([1]物品基础表!$A:$A,MATCH(W87,[1]物品基础表!$B:$B,0)),"")</f>
        <v/>
      </c>
      <c r="AA87" s="1" t="str">
        <f>IFERROR(INDEX([1]物品基础表!$A:$A,MATCH(Z87,[1]物品基础表!$B:$B,0)),"")</f>
        <v/>
      </c>
      <c r="AD87" s="1" t="str">
        <f>IFERROR(INDEX([1]物品基础表!$A:$A,MATCH(AC87,[1]物品基础表!$B:$B,0)),"")</f>
        <v/>
      </c>
      <c r="AG87" s="1" t="str">
        <f>IFERROR(INDEX([1]物品基础表!$A:$A,MATCH(AF87,[1]物品基础表!$B:$B,0)),"")</f>
        <v/>
      </c>
      <c r="AJ87" s="1" t="str">
        <f>IFERROR(INDEX([1]物品基础表!$A:$A,MATCH(AI87,[1]物品基础表!$B:$B,0)),"")</f>
        <v/>
      </c>
      <c r="AM87" s="1" t="str">
        <f>IFERROR(INDEX([1]物品基础表!$A:$A,MATCH(AL87,[1]物品基础表!$B:$B,0)),"")</f>
        <v/>
      </c>
      <c r="AP87" s="1" t="str">
        <f>IFERROR(INDEX([1]物品基础表!$A:$A,MATCH(AO87,[1]物品基础表!$B:$B,0)),"")</f>
        <v/>
      </c>
      <c r="AS87" s="1" t="str">
        <f>IFERROR(INDEX([1]物品基础表!$A:$A,MATCH(AR87,[1]物品基础表!$B:$B,0)),"")</f>
        <v/>
      </c>
      <c r="AV87" s="1" t="str">
        <f>IFERROR(INDEX([1]物品基础表!$A:$A,MATCH(AU87,[1]物品基础表!$B:$B,0)),"")</f>
        <v/>
      </c>
      <c r="AY87" s="1" t="str">
        <f>IFERROR(INDEX([1]物品基础表!$A:$A,MATCH(AX87,[1]物品基础表!$B:$B,0)),"")</f>
        <v/>
      </c>
      <c r="BB87" s="1" t="str">
        <f>IFERROR(INDEX([1]物品基础表!$A:$A,MATCH(BA87,[1]物品基础表!$B:$B,0)),"")</f>
        <v/>
      </c>
      <c r="BE87" s="1" t="str">
        <f>IFERROR(INDEX([1]物品基础表!$A:$A,MATCH(BD87,[1]物品基础表!$B:$B,0)),"")</f>
        <v/>
      </c>
      <c r="BH87" s="1" t="str">
        <f>IFERROR(INDEX([1]物品基础表!$A:$A,MATCH(BG87,[1]物品基础表!$B:$B,0)),"")</f>
        <v/>
      </c>
      <c r="BK87" s="1" t="str">
        <f>IFERROR(INDEX([1]物品基础表!$A:$A,MATCH(BJ87,[1]物品基础表!$B:$B,0)),"")</f>
        <v/>
      </c>
    </row>
    <row r="88" spans="1:63">
      <c r="A88" s="39" t="str">
        <f>INDEX([2]活动总表!$A$8:$A$429,MATCH(B88,[2]活动总表!$B$8:$B$429,0))</f>
        <v>腊八-福袋（15-30天）</v>
      </c>
      <c r="B88" s="40">
        <v>404</v>
      </c>
      <c r="C88" s="40">
        <v>10</v>
      </c>
      <c r="D88" s="40"/>
      <c r="E88" s="40"/>
      <c r="F88" s="40" t="s">
        <v>829</v>
      </c>
      <c r="G88" s="40">
        <v>2</v>
      </c>
      <c r="H88" s="40"/>
      <c r="I88" s="40"/>
      <c r="J88" s="57"/>
      <c r="K88" s="1">
        <v>200146</v>
      </c>
      <c r="L88" s="1" t="str">
        <f>IFERROR(INDEX([1]物品基础表!$A:$A,MATCH(K88,[1]物品基础表!$B:$B,0)),"")</f>
        <v>传世护腕</v>
      </c>
      <c r="M88" s="1">
        <v>1</v>
      </c>
      <c r="O88" s="1" t="str">
        <f>IFERROR(INDEX([1]物品基础表!$A:$A,MATCH(N88,[1]物品基础表!$B:$B,0)),"")</f>
        <v/>
      </c>
      <c r="R88" s="1" t="str">
        <f>IFERROR(INDEX([1]物品基础表!$A:$A,MATCH(Q88,[1]物品基础表!$B:$B,0)),"")</f>
        <v/>
      </c>
      <c r="U88" s="1" t="str">
        <f>IFERROR(INDEX([1]物品基础表!$A:$A,MATCH(T88,[1]物品基础表!$B:$B,0)),"")</f>
        <v/>
      </c>
      <c r="X88" s="1" t="str">
        <f>IFERROR(INDEX([1]物品基础表!$A:$A,MATCH(W88,[1]物品基础表!$B:$B,0)),"")</f>
        <v/>
      </c>
      <c r="AA88" s="1" t="str">
        <f>IFERROR(INDEX([1]物品基础表!$A:$A,MATCH(Z88,[1]物品基础表!$B:$B,0)),"")</f>
        <v/>
      </c>
      <c r="AD88" s="1" t="str">
        <f>IFERROR(INDEX([1]物品基础表!$A:$A,MATCH(AC88,[1]物品基础表!$B:$B,0)),"")</f>
        <v/>
      </c>
      <c r="AG88" s="1" t="str">
        <f>IFERROR(INDEX([1]物品基础表!$A:$A,MATCH(AF88,[1]物品基础表!$B:$B,0)),"")</f>
        <v/>
      </c>
      <c r="AJ88" s="1" t="str">
        <f>IFERROR(INDEX([1]物品基础表!$A:$A,MATCH(AI88,[1]物品基础表!$B:$B,0)),"")</f>
        <v/>
      </c>
      <c r="AM88" s="1" t="str">
        <f>IFERROR(INDEX([1]物品基础表!$A:$A,MATCH(AL88,[1]物品基础表!$B:$B,0)),"")</f>
        <v/>
      </c>
      <c r="AP88" s="1" t="str">
        <f>IFERROR(INDEX([1]物品基础表!$A:$A,MATCH(AO88,[1]物品基础表!$B:$B,0)),"")</f>
        <v/>
      </c>
      <c r="AS88" s="1" t="str">
        <f>IFERROR(INDEX([1]物品基础表!$A:$A,MATCH(AR88,[1]物品基础表!$B:$B,0)),"")</f>
        <v/>
      </c>
      <c r="AV88" s="1" t="str">
        <f>IFERROR(INDEX([1]物品基础表!$A:$A,MATCH(AU88,[1]物品基础表!$B:$B,0)),"")</f>
        <v/>
      </c>
      <c r="AY88" s="1" t="str">
        <f>IFERROR(INDEX([1]物品基础表!$A:$A,MATCH(AX88,[1]物品基础表!$B:$B,0)),"")</f>
        <v/>
      </c>
      <c r="BB88" s="1" t="str">
        <f>IFERROR(INDEX([1]物品基础表!$A:$A,MATCH(BA88,[1]物品基础表!$B:$B,0)),"")</f>
        <v/>
      </c>
      <c r="BE88" s="1" t="str">
        <f>IFERROR(INDEX([1]物品基础表!$A:$A,MATCH(BD88,[1]物品基础表!$B:$B,0)),"")</f>
        <v/>
      </c>
      <c r="BH88" s="1" t="str">
        <f>IFERROR(INDEX([1]物品基础表!$A:$A,MATCH(BG88,[1]物品基础表!$B:$B,0)),"")</f>
        <v/>
      </c>
      <c r="BK88" s="1" t="str">
        <f>IFERROR(INDEX([1]物品基础表!$A:$A,MATCH(BJ88,[1]物品基础表!$B:$B,0)),"")</f>
        <v/>
      </c>
    </row>
    <row r="89" spans="1:63">
      <c r="A89" s="39" t="str">
        <f>INDEX([2]活动总表!$A$8:$A$429,MATCH(B89,[2]活动总表!$B$8:$B$429,0))</f>
        <v>腊八-福袋（15-30天）</v>
      </c>
      <c r="B89" s="40">
        <v>404</v>
      </c>
      <c r="C89" s="40">
        <v>11</v>
      </c>
      <c r="D89" s="40"/>
      <c r="E89" s="40"/>
      <c r="F89" s="40" t="s">
        <v>830</v>
      </c>
      <c r="G89" s="40">
        <v>2</v>
      </c>
      <c r="H89" s="40"/>
      <c r="I89" s="40"/>
      <c r="J89" s="57"/>
      <c r="K89" s="1">
        <v>200301</v>
      </c>
      <c r="L89" s="1" t="str">
        <f>IFERROR(INDEX([1]物品基础表!$A:$A,MATCH(K89,[1]物品基础表!$B:$B,0)),"")</f>
        <v>传世宝钻</v>
      </c>
      <c r="M89" s="1">
        <v>100</v>
      </c>
      <c r="O89" s="1" t="str">
        <f>IFERROR(INDEX([1]物品基础表!$A:$A,MATCH(N89,[1]物品基础表!$B:$B,0)),"")</f>
        <v/>
      </c>
      <c r="R89" s="1" t="str">
        <f>IFERROR(INDEX([1]物品基础表!$A:$A,MATCH(Q89,[1]物品基础表!$B:$B,0)),"")</f>
        <v/>
      </c>
      <c r="U89" s="1" t="str">
        <f>IFERROR(INDEX([1]物品基础表!$A:$A,MATCH(T89,[1]物品基础表!$B:$B,0)),"")</f>
        <v/>
      </c>
      <c r="X89" s="1" t="str">
        <f>IFERROR(INDEX([1]物品基础表!$A:$A,MATCH(W89,[1]物品基础表!$B:$B,0)),"")</f>
        <v/>
      </c>
      <c r="AA89" s="1" t="str">
        <f>IFERROR(INDEX([1]物品基础表!$A:$A,MATCH(Z89,[1]物品基础表!$B:$B,0)),"")</f>
        <v/>
      </c>
      <c r="AD89" s="1" t="str">
        <f>IFERROR(INDEX([1]物品基础表!$A:$A,MATCH(AC89,[1]物品基础表!$B:$B,0)),"")</f>
        <v/>
      </c>
      <c r="AG89" s="1" t="str">
        <f>IFERROR(INDEX([1]物品基础表!$A:$A,MATCH(AF89,[1]物品基础表!$B:$B,0)),"")</f>
        <v/>
      </c>
      <c r="AJ89" s="1" t="str">
        <f>IFERROR(INDEX([1]物品基础表!$A:$A,MATCH(AI89,[1]物品基础表!$B:$B,0)),"")</f>
        <v/>
      </c>
      <c r="AM89" s="1" t="str">
        <f>IFERROR(INDEX([1]物品基础表!$A:$A,MATCH(AL89,[1]物品基础表!$B:$B,0)),"")</f>
        <v/>
      </c>
      <c r="AP89" s="1" t="str">
        <f>IFERROR(INDEX([1]物品基础表!$A:$A,MATCH(AO89,[1]物品基础表!$B:$B,0)),"")</f>
        <v/>
      </c>
      <c r="AS89" s="1" t="str">
        <f>IFERROR(INDEX([1]物品基础表!$A:$A,MATCH(AR89,[1]物品基础表!$B:$B,0)),"")</f>
        <v/>
      </c>
      <c r="AV89" s="1" t="str">
        <f>IFERROR(INDEX([1]物品基础表!$A:$A,MATCH(AU89,[1]物品基础表!$B:$B,0)),"")</f>
        <v/>
      </c>
      <c r="AY89" s="1" t="str">
        <f>IFERROR(INDEX([1]物品基础表!$A:$A,MATCH(AX89,[1]物品基础表!$B:$B,0)),"")</f>
        <v/>
      </c>
      <c r="BB89" s="1" t="str">
        <f>IFERROR(INDEX([1]物品基础表!$A:$A,MATCH(BA89,[1]物品基础表!$B:$B,0)),"")</f>
        <v/>
      </c>
      <c r="BE89" s="1" t="str">
        <f>IFERROR(INDEX([1]物品基础表!$A:$A,MATCH(BD89,[1]物品基础表!$B:$B,0)),"")</f>
        <v/>
      </c>
      <c r="BH89" s="1" t="str">
        <f>IFERROR(INDEX([1]物品基础表!$A:$A,MATCH(BG89,[1]物品基础表!$B:$B,0)),"")</f>
        <v/>
      </c>
      <c r="BK89" s="1" t="str">
        <f>IFERROR(INDEX([1]物品基础表!$A:$A,MATCH(BJ89,[1]物品基础表!$B:$B,0)),"")</f>
        <v/>
      </c>
    </row>
    <row r="90" spans="1:63">
      <c r="A90" s="39" t="str">
        <f>INDEX([2]活动总表!$A$8:$A$429,MATCH(B90,[2]活动总表!$B$8:$B$429,0))</f>
        <v>腊八-福袋（15-30天）</v>
      </c>
      <c r="B90" s="40">
        <v>404</v>
      </c>
      <c r="C90" s="40">
        <v>12</v>
      </c>
      <c r="D90" s="40"/>
      <c r="E90" s="40"/>
      <c r="F90" s="40" t="s">
        <v>831</v>
      </c>
      <c r="G90" s="40">
        <v>2</v>
      </c>
      <c r="H90" s="40"/>
      <c r="I90" s="40"/>
      <c r="J90" s="57"/>
      <c r="K90" s="1">
        <v>200301</v>
      </c>
      <c r="L90" s="1" t="str">
        <f>IFERROR(INDEX([1]物品基础表!$A:$A,MATCH(K90,[1]物品基础表!$B:$B,0)),"")</f>
        <v>传世宝钻</v>
      </c>
      <c r="M90" s="1">
        <v>50</v>
      </c>
      <c r="O90" s="1" t="str">
        <f>IFERROR(INDEX([1]物品基础表!$A:$A,MATCH(N90,[1]物品基础表!$B:$B,0)),"")</f>
        <v/>
      </c>
      <c r="R90" s="1" t="str">
        <f>IFERROR(INDEX([1]物品基础表!$A:$A,MATCH(Q90,[1]物品基础表!$B:$B,0)),"")</f>
        <v/>
      </c>
      <c r="U90" s="1" t="str">
        <f>IFERROR(INDEX([1]物品基础表!$A:$A,MATCH(T90,[1]物品基础表!$B:$B,0)),"")</f>
        <v/>
      </c>
      <c r="X90" s="1" t="str">
        <f>IFERROR(INDEX([1]物品基础表!$A:$A,MATCH(W90,[1]物品基础表!$B:$B,0)),"")</f>
        <v/>
      </c>
      <c r="AA90" s="1" t="str">
        <f>IFERROR(INDEX([1]物品基础表!$A:$A,MATCH(Z90,[1]物品基础表!$B:$B,0)),"")</f>
        <v/>
      </c>
      <c r="AD90" s="1" t="str">
        <f>IFERROR(INDEX([1]物品基础表!$A:$A,MATCH(AC90,[1]物品基础表!$B:$B,0)),"")</f>
        <v/>
      </c>
      <c r="AG90" s="1" t="str">
        <f>IFERROR(INDEX([1]物品基础表!$A:$A,MATCH(AF90,[1]物品基础表!$B:$B,0)),"")</f>
        <v/>
      </c>
      <c r="AJ90" s="1" t="str">
        <f>IFERROR(INDEX([1]物品基础表!$A:$A,MATCH(AI90,[1]物品基础表!$B:$B,0)),"")</f>
        <v/>
      </c>
      <c r="AM90" s="1" t="str">
        <f>IFERROR(INDEX([1]物品基础表!$A:$A,MATCH(AL90,[1]物品基础表!$B:$B,0)),"")</f>
        <v/>
      </c>
      <c r="AP90" s="1" t="str">
        <f>IFERROR(INDEX([1]物品基础表!$A:$A,MATCH(AO90,[1]物品基础表!$B:$B,0)),"")</f>
        <v/>
      </c>
      <c r="AS90" s="1" t="str">
        <f>IFERROR(INDEX([1]物品基础表!$A:$A,MATCH(AR90,[1]物品基础表!$B:$B,0)),"")</f>
        <v/>
      </c>
      <c r="AV90" s="1" t="str">
        <f>IFERROR(INDEX([1]物品基础表!$A:$A,MATCH(AU90,[1]物品基础表!$B:$B,0)),"")</f>
        <v/>
      </c>
      <c r="AY90" s="1" t="str">
        <f>IFERROR(INDEX([1]物品基础表!$A:$A,MATCH(AX90,[1]物品基础表!$B:$B,0)),"")</f>
        <v/>
      </c>
      <c r="BB90" s="1" t="str">
        <f>IFERROR(INDEX([1]物品基础表!$A:$A,MATCH(BA90,[1]物品基础表!$B:$B,0)),"")</f>
        <v/>
      </c>
      <c r="BE90" s="1" t="str">
        <f>IFERROR(INDEX([1]物品基础表!$A:$A,MATCH(BD90,[1]物品基础表!$B:$B,0)),"")</f>
        <v/>
      </c>
      <c r="BH90" s="1" t="str">
        <f>IFERROR(INDEX([1]物品基础表!$A:$A,MATCH(BG90,[1]物品基础表!$B:$B,0)),"")</f>
        <v/>
      </c>
      <c r="BK90" s="1" t="str">
        <f>IFERROR(INDEX([1]物品基础表!$A:$A,MATCH(BJ90,[1]物品基础表!$B:$B,0)),"")</f>
        <v/>
      </c>
    </row>
    <row r="91" spans="1:63">
      <c r="A91" s="39" t="str">
        <f>INDEX([2]活动总表!$A$8:$A$429,MATCH(B91,[2]活动总表!$B$8:$B$429,0))</f>
        <v>腊八-福袋（15-30天）</v>
      </c>
      <c r="B91" s="40">
        <v>404</v>
      </c>
      <c r="C91" s="40">
        <v>13</v>
      </c>
      <c r="D91" s="40"/>
      <c r="E91" s="40"/>
      <c r="F91" s="40" t="s">
        <v>830</v>
      </c>
      <c r="G91" s="40">
        <v>2</v>
      </c>
      <c r="H91" s="40"/>
      <c r="I91" s="40"/>
      <c r="J91" s="57"/>
      <c r="K91" s="1">
        <v>200301</v>
      </c>
      <c r="L91" s="1" t="str">
        <f>IFERROR(INDEX([1]物品基础表!$A:$A,MATCH(K91,[1]物品基础表!$B:$B,0)),"")</f>
        <v>传世宝钻</v>
      </c>
      <c r="M91" s="1">
        <v>20</v>
      </c>
      <c r="O91" s="1" t="str">
        <f>IFERROR(INDEX([1]物品基础表!$A:$A,MATCH(N91,[1]物品基础表!$B:$B,0)),"")</f>
        <v/>
      </c>
      <c r="R91" s="1" t="str">
        <f>IFERROR(INDEX([1]物品基础表!$A:$A,MATCH(Q91,[1]物品基础表!$B:$B,0)),"")</f>
        <v/>
      </c>
      <c r="U91" s="1" t="str">
        <f>IFERROR(INDEX([1]物品基础表!$A:$A,MATCH(T91,[1]物品基础表!$B:$B,0)),"")</f>
        <v/>
      </c>
      <c r="X91" s="1" t="str">
        <f>IFERROR(INDEX([1]物品基础表!$A:$A,MATCH(W91,[1]物品基础表!$B:$B,0)),"")</f>
        <v/>
      </c>
      <c r="AA91" s="1" t="str">
        <f>IFERROR(INDEX([1]物品基础表!$A:$A,MATCH(Z91,[1]物品基础表!$B:$B,0)),"")</f>
        <v/>
      </c>
      <c r="AD91" s="1" t="str">
        <f>IFERROR(INDEX([1]物品基础表!$A:$A,MATCH(AC91,[1]物品基础表!$B:$B,0)),"")</f>
        <v/>
      </c>
      <c r="AG91" s="1" t="str">
        <f>IFERROR(INDEX([1]物品基础表!$A:$A,MATCH(AF91,[1]物品基础表!$B:$B,0)),"")</f>
        <v/>
      </c>
      <c r="AJ91" s="1" t="str">
        <f>IFERROR(INDEX([1]物品基础表!$A:$A,MATCH(AI91,[1]物品基础表!$B:$B,0)),"")</f>
        <v/>
      </c>
      <c r="AM91" s="1" t="str">
        <f>IFERROR(INDEX([1]物品基础表!$A:$A,MATCH(AL91,[1]物品基础表!$B:$B,0)),"")</f>
        <v/>
      </c>
      <c r="AP91" s="1" t="str">
        <f>IFERROR(INDEX([1]物品基础表!$A:$A,MATCH(AO91,[1]物品基础表!$B:$B,0)),"")</f>
        <v/>
      </c>
      <c r="AS91" s="1" t="str">
        <f>IFERROR(INDEX([1]物品基础表!$A:$A,MATCH(AR91,[1]物品基础表!$B:$B,0)),"")</f>
        <v/>
      </c>
      <c r="AV91" s="1" t="str">
        <f>IFERROR(INDEX([1]物品基础表!$A:$A,MATCH(AU91,[1]物品基础表!$B:$B,0)),"")</f>
        <v/>
      </c>
      <c r="AY91" s="1" t="str">
        <f>IFERROR(INDEX([1]物品基础表!$A:$A,MATCH(AX91,[1]物品基础表!$B:$B,0)),"")</f>
        <v/>
      </c>
      <c r="BB91" s="1" t="str">
        <f>IFERROR(INDEX([1]物品基础表!$A:$A,MATCH(BA91,[1]物品基础表!$B:$B,0)),"")</f>
        <v/>
      </c>
      <c r="BE91" s="1" t="str">
        <f>IFERROR(INDEX([1]物品基础表!$A:$A,MATCH(BD91,[1]物品基础表!$B:$B,0)),"")</f>
        <v/>
      </c>
      <c r="BH91" s="1" t="str">
        <f>IFERROR(INDEX([1]物品基础表!$A:$A,MATCH(BG91,[1]物品基础表!$B:$B,0)),"")</f>
        <v/>
      </c>
      <c r="BK91" s="1" t="str">
        <f>IFERROR(INDEX([1]物品基础表!$A:$A,MATCH(BJ91,[1]物品基础表!$B:$B,0)),"")</f>
        <v/>
      </c>
    </row>
    <row r="92" spans="1:63">
      <c r="A92" s="39" t="str">
        <f>INDEX([2]活动总表!$A$8:$A$429,MATCH(B92,[2]活动总表!$B$8:$B$429,0))</f>
        <v>腊八-福袋（15-30天）</v>
      </c>
      <c r="B92" s="40">
        <v>404</v>
      </c>
      <c r="C92" s="40">
        <v>14</v>
      </c>
      <c r="D92" s="40"/>
      <c r="E92" s="40"/>
      <c r="F92" s="40" t="s">
        <v>832</v>
      </c>
      <c r="G92" s="40">
        <v>2</v>
      </c>
      <c r="H92" s="40"/>
      <c r="I92" s="40"/>
      <c r="J92" s="57"/>
      <c r="K92" s="1">
        <v>204132</v>
      </c>
      <c r="L92" s="1" t="str">
        <f>IFERROR(INDEX([1]物品基础表!$A:$A,MATCH(K92,[1]物品基础表!$B:$B,0)),"")</f>
        <v>橙色图鉴包·倾国倾城</v>
      </c>
      <c r="M92" s="1">
        <v>1</v>
      </c>
      <c r="O92" s="1" t="str">
        <f>IFERROR(INDEX([1]物品基础表!$A:$A,MATCH(N92,[1]物品基础表!$B:$B,0)),"")</f>
        <v/>
      </c>
      <c r="R92" s="1" t="str">
        <f>IFERROR(INDEX([1]物品基础表!$A:$A,MATCH(Q92,[1]物品基础表!$B:$B,0)),"")</f>
        <v/>
      </c>
      <c r="U92" s="1" t="str">
        <f>IFERROR(INDEX([1]物品基础表!$A:$A,MATCH(T92,[1]物品基础表!$B:$B,0)),"")</f>
        <v/>
      </c>
      <c r="X92" s="1" t="str">
        <f>IFERROR(INDEX([1]物品基础表!$A:$A,MATCH(W92,[1]物品基础表!$B:$B,0)),"")</f>
        <v/>
      </c>
      <c r="AA92" s="1" t="str">
        <f>IFERROR(INDEX([1]物品基础表!$A:$A,MATCH(Z92,[1]物品基础表!$B:$B,0)),"")</f>
        <v/>
      </c>
      <c r="AD92" s="1" t="str">
        <f>IFERROR(INDEX([1]物品基础表!$A:$A,MATCH(AC92,[1]物品基础表!$B:$B,0)),"")</f>
        <v/>
      </c>
      <c r="AG92" s="1" t="str">
        <f>IFERROR(INDEX([1]物品基础表!$A:$A,MATCH(AF92,[1]物品基础表!$B:$B,0)),"")</f>
        <v/>
      </c>
      <c r="AJ92" s="1" t="str">
        <f>IFERROR(INDEX([1]物品基础表!$A:$A,MATCH(AI92,[1]物品基础表!$B:$B,0)),"")</f>
        <v/>
      </c>
      <c r="AM92" s="1" t="str">
        <f>IFERROR(INDEX([1]物品基础表!$A:$A,MATCH(AL92,[1]物品基础表!$B:$B,0)),"")</f>
        <v/>
      </c>
      <c r="AP92" s="1" t="str">
        <f>IFERROR(INDEX([1]物品基础表!$A:$A,MATCH(AO92,[1]物品基础表!$B:$B,0)),"")</f>
        <v/>
      </c>
      <c r="AS92" s="1" t="str">
        <f>IFERROR(INDEX([1]物品基础表!$A:$A,MATCH(AR92,[1]物品基础表!$B:$B,0)),"")</f>
        <v/>
      </c>
      <c r="AV92" s="1" t="str">
        <f>IFERROR(INDEX([1]物品基础表!$A:$A,MATCH(AU92,[1]物品基础表!$B:$B,0)),"")</f>
        <v/>
      </c>
      <c r="AY92" s="1" t="str">
        <f>IFERROR(INDEX([1]物品基础表!$A:$A,MATCH(AX92,[1]物品基础表!$B:$B,0)),"")</f>
        <v/>
      </c>
      <c r="BB92" s="1" t="str">
        <f>IFERROR(INDEX([1]物品基础表!$A:$A,MATCH(BA92,[1]物品基础表!$B:$B,0)),"")</f>
        <v/>
      </c>
      <c r="BE92" s="1" t="str">
        <f>IFERROR(INDEX([1]物品基础表!$A:$A,MATCH(BD92,[1]物品基础表!$B:$B,0)),"")</f>
        <v/>
      </c>
      <c r="BH92" s="1" t="str">
        <f>IFERROR(INDEX([1]物品基础表!$A:$A,MATCH(BG92,[1]物品基础表!$B:$B,0)),"")</f>
        <v/>
      </c>
      <c r="BK92" s="1" t="str">
        <f>IFERROR(INDEX([1]物品基础表!$A:$A,MATCH(BJ92,[1]物品基础表!$B:$B,0)),"")</f>
        <v/>
      </c>
    </row>
    <row r="93" spans="1:63">
      <c r="A93" s="39" t="str">
        <f>INDEX([2]活动总表!$A$8:$A$429,MATCH(B93,[2]活动总表!$B$8:$B$429,0))</f>
        <v>腊八-福袋（15-30天）</v>
      </c>
      <c r="B93" s="40">
        <v>404</v>
      </c>
      <c r="C93" s="40">
        <v>15</v>
      </c>
      <c r="D93" s="40"/>
      <c r="E93" s="40"/>
      <c r="F93" s="40" t="s">
        <v>833</v>
      </c>
      <c r="G93" s="40">
        <v>2</v>
      </c>
      <c r="H93" s="40"/>
      <c r="I93" s="40"/>
      <c r="J93" s="57"/>
      <c r="K93" s="1">
        <v>204136</v>
      </c>
      <c r="L93" s="1" t="str">
        <f>IFERROR(INDEX([1]物品基础表!$A:$A,MATCH(K93,[1]物品基础表!$B:$B,0)),"")</f>
        <v>轮回宝箱（8转）</v>
      </c>
      <c r="M93" s="1">
        <v>1</v>
      </c>
      <c r="O93" s="1" t="str">
        <f>IFERROR(INDEX([1]物品基础表!$A:$A,MATCH(N93,[1]物品基础表!$B:$B,0)),"")</f>
        <v/>
      </c>
      <c r="R93" s="1" t="str">
        <f>IFERROR(INDEX([1]物品基础表!$A:$A,MATCH(Q93,[1]物品基础表!$B:$B,0)),"")</f>
        <v/>
      </c>
      <c r="U93" s="1" t="str">
        <f>IFERROR(INDEX([1]物品基础表!$A:$A,MATCH(T93,[1]物品基础表!$B:$B,0)),"")</f>
        <v/>
      </c>
      <c r="X93" s="1" t="str">
        <f>IFERROR(INDEX([1]物品基础表!$A:$A,MATCH(W93,[1]物品基础表!$B:$B,0)),"")</f>
        <v/>
      </c>
      <c r="AA93" s="1" t="str">
        <f>IFERROR(INDEX([1]物品基础表!$A:$A,MATCH(Z93,[1]物品基础表!$B:$B,0)),"")</f>
        <v/>
      </c>
      <c r="AD93" s="1" t="str">
        <f>IFERROR(INDEX([1]物品基础表!$A:$A,MATCH(AC93,[1]物品基础表!$B:$B,0)),"")</f>
        <v/>
      </c>
      <c r="AG93" s="1" t="str">
        <f>IFERROR(INDEX([1]物品基础表!$A:$A,MATCH(AF93,[1]物品基础表!$B:$B,0)),"")</f>
        <v/>
      </c>
      <c r="AJ93" s="1" t="str">
        <f>IFERROR(INDEX([1]物品基础表!$A:$A,MATCH(AI93,[1]物品基础表!$B:$B,0)),"")</f>
        <v/>
      </c>
      <c r="AM93" s="1" t="str">
        <f>IFERROR(INDEX([1]物品基础表!$A:$A,MATCH(AL93,[1]物品基础表!$B:$B,0)),"")</f>
        <v/>
      </c>
      <c r="AP93" s="1" t="str">
        <f>IFERROR(INDEX([1]物品基础表!$A:$A,MATCH(AO93,[1]物品基础表!$B:$B,0)),"")</f>
        <v/>
      </c>
      <c r="AS93" s="1" t="str">
        <f>IFERROR(INDEX([1]物品基础表!$A:$A,MATCH(AR93,[1]物品基础表!$B:$B,0)),"")</f>
        <v/>
      </c>
      <c r="AV93" s="1" t="str">
        <f>IFERROR(INDEX([1]物品基础表!$A:$A,MATCH(AU93,[1]物品基础表!$B:$B,0)),"")</f>
        <v/>
      </c>
      <c r="AY93" s="1" t="str">
        <f>IFERROR(INDEX([1]物品基础表!$A:$A,MATCH(AX93,[1]物品基础表!$B:$B,0)),"")</f>
        <v/>
      </c>
      <c r="BB93" s="1" t="str">
        <f>IFERROR(INDEX([1]物品基础表!$A:$A,MATCH(BA93,[1]物品基础表!$B:$B,0)),"")</f>
        <v/>
      </c>
      <c r="BE93" s="1" t="str">
        <f>IFERROR(INDEX([1]物品基础表!$A:$A,MATCH(BD93,[1]物品基础表!$B:$B,0)),"")</f>
        <v/>
      </c>
      <c r="BH93" s="1" t="str">
        <f>IFERROR(INDEX([1]物品基础表!$A:$A,MATCH(BG93,[1]物品基础表!$B:$B,0)),"")</f>
        <v/>
      </c>
      <c r="BK93" s="1" t="str">
        <f>IFERROR(INDEX([1]物品基础表!$A:$A,MATCH(BJ93,[1]物品基础表!$B:$B,0)),"")</f>
        <v/>
      </c>
    </row>
    <row r="94" spans="1:63">
      <c r="A94" s="39" t="str">
        <f>INDEX([2]活动总表!$A$8:$A$429,MATCH(B94,[2]活动总表!$B$8:$B$429,0))</f>
        <v>腊八-福袋（15-30天）</v>
      </c>
      <c r="B94" s="40">
        <v>404</v>
      </c>
      <c r="C94" s="40">
        <v>16</v>
      </c>
      <c r="D94" s="40"/>
      <c r="E94" s="40"/>
      <c r="F94" s="40" t="s">
        <v>834</v>
      </c>
      <c r="G94" s="40">
        <v>2</v>
      </c>
      <c r="H94" s="40"/>
      <c r="I94" s="40"/>
      <c r="J94" s="57"/>
      <c r="K94" s="1">
        <v>204135</v>
      </c>
      <c r="L94" s="1" t="str">
        <f>IFERROR(INDEX([1]物品基础表!$A:$A,MATCH(K94,[1]物品基础表!$B:$B,0)),"")</f>
        <v>轮回宝箱（7转）</v>
      </c>
      <c r="M94" s="1">
        <v>1</v>
      </c>
      <c r="O94" s="1" t="str">
        <f>IFERROR(INDEX([1]物品基础表!$A:$A,MATCH(N94,[1]物品基础表!$B:$B,0)),"")</f>
        <v/>
      </c>
      <c r="R94" s="1" t="str">
        <f>IFERROR(INDEX([1]物品基础表!$A:$A,MATCH(Q94,[1]物品基础表!$B:$B,0)),"")</f>
        <v/>
      </c>
      <c r="U94" s="1" t="str">
        <f>IFERROR(INDEX([1]物品基础表!$A:$A,MATCH(T94,[1]物品基础表!$B:$B,0)),"")</f>
        <v/>
      </c>
      <c r="X94" s="1" t="str">
        <f>IFERROR(INDEX([1]物品基础表!$A:$A,MATCH(W94,[1]物品基础表!$B:$B,0)),"")</f>
        <v/>
      </c>
      <c r="AA94" s="1" t="str">
        <f>IFERROR(INDEX([1]物品基础表!$A:$A,MATCH(Z94,[1]物品基础表!$B:$B,0)),"")</f>
        <v/>
      </c>
      <c r="AD94" s="1" t="str">
        <f>IFERROR(INDEX([1]物品基础表!$A:$A,MATCH(AC94,[1]物品基础表!$B:$B,0)),"")</f>
        <v/>
      </c>
      <c r="AG94" s="1" t="str">
        <f>IFERROR(INDEX([1]物品基础表!$A:$A,MATCH(AF94,[1]物品基础表!$B:$B,0)),"")</f>
        <v/>
      </c>
      <c r="AJ94" s="1" t="str">
        <f>IFERROR(INDEX([1]物品基础表!$A:$A,MATCH(AI94,[1]物品基础表!$B:$B,0)),"")</f>
        <v/>
      </c>
      <c r="AM94" s="1" t="str">
        <f>IFERROR(INDEX([1]物品基础表!$A:$A,MATCH(AL94,[1]物品基础表!$B:$B,0)),"")</f>
        <v/>
      </c>
      <c r="AP94" s="1" t="str">
        <f>IFERROR(INDEX([1]物品基础表!$A:$A,MATCH(AO94,[1]物品基础表!$B:$B,0)),"")</f>
        <v/>
      </c>
      <c r="AS94" s="1" t="str">
        <f>IFERROR(INDEX([1]物品基础表!$A:$A,MATCH(AR94,[1]物品基础表!$B:$B,0)),"")</f>
        <v/>
      </c>
      <c r="AV94" s="1" t="str">
        <f>IFERROR(INDEX([1]物品基础表!$A:$A,MATCH(AU94,[1]物品基础表!$B:$B,0)),"")</f>
        <v/>
      </c>
      <c r="AY94" s="1" t="str">
        <f>IFERROR(INDEX([1]物品基础表!$A:$A,MATCH(AX94,[1]物品基础表!$B:$B,0)),"")</f>
        <v/>
      </c>
      <c r="BB94" s="1" t="str">
        <f>IFERROR(INDEX([1]物品基础表!$A:$A,MATCH(BA94,[1]物品基础表!$B:$B,0)),"")</f>
        <v/>
      </c>
      <c r="BE94" s="1" t="str">
        <f>IFERROR(INDEX([1]物品基础表!$A:$A,MATCH(BD94,[1]物品基础表!$B:$B,0)),"")</f>
        <v/>
      </c>
      <c r="BH94" s="1" t="str">
        <f>IFERROR(INDEX([1]物品基础表!$A:$A,MATCH(BG94,[1]物品基础表!$B:$B,0)),"")</f>
        <v/>
      </c>
      <c r="BK94" s="1" t="str">
        <f>IFERROR(INDEX([1]物品基础表!$A:$A,MATCH(BJ94,[1]物品基础表!$B:$B,0)),"")</f>
        <v/>
      </c>
    </row>
    <row r="95" spans="1:63">
      <c r="A95" s="39" t="str">
        <f>INDEX([2]活动总表!$A$8:$A$429,MATCH(B95,[2]活动总表!$B$8:$B$429,0))</f>
        <v>腊八-福袋（15-30天）</v>
      </c>
      <c r="B95" s="40">
        <v>404</v>
      </c>
      <c r="C95" s="40">
        <v>17</v>
      </c>
      <c r="D95" s="40"/>
      <c r="E95" s="40"/>
      <c r="F95" s="40" t="s">
        <v>835</v>
      </c>
      <c r="G95" s="40">
        <v>2</v>
      </c>
      <c r="H95" s="40"/>
      <c r="I95" s="40"/>
      <c r="J95" s="57"/>
      <c r="K95" s="1">
        <v>200001</v>
      </c>
      <c r="L95" s="1" t="str">
        <f>IFERROR(INDEX([1]物品基础表!$A:$A,MATCH(K95,[1]物品基础表!$B:$B,0)),"")</f>
        <v>羽毛</v>
      </c>
      <c r="M95" s="1">
        <v>5</v>
      </c>
      <c r="O95" s="1" t="str">
        <f>IFERROR(INDEX([1]物品基础表!$A:$A,MATCH(N95,[1]物品基础表!$B:$B,0)),"")</f>
        <v/>
      </c>
      <c r="R95" s="1" t="str">
        <f>IFERROR(INDEX([1]物品基础表!$A:$A,MATCH(Q95,[1]物品基础表!$B:$B,0)),"")</f>
        <v/>
      </c>
      <c r="U95" s="1" t="str">
        <f>IFERROR(INDEX([1]物品基础表!$A:$A,MATCH(T95,[1]物品基础表!$B:$B,0)),"")</f>
        <v/>
      </c>
      <c r="X95" s="1" t="str">
        <f>IFERROR(INDEX([1]物品基础表!$A:$A,MATCH(W95,[1]物品基础表!$B:$B,0)),"")</f>
        <v/>
      </c>
      <c r="AA95" s="1" t="str">
        <f>IFERROR(INDEX([1]物品基础表!$A:$A,MATCH(Z95,[1]物品基础表!$B:$B,0)),"")</f>
        <v/>
      </c>
      <c r="AD95" s="1" t="str">
        <f>IFERROR(INDEX([1]物品基础表!$A:$A,MATCH(AC95,[1]物品基础表!$B:$B,0)),"")</f>
        <v/>
      </c>
      <c r="AG95" s="1" t="str">
        <f>IFERROR(INDEX([1]物品基础表!$A:$A,MATCH(AF95,[1]物品基础表!$B:$B,0)),"")</f>
        <v/>
      </c>
      <c r="AJ95" s="1" t="str">
        <f>IFERROR(INDEX([1]物品基础表!$A:$A,MATCH(AI95,[1]物品基础表!$B:$B,0)),"")</f>
        <v/>
      </c>
      <c r="AM95" s="1" t="str">
        <f>IFERROR(INDEX([1]物品基础表!$A:$A,MATCH(AL95,[1]物品基础表!$B:$B,0)),"")</f>
        <v/>
      </c>
      <c r="AP95" s="1" t="str">
        <f>IFERROR(INDEX([1]物品基础表!$A:$A,MATCH(AO95,[1]物品基础表!$B:$B,0)),"")</f>
        <v/>
      </c>
      <c r="AS95" s="1" t="str">
        <f>IFERROR(INDEX([1]物品基础表!$A:$A,MATCH(AR95,[1]物品基础表!$B:$B,0)),"")</f>
        <v/>
      </c>
      <c r="AV95" s="1" t="str">
        <f>IFERROR(INDEX([1]物品基础表!$A:$A,MATCH(AU95,[1]物品基础表!$B:$B,0)),"")</f>
        <v/>
      </c>
      <c r="AY95" s="1" t="str">
        <f>IFERROR(INDEX([1]物品基础表!$A:$A,MATCH(AX95,[1]物品基础表!$B:$B,0)),"")</f>
        <v/>
      </c>
      <c r="BB95" s="1" t="str">
        <f>IFERROR(INDEX([1]物品基础表!$A:$A,MATCH(BA95,[1]物品基础表!$B:$B,0)),"")</f>
        <v/>
      </c>
      <c r="BE95" s="1" t="str">
        <f>IFERROR(INDEX([1]物品基础表!$A:$A,MATCH(BD95,[1]物品基础表!$B:$B,0)),"")</f>
        <v/>
      </c>
      <c r="BH95" s="1" t="str">
        <f>IFERROR(INDEX([1]物品基础表!$A:$A,MATCH(BG95,[1]物品基础表!$B:$B,0)),"")</f>
        <v/>
      </c>
      <c r="BK95" s="1" t="str">
        <f>IFERROR(INDEX([1]物品基础表!$A:$A,MATCH(BJ95,[1]物品基础表!$B:$B,0)),"")</f>
        <v/>
      </c>
    </row>
    <row r="96" spans="1:63">
      <c r="A96" s="39" t="str">
        <f>INDEX([2]活动总表!$A$8:$A$429,MATCH(B96,[2]活动总表!$B$8:$B$429,0))</f>
        <v>腊八-福袋（15-30天）</v>
      </c>
      <c r="B96" s="40">
        <v>404</v>
      </c>
      <c r="C96" s="40">
        <v>18</v>
      </c>
      <c r="D96" s="40"/>
      <c r="E96" s="40"/>
      <c r="F96" s="40" t="s">
        <v>836</v>
      </c>
      <c r="G96" s="40">
        <v>2</v>
      </c>
      <c r="H96" s="40"/>
      <c r="I96" s="40"/>
      <c r="J96" s="57"/>
      <c r="K96" s="1">
        <v>200001</v>
      </c>
      <c r="L96" s="1" t="str">
        <f>IFERROR(INDEX([1]物品基础表!$A:$A,MATCH(K96,[1]物品基础表!$B:$B,0)),"")</f>
        <v>羽毛</v>
      </c>
      <c r="M96" s="1">
        <v>8</v>
      </c>
      <c r="O96" s="1" t="str">
        <f>IFERROR(INDEX([1]物品基础表!$A:$A,MATCH(N96,[1]物品基础表!$B:$B,0)),"")</f>
        <v/>
      </c>
      <c r="R96" s="1" t="str">
        <f>IFERROR(INDEX([1]物品基础表!$A:$A,MATCH(Q96,[1]物品基础表!$B:$B,0)),"")</f>
        <v/>
      </c>
      <c r="U96" s="1" t="str">
        <f>IFERROR(INDEX([1]物品基础表!$A:$A,MATCH(T96,[1]物品基础表!$B:$B,0)),"")</f>
        <v/>
      </c>
      <c r="X96" s="1" t="str">
        <f>IFERROR(INDEX([1]物品基础表!$A:$A,MATCH(W96,[1]物品基础表!$B:$B,0)),"")</f>
        <v/>
      </c>
      <c r="AA96" s="1" t="str">
        <f>IFERROR(INDEX([1]物品基础表!$A:$A,MATCH(Z96,[1]物品基础表!$B:$B,0)),"")</f>
        <v/>
      </c>
      <c r="AD96" s="1" t="str">
        <f>IFERROR(INDEX([1]物品基础表!$A:$A,MATCH(AC96,[1]物品基础表!$B:$B,0)),"")</f>
        <v/>
      </c>
      <c r="AG96" s="1" t="str">
        <f>IFERROR(INDEX([1]物品基础表!$A:$A,MATCH(AF96,[1]物品基础表!$B:$B,0)),"")</f>
        <v/>
      </c>
      <c r="AJ96" s="1" t="str">
        <f>IFERROR(INDEX([1]物品基础表!$A:$A,MATCH(AI96,[1]物品基础表!$B:$B,0)),"")</f>
        <v/>
      </c>
      <c r="AM96" s="1" t="str">
        <f>IFERROR(INDEX([1]物品基础表!$A:$A,MATCH(AL96,[1]物品基础表!$B:$B,0)),"")</f>
        <v/>
      </c>
      <c r="AP96" s="1" t="str">
        <f>IFERROR(INDEX([1]物品基础表!$A:$A,MATCH(AO96,[1]物品基础表!$B:$B,0)),"")</f>
        <v/>
      </c>
      <c r="AS96" s="1" t="str">
        <f>IFERROR(INDEX([1]物品基础表!$A:$A,MATCH(AR96,[1]物品基础表!$B:$B,0)),"")</f>
        <v/>
      </c>
      <c r="AV96" s="1" t="str">
        <f>IFERROR(INDEX([1]物品基础表!$A:$A,MATCH(AU96,[1]物品基础表!$B:$B,0)),"")</f>
        <v/>
      </c>
      <c r="AY96" s="1" t="str">
        <f>IFERROR(INDEX([1]物品基础表!$A:$A,MATCH(AX96,[1]物品基础表!$B:$B,0)),"")</f>
        <v/>
      </c>
      <c r="BB96" s="1" t="str">
        <f>IFERROR(INDEX([1]物品基础表!$A:$A,MATCH(BA96,[1]物品基础表!$B:$B,0)),"")</f>
        <v/>
      </c>
      <c r="BE96" s="1" t="str">
        <f>IFERROR(INDEX([1]物品基础表!$A:$A,MATCH(BD96,[1]物品基础表!$B:$B,0)),"")</f>
        <v/>
      </c>
      <c r="BH96" s="1" t="str">
        <f>IFERROR(INDEX([1]物品基础表!$A:$A,MATCH(BG96,[1]物品基础表!$B:$B,0)),"")</f>
        <v/>
      </c>
      <c r="BK96" s="1" t="str">
        <f>IFERROR(INDEX([1]物品基础表!$A:$A,MATCH(BJ96,[1]物品基础表!$B:$B,0)),"")</f>
        <v/>
      </c>
    </row>
    <row r="97" spans="1:64">
      <c r="A97" s="39" t="str">
        <f>INDEX([2]活动总表!$A$8:$A$429,MATCH(B97,[2]活动总表!$B$8:$B$429,0))</f>
        <v>腊八-福袋（15-30天）</v>
      </c>
      <c r="B97" s="40">
        <v>404</v>
      </c>
      <c r="C97" s="40">
        <v>19</v>
      </c>
      <c r="D97" s="40"/>
      <c r="E97" s="40"/>
      <c r="F97" s="40" t="s">
        <v>837</v>
      </c>
      <c r="G97" s="40">
        <v>2</v>
      </c>
      <c r="H97" s="40"/>
      <c r="I97" s="40"/>
      <c r="J97" s="57"/>
      <c r="K97" s="1">
        <v>200001</v>
      </c>
      <c r="L97" s="1" t="str">
        <f>IFERROR(INDEX([1]物品基础表!$A:$A,MATCH(K97,[1]物品基础表!$B:$B,0)),"")</f>
        <v>羽毛</v>
      </c>
      <c r="M97" s="1">
        <v>10</v>
      </c>
      <c r="O97" s="1" t="str">
        <f>IFERROR(INDEX([1]物品基础表!$A:$A,MATCH(N97,[1]物品基础表!$B:$B,0)),"")</f>
        <v/>
      </c>
      <c r="R97" s="1" t="str">
        <f>IFERROR(INDEX([1]物品基础表!$A:$A,MATCH(Q97,[1]物品基础表!$B:$B,0)),"")</f>
        <v/>
      </c>
      <c r="U97" s="1" t="str">
        <f>IFERROR(INDEX([1]物品基础表!$A:$A,MATCH(T97,[1]物品基础表!$B:$B,0)),"")</f>
        <v/>
      </c>
      <c r="X97" s="1" t="str">
        <f>IFERROR(INDEX([1]物品基础表!$A:$A,MATCH(W97,[1]物品基础表!$B:$B,0)),"")</f>
        <v/>
      </c>
      <c r="AA97" s="1" t="str">
        <f>IFERROR(INDEX([1]物品基础表!$A:$A,MATCH(Z97,[1]物品基础表!$B:$B,0)),"")</f>
        <v/>
      </c>
      <c r="AD97" s="1" t="str">
        <f>IFERROR(INDEX([1]物品基础表!$A:$A,MATCH(AC97,[1]物品基础表!$B:$B,0)),"")</f>
        <v/>
      </c>
      <c r="AG97" s="1" t="str">
        <f>IFERROR(INDEX([1]物品基础表!$A:$A,MATCH(AF97,[1]物品基础表!$B:$B,0)),"")</f>
        <v/>
      </c>
      <c r="AJ97" s="1" t="str">
        <f>IFERROR(INDEX([1]物品基础表!$A:$A,MATCH(AI97,[1]物品基础表!$B:$B,0)),"")</f>
        <v/>
      </c>
      <c r="AM97" s="1" t="str">
        <f>IFERROR(INDEX([1]物品基础表!$A:$A,MATCH(AL97,[1]物品基础表!$B:$B,0)),"")</f>
        <v/>
      </c>
      <c r="AP97" s="1" t="str">
        <f>IFERROR(INDEX([1]物品基础表!$A:$A,MATCH(AO97,[1]物品基础表!$B:$B,0)),"")</f>
        <v/>
      </c>
      <c r="AS97" s="1" t="str">
        <f>IFERROR(INDEX([1]物品基础表!$A:$A,MATCH(AR97,[1]物品基础表!$B:$B,0)),"")</f>
        <v/>
      </c>
      <c r="AV97" s="1" t="str">
        <f>IFERROR(INDEX([1]物品基础表!$A:$A,MATCH(AU97,[1]物品基础表!$B:$B,0)),"")</f>
        <v/>
      </c>
      <c r="AY97" s="1" t="str">
        <f>IFERROR(INDEX([1]物品基础表!$A:$A,MATCH(AX97,[1]物品基础表!$B:$B,0)),"")</f>
        <v/>
      </c>
      <c r="BB97" s="1" t="str">
        <f>IFERROR(INDEX([1]物品基础表!$A:$A,MATCH(BA97,[1]物品基础表!$B:$B,0)),"")</f>
        <v/>
      </c>
      <c r="BE97" s="1" t="str">
        <f>IFERROR(INDEX([1]物品基础表!$A:$A,MATCH(BD97,[1]物品基础表!$B:$B,0)),"")</f>
        <v/>
      </c>
      <c r="BH97" s="1" t="str">
        <f>IFERROR(INDEX([1]物品基础表!$A:$A,MATCH(BG97,[1]物品基础表!$B:$B,0)),"")</f>
        <v/>
      </c>
      <c r="BK97" s="1" t="str">
        <f>IFERROR(INDEX([1]物品基础表!$A:$A,MATCH(BJ97,[1]物品基础表!$B:$B,0)),"")</f>
        <v/>
      </c>
    </row>
    <row r="98" spans="1:64">
      <c r="A98" s="39" t="str">
        <f>INDEX([2]活动总表!$A$8:$A$429,MATCH(B98,[2]活动总表!$B$8:$B$429,0))</f>
        <v>腊八-福袋（15-30天）</v>
      </c>
      <c r="B98" s="40">
        <v>404</v>
      </c>
      <c r="C98" s="40">
        <v>20</v>
      </c>
      <c r="D98" s="40"/>
      <c r="E98" s="40"/>
      <c r="F98" s="40" t="s">
        <v>835</v>
      </c>
      <c r="G98" s="40">
        <v>2</v>
      </c>
      <c r="H98" s="40"/>
      <c r="I98" s="40"/>
      <c r="J98" s="57"/>
      <c r="K98" s="1">
        <v>200001</v>
      </c>
      <c r="L98" s="1" t="str">
        <f>IFERROR(INDEX([1]物品基础表!$A:$A,MATCH(K98,[1]物品基础表!$B:$B,0)),"")</f>
        <v>羽毛</v>
      </c>
      <c r="M98" s="1">
        <v>15</v>
      </c>
      <c r="O98" s="1" t="str">
        <f>IFERROR(INDEX([1]物品基础表!$A:$A,MATCH(N98,[1]物品基础表!$B:$B,0)),"")</f>
        <v/>
      </c>
      <c r="R98" s="1" t="str">
        <f>IFERROR(INDEX([1]物品基础表!$A:$A,MATCH(Q98,[1]物品基础表!$B:$B,0)),"")</f>
        <v/>
      </c>
      <c r="U98" s="1" t="str">
        <f>IFERROR(INDEX([1]物品基础表!$A:$A,MATCH(T98,[1]物品基础表!$B:$B,0)),"")</f>
        <v/>
      </c>
      <c r="X98" s="1" t="str">
        <f>IFERROR(INDEX([1]物品基础表!$A:$A,MATCH(W98,[1]物品基础表!$B:$B,0)),"")</f>
        <v/>
      </c>
      <c r="AA98" s="1" t="str">
        <f>IFERROR(INDEX([1]物品基础表!$A:$A,MATCH(Z98,[1]物品基础表!$B:$B,0)),"")</f>
        <v/>
      </c>
      <c r="AD98" s="1" t="str">
        <f>IFERROR(INDEX([1]物品基础表!$A:$A,MATCH(AC98,[1]物品基础表!$B:$B,0)),"")</f>
        <v/>
      </c>
      <c r="AG98" s="1" t="str">
        <f>IFERROR(INDEX([1]物品基础表!$A:$A,MATCH(AF98,[1]物品基础表!$B:$B,0)),"")</f>
        <v/>
      </c>
      <c r="AJ98" s="1" t="str">
        <f>IFERROR(INDEX([1]物品基础表!$A:$A,MATCH(AI98,[1]物品基础表!$B:$B,0)),"")</f>
        <v/>
      </c>
      <c r="AM98" s="1" t="str">
        <f>IFERROR(INDEX([1]物品基础表!$A:$A,MATCH(AL98,[1]物品基础表!$B:$B,0)),"")</f>
        <v/>
      </c>
      <c r="AP98" s="1" t="str">
        <f>IFERROR(INDEX([1]物品基础表!$A:$A,MATCH(AO98,[1]物品基础表!$B:$B,0)),"")</f>
        <v/>
      </c>
      <c r="AS98" s="1" t="str">
        <f>IFERROR(INDEX([1]物品基础表!$A:$A,MATCH(AR98,[1]物品基础表!$B:$B,0)),"")</f>
        <v/>
      </c>
      <c r="AV98" s="1" t="str">
        <f>IFERROR(INDEX([1]物品基础表!$A:$A,MATCH(AU98,[1]物品基础表!$B:$B,0)),"")</f>
        <v/>
      </c>
      <c r="AY98" s="1" t="str">
        <f>IFERROR(INDEX([1]物品基础表!$A:$A,MATCH(AX98,[1]物品基础表!$B:$B,0)),"")</f>
        <v/>
      </c>
      <c r="BB98" s="1" t="str">
        <f>IFERROR(INDEX([1]物品基础表!$A:$A,MATCH(BA98,[1]物品基础表!$B:$B,0)),"")</f>
        <v/>
      </c>
      <c r="BE98" s="1" t="str">
        <f>IFERROR(INDEX([1]物品基础表!$A:$A,MATCH(BD98,[1]物品基础表!$B:$B,0)),"")</f>
        <v/>
      </c>
      <c r="BH98" s="1" t="str">
        <f>IFERROR(INDEX([1]物品基础表!$A:$A,MATCH(BG98,[1]物品基础表!$B:$B,0)),"")</f>
        <v/>
      </c>
      <c r="BK98" s="1" t="str">
        <f>IFERROR(INDEX([1]物品基础表!$A:$A,MATCH(BJ98,[1]物品基础表!$B:$B,0)),"")</f>
        <v/>
      </c>
    </row>
    <row r="99" spans="1:64">
      <c r="A99" s="39" t="str">
        <f>INDEX([2]活动总表!$A$8:$A$429,MATCH(B99,[2]活动总表!$B$8:$B$429,0))</f>
        <v>腊八-福袋（15-30天）</v>
      </c>
      <c r="B99" s="40">
        <v>404</v>
      </c>
      <c r="C99" s="40">
        <v>21</v>
      </c>
      <c r="D99" s="40"/>
      <c r="E99" s="40"/>
      <c r="F99" s="40" t="s">
        <v>838</v>
      </c>
      <c r="G99" s="40">
        <v>2</v>
      </c>
      <c r="H99" s="40"/>
      <c r="I99" s="40"/>
      <c r="J99" s="57"/>
      <c r="K99" s="1">
        <v>200005</v>
      </c>
      <c r="L99" s="1" t="str">
        <f>IFERROR(INDEX([1]物品基础表!$A:$A,MATCH(K99,[1]物品基础表!$B:$B,0)),"")</f>
        <v>龙魂碎片</v>
      </c>
      <c r="M99" s="1">
        <v>5</v>
      </c>
      <c r="O99" s="1" t="str">
        <f>IFERROR(INDEX([1]物品基础表!$A:$A,MATCH(N99,[1]物品基础表!$B:$B,0)),"")</f>
        <v/>
      </c>
      <c r="R99" s="1" t="str">
        <f>IFERROR(INDEX([1]物品基础表!$A:$A,MATCH(Q99,[1]物品基础表!$B:$B,0)),"")</f>
        <v/>
      </c>
      <c r="U99" s="1" t="str">
        <f>IFERROR(INDEX([1]物品基础表!$A:$A,MATCH(T99,[1]物品基础表!$B:$B,0)),"")</f>
        <v/>
      </c>
      <c r="X99" s="1" t="str">
        <f>IFERROR(INDEX([1]物品基础表!$A:$A,MATCH(W99,[1]物品基础表!$B:$B,0)),"")</f>
        <v/>
      </c>
      <c r="AA99" s="1" t="str">
        <f>IFERROR(INDEX([1]物品基础表!$A:$A,MATCH(Z99,[1]物品基础表!$B:$B,0)),"")</f>
        <v/>
      </c>
      <c r="AD99" s="1" t="str">
        <f>IFERROR(INDEX([1]物品基础表!$A:$A,MATCH(AC99,[1]物品基础表!$B:$B,0)),"")</f>
        <v/>
      </c>
      <c r="AG99" s="1" t="str">
        <f>IFERROR(INDEX([1]物品基础表!$A:$A,MATCH(AF99,[1]物品基础表!$B:$B,0)),"")</f>
        <v/>
      </c>
      <c r="AJ99" s="1" t="str">
        <f>IFERROR(INDEX([1]物品基础表!$A:$A,MATCH(AI99,[1]物品基础表!$B:$B,0)),"")</f>
        <v/>
      </c>
      <c r="AM99" s="1" t="str">
        <f>IFERROR(INDEX([1]物品基础表!$A:$A,MATCH(AL99,[1]物品基础表!$B:$B,0)),"")</f>
        <v/>
      </c>
      <c r="AP99" s="1" t="str">
        <f>IFERROR(INDEX([1]物品基础表!$A:$A,MATCH(AO99,[1]物品基础表!$B:$B,0)),"")</f>
        <v/>
      </c>
      <c r="AS99" s="1" t="str">
        <f>IFERROR(INDEX([1]物品基础表!$A:$A,MATCH(AR99,[1]物品基础表!$B:$B,0)),"")</f>
        <v/>
      </c>
      <c r="AV99" s="1" t="str">
        <f>IFERROR(INDEX([1]物品基础表!$A:$A,MATCH(AU99,[1]物品基础表!$B:$B,0)),"")</f>
        <v/>
      </c>
      <c r="AY99" s="1" t="str">
        <f>IFERROR(INDEX([1]物品基础表!$A:$A,MATCH(AX99,[1]物品基础表!$B:$B,0)),"")</f>
        <v/>
      </c>
      <c r="BB99" s="1" t="str">
        <f>IFERROR(INDEX([1]物品基础表!$A:$A,MATCH(BA99,[1]物品基础表!$B:$B,0)),"")</f>
        <v/>
      </c>
      <c r="BE99" s="1" t="str">
        <f>IFERROR(INDEX([1]物品基础表!$A:$A,MATCH(BD99,[1]物品基础表!$B:$B,0)),"")</f>
        <v/>
      </c>
      <c r="BH99" s="1" t="str">
        <f>IFERROR(INDEX([1]物品基础表!$A:$A,MATCH(BG99,[1]物品基础表!$B:$B,0)),"")</f>
        <v/>
      </c>
      <c r="BK99" s="1" t="str">
        <f>IFERROR(INDEX([1]物品基础表!$A:$A,MATCH(BJ99,[1]物品基础表!$B:$B,0)),"")</f>
        <v/>
      </c>
    </row>
    <row r="100" spans="1:64">
      <c r="A100" s="39" t="str">
        <f>INDEX([2]活动总表!$A$8:$A$429,MATCH(B100,[2]活动总表!$B$8:$B$429,0))</f>
        <v>腊八-福袋（15-30天）</v>
      </c>
      <c r="B100" s="40">
        <v>404</v>
      </c>
      <c r="C100" s="40">
        <v>22</v>
      </c>
      <c r="D100" s="40"/>
      <c r="E100" s="40"/>
      <c r="F100" s="40" t="s">
        <v>839</v>
      </c>
      <c r="G100" s="40">
        <v>2</v>
      </c>
      <c r="H100" s="40"/>
      <c r="I100" s="40"/>
      <c r="J100" s="57"/>
      <c r="K100" s="1">
        <v>200005</v>
      </c>
      <c r="L100" s="1" t="str">
        <f>IFERROR(INDEX([1]物品基础表!$A:$A,MATCH(K100,[1]物品基础表!$B:$B,0)),"")</f>
        <v>龙魂碎片</v>
      </c>
      <c r="M100" s="1">
        <v>8</v>
      </c>
      <c r="O100" s="1" t="str">
        <f>IFERROR(INDEX([1]物品基础表!$A:$A,MATCH(N100,[1]物品基础表!$B:$B,0)),"")</f>
        <v/>
      </c>
      <c r="R100" s="1" t="str">
        <f>IFERROR(INDEX([1]物品基础表!$A:$A,MATCH(Q100,[1]物品基础表!$B:$B,0)),"")</f>
        <v/>
      </c>
      <c r="U100" s="1" t="str">
        <f>IFERROR(INDEX([1]物品基础表!$A:$A,MATCH(T100,[1]物品基础表!$B:$B,0)),"")</f>
        <v/>
      </c>
      <c r="X100" s="1" t="str">
        <f>IFERROR(INDEX([1]物品基础表!$A:$A,MATCH(W100,[1]物品基础表!$B:$B,0)),"")</f>
        <v/>
      </c>
      <c r="AA100" s="1" t="str">
        <f>IFERROR(INDEX([1]物品基础表!$A:$A,MATCH(Z100,[1]物品基础表!$B:$B,0)),"")</f>
        <v/>
      </c>
      <c r="AD100" s="1" t="str">
        <f>IFERROR(INDEX([1]物品基础表!$A:$A,MATCH(AC100,[1]物品基础表!$B:$B,0)),"")</f>
        <v/>
      </c>
      <c r="AG100" s="1" t="str">
        <f>IFERROR(INDEX([1]物品基础表!$A:$A,MATCH(AF100,[1]物品基础表!$B:$B,0)),"")</f>
        <v/>
      </c>
      <c r="AJ100" s="1" t="str">
        <f>IFERROR(INDEX([1]物品基础表!$A:$A,MATCH(AI100,[1]物品基础表!$B:$B,0)),"")</f>
        <v/>
      </c>
      <c r="AM100" s="1" t="str">
        <f>IFERROR(INDEX([1]物品基础表!$A:$A,MATCH(AL100,[1]物品基础表!$B:$B,0)),"")</f>
        <v/>
      </c>
      <c r="AP100" s="1" t="str">
        <f>IFERROR(INDEX([1]物品基础表!$A:$A,MATCH(AO100,[1]物品基础表!$B:$B,0)),"")</f>
        <v/>
      </c>
      <c r="AS100" s="1" t="str">
        <f>IFERROR(INDEX([1]物品基础表!$A:$A,MATCH(AR100,[1]物品基础表!$B:$B,0)),"")</f>
        <v/>
      </c>
      <c r="AV100" s="1" t="str">
        <f>IFERROR(INDEX([1]物品基础表!$A:$A,MATCH(AU100,[1]物品基础表!$B:$B,0)),"")</f>
        <v/>
      </c>
      <c r="AY100" s="1" t="str">
        <f>IFERROR(INDEX([1]物品基础表!$A:$A,MATCH(AX100,[1]物品基础表!$B:$B,0)),"")</f>
        <v/>
      </c>
      <c r="BB100" s="1" t="str">
        <f>IFERROR(INDEX([1]物品基础表!$A:$A,MATCH(BA100,[1]物品基础表!$B:$B,0)),"")</f>
        <v/>
      </c>
      <c r="BE100" s="1" t="str">
        <f>IFERROR(INDEX([1]物品基础表!$A:$A,MATCH(BD100,[1]物品基础表!$B:$B,0)),"")</f>
        <v/>
      </c>
      <c r="BH100" s="1" t="str">
        <f>IFERROR(INDEX([1]物品基础表!$A:$A,MATCH(BG100,[1]物品基础表!$B:$B,0)),"")</f>
        <v/>
      </c>
      <c r="BK100" s="1" t="str">
        <f>IFERROR(INDEX([1]物品基础表!$A:$A,MATCH(BJ100,[1]物品基础表!$B:$B,0)),"")</f>
        <v/>
      </c>
    </row>
    <row r="101" spans="1:64">
      <c r="A101" s="39" t="str">
        <f>INDEX([2]活动总表!$A$8:$A$429,MATCH(B101,[2]活动总表!$B$8:$B$429,0))</f>
        <v>腊八-福袋（15-30天）</v>
      </c>
      <c r="B101" s="40">
        <v>404</v>
      </c>
      <c r="C101" s="40">
        <v>23</v>
      </c>
      <c r="D101" s="40"/>
      <c r="E101" s="40"/>
      <c r="F101" s="40" t="s">
        <v>840</v>
      </c>
      <c r="G101" s="40">
        <v>2</v>
      </c>
      <c r="H101" s="40"/>
      <c r="I101" s="40"/>
      <c r="J101" s="57"/>
      <c r="K101" s="1">
        <v>200005</v>
      </c>
      <c r="L101" s="1" t="str">
        <f>IFERROR(INDEX([1]物品基础表!$A:$A,MATCH(K101,[1]物品基础表!$B:$B,0)),"")</f>
        <v>龙魂碎片</v>
      </c>
      <c r="M101" s="1">
        <v>10</v>
      </c>
      <c r="O101" s="1" t="str">
        <f>IFERROR(INDEX([1]物品基础表!$A:$A,MATCH(N101,[1]物品基础表!$B:$B,0)),"")</f>
        <v/>
      </c>
      <c r="R101" s="1" t="str">
        <f>IFERROR(INDEX([1]物品基础表!$A:$A,MATCH(Q101,[1]物品基础表!$B:$B,0)),"")</f>
        <v/>
      </c>
      <c r="U101" s="1" t="str">
        <f>IFERROR(INDEX([1]物品基础表!$A:$A,MATCH(T101,[1]物品基础表!$B:$B,0)),"")</f>
        <v/>
      </c>
      <c r="X101" s="1" t="str">
        <f>IFERROR(INDEX([1]物品基础表!$A:$A,MATCH(W101,[1]物品基础表!$B:$B,0)),"")</f>
        <v/>
      </c>
      <c r="AA101" s="1" t="str">
        <f>IFERROR(INDEX([1]物品基础表!$A:$A,MATCH(Z101,[1]物品基础表!$B:$B,0)),"")</f>
        <v/>
      </c>
      <c r="AD101" s="1" t="str">
        <f>IFERROR(INDEX([1]物品基础表!$A:$A,MATCH(AC101,[1]物品基础表!$B:$B,0)),"")</f>
        <v/>
      </c>
      <c r="AG101" s="1" t="str">
        <f>IFERROR(INDEX([1]物品基础表!$A:$A,MATCH(AF101,[1]物品基础表!$B:$B,0)),"")</f>
        <v/>
      </c>
      <c r="AJ101" s="1" t="str">
        <f>IFERROR(INDEX([1]物品基础表!$A:$A,MATCH(AI101,[1]物品基础表!$B:$B,0)),"")</f>
        <v/>
      </c>
      <c r="AM101" s="1" t="str">
        <f>IFERROR(INDEX([1]物品基础表!$A:$A,MATCH(AL101,[1]物品基础表!$B:$B,0)),"")</f>
        <v/>
      </c>
      <c r="AP101" s="1" t="str">
        <f>IFERROR(INDEX([1]物品基础表!$A:$A,MATCH(AO101,[1]物品基础表!$B:$B,0)),"")</f>
        <v/>
      </c>
      <c r="AS101" s="1" t="str">
        <f>IFERROR(INDEX([1]物品基础表!$A:$A,MATCH(AR101,[1]物品基础表!$B:$B,0)),"")</f>
        <v/>
      </c>
      <c r="AV101" s="1" t="str">
        <f>IFERROR(INDEX([1]物品基础表!$A:$A,MATCH(AU101,[1]物品基础表!$B:$B,0)),"")</f>
        <v/>
      </c>
      <c r="AY101" s="1" t="str">
        <f>IFERROR(INDEX([1]物品基础表!$A:$A,MATCH(AX101,[1]物品基础表!$B:$B,0)),"")</f>
        <v/>
      </c>
      <c r="BB101" s="1" t="str">
        <f>IFERROR(INDEX([1]物品基础表!$A:$A,MATCH(BA101,[1]物品基础表!$B:$B,0)),"")</f>
        <v/>
      </c>
      <c r="BE101" s="1" t="str">
        <f>IFERROR(INDEX([1]物品基础表!$A:$A,MATCH(BD101,[1]物品基础表!$B:$B,0)),"")</f>
        <v/>
      </c>
      <c r="BH101" s="1" t="str">
        <f>IFERROR(INDEX([1]物品基础表!$A:$A,MATCH(BG101,[1]物品基础表!$B:$B,0)),"")</f>
        <v/>
      </c>
      <c r="BK101" s="1" t="str">
        <f>IFERROR(INDEX([1]物品基础表!$A:$A,MATCH(BJ101,[1]物品基础表!$B:$B,0)),"")</f>
        <v/>
      </c>
    </row>
    <row r="102" spans="1:64">
      <c r="A102" s="39" t="str">
        <f>INDEX([2]活动总表!$A$8:$A$429,MATCH(B102,[2]活动总表!$B$8:$B$429,0))</f>
        <v>腊八-福袋（15-30天）</v>
      </c>
      <c r="B102" s="40">
        <v>404</v>
      </c>
      <c r="C102" s="40">
        <v>24</v>
      </c>
      <c r="D102" s="40"/>
      <c r="E102" s="40"/>
      <c r="F102" s="40" t="s">
        <v>841</v>
      </c>
      <c r="G102" s="40">
        <v>2</v>
      </c>
      <c r="H102" s="40"/>
      <c r="I102" s="40"/>
      <c r="J102" s="57"/>
      <c r="K102" s="1">
        <v>200005</v>
      </c>
      <c r="L102" s="1" t="str">
        <f>IFERROR(INDEX([1]物品基础表!$A:$A,MATCH(K102,[1]物品基础表!$B:$B,0)),"")</f>
        <v>龙魂碎片</v>
      </c>
      <c r="M102" s="1">
        <v>15</v>
      </c>
      <c r="O102" s="1" t="str">
        <f>IFERROR(INDEX([1]物品基础表!$A:$A,MATCH(N102,[1]物品基础表!$B:$B,0)),"")</f>
        <v/>
      </c>
      <c r="R102" s="1" t="str">
        <f>IFERROR(INDEX([1]物品基础表!$A:$A,MATCH(Q102,[1]物品基础表!$B:$B,0)),"")</f>
        <v/>
      </c>
      <c r="U102" s="1" t="str">
        <f>IFERROR(INDEX([1]物品基础表!$A:$A,MATCH(T102,[1]物品基础表!$B:$B,0)),"")</f>
        <v/>
      </c>
      <c r="X102" s="1" t="str">
        <f>IFERROR(INDEX([1]物品基础表!$A:$A,MATCH(W102,[1]物品基础表!$B:$B,0)),"")</f>
        <v/>
      </c>
      <c r="AA102" s="1" t="str">
        <f>IFERROR(INDEX([1]物品基础表!$A:$A,MATCH(Z102,[1]物品基础表!$B:$B,0)),"")</f>
        <v/>
      </c>
      <c r="AD102" s="1" t="str">
        <f>IFERROR(INDEX([1]物品基础表!$A:$A,MATCH(AC102,[1]物品基础表!$B:$B,0)),"")</f>
        <v/>
      </c>
      <c r="AG102" s="1" t="str">
        <f>IFERROR(INDEX([1]物品基础表!$A:$A,MATCH(AF102,[1]物品基础表!$B:$B,0)),"")</f>
        <v/>
      </c>
      <c r="AJ102" s="1" t="str">
        <f>IFERROR(INDEX([1]物品基础表!$A:$A,MATCH(AI102,[1]物品基础表!$B:$B,0)),"")</f>
        <v/>
      </c>
      <c r="AM102" s="1" t="str">
        <f>IFERROR(INDEX([1]物品基础表!$A:$A,MATCH(AL102,[1]物品基础表!$B:$B,0)),"")</f>
        <v/>
      </c>
      <c r="AP102" s="1" t="str">
        <f>IFERROR(INDEX([1]物品基础表!$A:$A,MATCH(AO102,[1]物品基础表!$B:$B,0)),"")</f>
        <v/>
      </c>
      <c r="AS102" s="1" t="str">
        <f>IFERROR(INDEX([1]物品基础表!$A:$A,MATCH(AR102,[1]物品基础表!$B:$B,0)),"")</f>
        <v/>
      </c>
      <c r="AV102" s="1" t="str">
        <f>IFERROR(INDEX([1]物品基础表!$A:$A,MATCH(AU102,[1]物品基础表!$B:$B,0)),"")</f>
        <v/>
      </c>
      <c r="AY102" s="1" t="str">
        <f>IFERROR(INDEX([1]物品基础表!$A:$A,MATCH(AX102,[1]物品基础表!$B:$B,0)),"")</f>
        <v/>
      </c>
      <c r="BB102" s="1" t="str">
        <f>IFERROR(INDEX([1]物品基础表!$A:$A,MATCH(BA102,[1]物品基础表!$B:$B,0)),"")</f>
        <v/>
      </c>
      <c r="BE102" s="1" t="str">
        <f>IFERROR(INDEX([1]物品基础表!$A:$A,MATCH(BD102,[1]物品基础表!$B:$B,0)),"")</f>
        <v/>
      </c>
      <c r="BH102" s="1" t="str">
        <f>IFERROR(INDEX([1]物品基础表!$A:$A,MATCH(BG102,[1]物品基础表!$B:$B,0)),"")</f>
        <v/>
      </c>
      <c r="BK102" s="1" t="str">
        <f>IFERROR(INDEX([1]物品基础表!$A:$A,MATCH(BJ102,[1]物品基础表!$B:$B,0)),"")</f>
        <v/>
      </c>
    </row>
    <row r="103" spans="1:64">
      <c r="A103" s="39" t="str">
        <f>INDEX([2]活动总表!$A$8:$A$429,MATCH(B103,[2]活动总表!$B$8:$B$429,0))</f>
        <v>腊八-福袋（15-30天）</v>
      </c>
      <c r="B103" s="40">
        <v>404</v>
      </c>
      <c r="C103" s="40">
        <v>25</v>
      </c>
      <c r="D103" s="40"/>
      <c r="E103" s="40"/>
      <c r="F103" s="40" t="s">
        <v>835</v>
      </c>
      <c r="G103" s="40">
        <v>2</v>
      </c>
      <c r="H103" s="40"/>
      <c r="I103" s="40"/>
      <c r="J103" s="57"/>
      <c r="K103" s="1">
        <v>200167</v>
      </c>
      <c r="L103" s="1" t="str">
        <f>IFERROR(INDEX([1]物品基础表!$A:$A,MATCH(K103,[1]物品基础表!$B:$B,0)),"")</f>
        <v>黑铁</v>
      </c>
      <c r="M103" s="1">
        <v>200</v>
      </c>
      <c r="O103" s="1" t="str">
        <f>IFERROR(INDEX([1]物品基础表!$A:$A,MATCH(N103,[1]物品基础表!$B:$B,0)),"")</f>
        <v/>
      </c>
      <c r="R103" s="1" t="str">
        <f>IFERROR(INDEX([1]物品基础表!$A:$A,MATCH(Q103,[1]物品基础表!$B:$B,0)),"")</f>
        <v/>
      </c>
      <c r="U103" s="1" t="str">
        <f>IFERROR(INDEX([1]物品基础表!$A:$A,MATCH(T103,[1]物品基础表!$B:$B,0)),"")</f>
        <v/>
      </c>
      <c r="X103" s="1" t="str">
        <f>IFERROR(INDEX([1]物品基础表!$A:$A,MATCH(W103,[1]物品基础表!$B:$B,0)),"")</f>
        <v/>
      </c>
      <c r="AA103" s="1" t="str">
        <f>IFERROR(INDEX([1]物品基础表!$A:$A,MATCH(Z103,[1]物品基础表!$B:$B,0)),"")</f>
        <v/>
      </c>
      <c r="AD103" s="1" t="str">
        <f>IFERROR(INDEX([1]物品基础表!$A:$A,MATCH(AC103,[1]物品基础表!$B:$B,0)),"")</f>
        <v/>
      </c>
      <c r="AG103" s="1" t="str">
        <f>IFERROR(INDEX([1]物品基础表!$A:$A,MATCH(AF103,[1]物品基础表!$B:$B,0)),"")</f>
        <v/>
      </c>
      <c r="AJ103" s="1" t="str">
        <f>IFERROR(INDEX([1]物品基础表!$A:$A,MATCH(AI103,[1]物品基础表!$B:$B,0)),"")</f>
        <v/>
      </c>
      <c r="AM103" s="1" t="str">
        <f>IFERROR(INDEX([1]物品基础表!$A:$A,MATCH(AL103,[1]物品基础表!$B:$B,0)),"")</f>
        <v/>
      </c>
      <c r="AP103" s="1" t="str">
        <f>IFERROR(INDEX([1]物品基础表!$A:$A,MATCH(AO103,[1]物品基础表!$B:$B,0)),"")</f>
        <v/>
      </c>
      <c r="AS103" s="1" t="str">
        <f>IFERROR(INDEX([1]物品基础表!$A:$A,MATCH(AR103,[1]物品基础表!$B:$B,0)),"")</f>
        <v/>
      </c>
      <c r="AV103" s="1" t="str">
        <f>IFERROR(INDEX([1]物品基础表!$A:$A,MATCH(AU103,[1]物品基础表!$B:$B,0)),"")</f>
        <v/>
      </c>
      <c r="AY103" s="1" t="str">
        <f>IFERROR(INDEX([1]物品基础表!$A:$A,MATCH(AX103,[1]物品基础表!$B:$B,0)),"")</f>
        <v/>
      </c>
      <c r="BB103" s="1" t="str">
        <f>IFERROR(INDEX([1]物品基础表!$A:$A,MATCH(BA103,[1]物品基础表!$B:$B,0)),"")</f>
        <v/>
      </c>
      <c r="BE103" s="1" t="str">
        <f>IFERROR(INDEX([1]物品基础表!$A:$A,MATCH(BD103,[1]物品基础表!$B:$B,0)),"")</f>
        <v/>
      </c>
      <c r="BH103" s="1" t="str">
        <f>IFERROR(INDEX([1]物品基础表!$A:$A,MATCH(BG103,[1]物品基础表!$B:$B,0)),"")</f>
        <v/>
      </c>
      <c r="BK103" s="1" t="str">
        <f>IFERROR(INDEX([1]物品基础表!$A:$A,MATCH(BJ103,[1]物品基础表!$B:$B,0)),"")</f>
        <v/>
      </c>
    </row>
    <row r="104" spans="1:64">
      <c r="A104" s="39" t="str">
        <f>INDEX([2]活动总表!$A$8:$A$429,MATCH(B104,[2]活动总表!$B$8:$B$429,0))</f>
        <v>腊八-福袋（15-30天）</v>
      </c>
      <c r="B104" s="40">
        <v>404</v>
      </c>
      <c r="C104" s="40">
        <v>26</v>
      </c>
      <c r="D104" s="40"/>
      <c r="E104" s="40"/>
      <c r="F104" s="40" t="s">
        <v>842</v>
      </c>
      <c r="G104" s="40">
        <v>2</v>
      </c>
      <c r="H104" s="40"/>
      <c r="I104" s="40"/>
      <c r="J104" s="57"/>
      <c r="K104" s="1">
        <v>200167</v>
      </c>
      <c r="L104" s="1" t="str">
        <f>IFERROR(INDEX([1]物品基础表!$A:$A,MATCH(K104,[1]物品基础表!$B:$B,0)),"")</f>
        <v>黑铁</v>
      </c>
      <c r="M104" s="1">
        <v>500</v>
      </c>
      <c r="O104" s="1" t="str">
        <f>IFERROR(INDEX([1]物品基础表!$A:$A,MATCH(N104,[1]物品基础表!$B:$B,0)),"")</f>
        <v/>
      </c>
      <c r="R104" s="1" t="str">
        <f>IFERROR(INDEX([1]物品基础表!$A:$A,MATCH(Q104,[1]物品基础表!$B:$B,0)),"")</f>
        <v/>
      </c>
      <c r="U104" s="1" t="str">
        <f>IFERROR(INDEX([1]物品基础表!$A:$A,MATCH(T104,[1]物品基础表!$B:$B,0)),"")</f>
        <v/>
      </c>
      <c r="X104" s="1" t="str">
        <f>IFERROR(INDEX([1]物品基础表!$A:$A,MATCH(W104,[1]物品基础表!$B:$B,0)),"")</f>
        <v/>
      </c>
      <c r="AA104" s="1" t="str">
        <f>IFERROR(INDEX([1]物品基础表!$A:$A,MATCH(Z104,[1]物品基础表!$B:$B,0)),"")</f>
        <v/>
      </c>
      <c r="AD104" s="1" t="str">
        <f>IFERROR(INDEX([1]物品基础表!$A:$A,MATCH(AC104,[1]物品基础表!$B:$B,0)),"")</f>
        <v/>
      </c>
      <c r="AG104" s="1" t="str">
        <f>IFERROR(INDEX([1]物品基础表!$A:$A,MATCH(AF104,[1]物品基础表!$B:$B,0)),"")</f>
        <v/>
      </c>
      <c r="AJ104" s="1" t="str">
        <f>IFERROR(INDEX([1]物品基础表!$A:$A,MATCH(AI104,[1]物品基础表!$B:$B,0)),"")</f>
        <v/>
      </c>
      <c r="AM104" s="1" t="str">
        <f>IFERROR(INDEX([1]物品基础表!$A:$A,MATCH(AL104,[1]物品基础表!$B:$B,0)),"")</f>
        <v/>
      </c>
      <c r="AP104" s="1" t="str">
        <f>IFERROR(INDEX([1]物品基础表!$A:$A,MATCH(AO104,[1]物品基础表!$B:$B,0)),"")</f>
        <v/>
      </c>
      <c r="AS104" s="1" t="str">
        <f>IFERROR(INDEX([1]物品基础表!$A:$A,MATCH(AR104,[1]物品基础表!$B:$B,0)),"")</f>
        <v/>
      </c>
      <c r="AV104" s="1" t="str">
        <f>IFERROR(INDEX([1]物品基础表!$A:$A,MATCH(AU104,[1]物品基础表!$B:$B,0)),"")</f>
        <v/>
      </c>
      <c r="AY104" s="1" t="str">
        <f>IFERROR(INDEX([1]物品基础表!$A:$A,MATCH(AX104,[1]物品基础表!$B:$B,0)),"")</f>
        <v/>
      </c>
      <c r="BB104" s="1" t="str">
        <f>IFERROR(INDEX([1]物品基础表!$A:$A,MATCH(BA104,[1]物品基础表!$B:$B,0)),"")</f>
        <v/>
      </c>
      <c r="BE104" s="1" t="str">
        <f>IFERROR(INDEX([1]物品基础表!$A:$A,MATCH(BD104,[1]物品基础表!$B:$B,0)),"")</f>
        <v/>
      </c>
      <c r="BH104" s="1" t="str">
        <f>IFERROR(INDEX([1]物品基础表!$A:$A,MATCH(BG104,[1]物品基础表!$B:$B,0)),"")</f>
        <v/>
      </c>
      <c r="BK104" s="1" t="str">
        <f>IFERROR(INDEX([1]物品基础表!$A:$A,MATCH(BJ104,[1]物品基础表!$B:$B,0)),"")</f>
        <v/>
      </c>
    </row>
    <row r="105" spans="1:64">
      <c r="A105" s="39" t="str">
        <f>INDEX([2]活动总表!$A$8:$A$429,MATCH(B105,[2]活动总表!$B$8:$B$429,0))</f>
        <v>腊八-福袋（15-30天）</v>
      </c>
      <c r="B105" s="40">
        <v>404</v>
      </c>
      <c r="C105" s="40">
        <v>27</v>
      </c>
      <c r="D105" s="40"/>
      <c r="E105" s="40"/>
      <c r="F105" s="40" t="s">
        <v>841</v>
      </c>
      <c r="G105" s="40">
        <v>2</v>
      </c>
      <c r="H105" s="40"/>
      <c r="I105" s="40"/>
      <c r="J105" s="57"/>
      <c r="K105" s="1">
        <v>200167</v>
      </c>
      <c r="L105" s="1" t="str">
        <f>IFERROR(INDEX([1]物品基础表!$A:$A,MATCH(K105,[1]物品基础表!$B:$B,0)),"")</f>
        <v>黑铁</v>
      </c>
      <c r="M105" s="1">
        <v>1000</v>
      </c>
      <c r="O105" s="1" t="str">
        <f>IFERROR(INDEX([1]物品基础表!$A:$A,MATCH(N105,[1]物品基础表!$B:$B,0)),"")</f>
        <v/>
      </c>
      <c r="R105" s="1" t="str">
        <f>IFERROR(INDEX([1]物品基础表!$A:$A,MATCH(Q105,[1]物品基础表!$B:$B,0)),"")</f>
        <v/>
      </c>
      <c r="U105" s="1" t="str">
        <f>IFERROR(INDEX([1]物品基础表!$A:$A,MATCH(T105,[1]物品基础表!$B:$B,0)),"")</f>
        <v/>
      </c>
      <c r="X105" s="1" t="str">
        <f>IFERROR(INDEX([1]物品基础表!$A:$A,MATCH(W105,[1]物品基础表!$B:$B,0)),"")</f>
        <v/>
      </c>
      <c r="AA105" s="1" t="str">
        <f>IFERROR(INDEX([1]物品基础表!$A:$A,MATCH(Z105,[1]物品基础表!$B:$B,0)),"")</f>
        <v/>
      </c>
      <c r="AD105" s="1" t="str">
        <f>IFERROR(INDEX([1]物品基础表!$A:$A,MATCH(AC105,[1]物品基础表!$B:$B,0)),"")</f>
        <v/>
      </c>
      <c r="AG105" s="1" t="str">
        <f>IFERROR(INDEX([1]物品基础表!$A:$A,MATCH(AF105,[1]物品基础表!$B:$B,0)),"")</f>
        <v/>
      </c>
      <c r="AJ105" s="1" t="str">
        <f>IFERROR(INDEX([1]物品基础表!$A:$A,MATCH(AI105,[1]物品基础表!$B:$B,0)),"")</f>
        <v/>
      </c>
      <c r="AM105" s="1" t="str">
        <f>IFERROR(INDEX([1]物品基础表!$A:$A,MATCH(AL105,[1]物品基础表!$B:$B,0)),"")</f>
        <v/>
      </c>
      <c r="AP105" s="1" t="str">
        <f>IFERROR(INDEX([1]物品基础表!$A:$A,MATCH(AO105,[1]物品基础表!$B:$B,0)),"")</f>
        <v/>
      </c>
      <c r="AS105" s="1" t="str">
        <f>IFERROR(INDEX([1]物品基础表!$A:$A,MATCH(AR105,[1]物品基础表!$B:$B,0)),"")</f>
        <v/>
      </c>
      <c r="AV105" s="1" t="str">
        <f>IFERROR(INDEX([1]物品基础表!$A:$A,MATCH(AU105,[1]物品基础表!$B:$B,0)),"")</f>
        <v/>
      </c>
      <c r="AY105" s="1" t="str">
        <f>IFERROR(INDEX([1]物品基础表!$A:$A,MATCH(AX105,[1]物品基础表!$B:$B,0)),"")</f>
        <v/>
      </c>
      <c r="BB105" s="1" t="str">
        <f>IFERROR(INDEX([1]物品基础表!$A:$A,MATCH(BA105,[1]物品基础表!$B:$B,0)),"")</f>
        <v/>
      </c>
      <c r="BE105" s="1" t="str">
        <f>IFERROR(INDEX([1]物品基础表!$A:$A,MATCH(BD105,[1]物品基础表!$B:$B,0)),"")</f>
        <v/>
      </c>
      <c r="BH105" s="1" t="str">
        <f>IFERROR(INDEX([1]物品基础表!$A:$A,MATCH(BG105,[1]物品基础表!$B:$B,0)),"")</f>
        <v/>
      </c>
      <c r="BK105" s="1" t="str">
        <f>IFERROR(INDEX([1]物品基础表!$A:$A,MATCH(BJ105,[1]物品基础表!$B:$B,0)),"")</f>
        <v/>
      </c>
    </row>
    <row r="106" spans="1:64">
      <c r="A106" s="39" t="str">
        <f>INDEX([2]活动总表!$A$8:$A$429,MATCH(B106,[2]活动总表!$B$8:$B$429,0))</f>
        <v>腊八-福袋（15-30天）</v>
      </c>
      <c r="B106" s="40">
        <v>404</v>
      </c>
      <c r="C106" s="40">
        <v>28</v>
      </c>
      <c r="D106" s="40"/>
      <c r="E106" s="40"/>
      <c r="F106" s="40" t="s">
        <v>834</v>
      </c>
      <c r="G106" s="40">
        <v>2</v>
      </c>
      <c r="H106" s="40"/>
      <c r="I106" s="40"/>
      <c r="J106" s="57"/>
      <c r="K106" s="1">
        <v>200015</v>
      </c>
      <c r="L106" s="1" t="str">
        <f>IFERROR(INDEX([1]物品基础表!$A:$A,MATCH(K106,[1]物品基础表!$B:$B,0)),"")</f>
        <v>特戒碎片</v>
      </c>
      <c r="M106" s="1">
        <v>50</v>
      </c>
      <c r="O106" s="1" t="str">
        <f>IFERROR(INDEX([1]物品基础表!$A:$A,MATCH(N106,[1]物品基础表!$B:$B,0)),"")</f>
        <v/>
      </c>
      <c r="R106" s="1" t="str">
        <f>IFERROR(INDEX([1]物品基础表!$A:$A,MATCH(Q106,[1]物品基础表!$B:$B,0)),"")</f>
        <v/>
      </c>
      <c r="U106" s="1" t="str">
        <f>IFERROR(INDEX([1]物品基础表!$A:$A,MATCH(T106,[1]物品基础表!$B:$B,0)),"")</f>
        <v/>
      </c>
      <c r="X106" s="1" t="str">
        <f>IFERROR(INDEX([1]物品基础表!$A:$A,MATCH(W106,[1]物品基础表!$B:$B,0)),"")</f>
        <v/>
      </c>
      <c r="AA106" s="1" t="str">
        <f>IFERROR(INDEX([1]物品基础表!$A:$A,MATCH(Z106,[1]物品基础表!$B:$B,0)),"")</f>
        <v/>
      </c>
      <c r="AD106" s="1" t="str">
        <f>IFERROR(INDEX([1]物品基础表!$A:$A,MATCH(AC106,[1]物品基础表!$B:$B,0)),"")</f>
        <v/>
      </c>
      <c r="AG106" s="1" t="str">
        <f>IFERROR(INDEX([1]物品基础表!$A:$A,MATCH(AF106,[1]物品基础表!$B:$B,0)),"")</f>
        <v/>
      </c>
      <c r="AJ106" s="1" t="str">
        <f>IFERROR(INDEX([1]物品基础表!$A:$A,MATCH(AI106,[1]物品基础表!$B:$B,0)),"")</f>
        <v/>
      </c>
      <c r="AM106" s="1" t="str">
        <f>IFERROR(INDEX([1]物品基础表!$A:$A,MATCH(AL106,[1]物品基础表!$B:$B,0)),"")</f>
        <v/>
      </c>
      <c r="AP106" s="1" t="str">
        <f>IFERROR(INDEX([1]物品基础表!$A:$A,MATCH(AO106,[1]物品基础表!$B:$B,0)),"")</f>
        <v/>
      </c>
      <c r="AS106" s="1" t="str">
        <f>IFERROR(INDEX([1]物品基础表!$A:$A,MATCH(AR106,[1]物品基础表!$B:$B,0)),"")</f>
        <v/>
      </c>
      <c r="AV106" s="1" t="str">
        <f>IFERROR(INDEX([1]物品基础表!$A:$A,MATCH(AU106,[1]物品基础表!$B:$B,0)),"")</f>
        <v/>
      </c>
      <c r="AY106" s="1" t="str">
        <f>IFERROR(INDEX([1]物品基础表!$A:$A,MATCH(AX106,[1]物品基础表!$B:$B,0)),"")</f>
        <v/>
      </c>
      <c r="BB106" s="1" t="str">
        <f>IFERROR(INDEX([1]物品基础表!$A:$A,MATCH(BA106,[1]物品基础表!$B:$B,0)),"")</f>
        <v/>
      </c>
      <c r="BE106" s="1" t="str">
        <f>IFERROR(INDEX([1]物品基础表!$A:$A,MATCH(BD106,[1]物品基础表!$B:$B,0)),"")</f>
        <v/>
      </c>
      <c r="BH106" s="1" t="str">
        <f>IFERROR(INDEX([1]物品基础表!$A:$A,MATCH(BG106,[1]物品基础表!$B:$B,0)),"")</f>
        <v/>
      </c>
      <c r="BK106" s="1" t="str">
        <f>IFERROR(INDEX([1]物品基础表!$A:$A,MATCH(BJ106,[1]物品基础表!$B:$B,0)),"")</f>
        <v/>
      </c>
    </row>
    <row r="107" spans="1:64">
      <c r="A107" s="39" t="str">
        <f>INDEX([2]活动总表!$A$8:$A$429,MATCH(B107,[2]活动总表!$B$8:$B$429,0))</f>
        <v>腊八-福袋（15-30天）</v>
      </c>
      <c r="B107" s="40">
        <v>404</v>
      </c>
      <c r="C107" s="40">
        <v>29</v>
      </c>
      <c r="D107" s="40"/>
      <c r="E107" s="40"/>
      <c r="F107" s="40" t="s">
        <v>837</v>
      </c>
      <c r="G107" s="40">
        <v>2</v>
      </c>
      <c r="H107" s="40"/>
      <c r="I107" s="40"/>
      <c r="J107" s="57"/>
      <c r="K107" s="1">
        <v>200015</v>
      </c>
      <c r="L107" s="1" t="str">
        <f>IFERROR(INDEX([1]物品基础表!$A:$A,MATCH(K107,[1]物品基础表!$B:$B,0)),"")</f>
        <v>特戒碎片</v>
      </c>
      <c r="M107" s="1">
        <v>80</v>
      </c>
      <c r="O107" s="1" t="str">
        <f>IFERROR(INDEX([1]物品基础表!$A:$A,MATCH(N107,[1]物品基础表!$B:$B,0)),"")</f>
        <v/>
      </c>
      <c r="R107" s="1" t="str">
        <f>IFERROR(INDEX([1]物品基础表!$A:$A,MATCH(Q107,[1]物品基础表!$B:$B,0)),"")</f>
        <v/>
      </c>
      <c r="U107" s="1" t="str">
        <f>IFERROR(INDEX([1]物品基础表!$A:$A,MATCH(T107,[1]物品基础表!$B:$B,0)),"")</f>
        <v/>
      </c>
      <c r="X107" s="1" t="str">
        <f>IFERROR(INDEX([1]物品基础表!$A:$A,MATCH(W107,[1]物品基础表!$B:$B,0)),"")</f>
        <v/>
      </c>
      <c r="AA107" s="1" t="str">
        <f>IFERROR(INDEX([1]物品基础表!$A:$A,MATCH(Z107,[1]物品基础表!$B:$B,0)),"")</f>
        <v/>
      </c>
      <c r="AD107" s="1" t="str">
        <f>IFERROR(INDEX([1]物品基础表!$A:$A,MATCH(AC107,[1]物品基础表!$B:$B,0)),"")</f>
        <v/>
      </c>
      <c r="AG107" s="1" t="str">
        <f>IFERROR(INDEX([1]物品基础表!$A:$A,MATCH(AF107,[1]物品基础表!$B:$B,0)),"")</f>
        <v/>
      </c>
      <c r="AJ107" s="1" t="str">
        <f>IFERROR(INDEX([1]物品基础表!$A:$A,MATCH(AI107,[1]物品基础表!$B:$B,0)),"")</f>
        <v/>
      </c>
      <c r="AM107" s="1" t="str">
        <f>IFERROR(INDEX([1]物品基础表!$A:$A,MATCH(AL107,[1]物品基础表!$B:$B,0)),"")</f>
        <v/>
      </c>
      <c r="AP107" s="1" t="str">
        <f>IFERROR(INDEX([1]物品基础表!$A:$A,MATCH(AO107,[1]物品基础表!$B:$B,0)),"")</f>
        <v/>
      </c>
      <c r="AS107" s="1" t="str">
        <f>IFERROR(INDEX([1]物品基础表!$A:$A,MATCH(AR107,[1]物品基础表!$B:$B,0)),"")</f>
        <v/>
      </c>
      <c r="AV107" s="1" t="str">
        <f>IFERROR(INDEX([1]物品基础表!$A:$A,MATCH(AU107,[1]物品基础表!$B:$B,0)),"")</f>
        <v/>
      </c>
      <c r="AY107" s="1" t="str">
        <f>IFERROR(INDEX([1]物品基础表!$A:$A,MATCH(AX107,[1]物品基础表!$B:$B,0)),"")</f>
        <v/>
      </c>
      <c r="BB107" s="1" t="str">
        <f>IFERROR(INDEX([1]物品基础表!$A:$A,MATCH(BA107,[1]物品基础表!$B:$B,0)),"")</f>
        <v/>
      </c>
      <c r="BE107" s="1" t="str">
        <f>IFERROR(INDEX([1]物品基础表!$A:$A,MATCH(BD107,[1]物品基础表!$B:$B,0)),"")</f>
        <v/>
      </c>
      <c r="BH107" s="1" t="str">
        <f>IFERROR(INDEX([1]物品基础表!$A:$A,MATCH(BG107,[1]物品基础表!$B:$B,0)),"")</f>
        <v/>
      </c>
      <c r="BK107" s="1" t="str">
        <f>IFERROR(INDEX([1]物品基础表!$A:$A,MATCH(BJ107,[1]物品基础表!$B:$B,0)),"")</f>
        <v/>
      </c>
    </row>
    <row r="108" spans="1:64">
      <c r="A108" s="39" t="str">
        <f>INDEX([2]活动总表!$A$8:$A$429,MATCH(B108,[2]活动总表!$B$8:$B$429,0))</f>
        <v>腊八-福袋（15-30天）</v>
      </c>
      <c r="B108" s="40">
        <v>404</v>
      </c>
      <c r="C108" s="40">
        <v>30</v>
      </c>
      <c r="D108" s="40"/>
      <c r="E108" s="40"/>
      <c r="F108" s="40" t="s">
        <v>842</v>
      </c>
      <c r="G108" s="40">
        <v>2</v>
      </c>
      <c r="H108" s="40"/>
      <c r="I108" s="40"/>
      <c r="J108" s="57"/>
      <c r="K108" s="1">
        <v>200015</v>
      </c>
      <c r="L108" s="1" t="str">
        <f>IFERROR(INDEX([1]物品基础表!$A:$A,MATCH(K108,[1]物品基础表!$B:$B,0)),"")</f>
        <v>特戒碎片</v>
      </c>
      <c r="M108" s="1">
        <v>100</v>
      </c>
      <c r="O108" s="1" t="str">
        <f>IFERROR(INDEX([1]物品基础表!$A:$A,MATCH(N108,[1]物品基础表!$B:$B,0)),"")</f>
        <v/>
      </c>
      <c r="R108" s="1" t="str">
        <f>IFERROR(INDEX([1]物品基础表!$A:$A,MATCH(Q108,[1]物品基础表!$B:$B,0)),"")</f>
        <v/>
      </c>
      <c r="U108" s="1" t="str">
        <f>IFERROR(INDEX([1]物品基础表!$A:$A,MATCH(T108,[1]物品基础表!$B:$B,0)),"")</f>
        <v/>
      </c>
      <c r="X108" s="1" t="str">
        <f>IFERROR(INDEX([1]物品基础表!$A:$A,MATCH(W108,[1]物品基础表!$B:$B,0)),"")</f>
        <v/>
      </c>
      <c r="AA108" s="1" t="str">
        <f>IFERROR(INDEX([1]物品基础表!$A:$A,MATCH(Z108,[1]物品基础表!$B:$B,0)),"")</f>
        <v/>
      </c>
      <c r="AD108" s="1" t="str">
        <f>IFERROR(INDEX([1]物品基础表!$A:$A,MATCH(AC108,[1]物品基础表!$B:$B,0)),"")</f>
        <v/>
      </c>
      <c r="AG108" s="1" t="str">
        <f>IFERROR(INDEX([1]物品基础表!$A:$A,MATCH(AF108,[1]物品基础表!$B:$B,0)),"")</f>
        <v/>
      </c>
      <c r="AJ108" s="1" t="str">
        <f>IFERROR(INDEX([1]物品基础表!$A:$A,MATCH(AI108,[1]物品基础表!$B:$B,0)),"")</f>
        <v/>
      </c>
      <c r="AM108" s="1" t="str">
        <f>IFERROR(INDEX([1]物品基础表!$A:$A,MATCH(AL108,[1]物品基础表!$B:$B,0)),"")</f>
        <v/>
      </c>
      <c r="AP108" s="1" t="str">
        <f>IFERROR(INDEX([1]物品基础表!$A:$A,MATCH(AO108,[1]物品基础表!$B:$B,0)),"")</f>
        <v/>
      </c>
      <c r="AS108" s="1" t="str">
        <f>IFERROR(INDEX([1]物品基础表!$A:$A,MATCH(AR108,[1]物品基础表!$B:$B,0)),"")</f>
        <v/>
      </c>
      <c r="AV108" s="1" t="str">
        <f>IFERROR(INDEX([1]物品基础表!$A:$A,MATCH(AU108,[1]物品基础表!$B:$B,0)),"")</f>
        <v/>
      </c>
      <c r="AY108" s="1" t="str">
        <f>IFERROR(INDEX([1]物品基础表!$A:$A,MATCH(AX108,[1]物品基础表!$B:$B,0)),"")</f>
        <v/>
      </c>
      <c r="BB108" s="1" t="str">
        <f>IFERROR(INDEX([1]物品基础表!$A:$A,MATCH(BA108,[1]物品基础表!$B:$B,0)),"")</f>
        <v/>
      </c>
      <c r="BE108" s="1" t="str">
        <f>IFERROR(INDEX([1]物品基础表!$A:$A,MATCH(BD108,[1]物品基础表!$B:$B,0)),"")</f>
        <v/>
      </c>
      <c r="BH108" s="1" t="str">
        <f>IFERROR(INDEX([1]物品基础表!$A:$A,MATCH(BG108,[1]物品基础表!$B:$B,0)),"")</f>
        <v/>
      </c>
      <c r="BK108" s="1" t="str">
        <f>IFERROR(INDEX([1]物品基础表!$A:$A,MATCH(BJ108,[1]物品基础表!$B:$B,0)),"")</f>
        <v/>
      </c>
    </row>
    <row r="109" spans="1:64">
      <c r="A109" s="39" t="str">
        <f>INDEX([2]活动总表!$A$8:$A$429,MATCH(B109,[2]活动总表!$B$8:$B$429,0))</f>
        <v>腊八-福袋（31-60天）</v>
      </c>
      <c r="B109" s="40">
        <v>411</v>
      </c>
      <c r="C109" s="40">
        <v>0</v>
      </c>
      <c r="D109" s="40"/>
      <c r="E109" s="40">
        <v>998</v>
      </c>
      <c r="F109" s="40"/>
      <c r="G109" s="40">
        <v>2</v>
      </c>
      <c r="H109" s="40"/>
      <c r="I109" s="40"/>
      <c r="J109" s="57"/>
      <c r="L109" s="1" t="str">
        <f>IFERROR(INDEX([1]物品基础表!$A:$A,MATCH(K109,[1]物品基础表!$B:$B,0)),"")</f>
        <v/>
      </c>
      <c r="N109" s="1">
        <v>204116</v>
      </c>
      <c r="O109" s="1" t="str">
        <f>IFERROR(INDEX([1]物品基础表!$A:$A,MATCH(N109,[1]物品基础表!$B:$B,0)),"")</f>
        <v>腊八福袋1</v>
      </c>
      <c r="P109" s="1">
        <v>1</v>
      </c>
      <c r="Q109" s="1">
        <v>204117</v>
      </c>
      <c r="R109" s="1" t="str">
        <f>IFERROR(INDEX([1]物品基础表!$A:$A,MATCH(Q109,[1]物品基础表!$B:$B,0)),"")</f>
        <v>腊八福袋2</v>
      </c>
      <c r="S109" s="1">
        <v>1</v>
      </c>
      <c r="T109" s="1">
        <v>204118</v>
      </c>
      <c r="U109" s="1" t="str">
        <f>IFERROR(INDEX([1]物品基础表!$A:$A,MATCH(T109,[1]物品基础表!$B:$B,0)),"")</f>
        <v>腊八福袋3</v>
      </c>
      <c r="V109" s="1">
        <v>1</v>
      </c>
      <c r="W109" s="1">
        <v>204119</v>
      </c>
      <c r="X109" s="1" t="str">
        <f>IFERROR(INDEX([1]物品基础表!$A:$A,MATCH(W109,[1]物品基础表!$B:$B,0)),"")</f>
        <v>腊八福袋4</v>
      </c>
      <c r="Y109" s="1">
        <v>1</v>
      </c>
      <c r="Z109" s="1">
        <v>204120</v>
      </c>
      <c r="AA109" s="1" t="str">
        <f>IFERROR(INDEX([1]物品基础表!$A:$A,MATCH(Z109,[1]物品基础表!$B:$B,0)),"")</f>
        <v>腊八福袋5</v>
      </c>
      <c r="AB109" s="1">
        <v>1</v>
      </c>
      <c r="AD109" s="1" t="str">
        <f>IFERROR(INDEX([1]物品基础表!$A:$A,MATCH(AC109,[1]物品基础表!$B:$B,0)),"")</f>
        <v/>
      </c>
      <c r="AF109" s="1">
        <v>204121</v>
      </c>
      <c r="AG109" s="1" t="str">
        <f>IFERROR(INDEX([1]物品基础表!$A:$A,MATCH(AF109,[1]物品基础表!$B:$B,0)),"")</f>
        <v>腊八福袋6</v>
      </c>
      <c r="AH109" s="1">
        <v>1</v>
      </c>
      <c r="AI109" s="1">
        <v>204122</v>
      </c>
      <c r="AJ109" s="1" t="str">
        <f>IFERROR(INDEX([1]物品基础表!$A:$A,MATCH(AI109,[1]物品基础表!$B:$B,0)),"")</f>
        <v>腊八福袋7</v>
      </c>
      <c r="AK109" s="1">
        <v>1</v>
      </c>
      <c r="AL109" s="1">
        <v>204123</v>
      </c>
      <c r="AM109" s="1" t="str">
        <f>IFERROR(INDEX([1]物品基础表!$A:$A,MATCH(AL109,[1]物品基础表!$B:$B,0)),"")</f>
        <v>腊八福袋8</v>
      </c>
      <c r="AN109" s="1">
        <v>1</v>
      </c>
      <c r="AO109" s="1">
        <v>204124</v>
      </c>
      <c r="AP109" s="1" t="str">
        <f>IFERROR(INDEX([1]物品基础表!$A:$A,MATCH(AO109,[1]物品基础表!$B:$B,0)),"")</f>
        <v>腊八福袋9</v>
      </c>
      <c r="AQ109" s="1">
        <v>1</v>
      </c>
      <c r="AR109" s="1">
        <v>204125</v>
      </c>
      <c r="AS109" s="1" t="str">
        <f>IFERROR(INDEX([1]物品基础表!$A:$A,MATCH(AR109,[1]物品基础表!$B:$B,0)),"")</f>
        <v>腊八福袋10</v>
      </c>
      <c r="AT109" s="1">
        <v>1</v>
      </c>
      <c r="AU109" s="1">
        <v>204126</v>
      </c>
      <c r="AV109" s="1" t="str">
        <f>IFERROR(INDEX([1]物品基础表!$A:$A,MATCH(AU109,[1]物品基础表!$B:$B,0)),"")</f>
        <v>腊八福袋11</v>
      </c>
      <c r="AW109" s="1">
        <v>1</v>
      </c>
      <c r="AX109" s="1">
        <v>204127</v>
      </c>
      <c r="AY109" s="1" t="str">
        <f>IFERROR(INDEX([1]物品基础表!$A:$A,MATCH(AX109,[1]物品基础表!$B:$B,0)),"")</f>
        <v>腊八福袋12</v>
      </c>
      <c r="AZ109" s="1">
        <v>1</v>
      </c>
      <c r="BA109" s="1">
        <v>204128</v>
      </c>
      <c r="BB109" s="1" t="str">
        <f>IFERROR(INDEX([1]物品基础表!$A:$A,MATCH(BA109,[1]物品基础表!$B:$B,0)),"")</f>
        <v>腊八福袋13</v>
      </c>
      <c r="BC109" s="1">
        <v>1</v>
      </c>
      <c r="BD109" s="1">
        <v>204129</v>
      </c>
      <c r="BE109" s="1" t="str">
        <f>IFERROR(INDEX([1]物品基础表!$A:$A,MATCH(BD109,[1]物品基础表!$B:$B,0)),"")</f>
        <v>腊八福袋14</v>
      </c>
      <c r="BF109" s="1">
        <v>1</v>
      </c>
      <c r="BG109" s="1">
        <v>204130</v>
      </c>
      <c r="BH109" s="1" t="str">
        <f>IFERROR(INDEX([1]物品基础表!$A:$A,MATCH(BG109,[1]物品基础表!$B:$B,0)),"")</f>
        <v>腊八福袋15</v>
      </c>
      <c r="BI109" s="1">
        <v>1</v>
      </c>
      <c r="BJ109" s="1">
        <v>204131</v>
      </c>
      <c r="BK109" s="1" t="str">
        <f>IFERROR(INDEX([1]物品基础表!$A:$A,MATCH(BJ109,[1]物品基础表!$B:$B,0)),"")</f>
        <v>腊八福袋16</v>
      </c>
      <c r="BL109" s="1">
        <v>1</v>
      </c>
    </row>
    <row r="110" spans="1:64">
      <c r="A110" s="39" t="str">
        <f>INDEX([2]活动总表!$A$8:$A$429,MATCH(B110,[2]活动总表!$B$8:$B$429,0))</f>
        <v>腊八-福袋（31-60天）</v>
      </c>
      <c r="B110" s="40">
        <v>411</v>
      </c>
      <c r="C110" s="40">
        <v>1</v>
      </c>
      <c r="D110" s="40"/>
      <c r="E110" s="40"/>
      <c r="F110" s="40" t="s">
        <v>825</v>
      </c>
      <c r="G110" s="40">
        <v>2</v>
      </c>
      <c r="H110" s="40"/>
      <c r="I110" s="40"/>
      <c r="J110" s="57"/>
      <c r="K110" s="1">
        <v>204134</v>
      </c>
      <c r="L110" s="1" t="str">
        <f>IFERROR(INDEX([1]物品基础表!$A:$A,MATCH(K110,[1]物品基础表!$B:$B,0)),"")</f>
        <v>金色图鉴包·倾国倾城</v>
      </c>
      <c r="M110" s="1">
        <v>1</v>
      </c>
      <c r="O110" s="1" t="str">
        <f>IFERROR(INDEX([1]物品基础表!$A:$A,MATCH(N110,[1]物品基础表!$B:$B,0)),"")</f>
        <v/>
      </c>
      <c r="R110" s="1" t="str">
        <f>IFERROR(INDEX([1]物品基础表!$A:$A,MATCH(Q110,[1]物品基础表!$B:$B,0)),"")</f>
        <v/>
      </c>
      <c r="U110" s="1" t="str">
        <f>IFERROR(INDEX([1]物品基础表!$A:$A,MATCH(T110,[1]物品基础表!$B:$B,0)),"")</f>
        <v/>
      </c>
      <c r="X110" s="1" t="str">
        <f>IFERROR(INDEX([1]物品基础表!$A:$A,MATCH(W110,[1]物品基础表!$B:$B,0)),"")</f>
        <v/>
      </c>
      <c r="AA110" s="1" t="str">
        <f>IFERROR(INDEX([1]物品基础表!$A:$A,MATCH(Z110,[1]物品基础表!$B:$B,0)),"")</f>
        <v/>
      </c>
      <c r="AD110" s="1" t="str">
        <f>IFERROR(INDEX([1]物品基础表!$A:$A,MATCH(AC110,[1]物品基础表!$B:$B,0)),"")</f>
        <v/>
      </c>
      <c r="AG110" s="1" t="str">
        <f>IFERROR(INDEX([1]物品基础表!$A:$A,MATCH(AF110,[1]物品基础表!$B:$B,0)),"")</f>
        <v/>
      </c>
      <c r="AJ110" s="1" t="str">
        <f>IFERROR(INDEX([1]物品基础表!$A:$A,MATCH(AI110,[1]物品基础表!$B:$B,0)),"")</f>
        <v/>
      </c>
      <c r="AM110" s="1" t="str">
        <f>IFERROR(INDEX([1]物品基础表!$A:$A,MATCH(AL110,[1]物品基础表!$B:$B,0)),"")</f>
        <v/>
      </c>
      <c r="AP110" s="1" t="str">
        <f>IFERROR(INDEX([1]物品基础表!$A:$A,MATCH(AO110,[1]物品基础表!$B:$B,0)),"")</f>
        <v/>
      </c>
      <c r="AS110" s="1" t="str">
        <f>IFERROR(INDEX([1]物品基础表!$A:$A,MATCH(AR110,[1]物品基础表!$B:$B,0)),"")</f>
        <v/>
      </c>
      <c r="AV110" s="1" t="str">
        <f>IFERROR(INDEX([1]物品基础表!$A:$A,MATCH(AU110,[1]物品基础表!$B:$B,0)),"")</f>
        <v/>
      </c>
      <c r="AY110" s="1" t="str">
        <f>IFERROR(INDEX([1]物品基础表!$A:$A,MATCH(AX110,[1]物品基础表!$B:$B,0)),"")</f>
        <v/>
      </c>
      <c r="BB110" s="1" t="str">
        <f>IFERROR(INDEX([1]物品基础表!$A:$A,MATCH(BA110,[1]物品基础表!$B:$B,0)),"")</f>
        <v/>
      </c>
      <c r="BE110" s="1" t="str">
        <f>IFERROR(INDEX([1]物品基础表!$A:$A,MATCH(BD110,[1]物品基础表!$B:$B,0)),"")</f>
        <v/>
      </c>
      <c r="BH110" s="1" t="str">
        <f>IFERROR(INDEX([1]物品基础表!$A:$A,MATCH(BG110,[1]物品基础表!$B:$B,0)),"")</f>
        <v/>
      </c>
      <c r="BK110" s="1" t="str">
        <f>IFERROR(INDEX([1]物品基础表!$A:$A,MATCH(BJ110,[1]物品基础表!$B:$B,0)),"")</f>
        <v/>
      </c>
    </row>
    <row r="111" spans="1:64">
      <c r="A111" s="39" t="str">
        <f>INDEX([2]活动总表!$A$8:$A$429,MATCH(B111,[2]活动总表!$B$8:$B$429,0))</f>
        <v>腊八-福袋（31-60天）</v>
      </c>
      <c r="B111" s="40">
        <v>411</v>
      </c>
      <c r="C111" s="40">
        <v>2</v>
      </c>
      <c r="D111" s="40"/>
      <c r="E111" s="40"/>
      <c r="F111" s="40" t="s">
        <v>843</v>
      </c>
      <c r="G111" s="40">
        <v>2</v>
      </c>
      <c r="H111" s="40"/>
      <c r="I111" s="40"/>
      <c r="J111" s="57"/>
      <c r="K111" s="1">
        <v>204133</v>
      </c>
      <c r="L111" s="1" t="str">
        <f>IFERROR(INDEX([1]物品基础表!$A:$A,MATCH(K111,[1]物品基础表!$B:$B,0)),"")</f>
        <v>红色图鉴包·倾国倾城</v>
      </c>
      <c r="M111" s="1">
        <v>1</v>
      </c>
      <c r="O111" s="1" t="str">
        <f>IFERROR(INDEX([1]物品基础表!$A:$A,MATCH(N111,[1]物品基础表!$B:$B,0)),"")</f>
        <v/>
      </c>
      <c r="R111" s="1" t="str">
        <f>IFERROR(INDEX([1]物品基础表!$A:$A,MATCH(Q111,[1]物品基础表!$B:$B,0)),"")</f>
        <v/>
      </c>
      <c r="U111" s="1" t="str">
        <f>IFERROR(INDEX([1]物品基础表!$A:$A,MATCH(T111,[1]物品基础表!$B:$B,0)),"")</f>
        <v/>
      </c>
      <c r="X111" s="1" t="str">
        <f>IFERROR(INDEX([1]物品基础表!$A:$A,MATCH(W111,[1]物品基础表!$B:$B,0)),"")</f>
        <v/>
      </c>
      <c r="AA111" s="1" t="str">
        <f>IFERROR(INDEX([1]物品基础表!$A:$A,MATCH(Z111,[1]物品基础表!$B:$B,0)),"")</f>
        <v/>
      </c>
      <c r="AD111" s="1" t="str">
        <f>IFERROR(INDEX([1]物品基础表!$A:$A,MATCH(AC111,[1]物品基础表!$B:$B,0)),"")</f>
        <v/>
      </c>
      <c r="AG111" s="1" t="str">
        <f>IFERROR(INDEX([1]物品基础表!$A:$A,MATCH(AF111,[1]物品基础表!$B:$B,0)),"")</f>
        <v/>
      </c>
      <c r="AJ111" s="1" t="str">
        <f>IFERROR(INDEX([1]物品基础表!$A:$A,MATCH(AI111,[1]物品基础表!$B:$B,0)),"")</f>
        <v/>
      </c>
      <c r="AM111" s="1" t="str">
        <f>IFERROR(INDEX([1]物品基础表!$A:$A,MATCH(AL111,[1]物品基础表!$B:$B,0)),"")</f>
        <v/>
      </c>
      <c r="AP111" s="1" t="str">
        <f>IFERROR(INDEX([1]物品基础表!$A:$A,MATCH(AO111,[1]物品基础表!$B:$B,0)),"")</f>
        <v/>
      </c>
      <c r="AS111" s="1" t="str">
        <f>IFERROR(INDEX([1]物品基础表!$A:$A,MATCH(AR111,[1]物品基础表!$B:$B,0)),"")</f>
        <v/>
      </c>
      <c r="AV111" s="1" t="str">
        <f>IFERROR(INDEX([1]物品基础表!$A:$A,MATCH(AU111,[1]物品基础表!$B:$B,0)),"")</f>
        <v/>
      </c>
      <c r="AY111" s="1" t="str">
        <f>IFERROR(INDEX([1]物品基础表!$A:$A,MATCH(AX111,[1]物品基础表!$B:$B,0)),"")</f>
        <v/>
      </c>
      <c r="BB111" s="1" t="str">
        <f>IFERROR(INDEX([1]物品基础表!$A:$A,MATCH(BA111,[1]物品基础表!$B:$B,0)),"")</f>
        <v/>
      </c>
      <c r="BE111" s="1" t="str">
        <f>IFERROR(INDEX([1]物品基础表!$A:$A,MATCH(BD111,[1]物品基础表!$B:$B,0)),"")</f>
        <v/>
      </c>
      <c r="BH111" s="1" t="str">
        <f>IFERROR(INDEX([1]物品基础表!$A:$A,MATCH(BG111,[1]物品基础表!$B:$B,0)),"")</f>
        <v/>
      </c>
      <c r="BK111" s="1" t="str">
        <f>IFERROR(INDEX([1]物品基础表!$A:$A,MATCH(BJ111,[1]物品基础表!$B:$B,0)),"")</f>
        <v/>
      </c>
    </row>
    <row r="112" spans="1:64">
      <c r="A112" s="39" t="str">
        <f>INDEX([2]活动总表!$A$8:$A$429,MATCH(B112,[2]活动总表!$B$8:$B$429,0))</f>
        <v>腊八-福袋（31-60天）</v>
      </c>
      <c r="B112" s="40">
        <v>411</v>
      </c>
      <c r="C112" s="40">
        <v>3</v>
      </c>
      <c r="D112" s="40"/>
      <c r="E112" s="40"/>
      <c r="F112" s="40" t="s">
        <v>827</v>
      </c>
      <c r="G112" s="40">
        <v>2</v>
      </c>
      <c r="H112" s="40"/>
      <c r="I112" s="40"/>
      <c r="J112" s="57"/>
      <c r="K112" s="1">
        <v>204138</v>
      </c>
      <c r="L112" s="1" t="str">
        <f>IFERROR(INDEX([1]物品基础表!$A:$A,MATCH(K112,[1]物品基础表!$B:$B,0)),"")</f>
        <v>轮回宝箱（10转）</v>
      </c>
      <c r="M112" s="1">
        <v>1</v>
      </c>
      <c r="O112" s="1" t="str">
        <f>IFERROR(INDEX([1]物品基础表!$A:$A,MATCH(N112,[1]物品基础表!$B:$B,0)),"")</f>
        <v/>
      </c>
      <c r="R112" s="1" t="str">
        <f>IFERROR(INDEX([1]物品基础表!$A:$A,MATCH(Q112,[1]物品基础表!$B:$B,0)),"")</f>
        <v/>
      </c>
      <c r="U112" s="1" t="str">
        <f>IFERROR(INDEX([1]物品基础表!$A:$A,MATCH(T112,[1]物品基础表!$B:$B,0)),"")</f>
        <v/>
      </c>
      <c r="X112" s="1" t="str">
        <f>IFERROR(INDEX([1]物品基础表!$A:$A,MATCH(W112,[1]物品基础表!$B:$B,0)),"")</f>
        <v/>
      </c>
      <c r="AA112" s="1" t="str">
        <f>IFERROR(INDEX([1]物品基础表!$A:$A,MATCH(Z112,[1]物品基础表!$B:$B,0)),"")</f>
        <v/>
      </c>
      <c r="AD112" s="1" t="str">
        <f>IFERROR(INDEX([1]物品基础表!$A:$A,MATCH(AC112,[1]物品基础表!$B:$B,0)),"")</f>
        <v/>
      </c>
      <c r="AG112" s="1" t="str">
        <f>IFERROR(INDEX([1]物品基础表!$A:$A,MATCH(AF112,[1]物品基础表!$B:$B,0)),"")</f>
        <v/>
      </c>
      <c r="AJ112" s="1" t="str">
        <f>IFERROR(INDEX([1]物品基础表!$A:$A,MATCH(AI112,[1]物品基础表!$B:$B,0)),"")</f>
        <v/>
      </c>
      <c r="AM112" s="1" t="str">
        <f>IFERROR(INDEX([1]物品基础表!$A:$A,MATCH(AL112,[1]物品基础表!$B:$B,0)),"")</f>
        <v/>
      </c>
      <c r="AP112" s="1" t="str">
        <f>IFERROR(INDEX([1]物品基础表!$A:$A,MATCH(AO112,[1]物品基础表!$B:$B,0)),"")</f>
        <v/>
      </c>
      <c r="AS112" s="1" t="str">
        <f>IFERROR(INDEX([1]物品基础表!$A:$A,MATCH(AR112,[1]物品基础表!$B:$B,0)),"")</f>
        <v/>
      </c>
      <c r="AV112" s="1" t="str">
        <f>IFERROR(INDEX([1]物品基础表!$A:$A,MATCH(AU112,[1]物品基础表!$B:$B,0)),"")</f>
        <v/>
      </c>
      <c r="AY112" s="1" t="str">
        <f>IFERROR(INDEX([1]物品基础表!$A:$A,MATCH(AX112,[1]物品基础表!$B:$B,0)),"")</f>
        <v/>
      </c>
      <c r="BB112" s="1" t="str">
        <f>IFERROR(INDEX([1]物品基础表!$A:$A,MATCH(BA112,[1]物品基础表!$B:$B,0)),"")</f>
        <v/>
      </c>
      <c r="BE112" s="1" t="str">
        <f>IFERROR(INDEX([1]物品基础表!$A:$A,MATCH(BD112,[1]物品基础表!$B:$B,0)),"")</f>
        <v/>
      </c>
      <c r="BH112" s="1" t="str">
        <f>IFERROR(INDEX([1]物品基础表!$A:$A,MATCH(BG112,[1]物品基础表!$B:$B,0)),"")</f>
        <v/>
      </c>
      <c r="BK112" s="1" t="str">
        <f>IFERROR(INDEX([1]物品基础表!$A:$A,MATCH(BJ112,[1]物品基础表!$B:$B,0)),"")</f>
        <v/>
      </c>
    </row>
    <row r="113" spans="1:63">
      <c r="A113" s="39" t="str">
        <f>INDEX([2]活动总表!$A$8:$A$429,MATCH(B113,[2]活动总表!$B$8:$B$429,0))</f>
        <v>腊八-福袋（31-60天）</v>
      </c>
      <c r="B113" s="40">
        <v>411</v>
      </c>
      <c r="C113" s="40">
        <v>4</v>
      </c>
      <c r="D113" s="40"/>
      <c r="E113" s="40"/>
      <c r="F113" s="40" t="s">
        <v>844</v>
      </c>
      <c r="G113" s="40">
        <v>2</v>
      </c>
      <c r="H113" s="40"/>
      <c r="I113" s="40"/>
      <c r="J113" s="57"/>
      <c r="K113" s="1">
        <v>204137</v>
      </c>
      <c r="L113" s="1" t="str">
        <f>IFERROR(INDEX([1]物品基础表!$A:$A,MATCH(K113,[1]物品基础表!$B:$B,0)),"")</f>
        <v>轮回宝箱（9转）</v>
      </c>
      <c r="M113" s="1">
        <v>1</v>
      </c>
      <c r="O113" s="1" t="str">
        <f>IFERROR(INDEX([1]物品基础表!$A:$A,MATCH(N113,[1]物品基础表!$B:$B,0)),"")</f>
        <v/>
      </c>
      <c r="R113" s="1" t="str">
        <f>IFERROR(INDEX([1]物品基础表!$A:$A,MATCH(Q113,[1]物品基础表!$B:$B,0)),"")</f>
        <v/>
      </c>
      <c r="U113" s="1" t="str">
        <f>IFERROR(INDEX([1]物品基础表!$A:$A,MATCH(T113,[1]物品基础表!$B:$B,0)),"")</f>
        <v/>
      </c>
      <c r="X113" s="1" t="str">
        <f>IFERROR(INDEX([1]物品基础表!$A:$A,MATCH(W113,[1]物品基础表!$B:$B,0)),"")</f>
        <v/>
      </c>
      <c r="AA113" s="1" t="str">
        <f>IFERROR(INDEX([1]物品基础表!$A:$A,MATCH(Z113,[1]物品基础表!$B:$B,0)),"")</f>
        <v/>
      </c>
      <c r="AD113" s="1" t="str">
        <f>IFERROR(INDEX([1]物品基础表!$A:$A,MATCH(AC113,[1]物品基础表!$B:$B,0)),"")</f>
        <v/>
      </c>
      <c r="AG113" s="1" t="str">
        <f>IFERROR(INDEX([1]物品基础表!$A:$A,MATCH(AF113,[1]物品基础表!$B:$B,0)),"")</f>
        <v/>
      </c>
      <c r="AJ113" s="1" t="str">
        <f>IFERROR(INDEX([1]物品基础表!$A:$A,MATCH(AI113,[1]物品基础表!$B:$B,0)),"")</f>
        <v/>
      </c>
      <c r="AM113" s="1" t="str">
        <f>IFERROR(INDEX([1]物品基础表!$A:$A,MATCH(AL113,[1]物品基础表!$B:$B,0)),"")</f>
        <v/>
      </c>
      <c r="AP113" s="1" t="str">
        <f>IFERROR(INDEX([1]物品基础表!$A:$A,MATCH(AO113,[1]物品基础表!$B:$B,0)),"")</f>
        <v/>
      </c>
      <c r="AS113" s="1" t="str">
        <f>IFERROR(INDEX([1]物品基础表!$A:$A,MATCH(AR113,[1]物品基础表!$B:$B,0)),"")</f>
        <v/>
      </c>
      <c r="AV113" s="1" t="str">
        <f>IFERROR(INDEX([1]物品基础表!$A:$A,MATCH(AU113,[1]物品基础表!$B:$B,0)),"")</f>
        <v/>
      </c>
      <c r="AY113" s="1" t="str">
        <f>IFERROR(INDEX([1]物品基础表!$A:$A,MATCH(AX113,[1]物品基础表!$B:$B,0)),"")</f>
        <v/>
      </c>
      <c r="BB113" s="1" t="str">
        <f>IFERROR(INDEX([1]物品基础表!$A:$A,MATCH(BA113,[1]物品基础表!$B:$B,0)),"")</f>
        <v/>
      </c>
      <c r="BE113" s="1" t="str">
        <f>IFERROR(INDEX([1]物品基础表!$A:$A,MATCH(BD113,[1]物品基础表!$B:$B,0)),"")</f>
        <v/>
      </c>
      <c r="BH113" s="1" t="str">
        <f>IFERROR(INDEX([1]物品基础表!$A:$A,MATCH(BG113,[1]物品基础表!$B:$B,0)),"")</f>
        <v/>
      </c>
      <c r="BK113" s="1" t="str">
        <f>IFERROR(INDEX([1]物品基础表!$A:$A,MATCH(BJ113,[1]物品基础表!$B:$B,0)),"")</f>
        <v/>
      </c>
    </row>
    <row r="114" spans="1:63">
      <c r="A114" s="39" t="str">
        <f>INDEX([2]活动总表!$A$8:$A$429,MATCH(B114,[2]活动总表!$B$8:$B$429,0))</f>
        <v>腊八-福袋（31-60天）</v>
      </c>
      <c r="B114" s="40">
        <v>411</v>
      </c>
      <c r="C114" s="40">
        <v>5</v>
      </c>
      <c r="D114" s="40"/>
      <c r="E114" s="40"/>
      <c r="F114" s="40" t="s">
        <v>829</v>
      </c>
      <c r="G114" s="40">
        <v>2</v>
      </c>
      <c r="H114" s="40"/>
      <c r="I114" s="40"/>
      <c r="J114" s="57"/>
      <c r="K114" s="1">
        <v>200143</v>
      </c>
      <c r="L114" s="1" t="str">
        <f>IFERROR(INDEX([1]物品基础表!$A:$A,MATCH(K114,[1]物品基础表!$B:$B,0)),"")</f>
        <v>传世头盔</v>
      </c>
      <c r="M114" s="1">
        <v>1</v>
      </c>
      <c r="O114" s="1" t="str">
        <f>IFERROR(INDEX([1]物品基础表!$A:$A,MATCH(N114,[1]物品基础表!$B:$B,0)),"")</f>
        <v/>
      </c>
      <c r="R114" s="1" t="str">
        <f>IFERROR(INDEX([1]物品基础表!$A:$A,MATCH(Q114,[1]物品基础表!$B:$B,0)),"")</f>
        <v/>
      </c>
      <c r="U114" s="1" t="str">
        <f>IFERROR(INDEX([1]物品基础表!$A:$A,MATCH(T114,[1]物品基础表!$B:$B,0)),"")</f>
        <v/>
      </c>
      <c r="X114" s="1" t="str">
        <f>IFERROR(INDEX([1]物品基础表!$A:$A,MATCH(W114,[1]物品基础表!$B:$B,0)),"")</f>
        <v/>
      </c>
      <c r="AA114" s="1" t="str">
        <f>IFERROR(INDEX([1]物品基础表!$A:$A,MATCH(Z114,[1]物品基础表!$B:$B,0)),"")</f>
        <v/>
      </c>
      <c r="AD114" s="1" t="str">
        <f>IFERROR(INDEX([1]物品基础表!$A:$A,MATCH(AC114,[1]物品基础表!$B:$B,0)),"")</f>
        <v/>
      </c>
      <c r="AG114" s="1" t="str">
        <f>IFERROR(INDEX([1]物品基础表!$A:$A,MATCH(AF114,[1]物品基础表!$B:$B,0)),"")</f>
        <v/>
      </c>
      <c r="AJ114" s="1" t="str">
        <f>IFERROR(INDEX([1]物品基础表!$A:$A,MATCH(AI114,[1]物品基础表!$B:$B,0)),"")</f>
        <v/>
      </c>
      <c r="AM114" s="1" t="str">
        <f>IFERROR(INDEX([1]物品基础表!$A:$A,MATCH(AL114,[1]物品基础表!$B:$B,0)),"")</f>
        <v/>
      </c>
      <c r="AP114" s="1" t="str">
        <f>IFERROR(INDEX([1]物品基础表!$A:$A,MATCH(AO114,[1]物品基础表!$B:$B,0)),"")</f>
        <v/>
      </c>
      <c r="AS114" s="1" t="str">
        <f>IFERROR(INDEX([1]物品基础表!$A:$A,MATCH(AR114,[1]物品基础表!$B:$B,0)),"")</f>
        <v/>
      </c>
      <c r="AV114" s="1" t="str">
        <f>IFERROR(INDEX([1]物品基础表!$A:$A,MATCH(AU114,[1]物品基础表!$B:$B,0)),"")</f>
        <v/>
      </c>
      <c r="AY114" s="1" t="str">
        <f>IFERROR(INDEX([1]物品基础表!$A:$A,MATCH(AX114,[1]物品基础表!$B:$B,0)),"")</f>
        <v/>
      </c>
      <c r="BB114" s="1" t="str">
        <f>IFERROR(INDEX([1]物品基础表!$A:$A,MATCH(BA114,[1]物品基础表!$B:$B,0)),"")</f>
        <v/>
      </c>
      <c r="BE114" s="1" t="str">
        <f>IFERROR(INDEX([1]物品基础表!$A:$A,MATCH(BD114,[1]物品基础表!$B:$B,0)),"")</f>
        <v/>
      </c>
      <c r="BH114" s="1" t="str">
        <f>IFERROR(INDEX([1]物品基础表!$A:$A,MATCH(BG114,[1]物品基础表!$B:$B,0)),"")</f>
        <v/>
      </c>
      <c r="BK114" s="1" t="str">
        <f>IFERROR(INDEX([1]物品基础表!$A:$A,MATCH(BJ114,[1]物品基础表!$B:$B,0)),"")</f>
        <v/>
      </c>
    </row>
    <row r="115" spans="1:63">
      <c r="A115" s="39" t="str">
        <f>INDEX([2]活动总表!$A$8:$A$429,MATCH(B115,[2]活动总表!$B$8:$B$429,0))</f>
        <v>腊八-福袋（31-60天）</v>
      </c>
      <c r="B115" s="40">
        <v>411</v>
      </c>
      <c r="C115" s="40">
        <v>6</v>
      </c>
      <c r="D115" s="40"/>
      <c r="E115" s="40"/>
      <c r="F115" s="40" t="s">
        <v>829</v>
      </c>
      <c r="G115" s="40">
        <v>2</v>
      </c>
      <c r="H115" s="40"/>
      <c r="I115" s="40"/>
      <c r="J115" s="57"/>
      <c r="K115" s="1">
        <v>200145</v>
      </c>
      <c r="L115" s="1" t="str">
        <f>IFERROR(INDEX([1]物品基础表!$A:$A,MATCH(K115,[1]物品基础表!$B:$B,0)),"")</f>
        <v>传世项链</v>
      </c>
      <c r="M115" s="1">
        <v>1</v>
      </c>
      <c r="O115" s="1" t="str">
        <f>IFERROR(INDEX([1]物品基础表!$A:$A,MATCH(N115,[1]物品基础表!$B:$B,0)),"")</f>
        <v/>
      </c>
      <c r="R115" s="1" t="str">
        <f>IFERROR(INDEX([1]物品基础表!$A:$A,MATCH(Q115,[1]物品基础表!$B:$B,0)),"")</f>
        <v/>
      </c>
      <c r="U115" s="1" t="str">
        <f>IFERROR(INDEX([1]物品基础表!$A:$A,MATCH(T115,[1]物品基础表!$B:$B,0)),"")</f>
        <v/>
      </c>
      <c r="X115" s="1" t="str">
        <f>IFERROR(INDEX([1]物品基础表!$A:$A,MATCH(W115,[1]物品基础表!$B:$B,0)),"")</f>
        <v/>
      </c>
      <c r="AA115" s="1" t="str">
        <f>IFERROR(INDEX([1]物品基础表!$A:$A,MATCH(Z115,[1]物品基础表!$B:$B,0)),"")</f>
        <v/>
      </c>
      <c r="AD115" s="1" t="str">
        <f>IFERROR(INDEX([1]物品基础表!$A:$A,MATCH(AC115,[1]物品基础表!$B:$B,0)),"")</f>
        <v/>
      </c>
      <c r="AG115" s="1" t="str">
        <f>IFERROR(INDEX([1]物品基础表!$A:$A,MATCH(AF115,[1]物品基础表!$B:$B,0)),"")</f>
        <v/>
      </c>
      <c r="AJ115" s="1" t="str">
        <f>IFERROR(INDEX([1]物品基础表!$A:$A,MATCH(AI115,[1]物品基础表!$B:$B,0)),"")</f>
        <v/>
      </c>
      <c r="AM115" s="1" t="str">
        <f>IFERROR(INDEX([1]物品基础表!$A:$A,MATCH(AL115,[1]物品基础表!$B:$B,0)),"")</f>
        <v/>
      </c>
      <c r="AP115" s="1" t="str">
        <f>IFERROR(INDEX([1]物品基础表!$A:$A,MATCH(AO115,[1]物品基础表!$B:$B,0)),"")</f>
        <v/>
      </c>
      <c r="AS115" s="1" t="str">
        <f>IFERROR(INDEX([1]物品基础表!$A:$A,MATCH(AR115,[1]物品基础表!$B:$B,0)),"")</f>
        <v/>
      </c>
      <c r="AV115" s="1" t="str">
        <f>IFERROR(INDEX([1]物品基础表!$A:$A,MATCH(AU115,[1]物品基础表!$B:$B,0)),"")</f>
        <v/>
      </c>
      <c r="AY115" s="1" t="str">
        <f>IFERROR(INDEX([1]物品基础表!$A:$A,MATCH(AX115,[1]物品基础表!$B:$B,0)),"")</f>
        <v/>
      </c>
      <c r="BB115" s="1" t="str">
        <f>IFERROR(INDEX([1]物品基础表!$A:$A,MATCH(BA115,[1]物品基础表!$B:$B,0)),"")</f>
        <v/>
      </c>
      <c r="BE115" s="1" t="str">
        <f>IFERROR(INDEX([1]物品基础表!$A:$A,MATCH(BD115,[1]物品基础表!$B:$B,0)),"")</f>
        <v/>
      </c>
      <c r="BH115" s="1" t="str">
        <f>IFERROR(INDEX([1]物品基础表!$A:$A,MATCH(BG115,[1]物品基础表!$B:$B,0)),"")</f>
        <v/>
      </c>
      <c r="BK115" s="1" t="str">
        <f>IFERROR(INDEX([1]物品基础表!$A:$A,MATCH(BJ115,[1]物品基础表!$B:$B,0)),"")</f>
        <v/>
      </c>
    </row>
    <row r="116" spans="1:63">
      <c r="A116" s="39" t="str">
        <f>INDEX([2]活动总表!$A$8:$A$429,MATCH(B116,[2]活动总表!$B$8:$B$429,0))</f>
        <v>腊八-福袋（31-60天）</v>
      </c>
      <c r="B116" s="40">
        <v>411</v>
      </c>
      <c r="C116" s="40">
        <v>7</v>
      </c>
      <c r="D116" s="40"/>
      <c r="E116" s="40"/>
      <c r="F116" s="40" t="s">
        <v>829</v>
      </c>
      <c r="G116" s="40">
        <v>2</v>
      </c>
      <c r="H116" s="40"/>
      <c r="I116" s="40"/>
      <c r="J116" s="57"/>
      <c r="K116" s="1">
        <v>200147</v>
      </c>
      <c r="L116" s="1" t="str">
        <f>IFERROR(INDEX([1]物品基础表!$A:$A,MATCH(K116,[1]物品基础表!$B:$B,0)),"")</f>
        <v>传世腰带</v>
      </c>
      <c r="M116" s="1">
        <v>1</v>
      </c>
      <c r="O116" s="1" t="str">
        <f>IFERROR(INDEX([1]物品基础表!$A:$A,MATCH(N116,[1]物品基础表!$B:$B,0)),"")</f>
        <v/>
      </c>
      <c r="R116" s="1" t="str">
        <f>IFERROR(INDEX([1]物品基础表!$A:$A,MATCH(Q116,[1]物品基础表!$B:$B,0)),"")</f>
        <v/>
      </c>
      <c r="U116" s="1" t="str">
        <f>IFERROR(INDEX([1]物品基础表!$A:$A,MATCH(T116,[1]物品基础表!$B:$B,0)),"")</f>
        <v/>
      </c>
      <c r="X116" s="1" t="str">
        <f>IFERROR(INDEX([1]物品基础表!$A:$A,MATCH(W116,[1]物品基础表!$B:$B,0)),"")</f>
        <v/>
      </c>
      <c r="AA116" s="1" t="str">
        <f>IFERROR(INDEX([1]物品基础表!$A:$A,MATCH(Z116,[1]物品基础表!$B:$B,0)),"")</f>
        <v/>
      </c>
      <c r="AD116" s="1" t="str">
        <f>IFERROR(INDEX([1]物品基础表!$A:$A,MATCH(AC116,[1]物品基础表!$B:$B,0)),"")</f>
        <v/>
      </c>
      <c r="AG116" s="1" t="str">
        <f>IFERROR(INDEX([1]物品基础表!$A:$A,MATCH(AF116,[1]物品基础表!$B:$B,0)),"")</f>
        <v/>
      </c>
      <c r="AJ116" s="1" t="str">
        <f>IFERROR(INDEX([1]物品基础表!$A:$A,MATCH(AI116,[1]物品基础表!$B:$B,0)),"")</f>
        <v/>
      </c>
      <c r="AM116" s="1" t="str">
        <f>IFERROR(INDEX([1]物品基础表!$A:$A,MATCH(AL116,[1]物品基础表!$B:$B,0)),"")</f>
        <v/>
      </c>
      <c r="AP116" s="1" t="str">
        <f>IFERROR(INDEX([1]物品基础表!$A:$A,MATCH(AO116,[1]物品基础表!$B:$B,0)),"")</f>
        <v/>
      </c>
      <c r="AS116" s="1" t="str">
        <f>IFERROR(INDEX([1]物品基础表!$A:$A,MATCH(AR116,[1]物品基础表!$B:$B,0)),"")</f>
        <v/>
      </c>
      <c r="AV116" s="1" t="str">
        <f>IFERROR(INDEX([1]物品基础表!$A:$A,MATCH(AU116,[1]物品基础表!$B:$B,0)),"")</f>
        <v/>
      </c>
      <c r="AY116" s="1" t="str">
        <f>IFERROR(INDEX([1]物品基础表!$A:$A,MATCH(AX116,[1]物品基础表!$B:$B,0)),"")</f>
        <v/>
      </c>
      <c r="BB116" s="1" t="str">
        <f>IFERROR(INDEX([1]物品基础表!$A:$A,MATCH(BA116,[1]物品基础表!$B:$B,0)),"")</f>
        <v/>
      </c>
      <c r="BE116" s="1" t="str">
        <f>IFERROR(INDEX([1]物品基础表!$A:$A,MATCH(BD116,[1]物品基础表!$B:$B,0)),"")</f>
        <v/>
      </c>
      <c r="BH116" s="1" t="str">
        <f>IFERROR(INDEX([1]物品基础表!$A:$A,MATCH(BG116,[1]物品基础表!$B:$B,0)),"")</f>
        <v/>
      </c>
      <c r="BK116" s="1" t="str">
        <f>IFERROR(INDEX([1]物品基础表!$A:$A,MATCH(BJ116,[1]物品基础表!$B:$B,0)),"")</f>
        <v/>
      </c>
    </row>
    <row r="117" spans="1:63">
      <c r="A117" s="39" t="str">
        <f>INDEX([2]活动总表!$A$8:$A$429,MATCH(B117,[2]活动总表!$B$8:$B$429,0))</f>
        <v>腊八-福袋（31-60天）</v>
      </c>
      <c r="B117" s="40">
        <v>411</v>
      </c>
      <c r="C117" s="40">
        <v>8</v>
      </c>
      <c r="D117" s="40"/>
      <c r="E117" s="40"/>
      <c r="F117" s="40" t="s">
        <v>829</v>
      </c>
      <c r="G117" s="40">
        <v>2</v>
      </c>
      <c r="H117" s="40"/>
      <c r="I117" s="40"/>
      <c r="J117" s="57"/>
      <c r="K117" s="1">
        <v>200149</v>
      </c>
      <c r="L117" s="1" t="str">
        <f>IFERROR(INDEX([1]物品基础表!$A:$A,MATCH(K117,[1]物品基础表!$B:$B,0)),"")</f>
        <v>传世鞋子</v>
      </c>
      <c r="M117" s="1">
        <v>1</v>
      </c>
      <c r="O117" s="1" t="str">
        <f>IFERROR(INDEX([1]物品基础表!$A:$A,MATCH(N117,[1]物品基础表!$B:$B,0)),"")</f>
        <v/>
      </c>
      <c r="R117" s="1" t="str">
        <f>IFERROR(INDEX([1]物品基础表!$A:$A,MATCH(Q117,[1]物品基础表!$B:$B,0)),"")</f>
        <v/>
      </c>
      <c r="U117" s="1" t="str">
        <f>IFERROR(INDEX([1]物品基础表!$A:$A,MATCH(T117,[1]物品基础表!$B:$B,0)),"")</f>
        <v/>
      </c>
      <c r="X117" s="1" t="str">
        <f>IFERROR(INDEX([1]物品基础表!$A:$A,MATCH(W117,[1]物品基础表!$B:$B,0)),"")</f>
        <v/>
      </c>
      <c r="AA117" s="1" t="str">
        <f>IFERROR(INDEX([1]物品基础表!$A:$A,MATCH(Z117,[1]物品基础表!$B:$B,0)),"")</f>
        <v/>
      </c>
      <c r="AD117" s="1" t="str">
        <f>IFERROR(INDEX([1]物品基础表!$A:$A,MATCH(AC117,[1]物品基础表!$B:$B,0)),"")</f>
        <v/>
      </c>
      <c r="AG117" s="1" t="str">
        <f>IFERROR(INDEX([1]物品基础表!$A:$A,MATCH(AF117,[1]物品基础表!$B:$B,0)),"")</f>
        <v/>
      </c>
      <c r="AJ117" s="1" t="str">
        <f>IFERROR(INDEX([1]物品基础表!$A:$A,MATCH(AI117,[1]物品基础表!$B:$B,0)),"")</f>
        <v/>
      </c>
      <c r="AM117" s="1" t="str">
        <f>IFERROR(INDEX([1]物品基础表!$A:$A,MATCH(AL117,[1]物品基础表!$B:$B,0)),"")</f>
        <v/>
      </c>
      <c r="AP117" s="1" t="str">
        <f>IFERROR(INDEX([1]物品基础表!$A:$A,MATCH(AO117,[1]物品基础表!$B:$B,0)),"")</f>
        <v/>
      </c>
      <c r="AS117" s="1" t="str">
        <f>IFERROR(INDEX([1]物品基础表!$A:$A,MATCH(AR117,[1]物品基础表!$B:$B,0)),"")</f>
        <v/>
      </c>
      <c r="AV117" s="1" t="str">
        <f>IFERROR(INDEX([1]物品基础表!$A:$A,MATCH(AU117,[1]物品基础表!$B:$B,0)),"")</f>
        <v/>
      </c>
      <c r="AY117" s="1" t="str">
        <f>IFERROR(INDEX([1]物品基础表!$A:$A,MATCH(AX117,[1]物品基础表!$B:$B,0)),"")</f>
        <v/>
      </c>
      <c r="BB117" s="1" t="str">
        <f>IFERROR(INDEX([1]物品基础表!$A:$A,MATCH(BA117,[1]物品基础表!$B:$B,0)),"")</f>
        <v/>
      </c>
      <c r="BE117" s="1" t="str">
        <f>IFERROR(INDEX([1]物品基础表!$A:$A,MATCH(BD117,[1]物品基础表!$B:$B,0)),"")</f>
        <v/>
      </c>
      <c r="BH117" s="1" t="str">
        <f>IFERROR(INDEX([1]物品基础表!$A:$A,MATCH(BG117,[1]物品基础表!$B:$B,0)),"")</f>
        <v/>
      </c>
      <c r="BK117" s="1" t="str">
        <f>IFERROR(INDEX([1]物品基础表!$A:$A,MATCH(BJ117,[1]物品基础表!$B:$B,0)),"")</f>
        <v/>
      </c>
    </row>
    <row r="118" spans="1:63">
      <c r="A118" s="39" t="str">
        <f>INDEX([2]活动总表!$A$8:$A$429,MATCH(B118,[2]活动总表!$B$8:$B$429,0))</f>
        <v>腊八-福袋（31-60天）</v>
      </c>
      <c r="B118" s="40">
        <v>411</v>
      </c>
      <c r="C118" s="40">
        <v>9</v>
      </c>
      <c r="D118" s="40"/>
      <c r="E118" s="40"/>
      <c r="F118" s="40" t="s">
        <v>829</v>
      </c>
      <c r="G118" s="40">
        <v>2</v>
      </c>
      <c r="H118" s="40"/>
      <c r="I118" s="40"/>
      <c r="J118" s="57"/>
      <c r="K118" s="1">
        <v>200148</v>
      </c>
      <c r="L118" s="1" t="str">
        <f>IFERROR(INDEX([1]物品基础表!$A:$A,MATCH(K118,[1]物品基础表!$B:$B,0)),"")</f>
        <v>传世戒指</v>
      </c>
      <c r="M118" s="1">
        <v>1</v>
      </c>
      <c r="O118" s="1" t="str">
        <f>IFERROR(INDEX([1]物品基础表!$A:$A,MATCH(N118,[1]物品基础表!$B:$B,0)),"")</f>
        <v/>
      </c>
      <c r="R118" s="1" t="str">
        <f>IFERROR(INDEX([1]物品基础表!$A:$A,MATCH(Q118,[1]物品基础表!$B:$B,0)),"")</f>
        <v/>
      </c>
      <c r="U118" s="1" t="str">
        <f>IFERROR(INDEX([1]物品基础表!$A:$A,MATCH(T118,[1]物品基础表!$B:$B,0)),"")</f>
        <v/>
      </c>
      <c r="X118" s="1" t="str">
        <f>IFERROR(INDEX([1]物品基础表!$A:$A,MATCH(W118,[1]物品基础表!$B:$B,0)),"")</f>
        <v/>
      </c>
      <c r="AA118" s="1" t="str">
        <f>IFERROR(INDEX([1]物品基础表!$A:$A,MATCH(Z118,[1]物品基础表!$B:$B,0)),"")</f>
        <v/>
      </c>
      <c r="AD118" s="1" t="str">
        <f>IFERROR(INDEX([1]物品基础表!$A:$A,MATCH(AC118,[1]物品基础表!$B:$B,0)),"")</f>
        <v/>
      </c>
      <c r="AG118" s="1" t="str">
        <f>IFERROR(INDEX([1]物品基础表!$A:$A,MATCH(AF118,[1]物品基础表!$B:$B,0)),"")</f>
        <v/>
      </c>
      <c r="AJ118" s="1" t="str">
        <f>IFERROR(INDEX([1]物品基础表!$A:$A,MATCH(AI118,[1]物品基础表!$B:$B,0)),"")</f>
        <v/>
      </c>
      <c r="AM118" s="1" t="str">
        <f>IFERROR(INDEX([1]物品基础表!$A:$A,MATCH(AL118,[1]物品基础表!$B:$B,0)),"")</f>
        <v/>
      </c>
      <c r="AP118" s="1" t="str">
        <f>IFERROR(INDEX([1]物品基础表!$A:$A,MATCH(AO118,[1]物品基础表!$B:$B,0)),"")</f>
        <v/>
      </c>
      <c r="AS118" s="1" t="str">
        <f>IFERROR(INDEX([1]物品基础表!$A:$A,MATCH(AR118,[1]物品基础表!$B:$B,0)),"")</f>
        <v/>
      </c>
      <c r="AV118" s="1" t="str">
        <f>IFERROR(INDEX([1]物品基础表!$A:$A,MATCH(AU118,[1]物品基础表!$B:$B,0)),"")</f>
        <v/>
      </c>
      <c r="AY118" s="1" t="str">
        <f>IFERROR(INDEX([1]物品基础表!$A:$A,MATCH(AX118,[1]物品基础表!$B:$B,0)),"")</f>
        <v/>
      </c>
      <c r="BB118" s="1" t="str">
        <f>IFERROR(INDEX([1]物品基础表!$A:$A,MATCH(BA118,[1]物品基础表!$B:$B,0)),"")</f>
        <v/>
      </c>
      <c r="BE118" s="1" t="str">
        <f>IFERROR(INDEX([1]物品基础表!$A:$A,MATCH(BD118,[1]物品基础表!$B:$B,0)),"")</f>
        <v/>
      </c>
      <c r="BH118" s="1" t="str">
        <f>IFERROR(INDEX([1]物品基础表!$A:$A,MATCH(BG118,[1]物品基础表!$B:$B,0)),"")</f>
        <v/>
      </c>
      <c r="BK118" s="1" t="str">
        <f>IFERROR(INDEX([1]物品基础表!$A:$A,MATCH(BJ118,[1]物品基础表!$B:$B,0)),"")</f>
        <v/>
      </c>
    </row>
    <row r="119" spans="1:63">
      <c r="A119" s="39" t="str">
        <f>INDEX([2]活动总表!$A$8:$A$429,MATCH(B119,[2]活动总表!$B$8:$B$429,0))</f>
        <v>腊八-福袋（31-60天）</v>
      </c>
      <c r="B119" s="40">
        <v>411</v>
      </c>
      <c r="C119" s="40">
        <v>10</v>
      </c>
      <c r="D119" s="40"/>
      <c r="E119" s="40"/>
      <c r="F119" s="40" t="s">
        <v>829</v>
      </c>
      <c r="G119" s="40">
        <v>2</v>
      </c>
      <c r="H119" s="40"/>
      <c r="I119" s="40"/>
      <c r="J119" s="57"/>
      <c r="K119" s="1">
        <v>200146</v>
      </c>
      <c r="L119" s="1" t="str">
        <f>IFERROR(INDEX([1]物品基础表!$A:$A,MATCH(K119,[1]物品基础表!$B:$B,0)),"")</f>
        <v>传世护腕</v>
      </c>
      <c r="M119" s="1">
        <v>1</v>
      </c>
      <c r="O119" s="1" t="str">
        <f>IFERROR(INDEX([1]物品基础表!$A:$A,MATCH(N119,[1]物品基础表!$B:$B,0)),"")</f>
        <v/>
      </c>
      <c r="R119" s="1" t="str">
        <f>IFERROR(INDEX([1]物品基础表!$A:$A,MATCH(Q119,[1]物品基础表!$B:$B,0)),"")</f>
        <v/>
      </c>
      <c r="U119" s="1" t="str">
        <f>IFERROR(INDEX([1]物品基础表!$A:$A,MATCH(T119,[1]物品基础表!$B:$B,0)),"")</f>
        <v/>
      </c>
      <c r="X119" s="1" t="str">
        <f>IFERROR(INDEX([1]物品基础表!$A:$A,MATCH(W119,[1]物品基础表!$B:$B,0)),"")</f>
        <v/>
      </c>
      <c r="AA119" s="1" t="str">
        <f>IFERROR(INDEX([1]物品基础表!$A:$A,MATCH(Z119,[1]物品基础表!$B:$B,0)),"")</f>
        <v/>
      </c>
      <c r="AD119" s="1" t="str">
        <f>IFERROR(INDEX([1]物品基础表!$A:$A,MATCH(AC119,[1]物品基础表!$B:$B,0)),"")</f>
        <v/>
      </c>
      <c r="AG119" s="1" t="str">
        <f>IFERROR(INDEX([1]物品基础表!$A:$A,MATCH(AF119,[1]物品基础表!$B:$B,0)),"")</f>
        <v/>
      </c>
      <c r="AJ119" s="1" t="str">
        <f>IFERROR(INDEX([1]物品基础表!$A:$A,MATCH(AI119,[1]物品基础表!$B:$B,0)),"")</f>
        <v/>
      </c>
      <c r="AM119" s="1" t="str">
        <f>IFERROR(INDEX([1]物品基础表!$A:$A,MATCH(AL119,[1]物品基础表!$B:$B,0)),"")</f>
        <v/>
      </c>
      <c r="AP119" s="1" t="str">
        <f>IFERROR(INDEX([1]物品基础表!$A:$A,MATCH(AO119,[1]物品基础表!$B:$B,0)),"")</f>
        <v/>
      </c>
      <c r="AS119" s="1" t="str">
        <f>IFERROR(INDEX([1]物品基础表!$A:$A,MATCH(AR119,[1]物品基础表!$B:$B,0)),"")</f>
        <v/>
      </c>
      <c r="AV119" s="1" t="str">
        <f>IFERROR(INDEX([1]物品基础表!$A:$A,MATCH(AU119,[1]物品基础表!$B:$B,0)),"")</f>
        <v/>
      </c>
      <c r="AY119" s="1" t="str">
        <f>IFERROR(INDEX([1]物品基础表!$A:$A,MATCH(AX119,[1]物品基础表!$B:$B,0)),"")</f>
        <v/>
      </c>
      <c r="BB119" s="1" t="str">
        <f>IFERROR(INDEX([1]物品基础表!$A:$A,MATCH(BA119,[1]物品基础表!$B:$B,0)),"")</f>
        <v/>
      </c>
      <c r="BE119" s="1" t="str">
        <f>IFERROR(INDEX([1]物品基础表!$A:$A,MATCH(BD119,[1]物品基础表!$B:$B,0)),"")</f>
        <v/>
      </c>
      <c r="BH119" s="1" t="str">
        <f>IFERROR(INDEX([1]物品基础表!$A:$A,MATCH(BG119,[1]物品基础表!$B:$B,0)),"")</f>
        <v/>
      </c>
      <c r="BK119" s="1" t="str">
        <f>IFERROR(INDEX([1]物品基础表!$A:$A,MATCH(BJ119,[1]物品基础表!$B:$B,0)),"")</f>
        <v/>
      </c>
    </row>
    <row r="120" spans="1:63">
      <c r="A120" s="39" t="str">
        <f>INDEX([2]活动总表!$A$8:$A$429,MATCH(B120,[2]活动总表!$B$8:$B$429,0))</f>
        <v>腊八-福袋（31-60天）</v>
      </c>
      <c r="B120" s="40">
        <v>411</v>
      </c>
      <c r="C120" s="40">
        <v>11</v>
      </c>
      <c r="D120" s="40"/>
      <c r="E120" s="40"/>
      <c r="F120" s="40" t="s">
        <v>845</v>
      </c>
      <c r="G120" s="40">
        <v>2</v>
      </c>
      <c r="H120" s="40"/>
      <c r="I120" s="40"/>
      <c r="J120" s="57"/>
      <c r="K120" s="1">
        <v>200301</v>
      </c>
      <c r="L120" s="1" t="str">
        <f>IFERROR(INDEX([1]物品基础表!$A:$A,MATCH(K120,[1]物品基础表!$B:$B,0)),"")</f>
        <v>传世宝钻</v>
      </c>
      <c r="M120" s="1">
        <v>100</v>
      </c>
      <c r="O120" s="1" t="str">
        <f>IFERROR(INDEX([1]物品基础表!$A:$A,MATCH(N120,[1]物品基础表!$B:$B,0)),"")</f>
        <v/>
      </c>
      <c r="R120" s="1" t="str">
        <f>IFERROR(INDEX([1]物品基础表!$A:$A,MATCH(Q120,[1]物品基础表!$B:$B,0)),"")</f>
        <v/>
      </c>
      <c r="U120" s="1" t="str">
        <f>IFERROR(INDEX([1]物品基础表!$A:$A,MATCH(T120,[1]物品基础表!$B:$B,0)),"")</f>
        <v/>
      </c>
      <c r="X120" s="1" t="str">
        <f>IFERROR(INDEX([1]物品基础表!$A:$A,MATCH(W120,[1]物品基础表!$B:$B,0)),"")</f>
        <v/>
      </c>
      <c r="AA120" s="1" t="str">
        <f>IFERROR(INDEX([1]物品基础表!$A:$A,MATCH(Z120,[1]物品基础表!$B:$B,0)),"")</f>
        <v/>
      </c>
      <c r="AD120" s="1" t="str">
        <f>IFERROR(INDEX([1]物品基础表!$A:$A,MATCH(AC120,[1]物品基础表!$B:$B,0)),"")</f>
        <v/>
      </c>
      <c r="AG120" s="1" t="str">
        <f>IFERROR(INDEX([1]物品基础表!$A:$A,MATCH(AF120,[1]物品基础表!$B:$B,0)),"")</f>
        <v/>
      </c>
      <c r="AJ120" s="1" t="str">
        <f>IFERROR(INDEX([1]物品基础表!$A:$A,MATCH(AI120,[1]物品基础表!$B:$B,0)),"")</f>
        <v/>
      </c>
      <c r="AM120" s="1" t="str">
        <f>IFERROR(INDEX([1]物品基础表!$A:$A,MATCH(AL120,[1]物品基础表!$B:$B,0)),"")</f>
        <v/>
      </c>
      <c r="AP120" s="1" t="str">
        <f>IFERROR(INDEX([1]物品基础表!$A:$A,MATCH(AO120,[1]物品基础表!$B:$B,0)),"")</f>
        <v/>
      </c>
      <c r="AS120" s="1" t="str">
        <f>IFERROR(INDEX([1]物品基础表!$A:$A,MATCH(AR120,[1]物品基础表!$B:$B,0)),"")</f>
        <v/>
      </c>
      <c r="AV120" s="1" t="str">
        <f>IFERROR(INDEX([1]物品基础表!$A:$A,MATCH(AU120,[1]物品基础表!$B:$B,0)),"")</f>
        <v/>
      </c>
      <c r="AY120" s="1" t="str">
        <f>IFERROR(INDEX([1]物品基础表!$A:$A,MATCH(AX120,[1]物品基础表!$B:$B,0)),"")</f>
        <v/>
      </c>
      <c r="BB120" s="1" t="str">
        <f>IFERROR(INDEX([1]物品基础表!$A:$A,MATCH(BA120,[1]物品基础表!$B:$B,0)),"")</f>
        <v/>
      </c>
      <c r="BE120" s="1" t="str">
        <f>IFERROR(INDEX([1]物品基础表!$A:$A,MATCH(BD120,[1]物品基础表!$B:$B,0)),"")</f>
        <v/>
      </c>
      <c r="BH120" s="1" t="str">
        <f>IFERROR(INDEX([1]物品基础表!$A:$A,MATCH(BG120,[1]物品基础表!$B:$B,0)),"")</f>
        <v/>
      </c>
      <c r="BK120" s="1" t="str">
        <f>IFERROR(INDEX([1]物品基础表!$A:$A,MATCH(BJ120,[1]物品基础表!$B:$B,0)),"")</f>
        <v/>
      </c>
    </row>
    <row r="121" spans="1:63">
      <c r="A121" s="39" t="str">
        <f>INDEX([2]活动总表!$A$8:$A$429,MATCH(B121,[2]活动总表!$B$8:$B$429,0))</f>
        <v>腊八-福袋（31-60天）</v>
      </c>
      <c r="B121" s="40">
        <v>411</v>
      </c>
      <c r="C121" s="40">
        <v>12</v>
      </c>
      <c r="D121" s="40"/>
      <c r="E121" s="40"/>
      <c r="F121" s="40" t="s">
        <v>831</v>
      </c>
      <c r="G121" s="40">
        <v>2</v>
      </c>
      <c r="H121" s="40"/>
      <c r="I121" s="40"/>
      <c r="J121" s="57"/>
      <c r="K121" s="1">
        <v>200301</v>
      </c>
      <c r="L121" s="1" t="str">
        <f>IFERROR(INDEX([1]物品基础表!$A:$A,MATCH(K121,[1]物品基础表!$B:$B,0)),"")</f>
        <v>传世宝钻</v>
      </c>
      <c r="M121" s="1">
        <v>50</v>
      </c>
      <c r="O121" s="1" t="str">
        <f>IFERROR(INDEX([1]物品基础表!$A:$A,MATCH(N121,[1]物品基础表!$B:$B,0)),"")</f>
        <v/>
      </c>
      <c r="R121" s="1" t="str">
        <f>IFERROR(INDEX([1]物品基础表!$A:$A,MATCH(Q121,[1]物品基础表!$B:$B,0)),"")</f>
        <v/>
      </c>
      <c r="U121" s="1" t="str">
        <f>IFERROR(INDEX([1]物品基础表!$A:$A,MATCH(T121,[1]物品基础表!$B:$B,0)),"")</f>
        <v/>
      </c>
      <c r="X121" s="1" t="str">
        <f>IFERROR(INDEX([1]物品基础表!$A:$A,MATCH(W121,[1]物品基础表!$B:$B,0)),"")</f>
        <v/>
      </c>
      <c r="AA121" s="1" t="str">
        <f>IFERROR(INDEX([1]物品基础表!$A:$A,MATCH(Z121,[1]物品基础表!$B:$B,0)),"")</f>
        <v/>
      </c>
      <c r="AD121" s="1" t="str">
        <f>IFERROR(INDEX([1]物品基础表!$A:$A,MATCH(AC121,[1]物品基础表!$B:$B,0)),"")</f>
        <v/>
      </c>
      <c r="AG121" s="1" t="str">
        <f>IFERROR(INDEX([1]物品基础表!$A:$A,MATCH(AF121,[1]物品基础表!$B:$B,0)),"")</f>
        <v/>
      </c>
      <c r="AJ121" s="1" t="str">
        <f>IFERROR(INDEX([1]物品基础表!$A:$A,MATCH(AI121,[1]物品基础表!$B:$B,0)),"")</f>
        <v/>
      </c>
      <c r="AM121" s="1" t="str">
        <f>IFERROR(INDEX([1]物品基础表!$A:$A,MATCH(AL121,[1]物品基础表!$B:$B,0)),"")</f>
        <v/>
      </c>
      <c r="AP121" s="1" t="str">
        <f>IFERROR(INDEX([1]物品基础表!$A:$A,MATCH(AO121,[1]物品基础表!$B:$B,0)),"")</f>
        <v/>
      </c>
      <c r="AS121" s="1" t="str">
        <f>IFERROR(INDEX([1]物品基础表!$A:$A,MATCH(AR121,[1]物品基础表!$B:$B,0)),"")</f>
        <v/>
      </c>
      <c r="AV121" s="1" t="str">
        <f>IFERROR(INDEX([1]物品基础表!$A:$A,MATCH(AU121,[1]物品基础表!$B:$B,0)),"")</f>
        <v/>
      </c>
      <c r="AY121" s="1" t="str">
        <f>IFERROR(INDEX([1]物品基础表!$A:$A,MATCH(AX121,[1]物品基础表!$B:$B,0)),"")</f>
        <v/>
      </c>
      <c r="BB121" s="1" t="str">
        <f>IFERROR(INDEX([1]物品基础表!$A:$A,MATCH(BA121,[1]物品基础表!$B:$B,0)),"")</f>
        <v/>
      </c>
      <c r="BE121" s="1" t="str">
        <f>IFERROR(INDEX([1]物品基础表!$A:$A,MATCH(BD121,[1]物品基础表!$B:$B,0)),"")</f>
        <v/>
      </c>
      <c r="BH121" s="1" t="str">
        <f>IFERROR(INDEX([1]物品基础表!$A:$A,MATCH(BG121,[1]物品基础表!$B:$B,0)),"")</f>
        <v/>
      </c>
      <c r="BK121" s="1" t="str">
        <f>IFERROR(INDEX([1]物品基础表!$A:$A,MATCH(BJ121,[1]物品基础表!$B:$B,0)),"")</f>
        <v/>
      </c>
    </row>
    <row r="122" spans="1:63">
      <c r="A122" s="39" t="str">
        <f>INDEX([2]活动总表!$A$8:$A$429,MATCH(B122,[2]活动总表!$B$8:$B$429,0))</f>
        <v>腊八-福袋（31-60天）</v>
      </c>
      <c r="B122" s="40">
        <v>411</v>
      </c>
      <c r="C122" s="40">
        <v>13</v>
      </c>
      <c r="D122" s="40"/>
      <c r="E122" s="40"/>
      <c r="F122" s="40" t="s">
        <v>830</v>
      </c>
      <c r="G122" s="40">
        <v>2</v>
      </c>
      <c r="H122" s="40"/>
      <c r="I122" s="40"/>
      <c r="J122" s="57"/>
      <c r="K122" s="1">
        <v>200301</v>
      </c>
      <c r="L122" s="1" t="str">
        <f>IFERROR(INDEX([1]物品基础表!$A:$A,MATCH(K122,[1]物品基础表!$B:$B,0)),"")</f>
        <v>传世宝钻</v>
      </c>
      <c r="M122" s="1">
        <v>20</v>
      </c>
      <c r="O122" s="1" t="str">
        <f>IFERROR(INDEX([1]物品基础表!$A:$A,MATCH(N122,[1]物品基础表!$B:$B,0)),"")</f>
        <v/>
      </c>
      <c r="R122" s="1" t="str">
        <f>IFERROR(INDEX([1]物品基础表!$A:$A,MATCH(Q122,[1]物品基础表!$B:$B,0)),"")</f>
        <v/>
      </c>
      <c r="U122" s="1" t="str">
        <f>IFERROR(INDEX([1]物品基础表!$A:$A,MATCH(T122,[1]物品基础表!$B:$B,0)),"")</f>
        <v/>
      </c>
      <c r="X122" s="1" t="str">
        <f>IFERROR(INDEX([1]物品基础表!$A:$A,MATCH(W122,[1]物品基础表!$B:$B,0)),"")</f>
        <v/>
      </c>
      <c r="AA122" s="1" t="str">
        <f>IFERROR(INDEX([1]物品基础表!$A:$A,MATCH(Z122,[1]物品基础表!$B:$B,0)),"")</f>
        <v/>
      </c>
      <c r="AD122" s="1" t="str">
        <f>IFERROR(INDEX([1]物品基础表!$A:$A,MATCH(AC122,[1]物品基础表!$B:$B,0)),"")</f>
        <v/>
      </c>
      <c r="AG122" s="1" t="str">
        <f>IFERROR(INDEX([1]物品基础表!$A:$A,MATCH(AF122,[1]物品基础表!$B:$B,0)),"")</f>
        <v/>
      </c>
      <c r="AJ122" s="1" t="str">
        <f>IFERROR(INDEX([1]物品基础表!$A:$A,MATCH(AI122,[1]物品基础表!$B:$B,0)),"")</f>
        <v/>
      </c>
      <c r="AM122" s="1" t="str">
        <f>IFERROR(INDEX([1]物品基础表!$A:$A,MATCH(AL122,[1]物品基础表!$B:$B,0)),"")</f>
        <v/>
      </c>
      <c r="AP122" s="1" t="str">
        <f>IFERROR(INDEX([1]物品基础表!$A:$A,MATCH(AO122,[1]物品基础表!$B:$B,0)),"")</f>
        <v/>
      </c>
      <c r="AS122" s="1" t="str">
        <f>IFERROR(INDEX([1]物品基础表!$A:$A,MATCH(AR122,[1]物品基础表!$B:$B,0)),"")</f>
        <v/>
      </c>
      <c r="AV122" s="1" t="str">
        <f>IFERROR(INDEX([1]物品基础表!$A:$A,MATCH(AU122,[1]物品基础表!$B:$B,0)),"")</f>
        <v/>
      </c>
      <c r="AY122" s="1" t="str">
        <f>IFERROR(INDEX([1]物品基础表!$A:$A,MATCH(AX122,[1]物品基础表!$B:$B,0)),"")</f>
        <v/>
      </c>
      <c r="BB122" s="1" t="str">
        <f>IFERROR(INDEX([1]物品基础表!$A:$A,MATCH(BA122,[1]物品基础表!$B:$B,0)),"")</f>
        <v/>
      </c>
      <c r="BE122" s="1" t="str">
        <f>IFERROR(INDEX([1]物品基础表!$A:$A,MATCH(BD122,[1]物品基础表!$B:$B,0)),"")</f>
        <v/>
      </c>
      <c r="BH122" s="1" t="str">
        <f>IFERROR(INDEX([1]物品基础表!$A:$A,MATCH(BG122,[1]物品基础表!$B:$B,0)),"")</f>
        <v/>
      </c>
      <c r="BK122" s="1" t="str">
        <f>IFERROR(INDEX([1]物品基础表!$A:$A,MATCH(BJ122,[1]物品基础表!$B:$B,0)),"")</f>
        <v/>
      </c>
    </row>
    <row r="123" spans="1:63">
      <c r="A123" s="39" t="str">
        <f>INDEX([2]活动总表!$A$8:$A$429,MATCH(B123,[2]活动总表!$B$8:$B$429,0))</f>
        <v>腊八-福袋（31-60天）</v>
      </c>
      <c r="B123" s="40">
        <v>411</v>
      </c>
      <c r="C123" s="40">
        <v>14</v>
      </c>
      <c r="D123" s="40"/>
      <c r="E123" s="40"/>
      <c r="F123" s="40" t="s">
        <v>832</v>
      </c>
      <c r="G123" s="40">
        <v>2</v>
      </c>
      <c r="H123" s="40"/>
      <c r="I123" s="40"/>
      <c r="J123" s="57"/>
      <c r="K123" s="1">
        <v>204132</v>
      </c>
      <c r="L123" s="1" t="str">
        <f>IFERROR(INDEX([1]物品基础表!$A:$A,MATCH(K123,[1]物品基础表!$B:$B,0)),"")</f>
        <v>橙色图鉴包·倾国倾城</v>
      </c>
      <c r="M123" s="1">
        <v>1</v>
      </c>
      <c r="O123" s="1" t="str">
        <f>IFERROR(INDEX([1]物品基础表!$A:$A,MATCH(N123,[1]物品基础表!$B:$B,0)),"")</f>
        <v/>
      </c>
      <c r="R123" s="1" t="str">
        <f>IFERROR(INDEX([1]物品基础表!$A:$A,MATCH(Q123,[1]物品基础表!$B:$B,0)),"")</f>
        <v/>
      </c>
      <c r="U123" s="1" t="str">
        <f>IFERROR(INDEX([1]物品基础表!$A:$A,MATCH(T123,[1]物品基础表!$B:$B,0)),"")</f>
        <v/>
      </c>
      <c r="X123" s="1" t="str">
        <f>IFERROR(INDEX([1]物品基础表!$A:$A,MATCH(W123,[1]物品基础表!$B:$B,0)),"")</f>
        <v/>
      </c>
      <c r="AA123" s="1" t="str">
        <f>IFERROR(INDEX([1]物品基础表!$A:$A,MATCH(Z123,[1]物品基础表!$B:$B,0)),"")</f>
        <v/>
      </c>
      <c r="AD123" s="1" t="str">
        <f>IFERROR(INDEX([1]物品基础表!$A:$A,MATCH(AC123,[1]物品基础表!$B:$B,0)),"")</f>
        <v/>
      </c>
      <c r="AG123" s="1" t="str">
        <f>IFERROR(INDEX([1]物品基础表!$A:$A,MATCH(AF123,[1]物品基础表!$B:$B,0)),"")</f>
        <v/>
      </c>
      <c r="AJ123" s="1" t="str">
        <f>IFERROR(INDEX([1]物品基础表!$A:$A,MATCH(AI123,[1]物品基础表!$B:$B,0)),"")</f>
        <v/>
      </c>
      <c r="AM123" s="1" t="str">
        <f>IFERROR(INDEX([1]物品基础表!$A:$A,MATCH(AL123,[1]物品基础表!$B:$B,0)),"")</f>
        <v/>
      </c>
      <c r="AP123" s="1" t="str">
        <f>IFERROR(INDEX([1]物品基础表!$A:$A,MATCH(AO123,[1]物品基础表!$B:$B,0)),"")</f>
        <v/>
      </c>
      <c r="AS123" s="1" t="str">
        <f>IFERROR(INDEX([1]物品基础表!$A:$A,MATCH(AR123,[1]物品基础表!$B:$B,0)),"")</f>
        <v/>
      </c>
      <c r="AV123" s="1" t="str">
        <f>IFERROR(INDEX([1]物品基础表!$A:$A,MATCH(AU123,[1]物品基础表!$B:$B,0)),"")</f>
        <v/>
      </c>
      <c r="AY123" s="1" t="str">
        <f>IFERROR(INDEX([1]物品基础表!$A:$A,MATCH(AX123,[1]物品基础表!$B:$B,0)),"")</f>
        <v/>
      </c>
      <c r="BB123" s="1" t="str">
        <f>IFERROR(INDEX([1]物品基础表!$A:$A,MATCH(BA123,[1]物品基础表!$B:$B,0)),"")</f>
        <v/>
      </c>
      <c r="BE123" s="1" t="str">
        <f>IFERROR(INDEX([1]物品基础表!$A:$A,MATCH(BD123,[1]物品基础表!$B:$B,0)),"")</f>
        <v/>
      </c>
      <c r="BH123" s="1" t="str">
        <f>IFERROR(INDEX([1]物品基础表!$A:$A,MATCH(BG123,[1]物品基础表!$B:$B,0)),"")</f>
        <v/>
      </c>
      <c r="BK123" s="1" t="str">
        <f>IFERROR(INDEX([1]物品基础表!$A:$A,MATCH(BJ123,[1]物品基础表!$B:$B,0)),"")</f>
        <v/>
      </c>
    </row>
    <row r="124" spans="1:63">
      <c r="A124" s="39" t="str">
        <f>INDEX([2]活动总表!$A$8:$A$429,MATCH(B124,[2]活动总表!$B$8:$B$429,0))</f>
        <v>腊八-福袋（31-60天）</v>
      </c>
      <c r="B124" s="40">
        <v>411</v>
      </c>
      <c r="C124" s="40">
        <v>15</v>
      </c>
      <c r="D124" s="40"/>
      <c r="E124" s="40"/>
      <c r="F124" s="40" t="s">
        <v>833</v>
      </c>
      <c r="G124" s="40">
        <v>2</v>
      </c>
      <c r="H124" s="40"/>
      <c r="I124" s="40"/>
      <c r="J124" s="57"/>
      <c r="K124" s="1">
        <v>204136</v>
      </c>
      <c r="L124" s="1" t="str">
        <f>IFERROR(INDEX([1]物品基础表!$A:$A,MATCH(K124,[1]物品基础表!$B:$B,0)),"")</f>
        <v>轮回宝箱（8转）</v>
      </c>
      <c r="M124" s="1">
        <v>1</v>
      </c>
      <c r="O124" s="1" t="str">
        <f>IFERROR(INDEX([1]物品基础表!$A:$A,MATCH(N124,[1]物品基础表!$B:$B,0)),"")</f>
        <v/>
      </c>
      <c r="R124" s="1" t="str">
        <f>IFERROR(INDEX([1]物品基础表!$A:$A,MATCH(Q124,[1]物品基础表!$B:$B,0)),"")</f>
        <v/>
      </c>
      <c r="U124" s="1" t="str">
        <f>IFERROR(INDEX([1]物品基础表!$A:$A,MATCH(T124,[1]物品基础表!$B:$B,0)),"")</f>
        <v/>
      </c>
      <c r="X124" s="1" t="str">
        <f>IFERROR(INDEX([1]物品基础表!$A:$A,MATCH(W124,[1]物品基础表!$B:$B,0)),"")</f>
        <v/>
      </c>
      <c r="AA124" s="1" t="str">
        <f>IFERROR(INDEX([1]物品基础表!$A:$A,MATCH(Z124,[1]物品基础表!$B:$B,0)),"")</f>
        <v/>
      </c>
      <c r="AD124" s="1" t="str">
        <f>IFERROR(INDEX([1]物品基础表!$A:$A,MATCH(AC124,[1]物品基础表!$B:$B,0)),"")</f>
        <v/>
      </c>
      <c r="AG124" s="1" t="str">
        <f>IFERROR(INDEX([1]物品基础表!$A:$A,MATCH(AF124,[1]物品基础表!$B:$B,0)),"")</f>
        <v/>
      </c>
      <c r="AJ124" s="1" t="str">
        <f>IFERROR(INDEX([1]物品基础表!$A:$A,MATCH(AI124,[1]物品基础表!$B:$B,0)),"")</f>
        <v/>
      </c>
      <c r="AM124" s="1" t="str">
        <f>IFERROR(INDEX([1]物品基础表!$A:$A,MATCH(AL124,[1]物品基础表!$B:$B,0)),"")</f>
        <v/>
      </c>
      <c r="AP124" s="1" t="str">
        <f>IFERROR(INDEX([1]物品基础表!$A:$A,MATCH(AO124,[1]物品基础表!$B:$B,0)),"")</f>
        <v/>
      </c>
      <c r="AS124" s="1" t="str">
        <f>IFERROR(INDEX([1]物品基础表!$A:$A,MATCH(AR124,[1]物品基础表!$B:$B,0)),"")</f>
        <v/>
      </c>
      <c r="AV124" s="1" t="str">
        <f>IFERROR(INDEX([1]物品基础表!$A:$A,MATCH(AU124,[1]物品基础表!$B:$B,0)),"")</f>
        <v/>
      </c>
      <c r="AY124" s="1" t="str">
        <f>IFERROR(INDEX([1]物品基础表!$A:$A,MATCH(AX124,[1]物品基础表!$B:$B,0)),"")</f>
        <v/>
      </c>
      <c r="BB124" s="1" t="str">
        <f>IFERROR(INDEX([1]物品基础表!$A:$A,MATCH(BA124,[1]物品基础表!$B:$B,0)),"")</f>
        <v/>
      </c>
      <c r="BE124" s="1" t="str">
        <f>IFERROR(INDEX([1]物品基础表!$A:$A,MATCH(BD124,[1]物品基础表!$B:$B,0)),"")</f>
        <v/>
      </c>
      <c r="BH124" s="1" t="str">
        <f>IFERROR(INDEX([1]物品基础表!$A:$A,MATCH(BG124,[1]物品基础表!$B:$B,0)),"")</f>
        <v/>
      </c>
      <c r="BK124" s="1" t="str">
        <f>IFERROR(INDEX([1]物品基础表!$A:$A,MATCH(BJ124,[1]物品基础表!$B:$B,0)),"")</f>
        <v/>
      </c>
    </row>
    <row r="125" spans="1:63">
      <c r="A125" s="39" t="str">
        <f>INDEX([2]活动总表!$A$8:$A$429,MATCH(B125,[2]活动总表!$B$8:$B$429,0))</f>
        <v>腊八-福袋（31-60天）</v>
      </c>
      <c r="B125" s="40">
        <v>411</v>
      </c>
      <c r="C125" s="40">
        <v>16</v>
      </c>
      <c r="D125" s="40"/>
      <c r="E125" s="40"/>
      <c r="F125" s="40" t="s">
        <v>834</v>
      </c>
      <c r="G125" s="40">
        <v>2</v>
      </c>
      <c r="H125" s="40"/>
      <c r="I125" s="40"/>
      <c r="J125" s="57"/>
      <c r="K125" s="1">
        <v>204135</v>
      </c>
      <c r="L125" s="1" t="str">
        <f>IFERROR(INDEX([1]物品基础表!$A:$A,MATCH(K125,[1]物品基础表!$B:$B,0)),"")</f>
        <v>轮回宝箱（7转）</v>
      </c>
      <c r="M125" s="1">
        <v>1</v>
      </c>
      <c r="O125" s="1" t="str">
        <f>IFERROR(INDEX([1]物品基础表!$A:$A,MATCH(N125,[1]物品基础表!$B:$B,0)),"")</f>
        <v/>
      </c>
      <c r="R125" s="1" t="str">
        <f>IFERROR(INDEX([1]物品基础表!$A:$A,MATCH(Q125,[1]物品基础表!$B:$B,0)),"")</f>
        <v/>
      </c>
      <c r="U125" s="1" t="str">
        <f>IFERROR(INDEX([1]物品基础表!$A:$A,MATCH(T125,[1]物品基础表!$B:$B,0)),"")</f>
        <v/>
      </c>
      <c r="X125" s="1" t="str">
        <f>IFERROR(INDEX([1]物品基础表!$A:$A,MATCH(W125,[1]物品基础表!$B:$B,0)),"")</f>
        <v/>
      </c>
      <c r="AA125" s="1" t="str">
        <f>IFERROR(INDEX([1]物品基础表!$A:$A,MATCH(Z125,[1]物品基础表!$B:$B,0)),"")</f>
        <v/>
      </c>
      <c r="AD125" s="1" t="str">
        <f>IFERROR(INDEX([1]物品基础表!$A:$A,MATCH(AC125,[1]物品基础表!$B:$B,0)),"")</f>
        <v/>
      </c>
      <c r="AG125" s="1" t="str">
        <f>IFERROR(INDEX([1]物品基础表!$A:$A,MATCH(AF125,[1]物品基础表!$B:$B,0)),"")</f>
        <v/>
      </c>
      <c r="AJ125" s="1" t="str">
        <f>IFERROR(INDEX([1]物品基础表!$A:$A,MATCH(AI125,[1]物品基础表!$B:$B,0)),"")</f>
        <v/>
      </c>
      <c r="AM125" s="1" t="str">
        <f>IFERROR(INDEX([1]物品基础表!$A:$A,MATCH(AL125,[1]物品基础表!$B:$B,0)),"")</f>
        <v/>
      </c>
      <c r="AP125" s="1" t="str">
        <f>IFERROR(INDEX([1]物品基础表!$A:$A,MATCH(AO125,[1]物品基础表!$B:$B,0)),"")</f>
        <v/>
      </c>
      <c r="AS125" s="1" t="str">
        <f>IFERROR(INDEX([1]物品基础表!$A:$A,MATCH(AR125,[1]物品基础表!$B:$B,0)),"")</f>
        <v/>
      </c>
      <c r="AV125" s="1" t="str">
        <f>IFERROR(INDEX([1]物品基础表!$A:$A,MATCH(AU125,[1]物品基础表!$B:$B,0)),"")</f>
        <v/>
      </c>
      <c r="AY125" s="1" t="str">
        <f>IFERROR(INDEX([1]物品基础表!$A:$A,MATCH(AX125,[1]物品基础表!$B:$B,0)),"")</f>
        <v/>
      </c>
      <c r="BB125" s="1" t="str">
        <f>IFERROR(INDEX([1]物品基础表!$A:$A,MATCH(BA125,[1]物品基础表!$B:$B,0)),"")</f>
        <v/>
      </c>
      <c r="BE125" s="1" t="str">
        <f>IFERROR(INDEX([1]物品基础表!$A:$A,MATCH(BD125,[1]物品基础表!$B:$B,0)),"")</f>
        <v/>
      </c>
      <c r="BH125" s="1" t="str">
        <f>IFERROR(INDEX([1]物品基础表!$A:$A,MATCH(BG125,[1]物品基础表!$B:$B,0)),"")</f>
        <v/>
      </c>
      <c r="BK125" s="1" t="str">
        <f>IFERROR(INDEX([1]物品基础表!$A:$A,MATCH(BJ125,[1]物品基础表!$B:$B,0)),"")</f>
        <v/>
      </c>
    </row>
    <row r="126" spans="1:63">
      <c r="A126" s="39" t="str">
        <f>INDEX([2]活动总表!$A$8:$A$429,MATCH(B126,[2]活动总表!$B$8:$B$429,0))</f>
        <v>腊八-福袋（31-60天）</v>
      </c>
      <c r="B126" s="40">
        <v>411</v>
      </c>
      <c r="C126" s="40">
        <v>17</v>
      </c>
      <c r="D126" s="40"/>
      <c r="E126" s="40"/>
      <c r="F126" s="40" t="s">
        <v>846</v>
      </c>
      <c r="G126" s="40">
        <v>2</v>
      </c>
      <c r="H126" s="40"/>
      <c r="I126" s="40"/>
      <c r="J126" s="57"/>
      <c r="K126" s="1">
        <v>200001</v>
      </c>
      <c r="L126" s="1" t="str">
        <f>IFERROR(INDEX([1]物品基础表!$A:$A,MATCH(K126,[1]物品基础表!$B:$B,0)),"")</f>
        <v>羽毛</v>
      </c>
      <c r="M126" s="1">
        <v>5</v>
      </c>
      <c r="O126" s="1" t="str">
        <f>IFERROR(INDEX([1]物品基础表!$A:$A,MATCH(N126,[1]物品基础表!$B:$B,0)),"")</f>
        <v/>
      </c>
      <c r="R126" s="1" t="str">
        <f>IFERROR(INDEX([1]物品基础表!$A:$A,MATCH(Q126,[1]物品基础表!$B:$B,0)),"")</f>
        <v/>
      </c>
      <c r="U126" s="1" t="str">
        <f>IFERROR(INDEX([1]物品基础表!$A:$A,MATCH(T126,[1]物品基础表!$B:$B,0)),"")</f>
        <v/>
      </c>
      <c r="X126" s="1" t="str">
        <f>IFERROR(INDEX([1]物品基础表!$A:$A,MATCH(W126,[1]物品基础表!$B:$B,0)),"")</f>
        <v/>
      </c>
      <c r="AA126" s="1" t="str">
        <f>IFERROR(INDEX([1]物品基础表!$A:$A,MATCH(Z126,[1]物品基础表!$B:$B,0)),"")</f>
        <v/>
      </c>
      <c r="AD126" s="1" t="str">
        <f>IFERROR(INDEX([1]物品基础表!$A:$A,MATCH(AC126,[1]物品基础表!$B:$B,0)),"")</f>
        <v/>
      </c>
      <c r="AG126" s="1" t="str">
        <f>IFERROR(INDEX([1]物品基础表!$A:$A,MATCH(AF126,[1]物品基础表!$B:$B,0)),"")</f>
        <v/>
      </c>
      <c r="AJ126" s="1" t="str">
        <f>IFERROR(INDEX([1]物品基础表!$A:$A,MATCH(AI126,[1]物品基础表!$B:$B,0)),"")</f>
        <v/>
      </c>
      <c r="AM126" s="1" t="str">
        <f>IFERROR(INDEX([1]物品基础表!$A:$A,MATCH(AL126,[1]物品基础表!$B:$B,0)),"")</f>
        <v/>
      </c>
      <c r="AP126" s="1" t="str">
        <f>IFERROR(INDEX([1]物品基础表!$A:$A,MATCH(AO126,[1]物品基础表!$B:$B,0)),"")</f>
        <v/>
      </c>
      <c r="AS126" s="1" t="str">
        <f>IFERROR(INDEX([1]物品基础表!$A:$A,MATCH(AR126,[1]物品基础表!$B:$B,0)),"")</f>
        <v/>
      </c>
      <c r="AV126" s="1" t="str">
        <f>IFERROR(INDEX([1]物品基础表!$A:$A,MATCH(AU126,[1]物品基础表!$B:$B,0)),"")</f>
        <v/>
      </c>
      <c r="AY126" s="1" t="str">
        <f>IFERROR(INDEX([1]物品基础表!$A:$A,MATCH(AX126,[1]物品基础表!$B:$B,0)),"")</f>
        <v/>
      </c>
      <c r="BB126" s="1" t="str">
        <f>IFERROR(INDEX([1]物品基础表!$A:$A,MATCH(BA126,[1]物品基础表!$B:$B,0)),"")</f>
        <v/>
      </c>
      <c r="BE126" s="1" t="str">
        <f>IFERROR(INDEX([1]物品基础表!$A:$A,MATCH(BD126,[1]物品基础表!$B:$B,0)),"")</f>
        <v/>
      </c>
      <c r="BH126" s="1" t="str">
        <f>IFERROR(INDEX([1]物品基础表!$A:$A,MATCH(BG126,[1]物品基础表!$B:$B,0)),"")</f>
        <v/>
      </c>
      <c r="BK126" s="1" t="str">
        <f>IFERROR(INDEX([1]物品基础表!$A:$A,MATCH(BJ126,[1]物品基础表!$B:$B,0)),"")</f>
        <v/>
      </c>
    </row>
    <row r="127" spans="1:63">
      <c r="A127" s="39" t="str">
        <f>INDEX([2]活动总表!$A$8:$A$429,MATCH(B127,[2]活动总表!$B$8:$B$429,0))</f>
        <v>腊八-福袋（31-60天）</v>
      </c>
      <c r="B127" s="40">
        <v>411</v>
      </c>
      <c r="C127" s="40">
        <v>18</v>
      </c>
      <c r="D127" s="40"/>
      <c r="E127" s="40"/>
      <c r="F127" s="40" t="s">
        <v>847</v>
      </c>
      <c r="G127" s="40">
        <v>2</v>
      </c>
      <c r="H127" s="40"/>
      <c r="I127" s="40"/>
      <c r="J127" s="57"/>
      <c r="K127" s="1">
        <v>200001</v>
      </c>
      <c r="L127" s="1" t="str">
        <f>IFERROR(INDEX([1]物品基础表!$A:$A,MATCH(K127,[1]物品基础表!$B:$B,0)),"")</f>
        <v>羽毛</v>
      </c>
      <c r="M127" s="1">
        <v>8</v>
      </c>
      <c r="O127" s="1" t="str">
        <f>IFERROR(INDEX([1]物品基础表!$A:$A,MATCH(N127,[1]物品基础表!$B:$B,0)),"")</f>
        <v/>
      </c>
      <c r="R127" s="1" t="str">
        <f>IFERROR(INDEX([1]物品基础表!$A:$A,MATCH(Q127,[1]物品基础表!$B:$B,0)),"")</f>
        <v/>
      </c>
      <c r="U127" s="1" t="str">
        <f>IFERROR(INDEX([1]物品基础表!$A:$A,MATCH(T127,[1]物品基础表!$B:$B,0)),"")</f>
        <v/>
      </c>
      <c r="X127" s="1" t="str">
        <f>IFERROR(INDEX([1]物品基础表!$A:$A,MATCH(W127,[1]物品基础表!$B:$B,0)),"")</f>
        <v/>
      </c>
      <c r="AA127" s="1" t="str">
        <f>IFERROR(INDEX([1]物品基础表!$A:$A,MATCH(Z127,[1]物品基础表!$B:$B,0)),"")</f>
        <v/>
      </c>
      <c r="AD127" s="1" t="str">
        <f>IFERROR(INDEX([1]物品基础表!$A:$A,MATCH(AC127,[1]物品基础表!$B:$B,0)),"")</f>
        <v/>
      </c>
      <c r="AG127" s="1" t="str">
        <f>IFERROR(INDEX([1]物品基础表!$A:$A,MATCH(AF127,[1]物品基础表!$B:$B,0)),"")</f>
        <v/>
      </c>
      <c r="AJ127" s="1" t="str">
        <f>IFERROR(INDEX([1]物品基础表!$A:$A,MATCH(AI127,[1]物品基础表!$B:$B,0)),"")</f>
        <v/>
      </c>
      <c r="AM127" s="1" t="str">
        <f>IFERROR(INDEX([1]物品基础表!$A:$A,MATCH(AL127,[1]物品基础表!$B:$B,0)),"")</f>
        <v/>
      </c>
      <c r="AP127" s="1" t="str">
        <f>IFERROR(INDEX([1]物品基础表!$A:$A,MATCH(AO127,[1]物品基础表!$B:$B,0)),"")</f>
        <v/>
      </c>
      <c r="AS127" s="1" t="str">
        <f>IFERROR(INDEX([1]物品基础表!$A:$A,MATCH(AR127,[1]物品基础表!$B:$B,0)),"")</f>
        <v/>
      </c>
      <c r="AV127" s="1" t="str">
        <f>IFERROR(INDEX([1]物品基础表!$A:$A,MATCH(AU127,[1]物品基础表!$B:$B,0)),"")</f>
        <v/>
      </c>
      <c r="AY127" s="1" t="str">
        <f>IFERROR(INDEX([1]物品基础表!$A:$A,MATCH(AX127,[1]物品基础表!$B:$B,0)),"")</f>
        <v/>
      </c>
      <c r="BB127" s="1" t="str">
        <f>IFERROR(INDEX([1]物品基础表!$A:$A,MATCH(BA127,[1]物品基础表!$B:$B,0)),"")</f>
        <v/>
      </c>
      <c r="BE127" s="1" t="str">
        <f>IFERROR(INDEX([1]物品基础表!$A:$A,MATCH(BD127,[1]物品基础表!$B:$B,0)),"")</f>
        <v/>
      </c>
      <c r="BH127" s="1" t="str">
        <f>IFERROR(INDEX([1]物品基础表!$A:$A,MATCH(BG127,[1]物品基础表!$B:$B,0)),"")</f>
        <v/>
      </c>
      <c r="BK127" s="1" t="str">
        <f>IFERROR(INDEX([1]物品基础表!$A:$A,MATCH(BJ127,[1]物品基础表!$B:$B,0)),"")</f>
        <v/>
      </c>
    </row>
    <row r="128" spans="1:63">
      <c r="A128" s="39" t="str">
        <f>INDEX([2]活动总表!$A$8:$A$429,MATCH(B128,[2]活动总表!$B$8:$B$429,0))</f>
        <v>腊八-福袋（31-60天）</v>
      </c>
      <c r="B128" s="40">
        <v>411</v>
      </c>
      <c r="C128" s="40">
        <v>19</v>
      </c>
      <c r="D128" s="40"/>
      <c r="E128" s="40"/>
      <c r="F128" s="40" t="s">
        <v>836</v>
      </c>
      <c r="G128" s="40">
        <v>2</v>
      </c>
      <c r="H128" s="40"/>
      <c r="I128" s="40"/>
      <c r="J128" s="57"/>
      <c r="K128" s="1">
        <v>200001</v>
      </c>
      <c r="L128" s="1" t="str">
        <f>IFERROR(INDEX([1]物品基础表!$A:$A,MATCH(K128,[1]物品基础表!$B:$B,0)),"")</f>
        <v>羽毛</v>
      </c>
      <c r="M128" s="1">
        <v>10</v>
      </c>
      <c r="O128" s="1" t="str">
        <f>IFERROR(INDEX([1]物品基础表!$A:$A,MATCH(N128,[1]物品基础表!$B:$B,0)),"")</f>
        <v/>
      </c>
      <c r="R128" s="1" t="str">
        <f>IFERROR(INDEX([1]物品基础表!$A:$A,MATCH(Q128,[1]物品基础表!$B:$B,0)),"")</f>
        <v/>
      </c>
      <c r="U128" s="1" t="str">
        <f>IFERROR(INDEX([1]物品基础表!$A:$A,MATCH(T128,[1]物品基础表!$B:$B,0)),"")</f>
        <v/>
      </c>
      <c r="X128" s="1" t="str">
        <f>IFERROR(INDEX([1]物品基础表!$A:$A,MATCH(W128,[1]物品基础表!$B:$B,0)),"")</f>
        <v/>
      </c>
      <c r="AA128" s="1" t="str">
        <f>IFERROR(INDEX([1]物品基础表!$A:$A,MATCH(Z128,[1]物品基础表!$B:$B,0)),"")</f>
        <v/>
      </c>
      <c r="AD128" s="1" t="str">
        <f>IFERROR(INDEX([1]物品基础表!$A:$A,MATCH(AC128,[1]物品基础表!$B:$B,0)),"")</f>
        <v/>
      </c>
      <c r="AG128" s="1" t="str">
        <f>IFERROR(INDEX([1]物品基础表!$A:$A,MATCH(AF128,[1]物品基础表!$B:$B,0)),"")</f>
        <v/>
      </c>
      <c r="AJ128" s="1" t="str">
        <f>IFERROR(INDEX([1]物品基础表!$A:$A,MATCH(AI128,[1]物品基础表!$B:$B,0)),"")</f>
        <v/>
      </c>
      <c r="AM128" s="1" t="str">
        <f>IFERROR(INDEX([1]物品基础表!$A:$A,MATCH(AL128,[1]物品基础表!$B:$B,0)),"")</f>
        <v/>
      </c>
      <c r="AP128" s="1" t="str">
        <f>IFERROR(INDEX([1]物品基础表!$A:$A,MATCH(AO128,[1]物品基础表!$B:$B,0)),"")</f>
        <v/>
      </c>
      <c r="AS128" s="1" t="str">
        <f>IFERROR(INDEX([1]物品基础表!$A:$A,MATCH(AR128,[1]物品基础表!$B:$B,0)),"")</f>
        <v/>
      </c>
      <c r="AV128" s="1" t="str">
        <f>IFERROR(INDEX([1]物品基础表!$A:$A,MATCH(AU128,[1]物品基础表!$B:$B,0)),"")</f>
        <v/>
      </c>
      <c r="AY128" s="1" t="str">
        <f>IFERROR(INDEX([1]物品基础表!$A:$A,MATCH(AX128,[1]物品基础表!$B:$B,0)),"")</f>
        <v/>
      </c>
      <c r="BB128" s="1" t="str">
        <f>IFERROR(INDEX([1]物品基础表!$A:$A,MATCH(BA128,[1]物品基础表!$B:$B,0)),"")</f>
        <v/>
      </c>
      <c r="BE128" s="1" t="str">
        <f>IFERROR(INDEX([1]物品基础表!$A:$A,MATCH(BD128,[1]物品基础表!$B:$B,0)),"")</f>
        <v/>
      </c>
      <c r="BH128" s="1" t="str">
        <f>IFERROR(INDEX([1]物品基础表!$A:$A,MATCH(BG128,[1]物品基础表!$B:$B,0)),"")</f>
        <v/>
      </c>
      <c r="BK128" s="1" t="str">
        <f>IFERROR(INDEX([1]物品基础表!$A:$A,MATCH(BJ128,[1]物品基础表!$B:$B,0)),"")</f>
        <v/>
      </c>
    </row>
    <row r="129" spans="1:64">
      <c r="A129" s="39" t="str">
        <f>INDEX([2]活动总表!$A$8:$A$429,MATCH(B129,[2]活动总表!$B$8:$B$429,0))</f>
        <v>腊八-福袋（31-60天）</v>
      </c>
      <c r="B129" s="40">
        <v>411</v>
      </c>
      <c r="C129" s="40">
        <v>20</v>
      </c>
      <c r="D129" s="40"/>
      <c r="E129" s="40"/>
      <c r="F129" s="40" t="s">
        <v>841</v>
      </c>
      <c r="G129" s="40">
        <v>2</v>
      </c>
      <c r="H129" s="40"/>
      <c r="I129" s="40"/>
      <c r="J129" s="57"/>
      <c r="K129" s="1">
        <v>200001</v>
      </c>
      <c r="L129" s="1" t="str">
        <f>IFERROR(INDEX([1]物品基础表!$A:$A,MATCH(K129,[1]物品基础表!$B:$B,0)),"")</f>
        <v>羽毛</v>
      </c>
      <c r="M129" s="1">
        <v>15</v>
      </c>
      <c r="O129" s="1" t="str">
        <f>IFERROR(INDEX([1]物品基础表!$A:$A,MATCH(N129,[1]物品基础表!$B:$B,0)),"")</f>
        <v/>
      </c>
      <c r="R129" s="1" t="str">
        <f>IFERROR(INDEX([1]物品基础表!$A:$A,MATCH(Q129,[1]物品基础表!$B:$B,0)),"")</f>
        <v/>
      </c>
      <c r="U129" s="1" t="str">
        <f>IFERROR(INDEX([1]物品基础表!$A:$A,MATCH(T129,[1]物品基础表!$B:$B,0)),"")</f>
        <v/>
      </c>
      <c r="X129" s="1" t="str">
        <f>IFERROR(INDEX([1]物品基础表!$A:$A,MATCH(W129,[1]物品基础表!$B:$B,0)),"")</f>
        <v/>
      </c>
      <c r="AA129" s="1" t="str">
        <f>IFERROR(INDEX([1]物品基础表!$A:$A,MATCH(Z129,[1]物品基础表!$B:$B,0)),"")</f>
        <v/>
      </c>
      <c r="AD129" s="1" t="str">
        <f>IFERROR(INDEX([1]物品基础表!$A:$A,MATCH(AC129,[1]物品基础表!$B:$B,0)),"")</f>
        <v/>
      </c>
      <c r="AG129" s="1" t="str">
        <f>IFERROR(INDEX([1]物品基础表!$A:$A,MATCH(AF129,[1]物品基础表!$B:$B,0)),"")</f>
        <v/>
      </c>
      <c r="AJ129" s="1" t="str">
        <f>IFERROR(INDEX([1]物品基础表!$A:$A,MATCH(AI129,[1]物品基础表!$B:$B,0)),"")</f>
        <v/>
      </c>
      <c r="AM129" s="1" t="str">
        <f>IFERROR(INDEX([1]物品基础表!$A:$A,MATCH(AL129,[1]物品基础表!$B:$B,0)),"")</f>
        <v/>
      </c>
      <c r="AP129" s="1" t="str">
        <f>IFERROR(INDEX([1]物品基础表!$A:$A,MATCH(AO129,[1]物品基础表!$B:$B,0)),"")</f>
        <v/>
      </c>
      <c r="AS129" s="1" t="str">
        <f>IFERROR(INDEX([1]物品基础表!$A:$A,MATCH(AR129,[1]物品基础表!$B:$B,0)),"")</f>
        <v/>
      </c>
      <c r="AV129" s="1" t="str">
        <f>IFERROR(INDEX([1]物品基础表!$A:$A,MATCH(AU129,[1]物品基础表!$B:$B,0)),"")</f>
        <v/>
      </c>
      <c r="AY129" s="1" t="str">
        <f>IFERROR(INDEX([1]物品基础表!$A:$A,MATCH(AX129,[1]物品基础表!$B:$B,0)),"")</f>
        <v/>
      </c>
      <c r="BB129" s="1" t="str">
        <f>IFERROR(INDEX([1]物品基础表!$A:$A,MATCH(BA129,[1]物品基础表!$B:$B,0)),"")</f>
        <v/>
      </c>
      <c r="BE129" s="1" t="str">
        <f>IFERROR(INDEX([1]物品基础表!$A:$A,MATCH(BD129,[1]物品基础表!$B:$B,0)),"")</f>
        <v/>
      </c>
      <c r="BH129" s="1" t="str">
        <f>IFERROR(INDEX([1]物品基础表!$A:$A,MATCH(BG129,[1]物品基础表!$B:$B,0)),"")</f>
        <v/>
      </c>
      <c r="BK129" s="1" t="str">
        <f>IFERROR(INDEX([1]物品基础表!$A:$A,MATCH(BJ129,[1]物品基础表!$B:$B,0)),"")</f>
        <v/>
      </c>
    </row>
    <row r="130" spans="1:64">
      <c r="A130" s="39" t="str">
        <f>INDEX([2]活动总表!$A$8:$A$429,MATCH(B130,[2]活动总表!$B$8:$B$429,0))</f>
        <v>腊八-福袋（31-60天）</v>
      </c>
      <c r="B130" s="40">
        <v>411</v>
      </c>
      <c r="C130" s="40">
        <v>21</v>
      </c>
      <c r="D130" s="40"/>
      <c r="E130" s="40"/>
      <c r="F130" s="40" t="s">
        <v>846</v>
      </c>
      <c r="G130" s="40">
        <v>2</v>
      </c>
      <c r="H130" s="40"/>
      <c r="I130" s="40"/>
      <c r="J130" s="57"/>
      <c r="K130" s="1">
        <v>200005</v>
      </c>
      <c r="L130" s="1" t="str">
        <f>IFERROR(INDEX([1]物品基础表!$A:$A,MATCH(K130,[1]物品基础表!$B:$B,0)),"")</f>
        <v>龙魂碎片</v>
      </c>
      <c r="M130" s="1">
        <v>5</v>
      </c>
      <c r="O130" s="1" t="str">
        <f>IFERROR(INDEX([1]物品基础表!$A:$A,MATCH(N130,[1]物品基础表!$B:$B,0)),"")</f>
        <v/>
      </c>
      <c r="R130" s="1" t="str">
        <f>IFERROR(INDEX([1]物品基础表!$A:$A,MATCH(Q130,[1]物品基础表!$B:$B,0)),"")</f>
        <v/>
      </c>
      <c r="U130" s="1" t="str">
        <f>IFERROR(INDEX([1]物品基础表!$A:$A,MATCH(T130,[1]物品基础表!$B:$B,0)),"")</f>
        <v/>
      </c>
      <c r="X130" s="1" t="str">
        <f>IFERROR(INDEX([1]物品基础表!$A:$A,MATCH(W130,[1]物品基础表!$B:$B,0)),"")</f>
        <v/>
      </c>
      <c r="AA130" s="1" t="str">
        <f>IFERROR(INDEX([1]物品基础表!$A:$A,MATCH(Z130,[1]物品基础表!$B:$B,0)),"")</f>
        <v/>
      </c>
      <c r="AD130" s="1" t="str">
        <f>IFERROR(INDEX([1]物品基础表!$A:$A,MATCH(AC130,[1]物品基础表!$B:$B,0)),"")</f>
        <v/>
      </c>
      <c r="AG130" s="1" t="str">
        <f>IFERROR(INDEX([1]物品基础表!$A:$A,MATCH(AF130,[1]物品基础表!$B:$B,0)),"")</f>
        <v/>
      </c>
      <c r="AJ130" s="1" t="str">
        <f>IFERROR(INDEX([1]物品基础表!$A:$A,MATCH(AI130,[1]物品基础表!$B:$B,0)),"")</f>
        <v/>
      </c>
      <c r="AM130" s="1" t="str">
        <f>IFERROR(INDEX([1]物品基础表!$A:$A,MATCH(AL130,[1]物品基础表!$B:$B,0)),"")</f>
        <v/>
      </c>
      <c r="AP130" s="1" t="str">
        <f>IFERROR(INDEX([1]物品基础表!$A:$A,MATCH(AO130,[1]物品基础表!$B:$B,0)),"")</f>
        <v/>
      </c>
      <c r="AS130" s="1" t="str">
        <f>IFERROR(INDEX([1]物品基础表!$A:$A,MATCH(AR130,[1]物品基础表!$B:$B,0)),"")</f>
        <v/>
      </c>
      <c r="AV130" s="1" t="str">
        <f>IFERROR(INDEX([1]物品基础表!$A:$A,MATCH(AU130,[1]物品基础表!$B:$B,0)),"")</f>
        <v/>
      </c>
      <c r="AY130" s="1" t="str">
        <f>IFERROR(INDEX([1]物品基础表!$A:$A,MATCH(AX130,[1]物品基础表!$B:$B,0)),"")</f>
        <v/>
      </c>
      <c r="BB130" s="1" t="str">
        <f>IFERROR(INDEX([1]物品基础表!$A:$A,MATCH(BA130,[1]物品基础表!$B:$B,0)),"")</f>
        <v/>
      </c>
      <c r="BE130" s="1" t="str">
        <f>IFERROR(INDEX([1]物品基础表!$A:$A,MATCH(BD130,[1]物品基础表!$B:$B,0)),"")</f>
        <v/>
      </c>
      <c r="BH130" s="1" t="str">
        <f>IFERROR(INDEX([1]物品基础表!$A:$A,MATCH(BG130,[1]物品基础表!$B:$B,0)),"")</f>
        <v/>
      </c>
      <c r="BK130" s="1" t="str">
        <f>IFERROR(INDEX([1]物品基础表!$A:$A,MATCH(BJ130,[1]物品基础表!$B:$B,0)),"")</f>
        <v/>
      </c>
    </row>
    <row r="131" spans="1:64">
      <c r="A131" s="39" t="str">
        <f>INDEX([2]活动总表!$A$8:$A$429,MATCH(B131,[2]活动总表!$B$8:$B$429,0))</f>
        <v>腊八-福袋（31-60天）</v>
      </c>
      <c r="B131" s="40">
        <v>411</v>
      </c>
      <c r="C131" s="40">
        <v>22</v>
      </c>
      <c r="D131" s="40"/>
      <c r="E131" s="40"/>
      <c r="F131" s="40" t="s">
        <v>847</v>
      </c>
      <c r="G131" s="40">
        <v>2</v>
      </c>
      <c r="H131" s="40"/>
      <c r="I131" s="40"/>
      <c r="J131" s="57"/>
      <c r="K131" s="1">
        <v>200005</v>
      </c>
      <c r="L131" s="1" t="str">
        <f>IFERROR(INDEX([1]物品基础表!$A:$A,MATCH(K131,[1]物品基础表!$B:$B,0)),"")</f>
        <v>龙魂碎片</v>
      </c>
      <c r="M131" s="1">
        <v>8</v>
      </c>
      <c r="O131" s="1" t="str">
        <f>IFERROR(INDEX([1]物品基础表!$A:$A,MATCH(N131,[1]物品基础表!$B:$B,0)),"")</f>
        <v/>
      </c>
      <c r="R131" s="1" t="str">
        <f>IFERROR(INDEX([1]物品基础表!$A:$A,MATCH(Q131,[1]物品基础表!$B:$B,0)),"")</f>
        <v/>
      </c>
      <c r="U131" s="1" t="str">
        <f>IFERROR(INDEX([1]物品基础表!$A:$A,MATCH(T131,[1]物品基础表!$B:$B,0)),"")</f>
        <v/>
      </c>
      <c r="X131" s="1" t="str">
        <f>IFERROR(INDEX([1]物品基础表!$A:$A,MATCH(W131,[1]物品基础表!$B:$B,0)),"")</f>
        <v/>
      </c>
      <c r="AA131" s="1" t="str">
        <f>IFERROR(INDEX([1]物品基础表!$A:$A,MATCH(Z131,[1]物品基础表!$B:$B,0)),"")</f>
        <v/>
      </c>
      <c r="AD131" s="1" t="str">
        <f>IFERROR(INDEX([1]物品基础表!$A:$A,MATCH(AC131,[1]物品基础表!$B:$B,0)),"")</f>
        <v/>
      </c>
      <c r="AG131" s="1" t="str">
        <f>IFERROR(INDEX([1]物品基础表!$A:$A,MATCH(AF131,[1]物品基础表!$B:$B,0)),"")</f>
        <v/>
      </c>
      <c r="AJ131" s="1" t="str">
        <f>IFERROR(INDEX([1]物品基础表!$A:$A,MATCH(AI131,[1]物品基础表!$B:$B,0)),"")</f>
        <v/>
      </c>
      <c r="AM131" s="1" t="str">
        <f>IFERROR(INDEX([1]物品基础表!$A:$A,MATCH(AL131,[1]物品基础表!$B:$B,0)),"")</f>
        <v/>
      </c>
      <c r="AP131" s="1" t="str">
        <f>IFERROR(INDEX([1]物品基础表!$A:$A,MATCH(AO131,[1]物品基础表!$B:$B,0)),"")</f>
        <v/>
      </c>
      <c r="AS131" s="1" t="str">
        <f>IFERROR(INDEX([1]物品基础表!$A:$A,MATCH(AR131,[1]物品基础表!$B:$B,0)),"")</f>
        <v/>
      </c>
      <c r="AV131" s="1" t="str">
        <f>IFERROR(INDEX([1]物品基础表!$A:$A,MATCH(AU131,[1]物品基础表!$B:$B,0)),"")</f>
        <v/>
      </c>
      <c r="AY131" s="1" t="str">
        <f>IFERROR(INDEX([1]物品基础表!$A:$A,MATCH(AX131,[1]物品基础表!$B:$B,0)),"")</f>
        <v/>
      </c>
      <c r="BB131" s="1" t="str">
        <f>IFERROR(INDEX([1]物品基础表!$A:$A,MATCH(BA131,[1]物品基础表!$B:$B,0)),"")</f>
        <v/>
      </c>
      <c r="BE131" s="1" t="str">
        <f>IFERROR(INDEX([1]物品基础表!$A:$A,MATCH(BD131,[1]物品基础表!$B:$B,0)),"")</f>
        <v/>
      </c>
      <c r="BH131" s="1" t="str">
        <f>IFERROR(INDEX([1]物品基础表!$A:$A,MATCH(BG131,[1]物品基础表!$B:$B,0)),"")</f>
        <v/>
      </c>
      <c r="BK131" s="1" t="str">
        <f>IFERROR(INDEX([1]物品基础表!$A:$A,MATCH(BJ131,[1]物品基础表!$B:$B,0)),"")</f>
        <v/>
      </c>
    </row>
    <row r="132" spans="1:64">
      <c r="A132" s="39" t="str">
        <f>INDEX([2]活动总表!$A$8:$A$429,MATCH(B132,[2]活动总表!$B$8:$B$429,0))</f>
        <v>腊八-福袋（31-60天）</v>
      </c>
      <c r="B132" s="40">
        <v>411</v>
      </c>
      <c r="C132" s="40">
        <v>23</v>
      </c>
      <c r="D132" s="40"/>
      <c r="E132" s="40"/>
      <c r="F132" s="40" t="s">
        <v>836</v>
      </c>
      <c r="G132" s="40">
        <v>2</v>
      </c>
      <c r="H132" s="40"/>
      <c r="I132" s="40"/>
      <c r="J132" s="57"/>
      <c r="K132" s="1">
        <v>200005</v>
      </c>
      <c r="L132" s="1" t="str">
        <f>IFERROR(INDEX([1]物品基础表!$A:$A,MATCH(K132,[1]物品基础表!$B:$B,0)),"")</f>
        <v>龙魂碎片</v>
      </c>
      <c r="M132" s="1">
        <v>10</v>
      </c>
      <c r="O132" s="1" t="str">
        <f>IFERROR(INDEX([1]物品基础表!$A:$A,MATCH(N132,[1]物品基础表!$B:$B,0)),"")</f>
        <v/>
      </c>
      <c r="R132" s="1" t="str">
        <f>IFERROR(INDEX([1]物品基础表!$A:$A,MATCH(Q132,[1]物品基础表!$B:$B,0)),"")</f>
        <v/>
      </c>
      <c r="U132" s="1" t="str">
        <f>IFERROR(INDEX([1]物品基础表!$A:$A,MATCH(T132,[1]物品基础表!$B:$B,0)),"")</f>
        <v/>
      </c>
      <c r="X132" s="1" t="str">
        <f>IFERROR(INDEX([1]物品基础表!$A:$A,MATCH(W132,[1]物品基础表!$B:$B,0)),"")</f>
        <v/>
      </c>
      <c r="AA132" s="1" t="str">
        <f>IFERROR(INDEX([1]物品基础表!$A:$A,MATCH(Z132,[1]物品基础表!$B:$B,0)),"")</f>
        <v/>
      </c>
      <c r="AD132" s="1" t="str">
        <f>IFERROR(INDEX([1]物品基础表!$A:$A,MATCH(AC132,[1]物品基础表!$B:$B,0)),"")</f>
        <v/>
      </c>
      <c r="AG132" s="1" t="str">
        <f>IFERROR(INDEX([1]物品基础表!$A:$A,MATCH(AF132,[1]物品基础表!$B:$B,0)),"")</f>
        <v/>
      </c>
      <c r="AJ132" s="1" t="str">
        <f>IFERROR(INDEX([1]物品基础表!$A:$A,MATCH(AI132,[1]物品基础表!$B:$B,0)),"")</f>
        <v/>
      </c>
      <c r="AM132" s="1" t="str">
        <f>IFERROR(INDEX([1]物品基础表!$A:$A,MATCH(AL132,[1]物品基础表!$B:$B,0)),"")</f>
        <v/>
      </c>
      <c r="AP132" s="1" t="str">
        <f>IFERROR(INDEX([1]物品基础表!$A:$A,MATCH(AO132,[1]物品基础表!$B:$B,0)),"")</f>
        <v/>
      </c>
      <c r="AS132" s="1" t="str">
        <f>IFERROR(INDEX([1]物品基础表!$A:$A,MATCH(AR132,[1]物品基础表!$B:$B,0)),"")</f>
        <v/>
      </c>
      <c r="AV132" s="1" t="str">
        <f>IFERROR(INDEX([1]物品基础表!$A:$A,MATCH(AU132,[1]物品基础表!$B:$B,0)),"")</f>
        <v/>
      </c>
      <c r="AY132" s="1" t="str">
        <f>IFERROR(INDEX([1]物品基础表!$A:$A,MATCH(AX132,[1]物品基础表!$B:$B,0)),"")</f>
        <v/>
      </c>
      <c r="BB132" s="1" t="str">
        <f>IFERROR(INDEX([1]物品基础表!$A:$A,MATCH(BA132,[1]物品基础表!$B:$B,0)),"")</f>
        <v/>
      </c>
      <c r="BE132" s="1" t="str">
        <f>IFERROR(INDEX([1]物品基础表!$A:$A,MATCH(BD132,[1]物品基础表!$B:$B,0)),"")</f>
        <v/>
      </c>
      <c r="BH132" s="1" t="str">
        <f>IFERROR(INDEX([1]物品基础表!$A:$A,MATCH(BG132,[1]物品基础表!$B:$B,0)),"")</f>
        <v/>
      </c>
      <c r="BK132" s="1" t="str">
        <f>IFERROR(INDEX([1]物品基础表!$A:$A,MATCH(BJ132,[1]物品基础表!$B:$B,0)),"")</f>
        <v/>
      </c>
    </row>
    <row r="133" spans="1:64">
      <c r="A133" s="39" t="str">
        <f>INDEX([2]活动总表!$A$8:$A$429,MATCH(B133,[2]活动总表!$B$8:$B$429,0))</f>
        <v>腊八-福袋（31-60天）</v>
      </c>
      <c r="B133" s="40">
        <v>411</v>
      </c>
      <c r="C133" s="40">
        <v>24</v>
      </c>
      <c r="D133" s="40"/>
      <c r="E133" s="40"/>
      <c r="F133" s="40" t="s">
        <v>841</v>
      </c>
      <c r="G133" s="40">
        <v>2</v>
      </c>
      <c r="H133" s="40"/>
      <c r="I133" s="40"/>
      <c r="J133" s="57"/>
      <c r="K133" s="1">
        <v>200005</v>
      </c>
      <c r="L133" s="1" t="str">
        <f>IFERROR(INDEX([1]物品基础表!$A:$A,MATCH(K133,[1]物品基础表!$B:$B,0)),"")</f>
        <v>龙魂碎片</v>
      </c>
      <c r="M133" s="1">
        <v>15</v>
      </c>
      <c r="O133" s="1" t="str">
        <f>IFERROR(INDEX([1]物品基础表!$A:$A,MATCH(N133,[1]物品基础表!$B:$B,0)),"")</f>
        <v/>
      </c>
      <c r="R133" s="1" t="str">
        <f>IFERROR(INDEX([1]物品基础表!$A:$A,MATCH(Q133,[1]物品基础表!$B:$B,0)),"")</f>
        <v/>
      </c>
      <c r="U133" s="1" t="str">
        <f>IFERROR(INDEX([1]物品基础表!$A:$A,MATCH(T133,[1]物品基础表!$B:$B,0)),"")</f>
        <v/>
      </c>
      <c r="X133" s="1" t="str">
        <f>IFERROR(INDEX([1]物品基础表!$A:$A,MATCH(W133,[1]物品基础表!$B:$B,0)),"")</f>
        <v/>
      </c>
      <c r="AA133" s="1" t="str">
        <f>IFERROR(INDEX([1]物品基础表!$A:$A,MATCH(Z133,[1]物品基础表!$B:$B,0)),"")</f>
        <v/>
      </c>
      <c r="AD133" s="1" t="str">
        <f>IFERROR(INDEX([1]物品基础表!$A:$A,MATCH(AC133,[1]物品基础表!$B:$B,0)),"")</f>
        <v/>
      </c>
      <c r="AG133" s="1" t="str">
        <f>IFERROR(INDEX([1]物品基础表!$A:$A,MATCH(AF133,[1]物品基础表!$B:$B,0)),"")</f>
        <v/>
      </c>
      <c r="AJ133" s="1" t="str">
        <f>IFERROR(INDEX([1]物品基础表!$A:$A,MATCH(AI133,[1]物品基础表!$B:$B,0)),"")</f>
        <v/>
      </c>
      <c r="AM133" s="1" t="str">
        <f>IFERROR(INDEX([1]物品基础表!$A:$A,MATCH(AL133,[1]物品基础表!$B:$B,0)),"")</f>
        <v/>
      </c>
      <c r="AP133" s="1" t="str">
        <f>IFERROR(INDEX([1]物品基础表!$A:$A,MATCH(AO133,[1]物品基础表!$B:$B,0)),"")</f>
        <v/>
      </c>
      <c r="AS133" s="1" t="str">
        <f>IFERROR(INDEX([1]物品基础表!$A:$A,MATCH(AR133,[1]物品基础表!$B:$B,0)),"")</f>
        <v/>
      </c>
      <c r="AV133" s="1" t="str">
        <f>IFERROR(INDEX([1]物品基础表!$A:$A,MATCH(AU133,[1]物品基础表!$B:$B,0)),"")</f>
        <v/>
      </c>
      <c r="AY133" s="1" t="str">
        <f>IFERROR(INDEX([1]物品基础表!$A:$A,MATCH(AX133,[1]物品基础表!$B:$B,0)),"")</f>
        <v/>
      </c>
      <c r="BB133" s="1" t="str">
        <f>IFERROR(INDEX([1]物品基础表!$A:$A,MATCH(BA133,[1]物品基础表!$B:$B,0)),"")</f>
        <v/>
      </c>
      <c r="BE133" s="1" t="str">
        <f>IFERROR(INDEX([1]物品基础表!$A:$A,MATCH(BD133,[1]物品基础表!$B:$B,0)),"")</f>
        <v/>
      </c>
      <c r="BH133" s="1" t="str">
        <f>IFERROR(INDEX([1]物品基础表!$A:$A,MATCH(BG133,[1]物品基础表!$B:$B,0)),"")</f>
        <v/>
      </c>
      <c r="BK133" s="1" t="str">
        <f>IFERROR(INDEX([1]物品基础表!$A:$A,MATCH(BJ133,[1]物品基础表!$B:$B,0)),"")</f>
        <v/>
      </c>
    </row>
    <row r="134" spans="1:64">
      <c r="A134" s="39" t="str">
        <f>INDEX([2]活动总表!$A$8:$A$429,MATCH(B134,[2]活动总表!$B$8:$B$429,0))</f>
        <v>腊八-福袋（31-60天）</v>
      </c>
      <c r="B134" s="40">
        <v>411</v>
      </c>
      <c r="C134" s="40">
        <v>25</v>
      </c>
      <c r="D134" s="40"/>
      <c r="E134" s="40"/>
      <c r="F134" s="40" t="s">
        <v>846</v>
      </c>
      <c r="G134" s="40">
        <v>2</v>
      </c>
      <c r="H134" s="40"/>
      <c r="I134" s="40"/>
      <c r="J134" s="57"/>
      <c r="K134" s="1">
        <v>200167</v>
      </c>
      <c r="L134" s="1" t="str">
        <f>IFERROR(INDEX([1]物品基础表!$A:$A,MATCH(K134,[1]物品基础表!$B:$B,0)),"")</f>
        <v>黑铁</v>
      </c>
      <c r="M134" s="1">
        <v>200</v>
      </c>
      <c r="O134" s="1" t="str">
        <f>IFERROR(INDEX([1]物品基础表!$A:$A,MATCH(N134,[1]物品基础表!$B:$B,0)),"")</f>
        <v/>
      </c>
      <c r="R134" s="1" t="str">
        <f>IFERROR(INDEX([1]物品基础表!$A:$A,MATCH(Q134,[1]物品基础表!$B:$B,0)),"")</f>
        <v/>
      </c>
      <c r="U134" s="1" t="str">
        <f>IFERROR(INDEX([1]物品基础表!$A:$A,MATCH(T134,[1]物品基础表!$B:$B,0)),"")</f>
        <v/>
      </c>
      <c r="X134" s="1" t="str">
        <f>IFERROR(INDEX([1]物品基础表!$A:$A,MATCH(W134,[1]物品基础表!$B:$B,0)),"")</f>
        <v/>
      </c>
      <c r="AA134" s="1" t="str">
        <f>IFERROR(INDEX([1]物品基础表!$A:$A,MATCH(Z134,[1]物品基础表!$B:$B,0)),"")</f>
        <v/>
      </c>
      <c r="AD134" s="1" t="str">
        <f>IFERROR(INDEX([1]物品基础表!$A:$A,MATCH(AC134,[1]物品基础表!$B:$B,0)),"")</f>
        <v/>
      </c>
      <c r="AG134" s="1" t="str">
        <f>IFERROR(INDEX([1]物品基础表!$A:$A,MATCH(AF134,[1]物品基础表!$B:$B,0)),"")</f>
        <v/>
      </c>
      <c r="AJ134" s="1" t="str">
        <f>IFERROR(INDEX([1]物品基础表!$A:$A,MATCH(AI134,[1]物品基础表!$B:$B,0)),"")</f>
        <v/>
      </c>
      <c r="AM134" s="1" t="str">
        <f>IFERROR(INDEX([1]物品基础表!$A:$A,MATCH(AL134,[1]物品基础表!$B:$B,0)),"")</f>
        <v/>
      </c>
      <c r="AP134" s="1" t="str">
        <f>IFERROR(INDEX([1]物品基础表!$A:$A,MATCH(AO134,[1]物品基础表!$B:$B,0)),"")</f>
        <v/>
      </c>
      <c r="AS134" s="1" t="str">
        <f>IFERROR(INDEX([1]物品基础表!$A:$A,MATCH(AR134,[1]物品基础表!$B:$B,0)),"")</f>
        <v/>
      </c>
      <c r="AV134" s="1" t="str">
        <f>IFERROR(INDEX([1]物品基础表!$A:$A,MATCH(AU134,[1]物品基础表!$B:$B,0)),"")</f>
        <v/>
      </c>
      <c r="AY134" s="1" t="str">
        <f>IFERROR(INDEX([1]物品基础表!$A:$A,MATCH(AX134,[1]物品基础表!$B:$B,0)),"")</f>
        <v/>
      </c>
      <c r="BB134" s="1" t="str">
        <f>IFERROR(INDEX([1]物品基础表!$A:$A,MATCH(BA134,[1]物品基础表!$B:$B,0)),"")</f>
        <v/>
      </c>
      <c r="BE134" s="1" t="str">
        <f>IFERROR(INDEX([1]物品基础表!$A:$A,MATCH(BD134,[1]物品基础表!$B:$B,0)),"")</f>
        <v/>
      </c>
      <c r="BH134" s="1" t="str">
        <f>IFERROR(INDEX([1]物品基础表!$A:$A,MATCH(BG134,[1]物品基础表!$B:$B,0)),"")</f>
        <v/>
      </c>
      <c r="BK134" s="1" t="str">
        <f>IFERROR(INDEX([1]物品基础表!$A:$A,MATCH(BJ134,[1]物品基础表!$B:$B,0)),"")</f>
        <v/>
      </c>
    </row>
    <row r="135" spans="1:64">
      <c r="A135" s="39" t="str">
        <f>INDEX([2]活动总表!$A$8:$A$429,MATCH(B135,[2]活动总表!$B$8:$B$429,0))</f>
        <v>腊八-福袋（31-60天）</v>
      </c>
      <c r="B135" s="40">
        <v>411</v>
      </c>
      <c r="C135" s="40">
        <v>26</v>
      </c>
      <c r="D135" s="40"/>
      <c r="E135" s="40"/>
      <c r="F135" s="40" t="s">
        <v>834</v>
      </c>
      <c r="G135" s="40">
        <v>2</v>
      </c>
      <c r="H135" s="40"/>
      <c r="I135" s="40"/>
      <c r="J135" s="57"/>
      <c r="K135" s="1">
        <v>200167</v>
      </c>
      <c r="L135" s="1" t="str">
        <f>IFERROR(INDEX([1]物品基础表!$A:$A,MATCH(K135,[1]物品基础表!$B:$B,0)),"")</f>
        <v>黑铁</v>
      </c>
      <c r="M135" s="1">
        <v>500</v>
      </c>
      <c r="O135" s="1" t="str">
        <f>IFERROR(INDEX([1]物品基础表!$A:$A,MATCH(N135,[1]物品基础表!$B:$B,0)),"")</f>
        <v/>
      </c>
      <c r="R135" s="1" t="str">
        <f>IFERROR(INDEX([1]物品基础表!$A:$A,MATCH(Q135,[1]物品基础表!$B:$B,0)),"")</f>
        <v/>
      </c>
      <c r="U135" s="1" t="str">
        <f>IFERROR(INDEX([1]物品基础表!$A:$A,MATCH(T135,[1]物品基础表!$B:$B,0)),"")</f>
        <v/>
      </c>
      <c r="X135" s="1" t="str">
        <f>IFERROR(INDEX([1]物品基础表!$A:$A,MATCH(W135,[1]物品基础表!$B:$B,0)),"")</f>
        <v/>
      </c>
      <c r="AA135" s="1" t="str">
        <f>IFERROR(INDEX([1]物品基础表!$A:$A,MATCH(Z135,[1]物品基础表!$B:$B,0)),"")</f>
        <v/>
      </c>
      <c r="AD135" s="1" t="str">
        <f>IFERROR(INDEX([1]物品基础表!$A:$A,MATCH(AC135,[1]物品基础表!$B:$B,0)),"")</f>
        <v/>
      </c>
      <c r="AG135" s="1" t="str">
        <f>IFERROR(INDEX([1]物品基础表!$A:$A,MATCH(AF135,[1]物品基础表!$B:$B,0)),"")</f>
        <v/>
      </c>
      <c r="AJ135" s="1" t="str">
        <f>IFERROR(INDEX([1]物品基础表!$A:$A,MATCH(AI135,[1]物品基础表!$B:$B,0)),"")</f>
        <v/>
      </c>
      <c r="AM135" s="1" t="str">
        <f>IFERROR(INDEX([1]物品基础表!$A:$A,MATCH(AL135,[1]物品基础表!$B:$B,0)),"")</f>
        <v/>
      </c>
      <c r="AP135" s="1" t="str">
        <f>IFERROR(INDEX([1]物品基础表!$A:$A,MATCH(AO135,[1]物品基础表!$B:$B,0)),"")</f>
        <v/>
      </c>
      <c r="AS135" s="1" t="str">
        <f>IFERROR(INDEX([1]物品基础表!$A:$A,MATCH(AR135,[1]物品基础表!$B:$B,0)),"")</f>
        <v/>
      </c>
      <c r="AV135" s="1" t="str">
        <f>IFERROR(INDEX([1]物品基础表!$A:$A,MATCH(AU135,[1]物品基础表!$B:$B,0)),"")</f>
        <v/>
      </c>
      <c r="AY135" s="1" t="str">
        <f>IFERROR(INDEX([1]物品基础表!$A:$A,MATCH(AX135,[1]物品基础表!$B:$B,0)),"")</f>
        <v/>
      </c>
      <c r="BB135" s="1" t="str">
        <f>IFERROR(INDEX([1]物品基础表!$A:$A,MATCH(BA135,[1]物品基础表!$B:$B,0)),"")</f>
        <v/>
      </c>
      <c r="BE135" s="1" t="str">
        <f>IFERROR(INDEX([1]物品基础表!$A:$A,MATCH(BD135,[1]物品基础表!$B:$B,0)),"")</f>
        <v/>
      </c>
      <c r="BH135" s="1" t="str">
        <f>IFERROR(INDEX([1]物品基础表!$A:$A,MATCH(BG135,[1]物品基础表!$B:$B,0)),"")</f>
        <v/>
      </c>
      <c r="BK135" s="1" t="str">
        <f>IFERROR(INDEX([1]物品基础表!$A:$A,MATCH(BJ135,[1]物品基础表!$B:$B,0)),"")</f>
        <v/>
      </c>
    </row>
    <row r="136" spans="1:64">
      <c r="A136" s="39" t="str">
        <f>INDEX([2]活动总表!$A$8:$A$429,MATCH(B136,[2]活动总表!$B$8:$B$429,0))</f>
        <v>腊八-福袋（31-60天）</v>
      </c>
      <c r="B136" s="40">
        <v>411</v>
      </c>
      <c r="C136" s="40">
        <v>27</v>
      </c>
      <c r="D136" s="40"/>
      <c r="E136" s="40"/>
      <c r="F136" s="40" t="s">
        <v>838</v>
      </c>
      <c r="G136" s="40">
        <v>2</v>
      </c>
      <c r="H136" s="40"/>
      <c r="I136" s="40"/>
      <c r="J136" s="57"/>
      <c r="K136" s="1">
        <v>200167</v>
      </c>
      <c r="L136" s="1" t="str">
        <f>IFERROR(INDEX([1]物品基础表!$A:$A,MATCH(K136,[1]物品基础表!$B:$B,0)),"")</f>
        <v>黑铁</v>
      </c>
      <c r="M136" s="1">
        <v>1000</v>
      </c>
      <c r="O136" s="1" t="str">
        <f>IFERROR(INDEX([1]物品基础表!$A:$A,MATCH(N136,[1]物品基础表!$B:$B,0)),"")</f>
        <v/>
      </c>
      <c r="R136" s="1" t="str">
        <f>IFERROR(INDEX([1]物品基础表!$A:$A,MATCH(Q136,[1]物品基础表!$B:$B,0)),"")</f>
        <v/>
      </c>
      <c r="U136" s="1" t="str">
        <f>IFERROR(INDEX([1]物品基础表!$A:$A,MATCH(T136,[1]物品基础表!$B:$B,0)),"")</f>
        <v/>
      </c>
      <c r="X136" s="1" t="str">
        <f>IFERROR(INDEX([1]物品基础表!$A:$A,MATCH(W136,[1]物品基础表!$B:$B,0)),"")</f>
        <v/>
      </c>
      <c r="AA136" s="1" t="str">
        <f>IFERROR(INDEX([1]物品基础表!$A:$A,MATCH(Z136,[1]物品基础表!$B:$B,0)),"")</f>
        <v/>
      </c>
      <c r="AD136" s="1" t="str">
        <f>IFERROR(INDEX([1]物品基础表!$A:$A,MATCH(AC136,[1]物品基础表!$B:$B,0)),"")</f>
        <v/>
      </c>
      <c r="AG136" s="1" t="str">
        <f>IFERROR(INDEX([1]物品基础表!$A:$A,MATCH(AF136,[1]物品基础表!$B:$B,0)),"")</f>
        <v/>
      </c>
      <c r="AJ136" s="1" t="str">
        <f>IFERROR(INDEX([1]物品基础表!$A:$A,MATCH(AI136,[1]物品基础表!$B:$B,0)),"")</f>
        <v/>
      </c>
      <c r="AM136" s="1" t="str">
        <f>IFERROR(INDEX([1]物品基础表!$A:$A,MATCH(AL136,[1]物品基础表!$B:$B,0)),"")</f>
        <v/>
      </c>
      <c r="AP136" s="1" t="str">
        <f>IFERROR(INDEX([1]物品基础表!$A:$A,MATCH(AO136,[1]物品基础表!$B:$B,0)),"")</f>
        <v/>
      </c>
      <c r="AS136" s="1" t="str">
        <f>IFERROR(INDEX([1]物品基础表!$A:$A,MATCH(AR136,[1]物品基础表!$B:$B,0)),"")</f>
        <v/>
      </c>
      <c r="AV136" s="1" t="str">
        <f>IFERROR(INDEX([1]物品基础表!$A:$A,MATCH(AU136,[1]物品基础表!$B:$B,0)),"")</f>
        <v/>
      </c>
      <c r="AY136" s="1" t="str">
        <f>IFERROR(INDEX([1]物品基础表!$A:$A,MATCH(AX136,[1]物品基础表!$B:$B,0)),"")</f>
        <v/>
      </c>
      <c r="BB136" s="1" t="str">
        <f>IFERROR(INDEX([1]物品基础表!$A:$A,MATCH(BA136,[1]物品基础表!$B:$B,0)),"")</f>
        <v/>
      </c>
      <c r="BE136" s="1" t="str">
        <f>IFERROR(INDEX([1]物品基础表!$A:$A,MATCH(BD136,[1]物品基础表!$B:$B,0)),"")</f>
        <v/>
      </c>
      <c r="BH136" s="1" t="str">
        <f>IFERROR(INDEX([1]物品基础表!$A:$A,MATCH(BG136,[1]物品基础表!$B:$B,0)),"")</f>
        <v/>
      </c>
      <c r="BK136" s="1" t="str">
        <f>IFERROR(INDEX([1]物品基础表!$A:$A,MATCH(BJ136,[1]物品基础表!$B:$B,0)),"")</f>
        <v/>
      </c>
    </row>
    <row r="137" spans="1:64">
      <c r="A137" s="39" t="str">
        <f>INDEX([2]活动总表!$A$8:$A$429,MATCH(B137,[2]活动总表!$B$8:$B$429,0))</f>
        <v>腊八-福袋（31-60天）</v>
      </c>
      <c r="B137" s="40">
        <v>411</v>
      </c>
      <c r="C137" s="40">
        <v>28</v>
      </c>
      <c r="D137" s="40"/>
      <c r="E137" s="40"/>
      <c r="F137" s="40" t="s">
        <v>846</v>
      </c>
      <c r="G137" s="40">
        <v>2</v>
      </c>
      <c r="H137" s="40"/>
      <c r="I137" s="40"/>
      <c r="J137" s="57"/>
      <c r="K137" s="1">
        <v>200015</v>
      </c>
      <c r="L137" s="1" t="str">
        <f>IFERROR(INDEX([1]物品基础表!$A:$A,MATCH(K137,[1]物品基础表!$B:$B,0)),"")</f>
        <v>特戒碎片</v>
      </c>
      <c r="M137" s="1">
        <v>50</v>
      </c>
      <c r="O137" s="1" t="str">
        <f>IFERROR(INDEX([1]物品基础表!$A:$A,MATCH(N137,[1]物品基础表!$B:$B,0)),"")</f>
        <v/>
      </c>
      <c r="R137" s="1" t="str">
        <f>IFERROR(INDEX([1]物品基础表!$A:$A,MATCH(Q137,[1]物品基础表!$B:$B,0)),"")</f>
        <v/>
      </c>
      <c r="U137" s="1" t="str">
        <f>IFERROR(INDEX([1]物品基础表!$A:$A,MATCH(T137,[1]物品基础表!$B:$B,0)),"")</f>
        <v/>
      </c>
      <c r="X137" s="1" t="str">
        <f>IFERROR(INDEX([1]物品基础表!$A:$A,MATCH(W137,[1]物品基础表!$B:$B,0)),"")</f>
        <v/>
      </c>
      <c r="AA137" s="1" t="str">
        <f>IFERROR(INDEX([1]物品基础表!$A:$A,MATCH(Z137,[1]物品基础表!$B:$B,0)),"")</f>
        <v/>
      </c>
      <c r="AD137" s="1" t="str">
        <f>IFERROR(INDEX([1]物品基础表!$A:$A,MATCH(AC137,[1]物品基础表!$B:$B,0)),"")</f>
        <v/>
      </c>
      <c r="AG137" s="1" t="str">
        <f>IFERROR(INDEX([1]物品基础表!$A:$A,MATCH(AF137,[1]物品基础表!$B:$B,0)),"")</f>
        <v/>
      </c>
      <c r="AJ137" s="1" t="str">
        <f>IFERROR(INDEX([1]物品基础表!$A:$A,MATCH(AI137,[1]物品基础表!$B:$B,0)),"")</f>
        <v/>
      </c>
      <c r="AM137" s="1" t="str">
        <f>IFERROR(INDEX([1]物品基础表!$A:$A,MATCH(AL137,[1]物品基础表!$B:$B,0)),"")</f>
        <v/>
      </c>
      <c r="AP137" s="1" t="str">
        <f>IFERROR(INDEX([1]物品基础表!$A:$A,MATCH(AO137,[1]物品基础表!$B:$B,0)),"")</f>
        <v/>
      </c>
      <c r="AS137" s="1" t="str">
        <f>IFERROR(INDEX([1]物品基础表!$A:$A,MATCH(AR137,[1]物品基础表!$B:$B,0)),"")</f>
        <v/>
      </c>
      <c r="AV137" s="1" t="str">
        <f>IFERROR(INDEX([1]物品基础表!$A:$A,MATCH(AU137,[1]物品基础表!$B:$B,0)),"")</f>
        <v/>
      </c>
      <c r="AY137" s="1" t="str">
        <f>IFERROR(INDEX([1]物品基础表!$A:$A,MATCH(AX137,[1]物品基础表!$B:$B,0)),"")</f>
        <v/>
      </c>
      <c r="BB137" s="1" t="str">
        <f>IFERROR(INDEX([1]物品基础表!$A:$A,MATCH(BA137,[1]物品基础表!$B:$B,0)),"")</f>
        <v/>
      </c>
      <c r="BE137" s="1" t="str">
        <f>IFERROR(INDEX([1]物品基础表!$A:$A,MATCH(BD137,[1]物品基础表!$B:$B,0)),"")</f>
        <v/>
      </c>
      <c r="BH137" s="1" t="str">
        <f>IFERROR(INDEX([1]物品基础表!$A:$A,MATCH(BG137,[1]物品基础表!$B:$B,0)),"")</f>
        <v/>
      </c>
      <c r="BK137" s="1" t="str">
        <f>IFERROR(INDEX([1]物品基础表!$A:$A,MATCH(BJ137,[1]物品基础表!$B:$B,0)),"")</f>
        <v/>
      </c>
    </row>
    <row r="138" spans="1:64">
      <c r="A138" s="39" t="str">
        <f>INDEX([2]活动总表!$A$8:$A$429,MATCH(B138,[2]活动总表!$B$8:$B$429,0))</f>
        <v>腊八-福袋（31-60天）</v>
      </c>
      <c r="B138" s="40">
        <v>411</v>
      </c>
      <c r="C138" s="40">
        <v>29</v>
      </c>
      <c r="D138" s="40"/>
      <c r="E138" s="40"/>
      <c r="F138" s="40" t="s">
        <v>847</v>
      </c>
      <c r="G138" s="40">
        <v>2</v>
      </c>
      <c r="H138" s="40"/>
      <c r="I138" s="40"/>
      <c r="J138" s="57"/>
      <c r="K138" s="1">
        <v>200015</v>
      </c>
      <c r="L138" s="1" t="str">
        <f>IFERROR(INDEX([1]物品基础表!$A:$A,MATCH(K138,[1]物品基础表!$B:$B,0)),"")</f>
        <v>特戒碎片</v>
      </c>
      <c r="M138" s="1">
        <v>80</v>
      </c>
      <c r="O138" s="1" t="str">
        <f>IFERROR(INDEX([1]物品基础表!$A:$A,MATCH(N138,[1]物品基础表!$B:$B,0)),"")</f>
        <v/>
      </c>
      <c r="R138" s="1" t="str">
        <f>IFERROR(INDEX([1]物品基础表!$A:$A,MATCH(Q138,[1]物品基础表!$B:$B,0)),"")</f>
        <v/>
      </c>
      <c r="U138" s="1" t="str">
        <f>IFERROR(INDEX([1]物品基础表!$A:$A,MATCH(T138,[1]物品基础表!$B:$B,0)),"")</f>
        <v/>
      </c>
      <c r="X138" s="1" t="str">
        <f>IFERROR(INDEX([1]物品基础表!$A:$A,MATCH(W138,[1]物品基础表!$B:$B,0)),"")</f>
        <v/>
      </c>
      <c r="AA138" s="1" t="str">
        <f>IFERROR(INDEX([1]物品基础表!$A:$A,MATCH(Z138,[1]物品基础表!$B:$B,0)),"")</f>
        <v/>
      </c>
      <c r="AD138" s="1" t="str">
        <f>IFERROR(INDEX([1]物品基础表!$A:$A,MATCH(AC138,[1]物品基础表!$B:$B,0)),"")</f>
        <v/>
      </c>
      <c r="AG138" s="1" t="str">
        <f>IFERROR(INDEX([1]物品基础表!$A:$A,MATCH(AF138,[1]物品基础表!$B:$B,0)),"")</f>
        <v/>
      </c>
      <c r="AJ138" s="1" t="str">
        <f>IFERROR(INDEX([1]物品基础表!$A:$A,MATCH(AI138,[1]物品基础表!$B:$B,0)),"")</f>
        <v/>
      </c>
      <c r="AM138" s="1" t="str">
        <f>IFERROR(INDEX([1]物品基础表!$A:$A,MATCH(AL138,[1]物品基础表!$B:$B,0)),"")</f>
        <v/>
      </c>
      <c r="AP138" s="1" t="str">
        <f>IFERROR(INDEX([1]物品基础表!$A:$A,MATCH(AO138,[1]物品基础表!$B:$B,0)),"")</f>
        <v/>
      </c>
      <c r="AS138" s="1" t="str">
        <f>IFERROR(INDEX([1]物品基础表!$A:$A,MATCH(AR138,[1]物品基础表!$B:$B,0)),"")</f>
        <v/>
      </c>
      <c r="AV138" s="1" t="str">
        <f>IFERROR(INDEX([1]物品基础表!$A:$A,MATCH(AU138,[1]物品基础表!$B:$B,0)),"")</f>
        <v/>
      </c>
      <c r="AY138" s="1" t="str">
        <f>IFERROR(INDEX([1]物品基础表!$A:$A,MATCH(AX138,[1]物品基础表!$B:$B,0)),"")</f>
        <v/>
      </c>
      <c r="BB138" s="1" t="str">
        <f>IFERROR(INDEX([1]物品基础表!$A:$A,MATCH(BA138,[1]物品基础表!$B:$B,0)),"")</f>
        <v/>
      </c>
      <c r="BE138" s="1" t="str">
        <f>IFERROR(INDEX([1]物品基础表!$A:$A,MATCH(BD138,[1]物品基础表!$B:$B,0)),"")</f>
        <v/>
      </c>
      <c r="BH138" s="1" t="str">
        <f>IFERROR(INDEX([1]物品基础表!$A:$A,MATCH(BG138,[1]物品基础表!$B:$B,0)),"")</f>
        <v/>
      </c>
      <c r="BK138" s="1" t="str">
        <f>IFERROR(INDEX([1]物品基础表!$A:$A,MATCH(BJ138,[1]物品基础表!$B:$B,0)),"")</f>
        <v/>
      </c>
    </row>
    <row r="139" spans="1:64">
      <c r="A139" s="39" t="str">
        <f>INDEX([2]活动总表!$A$8:$A$429,MATCH(B139,[2]活动总表!$B$8:$B$429,0))</f>
        <v>腊八-福袋（31-60天）</v>
      </c>
      <c r="B139" s="40">
        <v>411</v>
      </c>
      <c r="C139" s="40">
        <v>30</v>
      </c>
      <c r="D139" s="40"/>
      <c r="E139" s="40"/>
      <c r="F139" s="40" t="s">
        <v>848</v>
      </c>
      <c r="G139" s="40">
        <v>2</v>
      </c>
      <c r="H139" s="40"/>
      <c r="I139" s="40"/>
      <c r="J139" s="57"/>
      <c r="K139" s="1">
        <v>200015</v>
      </c>
      <c r="L139" s="1" t="str">
        <f>IFERROR(INDEX([1]物品基础表!$A:$A,MATCH(K139,[1]物品基础表!$B:$B,0)),"")</f>
        <v>特戒碎片</v>
      </c>
      <c r="M139" s="1">
        <v>100</v>
      </c>
      <c r="O139" s="1" t="str">
        <f>IFERROR(INDEX([1]物品基础表!$A:$A,MATCH(N139,[1]物品基础表!$B:$B,0)),"")</f>
        <v/>
      </c>
      <c r="R139" s="1" t="str">
        <f>IFERROR(INDEX([1]物品基础表!$A:$A,MATCH(Q139,[1]物品基础表!$B:$B,0)),"")</f>
        <v/>
      </c>
      <c r="U139" s="1" t="str">
        <f>IFERROR(INDEX([1]物品基础表!$A:$A,MATCH(T139,[1]物品基础表!$B:$B,0)),"")</f>
        <v/>
      </c>
      <c r="X139" s="1" t="str">
        <f>IFERROR(INDEX([1]物品基础表!$A:$A,MATCH(W139,[1]物品基础表!$B:$B,0)),"")</f>
        <v/>
      </c>
      <c r="AA139" s="1" t="str">
        <f>IFERROR(INDEX([1]物品基础表!$A:$A,MATCH(Z139,[1]物品基础表!$B:$B,0)),"")</f>
        <v/>
      </c>
      <c r="AD139" s="1" t="str">
        <f>IFERROR(INDEX([1]物品基础表!$A:$A,MATCH(AC139,[1]物品基础表!$B:$B,0)),"")</f>
        <v/>
      </c>
      <c r="AG139" s="1" t="str">
        <f>IFERROR(INDEX([1]物品基础表!$A:$A,MATCH(AF139,[1]物品基础表!$B:$B,0)),"")</f>
        <v/>
      </c>
      <c r="AJ139" s="1" t="str">
        <f>IFERROR(INDEX([1]物品基础表!$A:$A,MATCH(AI139,[1]物品基础表!$B:$B,0)),"")</f>
        <v/>
      </c>
      <c r="AM139" s="1" t="str">
        <f>IFERROR(INDEX([1]物品基础表!$A:$A,MATCH(AL139,[1]物品基础表!$B:$B,0)),"")</f>
        <v/>
      </c>
      <c r="AP139" s="1" t="str">
        <f>IFERROR(INDEX([1]物品基础表!$A:$A,MATCH(AO139,[1]物品基础表!$B:$B,0)),"")</f>
        <v/>
      </c>
      <c r="AS139" s="1" t="str">
        <f>IFERROR(INDEX([1]物品基础表!$A:$A,MATCH(AR139,[1]物品基础表!$B:$B,0)),"")</f>
        <v/>
      </c>
      <c r="AV139" s="1" t="str">
        <f>IFERROR(INDEX([1]物品基础表!$A:$A,MATCH(AU139,[1]物品基础表!$B:$B,0)),"")</f>
        <v/>
      </c>
      <c r="AY139" s="1" t="str">
        <f>IFERROR(INDEX([1]物品基础表!$A:$A,MATCH(AX139,[1]物品基础表!$B:$B,0)),"")</f>
        <v/>
      </c>
      <c r="BB139" s="1" t="str">
        <f>IFERROR(INDEX([1]物品基础表!$A:$A,MATCH(BA139,[1]物品基础表!$B:$B,0)),"")</f>
        <v/>
      </c>
      <c r="BE139" s="1" t="str">
        <f>IFERROR(INDEX([1]物品基础表!$A:$A,MATCH(BD139,[1]物品基础表!$B:$B,0)),"")</f>
        <v/>
      </c>
      <c r="BH139" s="1" t="str">
        <f>IFERROR(INDEX([1]物品基础表!$A:$A,MATCH(BG139,[1]物品基础表!$B:$B,0)),"")</f>
        <v/>
      </c>
      <c r="BK139" s="1" t="str">
        <f>IFERROR(INDEX([1]物品基础表!$A:$A,MATCH(BJ139,[1]物品基础表!$B:$B,0)),"")</f>
        <v/>
      </c>
    </row>
    <row r="140" spans="1:64">
      <c r="A140" s="39" t="str">
        <f>INDEX([2]活动总表!$A$8:$A$429,MATCH(B140,[2]活动总表!$B$8:$B$429,0))</f>
        <v>腊八-福袋（61-无限天）</v>
      </c>
      <c r="B140" s="40">
        <v>418</v>
      </c>
      <c r="C140" s="40">
        <v>0</v>
      </c>
      <c r="D140" s="40"/>
      <c r="E140" s="40">
        <v>998</v>
      </c>
      <c r="F140" s="40"/>
      <c r="G140" s="40">
        <v>2</v>
      </c>
      <c r="H140" s="40"/>
      <c r="I140" s="40"/>
      <c r="J140" s="57"/>
      <c r="L140" s="1" t="str">
        <f>IFERROR(INDEX([1]物品基础表!$A:$A,MATCH(K140,[1]物品基础表!$B:$B,0)),"")</f>
        <v/>
      </c>
      <c r="N140" s="1">
        <v>204116</v>
      </c>
      <c r="O140" s="1" t="str">
        <f>IFERROR(INDEX([1]物品基础表!$A:$A,MATCH(N140,[1]物品基础表!$B:$B,0)),"")</f>
        <v>腊八福袋1</v>
      </c>
      <c r="P140" s="1">
        <v>1</v>
      </c>
      <c r="Q140" s="1">
        <v>204117</v>
      </c>
      <c r="R140" s="1" t="str">
        <f>IFERROR(INDEX([1]物品基础表!$A:$A,MATCH(Q140,[1]物品基础表!$B:$B,0)),"")</f>
        <v>腊八福袋2</v>
      </c>
      <c r="S140" s="1">
        <v>1</v>
      </c>
      <c r="T140" s="1">
        <v>204118</v>
      </c>
      <c r="U140" s="1" t="str">
        <f>IFERROR(INDEX([1]物品基础表!$A:$A,MATCH(T140,[1]物品基础表!$B:$B,0)),"")</f>
        <v>腊八福袋3</v>
      </c>
      <c r="V140" s="1">
        <v>1</v>
      </c>
      <c r="W140" s="1">
        <v>204119</v>
      </c>
      <c r="X140" s="1" t="str">
        <f>IFERROR(INDEX([1]物品基础表!$A:$A,MATCH(W140,[1]物品基础表!$B:$B,0)),"")</f>
        <v>腊八福袋4</v>
      </c>
      <c r="Y140" s="1">
        <v>1</v>
      </c>
      <c r="Z140" s="1">
        <v>204120</v>
      </c>
      <c r="AA140" s="1" t="str">
        <f>IFERROR(INDEX([1]物品基础表!$A:$A,MATCH(Z140,[1]物品基础表!$B:$B,0)),"")</f>
        <v>腊八福袋5</v>
      </c>
      <c r="AB140" s="1">
        <v>1</v>
      </c>
      <c r="AD140" s="1" t="str">
        <f>IFERROR(INDEX([1]物品基础表!$A:$A,MATCH(AC140,[1]物品基础表!$B:$B,0)),"")</f>
        <v/>
      </c>
      <c r="AF140" s="1">
        <v>204121</v>
      </c>
      <c r="AG140" s="1" t="str">
        <f>IFERROR(INDEX([1]物品基础表!$A:$A,MATCH(AF140,[1]物品基础表!$B:$B,0)),"")</f>
        <v>腊八福袋6</v>
      </c>
      <c r="AH140" s="1">
        <v>1</v>
      </c>
      <c r="AI140" s="1">
        <v>204122</v>
      </c>
      <c r="AJ140" s="1" t="str">
        <f>IFERROR(INDEX([1]物品基础表!$A:$A,MATCH(AI140,[1]物品基础表!$B:$B,0)),"")</f>
        <v>腊八福袋7</v>
      </c>
      <c r="AK140" s="1">
        <v>1</v>
      </c>
      <c r="AL140" s="1">
        <v>204123</v>
      </c>
      <c r="AM140" s="1" t="str">
        <f>IFERROR(INDEX([1]物品基础表!$A:$A,MATCH(AL140,[1]物品基础表!$B:$B,0)),"")</f>
        <v>腊八福袋8</v>
      </c>
      <c r="AN140" s="1">
        <v>1</v>
      </c>
      <c r="AO140" s="1">
        <v>204124</v>
      </c>
      <c r="AP140" s="1" t="str">
        <f>IFERROR(INDEX([1]物品基础表!$A:$A,MATCH(AO140,[1]物品基础表!$B:$B,0)),"")</f>
        <v>腊八福袋9</v>
      </c>
      <c r="AQ140" s="1">
        <v>1</v>
      </c>
      <c r="AR140" s="1">
        <v>204125</v>
      </c>
      <c r="AS140" s="1" t="str">
        <f>IFERROR(INDEX([1]物品基础表!$A:$A,MATCH(AR140,[1]物品基础表!$B:$B,0)),"")</f>
        <v>腊八福袋10</v>
      </c>
      <c r="AT140" s="1">
        <v>1</v>
      </c>
      <c r="AU140" s="1">
        <v>204126</v>
      </c>
      <c r="AV140" s="1" t="str">
        <f>IFERROR(INDEX([1]物品基础表!$A:$A,MATCH(AU140,[1]物品基础表!$B:$B,0)),"")</f>
        <v>腊八福袋11</v>
      </c>
      <c r="AW140" s="1">
        <v>1</v>
      </c>
      <c r="AX140" s="1">
        <v>204127</v>
      </c>
      <c r="AY140" s="1" t="str">
        <f>IFERROR(INDEX([1]物品基础表!$A:$A,MATCH(AX140,[1]物品基础表!$B:$B,0)),"")</f>
        <v>腊八福袋12</v>
      </c>
      <c r="AZ140" s="1">
        <v>1</v>
      </c>
      <c r="BA140" s="1">
        <v>204128</v>
      </c>
      <c r="BB140" s="1" t="str">
        <f>IFERROR(INDEX([1]物品基础表!$A:$A,MATCH(BA140,[1]物品基础表!$B:$B,0)),"")</f>
        <v>腊八福袋13</v>
      </c>
      <c r="BC140" s="1">
        <v>1</v>
      </c>
      <c r="BD140" s="1">
        <v>204129</v>
      </c>
      <c r="BE140" s="1" t="str">
        <f>IFERROR(INDEX([1]物品基础表!$A:$A,MATCH(BD140,[1]物品基础表!$B:$B,0)),"")</f>
        <v>腊八福袋14</v>
      </c>
      <c r="BF140" s="1">
        <v>1</v>
      </c>
      <c r="BG140" s="1">
        <v>204130</v>
      </c>
      <c r="BH140" s="1" t="str">
        <f>IFERROR(INDEX([1]物品基础表!$A:$A,MATCH(BG140,[1]物品基础表!$B:$B,0)),"")</f>
        <v>腊八福袋15</v>
      </c>
      <c r="BI140" s="1">
        <v>1</v>
      </c>
      <c r="BJ140" s="1">
        <v>204131</v>
      </c>
      <c r="BK140" s="1" t="str">
        <f>IFERROR(INDEX([1]物品基础表!$A:$A,MATCH(BJ140,[1]物品基础表!$B:$B,0)),"")</f>
        <v>腊八福袋16</v>
      </c>
      <c r="BL140" s="1">
        <v>1</v>
      </c>
    </row>
    <row r="141" spans="1:64">
      <c r="A141" s="39" t="str">
        <f>INDEX([2]活动总表!$A$8:$A$429,MATCH(B141,[2]活动总表!$B$8:$B$429,0))</f>
        <v>腊八-福袋（61-无限天）</v>
      </c>
      <c r="B141" s="40">
        <v>418</v>
      </c>
      <c r="C141" s="40">
        <v>1</v>
      </c>
      <c r="D141" s="40"/>
      <c r="E141" s="40"/>
      <c r="F141" s="40" t="s">
        <v>825</v>
      </c>
      <c r="G141" s="40">
        <v>2</v>
      </c>
      <c r="H141" s="40"/>
      <c r="I141" s="40"/>
      <c r="J141" s="57"/>
      <c r="K141" s="1">
        <v>204134</v>
      </c>
      <c r="L141" s="1" t="str">
        <f>IFERROR(INDEX([1]物品基础表!$A:$A,MATCH(K141,[1]物品基础表!$B:$B,0)),"")</f>
        <v>金色图鉴包·倾国倾城</v>
      </c>
      <c r="M141" s="1">
        <v>1</v>
      </c>
      <c r="O141" s="1" t="str">
        <f>IFERROR(INDEX([1]物品基础表!$A:$A,MATCH(N141,[1]物品基础表!$B:$B,0)),"")</f>
        <v/>
      </c>
      <c r="R141" s="1" t="str">
        <f>IFERROR(INDEX([1]物品基础表!$A:$A,MATCH(Q141,[1]物品基础表!$B:$B,0)),"")</f>
        <v/>
      </c>
      <c r="U141" s="1" t="str">
        <f>IFERROR(INDEX([1]物品基础表!$A:$A,MATCH(T141,[1]物品基础表!$B:$B,0)),"")</f>
        <v/>
      </c>
      <c r="X141" s="1" t="str">
        <f>IFERROR(INDEX([1]物品基础表!$A:$A,MATCH(W141,[1]物品基础表!$B:$B,0)),"")</f>
        <v/>
      </c>
      <c r="AA141" s="1" t="str">
        <f>IFERROR(INDEX([1]物品基础表!$A:$A,MATCH(Z141,[1]物品基础表!$B:$B,0)),"")</f>
        <v/>
      </c>
      <c r="AD141" s="1" t="str">
        <f>IFERROR(INDEX([1]物品基础表!$A:$A,MATCH(AC141,[1]物品基础表!$B:$B,0)),"")</f>
        <v/>
      </c>
      <c r="AG141" s="1" t="str">
        <f>IFERROR(INDEX([1]物品基础表!$A:$A,MATCH(AF141,[1]物品基础表!$B:$B,0)),"")</f>
        <v/>
      </c>
      <c r="AJ141" s="1" t="str">
        <f>IFERROR(INDEX([1]物品基础表!$A:$A,MATCH(AI141,[1]物品基础表!$B:$B,0)),"")</f>
        <v/>
      </c>
      <c r="AM141" s="1" t="str">
        <f>IFERROR(INDEX([1]物品基础表!$A:$A,MATCH(AL141,[1]物品基础表!$B:$B,0)),"")</f>
        <v/>
      </c>
      <c r="AP141" s="1" t="str">
        <f>IFERROR(INDEX([1]物品基础表!$A:$A,MATCH(AO141,[1]物品基础表!$B:$B,0)),"")</f>
        <v/>
      </c>
      <c r="AS141" s="1" t="str">
        <f>IFERROR(INDEX([1]物品基础表!$A:$A,MATCH(AR141,[1]物品基础表!$B:$B,0)),"")</f>
        <v/>
      </c>
      <c r="AV141" s="1" t="str">
        <f>IFERROR(INDEX([1]物品基础表!$A:$A,MATCH(AU141,[1]物品基础表!$B:$B,0)),"")</f>
        <v/>
      </c>
      <c r="AY141" s="1" t="str">
        <f>IFERROR(INDEX([1]物品基础表!$A:$A,MATCH(AX141,[1]物品基础表!$B:$B,0)),"")</f>
        <v/>
      </c>
      <c r="BB141" s="1" t="str">
        <f>IFERROR(INDEX([1]物品基础表!$A:$A,MATCH(BA141,[1]物品基础表!$B:$B,0)),"")</f>
        <v/>
      </c>
      <c r="BE141" s="1" t="str">
        <f>IFERROR(INDEX([1]物品基础表!$A:$A,MATCH(BD141,[1]物品基础表!$B:$B,0)),"")</f>
        <v/>
      </c>
      <c r="BH141" s="1" t="str">
        <f>IFERROR(INDEX([1]物品基础表!$A:$A,MATCH(BG141,[1]物品基础表!$B:$B,0)),"")</f>
        <v/>
      </c>
      <c r="BK141" s="1" t="str">
        <f>IFERROR(INDEX([1]物品基础表!$A:$A,MATCH(BJ141,[1]物品基础表!$B:$B,0)),"")</f>
        <v/>
      </c>
    </row>
    <row r="142" spans="1:64">
      <c r="A142" s="39" t="str">
        <f>INDEX([2]活动总表!$A$8:$A$429,MATCH(B142,[2]活动总表!$B$8:$B$429,0))</f>
        <v>腊八-福袋（61-无限天）</v>
      </c>
      <c r="B142" s="40">
        <v>418</v>
      </c>
      <c r="C142" s="40">
        <v>2</v>
      </c>
      <c r="D142" s="40"/>
      <c r="E142" s="40"/>
      <c r="F142" s="40" t="s">
        <v>843</v>
      </c>
      <c r="G142" s="40">
        <v>2</v>
      </c>
      <c r="H142" s="40"/>
      <c r="I142" s="40"/>
      <c r="J142" s="57"/>
      <c r="K142" s="1">
        <v>204133</v>
      </c>
      <c r="L142" s="1" t="str">
        <f>IFERROR(INDEX([1]物品基础表!$A:$A,MATCH(K142,[1]物品基础表!$B:$B,0)),"")</f>
        <v>红色图鉴包·倾国倾城</v>
      </c>
      <c r="M142" s="1">
        <v>1</v>
      </c>
      <c r="O142" s="1" t="str">
        <f>IFERROR(INDEX([1]物品基础表!$A:$A,MATCH(N142,[1]物品基础表!$B:$B,0)),"")</f>
        <v/>
      </c>
      <c r="R142" s="1" t="str">
        <f>IFERROR(INDEX([1]物品基础表!$A:$A,MATCH(Q142,[1]物品基础表!$B:$B,0)),"")</f>
        <v/>
      </c>
      <c r="U142" s="1" t="str">
        <f>IFERROR(INDEX([1]物品基础表!$A:$A,MATCH(T142,[1]物品基础表!$B:$B,0)),"")</f>
        <v/>
      </c>
      <c r="X142" s="1" t="str">
        <f>IFERROR(INDEX([1]物品基础表!$A:$A,MATCH(W142,[1]物品基础表!$B:$B,0)),"")</f>
        <v/>
      </c>
      <c r="AA142" s="1" t="str">
        <f>IFERROR(INDEX([1]物品基础表!$A:$A,MATCH(Z142,[1]物品基础表!$B:$B,0)),"")</f>
        <v/>
      </c>
      <c r="AD142" s="1" t="str">
        <f>IFERROR(INDEX([1]物品基础表!$A:$A,MATCH(AC142,[1]物品基础表!$B:$B,0)),"")</f>
        <v/>
      </c>
      <c r="AG142" s="1" t="str">
        <f>IFERROR(INDEX([1]物品基础表!$A:$A,MATCH(AF142,[1]物品基础表!$B:$B,0)),"")</f>
        <v/>
      </c>
      <c r="AJ142" s="1" t="str">
        <f>IFERROR(INDEX([1]物品基础表!$A:$A,MATCH(AI142,[1]物品基础表!$B:$B,0)),"")</f>
        <v/>
      </c>
      <c r="AM142" s="1" t="str">
        <f>IFERROR(INDEX([1]物品基础表!$A:$A,MATCH(AL142,[1]物品基础表!$B:$B,0)),"")</f>
        <v/>
      </c>
      <c r="AP142" s="1" t="str">
        <f>IFERROR(INDEX([1]物品基础表!$A:$A,MATCH(AO142,[1]物品基础表!$B:$B,0)),"")</f>
        <v/>
      </c>
      <c r="AS142" s="1" t="str">
        <f>IFERROR(INDEX([1]物品基础表!$A:$A,MATCH(AR142,[1]物品基础表!$B:$B,0)),"")</f>
        <v/>
      </c>
      <c r="AV142" s="1" t="str">
        <f>IFERROR(INDEX([1]物品基础表!$A:$A,MATCH(AU142,[1]物品基础表!$B:$B,0)),"")</f>
        <v/>
      </c>
      <c r="AY142" s="1" t="str">
        <f>IFERROR(INDEX([1]物品基础表!$A:$A,MATCH(AX142,[1]物品基础表!$B:$B,0)),"")</f>
        <v/>
      </c>
      <c r="BB142" s="1" t="str">
        <f>IFERROR(INDEX([1]物品基础表!$A:$A,MATCH(BA142,[1]物品基础表!$B:$B,0)),"")</f>
        <v/>
      </c>
      <c r="BE142" s="1" t="str">
        <f>IFERROR(INDEX([1]物品基础表!$A:$A,MATCH(BD142,[1]物品基础表!$B:$B,0)),"")</f>
        <v/>
      </c>
      <c r="BH142" s="1" t="str">
        <f>IFERROR(INDEX([1]物品基础表!$A:$A,MATCH(BG142,[1]物品基础表!$B:$B,0)),"")</f>
        <v/>
      </c>
      <c r="BK142" s="1" t="str">
        <f>IFERROR(INDEX([1]物品基础表!$A:$A,MATCH(BJ142,[1]物品基础表!$B:$B,0)),"")</f>
        <v/>
      </c>
    </row>
    <row r="143" spans="1:64">
      <c r="A143" s="39" t="str">
        <f>INDEX([2]活动总表!$A$8:$A$429,MATCH(B143,[2]活动总表!$B$8:$B$429,0))</f>
        <v>腊八-福袋（61-无限天）</v>
      </c>
      <c r="B143" s="40">
        <v>418</v>
      </c>
      <c r="C143" s="40">
        <v>3</v>
      </c>
      <c r="D143" s="40"/>
      <c r="E143" s="40"/>
      <c r="F143" s="40" t="s">
        <v>827</v>
      </c>
      <c r="G143" s="40">
        <v>2</v>
      </c>
      <c r="H143" s="40"/>
      <c r="I143" s="40"/>
      <c r="J143" s="57"/>
      <c r="K143" s="1">
        <v>204138</v>
      </c>
      <c r="L143" s="1" t="str">
        <f>IFERROR(INDEX([1]物品基础表!$A:$A,MATCH(K143,[1]物品基础表!$B:$B,0)),"")</f>
        <v>轮回宝箱（10转）</v>
      </c>
      <c r="M143" s="1">
        <v>1</v>
      </c>
      <c r="O143" s="1" t="str">
        <f>IFERROR(INDEX([1]物品基础表!$A:$A,MATCH(N143,[1]物品基础表!$B:$B,0)),"")</f>
        <v/>
      </c>
      <c r="R143" s="1" t="str">
        <f>IFERROR(INDEX([1]物品基础表!$A:$A,MATCH(Q143,[1]物品基础表!$B:$B,0)),"")</f>
        <v/>
      </c>
      <c r="U143" s="1" t="str">
        <f>IFERROR(INDEX([1]物品基础表!$A:$A,MATCH(T143,[1]物品基础表!$B:$B,0)),"")</f>
        <v/>
      </c>
      <c r="X143" s="1" t="str">
        <f>IFERROR(INDEX([1]物品基础表!$A:$A,MATCH(W143,[1]物品基础表!$B:$B,0)),"")</f>
        <v/>
      </c>
      <c r="AA143" s="1" t="str">
        <f>IFERROR(INDEX([1]物品基础表!$A:$A,MATCH(Z143,[1]物品基础表!$B:$B,0)),"")</f>
        <v/>
      </c>
      <c r="AD143" s="1" t="str">
        <f>IFERROR(INDEX([1]物品基础表!$A:$A,MATCH(AC143,[1]物品基础表!$B:$B,0)),"")</f>
        <v/>
      </c>
      <c r="AG143" s="1" t="str">
        <f>IFERROR(INDEX([1]物品基础表!$A:$A,MATCH(AF143,[1]物品基础表!$B:$B,0)),"")</f>
        <v/>
      </c>
      <c r="AJ143" s="1" t="str">
        <f>IFERROR(INDEX([1]物品基础表!$A:$A,MATCH(AI143,[1]物品基础表!$B:$B,0)),"")</f>
        <v/>
      </c>
      <c r="AM143" s="1" t="str">
        <f>IFERROR(INDEX([1]物品基础表!$A:$A,MATCH(AL143,[1]物品基础表!$B:$B,0)),"")</f>
        <v/>
      </c>
      <c r="AP143" s="1" t="str">
        <f>IFERROR(INDEX([1]物品基础表!$A:$A,MATCH(AO143,[1]物品基础表!$B:$B,0)),"")</f>
        <v/>
      </c>
      <c r="AS143" s="1" t="str">
        <f>IFERROR(INDEX([1]物品基础表!$A:$A,MATCH(AR143,[1]物品基础表!$B:$B,0)),"")</f>
        <v/>
      </c>
      <c r="AV143" s="1" t="str">
        <f>IFERROR(INDEX([1]物品基础表!$A:$A,MATCH(AU143,[1]物品基础表!$B:$B,0)),"")</f>
        <v/>
      </c>
      <c r="AY143" s="1" t="str">
        <f>IFERROR(INDEX([1]物品基础表!$A:$A,MATCH(AX143,[1]物品基础表!$B:$B,0)),"")</f>
        <v/>
      </c>
      <c r="BB143" s="1" t="str">
        <f>IFERROR(INDEX([1]物品基础表!$A:$A,MATCH(BA143,[1]物品基础表!$B:$B,0)),"")</f>
        <v/>
      </c>
      <c r="BE143" s="1" t="str">
        <f>IFERROR(INDEX([1]物品基础表!$A:$A,MATCH(BD143,[1]物品基础表!$B:$B,0)),"")</f>
        <v/>
      </c>
      <c r="BH143" s="1" t="str">
        <f>IFERROR(INDEX([1]物品基础表!$A:$A,MATCH(BG143,[1]物品基础表!$B:$B,0)),"")</f>
        <v/>
      </c>
      <c r="BK143" s="1" t="str">
        <f>IFERROR(INDEX([1]物品基础表!$A:$A,MATCH(BJ143,[1]物品基础表!$B:$B,0)),"")</f>
        <v/>
      </c>
    </row>
    <row r="144" spans="1:64">
      <c r="A144" s="39" t="str">
        <f>INDEX([2]活动总表!$A$8:$A$429,MATCH(B144,[2]活动总表!$B$8:$B$429,0))</f>
        <v>腊八-福袋（61-无限天）</v>
      </c>
      <c r="B144" s="40">
        <v>418</v>
      </c>
      <c r="C144" s="40">
        <v>4</v>
      </c>
      <c r="D144" s="40"/>
      <c r="E144" s="40"/>
      <c r="F144" s="40" t="s">
        <v>844</v>
      </c>
      <c r="G144" s="40">
        <v>2</v>
      </c>
      <c r="H144" s="40"/>
      <c r="I144" s="40"/>
      <c r="J144" s="57"/>
      <c r="K144" s="1">
        <v>204137</v>
      </c>
      <c r="L144" s="1" t="str">
        <f>IFERROR(INDEX([1]物品基础表!$A:$A,MATCH(K144,[1]物品基础表!$B:$B,0)),"")</f>
        <v>轮回宝箱（9转）</v>
      </c>
      <c r="M144" s="1">
        <v>1</v>
      </c>
      <c r="O144" s="1" t="str">
        <f>IFERROR(INDEX([1]物品基础表!$A:$A,MATCH(N144,[1]物品基础表!$B:$B,0)),"")</f>
        <v/>
      </c>
      <c r="R144" s="1" t="str">
        <f>IFERROR(INDEX([1]物品基础表!$A:$A,MATCH(Q144,[1]物品基础表!$B:$B,0)),"")</f>
        <v/>
      </c>
      <c r="U144" s="1" t="str">
        <f>IFERROR(INDEX([1]物品基础表!$A:$A,MATCH(T144,[1]物品基础表!$B:$B,0)),"")</f>
        <v/>
      </c>
      <c r="X144" s="1" t="str">
        <f>IFERROR(INDEX([1]物品基础表!$A:$A,MATCH(W144,[1]物品基础表!$B:$B,0)),"")</f>
        <v/>
      </c>
      <c r="AA144" s="1" t="str">
        <f>IFERROR(INDEX([1]物品基础表!$A:$A,MATCH(Z144,[1]物品基础表!$B:$B,0)),"")</f>
        <v/>
      </c>
      <c r="AD144" s="1" t="str">
        <f>IFERROR(INDEX([1]物品基础表!$A:$A,MATCH(AC144,[1]物品基础表!$B:$B,0)),"")</f>
        <v/>
      </c>
      <c r="AG144" s="1" t="str">
        <f>IFERROR(INDEX([1]物品基础表!$A:$A,MATCH(AF144,[1]物品基础表!$B:$B,0)),"")</f>
        <v/>
      </c>
      <c r="AJ144" s="1" t="str">
        <f>IFERROR(INDEX([1]物品基础表!$A:$A,MATCH(AI144,[1]物品基础表!$B:$B,0)),"")</f>
        <v/>
      </c>
      <c r="AM144" s="1" t="str">
        <f>IFERROR(INDEX([1]物品基础表!$A:$A,MATCH(AL144,[1]物品基础表!$B:$B,0)),"")</f>
        <v/>
      </c>
      <c r="AP144" s="1" t="str">
        <f>IFERROR(INDEX([1]物品基础表!$A:$A,MATCH(AO144,[1]物品基础表!$B:$B,0)),"")</f>
        <v/>
      </c>
      <c r="AS144" s="1" t="str">
        <f>IFERROR(INDEX([1]物品基础表!$A:$A,MATCH(AR144,[1]物品基础表!$B:$B,0)),"")</f>
        <v/>
      </c>
      <c r="AV144" s="1" t="str">
        <f>IFERROR(INDEX([1]物品基础表!$A:$A,MATCH(AU144,[1]物品基础表!$B:$B,0)),"")</f>
        <v/>
      </c>
      <c r="AY144" s="1" t="str">
        <f>IFERROR(INDEX([1]物品基础表!$A:$A,MATCH(AX144,[1]物品基础表!$B:$B,0)),"")</f>
        <v/>
      </c>
      <c r="BB144" s="1" t="str">
        <f>IFERROR(INDEX([1]物品基础表!$A:$A,MATCH(BA144,[1]物品基础表!$B:$B,0)),"")</f>
        <v/>
      </c>
      <c r="BE144" s="1" t="str">
        <f>IFERROR(INDEX([1]物品基础表!$A:$A,MATCH(BD144,[1]物品基础表!$B:$B,0)),"")</f>
        <v/>
      </c>
      <c r="BH144" s="1" t="str">
        <f>IFERROR(INDEX([1]物品基础表!$A:$A,MATCH(BG144,[1]物品基础表!$B:$B,0)),"")</f>
        <v/>
      </c>
      <c r="BK144" s="1" t="str">
        <f>IFERROR(INDEX([1]物品基础表!$A:$A,MATCH(BJ144,[1]物品基础表!$B:$B,0)),"")</f>
        <v/>
      </c>
    </row>
    <row r="145" spans="1:63">
      <c r="A145" s="39" t="str">
        <f>INDEX([2]活动总表!$A$8:$A$429,MATCH(B145,[2]活动总表!$B$8:$B$429,0))</f>
        <v>腊八-福袋（61-无限天）</v>
      </c>
      <c r="B145" s="40">
        <v>418</v>
      </c>
      <c r="C145" s="40">
        <v>5</v>
      </c>
      <c r="D145" s="40"/>
      <c r="E145" s="40"/>
      <c r="F145" s="40" t="s">
        <v>829</v>
      </c>
      <c r="G145" s="40">
        <v>2</v>
      </c>
      <c r="H145" s="40"/>
      <c r="I145" s="40"/>
      <c r="J145" s="57"/>
      <c r="K145" s="1">
        <v>200143</v>
      </c>
      <c r="L145" s="1" t="str">
        <f>IFERROR(INDEX([1]物品基础表!$A:$A,MATCH(K145,[1]物品基础表!$B:$B,0)),"")</f>
        <v>传世头盔</v>
      </c>
      <c r="M145" s="1">
        <v>1</v>
      </c>
      <c r="O145" s="1" t="str">
        <f>IFERROR(INDEX([1]物品基础表!$A:$A,MATCH(N145,[1]物品基础表!$B:$B,0)),"")</f>
        <v/>
      </c>
      <c r="R145" s="1" t="str">
        <f>IFERROR(INDEX([1]物品基础表!$A:$A,MATCH(Q145,[1]物品基础表!$B:$B,0)),"")</f>
        <v/>
      </c>
      <c r="U145" s="1" t="str">
        <f>IFERROR(INDEX([1]物品基础表!$A:$A,MATCH(T145,[1]物品基础表!$B:$B,0)),"")</f>
        <v/>
      </c>
      <c r="X145" s="1" t="str">
        <f>IFERROR(INDEX([1]物品基础表!$A:$A,MATCH(W145,[1]物品基础表!$B:$B,0)),"")</f>
        <v/>
      </c>
      <c r="AA145" s="1" t="str">
        <f>IFERROR(INDEX([1]物品基础表!$A:$A,MATCH(Z145,[1]物品基础表!$B:$B,0)),"")</f>
        <v/>
      </c>
      <c r="AD145" s="1" t="str">
        <f>IFERROR(INDEX([1]物品基础表!$A:$A,MATCH(AC145,[1]物品基础表!$B:$B,0)),"")</f>
        <v/>
      </c>
      <c r="AG145" s="1" t="str">
        <f>IFERROR(INDEX([1]物品基础表!$A:$A,MATCH(AF145,[1]物品基础表!$B:$B,0)),"")</f>
        <v/>
      </c>
      <c r="AJ145" s="1" t="str">
        <f>IFERROR(INDEX([1]物品基础表!$A:$A,MATCH(AI145,[1]物品基础表!$B:$B,0)),"")</f>
        <v/>
      </c>
      <c r="AM145" s="1" t="str">
        <f>IFERROR(INDEX([1]物品基础表!$A:$A,MATCH(AL145,[1]物品基础表!$B:$B,0)),"")</f>
        <v/>
      </c>
      <c r="AP145" s="1" t="str">
        <f>IFERROR(INDEX([1]物品基础表!$A:$A,MATCH(AO145,[1]物品基础表!$B:$B,0)),"")</f>
        <v/>
      </c>
      <c r="AS145" s="1" t="str">
        <f>IFERROR(INDEX([1]物品基础表!$A:$A,MATCH(AR145,[1]物品基础表!$B:$B,0)),"")</f>
        <v/>
      </c>
      <c r="AV145" s="1" t="str">
        <f>IFERROR(INDEX([1]物品基础表!$A:$A,MATCH(AU145,[1]物品基础表!$B:$B,0)),"")</f>
        <v/>
      </c>
      <c r="AY145" s="1" t="str">
        <f>IFERROR(INDEX([1]物品基础表!$A:$A,MATCH(AX145,[1]物品基础表!$B:$B,0)),"")</f>
        <v/>
      </c>
      <c r="BB145" s="1" t="str">
        <f>IFERROR(INDEX([1]物品基础表!$A:$A,MATCH(BA145,[1]物品基础表!$B:$B,0)),"")</f>
        <v/>
      </c>
      <c r="BE145" s="1" t="str">
        <f>IFERROR(INDEX([1]物品基础表!$A:$A,MATCH(BD145,[1]物品基础表!$B:$B,0)),"")</f>
        <v/>
      </c>
      <c r="BH145" s="1" t="str">
        <f>IFERROR(INDEX([1]物品基础表!$A:$A,MATCH(BG145,[1]物品基础表!$B:$B,0)),"")</f>
        <v/>
      </c>
      <c r="BK145" s="1" t="str">
        <f>IFERROR(INDEX([1]物品基础表!$A:$A,MATCH(BJ145,[1]物品基础表!$B:$B,0)),"")</f>
        <v/>
      </c>
    </row>
    <row r="146" spans="1:63">
      <c r="A146" s="39" t="str">
        <f>INDEX([2]活动总表!$A$8:$A$429,MATCH(B146,[2]活动总表!$B$8:$B$429,0))</f>
        <v>腊八-福袋（61-无限天）</v>
      </c>
      <c r="B146" s="40">
        <v>418</v>
      </c>
      <c r="C146" s="40">
        <v>6</v>
      </c>
      <c r="D146" s="40"/>
      <c r="E146" s="40"/>
      <c r="F146" s="40" t="s">
        <v>829</v>
      </c>
      <c r="G146" s="40">
        <v>2</v>
      </c>
      <c r="H146" s="40"/>
      <c r="I146" s="40"/>
      <c r="J146" s="57"/>
      <c r="K146" s="1">
        <v>200145</v>
      </c>
      <c r="L146" s="1" t="str">
        <f>IFERROR(INDEX([1]物品基础表!$A:$A,MATCH(K146,[1]物品基础表!$B:$B,0)),"")</f>
        <v>传世项链</v>
      </c>
      <c r="M146" s="1">
        <v>1</v>
      </c>
      <c r="O146" s="1" t="str">
        <f>IFERROR(INDEX([1]物品基础表!$A:$A,MATCH(N146,[1]物品基础表!$B:$B,0)),"")</f>
        <v/>
      </c>
      <c r="R146" s="1" t="str">
        <f>IFERROR(INDEX([1]物品基础表!$A:$A,MATCH(Q146,[1]物品基础表!$B:$B,0)),"")</f>
        <v/>
      </c>
      <c r="U146" s="1" t="str">
        <f>IFERROR(INDEX([1]物品基础表!$A:$A,MATCH(T146,[1]物品基础表!$B:$B,0)),"")</f>
        <v/>
      </c>
      <c r="X146" s="1" t="str">
        <f>IFERROR(INDEX([1]物品基础表!$A:$A,MATCH(W146,[1]物品基础表!$B:$B,0)),"")</f>
        <v/>
      </c>
      <c r="AA146" s="1" t="str">
        <f>IFERROR(INDEX([1]物品基础表!$A:$A,MATCH(Z146,[1]物品基础表!$B:$B,0)),"")</f>
        <v/>
      </c>
      <c r="AD146" s="1" t="str">
        <f>IFERROR(INDEX([1]物品基础表!$A:$A,MATCH(AC146,[1]物品基础表!$B:$B,0)),"")</f>
        <v/>
      </c>
      <c r="AG146" s="1" t="str">
        <f>IFERROR(INDEX([1]物品基础表!$A:$A,MATCH(AF146,[1]物品基础表!$B:$B,0)),"")</f>
        <v/>
      </c>
      <c r="AJ146" s="1" t="str">
        <f>IFERROR(INDEX([1]物品基础表!$A:$A,MATCH(AI146,[1]物品基础表!$B:$B,0)),"")</f>
        <v/>
      </c>
      <c r="AM146" s="1" t="str">
        <f>IFERROR(INDEX([1]物品基础表!$A:$A,MATCH(AL146,[1]物品基础表!$B:$B,0)),"")</f>
        <v/>
      </c>
      <c r="AP146" s="1" t="str">
        <f>IFERROR(INDEX([1]物品基础表!$A:$A,MATCH(AO146,[1]物品基础表!$B:$B,0)),"")</f>
        <v/>
      </c>
      <c r="AS146" s="1" t="str">
        <f>IFERROR(INDEX([1]物品基础表!$A:$A,MATCH(AR146,[1]物品基础表!$B:$B,0)),"")</f>
        <v/>
      </c>
      <c r="AV146" s="1" t="str">
        <f>IFERROR(INDEX([1]物品基础表!$A:$A,MATCH(AU146,[1]物品基础表!$B:$B,0)),"")</f>
        <v/>
      </c>
      <c r="AY146" s="1" t="str">
        <f>IFERROR(INDEX([1]物品基础表!$A:$A,MATCH(AX146,[1]物品基础表!$B:$B,0)),"")</f>
        <v/>
      </c>
      <c r="BB146" s="1" t="str">
        <f>IFERROR(INDEX([1]物品基础表!$A:$A,MATCH(BA146,[1]物品基础表!$B:$B,0)),"")</f>
        <v/>
      </c>
      <c r="BE146" s="1" t="str">
        <f>IFERROR(INDEX([1]物品基础表!$A:$A,MATCH(BD146,[1]物品基础表!$B:$B,0)),"")</f>
        <v/>
      </c>
      <c r="BH146" s="1" t="str">
        <f>IFERROR(INDEX([1]物品基础表!$A:$A,MATCH(BG146,[1]物品基础表!$B:$B,0)),"")</f>
        <v/>
      </c>
      <c r="BK146" s="1" t="str">
        <f>IFERROR(INDEX([1]物品基础表!$A:$A,MATCH(BJ146,[1]物品基础表!$B:$B,0)),"")</f>
        <v/>
      </c>
    </row>
    <row r="147" spans="1:63">
      <c r="A147" s="39" t="str">
        <f>INDEX([2]活动总表!$A$8:$A$429,MATCH(B147,[2]活动总表!$B$8:$B$429,0))</f>
        <v>腊八-福袋（61-无限天）</v>
      </c>
      <c r="B147" s="40">
        <v>418</v>
      </c>
      <c r="C147" s="40">
        <v>7</v>
      </c>
      <c r="D147" s="40"/>
      <c r="E147" s="40"/>
      <c r="F147" s="40" t="s">
        <v>829</v>
      </c>
      <c r="G147" s="40">
        <v>2</v>
      </c>
      <c r="H147" s="40"/>
      <c r="I147" s="40"/>
      <c r="J147" s="57"/>
      <c r="K147" s="1">
        <v>200147</v>
      </c>
      <c r="L147" s="1" t="str">
        <f>IFERROR(INDEX([1]物品基础表!$A:$A,MATCH(K147,[1]物品基础表!$B:$B,0)),"")</f>
        <v>传世腰带</v>
      </c>
      <c r="M147" s="1">
        <v>1</v>
      </c>
      <c r="O147" s="1" t="str">
        <f>IFERROR(INDEX([1]物品基础表!$A:$A,MATCH(N147,[1]物品基础表!$B:$B,0)),"")</f>
        <v/>
      </c>
      <c r="R147" s="1" t="str">
        <f>IFERROR(INDEX([1]物品基础表!$A:$A,MATCH(Q147,[1]物品基础表!$B:$B,0)),"")</f>
        <v/>
      </c>
      <c r="U147" s="1" t="str">
        <f>IFERROR(INDEX([1]物品基础表!$A:$A,MATCH(T147,[1]物品基础表!$B:$B,0)),"")</f>
        <v/>
      </c>
      <c r="X147" s="1" t="str">
        <f>IFERROR(INDEX([1]物品基础表!$A:$A,MATCH(W147,[1]物品基础表!$B:$B,0)),"")</f>
        <v/>
      </c>
      <c r="AA147" s="1" t="str">
        <f>IFERROR(INDEX([1]物品基础表!$A:$A,MATCH(Z147,[1]物品基础表!$B:$B,0)),"")</f>
        <v/>
      </c>
      <c r="AD147" s="1" t="str">
        <f>IFERROR(INDEX([1]物品基础表!$A:$A,MATCH(AC147,[1]物品基础表!$B:$B,0)),"")</f>
        <v/>
      </c>
      <c r="AG147" s="1" t="str">
        <f>IFERROR(INDEX([1]物品基础表!$A:$A,MATCH(AF147,[1]物品基础表!$B:$B,0)),"")</f>
        <v/>
      </c>
      <c r="AJ147" s="1" t="str">
        <f>IFERROR(INDEX([1]物品基础表!$A:$A,MATCH(AI147,[1]物品基础表!$B:$B,0)),"")</f>
        <v/>
      </c>
      <c r="AM147" s="1" t="str">
        <f>IFERROR(INDEX([1]物品基础表!$A:$A,MATCH(AL147,[1]物品基础表!$B:$B,0)),"")</f>
        <v/>
      </c>
      <c r="AP147" s="1" t="str">
        <f>IFERROR(INDEX([1]物品基础表!$A:$A,MATCH(AO147,[1]物品基础表!$B:$B,0)),"")</f>
        <v/>
      </c>
      <c r="AS147" s="1" t="str">
        <f>IFERROR(INDEX([1]物品基础表!$A:$A,MATCH(AR147,[1]物品基础表!$B:$B,0)),"")</f>
        <v/>
      </c>
      <c r="AV147" s="1" t="str">
        <f>IFERROR(INDEX([1]物品基础表!$A:$A,MATCH(AU147,[1]物品基础表!$B:$B,0)),"")</f>
        <v/>
      </c>
      <c r="AY147" s="1" t="str">
        <f>IFERROR(INDEX([1]物品基础表!$A:$A,MATCH(AX147,[1]物品基础表!$B:$B,0)),"")</f>
        <v/>
      </c>
      <c r="BB147" s="1" t="str">
        <f>IFERROR(INDEX([1]物品基础表!$A:$A,MATCH(BA147,[1]物品基础表!$B:$B,0)),"")</f>
        <v/>
      </c>
      <c r="BE147" s="1" t="str">
        <f>IFERROR(INDEX([1]物品基础表!$A:$A,MATCH(BD147,[1]物品基础表!$B:$B,0)),"")</f>
        <v/>
      </c>
      <c r="BH147" s="1" t="str">
        <f>IFERROR(INDEX([1]物品基础表!$A:$A,MATCH(BG147,[1]物品基础表!$B:$B,0)),"")</f>
        <v/>
      </c>
      <c r="BK147" s="1" t="str">
        <f>IFERROR(INDEX([1]物品基础表!$A:$A,MATCH(BJ147,[1]物品基础表!$B:$B,0)),"")</f>
        <v/>
      </c>
    </row>
    <row r="148" spans="1:63">
      <c r="A148" s="39" t="str">
        <f>INDEX([2]活动总表!$A$8:$A$429,MATCH(B148,[2]活动总表!$B$8:$B$429,0))</f>
        <v>腊八-福袋（61-无限天）</v>
      </c>
      <c r="B148" s="40">
        <v>418</v>
      </c>
      <c r="C148" s="40">
        <v>8</v>
      </c>
      <c r="D148" s="40"/>
      <c r="E148" s="40"/>
      <c r="F148" s="40" t="s">
        <v>829</v>
      </c>
      <c r="G148" s="40">
        <v>2</v>
      </c>
      <c r="H148" s="40"/>
      <c r="I148" s="40"/>
      <c r="J148" s="57"/>
      <c r="K148" s="1">
        <v>200149</v>
      </c>
      <c r="L148" s="1" t="str">
        <f>IFERROR(INDEX([1]物品基础表!$A:$A,MATCH(K148,[1]物品基础表!$B:$B,0)),"")</f>
        <v>传世鞋子</v>
      </c>
      <c r="M148" s="1">
        <v>1</v>
      </c>
      <c r="O148" s="1" t="str">
        <f>IFERROR(INDEX([1]物品基础表!$A:$A,MATCH(N148,[1]物品基础表!$B:$B,0)),"")</f>
        <v/>
      </c>
      <c r="R148" s="1" t="str">
        <f>IFERROR(INDEX([1]物品基础表!$A:$A,MATCH(Q148,[1]物品基础表!$B:$B,0)),"")</f>
        <v/>
      </c>
      <c r="U148" s="1" t="str">
        <f>IFERROR(INDEX([1]物品基础表!$A:$A,MATCH(T148,[1]物品基础表!$B:$B,0)),"")</f>
        <v/>
      </c>
      <c r="X148" s="1" t="str">
        <f>IFERROR(INDEX([1]物品基础表!$A:$A,MATCH(W148,[1]物品基础表!$B:$B,0)),"")</f>
        <v/>
      </c>
      <c r="AA148" s="1" t="str">
        <f>IFERROR(INDEX([1]物品基础表!$A:$A,MATCH(Z148,[1]物品基础表!$B:$B,0)),"")</f>
        <v/>
      </c>
      <c r="AD148" s="1" t="str">
        <f>IFERROR(INDEX([1]物品基础表!$A:$A,MATCH(AC148,[1]物品基础表!$B:$B,0)),"")</f>
        <v/>
      </c>
      <c r="AG148" s="1" t="str">
        <f>IFERROR(INDEX([1]物品基础表!$A:$A,MATCH(AF148,[1]物品基础表!$B:$B,0)),"")</f>
        <v/>
      </c>
      <c r="AJ148" s="1" t="str">
        <f>IFERROR(INDEX([1]物品基础表!$A:$A,MATCH(AI148,[1]物品基础表!$B:$B,0)),"")</f>
        <v/>
      </c>
      <c r="AM148" s="1" t="str">
        <f>IFERROR(INDEX([1]物品基础表!$A:$A,MATCH(AL148,[1]物品基础表!$B:$B,0)),"")</f>
        <v/>
      </c>
      <c r="AP148" s="1" t="str">
        <f>IFERROR(INDEX([1]物品基础表!$A:$A,MATCH(AO148,[1]物品基础表!$B:$B,0)),"")</f>
        <v/>
      </c>
      <c r="AS148" s="1" t="str">
        <f>IFERROR(INDEX([1]物品基础表!$A:$A,MATCH(AR148,[1]物品基础表!$B:$B,0)),"")</f>
        <v/>
      </c>
      <c r="AV148" s="1" t="str">
        <f>IFERROR(INDEX([1]物品基础表!$A:$A,MATCH(AU148,[1]物品基础表!$B:$B,0)),"")</f>
        <v/>
      </c>
      <c r="AY148" s="1" t="str">
        <f>IFERROR(INDEX([1]物品基础表!$A:$A,MATCH(AX148,[1]物品基础表!$B:$B,0)),"")</f>
        <v/>
      </c>
      <c r="BB148" s="1" t="str">
        <f>IFERROR(INDEX([1]物品基础表!$A:$A,MATCH(BA148,[1]物品基础表!$B:$B,0)),"")</f>
        <v/>
      </c>
      <c r="BE148" s="1" t="str">
        <f>IFERROR(INDEX([1]物品基础表!$A:$A,MATCH(BD148,[1]物品基础表!$B:$B,0)),"")</f>
        <v/>
      </c>
      <c r="BH148" s="1" t="str">
        <f>IFERROR(INDEX([1]物品基础表!$A:$A,MATCH(BG148,[1]物品基础表!$B:$B,0)),"")</f>
        <v/>
      </c>
      <c r="BK148" s="1" t="str">
        <f>IFERROR(INDEX([1]物品基础表!$A:$A,MATCH(BJ148,[1]物品基础表!$B:$B,0)),"")</f>
        <v/>
      </c>
    </row>
    <row r="149" spans="1:63">
      <c r="A149" s="39" t="str">
        <f>INDEX([2]活动总表!$A$8:$A$429,MATCH(B149,[2]活动总表!$B$8:$B$429,0))</f>
        <v>腊八-福袋（61-无限天）</v>
      </c>
      <c r="B149" s="40">
        <v>418</v>
      </c>
      <c r="C149" s="40">
        <v>9</v>
      </c>
      <c r="D149" s="40"/>
      <c r="E149" s="40"/>
      <c r="F149" s="40" t="s">
        <v>829</v>
      </c>
      <c r="G149" s="40">
        <v>2</v>
      </c>
      <c r="H149" s="40"/>
      <c r="I149" s="40"/>
      <c r="J149" s="57"/>
      <c r="K149" s="1">
        <v>200148</v>
      </c>
      <c r="L149" s="1" t="str">
        <f>IFERROR(INDEX([1]物品基础表!$A:$A,MATCH(K149,[1]物品基础表!$B:$B,0)),"")</f>
        <v>传世戒指</v>
      </c>
      <c r="M149" s="1">
        <v>1</v>
      </c>
      <c r="O149" s="1" t="str">
        <f>IFERROR(INDEX([1]物品基础表!$A:$A,MATCH(N149,[1]物品基础表!$B:$B,0)),"")</f>
        <v/>
      </c>
      <c r="R149" s="1" t="str">
        <f>IFERROR(INDEX([1]物品基础表!$A:$A,MATCH(Q149,[1]物品基础表!$B:$B,0)),"")</f>
        <v/>
      </c>
      <c r="U149" s="1" t="str">
        <f>IFERROR(INDEX([1]物品基础表!$A:$A,MATCH(T149,[1]物品基础表!$B:$B,0)),"")</f>
        <v/>
      </c>
      <c r="X149" s="1" t="str">
        <f>IFERROR(INDEX([1]物品基础表!$A:$A,MATCH(W149,[1]物品基础表!$B:$B,0)),"")</f>
        <v/>
      </c>
      <c r="AA149" s="1" t="str">
        <f>IFERROR(INDEX([1]物品基础表!$A:$A,MATCH(Z149,[1]物品基础表!$B:$B,0)),"")</f>
        <v/>
      </c>
      <c r="AD149" s="1" t="str">
        <f>IFERROR(INDEX([1]物品基础表!$A:$A,MATCH(AC149,[1]物品基础表!$B:$B,0)),"")</f>
        <v/>
      </c>
      <c r="AG149" s="1" t="str">
        <f>IFERROR(INDEX([1]物品基础表!$A:$A,MATCH(AF149,[1]物品基础表!$B:$B,0)),"")</f>
        <v/>
      </c>
      <c r="AJ149" s="1" t="str">
        <f>IFERROR(INDEX([1]物品基础表!$A:$A,MATCH(AI149,[1]物品基础表!$B:$B,0)),"")</f>
        <v/>
      </c>
      <c r="AM149" s="1" t="str">
        <f>IFERROR(INDEX([1]物品基础表!$A:$A,MATCH(AL149,[1]物品基础表!$B:$B,0)),"")</f>
        <v/>
      </c>
      <c r="AP149" s="1" t="str">
        <f>IFERROR(INDEX([1]物品基础表!$A:$A,MATCH(AO149,[1]物品基础表!$B:$B,0)),"")</f>
        <v/>
      </c>
      <c r="AS149" s="1" t="str">
        <f>IFERROR(INDEX([1]物品基础表!$A:$A,MATCH(AR149,[1]物品基础表!$B:$B,0)),"")</f>
        <v/>
      </c>
      <c r="AV149" s="1" t="str">
        <f>IFERROR(INDEX([1]物品基础表!$A:$A,MATCH(AU149,[1]物品基础表!$B:$B,0)),"")</f>
        <v/>
      </c>
      <c r="AY149" s="1" t="str">
        <f>IFERROR(INDEX([1]物品基础表!$A:$A,MATCH(AX149,[1]物品基础表!$B:$B,0)),"")</f>
        <v/>
      </c>
      <c r="BB149" s="1" t="str">
        <f>IFERROR(INDEX([1]物品基础表!$A:$A,MATCH(BA149,[1]物品基础表!$B:$B,0)),"")</f>
        <v/>
      </c>
      <c r="BE149" s="1" t="str">
        <f>IFERROR(INDEX([1]物品基础表!$A:$A,MATCH(BD149,[1]物品基础表!$B:$B,0)),"")</f>
        <v/>
      </c>
      <c r="BH149" s="1" t="str">
        <f>IFERROR(INDEX([1]物品基础表!$A:$A,MATCH(BG149,[1]物品基础表!$B:$B,0)),"")</f>
        <v/>
      </c>
      <c r="BK149" s="1" t="str">
        <f>IFERROR(INDEX([1]物品基础表!$A:$A,MATCH(BJ149,[1]物品基础表!$B:$B,0)),"")</f>
        <v/>
      </c>
    </row>
    <row r="150" spans="1:63">
      <c r="A150" s="39" t="str">
        <f>INDEX([2]活动总表!$A$8:$A$429,MATCH(B150,[2]活动总表!$B$8:$B$429,0))</f>
        <v>腊八-福袋（61-无限天）</v>
      </c>
      <c r="B150" s="40">
        <v>418</v>
      </c>
      <c r="C150" s="40">
        <v>10</v>
      </c>
      <c r="D150" s="40"/>
      <c r="E150" s="40"/>
      <c r="F150" s="40" t="s">
        <v>829</v>
      </c>
      <c r="G150" s="40">
        <v>2</v>
      </c>
      <c r="H150" s="40"/>
      <c r="I150" s="40"/>
      <c r="J150" s="57"/>
      <c r="K150" s="1">
        <v>200146</v>
      </c>
      <c r="L150" s="1" t="str">
        <f>IFERROR(INDEX([1]物品基础表!$A:$A,MATCH(K150,[1]物品基础表!$B:$B,0)),"")</f>
        <v>传世护腕</v>
      </c>
      <c r="M150" s="1">
        <v>1</v>
      </c>
      <c r="O150" s="1" t="str">
        <f>IFERROR(INDEX([1]物品基础表!$A:$A,MATCH(N150,[1]物品基础表!$B:$B,0)),"")</f>
        <v/>
      </c>
      <c r="R150" s="1" t="str">
        <f>IFERROR(INDEX([1]物品基础表!$A:$A,MATCH(Q150,[1]物品基础表!$B:$B,0)),"")</f>
        <v/>
      </c>
      <c r="U150" s="1" t="str">
        <f>IFERROR(INDEX([1]物品基础表!$A:$A,MATCH(T150,[1]物品基础表!$B:$B,0)),"")</f>
        <v/>
      </c>
      <c r="X150" s="1" t="str">
        <f>IFERROR(INDEX([1]物品基础表!$A:$A,MATCH(W150,[1]物品基础表!$B:$B,0)),"")</f>
        <v/>
      </c>
      <c r="AA150" s="1" t="str">
        <f>IFERROR(INDEX([1]物品基础表!$A:$A,MATCH(Z150,[1]物品基础表!$B:$B,0)),"")</f>
        <v/>
      </c>
      <c r="AD150" s="1" t="str">
        <f>IFERROR(INDEX([1]物品基础表!$A:$A,MATCH(AC150,[1]物品基础表!$B:$B,0)),"")</f>
        <v/>
      </c>
      <c r="AG150" s="1" t="str">
        <f>IFERROR(INDEX([1]物品基础表!$A:$A,MATCH(AF150,[1]物品基础表!$B:$B,0)),"")</f>
        <v/>
      </c>
      <c r="AJ150" s="1" t="str">
        <f>IFERROR(INDEX([1]物品基础表!$A:$A,MATCH(AI150,[1]物品基础表!$B:$B,0)),"")</f>
        <v/>
      </c>
      <c r="AM150" s="1" t="str">
        <f>IFERROR(INDEX([1]物品基础表!$A:$A,MATCH(AL150,[1]物品基础表!$B:$B,0)),"")</f>
        <v/>
      </c>
      <c r="AP150" s="1" t="str">
        <f>IFERROR(INDEX([1]物品基础表!$A:$A,MATCH(AO150,[1]物品基础表!$B:$B,0)),"")</f>
        <v/>
      </c>
      <c r="AS150" s="1" t="str">
        <f>IFERROR(INDEX([1]物品基础表!$A:$A,MATCH(AR150,[1]物品基础表!$B:$B,0)),"")</f>
        <v/>
      </c>
      <c r="AV150" s="1" t="str">
        <f>IFERROR(INDEX([1]物品基础表!$A:$A,MATCH(AU150,[1]物品基础表!$B:$B,0)),"")</f>
        <v/>
      </c>
      <c r="AY150" s="1" t="str">
        <f>IFERROR(INDEX([1]物品基础表!$A:$A,MATCH(AX150,[1]物品基础表!$B:$B,0)),"")</f>
        <v/>
      </c>
      <c r="BB150" s="1" t="str">
        <f>IFERROR(INDEX([1]物品基础表!$A:$A,MATCH(BA150,[1]物品基础表!$B:$B,0)),"")</f>
        <v/>
      </c>
      <c r="BE150" s="1" t="str">
        <f>IFERROR(INDEX([1]物品基础表!$A:$A,MATCH(BD150,[1]物品基础表!$B:$B,0)),"")</f>
        <v/>
      </c>
      <c r="BH150" s="1" t="str">
        <f>IFERROR(INDEX([1]物品基础表!$A:$A,MATCH(BG150,[1]物品基础表!$B:$B,0)),"")</f>
        <v/>
      </c>
      <c r="BK150" s="1" t="str">
        <f>IFERROR(INDEX([1]物品基础表!$A:$A,MATCH(BJ150,[1]物品基础表!$B:$B,0)),"")</f>
        <v/>
      </c>
    </row>
    <row r="151" spans="1:63">
      <c r="A151" s="39" t="str">
        <f>INDEX([2]活动总表!$A$8:$A$429,MATCH(B151,[2]活动总表!$B$8:$B$429,0))</f>
        <v>腊八-福袋（61-无限天）</v>
      </c>
      <c r="B151" s="40">
        <v>418</v>
      </c>
      <c r="C151" s="40">
        <v>11</v>
      </c>
      <c r="D151" s="40"/>
      <c r="E151" s="40"/>
      <c r="F151" s="40" t="s">
        <v>845</v>
      </c>
      <c r="G151" s="40">
        <v>2</v>
      </c>
      <c r="H151" s="40"/>
      <c r="I151" s="40"/>
      <c r="J151" s="57"/>
      <c r="K151" s="1">
        <v>200301</v>
      </c>
      <c r="L151" s="1" t="str">
        <f>IFERROR(INDEX([1]物品基础表!$A:$A,MATCH(K151,[1]物品基础表!$B:$B,0)),"")</f>
        <v>传世宝钻</v>
      </c>
      <c r="M151" s="1">
        <v>100</v>
      </c>
      <c r="O151" s="1" t="str">
        <f>IFERROR(INDEX([1]物品基础表!$A:$A,MATCH(N151,[1]物品基础表!$B:$B,0)),"")</f>
        <v/>
      </c>
      <c r="R151" s="1" t="str">
        <f>IFERROR(INDEX([1]物品基础表!$A:$A,MATCH(Q151,[1]物品基础表!$B:$B,0)),"")</f>
        <v/>
      </c>
      <c r="U151" s="1" t="str">
        <f>IFERROR(INDEX([1]物品基础表!$A:$A,MATCH(T151,[1]物品基础表!$B:$B,0)),"")</f>
        <v/>
      </c>
      <c r="X151" s="1" t="str">
        <f>IFERROR(INDEX([1]物品基础表!$A:$A,MATCH(W151,[1]物品基础表!$B:$B,0)),"")</f>
        <v/>
      </c>
      <c r="AA151" s="1" t="str">
        <f>IFERROR(INDEX([1]物品基础表!$A:$A,MATCH(Z151,[1]物品基础表!$B:$B,0)),"")</f>
        <v/>
      </c>
      <c r="AD151" s="1" t="str">
        <f>IFERROR(INDEX([1]物品基础表!$A:$A,MATCH(AC151,[1]物品基础表!$B:$B,0)),"")</f>
        <v/>
      </c>
      <c r="AG151" s="1" t="str">
        <f>IFERROR(INDEX([1]物品基础表!$A:$A,MATCH(AF151,[1]物品基础表!$B:$B,0)),"")</f>
        <v/>
      </c>
      <c r="AJ151" s="1" t="str">
        <f>IFERROR(INDEX([1]物品基础表!$A:$A,MATCH(AI151,[1]物品基础表!$B:$B,0)),"")</f>
        <v/>
      </c>
      <c r="AM151" s="1" t="str">
        <f>IFERROR(INDEX([1]物品基础表!$A:$A,MATCH(AL151,[1]物品基础表!$B:$B,0)),"")</f>
        <v/>
      </c>
      <c r="AP151" s="1" t="str">
        <f>IFERROR(INDEX([1]物品基础表!$A:$A,MATCH(AO151,[1]物品基础表!$B:$B,0)),"")</f>
        <v/>
      </c>
      <c r="AS151" s="1" t="str">
        <f>IFERROR(INDEX([1]物品基础表!$A:$A,MATCH(AR151,[1]物品基础表!$B:$B,0)),"")</f>
        <v/>
      </c>
      <c r="AV151" s="1" t="str">
        <f>IFERROR(INDEX([1]物品基础表!$A:$A,MATCH(AU151,[1]物品基础表!$B:$B,0)),"")</f>
        <v/>
      </c>
      <c r="AY151" s="1" t="str">
        <f>IFERROR(INDEX([1]物品基础表!$A:$A,MATCH(AX151,[1]物品基础表!$B:$B,0)),"")</f>
        <v/>
      </c>
      <c r="BB151" s="1" t="str">
        <f>IFERROR(INDEX([1]物品基础表!$A:$A,MATCH(BA151,[1]物品基础表!$B:$B,0)),"")</f>
        <v/>
      </c>
      <c r="BE151" s="1" t="str">
        <f>IFERROR(INDEX([1]物品基础表!$A:$A,MATCH(BD151,[1]物品基础表!$B:$B,0)),"")</f>
        <v/>
      </c>
      <c r="BH151" s="1" t="str">
        <f>IFERROR(INDEX([1]物品基础表!$A:$A,MATCH(BG151,[1]物品基础表!$B:$B,0)),"")</f>
        <v/>
      </c>
      <c r="BK151" s="1" t="str">
        <f>IFERROR(INDEX([1]物品基础表!$A:$A,MATCH(BJ151,[1]物品基础表!$B:$B,0)),"")</f>
        <v/>
      </c>
    </row>
    <row r="152" spans="1:63">
      <c r="A152" s="39" t="str">
        <f>INDEX([2]活动总表!$A$8:$A$429,MATCH(B152,[2]活动总表!$B$8:$B$429,0))</f>
        <v>腊八-福袋（61-无限天）</v>
      </c>
      <c r="B152" s="40">
        <v>418</v>
      </c>
      <c r="C152" s="40">
        <v>12</v>
      </c>
      <c r="D152" s="40"/>
      <c r="E152" s="40"/>
      <c r="F152" s="40" t="s">
        <v>831</v>
      </c>
      <c r="G152" s="40">
        <v>2</v>
      </c>
      <c r="H152" s="40"/>
      <c r="I152" s="40"/>
      <c r="J152" s="57"/>
      <c r="K152" s="1">
        <v>200301</v>
      </c>
      <c r="L152" s="1" t="str">
        <f>IFERROR(INDEX([1]物品基础表!$A:$A,MATCH(K152,[1]物品基础表!$B:$B,0)),"")</f>
        <v>传世宝钻</v>
      </c>
      <c r="M152" s="1">
        <v>50</v>
      </c>
      <c r="O152" s="1" t="str">
        <f>IFERROR(INDEX([1]物品基础表!$A:$A,MATCH(N152,[1]物品基础表!$B:$B,0)),"")</f>
        <v/>
      </c>
      <c r="R152" s="1" t="str">
        <f>IFERROR(INDEX([1]物品基础表!$A:$A,MATCH(Q152,[1]物品基础表!$B:$B,0)),"")</f>
        <v/>
      </c>
      <c r="U152" s="1" t="str">
        <f>IFERROR(INDEX([1]物品基础表!$A:$A,MATCH(T152,[1]物品基础表!$B:$B,0)),"")</f>
        <v/>
      </c>
      <c r="X152" s="1" t="str">
        <f>IFERROR(INDEX([1]物品基础表!$A:$A,MATCH(W152,[1]物品基础表!$B:$B,0)),"")</f>
        <v/>
      </c>
      <c r="AA152" s="1" t="str">
        <f>IFERROR(INDEX([1]物品基础表!$A:$A,MATCH(Z152,[1]物品基础表!$B:$B,0)),"")</f>
        <v/>
      </c>
      <c r="AD152" s="1" t="str">
        <f>IFERROR(INDEX([1]物品基础表!$A:$A,MATCH(AC152,[1]物品基础表!$B:$B,0)),"")</f>
        <v/>
      </c>
      <c r="AG152" s="1" t="str">
        <f>IFERROR(INDEX([1]物品基础表!$A:$A,MATCH(AF152,[1]物品基础表!$B:$B,0)),"")</f>
        <v/>
      </c>
      <c r="AJ152" s="1" t="str">
        <f>IFERROR(INDEX([1]物品基础表!$A:$A,MATCH(AI152,[1]物品基础表!$B:$B,0)),"")</f>
        <v/>
      </c>
      <c r="AM152" s="1" t="str">
        <f>IFERROR(INDEX([1]物品基础表!$A:$A,MATCH(AL152,[1]物品基础表!$B:$B,0)),"")</f>
        <v/>
      </c>
      <c r="AP152" s="1" t="str">
        <f>IFERROR(INDEX([1]物品基础表!$A:$A,MATCH(AO152,[1]物品基础表!$B:$B,0)),"")</f>
        <v/>
      </c>
      <c r="AS152" s="1" t="str">
        <f>IFERROR(INDEX([1]物品基础表!$A:$A,MATCH(AR152,[1]物品基础表!$B:$B,0)),"")</f>
        <v/>
      </c>
      <c r="AV152" s="1" t="str">
        <f>IFERROR(INDEX([1]物品基础表!$A:$A,MATCH(AU152,[1]物品基础表!$B:$B,0)),"")</f>
        <v/>
      </c>
      <c r="AY152" s="1" t="str">
        <f>IFERROR(INDEX([1]物品基础表!$A:$A,MATCH(AX152,[1]物品基础表!$B:$B,0)),"")</f>
        <v/>
      </c>
      <c r="BB152" s="1" t="str">
        <f>IFERROR(INDEX([1]物品基础表!$A:$A,MATCH(BA152,[1]物品基础表!$B:$B,0)),"")</f>
        <v/>
      </c>
      <c r="BE152" s="1" t="str">
        <f>IFERROR(INDEX([1]物品基础表!$A:$A,MATCH(BD152,[1]物品基础表!$B:$B,0)),"")</f>
        <v/>
      </c>
      <c r="BH152" s="1" t="str">
        <f>IFERROR(INDEX([1]物品基础表!$A:$A,MATCH(BG152,[1]物品基础表!$B:$B,0)),"")</f>
        <v/>
      </c>
      <c r="BK152" s="1" t="str">
        <f>IFERROR(INDEX([1]物品基础表!$A:$A,MATCH(BJ152,[1]物品基础表!$B:$B,0)),"")</f>
        <v/>
      </c>
    </row>
    <row r="153" spans="1:63">
      <c r="A153" s="39" t="str">
        <f>INDEX([2]活动总表!$A$8:$A$429,MATCH(B153,[2]活动总表!$B$8:$B$429,0))</f>
        <v>腊八-福袋（61-无限天）</v>
      </c>
      <c r="B153" s="40">
        <v>418</v>
      </c>
      <c r="C153" s="40">
        <v>13</v>
      </c>
      <c r="D153" s="40"/>
      <c r="E153" s="40"/>
      <c r="F153" s="40" t="s">
        <v>830</v>
      </c>
      <c r="G153" s="40">
        <v>2</v>
      </c>
      <c r="H153" s="40"/>
      <c r="I153" s="40"/>
      <c r="J153" s="57"/>
      <c r="K153" s="1">
        <v>200301</v>
      </c>
      <c r="L153" s="1" t="str">
        <f>IFERROR(INDEX([1]物品基础表!$A:$A,MATCH(K153,[1]物品基础表!$B:$B,0)),"")</f>
        <v>传世宝钻</v>
      </c>
      <c r="M153" s="1">
        <v>20</v>
      </c>
      <c r="O153" s="1" t="str">
        <f>IFERROR(INDEX([1]物品基础表!$A:$A,MATCH(N153,[1]物品基础表!$B:$B,0)),"")</f>
        <v/>
      </c>
      <c r="R153" s="1" t="str">
        <f>IFERROR(INDEX([1]物品基础表!$A:$A,MATCH(Q153,[1]物品基础表!$B:$B,0)),"")</f>
        <v/>
      </c>
      <c r="U153" s="1" t="str">
        <f>IFERROR(INDEX([1]物品基础表!$A:$A,MATCH(T153,[1]物品基础表!$B:$B,0)),"")</f>
        <v/>
      </c>
      <c r="X153" s="1" t="str">
        <f>IFERROR(INDEX([1]物品基础表!$A:$A,MATCH(W153,[1]物品基础表!$B:$B,0)),"")</f>
        <v/>
      </c>
      <c r="AA153" s="1" t="str">
        <f>IFERROR(INDEX([1]物品基础表!$A:$A,MATCH(Z153,[1]物品基础表!$B:$B,0)),"")</f>
        <v/>
      </c>
      <c r="AD153" s="1" t="str">
        <f>IFERROR(INDEX([1]物品基础表!$A:$A,MATCH(AC153,[1]物品基础表!$B:$B,0)),"")</f>
        <v/>
      </c>
      <c r="AG153" s="1" t="str">
        <f>IFERROR(INDEX([1]物品基础表!$A:$A,MATCH(AF153,[1]物品基础表!$B:$B,0)),"")</f>
        <v/>
      </c>
      <c r="AJ153" s="1" t="str">
        <f>IFERROR(INDEX([1]物品基础表!$A:$A,MATCH(AI153,[1]物品基础表!$B:$B,0)),"")</f>
        <v/>
      </c>
      <c r="AM153" s="1" t="str">
        <f>IFERROR(INDEX([1]物品基础表!$A:$A,MATCH(AL153,[1]物品基础表!$B:$B,0)),"")</f>
        <v/>
      </c>
      <c r="AP153" s="1" t="str">
        <f>IFERROR(INDEX([1]物品基础表!$A:$A,MATCH(AO153,[1]物品基础表!$B:$B,0)),"")</f>
        <v/>
      </c>
      <c r="AS153" s="1" t="str">
        <f>IFERROR(INDEX([1]物品基础表!$A:$A,MATCH(AR153,[1]物品基础表!$B:$B,0)),"")</f>
        <v/>
      </c>
      <c r="AV153" s="1" t="str">
        <f>IFERROR(INDEX([1]物品基础表!$A:$A,MATCH(AU153,[1]物品基础表!$B:$B,0)),"")</f>
        <v/>
      </c>
      <c r="AY153" s="1" t="str">
        <f>IFERROR(INDEX([1]物品基础表!$A:$A,MATCH(AX153,[1]物品基础表!$B:$B,0)),"")</f>
        <v/>
      </c>
      <c r="BB153" s="1" t="str">
        <f>IFERROR(INDEX([1]物品基础表!$A:$A,MATCH(BA153,[1]物品基础表!$B:$B,0)),"")</f>
        <v/>
      </c>
      <c r="BE153" s="1" t="str">
        <f>IFERROR(INDEX([1]物品基础表!$A:$A,MATCH(BD153,[1]物品基础表!$B:$B,0)),"")</f>
        <v/>
      </c>
      <c r="BH153" s="1" t="str">
        <f>IFERROR(INDEX([1]物品基础表!$A:$A,MATCH(BG153,[1]物品基础表!$B:$B,0)),"")</f>
        <v/>
      </c>
      <c r="BK153" s="1" t="str">
        <f>IFERROR(INDEX([1]物品基础表!$A:$A,MATCH(BJ153,[1]物品基础表!$B:$B,0)),"")</f>
        <v/>
      </c>
    </row>
    <row r="154" spans="1:63">
      <c r="A154" s="39" t="str">
        <f>INDEX([2]活动总表!$A$8:$A$429,MATCH(B154,[2]活动总表!$B$8:$B$429,0))</f>
        <v>腊八-福袋（61-无限天）</v>
      </c>
      <c r="B154" s="40">
        <v>418</v>
      </c>
      <c r="C154" s="40">
        <v>14</v>
      </c>
      <c r="D154" s="40"/>
      <c r="E154" s="40"/>
      <c r="F154" s="40" t="s">
        <v>832</v>
      </c>
      <c r="G154" s="40">
        <v>2</v>
      </c>
      <c r="H154" s="40"/>
      <c r="I154" s="40"/>
      <c r="J154" s="57"/>
      <c r="K154" s="1">
        <v>204132</v>
      </c>
      <c r="L154" s="1" t="str">
        <f>IFERROR(INDEX([1]物品基础表!$A:$A,MATCH(K154,[1]物品基础表!$B:$B,0)),"")</f>
        <v>橙色图鉴包·倾国倾城</v>
      </c>
      <c r="M154" s="1">
        <v>1</v>
      </c>
      <c r="O154" s="1" t="str">
        <f>IFERROR(INDEX([1]物品基础表!$A:$A,MATCH(N154,[1]物品基础表!$B:$B,0)),"")</f>
        <v/>
      </c>
      <c r="R154" s="1" t="str">
        <f>IFERROR(INDEX([1]物品基础表!$A:$A,MATCH(Q154,[1]物品基础表!$B:$B,0)),"")</f>
        <v/>
      </c>
      <c r="U154" s="1" t="str">
        <f>IFERROR(INDEX([1]物品基础表!$A:$A,MATCH(T154,[1]物品基础表!$B:$B,0)),"")</f>
        <v/>
      </c>
      <c r="X154" s="1" t="str">
        <f>IFERROR(INDEX([1]物品基础表!$A:$A,MATCH(W154,[1]物品基础表!$B:$B,0)),"")</f>
        <v/>
      </c>
      <c r="AA154" s="1" t="str">
        <f>IFERROR(INDEX([1]物品基础表!$A:$A,MATCH(Z154,[1]物品基础表!$B:$B,0)),"")</f>
        <v/>
      </c>
      <c r="AD154" s="1" t="str">
        <f>IFERROR(INDEX([1]物品基础表!$A:$A,MATCH(AC154,[1]物品基础表!$B:$B,0)),"")</f>
        <v/>
      </c>
      <c r="AG154" s="1" t="str">
        <f>IFERROR(INDEX([1]物品基础表!$A:$A,MATCH(AF154,[1]物品基础表!$B:$B,0)),"")</f>
        <v/>
      </c>
      <c r="AJ154" s="1" t="str">
        <f>IFERROR(INDEX([1]物品基础表!$A:$A,MATCH(AI154,[1]物品基础表!$B:$B,0)),"")</f>
        <v/>
      </c>
      <c r="AM154" s="1" t="str">
        <f>IFERROR(INDEX([1]物品基础表!$A:$A,MATCH(AL154,[1]物品基础表!$B:$B,0)),"")</f>
        <v/>
      </c>
      <c r="AP154" s="1" t="str">
        <f>IFERROR(INDEX([1]物品基础表!$A:$A,MATCH(AO154,[1]物品基础表!$B:$B,0)),"")</f>
        <v/>
      </c>
      <c r="AS154" s="1" t="str">
        <f>IFERROR(INDEX([1]物品基础表!$A:$A,MATCH(AR154,[1]物品基础表!$B:$B,0)),"")</f>
        <v/>
      </c>
      <c r="AV154" s="1" t="str">
        <f>IFERROR(INDEX([1]物品基础表!$A:$A,MATCH(AU154,[1]物品基础表!$B:$B,0)),"")</f>
        <v/>
      </c>
      <c r="AY154" s="1" t="str">
        <f>IFERROR(INDEX([1]物品基础表!$A:$A,MATCH(AX154,[1]物品基础表!$B:$B,0)),"")</f>
        <v/>
      </c>
      <c r="BB154" s="1" t="str">
        <f>IFERROR(INDEX([1]物品基础表!$A:$A,MATCH(BA154,[1]物品基础表!$B:$B,0)),"")</f>
        <v/>
      </c>
      <c r="BE154" s="1" t="str">
        <f>IFERROR(INDEX([1]物品基础表!$A:$A,MATCH(BD154,[1]物品基础表!$B:$B,0)),"")</f>
        <v/>
      </c>
      <c r="BH154" s="1" t="str">
        <f>IFERROR(INDEX([1]物品基础表!$A:$A,MATCH(BG154,[1]物品基础表!$B:$B,0)),"")</f>
        <v/>
      </c>
      <c r="BK154" s="1" t="str">
        <f>IFERROR(INDEX([1]物品基础表!$A:$A,MATCH(BJ154,[1]物品基础表!$B:$B,0)),"")</f>
        <v/>
      </c>
    </row>
    <row r="155" spans="1:63">
      <c r="A155" s="39" t="str">
        <f>INDEX([2]活动总表!$A$8:$A$429,MATCH(B155,[2]活动总表!$B$8:$B$429,0))</f>
        <v>腊八-福袋（61-无限天）</v>
      </c>
      <c r="B155" s="40">
        <v>418</v>
      </c>
      <c r="C155" s="40">
        <v>15</v>
      </c>
      <c r="D155" s="40"/>
      <c r="E155" s="40"/>
      <c r="F155" s="40" t="s">
        <v>833</v>
      </c>
      <c r="G155" s="40">
        <v>2</v>
      </c>
      <c r="H155" s="40"/>
      <c r="I155" s="40"/>
      <c r="J155" s="57"/>
      <c r="K155" s="1">
        <v>204136</v>
      </c>
      <c r="L155" s="1" t="str">
        <f>IFERROR(INDEX([1]物品基础表!$A:$A,MATCH(K155,[1]物品基础表!$B:$B,0)),"")</f>
        <v>轮回宝箱（8转）</v>
      </c>
      <c r="M155" s="1">
        <v>1</v>
      </c>
      <c r="O155" s="1" t="str">
        <f>IFERROR(INDEX([1]物品基础表!$A:$A,MATCH(N155,[1]物品基础表!$B:$B,0)),"")</f>
        <v/>
      </c>
      <c r="R155" s="1" t="str">
        <f>IFERROR(INDEX([1]物品基础表!$A:$A,MATCH(Q155,[1]物品基础表!$B:$B,0)),"")</f>
        <v/>
      </c>
      <c r="U155" s="1" t="str">
        <f>IFERROR(INDEX([1]物品基础表!$A:$A,MATCH(T155,[1]物品基础表!$B:$B,0)),"")</f>
        <v/>
      </c>
      <c r="X155" s="1" t="str">
        <f>IFERROR(INDEX([1]物品基础表!$A:$A,MATCH(W155,[1]物品基础表!$B:$B,0)),"")</f>
        <v/>
      </c>
      <c r="AA155" s="1" t="str">
        <f>IFERROR(INDEX([1]物品基础表!$A:$A,MATCH(Z155,[1]物品基础表!$B:$B,0)),"")</f>
        <v/>
      </c>
      <c r="AD155" s="1" t="str">
        <f>IFERROR(INDEX([1]物品基础表!$A:$A,MATCH(AC155,[1]物品基础表!$B:$B,0)),"")</f>
        <v/>
      </c>
      <c r="AG155" s="1" t="str">
        <f>IFERROR(INDEX([1]物品基础表!$A:$A,MATCH(AF155,[1]物品基础表!$B:$B,0)),"")</f>
        <v/>
      </c>
      <c r="AJ155" s="1" t="str">
        <f>IFERROR(INDEX([1]物品基础表!$A:$A,MATCH(AI155,[1]物品基础表!$B:$B,0)),"")</f>
        <v/>
      </c>
      <c r="AM155" s="1" t="str">
        <f>IFERROR(INDEX([1]物品基础表!$A:$A,MATCH(AL155,[1]物品基础表!$B:$B,0)),"")</f>
        <v/>
      </c>
      <c r="AP155" s="1" t="str">
        <f>IFERROR(INDEX([1]物品基础表!$A:$A,MATCH(AO155,[1]物品基础表!$B:$B,0)),"")</f>
        <v/>
      </c>
      <c r="AS155" s="1" t="str">
        <f>IFERROR(INDEX([1]物品基础表!$A:$A,MATCH(AR155,[1]物品基础表!$B:$B,0)),"")</f>
        <v/>
      </c>
      <c r="AV155" s="1" t="str">
        <f>IFERROR(INDEX([1]物品基础表!$A:$A,MATCH(AU155,[1]物品基础表!$B:$B,0)),"")</f>
        <v/>
      </c>
      <c r="AY155" s="1" t="str">
        <f>IFERROR(INDEX([1]物品基础表!$A:$A,MATCH(AX155,[1]物品基础表!$B:$B,0)),"")</f>
        <v/>
      </c>
      <c r="BB155" s="1" t="str">
        <f>IFERROR(INDEX([1]物品基础表!$A:$A,MATCH(BA155,[1]物品基础表!$B:$B,0)),"")</f>
        <v/>
      </c>
      <c r="BE155" s="1" t="str">
        <f>IFERROR(INDEX([1]物品基础表!$A:$A,MATCH(BD155,[1]物品基础表!$B:$B,0)),"")</f>
        <v/>
      </c>
      <c r="BH155" s="1" t="str">
        <f>IFERROR(INDEX([1]物品基础表!$A:$A,MATCH(BG155,[1]物品基础表!$B:$B,0)),"")</f>
        <v/>
      </c>
      <c r="BK155" s="1" t="str">
        <f>IFERROR(INDEX([1]物品基础表!$A:$A,MATCH(BJ155,[1]物品基础表!$B:$B,0)),"")</f>
        <v/>
      </c>
    </row>
    <row r="156" spans="1:63">
      <c r="A156" s="39" t="str">
        <f>INDEX([2]活动总表!$A$8:$A$429,MATCH(B156,[2]活动总表!$B$8:$B$429,0))</f>
        <v>腊八-福袋（61-无限天）</v>
      </c>
      <c r="B156" s="40">
        <v>418</v>
      </c>
      <c r="C156" s="40">
        <v>16</v>
      </c>
      <c r="D156" s="40"/>
      <c r="E156" s="40"/>
      <c r="F156" s="40" t="s">
        <v>834</v>
      </c>
      <c r="G156" s="40">
        <v>2</v>
      </c>
      <c r="H156" s="40"/>
      <c r="I156" s="40"/>
      <c r="J156" s="57"/>
      <c r="K156" s="1">
        <v>204135</v>
      </c>
      <c r="L156" s="1" t="str">
        <f>IFERROR(INDEX([1]物品基础表!$A:$A,MATCH(K156,[1]物品基础表!$B:$B,0)),"")</f>
        <v>轮回宝箱（7转）</v>
      </c>
      <c r="M156" s="1">
        <v>1</v>
      </c>
      <c r="O156" s="1" t="str">
        <f>IFERROR(INDEX([1]物品基础表!$A:$A,MATCH(N156,[1]物品基础表!$B:$B,0)),"")</f>
        <v/>
      </c>
      <c r="R156" s="1" t="str">
        <f>IFERROR(INDEX([1]物品基础表!$A:$A,MATCH(Q156,[1]物品基础表!$B:$B,0)),"")</f>
        <v/>
      </c>
      <c r="U156" s="1" t="str">
        <f>IFERROR(INDEX([1]物品基础表!$A:$A,MATCH(T156,[1]物品基础表!$B:$B,0)),"")</f>
        <v/>
      </c>
      <c r="X156" s="1" t="str">
        <f>IFERROR(INDEX([1]物品基础表!$A:$A,MATCH(W156,[1]物品基础表!$B:$B,0)),"")</f>
        <v/>
      </c>
      <c r="AA156" s="1" t="str">
        <f>IFERROR(INDEX([1]物品基础表!$A:$A,MATCH(Z156,[1]物品基础表!$B:$B,0)),"")</f>
        <v/>
      </c>
      <c r="AD156" s="1" t="str">
        <f>IFERROR(INDEX([1]物品基础表!$A:$A,MATCH(AC156,[1]物品基础表!$B:$B,0)),"")</f>
        <v/>
      </c>
      <c r="AG156" s="1" t="str">
        <f>IFERROR(INDEX([1]物品基础表!$A:$A,MATCH(AF156,[1]物品基础表!$B:$B,0)),"")</f>
        <v/>
      </c>
      <c r="AJ156" s="1" t="str">
        <f>IFERROR(INDEX([1]物品基础表!$A:$A,MATCH(AI156,[1]物品基础表!$B:$B,0)),"")</f>
        <v/>
      </c>
      <c r="AM156" s="1" t="str">
        <f>IFERROR(INDEX([1]物品基础表!$A:$A,MATCH(AL156,[1]物品基础表!$B:$B,0)),"")</f>
        <v/>
      </c>
      <c r="AP156" s="1" t="str">
        <f>IFERROR(INDEX([1]物品基础表!$A:$A,MATCH(AO156,[1]物品基础表!$B:$B,0)),"")</f>
        <v/>
      </c>
      <c r="AS156" s="1" t="str">
        <f>IFERROR(INDEX([1]物品基础表!$A:$A,MATCH(AR156,[1]物品基础表!$B:$B,0)),"")</f>
        <v/>
      </c>
      <c r="AV156" s="1" t="str">
        <f>IFERROR(INDEX([1]物品基础表!$A:$A,MATCH(AU156,[1]物品基础表!$B:$B,0)),"")</f>
        <v/>
      </c>
      <c r="AY156" s="1" t="str">
        <f>IFERROR(INDEX([1]物品基础表!$A:$A,MATCH(AX156,[1]物品基础表!$B:$B,0)),"")</f>
        <v/>
      </c>
      <c r="BB156" s="1" t="str">
        <f>IFERROR(INDEX([1]物品基础表!$A:$A,MATCH(BA156,[1]物品基础表!$B:$B,0)),"")</f>
        <v/>
      </c>
      <c r="BE156" s="1" t="str">
        <f>IFERROR(INDEX([1]物品基础表!$A:$A,MATCH(BD156,[1]物品基础表!$B:$B,0)),"")</f>
        <v/>
      </c>
      <c r="BH156" s="1" t="str">
        <f>IFERROR(INDEX([1]物品基础表!$A:$A,MATCH(BG156,[1]物品基础表!$B:$B,0)),"")</f>
        <v/>
      </c>
      <c r="BK156" s="1" t="str">
        <f>IFERROR(INDEX([1]物品基础表!$A:$A,MATCH(BJ156,[1]物品基础表!$B:$B,0)),"")</f>
        <v/>
      </c>
    </row>
    <row r="157" spans="1:63">
      <c r="A157" s="39" t="str">
        <f>INDEX([2]活动总表!$A$8:$A$429,MATCH(B157,[2]活动总表!$B$8:$B$429,0))</f>
        <v>腊八-福袋（61-无限天）</v>
      </c>
      <c r="B157" s="40">
        <v>418</v>
      </c>
      <c r="C157" s="40">
        <v>17</v>
      </c>
      <c r="D157" s="40"/>
      <c r="E157" s="40"/>
      <c r="F157" s="40" t="s">
        <v>846</v>
      </c>
      <c r="G157" s="40">
        <v>2</v>
      </c>
      <c r="H157" s="40"/>
      <c r="I157" s="40"/>
      <c r="J157" s="57"/>
      <c r="K157" s="1">
        <v>200001</v>
      </c>
      <c r="L157" s="1" t="str">
        <f>IFERROR(INDEX([1]物品基础表!$A:$A,MATCH(K157,[1]物品基础表!$B:$B,0)),"")</f>
        <v>羽毛</v>
      </c>
      <c r="M157" s="1">
        <v>5</v>
      </c>
      <c r="O157" s="1" t="str">
        <f>IFERROR(INDEX([1]物品基础表!$A:$A,MATCH(N157,[1]物品基础表!$B:$B,0)),"")</f>
        <v/>
      </c>
      <c r="R157" s="1" t="str">
        <f>IFERROR(INDEX([1]物品基础表!$A:$A,MATCH(Q157,[1]物品基础表!$B:$B,0)),"")</f>
        <v/>
      </c>
      <c r="U157" s="1" t="str">
        <f>IFERROR(INDEX([1]物品基础表!$A:$A,MATCH(T157,[1]物品基础表!$B:$B,0)),"")</f>
        <v/>
      </c>
      <c r="X157" s="1" t="str">
        <f>IFERROR(INDEX([1]物品基础表!$A:$A,MATCH(W157,[1]物品基础表!$B:$B,0)),"")</f>
        <v/>
      </c>
      <c r="AA157" s="1" t="str">
        <f>IFERROR(INDEX([1]物品基础表!$A:$A,MATCH(Z157,[1]物品基础表!$B:$B,0)),"")</f>
        <v/>
      </c>
      <c r="AD157" s="1" t="str">
        <f>IFERROR(INDEX([1]物品基础表!$A:$A,MATCH(AC157,[1]物品基础表!$B:$B,0)),"")</f>
        <v/>
      </c>
      <c r="AG157" s="1" t="str">
        <f>IFERROR(INDEX([1]物品基础表!$A:$A,MATCH(AF157,[1]物品基础表!$B:$B,0)),"")</f>
        <v/>
      </c>
      <c r="AJ157" s="1" t="str">
        <f>IFERROR(INDEX([1]物品基础表!$A:$A,MATCH(AI157,[1]物品基础表!$B:$B,0)),"")</f>
        <v/>
      </c>
      <c r="AM157" s="1" t="str">
        <f>IFERROR(INDEX([1]物品基础表!$A:$A,MATCH(AL157,[1]物品基础表!$B:$B,0)),"")</f>
        <v/>
      </c>
      <c r="AP157" s="1" t="str">
        <f>IFERROR(INDEX([1]物品基础表!$A:$A,MATCH(AO157,[1]物品基础表!$B:$B,0)),"")</f>
        <v/>
      </c>
      <c r="AS157" s="1" t="str">
        <f>IFERROR(INDEX([1]物品基础表!$A:$A,MATCH(AR157,[1]物品基础表!$B:$B,0)),"")</f>
        <v/>
      </c>
      <c r="AV157" s="1" t="str">
        <f>IFERROR(INDEX([1]物品基础表!$A:$A,MATCH(AU157,[1]物品基础表!$B:$B,0)),"")</f>
        <v/>
      </c>
      <c r="AY157" s="1" t="str">
        <f>IFERROR(INDEX([1]物品基础表!$A:$A,MATCH(AX157,[1]物品基础表!$B:$B,0)),"")</f>
        <v/>
      </c>
      <c r="BB157" s="1" t="str">
        <f>IFERROR(INDEX([1]物品基础表!$A:$A,MATCH(BA157,[1]物品基础表!$B:$B,0)),"")</f>
        <v/>
      </c>
      <c r="BE157" s="1" t="str">
        <f>IFERROR(INDEX([1]物品基础表!$A:$A,MATCH(BD157,[1]物品基础表!$B:$B,0)),"")</f>
        <v/>
      </c>
      <c r="BH157" s="1" t="str">
        <f>IFERROR(INDEX([1]物品基础表!$A:$A,MATCH(BG157,[1]物品基础表!$B:$B,0)),"")</f>
        <v/>
      </c>
      <c r="BK157" s="1" t="str">
        <f>IFERROR(INDEX([1]物品基础表!$A:$A,MATCH(BJ157,[1]物品基础表!$B:$B,0)),"")</f>
        <v/>
      </c>
    </row>
    <row r="158" spans="1:63">
      <c r="A158" s="39" t="str">
        <f>INDEX([2]活动总表!$A$8:$A$429,MATCH(B158,[2]活动总表!$B$8:$B$429,0))</f>
        <v>腊八-福袋（61-无限天）</v>
      </c>
      <c r="B158" s="40">
        <v>418</v>
      </c>
      <c r="C158" s="40">
        <v>18</v>
      </c>
      <c r="D158" s="40"/>
      <c r="E158" s="40"/>
      <c r="F158" s="40" t="s">
        <v>846</v>
      </c>
      <c r="G158" s="40">
        <v>2</v>
      </c>
      <c r="H158" s="40"/>
      <c r="I158" s="40"/>
      <c r="J158" s="57"/>
      <c r="K158" s="1">
        <v>200001</v>
      </c>
      <c r="L158" s="1" t="str">
        <f>IFERROR(INDEX([1]物品基础表!$A:$A,MATCH(K158,[1]物品基础表!$B:$B,0)),"")</f>
        <v>羽毛</v>
      </c>
      <c r="M158" s="1">
        <v>8</v>
      </c>
      <c r="O158" s="1" t="str">
        <f>IFERROR(INDEX([1]物品基础表!$A:$A,MATCH(N158,[1]物品基础表!$B:$B,0)),"")</f>
        <v/>
      </c>
      <c r="R158" s="1" t="str">
        <f>IFERROR(INDEX([1]物品基础表!$A:$A,MATCH(Q158,[1]物品基础表!$B:$B,0)),"")</f>
        <v/>
      </c>
      <c r="U158" s="1" t="str">
        <f>IFERROR(INDEX([1]物品基础表!$A:$A,MATCH(T158,[1]物品基础表!$B:$B,0)),"")</f>
        <v/>
      </c>
      <c r="X158" s="1" t="str">
        <f>IFERROR(INDEX([1]物品基础表!$A:$A,MATCH(W158,[1]物品基础表!$B:$B,0)),"")</f>
        <v/>
      </c>
      <c r="AA158" s="1" t="str">
        <f>IFERROR(INDEX([1]物品基础表!$A:$A,MATCH(Z158,[1]物品基础表!$B:$B,0)),"")</f>
        <v/>
      </c>
      <c r="AD158" s="1" t="str">
        <f>IFERROR(INDEX([1]物品基础表!$A:$A,MATCH(AC158,[1]物品基础表!$B:$B,0)),"")</f>
        <v/>
      </c>
      <c r="AG158" s="1" t="str">
        <f>IFERROR(INDEX([1]物品基础表!$A:$A,MATCH(AF158,[1]物品基础表!$B:$B,0)),"")</f>
        <v/>
      </c>
      <c r="AJ158" s="1" t="str">
        <f>IFERROR(INDEX([1]物品基础表!$A:$A,MATCH(AI158,[1]物品基础表!$B:$B,0)),"")</f>
        <v/>
      </c>
      <c r="AM158" s="1" t="str">
        <f>IFERROR(INDEX([1]物品基础表!$A:$A,MATCH(AL158,[1]物品基础表!$B:$B,0)),"")</f>
        <v/>
      </c>
      <c r="AP158" s="1" t="str">
        <f>IFERROR(INDEX([1]物品基础表!$A:$A,MATCH(AO158,[1]物品基础表!$B:$B,0)),"")</f>
        <v/>
      </c>
      <c r="AS158" s="1" t="str">
        <f>IFERROR(INDEX([1]物品基础表!$A:$A,MATCH(AR158,[1]物品基础表!$B:$B,0)),"")</f>
        <v/>
      </c>
      <c r="AV158" s="1" t="str">
        <f>IFERROR(INDEX([1]物品基础表!$A:$A,MATCH(AU158,[1]物品基础表!$B:$B,0)),"")</f>
        <v/>
      </c>
      <c r="AY158" s="1" t="str">
        <f>IFERROR(INDEX([1]物品基础表!$A:$A,MATCH(AX158,[1]物品基础表!$B:$B,0)),"")</f>
        <v/>
      </c>
      <c r="BB158" s="1" t="str">
        <f>IFERROR(INDEX([1]物品基础表!$A:$A,MATCH(BA158,[1]物品基础表!$B:$B,0)),"")</f>
        <v/>
      </c>
      <c r="BE158" s="1" t="str">
        <f>IFERROR(INDEX([1]物品基础表!$A:$A,MATCH(BD158,[1]物品基础表!$B:$B,0)),"")</f>
        <v/>
      </c>
      <c r="BH158" s="1" t="str">
        <f>IFERROR(INDEX([1]物品基础表!$A:$A,MATCH(BG158,[1]物品基础表!$B:$B,0)),"")</f>
        <v/>
      </c>
      <c r="BK158" s="1" t="str">
        <f>IFERROR(INDEX([1]物品基础表!$A:$A,MATCH(BJ158,[1]物品基础表!$B:$B,0)),"")</f>
        <v/>
      </c>
    </row>
    <row r="159" spans="1:63">
      <c r="A159" s="39" t="str">
        <f>INDEX([2]活动总表!$A$8:$A$429,MATCH(B159,[2]活动总表!$B$8:$B$429,0))</f>
        <v>腊八-福袋（61-无限天）</v>
      </c>
      <c r="B159" s="40">
        <v>418</v>
      </c>
      <c r="C159" s="40">
        <v>19</v>
      </c>
      <c r="D159" s="40"/>
      <c r="E159" s="40"/>
      <c r="F159" s="40" t="s">
        <v>849</v>
      </c>
      <c r="G159" s="40">
        <v>2</v>
      </c>
      <c r="H159" s="40"/>
      <c r="I159" s="40"/>
      <c r="J159" s="57"/>
      <c r="K159" s="1">
        <v>200001</v>
      </c>
      <c r="L159" s="1" t="str">
        <f>IFERROR(INDEX([1]物品基础表!$A:$A,MATCH(K159,[1]物品基础表!$B:$B,0)),"")</f>
        <v>羽毛</v>
      </c>
      <c r="M159" s="1">
        <v>10</v>
      </c>
      <c r="O159" s="1" t="str">
        <f>IFERROR(INDEX([1]物品基础表!$A:$A,MATCH(N159,[1]物品基础表!$B:$B,0)),"")</f>
        <v/>
      </c>
      <c r="R159" s="1" t="str">
        <f>IFERROR(INDEX([1]物品基础表!$A:$A,MATCH(Q159,[1]物品基础表!$B:$B,0)),"")</f>
        <v/>
      </c>
      <c r="U159" s="1" t="str">
        <f>IFERROR(INDEX([1]物品基础表!$A:$A,MATCH(T159,[1]物品基础表!$B:$B,0)),"")</f>
        <v/>
      </c>
      <c r="X159" s="1" t="str">
        <f>IFERROR(INDEX([1]物品基础表!$A:$A,MATCH(W159,[1]物品基础表!$B:$B,0)),"")</f>
        <v/>
      </c>
      <c r="AA159" s="1" t="str">
        <f>IFERROR(INDEX([1]物品基础表!$A:$A,MATCH(Z159,[1]物品基础表!$B:$B,0)),"")</f>
        <v/>
      </c>
      <c r="AD159" s="1" t="str">
        <f>IFERROR(INDEX([1]物品基础表!$A:$A,MATCH(AC159,[1]物品基础表!$B:$B,0)),"")</f>
        <v/>
      </c>
      <c r="AG159" s="1" t="str">
        <f>IFERROR(INDEX([1]物品基础表!$A:$A,MATCH(AF159,[1]物品基础表!$B:$B,0)),"")</f>
        <v/>
      </c>
      <c r="AJ159" s="1" t="str">
        <f>IFERROR(INDEX([1]物品基础表!$A:$A,MATCH(AI159,[1]物品基础表!$B:$B,0)),"")</f>
        <v/>
      </c>
      <c r="AM159" s="1" t="str">
        <f>IFERROR(INDEX([1]物品基础表!$A:$A,MATCH(AL159,[1]物品基础表!$B:$B,0)),"")</f>
        <v/>
      </c>
      <c r="AP159" s="1" t="str">
        <f>IFERROR(INDEX([1]物品基础表!$A:$A,MATCH(AO159,[1]物品基础表!$B:$B,0)),"")</f>
        <v/>
      </c>
      <c r="AS159" s="1" t="str">
        <f>IFERROR(INDEX([1]物品基础表!$A:$A,MATCH(AR159,[1]物品基础表!$B:$B,0)),"")</f>
        <v/>
      </c>
      <c r="AV159" s="1" t="str">
        <f>IFERROR(INDEX([1]物品基础表!$A:$A,MATCH(AU159,[1]物品基础表!$B:$B,0)),"")</f>
        <v/>
      </c>
      <c r="AY159" s="1" t="str">
        <f>IFERROR(INDEX([1]物品基础表!$A:$A,MATCH(AX159,[1]物品基础表!$B:$B,0)),"")</f>
        <v/>
      </c>
      <c r="BB159" s="1" t="str">
        <f>IFERROR(INDEX([1]物品基础表!$A:$A,MATCH(BA159,[1]物品基础表!$B:$B,0)),"")</f>
        <v/>
      </c>
      <c r="BE159" s="1" t="str">
        <f>IFERROR(INDEX([1]物品基础表!$A:$A,MATCH(BD159,[1]物品基础表!$B:$B,0)),"")</f>
        <v/>
      </c>
      <c r="BH159" s="1" t="str">
        <f>IFERROR(INDEX([1]物品基础表!$A:$A,MATCH(BG159,[1]物品基础表!$B:$B,0)),"")</f>
        <v/>
      </c>
      <c r="BK159" s="1" t="str">
        <f>IFERROR(INDEX([1]物品基础表!$A:$A,MATCH(BJ159,[1]物品基础表!$B:$B,0)),"")</f>
        <v/>
      </c>
    </row>
    <row r="160" spans="1:63">
      <c r="A160" s="39" t="str">
        <f>INDEX([2]活动总表!$A$8:$A$429,MATCH(B160,[2]活动总表!$B$8:$B$429,0))</f>
        <v>腊八-福袋（61-无限天）</v>
      </c>
      <c r="B160" s="40">
        <v>418</v>
      </c>
      <c r="C160" s="40">
        <v>20</v>
      </c>
      <c r="D160" s="40"/>
      <c r="E160" s="40"/>
      <c r="F160" s="40" t="s">
        <v>834</v>
      </c>
      <c r="G160" s="40">
        <v>2</v>
      </c>
      <c r="H160" s="40"/>
      <c r="I160" s="40"/>
      <c r="J160" s="57"/>
      <c r="K160" s="1">
        <v>200001</v>
      </c>
      <c r="L160" s="1" t="str">
        <f>IFERROR(INDEX([1]物品基础表!$A:$A,MATCH(K160,[1]物品基础表!$B:$B,0)),"")</f>
        <v>羽毛</v>
      </c>
      <c r="M160" s="1">
        <v>15</v>
      </c>
      <c r="O160" s="1" t="str">
        <f>IFERROR(INDEX([1]物品基础表!$A:$A,MATCH(N160,[1]物品基础表!$B:$B,0)),"")</f>
        <v/>
      </c>
      <c r="R160" s="1" t="str">
        <f>IFERROR(INDEX([1]物品基础表!$A:$A,MATCH(Q160,[1]物品基础表!$B:$B,0)),"")</f>
        <v/>
      </c>
      <c r="U160" s="1" t="str">
        <f>IFERROR(INDEX([1]物品基础表!$A:$A,MATCH(T160,[1]物品基础表!$B:$B,0)),"")</f>
        <v/>
      </c>
      <c r="X160" s="1" t="str">
        <f>IFERROR(INDEX([1]物品基础表!$A:$A,MATCH(W160,[1]物品基础表!$B:$B,0)),"")</f>
        <v/>
      </c>
      <c r="AA160" s="1" t="str">
        <f>IFERROR(INDEX([1]物品基础表!$A:$A,MATCH(Z160,[1]物品基础表!$B:$B,0)),"")</f>
        <v/>
      </c>
      <c r="AD160" s="1" t="str">
        <f>IFERROR(INDEX([1]物品基础表!$A:$A,MATCH(AC160,[1]物品基础表!$B:$B,0)),"")</f>
        <v/>
      </c>
      <c r="AG160" s="1" t="str">
        <f>IFERROR(INDEX([1]物品基础表!$A:$A,MATCH(AF160,[1]物品基础表!$B:$B,0)),"")</f>
        <v/>
      </c>
      <c r="AJ160" s="1" t="str">
        <f>IFERROR(INDEX([1]物品基础表!$A:$A,MATCH(AI160,[1]物品基础表!$B:$B,0)),"")</f>
        <v/>
      </c>
      <c r="AM160" s="1" t="str">
        <f>IFERROR(INDEX([1]物品基础表!$A:$A,MATCH(AL160,[1]物品基础表!$B:$B,0)),"")</f>
        <v/>
      </c>
      <c r="AP160" s="1" t="str">
        <f>IFERROR(INDEX([1]物品基础表!$A:$A,MATCH(AO160,[1]物品基础表!$B:$B,0)),"")</f>
        <v/>
      </c>
      <c r="AS160" s="1" t="str">
        <f>IFERROR(INDEX([1]物品基础表!$A:$A,MATCH(AR160,[1]物品基础表!$B:$B,0)),"")</f>
        <v/>
      </c>
      <c r="AV160" s="1" t="str">
        <f>IFERROR(INDEX([1]物品基础表!$A:$A,MATCH(AU160,[1]物品基础表!$B:$B,0)),"")</f>
        <v/>
      </c>
      <c r="AY160" s="1" t="str">
        <f>IFERROR(INDEX([1]物品基础表!$A:$A,MATCH(AX160,[1]物品基础表!$B:$B,0)),"")</f>
        <v/>
      </c>
      <c r="BB160" s="1" t="str">
        <f>IFERROR(INDEX([1]物品基础表!$A:$A,MATCH(BA160,[1]物品基础表!$B:$B,0)),"")</f>
        <v/>
      </c>
      <c r="BE160" s="1" t="str">
        <f>IFERROR(INDEX([1]物品基础表!$A:$A,MATCH(BD160,[1]物品基础表!$B:$B,0)),"")</f>
        <v/>
      </c>
      <c r="BH160" s="1" t="str">
        <f>IFERROR(INDEX([1]物品基础表!$A:$A,MATCH(BG160,[1]物品基础表!$B:$B,0)),"")</f>
        <v/>
      </c>
      <c r="BK160" s="1" t="str">
        <f>IFERROR(INDEX([1]物品基础表!$A:$A,MATCH(BJ160,[1]物品基础表!$B:$B,0)),"")</f>
        <v/>
      </c>
    </row>
    <row r="161" spans="1:63">
      <c r="A161" s="39" t="str">
        <f>INDEX([2]活动总表!$A$8:$A$429,MATCH(B161,[2]活动总表!$B$8:$B$429,0))</f>
        <v>腊八-福袋（61-无限天）</v>
      </c>
      <c r="B161" s="40">
        <v>418</v>
      </c>
      <c r="C161" s="40">
        <v>21</v>
      </c>
      <c r="D161" s="40"/>
      <c r="E161" s="40"/>
      <c r="F161" s="40" t="s">
        <v>846</v>
      </c>
      <c r="G161" s="40">
        <v>2</v>
      </c>
      <c r="H161" s="40"/>
      <c r="I161" s="40"/>
      <c r="J161" s="57"/>
      <c r="K161" s="1">
        <v>200005</v>
      </c>
      <c r="L161" s="1" t="str">
        <f>IFERROR(INDEX([1]物品基础表!$A:$A,MATCH(K161,[1]物品基础表!$B:$B,0)),"")</f>
        <v>龙魂碎片</v>
      </c>
      <c r="M161" s="1">
        <v>5</v>
      </c>
      <c r="O161" s="1" t="str">
        <f>IFERROR(INDEX([1]物品基础表!$A:$A,MATCH(N161,[1]物品基础表!$B:$B,0)),"")</f>
        <v/>
      </c>
      <c r="R161" s="1" t="str">
        <f>IFERROR(INDEX([1]物品基础表!$A:$A,MATCH(Q161,[1]物品基础表!$B:$B,0)),"")</f>
        <v/>
      </c>
      <c r="U161" s="1" t="str">
        <f>IFERROR(INDEX([1]物品基础表!$A:$A,MATCH(T161,[1]物品基础表!$B:$B,0)),"")</f>
        <v/>
      </c>
      <c r="X161" s="1" t="str">
        <f>IFERROR(INDEX([1]物品基础表!$A:$A,MATCH(W161,[1]物品基础表!$B:$B,0)),"")</f>
        <v/>
      </c>
      <c r="AA161" s="1" t="str">
        <f>IFERROR(INDEX([1]物品基础表!$A:$A,MATCH(Z161,[1]物品基础表!$B:$B,0)),"")</f>
        <v/>
      </c>
      <c r="AD161" s="1" t="str">
        <f>IFERROR(INDEX([1]物品基础表!$A:$A,MATCH(AC161,[1]物品基础表!$B:$B,0)),"")</f>
        <v/>
      </c>
      <c r="AG161" s="1" t="str">
        <f>IFERROR(INDEX([1]物品基础表!$A:$A,MATCH(AF161,[1]物品基础表!$B:$B,0)),"")</f>
        <v/>
      </c>
      <c r="AJ161" s="1" t="str">
        <f>IFERROR(INDEX([1]物品基础表!$A:$A,MATCH(AI161,[1]物品基础表!$B:$B,0)),"")</f>
        <v/>
      </c>
      <c r="AM161" s="1" t="str">
        <f>IFERROR(INDEX([1]物品基础表!$A:$A,MATCH(AL161,[1]物品基础表!$B:$B,0)),"")</f>
        <v/>
      </c>
      <c r="AP161" s="1" t="str">
        <f>IFERROR(INDEX([1]物品基础表!$A:$A,MATCH(AO161,[1]物品基础表!$B:$B,0)),"")</f>
        <v/>
      </c>
      <c r="AS161" s="1" t="str">
        <f>IFERROR(INDEX([1]物品基础表!$A:$A,MATCH(AR161,[1]物品基础表!$B:$B,0)),"")</f>
        <v/>
      </c>
      <c r="AV161" s="1" t="str">
        <f>IFERROR(INDEX([1]物品基础表!$A:$A,MATCH(AU161,[1]物品基础表!$B:$B,0)),"")</f>
        <v/>
      </c>
      <c r="AY161" s="1" t="str">
        <f>IFERROR(INDEX([1]物品基础表!$A:$A,MATCH(AX161,[1]物品基础表!$B:$B,0)),"")</f>
        <v/>
      </c>
      <c r="BB161" s="1" t="str">
        <f>IFERROR(INDEX([1]物品基础表!$A:$A,MATCH(BA161,[1]物品基础表!$B:$B,0)),"")</f>
        <v/>
      </c>
      <c r="BE161" s="1" t="str">
        <f>IFERROR(INDEX([1]物品基础表!$A:$A,MATCH(BD161,[1]物品基础表!$B:$B,0)),"")</f>
        <v/>
      </c>
      <c r="BH161" s="1" t="str">
        <f>IFERROR(INDEX([1]物品基础表!$A:$A,MATCH(BG161,[1]物品基础表!$B:$B,0)),"")</f>
        <v/>
      </c>
      <c r="BK161" s="1" t="str">
        <f>IFERROR(INDEX([1]物品基础表!$A:$A,MATCH(BJ161,[1]物品基础表!$B:$B,0)),"")</f>
        <v/>
      </c>
    </row>
    <row r="162" spans="1:63">
      <c r="A162" s="39" t="str">
        <f>INDEX([2]活动总表!$A$8:$A$429,MATCH(B162,[2]活动总表!$B$8:$B$429,0))</f>
        <v>腊八-福袋（61-无限天）</v>
      </c>
      <c r="B162" s="40">
        <v>418</v>
      </c>
      <c r="C162" s="40">
        <v>22</v>
      </c>
      <c r="D162" s="40"/>
      <c r="E162" s="40"/>
      <c r="F162" s="40" t="s">
        <v>846</v>
      </c>
      <c r="G162" s="40">
        <v>2</v>
      </c>
      <c r="H162" s="40"/>
      <c r="I162" s="40"/>
      <c r="J162" s="57"/>
      <c r="K162" s="1">
        <v>200005</v>
      </c>
      <c r="L162" s="1" t="str">
        <f>IFERROR(INDEX([1]物品基础表!$A:$A,MATCH(K162,[1]物品基础表!$B:$B,0)),"")</f>
        <v>龙魂碎片</v>
      </c>
      <c r="M162" s="1">
        <v>8</v>
      </c>
      <c r="O162" s="1" t="str">
        <f>IFERROR(INDEX([1]物品基础表!$A:$A,MATCH(N162,[1]物品基础表!$B:$B,0)),"")</f>
        <v/>
      </c>
      <c r="R162" s="1" t="str">
        <f>IFERROR(INDEX([1]物品基础表!$A:$A,MATCH(Q162,[1]物品基础表!$B:$B,0)),"")</f>
        <v/>
      </c>
      <c r="U162" s="1" t="str">
        <f>IFERROR(INDEX([1]物品基础表!$A:$A,MATCH(T162,[1]物品基础表!$B:$B,0)),"")</f>
        <v/>
      </c>
      <c r="X162" s="1" t="str">
        <f>IFERROR(INDEX([1]物品基础表!$A:$A,MATCH(W162,[1]物品基础表!$B:$B,0)),"")</f>
        <v/>
      </c>
      <c r="AA162" s="1" t="str">
        <f>IFERROR(INDEX([1]物品基础表!$A:$A,MATCH(Z162,[1]物品基础表!$B:$B,0)),"")</f>
        <v/>
      </c>
      <c r="AD162" s="1" t="str">
        <f>IFERROR(INDEX([1]物品基础表!$A:$A,MATCH(AC162,[1]物品基础表!$B:$B,0)),"")</f>
        <v/>
      </c>
      <c r="AG162" s="1" t="str">
        <f>IFERROR(INDEX([1]物品基础表!$A:$A,MATCH(AF162,[1]物品基础表!$B:$B,0)),"")</f>
        <v/>
      </c>
      <c r="AJ162" s="1" t="str">
        <f>IFERROR(INDEX([1]物品基础表!$A:$A,MATCH(AI162,[1]物品基础表!$B:$B,0)),"")</f>
        <v/>
      </c>
      <c r="AM162" s="1" t="str">
        <f>IFERROR(INDEX([1]物品基础表!$A:$A,MATCH(AL162,[1]物品基础表!$B:$B,0)),"")</f>
        <v/>
      </c>
      <c r="AP162" s="1" t="str">
        <f>IFERROR(INDEX([1]物品基础表!$A:$A,MATCH(AO162,[1]物品基础表!$B:$B,0)),"")</f>
        <v/>
      </c>
      <c r="AS162" s="1" t="str">
        <f>IFERROR(INDEX([1]物品基础表!$A:$A,MATCH(AR162,[1]物品基础表!$B:$B,0)),"")</f>
        <v/>
      </c>
      <c r="AV162" s="1" t="str">
        <f>IFERROR(INDEX([1]物品基础表!$A:$A,MATCH(AU162,[1]物品基础表!$B:$B,0)),"")</f>
        <v/>
      </c>
      <c r="AY162" s="1" t="str">
        <f>IFERROR(INDEX([1]物品基础表!$A:$A,MATCH(AX162,[1]物品基础表!$B:$B,0)),"")</f>
        <v/>
      </c>
      <c r="BB162" s="1" t="str">
        <f>IFERROR(INDEX([1]物品基础表!$A:$A,MATCH(BA162,[1]物品基础表!$B:$B,0)),"")</f>
        <v/>
      </c>
      <c r="BE162" s="1" t="str">
        <f>IFERROR(INDEX([1]物品基础表!$A:$A,MATCH(BD162,[1]物品基础表!$B:$B,0)),"")</f>
        <v/>
      </c>
      <c r="BH162" s="1" t="str">
        <f>IFERROR(INDEX([1]物品基础表!$A:$A,MATCH(BG162,[1]物品基础表!$B:$B,0)),"")</f>
        <v/>
      </c>
      <c r="BK162" s="1" t="str">
        <f>IFERROR(INDEX([1]物品基础表!$A:$A,MATCH(BJ162,[1]物品基础表!$B:$B,0)),"")</f>
        <v/>
      </c>
    </row>
    <row r="163" spans="1:63">
      <c r="A163" s="39" t="str">
        <f>INDEX([2]活动总表!$A$8:$A$429,MATCH(B163,[2]活动总表!$B$8:$B$429,0))</f>
        <v>腊八-福袋（61-无限天）</v>
      </c>
      <c r="B163" s="40">
        <v>418</v>
      </c>
      <c r="C163" s="40">
        <v>23</v>
      </c>
      <c r="D163" s="40"/>
      <c r="E163" s="40"/>
      <c r="F163" s="40" t="s">
        <v>850</v>
      </c>
      <c r="G163" s="40">
        <v>2</v>
      </c>
      <c r="H163" s="40"/>
      <c r="I163" s="40"/>
      <c r="J163" s="57"/>
      <c r="K163" s="1">
        <v>200005</v>
      </c>
      <c r="L163" s="1" t="str">
        <f>IFERROR(INDEX([1]物品基础表!$A:$A,MATCH(K163,[1]物品基础表!$B:$B,0)),"")</f>
        <v>龙魂碎片</v>
      </c>
      <c r="M163" s="1">
        <v>10</v>
      </c>
      <c r="O163" s="1" t="str">
        <f>IFERROR(INDEX([1]物品基础表!$A:$A,MATCH(N163,[1]物品基础表!$B:$B,0)),"")</f>
        <v/>
      </c>
      <c r="R163" s="1" t="str">
        <f>IFERROR(INDEX([1]物品基础表!$A:$A,MATCH(Q163,[1]物品基础表!$B:$B,0)),"")</f>
        <v/>
      </c>
      <c r="U163" s="1" t="str">
        <f>IFERROR(INDEX([1]物品基础表!$A:$A,MATCH(T163,[1]物品基础表!$B:$B,0)),"")</f>
        <v/>
      </c>
      <c r="X163" s="1" t="str">
        <f>IFERROR(INDEX([1]物品基础表!$A:$A,MATCH(W163,[1]物品基础表!$B:$B,0)),"")</f>
        <v/>
      </c>
      <c r="AA163" s="1" t="str">
        <f>IFERROR(INDEX([1]物品基础表!$A:$A,MATCH(Z163,[1]物品基础表!$B:$B,0)),"")</f>
        <v/>
      </c>
      <c r="AD163" s="1" t="str">
        <f>IFERROR(INDEX([1]物品基础表!$A:$A,MATCH(AC163,[1]物品基础表!$B:$B,0)),"")</f>
        <v/>
      </c>
      <c r="AG163" s="1" t="str">
        <f>IFERROR(INDEX([1]物品基础表!$A:$A,MATCH(AF163,[1]物品基础表!$B:$B,0)),"")</f>
        <v/>
      </c>
      <c r="AJ163" s="1" t="str">
        <f>IFERROR(INDEX([1]物品基础表!$A:$A,MATCH(AI163,[1]物品基础表!$B:$B,0)),"")</f>
        <v/>
      </c>
      <c r="AM163" s="1" t="str">
        <f>IFERROR(INDEX([1]物品基础表!$A:$A,MATCH(AL163,[1]物品基础表!$B:$B,0)),"")</f>
        <v/>
      </c>
      <c r="AP163" s="1" t="str">
        <f>IFERROR(INDEX([1]物品基础表!$A:$A,MATCH(AO163,[1]物品基础表!$B:$B,0)),"")</f>
        <v/>
      </c>
      <c r="AS163" s="1" t="str">
        <f>IFERROR(INDEX([1]物品基础表!$A:$A,MATCH(AR163,[1]物品基础表!$B:$B,0)),"")</f>
        <v/>
      </c>
      <c r="AV163" s="1" t="str">
        <f>IFERROR(INDEX([1]物品基础表!$A:$A,MATCH(AU163,[1]物品基础表!$B:$B,0)),"")</f>
        <v/>
      </c>
      <c r="AY163" s="1" t="str">
        <f>IFERROR(INDEX([1]物品基础表!$A:$A,MATCH(AX163,[1]物品基础表!$B:$B,0)),"")</f>
        <v/>
      </c>
      <c r="BB163" s="1" t="str">
        <f>IFERROR(INDEX([1]物品基础表!$A:$A,MATCH(BA163,[1]物品基础表!$B:$B,0)),"")</f>
        <v/>
      </c>
      <c r="BE163" s="1" t="str">
        <f>IFERROR(INDEX([1]物品基础表!$A:$A,MATCH(BD163,[1]物品基础表!$B:$B,0)),"")</f>
        <v/>
      </c>
      <c r="BH163" s="1" t="str">
        <f>IFERROR(INDEX([1]物品基础表!$A:$A,MATCH(BG163,[1]物品基础表!$B:$B,0)),"")</f>
        <v/>
      </c>
      <c r="BK163" s="1" t="str">
        <f>IFERROR(INDEX([1]物品基础表!$A:$A,MATCH(BJ163,[1]物品基础表!$B:$B,0)),"")</f>
        <v/>
      </c>
    </row>
    <row r="164" spans="1:63">
      <c r="A164" s="39" t="str">
        <f>INDEX([2]活动总表!$A$8:$A$429,MATCH(B164,[2]活动总表!$B$8:$B$429,0))</f>
        <v>腊八-福袋（61-无限天）</v>
      </c>
      <c r="B164" s="40">
        <v>418</v>
      </c>
      <c r="C164" s="40">
        <v>24</v>
      </c>
      <c r="D164" s="40"/>
      <c r="E164" s="40"/>
      <c r="F164" s="40" t="s">
        <v>836</v>
      </c>
      <c r="G164" s="40">
        <v>2</v>
      </c>
      <c r="H164" s="40"/>
      <c r="I164" s="40"/>
      <c r="J164" s="57"/>
      <c r="K164" s="1">
        <v>200005</v>
      </c>
      <c r="L164" s="1" t="str">
        <f>IFERROR(INDEX([1]物品基础表!$A:$A,MATCH(K164,[1]物品基础表!$B:$B,0)),"")</f>
        <v>龙魂碎片</v>
      </c>
      <c r="M164" s="1">
        <v>15</v>
      </c>
      <c r="O164" s="1" t="str">
        <f>IFERROR(INDEX([1]物品基础表!$A:$A,MATCH(N164,[1]物品基础表!$B:$B,0)),"")</f>
        <v/>
      </c>
      <c r="R164" s="1" t="str">
        <f>IFERROR(INDEX([1]物品基础表!$A:$A,MATCH(Q164,[1]物品基础表!$B:$B,0)),"")</f>
        <v/>
      </c>
      <c r="U164" s="1" t="str">
        <f>IFERROR(INDEX([1]物品基础表!$A:$A,MATCH(T164,[1]物品基础表!$B:$B,0)),"")</f>
        <v/>
      </c>
      <c r="X164" s="1" t="str">
        <f>IFERROR(INDEX([1]物品基础表!$A:$A,MATCH(W164,[1]物品基础表!$B:$B,0)),"")</f>
        <v/>
      </c>
      <c r="AA164" s="1" t="str">
        <f>IFERROR(INDEX([1]物品基础表!$A:$A,MATCH(Z164,[1]物品基础表!$B:$B,0)),"")</f>
        <v/>
      </c>
      <c r="AD164" s="1" t="str">
        <f>IFERROR(INDEX([1]物品基础表!$A:$A,MATCH(AC164,[1]物品基础表!$B:$B,0)),"")</f>
        <v/>
      </c>
      <c r="AG164" s="1" t="str">
        <f>IFERROR(INDEX([1]物品基础表!$A:$A,MATCH(AF164,[1]物品基础表!$B:$B,0)),"")</f>
        <v/>
      </c>
      <c r="AJ164" s="1" t="str">
        <f>IFERROR(INDEX([1]物品基础表!$A:$A,MATCH(AI164,[1]物品基础表!$B:$B,0)),"")</f>
        <v/>
      </c>
      <c r="AM164" s="1" t="str">
        <f>IFERROR(INDEX([1]物品基础表!$A:$A,MATCH(AL164,[1]物品基础表!$B:$B,0)),"")</f>
        <v/>
      </c>
      <c r="AP164" s="1" t="str">
        <f>IFERROR(INDEX([1]物品基础表!$A:$A,MATCH(AO164,[1]物品基础表!$B:$B,0)),"")</f>
        <v/>
      </c>
      <c r="AS164" s="1" t="str">
        <f>IFERROR(INDEX([1]物品基础表!$A:$A,MATCH(AR164,[1]物品基础表!$B:$B,0)),"")</f>
        <v/>
      </c>
      <c r="AV164" s="1" t="str">
        <f>IFERROR(INDEX([1]物品基础表!$A:$A,MATCH(AU164,[1]物品基础表!$B:$B,0)),"")</f>
        <v/>
      </c>
      <c r="AY164" s="1" t="str">
        <f>IFERROR(INDEX([1]物品基础表!$A:$A,MATCH(AX164,[1]物品基础表!$B:$B,0)),"")</f>
        <v/>
      </c>
      <c r="BB164" s="1" t="str">
        <f>IFERROR(INDEX([1]物品基础表!$A:$A,MATCH(BA164,[1]物品基础表!$B:$B,0)),"")</f>
        <v/>
      </c>
      <c r="BE164" s="1" t="str">
        <f>IFERROR(INDEX([1]物品基础表!$A:$A,MATCH(BD164,[1]物品基础表!$B:$B,0)),"")</f>
        <v/>
      </c>
      <c r="BH164" s="1" t="str">
        <f>IFERROR(INDEX([1]物品基础表!$A:$A,MATCH(BG164,[1]物品基础表!$B:$B,0)),"")</f>
        <v/>
      </c>
      <c r="BK164" s="1" t="str">
        <f>IFERROR(INDEX([1]物品基础表!$A:$A,MATCH(BJ164,[1]物品基础表!$B:$B,0)),"")</f>
        <v/>
      </c>
    </row>
    <row r="165" spans="1:63">
      <c r="A165" s="39" t="str">
        <f>INDEX([2]活动总表!$A$8:$A$429,MATCH(B165,[2]活动总表!$B$8:$B$429,0))</f>
        <v>腊八-福袋（61-无限天）</v>
      </c>
      <c r="B165" s="40">
        <v>418</v>
      </c>
      <c r="C165" s="40">
        <v>25</v>
      </c>
      <c r="D165" s="40"/>
      <c r="E165" s="40"/>
      <c r="F165" s="40" t="s">
        <v>846</v>
      </c>
      <c r="G165" s="40">
        <v>2</v>
      </c>
      <c r="H165" s="40"/>
      <c r="I165" s="40"/>
      <c r="J165" s="57"/>
      <c r="K165" s="1">
        <v>200167</v>
      </c>
      <c r="L165" s="1" t="str">
        <f>IFERROR(INDEX([1]物品基础表!$A:$A,MATCH(K165,[1]物品基础表!$B:$B,0)),"")</f>
        <v>黑铁</v>
      </c>
      <c r="M165" s="1">
        <v>200</v>
      </c>
      <c r="O165" s="1" t="str">
        <f>IFERROR(INDEX([1]物品基础表!$A:$A,MATCH(N165,[1]物品基础表!$B:$B,0)),"")</f>
        <v/>
      </c>
      <c r="R165" s="1" t="str">
        <f>IFERROR(INDEX([1]物品基础表!$A:$A,MATCH(Q165,[1]物品基础表!$B:$B,0)),"")</f>
        <v/>
      </c>
      <c r="U165" s="1" t="str">
        <f>IFERROR(INDEX([1]物品基础表!$A:$A,MATCH(T165,[1]物品基础表!$B:$B,0)),"")</f>
        <v/>
      </c>
      <c r="X165" s="1" t="str">
        <f>IFERROR(INDEX([1]物品基础表!$A:$A,MATCH(W165,[1]物品基础表!$B:$B,0)),"")</f>
        <v/>
      </c>
      <c r="AA165" s="1" t="str">
        <f>IFERROR(INDEX([1]物品基础表!$A:$A,MATCH(Z165,[1]物品基础表!$B:$B,0)),"")</f>
        <v/>
      </c>
      <c r="AD165" s="1" t="str">
        <f>IFERROR(INDEX([1]物品基础表!$A:$A,MATCH(AC165,[1]物品基础表!$B:$B,0)),"")</f>
        <v/>
      </c>
      <c r="AG165" s="1" t="str">
        <f>IFERROR(INDEX([1]物品基础表!$A:$A,MATCH(AF165,[1]物品基础表!$B:$B,0)),"")</f>
        <v/>
      </c>
      <c r="AJ165" s="1" t="str">
        <f>IFERROR(INDEX([1]物品基础表!$A:$A,MATCH(AI165,[1]物品基础表!$B:$B,0)),"")</f>
        <v/>
      </c>
      <c r="AM165" s="1" t="str">
        <f>IFERROR(INDEX([1]物品基础表!$A:$A,MATCH(AL165,[1]物品基础表!$B:$B,0)),"")</f>
        <v/>
      </c>
      <c r="AP165" s="1" t="str">
        <f>IFERROR(INDEX([1]物品基础表!$A:$A,MATCH(AO165,[1]物品基础表!$B:$B,0)),"")</f>
        <v/>
      </c>
      <c r="AS165" s="1" t="str">
        <f>IFERROR(INDEX([1]物品基础表!$A:$A,MATCH(AR165,[1]物品基础表!$B:$B,0)),"")</f>
        <v/>
      </c>
      <c r="AV165" s="1" t="str">
        <f>IFERROR(INDEX([1]物品基础表!$A:$A,MATCH(AU165,[1]物品基础表!$B:$B,0)),"")</f>
        <v/>
      </c>
      <c r="AY165" s="1" t="str">
        <f>IFERROR(INDEX([1]物品基础表!$A:$A,MATCH(AX165,[1]物品基础表!$B:$B,0)),"")</f>
        <v/>
      </c>
      <c r="BB165" s="1" t="str">
        <f>IFERROR(INDEX([1]物品基础表!$A:$A,MATCH(BA165,[1]物品基础表!$B:$B,0)),"")</f>
        <v/>
      </c>
      <c r="BE165" s="1" t="str">
        <f>IFERROR(INDEX([1]物品基础表!$A:$A,MATCH(BD165,[1]物品基础表!$B:$B,0)),"")</f>
        <v/>
      </c>
      <c r="BH165" s="1" t="str">
        <f>IFERROR(INDEX([1]物品基础表!$A:$A,MATCH(BG165,[1]物品基础表!$B:$B,0)),"")</f>
        <v/>
      </c>
      <c r="BK165" s="1" t="str">
        <f>IFERROR(INDEX([1]物品基础表!$A:$A,MATCH(BJ165,[1]物品基础表!$B:$B,0)),"")</f>
        <v/>
      </c>
    </row>
    <row r="166" spans="1:63">
      <c r="A166" s="39" t="str">
        <f>INDEX([2]活动总表!$A$8:$A$429,MATCH(B166,[2]活动总表!$B$8:$B$429,0))</f>
        <v>腊八-福袋（61-无限天）</v>
      </c>
      <c r="B166" s="40">
        <v>418</v>
      </c>
      <c r="C166" s="40">
        <v>26</v>
      </c>
      <c r="D166" s="40"/>
      <c r="E166" s="40"/>
      <c r="F166" s="40" t="s">
        <v>851</v>
      </c>
      <c r="G166" s="40">
        <v>2</v>
      </c>
      <c r="H166" s="40"/>
      <c r="I166" s="40"/>
      <c r="J166" s="57"/>
      <c r="K166" s="1">
        <v>200167</v>
      </c>
      <c r="L166" s="1" t="str">
        <f>IFERROR(INDEX([1]物品基础表!$A:$A,MATCH(K166,[1]物品基础表!$B:$B,0)),"")</f>
        <v>黑铁</v>
      </c>
      <c r="M166" s="1">
        <v>500</v>
      </c>
      <c r="O166" s="1" t="str">
        <f>IFERROR(INDEX([1]物品基础表!$A:$A,MATCH(N166,[1]物品基础表!$B:$B,0)),"")</f>
        <v/>
      </c>
      <c r="R166" s="1" t="str">
        <f>IFERROR(INDEX([1]物品基础表!$A:$A,MATCH(Q166,[1]物品基础表!$B:$B,0)),"")</f>
        <v/>
      </c>
      <c r="U166" s="1" t="str">
        <f>IFERROR(INDEX([1]物品基础表!$A:$A,MATCH(T166,[1]物品基础表!$B:$B,0)),"")</f>
        <v/>
      </c>
      <c r="X166" s="1" t="str">
        <f>IFERROR(INDEX([1]物品基础表!$A:$A,MATCH(W166,[1]物品基础表!$B:$B,0)),"")</f>
        <v/>
      </c>
      <c r="AA166" s="1" t="str">
        <f>IFERROR(INDEX([1]物品基础表!$A:$A,MATCH(Z166,[1]物品基础表!$B:$B,0)),"")</f>
        <v/>
      </c>
      <c r="AD166" s="1" t="str">
        <f>IFERROR(INDEX([1]物品基础表!$A:$A,MATCH(AC166,[1]物品基础表!$B:$B,0)),"")</f>
        <v/>
      </c>
      <c r="AG166" s="1" t="str">
        <f>IFERROR(INDEX([1]物品基础表!$A:$A,MATCH(AF166,[1]物品基础表!$B:$B,0)),"")</f>
        <v/>
      </c>
      <c r="AJ166" s="1" t="str">
        <f>IFERROR(INDEX([1]物品基础表!$A:$A,MATCH(AI166,[1]物品基础表!$B:$B,0)),"")</f>
        <v/>
      </c>
      <c r="AM166" s="1" t="str">
        <f>IFERROR(INDEX([1]物品基础表!$A:$A,MATCH(AL166,[1]物品基础表!$B:$B,0)),"")</f>
        <v/>
      </c>
      <c r="AP166" s="1" t="str">
        <f>IFERROR(INDEX([1]物品基础表!$A:$A,MATCH(AO166,[1]物品基础表!$B:$B,0)),"")</f>
        <v/>
      </c>
      <c r="AS166" s="1" t="str">
        <f>IFERROR(INDEX([1]物品基础表!$A:$A,MATCH(AR166,[1]物品基础表!$B:$B,0)),"")</f>
        <v/>
      </c>
      <c r="AV166" s="1" t="str">
        <f>IFERROR(INDEX([1]物品基础表!$A:$A,MATCH(AU166,[1]物品基础表!$B:$B,0)),"")</f>
        <v/>
      </c>
      <c r="AY166" s="1" t="str">
        <f>IFERROR(INDEX([1]物品基础表!$A:$A,MATCH(AX166,[1]物品基础表!$B:$B,0)),"")</f>
        <v/>
      </c>
      <c r="BB166" s="1" t="str">
        <f>IFERROR(INDEX([1]物品基础表!$A:$A,MATCH(BA166,[1]物品基础表!$B:$B,0)),"")</f>
        <v/>
      </c>
      <c r="BE166" s="1" t="str">
        <f>IFERROR(INDEX([1]物品基础表!$A:$A,MATCH(BD166,[1]物品基础表!$B:$B,0)),"")</f>
        <v/>
      </c>
      <c r="BH166" s="1" t="str">
        <f>IFERROR(INDEX([1]物品基础表!$A:$A,MATCH(BG166,[1]物品基础表!$B:$B,0)),"")</f>
        <v/>
      </c>
      <c r="BK166" s="1" t="str">
        <f>IFERROR(INDEX([1]物品基础表!$A:$A,MATCH(BJ166,[1]物品基础表!$B:$B,0)),"")</f>
        <v/>
      </c>
    </row>
    <row r="167" spans="1:63">
      <c r="A167" s="39" t="str">
        <f>INDEX([2]活动总表!$A$8:$A$429,MATCH(B167,[2]活动总表!$B$8:$B$429,0))</f>
        <v>腊八-福袋（61-无限天）</v>
      </c>
      <c r="B167" s="40">
        <v>418</v>
      </c>
      <c r="C167" s="40">
        <v>27</v>
      </c>
      <c r="D167" s="40"/>
      <c r="E167" s="40"/>
      <c r="F167" s="40" t="s">
        <v>837</v>
      </c>
      <c r="G167" s="40">
        <v>2</v>
      </c>
      <c r="H167" s="40"/>
      <c r="I167" s="40"/>
      <c r="J167" s="57"/>
      <c r="K167" s="1">
        <v>200167</v>
      </c>
      <c r="L167" s="1" t="str">
        <f>IFERROR(INDEX([1]物品基础表!$A:$A,MATCH(K167,[1]物品基础表!$B:$B,0)),"")</f>
        <v>黑铁</v>
      </c>
      <c r="M167" s="1">
        <v>1000</v>
      </c>
      <c r="O167" s="1" t="str">
        <f>IFERROR(INDEX([1]物品基础表!$A:$A,MATCH(N167,[1]物品基础表!$B:$B,0)),"")</f>
        <v/>
      </c>
      <c r="R167" s="1" t="str">
        <f>IFERROR(INDEX([1]物品基础表!$A:$A,MATCH(Q167,[1]物品基础表!$B:$B,0)),"")</f>
        <v/>
      </c>
      <c r="U167" s="1" t="str">
        <f>IFERROR(INDEX([1]物品基础表!$A:$A,MATCH(T167,[1]物品基础表!$B:$B,0)),"")</f>
        <v/>
      </c>
      <c r="X167" s="1" t="str">
        <f>IFERROR(INDEX([1]物品基础表!$A:$A,MATCH(W167,[1]物品基础表!$B:$B,0)),"")</f>
        <v/>
      </c>
      <c r="AA167" s="1" t="str">
        <f>IFERROR(INDEX([1]物品基础表!$A:$A,MATCH(Z167,[1]物品基础表!$B:$B,0)),"")</f>
        <v/>
      </c>
      <c r="AD167" s="1" t="str">
        <f>IFERROR(INDEX([1]物品基础表!$A:$A,MATCH(AC167,[1]物品基础表!$B:$B,0)),"")</f>
        <v/>
      </c>
      <c r="AG167" s="1" t="str">
        <f>IFERROR(INDEX([1]物品基础表!$A:$A,MATCH(AF167,[1]物品基础表!$B:$B,0)),"")</f>
        <v/>
      </c>
      <c r="AJ167" s="1" t="str">
        <f>IFERROR(INDEX([1]物品基础表!$A:$A,MATCH(AI167,[1]物品基础表!$B:$B,0)),"")</f>
        <v/>
      </c>
      <c r="AM167" s="1" t="str">
        <f>IFERROR(INDEX([1]物品基础表!$A:$A,MATCH(AL167,[1]物品基础表!$B:$B,0)),"")</f>
        <v/>
      </c>
      <c r="AP167" s="1" t="str">
        <f>IFERROR(INDEX([1]物品基础表!$A:$A,MATCH(AO167,[1]物品基础表!$B:$B,0)),"")</f>
        <v/>
      </c>
      <c r="AS167" s="1" t="str">
        <f>IFERROR(INDEX([1]物品基础表!$A:$A,MATCH(AR167,[1]物品基础表!$B:$B,0)),"")</f>
        <v/>
      </c>
      <c r="AV167" s="1" t="str">
        <f>IFERROR(INDEX([1]物品基础表!$A:$A,MATCH(AU167,[1]物品基础表!$B:$B,0)),"")</f>
        <v/>
      </c>
      <c r="AY167" s="1" t="str">
        <f>IFERROR(INDEX([1]物品基础表!$A:$A,MATCH(AX167,[1]物品基础表!$B:$B,0)),"")</f>
        <v/>
      </c>
      <c r="BB167" s="1" t="str">
        <f>IFERROR(INDEX([1]物品基础表!$A:$A,MATCH(BA167,[1]物品基础表!$B:$B,0)),"")</f>
        <v/>
      </c>
      <c r="BE167" s="1" t="str">
        <f>IFERROR(INDEX([1]物品基础表!$A:$A,MATCH(BD167,[1]物品基础表!$B:$B,0)),"")</f>
        <v/>
      </c>
      <c r="BH167" s="1" t="str">
        <f>IFERROR(INDEX([1]物品基础表!$A:$A,MATCH(BG167,[1]物品基础表!$B:$B,0)),"")</f>
        <v/>
      </c>
      <c r="BK167" s="1" t="str">
        <f>IFERROR(INDEX([1]物品基础表!$A:$A,MATCH(BJ167,[1]物品基础表!$B:$B,0)),"")</f>
        <v/>
      </c>
    </row>
    <row r="168" spans="1:63">
      <c r="A168" s="39" t="str">
        <f>INDEX([2]活动总表!$A$8:$A$429,MATCH(B168,[2]活动总表!$B$8:$B$429,0))</f>
        <v>腊八-福袋（61-无限天）</v>
      </c>
      <c r="B168" s="40">
        <v>418</v>
      </c>
      <c r="C168" s="40">
        <v>28</v>
      </c>
      <c r="D168" s="40"/>
      <c r="E168" s="40"/>
      <c r="F168" s="40" t="s">
        <v>846</v>
      </c>
      <c r="G168" s="40">
        <v>2</v>
      </c>
      <c r="H168" s="40"/>
      <c r="I168" s="40"/>
      <c r="J168" s="57"/>
      <c r="K168" s="1">
        <v>200015</v>
      </c>
      <c r="L168" s="1" t="str">
        <f>IFERROR(INDEX([1]物品基础表!$A:$A,MATCH(K168,[1]物品基础表!$B:$B,0)),"")</f>
        <v>特戒碎片</v>
      </c>
      <c r="M168" s="1">
        <v>50</v>
      </c>
      <c r="O168" s="1" t="str">
        <f>IFERROR(INDEX([1]物品基础表!$A:$A,MATCH(N168,[1]物品基础表!$B:$B,0)),"")</f>
        <v/>
      </c>
      <c r="R168" s="1" t="str">
        <f>IFERROR(INDEX([1]物品基础表!$A:$A,MATCH(Q168,[1]物品基础表!$B:$B,0)),"")</f>
        <v/>
      </c>
      <c r="U168" s="1" t="str">
        <f>IFERROR(INDEX([1]物品基础表!$A:$A,MATCH(T168,[1]物品基础表!$B:$B,0)),"")</f>
        <v/>
      </c>
      <c r="X168" s="1" t="str">
        <f>IFERROR(INDEX([1]物品基础表!$A:$A,MATCH(W168,[1]物品基础表!$B:$B,0)),"")</f>
        <v/>
      </c>
      <c r="AA168" s="1" t="str">
        <f>IFERROR(INDEX([1]物品基础表!$A:$A,MATCH(Z168,[1]物品基础表!$B:$B,0)),"")</f>
        <v/>
      </c>
      <c r="AD168" s="1" t="str">
        <f>IFERROR(INDEX([1]物品基础表!$A:$A,MATCH(AC168,[1]物品基础表!$B:$B,0)),"")</f>
        <v/>
      </c>
      <c r="AG168" s="1" t="str">
        <f>IFERROR(INDEX([1]物品基础表!$A:$A,MATCH(AF168,[1]物品基础表!$B:$B,0)),"")</f>
        <v/>
      </c>
      <c r="AJ168" s="1" t="str">
        <f>IFERROR(INDEX([1]物品基础表!$A:$A,MATCH(AI168,[1]物品基础表!$B:$B,0)),"")</f>
        <v/>
      </c>
      <c r="AM168" s="1" t="str">
        <f>IFERROR(INDEX([1]物品基础表!$A:$A,MATCH(AL168,[1]物品基础表!$B:$B,0)),"")</f>
        <v/>
      </c>
      <c r="AP168" s="1" t="str">
        <f>IFERROR(INDEX([1]物品基础表!$A:$A,MATCH(AO168,[1]物品基础表!$B:$B,0)),"")</f>
        <v/>
      </c>
      <c r="AS168" s="1" t="str">
        <f>IFERROR(INDEX([1]物品基础表!$A:$A,MATCH(AR168,[1]物品基础表!$B:$B,0)),"")</f>
        <v/>
      </c>
      <c r="AV168" s="1" t="str">
        <f>IFERROR(INDEX([1]物品基础表!$A:$A,MATCH(AU168,[1]物品基础表!$B:$B,0)),"")</f>
        <v/>
      </c>
      <c r="AY168" s="1" t="str">
        <f>IFERROR(INDEX([1]物品基础表!$A:$A,MATCH(AX168,[1]物品基础表!$B:$B,0)),"")</f>
        <v/>
      </c>
      <c r="BB168" s="1" t="str">
        <f>IFERROR(INDEX([1]物品基础表!$A:$A,MATCH(BA168,[1]物品基础表!$B:$B,0)),"")</f>
        <v/>
      </c>
      <c r="BE168" s="1" t="str">
        <f>IFERROR(INDEX([1]物品基础表!$A:$A,MATCH(BD168,[1]物品基础表!$B:$B,0)),"")</f>
        <v/>
      </c>
      <c r="BH168" s="1" t="str">
        <f>IFERROR(INDEX([1]物品基础表!$A:$A,MATCH(BG168,[1]物品基础表!$B:$B,0)),"")</f>
        <v/>
      </c>
      <c r="BK168" s="1" t="str">
        <f>IFERROR(INDEX([1]物品基础表!$A:$A,MATCH(BJ168,[1]物品基础表!$B:$B,0)),"")</f>
        <v/>
      </c>
    </row>
    <row r="169" spans="1:63">
      <c r="A169" s="39" t="str">
        <f>INDEX([2]活动总表!$A$8:$A$429,MATCH(B169,[2]活动总表!$B$8:$B$429,0))</f>
        <v>腊八-福袋（61-无限天）</v>
      </c>
      <c r="B169" s="40">
        <v>418</v>
      </c>
      <c r="C169" s="40">
        <v>29</v>
      </c>
      <c r="D169" s="40"/>
      <c r="E169" s="40"/>
      <c r="F169" s="40" t="s">
        <v>846</v>
      </c>
      <c r="G169" s="40">
        <v>2</v>
      </c>
      <c r="H169" s="40"/>
      <c r="I169" s="40"/>
      <c r="J169" s="57"/>
      <c r="K169" s="1">
        <v>200015</v>
      </c>
      <c r="L169" s="1" t="str">
        <f>IFERROR(INDEX([1]物品基础表!$A:$A,MATCH(K169,[1]物品基础表!$B:$B,0)),"")</f>
        <v>特戒碎片</v>
      </c>
      <c r="M169" s="1">
        <v>80</v>
      </c>
      <c r="O169" s="1" t="str">
        <f>IFERROR(INDEX([1]物品基础表!$A:$A,MATCH(N169,[1]物品基础表!$B:$B,0)),"")</f>
        <v/>
      </c>
      <c r="R169" s="1" t="str">
        <f>IFERROR(INDEX([1]物品基础表!$A:$A,MATCH(Q169,[1]物品基础表!$B:$B,0)),"")</f>
        <v/>
      </c>
      <c r="U169" s="1" t="str">
        <f>IFERROR(INDEX([1]物品基础表!$A:$A,MATCH(T169,[1]物品基础表!$B:$B,0)),"")</f>
        <v/>
      </c>
      <c r="X169" s="1" t="str">
        <f>IFERROR(INDEX([1]物品基础表!$A:$A,MATCH(W169,[1]物品基础表!$B:$B,0)),"")</f>
        <v/>
      </c>
      <c r="AA169" s="1" t="str">
        <f>IFERROR(INDEX([1]物品基础表!$A:$A,MATCH(Z169,[1]物品基础表!$B:$B,0)),"")</f>
        <v/>
      </c>
      <c r="AD169" s="1" t="str">
        <f>IFERROR(INDEX([1]物品基础表!$A:$A,MATCH(AC169,[1]物品基础表!$B:$B,0)),"")</f>
        <v/>
      </c>
      <c r="AG169" s="1" t="str">
        <f>IFERROR(INDEX([1]物品基础表!$A:$A,MATCH(AF169,[1]物品基础表!$B:$B,0)),"")</f>
        <v/>
      </c>
      <c r="AJ169" s="1" t="str">
        <f>IFERROR(INDEX([1]物品基础表!$A:$A,MATCH(AI169,[1]物品基础表!$B:$B,0)),"")</f>
        <v/>
      </c>
      <c r="AM169" s="1" t="str">
        <f>IFERROR(INDEX([1]物品基础表!$A:$A,MATCH(AL169,[1]物品基础表!$B:$B,0)),"")</f>
        <v/>
      </c>
      <c r="AP169" s="1" t="str">
        <f>IFERROR(INDEX([1]物品基础表!$A:$A,MATCH(AO169,[1]物品基础表!$B:$B,0)),"")</f>
        <v/>
      </c>
      <c r="AS169" s="1" t="str">
        <f>IFERROR(INDEX([1]物品基础表!$A:$A,MATCH(AR169,[1]物品基础表!$B:$B,0)),"")</f>
        <v/>
      </c>
      <c r="AV169" s="1" t="str">
        <f>IFERROR(INDEX([1]物品基础表!$A:$A,MATCH(AU169,[1]物品基础表!$B:$B,0)),"")</f>
        <v/>
      </c>
      <c r="AY169" s="1" t="str">
        <f>IFERROR(INDEX([1]物品基础表!$A:$A,MATCH(AX169,[1]物品基础表!$B:$B,0)),"")</f>
        <v/>
      </c>
      <c r="BB169" s="1" t="str">
        <f>IFERROR(INDEX([1]物品基础表!$A:$A,MATCH(BA169,[1]物品基础表!$B:$B,0)),"")</f>
        <v/>
      </c>
      <c r="BE169" s="1" t="str">
        <f>IFERROR(INDEX([1]物品基础表!$A:$A,MATCH(BD169,[1]物品基础表!$B:$B,0)),"")</f>
        <v/>
      </c>
      <c r="BH169" s="1" t="str">
        <f>IFERROR(INDEX([1]物品基础表!$A:$A,MATCH(BG169,[1]物品基础表!$B:$B,0)),"")</f>
        <v/>
      </c>
      <c r="BK169" s="1" t="str">
        <f>IFERROR(INDEX([1]物品基础表!$A:$A,MATCH(BJ169,[1]物品基础表!$B:$B,0)),"")</f>
        <v/>
      </c>
    </row>
    <row r="170" spans="1:63">
      <c r="A170" s="39" t="str">
        <f>INDEX([2]活动总表!$A$8:$A$429,MATCH(B170,[2]活动总表!$B$8:$B$429,0))</f>
        <v>腊八-福袋（61-无限天）</v>
      </c>
      <c r="B170" s="40">
        <v>418</v>
      </c>
      <c r="C170" s="40">
        <v>30</v>
      </c>
      <c r="D170" s="40"/>
      <c r="E170" s="40"/>
      <c r="F170" s="40" t="s">
        <v>852</v>
      </c>
      <c r="G170" s="40">
        <v>2</v>
      </c>
      <c r="H170" s="40"/>
      <c r="I170" s="40"/>
      <c r="J170" s="57"/>
      <c r="K170" s="1">
        <v>200015</v>
      </c>
      <c r="L170" s="1" t="str">
        <f>IFERROR(INDEX([1]物品基础表!$A:$A,MATCH(K170,[1]物品基础表!$B:$B,0)),"")</f>
        <v>特戒碎片</v>
      </c>
      <c r="M170" s="1">
        <v>100</v>
      </c>
      <c r="O170" s="1" t="str">
        <f>IFERROR(INDEX([1]物品基础表!$A:$A,MATCH(N170,[1]物品基础表!$B:$B,0)),"")</f>
        <v/>
      </c>
      <c r="R170" s="1" t="str">
        <f>IFERROR(INDEX([1]物品基础表!$A:$A,MATCH(Q170,[1]物品基础表!$B:$B,0)),"")</f>
        <v/>
      </c>
      <c r="U170" s="1" t="str">
        <f>IFERROR(INDEX([1]物品基础表!$A:$A,MATCH(T170,[1]物品基础表!$B:$B,0)),"")</f>
        <v/>
      </c>
      <c r="X170" s="1" t="str">
        <f>IFERROR(INDEX([1]物品基础表!$A:$A,MATCH(W170,[1]物品基础表!$B:$B,0)),"")</f>
        <v/>
      </c>
      <c r="AA170" s="1" t="str">
        <f>IFERROR(INDEX([1]物品基础表!$A:$A,MATCH(Z170,[1]物品基础表!$B:$B,0)),"")</f>
        <v/>
      </c>
      <c r="AD170" s="1" t="str">
        <f>IFERROR(INDEX([1]物品基础表!$A:$A,MATCH(AC170,[1]物品基础表!$B:$B,0)),"")</f>
        <v/>
      </c>
      <c r="AG170" s="1" t="str">
        <f>IFERROR(INDEX([1]物品基础表!$A:$A,MATCH(AF170,[1]物品基础表!$B:$B,0)),"")</f>
        <v/>
      </c>
      <c r="AJ170" s="1" t="str">
        <f>IFERROR(INDEX([1]物品基础表!$A:$A,MATCH(AI170,[1]物品基础表!$B:$B,0)),"")</f>
        <v/>
      </c>
      <c r="AM170" s="1" t="str">
        <f>IFERROR(INDEX([1]物品基础表!$A:$A,MATCH(AL170,[1]物品基础表!$B:$B,0)),"")</f>
        <v/>
      </c>
      <c r="AP170" s="1" t="str">
        <f>IFERROR(INDEX([1]物品基础表!$A:$A,MATCH(AO170,[1]物品基础表!$B:$B,0)),"")</f>
        <v/>
      </c>
      <c r="AS170" s="1" t="str">
        <f>IFERROR(INDEX([1]物品基础表!$A:$A,MATCH(AR170,[1]物品基础表!$B:$B,0)),"")</f>
        <v/>
      </c>
      <c r="AV170" s="1" t="str">
        <f>IFERROR(INDEX([1]物品基础表!$A:$A,MATCH(AU170,[1]物品基础表!$B:$B,0)),"")</f>
        <v/>
      </c>
      <c r="AY170" s="1" t="str">
        <f>IFERROR(INDEX([1]物品基础表!$A:$A,MATCH(AX170,[1]物品基础表!$B:$B,0)),"")</f>
        <v/>
      </c>
      <c r="BB170" s="1" t="str">
        <f>IFERROR(INDEX([1]物品基础表!$A:$A,MATCH(BA170,[1]物品基础表!$B:$B,0)),"")</f>
        <v/>
      </c>
      <c r="BE170" s="1" t="str">
        <f>IFERROR(INDEX([1]物品基础表!$A:$A,MATCH(BD170,[1]物品基础表!$B:$B,0)),"")</f>
        <v/>
      </c>
      <c r="BH170" s="1" t="str">
        <f>IFERROR(INDEX([1]物品基础表!$A:$A,MATCH(BG170,[1]物品基础表!$B:$B,0)),"")</f>
        <v/>
      </c>
      <c r="BK170" s="1" t="str">
        <f>IFERROR(INDEX([1]物品基础表!$A:$A,MATCH(BJ170,[1]物品基础表!$B:$B,0)),"")</f>
        <v/>
      </c>
    </row>
    <row r="171" spans="1:63">
      <c r="A171" s="39" t="str">
        <f>INDEX([2]活动总表!$A$8:$A$429,MATCH(B171,[2]活动总表!$B$8:$B$429,0))</f>
        <v>战灵活动-抽奖</v>
      </c>
      <c r="B171" s="40">
        <v>314</v>
      </c>
      <c r="C171" s="40">
        <v>0</v>
      </c>
      <c r="D171" s="40">
        <v>200309</v>
      </c>
      <c r="E171" s="40">
        <v>500</v>
      </c>
      <c r="F171" s="40"/>
      <c r="G171" s="40">
        <v>4</v>
      </c>
      <c r="H171" s="40"/>
      <c r="I171" s="40" t="s">
        <v>853</v>
      </c>
      <c r="J171" s="57" t="s">
        <v>854</v>
      </c>
      <c r="K171" s="1">
        <v>1</v>
      </c>
      <c r="L171" s="1" t="s">
        <v>901</v>
      </c>
      <c r="M171" s="1">
        <v>500000</v>
      </c>
      <c r="O171" s="1" t="str">
        <f>IFERROR(INDEX([1]物品基础表!$A:$A,MATCH(N171,[1]物品基础表!$B:$B,0)),"")</f>
        <v/>
      </c>
      <c r="R171" s="1" t="str">
        <f>IFERROR(INDEX([1]物品基础表!$A:$A,MATCH(Q171,[1]物品基础表!$B:$B,0)),"")</f>
        <v/>
      </c>
      <c r="U171" s="1" t="str">
        <f>IFERROR(INDEX([1]物品基础表!$A:$A,MATCH(T171,[1]物品基础表!$B:$B,0)),"")</f>
        <v/>
      </c>
      <c r="X171" s="1" t="str">
        <f>IFERROR(INDEX([1]物品基础表!$A:$A,MATCH(W171,[1]物品基础表!$B:$B,0)),"")</f>
        <v/>
      </c>
      <c r="AA171" s="1" t="str">
        <f>IFERROR(INDEX([1]物品基础表!$A:$A,MATCH(Z171,[1]物品基础表!$B:$B,0)),"")</f>
        <v/>
      </c>
      <c r="AD171" s="1" t="str">
        <f>IFERROR(INDEX([1]物品基础表!$A:$A,MATCH(AC171,[1]物品基础表!$B:$B,0)),"")</f>
        <v/>
      </c>
      <c r="AG171" s="1" t="str">
        <f>IFERROR(INDEX([1]物品基础表!$A:$A,MATCH(AF171,[1]物品基础表!$B:$B,0)),"")</f>
        <v/>
      </c>
      <c r="AJ171" s="1" t="str">
        <f>IFERROR(INDEX([1]物品基础表!$A:$A,MATCH(AI171,[1]物品基础表!$B:$B,0)),"")</f>
        <v/>
      </c>
      <c r="AM171" s="1" t="str">
        <f>IFERROR(INDEX([1]物品基础表!$A:$A,MATCH(AL171,[1]物品基础表!$B:$B,0)),"")</f>
        <v/>
      </c>
      <c r="AP171" s="1" t="str">
        <f>IFERROR(INDEX([1]物品基础表!$A:$A,MATCH(AO171,[1]物品基础表!$B:$B,0)),"")</f>
        <v/>
      </c>
      <c r="AS171" s="1" t="str">
        <f>IFERROR(INDEX([1]物品基础表!$A:$A,MATCH(AR171,[1]物品基础表!$B:$B,0)),"")</f>
        <v/>
      </c>
      <c r="AV171" s="1" t="str">
        <f>IFERROR(INDEX([1]物品基础表!$A:$A,MATCH(AU171,[1]物品基础表!$B:$B,0)),"")</f>
        <v/>
      </c>
      <c r="AY171" s="1" t="str">
        <f>IFERROR(INDEX([1]物品基础表!$A:$A,MATCH(AX171,[1]物品基础表!$B:$B,0)),"")</f>
        <v/>
      </c>
      <c r="BB171" s="1" t="str">
        <f>IFERROR(INDEX([1]物品基础表!$A:$A,MATCH(BA171,[1]物品基础表!$B:$B,0)),"")</f>
        <v/>
      </c>
      <c r="BE171" s="1" t="str">
        <f>IFERROR(INDEX([1]物品基础表!$A:$A,MATCH(BD171,[1]物品基础表!$B:$B,0)),"")</f>
        <v/>
      </c>
      <c r="BH171" s="1" t="str">
        <f>IFERROR(INDEX([1]物品基础表!$A:$A,MATCH(BG171,[1]物品基础表!$B:$B,0)),"")</f>
        <v/>
      </c>
      <c r="BK171" s="1" t="str">
        <f>IFERROR(INDEX([1]物品基础表!$A:$A,MATCH(BJ171,[1]物品基础表!$B:$B,0)),"")</f>
        <v/>
      </c>
    </row>
    <row r="172" spans="1:63">
      <c r="A172" s="39" t="str">
        <f>INDEX([2]活动总表!$A$8:$A$429,MATCH(B172,[2]活动总表!$B$8:$B$429,0))</f>
        <v>战灵活动-抽奖</v>
      </c>
      <c r="B172" s="40">
        <v>314</v>
      </c>
      <c r="C172" s="40">
        <v>1</v>
      </c>
      <c r="D172" s="40"/>
      <c r="E172" s="40"/>
      <c r="F172" s="40" t="s">
        <v>54</v>
      </c>
      <c r="G172" s="40">
        <v>4</v>
      </c>
      <c r="H172" s="40"/>
      <c r="I172" s="40"/>
      <c r="J172" s="57"/>
      <c r="K172" s="1">
        <v>205004</v>
      </c>
      <c r="L172" s="1" t="str">
        <f>IFERROR(INDEX([1]物品基础表!$A:$A,MATCH(K172,[1]物品基础表!$B:$B,0)),"")</f>
        <v>太阳星君</v>
      </c>
      <c r="M172" s="1">
        <v>1</v>
      </c>
      <c r="O172" s="1" t="str">
        <f>IFERROR(INDEX([1]物品基础表!$A:$A,MATCH(N172,[1]物品基础表!$B:$B,0)),"")</f>
        <v/>
      </c>
      <c r="R172" s="1" t="str">
        <f>IFERROR(INDEX([1]物品基础表!$A:$A,MATCH(Q172,[1]物品基础表!$B:$B,0)),"")</f>
        <v/>
      </c>
      <c r="U172" s="1" t="str">
        <f>IFERROR(INDEX([1]物品基础表!$A:$A,MATCH(T172,[1]物品基础表!$B:$B,0)),"")</f>
        <v/>
      </c>
      <c r="X172" s="1" t="str">
        <f>IFERROR(INDEX([1]物品基础表!$A:$A,MATCH(W172,[1]物品基础表!$B:$B,0)),"")</f>
        <v/>
      </c>
      <c r="AA172" s="1" t="str">
        <f>IFERROR(INDEX([1]物品基础表!$A:$A,MATCH(Z172,[1]物品基础表!$B:$B,0)),"")</f>
        <v/>
      </c>
      <c r="AD172" s="1" t="str">
        <f>IFERROR(INDEX([1]物品基础表!$A:$A,MATCH(AC172,[1]物品基础表!$B:$B,0)),"")</f>
        <v/>
      </c>
      <c r="AG172" s="1" t="str">
        <f>IFERROR(INDEX([1]物品基础表!$A:$A,MATCH(AF172,[1]物品基础表!$B:$B,0)),"")</f>
        <v/>
      </c>
      <c r="AJ172" s="1" t="str">
        <f>IFERROR(INDEX([1]物品基础表!$A:$A,MATCH(AI172,[1]物品基础表!$B:$B,0)),"")</f>
        <v/>
      </c>
      <c r="AM172" s="1" t="str">
        <f>IFERROR(INDEX([1]物品基础表!$A:$A,MATCH(AL172,[1]物品基础表!$B:$B,0)),"")</f>
        <v/>
      </c>
      <c r="AP172" s="1" t="str">
        <f>IFERROR(INDEX([1]物品基础表!$A:$A,MATCH(AO172,[1]物品基础表!$B:$B,0)),"")</f>
        <v/>
      </c>
      <c r="AS172" s="1" t="str">
        <f>IFERROR(INDEX([1]物品基础表!$A:$A,MATCH(AR172,[1]物品基础表!$B:$B,0)),"")</f>
        <v/>
      </c>
      <c r="AV172" s="1" t="str">
        <f>IFERROR(INDEX([1]物品基础表!$A:$A,MATCH(AU172,[1]物品基础表!$B:$B,0)),"")</f>
        <v/>
      </c>
      <c r="AY172" s="1" t="str">
        <f>IFERROR(INDEX([1]物品基础表!$A:$A,MATCH(AX172,[1]物品基础表!$B:$B,0)),"")</f>
        <v/>
      </c>
      <c r="BB172" s="1" t="str">
        <f>IFERROR(INDEX([1]物品基础表!$A:$A,MATCH(BA172,[1]物品基础表!$B:$B,0)),"")</f>
        <v/>
      </c>
      <c r="BE172" s="1" t="str">
        <f>IFERROR(INDEX([1]物品基础表!$A:$A,MATCH(BD172,[1]物品基础表!$B:$B,0)),"")</f>
        <v/>
      </c>
      <c r="BH172" s="1" t="str">
        <f>IFERROR(INDEX([1]物品基础表!$A:$A,MATCH(BG172,[1]物品基础表!$B:$B,0)),"")</f>
        <v/>
      </c>
      <c r="BK172" s="1" t="str">
        <f>IFERROR(INDEX([1]物品基础表!$A:$A,MATCH(BJ172,[1]物品基础表!$B:$B,0)),"")</f>
        <v/>
      </c>
    </row>
    <row r="173" spans="1:63">
      <c r="A173" s="39" t="str">
        <f>INDEX([2]活动总表!$A$8:$A$429,MATCH(B173,[2]活动总表!$B$8:$B$429,0))</f>
        <v>战灵活动-抽奖</v>
      </c>
      <c r="B173" s="40">
        <v>314</v>
      </c>
      <c r="C173" s="40">
        <v>2</v>
      </c>
      <c r="D173" s="40"/>
      <c r="E173" s="40"/>
      <c r="F173" s="40" t="s">
        <v>55</v>
      </c>
      <c r="G173" s="40">
        <v>4</v>
      </c>
      <c r="H173" s="40"/>
      <c r="I173" s="40"/>
      <c r="J173" s="57"/>
      <c r="K173" s="1">
        <v>205000</v>
      </c>
      <c r="L173" s="1" t="str">
        <f>IFERROR(INDEX([1]物品基础表!$A:$A,MATCH(K173,[1]物品基础表!$B:$B,0)),"")</f>
        <v>战灵进阶丹</v>
      </c>
      <c r="M173" s="1">
        <v>5</v>
      </c>
      <c r="O173" s="1" t="str">
        <f>IFERROR(INDEX([1]物品基础表!$A:$A,MATCH(N173,[1]物品基础表!$B:$B,0)),"")</f>
        <v/>
      </c>
      <c r="R173" s="1" t="str">
        <f>IFERROR(INDEX([1]物品基础表!$A:$A,MATCH(Q173,[1]物品基础表!$B:$B,0)),"")</f>
        <v/>
      </c>
      <c r="U173" s="1" t="str">
        <f>IFERROR(INDEX([1]物品基础表!$A:$A,MATCH(T173,[1]物品基础表!$B:$B,0)),"")</f>
        <v/>
      </c>
      <c r="X173" s="1" t="str">
        <f>IFERROR(INDEX([1]物品基础表!$A:$A,MATCH(W173,[1]物品基础表!$B:$B,0)),"")</f>
        <v/>
      </c>
      <c r="AA173" s="1" t="str">
        <f>IFERROR(INDEX([1]物品基础表!$A:$A,MATCH(Z173,[1]物品基础表!$B:$B,0)),"")</f>
        <v/>
      </c>
      <c r="AD173" s="1" t="str">
        <f>IFERROR(INDEX([1]物品基础表!$A:$A,MATCH(AC173,[1]物品基础表!$B:$B,0)),"")</f>
        <v/>
      </c>
      <c r="AG173" s="1" t="str">
        <f>IFERROR(INDEX([1]物品基础表!$A:$A,MATCH(AF173,[1]物品基础表!$B:$B,0)),"")</f>
        <v/>
      </c>
      <c r="AJ173" s="1" t="str">
        <f>IFERROR(INDEX([1]物品基础表!$A:$A,MATCH(AI173,[1]物品基础表!$B:$B,0)),"")</f>
        <v/>
      </c>
      <c r="AM173" s="1" t="str">
        <f>IFERROR(INDEX([1]物品基础表!$A:$A,MATCH(AL173,[1]物品基础表!$B:$B,0)),"")</f>
        <v/>
      </c>
      <c r="AP173" s="1" t="str">
        <f>IFERROR(INDEX([1]物品基础表!$A:$A,MATCH(AO173,[1]物品基础表!$B:$B,0)),"")</f>
        <v/>
      </c>
      <c r="AS173" s="1" t="str">
        <f>IFERROR(INDEX([1]物品基础表!$A:$A,MATCH(AR173,[1]物品基础表!$B:$B,0)),"")</f>
        <v/>
      </c>
      <c r="AV173" s="1" t="str">
        <f>IFERROR(INDEX([1]物品基础表!$A:$A,MATCH(AU173,[1]物品基础表!$B:$B,0)),"")</f>
        <v/>
      </c>
      <c r="AY173" s="1" t="str">
        <f>IFERROR(INDEX([1]物品基础表!$A:$A,MATCH(AX173,[1]物品基础表!$B:$B,0)),"")</f>
        <v/>
      </c>
      <c r="BB173" s="1" t="str">
        <f>IFERROR(INDEX([1]物品基础表!$A:$A,MATCH(BA173,[1]物品基础表!$B:$B,0)),"")</f>
        <v/>
      </c>
      <c r="BE173" s="1" t="str">
        <f>IFERROR(INDEX([1]物品基础表!$A:$A,MATCH(BD173,[1]物品基础表!$B:$B,0)),"")</f>
        <v/>
      </c>
      <c r="BH173" s="1" t="str">
        <f>IFERROR(INDEX([1]物品基础表!$A:$A,MATCH(BG173,[1]物品基础表!$B:$B,0)),"")</f>
        <v/>
      </c>
      <c r="BK173" s="1" t="str">
        <f>IFERROR(INDEX([1]物品基础表!$A:$A,MATCH(BJ173,[1]物品基础表!$B:$B,0)),"")</f>
        <v/>
      </c>
    </row>
    <row r="174" spans="1:63">
      <c r="A174" s="39" t="str">
        <f>INDEX([2]活动总表!$A$8:$A$429,MATCH(B174,[2]活动总表!$B$8:$B$429,0))</f>
        <v>战灵活动-抽奖</v>
      </c>
      <c r="B174" s="40">
        <v>314</v>
      </c>
      <c r="C174" s="40">
        <v>3</v>
      </c>
      <c r="D174" s="40"/>
      <c r="E174" s="40"/>
      <c r="F174" s="40" t="s">
        <v>56</v>
      </c>
      <c r="G174" s="40">
        <v>4</v>
      </c>
      <c r="H174" s="40"/>
      <c r="I174" s="40"/>
      <c r="J174" s="57"/>
      <c r="K174" s="1">
        <v>200005</v>
      </c>
      <c r="L174" s="1" t="str">
        <f>IFERROR(INDEX([1]物品基础表!$A:$A,MATCH(K174,[1]物品基础表!$B:$B,0)),"")</f>
        <v>龙魂碎片</v>
      </c>
      <c r="M174" s="1">
        <v>150</v>
      </c>
      <c r="O174" s="1" t="str">
        <f>IFERROR(INDEX([1]物品基础表!$A:$A,MATCH(N174,[1]物品基础表!$B:$B,0)),"")</f>
        <v/>
      </c>
      <c r="R174" s="1" t="str">
        <f>IFERROR(INDEX([1]物品基础表!$A:$A,MATCH(Q174,[1]物品基础表!$B:$B,0)),"")</f>
        <v/>
      </c>
      <c r="U174" s="1" t="str">
        <f>IFERROR(INDEX([1]物品基础表!$A:$A,MATCH(T174,[1]物品基础表!$B:$B,0)),"")</f>
        <v/>
      </c>
      <c r="X174" s="1" t="str">
        <f>IFERROR(INDEX([1]物品基础表!$A:$A,MATCH(W174,[1]物品基础表!$B:$B,0)),"")</f>
        <v/>
      </c>
      <c r="AA174" s="1" t="str">
        <f>IFERROR(INDEX([1]物品基础表!$A:$A,MATCH(Z174,[1]物品基础表!$B:$B,0)),"")</f>
        <v/>
      </c>
      <c r="AD174" s="1" t="str">
        <f>IFERROR(INDEX([1]物品基础表!$A:$A,MATCH(AC174,[1]物品基础表!$B:$B,0)),"")</f>
        <v/>
      </c>
      <c r="AG174" s="1" t="str">
        <f>IFERROR(INDEX([1]物品基础表!$A:$A,MATCH(AF174,[1]物品基础表!$B:$B,0)),"")</f>
        <v/>
      </c>
      <c r="AJ174" s="1" t="str">
        <f>IFERROR(INDEX([1]物品基础表!$A:$A,MATCH(AI174,[1]物品基础表!$B:$B,0)),"")</f>
        <v/>
      </c>
      <c r="AM174" s="1" t="str">
        <f>IFERROR(INDEX([1]物品基础表!$A:$A,MATCH(AL174,[1]物品基础表!$B:$B,0)),"")</f>
        <v/>
      </c>
      <c r="AP174" s="1" t="str">
        <f>IFERROR(INDEX([1]物品基础表!$A:$A,MATCH(AO174,[1]物品基础表!$B:$B,0)),"")</f>
        <v/>
      </c>
      <c r="AS174" s="1" t="str">
        <f>IFERROR(INDEX([1]物品基础表!$A:$A,MATCH(AR174,[1]物品基础表!$B:$B,0)),"")</f>
        <v/>
      </c>
      <c r="AV174" s="1" t="str">
        <f>IFERROR(INDEX([1]物品基础表!$A:$A,MATCH(AU174,[1]物品基础表!$B:$B,0)),"")</f>
        <v/>
      </c>
      <c r="AY174" s="1" t="str">
        <f>IFERROR(INDEX([1]物品基础表!$A:$A,MATCH(AX174,[1]物品基础表!$B:$B,0)),"")</f>
        <v/>
      </c>
      <c r="BB174" s="1" t="str">
        <f>IFERROR(INDEX([1]物品基础表!$A:$A,MATCH(BA174,[1]物品基础表!$B:$B,0)),"")</f>
        <v/>
      </c>
      <c r="BE174" s="1" t="str">
        <f>IFERROR(INDEX([1]物品基础表!$A:$A,MATCH(BD174,[1]物品基础表!$B:$B,0)),"")</f>
        <v/>
      </c>
      <c r="BH174" s="1" t="str">
        <f>IFERROR(INDEX([1]物品基础表!$A:$A,MATCH(BG174,[1]物品基础表!$B:$B,0)),"")</f>
        <v/>
      </c>
      <c r="BK174" s="1" t="str">
        <f>IFERROR(INDEX([1]物品基础表!$A:$A,MATCH(BJ174,[1]物品基础表!$B:$B,0)),"")</f>
        <v/>
      </c>
    </row>
    <row r="175" spans="1:63">
      <c r="A175" s="39" t="str">
        <f>INDEX([2]活动总表!$A$8:$A$429,MATCH(B175,[2]活动总表!$B$8:$B$429,0))</f>
        <v>战灵活动-抽奖</v>
      </c>
      <c r="B175" s="40">
        <v>314</v>
      </c>
      <c r="C175" s="40">
        <v>4</v>
      </c>
      <c r="D175" s="40"/>
      <c r="E175" s="40"/>
      <c r="F175" s="40" t="s">
        <v>55</v>
      </c>
      <c r="G175" s="40">
        <v>4</v>
      </c>
      <c r="H175" s="40"/>
      <c r="I175" s="40"/>
      <c r="J175" s="57"/>
      <c r="K175" s="1">
        <v>200005</v>
      </c>
      <c r="L175" s="1" t="str">
        <f>IFERROR(INDEX([1]物品基础表!$A:$A,MATCH(K175,[1]物品基础表!$B:$B,0)),"")</f>
        <v>龙魂碎片</v>
      </c>
      <c r="M175" s="1">
        <v>15</v>
      </c>
      <c r="O175" s="1" t="str">
        <f>IFERROR(INDEX([1]物品基础表!$A:$A,MATCH(N175,[1]物品基础表!$B:$B,0)),"")</f>
        <v/>
      </c>
      <c r="R175" s="1" t="str">
        <f>IFERROR(INDEX([1]物品基础表!$A:$A,MATCH(Q175,[1]物品基础表!$B:$B,0)),"")</f>
        <v/>
      </c>
      <c r="U175" s="1" t="str">
        <f>IFERROR(INDEX([1]物品基础表!$A:$A,MATCH(T175,[1]物品基础表!$B:$B,0)),"")</f>
        <v/>
      </c>
      <c r="X175" s="1" t="str">
        <f>IFERROR(INDEX([1]物品基础表!$A:$A,MATCH(W175,[1]物品基础表!$B:$B,0)),"")</f>
        <v/>
      </c>
      <c r="AA175" s="1" t="str">
        <f>IFERROR(INDEX([1]物品基础表!$A:$A,MATCH(Z175,[1]物品基础表!$B:$B,0)),"")</f>
        <v/>
      </c>
      <c r="AD175" s="1" t="str">
        <f>IFERROR(INDEX([1]物品基础表!$A:$A,MATCH(AC175,[1]物品基础表!$B:$B,0)),"")</f>
        <v/>
      </c>
      <c r="AG175" s="1" t="str">
        <f>IFERROR(INDEX([1]物品基础表!$A:$A,MATCH(AF175,[1]物品基础表!$B:$B,0)),"")</f>
        <v/>
      </c>
      <c r="AJ175" s="1" t="str">
        <f>IFERROR(INDEX([1]物品基础表!$A:$A,MATCH(AI175,[1]物品基础表!$B:$B,0)),"")</f>
        <v/>
      </c>
      <c r="AM175" s="1" t="str">
        <f>IFERROR(INDEX([1]物品基础表!$A:$A,MATCH(AL175,[1]物品基础表!$B:$B,0)),"")</f>
        <v/>
      </c>
      <c r="AP175" s="1" t="str">
        <f>IFERROR(INDEX([1]物品基础表!$A:$A,MATCH(AO175,[1]物品基础表!$B:$B,0)),"")</f>
        <v/>
      </c>
      <c r="AS175" s="1" t="str">
        <f>IFERROR(INDEX([1]物品基础表!$A:$A,MATCH(AR175,[1]物品基础表!$B:$B,0)),"")</f>
        <v/>
      </c>
      <c r="AV175" s="1" t="str">
        <f>IFERROR(INDEX([1]物品基础表!$A:$A,MATCH(AU175,[1]物品基础表!$B:$B,0)),"")</f>
        <v/>
      </c>
      <c r="AY175" s="1" t="str">
        <f>IFERROR(INDEX([1]物品基础表!$A:$A,MATCH(AX175,[1]物品基础表!$B:$B,0)),"")</f>
        <v/>
      </c>
      <c r="BB175" s="1" t="str">
        <f>IFERROR(INDEX([1]物品基础表!$A:$A,MATCH(BA175,[1]物品基础表!$B:$B,0)),"")</f>
        <v/>
      </c>
      <c r="BE175" s="1" t="str">
        <f>IFERROR(INDEX([1]物品基础表!$A:$A,MATCH(BD175,[1]物品基础表!$B:$B,0)),"")</f>
        <v/>
      </c>
      <c r="BH175" s="1" t="str">
        <f>IFERROR(INDEX([1]物品基础表!$A:$A,MATCH(BG175,[1]物品基础表!$B:$B,0)),"")</f>
        <v/>
      </c>
      <c r="BK175" s="1" t="str">
        <f>IFERROR(INDEX([1]物品基础表!$A:$A,MATCH(BJ175,[1]物品基础表!$B:$B,0)),"")</f>
        <v/>
      </c>
    </row>
    <row r="176" spans="1:63">
      <c r="A176" s="39" t="str">
        <f>INDEX([2]活动总表!$A$8:$A$429,MATCH(B176,[2]活动总表!$B$8:$B$429,0))</f>
        <v>战灵活动-抽奖</v>
      </c>
      <c r="B176" s="40">
        <v>314</v>
      </c>
      <c r="C176" s="40">
        <v>5</v>
      </c>
      <c r="D176" s="40"/>
      <c r="E176" s="40"/>
      <c r="F176" s="40" t="s">
        <v>55</v>
      </c>
      <c r="G176" s="40">
        <v>4</v>
      </c>
      <c r="H176" s="40"/>
      <c r="I176" s="40"/>
      <c r="J176" s="57"/>
      <c r="K176" s="1">
        <v>205000</v>
      </c>
      <c r="L176" s="1" t="str">
        <f>IFERROR(INDEX([1]物品基础表!$A:$A,MATCH(K176,[1]物品基础表!$B:$B,0)),"")</f>
        <v>战灵进阶丹</v>
      </c>
      <c r="M176" s="1">
        <v>10</v>
      </c>
      <c r="O176" s="1" t="str">
        <f>IFERROR(INDEX([1]物品基础表!$A:$A,MATCH(N176,[1]物品基础表!$B:$B,0)),"")</f>
        <v/>
      </c>
      <c r="R176" s="1" t="str">
        <f>IFERROR(INDEX([1]物品基础表!$A:$A,MATCH(Q176,[1]物品基础表!$B:$B,0)),"")</f>
        <v/>
      </c>
      <c r="U176" s="1" t="str">
        <f>IFERROR(INDEX([1]物品基础表!$A:$A,MATCH(T176,[1]物品基础表!$B:$B,0)),"")</f>
        <v/>
      </c>
      <c r="X176" s="1" t="str">
        <f>IFERROR(INDEX([1]物品基础表!$A:$A,MATCH(W176,[1]物品基础表!$B:$B,0)),"")</f>
        <v/>
      </c>
      <c r="AA176" s="1" t="str">
        <f>IFERROR(INDEX([1]物品基础表!$A:$A,MATCH(Z176,[1]物品基础表!$B:$B,0)),"")</f>
        <v/>
      </c>
      <c r="AD176" s="1" t="str">
        <f>IFERROR(INDEX([1]物品基础表!$A:$A,MATCH(AC176,[1]物品基础表!$B:$B,0)),"")</f>
        <v/>
      </c>
      <c r="AG176" s="1" t="str">
        <f>IFERROR(INDEX([1]物品基础表!$A:$A,MATCH(AF176,[1]物品基础表!$B:$B,0)),"")</f>
        <v/>
      </c>
      <c r="AJ176" s="1" t="str">
        <f>IFERROR(INDEX([1]物品基础表!$A:$A,MATCH(AI176,[1]物品基础表!$B:$B,0)),"")</f>
        <v/>
      </c>
      <c r="AM176" s="1" t="str">
        <f>IFERROR(INDEX([1]物品基础表!$A:$A,MATCH(AL176,[1]物品基础表!$B:$B,0)),"")</f>
        <v/>
      </c>
      <c r="AP176" s="1" t="str">
        <f>IFERROR(INDEX([1]物品基础表!$A:$A,MATCH(AO176,[1]物品基础表!$B:$B,0)),"")</f>
        <v/>
      </c>
      <c r="AS176" s="1" t="str">
        <f>IFERROR(INDEX([1]物品基础表!$A:$A,MATCH(AR176,[1]物品基础表!$B:$B,0)),"")</f>
        <v/>
      </c>
      <c r="AV176" s="1" t="str">
        <f>IFERROR(INDEX([1]物品基础表!$A:$A,MATCH(AU176,[1]物品基础表!$B:$B,0)),"")</f>
        <v/>
      </c>
      <c r="AY176" s="1" t="str">
        <f>IFERROR(INDEX([1]物品基础表!$A:$A,MATCH(AX176,[1]物品基础表!$B:$B,0)),"")</f>
        <v/>
      </c>
      <c r="BB176" s="1" t="str">
        <f>IFERROR(INDEX([1]物品基础表!$A:$A,MATCH(BA176,[1]物品基础表!$B:$B,0)),"")</f>
        <v/>
      </c>
      <c r="BE176" s="1" t="str">
        <f>IFERROR(INDEX([1]物品基础表!$A:$A,MATCH(BD176,[1]物品基础表!$B:$B,0)),"")</f>
        <v/>
      </c>
      <c r="BH176" s="1" t="str">
        <f>IFERROR(INDEX([1]物品基础表!$A:$A,MATCH(BG176,[1]物品基础表!$B:$B,0)),"")</f>
        <v/>
      </c>
      <c r="BK176" s="1" t="str">
        <f>IFERROR(INDEX([1]物品基础表!$A:$A,MATCH(BJ176,[1]物品基础表!$B:$B,0)),"")</f>
        <v/>
      </c>
    </row>
    <row r="177" spans="1:63">
      <c r="A177" s="39" t="str">
        <f>INDEX([2]活动总表!$A$8:$A$429,MATCH(B177,[2]活动总表!$B$8:$B$429,0))</f>
        <v>战灵活动-抽奖</v>
      </c>
      <c r="B177" s="40">
        <v>314</v>
      </c>
      <c r="C177" s="40">
        <v>6</v>
      </c>
      <c r="D177" s="40"/>
      <c r="E177" s="40"/>
      <c r="F177" s="40" t="s">
        <v>57</v>
      </c>
      <c r="G177" s="40">
        <v>4</v>
      </c>
      <c r="H177" s="40"/>
      <c r="I177" s="40"/>
      <c r="J177" s="57"/>
      <c r="K177" s="1">
        <v>204158</v>
      </c>
      <c r="L177" s="1" t="str">
        <f>IFERROR(INDEX([1]物品基础表!$A:$A,MATCH(K177,[1]物品基础表!$B:$B,0)),"")</f>
        <v>5阶战灵装备</v>
      </c>
      <c r="M177" s="1">
        <v>1</v>
      </c>
      <c r="O177" s="1" t="str">
        <f>IFERROR(INDEX([1]物品基础表!$A:$A,MATCH(N177,[1]物品基础表!$B:$B,0)),"")</f>
        <v/>
      </c>
      <c r="R177" s="1" t="str">
        <f>IFERROR(INDEX([1]物品基础表!$A:$A,MATCH(Q177,[1]物品基础表!$B:$B,0)),"")</f>
        <v/>
      </c>
      <c r="U177" s="1" t="str">
        <f>IFERROR(INDEX([1]物品基础表!$A:$A,MATCH(T177,[1]物品基础表!$B:$B,0)),"")</f>
        <v/>
      </c>
      <c r="X177" s="1" t="str">
        <f>IFERROR(INDEX([1]物品基础表!$A:$A,MATCH(W177,[1]物品基础表!$B:$B,0)),"")</f>
        <v/>
      </c>
      <c r="AA177" s="1" t="str">
        <f>IFERROR(INDEX([1]物品基础表!$A:$A,MATCH(Z177,[1]物品基础表!$B:$B,0)),"")</f>
        <v/>
      </c>
      <c r="AD177" s="1" t="str">
        <f>IFERROR(INDEX([1]物品基础表!$A:$A,MATCH(AC177,[1]物品基础表!$B:$B,0)),"")</f>
        <v/>
      </c>
      <c r="AG177" s="1" t="str">
        <f>IFERROR(INDEX([1]物品基础表!$A:$A,MATCH(AF177,[1]物品基础表!$B:$B,0)),"")</f>
        <v/>
      </c>
      <c r="AJ177" s="1" t="str">
        <f>IFERROR(INDEX([1]物品基础表!$A:$A,MATCH(AI177,[1]物品基础表!$B:$B,0)),"")</f>
        <v/>
      </c>
      <c r="AM177" s="1" t="str">
        <f>IFERROR(INDEX([1]物品基础表!$A:$A,MATCH(AL177,[1]物品基础表!$B:$B,0)),"")</f>
        <v/>
      </c>
      <c r="AP177" s="1" t="str">
        <f>IFERROR(INDEX([1]物品基础表!$A:$A,MATCH(AO177,[1]物品基础表!$B:$B,0)),"")</f>
        <v/>
      </c>
      <c r="AS177" s="1" t="str">
        <f>IFERROR(INDEX([1]物品基础表!$A:$A,MATCH(AR177,[1]物品基础表!$B:$B,0)),"")</f>
        <v/>
      </c>
      <c r="AV177" s="1" t="str">
        <f>IFERROR(INDEX([1]物品基础表!$A:$A,MATCH(AU177,[1]物品基础表!$B:$B,0)),"")</f>
        <v/>
      </c>
      <c r="AY177" s="1" t="str">
        <f>IFERROR(INDEX([1]物品基础表!$A:$A,MATCH(AX177,[1]物品基础表!$B:$B,0)),"")</f>
        <v/>
      </c>
      <c r="BB177" s="1" t="str">
        <f>IFERROR(INDEX([1]物品基础表!$A:$A,MATCH(BA177,[1]物品基础表!$B:$B,0)),"")</f>
        <v/>
      </c>
      <c r="BE177" s="1" t="str">
        <f>IFERROR(INDEX([1]物品基础表!$A:$A,MATCH(BD177,[1]物品基础表!$B:$B,0)),"")</f>
        <v/>
      </c>
      <c r="BH177" s="1" t="str">
        <f>IFERROR(INDEX([1]物品基础表!$A:$A,MATCH(BG177,[1]物品基础表!$B:$B,0)),"")</f>
        <v/>
      </c>
      <c r="BK177" s="1" t="str">
        <f>IFERROR(INDEX([1]物品基础表!$A:$A,MATCH(BJ177,[1]物品基础表!$B:$B,0)),"")</f>
        <v/>
      </c>
    </row>
    <row r="178" spans="1:63">
      <c r="A178" s="39" t="str">
        <f>INDEX([2]活动总表!$A$8:$A$429,MATCH(B178,[2]活动总表!$B$8:$B$429,0))</f>
        <v>战灵活动-抽奖</v>
      </c>
      <c r="B178" s="40">
        <v>314</v>
      </c>
      <c r="C178" s="40">
        <v>7</v>
      </c>
      <c r="D178" s="40"/>
      <c r="E178" s="40"/>
      <c r="F178" s="40" t="s">
        <v>55</v>
      </c>
      <c r="G178" s="40">
        <v>4</v>
      </c>
      <c r="H178" s="40"/>
      <c r="I178" s="40"/>
      <c r="J178" s="57"/>
      <c r="K178" s="1">
        <v>200001</v>
      </c>
      <c r="L178" s="1" t="str">
        <f>IFERROR(INDEX([1]物品基础表!$A:$A,MATCH(K178,[1]物品基础表!$B:$B,0)),"")</f>
        <v>羽毛</v>
      </c>
      <c r="M178" s="1">
        <v>15</v>
      </c>
      <c r="O178" s="1" t="str">
        <f>IFERROR(INDEX([1]物品基础表!$A:$A,MATCH(N178,[1]物品基础表!$B:$B,0)),"")</f>
        <v/>
      </c>
      <c r="R178" s="1" t="str">
        <f>IFERROR(INDEX([1]物品基础表!$A:$A,MATCH(Q178,[1]物品基础表!$B:$B,0)),"")</f>
        <v/>
      </c>
      <c r="U178" s="1" t="str">
        <f>IFERROR(INDEX([1]物品基础表!$A:$A,MATCH(T178,[1]物品基础表!$B:$B,0)),"")</f>
        <v/>
      </c>
      <c r="X178" s="1" t="str">
        <f>IFERROR(INDEX([1]物品基础表!$A:$A,MATCH(W178,[1]物品基础表!$B:$B,0)),"")</f>
        <v/>
      </c>
      <c r="AA178" s="1" t="str">
        <f>IFERROR(INDEX([1]物品基础表!$A:$A,MATCH(Z178,[1]物品基础表!$B:$B,0)),"")</f>
        <v/>
      </c>
      <c r="AD178" s="1" t="str">
        <f>IFERROR(INDEX([1]物品基础表!$A:$A,MATCH(AC178,[1]物品基础表!$B:$B,0)),"")</f>
        <v/>
      </c>
      <c r="AG178" s="1" t="str">
        <f>IFERROR(INDEX([1]物品基础表!$A:$A,MATCH(AF178,[1]物品基础表!$B:$B,0)),"")</f>
        <v/>
      </c>
      <c r="AJ178" s="1" t="str">
        <f>IFERROR(INDEX([1]物品基础表!$A:$A,MATCH(AI178,[1]物品基础表!$B:$B,0)),"")</f>
        <v/>
      </c>
      <c r="AM178" s="1" t="str">
        <f>IFERROR(INDEX([1]物品基础表!$A:$A,MATCH(AL178,[1]物品基础表!$B:$B,0)),"")</f>
        <v/>
      </c>
      <c r="AP178" s="1" t="str">
        <f>IFERROR(INDEX([1]物品基础表!$A:$A,MATCH(AO178,[1]物品基础表!$B:$B,0)),"")</f>
        <v/>
      </c>
      <c r="AS178" s="1" t="str">
        <f>IFERROR(INDEX([1]物品基础表!$A:$A,MATCH(AR178,[1]物品基础表!$B:$B,0)),"")</f>
        <v/>
      </c>
      <c r="AV178" s="1" t="str">
        <f>IFERROR(INDEX([1]物品基础表!$A:$A,MATCH(AU178,[1]物品基础表!$B:$B,0)),"")</f>
        <v/>
      </c>
      <c r="AY178" s="1" t="str">
        <f>IFERROR(INDEX([1]物品基础表!$A:$A,MATCH(AX178,[1]物品基础表!$B:$B,0)),"")</f>
        <v/>
      </c>
      <c r="BB178" s="1" t="str">
        <f>IFERROR(INDEX([1]物品基础表!$A:$A,MATCH(BA178,[1]物品基础表!$B:$B,0)),"")</f>
        <v/>
      </c>
      <c r="BE178" s="1" t="str">
        <f>IFERROR(INDEX([1]物品基础表!$A:$A,MATCH(BD178,[1]物品基础表!$B:$B,0)),"")</f>
        <v/>
      </c>
      <c r="BH178" s="1" t="str">
        <f>IFERROR(INDEX([1]物品基础表!$A:$A,MATCH(BG178,[1]物品基础表!$B:$B,0)),"")</f>
        <v/>
      </c>
      <c r="BK178" s="1" t="str">
        <f>IFERROR(INDEX([1]物品基础表!$A:$A,MATCH(BJ178,[1]物品基础表!$B:$B,0)),"")</f>
        <v/>
      </c>
    </row>
    <row r="179" spans="1:63">
      <c r="A179" s="39" t="str">
        <f>INDEX([2]活动总表!$A$8:$A$429,MATCH(B179,[2]活动总表!$B$8:$B$429,0))</f>
        <v>战灵活动-抽奖</v>
      </c>
      <c r="B179" s="40">
        <v>314</v>
      </c>
      <c r="C179" s="40">
        <v>8</v>
      </c>
      <c r="D179" s="40"/>
      <c r="E179" s="40"/>
      <c r="F179" s="40" t="s">
        <v>855</v>
      </c>
      <c r="G179" s="40">
        <v>4</v>
      </c>
      <c r="H179" s="40"/>
      <c r="I179" s="40"/>
      <c r="J179" s="57"/>
      <c r="K179" s="1">
        <v>204156</v>
      </c>
      <c r="L179" s="1" t="str">
        <f>IFERROR(INDEX([1]物品基础表!$A:$A,MATCH(K179,[1]物品基础表!$B:$B,0)),"")</f>
        <v>3阶战灵装备</v>
      </c>
      <c r="M179" s="1">
        <v>1</v>
      </c>
      <c r="O179" s="1" t="str">
        <f>IFERROR(INDEX([1]物品基础表!$A:$A,MATCH(N179,[1]物品基础表!$B:$B,0)),"")</f>
        <v/>
      </c>
      <c r="R179" s="1" t="str">
        <f>IFERROR(INDEX([1]物品基础表!$A:$A,MATCH(Q179,[1]物品基础表!$B:$B,0)),"")</f>
        <v/>
      </c>
      <c r="U179" s="1" t="str">
        <f>IFERROR(INDEX([1]物品基础表!$A:$A,MATCH(T179,[1]物品基础表!$B:$B,0)),"")</f>
        <v/>
      </c>
      <c r="X179" s="1" t="str">
        <f>IFERROR(INDEX([1]物品基础表!$A:$A,MATCH(W179,[1]物品基础表!$B:$B,0)),"")</f>
        <v/>
      </c>
      <c r="AA179" s="1" t="str">
        <f>IFERROR(INDEX([1]物品基础表!$A:$A,MATCH(Z179,[1]物品基础表!$B:$B,0)),"")</f>
        <v/>
      </c>
      <c r="AD179" s="1" t="str">
        <f>IFERROR(INDEX([1]物品基础表!$A:$A,MATCH(AC179,[1]物品基础表!$B:$B,0)),"")</f>
        <v/>
      </c>
      <c r="AG179" s="1" t="str">
        <f>IFERROR(INDEX([1]物品基础表!$A:$A,MATCH(AF179,[1]物品基础表!$B:$B,0)),"")</f>
        <v/>
      </c>
      <c r="AJ179" s="1" t="str">
        <f>IFERROR(INDEX([1]物品基础表!$A:$A,MATCH(AI179,[1]物品基础表!$B:$B,0)),"")</f>
        <v/>
      </c>
      <c r="AM179" s="1" t="str">
        <f>IFERROR(INDEX([1]物品基础表!$A:$A,MATCH(AL179,[1]物品基础表!$B:$B,0)),"")</f>
        <v/>
      </c>
      <c r="AP179" s="1" t="str">
        <f>IFERROR(INDEX([1]物品基础表!$A:$A,MATCH(AO179,[1]物品基础表!$B:$B,0)),"")</f>
        <v/>
      </c>
      <c r="AS179" s="1" t="str">
        <f>IFERROR(INDEX([1]物品基础表!$A:$A,MATCH(AR179,[1]物品基础表!$B:$B,0)),"")</f>
        <v/>
      </c>
      <c r="AV179" s="1" t="str">
        <f>IFERROR(INDEX([1]物品基础表!$A:$A,MATCH(AU179,[1]物品基础表!$B:$B,0)),"")</f>
        <v/>
      </c>
      <c r="AY179" s="1" t="str">
        <f>IFERROR(INDEX([1]物品基础表!$A:$A,MATCH(AX179,[1]物品基础表!$B:$B,0)),"")</f>
        <v/>
      </c>
      <c r="BB179" s="1" t="str">
        <f>IFERROR(INDEX([1]物品基础表!$A:$A,MATCH(BA179,[1]物品基础表!$B:$B,0)),"")</f>
        <v/>
      </c>
      <c r="BE179" s="1" t="str">
        <f>IFERROR(INDEX([1]物品基础表!$A:$A,MATCH(BD179,[1]物品基础表!$B:$B,0)),"")</f>
        <v/>
      </c>
      <c r="BH179" s="1" t="str">
        <f>IFERROR(INDEX([1]物品基础表!$A:$A,MATCH(BG179,[1]物品基础表!$B:$B,0)),"")</f>
        <v/>
      </c>
      <c r="BK179" s="1" t="str">
        <f>IFERROR(INDEX([1]物品基础表!$A:$A,MATCH(BJ179,[1]物品基础表!$B:$B,0)),"")</f>
        <v/>
      </c>
    </row>
    <row r="180" spans="1:63">
      <c r="A180" s="39" t="str">
        <f>INDEX([2]活动总表!$A$8:$A$429,MATCH(B180,[2]活动总表!$B$8:$B$429,0))</f>
        <v>战灵活动-抽奖</v>
      </c>
      <c r="B180" s="40">
        <v>314</v>
      </c>
      <c r="C180" s="40">
        <v>9</v>
      </c>
      <c r="D180" s="40"/>
      <c r="E180" s="40"/>
      <c r="F180" s="40" t="s">
        <v>55</v>
      </c>
      <c r="G180" s="40">
        <v>4</v>
      </c>
      <c r="H180" s="40"/>
      <c r="I180" s="40"/>
      <c r="J180" s="57"/>
      <c r="K180" s="1">
        <v>500005</v>
      </c>
      <c r="L180" s="1" t="str">
        <f>IFERROR(INDEX([1]物品基础表!$A:$A,MATCH(K180,[1]物品基础表!$B:$B,0)),"")</f>
        <v>战纹精华-红</v>
      </c>
      <c r="M180" s="1">
        <v>4</v>
      </c>
      <c r="O180" s="1" t="str">
        <f>IFERROR(INDEX([1]物品基础表!$A:$A,MATCH(N180,[1]物品基础表!$B:$B,0)),"")</f>
        <v/>
      </c>
      <c r="R180" s="1" t="str">
        <f>IFERROR(INDEX([1]物品基础表!$A:$A,MATCH(Q180,[1]物品基础表!$B:$B,0)),"")</f>
        <v/>
      </c>
      <c r="U180" s="1" t="str">
        <f>IFERROR(INDEX([1]物品基础表!$A:$A,MATCH(T180,[1]物品基础表!$B:$B,0)),"")</f>
        <v/>
      </c>
      <c r="X180" s="1" t="str">
        <f>IFERROR(INDEX([1]物品基础表!$A:$A,MATCH(W180,[1]物品基础表!$B:$B,0)),"")</f>
        <v/>
      </c>
      <c r="AA180" s="1" t="str">
        <f>IFERROR(INDEX([1]物品基础表!$A:$A,MATCH(Z180,[1]物品基础表!$B:$B,0)),"")</f>
        <v/>
      </c>
      <c r="AD180" s="1" t="str">
        <f>IFERROR(INDEX([1]物品基础表!$A:$A,MATCH(AC180,[1]物品基础表!$B:$B,0)),"")</f>
        <v/>
      </c>
      <c r="AG180" s="1" t="str">
        <f>IFERROR(INDEX([1]物品基础表!$A:$A,MATCH(AF180,[1]物品基础表!$B:$B,0)),"")</f>
        <v/>
      </c>
      <c r="AJ180" s="1" t="str">
        <f>IFERROR(INDEX([1]物品基础表!$A:$A,MATCH(AI180,[1]物品基础表!$B:$B,0)),"")</f>
        <v/>
      </c>
      <c r="AM180" s="1" t="str">
        <f>IFERROR(INDEX([1]物品基础表!$A:$A,MATCH(AL180,[1]物品基础表!$B:$B,0)),"")</f>
        <v/>
      </c>
      <c r="AP180" s="1" t="str">
        <f>IFERROR(INDEX([1]物品基础表!$A:$A,MATCH(AO180,[1]物品基础表!$B:$B,0)),"")</f>
        <v/>
      </c>
      <c r="AS180" s="1" t="str">
        <f>IFERROR(INDEX([1]物品基础表!$A:$A,MATCH(AR180,[1]物品基础表!$B:$B,0)),"")</f>
        <v/>
      </c>
      <c r="AV180" s="1" t="str">
        <f>IFERROR(INDEX([1]物品基础表!$A:$A,MATCH(AU180,[1]物品基础表!$B:$B,0)),"")</f>
        <v/>
      </c>
      <c r="AY180" s="1" t="str">
        <f>IFERROR(INDEX([1]物品基础表!$A:$A,MATCH(AX180,[1]物品基础表!$B:$B,0)),"")</f>
        <v/>
      </c>
      <c r="BB180" s="1" t="str">
        <f>IFERROR(INDEX([1]物品基础表!$A:$A,MATCH(BA180,[1]物品基础表!$B:$B,0)),"")</f>
        <v/>
      </c>
      <c r="BE180" s="1" t="str">
        <f>IFERROR(INDEX([1]物品基础表!$A:$A,MATCH(BD180,[1]物品基础表!$B:$B,0)),"")</f>
        <v/>
      </c>
      <c r="BH180" s="1" t="str">
        <f>IFERROR(INDEX([1]物品基础表!$A:$A,MATCH(BG180,[1]物品基础表!$B:$B,0)),"")</f>
        <v/>
      </c>
      <c r="BK180" s="1" t="str">
        <f>IFERROR(INDEX([1]物品基础表!$A:$A,MATCH(BJ180,[1]物品基础表!$B:$B,0)),"")</f>
        <v/>
      </c>
    </row>
    <row r="181" spans="1:63">
      <c r="A181" s="39" t="str">
        <f>INDEX([2]活动总表!$A$8:$A$429,MATCH(B181,[2]活动总表!$B$8:$B$429,0))</f>
        <v>战灵活动-抽奖</v>
      </c>
      <c r="B181" s="40">
        <v>314</v>
      </c>
      <c r="C181" s="40">
        <v>10</v>
      </c>
      <c r="D181" s="40"/>
      <c r="E181" s="40"/>
      <c r="F181" s="40" t="s">
        <v>855</v>
      </c>
      <c r="G181" s="40">
        <v>4</v>
      </c>
      <c r="H181" s="40"/>
      <c r="I181" s="40"/>
      <c r="J181" s="57"/>
      <c r="K181" s="1">
        <v>200015</v>
      </c>
      <c r="L181" s="1" t="str">
        <f>IFERROR(INDEX([1]物品基础表!$A:$A,MATCH(K181,[1]物品基础表!$B:$B,0)),"")</f>
        <v>特戒碎片</v>
      </c>
      <c r="M181" s="1">
        <v>1500</v>
      </c>
      <c r="O181" s="1" t="str">
        <f>IFERROR(INDEX([1]物品基础表!$A:$A,MATCH(N181,[1]物品基础表!$B:$B,0)),"")</f>
        <v/>
      </c>
      <c r="R181" s="1" t="str">
        <f>IFERROR(INDEX([1]物品基础表!$A:$A,MATCH(Q181,[1]物品基础表!$B:$B,0)),"")</f>
        <v/>
      </c>
      <c r="U181" s="1" t="str">
        <f>IFERROR(INDEX([1]物品基础表!$A:$A,MATCH(T181,[1]物品基础表!$B:$B,0)),"")</f>
        <v/>
      </c>
      <c r="X181" s="1" t="str">
        <f>IFERROR(INDEX([1]物品基础表!$A:$A,MATCH(W181,[1]物品基础表!$B:$B,0)),"")</f>
        <v/>
      </c>
      <c r="AA181" s="1" t="str">
        <f>IFERROR(INDEX([1]物品基础表!$A:$A,MATCH(Z181,[1]物品基础表!$B:$B,0)),"")</f>
        <v/>
      </c>
      <c r="AD181" s="1" t="str">
        <f>IFERROR(INDEX([1]物品基础表!$A:$A,MATCH(AC181,[1]物品基础表!$B:$B,0)),"")</f>
        <v/>
      </c>
      <c r="AG181" s="1" t="str">
        <f>IFERROR(INDEX([1]物品基础表!$A:$A,MATCH(AF181,[1]物品基础表!$B:$B,0)),"")</f>
        <v/>
      </c>
      <c r="AJ181" s="1" t="str">
        <f>IFERROR(INDEX([1]物品基础表!$A:$A,MATCH(AI181,[1]物品基础表!$B:$B,0)),"")</f>
        <v/>
      </c>
      <c r="AM181" s="1" t="str">
        <f>IFERROR(INDEX([1]物品基础表!$A:$A,MATCH(AL181,[1]物品基础表!$B:$B,0)),"")</f>
        <v/>
      </c>
      <c r="AP181" s="1" t="str">
        <f>IFERROR(INDEX([1]物品基础表!$A:$A,MATCH(AO181,[1]物品基础表!$B:$B,0)),"")</f>
        <v/>
      </c>
      <c r="AS181" s="1" t="str">
        <f>IFERROR(INDEX([1]物品基础表!$A:$A,MATCH(AR181,[1]物品基础表!$B:$B,0)),"")</f>
        <v/>
      </c>
      <c r="AV181" s="1" t="str">
        <f>IFERROR(INDEX([1]物品基础表!$A:$A,MATCH(AU181,[1]物品基础表!$B:$B,0)),"")</f>
        <v/>
      </c>
      <c r="AY181" s="1" t="str">
        <f>IFERROR(INDEX([1]物品基础表!$A:$A,MATCH(AX181,[1]物品基础表!$B:$B,0)),"")</f>
        <v/>
      </c>
      <c r="BB181" s="1" t="str">
        <f>IFERROR(INDEX([1]物品基础表!$A:$A,MATCH(BA181,[1]物品基础表!$B:$B,0)),"")</f>
        <v/>
      </c>
      <c r="BE181" s="1" t="str">
        <f>IFERROR(INDEX([1]物品基础表!$A:$A,MATCH(BD181,[1]物品基础表!$B:$B,0)),"")</f>
        <v/>
      </c>
      <c r="BH181" s="1" t="str">
        <f>IFERROR(INDEX([1]物品基础表!$A:$A,MATCH(BG181,[1]物品基础表!$B:$B,0)),"")</f>
        <v/>
      </c>
      <c r="BK181" s="1" t="str">
        <f>IFERROR(INDEX([1]物品基础表!$A:$A,MATCH(BJ181,[1]物品基础表!$B:$B,0)),"")</f>
        <v/>
      </c>
    </row>
    <row r="182" spans="1:63">
      <c r="A182" s="39" t="str">
        <f>INDEX([2]活动总表!$A$8:$A$429,MATCH(B182,[2]活动总表!$B$8:$B$429,0))</f>
        <v>战灵活动-抽奖A</v>
      </c>
      <c r="B182" s="40">
        <v>351</v>
      </c>
      <c r="C182" s="40">
        <v>0</v>
      </c>
      <c r="D182" s="40">
        <v>200309</v>
      </c>
      <c r="E182" s="40">
        <v>500</v>
      </c>
      <c r="F182" s="40"/>
      <c r="G182" s="40">
        <v>4</v>
      </c>
      <c r="H182" s="40"/>
      <c r="I182" s="40" t="s">
        <v>853</v>
      </c>
      <c r="J182" s="57" t="s">
        <v>854</v>
      </c>
      <c r="K182" s="1">
        <v>1</v>
      </c>
      <c r="L182" s="1" t="s">
        <v>901</v>
      </c>
      <c r="M182" s="1">
        <v>500000</v>
      </c>
      <c r="O182" s="1" t="str">
        <f>IFERROR(INDEX([1]物品基础表!$A:$A,MATCH(N182,[1]物品基础表!$B:$B,0)),"")</f>
        <v/>
      </c>
      <c r="R182" s="1" t="str">
        <f>IFERROR(INDEX([1]物品基础表!$A:$A,MATCH(Q182,[1]物品基础表!$B:$B,0)),"")</f>
        <v/>
      </c>
      <c r="U182" s="1" t="str">
        <f>IFERROR(INDEX([1]物品基础表!$A:$A,MATCH(T182,[1]物品基础表!$B:$B,0)),"")</f>
        <v/>
      </c>
      <c r="X182" s="1" t="str">
        <f>IFERROR(INDEX([1]物品基础表!$A:$A,MATCH(W182,[1]物品基础表!$B:$B,0)),"")</f>
        <v/>
      </c>
      <c r="AA182" s="1" t="str">
        <f>IFERROR(INDEX([1]物品基础表!$A:$A,MATCH(Z182,[1]物品基础表!$B:$B,0)),"")</f>
        <v/>
      </c>
      <c r="AD182" s="1" t="str">
        <f>IFERROR(INDEX([1]物品基础表!$A:$A,MATCH(AC182,[1]物品基础表!$B:$B,0)),"")</f>
        <v/>
      </c>
      <c r="AG182" s="1" t="str">
        <f>IFERROR(INDEX([1]物品基础表!$A:$A,MATCH(AF182,[1]物品基础表!$B:$B,0)),"")</f>
        <v/>
      </c>
      <c r="AJ182" s="1" t="str">
        <f>IFERROR(INDEX([1]物品基础表!$A:$A,MATCH(AI182,[1]物品基础表!$B:$B,0)),"")</f>
        <v/>
      </c>
      <c r="AM182" s="1" t="str">
        <f>IFERROR(INDEX([1]物品基础表!$A:$A,MATCH(AL182,[1]物品基础表!$B:$B,0)),"")</f>
        <v/>
      </c>
      <c r="AP182" s="1" t="str">
        <f>IFERROR(INDEX([1]物品基础表!$A:$A,MATCH(AO182,[1]物品基础表!$B:$B,0)),"")</f>
        <v/>
      </c>
      <c r="AS182" s="1" t="str">
        <f>IFERROR(INDEX([1]物品基础表!$A:$A,MATCH(AR182,[1]物品基础表!$B:$B,0)),"")</f>
        <v/>
      </c>
      <c r="AV182" s="1" t="str">
        <f>IFERROR(INDEX([1]物品基础表!$A:$A,MATCH(AU182,[1]物品基础表!$B:$B,0)),"")</f>
        <v/>
      </c>
      <c r="AY182" s="1" t="str">
        <f>IFERROR(INDEX([1]物品基础表!$A:$A,MATCH(AX182,[1]物品基础表!$B:$B,0)),"")</f>
        <v/>
      </c>
      <c r="BB182" s="1" t="str">
        <f>IFERROR(INDEX([1]物品基础表!$A:$A,MATCH(BA182,[1]物品基础表!$B:$B,0)),"")</f>
        <v/>
      </c>
      <c r="BE182" s="1" t="str">
        <f>IFERROR(INDEX([1]物品基础表!$A:$A,MATCH(BD182,[1]物品基础表!$B:$B,0)),"")</f>
        <v/>
      </c>
      <c r="BH182" s="1" t="str">
        <f>IFERROR(INDEX([1]物品基础表!$A:$A,MATCH(BG182,[1]物品基础表!$B:$B,0)),"")</f>
        <v/>
      </c>
      <c r="BK182" s="1" t="str">
        <f>IFERROR(INDEX([1]物品基础表!$A:$A,MATCH(BJ182,[1]物品基础表!$B:$B,0)),"")</f>
        <v/>
      </c>
    </row>
    <row r="183" spans="1:63">
      <c r="A183" s="39" t="str">
        <f>INDEX([2]活动总表!$A$8:$A$429,MATCH(B183,[2]活动总表!$B$8:$B$429,0))</f>
        <v>战灵活动-抽奖A</v>
      </c>
      <c r="B183" s="40">
        <v>351</v>
      </c>
      <c r="C183" s="40">
        <v>1</v>
      </c>
      <c r="D183" s="40"/>
      <c r="E183" s="40"/>
      <c r="F183" s="40" t="s">
        <v>54</v>
      </c>
      <c r="G183" s="40">
        <v>4</v>
      </c>
      <c r="H183" s="40"/>
      <c r="I183" s="40"/>
      <c r="J183" s="57"/>
      <c r="K183" s="1">
        <v>205004</v>
      </c>
      <c r="L183" s="1" t="str">
        <f>IFERROR(INDEX([1]物品基础表!$A:$A,MATCH(K183,[1]物品基础表!$B:$B,0)),"")</f>
        <v>太阳星君</v>
      </c>
      <c r="M183" s="1">
        <v>1</v>
      </c>
      <c r="O183" s="1" t="str">
        <f>IFERROR(INDEX([1]物品基础表!$A:$A,MATCH(N183,[1]物品基础表!$B:$B,0)),"")</f>
        <v/>
      </c>
      <c r="R183" s="1" t="str">
        <f>IFERROR(INDEX([1]物品基础表!$A:$A,MATCH(Q183,[1]物品基础表!$B:$B,0)),"")</f>
        <v/>
      </c>
      <c r="U183" s="1" t="str">
        <f>IFERROR(INDEX([1]物品基础表!$A:$A,MATCH(T183,[1]物品基础表!$B:$B,0)),"")</f>
        <v/>
      </c>
      <c r="X183" s="1" t="str">
        <f>IFERROR(INDEX([1]物品基础表!$A:$A,MATCH(W183,[1]物品基础表!$B:$B,0)),"")</f>
        <v/>
      </c>
      <c r="AA183" s="1" t="str">
        <f>IFERROR(INDEX([1]物品基础表!$A:$A,MATCH(Z183,[1]物品基础表!$B:$B,0)),"")</f>
        <v/>
      </c>
      <c r="AD183" s="1" t="str">
        <f>IFERROR(INDEX([1]物品基础表!$A:$A,MATCH(AC183,[1]物品基础表!$B:$B,0)),"")</f>
        <v/>
      </c>
      <c r="AG183" s="1" t="str">
        <f>IFERROR(INDEX([1]物品基础表!$A:$A,MATCH(AF183,[1]物品基础表!$B:$B,0)),"")</f>
        <v/>
      </c>
      <c r="AJ183" s="1" t="str">
        <f>IFERROR(INDEX([1]物品基础表!$A:$A,MATCH(AI183,[1]物品基础表!$B:$B,0)),"")</f>
        <v/>
      </c>
      <c r="AM183" s="1" t="str">
        <f>IFERROR(INDEX([1]物品基础表!$A:$A,MATCH(AL183,[1]物品基础表!$B:$B,0)),"")</f>
        <v/>
      </c>
      <c r="AP183" s="1" t="str">
        <f>IFERROR(INDEX([1]物品基础表!$A:$A,MATCH(AO183,[1]物品基础表!$B:$B,0)),"")</f>
        <v/>
      </c>
      <c r="AS183" s="1" t="str">
        <f>IFERROR(INDEX([1]物品基础表!$A:$A,MATCH(AR183,[1]物品基础表!$B:$B,0)),"")</f>
        <v/>
      </c>
      <c r="AV183" s="1" t="str">
        <f>IFERROR(INDEX([1]物品基础表!$A:$A,MATCH(AU183,[1]物品基础表!$B:$B,0)),"")</f>
        <v/>
      </c>
      <c r="AY183" s="1" t="str">
        <f>IFERROR(INDEX([1]物品基础表!$A:$A,MATCH(AX183,[1]物品基础表!$B:$B,0)),"")</f>
        <v/>
      </c>
      <c r="BB183" s="1" t="str">
        <f>IFERROR(INDEX([1]物品基础表!$A:$A,MATCH(BA183,[1]物品基础表!$B:$B,0)),"")</f>
        <v/>
      </c>
      <c r="BE183" s="1" t="str">
        <f>IFERROR(INDEX([1]物品基础表!$A:$A,MATCH(BD183,[1]物品基础表!$B:$B,0)),"")</f>
        <v/>
      </c>
      <c r="BH183" s="1" t="str">
        <f>IFERROR(INDEX([1]物品基础表!$A:$A,MATCH(BG183,[1]物品基础表!$B:$B,0)),"")</f>
        <v/>
      </c>
      <c r="BK183" s="1" t="str">
        <f>IFERROR(INDEX([1]物品基础表!$A:$A,MATCH(BJ183,[1]物品基础表!$B:$B,0)),"")</f>
        <v/>
      </c>
    </row>
    <row r="184" spans="1:63">
      <c r="A184" s="39" t="str">
        <f>INDEX([2]活动总表!$A$8:$A$429,MATCH(B184,[2]活动总表!$B$8:$B$429,0))</f>
        <v>战灵活动-抽奖A</v>
      </c>
      <c r="B184" s="40">
        <v>351</v>
      </c>
      <c r="C184" s="40">
        <v>2</v>
      </c>
      <c r="D184" s="40"/>
      <c r="E184" s="40"/>
      <c r="F184" s="40" t="s">
        <v>55</v>
      </c>
      <c r="G184" s="40">
        <v>4</v>
      </c>
      <c r="H184" s="40"/>
      <c r="I184" s="40"/>
      <c r="J184" s="57"/>
      <c r="K184" s="1">
        <v>205000</v>
      </c>
      <c r="L184" s="1" t="str">
        <f>IFERROR(INDEX([1]物品基础表!$A:$A,MATCH(K184,[1]物品基础表!$B:$B,0)),"")</f>
        <v>战灵进阶丹</v>
      </c>
      <c r="M184" s="1">
        <v>5</v>
      </c>
      <c r="O184" s="1" t="str">
        <f>IFERROR(INDEX([1]物品基础表!$A:$A,MATCH(N184,[1]物品基础表!$B:$B,0)),"")</f>
        <v/>
      </c>
      <c r="R184" s="1" t="str">
        <f>IFERROR(INDEX([1]物品基础表!$A:$A,MATCH(Q184,[1]物品基础表!$B:$B,0)),"")</f>
        <v/>
      </c>
      <c r="U184" s="1" t="str">
        <f>IFERROR(INDEX([1]物品基础表!$A:$A,MATCH(T184,[1]物品基础表!$B:$B,0)),"")</f>
        <v/>
      </c>
      <c r="X184" s="1" t="str">
        <f>IFERROR(INDEX([1]物品基础表!$A:$A,MATCH(W184,[1]物品基础表!$B:$B,0)),"")</f>
        <v/>
      </c>
      <c r="AA184" s="1" t="str">
        <f>IFERROR(INDEX([1]物品基础表!$A:$A,MATCH(Z184,[1]物品基础表!$B:$B,0)),"")</f>
        <v/>
      </c>
      <c r="AD184" s="1" t="str">
        <f>IFERROR(INDEX([1]物品基础表!$A:$A,MATCH(AC184,[1]物品基础表!$B:$B,0)),"")</f>
        <v/>
      </c>
      <c r="AG184" s="1" t="str">
        <f>IFERROR(INDEX([1]物品基础表!$A:$A,MATCH(AF184,[1]物品基础表!$B:$B,0)),"")</f>
        <v/>
      </c>
      <c r="AJ184" s="1" t="str">
        <f>IFERROR(INDEX([1]物品基础表!$A:$A,MATCH(AI184,[1]物品基础表!$B:$B,0)),"")</f>
        <v/>
      </c>
      <c r="AM184" s="1" t="str">
        <f>IFERROR(INDEX([1]物品基础表!$A:$A,MATCH(AL184,[1]物品基础表!$B:$B,0)),"")</f>
        <v/>
      </c>
      <c r="AP184" s="1" t="str">
        <f>IFERROR(INDEX([1]物品基础表!$A:$A,MATCH(AO184,[1]物品基础表!$B:$B,0)),"")</f>
        <v/>
      </c>
      <c r="AS184" s="1" t="str">
        <f>IFERROR(INDEX([1]物品基础表!$A:$A,MATCH(AR184,[1]物品基础表!$B:$B,0)),"")</f>
        <v/>
      </c>
      <c r="AV184" s="1" t="str">
        <f>IFERROR(INDEX([1]物品基础表!$A:$A,MATCH(AU184,[1]物品基础表!$B:$B,0)),"")</f>
        <v/>
      </c>
      <c r="AY184" s="1" t="str">
        <f>IFERROR(INDEX([1]物品基础表!$A:$A,MATCH(AX184,[1]物品基础表!$B:$B,0)),"")</f>
        <v/>
      </c>
      <c r="BB184" s="1" t="str">
        <f>IFERROR(INDEX([1]物品基础表!$A:$A,MATCH(BA184,[1]物品基础表!$B:$B,0)),"")</f>
        <v/>
      </c>
      <c r="BE184" s="1" t="str">
        <f>IFERROR(INDEX([1]物品基础表!$A:$A,MATCH(BD184,[1]物品基础表!$B:$B,0)),"")</f>
        <v/>
      </c>
      <c r="BH184" s="1" t="str">
        <f>IFERROR(INDEX([1]物品基础表!$A:$A,MATCH(BG184,[1]物品基础表!$B:$B,0)),"")</f>
        <v/>
      </c>
      <c r="BK184" s="1" t="str">
        <f>IFERROR(INDEX([1]物品基础表!$A:$A,MATCH(BJ184,[1]物品基础表!$B:$B,0)),"")</f>
        <v/>
      </c>
    </row>
    <row r="185" spans="1:63">
      <c r="A185" s="39" t="str">
        <f>INDEX([2]活动总表!$A$8:$A$429,MATCH(B185,[2]活动总表!$B$8:$B$429,0))</f>
        <v>战灵活动-抽奖A</v>
      </c>
      <c r="B185" s="40">
        <v>351</v>
      </c>
      <c r="C185" s="40">
        <v>3</v>
      </c>
      <c r="D185" s="40"/>
      <c r="E185" s="40"/>
      <c r="F185" s="40" t="s">
        <v>56</v>
      </c>
      <c r="G185" s="40">
        <v>4</v>
      </c>
      <c r="H185" s="40"/>
      <c r="I185" s="40"/>
      <c r="J185" s="57"/>
      <c r="K185" s="1">
        <v>200005</v>
      </c>
      <c r="L185" s="1" t="str">
        <f>IFERROR(INDEX([1]物品基础表!$A:$A,MATCH(K185,[1]物品基础表!$B:$B,0)),"")</f>
        <v>龙魂碎片</v>
      </c>
      <c r="M185" s="1">
        <v>100</v>
      </c>
      <c r="O185" s="1" t="str">
        <f>IFERROR(INDEX([1]物品基础表!$A:$A,MATCH(N185,[1]物品基础表!$B:$B,0)),"")</f>
        <v/>
      </c>
      <c r="R185" s="1" t="str">
        <f>IFERROR(INDEX([1]物品基础表!$A:$A,MATCH(Q185,[1]物品基础表!$B:$B,0)),"")</f>
        <v/>
      </c>
      <c r="U185" s="1" t="str">
        <f>IFERROR(INDEX([1]物品基础表!$A:$A,MATCH(T185,[1]物品基础表!$B:$B,0)),"")</f>
        <v/>
      </c>
      <c r="X185" s="1" t="str">
        <f>IFERROR(INDEX([1]物品基础表!$A:$A,MATCH(W185,[1]物品基础表!$B:$B,0)),"")</f>
        <v/>
      </c>
      <c r="AA185" s="1" t="str">
        <f>IFERROR(INDEX([1]物品基础表!$A:$A,MATCH(Z185,[1]物品基础表!$B:$B,0)),"")</f>
        <v/>
      </c>
      <c r="AD185" s="1" t="str">
        <f>IFERROR(INDEX([1]物品基础表!$A:$A,MATCH(AC185,[1]物品基础表!$B:$B,0)),"")</f>
        <v/>
      </c>
      <c r="AG185" s="1" t="str">
        <f>IFERROR(INDEX([1]物品基础表!$A:$A,MATCH(AF185,[1]物品基础表!$B:$B,0)),"")</f>
        <v/>
      </c>
      <c r="AJ185" s="1" t="str">
        <f>IFERROR(INDEX([1]物品基础表!$A:$A,MATCH(AI185,[1]物品基础表!$B:$B,0)),"")</f>
        <v/>
      </c>
      <c r="AM185" s="1" t="str">
        <f>IFERROR(INDEX([1]物品基础表!$A:$A,MATCH(AL185,[1]物品基础表!$B:$B,0)),"")</f>
        <v/>
      </c>
      <c r="AP185" s="1" t="str">
        <f>IFERROR(INDEX([1]物品基础表!$A:$A,MATCH(AO185,[1]物品基础表!$B:$B,0)),"")</f>
        <v/>
      </c>
      <c r="AS185" s="1" t="str">
        <f>IFERROR(INDEX([1]物品基础表!$A:$A,MATCH(AR185,[1]物品基础表!$B:$B,0)),"")</f>
        <v/>
      </c>
      <c r="AV185" s="1" t="str">
        <f>IFERROR(INDEX([1]物品基础表!$A:$A,MATCH(AU185,[1]物品基础表!$B:$B,0)),"")</f>
        <v/>
      </c>
      <c r="AY185" s="1" t="str">
        <f>IFERROR(INDEX([1]物品基础表!$A:$A,MATCH(AX185,[1]物品基础表!$B:$B,0)),"")</f>
        <v/>
      </c>
      <c r="BB185" s="1" t="str">
        <f>IFERROR(INDEX([1]物品基础表!$A:$A,MATCH(BA185,[1]物品基础表!$B:$B,0)),"")</f>
        <v/>
      </c>
      <c r="BE185" s="1" t="str">
        <f>IFERROR(INDEX([1]物品基础表!$A:$A,MATCH(BD185,[1]物品基础表!$B:$B,0)),"")</f>
        <v/>
      </c>
      <c r="BH185" s="1" t="str">
        <f>IFERROR(INDEX([1]物品基础表!$A:$A,MATCH(BG185,[1]物品基础表!$B:$B,0)),"")</f>
        <v/>
      </c>
      <c r="BK185" s="1" t="str">
        <f>IFERROR(INDEX([1]物品基础表!$A:$A,MATCH(BJ185,[1]物品基础表!$B:$B,0)),"")</f>
        <v/>
      </c>
    </row>
    <row r="186" spans="1:63">
      <c r="A186" s="39" t="str">
        <f>INDEX([2]活动总表!$A$8:$A$429,MATCH(B186,[2]活动总表!$B$8:$B$429,0))</f>
        <v>战灵活动-抽奖A</v>
      </c>
      <c r="B186" s="40">
        <v>351</v>
      </c>
      <c r="C186" s="40">
        <v>4</v>
      </c>
      <c r="D186" s="40"/>
      <c r="E186" s="40"/>
      <c r="F186" s="40" t="s">
        <v>55</v>
      </c>
      <c r="G186" s="40">
        <v>4</v>
      </c>
      <c r="H186" s="40"/>
      <c r="I186" s="40"/>
      <c r="J186" s="57"/>
      <c r="K186" s="1">
        <v>200005</v>
      </c>
      <c r="L186" s="1" t="str">
        <f>IFERROR(INDEX([1]物品基础表!$A:$A,MATCH(K186,[1]物品基础表!$B:$B,0)),"")</f>
        <v>龙魂碎片</v>
      </c>
      <c r="M186" s="1">
        <v>8</v>
      </c>
      <c r="O186" s="1" t="str">
        <f>IFERROR(INDEX([1]物品基础表!$A:$A,MATCH(N186,[1]物品基础表!$B:$B,0)),"")</f>
        <v/>
      </c>
      <c r="R186" s="1" t="str">
        <f>IFERROR(INDEX([1]物品基础表!$A:$A,MATCH(Q186,[1]物品基础表!$B:$B,0)),"")</f>
        <v/>
      </c>
      <c r="U186" s="1" t="str">
        <f>IFERROR(INDEX([1]物品基础表!$A:$A,MATCH(T186,[1]物品基础表!$B:$B,0)),"")</f>
        <v/>
      </c>
      <c r="X186" s="1" t="str">
        <f>IFERROR(INDEX([1]物品基础表!$A:$A,MATCH(W186,[1]物品基础表!$B:$B,0)),"")</f>
        <v/>
      </c>
      <c r="AA186" s="1" t="str">
        <f>IFERROR(INDEX([1]物品基础表!$A:$A,MATCH(Z186,[1]物品基础表!$B:$B,0)),"")</f>
        <v/>
      </c>
      <c r="AD186" s="1" t="str">
        <f>IFERROR(INDEX([1]物品基础表!$A:$A,MATCH(AC186,[1]物品基础表!$B:$B,0)),"")</f>
        <v/>
      </c>
      <c r="AG186" s="1" t="str">
        <f>IFERROR(INDEX([1]物品基础表!$A:$A,MATCH(AF186,[1]物品基础表!$B:$B,0)),"")</f>
        <v/>
      </c>
      <c r="AJ186" s="1" t="str">
        <f>IFERROR(INDEX([1]物品基础表!$A:$A,MATCH(AI186,[1]物品基础表!$B:$B,0)),"")</f>
        <v/>
      </c>
      <c r="AM186" s="1" t="str">
        <f>IFERROR(INDEX([1]物品基础表!$A:$A,MATCH(AL186,[1]物品基础表!$B:$B,0)),"")</f>
        <v/>
      </c>
      <c r="AP186" s="1" t="str">
        <f>IFERROR(INDEX([1]物品基础表!$A:$A,MATCH(AO186,[1]物品基础表!$B:$B,0)),"")</f>
        <v/>
      </c>
      <c r="AS186" s="1" t="str">
        <f>IFERROR(INDEX([1]物品基础表!$A:$A,MATCH(AR186,[1]物品基础表!$B:$B,0)),"")</f>
        <v/>
      </c>
      <c r="AV186" s="1" t="str">
        <f>IFERROR(INDEX([1]物品基础表!$A:$A,MATCH(AU186,[1]物品基础表!$B:$B,0)),"")</f>
        <v/>
      </c>
      <c r="AY186" s="1" t="str">
        <f>IFERROR(INDEX([1]物品基础表!$A:$A,MATCH(AX186,[1]物品基础表!$B:$B,0)),"")</f>
        <v/>
      </c>
      <c r="BB186" s="1" t="str">
        <f>IFERROR(INDEX([1]物品基础表!$A:$A,MATCH(BA186,[1]物品基础表!$B:$B,0)),"")</f>
        <v/>
      </c>
      <c r="BE186" s="1" t="str">
        <f>IFERROR(INDEX([1]物品基础表!$A:$A,MATCH(BD186,[1]物品基础表!$B:$B,0)),"")</f>
        <v/>
      </c>
      <c r="BH186" s="1" t="str">
        <f>IFERROR(INDEX([1]物品基础表!$A:$A,MATCH(BG186,[1]物品基础表!$B:$B,0)),"")</f>
        <v/>
      </c>
      <c r="BK186" s="1" t="str">
        <f>IFERROR(INDEX([1]物品基础表!$A:$A,MATCH(BJ186,[1]物品基础表!$B:$B,0)),"")</f>
        <v/>
      </c>
    </row>
    <row r="187" spans="1:63">
      <c r="A187" s="39" t="str">
        <f>INDEX([2]活动总表!$A$8:$A$429,MATCH(B187,[2]活动总表!$B$8:$B$429,0))</f>
        <v>战灵活动-抽奖A</v>
      </c>
      <c r="B187" s="40">
        <v>351</v>
      </c>
      <c r="C187" s="40">
        <v>5</v>
      </c>
      <c r="D187" s="40"/>
      <c r="E187" s="40"/>
      <c r="F187" s="40" t="s">
        <v>55</v>
      </c>
      <c r="G187" s="40">
        <v>4</v>
      </c>
      <c r="H187" s="40"/>
      <c r="I187" s="40"/>
      <c r="J187" s="57"/>
      <c r="K187" s="1">
        <v>205000</v>
      </c>
      <c r="L187" s="1" t="str">
        <f>IFERROR(INDEX([1]物品基础表!$A:$A,MATCH(K187,[1]物品基础表!$B:$B,0)),"")</f>
        <v>战灵进阶丹</v>
      </c>
      <c r="M187" s="1">
        <v>10</v>
      </c>
      <c r="O187" s="1" t="str">
        <f>IFERROR(INDEX([1]物品基础表!$A:$A,MATCH(N187,[1]物品基础表!$B:$B,0)),"")</f>
        <v/>
      </c>
      <c r="R187" s="1" t="str">
        <f>IFERROR(INDEX([1]物品基础表!$A:$A,MATCH(Q187,[1]物品基础表!$B:$B,0)),"")</f>
        <v/>
      </c>
      <c r="U187" s="1" t="str">
        <f>IFERROR(INDEX([1]物品基础表!$A:$A,MATCH(T187,[1]物品基础表!$B:$B,0)),"")</f>
        <v/>
      </c>
      <c r="X187" s="1" t="str">
        <f>IFERROR(INDEX([1]物品基础表!$A:$A,MATCH(W187,[1]物品基础表!$B:$B,0)),"")</f>
        <v/>
      </c>
      <c r="AA187" s="1" t="str">
        <f>IFERROR(INDEX([1]物品基础表!$A:$A,MATCH(Z187,[1]物品基础表!$B:$B,0)),"")</f>
        <v/>
      </c>
      <c r="AD187" s="1" t="str">
        <f>IFERROR(INDEX([1]物品基础表!$A:$A,MATCH(AC187,[1]物品基础表!$B:$B,0)),"")</f>
        <v/>
      </c>
      <c r="AG187" s="1" t="str">
        <f>IFERROR(INDEX([1]物品基础表!$A:$A,MATCH(AF187,[1]物品基础表!$B:$B,0)),"")</f>
        <v/>
      </c>
      <c r="AJ187" s="1" t="str">
        <f>IFERROR(INDEX([1]物品基础表!$A:$A,MATCH(AI187,[1]物品基础表!$B:$B,0)),"")</f>
        <v/>
      </c>
      <c r="AM187" s="1" t="str">
        <f>IFERROR(INDEX([1]物品基础表!$A:$A,MATCH(AL187,[1]物品基础表!$B:$B,0)),"")</f>
        <v/>
      </c>
      <c r="AP187" s="1" t="str">
        <f>IFERROR(INDEX([1]物品基础表!$A:$A,MATCH(AO187,[1]物品基础表!$B:$B,0)),"")</f>
        <v/>
      </c>
      <c r="AS187" s="1" t="str">
        <f>IFERROR(INDEX([1]物品基础表!$A:$A,MATCH(AR187,[1]物品基础表!$B:$B,0)),"")</f>
        <v/>
      </c>
      <c r="AV187" s="1" t="str">
        <f>IFERROR(INDEX([1]物品基础表!$A:$A,MATCH(AU187,[1]物品基础表!$B:$B,0)),"")</f>
        <v/>
      </c>
      <c r="AY187" s="1" t="str">
        <f>IFERROR(INDEX([1]物品基础表!$A:$A,MATCH(AX187,[1]物品基础表!$B:$B,0)),"")</f>
        <v/>
      </c>
      <c r="BB187" s="1" t="str">
        <f>IFERROR(INDEX([1]物品基础表!$A:$A,MATCH(BA187,[1]物品基础表!$B:$B,0)),"")</f>
        <v/>
      </c>
      <c r="BE187" s="1" t="str">
        <f>IFERROR(INDEX([1]物品基础表!$A:$A,MATCH(BD187,[1]物品基础表!$B:$B,0)),"")</f>
        <v/>
      </c>
      <c r="BH187" s="1" t="str">
        <f>IFERROR(INDEX([1]物品基础表!$A:$A,MATCH(BG187,[1]物品基础表!$B:$B,0)),"")</f>
        <v/>
      </c>
      <c r="BK187" s="1" t="str">
        <f>IFERROR(INDEX([1]物品基础表!$A:$A,MATCH(BJ187,[1]物品基础表!$B:$B,0)),"")</f>
        <v/>
      </c>
    </row>
    <row r="188" spans="1:63">
      <c r="A188" s="39" t="str">
        <f>INDEX([2]活动总表!$A$8:$A$429,MATCH(B188,[2]活动总表!$B$8:$B$429,0))</f>
        <v>战灵活动-抽奖A</v>
      </c>
      <c r="B188" s="40">
        <v>351</v>
      </c>
      <c r="C188" s="40">
        <v>6</v>
      </c>
      <c r="D188" s="40"/>
      <c r="E188" s="40"/>
      <c r="F188" s="40" t="s">
        <v>57</v>
      </c>
      <c r="G188" s="40">
        <v>4</v>
      </c>
      <c r="H188" s="40"/>
      <c r="I188" s="40"/>
      <c r="J188" s="57"/>
      <c r="K188" s="1">
        <v>204158</v>
      </c>
      <c r="L188" s="1" t="str">
        <f>IFERROR(INDEX([1]物品基础表!$A:$A,MATCH(K188,[1]物品基础表!$B:$B,0)),"")</f>
        <v>5阶战灵装备</v>
      </c>
      <c r="M188" s="1">
        <v>1</v>
      </c>
      <c r="O188" s="1" t="str">
        <f>IFERROR(INDEX([1]物品基础表!$A:$A,MATCH(N188,[1]物品基础表!$B:$B,0)),"")</f>
        <v/>
      </c>
      <c r="R188" s="1" t="str">
        <f>IFERROR(INDEX([1]物品基础表!$A:$A,MATCH(Q188,[1]物品基础表!$B:$B,0)),"")</f>
        <v/>
      </c>
      <c r="U188" s="1" t="str">
        <f>IFERROR(INDEX([1]物品基础表!$A:$A,MATCH(T188,[1]物品基础表!$B:$B,0)),"")</f>
        <v/>
      </c>
      <c r="X188" s="1" t="str">
        <f>IFERROR(INDEX([1]物品基础表!$A:$A,MATCH(W188,[1]物品基础表!$B:$B,0)),"")</f>
        <v/>
      </c>
      <c r="AA188" s="1" t="str">
        <f>IFERROR(INDEX([1]物品基础表!$A:$A,MATCH(Z188,[1]物品基础表!$B:$B,0)),"")</f>
        <v/>
      </c>
      <c r="AD188" s="1" t="str">
        <f>IFERROR(INDEX([1]物品基础表!$A:$A,MATCH(AC188,[1]物品基础表!$B:$B,0)),"")</f>
        <v/>
      </c>
      <c r="AG188" s="1" t="str">
        <f>IFERROR(INDEX([1]物品基础表!$A:$A,MATCH(AF188,[1]物品基础表!$B:$B,0)),"")</f>
        <v/>
      </c>
      <c r="AJ188" s="1" t="str">
        <f>IFERROR(INDEX([1]物品基础表!$A:$A,MATCH(AI188,[1]物品基础表!$B:$B,0)),"")</f>
        <v/>
      </c>
      <c r="AM188" s="1" t="str">
        <f>IFERROR(INDEX([1]物品基础表!$A:$A,MATCH(AL188,[1]物品基础表!$B:$B,0)),"")</f>
        <v/>
      </c>
      <c r="AP188" s="1" t="str">
        <f>IFERROR(INDEX([1]物品基础表!$A:$A,MATCH(AO188,[1]物品基础表!$B:$B,0)),"")</f>
        <v/>
      </c>
      <c r="AS188" s="1" t="str">
        <f>IFERROR(INDEX([1]物品基础表!$A:$A,MATCH(AR188,[1]物品基础表!$B:$B,0)),"")</f>
        <v/>
      </c>
      <c r="AV188" s="1" t="str">
        <f>IFERROR(INDEX([1]物品基础表!$A:$A,MATCH(AU188,[1]物品基础表!$B:$B,0)),"")</f>
        <v/>
      </c>
      <c r="AY188" s="1" t="str">
        <f>IFERROR(INDEX([1]物品基础表!$A:$A,MATCH(AX188,[1]物品基础表!$B:$B,0)),"")</f>
        <v/>
      </c>
      <c r="BB188" s="1" t="str">
        <f>IFERROR(INDEX([1]物品基础表!$A:$A,MATCH(BA188,[1]物品基础表!$B:$B,0)),"")</f>
        <v/>
      </c>
      <c r="BE188" s="1" t="str">
        <f>IFERROR(INDEX([1]物品基础表!$A:$A,MATCH(BD188,[1]物品基础表!$B:$B,0)),"")</f>
        <v/>
      </c>
      <c r="BH188" s="1" t="str">
        <f>IFERROR(INDEX([1]物品基础表!$A:$A,MATCH(BG188,[1]物品基础表!$B:$B,0)),"")</f>
        <v/>
      </c>
      <c r="BK188" s="1" t="str">
        <f>IFERROR(INDEX([1]物品基础表!$A:$A,MATCH(BJ188,[1]物品基础表!$B:$B,0)),"")</f>
        <v/>
      </c>
    </row>
    <row r="189" spans="1:63">
      <c r="A189" s="39" t="str">
        <f>INDEX([2]活动总表!$A$8:$A$429,MATCH(B189,[2]活动总表!$B$8:$B$429,0))</f>
        <v>战灵活动-抽奖A</v>
      </c>
      <c r="B189" s="40">
        <v>351</v>
      </c>
      <c r="C189" s="40">
        <v>7</v>
      </c>
      <c r="D189" s="40"/>
      <c r="E189" s="40"/>
      <c r="F189" s="40" t="s">
        <v>55</v>
      </c>
      <c r="G189" s="40">
        <v>4</v>
      </c>
      <c r="H189" s="40"/>
      <c r="I189" s="40"/>
      <c r="J189" s="57"/>
      <c r="K189" s="1">
        <v>200001</v>
      </c>
      <c r="L189" s="1" t="str">
        <f>IFERROR(INDEX([1]物品基础表!$A:$A,MATCH(K189,[1]物品基础表!$B:$B,0)),"")</f>
        <v>羽毛</v>
      </c>
      <c r="M189" s="1">
        <v>8</v>
      </c>
      <c r="O189" s="1" t="str">
        <f>IFERROR(INDEX([1]物品基础表!$A:$A,MATCH(N189,[1]物品基础表!$B:$B,0)),"")</f>
        <v/>
      </c>
      <c r="R189" s="1" t="str">
        <f>IFERROR(INDEX([1]物品基础表!$A:$A,MATCH(Q189,[1]物品基础表!$B:$B,0)),"")</f>
        <v/>
      </c>
      <c r="U189" s="1" t="str">
        <f>IFERROR(INDEX([1]物品基础表!$A:$A,MATCH(T189,[1]物品基础表!$B:$B,0)),"")</f>
        <v/>
      </c>
      <c r="X189" s="1" t="str">
        <f>IFERROR(INDEX([1]物品基础表!$A:$A,MATCH(W189,[1]物品基础表!$B:$B,0)),"")</f>
        <v/>
      </c>
      <c r="AA189" s="1" t="str">
        <f>IFERROR(INDEX([1]物品基础表!$A:$A,MATCH(Z189,[1]物品基础表!$B:$B,0)),"")</f>
        <v/>
      </c>
      <c r="AD189" s="1" t="str">
        <f>IFERROR(INDEX([1]物品基础表!$A:$A,MATCH(AC189,[1]物品基础表!$B:$B,0)),"")</f>
        <v/>
      </c>
      <c r="AG189" s="1" t="str">
        <f>IFERROR(INDEX([1]物品基础表!$A:$A,MATCH(AF189,[1]物品基础表!$B:$B,0)),"")</f>
        <v/>
      </c>
      <c r="AJ189" s="1" t="str">
        <f>IFERROR(INDEX([1]物品基础表!$A:$A,MATCH(AI189,[1]物品基础表!$B:$B,0)),"")</f>
        <v/>
      </c>
      <c r="AM189" s="1" t="str">
        <f>IFERROR(INDEX([1]物品基础表!$A:$A,MATCH(AL189,[1]物品基础表!$B:$B,0)),"")</f>
        <v/>
      </c>
      <c r="AP189" s="1" t="str">
        <f>IFERROR(INDEX([1]物品基础表!$A:$A,MATCH(AO189,[1]物品基础表!$B:$B,0)),"")</f>
        <v/>
      </c>
      <c r="AS189" s="1" t="str">
        <f>IFERROR(INDEX([1]物品基础表!$A:$A,MATCH(AR189,[1]物品基础表!$B:$B,0)),"")</f>
        <v/>
      </c>
      <c r="AV189" s="1" t="str">
        <f>IFERROR(INDEX([1]物品基础表!$A:$A,MATCH(AU189,[1]物品基础表!$B:$B,0)),"")</f>
        <v/>
      </c>
      <c r="AY189" s="1" t="str">
        <f>IFERROR(INDEX([1]物品基础表!$A:$A,MATCH(AX189,[1]物品基础表!$B:$B,0)),"")</f>
        <v/>
      </c>
      <c r="BB189" s="1" t="str">
        <f>IFERROR(INDEX([1]物品基础表!$A:$A,MATCH(BA189,[1]物品基础表!$B:$B,0)),"")</f>
        <v/>
      </c>
      <c r="BE189" s="1" t="str">
        <f>IFERROR(INDEX([1]物品基础表!$A:$A,MATCH(BD189,[1]物品基础表!$B:$B,0)),"")</f>
        <v/>
      </c>
      <c r="BH189" s="1" t="str">
        <f>IFERROR(INDEX([1]物品基础表!$A:$A,MATCH(BG189,[1]物品基础表!$B:$B,0)),"")</f>
        <v/>
      </c>
      <c r="BK189" s="1" t="str">
        <f>IFERROR(INDEX([1]物品基础表!$A:$A,MATCH(BJ189,[1]物品基础表!$B:$B,0)),"")</f>
        <v/>
      </c>
    </row>
    <row r="190" spans="1:63">
      <c r="A190" s="39" t="str">
        <f>INDEX([2]活动总表!$A$8:$A$429,MATCH(B190,[2]活动总表!$B$8:$B$429,0))</f>
        <v>战灵活动-抽奖A</v>
      </c>
      <c r="B190" s="40">
        <v>351</v>
      </c>
      <c r="C190" s="40">
        <v>8</v>
      </c>
      <c r="D190" s="40"/>
      <c r="E190" s="40"/>
      <c r="F190" s="40" t="s">
        <v>855</v>
      </c>
      <c r="G190" s="40">
        <v>4</v>
      </c>
      <c r="H190" s="40"/>
      <c r="I190" s="40"/>
      <c r="J190" s="57"/>
      <c r="K190" s="1">
        <v>204156</v>
      </c>
      <c r="L190" s="1" t="str">
        <f>IFERROR(INDEX([1]物品基础表!$A:$A,MATCH(K190,[1]物品基础表!$B:$B,0)),"")</f>
        <v>3阶战灵装备</v>
      </c>
      <c r="M190" s="1">
        <v>1</v>
      </c>
      <c r="O190" s="1" t="str">
        <f>IFERROR(INDEX([1]物品基础表!$A:$A,MATCH(N190,[1]物品基础表!$B:$B,0)),"")</f>
        <v/>
      </c>
      <c r="R190" s="1" t="str">
        <f>IFERROR(INDEX([1]物品基础表!$A:$A,MATCH(Q190,[1]物品基础表!$B:$B,0)),"")</f>
        <v/>
      </c>
      <c r="U190" s="1" t="str">
        <f>IFERROR(INDEX([1]物品基础表!$A:$A,MATCH(T190,[1]物品基础表!$B:$B,0)),"")</f>
        <v/>
      </c>
      <c r="X190" s="1" t="str">
        <f>IFERROR(INDEX([1]物品基础表!$A:$A,MATCH(W190,[1]物品基础表!$B:$B,0)),"")</f>
        <v/>
      </c>
      <c r="AA190" s="1" t="str">
        <f>IFERROR(INDEX([1]物品基础表!$A:$A,MATCH(Z190,[1]物品基础表!$B:$B,0)),"")</f>
        <v/>
      </c>
      <c r="AD190" s="1" t="str">
        <f>IFERROR(INDEX([1]物品基础表!$A:$A,MATCH(AC190,[1]物品基础表!$B:$B,0)),"")</f>
        <v/>
      </c>
      <c r="AG190" s="1" t="str">
        <f>IFERROR(INDEX([1]物品基础表!$A:$A,MATCH(AF190,[1]物品基础表!$B:$B,0)),"")</f>
        <v/>
      </c>
      <c r="AJ190" s="1" t="str">
        <f>IFERROR(INDEX([1]物品基础表!$A:$A,MATCH(AI190,[1]物品基础表!$B:$B,0)),"")</f>
        <v/>
      </c>
      <c r="AM190" s="1" t="str">
        <f>IFERROR(INDEX([1]物品基础表!$A:$A,MATCH(AL190,[1]物品基础表!$B:$B,0)),"")</f>
        <v/>
      </c>
      <c r="AP190" s="1" t="str">
        <f>IFERROR(INDEX([1]物品基础表!$A:$A,MATCH(AO190,[1]物品基础表!$B:$B,0)),"")</f>
        <v/>
      </c>
      <c r="AS190" s="1" t="str">
        <f>IFERROR(INDEX([1]物品基础表!$A:$A,MATCH(AR190,[1]物品基础表!$B:$B,0)),"")</f>
        <v/>
      </c>
      <c r="AV190" s="1" t="str">
        <f>IFERROR(INDEX([1]物品基础表!$A:$A,MATCH(AU190,[1]物品基础表!$B:$B,0)),"")</f>
        <v/>
      </c>
      <c r="AY190" s="1" t="str">
        <f>IFERROR(INDEX([1]物品基础表!$A:$A,MATCH(AX190,[1]物品基础表!$B:$B,0)),"")</f>
        <v/>
      </c>
      <c r="BB190" s="1" t="str">
        <f>IFERROR(INDEX([1]物品基础表!$A:$A,MATCH(BA190,[1]物品基础表!$B:$B,0)),"")</f>
        <v/>
      </c>
      <c r="BE190" s="1" t="str">
        <f>IFERROR(INDEX([1]物品基础表!$A:$A,MATCH(BD190,[1]物品基础表!$B:$B,0)),"")</f>
        <v/>
      </c>
      <c r="BH190" s="1" t="str">
        <f>IFERROR(INDEX([1]物品基础表!$A:$A,MATCH(BG190,[1]物品基础表!$B:$B,0)),"")</f>
        <v/>
      </c>
      <c r="BK190" s="1" t="str">
        <f>IFERROR(INDEX([1]物品基础表!$A:$A,MATCH(BJ190,[1]物品基础表!$B:$B,0)),"")</f>
        <v/>
      </c>
    </row>
    <row r="191" spans="1:63">
      <c r="A191" s="39" t="str">
        <f>INDEX([2]活动总表!$A$8:$A$429,MATCH(B191,[2]活动总表!$B$8:$B$429,0))</f>
        <v>战灵活动-抽奖A</v>
      </c>
      <c r="B191" s="40">
        <v>351</v>
      </c>
      <c r="C191" s="40">
        <v>9</v>
      </c>
      <c r="D191" s="40"/>
      <c r="E191" s="40"/>
      <c r="F191" s="40" t="s">
        <v>55</v>
      </c>
      <c r="G191" s="40">
        <v>4</v>
      </c>
      <c r="H191" s="40"/>
      <c r="I191" s="40"/>
      <c r="J191" s="57"/>
      <c r="K191" s="1">
        <v>500005</v>
      </c>
      <c r="L191" s="1" t="str">
        <f>IFERROR(INDEX([1]物品基础表!$A:$A,MATCH(K191,[1]物品基础表!$B:$B,0)),"")</f>
        <v>战纹精华-红</v>
      </c>
      <c r="M191" s="1">
        <v>4</v>
      </c>
      <c r="O191" s="1" t="str">
        <f>IFERROR(INDEX([1]物品基础表!$A:$A,MATCH(N191,[1]物品基础表!$B:$B,0)),"")</f>
        <v/>
      </c>
      <c r="R191" s="1" t="str">
        <f>IFERROR(INDEX([1]物品基础表!$A:$A,MATCH(Q191,[1]物品基础表!$B:$B,0)),"")</f>
        <v/>
      </c>
      <c r="U191" s="1" t="str">
        <f>IFERROR(INDEX([1]物品基础表!$A:$A,MATCH(T191,[1]物品基础表!$B:$B,0)),"")</f>
        <v/>
      </c>
      <c r="X191" s="1" t="str">
        <f>IFERROR(INDEX([1]物品基础表!$A:$A,MATCH(W191,[1]物品基础表!$B:$B,0)),"")</f>
        <v/>
      </c>
      <c r="AA191" s="1" t="str">
        <f>IFERROR(INDEX([1]物品基础表!$A:$A,MATCH(Z191,[1]物品基础表!$B:$B,0)),"")</f>
        <v/>
      </c>
      <c r="AD191" s="1" t="str">
        <f>IFERROR(INDEX([1]物品基础表!$A:$A,MATCH(AC191,[1]物品基础表!$B:$B,0)),"")</f>
        <v/>
      </c>
      <c r="AG191" s="1" t="str">
        <f>IFERROR(INDEX([1]物品基础表!$A:$A,MATCH(AF191,[1]物品基础表!$B:$B,0)),"")</f>
        <v/>
      </c>
      <c r="AJ191" s="1" t="str">
        <f>IFERROR(INDEX([1]物品基础表!$A:$A,MATCH(AI191,[1]物品基础表!$B:$B,0)),"")</f>
        <v/>
      </c>
      <c r="AM191" s="1" t="str">
        <f>IFERROR(INDEX([1]物品基础表!$A:$A,MATCH(AL191,[1]物品基础表!$B:$B,0)),"")</f>
        <v/>
      </c>
      <c r="AP191" s="1" t="str">
        <f>IFERROR(INDEX([1]物品基础表!$A:$A,MATCH(AO191,[1]物品基础表!$B:$B,0)),"")</f>
        <v/>
      </c>
      <c r="AS191" s="1" t="str">
        <f>IFERROR(INDEX([1]物品基础表!$A:$A,MATCH(AR191,[1]物品基础表!$B:$B,0)),"")</f>
        <v/>
      </c>
      <c r="AV191" s="1" t="str">
        <f>IFERROR(INDEX([1]物品基础表!$A:$A,MATCH(AU191,[1]物品基础表!$B:$B,0)),"")</f>
        <v/>
      </c>
      <c r="AY191" s="1" t="str">
        <f>IFERROR(INDEX([1]物品基础表!$A:$A,MATCH(AX191,[1]物品基础表!$B:$B,0)),"")</f>
        <v/>
      </c>
      <c r="BB191" s="1" t="str">
        <f>IFERROR(INDEX([1]物品基础表!$A:$A,MATCH(BA191,[1]物品基础表!$B:$B,0)),"")</f>
        <v/>
      </c>
      <c r="BE191" s="1" t="str">
        <f>IFERROR(INDEX([1]物品基础表!$A:$A,MATCH(BD191,[1]物品基础表!$B:$B,0)),"")</f>
        <v/>
      </c>
      <c r="BH191" s="1" t="str">
        <f>IFERROR(INDEX([1]物品基础表!$A:$A,MATCH(BG191,[1]物品基础表!$B:$B,0)),"")</f>
        <v/>
      </c>
      <c r="BK191" s="1" t="str">
        <f>IFERROR(INDEX([1]物品基础表!$A:$A,MATCH(BJ191,[1]物品基础表!$B:$B,0)),"")</f>
        <v/>
      </c>
    </row>
    <row r="192" spans="1:63">
      <c r="A192" s="39" t="str">
        <f>INDEX([2]活动总表!$A$8:$A$429,MATCH(B192,[2]活动总表!$B$8:$B$429,0))</f>
        <v>战灵活动-抽奖A</v>
      </c>
      <c r="B192" s="40">
        <v>351</v>
      </c>
      <c r="C192" s="40">
        <v>10</v>
      </c>
      <c r="D192" s="40"/>
      <c r="E192" s="40"/>
      <c r="F192" s="40" t="s">
        <v>855</v>
      </c>
      <c r="G192" s="40">
        <v>4</v>
      </c>
      <c r="H192" s="40"/>
      <c r="I192" s="40"/>
      <c r="J192" s="57"/>
      <c r="K192" s="1">
        <v>200015</v>
      </c>
      <c r="L192" s="1" t="str">
        <f>IFERROR(INDEX([1]物品基础表!$A:$A,MATCH(K192,[1]物品基础表!$B:$B,0)),"")</f>
        <v>特戒碎片</v>
      </c>
      <c r="M192" s="1">
        <v>1000</v>
      </c>
      <c r="O192" s="1" t="str">
        <f>IFERROR(INDEX([1]物品基础表!$A:$A,MATCH(N192,[1]物品基础表!$B:$B,0)),"")</f>
        <v/>
      </c>
      <c r="R192" s="1" t="str">
        <f>IFERROR(INDEX([1]物品基础表!$A:$A,MATCH(Q192,[1]物品基础表!$B:$B,0)),"")</f>
        <v/>
      </c>
      <c r="U192" s="1" t="str">
        <f>IFERROR(INDEX([1]物品基础表!$A:$A,MATCH(T192,[1]物品基础表!$B:$B,0)),"")</f>
        <v/>
      </c>
      <c r="X192" s="1" t="str">
        <f>IFERROR(INDEX([1]物品基础表!$A:$A,MATCH(W192,[1]物品基础表!$B:$B,0)),"")</f>
        <v/>
      </c>
      <c r="AA192" s="1" t="str">
        <f>IFERROR(INDEX([1]物品基础表!$A:$A,MATCH(Z192,[1]物品基础表!$B:$B,0)),"")</f>
        <v/>
      </c>
      <c r="AD192" s="1" t="str">
        <f>IFERROR(INDEX([1]物品基础表!$A:$A,MATCH(AC192,[1]物品基础表!$B:$B,0)),"")</f>
        <v/>
      </c>
      <c r="AG192" s="1" t="str">
        <f>IFERROR(INDEX([1]物品基础表!$A:$A,MATCH(AF192,[1]物品基础表!$B:$B,0)),"")</f>
        <v/>
      </c>
      <c r="AJ192" s="1" t="str">
        <f>IFERROR(INDEX([1]物品基础表!$A:$A,MATCH(AI192,[1]物品基础表!$B:$B,0)),"")</f>
        <v/>
      </c>
      <c r="AM192" s="1" t="str">
        <f>IFERROR(INDEX([1]物品基础表!$A:$A,MATCH(AL192,[1]物品基础表!$B:$B,0)),"")</f>
        <v/>
      </c>
      <c r="AP192" s="1" t="str">
        <f>IFERROR(INDEX([1]物品基础表!$A:$A,MATCH(AO192,[1]物品基础表!$B:$B,0)),"")</f>
        <v/>
      </c>
      <c r="AS192" s="1" t="str">
        <f>IFERROR(INDEX([1]物品基础表!$A:$A,MATCH(AR192,[1]物品基础表!$B:$B,0)),"")</f>
        <v/>
      </c>
      <c r="AV192" s="1" t="str">
        <f>IFERROR(INDEX([1]物品基础表!$A:$A,MATCH(AU192,[1]物品基础表!$B:$B,0)),"")</f>
        <v/>
      </c>
      <c r="AY192" s="1" t="str">
        <f>IFERROR(INDEX([1]物品基础表!$A:$A,MATCH(AX192,[1]物品基础表!$B:$B,0)),"")</f>
        <v/>
      </c>
      <c r="BB192" s="1" t="str">
        <f>IFERROR(INDEX([1]物品基础表!$A:$A,MATCH(BA192,[1]物品基础表!$B:$B,0)),"")</f>
        <v/>
      </c>
      <c r="BE192" s="1" t="str">
        <f>IFERROR(INDEX([1]物品基础表!$A:$A,MATCH(BD192,[1]物品基础表!$B:$B,0)),"")</f>
        <v/>
      </c>
      <c r="BH192" s="1" t="str">
        <f>IFERROR(INDEX([1]物品基础表!$A:$A,MATCH(BG192,[1]物品基础表!$B:$B,0)),"")</f>
        <v/>
      </c>
      <c r="BK192" s="1" t="str">
        <f>IFERROR(INDEX([1]物品基础表!$A:$A,MATCH(BJ192,[1]物品基础表!$B:$B,0)),"")</f>
        <v/>
      </c>
    </row>
    <row r="193" spans="1:63">
      <c r="A193" s="39" t="str">
        <f>INDEX([2]活动总表!$A$8:$A$429,MATCH(B193,[2]活动总表!$B$8:$B$429,0))</f>
        <v>战灵活动-抽奖B</v>
      </c>
      <c r="B193" s="40">
        <v>352</v>
      </c>
      <c r="C193" s="40">
        <v>0</v>
      </c>
      <c r="D193" s="40">
        <v>200309</v>
      </c>
      <c r="E193" s="40">
        <v>500</v>
      </c>
      <c r="F193" s="40"/>
      <c r="G193" s="40">
        <v>4</v>
      </c>
      <c r="H193" s="40"/>
      <c r="I193" s="40" t="s">
        <v>853</v>
      </c>
      <c r="J193" s="57" t="s">
        <v>854</v>
      </c>
      <c r="K193" s="1">
        <v>1</v>
      </c>
      <c r="L193" s="1" t="s">
        <v>901</v>
      </c>
      <c r="M193" s="1">
        <v>500000</v>
      </c>
      <c r="O193" s="1" t="str">
        <f>IFERROR(INDEX([1]物品基础表!$A:$A,MATCH(N193,[1]物品基础表!$B:$B,0)),"")</f>
        <v/>
      </c>
      <c r="R193" s="1" t="str">
        <f>IFERROR(INDEX([1]物品基础表!$A:$A,MATCH(Q193,[1]物品基础表!$B:$B,0)),"")</f>
        <v/>
      </c>
      <c r="U193" s="1" t="str">
        <f>IFERROR(INDEX([1]物品基础表!$A:$A,MATCH(T193,[1]物品基础表!$B:$B,0)),"")</f>
        <v/>
      </c>
      <c r="X193" s="1" t="str">
        <f>IFERROR(INDEX([1]物品基础表!$A:$A,MATCH(W193,[1]物品基础表!$B:$B,0)),"")</f>
        <v/>
      </c>
      <c r="AA193" s="1" t="str">
        <f>IFERROR(INDEX([1]物品基础表!$A:$A,MATCH(Z193,[1]物品基础表!$B:$B,0)),"")</f>
        <v/>
      </c>
      <c r="AD193" s="1" t="str">
        <f>IFERROR(INDEX([1]物品基础表!$A:$A,MATCH(AC193,[1]物品基础表!$B:$B,0)),"")</f>
        <v/>
      </c>
      <c r="AG193" s="1" t="str">
        <f>IFERROR(INDEX([1]物品基础表!$A:$A,MATCH(AF193,[1]物品基础表!$B:$B,0)),"")</f>
        <v/>
      </c>
      <c r="AJ193" s="1" t="str">
        <f>IFERROR(INDEX([1]物品基础表!$A:$A,MATCH(AI193,[1]物品基础表!$B:$B,0)),"")</f>
        <v/>
      </c>
      <c r="AM193" s="1" t="str">
        <f>IFERROR(INDEX([1]物品基础表!$A:$A,MATCH(AL193,[1]物品基础表!$B:$B,0)),"")</f>
        <v/>
      </c>
      <c r="AP193" s="1" t="str">
        <f>IFERROR(INDEX([1]物品基础表!$A:$A,MATCH(AO193,[1]物品基础表!$B:$B,0)),"")</f>
        <v/>
      </c>
      <c r="AS193" s="1" t="str">
        <f>IFERROR(INDEX([1]物品基础表!$A:$A,MATCH(AR193,[1]物品基础表!$B:$B,0)),"")</f>
        <v/>
      </c>
      <c r="AV193" s="1" t="str">
        <f>IFERROR(INDEX([1]物品基础表!$A:$A,MATCH(AU193,[1]物品基础表!$B:$B,0)),"")</f>
        <v/>
      </c>
      <c r="AY193" s="1" t="str">
        <f>IFERROR(INDEX([1]物品基础表!$A:$A,MATCH(AX193,[1]物品基础表!$B:$B,0)),"")</f>
        <v/>
      </c>
      <c r="BB193" s="1" t="str">
        <f>IFERROR(INDEX([1]物品基础表!$A:$A,MATCH(BA193,[1]物品基础表!$B:$B,0)),"")</f>
        <v/>
      </c>
      <c r="BE193" s="1" t="str">
        <f>IFERROR(INDEX([1]物品基础表!$A:$A,MATCH(BD193,[1]物品基础表!$B:$B,0)),"")</f>
        <v/>
      </c>
      <c r="BH193" s="1" t="str">
        <f>IFERROR(INDEX([1]物品基础表!$A:$A,MATCH(BG193,[1]物品基础表!$B:$B,0)),"")</f>
        <v/>
      </c>
      <c r="BK193" s="1" t="str">
        <f>IFERROR(INDEX([1]物品基础表!$A:$A,MATCH(BJ193,[1]物品基础表!$B:$B,0)),"")</f>
        <v/>
      </c>
    </row>
    <row r="194" spans="1:63">
      <c r="A194" s="39" t="str">
        <f>INDEX([2]活动总表!$A$8:$A$429,MATCH(B194,[2]活动总表!$B$8:$B$429,0))</f>
        <v>战灵活动-抽奖B</v>
      </c>
      <c r="B194" s="40">
        <v>352</v>
      </c>
      <c r="C194" s="40">
        <v>1</v>
      </c>
      <c r="D194" s="40"/>
      <c r="E194" s="40"/>
      <c r="F194" s="40" t="s">
        <v>54</v>
      </c>
      <c r="G194" s="40">
        <v>4</v>
      </c>
      <c r="H194" s="40"/>
      <c r="I194" s="40"/>
      <c r="J194" s="57"/>
      <c r="K194" s="1">
        <v>205004</v>
      </c>
      <c r="L194" s="1" t="str">
        <f>IFERROR(INDEX([1]物品基础表!$A:$A,MATCH(K194,[1]物品基础表!$B:$B,0)),"")</f>
        <v>太阳星君</v>
      </c>
      <c r="M194" s="1">
        <v>1</v>
      </c>
      <c r="O194" s="1" t="str">
        <f>IFERROR(INDEX([1]物品基础表!$A:$A,MATCH(N194,[1]物品基础表!$B:$B,0)),"")</f>
        <v/>
      </c>
      <c r="R194" s="1" t="str">
        <f>IFERROR(INDEX([1]物品基础表!$A:$A,MATCH(Q194,[1]物品基础表!$B:$B,0)),"")</f>
        <v/>
      </c>
      <c r="U194" s="1" t="str">
        <f>IFERROR(INDEX([1]物品基础表!$A:$A,MATCH(T194,[1]物品基础表!$B:$B,0)),"")</f>
        <v/>
      </c>
      <c r="X194" s="1" t="str">
        <f>IFERROR(INDEX([1]物品基础表!$A:$A,MATCH(W194,[1]物品基础表!$B:$B,0)),"")</f>
        <v/>
      </c>
      <c r="AA194" s="1" t="str">
        <f>IFERROR(INDEX([1]物品基础表!$A:$A,MATCH(Z194,[1]物品基础表!$B:$B,0)),"")</f>
        <v/>
      </c>
      <c r="AD194" s="1" t="str">
        <f>IFERROR(INDEX([1]物品基础表!$A:$A,MATCH(AC194,[1]物品基础表!$B:$B,0)),"")</f>
        <v/>
      </c>
      <c r="AG194" s="1" t="str">
        <f>IFERROR(INDEX([1]物品基础表!$A:$A,MATCH(AF194,[1]物品基础表!$B:$B,0)),"")</f>
        <v/>
      </c>
      <c r="AJ194" s="1" t="str">
        <f>IFERROR(INDEX([1]物品基础表!$A:$A,MATCH(AI194,[1]物品基础表!$B:$B,0)),"")</f>
        <v/>
      </c>
      <c r="AM194" s="1" t="str">
        <f>IFERROR(INDEX([1]物品基础表!$A:$A,MATCH(AL194,[1]物品基础表!$B:$B,0)),"")</f>
        <v/>
      </c>
      <c r="AP194" s="1" t="str">
        <f>IFERROR(INDEX([1]物品基础表!$A:$A,MATCH(AO194,[1]物品基础表!$B:$B,0)),"")</f>
        <v/>
      </c>
      <c r="AS194" s="1" t="str">
        <f>IFERROR(INDEX([1]物品基础表!$A:$A,MATCH(AR194,[1]物品基础表!$B:$B,0)),"")</f>
        <v/>
      </c>
      <c r="AV194" s="1" t="str">
        <f>IFERROR(INDEX([1]物品基础表!$A:$A,MATCH(AU194,[1]物品基础表!$B:$B,0)),"")</f>
        <v/>
      </c>
      <c r="AY194" s="1" t="str">
        <f>IFERROR(INDEX([1]物品基础表!$A:$A,MATCH(AX194,[1]物品基础表!$B:$B,0)),"")</f>
        <v/>
      </c>
      <c r="BB194" s="1" t="str">
        <f>IFERROR(INDEX([1]物品基础表!$A:$A,MATCH(BA194,[1]物品基础表!$B:$B,0)),"")</f>
        <v/>
      </c>
      <c r="BE194" s="1" t="str">
        <f>IFERROR(INDEX([1]物品基础表!$A:$A,MATCH(BD194,[1]物品基础表!$B:$B,0)),"")</f>
        <v/>
      </c>
      <c r="BH194" s="1" t="str">
        <f>IFERROR(INDEX([1]物品基础表!$A:$A,MATCH(BG194,[1]物品基础表!$B:$B,0)),"")</f>
        <v/>
      </c>
      <c r="BK194" s="1" t="str">
        <f>IFERROR(INDEX([1]物品基础表!$A:$A,MATCH(BJ194,[1]物品基础表!$B:$B,0)),"")</f>
        <v/>
      </c>
    </row>
    <row r="195" spans="1:63">
      <c r="A195" s="39" t="str">
        <f>INDEX([2]活动总表!$A$8:$A$429,MATCH(B195,[2]活动总表!$B$8:$B$429,0))</f>
        <v>战灵活动-抽奖B</v>
      </c>
      <c r="B195" s="40">
        <v>352</v>
      </c>
      <c r="C195" s="40">
        <v>2</v>
      </c>
      <c r="D195" s="40"/>
      <c r="E195" s="40"/>
      <c r="F195" s="40" t="s">
        <v>55</v>
      </c>
      <c r="G195" s="40">
        <v>4</v>
      </c>
      <c r="H195" s="40"/>
      <c r="I195" s="40"/>
      <c r="J195" s="57"/>
      <c r="K195" s="1">
        <v>205000</v>
      </c>
      <c r="L195" s="1" t="str">
        <f>IFERROR(INDEX([1]物品基础表!$A:$A,MATCH(K195,[1]物品基础表!$B:$B,0)),"")</f>
        <v>战灵进阶丹</v>
      </c>
      <c r="M195" s="1">
        <v>5</v>
      </c>
      <c r="O195" s="1" t="str">
        <f>IFERROR(INDEX([1]物品基础表!$A:$A,MATCH(N195,[1]物品基础表!$B:$B,0)),"")</f>
        <v/>
      </c>
      <c r="R195" s="1" t="str">
        <f>IFERROR(INDEX([1]物品基础表!$A:$A,MATCH(Q195,[1]物品基础表!$B:$B,0)),"")</f>
        <v/>
      </c>
      <c r="U195" s="1" t="str">
        <f>IFERROR(INDEX([1]物品基础表!$A:$A,MATCH(T195,[1]物品基础表!$B:$B,0)),"")</f>
        <v/>
      </c>
      <c r="X195" s="1" t="str">
        <f>IFERROR(INDEX([1]物品基础表!$A:$A,MATCH(W195,[1]物品基础表!$B:$B,0)),"")</f>
        <v/>
      </c>
      <c r="AA195" s="1" t="str">
        <f>IFERROR(INDEX([1]物品基础表!$A:$A,MATCH(Z195,[1]物品基础表!$B:$B,0)),"")</f>
        <v/>
      </c>
      <c r="AD195" s="1" t="str">
        <f>IFERROR(INDEX([1]物品基础表!$A:$A,MATCH(AC195,[1]物品基础表!$B:$B,0)),"")</f>
        <v/>
      </c>
      <c r="AG195" s="1" t="str">
        <f>IFERROR(INDEX([1]物品基础表!$A:$A,MATCH(AF195,[1]物品基础表!$B:$B,0)),"")</f>
        <v/>
      </c>
      <c r="AJ195" s="1" t="str">
        <f>IFERROR(INDEX([1]物品基础表!$A:$A,MATCH(AI195,[1]物品基础表!$B:$B,0)),"")</f>
        <v/>
      </c>
      <c r="AM195" s="1" t="str">
        <f>IFERROR(INDEX([1]物品基础表!$A:$A,MATCH(AL195,[1]物品基础表!$B:$B,0)),"")</f>
        <v/>
      </c>
      <c r="AP195" s="1" t="str">
        <f>IFERROR(INDEX([1]物品基础表!$A:$A,MATCH(AO195,[1]物品基础表!$B:$B,0)),"")</f>
        <v/>
      </c>
      <c r="AS195" s="1" t="str">
        <f>IFERROR(INDEX([1]物品基础表!$A:$A,MATCH(AR195,[1]物品基础表!$B:$B,0)),"")</f>
        <v/>
      </c>
      <c r="AV195" s="1" t="str">
        <f>IFERROR(INDEX([1]物品基础表!$A:$A,MATCH(AU195,[1]物品基础表!$B:$B,0)),"")</f>
        <v/>
      </c>
      <c r="AY195" s="1" t="str">
        <f>IFERROR(INDEX([1]物品基础表!$A:$A,MATCH(AX195,[1]物品基础表!$B:$B,0)),"")</f>
        <v/>
      </c>
      <c r="BB195" s="1" t="str">
        <f>IFERROR(INDEX([1]物品基础表!$A:$A,MATCH(BA195,[1]物品基础表!$B:$B,0)),"")</f>
        <v/>
      </c>
      <c r="BE195" s="1" t="str">
        <f>IFERROR(INDEX([1]物品基础表!$A:$A,MATCH(BD195,[1]物品基础表!$B:$B,0)),"")</f>
        <v/>
      </c>
      <c r="BH195" s="1" t="str">
        <f>IFERROR(INDEX([1]物品基础表!$A:$A,MATCH(BG195,[1]物品基础表!$B:$B,0)),"")</f>
        <v/>
      </c>
      <c r="BK195" s="1" t="str">
        <f>IFERROR(INDEX([1]物品基础表!$A:$A,MATCH(BJ195,[1]物品基础表!$B:$B,0)),"")</f>
        <v/>
      </c>
    </row>
    <row r="196" spans="1:63">
      <c r="A196" s="39" t="str">
        <f>INDEX([2]活动总表!$A$8:$A$429,MATCH(B196,[2]活动总表!$B$8:$B$429,0))</f>
        <v>战灵活动-抽奖B</v>
      </c>
      <c r="B196" s="40">
        <v>352</v>
      </c>
      <c r="C196" s="40">
        <v>3</v>
      </c>
      <c r="D196" s="40"/>
      <c r="E196" s="40"/>
      <c r="F196" s="40" t="s">
        <v>56</v>
      </c>
      <c r="G196" s="40">
        <v>4</v>
      </c>
      <c r="H196" s="40"/>
      <c r="I196" s="40"/>
      <c r="J196" s="57"/>
      <c r="K196" s="1">
        <v>200005</v>
      </c>
      <c r="L196" s="1" t="str">
        <f>IFERROR(INDEX([1]物品基础表!$A:$A,MATCH(K196,[1]物品基础表!$B:$B,0)),"")</f>
        <v>龙魂碎片</v>
      </c>
      <c r="M196" s="1">
        <v>100</v>
      </c>
      <c r="O196" s="1" t="str">
        <f>IFERROR(INDEX([1]物品基础表!$A:$A,MATCH(N196,[1]物品基础表!$B:$B,0)),"")</f>
        <v/>
      </c>
      <c r="R196" s="1" t="str">
        <f>IFERROR(INDEX([1]物品基础表!$A:$A,MATCH(Q196,[1]物品基础表!$B:$B,0)),"")</f>
        <v/>
      </c>
      <c r="U196" s="1" t="str">
        <f>IFERROR(INDEX([1]物品基础表!$A:$A,MATCH(T196,[1]物品基础表!$B:$B,0)),"")</f>
        <v/>
      </c>
      <c r="X196" s="1" t="str">
        <f>IFERROR(INDEX([1]物品基础表!$A:$A,MATCH(W196,[1]物品基础表!$B:$B,0)),"")</f>
        <v/>
      </c>
      <c r="AA196" s="1" t="str">
        <f>IFERROR(INDEX([1]物品基础表!$A:$A,MATCH(Z196,[1]物品基础表!$B:$B,0)),"")</f>
        <v/>
      </c>
      <c r="AD196" s="1" t="str">
        <f>IFERROR(INDEX([1]物品基础表!$A:$A,MATCH(AC196,[1]物品基础表!$B:$B,0)),"")</f>
        <v/>
      </c>
      <c r="AG196" s="1" t="str">
        <f>IFERROR(INDEX([1]物品基础表!$A:$A,MATCH(AF196,[1]物品基础表!$B:$B,0)),"")</f>
        <v/>
      </c>
      <c r="AJ196" s="1" t="str">
        <f>IFERROR(INDEX([1]物品基础表!$A:$A,MATCH(AI196,[1]物品基础表!$B:$B,0)),"")</f>
        <v/>
      </c>
      <c r="AM196" s="1" t="str">
        <f>IFERROR(INDEX([1]物品基础表!$A:$A,MATCH(AL196,[1]物品基础表!$B:$B,0)),"")</f>
        <v/>
      </c>
      <c r="AP196" s="1" t="str">
        <f>IFERROR(INDEX([1]物品基础表!$A:$A,MATCH(AO196,[1]物品基础表!$B:$B,0)),"")</f>
        <v/>
      </c>
      <c r="AS196" s="1" t="str">
        <f>IFERROR(INDEX([1]物品基础表!$A:$A,MATCH(AR196,[1]物品基础表!$B:$B,0)),"")</f>
        <v/>
      </c>
      <c r="AV196" s="1" t="str">
        <f>IFERROR(INDEX([1]物品基础表!$A:$A,MATCH(AU196,[1]物品基础表!$B:$B,0)),"")</f>
        <v/>
      </c>
      <c r="AY196" s="1" t="str">
        <f>IFERROR(INDEX([1]物品基础表!$A:$A,MATCH(AX196,[1]物品基础表!$B:$B,0)),"")</f>
        <v/>
      </c>
      <c r="BB196" s="1" t="str">
        <f>IFERROR(INDEX([1]物品基础表!$A:$A,MATCH(BA196,[1]物品基础表!$B:$B,0)),"")</f>
        <v/>
      </c>
      <c r="BE196" s="1" t="str">
        <f>IFERROR(INDEX([1]物品基础表!$A:$A,MATCH(BD196,[1]物品基础表!$B:$B,0)),"")</f>
        <v/>
      </c>
      <c r="BH196" s="1" t="str">
        <f>IFERROR(INDEX([1]物品基础表!$A:$A,MATCH(BG196,[1]物品基础表!$B:$B,0)),"")</f>
        <v/>
      </c>
      <c r="BK196" s="1" t="str">
        <f>IFERROR(INDEX([1]物品基础表!$A:$A,MATCH(BJ196,[1]物品基础表!$B:$B,0)),"")</f>
        <v/>
      </c>
    </row>
    <row r="197" spans="1:63">
      <c r="A197" s="39" t="str">
        <f>INDEX([2]活动总表!$A$8:$A$429,MATCH(B197,[2]活动总表!$B$8:$B$429,0))</f>
        <v>战灵活动-抽奖B</v>
      </c>
      <c r="B197" s="40">
        <v>352</v>
      </c>
      <c r="C197" s="40">
        <v>4</v>
      </c>
      <c r="D197" s="40"/>
      <c r="E197" s="40"/>
      <c r="F197" s="40" t="s">
        <v>55</v>
      </c>
      <c r="G197" s="40">
        <v>4</v>
      </c>
      <c r="H197" s="40"/>
      <c r="I197" s="40"/>
      <c r="J197" s="57"/>
      <c r="K197" s="1">
        <v>200005</v>
      </c>
      <c r="L197" s="1" t="str">
        <f>IFERROR(INDEX([1]物品基础表!$A:$A,MATCH(K197,[1]物品基础表!$B:$B,0)),"")</f>
        <v>龙魂碎片</v>
      </c>
      <c r="M197" s="1">
        <v>12</v>
      </c>
      <c r="O197" s="1" t="str">
        <f>IFERROR(INDEX([1]物品基础表!$A:$A,MATCH(N197,[1]物品基础表!$B:$B,0)),"")</f>
        <v/>
      </c>
      <c r="R197" s="1" t="str">
        <f>IFERROR(INDEX([1]物品基础表!$A:$A,MATCH(Q197,[1]物品基础表!$B:$B,0)),"")</f>
        <v/>
      </c>
      <c r="U197" s="1" t="str">
        <f>IFERROR(INDEX([1]物品基础表!$A:$A,MATCH(T197,[1]物品基础表!$B:$B,0)),"")</f>
        <v/>
      </c>
      <c r="X197" s="1" t="str">
        <f>IFERROR(INDEX([1]物品基础表!$A:$A,MATCH(W197,[1]物品基础表!$B:$B,0)),"")</f>
        <v/>
      </c>
      <c r="AA197" s="1" t="str">
        <f>IFERROR(INDEX([1]物品基础表!$A:$A,MATCH(Z197,[1]物品基础表!$B:$B,0)),"")</f>
        <v/>
      </c>
      <c r="AD197" s="1" t="str">
        <f>IFERROR(INDEX([1]物品基础表!$A:$A,MATCH(AC197,[1]物品基础表!$B:$B,0)),"")</f>
        <v/>
      </c>
      <c r="AG197" s="1" t="str">
        <f>IFERROR(INDEX([1]物品基础表!$A:$A,MATCH(AF197,[1]物品基础表!$B:$B,0)),"")</f>
        <v/>
      </c>
      <c r="AJ197" s="1" t="str">
        <f>IFERROR(INDEX([1]物品基础表!$A:$A,MATCH(AI197,[1]物品基础表!$B:$B,0)),"")</f>
        <v/>
      </c>
      <c r="AM197" s="1" t="str">
        <f>IFERROR(INDEX([1]物品基础表!$A:$A,MATCH(AL197,[1]物品基础表!$B:$B,0)),"")</f>
        <v/>
      </c>
      <c r="AP197" s="1" t="str">
        <f>IFERROR(INDEX([1]物品基础表!$A:$A,MATCH(AO197,[1]物品基础表!$B:$B,0)),"")</f>
        <v/>
      </c>
      <c r="AS197" s="1" t="str">
        <f>IFERROR(INDEX([1]物品基础表!$A:$A,MATCH(AR197,[1]物品基础表!$B:$B,0)),"")</f>
        <v/>
      </c>
      <c r="AV197" s="1" t="str">
        <f>IFERROR(INDEX([1]物品基础表!$A:$A,MATCH(AU197,[1]物品基础表!$B:$B,0)),"")</f>
        <v/>
      </c>
      <c r="AY197" s="1" t="str">
        <f>IFERROR(INDEX([1]物品基础表!$A:$A,MATCH(AX197,[1]物品基础表!$B:$B,0)),"")</f>
        <v/>
      </c>
      <c r="BB197" s="1" t="str">
        <f>IFERROR(INDEX([1]物品基础表!$A:$A,MATCH(BA197,[1]物品基础表!$B:$B,0)),"")</f>
        <v/>
      </c>
      <c r="BE197" s="1" t="str">
        <f>IFERROR(INDEX([1]物品基础表!$A:$A,MATCH(BD197,[1]物品基础表!$B:$B,0)),"")</f>
        <v/>
      </c>
      <c r="BH197" s="1" t="str">
        <f>IFERROR(INDEX([1]物品基础表!$A:$A,MATCH(BG197,[1]物品基础表!$B:$B,0)),"")</f>
        <v/>
      </c>
      <c r="BK197" s="1" t="str">
        <f>IFERROR(INDEX([1]物品基础表!$A:$A,MATCH(BJ197,[1]物品基础表!$B:$B,0)),"")</f>
        <v/>
      </c>
    </row>
    <row r="198" spans="1:63">
      <c r="A198" s="39" t="str">
        <f>INDEX([2]活动总表!$A$8:$A$429,MATCH(B198,[2]活动总表!$B$8:$B$429,0))</f>
        <v>战灵活动-抽奖B</v>
      </c>
      <c r="B198" s="40">
        <v>352</v>
      </c>
      <c r="C198" s="40">
        <v>5</v>
      </c>
      <c r="D198" s="40"/>
      <c r="E198" s="40"/>
      <c r="F198" s="40" t="s">
        <v>55</v>
      </c>
      <c r="G198" s="40">
        <v>4</v>
      </c>
      <c r="H198" s="40"/>
      <c r="I198" s="40"/>
      <c r="J198" s="57"/>
      <c r="K198" s="1">
        <v>205000</v>
      </c>
      <c r="L198" s="1" t="str">
        <f>IFERROR(INDEX([1]物品基础表!$A:$A,MATCH(K198,[1]物品基础表!$B:$B,0)),"")</f>
        <v>战灵进阶丹</v>
      </c>
      <c r="M198" s="1">
        <v>10</v>
      </c>
      <c r="O198" s="1" t="str">
        <f>IFERROR(INDEX([1]物品基础表!$A:$A,MATCH(N198,[1]物品基础表!$B:$B,0)),"")</f>
        <v/>
      </c>
      <c r="R198" s="1" t="str">
        <f>IFERROR(INDEX([1]物品基础表!$A:$A,MATCH(Q198,[1]物品基础表!$B:$B,0)),"")</f>
        <v/>
      </c>
      <c r="U198" s="1" t="str">
        <f>IFERROR(INDEX([1]物品基础表!$A:$A,MATCH(T198,[1]物品基础表!$B:$B,0)),"")</f>
        <v/>
      </c>
      <c r="X198" s="1" t="str">
        <f>IFERROR(INDEX([1]物品基础表!$A:$A,MATCH(W198,[1]物品基础表!$B:$B,0)),"")</f>
        <v/>
      </c>
      <c r="AA198" s="1" t="str">
        <f>IFERROR(INDEX([1]物品基础表!$A:$A,MATCH(Z198,[1]物品基础表!$B:$B,0)),"")</f>
        <v/>
      </c>
      <c r="AD198" s="1" t="str">
        <f>IFERROR(INDEX([1]物品基础表!$A:$A,MATCH(AC198,[1]物品基础表!$B:$B,0)),"")</f>
        <v/>
      </c>
      <c r="AG198" s="1" t="str">
        <f>IFERROR(INDEX([1]物品基础表!$A:$A,MATCH(AF198,[1]物品基础表!$B:$B,0)),"")</f>
        <v/>
      </c>
      <c r="AJ198" s="1" t="str">
        <f>IFERROR(INDEX([1]物品基础表!$A:$A,MATCH(AI198,[1]物品基础表!$B:$B,0)),"")</f>
        <v/>
      </c>
      <c r="AM198" s="1" t="str">
        <f>IFERROR(INDEX([1]物品基础表!$A:$A,MATCH(AL198,[1]物品基础表!$B:$B,0)),"")</f>
        <v/>
      </c>
      <c r="AP198" s="1" t="str">
        <f>IFERROR(INDEX([1]物品基础表!$A:$A,MATCH(AO198,[1]物品基础表!$B:$B,0)),"")</f>
        <v/>
      </c>
      <c r="AS198" s="1" t="str">
        <f>IFERROR(INDEX([1]物品基础表!$A:$A,MATCH(AR198,[1]物品基础表!$B:$B,0)),"")</f>
        <v/>
      </c>
      <c r="AV198" s="1" t="str">
        <f>IFERROR(INDEX([1]物品基础表!$A:$A,MATCH(AU198,[1]物品基础表!$B:$B,0)),"")</f>
        <v/>
      </c>
      <c r="AY198" s="1" t="str">
        <f>IFERROR(INDEX([1]物品基础表!$A:$A,MATCH(AX198,[1]物品基础表!$B:$B,0)),"")</f>
        <v/>
      </c>
      <c r="BB198" s="1" t="str">
        <f>IFERROR(INDEX([1]物品基础表!$A:$A,MATCH(BA198,[1]物品基础表!$B:$B,0)),"")</f>
        <v/>
      </c>
      <c r="BE198" s="1" t="str">
        <f>IFERROR(INDEX([1]物品基础表!$A:$A,MATCH(BD198,[1]物品基础表!$B:$B,0)),"")</f>
        <v/>
      </c>
      <c r="BH198" s="1" t="str">
        <f>IFERROR(INDEX([1]物品基础表!$A:$A,MATCH(BG198,[1]物品基础表!$B:$B,0)),"")</f>
        <v/>
      </c>
      <c r="BK198" s="1" t="str">
        <f>IFERROR(INDEX([1]物品基础表!$A:$A,MATCH(BJ198,[1]物品基础表!$B:$B,0)),"")</f>
        <v/>
      </c>
    </row>
    <row r="199" spans="1:63">
      <c r="A199" s="39" t="str">
        <f>INDEX([2]活动总表!$A$8:$A$429,MATCH(B199,[2]活动总表!$B$8:$B$429,0))</f>
        <v>战灵活动-抽奖B</v>
      </c>
      <c r="B199" s="40">
        <v>352</v>
      </c>
      <c r="C199" s="40">
        <v>6</v>
      </c>
      <c r="D199" s="40"/>
      <c r="E199" s="40"/>
      <c r="F199" s="40" t="s">
        <v>57</v>
      </c>
      <c r="G199" s="40">
        <v>4</v>
      </c>
      <c r="H199" s="40"/>
      <c r="I199" s="40"/>
      <c r="J199" s="57"/>
      <c r="K199" s="1">
        <v>204158</v>
      </c>
      <c r="L199" s="1" t="str">
        <f>IFERROR(INDEX([1]物品基础表!$A:$A,MATCH(K199,[1]物品基础表!$B:$B,0)),"")</f>
        <v>5阶战灵装备</v>
      </c>
      <c r="M199" s="1">
        <v>1</v>
      </c>
      <c r="O199" s="1" t="str">
        <f>IFERROR(INDEX([1]物品基础表!$A:$A,MATCH(N199,[1]物品基础表!$B:$B,0)),"")</f>
        <v/>
      </c>
      <c r="R199" s="1" t="str">
        <f>IFERROR(INDEX([1]物品基础表!$A:$A,MATCH(Q199,[1]物品基础表!$B:$B,0)),"")</f>
        <v/>
      </c>
      <c r="U199" s="1" t="str">
        <f>IFERROR(INDEX([1]物品基础表!$A:$A,MATCH(T199,[1]物品基础表!$B:$B,0)),"")</f>
        <v/>
      </c>
      <c r="X199" s="1" t="str">
        <f>IFERROR(INDEX([1]物品基础表!$A:$A,MATCH(W199,[1]物品基础表!$B:$B,0)),"")</f>
        <v/>
      </c>
      <c r="AA199" s="1" t="str">
        <f>IFERROR(INDEX([1]物品基础表!$A:$A,MATCH(Z199,[1]物品基础表!$B:$B,0)),"")</f>
        <v/>
      </c>
      <c r="AD199" s="1" t="str">
        <f>IFERROR(INDEX([1]物品基础表!$A:$A,MATCH(AC199,[1]物品基础表!$B:$B,0)),"")</f>
        <v/>
      </c>
      <c r="AG199" s="1" t="str">
        <f>IFERROR(INDEX([1]物品基础表!$A:$A,MATCH(AF199,[1]物品基础表!$B:$B,0)),"")</f>
        <v/>
      </c>
      <c r="AJ199" s="1" t="str">
        <f>IFERROR(INDEX([1]物品基础表!$A:$A,MATCH(AI199,[1]物品基础表!$B:$B,0)),"")</f>
        <v/>
      </c>
      <c r="AM199" s="1" t="str">
        <f>IFERROR(INDEX([1]物品基础表!$A:$A,MATCH(AL199,[1]物品基础表!$B:$B,0)),"")</f>
        <v/>
      </c>
      <c r="AP199" s="1" t="str">
        <f>IFERROR(INDEX([1]物品基础表!$A:$A,MATCH(AO199,[1]物品基础表!$B:$B,0)),"")</f>
        <v/>
      </c>
      <c r="AS199" s="1" t="str">
        <f>IFERROR(INDEX([1]物品基础表!$A:$A,MATCH(AR199,[1]物品基础表!$B:$B,0)),"")</f>
        <v/>
      </c>
      <c r="AV199" s="1" t="str">
        <f>IFERROR(INDEX([1]物品基础表!$A:$A,MATCH(AU199,[1]物品基础表!$B:$B,0)),"")</f>
        <v/>
      </c>
      <c r="AY199" s="1" t="str">
        <f>IFERROR(INDEX([1]物品基础表!$A:$A,MATCH(AX199,[1]物品基础表!$B:$B,0)),"")</f>
        <v/>
      </c>
      <c r="BB199" s="1" t="str">
        <f>IFERROR(INDEX([1]物品基础表!$A:$A,MATCH(BA199,[1]物品基础表!$B:$B,0)),"")</f>
        <v/>
      </c>
      <c r="BE199" s="1" t="str">
        <f>IFERROR(INDEX([1]物品基础表!$A:$A,MATCH(BD199,[1]物品基础表!$B:$B,0)),"")</f>
        <v/>
      </c>
      <c r="BH199" s="1" t="str">
        <f>IFERROR(INDEX([1]物品基础表!$A:$A,MATCH(BG199,[1]物品基础表!$B:$B,0)),"")</f>
        <v/>
      </c>
      <c r="BK199" s="1" t="str">
        <f>IFERROR(INDEX([1]物品基础表!$A:$A,MATCH(BJ199,[1]物品基础表!$B:$B,0)),"")</f>
        <v/>
      </c>
    </row>
    <row r="200" spans="1:63">
      <c r="A200" s="39" t="str">
        <f>INDEX([2]活动总表!$A$8:$A$429,MATCH(B200,[2]活动总表!$B$8:$B$429,0))</f>
        <v>战灵活动-抽奖B</v>
      </c>
      <c r="B200" s="40">
        <v>352</v>
      </c>
      <c r="C200" s="40">
        <v>7</v>
      </c>
      <c r="D200" s="40"/>
      <c r="E200" s="40"/>
      <c r="F200" s="40" t="s">
        <v>55</v>
      </c>
      <c r="G200" s="40">
        <v>4</v>
      </c>
      <c r="H200" s="40"/>
      <c r="I200" s="40"/>
      <c r="J200" s="57"/>
      <c r="K200" s="1">
        <v>200001</v>
      </c>
      <c r="L200" s="1" t="str">
        <f>IFERROR(INDEX([1]物品基础表!$A:$A,MATCH(K200,[1]物品基础表!$B:$B,0)),"")</f>
        <v>羽毛</v>
      </c>
      <c r="M200" s="1">
        <v>12</v>
      </c>
      <c r="O200" s="1" t="str">
        <f>IFERROR(INDEX([1]物品基础表!$A:$A,MATCH(N200,[1]物品基础表!$B:$B,0)),"")</f>
        <v/>
      </c>
      <c r="R200" s="1" t="str">
        <f>IFERROR(INDEX([1]物品基础表!$A:$A,MATCH(Q200,[1]物品基础表!$B:$B,0)),"")</f>
        <v/>
      </c>
      <c r="U200" s="1" t="str">
        <f>IFERROR(INDEX([1]物品基础表!$A:$A,MATCH(T200,[1]物品基础表!$B:$B,0)),"")</f>
        <v/>
      </c>
      <c r="X200" s="1" t="str">
        <f>IFERROR(INDEX([1]物品基础表!$A:$A,MATCH(W200,[1]物品基础表!$B:$B,0)),"")</f>
        <v/>
      </c>
      <c r="AA200" s="1" t="str">
        <f>IFERROR(INDEX([1]物品基础表!$A:$A,MATCH(Z200,[1]物品基础表!$B:$B,0)),"")</f>
        <v/>
      </c>
      <c r="AD200" s="1" t="str">
        <f>IFERROR(INDEX([1]物品基础表!$A:$A,MATCH(AC200,[1]物品基础表!$B:$B,0)),"")</f>
        <v/>
      </c>
      <c r="AG200" s="1" t="str">
        <f>IFERROR(INDEX([1]物品基础表!$A:$A,MATCH(AF200,[1]物品基础表!$B:$B,0)),"")</f>
        <v/>
      </c>
      <c r="AJ200" s="1" t="str">
        <f>IFERROR(INDEX([1]物品基础表!$A:$A,MATCH(AI200,[1]物品基础表!$B:$B,0)),"")</f>
        <v/>
      </c>
      <c r="AM200" s="1" t="str">
        <f>IFERROR(INDEX([1]物品基础表!$A:$A,MATCH(AL200,[1]物品基础表!$B:$B,0)),"")</f>
        <v/>
      </c>
      <c r="AP200" s="1" t="str">
        <f>IFERROR(INDEX([1]物品基础表!$A:$A,MATCH(AO200,[1]物品基础表!$B:$B,0)),"")</f>
        <v/>
      </c>
      <c r="AS200" s="1" t="str">
        <f>IFERROR(INDEX([1]物品基础表!$A:$A,MATCH(AR200,[1]物品基础表!$B:$B,0)),"")</f>
        <v/>
      </c>
      <c r="AV200" s="1" t="str">
        <f>IFERROR(INDEX([1]物品基础表!$A:$A,MATCH(AU200,[1]物品基础表!$B:$B,0)),"")</f>
        <v/>
      </c>
      <c r="AY200" s="1" t="str">
        <f>IFERROR(INDEX([1]物品基础表!$A:$A,MATCH(AX200,[1]物品基础表!$B:$B,0)),"")</f>
        <v/>
      </c>
      <c r="BB200" s="1" t="str">
        <f>IFERROR(INDEX([1]物品基础表!$A:$A,MATCH(BA200,[1]物品基础表!$B:$B,0)),"")</f>
        <v/>
      </c>
      <c r="BE200" s="1" t="str">
        <f>IFERROR(INDEX([1]物品基础表!$A:$A,MATCH(BD200,[1]物品基础表!$B:$B,0)),"")</f>
        <v/>
      </c>
      <c r="BH200" s="1" t="str">
        <f>IFERROR(INDEX([1]物品基础表!$A:$A,MATCH(BG200,[1]物品基础表!$B:$B,0)),"")</f>
        <v/>
      </c>
      <c r="BK200" s="1" t="str">
        <f>IFERROR(INDEX([1]物品基础表!$A:$A,MATCH(BJ200,[1]物品基础表!$B:$B,0)),"")</f>
        <v/>
      </c>
    </row>
    <row r="201" spans="1:63">
      <c r="A201" s="39" t="str">
        <f>INDEX([2]活动总表!$A$8:$A$429,MATCH(B201,[2]活动总表!$B$8:$B$429,0))</f>
        <v>战灵活动-抽奖B</v>
      </c>
      <c r="B201" s="40">
        <v>352</v>
      </c>
      <c r="C201" s="40">
        <v>8</v>
      </c>
      <c r="D201" s="40"/>
      <c r="E201" s="40"/>
      <c r="F201" s="40" t="s">
        <v>855</v>
      </c>
      <c r="G201" s="40">
        <v>4</v>
      </c>
      <c r="H201" s="40"/>
      <c r="I201" s="40"/>
      <c r="J201" s="57"/>
      <c r="K201" s="1">
        <v>204156</v>
      </c>
      <c r="L201" s="1" t="str">
        <f>IFERROR(INDEX([1]物品基础表!$A:$A,MATCH(K201,[1]物品基础表!$B:$B,0)),"")</f>
        <v>3阶战灵装备</v>
      </c>
      <c r="M201" s="1">
        <v>1</v>
      </c>
      <c r="O201" s="1" t="str">
        <f>IFERROR(INDEX([1]物品基础表!$A:$A,MATCH(N201,[1]物品基础表!$B:$B,0)),"")</f>
        <v/>
      </c>
      <c r="R201" s="1" t="str">
        <f>IFERROR(INDEX([1]物品基础表!$A:$A,MATCH(Q201,[1]物品基础表!$B:$B,0)),"")</f>
        <v/>
      </c>
      <c r="U201" s="1" t="str">
        <f>IFERROR(INDEX([1]物品基础表!$A:$A,MATCH(T201,[1]物品基础表!$B:$B,0)),"")</f>
        <v/>
      </c>
      <c r="X201" s="1" t="str">
        <f>IFERROR(INDEX([1]物品基础表!$A:$A,MATCH(W201,[1]物品基础表!$B:$B,0)),"")</f>
        <v/>
      </c>
      <c r="AA201" s="1" t="str">
        <f>IFERROR(INDEX([1]物品基础表!$A:$A,MATCH(Z201,[1]物品基础表!$B:$B,0)),"")</f>
        <v/>
      </c>
      <c r="AD201" s="1" t="str">
        <f>IFERROR(INDEX([1]物品基础表!$A:$A,MATCH(AC201,[1]物品基础表!$B:$B,0)),"")</f>
        <v/>
      </c>
      <c r="AG201" s="1" t="str">
        <f>IFERROR(INDEX([1]物品基础表!$A:$A,MATCH(AF201,[1]物品基础表!$B:$B,0)),"")</f>
        <v/>
      </c>
      <c r="AJ201" s="1" t="str">
        <f>IFERROR(INDEX([1]物品基础表!$A:$A,MATCH(AI201,[1]物品基础表!$B:$B,0)),"")</f>
        <v/>
      </c>
      <c r="AM201" s="1" t="str">
        <f>IFERROR(INDEX([1]物品基础表!$A:$A,MATCH(AL201,[1]物品基础表!$B:$B,0)),"")</f>
        <v/>
      </c>
      <c r="AP201" s="1" t="str">
        <f>IFERROR(INDEX([1]物品基础表!$A:$A,MATCH(AO201,[1]物品基础表!$B:$B,0)),"")</f>
        <v/>
      </c>
      <c r="AS201" s="1" t="str">
        <f>IFERROR(INDEX([1]物品基础表!$A:$A,MATCH(AR201,[1]物品基础表!$B:$B,0)),"")</f>
        <v/>
      </c>
      <c r="AV201" s="1" t="str">
        <f>IFERROR(INDEX([1]物品基础表!$A:$A,MATCH(AU201,[1]物品基础表!$B:$B,0)),"")</f>
        <v/>
      </c>
      <c r="AY201" s="1" t="str">
        <f>IFERROR(INDEX([1]物品基础表!$A:$A,MATCH(AX201,[1]物品基础表!$B:$B,0)),"")</f>
        <v/>
      </c>
      <c r="BB201" s="1" t="str">
        <f>IFERROR(INDEX([1]物品基础表!$A:$A,MATCH(BA201,[1]物品基础表!$B:$B,0)),"")</f>
        <v/>
      </c>
      <c r="BE201" s="1" t="str">
        <f>IFERROR(INDEX([1]物品基础表!$A:$A,MATCH(BD201,[1]物品基础表!$B:$B,0)),"")</f>
        <v/>
      </c>
      <c r="BH201" s="1" t="str">
        <f>IFERROR(INDEX([1]物品基础表!$A:$A,MATCH(BG201,[1]物品基础表!$B:$B,0)),"")</f>
        <v/>
      </c>
      <c r="BK201" s="1" t="str">
        <f>IFERROR(INDEX([1]物品基础表!$A:$A,MATCH(BJ201,[1]物品基础表!$B:$B,0)),"")</f>
        <v/>
      </c>
    </row>
    <row r="202" spans="1:63">
      <c r="A202" s="39" t="str">
        <f>INDEX([2]活动总表!$A$8:$A$429,MATCH(B202,[2]活动总表!$B$8:$B$429,0))</f>
        <v>战灵活动-抽奖B</v>
      </c>
      <c r="B202" s="40">
        <v>352</v>
      </c>
      <c r="C202" s="40">
        <v>9</v>
      </c>
      <c r="D202" s="40"/>
      <c r="E202" s="40"/>
      <c r="F202" s="40" t="s">
        <v>55</v>
      </c>
      <c r="G202" s="40">
        <v>4</v>
      </c>
      <c r="H202" s="40"/>
      <c r="I202" s="40"/>
      <c r="J202" s="57"/>
      <c r="K202" s="1">
        <v>500005</v>
      </c>
      <c r="L202" s="1" t="str">
        <f>IFERROR(INDEX([1]物品基础表!$A:$A,MATCH(K202,[1]物品基础表!$B:$B,0)),"")</f>
        <v>战纹精华-红</v>
      </c>
      <c r="M202" s="1">
        <v>4</v>
      </c>
      <c r="O202" s="1" t="str">
        <f>IFERROR(INDEX([1]物品基础表!$A:$A,MATCH(N202,[1]物品基础表!$B:$B,0)),"")</f>
        <v/>
      </c>
      <c r="R202" s="1" t="str">
        <f>IFERROR(INDEX([1]物品基础表!$A:$A,MATCH(Q202,[1]物品基础表!$B:$B,0)),"")</f>
        <v/>
      </c>
      <c r="U202" s="1" t="str">
        <f>IFERROR(INDEX([1]物品基础表!$A:$A,MATCH(T202,[1]物品基础表!$B:$B,0)),"")</f>
        <v/>
      </c>
      <c r="X202" s="1" t="str">
        <f>IFERROR(INDEX([1]物品基础表!$A:$A,MATCH(W202,[1]物品基础表!$B:$B,0)),"")</f>
        <v/>
      </c>
      <c r="AA202" s="1" t="str">
        <f>IFERROR(INDEX([1]物品基础表!$A:$A,MATCH(Z202,[1]物品基础表!$B:$B,0)),"")</f>
        <v/>
      </c>
      <c r="AD202" s="1" t="str">
        <f>IFERROR(INDEX([1]物品基础表!$A:$A,MATCH(AC202,[1]物品基础表!$B:$B,0)),"")</f>
        <v/>
      </c>
      <c r="AG202" s="1" t="str">
        <f>IFERROR(INDEX([1]物品基础表!$A:$A,MATCH(AF202,[1]物品基础表!$B:$B,0)),"")</f>
        <v/>
      </c>
      <c r="AJ202" s="1" t="str">
        <f>IFERROR(INDEX([1]物品基础表!$A:$A,MATCH(AI202,[1]物品基础表!$B:$B,0)),"")</f>
        <v/>
      </c>
      <c r="AM202" s="1" t="str">
        <f>IFERROR(INDEX([1]物品基础表!$A:$A,MATCH(AL202,[1]物品基础表!$B:$B,0)),"")</f>
        <v/>
      </c>
      <c r="AP202" s="1" t="str">
        <f>IFERROR(INDEX([1]物品基础表!$A:$A,MATCH(AO202,[1]物品基础表!$B:$B,0)),"")</f>
        <v/>
      </c>
      <c r="AS202" s="1" t="str">
        <f>IFERROR(INDEX([1]物品基础表!$A:$A,MATCH(AR202,[1]物品基础表!$B:$B,0)),"")</f>
        <v/>
      </c>
      <c r="AV202" s="1" t="str">
        <f>IFERROR(INDEX([1]物品基础表!$A:$A,MATCH(AU202,[1]物品基础表!$B:$B,0)),"")</f>
        <v/>
      </c>
      <c r="AY202" s="1" t="str">
        <f>IFERROR(INDEX([1]物品基础表!$A:$A,MATCH(AX202,[1]物品基础表!$B:$B,0)),"")</f>
        <v/>
      </c>
      <c r="BB202" s="1" t="str">
        <f>IFERROR(INDEX([1]物品基础表!$A:$A,MATCH(BA202,[1]物品基础表!$B:$B,0)),"")</f>
        <v/>
      </c>
      <c r="BE202" s="1" t="str">
        <f>IFERROR(INDEX([1]物品基础表!$A:$A,MATCH(BD202,[1]物品基础表!$B:$B,0)),"")</f>
        <v/>
      </c>
      <c r="BH202" s="1" t="str">
        <f>IFERROR(INDEX([1]物品基础表!$A:$A,MATCH(BG202,[1]物品基础表!$B:$B,0)),"")</f>
        <v/>
      </c>
      <c r="BK202" s="1" t="str">
        <f>IFERROR(INDEX([1]物品基础表!$A:$A,MATCH(BJ202,[1]物品基础表!$B:$B,0)),"")</f>
        <v/>
      </c>
    </row>
    <row r="203" spans="1:63">
      <c r="A203" s="39" t="str">
        <f>INDEX([2]活动总表!$A$8:$A$429,MATCH(B203,[2]活动总表!$B$8:$B$429,0))</f>
        <v>战灵活动-抽奖B</v>
      </c>
      <c r="B203" s="40">
        <v>352</v>
      </c>
      <c r="C203" s="40">
        <v>10</v>
      </c>
      <c r="D203" s="40"/>
      <c r="E203" s="40"/>
      <c r="F203" s="40" t="s">
        <v>855</v>
      </c>
      <c r="G203" s="40">
        <v>4</v>
      </c>
      <c r="H203" s="40"/>
      <c r="I203" s="40"/>
      <c r="J203" s="57"/>
      <c r="K203" s="1">
        <v>200015</v>
      </c>
      <c r="L203" s="1" t="str">
        <f>IFERROR(INDEX([1]物品基础表!$A:$A,MATCH(K203,[1]物品基础表!$B:$B,0)),"")</f>
        <v>特戒碎片</v>
      </c>
      <c r="M203" s="1">
        <v>1000</v>
      </c>
      <c r="O203" s="1" t="str">
        <f>IFERROR(INDEX([1]物品基础表!$A:$A,MATCH(N203,[1]物品基础表!$B:$B,0)),"")</f>
        <v/>
      </c>
      <c r="R203" s="1" t="str">
        <f>IFERROR(INDEX([1]物品基础表!$A:$A,MATCH(Q203,[1]物品基础表!$B:$B,0)),"")</f>
        <v/>
      </c>
      <c r="U203" s="1" t="str">
        <f>IFERROR(INDEX([1]物品基础表!$A:$A,MATCH(T203,[1]物品基础表!$B:$B,0)),"")</f>
        <v/>
      </c>
      <c r="X203" s="1" t="str">
        <f>IFERROR(INDEX([1]物品基础表!$A:$A,MATCH(W203,[1]物品基础表!$B:$B,0)),"")</f>
        <v/>
      </c>
      <c r="AA203" s="1" t="str">
        <f>IFERROR(INDEX([1]物品基础表!$A:$A,MATCH(Z203,[1]物品基础表!$B:$B,0)),"")</f>
        <v/>
      </c>
      <c r="AD203" s="1" t="str">
        <f>IFERROR(INDEX([1]物品基础表!$A:$A,MATCH(AC203,[1]物品基础表!$B:$B,0)),"")</f>
        <v/>
      </c>
      <c r="AG203" s="1" t="str">
        <f>IFERROR(INDEX([1]物品基础表!$A:$A,MATCH(AF203,[1]物品基础表!$B:$B,0)),"")</f>
        <v/>
      </c>
      <c r="AJ203" s="1" t="str">
        <f>IFERROR(INDEX([1]物品基础表!$A:$A,MATCH(AI203,[1]物品基础表!$B:$B,0)),"")</f>
        <v/>
      </c>
      <c r="AM203" s="1" t="str">
        <f>IFERROR(INDEX([1]物品基础表!$A:$A,MATCH(AL203,[1]物品基础表!$B:$B,0)),"")</f>
        <v/>
      </c>
      <c r="AP203" s="1" t="str">
        <f>IFERROR(INDEX([1]物品基础表!$A:$A,MATCH(AO203,[1]物品基础表!$B:$B,0)),"")</f>
        <v/>
      </c>
      <c r="AS203" s="1" t="str">
        <f>IFERROR(INDEX([1]物品基础表!$A:$A,MATCH(AR203,[1]物品基础表!$B:$B,0)),"")</f>
        <v/>
      </c>
      <c r="AV203" s="1" t="str">
        <f>IFERROR(INDEX([1]物品基础表!$A:$A,MATCH(AU203,[1]物品基础表!$B:$B,0)),"")</f>
        <v/>
      </c>
      <c r="AY203" s="1" t="str">
        <f>IFERROR(INDEX([1]物品基础表!$A:$A,MATCH(AX203,[1]物品基础表!$B:$B,0)),"")</f>
        <v/>
      </c>
      <c r="BB203" s="1" t="str">
        <f>IFERROR(INDEX([1]物品基础表!$A:$A,MATCH(BA203,[1]物品基础表!$B:$B,0)),"")</f>
        <v/>
      </c>
      <c r="BE203" s="1" t="str">
        <f>IFERROR(INDEX([1]物品基础表!$A:$A,MATCH(BD203,[1]物品基础表!$B:$B,0)),"")</f>
        <v/>
      </c>
      <c r="BH203" s="1" t="str">
        <f>IFERROR(INDEX([1]物品基础表!$A:$A,MATCH(BG203,[1]物品基础表!$B:$B,0)),"")</f>
        <v/>
      </c>
      <c r="BK203" s="1" t="str">
        <f>IFERROR(INDEX([1]物品基础表!$A:$A,MATCH(BJ203,[1]物品基础表!$B:$B,0)),"")</f>
        <v/>
      </c>
    </row>
    <row r="204" spans="1:63">
      <c r="A204" s="39" t="str">
        <f>INDEX([2]活动总表!$A$8:$A$429,MATCH(B204,[2]活动总表!$B$8:$B$429,0))</f>
        <v>战灵活动-抽奖C</v>
      </c>
      <c r="B204" s="40">
        <v>353</v>
      </c>
      <c r="C204" s="40">
        <v>0</v>
      </c>
      <c r="D204" s="40">
        <v>200309</v>
      </c>
      <c r="E204" s="40">
        <v>500</v>
      </c>
      <c r="F204" s="40"/>
      <c r="G204" s="40">
        <v>4</v>
      </c>
      <c r="H204" s="40"/>
      <c r="I204" s="40" t="s">
        <v>853</v>
      </c>
      <c r="J204" s="57" t="s">
        <v>854</v>
      </c>
      <c r="K204" s="1">
        <v>1</v>
      </c>
      <c r="L204" s="1" t="s">
        <v>901</v>
      </c>
      <c r="M204" s="1">
        <v>500000</v>
      </c>
      <c r="O204" s="1" t="str">
        <f>IFERROR(INDEX([1]物品基础表!$A:$A,MATCH(N204,[1]物品基础表!$B:$B,0)),"")</f>
        <v/>
      </c>
      <c r="R204" s="1" t="str">
        <f>IFERROR(INDEX([1]物品基础表!$A:$A,MATCH(Q204,[1]物品基础表!$B:$B,0)),"")</f>
        <v/>
      </c>
      <c r="U204" s="1" t="str">
        <f>IFERROR(INDEX([1]物品基础表!$A:$A,MATCH(T204,[1]物品基础表!$B:$B,0)),"")</f>
        <v/>
      </c>
      <c r="X204" s="1" t="str">
        <f>IFERROR(INDEX([1]物品基础表!$A:$A,MATCH(W204,[1]物品基础表!$B:$B,0)),"")</f>
        <v/>
      </c>
      <c r="AA204" s="1" t="str">
        <f>IFERROR(INDEX([1]物品基础表!$A:$A,MATCH(Z204,[1]物品基础表!$B:$B,0)),"")</f>
        <v/>
      </c>
      <c r="AD204" s="1" t="str">
        <f>IFERROR(INDEX([1]物品基础表!$A:$A,MATCH(AC204,[1]物品基础表!$B:$B,0)),"")</f>
        <v/>
      </c>
      <c r="AG204" s="1" t="str">
        <f>IFERROR(INDEX([1]物品基础表!$A:$A,MATCH(AF204,[1]物品基础表!$B:$B,0)),"")</f>
        <v/>
      </c>
      <c r="AJ204" s="1" t="str">
        <f>IFERROR(INDEX([1]物品基础表!$A:$A,MATCH(AI204,[1]物品基础表!$B:$B,0)),"")</f>
        <v/>
      </c>
      <c r="AM204" s="1" t="str">
        <f>IFERROR(INDEX([1]物品基础表!$A:$A,MATCH(AL204,[1]物品基础表!$B:$B,0)),"")</f>
        <v/>
      </c>
      <c r="AP204" s="1" t="str">
        <f>IFERROR(INDEX([1]物品基础表!$A:$A,MATCH(AO204,[1]物品基础表!$B:$B,0)),"")</f>
        <v/>
      </c>
      <c r="AS204" s="1" t="str">
        <f>IFERROR(INDEX([1]物品基础表!$A:$A,MATCH(AR204,[1]物品基础表!$B:$B,0)),"")</f>
        <v/>
      </c>
      <c r="AV204" s="1" t="str">
        <f>IFERROR(INDEX([1]物品基础表!$A:$A,MATCH(AU204,[1]物品基础表!$B:$B,0)),"")</f>
        <v/>
      </c>
      <c r="AY204" s="1" t="str">
        <f>IFERROR(INDEX([1]物品基础表!$A:$A,MATCH(AX204,[1]物品基础表!$B:$B,0)),"")</f>
        <v/>
      </c>
      <c r="BB204" s="1" t="str">
        <f>IFERROR(INDEX([1]物品基础表!$A:$A,MATCH(BA204,[1]物品基础表!$B:$B,0)),"")</f>
        <v/>
      </c>
      <c r="BE204" s="1" t="str">
        <f>IFERROR(INDEX([1]物品基础表!$A:$A,MATCH(BD204,[1]物品基础表!$B:$B,0)),"")</f>
        <v/>
      </c>
      <c r="BH204" s="1" t="str">
        <f>IFERROR(INDEX([1]物品基础表!$A:$A,MATCH(BG204,[1]物品基础表!$B:$B,0)),"")</f>
        <v/>
      </c>
      <c r="BK204" s="1" t="str">
        <f>IFERROR(INDEX([1]物品基础表!$A:$A,MATCH(BJ204,[1]物品基础表!$B:$B,0)),"")</f>
        <v/>
      </c>
    </row>
    <row r="205" spans="1:63">
      <c r="A205" s="39" t="str">
        <f>INDEX([2]活动总表!$A$8:$A$429,MATCH(B205,[2]活动总表!$B$8:$B$429,0))</f>
        <v>战灵活动-抽奖C</v>
      </c>
      <c r="B205" s="40">
        <v>353</v>
      </c>
      <c r="C205" s="40">
        <v>1</v>
      </c>
      <c r="D205" s="40"/>
      <c r="E205" s="40"/>
      <c r="F205" s="40" t="s">
        <v>54</v>
      </c>
      <c r="G205" s="40">
        <v>4</v>
      </c>
      <c r="H205" s="40"/>
      <c r="I205" s="40"/>
      <c r="J205" s="57"/>
      <c r="K205" s="1">
        <v>205004</v>
      </c>
      <c r="L205" s="1" t="str">
        <f>IFERROR(INDEX([1]物品基础表!$A:$A,MATCH(K205,[1]物品基础表!$B:$B,0)),"")</f>
        <v>太阳星君</v>
      </c>
      <c r="M205" s="1">
        <v>1</v>
      </c>
      <c r="O205" s="1" t="str">
        <f>IFERROR(INDEX([1]物品基础表!$A:$A,MATCH(N205,[1]物品基础表!$B:$B,0)),"")</f>
        <v/>
      </c>
      <c r="R205" s="1" t="str">
        <f>IFERROR(INDEX([1]物品基础表!$A:$A,MATCH(Q205,[1]物品基础表!$B:$B,0)),"")</f>
        <v/>
      </c>
      <c r="U205" s="1" t="str">
        <f>IFERROR(INDEX([1]物品基础表!$A:$A,MATCH(T205,[1]物品基础表!$B:$B,0)),"")</f>
        <v/>
      </c>
      <c r="X205" s="1" t="str">
        <f>IFERROR(INDEX([1]物品基础表!$A:$A,MATCH(W205,[1]物品基础表!$B:$B,0)),"")</f>
        <v/>
      </c>
      <c r="AA205" s="1" t="str">
        <f>IFERROR(INDEX([1]物品基础表!$A:$A,MATCH(Z205,[1]物品基础表!$B:$B,0)),"")</f>
        <v/>
      </c>
      <c r="AD205" s="1" t="str">
        <f>IFERROR(INDEX([1]物品基础表!$A:$A,MATCH(AC205,[1]物品基础表!$B:$B,0)),"")</f>
        <v/>
      </c>
      <c r="AG205" s="1" t="str">
        <f>IFERROR(INDEX([1]物品基础表!$A:$A,MATCH(AF205,[1]物品基础表!$B:$B,0)),"")</f>
        <v/>
      </c>
      <c r="AJ205" s="1" t="str">
        <f>IFERROR(INDEX([1]物品基础表!$A:$A,MATCH(AI205,[1]物品基础表!$B:$B,0)),"")</f>
        <v/>
      </c>
      <c r="AM205" s="1" t="str">
        <f>IFERROR(INDEX([1]物品基础表!$A:$A,MATCH(AL205,[1]物品基础表!$B:$B,0)),"")</f>
        <v/>
      </c>
      <c r="AP205" s="1" t="str">
        <f>IFERROR(INDEX([1]物品基础表!$A:$A,MATCH(AO205,[1]物品基础表!$B:$B,0)),"")</f>
        <v/>
      </c>
      <c r="AS205" s="1" t="str">
        <f>IFERROR(INDEX([1]物品基础表!$A:$A,MATCH(AR205,[1]物品基础表!$B:$B,0)),"")</f>
        <v/>
      </c>
      <c r="AV205" s="1" t="str">
        <f>IFERROR(INDEX([1]物品基础表!$A:$A,MATCH(AU205,[1]物品基础表!$B:$B,0)),"")</f>
        <v/>
      </c>
      <c r="AY205" s="1" t="str">
        <f>IFERROR(INDEX([1]物品基础表!$A:$A,MATCH(AX205,[1]物品基础表!$B:$B,0)),"")</f>
        <v/>
      </c>
      <c r="BB205" s="1" t="str">
        <f>IFERROR(INDEX([1]物品基础表!$A:$A,MATCH(BA205,[1]物品基础表!$B:$B,0)),"")</f>
        <v/>
      </c>
      <c r="BE205" s="1" t="str">
        <f>IFERROR(INDEX([1]物品基础表!$A:$A,MATCH(BD205,[1]物品基础表!$B:$B,0)),"")</f>
        <v/>
      </c>
      <c r="BH205" s="1" t="str">
        <f>IFERROR(INDEX([1]物品基础表!$A:$A,MATCH(BG205,[1]物品基础表!$B:$B,0)),"")</f>
        <v/>
      </c>
      <c r="BK205" s="1" t="str">
        <f>IFERROR(INDEX([1]物品基础表!$A:$A,MATCH(BJ205,[1]物品基础表!$B:$B,0)),"")</f>
        <v/>
      </c>
    </row>
    <row r="206" spans="1:63">
      <c r="A206" s="39" t="str">
        <f>INDEX([2]活动总表!$A$8:$A$429,MATCH(B206,[2]活动总表!$B$8:$B$429,0))</f>
        <v>战灵活动-抽奖C</v>
      </c>
      <c r="B206" s="40">
        <v>353</v>
      </c>
      <c r="C206" s="40">
        <v>2</v>
      </c>
      <c r="D206" s="40"/>
      <c r="E206" s="40"/>
      <c r="F206" s="40" t="s">
        <v>55</v>
      </c>
      <c r="G206" s="40">
        <v>4</v>
      </c>
      <c r="H206" s="40"/>
      <c r="I206" s="40"/>
      <c r="J206" s="57"/>
      <c r="K206" s="1">
        <v>205000</v>
      </c>
      <c r="L206" s="1" t="str">
        <f>IFERROR(INDEX([1]物品基础表!$A:$A,MATCH(K206,[1]物品基础表!$B:$B,0)),"")</f>
        <v>战灵进阶丹</v>
      </c>
      <c r="M206" s="1">
        <v>5</v>
      </c>
      <c r="O206" s="1" t="str">
        <f>IFERROR(INDEX([1]物品基础表!$A:$A,MATCH(N206,[1]物品基础表!$B:$B,0)),"")</f>
        <v/>
      </c>
      <c r="R206" s="1" t="str">
        <f>IFERROR(INDEX([1]物品基础表!$A:$A,MATCH(Q206,[1]物品基础表!$B:$B,0)),"")</f>
        <v/>
      </c>
      <c r="U206" s="1" t="str">
        <f>IFERROR(INDEX([1]物品基础表!$A:$A,MATCH(T206,[1]物品基础表!$B:$B,0)),"")</f>
        <v/>
      </c>
      <c r="X206" s="1" t="str">
        <f>IFERROR(INDEX([1]物品基础表!$A:$A,MATCH(W206,[1]物品基础表!$B:$B,0)),"")</f>
        <v/>
      </c>
      <c r="AA206" s="1" t="str">
        <f>IFERROR(INDEX([1]物品基础表!$A:$A,MATCH(Z206,[1]物品基础表!$B:$B,0)),"")</f>
        <v/>
      </c>
      <c r="AD206" s="1" t="str">
        <f>IFERROR(INDEX([1]物品基础表!$A:$A,MATCH(AC206,[1]物品基础表!$B:$B,0)),"")</f>
        <v/>
      </c>
      <c r="AG206" s="1" t="str">
        <f>IFERROR(INDEX([1]物品基础表!$A:$A,MATCH(AF206,[1]物品基础表!$B:$B,0)),"")</f>
        <v/>
      </c>
      <c r="AJ206" s="1" t="str">
        <f>IFERROR(INDEX([1]物品基础表!$A:$A,MATCH(AI206,[1]物品基础表!$B:$B,0)),"")</f>
        <v/>
      </c>
      <c r="AM206" s="1" t="str">
        <f>IFERROR(INDEX([1]物品基础表!$A:$A,MATCH(AL206,[1]物品基础表!$B:$B,0)),"")</f>
        <v/>
      </c>
      <c r="AP206" s="1" t="str">
        <f>IFERROR(INDEX([1]物品基础表!$A:$A,MATCH(AO206,[1]物品基础表!$B:$B,0)),"")</f>
        <v/>
      </c>
      <c r="AS206" s="1" t="str">
        <f>IFERROR(INDEX([1]物品基础表!$A:$A,MATCH(AR206,[1]物品基础表!$B:$B,0)),"")</f>
        <v/>
      </c>
      <c r="AV206" s="1" t="str">
        <f>IFERROR(INDEX([1]物品基础表!$A:$A,MATCH(AU206,[1]物品基础表!$B:$B,0)),"")</f>
        <v/>
      </c>
      <c r="AY206" s="1" t="str">
        <f>IFERROR(INDEX([1]物品基础表!$A:$A,MATCH(AX206,[1]物品基础表!$B:$B,0)),"")</f>
        <v/>
      </c>
      <c r="BB206" s="1" t="str">
        <f>IFERROR(INDEX([1]物品基础表!$A:$A,MATCH(BA206,[1]物品基础表!$B:$B,0)),"")</f>
        <v/>
      </c>
      <c r="BE206" s="1" t="str">
        <f>IFERROR(INDEX([1]物品基础表!$A:$A,MATCH(BD206,[1]物品基础表!$B:$B,0)),"")</f>
        <v/>
      </c>
      <c r="BH206" s="1" t="str">
        <f>IFERROR(INDEX([1]物品基础表!$A:$A,MATCH(BG206,[1]物品基础表!$B:$B,0)),"")</f>
        <v/>
      </c>
      <c r="BK206" s="1" t="str">
        <f>IFERROR(INDEX([1]物品基础表!$A:$A,MATCH(BJ206,[1]物品基础表!$B:$B,0)),"")</f>
        <v/>
      </c>
    </row>
    <row r="207" spans="1:63">
      <c r="A207" s="39" t="str">
        <f>INDEX([2]活动总表!$A$8:$A$429,MATCH(B207,[2]活动总表!$B$8:$B$429,0))</f>
        <v>战灵活动-抽奖C</v>
      </c>
      <c r="B207" s="40">
        <v>353</v>
      </c>
      <c r="C207" s="40">
        <v>3</v>
      </c>
      <c r="D207" s="40"/>
      <c r="E207" s="40"/>
      <c r="F207" s="40" t="s">
        <v>56</v>
      </c>
      <c r="G207" s="40">
        <v>4</v>
      </c>
      <c r="H207" s="40"/>
      <c r="I207" s="40"/>
      <c r="J207" s="57"/>
      <c r="K207" s="1">
        <v>200005</v>
      </c>
      <c r="L207" s="1" t="str">
        <f>IFERROR(INDEX([1]物品基础表!$A:$A,MATCH(K207,[1]物品基础表!$B:$B,0)),"")</f>
        <v>龙魂碎片</v>
      </c>
      <c r="M207" s="1">
        <v>150</v>
      </c>
      <c r="O207" s="1" t="str">
        <f>IFERROR(INDEX([1]物品基础表!$A:$A,MATCH(N207,[1]物品基础表!$B:$B,0)),"")</f>
        <v/>
      </c>
      <c r="R207" s="1" t="str">
        <f>IFERROR(INDEX([1]物品基础表!$A:$A,MATCH(Q207,[1]物品基础表!$B:$B,0)),"")</f>
        <v/>
      </c>
      <c r="U207" s="1" t="str">
        <f>IFERROR(INDEX([1]物品基础表!$A:$A,MATCH(T207,[1]物品基础表!$B:$B,0)),"")</f>
        <v/>
      </c>
      <c r="X207" s="1" t="str">
        <f>IFERROR(INDEX([1]物品基础表!$A:$A,MATCH(W207,[1]物品基础表!$B:$B,0)),"")</f>
        <v/>
      </c>
      <c r="AA207" s="1" t="str">
        <f>IFERROR(INDEX([1]物品基础表!$A:$A,MATCH(Z207,[1]物品基础表!$B:$B,0)),"")</f>
        <v/>
      </c>
      <c r="AD207" s="1" t="str">
        <f>IFERROR(INDEX([1]物品基础表!$A:$A,MATCH(AC207,[1]物品基础表!$B:$B,0)),"")</f>
        <v/>
      </c>
      <c r="AG207" s="1" t="str">
        <f>IFERROR(INDEX([1]物品基础表!$A:$A,MATCH(AF207,[1]物品基础表!$B:$B,0)),"")</f>
        <v/>
      </c>
      <c r="AJ207" s="1" t="str">
        <f>IFERROR(INDEX([1]物品基础表!$A:$A,MATCH(AI207,[1]物品基础表!$B:$B,0)),"")</f>
        <v/>
      </c>
      <c r="AM207" s="1" t="str">
        <f>IFERROR(INDEX([1]物品基础表!$A:$A,MATCH(AL207,[1]物品基础表!$B:$B,0)),"")</f>
        <v/>
      </c>
      <c r="AP207" s="1" t="str">
        <f>IFERROR(INDEX([1]物品基础表!$A:$A,MATCH(AO207,[1]物品基础表!$B:$B,0)),"")</f>
        <v/>
      </c>
      <c r="AS207" s="1" t="str">
        <f>IFERROR(INDEX([1]物品基础表!$A:$A,MATCH(AR207,[1]物品基础表!$B:$B,0)),"")</f>
        <v/>
      </c>
      <c r="AV207" s="1" t="str">
        <f>IFERROR(INDEX([1]物品基础表!$A:$A,MATCH(AU207,[1]物品基础表!$B:$B,0)),"")</f>
        <v/>
      </c>
      <c r="AY207" s="1" t="str">
        <f>IFERROR(INDEX([1]物品基础表!$A:$A,MATCH(AX207,[1]物品基础表!$B:$B,0)),"")</f>
        <v/>
      </c>
      <c r="BB207" s="1" t="str">
        <f>IFERROR(INDEX([1]物品基础表!$A:$A,MATCH(BA207,[1]物品基础表!$B:$B,0)),"")</f>
        <v/>
      </c>
      <c r="BE207" s="1" t="str">
        <f>IFERROR(INDEX([1]物品基础表!$A:$A,MATCH(BD207,[1]物品基础表!$B:$B,0)),"")</f>
        <v/>
      </c>
      <c r="BH207" s="1" t="str">
        <f>IFERROR(INDEX([1]物品基础表!$A:$A,MATCH(BG207,[1]物品基础表!$B:$B,0)),"")</f>
        <v/>
      </c>
      <c r="BK207" s="1" t="str">
        <f>IFERROR(INDEX([1]物品基础表!$A:$A,MATCH(BJ207,[1]物品基础表!$B:$B,0)),"")</f>
        <v/>
      </c>
    </row>
    <row r="208" spans="1:63">
      <c r="A208" s="39" t="str">
        <f>INDEX([2]活动总表!$A$8:$A$429,MATCH(B208,[2]活动总表!$B$8:$B$429,0))</f>
        <v>战灵活动-抽奖C</v>
      </c>
      <c r="B208" s="40">
        <v>353</v>
      </c>
      <c r="C208" s="40">
        <v>4</v>
      </c>
      <c r="D208" s="40"/>
      <c r="E208" s="40"/>
      <c r="F208" s="40" t="s">
        <v>55</v>
      </c>
      <c r="G208" s="40">
        <v>4</v>
      </c>
      <c r="H208" s="40"/>
      <c r="I208" s="40"/>
      <c r="J208" s="57"/>
      <c r="K208" s="1">
        <v>200005</v>
      </c>
      <c r="L208" s="1" t="str">
        <f>IFERROR(INDEX([1]物品基础表!$A:$A,MATCH(K208,[1]物品基础表!$B:$B,0)),"")</f>
        <v>龙魂碎片</v>
      </c>
      <c r="M208" s="1">
        <v>15</v>
      </c>
      <c r="O208" s="1" t="str">
        <f>IFERROR(INDEX([1]物品基础表!$A:$A,MATCH(N208,[1]物品基础表!$B:$B,0)),"")</f>
        <v/>
      </c>
      <c r="R208" s="1" t="str">
        <f>IFERROR(INDEX([1]物品基础表!$A:$A,MATCH(Q208,[1]物品基础表!$B:$B,0)),"")</f>
        <v/>
      </c>
      <c r="U208" s="1" t="str">
        <f>IFERROR(INDEX([1]物品基础表!$A:$A,MATCH(T208,[1]物品基础表!$B:$B,0)),"")</f>
        <v/>
      </c>
      <c r="X208" s="1" t="str">
        <f>IFERROR(INDEX([1]物品基础表!$A:$A,MATCH(W208,[1]物品基础表!$B:$B,0)),"")</f>
        <v/>
      </c>
      <c r="AA208" s="1" t="str">
        <f>IFERROR(INDEX([1]物品基础表!$A:$A,MATCH(Z208,[1]物品基础表!$B:$B,0)),"")</f>
        <v/>
      </c>
      <c r="AD208" s="1" t="str">
        <f>IFERROR(INDEX([1]物品基础表!$A:$A,MATCH(AC208,[1]物品基础表!$B:$B,0)),"")</f>
        <v/>
      </c>
      <c r="AG208" s="1" t="str">
        <f>IFERROR(INDEX([1]物品基础表!$A:$A,MATCH(AF208,[1]物品基础表!$B:$B,0)),"")</f>
        <v/>
      </c>
      <c r="AJ208" s="1" t="str">
        <f>IFERROR(INDEX([1]物品基础表!$A:$A,MATCH(AI208,[1]物品基础表!$B:$B,0)),"")</f>
        <v/>
      </c>
      <c r="AM208" s="1" t="str">
        <f>IFERROR(INDEX([1]物品基础表!$A:$A,MATCH(AL208,[1]物品基础表!$B:$B,0)),"")</f>
        <v/>
      </c>
      <c r="AP208" s="1" t="str">
        <f>IFERROR(INDEX([1]物品基础表!$A:$A,MATCH(AO208,[1]物品基础表!$B:$B,0)),"")</f>
        <v/>
      </c>
      <c r="AS208" s="1" t="str">
        <f>IFERROR(INDEX([1]物品基础表!$A:$A,MATCH(AR208,[1]物品基础表!$B:$B,0)),"")</f>
        <v/>
      </c>
      <c r="AV208" s="1" t="str">
        <f>IFERROR(INDEX([1]物品基础表!$A:$A,MATCH(AU208,[1]物品基础表!$B:$B,0)),"")</f>
        <v/>
      </c>
      <c r="AY208" s="1" t="str">
        <f>IFERROR(INDEX([1]物品基础表!$A:$A,MATCH(AX208,[1]物品基础表!$B:$B,0)),"")</f>
        <v/>
      </c>
      <c r="BB208" s="1" t="str">
        <f>IFERROR(INDEX([1]物品基础表!$A:$A,MATCH(BA208,[1]物品基础表!$B:$B,0)),"")</f>
        <v/>
      </c>
      <c r="BE208" s="1" t="str">
        <f>IFERROR(INDEX([1]物品基础表!$A:$A,MATCH(BD208,[1]物品基础表!$B:$B,0)),"")</f>
        <v/>
      </c>
      <c r="BH208" s="1" t="str">
        <f>IFERROR(INDEX([1]物品基础表!$A:$A,MATCH(BG208,[1]物品基础表!$B:$B,0)),"")</f>
        <v/>
      </c>
      <c r="BK208" s="1" t="str">
        <f>IFERROR(INDEX([1]物品基础表!$A:$A,MATCH(BJ208,[1]物品基础表!$B:$B,0)),"")</f>
        <v/>
      </c>
    </row>
    <row r="209" spans="1:63">
      <c r="A209" s="39" t="str">
        <f>INDEX([2]活动总表!$A$8:$A$429,MATCH(B209,[2]活动总表!$B$8:$B$429,0))</f>
        <v>战灵活动-抽奖C</v>
      </c>
      <c r="B209" s="40">
        <v>353</v>
      </c>
      <c r="C209" s="40">
        <v>5</v>
      </c>
      <c r="D209" s="40"/>
      <c r="E209" s="40"/>
      <c r="F209" s="40" t="s">
        <v>55</v>
      </c>
      <c r="G209" s="40">
        <v>4</v>
      </c>
      <c r="H209" s="40"/>
      <c r="I209" s="40"/>
      <c r="J209" s="57"/>
      <c r="K209" s="1">
        <v>205000</v>
      </c>
      <c r="L209" s="1" t="str">
        <f>IFERROR(INDEX([1]物品基础表!$A:$A,MATCH(K209,[1]物品基础表!$B:$B,0)),"")</f>
        <v>战灵进阶丹</v>
      </c>
      <c r="M209" s="1">
        <v>10</v>
      </c>
      <c r="O209" s="1" t="str">
        <f>IFERROR(INDEX([1]物品基础表!$A:$A,MATCH(N209,[1]物品基础表!$B:$B,0)),"")</f>
        <v/>
      </c>
      <c r="R209" s="1" t="str">
        <f>IFERROR(INDEX([1]物品基础表!$A:$A,MATCH(Q209,[1]物品基础表!$B:$B,0)),"")</f>
        <v/>
      </c>
      <c r="U209" s="1" t="str">
        <f>IFERROR(INDEX([1]物品基础表!$A:$A,MATCH(T209,[1]物品基础表!$B:$B,0)),"")</f>
        <v/>
      </c>
      <c r="X209" s="1" t="str">
        <f>IFERROR(INDEX([1]物品基础表!$A:$A,MATCH(W209,[1]物品基础表!$B:$B,0)),"")</f>
        <v/>
      </c>
      <c r="AA209" s="1" t="str">
        <f>IFERROR(INDEX([1]物品基础表!$A:$A,MATCH(Z209,[1]物品基础表!$B:$B,0)),"")</f>
        <v/>
      </c>
      <c r="AD209" s="1" t="str">
        <f>IFERROR(INDEX([1]物品基础表!$A:$A,MATCH(AC209,[1]物品基础表!$B:$B,0)),"")</f>
        <v/>
      </c>
      <c r="AG209" s="1" t="str">
        <f>IFERROR(INDEX([1]物品基础表!$A:$A,MATCH(AF209,[1]物品基础表!$B:$B,0)),"")</f>
        <v/>
      </c>
      <c r="AJ209" s="1" t="str">
        <f>IFERROR(INDEX([1]物品基础表!$A:$A,MATCH(AI209,[1]物品基础表!$B:$B,0)),"")</f>
        <v/>
      </c>
      <c r="AM209" s="1" t="str">
        <f>IFERROR(INDEX([1]物品基础表!$A:$A,MATCH(AL209,[1]物品基础表!$B:$B,0)),"")</f>
        <v/>
      </c>
      <c r="AP209" s="1" t="str">
        <f>IFERROR(INDEX([1]物品基础表!$A:$A,MATCH(AO209,[1]物品基础表!$B:$B,0)),"")</f>
        <v/>
      </c>
      <c r="AS209" s="1" t="str">
        <f>IFERROR(INDEX([1]物品基础表!$A:$A,MATCH(AR209,[1]物品基础表!$B:$B,0)),"")</f>
        <v/>
      </c>
      <c r="AV209" s="1" t="str">
        <f>IFERROR(INDEX([1]物品基础表!$A:$A,MATCH(AU209,[1]物品基础表!$B:$B,0)),"")</f>
        <v/>
      </c>
      <c r="AY209" s="1" t="str">
        <f>IFERROR(INDEX([1]物品基础表!$A:$A,MATCH(AX209,[1]物品基础表!$B:$B,0)),"")</f>
        <v/>
      </c>
      <c r="BB209" s="1" t="str">
        <f>IFERROR(INDEX([1]物品基础表!$A:$A,MATCH(BA209,[1]物品基础表!$B:$B,0)),"")</f>
        <v/>
      </c>
      <c r="BE209" s="1" t="str">
        <f>IFERROR(INDEX([1]物品基础表!$A:$A,MATCH(BD209,[1]物品基础表!$B:$B,0)),"")</f>
        <v/>
      </c>
      <c r="BH209" s="1" t="str">
        <f>IFERROR(INDEX([1]物品基础表!$A:$A,MATCH(BG209,[1]物品基础表!$B:$B,0)),"")</f>
        <v/>
      </c>
      <c r="BK209" s="1" t="str">
        <f>IFERROR(INDEX([1]物品基础表!$A:$A,MATCH(BJ209,[1]物品基础表!$B:$B,0)),"")</f>
        <v/>
      </c>
    </row>
    <row r="210" spans="1:63">
      <c r="A210" s="39" t="str">
        <f>INDEX([2]活动总表!$A$8:$A$429,MATCH(B210,[2]活动总表!$B$8:$B$429,0))</f>
        <v>战灵活动-抽奖C</v>
      </c>
      <c r="B210" s="40">
        <v>353</v>
      </c>
      <c r="C210" s="40">
        <v>6</v>
      </c>
      <c r="D210" s="40"/>
      <c r="E210" s="40"/>
      <c r="F210" s="40" t="s">
        <v>57</v>
      </c>
      <c r="G210" s="40">
        <v>4</v>
      </c>
      <c r="H210" s="40"/>
      <c r="I210" s="40"/>
      <c r="J210" s="57"/>
      <c r="K210" s="1">
        <v>204158</v>
      </c>
      <c r="L210" s="1" t="str">
        <f>IFERROR(INDEX([1]物品基础表!$A:$A,MATCH(K210,[1]物品基础表!$B:$B,0)),"")</f>
        <v>5阶战灵装备</v>
      </c>
      <c r="M210" s="1">
        <v>1</v>
      </c>
      <c r="O210" s="1" t="str">
        <f>IFERROR(INDEX([1]物品基础表!$A:$A,MATCH(N210,[1]物品基础表!$B:$B,0)),"")</f>
        <v/>
      </c>
      <c r="R210" s="1" t="str">
        <f>IFERROR(INDEX([1]物品基础表!$A:$A,MATCH(Q210,[1]物品基础表!$B:$B,0)),"")</f>
        <v/>
      </c>
      <c r="U210" s="1" t="str">
        <f>IFERROR(INDEX([1]物品基础表!$A:$A,MATCH(T210,[1]物品基础表!$B:$B,0)),"")</f>
        <v/>
      </c>
      <c r="X210" s="1" t="str">
        <f>IFERROR(INDEX([1]物品基础表!$A:$A,MATCH(W210,[1]物品基础表!$B:$B,0)),"")</f>
        <v/>
      </c>
      <c r="AA210" s="1" t="str">
        <f>IFERROR(INDEX([1]物品基础表!$A:$A,MATCH(Z210,[1]物品基础表!$B:$B,0)),"")</f>
        <v/>
      </c>
      <c r="AD210" s="1" t="str">
        <f>IFERROR(INDEX([1]物品基础表!$A:$A,MATCH(AC210,[1]物品基础表!$B:$B,0)),"")</f>
        <v/>
      </c>
      <c r="AG210" s="1" t="str">
        <f>IFERROR(INDEX([1]物品基础表!$A:$A,MATCH(AF210,[1]物品基础表!$B:$B,0)),"")</f>
        <v/>
      </c>
      <c r="AJ210" s="1" t="str">
        <f>IFERROR(INDEX([1]物品基础表!$A:$A,MATCH(AI210,[1]物品基础表!$B:$B,0)),"")</f>
        <v/>
      </c>
      <c r="AM210" s="1" t="str">
        <f>IFERROR(INDEX([1]物品基础表!$A:$A,MATCH(AL210,[1]物品基础表!$B:$B,0)),"")</f>
        <v/>
      </c>
      <c r="AP210" s="1" t="str">
        <f>IFERROR(INDEX([1]物品基础表!$A:$A,MATCH(AO210,[1]物品基础表!$B:$B,0)),"")</f>
        <v/>
      </c>
      <c r="AS210" s="1" t="str">
        <f>IFERROR(INDEX([1]物品基础表!$A:$A,MATCH(AR210,[1]物品基础表!$B:$B,0)),"")</f>
        <v/>
      </c>
      <c r="AV210" s="1" t="str">
        <f>IFERROR(INDEX([1]物品基础表!$A:$A,MATCH(AU210,[1]物品基础表!$B:$B,0)),"")</f>
        <v/>
      </c>
      <c r="AY210" s="1" t="str">
        <f>IFERROR(INDEX([1]物品基础表!$A:$A,MATCH(AX210,[1]物品基础表!$B:$B,0)),"")</f>
        <v/>
      </c>
      <c r="BB210" s="1" t="str">
        <f>IFERROR(INDEX([1]物品基础表!$A:$A,MATCH(BA210,[1]物品基础表!$B:$B,0)),"")</f>
        <v/>
      </c>
      <c r="BE210" s="1" t="str">
        <f>IFERROR(INDEX([1]物品基础表!$A:$A,MATCH(BD210,[1]物品基础表!$B:$B,0)),"")</f>
        <v/>
      </c>
      <c r="BH210" s="1" t="str">
        <f>IFERROR(INDEX([1]物品基础表!$A:$A,MATCH(BG210,[1]物品基础表!$B:$B,0)),"")</f>
        <v/>
      </c>
      <c r="BK210" s="1" t="str">
        <f>IFERROR(INDEX([1]物品基础表!$A:$A,MATCH(BJ210,[1]物品基础表!$B:$B,0)),"")</f>
        <v/>
      </c>
    </row>
    <row r="211" spans="1:63">
      <c r="A211" s="39" t="str">
        <f>INDEX([2]活动总表!$A$8:$A$429,MATCH(B211,[2]活动总表!$B$8:$B$429,0))</f>
        <v>战灵活动-抽奖C</v>
      </c>
      <c r="B211" s="40">
        <v>353</v>
      </c>
      <c r="C211" s="40">
        <v>7</v>
      </c>
      <c r="D211" s="40"/>
      <c r="E211" s="40"/>
      <c r="F211" s="40" t="s">
        <v>55</v>
      </c>
      <c r="G211" s="40">
        <v>4</v>
      </c>
      <c r="H211" s="40"/>
      <c r="I211" s="40"/>
      <c r="J211" s="57"/>
      <c r="K211" s="1">
        <v>200001</v>
      </c>
      <c r="L211" s="1" t="str">
        <f>IFERROR(INDEX([1]物品基础表!$A:$A,MATCH(K211,[1]物品基础表!$B:$B,0)),"")</f>
        <v>羽毛</v>
      </c>
      <c r="M211" s="1">
        <v>15</v>
      </c>
      <c r="O211" s="1" t="str">
        <f>IFERROR(INDEX([1]物品基础表!$A:$A,MATCH(N211,[1]物品基础表!$B:$B,0)),"")</f>
        <v/>
      </c>
      <c r="R211" s="1" t="str">
        <f>IFERROR(INDEX([1]物品基础表!$A:$A,MATCH(Q211,[1]物品基础表!$B:$B,0)),"")</f>
        <v/>
      </c>
      <c r="U211" s="1" t="str">
        <f>IFERROR(INDEX([1]物品基础表!$A:$A,MATCH(T211,[1]物品基础表!$B:$B,0)),"")</f>
        <v/>
      </c>
      <c r="X211" s="1" t="str">
        <f>IFERROR(INDEX([1]物品基础表!$A:$A,MATCH(W211,[1]物品基础表!$B:$B,0)),"")</f>
        <v/>
      </c>
      <c r="AA211" s="1" t="str">
        <f>IFERROR(INDEX([1]物品基础表!$A:$A,MATCH(Z211,[1]物品基础表!$B:$B,0)),"")</f>
        <v/>
      </c>
      <c r="AD211" s="1" t="str">
        <f>IFERROR(INDEX([1]物品基础表!$A:$A,MATCH(AC211,[1]物品基础表!$B:$B,0)),"")</f>
        <v/>
      </c>
      <c r="AG211" s="1" t="str">
        <f>IFERROR(INDEX([1]物品基础表!$A:$A,MATCH(AF211,[1]物品基础表!$B:$B,0)),"")</f>
        <v/>
      </c>
      <c r="AJ211" s="1" t="str">
        <f>IFERROR(INDEX([1]物品基础表!$A:$A,MATCH(AI211,[1]物品基础表!$B:$B,0)),"")</f>
        <v/>
      </c>
      <c r="AM211" s="1" t="str">
        <f>IFERROR(INDEX([1]物品基础表!$A:$A,MATCH(AL211,[1]物品基础表!$B:$B,0)),"")</f>
        <v/>
      </c>
      <c r="AP211" s="1" t="str">
        <f>IFERROR(INDEX([1]物品基础表!$A:$A,MATCH(AO211,[1]物品基础表!$B:$B,0)),"")</f>
        <v/>
      </c>
      <c r="AS211" s="1" t="str">
        <f>IFERROR(INDEX([1]物品基础表!$A:$A,MATCH(AR211,[1]物品基础表!$B:$B,0)),"")</f>
        <v/>
      </c>
      <c r="AV211" s="1" t="str">
        <f>IFERROR(INDEX([1]物品基础表!$A:$A,MATCH(AU211,[1]物品基础表!$B:$B,0)),"")</f>
        <v/>
      </c>
      <c r="AY211" s="1" t="str">
        <f>IFERROR(INDEX([1]物品基础表!$A:$A,MATCH(AX211,[1]物品基础表!$B:$B,0)),"")</f>
        <v/>
      </c>
      <c r="BB211" s="1" t="str">
        <f>IFERROR(INDEX([1]物品基础表!$A:$A,MATCH(BA211,[1]物品基础表!$B:$B,0)),"")</f>
        <v/>
      </c>
      <c r="BE211" s="1" t="str">
        <f>IFERROR(INDEX([1]物品基础表!$A:$A,MATCH(BD211,[1]物品基础表!$B:$B,0)),"")</f>
        <v/>
      </c>
      <c r="BH211" s="1" t="str">
        <f>IFERROR(INDEX([1]物品基础表!$A:$A,MATCH(BG211,[1]物品基础表!$B:$B,0)),"")</f>
        <v/>
      </c>
      <c r="BK211" s="1" t="str">
        <f>IFERROR(INDEX([1]物品基础表!$A:$A,MATCH(BJ211,[1]物品基础表!$B:$B,0)),"")</f>
        <v/>
      </c>
    </row>
    <row r="212" spans="1:63">
      <c r="A212" s="39" t="str">
        <f>INDEX([2]活动总表!$A$8:$A$429,MATCH(B212,[2]活动总表!$B$8:$B$429,0))</f>
        <v>战灵活动-抽奖C</v>
      </c>
      <c r="B212" s="40">
        <v>353</v>
      </c>
      <c r="C212" s="40">
        <v>8</v>
      </c>
      <c r="D212" s="40"/>
      <c r="E212" s="40"/>
      <c r="F212" s="40" t="s">
        <v>855</v>
      </c>
      <c r="G212" s="40">
        <v>4</v>
      </c>
      <c r="H212" s="40"/>
      <c r="I212" s="40"/>
      <c r="J212" s="57"/>
      <c r="K212" s="1">
        <v>204156</v>
      </c>
      <c r="L212" s="1" t="str">
        <f>IFERROR(INDEX([1]物品基础表!$A:$A,MATCH(K212,[1]物品基础表!$B:$B,0)),"")</f>
        <v>3阶战灵装备</v>
      </c>
      <c r="M212" s="1">
        <v>1</v>
      </c>
      <c r="O212" s="1" t="str">
        <f>IFERROR(INDEX([1]物品基础表!$A:$A,MATCH(N212,[1]物品基础表!$B:$B,0)),"")</f>
        <v/>
      </c>
      <c r="R212" s="1" t="str">
        <f>IFERROR(INDEX([1]物品基础表!$A:$A,MATCH(Q212,[1]物品基础表!$B:$B,0)),"")</f>
        <v/>
      </c>
      <c r="U212" s="1" t="str">
        <f>IFERROR(INDEX([1]物品基础表!$A:$A,MATCH(T212,[1]物品基础表!$B:$B,0)),"")</f>
        <v/>
      </c>
      <c r="X212" s="1" t="str">
        <f>IFERROR(INDEX([1]物品基础表!$A:$A,MATCH(W212,[1]物品基础表!$B:$B,0)),"")</f>
        <v/>
      </c>
      <c r="AA212" s="1" t="str">
        <f>IFERROR(INDEX([1]物品基础表!$A:$A,MATCH(Z212,[1]物品基础表!$B:$B,0)),"")</f>
        <v/>
      </c>
      <c r="AD212" s="1" t="str">
        <f>IFERROR(INDEX([1]物品基础表!$A:$A,MATCH(AC212,[1]物品基础表!$B:$B,0)),"")</f>
        <v/>
      </c>
      <c r="AG212" s="1" t="str">
        <f>IFERROR(INDEX([1]物品基础表!$A:$A,MATCH(AF212,[1]物品基础表!$B:$B,0)),"")</f>
        <v/>
      </c>
      <c r="AJ212" s="1" t="str">
        <f>IFERROR(INDEX([1]物品基础表!$A:$A,MATCH(AI212,[1]物品基础表!$B:$B,0)),"")</f>
        <v/>
      </c>
      <c r="AM212" s="1" t="str">
        <f>IFERROR(INDEX([1]物品基础表!$A:$A,MATCH(AL212,[1]物品基础表!$B:$B,0)),"")</f>
        <v/>
      </c>
      <c r="AP212" s="1" t="str">
        <f>IFERROR(INDEX([1]物品基础表!$A:$A,MATCH(AO212,[1]物品基础表!$B:$B,0)),"")</f>
        <v/>
      </c>
      <c r="AS212" s="1" t="str">
        <f>IFERROR(INDEX([1]物品基础表!$A:$A,MATCH(AR212,[1]物品基础表!$B:$B,0)),"")</f>
        <v/>
      </c>
      <c r="AV212" s="1" t="str">
        <f>IFERROR(INDEX([1]物品基础表!$A:$A,MATCH(AU212,[1]物品基础表!$B:$B,0)),"")</f>
        <v/>
      </c>
      <c r="AY212" s="1" t="str">
        <f>IFERROR(INDEX([1]物品基础表!$A:$A,MATCH(AX212,[1]物品基础表!$B:$B,0)),"")</f>
        <v/>
      </c>
      <c r="BB212" s="1" t="str">
        <f>IFERROR(INDEX([1]物品基础表!$A:$A,MATCH(BA212,[1]物品基础表!$B:$B,0)),"")</f>
        <v/>
      </c>
      <c r="BE212" s="1" t="str">
        <f>IFERROR(INDEX([1]物品基础表!$A:$A,MATCH(BD212,[1]物品基础表!$B:$B,0)),"")</f>
        <v/>
      </c>
      <c r="BH212" s="1" t="str">
        <f>IFERROR(INDEX([1]物品基础表!$A:$A,MATCH(BG212,[1]物品基础表!$B:$B,0)),"")</f>
        <v/>
      </c>
      <c r="BK212" s="1" t="str">
        <f>IFERROR(INDEX([1]物品基础表!$A:$A,MATCH(BJ212,[1]物品基础表!$B:$B,0)),"")</f>
        <v/>
      </c>
    </row>
    <row r="213" spans="1:63">
      <c r="A213" s="39" t="str">
        <f>INDEX([2]活动总表!$A$8:$A$429,MATCH(B213,[2]活动总表!$B$8:$B$429,0))</f>
        <v>战灵活动-抽奖C</v>
      </c>
      <c r="B213" s="40">
        <v>353</v>
      </c>
      <c r="C213" s="40">
        <v>9</v>
      </c>
      <c r="D213" s="40"/>
      <c r="E213" s="40"/>
      <c r="F213" s="40" t="s">
        <v>55</v>
      </c>
      <c r="G213" s="40">
        <v>4</v>
      </c>
      <c r="H213" s="40"/>
      <c r="I213" s="40"/>
      <c r="J213" s="57"/>
      <c r="K213" s="1">
        <v>500005</v>
      </c>
      <c r="L213" s="1" t="str">
        <f>IFERROR(INDEX([1]物品基础表!$A:$A,MATCH(K213,[1]物品基础表!$B:$B,0)),"")</f>
        <v>战纹精华-红</v>
      </c>
      <c r="M213" s="1">
        <v>4</v>
      </c>
      <c r="O213" s="1" t="str">
        <f>IFERROR(INDEX([1]物品基础表!$A:$A,MATCH(N213,[1]物品基础表!$B:$B,0)),"")</f>
        <v/>
      </c>
      <c r="R213" s="1" t="str">
        <f>IFERROR(INDEX([1]物品基础表!$A:$A,MATCH(Q213,[1]物品基础表!$B:$B,0)),"")</f>
        <v/>
      </c>
      <c r="U213" s="1" t="str">
        <f>IFERROR(INDEX([1]物品基础表!$A:$A,MATCH(T213,[1]物品基础表!$B:$B,0)),"")</f>
        <v/>
      </c>
      <c r="X213" s="1" t="str">
        <f>IFERROR(INDEX([1]物品基础表!$A:$A,MATCH(W213,[1]物品基础表!$B:$B,0)),"")</f>
        <v/>
      </c>
      <c r="AA213" s="1" t="str">
        <f>IFERROR(INDEX([1]物品基础表!$A:$A,MATCH(Z213,[1]物品基础表!$B:$B,0)),"")</f>
        <v/>
      </c>
      <c r="AD213" s="1" t="str">
        <f>IFERROR(INDEX([1]物品基础表!$A:$A,MATCH(AC213,[1]物品基础表!$B:$B,0)),"")</f>
        <v/>
      </c>
      <c r="AG213" s="1" t="str">
        <f>IFERROR(INDEX([1]物品基础表!$A:$A,MATCH(AF213,[1]物品基础表!$B:$B,0)),"")</f>
        <v/>
      </c>
      <c r="AJ213" s="1" t="str">
        <f>IFERROR(INDEX([1]物品基础表!$A:$A,MATCH(AI213,[1]物品基础表!$B:$B,0)),"")</f>
        <v/>
      </c>
      <c r="AM213" s="1" t="str">
        <f>IFERROR(INDEX([1]物品基础表!$A:$A,MATCH(AL213,[1]物品基础表!$B:$B,0)),"")</f>
        <v/>
      </c>
      <c r="AP213" s="1" t="str">
        <f>IFERROR(INDEX([1]物品基础表!$A:$A,MATCH(AO213,[1]物品基础表!$B:$B,0)),"")</f>
        <v/>
      </c>
      <c r="AS213" s="1" t="str">
        <f>IFERROR(INDEX([1]物品基础表!$A:$A,MATCH(AR213,[1]物品基础表!$B:$B,0)),"")</f>
        <v/>
      </c>
      <c r="AV213" s="1" t="str">
        <f>IFERROR(INDEX([1]物品基础表!$A:$A,MATCH(AU213,[1]物品基础表!$B:$B,0)),"")</f>
        <v/>
      </c>
      <c r="AY213" s="1" t="str">
        <f>IFERROR(INDEX([1]物品基础表!$A:$A,MATCH(AX213,[1]物品基础表!$B:$B,0)),"")</f>
        <v/>
      </c>
      <c r="BB213" s="1" t="str">
        <f>IFERROR(INDEX([1]物品基础表!$A:$A,MATCH(BA213,[1]物品基础表!$B:$B,0)),"")</f>
        <v/>
      </c>
      <c r="BE213" s="1" t="str">
        <f>IFERROR(INDEX([1]物品基础表!$A:$A,MATCH(BD213,[1]物品基础表!$B:$B,0)),"")</f>
        <v/>
      </c>
      <c r="BH213" s="1" t="str">
        <f>IFERROR(INDEX([1]物品基础表!$A:$A,MATCH(BG213,[1]物品基础表!$B:$B,0)),"")</f>
        <v/>
      </c>
      <c r="BK213" s="1" t="str">
        <f>IFERROR(INDEX([1]物品基础表!$A:$A,MATCH(BJ213,[1]物品基础表!$B:$B,0)),"")</f>
        <v/>
      </c>
    </row>
    <row r="214" spans="1:63">
      <c r="A214" s="39" t="str">
        <f>INDEX([2]活动总表!$A$8:$A$429,MATCH(B214,[2]活动总表!$B$8:$B$429,0))</f>
        <v>战灵活动-抽奖C</v>
      </c>
      <c r="B214" s="40">
        <v>353</v>
      </c>
      <c r="C214" s="40">
        <v>10</v>
      </c>
      <c r="D214" s="40"/>
      <c r="E214" s="40"/>
      <c r="F214" s="40" t="s">
        <v>855</v>
      </c>
      <c r="G214" s="40">
        <v>4</v>
      </c>
      <c r="H214" s="40"/>
      <c r="I214" s="40"/>
      <c r="J214" s="57"/>
      <c r="K214" s="1">
        <v>200015</v>
      </c>
      <c r="L214" s="1" t="str">
        <f>IFERROR(INDEX([1]物品基础表!$A:$A,MATCH(K214,[1]物品基础表!$B:$B,0)),"")</f>
        <v>特戒碎片</v>
      </c>
      <c r="M214" s="1">
        <v>1500</v>
      </c>
      <c r="O214" s="1" t="str">
        <f>IFERROR(INDEX([1]物品基础表!$A:$A,MATCH(N214,[1]物品基础表!$B:$B,0)),"")</f>
        <v/>
      </c>
      <c r="R214" s="1" t="str">
        <f>IFERROR(INDEX([1]物品基础表!$A:$A,MATCH(Q214,[1]物品基础表!$B:$B,0)),"")</f>
        <v/>
      </c>
      <c r="U214" s="1" t="str">
        <f>IFERROR(INDEX([1]物品基础表!$A:$A,MATCH(T214,[1]物品基础表!$B:$B,0)),"")</f>
        <v/>
      </c>
      <c r="X214" s="1" t="str">
        <f>IFERROR(INDEX([1]物品基础表!$A:$A,MATCH(W214,[1]物品基础表!$B:$B,0)),"")</f>
        <v/>
      </c>
      <c r="AA214" s="1" t="str">
        <f>IFERROR(INDEX([1]物品基础表!$A:$A,MATCH(Z214,[1]物品基础表!$B:$B,0)),"")</f>
        <v/>
      </c>
      <c r="AD214" s="1" t="str">
        <f>IFERROR(INDEX([1]物品基础表!$A:$A,MATCH(AC214,[1]物品基础表!$B:$B,0)),"")</f>
        <v/>
      </c>
      <c r="AG214" s="1" t="str">
        <f>IFERROR(INDEX([1]物品基础表!$A:$A,MATCH(AF214,[1]物品基础表!$B:$B,0)),"")</f>
        <v/>
      </c>
      <c r="AJ214" s="1" t="str">
        <f>IFERROR(INDEX([1]物品基础表!$A:$A,MATCH(AI214,[1]物品基础表!$B:$B,0)),"")</f>
        <v/>
      </c>
      <c r="AM214" s="1" t="str">
        <f>IFERROR(INDEX([1]物品基础表!$A:$A,MATCH(AL214,[1]物品基础表!$B:$B,0)),"")</f>
        <v/>
      </c>
      <c r="AP214" s="1" t="str">
        <f>IFERROR(INDEX([1]物品基础表!$A:$A,MATCH(AO214,[1]物品基础表!$B:$B,0)),"")</f>
        <v/>
      </c>
      <c r="AS214" s="1" t="str">
        <f>IFERROR(INDEX([1]物品基础表!$A:$A,MATCH(AR214,[1]物品基础表!$B:$B,0)),"")</f>
        <v/>
      </c>
      <c r="AV214" s="1" t="str">
        <f>IFERROR(INDEX([1]物品基础表!$A:$A,MATCH(AU214,[1]物品基础表!$B:$B,0)),"")</f>
        <v/>
      </c>
      <c r="AY214" s="1" t="str">
        <f>IFERROR(INDEX([1]物品基础表!$A:$A,MATCH(AX214,[1]物品基础表!$B:$B,0)),"")</f>
        <v/>
      </c>
      <c r="BB214" s="1" t="str">
        <f>IFERROR(INDEX([1]物品基础表!$A:$A,MATCH(BA214,[1]物品基础表!$B:$B,0)),"")</f>
        <v/>
      </c>
      <c r="BE214" s="1" t="str">
        <f>IFERROR(INDEX([1]物品基础表!$A:$A,MATCH(BD214,[1]物品基础表!$B:$B,0)),"")</f>
        <v/>
      </c>
      <c r="BH214" s="1" t="str">
        <f>IFERROR(INDEX([1]物品基础表!$A:$A,MATCH(BG214,[1]物品基础表!$B:$B,0)),"")</f>
        <v/>
      </c>
      <c r="BK214" s="1" t="str">
        <f>IFERROR(INDEX([1]物品基础表!$A:$A,MATCH(BJ214,[1]物品基础表!$B:$B,0)),"")</f>
        <v/>
      </c>
    </row>
    <row r="215" spans="1:63">
      <c r="A215" s="39" t="str">
        <f>INDEX([2]活动总表!$A$8:$A$429,MATCH(B215,[2]活动总表!$B$8:$B$429,0))</f>
        <v>小年神羽转盘</v>
      </c>
      <c r="B215" s="40">
        <v>440</v>
      </c>
      <c r="C215" s="40">
        <v>0</v>
      </c>
      <c r="D215" s="40">
        <v>200309</v>
      </c>
      <c r="E215" s="40">
        <v>500</v>
      </c>
      <c r="F215" s="40"/>
      <c r="G215" s="40">
        <v>5</v>
      </c>
      <c r="H215" s="40"/>
      <c r="I215" s="40" t="s">
        <v>856</v>
      </c>
      <c r="J215" s="57" t="s">
        <v>854</v>
      </c>
      <c r="K215" s="1">
        <v>1</v>
      </c>
      <c r="L215" s="1" t="s">
        <v>901</v>
      </c>
      <c r="M215" s="1">
        <v>500000</v>
      </c>
      <c r="O215" s="1" t="str">
        <f>IFERROR(INDEX([1]物品基础表!$A:$A,MATCH(N215,[1]物品基础表!$B:$B,0)),"")</f>
        <v/>
      </c>
      <c r="R215" s="1" t="str">
        <f>IFERROR(INDEX([1]物品基础表!$A:$A,MATCH(Q215,[1]物品基础表!$B:$B,0)),"")</f>
        <v/>
      </c>
      <c r="U215" s="1" t="str">
        <f>IFERROR(INDEX([1]物品基础表!$A:$A,MATCH(T215,[1]物品基础表!$B:$B,0)),"")</f>
        <v/>
      </c>
      <c r="X215" s="1" t="str">
        <f>IFERROR(INDEX([1]物品基础表!$A:$A,MATCH(W215,[1]物品基础表!$B:$B,0)),"")</f>
        <v/>
      </c>
      <c r="AA215" s="1" t="str">
        <f>IFERROR(INDEX([1]物品基础表!$A:$A,MATCH(Z215,[1]物品基础表!$B:$B,0)),"")</f>
        <v/>
      </c>
      <c r="AD215" s="1" t="str">
        <f>IFERROR(INDEX([1]物品基础表!$A:$A,MATCH(AC215,[1]物品基础表!$B:$B,0)),"")</f>
        <v/>
      </c>
      <c r="AG215" s="1" t="str">
        <f>IFERROR(INDEX([1]物品基础表!$A:$A,MATCH(AF215,[1]物品基础表!$B:$B,0)),"")</f>
        <v/>
      </c>
      <c r="AJ215" s="1" t="str">
        <f>IFERROR(INDEX([1]物品基础表!$A:$A,MATCH(AI215,[1]物品基础表!$B:$B,0)),"")</f>
        <v/>
      </c>
      <c r="AM215" s="1" t="str">
        <f>IFERROR(INDEX([1]物品基础表!$A:$A,MATCH(AL215,[1]物品基础表!$B:$B,0)),"")</f>
        <v/>
      </c>
      <c r="AP215" s="1" t="str">
        <f>IFERROR(INDEX([1]物品基础表!$A:$A,MATCH(AO215,[1]物品基础表!$B:$B,0)),"")</f>
        <v/>
      </c>
      <c r="AS215" s="1" t="str">
        <f>IFERROR(INDEX([1]物品基础表!$A:$A,MATCH(AR215,[1]物品基础表!$B:$B,0)),"")</f>
        <v/>
      </c>
      <c r="AV215" s="1" t="str">
        <f>IFERROR(INDEX([1]物品基础表!$A:$A,MATCH(AU215,[1]物品基础表!$B:$B,0)),"")</f>
        <v/>
      </c>
      <c r="AY215" s="1" t="str">
        <f>IFERROR(INDEX([1]物品基础表!$A:$A,MATCH(AX215,[1]物品基础表!$B:$B,0)),"")</f>
        <v/>
      </c>
      <c r="BB215" s="1" t="str">
        <f>IFERROR(INDEX([1]物品基础表!$A:$A,MATCH(BA215,[1]物品基础表!$B:$B,0)),"")</f>
        <v/>
      </c>
      <c r="BE215" s="1" t="str">
        <f>IFERROR(INDEX([1]物品基础表!$A:$A,MATCH(BD215,[1]物品基础表!$B:$B,0)),"")</f>
        <v/>
      </c>
      <c r="BH215" s="1" t="str">
        <f>IFERROR(INDEX([1]物品基础表!$A:$A,MATCH(BG215,[1]物品基础表!$B:$B,0)),"")</f>
        <v/>
      </c>
      <c r="BK215" s="1" t="str">
        <f>IFERROR(INDEX([1]物品基础表!$A:$A,MATCH(BJ215,[1]物品基础表!$B:$B,0)),"")</f>
        <v/>
      </c>
    </row>
    <row r="216" spans="1:63">
      <c r="A216" s="39" t="str">
        <f>INDEX([2]活动总表!$A$8:$A$429,MATCH(B216,[2]活动总表!$B$8:$B$429,0))</f>
        <v>小年神羽转盘</v>
      </c>
      <c r="B216" s="40">
        <v>440</v>
      </c>
      <c r="C216" s="40">
        <v>1</v>
      </c>
      <c r="D216" s="40"/>
      <c r="E216" s="40"/>
      <c r="F216" s="40" t="s">
        <v>857</v>
      </c>
      <c r="G216" s="40">
        <v>5</v>
      </c>
      <c r="H216" s="40"/>
      <c r="I216" s="40"/>
      <c r="J216" s="57"/>
      <c r="K216" s="1">
        <v>204166</v>
      </c>
      <c r="L216" s="1" t="str">
        <f>IFERROR(INDEX([1]物品基础表!$A:$A,MATCH(K216,[1]物品基础表!$B:$B,0)),"")</f>
        <v>"龙翔九天"</v>
      </c>
      <c r="M216" s="1">
        <v>1</v>
      </c>
      <c r="O216" s="1" t="str">
        <f>IFERROR(INDEX([1]物品基础表!$A:$A,MATCH(N216,[1]物品基础表!$B:$B,0)),"")</f>
        <v/>
      </c>
      <c r="R216" s="1" t="str">
        <f>IFERROR(INDEX([1]物品基础表!$A:$A,MATCH(Q216,[1]物品基础表!$B:$B,0)),"")</f>
        <v/>
      </c>
      <c r="U216" s="1" t="str">
        <f>IFERROR(INDEX([1]物品基础表!$A:$A,MATCH(T216,[1]物品基础表!$B:$B,0)),"")</f>
        <v/>
      </c>
      <c r="X216" s="1" t="str">
        <f>IFERROR(INDEX([1]物品基础表!$A:$A,MATCH(W216,[1]物品基础表!$B:$B,0)),"")</f>
        <v/>
      </c>
      <c r="AA216" s="1" t="str">
        <f>IFERROR(INDEX([1]物品基础表!$A:$A,MATCH(Z216,[1]物品基础表!$B:$B,0)),"")</f>
        <v/>
      </c>
      <c r="AD216" s="1" t="str">
        <f>IFERROR(INDEX([1]物品基础表!$A:$A,MATCH(AC216,[1]物品基础表!$B:$B,0)),"")</f>
        <v/>
      </c>
      <c r="AG216" s="1" t="str">
        <f>IFERROR(INDEX([1]物品基础表!$A:$A,MATCH(AF216,[1]物品基础表!$B:$B,0)),"")</f>
        <v/>
      </c>
      <c r="AJ216" s="1" t="str">
        <f>IFERROR(INDEX([1]物品基础表!$A:$A,MATCH(AI216,[1]物品基础表!$B:$B,0)),"")</f>
        <v/>
      </c>
      <c r="AM216" s="1" t="str">
        <f>IFERROR(INDEX([1]物品基础表!$A:$A,MATCH(AL216,[1]物品基础表!$B:$B,0)),"")</f>
        <v/>
      </c>
      <c r="AP216" s="1" t="str">
        <f>IFERROR(INDEX([1]物品基础表!$A:$A,MATCH(AO216,[1]物品基础表!$B:$B,0)),"")</f>
        <v/>
      </c>
      <c r="AS216" s="1" t="str">
        <f>IFERROR(INDEX([1]物品基础表!$A:$A,MATCH(AR216,[1]物品基础表!$B:$B,0)),"")</f>
        <v/>
      </c>
      <c r="AV216" s="1" t="str">
        <f>IFERROR(INDEX([1]物品基础表!$A:$A,MATCH(AU216,[1]物品基础表!$B:$B,0)),"")</f>
        <v/>
      </c>
      <c r="AY216" s="1" t="str">
        <f>IFERROR(INDEX([1]物品基础表!$A:$A,MATCH(AX216,[1]物品基础表!$B:$B,0)),"")</f>
        <v/>
      </c>
      <c r="BB216" s="1" t="str">
        <f>IFERROR(INDEX([1]物品基础表!$A:$A,MATCH(BA216,[1]物品基础表!$B:$B,0)),"")</f>
        <v/>
      </c>
      <c r="BE216" s="1" t="str">
        <f>IFERROR(INDEX([1]物品基础表!$A:$A,MATCH(BD216,[1]物品基础表!$B:$B,0)),"")</f>
        <v/>
      </c>
      <c r="BH216" s="1" t="str">
        <f>IFERROR(INDEX([1]物品基础表!$A:$A,MATCH(BG216,[1]物品基础表!$B:$B,0)),"")</f>
        <v/>
      </c>
      <c r="BK216" s="1" t="str">
        <f>IFERROR(INDEX([1]物品基础表!$A:$A,MATCH(BJ216,[1]物品基础表!$B:$B,0)),"")</f>
        <v/>
      </c>
    </row>
    <row r="217" spans="1:63">
      <c r="A217" s="39" t="str">
        <f>INDEX([2]活动总表!$A$8:$A$429,MATCH(B217,[2]活动总表!$B$8:$B$429,0))</f>
        <v>小年神羽转盘</v>
      </c>
      <c r="B217" s="40">
        <v>440</v>
      </c>
      <c r="C217" s="40">
        <v>2</v>
      </c>
      <c r="D217" s="40"/>
      <c r="E217" s="40"/>
      <c r="F217" s="40" t="s">
        <v>858</v>
      </c>
      <c r="G217" s="40">
        <v>5</v>
      </c>
      <c r="H217" s="40"/>
      <c r="I217" s="40"/>
      <c r="J217" s="57"/>
      <c r="K217" s="1">
        <v>200001</v>
      </c>
      <c r="L217" s="1" t="str">
        <f>IFERROR(INDEX([1]物品基础表!$A:$A,MATCH(K217,[1]物品基础表!$B:$B,0)),"")</f>
        <v>羽毛</v>
      </c>
      <c r="M217" s="1">
        <v>6</v>
      </c>
      <c r="O217" s="1" t="str">
        <f>IFERROR(INDEX([1]物品基础表!$A:$A,MATCH(N217,[1]物品基础表!$B:$B,0)),"")</f>
        <v/>
      </c>
      <c r="R217" s="1" t="str">
        <f>IFERROR(INDEX([1]物品基础表!$A:$A,MATCH(Q217,[1]物品基础表!$B:$B,0)),"")</f>
        <v/>
      </c>
      <c r="U217" s="1" t="str">
        <f>IFERROR(INDEX([1]物品基础表!$A:$A,MATCH(T217,[1]物品基础表!$B:$B,0)),"")</f>
        <v/>
      </c>
      <c r="X217" s="1" t="str">
        <f>IFERROR(INDEX([1]物品基础表!$A:$A,MATCH(W217,[1]物品基础表!$B:$B,0)),"")</f>
        <v/>
      </c>
      <c r="AA217" s="1" t="str">
        <f>IFERROR(INDEX([1]物品基础表!$A:$A,MATCH(Z217,[1]物品基础表!$B:$B,0)),"")</f>
        <v/>
      </c>
      <c r="AD217" s="1" t="str">
        <f>IFERROR(INDEX([1]物品基础表!$A:$A,MATCH(AC217,[1]物品基础表!$B:$B,0)),"")</f>
        <v/>
      </c>
      <c r="AG217" s="1" t="str">
        <f>IFERROR(INDEX([1]物品基础表!$A:$A,MATCH(AF217,[1]物品基础表!$B:$B,0)),"")</f>
        <v/>
      </c>
      <c r="AJ217" s="1" t="str">
        <f>IFERROR(INDEX([1]物品基础表!$A:$A,MATCH(AI217,[1]物品基础表!$B:$B,0)),"")</f>
        <v/>
      </c>
      <c r="AM217" s="1" t="str">
        <f>IFERROR(INDEX([1]物品基础表!$A:$A,MATCH(AL217,[1]物品基础表!$B:$B,0)),"")</f>
        <v/>
      </c>
      <c r="AP217" s="1" t="str">
        <f>IFERROR(INDEX([1]物品基础表!$A:$A,MATCH(AO217,[1]物品基础表!$B:$B,0)),"")</f>
        <v/>
      </c>
      <c r="AS217" s="1" t="str">
        <f>IFERROR(INDEX([1]物品基础表!$A:$A,MATCH(AR217,[1]物品基础表!$B:$B,0)),"")</f>
        <v/>
      </c>
      <c r="AV217" s="1" t="str">
        <f>IFERROR(INDEX([1]物品基础表!$A:$A,MATCH(AU217,[1]物品基础表!$B:$B,0)),"")</f>
        <v/>
      </c>
      <c r="AY217" s="1" t="str">
        <f>IFERROR(INDEX([1]物品基础表!$A:$A,MATCH(AX217,[1]物品基础表!$B:$B,0)),"")</f>
        <v/>
      </c>
      <c r="BB217" s="1" t="str">
        <f>IFERROR(INDEX([1]物品基础表!$A:$A,MATCH(BA217,[1]物品基础表!$B:$B,0)),"")</f>
        <v/>
      </c>
      <c r="BE217" s="1" t="str">
        <f>IFERROR(INDEX([1]物品基础表!$A:$A,MATCH(BD217,[1]物品基础表!$B:$B,0)),"")</f>
        <v/>
      </c>
      <c r="BH217" s="1" t="str">
        <f>IFERROR(INDEX([1]物品基础表!$A:$A,MATCH(BG217,[1]物品基础表!$B:$B,0)),"")</f>
        <v/>
      </c>
      <c r="BK217" s="1" t="str">
        <f>IFERROR(INDEX([1]物品基础表!$A:$A,MATCH(BJ217,[1]物品基础表!$B:$B,0)),"")</f>
        <v/>
      </c>
    </row>
    <row r="218" spans="1:63">
      <c r="A218" s="39" t="str">
        <f>INDEX([2]活动总表!$A$8:$A$429,MATCH(B218,[2]活动总表!$B$8:$B$429,0))</f>
        <v>小年神羽转盘</v>
      </c>
      <c r="B218" s="40">
        <v>440</v>
      </c>
      <c r="C218" s="40">
        <v>3</v>
      </c>
      <c r="D218" s="40"/>
      <c r="E218" s="40"/>
      <c r="F218" s="40" t="s">
        <v>859</v>
      </c>
      <c r="G218" s="40">
        <v>5</v>
      </c>
      <c r="H218" s="40"/>
      <c r="I218" s="40"/>
      <c r="J218" s="57"/>
      <c r="K218" s="1">
        <v>200001</v>
      </c>
      <c r="L218" s="1" t="str">
        <f>IFERROR(INDEX([1]物品基础表!$A:$A,MATCH(K218,[1]物品基础表!$B:$B,0)),"")</f>
        <v>羽毛</v>
      </c>
      <c r="M218" s="1">
        <v>100</v>
      </c>
      <c r="O218" s="1" t="str">
        <f>IFERROR(INDEX([1]物品基础表!$A:$A,MATCH(N218,[1]物品基础表!$B:$B,0)),"")</f>
        <v/>
      </c>
      <c r="R218" s="1" t="str">
        <f>IFERROR(INDEX([1]物品基础表!$A:$A,MATCH(Q218,[1]物品基础表!$B:$B,0)),"")</f>
        <v/>
      </c>
      <c r="U218" s="1" t="str">
        <f>IFERROR(INDEX([1]物品基础表!$A:$A,MATCH(T218,[1]物品基础表!$B:$B,0)),"")</f>
        <v/>
      </c>
      <c r="X218" s="1" t="str">
        <f>IFERROR(INDEX([1]物品基础表!$A:$A,MATCH(W218,[1]物品基础表!$B:$B,0)),"")</f>
        <v/>
      </c>
      <c r="AA218" s="1" t="str">
        <f>IFERROR(INDEX([1]物品基础表!$A:$A,MATCH(Z218,[1]物品基础表!$B:$B,0)),"")</f>
        <v/>
      </c>
      <c r="AD218" s="1" t="str">
        <f>IFERROR(INDEX([1]物品基础表!$A:$A,MATCH(AC218,[1]物品基础表!$B:$B,0)),"")</f>
        <v/>
      </c>
      <c r="AG218" s="1" t="str">
        <f>IFERROR(INDEX([1]物品基础表!$A:$A,MATCH(AF218,[1]物品基础表!$B:$B,0)),"")</f>
        <v/>
      </c>
      <c r="AJ218" s="1" t="str">
        <f>IFERROR(INDEX([1]物品基础表!$A:$A,MATCH(AI218,[1]物品基础表!$B:$B,0)),"")</f>
        <v/>
      </c>
      <c r="AM218" s="1" t="str">
        <f>IFERROR(INDEX([1]物品基础表!$A:$A,MATCH(AL218,[1]物品基础表!$B:$B,0)),"")</f>
        <v/>
      </c>
      <c r="AP218" s="1" t="str">
        <f>IFERROR(INDEX([1]物品基础表!$A:$A,MATCH(AO218,[1]物品基础表!$B:$B,0)),"")</f>
        <v/>
      </c>
      <c r="AS218" s="1" t="str">
        <f>IFERROR(INDEX([1]物品基础表!$A:$A,MATCH(AR218,[1]物品基础表!$B:$B,0)),"")</f>
        <v/>
      </c>
      <c r="AV218" s="1" t="str">
        <f>IFERROR(INDEX([1]物品基础表!$A:$A,MATCH(AU218,[1]物品基础表!$B:$B,0)),"")</f>
        <v/>
      </c>
      <c r="AY218" s="1" t="str">
        <f>IFERROR(INDEX([1]物品基础表!$A:$A,MATCH(AX218,[1]物品基础表!$B:$B,0)),"")</f>
        <v/>
      </c>
      <c r="BB218" s="1" t="str">
        <f>IFERROR(INDEX([1]物品基础表!$A:$A,MATCH(BA218,[1]物品基础表!$B:$B,0)),"")</f>
        <v/>
      </c>
      <c r="BE218" s="1" t="str">
        <f>IFERROR(INDEX([1]物品基础表!$A:$A,MATCH(BD218,[1]物品基础表!$B:$B,0)),"")</f>
        <v/>
      </c>
      <c r="BH218" s="1" t="str">
        <f>IFERROR(INDEX([1]物品基础表!$A:$A,MATCH(BG218,[1]物品基础表!$B:$B,0)),"")</f>
        <v/>
      </c>
      <c r="BK218" s="1" t="str">
        <f>IFERROR(INDEX([1]物品基础表!$A:$A,MATCH(BJ218,[1]物品基础表!$B:$B,0)),"")</f>
        <v/>
      </c>
    </row>
    <row r="219" spans="1:63">
      <c r="A219" s="39" t="str">
        <f>INDEX([2]活动总表!$A$8:$A$429,MATCH(B219,[2]活动总表!$B$8:$B$429,0))</f>
        <v>小年神羽转盘</v>
      </c>
      <c r="B219" s="40">
        <v>440</v>
      </c>
      <c r="C219" s="40">
        <v>4</v>
      </c>
      <c r="D219" s="40"/>
      <c r="E219" s="40"/>
      <c r="F219" s="40" t="s">
        <v>858</v>
      </c>
      <c r="G219" s="40">
        <v>5</v>
      </c>
      <c r="H219" s="40"/>
      <c r="I219" s="40"/>
      <c r="J219" s="57"/>
      <c r="K219" s="1">
        <v>200005</v>
      </c>
      <c r="L219" s="1" t="str">
        <f>IFERROR(INDEX([1]物品基础表!$A:$A,MATCH(K219,[1]物品基础表!$B:$B,0)),"")</f>
        <v>龙魂碎片</v>
      </c>
      <c r="M219" s="1">
        <v>12</v>
      </c>
      <c r="O219" s="1" t="str">
        <f>IFERROR(INDEX([1]物品基础表!$A:$A,MATCH(N219,[1]物品基础表!$B:$B,0)),"")</f>
        <v/>
      </c>
      <c r="R219" s="1" t="str">
        <f>IFERROR(INDEX([1]物品基础表!$A:$A,MATCH(Q219,[1]物品基础表!$B:$B,0)),"")</f>
        <v/>
      </c>
      <c r="U219" s="1" t="str">
        <f>IFERROR(INDEX([1]物品基础表!$A:$A,MATCH(T219,[1]物品基础表!$B:$B,0)),"")</f>
        <v/>
      </c>
      <c r="X219" s="1" t="str">
        <f>IFERROR(INDEX([1]物品基础表!$A:$A,MATCH(W219,[1]物品基础表!$B:$B,0)),"")</f>
        <v/>
      </c>
      <c r="AA219" s="1" t="str">
        <f>IFERROR(INDEX([1]物品基础表!$A:$A,MATCH(Z219,[1]物品基础表!$B:$B,0)),"")</f>
        <v/>
      </c>
      <c r="AD219" s="1" t="str">
        <f>IFERROR(INDEX([1]物品基础表!$A:$A,MATCH(AC219,[1]物品基础表!$B:$B,0)),"")</f>
        <v/>
      </c>
      <c r="AG219" s="1" t="str">
        <f>IFERROR(INDEX([1]物品基础表!$A:$A,MATCH(AF219,[1]物品基础表!$B:$B,0)),"")</f>
        <v/>
      </c>
      <c r="AJ219" s="1" t="str">
        <f>IFERROR(INDEX([1]物品基础表!$A:$A,MATCH(AI219,[1]物品基础表!$B:$B,0)),"")</f>
        <v/>
      </c>
      <c r="AM219" s="1" t="str">
        <f>IFERROR(INDEX([1]物品基础表!$A:$A,MATCH(AL219,[1]物品基础表!$B:$B,0)),"")</f>
        <v/>
      </c>
      <c r="AP219" s="1" t="str">
        <f>IFERROR(INDEX([1]物品基础表!$A:$A,MATCH(AO219,[1]物品基础表!$B:$B,0)),"")</f>
        <v/>
      </c>
      <c r="AS219" s="1" t="str">
        <f>IFERROR(INDEX([1]物品基础表!$A:$A,MATCH(AR219,[1]物品基础表!$B:$B,0)),"")</f>
        <v/>
      </c>
      <c r="AV219" s="1" t="str">
        <f>IFERROR(INDEX([1]物品基础表!$A:$A,MATCH(AU219,[1]物品基础表!$B:$B,0)),"")</f>
        <v/>
      </c>
      <c r="AY219" s="1" t="str">
        <f>IFERROR(INDEX([1]物品基础表!$A:$A,MATCH(AX219,[1]物品基础表!$B:$B,0)),"")</f>
        <v/>
      </c>
      <c r="BB219" s="1" t="str">
        <f>IFERROR(INDEX([1]物品基础表!$A:$A,MATCH(BA219,[1]物品基础表!$B:$B,0)),"")</f>
        <v/>
      </c>
      <c r="BE219" s="1" t="str">
        <f>IFERROR(INDEX([1]物品基础表!$A:$A,MATCH(BD219,[1]物品基础表!$B:$B,0)),"")</f>
        <v/>
      </c>
      <c r="BH219" s="1" t="str">
        <f>IFERROR(INDEX([1]物品基础表!$A:$A,MATCH(BG219,[1]物品基础表!$B:$B,0)),"")</f>
        <v/>
      </c>
      <c r="BK219" s="1" t="str">
        <f>IFERROR(INDEX([1]物品基础表!$A:$A,MATCH(BJ219,[1]物品基础表!$B:$B,0)),"")</f>
        <v/>
      </c>
    </row>
    <row r="220" spans="1:63">
      <c r="A220" s="39" t="str">
        <f>INDEX([2]活动总表!$A$8:$A$429,MATCH(B220,[2]活动总表!$B$8:$B$429,0))</f>
        <v>小年神羽转盘</v>
      </c>
      <c r="B220" s="40">
        <v>440</v>
      </c>
      <c r="C220" s="40">
        <v>5</v>
      </c>
      <c r="D220" s="40"/>
      <c r="E220" s="40"/>
      <c r="F220" s="40" t="s">
        <v>858</v>
      </c>
      <c r="G220" s="40">
        <v>5</v>
      </c>
      <c r="H220" s="40"/>
      <c r="I220" s="40"/>
      <c r="J220" s="57"/>
      <c r="K220" s="1">
        <v>200167</v>
      </c>
      <c r="L220" s="1" t="str">
        <f>IFERROR(INDEX([1]物品基础表!$A:$A,MATCH(K220,[1]物品基础表!$B:$B,0)),"")</f>
        <v>黑铁</v>
      </c>
      <c r="M220" s="1">
        <v>300</v>
      </c>
      <c r="O220" s="1" t="str">
        <f>IFERROR(INDEX([1]物品基础表!$A:$A,MATCH(N220,[1]物品基础表!$B:$B,0)),"")</f>
        <v/>
      </c>
      <c r="R220" s="1" t="str">
        <f>IFERROR(INDEX([1]物品基础表!$A:$A,MATCH(Q220,[1]物品基础表!$B:$B,0)),"")</f>
        <v/>
      </c>
      <c r="U220" s="1" t="str">
        <f>IFERROR(INDEX([1]物品基础表!$A:$A,MATCH(T220,[1]物品基础表!$B:$B,0)),"")</f>
        <v/>
      </c>
      <c r="X220" s="1" t="str">
        <f>IFERROR(INDEX([1]物品基础表!$A:$A,MATCH(W220,[1]物品基础表!$B:$B,0)),"")</f>
        <v/>
      </c>
      <c r="AA220" s="1" t="str">
        <f>IFERROR(INDEX([1]物品基础表!$A:$A,MATCH(Z220,[1]物品基础表!$B:$B,0)),"")</f>
        <v/>
      </c>
      <c r="AD220" s="1" t="str">
        <f>IFERROR(INDEX([1]物品基础表!$A:$A,MATCH(AC220,[1]物品基础表!$B:$B,0)),"")</f>
        <v/>
      </c>
      <c r="AG220" s="1" t="str">
        <f>IFERROR(INDEX([1]物品基础表!$A:$A,MATCH(AF220,[1]物品基础表!$B:$B,0)),"")</f>
        <v/>
      </c>
      <c r="AJ220" s="1" t="str">
        <f>IFERROR(INDEX([1]物品基础表!$A:$A,MATCH(AI220,[1]物品基础表!$B:$B,0)),"")</f>
        <v/>
      </c>
      <c r="AM220" s="1" t="str">
        <f>IFERROR(INDEX([1]物品基础表!$A:$A,MATCH(AL220,[1]物品基础表!$B:$B,0)),"")</f>
        <v/>
      </c>
      <c r="AP220" s="1" t="str">
        <f>IFERROR(INDEX([1]物品基础表!$A:$A,MATCH(AO220,[1]物品基础表!$B:$B,0)),"")</f>
        <v/>
      </c>
      <c r="AS220" s="1" t="str">
        <f>IFERROR(INDEX([1]物品基础表!$A:$A,MATCH(AR220,[1]物品基础表!$B:$B,0)),"")</f>
        <v/>
      </c>
      <c r="AV220" s="1" t="str">
        <f>IFERROR(INDEX([1]物品基础表!$A:$A,MATCH(AU220,[1]物品基础表!$B:$B,0)),"")</f>
        <v/>
      </c>
      <c r="AY220" s="1" t="str">
        <f>IFERROR(INDEX([1]物品基础表!$A:$A,MATCH(AX220,[1]物品基础表!$B:$B,0)),"")</f>
        <v/>
      </c>
      <c r="BB220" s="1" t="str">
        <f>IFERROR(INDEX([1]物品基础表!$A:$A,MATCH(BA220,[1]物品基础表!$B:$B,0)),"")</f>
        <v/>
      </c>
      <c r="BE220" s="1" t="str">
        <f>IFERROR(INDEX([1]物品基础表!$A:$A,MATCH(BD220,[1]物品基础表!$B:$B,0)),"")</f>
        <v/>
      </c>
      <c r="BH220" s="1" t="str">
        <f>IFERROR(INDEX([1]物品基础表!$A:$A,MATCH(BG220,[1]物品基础表!$B:$B,0)),"")</f>
        <v/>
      </c>
      <c r="BK220" s="1" t="str">
        <f>IFERROR(INDEX([1]物品基础表!$A:$A,MATCH(BJ220,[1]物品基础表!$B:$B,0)),"")</f>
        <v/>
      </c>
    </row>
    <row r="221" spans="1:63">
      <c r="A221" s="39" t="str">
        <f>INDEX([2]活动总表!$A$8:$A$429,MATCH(B221,[2]活动总表!$B$8:$B$429,0))</f>
        <v>小年神羽转盘</v>
      </c>
      <c r="B221" s="40">
        <v>440</v>
      </c>
      <c r="C221" s="40">
        <v>6</v>
      </c>
      <c r="D221" s="40"/>
      <c r="E221" s="40"/>
      <c r="F221" s="40" t="s">
        <v>860</v>
      </c>
      <c r="G221" s="40">
        <v>5</v>
      </c>
      <c r="H221" s="40"/>
      <c r="I221" s="40"/>
      <c r="J221" s="57"/>
      <c r="K221" s="1">
        <v>200316</v>
      </c>
      <c r="L221" s="1" t="str">
        <f>IFERROR(INDEX([1]物品基础表!$A:$A,MATCH(K221,[1]物品基础表!$B:$B,0)),"")</f>
        <v>3阶神羽宝箱</v>
      </c>
      <c r="M221" s="1">
        <v>1</v>
      </c>
      <c r="O221" s="1" t="str">
        <f>IFERROR(INDEX([1]物品基础表!$A:$A,MATCH(N221,[1]物品基础表!$B:$B,0)),"")</f>
        <v/>
      </c>
      <c r="R221" s="1" t="str">
        <f>IFERROR(INDEX([1]物品基础表!$A:$A,MATCH(Q221,[1]物品基础表!$B:$B,0)),"")</f>
        <v/>
      </c>
      <c r="U221" s="1" t="str">
        <f>IFERROR(INDEX([1]物品基础表!$A:$A,MATCH(T221,[1]物品基础表!$B:$B,0)),"")</f>
        <v/>
      </c>
      <c r="X221" s="1" t="str">
        <f>IFERROR(INDEX([1]物品基础表!$A:$A,MATCH(W221,[1]物品基础表!$B:$B,0)),"")</f>
        <v/>
      </c>
      <c r="AA221" s="1" t="str">
        <f>IFERROR(INDEX([1]物品基础表!$A:$A,MATCH(Z221,[1]物品基础表!$B:$B,0)),"")</f>
        <v/>
      </c>
      <c r="AD221" s="1" t="str">
        <f>IFERROR(INDEX([1]物品基础表!$A:$A,MATCH(AC221,[1]物品基础表!$B:$B,0)),"")</f>
        <v/>
      </c>
      <c r="AG221" s="1" t="str">
        <f>IFERROR(INDEX([1]物品基础表!$A:$A,MATCH(AF221,[1]物品基础表!$B:$B,0)),"")</f>
        <v/>
      </c>
      <c r="AJ221" s="1" t="str">
        <f>IFERROR(INDEX([1]物品基础表!$A:$A,MATCH(AI221,[1]物品基础表!$B:$B,0)),"")</f>
        <v/>
      </c>
      <c r="AM221" s="1" t="str">
        <f>IFERROR(INDEX([1]物品基础表!$A:$A,MATCH(AL221,[1]物品基础表!$B:$B,0)),"")</f>
        <v/>
      </c>
      <c r="AP221" s="1" t="str">
        <f>IFERROR(INDEX([1]物品基础表!$A:$A,MATCH(AO221,[1]物品基础表!$B:$B,0)),"")</f>
        <v/>
      </c>
      <c r="AS221" s="1" t="str">
        <f>IFERROR(INDEX([1]物品基础表!$A:$A,MATCH(AR221,[1]物品基础表!$B:$B,0)),"")</f>
        <v/>
      </c>
      <c r="AV221" s="1" t="str">
        <f>IFERROR(INDEX([1]物品基础表!$A:$A,MATCH(AU221,[1]物品基础表!$B:$B,0)),"")</f>
        <v/>
      </c>
      <c r="AY221" s="1" t="str">
        <f>IFERROR(INDEX([1]物品基础表!$A:$A,MATCH(AX221,[1]物品基础表!$B:$B,0)),"")</f>
        <v/>
      </c>
      <c r="BB221" s="1" t="str">
        <f>IFERROR(INDEX([1]物品基础表!$A:$A,MATCH(BA221,[1]物品基础表!$B:$B,0)),"")</f>
        <v/>
      </c>
      <c r="BE221" s="1" t="str">
        <f>IFERROR(INDEX([1]物品基础表!$A:$A,MATCH(BD221,[1]物品基础表!$B:$B,0)),"")</f>
        <v/>
      </c>
      <c r="BH221" s="1" t="str">
        <f>IFERROR(INDEX([1]物品基础表!$A:$A,MATCH(BG221,[1]物品基础表!$B:$B,0)),"")</f>
        <v/>
      </c>
      <c r="BK221" s="1" t="str">
        <f>IFERROR(INDEX([1]物品基础表!$A:$A,MATCH(BJ221,[1]物品基础表!$B:$B,0)),"")</f>
        <v/>
      </c>
    </row>
    <row r="222" spans="1:63">
      <c r="A222" s="39" t="str">
        <f>INDEX([2]活动总表!$A$8:$A$429,MATCH(B222,[2]活动总表!$B$8:$B$429,0))</f>
        <v>小年神羽转盘</v>
      </c>
      <c r="B222" s="40">
        <v>440</v>
      </c>
      <c r="C222" s="40">
        <v>7</v>
      </c>
      <c r="D222" s="40"/>
      <c r="E222" s="40"/>
      <c r="F222" s="40" t="s">
        <v>858</v>
      </c>
      <c r="G222" s="40">
        <v>5</v>
      </c>
      <c r="H222" s="40"/>
      <c r="I222" s="40"/>
      <c r="J222" s="57"/>
      <c r="K222" s="1">
        <v>200001</v>
      </c>
      <c r="L222" s="1" t="str">
        <f>IFERROR(INDEX([1]物品基础表!$A:$A,MATCH(K222,[1]物品基础表!$B:$B,0)),"")</f>
        <v>羽毛</v>
      </c>
      <c r="M222" s="1">
        <v>12</v>
      </c>
      <c r="O222" s="1" t="str">
        <f>IFERROR(INDEX([1]物品基础表!$A:$A,MATCH(N222,[1]物品基础表!$B:$B,0)),"")</f>
        <v/>
      </c>
      <c r="R222" s="1" t="str">
        <f>IFERROR(INDEX([1]物品基础表!$A:$A,MATCH(Q222,[1]物品基础表!$B:$B,0)),"")</f>
        <v/>
      </c>
      <c r="U222" s="1" t="str">
        <f>IFERROR(INDEX([1]物品基础表!$A:$A,MATCH(T222,[1]物品基础表!$B:$B,0)),"")</f>
        <v/>
      </c>
      <c r="X222" s="1" t="str">
        <f>IFERROR(INDEX([1]物品基础表!$A:$A,MATCH(W222,[1]物品基础表!$B:$B,0)),"")</f>
        <v/>
      </c>
      <c r="AA222" s="1" t="str">
        <f>IFERROR(INDEX([1]物品基础表!$A:$A,MATCH(Z222,[1]物品基础表!$B:$B,0)),"")</f>
        <v/>
      </c>
      <c r="AD222" s="1" t="str">
        <f>IFERROR(INDEX([1]物品基础表!$A:$A,MATCH(AC222,[1]物品基础表!$B:$B,0)),"")</f>
        <v/>
      </c>
      <c r="AG222" s="1" t="str">
        <f>IFERROR(INDEX([1]物品基础表!$A:$A,MATCH(AF222,[1]物品基础表!$B:$B,0)),"")</f>
        <v/>
      </c>
      <c r="AJ222" s="1" t="str">
        <f>IFERROR(INDEX([1]物品基础表!$A:$A,MATCH(AI222,[1]物品基础表!$B:$B,0)),"")</f>
        <v/>
      </c>
      <c r="AM222" s="1" t="str">
        <f>IFERROR(INDEX([1]物品基础表!$A:$A,MATCH(AL222,[1]物品基础表!$B:$B,0)),"")</f>
        <v/>
      </c>
      <c r="AP222" s="1" t="str">
        <f>IFERROR(INDEX([1]物品基础表!$A:$A,MATCH(AO222,[1]物品基础表!$B:$B,0)),"")</f>
        <v/>
      </c>
      <c r="AS222" s="1" t="str">
        <f>IFERROR(INDEX([1]物品基础表!$A:$A,MATCH(AR222,[1]物品基础表!$B:$B,0)),"")</f>
        <v/>
      </c>
      <c r="AV222" s="1" t="str">
        <f>IFERROR(INDEX([1]物品基础表!$A:$A,MATCH(AU222,[1]物品基础表!$B:$B,0)),"")</f>
        <v/>
      </c>
      <c r="AY222" s="1" t="str">
        <f>IFERROR(INDEX([1]物品基础表!$A:$A,MATCH(AX222,[1]物品基础表!$B:$B,0)),"")</f>
        <v/>
      </c>
      <c r="BB222" s="1" t="str">
        <f>IFERROR(INDEX([1]物品基础表!$A:$A,MATCH(BA222,[1]物品基础表!$B:$B,0)),"")</f>
        <v/>
      </c>
      <c r="BE222" s="1" t="str">
        <f>IFERROR(INDEX([1]物品基础表!$A:$A,MATCH(BD222,[1]物品基础表!$B:$B,0)),"")</f>
        <v/>
      </c>
      <c r="BH222" s="1" t="str">
        <f>IFERROR(INDEX([1]物品基础表!$A:$A,MATCH(BG222,[1]物品基础表!$B:$B,0)),"")</f>
        <v/>
      </c>
      <c r="BK222" s="1" t="str">
        <f>IFERROR(INDEX([1]物品基础表!$A:$A,MATCH(BJ222,[1]物品基础表!$B:$B,0)),"")</f>
        <v/>
      </c>
    </row>
    <row r="223" spans="1:63">
      <c r="A223" s="39" t="str">
        <f>INDEX([2]活动总表!$A$8:$A$429,MATCH(B223,[2]活动总表!$B$8:$B$429,0))</f>
        <v>小年神羽转盘</v>
      </c>
      <c r="B223" s="40">
        <v>440</v>
      </c>
      <c r="C223" s="40">
        <v>8</v>
      </c>
      <c r="D223" s="40"/>
      <c r="E223" s="40"/>
      <c r="F223" s="40" t="s">
        <v>861</v>
      </c>
      <c r="G223" s="40">
        <v>5</v>
      </c>
      <c r="H223" s="40"/>
      <c r="I223" s="40"/>
      <c r="J223" s="57"/>
      <c r="K223" s="1">
        <v>200301</v>
      </c>
      <c r="L223" s="1" t="str">
        <f>IFERROR(INDEX([1]物品基础表!$A:$A,MATCH(K223,[1]物品基础表!$B:$B,0)),"")</f>
        <v>传世宝钻</v>
      </c>
      <c r="M223" s="1">
        <v>50</v>
      </c>
      <c r="O223" s="1" t="str">
        <f>IFERROR(INDEX([1]物品基础表!$A:$A,MATCH(N223,[1]物品基础表!$B:$B,0)),"")</f>
        <v/>
      </c>
      <c r="R223" s="1" t="str">
        <f>IFERROR(INDEX([1]物品基础表!$A:$A,MATCH(Q223,[1]物品基础表!$B:$B,0)),"")</f>
        <v/>
      </c>
      <c r="U223" s="1" t="str">
        <f>IFERROR(INDEX([1]物品基础表!$A:$A,MATCH(T223,[1]物品基础表!$B:$B,0)),"")</f>
        <v/>
      </c>
      <c r="X223" s="1" t="str">
        <f>IFERROR(INDEX([1]物品基础表!$A:$A,MATCH(W223,[1]物品基础表!$B:$B,0)),"")</f>
        <v/>
      </c>
      <c r="AA223" s="1" t="str">
        <f>IFERROR(INDEX([1]物品基础表!$A:$A,MATCH(Z223,[1]物品基础表!$B:$B,0)),"")</f>
        <v/>
      </c>
      <c r="AD223" s="1" t="str">
        <f>IFERROR(INDEX([1]物品基础表!$A:$A,MATCH(AC223,[1]物品基础表!$B:$B,0)),"")</f>
        <v/>
      </c>
      <c r="AG223" s="1" t="str">
        <f>IFERROR(INDEX([1]物品基础表!$A:$A,MATCH(AF223,[1]物品基础表!$B:$B,0)),"")</f>
        <v/>
      </c>
      <c r="AJ223" s="1" t="str">
        <f>IFERROR(INDEX([1]物品基础表!$A:$A,MATCH(AI223,[1]物品基础表!$B:$B,0)),"")</f>
        <v/>
      </c>
      <c r="AM223" s="1" t="str">
        <f>IFERROR(INDEX([1]物品基础表!$A:$A,MATCH(AL223,[1]物品基础表!$B:$B,0)),"")</f>
        <v/>
      </c>
      <c r="AP223" s="1" t="str">
        <f>IFERROR(INDEX([1]物品基础表!$A:$A,MATCH(AO223,[1]物品基础表!$B:$B,0)),"")</f>
        <v/>
      </c>
      <c r="AS223" s="1" t="str">
        <f>IFERROR(INDEX([1]物品基础表!$A:$A,MATCH(AR223,[1]物品基础表!$B:$B,0)),"")</f>
        <v/>
      </c>
      <c r="AV223" s="1" t="str">
        <f>IFERROR(INDEX([1]物品基础表!$A:$A,MATCH(AU223,[1]物品基础表!$B:$B,0)),"")</f>
        <v/>
      </c>
      <c r="AY223" s="1" t="str">
        <f>IFERROR(INDEX([1]物品基础表!$A:$A,MATCH(AX223,[1]物品基础表!$B:$B,0)),"")</f>
        <v/>
      </c>
      <c r="BB223" s="1" t="str">
        <f>IFERROR(INDEX([1]物品基础表!$A:$A,MATCH(BA223,[1]物品基础表!$B:$B,0)),"")</f>
        <v/>
      </c>
      <c r="BE223" s="1" t="str">
        <f>IFERROR(INDEX([1]物品基础表!$A:$A,MATCH(BD223,[1]物品基础表!$B:$B,0)),"")</f>
        <v/>
      </c>
      <c r="BH223" s="1" t="str">
        <f>IFERROR(INDEX([1]物品基础表!$A:$A,MATCH(BG223,[1]物品基础表!$B:$B,0)),"")</f>
        <v/>
      </c>
      <c r="BK223" s="1" t="str">
        <f>IFERROR(INDEX([1]物品基础表!$A:$A,MATCH(BJ223,[1]物品基础表!$B:$B,0)),"")</f>
        <v/>
      </c>
    </row>
    <row r="224" spans="1:63">
      <c r="A224" s="39" t="str">
        <f>INDEX([2]活动总表!$A$8:$A$429,MATCH(B224,[2]活动总表!$B$8:$B$429,0))</f>
        <v>小年神羽转盘</v>
      </c>
      <c r="B224" s="40">
        <v>440</v>
      </c>
      <c r="C224" s="40">
        <v>9</v>
      </c>
      <c r="D224" s="40"/>
      <c r="E224" s="40"/>
      <c r="F224" s="40" t="s">
        <v>858</v>
      </c>
      <c r="G224" s="40">
        <v>5</v>
      </c>
      <c r="H224" s="40"/>
      <c r="I224" s="40"/>
      <c r="J224" s="57"/>
      <c r="K224" s="1">
        <v>200167</v>
      </c>
      <c r="L224" s="1" t="str">
        <f>IFERROR(INDEX([1]物品基础表!$A:$A,MATCH(K224,[1]物品基础表!$B:$B,0)),"")</f>
        <v>黑铁</v>
      </c>
      <c r="M224" s="1">
        <v>600</v>
      </c>
      <c r="O224" s="1" t="str">
        <f>IFERROR(INDEX([1]物品基础表!$A:$A,MATCH(N224,[1]物品基础表!$B:$B,0)),"")</f>
        <v/>
      </c>
      <c r="R224" s="1" t="str">
        <f>IFERROR(INDEX([1]物品基础表!$A:$A,MATCH(Q224,[1]物品基础表!$B:$B,0)),"")</f>
        <v/>
      </c>
      <c r="U224" s="1" t="str">
        <f>IFERROR(INDEX([1]物品基础表!$A:$A,MATCH(T224,[1]物品基础表!$B:$B,0)),"")</f>
        <v/>
      </c>
      <c r="X224" s="1" t="str">
        <f>IFERROR(INDEX([1]物品基础表!$A:$A,MATCH(W224,[1]物品基础表!$B:$B,0)),"")</f>
        <v/>
      </c>
      <c r="AA224" s="1" t="str">
        <f>IFERROR(INDEX([1]物品基础表!$A:$A,MATCH(Z224,[1]物品基础表!$B:$B,0)),"")</f>
        <v/>
      </c>
      <c r="AD224" s="1" t="str">
        <f>IFERROR(INDEX([1]物品基础表!$A:$A,MATCH(AC224,[1]物品基础表!$B:$B,0)),"")</f>
        <v/>
      </c>
      <c r="AG224" s="1" t="str">
        <f>IFERROR(INDEX([1]物品基础表!$A:$A,MATCH(AF224,[1]物品基础表!$B:$B,0)),"")</f>
        <v/>
      </c>
      <c r="AJ224" s="1" t="str">
        <f>IFERROR(INDEX([1]物品基础表!$A:$A,MATCH(AI224,[1]物品基础表!$B:$B,0)),"")</f>
        <v/>
      </c>
      <c r="AM224" s="1" t="str">
        <f>IFERROR(INDEX([1]物品基础表!$A:$A,MATCH(AL224,[1]物品基础表!$B:$B,0)),"")</f>
        <v/>
      </c>
      <c r="AP224" s="1" t="str">
        <f>IFERROR(INDEX([1]物品基础表!$A:$A,MATCH(AO224,[1]物品基础表!$B:$B,0)),"")</f>
        <v/>
      </c>
      <c r="AS224" s="1" t="str">
        <f>IFERROR(INDEX([1]物品基础表!$A:$A,MATCH(AR224,[1]物品基础表!$B:$B,0)),"")</f>
        <v/>
      </c>
      <c r="AV224" s="1" t="str">
        <f>IFERROR(INDEX([1]物品基础表!$A:$A,MATCH(AU224,[1]物品基础表!$B:$B,0)),"")</f>
        <v/>
      </c>
      <c r="AY224" s="1" t="str">
        <f>IFERROR(INDEX([1]物品基础表!$A:$A,MATCH(AX224,[1]物品基础表!$B:$B,0)),"")</f>
        <v/>
      </c>
      <c r="BB224" s="1" t="str">
        <f>IFERROR(INDEX([1]物品基础表!$A:$A,MATCH(BA224,[1]物品基础表!$B:$B,0)),"")</f>
        <v/>
      </c>
      <c r="BE224" s="1" t="str">
        <f>IFERROR(INDEX([1]物品基础表!$A:$A,MATCH(BD224,[1]物品基础表!$B:$B,0)),"")</f>
        <v/>
      </c>
      <c r="BH224" s="1" t="str">
        <f>IFERROR(INDEX([1]物品基础表!$A:$A,MATCH(BG224,[1]物品基础表!$B:$B,0)),"")</f>
        <v/>
      </c>
      <c r="BK224" s="1" t="str">
        <f>IFERROR(INDEX([1]物品基础表!$A:$A,MATCH(BJ224,[1]物品基础表!$B:$B,0)),"")</f>
        <v/>
      </c>
    </row>
    <row r="225" spans="1:63">
      <c r="A225" s="39" t="str">
        <f>INDEX([2]活动总表!$A$8:$A$429,MATCH(B225,[2]活动总表!$B$8:$B$429,0))</f>
        <v>小年神羽转盘</v>
      </c>
      <c r="B225" s="40">
        <v>440</v>
      </c>
      <c r="C225" s="40">
        <v>10</v>
      </c>
      <c r="D225" s="40"/>
      <c r="E225" s="40"/>
      <c r="F225" s="40" t="s">
        <v>862</v>
      </c>
      <c r="G225" s="40">
        <v>5</v>
      </c>
      <c r="H225" s="40"/>
      <c r="I225" s="40"/>
      <c r="J225" s="57"/>
      <c r="K225" s="1">
        <v>601000</v>
      </c>
      <c r="L225" s="1" t="str">
        <f>IFERROR(INDEX([1]物品基础表!$A:$A,MATCH(K225,[1]物品基础表!$B:$B,0)),"")</f>
        <v>神羽碎片</v>
      </c>
      <c r="M225" s="1">
        <v>20</v>
      </c>
      <c r="O225" s="1" t="str">
        <f>IFERROR(INDEX([1]物品基础表!$A:$A,MATCH(N225,[1]物品基础表!$B:$B,0)),"")</f>
        <v/>
      </c>
      <c r="R225" s="1" t="str">
        <f>IFERROR(INDEX([1]物品基础表!$A:$A,MATCH(Q225,[1]物品基础表!$B:$B,0)),"")</f>
        <v/>
      </c>
      <c r="U225" s="1" t="str">
        <f>IFERROR(INDEX([1]物品基础表!$A:$A,MATCH(T225,[1]物品基础表!$B:$B,0)),"")</f>
        <v/>
      </c>
      <c r="X225" s="1" t="str">
        <f>IFERROR(INDEX([1]物品基础表!$A:$A,MATCH(W225,[1]物品基础表!$B:$B,0)),"")</f>
        <v/>
      </c>
      <c r="AA225" s="1" t="str">
        <f>IFERROR(INDEX([1]物品基础表!$A:$A,MATCH(Z225,[1]物品基础表!$B:$B,0)),"")</f>
        <v/>
      </c>
      <c r="AD225" s="1" t="str">
        <f>IFERROR(INDEX([1]物品基础表!$A:$A,MATCH(AC225,[1]物品基础表!$B:$B,0)),"")</f>
        <v/>
      </c>
      <c r="AG225" s="1" t="str">
        <f>IFERROR(INDEX([1]物品基础表!$A:$A,MATCH(AF225,[1]物品基础表!$B:$B,0)),"")</f>
        <v/>
      </c>
      <c r="AJ225" s="1" t="str">
        <f>IFERROR(INDEX([1]物品基础表!$A:$A,MATCH(AI225,[1]物品基础表!$B:$B,0)),"")</f>
        <v/>
      </c>
      <c r="AM225" s="1" t="str">
        <f>IFERROR(INDEX([1]物品基础表!$A:$A,MATCH(AL225,[1]物品基础表!$B:$B,0)),"")</f>
        <v/>
      </c>
      <c r="AP225" s="1" t="str">
        <f>IFERROR(INDEX([1]物品基础表!$A:$A,MATCH(AO225,[1]物品基础表!$B:$B,0)),"")</f>
        <v/>
      </c>
      <c r="AS225" s="1" t="str">
        <f>IFERROR(INDEX([1]物品基础表!$A:$A,MATCH(AR225,[1]物品基础表!$B:$B,0)),"")</f>
        <v/>
      </c>
      <c r="AV225" s="1" t="str">
        <f>IFERROR(INDEX([1]物品基础表!$A:$A,MATCH(AU225,[1]物品基础表!$B:$B,0)),"")</f>
        <v/>
      </c>
      <c r="AY225" s="1" t="str">
        <f>IFERROR(INDEX([1]物品基础表!$A:$A,MATCH(AX225,[1]物品基础表!$B:$B,0)),"")</f>
        <v/>
      </c>
      <c r="BB225" s="1" t="str">
        <f>IFERROR(INDEX([1]物品基础表!$A:$A,MATCH(BA225,[1]物品基础表!$B:$B,0)),"")</f>
        <v/>
      </c>
      <c r="BE225" s="1" t="str">
        <f>IFERROR(INDEX([1]物品基础表!$A:$A,MATCH(BD225,[1]物品基础表!$B:$B,0)),"")</f>
        <v/>
      </c>
      <c r="BH225" s="1" t="str">
        <f>IFERROR(INDEX([1]物品基础表!$A:$A,MATCH(BG225,[1]物品基础表!$B:$B,0)),"")</f>
        <v/>
      </c>
      <c r="BK225" s="1" t="str">
        <f>IFERROR(INDEX([1]物品基础表!$A:$A,MATCH(BJ225,[1]物品基础表!$B:$B,0)),"")</f>
        <v/>
      </c>
    </row>
    <row r="226" spans="1:63">
      <c r="A226" s="39" t="str">
        <f>INDEX([2]活动总表!$A$8:$A$429,MATCH(B226,[2]活动总表!$B$8:$B$429,0))</f>
        <v>小年神羽转盘（15-30天）</v>
      </c>
      <c r="B226" s="40">
        <v>448</v>
      </c>
      <c r="C226" s="40">
        <v>0</v>
      </c>
      <c r="D226" s="40">
        <v>200309</v>
      </c>
      <c r="E226" s="40">
        <v>500</v>
      </c>
      <c r="F226" s="40"/>
      <c r="G226" s="40">
        <v>5</v>
      </c>
      <c r="H226" s="40"/>
      <c r="I226" s="40" t="s">
        <v>856</v>
      </c>
      <c r="J226" s="57" t="s">
        <v>854</v>
      </c>
      <c r="K226" s="1">
        <v>1</v>
      </c>
      <c r="L226" s="1" t="s">
        <v>901</v>
      </c>
      <c r="M226" s="1">
        <v>500000</v>
      </c>
      <c r="O226" s="1" t="str">
        <f>IFERROR(INDEX([1]物品基础表!$A:$A,MATCH(N226,[1]物品基础表!$B:$B,0)),"")</f>
        <v/>
      </c>
      <c r="R226" s="1" t="str">
        <f>IFERROR(INDEX([1]物品基础表!$A:$A,MATCH(Q226,[1]物品基础表!$B:$B,0)),"")</f>
        <v/>
      </c>
      <c r="U226" s="1" t="str">
        <f>IFERROR(INDEX([1]物品基础表!$A:$A,MATCH(T226,[1]物品基础表!$B:$B,0)),"")</f>
        <v/>
      </c>
      <c r="X226" s="1" t="str">
        <f>IFERROR(INDEX([1]物品基础表!$A:$A,MATCH(W226,[1]物品基础表!$B:$B,0)),"")</f>
        <v/>
      </c>
      <c r="AA226" s="1" t="str">
        <f>IFERROR(INDEX([1]物品基础表!$A:$A,MATCH(Z226,[1]物品基础表!$B:$B,0)),"")</f>
        <v/>
      </c>
      <c r="AD226" s="1" t="str">
        <f>IFERROR(INDEX([1]物品基础表!$A:$A,MATCH(AC226,[1]物品基础表!$B:$B,0)),"")</f>
        <v/>
      </c>
      <c r="AG226" s="1" t="str">
        <f>IFERROR(INDEX([1]物品基础表!$A:$A,MATCH(AF226,[1]物品基础表!$B:$B,0)),"")</f>
        <v/>
      </c>
      <c r="AJ226" s="1" t="str">
        <f>IFERROR(INDEX([1]物品基础表!$A:$A,MATCH(AI226,[1]物品基础表!$B:$B,0)),"")</f>
        <v/>
      </c>
      <c r="AM226" s="1" t="str">
        <f>IFERROR(INDEX([1]物品基础表!$A:$A,MATCH(AL226,[1]物品基础表!$B:$B,0)),"")</f>
        <v/>
      </c>
      <c r="AP226" s="1" t="str">
        <f>IFERROR(INDEX([1]物品基础表!$A:$A,MATCH(AO226,[1]物品基础表!$B:$B,0)),"")</f>
        <v/>
      </c>
      <c r="AS226" s="1" t="str">
        <f>IFERROR(INDEX([1]物品基础表!$A:$A,MATCH(AR226,[1]物品基础表!$B:$B,0)),"")</f>
        <v/>
      </c>
      <c r="AV226" s="1" t="str">
        <f>IFERROR(INDEX([1]物品基础表!$A:$A,MATCH(AU226,[1]物品基础表!$B:$B,0)),"")</f>
        <v/>
      </c>
      <c r="AY226" s="1" t="str">
        <f>IFERROR(INDEX([1]物品基础表!$A:$A,MATCH(AX226,[1]物品基础表!$B:$B,0)),"")</f>
        <v/>
      </c>
      <c r="BB226" s="1" t="str">
        <f>IFERROR(INDEX([1]物品基础表!$A:$A,MATCH(BA226,[1]物品基础表!$B:$B,0)),"")</f>
        <v/>
      </c>
      <c r="BE226" s="1" t="str">
        <f>IFERROR(INDEX([1]物品基础表!$A:$A,MATCH(BD226,[1]物品基础表!$B:$B,0)),"")</f>
        <v/>
      </c>
      <c r="BH226" s="1" t="str">
        <f>IFERROR(INDEX([1]物品基础表!$A:$A,MATCH(BG226,[1]物品基础表!$B:$B,0)),"")</f>
        <v/>
      </c>
      <c r="BK226" s="1" t="str">
        <f>IFERROR(INDEX([1]物品基础表!$A:$A,MATCH(BJ226,[1]物品基础表!$B:$B,0)),"")</f>
        <v/>
      </c>
    </row>
    <row r="227" spans="1:63">
      <c r="A227" s="39" t="str">
        <f>INDEX([2]活动总表!$A$8:$A$429,MATCH(B227,[2]活动总表!$B$8:$B$429,0))</f>
        <v>小年神羽转盘（15-30天）</v>
      </c>
      <c r="B227" s="40">
        <v>448</v>
      </c>
      <c r="C227" s="40">
        <v>1</v>
      </c>
      <c r="D227" s="40"/>
      <c r="E227" s="40"/>
      <c r="F227" s="40" t="s">
        <v>857</v>
      </c>
      <c r="G227" s="40">
        <v>5</v>
      </c>
      <c r="H227" s="40"/>
      <c r="I227" s="40"/>
      <c r="J227" s="57"/>
      <c r="K227" s="1">
        <v>204166</v>
      </c>
      <c r="L227" s="1" t="str">
        <f>IFERROR(INDEX([1]物品基础表!$A:$A,MATCH(K227,[1]物品基础表!$B:$B,0)),"")</f>
        <v>"龙翔九天"</v>
      </c>
      <c r="M227" s="1">
        <v>1</v>
      </c>
      <c r="O227" s="1" t="str">
        <f>IFERROR(INDEX([1]物品基础表!$A:$A,MATCH(N227,[1]物品基础表!$B:$B,0)),"")</f>
        <v/>
      </c>
      <c r="R227" s="1" t="str">
        <f>IFERROR(INDEX([1]物品基础表!$A:$A,MATCH(Q227,[1]物品基础表!$B:$B,0)),"")</f>
        <v/>
      </c>
      <c r="U227" s="1" t="str">
        <f>IFERROR(INDEX([1]物品基础表!$A:$A,MATCH(T227,[1]物品基础表!$B:$B,0)),"")</f>
        <v/>
      </c>
      <c r="X227" s="1" t="str">
        <f>IFERROR(INDEX([1]物品基础表!$A:$A,MATCH(W227,[1]物品基础表!$B:$B,0)),"")</f>
        <v/>
      </c>
      <c r="AA227" s="1" t="str">
        <f>IFERROR(INDEX([1]物品基础表!$A:$A,MATCH(Z227,[1]物品基础表!$B:$B,0)),"")</f>
        <v/>
      </c>
      <c r="AD227" s="1" t="str">
        <f>IFERROR(INDEX([1]物品基础表!$A:$A,MATCH(AC227,[1]物品基础表!$B:$B,0)),"")</f>
        <v/>
      </c>
      <c r="AG227" s="1" t="str">
        <f>IFERROR(INDEX([1]物品基础表!$A:$A,MATCH(AF227,[1]物品基础表!$B:$B,0)),"")</f>
        <v/>
      </c>
      <c r="AJ227" s="1" t="str">
        <f>IFERROR(INDEX([1]物品基础表!$A:$A,MATCH(AI227,[1]物品基础表!$B:$B,0)),"")</f>
        <v/>
      </c>
      <c r="AM227" s="1" t="str">
        <f>IFERROR(INDEX([1]物品基础表!$A:$A,MATCH(AL227,[1]物品基础表!$B:$B,0)),"")</f>
        <v/>
      </c>
      <c r="AP227" s="1" t="str">
        <f>IFERROR(INDEX([1]物品基础表!$A:$A,MATCH(AO227,[1]物品基础表!$B:$B,0)),"")</f>
        <v/>
      </c>
      <c r="AS227" s="1" t="str">
        <f>IFERROR(INDEX([1]物品基础表!$A:$A,MATCH(AR227,[1]物品基础表!$B:$B,0)),"")</f>
        <v/>
      </c>
      <c r="AV227" s="1" t="str">
        <f>IFERROR(INDEX([1]物品基础表!$A:$A,MATCH(AU227,[1]物品基础表!$B:$B,0)),"")</f>
        <v/>
      </c>
      <c r="AY227" s="1" t="str">
        <f>IFERROR(INDEX([1]物品基础表!$A:$A,MATCH(AX227,[1]物品基础表!$B:$B,0)),"")</f>
        <v/>
      </c>
      <c r="BB227" s="1" t="str">
        <f>IFERROR(INDEX([1]物品基础表!$A:$A,MATCH(BA227,[1]物品基础表!$B:$B,0)),"")</f>
        <v/>
      </c>
      <c r="BE227" s="1" t="str">
        <f>IFERROR(INDEX([1]物品基础表!$A:$A,MATCH(BD227,[1]物品基础表!$B:$B,0)),"")</f>
        <v/>
      </c>
      <c r="BH227" s="1" t="str">
        <f>IFERROR(INDEX([1]物品基础表!$A:$A,MATCH(BG227,[1]物品基础表!$B:$B,0)),"")</f>
        <v/>
      </c>
      <c r="BK227" s="1" t="str">
        <f>IFERROR(INDEX([1]物品基础表!$A:$A,MATCH(BJ227,[1]物品基础表!$B:$B,0)),"")</f>
        <v/>
      </c>
    </row>
    <row r="228" spans="1:63">
      <c r="A228" s="39" t="str">
        <f>INDEX([2]活动总表!$A$8:$A$429,MATCH(B228,[2]活动总表!$B$8:$B$429,0))</f>
        <v>小年神羽转盘（15-30天）</v>
      </c>
      <c r="B228" s="40">
        <v>448</v>
      </c>
      <c r="C228" s="40">
        <v>2</v>
      </c>
      <c r="D228" s="40"/>
      <c r="E228" s="40"/>
      <c r="F228" s="40" t="s">
        <v>858</v>
      </c>
      <c r="G228" s="40">
        <v>5</v>
      </c>
      <c r="H228" s="40"/>
      <c r="I228" s="40"/>
      <c r="J228" s="57"/>
      <c r="K228" s="1">
        <v>200001</v>
      </c>
      <c r="L228" s="1" t="str">
        <f>IFERROR(INDEX([1]物品基础表!$A:$A,MATCH(K228,[1]物品基础表!$B:$B,0)),"")</f>
        <v>羽毛</v>
      </c>
      <c r="M228" s="1">
        <v>5</v>
      </c>
      <c r="O228" s="1" t="str">
        <f>IFERROR(INDEX([1]物品基础表!$A:$A,MATCH(N228,[1]物品基础表!$B:$B,0)),"")</f>
        <v/>
      </c>
      <c r="R228" s="1" t="str">
        <f>IFERROR(INDEX([1]物品基础表!$A:$A,MATCH(Q228,[1]物品基础表!$B:$B,0)),"")</f>
        <v/>
      </c>
      <c r="U228" s="1" t="str">
        <f>IFERROR(INDEX([1]物品基础表!$A:$A,MATCH(T228,[1]物品基础表!$B:$B,0)),"")</f>
        <v/>
      </c>
      <c r="X228" s="1" t="str">
        <f>IFERROR(INDEX([1]物品基础表!$A:$A,MATCH(W228,[1]物品基础表!$B:$B,0)),"")</f>
        <v/>
      </c>
      <c r="AA228" s="1" t="str">
        <f>IFERROR(INDEX([1]物品基础表!$A:$A,MATCH(Z228,[1]物品基础表!$B:$B,0)),"")</f>
        <v/>
      </c>
      <c r="AD228" s="1" t="str">
        <f>IFERROR(INDEX([1]物品基础表!$A:$A,MATCH(AC228,[1]物品基础表!$B:$B,0)),"")</f>
        <v/>
      </c>
      <c r="AG228" s="1" t="str">
        <f>IFERROR(INDEX([1]物品基础表!$A:$A,MATCH(AF228,[1]物品基础表!$B:$B,0)),"")</f>
        <v/>
      </c>
      <c r="AJ228" s="1" t="str">
        <f>IFERROR(INDEX([1]物品基础表!$A:$A,MATCH(AI228,[1]物品基础表!$B:$B,0)),"")</f>
        <v/>
      </c>
      <c r="AM228" s="1" t="str">
        <f>IFERROR(INDEX([1]物品基础表!$A:$A,MATCH(AL228,[1]物品基础表!$B:$B,0)),"")</f>
        <v/>
      </c>
      <c r="AP228" s="1" t="str">
        <f>IFERROR(INDEX([1]物品基础表!$A:$A,MATCH(AO228,[1]物品基础表!$B:$B,0)),"")</f>
        <v/>
      </c>
      <c r="AS228" s="1" t="str">
        <f>IFERROR(INDEX([1]物品基础表!$A:$A,MATCH(AR228,[1]物品基础表!$B:$B,0)),"")</f>
        <v/>
      </c>
      <c r="AV228" s="1" t="str">
        <f>IFERROR(INDEX([1]物品基础表!$A:$A,MATCH(AU228,[1]物品基础表!$B:$B,0)),"")</f>
        <v/>
      </c>
      <c r="AY228" s="1" t="str">
        <f>IFERROR(INDEX([1]物品基础表!$A:$A,MATCH(AX228,[1]物品基础表!$B:$B,0)),"")</f>
        <v/>
      </c>
      <c r="BB228" s="1" t="str">
        <f>IFERROR(INDEX([1]物品基础表!$A:$A,MATCH(BA228,[1]物品基础表!$B:$B,0)),"")</f>
        <v/>
      </c>
      <c r="BE228" s="1" t="str">
        <f>IFERROR(INDEX([1]物品基础表!$A:$A,MATCH(BD228,[1]物品基础表!$B:$B,0)),"")</f>
        <v/>
      </c>
      <c r="BH228" s="1" t="str">
        <f>IFERROR(INDEX([1]物品基础表!$A:$A,MATCH(BG228,[1]物品基础表!$B:$B,0)),"")</f>
        <v/>
      </c>
      <c r="BK228" s="1" t="str">
        <f>IFERROR(INDEX([1]物品基础表!$A:$A,MATCH(BJ228,[1]物品基础表!$B:$B,0)),"")</f>
        <v/>
      </c>
    </row>
    <row r="229" spans="1:63">
      <c r="A229" s="39" t="str">
        <f>INDEX([2]活动总表!$A$8:$A$429,MATCH(B229,[2]活动总表!$B$8:$B$429,0))</f>
        <v>小年神羽转盘（15-30天）</v>
      </c>
      <c r="B229" s="40">
        <v>448</v>
      </c>
      <c r="C229" s="40">
        <v>3</v>
      </c>
      <c r="D229" s="40"/>
      <c r="E229" s="40"/>
      <c r="F229" s="40" t="s">
        <v>859</v>
      </c>
      <c r="G229" s="40">
        <v>5</v>
      </c>
      <c r="H229" s="40"/>
      <c r="I229" s="40"/>
      <c r="J229" s="57"/>
      <c r="K229" s="1">
        <v>200001</v>
      </c>
      <c r="L229" s="1" t="str">
        <f>IFERROR(INDEX([1]物品基础表!$A:$A,MATCH(K229,[1]物品基础表!$B:$B,0)),"")</f>
        <v>羽毛</v>
      </c>
      <c r="M229" s="1">
        <v>88</v>
      </c>
      <c r="O229" s="1" t="str">
        <f>IFERROR(INDEX([1]物品基础表!$A:$A,MATCH(N229,[1]物品基础表!$B:$B,0)),"")</f>
        <v/>
      </c>
      <c r="R229" s="1" t="str">
        <f>IFERROR(INDEX([1]物品基础表!$A:$A,MATCH(Q229,[1]物品基础表!$B:$B,0)),"")</f>
        <v/>
      </c>
      <c r="U229" s="1" t="str">
        <f>IFERROR(INDEX([1]物品基础表!$A:$A,MATCH(T229,[1]物品基础表!$B:$B,0)),"")</f>
        <v/>
      </c>
      <c r="X229" s="1" t="str">
        <f>IFERROR(INDEX([1]物品基础表!$A:$A,MATCH(W229,[1]物品基础表!$B:$B,0)),"")</f>
        <v/>
      </c>
      <c r="AA229" s="1" t="str">
        <f>IFERROR(INDEX([1]物品基础表!$A:$A,MATCH(Z229,[1]物品基础表!$B:$B,0)),"")</f>
        <v/>
      </c>
      <c r="AD229" s="1" t="str">
        <f>IFERROR(INDEX([1]物品基础表!$A:$A,MATCH(AC229,[1]物品基础表!$B:$B,0)),"")</f>
        <v/>
      </c>
      <c r="AG229" s="1" t="str">
        <f>IFERROR(INDEX([1]物品基础表!$A:$A,MATCH(AF229,[1]物品基础表!$B:$B,0)),"")</f>
        <v/>
      </c>
      <c r="AJ229" s="1" t="str">
        <f>IFERROR(INDEX([1]物品基础表!$A:$A,MATCH(AI229,[1]物品基础表!$B:$B,0)),"")</f>
        <v/>
      </c>
      <c r="AM229" s="1" t="str">
        <f>IFERROR(INDEX([1]物品基础表!$A:$A,MATCH(AL229,[1]物品基础表!$B:$B,0)),"")</f>
        <v/>
      </c>
      <c r="AP229" s="1" t="str">
        <f>IFERROR(INDEX([1]物品基础表!$A:$A,MATCH(AO229,[1]物品基础表!$B:$B,0)),"")</f>
        <v/>
      </c>
      <c r="AS229" s="1" t="str">
        <f>IFERROR(INDEX([1]物品基础表!$A:$A,MATCH(AR229,[1]物品基础表!$B:$B,0)),"")</f>
        <v/>
      </c>
      <c r="AV229" s="1" t="str">
        <f>IFERROR(INDEX([1]物品基础表!$A:$A,MATCH(AU229,[1]物品基础表!$B:$B,0)),"")</f>
        <v/>
      </c>
      <c r="AY229" s="1" t="str">
        <f>IFERROR(INDEX([1]物品基础表!$A:$A,MATCH(AX229,[1]物品基础表!$B:$B,0)),"")</f>
        <v/>
      </c>
      <c r="BB229" s="1" t="str">
        <f>IFERROR(INDEX([1]物品基础表!$A:$A,MATCH(BA229,[1]物品基础表!$B:$B,0)),"")</f>
        <v/>
      </c>
      <c r="BE229" s="1" t="str">
        <f>IFERROR(INDEX([1]物品基础表!$A:$A,MATCH(BD229,[1]物品基础表!$B:$B,0)),"")</f>
        <v/>
      </c>
      <c r="BH229" s="1" t="str">
        <f>IFERROR(INDEX([1]物品基础表!$A:$A,MATCH(BG229,[1]物品基础表!$B:$B,0)),"")</f>
        <v/>
      </c>
      <c r="BK229" s="1" t="str">
        <f>IFERROR(INDEX([1]物品基础表!$A:$A,MATCH(BJ229,[1]物品基础表!$B:$B,0)),"")</f>
        <v/>
      </c>
    </row>
    <row r="230" spans="1:63">
      <c r="A230" s="39" t="str">
        <f>INDEX([2]活动总表!$A$8:$A$429,MATCH(B230,[2]活动总表!$B$8:$B$429,0))</f>
        <v>小年神羽转盘（15-30天）</v>
      </c>
      <c r="B230" s="40">
        <v>448</v>
      </c>
      <c r="C230" s="40">
        <v>4</v>
      </c>
      <c r="D230" s="40"/>
      <c r="E230" s="40"/>
      <c r="F230" s="40" t="s">
        <v>858</v>
      </c>
      <c r="G230" s="40">
        <v>5</v>
      </c>
      <c r="H230" s="40"/>
      <c r="I230" s="40"/>
      <c r="J230" s="57"/>
      <c r="K230" s="1">
        <v>200005</v>
      </c>
      <c r="L230" s="1" t="str">
        <f>IFERROR(INDEX([1]物品基础表!$A:$A,MATCH(K230,[1]物品基础表!$B:$B,0)),"")</f>
        <v>龙魂碎片</v>
      </c>
      <c r="M230" s="1">
        <v>8</v>
      </c>
      <c r="O230" s="1" t="str">
        <f>IFERROR(INDEX([1]物品基础表!$A:$A,MATCH(N230,[1]物品基础表!$B:$B,0)),"")</f>
        <v/>
      </c>
      <c r="R230" s="1" t="str">
        <f>IFERROR(INDEX([1]物品基础表!$A:$A,MATCH(Q230,[1]物品基础表!$B:$B,0)),"")</f>
        <v/>
      </c>
      <c r="U230" s="1" t="str">
        <f>IFERROR(INDEX([1]物品基础表!$A:$A,MATCH(T230,[1]物品基础表!$B:$B,0)),"")</f>
        <v/>
      </c>
      <c r="X230" s="1" t="str">
        <f>IFERROR(INDEX([1]物品基础表!$A:$A,MATCH(W230,[1]物品基础表!$B:$B,0)),"")</f>
        <v/>
      </c>
      <c r="AA230" s="1" t="str">
        <f>IFERROR(INDEX([1]物品基础表!$A:$A,MATCH(Z230,[1]物品基础表!$B:$B,0)),"")</f>
        <v/>
      </c>
      <c r="AD230" s="1" t="str">
        <f>IFERROR(INDEX([1]物品基础表!$A:$A,MATCH(AC230,[1]物品基础表!$B:$B,0)),"")</f>
        <v/>
      </c>
      <c r="AG230" s="1" t="str">
        <f>IFERROR(INDEX([1]物品基础表!$A:$A,MATCH(AF230,[1]物品基础表!$B:$B,0)),"")</f>
        <v/>
      </c>
      <c r="AJ230" s="1" t="str">
        <f>IFERROR(INDEX([1]物品基础表!$A:$A,MATCH(AI230,[1]物品基础表!$B:$B,0)),"")</f>
        <v/>
      </c>
      <c r="AM230" s="1" t="str">
        <f>IFERROR(INDEX([1]物品基础表!$A:$A,MATCH(AL230,[1]物品基础表!$B:$B,0)),"")</f>
        <v/>
      </c>
      <c r="AP230" s="1" t="str">
        <f>IFERROR(INDEX([1]物品基础表!$A:$A,MATCH(AO230,[1]物品基础表!$B:$B,0)),"")</f>
        <v/>
      </c>
      <c r="AS230" s="1" t="str">
        <f>IFERROR(INDEX([1]物品基础表!$A:$A,MATCH(AR230,[1]物品基础表!$B:$B,0)),"")</f>
        <v/>
      </c>
      <c r="AV230" s="1" t="str">
        <f>IFERROR(INDEX([1]物品基础表!$A:$A,MATCH(AU230,[1]物品基础表!$B:$B,0)),"")</f>
        <v/>
      </c>
      <c r="AY230" s="1" t="str">
        <f>IFERROR(INDEX([1]物品基础表!$A:$A,MATCH(AX230,[1]物品基础表!$B:$B,0)),"")</f>
        <v/>
      </c>
      <c r="BB230" s="1" t="str">
        <f>IFERROR(INDEX([1]物品基础表!$A:$A,MATCH(BA230,[1]物品基础表!$B:$B,0)),"")</f>
        <v/>
      </c>
      <c r="BE230" s="1" t="str">
        <f>IFERROR(INDEX([1]物品基础表!$A:$A,MATCH(BD230,[1]物品基础表!$B:$B,0)),"")</f>
        <v/>
      </c>
      <c r="BH230" s="1" t="str">
        <f>IFERROR(INDEX([1]物品基础表!$A:$A,MATCH(BG230,[1]物品基础表!$B:$B,0)),"")</f>
        <v/>
      </c>
      <c r="BK230" s="1" t="str">
        <f>IFERROR(INDEX([1]物品基础表!$A:$A,MATCH(BJ230,[1]物品基础表!$B:$B,0)),"")</f>
        <v/>
      </c>
    </row>
    <row r="231" spans="1:63">
      <c r="A231" s="39" t="str">
        <f>INDEX([2]活动总表!$A$8:$A$429,MATCH(B231,[2]活动总表!$B$8:$B$429,0))</f>
        <v>小年神羽转盘（15-30天）</v>
      </c>
      <c r="B231" s="40">
        <v>448</v>
      </c>
      <c r="C231" s="40">
        <v>5</v>
      </c>
      <c r="D231" s="40"/>
      <c r="E231" s="40"/>
      <c r="F231" s="40" t="s">
        <v>858</v>
      </c>
      <c r="G231" s="40">
        <v>5</v>
      </c>
      <c r="H231" s="40"/>
      <c r="I231" s="40"/>
      <c r="J231" s="57"/>
      <c r="K231" s="1">
        <v>200167</v>
      </c>
      <c r="L231" s="1" t="str">
        <f>IFERROR(INDEX([1]物品基础表!$A:$A,MATCH(K231,[1]物品基础表!$B:$B,0)),"")</f>
        <v>黑铁</v>
      </c>
      <c r="M231" s="1">
        <v>200</v>
      </c>
      <c r="O231" s="1" t="str">
        <f>IFERROR(INDEX([1]物品基础表!$A:$A,MATCH(N231,[1]物品基础表!$B:$B,0)),"")</f>
        <v/>
      </c>
      <c r="R231" s="1" t="str">
        <f>IFERROR(INDEX([1]物品基础表!$A:$A,MATCH(Q231,[1]物品基础表!$B:$B,0)),"")</f>
        <v/>
      </c>
      <c r="U231" s="1" t="str">
        <f>IFERROR(INDEX([1]物品基础表!$A:$A,MATCH(T231,[1]物品基础表!$B:$B,0)),"")</f>
        <v/>
      </c>
      <c r="X231" s="1" t="str">
        <f>IFERROR(INDEX([1]物品基础表!$A:$A,MATCH(W231,[1]物品基础表!$B:$B,0)),"")</f>
        <v/>
      </c>
      <c r="AA231" s="1" t="str">
        <f>IFERROR(INDEX([1]物品基础表!$A:$A,MATCH(Z231,[1]物品基础表!$B:$B,0)),"")</f>
        <v/>
      </c>
      <c r="AD231" s="1" t="str">
        <f>IFERROR(INDEX([1]物品基础表!$A:$A,MATCH(AC231,[1]物品基础表!$B:$B,0)),"")</f>
        <v/>
      </c>
      <c r="AG231" s="1" t="str">
        <f>IFERROR(INDEX([1]物品基础表!$A:$A,MATCH(AF231,[1]物品基础表!$B:$B,0)),"")</f>
        <v/>
      </c>
      <c r="AJ231" s="1" t="str">
        <f>IFERROR(INDEX([1]物品基础表!$A:$A,MATCH(AI231,[1]物品基础表!$B:$B,0)),"")</f>
        <v/>
      </c>
      <c r="AM231" s="1" t="str">
        <f>IFERROR(INDEX([1]物品基础表!$A:$A,MATCH(AL231,[1]物品基础表!$B:$B,0)),"")</f>
        <v/>
      </c>
      <c r="AP231" s="1" t="str">
        <f>IFERROR(INDEX([1]物品基础表!$A:$A,MATCH(AO231,[1]物品基础表!$B:$B,0)),"")</f>
        <v/>
      </c>
      <c r="AS231" s="1" t="str">
        <f>IFERROR(INDEX([1]物品基础表!$A:$A,MATCH(AR231,[1]物品基础表!$B:$B,0)),"")</f>
        <v/>
      </c>
      <c r="AV231" s="1" t="str">
        <f>IFERROR(INDEX([1]物品基础表!$A:$A,MATCH(AU231,[1]物品基础表!$B:$B,0)),"")</f>
        <v/>
      </c>
      <c r="AY231" s="1" t="str">
        <f>IFERROR(INDEX([1]物品基础表!$A:$A,MATCH(AX231,[1]物品基础表!$B:$B,0)),"")</f>
        <v/>
      </c>
      <c r="BB231" s="1" t="str">
        <f>IFERROR(INDEX([1]物品基础表!$A:$A,MATCH(BA231,[1]物品基础表!$B:$B,0)),"")</f>
        <v/>
      </c>
      <c r="BE231" s="1" t="str">
        <f>IFERROR(INDEX([1]物品基础表!$A:$A,MATCH(BD231,[1]物品基础表!$B:$B,0)),"")</f>
        <v/>
      </c>
      <c r="BH231" s="1" t="str">
        <f>IFERROR(INDEX([1]物品基础表!$A:$A,MATCH(BG231,[1]物品基础表!$B:$B,0)),"")</f>
        <v/>
      </c>
      <c r="BK231" s="1" t="str">
        <f>IFERROR(INDEX([1]物品基础表!$A:$A,MATCH(BJ231,[1]物品基础表!$B:$B,0)),"")</f>
        <v/>
      </c>
    </row>
    <row r="232" spans="1:63">
      <c r="A232" s="39" t="str">
        <f>INDEX([2]活动总表!$A$8:$A$429,MATCH(B232,[2]活动总表!$B$8:$B$429,0))</f>
        <v>小年神羽转盘（15-30天）</v>
      </c>
      <c r="B232" s="40">
        <v>448</v>
      </c>
      <c r="C232" s="40">
        <v>6</v>
      </c>
      <c r="D232" s="40"/>
      <c r="E232" s="40"/>
      <c r="F232" s="40" t="s">
        <v>860</v>
      </c>
      <c r="G232" s="40">
        <v>5</v>
      </c>
      <c r="H232" s="40"/>
      <c r="I232" s="40"/>
      <c r="J232" s="57"/>
      <c r="K232" s="1">
        <v>200316</v>
      </c>
      <c r="L232" s="1" t="str">
        <f>IFERROR(INDEX([1]物品基础表!$A:$A,MATCH(K232,[1]物品基础表!$B:$B,0)),"")</f>
        <v>3阶神羽宝箱</v>
      </c>
      <c r="M232" s="1">
        <v>1</v>
      </c>
      <c r="O232" s="1" t="str">
        <f>IFERROR(INDEX([1]物品基础表!$A:$A,MATCH(N232,[1]物品基础表!$B:$B,0)),"")</f>
        <v/>
      </c>
      <c r="R232" s="1" t="str">
        <f>IFERROR(INDEX([1]物品基础表!$A:$A,MATCH(Q232,[1]物品基础表!$B:$B,0)),"")</f>
        <v/>
      </c>
      <c r="U232" s="1" t="str">
        <f>IFERROR(INDEX([1]物品基础表!$A:$A,MATCH(T232,[1]物品基础表!$B:$B,0)),"")</f>
        <v/>
      </c>
      <c r="X232" s="1" t="str">
        <f>IFERROR(INDEX([1]物品基础表!$A:$A,MATCH(W232,[1]物品基础表!$B:$B,0)),"")</f>
        <v/>
      </c>
      <c r="AA232" s="1" t="str">
        <f>IFERROR(INDEX([1]物品基础表!$A:$A,MATCH(Z232,[1]物品基础表!$B:$B,0)),"")</f>
        <v/>
      </c>
      <c r="AD232" s="1" t="str">
        <f>IFERROR(INDEX([1]物品基础表!$A:$A,MATCH(AC232,[1]物品基础表!$B:$B,0)),"")</f>
        <v/>
      </c>
      <c r="AG232" s="1" t="str">
        <f>IFERROR(INDEX([1]物品基础表!$A:$A,MATCH(AF232,[1]物品基础表!$B:$B,0)),"")</f>
        <v/>
      </c>
      <c r="AJ232" s="1" t="str">
        <f>IFERROR(INDEX([1]物品基础表!$A:$A,MATCH(AI232,[1]物品基础表!$B:$B,0)),"")</f>
        <v/>
      </c>
      <c r="AM232" s="1" t="str">
        <f>IFERROR(INDEX([1]物品基础表!$A:$A,MATCH(AL232,[1]物品基础表!$B:$B,0)),"")</f>
        <v/>
      </c>
      <c r="AP232" s="1" t="str">
        <f>IFERROR(INDEX([1]物品基础表!$A:$A,MATCH(AO232,[1]物品基础表!$B:$B,0)),"")</f>
        <v/>
      </c>
      <c r="AS232" s="1" t="str">
        <f>IFERROR(INDEX([1]物品基础表!$A:$A,MATCH(AR232,[1]物品基础表!$B:$B,0)),"")</f>
        <v/>
      </c>
      <c r="AV232" s="1" t="str">
        <f>IFERROR(INDEX([1]物品基础表!$A:$A,MATCH(AU232,[1]物品基础表!$B:$B,0)),"")</f>
        <v/>
      </c>
      <c r="AY232" s="1" t="str">
        <f>IFERROR(INDEX([1]物品基础表!$A:$A,MATCH(AX232,[1]物品基础表!$B:$B,0)),"")</f>
        <v/>
      </c>
      <c r="BB232" s="1" t="str">
        <f>IFERROR(INDEX([1]物品基础表!$A:$A,MATCH(BA232,[1]物品基础表!$B:$B,0)),"")</f>
        <v/>
      </c>
      <c r="BE232" s="1" t="str">
        <f>IFERROR(INDEX([1]物品基础表!$A:$A,MATCH(BD232,[1]物品基础表!$B:$B,0)),"")</f>
        <v/>
      </c>
      <c r="BH232" s="1" t="str">
        <f>IFERROR(INDEX([1]物品基础表!$A:$A,MATCH(BG232,[1]物品基础表!$B:$B,0)),"")</f>
        <v/>
      </c>
      <c r="BK232" s="1" t="str">
        <f>IFERROR(INDEX([1]物品基础表!$A:$A,MATCH(BJ232,[1]物品基础表!$B:$B,0)),"")</f>
        <v/>
      </c>
    </row>
    <row r="233" spans="1:63">
      <c r="A233" s="39" t="str">
        <f>INDEX([2]活动总表!$A$8:$A$429,MATCH(B233,[2]活动总表!$B$8:$B$429,0))</f>
        <v>小年神羽转盘（15-30天）</v>
      </c>
      <c r="B233" s="40">
        <v>448</v>
      </c>
      <c r="C233" s="40">
        <v>7</v>
      </c>
      <c r="D233" s="40"/>
      <c r="E233" s="40"/>
      <c r="F233" s="40" t="s">
        <v>858</v>
      </c>
      <c r="G233" s="40">
        <v>5</v>
      </c>
      <c r="H233" s="40"/>
      <c r="I233" s="40"/>
      <c r="J233" s="57"/>
      <c r="K233" s="1">
        <v>200001</v>
      </c>
      <c r="L233" s="1" t="str">
        <f>IFERROR(INDEX([1]物品基础表!$A:$A,MATCH(K233,[1]物品基础表!$B:$B,0)),"")</f>
        <v>羽毛</v>
      </c>
      <c r="M233" s="1">
        <v>7</v>
      </c>
      <c r="O233" s="1" t="str">
        <f>IFERROR(INDEX([1]物品基础表!$A:$A,MATCH(N233,[1]物品基础表!$B:$B,0)),"")</f>
        <v/>
      </c>
      <c r="R233" s="1" t="str">
        <f>IFERROR(INDEX([1]物品基础表!$A:$A,MATCH(Q233,[1]物品基础表!$B:$B,0)),"")</f>
        <v/>
      </c>
      <c r="U233" s="1" t="str">
        <f>IFERROR(INDEX([1]物品基础表!$A:$A,MATCH(T233,[1]物品基础表!$B:$B,0)),"")</f>
        <v/>
      </c>
      <c r="X233" s="1" t="str">
        <f>IFERROR(INDEX([1]物品基础表!$A:$A,MATCH(W233,[1]物品基础表!$B:$B,0)),"")</f>
        <v/>
      </c>
      <c r="AA233" s="1" t="str">
        <f>IFERROR(INDEX([1]物品基础表!$A:$A,MATCH(Z233,[1]物品基础表!$B:$B,0)),"")</f>
        <v/>
      </c>
      <c r="AD233" s="1" t="str">
        <f>IFERROR(INDEX([1]物品基础表!$A:$A,MATCH(AC233,[1]物品基础表!$B:$B,0)),"")</f>
        <v/>
      </c>
      <c r="AG233" s="1" t="str">
        <f>IFERROR(INDEX([1]物品基础表!$A:$A,MATCH(AF233,[1]物品基础表!$B:$B,0)),"")</f>
        <v/>
      </c>
      <c r="AJ233" s="1" t="str">
        <f>IFERROR(INDEX([1]物品基础表!$A:$A,MATCH(AI233,[1]物品基础表!$B:$B,0)),"")</f>
        <v/>
      </c>
      <c r="AM233" s="1" t="str">
        <f>IFERROR(INDEX([1]物品基础表!$A:$A,MATCH(AL233,[1]物品基础表!$B:$B,0)),"")</f>
        <v/>
      </c>
      <c r="AP233" s="1" t="str">
        <f>IFERROR(INDEX([1]物品基础表!$A:$A,MATCH(AO233,[1]物品基础表!$B:$B,0)),"")</f>
        <v/>
      </c>
      <c r="AS233" s="1" t="str">
        <f>IFERROR(INDEX([1]物品基础表!$A:$A,MATCH(AR233,[1]物品基础表!$B:$B,0)),"")</f>
        <v/>
      </c>
      <c r="AV233" s="1" t="str">
        <f>IFERROR(INDEX([1]物品基础表!$A:$A,MATCH(AU233,[1]物品基础表!$B:$B,0)),"")</f>
        <v/>
      </c>
      <c r="AY233" s="1" t="str">
        <f>IFERROR(INDEX([1]物品基础表!$A:$A,MATCH(AX233,[1]物品基础表!$B:$B,0)),"")</f>
        <v/>
      </c>
      <c r="BB233" s="1" t="str">
        <f>IFERROR(INDEX([1]物品基础表!$A:$A,MATCH(BA233,[1]物品基础表!$B:$B,0)),"")</f>
        <v/>
      </c>
      <c r="BE233" s="1" t="str">
        <f>IFERROR(INDEX([1]物品基础表!$A:$A,MATCH(BD233,[1]物品基础表!$B:$B,0)),"")</f>
        <v/>
      </c>
      <c r="BH233" s="1" t="str">
        <f>IFERROR(INDEX([1]物品基础表!$A:$A,MATCH(BG233,[1]物品基础表!$B:$B,0)),"")</f>
        <v/>
      </c>
      <c r="BK233" s="1" t="str">
        <f>IFERROR(INDEX([1]物品基础表!$A:$A,MATCH(BJ233,[1]物品基础表!$B:$B,0)),"")</f>
        <v/>
      </c>
    </row>
    <row r="234" spans="1:63">
      <c r="A234" s="39" t="str">
        <f>INDEX([2]活动总表!$A$8:$A$429,MATCH(B234,[2]活动总表!$B$8:$B$429,0))</f>
        <v>小年神羽转盘（15-30天）</v>
      </c>
      <c r="B234" s="40">
        <v>448</v>
      </c>
      <c r="C234" s="40">
        <v>8</v>
      </c>
      <c r="D234" s="40"/>
      <c r="E234" s="40"/>
      <c r="F234" s="40" t="s">
        <v>861</v>
      </c>
      <c r="G234" s="40">
        <v>5</v>
      </c>
      <c r="H234" s="40"/>
      <c r="I234" s="40"/>
      <c r="J234" s="57"/>
      <c r="K234" s="1">
        <v>200301</v>
      </c>
      <c r="L234" s="1" t="str">
        <f>IFERROR(INDEX([1]物品基础表!$A:$A,MATCH(K234,[1]物品基础表!$B:$B,0)),"")</f>
        <v>传世宝钻</v>
      </c>
      <c r="M234" s="1">
        <v>50</v>
      </c>
      <c r="O234" s="1" t="str">
        <f>IFERROR(INDEX([1]物品基础表!$A:$A,MATCH(N234,[1]物品基础表!$B:$B,0)),"")</f>
        <v/>
      </c>
      <c r="R234" s="1" t="str">
        <f>IFERROR(INDEX([1]物品基础表!$A:$A,MATCH(Q234,[1]物品基础表!$B:$B,0)),"")</f>
        <v/>
      </c>
      <c r="U234" s="1" t="str">
        <f>IFERROR(INDEX([1]物品基础表!$A:$A,MATCH(T234,[1]物品基础表!$B:$B,0)),"")</f>
        <v/>
      </c>
      <c r="X234" s="1" t="str">
        <f>IFERROR(INDEX([1]物品基础表!$A:$A,MATCH(W234,[1]物品基础表!$B:$B,0)),"")</f>
        <v/>
      </c>
      <c r="AA234" s="1" t="str">
        <f>IFERROR(INDEX([1]物品基础表!$A:$A,MATCH(Z234,[1]物品基础表!$B:$B,0)),"")</f>
        <v/>
      </c>
      <c r="AD234" s="1" t="str">
        <f>IFERROR(INDEX([1]物品基础表!$A:$A,MATCH(AC234,[1]物品基础表!$B:$B,0)),"")</f>
        <v/>
      </c>
      <c r="AG234" s="1" t="str">
        <f>IFERROR(INDEX([1]物品基础表!$A:$A,MATCH(AF234,[1]物品基础表!$B:$B,0)),"")</f>
        <v/>
      </c>
      <c r="AJ234" s="1" t="str">
        <f>IFERROR(INDEX([1]物品基础表!$A:$A,MATCH(AI234,[1]物品基础表!$B:$B,0)),"")</f>
        <v/>
      </c>
      <c r="AM234" s="1" t="str">
        <f>IFERROR(INDEX([1]物品基础表!$A:$A,MATCH(AL234,[1]物品基础表!$B:$B,0)),"")</f>
        <v/>
      </c>
      <c r="AP234" s="1" t="str">
        <f>IFERROR(INDEX([1]物品基础表!$A:$A,MATCH(AO234,[1]物品基础表!$B:$B,0)),"")</f>
        <v/>
      </c>
      <c r="AS234" s="1" t="str">
        <f>IFERROR(INDEX([1]物品基础表!$A:$A,MATCH(AR234,[1]物品基础表!$B:$B,0)),"")</f>
        <v/>
      </c>
      <c r="AV234" s="1" t="str">
        <f>IFERROR(INDEX([1]物品基础表!$A:$A,MATCH(AU234,[1]物品基础表!$B:$B,0)),"")</f>
        <v/>
      </c>
      <c r="AY234" s="1" t="str">
        <f>IFERROR(INDEX([1]物品基础表!$A:$A,MATCH(AX234,[1]物品基础表!$B:$B,0)),"")</f>
        <v/>
      </c>
      <c r="BB234" s="1" t="str">
        <f>IFERROR(INDEX([1]物品基础表!$A:$A,MATCH(BA234,[1]物品基础表!$B:$B,0)),"")</f>
        <v/>
      </c>
      <c r="BE234" s="1" t="str">
        <f>IFERROR(INDEX([1]物品基础表!$A:$A,MATCH(BD234,[1]物品基础表!$B:$B,0)),"")</f>
        <v/>
      </c>
      <c r="BH234" s="1" t="str">
        <f>IFERROR(INDEX([1]物品基础表!$A:$A,MATCH(BG234,[1]物品基础表!$B:$B,0)),"")</f>
        <v/>
      </c>
      <c r="BK234" s="1" t="str">
        <f>IFERROR(INDEX([1]物品基础表!$A:$A,MATCH(BJ234,[1]物品基础表!$B:$B,0)),"")</f>
        <v/>
      </c>
    </row>
    <row r="235" spans="1:63">
      <c r="A235" s="39" t="str">
        <f>INDEX([2]活动总表!$A$8:$A$429,MATCH(B235,[2]活动总表!$B$8:$B$429,0))</f>
        <v>小年神羽转盘（15-30天）</v>
      </c>
      <c r="B235" s="40">
        <v>448</v>
      </c>
      <c r="C235" s="40">
        <v>9</v>
      </c>
      <c r="D235" s="40"/>
      <c r="E235" s="40"/>
      <c r="F235" s="40" t="s">
        <v>858</v>
      </c>
      <c r="G235" s="40">
        <v>5</v>
      </c>
      <c r="H235" s="40"/>
      <c r="I235" s="40"/>
      <c r="J235" s="57"/>
      <c r="K235" s="1">
        <v>200167</v>
      </c>
      <c r="L235" s="1" t="str">
        <f>IFERROR(INDEX([1]物品基础表!$A:$A,MATCH(K235,[1]物品基础表!$B:$B,0)),"")</f>
        <v>黑铁</v>
      </c>
      <c r="M235" s="1">
        <v>400</v>
      </c>
      <c r="O235" s="1" t="str">
        <f>IFERROR(INDEX([1]物品基础表!$A:$A,MATCH(N235,[1]物品基础表!$B:$B,0)),"")</f>
        <v/>
      </c>
      <c r="R235" s="1" t="str">
        <f>IFERROR(INDEX([1]物品基础表!$A:$A,MATCH(Q235,[1]物品基础表!$B:$B,0)),"")</f>
        <v/>
      </c>
      <c r="U235" s="1" t="str">
        <f>IFERROR(INDEX([1]物品基础表!$A:$A,MATCH(T235,[1]物品基础表!$B:$B,0)),"")</f>
        <v/>
      </c>
      <c r="X235" s="1" t="str">
        <f>IFERROR(INDEX([1]物品基础表!$A:$A,MATCH(W235,[1]物品基础表!$B:$B,0)),"")</f>
        <v/>
      </c>
      <c r="AA235" s="1" t="str">
        <f>IFERROR(INDEX([1]物品基础表!$A:$A,MATCH(Z235,[1]物品基础表!$B:$B,0)),"")</f>
        <v/>
      </c>
      <c r="AD235" s="1" t="str">
        <f>IFERROR(INDEX([1]物品基础表!$A:$A,MATCH(AC235,[1]物品基础表!$B:$B,0)),"")</f>
        <v/>
      </c>
      <c r="AG235" s="1" t="str">
        <f>IFERROR(INDEX([1]物品基础表!$A:$A,MATCH(AF235,[1]物品基础表!$B:$B,0)),"")</f>
        <v/>
      </c>
      <c r="AJ235" s="1" t="str">
        <f>IFERROR(INDEX([1]物品基础表!$A:$A,MATCH(AI235,[1]物品基础表!$B:$B,0)),"")</f>
        <v/>
      </c>
      <c r="AM235" s="1" t="str">
        <f>IFERROR(INDEX([1]物品基础表!$A:$A,MATCH(AL235,[1]物品基础表!$B:$B,0)),"")</f>
        <v/>
      </c>
      <c r="AP235" s="1" t="str">
        <f>IFERROR(INDEX([1]物品基础表!$A:$A,MATCH(AO235,[1]物品基础表!$B:$B,0)),"")</f>
        <v/>
      </c>
      <c r="AS235" s="1" t="str">
        <f>IFERROR(INDEX([1]物品基础表!$A:$A,MATCH(AR235,[1]物品基础表!$B:$B,0)),"")</f>
        <v/>
      </c>
      <c r="AV235" s="1" t="str">
        <f>IFERROR(INDEX([1]物品基础表!$A:$A,MATCH(AU235,[1]物品基础表!$B:$B,0)),"")</f>
        <v/>
      </c>
      <c r="AY235" s="1" t="str">
        <f>IFERROR(INDEX([1]物品基础表!$A:$A,MATCH(AX235,[1]物品基础表!$B:$B,0)),"")</f>
        <v/>
      </c>
      <c r="BB235" s="1" t="str">
        <f>IFERROR(INDEX([1]物品基础表!$A:$A,MATCH(BA235,[1]物品基础表!$B:$B,0)),"")</f>
        <v/>
      </c>
      <c r="BE235" s="1" t="str">
        <f>IFERROR(INDEX([1]物品基础表!$A:$A,MATCH(BD235,[1]物品基础表!$B:$B,0)),"")</f>
        <v/>
      </c>
      <c r="BH235" s="1" t="str">
        <f>IFERROR(INDEX([1]物品基础表!$A:$A,MATCH(BG235,[1]物品基础表!$B:$B,0)),"")</f>
        <v/>
      </c>
      <c r="BK235" s="1" t="str">
        <f>IFERROR(INDEX([1]物品基础表!$A:$A,MATCH(BJ235,[1]物品基础表!$B:$B,0)),"")</f>
        <v/>
      </c>
    </row>
    <row r="236" spans="1:63">
      <c r="A236" s="39" t="str">
        <f>INDEX([2]活动总表!$A$8:$A$429,MATCH(B236,[2]活动总表!$B$8:$B$429,0))</f>
        <v>小年神羽转盘（15-30天）</v>
      </c>
      <c r="B236" s="40">
        <v>448</v>
      </c>
      <c r="C236" s="40">
        <v>10</v>
      </c>
      <c r="D236" s="40"/>
      <c r="E236" s="40"/>
      <c r="F236" s="40" t="s">
        <v>862</v>
      </c>
      <c r="G236" s="40">
        <v>5</v>
      </c>
      <c r="H236" s="40"/>
      <c r="I236" s="40"/>
      <c r="J236" s="57"/>
      <c r="K236" s="1">
        <v>601000</v>
      </c>
      <c r="L236" s="1" t="str">
        <f>IFERROR(INDEX([1]物品基础表!$A:$A,MATCH(K236,[1]物品基础表!$B:$B,0)),"")</f>
        <v>神羽碎片</v>
      </c>
      <c r="M236" s="1">
        <v>20</v>
      </c>
      <c r="O236" s="1" t="str">
        <f>IFERROR(INDEX([1]物品基础表!$A:$A,MATCH(N236,[1]物品基础表!$B:$B,0)),"")</f>
        <v/>
      </c>
      <c r="R236" s="1" t="str">
        <f>IFERROR(INDEX([1]物品基础表!$A:$A,MATCH(Q236,[1]物品基础表!$B:$B,0)),"")</f>
        <v/>
      </c>
      <c r="U236" s="1" t="str">
        <f>IFERROR(INDEX([1]物品基础表!$A:$A,MATCH(T236,[1]物品基础表!$B:$B,0)),"")</f>
        <v/>
      </c>
      <c r="X236" s="1" t="str">
        <f>IFERROR(INDEX([1]物品基础表!$A:$A,MATCH(W236,[1]物品基础表!$B:$B,0)),"")</f>
        <v/>
      </c>
      <c r="AA236" s="1" t="str">
        <f>IFERROR(INDEX([1]物品基础表!$A:$A,MATCH(Z236,[1]物品基础表!$B:$B,0)),"")</f>
        <v/>
      </c>
      <c r="AD236" s="1" t="str">
        <f>IFERROR(INDEX([1]物品基础表!$A:$A,MATCH(AC236,[1]物品基础表!$B:$B,0)),"")</f>
        <v/>
      </c>
      <c r="AG236" s="1" t="str">
        <f>IFERROR(INDEX([1]物品基础表!$A:$A,MATCH(AF236,[1]物品基础表!$B:$B,0)),"")</f>
        <v/>
      </c>
      <c r="AJ236" s="1" t="str">
        <f>IFERROR(INDEX([1]物品基础表!$A:$A,MATCH(AI236,[1]物品基础表!$B:$B,0)),"")</f>
        <v/>
      </c>
      <c r="AM236" s="1" t="str">
        <f>IFERROR(INDEX([1]物品基础表!$A:$A,MATCH(AL236,[1]物品基础表!$B:$B,0)),"")</f>
        <v/>
      </c>
      <c r="AP236" s="1" t="str">
        <f>IFERROR(INDEX([1]物品基础表!$A:$A,MATCH(AO236,[1]物品基础表!$B:$B,0)),"")</f>
        <v/>
      </c>
      <c r="AS236" s="1" t="str">
        <f>IFERROR(INDEX([1]物品基础表!$A:$A,MATCH(AR236,[1]物品基础表!$B:$B,0)),"")</f>
        <v/>
      </c>
      <c r="AV236" s="1" t="str">
        <f>IFERROR(INDEX([1]物品基础表!$A:$A,MATCH(AU236,[1]物品基础表!$B:$B,0)),"")</f>
        <v/>
      </c>
      <c r="AY236" s="1" t="str">
        <f>IFERROR(INDEX([1]物品基础表!$A:$A,MATCH(AX236,[1]物品基础表!$B:$B,0)),"")</f>
        <v/>
      </c>
      <c r="BB236" s="1" t="str">
        <f>IFERROR(INDEX([1]物品基础表!$A:$A,MATCH(BA236,[1]物品基础表!$B:$B,0)),"")</f>
        <v/>
      </c>
      <c r="BE236" s="1" t="str">
        <f>IFERROR(INDEX([1]物品基础表!$A:$A,MATCH(BD236,[1]物品基础表!$B:$B,0)),"")</f>
        <v/>
      </c>
      <c r="BH236" s="1" t="str">
        <f>IFERROR(INDEX([1]物品基础表!$A:$A,MATCH(BG236,[1]物品基础表!$B:$B,0)),"")</f>
        <v/>
      </c>
      <c r="BK236" s="1" t="str">
        <f>IFERROR(INDEX([1]物品基础表!$A:$A,MATCH(BJ236,[1]物品基础表!$B:$B,0)),"")</f>
        <v/>
      </c>
    </row>
    <row r="237" spans="1:63">
      <c r="A237" s="39" t="str">
        <f>INDEX([2]活动总表!$A$8:$A$429,MATCH(B237,[2]活动总表!$B$8:$B$429,0))</f>
        <v>小年神羽转盘（31-60天）</v>
      </c>
      <c r="B237" s="40">
        <v>455</v>
      </c>
      <c r="C237" s="40">
        <v>0</v>
      </c>
      <c r="D237" s="40">
        <v>200309</v>
      </c>
      <c r="E237" s="40">
        <v>500</v>
      </c>
      <c r="F237" s="40"/>
      <c r="G237" s="40">
        <v>5</v>
      </c>
      <c r="H237" s="40"/>
      <c r="I237" s="40" t="s">
        <v>856</v>
      </c>
      <c r="J237" s="57" t="s">
        <v>854</v>
      </c>
      <c r="K237" s="1">
        <v>1</v>
      </c>
      <c r="L237" s="1" t="s">
        <v>901</v>
      </c>
      <c r="M237" s="1">
        <v>500000</v>
      </c>
      <c r="O237" s="1" t="str">
        <f>IFERROR(INDEX([1]物品基础表!$A:$A,MATCH(N237,[1]物品基础表!$B:$B,0)),"")</f>
        <v/>
      </c>
      <c r="R237" s="1" t="str">
        <f>IFERROR(INDEX([1]物品基础表!$A:$A,MATCH(Q237,[1]物品基础表!$B:$B,0)),"")</f>
        <v/>
      </c>
      <c r="U237" s="1" t="str">
        <f>IFERROR(INDEX([1]物品基础表!$A:$A,MATCH(T237,[1]物品基础表!$B:$B,0)),"")</f>
        <v/>
      </c>
      <c r="X237" s="1" t="str">
        <f>IFERROR(INDEX([1]物品基础表!$A:$A,MATCH(W237,[1]物品基础表!$B:$B,0)),"")</f>
        <v/>
      </c>
      <c r="AA237" s="1" t="str">
        <f>IFERROR(INDEX([1]物品基础表!$A:$A,MATCH(Z237,[1]物品基础表!$B:$B,0)),"")</f>
        <v/>
      </c>
      <c r="AD237" s="1" t="str">
        <f>IFERROR(INDEX([1]物品基础表!$A:$A,MATCH(AC237,[1]物品基础表!$B:$B,0)),"")</f>
        <v/>
      </c>
      <c r="AG237" s="1" t="str">
        <f>IFERROR(INDEX([1]物品基础表!$A:$A,MATCH(AF237,[1]物品基础表!$B:$B,0)),"")</f>
        <v/>
      </c>
      <c r="AJ237" s="1" t="str">
        <f>IFERROR(INDEX([1]物品基础表!$A:$A,MATCH(AI237,[1]物品基础表!$B:$B,0)),"")</f>
        <v/>
      </c>
      <c r="AM237" s="1" t="str">
        <f>IFERROR(INDEX([1]物品基础表!$A:$A,MATCH(AL237,[1]物品基础表!$B:$B,0)),"")</f>
        <v/>
      </c>
      <c r="AP237" s="1" t="str">
        <f>IFERROR(INDEX([1]物品基础表!$A:$A,MATCH(AO237,[1]物品基础表!$B:$B,0)),"")</f>
        <v/>
      </c>
      <c r="AS237" s="1" t="str">
        <f>IFERROR(INDEX([1]物品基础表!$A:$A,MATCH(AR237,[1]物品基础表!$B:$B,0)),"")</f>
        <v/>
      </c>
      <c r="AV237" s="1" t="str">
        <f>IFERROR(INDEX([1]物品基础表!$A:$A,MATCH(AU237,[1]物品基础表!$B:$B,0)),"")</f>
        <v/>
      </c>
      <c r="AY237" s="1" t="str">
        <f>IFERROR(INDEX([1]物品基础表!$A:$A,MATCH(AX237,[1]物品基础表!$B:$B,0)),"")</f>
        <v/>
      </c>
      <c r="BB237" s="1" t="str">
        <f>IFERROR(INDEX([1]物品基础表!$A:$A,MATCH(BA237,[1]物品基础表!$B:$B,0)),"")</f>
        <v/>
      </c>
      <c r="BE237" s="1" t="str">
        <f>IFERROR(INDEX([1]物品基础表!$A:$A,MATCH(BD237,[1]物品基础表!$B:$B,0)),"")</f>
        <v/>
      </c>
      <c r="BH237" s="1" t="str">
        <f>IFERROR(INDEX([1]物品基础表!$A:$A,MATCH(BG237,[1]物品基础表!$B:$B,0)),"")</f>
        <v/>
      </c>
      <c r="BK237" s="1" t="str">
        <f>IFERROR(INDEX([1]物品基础表!$A:$A,MATCH(BJ237,[1]物品基础表!$B:$B,0)),"")</f>
        <v/>
      </c>
    </row>
    <row r="238" spans="1:63">
      <c r="A238" s="39" t="str">
        <f>INDEX([2]活动总表!$A$8:$A$429,MATCH(B238,[2]活动总表!$B$8:$B$429,0))</f>
        <v>小年神羽转盘（31-60天）</v>
      </c>
      <c r="B238" s="40">
        <v>455</v>
      </c>
      <c r="C238" s="40">
        <v>1</v>
      </c>
      <c r="D238" s="40"/>
      <c r="E238" s="40"/>
      <c r="F238" s="40" t="s">
        <v>857</v>
      </c>
      <c r="G238" s="40">
        <v>5</v>
      </c>
      <c r="H238" s="40"/>
      <c r="I238" s="40"/>
      <c r="J238" s="57"/>
      <c r="K238" s="1">
        <v>204166</v>
      </c>
      <c r="L238" s="1" t="str">
        <f>IFERROR(INDEX([1]物品基础表!$A:$A,MATCH(K238,[1]物品基础表!$B:$B,0)),"")</f>
        <v>"龙翔九天"</v>
      </c>
      <c r="M238" s="1">
        <v>1</v>
      </c>
      <c r="O238" s="1" t="str">
        <f>IFERROR(INDEX([1]物品基础表!$A:$A,MATCH(N238,[1]物品基础表!$B:$B,0)),"")</f>
        <v/>
      </c>
      <c r="R238" s="1" t="str">
        <f>IFERROR(INDEX([1]物品基础表!$A:$A,MATCH(Q238,[1]物品基础表!$B:$B,0)),"")</f>
        <v/>
      </c>
      <c r="U238" s="1" t="str">
        <f>IFERROR(INDEX([1]物品基础表!$A:$A,MATCH(T238,[1]物品基础表!$B:$B,0)),"")</f>
        <v/>
      </c>
      <c r="X238" s="1" t="str">
        <f>IFERROR(INDEX([1]物品基础表!$A:$A,MATCH(W238,[1]物品基础表!$B:$B,0)),"")</f>
        <v/>
      </c>
      <c r="AA238" s="1" t="str">
        <f>IFERROR(INDEX([1]物品基础表!$A:$A,MATCH(Z238,[1]物品基础表!$B:$B,0)),"")</f>
        <v/>
      </c>
      <c r="AD238" s="1" t="str">
        <f>IFERROR(INDEX([1]物品基础表!$A:$A,MATCH(AC238,[1]物品基础表!$B:$B,0)),"")</f>
        <v/>
      </c>
      <c r="AG238" s="1" t="str">
        <f>IFERROR(INDEX([1]物品基础表!$A:$A,MATCH(AF238,[1]物品基础表!$B:$B,0)),"")</f>
        <v/>
      </c>
      <c r="AJ238" s="1" t="str">
        <f>IFERROR(INDEX([1]物品基础表!$A:$A,MATCH(AI238,[1]物品基础表!$B:$B,0)),"")</f>
        <v/>
      </c>
      <c r="AM238" s="1" t="str">
        <f>IFERROR(INDEX([1]物品基础表!$A:$A,MATCH(AL238,[1]物品基础表!$B:$B,0)),"")</f>
        <v/>
      </c>
      <c r="AP238" s="1" t="str">
        <f>IFERROR(INDEX([1]物品基础表!$A:$A,MATCH(AO238,[1]物品基础表!$B:$B,0)),"")</f>
        <v/>
      </c>
      <c r="AS238" s="1" t="str">
        <f>IFERROR(INDEX([1]物品基础表!$A:$A,MATCH(AR238,[1]物品基础表!$B:$B,0)),"")</f>
        <v/>
      </c>
      <c r="AV238" s="1" t="str">
        <f>IFERROR(INDEX([1]物品基础表!$A:$A,MATCH(AU238,[1]物品基础表!$B:$B,0)),"")</f>
        <v/>
      </c>
      <c r="AY238" s="1" t="str">
        <f>IFERROR(INDEX([1]物品基础表!$A:$A,MATCH(AX238,[1]物品基础表!$B:$B,0)),"")</f>
        <v/>
      </c>
      <c r="BB238" s="1" t="str">
        <f>IFERROR(INDEX([1]物品基础表!$A:$A,MATCH(BA238,[1]物品基础表!$B:$B,0)),"")</f>
        <v/>
      </c>
      <c r="BE238" s="1" t="str">
        <f>IFERROR(INDEX([1]物品基础表!$A:$A,MATCH(BD238,[1]物品基础表!$B:$B,0)),"")</f>
        <v/>
      </c>
      <c r="BH238" s="1" t="str">
        <f>IFERROR(INDEX([1]物品基础表!$A:$A,MATCH(BG238,[1]物品基础表!$B:$B,0)),"")</f>
        <v/>
      </c>
      <c r="BK238" s="1" t="str">
        <f>IFERROR(INDEX([1]物品基础表!$A:$A,MATCH(BJ238,[1]物品基础表!$B:$B,0)),"")</f>
        <v/>
      </c>
    </row>
    <row r="239" spans="1:63">
      <c r="A239" s="39" t="str">
        <f>INDEX([2]活动总表!$A$8:$A$429,MATCH(B239,[2]活动总表!$B$8:$B$429,0))</f>
        <v>小年神羽转盘（31-60天）</v>
      </c>
      <c r="B239" s="40">
        <v>455</v>
      </c>
      <c r="C239" s="40">
        <v>2</v>
      </c>
      <c r="D239" s="40"/>
      <c r="E239" s="40"/>
      <c r="F239" s="40" t="s">
        <v>858</v>
      </c>
      <c r="G239" s="40">
        <v>5</v>
      </c>
      <c r="H239" s="40"/>
      <c r="I239" s="40"/>
      <c r="J239" s="57"/>
      <c r="K239" s="1">
        <v>200001</v>
      </c>
      <c r="L239" s="1" t="str">
        <f>IFERROR(INDEX([1]物品基础表!$A:$A,MATCH(K239,[1]物品基础表!$B:$B,0)),"")</f>
        <v>羽毛</v>
      </c>
      <c r="M239" s="1">
        <v>5</v>
      </c>
      <c r="O239" s="1" t="str">
        <f>IFERROR(INDEX([1]物品基础表!$A:$A,MATCH(N239,[1]物品基础表!$B:$B,0)),"")</f>
        <v/>
      </c>
      <c r="R239" s="1" t="str">
        <f>IFERROR(INDEX([1]物品基础表!$A:$A,MATCH(Q239,[1]物品基础表!$B:$B,0)),"")</f>
        <v/>
      </c>
      <c r="U239" s="1" t="str">
        <f>IFERROR(INDEX([1]物品基础表!$A:$A,MATCH(T239,[1]物品基础表!$B:$B,0)),"")</f>
        <v/>
      </c>
      <c r="X239" s="1" t="str">
        <f>IFERROR(INDEX([1]物品基础表!$A:$A,MATCH(W239,[1]物品基础表!$B:$B,0)),"")</f>
        <v/>
      </c>
      <c r="AA239" s="1" t="str">
        <f>IFERROR(INDEX([1]物品基础表!$A:$A,MATCH(Z239,[1]物品基础表!$B:$B,0)),"")</f>
        <v/>
      </c>
      <c r="AD239" s="1" t="str">
        <f>IFERROR(INDEX([1]物品基础表!$A:$A,MATCH(AC239,[1]物品基础表!$B:$B,0)),"")</f>
        <v/>
      </c>
      <c r="AG239" s="1" t="str">
        <f>IFERROR(INDEX([1]物品基础表!$A:$A,MATCH(AF239,[1]物品基础表!$B:$B,0)),"")</f>
        <v/>
      </c>
      <c r="AJ239" s="1" t="str">
        <f>IFERROR(INDEX([1]物品基础表!$A:$A,MATCH(AI239,[1]物品基础表!$B:$B,0)),"")</f>
        <v/>
      </c>
      <c r="AM239" s="1" t="str">
        <f>IFERROR(INDEX([1]物品基础表!$A:$A,MATCH(AL239,[1]物品基础表!$B:$B,0)),"")</f>
        <v/>
      </c>
      <c r="AP239" s="1" t="str">
        <f>IFERROR(INDEX([1]物品基础表!$A:$A,MATCH(AO239,[1]物品基础表!$B:$B,0)),"")</f>
        <v/>
      </c>
      <c r="AS239" s="1" t="str">
        <f>IFERROR(INDEX([1]物品基础表!$A:$A,MATCH(AR239,[1]物品基础表!$B:$B,0)),"")</f>
        <v/>
      </c>
      <c r="AV239" s="1" t="str">
        <f>IFERROR(INDEX([1]物品基础表!$A:$A,MATCH(AU239,[1]物品基础表!$B:$B,0)),"")</f>
        <v/>
      </c>
      <c r="AY239" s="1" t="str">
        <f>IFERROR(INDEX([1]物品基础表!$A:$A,MATCH(AX239,[1]物品基础表!$B:$B,0)),"")</f>
        <v/>
      </c>
      <c r="BB239" s="1" t="str">
        <f>IFERROR(INDEX([1]物品基础表!$A:$A,MATCH(BA239,[1]物品基础表!$B:$B,0)),"")</f>
        <v/>
      </c>
      <c r="BE239" s="1" t="str">
        <f>IFERROR(INDEX([1]物品基础表!$A:$A,MATCH(BD239,[1]物品基础表!$B:$B,0)),"")</f>
        <v/>
      </c>
      <c r="BH239" s="1" t="str">
        <f>IFERROR(INDEX([1]物品基础表!$A:$A,MATCH(BG239,[1]物品基础表!$B:$B,0)),"")</f>
        <v/>
      </c>
      <c r="BK239" s="1" t="str">
        <f>IFERROR(INDEX([1]物品基础表!$A:$A,MATCH(BJ239,[1]物品基础表!$B:$B,0)),"")</f>
        <v/>
      </c>
    </row>
    <row r="240" spans="1:63">
      <c r="A240" s="39" t="str">
        <f>INDEX([2]活动总表!$A$8:$A$429,MATCH(B240,[2]活动总表!$B$8:$B$429,0))</f>
        <v>小年神羽转盘（31-60天）</v>
      </c>
      <c r="B240" s="40">
        <v>455</v>
      </c>
      <c r="C240" s="40">
        <v>3</v>
      </c>
      <c r="D240" s="40"/>
      <c r="E240" s="40"/>
      <c r="F240" s="40" t="s">
        <v>859</v>
      </c>
      <c r="G240" s="40">
        <v>5</v>
      </c>
      <c r="H240" s="40"/>
      <c r="I240" s="40"/>
      <c r="J240" s="57"/>
      <c r="K240" s="1">
        <v>200001</v>
      </c>
      <c r="L240" s="1" t="str">
        <f>IFERROR(INDEX([1]物品基础表!$A:$A,MATCH(K240,[1]物品基础表!$B:$B,0)),"")</f>
        <v>羽毛</v>
      </c>
      <c r="M240" s="1">
        <v>88</v>
      </c>
      <c r="O240" s="1" t="str">
        <f>IFERROR(INDEX([1]物品基础表!$A:$A,MATCH(N240,[1]物品基础表!$B:$B,0)),"")</f>
        <v/>
      </c>
      <c r="R240" s="1" t="str">
        <f>IFERROR(INDEX([1]物品基础表!$A:$A,MATCH(Q240,[1]物品基础表!$B:$B,0)),"")</f>
        <v/>
      </c>
      <c r="U240" s="1" t="str">
        <f>IFERROR(INDEX([1]物品基础表!$A:$A,MATCH(T240,[1]物品基础表!$B:$B,0)),"")</f>
        <v/>
      </c>
      <c r="X240" s="1" t="str">
        <f>IFERROR(INDEX([1]物品基础表!$A:$A,MATCH(W240,[1]物品基础表!$B:$B,0)),"")</f>
        <v/>
      </c>
      <c r="AA240" s="1" t="str">
        <f>IFERROR(INDEX([1]物品基础表!$A:$A,MATCH(Z240,[1]物品基础表!$B:$B,0)),"")</f>
        <v/>
      </c>
      <c r="AD240" s="1" t="str">
        <f>IFERROR(INDEX([1]物品基础表!$A:$A,MATCH(AC240,[1]物品基础表!$B:$B,0)),"")</f>
        <v/>
      </c>
      <c r="AG240" s="1" t="str">
        <f>IFERROR(INDEX([1]物品基础表!$A:$A,MATCH(AF240,[1]物品基础表!$B:$B,0)),"")</f>
        <v/>
      </c>
      <c r="AJ240" s="1" t="str">
        <f>IFERROR(INDEX([1]物品基础表!$A:$A,MATCH(AI240,[1]物品基础表!$B:$B,0)),"")</f>
        <v/>
      </c>
      <c r="AM240" s="1" t="str">
        <f>IFERROR(INDEX([1]物品基础表!$A:$A,MATCH(AL240,[1]物品基础表!$B:$B,0)),"")</f>
        <v/>
      </c>
      <c r="AP240" s="1" t="str">
        <f>IFERROR(INDEX([1]物品基础表!$A:$A,MATCH(AO240,[1]物品基础表!$B:$B,0)),"")</f>
        <v/>
      </c>
      <c r="AS240" s="1" t="str">
        <f>IFERROR(INDEX([1]物品基础表!$A:$A,MATCH(AR240,[1]物品基础表!$B:$B,0)),"")</f>
        <v/>
      </c>
      <c r="AV240" s="1" t="str">
        <f>IFERROR(INDEX([1]物品基础表!$A:$A,MATCH(AU240,[1]物品基础表!$B:$B,0)),"")</f>
        <v/>
      </c>
      <c r="AY240" s="1" t="str">
        <f>IFERROR(INDEX([1]物品基础表!$A:$A,MATCH(AX240,[1]物品基础表!$B:$B,0)),"")</f>
        <v/>
      </c>
      <c r="BB240" s="1" t="str">
        <f>IFERROR(INDEX([1]物品基础表!$A:$A,MATCH(BA240,[1]物品基础表!$B:$B,0)),"")</f>
        <v/>
      </c>
      <c r="BE240" s="1" t="str">
        <f>IFERROR(INDEX([1]物品基础表!$A:$A,MATCH(BD240,[1]物品基础表!$B:$B,0)),"")</f>
        <v/>
      </c>
      <c r="BH240" s="1" t="str">
        <f>IFERROR(INDEX([1]物品基础表!$A:$A,MATCH(BG240,[1]物品基础表!$B:$B,0)),"")</f>
        <v/>
      </c>
      <c r="BK240" s="1" t="str">
        <f>IFERROR(INDEX([1]物品基础表!$A:$A,MATCH(BJ240,[1]物品基础表!$B:$B,0)),"")</f>
        <v/>
      </c>
    </row>
    <row r="241" spans="1:63">
      <c r="A241" s="39" t="str">
        <f>INDEX([2]活动总表!$A$8:$A$429,MATCH(B241,[2]活动总表!$B$8:$B$429,0))</f>
        <v>小年神羽转盘（31-60天）</v>
      </c>
      <c r="B241" s="40">
        <v>455</v>
      </c>
      <c r="C241" s="40">
        <v>4</v>
      </c>
      <c r="D241" s="40"/>
      <c r="E241" s="40"/>
      <c r="F241" s="40" t="s">
        <v>858</v>
      </c>
      <c r="G241" s="40">
        <v>5</v>
      </c>
      <c r="H241" s="40"/>
      <c r="I241" s="40"/>
      <c r="J241" s="57"/>
      <c r="K241" s="1">
        <v>200005</v>
      </c>
      <c r="L241" s="1" t="str">
        <f>IFERROR(INDEX([1]物品基础表!$A:$A,MATCH(K241,[1]物品基础表!$B:$B,0)),"")</f>
        <v>龙魂碎片</v>
      </c>
      <c r="M241" s="1">
        <v>10</v>
      </c>
      <c r="O241" s="1" t="str">
        <f>IFERROR(INDEX([1]物品基础表!$A:$A,MATCH(N241,[1]物品基础表!$B:$B,0)),"")</f>
        <v/>
      </c>
      <c r="R241" s="1" t="str">
        <f>IFERROR(INDEX([1]物品基础表!$A:$A,MATCH(Q241,[1]物品基础表!$B:$B,0)),"")</f>
        <v/>
      </c>
      <c r="U241" s="1" t="str">
        <f>IFERROR(INDEX([1]物品基础表!$A:$A,MATCH(T241,[1]物品基础表!$B:$B,0)),"")</f>
        <v/>
      </c>
      <c r="X241" s="1" t="str">
        <f>IFERROR(INDEX([1]物品基础表!$A:$A,MATCH(W241,[1]物品基础表!$B:$B,0)),"")</f>
        <v/>
      </c>
      <c r="AA241" s="1" t="str">
        <f>IFERROR(INDEX([1]物品基础表!$A:$A,MATCH(Z241,[1]物品基础表!$B:$B,0)),"")</f>
        <v/>
      </c>
      <c r="AD241" s="1" t="str">
        <f>IFERROR(INDEX([1]物品基础表!$A:$A,MATCH(AC241,[1]物品基础表!$B:$B,0)),"")</f>
        <v/>
      </c>
      <c r="AG241" s="1" t="str">
        <f>IFERROR(INDEX([1]物品基础表!$A:$A,MATCH(AF241,[1]物品基础表!$B:$B,0)),"")</f>
        <v/>
      </c>
      <c r="AJ241" s="1" t="str">
        <f>IFERROR(INDEX([1]物品基础表!$A:$A,MATCH(AI241,[1]物品基础表!$B:$B,0)),"")</f>
        <v/>
      </c>
      <c r="AM241" s="1" t="str">
        <f>IFERROR(INDEX([1]物品基础表!$A:$A,MATCH(AL241,[1]物品基础表!$B:$B,0)),"")</f>
        <v/>
      </c>
      <c r="AP241" s="1" t="str">
        <f>IFERROR(INDEX([1]物品基础表!$A:$A,MATCH(AO241,[1]物品基础表!$B:$B,0)),"")</f>
        <v/>
      </c>
      <c r="AS241" s="1" t="str">
        <f>IFERROR(INDEX([1]物品基础表!$A:$A,MATCH(AR241,[1]物品基础表!$B:$B,0)),"")</f>
        <v/>
      </c>
      <c r="AV241" s="1" t="str">
        <f>IFERROR(INDEX([1]物品基础表!$A:$A,MATCH(AU241,[1]物品基础表!$B:$B,0)),"")</f>
        <v/>
      </c>
      <c r="AY241" s="1" t="str">
        <f>IFERROR(INDEX([1]物品基础表!$A:$A,MATCH(AX241,[1]物品基础表!$B:$B,0)),"")</f>
        <v/>
      </c>
      <c r="BB241" s="1" t="str">
        <f>IFERROR(INDEX([1]物品基础表!$A:$A,MATCH(BA241,[1]物品基础表!$B:$B,0)),"")</f>
        <v/>
      </c>
      <c r="BE241" s="1" t="str">
        <f>IFERROR(INDEX([1]物品基础表!$A:$A,MATCH(BD241,[1]物品基础表!$B:$B,0)),"")</f>
        <v/>
      </c>
      <c r="BH241" s="1" t="str">
        <f>IFERROR(INDEX([1]物品基础表!$A:$A,MATCH(BG241,[1]物品基础表!$B:$B,0)),"")</f>
        <v/>
      </c>
      <c r="BK241" s="1" t="str">
        <f>IFERROR(INDEX([1]物品基础表!$A:$A,MATCH(BJ241,[1]物品基础表!$B:$B,0)),"")</f>
        <v/>
      </c>
    </row>
    <row r="242" spans="1:63">
      <c r="A242" s="39" t="str">
        <f>INDEX([2]活动总表!$A$8:$A$429,MATCH(B242,[2]活动总表!$B$8:$B$429,0))</f>
        <v>小年神羽转盘（31-60天）</v>
      </c>
      <c r="B242" s="40">
        <v>455</v>
      </c>
      <c r="C242" s="40">
        <v>5</v>
      </c>
      <c r="D242" s="40"/>
      <c r="E242" s="40"/>
      <c r="F242" s="40" t="s">
        <v>858</v>
      </c>
      <c r="G242" s="40">
        <v>5</v>
      </c>
      <c r="H242" s="40"/>
      <c r="I242" s="40"/>
      <c r="J242" s="57"/>
      <c r="K242" s="1">
        <v>200167</v>
      </c>
      <c r="L242" s="1" t="str">
        <f>IFERROR(INDEX([1]物品基础表!$A:$A,MATCH(K242,[1]物品基础表!$B:$B,0)),"")</f>
        <v>黑铁</v>
      </c>
      <c r="M242" s="1">
        <v>250</v>
      </c>
      <c r="O242" s="1" t="str">
        <f>IFERROR(INDEX([1]物品基础表!$A:$A,MATCH(N242,[1]物品基础表!$B:$B,0)),"")</f>
        <v/>
      </c>
      <c r="R242" s="1" t="str">
        <f>IFERROR(INDEX([1]物品基础表!$A:$A,MATCH(Q242,[1]物品基础表!$B:$B,0)),"")</f>
        <v/>
      </c>
      <c r="U242" s="1" t="str">
        <f>IFERROR(INDEX([1]物品基础表!$A:$A,MATCH(T242,[1]物品基础表!$B:$B,0)),"")</f>
        <v/>
      </c>
      <c r="X242" s="1" t="str">
        <f>IFERROR(INDEX([1]物品基础表!$A:$A,MATCH(W242,[1]物品基础表!$B:$B,0)),"")</f>
        <v/>
      </c>
      <c r="AA242" s="1" t="str">
        <f>IFERROR(INDEX([1]物品基础表!$A:$A,MATCH(Z242,[1]物品基础表!$B:$B,0)),"")</f>
        <v/>
      </c>
      <c r="AD242" s="1" t="str">
        <f>IFERROR(INDEX([1]物品基础表!$A:$A,MATCH(AC242,[1]物品基础表!$B:$B,0)),"")</f>
        <v/>
      </c>
      <c r="AG242" s="1" t="str">
        <f>IFERROR(INDEX([1]物品基础表!$A:$A,MATCH(AF242,[1]物品基础表!$B:$B,0)),"")</f>
        <v/>
      </c>
      <c r="AJ242" s="1" t="str">
        <f>IFERROR(INDEX([1]物品基础表!$A:$A,MATCH(AI242,[1]物品基础表!$B:$B,0)),"")</f>
        <v/>
      </c>
      <c r="AM242" s="1" t="str">
        <f>IFERROR(INDEX([1]物品基础表!$A:$A,MATCH(AL242,[1]物品基础表!$B:$B,0)),"")</f>
        <v/>
      </c>
      <c r="AP242" s="1" t="str">
        <f>IFERROR(INDEX([1]物品基础表!$A:$A,MATCH(AO242,[1]物品基础表!$B:$B,0)),"")</f>
        <v/>
      </c>
      <c r="AS242" s="1" t="str">
        <f>IFERROR(INDEX([1]物品基础表!$A:$A,MATCH(AR242,[1]物品基础表!$B:$B,0)),"")</f>
        <v/>
      </c>
      <c r="AV242" s="1" t="str">
        <f>IFERROR(INDEX([1]物品基础表!$A:$A,MATCH(AU242,[1]物品基础表!$B:$B,0)),"")</f>
        <v/>
      </c>
      <c r="AY242" s="1" t="str">
        <f>IFERROR(INDEX([1]物品基础表!$A:$A,MATCH(AX242,[1]物品基础表!$B:$B,0)),"")</f>
        <v/>
      </c>
      <c r="BB242" s="1" t="str">
        <f>IFERROR(INDEX([1]物品基础表!$A:$A,MATCH(BA242,[1]物品基础表!$B:$B,0)),"")</f>
        <v/>
      </c>
      <c r="BE242" s="1" t="str">
        <f>IFERROR(INDEX([1]物品基础表!$A:$A,MATCH(BD242,[1]物品基础表!$B:$B,0)),"")</f>
        <v/>
      </c>
      <c r="BH242" s="1" t="str">
        <f>IFERROR(INDEX([1]物品基础表!$A:$A,MATCH(BG242,[1]物品基础表!$B:$B,0)),"")</f>
        <v/>
      </c>
      <c r="BK242" s="1" t="str">
        <f>IFERROR(INDEX([1]物品基础表!$A:$A,MATCH(BJ242,[1]物品基础表!$B:$B,0)),"")</f>
        <v/>
      </c>
    </row>
    <row r="243" spans="1:63">
      <c r="A243" s="39" t="str">
        <f>INDEX([2]活动总表!$A$8:$A$429,MATCH(B243,[2]活动总表!$B$8:$B$429,0))</f>
        <v>小年神羽转盘（31-60天）</v>
      </c>
      <c r="B243" s="40">
        <v>455</v>
      </c>
      <c r="C243" s="40">
        <v>6</v>
      </c>
      <c r="D243" s="40"/>
      <c r="E243" s="40"/>
      <c r="F243" s="40" t="s">
        <v>860</v>
      </c>
      <c r="G243" s="40">
        <v>5</v>
      </c>
      <c r="H243" s="40"/>
      <c r="I243" s="40"/>
      <c r="J243" s="57"/>
      <c r="K243" s="1">
        <v>200316</v>
      </c>
      <c r="L243" s="1" t="str">
        <f>IFERROR(INDEX([1]物品基础表!$A:$A,MATCH(K243,[1]物品基础表!$B:$B,0)),"")</f>
        <v>3阶神羽宝箱</v>
      </c>
      <c r="M243" s="1">
        <v>1</v>
      </c>
      <c r="O243" s="1" t="str">
        <f>IFERROR(INDEX([1]物品基础表!$A:$A,MATCH(N243,[1]物品基础表!$B:$B,0)),"")</f>
        <v/>
      </c>
      <c r="R243" s="1" t="str">
        <f>IFERROR(INDEX([1]物品基础表!$A:$A,MATCH(Q243,[1]物品基础表!$B:$B,0)),"")</f>
        <v/>
      </c>
      <c r="U243" s="1" t="str">
        <f>IFERROR(INDEX([1]物品基础表!$A:$A,MATCH(T243,[1]物品基础表!$B:$B,0)),"")</f>
        <v/>
      </c>
      <c r="X243" s="1" t="str">
        <f>IFERROR(INDEX([1]物品基础表!$A:$A,MATCH(W243,[1]物品基础表!$B:$B,0)),"")</f>
        <v/>
      </c>
      <c r="AA243" s="1" t="str">
        <f>IFERROR(INDEX([1]物品基础表!$A:$A,MATCH(Z243,[1]物品基础表!$B:$B,0)),"")</f>
        <v/>
      </c>
      <c r="AD243" s="1" t="str">
        <f>IFERROR(INDEX([1]物品基础表!$A:$A,MATCH(AC243,[1]物品基础表!$B:$B,0)),"")</f>
        <v/>
      </c>
      <c r="AG243" s="1" t="str">
        <f>IFERROR(INDEX([1]物品基础表!$A:$A,MATCH(AF243,[1]物品基础表!$B:$B,0)),"")</f>
        <v/>
      </c>
      <c r="AJ243" s="1" t="str">
        <f>IFERROR(INDEX([1]物品基础表!$A:$A,MATCH(AI243,[1]物品基础表!$B:$B,0)),"")</f>
        <v/>
      </c>
      <c r="AM243" s="1" t="str">
        <f>IFERROR(INDEX([1]物品基础表!$A:$A,MATCH(AL243,[1]物品基础表!$B:$B,0)),"")</f>
        <v/>
      </c>
      <c r="AP243" s="1" t="str">
        <f>IFERROR(INDEX([1]物品基础表!$A:$A,MATCH(AO243,[1]物品基础表!$B:$B,0)),"")</f>
        <v/>
      </c>
      <c r="AS243" s="1" t="str">
        <f>IFERROR(INDEX([1]物品基础表!$A:$A,MATCH(AR243,[1]物品基础表!$B:$B,0)),"")</f>
        <v/>
      </c>
      <c r="AV243" s="1" t="str">
        <f>IFERROR(INDEX([1]物品基础表!$A:$A,MATCH(AU243,[1]物品基础表!$B:$B,0)),"")</f>
        <v/>
      </c>
      <c r="AY243" s="1" t="str">
        <f>IFERROR(INDEX([1]物品基础表!$A:$A,MATCH(AX243,[1]物品基础表!$B:$B,0)),"")</f>
        <v/>
      </c>
      <c r="BB243" s="1" t="str">
        <f>IFERROR(INDEX([1]物品基础表!$A:$A,MATCH(BA243,[1]物品基础表!$B:$B,0)),"")</f>
        <v/>
      </c>
      <c r="BE243" s="1" t="str">
        <f>IFERROR(INDEX([1]物品基础表!$A:$A,MATCH(BD243,[1]物品基础表!$B:$B,0)),"")</f>
        <v/>
      </c>
      <c r="BH243" s="1" t="str">
        <f>IFERROR(INDEX([1]物品基础表!$A:$A,MATCH(BG243,[1]物品基础表!$B:$B,0)),"")</f>
        <v/>
      </c>
      <c r="BK243" s="1" t="str">
        <f>IFERROR(INDEX([1]物品基础表!$A:$A,MATCH(BJ243,[1]物品基础表!$B:$B,0)),"")</f>
        <v/>
      </c>
    </row>
    <row r="244" spans="1:63">
      <c r="A244" s="39" t="str">
        <f>INDEX([2]活动总表!$A$8:$A$429,MATCH(B244,[2]活动总表!$B$8:$B$429,0))</f>
        <v>小年神羽转盘（31-60天）</v>
      </c>
      <c r="B244" s="40">
        <v>455</v>
      </c>
      <c r="C244" s="40">
        <v>7</v>
      </c>
      <c r="D244" s="40"/>
      <c r="E244" s="40"/>
      <c r="F244" s="40" t="s">
        <v>858</v>
      </c>
      <c r="G244" s="40">
        <v>5</v>
      </c>
      <c r="H244" s="40"/>
      <c r="I244" s="40"/>
      <c r="J244" s="57"/>
      <c r="K244" s="1">
        <v>200001</v>
      </c>
      <c r="L244" s="1" t="str">
        <f>IFERROR(INDEX([1]物品基础表!$A:$A,MATCH(K244,[1]物品基础表!$B:$B,0)),"")</f>
        <v>羽毛</v>
      </c>
      <c r="M244" s="1">
        <v>10</v>
      </c>
      <c r="O244" s="1" t="str">
        <f>IFERROR(INDEX([1]物品基础表!$A:$A,MATCH(N244,[1]物品基础表!$B:$B,0)),"")</f>
        <v/>
      </c>
      <c r="R244" s="1" t="str">
        <f>IFERROR(INDEX([1]物品基础表!$A:$A,MATCH(Q244,[1]物品基础表!$B:$B,0)),"")</f>
        <v/>
      </c>
      <c r="U244" s="1" t="str">
        <f>IFERROR(INDEX([1]物品基础表!$A:$A,MATCH(T244,[1]物品基础表!$B:$B,0)),"")</f>
        <v/>
      </c>
      <c r="X244" s="1" t="str">
        <f>IFERROR(INDEX([1]物品基础表!$A:$A,MATCH(W244,[1]物品基础表!$B:$B,0)),"")</f>
        <v/>
      </c>
      <c r="AA244" s="1" t="str">
        <f>IFERROR(INDEX([1]物品基础表!$A:$A,MATCH(Z244,[1]物品基础表!$B:$B,0)),"")</f>
        <v/>
      </c>
      <c r="AD244" s="1" t="str">
        <f>IFERROR(INDEX([1]物品基础表!$A:$A,MATCH(AC244,[1]物品基础表!$B:$B,0)),"")</f>
        <v/>
      </c>
      <c r="AG244" s="1" t="str">
        <f>IFERROR(INDEX([1]物品基础表!$A:$A,MATCH(AF244,[1]物品基础表!$B:$B,0)),"")</f>
        <v/>
      </c>
      <c r="AJ244" s="1" t="str">
        <f>IFERROR(INDEX([1]物品基础表!$A:$A,MATCH(AI244,[1]物品基础表!$B:$B,0)),"")</f>
        <v/>
      </c>
      <c r="AM244" s="1" t="str">
        <f>IFERROR(INDEX([1]物品基础表!$A:$A,MATCH(AL244,[1]物品基础表!$B:$B,0)),"")</f>
        <v/>
      </c>
      <c r="AP244" s="1" t="str">
        <f>IFERROR(INDEX([1]物品基础表!$A:$A,MATCH(AO244,[1]物品基础表!$B:$B,0)),"")</f>
        <v/>
      </c>
      <c r="AS244" s="1" t="str">
        <f>IFERROR(INDEX([1]物品基础表!$A:$A,MATCH(AR244,[1]物品基础表!$B:$B,0)),"")</f>
        <v/>
      </c>
      <c r="AV244" s="1" t="str">
        <f>IFERROR(INDEX([1]物品基础表!$A:$A,MATCH(AU244,[1]物品基础表!$B:$B,0)),"")</f>
        <v/>
      </c>
      <c r="AY244" s="1" t="str">
        <f>IFERROR(INDEX([1]物品基础表!$A:$A,MATCH(AX244,[1]物品基础表!$B:$B,0)),"")</f>
        <v/>
      </c>
      <c r="BB244" s="1" t="str">
        <f>IFERROR(INDEX([1]物品基础表!$A:$A,MATCH(BA244,[1]物品基础表!$B:$B,0)),"")</f>
        <v/>
      </c>
      <c r="BE244" s="1" t="str">
        <f>IFERROR(INDEX([1]物品基础表!$A:$A,MATCH(BD244,[1]物品基础表!$B:$B,0)),"")</f>
        <v/>
      </c>
      <c r="BH244" s="1" t="str">
        <f>IFERROR(INDEX([1]物品基础表!$A:$A,MATCH(BG244,[1]物品基础表!$B:$B,0)),"")</f>
        <v/>
      </c>
      <c r="BK244" s="1" t="str">
        <f>IFERROR(INDEX([1]物品基础表!$A:$A,MATCH(BJ244,[1]物品基础表!$B:$B,0)),"")</f>
        <v/>
      </c>
    </row>
    <row r="245" spans="1:63">
      <c r="A245" s="39" t="str">
        <f>INDEX([2]活动总表!$A$8:$A$429,MATCH(B245,[2]活动总表!$B$8:$B$429,0))</f>
        <v>小年神羽转盘（31-60天）</v>
      </c>
      <c r="B245" s="40">
        <v>455</v>
      </c>
      <c r="C245" s="40">
        <v>8</v>
      </c>
      <c r="D245" s="40"/>
      <c r="E245" s="40"/>
      <c r="F245" s="40" t="s">
        <v>861</v>
      </c>
      <c r="G245" s="40">
        <v>5</v>
      </c>
      <c r="H245" s="40"/>
      <c r="I245" s="40"/>
      <c r="J245" s="57"/>
      <c r="K245" s="1">
        <v>200301</v>
      </c>
      <c r="L245" s="1" t="str">
        <f>IFERROR(INDEX([1]物品基础表!$A:$A,MATCH(K245,[1]物品基础表!$B:$B,0)),"")</f>
        <v>传世宝钻</v>
      </c>
      <c r="M245" s="1">
        <v>50</v>
      </c>
      <c r="O245" s="1" t="str">
        <f>IFERROR(INDEX([1]物品基础表!$A:$A,MATCH(N245,[1]物品基础表!$B:$B,0)),"")</f>
        <v/>
      </c>
      <c r="R245" s="1" t="str">
        <f>IFERROR(INDEX([1]物品基础表!$A:$A,MATCH(Q245,[1]物品基础表!$B:$B,0)),"")</f>
        <v/>
      </c>
      <c r="U245" s="1" t="str">
        <f>IFERROR(INDEX([1]物品基础表!$A:$A,MATCH(T245,[1]物品基础表!$B:$B,0)),"")</f>
        <v/>
      </c>
      <c r="X245" s="1" t="str">
        <f>IFERROR(INDEX([1]物品基础表!$A:$A,MATCH(W245,[1]物品基础表!$B:$B,0)),"")</f>
        <v/>
      </c>
      <c r="AA245" s="1" t="str">
        <f>IFERROR(INDEX([1]物品基础表!$A:$A,MATCH(Z245,[1]物品基础表!$B:$B,0)),"")</f>
        <v/>
      </c>
      <c r="AD245" s="1" t="str">
        <f>IFERROR(INDEX([1]物品基础表!$A:$A,MATCH(AC245,[1]物品基础表!$B:$B,0)),"")</f>
        <v/>
      </c>
      <c r="AG245" s="1" t="str">
        <f>IFERROR(INDEX([1]物品基础表!$A:$A,MATCH(AF245,[1]物品基础表!$B:$B,0)),"")</f>
        <v/>
      </c>
      <c r="AJ245" s="1" t="str">
        <f>IFERROR(INDEX([1]物品基础表!$A:$A,MATCH(AI245,[1]物品基础表!$B:$B,0)),"")</f>
        <v/>
      </c>
      <c r="AM245" s="1" t="str">
        <f>IFERROR(INDEX([1]物品基础表!$A:$A,MATCH(AL245,[1]物品基础表!$B:$B,0)),"")</f>
        <v/>
      </c>
      <c r="AP245" s="1" t="str">
        <f>IFERROR(INDEX([1]物品基础表!$A:$A,MATCH(AO245,[1]物品基础表!$B:$B,0)),"")</f>
        <v/>
      </c>
      <c r="AS245" s="1" t="str">
        <f>IFERROR(INDEX([1]物品基础表!$A:$A,MATCH(AR245,[1]物品基础表!$B:$B,0)),"")</f>
        <v/>
      </c>
      <c r="AV245" s="1" t="str">
        <f>IFERROR(INDEX([1]物品基础表!$A:$A,MATCH(AU245,[1]物品基础表!$B:$B,0)),"")</f>
        <v/>
      </c>
      <c r="AY245" s="1" t="str">
        <f>IFERROR(INDEX([1]物品基础表!$A:$A,MATCH(AX245,[1]物品基础表!$B:$B,0)),"")</f>
        <v/>
      </c>
      <c r="BB245" s="1" t="str">
        <f>IFERROR(INDEX([1]物品基础表!$A:$A,MATCH(BA245,[1]物品基础表!$B:$B,0)),"")</f>
        <v/>
      </c>
      <c r="BE245" s="1" t="str">
        <f>IFERROR(INDEX([1]物品基础表!$A:$A,MATCH(BD245,[1]物品基础表!$B:$B,0)),"")</f>
        <v/>
      </c>
      <c r="BH245" s="1" t="str">
        <f>IFERROR(INDEX([1]物品基础表!$A:$A,MATCH(BG245,[1]物品基础表!$B:$B,0)),"")</f>
        <v/>
      </c>
      <c r="BK245" s="1" t="str">
        <f>IFERROR(INDEX([1]物品基础表!$A:$A,MATCH(BJ245,[1]物品基础表!$B:$B,0)),"")</f>
        <v/>
      </c>
    </row>
    <row r="246" spans="1:63">
      <c r="A246" s="39" t="str">
        <f>INDEX([2]活动总表!$A$8:$A$429,MATCH(B246,[2]活动总表!$B$8:$B$429,0))</f>
        <v>小年神羽转盘（31-60天）</v>
      </c>
      <c r="B246" s="40">
        <v>455</v>
      </c>
      <c r="C246" s="40">
        <v>9</v>
      </c>
      <c r="D246" s="40"/>
      <c r="E246" s="40"/>
      <c r="F246" s="40" t="s">
        <v>858</v>
      </c>
      <c r="G246" s="40">
        <v>5</v>
      </c>
      <c r="H246" s="40"/>
      <c r="I246" s="40"/>
      <c r="J246" s="57"/>
      <c r="K246" s="1">
        <v>200167</v>
      </c>
      <c r="L246" s="1" t="str">
        <f>IFERROR(INDEX([1]物品基础表!$A:$A,MATCH(K246,[1]物品基础表!$B:$B,0)),"")</f>
        <v>黑铁</v>
      </c>
      <c r="M246" s="1">
        <v>500</v>
      </c>
      <c r="O246" s="1" t="str">
        <f>IFERROR(INDEX([1]物品基础表!$A:$A,MATCH(N246,[1]物品基础表!$B:$B,0)),"")</f>
        <v/>
      </c>
      <c r="R246" s="1" t="str">
        <f>IFERROR(INDEX([1]物品基础表!$A:$A,MATCH(Q246,[1]物品基础表!$B:$B,0)),"")</f>
        <v/>
      </c>
      <c r="U246" s="1" t="str">
        <f>IFERROR(INDEX([1]物品基础表!$A:$A,MATCH(T246,[1]物品基础表!$B:$B,0)),"")</f>
        <v/>
      </c>
      <c r="X246" s="1" t="str">
        <f>IFERROR(INDEX([1]物品基础表!$A:$A,MATCH(W246,[1]物品基础表!$B:$B,0)),"")</f>
        <v/>
      </c>
      <c r="AA246" s="1" t="str">
        <f>IFERROR(INDEX([1]物品基础表!$A:$A,MATCH(Z246,[1]物品基础表!$B:$B,0)),"")</f>
        <v/>
      </c>
      <c r="AD246" s="1" t="str">
        <f>IFERROR(INDEX([1]物品基础表!$A:$A,MATCH(AC246,[1]物品基础表!$B:$B,0)),"")</f>
        <v/>
      </c>
      <c r="AG246" s="1" t="str">
        <f>IFERROR(INDEX([1]物品基础表!$A:$A,MATCH(AF246,[1]物品基础表!$B:$B,0)),"")</f>
        <v/>
      </c>
      <c r="AJ246" s="1" t="str">
        <f>IFERROR(INDEX([1]物品基础表!$A:$A,MATCH(AI246,[1]物品基础表!$B:$B,0)),"")</f>
        <v/>
      </c>
      <c r="AM246" s="1" t="str">
        <f>IFERROR(INDEX([1]物品基础表!$A:$A,MATCH(AL246,[1]物品基础表!$B:$B,0)),"")</f>
        <v/>
      </c>
      <c r="AP246" s="1" t="str">
        <f>IFERROR(INDEX([1]物品基础表!$A:$A,MATCH(AO246,[1]物品基础表!$B:$B,0)),"")</f>
        <v/>
      </c>
      <c r="AS246" s="1" t="str">
        <f>IFERROR(INDEX([1]物品基础表!$A:$A,MATCH(AR246,[1]物品基础表!$B:$B,0)),"")</f>
        <v/>
      </c>
      <c r="AV246" s="1" t="str">
        <f>IFERROR(INDEX([1]物品基础表!$A:$A,MATCH(AU246,[1]物品基础表!$B:$B,0)),"")</f>
        <v/>
      </c>
      <c r="AY246" s="1" t="str">
        <f>IFERROR(INDEX([1]物品基础表!$A:$A,MATCH(AX246,[1]物品基础表!$B:$B,0)),"")</f>
        <v/>
      </c>
      <c r="BB246" s="1" t="str">
        <f>IFERROR(INDEX([1]物品基础表!$A:$A,MATCH(BA246,[1]物品基础表!$B:$B,0)),"")</f>
        <v/>
      </c>
      <c r="BE246" s="1" t="str">
        <f>IFERROR(INDEX([1]物品基础表!$A:$A,MATCH(BD246,[1]物品基础表!$B:$B,0)),"")</f>
        <v/>
      </c>
      <c r="BH246" s="1" t="str">
        <f>IFERROR(INDEX([1]物品基础表!$A:$A,MATCH(BG246,[1]物品基础表!$B:$B,0)),"")</f>
        <v/>
      </c>
      <c r="BK246" s="1" t="str">
        <f>IFERROR(INDEX([1]物品基础表!$A:$A,MATCH(BJ246,[1]物品基础表!$B:$B,0)),"")</f>
        <v/>
      </c>
    </row>
    <row r="247" spans="1:63">
      <c r="A247" s="39" t="str">
        <f>INDEX([2]活动总表!$A$8:$A$429,MATCH(B247,[2]活动总表!$B$8:$B$429,0))</f>
        <v>小年神羽转盘（31-60天）</v>
      </c>
      <c r="B247" s="40">
        <v>455</v>
      </c>
      <c r="C247" s="40">
        <v>10</v>
      </c>
      <c r="D247" s="40"/>
      <c r="E247" s="40"/>
      <c r="F247" s="40" t="s">
        <v>862</v>
      </c>
      <c r="G247" s="40">
        <v>5</v>
      </c>
      <c r="H247" s="40"/>
      <c r="I247" s="40"/>
      <c r="J247" s="57"/>
      <c r="K247" s="1">
        <v>601000</v>
      </c>
      <c r="L247" s="1" t="str">
        <f>IFERROR(INDEX([1]物品基础表!$A:$A,MATCH(K247,[1]物品基础表!$B:$B,0)),"")</f>
        <v>神羽碎片</v>
      </c>
      <c r="M247" s="1">
        <v>20</v>
      </c>
      <c r="O247" s="1" t="str">
        <f>IFERROR(INDEX([1]物品基础表!$A:$A,MATCH(N247,[1]物品基础表!$B:$B,0)),"")</f>
        <v/>
      </c>
      <c r="R247" s="1" t="str">
        <f>IFERROR(INDEX([1]物品基础表!$A:$A,MATCH(Q247,[1]物品基础表!$B:$B,0)),"")</f>
        <v/>
      </c>
      <c r="U247" s="1" t="str">
        <f>IFERROR(INDEX([1]物品基础表!$A:$A,MATCH(T247,[1]物品基础表!$B:$B,0)),"")</f>
        <v/>
      </c>
      <c r="X247" s="1" t="str">
        <f>IFERROR(INDEX([1]物品基础表!$A:$A,MATCH(W247,[1]物品基础表!$B:$B,0)),"")</f>
        <v/>
      </c>
      <c r="AA247" s="1" t="str">
        <f>IFERROR(INDEX([1]物品基础表!$A:$A,MATCH(Z247,[1]物品基础表!$B:$B,0)),"")</f>
        <v/>
      </c>
      <c r="AD247" s="1" t="str">
        <f>IFERROR(INDEX([1]物品基础表!$A:$A,MATCH(AC247,[1]物品基础表!$B:$B,0)),"")</f>
        <v/>
      </c>
      <c r="AG247" s="1" t="str">
        <f>IFERROR(INDEX([1]物品基础表!$A:$A,MATCH(AF247,[1]物品基础表!$B:$B,0)),"")</f>
        <v/>
      </c>
      <c r="AJ247" s="1" t="str">
        <f>IFERROR(INDEX([1]物品基础表!$A:$A,MATCH(AI247,[1]物品基础表!$B:$B,0)),"")</f>
        <v/>
      </c>
      <c r="AM247" s="1" t="str">
        <f>IFERROR(INDEX([1]物品基础表!$A:$A,MATCH(AL247,[1]物品基础表!$B:$B,0)),"")</f>
        <v/>
      </c>
      <c r="AP247" s="1" t="str">
        <f>IFERROR(INDEX([1]物品基础表!$A:$A,MATCH(AO247,[1]物品基础表!$B:$B,0)),"")</f>
        <v/>
      </c>
      <c r="AS247" s="1" t="str">
        <f>IFERROR(INDEX([1]物品基础表!$A:$A,MATCH(AR247,[1]物品基础表!$B:$B,0)),"")</f>
        <v/>
      </c>
      <c r="AV247" s="1" t="str">
        <f>IFERROR(INDEX([1]物品基础表!$A:$A,MATCH(AU247,[1]物品基础表!$B:$B,0)),"")</f>
        <v/>
      </c>
      <c r="AY247" s="1" t="str">
        <f>IFERROR(INDEX([1]物品基础表!$A:$A,MATCH(AX247,[1]物品基础表!$B:$B,0)),"")</f>
        <v/>
      </c>
      <c r="BB247" s="1" t="str">
        <f>IFERROR(INDEX([1]物品基础表!$A:$A,MATCH(BA247,[1]物品基础表!$B:$B,0)),"")</f>
        <v/>
      </c>
      <c r="BE247" s="1" t="str">
        <f>IFERROR(INDEX([1]物品基础表!$A:$A,MATCH(BD247,[1]物品基础表!$B:$B,0)),"")</f>
        <v/>
      </c>
      <c r="BH247" s="1" t="str">
        <f>IFERROR(INDEX([1]物品基础表!$A:$A,MATCH(BG247,[1]物品基础表!$B:$B,0)),"")</f>
        <v/>
      </c>
      <c r="BK247" s="1" t="str">
        <f>IFERROR(INDEX([1]物品基础表!$A:$A,MATCH(BJ247,[1]物品基础表!$B:$B,0)),"")</f>
        <v/>
      </c>
    </row>
    <row r="248" spans="1:63">
      <c r="A248" s="39" t="str">
        <f>INDEX([2]活动总表!$A$8:$A$429,MATCH(B248,[2]活动总表!$B$8:$B$429,0))</f>
        <v>小年神羽转盘（61天以上）</v>
      </c>
      <c r="B248" s="40">
        <v>456</v>
      </c>
      <c r="C248" s="40">
        <v>0</v>
      </c>
      <c r="D248" s="40">
        <v>200309</v>
      </c>
      <c r="E248" s="40">
        <v>500</v>
      </c>
      <c r="F248" s="40"/>
      <c r="G248" s="40">
        <v>5</v>
      </c>
      <c r="H248" s="40"/>
      <c r="I248" s="40" t="s">
        <v>856</v>
      </c>
      <c r="J248" s="57" t="s">
        <v>854</v>
      </c>
      <c r="K248" s="1">
        <v>1</v>
      </c>
      <c r="L248" s="1" t="s">
        <v>901</v>
      </c>
      <c r="M248" s="1">
        <v>500000</v>
      </c>
      <c r="O248" s="1" t="str">
        <f>IFERROR(INDEX([1]物品基础表!$A:$A,MATCH(N248,[1]物品基础表!$B:$B,0)),"")</f>
        <v/>
      </c>
      <c r="R248" s="1" t="str">
        <f>IFERROR(INDEX([1]物品基础表!$A:$A,MATCH(Q248,[1]物品基础表!$B:$B,0)),"")</f>
        <v/>
      </c>
      <c r="U248" s="1" t="str">
        <f>IFERROR(INDEX([1]物品基础表!$A:$A,MATCH(T248,[1]物品基础表!$B:$B,0)),"")</f>
        <v/>
      </c>
      <c r="X248" s="1" t="str">
        <f>IFERROR(INDEX([1]物品基础表!$A:$A,MATCH(W248,[1]物品基础表!$B:$B,0)),"")</f>
        <v/>
      </c>
      <c r="AA248" s="1" t="str">
        <f>IFERROR(INDEX([1]物品基础表!$A:$A,MATCH(Z248,[1]物品基础表!$B:$B,0)),"")</f>
        <v/>
      </c>
      <c r="AD248" s="1" t="str">
        <f>IFERROR(INDEX([1]物品基础表!$A:$A,MATCH(AC248,[1]物品基础表!$B:$B,0)),"")</f>
        <v/>
      </c>
      <c r="AG248" s="1" t="str">
        <f>IFERROR(INDEX([1]物品基础表!$A:$A,MATCH(AF248,[1]物品基础表!$B:$B,0)),"")</f>
        <v/>
      </c>
      <c r="AJ248" s="1" t="str">
        <f>IFERROR(INDEX([1]物品基础表!$A:$A,MATCH(AI248,[1]物品基础表!$B:$B,0)),"")</f>
        <v/>
      </c>
      <c r="AM248" s="1" t="str">
        <f>IFERROR(INDEX([1]物品基础表!$A:$A,MATCH(AL248,[1]物品基础表!$B:$B,0)),"")</f>
        <v/>
      </c>
      <c r="AP248" s="1" t="str">
        <f>IFERROR(INDEX([1]物品基础表!$A:$A,MATCH(AO248,[1]物品基础表!$B:$B,0)),"")</f>
        <v/>
      </c>
      <c r="AS248" s="1" t="str">
        <f>IFERROR(INDEX([1]物品基础表!$A:$A,MATCH(AR248,[1]物品基础表!$B:$B,0)),"")</f>
        <v/>
      </c>
      <c r="AV248" s="1" t="str">
        <f>IFERROR(INDEX([1]物品基础表!$A:$A,MATCH(AU248,[1]物品基础表!$B:$B,0)),"")</f>
        <v/>
      </c>
      <c r="AY248" s="1" t="str">
        <f>IFERROR(INDEX([1]物品基础表!$A:$A,MATCH(AX248,[1]物品基础表!$B:$B,0)),"")</f>
        <v/>
      </c>
      <c r="BB248" s="1" t="str">
        <f>IFERROR(INDEX([1]物品基础表!$A:$A,MATCH(BA248,[1]物品基础表!$B:$B,0)),"")</f>
        <v/>
      </c>
      <c r="BE248" s="1" t="str">
        <f>IFERROR(INDEX([1]物品基础表!$A:$A,MATCH(BD248,[1]物品基础表!$B:$B,0)),"")</f>
        <v/>
      </c>
      <c r="BH248" s="1" t="str">
        <f>IFERROR(INDEX([1]物品基础表!$A:$A,MATCH(BG248,[1]物品基础表!$B:$B,0)),"")</f>
        <v/>
      </c>
      <c r="BK248" s="1" t="str">
        <f>IFERROR(INDEX([1]物品基础表!$A:$A,MATCH(BJ248,[1]物品基础表!$B:$B,0)),"")</f>
        <v/>
      </c>
    </row>
    <row r="249" spans="1:63">
      <c r="A249" s="39" t="str">
        <f>INDEX([2]活动总表!$A$8:$A$429,MATCH(B249,[2]活动总表!$B$8:$B$429,0))</f>
        <v>小年神羽转盘（61天以上）</v>
      </c>
      <c r="B249" s="40">
        <v>456</v>
      </c>
      <c r="C249" s="40">
        <v>1</v>
      </c>
      <c r="D249" s="40"/>
      <c r="E249" s="40"/>
      <c r="F249" s="40" t="s">
        <v>857</v>
      </c>
      <c r="G249" s="40">
        <v>5</v>
      </c>
      <c r="H249" s="40"/>
      <c r="I249" s="40"/>
      <c r="J249" s="57"/>
      <c r="K249" s="1">
        <v>204166</v>
      </c>
      <c r="L249" s="1" t="str">
        <f>IFERROR(INDEX([1]物品基础表!$A:$A,MATCH(K249,[1]物品基础表!$B:$B,0)),"")</f>
        <v>"龙翔九天"</v>
      </c>
      <c r="M249" s="1">
        <v>1</v>
      </c>
      <c r="O249" s="1" t="str">
        <f>IFERROR(INDEX([1]物品基础表!$A:$A,MATCH(N249,[1]物品基础表!$B:$B,0)),"")</f>
        <v/>
      </c>
      <c r="R249" s="1" t="str">
        <f>IFERROR(INDEX([1]物品基础表!$A:$A,MATCH(Q249,[1]物品基础表!$B:$B,0)),"")</f>
        <v/>
      </c>
      <c r="U249" s="1" t="str">
        <f>IFERROR(INDEX([1]物品基础表!$A:$A,MATCH(T249,[1]物品基础表!$B:$B,0)),"")</f>
        <v/>
      </c>
      <c r="X249" s="1" t="str">
        <f>IFERROR(INDEX([1]物品基础表!$A:$A,MATCH(W249,[1]物品基础表!$B:$B,0)),"")</f>
        <v/>
      </c>
      <c r="AA249" s="1" t="str">
        <f>IFERROR(INDEX([1]物品基础表!$A:$A,MATCH(Z249,[1]物品基础表!$B:$B,0)),"")</f>
        <v/>
      </c>
      <c r="AD249" s="1" t="str">
        <f>IFERROR(INDEX([1]物品基础表!$A:$A,MATCH(AC249,[1]物品基础表!$B:$B,0)),"")</f>
        <v/>
      </c>
      <c r="AG249" s="1" t="str">
        <f>IFERROR(INDEX([1]物品基础表!$A:$A,MATCH(AF249,[1]物品基础表!$B:$B,0)),"")</f>
        <v/>
      </c>
      <c r="AJ249" s="1" t="str">
        <f>IFERROR(INDEX([1]物品基础表!$A:$A,MATCH(AI249,[1]物品基础表!$B:$B,0)),"")</f>
        <v/>
      </c>
      <c r="AM249" s="1" t="str">
        <f>IFERROR(INDEX([1]物品基础表!$A:$A,MATCH(AL249,[1]物品基础表!$B:$B,0)),"")</f>
        <v/>
      </c>
      <c r="AP249" s="1" t="str">
        <f>IFERROR(INDEX([1]物品基础表!$A:$A,MATCH(AO249,[1]物品基础表!$B:$B,0)),"")</f>
        <v/>
      </c>
      <c r="AS249" s="1" t="str">
        <f>IFERROR(INDEX([1]物品基础表!$A:$A,MATCH(AR249,[1]物品基础表!$B:$B,0)),"")</f>
        <v/>
      </c>
      <c r="AV249" s="1" t="str">
        <f>IFERROR(INDEX([1]物品基础表!$A:$A,MATCH(AU249,[1]物品基础表!$B:$B,0)),"")</f>
        <v/>
      </c>
      <c r="AY249" s="1" t="str">
        <f>IFERROR(INDEX([1]物品基础表!$A:$A,MATCH(AX249,[1]物品基础表!$B:$B,0)),"")</f>
        <v/>
      </c>
      <c r="BB249" s="1" t="str">
        <f>IFERROR(INDEX([1]物品基础表!$A:$A,MATCH(BA249,[1]物品基础表!$B:$B,0)),"")</f>
        <v/>
      </c>
      <c r="BE249" s="1" t="str">
        <f>IFERROR(INDEX([1]物品基础表!$A:$A,MATCH(BD249,[1]物品基础表!$B:$B,0)),"")</f>
        <v/>
      </c>
      <c r="BH249" s="1" t="str">
        <f>IFERROR(INDEX([1]物品基础表!$A:$A,MATCH(BG249,[1]物品基础表!$B:$B,0)),"")</f>
        <v/>
      </c>
      <c r="BK249" s="1" t="str">
        <f>IFERROR(INDEX([1]物品基础表!$A:$A,MATCH(BJ249,[1]物品基础表!$B:$B,0)),"")</f>
        <v/>
      </c>
    </row>
    <row r="250" spans="1:63">
      <c r="A250" s="39" t="str">
        <f>INDEX([2]活动总表!$A$8:$A$429,MATCH(B250,[2]活动总表!$B$8:$B$429,0))</f>
        <v>小年神羽转盘（61天以上）</v>
      </c>
      <c r="B250" s="40">
        <v>456</v>
      </c>
      <c r="C250" s="40">
        <v>2</v>
      </c>
      <c r="D250" s="40"/>
      <c r="E250" s="40"/>
      <c r="F250" s="40" t="s">
        <v>858</v>
      </c>
      <c r="G250" s="40">
        <v>5</v>
      </c>
      <c r="H250" s="40"/>
      <c r="I250" s="40"/>
      <c r="J250" s="57"/>
      <c r="K250" s="1">
        <v>200001</v>
      </c>
      <c r="L250" s="1" t="str">
        <f>IFERROR(INDEX([1]物品基础表!$A:$A,MATCH(K250,[1]物品基础表!$B:$B,0)),"")</f>
        <v>羽毛</v>
      </c>
      <c r="M250" s="1">
        <v>6</v>
      </c>
      <c r="O250" s="1" t="str">
        <f>IFERROR(INDEX([1]物品基础表!$A:$A,MATCH(N250,[1]物品基础表!$B:$B,0)),"")</f>
        <v/>
      </c>
      <c r="R250" s="1" t="str">
        <f>IFERROR(INDEX([1]物品基础表!$A:$A,MATCH(Q250,[1]物品基础表!$B:$B,0)),"")</f>
        <v/>
      </c>
      <c r="U250" s="1" t="str">
        <f>IFERROR(INDEX([1]物品基础表!$A:$A,MATCH(T250,[1]物品基础表!$B:$B,0)),"")</f>
        <v/>
      </c>
      <c r="X250" s="1" t="str">
        <f>IFERROR(INDEX([1]物品基础表!$A:$A,MATCH(W250,[1]物品基础表!$B:$B,0)),"")</f>
        <v/>
      </c>
      <c r="AA250" s="1" t="str">
        <f>IFERROR(INDEX([1]物品基础表!$A:$A,MATCH(Z250,[1]物品基础表!$B:$B,0)),"")</f>
        <v/>
      </c>
      <c r="AD250" s="1" t="str">
        <f>IFERROR(INDEX([1]物品基础表!$A:$A,MATCH(AC250,[1]物品基础表!$B:$B,0)),"")</f>
        <v/>
      </c>
      <c r="AG250" s="1" t="str">
        <f>IFERROR(INDEX([1]物品基础表!$A:$A,MATCH(AF250,[1]物品基础表!$B:$B,0)),"")</f>
        <v/>
      </c>
      <c r="AJ250" s="1" t="str">
        <f>IFERROR(INDEX([1]物品基础表!$A:$A,MATCH(AI250,[1]物品基础表!$B:$B,0)),"")</f>
        <v/>
      </c>
      <c r="AM250" s="1" t="str">
        <f>IFERROR(INDEX([1]物品基础表!$A:$A,MATCH(AL250,[1]物品基础表!$B:$B,0)),"")</f>
        <v/>
      </c>
      <c r="AP250" s="1" t="str">
        <f>IFERROR(INDEX([1]物品基础表!$A:$A,MATCH(AO250,[1]物品基础表!$B:$B,0)),"")</f>
        <v/>
      </c>
      <c r="AS250" s="1" t="str">
        <f>IFERROR(INDEX([1]物品基础表!$A:$A,MATCH(AR250,[1]物品基础表!$B:$B,0)),"")</f>
        <v/>
      </c>
      <c r="AV250" s="1" t="str">
        <f>IFERROR(INDEX([1]物品基础表!$A:$A,MATCH(AU250,[1]物品基础表!$B:$B,0)),"")</f>
        <v/>
      </c>
      <c r="AY250" s="1" t="str">
        <f>IFERROR(INDEX([1]物品基础表!$A:$A,MATCH(AX250,[1]物品基础表!$B:$B,0)),"")</f>
        <v/>
      </c>
      <c r="BB250" s="1" t="str">
        <f>IFERROR(INDEX([1]物品基础表!$A:$A,MATCH(BA250,[1]物品基础表!$B:$B,0)),"")</f>
        <v/>
      </c>
      <c r="BE250" s="1" t="str">
        <f>IFERROR(INDEX([1]物品基础表!$A:$A,MATCH(BD250,[1]物品基础表!$B:$B,0)),"")</f>
        <v/>
      </c>
      <c r="BH250" s="1" t="str">
        <f>IFERROR(INDEX([1]物品基础表!$A:$A,MATCH(BG250,[1]物品基础表!$B:$B,0)),"")</f>
        <v/>
      </c>
      <c r="BK250" s="1" t="str">
        <f>IFERROR(INDEX([1]物品基础表!$A:$A,MATCH(BJ250,[1]物品基础表!$B:$B,0)),"")</f>
        <v/>
      </c>
    </row>
    <row r="251" spans="1:63">
      <c r="A251" s="39" t="str">
        <f>INDEX([2]活动总表!$A$8:$A$429,MATCH(B251,[2]活动总表!$B$8:$B$429,0))</f>
        <v>小年神羽转盘（61天以上）</v>
      </c>
      <c r="B251" s="40">
        <v>456</v>
      </c>
      <c r="C251" s="40">
        <v>3</v>
      </c>
      <c r="D251" s="40"/>
      <c r="E251" s="40"/>
      <c r="F251" s="40" t="s">
        <v>859</v>
      </c>
      <c r="G251" s="40">
        <v>5</v>
      </c>
      <c r="H251" s="40"/>
      <c r="I251" s="40"/>
      <c r="J251" s="57"/>
      <c r="K251" s="1">
        <v>200001</v>
      </c>
      <c r="L251" s="1" t="str">
        <f>IFERROR(INDEX([1]物品基础表!$A:$A,MATCH(K251,[1]物品基础表!$B:$B,0)),"")</f>
        <v>羽毛</v>
      </c>
      <c r="M251" s="1">
        <v>100</v>
      </c>
      <c r="O251" s="1" t="str">
        <f>IFERROR(INDEX([1]物品基础表!$A:$A,MATCH(N251,[1]物品基础表!$B:$B,0)),"")</f>
        <v/>
      </c>
      <c r="R251" s="1" t="str">
        <f>IFERROR(INDEX([1]物品基础表!$A:$A,MATCH(Q251,[1]物品基础表!$B:$B,0)),"")</f>
        <v/>
      </c>
      <c r="U251" s="1" t="str">
        <f>IFERROR(INDEX([1]物品基础表!$A:$A,MATCH(T251,[1]物品基础表!$B:$B,0)),"")</f>
        <v/>
      </c>
      <c r="X251" s="1" t="str">
        <f>IFERROR(INDEX([1]物品基础表!$A:$A,MATCH(W251,[1]物品基础表!$B:$B,0)),"")</f>
        <v/>
      </c>
      <c r="AA251" s="1" t="str">
        <f>IFERROR(INDEX([1]物品基础表!$A:$A,MATCH(Z251,[1]物品基础表!$B:$B,0)),"")</f>
        <v/>
      </c>
      <c r="AD251" s="1" t="str">
        <f>IFERROR(INDEX([1]物品基础表!$A:$A,MATCH(AC251,[1]物品基础表!$B:$B,0)),"")</f>
        <v/>
      </c>
      <c r="AG251" s="1" t="str">
        <f>IFERROR(INDEX([1]物品基础表!$A:$A,MATCH(AF251,[1]物品基础表!$B:$B,0)),"")</f>
        <v/>
      </c>
      <c r="AJ251" s="1" t="str">
        <f>IFERROR(INDEX([1]物品基础表!$A:$A,MATCH(AI251,[1]物品基础表!$B:$B,0)),"")</f>
        <v/>
      </c>
      <c r="AM251" s="1" t="str">
        <f>IFERROR(INDEX([1]物品基础表!$A:$A,MATCH(AL251,[1]物品基础表!$B:$B,0)),"")</f>
        <v/>
      </c>
      <c r="AP251" s="1" t="str">
        <f>IFERROR(INDEX([1]物品基础表!$A:$A,MATCH(AO251,[1]物品基础表!$B:$B,0)),"")</f>
        <v/>
      </c>
      <c r="AS251" s="1" t="str">
        <f>IFERROR(INDEX([1]物品基础表!$A:$A,MATCH(AR251,[1]物品基础表!$B:$B,0)),"")</f>
        <v/>
      </c>
      <c r="AV251" s="1" t="str">
        <f>IFERROR(INDEX([1]物品基础表!$A:$A,MATCH(AU251,[1]物品基础表!$B:$B,0)),"")</f>
        <v/>
      </c>
      <c r="AY251" s="1" t="str">
        <f>IFERROR(INDEX([1]物品基础表!$A:$A,MATCH(AX251,[1]物品基础表!$B:$B,0)),"")</f>
        <v/>
      </c>
      <c r="BB251" s="1" t="str">
        <f>IFERROR(INDEX([1]物品基础表!$A:$A,MATCH(BA251,[1]物品基础表!$B:$B,0)),"")</f>
        <v/>
      </c>
      <c r="BE251" s="1" t="str">
        <f>IFERROR(INDEX([1]物品基础表!$A:$A,MATCH(BD251,[1]物品基础表!$B:$B,0)),"")</f>
        <v/>
      </c>
      <c r="BH251" s="1" t="str">
        <f>IFERROR(INDEX([1]物品基础表!$A:$A,MATCH(BG251,[1]物品基础表!$B:$B,0)),"")</f>
        <v/>
      </c>
      <c r="BK251" s="1" t="str">
        <f>IFERROR(INDEX([1]物品基础表!$A:$A,MATCH(BJ251,[1]物品基础表!$B:$B,0)),"")</f>
        <v/>
      </c>
    </row>
    <row r="252" spans="1:63">
      <c r="A252" s="39" t="str">
        <f>INDEX([2]活动总表!$A$8:$A$429,MATCH(B252,[2]活动总表!$B$8:$B$429,0))</f>
        <v>小年神羽转盘（61天以上）</v>
      </c>
      <c r="B252" s="40">
        <v>456</v>
      </c>
      <c r="C252" s="40">
        <v>4</v>
      </c>
      <c r="D252" s="40"/>
      <c r="E252" s="40"/>
      <c r="F252" s="40" t="s">
        <v>858</v>
      </c>
      <c r="G252" s="40">
        <v>5</v>
      </c>
      <c r="H252" s="40"/>
      <c r="I252" s="40"/>
      <c r="J252" s="57"/>
      <c r="K252" s="1">
        <v>200005</v>
      </c>
      <c r="L252" s="1" t="str">
        <f>IFERROR(INDEX([1]物品基础表!$A:$A,MATCH(K252,[1]物品基础表!$B:$B,0)),"")</f>
        <v>龙魂碎片</v>
      </c>
      <c r="M252" s="1">
        <v>12</v>
      </c>
      <c r="O252" s="1" t="str">
        <f>IFERROR(INDEX([1]物品基础表!$A:$A,MATCH(N252,[1]物品基础表!$B:$B,0)),"")</f>
        <v/>
      </c>
      <c r="R252" s="1" t="str">
        <f>IFERROR(INDEX([1]物品基础表!$A:$A,MATCH(Q252,[1]物品基础表!$B:$B,0)),"")</f>
        <v/>
      </c>
      <c r="U252" s="1" t="str">
        <f>IFERROR(INDEX([1]物品基础表!$A:$A,MATCH(T252,[1]物品基础表!$B:$B,0)),"")</f>
        <v/>
      </c>
      <c r="X252" s="1" t="str">
        <f>IFERROR(INDEX([1]物品基础表!$A:$A,MATCH(W252,[1]物品基础表!$B:$B,0)),"")</f>
        <v/>
      </c>
      <c r="AA252" s="1" t="str">
        <f>IFERROR(INDEX([1]物品基础表!$A:$A,MATCH(Z252,[1]物品基础表!$B:$B,0)),"")</f>
        <v/>
      </c>
      <c r="AD252" s="1" t="str">
        <f>IFERROR(INDEX([1]物品基础表!$A:$A,MATCH(AC252,[1]物品基础表!$B:$B,0)),"")</f>
        <v/>
      </c>
      <c r="AG252" s="1" t="str">
        <f>IFERROR(INDEX([1]物品基础表!$A:$A,MATCH(AF252,[1]物品基础表!$B:$B,0)),"")</f>
        <v/>
      </c>
      <c r="AJ252" s="1" t="str">
        <f>IFERROR(INDEX([1]物品基础表!$A:$A,MATCH(AI252,[1]物品基础表!$B:$B,0)),"")</f>
        <v/>
      </c>
      <c r="AM252" s="1" t="str">
        <f>IFERROR(INDEX([1]物品基础表!$A:$A,MATCH(AL252,[1]物品基础表!$B:$B,0)),"")</f>
        <v/>
      </c>
      <c r="AP252" s="1" t="str">
        <f>IFERROR(INDEX([1]物品基础表!$A:$A,MATCH(AO252,[1]物品基础表!$B:$B,0)),"")</f>
        <v/>
      </c>
      <c r="AS252" s="1" t="str">
        <f>IFERROR(INDEX([1]物品基础表!$A:$A,MATCH(AR252,[1]物品基础表!$B:$B,0)),"")</f>
        <v/>
      </c>
      <c r="AV252" s="1" t="str">
        <f>IFERROR(INDEX([1]物品基础表!$A:$A,MATCH(AU252,[1]物品基础表!$B:$B,0)),"")</f>
        <v/>
      </c>
      <c r="AY252" s="1" t="str">
        <f>IFERROR(INDEX([1]物品基础表!$A:$A,MATCH(AX252,[1]物品基础表!$B:$B,0)),"")</f>
        <v/>
      </c>
      <c r="BB252" s="1" t="str">
        <f>IFERROR(INDEX([1]物品基础表!$A:$A,MATCH(BA252,[1]物品基础表!$B:$B,0)),"")</f>
        <v/>
      </c>
      <c r="BE252" s="1" t="str">
        <f>IFERROR(INDEX([1]物品基础表!$A:$A,MATCH(BD252,[1]物品基础表!$B:$B,0)),"")</f>
        <v/>
      </c>
      <c r="BH252" s="1" t="str">
        <f>IFERROR(INDEX([1]物品基础表!$A:$A,MATCH(BG252,[1]物品基础表!$B:$B,0)),"")</f>
        <v/>
      </c>
      <c r="BK252" s="1" t="str">
        <f>IFERROR(INDEX([1]物品基础表!$A:$A,MATCH(BJ252,[1]物品基础表!$B:$B,0)),"")</f>
        <v/>
      </c>
    </row>
    <row r="253" spans="1:63">
      <c r="A253" s="39" t="str">
        <f>INDEX([2]活动总表!$A$8:$A$429,MATCH(B253,[2]活动总表!$B$8:$B$429,0))</f>
        <v>小年神羽转盘（61天以上）</v>
      </c>
      <c r="B253" s="40">
        <v>456</v>
      </c>
      <c r="C253" s="40">
        <v>5</v>
      </c>
      <c r="D253" s="40"/>
      <c r="E253" s="40"/>
      <c r="F253" s="40" t="s">
        <v>858</v>
      </c>
      <c r="G253" s="40">
        <v>5</v>
      </c>
      <c r="H253" s="40"/>
      <c r="I253" s="40"/>
      <c r="J253" s="57"/>
      <c r="K253" s="1">
        <v>200167</v>
      </c>
      <c r="L253" s="1" t="str">
        <f>IFERROR(INDEX([1]物品基础表!$A:$A,MATCH(K253,[1]物品基础表!$B:$B,0)),"")</f>
        <v>黑铁</v>
      </c>
      <c r="M253" s="1">
        <v>300</v>
      </c>
      <c r="O253" s="1" t="str">
        <f>IFERROR(INDEX([1]物品基础表!$A:$A,MATCH(N253,[1]物品基础表!$B:$B,0)),"")</f>
        <v/>
      </c>
      <c r="R253" s="1" t="str">
        <f>IFERROR(INDEX([1]物品基础表!$A:$A,MATCH(Q253,[1]物品基础表!$B:$B,0)),"")</f>
        <v/>
      </c>
      <c r="U253" s="1" t="str">
        <f>IFERROR(INDEX([1]物品基础表!$A:$A,MATCH(T253,[1]物品基础表!$B:$B,0)),"")</f>
        <v/>
      </c>
      <c r="X253" s="1" t="str">
        <f>IFERROR(INDEX([1]物品基础表!$A:$A,MATCH(W253,[1]物品基础表!$B:$B,0)),"")</f>
        <v/>
      </c>
      <c r="AA253" s="1" t="str">
        <f>IFERROR(INDEX([1]物品基础表!$A:$A,MATCH(Z253,[1]物品基础表!$B:$B,0)),"")</f>
        <v/>
      </c>
      <c r="AD253" s="1" t="str">
        <f>IFERROR(INDEX([1]物品基础表!$A:$A,MATCH(AC253,[1]物品基础表!$B:$B,0)),"")</f>
        <v/>
      </c>
      <c r="AG253" s="1" t="str">
        <f>IFERROR(INDEX([1]物品基础表!$A:$A,MATCH(AF253,[1]物品基础表!$B:$B,0)),"")</f>
        <v/>
      </c>
      <c r="AJ253" s="1" t="str">
        <f>IFERROR(INDEX([1]物品基础表!$A:$A,MATCH(AI253,[1]物品基础表!$B:$B,0)),"")</f>
        <v/>
      </c>
      <c r="AM253" s="1" t="str">
        <f>IFERROR(INDEX([1]物品基础表!$A:$A,MATCH(AL253,[1]物品基础表!$B:$B,0)),"")</f>
        <v/>
      </c>
      <c r="AP253" s="1" t="str">
        <f>IFERROR(INDEX([1]物品基础表!$A:$A,MATCH(AO253,[1]物品基础表!$B:$B,0)),"")</f>
        <v/>
      </c>
      <c r="AS253" s="1" t="str">
        <f>IFERROR(INDEX([1]物品基础表!$A:$A,MATCH(AR253,[1]物品基础表!$B:$B,0)),"")</f>
        <v/>
      </c>
      <c r="AV253" s="1" t="str">
        <f>IFERROR(INDEX([1]物品基础表!$A:$A,MATCH(AU253,[1]物品基础表!$B:$B,0)),"")</f>
        <v/>
      </c>
      <c r="AY253" s="1" t="str">
        <f>IFERROR(INDEX([1]物品基础表!$A:$A,MATCH(AX253,[1]物品基础表!$B:$B,0)),"")</f>
        <v/>
      </c>
      <c r="BB253" s="1" t="str">
        <f>IFERROR(INDEX([1]物品基础表!$A:$A,MATCH(BA253,[1]物品基础表!$B:$B,0)),"")</f>
        <v/>
      </c>
      <c r="BE253" s="1" t="str">
        <f>IFERROR(INDEX([1]物品基础表!$A:$A,MATCH(BD253,[1]物品基础表!$B:$B,0)),"")</f>
        <v/>
      </c>
      <c r="BH253" s="1" t="str">
        <f>IFERROR(INDEX([1]物品基础表!$A:$A,MATCH(BG253,[1]物品基础表!$B:$B,0)),"")</f>
        <v/>
      </c>
      <c r="BK253" s="1" t="str">
        <f>IFERROR(INDEX([1]物品基础表!$A:$A,MATCH(BJ253,[1]物品基础表!$B:$B,0)),"")</f>
        <v/>
      </c>
    </row>
    <row r="254" spans="1:63">
      <c r="A254" s="39" t="str">
        <f>INDEX([2]活动总表!$A$8:$A$429,MATCH(B254,[2]活动总表!$B$8:$B$429,0))</f>
        <v>小年神羽转盘（61天以上）</v>
      </c>
      <c r="B254" s="40">
        <v>456</v>
      </c>
      <c r="C254" s="40">
        <v>6</v>
      </c>
      <c r="D254" s="40"/>
      <c r="E254" s="40"/>
      <c r="F254" s="40" t="s">
        <v>860</v>
      </c>
      <c r="G254" s="40">
        <v>5</v>
      </c>
      <c r="H254" s="40"/>
      <c r="I254" s="40"/>
      <c r="J254" s="57"/>
      <c r="K254" s="1">
        <v>200316</v>
      </c>
      <c r="L254" s="1" t="str">
        <f>IFERROR(INDEX([1]物品基础表!$A:$A,MATCH(K254,[1]物品基础表!$B:$B,0)),"")</f>
        <v>3阶神羽宝箱</v>
      </c>
      <c r="M254" s="1">
        <v>1</v>
      </c>
      <c r="O254" s="1" t="str">
        <f>IFERROR(INDEX([1]物品基础表!$A:$A,MATCH(N254,[1]物品基础表!$B:$B,0)),"")</f>
        <v/>
      </c>
      <c r="R254" s="1" t="str">
        <f>IFERROR(INDEX([1]物品基础表!$A:$A,MATCH(Q254,[1]物品基础表!$B:$B,0)),"")</f>
        <v/>
      </c>
      <c r="U254" s="1" t="str">
        <f>IFERROR(INDEX([1]物品基础表!$A:$A,MATCH(T254,[1]物品基础表!$B:$B,0)),"")</f>
        <v/>
      </c>
      <c r="X254" s="1" t="str">
        <f>IFERROR(INDEX([1]物品基础表!$A:$A,MATCH(W254,[1]物品基础表!$B:$B,0)),"")</f>
        <v/>
      </c>
      <c r="AA254" s="1" t="str">
        <f>IFERROR(INDEX([1]物品基础表!$A:$A,MATCH(Z254,[1]物品基础表!$B:$B,0)),"")</f>
        <v/>
      </c>
      <c r="AD254" s="1" t="str">
        <f>IFERROR(INDEX([1]物品基础表!$A:$A,MATCH(AC254,[1]物品基础表!$B:$B,0)),"")</f>
        <v/>
      </c>
      <c r="AG254" s="1" t="str">
        <f>IFERROR(INDEX([1]物品基础表!$A:$A,MATCH(AF254,[1]物品基础表!$B:$B,0)),"")</f>
        <v/>
      </c>
      <c r="AJ254" s="1" t="str">
        <f>IFERROR(INDEX([1]物品基础表!$A:$A,MATCH(AI254,[1]物品基础表!$B:$B,0)),"")</f>
        <v/>
      </c>
      <c r="AM254" s="1" t="str">
        <f>IFERROR(INDEX([1]物品基础表!$A:$A,MATCH(AL254,[1]物品基础表!$B:$B,0)),"")</f>
        <v/>
      </c>
      <c r="AP254" s="1" t="str">
        <f>IFERROR(INDEX([1]物品基础表!$A:$A,MATCH(AO254,[1]物品基础表!$B:$B,0)),"")</f>
        <v/>
      </c>
      <c r="AS254" s="1" t="str">
        <f>IFERROR(INDEX([1]物品基础表!$A:$A,MATCH(AR254,[1]物品基础表!$B:$B,0)),"")</f>
        <v/>
      </c>
      <c r="AV254" s="1" t="str">
        <f>IFERROR(INDEX([1]物品基础表!$A:$A,MATCH(AU254,[1]物品基础表!$B:$B,0)),"")</f>
        <v/>
      </c>
      <c r="AY254" s="1" t="str">
        <f>IFERROR(INDEX([1]物品基础表!$A:$A,MATCH(AX254,[1]物品基础表!$B:$B,0)),"")</f>
        <v/>
      </c>
      <c r="BB254" s="1" t="str">
        <f>IFERROR(INDEX([1]物品基础表!$A:$A,MATCH(BA254,[1]物品基础表!$B:$B,0)),"")</f>
        <v/>
      </c>
      <c r="BE254" s="1" t="str">
        <f>IFERROR(INDEX([1]物品基础表!$A:$A,MATCH(BD254,[1]物品基础表!$B:$B,0)),"")</f>
        <v/>
      </c>
      <c r="BH254" s="1" t="str">
        <f>IFERROR(INDEX([1]物品基础表!$A:$A,MATCH(BG254,[1]物品基础表!$B:$B,0)),"")</f>
        <v/>
      </c>
      <c r="BK254" s="1" t="str">
        <f>IFERROR(INDEX([1]物品基础表!$A:$A,MATCH(BJ254,[1]物品基础表!$B:$B,0)),"")</f>
        <v/>
      </c>
    </row>
    <row r="255" spans="1:63">
      <c r="A255" s="39" t="str">
        <f>INDEX([2]活动总表!$A$8:$A$429,MATCH(B255,[2]活动总表!$B$8:$B$429,0))</f>
        <v>小年神羽转盘（61天以上）</v>
      </c>
      <c r="B255" s="40">
        <v>456</v>
      </c>
      <c r="C255" s="40">
        <v>7</v>
      </c>
      <c r="D255" s="40"/>
      <c r="E255" s="40"/>
      <c r="F255" s="40" t="s">
        <v>858</v>
      </c>
      <c r="G255" s="40">
        <v>5</v>
      </c>
      <c r="H255" s="40"/>
      <c r="I255" s="40"/>
      <c r="J255" s="57"/>
      <c r="K255" s="1">
        <v>200001</v>
      </c>
      <c r="L255" s="1" t="str">
        <f>IFERROR(INDEX([1]物品基础表!$A:$A,MATCH(K255,[1]物品基础表!$B:$B,0)),"")</f>
        <v>羽毛</v>
      </c>
      <c r="M255" s="1">
        <v>12</v>
      </c>
      <c r="O255" s="1" t="str">
        <f>IFERROR(INDEX([1]物品基础表!$A:$A,MATCH(N255,[1]物品基础表!$B:$B,0)),"")</f>
        <v/>
      </c>
      <c r="R255" s="1" t="str">
        <f>IFERROR(INDEX([1]物品基础表!$A:$A,MATCH(Q255,[1]物品基础表!$B:$B,0)),"")</f>
        <v/>
      </c>
      <c r="U255" s="1" t="str">
        <f>IFERROR(INDEX([1]物品基础表!$A:$A,MATCH(T255,[1]物品基础表!$B:$B,0)),"")</f>
        <v/>
      </c>
      <c r="X255" s="1" t="str">
        <f>IFERROR(INDEX([1]物品基础表!$A:$A,MATCH(W255,[1]物品基础表!$B:$B,0)),"")</f>
        <v/>
      </c>
      <c r="AA255" s="1" t="str">
        <f>IFERROR(INDEX([1]物品基础表!$A:$A,MATCH(Z255,[1]物品基础表!$B:$B,0)),"")</f>
        <v/>
      </c>
      <c r="AD255" s="1" t="str">
        <f>IFERROR(INDEX([1]物品基础表!$A:$A,MATCH(AC255,[1]物品基础表!$B:$B,0)),"")</f>
        <v/>
      </c>
      <c r="AG255" s="1" t="str">
        <f>IFERROR(INDEX([1]物品基础表!$A:$A,MATCH(AF255,[1]物品基础表!$B:$B,0)),"")</f>
        <v/>
      </c>
      <c r="AJ255" s="1" t="str">
        <f>IFERROR(INDEX([1]物品基础表!$A:$A,MATCH(AI255,[1]物品基础表!$B:$B,0)),"")</f>
        <v/>
      </c>
      <c r="AM255" s="1" t="str">
        <f>IFERROR(INDEX([1]物品基础表!$A:$A,MATCH(AL255,[1]物品基础表!$B:$B,0)),"")</f>
        <v/>
      </c>
      <c r="AP255" s="1" t="str">
        <f>IFERROR(INDEX([1]物品基础表!$A:$A,MATCH(AO255,[1]物品基础表!$B:$B,0)),"")</f>
        <v/>
      </c>
      <c r="AS255" s="1" t="str">
        <f>IFERROR(INDEX([1]物品基础表!$A:$A,MATCH(AR255,[1]物品基础表!$B:$B,0)),"")</f>
        <v/>
      </c>
      <c r="AV255" s="1" t="str">
        <f>IFERROR(INDEX([1]物品基础表!$A:$A,MATCH(AU255,[1]物品基础表!$B:$B,0)),"")</f>
        <v/>
      </c>
      <c r="AY255" s="1" t="str">
        <f>IFERROR(INDEX([1]物品基础表!$A:$A,MATCH(AX255,[1]物品基础表!$B:$B,0)),"")</f>
        <v/>
      </c>
      <c r="BB255" s="1" t="str">
        <f>IFERROR(INDEX([1]物品基础表!$A:$A,MATCH(BA255,[1]物品基础表!$B:$B,0)),"")</f>
        <v/>
      </c>
      <c r="BE255" s="1" t="str">
        <f>IFERROR(INDEX([1]物品基础表!$A:$A,MATCH(BD255,[1]物品基础表!$B:$B,0)),"")</f>
        <v/>
      </c>
      <c r="BH255" s="1" t="str">
        <f>IFERROR(INDEX([1]物品基础表!$A:$A,MATCH(BG255,[1]物品基础表!$B:$B,0)),"")</f>
        <v/>
      </c>
      <c r="BK255" s="1" t="str">
        <f>IFERROR(INDEX([1]物品基础表!$A:$A,MATCH(BJ255,[1]物品基础表!$B:$B,0)),"")</f>
        <v/>
      </c>
    </row>
    <row r="256" spans="1:63">
      <c r="A256" s="39" t="str">
        <f>INDEX([2]活动总表!$A$8:$A$429,MATCH(B256,[2]活动总表!$B$8:$B$429,0))</f>
        <v>小年神羽转盘（61天以上）</v>
      </c>
      <c r="B256" s="40">
        <v>456</v>
      </c>
      <c r="C256" s="40">
        <v>8</v>
      </c>
      <c r="D256" s="40"/>
      <c r="E256" s="40"/>
      <c r="F256" s="40" t="s">
        <v>861</v>
      </c>
      <c r="G256" s="40">
        <v>5</v>
      </c>
      <c r="H256" s="40"/>
      <c r="I256" s="40"/>
      <c r="J256" s="57"/>
      <c r="K256" s="1">
        <v>200301</v>
      </c>
      <c r="L256" s="1" t="str">
        <f>IFERROR(INDEX([1]物品基础表!$A:$A,MATCH(K256,[1]物品基础表!$B:$B,0)),"")</f>
        <v>传世宝钻</v>
      </c>
      <c r="M256" s="1">
        <v>50</v>
      </c>
      <c r="O256" s="1" t="str">
        <f>IFERROR(INDEX([1]物品基础表!$A:$A,MATCH(N256,[1]物品基础表!$B:$B,0)),"")</f>
        <v/>
      </c>
      <c r="R256" s="1" t="str">
        <f>IFERROR(INDEX([1]物品基础表!$A:$A,MATCH(Q256,[1]物品基础表!$B:$B,0)),"")</f>
        <v/>
      </c>
      <c r="U256" s="1" t="str">
        <f>IFERROR(INDEX([1]物品基础表!$A:$A,MATCH(T256,[1]物品基础表!$B:$B,0)),"")</f>
        <v/>
      </c>
      <c r="X256" s="1" t="str">
        <f>IFERROR(INDEX([1]物品基础表!$A:$A,MATCH(W256,[1]物品基础表!$B:$B,0)),"")</f>
        <v/>
      </c>
      <c r="AA256" s="1" t="str">
        <f>IFERROR(INDEX([1]物品基础表!$A:$A,MATCH(Z256,[1]物品基础表!$B:$B,0)),"")</f>
        <v/>
      </c>
      <c r="AD256" s="1" t="str">
        <f>IFERROR(INDEX([1]物品基础表!$A:$A,MATCH(AC256,[1]物品基础表!$B:$B,0)),"")</f>
        <v/>
      </c>
      <c r="AG256" s="1" t="str">
        <f>IFERROR(INDEX([1]物品基础表!$A:$A,MATCH(AF256,[1]物品基础表!$B:$B,0)),"")</f>
        <v/>
      </c>
      <c r="AJ256" s="1" t="str">
        <f>IFERROR(INDEX([1]物品基础表!$A:$A,MATCH(AI256,[1]物品基础表!$B:$B,0)),"")</f>
        <v/>
      </c>
      <c r="AM256" s="1" t="str">
        <f>IFERROR(INDEX([1]物品基础表!$A:$A,MATCH(AL256,[1]物品基础表!$B:$B,0)),"")</f>
        <v/>
      </c>
      <c r="AP256" s="1" t="str">
        <f>IFERROR(INDEX([1]物品基础表!$A:$A,MATCH(AO256,[1]物品基础表!$B:$B,0)),"")</f>
        <v/>
      </c>
      <c r="AS256" s="1" t="str">
        <f>IFERROR(INDEX([1]物品基础表!$A:$A,MATCH(AR256,[1]物品基础表!$B:$B,0)),"")</f>
        <v/>
      </c>
      <c r="AV256" s="1" t="str">
        <f>IFERROR(INDEX([1]物品基础表!$A:$A,MATCH(AU256,[1]物品基础表!$B:$B,0)),"")</f>
        <v/>
      </c>
      <c r="AY256" s="1" t="str">
        <f>IFERROR(INDEX([1]物品基础表!$A:$A,MATCH(AX256,[1]物品基础表!$B:$B,0)),"")</f>
        <v/>
      </c>
      <c r="BB256" s="1" t="str">
        <f>IFERROR(INDEX([1]物品基础表!$A:$A,MATCH(BA256,[1]物品基础表!$B:$B,0)),"")</f>
        <v/>
      </c>
      <c r="BE256" s="1" t="str">
        <f>IFERROR(INDEX([1]物品基础表!$A:$A,MATCH(BD256,[1]物品基础表!$B:$B,0)),"")</f>
        <v/>
      </c>
      <c r="BH256" s="1" t="str">
        <f>IFERROR(INDEX([1]物品基础表!$A:$A,MATCH(BG256,[1]物品基础表!$B:$B,0)),"")</f>
        <v/>
      </c>
      <c r="BK256" s="1" t="str">
        <f>IFERROR(INDEX([1]物品基础表!$A:$A,MATCH(BJ256,[1]物品基础表!$B:$B,0)),"")</f>
        <v/>
      </c>
    </row>
    <row r="257" spans="1:64">
      <c r="A257" s="39" t="str">
        <f>INDEX([2]活动总表!$A$8:$A$429,MATCH(B257,[2]活动总表!$B$8:$B$429,0))</f>
        <v>小年神羽转盘（61天以上）</v>
      </c>
      <c r="B257" s="40">
        <v>456</v>
      </c>
      <c r="C257" s="40">
        <v>9</v>
      </c>
      <c r="D257" s="40"/>
      <c r="E257" s="40"/>
      <c r="F257" s="40" t="s">
        <v>858</v>
      </c>
      <c r="G257" s="40">
        <v>5</v>
      </c>
      <c r="H257" s="40"/>
      <c r="I257" s="40"/>
      <c r="J257" s="57"/>
      <c r="K257" s="1">
        <v>200167</v>
      </c>
      <c r="L257" s="1" t="str">
        <f>IFERROR(INDEX([1]物品基础表!$A:$A,MATCH(K257,[1]物品基础表!$B:$B,0)),"")</f>
        <v>黑铁</v>
      </c>
      <c r="M257" s="1">
        <v>600</v>
      </c>
      <c r="O257" s="1" t="str">
        <f>IFERROR(INDEX([1]物品基础表!$A:$A,MATCH(N257,[1]物品基础表!$B:$B,0)),"")</f>
        <v/>
      </c>
      <c r="R257" s="1" t="str">
        <f>IFERROR(INDEX([1]物品基础表!$A:$A,MATCH(Q257,[1]物品基础表!$B:$B,0)),"")</f>
        <v/>
      </c>
      <c r="U257" s="1" t="str">
        <f>IFERROR(INDEX([1]物品基础表!$A:$A,MATCH(T257,[1]物品基础表!$B:$B,0)),"")</f>
        <v/>
      </c>
      <c r="X257" s="1" t="str">
        <f>IFERROR(INDEX([1]物品基础表!$A:$A,MATCH(W257,[1]物品基础表!$B:$B,0)),"")</f>
        <v/>
      </c>
      <c r="AA257" s="1" t="str">
        <f>IFERROR(INDEX([1]物品基础表!$A:$A,MATCH(Z257,[1]物品基础表!$B:$B,0)),"")</f>
        <v/>
      </c>
      <c r="AD257" s="1" t="str">
        <f>IFERROR(INDEX([1]物品基础表!$A:$A,MATCH(AC257,[1]物品基础表!$B:$B,0)),"")</f>
        <v/>
      </c>
      <c r="AG257" s="1" t="str">
        <f>IFERROR(INDEX([1]物品基础表!$A:$A,MATCH(AF257,[1]物品基础表!$B:$B,0)),"")</f>
        <v/>
      </c>
      <c r="AJ257" s="1" t="str">
        <f>IFERROR(INDEX([1]物品基础表!$A:$A,MATCH(AI257,[1]物品基础表!$B:$B,0)),"")</f>
        <v/>
      </c>
      <c r="AM257" s="1" t="str">
        <f>IFERROR(INDEX([1]物品基础表!$A:$A,MATCH(AL257,[1]物品基础表!$B:$B,0)),"")</f>
        <v/>
      </c>
      <c r="AP257" s="1" t="str">
        <f>IFERROR(INDEX([1]物品基础表!$A:$A,MATCH(AO257,[1]物品基础表!$B:$B,0)),"")</f>
        <v/>
      </c>
      <c r="AS257" s="1" t="str">
        <f>IFERROR(INDEX([1]物品基础表!$A:$A,MATCH(AR257,[1]物品基础表!$B:$B,0)),"")</f>
        <v/>
      </c>
      <c r="AV257" s="1" t="str">
        <f>IFERROR(INDEX([1]物品基础表!$A:$A,MATCH(AU257,[1]物品基础表!$B:$B,0)),"")</f>
        <v/>
      </c>
      <c r="AY257" s="1" t="str">
        <f>IFERROR(INDEX([1]物品基础表!$A:$A,MATCH(AX257,[1]物品基础表!$B:$B,0)),"")</f>
        <v/>
      </c>
      <c r="BB257" s="1" t="str">
        <f>IFERROR(INDEX([1]物品基础表!$A:$A,MATCH(BA257,[1]物品基础表!$B:$B,0)),"")</f>
        <v/>
      </c>
      <c r="BE257" s="1" t="str">
        <f>IFERROR(INDEX([1]物品基础表!$A:$A,MATCH(BD257,[1]物品基础表!$B:$B,0)),"")</f>
        <v/>
      </c>
      <c r="BH257" s="1" t="str">
        <f>IFERROR(INDEX([1]物品基础表!$A:$A,MATCH(BG257,[1]物品基础表!$B:$B,0)),"")</f>
        <v/>
      </c>
      <c r="BK257" s="1" t="str">
        <f>IFERROR(INDEX([1]物品基础表!$A:$A,MATCH(BJ257,[1]物品基础表!$B:$B,0)),"")</f>
        <v/>
      </c>
    </row>
    <row r="258" spans="1:64">
      <c r="A258" s="39" t="str">
        <f>INDEX([2]活动总表!$A$8:$A$429,MATCH(B258,[2]活动总表!$B$8:$B$429,0))</f>
        <v>小年神羽转盘（61天以上）</v>
      </c>
      <c r="B258" s="40">
        <v>456</v>
      </c>
      <c r="C258" s="40">
        <v>10</v>
      </c>
      <c r="D258" s="40"/>
      <c r="E258" s="40"/>
      <c r="F258" s="40" t="s">
        <v>862</v>
      </c>
      <c r="G258" s="40">
        <v>5</v>
      </c>
      <c r="H258" s="40"/>
      <c r="I258" s="40"/>
      <c r="J258" s="57"/>
      <c r="K258" s="1">
        <v>601000</v>
      </c>
      <c r="L258" s="1" t="str">
        <f>IFERROR(INDEX([1]物品基础表!$A:$A,MATCH(K258,[1]物品基础表!$B:$B,0)),"")</f>
        <v>神羽碎片</v>
      </c>
      <c r="M258" s="1">
        <v>20</v>
      </c>
      <c r="O258" s="1" t="str">
        <f>IFERROR(INDEX([1]物品基础表!$A:$A,MATCH(N258,[1]物品基础表!$B:$B,0)),"")</f>
        <v/>
      </c>
      <c r="R258" s="1" t="str">
        <f>IFERROR(INDEX([1]物品基础表!$A:$A,MATCH(Q258,[1]物品基础表!$B:$B,0)),"")</f>
        <v/>
      </c>
      <c r="U258" s="1" t="str">
        <f>IFERROR(INDEX([1]物品基础表!$A:$A,MATCH(T258,[1]物品基础表!$B:$B,0)),"")</f>
        <v/>
      </c>
      <c r="X258" s="1" t="str">
        <f>IFERROR(INDEX([1]物品基础表!$A:$A,MATCH(W258,[1]物品基础表!$B:$B,0)),"")</f>
        <v/>
      </c>
      <c r="AA258" s="1" t="str">
        <f>IFERROR(INDEX([1]物品基础表!$A:$A,MATCH(Z258,[1]物品基础表!$B:$B,0)),"")</f>
        <v/>
      </c>
      <c r="AD258" s="1" t="str">
        <f>IFERROR(INDEX([1]物品基础表!$A:$A,MATCH(AC258,[1]物品基础表!$B:$B,0)),"")</f>
        <v/>
      </c>
      <c r="AG258" s="1" t="str">
        <f>IFERROR(INDEX([1]物品基础表!$A:$A,MATCH(AF258,[1]物品基础表!$B:$B,0)),"")</f>
        <v/>
      </c>
      <c r="AJ258" s="1" t="str">
        <f>IFERROR(INDEX([1]物品基础表!$A:$A,MATCH(AI258,[1]物品基础表!$B:$B,0)),"")</f>
        <v/>
      </c>
      <c r="AM258" s="1" t="str">
        <f>IFERROR(INDEX([1]物品基础表!$A:$A,MATCH(AL258,[1]物品基础表!$B:$B,0)),"")</f>
        <v/>
      </c>
      <c r="AP258" s="1" t="str">
        <f>IFERROR(INDEX([1]物品基础表!$A:$A,MATCH(AO258,[1]物品基础表!$B:$B,0)),"")</f>
        <v/>
      </c>
      <c r="AS258" s="1" t="str">
        <f>IFERROR(INDEX([1]物品基础表!$A:$A,MATCH(AR258,[1]物品基础表!$B:$B,0)),"")</f>
        <v/>
      </c>
      <c r="AV258" s="1" t="str">
        <f>IFERROR(INDEX([1]物品基础表!$A:$A,MATCH(AU258,[1]物品基础表!$B:$B,0)),"")</f>
        <v/>
      </c>
      <c r="AY258" s="1" t="str">
        <f>IFERROR(INDEX([1]物品基础表!$A:$A,MATCH(AX258,[1]物品基础表!$B:$B,0)),"")</f>
        <v/>
      </c>
      <c r="BB258" s="1" t="str">
        <f>IFERROR(INDEX([1]物品基础表!$A:$A,MATCH(BA258,[1]物品基础表!$B:$B,0)),"")</f>
        <v/>
      </c>
      <c r="BE258" s="1" t="str">
        <f>IFERROR(INDEX([1]物品基础表!$A:$A,MATCH(BD258,[1]物品基础表!$B:$B,0)),"")</f>
        <v/>
      </c>
      <c r="BH258" s="1" t="str">
        <f>IFERROR(INDEX([1]物品基础表!$A:$A,MATCH(BG258,[1]物品基础表!$B:$B,0)),"")</f>
        <v/>
      </c>
      <c r="BK258" s="1" t="str">
        <f>IFERROR(INDEX([1]物品基础表!$A:$A,MATCH(BJ258,[1]物品基础表!$B:$B,0)),"")</f>
        <v/>
      </c>
    </row>
    <row r="259" spans="1:64">
      <c r="A259" s="39" t="str">
        <f>INDEX([2]活动总表!$A$8:$A$429,MATCH(B259,[2]活动总表!$B$8:$B$429,0))</f>
        <v>元宵-福袋</v>
      </c>
      <c r="B259" s="40">
        <v>653</v>
      </c>
      <c r="C259" s="40">
        <v>0</v>
      </c>
      <c r="D259" s="40"/>
      <c r="E259" s="40">
        <v>998</v>
      </c>
      <c r="F259" s="40"/>
      <c r="G259" s="40">
        <v>2</v>
      </c>
      <c r="H259" s="40"/>
      <c r="I259" s="40" t="s">
        <v>863</v>
      </c>
      <c r="J259" s="57"/>
      <c r="L259" s="1" t="str">
        <f>IFERROR(INDEX([1]物品基础表!$A:$A,MATCH(K259,[1]物品基础表!$B:$B,0)),"")</f>
        <v/>
      </c>
      <c r="N259" s="1">
        <v>201217</v>
      </c>
      <c r="O259" s="1" t="str">
        <f>IFERROR(INDEX([1]物品基础表!$A:$A,MATCH(N259,[1]物品基础表!$B:$B,0)),"")</f>
        <v>（41+）元宵福袋1</v>
      </c>
      <c r="P259" s="1">
        <v>1</v>
      </c>
      <c r="Q259" s="1">
        <v>201218</v>
      </c>
      <c r="R259" s="1" t="str">
        <f>IFERROR(INDEX([1]物品基础表!$A:$A,MATCH(Q259,[1]物品基础表!$B:$B,0)),"")</f>
        <v>（41+）元宵福袋2</v>
      </c>
      <c r="S259" s="1">
        <v>1</v>
      </c>
      <c r="T259" s="1">
        <v>201219</v>
      </c>
      <c r="U259" s="1" t="str">
        <f>IFERROR(INDEX([1]物品基础表!$A:$A,MATCH(T259,[1]物品基础表!$B:$B,0)),"")</f>
        <v>（41+）元宵福袋3</v>
      </c>
      <c r="V259" s="1">
        <v>1</v>
      </c>
      <c r="W259" s="1">
        <v>201220</v>
      </c>
      <c r="X259" s="1" t="str">
        <f>IFERROR(INDEX([1]物品基础表!$A:$A,MATCH(W259,[1]物品基础表!$B:$B,0)),"")</f>
        <v>（41+）元宵福袋4</v>
      </c>
      <c r="Y259" s="1">
        <v>1</v>
      </c>
      <c r="Z259" s="1">
        <v>201221</v>
      </c>
      <c r="AA259" s="1" t="str">
        <f>IFERROR(INDEX([1]物品基础表!$A:$A,MATCH(Z259,[1]物品基础表!$B:$B,0)),"")</f>
        <v>（41+）元宵福袋5</v>
      </c>
      <c r="AB259" s="1">
        <v>1</v>
      </c>
      <c r="AD259" s="1" t="str">
        <f>IFERROR(INDEX([1]物品基础表!$A:$A,MATCH(AC259,[1]物品基础表!$B:$B,0)),"")</f>
        <v/>
      </c>
      <c r="AF259" s="1">
        <v>201222</v>
      </c>
      <c r="AG259" s="1" t="str">
        <f>IFERROR(INDEX([1]物品基础表!$A:$A,MATCH(AF259,[1]物品基础表!$B:$B,0)),"")</f>
        <v>（41+）元宵福袋6</v>
      </c>
      <c r="AH259" s="1">
        <v>1</v>
      </c>
      <c r="AI259" s="1">
        <v>201223</v>
      </c>
      <c r="AJ259" s="1" t="str">
        <f>IFERROR(INDEX([1]物品基础表!$A:$A,MATCH(AI259,[1]物品基础表!$B:$B,0)),"")</f>
        <v>（41+）元宵福袋7</v>
      </c>
      <c r="AK259" s="1">
        <v>1</v>
      </c>
      <c r="AL259" s="1">
        <v>201224</v>
      </c>
      <c r="AM259" s="1" t="str">
        <f>IFERROR(INDEX([1]物品基础表!$A:$A,MATCH(AL259,[1]物品基础表!$B:$B,0)),"")</f>
        <v>（41+）元宵福袋8</v>
      </c>
      <c r="AN259" s="1">
        <v>1</v>
      </c>
      <c r="AO259" s="1">
        <v>201225</v>
      </c>
      <c r="AP259" s="1" t="str">
        <f>IFERROR(INDEX([1]物品基础表!$A:$A,MATCH(AO259,[1]物品基础表!$B:$B,0)),"")</f>
        <v>（41+）元宵福袋9</v>
      </c>
      <c r="AQ259" s="1">
        <v>1</v>
      </c>
      <c r="AR259" s="1">
        <v>201226</v>
      </c>
      <c r="AS259" s="1" t="str">
        <f>IFERROR(INDEX([1]物品基础表!$A:$A,MATCH(AR259,[1]物品基础表!$B:$B,0)),"")</f>
        <v>（41+）元宵福袋10</v>
      </c>
      <c r="AT259" s="1">
        <v>1</v>
      </c>
      <c r="AU259" s="1">
        <v>201227</v>
      </c>
      <c r="AV259" s="1" t="str">
        <f>IFERROR(INDEX([1]物品基础表!$A:$A,MATCH(AU259,[1]物品基础表!$B:$B,0)),"")</f>
        <v>（41+）元宵福袋11</v>
      </c>
      <c r="AW259" s="1">
        <v>1</v>
      </c>
      <c r="AX259" s="1">
        <v>201228</v>
      </c>
      <c r="AY259" s="1" t="str">
        <f>IFERROR(INDEX([1]物品基础表!$A:$A,MATCH(AX259,[1]物品基础表!$B:$B,0)),"")</f>
        <v>（41+）元宵福袋12</v>
      </c>
      <c r="AZ259" s="1">
        <v>1</v>
      </c>
      <c r="BA259" s="1">
        <v>201229</v>
      </c>
      <c r="BB259" s="1" t="str">
        <f>IFERROR(INDEX([1]物品基础表!$A:$A,MATCH(BA259,[1]物品基础表!$B:$B,0)),"")</f>
        <v>（41+）元宵福袋13</v>
      </c>
      <c r="BC259" s="1">
        <v>1</v>
      </c>
      <c r="BD259" s="1">
        <v>201230</v>
      </c>
      <c r="BE259" s="1" t="str">
        <f>IFERROR(INDEX([1]物品基础表!$A:$A,MATCH(BD259,[1]物品基础表!$B:$B,0)),"")</f>
        <v>（41+）元宵福袋14</v>
      </c>
      <c r="BF259" s="1">
        <v>1</v>
      </c>
      <c r="BG259" s="1">
        <v>201231</v>
      </c>
      <c r="BH259" s="1" t="str">
        <f>IFERROR(INDEX([1]物品基础表!$A:$A,MATCH(BG259,[1]物品基础表!$B:$B,0)),"")</f>
        <v>（41+）元宵福袋15</v>
      </c>
      <c r="BI259" s="1">
        <v>1</v>
      </c>
      <c r="BJ259" s="1">
        <v>201232</v>
      </c>
      <c r="BK259" s="1" t="str">
        <f>IFERROR(INDEX([1]物品基础表!$A:$A,MATCH(BJ259,[1]物品基础表!$B:$B,0)),"")</f>
        <v>（41+）元宵福袋16</v>
      </c>
      <c r="BL259" s="1">
        <v>1</v>
      </c>
    </row>
    <row r="260" spans="1:64">
      <c r="A260" s="39" t="str">
        <f>INDEX([2]活动总表!$A$8:$A$429,MATCH(B260,[2]活动总表!$B$8:$B$429,0))</f>
        <v>元宵-福袋</v>
      </c>
      <c r="B260" s="40">
        <v>653</v>
      </c>
      <c r="C260" s="40">
        <v>1</v>
      </c>
      <c r="D260" s="40"/>
      <c r="E260" s="40"/>
      <c r="F260" s="40" t="s">
        <v>864</v>
      </c>
      <c r="G260" s="40">
        <v>2</v>
      </c>
      <c r="H260" s="40"/>
      <c r="I260" s="40"/>
      <c r="J260" s="57"/>
      <c r="K260" s="1">
        <v>204134</v>
      </c>
      <c r="L260" s="1" t="str">
        <f>IFERROR(INDEX([1]物品基础表!$A:$A,MATCH(K260,[1]物品基础表!$B:$B,0)),"")</f>
        <v>金色图鉴包·倾国倾城</v>
      </c>
      <c r="M260" s="1">
        <v>1</v>
      </c>
      <c r="O260" s="1" t="str">
        <f>IFERROR(INDEX([1]物品基础表!$A:$A,MATCH(N260,[1]物品基础表!$B:$B,0)),"")</f>
        <v/>
      </c>
      <c r="R260" s="1" t="str">
        <f>IFERROR(INDEX([1]物品基础表!$A:$A,MATCH(Q260,[1]物品基础表!$B:$B,0)),"")</f>
        <v/>
      </c>
      <c r="U260" s="1" t="str">
        <f>IFERROR(INDEX([1]物品基础表!$A:$A,MATCH(T260,[1]物品基础表!$B:$B,0)),"")</f>
        <v/>
      </c>
      <c r="X260" s="1" t="str">
        <f>IFERROR(INDEX([1]物品基础表!$A:$A,MATCH(W260,[1]物品基础表!$B:$B,0)),"")</f>
        <v/>
      </c>
      <c r="AA260" s="1" t="str">
        <f>IFERROR(INDEX([1]物品基础表!$A:$A,MATCH(Z260,[1]物品基础表!$B:$B,0)),"")</f>
        <v/>
      </c>
      <c r="AD260" s="1" t="str">
        <f>IFERROR(INDEX([1]物品基础表!$A:$A,MATCH(AC260,[1]物品基础表!$B:$B,0)),"")</f>
        <v/>
      </c>
      <c r="AG260" s="1" t="str">
        <f>IFERROR(INDEX([1]物品基础表!$A:$A,MATCH(AF260,[1]物品基础表!$B:$B,0)),"")</f>
        <v/>
      </c>
      <c r="AJ260" s="1" t="str">
        <f>IFERROR(INDEX([1]物品基础表!$A:$A,MATCH(AI260,[1]物品基础表!$B:$B,0)),"")</f>
        <v/>
      </c>
      <c r="AM260" s="1" t="str">
        <f>IFERROR(INDEX([1]物品基础表!$A:$A,MATCH(AL260,[1]物品基础表!$B:$B,0)),"")</f>
        <v/>
      </c>
      <c r="AP260" s="1" t="str">
        <f>IFERROR(INDEX([1]物品基础表!$A:$A,MATCH(AO260,[1]物品基础表!$B:$B,0)),"")</f>
        <v/>
      </c>
      <c r="AS260" s="1" t="str">
        <f>IFERROR(INDEX([1]物品基础表!$A:$A,MATCH(AR260,[1]物品基础表!$B:$B,0)),"")</f>
        <v/>
      </c>
      <c r="AV260" s="1" t="str">
        <f>IFERROR(INDEX([1]物品基础表!$A:$A,MATCH(AU260,[1]物品基础表!$B:$B,0)),"")</f>
        <v/>
      </c>
      <c r="AY260" s="1" t="str">
        <f>IFERROR(INDEX([1]物品基础表!$A:$A,MATCH(AX260,[1]物品基础表!$B:$B,0)),"")</f>
        <v/>
      </c>
      <c r="BB260" s="1" t="str">
        <f>IFERROR(INDEX([1]物品基础表!$A:$A,MATCH(BA260,[1]物品基础表!$B:$B,0)),"")</f>
        <v/>
      </c>
      <c r="BE260" s="1" t="str">
        <f>IFERROR(INDEX([1]物品基础表!$A:$A,MATCH(BD260,[1]物品基础表!$B:$B,0)),"")</f>
        <v/>
      </c>
      <c r="BH260" s="1" t="str">
        <f>IFERROR(INDEX([1]物品基础表!$A:$A,MATCH(BG260,[1]物品基础表!$B:$B,0)),"")</f>
        <v/>
      </c>
      <c r="BK260" s="1" t="str">
        <f>IFERROR(INDEX([1]物品基础表!$A:$A,MATCH(BJ260,[1]物品基础表!$B:$B,0)),"")</f>
        <v/>
      </c>
    </row>
    <row r="261" spans="1:64">
      <c r="A261" s="39" t="str">
        <f>INDEX([2]活动总表!$A$8:$A$429,MATCH(B261,[2]活动总表!$B$8:$B$429,0))</f>
        <v>元宵-福袋</v>
      </c>
      <c r="B261" s="40">
        <v>653</v>
      </c>
      <c r="C261" s="40">
        <v>2</v>
      </c>
      <c r="D261" s="40"/>
      <c r="E261" s="40"/>
      <c r="F261" s="40" t="s">
        <v>865</v>
      </c>
      <c r="G261" s="40">
        <v>2</v>
      </c>
      <c r="H261" s="40"/>
      <c r="I261" s="40"/>
      <c r="J261" s="57"/>
      <c r="K261" s="1">
        <v>204133</v>
      </c>
      <c r="L261" s="1" t="str">
        <f>IFERROR(INDEX([1]物品基础表!$A:$A,MATCH(K261,[1]物品基础表!$B:$B,0)),"")</f>
        <v>红色图鉴包·倾国倾城</v>
      </c>
      <c r="M261" s="1">
        <v>1</v>
      </c>
      <c r="O261" s="1" t="str">
        <f>IFERROR(INDEX([1]物品基础表!$A:$A,MATCH(N261,[1]物品基础表!$B:$B,0)),"")</f>
        <v/>
      </c>
      <c r="R261" s="1" t="str">
        <f>IFERROR(INDEX([1]物品基础表!$A:$A,MATCH(Q261,[1]物品基础表!$B:$B,0)),"")</f>
        <v/>
      </c>
      <c r="U261" s="1" t="str">
        <f>IFERROR(INDEX([1]物品基础表!$A:$A,MATCH(T261,[1]物品基础表!$B:$B,0)),"")</f>
        <v/>
      </c>
      <c r="X261" s="1" t="str">
        <f>IFERROR(INDEX([1]物品基础表!$A:$A,MATCH(W261,[1]物品基础表!$B:$B,0)),"")</f>
        <v/>
      </c>
      <c r="AA261" s="1" t="str">
        <f>IFERROR(INDEX([1]物品基础表!$A:$A,MATCH(Z261,[1]物品基础表!$B:$B,0)),"")</f>
        <v/>
      </c>
      <c r="AD261" s="1" t="str">
        <f>IFERROR(INDEX([1]物品基础表!$A:$A,MATCH(AC261,[1]物品基础表!$B:$B,0)),"")</f>
        <v/>
      </c>
      <c r="AG261" s="1" t="str">
        <f>IFERROR(INDEX([1]物品基础表!$A:$A,MATCH(AF261,[1]物品基础表!$B:$B,0)),"")</f>
        <v/>
      </c>
      <c r="AJ261" s="1" t="str">
        <f>IFERROR(INDEX([1]物品基础表!$A:$A,MATCH(AI261,[1]物品基础表!$B:$B,0)),"")</f>
        <v/>
      </c>
      <c r="AM261" s="1" t="str">
        <f>IFERROR(INDEX([1]物品基础表!$A:$A,MATCH(AL261,[1]物品基础表!$B:$B,0)),"")</f>
        <v/>
      </c>
      <c r="AP261" s="1" t="str">
        <f>IFERROR(INDEX([1]物品基础表!$A:$A,MATCH(AO261,[1]物品基础表!$B:$B,0)),"")</f>
        <v/>
      </c>
      <c r="AS261" s="1" t="str">
        <f>IFERROR(INDEX([1]物品基础表!$A:$A,MATCH(AR261,[1]物品基础表!$B:$B,0)),"")</f>
        <v/>
      </c>
      <c r="AV261" s="1" t="str">
        <f>IFERROR(INDEX([1]物品基础表!$A:$A,MATCH(AU261,[1]物品基础表!$B:$B,0)),"")</f>
        <v/>
      </c>
      <c r="AY261" s="1" t="str">
        <f>IFERROR(INDEX([1]物品基础表!$A:$A,MATCH(AX261,[1]物品基础表!$B:$B,0)),"")</f>
        <v/>
      </c>
      <c r="BB261" s="1" t="str">
        <f>IFERROR(INDEX([1]物品基础表!$A:$A,MATCH(BA261,[1]物品基础表!$B:$B,0)),"")</f>
        <v/>
      </c>
      <c r="BE261" s="1" t="str">
        <f>IFERROR(INDEX([1]物品基础表!$A:$A,MATCH(BD261,[1]物品基础表!$B:$B,0)),"")</f>
        <v/>
      </c>
      <c r="BH261" s="1" t="str">
        <f>IFERROR(INDEX([1]物品基础表!$A:$A,MATCH(BG261,[1]物品基础表!$B:$B,0)),"")</f>
        <v/>
      </c>
      <c r="BK261" s="1" t="str">
        <f>IFERROR(INDEX([1]物品基础表!$A:$A,MATCH(BJ261,[1]物品基础表!$B:$B,0)),"")</f>
        <v/>
      </c>
    </row>
    <row r="262" spans="1:64">
      <c r="A262" s="39" t="str">
        <f>INDEX([2]活动总表!$A$8:$A$429,MATCH(B262,[2]活动总表!$B$8:$B$429,0))</f>
        <v>元宵-福袋</v>
      </c>
      <c r="B262" s="40">
        <v>653</v>
      </c>
      <c r="C262" s="40">
        <v>3</v>
      </c>
      <c r="D262" s="40"/>
      <c r="E262" s="40"/>
      <c r="F262" s="40" t="s">
        <v>866</v>
      </c>
      <c r="G262" s="40">
        <v>2</v>
      </c>
      <c r="H262" s="40"/>
      <c r="I262" s="40"/>
      <c r="J262" s="57"/>
      <c r="K262" s="1">
        <v>204139</v>
      </c>
      <c r="L262" s="1" t="str">
        <f>IFERROR(INDEX([1]物品基础表!$A:$A,MATCH(K262,[1]物品基础表!$B:$B,0)),"")</f>
        <v>轮回宝箱（11转）</v>
      </c>
      <c r="M262" s="1">
        <v>1</v>
      </c>
      <c r="O262" s="1" t="str">
        <f>IFERROR(INDEX([1]物品基础表!$A:$A,MATCH(N262,[1]物品基础表!$B:$B,0)),"")</f>
        <v/>
      </c>
      <c r="R262" s="1" t="str">
        <f>IFERROR(INDEX([1]物品基础表!$A:$A,MATCH(Q262,[1]物品基础表!$B:$B,0)),"")</f>
        <v/>
      </c>
      <c r="U262" s="1" t="str">
        <f>IFERROR(INDEX([1]物品基础表!$A:$A,MATCH(T262,[1]物品基础表!$B:$B,0)),"")</f>
        <v/>
      </c>
      <c r="X262" s="1" t="str">
        <f>IFERROR(INDEX([1]物品基础表!$A:$A,MATCH(W262,[1]物品基础表!$B:$B,0)),"")</f>
        <v/>
      </c>
      <c r="AA262" s="1" t="str">
        <f>IFERROR(INDEX([1]物品基础表!$A:$A,MATCH(Z262,[1]物品基础表!$B:$B,0)),"")</f>
        <v/>
      </c>
      <c r="AD262" s="1" t="str">
        <f>IFERROR(INDEX([1]物品基础表!$A:$A,MATCH(AC262,[1]物品基础表!$B:$B,0)),"")</f>
        <v/>
      </c>
      <c r="AG262" s="1" t="str">
        <f>IFERROR(INDEX([1]物品基础表!$A:$A,MATCH(AF262,[1]物品基础表!$B:$B,0)),"")</f>
        <v/>
      </c>
      <c r="AJ262" s="1" t="str">
        <f>IFERROR(INDEX([1]物品基础表!$A:$A,MATCH(AI262,[1]物品基础表!$B:$B,0)),"")</f>
        <v/>
      </c>
      <c r="AM262" s="1" t="str">
        <f>IFERROR(INDEX([1]物品基础表!$A:$A,MATCH(AL262,[1]物品基础表!$B:$B,0)),"")</f>
        <v/>
      </c>
      <c r="AP262" s="1" t="str">
        <f>IFERROR(INDEX([1]物品基础表!$A:$A,MATCH(AO262,[1]物品基础表!$B:$B,0)),"")</f>
        <v/>
      </c>
      <c r="AS262" s="1" t="str">
        <f>IFERROR(INDEX([1]物品基础表!$A:$A,MATCH(AR262,[1]物品基础表!$B:$B,0)),"")</f>
        <v/>
      </c>
      <c r="AV262" s="1" t="str">
        <f>IFERROR(INDEX([1]物品基础表!$A:$A,MATCH(AU262,[1]物品基础表!$B:$B,0)),"")</f>
        <v/>
      </c>
      <c r="AY262" s="1" t="str">
        <f>IFERROR(INDEX([1]物品基础表!$A:$A,MATCH(AX262,[1]物品基础表!$B:$B,0)),"")</f>
        <v/>
      </c>
      <c r="BB262" s="1" t="str">
        <f>IFERROR(INDEX([1]物品基础表!$A:$A,MATCH(BA262,[1]物品基础表!$B:$B,0)),"")</f>
        <v/>
      </c>
      <c r="BE262" s="1" t="str">
        <f>IFERROR(INDEX([1]物品基础表!$A:$A,MATCH(BD262,[1]物品基础表!$B:$B,0)),"")</f>
        <v/>
      </c>
      <c r="BH262" s="1" t="str">
        <f>IFERROR(INDEX([1]物品基础表!$A:$A,MATCH(BG262,[1]物品基础表!$B:$B,0)),"")</f>
        <v/>
      </c>
      <c r="BK262" s="1" t="str">
        <f>IFERROR(INDEX([1]物品基础表!$A:$A,MATCH(BJ262,[1]物品基础表!$B:$B,0)),"")</f>
        <v/>
      </c>
    </row>
    <row r="263" spans="1:64">
      <c r="A263" s="39" t="str">
        <f>INDEX([2]活动总表!$A$8:$A$429,MATCH(B263,[2]活动总表!$B$8:$B$429,0))</f>
        <v>元宵-福袋</v>
      </c>
      <c r="B263" s="40">
        <v>653</v>
      </c>
      <c r="C263" s="40">
        <v>4</v>
      </c>
      <c r="D263" s="40"/>
      <c r="E263" s="40"/>
      <c r="F263" s="40" t="s">
        <v>867</v>
      </c>
      <c r="G263" s="40">
        <v>2</v>
      </c>
      <c r="H263" s="40"/>
      <c r="I263" s="40"/>
      <c r="J263" s="57"/>
      <c r="K263" s="1">
        <v>204138</v>
      </c>
      <c r="L263" s="1" t="str">
        <f>IFERROR(INDEX([1]物品基础表!$A:$A,MATCH(K263,[1]物品基础表!$B:$B,0)),"")</f>
        <v>轮回宝箱（10转）</v>
      </c>
      <c r="M263" s="1">
        <v>1</v>
      </c>
      <c r="O263" s="1" t="str">
        <f>IFERROR(INDEX([1]物品基础表!$A:$A,MATCH(N263,[1]物品基础表!$B:$B,0)),"")</f>
        <v/>
      </c>
      <c r="R263" s="1" t="str">
        <f>IFERROR(INDEX([1]物品基础表!$A:$A,MATCH(Q263,[1]物品基础表!$B:$B,0)),"")</f>
        <v/>
      </c>
      <c r="U263" s="1" t="str">
        <f>IFERROR(INDEX([1]物品基础表!$A:$A,MATCH(T263,[1]物品基础表!$B:$B,0)),"")</f>
        <v/>
      </c>
      <c r="X263" s="1" t="str">
        <f>IFERROR(INDEX([1]物品基础表!$A:$A,MATCH(W263,[1]物品基础表!$B:$B,0)),"")</f>
        <v/>
      </c>
      <c r="AA263" s="1" t="str">
        <f>IFERROR(INDEX([1]物品基础表!$A:$A,MATCH(Z263,[1]物品基础表!$B:$B,0)),"")</f>
        <v/>
      </c>
      <c r="AD263" s="1" t="str">
        <f>IFERROR(INDEX([1]物品基础表!$A:$A,MATCH(AC263,[1]物品基础表!$B:$B,0)),"")</f>
        <v/>
      </c>
      <c r="AG263" s="1" t="str">
        <f>IFERROR(INDEX([1]物品基础表!$A:$A,MATCH(AF263,[1]物品基础表!$B:$B,0)),"")</f>
        <v/>
      </c>
      <c r="AJ263" s="1" t="str">
        <f>IFERROR(INDEX([1]物品基础表!$A:$A,MATCH(AI263,[1]物品基础表!$B:$B,0)),"")</f>
        <v/>
      </c>
      <c r="AM263" s="1" t="str">
        <f>IFERROR(INDEX([1]物品基础表!$A:$A,MATCH(AL263,[1]物品基础表!$B:$B,0)),"")</f>
        <v/>
      </c>
      <c r="AP263" s="1" t="str">
        <f>IFERROR(INDEX([1]物品基础表!$A:$A,MATCH(AO263,[1]物品基础表!$B:$B,0)),"")</f>
        <v/>
      </c>
      <c r="AS263" s="1" t="str">
        <f>IFERROR(INDEX([1]物品基础表!$A:$A,MATCH(AR263,[1]物品基础表!$B:$B,0)),"")</f>
        <v/>
      </c>
      <c r="AV263" s="1" t="str">
        <f>IFERROR(INDEX([1]物品基础表!$A:$A,MATCH(AU263,[1]物品基础表!$B:$B,0)),"")</f>
        <v/>
      </c>
      <c r="AY263" s="1" t="str">
        <f>IFERROR(INDEX([1]物品基础表!$A:$A,MATCH(AX263,[1]物品基础表!$B:$B,0)),"")</f>
        <v/>
      </c>
      <c r="BB263" s="1" t="str">
        <f>IFERROR(INDEX([1]物品基础表!$A:$A,MATCH(BA263,[1]物品基础表!$B:$B,0)),"")</f>
        <v/>
      </c>
      <c r="BE263" s="1" t="str">
        <f>IFERROR(INDEX([1]物品基础表!$A:$A,MATCH(BD263,[1]物品基础表!$B:$B,0)),"")</f>
        <v/>
      </c>
      <c r="BH263" s="1" t="str">
        <f>IFERROR(INDEX([1]物品基础表!$A:$A,MATCH(BG263,[1]物品基础表!$B:$B,0)),"")</f>
        <v/>
      </c>
      <c r="BK263" s="1" t="str">
        <f>IFERROR(INDEX([1]物品基础表!$A:$A,MATCH(BJ263,[1]物品基础表!$B:$B,0)),"")</f>
        <v/>
      </c>
    </row>
    <row r="264" spans="1:64">
      <c r="A264" s="39" t="str">
        <f>INDEX([2]活动总表!$A$8:$A$429,MATCH(B264,[2]活动总表!$B$8:$B$429,0))</f>
        <v>元宵-福袋</v>
      </c>
      <c r="B264" s="40">
        <v>653</v>
      </c>
      <c r="C264" s="40">
        <v>5</v>
      </c>
      <c r="D264" s="40"/>
      <c r="E264" s="40"/>
      <c r="F264" s="40" t="s">
        <v>868</v>
      </c>
      <c r="G264" s="40">
        <v>2</v>
      </c>
      <c r="H264" s="40"/>
      <c r="I264" s="40"/>
      <c r="J264" s="57"/>
      <c r="K264" s="1">
        <v>200143</v>
      </c>
      <c r="L264" s="1" t="str">
        <f>IFERROR(INDEX([1]物品基础表!$A:$A,MATCH(K264,[1]物品基础表!$B:$B,0)),"")</f>
        <v>传世头盔</v>
      </c>
      <c r="M264" s="1">
        <v>1</v>
      </c>
      <c r="O264" s="1" t="str">
        <f>IFERROR(INDEX([1]物品基础表!$A:$A,MATCH(N264,[1]物品基础表!$B:$B,0)),"")</f>
        <v/>
      </c>
      <c r="R264" s="1" t="str">
        <f>IFERROR(INDEX([1]物品基础表!$A:$A,MATCH(Q264,[1]物品基础表!$B:$B,0)),"")</f>
        <v/>
      </c>
      <c r="U264" s="1" t="str">
        <f>IFERROR(INDEX([1]物品基础表!$A:$A,MATCH(T264,[1]物品基础表!$B:$B,0)),"")</f>
        <v/>
      </c>
      <c r="X264" s="1" t="str">
        <f>IFERROR(INDEX([1]物品基础表!$A:$A,MATCH(W264,[1]物品基础表!$B:$B,0)),"")</f>
        <v/>
      </c>
      <c r="AA264" s="1" t="str">
        <f>IFERROR(INDEX([1]物品基础表!$A:$A,MATCH(Z264,[1]物品基础表!$B:$B,0)),"")</f>
        <v/>
      </c>
      <c r="AD264" s="1" t="str">
        <f>IFERROR(INDEX([1]物品基础表!$A:$A,MATCH(AC264,[1]物品基础表!$B:$B,0)),"")</f>
        <v/>
      </c>
      <c r="AG264" s="1" t="str">
        <f>IFERROR(INDEX([1]物品基础表!$A:$A,MATCH(AF264,[1]物品基础表!$B:$B,0)),"")</f>
        <v/>
      </c>
      <c r="AJ264" s="1" t="str">
        <f>IFERROR(INDEX([1]物品基础表!$A:$A,MATCH(AI264,[1]物品基础表!$B:$B,0)),"")</f>
        <v/>
      </c>
      <c r="AM264" s="1" t="str">
        <f>IFERROR(INDEX([1]物品基础表!$A:$A,MATCH(AL264,[1]物品基础表!$B:$B,0)),"")</f>
        <v/>
      </c>
      <c r="AP264" s="1" t="str">
        <f>IFERROR(INDEX([1]物品基础表!$A:$A,MATCH(AO264,[1]物品基础表!$B:$B,0)),"")</f>
        <v/>
      </c>
      <c r="AS264" s="1" t="str">
        <f>IFERROR(INDEX([1]物品基础表!$A:$A,MATCH(AR264,[1]物品基础表!$B:$B,0)),"")</f>
        <v/>
      </c>
      <c r="AV264" s="1" t="str">
        <f>IFERROR(INDEX([1]物品基础表!$A:$A,MATCH(AU264,[1]物品基础表!$B:$B,0)),"")</f>
        <v/>
      </c>
      <c r="AY264" s="1" t="str">
        <f>IFERROR(INDEX([1]物品基础表!$A:$A,MATCH(AX264,[1]物品基础表!$B:$B,0)),"")</f>
        <v/>
      </c>
      <c r="BB264" s="1" t="str">
        <f>IFERROR(INDEX([1]物品基础表!$A:$A,MATCH(BA264,[1]物品基础表!$B:$B,0)),"")</f>
        <v/>
      </c>
      <c r="BE264" s="1" t="str">
        <f>IFERROR(INDEX([1]物品基础表!$A:$A,MATCH(BD264,[1]物品基础表!$B:$B,0)),"")</f>
        <v/>
      </c>
      <c r="BH264" s="1" t="str">
        <f>IFERROR(INDEX([1]物品基础表!$A:$A,MATCH(BG264,[1]物品基础表!$B:$B,0)),"")</f>
        <v/>
      </c>
      <c r="BK264" s="1" t="str">
        <f>IFERROR(INDEX([1]物品基础表!$A:$A,MATCH(BJ264,[1]物品基础表!$B:$B,0)),"")</f>
        <v/>
      </c>
    </row>
    <row r="265" spans="1:64">
      <c r="A265" s="39" t="str">
        <f>INDEX([2]活动总表!$A$8:$A$429,MATCH(B265,[2]活动总表!$B$8:$B$429,0))</f>
        <v>元宵-福袋</v>
      </c>
      <c r="B265" s="40">
        <v>653</v>
      </c>
      <c r="C265" s="40">
        <v>6</v>
      </c>
      <c r="D265" s="40"/>
      <c r="E265" s="40"/>
      <c r="F265" s="40" t="s">
        <v>868</v>
      </c>
      <c r="G265" s="40">
        <v>2</v>
      </c>
      <c r="H265" s="40"/>
      <c r="I265" s="40"/>
      <c r="J265" s="57"/>
      <c r="K265" s="1">
        <v>200145</v>
      </c>
      <c r="L265" s="1" t="str">
        <f>IFERROR(INDEX([1]物品基础表!$A:$A,MATCH(K265,[1]物品基础表!$B:$B,0)),"")</f>
        <v>传世项链</v>
      </c>
      <c r="M265" s="1">
        <v>1</v>
      </c>
      <c r="O265" s="1" t="str">
        <f>IFERROR(INDEX([1]物品基础表!$A:$A,MATCH(N265,[1]物品基础表!$B:$B,0)),"")</f>
        <v/>
      </c>
      <c r="R265" s="1" t="str">
        <f>IFERROR(INDEX([1]物品基础表!$A:$A,MATCH(Q265,[1]物品基础表!$B:$B,0)),"")</f>
        <v/>
      </c>
      <c r="U265" s="1" t="str">
        <f>IFERROR(INDEX([1]物品基础表!$A:$A,MATCH(T265,[1]物品基础表!$B:$B,0)),"")</f>
        <v/>
      </c>
      <c r="X265" s="1" t="str">
        <f>IFERROR(INDEX([1]物品基础表!$A:$A,MATCH(W265,[1]物品基础表!$B:$B,0)),"")</f>
        <v/>
      </c>
      <c r="AA265" s="1" t="str">
        <f>IFERROR(INDEX([1]物品基础表!$A:$A,MATCH(Z265,[1]物品基础表!$B:$B,0)),"")</f>
        <v/>
      </c>
      <c r="AD265" s="1" t="str">
        <f>IFERROR(INDEX([1]物品基础表!$A:$A,MATCH(AC265,[1]物品基础表!$B:$B,0)),"")</f>
        <v/>
      </c>
      <c r="AG265" s="1" t="str">
        <f>IFERROR(INDEX([1]物品基础表!$A:$A,MATCH(AF265,[1]物品基础表!$B:$B,0)),"")</f>
        <v/>
      </c>
      <c r="AJ265" s="1" t="str">
        <f>IFERROR(INDEX([1]物品基础表!$A:$A,MATCH(AI265,[1]物品基础表!$B:$B,0)),"")</f>
        <v/>
      </c>
      <c r="AM265" s="1" t="str">
        <f>IFERROR(INDEX([1]物品基础表!$A:$A,MATCH(AL265,[1]物品基础表!$B:$B,0)),"")</f>
        <v/>
      </c>
      <c r="AP265" s="1" t="str">
        <f>IFERROR(INDEX([1]物品基础表!$A:$A,MATCH(AO265,[1]物品基础表!$B:$B,0)),"")</f>
        <v/>
      </c>
      <c r="AS265" s="1" t="str">
        <f>IFERROR(INDEX([1]物品基础表!$A:$A,MATCH(AR265,[1]物品基础表!$B:$B,0)),"")</f>
        <v/>
      </c>
      <c r="AV265" s="1" t="str">
        <f>IFERROR(INDEX([1]物品基础表!$A:$A,MATCH(AU265,[1]物品基础表!$B:$B,0)),"")</f>
        <v/>
      </c>
      <c r="AY265" s="1" t="str">
        <f>IFERROR(INDEX([1]物品基础表!$A:$A,MATCH(AX265,[1]物品基础表!$B:$B,0)),"")</f>
        <v/>
      </c>
      <c r="BB265" s="1" t="str">
        <f>IFERROR(INDEX([1]物品基础表!$A:$A,MATCH(BA265,[1]物品基础表!$B:$B,0)),"")</f>
        <v/>
      </c>
      <c r="BE265" s="1" t="str">
        <f>IFERROR(INDEX([1]物品基础表!$A:$A,MATCH(BD265,[1]物品基础表!$B:$B,0)),"")</f>
        <v/>
      </c>
      <c r="BH265" s="1" t="str">
        <f>IFERROR(INDEX([1]物品基础表!$A:$A,MATCH(BG265,[1]物品基础表!$B:$B,0)),"")</f>
        <v/>
      </c>
      <c r="BK265" s="1" t="str">
        <f>IFERROR(INDEX([1]物品基础表!$A:$A,MATCH(BJ265,[1]物品基础表!$B:$B,0)),"")</f>
        <v/>
      </c>
    </row>
    <row r="266" spans="1:64">
      <c r="A266" s="39" t="str">
        <f>INDEX([2]活动总表!$A$8:$A$429,MATCH(B266,[2]活动总表!$B$8:$B$429,0))</f>
        <v>元宵-福袋</v>
      </c>
      <c r="B266" s="40">
        <v>653</v>
      </c>
      <c r="C266" s="40">
        <v>7</v>
      </c>
      <c r="D266" s="40"/>
      <c r="E266" s="40"/>
      <c r="F266" s="40" t="s">
        <v>868</v>
      </c>
      <c r="G266" s="40">
        <v>2</v>
      </c>
      <c r="H266" s="40"/>
      <c r="I266" s="40"/>
      <c r="J266" s="57"/>
      <c r="K266" s="1">
        <v>200147</v>
      </c>
      <c r="L266" s="1" t="str">
        <f>IFERROR(INDEX([1]物品基础表!$A:$A,MATCH(K266,[1]物品基础表!$B:$B,0)),"")</f>
        <v>传世腰带</v>
      </c>
      <c r="M266" s="1">
        <v>1</v>
      </c>
      <c r="O266" s="1" t="str">
        <f>IFERROR(INDEX([1]物品基础表!$A:$A,MATCH(N266,[1]物品基础表!$B:$B,0)),"")</f>
        <v/>
      </c>
      <c r="R266" s="1" t="str">
        <f>IFERROR(INDEX([1]物品基础表!$A:$A,MATCH(Q266,[1]物品基础表!$B:$B,0)),"")</f>
        <v/>
      </c>
      <c r="U266" s="1" t="str">
        <f>IFERROR(INDEX([1]物品基础表!$A:$A,MATCH(T266,[1]物品基础表!$B:$B,0)),"")</f>
        <v/>
      </c>
      <c r="X266" s="1" t="str">
        <f>IFERROR(INDEX([1]物品基础表!$A:$A,MATCH(W266,[1]物品基础表!$B:$B,0)),"")</f>
        <v/>
      </c>
      <c r="AA266" s="1" t="str">
        <f>IFERROR(INDEX([1]物品基础表!$A:$A,MATCH(Z266,[1]物品基础表!$B:$B,0)),"")</f>
        <v/>
      </c>
      <c r="AD266" s="1" t="str">
        <f>IFERROR(INDEX([1]物品基础表!$A:$A,MATCH(AC266,[1]物品基础表!$B:$B,0)),"")</f>
        <v/>
      </c>
      <c r="AG266" s="1" t="str">
        <f>IFERROR(INDEX([1]物品基础表!$A:$A,MATCH(AF266,[1]物品基础表!$B:$B,0)),"")</f>
        <v/>
      </c>
      <c r="AJ266" s="1" t="str">
        <f>IFERROR(INDEX([1]物品基础表!$A:$A,MATCH(AI266,[1]物品基础表!$B:$B,0)),"")</f>
        <v/>
      </c>
      <c r="AM266" s="1" t="str">
        <f>IFERROR(INDEX([1]物品基础表!$A:$A,MATCH(AL266,[1]物品基础表!$B:$B,0)),"")</f>
        <v/>
      </c>
      <c r="AP266" s="1" t="str">
        <f>IFERROR(INDEX([1]物品基础表!$A:$A,MATCH(AO266,[1]物品基础表!$B:$B,0)),"")</f>
        <v/>
      </c>
      <c r="AS266" s="1" t="str">
        <f>IFERROR(INDEX([1]物品基础表!$A:$A,MATCH(AR266,[1]物品基础表!$B:$B,0)),"")</f>
        <v/>
      </c>
      <c r="AV266" s="1" t="str">
        <f>IFERROR(INDEX([1]物品基础表!$A:$A,MATCH(AU266,[1]物品基础表!$B:$B,0)),"")</f>
        <v/>
      </c>
      <c r="AY266" s="1" t="str">
        <f>IFERROR(INDEX([1]物品基础表!$A:$A,MATCH(AX266,[1]物品基础表!$B:$B,0)),"")</f>
        <v/>
      </c>
      <c r="BB266" s="1" t="str">
        <f>IFERROR(INDEX([1]物品基础表!$A:$A,MATCH(BA266,[1]物品基础表!$B:$B,0)),"")</f>
        <v/>
      </c>
      <c r="BE266" s="1" t="str">
        <f>IFERROR(INDEX([1]物品基础表!$A:$A,MATCH(BD266,[1]物品基础表!$B:$B,0)),"")</f>
        <v/>
      </c>
      <c r="BH266" s="1" t="str">
        <f>IFERROR(INDEX([1]物品基础表!$A:$A,MATCH(BG266,[1]物品基础表!$B:$B,0)),"")</f>
        <v/>
      </c>
      <c r="BK266" s="1" t="str">
        <f>IFERROR(INDEX([1]物品基础表!$A:$A,MATCH(BJ266,[1]物品基础表!$B:$B,0)),"")</f>
        <v/>
      </c>
    </row>
    <row r="267" spans="1:64">
      <c r="A267" s="39" t="str">
        <f>INDEX([2]活动总表!$A$8:$A$429,MATCH(B267,[2]活动总表!$B$8:$B$429,0))</f>
        <v>元宵-福袋</v>
      </c>
      <c r="B267" s="40">
        <v>653</v>
      </c>
      <c r="C267" s="40">
        <v>8</v>
      </c>
      <c r="D267" s="40"/>
      <c r="E267" s="40"/>
      <c r="F267" s="40" t="s">
        <v>868</v>
      </c>
      <c r="G267" s="40">
        <v>2</v>
      </c>
      <c r="H267" s="40"/>
      <c r="I267" s="40"/>
      <c r="J267" s="57"/>
      <c r="K267" s="1">
        <v>200149</v>
      </c>
      <c r="L267" s="1" t="str">
        <f>IFERROR(INDEX([1]物品基础表!$A:$A,MATCH(K267,[1]物品基础表!$B:$B,0)),"")</f>
        <v>传世鞋子</v>
      </c>
      <c r="M267" s="1">
        <v>1</v>
      </c>
      <c r="O267" s="1" t="str">
        <f>IFERROR(INDEX([1]物品基础表!$A:$A,MATCH(N267,[1]物品基础表!$B:$B,0)),"")</f>
        <v/>
      </c>
      <c r="R267" s="1" t="str">
        <f>IFERROR(INDEX([1]物品基础表!$A:$A,MATCH(Q267,[1]物品基础表!$B:$B,0)),"")</f>
        <v/>
      </c>
      <c r="U267" s="1" t="str">
        <f>IFERROR(INDEX([1]物品基础表!$A:$A,MATCH(T267,[1]物品基础表!$B:$B,0)),"")</f>
        <v/>
      </c>
      <c r="X267" s="1" t="str">
        <f>IFERROR(INDEX([1]物品基础表!$A:$A,MATCH(W267,[1]物品基础表!$B:$B,0)),"")</f>
        <v/>
      </c>
      <c r="AA267" s="1" t="str">
        <f>IFERROR(INDEX([1]物品基础表!$A:$A,MATCH(Z267,[1]物品基础表!$B:$B,0)),"")</f>
        <v/>
      </c>
      <c r="AD267" s="1" t="str">
        <f>IFERROR(INDEX([1]物品基础表!$A:$A,MATCH(AC267,[1]物品基础表!$B:$B,0)),"")</f>
        <v/>
      </c>
      <c r="AG267" s="1" t="str">
        <f>IFERROR(INDEX([1]物品基础表!$A:$A,MATCH(AF267,[1]物品基础表!$B:$B,0)),"")</f>
        <v/>
      </c>
      <c r="AJ267" s="1" t="str">
        <f>IFERROR(INDEX([1]物品基础表!$A:$A,MATCH(AI267,[1]物品基础表!$B:$B,0)),"")</f>
        <v/>
      </c>
      <c r="AM267" s="1" t="str">
        <f>IFERROR(INDEX([1]物品基础表!$A:$A,MATCH(AL267,[1]物品基础表!$B:$B,0)),"")</f>
        <v/>
      </c>
      <c r="AP267" s="1" t="str">
        <f>IFERROR(INDEX([1]物品基础表!$A:$A,MATCH(AO267,[1]物品基础表!$B:$B,0)),"")</f>
        <v/>
      </c>
      <c r="AS267" s="1" t="str">
        <f>IFERROR(INDEX([1]物品基础表!$A:$A,MATCH(AR267,[1]物品基础表!$B:$B,0)),"")</f>
        <v/>
      </c>
      <c r="AV267" s="1" t="str">
        <f>IFERROR(INDEX([1]物品基础表!$A:$A,MATCH(AU267,[1]物品基础表!$B:$B,0)),"")</f>
        <v/>
      </c>
      <c r="AY267" s="1" t="str">
        <f>IFERROR(INDEX([1]物品基础表!$A:$A,MATCH(AX267,[1]物品基础表!$B:$B,0)),"")</f>
        <v/>
      </c>
      <c r="BB267" s="1" t="str">
        <f>IFERROR(INDEX([1]物品基础表!$A:$A,MATCH(BA267,[1]物品基础表!$B:$B,0)),"")</f>
        <v/>
      </c>
      <c r="BE267" s="1" t="str">
        <f>IFERROR(INDEX([1]物品基础表!$A:$A,MATCH(BD267,[1]物品基础表!$B:$B,0)),"")</f>
        <v/>
      </c>
      <c r="BH267" s="1" t="str">
        <f>IFERROR(INDEX([1]物品基础表!$A:$A,MATCH(BG267,[1]物品基础表!$B:$B,0)),"")</f>
        <v/>
      </c>
      <c r="BK267" s="1" t="str">
        <f>IFERROR(INDEX([1]物品基础表!$A:$A,MATCH(BJ267,[1]物品基础表!$B:$B,0)),"")</f>
        <v/>
      </c>
    </row>
    <row r="268" spans="1:64">
      <c r="A268" s="39" t="str">
        <f>INDEX([2]活动总表!$A$8:$A$429,MATCH(B268,[2]活动总表!$B$8:$B$429,0))</f>
        <v>元宵-福袋</v>
      </c>
      <c r="B268" s="40">
        <v>653</v>
      </c>
      <c r="C268" s="40">
        <v>9</v>
      </c>
      <c r="D268" s="40"/>
      <c r="E268" s="40"/>
      <c r="F268" s="40" t="s">
        <v>868</v>
      </c>
      <c r="G268" s="40">
        <v>2</v>
      </c>
      <c r="H268" s="40"/>
      <c r="I268" s="40"/>
      <c r="J268" s="57"/>
      <c r="K268" s="1">
        <v>200148</v>
      </c>
      <c r="L268" s="1" t="str">
        <f>IFERROR(INDEX([1]物品基础表!$A:$A,MATCH(K268,[1]物品基础表!$B:$B,0)),"")</f>
        <v>传世戒指</v>
      </c>
      <c r="M268" s="1">
        <v>1</v>
      </c>
      <c r="O268" s="1" t="str">
        <f>IFERROR(INDEX([1]物品基础表!$A:$A,MATCH(N268,[1]物品基础表!$B:$B,0)),"")</f>
        <v/>
      </c>
      <c r="R268" s="1" t="str">
        <f>IFERROR(INDEX([1]物品基础表!$A:$A,MATCH(Q268,[1]物品基础表!$B:$B,0)),"")</f>
        <v/>
      </c>
      <c r="U268" s="1" t="str">
        <f>IFERROR(INDEX([1]物品基础表!$A:$A,MATCH(T268,[1]物品基础表!$B:$B,0)),"")</f>
        <v/>
      </c>
      <c r="X268" s="1" t="str">
        <f>IFERROR(INDEX([1]物品基础表!$A:$A,MATCH(W268,[1]物品基础表!$B:$B,0)),"")</f>
        <v/>
      </c>
      <c r="AA268" s="1" t="str">
        <f>IFERROR(INDEX([1]物品基础表!$A:$A,MATCH(Z268,[1]物品基础表!$B:$B,0)),"")</f>
        <v/>
      </c>
      <c r="AD268" s="1" t="str">
        <f>IFERROR(INDEX([1]物品基础表!$A:$A,MATCH(AC268,[1]物品基础表!$B:$B,0)),"")</f>
        <v/>
      </c>
      <c r="AG268" s="1" t="str">
        <f>IFERROR(INDEX([1]物品基础表!$A:$A,MATCH(AF268,[1]物品基础表!$B:$B,0)),"")</f>
        <v/>
      </c>
      <c r="AJ268" s="1" t="str">
        <f>IFERROR(INDEX([1]物品基础表!$A:$A,MATCH(AI268,[1]物品基础表!$B:$B,0)),"")</f>
        <v/>
      </c>
      <c r="AM268" s="1" t="str">
        <f>IFERROR(INDEX([1]物品基础表!$A:$A,MATCH(AL268,[1]物品基础表!$B:$B,0)),"")</f>
        <v/>
      </c>
      <c r="AP268" s="1" t="str">
        <f>IFERROR(INDEX([1]物品基础表!$A:$A,MATCH(AO268,[1]物品基础表!$B:$B,0)),"")</f>
        <v/>
      </c>
      <c r="AS268" s="1" t="str">
        <f>IFERROR(INDEX([1]物品基础表!$A:$A,MATCH(AR268,[1]物品基础表!$B:$B,0)),"")</f>
        <v/>
      </c>
      <c r="AV268" s="1" t="str">
        <f>IFERROR(INDEX([1]物品基础表!$A:$A,MATCH(AU268,[1]物品基础表!$B:$B,0)),"")</f>
        <v/>
      </c>
      <c r="AY268" s="1" t="str">
        <f>IFERROR(INDEX([1]物品基础表!$A:$A,MATCH(AX268,[1]物品基础表!$B:$B,0)),"")</f>
        <v/>
      </c>
      <c r="BB268" s="1" t="str">
        <f>IFERROR(INDEX([1]物品基础表!$A:$A,MATCH(BA268,[1]物品基础表!$B:$B,0)),"")</f>
        <v/>
      </c>
      <c r="BE268" s="1" t="str">
        <f>IFERROR(INDEX([1]物品基础表!$A:$A,MATCH(BD268,[1]物品基础表!$B:$B,0)),"")</f>
        <v/>
      </c>
      <c r="BH268" s="1" t="str">
        <f>IFERROR(INDEX([1]物品基础表!$A:$A,MATCH(BG268,[1]物品基础表!$B:$B,0)),"")</f>
        <v/>
      </c>
      <c r="BK268" s="1" t="str">
        <f>IFERROR(INDEX([1]物品基础表!$A:$A,MATCH(BJ268,[1]物品基础表!$B:$B,0)),"")</f>
        <v/>
      </c>
    </row>
    <row r="269" spans="1:64">
      <c r="A269" s="39" t="str">
        <f>INDEX([2]活动总表!$A$8:$A$429,MATCH(B269,[2]活动总表!$B$8:$B$429,0))</f>
        <v>元宵-福袋</v>
      </c>
      <c r="B269" s="40">
        <v>653</v>
      </c>
      <c r="C269" s="40">
        <v>10</v>
      </c>
      <c r="D269" s="40"/>
      <c r="E269" s="40"/>
      <c r="F269" s="40" t="s">
        <v>868</v>
      </c>
      <c r="G269" s="40">
        <v>2</v>
      </c>
      <c r="H269" s="40"/>
      <c r="I269" s="40"/>
      <c r="J269" s="57"/>
      <c r="K269" s="1">
        <v>200146</v>
      </c>
      <c r="L269" s="1" t="str">
        <f>IFERROR(INDEX([1]物品基础表!$A:$A,MATCH(K269,[1]物品基础表!$B:$B,0)),"")</f>
        <v>传世护腕</v>
      </c>
      <c r="M269" s="1">
        <v>1</v>
      </c>
      <c r="O269" s="1" t="str">
        <f>IFERROR(INDEX([1]物品基础表!$A:$A,MATCH(N269,[1]物品基础表!$B:$B,0)),"")</f>
        <v/>
      </c>
      <c r="R269" s="1" t="str">
        <f>IFERROR(INDEX([1]物品基础表!$A:$A,MATCH(Q269,[1]物品基础表!$B:$B,0)),"")</f>
        <v/>
      </c>
      <c r="U269" s="1" t="str">
        <f>IFERROR(INDEX([1]物品基础表!$A:$A,MATCH(T269,[1]物品基础表!$B:$B,0)),"")</f>
        <v/>
      </c>
      <c r="X269" s="1" t="str">
        <f>IFERROR(INDEX([1]物品基础表!$A:$A,MATCH(W269,[1]物品基础表!$B:$B,0)),"")</f>
        <v/>
      </c>
      <c r="AA269" s="1" t="str">
        <f>IFERROR(INDEX([1]物品基础表!$A:$A,MATCH(Z269,[1]物品基础表!$B:$B,0)),"")</f>
        <v/>
      </c>
      <c r="AD269" s="1" t="str">
        <f>IFERROR(INDEX([1]物品基础表!$A:$A,MATCH(AC269,[1]物品基础表!$B:$B,0)),"")</f>
        <v/>
      </c>
      <c r="AG269" s="1" t="str">
        <f>IFERROR(INDEX([1]物品基础表!$A:$A,MATCH(AF269,[1]物品基础表!$B:$B,0)),"")</f>
        <v/>
      </c>
      <c r="AJ269" s="1" t="str">
        <f>IFERROR(INDEX([1]物品基础表!$A:$A,MATCH(AI269,[1]物品基础表!$B:$B,0)),"")</f>
        <v/>
      </c>
      <c r="AM269" s="1" t="str">
        <f>IFERROR(INDEX([1]物品基础表!$A:$A,MATCH(AL269,[1]物品基础表!$B:$B,0)),"")</f>
        <v/>
      </c>
      <c r="AP269" s="1" t="str">
        <f>IFERROR(INDEX([1]物品基础表!$A:$A,MATCH(AO269,[1]物品基础表!$B:$B,0)),"")</f>
        <v/>
      </c>
      <c r="AS269" s="1" t="str">
        <f>IFERROR(INDEX([1]物品基础表!$A:$A,MATCH(AR269,[1]物品基础表!$B:$B,0)),"")</f>
        <v/>
      </c>
      <c r="AV269" s="1" t="str">
        <f>IFERROR(INDEX([1]物品基础表!$A:$A,MATCH(AU269,[1]物品基础表!$B:$B,0)),"")</f>
        <v/>
      </c>
      <c r="AY269" s="1" t="str">
        <f>IFERROR(INDEX([1]物品基础表!$A:$A,MATCH(AX269,[1]物品基础表!$B:$B,0)),"")</f>
        <v/>
      </c>
      <c r="BB269" s="1" t="str">
        <f>IFERROR(INDEX([1]物品基础表!$A:$A,MATCH(BA269,[1]物品基础表!$B:$B,0)),"")</f>
        <v/>
      </c>
      <c r="BE269" s="1" t="str">
        <f>IFERROR(INDEX([1]物品基础表!$A:$A,MATCH(BD269,[1]物品基础表!$B:$B,0)),"")</f>
        <v/>
      </c>
      <c r="BH269" s="1" t="str">
        <f>IFERROR(INDEX([1]物品基础表!$A:$A,MATCH(BG269,[1]物品基础表!$B:$B,0)),"")</f>
        <v/>
      </c>
      <c r="BK269" s="1" t="str">
        <f>IFERROR(INDEX([1]物品基础表!$A:$A,MATCH(BJ269,[1]物品基础表!$B:$B,0)),"")</f>
        <v/>
      </c>
    </row>
    <row r="270" spans="1:64">
      <c r="A270" s="39" t="str">
        <f>INDEX([2]活动总表!$A$8:$A$429,MATCH(B270,[2]活动总表!$B$8:$B$429,0))</f>
        <v>元宵-福袋</v>
      </c>
      <c r="B270" s="40">
        <v>653</v>
      </c>
      <c r="C270" s="40">
        <v>11</v>
      </c>
      <c r="D270" s="40"/>
      <c r="E270" s="40"/>
      <c r="F270" s="40" t="s">
        <v>869</v>
      </c>
      <c r="G270" s="40">
        <v>2</v>
      </c>
      <c r="H270" s="40"/>
      <c r="I270" s="40"/>
      <c r="J270" s="57"/>
      <c r="K270" s="1">
        <v>200301</v>
      </c>
      <c r="L270" s="1" t="str">
        <f>IFERROR(INDEX([1]物品基础表!$A:$A,MATCH(K270,[1]物品基础表!$B:$B,0)),"")</f>
        <v>传世宝钻</v>
      </c>
      <c r="M270" s="1">
        <v>100</v>
      </c>
      <c r="O270" s="1" t="str">
        <f>IFERROR(INDEX([1]物品基础表!$A:$A,MATCH(N270,[1]物品基础表!$B:$B,0)),"")</f>
        <v/>
      </c>
      <c r="R270" s="1" t="str">
        <f>IFERROR(INDEX([1]物品基础表!$A:$A,MATCH(Q270,[1]物品基础表!$B:$B,0)),"")</f>
        <v/>
      </c>
      <c r="U270" s="1" t="str">
        <f>IFERROR(INDEX([1]物品基础表!$A:$A,MATCH(T270,[1]物品基础表!$B:$B,0)),"")</f>
        <v/>
      </c>
      <c r="X270" s="1" t="str">
        <f>IFERROR(INDEX([1]物品基础表!$A:$A,MATCH(W270,[1]物品基础表!$B:$B,0)),"")</f>
        <v/>
      </c>
      <c r="AA270" s="1" t="str">
        <f>IFERROR(INDEX([1]物品基础表!$A:$A,MATCH(Z270,[1]物品基础表!$B:$B,0)),"")</f>
        <v/>
      </c>
      <c r="AD270" s="1" t="str">
        <f>IFERROR(INDEX([1]物品基础表!$A:$A,MATCH(AC270,[1]物品基础表!$B:$B,0)),"")</f>
        <v/>
      </c>
      <c r="AG270" s="1" t="str">
        <f>IFERROR(INDEX([1]物品基础表!$A:$A,MATCH(AF270,[1]物品基础表!$B:$B,0)),"")</f>
        <v/>
      </c>
      <c r="AJ270" s="1" t="str">
        <f>IFERROR(INDEX([1]物品基础表!$A:$A,MATCH(AI270,[1]物品基础表!$B:$B,0)),"")</f>
        <v/>
      </c>
      <c r="AM270" s="1" t="str">
        <f>IFERROR(INDEX([1]物品基础表!$A:$A,MATCH(AL270,[1]物品基础表!$B:$B,0)),"")</f>
        <v/>
      </c>
      <c r="AP270" s="1" t="str">
        <f>IFERROR(INDEX([1]物品基础表!$A:$A,MATCH(AO270,[1]物品基础表!$B:$B,0)),"")</f>
        <v/>
      </c>
      <c r="AS270" s="1" t="str">
        <f>IFERROR(INDEX([1]物品基础表!$A:$A,MATCH(AR270,[1]物品基础表!$B:$B,0)),"")</f>
        <v/>
      </c>
      <c r="AV270" s="1" t="str">
        <f>IFERROR(INDEX([1]物品基础表!$A:$A,MATCH(AU270,[1]物品基础表!$B:$B,0)),"")</f>
        <v/>
      </c>
      <c r="AY270" s="1" t="str">
        <f>IFERROR(INDEX([1]物品基础表!$A:$A,MATCH(AX270,[1]物品基础表!$B:$B,0)),"")</f>
        <v/>
      </c>
      <c r="BB270" s="1" t="str">
        <f>IFERROR(INDEX([1]物品基础表!$A:$A,MATCH(BA270,[1]物品基础表!$B:$B,0)),"")</f>
        <v/>
      </c>
      <c r="BE270" s="1" t="str">
        <f>IFERROR(INDEX([1]物品基础表!$A:$A,MATCH(BD270,[1]物品基础表!$B:$B,0)),"")</f>
        <v/>
      </c>
      <c r="BH270" s="1" t="str">
        <f>IFERROR(INDEX([1]物品基础表!$A:$A,MATCH(BG270,[1]物品基础表!$B:$B,0)),"")</f>
        <v/>
      </c>
      <c r="BK270" s="1" t="str">
        <f>IFERROR(INDEX([1]物品基础表!$A:$A,MATCH(BJ270,[1]物品基础表!$B:$B,0)),"")</f>
        <v/>
      </c>
    </row>
    <row r="271" spans="1:64">
      <c r="A271" s="39" t="str">
        <f>INDEX([2]活动总表!$A$8:$A$429,MATCH(B271,[2]活动总表!$B$8:$B$429,0))</f>
        <v>元宵-福袋</v>
      </c>
      <c r="B271" s="40">
        <v>653</v>
      </c>
      <c r="C271" s="40">
        <v>12</v>
      </c>
      <c r="D271" s="40"/>
      <c r="E271" s="40"/>
      <c r="F271" s="40" t="s">
        <v>870</v>
      </c>
      <c r="G271" s="40">
        <v>2</v>
      </c>
      <c r="H271" s="40"/>
      <c r="I271" s="40"/>
      <c r="J271" s="57"/>
      <c r="K271" s="1">
        <v>200301</v>
      </c>
      <c r="L271" s="1" t="str">
        <f>IFERROR(INDEX([1]物品基础表!$A:$A,MATCH(K271,[1]物品基础表!$B:$B,0)),"")</f>
        <v>传世宝钻</v>
      </c>
      <c r="M271" s="1">
        <v>50</v>
      </c>
      <c r="O271" s="1" t="str">
        <f>IFERROR(INDEX([1]物品基础表!$A:$A,MATCH(N271,[1]物品基础表!$B:$B,0)),"")</f>
        <v/>
      </c>
      <c r="R271" s="1" t="str">
        <f>IFERROR(INDEX([1]物品基础表!$A:$A,MATCH(Q271,[1]物品基础表!$B:$B,0)),"")</f>
        <v/>
      </c>
      <c r="U271" s="1" t="str">
        <f>IFERROR(INDEX([1]物品基础表!$A:$A,MATCH(T271,[1]物品基础表!$B:$B,0)),"")</f>
        <v/>
      </c>
      <c r="X271" s="1" t="str">
        <f>IFERROR(INDEX([1]物品基础表!$A:$A,MATCH(W271,[1]物品基础表!$B:$B,0)),"")</f>
        <v/>
      </c>
      <c r="AA271" s="1" t="str">
        <f>IFERROR(INDEX([1]物品基础表!$A:$A,MATCH(Z271,[1]物品基础表!$B:$B,0)),"")</f>
        <v/>
      </c>
      <c r="AD271" s="1" t="str">
        <f>IFERROR(INDEX([1]物品基础表!$A:$A,MATCH(AC271,[1]物品基础表!$B:$B,0)),"")</f>
        <v/>
      </c>
      <c r="AG271" s="1" t="str">
        <f>IFERROR(INDEX([1]物品基础表!$A:$A,MATCH(AF271,[1]物品基础表!$B:$B,0)),"")</f>
        <v/>
      </c>
      <c r="AJ271" s="1" t="str">
        <f>IFERROR(INDEX([1]物品基础表!$A:$A,MATCH(AI271,[1]物品基础表!$B:$B,0)),"")</f>
        <v/>
      </c>
      <c r="AM271" s="1" t="str">
        <f>IFERROR(INDEX([1]物品基础表!$A:$A,MATCH(AL271,[1]物品基础表!$B:$B,0)),"")</f>
        <v/>
      </c>
      <c r="AP271" s="1" t="str">
        <f>IFERROR(INDEX([1]物品基础表!$A:$A,MATCH(AO271,[1]物品基础表!$B:$B,0)),"")</f>
        <v/>
      </c>
      <c r="AS271" s="1" t="str">
        <f>IFERROR(INDEX([1]物品基础表!$A:$A,MATCH(AR271,[1]物品基础表!$B:$B,0)),"")</f>
        <v/>
      </c>
      <c r="AV271" s="1" t="str">
        <f>IFERROR(INDEX([1]物品基础表!$A:$A,MATCH(AU271,[1]物品基础表!$B:$B,0)),"")</f>
        <v/>
      </c>
      <c r="AY271" s="1" t="str">
        <f>IFERROR(INDEX([1]物品基础表!$A:$A,MATCH(AX271,[1]物品基础表!$B:$B,0)),"")</f>
        <v/>
      </c>
      <c r="BB271" s="1" t="str">
        <f>IFERROR(INDEX([1]物品基础表!$A:$A,MATCH(BA271,[1]物品基础表!$B:$B,0)),"")</f>
        <v/>
      </c>
      <c r="BE271" s="1" t="str">
        <f>IFERROR(INDEX([1]物品基础表!$A:$A,MATCH(BD271,[1]物品基础表!$B:$B,0)),"")</f>
        <v/>
      </c>
      <c r="BH271" s="1" t="str">
        <f>IFERROR(INDEX([1]物品基础表!$A:$A,MATCH(BG271,[1]物品基础表!$B:$B,0)),"")</f>
        <v/>
      </c>
      <c r="BK271" s="1" t="str">
        <f>IFERROR(INDEX([1]物品基础表!$A:$A,MATCH(BJ271,[1]物品基础表!$B:$B,0)),"")</f>
        <v/>
      </c>
    </row>
    <row r="272" spans="1:64">
      <c r="A272" s="39" t="str">
        <f>INDEX([2]活动总表!$A$8:$A$429,MATCH(B272,[2]活动总表!$B$8:$B$429,0))</f>
        <v>元宵-福袋</v>
      </c>
      <c r="B272" s="40">
        <v>653</v>
      </c>
      <c r="C272" s="40">
        <v>13</v>
      </c>
      <c r="D272" s="40"/>
      <c r="E272" s="40"/>
      <c r="F272" s="40" t="s">
        <v>869</v>
      </c>
      <c r="G272" s="40">
        <v>2</v>
      </c>
      <c r="H272" s="40"/>
      <c r="I272" s="40"/>
      <c r="J272" s="57"/>
      <c r="K272" s="1">
        <v>200301</v>
      </c>
      <c r="L272" s="1" t="str">
        <f>IFERROR(INDEX([1]物品基础表!$A:$A,MATCH(K272,[1]物品基础表!$B:$B,0)),"")</f>
        <v>传世宝钻</v>
      </c>
      <c r="M272" s="1">
        <v>20</v>
      </c>
      <c r="O272" s="1" t="str">
        <f>IFERROR(INDEX([1]物品基础表!$A:$A,MATCH(N272,[1]物品基础表!$B:$B,0)),"")</f>
        <v/>
      </c>
      <c r="R272" s="1" t="str">
        <f>IFERROR(INDEX([1]物品基础表!$A:$A,MATCH(Q272,[1]物品基础表!$B:$B,0)),"")</f>
        <v/>
      </c>
      <c r="U272" s="1" t="str">
        <f>IFERROR(INDEX([1]物品基础表!$A:$A,MATCH(T272,[1]物品基础表!$B:$B,0)),"")</f>
        <v/>
      </c>
      <c r="X272" s="1" t="str">
        <f>IFERROR(INDEX([1]物品基础表!$A:$A,MATCH(W272,[1]物品基础表!$B:$B,0)),"")</f>
        <v/>
      </c>
      <c r="AA272" s="1" t="str">
        <f>IFERROR(INDEX([1]物品基础表!$A:$A,MATCH(Z272,[1]物品基础表!$B:$B,0)),"")</f>
        <v/>
      </c>
      <c r="AD272" s="1" t="str">
        <f>IFERROR(INDEX([1]物品基础表!$A:$A,MATCH(AC272,[1]物品基础表!$B:$B,0)),"")</f>
        <v/>
      </c>
      <c r="AG272" s="1" t="str">
        <f>IFERROR(INDEX([1]物品基础表!$A:$A,MATCH(AF272,[1]物品基础表!$B:$B,0)),"")</f>
        <v/>
      </c>
      <c r="AJ272" s="1" t="str">
        <f>IFERROR(INDEX([1]物品基础表!$A:$A,MATCH(AI272,[1]物品基础表!$B:$B,0)),"")</f>
        <v/>
      </c>
      <c r="AM272" s="1" t="str">
        <f>IFERROR(INDEX([1]物品基础表!$A:$A,MATCH(AL272,[1]物品基础表!$B:$B,0)),"")</f>
        <v/>
      </c>
      <c r="AP272" s="1" t="str">
        <f>IFERROR(INDEX([1]物品基础表!$A:$A,MATCH(AO272,[1]物品基础表!$B:$B,0)),"")</f>
        <v/>
      </c>
      <c r="AS272" s="1" t="str">
        <f>IFERROR(INDEX([1]物品基础表!$A:$A,MATCH(AR272,[1]物品基础表!$B:$B,0)),"")</f>
        <v/>
      </c>
      <c r="AV272" s="1" t="str">
        <f>IFERROR(INDEX([1]物品基础表!$A:$A,MATCH(AU272,[1]物品基础表!$B:$B,0)),"")</f>
        <v/>
      </c>
      <c r="AY272" s="1" t="str">
        <f>IFERROR(INDEX([1]物品基础表!$A:$A,MATCH(AX272,[1]物品基础表!$B:$B,0)),"")</f>
        <v/>
      </c>
      <c r="BB272" s="1" t="str">
        <f>IFERROR(INDEX([1]物品基础表!$A:$A,MATCH(BA272,[1]物品基础表!$B:$B,0)),"")</f>
        <v/>
      </c>
      <c r="BE272" s="1" t="str">
        <f>IFERROR(INDEX([1]物品基础表!$A:$A,MATCH(BD272,[1]物品基础表!$B:$B,0)),"")</f>
        <v/>
      </c>
      <c r="BH272" s="1" t="str">
        <f>IFERROR(INDEX([1]物品基础表!$A:$A,MATCH(BG272,[1]物品基础表!$B:$B,0)),"")</f>
        <v/>
      </c>
      <c r="BK272" s="1" t="str">
        <f>IFERROR(INDEX([1]物品基础表!$A:$A,MATCH(BJ272,[1]物品基础表!$B:$B,0)),"")</f>
        <v/>
      </c>
    </row>
    <row r="273" spans="1:63">
      <c r="A273" s="39" t="str">
        <f>INDEX([2]活动总表!$A$8:$A$429,MATCH(B273,[2]活动总表!$B$8:$B$429,0))</f>
        <v>元宵-福袋</v>
      </c>
      <c r="B273" s="40">
        <v>653</v>
      </c>
      <c r="C273" s="40">
        <v>14</v>
      </c>
      <c r="D273" s="40"/>
      <c r="E273" s="40"/>
      <c r="F273" s="40" t="s">
        <v>871</v>
      </c>
      <c r="G273" s="40">
        <v>2</v>
      </c>
      <c r="H273" s="40"/>
      <c r="I273" s="40"/>
      <c r="J273" s="57"/>
      <c r="K273" s="1">
        <v>204132</v>
      </c>
      <c r="L273" s="1" t="str">
        <f>IFERROR(INDEX([1]物品基础表!$A:$A,MATCH(K273,[1]物品基础表!$B:$B,0)),"")</f>
        <v>橙色图鉴包·倾国倾城</v>
      </c>
      <c r="M273" s="1">
        <v>1</v>
      </c>
      <c r="O273" s="1" t="str">
        <f>IFERROR(INDEX([1]物品基础表!$A:$A,MATCH(N273,[1]物品基础表!$B:$B,0)),"")</f>
        <v/>
      </c>
      <c r="R273" s="1" t="str">
        <f>IFERROR(INDEX([1]物品基础表!$A:$A,MATCH(Q273,[1]物品基础表!$B:$B,0)),"")</f>
        <v/>
      </c>
      <c r="U273" s="1" t="str">
        <f>IFERROR(INDEX([1]物品基础表!$A:$A,MATCH(T273,[1]物品基础表!$B:$B,0)),"")</f>
        <v/>
      </c>
      <c r="X273" s="1" t="str">
        <f>IFERROR(INDEX([1]物品基础表!$A:$A,MATCH(W273,[1]物品基础表!$B:$B,0)),"")</f>
        <v/>
      </c>
      <c r="AA273" s="1" t="str">
        <f>IFERROR(INDEX([1]物品基础表!$A:$A,MATCH(Z273,[1]物品基础表!$B:$B,0)),"")</f>
        <v/>
      </c>
      <c r="AD273" s="1" t="str">
        <f>IFERROR(INDEX([1]物品基础表!$A:$A,MATCH(AC273,[1]物品基础表!$B:$B,0)),"")</f>
        <v/>
      </c>
      <c r="AG273" s="1" t="str">
        <f>IFERROR(INDEX([1]物品基础表!$A:$A,MATCH(AF273,[1]物品基础表!$B:$B,0)),"")</f>
        <v/>
      </c>
      <c r="AJ273" s="1" t="str">
        <f>IFERROR(INDEX([1]物品基础表!$A:$A,MATCH(AI273,[1]物品基础表!$B:$B,0)),"")</f>
        <v/>
      </c>
      <c r="AM273" s="1" t="str">
        <f>IFERROR(INDEX([1]物品基础表!$A:$A,MATCH(AL273,[1]物品基础表!$B:$B,0)),"")</f>
        <v/>
      </c>
      <c r="AP273" s="1" t="str">
        <f>IFERROR(INDEX([1]物品基础表!$A:$A,MATCH(AO273,[1]物品基础表!$B:$B,0)),"")</f>
        <v/>
      </c>
      <c r="AS273" s="1" t="str">
        <f>IFERROR(INDEX([1]物品基础表!$A:$A,MATCH(AR273,[1]物品基础表!$B:$B,0)),"")</f>
        <v/>
      </c>
      <c r="AV273" s="1" t="str">
        <f>IFERROR(INDEX([1]物品基础表!$A:$A,MATCH(AU273,[1]物品基础表!$B:$B,0)),"")</f>
        <v/>
      </c>
      <c r="AY273" s="1" t="str">
        <f>IFERROR(INDEX([1]物品基础表!$A:$A,MATCH(AX273,[1]物品基础表!$B:$B,0)),"")</f>
        <v/>
      </c>
      <c r="BB273" s="1" t="str">
        <f>IFERROR(INDEX([1]物品基础表!$A:$A,MATCH(BA273,[1]物品基础表!$B:$B,0)),"")</f>
        <v/>
      </c>
      <c r="BE273" s="1" t="str">
        <f>IFERROR(INDEX([1]物品基础表!$A:$A,MATCH(BD273,[1]物品基础表!$B:$B,0)),"")</f>
        <v/>
      </c>
      <c r="BH273" s="1" t="str">
        <f>IFERROR(INDEX([1]物品基础表!$A:$A,MATCH(BG273,[1]物品基础表!$B:$B,0)),"")</f>
        <v/>
      </c>
      <c r="BK273" s="1" t="str">
        <f>IFERROR(INDEX([1]物品基础表!$A:$A,MATCH(BJ273,[1]物品基础表!$B:$B,0)),"")</f>
        <v/>
      </c>
    </row>
    <row r="274" spans="1:63">
      <c r="A274" s="39" t="str">
        <f>INDEX([2]活动总表!$A$8:$A$429,MATCH(B274,[2]活动总表!$B$8:$B$429,0))</f>
        <v>元宵-福袋</v>
      </c>
      <c r="B274" s="40">
        <v>653</v>
      </c>
      <c r="C274" s="40">
        <v>15</v>
      </c>
      <c r="D274" s="40"/>
      <c r="E274" s="40"/>
      <c r="F274" s="40" t="s">
        <v>872</v>
      </c>
      <c r="G274" s="40">
        <v>2</v>
      </c>
      <c r="H274" s="40"/>
      <c r="I274" s="40"/>
      <c r="J274" s="57"/>
      <c r="K274" s="1">
        <v>204137</v>
      </c>
      <c r="L274" s="1" t="str">
        <f>IFERROR(INDEX([1]物品基础表!$A:$A,MATCH(K274,[1]物品基础表!$B:$B,0)),"")</f>
        <v>轮回宝箱（9转）</v>
      </c>
      <c r="M274" s="1">
        <v>1</v>
      </c>
      <c r="O274" s="1" t="str">
        <f>IFERROR(INDEX([1]物品基础表!$A:$A,MATCH(N274,[1]物品基础表!$B:$B,0)),"")</f>
        <v/>
      </c>
      <c r="R274" s="1" t="str">
        <f>IFERROR(INDEX([1]物品基础表!$A:$A,MATCH(Q274,[1]物品基础表!$B:$B,0)),"")</f>
        <v/>
      </c>
      <c r="U274" s="1" t="str">
        <f>IFERROR(INDEX([1]物品基础表!$A:$A,MATCH(T274,[1]物品基础表!$B:$B,0)),"")</f>
        <v/>
      </c>
      <c r="X274" s="1" t="str">
        <f>IFERROR(INDEX([1]物品基础表!$A:$A,MATCH(W274,[1]物品基础表!$B:$B,0)),"")</f>
        <v/>
      </c>
      <c r="AA274" s="1" t="str">
        <f>IFERROR(INDEX([1]物品基础表!$A:$A,MATCH(Z274,[1]物品基础表!$B:$B,0)),"")</f>
        <v/>
      </c>
      <c r="AD274" s="1" t="str">
        <f>IFERROR(INDEX([1]物品基础表!$A:$A,MATCH(AC274,[1]物品基础表!$B:$B,0)),"")</f>
        <v/>
      </c>
      <c r="AG274" s="1" t="str">
        <f>IFERROR(INDEX([1]物品基础表!$A:$A,MATCH(AF274,[1]物品基础表!$B:$B,0)),"")</f>
        <v/>
      </c>
      <c r="AJ274" s="1" t="str">
        <f>IFERROR(INDEX([1]物品基础表!$A:$A,MATCH(AI274,[1]物品基础表!$B:$B,0)),"")</f>
        <v/>
      </c>
      <c r="AM274" s="1" t="str">
        <f>IFERROR(INDEX([1]物品基础表!$A:$A,MATCH(AL274,[1]物品基础表!$B:$B,0)),"")</f>
        <v/>
      </c>
      <c r="AP274" s="1" t="str">
        <f>IFERROR(INDEX([1]物品基础表!$A:$A,MATCH(AO274,[1]物品基础表!$B:$B,0)),"")</f>
        <v/>
      </c>
      <c r="AS274" s="1" t="str">
        <f>IFERROR(INDEX([1]物品基础表!$A:$A,MATCH(AR274,[1]物品基础表!$B:$B,0)),"")</f>
        <v/>
      </c>
      <c r="AV274" s="1" t="str">
        <f>IFERROR(INDEX([1]物品基础表!$A:$A,MATCH(AU274,[1]物品基础表!$B:$B,0)),"")</f>
        <v/>
      </c>
      <c r="AY274" s="1" t="str">
        <f>IFERROR(INDEX([1]物品基础表!$A:$A,MATCH(AX274,[1]物品基础表!$B:$B,0)),"")</f>
        <v/>
      </c>
      <c r="BB274" s="1" t="str">
        <f>IFERROR(INDEX([1]物品基础表!$A:$A,MATCH(BA274,[1]物品基础表!$B:$B,0)),"")</f>
        <v/>
      </c>
      <c r="BE274" s="1" t="str">
        <f>IFERROR(INDEX([1]物品基础表!$A:$A,MATCH(BD274,[1]物品基础表!$B:$B,0)),"")</f>
        <v/>
      </c>
      <c r="BH274" s="1" t="str">
        <f>IFERROR(INDEX([1]物品基础表!$A:$A,MATCH(BG274,[1]物品基础表!$B:$B,0)),"")</f>
        <v/>
      </c>
      <c r="BK274" s="1" t="str">
        <f>IFERROR(INDEX([1]物品基础表!$A:$A,MATCH(BJ274,[1]物品基础表!$B:$B,0)),"")</f>
        <v/>
      </c>
    </row>
    <row r="275" spans="1:63">
      <c r="A275" s="39" t="str">
        <f>INDEX([2]活动总表!$A$8:$A$429,MATCH(B275,[2]活动总表!$B$8:$B$429,0))</f>
        <v>元宵-福袋</v>
      </c>
      <c r="B275" s="40">
        <v>653</v>
      </c>
      <c r="C275" s="40">
        <v>16</v>
      </c>
      <c r="D275" s="40"/>
      <c r="E275" s="40"/>
      <c r="F275" s="40" t="s">
        <v>873</v>
      </c>
      <c r="G275" s="40">
        <v>2</v>
      </c>
      <c r="H275" s="40"/>
      <c r="I275" s="40"/>
      <c r="J275" s="57"/>
      <c r="K275" s="1">
        <v>204136</v>
      </c>
      <c r="L275" s="1" t="str">
        <f>IFERROR(INDEX([1]物品基础表!$A:$A,MATCH(K275,[1]物品基础表!$B:$B,0)),"")</f>
        <v>轮回宝箱（8转）</v>
      </c>
      <c r="M275" s="1">
        <v>1</v>
      </c>
      <c r="O275" s="1" t="str">
        <f>IFERROR(INDEX([1]物品基础表!$A:$A,MATCH(N275,[1]物品基础表!$B:$B,0)),"")</f>
        <v/>
      </c>
      <c r="R275" s="1" t="str">
        <f>IFERROR(INDEX([1]物品基础表!$A:$A,MATCH(Q275,[1]物品基础表!$B:$B,0)),"")</f>
        <v/>
      </c>
      <c r="U275" s="1" t="str">
        <f>IFERROR(INDEX([1]物品基础表!$A:$A,MATCH(T275,[1]物品基础表!$B:$B,0)),"")</f>
        <v/>
      </c>
      <c r="X275" s="1" t="str">
        <f>IFERROR(INDEX([1]物品基础表!$A:$A,MATCH(W275,[1]物品基础表!$B:$B,0)),"")</f>
        <v/>
      </c>
      <c r="AA275" s="1" t="str">
        <f>IFERROR(INDEX([1]物品基础表!$A:$A,MATCH(Z275,[1]物品基础表!$B:$B,0)),"")</f>
        <v/>
      </c>
      <c r="AD275" s="1" t="str">
        <f>IFERROR(INDEX([1]物品基础表!$A:$A,MATCH(AC275,[1]物品基础表!$B:$B,0)),"")</f>
        <v/>
      </c>
      <c r="AG275" s="1" t="str">
        <f>IFERROR(INDEX([1]物品基础表!$A:$A,MATCH(AF275,[1]物品基础表!$B:$B,0)),"")</f>
        <v/>
      </c>
      <c r="AJ275" s="1" t="str">
        <f>IFERROR(INDEX([1]物品基础表!$A:$A,MATCH(AI275,[1]物品基础表!$B:$B,0)),"")</f>
        <v/>
      </c>
      <c r="AM275" s="1" t="str">
        <f>IFERROR(INDEX([1]物品基础表!$A:$A,MATCH(AL275,[1]物品基础表!$B:$B,0)),"")</f>
        <v/>
      </c>
      <c r="AP275" s="1" t="str">
        <f>IFERROR(INDEX([1]物品基础表!$A:$A,MATCH(AO275,[1]物品基础表!$B:$B,0)),"")</f>
        <v/>
      </c>
      <c r="AS275" s="1" t="str">
        <f>IFERROR(INDEX([1]物品基础表!$A:$A,MATCH(AR275,[1]物品基础表!$B:$B,0)),"")</f>
        <v/>
      </c>
      <c r="AV275" s="1" t="str">
        <f>IFERROR(INDEX([1]物品基础表!$A:$A,MATCH(AU275,[1]物品基础表!$B:$B,0)),"")</f>
        <v/>
      </c>
      <c r="AY275" s="1" t="str">
        <f>IFERROR(INDEX([1]物品基础表!$A:$A,MATCH(AX275,[1]物品基础表!$B:$B,0)),"")</f>
        <v/>
      </c>
      <c r="BB275" s="1" t="str">
        <f>IFERROR(INDEX([1]物品基础表!$A:$A,MATCH(BA275,[1]物品基础表!$B:$B,0)),"")</f>
        <v/>
      </c>
      <c r="BE275" s="1" t="str">
        <f>IFERROR(INDEX([1]物品基础表!$A:$A,MATCH(BD275,[1]物品基础表!$B:$B,0)),"")</f>
        <v/>
      </c>
      <c r="BH275" s="1" t="str">
        <f>IFERROR(INDEX([1]物品基础表!$A:$A,MATCH(BG275,[1]物品基础表!$B:$B,0)),"")</f>
        <v/>
      </c>
      <c r="BK275" s="1" t="str">
        <f>IFERROR(INDEX([1]物品基础表!$A:$A,MATCH(BJ275,[1]物品基础表!$B:$B,0)),"")</f>
        <v/>
      </c>
    </row>
    <row r="276" spans="1:63">
      <c r="A276" s="39" t="str">
        <f>INDEX([2]活动总表!$A$8:$A$429,MATCH(B276,[2]活动总表!$B$8:$B$429,0))</f>
        <v>元宵-福袋</v>
      </c>
      <c r="B276" s="40">
        <v>653</v>
      </c>
      <c r="C276" s="40">
        <v>17</v>
      </c>
      <c r="D276" s="40"/>
      <c r="E276" s="40"/>
      <c r="F276" s="40" t="s">
        <v>874</v>
      </c>
      <c r="G276" s="40">
        <v>2</v>
      </c>
      <c r="H276" s="40"/>
      <c r="I276" s="40"/>
      <c r="J276" s="57"/>
      <c r="K276" s="1">
        <v>200001</v>
      </c>
      <c r="L276" s="1" t="str">
        <f>IFERROR(INDEX([1]物品基础表!$A:$A,MATCH(K276,[1]物品基础表!$B:$B,0)),"")</f>
        <v>羽毛</v>
      </c>
      <c r="M276" s="1">
        <v>5</v>
      </c>
      <c r="O276" s="1" t="str">
        <f>IFERROR(INDEX([1]物品基础表!$A:$A,MATCH(N276,[1]物品基础表!$B:$B,0)),"")</f>
        <v/>
      </c>
      <c r="R276" s="1" t="str">
        <f>IFERROR(INDEX([1]物品基础表!$A:$A,MATCH(Q276,[1]物品基础表!$B:$B,0)),"")</f>
        <v/>
      </c>
      <c r="U276" s="1" t="str">
        <f>IFERROR(INDEX([1]物品基础表!$A:$A,MATCH(T276,[1]物品基础表!$B:$B,0)),"")</f>
        <v/>
      </c>
      <c r="X276" s="1" t="str">
        <f>IFERROR(INDEX([1]物品基础表!$A:$A,MATCH(W276,[1]物品基础表!$B:$B,0)),"")</f>
        <v/>
      </c>
      <c r="AA276" s="1" t="str">
        <f>IFERROR(INDEX([1]物品基础表!$A:$A,MATCH(Z276,[1]物品基础表!$B:$B,0)),"")</f>
        <v/>
      </c>
      <c r="AD276" s="1" t="str">
        <f>IFERROR(INDEX([1]物品基础表!$A:$A,MATCH(AC276,[1]物品基础表!$B:$B,0)),"")</f>
        <v/>
      </c>
      <c r="AG276" s="1" t="str">
        <f>IFERROR(INDEX([1]物品基础表!$A:$A,MATCH(AF276,[1]物品基础表!$B:$B,0)),"")</f>
        <v/>
      </c>
      <c r="AJ276" s="1" t="str">
        <f>IFERROR(INDEX([1]物品基础表!$A:$A,MATCH(AI276,[1]物品基础表!$B:$B,0)),"")</f>
        <v/>
      </c>
      <c r="AM276" s="1" t="str">
        <f>IFERROR(INDEX([1]物品基础表!$A:$A,MATCH(AL276,[1]物品基础表!$B:$B,0)),"")</f>
        <v/>
      </c>
      <c r="AP276" s="1" t="str">
        <f>IFERROR(INDEX([1]物品基础表!$A:$A,MATCH(AO276,[1]物品基础表!$B:$B,0)),"")</f>
        <v/>
      </c>
      <c r="AS276" s="1" t="str">
        <f>IFERROR(INDEX([1]物品基础表!$A:$A,MATCH(AR276,[1]物品基础表!$B:$B,0)),"")</f>
        <v/>
      </c>
      <c r="AV276" s="1" t="str">
        <f>IFERROR(INDEX([1]物品基础表!$A:$A,MATCH(AU276,[1]物品基础表!$B:$B,0)),"")</f>
        <v/>
      </c>
      <c r="AY276" s="1" t="str">
        <f>IFERROR(INDEX([1]物品基础表!$A:$A,MATCH(AX276,[1]物品基础表!$B:$B,0)),"")</f>
        <v/>
      </c>
      <c r="BB276" s="1" t="str">
        <f>IFERROR(INDEX([1]物品基础表!$A:$A,MATCH(BA276,[1]物品基础表!$B:$B,0)),"")</f>
        <v/>
      </c>
      <c r="BE276" s="1" t="str">
        <f>IFERROR(INDEX([1]物品基础表!$A:$A,MATCH(BD276,[1]物品基础表!$B:$B,0)),"")</f>
        <v/>
      </c>
      <c r="BH276" s="1" t="str">
        <f>IFERROR(INDEX([1]物品基础表!$A:$A,MATCH(BG276,[1]物品基础表!$B:$B,0)),"")</f>
        <v/>
      </c>
      <c r="BK276" s="1" t="str">
        <f>IFERROR(INDEX([1]物品基础表!$A:$A,MATCH(BJ276,[1]物品基础表!$B:$B,0)),"")</f>
        <v/>
      </c>
    </row>
    <row r="277" spans="1:63">
      <c r="A277" s="39" t="str">
        <f>INDEX([2]活动总表!$A$8:$A$429,MATCH(B277,[2]活动总表!$B$8:$B$429,0))</f>
        <v>元宵-福袋</v>
      </c>
      <c r="B277" s="40">
        <v>653</v>
      </c>
      <c r="C277" s="40">
        <v>18</v>
      </c>
      <c r="D277" s="40"/>
      <c r="E277" s="40"/>
      <c r="F277" s="40" t="s">
        <v>874</v>
      </c>
      <c r="G277" s="40">
        <v>2</v>
      </c>
      <c r="H277" s="40"/>
      <c r="I277" s="40"/>
      <c r="J277" s="57"/>
      <c r="K277" s="1">
        <v>200001</v>
      </c>
      <c r="L277" s="1" t="str">
        <f>IFERROR(INDEX([1]物品基础表!$A:$A,MATCH(K277,[1]物品基础表!$B:$B,0)),"")</f>
        <v>羽毛</v>
      </c>
      <c r="M277" s="1">
        <v>8</v>
      </c>
      <c r="O277" s="1" t="str">
        <f>IFERROR(INDEX([1]物品基础表!$A:$A,MATCH(N277,[1]物品基础表!$B:$B,0)),"")</f>
        <v/>
      </c>
      <c r="R277" s="1" t="str">
        <f>IFERROR(INDEX([1]物品基础表!$A:$A,MATCH(Q277,[1]物品基础表!$B:$B,0)),"")</f>
        <v/>
      </c>
      <c r="U277" s="1" t="str">
        <f>IFERROR(INDEX([1]物品基础表!$A:$A,MATCH(T277,[1]物品基础表!$B:$B,0)),"")</f>
        <v/>
      </c>
      <c r="X277" s="1" t="str">
        <f>IFERROR(INDEX([1]物品基础表!$A:$A,MATCH(W277,[1]物品基础表!$B:$B,0)),"")</f>
        <v/>
      </c>
      <c r="AA277" s="1" t="str">
        <f>IFERROR(INDEX([1]物品基础表!$A:$A,MATCH(Z277,[1]物品基础表!$B:$B,0)),"")</f>
        <v/>
      </c>
      <c r="AD277" s="1" t="str">
        <f>IFERROR(INDEX([1]物品基础表!$A:$A,MATCH(AC277,[1]物品基础表!$B:$B,0)),"")</f>
        <v/>
      </c>
      <c r="AG277" s="1" t="str">
        <f>IFERROR(INDEX([1]物品基础表!$A:$A,MATCH(AF277,[1]物品基础表!$B:$B,0)),"")</f>
        <v/>
      </c>
      <c r="AJ277" s="1" t="str">
        <f>IFERROR(INDEX([1]物品基础表!$A:$A,MATCH(AI277,[1]物品基础表!$B:$B,0)),"")</f>
        <v/>
      </c>
      <c r="AM277" s="1" t="str">
        <f>IFERROR(INDEX([1]物品基础表!$A:$A,MATCH(AL277,[1]物品基础表!$B:$B,0)),"")</f>
        <v/>
      </c>
      <c r="AP277" s="1" t="str">
        <f>IFERROR(INDEX([1]物品基础表!$A:$A,MATCH(AO277,[1]物品基础表!$B:$B,0)),"")</f>
        <v/>
      </c>
      <c r="AS277" s="1" t="str">
        <f>IFERROR(INDEX([1]物品基础表!$A:$A,MATCH(AR277,[1]物品基础表!$B:$B,0)),"")</f>
        <v/>
      </c>
      <c r="AV277" s="1" t="str">
        <f>IFERROR(INDEX([1]物品基础表!$A:$A,MATCH(AU277,[1]物品基础表!$B:$B,0)),"")</f>
        <v/>
      </c>
      <c r="AY277" s="1" t="str">
        <f>IFERROR(INDEX([1]物品基础表!$A:$A,MATCH(AX277,[1]物品基础表!$B:$B,0)),"")</f>
        <v/>
      </c>
      <c r="BB277" s="1" t="str">
        <f>IFERROR(INDEX([1]物品基础表!$A:$A,MATCH(BA277,[1]物品基础表!$B:$B,0)),"")</f>
        <v/>
      </c>
      <c r="BE277" s="1" t="str">
        <f>IFERROR(INDEX([1]物品基础表!$A:$A,MATCH(BD277,[1]物品基础表!$B:$B,0)),"")</f>
        <v/>
      </c>
      <c r="BH277" s="1" t="str">
        <f>IFERROR(INDEX([1]物品基础表!$A:$A,MATCH(BG277,[1]物品基础表!$B:$B,0)),"")</f>
        <v/>
      </c>
      <c r="BK277" s="1" t="str">
        <f>IFERROR(INDEX([1]物品基础表!$A:$A,MATCH(BJ277,[1]物品基础表!$B:$B,0)),"")</f>
        <v/>
      </c>
    </row>
    <row r="278" spans="1:63">
      <c r="A278" s="39" t="str">
        <f>INDEX([2]活动总表!$A$8:$A$429,MATCH(B278,[2]活动总表!$B$8:$B$429,0))</f>
        <v>元宵-福袋</v>
      </c>
      <c r="B278" s="40">
        <v>653</v>
      </c>
      <c r="C278" s="40">
        <v>19</v>
      </c>
      <c r="D278" s="40"/>
      <c r="E278" s="40"/>
      <c r="F278" s="40" t="s">
        <v>875</v>
      </c>
      <c r="G278" s="40">
        <v>2</v>
      </c>
      <c r="H278" s="40"/>
      <c r="I278" s="40"/>
      <c r="J278" s="57"/>
      <c r="K278" s="1">
        <v>200001</v>
      </c>
      <c r="L278" s="1" t="str">
        <f>IFERROR(INDEX([1]物品基础表!$A:$A,MATCH(K278,[1]物品基础表!$B:$B,0)),"")</f>
        <v>羽毛</v>
      </c>
      <c r="M278" s="1">
        <v>10</v>
      </c>
      <c r="O278" s="1" t="str">
        <f>IFERROR(INDEX([1]物品基础表!$A:$A,MATCH(N278,[1]物品基础表!$B:$B,0)),"")</f>
        <v/>
      </c>
      <c r="R278" s="1" t="str">
        <f>IFERROR(INDEX([1]物品基础表!$A:$A,MATCH(Q278,[1]物品基础表!$B:$B,0)),"")</f>
        <v/>
      </c>
      <c r="U278" s="1" t="str">
        <f>IFERROR(INDEX([1]物品基础表!$A:$A,MATCH(T278,[1]物品基础表!$B:$B,0)),"")</f>
        <v/>
      </c>
      <c r="X278" s="1" t="str">
        <f>IFERROR(INDEX([1]物品基础表!$A:$A,MATCH(W278,[1]物品基础表!$B:$B,0)),"")</f>
        <v/>
      </c>
      <c r="AA278" s="1" t="str">
        <f>IFERROR(INDEX([1]物品基础表!$A:$A,MATCH(Z278,[1]物品基础表!$B:$B,0)),"")</f>
        <v/>
      </c>
      <c r="AD278" s="1" t="str">
        <f>IFERROR(INDEX([1]物品基础表!$A:$A,MATCH(AC278,[1]物品基础表!$B:$B,0)),"")</f>
        <v/>
      </c>
      <c r="AG278" s="1" t="str">
        <f>IFERROR(INDEX([1]物品基础表!$A:$A,MATCH(AF278,[1]物品基础表!$B:$B,0)),"")</f>
        <v/>
      </c>
      <c r="AJ278" s="1" t="str">
        <f>IFERROR(INDEX([1]物品基础表!$A:$A,MATCH(AI278,[1]物品基础表!$B:$B,0)),"")</f>
        <v/>
      </c>
      <c r="AM278" s="1" t="str">
        <f>IFERROR(INDEX([1]物品基础表!$A:$A,MATCH(AL278,[1]物品基础表!$B:$B,0)),"")</f>
        <v/>
      </c>
      <c r="AP278" s="1" t="str">
        <f>IFERROR(INDEX([1]物品基础表!$A:$A,MATCH(AO278,[1]物品基础表!$B:$B,0)),"")</f>
        <v/>
      </c>
      <c r="AS278" s="1" t="str">
        <f>IFERROR(INDEX([1]物品基础表!$A:$A,MATCH(AR278,[1]物品基础表!$B:$B,0)),"")</f>
        <v/>
      </c>
      <c r="AV278" s="1" t="str">
        <f>IFERROR(INDEX([1]物品基础表!$A:$A,MATCH(AU278,[1]物品基础表!$B:$B,0)),"")</f>
        <v/>
      </c>
      <c r="AY278" s="1" t="str">
        <f>IFERROR(INDEX([1]物品基础表!$A:$A,MATCH(AX278,[1]物品基础表!$B:$B,0)),"")</f>
        <v/>
      </c>
      <c r="BB278" s="1" t="str">
        <f>IFERROR(INDEX([1]物品基础表!$A:$A,MATCH(BA278,[1]物品基础表!$B:$B,0)),"")</f>
        <v/>
      </c>
      <c r="BE278" s="1" t="str">
        <f>IFERROR(INDEX([1]物品基础表!$A:$A,MATCH(BD278,[1]物品基础表!$B:$B,0)),"")</f>
        <v/>
      </c>
      <c r="BH278" s="1" t="str">
        <f>IFERROR(INDEX([1]物品基础表!$A:$A,MATCH(BG278,[1]物品基础表!$B:$B,0)),"")</f>
        <v/>
      </c>
      <c r="BK278" s="1" t="str">
        <f>IFERROR(INDEX([1]物品基础表!$A:$A,MATCH(BJ278,[1]物品基础表!$B:$B,0)),"")</f>
        <v/>
      </c>
    </row>
    <row r="279" spans="1:63">
      <c r="A279" s="39" t="str">
        <f>INDEX([2]活动总表!$A$8:$A$429,MATCH(B279,[2]活动总表!$B$8:$B$429,0))</f>
        <v>元宵-福袋</v>
      </c>
      <c r="B279" s="40">
        <v>653</v>
      </c>
      <c r="C279" s="40">
        <v>20</v>
      </c>
      <c r="D279" s="40"/>
      <c r="E279" s="40"/>
      <c r="F279" s="40" t="s">
        <v>873</v>
      </c>
      <c r="G279" s="40">
        <v>2</v>
      </c>
      <c r="H279" s="40"/>
      <c r="I279" s="40"/>
      <c r="J279" s="57"/>
      <c r="K279" s="1">
        <v>200001</v>
      </c>
      <c r="L279" s="1" t="str">
        <f>IFERROR(INDEX([1]物品基础表!$A:$A,MATCH(K279,[1]物品基础表!$B:$B,0)),"")</f>
        <v>羽毛</v>
      </c>
      <c r="M279" s="1">
        <v>15</v>
      </c>
      <c r="O279" s="1" t="str">
        <f>IFERROR(INDEX([1]物品基础表!$A:$A,MATCH(N279,[1]物品基础表!$B:$B,0)),"")</f>
        <v/>
      </c>
      <c r="R279" s="1" t="str">
        <f>IFERROR(INDEX([1]物品基础表!$A:$A,MATCH(Q279,[1]物品基础表!$B:$B,0)),"")</f>
        <v/>
      </c>
      <c r="U279" s="1" t="str">
        <f>IFERROR(INDEX([1]物品基础表!$A:$A,MATCH(T279,[1]物品基础表!$B:$B,0)),"")</f>
        <v/>
      </c>
      <c r="X279" s="1" t="str">
        <f>IFERROR(INDEX([1]物品基础表!$A:$A,MATCH(W279,[1]物品基础表!$B:$B,0)),"")</f>
        <v/>
      </c>
      <c r="AA279" s="1" t="str">
        <f>IFERROR(INDEX([1]物品基础表!$A:$A,MATCH(Z279,[1]物品基础表!$B:$B,0)),"")</f>
        <v/>
      </c>
      <c r="AD279" s="1" t="str">
        <f>IFERROR(INDEX([1]物品基础表!$A:$A,MATCH(AC279,[1]物品基础表!$B:$B,0)),"")</f>
        <v/>
      </c>
      <c r="AG279" s="1" t="str">
        <f>IFERROR(INDEX([1]物品基础表!$A:$A,MATCH(AF279,[1]物品基础表!$B:$B,0)),"")</f>
        <v/>
      </c>
      <c r="AJ279" s="1" t="str">
        <f>IFERROR(INDEX([1]物品基础表!$A:$A,MATCH(AI279,[1]物品基础表!$B:$B,0)),"")</f>
        <v/>
      </c>
      <c r="AM279" s="1" t="str">
        <f>IFERROR(INDEX([1]物品基础表!$A:$A,MATCH(AL279,[1]物品基础表!$B:$B,0)),"")</f>
        <v/>
      </c>
      <c r="AP279" s="1" t="str">
        <f>IFERROR(INDEX([1]物品基础表!$A:$A,MATCH(AO279,[1]物品基础表!$B:$B,0)),"")</f>
        <v/>
      </c>
      <c r="AS279" s="1" t="str">
        <f>IFERROR(INDEX([1]物品基础表!$A:$A,MATCH(AR279,[1]物品基础表!$B:$B,0)),"")</f>
        <v/>
      </c>
      <c r="AV279" s="1" t="str">
        <f>IFERROR(INDEX([1]物品基础表!$A:$A,MATCH(AU279,[1]物品基础表!$B:$B,0)),"")</f>
        <v/>
      </c>
      <c r="AY279" s="1" t="str">
        <f>IFERROR(INDEX([1]物品基础表!$A:$A,MATCH(AX279,[1]物品基础表!$B:$B,0)),"")</f>
        <v/>
      </c>
      <c r="BB279" s="1" t="str">
        <f>IFERROR(INDEX([1]物品基础表!$A:$A,MATCH(BA279,[1]物品基础表!$B:$B,0)),"")</f>
        <v/>
      </c>
      <c r="BE279" s="1" t="str">
        <f>IFERROR(INDEX([1]物品基础表!$A:$A,MATCH(BD279,[1]物品基础表!$B:$B,0)),"")</f>
        <v/>
      </c>
      <c r="BH279" s="1" t="str">
        <f>IFERROR(INDEX([1]物品基础表!$A:$A,MATCH(BG279,[1]物品基础表!$B:$B,0)),"")</f>
        <v/>
      </c>
      <c r="BK279" s="1" t="str">
        <f>IFERROR(INDEX([1]物品基础表!$A:$A,MATCH(BJ279,[1]物品基础表!$B:$B,0)),"")</f>
        <v/>
      </c>
    </row>
    <row r="280" spans="1:63">
      <c r="A280" s="39" t="str">
        <f>INDEX([2]活动总表!$A$8:$A$429,MATCH(B280,[2]活动总表!$B$8:$B$429,0))</f>
        <v>元宵-福袋</v>
      </c>
      <c r="B280" s="40">
        <v>653</v>
      </c>
      <c r="C280" s="40">
        <v>21</v>
      </c>
      <c r="D280" s="40"/>
      <c r="E280" s="40"/>
      <c r="F280" s="40" t="s">
        <v>874</v>
      </c>
      <c r="G280" s="40">
        <v>2</v>
      </c>
      <c r="H280" s="40"/>
      <c r="I280" s="40"/>
      <c r="J280" s="57"/>
      <c r="K280" s="1">
        <v>200005</v>
      </c>
      <c r="L280" s="1" t="str">
        <f>IFERROR(INDEX([1]物品基础表!$A:$A,MATCH(K280,[1]物品基础表!$B:$B,0)),"")</f>
        <v>龙魂碎片</v>
      </c>
      <c r="M280" s="1">
        <v>5</v>
      </c>
      <c r="O280" s="1" t="str">
        <f>IFERROR(INDEX([1]物品基础表!$A:$A,MATCH(N280,[1]物品基础表!$B:$B,0)),"")</f>
        <v/>
      </c>
      <c r="R280" s="1" t="str">
        <f>IFERROR(INDEX([1]物品基础表!$A:$A,MATCH(Q280,[1]物品基础表!$B:$B,0)),"")</f>
        <v/>
      </c>
      <c r="U280" s="1" t="str">
        <f>IFERROR(INDEX([1]物品基础表!$A:$A,MATCH(T280,[1]物品基础表!$B:$B,0)),"")</f>
        <v/>
      </c>
      <c r="X280" s="1" t="str">
        <f>IFERROR(INDEX([1]物品基础表!$A:$A,MATCH(W280,[1]物品基础表!$B:$B,0)),"")</f>
        <v/>
      </c>
      <c r="AA280" s="1" t="str">
        <f>IFERROR(INDEX([1]物品基础表!$A:$A,MATCH(Z280,[1]物品基础表!$B:$B,0)),"")</f>
        <v/>
      </c>
      <c r="AD280" s="1" t="str">
        <f>IFERROR(INDEX([1]物品基础表!$A:$A,MATCH(AC280,[1]物品基础表!$B:$B,0)),"")</f>
        <v/>
      </c>
      <c r="AG280" s="1" t="str">
        <f>IFERROR(INDEX([1]物品基础表!$A:$A,MATCH(AF280,[1]物品基础表!$B:$B,0)),"")</f>
        <v/>
      </c>
      <c r="AJ280" s="1" t="str">
        <f>IFERROR(INDEX([1]物品基础表!$A:$A,MATCH(AI280,[1]物品基础表!$B:$B,0)),"")</f>
        <v/>
      </c>
      <c r="AM280" s="1" t="str">
        <f>IFERROR(INDEX([1]物品基础表!$A:$A,MATCH(AL280,[1]物品基础表!$B:$B,0)),"")</f>
        <v/>
      </c>
      <c r="AP280" s="1" t="str">
        <f>IFERROR(INDEX([1]物品基础表!$A:$A,MATCH(AO280,[1]物品基础表!$B:$B,0)),"")</f>
        <v/>
      </c>
      <c r="AS280" s="1" t="str">
        <f>IFERROR(INDEX([1]物品基础表!$A:$A,MATCH(AR280,[1]物品基础表!$B:$B,0)),"")</f>
        <v/>
      </c>
      <c r="AV280" s="1" t="str">
        <f>IFERROR(INDEX([1]物品基础表!$A:$A,MATCH(AU280,[1]物品基础表!$B:$B,0)),"")</f>
        <v/>
      </c>
      <c r="AY280" s="1" t="str">
        <f>IFERROR(INDEX([1]物品基础表!$A:$A,MATCH(AX280,[1]物品基础表!$B:$B,0)),"")</f>
        <v/>
      </c>
      <c r="BB280" s="1" t="str">
        <f>IFERROR(INDEX([1]物品基础表!$A:$A,MATCH(BA280,[1]物品基础表!$B:$B,0)),"")</f>
        <v/>
      </c>
      <c r="BE280" s="1" t="str">
        <f>IFERROR(INDEX([1]物品基础表!$A:$A,MATCH(BD280,[1]物品基础表!$B:$B,0)),"")</f>
        <v/>
      </c>
      <c r="BH280" s="1" t="str">
        <f>IFERROR(INDEX([1]物品基础表!$A:$A,MATCH(BG280,[1]物品基础表!$B:$B,0)),"")</f>
        <v/>
      </c>
      <c r="BK280" s="1" t="str">
        <f>IFERROR(INDEX([1]物品基础表!$A:$A,MATCH(BJ280,[1]物品基础表!$B:$B,0)),"")</f>
        <v/>
      </c>
    </row>
    <row r="281" spans="1:63">
      <c r="A281" s="39" t="str">
        <f>INDEX([2]活动总表!$A$8:$A$429,MATCH(B281,[2]活动总表!$B$8:$B$429,0))</f>
        <v>元宵-福袋</v>
      </c>
      <c r="B281" s="40">
        <v>653</v>
      </c>
      <c r="C281" s="40">
        <v>22</v>
      </c>
      <c r="D281" s="40"/>
      <c r="E281" s="40"/>
      <c r="F281" s="40" t="s">
        <v>874</v>
      </c>
      <c r="G281" s="40">
        <v>2</v>
      </c>
      <c r="H281" s="40"/>
      <c r="I281" s="40"/>
      <c r="J281" s="57"/>
      <c r="K281" s="1">
        <v>200005</v>
      </c>
      <c r="L281" s="1" t="str">
        <f>IFERROR(INDEX([1]物品基础表!$A:$A,MATCH(K281,[1]物品基础表!$B:$B,0)),"")</f>
        <v>龙魂碎片</v>
      </c>
      <c r="M281" s="1">
        <v>8</v>
      </c>
      <c r="O281" s="1" t="str">
        <f>IFERROR(INDEX([1]物品基础表!$A:$A,MATCH(N281,[1]物品基础表!$B:$B,0)),"")</f>
        <v/>
      </c>
      <c r="R281" s="1" t="str">
        <f>IFERROR(INDEX([1]物品基础表!$A:$A,MATCH(Q281,[1]物品基础表!$B:$B,0)),"")</f>
        <v/>
      </c>
      <c r="U281" s="1" t="str">
        <f>IFERROR(INDEX([1]物品基础表!$A:$A,MATCH(T281,[1]物品基础表!$B:$B,0)),"")</f>
        <v/>
      </c>
      <c r="X281" s="1" t="str">
        <f>IFERROR(INDEX([1]物品基础表!$A:$A,MATCH(W281,[1]物品基础表!$B:$B,0)),"")</f>
        <v/>
      </c>
      <c r="AA281" s="1" t="str">
        <f>IFERROR(INDEX([1]物品基础表!$A:$A,MATCH(Z281,[1]物品基础表!$B:$B,0)),"")</f>
        <v/>
      </c>
      <c r="AD281" s="1" t="str">
        <f>IFERROR(INDEX([1]物品基础表!$A:$A,MATCH(AC281,[1]物品基础表!$B:$B,0)),"")</f>
        <v/>
      </c>
      <c r="AG281" s="1" t="str">
        <f>IFERROR(INDEX([1]物品基础表!$A:$A,MATCH(AF281,[1]物品基础表!$B:$B,0)),"")</f>
        <v/>
      </c>
      <c r="AJ281" s="1" t="str">
        <f>IFERROR(INDEX([1]物品基础表!$A:$A,MATCH(AI281,[1]物品基础表!$B:$B,0)),"")</f>
        <v/>
      </c>
      <c r="AM281" s="1" t="str">
        <f>IFERROR(INDEX([1]物品基础表!$A:$A,MATCH(AL281,[1]物品基础表!$B:$B,0)),"")</f>
        <v/>
      </c>
      <c r="AP281" s="1" t="str">
        <f>IFERROR(INDEX([1]物品基础表!$A:$A,MATCH(AO281,[1]物品基础表!$B:$B,0)),"")</f>
        <v/>
      </c>
      <c r="AS281" s="1" t="str">
        <f>IFERROR(INDEX([1]物品基础表!$A:$A,MATCH(AR281,[1]物品基础表!$B:$B,0)),"")</f>
        <v/>
      </c>
      <c r="AV281" s="1" t="str">
        <f>IFERROR(INDEX([1]物品基础表!$A:$A,MATCH(AU281,[1]物品基础表!$B:$B,0)),"")</f>
        <v/>
      </c>
      <c r="AY281" s="1" t="str">
        <f>IFERROR(INDEX([1]物品基础表!$A:$A,MATCH(AX281,[1]物品基础表!$B:$B,0)),"")</f>
        <v/>
      </c>
      <c r="BB281" s="1" t="str">
        <f>IFERROR(INDEX([1]物品基础表!$A:$A,MATCH(BA281,[1]物品基础表!$B:$B,0)),"")</f>
        <v/>
      </c>
      <c r="BE281" s="1" t="str">
        <f>IFERROR(INDEX([1]物品基础表!$A:$A,MATCH(BD281,[1]物品基础表!$B:$B,0)),"")</f>
        <v/>
      </c>
      <c r="BH281" s="1" t="str">
        <f>IFERROR(INDEX([1]物品基础表!$A:$A,MATCH(BG281,[1]物品基础表!$B:$B,0)),"")</f>
        <v/>
      </c>
      <c r="BK281" s="1" t="str">
        <f>IFERROR(INDEX([1]物品基础表!$A:$A,MATCH(BJ281,[1]物品基础表!$B:$B,0)),"")</f>
        <v/>
      </c>
    </row>
    <row r="282" spans="1:63">
      <c r="A282" s="39" t="str">
        <f>INDEX([2]活动总表!$A$8:$A$429,MATCH(B282,[2]活动总表!$B$8:$B$429,0))</f>
        <v>元宵-福袋</v>
      </c>
      <c r="B282" s="40">
        <v>653</v>
      </c>
      <c r="C282" s="40">
        <v>23</v>
      </c>
      <c r="D282" s="40"/>
      <c r="E282" s="40"/>
      <c r="F282" s="40" t="s">
        <v>876</v>
      </c>
      <c r="G282" s="40">
        <v>2</v>
      </c>
      <c r="H282" s="40"/>
      <c r="I282" s="40"/>
      <c r="J282" s="57"/>
      <c r="K282" s="1">
        <v>200005</v>
      </c>
      <c r="L282" s="1" t="str">
        <f>IFERROR(INDEX([1]物品基础表!$A:$A,MATCH(K282,[1]物品基础表!$B:$B,0)),"")</f>
        <v>龙魂碎片</v>
      </c>
      <c r="M282" s="1">
        <v>10</v>
      </c>
      <c r="O282" s="1" t="str">
        <f>IFERROR(INDEX([1]物品基础表!$A:$A,MATCH(N282,[1]物品基础表!$B:$B,0)),"")</f>
        <v/>
      </c>
      <c r="R282" s="1" t="str">
        <f>IFERROR(INDEX([1]物品基础表!$A:$A,MATCH(Q282,[1]物品基础表!$B:$B,0)),"")</f>
        <v/>
      </c>
      <c r="U282" s="1" t="str">
        <f>IFERROR(INDEX([1]物品基础表!$A:$A,MATCH(T282,[1]物品基础表!$B:$B,0)),"")</f>
        <v/>
      </c>
      <c r="X282" s="1" t="str">
        <f>IFERROR(INDEX([1]物品基础表!$A:$A,MATCH(W282,[1]物品基础表!$B:$B,0)),"")</f>
        <v/>
      </c>
      <c r="AA282" s="1" t="str">
        <f>IFERROR(INDEX([1]物品基础表!$A:$A,MATCH(Z282,[1]物品基础表!$B:$B,0)),"")</f>
        <v/>
      </c>
      <c r="AD282" s="1" t="str">
        <f>IFERROR(INDEX([1]物品基础表!$A:$A,MATCH(AC282,[1]物品基础表!$B:$B,0)),"")</f>
        <v/>
      </c>
      <c r="AG282" s="1" t="str">
        <f>IFERROR(INDEX([1]物品基础表!$A:$A,MATCH(AF282,[1]物品基础表!$B:$B,0)),"")</f>
        <v/>
      </c>
      <c r="AJ282" s="1" t="str">
        <f>IFERROR(INDEX([1]物品基础表!$A:$A,MATCH(AI282,[1]物品基础表!$B:$B,0)),"")</f>
        <v/>
      </c>
      <c r="AM282" s="1" t="str">
        <f>IFERROR(INDEX([1]物品基础表!$A:$A,MATCH(AL282,[1]物品基础表!$B:$B,0)),"")</f>
        <v/>
      </c>
      <c r="AP282" s="1" t="str">
        <f>IFERROR(INDEX([1]物品基础表!$A:$A,MATCH(AO282,[1]物品基础表!$B:$B,0)),"")</f>
        <v/>
      </c>
      <c r="AS282" s="1" t="str">
        <f>IFERROR(INDEX([1]物品基础表!$A:$A,MATCH(AR282,[1]物品基础表!$B:$B,0)),"")</f>
        <v/>
      </c>
      <c r="AV282" s="1" t="str">
        <f>IFERROR(INDEX([1]物品基础表!$A:$A,MATCH(AU282,[1]物品基础表!$B:$B,0)),"")</f>
        <v/>
      </c>
      <c r="AY282" s="1" t="str">
        <f>IFERROR(INDEX([1]物品基础表!$A:$A,MATCH(AX282,[1]物品基础表!$B:$B,0)),"")</f>
        <v/>
      </c>
      <c r="BB282" s="1" t="str">
        <f>IFERROR(INDEX([1]物品基础表!$A:$A,MATCH(BA282,[1]物品基础表!$B:$B,0)),"")</f>
        <v/>
      </c>
      <c r="BE282" s="1" t="str">
        <f>IFERROR(INDEX([1]物品基础表!$A:$A,MATCH(BD282,[1]物品基础表!$B:$B,0)),"")</f>
        <v/>
      </c>
      <c r="BH282" s="1" t="str">
        <f>IFERROR(INDEX([1]物品基础表!$A:$A,MATCH(BG282,[1]物品基础表!$B:$B,0)),"")</f>
        <v/>
      </c>
      <c r="BK282" s="1" t="str">
        <f>IFERROR(INDEX([1]物品基础表!$A:$A,MATCH(BJ282,[1]物品基础表!$B:$B,0)),"")</f>
        <v/>
      </c>
    </row>
    <row r="283" spans="1:63">
      <c r="A283" s="39" t="str">
        <f>INDEX([2]活动总表!$A$8:$A$429,MATCH(B283,[2]活动总表!$B$8:$B$429,0))</f>
        <v>元宵-福袋</v>
      </c>
      <c r="B283" s="40">
        <v>653</v>
      </c>
      <c r="C283" s="40">
        <v>24</v>
      </c>
      <c r="D283" s="40"/>
      <c r="E283" s="40"/>
      <c r="F283" s="40" t="s">
        <v>877</v>
      </c>
      <c r="G283" s="40">
        <v>2</v>
      </c>
      <c r="H283" s="40"/>
      <c r="I283" s="40"/>
      <c r="J283" s="57"/>
      <c r="K283" s="1">
        <v>200005</v>
      </c>
      <c r="L283" s="1" t="str">
        <f>IFERROR(INDEX([1]物品基础表!$A:$A,MATCH(K283,[1]物品基础表!$B:$B,0)),"")</f>
        <v>龙魂碎片</v>
      </c>
      <c r="M283" s="1">
        <v>15</v>
      </c>
      <c r="O283" s="1" t="str">
        <f>IFERROR(INDEX([1]物品基础表!$A:$A,MATCH(N283,[1]物品基础表!$B:$B,0)),"")</f>
        <v/>
      </c>
      <c r="R283" s="1" t="str">
        <f>IFERROR(INDEX([1]物品基础表!$A:$A,MATCH(Q283,[1]物品基础表!$B:$B,0)),"")</f>
        <v/>
      </c>
      <c r="U283" s="1" t="str">
        <f>IFERROR(INDEX([1]物品基础表!$A:$A,MATCH(T283,[1]物品基础表!$B:$B,0)),"")</f>
        <v/>
      </c>
      <c r="X283" s="1" t="str">
        <f>IFERROR(INDEX([1]物品基础表!$A:$A,MATCH(W283,[1]物品基础表!$B:$B,0)),"")</f>
        <v/>
      </c>
      <c r="AA283" s="1" t="str">
        <f>IFERROR(INDEX([1]物品基础表!$A:$A,MATCH(Z283,[1]物品基础表!$B:$B,0)),"")</f>
        <v/>
      </c>
      <c r="AD283" s="1" t="str">
        <f>IFERROR(INDEX([1]物品基础表!$A:$A,MATCH(AC283,[1]物品基础表!$B:$B,0)),"")</f>
        <v/>
      </c>
      <c r="AG283" s="1" t="str">
        <f>IFERROR(INDEX([1]物品基础表!$A:$A,MATCH(AF283,[1]物品基础表!$B:$B,0)),"")</f>
        <v/>
      </c>
      <c r="AJ283" s="1" t="str">
        <f>IFERROR(INDEX([1]物品基础表!$A:$A,MATCH(AI283,[1]物品基础表!$B:$B,0)),"")</f>
        <v/>
      </c>
      <c r="AM283" s="1" t="str">
        <f>IFERROR(INDEX([1]物品基础表!$A:$A,MATCH(AL283,[1]物品基础表!$B:$B,0)),"")</f>
        <v/>
      </c>
      <c r="AP283" s="1" t="str">
        <f>IFERROR(INDEX([1]物品基础表!$A:$A,MATCH(AO283,[1]物品基础表!$B:$B,0)),"")</f>
        <v/>
      </c>
      <c r="AS283" s="1" t="str">
        <f>IFERROR(INDEX([1]物品基础表!$A:$A,MATCH(AR283,[1]物品基础表!$B:$B,0)),"")</f>
        <v/>
      </c>
      <c r="AV283" s="1" t="str">
        <f>IFERROR(INDEX([1]物品基础表!$A:$A,MATCH(AU283,[1]物品基础表!$B:$B,0)),"")</f>
        <v/>
      </c>
      <c r="AY283" s="1" t="str">
        <f>IFERROR(INDEX([1]物品基础表!$A:$A,MATCH(AX283,[1]物品基础表!$B:$B,0)),"")</f>
        <v/>
      </c>
      <c r="BB283" s="1" t="str">
        <f>IFERROR(INDEX([1]物品基础表!$A:$A,MATCH(BA283,[1]物品基础表!$B:$B,0)),"")</f>
        <v/>
      </c>
      <c r="BE283" s="1" t="str">
        <f>IFERROR(INDEX([1]物品基础表!$A:$A,MATCH(BD283,[1]物品基础表!$B:$B,0)),"")</f>
        <v/>
      </c>
      <c r="BH283" s="1" t="str">
        <f>IFERROR(INDEX([1]物品基础表!$A:$A,MATCH(BG283,[1]物品基础表!$B:$B,0)),"")</f>
        <v/>
      </c>
      <c r="BK283" s="1" t="str">
        <f>IFERROR(INDEX([1]物品基础表!$A:$A,MATCH(BJ283,[1]物品基础表!$B:$B,0)),"")</f>
        <v/>
      </c>
    </row>
    <row r="284" spans="1:63">
      <c r="A284" s="39" t="str">
        <f>INDEX([2]活动总表!$A$8:$A$429,MATCH(B284,[2]活动总表!$B$8:$B$429,0))</f>
        <v>元宵-福袋</v>
      </c>
      <c r="B284" s="40">
        <v>653</v>
      </c>
      <c r="C284" s="40">
        <v>25</v>
      </c>
      <c r="D284" s="40"/>
      <c r="E284" s="40"/>
      <c r="F284" s="40" t="s">
        <v>874</v>
      </c>
      <c r="G284" s="40">
        <v>2</v>
      </c>
      <c r="H284" s="40"/>
      <c r="I284" s="40"/>
      <c r="J284" s="57"/>
      <c r="K284" s="1">
        <v>200167</v>
      </c>
      <c r="L284" s="1" t="str">
        <f>IFERROR(INDEX([1]物品基础表!$A:$A,MATCH(K284,[1]物品基础表!$B:$B,0)),"")</f>
        <v>黑铁</v>
      </c>
      <c r="M284" s="1">
        <v>200</v>
      </c>
      <c r="O284" s="1" t="str">
        <f>IFERROR(INDEX([1]物品基础表!$A:$A,MATCH(N284,[1]物品基础表!$B:$B,0)),"")</f>
        <v/>
      </c>
      <c r="R284" s="1" t="str">
        <f>IFERROR(INDEX([1]物品基础表!$A:$A,MATCH(Q284,[1]物品基础表!$B:$B,0)),"")</f>
        <v/>
      </c>
      <c r="U284" s="1" t="str">
        <f>IFERROR(INDEX([1]物品基础表!$A:$A,MATCH(T284,[1]物品基础表!$B:$B,0)),"")</f>
        <v/>
      </c>
      <c r="X284" s="1" t="str">
        <f>IFERROR(INDEX([1]物品基础表!$A:$A,MATCH(W284,[1]物品基础表!$B:$B,0)),"")</f>
        <v/>
      </c>
      <c r="AA284" s="1" t="str">
        <f>IFERROR(INDEX([1]物品基础表!$A:$A,MATCH(Z284,[1]物品基础表!$B:$B,0)),"")</f>
        <v/>
      </c>
      <c r="AD284" s="1" t="str">
        <f>IFERROR(INDEX([1]物品基础表!$A:$A,MATCH(AC284,[1]物品基础表!$B:$B,0)),"")</f>
        <v/>
      </c>
      <c r="AG284" s="1" t="str">
        <f>IFERROR(INDEX([1]物品基础表!$A:$A,MATCH(AF284,[1]物品基础表!$B:$B,0)),"")</f>
        <v/>
      </c>
      <c r="AJ284" s="1" t="str">
        <f>IFERROR(INDEX([1]物品基础表!$A:$A,MATCH(AI284,[1]物品基础表!$B:$B,0)),"")</f>
        <v/>
      </c>
      <c r="AM284" s="1" t="str">
        <f>IFERROR(INDEX([1]物品基础表!$A:$A,MATCH(AL284,[1]物品基础表!$B:$B,0)),"")</f>
        <v/>
      </c>
      <c r="AP284" s="1" t="str">
        <f>IFERROR(INDEX([1]物品基础表!$A:$A,MATCH(AO284,[1]物品基础表!$B:$B,0)),"")</f>
        <v/>
      </c>
      <c r="AS284" s="1" t="str">
        <f>IFERROR(INDEX([1]物品基础表!$A:$A,MATCH(AR284,[1]物品基础表!$B:$B,0)),"")</f>
        <v/>
      </c>
      <c r="AV284" s="1" t="str">
        <f>IFERROR(INDEX([1]物品基础表!$A:$A,MATCH(AU284,[1]物品基础表!$B:$B,0)),"")</f>
        <v/>
      </c>
      <c r="AY284" s="1" t="str">
        <f>IFERROR(INDEX([1]物品基础表!$A:$A,MATCH(AX284,[1]物品基础表!$B:$B,0)),"")</f>
        <v/>
      </c>
      <c r="BB284" s="1" t="str">
        <f>IFERROR(INDEX([1]物品基础表!$A:$A,MATCH(BA284,[1]物品基础表!$B:$B,0)),"")</f>
        <v/>
      </c>
      <c r="BE284" s="1" t="str">
        <f>IFERROR(INDEX([1]物品基础表!$A:$A,MATCH(BD284,[1]物品基础表!$B:$B,0)),"")</f>
        <v/>
      </c>
      <c r="BH284" s="1" t="str">
        <f>IFERROR(INDEX([1]物品基础表!$A:$A,MATCH(BG284,[1]物品基础表!$B:$B,0)),"")</f>
        <v/>
      </c>
      <c r="BK284" s="1" t="str">
        <f>IFERROR(INDEX([1]物品基础表!$A:$A,MATCH(BJ284,[1]物品基础表!$B:$B,0)),"")</f>
        <v/>
      </c>
    </row>
    <row r="285" spans="1:63">
      <c r="A285" s="39" t="str">
        <f>INDEX([2]活动总表!$A$8:$A$429,MATCH(B285,[2]活动总表!$B$8:$B$429,0))</f>
        <v>元宵-福袋</v>
      </c>
      <c r="B285" s="40">
        <v>653</v>
      </c>
      <c r="C285" s="40">
        <v>26</v>
      </c>
      <c r="D285" s="40"/>
      <c r="E285" s="40"/>
      <c r="F285" s="40" t="s">
        <v>878</v>
      </c>
      <c r="G285" s="40">
        <v>2</v>
      </c>
      <c r="H285" s="40"/>
      <c r="I285" s="40"/>
      <c r="J285" s="57"/>
      <c r="K285" s="1">
        <v>200167</v>
      </c>
      <c r="L285" s="1" t="str">
        <f>IFERROR(INDEX([1]物品基础表!$A:$A,MATCH(K285,[1]物品基础表!$B:$B,0)),"")</f>
        <v>黑铁</v>
      </c>
      <c r="M285" s="1">
        <v>500</v>
      </c>
      <c r="O285" s="1" t="str">
        <f>IFERROR(INDEX([1]物品基础表!$A:$A,MATCH(N285,[1]物品基础表!$B:$B,0)),"")</f>
        <v/>
      </c>
      <c r="R285" s="1" t="str">
        <f>IFERROR(INDEX([1]物品基础表!$A:$A,MATCH(Q285,[1]物品基础表!$B:$B,0)),"")</f>
        <v/>
      </c>
      <c r="U285" s="1" t="str">
        <f>IFERROR(INDEX([1]物品基础表!$A:$A,MATCH(T285,[1]物品基础表!$B:$B,0)),"")</f>
        <v/>
      </c>
      <c r="X285" s="1" t="str">
        <f>IFERROR(INDEX([1]物品基础表!$A:$A,MATCH(W285,[1]物品基础表!$B:$B,0)),"")</f>
        <v/>
      </c>
      <c r="AA285" s="1" t="str">
        <f>IFERROR(INDEX([1]物品基础表!$A:$A,MATCH(Z285,[1]物品基础表!$B:$B,0)),"")</f>
        <v/>
      </c>
      <c r="AD285" s="1" t="str">
        <f>IFERROR(INDEX([1]物品基础表!$A:$A,MATCH(AC285,[1]物品基础表!$B:$B,0)),"")</f>
        <v/>
      </c>
      <c r="AG285" s="1" t="str">
        <f>IFERROR(INDEX([1]物品基础表!$A:$A,MATCH(AF285,[1]物品基础表!$B:$B,0)),"")</f>
        <v/>
      </c>
      <c r="AJ285" s="1" t="str">
        <f>IFERROR(INDEX([1]物品基础表!$A:$A,MATCH(AI285,[1]物品基础表!$B:$B,0)),"")</f>
        <v/>
      </c>
      <c r="AM285" s="1" t="str">
        <f>IFERROR(INDEX([1]物品基础表!$A:$A,MATCH(AL285,[1]物品基础表!$B:$B,0)),"")</f>
        <v/>
      </c>
      <c r="AP285" s="1" t="str">
        <f>IFERROR(INDEX([1]物品基础表!$A:$A,MATCH(AO285,[1]物品基础表!$B:$B,0)),"")</f>
        <v/>
      </c>
      <c r="AS285" s="1" t="str">
        <f>IFERROR(INDEX([1]物品基础表!$A:$A,MATCH(AR285,[1]物品基础表!$B:$B,0)),"")</f>
        <v/>
      </c>
      <c r="AV285" s="1" t="str">
        <f>IFERROR(INDEX([1]物品基础表!$A:$A,MATCH(AU285,[1]物品基础表!$B:$B,0)),"")</f>
        <v/>
      </c>
      <c r="AY285" s="1" t="str">
        <f>IFERROR(INDEX([1]物品基础表!$A:$A,MATCH(AX285,[1]物品基础表!$B:$B,0)),"")</f>
        <v/>
      </c>
      <c r="BB285" s="1" t="str">
        <f>IFERROR(INDEX([1]物品基础表!$A:$A,MATCH(BA285,[1]物品基础表!$B:$B,0)),"")</f>
        <v/>
      </c>
      <c r="BE285" s="1" t="str">
        <f>IFERROR(INDEX([1]物品基础表!$A:$A,MATCH(BD285,[1]物品基础表!$B:$B,0)),"")</f>
        <v/>
      </c>
      <c r="BH285" s="1" t="str">
        <f>IFERROR(INDEX([1]物品基础表!$A:$A,MATCH(BG285,[1]物品基础表!$B:$B,0)),"")</f>
        <v/>
      </c>
      <c r="BK285" s="1" t="str">
        <f>IFERROR(INDEX([1]物品基础表!$A:$A,MATCH(BJ285,[1]物品基础表!$B:$B,0)),"")</f>
        <v/>
      </c>
    </row>
    <row r="286" spans="1:63">
      <c r="A286" s="39" t="str">
        <f>INDEX([2]活动总表!$A$8:$A$429,MATCH(B286,[2]活动总表!$B$8:$B$429,0))</f>
        <v>元宵-福袋</v>
      </c>
      <c r="B286" s="40">
        <v>653</v>
      </c>
      <c r="C286" s="40">
        <v>27</v>
      </c>
      <c r="D286" s="40"/>
      <c r="E286" s="40"/>
      <c r="F286" s="40" t="s">
        <v>879</v>
      </c>
      <c r="G286" s="40">
        <v>2</v>
      </c>
      <c r="H286" s="40"/>
      <c r="I286" s="40"/>
      <c r="J286" s="57"/>
      <c r="K286" s="1">
        <v>200167</v>
      </c>
      <c r="L286" s="1" t="str">
        <f>IFERROR(INDEX([1]物品基础表!$A:$A,MATCH(K286,[1]物品基础表!$B:$B,0)),"")</f>
        <v>黑铁</v>
      </c>
      <c r="M286" s="1">
        <v>1000</v>
      </c>
      <c r="O286" s="1" t="str">
        <f>IFERROR(INDEX([1]物品基础表!$A:$A,MATCH(N286,[1]物品基础表!$B:$B,0)),"")</f>
        <v/>
      </c>
      <c r="R286" s="1" t="str">
        <f>IFERROR(INDEX([1]物品基础表!$A:$A,MATCH(Q286,[1]物品基础表!$B:$B,0)),"")</f>
        <v/>
      </c>
      <c r="U286" s="1" t="str">
        <f>IFERROR(INDEX([1]物品基础表!$A:$A,MATCH(T286,[1]物品基础表!$B:$B,0)),"")</f>
        <v/>
      </c>
      <c r="X286" s="1" t="str">
        <f>IFERROR(INDEX([1]物品基础表!$A:$A,MATCH(W286,[1]物品基础表!$B:$B,0)),"")</f>
        <v/>
      </c>
      <c r="AA286" s="1" t="str">
        <f>IFERROR(INDEX([1]物品基础表!$A:$A,MATCH(Z286,[1]物品基础表!$B:$B,0)),"")</f>
        <v/>
      </c>
      <c r="AD286" s="1" t="str">
        <f>IFERROR(INDEX([1]物品基础表!$A:$A,MATCH(AC286,[1]物品基础表!$B:$B,0)),"")</f>
        <v/>
      </c>
      <c r="AG286" s="1" t="str">
        <f>IFERROR(INDEX([1]物品基础表!$A:$A,MATCH(AF286,[1]物品基础表!$B:$B,0)),"")</f>
        <v/>
      </c>
      <c r="AJ286" s="1" t="str">
        <f>IFERROR(INDEX([1]物品基础表!$A:$A,MATCH(AI286,[1]物品基础表!$B:$B,0)),"")</f>
        <v/>
      </c>
      <c r="AM286" s="1" t="str">
        <f>IFERROR(INDEX([1]物品基础表!$A:$A,MATCH(AL286,[1]物品基础表!$B:$B,0)),"")</f>
        <v/>
      </c>
      <c r="AP286" s="1" t="str">
        <f>IFERROR(INDEX([1]物品基础表!$A:$A,MATCH(AO286,[1]物品基础表!$B:$B,0)),"")</f>
        <v/>
      </c>
      <c r="AS286" s="1" t="str">
        <f>IFERROR(INDEX([1]物品基础表!$A:$A,MATCH(AR286,[1]物品基础表!$B:$B,0)),"")</f>
        <v/>
      </c>
      <c r="AV286" s="1" t="str">
        <f>IFERROR(INDEX([1]物品基础表!$A:$A,MATCH(AU286,[1]物品基础表!$B:$B,0)),"")</f>
        <v/>
      </c>
      <c r="AY286" s="1" t="str">
        <f>IFERROR(INDEX([1]物品基础表!$A:$A,MATCH(AX286,[1]物品基础表!$B:$B,0)),"")</f>
        <v/>
      </c>
      <c r="BB286" s="1" t="str">
        <f>IFERROR(INDEX([1]物品基础表!$A:$A,MATCH(BA286,[1]物品基础表!$B:$B,0)),"")</f>
        <v/>
      </c>
      <c r="BE286" s="1" t="str">
        <f>IFERROR(INDEX([1]物品基础表!$A:$A,MATCH(BD286,[1]物品基础表!$B:$B,0)),"")</f>
        <v/>
      </c>
      <c r="BH286" s="1" t="str">
        <f>IFERROR(INDEX([1]物品基础表!$A:$A,MATCH(BG286,[1]物品基础表!$B:$B,0)),"")</f>
        <v/>
      </c>
      <c r="BK286" s="1" t="str">
        <f>IFERROR(INDEX([1]物品基础表!$A:$A,MATCH(BJ286,[1]物品基础表!$B:$B,0)),"")</f>
        <v/>
      </c>
    </row>
    <row r="287" spans="1:63">
      <c r="A287" s="39" t="str">
        <f>INDEX([2]活动总表!$A$8:$A$429,MATCH(B287,[2]活动总表!$B$8:$B$429,0))</f>
        <v>元宵-福袋</v>
      </c>
      <c r="B287" s="40">
        <v>653</v>
      </c>
      <c r="C287" s="40">
        <v>28</v>
      </c>
      <c r="D287" s="40"/>
      <c r="E287" s="40"/>
      <c r="F287" s="40" t="s">
        <v>874</v>
      </c>
      <c r="G287" s="40">
        <v>2</v>
      </c>
      <c r="H287" s="40"/>
      <c r="I287" s="40"/>
      <c r="J287" s="57"/>
      <c r="K287" s="1">
        <v>200015</v>
      </c>
      <c r="L287" s="1" t="str">
        <f>IFERROR(INDEX([1]物品基础表!$A:$A,MATCH(K287,[1]物品基础表!$B:$B,0)),"")</f>
        <v>特戒碎片</v>
      </c>
      <c r="M287" s="1">
        <v>50</v>
      </c>
      <c r="O287" s="1" t="str">
        <f>IFERROR(INDEX([1]物品基础表!$A:$A,MATCH(N287,[1]物品基础表!$B:$B,0)),"")</f>
        <v/>
      </c>
      <c r="R287" s="1" t="str">
        <f>IFERROR(INDEX([1]物品基础表!$A:$A,MATCH(Q287,[1]物品基础表!$B:$B,0)),"")</f>
        <v/>
      </c>
      <c r="U287" s="1" t="str">
        <f>IFERROR(INDEX([1]物品基础表!$A:$A,MATCH(T287,[1]物品基础表!$B:$B,0)),"")</f>
        <v/>
      </c>
      <c r="X287" s="1" t="str">
        <f>IFERROR(INDEX([1]物品基础表!$A:$A,MATCH(W287,[1]物品基础表!$B:$B,0)),"")</f>
        <v/>
      </c>
      <c r="AA287" s="1" t="str">
        <f>IFERROR(INDEX([1]物品基础表!$A:$A,MATCH(Z287,[1]物品基础表!$B:$B,0)),"")</f>
        <v/>
      </c>
      <c r="AD287" s="1" t="str">
        <f>IFERROR(INDEX([1]物品基础表!$A:$A,MATCH(AC287,[1]物品基础表!$B:$B,0)),"")</f>
        <v/>
      </c>
      <c r="AG287" s="1" t="str">
        <f>IFERROR(INDEX([1]物品基础表!$A:$A,MATCH(AF287,[1]物品基础表!$B:$B,0)),"")</f>
        <v/>
      </c>
      <c r="AJ287" s="1" t="str">
        <f>IFERROR(INDEX([1]物品基础表!$A:$A,MATCH(AI287,[1]物品基础表!$B:$B,0)),"")</f>
        <v/>
      </c>
      <c r="AM287" s="1" t="str">
        <f>IFERROR(INDEX([1]物品基础表!$A:$A,MATCH(AL287,[1]物品基础表!$B:$B,0)),"")</f>
        <v/>
      </c>
      <c r="AP287" s="1" t="str">
        <f>IFERROR(INDEX([1]物品基础表!$A:$A,MATCH(AO287,[1]物品基础表!$B:$B,0)),"")</f>
        <v/>
      </c>
      <c r="AS287" s="1" t="str">
        <f>IFERROR(INDEX([1]物品基础表!$A:$A,MATCH(AR287,[1]物品基础表!$B:$B,0)),"")</f>
        <v/>
      </c>
      <c r="AV287" s="1" t="str">
        <f>IFERROR(INDEX([1]物品基础表!$A:$A,MATCH(AU287,[1]物品基础表!$B:$B,0)),"")</f>
        <v/>
      </c>
      <c r="AY287" s="1" t="str">
        <f>IFERROR(INDEX([1]物品基础表!$A:$A,MATCH(AX287,[1]物品基础表!$B:$B,0)),"")</f>
        <v/>
      </c>
      <c r="BB287" s="1" t="str">
        <f>IFERROR(INDEX([1]物品基础表!$A:$A,MATCH(BA287,[1]物品基础表!$B:$B,0)),"")</f>
        <v/>
      </c>
      <c r="BE287" s="1" t="str">
        <f>IFERROR(INDEX([1]物品基础表!$A:$A,MATCH(BD287,[1]物品基础表!$B:$B,0)),"")</f>
        <v/>
      </c>
      <c r="BH287" s="1" t="str">
        <f>IFERROR(INDEX([1]物品基础表!$A:$A,MATCH(BG287,[1]物品基础表!$B:$B,0)),"")</f>
        <v/>
      </c>
      <c r="BK287" s="1" t="str">
        <f>IFERROR(INDEX([1]物品基础表!$A:$A,MATCH(BJ287,[1]物品基础表!$B:$B,0)),"")</f>
        <v/>
      </c>
    </row>
    <row r="288" spans="1:63">
      <c r="A288" s="39" t="str">
        <f>INDEX([2]活动总表!$A$8:$A$429,MATCH(B288,[2]活动总表!$B$8:$B$429,0))</f>
        <v>元宵-福袋</v>
      </c>
      <c r="B288" s="40">
        <v>653</v>
      </c>
      <c r="C288" s="40">
        <v>29</v>
      </c>
      <c r="D288" s="40"/>
      <c r="E288" s="40"/>
      <c r="F288" s="40" t="s">
        <v>874</v>
      </c>
      <c r="G288" s="40">
        <v>2</v>
      </c>
      <c r="H288" s="40"/>
      <c r="I288" s="40"/>
      <c r="J288" s="57"/>
      <c r="K288" s="1">
        <v>200015</v>
      </c>
      <c r="L288" s="1" t="str">
        <f>IFERROR(INDEX([1]物品基础表!$A:$A,MATCH(K288,[1]物品基础表!$B:$B,0)),"")</f>
        <v>特戒碎片</v>
      </c>
      <c r="M288" s="1">
        <v>80</v>
      </c>
      <c r="O288" s="1" t="str">
        <f>IFERROR(INDEX([1]物品基础表!$A:$A,MATCH(N288,[1]物品基础表!$B:$B,0)),"")</f>
        <v/>
      </c>
      <c r="R288" s="1" t="str">
        <f>IFERROR(INDEX([1]物品基础表!$A:$A,MATCH(Q288,[1]物品基础表!$B:$B,0)),"")</f>
        <v/>
      </c>
      <c r="U288" s="1" t="str">
        <f>IFERROR(INDEX([1]物品基础表!$A:$A,MATCH(T288,[1]物品基础表!$B:$B,0)),"")</f>
        <v/>
      </c>
      <c r="X288" s="1" t="str">
        <f>IFERROR(INDEX([1]物品基础表!$A:$A,MATCH(W288,[1]物品基础表!$B:$B,0)),"")</f>
        <v/>
      </c>
      <c r="AA288" s="1" t="str">
        <f>IFERROR(INDEX([1]物品基础表!$A:$A,MATCH(Z288,[1]物品基础表!$B:$B,0)),"")</f>
        <v/>
      </c>
      <c r="AD288" s="1" t="str">
        <f>IFERROR(INDEX([1]物品基础表!$A:$A,MATCH(AC288,[1]物品基础表!$B:$B,0)),"")</f>
        <v/>
      </c>
      <c r="AG288" s="1" t="str">
        <f>IFERROR(INDEX([1]物品基础表!$A:$A,MATCH(AF288,[1]物品基础表!$B:$B,0)),"")</f>
        <v/>
      </c>
      <c r="AJ288" s="1" t="str">
        <f>IFERROR(INDEX([1]物品基础表!$A:$A,MATCH(AI288,[1]物品基础表!$B:$B,0)),"")</f>
        <v/>
      </c>
      <c r="AM288" s="1" t="str">
        <f>IFERROR(INDEX([1]物品基础表!$A:$A,MATCH(AL288,[1]物品基础表!$B:$B,0)),"")</f>
        <v/>
      </c>
      <c r="AP288" s="1" t="str">
        <f>IFERROR(INDEX([1]物品基础表!$A:$A,MATCH(AO288,[1]物品基础表!$B:$B,0)),"")</f>
        <v/>
      </c>
      <c r="AS288" s="1" t="str">
        <f>IFERROR(INDEX([1]物品基础表!$A:$A,MATCH(AR288,[1]物品基础表!$B:$B,0)),"")</f>
        <v/>
      </c>
      <c r="AV288" s="1" t="str">
        <f>IFERROR(INDEX([1]物品基础表!$A:$A,MATCH(AU288,[1]物品基础表!$B:$B,0)),"")</f>
        <v/>
      </c>
      <c r="AY288" s="1" t="str">
        <f>IFERROR(INDEX([1]物品基础表!$A:$A,MATCH(AX288,[1]物品基础表!$B:$B,0)),"")</f>
        <v/>
      </c>
      <c r="BB288" s="1" t="str">
        <f>IFERROR(INDEX([1]物品基础表!$A:$A,MATCH(BA288,[1]物品基础表!$B:$B,0)),"")</f>
        <v/>
      </c>
      <c r="BE288" s="1" t="str">
        <f>IFERROR(INDEX([1]物品基础表!$A:$A,MATCH(BD288,[1]物品基础表!$B:$B,0)),"")</f>
        <v/>
      </c>
      <c r="BH288" s="1" t="str">
        <f>IFERROR(INDEX([1]物品基础表!$A:$A,MATCH(BG288,[1]物品基础表!$B:$B,0)),"")</f>
        <v/>
      </c>
      <c r="BK288" s="1" t="str">
        <f>IFERROR(INDEX([1]物品基础表!$A:$A,MATCH(BJ288,[1]物品基础表!$B:$B,0)),"")</f>
        <v/>
      </c>
    </row>
    <row r="289" spans="1:64">
      <c r="A289" s="39" t="str">
        <f>INDEX([2]活动总表!$A$8:$A$429,MATCH(B289,[2]活动总表!$B$8:$B$429,0))</f>
        <v>元宵-福袋</v>
      </c>
      <c r="B289" s="40">
        <v>653</v>
      </c>
      <c r="C289" s="40">
        <v>30</v>
      </c>
      <c r="D289" s="40"/>
      <c r="E289" s="40"/>
      <c r="F289" s="40" t="s">
        <v>880</v>
      </c>
      <c r="G289" s="40">
        <v>2</v>
      </c>
      <c r="H289" s="40"/>
      <c r="I289" s="40"/>
      <c r="J289" s="57"/>
      <c r="K289" s="1">
        <v>200015</v>
      </c>
      <c r="L289" s="1" t="str">
        <f>IFERROR(INDEX([1]物品基础表!$A:$A,MATCH(K289,[1]物品基础表!$B:$B,0)),"")</f>
        <v>特戒碎片</v>
      </c>
      <c r="M289" s="1">
        <v>100</v>
      </c>
      <c r="O289" s="1" t="str">
        <f>IFERROR(INDEX([1]物品基础表!$A:$A,MATCH(N289,[1]物品基础表!$B:$B,0)),"")</f>
        <v/>
      </c>
      <c r="R289" s="1" t="str">
        <f>IFERROR(INDEX([1]物品基础表!$A:$A,MATCH(Q289,[1]物品基础表!$B:$B,0)),"")</f>
        <v/>
      </c>
      <c r="U289" s="1" t="str">
        <f>IFERROR(INDEX([1]物品基础表!$A:$A,MATCH(T289,[1]物品基础表!$B:$B,0)),"")</f>
        <v/>
      </c>
      <c r="X289" s="1" t="str">
        <f>IFERROR(INDEX([1]物品基础表!$A:$A,MATCH(W289,[1]物品基础表!$B:$B,0)),"")</f>
        <v/>
      </c>
      <c r="AA289" s="1" t="str">
        <f>IFERROR(INDEX([1]物品基础表!$A:$A,MATCH(Z289,[1]物品基础表!$B:$B,0)),"")</f>
        <v/>
      </c>
      <c r="AD289" s="1" t="str">
        <f>IFERROR(INDEX([1]物品基础表!$A:$A,MATCH(AC289,[1]物品基础表!$B:$B,0)),"")</f>
        <v/>
      </c>
      <c r="AG289" s="1" t="str">
        <f>IFERROR(INDEX([1]物品基础表!$A:$A,MATCH(AF289,[1]物品基础表!$B:$B,0)),"")</f>
        <v/>
      </c>
      <c r="AJ289" s="1" t="str">
        <f>IFERROR(INDEX([1]物品基础表!$A:$A,MATCH(AI289,[1]物品基础表!$B:$B,0)),"")</f>
        <v/>
      </c>
      <c r="AM289" s="1" t="str">
        <f>IFERROR(INDEX([1]物品基础表!$A:$A,MATCH(AL289,[1]物品基础表!$B:$B,0)),"")</f>
        <v/>
      </c>
      <c r="AP289" s="1" t="str">
        <f>IFERROR(INDEX([1]物品基础表!$A:$A,MATCH(AO289,[1]物品基础表!$B:$B,0)),"")</f>
        <v/>
      </c>
      <c r="AS289" s="1" t="str">
        <f>IFERROR(INDEX([1]物品基础表!$A:$A,MATCH(AR289,[1]物品基础表!$B:$B,0)),"")</f>
        <v/>
      </c>
      <c r="AV289" s="1" t="str">
        <f>IFERROR(INDEX([1]物品基础表!$A:$A,MATCH(AU289,[1]物品基础表!$B:$B,0)),"")</f>
        <v/>
      </c>
      <c r="AY289" s="1" t="str">
        <f>IFERROR(INDEX([1]物品基础表!$A:$A,MATCH(AX289,[1]物品基础表!$B:$B,0)),"")</f>
        <v/>
      </c>
      <c r="BB289" s="1" t="str">
        <f>IFERROR(INDEX([1]物品基础表!$A:$A,MATCH(BA289,[1]物品基础表!$B:$B,0)),"")</f>
        <v/>
      </c>
      <c r="BE289" s="1" t="str">
        <f>IFERROR(INDEX([1]物品基础表!$A:$A,MATCH(BD289,[1]物品基础表!$B:$B,0)),"")</f>
        <v/>
      </c>
      <c r="BH289" s="1" t="str">
        <f>IFERROR(INDEX([1]物品基础表!$A:$A,MATCH(BG289,[1]物品基础表!$B:$B,0)),"")</f>
        <v/>
      </c>
      <c r="BK289" s="1" t="str">
        <f>IFERROR(INDEX([1]物品基础表!$A:$A,MATCH(BJ289,[1]物品基础表!$B:$B,0)),"")</f>
        <v/>
      </c>
    </row>
    <row r="290" spans="1:64">
      <c r="A290" s="39" t="str">
        <f>INDEX([2]活动总表!$A$8:$A$429,MATCH(B290,[2]活动总表!$B$8:$B$429,0))</f>
        <v>元宵-福袋(15-40天)</v>
      </c>
      <c r="B290" s="40">
        <v>705</v>
      </c>
      <c r="C290" s="40">
        <v>0</v>
      </c>
      <c r="D290" s="40"/>
      <c r="E290" s="40">
        <v>998</v>
      </c>
      <c r="F290" s="40"/>
      <c r="G290" s="40">
        <v>2</v>
      </c>
      <c r="H290" s="40"/>
      <c r="I290" s="40" t="s">
        <v>863</v>
      </c>
      <c r="J290" s="57"/>
      <c r="L290" s="1" t="str">
        <f>IFERROR(INDEX([1]物品基础表!$A:$A,MATCH(K290,[1]物品基础表!$B:$B,0)),"")</f>
        <v/>
      </c>
      <c r="N290" s="1">
        <v>201201</v>
      </c>
      <c r="O290" s="1" t="str">
        <f>IFERROR(INDEX([1]物品基础表!$A:$A,MATCH(N290,[1]物品基础表!$B:$B,0)),"")</f>
        <v>（15-40）元宵福袋1</v>
      </c>
      <c r="P290" s="1">
        <v>1</v>
      </c>
      <c r="Q290" s="1">
        <v>201202</v>
      </c>
      <c r="R290" s="1" t="str">
        <f>IFERROR(INDEX([1]物品基础表!$A:$A,MATCH(Q290,[1]物品基础表!$B:$B,0)),"")</f>
        <v>（15-40）元宵福袋2</v>
      </c>
      <c r="S290" s="1">
        <v>1</v>
      </c>
      <c r="T290" s="1">
        <v>201203</v>
      </c>
      <c r="U290" s="1" t="str">
        <f>IFERROR(INDEX([1]物品基础表!$A:$A,MATCH(T290,[1]物品基础表!$B:$B,0)),"")</f>
        <v>（15-40）元宵福袋3</v>
      </c>
      <c r="V290" s="1">
        <v>1</v>
      </c>
      <c r="W290" s="1">
        <v>201204</v>
      </c>
      <c r="X290" s="1" t="str">
        <f>IFERROR(INDEX([1]物品基础表!$A:$A,MATCH(W290,[1]物品基础表!$B:$B,0)),"")</f>
        <v>（15-40）元宵福袋4</v>
      </c>
      <c r="Y290" s="1">
        <v>1</v>
      </c>
      <c r="Z290" s="1">
        <v>201205</v>
      </c>
      <c r="AA290" s="1" t="str">
        <f>IFERROR(INDEX([1]物品基础表!$A:$A,MATCH(Z290,[1]物品基础表!$B:$B,0)),"")</f>
        <v>（15-40）元宵福袋5</v>
      </c>
      <c r="AB290" s="1">
        <v>1</v>
      </c>
      <c r="AD290" s="1" t="str">
        <f>IFERROR(INDEX([1]物品基础表!$A:$A,MATCH(AC290,[1]物品基础表!$B:$B,0)),"")</f>
        <v/>
      </c>
      <c r="AF290" s="1">
        <v>201206</v>
      </c>
      <c r="AG290" s="1" t="str">
        <f>IFERROR(INDEX([1]物品基础表!$A:$A,MATCH(AF290,[1]物品基础表!$B:$B,0)),"")</f>
        <v>（15-40）元宵福袋6</v>
      </c>
      <c r="AH290" s="1">
        <v>1</v>
      </c>
      <c r="AI290" s="1">
        <v>201207</v>
      </c>
      <c r="AJ290" s="1" t="str">
        <f>IFERROR(INDEX([1]物品基础表!$A:$A,MATCH(AI290,[1]物品基础表!$B:$B,0)),"")</f>
        <v>（15-40）元宵福袋7</v>
      </c>
      <c r="AK290" s="1">
        <v>1</v>
      </c>
      <c r="AL290" s="1">
        <v>201208</v>
      </c>
      <c r="AM290" s="1" t="str">
        <f>IFERROR(INDEX([1]物品基础表!$A:$A,MATCH(AL290,[1]物品基础表!$B:$B,0)),"")</f>
        <v>（15-40）元宵福袋8</v>
      </c>
      <c r="AN290" s="1">
        <v>1</v>
      </c>
      <c r="AO290" s="1">
        <v>201209</v>
      </c>
      <c r="AP290" s="1" t="str">
        <f>IFERROR(INDEX([1]物品基础表!$A:$A,MATCH(AO290,[1]物品基础表!$B:$B,0)),"")</f>
        <v>（15-40）元宵福袋9</v>
      </c>
      <c r="AQ290" s="1">
        <v>1</v>
      </c>
      <c r="AR290" s="1">
        <v>201210</v>
      </c>
      <c r="AS290" s="1" t="str">
        <f>IFERROR(INDEX([1]物品基础表!$A:$A,MATCH(AR290,[1]物品基础表!$B:$B,0)),"")</f>
        <v>（15-40）元宵福袋10</v>
      </c>
      <c r="AT290" s="1">
        <v>1</v>
      </c>
      <c r="AU290" s="1">
        <v>201211</v>
      </c>
      <c r="AV290" s="1" t="str">
        <f>IFERROR(INDEX([1]物品基础表!$A:$A,MATCH(AU290,[1]物品基础表!$B:$B,0)),"")</f>
        <v>（15-40）元宵福袋11</v>
      </c>
      <c r="AW290" s="1">
        <v>1</v>
      </c>
      <c r="AX290" s="1">
        <v>201212</v>
      </c>
      <c r="AY290" s="1" t="str">
        <f>IFERROR(INDEX([1]物品基础表!$A:$A,MATCH(AX290,[1]物品基础表!$B:$B,0)),"")</f>
        <v>（15-40）元宵福袋12</v>
      </c>
      <c r="AZ290" s="1">
        <v>1</v>
      </c>
      <c r="BA290" s="1">
        <v>201213</v>
      </c>
      <c r="BB290" s="1" t="str">
        <f>IFERROR(INDEX([1]物品基础表!$A:$A,MATCH(BA290,[1]物品基础表!$B:$B,0)),"")</f>
        <v>（15-40）元宵福袋13</v>
      </c>
      <c r="BC290" s="1">
        <v>1</v>
      </c>
      <c r="BD290" s="1">
        <v>201214</v>
      </c>
      <c r="BE290" s="1" t="str">
        <f>IFERROR(INDEX([1]物品基础表!$A:$A,MATCH(BD290,[1]物品基础表!$B:$B,0)),"")</f>
        <v>（15-40）元宵福袋14</v>
      </c>
      <c r="BF290" s="1">
        <v>1</v>
      </c>
      <c r="BG290" s="1">
        <v>201215</v>
      </c>
      <c r="BH290" s="1" t="str">
        <f>IFERROR(INDEX([1]物品基础表!$A:$A,MATCH(BG290,[1]物品基础表!$B:$B,0)),"")</f>
        <v>（15-40）元宵福袋15</v>
      </c>
      <c r="BI290" s="1">
        <v>1</v>
      </c>
      <c r="BJ290" s="1">
        <v>201216</v>
      </c>
      <c r="BK290" s="1" t="str">
        <f>IFERROR(INDEX([1]物品基础表!$A:$A,MATCH(BJ290,[1]物品基础表!$B:$B,0)),"")</f>
        <v>（15-40）元宵福袋16</v>
      </c>
      <c r="BL290" s="1">
        <v>1</v>
      </c>
    </row>
    <row r="291" spans="1:64">
      <c r="A291" s="39" t="str">
        <f>INDEX([2]活动总表!$A$8:$A$429,MATCH(B291,[2]活动总表!$B$8:$B$429,0))</f>
        <v>元宵-福袋(15-40天)</v>
      </c>
      <c r="B291" s="40">
        <v>705</v>
      </c>
      <c r="C291" s="40">
        <v>1</v>
      </c>
      <c r="D291" s="40"/>
      <c r="E291" s="40"/>
      <c r="F291" s="40" t="s">
        <v>864</v>
      </c>
      <c r="G291" s="40">
        <v>2</v>
      </c>
      <c r="H291" s="40"/>
      <c r="I291" s="40"/>
      <c r="J291" s="57"/>
      <c r="K291" s="1">
        <v>204134</v>
      </c>
      <c r="L291" s="1" t="str">
        <f>IFERROR(INDEX([1]物品基础表!$A:$A,MATCH(K291,[1]物品基础表!$B:$B,0)),"")</f>
        <v>金色图鉴包·倾国倾城</v>
      </c>
      <c r="M291" s="1">
        <v>1</v>
      </c>
      <c r="O291" s="1" t="str">
        <f>IFERROR(INDEX([1]物品基础表!$A:$A,MATCH(N291,[1]物品基础表!$B:$B,0)),"")</f>
        <v/>
      </c>
      <c r="R291" s="1" t="str">
        <f>IFERROR(INDEX([1]物品基础表!$A:$A,MATCH(Q291,[1]物品基础表!$B:$B,0)),"")</f>
        <v/>
      </c>
      <c r="U291" s="1" t="str">
        <f>IFERROR(INDEX([1]物品基础表!$A:$A,MATCH(T291,[1]物品基础表!$B:$B,0)),"")</f>
        <v/>
      </c>
      <c r="X291" s="1" t="str">
        <f>IFERROR(INDEX([1]物品基础表!$A:$A,MATCH(W291,[1]物品基础表!$B:$B,0)),"")</f>
        <v/>
      </c>
      <c r="AA291" s="1" t="str">
        <f>IFERROR(INDEX([1]物品基础表!$A:$A,MATCH(Z291,[1]物品基础表!$B:$B,0)),"")</f>
        <v/>
      </c>
      <c r="AD291" s="1" t="str">
        <f>IFERROR(INDEX([1]物品基础表!$A:$A,MATCH(AC291,[1]物品基础表!$B:$B,0)),"")</f>
        <v/>
      </c>
      <c r="AG291" s="1" t="str">
        <f>IFERROR(INDEX([1]物品基础表!$A:$A,MATCH(AF291,[1]物品基础表!$B:$B,0)),"")</f>
        <v/>
      </c>
      <c r="AJ291" s="1" t="str">
        <f>IFERROR(INDEX([1]物品基础表!$A:$A,MATCH(AI291,[1]物品基础表!$B:$B,0)),"")</f>
        <v/>
      </c>
      <c r="AM291" s="1" t="str">
        <f>IFERROR(INDEX([1]物品基础表!$A:$A,MATCH(AL291,[1]物品基础表!$B:$B,0)),"")</f>
        <v/>
      </c>
      <c r="AP291" s="1" t="str">
        <f>IFERROR(INDEX([1]物品基础表!$A:$A,MATCH(AO291,[1]物品基础表!$B:$B,0)),"")</f>
        <v/>
      </c>
      <c r="AS291" s="1" t="str">
        <f>IFERROR(INDEX([1]物品基础表!$A:$A,MATCH(AR291,[1]物品基础表!$B:$B,0)),"")</f>
        <v/>
      </c>
      <c r="AV291" s="1" t="str">
        <f>IFERROR(INDEX([1]物品基础表!$A:$A,MATCH(AU291,[1]物品基础表!$B:$B,0)),"")</f>
        <v/>
      </c>
      <c r="AY291" s="1" t="str">
        <f>IFERROR(INDEX([1]物品基础表!$A:$A,MATCH(AX291,[1]物品基础表!$B:$B,0)),"")</f>
        <v/>
      </c>
      <c r="BB291" s="1" t="str">
        <f>IFERROR(INDEX([1]物品基础表!$A:$A,MATCH(BA291,[1]物品基础表!$B:$B,0)),"")</f>
        <v/>
      </c>
      <c r="BE291" s="1" t="str">
        <f>IFERROR(INDEX([1]物品基础表!$A:$A,MATCH(BD291,[1]物品基础表!$B:$B,0)),"")</f>
        <v/>
      </c>
      <c r="BH291" s="1" t="str">
        <f>IFERROR(INDEX([1]物品基础表!$A:$A,MATCH(BG291,[1]物品基础表!$B:$B,0)),"")</f>
        <v/>
      </c>
      <c r="BK291" s="1" t="str">
        <f>IFERROR(INDEX([1]物品基础表!$A:$A,MATCH(BJ291,[1]物品基础表!$B:$B,0)),"")</f>
        <v/>
      </c>
    </row>
    <row r="292" spans="1:64">
      <c r="A292" s="39" t="str">
        <f>INDEX([2]活动总表!$A$8:$A$429,MATCH(B292,[2]活动总表!$B$8:$B$429,0))</f>
        <v>元宵-福袋(15-40天)</v>
      </c>
      <c r="B292" s="40">
        <v>705</v>
      </c>
      <c r="C292" s="40">
        <v>2</v>
      </c>
      <c r="D292" s="40"/>
      <c r="E292" s="40"/>
      <c r="F292" s="40" t="s">
        <v>865</v>
      </c>
      <c r="G292" s="40">
        <v>2</v>
      </c>
      <c r="H292" s="40"/>
      <c r="I292" s="40"/>
      <c r="J292" s="57"/>
      <c r="K292" s="1">
        <v>204133</v>
      </c>
      <c r="L292" s="1" t="str">
        <f>IFERROR(INDEX([1]物品基础表!$A:$A,MATCH(K292,[1]物品基础表!$B:$B,0)),"")</f>
        <v>红色图鉴包·倾国倾城</v>
      </c>
      <c r="M292" s="1">
        <v>1</v>
      </c>
      <c r="O292" s="1" t="str">
        <f>IFERROR(INDEX([1]物品基础表!$A:$A,MATCH(N292,[1]物品基础表!$B:$B,0)),"")</f>
        <v/>
      </c>
      <c r="R292" s="1" t="str">
        <f>IFERROR(INDEX([1]物品基础表!$A:$A,MATCH(Q292,[1]物品基础表!$B:$B,0)),"")</f>
        <v/>
      </c>
      <c r="U292" s="1" t="str">
        <f>IFERROR(INDEX([1]物品基础表!$A:$A,MATCH(T292,[1]物品基础表!$B:$B,0)),"")</f>
        <v/>
      </c>
      <c r="X292" s="1" t="str">
        <f>IFERROR(INDEX([1]物品基础表!$A:$A,MATCH(W292,[1]物品基础表!$B:$B,0)),"")</f>
        <v/>
      </c>
      <c r="AA292" s="1" t="str">
        <f>IFERROR(INDEX([1]物品基础表!$A:$A,MATCH(Z292,[1]物品基础表!$B:$B,0)),"")</f>
        <v/>
      </c>
      <c r="AD292" s="1" t="str">
        <f>IFERROR(INDEX([1]物品基础表!$A:$A,MATCH(AC292,[1]物品基础表!$B:$B,0)),"")</f>
        <v/>
      </c>
      <c r="AG292" s="1" t="str">
        <f>IFERROR(INDEX([1]物品基础表!$A:$A,MATCH(AF292,[1]物品基础表!$B:$B,0)),"")</f>
        <v/>
      </c>
      <c r="AJ292" s="1" t="str">
        <f>IFERROR(INDEX([1]物品基础表!$A:$A,MATCH(AI292,[1]物品基础表!$B:$B,0)),"")</f>
        <v/>
      </c>
      <c r="AM292" s="1" t="str">
        <f>IFERROR(INDEX([1]物品基础表!$A:$A,MATCH(AL292,[1]物品基础表!$B:$B,0)),"")</f>
        <v/>
      </c>
      <c r="AP292" s="1" t="str">
        <f>IFERROR(INDEX([1]物品基础表!$A:$A,MATCH(AO292,[1]物品基础表!$B:$B,0)),"")</f>
        <v/>
      </c>
      <c r="AS292" s="1" t="str">
        <f>IFERROR(INDEX([1]物品基础表!$A:$A,MATCH(AR292,[1]物品基础表!$B:$B,0)),"")</f>
        <v/>
      </c>
      <c r="AV292" s="1" t="str">
        <f>IFERROR(INDEX([1]物品基础表!$A:$A,MATCH(AU292,[1]物品基础表!$B:$B,0)),"")</f>
        <v/>
      </c>
      <c r="AY292" s="1" t="str">
        <f>IFERROR(INDEX([1]物品基础表!$A:$A,MATCH(AX292,[1]物品基础表!$B:$B,0)),"")</f>
        <v/>
      </c>
      <c r="BB292" s="1" t="str">
        <f>IFERROR(INDEX([1]物品基础表!$A:$A,MATCH(BA292,[1]物品基础表!$B:$B,0)),"")</f>
        <v/>
      </c>
      <c r="BE292" s="1" t="str">
        <f>IFERROR(INDEX([1]物品基础表!$A:$A,MATCH(BD292,[1]物品基础表!$B:$B,0)),"")</f>
        <v/>
      </c>
      <c r="BH292" s="1" t="str">
        <f>IFERROR(INDEX([1]物品基础表!$A:$A,MATCH(BG292,[1]物品基础表!$B:$B,0)),"")</f>
        <v/>
      </c>
      <c r="BK292" s="1" t="str">
        <f>IFERROR(INDEX([1]物品基础表!$A:$A,MATCH(BJ292,[1]物品基础表!$B:$B,0)),"")</f>
        <v/>
      </c>
    </row>
    <row r="293" spans="1:64">
      <c r="A293" s="39" t="str">
        <f>INDEX([2]活动总表!$A$8:$A$429,MATCH(B293,[2]活动总表!$B$8:$B$429,0))</f>
        <v>元宵-福袋(15-40天)</v>
      </c>
      <c r="B293" s="40">
        <v>705</v>
      </c>
      <c r="C293" s="40">
        <v>3</v>
      </c>
      <c r="D293" s="40"/>
      <c r="E293" s="40"/>
      <c r="F293" s="40" t="s">
        <v>866</v>
      </c>
      <c r="G293" s="40">
        <v>2</v>
      </c>
      <c r="H293" s="40"/>
      <c r="I293" s="40"/>
      <c r="J293" s="57"/>
      <c r="K293" s="1">
        <v>204138</v>
      </c>
      <c r="L293" s="1" t="str">
        <f>IFERROR(INDEX([1]物品基础表!$A:$A,MATCH(K293,[1]物品基础表!$B:$B,0)),"")</f>
        <v>轮回宝箱（10转）</v>
      </c>
      <c r="M293" s="1">
        <v>1</v>
      </c>
      <c r="O293" s="1" t="str">
        <f>IFERROR(INDEX([1]物品基础表!$A:$A,MATCH(N293,[1]物品基础表!$B:$B,0)),"")</f>
        <v/>
      </c>
      <c r="R293" s="1" t="str">
        <f>IFERROR(INDEX([1]物品基础表!$A:$A,MATCH(Q293,[1]物品基础表!$B:$B,0)),"")</f>
        <v/>
      </c>
      <c r="U293" s="1" t="str">
        <f>IFERROR(INDEX([1]物品基础表!$A:$A,MATCH(T293,[1]物品基础表!$B:$B,0)),"")</f>
        <v/>
      </c>
      <c r="X293" s="1" t="str">
        <f>IFERROR(INDEX([1]物品基础表!$A:$A,MATCH(W293,[1]物品基础表!$B:$B,0)),"")</f>
        <v/>
      </c>
      <c r="AA293" s="1" t="str">
        <f>IFERROR(INDEX([1]物品基础表!$A:$A,MATCH(Z293,[1]物品基础表!$B:$B,0)),"")</f>
        <v/>
      </c>
      <c r="AD293" s="1" t="str">
        <f>IFERROR(INDEX([1]物品基础表!$A:$A,MATCH(AC293,[1]物品基础表!$B:$B,0)),"")</f>
        <v/>
      </c>
      <c r="AG293" s="1" t="str">
        <f>IFERROR(INDEX([1]物品基础表!$A:$A,MATCH(AF293,[1]物品基础表!$B:$B,0)),"")</f>
        <v/>
      </c>
      <c r="AJ293" s="1" t="str">
        <f>IFERROR(INDEX([1]物品基础表!$A:$A,MATCH(AI293,[1]物品基础表!$B:$B,0)),"")</f>
        <v/>
      </c>
      <c r="AM293" s="1" t="str">
        <f>IFERROR(INDEX([1]物品基础表!$A:$A,MATCH(AL293,[1]物品基础表!$B:$B,0)),"")</f>
        <v/>
      </c>
      <c r="AP293" s="1" t="str">
        <f>IFERROR(INDEX([1]物品基础表!$A:$A,MATCH(AO293,[1]物品基础表!$B:$B,0)),"")</f>
        <v/>
      </c>
      <c r="AS293" s="1" t="str">
        <f>IFERROR(INDEX([1]物品基础表!$A:$A,MATCH(AR293,[1]物品基础表!$B:$B,0)),"")</f>
        <v/>
      </c>
      <c r="AV293" s="1" t="str">
        <f>IFERROR(INDEX([1]物品基础表!$A:$A,MATCH(AU293,[1]物品基础表!$B:$B,0)),"")</f>
        <v/>
      </c>
      <c r="AY293" s="1" t="str">
        <f>IFERROR(INDEX([1]物品基础表!$A:$A,MATCH(AX293,[1]物品基础表!$B:$B,0)),"")</f>
        <v/>
      </c>
      <c r="BB293" s="1" t="str">
        <f>IFERROR(INDEX([1]物品基础表!$A:$A,MATCH(BA293,[1]物品基础表!$B:$B,0)),"")</f>
        <v/>
      </c>
      <c r="BE293" s="1" t="str">
        <f>IFERROR(INDEX([1]物品基础表!$A:$A,MATCH(BD293,[1]物品基础表!$B:$B,0)),"")</f>
        <v/>
      </c>
      <c r="BH293" s="1" t="str">
        <f>IFERROR(INDEX([1]物品基础表!$A:$A,MATCH(BG293,[1]物品基础表!$B:$B,0)),"")</f>
        <v/>
      </c>
      <c r="BK293" s="1" t="str">
        <f>IFERROR(INDEX([1]物品基础表!$A:$A,MATCH(BJ293,[1]物品基础表!$B:$B,0)),"")</f>
        <v/>
      </c>
    </row>
    <row r="294" spans="1:64">
      <c r="A294" s="39" t="str">
        <f>INDEX([2]活动总表!$A$8:$A$429,MATCH(B294,[2]活动总表!$B$8:$B$429,0))</f>
        <v>元宵-福袋(15-40天)</v>
      </c>
      <c r="B294" s="40">
        <v>705</v>
      </c>
      <c r="C294" s="40">
        <v>4</v>
      </c>
      <c r="D294" s="40"/>
      <c r="E294" s="40"/>
      <c r="F294" s="40" t="s">
        <v>867</v>
      </c>
      <c r="G294" s="40">
        <v>2</v>
      </c>
      <c r="H294" s="40"/>
      <c r="I294" s="40"/>
      <c r="J294" s="57"/>
      <c r="K294" s="1">
        <v>204137</v>
      </c>
      <c r="L294" s="1" t="str">
        <f>IFERROR(INDEX([1]物品基础表!$A:$A,MATCH(K294,[1]物品基础表!$B:$B,0)),"")</f>
        <v>轮回宝箱（9转）</v>
      </c>
      <c r="M294" s="1">
        <v>1</v>
      </c>
      <c r="O294" s="1" t="str">
        <f>IFERROR(INDEX([1]物品基础表!$A:$A,MATCH(N294,[1]物品基础表!$B:$B,0)),"")</f>
        <v/>
      </c>
      <c r="R294" s="1" t="str">
        <f>IFERROR(INDEX([1]物品基础表!$A:$A,MATCH(Q294,[1]物品基础表!$B:$B,0)),"")</f>
        <v/>
      </c>
      <c r="U294" s="1" t="str">
        <f>IFERROR(INDEX([1]物品基础表!$A:$A,MATCH(T294,[1]物品基础表!$B:$B,0)),"")</f>
        <v/>
      </c>
      <c r="X294" s="1" t="str">
        <f>IFERROR(INDEX([1]物品基础表!$A:$A,MATCH(W294,[1]物品基础表!$B:$B,0)),"")</f>
        <v/>
      </c>
      <c r="AA294" s="1" t="str">
        <f>IFERROR(INDEX([1]物品基础表!$A:$A,MATCH(Z294,[1]物品基础表!$B:$B,0)),"")</f>
        <v/>
      </c>
      <c r="AD294" s="1" t="str">
        <f>IFERROR(INDEX([1]物品基础表!$A:$A,MATCH(AC294,[1]物品基础表!$B:$B,0)),"")</f>
        <v/>
      </c>
      <c r="AG294" s="1" t="str">
        <f>IFERROR(INDEX([1]物品基础表!$A:$A,MATCH(AF294,[1]物品基础表!$B:$B,0)),"")</f>
        <v/>
      </c>
      <c r="AJ294" s="1" t="str">
        <f>IFERROR(INDEX([1]物品基础表!$A:$A,MATCH(AI294,[1]物品基础表!$B:$B,0)),"")</f>
        <v/>
      </c>
      <c r="AM294" s="1" t="str">
        <f>IFERROR(INDEX([1]物品基础表!$A:$A,MATCH(AL294,[1]物品基础表!$B:$B,0)),"")</f>
        <v/>
      </c>
      <c r="AP294" s="1" t="str">
        <f>IFERROR(INDEX([1]物品基础表!$A:$A,MATCH(AO294,[1]物品基础表!$B:$B,0)),"")</f>
        <v/>
      </c>
      <c r="AS294" s="1" t="str">
        <f>IFERROR(INDEX([1]物品基础表!$A:$A,MATCH(AR294,[1]物品基础表!$B:$B,0)),"")</f>
        <v/>
      </c>
      <c r="AV294" s="1" t="str">
        <f>IFERROR(INDEX([1]物品基础表!$A:$A,MATCH(AU294,[1]物品基础表!$B:$B,0)),"")</f>
        <v/>
      </c>
      <c r="AY294" s="1" t="str">
        <f>IFERROR(INDEX([1]物品基础表!$A:$A,MATCH(AX294,[1]物品基础表!$B:$B,0)),"")</f>
        <v/>
      </c>
      <c r="BB294" s="1" t="str">
        <f>IFERROR(INDEX([1]物品基础表!$A:$A,MATCH(BA294,[1]物品基础表!$B:$B,0)),"")</f>
        <v/>
      </c>
      <c r="BE294" s="1" t="str">
        <f>IFERROR(INDEX([1]物品基础表!$A:$A,MATCH(BD294,[1]物品基础表!$B:$B,0)),"")</f>
        <v/>
      </c>
      <c r="BH294" s="1" t="str">
        <f>IFERROR(INDEX([1]物品基础表!$A:$A,MATCH(BG294,[1]物品基础表!$B:$B,0)),"")</f>
        <v/>
      </c>
      <c r="BK294" s="1" t="str">
        <f>IFERROR(INDEX([1]物品基础表!$A:$A,MATCH(BJ294,[1]物品基础表!$B:$B,0)),"")</f>
        <v/>
      </c>
    </row>
    <row r="295" spans="1:64">
      <c r="A295" s="39" t="str">
        <f>INDEX([2]活动总表!$A$8:$A$429,MATCH(B295,[2]活动总表!$B$8:$B$429,0))</f>
        <v>元宵-福袋(15-40天)</v>
      </c>
      <c r="B295" s="40">
        <v>705</v>
      </c>
      <c r="C295" s="40">
        <v>5</v>
      </c>
      <c r="D295" s="40"/>
      <c r="E295" s="40"/>
      <c r="F295" s="40" t="s">
        <v>868</v>
      </c>
      <c r="G295" s="40">
        <v>2</v>
      </c>
      <c r="H295" s="40"/>
      <c r="I295" s="40"/>
      <c r="J295" s="57"/>
      <c r="K295" s="1">
        <v>200143</v>
      </c>
      <c r="L295" s="1" t="str">
        <f>IFERROR(INDEX([1]物品基础表!$A:$A,MATCH(K295,[1]物品基础表!$B:$B,0)),"")</f>
        <v>传世头盔</v>
      </c>
      <c r="M295" s="1">
        <v>1</v>
      </c>
      <c r="O295" s="1" t="str">
        <f>IFERROR(INDEX([1]物品基础表!$A:$A,MATCH(N295,[1]物品基础表!$B:$B,0)),"")</f>
        <v/>
      </c>
      <c r="R295" s="1" t="str">
        <f>IFERROR(INDEX([1]物品基础表!$A:$A,MATCH(Q295,[1]物品基础表!$B:$B,0)),"")</f>
        <v/>
      </c>
      <c r="U295" s="1" t="str">
        <f>IFERROR(INDEX([1]物品基础表!$A:$A,MATCH(T295,[1]物品基础表!$B:$B,0)),"")</f>
        <v/>
      </c>
      <c r="X295" s="1" t="str">
        <f>IFERROR(INDEX([1]物品基础表!$A:$A,MATCH(W295,[1]物品基础表!$B:$B,0)),"")</f>
        <v/>
      </c>
      <c r="AA295" s="1" t="str">
        <f>IFERROR(INDEX([1]物品基础表!$A:$A,MATCH(Z295,[1]物品基础表!$B:$B,0)),"")</f>
        <v/>
      </c>
      <c r="AD295" s="1" t="str">
        <f>IFERROR(INDEX([1]物品基础表!$A:$A,MATCH(AC295,[1]物品基础表!$B:$B,0)),"")</f>
        <v/>
      </c>
      <c r="AG295" s="1" t="str">
        <f>IFERROR(INDEX([1]物品基础表!$A:$A,MATCH(AF295,[1]物品基础表!$B:$B,0)),"")</f>
        <v/>
      </c>
      <c r="AJ295" s="1" t="str">
        <f>IFERROR(INDEX([1]物品基础表!$A:$A,MATCH(AI295,[1]物品基础表!$B:$B,0)),"")</f>
        <v/>
      </c>
      <c r="AM295" s="1" t="str">
        <f>IFERROR(INDEX([1]物品基础表!$A:$A,MATCH(AL295,[1]物品基础表!$B:$B,0)),"")</f>
        <v/>
      </c>
      <c r="AP295" s="1" t="str">
        <f>IFERROR(INDEX([1]物品基础表!$A:$A,MATCH(AO295,[1]物品基础表!$B:$B,0)),"")</f>
        <v/>
      </c>
      <c r="AS295" s="1" t="str">
        <f>IFERROR(INDEX([1]物品基础表!$A:$A,MATCH(AR295,[1]物品基础表!$B:$B,0)),"")</f>
        <v/>
      </c>
      <c r="AV295" s="1" t="str">
        <f>IFERROR(INDEX([1]物品基础表!$A:$A,MATCH(AU295,[1]物品基础表!$B:$B,0)),"")</f>
        <v/>
      </c>
      <c r="AY295" s="1" t="str">
        <f>IFERROR(INDEX([1]物品基础表!$A:$A,MATCH(AX295,[1]物品基础表!$B:$B,0)),"")</f>
        <v/>
      </c>
      <c r="BB295" s="1" t="str">
        <f>IFERROR(INDEX([1]物品基础表!$A:$A,MATCH(BA295,[1]物品基础表!$B:$B,0)),"")</f>
        <v/>
      </c>
      <c r="BE295" s="1" t="str">
        <f>IFERROR(INDEX([1]物品基础表!$A:$A,MATCH(BD295,[1]物品基础表!$B:$B,0)),"")</f>
        <v/>
      </c>
      <c r="BH295" s="1" t="str">
        <f>IFERROR(INDEX([1]物品基础表!$A:$A,MATCH(BG295,[1]物品基础表!$B:$B,0)),"")</f>
        <v/>
      </c>
      <c r="BK295" s="1" t="str">
        <f>IFERROR(INDEX([1]物品基础表!$A:$A,MATCH(BJ295,[1]物品基础表!$B:$B,0)),"")</f>
        <v/>
      </c>
    </row>
    <row r="296" spans="1:64">
      <c r="A296" s="39" t="str">
        <f>INDEX([2]活动总表!$A$8:$A$429,MATCH(B296,[2]活动总表!$B$8:$B$429,0))</f>
        <v>元宵-福袋(15-40天)</v>
      </c>
      <c r="B296" s="40">
        <v>705</v>
      </c>
      <c r="C296" s="40">
        <v>6</v>
      </c>
      <c r="D296" s="40"/>
      <c r="E296" s="40"/>
      <c r="F296" s="40" t="s">
        <v>868</v>
      </c>
      <c r="G296" s="40">
        <v>2</v>
      </c>
      <c r="H296" s="40"/>
      <c r="I296" s="40"/>
      <c r="J296" s="57"/>
      <c r="K296" s="1">
        <v>200145</v>
      </c>
      <c r="L296" s="1" t="str">
        <f>IFERROR(INDEX([1]物品基础表!$A:$A,MATCH(K296,[1]物品基础表!$B:$B,0)),"")</f>
        <v>传世项链</v>
      </c>
      <c r="M296" s="1">
        <v>1</v>
      </c>
      <c r="O296" s="1" t="str">
        <f>IFERROR(INDEX([1]物品基础表!$A:$A,MATCH(N296,[1]物品基础表!$B:$B,0)),"")</f>
        <v/>
      </c>
      <c r="R296" s="1" t="str">
        <f>IFERROR(INDEX([1]物品基础表!$A:$A,MATCH(Q296,[1]物品基础表!$B:$B,0)),"")</f>
        <v/>
      </c>
      <c r="U296" s="1" t="str">
        <f>IFERROR(INDEX([1]物品基础表!$A:$A,MATCH(T296,[1]物品基础表!$B:$B,0)),"")</f>
        <v/>
      </c>
      <c r="X296" s="1" t="str">
        <f>IFERROR(INDEX([1]物品基础表!$A:$A,MATCH(W296,[1]物品基础表!$B:$B,0)),"")</f>
        <v/>
      </c>
      <c r="AA296" s="1" t="str">
        <f>IFERROR(INDEX([1]物品基础表!$A:$A,MATCH(Z296,[1]物品基础表!$B:$B,0)),"")</f>
        <v/>
      </c>
      <c r="AD296" s="1" t="str">
        <f>IFERROR(INDEX([1]物品基础表!$A:$A,MATCH(AC296,[1]物品基础表!$B:$B,0)),"")</f>
        <v/>
      </c>
      <c r="AG296" s="1" t="str">
        <f>IFERROR(INDEX([1]物品基础表!$A:$A,MATCH(AF296,[1]物品基础表!$B:$B,0)),"")</f>
        <v/>
      </c>
      <c r="AJ296" s="1" t="str">
        <f>IFERROR(INDEX([1]物品基础表!$A:$A,MATCH(AI296,[1]物品基础表!$B:$B,0)),"")</f>
        <v/>
      </c>
      <c r="AM296" s="1" t="str">
        <f>IFERROR(INDEX([1]物品基础表!$A:$A,MATCH(AL296,[1]物品基础表!$B:$B,0)),"")</f>
        <v/>
      </c>
      <c r="AP296" s="1" t="str">
        <f>IFERROR(INDEX([1]物品基础表!$A:$A,MATCH(AO296,[1]物品基础表!$B:$B,0)),"")</f>
        <v/>
      </c>
      <c r="AS296" s="1" t="str">
        <f>IFERROR(INDEX([1]物品基础表!$A:$A,MATCH(AR296,[1]物品基础表!$B:$B,0)),"")</f>
        <v/>
      </c>
      <c r="AV296" s="1" t="str">
        <f>IFERROR(INDEX([1]物品基础表!$A:$A,MATCH(AU296,[1]物品基础表!$B:$B,0)),"")</f>
        <v/>
      </c>
      <c r="AY296" s="1" t="str">
        <f>IFERROR(INDEX([1]物品基础表!$A:$A,MATCH(AX296,[1]物品基础表!$B:$B,0)),"")</f>
        <v/>
      </c>
      <c r="BB296" s="1" t="str">
        <f>IFERROR(INDEX([1]物品基础表!$A:$A,MATCH(BA296,[1]物品基础表!$B:$B,0)),"")</f>
        <v/>
      </c>
      <c r="BE296" s="1" t="str">
        <f>IFERROR(INDEX([1]物品基础表!$A:$A,MATCH(BD296,[1]物品基础表!$B:$B,0)),"")</f>
        <v/>
      </c>
      <c r="BH296" s="1" t="str">
        <f>IFERROR(INDEX([1]物品基础表!$A:$A,MATCH(BG296,[1]物品基础表!$B:$B,0)),"")</f>
        <v/>
      </c>
      <c r="BK296" s="1" t="str">
        <f>IFERROR(INDEX([1]物品基础表!$A:$A,MATCH(BJ296,[1]物品基础表!$B:$B,0)),"")</f>
        <v/>
      </c>
    </row>
    <row r="297" spans="1:64">
      <c r="A297" s="39" t="str">
        <f>INDEX([2]活动总表!$A$8:$A$429,MATCH(B297,[2]活动总表!$B$8:$B$429,0))</f>
        <v>元宵-福袋(15-40天)</v>
      </c>
      <c r="B297" s="40">
        <v>705</v>
      </c>
      <c r="C297" s="40">
        <v>7</v>
      </c>
      <c r="D297" s="40"/>
      <c r="E297" s="40"/>
      <c r="F297" s="40" t="s">
        <v>868</v>
      </c>
      <c r="G297" s="40">
        <v>2</v>
      </c>
      <c r="H297" s="40"/>
      <c r="I297" s="40"/>
      <c r="J297" s="57"/>
      <c r="K297" s="1">
        <v>200147</v>
      </c>
      <c r="L297" s="1" t="str">
        <f>IFERROR(INDEX([1]物品基础表!$A:$A,MATCH(K297,[1]物品基础表!$B:$B,0)),"")</f>
        <v>传世腰带</v>
      </c>
      <c r="M297" s="1">
        <v>1</v>
      </c>
      <c r="O297" s="1" t="str">
        <f>IFERROR(INDEX([1]物品基础表!$A:$A,MATCH(N297,[1]物品基础表!$B:$B,0)),"")</f>
        <v/>
      </c>
      <c r="R297" s="1" t="str">
        <f>IFERROR(INDEX([1]物品基础表!$A:$A,MATCH(Q297,[1]物品基础表!$B:$B,0)),"")</f>
        <v/>
      </c>
      <c r="U297" s="1" t="str">
        <f>IFERROR(INDEX([1]物品基础表!$A:$A,MATCH(T297,[1]物品基础表!$B:$B,0)),"")</f>
        <v/>
      </c>
      <c r="X297" s="1" t="str">
        <f>IFERROR(INDEX([1]物品基础表!$A:$A,MATCH(W297,[1]物品基础表!$B:$B,0)),"")</f>
        <v/>
      </c>
      <c r="AA297" s="1" t="str">
        <f>IFERROR(INDEX([1]物品基础表!$A:$A,MATCH(Z297,[1]物品基础表!$B:$B,0)),"")</f>
        <v/>
      </c>
      <c r="AD297" s="1" t="str">
        <f>IFERROR(INDEX([1]物品基础表!$A:$A,MATCH(AC297,[1]物品基础表!$B:$B,0)),"")</f>
        <v/>
      </c>
      <c r="AG297" s="1" t="str">
        <f>IFERROR(INDEX([1]物品基础表!$A:$A,MATCH(AF297,[1]物品基础表!$B:$B,0)),"")</f>
        <v/>
      </c>
      <c r="AJ297" s="1" t="str">
        <f>IFERROR(INDEX([1]物品基础表!$A:$A,MATCH(AI297,[1]物品基础表!$B:$B,0)),"")</f>
        <v/>
      </c>
      <c r="AM297" s="1" t="str">
        <f>IFERROR(INDEX([1]物品基础表!$A:$A,MATCH(AL297,[1]物品基础表!$B:$B,0)),"")</f>
        <v/>
      </c>
      <c r="AP297" s="1" t="str">
        <f>IFERROR(INDEX([1]物品基础表!$A:$A,MATCH(AO297,[1]物品基础表!$B:$B,0)),"")</f>
        <v/>
      </c>
      <c r="AS297" s="1" t="str">
        <f>IFERROR(INDEX([1]物品基础表!$A:$A,MATCH(AR297,[1]物品基础表!$B:$B,0)),"")</f>
        <v/>
      </c>
      <c r="AV297" s="1" t="str">
        <f>IFERROR(INDEX([1]物品基础表!$A:$A,MATCH(AU297,[1]物品基础表!$B:$B,0)),"")</f>
        <v/>
      </c>
      <c r="AY297" s="1" t="str">
        <f>IFERROR(INDEX([1]物品基础表!$A:$A,MATCH(AX297,[1]物品基础表!$B:$B,0)),"")</f>
        <v/>
      </c>
      <c r="BB297" s="1" t="str">
        <f>IFERROR(INDEX([1]物品基础表!$A:$A,MATCH(BA297,[1]物品基础表!$B:$B,0)),"")</f>
        <v/>
      </c>
      <c r="BE297" s="1" t="str">
        <f>IFERROR(INDEX([1]物品基础表!$A:$A,MATCH(BD297,[1]物品基础表!$B:$B,0)),"")</f>
        <v/>
      </c>
      <c r="BH297" s="1" t="str">
        <f>IFERROR(INDEX([1]物品基础表!$A:$A,MATCH(BG297,[1]物品基础表!$B:$B,0)),"")</f>
        <v/>
      </c>
      <c r="BK297" s="1" t="str">
        <f>IFERROR(INDEX([1]物品基础表!$A:$A,MATCH(BJ297,[1]物品基础表!$B:$B,0)),"")</f>
        <v/>
      </c>
    </row>
    <row r="298" spans="1:64">
      <c r="A298" s="39" t="str">
        <f>INDEX([2]活动总表!$A$8:$A$429,MATCH(B298,[2]活动总表!$B$8:$B$429,0))</f>
        <v>元宵-福袋(15-40天)</v>
      </c>
      <c r="B298" s="40">
        <v>705</v>
      </c>
      <c r="C298" s="40">
        <v>8</v>
      </c>
      <c r="D298" s="40"/>
      <c r="E298" s="40"/>
      <c r="F298" s="40" t="s">
        <v>868</v>
      </c>
      <c r="G298" s="40">
        <v>2</v>
      </c>
      <c r="H298" s="40"/>
      <c r="I298" s="40"/>
      <c r="J298" s="57"/>
      <c r="K298" s="1">
        <v>200149</v>
      </c>
      <c r="L298" s="1" t="str">
        <f>IFERROR(INDEX([1]物品基础表!$A:$A,MATCH(K298,[1]物品基础表!$B:$B,0)),"")</f>
        <v>传世鞋子</v>
      </c>
      <c r="M298" s="1">
        <v>1</v>
      </c>
      <c r="O298" s="1" t="str">
        <f>IFERROR(INDEX([1]物品基础表!$A:$A,MATCH(N298,[1]物品基础表!$B:$B,0)),"")</f>
        <v/>
      </c>
      <c r="R298" s="1" t="str">
        <f>IFERROR(INDEX([1]物品基础表!$A:$A,MATCH(Q298,[1]物品基础表!$B:$B,0)),"")</f>
        <v/>
      </c>
      <c r="U298" s="1" t="str">
        <f>IFERROR(INDEX([1]物品基础表!$A:$A,MATCH(T298,[1]物品基础表!$B:$B,0)),"")</f>
        <v/>
      </c>
      <c r="X298" s="1" t="str">
        <f>IFERROR(INDEX([1]物品基础表!$A:$A,MATCH(W298,[1]物品基础表!$B:$B,0)),"")</f>
        <v/>
      </c>
      <c r="AA298" s="1" t="str">
        <f>IFERROR(INDEX([1]物品基础表!$A:$A,MATCH(Z298,[1]物品基础表!$B:$B,0)),"")</f>
        <v/>
      </c>
      <c r="AD298" s="1" t="str">
        <f>IFERROR(INDEX([1]物品基础表!$A:$A,MATCH(AC298,[1]物品基础表!$B:$B,0)),"")</f>
        <v/>
      </c>
      <c r="AG298" s="1" t="str">
        <f>IFERROR(INDEX([1]物品基础表!$A:$A,MATCH(AF298,[1]物品基础表!$B:$B,0)),"")</f>
        <v/>
      </c>
      <c r="AJ298" s="1" t="str">
        <f>IFERROR(INDEX([1]物品基础表!$A:$A,MATCH(AI298,[1]物品基础表!$B:$B,0)),"")</f>
        <v/>
      </c>
      <c r="AM298" s="1" t="str">
        <f>IFERROR(INDEX([1]物品基础表!$A:$A,MATCH(AL298,[1]物品基础表!$B:$B,0)),"")</f>
        <v/>
      </c>
      <c r="AP298" s="1" t="str">
        <f>IFERROR(INDEX([1]物品基础表!$A:$A,MATCH(AO298,[1]物品基础表!$B:$B,0)),"")</f>
        <v/>
      </c>
      <c r="AS298" s="1" t="str">
        <f>IFERROR(INDEX([1]物品基础表!$A:$A,MATCH(AR298,[1]物品基础表!$B:$B,0)),"")</f>
        <v/>
      </c>
      <c r="AV298" s="1" t="str">
        <f>IFERROR(INDEX([1]物品基础表!$A:$A,MATCH(AU298,[1]物品基础表!$B:$B,0)),"")</f>
        <v/>
      </c>
      <c r="AY298" s="1" t="str">
        <f>IFERROR(INDEX([1]物品基础表!$A:$A,MATCH(AX298,[1]物品基础表!$B:$B,0)),"")</f>
        <v/>
      </c>
      <c r="BB298" s="1" t="str">
        <f>IFERROR(INDEX([1]物品基础表!$A:$A,MATCH(BA298,[1]物品基础表!$B:$B,0)),"")</f>
        <v/>
      </c>
      <c r="BE298" s="1" t="str">
        <f>IFERROR(INDEX([1]物品基础表!$A:$A,MATCH(BD298,[1]物品基础表!$B:$B,0)),"")</f>
        <v/>
      </c>
      <c r="BH298" s="1" t="str">
        <f>IFERROR(INDEX([1]物品基础表!$A:$A,MATCH(BG298,[1]物品基础表!$B:$B,0)),"")</f>
        <v/>
      </c>
      <c r="BK298" s="1" t="str">
        <f>IFERROR(INDEX([1]物品基础表!$A:$A,MATCH(BJ298,[1]物品基础表!$B:$B,0)),"")</f>
        <v/>
      </c>
    </row>
    <row r="299" spans="1:64">
      <c r="A299" s="39" t="str">
        <f>INDEX([2]活动总表!$A$8:$A$429,MATCH(B299,[2]活动总表!$B$8:$B$429,0))</f>
        <v>元宵-福袋(15-40天)</v>
      </c>
      <c r="B299" s="40">
        <v>705</v>
      </c>
      <c r="C299" s="40">
        <v>9</v>
      </c>
      <c r="D299" s="40"/>
      <c r="E299" s="40"/>
      <c r="F299" s="40" t="s">
        <v>868</v>
      </c>
      <c r="G299" s="40">
        <v>2</v>
      </c>
      <c r="H299" s="40"/>
      <c r="I299" s="40"/>
      <c r="J299" s="57"/>
      <c r="K299" s="1">
        <v>200148</v>
      </c>
      <c r="L299" s="1" t="str">
        <f>IFERROR(INDEX([1]物品基础表!$A:$A,MATCH(K299,[1]物品基础表!$B:$B,0)),"")</f>
        <v>传世戒指</v>
      </c>
      <c r="M299" s="1">
        <v>1</v>
      </c>
      <c r="O299" s="1" t="str">
        <f>IFERROR(INDEX([1]物品基础表!$A:$A,MATCH(N299,[1]物品基础表!$B:$B,0)),"")</f>
        <v/>
      </c>
      <c r="R299" s="1" t="str">
        <f>IFERROR(INDEX([1]物品基础表!$A:$A,MATCH(Q299,[1]物品基础表!$B:$B,0)),"")</f>
        <v/>
      </c>
      <c r="U299" s="1" t="str">
        <f>IFERROR(INDEX([1]物品基础表!$A:$A,MATCH(T299,[1]物品基础表!$B:$B,0)),"")</f>
        <v/>
      </c>
      <c r="X299" s="1" t="str">
        <f>IFERROR(INDEX([1]物品基础表!$A:$A,MATCH(W299,[1]物品基础表!$B:$B,0)),"")</f>
        <v/>
      </c>
      <c r="AA299" s="1" t="str">
        <f>IFERROR(INDEX([1]物品基础表!$A:$A,MATCH(Z299,[1]物品基础表!$B:$B,0)),"")</f>
        <v/>
      </c>
      <c r="AD299" s="1" t="str">
        <f>IFERROR(INDEX([1]物品基础表!$A:$A,MATCH(AC299,[1]物品基础表!$B:$B,0)),"")</f>
        <v/>
      </c>
      <c r="AG299" s="1" t="str">
        <f>IFERROR(INDEX([1]物品基础表!$A:$A,MATCH(AF299,[1]物品基础表!$B:$B,0)),"")</f>
        <v/>
      </c>
      <c r="AJ299" s="1" t="str">
        <f>IFERROR(INDEX([1]物品基础表!$A:$A,MATCH(AI299,[1]物品基础表!$B:$B,0)),"")</f>
        <v/>
      </c>
      <c r="AM299" s="1" t="str">
        <f>IFERROR(INDEX([1]物品基础表!$A:$A,MATCH(AL299,[1]物品基础表!$B:$B,0)),"")</f>
        <v/>
      </c>
      <c r="AP299" s="1" t="str">
        <f>IFERROR(INDEX([1]物品基础表!$A:$A,MATCH(AO299,[1]物品基础表!$B:$B,0)),"")</f>
        <v/>
      </c>
      <c r="AS299" s="1" t="str">
        <f>IFERROR(INDEX([1]物品基础表!$A:$A,MATCH(AR299,[1]物品基础表!$B:$B,0)),"")</f>
        <v/>
      </c>
      <c r="AV299" s="1" t="str">
        <f>IFERROR(INDEX([1]物品基础表!$A:$A,MATCH(AU299,[1]物品基础表!$B:$B,0)),"")</f>
        <v/>
      </c>
      <c r="AY299" s="1" t="str">
        <f>IFERROR(INDEX([1]物品基础表!$A:$A,MATCH(AX299,[1]物品基础表!$B:$B,0)),"")</f>
        <v/>
      </c>
      <c r="BB299" s="1" t="str">
        <f>IFERROR(INDEX([1]物品基础表!$A:$A,MATCH(BA299,[1]物品基础表!$B:$B,0)),"")</f>
        <v/>
      </c>
      <c r="BE299" s="1" t="str">
        <f>IFERROR(INDEX([1]物品基础表!$A:$A,MATCH(BD299,[1]物品基础表!$B:$B,0)),"")</f>
        <v/>
      </c>
      <c r="BH299" s="1" t="str">
        <f>IFERROR(INDEX([1]物品基础表!$A:$A,MATCH(BG299,[1]物品基础表!$B:$B,0)),"")</f>
        <v/>
      </c>
      <c r="BK299" s="1" t="str">
        <f>IFERROR(INDEX([1]物品基础表!$A:$A,MATCH(BJ299,[1]物品基础表!$B:$B,0)),"")</f>
        <v/>
      </c>
    </row>
    <row r="300" spans="1:64">
      <c r="A300" s="39" t="str">
        <f>INDEX([2]活动总表!$A$8:$A$429,MATCH(B300,[2]活动总表!$B$8:$B$429,0))</f>
        <v>元宵-福袋(15-40天)</v>
      </c>
      <c r="B300" s="40">
        <v>705</v>
      </c>
      <c r="C300" s="40">
        <v>10</v>
      </c>
      <c r="D300" s="40"/>
      <c r="E300" s="40"/>
      <c r="F300" s="40" t="s">
        <v>868</v>
      </c>
      <c r="G300" s="40">
        <v>2</v>
      </c>
      <c r="H300" s="40"/>
      <c r="I300" s="40"/>
      <c r="J300" s="57"/>
      <c r="K300" s="1">
        <v>200146</v>
      </c>
      <c r="L300" s="1" t="str">
        <f>IFERROR(INDEX([1]物品基础表!$A:$A,MATCH(K300,[1]物品基础表!$B:$B,0)),"")</f>
        <v>传世护腕</v>
      </c>
      <c r="M300" s="1">
        <v>1</v>
      </c>
      <c r="O300" s="1" t="str">
        <f>IFERROR(INDEX([1]物品基础表!$A:$A,MATCH(N300,[1]物品基础表!$B:$B,0)),"")</f>
        <v/>
      </c>
      <c r="R300" s="1" t="str">
        <f>IFERROR(INDEX([1]物品基础表!$A:$A,MATCH(Q300,[1]物品基础表!$B:$B,0)),"")</f>
        <v/>
      </c>
      <c r="U300" s="1" t="str">
        <f>IFERROR(INDEX([1]物品基础表!$A:$A,MATCH(T300,[1]物品基础表!$B:$B,0)),"")</f>
        <v/>
      </c>
      <c r="X300" s="1" t="str">
        <f>IFERROR(INDEX([1]物品基础表!$A:$A,MATCH(W300,[1]物品基础表!$B:$B,0)),"")</f>
        <v/>
      </c>
      <c r="AA300" s="1" t="str">
        <f>IFERROR(INDEX([1]物品基础表!$A:$A,MATCH(Z300,[1]物品基础表!$B:$B,0)),"")</f>
        <v/>
      </c>
      <c r="AD300" s="1" t="str">
        <f>IFERROR(INDEX([1]物品基础表!$A:$A,MATCH(AC300,[1]物品基础表!$B:$B,0)),"")</f>
        <v/>
      </c>
      <c r="AG300" s="1" t="str">
        <f>IFERROR(INDEX([1]物品基础表!$A:$A,MATCH(AF300,[1]物品基础表!$B:$B,0)),"")</f>
        <v/>
      </c>
      <c r="AJ300" s="1" t="str">
        <f>IFERROR(INDEX([1]物品基础表!$A:$A,MATCH(AI300,[1]物品基础表!$B:$B,0)),"")</f>
        <v/>
      </c>
      <c r="AM300" s="1" t="str">
        <f>IFERROR(INDEX([1]物品基础表!$A:$A,MATCH(AL300,[1]物品基础表!$B:$B,0)),"")</f>
        <v/>
      </c>
      <c r="AP300" s="1" t="str">
        <f>IFERROR(INDEX([1]物品基础表!$A:$A,MATCH(AO300,[1]物品基础表!$B:$B,0)),"")</f>
        <v/>
      </c>
      <c r="AS300" s="1" t="str">
        <f>IFERROR(INDEX([1]物品基础表!$A:$A,MATCH(AR300,[1]物品基础表!$B:$B,0)),"")</f>
        <v/>
      </c>
      <c r="AV300" s="1" t="str">
        <f>IFERROR(INDEX([1]物品基础表!$A:$A,MATCH(AU300,[1]物品基础表!$B:$B,0)),"")</f>
        <v/>
      </c>
      <c r="AY300" s="1" t="str">
        <f>IFERROR(INDEX([1]物品基础表!$A:$A,MATCH(AX300,[1]物品基础表!$B:$B,0)),"")</f>
        <v/>
      </c>
      <c r="BB300" s="1" t="str">
        <f>IFERROR(INDEX([1]物品基础表!$A:$A,MATCH(BA300,[1]物品基础表!$B:$B,0)),"")</f>
        <v/>
      </c>
      <c r="BE300" s="1" t="str">
        <f>IFERROR(INDEX([1]物品基础表!$A:$A,MATCH(BD300,[1]物品基础表!$B:$B,0)),"")</f>
        <v/>
      </c>
      <c r="BH300" s="1" t="str">
        <f>IFERROR(INDEX([1]物品基础表!$A:$A,MATCH(BG300,[1]物品基础表!$B:$B,0)),"")</f>
        <v/>
      </c>
      <c r="BK300" s="1" t="str">
        <f>IFERROR(INDEX([1]物品基础表!$A:$A,MATCH(BJ300,[1]物品基础表!$B:$B,0)),"")</f>
        <v/>
      </c>
    </row>
    <row r="301" spans="1:64">
      <c r="A301" s="39" t="str">
        <f>INDEX([2]活动总表!$A$8:$A$429,MATCH(B301,[2]活动总表!$B$8:$B$429,0))</f>
        <v>元宵-福袋(15-40天)</v>
      </c>
      <c r="B301" s="40">
        <v>705</v>
      </c>
      <c r="C301" s="40">
        <v>11</v>
      </c>
      <c r="D301" s="40"/>
      <c r="E301" s="40"/>
      <c r="F301" s="40" t="s">
        <v>869</v>
      </c>
      <c r="G301" s="40">
        <v>2</v>
      </c>
      <c r="H301" s="40"/>
      <c r="I301" s="40"/>
      <c r="J301" s="57"/>
      <c r="K301" s="1">
        <v>200301</v>
      </c>
      <c r="L301" s="1" t="str">
        <f>IFERROR(INDEX([1]物品基础表!$A:$A,MATCH(K301,[1]物品基础表!$B:$B,0)),"")</f>
        <v>传世宝钻</v>
      </c>
      <c r="M301" s="1">
        <v>100</v>
      </c>
      <c r="O301" s="1" t="str">
        <f>IFERROR(INDEX([1]物品基础表!$A:$A,MATCH(N301,[1]物品基础表!$B:$B,0)),"")</f>
        <v/>
      </c>
      <c r="R301" s="1" t="str">
        <f>IFERROR(INDEX([1]物品基础表!$A:$A,MATCH(Q301,[1]物品基础表!$B:$B,0)),"")</f>
        <v/>
      </c>
      <c r="U301" s="1" t="str">
        <f>IFERROR(INDEX([1]物品基础表!$A:$A,MATCH(T301,[1]物品基础表!$B:$B,0)),"")</f>
        <v/>
      </c>
      <c r="X301" s="1" t="str">
        <f>IFERROR(INDEX([1]物品基础表!$A:$A,MATCH(W301,[1]物品基础表!$B:$B,0)),"")</f>
        <v/>
      </c>
      <c r="AA301" s="1" t="str">
        <f>IFERROR(INDEX([1]物品基础表!$A:$A,MATCH(Z301,[1]物品基础表!$B:$B,0)),"")</f>
        <v/>
      </c>
      <c r="AD301" s="1" t="str">
        <f>IFERROR(INDEX([1]物品基础表!$A:$A,MATCH(AC301,[1]物品基础表!$B:$B,0)),"")</f>
        <v/>
      </c>
      <c r="AG301" s="1" t="str">
        <f>IFERROR(INDEX([1]物品基础表!$A:$A,MATCH(AF301,[1]物品基础表!$B:$B,0)),"")</f>
        <v/>
      </c>
      <c r="AJ301" s="1" t="str">
        <f>IFERROR(INDEX([1]物品基础表!$A:$A,MATCH(AI301,[1]物品基础表!$B:$B,0)),"")</f>
        <v/>
      </c>
      <c r="AM301" s="1" t="str">
        <f>IFERROR(INDEX([1]物品基础表!$A:$A,MATCH(AL301,[1]物品基础表!$B:$B,0)),"")</f>
        <v/>
      </c>
      <c r="AP301" s="1" t="str">
        <f>IFERROR(INDEX([1]物品基础表!$A:$A,MATCH(AO301,[1]物品基础表!$B:$B,0)),"")</f>
        <v/>
      </c>
      <c r="AS301" s="1" t="str">
        <f>IFERROR(INDEX([1]物品基础表!$A:$A,MATCH(AR301,[1]物品基础表!$B:$B,0)),"")</f>
        <v/>
      </c>
      <c r="AV301" s="1" t="str">
        <f>IFERROR(INDEX([1]物品基础表!$A:$A,MATCH(AU301,[1]物品基础表!$B:$B,0)),"")</f>
        <v/>
      </c>
      <c r="AY301" s="1" t="str">
        <f>IFERROR(INDEX([1]物品基础表!$A:$A,MATCH(AX301,[1]物品基础表!$B:$B,0)),"")</f>
        <v/>
      </c>
      <c r="BB301" s="1" t="str">
        <f>IFERROR(INDEX([1]物品基础表!$A:$A,MATCH(BA301,[1]物品基础表!$B:$B,0)),"")</f>
        <v/>
      </c>
      <c r="BE301" s="1" t="str">
        <f>IFERROR(INDEX([1]物品基础表!$A:$A,MATCH(BD301,[1]物品基础表!$B:$B,0)),"")</f>
        <v/>
      </c>
      <c r="BH301" s="1" t="str">
        <f>IFERROR(INDEX([1]物品基础表!$A:$A,MATCH(BG301,[1]物品基础表!$B:$B,0)),"")</f>
        <v/>
      </c>
      <c r="BK301" s="1" t="str">
        <f>IFERROR(INDEX([1]物品基础表!$A:$A,MATCH(BJ301,[1]物品基础表!$B:$B,0)),"")</f>
        <v/>
      </c>
    </row>
    <row r="302" spans="1:64">
      <c r="A302" s="39" t="str">
        <f>INDEX([2]活动总表!$A$8:$A$429,MATCH(B302,[2]活动总表!$B$8:$B$429,0))</f>
        <v>元宵-福袋(15-40天)</v>
      </c>
      <c r="B302" s="40">
        <v>705</v>
      </c>
      <c r="C302" s="40">
        <v>12</v>
      </c>
      <c r="D302" s="40"/>
      <c r="E302" s="40"/>
      <c r="F302" s="40" t="s">
        <v>870</v>
      </c>
      <c r="G302" s="40">
        <v>2</v>
      </c>
      <c r="H302" s="40"/>
      <c r="I302" s="40"/>
      <c r="J302" s="57"/>
      <c r="K302" s="1">
        <v>200301</v>
      </c>
      <c r="L302" s="1" t="str">
        <f>IFERROR(INDEX([1]物品基础表!$A:$A,MATCH(K302,[1]物品基础表!$B:$B,0)),"")</f>
        <v>传世宝钻</v>
      </c>
      <c r="M302" s="1">
        <v>50</v>
      </c>
      <c r="O302" s="1" t="str">
        <f>IFERROR(INDEX([1]物品基础表!$A:$A,MATCH(N302,[1]物品基础表!$B:$B,0)),"")</f>
        <v/>
      </c>
      <c r="R302" s="1" t="str">
        <f>IFERROR(INDEX([1]物品基础表!$A:$A,MATCH(Q302,[1]物品基础表!$B:$B,0)),"")</f>
        <v/>
      </c>
      <c r="U302" s="1" t="str">
        <f>IFERROR(INDEX([1]物品基础表!$A:$A,MATCH(T302,[1]物品基础表!$B:$B,0)),"")</f>
        <v/>
      </c>
      <c r="X302" s="1" t="str">
        <f>IFERROR(INDEX([1]物品基础表!$A:$A,MATCH(W302,[1]物品基础表!$B:$B,0)),"")</f>
        <v/>
      </c>
      <c r="AA302" s="1" t="str">
        <f>IFERROR(INDEX([1]物品基础表!$A:$A,MATCH(Z302,[1]物品基础表!$B:$B,0)),"")</f>
        <v/>
      </c>
      <c r="AD302" s="1" t="str">
        <f>IFERROR(INDEX([1]物品基础表!$A:$A,MATCH(AC302,[1]物品基础表!$B:$B,0)),"")</f>
        <v/>
      </c>
      <c r="AG302" s="1" t="str">
        <f>IFERROR(INDEX([1]物品基础表!$A:$A,MATCH(AF302,[1]物品基础表!$B:$B,0)),"")</f>
        <v/>
      </c>
      <c r="AJ302" s="1" t="str">
        <f>IFERROR(INDEX([1]物品基础表!$A:$A,MATCH(AI302,[1]物品基础表!$B:$B,0)),"")</f>
        <v/>
      </c>
      <c r="AM302" s="1" t="str">
        <f>IFERROR(INDEX([1]物品基础表!$A:$A,MATCH(AL302,[1]物品基础表!$B:$B,0)),"")</f>
        <v/>
      </c>
      <c r="AP302" s="1" t="str">
        <f>IFERROR(INDEX([1]物品基础表!$A:$A,MATCH(AO302,[1]物品基础表!$B:$B,0)),"")</f>
        <v/>
      </c>
      <c r="AS302" s="1" t="str">
        <f>IFERROR(INDEX([1]物品基础表!$A:$A,MATCH(AR302,[1]物品基础表!$B:$B,0)),"")</f>
        <v/>
      </c>
      <c r="AV302" s="1" t="str">
        <f>IFERROR(INDEX([1]物品基础表!$A:$A,MATCH(AU302,[1]物品基础表!$B:$B,0)),"")</f>
        <v/>
      </c>
      <c r="AY302" s="1" t="str">
        <f>IFERROR(INDEX([1]物品基础表!$A:$A,MATCH(AX302,[1]物品基础表!$B:$B,0)),"")</f>
        <v/>
      </c>
      <c r="BB302" s="1" t="str">
        <f>IFERROR(INDEX([1]物品基础表!$A:$A,MATCH(BA302,[1]物品基础表!$B:$B,0)),"")</f>
        <v/>
      </c>
      <c r="BE302" s="1" t="str">
        <f>IFERROR(INDEX([1]物品基础表!$A:$A,MATCH(BD302,[1]物品基础表!$B:$B,0)),"")</f>
        <v/>
      </c>
      <c r="BH302" s="1" t="str">
        <f>IFERROR(INDEX([1]物品基础表!$A:$A,MATCH(BG302,[1]物品基础表!$B:$B,0)),"")</f>
        <v/>
      </c>
      <c r="BK302" s="1" t="str">
        <f>IFERROR(INDEX([1]物品基础表!$A:$A,MATCH(BJ302,[1]物品基础表!$B:$B,0)),"")</f>
        <v/>
      </c>
    </row>
    <row r="303" spans="1:64">
      <c r="A303" s="39" t="str">
        <f>INDEX([2]活动总表!$A$8:$A$429,MATCH(B303,[2]活动总表!$B$8:$B$429,0))</f>
        <v>元宵-福袋(15-40天)</v>
      </c>
      <c r="B303" s="40">
        <v>705</v>
      </c>
      <c r="C303" s="40">
        <v>13</v>
      </c>
      <c r="D303" s="40"/>
      <c r="E303" s="40"/>
      <c r="F303" s="40" t="s">
        <v>869</v>
      </c>
      <c r="G303" s="40">
        <v>2</v>
      </c>
      <c r="H303" s="40"/>
      <c r="I303" s="40"/>
      <c r="J303" s="57"/>
      <c r="K303" s="1">
        <v>200301</v>
      </c>
      <c r="L303" s="1" t="str">
        <f>IFERROR(INDEX([1]物品基础表!$A:$A,MATCH(K303,[1]物品基础表!$B:$B,0)),"")</f>
        <v>传世宝钻</v>
      </c>
      <c r="M303" s="1">
        <v>20</v>
      </c>
      <c r="O303" s="1" t="str">
        <f>IFERROR(INDEX([1]物品基础表!$A:$A,MATCH(N303,[1]物品基础表!$B:$B,0)),"")</f>
        <v/>
      </c>
      <c r="R303" s="1" t="str">
        <f>IFERROR(INDEX([1]物品基础表!$A:$A,MATCH(Q303,[1]物品基础表!$B:$B,0)),"")</f>
        <v/>
      </c>
      <c r="U303" s="1" t="str">
        <f>IFERROR(INDEX([1]物品基础表!$A:$A,MATCH(T303,[1]物品基础表!$B:$B,0)),"")</f>
        <v/>
      </c>
      <c r="X303" s="1" t="str">
        <f>IFERROR(INDEX([1]物品基础表!$A:$A,MATCH(W303,[1]物品基础表!$B:$B,0)),"")</f>
        <v/>
      </c>
      <c r="AA303" s="1" t="str">
        <f>IFERROR(INDEX([1]物品基础表!$A:$A,MATCH(Z303,[1]物品基础表!$B:$B,0)),"")</f>
        <v/>
      </c>
      <c r="AD303" s="1" t="str">
        <f>IFERROR(INDEX([1]物品基础表!$A:$A,MATCH(AC303,[1]物品基础表!$B:$B,0)),"")</f>
        <v/>
      </c>
      <c r="AG303" s="1" t="str">
        <f>IFERROR(INDEX([1]物品基础表!$A:$A,MATCH(AF303,[1]物品基础表!$B:$B,0)),"")</f>
        <v/>
      </c>
      <c r="AJ303" s="1" t="str">
        <f>IFERROR(INDEX([1]物品基础表!$A:$A,MATCH(AI303,[1]物品基础表!$B:$B,0)),"")</f>
        <v/>
      </c>
      <c r="AM303" s="1" t="str">
        <f>IFERROR(INDEX([1]物品基础表!$A:$A,MATCH(AL303,[1]物品基础表!$B:$B,0)),"")</f>
        <v/>
      </c>
      <c r="AP303" s="1" t="str">
        <f>IFERROR(INDEX([1]物品基础表!$A:$A,MATCH(AO303,[1]物品基础表!$B:$B,0)),"")</f>
        <v/>
      </c>
      <c r="AS303" s="1" t="str">
        <f>IFERROR(INDEX([1]物品基础表!$A:$A,MATCH(AR303,[1]物品基础表!$B:$B,0)),"")</f>
        <v/>
      </c>
      <c r="AV303" s="1" t="str">
        <f>IFERROR(INDEX([1]物品基础表!$A:$A,MATCH(AU303,[1]物品基础表!$B:$B,0)),"")</f>
        <v/>
      </c>
      <c r="AY303" s="1" t="str">
        <f>IFERROR(INDEX([1]物品基础表!$A:$A,MATCH(AX303,[1]物品基础表!$B:$B,0)),"")</f>
        <v/>
      </c>
      <c r="BB303" s="1" t="str">
        <f>IFERROR(INDEX([1]物品基础表!$A:$A,MATCH(BA303,[1]物品基础表!$B:$B,0)),"")</f>
        <v/>
      </c>
      <c r="BE303" s="1" t="str">
        <f>IFERROR(INDEX([1]物品基础表!$A:$A,MATCH(BD303,[1]物品基础表!$B:$B,0)),"")</f>
        <v/>
      </c>
      <c r="BH303" s="1" t="str">
        <f>IFERROR(INDEX([1]物品基础表!$A:$A,MATCH(BG303,[1]物品基础表!$B:$B,0)),"")</f>
        <v/>
      </c>
      <c r="BK303" s="1" t="str">
        <f>IFERROR(INDEX([1]物品基础表!$A:$A,MATCH(BJ303,[1]物品基础表!$B:$B,0)),"")</f>
        <v/>
      </c>
    </row>
    <row r="304" spans="1:64">
      <c r="A304" s="39" t="str">
        <f>INDEX([2]活动总表!$A$8:$A$429,MATCH(B304,[2]活动总表!$B$8:$B$429,0))</f>
        <v>元宵-福袋(15-40天)</v>
      </c>
      <c r="B304" s="40">
        <v>705</v>
      </c>
      <c r="C304" s="40">
        <v>14</v>
      </c>
      <c r="D304" s="40"/>
      <c r="E304" s="40"/>
      <c r="F304" s="40" t="s">
        <v>871</v>
      </c>
      <c r="G304" s="40">
        <v>2</v>
      </c>
      <c r="H304" s="40"/>
      <c r="I304" s="40"/>
      <c r="J304" s="57"/>
      <c r="K304" s="1">
        <v>204132</v>
      </c>
      <c r="L304" s="1" t="str">
        <f>IFERROR(INDEX([1]物品基础表!$A:$A,MATCH(K304,[1]物品基础表!$B:$B,0)),"")</f>
        <v>橙色图鉴包·倾国倾城</v>
      </c>
      <c r="M304" s="1">
        <v>1</v>
      </c>
      <c r="O304" s="1" t="str">
        <f>IFERROR(INDEX([1]物品基础表!$A:$A,MATCH(N304,[1]物品基础表!$B:$B,0)),"")</f>
        <v/>
      </c>
      <c r="R304" s="1" t="str">
        <f>IFERROR(INDEX([1]物品基础表!$A:$A,MATCH(Q304,[1]物品基础表!$B:$B,0)),"")</f>
        <v/>
      </c>
      <c r="U304" s="1" t="str">
        <f>IFERROR(INDEX([1]物品基础表!$A:$A,MATCH(T304,[1]物品基础表!$B:$B,0)),"")</f>
        <v/>
      </c>
      <c r="X304" s="1" t="str">
        <f>IFERROR(INDEX([1]物品基础表!$A:$A,MATCH(W304,[1]物品基础表!$B:$B,0)),"")</f>
        <v/>
      </c>
      <c r="AA304" s="1" t="str">
        <f>IFERROR(INDEX([1]物品基础表!$A:$A,MATCH(Z304,[1]物品基础表!$B:$B,0)),"")</f>
        <v/>
      </c>
      <c r="AD304" s="1" t="str">
        <f>IFERROR(INDEX([1]物品基础表!$A:$A,MATCH(AC304,[1]物品基础表!$B:$B,0)),"")</f>
        <v/>
      </c>
      <c r="AG304" s="1" t="str">
        <f>IFERROR(INDEX([1]物品基础表!$A:$A,MATCH(AF304,[1]物品基础表!$B:$B,0)),"")</f>
        <v/>
      </c>
      <c r="AJ304" s="1" t="str">
        <f>IFERROR(INDEX([1]物品基础表!$A:$A,MATCH(AI304,[1]物品基础表!$B:$B,0)),"")</f>
        <v/>
      </c>
      <c r="AM304" s="1" t="str">
        <f>IFERROR(INDEX([1]物品基础表!$A:$A,MATCH(AL304,[1]物品基础表!$B:$B,0)),"")</f>
        <v/>
      </c>
      <c r="AP304" s="1" t="str">
        <f>IFERROR(INDEX([1]物品基础表!$A:$A,MATCH(AO304,[1]物品基础表!$B:$B,0)),"")</f>
        <v/>
      </c>
      <c r="AS304" s="1" t="str">
        <f>IFERROR(INDEX([1]物品基础表!$A:$A,MATCH(AR304,[1]物品基础表!$B:$B,0)),"")</f>
        <v/>
      </c>
      <c r="AV304" s="1" t="str">
        <f>IFERROR(INDEX([1]物品基础表!$A:$A,MATCH(AU304,[1]物品基础表!$B:$B,0)),"")</f>
        <v/>
      </c>
      <c r="AY304" s="1" t="str">
        <f>IFERROR(INDEX([1]物品基础表!$A:$A,MATCH(AX304,[1]物品基础表!$B:$B,0)),"")</f>
        <v/>
      </c>
      <c r="BB304" s="1" t="str">
        <f>IFERROR(INDEX([1]物品基础表!$A:$A,MATCH(BA304,[1]物品基础表!$B:$B,0)),"")</f>
        <v/>
      </c>
      <c r="BE304" s="1" t="str">
        <f>IFERROR(INDEX([1]物品基础表!$A:$A,MATCH(BD304,[1]物品基础表!$B:$B,0)),"")</f>
        <v/>
      </c>
      <c r="BH304" s="1" t="str">
        <f>IFERROR(INDEX([1]物品基础表!$A:$A,MATCH(BG304,[1]物品基础表!$B:$B,0)),"")</f>
        <v/>
      </c>
      <c r="BK304" s="1" t="str">
        <f>IFERROR(INDEX([1]物品基础表!$A:$A,MATCH(BJ304,[1]物品基础表!$B:$B,0)),"")</f>
        <v/>
      </c>
    </row>
    <row r="305" spans="1:63">
      <c r="A305" s="39" t="str">
        <f>INDEX([2]活动总表!$A$8:$A$429,MATCH(B305,[2]活动总表!$B$8:$B$429,0))</f>
        <v>元宵-福袋(15-40天)</v>
      </c>
      <c r="B305" s="40">
        <v>705</v>
      </c>
      <c r="C305" s="40">
        <v>15</v>
      </c>
      <c r="D305" s="40"/>
      <c r="E305" s="40"/>
      <c r="F305" s="40" t="s">
        <v>872</v>
      </c>
      <c r="G305" s="40">
        <v>2</v>
      </c>
      <c r="H305" s="40"/>
      <c r="I305" s="40"/>
      <c r="J305" s="57"/>
      <c r="K305" s="1">
        <v>204136</v>
      </c>
      <c r="L305" s="1" t="str">
        <f>IFERROR(INDEX([1]物品基础表!$A:$A,MATCH(K305,[1]物品基础表!$B:$B,0)),"")</f>
        <v>轮回宝箱（8转）</v>
      </c>
      <c r="M305" s="1">
        <v>1</v>
      </c>
      <c r="O305" s="1" t="str">
        <f>IFERROR(INDEX([1]物品基础表!$A:$A,MATCH(N305,[1]物品基础表!$B:$B,0)),"")</f>
        <v/>
      </c>
      <c r="R305" s="1" t="str">
        <f>IFERROR(INDEX([1]物品基础表!$A:$A,MATCH(Q305,[1]物品基础表!$B:$B,0)),"")</f>
        <v/>
      </c>
      <c r="U305" s="1" t="str">
        <f>IFERROR(INDEX([1]物品基础表!$A:$A,MATCH(T305,[1]物品基础表!$B:$B,0)),"")</f>
        <v/>
      </c>
      <c r="X305" s="1" t="str">
        <f>IFERROR(INDEX([1]物品基础表!$A:$A,MATCH(W305,[1]物品基础表!$B:$B,0)),"")</f>
        <v/>
      </c>
      <c r="AA305" s="1" t="str">
        <f>IFERROR(INDEX([1]物品基础表!$A:$A,MATCH(Z305,[1]物品基础表!$B:$B,0)),"")</f>
        <v/>
      </c>
      <c r="AD305" s="1" t="str">
        <f>IFERROR(INDEX([1]物品基础表!$A:$A,MATCH(AC305,[1]物品基础表!$B:$B,0)),"")</f>
        <v/>
      </c>
      <c r="AG305" s="1" t="str">
        <f>IFERROR(INDEX([1]物品基础表!$A:$A,MATCH(AF305,[1]物品基础表!$B:$B,0)),"")</f>
        <v/>
      </c>
      <c r="AJ305" s="1" t="str">
        <f>IFERROR(INDEX([1]物品基础表!$A:$A,MATCH(AI305,[1]物品基础表!$B:$B,0)),"")</f>
        <v/>
      </c>
      <c r="AM305" s="1" t="str">
        <f>IFERROR(INDEX([1]物品基础表!$A:$A,MATCH(AL305,[1]物品基础表!$B:$B,0)),"")</f>
        <v/>
      </c>
      <c r="AP305" s="1" t="str">
        <f>IFERROR(INDEX([1]物品基础表!$A:$A,MATCH(AO305,[1]物品基础表!$B:$B,0)),"")</f>
        <v/>
      </c>
      <c r="AS305" s="1" t="str">
        <f>IFERROR(INDEX([1]物品基础表!$A:$A,MATCH(AR305,[1]物品基础表!$B:$B,0)),"")</f>
        <v/>
      </c>
      <c r="AV305" s="1" t="str">
        <f>IFERROR(INDEX([1]物品基础表!$A:$A,MATCH(AU305,[1]物品基础表!$B:$B,0)),"")</f>
        <v/>
      </c>
      <c r="AY305" s="1" t="str">
        <f>IFERROR(INDEX([1]物品基础表!$A:$A,MATCH(AX305,[1]物品基础表!$B:$B,0)),"")</f>
        <v/>
      </c>
      <c r="BB305" s="1" t="str">
        <f>IFERROR(INDEX([1]物品基础表!$A:$A,MATCH(BA305,[1]物品基础表!$B:$B,0)),"")</f>
        <v/>
      </c>
      <c r="BE305" s="1" t="str">
        <f>IFERROR(INDEX([1]物品基础表!$A:$A,MATCH(BD305,[1]物品基础表!$B:$B,0)),"")</f>
        <v/>
      </c>
      <c r="BH305" s="1" t="str">
        <f>IFERROR(INDEX([1]物品基础表!$A:$A,MATCH(BG305,[1]物品基础表!$B:$B,0)),"")</f>
        <v/>
      </c>
      <c r="BK305" s="1" t="str">
        <f>IFERROR(INDEX([1]物品基础表!$A:$A,MATCH(BJ305,[1]物品基础表!$B:$B,0)),"")</f>
        <v/>
      </c>
    </row>
    <row r="306" spans="1:63">
      <c r="A306" s="39" t="str">
        <f>INDEX([2]活动总表!$A$8:$A$429,MATCH(B306,[2]活动总表!$B$8:$B$429,0))</f>
        <v>元宵-福袋(15-40天)</v>
      </c>
      <c r="B306" s="40">
        <v>705</v>
      </c>
      <c r="C306" s="40">
        <v>16</v>
      </c>
      <c r="D306" s="40"/>
      <c r="E306" s="40"/>
      <c r="F306" s="40" t="s">
        <v>873</v>
      </c>
      <c r="G306" s="40">
        <v>2</v>
      </c>
      <c r="H306" s="40"/>
      <c r="I306" s="40"/>
      <c r="J306" s="57"/>
      <c r="K306" s="1">
        <v>204135</v>
      </c>
      <c r="L306" s="1" t="str">
        <f>IFERROR(INDEX([1]物品基础表!$A:$A,MATCH(K306,[1]物品基础表!$B:$B,0)),"")</f>
        <v>轮回宝箱（7转）</v>
      </c>
      <c r="M306" s="1">
        <v>1</v>
      </c>
      <c r="O306" s="1" t="str">
        <f>IFERROR(INDEX([1]物品基础表!$A:$A,MATCH(N306,[1]物品基础表!$B:$B,0)),"")</f>
        <v/>
      </c>
      <c r="R306" s="1" t="str">
        <f>IFERROR(INDEX([1]物品基础表!$A:$A,MATCH(Q306,[1]物品基础表!$B:$B,0)),"")</f>
        <v/>
      </c>
      <c r="U306" s="1" t="str">
        <f>IFERROR(INDEX([1]物品基础表!$A:$A,MATCH(T306,[1]物品基础表!$B:$B,0)),"")</f>
        <v/>
      </c>
      <c r="X306" s="1" t="str">
        <f>IFERROR(INDEX([1]物品基础表!$A:$A,MATCH(W306,[1]物品基础表!$B:$B,0)),"")</f>
        <v/>
      </c>
      <c r="AA306" s="1" t="str">
        <f>IFERROR(INDEX([1]物品基础表!$A:$A,MATCH(Z306,[1]物品基础表!$B:$B,0)),"")</f>
        <v/>
      </c>
      <c r="AD306" s="1" t="str">
        <f>IFERROR(INDEX([1]物品基础表!$A:$A,MATCH(AC306,[1]物品基础表!$B:$B,0)),"")</f>
        <v/>
      </c>
      <c r="AG306" s="1" t="str">
        <f>IFERROR(INDEX([1]物品基础表!$A:$A,MATCH(AF306,[1]物品基础表!$B:$B,0)),"")</f>
        <v/>
      </c>
      <c r="AJ306" s="1" t="str">
        <f>IFERROR(INDEX([1]物品基础表!$A:$A,MATCH(AI306,[1]物品基础表!$B:$B,0)),"")</f>
        <v/>
      </c>
      <c r="AM306" s="1" t="str">
        <f>IFERROR(INDEX([1]物品基础表!$A:$A,MATCH(AL306,[1]物品基础表!$B:$B,0)),"")</f>
        <v/>
      </c>
      <c r="AP306" s="1" t="str">
        <f>IFERROR(INDEX([1]物品基础表!$A:$A,MATCH(AO306,[1]物品基础表!$B:$B,0)),"")</f>
        <v/>
      </c>
      <c r="AS306" s="1" t="str">
        <f>IFERROR(INDEX([1]物品基础表!$A:$A,MATCH(AR306,[1]物品基础表!$B:$B,0)),"")</f>
        <v/>
      </c>
      <c r="AV306" s="1" t="str">
        <f>IFERROR(INDEX([1]物品基础表!$A:$A,MATCH(AU306,[1]物品基础表!$B:$B,0)),"")</f>
        <v/>
      </c>
      <c r="AY306" s="1" t="str">
        <f>IFERROR(INDEX([1]物品基础表!$A:$A,MATCH(AX306,[1]物品基础表!$B:$B,0)),"")</f>
        <v/>
      </c>
      <c r="BB306" s="1" t="str">
        <f>IFERROR(INDEX([1]物品基础表!$A:$A,MATCH(BA306,[1]物品基础表!$B:$B,0)),"")</f>
        <v/>
      </c>
      <c r="BE306" s="1" t="str">
        <f>IFERROR(INDEX([1]物品基础表!$A:$A,MATCH(BD306,[1]物品基础表!$B:$B,0)),"")</f>
        <v/>
      </c>
      <c r="BH306" s="1" t="str">
        <f>IFERROR(INDEX([1]物品基础表!$A:$A,MATCH(BG306,[1]物品基础表!$B:$B,0)),"")</f>
        <v/>
      </c>
      <c r="BK306" s="1" t="str">
        <f>IFERROR(INDEX([1]物品基础表!$A:$A,MATCH(BJ306,[1]物品基础表!$B:$B,0)),"")</f>
        <v/>
      </c>
    </row>
    <row r="307" spans="1:63">
      <c r="A307" s="39" t="str">
        <f>INDEX([2]活动总表!$A$8:$A$429,MATCH(B307,[2]活动总表!$B$8:$B$429,0))</f>
        <v>元宵-福袋(15-40天)</v>
      </c>
      <c r="B307" s="40">
        <v>705</v>
      </c>
      <c r="C307" s="40">
        <v>17</v>
      </c>
      <c r="D307" s="40"/>
      <c r="E307" s="40"/>
      <c r="F307" s="40" t="s">
        <v>881</v>
      </c>
      <c r="G307" s="40">
        <v>2</v>
      </c>
      <c r="H307" s="40"/>
      <c r="I307" s="40"/>
      <c r="J307" s="57"/>
      <c r="K307" s="1">
        <v>200001</v>
      </c>
      <c r="L307" s="1" t="str">
        <f>IFERROR(INDEX([1]物品基础表!$A:$A,MATCH(K307,[1]物品基础表!$B:$B,0)),"")</f>
        <v>羽毛</v>
      </c>
      <c r="M307" s="1">
        <v>5</v>
      </c>
      <c r="O307" s="1" t="str">
        <f>IFERROR(INDEX([1]物品基础表!$A:$A,MATCH(N307,[1]物品基础表!$B:$B,0)),"")</f>
        <v/>
      </c>
      <c r="R307" s="1" t="str">
        <f>IFERROR(INDEX([1]物品基础表!$A:$A,MATCH(Q307,[1]物品基础表!$B:$B,0)),"")</f>
        <v/>
      </c>
      <c r="U307" s="1" t="str">
        <f>IFERROR(INDEX([1]物品基础表!$A:$A,MATCH(T307,[1]物品基础表!$B:$B,0)),"")</f>
        <v/>
      </c>
      <c r="X307" s="1" t="str">
        <f>IFERROR(INDEX([1]物品基础表!$A:$A,MATCH(W307,[1]物品基础表!$B:$B,0)),"")</f>
        <v/>
      </c>
      <c r="AA307" s="1" t="str">
        <f>IFERROR(INDEX([1]物品基础表!$A:$A,MATCH(Z307,[1]物品基础表!$B:$B,0)),"")</f>
        <v/>
      </c>
      <c r="AD307" s="1" t="str">
        <f>IFERROR(INDEX([1]物品基础表!$A:$A,MATCH(AC307,[1]物品基础表!$B:$B,0)),"")</f>
        <v/>
      </c>
      <c r="AG307" s="1" t="str">
        <f>IFERROR(INDEX([1]物品基础表!$A:$A,MATCH(AF307,[1]物品基础表!$B:$B,0)),"")</f>
        <v/>
      </c>
      <c r="AJ307" s="1" t="str">
        <f>IFERROR(INDEX([1]物品基础表!$A:$A,MATCH(AI307,[1]物品基础表!$B:$B,0)),"")</f>
        <v/>
      </c>
      <c r="AM307" s="1" t="str">
        <f>IFERROR(INDEX([1]物品基础表!$A:$A,MATCH(AL307,[1]物品基础表!$B:$B,0)),"")</f>
        <v/>
      </c>
      <c r="AP307" s="1" t="str">
        <f>IFERROR(INDEX([1]物品基础表!$A:$A,MATCH(AO307,[1]物品基础表!$B:$B,0)),"")</f>
        <v/>
      </c>
      <c r="AS307" s="1" t="str">
        <f>IFERROR(INDEX([1]物品基础表!$A:$A,MATCH(AR307,[1]物品基础表!$B:$B,0)),"")</f>
        <v/>
      </c>
      <c r="AV307" s="1" t="str">
        <f>IFERROR(INDEX([1]物品基础表!$A:$A,MATCH(AU307,[1]物品基础表!$B:$B,0)),"")</f>
        <v/>
      </c>
      <c r="AY307" s="1" t="str">
        <f>IFERROR(INDEX([1]物品基础表!$A:$A,MATCH(AX307,[1]物品基础表!$B:$B,0)),"")</f>
        <v/>
      </c>
      <c r="BB307" s="1" t="str">
        <f>IFERROR(INDEX([1]物品基础表!$A:$A,MATCH(BA307,[1]物品基础表!$B:$B,0)),"")</f>
        <v/>
      </c>
      <c r="BE307" s="1" t="str">
        <f>IFERROR(INDEX([1]物品基础表!$A:$A,MATCH(BD307,[1]物品基础表!$B:$B,0)),"")</f>
        <v/>
      </c>
      <c r="BH307" s="1" t="str">
        <f>IFERROR(INDEX([1]物品基础表!$A:$A,MATCH(BG307,[1]物品基础表!$B:$B,0)),"")</f>
        <v/>
      </c>
      <c r="BK307" s="1" t="str">
        <f>IFERROR(INDEX([1]物品基础表!$A:$A,MATCH(BJ307,[1]物品基础表!$B:$B,0)),"")</f>
        <v/>
      </c>
    </row>
    <row r="308" spans="1:63">
      <c r="A308" s="39" t="str">
        <f>INDEX([2]活动总表!$A$8:$A$429,MATCH(B308,[2]活动总表!$B$8:$B$429,0))</f>
        <v>元宵-福袋(15-40天)</v>
      </c>
      <c r="B308" s="40">
        <v>705</v>
      </c>
      <c r="C308" s="40">
        <v>18</v>
      </c>
      <c r="D308" s="40"/>
      <c r="E308" s="40"/>
      <c r="F308" s="40" t="s">
        <v>877</v>
      </c>
      <c r="G308" s="40">
        <v>2</v>
      </c>
      <c r="H308" s="40"/>
      <c r="I308" s="40"/>
      <c r="J308" s="57"/>
      <c r="K308" s="1">
        <v>200001</v>
      </c>
      <c r="L308" s="1" t="str">
        <f>IFERROR(INDEX([1]物品基础表!$A:$A,MATCH(K308,[1]物品基础表!$B:$B,0)),"")</f>
        <v>羽毛</v>
      </c>
      <c r="M308" s="1">
        <v>8</v>
      </c>
      <c r="O308" s="1" t="str">
        <f>IFERROR(INDEX([1]物品基础表!$A:$A,MATCH(N308,[1]物品基础表!$B:$B,0)),"")</f>
        <v/>
      </c>
      <c r="R308" s="1" t="str">
        <f>IFERROR(INDEX([1]物品基础表!$A:$A,MATCH(Q308,[1]物品基础表!$B:$B,0)),"")</f>
        <v/>
      </c>
      <c r="U308" s="1" t="str">
        <f>IFERROR(INDEX([1]物品基础表!$A:$A,MATCH(T308,[1]物品基础表!$B:$B,0)),"")</f>
        <v/>
      </c>
      <c r="X308" s="1" t="str">
        <f>IFERROR(INDEX([1]物品基础表!$A:$A,MATCH(W308,[1]物品基础表!$B:$B,0)),"")</f>
        <v/>
      </c>
      <c r="AA308" s="1" t="str">
        <f>IFERROR(INDEX([1]物品基础表!$A:$A,MATCH(Z308,[1]物品基础表!$B:$B,0)),"")</f>
        <v/>
      </c>
      <c r="AD308" s="1" t="str">
        <f>IFERROR(INDEX([1]物品基础表!$A:$A,MATCH(AC308,[1]物品基础表!$B:$B,0)),"")</f>
        <v/>
      </c>
      <c r="AG308" s="1" t="str">
        <f>IFERROR(INDEX([1]物品基础表!$A:$A,MATCH(AF308,[1]物品基础表!$B:$B,0)),"")</f>
        <v/>
      </c>
      <c r="AJ308" s="1" t="str">
        <f>IFERROR(INDEX([1]物品基础表!$A:$A,MATCH(AI308,[1]物品基础表!$B:$B,0)),"")</f>
        <v/>
      </c>
      <c r="AM308" s="1" t="str">
        <f>IFERROR(INDEX([1]物品基础表!$A:$A,MATCH(AL308,[1]物品基础表!$B:$B,0)),"")</f>
        <v/>
      </c>
      <c r="AP308" s="1" t="str">
        <f>IFERROR(INDEX([1]物品基础表!$A:$A,MATCH(AO308,[1]物品基础表!$B:$B,0)),"")</f>
        <v/>
      </c>
      <c r="AS308" s="1" t="str">
        <f>IFERROR(INDEX([1]物品基础表!$A:$A,MATCH(AR308,[1]物品基础表!$B:$B,0)),"")</f>
        <v/>
      </c>
      <c r="AV308" s="1" t="str">
        <f>IFERROR(INDEX([1]物品基础表!$A:$A,MATCH(AU308,[1]物品基础表!$B:$B,0)),"")</f>
        <v/>
      </c>
      <c r="AY308" s="1" t="str">
        <f>IFERROR(INDEX([1]物品基础表!$A:$A,MATCH(AX308,[1]物品基础表!$B:$B,0)),"")</f>
        <v/>
      </c>
      <c r="BB308" s="1" t="str">
        <f>IFERROR(INDEX([1]物品基础表!$A:$A,MATCH(BA308,[1]物品基础表!$B:$B,0)),"")</f>
        <v/>
      </c>
      <c r="BE308" s="1" t="str">
        <f>IFERROR(INDEX([1]物品基础表!$A:$A,MATCH(BD308,[1]物品基础表!$B:$B,0)),"")</f>
        <v/>
      </c>
      <c r="BH308" s="1" t="str">
        <f>IFERROR(INDEX([1]物品基础表!$A:$A,MATCH(BG308,[1]物品基础表!$B:$B,0)),"")</f>
        <v/>
      </c>
      <c r="BK308" s="1" t="str">
        <f>IFERROR(INDEX([1]物品基础表!$A:$A,MATCH(BJ308,[1]物品基础表!$B:$B,0)),"")</f>
        <v/>
      </c>
    </row>
    <row r="309" spans="1:63">
      <c r="A309" s="39" t="str">
        <f>INDEX([2]活动总表!$A$8:$A$429,MATCH(B309,[2]活动总表!$B$8:$B$429,0))</f>
        <v>元宵-福袋(15-40天)</v>
      </c>
      <c r="B309" s="40">
        <v>705</v>
      </c>
      <c r="C309" s="40">
        <v>19</v>
      </c>
      <c r="D309" s="40"/>
      <c r="E309" s="40"/>
      <c r="F309" s="40" t="s">
        <v>879</v>
      </c>
      <c r="G309" s="40">
        <v>2</v>
      </c>
      <c r="H309" s="40"/>
      <c r="I309" s="40"/>
      <c r="J309" s="57"/>
      <c r="K309" s="1">
        <v>200001</v>
      </c>
      <c r="L309" s="1" t="str">
        <f>IFERROR(INDEX([1]物品基础表!$A:$A,MATCH(K309,[1]物品基础表!$B:$B,0)),"")</f>
        <v>羽毛</v>
      </c>
      <c r="M309" s="1">
        <v>10</v>
      </c>
      <c r="O309" s="1" t="str">
        <f>IFERROR(INDEX([1]物品基础表!$A:$A,MATCH(N309,[1]物品基础表!$B:$B,0)),"")</f>
        <v/>
      </c>
      <c r="R309" s="1" t="str">
        <f>IFERROR(INDEX([1]物品基础表!$A:$A,MATCH(Q309,[1]物品基础表!$B:$B,0)),"")</f>
        <v/>
      </c>
      <c r="U309" s="1" t="str">
        <f>IFERROR(INDEX([1]物品基础表!$A:$A,MATCH(T309,[1]物品基础表!$B:$B,0)),"")</f>
        <v/>
      </c>
      <c r="X309" s="1" t="str">
        <f>IFERROR(INDEX([1]物品基础表!$A:$A,MATCH(W309,[1]物品基础表!$B:$B,0)),"")</f>
        <v/>
      </c>
      <c r="AA309" s="1" t="str">
        <f>IFERROR(INDEX([1]物品基础表!$A:$A,MATCH(Z309,[1]物品基础表!$B:$B,0)),"")</f>
        <v/>
      </c>
      <c r="AD309" s="1" t="str">
        <f>IFERROR(INDEX([1]物品基础表!$A:$A,MATCH(AC309,[1]物品基础表!$B:$B,0)),"")</f>
        <v/>
      </c>
      <c r="AG309" s="1" t="str">
        <f>IFERROR(INDEX([1]物品基础表!$A:$A,MATCH(AF309,[1]物品基础表!$B:$B,0)),"")</f>
        <v/>
      </c>
      <c r="AJ309" s="1" t="str">
        <f>IFERROR(INDEX([1]物品基础表!$A:$A,MATCH(AI309,[1]物品基础表!$B:$B,0)),"")</f>
        <v/>
      </c>
      <c r="AM309" s="1" t="str">
        <f>IFERROR(INDEX([1]物品基础表!$A:$A,MATCH(AL309,[1]物品基础表!$B:$B,0)),"")</f>
        <v/>
      </c>
      <c r="AP309" s="1" t="str">
        <f>IFERROR(INDEX([1]物品基础表!$A:$A,MATCH(AO309,[1]物品基础表!$B:$B,0)),"")</f>
        <v/>
      </c>
      <c r="AS309" s="1" t="str">
        <f>IFERROR(INDEX([1]物品基础表!$A:$A,MATCH(AR309,[1]物品基础表!$B:$B,0)),"")</f>
        <v/>
      </c>
      <c r="AV309" s="1" t="str">
        <f>IFERROR(INDEX([1]物品基础表!$A:$A,MATCH(AU309,[1]物品基础表!$B:$B,0)),"")</f>
        <v/>
      </c>
      <c r="AY309" s="1" t="str">
        <f>IFERROR(INDEX([1]物品基础表!$A:$A,MATCH(AX309,[1]物品基础表!$B:$B,0)),"")</f>
        <v/>
      </c>
      <c r="BB309" s="1" t="str">
        <f>IFERROR(INDEX([1]物品基础表!$A:$A,MATCH(BA309,[1]物品基础表!$B:$B,0)),"")</f>
        <v/>
      </c>
      <c r="BE309" s="1" t="str">
        <f>IFERROR(INDEX([1]物品基础表!$A:$A,MATCH(BD309,[1]物品基础表!$B:$B,0)),"")</f>
        <v/>
      </c>
      <c r="BH309" s="1" t="str">
        <f>IFERROR(INDEX([1]物品基础表!$A:$A,MATCH(BG309,[1]物品基础表!$B:$B,0)),"")</f>
        <v/>
      </c>
      <c r="BK309" s="1" t="str">
        <f>IFERROR(INDEX([1]物品基础表!$A:$A,MATCH(BJ309,[1]物品基础表!$B:$B,0)),"")</f>
        <v/>
      </c>
    </row>
    <row r="310" spans="1:63">
      <c r="A310" s="39" t="str">
        <f>INDEX([2]活动总表!$A$8:$A$429,MATCH(B310,[2]活动总表!$B$8:$B$429,0))</f>
        <v>元宵-福袋(15-40天)</v>
      </c>
      <c r="B310" s="40">
        <v>705</v>
      </c>
      <c r="C310" s="40">
        <v>20</v>
      </c>
      <c r="D310" s="40"/>
      <c r="E310" s="40"/>
      <c r="F310" s="40" t="s">
        <v>881</v>
      </c>
      <c r="G310" s="40">
        <v>2</v>
      </c>
      <c r="H310" s="40"/>
      <c r="I310" s="40"/>
      <c r="J310" s="57"/>
      <c r="K310" s="1">
        <v>200001</v>
      </c>
      <c r="L310" s="1" t="str">
        <f>IFERROR(INDEX([1]物品基础表!$A:$A,MATCH(K310,[1]物品基础表!$B:$B,0)),"")</f>
        <v>羽毛</v>
      </c>
      <c r="M310" s="1">
        <v>15</v>
      </c>
      <c r="O310" s="1" t="str">
        <f>IFERROR(INDEX([1]物品基础表!$A:$A,MATCH(N310,[1]物品基础表!$B:$B,0)),"")</f>
        <v/>
      </c>
      <c r="R310" s="1" t="str">
        <f>IFERROR(INDEX([1]物品基础表!$A:$A,MATCH(Q310,[1]物品基础表!$B:$B,0)),"")</f>
        <v/>
      </c>
      <c r="U310" s="1" t="str">
        <f>IFERROR(INDEX([1]物品基础表!$A:$A,MATCH(T310,[1]物品基础表!$B:$B,0)),"")</f>
        <v/>
      </c>
      <c r="X310" s="1" t="str">
        <f>IFERROR(INDEX([1]物品基础表!$A:$A,MATCH(W310,[1]物品基础表!$B:$B,0)),"")</f>
        <v/>
      </c>
      <c r="AA310" s="1" t="str">
        <f>IFERROR(INDEX([1]物品基础表!$A:$A,MATCH(Z310,[1]物品基础表!$B:$B,0)),"")</f>
        <v/>
      </c>
      <c r="AD310" s="1" t="str">
        <f>IFERROR(INDEX([1]物品基础表!$A:$A,MATCH(AC310,[1]物品基础表!$B:$B,0)),"")</f>
        <v/>
      </c>
      <c r="AG310" s="1" t="str">
        <f>IFERROR(INDEX([1]物品基础表!$A:$A,MATCH(AF310,[1]物品基础表!$B:$B,0)),"")</f>
        <v/>
      </c>
      <c r="AJ310" s="1" t="str">
        <f>IFERROR(INDEX([1]物品基础表!$A:$A,MATCH(AI310,[1]物品基础表!$B:$B,0)),"")</f>
        <v/>
      </c>
      <c r="AM310" s="1" t="str">
        <f>IFERROR(INDEX([1]物品基础表!$A:$A,MATCH(AL310,[1]物品基础表!$B:$B,0)),"")</f>
        <v/>
      </c>
      <c r="AP310" s="1" t="str">
        <f>IFERROR(INDEX([1]物品基础表!$A:$A,MATCH(AO310,[1]物品基础表!$B:$B,0)),"")</f>
        <v/>
      </c>
      <c r="AS310" s="1" t="str">
        <f>IFERROR(INDEX([1]物品基础表!$A:$A,MATCH(AR310,[1]物品基础表!$B:$B,0)),"")</f>
        <v/>
      </c>
      <c r="AV310" s="1" t="str">
        <f>IFERROR(INDEX([1]物品基础表!$A:$A,MATCH(AU310,[1]物品基础表!$B:$B,0)),"")</f>
        <v/>
      </c>
      <c r="AY310" s="1" t="str">
        <f>IFERROR(INDEX([1]物品基础表!$A:$A,MATCH(AX310,[1]物品基础表!$B:$B,0)),"")</f>
        <v/>
      </c>
      <c r="BB310" s="1" t="str">
        <f>IFERROR(INDEX([1]物品基础表!$A:$A,MATCH(BA310,[1]物品基础表!$B:$B,0)),"")</f>
        <v/>
      </c>
      <c r="BE310" s="1" t="str">
        <f>IFERROR(INDEX([1]物品基础表!$A:$A,MATCH(BD310,[1]物品基础表!$B:$B,0)),"")</f>
        <v/>
      </c>
      <c r="BH310" s="1" t="str">
        <f>IFERROR(INDEX([1]物品基础表!$A:$A,MATCH(BG310,[1]物品基础表!$B:$B,0)),"")</f>
        <v/>
      </c>
      <c r="BK310" s="1" t="str">
        <f>IFERROR(INDEX([1]物品基础表!$A:$A,MATCH(BJ310,[1]物品基础表!$B:$B,0)),"")</f>
        <v/>
      </c>
    </row>
    <row r="311" spans="1:63">
      <c r="A311" s="39" t="str">
        <f>INDEX([2]活动总表!$A$8:$A$429,MATCH(B311,[2]活动总表!$B$8:$B$429,0))</f>
        <v>元宵-福袋(15-40天)</v>
      </c>
      <c r="B311" s="40">
        <v>705</v>
      </c>
      <c r="C311" s="40">
        <v>21</v>
      </c>
      <c r="D311" s="40"/>
      <c r="E311" s="40"/>
      <c r="F311" s="40" t="s">
        <v>882</v>
      </c>
      <c r="G311" s="40">
        <v>2</v>
      </c>
      <c r="H311" s="40"/>
      <c r="I311" s="40"/>
      <c r="J311" s="57"/>
      <c r="K311" s="1">
        <v>200005</v>
      </c>
      <c r="L311" s="1" t="str">
        <f>IFERROR(INDEX([1]物品基础表!$A:$A,MATCH(K311,[1]物品基础表!$B:$B,0)),"")</f>
        <v>龙魂碎片</v>
      </c>
      <c r="M311" s="1">
        <v>5</v>
      </c>
      <c r="O311" s="1" t="str">
        <f>IFERROR(INDEX([1]物品基础表!$A:$A,MATCH(N311,[1]物品基础表!$B:$B,0)),"")</f>
        <v/>
      </c>
      <c r="R311" s="1" t="str">
        <f>IFERROR(INDEX([1]物品基础表!$A:$A,MATCH(Q311,[1]物品基础表!$B:$B,0)),"")</f>
        <v/>
      </c>
      <c r="U311" s="1" t="str">
        <f>IFERROR(INDEX([1]物品基础表!$A:$A,MATCH(T311,[1]物品基础表!$B:$B,0)),"")</f>
        <v/>
      </c>
      <c r="X311" s="1" t="str">
        <f>IFERROR(INDEX([1]物品基础表!$A:$A,MATCH(W311,[1]物品基础表!$B:$B,0)),"")</f>
        <v/>
      </c>
      <c r="AA311" s="1" t="str">
        <f>IFERROR(INDEX([1]物品基础表!$A:$A,MATCH(Z311,[1]物品基础表!$B:$B,0)),"")</f>
        <v/>
      </c>
      <c r="AD311" s="1" t="str">
        <f>IFERROR(INDEX([1]物品基础表!$A:$A,MATCH(AC311,[1]物品基础表!$B:$B,0)),"")</f>
        <v/>
      </c>
      <c r="AG311" s="1" t="str">
        <f>IFERROR(INDEX([1]物品基础表!$A:$A,MATCH(AF311,[1]物品基础表!$B:$B,0)),"")</f>
        <v/>
      </c>
      <c r="AJ311" s="1" t="str">
        <f>IFERROR(INDEX([1]物品基础表!$A:$A,MATCH(AI311,[1]物品基础表!$B:$B,0)),"")</f>
        <v/>
      </c>
      <c r="AM311" s="1" t="str">
        <f>IFERROR(INDEX([1]物品基础表!$A:$A,MATCH(AL311,[1]物品基础表!$B:$B,0)),"")</f>
        <v/>
      </c>
      <c r="AP311" s="1" t="str">
        <f>IFERROR(INDEX([1]物品基础表!$A:$A,MATCH(AO311,[1]物品基础表!$B:$B,0)),"")</f>
        <v/>
      </c>
      <c r="AS311" s="1" t="str">
        <f>IFERROR(INDEX([1]物品基础表!$A:$A,MATCH(AR311,[1]物品基础表!$B:$B,0)),"")</f>
        <v/>
      </c>
      <c r="AV311" s="1" t="str">
        <f>IFERROR(INDEX([1]物品基础表!$A:$A,MATCH(AU311,[1]物品基础表!$B:$B,0)),"")</f>
        <v/>
      </c>
      <c r="AY311" s="1" t="str">
        <f>IFERROR(INDEX([1]物品基础表!$A:$A,MATCH(AX311,[1]物品基础表!$B:$B,0)),"")</f>
        <v/>
      </c>
      <c r="BB311" s="1" t="str">
        <f>IFERROR(INDEX([1]物品基础表!$A:$A,MATCH(BA311,[1]物品基础表!$B:$B,0)),"")</f>
        <v/>
      </c>
      <c r="BE311" s="1" t="str">
        <f>IFERROR(INDEX([1]物品基础表!$A:$A,MATCH(BD311,[1]物品基础表!$B:$B,0)),"")</f>
        <v/>
      </c>
      <c r="BH311" s="1" t="str">
        <f>IFERROR(INDEX([1]物品基础表!$A:$A,MATCH(BG311,[1]物品基础表!$B:$B,0)),"")</f>
        <v/>
      </c>
      <c r="BK311" s="1" t="str">
        <f>IFERROR(INDEX([1]物品基础表!$A:$A,MATCH(BJ311,[1]物品基础表!$B:$B,0)),"")</f>
        <v/>
      </c>
    </row>
    <row r="312" spans="1:63">
      <c r="A312" s="39" t="str">
        <f>INDEX([2]活动总表!$A$8:$A$429,MATCH(B312,[2]活动总表!$B$8:$B$429,0))</f>
        <v>元宵-福袋(15-40天)</v>
      </c>
      <c r="B312" s="40">
        <v>705</v>
      </c>
      <c r="C312" s="40">
        <v>22</v>
      </c>
      <c r="D312" s="40"/>
      <c r="E312" s="40"/>
      <c r="F312" s="40" t="s">
        <v>883</v>
      </c>
      <c r="G312" s="40">
        <v>2</v>
      </c>
      <c r="H312" s="40"/>
      <c r="I312" s="40"/>
      <c r="J312" s="57"/>
      <c r="K312" s="1">
        <v>200005</v>
      </c>
      <c r="L312" s="1" t="str">
        <f>IFERROR(INDEX([1]物品基础表!$A:$A,MATCH(K312,[1]物品基础表!$B:$B,0)),"")</f>
        <v>龙魂碎片</v>
      </c>
      <c r="M312" s="1">
        <v>8</v>
      </c>
      <c r="O312" s="1" t="str">
        <f>IFERROR(INDEX([1]物品基础表!$A:$A,MATCH(N312,[1]物品基础表!$B:$B,0)),"")</f>
        <v/>
      </c>
      <c r="R312" s="1" t="str">
        <f>IFERROR(INDEX([1]物品基础表!$A:$A,MATCH(Q312,[1]物品基础表!$B:$B,0)),"")</f>
        <v/>
      </c>
      <c r="U312" s="1" t="str">
        <f>IFERROR(INDEX([1]物品基础表!$A:$A,MATCH(T312,[1]物品基础表!$B:$B,0)),"")</f>
        <v/>
      </c>
      <c r="X312" s="1" t="str">
        <f>IFERROR(INDEX([1]物品基础表!$A:$A,MATCH(W312,[1]物品基础表!$B:$B,0)),"")</f>
        <v/>
      </c>
      <c r="AA312" s="1" t="str">
        <f>IFERROR(INDEX([1]物品基础表!$A:$A,MATCH(Z312,[1]物品基础表!$B:$B,0)),"")</f>
        <v/>
      </c>
      <c r="AD312" s="1" t="str">
        <f>IFERROR(INDEX([1]物品基础表!$A:$A,MATCH(AC312,[1]物品基础表!$B:$B,0)),"")</f>
        <v/>
      </c>
      <c r="AG312" s="1" t="str">
        <f>IFERROR(INDEX([1]物品基础表!$A:$A,MATCH(AF312,[1]物品基础表!$B:$B,0)),"")</f>
        <v/>
      </c>
      <c r="AJ312" s="1" t="str">
        <f>IFERROR(INDEX([1]物品基础表!$A:$A,MATCH(AI312,[1]物品基础表!$B:$B,0)),"")</f>
        <v/>
      </c>
      <c r="AM312" s="1" t="str">
        <f>IFERROR(INDEX([1]物品基础表!$A:$A,MATCH(AL312,[1]物品基础表!$B:$B,0)),"")</f>
        <v/>
      </c>
      <c r="AP312" s="1" t="str">
        <f>IFERROR(INDEX([1]物品基础表!$A:$A,MATCH(AO312,[1]物品基础表!$B:$B,0)),"")</f>
        <v/>
      </c>
      <c r="AS312" s="1" t="str">
        <f>IFERROR(INDEX([1]物品基础表!$A:$A,MATCH(AR312,[1]物品基础表!$B:$B,0)),"")</f>
        <v/>
      </c>
      <c r="AV312" s="1" t="str">
        <f>IFERROR(INDEX([1]物品基础表!$A:$A,MATCH(AU312,[1]物品基础表!$B:$B,0)),"")</f>
        <v/>
      </c>
      <c r="AY312" s="1" t="str">
        <f>IFERROR(INDEX([1]物品基础表!$A:$A,MATCH(AX312,[1]物品基础表!$B:$B,0)),"")</f>
        <v/>
      </c>
      <c r="BB312" s="1" t="str">
        <f>IFERROR(INDEX([1]物品基础表!$A:$A,MATCH(BA312,[1]物品基础表!$B:$B,0)),"")</f>
        <v/>
      </c>
      <c r="BE312" s="1" t="str">
        <f>IFERROR(INDEX([1]物品基础表!$A:$A,MATCH(BD312,[1]物品基础表!$B:$B,0)),"")</f>
        <v/>
      </c>
      <c r="BH312" s="1" t="str">
        <f>IFERROR(INDEX([1]物品基础表!$A:$A,MATCH(BG312,[1]物品基础表!$B:$B,0)),"")</f>
        <v/>
      </c>
      <c r="BK312" s="1" t="str">
        <f>IFERROR(INDEX([1]物品基础表!$A:$A,MATCH(BJ312,[1]物品基础表!$B:$B,0)),"")</f>
        <v/>
      </c>
    </row>
    <row r="313" spans="1:63">
      <c r="A313" s="39" t="str">
        <f>INDEX([2]活动总表!$A$8:$A$429,MATCH(B313,[2]活动总表!$B$8:$B$429,0))</f>
        <v>元宵-福袋(15-40天)</v>
      </c>
      <c r="B313" s="40">
        <v>705</v>
      </c>
      <c r="C313" s="40">
        <v>23</v>
      </c>
      <c r="D313" s="40"/>
      <c r="E313" s="40"/>
      <c r="F313" s="40" t="s">
        <v>884</v>
      </c>
      <c r="G313" s="40">
        <v>2</v>
      </c>
      <c r="H313" s="40"/>
      <c r="I313" s="40"/>
      <c r="J313" s="57"/>
      <c r="K313" s="1">
        <v>200005</v>
      </c>
      <c r="L313" s="1" t="str">
        <f>IFERROR(INDEX([1]物品基础表!$A:$A,MATCH(K313,[1]物品基础表!$B:$B,0)),"")</f>
        <v>龙魂碎片</v>
      </c>
      <c r="M313" s="1">
        <v>10</v>
      </c>
      <c r="O313" s="1" t="str">
        <f>IFERROR(INDEX([1]物品基础表!$A:$A,MATCH(N313,[1]物品基础表!$B:$B,0)),"")</f>
        <v/>
      </c>
      <c r="R313" s="1" t="str">
        <f>IFERROR(INDEX([1]物品基础表!$A:$A,MATCH(Q313,[1]物品基础表!$B:$B,0)),"")</f>
        <v/>
      </c>
      <c r="U313" s="1" t="str">
        <f>IFERROR(INDEX([1]物品基础表!$A:$A,MATCH(T313,[1]物品基础表!$B:$B,0)),"")</f>
        <v/>
      </c>
      <c r="X313" s="1" t="str">
        <f>IFERROR(INDEX([1]物品基础表!$A:$A,MATCH(W313,[1]物品基础表!$B:$B,0)),"")</f>
        <v/>
      </c>
      <c r="AA313" s="1" t="str">
        <f>IFERROR(INDEX([1]物品基础表!$A:$A,MATCH(Z313,[1]物品基础表!$B:$B,0)),"")</f>
        <v/>
      </c>
      <c r="AD313" s="1" t="str">
        <f>IFERROR(INDEX([1]物品基础表!$A:$A,MATCH(AC313,[1]物品基础表!$B:$B,0)),"")</f>
        <v/>
      </c>
      <c r="AG313" s="1" t="str">
        <f>IFERROR(INDEX([1]物品基础表!$A:$A,MATCH(AF313,[1]物品基础表!$B:$B,0)),"")</f>
        <v/>
      </c>
      <c r="AJ313" s="1" t="str">
        <f>IFERROR(INDEX([1]物品基础表!$A:$A,MATCH(AI313,[1]物品基础表!$B:$B,0)),"")</f>
        <v/>
      </c>
      <c r="AM313" s="1" t="str">
        <f>IFERROR(INDEX([1]物品基础表!$A:$A,MATCH(AL313,[1]物品基础表!$B:$B,0)),"")</f>
        <v/>
      </c>
      <c r="AP313" s="1" t="str">
        <f>IFERROR(INDEX([1]物品基础表!$A:$A,MATCH(AO313,[1]物品基础表!$B:$B,0)),"")</f>
        <v/>
      </c>
      <c r="AS313" s="1" t="str">
        <f>IFERROR(INDEX([1]物品基础表!$A:$A,MATCH(AR313,[1]物品基础表!$B:$B,0)),"")</f>
        <v/>
      </c>
      <c r="AV313" s="1" t="str">
        <f>IFERROR(INDEX([1]物品基础表!$A:$A,MATCH(AU313,[1]物品基础表!$B:$B,0)),"")</f>
        <v/>
      </c>
      <c r="AY313" s="1" t="str">
        <f>IFERROR(INDEX([1]物品基础表!$A:$A,MATCH(AX313,[1]物品基础表!$B:$B,0)),"")</f>
        <v/>
      </c>
      <c r="BB313" s="1" t="str">
        <f>IFERROR(INDEX([1]物品基础表!$A:$A,MATCH(BA313,[1]物品基础表!$B:$B,0)),"")</f>
        <v/>
      </c>
      <c r="BE313" s="1" t="str">
        <f>IFERROR(INDEX([1]物品基础表!$A:$A,MATCH(BD313,[1]物品基础表!$B:$B,0)),"")</f>
        <v/>
      </c>
      <c r="BH313" s="1" t="str">
        <f>IFERROR(INDEX([1]物品基础表!$A:$A,MATCH(BG313,[1]物品基础表!$B:$B,0)),"")</f>
        <v/>
      </c>
      <c r="BK313" s="1" t="str">
        <f>IFERROR(INDEX([1]物品基础表!$A:$A,MATCH(BJ313,[1]物品基础表!$B:$B,0)),"")</f>
        <v/>
      </c>
    </row>
    <row r="314" spans="1:63">
      <c r="A314" s="39" t="str">
        <f>INDEX([2]活动总表!$A$8:$A$429,MATCH(B314,[2]活动总表!$B$8:$B$429,0))</f>
        <v>元宵-福袋(15-40天)</v>
      </c>
      <c r="B314" s="40">
        <v>705</v>
      </c>
      <c r="C314" s="40">
        <v>24</v>
      </c>
      <c r="D314" s="40"/>
      <c r="E314" s="40"/>
      <c r="F314" s="40" t="s">
        <v>885</v>
      </c>
      <c r="G314" s="40">
        <v>2</v>
      </c>
      <c r="H314" s="40"/>
      <c r="I314" s="40"/>
      <c r="J314" s="57"/>
      <c r="K314" s="1">
        <v>200005</v>
      </c>
      <c r="L314" s="1" t="str">
        <f>IFERROR(INDEX([1]物品基础表!$A:$A,MATCH(K314,[1]物品基础表!$B:$B,0)),"")</f>
        <v>龙魂碎片</v>
      </c>
      <c r="M314" s="1">
        <v>15</v>
      </c>
      <c r="O314" s="1" t="str">
        <f>IFERROR(INDEX([1]物品基础表!$A:$A,MATCH(N314,[1]物品基础表!$B:$B,0)),"")</f>
        <v/>
      </c>
      <c r="R314" s="1" t="str">
        <f>IFERROR(INDEX([1]物品基础表!$A:$A,MATCH(Q314,[1]物品基础表!$B:$B,0)),"")</f>
        <v/>
      </c>
      <c r="U314" s="1" t="str">
        <f>IFERROR(INDEX([1]物品基础表!$A:$A,MATCH(T314,[1]物品基础表!$B:$B,0)),"")</f>
        <v/>
      </c>
      <c r="X314" s="1" t="str">
        <f>IFERROR(INDEX([1]物品基础表!$A:$A,MATCH(W314,[1]物品基础表!$B:$B,0)),"")</f>
        <v/>
      </c>
      <c r="AA314" s="1" t="str">
        <f>IFERROR(INDEX([1]物品基础表!$A:$A,MATCH(Z314,[1]物品基础表!$B:$B,0)),"")</f>
        <v/>
      </c>
      <c r="AD314" s="1" t="str">
        <f>IFERROR(INDEX([1]物品基础表!$A:$A,MATCH(AC314,[1]物品基础表!$B:$B,0)),"")</f>
        <v/>
      </c>
      <c r="AG314" s="1" t="str">
        <f>IFERROR(INDEX([1]物品基础表!$A:$A,MATCH(AF314,[1]物品基础表!$B:$B,0)),"")</f>
        <v/>
      </c>
      <c r="AJ314" s="1" t="str">
        <f>IFERROR(INDEX([1]物品基础表!$A:$A,MATCH(AI314,[1]物品基础表!$B:$B,0)),"")</f>
        <v/>
      </c>
      <c r="AM314" s="1" t="str">
        <f>IFERROR(INDEX([1]物品基础表!$A:$A,MATCH(AL314,[1]物品基础表!$B:$B,0)),"")</f>
        <v/>
      </c>
      <c r="AP314" s="1" t="str">
        <f>IFERROR(INDEX([1]物品基础表!$A:$A,MATCH(AO314,[1]物品基础表!$B:$B,0)),"")</f>
        <v/>
      </c>
      <c r="AS314" s="1" t="str">
        <f>IFERROR(INDEX([1]物品基础表!$A:$A,MATCH(AR314,[1]物品基础表!$B:$B,0)),"")</f>
        <v/>
      </c>
      <c r="AV314" s="1" t="str">
        <f>IFERROR(INDEX([1]物品基础表!$A:$A,MATCH(AU314,[1]物品基础表!$B:$B,0)),"")</f>
        <v/>
      </c>
      <c r="AY314" s="1" t="str">
        <f>IFERROR(INDEX([1]物品基础表!$A:$A,MATCH(AX314,[1]物品基础表!$B:$B,0)),"")</f>
        <v/>
      </c>
      <c r="BB314" s="1" t="str">
        <f>IFERROR(INDEX([1]物品基础表!$A:$A,MATCH(BA314,[1]物品基础表!$B:$B,0)),"")</f>
        <v/>
      </c>
      <c r="BE314" s="1" t="str">
        <f>IFERROR(INDEX([1]物品基础表!$A:$A,MATCH(BD314,[1]物品基础表!$B:$B,0)),"")</f>
        <v/>
      </c>
      <c r="BH314" s="1" t="str">
        <f>IFERROR(INDEX([1]物品基础表!$A:$A,MATCH(BG314,[1]物品基础表!$B:$B,0)),"")</f>
        <v/>
      </c>
      <c r="BK314" s="1" t="str">
        <f>IFERROR(INDEX([1]物品基础表!$A:$A,MATCH(BJ314,[1]物品基础表!$B:$B,0)),"")</f>
        <v/>
      </c>
    </row>
    <row r="315" spans="1:63">
      <c r="A315" s="39" t="str">
        <f>INDEX([2]活动总表!$A$8:$A$429,MATCH(B315,[2]活动总表!$B$8:$B$429,0))</f>
        <v>元宵-福袋(15-40天)</v>
      </c>
      <c r="B315" s="40">
        <v>705</v>
      </c>
      <c r="C315" s="40">
        <v>25</v>
      </c>
      <c r="D315" s="40"/>
      <c r="E315" s="40"/>
      <c r="F315" s="40" t="s">
        <v>881</v>
      </c>
      <c r="G315" s="40">
        <v>2</v>
      </c>
      <c r="H315" s="40"/>
      <c r="I315" s="40"/>
      <c r="J315" s="57"/>
      <c r="K315" s="1">
        <v>200167</v>
      </c>
      <c r="L315" s="1" t="str">
        <f>IFERROR(INDEX([1]物品基础表!$A:$A,MATCH(K315,[1]物品基础表!$B:$B,0)),"")</f>
        <v>黑铁</v>
      </c>
      <c r="M315" s="1">
        <v>200</v>
      </c>
      <c r="O315" s="1" t="str">
        <f>IFERROR(INDEX([1]物品基础表!$A:$A,MATCH(N315,[1]物品基础表!$B:$B,0)),"")</f>
        <v/>
      </c>
      <c r="R315" s="1" t="str">
        <f>IFERROR(INDEX([1]物品基础表!$A:$A,MATCH(Q315,[1]物品基础表!$B:$B,0)),"")</f>
        <v/>
      </c>
      <c r="U315" s="1" t="str">
        <f>IFERROR(INDEX([1]物品基础表!$A:$A,MATCH(T315,[1]物品基础表!$B:$B,0)),"")</f>
        <v/>
      </c>
      <c r="X315" s="1" t="str">
        <f>IFERROR(INDEX([1]物品基础表!$A:$A,MATCH(W315,[1]物品基础表!$B:$B,0)),"")</f>
        <v/>
      </c>
      <c r="AA315" s="1" t="str">
        <f>IFERROR(INDEX([1]物品基础表!$A:$A,MATCH(Z315,[1]物品基础表!$B:$B,0)),"")</f>
        <v/>
      </c>
      <c r="AD315" s="1" t="str">
        <f>IFERROR(INDEX([1]物品基础表!$A:$A,MATCH(AC315,[1]物品基础表!$B:$B,0)),"")</f>
        <v/>
      </c>
      <c r="AG315" s="1" t="str">
        <f>IFERROR(INDEX([1]物品基础表!$A:$A,MATCH(AF315,[1]物品基础表!$B:$B,0)),"")</f>
        <v/>
      </c>
      <c r="AJ315" s="1" t="str">
        <f>IFERROR(INDEX([1]物品基础表!$A:$A,MATCH(AI315,[1]物品基础表!$B:$B,0)),"")</f>
        <v/>
      </c>
      <c r="AM315" s="1" t="str">
        <f>IFERROR(INDEX([1]物品基础表!$A:$A,MATCH(AL315,[1]物品基础表!$B:$B,0)),"")</f>
        <v/>
      </c>
      <c r="AP315" s="1" t="str">
        <f>IFERROR(INDEX([1]物品基础表!$A:$A,MATCH(AO315,[1]物品基础表!$B:$B,0)),"")</f>
        <v/>
      </c>
      <c r="AS315" s="1" t="str">
        <f>IFERROR(INDEX([1]物品基础表!$A:$A,MATCH(AR315,[1]物品基础表!$B:$B,0)),"")</f>
        <v/>
      </c>
      <c r="AV315" s="1" t="str">
        <f>IFERROR(INDEX([1]物品基础表!$A:$A,MATCH(AU315,[1]物品基础表!$B:$B,0)),"")</f>
        <v/>
      </c>
      <c r="AY315" s="1" t="str">
        <f>IFERROR(INDEX([1]物品基础表!$A:$A,MATCH(AX315,[1]物品基础表!$B:$B,0)),"")</f>
        <v/>
      </c>
      <c r="BB315" s="1" t="str">
        <f>IFERROR(INDEX([1]物品基础表!$A:$A,MATCH(BA315,[1]物品基础表!$B:$B,0)),"")</f>
        <v/>
      </c>
      <c r="BE315" s="1" t="str">
        <f>IFERROR(INDEX([1]物品基础表!$A:$A,MATCH(BD315,[1]物品基础表!$B:$B,0)),"")</f>
        <v/>
      </c>
      <c r="BH315" s="1" t="str">
        <f>IFERROR(INDEX([1]物品基础表!$A:$A,MATCH(BG315,[1]物品基础表!$B:$B,0)),"")</f>
        <v/>
      </c>
      <c r="BK315" s="1" t="str">
        <f>IFERROR(INDEX([1]物品基础表!$A:$A,MATCH(BJ315,[1]物品基础表!$B:$B,0)),"")</f>
        <v/>
      </c>
    </row>
    <row r="316" spans="1:63">
      <c r="A316" s="39" t="str">
        <f>INDEX([2]活动总表!$A$8:$A$429,MATCH(B316,[2]活动总表!$B$8:$B$429,0))</f>
        <v>元宵-福袋(15-40天)</v>
      </c>
      <c r="B316" s="40">
        <v>705</v>
      </c>
      <c r="C316" s="40">
        <v>26</v>
      </c>
      <c r="D316" s="40"/>
      <c r="E316" s="40"/>
      <c r="F316" s="40" t="s">
        <v>886</v>
      </c>
      <c r="G316" s="40">
        <v>2</v>
      </c>
      <c r="H316" s="40"/>
      <c r="I316" s="40"/>
      <c r="J316" s="57"/>
      <c r="K316" s="1">
        <v>200167</v>
      </c>
      <c r="L316" s="1" t="str">
        <f>IFERROR(INDEX([1]物品基础表!$A:$A,MATCH(K316,[1]物品基础表!$B:$B,0)),"")</f>
        <v>黑铁</v>
      </c>
      <c r="M316" s="1">
        <v>500</v>
      </c>
      <c r="O316" s="1" t="str">
        <f>IFERROR(INDEX([1]物品基础表!$A:$A,MATCH(N316,[1]物品基础表!$B:$B,0)),"")</f>
        <v/>
      </c>
      <c r="R316" s="1" t="str">
        <f>IFERROR(INDEX([1]物品基础表!$A:$A,MATCH(Q316,[1]物品基础表!$B:$B,0)),"")</f>
        <v/>
      </c>
      <c r="U316" s="1" t="str">
        <f>IFERROR(INDEX([1]物品基础表!$A:$A,MATCH(T316,[1]物品基础表!$B:$B,0)),"")</f>
        <v/>
      </c>
      <c r="X316" s="1" t="str">
        <f>IFERROR(INDEX([1]物品基础表!$A:$A,MATCH(W316,[1]物品基础表!$B:$B,0)),"")</f>
        <v/>
      </c>
      <c r="AA316" s="1" t="str">
        <f>IFERROR(INDEX([1]物品基础表!$A:$A,MATCH(Z316,[1]物品基础表!$B:$B,0)),"")</f>
        <v/>
      </c>
      <c r="AD316" s="1" t="str">
        <f>IFERROR(INDEX([1]物品基础表!$A:$A,MATCH(AC316,[1]物品基础表!$B:$B,0)),"")</f>
        <v/>
      </c>
      <c r="AG316" s="1" t="str">
        <f>IFERROR(INDEX([1]物品基础表!$A:$A,MATCH(AF316,[1]物品基础表!$B:$B,0)),"")</f>
        <v/>
      </c>
      <c r="AJ316" s="1" t="str">
        <f>IFERROR(INDEX([1]物品基础表!$A:$A,MATCH(AI316,[1]物品基础表!$B:$B,0)),"")</f>
        <v/>
      </c>
      <c r="AM316" s="1" t="str">
        <f>IFERROR(INDEX([1]物品基础表!$A:$A,MATCH(AL316,[1]物品基础表!$B:$B,0)),"")</f>
        <v/>
      </c>
      <c r="AP316" s="1" t="str">
        <f>IFERROR(INDEX([1]物品基础表!$A:$A,MATCH(AO316,[1]物品基础表!$B:$B,0)),"")</f>
        <v/>
      </c>
      <c r="AS316" s="1" t="str">
        <f>IFERROR(INDEX([1]物品基础表!$A:$A,MATCH(AR316,[1]物品基础表!$B:$B,0)),"")</f>
        <v/>
      </c>
      <c r="AV316" s="1" t="str">
        <f>IFERROR(INDEX([1]物品基础表!$A:$A,MATCH(AU316,[1]物品基础表!$B:$B,0)),"")</f>
        <v/>
      </c>
      <c r="AY316" s="1" t="str">
        <f>IFERROR(INDEX([1]物品基础表!$A:$A,MATCH(AX316,[1]物品基础表!$B:$B,0)),"")</f>
        <v/>
      </c>
      <c r="BB316" s="1" t="str">
        <f>IFERROR(INDEX([1]物品基础表!$A:$A,MATCH(BA316,[1]物品基础表!$B:$B,0)),"")</f>
        <v/>
      </c>
      <c r="BE316" s="1" t="str">
        <f>IFERROR(INDEX([1]物品基础表!$A:$A,MATCH(BD316,[1]物品基础表!$B:$B,0)),"")</f>
        <v/>
      </c>
      <c r="BH316" s="1" t="str">
        <f>IFERROR(INDEX([1]物品基础表!$A:$A,MATCH(BG316,[1]物品基础表!$B:$B,0)),"")</f>
        <v/>
      </c>
      <c r="BK316" s="1" t="str">
        <f>IFERROR(INDEX([1]物品基础表!$A:$A,MATCH(BJ316,[1]物品基础表!$B:$B,0)),"")</f>
        <v/>
      </c>
    </row>
    <row r="317" spans="1:63">
      <c r="A317" s="39" t="str">
        <f>INDEX([2]活动总表!$A$8:$A$429,MATCH(B317,[2]活动总表!$B$8:$B$429,0))</f>
        <v>元宵-福袋(15-40天)</v>
      </c>
      <c r="B317" s="40">
        <v>705</v>
      </c>
      <c r="C317" s="40">
        <v>27</v>
      </c>
      <c r="D317" s="40"/>
      <c r="E317" s="40"/>
      <c r="F317" s="40" t="s">
        <v>885</v>
      </c>
      <c r="G317" s="40">
        <v>2</v>
      </c>
      <c r="H317" s="40"/>
      <c r="I317" s="40"/>
      <c r="J317" s="57"/>
      <c r="K317" s="1">
        <v>200167</v>
      </c>
      <c r="L317" s="1" t="str">
        <f>IFERROR(INDEX([1]物品基础表!$A:$A,MATCH(K317,[1]物品基础表!$B:$B,0)),"")</f>
        <v>黑铁</v>
      </c>
      <c r="M317" s="1">
        <v>1000</v>
      </c>
      <c r="O317" s="1" t="str">
        <f>IFERROR(INDEX([1]物品基础表!$A:$A,MATCH(N317,[1]物品基础表!$B:$B,0)),"")</f>
        <v/>
      </c>
      <c r="R317" s="1" t="str">
        <f>IFERROR(INDEX([1]物品基础表!$A:$A,MATCH(Q317,[1]物品基础表!$B:$B,0)),"")</f>
        <v/>
      </c>
      <c r="U317" s="1" t="str">
        <f>IFERROR(INDEX([1]物品基础表!$A:$A,MATCH(T317,[1]物品基础表!$B:$B,0)),"")</f>
        <v/>
      </c>
      <c r="X317" s="1" t="str">
        <f>IFERROR(INDEX([1]物品基础表!$A:$A,MATCH(W317,[1]物品基础表!$B:$B,0)),"")</f>
        <v/>
      </c>
      <c r="AA317" s="1" t="str">
        <f>IFERROR(INDEX([1]物品基础表!$A:$A,MATCH(Z317,[1]物品基础表!$B:$B,0)),"")</f>
        <v/>
      </c>
      <c r="AD317" s="1" t="str">
        <f>IFERROR(INDEX([1]物品基础表!$A:$A,MATCH(AC317,[1]物品基础表!$B:$B,0)),"")</f>
        <v/>
      </c>
      <c r="AG317" s="1" t="str">
        <f>IFERROR(INDEX([1]物品基础表!$A:$A,MATCH(AF317,[1]物品基础表!$B:$B,0)),"")</f>
        <v/>
      </c>
      <c r="AJ317" s="1" t="str">
        <f>IFERROR(INDEX([1]物品基础表!$A:$A,MATCH(AI317,[1]物品基础表!$B:$B,0)),"")</f>
        <v/>
      </c>
      <c r="AM317" s="1" t="str">
        <f>IFERROR(INDEX([1]物品基础表!$A:$A,MATCH(AL317,[1]物品基础表!$B:$B,0)),"")</f>
        <v/>
      </c>
      <c r="AP317" s="1" t="str">
        <f>IFERROR(INDEX([1]物品基础表!$A:$A,MATCH(AO317,[1]物品基础表!$B:$B,0)),"")</f>
        <v/>
      </c>
      <c r="AS317" s="1" t="str">
        <f>IFERROR(INDEX([1]物品基础表!$A:$A,MATCH(AR317,[1]物品基础表!$B:$B,0)),"")</f>
        <v/>
      </c>
      <c r="AV317" s="1" t="str">
        <f>IFERROR(INDEX([1]物品基础表!$A:$A,MATCH(AU317,[1]物品基础表!$B:$B,0)),"")</f>
        <v/>
      </c>
      <c r="AY317" s="1" t="str">
        <f>IFERROR(INDEX([1]物品基础表!$A:$A,MATCH(AX317,[1]物品基础表!$B:$B,0)),"")</f>
        <v/>
      </c>
      <c r="BB317" s="1" t="str">
        <f>IFERROR(INDEX([1]物品基础表!$A:$A,MATCH(BA317,[1]物品基础表!$B:$B,0)),"")</f>
        <v/>
      </c>
      <c r="BE317" s="1" t="str">
        <f>IFERROR(INDEX([1]物品基础表!$A:$A,MATCH(BD317,[1]物品基础表!$B:$B,0)),"")</f>
        <v/>
      </c>
      <c r="BH317" s="1" t="str">
        <f>IFERROR(INDEX([1]物品基础表!$A:$A,MATCH(BG317,[1]物品基础表!$B:$B,0)),"")</f>
        <v/>
      </c>
      <c r="BK317" s="1" t="str">
        <f>IFERROR(INDEX([1]物品基础表!$A:$A,MATCH(BJ317,[1]物品基础表!$B:$B,0)),"")</f>
        <v/>
      </c>
    </row>
    <row r="318" spans="1:63">
      <c r="A318" s="39" t="str">
        <f>INDEX([2]活动总表!$A$8:$A$429,MATCH(B318,[2]活动总表!$B$8:$B$429,0))</f>
        <v>元宵-福袋(15-40天)</v>
      </c>
      <c r="B318" s="40">
        <v>705</v>
      </c>
      <c r="C318" s="40">
        <v>28</v>
      </c>
      <c r="D318" s="40"/>
      <c r="E318" s="40"/>
      <c r="F318" s="40" t="s">
        <v>873</v>
      </c>
      <c r="G318" s="40">
        <v>2</v>
      </c>
      <c r="H318" s="40"/>
      <c r="I318" s="40"/>
      <c r="J318" s="57"/>
      <c r="K318" s="1">
        <v>200015</v>
      </c>
      <c r="L318" s="1" t="str">
        <f>IFERROR(INDEX([1]物品基础表!$A:$A,MATCH(K318,[1]物品基础表!$B:$B,0)),"")</f>
        <v>特戒碎片</v>
      </c>
      <c r="M318" s="1">
        <v>50</v>
      </c>
      <c r="O318" s="1" t="str">
        <f>IFERROR(INDEX([1]物品基础表!$A:$A,MATCH(N318,[1]物品基础表!$B:$B,0)),"")</f>
        <v/>
      </c>
      <c r="R318" s="1" t="str">
        <f>IFERROR(INDEX([1]物品基础表!$A:$A,MATCH(Q318,[1]物品基础表!$B:$B,0)),"")</f>
        <v/>
      </c>
      <c r="U318" s="1" t="str">
        <f>IFERROR(INDEX([1]物品基础表!$A:$A,MATCH(T318,[1]物品基础表!$B:$B,0)),"")</f>
        <v/>
      </c>
      <c r="X318" s="1" t="str">
        <f>IFERROR(INDEX([1]物品基础表!$A:$A,MATCH(W318,[1]物品基础表!$B:$B,0)),"")</f>
        <v/>
      </c>
      <c r="AA318" s="1" t="str">
        <f>IFERROR(INDEX([1]物品基础表!$A:$A,MATCH(Z318,[1]物品基础表!$B:$B,0)),"")</f>
        <v/>
      </c>
      <c r="AD318" s="1" t="str">
        <f>IFERROR(INDEX([1]物品基础表!$A:$A,MATCH(AC318,[1]物品基础表!$B:$B,0)),"")</f>
        <v/>
      </c>
      <c r="AG318" s="1" t="str">
        <f>IFERROR(INDEX([1]物品基础表!$A:$A,MATCH(AF318,[1]物品基础表!$B:$B,0)),"")</f>
        <v/>
      </c>
      <c r="AJ318" s="1" t="str">
        <f>IFERROR(INDEX([1]物品基础表!$A:$A,MATCH(AI318,[1]物品基础表!$B:$B,0)),"")</f>
        <v/>
      </c>
      <c r="AM318" s="1" t="str">
        <f>IFERROR(INDEX([1]物品基础表!$A:$A,MATCH(AL318,[1]物品基础表!$B:$B,0)),"")</f>
        <v/>
      </c>
      <c r="AP318" s="1" t="str">
        <f>IFERROR(INDEX([1]物品基础表!$A:$A,MATCH(AO318,[1]物品基础表!$B:$B,0)),"")</f>
        <v/>
      </c>
      <c r="AS318" s="1" t="str">
        <f>IFERROR(INDEX([1]物品基础表!$A:$A,MATCH(AR318,[1]物品基础表!$B:$B,0)),"")</f>
        <v/>
      </c>
      <c r="AV318" s="1" t="str">
        <f>IFERROR(INDEX([1]物品基础表!$A:$A,MATCH(AU318,[1]物品基础表!$B:$B,0)),"")</f>
        <v/>
      </c>
      <c r="AY318" s="1" t="str">
        <f>IFERROR(INDEX([1]物品基础表!$A:$A,MATCH(AX318,[1]物品基础表!$B:$B,0)),"")</f>
        <v/>
      </c>
      <c r="BB318" s="1" t="str">
        <f>IFERROR(INDEX([1]物品基础表!$A:$A,MATCH(BA318,[1]物品基础表!$B:$B,0)),"")</f>
        <v/>
      </c>
      <c r="BE318" s="1" t="str">
        <f>IFERROR(INDEX([1]物品基础表!$A:$A,MATCH(BD318,[1]物品基础表!$B:$B,0)),"")</f>
        <v/>
      </c>
      <c r="BH318" s="1" t="str">
        <f>IFERROR(INDEX([1]物品基础表!$A:$A,MATCH(BG318,[1]物品基础表!$B:$B,0)),"")</f>
        <v/>
      </c>
      <c r="BK318" s="1" t="str">
        <f>IFERROR(INDEX([1]物品基础表!$A:$A,MATCH(BJ318,[1]物品基础表!$B:$B,0)),"")</f>
        <v/>
      </c>
    </row>
    <row r="319" spans="1:63">
      <c r="A319" s="39" t="str">
        <f>INDEX([2]活动总表!$A$8:$A$429,MATCH(B319,[2]活动总表!$B$8:$B$429,0))</f>
        <v>元宵-福袋(15-40天)</v>
      </c>
      <c r="B319" s="40">
        <v>705</v>
      </c>
      <c r="C319" s="40">
        <v>29</v>
      </c>
      <c r="D319" s="40"/>
      <c r="E319" s="40"/>
      <c r="F319" s="40" t="s">
        <v>879</v>
      </c>
      <c r="G319" s="40">
        <v>2</v>
      </c>
      <c r="H319" s="40"/>
      <c r="I319" s="40"/>
      <c r="J319" s="57"/>
      <c r="K319" s="1">
        <v>200015</v>
      </c>
      <c r="L319" s="1" t="str">
        <f>IFERROR(INDEX([1]物品基础表!$A:$A,MATCH(K319,[1]物品基础表!$B:$B,0)),"")</f>
        <v>特戒碎片</v>
      </c>
      <c r="M319" s="1">
        <v>80</v>
      </c>
      <c r="O319" s="1" t="str">
        <f>IFERROR(INDEX([1]物品基础表!$A:$A,MATCH(N319,[1]物品基础表!$B:$B,0)),"")</f>
        <v/>
      </c>
      <c r="R319" s="1" t="str">
        <f>IFERROR(INDEX([1]物品基础表!$A:$A,MATCH(Q319,[1]物品基础表!$B:$B,0)),"")</f>
        <v/>
      </c>
      <c r="U319" s="1" t="str">
        <f>IFERROR(INDEX([1]物品基础表!$A:$A,MATCH(T319,[1]物品基础表!$B:$B,0)),"")</f>
        <v/>
      </c>
      <c r="X319" s="1" t="str">
        <f>IFERROR(INDEX([1]物品基础表!$A:$A,MATCH(W319,[1]物品基础表!$B:$B,0)),"")</f>
        <v/>
      </c>
      <c r="AA319" s="1" t="str">
        <f>IFERROR(INDEX([1]物品基础表!$A:$A,MATCH(Z319,[1]物品基础表!$B:$B,0)),"")</f>
        <v/>
      </c>
      <c r="AD319" s="1" t="str">
        <f>IFERROR(INDEX([1]物品基础表!$A:$A,MATCH(AC319,[1]物品基础表!$B:$B,0)),"")</f>
        <v/>
      </c>
      <c r="AG319" s="1" t="str">
        <f>IFERROR(INDEX([1]物品基础表!$A:$A,MATCH(AF319,[1]物品基础表!$B:$B,0)),"")</f>
        <v/>
      </c>
      <c r="AJ319" s="1" t="str">
        <f>IFERROR(INDEX([1]物品基础表!$A:$A,MATCH(AI319,[1]物品基础表!$B:$B,0)),"")</f>
        <v/>
      </c>
      <c r="AM319" s="1" t="str">
        <f>IFERROR(INDEX([1]物品基础表!$A:$A,MATCH(AL319,[1]物品基础表!$B:$B,0)),"")</f>
        <v/>
      </c>
      <c r="AP319" s="1" t="str">
        <f>IFERROR(INDEX([1]物品基础表!$A:$A,MATCH(AO319,[1]物品基础表!$B:$B,0)),"")</f>
        <v/>
      </c>
      <c r="AS319" s="1" t="str">
        <f>IFERROR(INDEX([1]物品基础表!$A:$A,MATCH(AR319,[1]物品基础表!$B:$B,0)),"")</f>
        <v/>
      </c>
      <c r="AV319" s="1" t="str">
        <f>IFERROR(INDEX([1]物品基础表!$A:$A,MATCH(AU319,[1]物品基础表!$B:$B,0)),"")</f>
        <v/>
      </c>
      <c r="AY319" s="1" t="str">
        <f>IFERROR(INDEX([1]物品基础表!$A:$A,MATCH(AX319,[1]物品基础表!$B:$B,0)),"")</f>
        <v/>
      </c>
      <c r="BB319" s="1" t="str">
        <f>IFERROR(INDEX([1]物品基础表!$A:$A,MATCH(BA319,[1]物品基础表!$B:$B,0)),"")</f>
        <v/>
      </c>
      <c r="BE319" s="1" t="str">
        <f>IFERROR(INDEX([1]物品基础表!$A:$A,MATCH(BD319,[1]物品基础表!$B:$B,0)),"")</f>
        <v/>
      </c>
      <c r="BH319" s="1" t="str">
        <f>IFERROR(INDEX([1]物品基础表!$A:$A,MATCH(BG319,[1]物品基础表!$B:$B,0)),"")</f>
        <v/>
      </c>
      <c r="BK319" s="1" t="str">
        <f>IFERROR(INDEX([1]物品基础表!$A:$A,MATCH(BJ319,[1]物品基础表!$B:$B,0)),"")</f>
        <v/>
      </c>
    </row>
    <row r="320" spans="1:63">
      <c r="A320" s="39" t="str">
        <f>INDEX([2]活动总表!$A$8:$A$429,MATCH(B320,[2]活动总表!$B$8:$B$429,0))</f>
        <v>元宵-福袋(15-40天)</v>
      </c>
      <c r="B320" s="40">
        <v>705</v>
      </c>
      <c r="C320" s="40">
        <v>30</v>
      </c>
      <c r="D320" s="40"/>
      <c r="E320" s="40"/>
      <c r="F320" s="40" t="s">
        <v>886</v>
      </c>
      <c r="G320" s="40">
        <v>2</v>
      </c>
      <c r="H320" s="40"/>
      <c r="I320" s="40"/>
      <c r="J320" s="57"/>
      <c r="K320" s="1">
        <v>200015</v>
      </c>
      <c r="L320" s="1" t="str">
        <f>IFERROR(INDEX([1]物品基础表!$A:$A,MATCH(K320,[1]物品基础表!$B:$B,0)),"")</f>
        <v>特戒碎片</v>
      </c>
      <c r="M320" s="1">
        <v>100</v>
      </c>
      <c r="O320" s="1" t="str">
        <f>IFERROR(INDEX([1]物品基础表!$A:$A,MATCH(N320,[1]物品基础表!$B:$B,0)),"")</f>
        <v/>
      </c>
      <c r="R320" s="1" t="str">
        <f>IFERROR(INDEX([1]物品基础表!$A:$A,MATCH(Q320,[1]物品基础表!$B:$B,0)),"")</f>
        <v/>
      </c>
      <c r="U320" s="1" t="str">
        <f>IFERROR(INDEX([1]物品基础表!$A:$A,MATCH(T320,[1]物品基础表!$B:$B,0)),"")</f>
        <v/>
      </c>
      <c r="X320" s="1" t="str">
        <f>IFERROR(INDEX([1]物品基础表!$A:$A,MATCH(W320,[1]物品基础表!$B:$B,0)),"")</f>
        <v/>
      </c>
      <c r="AA320" s="1" t="str">
        <f>IFERROR(INDEX([1]物品基础表!$A:$A,MATCH(Z320,[1]物品基础表!$B:$B,0)),"")</f>
        <v/>
      </c>
      <c r="AD320" s="1" t="str">
        <f>IFERROR(INDEX([1]物品基础表!$A:$A,MATCH(AC320,[1]物品基础表!$B:$B,0)),"")</f>
        <v/>
      </c>
      <c r="AG320" s="1" t="str">
        <f>IFERROR(INDEX([1]物品基础表!$A:$A,MATCH(AF320,[1]物品基础表!$B:$B,0)),"")</f>
        <v/>
      </c>
      <c r="AJ320" s="1" t="str">
        <f>IFERROR(INDEX([1]物品基础表!$A:$A,MATCH(AI320,[1]物品基础表!$B:$B,0)),"")</f>
        <v/>
      </c>
      <c r="AM320" s="1" t="str">
        <f>IFERROR(INDEX([1]物品基础表!$A:$A,MATCH(AL320,[1]物品基础表!$B:$B,0)),"")</f>
        <v/>
      </c>
      <c r="AP320" s="1" t="str">
        <f>IFERROR(INDEX([1]物品基础表!$A:$A,MATCH(AO320,[1]物品基础表!$B:$B,0)),"")</f>
        <v/>
      </c>
      <c r="AS320" s="1" t="str">
        <f>IFERROR(INDEX([1]物品基础表!$A:$A,MATCH(AR320,[1]物品基础表!$B:$B,0)),"")</f>
        <v/>
      </c>
      <c r="AV320" s="1" t="str">
        <f>IFERROR(INDEX([1]物品基础表!$A:$A,MATCH(AU320,[1]物品基础表!$B:$B,0)),"")</f>
        <v/>
      </c>
      <c r="AY320" s="1" t="str">
        <f>IFERROR(INDEX([1]物品基础表!$A:$A,MATCH(AX320,[1]物品基础表!$B:$B,0)),"")</f>
        <v/>
      </c>
      <c r="BB320" s="1" t="str">
        <f>IFERROR(INDEX([1]物品基础表!$A:$A,MATCH(BA320,[1]物品基础表!$B:$B,0)),"")</f>
        <v/>
      </c>
      <c r="BE320" s="1" t="str">
        <f>IFERROR(INDEX([1]物品基础表!$A:$A,MATCH(BD320,[1]物品基础表!$B:$B,0)),"")</f>
        <v/>
      </c>
      <c r="BH320" s="1" t="str">
        <f>IFERROR(INDEX([1]物品基础表!$A:$A,MATCH(BG320,[1]物品基础表!$B:$B,0)),"")</f>
        <v/>
      </c>
      <c r="BK320" s="1" t="str">
        <f>IFERROR(INDEX([1]物品基础表!$A:$A,MATCH(BJ320,[1]物品基础表!$B:$B,0)),"")</f>
        <v/>
      </c>
    </row>
    <row r="321" spans="1:64">
      <c r="A321" s="39" t="str">
        <f>INDEX([2]活动总表!$A$8:$A$429,MATCH(B321,[2]活动总表!$B$8:$B$429,0))</f>
        <v>元宵-福袋(41+天)</v>
      </c>
      <c r="B321" s="40">
        <v>706</v>
      </c>
      <c r="C321" s="40">
        <v>0</v>
      </c>
      <c r="D321" s="40"/>
      <c r="E321" s="40">
        <v>998</v>
      </c>
      <c r="F321" s="40"/>
      <c r="G321" s="40">
        <v>2</v>
      </c>
      <c r="H321" s="40"/>
      <c r="I321" s="40" t="s">
        <v>863</v>
      </c>
      <c r="J321" s="57"/>
      <c r="L321" s="1" t="str">
        <f>IFERROR(INDEX([1]物品基础表!$A:$A,MATCH(K321,[1]物品基础表!$B:$B,0)),"")</f>
        <v/>
      </c>
      <c r="N321" s="1">
        <v>201217</v>
      </c>
      <c r="O321" s="1" t="str">
        <f>IFERROR(INDEX([1]物品基础表!$A:$A,MATCH(N321,[1]物品基础表!$B:$B,0)),"")</f>
        <v>（41+）元宵福袋1</v>
      </c>
      <c r="P321" s="1">
        <v>1</v>
      </c>
      <c r="Q321" s="1">
        <v>201218</v>
      </c>
      <c r="R321" s="1" t="str">
        <f>IFERROR(INDEX([1]物品基础表!$A:$A,MATCH(Q321,[1]物品基础表!$B:$B,0)),"")</f>
        <v>（41+）元宵福袋2</v>
      </c>
      <c r="S321" s="1">
        <v>1</v>
      </c>
      <c r="T321" s="1">
        <v>201219</v>
      </c>
      <c r="U321" s="1" t="str">
        <f>IFERROR(INDEX([1]物品基础表!$A:$A,MATCH(T321,[1]物品基础表!$B:$B,0)),"")</f>
        <v>（41+）元宵福袋3</v>
      </c>
      <c r="V321" s="1">
        <v>1</v>
      </c>
      <c r="W321" s="1">
        <v>201220</v>
      </c>
      <c r="X321" s="1" t="str">
        <f>IFERROR(INDEX([1]物品基础表!$A:$A,MATCH(W321,[1]物品基础表!$B:$B,0)),"")</f>
        <v>（41+）元宵福袋4</v>
      </c>
      <c r="Y321" s="1">
        <v>1</v>
      </c>
      <c r="Z321" s="1">
        <v>201221</v>
      </c>
      <c r="AA321" s="1" t="str">
        <f>IFERROR(INDEX([1]物品基础表!$A:$A,MATCH(Z321,[1]物品基础表!$B:$B,0)),"")</f>
        <v>（41+）元宵福袋5</v>
      </c>
      <c r="AB321" s="1">
        <v>1</v>
      </c>
      <c r="AD321" s="1" t="str">
        <f>IFERROR(INDEX([1]物品基础表!$A:$A,MATCH(AC321,[1]物品基础表!$B:$B,0)),"")</f>
        <v/>
      </c>
      <c r="AF321" s="1">
        <v>201222</v>
      </c>
      <c r="AG321" s="1" t="str">
        <f>IFERROR(INDEX([1]物品基础表!$A:$A,MATCH(AF321,[1]物品基础表!$B:$B,0)),"")</f>
        <v>（41+）元宵福袋6</v>
      </c>
      <c r="AH321" s="1">
        <v>1</v>
      </c>
      <c r="AI321" s="1">
        <v>201223</v>
      </c>
      <c r="AJ321" s="1" t="str">
        <f>IFERROR(INDEX([1]物品基础表!$A:$A,MATCH(AI321,[1]物品基础表!$B:$B,0)),"")</f>
        <v>（41+）元宵福袋7</v>
      </c>
      <c r="AK321" s="1">
        <v>1</v>
      </c>
      <c r="AL321" s="1">
        <v>201224</v>
      </c>
      <c r="AM321" s="1" t="str">
        <f>IFERROR(INDEX([1]物品基础表!$A:$A,MATCH(AL321,[1]物品基础表!$B:$B,0)),"")</f>
        <v>（41+）元宵福袋8</v>
      </c>
      <c r="AN321" s="1">
        <v>1</v>
      </c>
      <c r="AO321" s="1">
        <v>201225</v>
      </c>
      <c r="AP321" s="1" t="str">
        <f>IFERROR(INDEX([1]物品基础表!$A:$A,MATCH(AO321,[1]物品基础表!$B:$B,0)),"")</f>
        <v>（41+）元宵福袋9</v>
      </c>
      <c r="AQ321" s="1">
        <v>1</v>
      </c>
      <c r="AR321" s="1">
        <v>201226</v>
      </c>
      <c r="AS321" s="1" t="str">
        <f>IFERROR(INDEX([1]物品基础表!$A:$A,MATCH(AR321,[1]物品基础表!$B:$B,0)),"")</f>
        <v>（41+）元宵福袋10</v>
      </c>
      <c r="AT321" s="1">
        <v>1</v>
      </c>
      <c r="AU321" s="1">
        <v>201227</v>
      </c>
      <c r="AV321" s="1" t="str">
        <f>IFERROR(INDEX([1]物品基础表!$A:$A,MATCH(AU321,[1]物品基础表!$B:$B,0)),"")</f>
        <v>（41+）元宵福袋11</v>
      </c>
      <c r="AW321" s="1">
        <v>1</v>
      </c>
      <c r="AX321" s="1">
        <v>201228</v>
      </c>
      <c r="AY321" s="1" t="str">
        <f>IFERROR(INDEX([1]物品基础表!$A:$A,MATCH(AX321,[1]物品基础表!$B:$B,0)),"")</f>
        <v>（41+）元宵福袋12</v>
      </c>
      <c r="AZ321" s="1">
        <v>1</v>
      </c>
      <c r="BA321" s="1">
        <v>201229</v>
      </c>
      <c r="BB321" s="1" t="str">
        <f>IFERROR(INDEX([1]物品基础表!$A:$A,MATCH(BA321,[1]物品基础表!$B:$B,0)),"")</f>
        <v>（41+）元宵福袋13</v>
      </c>
      <c r="BC321" s="1">
        <v>1</v>
      </c>
      <c r="BD321" s="1">
        <v>201230</v>
      </c>
      <c r="BE321" s="1" t="str">
        <f>IFERROR(INDEX([1]物品基础表!$A:$A,MATCH(BD321,[1]物品基础表!$B:$B,0)),"")</f>
        <v>（41+）元宵福袋14</v>
      </c>
      <c r="BF321" s="1">
        <v>1</v>
      </c>
      <c r="BG321" s="1">
        <v>201231</v>
      </c>
      <c r="BH321" s="1" t="str">
        <f>IFERROR(INDEX([1]物品基础表!$A:$A,MATCH(BG321,[1]物品基础表!$B:$B,0)),"")</f>
        <v>（41+）元宵福袋15</v>
      </c>
      <c r="BI321" s="1">
        <v>1</v>
      </c>
      <c r="BJ321" s="1">
        <v>201232</v>
      </c>
      <c r="BK321" s="1" t="str">
        <f>IFERROR(INDEX([1]物品基础表!$A:$A,MATCH(BJ321,[1]物品基础表!$B:$B,0)),"")</f>
        <v>（41+）元宵福袋16</v>
      </c>
      <c r="BL321" s="1">
        <v>1</v>
      </c>
    </row>
    <row r="322" spans="1:64">
      <c r="A322" s="39" t="str">
        <f>INDEX([2]活动总表!$A$8:$A$429,MATCH(B322,[2]活动总表!$B$8:$B$429,0))</f>
        <v>元宵-福袋(41+天)</v>
      </c>
      <c r="B322" s="40">
        <v>706</v>
      </c>
      <c r="C322" s="40">
        <v>1</v>
      </c>
      <c r="D322" s="40"/>
      <c r="E322" s="40"/>
      <c r="F322" s="40" t="s">
        <v>864</v>
      </c>
      <c r="G322" s="40">
        <v>2</v>
      </c>
      <c r="H322" s="40"/>
      <c r="I322" s="40"/>
      <c r="J322" s="57"/>
      <c r="K322" s="1">
        <v>204134</v>
      </c>
      <c r="L322" s="1" t="str">
        <f>IFERROR(INDEX([1]物品基础表!$A:$A,MATCH(K322,[1]物品基础表!$B:$B,0)),"")</f>
        <v>金色图鉴包·倾国倾城</v>
      </c>
      <c r="M322" s="1">
        <v>1</v>
      </c>
      <c r="O322" s="1" t="str">
        <f>IFERROR(INDEX([1]物品基础表!$A:$A,MATCH(N322,[1]物品基础表!$B:$B,0)),"")</f>
        <v/>
      </c>
      <c r="R322" s="1" t="str">
        <f>IFERROR(INDEX([1]物品基础表!$A:$A,MATCH(Q322,[1]物品基础表!$B:$B,0)),"")</f>
        <v/>
      </c>
      <c r="U322" s="1" t="str">
        <f>IFERROR(INDEX([1]物品基础表!$A:$A,MATCH(T322,[1]物品基础表!$B:$B,0)),"")</f>
        <v/>
      </c>
      <c r="X322" s="1" t="str">
        <f>IFERROR(INDEX([1]物品基础表!$A:$A,MATCH(W322,[1]物品基础表!$B:$B,0)),"")</f>
        <v/>
      </c>
      <c r="AA322" s="1" t="str">
        <f>IFERROR(INDEX([1]物品基础表!$A:$A,MATCH(Z322,[1]物品基础表!$B:$B,0)),"")</f>
        <v/>
      </c>
      <c r="AD322" s="1" t="str">
        <f>IFERROR(INDEX([1]物品基础表!$A:$A,MATCH(AC322,[1]物品基础表!$B:$B,0)),"")</f>
        <v/>
      </c>
      <c r="AG322" s="1" t="str">
        <f>IFERROR(INDEX([1]物品基础表!$A:$A,MATCH(AF322,[1]物品基础表!$B:$B,0)),"")</f>
        <v/>
      </c>
      <c r="AJ322" s="1" t="str">
        <f>IFERROR(INDEX([1]物品基础表!$A:$A,MATCH(AI322,[1]物品基础表!$B:$B,0)),"")</f>
        <v/>
      </c>
      <c r="AM322" s="1" t="str">
        <f>IFERROR(INDEX([1]物品基础表!$A:$A,MATCH(AL322,[1]物品基础表!$B:$B,0)),"")</f>
        <v/>
      </c>
      <c r="AP322" s="1" t="str">
        <f>IFERROR(INDEX([1]物品基础表!$A:$A,MATCH(AO322,[1]物品基础表!$B:$B,0)),"")</f>
        <v/>
      </c>
      <c r="AS322" s="1" t="str">
        <f>IFERROR(INDEX([1]物品基础表!$A:$A,MATCH(AR322,[1]物品基础表!$B:$B,0)),"")</f>
        <v/>
      </c>
      <c r="AV322" s="1" t="str">
        <f>IFERROR(INDEX([1]物品基础表!$A:$A,MATCH(AU322,[1]物品基础表!$B:$B,0)),"")</f>
        <v/>
      </c>
      <c r="AY322" s="1" t="str">
        <f>IFERROR(INDEX([1]物品基础表!$A:$A,MATCH(AX322,[1]物品基础表!$B:$B,0)),"")</f>
        <v/>
      </c>
      <c r="BB322" s="1" t="str">
        <f>IFERROR(INDEX([1]物品基础表!$A:$A,MATCH(BA322,[1]物品基础表!$B:$B,0)),"")</f>
        <v/>
      </c>
      <c r="BE322" s="1" t="str">
        <f>IFERROR(INDEX([1]物品基础表!$A:$A,MATCH(BD322,[1]物品基础表!$B:$B,0)),"")</f>
        <v/>
      </c>
      <c r="BH322" s="1" t="str">
        <f>IFERROR(INDEX([1]物品基础表!$A:$A,MATCH(BG322,[1]物品基础表!$B:$B,0)),"")</f>
        <v/>
      </c>
      <c r="BK322" s="1" t="str">
        <f>IFERROR(INDEX([1]物品基础表!$A:$A,MATCH(BJ322,[1]物品基础表!$B:$B,0)),"")</f>
        <v/>
      </c>
    </row>
    <row r="323" spans="1:64">
      <c r="A323" s="39" t="str">
        <f>INDEX([2]活动总表!$A$8:$A$429,MATCH(B323,[2]活动总表!$B$8:$B$429,0))</f>
        <v>元宵-福袋(41+天)</v>
      </c>
      <c r="B323" s="40">
        <v>706</v>
      </c>
      <c r="C323" s="40">
        <v>2</v>
      </c>
      <c r="D323" s="40"/>
      <c r="E323" s="40"/>
      <c r="F323" s="40" t="s">
        <v>865</v>
      </c>
      <c r="G323" s="40">
        <v>2</v>
      </c>
      <c r="H323" s="40"/>
      <c r="I323" s="40"/>
      <c r="J323" s="57"/>
      <c r="K323" s="1">
        <v>204133</v>
      </c>
      <c r="L323" s="1" t="str">
        <f>IFERROR(INDEX([1]物品基础表!$A:$A,MATCH(K323,[1]物品基础表!$B:$B,0)),"")</f>
        <v>红色图鉴包·倾国倾城</v>
      </c>
      <c r="M323" s="1">
        <v>1</v>
      </c>
      <c r="O323" s="1" t="str">
        <f>IFERROR(INDEX([1]物品基础表!$A:$A,MATCH(N323,[1]物品基础表!$B:$B,0)),"")</f>
        <v/>
      </c>
      <c r="R323" s="1" t="str">
        <f>IFERROR(INDEX([1]物品基础表!$A:$A,MATCH(Q323,[1]物品基础表!$B:$B,0)),"")</f>
        <v/>
      </c>
      <c r="U323" s="1" t="str">
        <f>IFERROR(INDEX([1]物品基础表!$A:$A,MATCH(T323,[1]物品基础表!$B:$B,0)),"")</f>
        <v/>
      </c>
      <c r="X323" s="1" t="str">
        <f>IFERROR(INDEX([1]物品基础表!$A:$A,MATCH(W323,[1]物品基础表!$B:$B,0)),"")</f>
        <v/>
      </c>
      <c r="AA323" s="1" t="str">
        <f>IFERROR(INDEX([1]物品基础表!$A:$A,MATCH(Z323,[1]物品基础表!$B:$B,0)),"")</f>
        <v/>
      </c>
      <c r="AD323" s="1" t="str">
        <f>IFERROR(INDEX([1]物品基础表!$A:$A,MATCH(AC323,[1]物品基础表!$B:$B,0)),"")</f>
        <v/>
      </c>
      <c r="AG323" s="1" t="str">
        <f>IFERROR(INDEX([1]物品基础表!$A:$A,MATCH(AF323,[1]物品基础表!$B:$B,0)),"")</f>
        <v/>
      </c>
      <c r="AJ323" s="1" t="str">
        <f>IFERROR(INDEX([1]物品基础表!$A:$A,MATCH(AI323,[1]物品基础表!$B:$B,0)),"")</f>
        <v/>
      </c>
      <c r="AM323" s="1" t="str">
        <f>IFERROR(INDEX([1]物品基础表!$A:$A,MATCH(AL323,[1]物品基础表!$B:$B,0)),"")</f>
        <v/>
      </c>
      <c r="AP323" s="1" t="str">
        <f>IFERROR(INDEX([1]物品基础表!$A:$A,MATCH(AO323,[1]物品基础表!$B:$B,0)),"")</f>
        <v/>
      </c>
      <c r="AS323" s="1" t="str">
        <f>IFERROR(INDEX([1]物品基础表!$A:$A,MATCH(AR323,[1]物品基础表!$B:$B,0)),"")</f>
        <v/>
      </c>
      <c r="AV323" s="1" t="str">
        <f>IFERROR(INDEX([1]物品基础表!$A:$A,MATCH(AU323,[1]物品基础表!$B:$B,0)),"")</f>
        <v/>
      </c>
      <c r="AY323" s="1" t="str">
        <f>IFERROR(INDEX([1]物品基础表!$A:$A,MATCH(AX323,[1]物品基础表!$B:$B,0)),"")</f>
        <v/>
      </c>
      <c r="BB323" s="1" t="str">
        <f>IFERROR(INDEX([1]物品基础表!$A:$A,MATCH(BA323,[1]物品基础表!$B:$B,0)),"")</f>
        <v/>
      </c>
      <c r="BE323" s="1" t="str">
        <f>IFERROR(INDEX([1]物品基础表!$A:$A,MATCH(BD323,[1]物品基础表!$B:$B,0)),"")</f>
        <v/>
      </c>
      <c r="BH323" s="1" t="str">
        <f>IFERROR(INDEX([1]物品基础表!$A:$A,MATCH(BG323,[1]物品基础表!$B:$B,0)),"")</f>
        <v/>
      </c>
      <c r="BK323" s="1" t="str">
        <f>IFERROR(INDEX([1]物品基础表!$A:$A,MATCH(BJ323,[1]物品基础表!$B:$B,0)),"")</f>
        <v/>
      </c>
    </row>
    <row r="324" spans="1:64">
      <c r="A324" s="39" t="str">
        <f>INDEX([2]活动总表!$A$8:$A$429,MATCH(B324,[2]活动总表!$B$8:$B$429,0))</f>
        <v>元宵-福袋(41+天)</v>
      </c>
      <c r="B324" s="40">
        <v>706</v>
      </c>
      <c r="C324" s="40">
        <v>3</v>
      </c>
      <c r="D324" s="40"/>
      <c r="E324" s="40"/>
      <c r="F324" s="40" t="s">
        <v>866</v>
      </c>
      <c r="G324" s="40">
        <v>2</v>
      </c>
      <c r="H324" s="40"/>
      <c r="I324" s="40"/>
      <c r="J324" s="57"/>
      <c r="K324" s="1">
        <v>204139</v>
      </c>
      <c r="L324" s="1" t="str">
        <f>IFERROR(INDEX([1]物品基础表!$A:$A,MATCH(K324,[1]物品基础表!$B:$B,0)),"")</f>
        <v>轮回宝箱（11转）</v>
      </c>
      <c r="M324" s="1">
        <v>1</v>
      </c>
      <c r="O324" s="1" t="str">
        <f>IFERROR(INDEX([1]物品基础表!$A:$A,MATCH(N324,[1]物品基础表!$B:$B,0)),"")</f>
        <v/>
      </c>
      <c r="R324" s="1" t="str">
        <f>IFERROR(INDEX([1]物品基础表!$A:$A,MATCH(Q324,[1]物品基础表!$B:$B,0)),"")</f>
        <v/>
      </c>
      <c r="U324" s="1" t="str">
        <f>IFERROR(INDEX([1]物品基础表!$A:$A,MATCH(T324,[1]物品基础表!$B:$B,0)),"")</f>
        <v/>
      </c>
      <c r="X324" s="1" t="str">
        <f>IFERROR(INDEX([1]物品基础表!$A:$A,MATCH(W324,[1]物品基础表!$B:$B,0)),"")</f>
        <v/>
      </c>
      <c r="AA324" s="1" t="str">
        <f>IFERROR(INDEX([1]物品基础表!$A:$A,MATCH(Z324,[1]物品基础表!$B:$B,0)),"")</f>
        <v/>
      </c>
      <c r="AD324" s="1" t="str">
        <f>IFERROR(INDEX([1]物品基础表!$A:$A,MATCH(AC324,[1]物品基础表!$B:$B,0)),"")</f>
        <v/>
      </c>
      <c r="AG324" s="1" t="str">
        <f>IFERROR(INDEX([1]物品基础表!$A:$A,MATCH(AF324,[1]物品基础表!$B:$B,0)),"")</f>
        <v/>
      </c>
      <c r="AJ324" s="1" t="str">
        <f>IFERROR(INDEX([1]物品基础表!$A:$A,MATCH(AI324,[1]物品基础表!$B:$B,0)),"")</f>
        <v/>
      </c>
      <c r="AM324" s="1" t="str">
        <f>IFERROR(INDEX([1]物品基础表!$A:$A,MATCH(AL324,[1]物品基础表!$B:$B,0)),"")</f>
        <v/>
      </c>
      <c r="AP324" s="1" t="str">
        <f>IFERROR(INDEX([1]物品基础表!$A:$A,MATCH(AO324,[1]物品基础表!$B:$B,0)),"")</f>
        <v/>
      </c>
      <c r="AS324" s="1" t="str">
        <f>IFERROR(INDEX([1]物品基础表!$A:$A,MATCH(AR324,[1]物品基础表!$B:$B,0)),"")</f>
        <v/>
      </c>
      <c r="AV324" s="1" t="str">
        <f>IFERROR(INDEX([1]物品基础表!$A:$A,MATCH(AU324,[1]物品基础表!$B:$B,0)),"")</f>
        <v/>
      </c>
      <c r="AY324" s="1" t="str">
        <f>IFERROR(INDEX([1]物品基础表!$A:$A,MATCH(AX324,[1]物品基础表!$B:$B,0)),"")</f>
        <v/>
      </c>
      <c r="BB324" s="1" t="str">
        <f>IFERROR(INDEX([1]物品基础表!$A:$A,MATCH(BA324,[1]物品基础表!$B:$B,0)),"")</f>
        <v/>
      </c>
      <c r="BE324" s="1" t="str">
        <f>IFERROR(INDEX([1]物品基础表!$A:$A,MATCH(BD324,[1]物品基础表!$B:$B,0)),"")</f>
        <v/>
      </c>
      <c r="BH324" s="1" t="str">
        <f>IFERROR(INDEX([1]物品基础表!$A:$A,MATCH(BG324,[1]物品基础表!$B:$B,0)),"")</f>
        <v/>
      </c>
      <c r="BK324" s="1" t="str">
        <f>IFERROR(INDEX([1]物品基础表!$A:$A,MATCH(BJ324,[1]物品基础表!$B:$B,0)),"")</f>
        <v/>
      </c>
    </row>
    <row r="325" spans="1:64">
      <c r="A325" s="39" t="str">
        <f>INDEX([2]活动总表!$A$8:$A$429,MATCH(B325,[2]活动总表!$B$8:$B$429,0))</f>
        <v>元宵-福袋(41+天)</v>
      </c>
      <c r="B325" s="40">
        <v>706</v>
      </c>
      <c r="C325" s="40">
        <v>4</v>
      </c>
      <c r="D325" s="40"/>
      <c r="E325" s="40"/>
      <c r="F325" s="40" t="s">
        <v>867</v>
      </c>
      <c r="G325" s="40">
        <v>2</v>
      </c>
      <c r="H325" s="40"/>
      <c r="I325" s="40"/>
      <c r="J325" s="57"/>
      <c r="K325" s="1">
        <v>204138</v>
      </c>
      <c r="L325" s="1" t="str">
        <f>IFERROR(INDEX([1]物品基础表!$A:$A,MATCH(K325,[1]物品基础表!$B:$B,0)),"")</f>
        <v>轮回宝箱（10转）</v>
      </c>
      <c r="M325" s="1">
        <v>1</v>
      </c>
      <c r="O325" s="1" t="str">
        <f>IFERROR(INDEX([1]物品基础表!$A:$A,MATCH(N325,[1]物品基础表!$B:$B,0)),"")</f>
        <v/>
      </c>
      <c r="R325" s="1" t="str">
        <f>IFERROR(INDEX([1]物品基础表!$A:$A,MATCH(Q325,[1]物品基础表!$B:$B,0)),"")</f>
        <v/>
      </c>
      <c r="U325" s="1" t="str">
        <f>IFERROR(INDEX([1]物品基础表!$A:$A,MATCH(T325,[1]物品基础表!$B:$B,0)),"")</f>
        <v/>
      </c>
      <c r="X325" s="1" t="str">
        <f>IFERROR(INDEX([1]物品基础表!$A:$A,MATCH(W325,[1]物品基础表!$B:$B,0)),"")</f>
        <v/>
      </c>
      <c r="AA325" s="1" t="str">
        <f>IFERROR(INDEX([1]物品基础表!$A:$A,MATCH(Z325,[1]物品基础表!$B:$B,0)),"")</f>
        <v/>
      </c>
      <c r="AD325" s="1" t="str">
        <f>IFERROR(INDEX([1]物品基础表!$A:$A,MATCH(AC325,[1]物品基础表!$B:$B,0)),"")</f>
        <v/>
      </c>
      <c r="AG325" s="1" t="str">
        <f>IFERROR(INDEX([1]物品基础表!$A:$A,MATCH(AF325,[1]物品基础表!$B:$B,0)),"")</f>
        <v/>
      </c>
      <c r="AJ325" s="1" t="str">
        <f>IFERROR(INDEX([1]物品基础表!$A:$A,MATCH(AI325,[1]物品基础表!$B:$B,0)),"")</f>
        <v/>
      </c>
      <c r="AM325" s="1" t="str">
        <f>IFERROR(INDEX([1]物品基础表!$A:$A,MATCH(AL325,[1]物品基础表!$B:$B,0)),"")</f>
        <v/>
      </c>
      <c r="AP325" s="1" t="str">
        <f>IFERROR(INDEX([1]物品基础表!$A:$A,MATCH(AO325,[1]物品基础表!$B:$B,0)),"")</f>
        <v/>
      </c>
      <c r="AS325" s="1" t="str">
        <f>IFERROR(INDEX([1]物品基础表!$A:$A,MATCH(AR325,[1]物品基础表!$B:$B,0)),"")</f>
        <v/>
      </c>
      <c r="AV325" s="1" t="str">
        <f>IFERROR(INDEX([1]物品基础表!$A:$A,MATCH(AU325,[1]物品基础表!$B:$B,0)),"")</f>
        <v/>
      </c>
      <c r="AY325" s="1" t="str">
        <f>IFERROR(INDEX([1]物品基础表!$A:$A,MATCH(AX325,[1]物品基础表!$B:$B,0)),"")</f>
        <v/>
      </c>
      <c r="BB325" s="1" t="str">
        <f>IFERROR(INDEX([1]物品基础表!$A:$A,MATCH(BA325,[1]物品基础表!$B:$B,0)),"")</f>
        <v/>
      </c>
      <c r="BE325" s="1" t="str">
        <f>IFERROR(INDEX([1]物品基础表!$A:$A,MATCH(BD325,[1]物品基础表!$B:$B,0)),"")</f>
        <v/>
      </c>
      <c r="BH325" s="1" t="str">
        <f>IFERROR(INDEX([1]物品基础表!$A:$A,MATCH(BG325,[1]物品基础表!$B:$B,0)),"")</f>
        <v/>
      </c>
      <c r="BK325" s="1" t="str">
        <f>IFERROR(INDEX([1]物品基础表!$A:$A,MATCH(BJ325,[1]物品基础表!$B:$B,0)),"")</f>
        <v/>
      </c>
    </row>
    <row r="326" spans="1:64">
      <c r="A326" s="39" t="str">
        <f>INDEX([2]活动总表!$A$8:$A$429,MATCH(B326,[2]活动总表!$B$8:$B$429,0))</f>
        <v>元宵-福袋(41+天)</v>
      </c>
      <c r="B326" s="40">
        <v>706</v>
      </c>
      <c r="C326" s="40">
        <v>5</v>
      </c>
      <c r="D326" s="40"/>
      <c r="E326" s="40"/>
      <c r="F326" s="40" t="s">
        <v>868</v>
      </c>
      <c r="G326" s="40">
        <v>2</v>
      </c>
      <c r="H326" s="40"/>
      <c r="I326" s="40"/>
      <c r="J326" s="57"/>
      <c r="K326" s="1">
        <v>200143</v>
      </c>
      <c r="L326" s="1" t="str">
        <f>IFERROR(INDEX([1]物品基础表!$A:$A,MATCH(K326,[1]物品基础表!$B:$B,0)),"")</f>
        <v>传世头盔</v>
      </c>
      <c r="M326" s="1">
        <v>1</v>
      </c>
      <c r="O326" s="1" t="str">
        <f>IFERROR(INDEX([1]物品基础表!$A:$A,MATCH(N326,[1]物品基础表!$B:$B,0)),"")</f>
        <v/>
      </c>
      <c r="R326" s="1" t="str">
        <f>IFERROR(INDEX([1]物品基础表!$A:$A,MATCH(Q326,[1]物品基础表!$B:$B,0)),"")</f>
        <v/>
      </c>
      <c r="U326" s="1" t="str">
        <f>IFERROR(INDEX([1]物品基础表!$A:$A,MATCH(T326,[1]物品基础表!$B:$B,0)),"")</f>
        <v/>
      </c>
      <c r="X326" s="1" t="str">
        <f>IFERROR(INDEX([1]物品基础表!$A:$A,MATCH(W326,[1]物品基础表!$B:$B,0)),"")</f>
        <v/>
      </c>
      <c r="AA326" s="1" t="str">
        <f>IFERROR(INDEX([1]物品基础表!$A:$A,MATCH(Z326,[1]物品基础表!$B:$B,0)),"")</f>
        <v/>
      </c>
      <c r="AD326" s="1" t="str">
        <f>IFERROR(INDEX([1]物品基础表!$A:$A,MATCH(AC326,[1]物品基础表!$B:$B,0)),"")</f>
        <v/>
      </c>
      <c r="AG326" s="1" t="str">
        <f>IFERROR(INDEX([1]物品基础表!$A:$A,MATCH(AF326,[1]物品基础表!$B:$B,0)),"")</f>
        <v/>
      </c>
      <c r="AJ326" s="1" t="str">
        <f>IFERROR(INDEX([1]物品基础表!$A:$A,MATCH(AI326,[1]物品基础表!$B:$B,0)),"")</f>
        <v/>
      </c>
      <c r="AM326" s="1" t="str">
        <f>IFERROR(INDEX([1]物品基础表!$A:$A,MATCH(AL326,[1]物品基础表!$B:$B,0)),"")</f>
        <v/>
      </c>
      <c r="AP326" s="1" t="str">
        <f>IFERROR(INDEX([1]物品基础表!$A:$A,MATCH(AO326,[1]物品基础表!$B:$B,0)),"")</f>
        <v/>
      </c>
      <c r="AS326" s="1" t="str">
        <f>IFERROR(INDEX([1]物品基础表!$A:$A,MATCH(AR326,[1]物品基础表!$B:$B,0)),"")</f>
        <v/>
      </c>
      <c r="AV326" s="1" t="str">
        <f>IFERROR(INDEX([1]物品基础表!$A:$A,MATCH(AU326,[1]物品基础表!$B:$B,0)),"")</f>
        <v/>
      </c>
      <c r="AY326" s="1" t="str">
        <f>IFERROR(INDEX([1]物品基础表!$A:$A,MATCH(AX326,[1]物品基础表!$B:$B,0)),"")</f>
        <v/>
      </c>
      <c r="BB326" s="1" t="str">
        <f>IFERROR(INDEX([1]物品基础表!$A:$A,MATCH(BA326,[1]物品基础表!$B:$B,0)),"")</f>
        <v/>
      </c>
      <c r="BE326" s="1" t="str">
        <f>IFERROR(INDEX([1]物品基础表!$A:$A,MATCH(BD326,[1]物品基础表!$B:$B,0)),"")</f>
        <v/>
      </c>
      <c r="BH326" s="1" t="str">
        <f>IFERROR(INDEX([1]物品基础表!$A:$A,MATCH(BG326,[1]物品基础表!$B:$B,0)),"")</f>
        <v/>
      </c>
      <c r="BK326" s="1" t="str">
        <f>IFERROR(INDEX([1]物品基础表!$A:$A,MATCH(BJ326,[1]物品基础表!$B:$B,0)),"")</f>
        <v/>
      </c>
    </row>
    <row r="327" spans="1:64">
      <c r="A327" s="39" t="str">
        <f>INDEX([2]活动总表!$A$8:$A$429,MATCH(B327,[2]活动总表!$B$8:$B$429,0))</f>
        <v>元宵-福袋(41+天)</v>
      </c>
      <c r="B327" s="40">
        <v>706</v>
      </c>
      <c r="C327" s="40">
        <v>6</v>
      </c>
      <c r="D327" s="40"/>
      <c r="E327" s="40"/>
      <c r="F327" s="40" t="s">
        <v>868</v>
      </c>
      <c r="G327" s="40">
        <v>2</v>
      </c>
      <c r="H327" s="40"/>
      <c r="I327" s="40"/>
      <c r="J327" s="57"/>
      <c r="K327" s="1">
        <v>200145</v>
      </c>
      <c r="L327" s="1" t="str">
        <f>IFERROR(INDEX([1]物品基础表!$A:$A,MATCH(K327,[1]物品基础表!$B:$B,0)),"")</f>
        <v>传世项链</v>
      </c>
      <c r="M327" s="1">
        <v>1</v>
      </c>
      <c r="O327" s="1" t="str">
        <f>IFERROR(INDEX([1]物品基础表!$A:$A,MATCH(N327,[1]物品基础表!$B:$B,0)),"")</f>
        <v/>
      </c>
      <c r="R327" s="1" t="str">
        <f>IFERROR(INDEX([1]物品基础表!$A:$A,MATCH(Q327,[1]物品基础表!$B:$B,0)),"")</f>
        <v/>
      </c>
      <c r="U327" s="1" t="str">
        <f>IFERROR(INDEX([1]物品基础表!$A:$A,MATCH(T327,[1]物品基础表!$B:$B,0)),"")</f>
        <v/>
      </c>
      <c r="X327" s="1" t="str">
        <f>IFERROR(INDEX([1]物品基础表!$A:$A,MATCH(W327,[1]物品基础表!$B:$B,0)),"")</f>
        <v/>
      </c>
      <c r="AA327" s="1" t="str">
        <f>IFERROR(INDEX([1]物品基础表!$A:$A,MATCH(Z327,[1]物品基础表!$B:$B,0)),"")</f>
        <v/>
      </c>
      <c r="AD327" s="1" t="str">
        <f>IFERROR(INDEX([1]物品基础表!$A:$A,MATCH(AC327,[1]物品基础表!$B:$B,0)),"")</f>
        <v/>
      </c>
      <c r="AG327" s="1" t="str">
        <f>IFERROR(INDEX([1]物品基础表!$A:$A,MATCH(AF327,[1]物品基础表!$B:$B,0)),"")</f>
        <v/>
      </c>
      <c r="AJ327" s="1" t="str">
        <f>IFERROR(INDEX([1]物品基础表!$A:$A,MATCH(AI327,[1]物品基础表!$B:$B,0)),"")</f>
        <v/>
      </c>
      <c r="AM327" s="1" t="str">
        <f>IFERROR(INDEX([1]物品基础表!$A:$A,MATCH(AL327,[1]物品基础表!$B:$B,0)),"")</f>
        <v/>
      </c>
      <c r="AP327" s="1" t="str">
        <f>IFERROR(INDEX([1]物品基础表!$A:$A,MATCH(AO327,[1]物品基础表!$B:$B,0)),"")</f>
        <v/>
      </c>
      <c r="AS327" s="1" t="str">
        <f>IFERROR(INDEX([1]物品基础表!$A:$A,MATCH(AR327,[1]物品基础表!$B:$B,0)),"")</f>
        <v/>
      </c>
      <c r="AV327" s="1" t="str">
        <f>IFERROR(INDEX([1]物品基础表!$A:$A,MATCH(AU327,[1]物品基础表!$B:$B,0)),"")</f>
        <v/>
      </c>
      <c r="AY327" s="1" t="str">
        <f>IFERROR(INDEX([1]物品基础表!$A:$A,MATCH(AX327,[1]物品基础表!$B:$B,0)),"")</f>
        <v/>
      </c>
      <c r="BB327" s="1" t="str">
        <f>IFERROR(INDEX([1]物品基础表!$A:$A,MATCH(BA327,[1]物品基础表!$B:$B,0)),"")</f>
        <v/>
      </c>
      <c r="BE327" s="1" t="str">
        <f>IFERROR(INDEX([1]物品基础表!$A:$A,MATCH(BD327,[1]物品基础表!$B:$B,0)),"")</f>
        <v/>
      </c>
      <c r="BH327" s="1" t="str">
        <f>IFERROR(INDEX([1]物品基础表!$A:$A,MATCH(BG327,[1]物品基础表!$B:$B,0)),"")</f>
        <v/>
      </c>
      <c r="BK327" s="1" t="str">
        <f>IFERROR(INDEX([1]物品基础表!$A:$A,MATCH(BJ327,[1]物品基础表!$B:$B,0)),"")</f>
        <v/>
      </c>
    </row>
    <row r="328" spans="1:64">
      <c r="A328" s="39" t="str">
        <f>INDEX([2]活动总表!$A$8:$A$429,MATCH(B328,[2]活动总表!$B$8:$B$429,0))</f>
        <v>元宵-福袋(41+天)</v>
      </c>
      <c r="B328" s="40">
        <v>706</v>
      </c>
      <c r="C328" s="40">
        <v>7</v>
      </c>
      <c r="D328" s="40"/>
      <c r="E328" s="40"/>
      <c r="F328" s="40" t="s">
        <v>868</v>
      </c>
      <c r="G328" s="40">
        <v>2</v>
      </c>
      <c r="H328" s="40"/>
      <c r="I328" s="40"/>
      <c r="J328" s="57"/>
      <c r="K328" s="1">
        <v>200147</v>
      </c>
      <c r="L328" s="1" t="str">
        <f>IFERROR(INDEX([1]物品基础表!$A:$A,MATCH(K328,[1]物品基础表!$B:$B,0)),"")</f>
        <v>传世腰带</v>
      </c>
      <c r="M328" s="1">
        <v>1</v>
      </c>
      <c r="O328" s="1" t="str">
        <f>IFERROR(INDEX([1]物品基础表!$A:$A,MATCH(N328,[1]物品基础表!$B:$B,0)),"")</f>
        <v/>
      </c>
      <c r="R328" s="1" t="str">
        <f>IFERROR(INDEX([1]物品基础表!$A:$A,MATCH(Q328,[1]物品基础表!$B:$B,0)),"")</f>
        <v/>
      </c>
      <c r="U328" s="1" t="str">
        <f>IFERROR(INDEX([1]物品基础表!$A:$A,MATCH(T328,[1]物品基础表!$B:$B,0)),"")</f>
        <v/>
      </c>
      <c r="X328" s="1" t="str">
        <f>IFERROR(INDEX([1]物品基础表!$A:$A,MATCH(W328,[1]物品基础表!$B:$B,0)),"")</f>
        <v/>
      </c>
      <c r="AA328" s="1" t="str">
        <f>IFERROR(INDEX([1]物品基础表!$A:$A,MATCH(Z328,[1]物品基础表!$B:$B,0)),"")</f>
        <v/>
      </c>
      <c r="AD328" s="1" t="str">
        <f>IFERROR(INDEX([1]物品基础表!$A:$A,MATCH(AC328,[1]物品基础表!$B:$B,0)),"")</f>
        <v/>
      </c>
      <c r="AG328" s="1" t="str">
        <f>IFERROR(INDEX([1]物品基础表!$A:$A,MATCH(AF328,[1]物品基础表!$B:$B,0)),"")</f>
        <v/>
      </c>
      <c r="AJ328" s="1" t="str">
        <f>IFERROR(INDEX([1]物品基础表!$A:$A,MATCH(AI328,[1]物品基础表!$B:$B,0)),"")</f>
        <v/>
      </c>
      <c r="AM328" s="1" t="str">
        <f>IFERROR(INDEX([1]物品基础表!$A:$A,MATCH(AL328,[1]物品基础表!$B:$B,0)),"")</f>
        <v/>
      </c>
      <c r="AP328" s="1" t="str">
        <f>IFERROR(INDEX([1]物品基础表!$A:$A,MATCH(AO328,[1]物品基础表!$B:$B,0)),"")</f>
        <v/>
      </c>
      <c r="AS328" s="1" t="str">
        <f>IFERROR(INDEX([1]物品基础表!$A:$A,MATCH(AR328,[1]物品基础表!$B:$B,0)),"")</f>
        <v/>
      </c>
      <c r="AV328" s="1" t="str">
        <f>IFERROR(INDEX([1]物品基础表!$A:$A,MATCH(AU328,[1]物品基础表!$B:$B,0)),"")</f>
        <v/>
      </c>
      <c r="AY328" s="1" t="str">
        <f>IFERROR(INDEX([1]物品基础表!$A:$A,MATCH(AX328,[1]物品基础表!$B:$B,0)),"")</f>
        <v/>
      </c>
      <c r="BB328" s="1" t="str">
        <f>IFERROR(INDEX([1]物品基础表!$A:$A,MATCH(BA328,[1]物品基础表!$B:$B,0)),"")</f>
        <v/>
      </c>
      <c r="BE328" s="1" t="str">
        <f>IFERROR(INDEX([1]物品基础表!$A:$A,MATCH(BD328,[1]物品基础表!$B:$B,0)),"")</f>
        <v/>
      </c>
      <c r="BH328" s="1" t="str">
        <f>IFERROR(INDEX([1]物品基础表!$A:$A,MATCH(BG328,[1]物品基础表!$B:$B,0)),"")</f>
        <v/>
      </c>
      <c r="BK328" s="1" t="str">
        <f>IFERROR(INDEX([1]物品基础表!$A:$A,MATCH(BJ328,[1]物品基础表!$B:$B,0)),"")</f>
        <v/>
      </c>
    </row>
    <row r="329" spans="1:64">
      <c r="A329" s="39" t="str">
        <f>INDEX([2]活动总表!$A$8:$A$429,MATCH(B329,[2]活动总表!$B$8:$B$429,0))</f>
        <v>元宵-福袋(41+天)</v>
      </c>
      <c r="B329" s="40">
        <v>706</v>
      </c>
      <c r="C329" s="40">
        <v>8</v>
      </c>
      <c r="D329" s="40"/>
      <c r="E329" s="40"/>
      <c r="F329" s="40" t="s">
        <v>868</v>
      </c>
      <c r="G329" s="40">
        <v>2</v>
      </c>
      <c r="H329" s="40"/>
      <c r="I329" s="40"/>
      <c r="J329" s="57"/>
      <c r="K329" s="1">
        <v>200149</v>
      </c>
      <c r="L329" s="1" t="str">
        <f>IFERROR(INDEX([1]物品基础表!$A:$A,MATCH(K329,[1]物品基础表!$B:$B,0)),"")</f>
        <v>传世鞋子</v>
      </c>
      <c r="M329" s="1">
        <v>1</v>
      </c>
      <c r="O329" s="1" t="str">
        <f>IFERROR(INDEX([1]物品基础表!$A:$A,MATCH(N329,[1]物品基础表!$B:$B,0)),"")</f>
        <v/>
      </c>
      <c r="R329" s="1" t="str">
        <f>IFERROR(INDEX([1]物品基础表!$A:$A,MATCH(Q329,[1]物品基础表!$B:$B,0)),"")</f>
        <v/>
      </c>
      <c r="U329" s="1" t="str">
        <f>IFERROR(INDEX([1]物品基础表!$A:$A,MATCH(T329,[1]物品基础表!$B:$B,0)),"")</f>
        <v/>
      </c>
      <c r="X329" s="1" t="str">
        <f>IFERROR(INDEX([1]物品基础表!$A:$A,MATCH(W329,[1]物品基础表!$B:$B,0)),"")</f>
        <v/>
      </c>
      <c r="AA329" s="1" t="str">
        <f>IFERROR(INDEX([1]物品基础表!$A:$A,MATCH(Z329,[1]物品基础表!$B:$B,0)),"")</f>
        <v/>
      </c>
      <c r="AD329" s="1" t="str">
        <f>IFERROR(INDEX([1]物品基础表!$A:$A,MATCH(AC329,[1]物品基础表!$B:$B,0)),"")</f>
        <v/>
      </c>
      <c r="AG329" s="1" t="str">
        <f>IFERROR(INDEX([1]物品基础表!$A:$A,MATCH(AF329,[1]物品基础表!$B:$B,0)),"")</f>
        <v/>
      </c>
      <c r="AJ329" s="1" t="str">
        <f>IFERROR(INDEX([1]物品基础表!$A:$A,MATCH(AI329,[1]物品基础表!$B:$B,0)),"")</f>
        <v/>
      </c>
      <c r="AM329" s="1" t="str">
        <f>IFERROR(INDEX([1]物品基础表!$A:$A,MATCH(AL329,[1]物品基础表!$B:$B,0)),"")</f>
        <v/>
      </c>
      <c r="AP329" s="1" t="str">
        <f>IFERROR(INDEX([1]物品基础表!$A:$A,MATCH(AO329,[1]物品基础表!$B:$B,0)),"")</f>
        <v/>
      </c>
      <c r="AS329" s="1" t="str">
        <f>IFERROR(INDEX([1]物品基础表!$A:$A,MATCH(AR329,[1]物品基础表!$B:$B,0)),"")</f>
        <v/>
      </c>
      <c r="AV329" s="1" t="str">
        <f>IFERROR(INDEX([1]物品基础表!$A:$A,MATCH(AU329,[1]物品基础表!$B:$B,0)),"")</f>
        <v/>
      </c>
      <c r="AY329" s="1" t="str">
        <f>IFERROR(INDEX([1]物品基础表!$A:$A,MATCH(AX329,[1]物品基础表!$B:$B,0)),"")</f>
        <v/>
      </c>
      <c r="BB329" s="1" t="str">
        <f>IFERROR(INDEX([1]物品基础表!$A:$A,MATCH(BA329,[1]物品基础表!$B:$B,0)),"")</f>
        <v/>
      </c>
      <c r="BE329" s="1" t="str">
        <f>IFERROR(INDEX([1]物品基础表!$A:$A,MATCH(BD329,[1]物品基础表!$B:$B,0)),"")</f>
        <v/>
      </c>
      <c r="BH329" s="1" t="str">
        <f>IFERROR(INDEX([1]物品基础表!$A:$A,MATCH(BG329,[1]物品基础表!$B:$B,0)),"")</f>
        <v/>
      </c>
      <c r="BK329" s="1" t="str">
        <f>IFERROR(INDEX([1]物品基础表!$A:$A,MATCH(BJ329,[1]物品基础表!$B:$B,0)),"")</f>
        <v/>
      </c>
    </row>
    <row r="330" spans="1:64">
      <c r="A330" s="39" t="str">
        <f>INDEX([2]活动总表!$A$8:$A$429,MATCH(B330,[2]活动总表!$B$8:$B$429,0))</f>
        <v>元宵-福袋(41+天)</v>
      </c>
      <c r="B330" s="40">
        <v>706</v>
      </c>
      <c r="C330" s="40">
        <v>9</v>
      </c>
      <c r="D330" s="40"/>
      <c r="E330" s="40"/>
      <c r="F330" s="40" t="s">
        <v>868</v>
      </c>
      <c r="G330" s="40">
        <v>2</v>
      </c>
      <c r="H330" s="40"/>
      <c r="I330" s="40"/>
      <c r="J330" s="57"/>
      <c r="K330" s="1">
        <v>200148</v>
      </c>
      <c r="L330" s="1" t="str">
        <f>IFERROR(INDEX([1]物品基础表!$A:$A,MATCH(K330,[1]物品基础表!$B:$B,0)),"")</f>
        <v>传世戒指</v>
      </c>
      <c r="M330" s="1">
        <v>1</v>
      </c>
      <c r="O330" s="1" t="str">
        <f>IFERROR(INDEX([1]物品基础表!$A:$A,MATCH(N330,[1]物品基础表!$B:$B,0)),"")</f>
        <v/>
      </c>
      <c r="R330" s="1" t="str">
        <f>IFERROR(INDEX([1]物品基础表!$A:$A,MATCH(Q330,[1]物品基础表!$B:$B,0)),"")</f>
        <v/>
      </c>
      <c r="U330" s="1" t="str">
        <f>IFERROR(INDEX([1]物品基础表!$A:$A,MATCH(T330,[1]物品基础表!$B:$B,0)),"")</f>
        <v/>
      </c>
      <c r="X330" s="1" t="str">
        <f>IFERROR(INDEX([1]物品基础表!$A:$A,MATCH(W330,[1]物品基础表!$B:$B,0)),"")</f>
        <v/>
      </c>
      <c r="AA330" s="1" t="str">
        <f>IFERROR(INDEX([1]物品基础表!$A:$A,MATCH(Z330,[1]物品基础表!$B:$B,0)),"")</f>
        <v/>
      </c>
      <c r="AD330" s="1" t="str">
        <f>IFERROR(INDEX([1]物品基础表!$A:$A,MATCH(AC330,[1]物品基础表!$B:$B,0)),"")</f>
        <v/>
      </c>
      <c r="AG330" s="1" t="str">
        <f>IFERROR(INDEX([1]物品基础表!$A:$A,MATCH(AF330,[1]物品基础表!$B:$B,0)),"")</f>
        <v/>
      </c>
      <c r="AJ330" s="1" t="str">
        <f>IFERROR(INDEX([1]物品基础表!$A:$A,MATCH(AI330,[1]物品基础表!$B:$B,0)),"")</f>
        <v/>
      </c>
      <c r="AM330" s="1" t="str">
        <f>IFERROR(INDEX([1]物品基础表!$A:$A,MATCH(AL330,[1]物品基础表!$B:$B,0)),"")</f>
        <v/>
      </c>
      <c r="AP330" s="1" t="str">
        <f>IFERROR(INDEX([1]物品基础表!$A:$A,MATCH(AO330,[1]物品基础表!$B:$B,0)),"")</f>
        <v/>
      </c>
      <c r="AS330" s="1" t="str">
        <f>IFERROR(INDEX([1]物品基础表!$A:$A,MATCH(AR330,[1]物品基础表!$B:$B,0)),"")</f>
        <v/>
      </c>
      <c r="AV330" s="1" t="str">
        <f>IFERROR(INDEX([1]物品基础表!$A:$A,MATCH(AU330,[1]物品基础表!$B:$B,0)),"")</f>
        <v/>
      </c>
      <c r="AY330" s="1" t="str">
        <f>IFERROR(INDEX([1]物品基础表!$A:$A,MATCH(AX330,[1]物品基础表!$B:$B,0)),"")</f>
        <v/>
      </c>
      <c r="BB330" s="1" t="str">
        <f>IFERROR(INDEX([1]物品基础表!$A:$A,MATCH(BA330,[1]物品基础表!$B:$B,0)),"")</f>
        <v/>
      </c>
      <c r="BE330" s="1" t="str">
        <f>IFERROR(INDEX([1]物品基础表!$A:$A,MATCH(BD330,[1]物品基础表!$B:$B,0)),"")</f>
        <v/>
      </c>
      <c r="BH330" s="1" t="str">
        <f>IFERROR(INDEX([1]物品基础表!$A:$A,MATCH(BG330,[1]物品基础表!$B:$B,0)),"")</f>
        <v/>
      </c>
      <c r="BK330" s="1" t="str">
        <f>IFERROR(INDEX([1]物品基础表!$A:$A,MATCH(BJ330,[1]物品基础表!$B:$B,0)),"")</f>
        <v/>
      </c>
    </row>
    <row r="331" spans="1:64">
      <c r="A331" s="39" t="str">
        <f>INDEX([2]活动总表!$A$8:$A$429,MATCH(B331,[2]活动总表!$B$8:$B$429,0))</f>
        <v>元宵-福袋(41+天)</v>
      </c>
      <c r="B331" s="40">
        <v>706</v>
      </c>
      <c r="C331" s="40">
        <v>10</v>
      </c>
      <c r="D331" s="40"/>
      <c r="E331" s="40"/>
      <c r="F331" s="40" t="s">
        <v>868</v>
      </c>
      <c r="G331" s="40">
        <v>2</v>
      </c>
      <c r="H331" s="40"/>
      <c r="I331" s="40"/>
      <c r="J331" s="57"/>
      <c r="K331" s="1">
        <v>200146</v>
      </c>
      <c r="L331" s="1" t="str">
        <f>IFERROR(INDEX([1]物品基础表!$A:$A,MATCH(K331,[1]物品基础表!$B:$B,0)),"")</f>
        <v>传世护腕</v>
      </c>
      <c r="M331" s="1">
        <v>1</v>
      </c>
      <c r="O331" s="1" t="str">
        <f>IFERROR(INDEX([1]物品基础表!$A:$A,MATCH(N331,[1]物品基础表!$B:$B,0)),"")</f>
        <v/>
      </c>
      <c r="R331" s="1" t="str">
        <f>IFERROR(INDEX([1]物品基础表!$A:$A,MATCH(Q331,[1]物品基础表!$B:$B,0)),"")</f>
        <v/>
      </c>
      <c r="U331" s="1" t="str">
        <f>IFERROR(INDEX([1]物品基础表!$A:$A,MATCH(T331,[1]物品基础表!$B:$B,0)),"")</f>
        <v/>
      </c>
      <c r="X331" s="1" t="str">
        <f>IFERROR(INDEX([1]物品基础表!$A:$A,MATCH(W331,[1]物品基础表!$B:$B,0)),"")</f>
        <v/>
      </c>
      <c r="AA331" s="1" t="str">
        <f>IFERROR(INDEX([1]物品基础表!$A:$A,MATCH(Z331,[1]物品基础表!$B:$B,0)),"")</f>
        <v/>
      </c>
      <c r="AD331" s="1" t="str">
        <f>IFERROR(INDEX([1]物品基础表!$A:$A,MATCH(AC331,[1]物品基础表!$B:$B,0)),"")</f>
        <v/>
      </c>
      <c r="AG331" s="1" t="str">
        <f>IFERROR(INDEX([1]物品基础表!$A:$A,MATCH(AF331,[1]物品基础表!$B:$B,0)),"")</f>
        <v/>
      </c>
      <c r="AJ331" s="1" t="str">
        <f>IFERROR(INDEX([1]物品基础表!$A:$A,MATCH(AI331,[1]物品基础表!$B:$B,0)),"")</f>
        <v/>
      </c>
      <c r="AM331" s="1" t="str">
        <f>IFERROR(INDEX([1]物品基础表!$A:$A,MATCH(AL331,[1]物品基础表!$B:$B,0)),"")</f>
        <v/>
      </c>
      <c r="AP331" s="1" t="str">
        <f>IFERROR(INDEX([1]物品基础表!$A:$A,MATCH(AO331,[1]物品基础表!$B:$B,0)),"")</f>
        <v/>
      </c>
      <c r="AS331" s="1" t="str">
        <f>IFERROR(INDEX([1]物品基础表!$A:$A,MATCH(AR331,[1]物品基础表!$B:$B,0)),"")</f>
        <v/>
      </c>
      <c r="AV331" s="1" t="str">
        <f>IFERROR(INDEX([1]物品基础表!$A:$A,MATCH(AU331,[1]物品基础表!$B:$B,0)),"")</f>
        <v/>
      </c>
      <c r="AY331" s="1" t="str">
        <f>IFERROR(INDEX([1]物品基础表!$A:$A,MATCH(AX331,[1]物品基础表!$B:$B,0)),"")</f>
        <v/>
      </c>
      <c r="BB331" s="1" t="str">
        <f>IFERROR(INDEX([1]物品基础表!$A:$A,MATCH(BA331,[1]物品基础表!$B:$B,0)),"")</f>
        <v/>
      </c>
      <c r="BE331" s="1" t="str">
        <f>IFERROR(INDEX([1]物品基础表!$A:$A,MATCH(BD331,[1]物品基础表!$B:$B,0)),"")</f>
        <v/>
      </c>
      <c r="BH331" s="1" t="str">
        <f>IFERROR(INDEX([1]物品基础表!$A:$A,MATCH(BG331,[1]物品基础表!$B:$B,0)),"")</f>
        <v/>
      </c>
      <c r="BK331" s="1" t="str">
        <f>IFERROR(INDEX([1]物品基础表!$A:$A,MATCH(BJ331,[1]物品基础表!$B:$B,0)),"")</f>
        <v/>
      </c>
    </row>
    <row r="332" spans="1:64">
      <c r="A332" s="39" t="str">
        <f>INDEX([2]活动总表!$A$8:$A$429,MATCH(B332,[2]活动总表!$B$8:$B$429,0))</f>
        <v>元宵-福袋(41+天)</v>
      </c>
      <c r="B332" s="40">
        <v>706</v>
      </c>
      <c r="C332" s="40">
        <v>11</v>
      </c>
      <c r="D332" s="40"/>
      <c r="E332" s="40"/>
      <c r="F332" s="40" t="s">
        <v>869</v>
      </c>
      <c r="G332" s="40">
        <v>2</v>
      </c>
      <c r="H332" s="40"/>
      <c r="I332" s="40"/>
      <c r="J332" s="57"/>
      <c r="K332" s="1">
        <v>200301</v>
      </c>
      <c r="L332" s="1" t="str">
        <f>IFERROR(INDEX([1]物品基础表!$A:$A,MATCH(K332,[1]物品基础表!$B:$B,0)),"")</f>
        <v>传世宝钻</v>
      </c>
      <c r="M332" s="1">
        <v>100</v>
      </c>
      <c r="O332" s="1" t="str">
        <f>IFERROR(INDEX([1]物品基础表!$A:$A,MATCH(N332,[1]物品基础表!$B:$B,0)),"")</f>
        <v/>
      </c>
      <c r="R332" s="1" t="str">
        <f>IFERROR(INDEX([1]物品基础表!$A:$A,MATCH(Q332,[1]物品基础表!$B:$B,0)),"")</f>
        <v/>
      </c>
      <c r="U332" s="1" t="str">
        <f>IFERROR(INDEX([1]物品基础表!$A:$A,MATCH(T332,[1]物品基础表!$B:$B,0)),"")</f>
        <v/>
      </c>
      <c r="X332" s="1" t="str">
        <f>IFERROR(INDEX([1]物品基础表!$A:$A,MATCH(W332,[1]物品基础表!$B:$B,0)),"")</f>
        <v/>
      </c>
      <c r="AA332" s="1" t="str">
        <f>IFERROR(INDEX([1]物品基础表!$A:$A,MATCH(Z332,[1]物品基础表!$B:$B,0)),"")</f>
        <v/>
      </c>
      <c r="AD332" s="1" t="str">
        <f>IFERROR(INDEX([1]物品基础表!$A:$A,MATCH(AC332,[1]物品基础表!$B:$B,0)),"")</f>
        <v/>
      </c>
      <c r="AG332" s="1" t="str">
        <f>IFERROR(INDEX([1]物品基础表!$A:$A,MATCH(AF332,[1]物品基础表!$B:$B,0)),"")</f>
        <v/>
      </c>
      <c r="AJ332" s="1" t="str">
        <f>IFERROR(INDEX([1]物品基础表!$A:$A,MATCH(AI332,[1]物品基础表!$B:$B,0)),"")</f>
        <v/>
      </c>
      <c r="AM332" s="1" t="str">
        <f>IFERROR(INDEX([1]物品基础表!$A:$A,MATCH(AL332,[1]物品基础表!$B:$B,0)),"")</f>
        <v/>
      </c>
      <c r="AP332" s="1" t="str">
        <f>IFERROR(INDEX([1]物品基础表!$A:$A,MATCH(AO332,[1]物品基础表!$B:$B,0)),"")</f>
        <v/>
      </c>
      <c r="AS332" s="1" t="str">
        <f>IFERROR(INDEX([1]物品基础表!$A:$A,MATCH(AR332,[1]物品基础表!$B:$B,0)),"")</f>
        <v/>
      </c>
      <c r="AV332" s="1" t="str">
        <f>IFERROR(INDEX([1]物品基础表!$A:$A,MATCH(AU332,[1]物品基础表!$B:$B,0)),"")</f>
        <v/>
      </c>
      <c r="AY332" s="1" t="str">
        <f>IFERROR(INDEX([1]物品基础表!$A:$A,MATCH(AX332,[1]物品基础表!$B:$B,0)),"")</f>
        <v/>
      </c>
      <c r="BB332" s="1" t="str">
        <f>IFERROR(INDEX([1]物品基础表!$A:$A,MATCH(BA332,[1]物品基础表!$B:$B,0)),"")</f>
        <v/>
      </c>
      <c r="BE332" s="1" t="str">
        <f>IFERROR(INDEX([1]物品基础表!$A:$A,MATCH(BD332,[1]物品基础表!$B:$B,0)),"")</f>
        <v/>
      </c>
      <c r="BH332" s="1" t="str">
        <f>IFERROR(INDEX([1]物品基础表!$A:$A,MATCH(BG332,[1]物品基础表!$B:$B,0)),"")</f>
        <v/>
      </c>
      <c r="BK332" s="1" t="str">
        <f>IFERROR(INDEX([1]物品基础表!$A:$A,MATCH(BJ332,[1]物品基础表!$B:$B,0)),"")</f>
        <v/>
      </c>
    </row>
    <row r="333" spans="1:64">
      <c r="A333" s="39" t="str">
        <f>INDEX([2]活动总表!$A$8:$A$429,MATCH(B333,[2]活动总表!$B$8:$B$429,0))</f>
        <v>元宵-福袋(41+天)</v>
      </c>
      <c r="B333" s="40">
        <v>706</v>
      </c>
      <c r="C333" s="40">
        <v>12</v>
      </c>
      <c r="D333" s="40"/>
      <c r="E333" s="40"/>
      <c r="F333" s="40" t="s">
        <v>870</v>
      </c>
      <c r="G333" s="40">
        <v>2</v>
      </c>
      <c r="H333" s="40"/>
      <c r="I333" s="40"/>
      <c r="J333" s="57"/>
      <c r="K333" s="1">
        <v>200301</v>
      </c>
      <c r="L333" s="1" t="str">
        <f>IFERROR(INDEX([1]物品基础表!$A:$A,MATCH(K333,[1]物品基础表!$B:$B,0)),"")</f>
        <v>传世宝钻</v>
      </c>
      <c r="M333" s="1">
        <v>50</v>
      </c>
      <c r="O333" s="1" t="str">
        <f>IFERROR(INDEX([1]物品基础表!$A:$A,MATCH(N333,[1]物品基础表!$B:$B,0)),"")</f>
        <v/>
      </c>
      <c r="R333" s="1" t="str">
        <f>IFERROR(INDEX([1]物品基础表!$A:$A,MATCH(Q333,[1]物品基础表!$B:$B,0)),"")</f>
        <v/>
      </c>
      <c r="U333" s="1" t="str">
        <f>IFERROR(INDEX([1]物品基础表!$A:$A,MATCH(T333,[1]物品基础表!$B:$B,0)),"")</f>
        <v/>
      </c>
      <c r="X333" s="1" t="str">
        <f>IFERROR(INDEX([1]物品基础表!$A:$A,MATCH(W333,[1]物品基础表!$B:$B,0)),"")</f>
        <v/>
      </c>
      <c r="AA333" s="1" t="str">
        <f>IFERROR(INDEX([1]物品基础表!$A:$A,MATCH(Z333,[1]物品基础表!$B:$B,0)),"")</f>
        <v/>
      </c>
      <c r="AD333" s="1" t="str">
        <f>IFERROR(INDEX([1]物品基础表!$A:$A,MATCH(AC333,[1]物品基础表!$B:$B,0)),"")</f>
        <v/>
      </c>
      <c r="AG333" s="1" t="str">
        <f>IFERROR(INDEX([1]物品基础表!$A:$A,MATCH(AF333,[1]物品基础表!$B:$B,0)),"")</f>
        <v/>
      </c>
      <c r="AJ333" s="1" t="str">
        <f>IFERROR(INDEX([1]物品基础表!$A:$A,MATCH(AI333,[1]物品基础表!$B:$B,0)),"")</f>
        <v/>
      </c>
      <c r="AM333" s="1" t="str">
        <f>IFERROR(INDEX([1]物品基础表!$A:$A,MATCH(AL333,[1]物品基础表!$B:$B,0)),"")</f>
        <v/>
      </c>
      <c r="AP333" s="1" t="str">
        <f>IFERROR(INDEX([1]物品基础表!$A:$A,MATCH(AO333,[1]物品基础表!$B:$B,0)),"")</f>
        <v/>
      </c>
      <c r="AS333" s="1" t="str">
        <f>IFERROR(INDEX([1]物品基础表!$A:$A,MATCH(AR333,[1]物品基础表!$B:$B,0)),"")</f>
        <v/>
      </c>
      <c r="AV333" s="1" t="str">
        <f>IFERROR(INDEX([1]物品基础表!$A:$A,MATCH(AU333,[1]物品基础表!$B:$B,0)),"")</f>
        <v/>
      </c>
      <c r="AY333" s="1" t="str">
        <f>IFERROR(INDEX([1]物品基础表!$A:$A,MATCH(AX333,[1]物品基础表!$B:$B,0)),"")</f>
        <v/>
      </c>
      <c r="BB333" s="1" t="str">
        <f>IFERROR(INDEX([1]物品基础表!$A:$A,MATCH(BA333,[1]物品基础表!$B:$B,0)),"")</f>
        <v/>
      </c>
      <c r="BE333" s="1" t="str">
        <f>IFERROR(INDEX([1]物品基础表!$A:$A,MATCH(BD333,[1]物品基础表!$B:$B,0)),"")</f>
        <v/>
      </c>
      <c r="BH333" s="1" t="str">
        <f>IFERROR(INDEX([1]物品基础表!$A:$A,MATCH(BG333,[1]物品基础表!$B:$B,0)),"")</f>
        <v/>
      </c>
      <c r="BK333" s="1" t="str">
        <f>IFERROR(INDEX([1]物品基础表!$A:$A,MATCH(BJ333,[1]物品基础表!$B:$B,0)),"")</f>
        <v/>
      </c>
    </row>
    <row r="334" spans="1:64">
      <c r="A334" s="39" t="str">
        <f>INDEX([2]活动总表!$A$8:$A$429,MATCH(B334,[2]活动总表!$B$8:$B$429,0))</f>
        <v>元宵-福袋(41+天)</v>
      </c>
      <c r="B334" s="40">
        <v>706</v>
      </c>
      <c r="C334" s="40">
        <v>13</v>
      </c>
      <c r="D334" s="40"/>
      <c r="E334" s="40"/>
      <c r="F334" s="40" t="s">
        <v>869</v>
      </c>
      <c r="G334" s="40">
        <v>2</v>
      </c>
      <c r="H334" s="40"/>
      <c r="I334" s="40"/>
      <c r="J334" s="57"/>
      <c r="K334" s="1">
        <v>200301</v>
      </c>
      <c r="L334" s="1" t="str">
        <f>IFERROR(INDEX([1]物品基础表!$A:$A,MATCH(K334,[1]物品基础表!$B:$B,0)),"")</f>
        <v>传世宝钻</v>
      </c>
      <c r="M334" s="1">
        <v>20</v>
      </c>
      <c r="O334" s="1" t="str">
        <f>IFERROR(INDEX([1]物品基础表!$A:$A,MATCH(N334,[1]物品基础表!$B:$B,0)),"")</f>
        <v/>
      </c>
      <c r="R334" s="1" t="str">
        <f>IFERROR(INDEX([1]物品基础表!$A:$A,MATCH(Q334,[1]物品基础表!$B:$B,0)),"")</f>
        <v/>
      </c>
      <c r="U334" s="1" t="str">
        <f>IFERROR(INDEX([1]物品基础表!$A:$A,MATCH(T334,[1]物品基础表!$B:$B,0)),"")</f>
        <v/>
      </c>
      <c r="X334" s="1" t="str">
        <f>IFERROR(INDEX([1]物品基础表!$A:$A,MATCH(W334,[1]物品基础表!$B:$B,0)),"")</f>
        <v/>
      </c>
      <c r="AA334" s="1" t="str">
        <f>IFERROR(INDEX([1]物品基础表!$A:$A,MATCH(Z334,[1]物品基础表!$B:$B,0)),"")</f>
        <v/>
      </c>
      <c r="AD334" s="1" t="str">
        <f>IFERROR(INDEX([1]物品基础表!$A:$A,MATCH(AC334,[1]物品基础表!$B:$B,0)),"")</f>
        <v/>
      </c>
      <c r="AG334" s="1" t="str">
        <f>IFERROR(INDEX([1]物品基础表!$A:$A,MATCH(AF334,[1]物品基础表!$B:$B,0)),"")</f>
        <v/>
      </c>
      <c r="AJ334" s="1" t="str">
        <f>IFERROR(INDEX([1]物品基础表!$A:$A,MATCH(AI334,[1]物品基础表!$B:$B,0)),"")</f>
        <v/>
      </c>
      <c r="AM334" s="1" t="str">
        <f>IFERROR(INDEX([1]物品基础表!$A:$A,MATCH(AL334,[1]物品基础表!$B:$B,0)),"")</f>
        <v/>
      </c>
      <c r="AP334" s="1" t="str">
        <f>IFERROR(INDEX([1]物品基础表!$A:$A,MATCH(AO334,[1]物品基础表!$B:$B,0)),"")</f>
        <v/>
      </c>
      <c r="AS334" s="1" t="str">
        <f>IFERROR(INDEX([1]物品基础表!$A:$A,MATCH(AR334,[1]物品基础表!$B:$B,0)),"")</f>
        <v/>
      </c>
      <c r="AV334" s="1" t="str">
        <f>IFERROR(INDEX([1]物品基础表!$A:$A,MATCH(AU334,[1]物品基础表!$B:$B,0)),"")</f>
        <v/>
      </c>
      <c r="AY334" s="1" t="str">
        <f>IFERROR(INDEX([1]物品基础表!$A:$A,MATCH(AX334,[1]物品基础表!$B:$B,0)),"")</f>
        <v/>
      </c>
      <c r="BB334" s="1" t="str">
        <f>IFERROR(INDEX([1]物品基础表!$A:$A,MATCH(BA334,[1]物品基础表!$B:$B,0)),"")</f>
        <v/>
      </c>
      <c r="BE334" s="1" t="str">
        <f>IFERROR(INDEX([1]物品基础表!$A:$A,MATCH(BD334,[1]物品基础表!$B:$B,0)),"")</f>
        <v/>
      </c>
      <c r="BH334" s="1" t="str">
        <f>IFERROR(INDEX([1]物品基础表!$A:$A,MATCH(BG334,[1]物品基础表!$B:$B,0)),"")</f>
        <v/>
      </c>
      <c r="BK334" s="1" t="str">
        <f>IFERROR(INDEX([1]物品基础表!$A:$A,MATCH(BJ334,[1]物品基础表!$B:$B,0)),"")</f>
        <v/>
      </c>
    </row>
    <row r="335" spans="1:64">
      <c r="A335" s="39" t="str">
        <f>INDEX([2]活动总表!$A$8:$A$429,MATCH(B335,[2]活动总表!$B$8:$B$429,0))</f>
        <v>元宵-福袋(41+天)</v>
      </c>
      <c r="B335" s="40">
        <v>706</v>
      </c>
      <c r="C335" s="40">
        <v>14</v>
      </c>
      <c r="D335" s="40"/>
      <c r="E335" s="40"/>
      <c r="F335" s="40" t="s">
        <v>871</v>
      </c>
      <c r="G335" s="40">
        <v>2</v>
      </c>
      <c r="H335" s="40"/>
      <c r="I335" s="40"/>
      <c r="J335" s="57"/>
      <c r="K335" s="1">
        <v>204132</v>
      </c>
      <c r="L335" s="1" t="str">
        <f>IFERROR(INDEX([1]物品基础表!$A:$A,MATCH(K335,[1]物品基础表!$B:$B,0)),"")</f>
        <v>橙色图鉴包·倾国倾城</v>
      </c>
      <c r="M335" s="1">
        <v>1</v>
      </c>
      <c r="O335" s="1" t="str">
        <f>IFERROR(INDEX([1]物品基础表!$A:$A,MATCH(N335,[1]物品基础表!$B:$B,0)),"")</f>
        <v/>
      </c>
      <c r="R335" s="1" t="str">
        <f>IFERROR(INDEX([1]物品基础表!$A:$A,MATCH(Q335,[1]物品基础表!$B:$B,0)),"")</f>
        <v/>
      </c>
      <c r="U335" s="1" t="str">
        <f>IFERROR(INDEX([1]物品基础表!$A:$A,MATCH(T335,[1]物品基础表!$B:$B,0)),"")</f>
        <v/>
      </c>
      <c r="X335" s="1" t="str">
        <f>IFERROR(INDEX([1]物品基础表!$A:$A,MATCH(W335,[1]物品基础表!$B:$B,0)),"")</f>
        <v/>
      </c>
      <c r="AA335" s="1" t="str">
        <f>IFERROR(INDEX([1]物品基础表!$A:$A,MATCH(Z335,[1]物品基础表!$B:$B,0)),"")</f>
        <v/>
      </c>
      <c r="AD335" s="1" t="str">
        <f>IFERROR(INDEX([1]物品基础表!$A:$A,MATCH(AC335,[1]物品基础表!$B:$B,0)),"")</f>
        <v/>
      </c>
      <c r="AG335" s="1" t="str">
        <f>IFERROR(INDEX([1]物品基础表!$A:$A,MATCH(AF335,[1]物品基础表!$B:$B,0)),"")</f>
        <v/>
      </c>
      <c r="AJ335" s="1" t="str">
        <f>IFERROR(INDEX([1]物品基础表!$A:$A,MATCH(AI335,[1]物品基础表!$B:$B,0)),"")</f>
        <v/>
      </c>
      <c r="AM335" s="1" t="str">
        <f>IFERROR(INDEX([1]物品基础表!$A:$A,MATCH(AL335,[1]物品基础表!$B:$B,0)),"")</f>
        <v/>
      </c>
      <c r="AP335" s="1" t="str">
        <f>IFERROR(INDEX([1]物品基础表!$A:$A,MATCH(AO335,[1]物品基础表!$B:$B,0)),"")</f>
        <v/>
      </c>
      <c r="AS335" s="1" t="str">
        <f>IFERROR(INDEX([1]物品基础表!$A:$A,MATCH(AR335,[1]物品基础表!$B:$B,0)),"")</f>
        <v/>
      </c>
      <c r="AV335" s="1" t="str">
        <f>IFERROR(INDEX([1]物品基础表!$A:$A,MATCH(AU335,[1]物品基础表!$B:$B,0)),"")</f>
        <v/>
      </c>
      <c r="AY335" s="1" t="str">
        <f>IFERROR(INDEX([1]物品基础表!$A:$A,MATCH(AX335,[1]物品基础表!$B:$B,0)),"")</f>
        <v/>
      </c>
      <c r="BB335" s="1" t="str">
        <f>IFERROR(INDEX([1]物品基础表!$A:$A,MATCH(BA335,[1]物品基础表!$B:$B,0)),"")</f>
        <v/>
      </c>
      <c r="BE335" s="1" t="str">
        <f>IFERROR(INDEX([1]物品基础表!$A:$A,MATCH(BD335,[1]物品基础表!$B:$B,0)),"")</f>
        <v/>
      </c>
      <c r="BH335" s="1" t="str">
        <f>IFERROR(INDEX([1]物品基础表!$A:$A,MATCH(BG335,[1]物品基础表!$B:$B,0)),"")</f>
        <v/>
      </c>
      <c r="BK335" s="1" t="str">
        <f>IFERROR(INDEX([1]物品基础表!$A:$A,MATCH(BJ335,[1]物品基础表!$B:$B,0)),"")</f>
        <v/>
      </c>
    </row>
    <row r="336" spans="1:64">
      <c r="A336" s="39" t="str">
        <f>INDEX([2]活动总表!$A$8:$A$429,MATCH(B336,[2]活动总表!$B$8:$B$429,0))</f>
        <v>元宵-福袋(41+天)</v>
      </c>
      <c r="B336" s="40">
        <v>706</v>
      </c>
      <c r="C336" s="40">
        <v>15</v>
      </c>
      <c r="D336" s="40"/>
      <c r="E336" s="40"/>
      <c r="F336" s="40" t="s">
        <v>872</v>
      </c>
      <c r="G336" s="40">
        <v>2</v>
      </c>
      <c r="H336" s="40"/>
      <c r="I336" s="40"/>
      <c r="J336" s="57"/>
      <c r="K336" s="1">
        <v>204137</v>
      </c>
      <c r="L336" s="1" t="str">
        <f>IFERROR(INDEX([1]物品基础表!$A:$A,MATCH(K336,[1]物品基础表!$B:$B,0)),"")</f>
        <v>轮回宝箱（9转）</v>
      </c>
      <c r="M336" s="1">
        <v>1</v>
      </c>
      <c r="O336" s="1" t="str">
        <f>IFERROR(INDEX([1]物品基础表!$A:$A,MATCH(N336,[1]物品基础表!$B:$B,0)),"")</f>
        <v/>
      </c>
      <c r="R336" s="1" t="str">
        <f>IFERROR(INDEX([1]物品基础表!$A:$A,MATCH(Q336,[1]物品基础表!$B:$B,0)),"")</f>
        <v/>
      </c>
      <c r="U336" s="1" t="str">
        <f>IFERROR(INDEX([1]物品基础表!$A:$A,MATCH(T336,[1]物品基础表!$B:$B,0)),"")</f>
        <v/>
      </c>
      <c r="X336" s="1" t="str">
        <f>IFERROR(INDEX([1]物品基础表!$A:$A,MATCH(W336,[1]物品基础表!$B:$B,0)),"")</f>
        <v/>
      </c>
      <c r="AA336" s="1" t="str">
        <f>IFERROR(INDEX([1]物品基础表!$A:$A,MATCH(Z336,[1]物品基础表!$B:$B,0)),"")</f>
        <v/>
      </c>
      <c r="AD336" s="1" t="str">
        <f>IFERROR(INDEX([1]物品基础表!$A:$A,MATCH(AC336,[1]物品基础表!$B:$B,0)),"")</f>
        <v/>
      </c>
      <c r="AG336" s="1" t="str">
        <f>IFERROR(INDEX([1]物品基础表!$A:$A,MATCH(AF336,[1]物品基础表!$B:$B,0)),"")</f>
        <v/>
      </c>
      <c r="AJ336" s="1" t="str">
        <f>IFERROR(INDEX([1]物品基础表!$A:$A,MATCH(AI336,[1]物品基础表!$B:$B,0)),"")</f>
        <v/>
      </c>
      <c r="AM336" s="1" t="str">
        <f>IFERROR(INDEX([1]物品基础表!$A:$A,MATCH(AL336,[1]物品基础表!$B:$B,0)),"")</f>
        <v/>
      </c>
      <c r="AP336" s="1" t="str">
        <f>IFERROR(INDEX([1]物品基础表!$A:$A,MATCH(AO336,[1]物品基础表!$B:$B,0)),"")</f>
        <v/>
      </c>
      <c r="AS336" s="1" t="str">
        <f>IFERROR(INDEX([1]物品基础表!$A:$A,MATCH(AR336,[1]物品基础表!$B:$B,0)),"")</f>
        <v/>
      </c>
      <c r="AV336" s="1" t="str">
        <f>IFERROR(INDEX([1]物品基础表!$A:$A,MATCH(AU336,[1]物品基础表!$B:$B,0)),"")</f>
        <v/>
      </c>
      <c r="AY336" s="1" t="str">
        <f>IFERROR(INDEX([1]物品基础表!$A:$A,MATCH(AX336,[1]物品基础表!$B:$B,0)),"")</f>
        <v/>
      </c>
      <c r="BB336" s="1" t="str">
        <f>IFERROR(INDEX([1]物品基础表!$A:$A,MATCH(BA336,[1]物品基础表!$B:$B,0)),"")</f>
        <v/>
      </c>
      <c r="BE336" s="1" t="str">
        <f>IFERROR(INDEX([1]物品基础表!$A:$A,MATCH(BD336,[1]物品基础表!$B:$B,0)),"")</f>
        <v/>
      </c>
      <c r="BH336" s="1" t="str">
        <f>IFERROR(INDEX([1]物品基础表!$A:$A,MATCH(BG336,[1]物品基础表!$B:$B,0)),"")</f>
        <v/>
      </c>
      <c r="BK336" s="1" t="str">
        <f>IFERROR(INDEX([1]物品基础表!$A:$A,MATCH(BJ336,[1]物品基础表!$B:$B,0)),"")</f>
        <v/>
      </c>
    </row>
    <row r="337" spans="1:63">
      <c r="A337" s="39" t="str">
        <f>INDEX([2]活动总表!$A$8:$A$429,MATCH(B337,[2]活动总表!$B$8:$B$429,0))</f>
        <v>元宵-福袋(41+天)</v>
      </c>
      <c r="B337" s="40">
        <v>706</v>
      </c>
      <c r="C337" s="40">
        <v>16</v>
      </c>
      <c r="D337" s="40"/>
      <c r="E337" s="40"/>
      <c r="F337" s="40" t="s">
        <v>873</v>
      </c>
      <c r="G337" s="40">
        <v>2</v>
      </c>
      <c r="H337" s="40"/>
      <c r="I337" s="40"/>
      <c r="J337" s="57"/>
      <c r="K337" s="1">
        <v>204136</v>
      </c>
      <c r="L337" s="1" t="str">
        <f>IFERROR(INDEX([1]物品基础表!$A:$A,MATCH(K337,[1]物品基础表!$B:$B,0)),"")</f>
        <v>轮回宝箱（8转）</v>
      </c>
      <c r="M337" s="1">
        <v>1</v>
      </c>
      <c r="O337" s="1" t="str">
        <f>IFERROR(INDEX([1]物品基础表!$A:$A,MATCH(N337,[1]物品基础表!$B:$B,0)),"")</f>
        <v/>
      </c>
      <c r="R337" s="1" t="str">
        <f>IFERROR(INDEX([1]物品基础表!$A:$A,MATCH(Q337,[1]物品基础表!$B:$B,0)),"")</f>
        <v/>
      </c>
      <c r="U337" s="1" t="str">
        <f>IFERROR(INDEX([1]物品基础表!$A:$A,MATCH(T337,[1]物品基础表!$B:$B,0)),"")</f>
        <v/>
      </c>
      <c r="X337" s="1" t="str">
        <f>IFERROR(INDEX([1]物品基础表!$A:$A,MATCH(W337,[1]物品基础表!$B:$B,0)),"")</f>
        <v/>
      </c>
      <c r="AA337" s="1" t="str">
        <f>IFERROR(INDEX([1]物品基础表!$A:$A,MATCH(Z337,[1]物品基础表!$B:$B,0)),"")</f>
        <v/>
      </c>
      <c r="AD337" s="1" t="str">
        <f>IFERROR(INDEX([1]物品基础表!$A:$A,MATCH(AC337,[1]物品基础表!$B:$B,0)),"")</f>
        <v/>
      </c>
      <c r="AG337" s="1" t="str">
        <f>IFERROR(INDEX([1]物品基础表!$A:$A,MATCH(AF337,[1]物品基础表!$B:$B,0)),"")</f>
        <v/>
      </c>
      <c r="AJ337" s="1" t="str">
        <f>IFERROR(INDEX([1]物品基础表!$A:$A,MATCH(AI337,[1]物品基础表!$B:$B,0)),"")</f>
        <v/>
      </c>
      <c r="AM337" s="1" t="str">
        <f>IFERROR(INDEX([1]物品基础表!$A:$A,MATCH(AL337,[1]物品基础表!$B:$B,0)),"")</f>
        <v/>
      </c>
      <c r="AP337" s="1" t="str">
        <f>IFERROR(INDEX([1]物品基础表!$A:$A,MATCH(AO337,[1]物品基础表!$B:$B,0)),"")</f>
        <v/>
      </c>
      <c r="AS337" s="1" t="str">
        <f>IFERROR(INDEX([1]物品基础表!$A:$A,MATCH(AR337,[1]物品基础表!$B:$B,0)),"")</f>
        <v/>
      </c>
      <c r="AV337" s="1" t="str">
        <f>IFERROR(INDEX([1]物品基础表!$A:$A,MATCH(AU337,[1]物品基础表!$B:$B,0)),"")</f>
        <v/>
      </c>
      <c r="AY337" s="1" t="str">
        <f>IFERROR(INDEX([1]物品基础表!$A:$A,MATCH(AX337,[1]物品基础表!$B:$B,0)),"")</f>
        <v/>
      </c>
      <c r="BB337" s="1" t="str">
        <f>IFERROR(INDEX([1]物品基础表!$A:$A,MATCH(BA337,[1]物品基础表!$B:$B,0)),"")</f>
        <v/>
      </c>
      <c r="BE337" s="1" t="str">
        <f>IFERROR(INDEX([1]物品基础表!$A:$A,MATCH(BD337,[1]物品基础表!$B:$B,0)),"")</f>
        <v/>
      </c>
      <c r="BH337" s="1" t="str">
        <f>IFERROR(INDEX([1]物品基础表!$A:$A,MATCH(BG337,[1]物品基础表!$B:$B,0)),"")</f>
        <v/>
      </c>
      <c r="BK337" s="1" t="str">
        <f>IFERROR(INDEX([1]物品基础表!$A:$A,MATCH(BJ337,[1]物品基础表!$B:$B,0)),"")</f>
        <v/>
      </c>
    </row>
    <row r="338" spans="1:63">
      <c r="A338" s="39" t="str">
        <f>INDEX([2]活动总表!$A$8:$A$429,MATCH(B338,[2]活动总表!$B$8:$B$429,0))</f>
        <v>元宵-福袋(41+天)</v>
      </c>
      <c r="B338" s="40">
        <v>706</v>
      </c>
      <c r="C338" s="40">
        <v>17</v>
      </c>
      <c r="D338" s="40"/>
      <c r="E338" s="40"/>
      <c r="F338" s="40" t="s">
        <v>874</v>
      </c>
      <c r="G338" s="40">
        <v>2</v>
      </c>
      <c r="H338" s="40"/>
      <c r="I338" s="40"/>
      <c r="J338" s="57"/>
      <c r="K338" s="1">
        <v>200001</v>
      </c>
      <c r="L338" s="1" t="str">
        <f>IFERROR(INDEX([1]物品基础表!$A:$A,MATCH(K338,[1]物品基础表!$B:$B,0)),"")</f>
        <v>羽毛</v>
      </c>
      <c r="M338" s="1">
        <v>5</v>
      </c>
      <c r="O338" s="1" t="str">
        <f>IFERROR(INDEX([1]物品基础表!$A:$A,MATCH(N338,[1]物品基础表!$B:$B,0)),"")</f>
        <v/>
      </c>
      <c r="R338" s="1" t="str">
        <f>IFERROR(INDEX([1]物品基础表!$A:$A,MATCH(Q338,[1]物品基础表!$B:$B,0)),"")</f>
        <v/>
      </c>
      <c r="U338" s="1" t="str">
        <f>IFERROR(INDEX([1]物品基础表!$A:$A,MATCH(T338,[1]物品基础表!$B:$B,0)),"")</f>
        <v/>
      </c>
      <c r="X338" s="1" t="str">
        <f>IFERROR(INDEX([1]物品基础表!$A:$A,MATCH(W338,[1]物品基础表!$B:$B,0)),"")</f>
        <v/>
      </c>
      <c r="AA338" s="1" t="str">
        <f>IFERROR(INDEX([1]物品基础表!$A:$A,MATCH(Z338,[1]物品基础表!$B:$B,0)),"")</f>
        <v/>
      </c>
      <c r="AD338" s="1" t="str">
        <f>IFERROR(INDEX([1]物品基础表!$A:$A,MATCH(AC338,[1]物品基础表!$B:$B,0)),"")</f>
        <v/>
      </c>
      <c r="AG338" s="1" t="str">
        <f>IFERROR(INDEX([1]物品基础表!$A:$A,MATCH(AF338,[1]物品基础表!$B:$B,0)),"")</f>
        <v/>
      </c>
      <c r="AJ338" s="1" t="str">
        <f>IFERROR(INDEX([1]物品基础表!$A:$A,MATCH(AI338,[1]物品基础表!$B:$B,0)),"")</f>
        <v/>
      </c>
      <c r="AM338" s="1" t="str">
        <f>IFERROR(INDEX([1]物品基础表!$A:$A,MATCH(AL338,[1]物品基础表!$B:$B,0)),"")</f>
        <v/>
      </c>
      <c r="AP338" s="1" t="str">
        <f>IFERROR(INDEX([1]物品基础表!$A:$A,MATCH(AO338,[1]物品基础表!$B:$B,0)),"")</f>
        <v/>
      </c>
      <c r="AS338" s="1" t="str">
        <f>IFERROR(INDEX([1]物品基础表!$A:$A,MATCH(AR338,[1]物品基础表!$B:$B,0)),"")</f>
        <v/>
      </c>
      <c r="AV338" s="1" t="str">
        <f>IFERROR(INDEX([1]物品基础表!$A:$A,MATCH(AU338,[1]物品基础表!$B:$B,0)),"")</f>
        <v/>
      </c>
      <c r="AY338" s="1" t="str">
        <f>IFERROR(INDEX([1]物品基础表!$A:$A,MATCH(AX338,[1]物品基础表!$B:$B,0)),"")</f>
        <v/>
      </c>
      <c r="BB338" s="1" t="str">
        <f>IFERROR(INDEX([1]物品基础表!$A:$A,MATCH(BA338,[1]物品基础表!$B:$B,0)),"")</f>
        <v/>
      </c>
      <c r="BE338" s="1" t="str">
        <f>IFERROR(INDEX([1]物品基础表!$A:$A,MATCH(BD338,[1]物品基础表!$B:$B,0)),"")</f>
        <v/>
      </c>
      <c r="BH338" s="1" t="str">
        <f>IFERROR(INDEX([1]物品基础表!$A:$A,MATCH(BG338,[1]物品基础表!$B:$B,0)),"")</f>
        <v/>
      </c>
      <c r="BK338" s="1" t="str">
        <f>IFERROR(INDEX([1]物品基础表!$A:$A,MATCH(BJ338,[1]物品基础表!$B:$B,0)),"")</f>
        <v/>
      </c>
    </row>
    <row r="339" spans="1:63">
      <c r="A339" s="39" t="str">
        <f>INDEX([2]活动总表!$A$8:$A$429,MATCH(B339,[2]活动总表!$B$8:$B$429,0))</f>
        <v>元宵-福袋(41+天)</v>
      </c>
      <c r="B339" s="40">
        <v>706</v>
      </c>
      <c r="C339" s="40">
        <v>18</v>
      </c>
      <c r="D339" s="40"/>
      <c r="E339" s="40"/>
      <c r="F339" s="40" t="s">
        <v>874</v>
      </c>
      <c r="G339" s="40">
        <v>2</v>
      </c>
      <c r="H339" s="40"/>
      <c r="I339" s="40"/>
      <c r="J339" s="57"/>
      <c r="K339" s="1">
        <v>200001</v>
      </c>
      <c r="L339" s="1" t="str">
        <f>IFERROR(INDEX([1]物品基础表!$A:$A,MATCH(K339,[1]物品基础表!$B:$B,0)),"")</f>
        <v>羽毛</v>
      </c>
      <c r="M339" s="1">
        <v>8</v>
      </c>
      <c r="O339" s="1" t="str">
        <f>IFERROR(INDEX([1]物品基础表!$A:$A,MATCH(N339,[1]物品基础表!$B:$B,0)),"")</f>
        <v/>
      </c>
      <c r="R339" s="1" t="str">
        <f>IFERROR(INDEX([1]物品基础表!$A:$A,MATCH(Q339,[1]物品基础表!$B:$B,0)),"")</f>
        <v/>
      </c>
      <c r="U339" s="1" t="str">
        <f>IFERROR(INDEX([1]物品基础表!$A:$A,MATCH(T339,[1]物品基础表!$B:$B,0)),"")</f>
        <v/>
      </c>
      <c r="X339" s="1" t="str">
        <f>IFERROR(INDEX([1]物品基础表!$A:$A,MATCH(W339,[1]物品基础表!$B:$B,0)),"")</f>
        <v/>
      </c>
      <c r="AA339" s="1" t="str">
        <f>IFERROR(INDEX([1]物品基础表!$A:$A,MATCH(Z339,[1]物品基础表!$B:$B,0)),"")</f>
        <v/>
      </c>
      <c r="AD339" s="1" t="str">
        <f>IFERROR(INDEX([1]物品基础表!$A:$A,MATCH(AC339,[1]物品基础表!$B:$B,0)),"")</f>
        <v/>
      </c>
      <c r="AG339" s="1" t="str">
        <f>IFERROR(INDEX([1]物品基础表!$A:$A,MATCH(AF339,[1]物品基础表!$B:$B,0)),"")</f>
        <v/>
      </c>
      <c r="AJ339" s="1" t="str">
        <f>IFERROR(INDEX([1]物品基础表!$A:$A,MATCH(AI339,[1]物品基础表!$B:$B,0)),"")</f>
        <v/>
      </c>
      <c r="AM339" s="1" t="str">
        <f>IFERROR(INDEX([1]物品基础表!$A:$A,MATCH(AL339,[1]物品基础表!$B:$B,0)),"")</f>
        <v/>
      </c>
      <c r="AP339" s="1" t="str">
        <f>IFERROR(INDEX([1]物品基础表!$A:$A,MATCH(AO339,[1]物品基础表!$B:$B,0)),"")</f>
        <v/>
      </c>
      <c r="AS339" s="1" t="str">
        <f>IFERROR(INDEX([1]物品基础表!$A:$A,MATCH(AR339,[1]物品基础表!$B:$B,0)),"")</f>
        <v/>
      </c>
      <c r="AV339" s="1" t="str">
        <f>IFERROR(INDEX([1]物品基础表!$A:$A,MATCH(AU339,[1]物品基础表!$B:$B,0)),"")</f>
        <v/>
      </c>
      <c r="AY339" s="1" t="str">
        <f>IFERROR(INDEX([1]物品基础表!$A:$A,MATCH(AX339,[1]物品基础表!$B:$B,0)),"")</f>
        <v/>
      </c>
      <c r="BB339" s="1" t="str">
        <f>IFERROR(INDEX([1]物品基础表!$A:$A,MATCH(BA339,[1]物品基础表!$B:$B,0)),"")</f>
        <v/>
      </c>
      <c r="BE339" s="1" t="str">
        <f>IFERROR(INDEX([1]物品基础表!$A:$A,MATCH(BD339,[1]物品基础表!$B:$B,0)),"")</f>
        <v/>
      </c>
      <c r="BH339" s="1" t="str">
        <f>IFERROR(INDEX([1]物品基础表!$A:$A,MATCH(BG339,[1]物品基础表!$B:$B,0)),"")</f>
        <v/>
      </c>
      <c r="BK339" s="1" t="str">
        <f>IFERROR(INDEX([1]物品基础表!$A:$A,MATCH(BJ339,[1]物品基础表!$B:$B,0)),"")</f>
        <v/>
      </c>
    </row>
    <row r="340" spans="1:63">
      <c r="A340" s="39" t="str">
        <f>INDEX([2]活动总表!$A$8:$A$429,MATCH(B340,[2]活动总表!$B$8:$B$429,0))</f>
        <v>元宵-福袋(41+天)</v>
      </c>
      <c r="B340" s="40">
        <v>706</v>
      </c>
      <c r="C340" s="40">
        <v>19</v>
      </c>
      <c r="D340" s="40"/>
      <c r="E340" s="40"/>
      <c r="F340" s="40" t="s">
        <v>875</v>
      </c>
      <c r="G340" s="40">
        <v>2</v>
      </c>
      <c r="H340" s="40"/>
      <c r="I340" s="40"/>
      <c r="J340" s="57"/>
      <c r="K340" s="1">
        <v>200001</v>
      </c>
      <c r="L340" s="1" t="str">
        <f>IFERROR(INDEX([1]物品基础表!$A:$A,MATCH(K340,[1]物品基础表!$B:$B,0)),"")</f>
        <v>羽毛</v>
      </c>
      <c r="M340" s="1">
        <v>10</v>
      </c>
      <c r="O340" s="1" t="str">
        <f>IFERROR(INDEX([1]物品基础表!$A:$A,MATCH(N340,[1]物品基础表!$B:$B,0)),"")</f>
        <v/>
      </c>
      <c r="R340" s="1" t="str">
        <f>IFERROR(INDEX([1]物品基础表!$A:$A,MATCH(Q340,[1]物品基础表!$B:$B,0)),"")</f>
        <v/>
      </c>
      <c r="U340" s="1" t="str">
        <f>IFERROR(INDEX([1]物品基础表!$A:$A,MATCH(T340,[1]物品基础表!$B:$B,0)),"")</f>
        <v/>
      </c>
      <c r="X340" s="1" t="str">
        <f>IFERROR(INDEX([1]物品基础表!$A:$A,MATCH(W340,[1]物品基础表!$B:$B,0)),"")</f>
        <v/>
      </c>
      <c r="AA340" s="1" t="str">
        <f>IFERROR(INDEX([1]物品基础表!$A:$A,MATCH(Z340,[1]物品基础表!$B:$B,0)),"")</f>
        <v/>
      </c>
      <c r="AD340" s="1" t="str">
        <f>IFERROR(INDEX([1]物品基础表!$A:$A,MATCH(AC340,[1]物品基础表!$B:$B,0)),"")</f>
        <v/>
      </c>
      <c r="AG340" s="1" t="str">
        <f>IFERROR(INDEX([1]物品基础表!$A:$A,MATCH(AF340,[1]物品基础表!$B:$B,0)),"")</f>
        <v/>
      </c>
      <c r="AJ340" s="1" t="str">
        <f>IFERROR(INDEX([1]物品基础表!$A:$A,MATCH(AI340,[1]物品基础表!$B:$B,0)),"")</f>
        <v/>
      </c>
      <c r="AM340" s="1" t="str">
        <f>IFERROR(INDEX([1]物品基础表!$A:$A,MATCH(AL340,[1]物品基础表!$B:$B,0)),"")</f>
        <v/>
      </c>
      <c r="AP340" s="1" t="str">
        <f>IFERROR(INDEX([1]物品基础表!$A:$A,MATCH(AO340,[1]物品基础表!$B:$B,0)),"")</f>
        <v/>
      </c>
      <c r="AS340" s="1" t="str">
        <f>IFERROR(INDEX([1]物品基础表!$A:$A,MATCH(AR340,[1]物品基础表!$B:$B,0)),"")</f>
        <v/>
      </c>
      <c r="AV340" s="1" t="str">
        <f>IFERROR(INDEX([1]物品基础表!$A:$A,MATCH(AU340,[1]物品基础表!$B:$B,0)),"")</f>
        <v/>
      </c>
      <c r="AY340" s="1" t="str">
        <f>IFERROR(INDEX([1]物品基础表!$A:$A,MATCH(AX340,[1]物品基础表!$B:$B,0)),"")</f>
        <v/>
      </c>
      <c r="BB340" s="1" t="str">
        <f>IFERROR(INDEX([1]物品基础表!$A:$A,MATCH(BA340,[1]物品基础表!$B:$B,0)),"")</f>
        <v/>
      </c>
      <c r="BE340" s="1" t="str">
        <f>IFERROR(INDEX([1]物品基础表!$A:$A,MATCH(BD340,[1]物品基础表!$B:$B,0)),"")</f>
        <v/>
      </c>
      <c r="BH340" s="1" t="str">
        <f>IFERROR(INDEX([1]物品基础表!$A:$A,MATCH(BG340,[1]物品基础表!$B:$B,0)),"")</f>
        <v/>
      </c>
      <c r="BK340" s="1" t="str">
        <f>IFERROR(INDEX([1]物品基础表!$A:$A,MATCH(BJ340,[1]物品基础表!$B:$B,0)),"")</f>
        <v/>
      </c>
    </row>
    <row r="341" spans="1:63">
      <c r="A341" s="39" t="str">
        <f>INDEX([2]活动总表!$A$8:$A$429,MATCH(B341,[2]活动总表!$B$8:$B$429,0))</f>
        <v>元宵-福袋(41+天)</v>
      </c>
      <c r="B341" s="40">
        <v>706</v>
      </c>
      <c r="C341" s="40">
        <v>20</v>
      </c>
      <c r="D341" s="40"/>
      <c r="E341" s="40"/>
      <c r="F341" s="40" t="s">
        <v>873</v>
      </c>
      <c r="G341" s="40">
        <v>2</v>
      </c>
      <c r="H341" s="40"/>
      <c r="I341" s="40"/>
      <c r="J341" s="57"/>
      <c r="K341" s="1">
        <v>200001</v>
      </c>
      <c r="L341" s="1" t="str">
        <f>IFERROR(INDEX([1]物品基础表!$A:$A,MATCH(K341,[1]物品基础表!$B:$B,0)),"")</f>
        <v>羽毛</v>
      </c>
      <c r="M341" s="1">
        <v>15</v>
      </c>
      <c r="O341" s="1" t="str">
        <f>IFERROR(INDEX([1]物品基础表!$A:$A,MATCH(N341,[1]物品基础表!$B:$B,0)),"")</f>
        <v/>
      </c>
      <c r="R341" s="1" t="str">
        <f>IFERROR(INDEX([1]物品基础表!$A:$A,MATCH(Q341,[1]物品基础表!$B:$B,0)),"")</f>
        <v/>
      </c>
      <c r="U341" s="1" t="str">
        <f>IFERROR(INDEX([1]物品基础表!$A:$A,MATCH(T341,[1]物品基础表!$B:$B,0)),"")</f>
        <v/>
      </c>
      <c r="X341" s="1" t="str">
        <f>IFERROR(INDEX([1]物品基础表!$A:$A,MATCH(W341,[1]物品基础表!$B:$B,0)),"")</f>
        <v/>
      </c>
      <c r="AA341" s="1" t="str">
        <f>IFERROR(INDEX([1]物品基础表!$A:$A,MATCH(Z341,[1]物品基础表!$B:$B,0)),"")</f>
        <v/>
      </c>
      <c r="AD341" s="1" t="str">
        <f>IFERROR(INDEX([1]物品基础表!$A:$A,MATCH(AC341,[1]物品基础表!$B:$B,0)),"")</f>
        <v/>
      </c>
      <c r="AG341" s="1" t="str">
        <f>IFERROR(INDEX([1]物品基础表!$A:$A,MATCH(AF341,[1]物品基础表!$B:$B,0)),"")</f>
        <v/>
      </c>
      <c r="AJ341" s="1" t="str">
        <f>IFERROR(INDEX([1]物品基础表!$A:$A,MATCH(AI341,[1]物品基础表!$B:$B,0)),"")</f>
        <v/>
      </c>
      <c r="AM341" s="1" t="str">
        <f>IFERROR(INDEX([1]物品基础表!$A:$A,MATCH(AL341,[1]物品基础表!$B:$B,0)),"")</f>
        <v/>
      </c>
      <c r="AP341" s="1" t="str">
        <f>IFERROR(INDEX([1]物品基础表!$A:$A,MATCH(AO341,[1]物品基础表!$B:$B,0)),"")</f>
        <v/>
      </c>
      <c r="AS341" s="1" t="str">
        <f>IFERROR(INDEX([1]物品基础表!$A:$A,MATCH(AR341,[1]物品基础表!$B:$B,0)),"")</f>
        <v/>
      </c>
      <c r="AV341" s="1" t="str">
        <f>IFERROR(INDEX([1]物品基础表!$A:$A,MATCH(AU341,[1]物品基础表!$B:$B,0)),"")</f>
        <v/>
      </c>
      <c r="AY341" s="1" t="str">
        <f>IFERROR(INDEX([1]物品基础表!$A:$A,MATCH(AX341,[1]物品基础表!$B:$B,0)),"")</f>
        <v/>
      </c>
      <c r="BB341" s="1" t="str">
        <f>IFERROR(INDEX([1]物品基础表!$A:$A,MATCH(BA341,[1]物品基础表!$B:$B,0)),"")</f>
        <v/>
      </c>
      <c r="BE341" s="1" t="str">
        <f>IFERROR(INDEX([1]物品基础表!$A:$A,MATCH(BD341,[1]物品基础表!$B:$B,0)),"")</f>
        <v/>
      </c>
      <c r="BH341" s="1" t="str">
        <f>IFERROR(INDEX([1]物品基础表!$A:$A,MATCH(BG341,[1]物品基础表!$B:$B,0)),"")</f>
        <v/>
      </c>
      <c r="BK341" s="1" t="str">
        <f>IFERROR(INDEX([1]物品基础表!$A:$A,MATCH(BJ341,[1]物品基础表!$B:$B,0)),"")</f>
        <v/>
      </c>
    </row>
    <row r="342" spans="1:63">
      <c r="A342" s="39" t="str">
        <f>INDEX([2]活动总表!$A$8:$A$429,MATCH(B342,[2]活动总表!$B$8:$B$429,0))</f>
        <v>元宵-福袋(41+天)</v>
      </c>
      <c r="B342" s="40">
        <v>706</v>
      </c>
      <c r="C342" s="40">
        <v>21</v>
      </c>
      <c r="D342" s="40"/>
      <c r="E342" s="40"/>
      <c r="F342" s="40" t="s">
        <v>874</v>
      </c>
      <c r="G342" s="40">
        <v>2</v>
      </c>
      <c r="H342" s="40"/>
      <c r="I342" s="40"/>
      <c r="J342" s="57"/>
      <c r="K342" s="1">
        <v>200005</v>
      </c>
      <c r="L342" s="1" t="str">
        <f>IFERROR(INDEX([1]物品基础表!$A:$A,MATCH(K342,[1]物品基础表!$B:$B,0)),"")</f>
        <v>龙魂碎片</v>
      </c>
      <c r="M342" s="1">
        <v>5</v>
      </c>
      <c r="O342" s="1" t="str">
        <f>IFERROR(INDEX([1]物品基础表!$A:$A,MATCH(N342,[1]物品基础表!$B:$B,0)),"")</f>
        <v/>
      </c>
      <c r="R342" s="1" t="str">
        <f>IFERROR(INDEX([1]物品基础表!$A:$A,MATCH(Q342,[1]物品基础表!$B:$B,0)),"")</f>
        <v/>
      </c>
      <c r="U342" s="1" t="str">
        <f>IFERROR(INDEX([1]物品基础表!$A:$A,MATCH(T342,[1]物品基础表!$B:$B,0)),"")</f>
        <v/>
      </c>
      <c r="X342" s="1" t="str">
        <f>IFERROR(INDEX([1]物品基础表!$A:$A,MATCH(W342,[1]物品基础表!$B:$B,0)),"")</f>
        <v/>
      </c>
      <c r="AA342" s="1" t="str">
        <f>IFERROR(INDEX([1]物品基础表!$A:$A,MATCH(Z342,[1]物品基础表!$B:$B,0)),"")</f>
        <v/>
      </c>
      <c r="AD342" s="1" t="str">
        <f>IFERROR(INDEX([1]物品基础表!$A:$A,MATCH(AC342,[1]物品基础表!$B:$B,0)),"")</f>
        <v/>
      </c>
      <c r="AG342" s="1" t="str">
        <f>IFERROR(INDEX([1]物品基础表!$A:$A,MATCH(AF342,[1]物品基础表!$B:$B,0)),"")</f>
        <v/>
      </c>
      <c r="AJ342" s="1" t="str">
        <f>IFERROR(INDEX([1]物品基础表!$A:$A,MATCH(AI342,[1]物品基础表!$B:$B,0)),"")</f>
        <v/>
      </c>
      <c r="AM342" s="1" t="str">
        <f>IFERROR(INDEX([1]物品基础表!$A:$A,MATCH(AL342,[1]物品基础表!$B:$B,0)),"")</f>
        <v/>
      </c>
      <c r="AP342" s="1" t="str">
        <f>IFERROR(INDEX([1]物品基础表!$A:$A,MATCH(AO342,[1]物品基础表!$B:$B,0)),"")</f>
        <v/>
      </c>
      <c r="AS342" s="1" t="str">
        <f>IFERROR(INDEX([1]物品基础表!$A:$A,MATCH(AR342,[1]物品基础表!$B:$B,0)),"")</f>
        <v/>
      </c>
      <c r="AV342" s="1" t="str">
        <f>IFERROR(INDEX([1]物品基础表!$A:$A,MATCH(AU342,[1]物品基础表!$B:$B,0)),"")</f>
        <v/>
      </c>
      <c r="AY342" s="1" t="str">
        <f>IFERROR(INDEX([1]物品基础表!$A:$A,MATCH(AX342,[1]物品基础表!$B:$B,0)),"")</f>
        <v/>
      </c>
      <c r="BB342" s="1" t="str">
        <f>IFERROR(INDEX([1]物品基础表!$A:$A,MATCH(BA342,[1]物品基础表!$B:$B,0)),"")</f>
        <v/>
      </c>
      <c r="BE342" s="1" t="str">
        <f>IFERROR(INDEX([1]物品基础表!$A:$A,MATCH(BD342,[1]物品基础表!$B:$B,0)),"")</f>
        <v/>
      </c>
      <c r="BH342" s="1" t="str">
        <f>IFERROR(INDEX([1]物品基础表!$A:$A,MATCH(BG342,[1]物品基础表!$B:$B,0)),"")</f>
        <v/>
      </c>
      <c r="BK342" s="1" t="str">
        <f>IFERROR(INDEX([1]物品基础表!$A:$A,MATCH(BJ342,[1]物品基础表!$B:$B,0)),"")</f>
        <v/>
      </c>
    </row>
    <row r="343" spans="1:63">
      <c r="A343" s="39" t="str">
        <f>INDEX([2]活动总表!$A$8:$A$429,MATCH(B343,[2]活动总表!$B$8:$B$429,0))</f>
        <v>元宵-福袋(41+天)</v>
      </c>
      <c r="B343" s="40">
        <v>706</v>
      </c>
      <c r="C343" s="40">
        <v>22</v>
      </c>
      <c r="D343" s="40"/>
      <c r="E343" s="40"/>
      <c r="F343" s="40" t="s">
        <v>874</v>
      </c>
      <c r="G343" s="40">
        <v>2</v>
      </c>
      <c r="H343" s="40"/>
      <c r="I343" s="40"/>
      <c r="J343" s="57"/>
      <c r="K343" s="1">
        <v>200005</v>
      </c>
      <c r="L343" s="1" t="str">
        <f>IFERROR(INDEX([1]物品基础表!$A:$A,MATCH(K343,[1]物品基础表!$B:$B,0)),"")</f>
        <v>龙魂碎片</v>
      </c>
      <c r="M343" s="1">
        <v>8</v>
      </c>
      <c r="O343" s="1" t="str">
        <f>IFERROR(INDEX([1]物品基础表!$A:$A,MATCH(N343,[1]物品基础表!$B:$B,0)),"")</f>
        <v/>
      </c>
      <c r="R343" s="1" t="str">
        <f>IFERROR(INDEX([1]物品基础表!$A:$A,MATCH(Q343,[1]物品基础表!$B:$B,0)),"")</f>
        <v/>
      </c>
      <c r="U343" s="1" t="str">
        <f>IFERROR(INDEX([1]物品基础表!$A:$A,MATCH(T343,[1]物品基础表!$B:$B,0)),"")</f>
        <v/>
      </c>
      <c r="X343" s="1" t="str">
        <f>IFERROR(INDEX([1]物品基础表!$A:$A,MATCH(W343,[1]物品基础表!$B:$B,0)),"")</f>
        <v/>
      </c>
      <c r="AA343" s="1" t="str">
        <f>IFERROR(INDEX([1]物品基础表!$A:$A,MATCH(Z343,[1]物品基础表!$B:$B,0)),"")</f>
        <v/>
      </c>
      <c r="AD343" s="1" t="str">
        <f>IFERROR(INDEX([1]物品基础表!$A:$A,MATCH(AC343,[1]物品基础表!$B:$B,0)),"")</f>
        <v/>
      </c>
      <c r="AG343" s="1" t="str">
        <f>IFERROR(INDEX([1]物品基础表!$A:$A,MATCH(AF343,[1]物品基础表!$B:$B,0)),"")</f>
        <v/>
      </c>
      <c r="AJ343" s="1" t="str">
        <f>IFERROR(INDEX([1]物品基础表!$A:$A,MATCH(AI343,[1]物品基础表!$B:$B,0)),"")</f>
        <v/>
      </c>
      <c r="AM343" s="1" t="str">
        <f>IFERROR(INDEX([1]物品基础表!$A:$A,MATCH(AL343,[1]物品基础表!$B:$B,0)),"")</f>
        <v/>
      </c>
      <c r="AP343" s="1" t="str">
        <f>IFERROR(INDEX([1]物品基础表!$A:$A,MATCH(AO343,[1]物品基础表!$B:$B,0)),"")</f>
        <v/>
      </c>
      <c r="AS343" s="1" t="str">
        <f>IFERROR(INDEX([1]物品基础表!$A:$A,MATCH(AR343,[1]物品基础表!$B:$B,0)),"")</f>
        <v/>
      </c>
      <c r="AV343" s="1" t="str">
        <f>IFERROR(INDEX([1]物品基础表!$A:$A,MATCH(AU343,[1]物品基础表!$B:$B,0)),"")</f>
        <v/>
      </c>
      <c r="AY343" s="1" t="str">
        <f>IFERROR(INDEX([1]物品基础表!$A:$A,MATCH(AX343,[1]物品基础表!$B:$B,0)),"")</f>
        <v/>
      </c>
      <c r="BB343" s="1" t="str">
        <f>IFERROR(INDEX([1]物品基础表!$A:$A,MATCH(BA343,[1]物品基础表!$B:$B,0)),"")</f>
        <v/>
      </c>
      <c r="BE343" s="1" t="str">
        <f>IFERROR(INDEX([1]物品基础表!$A:$A,MATCH(BD343,[1]物品基础表!$B:$B,0)),"")</f>
        <v/>
      </c>
      <c r="BH343" s="1" t="str">
        <f>IFERROR(INDEX([1]物品基础表!$A:$A,MATCH(BG343,[1]物品基础表!$B:$B,0)),"")</f>
        <v/>
      </c>
      <c r="BK343" s="1" t="str">
        <f>IFERROR(INDEX([1]物品基础表!$A:$A,MATCH(BJ343,[1]物品基础表!$B:$B,0)),"")</f>
        <v/>
      </c>
    </row>
    <row r="344" spans="1:63">
      <c r="A344" s="39" t="str">
        <f>INDEX([2]活动总表!$A$8:$A$429,MATCH(B344,[2]活动总表!$B$8:$B$429,0))</f>
        <v>元宵-福袋(41+天)</v>
      </c>
      <c r="B344" s="40">
        <v>706</v>
      </c>
      <c r="C344" s="40">
        <v>23</v>
      </c>
      <c r="D344" s="40"/>
      <c r="E344" s="40"/>
      <c r="F344" s="40" t="s">
        <v>876</v>
      </c>
      <c r="G344" s="40">
        <v>2</v>
      </c>
      <c r="H344" s="40"/>
      <c r="I344" s="40"/>
      <c r="J344" s="57"/>
      <c r="K344" s="1">
        <v>200005</v>
      </c>
      <c r="L344" s="1" t="str">
        <f>IFERROR(INDEX([1]物品基础表!$A:$A,MATCH(K344,[1]物品基础表!$B:$B,0)),"")</f>
        <v>龙魂碎片</v>
      </c>
      <c r="M344" s="1">
        <v>10</v>
      </c>
      <c r="O344" s="1" t="str">
        <f>IFERROR(INDEX([1]物品基础表!$A:$A,MATCH(N344,[1]物品基础表!$B:$B,0)),"")</f>
        <v/>
      </c>
      <c r="R344" s="1" t="str">
        <f>IFERROR(INDEX([1]物品基础表!$A:$A,MATCH(Q344,[1]物品基础表!$B:$B,0)),"")</f>
        <v/>
      </c>
      <c r="U344" s="1" t="str">
        <f>IFERROR(INDEX([1]物品基础表!$A:$A,MATCH(T344,[1]物品基础表!$B:$B,0)),"")</f>
        <v/>
      </c>
      <c r="X344" s="1" t="str">
        <f>IFERROR(INDEX([1]物品基础表!$A:$A,MATCH(W344,[1]物品基础表!$B:$B,0)),"")</f>
        <v/>
      </c>
      <c r="AA344" s="1" t="str">
        <f>IFERROR(INDEX([1]物品基础表!$A:$A,MATCH(Z344,[1]物品基础表!$B:$B,0)),"")</f>
        <v/>
      </c>
      <c r="AD344" s="1" t="str">
        <f>IFERROR(INDEX([1]物品基础表!$A:$A,MATCH(AC344,[1]物品基础表!$B:$B,0)),"")</f>
        <v/>
      </c>
      <c r="AG344" s="1" t="str">
        <f>IFERROR(INDEX([1]物品基础表!$A:$A,MATCH(AF344,[1]物品基础表!$B:$B,0)),"")</f>
        <v/>
      </c>
      <c r="AJ344" s="1" t="str">
        <f>IFERROR(INDEX([1]物品基础表!$A:$A,MATCH(AI344,[1]物品基础表!$B:$B,0)),"")</f>
        <v/>
      </c>
      <c r="AM344" s="1" t="str">
        <f>IFERROR(INDEX([1]物品基础表!$A:$A,MATCH(AL344,[1]物品基础表!$B:$B,0)),"")</f>
        <v/>
      </c>
      <c r="AP344" s="1" t="str">
        <f>IFERROR(INDEX([1]物品基础表!$A:$A,MATCH(AO344,[1]物品基础表!$B:$B,0)),"")</f>
        <v/>
      </c>
      <c r="AS344" s="1" t="str">
        <f>IFERROR(INDEX([1]物品基础表!$A:$A,MATCH(AR344,[1]物品基础表!$B:$B,0)),"")</f>
        <v/>
      </c>
      <c r="AV344" s="1" t="str">
        <f>IFERROR(INDEX([1]物品基础表!$A:$A,MATCH(AU344,[1]物品基础表!$B:$B,0)),"")</f>
        <v/>
      </c>
      <c r="AY344" s="1" t="str">
        <f>IFERROR(INDEX([1]物品基础表!$A:$A,MATCH(AX344,[1]物品基础表!$B:$B,0)),"")</f>
        <v/>
      </c>
      <c r="BB344" s="1" t="str">
        <f>IFERROR(INDEX([1]物品基础表!$A:$A,MATCH(BA344,[1]物品基础表!$B:$B,0)),"")</f>
        <v/>
      </c>
      <c r="BE344" s="1" t="str">
        <f>IFERROR(INDEX([1]物品基础表!$A:$A,MATCH(BD344,[1]物品基础表!$B:$B,0)),"")</f>
        <v/>
      </c>
      <c r="BH344" s="1" t="str">
        <f>IFERROR(INDEX([1]物品基础表!$A:$A,MATCH(BG344,[1]物品基础表!$B:$B,0)),"")</f>
        <v/>
      </c>
      <c r="BK344" s="1" t="str">
        <f>IFERROR(INDEX([1]物品基础表!$A:$A,MATCH(BJ344,[1]物品基础表!$B:$B,0)),"")</f>
        <v/>
      </c>
    </row>
    <row r="345" spans="1:63">
      <c r="A345" s="39" t="str">
        <f>INDEX([2]活动总表!$A$8:$A$429,MATCH(B345,[2]活动总表!$B$8:$B$429,0))</f>
        <v>元宵-福袋(41+天)</v>
      </c>
      <c r="B345" s="40">
        <v>706</v>
      </c>
      <c r="C345" s="40">
        <v>24</v>
      </c>
      <c r="D345" s="40"/>
      <c r="E345" s="40"/>
      <c r="F345" s="40" t="s">
        <v>877</v>
      </c>
      <c r="G345" s="40">
        <v>2</v>
      </c>
      <c r="H345" s="40"/>
      <c r="I345" s="40"/>
      <c r="J345" s="57"/>
      <c r="K345" s="1">
        <v>200005</v>
      </c>
      <c r="L345" s="1" t="str">
        <f>IFERROR(INDEX([1]物品基础表!$A:$A,MATCH(K345,[1]物品基础表!$B:$B,0)),"")</f>
        <v>龙魂碎片</v>
      </c>
      <c r="M345" s="1">
        <v>15</v>
      </c>
      <c r="O345" s="1" t="str">
        <f>IFERROR(INDEX([1]物品基础表!$A:$A,MATCH(N345,[1]物品基础表!$B:$B,0)),"")</f>
        <v/>
      </c>
      <c r="R345" s="1" t="str">
        <f>IFERROR(INDEX([1]物品基础表!$A:$A,MATCH(Q345,[1]物品基础表!$B:$B,0)),"")</f>
        <v/>
      </c>
      <c r="U345" s="1" t="str">
        <f>IFERROR(INDEX([1]物品基础表!$A:$A,MATCH(T345,[1]物品基础表!$B:$B,0)),"")</f>
        <v/>
      </c>
      <c r="X345" s="1" t="str">
        <f>IFERROR(INDEX([1]物品基础表!$A:$A,MATCH(W345,[1]物品基础表!$B:$B,0)),"")</f>
        <v/>
      </c>
      <c r="AA345" s="1" t="str">
        <f>IFERROR(INDEX([1]物品基础表!$A:$A,MATCH(Z345,[1]物品基础表!$B:$B,0)),"")</f>
        <v/>
      </c>
      <c r="AD345" s="1" t="str">
        <f>IFERROR(INDEX([1]物品基础表!$A:$A,MATCH(AC345,[1]物品基础表!$B:$B,0)),"")</f>
        <v/>
      </c>
      <c r="AG345" s="1" t="str">
        <f>IFERROR(INDEX([1]物品基础表!$A:$A,MATCH(AF345,[1]物品基础表!$B:$B,0)),"")</f>
        <v/>
      </c>
      <c r="AJ345" s="1" t="str">
        <f>IFERROR(INDEX([1]物品基础表!$A:$A,MATCH(AI345,[1]物品基础表!$B:$B,0)),"")</f>
        <v/>
      </c>
      <c r="AM345" s="1" t="str">
        <f>IFERROR(INDEX([1]物品基础表!$A:$A,MATCH(AL345,[1]物品基础表!$B:$B,0)),"")</f>
        <v/>
      </c>
      <c r="AP345" s="1" t="str">
        <f>IFERROR(INDEX([1]物品基础表!$A:$A,MATCH(AO345,[1]物品基础表!$B:$B,0)),"")</f>
        <v/>
      </c>
      <c r="AS345" s="1" t="str">
        <f>IFERROR(INDEX([1]物品基础表!$A:$A,MATCH(AR345,[1]物品基础表!$B:$B,0)),"")</f>
        <v/>
      </c>
      <c r="AV345" s="1" t="str">
        <f>IFERROR(INDEX([1]物品基础表!$A:$A,MATCH(AU345,[1]物品基础表!$B:$B,0)),"")</f>
        <v/>
      </c>
      <c r="AY345" s="1" t="str">
        <f>IFERROR(INDEX([1]物品基础表!$A:$A,MATCH(AX345,[1]物品基础表!$B:$B,0)),"")</f>
        <v/>
      </c>
      <c r="BB345" s="1" t="str">
        <f>IFERROR(INDEX([1]物品基础表!$A:$A,MATCH(BA345,[1]物品基础表!$B:$B,0)),"")</f>
        <v/>
      </c>
      <c r="BE345" s="1" t="str">
        <f>IFERROR(INDEX([1]物品基础表!$A:$A,MATCH(BD345,[1]物品基础表!$B:$B,0)),"")</f>
        <v/>
      </c>
      <c r="BH345" s="1" t="str">
        <f>IFERROR(INDEX([1]物品基础表!$A:$A,MATCH(BG345,[1]物品基础表!$B:$B,0)),"")</f>
        <v/>
      </c>
      <c r="BK345" s="1" t="str">
        <f>IFERROR(INDEX([1]物品基础表!$A:$A,MATCH(BJ345,[1]物品基础表!$B:$B,0)),"")</f>
        <v/>
      </c>
    </row>
    <row r="346" spans="1:63">
      <c r="A346" s="39" t="str">
        <f>INDEX([2]活动总表!$A$8:$A$429,MATCH(B346,[2]活动总表!$B$8:$B$429,0))</f>
        <v>元宵-福袋(41+天)</v>
      </c>
      <c r="B346" s="40">
        <v>706</v>
      </c>
      <c r="C346" s="40">
        <v>25</v>
      </c>
      <c r="D346" s="40"/>
      <c r="E346" s="40"/>
      <c r="F346" s="40" t="s">
        <v>874</v>
      </c>
      <c r="G346" s="40">
        <v>2</v>
      </c>
      <c r="H346" s="40"/>
      <c r="I346" s="40"/>
      <c r="J346" s="57"/>
      <c r="K346" s="1">
        <v>200167</v>
      </c>
      <c r="L346" s="1" t="str">
        <f>IFERROR(INDEX([1]物品基础表!$A:$A,MATCH(K346,[1]物品基础表!$B:$B,0)),"")</f>
        <v>黑铁</v>
      </c>
      <c r="M346" s="1">
        <v>200</v>
      </c>
      <c r="O346" s="1" t="str">
        <f>IFERROR(INDEX([1]物品基础表!$A:$A,MATCH(N346,[1]物品基础表!$B:$B,0)),"")</f>
        <v/>
      </c>
      <c r="R346" s="1" t="str">
        <f>IFERROR(INDEX([1]物品基础表!$A:$A,MATCH(Q346,[1]物品基础表!$B:$B,0)),"")</f>
        <v/>
      </c>
      <c r="U346" s="1" t="str">
        <f>IFERROR(INDEX([1]物品基础表!$A:$A,MATCH(T346,[1]物品基础表!$B:$B,0)),"")</f>
        <v/>
      </c>
      <c r="X346" s="1" t="str">
        <f>IFERROR(INDEX([1]物品基础表!$A:$A,MATCH(W346,[1]物品基础表!$B:$B,0)),"")</f>
        <v/>
      </c>
      <c r="AA346" s="1" t="str">
        <f>IFERROR(INDEX([1]物品基础表!$A:$A,MATCH(Z346,[1]物品基础表!$B:$B,0)),"")</f>
        <v/>
      </c>
      <c r="AD346" s="1" t="str">
        <f>IFERROR(INDEX([1]物品基础表!$A:$A,MATCH(AC346,[1]物品基础表!$B:$B,0)),"")</f>
        <v/>
      </c>
      <c r="AG346" s="1" t="str">
        <f>IFERROR(INDEX([1]物品基础表!$A:$A,MATCH(AF346,[1]物品基础表!$B:$B,0)),"")</f>
        <v/>
      </c>
      <c r="AJ346" s="1" t="str">
        <f>IFERROR(INDEX([1]物品基础表!$A:$A,MATCH(AI346,[1]物品基础表!$B:$B,0)),"")</f>
        <v/>
      </c>
      <c r="AM346" s="1" t="str">
        <f>IFERROR(INDEX([1]物品基础表!$A:$A,MATCH(AL346,[1]物品基础表!$B:$B,0)),"")</f>
        <v/>
      </c>
      <c r="AP346" s="1" t="str">
        <f>IFERROR(INDEX([1]物品基础表!$A:$A,MATCH(AO346,[1]物品基础表!$B:$B,0)),"")</f>
        <v/>
      </c>
      <c r="AS346" s="1" t="str">
        <f>IFERROR(INDEX([1]物品基础表!$A:$A,MATCH(AR346,[1]物品基础表!$B:$B,0)),"")</f>
        <v/>
      </c>
      <c r="AV346" s="1" t="str">
        <f>IFERROR(INDEX([1]物品基础表!$A:$A,MATCH(AU346,[1]物品基础表!$B:$B,0)),"")</f>
        <v/>
      </c>
      <c r="AY346" s="1" t="str">
        <f>IFERROR(INDEX([1]物品基础表!$A:$A,MATCH(AX346,[1]物品基础表!$B:$B,0)),"")</f>
        <v/>
      </c>
      <c r="BB346" s="1" t="str">
        <f>IFERROR(INDEX([1]物品基础表!$A:$A,MATCH(BA346,[1]物品基础表!$B:$B,0)),"")</f>
        <v/>
      </c>
      <c r="BE346" s="1" t="str">
        <f>IFERROR(INDEX([1]物品基础表!$A:$A,MATCH(BD346,[1]物品基础表!$B:$B,0)),"")</f>
        <v/>
      </c>
      <c r="BH346" s="1" t="str">
        <f>IFERROR(INDEX([1]物品基础表!$A:$A,MATCH(BG346,[1]物品基础表!$B:$B,0)),"")</f>
        <v/>
      </c>
      <c r="BK346" s="1" t="str">
        <f>IFERROR(INDEX([1]物品基础表!$A:$A,MATCH(BJ346,[1]物品基础表!$B:$B,0)),"")</f>
        <v/>
      </c>
    </row>
    <row r="347" spans="1:63">
      <c r="A347" s="39" t="str">
        <f>INDEX([2]活动总表!$A$8:$A$429,MATCH(B347,[2]活动总表!$B$8:$B$429,0))</f>
        <v>元宵-福袋(41+天)</v>
      </c>
      <c r="B347" s="40">
        <v>706</v>
      </c>
      <c r="C347" s="40">
        <v>26</v>
      </c>
      <c r="D347" s="40"/>
      <c r="E347" s="40"/>
      <c r="F347" s="40" t="s">
        <v>878</v>
      </c>
      <c r="G347" s="40">
        <v>2</v>
      </c>
      <c r="H347" s="40"/>
      <c r="I347" s="40"/>
      <c r="J347" s="57"/>
      <c r="K347" s="1">
        <v>200167</v>
      </c>
      <c r="L347" s="1" t="str">
        <f>IFERROR(INDEX([1]物品基础表!$A:$A,MATCH(K347,[1]物品基础表!$B:$B,0)),"")</f>
        <v>黑铁</v>
      </c>
      <c r="M347" s="1">
        <v>500</v>
      </c>
      <c r="O347" s="1" t="str">
        <f>IFERROR(INDEX([1]物品基础表!$A:$A,MATCH(N347,[1]物品基础表!$B:$B,0)),"")</f>
        <v/>
      </c>
      <c r="R347" s="1" t="str">
        <f>IFERROR(INDEX([1]物品基础表!$A:$A,MATCH(Q347,[1]物品基础表!$B:$B,0)),"")</f>
        <v/>
      </c>
      <c r="U347" s="1" t="str">
        <f>IFERROR(INDEX([1]物品基础表!$A:$A,MATCH(T347,[1]物品基础表!$B:$B,0)),"")</f>
        <v/>
      </c>
      <c r="X347" s="1" t="str">
        <f>IFERROR(INDEX([1]物品基础表!$A:$A,MATCH(W347,[1]物品基础表!$B:$B,0)),"")</f>
        <v/>
      </c>
      <c r="AA347" s="1" t="str">
        <f>IFERROR(INDEX([1]物品基础表!$A:$A,MATCH(Z347,[1]物品基础表!$B:$B,0)),"")</f>
        <v/>
      </c>
      <c r="AD347" s="1" t="str">
        <f>IFERROR(INDEX([1]物品基础表!$A:$A,MATCH(AC347,[1]物品基础表!$B:$B,0)),"")</f>
        <v/>
      </c>
      <c r="AG347" s="1" t="str">
        <f>IFERROR(INDEX([1]物品基础表!$A:$A,MATCH(AF347,[1]物品基础表!$B:$B,0)),"")</f>
        <v/>
      </c>
      <c r="AJ347" s="1" t="str">
        <f>IFERROR(INDEX([1]物品基础表!$A:$A,MATCH(AI347,[1]物品基础表!$B:$B,0)),"")</f>
        <v/>
      </c>
      <c r="AM347" s="1" t="str">
        <f>IFERROR(INDEX([1]物品基础表!$A:$A,MATCH(AL347,[1]物品基础表!$B:$B,0)),"")</f>
        <v/>
      </c>
      <c r="AP347" s="1" t="str">
        <f>IFERROR(INDEX([1]物品基础表!$A:$A,MATCH(AO347,[1]物品基础表!$B:$B,0)),"")</f>
        <v/>
      </c>
      <c r="AS347" s="1" t="str">
        <f>IFERROR(INDEX([1]物品基础表!$A:$A,MATCH(AR347,[1]物品基础表!$B:$B,0)),"")</f>
        <v/>
      </c>
      <c r="AV347" s="1" t="str">
        <f>IFERROR(INDEX([1]物品基础表!$A:$A,MATCH(AU347,[1]物品基础表!$B:$B,0)),"")</f>
        <v/>
      </c>
      <c r="AY347" s="1" t="str">
        <f>IFERROR(INDEX([1]物品基础表!$A:$A,MATCH(AX347,[1]物品基础表!$B:$B,0)),"")</f>
        <v/>
      </c>
      <c r="BB347" s="1" t="str">
        <f>IFERROR(INDEX([1]物品基础表!$A:$A,MATCH(BA347,[1]物品基础表!$B:$B,0)),"")</f>
        <v/>
      </c>
      <c r="BE347" s="1" t="str">
        <f>IFERROR(INDEX([1]物品基础表!$A:$A,MATCH(BD347,[1]物品基础表!$B:$B,0)),"")</f>
        <v/>
      </c>
      <c r="BH347" s="1" t="str">
        <f>IFERROR(INDEX([1]物品基础表!$A:$A,MATCH(BG347,[1]物品基础表!$B:$B,0)),"")</f>
        <v/>
      </c>
      <c r="BK347" s="1" t="str">
        <f>IFERROR(INDEX([1]物品基础表!$A:$A,MATCH(BJ347,[1]物品基础表!$B:$B,0)),"")</f>
        <v/>
      </c>
    </row>
    <row r="348" spans="1:63">
      <c r="A348" s="39" t="str">
        <f>INDEX([2]活动总表!$A$8:$A$429,MATCH(B348,[2]活动总表!$B$8:$B$429,0))</f>
        <v>元宵-福袋(41+天)</v>
      </c>
      <c r="B348" s="40">
        <v>706</v>
      </c>
      <c r="C348" s="40">
        <v>27</v>
      </c>
      <c r="D348" s="40"/>
      <c r="E348" s="40"/>
      <c r="F348" s="40" t="s">
        <v>879</v>
      </c>
      <c r="G348" s="40">
        <v>2</v>
      </c>
      <c r="H348" s="40"/>
      <c r="I348" s="40"/>
      <c r="J348" s="57"/>
      <c r="K348" s="1">
        <v>200167</v>
      </c>
      <c r="L348" s="1" t="str">
        <f>IFERROR(INDEX([1]物品基础表!$A:$A,MATCH(K348,[1]物品基础表!$B:$B,0)),"")</f>
        <v>黑铁</v>
      </c>
      <c r="M348" s="1">
        <v>1000</v>
      </c>
      <c r="O348" s="1" t="str">
        <f>IFERROR(INDEX([1]物品基础表!$A:$A,MATCH(N348,[1]物品基础表!$B:$B,0)),"")</f>
        <v/>
      </c>
      <c r="R348" s="1" t="str">
        <f>IFERROR(INDEX([1]物品基础表!$A:$A,MATCH(Q348,[1]物品基础表!$B:$B,0)),"")</f>
        <v/>
      </c>
      <c r="U348" s="1" t="str">
        <f>IFERROR(INDEX([1]物品基础表!$A:$A,MATCH(T348,[1]物品基础表!$B:$B,0)),"")</f>
        <v/>
      </c>
      <c r="X348" s="1" t="str">
        <f>IFERROR(INDEX([1]物品基础表!$A:$A,MATCH(W348,[1]物品基础表!$B:$B,0)),"")</f>
        <v/>
      </c>
      <c r="AA348" s="1" t="str">
        <f>IFERROR(INDEX([1]物品基础表!$A:$A,MATCH(Z348,[1]物品基础表!$B:$B,0)),"")</f>
        <v/>
      </c>
      <c r="AD348" s="1" t="str">
        <f>IFERROR(INDEX([1]物品基础表!$A:$A,MATCH(AC348,[1]物品基础表!$B:$B,0)),"")</f>
        <v/>
      </c>
      <c r="AG348" s="1" t="str">
        <f>IFERROR(INDEX([1]物品基础表!$A:$A,MATCH(AF348,[1]物品基础表!$B:$B,0)),"")</f>
        <v/>
      </c>
      <c r="AJ348" s="1" t="str">
        <f>IFERROR(INDEX([1]物品基础表!$A:$A,MATCH(AI348,[1]物品基础表!$B:$B,0)),"")</f>
        <v/>
      </c>
      <c r="AM348" s="1" t="str">
        <f>IFERROR(INDEX([1]物品基础表!$A:$A,MATCH(AL348,[1]物品基础表!$B:$B,0)),"")</f>
        <v/>
      </c>
      <c r="AP348" s="1" t="str">
        <f>IFERROR(INDEX([1]物品基础表!$A:$A,MATCH(AO348,[1]物品基础表!$B:$B,0)),"")</f>
        <v/>
      </c>
      <c r="AS348" s="1" t="str">
        <f>IFERROR(INDEX([1]物品基础表!$A:$A,MATCH(AR348,[1]物品基础表!$B:$B,0)),"")</f>
        <v/>
      </c>
      <c r="AV348" s="1" t="str">
        <f>IFERROR(INDEX([1]物品基础表!$A:$A,MATCH(AU348,[1]物品基础表!$B:$B,0)),"")</f>
        <v/>
      </c>
      <c r="AY348" s="1" t="str">
        <f>IFERROR(INDEX([1]物品基础表!$A:$A,MATCH(AX348,[1]物品基础表!$B:$B,0)),"")</f>
        <v/>
      </c>
      <c r="BB348" s="1" t="str">
        <f>IFERROR(INDEX([1]物品基础表!$A:$A,MATCH(BA348,[1]物品基础表!$B:$B,0)),"")</f>
        <v/>
      </c>
      <c r="BE348" s="1" t="str">
        <f>IFERROR(INDEX([1]物品基础表!$A:$A,MATCH(BD348,[1]物品基础表!$B:$B,0)),"")</f>
        <v/>
      </c>
      <c r="BH348" s="1" t="str">
        <f>IFERROR(INDEX([1]物品基础表!$A:$A,MATCH(BG348,[1]物品基础表!$B:$B,0)),"")</f>
        <v/>
      </c>
      <c r="BK348" s="1" t="str">
        <f>IFERROR(INDEX([1]物品基础表!$A:$A,MATCH(BJ348,[1]物品基础表!$B:$B,0)),"")</f>
        <v/>
      </c>
    </row>
    <row r="349" spans="1:63">
      <c r="A349" s="39" t="str">
        <f>INDEX([2]活动总表!$A$8:$A$429,MATCH(B349,[2]活动总表!$B$8:$B$429,0))</f>
        <v>元宵-福袋(41+天)</v>
      </c>
      <c r="B349" s="40">
        <v>706</v>
      </c>
      <c r="C349" s="40">
        <v>28</v>
      </c>
      <c r="D349" s="40"/>
      <c r="E349" s="40"/>
      <c r="F349" s="40" t="s">
        <v>874</v>
      </c>
      <c r="G349" s="40">
        <v>2</v>
      </c>
      <c r="H349" s="40"/>
      <c r="I349" s="40"/>
      <c r="J349" s="57"/>
      <c r="K349" s="1">
        <v>200015</v>
      </c>
      <c r="L349" s="1" t="str">
        <f>IFERROR(INDEX([1]物品基础表!$A:$A,MATCH(K349,[1]物品基础表!$B:$B,0)),"")</f>
        <v>特戒碎片</v>
      </c>
      <c r="M349" s="1">
        <v>50</v>
      </c>
      <c r="O349" s="1" t="str">
        <f>IFERROR(INDEX([1]物品基础表!$A:$A,MATCH(N349,[1]物品基础表!$B:$B,0)),"")</f>
        <v/>
      </c>
      <c r="R349" s="1" t="str">
        <f>IFERROR(INDEX([1]物品基础表!$A:$A,MATCH(Q349,[1]物品基础表!$B:$B,0)),"")</f>
        <v/>
      </c>
      <c r="U349" s="1" t="str">
        <f>IFERROR(INDEX([1]物品基础表!$A:$A,MATCH(T349,[1]物品基础表!$B:$B,0)),"")</f>
        <v/>
      </c>
      <c r="X349" s="1" t="str">
        <f>IFERROR(INDEX([1]物品基础表!$A:$A,MATCH(W349,[1]物品基础表!$B:$B,0)),"")</f>
        <v/>
      </c>
      <c r="AA349" s="1" t="str">
        <f>IFERROR(INDEX([1]物品基础表!$A:$A,MATCH(Z349,[1]物品基础表!$B:$B,0)),"")</f>
        <v/>
      </c>
      <c r="AD349" s="1" t="str">
        <f>IFERROR(INDEX([1]物品基础表!$A:$A,MATCH(AC349,[1]物品基础表!$B:$B,0)),"")</f>
        <v/>
      </c>
      <c r="AG349" s="1" t="str">
        <f>IFERROR(INDEX([1]物品基础表!$A:$A,MATCH(AF349,[1]物品基础表!$B:$B,0)),"")</f>
        <v/>
      </c>
      <c r="AJ349" s="1" t="str">
        <f>IFERROR(INDEX([1]物品基础表!$A:$A,MATCH(AI349,[1]物品基础表!$B:$B,0)),"")</f>
        <v/>
      </c>
      <c r="AM349" s="1" t="str">
        <f>IFERROR(INDEX([1]物品基础表!$A:$A,MATCH(AL349,[1]物品基础表!$B:$B,0)),"")</f>
        <v/>
      </c>
      <c r="AP349" s="1" t="str">
        <f>IFERROR(INDEX([1]物品基础表!$A:$A,MATCH(AO349,[1]物品基础表!$B:$B,0)),"")</f>
        <v/>
      </c>
      <c r="AS349" s="1" t="str">
        <f>IFERROR(INDEX([1]物品基础表!$A:$A,MATCH(AR349,[1]物品基础表!$B:$B,0)),"")</f>
        <v/>
      </c>
      <c r="AV349" s="1" t="str">
        <f>IFERROR(INDEX([1]物品基础表!$A:$A,MATCH(AU349,[1]物品基础表!$B:$B,0)),"")</f>
        <v/>
      </c>
      <c r="AY349" s="1" t="str">
        <f>IFERROR(INDEX([1]物品基础表!$A:$A,MATCH(AX349,[1]物品基础表!$B:$B,0)),"")</f>
        <v/>
      </c>
      <c r="BB349" s="1" t="str">
        <f>IFERROR(INDEX([1]物品基础表!$A:$A,MATCH(BA349,[1]物品基础表!$B:$B,0)),"")</f>
        <v/>
      </c>
      <c r="BE349" s="1" t="str">
        <f>IFERROR(INDEX([1]物品基础表!$A:$A,MATCH(BD349,[1]物品基础表!$B:$B,0)),"")</f>
        <v/>
      </c>
      <c r="BH349" s="1" t="str">
        <f>IFERROR(INDEX([1]物品基础表!$A:$A,MATCH(BG349,[1]物品基础表!$B:$B,0)),"")</f>
        <v/>
      </c>
      <c r="BK349" s="1" t="str">
        <f>IFERROR(INDEX([1]物品基础表!$A:$A,MATCH(BJ349,[1]物品基础表!$B:$B,0)),"")</f>
        <v/>
      </c>
    </row>
    <row r="350" spans="1:63">
      <c r="A350" s="39" t="str">
        <f>INDEX([2]活动总表!$A$8:$A$429,MATCH(B350,[2]活动总表!$B$8:$B$429,0))</f>
        <v>元宵-福袋(41+天)</v>
      </c>
      <c r="B350" s="40">
        <v>706</v>
      </c>
      <c r="C350" s="40">
        <v>29</v>
      </c>
      <c r="D350" s="40"/>
      <c r="E350" s="40"/>
      <c r="F350" s="40" t="s">
        <v>874</v>
      </c>
      <c r="G350" s="40">
        <v>2</v>
      </c>
      <c r="H350" s="40"/>
      <c r="I350" s="40"/>
      <c r="J350" s="57"/>
      <c r="K350" s="1">
        <v>200015</v>
      </c>
      <c r="L350" s="1" t="str">
        <f>IFERROR(INDEX([1]物品基础表!$A:$A,MATCH(K350,[1]物品基础表!$B:$B,0)),"")</f>
        <v>特戒碎片</v>
      </c>
      <c r="M350" s="1">
        <v>80</v>
      </c>
      <c r="O350" s="1" t="str">
        <f>IFERROR(INDEX([1]物品基础表!$A:$A,MATCH(N350,[1]物品基础表!$B:$B,0)),"")</f>
        <v/>
      </c>
      <c r="R350" s="1" t="str">
        <f>IFERROR(INDEX([1]物品基础表!$A:$A,MATCH(Q350,[1]物品基础表!$B:$B,0)),"")</f>
        <v/>
      </c>
      <c r="U350" s="1" t="str">
        <f>IFERROR(INDEX([1]物品基础表!$A:$A,MATCH(T350,[1]物品基础表!$B:$B,0)),"")</f>
        <v/>
      </c>
      <c r="X350" s="1" t="str">
        <f>IFERROR(INDEX([1]物品基础表!$A:$A,MATCH(W350,[1]物品基础表!$B:$B,0)),"")</f>
        <v/>
      </c>
      <c r="AA350" s="1" t="str">
        <f>IFERROR(INDEX([1]物品基础表!$A:$A,MATCH(Z350,[1]物品基础表!$B:$B,0)),"")</f>
        <v/>
      </c>
      <c r="AD350" s="1" t="str">
        <f>IFERROR(INDEX([1]物品基础表!$A:$A,MATCH(AC350,[1]物品基础表!$B:$B,0)),"")</f>
        <v/>
      </c>
      <c r="AG350" s="1" t="str">
        <f>IFERROR(INDEX([1]物品基础表!$A:$A,MATCH(AF350,[1]物品基础表!$B:$B,0)),"")</f>
        <v/>
      </c>
      <c r="AJ350" s="1" t="str">
        <f>IFERROR(INDEX([1]物品基础表!$A:$A,MATCH(AI350,[1]物品基础表!$B:$B,0)),"")</f>
        <v/>
      </c>
      <c r="AM350" s="1" t="str">
        <f>IFERROR(INDEX([1]物品基础表!$A:$A,MATCH(AL350,[1]物品基础表!$B:$B,0)),"")</f>
        <v/>
      </c>
      <c r="AP350" s="1" t="str">
        <f>IFERROR(INDEX([1]物品基础表!$A:$A,MATCH(AO350,[1]物品基础表!$B:$B,0)),"")</f>
        <v/>
      </c>
      <c r="AS350" s="1" t="str">
        <f>IFERROR(INDEX([1]物品基础表!$A:$A,MATCH(AR350,[1]物品基础表!$B:$B,0)),"")</f>
        <v/>
      </c>
      <c r="AV350" s="1" t="str">
        <f>IFERROR(INDEX([1]物品基础表!$A:$A,MATCH(AU350,[1]物品基础表!$B:$B,0)),"")</f>
        <v/>
      </c>
      <c r="AY350" s="1" t="str">
        <f>IFERROR(INDEX([1]物品基础表!$A:$A,MATCH(AX350,[1]物品基础表!$B:$B,0)),"")</f>
        <v/>
      </c>
      <c r="BB350" s="1" t="str">
        <f>IFERROR(INDEX([1]物品基础表!$A:$A,MATCH(BA350,[1]物品基础表!$B:$B,0)),"")</f>
        <v/>
      </c>
      <c r="BE350" s="1" t="str">
        <f>IFERROR(INDEX([1]物品基础表!$A:$A,MATCH(BD350,[1]物品基础表!$B:$B,0)),"")</f>
        <v/>
      </c>
      <c r="BH350" s="1" t="str">
        <f>IFERROR(INDEX([1]物品基础表!$A:$A,MATCH(BG350,[1]物品基础表!$B:$B,0)),"")</f>
        <v/>
      </c>
      <c r="BK350" s="1" t="str">
        <f>IFERROR(INDEX([1]物品基础表!$A:$A,MATCH(BJ350,[1]物品基础表!$B:$B,0)),"")</f>
        <v/>
      </c>
    </row>
    <row r="351" spans="1:63">
      <c r="A351" s="39" t="str">
        <f>INDEX([2]活动总表!$A$8:$A$429,MATCH(B351,[2]活动总表!$B$8:$B$429,0))</f>
        <v>元宵-福袋(41+天)</v>
      </c>
      <c r="B351" s="40">
        <v>706</v>
      </c>
      <c r="C351" s="40">
        <v>30</v>
      </c>
      <c r="D351" s="40"/>
      <c r="E351" s="40"/>
      <c r="F351" s="40" t="s">
        <v>880</v>
      </c>
      <c r="G351" s="40">
        <v>2</v>
      </c>
      <c r="H351" s="40"/>
      <c r="I351" s="40"/>
      <c r="J351" s="57"/>
      <c r="K351" s="1">
        <v>200015</v>
      </c>
      <c r="L351" s="1" t="str">
        <f>IFERROR(INDEX([1]物品基础表!$A:$A,MATCH(K351,[1]物品基础表!$B:$B,0)),"")</f>
        <v>特戒碎片</v>
      </c>
      <c r="M351" s="1">
        <v>100</v>
      </c>
      <c r="O351" s="1" t="str">
        <f>IFERROR(INDEX([1]物品基础表!$A:$A,MATCH(N351,[1]物品基础表!$B:$B,0)),"")</f>
        <v/>
      </c>
      <c r="R351" s="1" t="str">
        <f>IFERROR(INDEX([1]物品基础表!$A:$A,MATCH(Q351,[1]物品基础表!$B:$B,0)),"")</f>
        <v/>
      </c>
      <c r="U351" s="1" t="str">
        <f>IFERROR(INDEX([1]物品基础表!$A:$A,MATCH(T351,[1]物品基础表!$B:$B,0)),"")</f>
        <v/>
      </c>
      <c r="X351" s="1" t="str">
        <f>IFERROR(INDEX([1]物品基础表!$A:$A,MATCH(W351,[1]物品基础表!$B:$B,0)),"")</f>
        <v/>
      </c>
      <c r="AA351" s="1" t="str">
        <f>IFERROR(INDEX([1]物品基础表!$A:$A,MATCH(Z351,[1]物品基础表!$B:$B,0)),"")</f>
        <v/>
      </c>
      <c r="AD351" s="1" t="str">
        <f>IFERROR(INDEX([1]物品基础表!$A:$A,MATCH(AC351,[1]物品基础表!$B:$B,0)),"")</f>
        <v/>
      </c>
      <c r="AG351" s="1" t="str">
        <f>IFERROR(INDEX([1]物品基础表!$A:$A,MATCH(AF351,[1]物品基础表!$B:$B,0)),"")</f>
        <v/>
      </c>
      <c r="AJ351" s="1" t="str">
        <f>IFERROR(INDEX([1]物品基础表!$A:$A,MATCH(AI351,[1]物品基础表!$B:$B,0)),"")</f>
        <v/>
      </c>
      <c r="AM351" s="1" t="str">
        <f>IFERROR(INDEX([1]物品基础表!$A:$A,MATCH(AL351,[1]物品基础表!$B:$B,0)),"")</f>
        <v/>
      </c>
      <c r="AP351" s="1" t="str">
        <f>IFERROR(INDEX([1]物品基础表!$A:$A,MATCH(AO351,[1]物品基础表!$B:$B,0)),"")</f>
        <v/>
      </c>
      <c r="AS351" s="1" t="str">
        <f>IFERROR(INDEX([1]物品基础表!$A:$A,MATCH(AR351,[1]物品基础表!$B:$B,0)),"")</f>
        <v/>
      </c>
      <c r="AV351" s="1" t="str">
        <f>IFERROR(INDEX([1]物品基础表!$A:$A,MATCH(AU351,[1]物品基础表!$B:$B,0)),"")</f>
        <v/>
      </c>
      <c r="AY351" s="1" t="str">
        <f>IFERROR(INDEX([1]物品基础表!$A:$A,MATCH(AX351,[1]物品基础表!$B:$B,0)),"")</f>
        <v/>
      </c>
      <c r="BB351" s="1" t="str">
        <f>IFERROR(INDEX([1]物品基础表!$A:$A,MATCH(BA351,[1]物品基础表!$B:$B,0)),"")</f>
        <v/>
      </c>
      <c r="BE351" s="1" t="str">
        <f>IFERROR(INDEX([1]物品基础表!$A:$A,MATCH(BD351,[1]物品基础表!$B:$B,0)),"")</f>
        <v/>
      </c>
      <c r="BH351" s="1" t="str">
        <f>IFERROR(INDEX([1]物品基础表!$A:$A,MATCH(BG351,[1]物品基础表!$B:$B,0)),"")</f>
        <v/>
      </c>
      <c r="BK351" s="1" t="str">
        <f>IFERROR(INDEX([1]物品基础表!$A:$A,MATCH(BJ351,[1]物品基础表!$B:$B,0)),"")</f>
        <v/>
      </c>
    </row>
    <row r="352" spans="1:63">
      <c r="A352" s="39" t="str">
        <f>INDEX([2]活动总表!$A$8:$A$429,MATCH(B352,[2]活动总表!$B$8:$B$429,0))</f>
        <v>龙抬头-转盘</v>
      </c>
      <c r="B352" s="40">
        <v>902</v>
      </c>
      <c r="C352" s="40">
        <v>0</v>
      </c>
      <c r="D352" s="40">
        <v>200334</v>
      </c>
      <c r="E352" s="40">
        <v>500</v>
      </c>
      <c r="F352" s="40"/>
      <c r="G352" s="40">
        <v>3</v>
      </c>
      <c r="H352" s="40">
        <v>1</v>
      </c>
      <c r="I352" s="40" t="s">
        <v>856</v>
      </c>
      <c r="J352" s="57" t="s">
        <v>887</v>
      </c>
      <c r="L352" s="1" t="str">
        <f>IFERROR(INDEX([1]物品基础表!$A:$A,MATCH(K352,[1]物品基础表!$B:$B,0)),"")</f>
        <v/>
      </c>
      <c r="N352" s="1">
        <v>200015</v>
      </c>
      <c r="O352" s="1" t="str">
        <f>IFERROR(INDEX([1]物品基础表!$A:$A,MATCH(N352,[1]物品基础表!$B:$B,0)),"")</f>
        <v>特戒碎片</v>
      </c>
      <c r="P352" s="1">
        <v>300</v>
      </c>
      <c r="Q352" s="1">
        <v>200208</v>
      </c>
      <c r="R352" s="1" t="str">
        <f>IFERROR(INDEX([1]物品基础表!$A:$A,MATCH(Q352,[1]物品基础表!$B:$B,0)),"")</f>
        <v>烈焰印记低级升级材料</v>
      </c>
      <c r="S352" s="1">
        <v>400</v>
      </c>
      <c r="T352" s="1">
        <v>202008</v>
      </c>
      <c r="U352" s="1" t="str">
        <f>IFERROR(INDEX([1]物品基础表!$A:$A,MATCH(T352,[1]物品基础表!$B:$B,0)),"")</f>
        <v>烈焰戒指技能8书</v>
      </c>
      <c r="V352" s="1">
        <v>1</v>
      </c>
      <c r="W352" s="1">
        <v>200208</v>
      </c>
      <c r="X352" s="1" t="str">
        <f>IFERROR(INDEX([1]物品基础表!$A:$A,MATCH(W352,[1]物品基础表!$B:$B,0)),"")</f>
        <v>烈焰印记低级升级材料</v>
      </c>
      <c r="Y352" s="1">
        <v>600</v>
      </c>
      <c r="Z352" s="1">
        <v>200208</v>
      </c>
      <c r="AA352" s="1" t="str">
        <f>IFERROR(INDEX([1]物品基础表!$A:$A,MATCH(Z352,[1]物品基础表!$B:$B,0)),"")</f>
        <v>烈焰印记低级升级材料</v>
      </c>
      <c r="AB352" s="1">
        <v>800</v>
      </c>
      <c r="AD352" s="1" t="str">
        <f>IFERROR(INDEX([1]物品基础表!$A:$A,MATCH(AC352,[1]物品基础表!$B:$B,0)),"")</f>
        <v/>
      </c>
      <c r="AF352" s="1">
        <v>210106</v>
      </c>
      <c r="AG352" s="1" t="str">
        <f>IFERROR(INDEX([1]物品基础表!$A:$A,MATCH(AF352,[1]物品基础表!$B:$B,0)),"")</f>
        <v>高级必杀</v>
      </c>
      <c r="AH352" s="1">
        <v>1</v>
      </c>
      <c r="AI352" s="1">
        <v>200208</v>
      </c>
      <c r="AJ352" s="1" t="str">
        <f>IFERROR(INDEX([1]物品基础表!$A:$A,MATCH(AI352,[1]物品基础表!$B:$B,0)),"")</f>
        <v>烈焰印记低级升级材料</v>
      </c>
      <c r="AK352" s="1">
        <v>1000</v>
      </c>
      <c r="AL352" s="1">
        <v>200208</v>
      </c>
      <c r="AM352" s="1" t="str">
        <f>IFERROR(INDEX([1]物品基础表!$A:$A,MATCH(AL352,[1]物品基础表!$B:$B,0)),"")</f>
        <v>烈焰印记低级升级材料</v>
      </c>
      <c r="AN352" s="1">
        <v>1000</v>
      </c>
      <c r="AO352" s="1">
        <v>202007</v>
      </c>
      <c r="AP352" s="1" t="str">
        <f>IFERROR(INDEX([1]物品基础表!$A:$A,MATCH(AO352,[1]物品基础表!$B:$B,0)),"")</f>
        <v>烈焰戒指技能7书</v>
      </c>
      <c r="AQ352" s="1">
        <v>1</v>
      </c>
      <c r="AR352" s="1">
        <v>200208</v>
      </c>
      <c r="AS352" s="1" t="str">
        <f>IFERROR(INDEX([1]物品基础表!$A:$A,MATCH(AR352,[1]物品基础表!$B:$B,0)),"")</f>
        <v>烈焰印记低级升级材料</v>
      </c>
      <c r="AT352" s="1">
        <v>1000</v>
      </c>
      <c r="AU352" s="1">
        <v>200208</v>
      </c>
      <c r="AV352" s="1" t="str">
        <f>IFERROR(INDEX([1]物品基础表!$A:$A,MATCH(AU352,[1]物品基础表!$B:$B,0)),"")</f>
        <v>烈焰印记低级升级材料</v>
      </c>
      <c r="AW352" s="1">
        <v>1500</v>
      </c>
      <c r="AX352" s="1">
        <v>210109</v>
      </c>
      <c r="AY352" s="1" t="str">
        <f>IFERROR(INDEX([1]物品基础表!$A:$A,MATCH(AX352,[1]物品基础表!$B:$B,0)),"")</f>
        <v>高级偷袭</v>
      </c>
      <c r="AZ352" s="1">
        <v>1</v>
      </c>
      <c r="BB352" s="1" t="str">
        <f>IFERROR(INDEX([1]物品基础表!$A:$A,MATCH(BA352,[1]物品基础表!$B:$B,0)),"")</f>
        <v/>
      </c>
      <c r="BE352" s="1" t="str">
        <f>IFERROR(INDEX([1]物品基础表!$A:$A,MATCH(BD352,[1]物品基础表!$B:$B,0)),"")</f>
        <v/>
      </c>
      <c r="BH352" s="1" t="str">
        <f>IFERROR(INDEX([1]物品基础表!$A:$A,MATCH(BG352,[1]物品基础表!$B:$B,0)),"")</f>
        <v/>
      </c>
      <c r="BK352" s="1" t="str">
        <f>IFERROR(INDEX([1]物品基础表!$A:$A,MATCH(BJ352,[1]物品基础表!$B:$B,0)),"")</f>
        <v/>
      </c>
    </row>
    <row r="353" spans="1:63">
      <c r="A353" s="39" t="str">
        <f>INDEX([2]活动总表!$A$8:$A$429,MATCH(B353,[2]活动总表!$B$8:$B$429,0))</f>
        <v>龙抬头-转盘</v>
      </c>
      <c r="B353" s="40">
        <v>902</v>
      </c>
      <c r="C353" s="40">
        <v>1</v>
      </c>
      <c r="D353" s="40"/>
      <c r="E353" s="40"/>
      <c r="F353" s="40" t="s">
        <v>888</v>
      </c>
      <c r="G353" s="40">
        <v>3</v>
      </c>
      <c r="H353" s="40"/>
      <c r="I353" s="40"/>
      <c r="J353" s="57"/>
      <c r="K353" s="1">
        <v>200211</v>
      </c>
      <c r="L353" s="1" t="str">
        <f>IFERROR(INDEX([1]物品基础表!$A:$A,MATCH(K353,[1]物品基础表!$B:$B,0)),"")</f>
        <v>烈焰印记加持技能书</v>
      </c>
      <c r="M353" s="1">
        <v>1</v>
      </c>
      <c r="O353" s="1" t="str">
        <f>IFERROR(INDEX([1]物品基础表!$A:$A,MATCH(N353,[1]物品基础表!$B:$B,0)),"")</f>
        <v/>
      </c>
      <c r="R353" s="1" t="str">
        <f>IFERROR(INDEX([1]物品基础表!$A:$A,MATCH(Q353,[1]物品基础表!$B:$B,0)),"")</f>
        <v/>
      </c>
      <c r="U353" s="1" t="str">
        <f>IFERROR(INDEX([1]物品基础表!$A:$A,MATCH(T353,[1]物品基础表!$B:$B,0)),"")</f>
        <v/>
      </c>
      <c r="X353" s="1" t="str">
        <f>IFERROR(INDEX([1]物品基础表!$A:$A,MATCH(W353,[1]物品基础表!$B:$B,0)),"")</f>
        <v/>
      </c>
      <c r="AA353" s="1" t="str">
        <f>IFERROR(INDEX([1]物品基础表!$A:$A,MATCH(Z353,[1]物品基础表!$B:$B,0)),"")</f>
        <v/>
      </c>
      <c r="AD353" s="1" t="str">
        <f>IFERROR(INDEX([1]物品基础表!$A:$A,MATCH(AC353,[1]物品基础表!$B:$B,0)),"")</f>
        <v/>
      </c>
      <c r="AG353" s="1" t="str">
        <f>IFERROR(INDEX([1]物品基础表!$A:$A,MATCH(AF353,[1]物品基础表!$B:$B,0)),"")</f>
        <v/>
      </c>
      <c r="AJ353" s="1" t="str">
        <f>IFERROR(INDEX([1]物品基础表!$A:$A,MATCH(AI353,[1]物品基础表!$B:$B,0)),"")</f>
        <v/>
      </c>
      <c r="AM353" s="1" t="str">
        <f>IFERROR(INDEX([1]物品基础表!$A:$A,MATCH(AL353,[1]物品基础表!$B:$B,0)),"")</f>
        <v/>
      </c>
      <c r="AP353" s="1" t="str">
        <f>IFERROR(INDEX([1]物品基础表!$A:$A,MATCH(AO353,[1]物品基础表!$B:$B,0)),"")</f>
        <v/>
      </c>
      <c r="AS353" s="1" t="str">
        <f>IFERROR(INDEX([1]物品基础表!$A:$A,MATCH(AR353,[1]物品基础表!$B:$B,0)),"")</f>
        <v/>
      </c>
      <c r="AV353" s="1" t="str">
        <f>IFERROR(INDEX([1]物品基础表!$A:$A,MATCH(AU353,[1]物品基础表!$B:$B,0)),"")</f>
        <v/>
      </c>
      <c r="AY353" s="1" t="str">
        <f>IFERROR(INDEX([1]物品基础表!$A:$A,MATCH(AX353,[1]物品基础表!$B:$B,0)),"")</f>
        <v/>
      </c>
      <c r="BB353" s="1" t="str">
        <f>IFERROR(INDEX([1]物品基础表!$A:$A,MATCH(BA353,[1]物品基础表!$B:$B,0)),"")</f>
        <v/>
      </c>
      <c r="BE353" s="1" t="str">
        <f>IFERROR(INDEX([1]物品基础表!$A:$A,MATCH(BD353,[1]物品基础表!$B:$B,0)),"")</f>
        <v/>
      </c>
      <c r="BH353" s="1" t="str">
        <f>IFERROR(INDEX([1]物品基础表!$A:$A,MATCH(BG353,[1]物品基础表!$B:$B,0)),"")</f>
        <v/>
      </c>
      <c r="BK353" s="1" t="str">
        <f>IFERROR(INDEX([1]物品基础表!$A:$A,MATCH(BJ353,[1]物品基础表!$B:$B,0)),"")</f>
        <v/>
      </c>
    </row>
    <row r="354" spans="1:63">
      <c r="A354" s="39" t="str">
        <f>INDEX([2]活动总表!$A$8:$A$429,MATCH(B354,[2]活动总表!$B$8:$B$429,0))</f>
        <v>龙抬头-转盘</v>
      </c>
      <c r="B354" s="40">
        <v>902</v>
      </c>
      <c r="C354" s="40">
        <v>2</v>
      </c>
      <c r="D354" s="40"/>
      <c r="E354" s="40"/>
      <c r="F354" s="40" t="s">
        <v>889</v>
      </c>
      <c r="G354" s="40">
        <v>3</v>
      </c>
      <c r="H354" s="40"/>
      <c r="I354" s="40"/>
      <c r="J354" s="57"/>
      <c r="K354" s="1">
        <v>200015</v>
      </c>
      <c r="L354" s="1" t="str">
        <f>IFERROR(INDEX([1]物品基础表!$A:$A,MATCH(K354,[1]物品基础表!$B:$B,0)),"")</f>
        <v>特戒碎片</v>
      </c>
      <c r="M354" s="1">
        <v>60</v>
      </c>
      <c r="O354" s="1" t="str">
        <f>IFERROR(INDEX([1]物品基础表!$A:$A,MATCH(N354,[1]物品基础表!$B:$B,0)),"")</f>
        <v/>
      </c>
      <c r="R354" s="1" t="str">
        <f>IFERROR(INDEX([1]物品基础表!$A:$A,MATCH(Q354,[1]物品基础表!$B:$B,0)),"")</f>
        <v/>
      </c>
      <c r="U354" s="1" t="str">
        <f>IFERROR(INDEX([1]物品基础表!$A:$A,MATCH(T354,[1]物品基础表!$B:$B,0)),"")</f>
        <v/>
      </c>
      <c r="X354" s="1" t="str">
        <f>IFERROR(INDEX([1]物品基础表!$A:$A,MATCH(W354,[1]物品基础表!$B:$B,0)),"")</f>
        <v/>
      </c>
      <c r="AA354" s="1" t="str">
        <f>IFERROR(INDEX([1]物品基础表!$A:$A,MATCH(Z354,[1]物品基础表!$B:$B,0)),"")</f>
        <v/>
      </c>
      <c r="AD354" s="1" t="str">
        <f>IFERROR(INDEX([1]物品基础表!$A:$A,MATCH(AC354,[1]物品基础表!$B:$B,0)),"")</f>
        <v/>
      </c>
      <c r="AG354" s="1" t="str">
        <f>IFERROR(INDEX([1]物品基础表!$A:$A,MATCH(AF354,[1]物品基础表!$B:$B,0)),"")</f>
        <v/>
      </c>
      <c r="AJ354" s="1" t="str">
        <f>IFERROR(INDEX([1]物品基础表!$A:$A,MATCH(AI354,[1]物品基础表!$B:$B,0)),"")</f>
        <v/>
      </c>
      <c r="AM354" s="1" t="str">
        <f>IFERROR(INDEX([1]物品基础表!$A:$A,MATCH(AL354,[1]物品基础表!$B:$B,0)),"")</f>
        <v/>
      </c>
      <c r="AP354" s="1" t="str">
        <f>IFERROR(INDEX([1]物品基础表!$A:$A,MATCH(AO354,[1]物品基础表!$B:$B,0)),"")</f>
        <v/>
      </c>
      <c r="AS354" s="1" t="str">
        <f>IFERROR(INDEX([1]物品基础表!$A:$A,MATCH(AR354,[1]物品基础表!$B:$B,0)),"")</f>
        <v/>
      </c>
      <c r="AV354" s="1" t="str">
        <f>IFERROR(INDEX([1]物品基础表!$A:$A,MATCH(AU354,[1]物品基础表!$B:$B,0)),"")</f>
        <v/>
      </c>
      <c r="AY354" s="1" t="str">
        <f>IFERROR(INDEX([1]物品基础表!$A:$A,MATCH(AX354,[1]物品基础表!$B:$B,0)),"")</f>
        <v/>
      </c>
      <c r="BB354" s="1" t="str">
        <f>IFERROR(INDEX([1]物品基础表!$A:$A,MATCH(BA354,[1]物品基础表!$B:$B,0)),"")</f>
        <v/>
      </c>
      <c r="BE354" s="1" t="str">
        <f>IFERROR(INDEX([1]物品基础表!$A:$A,MATCH(BD354,[1]物品基础表!$B:$B,0)),"")</f>
        <v/>
      </c>
      <c r="BH354" s="1" t="str">
        <f>IFERROR(INDEX([1]物品基础表!$A:$A,MATCH(BG354,[1]物品基础表!$B:$B,0)),"")</f>
        <v/>
      </c>
      <c r="BK354" s="1" t="str">
        <f>IFERROR(INDEX([1]物品基础表!$A:$A,MATCH(BJ354,[1]物品基础表!$B:$B,0)),"")</f>
        <v/>
      </c>
    </row>
    <row r="355" spans="1:63">
      <c r="A355" s="39" t="str">
        <f>INDEX([2]活动总表!$A$8:$A$429,MATCH(B355,[2]活动总表!$B$8:$B$429,0))</f>
        <v>龙抬头-转盘</v>
      </c>
      <c r="B355" s="40">
        <v>902</v>
      </c>
      <c r="C355" s="40">
        <v>3</v>
      </c>
      <c r="D355" s="40"/>
      <c r="E355" s="40"/>
      <c r="F355" s="40" t="s">
        <v>890</v>
      </c>
      <c r="G355" s="40">
        <v>3</v>
      </c>
      <c r="H355" s="40"/>
      <c r="I355" s="40"/>
      <c r="J355" s="57"/>
      <c r="K355" s="1">
        <v>200301</v>
      </c>
      <c r="L355" s="1" t="str">
        <f>IFERROR(INDEX([1]物品基础表!$A:$A,MATCH(K355,[1]物品基础表!$B:$B,0)),"")</f>
        <v>传世宝钻</v>
      </c>
      <c r="M355" s="1">
        <v>100</v>
      </c>
      <c r="O355" s="1" t="str">
        <f>IFERROR(INDEX([1]物品基础表!$A:$A,MATCH(N355,[1]物品基础表!$B:$B,0)),"")</f>
        <v/>
      </c>
      <c r="R355" s="1" t="str">
        <f>IFERROR(INDEX([1]物品基础表!$A:$A,MATCH(Q355,[1]物品基础表!$B:$B,0)),"")</f>
        <v/>
      </c>
      <c r="U355" s="1" t="str">
        <f>IFERROR(INDEX([1]物品基础表!$A:$A,MATCH(T355,[1]物品基础表!$B:$B,0)),"")</f>
        <v/>
      </c>
      <c r="X355" s="1" t="str">
        <f>IFERROR(INDEX([1]物品基础表!$A:$A,MATCH(W355,[1]物品基础表!$B:$B,0)),"")</f>
        <v/>
      </c>
      <c r="AA355" s="1" t="str">
        <f>IFERROR(INDEX([1]物品基础表!$A:$A,MATCH(Z355,[1]物品基础表!$B:$B,0)),"")</f>
        <v/>
      </c>
      <c r="AD355" s="1" t="str">
        <f>IFERROR(INDEX([1]物品基础表!$A:$A,MATCH(AC355,[1]物品基础表!$B:$B,0)),"")</f>
        <v/>
      </c>
      <c r="AG355" s="1" t="str">
        <f>IFERROR(INDEX([1]物品基础表!$A:$A,MATCH(AF355,[1]物品基础表!$B:$B,0)),"")</f>
        <v/>
      </c>
      <c r="AJ355" s="1" t="str">
        <f>IFERROR(INDEX([1]物品基础表!$A:$A,MATCH(AI355,[1]物品基础表!$B:$B,0)),"")</f>
        <v/>
      </c>
      <c r="AM355" s="1" t="str">
        <f>IFERROR(INDEX([1]物品基础表!$A:$A,MATCH(AL355,[1]物品基础表!$B:$B,0)),"")</f>
        <v/>
      </c>
      <c r="AP355" s="1" t="str">
        <f>IFERROR(INDEX([1]物品基础表!$A:$A,MATCH(AO355,[1]物品基础表!$B:$B,0)),"")</f>
        <v/>
      </c>
      <c r="AS355" s="1" t="str">
        <f>IFERROR(INDEX([1]物品基础表!$A:$A,MATCH(AR355,[1]物品基础表!$B:$B,0)),"")</f>
        <v/>
      </c>
      <c r="AV355" s="1" t="str">
        <f>IFERROR(INDEX([1]物品基础表!$A:$A,MATCH(AU355,[1]物品基础表!$B:$B,0)),"")</f>
        <v/>
      </c>
      <c r="AY355" s="1" t="str">
        <f>IFERROR(INDEX([1]物品基础表!$A:$A,MATCH(AX355,[1]物品基础表!$B:$B,0)),"")</f>
        <v/>
      </c>
      <c r="BB355" s="1" t="str">
        <f>IFERROR(INDEX([1]物品基础表!$A:$A,MATCH(BA355,[1]物品基础表!$B:$B,0)),"")</f>
        <v/>
      </c>
      <c r="BE355" s="1" t="str">
        <f>IFERROR(INDEX([1]物品基础表!$A:$A,MATCH(BD355,[1]物品基础表!$B:$B,0)),"")</f>
        <v/>
      </c>
      <c r="BH355" s="1" t="str">
        <f>IFERROR(INDEX([1]物品基础表!$A:$A,MATCH(BG355,[1]物品基础表!$B:$B,0)),"")</f>
        <v/>
      </c>
      <c r="BK355" s="1" t="str">
        <f>IFERROR(INDEX([1]物品基础表!$A:$A,MATCH(BJ355,[1]物品基础表!$B:$B,0)),"")</f>
        <v/>
      </c>
    </row>
    <row r="356" spans="1:63">
      <c r="A356" s="39" t="str">
        <f>INDEX([2]活动总表!$A$8:$A$429,MATCH(B356,[2]活动总表!$B$8:$B$429,0))</f>
        <v>龙抬头-转盘</v>
      </c>
      <c r="B356" s="40">
        <v>902</v>
      </c>
      <c r="C356" s="40">
        <v>4</v>
      </c>
      <c r="D356" s="40"/>
      <c r="E356" s="40"/>
      <c r="F356" s="40" t="s">
        <v>889</v>
      </c>
      <c r="G356" s="40">
        <v>3</v>
      </c>
      <c r="H356" s="40"/>
      <c r="I356" s="40"/>
      <c r="J356" s="57"/>
      <c r="K356" s="1">
        <v>200208</v>
      </c>
      <c r="L356" s="1" t="str">
        <f>IFERROR(INDEX([1]物品基础表!$A:$A,MATCH(K356,[1]物品基础表!$B:$B,0)),"")</f>
        <v>烈焰印记低级升级材料</v>
      </c>
      <c r="M356" s="1">
        <v>60</v>
      </c>
      <c r="O356" s="1" t="str">
        <f>IFERROR(INDEX([1]物品基础表!$A:$A,MATCH(N356,[1]物品基础表!$B:$B,0)),"")</f>
        <v/>
      </c>
      <c r="R356" s="1" t="str">
        <f>IFERROR(INDEX([1]物品基础表!$A:$A,MATCH(Q356,[1]物品基础表!$B:$B,0)),"")</f>
        <v/>
      </c>
      <c r="U356" s="1" t="str">
        <f>IFERROR(INDEX([1]物品基础表!$A:$A,MATCH(T356,[1]物品基础表!$B:$B,0)),"")</f>
        <v/>
      </c>
      <c r="X356" s="1" t="str">
        <f>IFERROR(INDEX([1]物品基础表!$A:$A,MATCH(W356,[1]物品基础表!$B:$B,0)),"")</f>
        <v/>
      </c>
      <c r="AA356" s="1" t="str">
        <f>IFERROR(INDEX([1]物品基础表!$A:$A,MATCH(Z356,[1]物品基础表!$B:$B,0)),"")</f>
        <v/>
      </c>
      <c r="AD356" s="1" t="str">
        <f>IFERROR(INDEX([1]物品基础表!$A:$A,MATCH(AC356,[1]物品基础表!$B:$B,0)),"")</f>
        <v/>
      </c>
      <c r="AG356" s="1" t="str">
        <f>IFERROR(INDEX([1]物品基础表!$A:$A,MATCH(AF356,[1]物品基础表!$B:$B,0)),"")</f>
        <v/>
      </c>
      <c r="AJ356" s="1" t="str">
        <f>IFERROR(INDEX([1]物品基础表!$A:$A,MATCH(AI356,[1]物品基础表!$B:$B,0)),"")</f>
        <v/>
      </c>
      <c r="AM356" s="1" t="str">
        <f>IFERROR(INDEX([1]物品基础表!$A:$A,MATCH(AL356,[1]物品基础表!$B:$B,0)),"")</f>
        <v/>
      </c>
      <c r="AP356" s="1" t="str">
        <f>IFERROR(INDEX([1]物品基础表!$A:$A,MATCH(AO356,[1]物品基础表!$B:$B,0)),"")</f>
        <v/>
      </c>
      <c r="AS356" s="1" t="str">
        <f>IFERROR(INDEX([1]物品基础表!$A:$A,MATCH(AR356,[1]物品基础表!$B:$B,0)),"")</f>
        <v/>
      </c>
      <c r="AV356" s="1" t="str">
        <f>IFERROR(INDEX([1]物品基础表!$A:$A,MATCH(AU356,[1]物品基础表!$B:$B,0)),"")</f>
        <v/>
      </c>
      <c r="AY356" s="1" t="str">
        <f>IFERROR(INDEX([1]物品基础表!$A:$A,MATCH(AX356,[1]物品基础表!$B:$B,0)),"")</f>
        <v/>
      </c>
      <c r="BB356" s="1" t="str">
        <f>IFERROR(INDEX([1]物品基础表!$A:$A,MATCH(BA356,[1]物品基础表!$B:$B,0)),"")</f>
        <v/>
      </c>
      <c r="BE356" s="1" t="str">
        <f>IFERROR(INDEX([1]物品基础表!$A:$A,MATCH(BD356,[1]物品基础表!$B:$B,0)),"")</f>
        <v/>
      </c>
      <c r="BH356" s="1" t="str">
        <f>IFERROR(INDEX([1]物品基础表!$A:$A,MATCH(BG356,[1]物品基础表!$B:$B,0)),"")</f>
        <v/>
      </c>
      <c r="BK356" s="1" t="str">
        <f>IFERROR(INDEX([1]物品基础表!$A:$A,MATCH(BJ356,[1]物品基础表!$B:$B,0)),"")</f>
        <v/>
      </c>
    </row>
    <row r="357" spans="1:63">
      <c r="A357" s="39" t="str">
        <f>INDEX([2]活动总表!$A$8:$A$429,MATCH(B357,[2]活动总表!$B$8:$B$429,0))</f>
        <v>龙抬头-转盘</v>
      </c>
      <c r="B357" s="40">
        <v>902</v>
      </c>
      <c r="C357" s="40">
        <v>5</v>
      </c>
      <c r="D357" s="40"/>
      <c r="E357" s="40"/>
      <c r="F357" s="40" t="s">
        <v>891</v>
      </c>
      <c r="G357" s="40">
        <v>3</v>
      </c>
      <c r="H357" s="40"/>
      <c r="I357" s="40"/>
      <c r="J357" s="57"/>
      <c r="K357" s="1">
        <v>204156</v>
      </c>
      <c r="L357" s="1" t="str">
        <f>IFERROR(INDEX([1]物品基础表!$A:$A,MATCH(K357,[1]物品基础表!$B:$B,0)),"")</f>
        <v>3阶战灵装备</v>
      </c>
      <c r="M357" s="1">
        <v>1</v>
      </c>
      <c r="O357" s="1" t="str">
        <f>IFERROR(INDEX([1]物品基础表!$A:$A,MATCH(N357,[1]物品基础表!$B:$B,0)),"")</f>
        <v/>
      </c>
      <c r="R357" s="1" t="str">
        <f>IFERROR(INDEX([1]物品基础表!$A:$A,MATCH(Q357,[1]物品基础表!$B:$B,0)),"")</f>
        <v/>
      </c>
      <c r="U357" s="1" t="str">
        <f>IFERROR(INDEX([1]物品基础表!$A:$A,MATCH(T357,[1]物品基础表!$B:$B,0)),"")</f>
        <v/>
      </c>
      <c r="X357" s="1" t="str">
        <f>IFERROR(INDEX([1]物品基础表!$A:$A,MATCH(W357,[1]物品基础表!$B:$B,0)),"")</f>
        <v/>
      </c>
      <c r="AA357" s="1" t="str">
        <f>IFERROR(INDEX([1]物品基础表!$A:$A,MATCH(Z357,[1]物品基础表!$B:$B,0)),"")</f>
        <v/>
      </c>
      <c r="AD357" s="1" t="str">
        <f>IFERROR(INDEX([1]物品基础表!$A:$A,MATCH(AC357,[1]物品基础表!$B:$B,0)),"")</f>
        <v/>
      </c>
      <c r="AG357" s="1" t="str">
        <f>IFERROR(INDEX([1]物品基础表!$A:$A,MATCH(AF357,[1]物品基础表!$B:$B,0)),"")</f>
        <v/>
      </c>
      <c r="AJ357" s="1" t="str">
        <f>IFERROR(INDEX([1]物品基础表!$A:$A,MATCH(AI357,[1]物品基础表!$B:$B,0)),"")</f>
        <v/>
      </c>
      <c r="AM357" s="1" t="str">
        <f>IFERROR(INDEX([1]物品基础表!$A:$A,MATCH(AL357,[1]物品基础表!$B:$B,0)),"")</f>
        <v/>
      </c>
      <c r="AP357" s="1" t="str">
        <f>IFERROR(INDEX([1]物品基础表!$A:$A,MATCH(AO357,[1]物品基础表!$B:$B,0)),"")</f>
        <v/>
      </c>
      <c r="AS357" s="1" t="str">
        <f>IFERROR(INDEX([1]物品基础表!$A:$A,MATCH(AR357,[1]物品基础表!$B:$B,0)),"")</f>
        <v/>
      </c>
      <c r="AV357" s="1" t="str">
        <f>IFERROR(INDEX([1]物品基础表!$A:$A,MATCH(AU357,[1]物品基础表!$B:$B,0)),"")</f>
        <v/>
      </c>
      <c r="AY357" s="1" t="str">
        <f>IFERROR(INDEX([1]物品基础表!$A:$A,MATCH(AX357,[1]物品基础表!$B:$B,0)),"")</f>
        <v/>
      </c>
      <c r="BB357" s="1" t="str">
        <f>IFERROR(INDEX([1]物品基础表!$A:$A,MATCH(BA357,[1]物品基础表!$B:$B,0)),"")</f>
        <v/>
      </c>
      <c r="BE357" s="1" t="str">
        <f>IFERROR(INDEX([1]物品基础表!$A:$A,MATCH(BD357,[1]物品基础表!$B:$B,0)),"")</f>
        <v/>
      </c>
      <c r="BH357" s="1" t="str">
        <f>IFERROR(INDEX([1]物品基础表!$A:$A,MATCH(BG357,[1]物品基础表!$B:$B,0)),"")</f>
        <v/>
      </c>
      <c r="BK357" s="1" t="str">
        <f>IFERROR(INDEX([1]物品基础表!$A:$A,MATCH(BJ357,[1]物品基础表!$B:$B,0)),"")</f>
        <v/>
      </c>
    </row>
    <row r="358" spans="1:63">
      <c r="A358" s="39" t="str">
        <f>INDEX([2]活动总表!$A$8:$A$429,MATCH(B358,[2]活动总表!$B$8:$B$429,0))</f>
        <v>龙抬头-转盘</v>
      </c>
      <c r="B358" s="40">
        <v>902</v>
      </c>
      <c r="C358" s="40">
        <v>6</v>
      </c>
      <c r="D358" s="40"/>
      <c r="E358" s="40"/>
      <c r="F358" s="40" t="s">
        <v>892</v>
      </c>
      <c r="G358" s="40">
        <v>3</v>
      </c>
      <c r="H358" s="40"/>
      <c r="I358" s="40"/>
      <c r="J358" s="57"/>
      <c r="K358" s="1">
        <v>200212</v>
      </c>
      <c r="L358" s="1" t="str">
        <f>IFERROR(INDEX([1]物品基础表!$A:$A,MATCH(K358,[1]物品基础表!$B:$B,0)),"")</f>
        <v>烈焰印记迅疾技能书</v>
      </c>
      <c r="M358" s="1">
        <v>1</v>
      </c>
      <c r="O358" s="1" t="str">
        <f>IFERROR(INDEX([1]物品基础表!$A:$A,MATCH(N358,[1]物品基础表!$B:$B,0)),"")</f>
        <v/>
      </c>
      <c r="R358" s="1" t="str">
        <f>IFERROR(INDEX([1]物品基础表!$A:$A,MATCH(Q358,[1]物品基础表!$B:$B,0)),"")</f>
        <v/>
      </c>
      <c r="U358" s="1" t="str">
        <f>IFERROR(INDEX([1]物品基础表!$A:$A,MATCH(T358,[1]物品基础表!$B:$B,0)),"")</f>
        <v/>
      </c>
      <c r="X358" s="1" t="str">
        <f>IFERROR(INDEX([1]物品基础表!$A:$A,MATCH(W358,[1]物品基础表!$B:$B,0)),"")</f>
        <v/>
      </c>
      <c r="AA358" s="1" t="str">
        <f>IFERROR(INDEX([1]物品基础表!$A:$A,MATCH(Z358,[1]物品基础表!$B:$B,0)),"")</f>
        <v/>
      </c>
      <c r="AD358" s="1" t="str">
        <f>IFERROR(INDEX([1]物品基础表!$A:$A,MATCH(AC358,[1]物品基础表!$B:$B,0)),"")</f>
        <v/>
      </c>
      <c r="AG358" s="1" t="str">
        <f>IFERROR(INDEX([1]物品基础表!$A:$A,MATCH(AF358,[1]物品基础表!$B:$B,0)),"")</f>
        <v/>
      </c>
      <c r="AJ358" s="1" t="str">
        <f>IFERROR(INDEX([1]物品基础表!$A:$A,MATCH(AI358,[1]物品基础表!$B:$B,0)),"")</f>
        <v/>
      </c>
      <c r="AM358" s="1" t="str">
        <f>IFERROR(INDEX([1]物品基础表!$A:$A,MATCH(AL358,[1]物品基础表!$B:$B,0)),"")</f>
        <v/>
      </c>
      <c r="AP358" s="1" t="str">
        <f>IFERROR(INDEX([1]物品基础表!$A:$A,MATCH(AO358,[1]物品基础表!$B:$B,0)),"")</f>
        <v/>
      </c>
      <c r="AS358" s="1" t="str">
        <f>IFERROR(INDEX([1]物品基础表!$A:$A,MATCH(AR358,[1]物品基础表!$B:$B,0)),"")</f>
        <v/>
      </c>
      <c r="AV358" s="1" t="str">
        <f>IFERROR(INDEX([1]物品基础表!$A:$A,MATCH(AU358,[1]物品基础表!$B:$B,0)),"")</f>
        <v/>
      </c>
      <c r="AY358" s="1" t="str">
        <f>IFERROR(INDEX([1]物品基础表!$A:$A,MATCH(AX358,[1]物品基础表!$B:$B,0)),"")</f>
        <v/>
      </c>
      <c r="BB358" s="1" t="str">
        <f>IFERROR(INDEX([1]物品基础表!$A:$A,MATCH(BA358,[1]物品基础表!$B:$B,0)),"")</f>
        <v/>
      </c>
      <c r="BE358" s="1" t="str">
        <f>IFERROR(INDEX([1]物品基础表!$A:$A,MATCH(BD358,[1]物品基础表!$B:$B,0)),"")</f>
        <v/>
      </c>
      <c r="BH358" s="1" t="str">
        <f>IFERROR(INDEX([1]物品基础表!$A:$A,MATCH(BG358,[1]物品基础表!$B:$B,0)),"")</f>
        <v/>
      </c>
      <c r="BK358" s="1" t="str">
        <f>IFERROR(INDEX([1]物品基础表!$A:$A,MATCH(BJ358,[1]物品基础表!$B:$B,0)),"")</f>
        <v/>
      </c>
    </row>
    <row r="359" spans="1:63">
      <c r="A359" s="39" t="str">
        <f>INDEX([2]活动总表!$A$8:$A$429,MATCH(B359,[2]活动总表!$B$8:$B$429,0))</f>
        <v>龙抬头-转盘</v>
      </c>
      <c r="B359" s="40">
        <v>902</v>
      </c>
      <c r="C359" s="40">
        <v>7</v>
      </c>
      <c r="D359" s="40"/>
      <c r="E359" s="40"/>
      <c r="F359" s="40" t="s">
        <v>893</v>
      </c>
      <c r="G359" s="40">
        <v>3</v>
      </c>
      <c r="H359" s="40"/>
      <c r="I359" s="40"/>
      <c r="J359" s="57"/>
      <c r="K359" s="1">
        <v>200015</v>
      </c>
      <c r="L359" s="1" t="str">
        <f>IFERROR(INDEX([1]物品基础表!$A:$A,MATCH(K359,[1]物品基础表!$B:$B,0)),"")</f>
        <v>特戒碎片</v>
      </c>
      <c r="M359" s="1">
        <v>120</v>
      </c>
      <c r="O359" s="1" t="str">
        <f>IFERROR(INDEX([1]物品基础表!$A:$A,MATCH(N359,[1]物品基础表!$B:$B,0)),"")</f>
        <v/>
      </c>
      <c r="R359" s="1" t="str">
        <f>IFERROR(INDEX([1]物品基础表!$A:$A,MATCH(Q359,[1]物品基础表!$B:$B,0)),"")</f>
        <v/>
      </c>
      <c r="U359" s="1" t="str">
        <f>IFERROR(INDEX([1]物品基础表!$A:$A,MATCH(T359,[1]物品基础表!$B:$B,0)),"")</f>
        <v/>
      </c>
      <c r="X359" s="1" t="str">
        <f>IFERROR(INDEX([1]物品基础表!$A:$A,MATCH(W359,[1]物品基础表!$B:$B,0)),"")</f>
        <v/>
      </c>
      <c r="AA359" s="1" t="str">
        <f>IFERROR(INDEX([1]物品基础表!$A:$A,MATCH(Z359,[1]物品基础表!$B:$B,0)),"")</f>
        <v/>
      </c>
      <c r="AD359" s="1" t="str">
        <f>IFERROR(INDEX([1]物品基础表!$A:$A,MATCH(AC359,[1]物品基础表!$B:$B,0)),"")</f>
        <v/>
      </c>
      <c r="AG359" s="1" t="str">
        <f>IFERROR(INDEX([1]物品基础表!$A:$A,MATCH(AF359,[1]物品基础表!$B:$B,0)),"")</f>
        <v/>
      </c>
      <c r="AJ359" s="1" t="str">
        <f>IFERROR(INDEX([1]物品基础表!$A:$A,MATCH(AI359,[1]物品基础表!$B:$B,0)),"")</f>
        <v/>
      </c>
      <c r="AM359" s="1" t="str">
        <f>IFERROR(INDEX([1]物品基础表!$A:$A,MATCH(AL359,[1]物品基础表!$B:$B,0)),"")</f>
        <v/>
      </c>
      <c r="AP359" s="1" t="str">
        <f>IFERROR(INDEX([1]物品基础表!$A:$A,MATCH(AO359,[1]物品基础表!$B:$B,0)),"")</f>
        <v/>
      </c>
      <c r="AS359" s="1" t="str">
        <f>IFERROR(INDEX([1]物品基础表!$A:$A,MATCH(AR359,[1]物品基础表!$B:$B,0)),"")</f>
        <v/>
      </c>
      <c r="AV359" s="1" t="str">
        <f>IFERROR(INDEX([1]物品基础表!$A:$A,MATCH(AU359,[1]物品基础表!$B:$B,0)),"")</f>
        <v/>
      </c>
      <c r="AY359" s="1" t="str">
        <f>IFERROR(INDEX([1]物品基础表!$A:$A,MATCH(AX359,[1]物品基础表!$B:$B,0)),"")</f>
        <v/>
      </c>
      <c r="BB359" s="1" t="str">
        <f>IFERROR(INDEX([1]物品基础表!$A:$A,MATCH(BA359,[1]物品基础表!$B:$B,0)),"")</f>
        <v/>
      </c>
      <c r="BE359" s="1" t="str">
        <f>IFERROR(INDEX([1]物品基础表!$A:$A,MATCH(BD359,[1]物品基础表!$B:$B,0)),"")</f>
        <v/>
      </c>
      <c r="BH359" s="1" t="str">
        <f>IFERROR(INDEX([1]物品基础表!$A:$A,MATCH(BG359,[1]物品基础表!$B:$B,0)),"")</f>
        <v/>
      </c>
      <c r="BK359" s="1" t="str">
        <f>IFERROR(INDEX([1]物品基础表!$A:$A,MATCH(BJ359,[1]物品基础表!$B:$B,0)),"")</f>
        <v/>
      </c>
    </row>
    <row r="360" spans="1:63">
      <c r="A360" s="39" t="str">
        <f>INDEX([2]活动总表!$A$8:$A$429,MATCH(B360,[2]活动总表!$B$8:$B$429,0))</f>
        <v>龙抬头-转盘</v>
      </c>
      <c r="B360" s="40">
        <v>902</v>
      </c>
      <c r="C360" s="40">
        <v>8</v>
      </c>
      <c r="D360" s="40"/>
      <c r="E360" s="40"/>
      <c r="F360" s="40" t="s">
        <v>892</v>
      </c>
      <c r="G360" s="40">
        <v>3</v>
      </c>
      <c r="H360" s="40"/>
      <c r="I360" s="40"/>
      <c r="J360" s="57"/>
      <c r="K360" s="1">
        <v>200213</v>
      </c>
      <c r="L360" s="1" t="str">
        <f>IFERROR(INDEX([1]物品基础表!$A:$A,MATCH(K360,[1]物品基础表!$B:$B,0)),"")</f>
        <v>烈焰印记爆裂技能书</v>
      </c>
      <c r="M360" s="1">
        <v>1</v>
      </c>
      <c r="O360" s="1" t="str">
        <f>IFERROR(INDEX([1]物品基础表!$A:$A,MATCH(N360,[1]物品基础表!$B:$B,0)),"")</f>
        <v/>
      </c>
      <c r="R360" s="1" t="str">
        <f>IFERROR(INDEX([1]物品基础表!$A:$A,MATCH(Q360,[1]物品基础表!$B:$B,0)),"")</f>
        <v/>
      </c>
      <c r="U360" s="1" t="str">
        <f>IFERROR(INDEX([1]物品基础表!$A:$A,MATCH(T360,[1]物品基础表!$B:$B,0)),"")</f>
        <v/>
      </c>
      <c r="X360" s="1" t="str">
        <f>IFERROR(INDEX([1]物品基础表!$A:$A,MATCH(W360,[1]物品基础表!$B:$B,0)),"")</f>
        <v/>
      </c>
      <c r="AA360" s="1" t="str">
        <f>IFERROR(INDEX([1]物品基础表!$A:$A,MATCH(Z360,[1]物品基础表!$B:$B,0)),"")</f>
        <v/>
      </c>
      <c r="AD360" s="1" t="str">
        <f>IFERROR(INDEX([1]物品基础表!$A:$A,MATCH(AC360,[1]物品基础表!$B:$B,0)),"")</f>
        <v/>
      </c>
      <c r="AG360" s="1" t="str">
        <f>IFERROR(INDEX([1]物品基础表!$A:$A,MATCH(AF360,[1]物品基础表!$B:$B,0)),"")</f>
        <v/>
      </c>
      <c r="AJ360" s="1" t="str">
        <f>IFERROR(INDEX([1]物品基础表!$A:$A,MATCH(AI360,[1]物品基础表!$B:$B,0)),"")</f>
        <v/>
      </c>
      <c r="AM360" s="1" t="str">
        <f>IFERROR(INDEX([1]物品基础表!$A:$A,MATCH(AL360,[1]物品基础表!$B:$B,0)),"")</f>
        <v/>
      </c>
      <c r="AP360" s="1" t="str">
        <f>IFERROR(INDEX([1]物品基础表!$A:$A,MATCH(AO360,[1]物品基础表!$B:$B,0)),"")</f>
        <v/>
      </c>
      <c r="AS360" s="1" t="str">
        <f>IFERROR(INDEX([1]物品基础表!$A:$A,MATCH(AR360,[1]物品基础表!$B:$B,0)),"")</f>
        <v/>
      </c>
      <c r="AV360" s="1" t="str">
        <f>IFERROR(INDEX([1]物品基础表!$A:$A,MATCH(AU360,[1]物品基础表!$B:$B,0)),"")</f>
        <v/>
      </c>
      <c r="AY360" s="1" t="str">
        <f>IFERROR(INDEX([1]物品基础表!$A:$A,MATCH(AX360,[1]物品基础表!$B:$B,0)),"")</f>
        <v/>
      </c>
      <c r="BB360" s="1" t="str">
        <f>IFERROR(INDEX([1]物品基础表!$A:$A,MATCH(BA360,[1]物品基础表!$B:$B,0)),"")</f>
        <v/>
      </c>
      <c r="BE360" s="1" t="str">
        <f>IFERROR(INDEX([1]物品基础表!$A:$A,MATCH(BD360,[1]物品基础表!$B:$B,0)),"")</f>
        <v/>
      </c>
      <c r="BH360" s="1" t="str">
        <f>IFERROR(INDEX([1]物品基础表!$A:$A,MATCH(BG360,[1]物品基础表!$B:$B,0)),"")</f>
        <v/>
      </c>
      <c r="BK360" s="1" t="str">
        <f>IFERROR(INDEX([1]物品基础表!$A:$A,MATCH(BJ360,[1]物品基础表!$B:$B,0)),"")</f>
        <v/>
      </c>
    </row>
    <row r="361" spans="1:63">
      <c r="A361" s="39" t="str">
        <f>INDEX([2]活动总表!$A$8:$A$429,MATCH(B361,[2]活动总表!$B$8:$B$429,0))</f>
        <v>龙抬头-转盘</v>
      </c>
      <c r="B361" s="40">
        <v>902</v>
      </c>
      <c r="C361" s="40">
        <v>9</v>
      </c>
      <c r="D361" s="40"/>
      <c r="E361" s="40"/>
      <c r="F361" s="40" t="s">
        <v>893</v>
      </c>
      <c r="G361" s="40">
        <v>3</v>
      </c>
      <c r="H361" s="40"/>
      <c r="I361" s="40"/>
      <c r="J361" s="57"/>
      <c r="K361" s="1">
        <v>200208</v>
      </c>
      <c r="L361" s="1" t="str">
        <f>IFERROR(INDEX([1]物品基础表!$A:$A,MATCH(K361,[1]物品基础表!$B:$B,0)),"")</f>
        <v>烈焰印记低级升级材料</v>
      </c>
      <c r="M361" s="1">
        <v>120</v>
      </c>
      <c r="O361" s="1" t="str">
        <f>IFERROR(INDEX([1]物品基础表!$A:$A,MATCH(N361,[1]物品基础表!$B:$B,0)),"")</f>
        <v/>
      </c>
      <c r="R361" s="1" t="str">
        <f>IFERROR(INDEX([1]物品基础表!$A:$A,MATCH(Q361,[1]物品基础表!$B:$B,0)),"")</f>
        <v/>
      </c>
      <c r="U361" s="1" t="str">
        <f>IFERROR(INDEX([1]物品基础表!$A:$A,MATCH(T361,[1]物品基础表!$B:$B,0)),"")</f>
        <v/>
      </c>
      <c r="X361" s="1" t="str">
        <f>IFERROR(INDEX([1]物品基础表!$A:$A,MATCH(W361,[1]物品基础表!$B:$B,0)),"")</f>
        <v/>
      </c>
      <c r="AA361" s="1" t="str">
        <f>IFERROR(INDEX([1]物品基础表!$A:$A,MATCH(Z361,[1]物品基础表!$B:$B,0)),"")</f>
        <v/>
      </c>
      <c r="AD361" s="1" t="str">
        <f>IFERROR(INDEX([1]物品基础表!$A:$A,MATCH(AC361,[1]物品基础表!$B:$B,0)),"")</f>
        <v/>
      </c>
      <c r="AG361" s="1" t="str">
        <f>IFERROR(INDEX([1]物品基础表!$A:$A,MATCH(AF361,[1]物品基础表!$B:$B,0)),"")</f>
        <v/>
      </c>
      <c r="AJ361" s="1" t="str">
        <f>IFERROR(INDEX([1]物品基础表!$A:$A,MATCH(AI361,[1]物品基础表!$B:$B,0)),"")</f>
        <v/>
      </c>
      <c r="AM361" s="1" t="str">
        <f>IFERROR(INDEX([1]物品基础表!$A:$A,MATCH(AL361,[1]物品基础表!$B:$B,0)),"")</f>
        <v/>
      </c>
      <c r="AP361" s="1" t="str">
        <f>IFERROR(INDEX([1]物品基础表!$A:$A,MATCH(AO361,[1]物品基础表!$B:$B,0)),"")</f>
        <v/>
      </c>
      <c r="AS361" s="1" t="str">
        <f>IFERROR(INDEX([1]物品基础表!$A:$A,MATCH(AR361,[1]物品基础表!$B:$B,0)),"")</f>
        <v/>
      </c>
      <c r="AV361" s="1" t="str">
        <f>IFERROR(INDEX([1]物品基础表!$A:$A,MATCH(AU361,[1]物品基础表!$B:$B,0)),"")</f>
        <v/>
      </c>
      <c r="AY361" s="1" t="str">
        <f>IFERROR(INDEX([1]物品基础表!$A:$A,MATCH(AX361,[1]物品基础表!$B:$B,0)),"")</f>
        <v/>
      </c>
      <c r="BB361" s="1" t="str">
        <f>IFERROR(INDEX([1]物品基础表!$A:$A,MATCH(BA361,[1]物品基础表!$B:$B,0)),"")</f>
        <v/>
      </c>
      <c r="BE361" s="1" t="str">
        <f>IFERROR(INDEX([1]物品基础表!$A:$A,MATCH(BD361,[1]物品基础表!$B:$B,0)),"")</f>
        <v/>
      </c>
      <c r="BH361" s="1" t="str">
        <f>IFERROR(INDEX([1]物品基础表!$A:$A,MATCH(BG361,[1]物品基础表!$B:$B,0)),"")</f>
        <v/>
      </c>
      <c r="BK361" s="1" t="str">
        <f>IFERROR(INDEX([1]物品基础表!$A:$A,MATCH(BJ361,[1]物品基础表!$B:$B,0)),"")</f>
        <v/>
      </c>
    </row>
    <row r="362" spans="1:63">
      <c r="A362" s="39" t="str">
        <f>INDEX([2]活动总表!$A$8:$A$429,MATCH(B362,[2]活动总表!$B$8:$B$429,0))</f>
        <v>龙抬头-转盘</v>
      </c>
      <c r="B362" s="40">
        <v>902</v>
      </c>
      <c r="C362" s="40">
        <v>10</v>
      </c>
      <c r="D362" s="40"/>
      <c r="E362" s="40"/>
      <c r="F362" s="40" t="s">
        <v>894</v>
      </c>
      <c r="G362" s="40">
        <v>3</v>
      </c>
      <c r="H362" s="40"/>
      <c r="I362" s="40"/>
      <c r="J362" s="57"/>
      <c r="K362" s="1">
        <v>204159</v>
      </c>
      <c r="L362" s="1" t="str">
        <f>IFERROR(INDEX([1]物品基础表!$A:$A,MATCH(K362,[1]物品基础表!$B:$B,0)),"")</f>
        <v>6阶战灵装备</v>
      </c>
      <c r="M362" s="1">
        <v>1</v>
      </c>
      <c r="O362" s="1" t="str">
        <f>IFERROR(INDEX([1]物品基础表!$A:$A,MATCH(N362,[1]物品基础表!$B:$B,0)),"")</f>
        <v/>
      </c>
      <c r="R362" s="1" t="str">
        <f>IFERROR(INDEX([1]物品基础表!$A:$A,MATCH(Q362,[1]物品基础表!$B:$B,0)),"")</f>
        <v/>
      </c>
      <c r="U362" s="1" t="str">
        <f>IFERROR(INDEX([1]物品基础表!$A:$A,MATCH(T362,[1]物品基础表!$B:$B,0)),"")</f>
        <v/>
      </c>
      <c r="X362" s="1" t="str">
        <f>IFERROR(INDEX([1]物品基础表!$A:$A,MATCH(W362,[1]物品基础表!$B:$B,0)),"")</f>
        <v/>
      </c>
      <c r="AA362" s="1" t="str">
        <f>IFERROR(INDEX([1]物品基础表!$A:$A,MATCH(Z362,[1]物品基础表!$B:$B,0)),"")</f>
        <v/>
      </c>
      <c r="AD362" s="1" t="str">
        <f>IFERROR(INDEX([1]物品基础表!$A:$A,MATCH(AC362,[1]物品基础表!$B:$B,0)),"")</f>
        <v/>
      </c>
      <c r="AG362" s="1" t="str">
        <f>IFERROR(INDEX([1]物品基础表!$A:$A,MATCH(AF362,[1]物品基础表!$B:$B,0)),"")</f>
        <v/>
      </c>
      <c r="AJ362" s="1" t="str">
        <f>IFERROR(INDEX([1]物品基础表!$A:$A,MATCH(AI362,[1]物品基础表!$B:$B,0)),"")</f>
        <v/>
      </c>
      <c r="AM362" s="1" t="str">
        <f>IFERROR(INDEX([1]物品基础表!$A:$A,MATCH(AL362,[1]物品基础表!$B:$B,0)),"")</f>
        <v/>
      </c>
      <c r="AP362" s="1" t="str">
        <f>IFERROR(INDEX([1]物品基础表!$A:$A,MATCH(AO362,[1]物品基础表!$B:$B,0)),"")</f>
        <v/>
      </c>
      <c r="AS362" s="1" t="str">
        <f>IFERROR(INDEX([1]物品基础表!$A:$A,MATCH(AR362,[1]物品基础表!$B:$B,0)),"")</f>
        <v/>
      </c>
      <c r="AV362" s="1" t="str">
        <f>IFERROR(INDEX([1]物品基础表!$A:$A,MATCH(AU362,[1]物品基础表!$B:$B,0)),"")</f>
        <v/>
      </c>
      <c r="AY362" s="1" t="str">
        <f>IFERROR(INDEX([1]物品基础表!$A:$A,MATCH(AX362,[1]物品基础表!$B:$B,0)),"")</f>
        <v/>
      </c>
      <c r="BB362" s="1" t="str">
        <f>IFERROR(INDEX([1]物品基础表!$A:$A,MATCH(BA362,[1]物品基础表!$B:$B,0)),"")</f>
        <v/>
      </c>
      <c r="BE362" s="1" t="str">
        <f>IFERROR(INDEX([1]物品基础表!$A:$A,MATCH(BD362,[1]物品基础表!$B:$B,0)),"")</f>
        <v/>
      </c>
      <c r="BH362" s="1" t="str">
        <f>IFERROR(INDEX([1]物品基础表!$A:$A,MATCH(BG362,[1]物品基础表!$B:$B,0)),"")</f>
        <v/>
      </c>
      <c r="BK362" s="1" t="str">
        <f>IFERROR(INDEX([1]物品基础表!$A:$A,MATCH(BJ362,[1]物品基础表!$B:$B,0)),"")</f>
        <v/>
      </c>
    </row>
    <row r="363" spans="1:63">
      <c r="A363" s="39" t="str">
        <f>INDEX([2]活动总表!$A$8:$A$429,MATCH(B363,[2]活动总表!$B$8:$B$429,0))</f>
        <v>龙抬头-转盘（15-60天）</v>
      </c>
      <c r="B363" s="40">
        <v>922</v>
      </c>
      <c r="C363" s="40">
        <v>0</v>
      </c>
      <c r="D363" s="40">
        <v>200334</v>
      </c>
      <c r="E363" s="40">
        <v>500</v>
      </c>
      <c r="F363" s="40"/>
      <c r="G363" s="40">
        <v>3</v>
      </c>
      <c r="H363" s="40">
        <v>1</v>
      </c>
      <c r="I363" s="40" t="s">
        <v>856</v>
      </c>
      <c r="J363" s="57" t="s">
        <v>887</v>
      </c>
      <c r="L363" s="1" t="str">
        <f>IFERROR(INDEX([1]物品基础表!$A:$A,MATCH(K363,[1]物品基础表!$B:$B,0)),"")</f>
        <v/>
      </c>
      <c r="N363" s="1">
        <v>200015</v>
      </c>
      <c r="O363" s="1" t="str">
        <f>IFERROR(INDEX([1]物品基础表!$A:$A,MATCH(N363,[1]物品基础表!$B:$B,0)),"")</f>
        <v>特戒碎片</v>
      </c>
      <c r="P363" s="1">
        <v>100</v>
      </c>
      <c r="Q363" s="1">
        <v>200015</v>
      </c>
      <c r="R363" s="1" t="str">
        <f>IFERROR(INDEX([1]物品基础表!$A:$A,MATCH(Q363,[1]物品基础表!$B:$B,0)),"")</f>
        <v>特戒碎片</v>
      </c>
      <c r="S363" s="1">
        <v>400</v>
      </c>
      <c r="T363" s="1">
        <v>202006</v>
      </c>
      <c r="U363" s="1" t="str">
        <f>IFERROR(INDEX([1]物品基础表!$A:$A,MATCH(T363,[1]物品基础表!$B:$B,0)),"")</f>
        <v>烈焰戒指技能6书</v>
      </c>
      <c r="V363" s="1">
        <v>1</v>
      </c>
      <c r="W363" s="1">
        <v>200208</v>
      </c>
      <c r="X363" s="1" t="str">
        <f>IFERROR(INDEX([1]物品基础表!$A:$A,MATCH(W363,[1]物品基础表!$B:$B,0)),"")</f>
        <v>烈焰印记低级升级材料</v>
      </c>
      <c r="Y363" s="1">
        <v>500</v>
      </c>
      <c r="Z363" s="1">
        <v>200208</v>
      </c>
      <c r="AA363" s="1" t="str">
        <f>IFERROR(INDEX([1]物品基础表!$A:$A,MATCH(Z363,[1]物品基础表!$B:$B,0)),"")</f>
        <v>烈焰印记低级升级材料</v>
      </c>
      <c r="AB363" s="1">
        <v>800</v>
      </c>
      <c r="AD363" s="1" t="str">
        <f>IFERROR(INDEX([1]物品基础表!$A:$A,MATCH(AC363,[1]物品基础表!$B:$B,0)),"")</f>
        <v/>
      </c>
      <c r="AF363" s="1">
        <v>202008</v>
      </c>
      <c r="AG363" s="1" t="str">
        <f>IFERROR(INDEX([1]物品基础表!$A:$A,MATCH(AF363,[1]物品基础表!$B:$B,0)),"")</f>
        <v>烈焰戒指技能8书</v>
      </c>
      <c r="AH363" s="1">
        <v>1</v>
      </c>
      <c r="AI363" s="1">
        <v>200208</v>
      </c>
      <c r="AJ363" s="1" t="str">
        <f>IFERROR(INDEX([1]物品基础表!$A:$A,MATCH(AI363,[1]物品基础表!$B:$B,0)),"")</f>
        <v>烈焰印记低级升级材料</v>
      </c>
      <c r="AK363" s="1">
        <v>1000</v>
      </c>
      <c r="AL363" s="1">
        <v>200208</v>
      </c>
      <c r="AM363" s="1" t="str">
        <f>IFERROR(INDEX([1]物品基础表!$A:$A,MATCH(AL363,[1]物品基础表!$B:$B,0)),"")</f>
        <v>烈焰印记低级升级材料</v>
      </c>
      <c r="AN363" s="1">
        <v>1000</v>
      </c>
      <c r="AO363" s="1">
        <v>202007</v>
      </c>
      <c r="AP363" s="1" t="str">
        <f>IFERROR(INDEX([1]物品基础表!$A:$A,MATCH(AO363,[1]物品基础表!$B:$B,0)),"")</f>
        <v>烈焰戒指技能7书</v>
      </c>
      <c r="AQ363" s="1">
        <v>1</v>
      </c>
      <c r="AR363" s="1">
        <v>200208</v>
      </c>
      <c r="AS363" s="1" t="str">
        <f>IFERROR(INDEX([1]物品基础表!$A:$A,MATCH(AR363,[1]物品基础表!$B:$B,0)),"")</f>
        <v>烈焰印记低级升级材料</v>
      </c>
      <c r="AT363" s="1">
        <v>1000</v>
      </c>
      <c r="AU363" s="1">
        <v>200208</v>
      </c>
      <c r="AV363" s="1" t="str">
        <f>IFERROR(INDEX([1]物品基础表!$A:$A,MATCH(AU363,[1]物品基础表!$B:$B,0)),"")</f>
        <v>烈焰印记低级升级材料</v>
      </c>
      <c r="AW363" s="1">
        <v>1500</v>
      </c>
      <c r="AX363" s="1">
        <v>210106</v>
      </c>
      <c r="AY363" s="1" t="str">
        <f>IFERROR(INDEX([1]物品基础表!$A:$A,MATCH(AX363,[1]物品基础表!$B:$B,0)),"")</f>
        <v>高级必杀</v>
      </c>
      <c r="AZ363" s="1">
        <v>1</v>
      </c>
      <c r="BB363" s="1" t="str">
        <f>IFERROR(INDEX([1]物品基础表!$A:$A,MATCH(BA363,[1]物品基础表!$B:$B,0)),"")</f>
        <v/>
      </c>
      <c r="BE363" s="1" t="str">
        <f>IFERROR(INDEX([1]物品基础表!$A:$A,MATCH(BD363,[1]物品基础表!$B:$B,0)),"")</f>
        <v/>
      </c>
      <c r="BH363" s="1" t="str">
        <f>IFERROR(INDEX([1]物品基础表!$A:$A,MATCH(BG363,[1]物品基础表!$B:$B,0)),"")</f>
        <v/>
      </c>
      <c r="BK363" s="1" t="str">
        <f>IFERROR(INDEX([1]物品基础表!$A:$A,MATCH(BJ363,[1]物品基础表!$B:$B,0)),"")</f>
        <v/>
      </c>
    </row>
    <row r="364" spans="1:63">
      <c r="A364" s="39" t="str">
        <f>INDEX([2]活动总表!$A$8:$A$429,MATCH(B364,[2]活动总表!$B$8:$B$429,0))</f>
        <v>龙抬头-转盘（15-60天）</v>
      </c>
      <c r="B364" s="40">
        <v>922</v>
      </c>
      <c r="C364" s="40">
        <v>1</v>
      </c>
      <c r="D364" s="40"/>
      <c r="E364" s="40"/>
      <c r="F364" s="40" t="s">
        <v>888</v>
      </c>
      <c r="G364" s="40">
        <v>3</v>
      </c>
      <c r="H364" s="40"/>
      <c r="I364" s="40"/>
      <c r="J364" s="57"/>
      <c r="K364" s="1">
        <v>200211</v>
      </c>
      <c r="L364" s="1" t="str">
        <f>IFERROR(INDEX([1]物品基础表!$A:$A,MATCH(K364,[1]物品基础表!$B:$B,0)),"")</f>
        <v>烈焰印记加持技能书</v>
      </c>
      <c r="M364" s="1">
        <v>1</v>
      </c>
      <c r="O364" s="1" t="str">
        <f>IFERROR(INDEX([1]物品基础表!$A:$A,MATCH(N364,[1]物品基础表!$B:$B,0)),"")</f>
        <v/>
      </c>
      <c r="R364" s="1" t="str">
        <f>IFERROR(INDEX([1]物品基础表!$A:$A,MATCH(Q364,[1]物品基础表!$B:$B,0)),"")</f>
        <v/>
      </c>
      <c r="U364" s="1" t="str">
        <f>IFERROR(INDEX([1]物品基础表!$A:$A,MATCH(T364,[1]物品基础表!$B:$B,0)),"")</f>
        <v/>
      </c>
      <c r="X364" s="1" t="str">
        <f>IFERROR(INDEX([1]物品基础表!$A:$A,MATCH(W364,[1]物品基础表!$B:$B,0)),"")</f>
        <v/>
      </c>
      <c r="AA364" s="1" t="str">
        <f>IFERROR(INDEX([1]物品基础表!$A:$A,MATCH(Z364,[1]物品基础表!$B:$B,0)),"")</f>
        <v/>
      </c>
      <c r="AD364" s="1" t="str">
        <f>IFERROR(INDEX([1]物品基础表!$A:$A,MATCH(AC364,[1]物品基础表!$B:$B,0)),"")</f>
        <v/>
      </c>
      <c r="AG364" s="1" t="str">
        <f>IFERROR(INDEX([1]物品基础表!$A:$A,MATCH(AF364,[1]物品基础表!$B:$B,0)),"")</f>
        <v/>
      </c>
      <c r="AJ364" s="1" t="str">
        <f>IFERROR(INDEX([1]物品基础表!$A:$A,MATCH(AI364,[1]物品基础表!$B:$B,0)),"")</f>
        <v/>
      </c>
      <c r="AM364" s="1" t="str">
        <f>IFERROR(INDEX([1]物品基础表!$A:$A,MATCH(AL364,[1]物品基础表!$B:$B,0)),"")</f>
        <v/>
      </c>
      <c r="AP364" s="1" t="str">
        <f>IFERROR(INDEX([1]物品基础表!$A:$A,MATCH(AO364,[1]物品基础表!$B:$B,0)),"")</f>
        <v/>
      </c>
      <c r="AS364" s="1" t="str">
        <f>IFERROR(INDEX([1]物品基础表!$A:$A,MATCH(AR364,[1]物品基础表!$B:$B,0)),"")</f>
        <v/>
      </c>
      <c r="AV364" s="1" t="str">
        <f>IFERROR(INDEX([1]物品基础表!$A:$A,MATCH(AU364,[1]物品基础表!$B:$B,0)),"")</f>
        <v/>
      </c>
      <c r="AY364" s="1" t="str">
        <f>IFERROR(INDEX([1]物品基础表!$A:$A,MATCH(AX364,[1]物品基础表!$B:$B,0)),"")</f>
        <v/>
      </c>
      <c r="BB364" s="1" t="str">
        <f>IFERROR(INDEX([1]物品基础表!$A:$A,MATCH(BA364,[1]物品基础表!$B:$B,0)),"")</f>
        <v/>
      </c>
      <c r="BE364" s="1" t="str">
        <f>IFERROR(INDEX([1]物品基础表!$A:$A,MATCH(BD364,[1]物品基础表!$B:$B,0)),"")</f>
        <v/>
      </c>
      <c r="BH364" s="1" t="str">
        <f>IFERROR(INDEX([1]物品基础表!$A:$A,MATCH(BG364,[1]物品基础表!$B:$B,0)),"")</f>
        <v/>
      </c>
      <c r="BK364" s="1" t="str">
        <f>IFERROR(INDEX([1]物品基础表!$A:$A,MATCH(BJ364,[1]物品基础表!$B:$B,0)),"")</f>
        <v/>
      </c>
    </row>
    <row r="365" spans="1:63">
      <c r="A365" s="39" t="str">
        <f>INDEX([2]活动总表!$A$8:$A$429,MATCH(B365,[2]活动总表!$B$8:$B$429,0))</f>
        <v>龙抬头-转盘（15-60天）</v>
      </c>
      <c r="B365" s="40">
        <v>922</v>
      </c>
      <c r="C365" s="40">
        <v>2</v>
      </c>
      <c r="D365" s="40"/>
      <c r="E365" s="40"/>
      <c r="F365" s="40" t="s">
        <v>889</v>
      </c>
      <c r="G365" s="40">
        <v>3</v>
      </c>
      <c r="H365" s="40"/>
      <c r="I365" s="40"/>
      <c r="J365" s="57"/>
      <c r="K365" s="1">
        <v>200015</v>
      </c>
      <c r="L365" s="1" t="str">
        <f>IFERROR(INDEX([1]物品基础表!$A:$A,MATCH(K365,[1]物品基础表!$B:$B,0)),"")</f>
        <v>特戒碎片</v>
      </c>
      <c r="M365" s="1">
        <v>50</v>
      </c>
      <c r="O365" s="1" t="str">
        <f>IFERROR(INDEX([1]物品基础表!$A:$A,MATCH(N365,[1]物品基础表!$B:$B,0)),"")</f>
        <v/>
      </c>
      <c r="R365" s="1" t="str">
        <f>IFERROR(INDEX([1]物品基础表!$A:$A,MATCH(Q365,[1]物品基础表!$B:$B,0)),"")</f>
        <v/>
      </c>
      <c r="U365" s="1" t="str">
        <f>IFERROR(INDEX([1]物品基础表!$A:$A,MATCH(T365,[1]物品基础表!$B:$B,0)),"")</f>
        <v/>
      </c>
      <c r="X365" s="1" t="str">
        <f>IFERROR(INDEX([1]物品基础表!$A:$A,MATCH(W365,[1]物品基础表!$B:$B,0)),"")</f>
        <v/>
      </c>
      <c r="AA365" s="1" t="str">
        <f>IFERROR(INDEX([1]物品基础表!$A:$A,MATCH(Z365,[1]物品基础表!$B:$B,0)),"")</f>
        <v/>
      </c>
      <c r="AD365" s="1" t="str">
        <f>IFERROR(INDEX([1]物品基础表!$A:$A,MATCH(AC365,[1]物品基础表!$B:$B,0)),"")</f>
        <v/>
      </c>
      <c r="AG365" s="1" t="str">
        <f>IFERROR(INDEX([1]物品基础表!$A:$A,MATCH(AF365,[1]物品基础表!$B:$B,0)),"")</f>
        <v/>
      </c>
      <c r="AJ365" s="1" t="str">
        <f>IFERROR(INDEX([1]物品基础表!$A:$A,MATCH(AI365,[1]物品基础表!$B:$B,0)),"")</f>
        <v/>
      </c>
      <c r="AM365" s="1" t="str">
        <f>IFERROR(INDEX([1]物品基础表!$A:$A,MATCH(AL365,[1]物品基础表!$B:$B,0)),"")</f>
        <v/>
      </c>
      <c r="AP365" s="1" t="str">
        <f>IFERROR(INDEX([1]物品基础表!$A:$A,MATCH(AO365,[1]物品基础表!$B:$B,0)),"")</f>
        <v/>
      </c>
      <c r="AS365" s="1" t="str">
        <f>IFERROR(INDEX([1]物品基础表!$A:$A,MATCH(AR365,[1]物品基础表!$B:$B,0)),"")</f>
        <v/>
      </c>
      <c r="AV365" s="1" t="str">
        <f>IFERROR(INDEX([1]物品基础表!$A:$A,MATCH(AU365,[1]物品基础表!$B:$B,0)),"")</f>
        <v/>
      </c>
      <c r="AY365" s="1" t="str">
        <f>IFERROR(INDEX([1]物品基础表!$A:$A,MATCH(AX365,[1]物品基础表!$B:$B,0)),"")</f>
        <v/>
      </c>
      <c r="BB365" s="1" t="str">
        <f>IFERROR(INDEX([1]物品基础表!$A:$A,MATCH(BA365,[1]物品基础表!$B:$B,0)),"")</f>
        <v/>
      </c>
      <c r="BE365" s="1" t="str">
        <f>IFERROR(INDEX([1]物品基础表!$A:$A,MATCH(BD365,[1]物品基础表!$B:$B,0)),"")</f>
        <v/>
      </c>
      <c r="BH365" s="1" t="str">
        <f>IFERROR(INDEX([1]物品基础表!$A:$A,MATCH(BG365,[1]物品基础表!$B:$B,0)),"")</f>
        <v/>
      </c>
      <c r="BK365" s="1" t="str">
        <f>IFERROR(INDEX([1]物品基础表!$A:$A,MATCH(BJ365,[1]物品基础表!$B:$B,0)),"")</f>
        <v/>
      </c>
    </row>
    <row r="366" spans="1:63">
      <c r="A366" s="39" t="str">
        <f>INDEX([2]活动总表!$A$8:$A$429,MATCH(B366,[2]活动总表!$B$8:$B$429,0))</f>
        <v>龙抬头-转盘（15-60天）</v>
      </c>
      <c r="B366" s="40">
        <v>922</v>
      </c>
      <c r="C366" s="40">
        <v>3</v>
      </c>
      <c r="D366" s="40"/>
      <c r="E366" s="40"/>
      <c r="F366" s="40" t="s">
        <v>895</v>
      </c>
      <c r="G366" s="40">
        <v>3</v>
      </c>
      <c r="H366" s="40"/>
      <c r="I366" s="40"/>
      <c r="J366" s="57"/>
      <c r="K366" s="1">
        <v>200315</v>
      </c>
      <c r="L366" s="1" t="str">
        <f>IFERROR(INDEX([1]物品基础表!$A:$A,MATCH(K366,[1]物品基础表!$B:$B,0)),"")</f>
        <v>2阶神羽宝箱</v>
      </c>
      <c r="M366" s="1">
        <v>1</v>
      </c>
      <c r="O366" s="1" t="str">
        <f>IFERROR(INDEX([1]物品基础表!$A:$A,MATCH(N366,[1]物品基础表!$B:$B,0)),"")</f>
        <v/>
      </c>
      <c r="R366" s="1" t="str">
        <f>IFERROR(INDEX([1]物品基础表!$A:$A,MATCH(Q366,[1]物品基础表!$B:$B,0)),"")</f>
        <v/>
      </c>
      <c r="U366" s="1" t="str">
        <f>IFERROR(INDEX([1]物品基础表!$A:$A,MATCH(T366,[1]物品基础表!$B:$B,0)),"")</f>
        <v/>
      </c>
      <c r="X366" s="1" t="str">
        <f>IFERROR(INDEX([1]物品基础表!$A:$A,MATCH(W366,[1]物品基础表!$B:$B,0)),"")</f>
        <v/>
      </c>
      <c r="AA366" s="1" t="str">
        <f>IFERROR(INDEX([1]物品基础表!$A:$A,MATCH(Z366,[1]物品基础表!$B:$B,0)),"")</f>
        <v/>
      </c>
      <c r="AD366" s="1" t="str">
        <f>IFERROR(INDEX([1]物品基础表!$A:$A,MATCH(AC366,[1]物品基础表!$B:$B,0)),"")</f>
        <v/>
      </c>
      <c r="AG366" s="1" t="str">
        <f>IFERROR(INDEX([1]物品基础表!$A:$A,MATCH(AF366,[1]物品基础表!$B:$B,0)),"")</f>
        <v/>
      </c>
      <c r="AJ366" s="1" t="str">
        <f>IFERROR(INDEX([1]物品基础表!$A:$A,MATCH(AI366,[1]物品基础表!$B:$B,0)),"")</f>
        <v/>
      </c>
      <c r="AM366" s="1" t="str">
        <f>IFERROR(INDEX([1]物品基础表!$A:$A,MATCH(AL366,[1]物品基础表!$B:$B,0)),"")</f>
        <v/>
      </c>
      <c r="AP366" s="1" t="str">
        <f>IFERROR(INDEX([1]物品基础表!$A:$A,MATCH(AO366,[1]物品基础表!$B:$B,0)),"")</f>
        <v/>
      </c>
      <c r="AS366" s="1" t="str">
        <f>IFERROR(INDEX([1]物品基础表!$A:$A,MATCH(AR366,[1]物品基础表!$B:$B,0)),"")</f>
        <v/>
      </c>
      <c r="AV366" s="1" t="str">
        <f>IFERROR(INDEX([1]物品基础表!$A:$A,MATCH(AU366,[1]物品基础表!$B:$B,0)),"")</f>
        <v/>
      </c>
      <c r="AY366" s="1" t="str">
        <f>IFERROR(INDEX([1]物品基础表!$A:$A,MATCH(AX366,[1]物品基础表!$B:$B,0)),"")</f>
        <v/>
      </c>
      <c r="BB366" s="1" t="str">
        <f>IFERROR(INDEX([1]物品基础表!$A:$A,MATCH(BA366,[1]物品基础表!$B:$B,0)),"")</f>
        <v/>
      </c>
      <c r="BE366" s="1" t="str">
        <f>IFERROR(INDEX([1]物品基础表!$A:$A,MATCH(BD366,[1]物品基础表!$B:$B,0)),"")</f>
        <v/>
      </c>
      <c r="BH366" s="1" t="str">
        <f>IFERROR(INDEX([1]物品基础表!$A:$A,MATCH(BG366,[1]物品基础表!$B:$B,0)),"")</f>
        <v/>
      </c>
      <c r="BK366" s="1" t="str">
        <f>IFERROR(INDEX([1]物品基础表!$A:$A,MATCH(BJ366,[1]物品基础表!$B:$B,0)),"")</f>
        <v/>
      </c>
    </row>
    <row r="367" spans="1:63">
      <c r="A367" s="39" t="str">
        <f>INDEX([2]活动总表!$A$8:$A$429,MATCH(B367,[2]活动总表!$B$8:$B$429,0))</f>
        <v>龙抬头-转盘（15-60天）</v>
      </c>
      <c r="B367" s="40">
        <v>922</v>
      </c>
      <c r="C367" s="40">
        <v>4</v>
      </c>
      <c r="D367" s="40"/>
      <c r="E367" s="40"/>
      <c r="F367" s="40" t="s">
        <v>889</v>
      </c>
      <c r="G367" s="40">
        <v>3</v>
      </c>
      <c r="H367" s="40"/>
      <c r="I367" s="40"/>
      <c r="J367" s="57"/>
      <c r="K367" s="1">
        <v>200208</v>
      </c>
      <c r="L367" s="1" t="str">
        <f>IFERROR(INDEX([1]物品基础表!$A:$A,MATCH(K367,[1]物品基础表!$B:$B,0)),"")</f>
        <v>烈焰印记低级升级材料</v>
      </c>
      <c r="M367" s="1">
        <v>50</v>
      </c>
      <c r="O367" s="1" t="str">
        <f>IFERROR(INDEX([1]物品基础表!$A:$A,MATCH(N367,[1]物品基础表!$B:$B,0)),"")</f>
        <v/>
      </c>
      <c r="R367" s="1" t="str">
        <f>IFERROR(INDEX([1]物品基础表!$A:$A,MATCH(Q367,[1]物品基础表!$B:$B,0)),"")</f>
        <v/>
      </c>
      <c r="U367" s="1" t="str">
        <f>IFERROR(INDEX([1]物品基础表!$A:$A,MATCH(T367,[1]物品基础表!$B:$B,0)),"")</f>
        <v/>
      </c>
      <c r="X367" s="1" t="str">
        <f>IFERROR(INDEX([1]物品基础表!$A:$A,MATCH(W367,[1]物品基础表!$B:$B,0)),"")</f>
        <v/>
      </c>
      <c r="AA367" s="1" t="str">
        <f>IFERROR(INDEX([1]物品基础表!$A:$A,MATCH(Z367,[1]物品基础表!$B:$B,0)),"")</f>
        <v/>
      </c>
      <c r="AD367" s="1" t="str">
        <f>IFERROR(INDEX([1]物品基础表!$A:$A,MATCH(AC367,[1]物品基础表!$B:$B,0)),"")</f>
        <v/>
      </c>
      <c r="AG367" s="1" t="str">
        <f>IFERROR(INDEX([1]物品基础表!$A:$A,MATCH(AF367,[1]物品基础表!$B:$B,0)),"")</f>
        <v/>
      </c>
      <c r="AJ367" s="1" t="str">
        <f>IFERROR(INDEX([1]物品基础表!$A:$A,MATCH(AI367,[1]物品基础表!$B:$B,0)),"")</f>
        <v/>
      </c>
      <c r="AM367" s="1" t="str">
        <f>IFERROR(INDEX([1]物品基础表!$A:$A,MATCH(AL367,[1]物品基础表!$B:$B,0)),"")</f>
        <v/>
      </c>
      <c r="AP367" s="1" t="str">
        <f>IFERROR(INDEX([1]物品基础表!$A:$A,MATCH(AO367,[1]物品基础表!$B:$B,0)),"")</f>
        <v/>
      </c>
      <c r="AS367" s="1" t="str">
        <f>IFERROR(INDEX([1]物品基础表!$A:$A,MATCH(AR367,[1]物品基础表!$B:$B,0)),"")</f>
        <v/>
      </c>
      <c r="AV367" s="1" t="str">
        <f>IFERROR(INDEX([1]物品基础表!$A:$A,MATCH(AU367,[1]物品基础表!$B:$B,0)),"")</f>
        <v/>
      </c>
      <c r="AY367" s="1" t="str">
        <f>IFERROR(INDEX([1]物品基础表!$A:$A,MATCH(AX367,[1]物品基础表!$B:$B,0)),"")</f>
        <v/>
      </c>
      <c r="BB367" s="1" t="str">
        <f>IFERROR(INDEX([1]物品基础表!$A:$A,MATCH(BA367,[1]物品基础表!$B:$B,0)),"")</f>
        <v/>
      </c>
      <c r="BE367" s="1" t="str">
        <f>IFERROR(INDEX([1]物品基础表!$A:$A,MATCH(BD367,[1]物品基础表!$B:$B,0)),"")</f>
        <v/>
      </c>
      <c r="BH367" s="1" t="str">
        <f>IFERROR(INDEX([1]物品基础表!$A:$A,MATCH(BG367,[1]物品基础表!$B:$B,0)),"")</f>
        <v/>
      </c>
      <c r="BK367" s="1" t="str">
        <f>IFERROR(INDEX([1]物品基础表!$A:$A,MATCH(BJ367,[1]物品基础表!$B:$B,0)),"")</f>
        <v/>
      </c>
    </row>
    <row r="368" spans="1:63">
      <c r="A368" s="39" t="str">
        <f>INDEX([2]活动总表!$A$8:$A$429,MATCH(B368,[2]活动总表!$B$8:$B$429,0))</f>
        <v>龙抬头-转盘（15-60天）</v>
      </c>
      <c r="B368" s="40">
        <v>922</v>
      </c>
      <c r="C368" s="40">
        <v>5</v>
      </c>
      <c r="D368" s="40"/>
      <c r="E368" s="40"/>
      <c r="F368" s="40" t="s">
        <v>896</v>
      </c>
      <c r="G368" s="40">
        <v>3</v>
      </c>
      <c r="H368" s="40"/>
      <c r="I368" s="40"/>
      <c r="J368" s="57"/>
      <c r="K368" s="1">
        <v>200301</v>
      </c>
      <c r="L368" s="1" t="str">
        <f>IFERROR(INDEX([1]物品基础表!$A:$A,MATCH(K368,[1]物品基础表!$B:$B,0)),"")</f>
        <v>传世宝钻</v>
      </c>
      <c r="M368" s="1">
        <v>50</v>
      </c>
      <c r="O368" s="1" t="str">
        <f>IFERROR(INDEX([1]物品基础表!$A:$A,MATCH(N368,[1]物品基础表!$B:$B,0)),"")</f>
        <v/>
      </c>
      <c r="R368" s="1" t="str">
        <f>IFERROR(INDEX([1]物品基础表!$A:$A,MATCH(Q368,[1]物品基础表!$B:$B,0)),"")</f>
        <v/>
      </c>
      <c r="U368" s="1" t="str">
        <f>IFERROR(INDEX([1]物品基础表!$A:$A,MATCH(T368,[1]物品基础表!$B:$B,0)),"")</f>
        <v/>
      </c>
      <c r="X368" s="1" t="str">
        <f>IFERROR(INDEX([1]物品基础表!$A:$A,MATCH(W368,[1]物品基础表!$B:$B,0)),"")</f>
        <v/>
      </c>
      <c r="AA368" s="1" t="str">
        <f>IFERROR(INDEX([1]物品基础表!$A:$A,MATCH(Z368,[1]物品基础表!$B:$B,0)),"")</f>
        <v/>
      </c>
      <c r="AD368" s="1" t="str">
        <f>IFERROR(INDEX([1]物品基础表!$A:$A,MATCH(AC368,[1]物品基础表!$B:$B,0)),"")</f>
        <v/>
      </c>
      <c r="AG368" s="1" t="str">
        <f>IFERROR(INDEX([1]物品基础表!$A:$A,MATCH(AF368,[1]物品基础表!$B:$B,0)),"")</f>
        <v/>
      </c>
      <c r="AJ368" s="1" t="str">
        <f>IFERROR(INDEX([1]物品基础表!$A:$A,MATCH(AI368,[1]物品基础表!$B:$B,0)),"")</f>
        <v/>
      </c>
      <c r="AM368" s="1" t="str">
        <f>IFERROR(INDEX([1]物品基础表!$A:$A,MATCH(AL368,[1]物品基础表!$B:$B,0)),"")</f>
        <v/>
      </c>
      <c r="AP368" s="1" t="str">
        <f>IFERROR(INDEX([1]物品基础表!$A:$A,MATCH(AO368,[1]物品基础表!$B:$B,0)),"")</f>
        <v/>
      </c>
      <c r="AS368" s="1" t="str">
        <f>IFERROR(INDEX([1]物品基础表!$A:$A,MATCH(AR368,[1]物品基础表!$B:$B,0)),"")</f>
        <v/>
      </c>
      <c r="AV368" s="1" t="str">
        <f>IFERROR(INDEX([1]物品基础表!$A:$A,MATCH(AU368,[1]物品基础表!$B:$B,0)),"")</f>
        <v/>
      </c>
      <c r="AY368" s="1" t="str">
        <f>IFERROR(INDEX([1]物品基础表!$A:$A,MATCH(AX368,[1]物品基础表!$B:$B,0)),"")</f>
        <v/>
      </c>
      <c r="BB368" s="1" t="str">
        <f>IFERROR(INDEX([1]物品基础表!$A:$A,MATCH(BA368,[1]物品基础表!$B:$B,0)),"")</f>
        <v/>
      </c>
      <c r="BE368" s="1" t="str">
        <f>IFERROR(INDEX([1]物品基础表!$A:$A,MATCH(BD368,[1]物品基础表!$B:$B,0)),"")</f>
        <v/>
      </c>
      <c r="BH368" s="1" t="str">
        <f>IFERROR(INDEX([1]物品基础表!$A:$A,MATCH(BG368,[1]物品基础表!$B:$B,0)),"")</f>
        <v/>
      </c>
      <c r="BK368" s="1" t="str">
        <f>IFERROR(INDEX([1]物品基础表!$A:$A,MATCH(BJ368,[1]物品基础表!$B:$B,0)),"")</f>
        <v/>
      </c>
    </row>
    <row r="369" spans="1:63">
      <c r="A369" s="39" t="str">
        <f>INDEX([2]活动总表!$A$8:$A$429,MATCH(B369,[2]活动总表!$B$8:$B$429,0))</f>
        <v>龙抬头-转盘（15-60天）</v>
      </c>
      <c r="B369" s="40">
        <v>922</v>
      </c>
      <c r="C369" s="40">
        <v>6</v>
      </c>
      <c r="D369" s="40"/>
      <c r="E369" s="40"/>
      <c r="F369" s="40" t="s">
        <v>892</v>
      </c>
      <c r="G369" s="40">
        <v>3</v>
      </c>
      <c r="H369" s="40"/>
      <c r="I369" s="40"/>
      <c r="J369" s="57"/>
      <c r="K369" s="1">
        <v>200212</v>
      </c>
      <c r="L369" s="1" t="str">
        <f>IFERROR(INDEX([1]物品基础表!$A:$A,MATCH(K369,[1]物品基础表!$B:$B,0)),"")</f>
        <v>烈焰印记迅疾技能书</v>
      </c>
      <c r="M369" s="1">
        <v>1</v>
      </c>
      <c r="O369" s="1" t="str">
        <f>IFERROR(INDEX([1]物品基础表!$A:$A,MATCH(N369,[1]物品基础表!$B:$B,0)),"")</f>
        <v/>
      </c>
      <c r="R369" s="1" t="str">
        <f>IFERROR(INDEX([1]物品基础表!$A:$A,MATCH(Q369,[1]物品基础表!$B:$B,0)),"")</f>
        <v/>
      </c>
      <c r="U369" s="1" t="str">
        <f>IFERROR(INDEX([1]物品基础表!$A:$A,MATCH(T369,[1]物品基础表!$B:$B,0)),"")</f>
        <v/>
      </c>
      <c r="X369" s="1" t="str">
        <f>IFERROR(INDEX([1]物品基础表!$A:$A,MATCH(W369,[1]物品基础表!$B:$B,0)),"")</f>
        <v/>
      </c>
      <c r="AA369" s="1" t="str">
        <f>IFERROR(INDEX([1]物品基础表!$A:$A,MATCH(Z369,[1]物品基础表!$B:$B,0)),"")</f>
        <v/>
      </c>
      <c r="AD369" s="1" t="str">
        <f>IFERROR(INDEX([1]物品基础表!$A:$A,MATCH(AC369,[1]物品基础表!$B:$B,0)),"")</f>
        <v/>
      </c>
      <c r="AG369" s="1" t="str">
        <f>IFERROR(INDEX([1]物品基础表!$A:$A,MATCH(AF369,[1]物品基础表!$B:$B,0)),"")</f>
        <v/>
      </c>
      <c r="AJ369" s="1" t="str">
        <f>IFERROR(INDEX([1]物品基础表!$A:$A,MATCH(AI369,[1]物品基础表!$B:$B,0)),"")</f>
        <v/>
      </c>
      <c r="AM369" s="1" t="str">
        <f>IFERROR(INDEX([1]物品基础表!$A:$A,MATCH(AL369,[1]物品基础表!$B:$B,0)),"")</f>
        <v/>
      </c>
      <c r="AP369" s="1" t="str">
        <f>IFERROR(INDEX([1]物品基础表!$A:$A,MATCH(AO369,[1]物品基础表!$B:$B,0)),"")</f>
        <v/>
      </c>
      <c r="AS369" s="1" t="str">
        <f>IFERROR(INDEX([1]物品基础表!$A:$A,MATCH(AR369,[1]物品基础表!$B:$B,0)),"")</f>
        <v/>
      </c>
      <c r="AV369" s="1" t="str">
        <f>IFERROR(INDEX([1]物品基础表!$A:$A,MATCH(AU369,[1]物品基础表!$B:$B,0)),"")</f>
        <v/>
      </c>
      <c r="AY369" s="1" t="str">
        <f>IFERROR(INDEX([1]物品基础表!$A:$A,MATCH(AX369,[1]物品基础表!$B:$B,0)),"")</f>
        <v/>
      </c>
      <c r="BB369" s="1" t="str">
        <f>IFERROR(INDEX([1]物品基础表!$A:$A,MATCH(BA369,[1]物品基础表!$B:$B,0)),"")</f>
        <v/>
      </c>
      <c r="BE369" s="1" t="str">
        <f>IFERROR(INDEX([1]物品基础表!$A:$A,MATCH(BD369,[1]物品基础表!$B:$B,0)),"")</f>
        <v/>
      </c>
      <c r="BH369" s="1" t="str">
        <f>IFERROR(INDEX([1]物品基础表!$A:$A,MATCH(BG369,[1]物品基础表!$B:$B,0)),"")</f>
        <v/>
      </c>
      <c r="BK369" s="1" t="str">
        <f>IFERROR(INDEX([1]物品基础表!$A:$A,MATCH(BJ369,[1]物品基础表!$B:$B,0)),"")</f>
        <v/>
      </c>
    </row>
    <row r="370" spans="1:63">
      <c r="A370" s="39" t="str">
        <f>INDEX([2]活动总表!$A$8:$A$429,MATCH(B370,[2]活动总表!$B$8:$B$429,0))</f>
        <v>龙抬头-转盘（15-60天）</v>
      </c>
      <c r="B370" s="40">
        <v>922</v>
      </c>
      <c r="C370" s="40">
        <v>7</v>
      </c>
      <c r="D370" s="40"/>
      <c r="E370" s="40"/>
      <c r="F370" s="40" t="s">
        <v>893</v>
      </c>
      <c r="G370" s="40">
        <v>3</v>
      </c>
      <c r="H370" s="40"/>
      <c r="I370" s="40"/>
      <c r="J370" s="57"/>
      <c r="K370" s="1">
        <v>200015</v>
      </c>
      <c r="L370" s="1" t="str">
        <f>IFERROR(INDEX([1]物品基础表!$A:$A,MATCH(K370,[1]物品基础表!$B:$B,0)),"")</f>
        <v>特戒碎片</v>
      </c>
      <c r="M370" s="1">
        <v>100</v>
      </c>
      <c r="O370" s="1" t="str">
        <f>IFERROR(INDEX([1]物品基础表!$A:$A,MATCH(N370,[1]物品基础表!$B:$B,0)),"")</f>
        <v/>
      </c>
      <c r="R370" s="1" t="str">
        <f>IFERROR(INDEX([1]物品基础表!$A:$A,MATCH(Q370,[1]物品基础表!$B:$B,0)),"")</f>
        <v/>
      </c>
      <c r="U370" s="1" t="str">
        <f>IFERROR(INDEX([1]物品基础表!$A:$A,MATCH(T370,[1]物品基础表!$B:$B,0)),"")</f>
        <v/>
      </c>
      <c r="X370" s="1" t="str">
        <f>IFERROR(INDEX([1]物品基础表!$A:$A,MATCH(W370,[1]物品基础表!$B:$B,0)),"")</f>
        <v/>
      </c>
      <c r="AA370" s="1" t="str">
        <f>IFERROR(INDEX([1]物品基础表!$A:$A,MATCH(Z370,[1]物品基础表!$B:$B,0)),"")</f>
        <v/>
      </c>
      <c r="AD370" s="1" t="str">
        <f>IFERROR(INDEX([1]物品基础表!$A:$A,MATCH(AC370,[1]物品基础表!$B:$B,0)),"")</f>
        <v/>
      </c>
      <c r="AG370" s="1" t="str">
        <f>IFERROR(INDEX([1]物品基础表!$A:$A,MATCH(AF370,[1]物品基础表!$B:$B,0)),"")</f>
        <v/>
      </c>
      <c r="AJ370" s="1" t="str">
        <f>IFERROR(INDEX([1]物品基础表!$A:$A,MATCH(AI370,[1]物品基础表!$B:$B,0)),"")</f>
        <v/>
      </c>
      <c r="AM370" s="1" t="str">
        <f>IFERROR(INDEX([1]物品基础表!$A:$A,MATCH(AL370,[1]物品基础表!$B:$B,0)),"")</f>
        <v/>
      </c>
      <c r="AP370" s="1" t="str">
        <f>IFERROR(INDEX([1]物品基础表!$A:$A,MATCH(AO370,[1]物品基础表!$B:$B,0)),"")</f>
        <v/>
      </c>
      <c r="AS370" s="1" t="str">
        <f>IFERROR(INDEX([1]物品基础表!$A:$A,MATCH(AR370,[1]物品基础表!$B:$B,0)),"")</f>
        <v/>
      </c>
      <c r="AV370" s="1" t="str">
        <f>IFERROR(INDEX([1]物品基础表!$A:$A,MATCH(AU370,[1]物品基础表!$B:$B,0)),"")</f>
        <v/>
      </c>
      <c r="AY370" s="1" t="str">
        <f>IFERROR(INDEX([1]物品基础表!$A:$A,MATCH(AX370,[1]物品基础表!$B:$B,0)),"")</f>
        <v/>
      </c>
      <c r="BB370" s="1" t="str">
        <f>IFERROR(INDEX([1]物品基础表!$A:$A,MATCH(BA370,[1]物品基础表!$B:$B,0)),"")</f>
        <v/>
      </c>
      <c r="BE370" s="1" t="str">
        <f>IFERROR(INDEX([1]物品基础表!$A:$A,MATCH(BD370,[1]物品基础表!$B:$B,0)),"")</f>
        <v/>
      </c>
      <c r="BH370" s="1" t="str">
        <f>IFERROR(INDEX([1]物品基础表!$A:$A,MATCH(BG370,[1]物品基础表!$B:$B,0)),"")</f>
        <v/>
      </c>
      <c r="BK370" s="1" t="str">
        <f>IFERROR(INDEX([1]物品基础表!$A:$A,MATCH(BJ370,[1]物品基础表!$B:$B,0)),"")</f>
        <v/>
      </c>
    </row>
    <row r="371" spans="1:63">
      <c r="A371" s="39" t="str">
        <f>INDEX([2]活动总表!$A$8:$A$429,MATCH(B371,[2]活动总表!$B$8:$B$429,0))</f>
        <v>龙抬头-转盘（15-60天）</v>
      </c>
      <c r="B371" s="40">
        <v>922</v>
      </c>
      <c r="C371" s="40">
        <v>8</v>
      </c>
      <c r="D371" s="40"/>
      <c r="E371" s="40"/>
      <c r="F371" s="40" t="s">
        <v>892</v>
      </c>
      <c r="G371" s="40">
        <v>3</v>
      </c>
      <c r="H371" s="40"/>
      <c r="I371" s="40"/>
      <c r="J371" s="57"/>
      <c r="K371" s="1">
        <v>200213</v>
      </c>
      <c r="L371" s="1" t="str">
        <f>IFERROR(INDEX([1]物品基础表!$A:$A,MATCH(K371,[1]物品基础表!$B:$B,0)),"")</f>
        <v>烈焰印记爆裂技能书</v>
      </c>
      <c r="M371" s="1">
        <v>1</v>
      </c>
      <c r="O371" s="1" t="str">
        <f>IFERROR(INDEX([1]物品基础表!$A:$A,MATCH(N371,[1]物品基础表!$B:$B,0)),"")</f>
        <v/>
      </c>
      <c r="R371" s="1" t="str">
        <f>IFERROR(INDEX([1]物品基础表!$A:$A,MATCH(Q371,[1]物品基础表!$B:$B,0)),"")</f>
        <v/>
      </c>
      <c r="U371" s="1" t="str">
        <f>IFERROR(INDEX([1]物品基础表!$A:$A,MATCH(T371,[1]物品基础表!$B:$B,0)),"")</f>
        <v/>
      </c>
      <c r="X371" s="1" t="str">
        <f>IFERROR(INDEX([1]物品基础表!$A:$A,MATCH(W371,[1]物品基础表!$B:$B,0)),"")</f>
        <v/>
      </c>
      <c r="AA371" s="1" t="str">
        <f>IFERROR(INDEX([1]物品基础表!$A:$A,MATCH(Z371,[1]物品基础表!$B:$B,0)),"")</f>
        <v/>
      </c>
      <c r="AD371" s="1" t="str">
        <f>IFERROR(INDEX([1]物品基础表!$A:$A,MATCH(AC371,[1]物品基础表!$B:$B,0)),"")</f>
        <v/>
      </c>
      <c r="AG371" s="1" t="str">
        <f>IFERROR(INDEX([1]物品基础表!$A:$A,MATCH(AF371,[1]物品基础表!$B:$B,0)),"")</f>
        <v/>
      </c>
      <c r="AJ371" s="1" t="str">
        <f>IFERROR(INDEX([1]物品基础表!$A:$A,MATCH(AI371,[1]物品基础表!$B:$B,0)),"")</f>
        <v/>
      </c>
      <c r="AM371" s="1" t="str">
        <f>IFERROR(INDEX([1]物品基础表!$A:$A,MATCH(AL371,[1]物品基础表!$B:$B,0)),"")</f>
        <v/>
      </c>
      <c r="AP371" s="1" t="str">
        <f>IFERROR(INDEX([1]物品基础表!$A:$A,MATCH(AO371,[1]物品基础表!$B:$B,0)),"")</f>
        <v/>
      </c>
      <c r="AS371" s="1" t="str">
        <f>IFERROR(INDEX([1]物品基础表!$A:$A,MATCH(AR371,[1]物品基础表!$B:$B,0)),"")</f>
        <v/>
      </c>
      <c r="AV371" s="1" t="str">
        <f>IFERROR(INDEX([1]物品基础表!$A:$A,MATCH(AU371,[1]物品基础表!$B:$B,0)),"")</f>
        <v/>
      </c>
      <c r="AY371" s="1" t="str">
        <f>IFERROR(INDEX([1]物品基础表!$A:$A,MATCH(AX371,[1]物品基础表!$B:$B,0)),"")</f>
        <v/>
      </c>
      <c r="BB371" s="1" t="str">
        <f>IFERROR(INDEX([1]物品基础表!$A:$A,MATCH(BA371,[1]物品基础表!$B:$B,0)),"")</f>
        <v/>
      </c>
      <c r="BE371" s="1" t="str">
        <f>IFERROR(INDEX([1]物品基础表!$A:$A,MATCH(BD371,[1]物品基础表!$B:$B,0)),"")</f>
        <v/>
      </c>
      <c r="BH371" s="1" t="str">
        <f>IFERROR(INDEX([1]物品基础表!$A:$A,MATCH(BG371,[1]物品基础表!$B:$B,0)),"")</f>
        <v/>
      </c>
      <c r="BK371" s="1" t="str">
        <f>IFERROR(INDEX([1]物品基础表!$A:$A,MATCH(BJ371,[1]物品基础表!$B:$B,0)),"")</f>
        <v/>
      </c>
    </row>
    <row r="372" spans="1:63">
      <c r="A372" s="39" t="str">
        <f>INDEX([2]活动总表!$A$8:$A$429,MATCH(B372,[2]活动总表!$B$8:$B$429,0))</f>
        <v>龙抬头-转盘（15-60天）</v>
      </c>
      <c r="B372" s="40">
        <v>922</v>
      </c>
      <c r="C372" s="40">
        <v>9</v>
      </c>
      <c r="D372" s="40"/>
      <c r="E372" s="40"/>
      <c r="F372" s="40" t="s">
        <v>893</v>
      </c>
      <c r="G372" s="40">
        <v>3</v>
      </c>
      <c r="H372" s="40"/>
      <c r="I372" s="40"/>
      <c r="J372" s="57"/>
      <c r="K372" s="1">
        <v>200208</v>
      </c>
      <c r="L372" s="1" t="str">
        <f>IFERROR(INDEX([1]物品基础表!$A:$A,MATCH(K372,[1]物品基础表!$B:$B,0)),"")</f>
        <v>烈焰印记低级升级材料</v>
      </c>
      <c r="M372" s="1">
        <v>100</v>
      </c>
      <c r="O372" s="1" t="str">
        <f>IFERROR(INDEX([1]物品基础表!$A:$A,MATCH(N372,[1]物品基础表!$B:$B,0)),"")</f>
        <v/>
      </c>
      <c r="R372" s="1" t="str">
        <f>IFERROR(INDEX([1]物品基础表!$A:$A,MATCH(Q372,[1]物品基础表!$B:$B,0)),"")</f>
        <v/>
      </c>
      <c r="U372" s="1" t="str">
        <f>IFERROR(INDEX([1]物品基础表!$A:$A,MATCH(T372,[1]物品基础表!$B:$B,0)),"")</f>
        <v/>
      </c>
      <c r="X372" s="1" t="str">
        <f>IFERROR(INDEX([1]物品基础表!$A:$A,MATCH(W372,[1]物品基础表!$B:$B,0)),"")</f>
        <v/>
      </c>
      <c r="AA372" s="1" t="str">
        <f>IFERROR(INDEX([1]物品基础表!$A:$A,MATCH(Z372,[1]物品基础表!$B:$B,0)),"")</f>
        <v/>
      </c>
      <c r="AD372" s="1" t="str">
        <f>IFERROR(INDEX([1]物品基础表!$A:$A,MATCH(AC372,[1]物品基础表!$B:$B,0)),"")</f>
        <v/>
      </c>
      <c r="AG372" s="1" t="str">
        <f>IFERROR(INDEX([1]物品基础表!$A:$A,MATCH(AF372,[1]物品基础表!$B:$B,0)),"")</f>
        <v/>
      </c>
      <c r="AJ372" s="1" t="str">
        <f>IFERROR(INDEX([1]物品基础表!$A:$A,MATCH(AI372,[1]物品基础表!$B:$B,0)),"")</f>
        <v/>
      </c>
      <c r="AM372" s="1" t="str">
        <f>IFERROR(INDEX([1]物品基础表!$A:$A,MATCH(AL372,[1]物品基础表!$B:$B,0)),"")</f>
        <v/>
      </c>
      <c r="AP372" s="1" t="str">
        <f>IFERROR(INDEX([1]物品基础表!$A:$A,MATCH(AO372,[1]物品基础表!$B:$B,0)),"")</f>
        <v/>
      </c>
      <c r="AS372" s="1" t="str">
        <f>IFERROR(INDEX([1]物品基础表!$A:$A,MATCH(AR372,[1]物品基础表!$B:$B,0)),"")</f>
        <v/>
      </c>
      <c r="AV372" s="1" t="str">
        <f>IFERROR(INDEX([1]物品基础表!$A:$A,MATCH(AU372,[1]物品基础表!$B:$B,0)),"")</f>
        <v/>
      </c>
      <c r="AY372" s="1" t="str">
        <f>IFERROR(INDEX([1]物品基础表!$A:$A,MATCH(AX372,[1]物品基础表!$B:$B,0)),"")</f>
        <v/>
      </c>
      <c r="BB372" s="1" t="str">
        <f>IFERROR(INDEX([1]物品基础表!$A:$A,MATCH(BA372,[1]物品基础表!$B:$B,0)),"")</f>
        <v/>
      </c>
      <c r="BE372" s="1" t="str">
        <f>IFERROR(INDEX([1]物品基础表!$A:$A,MATCH(BD372,[1]物品基础表!$B:$B,0)),"")</f>
        <v/>
      </c>
      <c r="BH372" s="1" t="str">
        <f>IFERROR(INDEX([1]物品基础表!$A:$A,MATCH(BG372,[1]物品基础表!$B:$B,0)),"")</f>
        <v/>
      </c>
      <c r="BK372" s="1" t="str">
        <f>IFERROR(INDEX([1]物品基础表!$A:$A,MATCH(BJ372,[1]物品基础表!$B:$B,0)),"")</f>
        <v/>
      </c>
    </row>
    <row r="373" spans="1:63">
      <c r="A373" s="39" t="str">
        <f>INDEX([2]活动总表!$A$8:$A$429,MATCH(B373,[2]活动总表!$B$8:$B$429,0))</f>
        <v>龙抬头-转盘（15-60天）</v>
      </c>
      <c r="B373" s="40">
        <v>922</v>
      </c>
      <c r="C373" s="40">
        <v>10</v>
      </c>
      <c r="D373" s="40"/>
      <c r="E373" s="40"/>
      <c r="F373" s="40" t="s">
        <v>897</v>
      </c>
      <c r="G373" s="40">
        <v>3</v>
      </c>
      <c r="H373" s="40"/>
      <c r="I373" s="40"/>
      <c r="J373" s="57"/>
      <c r="K373" s="1">
        <v>200301</v>
      </c>
      <c r="L373" s="1" t="str">
        <f>IFERROR(INDEX([1]物品基础表!$A:$A,MATCH(K373,[1]物品基础表!$B:$B,0)),"")</f>
        <v>传世宝钻</v>
      </c>
      <c r="M373" s="1">
        <v>10</v>
      </c>
      <c r="O373" s="1" t="str">
        <f>IFERROR(INDEX([1]物品基础表!$A:$A,MATCH(N373,[1]物品基础表!$B:$B,0)),"")</f>
        <v/>
      </c>
      <c r="R373" s="1" t="str">
        <f>IFERROR(INDEX([1]物品基础表!$A:$A,MATCH(Q373,[1]物品基础表!$B:$B,0)),"")</f>
        <v/>
      </c>
      <c r="U373" s="1" t="str">
        <f>IFERROR(INDEX([1]物品基础表!$A:$A,MATCH(T373,[1]物品基础表!$B:$B,0)),"")</f>
        <v/>
      </c>
      <c r="X373" s="1" t="str">
        <f>IFERROR(INDEX([1]物品基础表!$A:$A,MATCH(W373,[1]物品基础表!$B:$B,0)),"")</f>
        <v/>
      </c>
      <c r="AA373" s="1" t="str">
        <f>IFERROR(INDEX([1]物品基础表!$A:$A,MATCH(Z373,[1]物品基础表!$B:$B,0)),"")</f>
        <v/>
      </c>
      <c r="AD373" s="1" t="str">
        <f>IFERROR(INDEX([1]物品基础表!$A:$A,MATCH(AC373,[1]物品基础表!$B:$B,0)),"")</f>
        <v/>
      </c>
      <c r="AG373" s="1" t="str">
        <f>IFERROR(INDEX([1]物品基础表!$A:$A,MATCH(AF373,[1]物品基础表!$B:$B,0)),"")</f>
        <v/>
      </c>
      <c r="AJ373" s="1" t="str">
        <f>IFERROR(INDEX([1]物品基础表!$A:$A,MATCH(AI373,[1]物品基础表!$B:$B,0)),"")</f>
        <v/>
      </c>
      <c r="AM373" s="1" t="str">
        <f>IFERROR(INDEX([1]物品基础表!$A:$A,MATCH(AL373,[1]物品基础表!$B:$B,0)),"")</f>
        <v/>
      </c>
      <c r="AP373" s="1" t="str">
        <f>IFERROR(INDEX([1]物品基础表!$A:$A,MATCH(AO373,[1]物品基础表!$B:$B,0)),"")</f>
        <v/>
      </c>
      <c r="AS373" s="1" t="str">
        <f>IFERROR(INDEX([1]物品基础表!$A:$A,MATCH(AR373,[1]物品基础表!$B:$B,0)),"")</f>
        <v/>
      </c>
      <c r="AV373" s="1" t="str">
        <f>IFERROR(INDEX([1]物品基础表!$A:$A,MATCH(AU373,[1]物品基础表!$B:$B,0)),"")</f>
        <v/>
      </c>
      <c r="AY373" s="1" t="str">
        <f>IFERROR(INDEX([1]物品基础表!$A:$A,MATCH(AX373,[1]物品基础表!$B:$B,0)),"")</f>
        <v/>
      </c>
      <c r="BB373" s="1" t="str">
        <f>IFERROR(INDEX([1]物品基础表!$A:$A,MATCH(BA373,[1]物品基础表!$B:$B,0)),"")</f>
        <v/>
      </c>
      <c r="BE373" s="1" t="str">
        <f>IFERROR(INDEX([1]物品基础表!$A:$A,MATCH(BD373,[1]物品基础表!$B:$B,0)),"")</f>
        <v/>
      </c>
      <c r="BH373" s="1" t="str">
        <f>IFERROR(INDEX([1]物品基础表!$A:$A,MATCH(BG373,[1]物品基础表!$B:$B,0)),"")</f>
        <v/>
      </c>
      <c r="BK373" s="1" t="str">
        <f>IFERROR(INDEX([1]物品基础表!$A:$A,MATCH(BJ373,[1]物品基础表!$B:$B,0)),"")</f>
        <v/>
      </c>
    </row>
    <row r="374" spans="1:63">
      <c r="A374" s="39" t="str">
        <f>INDEX([2]活动总表!$A$8:$A$429,MATCH(B374,[2]活动总表!$B$8:$B$429,0))</f>
        <v>龙抬头-转盘（61+天）</v>
      </c>
      <c r="B374" s="40">
        <v>923</v>
      </c>
      <c r="C374" s="40">
        <v>0</v>
      </c>
      <c r="D374" s="40">
        <v>200334</v>
      </c>
      <c r="E374" s="40">
        <v>500</v>
      </c>
      <c r="F374" s="40"/>
      <c r="G374" s="40">
        <v>3</v>
      </c>
      <c r="H374" s="40">
        <v>1</v>
      </c>
      <c r="I374" s="40" t="s">
        <v>856</v>
      </c>
      <c r="J374" s="57" t="s">
        <v>887</v>
      </c>
      <c r="L374" s="1" t="str">
        <f>IFERROR(INDEX([1]物品基础表!$A:$A,MATCH(K374,[1]物品基础表!$B:$B,0)),"")</f>
        <v/>
      </c>
      <c r="N374" s="1">
        <v>200015</v>
      </c>
      <c r="O374" s="1" t="str">
        <f>IFERROR(INDEX([1]物品基础表!$A:$A,MATCH(N374,[1]物品基础表!$B:$B,0)),"")</f>
        <v>特戒碎片</v>
      </c>
      <c r="P374" s="1">
        <v>300</v>
      </c>
      <c r="Q374" s="1">
        <v>200208</v>
      </c>
      <c r="R374" s="1" t="str">
        <f>IFERROR(INDEX([1]物品基础表!$A:$A,MATCH(Q374,[1]物品基础表!$B:$B,0)),"")</f>
        <v>烈焰印记低级升级材料</v>
      </c>
      <c r="S374" s="1">
        <v>400</v>
      </c>
      <c r="T374" s="1">
        <v>202008</v>
      </c>
      <c r="U374" s="1" t="str">
        <f>IFERROR(INDEX([1]物品基础表!$A:$A,MATCH(T374,[1]物品基础表!$B:$B,0)),"")</f>
        <v>烈焰戒指技能8书</v>
      </c>
      <c r="V374" s="1">
        <v>1</v>
      </c>
      <c r="W374" s="1">
        <v>200208</v>
      </c>
      <c r="X374" s="1" t="str">
        <f>IFERROR(INDEX([1]物品基础表!$A:$A,MATCH(W374,[1]物品基础表!$B:$B,0)),"")</f>
        <v>烈焰印记低级升级材料</v>
      </c>
      <c r="Y374" s="1">
        <v>600</v>
      </c>
      <c r="Z374" s="1">
        <v>200208</v>
      </c>
      <c r="AA374" s="1" t="str">
        <f>IFERROR(INDEX([1]物品基础表!$A:$A,MATCH(Z374,[1]物品基础表!$B:$B,0)),"")</f>
        <v>烈焰印记低级升级材料</v>
      </c>
      <c r="AB374" s="1">
        <v>800</v>
      </c>
      <c r="AD374" s="1" t="str">
        <f>IFERROR(INDEX([1]物品基础表!$A:$A,MATCH(AC374,[1]物品基础表!$B:$B,0)),"")</f>
        <v/>
      </c>
      <c r="AF374" s="1">
        <v>210106</v>
      </c>
      <c r="AG374" s="1" t="str">
        <f>IFERROR(INDEX([1]物品基础表!$A:$A,MATCH(AF374,[1]物品基础表!$B:$B,0)),"")</f>
        <v>高级必杀</v>
      </c>
      <c r="AH374" s="1">
        <v>1</v>
      </c>
      <c r="AI374" s="1">
        <v>200208</v>
      </c>
      <c r="AJ374" s="1" t="str">
        <f>IFERROR(INDEX([1]物品基础表!$A:$A,MATCH(AI374,[1]物品基础表!$B:$B,0)),"")</f>
        <v>烈焰印记低级升级材料</v>
      </c>
      <c r="AK374" s="1">
        <v>1000</v>
      </c>
      <c r="AL374" s="1">
        <v>200208</v>
      </c>
      <c r="AM374" s="1" t="str">
        <f>IFERROR(INDEX([1]物品基础表!$A:$A,MATCH(AL374,[1]物品基础表!$B:$B,0)),"")</f>
        <v>烈焰印记低级升级材料</v>
      </c>
      <c r="AN374" s="1">
        <v>1000</v>
      </c>
      <c r="AO374" s="1">
        <v>202007</v>
      </c>
      <c r="AP374" s="1" t="str">
        <f>IFERROR(INDEX([1]物品基础表!$A:$A,MATCH(AO374,[1]物品基础表!$B:$B,0)),"")</f>
        <v>烈焰戒指技能7书</v>
      </c>
      <c r="AQ374" s="1">
        <v>1</v>
      </c>
      <c r="AR374" s="1">
        <v>200208</v>
      </c>
      <c r="AS374" s="1" t="str">
        <f>IFERROR(INDEX([1]物品基础表!$A:$A,MATCH(AR374,[1]物品基础表!$B:$B,0)),"")</f>
        <v>烈焰印记低级升级材料</v>
      </c>
      <c r="AT374" s="1">
        <v>1000</v>
      </c>
      <c r="AU374" s="1">
        <v>200208</v>
      </c>
      <c r="AV374" s="1" t="str">
        <f>IFERROR(INDEX([1]物品基础表!$A:$A,MATCH(AU374,[1]物品基础表!$B:$B,0)),"")</f>
        <v>烈焰印记低级升级材料</v>
      </c>
      <c r="AW374" s="1">
        <v>1500</v>
      </c>
      <c r="AX374" s="1">
        <v>210109</v>
      </c>
      <c r="AY374" s="1" t="str">
        <f>IFERROR(INDEX([1]物品基础表!$A:$A,MATCH(AX374,[1]物品基础表!$B:$B,0)),"")</f>
        <v>高级偷袭</v>
      </c>
      <c r="AZ374" s="1">
        <v>1</v>
      </c>
      <c r="BB374" s="1" t="str">
        <f>IFERROR(INDEX([1]物品基础表!$A:$A,MATCH(BA374,[1]物品基础表!$B:$B,0)),"")</f>
        <v/>
      </c>
      <c r="BE374" s="1" t="str">
        <f>IFERROR(INDEX([1]物品基础表!$A:$A,MATCH(BD374,[1]物品基础表!$B:$B,0)),"")</f>
        <v/>
      </c>
      <c r="BH374" s="1" t="str">
        <f>IFERROR(INDEX([1]物品基础表!$A:$A,MATCH(BG374,[1]物品基础表!$B:$B,0)),"")</f>
        <v/>
      </c>
      <c r="BK374" s="1" t="str">
        <f>IFERROR(INDEX([1]物品基础表!$A:$A,MATCH(BJ374,[1]物品基础表!$B:$B,0)),"")</f>
        <v/>
      </c>
    </row>
    <row r="375" spans="1:63">
      <c r="A375" s="39" t="str">
        <f>INDEX([2]活动总表!$A$8:$A$429,MATCH(B375,[2]活动总表!$B$8:$B$429,0))</f>
        <v>龙抬头-转盘（61+天）</v>
      </c>
      <c r="B375" s="40">
        <v>923</v>
      </c>
      <c r="C375" s="40">
        <v>1</v>
      </c>
      <c r="D375" s="40"/>
      <c r="E375" s="40"/>
      <c r="F375" s="40" t="s">
        <v>888</v>
      </c>
      <c r="G375" s="40">
        <v>3</v>
      </c>
      <c r="H375" s="40"/>
      <c r="I375" s="40"/>
      <c r="J375" s="57"/>
      <c r="K375" s="1">
        <v>200211</v>
      </c>
      <c r="L375" s="1" t="str">
        <f>IFERROR(INDEX([1]物品基础表!$A:$A,MATCH(K375,[1]物品基础表!$B:$B,0)),"")</f>
        <v>烈焰印记加持技能书</v>
      </c>
      <c r="M375" s="1">
        <v>1</v>
      </c>
      <c r="O375" s="1" t="str">
        <f>IFERROR(INDEX([1]物品基础表!$A:$A,MATCH(N375,[1]物品基础表!$B:$B,0)),"")</f>
        <v/>
      </c>
      <c r="R375" s="1" t="str">
        <f>IFERROR(INDEX([1]物品基础表!$A:$A,MATCH(Q375,[1]物品基础表!$B:$B,0)),"")</f>
        <v/>
      </c>
      <c r="U375" s="1" t="str">
        <f>IFERROR(INDEX([1]物品基础表!$A:$A,MATCH(T375,[1]物品基础表!$B:$B,0)),"")</f>
        <v/>
      </c>
      <c r="X375" s="1" t="str">
        <f>IFERROR(INDEX([1]物品基础表!$A:$A,MATCH(W375,[1]物品基础表!$B:$B,0)),"")</f>
        <v/>
      </c>
      <c r="AA375" s="1" t="str">
        <f>IFERROR(INDEX([1]物品基础表!$A:$A,MATCH(Z375,[1]物品基础表!$B:$B,0)),"")</f>
        <v/>
      </c>
      <c r="AD375" s="1" t="str">
        <f>IFERROR(INDEX([1]物品基础表!$A:$A,MATCH(AC375,[1]物品基础表!$B:$B,0)),"")</f>
        <v/>
      </c>
      <c r="AG375" s="1" t="str">
        <f>IFERROR(INDEX([1]物品基础表!$A:$A,MATCH(AF375,[1]物品基础表!$B:$B,0)),"")</f>
        <v/>
      </c>
      <c r="AJ375" s="1" t="str">
        <f>IFERROR(INDEX([1]物品基础表!$A:$A,MATCH(AI375,[1]物品基础表!$B:$B,0)),"")</f>
        <v/>
      </c>
      <c r="AM375" s="1" t="str">
        <f>IFERROR(INDEX([1]物品基础表!$A:$A,MATCH(AL375,[1]物品基础表!$B:$B,0)),"")</f>
        <v/>
      </c>
      <c r="AP375" s="1" t="str">
        <f>IFERROR(INDEX([1]物品基础表!$A:$A,MATCH(AO375,[1]物品基础表!$B:$B,0)),"")</f>
        <v/>
      </c>
      <c r="AS375" s="1" t="str">
        <f>IFERROR(INDEX([1]物品基础表!$A:$A,MATCH(AR375,[1]物品基础表!$B:$B,0)),"")</f>
        <v/>
      </c>
      <c r="AV375" s="1" t="str">
        <f>IFERROR(INDEX([1]物品基础表!$A:$A,MATCH(AU375,[1]物品基础表!$B:$B,0)),"")</f>
        <v/>
      </c>
      <c r="AY375" s="1" t="str">
        <f>IFERROR(INDEX([1]物品基础表!$A:$A,MATCH(AX375,[1]物品基础表!$B:$B,0)),"")</f>
        <v/>
      </c>
      <c r="BB375" s="1" t="str">
        <f>IFERROR(INDEX([1]物品基础表!$A:$A,MATCH(BA375,[1]物品基础表!$B:$B,0)),"")</f>
        <v/>
      </c>
      <c r="BE375" s="1" t="str">
        <f>IFERROR(INDEX([1]物品基础表!$A:$A,MATCH(BD375,[1]物品基础表!$B:$B,0)),"")</f>
        <v/>
      </c>
      <c r="BH375" s="1" t="str">
        <f>IFERROR(INDEX([1]物品基础表!$A:$A,MATCH(BG375,[1]物品基础表!$B:$B,0)),"")</f>
        <v/>
      </c>
      <c r="BK375" s="1" t="str">
        <f>IFERROR(INDEX([1]物品基础表!$A:$A,MATCH(BJ375,[1]物品基础表!$B:$B,0)),"")</f>
        <v/>
      </c>
    </row>
    <row r="376" spans="1:63">
      <c r="A376" s="39" t="str">
        <f>INDEX([2]活动总表!$A$8:$A$429,MATCH(B376,[2]活动总表!$B$8:$B$429,0))</f>
        <v>龙抬头-转盘（61+天）</v>
      </c>
      <c r="B376" s="40">
        <v>923</v>
      </c>
      <c r="C376" s="40">
        <v>2</v>
      </c>
      <c r="D376" s="40"/>
      <c r="E376" s="40"/>
      <c r="F376" s="40" t="s">
        <v>889</v>
      </c>
      <c r="G376" s="40">
        <v>3</v>
      </c>
      <c r="H376" s="40"/>
      <c r="I376" s="40"/>
      <c r="J376" s="57"/>
      <c r="K376" s="1">
        <v>200015</v>
      </c>
      <c r="L376" s="1" t="str">
        <f>IFERROR(INDEX([1]物品基础表!$A:$A,MATCH(K376,[1]物品基础表!$B:$B,0)),"")</f>
        <v>特戒碎片</v>
      </c>
      <c r="M376" s="1">
        <v>60</v>
      </c>
      <c r="O376" s="1" t="str">
        <f>IFERROR(INDEX([1]物品基础表!$A:$A,MATCH(N376,[1]物品基础表!$B:$B,0)),"")</f>
        <v/>
      </c>
      <c r="R376" s="1" t="str">
        <f>IFERROR(INDEX([1]物品基础表!$A:$A,MATCH(Q376,[1]物品基础表!$B:$B,0)),"")</f>
        <v/>
      </c>
      <c r="U376" s="1" t="str">
        <f>IFERROR(INDEX([1]物品基础表!$A:$A,MATCH(T376,[1]物品基础表!$B:$B,0)),"")</f>
        <v/>
      </c>
      <c r="X376" s="1" t="str">
        <f>IFERROR(INDEX([1]物品基础表!$A:$A,MATCH(W376,[1]物品基础表!$B:$B,0)),"")</f>
        <v/>
      </c>
      <c r="AA376" s="1" t="str">
        <f>IFERROR(INDEX([1]物品基础表!$A:$A,MATCH(Z376,[1]物品基础表!$B:$B,0)),"")</f>
        <v/>
      </c>
      <c r="AD376" s="1" t="str">
        <f>IFERROR(INDEX([1]物品基础表!$A:$A,MATCH(AC376,[1]物品基础表!$B:$B,0)),"")</f>
        <v/>
      </c>
      <c r="AG376" s="1" t="str">
        <f>IFERROR(INDEX([1]物品基础表!$A:$A,MATCH(AF376,[1]物品基础表!$B:$B,0)),"")</f>
        <v/>
      </c>
      <c r="AJ376" s="1" t="str">
        <f>IFERROR(INDEX([1]物品基础表!$A:$A,MATCH(AI376,[1]物品基础表!$B:$B,0)),"")</f>
        <v/>
      </c>
      <c r="AM376" s="1" t="str">
        <f>IFERROR(INDEX([1]物品基础表!$A:$A,MATCH(AL376,[1]物品基础表!$B:$B,0)),"")</f>
        <v/>
      </c>
      <c r="AP376" s="1" t="str">
        <f>IFERROR(INDEX([1]物品基础表!$A:$A,MATCH(AO376,[1]物品基础表!$B:$B,0)),"")</f>
        <v/>
      </c>
      <c r="AS376" s="1" t="str">
        <f>IFERROR(INDEX([1]物品基础表!$A:$A,MATCH(AR376,[1]物品基础表!$B:$B,0)),"")</f>
        <v/>
      </c>
      <c r="AV376" s="1" t="str">
        <f>IFERROR(INDEX([1]物品基础表!$A:$A,MATCH(AU376,[1]物品基础表!$B:$B,0)),"")</f>
        <v/>
      </c>
      <c r="AY376" s="1" t="str">
        <f>IFERROR(INDEX([1]物品基础表!$A:$A,MATCH(AX376,[1]物品基础表!$B:$B,0)),"")</f>
        <v/>
      </c>
      <c r="BB376" s="1" t="str">
        <f>IFERROR(INDEX([1]物品基础表!$A:$A,MATCH(BA376,[1]物品基础表!$B:$B,0)),"")</f>
        <v/>
      </c>
      <c r="BE376" s="1" t="str">
        <f>IFERROR(INDEX([1]物品基础表!$A:$A,MATCH(BD376,[1]物品基础表!$B:$B,0)),"")</f>
        <v/>
      </c>
      <c r="BH376" s="1" t="str">
        <f>IFERROR(INDEX([1]物品基础表!$A:$A,MATCH(BG376,[1]物品基础表!$B:$B,0)),"")</f>
        <v/>
      </c>
      <c r="BK376" s="1" t="str">
        <f>IFERROR(INDEX([1]物品基础表!$A:$A,MATCH(BJ376,[1]物品基础表!$B:$B,0)),"")</f>
        <v/>
      </c>
    </row>
    <row r="377" spans="1:63">
      <c r="A377" s="39" t="str">
        <f>INDEX([2]活动总表!$A$8:$A$429,MATCH(B377,[2]活动总表!$B$8:$B$429,0))</f>
        <v>龙抬头-转盘（61+天）</v>
      </c>
      <c r="B377" s="40">
        <v>923</v>
      </c>
      <c r="C377" s="40">
        <v>3</v>
      </c>
      <c r="D377" s="40"/>
      <c r="E377" s="40"/>
      <c r="F377" s="40" t="s">
        <v>890</v>
      </c>
      <c r="G377" s="40">
        <v>3</v>
      </c>
      <c r="H377" s="40"/>
      <c r="I377" s="40"/>
      <c r="J377" s="57"/>
      <c r="K377" s="1">
        <v>200301</v>
      </c>
      <c r="L377" s="1" t="str">
        <f>IFERROR(INDEX([1]物品基础表!$A:$A,MATCH(K377,[1]物品基础表!$B:$B,0)),"")</f>
        <v>传世宝钻</v>
      </c>
      <c r="M377" s="1">
        <v>100</v>
      </c>
      <c r="O377" s="1" t="str">
        <f>IFERROR(INDEX([1]物品基础表!$A:$A,MATCH(N377,[1]物品基础表!$B:$B,0)),"")</f>
        <v/>
      </c>
      <c r="R377" s="1" t="str">
        <f>IFERROR(INDEX([1]物品基础表!$A:$A,MATCH(Q377,[1]物品基础表!$B:$B,0)),"")</f>
        <v/>
      </c>
      <c r="U377" s="1" t="str">
        <f>IFERROR(INDEX([1]物品基础表!$A:$A,MATCH(T377,[1]物品基础表!$B:$B,0)),"")</f>
        <v/>
      </c>
      <c r="X377" s="1" t="str">
        <f>IFERROR(INDEX([1]物品基础表!$A:$A,MATCH(W377,[1]物品基础表!$B:$B,0)),"")</f>
        <v/>
      </c>
      <c r="AA377" s="1" t="str">
        <f>IFERROR(INDEX([1]物品基础表!$A:$A,MATCH(Z377,[1]物品基础表!$B:$B,0)),"")</f>
        <v/>
      </c>
      <c r="AD377" s="1" t="str">
        <f>IFERROR(INDEX([1]物品基础表!$A:$A,MATCH(AC377,[1]物品基础表!$B:$B,0)),"")</f>
        <v/>
      </c>
      <c r="AG377" s="1" t="str">
        <f>IFERROR(INDEX([1]物品基础表!$A:$A,MATCH(AF377,[1]物品基础表!$B:$B,0)),"")</f>
        <v/>
      </c>
      <c r="AJ377" s="1" t="str">
        <f>IFERROR(INDEX([1]物品基础表!$A:$A,MATCH(AI377,[1]物品基础表!$B:$B,0)),"")</f>
        <v/>
      </c>
      <c r="AM377" s="1" t="str">
        <f>IFERROR(INDEX([1]物品基础表!$A:$A,MATCH(AL377,[1]物品基础表!$B:$B,0)),"")</f>
        <v/>
      </c>
      <c r="AP377" s="1" t="str">
        <f>IFERROR(INDEX([1]物品基础表!$A:$A,MATCH(AO377,[1]物品基础表!$B:$B,0)),"")</f>
        <v/>
      </c>
      <c r="AS377" s="1" t="str">
        <f>IFERROR(INDEX([1]物品基础表!$A:$A,MATCH(AR377,[1]物品基础表!$B:$B,0)),"")</f>
        <v/>
      </c>
      <c r="AV377" s="1" t="str">
        <f>IFERROR(INDEX([1]物品基础表!$A:$A,MATCH(AU377,[1]物品基础表!$B:$B,0)),"")</f>
        <v/>
      </c>
      <c r="AY377" s="1" t="str">
        <f>IFERROR(INDEX([1]物品基础表!$A:$A,MATCH(AX377,[1]物品基础表!$B:$B,0)),"")</f>
        <v/>
      </c>
      <c r="BB377" s="1" t="str">
        <f>IFERROR(INDEX([1]物品基础表!$A:$A,MATCH(BA377,[1]物品基础表!$B:$B,0)),"")</f>
        <v/>
      </c>
      <c r="BE377" s="1" t="str">
        <f>IFERROR(INDEX([1]物品基础表!$A:$A,MATCH(BD377,[1]物品基础表!$B:$B,0)),"")</f>
        <v/>
      </c>
      <c r="BH377" s="1" t="str">
        <f>IFERROR(INDEX([1]物品基础表!$A:$A,MATCH(BG377,[1]物品基础表!$B:$B,0)),"")</f>
        <v/>
      </c>
      <c r="BK377" s="1" t="str">
        <f>IFERROR(INDEX([1]物品基础表!$A:$A,MATCH(BJ377,[1]物品基础表!$B:$B,0)),"")</f>
        <v/>
      </c>
    </row>
    <row r="378" spans="1:63">
      <c r="A378" s="39" t="str">
        <f>INDEX([2]活动总表!$A$8:$A$429,MATCH(B378,[2]活动总表!$B$8:$B$429,0))</f>
        <v>龙抬头-转盘（61+天）</v>
      </c>
      <c r="B378" s="40">
        <v>923</v>
      </c>
      <c r="C378" s="40">
        <v>4</v>
      </c>
      <c r="D378" s="40"/>
      <c r="E378" s="40"/>
      <c r="F378" s="40" t="s">
        <v>889</v>
      </c>
      <c r="G378" s="40">
        <v>3</v>
      </c>
      <c r="H378" s="40"/>
      <c r="I378" s="40"/>
      <c r="J378" s="57"/>
      <c r="K378" s="1">
        <v>200208</v>
      </c>
      <c r="L378" s="1" t="str">
        <f>IFERROR(INDEX([1]物品基础表!$A:$A,MATCH(K378,[1]物品基础表!$B:$B,0)),"")</f>
        <v>烈焰印记低级升级材料</v>
      </c>
      <c r="M378" s="1">
        <v>60</v>
      </c>
      <c r="O378" s="1" t="str">
        <f>IFERROR(INDEX([1]物品基础表!$A:$A,MATCH(N378,[1]物品基础表!$B:$B,0)),"")</f>
        <v/>
      </c>
      <c r="R378" s="1" t="str">
        <f>IFERROR(INDEX([1]物品基础表!$A:$A,MATCH(Q378,[1]物品基础表!$B:$B,0)),"")</f>
        <v/>
      </c>
      <c r="U378" s="1" t="str">
        <f>IFERROR(INDEX([1]物品基础表!$A:$A,MATCH(T378,[1]物品基础表!$B:$B,0)),"")</f>
        <v/>
      </c>
      <c r="X378" s="1" t="str">
        <f>IFERROR(INDEX([1]物品基础表!$A:$A,MATCH(W378,[1]物品基础表!$B:$B,0)),"")</f>
        <v/>
      </c>
      <c r="AA378" s="1" t="str">
        <f>IFERROR(INDEX([1]物品基础表!$A:$A,MATCH(Z378,[1]物品基础表!$B:$B,0)),"")</f>
        <v/>
      </c>
      <c r="AD378" s="1" t="str">
        <f>IFERROR(INDEX([1]物品基础表!$A:$A,MATCH(AC378,[1]物品基础表!$B:$B,0)),"")</f>
        <v/>
      </c>
      <c r="AG378" s="1" t="str">
        <f>IFERROR(INDEX([1]物品基础表!$A:$A,MATCH(AF378,[1]物品基础表!$B:$B,0)),"")</f>
        <v/>
      </c>
      <c r="AJ378" s="1" t="str">
        <f>IFERROR(INDEX([1]物品基础表!$A:$A,MATCH(AI378,[1]物品基础表!$B:$B,0)),"")</f>
        <v/>
      </c>
      <c r="AM378" s="1" t="str">
        <f>IFERROR(INDEX([1]物品基础表!$A:$A,MATCH(AL378,[1]物品基础表!$B:$B,0)),"")</f>
        <v/>
      </c>
      <c r="AP378" s="1" t="str">
        <f>IFERROR(INDEX([1]物品基础表!$A:$A,MATCH(AO378,[1]物品基础表!$B:$B,0)),"")</f>
        <v/>
      </c>
      <c r="AS378" s="1" t="str">
        <f>IFERROR(INDEX([1]物品基础表!$A:$A,MATCH(AR378,[1]物品基础表!$B:$B,0)),"")</f>
        <v/>
      </c>
      <c r="AV378" s="1" t="str">
        <f>IFERROR(INDEX([1]物品基础表!$A:$A,MATCH(AU378,[1]物品基础表!$B:$B,0)),"")</f>
        <v/>
      </c>
      <c r="AY378" s="1" t="str">
        <f>IFERROR(INDEX([1]物品基础表!$A:$A,MATCH(AX378,[1]物品基础表!$B:$B,0)),"")</f>
        <v/>
      </c>
      <c r="BB378" s="1" t="str">
        <f>IFERROR(INDEX([1]物品基础表!$A:$A,MATCH(BA378,[1]物品基础表!$B:$B,0)),"")</f>
        <v/>
      </c>
      <c r="BE378" s="1" t="str">
        <f>IFERROR(INDEX([1]物品基础表!$A:$A,MATCH(BD378,[1]物品基础表!$B:$B,0)),"")</f>
        <v/>
      </c>
      <c r="BH378" s="1" t="str">
        <f>IFERROR(INDEX([1]物品基础表!$A:$A,MATCH(BG378,[1]物品基础表!$B:$B,0)),"")</f>
        <v/>
      </c>
      <c r="BK378" s="1" t="str">
        <f>IFERROR(INDEX([1]物品基础表!$A:$A,MATCH(BJ378,[1]物品基础表!$B:$B,0)),"")</f>
        <v/>
      </c>
    </row>
    <row r="379" spans="1:63">
      <c r="A379" s="39" t="str">
        <f>INDEX([2]活动总表!$A$8:$A$429,MATCH(B379,[2]活动总表!$B$8:$B$429,0))</f>
        <v>龙抬头-转盘（61+天）</v>
      </c>
      <c r="B379" s="40">
        <v>923</v>
      </c>
      <c r="C379" s="40">
        <v>5</v>
      </c>
      <c r="D379" s="40"/>
      <c r="E379" s="40"/>
      <c r="F379" s="40" t="s">
        <v>891</v>
      </c>
      <c r="G379" s="40">
        <v>3</v>
      </c>
      <c r="H379" s="40"/>
      <c r="I379" s="40"/>
      <c r="J379" s="57"/>
      <c r="K379" s="1">
        <v>204156</v>
      </c>
      <c r="L379" s="1" t="str">
        <f>IFERROR(INDEX([1]物品基础表!$A:$A,MATCH(K379,[1]物品基础表!$B:$B,0)),"")</f>
        <v>3阶战灵装备</v>
      </c>
      <c r="M379" s="1">
        <v>1</v>
      </c>
      <c r="O379" s="1" t="str">
        <f>IFERROR(INDEX([1]物品基础表!$A:$A,MATCH(N379,[1]物品基础表!$B:$B,0)),"")</f>
        <v/>
      </c>
      <c r="R379" s="1" t="str">
        <f>IFERROR(INDEX([1]物品基础表!$A:$A,MATCH(Q379,[1]物品基础表!$B:$B,0)),"")</f>
        <v/>
      </c>
      <c r="U379" s="1" t="str">
        <f>IFERROR(INDEX([1]物品基础表!$A:$A,MATCH(T379,[1]物品基础表!$B:$B,0)),"")</f>
        <v/>
      </c>
      <c r="X379" s="1" t="str">
        <f>IFERROR(INDEX([1]物品基础表!$A:$A,MATCH(W379,[1]物品基础表!$B:$B,0)),"")</f>
        <v/>
      </c>
      <c r="AA379" s="1" t="str">
        <f>IFERROR(INDEX([1]物品基础表!$A:$A,MATCH(Z379,[1]物品基础表!$B:$B,0)),"")</f>
        <v/>
      </c>
      <c r="AD379" s="1" t="str">
        <f>IFERROR(INDEX([1]物品基础表!$A:$A,MATCH(AC379,[1]物品基础表!$B:$B,0)),"")</f>
        <v/>
      </c>
      <c r="AG379" s="1" t="str">
        <f>IFERROR(INDEX([1]物品基础表!$A:$A,MATCH(AF379,[1]物品基础表!$B:$B,0)),"")</f>
        <v/>
      </c>
      <c r="AJ379" s="1" t="str">
        <f>IFERROR(INDEX([1]物品基础表!$A:$A,MATCH(AI379,[1]物品基础表!$B:$B,0)),"")</f>
        <v/>
      </c>
      <c r="AM379" s="1" t="str">
        <f>IFERROR(INDEX([1]物品基础表!$A:$A,MATCH(AL379,[1]物品基础表!$B:$B,0)),"")</f>
        <v/>
      </c>
      <c r="AP379" s="1" t="str">
        <f>IFERROR(INDEX([1]物品基础表!$A:$A,MATCH(AO379,[1]物品基础表!$B:$B,0)),"")</f>
        <v/>
      </c>
      <c r="AS379" s="1" t="str">
        <f>IFERROR(INDEX([1]物品基础表!$A:$A,MATCH(AR379,[1]物品基础表!$B:$B,0)),"")</f>
        <v/>
      </c>
      <c r="AV379" s="1" t="str">
        <f>IFERROR(INDEX([1]物品基础表!$A:$A,MATCH(AU379,[1]物品基础表!$B:$B,0)),"")</f>
        <v/>
      </c>
      <c r="AY379" s="1" t="str">
        <f>IFERROR(INDEX([1]物品基础表!$A:$A,MATCH(AX379,[1]物品基础表!$B:$B,0)),"")</f>
        <v/>
      </c>
      <c r="BB379" s="1" t="str">
        <f>IFERROR(INDEX([1]物品基础表!$A:$A,MATCH(BA379,[1]物品基础表!$B:$B,0)),"")</f>
        <v/>
      </c>
      <c r="BE379" s="1" t="str">
        <f>IFERROR(INDEX([1]物品基础表!$A:$A,MATCH(BD379,[1]物品基础表!$B:$B,0)),"")</f>
        <v/>
      </c>
      <c r="BH379" s="1" t="str">
        <f>IFERROR(INDEX([1]物品基础表!$A:$A,MATCH(BG379,[1]物品基础表!$B:$B,0)),"")</f>
        <v/>
      </c>
      <c r="BK379" s="1" t="str">
        <f>IFERROR(INDEX([1]物品基础表!$A:$A,MATCH(BJ379,[1]物品基础表!$B:$B,0)),"")</f>
        <v/>
      </c>
    </row>
    <row r="380" spans="1:63">
      <c r="A380" s="39" t="str">
        <f>INDEX([2]活动总表!$A$8:$A$429,MATCH(B380,[2]活动总表!$B$8:$B$429,0))</f>
        <v>龙抬头-转盘（61+天）</v>
      </c>
      <c r="B380" s="40">
        <v>923</v>
      </c>
      <c r="C380" s="40">
        <v>6</v>
      </c>
      <c r="D380" s="40"/>
      <c r="E380" s="40"/>
      <c r="F380" s="40" t="s">
        <v>892</v>
      </c>
      <c r="G380" s="40">
        <v>3</v>
      </c>
      <c r="H380" s="40"/>
      <c r="I380" s="40"/>
      <c r="J380" s="57"/>
      <c r="K380" s="1">
        <v>200212</v>
      </c>
      <c r="L380" s="1" t="str">
        <f>IFERROR(INDEX([1]物品基础表!$A:$A,MATCH(K380,[1]物品基础表!$B:$B,0)),"")</f>
        <v>烈焰印记迅疾技能书</v>
      </c>
      <c r="M380" s="1">
        <v>1</v>
      </c>
      <c r="O380" s="1" t="str">
        <f>IFERROR(INDEX([1]物品基础表!$A:$A,MATCH(N380,[1]物品基础表!$B:$B,0)),"")</f>
        <v/>
      </c>
      <c r="R380" s="1" t="str">
        <f>IFERROR(INDEX([1]物品基础表!$A:$A,MATCH(Q380,[1]物品基础表!$B:$B,0)),"")</f>
        <v/>
      </c>
      <c r="U380" s="1" t="str">
        <f>IFERROR(INDEX([1]物品基础表!$A:$A,MATCH(T380,[1]物品基础表!$B:$B,0)),"")</f>
        <v/>
      </c>
      <c r="X380" s="1" t="str">
        <f>IFERROR(INDEX([1]物品基础表!$A:$A,MATCH(W380,[1]物品基础表!$B:$B,0)),"")</f>
        <v/>
      </c>
      <c r="AA380" s="1" t="str">
        <f>IFERROR(INDEX([1]物品基础表!$A:$A,MATCH(Z380,[1]物品基础表!$B:$B,0)),"")</f>
        <v/>
      </c>
      <c r="AD380" s="1" t="str">
        <f>IFERROR(INDEX([1]物品基础表!$A:$A,MATCH(AC380,[1]物品基础表!$B:$B,0)),"")</f>
        <v/>
      </c>
      <c r="AG380" s="1" t="str">
        <f>IFERROR(INDEX([1]物品基础表!$A:$A,MATCH(AF380,[1]物品基础表!$B:$B,0)),"")</f>
        <v/>
      </c>
      <c r="AJ380" s="1" t="str">
        <f>IFERROR(INDEX([1]物品基础表!$A:$A,MATCH(AI380,[1]物品基础表!$B:$B,0)),"")</f>
        <v/>
      </c>
      <c r="AM380" s="1" t="str">
        <f>IFERROR(INDEX([1]物品基础表!$A:$A,MATCH(AL380,[1]物品基础表!$B:$B,0)),"")</f>
        <v/>
      </c>
      <c r="AP380" s="1" t="str">
        <f>IFERROR(INDEX([1]物品基础表!$A:$A,MATCH(AO380,[1]物品基础表!$B:$B,0)),"")</f>
        <v/>
      </c>
      <c r="AS380" s="1" t="str">
        <f>IFERROR(INDEX([1]物品基础表!$A:$A,MATCH(AR380,[1]物品基础表!$B:$B,0)),"")</f>
        <v/>
      </c>
      <c r="AV380" s="1" t="str">
        <f>IFERROR(INDEX([1]物品基础表!$A:$A,MATCH(AU380,[1]物品基础表!$B:$B,0)),"")</f>
        <v/>
      </c>
      <c r="AY380" s="1" t="str">
        <f>IFERROR(INDEX([1]物品基础表!$A:$A,MATCH(AX380,[1]物品基础表!$B:$B,0)),"")</f>
        <v/>
      </c>
      <c r="BB380" s="1" t="str">
        <f>IFERROR(INDEX([1]物品基础表!$A:$A,MATCH(BA380,[1]物品基础表!$B:$B,0)),"")</f>
        <v/>
      </c>
      <c r="BE380" s="1" t="str">
        <f>IFERROR(INDEX([1]物品基础表!$A:$A,MATCH(BD380,[1]物品基础表!$B:$B,0)),"")</f>
        <v/>
      </c>
      <c r="BH380" s="1" t="str">
        <f>IFERROR(INDEX([1]物品基础表!$A:$A,MATCH(BG380,[1]物品基础表!$B:$B,0)),"")</f>
        <v/>
      </c>
      <c r="BK380" s="1" t="str">
        <f>IFERROR(INDEX([1]物品基础表!$A:$A,MATCH(BJ380,[1]物品基础表!$B:$B,0)),"")</f>
        <v/>
      </c>
    </row>
    <row r="381" spans="1:63">
      <c r="A381" s="39" t="str">
        <f>INDEX([2]活动总表!$A$8:$A$429,MATCH(B381,[2]活动总表!$B$8:$B$429,0))</f>
        <v>龙抬头-转盘（61+天）</v>
      </c>
      <c r="B381" s="40">
        <v>923</v>
      </c>
      <c r="C381" s="40">
        <v>7</v>
      </c>
      <c r="D381" s="40"/>
      <c r="E381" s="40"/>
      <c r="F381" s="40" t="s">
        <v>893</v>
      </c>
      <c r="G381" s="40">
        <v>3</v>
      </c>
      <c r="H381" s="40"/>
      <c r="I381" s="40"/>
      <c r="J381" s="57"/>
      <c r="K381" s="1">
        <v>200015</v>
      </c>
      <c r="L381" s="1" t="str">
        <f>IFERROR(INDEX([1]物品基础表!$A:$A,MATCH(K381,[1]物品基础表!$B:$B,0)),"")</f>
        <v>特戒碎片</v>
      </c>
      <c r="M381" s="1">
        <v>120</v>
      </c>
      <c r="O381" s="1" t="str">
        <f>IFERROR(INDEX([1]物品基础表!$A:$A,MATCH(N381,[1]物品基础表!$B:$B,0)),"")</f>
        <v/>
      </c>
      <c r="R381" s="1" t="str">
        <f>IFERROR(INDEX([1]物品基础表!$A:$A,MATCH(Q381,[1]物品基础表!$B:$B,0)),"")</f>
        <v/>
      </c>
      <c r="U381" s="1" t="str">
        <f>IFERROR(INDEX([1]物品基础表!$A:$A,MATCH(T381,[1]物品基础表!$B:$B,0)),"")</f>
        <v/>
      </c>
      <c r="X381" s="1" t="str">
        <f>IFERROR(INDEX([1]物品基础表!$A:$A,MATCH(W381,[1]物品基础表!$B:$B,0)),"")</f>
        <v/>
      </c>
      <c r="AA381" s="1" t="str">
        <f>IFERROR(INDEX([1]物品基础表!$A:$A,MATCH(Z381,[1]物品基础表!$B:$B,0)),"")</f>
        <v/>
      </c>
      <c r="AD381" s="1" t="str">
        <f>IFERROR(INDEX([1]物品基础表!$A:$A,MATCH(AC381,[1]物品基础表!$B:$B,0)),"")</f>
        <v/>
      </c>
      <c r="AG381" s="1" t="str">
        <f>IFERROR(INDEX([1]物品基础表!$A:$A,MATCH(AF381,[1]物品基础表!$B:$B,0)),"")</f>
        <v/>
      </c>
      <c r="AJ381" s="1" t="str">
        <f>IFERROR(INDEX([1]物品基础表!$A:$A,MATCH(AI381,[1]物品基础表!$B:$B,0)),"")</f>
        <v/>
      </c>
      <c r="AM381" s="1" t="str">
        <f>IFERROR(INDEX([1]物品基础表!$A:$A,MATCH(AL381,[1]物品基础表!$B:$B,0)),"")</f>
        <v/>
      </c>
      <c r="AP381" s="1" t="str">
        <f>IFERROR(INDEX([1]物品基础表!$A:$A,MATCH(AO381,[1]物品基础表!$B:$B,0)),"")</f>
        <v/>
      </c>
      <c r="AS381" s="1" t="str">
        <f>IFERROR(INDEX([1]物品基础表!$A:$A,MATCH(AR381,[1]物品基础表!$B:$B,0)),"")</f>
        <v/>
      </c>
      <c r="AV381" s="1" t="str">
        <f>IFERROR(INDEX([1]物品基础表!$A:$A,MATCH(AU381,[1]物品基础表!$B:$B,0)),"")</f>
        <v/>
      </c>
      <c r="AY381" s="1" t="str">
        <f>IFERROR(INDEX([1]物品基础表!$A:$A,MATCH(AX381,[1]物品基础表!$B:$B,0)),"")</f>
        <v/>
      </c>
      <c r="BB381" s="1" t="str">
        <f>IFERROR(INDEX([1]物品基础表!$A:$A,MATCH(BA381,[1]物品基础表!$B:$B,0)),"")</f>
        <v/>
      </c>
      <c r="BE381" s="1" t="str">
        <f>IFERROR(INDEX([1]物品基础表!$A:$A,MATCH(BD381,[1]物品基础表!$B:$B,0)),"")</f>
        <v/>
      </c>
      <c r="BH381" s="1" t="str">
        <f>IFERROR(INDEX([1]物品基础表!$A:$A,MATCH(BG381,[1]物品基础表!$B:$B,0)),"")</f>
        <v/>
      </c>
      <c r="BK381" s="1" t="str">
        <f>IFERROR(INDEX([1]物品基础表!$A:$A,MATCH(BJ381,[1]物品基础表!$B:$B,0)),"")</f>
        <v/>
      </c>
    </row>
    <row r="382" spans="1:63">
      <c r="A382" s="39" t="str">
        <f>INDEX([2]活动总表!$A$8:$A$429,MATCH(B382,[2]活动总表!$B$8:$B$429,0))</f>
        <v>龙抬头-转盘（61+天）</v>
      </c>
      <c r="B382" s="40">
        <v>923</v>
      </c>
      <c r="C382" s="40">
        <v>8</v>
      </c>
      <c r="D382" s="40"/>
      <c r="E382" s="40"/>
      <c r="F382" s="40" t="s">
        <v>892</v>
      </c>
      <c r="G382" s="40">
        <v>3</v>
      </c>
      <c r="H382" s="40"/>
      <c r="I382" s="40"/>
      <c r="J382" s="57"/>
      <c r="K382" s="1">
        <v>200213</v>
      </c>
      <c r="L382" s="1" t="str">
        <f>IFERROR(INDEX([1]物品基础表!$A:$A,MATCH(K382,[1]物品基础表!$B:$B,0)),"")</f>
        <v>烈焰印记爆裂技能书</v>
      </c>
      <c r="M382" s="1">
        <v>1</v>
      </c>
      <c r="O382" s="1" t="str">
        <f>IFERROR(INDEX([1]物品基础表!$A:$A,MATCH(N382,[1]物品基础表!$B:$B,0)),"")</f>
        <v/>
      </c>
      <c r="R382" s="1" t="str">
        <f>IFERROR(INDEX([1]物品基础表!$A:$A,MATCH(Q382,[1]物品基础表!$B:$B,0)),"")</f>
        <v/>
      </c>
      <c r="U382" s="1" t="str">
        <f>IFERROR(INDEX([1]物品基础表!$A:$A,MATCH(T382,[1]物品基础表!$B:$B,0)),"")</f>
        <v/>
      </c>
      <c r="X382" s="1" t="str">
        <f>IFERROR(INDEX([1]物品基础表!$A:$A,MATCH(W382,[1]物品基础表!$B:$B,0)),"")</f>
        <v/>
      </c>
      <c r="AA382" s="1" t="str">
        <f>IFERROR(INDEX([1]物品基础表!$A:$A,MATCH(Z382,[1]物品基础表!$B:$B,0)),"")</f>
        <v/>
      </c>
      <c r="AD382" s="1" t="str">
        <f>IFERROR(INDEX([1]物品基础表!$A:$A,MATCH(AC382,[1]物品基础表!$B:$B,0)),"")</f>
        <v/>
      </c>
      <c r="AG382" s="1" t="str">
        <f>IFERROR(INDEX([1]物品基础表!$A:$A,MATCH(AF382,[1]物品基础表!$B:$B,0)),"")</f>
        <v/>
      </c>
      <c r="AJ382" s="1" t="str">
        <f>IFERROR(INDEX([1]物品基础表!$A:$A,MATCH(AI382,[1]物品基础表!$B:$B,0)),"")</f>
        <v/>
      </c>
      <c r="AM382" s="1" t="str">
        <f>IFERROR(INDEX([1]物品基础表!$A:$A,MATCH(AL382,[1]物品基础表!$B:$B,0)),"")</f>
        <v/>
      </c>
      <c r="AP382" s="1" t="str">
        <f>IFERROR(INDEX([1]物品基础表!$A:$A,MATCH(AO382,[1]物品基础表!$B:$B,0)),"")</f>
        <v/>
      </c>
      <c r="AS382" s="1" t="str">
        <f>IFERROR(INDEX([1]物品基础表!$A:$A,MATCH(AR382,[1]物品基础表!$B:$B,0)),"")</f>
        <v/>
      </c>
      <c r="AV382" s="1" t="str">
        <f>IFERROR(INDEX([1]物品基础表!$A:$A,MATCH(AU382,[1]物品基础表!$B:$B,0)),"")</f>
        <v/>
      </c>
      <c r="AY382" s="1" t="str">
        <f>IFERROR(INDEX([1]物品基础表!$A:$A,MATCH(AX382,[1]物品基础表!$B:$B,0)),"")</f>
        <v/>
      </c>
      <c r="BB382" s="1" t="str">
        <f>IFERROR(INDEX([1]物品基础表!$A:$A,MATCH(BA382,[1]物品基础表!$B:$B,0)),"")</f>
        <v/>
      </c>
      <c r="BE382" s="1" t="str">
        <f>IFERROR(INDEX([1]物品基础表!$A:$A,MATCH(BD382,[1]物品基础表!$B:$B,0)),"")</f>
        <v/>
      </c>
      <c r="BH382" s="1" t="str">
        <f>IFERROR(INDEX([1]物品基础表!$A:$A,MATCH(BG382,[1]物品基础表!$B:$B,0)),"")</f>
        <v/>
      </c>
      <c r="BK382" s="1" t="str">
        <f>IFERROR(INDEX([1]物品基础表!$A:$A,MATCH(BJ382,[1]物品基础表!$B:$B,0)),"")</f>
        <v/>
      </c>
    </row>
    <row r="383" spans="1:63">
      <c r="A383" s="39" t="str">
        <f>INDEX([2]活动总表!$A$8:$A$429,MATCH(B383,[2]活动总表!$B$8:$B$429,0))</f>
        <v>龙抬头-转盘（61+天）</v>
      </c>
      <c r="B383" s="40">
        <v>923</v>
      </c>
      <c r="C383" s="40">
        <v>9</v>
      </c>
      <c r="D383" s="40"/>
      <c r="E383" s="40"/>
      <c r="F383" s="40" t="s">
        <v>893</v>
      </c>
      <c r="G383" s="40">
        <v>3</v>
      </c>
      <c r="H383" s="40"/>
      <c r="I383" s="40"/>
      <c r="J383" s="57"/>
      <c r="K383" s="1">
        <v>200208</v>
      </c>
      <c r="L383" s="1" t="str">
        <f>IFERROR(INDEX([1]物品基础表!$A:$A,MATCH(K383,[1]物品基础表!$B:$B,0)),"")</f>
        <v>烈焰印记低级升级材料</v>
      </c>
      <c r="M383" s="1">
        <v>120</v>
      </c>
      <c r="O383" s="1" t="str">
        <f>IFERROR(INDEX([1]物品基础表!$A:$A,MATCH(N383,[1]物品基础表!$B:$B,0)),"")</f>
        <v/>
      </c>
      <c r="R383" s="1" t="str">
        <f>IFERROR(INDEX([1]物品基础表!$A:$A,MATCH(Q383,[1]物品基础表!$B:$B,0)),"")</f>
        <v/>
      </c>
      <c r="U383" s="1" t="str">
        <f>IFERROR(INDEX([1]物品基础表!$A:$A,MATCH(T383,[1]物品基础表!$B:$B,0)),"")</f>
        <v/>
      </c>
      <c r="X383" s="1" t="str">
        <f>IFERROR(INDEX([1]物品基础表!$A:$A,MATCH(W383,[1]物品基础表!$B:$B,0)),"")</f>
        <v/>
      </c>
      <c r="AA383" s="1" t="str">
        <f>IFERROR(INDEX([1]物品基础表!$A:$A,MATCH(Z383,[1]物品基础表!$B:$B,0)),"")</f>
        <v/>
      </c>
      <c r="AD383" s="1" t="str">
        <f>IFERROR(INDEX([1]物品基础表!$A:$A,MATCH(AC383,[1]物品基础表!$B:$B,0)),"")</f>
        <v/>
      </c>
      <c r="AG383" s="1" t="str">
        <f>IFERROR(INDEX([1]物品基础表!$A:$A,MATCH(AF383,[1]物品基础表!$B:$B,0)),"")</f>
        <v/>
      </c>
      <c r="AJ383" s="1" t="str">
        <f>IFERROR(INDEX([1]物品基础表!$A:$A,MATCH(AI383,[1]物品基础表!$B:$B,0)),"")</f>
        <v/>
      </c>
      <c r="AM383" s="1" t="str">
        <f>IFERROR(INDEX([1]物品基础表!$A:$A,MATCH(AL383,[1]物品基础表!$B:$B,0)),"")</f>
        <v/>
      </c>
      <c r="AP383" s="1" t="str">
        <f>IFERROR(INDEX([1]物品基础表!$A:$A,MATCH(AO383,[1]物品基础表!$B:$B,0)),"")</f>
        <v/>
      </c>
      <c r="AS383" s="1" t="str">
        <f>IFERROR(INDEX([1]物品基础表!$A:$A,MATCH(AR383,[1]物品基础表!$B:$B,0)),"")</f>
        <v/>
      </c>
      <c r="AV383" s="1" t="str">
        <f>IFERROR(INDEX([1]物品基础表!$A:$A,MATCH(AU383,[1]物品基础表!$B:$B,0)),"")</f>
        <v/>
      </c>
      <c r="AY383" s="1" t="str">
        <f>IFERROR(INDEX([1]物品基础表!$A:$A,MATCH(AX383,[1]物品基础表!$B:$B,0)),"")</f>
        <v/>
      </c>
      <c r="BB383" s="1" t="str">
        <f>IFERROR(INDEX([1]物品基础表!$A:$A,MATCH(BA383,[1]物品基础表!$B:$B,0)),"")</f>
        <v/>
      </c>
      <c r="BE383" s="1" t="str">
        <f>IFERROR(INDEX([1]物品基础表!$A:$A,MATCH(BD383,[1]物品基础表!$B:$B,0)),"")</f>
        <v/>
      </c>
      <c r="BH383" s="1" t="str">
        <f>IFERROR(INDEX([1]物品基础表!$A:$A,MATCH(BG383,[1]物品基础表!$B:$B,0)),"")</f>
        <v/>
      </c>
      <c r="BK383" s="1" t="str">
        <f>IFERROR(INDEX([1]物品基础表!$A:$A,MATCH(BJ383,[1]物品基础表!$B:$B,0)),"")</f>
        <v/>
      </c>
    </row>
    <row r="384" spans="1:63" s="61" customFormat="1">
      <c r="A384" s="39" t="str">
        <f>INDEX([2]活动总表!$A$8:$A$429,MATCH(B384,[2]活动总表!$B$8:$B$429,0))</f>
        <v>龙抬头-转盘（61+天）</v>
      </c>
      <c r="B384" s="40">
        <v>923</v>
      </c>
      <c r="C384" s="40">
        <v>10</v>
      </c>
      <c r="D384" s="40"/>
      <c r="E384" s="40"/>
      <c r="F384" s="40" t="s">
        <v>894</v>
      </c>
      <c r="G384" s="40">
        <v>3</v>
      </c>
      <c r="H384" s="40"/>
      <c r="I384" s="40"/>
      <c r="J384" s="40"/>
      <c r="K384" s="61">
        <v>204159</v>
      </c>
      <c r="L384" s="1" t="str">
        <f>IFERROR(INDEX([1]物品基础表!$A:$A,MATCH(K384,[1]物品基础表!$B:$B,0)),"")</f>
        <v>6阶战灵装备</v>
      </c>
      <c r="M384" s="61">
        <v>1</v>
      </c>
      <c r="O384" s="1" t="str">
        <f>IFERROR(INDEX([1]物品基础表!$A:$A,MATCH(N384,[1]物品基础表!$B:$B,0)),"")</f>
        <v/>
      </c>
      <c r="R384" s="1" t="str">
        <f>IFERROR(INDEX([1]物品基础表!$A:$A,MATCH(Q384,[1]物品基础表!$B:$B,0)),"")</f>
        <v/>
      </c>
      <c r="U384" s="1" t="str">
        <f>IFERROR(INDEX([1]物品基础表!$A:$A,MATCH(T384,[1]物品基础表!$B:$B,0)),"")</f>
        <v/>
      </c>
      <c r="X384" s="1" t="str">
        <f>IFERROR(INDEX([1]物品基础表!$A:$A,MATCH(W384,[1]物品基础表!$B:$B,0)),"")</f>
        <v/>
      </c>
      <c r="AA384" s="1" t="str">
        <f>IFERROR(INDEX([1]物品基础表!$A:$A,MATCH(Z384,[1]物品基础表!$B:$B,0)),"")</f>
        <v/>
      </c>
      <c r="AD384" s="1" t="str">
        <f>IFERROR(INDEX([1]物品基础表!$A:$A,MATCH(AC384,[1]物品基础表!$B:$B,0)),"")</f>
        <v/>
      </c>
      <c r="AG384" s="1" t="str">
        <f>IFERROR(INDEX([1]物品基础表!$A:$A,MATCH(AF384,[1]物品基础表!$B:$B,0)),"")</f>
        <v/>
      </c>
      <c r="AJ384" s="1" t="str">
        <f>IFERROR(INDEX([1]物品基础表!$A:$A,MATCH(AI384,[1]物品基础表!$B:$B,0)),"")</f>
        <v/>
      </c>
      <c r="AM384" s="1" t="str">
        <f>IFERROR(INDEX([1]物品基础表!$A:$A,MATCH(AL384,[1]物品基础表!$B:$B,0)),"")</f>
        <v/>
      </c>
      <c r="AP384" s="1" t="str">
        <f>IFERROR(INDEX([1]物品基础表!$A:$A,MATCH(AO384,[1]物品基础表!$B:$B,0)),"")</f>
        <v/>
      </c>
      <c r="AS384" s="1" t="str">
        <f>IFERROR(INDEX([1]物品基础表!$A:$A,MATCH(AR384,[1]物品基础表!$B:$B,0)),"")</f>
        <v/>
      </c>
      <c r="AV384" s="1" t="str">
        <f>IFERROR(INDEX([1]物品基础表!$A:$A,MATCH(AU384,[1]物品基础表!$B:$B,0)),"")</f>
        <v/>
      </c>
      <c r="AY384" s="1" t="str">
        <f>IFERROR(INDEX([1]物品基础表!$A:$A,MATCH(AX384,[1]物品基础表!$B:$B,0)),"")</f>
        <v/>
      </c>
      <c r="BB384" s="1" t="str">
        <f>IFERROR(INDEX([1]物品基础表!$A:$A,MATCH(BA384,[1]物品基础表!$B:$B,0)),"")</f>
        <v/>
      </c>
      <c r="BE384" s="1" t="str">
        <f>IFERROR(INDEX([1]物品基础表!$A:$A,MATCH(BD384,[1]物品基础表!$B:$B,0)),"")</f>
        <v/>
      </c>
      <c r="BH384" s="1" t="str">
        <f>IFERROR(INDEX([1]物品基础表!$A:$A,MATCH(BG384,[1]物品基础表!$B:$B,0)),"")</f>
        <v/>
      </c>
      <c r="BK384" s="1" t="str">
        <f>IFERROR(INDEX([1]物品基础表!$A:$A,MATCH(BJ384,[1]物品基础表!$B:$B,0)),"")</f>
        <v/>
      </c>
    </row>
    <row r="385" spans="1:1" s="63" customFormat="1">
      <c r="A385" s="62"/>
    </row>
  </sheetData>
  <mergeCells count="19">
    <mergeCell ref="K2:M2"/>
    <mergeCell ref="BA2:BC2"/>
    <mergeCell ref="BD2:BF2"/>
    <mergeCell ref="BG2:BI2"/>
    <mergeCell ref="BJ2:BL2"/>
    <mergeCell ref="N1:BL1"/>
    <mergeCell ref="AC2:AE2"/>
    <mergeCell ref="AI2:AK2"/>
    <mergeCell ref="AL2:AN2"/>
    <mergeCell ref="AO2:AQ2"/>
    <mergeCell ref="AR2:AT2"/>
    <mergeCell ref="AU2:AW2"/>
    <mergeCell ref="AX2:AZ2"/>
    <mergeCell ref="N2:P2"/>
    <mergeCell ref="Q2:S2"/>
    <mergeCell ref="T2:V2"/>
    <mergeCell ref="W2:Y2"/>
    <mergeCell ref="Z2:AB2"/>
    <mergeCell ref="AF2:AH2"/>
  </mergeCells>
  <phoneticPr fontId="1" type="noConversion"/>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38"/>
  <sheetViews>
    <sheetView topLeftCell="B1" workbookViewId="0">
      <selection activeCell="A4" sqref="A4"/>
    </sheetView>
  </sheetViews>
  <sheetFormatPr defaultRowHeight="13.5"/>
  <cols>
    <col min="1" max="1" width="17.25" style="39" bestFit="1" customWidth="1"/>
    <col min="2" max="3" width="9" style="41"/>
    <col min="4" max="4" width="13" style="41" bestFit="1" customWidth="1"/>
    <col min="5" max="5" width="11" style="41" bestFit="1" customWidth="1"/>
    <col min="6" max="16384" width="9" style="41"/>
  </cols>
  <sheetData>
    <row r="1" spans="1:25">
      <c r="A1" s="73" t="s">
        <v>898</v>
      </c>
      <c r="F1" s="114" t="s">
        <v>906</v>
      </c>
      <c r="G1" s="115"/>
      <c r="H1" s="115"/>
      <c r="I1" s="115"/>
      <c r="J1" s="115"/>
      <c r="K1" s="115"/>
      <c r="L1" s="115"/>
      <c r="M1" s="115"/>
      <c r="N1" s="115"/>
      <c r="O1" s="115"/>
      <c r="P1" s="115"/>
      <c r="Q1" s="115"/>
      <c r="R1" s="115"/>
      <c r="S1" s="115"/>
      <c r="T1" s="115"/>
      <c r="U1" s="115"/>
      <c r="V1" s="115"/>
      <c r="W1" s="115"/>
      <c r="X1" s="115"/>
      <c r="Y1" s="116"/>
    </row>
    <row r="2" spans="1:25">
      <c r="A2" s="71" t="s">
        <v>19</v>
      </c>
      <c r="B2" s="66" t="s">
        <v>902</v>
      </c>
      <c r="C2" s="66" t="s">
        <v>903</v>
      </c>
      <c r="D2" s="66" t="s">
        <v>904</v>
      </c>
      <c r="E2" s="66" t="s">
        <v>905</v>
      </c>
      <c r="F2" s="4" t="s">
        <v>907</v>
      </c>
      <c r="G2" s="72" t="s">
        <v>730</v>
      </c>
      <c r="H2" s="4" t="s">
        <v>907</v>
      </c>
      <c r="I2" s="72" t="s">
        <v>730</v>
      </c>
      <c r="J2" s="4" t="s">
        <v>907</v>
      </c>
      <c r="K2" s="72" t="s">
        <v>730</v>
      </c>
      <c r="L2" s="4" t="s">
        <v>907</v>
      </c>
      <c r="M2" s="72" t="s">
        <v>730</v>
      </c>
      <c r="N2" s="4" t="s">
        <v>907</v>
      </c>
      <c r="O2" s="72" t="s">
        <v>730</v>
      </c>
      <c r="P2" s="4" t="s">
        <v>907</v>
      </c>
      <c r="Q2" s="72" t="s">
        <v>730</v>
      </c>
      <c r="R2" s="4" t="s">
        <v>907</v>
      </c>
      <c r="S2" s="72" t="s">
        <v>730</v>
      </c>
      <c r="T2" s="4" t="s">
        <v>907</v>
      </c>
      <c r="U2" s="72" t="s">
        <v>730</v>
      </c>
      <c r="V2" s="4" t="s">
        <v>907</v>
      </c>
      <c r="W2" s="72" t="s">
        <v>730</v>
      </c>
      <c r="X2" s="4" t="s">
        <v>907</v>
      </c>
      <c r="Y2" s="72" t="s">
        <v>730</v>
      </c>
    </row>
    <row r="3" spans="1:25">
      <c r="A3" s="39" t="str">
        <f>INDEX([2]活动总表!$A$8:$A$429,MATCH(B3,[2]活动总表!$B$8:$B$429,0))</f>
        <v>合服元宝转盘</v>
      </c>
      <c r="B3" s="40">
        <v>170</v>
      </c>
      <c r="C3" s="40">
        <v>1</v>
      </c>
      <c r="D3" s="40">
        <v>1000</v>
      </c>
      <c r="E3" s="70">
        <v>888</v>
      </c>
      <c r="F3" s="41">
        <v>8</v>
      </c>
      <c r="G3" s="41">
        <v>800</v>
      </c>
      <c r="H3" s="41">
        <v>1.2</v>
      </c>
      <c r="I3" s="41">
        <v>0</v>
      </c>
      <c r="J3" s="41">
        <v>3</v>
      </c>
      <c r="K3" s="41">
        <v>1200</v>
      </c>
      <c r="L3" s="41">
        <v>2</v>
      </c>
      <c r="M3" s="41">
        <v>3000</v>
      </c>
      <c r="N3" s="41">
        <v>2.2000000000000002</v>
      </c>
      <c r="O3" s="41">
        <v>1500</v>
      </c>
      <c r="P3" s="41">
        <v>5</v>
      </c>
      <c r="Q3" s="41">
        <v>1500</v>
      </c>
      <c r="R3" s="41">
        <v>1.8</v>
      </c>
      <c r="S3" s="41">
        <v>0</v>
      </c>
      <c r="T3" s="41">
        <v>4</v>
      </c>
      <c r="U3" s="41">
        <v>1000</v>
      </c>
      <c r="V3" s="41">
        <v>2.5</v>
      </c>
      <c r="W3" s="41">
        <v>1000</v>
      </c>
      <c r="X3" s="41">
        <v>1.5</v>
      </c>
      <c r="Y3" s="41">
        <v>0</v>
      </c>
    </row>
    <row r="4" spans="1:25">
      <c r="A4" s="39" t="str">
        <f>INDEX([2]活动总表!$A$8:$A$429,MATCH(B4,[2]活动总表!$B$8:$B$429,0))</f>
        <v>合服元宝转盘</v>
      </c>
      <c r="B4" s="40">
        <v>170</v>
      </c>
      <c r="C4" s="40">
        <v>2</v>
      </c>
      <c r="D4" s="40">
        <v>2000</v>
      </c>
      <c r="E4" s="70">
        <v>1888</v>
      </c>
      <c r="F4" s="41">
        <v>8</v>
      </c>
      <c r="G4" s="41">
        <v>0</v>
      </c>
      <c r="H4" s="41">
        <v>1.2</v>
      </c>
      <c r="I4" s="41">
        <v>0</v>
      </c>
      <c r="J4" s="41">
        <v>3</v>
      </c>
      <c r="K4" s="41">
        <v>500</v>
      </c>
      <c r="L4" s="41">
        <v>2</v>
      </c>
      <c r="M4" s="41">
        <v>2000</v>
      </c>
      <c r="N4" s="41">
        <v>2.2000000000000002</v>
      </c>
      <c r="O4" s="41">
        <v>2500</v>
      </c>
      <c r="P4" s="41">
        <v>5</v>
      </c>
      <c r="Q4" s="41">
        <v>200</v>
      </c>
      <c r="R4" s="41">
        <v>1.8</v>
      </c>
      <c r="S4" s="41">
        <v>2500</v>
      </c>
      <c r="T4" s="41">
        <v>4</v>
      </c>
      <c r="U4" s="41">
        <v>500</v>
      </c>
      <c r="V4" s="41">
        <v>2.5</v>
      </c>
      <c r="W4" s="41">
        <v>1800</v>
      </c>
      <c r="X4" s="41">
        <v>1.5</v>
      </c>
      <c r="Y4" s="41">
        <v>0</v>
      </c>
    </row>
    <row r="5" spans="1:25">
      <c r="A5" s="39" t="str">
        <f>INDEX([2]活动总表!$A$8:$A$429,MATCH(B5,[2]活动总表!$B$8:$B$429,0))</f>
        <v>合服元宝转盘</v>
      </c>
      <c r="B5" s="40">
        <v>170</v>
      </c>
      <c r="C5" s="40">
        <v>3</v>
      </c>
      <c r="D5" s="40">
        <v>5000</v>
      </c>
      <c r="E5" s="70">
        <v>4888</v>
      </c>
      <c r="F5" s="41">
        <v>8</v>
      </c>
      <c r="G5" s="41">
        <v>0</v>
      </c>
      <c r="H5" s="41">
        <v>1.2</v>
      </c>
      <c r="I5" s="41">
        <v>1000</v>
      </c>
      <c r="J5" s="41">
        <v>3</v>
      </c>
      <c r="K5" s="41">
        <v>0</v>
      </c>
      <c r="L5" s="41">
        <v>2</v>
      </c>
      <c r="M5" s="41">
        <v>1500</v>
      </c>
      <c r="N5" s="41">
        <v>2.2000000000000002</v>
      </c>
      <c r="O5" s="41">
        <v>1500</v>
      </c>
      <c r="P5" s="41">
        <v>5</v>
      </c>
      <c r="Q5" s="41">
        <v>0</v>
      </c>
      <c r="R5" s="41">
        <v>1.8</v>
      </c>
      <c r="S5" s="41">
        <v>2000</v>
      </c>
      <c r="T5" s="41">
        <v>4</v>
      </c>
      <c r="U5" s="41">
        <v>300</v>
      </c>
      <c r="V5" s="41">
        <v>2.5</v>
      </c>
      <c r="W5" s="41">
        <v>1500</v>
      </c>
      <c r="X5" s="41">
        <v>1.5</v>
      </c>
      <c r="Y5" s="41">
        <v>2200</v>
      </c>
    </row>
    <row r="6" spans="1:25">
      <c r="A6" s="39" t="str">
        <f>INDEX([2]活动总表!$A$8:$A$429,MATCH(B6,[2]活动总表!$B$8:$B$429,0))</f>
        <v>合服元宝转盘</v>
      </c>
      <c r="B6" s="40">
        <v>170</v>
      </c>
      <c r="C6" s="40">
        <v>4</v>
      </c>
      <c r="D6" s="40">
        <v>10000</v>
      </c>
      <c r="E6" s="70">
        <v>9888</v>
      </c>
      <c r="F6" s="41">
        <v>8</v>
      </c>
      <c r="G6" s="41">
        <v>0</v>
      </c>
      <c r="H6" s="41">
        <v>1.2</v>
      </c>
      <c r="I6" s="41">
        <v>3000</v>
      </c>
      <c r="J6" s="41">
        <v>3</v>
      </c>
      <c r="K6" s="41">
        <v>0</v>
      </c>
      <c r="L6" s="41">
        <v>2</v>
      </c>
      <c r="M6" s="41">
        <v>1500</v>
      </c>
      <c r="N6" s="41">
        <v>2.2000000000000002</v>
      </c>
      <c r="O6" s="41">
        <v>1000</v>
      </c>
      <c r="P6" s="41">
        <v>5</v>
      </c>
      <c r="Q6" s="41">
        <v>0</v>
      </c>
      <c r="R6" s="41">
        <v>1.8</v>
      </c>
      <c r="S6" s="41">
        <v>1500</v>
      </c>
      <c r="T6" s="41">
        <v>4</v>
      </c>
      <c r="U6" s="41">
        <v>0</v>
      </c>
      <c r="V6" s="41">
        <v>2.5</v>
      </c>
      <c r="W6" s="41">
        <v>0</v>
      </c>
      <c r="X6" s="41">
        <v>1.5</v>
      </c>
      <c r="Y6" s="41">
        <v>3000</v>
      </c>
    </row>
    <row r="7" spans="1:25">
      <c r="A7" s="39" t="str">
        <f>INDEX([2]活动总表!$A$8:$A$429,MATCH(B7,[2]活动总表!$B$8:$B$429,0))</f>
        <v>合服元宝转盘</v>
      </c>
      <c r="B7" s="40">
        <v>170</v>
      </c>
      <c r="C7" s="40">
        <v>5</v>
      </c>
      <c r="D7" s="40">
        <v>20000</v>
      </c>
      <c r="E7" s="70">
        <v>18888</v>
      </c>
      <c r="F7" s="41">
        <v>8</v>
      </c>
      <c r="G7" s="41">
        <v>0</v>
      </c>
      <c r="H7" s="41">
        <v>1.2</v>
      </c>
      <c r="I7" s="41">
        <v>4000</v>
      </c>
      <c r="J7" s="41">
        <v>3</v>
      </c>
      <c r="K7" s="41">
        <v>0</v>
      </c>
      <c r="L7" s="41">
        <v>2</v>
      </c>
      <c r="M7" s="41">
        <v>0</v>
      </c>
      <c r="N7" s="41">
        <v>2.2000000000000002</v>
      </c>
      <c r="O7" s="41">
        <v>0</v>
      </c>
      <c r="P7" s="41">
        <v>5</v>
      </c>
      <c r="Q7" s="41">
        <v>0</v>
      </c>
      <c r="R7" s="41">
        <v>1.8</v>
      </c>
      <c r="S7" s="41">
        <v>1000</v>
      </c>
      <c r="T7" s="41">
        <v>4</v>
      </c>
      <c r="U7" s="41">
        <v>0</v>
      </c>
      <c r="V7" s="41">
        <v>2.5</v>
      </c>
      <c r="W7" s="41">
        <v>0</v>
      </c>
      <c r="X7" s="41">
        <v>1.5</v>
      </c>
      <c r="Y7" s="41">
        <v>5000</v>
      </c>
    </row>
    <row r="8" spans="1:25">
      <c r="A8" s="39" t="str">
        <f>INDEX([2]活动总表!$A$8:$A$429,MATCH(B8,[2]活动总表!$B$8:$B$429,0))</f>
        <v>合服元宝转盘</v>
      </c>
      <c r="B8" s="40">
        <v>170</v>
      </c>
      <c r="C8" s="40">
        <v>6</v>
      </c>
      <c r="D8" s="40">
        <v>50000</v>
      </c>
      <c r="E8" s="70">
        <v>28888</v>
      </c>
      <c r="F8" s="41">
        <v>8</v>
      </c>
      <c r="G8" s="41">
        <v>0</v>
      </c>
      <c r="H8" s="41">
        <v>1.2</v>
      </c>
      <c r="I8" s="41">
        <v>4000</v>
      </c>
      <c r="J8" s="41">
        <v>3</v>
      </c>
      <c r="K8" s="41">
        <v>0</v>
      </c>
      <c r="L8" s="41">
        <v>2</v>
      </c>
      <c r="M8" s="41">
        <v>0</v>
      </c>
      <c r="N8" s="41">
        <v>2.2000000000000002</v>
      </c>
      <c r="O8" s="41">
        <v>0</v>
      </c>
      <c r="P8" s="41">
        <v>5</v>
      </c>
      <c r="Q8" s="41">
        <v>0</v>
      </c>
      <c r="R8" s="41">
        <v>1.8</v>
      </c>
      <c r="S8" s="41">
        <v>1000</v>
      </c>
      <c r="T8" s="41">
        <v>4</v>
      </c>
      <c r="U8" s="41">
        <v>0</v>
      </c>
      <c r="V8" s="41">
        <v>2.5</v>
      </c>
      <c r="W8" s="41">
        <v>0</v>
      </c>
      <c r="X8" s="41">
        <v>1.5</v>
      </c>
      <c r="Y8" s="41">
        <v>5000</v>
      </c>
    </row>
    <row r="9" spans="1:25">
      <c r="A9" s="39" t="str">
        <f>INDEX([2]活动总表!$A$8:$A$429,MATCH(B9,[2]活动总表!$B$8:$B$429,0))</f>
        <v>版本庆典元宝转盘</v>
      </c>
      <c r="B9" s="40">
        <v>312</v>
      </c>
      <c r="C9" s="40">
        <v>1</v>
      </c>
      <c r="D9" s="40">
        <v>1000</v>
      </c>
      <c r="E9" s="70">
        <v>888</v>
      </c>
      <c r="F9" s="41">
        <v>8</v>
      </c>
      <c r="G9" s="41">
        <v>800</v>
      </c>
      <c r="H9" s="41">
        <v>1.5</v>
      </c>
      <c r="I9" s="41">
        <v>0</v>
      </c>
      <c r="J9" s="41">
        <v>3</v>
      </c>
      <c r="K9" s="41">
        <v>1200</v>
      </c>
      <c r="L9" s="41">
        <v>2</v>
      </c>
      <c r="M9" s="41">
        <v>3000</v>
      </c>
      <c r="N9" s="41">
        <v>2.2000000000000002</v>
      </c>
      <c r="O9" s="41">
        <v>1000</v>
      </c>
      <c r="P9" s="41">
        <v>5</v>
      </c>
      <c r="Q9" s="41">
        <v>2000</v>
      </c>
      <c r="R9" s="41">
        <v>1.8</v>
      </c>
      <c r="S9" s="41">
        <v>0</v>
      </c>
      <c r="T9" s="41">
        <v>4</v>
      </c>
      <c r="U9" s="41">
        <v>1000</v>
      </c>
      <c r="V9" s="41">
        <v>2.5</v>
      </c>
      <c r="W9" s="41">
        <v>1000</v>
      </c>
      <c r="X9" s="41">
        <v>1.5</v>
      </c>
      <c r="Y9" s="41">
        <v>0</v>
      </c>
    </row>
    <row r="10" spans="1:25">
      <c r="A10" s="39" t="str">
        <f>INDEX([2]活动总表!$A$8:$A$429,MATCH(B10,[2]活动总表!$B$8:$B$429,0))</f>
        <v>版本庆典元宝转盘</v>
      </c>
      <c r="B10" s="40">
        <v>312</v>
      </c>
      <c r="C10" s="40">
        <v>2</v>
      </c>
      <c r="D10" s="40">
        <v>2000</v>
      </c>
      <c r="E10" s="70">
        <v>1888</v>
      </c>
      <c r="F10" s="41">
        <v>8</v>
      </c>
      <c r="G10" s="41">
        <v>0</v>
      </c>
      <c r="H10" s="41">
        <v>1.5</v>
      </c>
      <c r="I10" s="41">
        <v>0</v>
      </c>
      <c r="J10" s="41">
        <v>3</v>
      </c>
      <c r="K10" s="41">
        <v>1200</v>
      </c>
      <c r="L10" s="41">
        <v>2</v>
      </c>
      <c r="M10" s="41">
        <v>1700</v>
      </c>
      <c r="N10" s="41">
        <v>2.2000000000000002</v>
      </c>
      <c r="O10" s="41">
        <v>2500</v>
      </c>
      <c r="P10" s="41">
        <v>5</v>
      </c>
      <c r="Q10" s="41">
        <v>100</v>
      </c>
      <c r="R10" s="41">
        <v>1.8</v>
      </c>
      <c r="S10" s="41">
        <v>2500</v>
      </c>
      <c r="T10" s="41">
        <v>4</v>
      </c>
      <c r="U10" s="41">
        <v>500</v>
      </c>
      <c r="V10" s="41">
        <v>2.5</v>
      </c>
      <c r="W10" s="41">
        <v>1500</v>
      </c>
      <c r="X10" s="41">
        <v>1.5</v>
      </c>
      <c r="Y10" s="41">
        <v>0</v>
      </c>
    </row>
    <row r="11" spans="1:25">
      <c r="A11" s="39" t="str">
        <f>INDEX([2]活动总表!$A$8:$A$429,MATCH(B11,[2]活动总表!$B$8:$B$429,0))</f>
        <v>版本庆典元宝转盘</v>
      </c>
      <c r="B11" s="40">
        <v>312</v>
      </c>
      <c r="C11" s="40">
        <v>3</v>
      </c>
      <c r="D11" s="40">
        <v>5000</v>
      </c>
      <c r="E11" s="70">
        <v>4888</v>
      </c>
      <c r="F11" s="41">
        <v>8</v>
      </c>
      <c r="G11" s="41">
        <v>0</v>
      </c>
      <c r="H11" s="41">
        <v>1.5</v>
      </c>
      <c r="I11" s="41">
        <v>1500</v>
      </c>
      <c r="J11" s="41">
        <v>3</v>
      </c>
      <c r="K11" s="41">
        <v>0</v>
      </c>
      <c r="L11" s="41">
        <v>2</v>
      </c>
      <c r="M11" s="41">
        <v>1500</v>
      </c>
      <c r="N11" s="41">
        <v>2.2000000000000002</v>
      </c>
      <c r="O11" s="41">
        <v>1500</v>
      </c>
      <c r="P11" s="41">
        <v>5</v>
      </c>
      <c r="Q11" s="41">
        <v>0</v>
      </c>
      <c r="R11" s="41">
        <v>1.8</v>
      </c>
      <c r="S11" s="41">
        <v>3000</v>
      </c>
      <c r="T11" s="41">
        <v>4</v>
      </c>
      <c r="U11" s="41">
        <v>0</v>
      </c>
      <c r="V11" s="41">
        <v>2.5</v>
      </c>
      <c r="W11" s="41">
        <v>1500</v>
      </c>
      <c r="X11" s="41">
        <v>1.5</v>
      </c>
      <c r="Y11" s="41">
        <v>1000</v>
      </c>
    </row>
    <row r="12" spans="1:25">
      <c r="A12" s="39" t="str">
        <f>INDEX([2]活动总表!$A$8:$A$429,MATCH(B12,[2]活动总表!$B$8:$B$429,0))</f>
        <v>版本庆典元宝转盘</v>
      </c>
      <c r="B12" s="40">
        <v>312</v>
      </c>
      <c r="C12" s="40">
        <v>4</v>
      </c>
      <c r="D12" s="40">
        <v>10000</v>
      </c>
      <c r="E12" s="70">
        <v>9888</v>
      </c>
      <c r="F12" s="41">
        <v>8</v>
      </c>
      <c r="G12" s="41">
        <v>0</v>
      </c>
      <c r="H12" s="41">
        <v>1.5</v>
      </c>
      <c r="I12" s="41">
        <v>3000</v>
      </c>
      <c r="J12" s="41">
        <v>3</v>
      </c>
      <c r="K12" s="41">
        <v>0</v>
      </c>
      <c r="L12" s="41">
        <v>2</v>
      </c>
      <c r="M12" s="41">
        <v>1500</v>
      </c>
      <c r="N12" s="41">
        <v>2.2000000000000002</v>
      </c>
      <c r="O12" s="41">
        <v>1000</v>
      </c>
      <c r="P12" s="41">
        <v>5</v>
      </c>
      <c r="Q12" s="41">
        <v>0</v>
      </c>
      <c r="R12" s="41">
        <v>1.8</v>
      </c>
      <c r="S12" s="41">
        <v>1500</v>
      </c>
      <c r="T12" s="41">
        <v>4</v>
      </c>
      <c r="U12" s="41">
        <v>0</v>
      </c>
      <c r="V12" s="41">
        <v>2.5</v>
      </c>
      <c r="W12" s="41">
        <v>0</v>
      </c>
      <c r="X12" s="41">
        <v>1.5</v>
      </c>
      <c r="Y12" s="41">
        <v>3000</v>
      </c>
    </row>
    <row r="13" spans="1:25">
      <c r="A13" s="39" t="str">
        <f>INDEX([2]活动总表!$A$8:$A$429,MATCH(B13,[2]活动总表!$B$8:$B$429,0))</f>
        <v>版本庆典元宝转盘</v>
      </c>
      <c r="B13" s="40">
        <v>312</v>
      </c>
      <c r="C13" s="40">
        <v>5</v>
      </c>
      <c r="D13" s="40">
        <v>20000</v>
      </c>
      <c r="E13" s="70">
        <v>18888</v>
      </c>
      <c r="F13" s="41">
        <v>8</v>
      </c>
      <c r="G13" s="41">
        <v>0</v>
      </c>
      <c r="H13" s="41">
        <v>1.5</v>
      </c>
      <c r="I13" s="41">
        <v>5000</v>
      </c>
      <c r="J13" s="41">
        <v>3</v>
      </c>
      <c r="K13" s="41">
        <v>0</v>
      </c>
      <c r="L13" s="41">
        <v>2</v>
      </c>
      <c r="M13" s="41">
        <v>0</v>
      </c>
      <c r="N13" s="41">
        <v>2.2000000000000002</v>
      </c>
      <c r="O13" s="41">
        <v>0</v>
      </c>
      <c r="P13" s="41">
        <v>5</v>
      </c>
      <c r="Q13" s="41">
        <v>0</v>
      </c>
      <c r="R13" s="41">
        <v>1.8</v>
      </c>
      <c r="S13" s="41">
        <v>0</v>
      </c>
      <c r="T13" s="41">
        <v>4</v>
      </c>
      <c r="U13" s="41">
        <v>0</v>
      </c>
      <c r="V13" s="41">
        <v>2.5</v>
      </c>
      <c r="W13" s="41">
        <v>0</v>
      </c>
      <c r="X13" s="41">
        <v>1.5</v>
      </c>
      <c r="Y13" s="41">
        <v>5000</v>
      </c>
    </row>
    <row r="14" spans="1:25">
      <c r="A14" s="39" t="str">
        <f>INDEX([2]活动总表!$A$8:$A$429,MATCH(B14,[2]活动总表!$B$8:$B$429,0))</f>
        <v>战灵充值转盘</v>
      </c>
      <c r="B14" s="40">
        <v>360</v>
      </c>
      <c r="C14" s="40">
        <v>1</v>
      </c>
      <c r="D14" s="40">
        <v>1000</v>
      </c>
      <c r="E14" s="70">
        <v>888</v>
      </c>
      <c r="F14" s="41">
        <v>8</v>
      </c>
      <c r="G14" s="41">
        <v>800</v>
      </c>
      <c r="H14" s="41">
        <v>1.5</v>
      </c>
      <c r="I14" s="41">
        <v>0</v>
      </c>
      <c r="J14" s="41">
        <v>3</v>
      </c>
      <c r="K14" s="41">
        <v>1200</v>
      </c>
      <c r="L14" s="41">
        <v>2</v>
      </c>
      <c r="M14" s="41">
        <v>3000</v>
      </c>
      <c r="N14" s="41">
        <v>2.2000000000000002</v>
      </c>
      <c r="O14" s="41">
        <v>1000</v>
      </c>
      <c r="P14" s="41">
        <v>5</v>
      </c>
      <c r="Q14" s="41">
        <v>2000</v>
      </c>
      <c r="R14" s="41">
        <v>1.8</v>
      </c>
      <c r="S14" s="41">
        <v>0</v>
      </c>
      <c r="T14" s="41">
        <v>4</v>
      </c>
      <c r="U14" s="41">
        <v>1000</v>
      </c>
      <c r="V14" s="41">
        <v>2.5</v>
      </c>
      <c r="W14" s="41">
        <v>1000</v>
      </c>
      <c r="X14" s="41">
        <v>1.5</v>
      </c>
      <c r="Y14" s="41">
        <v>0</v>
      </c>
    </row>
    <row r="15" spans="1:25">
      <c r="A15" s="39" t="str">
        <f>INDEX([2]活动总表!$A$8:$A$429,MATCH(B15,[2]活动总表!$B$8:$B$429,0))</f>
        <v>战灵充值转盘</v>
      </c>
      <c r="B15" s="40">
        <v>360</v>
      </c>
      <c r="C15" s="40">
        <v>2</v>
      </c>
      <c r="D15" s="40">
        <v>2000</v>
      </c>
      <c r="E15" s="70">
        <v>1888</v>
      </c>
      <c r="F15" s="41">
        <v>8</v>
      </c>
      <c r="G15" s="41">
        <v>0</v>
      </c>
      <c r="H15" s="41">
        <v>1.5</v>
      </c>
      <c r="I15" s="41">
        <v>0</v>
      </c>
      <c r="J15" s="41">
        <v>3</v>
      </c>
      <c r="K15" s="41">
        <v>1200</v>
      </c>
      <c r="L15" s="41">
        <v>2</v>
      </c>
      <c r="M15" s="41">
        <v>1700</v>
      </c>
      <c r="N15" s="41">
        <v>2.2000000000000002</v>
      </c>
      <c r="O15" s="41">
        <v>2500</v>
      </c>
      <c r="P15" s="41">
        <v>5</v>
      </c>
      <c r="Q15" s="41">
        <v>100</v>
      </c>
      <c r="R15" s="41">
        <v>1.8</v>
      </c>
      <c r="S15" s="41">
        <v>2500</v>
      </c>
      <c r="T15" s="41">
        <v>4</v>
      </c>
      <c r="U15" s="41">
        <v>500</v>
      </c>
      <c r="V15" s="41">
        <v>2.5</v>
      </c>
      <c r="W15" s="41">
        <v>1500</v>
      </c>
      <c r="X15" s="41">
        <v>1.5</v>
      </c>
      <c r="Y15" s="41">
        <v>0</v>
      </c>
    </row>
    <row r="16" spans="1:25">
      <c r="A16" s="39" t="str">
        <f>INDEX([2]活动总表!$A$8:$A$429,MATCH(B16,[2]活动总表!$B$8:$B$429,0))</f>
        <v>战灵充值转盘</v>
      </c>
      <c r="B16" s="40">
        <v>360</v>
      </c>
      <c r="C16" s="40">
        <v>3</v>
      </c>
      <c r="D16" s="40">
        <v>5000</v>
      </c>
      <c r="E16" s="70">
        <v>4888</v>
      </c>
      <c r="F16" s="41">
        <v>8</v>
      </c>
      <c r="G16" s="41">
        <v>0</v>
      </c>
      <c r="H16" s="41">
        <v>1.5</v>
      </c>
      <c r="I16" s="41">
        <v>1500</v>
      </c>
      <c r="J16" s="41">
        <v>3</v>
      </c>
      <c r="K16" s="41">
        <v>0</v>
      </c>
      <c r="L16" s="41">
        <v>2</v>
      </c>
      <c r="M16" s="41">
        <v>1500</v>
      </c>
      <c r="N16" s="41">
        <v>2.2000000000000002</v>
      </c>
      <c r="O16" s="41">
        <v>1500</v>
      </c>
      <c r="P16" s="41">
        <v>5</v>
      </c>
      <c r="Q16" s="41">
        <v>0</v>
      </c>
      <c r="R16" s="41">
        <v>1.8</v>
      </c>
      <c r="S16" s="41">
        <v>3000</v>
      </c>
      <c r="T16" s="41">
        <v>4</v>
      </c>
      <c r="U16" s="41">
        <v>0</v>
      </c>
      <c r="V16" s="41">
        <v>2.5</v>
      </c>
      <c r="W16" s="41">
        <v>1500</v>
      </c>
      <c r="X16" s="41">
        <v>1.5</v>
      </c>
      <c r="Y16" s="41">
        <v>1000</v>
      </c>
    </row>
    <row r="17" spans="1:25">
      <c r="A17" s="39" t="str">
        <f>INDEX([2]活动总表!$A$8:$A$429,MATCH(B17,[2]活动总表!$B$8:$B$429,0))</f>
        <v>战灵充值转盘</v>
      </c>
      <c r="B17" s="40">
        <v>360</v>
      </c>
      <c r="C17" s="40">
        <v>4</v>
      </c>
      <c r="D17" s="40">
        <v>10000</v>
      </c>
      <c r="E17" s="70">
        <v>9888</v>
      </c>
      <c r="F17" s="41">
        <v>8</v>
      </c>
      <c r="G17" s="41">
        <v>0</v>
      </c>
      <c r="H17" s="41">
        <v>1.5</v>
      </c>
      <c r="I17" s="41">
        <v>3000</v>
      </c>
      <c r="J17" s="41">
        <v>3</v>
      </c>
      <c r="K17" s="41">
        <v>0</v>
      </c>
      <c r="L17" s="41">
        <v>2</v>
      </c>
      <c r="M17" s="41">
        <v>1500</v>
      </c>
      <c r="N17" s="41">
        <v>2.2000000000000002</v>
      </c>
      <c r="O17" s="41">
        <v>1000</v>
      </c>
      <c r="P17" s="41">
        <v>5</v>
      </c>
      <c r="Q17" s="41">
        <v>0</v>
      </c>
      <c r="R17" s="41">
        <v>1.8</v>
      </c>
      <c r="S17" s="41">
        <v>1500</v>
      </c>
      <c r="T17" s="41">
        <v>4</v>
      </c>
      <c r="U17" s="41">
        <v>0</v>
      </c>
      <c r="V17" s="41">
        <v>2.5</v>
      </c>
      <c r="W17" s="41">
        <v>0</v>
      </c>
      <c r="X17" s="41">
        <v>1.5</v>
      </c>
      <c r="Y17" s="41">
        <v>3000</v>
      </c>
    </row>
    <row r="18" spans="1:25">
      <c r="A18" s="39" t="str">
        <f>INDEX([2]活动总表!$A$8:$A$429,MATCH(B18,[2]活动总表!$B$8:$B$429,0))</f>
        <v>战灵充值转盘</v>
      </c>
      <c r="B18" s="40">
        <v>360</v>
      </c>
      <c r="C18" s="40">
        <v>5</v>
      </c>
      <c r="D18" s="40">
        <v>20000</v>
      </c>
      <c r="E18" s="70">
        <v>18888</v>
      </c>
      <c r="F18" s="41">
        <v>8</v>
      </c>
      <c r="G18" s="41">
        <v>0</v>
      </c>
      <c r="H18" s="41">
        <v>1.5</v>
      </c>
      <c r="I18" s="41">
        <v>5000</v>
      </c>
      <c r="J18" s="41">
        <v>3</v>
      </c>
      <c r="K18" s="41">
        <v>0</v>
      </c>
      <c r="L18" s="41">
        <v>2</v>
      </c>
      <c r="M18" s="41">
        <v>0</v>
      </c>
      <c r="N18" s="41">
        <v>2.2000000000000002</v>
      </c>
      <c r="O18" s="41">
        <v>0</v>
      </c>
      <c r="P18" s="41">
        <v>5</v>
      </c>
      <c r="Q18" s="41">
        <v>0</v>
      </c>
      <c r="R18" s="41">
        <v>1.8</v>
      </c>
      <c r="S18" s="41">
        <v>0</v>
      </c>
      <c r="T18" s="41">
        <v>4</v>
      </c>
      <c r="U18" s="41">
        <v>0</v>
      </c>
      <c r="V18" s="41">
        <v>2.5</v>
      </c>
      <c r="W18" s="41">
        <v>0</v>
      </c>
      <c r="X18" s="41">
        <v>1.5</v>
      </c>
      <c r="Y18" s="41">
        <v>5000</v>
      </c>
    </row>
    <row r="19" spans="1:25">
      <c r="A19" s="39" t="str">
        <f>INDEX([2]活动总表!$A$8:$A$429,MATCH(B19,[2]活动总表!$B$8:$B$429,0))</f>
        <v>谁与争锋元宝转盘</v>
      </c>
      <c r="B19" s="40">
        <v>507</v>
      </c>
      <c r="C19" s="40">
        <v>1</v>
      </c>
      <c r="D19" s="40">
        <v>1000</v>
      </c>
      <c r="E19" s="40">
        <v>888</v>
      </c>
      <c r="F19" s="41">
        <v>8</v>
      </c>
      <c r="G19" s="41">
        <v>800</v>
      </c>
      <c r="H19" s="41">
        <v>1.5</v>
      </c>
      <c r="I19" s="41">
        <v>0</v>
      </c>
      <c r="J19" s="41">
        <v>3</v>
      </c>
      <c r="K19" s="41">
        <v>1200</v>
      </c>
      <c r="L19" s="41">
        <v>2</v>
      </c>
      <c r="M19" s="41">
        <v>3000</v>
      </c>
      <c r="N19" s="41">
        <v>2.2000000000000002</v>
      </c>
      <c r="O19" s="41">
        <v>1000</v>
      </c>
      <c r="P19" s="41">
        <v>5</v>
      </c>
      <c r="Q19" s="41">
        <v>2000</v>
      </c>
      <c r="R19" s="41">
        <v>1.8</v>
      </c>
      <c r="S19" s="41">
        <v>0</v>
      </c>
      <c r="T19" s="41">
        <v>4</v>
      </c>
      <c r="U19" s="41">
        <v>1000</v>
      </c>
      <c r="V19" s="41">
        <v>2.5</v>
      </c>
      <c r="W19" s="41">
        <v>1000</v>
      </c>
      <c r="X19" s="41">
        <v>1.5</v>
      </c>
      <c r="Y19" s="41">
        <v>0</v>
      </c>
    </row>
    <row r="20" spans="1:25">
      <c r="A20" s="39" t="str">
        <f>INDEX([2]活动总表!$A$8:$A$429,MATCH(B20,[2]活动总表!$B$8:$B$429,0))</f>
        <v>谁与争锋元宝转盘</v>
      </c>
      <c r="B20" s="40">
        <v>507</v>
      </c>
      <c r="C20" s="40">
        <v>2</v>
      </c>
      <c r="D20" s="40">
        <v>2000</v>
      </c>
      <c r="E20" s="40">
        <v>1888</v>
      </c>
      <c r="F20" s="41">
        <v>8</v>
      </c>
      <c r="G20" s="41">
        <v>0</v>
      </c>
      <c r="H20" s="41">
        <v>1.5</v>
      </c>
      <c r="I20" s="41">
        <v>0</v>
      </c>
      <c r="J20" s="41">
        <v>3</v>
      </c>
      <c r="K20" s="41">
        <v>1200</v>
      </c>
      <c r="L20" s="41">
        <v>2</v>
      </c>
      <c r="M20" s="41">
        <v>1700</v>
      </c>
      <c r="N20" s="41">
        <v>2.2000000000000002</v>
      </c>
      <c r="O20" s="41">
        <v>2500</v>
      </c>
      <c r="P20" s="41">
        <v>5</v>
      </c>
      <c r="Q20" s="41">
        <v>100</v>
      </c>
      <c r="R20" s="41">
        <v>1.8</v>
      </c>
      <c r="S20" s="41">
        <v>2500</v>
      </c>
      <c r="T20" s="41">
        <v>4</v>
      </c>
      <c r="U20" s="41">
        <v>500</v>
      </c>
      <c r="V20" s="41">
        <v>2.5</v>
      </c>
      <c r="W20" s="41">
        <v>1500</v>
      </c>
      <c r="X20" s="41">
        <v>1.5</v>
      </c>
      <c r="Y20" s="41">
        <v>0</v>
      </c>
    </row>
    <row r="21" spans="1:25">
      <c r="A21" s="39" t="str">
        <f>INDEX([2]活动总表!$A$8:$A$429,MATCH(B21,[2]活动总表!$B$8:$B$429,0))</f>
        <v>谁与争锋元宝转盘</v>
      </c>
      <c r="B21" s="40">
        <v>507</v>
      </c>
      <c r="C21" s="40">
        <v>3</v>
      </c>
      <c r="D21" s="40">
        <v>5000</v>
      </c>
      <c r="E21" s="40">
        <v>4888</v>
      </c>
      <c r="F21" s="41">
        <v>8</v>
      </c>
      <c r="G21" s="41">
        <v>0</v>
      </c>
      <c r="H21" s="41">
        <v>1.5</v>
      </c>
      <c r="I21" s="41">
        <v>1500</v>
      </c>
      <c r="J21" s="41">
        <v>3</v>
      </c>
      <c r="K21" s="41">
        <v>0</v>
      </c>
      <c r="L21" s="41">
        <v>2</v>
      </c>
      <c r="M21" s="41">
        <v>1500</v>
      </c>
      <c r="N21" s="41">
        <v>2.2000000000000002</v>
      </c>
      <c r="O21" s="41">
        <v>1500</v>
      </c>
      <c r="P21" s="41">
        <v>5</v>
      </c>
      <c r="Q21" s="41">
        <v>0</v>
      </c>
      <c r="R21" s="41">
        <v>1.8</v>
      </c>
      <c r="S21" s="41">
        <v>3000</v>
      </c>
      <c r="T21" s="41">
        <v>4</v>
      </c>
      <c r="U21" s="41">
        <v>0</v>
      </c>
      <c r="V21" s="41">
        <v>2.5</v>
      </c>
      <c r="W21" s="41">
        <v>1500</v>
      </c>
      <c r="X21" s="41">
        <v>1.5</v>
      </c>
      <c r="Y21" s="41">
        <v>1000</v>
      </c>
    </row>
    <row r="22" spans="1:25">
      <c r="A22" s="39" t="str">
        <f>INDEX([2]活动总表!$A$8:$A$429,MATCH(B22,[2]活动总表!$B$8:$B$429,0))</f>
        <v>谁与争锋元宝转盘</v>
      </c>
      <c r="B22" s="40">
        <v>507</v>
      </c>
      <c r="C22" s="40">
        <v>4</v>
      </c>
      <c r="D22" s="40">
        <v>10000</v>
      </c>
      <c r="E22" s="40">
        <v>9888</v>
      </c>
      <c r="F22" s="41">
        <v>8</v>
      </c>
      <c r="G22" s="41">
        <v>0</v>
      </c>
      <c r="H22" s="41">
        <v>1.5</v>
      </c>
      <c r="I22" s="41">
        <v>3000</v>
      </c>
      <c r="J22" s="41">
        <v>3</v>
      </c>
      <c r="K22" s="41">
        <v>0</v>
      </c>
      <c r="L22" s="41">
        <v>2</v>
      </c>
      <c r="M22" s="41">
        <v>1500</v>
      </c>
      <c r="N22" s="41">
        <v>2.2000000000000002</v>
      </c>
      <c r="O22" s="41">
        <v>1000</v>
      </c>
      <c r="P22" s="41">
        <v>5</v>
      </c>
      <c r="Q22" s="41">
        <v>0</v>
      </c>
      <c r="R22" s="41">
        <v>1.8</v>
      </c>
      <c r="S22" s="41">
        <v>1500</v>
      </c>
      <c r="T22" s="41">
        <v>4</v>
      </c>
      <c r="U22" s="41">
        <v>0</v>
      </c>
      <c r="V22" s="41">
        <v>2.5</v>
      </c>
      <c r="W22" s="41">
        <v>0</v>
      </c>
      <c r="X22" s="41">
        <v>1.5</v>
      </c>
      <c r="Y22" s="41">
        <v>3000</v>
      </c>
    </row>
    <row r="23" spans="1:25">
      <c r="A23" s="39" t="str">
        <f>INDEX([2]活动总表!$A$8:$A$429,MATCH(B23,[2]活动总表!$B$8:$B$429,0))</f>
        <v>谁与争锋元宝转盘</v>
      </c>
      <c r="B23" s="40">
        <v>507</v>
      </c>
      <c r="C23" s="40">
        <v>5</v>
      </c>
      <c r="D23" s="40">
        <v>20000</v>
      </c>
      <c r="E23" s="40">
        <v>18888</v>
      </c>
      <c r="F23" s="41">
        <v>8</v>
      </c>
      <c r="G23" s="41">
        <v>0</v>
      </c>
      <c r="H23" s="41">
        <v>1.5</v>
      </c>
      <c r="I23" s="41">
        <v>5000</v>
      </c>
      <c r="J23" s="41">
        <v>3</v>
      </c>
      <c r="K23" s="41">
        <v>0</v>
      </c>
      <c r="L23" s="41">
        <v>2</v>
      </c>
      <c r="M23" s="41">
        <v>0</v>
      </c>
      <c r="N23" s="41">
        <v>2.2000000000000002</v>
      </c>
      <c r="O23" s="41">
        <v>0</v>
      </c>
      <c r="P23" s="41">
        <v>5</v>
      </c>
      <c r="Q23" s="41">
        <v>0</v>
      </c>
      <c r="R23" s="41">
        <v>1.8</v>
      </c>
      <c r="S23" s="41">
        <v>0</v>
      </c>
      <c r="T23" s="41">
        <v>4</v>
      </c>
      <c r="U23" s="41">
        <v>0</v>
      </c>
      <c r="V23" s="41">
        <v>2.5</v>
      </c>
      <c r="W23" s="41">
        <v>0</v>
      </c>
      <c r="X23" s="41">
        <v>1.5</v>
      </c>
      <c r="Y23" s="41">
        <v>5000</v>
      </c>
    </row>
    <row r="24" spans="1:25">
      <c r="A24" s="39" t="str">
        <f>INDEX([2]活动总表!$A$8:$A$429,MATCH(B24,[2]活动总表!$B$8:$B$429,0))</f>
        <v>谁与争锋元宝转盘</v>
      </c>
      <c r="B24" s="40">
        <v>516</v>
      </c>
      <c r="C24" s="40">
        <v>1</v>
      </c>
      <c r="D24" s="40">
        <v>1000</v>
      </c>
      <c r="E24" s="40">
        <v>888</v>
      </c>
      <c r="F24" s="41">
        <v>8</v>
      </c>
      <c r="G24" s="41">
        <v>800</v>
      </c>
      <c r="H24" s="41">
        <v>1.5</v>
      </c>
      <c r="I24" s="41">
        <v>0</v>
      </c>
      <c r="J24" s="41">
        <v>3</v>
      </c>
      <c r="K24" s="41">
        <v>1200</v>
      </c>
      <c r="L24" s="41">
        <v>2</v>
      </c>
      <c r="M24" s="41">
        <v>3000</v>
      </c>
      <c r="N24" s="41">
        <v>2.2000000000000002</v>
      </c>
      <c r="O24" s="41">
        <v>1000</v>
      </c>
      <c r="P24" s="41">
        <v>5</v>
      </c>
      <c r="Q24" s="41">
        <v>2000</v>
      </c>
      <c r="R24" s="41">
        <v>1.8</v>
      </c>
      <c r="S24" s="41">
        <v>0</v>
      </c>
      <c r="T24" s="41">
        <v>4</v>
      </c>
      <c r="U24" s="41">
        <v>1000</v>
      </c>
      <c r="V24" s="41">
        <v>2.5</v>
      </c>
      <c r="W24" s="41">
        <v>1000</v>
      </c>
      <c r="X24" s="41">
        <v>1.5</v>
      </c>
      <c r="Y24" s="41">
        <v>0</v>
      </c>
    </row>
    <row r="25" spans="1:25">
      <c r="A25" s="39" t="str">
        <f>INDEX([2]活动总表!$A$8:$A$429,MATCH(B25,[2]活动总表!$B$8:$B$429,0))</f>
        <v>谁与争锋元宝转盘</v>
      </c>
      <c r="B25" s="40">
        <v>516</v>
      </c>
      <c r="C25" s="40">
        <v>2</v>
      </c>
      <c r="D25" s="40">
        <v>2000</v>
      </c>
      <c r="E25" s="40">
        <v>1888</v>
      </c>
      <c r="F25" s="41">
        <v>8</v>
      </c>
      <c r="G25" s="41">
        <v>0</v>
      </c>
      <c r="H25" s="41">
        <v>1.5</v>
      </c>
      <c r="I25" s="41">
        <v>0</v>
      </c>
      <c r="J25" s="41">
        <v>3</v>
      </c>
      <c r="K25" s="41">
        <v>1200</v>
      </c>
      <c r="L25" s="41">
        <v>2</v>
      </c>
      <c r="M25" s="41">
        <v>1700</v>
      </c>
      <c r="N25" s="41">
        <v>2.2000000000000002</v>
      </c>
      <c r="O25" s="41">
        <v>2500</v>
      </c>
      <c r="P25" s="41">
        <v>5</v>
      </c>
      <c r="Q25" s="41">
        <v>100</v>
      </c>
      <c r="R25" s="41">
        <v>1.8</v>
      </c>
      <c r="S25" s="41">
        <v>2500</v>
      </c>
      <c r="T25" s="41">
        <v>4</v>
      </c>
      <c r="U25" s="41">
        <v>500</v>
      </c>
      <c r="V25" s="41">
        <v>2.5</v>
      </c>
      <c r="W25" s="41">
        <v>1500</v>
      </c>
      <c r="X25" s="41">
        <v>1.5</v>
      </c>
      <c r="Y25" s="41">
        <v>0</v>
      </c>
    </row>
    <row r="26" spans="1:25">
      <c r="A26" s="39" t="str">
        <f>INDEX([2]活动总表!$A$8:$A$429,MATCH(B26,[2]活动总表!$B$8:$B$429,0))</f>
        <v>谁与争锋元宝转盘</v>
      </c>
      <c r="B26" s="40">
        <v>516</v>
      </c>
      <c r="C26" s="40">
        <v>3</v>
      </c>
      <c r="D26" s="40">
        <v>5000</v>
      </c>
      <c r="E26" s="40">
        <v>4888</v>
      </c>
      <c r="F26" s="41">
        <v>8</v>
      </c>
      <c r="G26" s="41">
        <v>0</v>
      </c>
      <c r="H26" s="41">
        <v>1.5</v>
      </c>
      <c r="I26" s="41">
        <v>1500</v>
      </c>
      <c r="J26" s="41">
        <v>3</v>
      </c>
      <c r="K26" s="41">
        <v>0</v>
      </c>
      <c r="L26" s="41">
        <v>2</v>
      </c>
      <c r="M26" s="41">
        <v>1500</v>
      </c>
      <c r="N26" s="41">
        <v>2.2000000000000002</v>
      </c>
      <c r="O26" s="41">
        <v>1500</v>
      </c>
      <c r="P26" s="41">
        <v>5</v>
      </c>
      <c r="Q26" s="41">
        <v>0</v>
      </c>
      <c r="R26" s="41">
        <v>1.8</v>
      </c>
      <c r="S26" s="41">
        <v>3000</v>
      </c>
      <c r="T26" s="41">
        <v>4</v>
      </c>
      <c r="U26" s="41">
        <v>0</v>
      </c>
      <c r="V26" s="41">
        <v>2.5</v>
      </c>
      <c r="W26" s="41">
        <v>1500</v>
      </c>
      <c r="X26" s="41">
        <v>1.5</v>
      </c>
      <c r="Y26" s="41">
        <v>1000</v>
      </c>
    </row>
    <row r="27" spans="1:25">
      <c r="A27" s="39" t="str">
        <f>INDEX([2]活动总表!$A$8:$A$429,MATCH(B27,[2]活动总表!$B$8:$B$429,0))</f>
        <v>谁与争锋元宝转盘</v>
      </c>
      <c r="B27" s="40">
        <v>516</v>
      </c>
      <c r="C27" s="40">
        <v>4</v>
      </c>
      <c r="D27" s="40">
        <v>10000</v>
      </c>
      <c r="E27" s="40">
        <v>9888</v>
      </c>
      <c r="F27" s="41">
        <v>8</v>
      </c>
      <c r="G27" s="41">
        <v>0</v>
      </c>
      <c r="H27" s="41">
        <v>1.5</v>
      </c>
      <c r="I27" s="41">
        <v>3000</v>
      </c>
      <c r="J27" s="41">
        <v>3</v>
      </c>
      <c r="K27" s="41">
        <v>0</v>
      </c>
      <c r="L27" s="41">
        <v>2</v>
      </c>
      <c r="M27" s="41">
        <v>1500</v>
      </c>
      <c r="N27" s="41">
        <v>2.2000000000000002</v>
      </c>
      <c r="O27" s="41">
        <v>1000</v>
      </c>
      <c r="P27" s="41">
        <v>5</v>
      </c>
      <c r="Q27" s="41">
        <v>0</v>
      </c>
      <c r="R27" s="41">
        <v>1.8</v>
      </c>
      <c r="S27" s="41">
        <v>1500</v>
      </c>
      <c r="T27" s="41">
        <v>4</v>
      </c>
      <c r="U27" s="41">
        <v>0</v>
      </c>
      <c r="V27" s="41">
        <v>2.5</v>
      </c>
      <c r="W27" s="41">
        <v>0</v>
      </c>
      <c r="X27" s="41">
        <v>1.5</v>
      </c>
      <c r="Y27" s="41">
        <v>3000</v>
      </c>
    </row>
    <row r="28" spans="1:25">
      <c r="A28" s="39" t="str">
        <f>INDEX([2]活动总表!$A$8:$A$429,MATCH(B28,[2]活动总表!$B$8:$B$429,0))</f>
        <v>谁与争锋元宝转盘</v>
      </c>
      <c r="B28" s="40">
        <v>516</v>
      </c>
      <c r="C28" s="40">
        <v>5</v>
      </c>
      <c r="D28" s="40">
        <v>20000</v>
      </c>
      <c r="E28" s="40">
        <v>18888</v>
      </c>
      <c r="F28" s="41">
        <v>8</v>
      </c>
      <c r="G28" s="41">
        <v>0</v>
      </c>
      <c r="H28" s="41">
        <v>1.5</v>
      </c>
      <c r="I28" s="41">
        <v>5000</v>
      </c>
      <c r="J28" s="41">
        <v>3</v>
      </c>
      <c r="K28" s="41">
        <v>0</v>
      </c>
      <c r="L28" s="41">
        <v>2</v>
      </c>
      <c r="M28" s="41">
        <v>0</v>
      </c>
      <c r="N28" s="41">
        <v>2.2000000000000002</v>
      </c>
      <c r="O28" s="41">
        <v>0</v>
      </c>
      <c r="P28" s="41">
        <v>5</v>
      </c>
      <c r="Q28" s="41">
        <v>0</v>
      </c>
      <c r="R28" s="41">
        <v>1.8</v>
      </c>
      <c r="S28" s="41">
        <v>0</v>
      </c>
      <c r="T28" s="41">
        <v>4</v>
      </c>
      <c r="U28" s="41">
        <v>0</v>
      </c>
      <c r="V28" s="41">
        <v>2.5</v>
      </c>
      <c r="W28" s="41">
        <v>0</v>
      </c>
      <c r="X28" s="41">
        <v>1.5</v>
      </c>
      <c r="Y28" s="41">
        <v>5000</v>
      </c>
    </row>
    <row r="29" spans="1:25">
      <c r="A29" s="39" t="str">
        <f>INDEX([2]活动总表!$A$8:$A$429,MATCH(B29,[2]活动总表!$B$8:$B$429,0))</f>
        <v>谁与争锋元宝转盘</v>
      </c>
      <c r="B29" s="40">
        <v>807</v>
      </c>
      <c r="C29" s="40">
        <v>1</v>
      </c>
      <c r="D29" s="40">
        <v>1000</v>
      </c>
      <c r="E29" s="40">
        <v>888</v>
      </c>
      <c r="F29" s="41">
        <v>8</v>
      </c>
      <c r="G29" s="41">
        <v>800</v>
      </c>
      <c r="H29" s="41">
        <v>1.5</v>
      </c>
      <c r="I29" s="41">
        <v>0</v>
      </c>
      <c r="J29" s="41">
        <v>3</v>
      </c>
      <c r="K29" s="41">
        <v>1200</v>
      </c>
      <c r="L29" s="41">
        <v>2</v>
      </c>
      <c r="M29" s="41">
        <v>3000</v>
      </c>
      <c r="N29" s="41">
        <v>2.2000000000000002</v>
      </c>
      <c r="O29" s="41">
        <v>1000</v>
      </c>
      <c r="P29" s="41">
        <v>5</v>
      </c>
      <c r="Q29" s="41">
        <v>2000</v>
      </c>
      <c r="R29" s="41">
        <v>1.8</v>
      </c>
      <c r="S29" s="41">
        <v>0</v>
      </c>
      <c r="T29" s="41">
        <v>4</v>
      </c>
      <c r="U29" s="41">
        <v>1000</v>
      </c>
      <c r="V29" s="41">
        <v>2.5</v>
      </c>
      <c r="W29" s="41">
        <v>1000</v>
      </c>
      <c r="X29" s="41">
        <v>1.5</v>
      </c>
      <c r="Y29" s="41">
        <v>0</v>
      </c>
    </row>
    <row r="30" spans="1:25">
      <c r="A30" s="39" t="str">
        <f>INDEX([2]活动总表!$A$8:$A$429,MATCH(B30,[2]活动总表!$B$8:$B$429,0))</f>
        <v>谁与争锋元宝转盘</v>
      </c>
      <c r="B30" s="40">
        <v>807</v>
      </c>
      <c r="C30" s="40">
        <v>2</v>
      </c>
      <c r="D30" s="40">
        <v>2000</v>
      </c>
      <c r="E30" s="40">
        <v>1888</v>
      </c>
      <c r="F30" s="41">
        <v>8</v>
      </c>
      <c r="G30" s="41">
        <v>0</v>
      </c>
      <c r="H30" s="41">
        <v>1.5</v>
      </c>
      <c r="I30" s="41">
        <v>0</v>
      </c>
      <c r="J30" s="41">
        <v>3</v>
      </c>
      <c r="K30" s="41">
        <v>1200</v>
      </c>
      <c r="L30" s="41">
        <v>2</v>
      </c>
      <c r="M30" s="41">
        <v>1700</v>
      </c>
      <c r="N30" s="41">
        <v>2.2000000000000002</v>
      </c>
      <c r="O30" s="41">
        <v>2500</v>
      </c>
      <c r="P30" s="41">
        <v>5</v>
      </c>
      <c r="Q30" s="41">
        <v>100</v>
      </c>
      <c r="R30" s="41">
        <v>1.8</v>
      </c>
      <c r="S30" s="41">
        <v>2500</v>
      </c>
      <c r="T30" s="41">
        <v>4</v>
      </c>
      <c r="U30" s="41">
        <v>500</v>
      </c>
      <c r="V30" s="41">
        <v>2.5</v>
      </c>
      <c r="W30" s="41">
        <v>1500</v>
      </c>
      <c r="X30" s="41">
        <v>1.5</v>
      </c>
      <c r="Y30" s="41">
        <v>0</v>
      </c>
    </row>
    <row r="31" spans="1:25">
      <c r="A31" s="39" t="str">
        <f>INDEX([2]活动总表!$A$8:$A$429,MATCH(B31,[2]活动总表!$B$8:$B$429,0))</f>
        <v>谁与争锋元宝转盘</v>
      </c>
      <c r="B31" s="40">
        <v>807</v>
      </c>
      <c r="C31" s="40">
        <v>3</v>
      </c>
      <c r="D31" s="40">
        <v>5000</v>
      </c>
      <c r="E31" s="40">
        <v>4888</v>
      </c>
      <c r="F31" s="41">
        <v>8</v>
      </c>
      <c r="G31" s="41">
        <v>0</v>
      </c>
      <c r="H31" s="41">
        <v>1.5</v>
      </c>
      <c r="I31" s="41">
        <v>1500</v>
      </c>
      <c r="J31" s="41">
        <v>3</v>
      </c>
      <c r="K31" s="41">
        <v>0</v>
      </c>
      <c r="L31" s="41">
        <v>2</v>
      </c>
      <c r="M31" s="41">
        <v>1500</v>
      </c>
      <c r="N31" s="41">
        <v>2.2000000000000002</v>
      </c>
      <c r="O31" s="41">
        <v>1500</v>
      </c>
      <c r="P31" s="41">
        <v>5</v>
      </c>
      <c r="Q31" s="41">
        <v>0</v>
      </c>
      <c r="R31" s="41">
        <v>1.8</v>
      </c>
      <c r="S31" s="41">
        <v>3000</v>
      </c>
      <c r="T31" s="41">
        <v>4</v>
      </c>
      <c r="U31" s="41">
        <v>0</v>
      </c>
      <c r="V31" s="41">
        <v>2.5</v>
      </c>
      <c r="W31" s="41">
        <v>1500</v>
      </c>
      <c r="X31" s="41">
        <v>1.5</v>
      </c>
      <c r="Y31" s="41">
        <v>1000</v>
      </c>
    </row>
    <row r="32" spans="1:25">
      <c r="A32" s="39" t="str">
        <f>INDEX([2]活动总表!$A$8:$A$429,MATCH(B32,[2]活动总表!$B$8:$B$429,0))</f>
        <v>谁与争锋元宝转盘</v>
      </c>
      <c r="B32" s="40">
        <v>807</v>
      </c>
      <c r="C32" s="40">
        <v>4</v>
      </c>
      <c r="D32" s="40">
        <v>10000</v>
      </c>
      <c r="E32" s="40">
        <v>9888</v>
      </c>
      <c r="F32" s="41">
        <v>8</v>
      </c>
      <c r="G32" s="41">
        <v>0</v>
      </c>
      <c r="H32" s="41">
        <v>1.5</v>
      </c>
      <c r="I32" s="41">
        <v>3000</v>
      </c>
      <c r="J32" s="41">
        <v>3</v>
      </c>
      <c r="K32" s="41">
        <v>0</v>
      </c>
      <c r="L32" s="41">
        <v>2</v>
      </c>
      <c r="M32" s="41">
        <v>1500</v>
      </c>
      <c r="N32" s="41">
        <v>2.2000000000000002</v>
      </c>
      <c r="O32" s="41">
        <v>1000</v>
      </c>
      <c r="P32" s="41">
        <v>5</v>
      </c>
      <c r="Q32" s="41">
        <v>0</v>
      </c>
      <c r="R32" s="41">
        <v>1.8</v>
      </c>
      <c r="S32" s="41">
        <v>1500</v>
      </c>
      <c r="T32" s="41">
        <v>4</v>
      </c>
      <c r="U32" s="41">
        <v>0</v>
      </c>
      <c r="V32" s="41">
        <v>2.5</v>
      </c>
      <c r="W32" s="41">
        <v>0</v>
      </c>
      <c r="X32" s="41">
        <v>1.5</v>
      </c>
      <c r="Y32" s="41">
        <v>3000</v>
      </c>
    </row>
    <row r="33" spans="1:25">
      <c r="A33" s="39" t="str">
        <f>INDEX([2]活动总表!$A$8:$A$429,MATCH(B33,[2]活动总表!$B$8:$B$429,0))</f>
        <v>谁与争锋元宝转盘</v>
      </c>
      <c r="B33" s="40">
        <v>807</v>
      </c>
      <c r="C33" s="40">
        <v>5</v>
      </c>
      <c r="D33" s="40">
        <v>20000</v>
      </c>
      <c r="E33" s="40">
        <v>18888</v>
      </c>
      <c r="F33" s="41">
        <v>8</v>
      </c>
      <c r="G33" s="41">
        <v>0</v>
      </c>
      <c r="H33" s="41">
        <v>1.5</v>
      </c>
      <c r="I33" s="41">
        <v>5000</v>
      </c>
      <c r="J33" s="41">
        <v>3</v>
      </c>
      <c r="K33" s="41">
        <v>0</v>
      </c>
      <c r="L33" s="41">
        <v>2</v>
      </c>
      <c r="M33" s="41">
        <v>0</v>
      </c>
      <c r="N33" s="41">
        <v>2.2000000000000002</v>
      </c>
      <c r="O33" s="41">
        <v>0</v>
      </c>
      <c r="P33" s="41">
        <v>5</v>
      </c>
      <c r="Q33" s="41">
        <v>0</v>
      </c>
      <c r="R33" s="41">
        <v>1.8</v>
      </c>
      <c r="S33" s="41">
        <v>0</v>
      </c>
      <c r="T33" s="41">
        <v>4</v>
      </c>
      <c r="U33" s="41">
        <v>0</v>
      </c>
      <c r="V33" s="41">
        <v>2.5</v>
      </c>
      <c r="W33" s="41">
        <v>0</v>
      </c>
      <c r="X33" s="41">
        <v>1.5</v>
      </c>
      <c r="Y33" s="41">
        <v>5000</v>
      </c>
    </row>
    <row r="34" spans="1:25">
      <c r="A34" s="39" t="str">
        <f>INDEX([2]活动总表!$A$8:$A$429,MATCH(B34,[2]活动总表!$B$8:$B$429,0))</f>
        <v>谁与争锋元宝转盘</v>
      </c>
      <c r="B34" s="40">
        <v>815</v>
      </c>
      <c r="C34" s="40">
        <v>1</v>
      </c>
      <c r="D34" s="40">
        <v>1000</v>
      </c>
      <c r="E34" s="40">
        <v>888</v>
      </c>
      <c r="F34" s="41">
        <v>8</v>
      </c>
      <c r="G34" s="41">
        <v>800</v>
      </c>
      <c r="H34" s="41">
        <v>1.5</v>
      </c>
      <c r="I34" s="41">
        <v>0</v>
      </c>
      <c r="J34" s="41">
        <v>3</v>
      </c>
      <c r="K34" s="41">
        <v>1200</v>
      </c>
      <c r="L34" s="41">
        <v>2</v>
      </c>
      <c r="M34" s="41">
        <v>3000</v>
      </c>
      <c r="N34" s="41">
        <v>2.2000000000000002</v>
      </c>
      <c r="O34" s="41">
        <v>1000</v>
      </c>
      <c r="P34" s="41">
        <v>5</v>
      </c>
      <c r="Q34" s="41">
        <v>2000</v>
      </c>
      <c r="R34" s="41">
        <v>1.8</v>
      </c>
      <c r="S34" s="41">
        <v>0</v>
      </c>
      <c r="T34" s="41">
        <v>4</v>
      </c>
      <c r="U34" s="41">
        <v>1000</v>
      </c>
      <c r="V34" s="41">
        <v>2.5</v>
      </c>
      <c r="W34" s="41">
        <v>1000</v>
      </c>
      <c r="X34" s="41">
        <v>1.5</v>
      </c>
      <c r="Y34" s="41">
        <v>0</v>
      </c>
    </row>
    <row r="35" spans="1:25">
      <c r="A35" s="39" t="str">
        <f>INDEX([2]活动总表!$A$8:$A$429,MATCH(B35,[2]活动总表!$B$8:$B$429,0))</f>
        <v>谁与争锋元宝转盘</v>
      </c>
      <c r="B35" s="40">
        <v>815</v>
      </c>
      <c r="C35" s="40">
        <v>2</v>
      </c>
      <c r="D35" s="40">
        <v>2000</v>
      </c>
      <c r="E35" s="40">
        <v>1888</v>
      </c>
      <c r="F35" s="41">
        <v>8</v>
      </c>
      <c r="G35" s="41">
        <v>0</v>
      </c>
      <c r="H35" s="41">
        <v>1.5</v>
      </c>
      <c r="I35" s="41">
        <v>0</v>
      </c>
      <c r="J35" s="41">
        <v>3</v>
      </c>
      <c r="K35" s="41">
        <v>1200</v>
      </c>
      <c r="L35" s="41">
        <v>2</v>
      </c>
      <c r="M35" s="41">
        <v>1700</v>
      </c>
      <c r="N35" s="41">
        <v>2.2000000000000002</v>
      </c>
      <c r="O35" s="41">
        <v>2500</v>
      </c>
      <c r="P35" s="41">
        <v>5</v>
      </c>
      <c r="Q35" s="41">
        <v>100</v>
      </c>
      <c r="R35" s="41">
        <v>1.8</v>
      </c>
      <c r="S35" s="41">
        <v>2500</v>
      </c>
      <c r="T35" s="41">
        <v>4</v>
      </c>
      <c r="U35" s="41">
        <v>500</v>
      </c>
      <c r="V35" s="41">
        <v>2.5</v>
      </c>
      <c r="W35" s="41">
        <v>1500</v>
      </c>
      <c r="X35" s="41">
        <v>1.5</v>
      </c>
      <c r="Y35" s="41">
        <v>0</v>
      </c>
    </row>
    <row r="36" spans="1:25">
      <c r="A36" s="39" t="str">
        <f>INDEX([2]活动总表!$A$8:$A$429,MATCH(B36,[2]活动总表!$B$8:$B$429,0))</f>
        <v>谁与争锋元宝转盘</v>
      </c>
      <c r="B36" s="40">
        <v>815</v>
      </c>
      <c r="C36" s="40">
        <v>3</v>
      </c>
      <c r="D36" s="40">
        <v>5000</v>
      </c>
      <c r="E36" s="40">
        <v>4888</v>
      </c>
      <c r="F36" s="41">
        <v>8</v>
      </c>
      <c r="G36" s="41">
        <v>0</v>
      </c>
      <c r="H36" s="41">
        <v>1.5</v>
      </c>
      <c r="I36" s="41">
        <v>1500</v>
      </c>
      <c r="J36" s="41">
        <v>3</v>
      </c>
      <c r="K36" s="41">
        <v>0</v>
      </c>
      <c r="L36" s="41">
        <v>2</v>
      </c>
      <c r="M36" s="41">
        <v>1500</v>
      </c>
      <c r="N36" s="41">
        <v>2.2000000000000002</v>
      </c>
      <c r="O36" s="41">
        <v>1500</v>
      </c>
      <c r="P36" s="41">
        <v>5</v>
      </c>
      <c r="Q36" s="41">
        <v>0</v>
      </c>
      <c r="R36" s="41">
        <v>1.8</v>
      </c>
      <c r="S36" s="41">
        <v>3000</v>
      </c>
      <c r="T36" s="41">
        <v>4</v>
      </c>
      <c r="U36" s="41">
        <v>0</v>
      </c>
      <c r="V36" s="41">
        <v>2.5</v>
      </c>
      <c r="W36" s="41">
        <v>1500</v>
      </c>
      <c r="X36" s="41">
        <v>1.5</v>
      </c>
      <c r="Y36" s="41">
        <v>1000</v>
      </c>
    </row>
    <row r="37" spans="1:25">
      <c r="A37" s="39" t="str">
        <f>INDEX([2]活动总表!$A$8:$A$429,MATCH(B37,[2]活动总表!$B$8:$B$429,0))</f>
        <v>谁与争锋元宝转盘</v>
      </c>
      <c r="B37" s="40">
        <v>815</v>
      </c>
      <c r="C37" s="40">
        <v>4</v>
      </c>
      <c r="D37" s="40">
        <v>10000</v>
      </c>
      <c r="E37" s="40">
        <v>9888</v>
      </c>
      <c r="F37" s="41">
        <v>8</v>
      </c>
      <c r="G37" s="41">
        <v>0</v>
      </c>
      <c r="H37" s="41">
        <v>1.5</v>
      </c>
      <c r="I37" s="41">
        <v>3000</v>
      </c>
      <c r="J37" s="41">
        <v>3</v>
      </c>
      <c r="K37" s="41">
        <v>0</v>
      </c>
      <c r="L37" s="41">
        <v>2</v>
      </c>
      <c r="M37" s="41">
        <v>1500</v>
      </c>
      <c r="N37" s="41">
        <v>2.2000000000000002</v>
      </c>
      <c r="O37" s="41">
        <v>1000</v>
      </c>
      <c r="P37" s="41">
        <v>5</v>
      </c>
      <c r="Q37" s="41">
        <v>0</v>
      </c>
      <c r="R37" s="41">
        <v>1.8</v>
      </c>
      <c r="S37" s="41">
        <v>1500</v>
      </c>
      <c r="T37" s="41">
        <v>4</v>
      </c>
      <c r="U37" s="41">
        <v>0</v>
      </c>
      <c r="V37" s="41">
        <v>2.5</v>
      </c>
      <c r="W37" s="41">
        <v>0</v>
      </c>
      <c r="X37" s="41">
        <v>1.5</v>
      </c>
      <c r="Y37" s="41">
        <v>3000</v>
      </c>
    </row>
    <row r="38" spans="1:25">
      <c r="A38" s="39" t="str">
        <f>INDEX([2]活动总表!$A$8:$A$429,MATCH(B38,[2]活动总表!$B$8:$B$429,0))</f>
        <v>谁与争锋元宝转盘</v>
      </c>
      <c r="B38" s="40">
        <v>815</v>
      </c>
      <c r="C38" s="40">
        <v>5</v>
      </c>
      <c r="D38" s="40">
        <v>20000</v>
      </c>
      <c r="E38" s="40">
        <v>18888</v>
      </c>
      <c r="F38" s="41">
        <v>8</v>
      </c>
      <c r="G38" s="41">
        <v>0</v>
      </c>
      <c r="H38" s="41">
        <v>1.5</v>
      </c>
      <c r="I38" s="41">
        <v>5000</v>
      </c>
      <c r="J38" s="41">
        <v>3</v>
      </c>
      <c r="K38" s="41">
        <v>0</v>
      </c>
      <c r="L38" s="41">
        <v>2</v>
      </c>
      <c r="M38" s="41">
        <v>0</v>
      </c>
      <c r="N38" s="41">
        <v>2.2000000000000002</v>
      </c>
      <c r="O38" s="41">
        <v>0</v>
      </c>
      <c r="P38" s="41">
        <v>5</v>
      </c>
      <c r="Q38" s="41">
        <v>0</v>
      </c>
      <c r="R38" s="41">
        <v>1.8</v>
      </c>
      <c r="S38" s="41">
        <v>0</v>
      </c>
      <c r="T38" s="41">
        <v>4</v>
      </c>
      <c r="U38" s="41">
        <v>0</v>
      </c>
      <c r="V38" s="41">
        <v>2.5</v>
      </c>
      <c r="W38" s="41">
        <v>0</v>
      </c>
      <c r="X38" s="41">
        <v>1.5</v>
      </c>
      <c r="Y38" s="41">
        <v>5000</v>
      </c>
    </row>
  </sheetData>
  <mergeCells count="1">
    <mergeCell ref="F1:Y1"/>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63"/>
  <sheetViews>
    <sheetView workbookViewId="0">
      <selection activeCell="K19" sqref="K19"/>
    </sheetView>
  </sheetViews>
  <sheetFormatPr defaultRowHeight="13.5"/>
  <cols>
    <col min="1" max="1" width="20.75" style="39" bestFit="1" customWidth="1"/>
    <col min="2" max="4" width="9" style="41"/>
    <col min="5" max="6" width="13" style="41" bestFit="1" customWidth="1"/>
    <col min="7" max="7" width="9" style="41"/>
    <col min="8" max="8" width="17.25" style="41" bestFit="1" customWidth="1"/>
    <col min="9" max="10" width="9" style="41"/>
    <col min="11" max="11" width="17.25" style="41" bestFit="1" customWidth="1"/>
    <col min="12" max="16384" width="9" style="41"/>
  </cols>
  <sheetData>
    <row r="1" spans="1:12">
      <c r="G1" s="114" t="s">
        <v>35</v>
      </c>
      <c r="H1" s="115"/>
      <c r="I1" s="115"/>
      <c r="J1" s="115"/>
      <c r="K1" s="115"/>
      <c r="L1" s="116"/>
    </row>
    <row r="2" spans="1:12">
      <c r="A2" s="74" t="s">
        <v>19</v>
      </c>
      <c r="B2" s="66" t="s">
        <v>902</v>
      </c>
      <c r="C2" s="66" t="s">
        <v>65</v>
      </c>
      <c r="D2" s="66" t="s">
        <v>759</v>
      </c>
      <c r="E2" s="66" t="s">
        <v>908</v>
      </c>
      <c r="F2" s="66" t="s">
        <v>909</v>
      </c>
      <c r="G2" s="4" t="s">
        <v>2</v>
      </c>
      <c r="H2" s="4" t="s">
        <v>3</v>
      </c>
      <c r="I2" s="4" t="s">
        <v>4</v>
      </c>
      <c r="J2" s="4" t="s">
        <v>2</v>
      </c>
      <c r="K2" s="4" t="s">
        <v>3</v>
      </c>
      <c r="L2" s="4" t="s">
        <v>4</v>
      </c>
    </row>
    <row r="3" spans="1:12">
      <c r="A3" s="39" t="str">
        <f>INDEX([2]活动总表!$A$8:$A$429,MATCH(B3,[2]活动总表!$B$8:$B$429,0))</f>
        <v>元旦-嗨翻天</v>
      </c>
      <c r="B3" s="40">
        <v>243</v>
      </c>
      <c r="C3" s="40">
        <v>1</v>
      </c>
      <c r="D3" s="40">
        <v>400</v>
      </c>
      <c r="E3" s="40"/>
      <c r="F3" s="40">
        <v>1</v>
      </c>
      <c r="G3" s="41">
        <v>220011</v>
      </c>
      <c r="H3" s="1" t="str">
        <f>IFERROR(INDEX([1]物品基础表!$A:$A,MATCH(G3,[1]物品基础表!$B:$B,0)),"")</f>
        <v>高级秘籍宝箱</v>
      </c>
      <c r="I3" s="41">
        <v>1</v>
      </c>
      <c r="J3" s="41">
        <v>204030</v>
      </c>
      <c r="K3" s="1" t="str">
        <f>IFERROR(INDEX([1]物品基础表!$A:$A,MATCH(J3,[1]物品基础表!$B:$B,0)),"")</f>
        <v>元旦兑换</v>
      </c>
      <c r="L3" s="41">
        <v>60</v>
      </c>
    </row>
    <row r="4" spans="1:12">
      <c r="A4" s="39" t="str">
        <f>INDEX([2]活动总表!$A$8:$A$429,MATCH(B4,[2]活动总表!$B$8:$B$429,0))</f>
        <v>元旦-嗨翻天</v>
      </c>
      <c r="B4" s="40">
        <v>243</v>
      </c>
      <c r="C4" s="40">
        <v>2</v>
      </c>
      <c r="D4" s="40">
        <v>250</v>
      </c>
      <c r="E4" s="40"/>
      <c r="F4" s="40">
        <v>1</v>
      </c>
      <c r="G4" s="41">
        <v>299999</v>
      </c>
      <c r="H4" s="1" t="str">
        <f>IFERROR(INDEX([1]物品基础表!$A:$A,MATCH(G4,[1]物品基础表!$B:$B,0)),"")</f>
        <v>神兵幻境卷</v>
      </c>
      <c r="I4" s="41">
        <v>2</v>
      </c>
      <c r="J4" s="41">
        <v>204030</v>
      </c>
      <c r="K4" s="1" t="str">
        <f>IFERROR(INDEX([1]物品基础表!$A:$A,MATCH(J4,[1]物品基础表!$B:$B,0)),"")</f>
        <v>元旦兑换</v>
      </c>
      <c r="L4" s="41">
        <v>50</v>
      </c>
    </row>
    <row r="5" spans="1:12">
      <c r="A5" s="39" t="str">
        <f>INDEX([2]活动总表!$A$8:$A$429,MATCH(B5,[2]活动总表!$B$8:$B$429,0))</f>
        <v>元旦-嗨翻天</v>
      </c>
      <c r="B5" s="40">
        <v>243</v>
      </c>
      <c r="C5" s="40">
        <v>3</v>
      </c>
      <c r="D5" s="40">
        <v>150</v>
      </c>
      <c r="E5" s="40"/>
      <c r="F5" s="40">
        <v>1</v>
      </c>
      <c r="G5" s="41">
        <v>202002</v>
      </c>
      <c r="H5" s="1" t="str">
        <f>IFERROR(INDEX([1]物品基础表!$A:$A,MATCH(G5,[1]物品基础表!$B:$B,0)),"")</f>
        <v>烈焰戒指技能2书</v>
      </c>
      <c r="I5" s="41">
        <v>1</v>
      </c>
      <c r="J5" s="41">
        <v>204030</v>
      </c>
      <c r="K5" s="1" t="str">
        <f>IFERROR(INDEX([1]物品基础表!$A:$A,MATCH(J5,[1]物品基础表!$B:$B,0)),"")</f>
        <v>元旦兑换</v>
      </c>
      <c r="L5" s="41">
        <v>40</v>
      </c>
    </row>
    <row r="6" spans="1:12">
      <c r="A6" s="39" t="str">
        <f>INDEX([2]活动总表!$A$8:$A$429,MATCH(B6,[2]活动总表!$B$8:$B$429,0))</f>
        <v>元旦-嗨翻天</v>
      </c>
      <c r="B6" s="40">
        <v>243</v>
      </c>
      <c r="C6" s="40">
        <v>4</v>
      </c>
      <c r="D6" s="40">
        <v>100</v>
      </c>
      <c r="E6" s="40"/>
      <c r="F6" s="40">
        <v>1</v>
      </c>
      <c r="G6" s="41">
        <v>200009</v>
      </c>
      <c r="H6" s="1" t="str">
        <f>IFERROR(INDEX([1]物品基础表!$A:$A,MATCH(G6,[1]物品基础表!$B:$B,0)),"")</f>
        <v>高级转生丹</v>
      </c>
      <c r="I6" s="41">
        <v>1</v>
      </c>
      <c r="J6" s="41">
        <v>204030</v>
      </c>
      <c r="K6" s="1" t="str">
        <f>IFERROR(INDEX([1]物品基础表!$A:$A,MATCH(J6,[1]物品基础表!$B:$B,0)),"")</f>
        <v>元旦兑换</v>
      </c>
      <c r="L6" s="41">
        <v>30</v>
      </c>
    </row>
    <row r="7" spans="1:12">
      <c r="A7" s="39" t="str">
        <f>INDEX([2]活动总表!$A$8:$A$429,MATCH(B7,[2]活动总表!$B$8:$B$429,0))</f>
        <v>元旦-嗨翻天</v>
      </c>
      <c r="B7" s="40">
        <v>243</v>
      </c>
      <c r="C7" s="40">
        <v>5</v>
      </c>
      <c r="D7" s="40">
        <v>50</v>
      </c>
      <c r="E7" s="40"/>
      <c r="F7" s="40">
        <v>1</v>
      </c>
      <c r="G7" s="41">
        <v>200015</v>
      </c>
      <c r="H7" s="1" t="str">
        <f>IFERROR(INDEX([1]物品基础表!$A:$A,MATCH(G7,[1]物品基础表!$B:$B,0)),"")</f>
        <v>特戒碎片</v>
      </c>
      <c r="I7" s="41">
        <v>100</v>
      </c>
      <c r="J7" s="41">
        <v>204030</v>
      </c>
      <c r="K7" s="1" t="str">
        <f>IFERROR(INDEX([1]物品基础表!$A:$A,MATCH(J7,[1]物品基础表!$B:$B,0)),"")</f>
        <v>元旦兑换</v>
      </c>
      <c r="L7" s="41">
        <v>20</v>
      </c>
    </row>
    <row r="8" spans="1:12">
      <c r="A8" s="39" t="str">
        <f>INDEX([2]活动总表!$A$8:$A$429,MATCH(B8,[2]活动总表!$B$8:$B$429,0))</f>
        <v>2周七天乐</v>
      </c>
      <c r="B8" s="40">
        <v>120</v>
      </c>
      <c r="C8" s="40">
        <v>1</v>
      </c>
      <c r="D8" s="40">
        <v>10</v>
      </c>
      <c r="E8" s="40">
        <v>1</v>
      </c>
      <c r="F8" s="40"/>
      <c r="G8" s="41">
        <v>500011</v>
      </c>
      <c r="H8" s="1" t="str">
        <f>IFERROR(INDEX([1]物品基础表!$A:$A,MATCH(G8,[1]物品基础表!$B:$B,0)),"")</f>
        <v>战纹碎片（小）</v>
      </c>
      <c r="I8" s="41">
        <v>300</v>
      </c>
      <c r="K8" s="1" t="str">
        <f>IFERROR(INDEX([1]物品基础表!$A:$A,MATCH(J8,[1]物品基础表!$B:$B,0)),"")</f>
        <v/>
      </c>
    </row>
    <row r="9" spans="1:12">
      <c r="A9" s="39" t="str">
        <f>INDEX([2]活动总表!$A$8:$A$429,MATCH(B9,[2]活动总表!$B$8:$B$429,0))</f>
        <v>2周七天乐</v>
      </c>
      <c r="B9" s="40">
        <v>120</v>
      </c>
      <c r="C9" s="40">
        <v>2</v>
      </c>
      <c r="D9" s="40">
        <v>20</v>
      </c>
      <c r="E9" s="40">
        <v>1</v>
      </c>
      <c r="F9" s="40"/>
      <c r="G9" s="41">
        <v>500011</v>
      </c>
      <c r="H9" s="1" t="str">
        <f>IFERROR(INDEX([1]物品基础表!$A:$A,MATCH(G9,[1]物品基础表!$B:$B,0)),"")</f>
        <v>战纹碎片（小）</v>
      </c>
      <c r="I9" s="41">
        <v>500</v>
      </c>
      <c r="K9" s="1" t="str">
        <f>IFERROR(INDEX([1]物品基础表!$A:$A,MATCH(J9,[1]物品基础表!$B:$B,0)),"")</f>
        <v/>
      </c>
    </row>
    <row r="10" spans="1:12">
      <c r="A10" s="39" t="str">
        <f>INDEX([2]活动总表!$A$8:$A$429,MATCH(B10,[2]活动总表!$B$8:$B$429,0))</f>
        <v>2周七天乐</v>
      </c>
      <c r="B10" s="40">
        <v>120</v>
      </c>
      <c r="C10" s="40">
        <v>3</v>
      </c>
      <c r="D10" s="40">
        <v>30</v>
      </c>
      <c r="E10" s="40">
        <v>1</v>
      </c>
      <c r="F10" s="40"/>
      <c r="G10" s="41">
        <v>500011</v>
      </c>
      <c r="H10" s="1" t="str">
        <f>IFERROR(INDEX([1]物品基础表!$A:$A,MATCH(G10,[1]物品基础表!$B:$B,0)),"")</f>
        <v>战纹碎片（小）</v>
      </c>
      <c r="I10" s="41">
        <v>1000</v>
      </c>
      <c r="K10" s="1" t="str">
        <f>IFERROR(INDEX([1]物品基础表!$A:$A,MATCH(J10,[1]物品基础表!$B:$B,0)),"")</f>
        <v/>
      </c>
    </row>
    <row r="11" spans="1:12">
      <c r="A11" s="39" t="str">
        <f>INDEX([2]活动总表!$A$8:$A$429,MATCH(B11,[2]活动总表!$B$8:$B$429,0))</f>
        <v>2周七天乐</v>
      </c>
      <c r="B11" s="40">
        <v>120</v>
      </c>
      <c r="C11" s="40">
        <v>4</v>
      </c>
      <c r="D11" s="40">
        <v>40</v>
      </c>
      <c r="E11" s="40">
        <v>1</v>
      </c>
      <c r="F11" s="40"/>
      <c r="G11" s="41">
        <v>500011</v>
      </c>
      <c r="H11" s="1" t="str">
        <f>IFERROR(INDEX([1]物品基础表!$A:$A,MATCH(G11,[1]物品基础表!$B:$B,0)),"")</f>
        <v>战纹碎片（小）</v>
      </c>
      <c r="I11" s="41">
        <v>1500</v>
      </c>
      <c r="K11" s="1" t="str">
        <f>IFERROR(INDEX([1]物品基础表!$A:$A,MATCH(J11,[1]物品基础表!$B:$B,0)),"")</f>
        <v/>
      </c>
    </row>
    <row r="12" spans="1:12">
      <c r="A12" s="39" t="str">
        <f>INDEX([2]活动总表!$A$8:$A$429,MATCH(B12,[2]活动总表!$B$8:$B$429,0))</f>
        <v>2周七天乐</v>
      </c>
      <c r="B12" s="40">
        <v>120</v>
      </c>
      <c r="C12" s="40">
        <v>5</v>
      </c>
      <c r="D12" s="40">
        <v>50</v>
      </c>
      <c r="E12" s="40">
        <v>1</v>
      </c>
      <c r="F12" s="40"/>
      <c r="G12" s="41">
        <v>500011</v>
      </c>
      <c r="H12" s="1" t="str">
        <f>IFERROR(INDEX([1]物品基础表!$A:$A,MATCH(G12,[1]物品基础表!$B:$B,0)),"")</f>
        <v>战纹碎片（小）</v>
      </c>
      <c r="I12" s="41">
        <v>2000</v>
      </c>
      <c r="J12" s="41">
        <v>204051</v>
      </c>
      <c r="K12" s="1" t="str">
        <f>IFERROR(INDEX([1]物品基础表!$A:$A,MATCH(J12,[1]物品基础表!$B:$B,0)),"")</f>
        <v>1阶神羽宝箱</v>
      </c>
      <c r="L12" s="41">
        <v>1</v>
      </c>
    </row>
    <row r="13" spans="1:12">
      <c r="A13" s="39" t="str">
        <f>INDEX([2]活动总表!$A$8:$A$429,MATCH(B13,[2]活动总表!$B$8:$B$429,0))</f>
        <v>2周七天乐</v>
      </c>
      <c r="B13" s="40">
        <v>120</v>
      </c>
      <c r="C13" s="40">
        <v>6</v>
      </c>
      <c r="D13" s="40">
        <v>60</v>
      </c>
      <c r="E13" s="40">
        <v>1</v>
      </c>
      <c r="F13" s="40"/>
      <c r="G13" s="41">
        <v>500011</v>
      </c>
      <c r="H13" s="1" t="str">
        <f>IFERROR(INDEX([1]物品基础表!$A:$A,MATCH(G13,[1]物品基础表!$B:$B,0)),"")</f>
        <v>战纹碎片（小）</v>
      </c>
      <c r="I13" s="41">
        <v>3000</v>
      </c>
      <c r="J13" s="41">
        <v>204051</v>
      </c>
      <c r="K13" s="1" t="str">
        <f>IFERROR(INDEX([1]物品基础表!$A:$A,MATCH(J13,[1]物品基础表!$B:$B,0)),"")</f>
        <v>1阶神羽宝箱</v>
      </c>
      <c r="L13" s="41">
        <v>2</v>
      </c>
    </row>
    <row r="14" spans="1:12">
      <c r="A14" s="39" t="str">
        <f>INDEX([2]活动总表!$A$8:$A$429,MATCH(B14,[2]活动总表!$B$8:$B$429,0))</f>
        <v>2周七天乐</v>
      </c>
      <c r="B14" s="40">
        <v>120</v>
      </c>
      <c r="C14" s="40">
        <v>7</v>
      </c>
      <c r="D14" s="40">
        <v>70</v>
      </c>
      <c r="E14" s="40">
        <v>1</v>
      </c>
      <c r="F14" s="40"/>
      <c r="G14" s="41">
        <v>500011</v>
      </c>
      <c r="H14" s="1" t="str">
        <f>IFERROR(INDEX([1]物品基础表!$A:$A,MATCH(G14,[1]物品基础表!$B:$B,0)),"")</f>
        <v>战纹碎片（小）</v>
      </c>
      <c r="I14" s="41">
        <v>4000</v>
      </c>
      <c r="J14" s="41">
        <v>200315</v>
      </c>
      <c r="K14" s="1" t="str">
        <f>IFERROR(INDEX([1]物品基础表!$A:$A,MATCH(J14,[1]物品基础表!$B:$B,0)),"")</f>
        <v>2阶神羽宝箱</v>
      </c>
      <c r="L14" s="41">
        <v>1</v>
      </c>
    </row>
    <row r="15" spans="1:12">
      <c r="A15" s="39" t="str">
        <f>INDEX([2]活动总表!$A$8:$A$429,MATCH(B15,[2]活动总表!$B$8:$B$429,0))</f>
        <v>2周七天乐</v>
      </c>
      <c r="B15" s="40">
        <v>120</v>
      </c>
      <c r="C15" s="40">
        <v>8</v>
      </c>
      <c r="D15" s="40">
        <v>80</v>
      </c>
      <c r="E15" s="40">
        <v>1</v>
      </c>
      <c r="F15" s="40"/>
      <c r="G15" s="41">
        <v>500011</v>
      </c>
      <c r="H15" s="1" t="str">
        <f>IFERROR(INDEX([1]物品基础表!$A:$A,MATCH(G15,[1]物品基础表!$B:$B,0)),"")</f>
        <v>战纹碎片（小）</v>
      </c>
      <c r="I15" s="41">
        <v>5000</v>
      </c>
      <c r="J15" s="41">
        <v>200315</v>
      </c>
      <c r="K15" s="1" t="str">
        <f>IFERROR(INDEX([1]物品基础表!$A:$A,MATCH(J15,[1]物品基础表!$B:$B,0)),"")</f>
        <v>2阶神羽宝箱</v>
      </c>
      <c r="L15" s="41">
        <v>2</v>
      </c>
    </row>
    <row r="16" spans="1:12">
      <c r="A16" s="39" t="str">
        <f>INDEX([2]活动总表!$A$8:$A$429,MATCH(B16,[2]活动总表!$B$8:$B$429,0))</f>
        <v>2周七天乐</v>
      </c>
      <c r="B16" s="40">
        <v>120</v>
      </c>
      <c r="C16" s="40">
        <v>9</v>
      </c>
      <c r="D16" s="40">
        <v>90</v>
      </c>
      <c r="E16" s="40">
        <v>1</v>
      </c>
      <c r="F16" s="40"/>
      <c r="G16" s="41">
        <v>500011</v>
      </c>
      <c r="H16" s="1" t="str">
        <f>IFERROR(INDEX([1]物品基础表!$A:$A,MATCH(G16,[1]物品基础表!$B:$B,0)),"")</f>
        <v>战纹碎片（小）</v>
      </c>
      <c r="I16" s="41">
        <v>6000</v>
      </c>
      <c r="J16" s="41">
        <v>200315</v>
      </c>
      <c r="K16" s="1" t="str">
        <f>IFERROR(INDEX([1]物品基础表!$A:$A,MATCH(J16,[1]物品基础表!$B:$B,0)),"")</f>
        <v>2阶神羽宝箱</v>
      </c>
      <c r="L16" s="41">
        <v>3</v>
      </c>
    </row>
    <row r="17" spans="1:12">
      <c r="A17" s="39" t="str">
        <f>INDEX([2]活动总表!$A$8:$A$429,MATCH(B17,[2]活动总表!$B$8:$B$429,0))</f>
        <v>2周七天乐</v>
      </c>
      <c r="B17" s="40">
        <v>120</v>
      </c>
      <c r="C17" s="40">
        <v>10</v>
      </c>
      <c r="D17" s="40">
        <v>100</v>
      </c>
      <c r="E17" s="40">
        <v>1</v>
      </c>
      <c r="F17" s="40"/>
      <c r="G17" s="41">
        <v>500011</v>
      </c>
      <c r="H17" s="1" t="str">
        <f>IFERROR(INDEX([1]物品基础表!$A:$A,MATCH(G17,[1]物品基础表!$B:$B,0)),"")</f>
        <v>战纹碎片（小）</v>
      </c>
      <c r="I17" s="41">
        <v>8000</v>
      </c>
      <c r="J17" s="41">
        <v>200316</v>
      </c>
      <c r="K17" s="1" t="str">
        <f>IFERROR(INDEX([1]物品基础表!$A:$A,MATCH(J17,[1]物品基础表!$B:$B,0)),"")</f>
        <v>3阶神羽宝箱</v>
      </c>
      <c r="L17" s="41">
        <v>2</v>
      </c>
    </row>
    <row r="18" spans="1:12">
      <c r="A18" s="39" t="str">
        <f>INDEX([2]活动总表!$A$8:$A$429,MATCH(B18,[2]活动总表!$B$8:$B$429,0))</f>
        <v>春节八天乐</v>
      </c>
      <c r="B18" s="40">
        <v>563</v>
      </c>
      <c r="C18" s="40">
        <v>1</v>
      </c>
      <c r="D18" s="40">
        <v>10</v>
      </c>
      <c r="E18" s="40">
        <v>1</v>
      </c>
      <c r="F18" s="40"/>
      <c r="G18" s="41">
        <v>200301</v>
      </c>
      <c r="H18" s="1" t="str">
        <f>IFERROR(INDEX([1]物品基础表!$A:$A,MATCH(G18,[1]物品基础表!$B:$B,0)),"")</f>
        <v>传世宝钻</v>
      </c>
      <c r="I18" s="41">
        <v>20</v>
      </c>
      <c r="K18" s="1" t="str">
        <f>IFERROR(INDEX([1]物品基础表!$A:$A,MATCH(J18,[1]物品基础表!$B:$B,0)),"")</f>
        <v/>
      </c>
    </row>
    <row r="19" spans="1:12">
      <c r="A19" s="39" t="str">
        <f>INDEX([2]活动总表!$A$8:$A$429,MATCH(B19,[2]活动总表!$B$8:$B$429,0))</f>
        <v>春节八天乐</v>
      </c>
      <c r="B19" s="40">
        <v>563</v>
      </c>
      <c r="C19" s="40">
        <v>2</v>
      </c>
      <c r="D19" s="40">
        <v>20</v>
      </c>
      <c r="E19" s="40">
        <v>1</v>
      </c>
      <c r="F19" s="40"/>
      <c r="G19" s="41">
        <v>200301</v>
      </c>
      <c r="H19" s="1" t="str">
        <f>IFERROR(INDEX([1]物品基础表!$A:$A,MATCH(G19,[1]物品基础表!$B:$B,0)),"")</f>
        <v>传世宝钻</v>
      </c>
      <c r="I19" s="41">
        <v>40</v>
      </c>
      <c r="K19" s="1" t="str">
        <f>IFERROR(INDEX([1]物品基础表!$A:$A,MATCH(J19,[1]物品基础表!$B:$B,0)),"")</f>
        <v/>
      </c>
    </row>
    <row r="20" spans="1:12">
      <c r="A20" s="39" t="str">
        <f>INDEX([2]活动总表!$A$8:$A$429,MATCH(B20,[2]活动总表!$B$8:$B$429,0))</f>
        <v>春节八天乐</v>
      </c>
      <c r="B20" s="40">
        <v>563</v>
      </c>
      <c r="C20" s="40">
        <v>3</v>
      </c>
      <c r="D20" s="40">
        <v>30</v>
      </c>
      <c r="E20" s="40">
        <v>1</v>
      </c>
      <c r="F20" s="40"/>
      <c r="G20" s="41">
        <v>200301</v>
      </c>
      <c r="H20" s="1" t="str">
        <f>IFERROR(INDEX([1]物品基础表!$A:$A,MATCH(G20,[1]物品基础表!$B:$B,0)),"")</f>
        <v>传世宝钻</v>
      </c>
      <c r="I20" s="41">
        <v>75</v>
      </c>
      <c r="K20" s="1" t="str">
        <f>IFERROR(INDEX([1]物品基础表!$A:$A,MATCH(J20,[1]物品基础表!$B:$B,0)),"")</f>
        <v/>
      </c>
    </row>
    <row r="21" spans="1:12">
      <c r="A21" s="39" t="str">
        <f>INDEX([2]活动总表!$A$8:$A$429,MATCH(B21,[2]活动总表!$B$8:$B$429,0))</f>
        <v>春节八天乐</v>
      </c>
      <c r="B21" s="40">
        <v>563</v>
      </c>
      <c r="C21" s="40">
        <v>4</v>
      </c>
      <c r="D21" s="40">
        <v>40</v>
      </c>
      <c r="E21" s="40">
        <v>1</v>
      </c>
      <c r="F21" s="40"/>
      <c r="G21" s="41">
        <v>200301</v>
      </c>
      <c r="H21" s="1" t="str">
        <f>IFERROR(INDEX([1]物品基础表!$A:$A,MATCH(G21,[1]物品基础表!$B:$B,0)),"")</f>
        <v>传世宝钻</v>
      </c>
      <c r="I21" s="41">
        <v>115</v>
      </c>
      <c r="K21" s="1" t="str">
        <f>IFERROR(INDEX([1]物品基础表!$A:$A,MATCH(J21,[1]物品基础表!$B:$B,0)),"")</f>
        <v/>
      </c>
    </row>
    <row r="22" spans="1:12">
      <c r="A22" s="39" t="str">
        <f>INDEX([2]活动总表!$A$8:$A$429,MATCH(B22,[2]活动总表!$B$8:$B$429,0))</f>
        <v>春节八天乐</v>
      </c>
      <c r="B22" s="40">
        <v>563</v>
      </c>
      <c r="C22" s="40">
        <v>5</v>
      </c>
      <c r="D22" s="40">
        <v>50</v>
      </c>
      <c r="E22" s="40">
        <v>1</v>
      </c>
      <c r="F22" s="40"/>
      <c r="G22" s="41">
        <v>200301</v>
      </c>
      <c r="H22" s="1" t="str">
        <f>IFERROR(INDEX([1]物品基础表!$A:$A,MATCH(G22,[1]物品基础表!$B:$B,0)),"")</f>
        <v>传世宝钻</v>
      </c>
      <c r="I22" s="41">
        <v>150</v>
      </c>
      <c r="J22" s="41">
        <v>200312</v>
      </c>
      <c r="K22" s="1" t="str">
        <f>IFERROR(INDEX([1]物品基础表!$A:$A,MATCH(J22,[1]物品基础表!$B:$B,0)),"")</f>
        <v>缤纷兵魂任选礼包</v>
      </c>
      <c r="L22" s="41">
        <v>2</v>
      </c>
    </row>
    <row r="23" spans="1:12">
      <c r="A23" s="39" t="str">
        <f>INDEX([2]活动总表!$A$8:$A$429,MATCH(B23,[2]活动总表!$B$8:$B$429,0))</f>
        <v>春节八天乐</v>
      </c>
      <c r="B23" s="40">
        <v>563</v>
      </c>
      <c r="C23" s="40">
        <v>6</v>
      </c>
      <c r="D23" s="40">
        <v>60</v>
      </c>
      <c r="E23" s="40">
        <v>1</v>
      </c>
      <c r="F23" s="40"/>
      <c r="G23" s="41">
        <v>200301</v>
      </c>
      <c r="H23" s="1" t="str">
        <f>IFERROR(INDEX([1]物品基础表!$A:$A,MATCH(G23,[1]物品基础表!$B:$B,0)),"")</f>
        <v>传世宝钻</v>
      </c>
      <c r="I23" s="41">
        <v>225</v>
      </c>
      <c r="J23" s="41">
        <v>200312</v>
      </c>
      <c r="K23" s="1" t="str">
        <f>IFERROR(INDEX([1]物品基础表!$A:$A,MATCH(J23,[1]物品基础表!$B:$B,0)),"")</f>
        <v>缤纷兵魂任选礼包</v>
      </c>
      <c r="L23" s="41">
        <v>4</v>
      </c>
    </row>
    <row r="24" spans="1:12">
      <c r="A24" s="39" t="str">
        <f>INDEX([2]活动总表!$A$8:$A$429,MATCH(B24,[2]活动总表!$B$8:$B$429,0))</f>
        <v>春节八天乐</v>
      </c>
      <c r="B24" s="40">
        <v>563</v>
      </c>
      <c r="C24" s="40">
        <v>7</v>
      </c>
      <c r="D24" s="40">
        <v>70</v>
      </c>
      <c r="E24" s="40">
        <v>1</v>
      </c>
      <c r="F24" s="40"/>
      <c r="G24" s="41">
        <v>200301</v>
      </c>
      <c r="H24" s="1" t="str">
        <f>IFERROR(INDEX([1]物品基础表!$A:$A,MATCH(G24,[1]物品基础表!$B:$B,0)),"")</f>
        <v>传世宝钻</v>
      </c>
      <c r="I24" s="41">
        <v>300</v>
      </c>
      <c r="J24" s="41">
        <v>200312</v>
      </c>
      <c r="K24" s="1" t="str">
        <f>IFERROR(INDEX([1]物品基础表!$A:$A,MATCH(J24,[1]物品基础表!$B:$B,0)),"")</f>
        <v>缤纷兵魂任选礼包</v>
      </c>
      <c r="L24" s="41">
        <v>6</v>
      </c>
    </row>
    <row r="25" spans="1:12">
      <c r="A25" s="39" t="str">
        <f>INDEX([2]活动总表!$A$8:$A$429,MATCH(B25,[2]活动总表!$B$8:$B$429,0))</f>
        <v>春节八天乐</v>
      </c>
      <c r="B25" s="40">
        <v>563</v>
      </c>
      <c r="C25" s="40">
        <v>8</v>
      </c>
      <c r="D25" s="40">
        <v>80</v>
      </c>
      <c r="E25" s="40">
        <v>1</v>
      </c>
      <c r="F25" s="40"/>
      <c r="G25" s="41">
        <v>200301</v>
      </c>
      <c r="H25" s="1" t="str">
        <f>IFERROR(INDEX([1]物品基础表!$A:$A,MATCH(G25,[1]物品基础表!$B:$B,0)),"")</f>
        <v>传世宝钻</v>
      </c>
      <c r="I25" s="41">
        <v>375</v>
      </c>
      <c r="J25" s="41">
        <v>200312</v>
      </c>
      <c r="K25" s="1" t="str">
        <f>IFERROR(INDEX([1]物品基础表!$A:$A,MATCH(J25,[1]物品基础表!$B:$B,0)),"")</f>
        <v>缤纷兵魂任选礼包</v>
      </c>
      <c r="L25" s="41">
        <v>8</v>
      </c>
    </row>
    <row r="26" spans="1:12">
      <c r="A26" s="39" t="str">
        <f>INDEX([2]活动总表!$A$8:$A$429,MATCH(B26,[2]活动总表!$B$8:$B$429,0))</f>
        <v>春节八天乐</v>
      </c>
      <c r="B26" s="40">
        <v>563</v>
      </c>
      <c r="C26" s="40">
        <v>9</v>
      </c>
      <c r="D26" s="40">
        <v>90</v>
      </c>
      <c r="E26" s="40">
        <v>1</v>
      </c>
      <c r="F26" s="40"/>
      <c r="G26" s="41">
        <v>200301</v>
      </c>
      <c r="H26" s="1" t="str">
        <f>IFERROR(INDEX([1]物品基础表!$A:$A,MATCH(G26,[1]物品基础表!$B:$B,0)),"")</f>
        <v>传世宝钻</v>
      </c>
      <c r="I26" s="41">
        <v>450</v>
      </c>
      <c r="J26" s="41">
        <v>200312</v>
      </c>
      <c r="K26" s="1" t="str">
        <f>IFERROR(INDEX([1]物品基础表!$A:$A,MATCH(J26,[1]物品基础表!$B:$B,0)),"")</f>
        <v>缤纷兵魂任选礼包</v>
      </c>
      <c r="L26" s="41">
        <v>12</v>
      </c>
    </row>
    <row r="27" spans="1:12">
      <c r="A27" s="39" t="str">
        <f>INDEX([2]活动总表!$A$8:$A$429,MATCH(B27,[2]活动总表!$B$8:$B$429,0))</f>
        <v>春节八天乐</v>
      </c>
      <c r="B27" s="40">
        <v>563</v>
      </c>
      <c r="C27" s="40">
        <v>10</v>
      </c>
      <c r="D27" s="40">
        <v>100</v>
      </c>
      <c r="E27" s="40">
        <v>1</v>
      </c>
      <c r="F27" s="40"/>
      <c r="G27" s="41">
        <v>200301</v>
      </c>
      <c r="H27" s="1" t="str">
        <f>IFERROR(INDEX([1]物品基础表!$A:$A,MATCH(G27,[1]物品基础表!$B:$B,0)),"")</f>
        <v>传世宝钻</v>
      </c>
      <c r="I27" s="41">
        <v>600</v>
      </c>
      <c r="J27" s="41">
        <v>200312</v>
      </c>
      <c r="K27" s="1" t="str">
        <f>IFERROR(INDEX([1]物品基础表!$A:$A,MATCH(J27,[1]物品基础表!$B:$B,0)),"")</f>
        <v>缤纷兵魂任选礼包</v>
      </c>
      <c r="L27" s="41">
        <v>16</v>
      </c>
    </row>
    <row r="28" spans="1:12">
      <c r="A28" s="39" t="str">
        <f>INDEX([2]活动总表!$A$8:$A$429,MATCH(B28,[2]活动总表!$B$8:$B$429,0))</f>
        <v>春节八天乐</v>
      </c>
      <c r="B28" s="40">
        <v>568</v>
      </c>
      <c r="C28" s="40">
        <v>1</v>
      </c>
      <c r="D28" s="40">
        <v>10</v>
      </c>
      <c r="E28" s="40">
        <v>1</v>
      </c>
      <c r="F28" s="40"/>
      <c r="G28" s="41">
        <v>200301</v>
      </c>
      <c r="H28" s="1" t="str">
        <f>IFERROR(INDEX([1]物品基础表!$A:$A,MATCH(G28,[1]物品基础表!$B:$B,0)),"")</f>
        <v>传世宝钻</v>
      </c>
      <c r="I28" s="41">
        <v>20</v>
      </c>
      <c r="K28" s="1" t="str">
        <f>IFERROR(INDEX([1]物品基础表!$A:$A,MATCH(J28,[1]物品基础表!$B:$B,0)),"")</f>
        <v/>
      </c>
    </row>
    <row r="29" spans="1:12">
      <c r="A29" s="39" t="str">
        <f>INDEX([2]活动总表!$A$8:$A$429,MATCH(B29,[2]活动总表!$B$8:$B$429,0))</f>
        <v>春节八天乐</v>
      </c>
      <c r="B29" s="40">
        <v>568</v>
      </c>
      <c r="C29" s="40">
        <v>2</v>
      </c>
      <c r="D29" s="40">
        <v>20</v>
      </c>
      <c r="E29" s="40">
        <v>1</v>
      </c>
      <c r="F29" s="40"/>
      <c r="G29" s="41">
        <v>200301</v>
      </c>
      <c r="H29" s="1" t="str">
        <f>IFERROR(INDEX([1]物品基础表!$A:$A,MATCH(G29,[1]物品基础表!$B:$B,0)),"")</f>
        <v>传世宝钻</v>
      </c>
      <c r="I29" s="41">
        <v>40</v>
      </c>
      <c r="K29" s="1" t="str">
        <f>IFERROR(INDEX([1]物品基础表!$A:$A,MATCH(J29,[1]物品基础表!$B:$B,0)),"")</f>
        <v/>
      </c>
    </row>
    <row r="30" spans="1:12">
      <c r="A30" s="39" t="str">
        <f>INDEX([2]活动总表!$A$8:$A$429,MATCH(B30,[2]活动总表!$B$8:$B$429,0))</f>
        <v>春节八天乐</v>
      </c>
      <c r="B30" s="40">
        <v>568</v>
      </c>
      <c r="C30" s="40">
        <v>3</v>
      </c>
      <c r="D30" s="40">
        <v>30</v>
      </c>
      <c r="E30" s="40">
        <v>1</v>
      </c>
      <c r="F30" s="40"/>
      <c r="G30" s="41">
        <v>200301</v>
      </c>
      <c r="H30" s="1" t="str">
        <f>IFERROR(INDEX([1]物品基础表!$A:$A,MATCH(G30,[1]物品基础表!$B:$B,0)),"")</f>
        <v>传世宝钻</v>
      </c>
      <c r="I30" s="41">
        <v>75</v>
      </c>
      <c r="K30" s="1" t="str">
        <f>IFERROR(INDEX([1]物品基础表!$A:$A,MATCH(J30,[1]物品基础表!$B:$B,0)),"")</f>
        <v/>
      </c>
    </row>
    <row r="31" spans="1:12">
      <c r="A31" s="39" t="str">
        <f>INDEX([2]活动总表!$A$8:$A$429,MATCH(B31,[2]活动总表!$B$8:$B$429,0))</f>
        <v>春节八天乐</v>
      </c>
      <c r="B31" s="40">
        <v>568</v>
      </c>
      <c r="C31" s="40">
        <v>4</v>
      </c>
      <c r="D31" s="40">
        <v>40</v>
      </c>
      <c r="E31" s="40">
        <v>1</v>
      </c>
      <c r="F31" s="40"/>
      <c r="G31" s="41">
        <v>200301</v>
      </c>
      <c r="H31" s="1" t="str">
        <f>IFERROR(INDEX([1]物品基础表!$A:$A,MATCH(G31,[1]物品基础表!$B:$B,0)),"")</f>
        <v>传世宝钻</v>
      </c>
      <c r="I31" s="41">
        <v>115</v>
      </c>
      <c r="K31" s="1" t="str">
        <f>IFERROR(INDEX([1]物品基础表!$A:$A,MATCH(J31,[1]物品基础表!$B:$B,0)),"")</f>
        <v/>
      </c>
    </row>
    <row r="32" spans="1:12">
      <c r="A32" s="39" t="str">
        <f>INDEX([2]活动总表!$A$8:$A$429,MATCH(B32,[2]活动总表!$B$8:$B$429,0))</f>
        <v>春节八天乐</v>
      </c>
      <c r="B32" s="40">
        <v>568</v>
      </c>
      <c r="C32" s="40">
        <v>5</v>
      </c>
      <c r="D32" s="40">
        <v>50</v>
      </c>
      <c r="E32" s="40">
        <v>1</v>
      </c>
      <c r="F32" s="40"/>
      <c r="G32" s="41">
        <v>200301</v>
      </c>
      <c r="H32" s="1" t="str">
        <f>IFERROR(INDEX([1]物品基础表!$A:$A,MATCH(G32,[1]物品基础表!$B:$B,0)),"")</f>
        <v>传世宝钻</v>
      </c>
      <c r="I32" s="41">
        <v>150</v>
      </c>
      <c r="J32" s="41">
        <v>200312</v>
      </c>
      <c r="K32" s="1" t="str">
        <f>IFERROR(INDEX([1]物品基础表!$A:$A,MATCH(J32,[1]物品基础表!$B:$B,0)),"")</f>
        <v>缤纷兵魂任选礼包</v>
      </c>
      <c r="L32" s="41">
        <v>2</v>
      </c>
    </row>
    <row r="33" spans="1:12">
      <c r="A33" s="39" t="str">
        <f>INDEX([2]活动总表!$A$8:$A$429,MATCH(B33,[2]活动总表!$B$8:$B$429,0))</f>
        <v>春节八天乐</v>
      </c>
      <c r="B33" s="40">
        <v>568</v>
      </c>
      <c r="C33" s="40">
        <v>6</v>
      </c>
      <c r="D33" s="40">
        <v>60</v>
      </c>
      <c r="E33" s="40">
        <v>1</v>
      </c>
      <c r="F33" s="40"/>
      <c r="G33" s="41">
        <v>200301</v>
      </c>
      <c r="H33" s="1" t="str">
        <f>IFERROR(INDEX([1]物品基础表!$A:$A,MATCH(G33,[1]物品基础表!$B:$B,0)),"")</f>
        <v>传世宝钻</v>
      </c>
      <c r="I33" s="41">
        <v>225</v>
      </c>
      <c r="J33" s="41">
        <v>200312</v>
      </c>
      <c r="K33" s="1" t="str">
        <f>IFERROR(INDEX([1]物品基础表!$A:$A,MATCH(J33,[1]物品基础表!$B:$B,0)),"")</f>
        <v>缤纷兵魂任选礼包</v>
      </c>
      <c r="L33" s="41">
        <v>4</v>
      </c>
    </row>
    <row r="34" spans="1:12">
      <c r="A34" s="39" t="str">
        <f>INDEX([2]活动总表!$A$8:$A$429,MATCH(B34,[2]活动总表!$B$8:$B$429,0))</f>
        <v>春节八天乐</v>
      </c>
      <c r="B34" s="40">
        <v>568</v>
      </c>
      <c r="C34" s="40">
        <v>7</v>
      </c>
      <c r="D34" s="40">
        <v>70</v>
      </c>
      <c r="E34" s="40">
        <v>1</v>
      </c>
      <c r="F34" s="40"/>
      <c r="G34" s="41">
        <v>200301</v>
      </c>
      <c r="H34" s="1" t="str">
        <f>IFERROR(INDEX([1]物品基础表!$A:$A,MATCH(G34,[1]物品基础表!$B:$B,0)),"")</f>
        <v>传世宝钻</v>
      </c>
      <c r="I34" s="41">
        <v>300</v>
      </c>
      <c r="J34" s="41">
        <v>200312</v>
      </c>
      <c r="K34" s="1" t="str">
        <f>IFERROR(INDEX([1]物品基础表!$A:$A,MATCH(J34,[1]物品基础表!$B:$B,0)),"")</f>
        <v>缤纷兵魂任选礼包</v>
      </c>
      <c r="L34" s="41">
        <v>6</v>
      </c>
    </row>
    <row r="35" spans="1:12">
      <c r="A35" s="39" t="str">
        <f>INDEX([2]活动总表!$A$8:$A$429,MATCH(B35,[2]活动总表!$B$8:$B$429,0))</f>
        <v>春节八天乐</v>
      </c>
      <c r="B35" s="40">
        <v>568</v>
      </c>
      <c r="C35" s="40">
        <v>8</v>
      </c>
      <c r="D35" s="40">
        <v>80</v>
      </c>
      <c r="E35" s="40">
        <v>1</v>
      </c>
      <c r="F35" s="40"/>
      <c r="G35" s="41">
        <v>200301</v>
      </c>
      <c r="H35" s="1" t="str">
        <f>IFERROR(INDEX([1]物品基础表!$A:$A,MATCH(G35,[1]物品基础表!$B:$B,0)),"")</f>
        <v>传世宝钻</v>
      </c>
      <c r="I35" s="41">
        <v>375</v>
      </c>
      <c r="J35" s="41">
        <v>200312</v>
      </c>
      <c r="K35" s="1" t="str">
        <f>IFERROR(INDEX([1]物品基础表!$A:$A,MATCH(J35,[1]物品基础表!$B:$B,0)),"")</f>
        <v>缤纷兵魂任选礼包</v>
      </c>
      <c r="L35" s="41">
        <v>8</v>
      </c>
    </row>
    <row r="36" spans="1:12">
      <c r="A36" s="39" t="str">
        <f>INDEX([2]活动总表!$A$8:$A$429,MATCH(B36,[2]活动总表!$B$8:$B$429,0))</f>
        <v>春节八天乐</v>
      </c>
      <c r="B36" s="40">
        <v>568</v>
      </c>
      <c r="C36" s="40">
        <v>9</v>
      </c>
      <c r="D36" s="40">
        <v>90</v>
      </c>
      <c r="E36" s="40">
        <v>1</v>
      </c>
      <c r="F36" s="40"/>
      <c r="G36" s="41">
        <v>200301</v>
      </c>
      <c r="H36" s="1" t="str">
        <f>IFERROR(INDEX([1]物品基础表!$A:$A,MATCH(G36,[1]物品基础表!$B:$B,0)),"")</f>
        <v>传世宝钻</v>
      </c>
      <c r="I36" s="41">
        <v>450</v>
      </c>
      <c r="J36" s="41">
        <v>200312</v>
      </c>
      <c r="K36" s="1" t="str">
        <f>IFERROR(INDEX([1]物品基础表!$A:$A,MATCH(J36,[1]物品基础表!$B:$B,0)),"")</f>
        <v>缤纷兵魂任选礼包</v>
      </c>
      <c r="L36" s="41">
        <v>12</v>
      </c>
    </row>
    <row r="37" spans="1:12">
      <c r="A37" s="39" t="str">
        <f>INDEX([2]活动总表!$A$8:$A$429,MATCH(B37,[2]活动总表!$B$8:$B$429,0))</f>
        <v>春节八天乐</v>
      </c>
      <c r="B37" s="40">
        <v>568</v>
      </c>
      <c r="C37" s="40">
        <v>10</v>
      </c>
      <c r="D37" s="40">
        <v>100</v>
      </c>
      <c r="E37" s="40">
        <v>1</v>
      </c>
      <c r="F37" s="40"/>
      <c r="G37" s="41">
        <v>200301</v>
      </c>
      <c r="H37" s="1" t="str">
        <f>IFERROR(INDEX([1]物品基础表!$A:$A,MATCH(G37,[1]物品基础表!$B:$B,0)),"")</f>
        <v>传世宝钻</v>
      </c>
      <c r="I37" s="41">
        <v>600</v>
      </c>
      <c r="J37" s="41">
        <v>200312</v>
      </c>
      <c r="K37" s="1" t="str">
        <f>IFERROR(INDEX([1]物品基础表!$A:$A,MATCH(J37,[1]物品基础表!$B:$B,0)),"")</f>
        <v>缤纷兵魂任选礼包</v>
      </c>
      <c r="L37" s="41">
        <v>16</v>
      </c>
    </row>
    <row r="38" spans="1:12">
      <c r="A38" s="39" t="str">
        <f>INDEX([2]活动总表!$A$8:$A$429,MATCH(B38,[2]活动总表!$B$8:$B$429,0))</f>
        <v>妇女节嗨点</v>
      </c>
      <c r="B38" s="40">
        <v>750</v>
      </c>
      <c r="C38" s="40">
        <v>1</v>
      </c>
      <c r="D38" s="40">
        <v>400</v>
      </c>
      <c r="E38" s="40"/>
      <c r="F38" s="40">
        <v>1</v>
      </c>
      <c r="G38" s="41">
        <v>500011</v>
      </c>
      <c r="H38" s="1" t="str">
        <f>IFERROR(INDEX([1]物品基础表!$A:$A,MATCH(G38,[1]物品基础表!$B:$B,0)),"")</f>
        <v>战纹碎片（小）</v>
      </c>
      <c r="I38" s="41">
        <v>5000</v>
      </c>
      <c r="J38" s="41">
        <v>1</v>
      </c>
      <c r="K38" s="1" t="s">
        <v>695</v>
      </c>
      <c r="L38" s="41">
        <v>40000000</v>
      </c>
    </row>
    <row r="39" spans="1:12">
      <c r="A39" s="39" t="str">
        <f>INDEX([2]活动总表!$A$8:$A$429,MATCH(B39,[2]活动总表!$B$8:$B$429,0))</f>
        <v>妇女节嗨点</v>
      </c>
      <c r="B39" s="40">
        <v>750</v>
      </c>
      <c r="C39" s="40">
        <v>2</v>
      </c>
      <c r="D39" s="40">
        <v>250</v>
      </c>
      <c r="E39" s="40"/>
      <c r="F39" s="40">
        <v>1</v>
      </c>
      <c r="G39" s="41">
        <v>505401</v>
      </c>
      <c r="H39" s="1" t="str">
        <f>IFERROR(INDEX([1]物品基础表!$A:$A,MATCH(G39,[1]物品基础表!$B:$B,0)),"")</f>
        <v>金神盔1级</v>
      </c>
      <c r="I39" s="41">
        <v>1</v>
      </c>
      <c r="J39" s="41">
        <v>1</v>
      </c>
      <c r="K39" s="1" t="s">
        <v>695</v>
      </c>
      <c r="L39" s="41">
        <v>25000000</v>
      </c>
    </row>
    <row r="40" spans="1:12">
      <c r="A40" s="39" t="str">
        <f>INDEX([2]活动总表!$A$8:$A$429,MATCH(B40,[2]活动总表!$B$8:$B$429,0))</f>
        <v>妇女节嗨点</v>
      </c>
      <c r="B40" s="40">
        <v>750</v>
      </c>
      <c r="C40" s="40">
        <v>3</v>
      </c>
      <c r="D40" s="40">
        <v>150</v>
      </c>
      <c r="E40" s="40"/>
      <c r="F40" s="40">
        <v>1</v>
      </c>
      <c r="G40" s="41">
        <v>200301</v>
      </c>
      <c r="H40" s="1" t="str">
        <f>IFERROR(INDEX([1]物品基础表!$A:$A,MATCH(G40,[1]物品基础表!$B:$B,0)),"")</f>
        <v>传世宝钻</v>
      </c>
      <c r="I40" s="41">
        <v>150</v>
      </c>
      <c r="J40" s="41">
        <v>1</v>
      </c>
      <c r="K40" s="1" t="s">
        <v>695</v>
      </c>
      <c r="L40" s="41">
        <v>15000000</v>
      </c>
    </row>
    <row r="41" spans="1:12">
      <c r="A41" s="39" t="str">
        <f>INDEX([2]活动总表!$A$8:$A$429,MATCH(B41,[2]活动总表!$B$8:$B$429,0))</f>
        <v>妇女节嗨点</v>
      </c>
      <c r="B41" s="40">
        <v>750</v>
      </c>
      <c r="C41" s="40">
        <v>4</v>
      </c>
      <c r="D41" s="40">
        <v>100</v>
      </c>
      <c r="E41" s="40"/>
      <c r="F41" s="40">
        <v>1</v>
      </c>
      <c r="G41" s="41">
        <v>205000</v>
      </c>
      <c r="H41" s="1" t="str">
        <f>IFERROR(INDEX([1]物品基础表!$A:$A,MATCH(G41,[1]物品基础表!$B:$B,0)),"")</f>
        <v>战灵进阶丹</v>
      </c>
      <c r="I41" s="41">
        <v>60</v>
      </c>
      <c r="J41" s="41">
        <v>1</v>
      </c>
      <c r="K41" s="1" t="s">
        <v>695</v>
      </c>
      <c r="L41" s="41">
        <v>10000000</v>
      </c>
    </row>
    <row r="42" spans="1:12">
      <c r="A42" s="39" t="str">
        <f>INDEX([2]活动总表!$A$8:$A$429,MATCH(B42,[2]活动总表!$B$8:$B$429,0))</f>
        <v>妇女节嗨点</v>
      </c>
      <c r="B42" s="40">
        <v>750</v>
      </c>
      <c r="C42" s="40">
        <v>5</v>
      </c>
      <c r="D42" s="40">
        <v>50</v>
      </c>
      <c r="E42" s="40"/>
      <c r="F42" s="40">
        <v>1</v>
      </c>
      <c r="G42" s="41">
        <v>204064</v>
      </c>
      <c r="H42" s="1" t="str">
        <f>IFERROR(INDEX([1]物品基础表!$A:$A,MATCH(G42,[1]物品基础表!$B:$B,0)),"")</f>
        <v>高级转生轮回礼包</v>
      </c>
      <c r="I42" s="41">
        <v>5</v>
      </c>
      <c r="J42" s="41">
        <v>1</v>
      </c>
      <c r="K42" s="1" t="s">
        <v>695</v>
      </c>
      <c r="L42" s="41">
        <v>5000000</v>
      </c>
    </row>
    <row r="43" spans="1:12">
      <c r="A43" s="39" t="str">
        <f>INDEX([2]活动总表!$A$8:$A$429,MATCH(B43,[2]活动总表!$B$8:$B$429,0))</f>
        <v>妇女节嗨点(15-30天)</v>
      </c>
      <c r="B43" s="40">
        <v>752</v>
      </c>
      <c r="C43" s="40">
        <v>1</v>
      </c>
      <c r="D43" s="40">
        <v>400</v>
      </c>
      <c r="E43" s="40"/>
      <c r="F43" s="40">
        <v>1</v>
      </c>
      <c r="G43" s="41">
        <v>200301</v>
      </c>
      <c r="H43" s="1" t="str">
        <f>IFERROR(INDEX([1]物品基础表!$A:$A,MATCH(G43,[1]物品基础表!$B:$B,0)),"")</f>
        <v>传世宝钻</v>
      </c>
      <c r="I43" s="41">
        <v>300</v>
      </c>
      <c r="J43" s="41">
        <v>1</v>
      </c>
      <c r="K43" s="1" t="s">
        <v>695</v>
      </c>
      <c r="L43" s="41">
        <v>40000000</v>
      </c>
    </row>
    <row r="44" spans="1:12">
      <c r="A44" s="39" t="str">
        <f>INDEX([2]活动总表!$A$8:$A$429,MATCH(B44,[2]活动总表!$B$8:$B$429,0))</f>
        <v>妇女节嗨点(15-30天)</v>
      </c>
      <c r="B44" s="40">
        <v>752</v>
      </c>
      <c r="C44" s="40">
        <v>2</v>
      </c>
      <c r="D44" s="40">
        <v>250</v>
      </c>
      <c r="E44" s="40"/>
      <c r="F44" s="40">
        <v>1</v>
      </c>
      <c r="G44" s="41">
        <v>220011</v>
      </c>
      <c r="H44" s="1" t="str">
        <f>IFERROR(INDEX([1]物品基础表!$A:$A,MATCH(G44,[1]物品基础表!$B:$B,0)),"")</f>
        <v>高级秘籍宝箱</v>
      </c>
      <c r="I44" s="41">
        <v>1</v>
      </c>
      <c r="J44" s="41">
        <v>1</v>
      </c>
      <c r="K44" s="1" t="s">
        <v>695</v>
      </c>
      <c r="L44" s="41">
        <v>25000000</v>
      </c>
    </row>
    <row r="45" spans="1:12">
      <c r="A45" s="39" t="str">
        <f>INDEX([2]活动总表!$A$8:$A$429,MATCH(B45,[2]活动总表!$B$8:$B$429,0))</f>
        <v>妇女节嗨点(15-30天)</v>
      </c>
      <c r="B45" s="40">
        <v>752</v>
      </c>
      <c r="C45" s="40">
        <v>3</v>
      </c>
      <c r="D45" s="40">
        <v>150</v>
      </c>
      <c r="E45" s="40"/>
      <c r="F45" s="40">
        <v>1</v>
      </c>
      <c r="G45" s="41">
        <v>200925</v>
      </c>
      <c r="H45" s="1" t="str">
        <f>IFERROR(INDEX([1]物品基础表!$A:$A,MATCH(G45,[1]物品基础表!$B:$B,0)),"")</f>
        <v>红色战纹任选宝箱</v>
      </c>
      <c r="I45" s="41">
        <v>1</v>
      </c>
      <c r="J45" s="41">
        <v>1</v>
      </c>
      <c r="K45" s="1" t="s">
        <v>695</v>
      </c>
      <c r="L45" s="41">
        <v>15000000</v>
      </c>
    </row>
    <row r="46" spans="1:12">
      <c r="A46" s="39" t="str">
        <f>INDEX([2]活动总表!$A$8:$A$429,MATCH(B46,[2]活动总表!$B$8:$B$429,0))</f>
        <v>妇女节嗨点(15-30天)</v>
      </c>
      <c r="B46" s="40">
        <v>752</v>
      </c>
      <c r="C46" s="40">
        <v>4</v>
      </c>
      <c r="D46" s="40">
        <v>100</v>
      </c>
      <c r="E46" s="40"/>
      <c r="F46" s="40">
        <v>1</v>
      </c>
      <c r="G46" s="41">
        <v>200015</v>
      </c>
      <c r="H46" s="1" t="str">
        <f>IFERROR(INDEX([1]物品基础表!$A:$A,MATCH(G46,[1]物品基础表!$B:$B,0)),"")</f>
        <v>特戒碎片</v>
      </c>
      <c r="I46" s="41">
        <v>500</v>
      </c>
      <c r="J46" s="41">
        <v>1</v>
      </c>
      <c r="K46" s="1" t="s">
        <v>695</v>
      </c>
      <c r="L46" s="41">
        <v>10000000</v>
      </c>
    </row>
    <row r="47" spans="1:12">
      <c r="A47" s="39" t="str">
        <f>INDEX([2]活动总表!$A$8:$A$429,MATCH(B47,[2]活动总表!$B$8:$B$429,0))</f>
        <v>妇女节嗨点(15-30天)</v>
      </c>
      <c r="B47" s="40">
        <v>752</v>
      </c>
      <c r="C47" s="40">
        <v>5</v>
      </c>
      <c r="D47" s="40">
        <v>50</v>
      </c>
      <c r="E47" s="40"/>
      <c r="F47" s="40">
        <v>1</v>
      </c>
      <c r="G47" s="41">
        <v>200009</v>
      </c>
      <c r="H47" s="1" t="str">
        <f>IFERROR(INDEX([1]物品基础表!$A:$A,MATCH(G47,[1]物品基础表!$B:$B,0)),"")</f>
        <v>高级转生丹</v>
      </c>
      <c r="I47" s="41">
        <v>5</v>
      </c>
      <c r="J47" s="41">
        <v>1</v>
      </c>
      <c r="K47" s="1" t="s">
        <v>695</v>
      </c>
      <c r="L47" s="41">
        <v>5000000</v>
      </c>
    </row>
    <row r="48" spans="1:12">
      <c r="A48" s="39" t="str">
        <f>INDEX([2]活动总表!$A$8:$A$429,MATCH(B48,[2]活动总表!$B$8:$B$429,0))</f>
        <v>妇女节嗨点(30-60天)</v>
      </c>
      <c r="B48" s="40">
        <v>754</v>
      </c>
      <c r="C48" s="40">
        <v>1</v>
      </c>
      <c r="D48" s="40">
        <v>400</v>
      </c>
      <c r="E48" s="40"/>
      <c r="F48" s="40">
        <v>1</v>
      </c>
      <c r="G48" s="41">
        <v>500011</v>
      </c>
      <c r="H48" s="1" t="str">
        <f>IFERROR(INDEX([1]物品基础表!$A:$A,MATCH(G48,[1]物品基础表!$B:$B,0)),"")</f>
        <v>战纹碎片（小）</v>
      </c>
      <c r="I48" s="41">
        <v>4000</v>
      </c>
      <c r="J48" s="41">
        <v>1</v>
      </c>
      <c r="K48" s="1" t="s">
        <v>695</v>
      </c>
      <c r="L48" s="41">
        <v>40000000</v>
      </c>
    </row>
    <row r="49" spans="1:12">
      <c r="A49" s="39" t="str">
        <f>INDEX([2]活动总表!$A$8:$A$429,MATCH(B49,[2]活动总表!$B$8:$B$429,0))</f>
        <v>妇女节嗨点(30-60天)</v>
      </c>
      <c r="B49" s="40">
        <v>754</v>
      </c>
      <c r="C49" s="40">
        <v>2</v>
      </c>
      <c r="D49" s="40">
        <v>250</v>
      </c>
      <c r="E49" s="40"/>
      <c r="F49" s="40">
        <v>1</v>
      </c>
      <c r="G49" s="41">
        <v>200997</v>
      </c>
      <c r="H49" s="1" t="str">
        <f>IFERROR(INDEX([1]物品基础表!$A:$A,MATCH(G49,[1]物品基础表!$B:$B,0)),"")</f>
        <v>星☆传世宝箱</v>
      </c>
      <c r="I49" s="41">
        <v>1</v>
      </c>
      <c r="J49" s="41">
        <v>1</v>
      </c>
      <c r="K49" s="1" t="s">
        <v>695</v>
      </c>
      <c r="L49" s="41">
        <v>25000000</v>
      </c>
    </row>
    <row r="50" spans="1:12">
      <c r="A50" s="39" t="str">
        <f>INDEX([2]活动总表!$A$8:$A$429,MATCH(B50,[2]活动总表!$B$8:$B$429,0))</f>
        <v>妇女节嗨点(30-60天)</v>
      </c>
      <c r="B50" s="40">
        <v>754</v>
      </c>
      <c r="C50" s="40">
        <v>3</v>
      </c>
      <c r="D50" s="40">
        <v>150</v>
      </c>
      <c r="E50" s="40"/>
      <c r="F50" s="40">
        <v>1</v>
      </c>
      <c r="G50" s="41">
        <v>220011</v>
      </c>
      <c r="H50" s="1" t="str">
        <f>IFERROR(INDEX([1]物品基础表!$A:$A,MATCH(G50,[1]物品基础表!$B:$B,0)),"")</f>
        <v>高级秘籍宝箱</v>
      </c>
      <c r="I50" s="41">
        <v>1</v>
      </c>
      <c r="J50" s="41">
        <v>1</v>
      </c>
      <c r="K50" s="1" t="s">
        <v>695</v>
      </c>
      <c r="L50" s="41">
        <v>15000000</v>
      </c>
    </row>
    <row r="51" spans="1:12">
      <c r="A51" s="39" t="str">
        <f>INDEX([2]活动总表!$A$8:$A$429,MATCH(B51,[2]活动总表!$B$8:$B$429,0))</f>
        <v>妇女节嗨点(30-60天)</v>
      </c>
      <c r="B51" s="40">
        <v>754</v>
      </c>
      <c r="C51" s="40">
        <v>4</v>
      </c>
      <c r="D51" s="40">
        <v>100</v>
      </c>
      <c r="E51" s="40"/>
      <c r="F51" s="40">
        <v>1</v>
      </c>
      <c r="G51" s="41">
        <v>200005</v>
      </c>
      <c r="H51" s="1" t="str">
        <f>IFERROR(INDEX([1]物品基础表!$A:$A,MATCH(G51,[1]物品基础表!$B:$B,0)),"")</f>
        <v>龙魂碎片</v>
      </c>
      <c r="I51" s="41">
        <v>50</v>
      </c>
      <c r="J51" s="41">
        <v>1</v>
      </c>
      <c r="K51" s="1" t="s">
        <v>695</v>
      </c>
      <c r="L51" s="41">
        <v>10000000</v>
      </c>
    </row>
    <row r="52" spans="1:12">
      <c r="A52" s="39" t="str">
        <f>INDEX([2]活动总表!$A$8:$A$429,MATCH(B52,[2]活动总表!$B$8:$B$429,0))</f>
        <v>妇女节嗨点(30-60天)</v>
      </c>
      <c r="B52" s="40">
        <v>754</v>
      </c>
      <c r="C52" s="40">
        <v>5</v>
      </c>
      <c r="D52" s="40">
        <v>50</v>
      </c>
      <c r="E52" s="40"/>
      <c r="F52" s="40">
        <v>1</v>
      </c>
      <c r="G52" s="41">
        <v>204064</v>
      </c>
      <c r="H52" s="1" t="str">
        <f>IFERROR(INDEX([1]物品基础表!$A:$A,MATCH(G52,[1]物品基础表!$B:$B,0)),"")</f>
        <v>高级转生轮回礼包</v>
      </c>
      <c r="I52" s="41">
        <v>5</v>
      </c>
      <c r="J52" s="41">
        <v>1</v>
      </c>
      <c r="K52" s="1" t="s">
        <v>695</v>
      </c>
      <c r="L52" s="41">
        <v>5000000</v>
      </c>
    </row>
    <row r="53" spans="1:12">
      <c r="A53" s="39" t="str">
        <f>INDEX([2]活动总表!$A$8:$A$429,MATCH(B53,[2]活动总表!$B$8:$B$429,0))</f>
        <v>妇女节嗨点(61+天)</v>
      </c>
      <c r="B53" s="40">
        <v>756</v>
      </c>
      <c r="C53" s="40">
        <v>1</v>
      </c>
      <c r="D53" s="40">
        <v>400</v>
      </c>
      <c r="E53" s="40"/>
      <c r="F53" s="40">
        <v>1</v>
      </c>
      <c r="G53" s="41">
        <v>500011</v>
      </c>
      <c r="H53" s="1" t="str">
        <f>IFERROR(INDEX([1]物品基础表!$A:$A,MATCH(G53,[1]物品基础表!$B:$B,0)),"")</f>
        <v>战纹碎片（小）</v>
      </c>
      <c r="I53" s="41">
        <v>5000</v>
      </c>
      <c r="J53" s="41">
        <v>1</v>
      </c>
      <c r="K53" s="1" t="s">
        <v>695</v>
      </c>
      <c r="L53" s="41">
        <v>40000000</v>
      </c>
    </row>
    <row r="54" spans="1:12">
      <c r="A54" s="39" t="str">
        <f>INDEX([2]活动总表!$A$8:$A$429,MATCH(B54,[2]活动总表!$B$8:$B$429,0))</f>
        <v>妇女节嗨点(61+天)</v>
      </c>
      <c r="B54" s="40">
        <v>756</v>
      </c>
      <c r="C54" s="40">
        <v>2</v>
      </c>
      <c r="D54" s="40">
        <v>250</v>
      </c>
      <c r="E54" s="40"/>
      <c r="F54" s="40">
        <v>1</v>
      </c>
      <c r="G54" s="41">
        <v>505401</v>
      </c>
      <c r="H54" s="1" t="str">
        <f>IFERROR(INDEX([1]物品基础表!$A:$A,MATCH(G54,[1]物品基础表!$B:$B,0)),"")</f>
        <v>金神盔1级</v>
      </c>
      <c r="I54" s="41">
        <v>1</v>
      </c>
      <c r="J54" s="41">
        <v>1</v>
      </c>
      <c r="K54" s="1" t="s">
        <v>695</v>
      </c>
      <c r="L54" s="41">
        <v>25000000</v>
      </c>
    </row>
    <row r="55" spans="1:12">
      <c r="A55" s="39" t="str">
        <f>INDEX([2]活动总表!$A$8:$A$429,MATCH(B55,[2]活动总表!$B$8:$B$429,0))</f>
        <v>妇女节嗨点(61+天)</v>
      </c>
      <c r="B55" s="40">
        <v>756</v>
      </c>
      <c r="C55" s="40">
        <v>3</v>
      </c>
      <c r="D55" s="40">
        <v>150</v>
      </c>
      <c r="E55" s="40"/>
      <c r="F55" s="40">
        <v>1</v>
      </c>
      <c r="G55" s="41">
        <v>200301</v>
      </c>
      <c r="H55" s="1" t="str">
        <f>IFERROR(INDEX([1]物品基础表!$A:$A,MATCH(G55,[1]物品基础表!$B:$B,0)),"")</f>
        <v>传世宝钻</v>
      </c>
      <c r="I55" s="41">
        <v>150</v>
      </c>
      <c r="J55" s="41">
        <v>1</v>
      </c>
      <c r="K55" s="1" t="s">
        <v>695</v>
      </c>
      <c r="L55" s="41">
        <v>15000000</v>
      </c>
    </row>
    <row r="56" spans="1:12">
      <c r="A56" s="39" t="str">
        <f>INDEX([2]活动总表!$A$8:$A$429,MATCH(B56,[2]活动总表!$B$8:$B$429,0))</f>
        <v>妇女节嗨点(61+天)</v>
      </c>
      <c r="B56" s="40">
        <v>756</v>
      </c>
      <c r="C56" s="40">
        <v>4</v>
      </c>
      <c r="D56" s="40">
        <v>100</v>
      </c>
      <c r="E56" s="40"/>
      <c r="F56" s="40">
        <v>1</v>
      </c>
      <c r="G56" s="41">
        <v>205000</v>
      </c>
      <c r="H56" s="1" t="str">
        <f>IFERROR(INDEX([1]物品基础表!$A:$A,MATCH(G56,[1]物品基础表!$B:$B,0)),"")</f>
        <v>战灵进阶丹</v>
      </c>
      <c r="I56" s="41">
        <v>60</v>
      </c>
      <c r="J56" s="41">
        <v>1</v>
      </c>
      <c r="K56" s="1" t="s">
        <v>695</v>
      </c>
      <c r="L56" s="41">
        <v>10000000</v>
      </c>
    </row>
    <row r="57" spans="1:12">
      <c r="A57" s="39" t="str">
        <f>INDEX([2]活动总表!$A$8:$A$429,MATCH(B57,[2]活动总表!$B$8:$B$429,0))</f>
        <v>妇女节嗨点(61+天)</v>
      </c>
      <c r="B57" s="40">
        <v>756</v>
      </c>
      <c r="C57" s="40">
        <v>5</v>
      </c>
      <c r="D57" s="40">
        <v>50</v>
      </c>
      <c r="E57" s="40"/>
      <c r="F57" s="40">
        <v>1</v>
      </c>
      <c r="G57" s="41">
        <v>204064</v>
      </c>
      <c r="H57" s="1" t="str">
        <f>IFERROR(INDEX([1]物品基础表!$A:$A,MATCH(G57,[1]物品基础表!$B:$B,0)),"")</f>
        <v>高级转生轮回礼包</v>
      </c>
      <c r="I57" s="41">
        <v>5</v>
      </c>
      <c r="J57" s="41">
        <v>1</v>
      </c>
      <c r="K57" s="1" t="s">
        <v>695</v>
      </c>
      <c r="L57" s="41">
        <v>5000000</v>
      </c>
    </row>
    <row r="58" spans="1:12">
      <c r="A58" s="39" t="str">
        <f>INDEX([2]活动总表!$A$8:$A$429,MATCH(B58,[2]活动总表!$B$8:$B$429,0))</f>
        <v>版本庆典-5日活跃</v>
      </c>
      <c r="B58" s="40">
        <v>1001</v>
      </c>
      <c r="C58" s="40">
        <v>1</v>
      </c>
      <c r="D58" s="40">
        <v>50</v>
      </c>
      <c r="E58" s="40"/>
      <c r="F58" s="40"/>
      <c r="G58" s="41">
        <v>500011</v>
      </c>
      <c r="H58" s="1" t="str">
        <f>IFERROR(INDEX([1]物品基础表!$A:$A,MATCH(G58,[1]物品基础表!$B:$B,0)),"")</f>
        <v>战纹碎片（小）</v>
      </c>
      <c r="I58" s="41">
        <v>5000</v>
      </c>
      <c r="J58" s="41">
        <v>1</v>
      </c>
      <c r="K58" s="1" t="s">
        <v>695</v>
      </c>
      <c r="L58" s="41">
        <v>40000000</v>
      </c>
    </row>
    <row r="59" spans="1:12">
      <c r="A59" s="39" t="str">
        <f>INDEX([2]活动总表!$A$8:$A$429,MATCH(B59,[2]活动总表!$B$8:$B$429,0))</f>
        <v>版本庆典-5日活跃</v>
      </c>
      <c r="B59" s="40">
        <v>1001</v>
      </c>
      <c r="C59" s="40">
        <v>2</v>
      </c>
      <c r="D59" s="40">
        <v>100</v>
      </c>
      <c r="E59" s="40"/>
      <c r="F59" s="40"/>
      <c r="G59" s="41">
        <v>505401</v>
      </c>
      <c r="H59" s="1" t="str">
        <f>IFERROR(INDEX([1]物品基础表!$A:$A,MATCH(G59,[1]物品基础表!$B:$B,0)),"")</f>
        <v>金神盔1级</v>
      </c>
      <c r="I59" s="41">
        <v>1</v>
      </c>
      <c r="J59" s="41">
        <v>1</v>
      </c>
      <c r="K59" s="1" t="s">
        <v>695</v>
      </c>
      <c r="L59" s="41">
        <v>25000000</v>
      </c>
    </row>
    <row r="60" spans="1:12">
      <c r="A60" s="39" t="str">
        <f>INDEX([2]活动总表!$A$8:$A$429,MATCH(B60,[2]活动总表!$B$8:$B$429,0))</f>
        <v>版本庆典-5日活跃</v>
      </c>
      <c r="B60" s="40">
        <v>1001</v>
      </c>
      <c r="C60" s="40">
        <v>3</v>
      </c>
      <c r="D60" s="40">
        <v>200</v>
      </c>
      <c r="E60" s="40"/>
      <c r="F60" s="40"/>
      <c r="G60" s="41">
        <v>200301</v>
      </c>
      <c r="H60" s="1" t="str">
        <f>IFERROR(INDEX([1]物品基础表!$A:$A,MATCH(G60,[1]物品基础表!$B:$B,0)),"")</f>
        <v>传世宝钻</v>
      </c>
      <c r="I60" s="41">
        <v>150</v>
      </c>
      <c r="J60" s="41">
        <v>1</v>
      </c>
      <c r="K60" s="1" t="s">
        <v>695</v>
      </c>
      <c r="L60" s="41">
        <v>15000000</v>
      </c>
    </row>
    <row r="61" spans="1:12">
      <c r="A61" s="39" t="str">
        <f>INDEX([2]活动总表!$A$8:$A$429,MATCH(B61,[2]活动总表!$B$8:$B$429,0))</f>
        <v>版本庆典-5日活跃</v>
      </c>
      <c r="B61" s="40">
        <v>1001</v>
      </c>
      <c r="C61" s="40">
        <v>4</v>
      </c>
      <c r="D61" s="40">
        <v>300</v>
      </c>
      <c r="E61" s="40"/>
      <c r="F61" s="40"/>
      <c r="G61" s="41">
        <v>205000</v>
      </c>
      <c r="H61" s="1" t="str">
        <f>IFERROR(INDEX([1]物品基础表!$A:$A,MATCH(G61,[1]物品基础表!$B:$B,0)),"")</f>
        <v>战灵进阶丹</v>
      </c>
      <c r="I61" s="41">
        <v>60</v>
      </c>
      <c r="J61" s="41">
        <v>1</v>
      </c>
      <c r="K61" s="1" t="s">
        <v>695</v>
      </c>
      <c r="L61" s="41">
        <v>10000000</v>
      </c>
    </row>
    <row r="62" spans="1:12">
      <c r="A62" s="39" t="str">
        <f>INDEX([2]活动总表!$A$8:$A$429,MATCH(B62,[2]活动总表!$B$8:$B$429,0))</f>
        <v>版本庆典-5日活跃</v>
      </c>
      <c r="B62" s="40">
        <v>1001</v>
      </c>
      <c r="C62" s="40">
        <v>5</v>
      </c>
      <c r="D62" s="40">
        <v>400</v>
      </c>
      <c r="E62" s="40"/>
      <c r="F62" s="40"/>
      <c r="G62" s="41">
        <v>204064</v>
      </c>
      <c r="H62" s="1" t="str">
        <f>IFERROR(INDEX([1]物品基础表!$A:$A,MATCH(G62,[1]物品基础表!$B:$B,0)),"")</f>
        <v>高级转生轮回礼包</v>
      </c>
      <c r="I62" s="41">
        <v>5</v>
      </c>
      <c r="J62" s="41">
        <v>1</v>
      </c>
      <c r="K62" s="1" t="s">
        <v>695</v>
      </c>
      <c r="L62" s="41">
        <v>5000000</v>
      </c>
    </row>
    <row r="63" spans="1:12">
      <c r="A63" s="39" t="str">
        <f>INDEX([2]活动总表!$A$8:$A$429,MATCH(B63,[2]活动总表!$B$8:$B$429,0))</f>
        <v>版本庆典-5日活跃</v>
      </c>
      <c r="B63" s="40">
        <v>1001</v>
      </c>
      <c r="C63" s="40">
        <v>6</v>
      </c>
      <c r="D63" s="40">
        <v>500</v>
      </c>
      <c r="E63" s="40"/>
      <c r="F63" s="40"/>
      <c r="G63" s="41">
        <v>204064</v>
      </c>
      <c r="H63" s="1" t="str">
        <f>IFERROR(INDEX([1]物品基础表!$A:$A,MATCH(G63,[1]物品基础表!$B:$B,0)),"")</f>
        <v>高级转生轮回礼包</v>
      </c>
      <c r="I63" s="41">
        <v>5</v>
      </c>
      <c r="J63" s="41">
        <v>1</v>
      </c>
      <c r="K63" s="1" t="s">
        <v>695</v>
      </c>
      <c r="L63" s="41">
        <v>5000000</v>
      </c>
    </row>
  </sheetData>
  <mergeCells count="1">
    <mergeCell ref="G1:L1"/>
  </mergeCells>
  <phoneticPr fontId="1" type="noConversion"/>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T453"/>
  <sheetViews>
    <sheetView topLeftCell="A210" workbookViewId="0">
      <selection activeCell="O254" sqref="O254"/>
    </sheetView>
  </sheetViews>
  <sheetFormatPr defaultRowHeight="13.5"/>
  <cols>
    <col min="1" max="1" width="20.75" style="77" bestFit="1" customWidth="1"/>
    <col min="2" max="2" width="9" style="76" bestFit="1" customWidth="1"/>
    <col min="3" max="3" width="5.25" style="76" bestFit="1" customWidth="1"/>
    <col min="4" max="4" width="9" style="76" bestFit="1" customWidth="1"/>
    <col min="5" max="9" width="13" style="76" bestFit="1" customWidth="1"/>
    <col min="10" max="10" width="19.375" style="76" bestFit="1" customWidth="1"/>
    <col min="11" max="11" width="9" style="76" bestFit="1" customWidth="1"/>
    <col min="12" max="12" width="7.5" style="76" bestFit="1" customWidth="1"/>
    <col min="13" max="13" width="15.125" style="76" bestFit="1" customWidth="1"/>
    <col min="14" max="14" width="5.25" style="76" bestFit="1" customWidth="1"/>
    <col min="15" max="15" width="7.5" style="76" bestFit="1" customWidth="1"/>
    <col min="16" max="16" width="17.5" style="76" bestFit="1" customWidth="1"/>
    <col min="17" max="17" width="8.5" style="76" bestFit="1" customWidth="1"/>
    <col min="18" max="18" width="3.5" style="76" bestFit="1" customWidth="1"/>
    <col min="19" max="19" width="8.25" style="76" bestFit="1" customWidth="1"/>
    <col min="20" max="20" width="8.5" style="76" bestFit="1" customWidth="1"/>
    <col min="21" max="16384" width="9" style="76"/>
  </cols>
  <sheetData>
    <row r="1" spans="1:20" s="61" customFormat="1">
      <c r="A1" s="75"/>
      <c r="L1" s="117" t="s">
        <v>917</v>
      </c>
      <c r="M1" s="117"/>
      <c r="N1" s="117"/>
      <c r="O1" s="117"/>
      <c r="P1" s="117"/>
      <c r="Q1" s="117"/>
      <c r="R1" s="117"/>
      <c r="S1" s="117"/>
      <c r="T1" s="117"/>
    </row>
    <row r="2" spans="1:20">
      <c r="A2" s="74" t="s">
        <v>19</v>
      </c>
      <c r="B2" s="66" t="s">
        <v>902</v>
      </c>
      <c r="C2" s="66" t="s">
        <v>65</v>
      </c>
      <c r="D2" s="66" t="s">
        <v>910</v>
      </c>
      <c r="E2" s="66" t="s">
        <v>911</v>
      </c>
      <c r="F2" s="66" t="s">
        <v>912</v>
      </c>
      <c r="G2" s="66" t="s">
        <v>913</v>
      </c>
      <c r="H2" s="66" t="s">
        <v>914</v>
      </c>
      <c r="I2" s="66" t="s">
        <v>915</v>
      </c>
      <c r="J2" s="66" t="s">
        <v>916</v>
      </c>
      <c r="K2" s="66" t="s">
        <v>918</v>
      </c>
      <c r="L2" s="72" t="s">
        <v>2</v>
      </c>
      <c r="M2" s="72" t="s">
        <v>3</v>
      </c>
      <c r="N2" s="72" t="s">
        <v>4</v>
      </c>
      <c r="O2" s="72" t="s">
        <v>2</v>
      </c>
      <c r="P2" s="72" t="s">
        <v>3</v>
      </c>
      <c r="Q2" s="72" t="s">
        <v>4</v>
      </c>
      <c r="R2" s="72" t="s">
        <v>2</v>
      </c>
      <c r="S2" s="72" t="s">
        <v>3</v>
      </c>
      <c r="T2" s="72" t="s">
        <v>4</v>
      </c>
    </row>
    <row r="3" spans="1:20">
      <c r="A3" s="39" t="str">
        <f>INDEX([2]活动总表!$A$8:$A$429,MATCH(B3,[2]活动总表!$B$8:$B$429,0))</f>
        <v>元旦-嗨翻天</v>
      </c>
      <c r="B3" s="40">
        <v>243</v>
      </c>
      <c r="C3" s="40">
        <v>1</v>
      </c>
      <c r="D3" s="40">
        <v>5</v>
      </c>
      <c r="E3" s="40">
        <v>0</v>
      </c>
      <c r="F3" s="40">
        <v>1</v>
      </c>
      <c r="G3" s="40">
        <v>10</v>
      </c>
      <c r="H3" s="40">
        <v>2</v>
      </c>
      <c r="I3" s="40"/>
      <c r="J3" s="40" t="s">
        <v>920</v>
      </c>
      <c r="K3" s="40"/>
      <c r="M3" s="76" t="str">
        <f>IFERROR(INDEX([1]物品基础表!$A:$A,MATCH(L3,[1]物品基础表!$B:$B,0)),"")</f>
        <v/>
      </c>
      <c r="P3" s="76" t="str">
        <f>IFERROR(INDEX([1]物品基础表!$A:$A,MATCH(O3,[1]物品基础表!$B:$B,0)),"")</f>
        <v/>
      </c>
      <c r="S3" s="76" t="str">
        <f>IFERROR(INDEX([1]物品基础表!$A:$A,MATCH(R3,[1]物品基础表!$B:$B,0)),"")</f>
        <v/>
      </c>
    </row>
    <row r="4" spans="1:20">
      <c r="A4" s="39" t="str">
        <f>INDEX([2]活动总表!$A$8:$A$429,MATCH(B4,[2]活动总表!$B$8:$B$429,0))</f>
        <v>元旦-嗨翻天</v>
      </c>
      <c r="B4" s="40">
        <v>243</v>
      </c>
      <c r="C4" s="40">
        <v>2</v>
      </c>
      <c r="D4" s="40">
        <v>98</v>
      </c>
      <c r="E4" s="40">
        <v>0</v>
      </c>
      <c r="F4" s="40">
        <v>1</v>
      </c>
      <c r="G4" s="40">
        <v>3</v>
      </c>
      <c r="H4" s="40">
        <v>5</v>
      </c>
      <c r="I4" s="40"/>
      <c r="J4" s="40" t="s">
        <v>921</v>
      </c>
      <c r="K4" s="40"/>
      <c r="M4" s="76" t="str">
        <f>IFERROR(INDEX([1]物品基础表!$A:$A,MATCH(L4,[1]物品基础表!$B:$B,0)),"")</f>
        <v/>
      </c>
      <c r="P4" s="76" t="str">
        <f>IFERROR(INDEX([1]物品基础表!$A:$A,MATCH(O4,[1]物品基础表!$B:$B,0)),"")</f>
        <v/>
      </c>
      <c r="S4" s="76" t="str">
        <f>IFERROR(INDEX([1]物品基础表!$A:$A,MATCH(R4,[1]物品基础表!$B:$B,0)),"")</f>
        <v/>
      </c>
    </row>
    <row r="5" spans="1:20">
      <c r="A5" s="39" t="str">
        <f>INDEX([2]活动总表!$A$8:$A$429,MATCH(B5,[2]活动总表!$B$8:$B$429,0))</f>
        <v>元旦-嗨翻天</v>
      </c>
      <c r="B5" s="40">
        <v>243</v>
      </c>
      <c r="C5" s="40">
        <v>3</v>
      </c>
      <c r="D5" s="40">
        <v>50</v>
      </c>
      <c r="E5" s="40">
        <v>0</v>
      </c>
      <c r="F5" s="40">
        <v>1</v>
      </c>
      <c r="G5" s="40">
        <v>8</v>
      </c>
      <c r="H5" s="40">
        <v>2</v>
      </c>
      <c r="I5" s="40"/>
      <c r="J5" s="40" t="s">
        <v>922</v>
      </c>
      <c r="K5" s="40"/>
      <c r="M5" s="76" t="str">
        <f>IFERROR(INDEX([1]物品基础表!$A:$A,MATCH(L5,[1]物品基础表!$B:$B,0)),"")</f>
        <v/>
      </c>
      <c r="P5" s="76" t="str">
        <f>IFERROR(INDEX([1]物品基础表!$A:$A,MATCH(O5,[1]物品基础表!$B:$B,0)),"")</f>
        <v/>
      </c>
      <c r="S5" s="76" t="str">
        <f>IFERROR(INDEX([1]物品基础表!$A:$A,MATCH(R5,[1]物品基础表!$B:$B,0)),"")</f>
        <v/>
      </c>
    </row>
    <row r="6" spans="1:20">
      <c r="A6" s="39" t="str">
        <f>INDEX([2]活动总表!$A$8:$A$429,MATCH(B6,[2]活动总表!$B$8:$B$429,0))</f>
        <v>元旦-嗨翻天</v>
      </c>
      <c r="B6" s="40">
        <v>243</v>
      </c>
      <c r="C6" s="40">
        <v>4</v>
      </c>
      <c r="D6" s="40">
        <v>27</v>
      </c>
      <c r="E6" s="40">
        <v>2</v>
      </c>
      <c r="F6" s="40">
        <v>1</v>
      </c>
      <c r="G6" s="40">
        <v>16</v>
      </c>
      <c r="H6" s="40">
        <v>4</v>
      </c>
      <c r="I6" s="40"/>
      <c r="J6" s="40" t="s">
        <v>923</v>
      </c>
      <c r="K6" s="40"/>
      <c r="M6" s="76" t="str">
        <f>IFERROR(INDEX([1]物品基础表!$A:$A,MATCH(L6,[1]物品基础表!$B:$B,0)),"")</f>
        <v/>
      </c>
      <c r="P6" s="76" t="str">
        <f>IFERROR(INDEX([1]物品基础表!$A:$A,MATCH(O6,[1]物品基础表!$B:$B,0)),"")</f>
        <v/>
      </c>
      <c r="S6" s="76" t="str">
        <f>IFERROR(INDEX([1]物品基础表!$A:$A,MATCH(R6,[1]物品基础表!$B:$B,0)),"")</f>
        <v/>
      </c>
    </row>
    <row r="7" spans="1:20">
      <c r="A7" s="39" t="str">
        <f>INDEX([2]活动总表!$A$8:$A$429,MATCH(B7,[2]活动总表!$B$8:$B$429,0))</f>
        <v>元旦-嗨翻天</v>
      </c>
      <c r="B7" s="40">
        <v>243</v>
      </c>
      <c r="C7" s="40">
        <v>5</v>
      </c>
      <c r="D7" s="40">
        <v>94</v>
      </c>
      <c r="E7" s="40">
        <v>4</v>
      </c>
      <c r="F7" s="40">
        <v>1</v>
      </c>
      <c r="G7" s="40">
        <v>3</v>
      </c>
      <c r="H7" s="40">
        <v>5</v>
      </c>
      <c r="I7" s="40"/>
      <c r="J7" s="40" t="s">
        <v>924</v>
      </c>
      <c r="K7" s="40"/>
      <c r="M7" s="76" t="str">
        <f>IFERROR(INDEX([1]物品基础表!$A:$A,MATCH(L7,[1]物品基础表!$B:$B,0)),"")</f>
        <v/>
      </c>
      <c r="P7" s="76" t="str">
        <f>IFERROR(INDEX([1]物品基础表!$A:$A,MATCH(O7,[1]物品基础表!$B:$B,0)),"")</f>
        <v/>
      </c>
      <c r="S7" s="76" t="str">
        <f>IFERROR(INDEX([1]物品基础表!$A:$A,MATCH(R7,[1]物品基础表!$B:$B,0)),"")</f>
        <v/>
      </c>
    </row>
    <row r="8" spans="1:20">
      <c r="A8" s="39" t="str">
        <f>INDEX([2]活动总表!$A$8:$A$429,MATCH(B8,[2]活动总表!$B$8:$B$429,0))</f>
        <v>元旦-嗨翻天</v>
      </c>
      <c r="B8" s="40">
        <v>243</v>
      </c>
      <c r="C8" s="40">
        <v>6</v>
      </c>
      <c r="D8" s="40">
        <v>91</v>
      </c>
      <c r="E8" s="40">
        <v>0</v>
      </c>
      <c r="F8" s="40">
        <v>1</v>
      </c>
      <c r="G8" s="40">
        <v>20</v>
      </c>
      <c r="H8" s="40">
        <v>2</v>
      </c>
      <c r="I8" s="40"/>
      <c r="J8" s="40" t="s">
        <v>925</v>
      </c>
      <c r="K8" s="40"/>
      <c r="M8" s="76" t="str">
        <f>IFERROR(INDEX([1]物品基础表!$A:$A,MATCH(L8,[1]物品基础表!$B:$B,0)),"")</f>
        <v/>
      </c>
      <c r="P8" s="76" t="str">
        <f>IFERROR(INDEX([1]物品基础表!$A:$A,MATCH(O8,[1]物品基础表!$B:$B,0)),"")</f>
        <v/>
      </c>
      <c r="S8" s="76" t="str">
        <f>IFERROR(INDEX([1]物品基础表!$A:$A,MATCH(R8,[1]物品基础表!$B:$B,0)),"")</f>
        <v/>
      </c>
    </row>
    <row r="9" spans="1:20">
      <c r="A9" s="39" t="str">
        <f>INDEX([2]活动总表!$A$8:$A$429,MATCH(B9,[2]活动总表!$B$8:$B$429,0))</f>
        <v>元旦-嗨翻天</v>
      </c>
      <c r="B9" s="40">
        <v>243</v>
      </c>
      <c r="C9" s="40">
        <v>7</v>
      </c>
      <c r="D9" s="40">
        <v>92</v>
      </c>
      <c r="E9" s="40">
        <v>0</v>
      </c>
      <c r="F9" s="40">
        <v>1</v>
      </c>
      <c r="G9" s="40">
        <v>10</v>
      </c>
      <c r="H9" s="40">
        <v>2</v>
      </c>
      <c r="I9" s="40"/>
      <c r="J9" s="40" t="s">
        <v>926</v>
      </c>
      <c r="K9" s="40"/>
      <c r="M9" s="76" t="str">
        <f>IFERROR(INDEX([1]物品基础表!$A:$A,MATCH(L9,[1]物品基础表!$B:$B,0)),"")</f>
        <v/>
      </c>
      <c r="P9" s="76" t="str">
        <f>IFERROR(INDEX([1]物品基础表!$A:$A,MATCH(O9,[1]物品基础表!$B:$B,0)),"")</f>
        <v/>
      </c>
      <c r="S9" s="76" t="str">
        <f>IFERROR(INDEX([1]物品基础表!$A:$A,MATCH(R9,[1]物品基础表!$B:$B,0)),"")</f>
        <v/>
      </c>
    </row>
    <row r="10" spans="1:20">
      <c r="A10" s="39" t="str">
        <f>INDEX([2]活动总表!$A$8:$A$429,MATCH(B10,[2]活动总表!$B$8:$B$429,0))</f>
        <v>元旦-嗨翻天</v>
      </c>
      <c r="B10" s="40">
        <v>243</v>
      </c>
      <c r="C10" s="40">
        <v>8</v>
      </c>
      <c r="D10" s="40">
        <v>59</v>
      </c>
      <c r="E10" s="40">
        <v>0</v>
      </c>
      <c r="F10" s="40">
        <v>1</v>
      </c>
      <c r="G10" s="40">
        <v>3</v>
      </c>
      <c r="H10" s="40">
        <v>5</v>
      </c>
      <c r="I10" s="40"/>
      <c r="J10" s="40" t="s">
        <v>927</v>
      </c>
      <c r="K10" s="40"/>
      <c r="M10" s="76" t="str">
        <f>IFERROR(INDEX([1]物品基础表!$A:$A,MATCH(L10,[1]物品基础表!$B:$B,0)),"")</f>
        <v/>
      </c>
      <c r="P10" s="76" t="str">
        <f>IFERROR(INDEX([1]物品基础表!$A:$A,MATCH(O10,[1]物品基础表!$B:$B,0)),"")</f>
        <v/>
      </c>
      <c r="S10" s="76" t="str">
        <f>IFERROR(INDEX([1]物品基础表!$A:$A,MATCH(R10,[1]物品基础表!$B:$B,0)),"")</f>
        <v/>
      </c>
    </row>
    <row r="11" spans="1:20">
      <c r="A11" s="39" t="str">
        <f>INDEX([2]活动总表!$A$8:$A$429,MATCH(B11,[2]活动总表!$B$8:$B$429,0))</f>
        <v>元旦-嗨翻天</v>
      </c>
      <c r="B11" s="40">
        <v>243</v>
      </c>
      <c r="C11" s="40">
        <v>9</v>
      </c>
      <c r="D11" s="40">
        <v>27</v>
      </c>
      <c r="E11" s="40">
        <v>16</v>
      </c>
      <c r="F11" s="40">
        <v>1</v>
      </c>
      <c r="G11" s="40">
        <v>2</v>
      </c>
      <c r="H11" s="40">
        <v>4</v>
      </c>
      <c r="I11" s="40"/>
      <c r="J11" s="40" t="s">
        <v>928</v>
      </c>
      <c r="K11" s="40"/>
      <c r="M11" s="76" t="str">
        <f>IFERROR(INDEX([1]物品基础表!$A:$A,MATCH(L11,[1]物品基础表!$B:$B,0)),"")</f>
        <v/>
      </c>
      <c r="P11" s="76" t="str">
        <f>IFERROR(INDEX([1]物品基础表!$A:$A,MATCH(O11,[1]物品基础表!$B:$B,0)),"")</f>
        <v/>
      </c>
      <c r="S11" s="76" t="str">
        <f>IFERROR(INDEX([1]物品基础表!$A:$A,MATCH(R11,[1]物品基础表!$B:$B,0)),"")</f>
        <v/>
      </c>
    </row>
    <row r="12" spans="1:20">
      <c r="A12" s="39" t="str">
        <f>INDEX([2]活动总表!$A$8:$A$429,MATCH(B12,[2]活动总表!$B$8:$B$429,0))</f>
        <v>元旦-嗨翻天</v>
      </c>
      <c r="B12" s="40">
        <v>243</v>
      </c>
      <c r="C12" s="40">
        <v>10</v>
      </c>
      <c r="D12" s="40">
        <v>102</v>
      </c>
      <c r="E12" s="40">
        <v>231</v>
      </c>
      <c r="F12" s="40">
        <v>1</v>
      </c>
      <c r="G12" s="40">
        <v>150</v>
      </c>
      <c r="H12" s="40">
        <v>4</v>
      </c>
      <c r="I12" s="40"/>
      <c r="J12" s="40" t="s">
        <v>929</v>
      </c>
      <c r="K12" s="40"/>
      <c r="M12" s="76" t="str">
        <f>IFERROR(INDEX([1]物品基础表!$A:$A,MATCH(L12,[1]物品基础表!$B:$B,0)),"")</f>
        <v/>
      </c>
      <c r="P12" s="76" t="str">
        <f>IFERROR(INDEX([1]物品基础表!$A:$A,MATCH(O12,[1]物品基础表!$B:$B,0)),"")</f>
        <v/>
      </c>
      <c r="S12" s="76" t="str">
        <f>IFERROR(INDEX([1]物品基础表!$A:$A,MATCH(R12,[1]物品基础表!$B:$B,0)),"")</f>
        <v/>
      </c>
    </row>
    <row r="13" spans="1:20">
      <c r="A13" s="39" t="str">
        <f>INDEX([2]活动总表!$A$8:$A$429,MATCH(B13,[2]活动总表!$B$8:$B$429,0))</f>
        <v>2周七天乐</v>
      </c>
      <c r="B13" s="40">
        <v>120</v>
      </c>
      <c r="C13" s="40">
        <v>1</v>
      </c>
      <c r="D13" s="40">
        <v>100</v>
      </c>
      <c r="E13" s="40" t="s">
        <v>919</v>
      </c>
      <c r="F13" s="40">
        <v>1</v>
      </c>
      <c r="G13" s="40">
        <v>1</v>
      </c>
      <c r="H13" s="40">
        <v>1</v>
      </c>
      <c r="I13" s="40"/>
      <c r="J13" s="40" t="s">
        <v>933</v>
      </c>
      <c r="K13" s="40">
        <v>1</v>
      </c>
      <c r="L13" s="76">
        <v>204052</v>
      </c>
      <c r="M13" s="76" t="str">
        <f>IFERROR(INDEX([1]物品基础表!$A:$A,MATCH(L13,[1]物品基础表!$B:$B,0)),"")</f>
        <v>狂欢福袋</v>
      </c>
      <c r="N13" s="76">
        <v>1</v>
      </c>
      <c r="O13" s="76">
        <v>2</v>
      </c>
      <c r="P13" s="76" t="str">
        <f>IF(O13=2,"元宝",IF(O13=1,"金币","精炼石"))</f>
        <v>元宝</v>
      </c>
      <c r="Q13" s="76">
        <v>100</v>
      </c>
      <c r="R13" s="76">
        <v>1</v>
      </c>
      <c r="S13" s="76" t="str">
        <f t="shared" ref="S13:S19" si="0">IF(R13=2,"元宝",IF(R13=1,"金币","精炼石"))</f>
        <v>金币</v>
      </c>
      <c r="T13" s="76">
        <v>200000</v>
      </c>
    </row>
    <row r="14" spans="1:20">
      <c r="A14" s="39" t="str">
        <f>INDEX([2]活动总表!$A$8:$A$429,MATCH(B14,[2]活动总表!$B$8:$B$429,0))</f>
        <v>2周七天乐</v>
      </c>
      <c r="B14" s="40">
        <v>120</v>
      </c>
      <c r="C14" s="40">
        <v>2</v>
      </c>
      <c r="D14" s="40">
        <v>100</v>
      </c>
      <c r="E14" s="40" t="s">
        <v>919</v>
      </c>
      <c r="F14" s="40">
        <v>2</v>
      </c>
      <c r="G14" s="40">
        <v>2</v>
      </c>
      <c r="H14" s="40">
        <v>1</v>
      </c>
      <c r="I14" s="40"/>
      <c r="J14" s="40" t="s">
        <v>934</v>
      </c>
      <c r="K14" s="40">
        <v>1</v>
      </c>
      <c r="L14" s="76">
        <v>204052</v>
      </c>
      <c r="M14" s="76" t="str">
        <f>IFERROR(INDEX([1]物品基础表!$A:$A,MATCH(L14,[1]物品基础表!$B:$B,0)),"")</f>
        <v>狂欢福袋</v>
      </c>
      <c r="N14" s="76">
        <v>1</v>
      </c>
      <c r="O14" s="76">
        <v>2</v>
      </c>
      <c r="P14" s="76" t="str">
        <f t="shared" ref="P14:P19" si="1">IF(O14=2,"元宝",IF(O14=1,"金币","精炼石"))</f>
        <v>元宝</v>
      </c>
      <c r="Q14" s="76">
        <v>100</v>
      </c>
      <c r="R14" s="76">
        <v>1</v>
      </c>
      <c r="S14" s="76" t="str">
        <f t="shared" si="0"/>
        <v>金币</v>
      </c>
      <c r="T14" s="76">
        <v>300000</v>
      </c>
    </row>
    <row r="15" spans="1:20">
      <c r="A15" s="39" t="str">
        <f>INDEX([2]活动总表!$A$8:$A$429,MATCH(B15,[2]活动总表!$B$8:$B$429,0))</f>
        <v>2周七天乐</v>
      </c>
      <c r="B15" s="40">
        <v>120</v>
      </c>
      <c r="C15" s="40">
        <v>3</v>
      </c>
      <c r="D15" s="40">
        <v>100</v>
      </c>
      <c r="E15" s="40" t="s">
        <v>919</v>
      </c>
      <c r="F15" s="40">
        <v>3</v>
      </c>
      <c r="G15" s="40">
        <v>3</v>
      </c>
      <c r="H15" s="40">
        <v>1</v>
      </c>
      <c r="I15" s="40"/>
      <c r="J15" s="40" t="s">
        <v>935</v>
      </c>
      <c r="K15" s="40">
        <v>1</v>
      </c>
      <c r="L15" s="76">
        <v>204052</v>
      </c>
      <c r="M15" s="76" t="str">
        <f>IFERROR(INDEX([1]物品基础表!$A:$A,MATCH(L15,[1]物品基础表!$B:$B,0)),"")</f>
        <v>狂欢福袋</v>
      </c>
      <c r="N15" s="76">
        <v>1</v>
      </c>
      <c r="O15" s="76">
        <v>2</v>
      </c>
      <c r="P15" s="76" t="str">
        <f t="shared" si="1"/>
        <v>元宝</v>
      </c>
      <c r="Q15" s="76">
        <v>150</v>
      </c>
      <c r="R15" s="76">
        <v>1</v>
      </c>
      <c r="S15" s="76" t="str">
        <f t="shared" si="0"/>
        <v>金币</v>
      </c>
      <c r="T15" s="76">
        <v>400000</v>
      </c>
    </row>
    <row r="16" spans="1:20">
      <c r="A16" s="39" t="str">
        <f>INDEX([2]活动总表!$A$8:$A$429,MATCH(B16,[2]活动总表!$B$8:$B$429,0))</f>
        <v>2周七天乐</v>
      </c>
      <c r="B16" s="40">
        <v>120</v>
      </c>
      <c r="C16" s="40">
        <v>4</v>
      </c>
      <c r="D16" s="40">
        <v>100</v>
      </c>
      <c r="E16" s="40" t="s">
        <v>919</v>
      </c>
      <c r="F16" s="40">
        <v>4</v>
      </c>
      <c r="G16" s="40">
        <v>4</v>
      </c>
      <c r="H16" s="40">
        <v>1</v>
      </c>
      <c r="I16" s="40"/>
      <c r="J16" s="40" t="s">
        <v>936</v>
      </c>
      <c r="K16" s="40">
        <v>1</v>
      </c>
      <c r="L16" s="76">
        <v>204052</v>
      </c>
      <c r="M16" s="76" t="str">
        <f>IFERROR(INDEX([1]物品基础表!$A:$A,MATCH(L16,[1]物品基础表!$B:$B,0)),"")</f>
        <v>狂欢福袋</v>
      </c>
      <c r="N16" s="76">
        <v>1</v>
      </c>
      <c r="O16" s="76">
        <v>2</v>
      </c>
      <c r="P16" s="76" t="str">
        <f t="shared" si="1"/>
        <v>元宝</v>
      </c>
      <c r="Q16" s="76">
        <v>150</v>
      </c>
      <c r="R16" s="76">
        <v>1</v>
      </c>
      <c r="S16" s="76" t="str">
        <f t="shared" si="0"/>
        <v>金币</v>
      </c>
      <c r="T16" s="76">
        <v>500000</v>
      </c>
    </row>
    <row r="17" spans="1:20">
      <c r="A17" s="39" t="str">
        <f>INDEX([2]活动总表!$A$8:$A$429,MATCH(B17,[2]活动总表!$B$8:$B$429,0))</f>
        <v>2周七天乐</v>
      </c>
      <c r="B17" s="40">
        <v>120</v>
      </c>
      <c r="C17" s="40">
        <v>5</v>
      </c>
      <c r="D17" s="40">
        <v>100</v>
      </c>
      <c r="E17" s="40" t="s">
        <v>919</v>
      </c>
      <c r="F17" s="40">
        <v>5</v>
      </c>
      <c r="G17" s="40">
        <v>5</v>
      </c>
      <c r="H17" s="40">
        <v>1</v>
      </c>
      <c r="I17" s="40"/>
      <c r="J17" s="40" t="s">
        <v>937</v>
      </c>
      <c r="K17" s="40">
        <v>1</v>
      </c>
      <c r="L17" s="76">
        <v>204052</v>
      </c>
      <c r="M17" s="76" t="str">
        <f>IFERROR(INDEX([1]物品基础表!$A:$A,MATCH(L17,[1]物品基础表!$B:$B,0)),"")</f>
        <v>狂欢福袋</v>
      </c>
      <c r="N17" s="76">
        <v>1</v>
      </c>
      <c r="O17" s="76">
        <v>2</v>
      </c>
      <c r="P17" s="76" t="str">
        <f t="shared" si="1"/>
        <v>元宝</v>
      </c>
      <c r="Q17" s="76">
        <v>200</v>
      </c>
      <c r="R17" s="76">
        <v>1</v>
      </c>
      <c r="S17" s="76" t="str">
        <f t="shared" si="0"/>
        <v>金币</v>
      </c>
      <c r="T17" s="76">
        <v>600000</v>
      </c>
    </row>
    <row r="18" spans="1:20">
      <c r="A18" s="39" t="str">
        <f>INDEX([2]活动总表!$A$8:$A$429,MATCH(B18,[2]活动总表!$B$8:$B$429,0))</f>
        <v>2周七天乐</v>
      </c>
      <c r="B18" s="40">
        <v>120</v>
      </c>
      <c r="C18" s="40">
        <v>6</v>
      </c>
      <c r="D18" s="40">
        <v>100</v>
      </c>
      <c r="E18" s="40" t="s">
        <v>919</v>
      </c>
      <c r="F18" s="40">
        <v>6</v>
      </c>
      <c r="G18" s="40">
        <v>6</v>
      </c>
      <c r="H18" s="40">
        <v>1</v>
      </c>
      <c r="I18" s="40"/>
      <c r="J18" s="40" t="s">
        <v>938</v>
      </c>
      <c r="K18" s="40">
        <v>1</v>
      </c>
      <c r="L18" s="76">
        <v>204052</v>
      </c>
      <c r="M18" s="76" t="str">
        <f>IFERROR(INDEX([1]物品基础表!$A:$A,MATCH(L18,[1]物品基础表!$B:$B,0)),"")</f>
        <v>狂欢福袋</v>
      </c>
      <c r="N18" s="76">
        <v>1</v>
      </c>
      <c r="O18" s="76">
        <v>2</v>
      </c>
      <c r="P18" s="76" t="str">
        <f t="shared" si="1"/>
        <v>元宝</v>
      </c>
      <c r="Q18" s="76">
        <v>200</v>
      </c>
      <c r="R18" s="76">
        <v>1</v>
      </c>
      <c r="S18" s="76" t="str">
        <f t="shared" si="0"/>
        <v>金币</v>
      </c>
      <c r="T18" s="76">
        <v>700000</v>
      </c>
    </row>
    <row r="19" spans="1:20">
      <c r="A19" s="39" t="str">
        <f>INDEX([2]活动总表!$A$8:$A$429,MATCH(B19,[2]活动总表!$B$8:$B$429,0))</f>
        <v>2周七天乐</v>
      </c>
      <c r="B19" s="40">
        <v>120</v>
      </c>
      <c r="C19" s="40">
        <v>7</v>
      </c>
      <c r="D19" s="40">
        <v>100</v>
      </c>
      <c r="E19" s="40" t="s">
        <v>919</v>
      </c>
      <c r="F19" s="40">
        <v>7</v>
      </c>
      <c r="G19" s="40">
        <v>7</v>
      </c>
      <c r="H19" s="40">
        <v>1</v>
      </c>
      <c r="I19" s="40"/>
      <c r="J19" s="40" t="s">
        <v>939</v>
      </c>
      <c r="K19" s="40">
        <v>1</v>
      </c>
      <c r="L19" s="76">
        <v>204052</v>
      </c>
      <c r="M19" s="76" t="str">
        <f>IFERROR(INDEX([1]物品基础表!$A:$A,MATCH(L19,[1]物品基础表!$B:$B,0)),"")</f>
        <v>狂欢福袋</v>
      </c>
      <c r="N19" s="76">
        <v>1</v>
      </c>
      <c r="O19" s="76">
        <v>2</v>
      </c>
      <c r="P19" s="76" t="str">
        <f t="shared" si="1"/>
        <v>元宝</v>
      </c>
      <c r="Q19" s="76">
        <v>250</v>
      </c>
      <c r="R19" s="76">
        <v>1</v>
      </c>
      <c r="S19" s="76" t="str">
        <f t="shared" si="0"/>
        <v>金币</v>
      </c>
      <c r="T19" s="76">
        <v>800000</v>
      </c>
    </row>
    <row r="20" spans="1:20">
      <c r="A20" s="39" t="str">
        <f>INDEX([2]活动总表!$A$8:$A$429,MATCH(B20,[2]活动总表!$B$8:$B$429,0))</f>
        <v>2周七天乐</v>
      </c>
      <c r="B20" s="40">
        <v>120</v>
      </c>
      <c r="C20" s="40">
        <v>8</v>
      </c>
      <c r="D20" s="40">
        <v>59</v>
      </c>
      <c r="E20" s="40" t="s">
        <v>919</v>
      </c>
      <c r="F20" s="40">
        <v>3</v>
      </c>
      <c r="G20" s="40">
        <v>3</v>
      </c>
      <c r="H20" s="40">
        <v>1</v>
      </c>
      <c r="I20" s="40"/>
      <c r="J20" s="40" t="s">
        <v>940</v>
      </c>
      <c r="K20" s="40">
        <v>1</v>
      </c>
      <c r="L20" s="76">
        <v>204052</v>
      </c>
      <c r="M20" s="76" t="str">
        <f>IFERROR(INDEX([1]物品基础表!$A:$A,MATCH(L20,[1]物品基础表!$B:$B,0)),"")</f>
        <v>狂欢福袋</v>
      </c>
      <c r="N20" s="76">
        <v>1</v>
      </c>
      <c r="O20" s="76">
        <v>200156</v>
      </c>
      <c r="P20" s="76" t="str">
        <f>IFERROR(INDEX([1]物品基础表!$A:$A,MATCH(O20,[1]物品基础表!$B:$B,0)),"")</f>
        <v>野外BOSS次数卷轴</v>
      </c>
      <c r="Q20" s="76">
        <v>1</v>
      </c>
      <c r="S20" s="76" t="str">
        <f>IFERROR(INDEX([1]物品基础表!$A:$A,MATCH(R20,[1]物品基础表!$B:$B,0)),"")</f>
        <v/>
      </c>
    </row>
    <row r="21" spans="1:20">
      <c r="A21" s="39" t="str">
        <f>INDEX([2]活动总表!$A$8:$A$429,MATCH(B21,[2]活动总表!$B$8:$B$429,0))</f>
        <v>2周七天乐</v>
      </c>
      <c r="B21" s="40">
        <v>120</v>
      </c>
      <c r="C21" s="40">
        <v>9</v>
      </c>
      <c r="D21" s="40">
        <v>59</v>
      </c>
      <c r="E21" s="40" t="s">
        <v>919</v>
      </c>
      <c r="F21" s="40">
        <v>8</v>
      </c>
      <c r="G21" s="40">
        <v>8</v>
      </c>
      <c r="H21" s="40">
        <v>1</v>
      </c>
      <c r="I21" s="40"/>
      <c r="J21" s="40" t="s">
        <v>941</v>
      </c>
      <c r="K21" s="40">
        <v>1</v>
      </c>
      <c r="L21" s="76">
        <v>204052</v>
      </c>
      <c r="M21" s="76" t="str">
        <f>IFERROR(INDEX([1]物品基础表!$A:$A,MATCH(L21,[1]物品基础表!$B:$B,0)),"")</f>
        <v>狂欢福袋</v>
      </c>
      <c r="N21" s="76">
        <v>1</v>
      </c>
      <c r="O21" s="76">
        <v>200156</v>
      </c>
      <c r="P21" s="76" t="str">
        <f>IFERROR(INDEX([1]物品基础表!$A:$A,MATCH(O21,[1]物品基础表!$B:$B,0)),"")</f>
        <v>野外BOSS次数卷轴</v>
      </c>
      <c r="Q21" s="76">
        <v>1</v>
      </c>
      <c r="S21" s="76" t="str">
        <f>IFERROR(INDEX([1]物品基础表!$A:$A,MATCH(R21,[1]物品基础表!$B:$B,0)),"")</f>
        <v/>
      </c>
    </row>
    <row r="22" spans="1:20">
      <c r="A22" s="39" t="str">
        <f>INDEX([2]活动总表!$A$8:$A$429,MATCH(B22,[2]活动总表!$B$8:$B$429,0))</f>
        <v>2周七天乐</v>
      </c>
      <c r="B22" s="40">
        <v>120</v>
      </c>
      <c r="C22" s="40">
        <v>10</v>
      </c>
      <c r="D22" s="40">
        <v>59</v>
      </c>
      <c r="E22" s="40" t="s">
        <v>919</v>
      </c>
      <c r="F22" s="40">
        <v>15</v>
      </c>
      <c r="G22" s="40">
        <v>15</v>
      </c>
      <c r="H22" s="40">
        <v>1</v>
      </c>
      <c r="I22" s="40"/>
      <c r="J22" s="40" t="s">
        <v>942</v>
      </c>
      <c r="K22" s="40">
        <v>1</v>
      </c>
      <c r="L22" s="76">
        <v>204052</v>
      </c>
      <c r="M22" s="76" t="str">
        <f>IFERROR(INDEX([1]物品基础表!$A:$A,MATCH(L22,[1]物品基础表!$B:$B,0)),"")</f>
        <v>狂欢福袋</v>
      </c>
      <c r="N22" s="76">
        <v>1</v>
      </c>
      <c r="O22" s="76">
        <v>200156</v>
      </c>
      <c r="P22" s="76" t="str">
        <f>IFERROR(INDEX([1]物品基础表!$A:$A,MATCH(O22,[1]物品基础表!$B:$B,0)),"")</f>
        <v>野外BOSS次数卷轴</v>
      </c>
      <c r="Q22" s="76">
        <v>2</v>
      </c>
      <c r="S22" s="76" t="str">
        <f>IFERROR(INDEX([1]物品基础表!$A:$A,MATCH(R22,[1]物品基础表!$B:$B,0)),"")</f>
        <v/>
      </c>
    </row>
    <row r="23" spans="1:20">
      <c r="A23" s="39" t="str">
        <f>INDEX([2]活动总表!$A$8:$A$429,MATCH(B23,[2]活动总表!$B$8:$B$429,0))</f>
        <v>2周七天乐</v>
      </c>
      <c r="B23" s="40">
        <v>120</v>
      </c>
      <c r="C23" s="40">
        <v>11</v>
      </c>
      <c r="D23" s="40">
        <v>59</v>
      </c>
      <c r="E23" s="40" t="s">
        <v>919</v>
      </c>
      <c r="F23" s="40">
        <v>20</v>
      </c>
      <c r="G23" s="40">
        <v>20</v>
      </c>
      <c r="H23" s="40">
        <v>1</v>
      </c>
      <c r="I23" s="40"/>
      <c r="J23" s="40" t="s">
        <v>943</v>
      </c>
      <c r="K23" s="40">
        <v>1</v>
      </c>
      <c r="L23" s="76">
        <v>204052</v>
      </c>
      <c r="M23" s="76" t="str">
        <f>IFERROR(INDEX([1]物品基础表!$A:$A,MATCH(L23,[1]物品基础表!$B:$B,0)),"")</f>
        <v>狂欢福袋</v>
      </c>
      <c r="N23" s="76">
        <v>1</v>
      </c>
      <c r="O23" s="76">
        <v>200156</v>
      </c>
      <c r="P23" s="76" t="str">
        <f>IFERROR(INDEX([1]物品基础表!$A:$A,MATCH(O23,[1]物品基础表!$B:$B,0)),"")</f>
        <v>野外BOSS次数卷轴</v>
      </c>
      <c r="Q23" s="76">
        <v>2</v>
      </c>
      <c r="S23" s="76" t="str">
        <f>IFERROR(INDEX([1]物品基础表!$A:$A,MATCH(R23,[1]物品基础表!$B:$B,0)),"")</f>
        <v/>
      </c>
    </row>
    <row r="24" spans="1:20">
      <c r="A24" s="39" t="str">
        <f>INDEX([2]活动总表!$A$8:$A$429,MATCH(B24,[2]活动总表!$B$8:$B$429,0))</f>
        <v>2周七天乐</v>
      </c>
      <c r="B24" s="40">
        <v>120</v>
      </c>
      <c r="C24" s="40">
        <v>12</v>
      </c>
      <c r="D24" s="40">
        <v>59</v>
      </c>
      <c r="E24" s="40" t="s">
        <v>919</v>
      </c>
      <c r="F24" s="40">
        <v>30</v>
      </c>
      <c r="G24" s="40">
        <v>30</v>
      </c>
      <c r="H24" s="40">
        <v>1</v>
      </c>
      <c r="I24" s="40"/>
      <c r="J24" s="40" t="s">
        <v>944</v>
      </c>
      <c r="K24" s="40">
        <v>1</v>
      </c>
      <c r="L24" s="76">
        <v>204052</v>
      </c>
      <c r="M24" s="76" t="str">
        <f>IFERROR(INDEX([1]物品基础表!$A:$A,MATCH(L24,[1]物品基础表!$B:$B,0)),"")</f>
        <v>狂欢福袋</v>
      </c>
      <c r="N24" s="76">
        <v>1</v>
      </c>
      <c r="O24" s="76">
        <v>200156</v>
      </c>
      <c r="P24" s="76" t="str">
        <f>IFERROR(INDEX([1]物品基础表!$A:$A,MATCH(O24,[1]物品基础表!$B:$B,0)),"")</f>
        <v>野外BOSS次数卷轴</v>
      </c>
      <c r="Q24" s="76">
        <v>3</v>
      </c>
      <c r="S24" s="76" t="str">
        <f>IFERROR(INDEX([1]物品基础表!$A:$A,MATCH(R24,[1]物品基础表!$B:$B,0)),"")</f>
        <v/>
      </c>
    </row>
    <row r="25" spans="1:20">
      <c r="A25" s="39" t="str">
        <f>INDEX([2]活动总表!$A$8:$A$429,MATCH(B25,[2]活动总表!$B$8:$B$429,0))</f>
        <v>2周七天乐</v>
      </c>
      <c r="B25" s="40">
        <v>120</v>
      </c>
      <c r="C25" s="40">
        <v>13</v>
      </c>
      <c r="D25" s="40">
        <v>59</v>
      </c>
      <c r="E25" s="40" t="s">
        <v>919</v>
      </c>
      <c r="F25" s="40">
        <v>40</v>
      </c>
      <c r="G25" s="40">
        <v>40</v>
      </c>
      <c r="H25" s="40">
        <v>1</v>
      </c>
      <c r="I25" s="40"/>
      <c r="J25" s="40" t="s">
        <v>945</v>
      </c>
      <c r="K25" s="40">
        <v>1</v>
      </c>
      <c r="L25" s="76">
        <v>204052</v>
      </c>
      <c r="M25" s="76" t="str">
        <f>IFERROR(INDEX([1]物品基础表!$A:$A,MATCH(L25,[1]物品基础表!$B:$B,0)),"")</f>
        <v>狂欢福袋</v>
      </c>
      <c r="N25" s="76">
        <v>1</v>
      </c>
      <c r="O25" s="76">
        <v>200156</v>
      </c>
      <c r="P25" s="76" t="str">
        <f>IFERROR(INDEX([1]物品基础表!$A:$A,MATCH(O25,[1]物品基础表!$B:$B,0)),"")</f>
        <v>野外BOSS次数卷轴</v>
      </c>
      <c r="Q25" s="76">
        <v>3</v>
      </c>
      <c r="S25" s="76" t="str">
        <f>IFERROR(INDEX([1]物品基础表!$A:$A,MATCH(R25,[1]物品基础表!$B:$B,0)),"")</f>
        <v/>
      </c>
    </row>
    <row r="26" spans="1:20">
      <c r="A26" s="39" t="str">
        <f>INDEX([2]活动总表!$A$8:$A$429,MATCH(B26,[2]活动总表!$B$8:$B$429,0))</f>
        <v>2周七天乐</v>
      </c>
      <c r="B26" s="40">
        <v>120</v>
      </c>
      <c r="C26" s="40">
        <v>14</v>
      </c>
      <c r="D26" s="40">
        <v>59</v>
      </c>
      <c r="E26" s="40" t="s">
        <v>919</v>
      </c>
      <c r="F26" s="40">
        <v>50</v>
      </c>
      <c r="G26" s="40">
        <v>50</v>
      </c>
      <c r="H26" s="40">
        <v>1</v>
      </c>
      <c r="I26" s="40"/>
      <c r="J26" s="40" t="s">
        <v>946</v>
      </c>
      <c r="K26" s="40">
        <v>1</v>
      </c>
      <c r="L26" s="76">
        <v>204052</v>
      </c>
      <c r="M26" s="76" t="str">
        <f>IFERROR(INDEX([1]物品基础表!$A:$A,MATCH(L26,[1]物品基础表!$B:$B,0)),"")</f>
        <v>狂欢福袋</v>
      </c>
      <c r="N26" s="76">
        <v>1</v>
      </c>
      <c r="O26" s="76">
        <v>200156</v>
      </c>
      <c r="P26" s="76" t="str">
        <f>IFERROR(INDEX([1]物品基础表!$A:$A,MATCH(O26,[1]物品基础表!$B:$B,0)),"")</f>
        <v>野外BOSS次数卷轴</v>
      </c>
      <c r="Q26" s="76">
        <v>4</v>
      </c>
      <c r="S26" s="76" t="str">
        <f>IFERROR(INDEX([1]物品基础表!$A:$A,MATCH(R26,[1]物品基础表!$B:$B,0)),"")</f>
        <v/>
      </c>
    </row>
    <row r="27" spans="1:20">
      <c r="A27" s="39" t="str">
        <f>INDEX([2]活动总表!$A$8:$A$429,MATCH(B27,[2]活动总表!$B$8:$B$429,0))</f>
        <v>2周七天乐</v>
      </c>
      <c r="B27" s="40">
        <v>120</v>
      </c>
      <c r="C27" s="40">
        <v>15</v>
      </c>
      <c r="D27" s="40">
        <v>27</v>
      </c>
      <c r="E27" s="40">
        <v>2</v>
      </c>
      <c r="F27" s="40">
        <v>6</v>
      </c>
      <c r="G27" s="40">
        <v>6</v>
      </c>
      <c r="H27" s="40">
        <v>1</v>
      </c>
      <c r="I27" s="40"/>
      <c r="J27" s="40" t="s">
        <v>947</v>
      </c>
      <c r="K27" s="40">
        <v>1</v>
      </c>
      <c r="L27" s="76">
        <v>204053</v>
      </c>
      <c r="M27" s="76" t="str">
        <f>IFERROR(INDEX([1]物品基础表!$A:$A,MATCH(L27,[1]物品基础表!$B:$B,0)),"")</f>
        <v>狂欢宝袋</v>
      </c>
      <c r="N27" s="76">
        <v>1</v>
      </c>
      <c r="O27" s="76">
        <v>1</v>
      </c>
      <c r="P27" s="76" t="str">
        <f t="shared" ref="P27:P33" si="2">IF(O27=2,"元宝",IF(O27=1,"金币","精炼石"))</f>
        <v>金币</v>
      </c>
      <c r="Q27" s="76">
        <v>500000</v>
      </c>
      <c r="S27" s="76" t="str">
        <f>IFERROR(INDEX([1]物品基础表!$A:$A,MATCH(R27,[1]物品基础表!$B:$B,0)),"")</f>
        <v/>
      </c>
    </row>
    <row r="28" spans="1:20">
      <c r="A28" s="39" t="str">
        <f>INDEX([2]活动总表!$A$8:$A$429,MATCH(B28,[2]活动总表!$B$8:$B$429,0))</f>
        <v>2周七天乐</v>
      </c>
      <c r="B28" s="40">
        <v>120</v>
      </c>
      <c r="C28" s="40">
        <v>16</v>
      </c>
      <c r="D28" s="40">
        <v>27</v>
      </c>
      <c r="E28" s="40">
        <v>2</v>
      </c>
      <c r="F28" s="40">
        <v>12</v>
      </c>
      <c r="G28" s="40">
        <v>12</v>
      </c>
      <c r="H28" s="40">
        <v>1</v>
      </c>
      <c r="I28" s="40"/>
      <c r="J28" s="40" t="s">
        <v>948</v>
      </c>
      <c r="K28" s="40">
        <v>1</v>
      </c>
      <c r="L28" s="76">
        <v>204053</v>
      </c>
      <c r="M28" s="76" t="str">
        <f>IFERROR(INDEX([1]物品基础表!$A:$A,MATCH(L28,[1]物品基础表!$B:$B,0)),"")</f>
        <v>狂欢宝袋</v>
      </c>
      <c r="N28" s="76">
        <v>1</v>
      </c>
      <c r="O28" s="76">
        <v>1</v>
      </c>
      <c r="P28" s="76" t="str">
        <f t="shared" si="2"/>
        <v>金币</v>
      </c>
      <c r="Q28" s="76">
        <v>600000</v>
      </c>
      <c r="S28" s="76" t="str">
        <f>IFERROR(INDEX([1]物品基础表!$A:$A,MATCH(R28,[1]物品基础表!$B:$B,0)),"")</f>
        <v/>
      </c>
    </row>
    <row r="29" spans="1:20">
      <c r="A29" s="39" t="str">
        <f>INDEX([2]活动总表!$A$8:$A$429,MATCH(B29,[2]活动总表!$B$8:$B$429,0))</f>
        <v>2周七天乐</v>
      </c>
      <c r="B29" s="40">
        <v>120</v>
      </c>
      <c r="C29" s="40">
        <v>17</v>
      </c>
      <c r="D29" s="40">
        <v>27</v>
      </c>
      <c r="E29" s="40">
        <v>2</v>
      </c>
      <c r="F29" s="40">
        <v>24</v>
      </c>
      <c r="G29" s="40">
        <v>24</v>
      </c>
      <c r="H29" s="40">
        <v>1</v>
      </c>
      <c r="I29" s="40"/>
      <c r="J29" s="40" t="s">
        <v>949</v>
      </c>
      <c r="K29" s="40">
        <v>1</v>
      </c>
      <c r="L29" s="76">
        <v>204053</v>
      </c>
      <c r="M29" s="76" t="str">
        <f>IFERROR(INDEX([1]物品基础表!$A:$A,MATCH(L29,[1]物品基础表!$B:$B,0)),"")</f>
        <v>狂欢宝袋</v>
      </c>
      <c r="N29" s="76">
        <v>2</v>
      </c>
      <c r="O29" s="76">
        <v>1</v>
      </c>
      <c r="P29" s="76" t="str">
        <f t="shared" si="2"/>
        <v>金币</v>
      </c>
      <c r="Q29" s="76">
        <v>700000</v>
      </c>
      <c r="S29" s="76" t="str">
        <f>IFERROR(INDEX([1]物品基础表!$A:$A,MATCH(R29,[1]物品基础表!$B:$B,0)),"")</f>
        <v/>
      </c>
    </row>
    <row r="30" spans="1:20">
      <c r="A30" s="39" t="str">
        <f>INDEX([2]活动总表!$A$8:$A$429,MATCH(B30,[2]活动总表!$B$8:$B$429,0))</f>
        <v>2周七天乐</v>
      </c>
      <c r="B30" s="40">
        <v>120</v>
      </c>
      <c r="C30" s="40">
        <v>18</v>
      </c>
      <c r="D30" s="40">
        <v>27</v>
      </c>
      <c r="E30" s="40">
        <v>2</v>
      </c>
      <c r="F30" s="40">
        <v>36</v>
      </c>
      <c r="G30" s="40">
        <v>36</v>
      </c>
      <c r="H30" s="40">
        <v>1</v>
      </c>
      <c r="I30" s="40"/>
      <c r="J30" s="40" t="s">
        <v>950</v>
      </c>
      <c r="K30" s="40">
        <v>1</v>
      </c>
      <c r="L30" s="76">
        <v>204053</v>
      </c>
      <c r="M30" s="76" t="str">
        <f>IFERROR(INDEX([1]物品基础表!$A:$A,MATCH(L30,[1]物品基础表!$B:$B,0)),"")</f>
        <v>狂欢宝袋</v>
      </c>
      <c r="N30" s="76">
        <v>4</v>
      </c>
      <c r="O30" s="76">
        <v>1</v>
      </c>
      <c r="P30" s="76" t="str">
        <f t="shared" si="2"/>
        <v>金币</v>
      </c>
      <c r="Q30" s="76">
        <v>800000</v>
      </c>
      <c r="S30" s="76" t="str">
        <f>IFERROR(INDEX([1]物品基础表!$A:$A,MATCH(R30,[1]物品基础表!$B:$B,0)),"")</f>
        <v/>
      </c>
    </row>
    <row r="31" spans="1:20">
      <c r="A31" s="39" t="str">
        <f>INDEX([2]活动总表!$A$8:$A$429,MATCH(B31,[2]活动总表!$B$8:$B$429,0))</f>
        <v>2周七天乐</v>
      </c>
      <c r="B31" s="40">
        <v>120</v>
      </c>
      <c r="C31" s="40">
        <v>19</v>
      </c>
      <c r="D31" s="40">
        <v>106</v>
      </c>
      <c r="E31" s="40">
        <v>3</v>
      </c>
      <c r="F31" s="40">
        <v>2</v>
      </c>
      <c r="G31" s="40">
        <v>2</v>
      </c>
      <c r="H31" s="40">
        <v>1</v>
      </c>
      <c r="I31" s="40"/>
      <c r="J31" s="40" t="s">
        <v>951</v>
      </c>
      <c r="K31" s="40">
        <v>1</v>
      </c>
      <c r="L31" s="76">
        <v>204053</v>
      </c>
      <c r="M31" s="76" t="str">
        <f>IFERROR(INDEX([1]物品基础表!$A:$A,MATCH(L31,[1]物品基础表!$B:$B,0)),"")</f>
        <v>狂欢宝袋</v>
      </c>
      <c r="N31" s="76">
        <v>1</v>
      </c>
      <c r="O31" s="76">
        <v>1</v>
      </c>
      <c r="P31" s="76" t="str">
        <f t="shared" si="2"/>
        <v>金币</v>
      </c>
      <c r="Q31" s="76">
        <v>900000</v>
      </c>
      <c r="S31" s="76" t="str">
        <f>IFERROR(INDEX([1]物品基础表!$A:$A,MATCH(R31,[1]物品基础表!$B:$B,0)),"")</f>
        <v/>
      </c>
    </row>
    <row r="32" spans="1:20">
      <c r="A32" s="39" t="str">
        <f>INDEX([2]活动总表!$A$8:$A$429,MATCH(B32,[2]活动总表!$B$8:$B$429,0))</f>
        <v>2周七天乐</v>
      </c>
      <c r="B32" s="40">
        <v>120</v>
      </c>
      <c r="C32" s="40">
        <v>20</v>
      </c>
      <c r="D32" s="40">
        <v>106</v>
      </c>
      <c r="E32" s="40">
        <v>3</v>
      </c>
      <c r="F32" s="40">
        <v>4</v>
      </c>
      <c r="G32" s="40">
        <v>4</v>
      </c>
      <c r="H32" s="40">
        <v>1</v>
      </c>
      <c r="I32" s="40"/>
      <c r="J32" s="40" t="s">
        <v>952</v>
      </c>
      <c r="K32" s="40">
        <v>1</v>
      </c>
      <c r="L32" s="76">
        <v>204053</v>
      </c>
      <c r="M32" s="76" t="str">
        <f>IFERROR(INDEX([1]物品基础表!$A:$A,MATCH(L32,[1]物品基础表!$B:$B,0)),"")</f>
        <v>狂欢宝袋</v>
      </c>
      <c r="N32" s="76">
        <v>1</v>
      </c>
      <c r="O32" s="76">
        <v>1</v>
      </c>
      <c r="P32" s="76" t="str">
        <f t="shared" si="2"/>
        <v>金币</v>
      </c>
      <c r="Q32" s="76">
        <v>1000000</v>
      </c>
      <c r="S32" s="76" t="str">
        <f>IFERROR(INDEX([1]物品基础表!$A:$A,MATCH(R32,[1]物品基础表!$B:$B,0)),"")</f>
        <v/>
      </c>
    </row>
    <row r="33" spans="1:19">
      <c r="A33" s="39" t="str">
        <f>INDEX([2]活动总表!$A$8:$A$429,MATCH(B33,[2]活动总表!$B$8:$B$429,0))</f>
        <v>2周七天乐</v>
      </c>
      <c r="B33" s="40">
        <v>120</v>
      </c>
      <c r="C33" s="40">
        <v>21</v>
      </c>
      <c r="D33" s="40">
        <v>106</v>
      </c>
      <c r="E33" s="40">
        <v>3</v>
      </c>
      <c r="F33" s="40">
        <v>6</v>
      </c>
      <c r="G33" s="40">
        <v>6</v>
      </c>
      <c r="H33" s="40">
        <v>1</v>
      </c>
      <c r="I33" s="40"/>
      <c r="J33" s="40" t="s">
        <v>953</v>
      </c>
      <c r="K33" s="40">
        <v>1</v>
      </c>
      <c r="L33" s="76">
        <v>204053</v>
      </c>
      <c r="M33" s="76" t="str">
        <f>IFERROR(INDEX([1]物品基础表!$A:$A,MATCH(L33,[1]物品基础表!$B:$B,0)),"")</f>
        <v>狂欢宝袋</v>
      </c>
      <c r="N33" s="76">
        <v>1</v>
      </c>
      <c r="O33" s="76">
        <v>1</v>
      </c>
      <c r="P33" s="76" t="str">
        <f t="shared" si="2"/>
        <v>金币</v>
      </c>
      <c r="Q33" s="76">
        <v>1100000</v>
      </c>
      <c r="S33" s="76" t="str">
        <f>IFERROR(INDEX([1]物品基础表!$A:$A,MATCH(R33,[1]物品基础表!$B:$B,0)),"")</f>
        <v/>
      </c>
    </row>
    <row r="34" spans="1:19">
      <c r="A34" s="39" t="str">
        <f>INDEX([2]活动总表!$A$8:$A$429,MATCH(B34,[2]活动总表!$B$8:$B$429,0))</f>
        <v>2周七天乐</v>
      </c>
      <c r="B34" s="40">
        <v>120</v>
      </c>
      <c r="C34" s="40">
        <v>22</v>
      </c>
      <c r="D34" s="40">
        <v>104</v>
      </c>
      <c r="E34" s="40" t="s">
        <v>919</v>
      </c>
      <c r="F34" s="40">
        <v>1000000</v>
      </c>
      <c r="G34" s="40">
        <v>1000000</v>
      </c>
      <c r="H34" s="40">
        <v>1</v>
      </c>
      <c r="I34" s="40">
        <v>10000</v>
      </c>
      <c r="J34" s="40" t="s">
        <v>954</v>
      </c>
      <c r="K34" s="40">
        <v>2</v>
      </c>
      <c r="L34" s="76">
        <v>204052</v>
      </c>
      <c r="M34" s="76" t="str">
        <f>IFERROR(INDEX([1]物品基础表!$A:$A,MATCH(L34,[1]物品基础表!$B:$B,0)),"")</f>
        <v>狂欢福袋</v>
      </c>
      <c r="N34" s="76">
        <v>1</v>
      </c>
      <c r="O34" s="76">
        <v>200167</v>
      </c>
      <c r="P34" s="76" t="str">
        <f>IFERROR(INDEX([1]物品基础表!$A:$A,MATCH(O34,[1]物品基础表!$B:$B,0)),"")</f>
        <v>黑铁</v>
      </c>
      <c r="Q34" s="76">
        <v>100</v>
      </c>
      <c r="S34" s="76" t="str">
        <f>IFERROR(INDEX([1]物品基础表!$A:$A,MATCH(R34,[1]物品基础表!$B:$B,0)),"")</f>
        <v/>
      </c>
    </row>
    <row r="35" spans="1:19">
      <c r="A35" s="39" t="str">
        <f>INDEX([2]活动总表!$A$8:$A$429,MATCH(B35,[2]活动总表!$B$8:$B$429,0))</f>
        <v>2周七天乐</v>
      </c>
      <c r="B35" s="40">
        <v>120</v>
      </c>
      <c r="C35" s="40">
        <v>23</v>
      </c>
      <c r="D35" s="40">
        <v>104</v>
      </c>
      <c r="E35" s="40" t="s">
        <v>919</v>
      </c>
      <c r="F35" s="40">
        <v>2000000</v>
      </c>
      <c r="G35" s="40">
        <v>2000000</v>
      </c>
      <c r="H35" s="40">
        <v>1</v>
      </c>
      <c r="I35" s="40">
        <v>10000</v>
      </c>
      <c r="J35" s="40" t="s">
        <v>955</v>
      </c>
      <c r="K35" s="40">
        <v>2</v>
      </c>
      <c r="L35" s="76">
        <v>204052</v>
      </c>
      <c r="M35" s="76" t="str">
        <f>IFERROR(INDEX([1]物品基础表!$A:$A,MATCH(L35,[1]物品基础表!$B:$B,0)),"")</f>
        <v>狂欢福袋</v>
      </c>
      <c r="N35" s="76">
        <v>1</v>
      </c>
      <c r="O35" s="76">
        <v>200167</v>
      </c>
      <c r="P35" s="76" t="str">
        <f>IFERROR(INDEX([1]物品基础表!$A:$A,MATCH(O35,[1]物品基础表!$B:$B,0)),"")</f>
        <v>黑铁</v>
      </c>
      <c r="Q35" s="76">
        <v>100</v>
      </c>
      <c r="S35" s="76" t="str">
        <f>IFERROR(INDEX([1]物品基础表!$A:$A,MATCH(R35,[1]物品基础表!$B:$B,0)),"")</f>
        <v/>
      </c>
    </row>
    <row r="36" spans="1:19">
      <c r="A36" s="39" t="str">
        <f>INDEX([2]活动总表!$A$8:$A$429,MATCH(B36,[2]活动总表!$B$8:$B$429,0))</f>
        <v>2周七天乐</v>
      </c>
      <c r="B36" s="40">
        <v>120</v>
      </c>
      <c r="C36" s="40">
        <v>24</v>
      </c>
      <c r="D36" s="40">
        <v>104</v>
      </c>
      <c r="E36" s="40" t="s">
        <v>919</v>
      </c>
      <c r="F36" s="40">
        <v>5000000</v>
      </c>
      <c r="G36" s="40">
        <v>5000000</v>
      </c>
      <c r="H36" s="40">
        <v>1</v>
      </c>
      <c r="I36" s="40">
        <v>10000</v>
      </c>
      <c r="J36" s="40" t="s">
        <v>956</v>
      </c>
      <c r="K36" s="40">
        <v>2</v>
      </c>
      <c r="L36" s="76">
        <v>204052</v>
      </c>
      <c r="M36" s="76" t="str">
        <f>IFERROR(INDEX([1]物品基础表!$A:$A,MATCH(L36,[1]物品基础表!$B:$B,0)),"")</f>
        <v>狂欢福袋</v>
      </c>
      <c r="N36" s="76">
        <v>1</v>
      </c>
      <c r="O36" s="76">
        <v>200167</v>
      </c>
      <c r="P36" s="76" t="str">
        <f>IFERROR(INDEX([1]物品基础表!$A:$A,MATCH(O36,[1]物品基础表!$B:$B,0)),"")</f>
        <v>黑铁</v>
      </c>
      <c r="Q36" s="76">
        <v>100</v>
      </c>
      <c r="S36" s="76" t="str">
        <f>IFERROR(INDEX([1]物品基础表!$A:$A,MATCH(R36,[1]物品基础表!$B:$B,0)),"")</f>
        <v/>
      </c>
    </row>
    <row r="37" spans="1:19">
      <c r="A37" s="39" t="str">
        <f>INDEX([2]活动总表!$A$8:$A$429,MATCH(B37,[2]活动总表!$B$8:$B$429,0))</f>
        <v>2周七天乐</v>
      </c>
      <c r="B37" s="40">
        <v>120</v>
      </c>
      <c r="C37" s="40">
        <v>25</v>
      </c>
      <c r="D37" s="40">
        <v>104</v>
      </c>
      <c r="E37" s="40" t="s">
        <v>919</v>
      </c>
      <c r="F37" s="40">
        <v>8000000</v>
      </c>
      <c r="G37" s="40">
        <v>8000000</v>
      </c>
      <c r="H37" s="40">
        <v>1</v>
      </c>
      <c r="I37" s="40">
        <v>10000</v>
      </c>
      <c r="J37" s="40" t="s">
        <v>957</v>
      </c>
      <c r="K37" s="40">
        <v>2</v>
      </c>
      <c r="L37" s="76">
        <v>204052</v>
      </c>
      <c r="M37" s="76" t="str">
        <f>IFERROR(INDEX([1]物品基础表!$A:$A,MATCH(L37,[1]物品基础表!$B:$B,0)),"")</f>
        <v>狂欢福袋</v>
      </c>
      <c r="N37" s="76">
        <v>1</v>
      </c>
      <c r="O37" s="76">
        <v>200167</v>
      </c>
      <c r="P37" s="76" t="str">
        <f>IFERROR(INDEX([1]物品基础表!$A:$A,MATCH(O37,[1]物品基础表!$B:$B,0)),"")</f>
        <v>黑铁</v>
      </c>
      <c r="Q37" s="76">
        <v>100</v>
      </c>
      <c r="S37" s="76" t="str">
        <f>IFERROR(INDEX([1]物品基础表!$A:$A,MATCH(R37,[1]物品基础表!$B:$B,0)),"")</f>
        <v/>
      </c>
    </row>
    <row r="38" spans="1:19">
      <c r="A38" s="39" t="str">
        <f>INDEX([2]活动总表!$A$8:$A$429,MATCH(B38,[2]活动总表!$B$8:$B$429,0))</f>
        <v>2周七天乐</v>
      </c>
      <c r="B38" s="40">
        <v>120</v>
      </c>
      <c r="C38" s="40">
        <v>26</v>
      </c>
      <c r="D38" s="40">
        <v>104</v>
      </c>
      <c r="E38" s="40" t="s">
        <v>919</v>
      </c>
      <c r="F38" s="40">
        <v>10000000</v>
      </c>
      <c r="G38" s="40">
        <v>10000000</v>
      </c>
      <c r="H38" s="40">
        <v>1</v>
      </c>
      <c r="I38" s="40">
        <v>10000</v>
      </c>
      <c r="J38" s="40" t="s">
        <v>958</v>
      </c>
      <c r="K38" s="40">
        <v>2</v>
      </c>
      <c r="L38" s="76">
        <v>204052</v>
      </c>
      <c r="M38" s="76" t="str">
        <f>IFERROR(INDEX([1]物品基础表!$A:$A,MATCH(L38,[1]物品基础表!$B:$B,0)),"")</f>
        <v>狂欢福袋</v>
      </c>
      <c r="N38" s="76">
        <v>1</v>
      </c>
      <c r="O38" s="76">
        <v>200167</v>
      </c>
      <c r="P38" s="76" t="str">
        <f>IFERROR(INDEX([1]物品基础表!$A:$A,MATCH(O38,[1]物品基础表!$B:$B,0)),"")</f>
        <v>黑铁</v>
      </c>
      <c r="Q38" s="76">
        <v>100</v>
      </c>
      <c r="S38" s="76" t="str">
        <f>IFERROR(INDEX([1]物品基础表!$A:$A,MATCH(R38,[1]物品基础表!$B:$B,0)),"")</f>
        <v/>
      </c>
    </row>
    <row r="39" spans="1:19">
      <c r="A39" s="39" t="str">
        <f>INDEX([2]活动总表!$A$8:$A$429,MATCH(B39,[2]活动总表!$B$8:$B$429,0))</f>
        <v>2周七天乐</v>
      </c>
      <c r="B39" s="40">
        <v>120</v>
      </c>
      <c r="C39" s="40">
        <v>27</v>
      </c>
      <c r="D39" s="40">
        <v>104</v>
      </c>
      <c r="E39" s="40" t="s">
        <v>919</v>
      </c>
      <c r="F39" s="40">
        <v>20000000</v>
      </c>
      <c r="G39" s="40">
        <v>20000000</v>
      </c>
      <c r="H39" s="40">
        <v>1</v>
      </c>
      <c r="I39" s="40">
        <v>10000</v>
      </c>
      <c r="J39" s="40" t="s">
        <v>959</v>
      </c>
      <c r="K39" s="40">
        <v>2</v>
      </c>
      <c r="L39" s="76">
        <v>204052</v>
      </c>
      <c r="M39" s="76" t="str">
        <f>IFERROR(INDEX([1]物品基础表!$A:$A,MATCH(L39,[1]物品基础表!$B:$B,0)),"")</f>
        <v>狂欢福袋</v>
      </c>
      <c r="N39" s="76">
        <v>1</v>
      </c>
      <c r="O39" s="76">
        <v>200167</v>
      </c>
      <c r="P39" s="76" t="str">
        <f>IFERROR(INDEX([1]物品基础表!$A:$A,MATCH(O39,[1]物品基础表!$B:$B,0)),"")</f>
        <v>黑铁</v>
      </c>
      <c r="Q39" s="76">
        <v>100</v>
      </c>
      <c r="S39" s="76" t="str">
        <f>IFERROR(INDEX([1]物品基础表!$A:$A,MATCH(R39,[1]物品基础表!$B:$B,0)),"")</f>
        <v/>
      </c>
    </row>
    <row r="40" spans="1:19">
      <c r="A40" s="39" t="str">
        <f>INDEX([2]活动总表!$A$8:$A$429,MATCH(B40,[2]活动总表!$B$8:$B$429,0))</f>
        <v>2周七天乐</v>
      </c>
      <c r="B40" s="40">
        <v>120</v>
      </c>
      <c r="C40" s="40">
        <v>28</v>
      </c>
      <c r="D40" s="40">
        <v>104</v>
      </c>
      <c r="E40" s="40" t="s">
        <v>919</v>
      </c>
      <c r="F40" s="40">
        <v>50000000</v>
      </c>
      <c r="G40" s="40">
        <v>50000000</v>
      </c>
      <c r="H40" s="40">
        <v>1</v>
      </c>
      <c r="I40" s="40">
        <v>10000</v>
      </c>
      <c r="J40" s="40" t="s">
        <v>960</v>
      </c>
      <c r="K40" s="40">
        <v>2</v>
      </c>
      <c r="L40" s="76">
        <v>204052</v>
      </c>
      <c r="M40" s="76" t="str">
        <f>IFERROR(INDEX([1]物品基础表!$A:$A,MATCH(L40,[1]物品基础表!$B:$B,0)),"")</f>
        <v>狂欢福袋</v>
      </c>
      <c r="N40" s="76">
        <v>1</v>
      </c>
      <c r="O40" s="76">
        <v>200167</v>
      </c>
      <c r="P40" s="76" t="str">
        <f>IFERROR(INDEX([1]物品基础表!$A:$A,MATCH(O40,[1]物品基础表!$B:$B,0)),"")</f>
        <v>黑铁</v>
      </c>
      <c r="Q40" s="76">
        <v>100</v>
      </c>
      <c r="S40" s="76" t="str">
        <f>IFERROR(INDEX([1]物品基础表!$A:$A,MATCH(R40,[1]物品基础表!$B:$B,0)),"")</f>
        <v/>
      </c>
    </row>
    <row r="41" spans="1:19">
      <c r="A41" s="39" t="str">
        <f>INDEX([2]活动总表!$A$8:$A$429,MATCH(B41,[2]活动总表!$B$8:$B$429,0))</f>
        <v>2周七天乐</v>
      </c>
      <c r="B41" s="40">
        <v>120</v>
      </c>
      <c r="C41" s="40">
        <v>29</v>
      </c>
      <c r="D41" s="40">
        <v>98</v>
      </c>
      <c r="E41" s="40" t="s">
        <v>919</v>
      </c>
      <c r="F41" s="40">
        <v>1</v>
      </c>
      <c r="G41" s="40">
        <v>1</v>
      </c>
      <c r="H41" s="40">
        <v>1</v>
      </c>
      <c r="I41" s="40"/>
      <c r="J41" s="40" t="s">
        <v>961</v>
      </c>
      <c r="K41" s="40">
        <v>2</v>
      </c>
      <c r="L41" s="76">
        <v>204052</v>
      </c>
      <c r="M41" s="76" t="str">
        <f>IFERROR(INDEX([1]物品基础表!$A:$A,MATCH(L41,[1]物品基础表!$B:$B,0)),"")</f>
        <v>狂欢福袋</v>
      </c>
      <c r="N41" s="76">
        <v>1</v>
      </c>
      <c r="O41" s="76">
        <v>200157</v>
      </c>
      <c r="P41" s="76" t="str">
        <f>IFERROR(INDEX([1]物品基础表!$A:$A,MATCH(O41,[1]物品基础表!$B:$B,0)),"")</f>
        <v>秘境BOSS次数卷轴</v>
      </c>
      <c r="Q41" s="76">
        <v>1</v>
      </c>
      <c r="S41" s="76" t="str">
        <f>IFERROR(INDEX([1]物品基础表!$A:$A,MATCH(R41,[1]物品基础表!$B:$B,0)),"")</f>
        <v/>
      </c>
    </row>
    <row r="42" spans="1:19">
      <c r="A42" s="39" t="str">
        <f>INDEX([2]活动总表!$A$8:$A$429,MATCH(B42,[2]活动总表!$B$8:$B$429,0))</f>
        <v>2周七天乐</v>
      </c>
      <c r="B42" s="40">
        <v>120</v>
      </c>
      <c r="C42" s="40">
        <v>30</v>
      </c>
      <c r="D42" s="40">
        <v>98</v>
      </c>
      <c r="E42" s="40" t="s">
        <v>919</v>
      </c>
      <c r="F42" s="40">
        <v>3</v>
      </c>
      <c r="G42" s="40">
        <v>3</v>
      </c>
      <c r="H42" s="40">
        <v>1</v>
      </c>
      <c r="I42" s="40"/>
      <c r="J42" s="40" t="s">
        <v>962</v>
      </c>
      <c r="K42" s="40">
        <v>2</v>
      </c>
      <c r="L42" s="76">
        <v>204052</v>
      </c>
      <c r="M42" s="76" t="str">
        <f>IFERROR(INDEX([1]物品基础表!$A:$A,MATCH(L42,[1]物品基础表!$B:$B,0)),"")</f>
        <v>狂欢福袋</v>
      </c>
      <c r="N42" s="76">
        <v>1</v>
      </c>
      <c r="O42" s="76">
        <v>200157</v>
      </c>
      <c r="P42" s="76" t="str">
        <f>IFERROR(INDEX([1]物品基础表!$A:$A,MATCH(O42,[1]物品基础表!$B:$B,0)),"")</f>
        <v>秘境BOSS次数卷轴</v>
      </c>
      <c r="Q42" s="76">
        <v>1</v>
      </c>
      <c r="S42" s="76" t="str">
        <f>IFERROR(INDEX([1]物品基础表!$A:$A,MATCH(R42,[1]物品基础表!$B:$B,0)),"")</f>
        <v/>
      </c>
    </row>
    <row r="43" spans="1:19">
      <c r="A43" s="39" t="str">
        <f>INDEX([2]活动总表!$A$8:$A$429,MATCH(B43,[2]活动总表!$B$8:$B$429,0))</f>
        <v>2周七天乐</v>
      </c>
      <c r="B43" s="40">
        <v>120</v>
      </c>
      <c r="C43" s="40">
        <v>31</v>
      </c>
      <c r="D43" s="40">
        <v>98</v>
      </c>
      <c r="E43" s="40" t="s">
        <v>919</v>
      </c>
      <c r="F43" s="40">
        <v>5</v>
      </c>
      <c r="G43" s="40">
        <v>5</v>
      </c>
      <c r="H43" s="40">
        <v>1</v>
      </c>
      <c r="I43" s="40"/>
      <c r="J43" s="40" t="s">
        <v>963</v>
      </c>
      <c r="K43" s="40">
        <v>2</v>
      </c>
      <c r="L43" s="76">
        <v>204052</v>
      </c>
      <c r="M43" s="76" t="str">
        <f>IFERROR(INDEX([1]物品基础表!$A:$A,MATCH(L43,[1]物品基础表!$B:$B,0)),"")</f>
        <v>狂欢福袋</v>
      </c>
      <c r="N43" s="76">
        <v>1</v>
      </c>
      <c r="O43" s="76">
        <v>200157</v>
      </c>
      <c r="P43" s="76" t="str">
        <f>IFERROR(INDEX([1]物品基础表!$A:$A,MATCH(O43,[1]物品基础表!$B:$B,0)),"")</f>
        <v>秘境BOSS次数卷轴</v>
      </c>
      <c r="Q43" s="76">
        <v>1</v>
      </c>
      <c r="S43" s="76" t="str">
        <f>IFERROR(INDEX([1]物品基础表!$A:$A,MATCH(R43,[1]物品基础表!$B:$B,0)),"")</f>
        <v/>
      </c>
    </row>
    <row r="44" spans="1:19">
      <c r="A44" s="39" t="str">
        <f>INDEX([2]活动总表!$A$8:$A$429,MATCH(B44,[2]活动总表!$B$8:$B$429,0))</f>
        <v>2周七天乐</v>
      </c>
      <c r="B44" s="40">
        <v>120</v>
      </c>
      <c r="C44" s="40">
        <v>32</v>
      </c>
      <c r="D44" s="40">
        <v>98</v>
      </c>
      <c r="E44" s="40" t="s">
        <v>919</v>
      </c>
      <c r="F44" s="40">
        <v>9</v>
      </c>
      <c r="G44" s="40">
        <v>9</v>
      </c>
      <c r="H44" s="40">
        <v>1</v>
      </c>
      <c r="I44" s="40"/>
      <c r="J44" s="40" t="s">
        <v>964</v>
      </c>
      <c r="K44" s="40">
        <v>2</v>
      </c>
      <c r="L44" s="76">
        <v>204052</v>
      </c>
      <c r="M44" s="76" t="str">
        <f>IFERROR(INDEX([1]物品基础表!$A:$A,MATCH(L44,[1]物品基础表!$B:$B,0)),"")</f>
        <v>狂欢福袋</v>
      </c>
      <c r="N44" s="76">
        <v>1</v>
      </c>
      <c r="O44" s="76">
        <v>200157</v>
      </c>
      <c r="P44" s="76" t="str">
        <f>IFERROR(INDEX([1]物品基础表!$A:$A,MATCH(O44,[1]物品基础表!$B:$B,0)),"")</f>
        <v>秘境BOSS次数卷轴</v>
      </c>
      <c r="Q44" s="76">
        <v>1</v>
      </c>
      <c r="S44" s="76" t="str">
        <f>IFERROR(INDEX([1]物品基础表!$A:$A,MATCH(R44,[1]物品基础表!$B:$B,0)),"")</f>
        <v/>
      </c>
    </row>
    <row r="45" spans="1:19">
      <c r="A45" s="39" t="str">
        <f>INDEX([2]活动总表!$A$8:$A$429,MATCH(B45,[2]活动总表!$B$8:$B$429,0))</f>
        <v>2周七天乐</v>
      </c>
      <c r="B45" s="40">
        <v>120</v>
      </c>
      <c r="C45" s="40">
        <v>33</v>
      </c>
      <c r="D45" s="40">
        <v>98</v>
      </c>
      <c r="E45" s="40" t="s">
        <v>919</v>
      </c>
      <c r="F45" s="40">
        <v>12</v>
      </c>
      <c r="G45" s="40">
        <v>12</v>
      </c>
      <c r="H45" s="40">
        <v>1</v>
      </c>
      <c r="I45" s="40"/>
      <c r="J45" s="40" t="s">
        <v>965</v>
      </c>
      <c r="K45" s="40">
        <v>2</v>
      </c>
      <c r="L45" s="76">
        <v>204052</v>
      </c>
      <c r="M45" s="76" t="str">
        <f>IFERROR(INDEX([1]物品基础表!$A:$A,MATCH(L45,[1]物品基础表!$B:$B,0)),"")</f>
        <v>狂欢福袋</v>
      </c>
      <c r="N45" s="76">
        <v>1</v>
      </c>
      <c r="O45" s="76">
        <v>200157</v>
      </c>
      <c r="P45" s="76" t="str">
        <f>IFERROR(INDEX([1]物品基础表!$A:$A,MATCH(O45,[1]物品基础表!$B:$B,0)),"")</f>
        <v>秘境BOSS次数卷轴</v>
      </c>
      <c r="Q45" s="76">
        <v>1</v>
      </c>
      <c r="S45" s="76" t="str">
        <f>IFERROR(INDEX([1]物品基础表!$A:$A,MATCH(R45,[1]物品基础表!$B:$B,0)),"")</f>
        <v/>
      </c>
    </row>
    <row r="46" spans="1:19">
      <c r="A46" s="39" t="str">
        <f>INDEX([2]活动总表!$A$8:$A$429,MATCH(B46,[2]活动总表!$B$8:$B$429,0))</f>
        <v>2周七天乐</v>
      </c>
      <c r="B46" s="40">
        <v>120</v>
      </c>
      <c r="C46" s="40">
        <v>34</v>
      </c>
      <c r="D46" s="40">
        <v>98</v>
      </c>
      <c r="E46" s="40" t="s">
        <v>919</v>
      </c>
      <c r="F46" s="40">
        <v>15</v>
      </c>
      <c r="G46" s="40">
        <v>15</v>
      </c>
      <c r="H46" s="40">
        <v>1</v>
      </c>
      <c r="I46" s="40"/>
      <c r="J46" s="40" t="s">
        <v>966</v>
      </c>
      <c r="K46" s="40">
        <v>2</v>
      </c>
      <c r="L46" s="76">
        <v>204052</v>
      </c>
      <c r="M46" s="76" t="str">
        <f>IFERROR(INDEX([1]物品基础表!$A:$A,MATCH(L46,[1]物品基础表!$B:$B,0)),"")</f>
        <v>狂欢福袋</v>
      </c>
      <c r="N46" s="76">
        <v>1</v>
      </c>
      <c r="O46" s="76">
        <v>200157</v>
      </c>
      <c r="P46" s="76" t="str">
        <f>IFERROR(INDEX([1]物品基础表!$A:$A,MATCH(O46,[1]物品基础表!$B:$B,0)),"")</f>
        <v>秘境BOSS次数卷轴</v>
      </c>
      <c r="Q46" s="76">
        <v>1</v>
      </c>
      <c r="S46" s="76" t="str">
        <f>IFERROR(INDEX([1]物品基础表!$A:$A,MATCH(R46,[1]物品基础表!$B:$B,0)),"")</f>
        <v/>
      </c>
    </row>
    <row r="47" spans="1:19">
      <c r="A47" s="39" t="str">
        <f>INDEX([2]活动总表!$A$8:$A$429,MATCH(B47,[2]活动总表!$B$8:$B$429,0))</f>
        <v>2周七天乐</v>
      </c>
      <c r="B47" s="40">
        <v>120</v>
      </c>
      <c r="C47" s="40">
        <v>35</v>
      </c>
      <c r="D47" s="40">
        <v>98</v>
      </c>
      <c r="E47" s="40" t="s">
        <v>919</v>
      </c>
      <c r="F47" s="40">
        <v>18</v>
      </c>
      <c r="G47" s="40">
        <v>18</v>
      </c>
      <c r="H47" s="40">
        <v>1</v>
      </c>
      <c r="I47" s="40"/>
      <c r="J47" s="40" t="s">
        <v>967</v>
      </c>
      <c r="K47" s="40">
        <v>2</v>
      </c>
      <c r="L47" s="76">
        <v>204052</v>
      </c>
      <c r="M47" s="76" t="str">
        <f>IFERROR(INDEX([1]物品基础表!$A:$A,MATCH(L47,[1]物品基础表!$B:$B,0)),"")</f>
        <v>狂欢福袋</v>
      </c>
      <c r="N47" s="76">
        <v>1</v>
      </c>
      <c r="O47" s="76">
        <v>200157</v>
      </c>
      <c r="P47" s="76" t="str">
        <f>IFERROR(INDEX([1]物品基础表!$A:$A,MATCH(O47,[1]物品基础表!$B:$B,0)),"")</f>
        <v>秘境BOSS次数卷轴</v>
      </c>
      <c r="Q47" s="76">
        <v>1</v>
      </c>
      <c r="S47" s="76" t="str">
        <f>IFERROR(INDEX([1]物品基础表!$A:$A,MATCH(R47,[1]物品基础表!$B:$B,0)),"")</f>
        <v/>
      </c>
    </row>
    <row r="48" spans="1:19">
      <c r="A48" s="39" t="str">
        <f>INDEX([2]活动总表!$A$8:$A$429,MATCH(B48,[2]活动总表!$B$8:$B$429,0))</f>
        <v>2周七天乐</v>
      </c>
      <c r="B48" s="40">
        <v>120</v>
      </c>
      <c r="C48" s="40">
        <v>36</v>
      </c>
      <c r="D48" s="40">
        <v>92</v>
      </c>
      <c r="E48" s="40" t="s">
        <v>919</v>
      </c>
      <c r="F48" s="40">
        <v>10</v>
      </c>
      <c r="G48" s="40">
        <v>10</v>
      </c>
      <c r="H48" s="40">
        <v>1</v>
      </c>
      <c r="I48" s="40"/>
      <c r="J48" s="40" t="s">
        <v>968</v>
      </c>
      <c r="K48" s="40">
        <v>2</v>
      </c>
      <c r="L48" s="76">
        <v>204053</v>
      </c>
      <c r="M48" s="76" t="str">
        <f>IFERROR(INDEX([1]物品基础表!$A:$A,MATCH(L48,[1]物品基础表!$B:$B,0)),"")</f>
        <v>狂欢宝袋</v>
      </c>
      <c r="N48" s="76">
        <v>1</v>
      </c>
      <c r="O48" s="76">
        <v>500005</v>
      </c>
      <c r="P48" s="76" t="str">
        <f>IFERROR(INDEX([1]物品基础表!$A:$A,MATCH(O48,[1]物品基础表!$B:$B,0)),"")</f>
        <v>战纹精华-红</v>
      </c>
      <c r="Q48" s="76">
        <v>5</v>
      </c>
      <c r="S48" s="76" t="str">
        <f>IFERROR(INDEX([1]物品基础表!$A:$A,MATCH(R48,[1]物品基础表!$B:$B,0)),"")</f>
        <v/>
      </c>
    </row>
    <row r="49" spans="1:20">
      <c r="A49" s="39" t="str">
        <f>INDEX([2]活动总表!$A$8:$A$429,MATCH(B49,[2]活动总表!$B$8:$B$429,0))</f>
        <v>2周七天乐</v>
      </c>
      <c r="B49" s="40">
        <v>120</v>
      </c>
      <c r="C49" s="40">
        <v>37</v>
      </c>
      <c r="D49" s="40">
        <v>92</v>
      </c>
      <c r="E49" s="40" t="s">
        <v>919</v>
      </c>
      <c r="F49" s="40">
        <v>20</v>
      </c>
      <c r="G49" s="40">
        <v>20</v>
      </c>
      <c r="H49" s="40">
        <v>1</v>
      </c>
      <c r="I49" s="40"/>
      <c r="J49" s="40" t="s">
        <v>969</v>
      </c>
      <c r="K49" s="40">
        <v>2</v>
      </c>
      <c r="L49" s="76">
        <v>204053</v>
      </c>
      <c r="M49" s="76" t="str">
        <f>IFERROR(INDEX([1]物品基础表!$A:$A,MATCH(L49,[1]物品基础表!$B:$B,0)),"")</f>
        <v>狂欢宝袋</v>
      </c>
      <c r="N49" s="76">
        <v>1</v>
      </c>
      <c r="O49" s="76">
        <v>500005</v>
      </c>
      <c r="P49" s="76" t="str">
        <f>IFERROR(INDEX([1]物品基础表!$A:$A,MATCH(O49,[1]物品基础表!$B:$B,0)),"")</f>
        <v>战纹精华-红</v>
      </c>
      <c r="Q49" s="76">
        <v>5</v>
      </c>
      <c r="S49" s="76" t="str">
        <f>IFERROR(INDEX([1]物品基础表!$A:$A,MATCH(R49,[1]物品基础表!$B:$B,0)),"")</f>
        <v/>
      </c>
    </row>
    <row r="50" spans="1:20">
      <c r="A50" s="39" t="str">
        <f>INDEX([2]活动总表!$A$8:$A$429,MATCH(B50,[2]活动总表!$B$8:$B$429,0))</f>
        <v>2周七天乐</v>
      </c>
      <c r="B50" s="40">
        <v>120</v>
      </c>
      <c r="C50" s="40">
        <v>38</v>
      </c>
      <c r="D50" s="40">
        <v>92</v>
      </c>
      <c r="E50" s="40" t="s">
        <v>919</v>
      </c>
      <c r="F50" s="40">
        <v>30</v>
      </c>
      <c r="G50" s="40">
        <v>30</v>
      </c>
      <c r="H50" s="40">
        <v>1</v>
      </c>
      <c r="I50" s="40"/>
      <c r="J50" s="40" t="s">
        <v>970</v>
      </c>
      <c r="K50" s="40">
        <v>2</v>
      </c>
      <c r="L50" s="76">
        <v>204053</v>
      </c>
      <c r="M50" s="76" t="str">
        <f>IFERROR(INDEX([1]物品基础表!$A:$A,MATCH(L50,[1]物品基础表!$B:$B,0)),"")</f>
        <v>狂欢宝袋</v>
      </c>
      <c r="N50" s="76">
        <v>1</v>
      </c>
      <c r="O50" s="76">
        <v>500005</v>
      </c>
      <c r="P50" s="76" t="str">
        <f>IFERROR(INDEX([1]物品基础表!$A:$A,MATCH(O50,[1]物品基础表!$B:$B,0)),"")</f>
        <v>战纹精华-红</v>
      </c>
      <c r="Q50" s="76">
        <v>5</v>
      </c>
      <c r="S50" s="76" t="str">
        <f>IFERROR(INDEX([1]物品基础表!$A:$A,MATCH(R50,[1]物品基础表!$B:$B,0)),"")</f>
        <v/>
      </c>
    </row>
    <row r="51" spans="1:20">
      <c r="A51" s="39" t="str">
        <f>INDEX([2]活动总表!$A$8:$A$429,MATCH(B51,[2]活动总表!$B$8:$B$429,0))</f>
        <v>2周七天乐</v>
      </c>
      <c r="B51" s="40">
        <v>120</v>
      </c>
      <c r="C51" s="40">
        <v>39</v>
      </c>
      <c r="D51" s="40">
        <v>92</v>
      </c>
      <c r="E51" s="40" t="s">
        <v>919</v>
      </c>
      <c r="F51" s="40">
        <v>50</v>
      </c>
      <c r="G51" s="40">
        <v>50</v>
      </c>
      <c r="H51" s="40">
        <v>1</v>
      </c>
      <c r="I51" s="40"/>
      <c r="J51" s="40" t="s">
        <v>971</v>
      </c>
      <c r="K51" s="40">
        <v>2</v>
      </c>
      <c r="L51" s="76">
        <v>204053</v>
      </c>
      <c r="M51" s="76" t="str">
        <f>IFERROR(INDEX([1]物品基础表!$A:$A,MATCH(L51,[1]物品基础表!$B:$B,0)),"")</f>
        <v>狂欢宝袋</v>
      </c>
      <c r="N51" s="76">
        <v>2</v>
      </c>
      <c r="O51" s="76">
        <v>500005</v>
      </c>
      <c r="P51" s="76" t="str">
        <f>IFERROR(INDEX([1]物品基础表!$A:$A,MATCH(O51,[1]物品基础表!$B:$B,0)),"")</f>
        <v>战纹精华-红</v>
      </c>
      <c r="Q51" s="76">
        <v>10</v>
      </c>
      <c r="S51" s="76" t="str">
        <f>IFERROR(INDEX([1]物品基础表!$A:$A,MATCH(R51,[1]物品基础表!$B:$B,0)),"")</f>
        <v/>
      </c>
    </row>
    <row r="52" spans="1:20">
      <c r="A52" s="39" t="str">
        <f>INDEX([2]活动总表!$A$8:$A$429,MATCH(B52,[2]活动总表!$B$8:$B$429,0))</f>
        <v>2周七天乐</v>
      </c>
      <c r="B52" s="40">
        <v>120</v>
      </c>
      <c r="C52" s="40">
        <v>40</v>
      </c>
      <c r="D52" s="40">
        <v>92</v>
      </c>
      <c r="E52" s="40" t="s">
        <v>919</v>
      </c>
      <c r="F52" s="40">
        <v>70</v>
      </c>
      <c r="G52" s="40">
        <v>70</v>
      </c>
      <c r="H52" s="40">
        <v>1</v>
      </c>
      <c r="I52" s="40"/>
      <c r="J52" s="40" t="s">
        <v>972</v>
      </c>
      <c r="K52" s="40">
        <v>2</v>
      </c>
      <c r="L52" s="76">
        <v>204053</v>
      </c>
      <c r="M52" s="76" t="str">
        <f>IFERROR(INDEX([1]物品基础表!$A:$A,MATCH(L52,[1]物品基础表!$B:$B,0)),"")</f>
        <v>狂欢宝袋</v>
      </c>
      <c r="N52" s="76">
        <v>2</v>
      </c>
      <c r="O52" s="76">
        <v>500005</v>
      </c>
      <c r="P52" s="76" t="str">
        <f>IFERROR(INDEX([1]物品基础表!$A:$A,MATCH(O52,[1]物品基础表!$B:$B,0)),"")</f>
        <v>战纹精华-红</v>
      </c>
      <c r="Q52" s="76">
        <v>10</v>
      </c>
      <c r="S52" s="76" t="str">
        <f>IFERROR(INDEX([1]物品基础表!$A:$A,MATCH(R52,[1]物品基础表!$B:$B,0)),"")</f>
        <v/>
      </c>
    </row>
    <row r="53" spans="1:20">
      <c r="A53" s="39" t="str">
        <f>INDEX([2]活动总表!$A$8:$A$429,MATCH(B53,[2]活动总表!$B$8:$B$429,0))</f>
        <v>2周七天乐</v>
      </c>
      <c r="B53" s="40">
        <v>120</v>
      </c>
      <c r="C53" s="40">
        <v>41</v>
      </c>
      <c r="D53" s="40">
        <v>92</v>
      </c>
      <c r="E53" s="40" t="s">
        <v>919</v>
      </c>
      <c r="F53" s="40">
        <v>90</v>
      </c>
      <c r="G53" s="40">
        <v>90</v>
      </c>
      <c r="H53" s="40">
        <v>1</v>
      </c>
      <c r="I53" s="40"/>
      <c r="J53" s="40" t="s">
        <v>973</v>
      </c>
      <c r="K53" s="40">
        <v>2</v>
      </c>
      <c r="L53" s="76">
        <v>204053</v>
      </c>
      <c r="M53" s="76" t="str">
        <f>IFERROR(INDEX([1]物品基础表!$A:$A,MATCH(L53,[1]物品基础表!$B:$B,0)),"")</f>
        <v>狂欢宝袋</v>
      </c>
      <c r="N53" s="76">
        <v>2</v>
      </c>
      <c r="O53" s="76">
        <v>500005</v>
      </c>
      <c r="P53" s="76" t="str">
        <f>IFERROR(INDEX([1]物品基础表!$A:$A,MATCH(O53,[1]物品基础表!$B:$B,0)),"")</f>
        <v>战纹精华-红</v>
      </c>
      <c r="Q53" s="76">
        <v>10</v>
      </c>
      <c r="S53" s="76" t="str">
        <f>IFERROR(INDEX([1]物品基础表!$A:$A,MATCH(R53,[1]物品基础表!$B:$B,0)),"")</f>
        <v/>
      </c>
    </row>
    <row r="54" spans="1:20">
      <c r="A54" s="39" t="str">
        <f>INDEX([2]活动总表!$A$8:$A$429,MATCH(B54,[2]活动总表!$B$8:$B$429,0))</f>
        <v>2周七天乐</v>
      </c>
      <c r="B54" s="40">
        <v>120</v>
      </c>
      <c r="C54" s="40">
        <v>42</v>
      </c>
      <c r="D54" s="40">
        <v>92</v>
      </c>
      <c r="E54" s="40" t="s">
        <v>919</v>
      </c>
      <c r="F54" s="40">
        <v>120</v>
      </c>
      <c r="G54" s="40">
        <v>120</v>
      </c>
      <c r="H54" s="40">
        <v>1</v>
      </c>
      <c r="I54" s="40"/>
      <c r="J54" s="40" t="s">
        <v>974</v>
      </c>
      <c r="K54" s="40">
        <v>2</v>
      </c>
      <c r="L54" s="76">
        <v>204053</v>
      </c>
      <c r="M54" s="76" t="str">
        <f>IFERROR(INDEX([1]物品基础表!$A:$A,MATCH(L54,[1]物品基础表!$B:$B,0)),"")</f>
        <v>狂欢宝袋</v>
      </c>
      <c r="N54" s="76">
        <v>3</v>
      </c>
      <c r="O54" s="76">
        <v>500005</v>
      </c>
      <c r="P54" s="76" t="str">
        <f>IFERROR(INDEX([1]物品基础表!$A:$A,MATCH(O54,[1]物品基础表!$B:$B,0)),"")</f>
        <v>战纹精华-红</v>
      </c>
      <c r="Q54" s="76">
        <v>10</v>
      </c>
      <c r="S54" s="76" t="str">
        <f>IFERROR(INDEX([1]物品基础表!$A:$A,MATCH(R54,[1]物品基础表!$B:$B,0)),"")</f>
        <v/>
      </c>
    </row>
    <row r="55" spans="1:20">
      <c r="A55" s="39" t="str">
        <f>INDEX([2]活动总表!$A$8:$A$429,MATCH(B55,[2]活动总表!$B$8:$B$429,0))</f>
        <v>2周七天乐</v>
      </c>
      <c r="B55" s="40">
        <v>120</v>
      </c>
      <c r="C55" s="40">
        <v>43</v>
      </c>
      <c r="D55" s="40">
        <v>107</v>
      </c>
      <c r="E55" s="40" t="s">
        <v>919</v>
      </c>
      <c r="F55" s="40">
        <v>1000</v>
      </c>
      <c r="G55" s="40">
        <v>1000</v>
      </c>
      <c r="H55" s="40">
        <v>1</v>
      </c>
      <c r="I55" s="40">
        <v>100</v>
      </c>
      <c r="J55" s="40" t="s">
        <v>975</v>
      </c>
      <c r="K55" s="40">
        <v>3</v>
      </c>
      <c r="L55" s="76">
        <v>204053</v>
      </c>
      <c r="M55" s="76" t="str">
        <f>IFERROR(INDEX([1]物品基础表!$A:$A,MATCH(L55,[1]物品基础表!$B:$B,0)),"")</f>
        <v>狂欢宝袋</v>
      </c>
      <c r="N55" s="76">
        <v>1</v>
      </c>
      <c r="O55" s="76">
        <v>200009</v>
      </c>
      <c r="P55" s="76" t="str">
        <f>IFERROR(INDEX([1]物品基础表!$A:$A,MATCH(O55,[1]物品基础表!$B:$B,0)),"")</f>
        <v>高级转生丹</v>
      </c>
      <c r="Q55" s="76">
        <v>1</v>
      </c>
      <c r="R55" s="76">
        <v>1</v>
      </c>
      <c r="S55" s="76" t="str">
        <f t="shared" ref="S55:S61" si="3">IF(R55=2,"元宝",IF(R55=1,"金币","精炼石"))</f>
        <v>金币</v>
      </c>
      <c r="T55" s="76">
        <v>1000000</v>
      </c>
    </row>
    <row r="56" spans="1:20">
      <c r="A56" s="39" t="str">
        <f>INDEX([2]活动总表!$A$8:$A$429,MATCH(B56,[2]活动总表!$B$8:$B$429,0))</f>
        <v>2周七天乐</v>
      </c>
      <c r="B56" s="40">
        <v>120</v>
      </c>
      <c r="C56" s="40">
        <v>44</v>
      </c>
      <c r="D56" s="40">
        <v>107</v>
      </c>
      <c r="E56" s="40" t="s">
        <v>919</v>
      </c>
      <c r="F56" s="40">
        <v>3000</v>
      </c>
      <c r="G56" s="40">
        <v>3000</v>
      </c>
      <c r="H56" s="40">
        <v>1</v>
      </c>
      <c r="I56" s="40">
        <v>100</v>
      </c>
      <c r="J56" s="40" t="s">
        <v>976</v>
      </c>
      <c r="K56" s="40">
        <v>3</v>
      </c>
      <c r="L56" s="76">
        <v>204053</v>
      </c>
      <c r="M56" s="76" t="str">
        <f>IFERROR(INDEX([1]物品基础表!$A:$A,MATCH(L56,[1]物品基础表!$B:$B,0)),"")</f>
        <v>狂欢宝袋</v>
      </c>
      <c r="N56" s="76">
        <v>1</v>
      </c>
      <c r="O56" s="76">
        <v>200009</v>
      </c>
      <c r="P56" s="76" t="str">
        <f>IFERROR(INDEX([1]物品基础表!$A:$A,MATCH(O56,[1]物品基础表!$B:$B,0)),"")</f>
        <v>高级转生丹</v>
      </c>
      <c r="Q56" s="76">
        <v>1</v>
      </c>
      <c r="R56" s="76">
        <v>1</v>
      </c>
      <c r="S56" s="76" t="str">
        <f t="shared" si="3"/>
        <v>金币</v>
      </c>
      <c r="T56" s="76">
        <v>1500000</v>
      </c>
    </row>
    <row r="57" spans="1:20">
      <c r="A57" s="39" t="str">
        <f>INDEX([2]活动总表!$A$8:$A$429,MATCH(B57,[2]活动总表!$B$8:$B$429,0))</f>
        <v>2周七天乐</v>
      </c>
      <c r="B57" s="40">
        <v>120</v>
      </c>
      <c r="C57" s="40">
        <v>45</v>
      </c>
      <c r="D57" s="40">
        <v>107</v>
      </c>
      <c r="E57" s="40" t="s">
        <v>919</v>
      </c>
      <c r="F57" s="40">
        <v>6000</v>
      </c>
      <c r="G57" s="40">
        <v>6000</v>
      </c>
      <c r="H57" s="40">
        <v>1</v>
      </c>
      <c r="I57" s="40">
        <v>100</v>
      </c>
      <c r="J57" s="40" t="s">
        <v>977</v>
      </c>
      <c r="K57" s="40">
        <v>3</v>
      </c>
      <c r="L57" s="76">
        <v>204053</v>
      </c>
      <c r="M57" s="76" t="str">
        <f>IFERROR(INDEX([1]物品基础表!$A:$A,MATCH(L57,[1]物品基础表!$B:$B,0)),"")</f>
        <v>狂欢宝袋</v>
      </c>
      <c r="N57" s="76">
        <v>1</v>
      </c>
      <c r="O57" s="76">
        <v>200009</v>
      </c>
      <c r="P57" s="76" t="str">
        <f>IFERROR(INDEX([1]物品基础表!$A:$A,MATCH(O57,[1]物品基础表!$B:$B,0)),"")</f>
        <v>高级转生丹</v>
      </c>
      <c r="Q57" s="76">
        <v>2</v>
      </c>
      <c r="R57" s="76">
        <v>1</v>
      </c>
      <c r="S57" s="76" t="str">
        <f t="shared" si="3"/>
        <v>金币</v>
      </c>
      <c r="T57" s="76">
        <v>2000000</v>
      </c>
    </row>
    <row r="58" spans="1:20">
      <c r="A58" s="39" t="str">
        <f>INDEX([2]活动总表!$A$8:$A$429,MATCH(B58,[2]活动总表!$B$8:$B$429,0))</f>
        <v>2周七天乐</v>
      </c>
      <c r="B58" s="40">
        <v>120</v>
      </c>
      <c r="C58" s="40">
        <v>46</v>
      </c>
      <c r="D58" s="40">
        <v>107</v>
      </c>
      <c r="E58" s="40" t="s">
        <v>919</v>
      </c>
      <c r="F58" s="40">
        <v>10000</v>
      </c>
      <c r="G58" s="40">
        <v>10000</v>
      </c>
      <c r="H58" s="40">
        <v>1</v>
      </c>
      <c r="I58" s="40">
        <v>100</v>
      </c>
      <c r="J58" s="40" t="s">
        <v>978</v>
      </c>
      <c r="K58" s="40">
        <v>3</v>
      </c>
      <c r="L58" s="76">
        <v>204053</v>
      </c>
      <c r="M58" s="76" t="str">
        <f>IFERROR(INDEX([1]物品基础表!$A:$A,MATCH(L58,[1]物品基础表!$B:$B,0)),"")</f>
        <v>狂欢宝袋</v>
      </c>
      <c r="N58" s="76">
        <v>1</v>
      </c>
      <c r="O58" s="76">
        <v>200009</v>
      </c>
      <c r="P58" s="76" t="str">
        <f>IFERROR(INDEX([1]物品基础表!$A:$A,MATCH(O58,[1]物品基础表!$B:$B,0)),"")</f>
        <v>高级转生丹</v>
      </c>
      <c r="Q58" s="76">
        <v>2</v>
      </c>
      <c r="R58" s="76">
        <v>1</v>
      </c>
      <c r="S58" s="76" t="str">
        <f t="shared" si="3"/>
        <v>金币</v>
      </c>
      <c r="T58" s="76">
        <v>2500000</v>
      </c>
    </row>
    <row r="59" spans="1:20">
      <c r="A59" s="39" t="str">
        <f>INDEX([2]活动总表!$A$8:$A$429,MATCH(B59,[2]活动总表!$B$8:$B$429,0))</f>
        <v>2周七天乐</v>
      </c>
      <c r="B59" s="40">
        <v>120</v>
      </c>
      <c r="C59" s="40">
        <v>47</v>
      </c>
      <c r="D59" s="40">
        <v>107</v>
      </c>
      <c r="E59" s="40" t="s">
        <v>919</v>
      </c>
      <c r="F59" s="40">
        <v>20000</v>
      </c>
      <c r="G59" s="40">
        <v>20000</v>
      </c>
      <c r="H59" s="40">
        <v>1</v>
      </c>
      <c r="I59" s="40">
        <v>100</v>
      </c>
      <c r="J59" s="40" t="s">
        <v>979</v>
      </c>
      <c r="K59" s="40">
        <v>3</v>
      </c>
      <c r="L59" s="76">
        <v>204053</v>
      </c>
      <c r="M59" s="76" t="str">
        <f>IFERROR(INDEX([1]物品基础表!$A:$A,MATCH(L59,[1]物品基础表!$B:$B,0)),"")</f>
        <v>狂欢宝袋</v>
      </c>
      <c r="N59" s="76">
        <v>3</v>
      </c>
      <c r="O59" s="76">
        <v>200009</v>
      </c>
      <c r="P59" s="76" t="str">
        <f>IFERROR(INDEX([1]物品基础表!$A:$A,MATCH(O59,[1]物品基础表!$B:$B,0)),"")</f>
        <v>高级转生丹</v>
      </c>
      <c r="Q59" s="76">
        <v>3</v>
      </c>
      <c r="R59" s="76">
        <v>1</v>
      </c>
      <c r="S59" s="76" t="str">
        <f t="shared" si="3"/>
        <v>金币</v>
      </c>
      <c r="T59" s="76">
        <v>3000000</v>
      </c>
    </row>
    <row r="60" spans="1:20">
      <c r="A60" s="39" t="str">
        <f>INDEX([2]活动总表!$A$8:$A$429,MATCH(B60,[2]活动总表!$B$8:$B$429,0))</f>
        <v>2周七天乐</v>
      </c>
      <c r="B60" s="40">
        <v>120</v>
      </c>
      <c r="C60" s="40">
        <v>48</v>
      </c>
      <c r="D60" s="40">
        <v>107</v>
      </c>
      <c r="E60" s="40" t="s">
        <v>919</v>
      </c>
      <c r="F60" s="40">
        <v>30000</v>
      </c>
      <c r="G60" s="40">
        <v>30000</v>
      </c>
      <c r="H60" s="40">
        <v>1</v>
      </c>
      <c r="I60" s="40">
        <v>100</v>
      </c>
      <c r="J60" s="40" t="s">
        <v>980</v>
      </c>
      <c r="K60" s="40">
        <v>3</v>
      </c>
      <c r="L60" s="76">
        <v>204053</v>
      </c>
      <c r="M60" s="76" t="str">
        <f>IFERROR(INDEX([1]物品基础表!$A:$A,MATCH(L60,[1]物品基础表!$B:$B,0)),"")</f>
        <v>狂欢宝袋</v>
      </c>
      <c r="N60" s="76">
        <v>3</v>
      </c>
      <c r="O60" s="76">
        <v>200009</v>
      </c>
      <c r="P60" s="76" t="str">
        <f>IFERROR(INDEX([1]物品基础表!$A:$A,MATCH(O60,[1]物品基础表!$B:$B,0)),"")</f>
        <v>高级转生丹</v>
      </c>
      <c r="Q60" s="76">
        <v>3</v>
      </c>
      <c r="R60" s="76">
        <v>1</v>
      </c>
      <c r="S60" s="76" t="str">
        <f t="shared" si="3"/>
        <v>金币</v>
      </c>
      <c r="T60" s="76">
        <v>3500000</v>
      </c>
    </row>
    <row r="61" spans="1:20">
      <c r="A61" s="39" t="str">
        <f>INDEX([2]活动总表!$A$8:$A$429,MATCH(B61,[2]活动总表!$B$8:$B$429,0))</f>
        <v>2周七天乐</v>
      </c>
      <c r="B61" s="40">
        <v>120</v>
      </c>
      <c r="C61" s="40">
        <v>49</v>
      </c>
      <c r="D61" s="40">
        <v>107</v>
      </c>
      <c r="E61" s="40" t="s">
        <v>919</v>
      </c>
      <c r="F61" s="40">
        <v>50000</v>
      </c>
      <c r="G61" s="40">
        <v>50000</v>
      </c>
      <c r="H61" s="40">
        <v>1</v>
      </c>
      <c r="I61" s="40">
        <v>100</v>
      </c>
      <c r="J61" s="40" t="s">
        <v>981</v>
      </c>
      <c r="K61" s="40">
        <v>3</v>
      </c>
      <c r="L61" s="76">
        <v>204053</v>
      </c>
      <c r="M61" s="76" t="str">
        <f>IFERROR(INDEX([1]物品基础表!$A:$A,MATCH(L61,[1]物品基础表!$B:$B,0)),"")</f>
        <v>狂欢宝袋</v>
      </c>
      <c r="N61" s="76">
        <v>6</v>
      </c>
      <c r="O61" s="76">
        <v>200009</v>
      </c>
      <c r="P61" s="76" t="str">
        <f>IFERROR(INDEX([1]物品基础表!$A:$A,MATCH(O61,[1]物品基础表!$B:$B,0)),"")</f>
        <v>高级转生丹</v>
      </c>
      <c r="Q61" s="76">
        <v>5</v>
      </c>
      <c r="R61" s="76">
        <v>1</v>
      </c>
      <c r="S61" s="76" t="str">
        <f t="shared" si="3"/>
        <v>金币</v>
      </c>
      <c r="T61" s="76">
        <v>4000000</v>
      </c>
    </row>
    <row r="62" spans="1:20">
      <c r="A62" s="39" t="str">
        <f>INDEX([2]活动总表!$A$8:$A$429,MATCH(B62,[2]活动总表!$B$8:$B$429,0))</f>
        <v>2周七天乐</v>
      </c>
      <c r="B62" s="40">
        <v>120</v>
      </c>
      <c r="C62" s="40">
        <v>50</v>
      </c>
      <c r="D62" s="40">
        <v>50</v>
      </c>
      <c r="E62" s="40" t="s">
        <v>919</v>
      </c>
      <c r="F62" s="40">
        <v>3</v>
      </c>
      <c r="G62" s="40">
        <v>3</v>
      </c>
      <c r="H62" s="40">
        <v>1</v>
      </c>
      <c r="I62" s="40"/>
      <c r="J62" s="40" t="s">
        <v>982</v>
      </c>
      <c r="K62" s="40">
        <v>3</v>
      </c>
      <c r="L62" s="76">
        <v>204052</v>
      </c>
      <c r="M62" s="76" t="str">
        <f>IFERROR(INDEX([1]物品基础表!$A:$A,MATCH(L62,[1]物品基础表!$B:$B,0)),"")</f>
        <v>狂欢福袋</v>
      </c>
      <c r="N62" s="76">
        <v>1</v>
      </c>
      <c r="O62" s="76">
        <v>4</v>
      </c>
      <c r="P62" s="76" t="str">
        <f t="shared" ref="P62:P65" si="4">IF(O62=2,"元宝",IF(O62=1,"金币","精炼石"))</f>
        <v>精炼石</v>
      </c>
      <c r="Q62" s="76">
        <v>2000</v>
      </c>
      <c r="S62" s="76" t="str">
        <f>IFERROR(INDEX([1]物品基础表!$A:$A,MATCH(R62,[1]物品基础表!$B:$B,0)),"")</f>
        <v/>
      </c>
    </row>
    <row r="63" spans="1:20">
      <c r="A63" s="39" t="str">
        <f>INDEX([2]活动总表!$A$8:$A$429,MATCH(B63,[2]活动总表!$B$8:$B$429,0))</f>
        <v>2周七天乐</v>
      </c>
      <c r="B63" s="40">
        <v>120</v>
      </c>
      <c r="C63" s="40">
        <v>51</v>
      </c>
      <c r="D63" s="40">
        <v>50</v>
      </c>
      <c r="E63" s="40" t="s">
        <v>919</v>
      </c>
      <c r="F63" s="40">
        <v>6</v>
      </c>
      <c r="G63" s="40">
        <v>6</v>
      </c>
      <c r="H63" s="40">
        <v>1</v>
      </c>
      <c r="I63" s="40"/>
      <c r="J63" s="40" t="s">
        <v>983</v>
      </c>
      <c r="K63" s="40">
        <v>3</v>
      </c>
      <c r="L63" s="76">
        <v>204052</v>
      </c>
      <c r="M63" s="76" t="str">
        <f>IFERROR(INDEX([1]物品基础表!$A:$A,MATCH(L63,[1]物品基础表!$B:$B,0)),"")</f>
        <v>狂欢福袋</v>
      </c>
      <c r="N63" s="76">
        <v>1</v>
      </c>
      <c r="O63" s="76">
        <v>4</v>
      </c>
      <c r="P63" s="76" t="str">
        <f t="shared" si="4"/>
        <v>精炼石</v>
      </c>
      <c r="Q63" s="76">
        <v>2000</v>
      </c>
      <c r="S63" s="76" t="str">
        <f>IFERROR(INDEX([1]物品基础表!$A:$A,MATCH(R63,[1]物品基础表!$B:$B,0)),"")</f>
        <v/>
      </c>
    </row>
    <row r="64" spans="1:20">
      <c r="A64" s="39" t="str">
        <f>INDEX([2]活动总表!$A$8:$A$429,MATCH(B64,[2]活动总表!$B$8:$B$429,0))</f>
        <v>2周七天乐</v>
      </c>
      <c r="B64" s="40">
        <v>120</v>
      </c>
      <c r="C64" s="40">
        <v>52</v>
      </c>
      <c r="D64" s="40">
        <v>50</v>
      </c>
      <c r="E64" s="40" t="s">
        <v>919</v>
      </c>
      <c r="F64" s="40">
        <v>12</v>
      </c>
      <c r="G64" s="40">
        <v>12</v>
      </c>
      <c r="H64" s="40">
        <v>1</v>
      </c>
      <c r="I64" s="40"/>
      <c r="J64" s="40" t="s">
        <v>984</v>
      </c>
      <c r="K64" s="40">
        <v>3</v>
      </c>
      <c r="L64" s="76">
        <v>204052</v>
      </c>
      <c r="M64" s="76" t="str">
        <f>IFERROR(INDEX([1]物品基础表!$A:$A,MATCH(L64,[1]物品基础表!$B:$B,0)),"")</f>
        <v>狂欢福袋</v>
      </c>
      <c r="N64" s="76">
        <v>1</v>
      </c>
      <c r="O64" s="76">
        <v>4</v>
      </c>
      <c r="P64" s="76" t="str">
        <f t="shared" si="4"/>
        <v>精炼石</v>
      </c>
      <c r="Q64" s="76">
        <v>2000</v>
      </c>
      <c r="S64" s="76" t="str">
        <f>IFERROR(INDEX([1]物品基础表!$A:$A,MATCH(R64,[1]物品基础表!$B:$B,0)),"")</f>
        <v/>
      </c>
    </row>
    <row r="65" spans="1:20">
      <c r="A65" s="39" t="str">
        <f>INDEX([2]活动总表!$A$8:$A$429,MATCH(B65,[2]活动总表!$B$8:$B$429,0))</f>
        <v>2周七天乐</v>
      </c>
      <c r="B65" s="40">
        <v>120</v>
      </c>
      <c r="C65" s="40">
        <v>53</v>
      </c>
      <c r="D65" s="40">
        <v>50</v>
      </c>
      <c r="E65" s="40" t="s">
        <v>919</v>
      </c>
      <c r="F65" s="40">
        <v>18</v>
      </c>
      <c r="G65" s="40">
        <v>18</v>
      </c>
      <c r="H65" s="40">
        <v>1</v>
      </c>
      <c r="I65" s="40"/>
      <c r="J65" s="40" t="s">
        <v>985</v>
      </c>
      <c r="K65" s="40">
        <v>3</v>
      </c>
      <c r="L65" s="76">
        <v>204052</v>
      </c>
      <c r="M65" s="76" t="str">
        <f>IFERROR(INDEX([1]物品基础表!$A:$A,MATCH(L65,[1]物品基础表!$B:$B,0)),"")</f>
        <v>狂欢福袋</v>
      </c>
      <c r="N65" s="76">
        <v>1</v>
      </c>
      <c r="O65" s="76">
        <v>4</v>
      </c>
      <c r="P65" s="76" t="str">
        <f t="shared" si="4"/>
        <v>精炼石</v>
      </c>
      <c r="Q65" s="76">
        <v>2000</v>
      </c>
      <c r="S65" s="76" t="str">
        <f>IFERROR(INDEX([1]物品基础表!$A:$A,MATCH(R65,[1]物品基础表!$B:$B,0)),"")</f>
        <v/>
      </c>
    </row>
    <row r="66" spans="1:20">
      <c r="A66" s="39" t="str">
        <f>INDEX([2]活动总表!$A$8:$A$429,MATCH(B66,[2]活动总表!$B$8:$B$429,0))</f>
        <v>2周七天乐</v>
      </c>
      <c r="B66" s="40">
        <v>120</v>
      </c>
      <c r="C66" s="40">
        <v>54</v>
      </c>
      <c r="D66" s="40">
        <v>11</v>
      </c>
      <c r="E66" s="40">
        <v>25</v>
      </c>
      <c r="F66" s="40">
        <v>1</v>
      </c>
      <c r="G66" s="40">
        <v>1</v>
      </c>
      <c r="H66" s="40">
        <v>1</v>
      </c>
      <c r="I66" s="40"/>
      <c r="J66" s="40" t="s">
        <v>986</v>
      </c>
      <c r="K66" s="40">
        <v>3</v>
      </c>
      <c r="L66" s="76">
        <v>204052</v>
      </c>
      <c r="M66" s="76" t="str">
        <f>IFERROR(INDEX([1]物品基础表!$A:$A,MATCH(L66,[1]物品基础表!$B:$B,0)),"")</f>
        <v>狂欢福袋</v>
      </c>
      <c r="N66" s="76">
        <v>1</v>
      </c>
      <c r="O66" s="76">
        <v>200318</v>
      </c>
      <c r="P66" s="76" t="str">
        <f>IFERROR(INDEX([1]物品基础表!$A:$A,MATCH(O66,[1]物品基础表!$B:$B,0)),"")</f>
        <v>威望令牌</v>
      </c>
      <c r="Q66" s="76">
        <v>10</v>
      </c>
      <c r="S66" s="76" t="str">
        <f>IFERROR(INDEX([1]物品基础表!$A:$A,MATCH(R66,[1]物品基础表!$B:$B,0)),"")</f>
        <v/>
      </c>
    </row>
    <row r="67" spans="1:20">
      <c r="A67" s="39" t="str">
        <f>INDEX([2]活动总表!$A$8:$A$429,MATCH(B67,[2]活动总表!$B$8:$B$429,0))</f>
        <v>2周七天乐</v>
      </c>
      <c r="B67" s="40">
        <v>120</v>
      </c>
      <c r="C67" s="40">
        <v>55</v>
      </c>
      <c r="D67" s="40">
        <v>11</v>
      </c>
      <c r="E67" s="40">
        <v>22</v>
      </c>
      <c r="F67" s="40">
        <v>1</v>
      </c>
      <c r="G67" s="40">
        <v>1</v>
      </c>
      <c r="H67" s="40">
        <v>1</v>
      </c>
      <c r="I67" s="40"/>
      <c r="J67" s="40" t="s">
        <v>987</v>
      </c>
      <c r="K67" s="40">
        <v>3</v>
      </c>
      <c r="L67" s="76">
        <v>204052</v>
      </c>
      <c r="M67" s="76" t="str">
        <f>IFERROR(INDEX([1]物品基础表!$A:$A,MATCH(L67,[1]物品基础表!$B:$B,0)),"")</f>
        <v>狂欢福袋</v>
      </c>
      <c r="N67" s="76">
        <v>1</v>
      </c>
      <c r="O67" s="76">
        <v>200318</v>
      </c>
      <c r="P67" s="76" t="str">
        <f>IFERROR(INDEX([1]物品基础表!$A:$A,MATCH(O67,[1]物品基础表!$B:$B,0)),"")</f>
        <v>威望令牌</v>
      </c>
      <c r="Q67" s="76">
        <v>10</v>
      </c>
      <c r="S67" s="76" t="str">
        <f>IFERROR(INDEX([1]物品基础表!$A:$A,MATCH(R67,[1]物品基础表!$B:$B,0)),"")</f>
        <v/>
      </c>
    </row>
    <row r="68" spans="1:20">
      <c r="A68" s="39" t="str">
        <f>INDEX([2]活动总表!$A$8:$A$429,MATCH(B68,[2]活动总表!$B$8:$B$429,0))</f>
        <v>2周七天乐</v>
      </c>
      <c r="B68" s="40">
        <v>120</v>
      </c>
      <c r="C68" s="40">
        <v>56</v>
      </c>
      <c r="D68" s="40">
        <v>94</v>
      </c>
      <c r="E68" s="40">
        <v>4</v>
      </c>
      <c r="F68" s="40">
        <v>2</v>
      </c>
      <c r="G68" s="40">
        <v>2</v>
      </c>
      <c r="H68" s="40">
        <v>1</v>
      </c>
      <c r="I68" s="40"/>
      <c r="J68" s="40" t="s">
        <v>988</v>
      </c>
      <c r="K68" s="40">
        <v>3</v>
      </c>
      <c r="L68" s="76">
        <v>204053</v>
      </c>
      <c r="M68" s="76" t="str">
        <f>IFERROR(INDEX([1]物品基础表!$A:$A,MATCH(L68,[1]物品基础表!$B:$B,0)),"")</f>
        <v>狂欢宝袋</v>
      </c>
      <c r="N68" s="76">
        <v>2</v>
      </c>
      <c r="O68" s="76">
        <v>200936</v>
      </c>
      <c r="P68" s="76" t="str">
        <f>IFERROR(INDEX([1]物品基础表!$A:$A,MATCH(O68,[1]物品基础表!$B:$B,0)),"")</f>
        <v>矿锄</v>
      </c>
      <c r="Q68" s="76">
        <v>1</v>
      </c>
      <c r="S68" s="76" t="str">
        <f>IFERROR(INDEX([1]物品基础表!$A:$A,MATCH(R68,[1]物品基础表!$B:$B,0)),"")</f>
        <v/>
      </c>
    </row>
    <row r="69" spans="1:20">
      <c r="A69" s="39" t="str">
        <f>INDEX([2]活动总表!$A$8:$A$429,MATCH(B69,[2]活动总表!$B$8:$B$429,0))</f>
        <v>2周七天乐</v>
      </c>
      <c r="B69" s="40">
        <v>120</v>
      </c>
      <c r="C69" s="40">
        <v>57</v>
      </c>
      <c r="D69" s="40">
        <v>94</v>
      </c>
      <c r="E69" s="40">
        <v>4</v>
      </c>
      <c r="F69" s="40">
        <v>4</v>
      </c>
      <c r="G69" s="40">
        <v>4</v>
      </c>
      <c r="H69" s="40">
        <v>1</v>
      </c>
      <c r="I69" s="40"/>
      <c r="J69" s="40" t="s">
        <v>989</v>
      </c>
      <c r="K69" s="40">
        <v>3</v>
      </c>
      <c r="L69" s="76">
        <v>204053</v>
      </c>
      <c r="M69" s="76" t="str">
        <f>IFERROR(INDEX([1]物品基础表!$A:$A,MATCH(L69,[1]物品基础表!$B:$B,0)),"")</f>
        <v>狂欢宝袋</v>
      </c>
      <c r="N69" s="76">
        <v>2</v>
      </c>
      <c r="O69" s="76">
        <v>200936</v>
      </c>
      <c r="P69" s="76" t="str">
        <f>IFERROR(INDEX([1]物品基础表!$A:$A,MATCH(O69,[1]物品基础表!$B:$B,0)),"")</f>
        <v>矿锄</v>
      </c>
      <c r="Q69" s="76">
        <v>2</v>
      </c>
      <c r="S69" s="76" t="str">
        <f>IFERROR(INDEX([1]物品基础表!$A:$A,MATCH(R69,[1]物品基础表!$B:$B,0)),"")</f>
        <v/>
      </c>
    </row>
    <row r="70" spans="1:20">
      <c r="A70" s="39" t="str">
        <f>INDEX([2]活动总表!$A$8:$A$429,MATCH(B70,[2]活动总表!$B$8:$B$429,0))</f>
        <v>2周七天乐</v>
      </c>
      <c r="B70" s="40">
        <v>120</v>
      </c>
      <c r="C70" s="40">
        <v>58</v>
      </c>
      <c r="D70" s="40">
        <v>94</v>
      </c>
      <c r="E70" s="40">
        <v>4</v>
      </c>
      <c r="F70" s="40">
        <v>6</v>
      </c>
      <c r="G70" s="40">
        <v>6</v>
      </c>
      <c r="H70" s="40">
        <v>1</v>
      </c>
      <c r="I70" s="40"/>
      <c r="J70" s="40" t="s">
        <v>990</v>
      </c>
      <c r="K70" s="40">
        <v>3</v>
      </c>
      <c r="L70" s="76">
        <v>204053</v>
      </c>
      <c r="M70" s="76" t="str">
        <f>IFERROR(INDEX([1]物品基础表!$A:$A,MATCH(L70,[1]物品基础表!$B:$B,0)),"")</f>
        <v>狂欢宝袋</v>
      </c>
      <c r="N70" s="76">
        <v>2</v>
      </c>
      <c r="O70" s="76">
        <v>200936</v>
      </c>
      <c r="P70" s="76" t="str">
        <f>IFERROR(INDEX([1]物品基础表!$A:$A,MATCH(O70,[1]物品基础表!$B:$B,0)),"")</f>
        <v>矿锄</v>
      </c>
      <c r="Q70" s="76">
        <v>3</v>
      </c>
      <c r="S70" s="76" t="str">
        <f>IFERROR(INDEX([1]物品基础表!$A:$A,MATCH(R70,[1]物品基础表!$B:$B,0)),"")</f>
        <v/>
      </c>
    </row>
    <row r="71" spans="1:20">
      <c r="A71" s="39" t="str">
        <f>INDEX([2]活动总表!$A$8:$A$429,MATCH(B71,[2]活动总表!$B$8:$B$429,0))</f>
        <v>2周七天乐</v>
      </c>
      <c r="B71" s="40">
        <v>120</v>
      </c>
      <c r="C71" s="40">
        <v>59</v>
      </c>
      <c r="D71" s="40">
        <v>94</v>
      </c>
      <c r="E71" s="40">
        <v>4</v>
      </c>
      <c r="F71" s="40">
        <v>9</v>
      </c>
      <c r="G71" s="40">
        <v>9</v>
      </c>
      <c r="H71" s="40">
        <v>1</v>
      </c>
      <c r="I71" s="40"/>
      <c r="J71" s="40" t="s">
        <v>991</v>
      </c>
      <c r="K71" s="40">
        <v>3</v>
      </c>
      <c r="L71" s="76">
        <v>204053</v>
      </c>
      <c r="M71" s="76" t="str">
        <f>IFERROR(INDEX([1]物品基础表!$A:$A,MATCH(L71,[1]物品基础表!$B:$B,0)),"")</f>
        <v>狂欢宝袋</v>
      </c>
      <c r="N71" s="76">
        <v>2</v>
      </c>
      <c r="O71" s="76">
        <v>200936</v>
      </c>
      <c r="P71" s="76" t="str">
        <f>IFERROR(INDEX([1]物品基础表!$A:$A,MATCH(O71,[1]物品基础表!$B:$B,0)),"")</f>
        <v>矿锄</v>
      </c>
      <c r="Q71" s="76">
        <v>4</v>
      </c>
      <c r="S71" s="76" t="str">
        <f>IFERROR(INDEX([1]物品基础表!$A:$A,MATCH(R71,[1]物品基础表!$B:$B,0)),"")</f>
        <v/>
      </c>
    </row>
    <row r="72" spans="1:20">
      <c r="A72" s="39" t="str">
        <f>INDEX([2]活动总表!$A$8:$A$429,MATCH(B72,[2]活动总表!$B$8:$B$429,0))</f>
        <v>2周七天乐</v>
      </c>
      <c r="B72" s="40">
        <v>120</v>
      </c>
      <c r="C72" s="40">
        <v>60</v>
      </c>
      <c r="D72" s="40">
        <v>94</v>
      </c>
      <c r="E72" s="40">
        <v>4</v>
      </c>
      <c r="F72" s="40">
        <v>12</v>
      </c>
      <c r="G72" s="40">
        <v>12</v>
      </c>
      <c r="H72" s="40">
        <v>1</v>
      </c>
      <c r="I72" s="40"/>
      <c r="J72" s="40" t="s">
        <v>992</v>
      </c>
      <c r="K72" s="40">
        <v>3</v>
      </c>
      <c r="L72" s="76">
        <v>204053</v>
      </c>
      <c r="M72" s="76" t="str">
        <f>IFERROR(INDEX([1]物品基础表!$A:$A,MATCH(L72,[1]物品基础表!$B:$B,0)),"")</f>
        <v>狂欢宝袋</v>
      </c>
      <c r="N72" s="76">
        <v>2</v>
      </c>
      <c r="O72" s="76">
        <v>200936</v>
      </c>
      <c r="P72" s="76" t="str">
        <f>IFERROR(INDEX([1]物品基础表!$A:$A,MATCH(O72,[1]物品基础表!$B:$B,0)),"")</f>
        <v>矿锄</v>
      </c>
      <c r="Q72" s="76">
        <v>5</v>
      </c>
      <c r="S72" s="76" t="str">
        <f>IFERROR(INDEX([1]物品基础表!$A:$A,MATCH(R72,[1]物品基础表!$B:$B,0)),"")</f>
        <v/>
      </c>
    </row>
    <row r="73" spans="1:20">
      <c r="A73" s="39" t="str">
        <f>INDEX([2]活动总表!$A$8:$A$429,MATCH(B73,[2]活动总表!$B$8:$B$429,0))</f>
        <v>2周七天乐</v>
      </c>
      <c r="B73" s="40">
        <v>120</v>
      </c>
      <c r="C73" s="40">
        <v>61</v>
      </c>
      <c r="D73" s="40">
        <v>103</v>
      </c>
      <c r="E73" s="40" t="s">
        <v>919</v>
      </c>
      <c r="F73" s="40">
        <v>3888</v>
      </c>
      <c r="G73" s="40">
        <v>3888</v>
      </c>
      <c r="H73" s="40">
        <v>1</v>
      </c>
      <c r="I73" s="40"/>
      <c r="J73" s="40" t="s">
        <v>993</v>
      </c>
      <c r="K73" s="40">
        <v>4</v>
      </c>
      <c r="L73" s="76">
        <v>204053</v>
      </c>
      <c r="M73" s="76" t="str">
        <f>IFERROR(INDEX([1]物品基础表!$A:$A,MATCH(L73,[1]物品基础表!$B:$B,0)),"")</f>
        <v>狂欢宝袋</v>
      </c>
      <c r="N73" s="76">
        <v>1</v>
      </c>
      <c r="O73" s="76">
        <v>200004</v>
      </c>
      <c r="P73" s="76" t="str">
        <f>IFERROR(INDEX([1]物品基础表!$A:$A,MATCH(O73,[1]物品基础表!$B:$B,0)),"")</f>
        <v>经脉丹</v>
      </c>
      <c r="Q73" s="76">
        <v>5</v>
      </c>
      <c r="R73" s="76">
        <v>1</v>
      </c>
      <c r="S73" s="76" t="str">
        <f t="shared" ref="S73:S79" si="5">IF(R73=2,"元宝",IF(R73=1,"金币","精炼石"))</f>
        <v>金币</v>
      </c>
      <c r="T73" s="76">
        <v>1000000</v>
      </c>
    </row>
    <row r="74" spans="1:20">
      <c r="A74" s="39" t="str">
        <f>INDEX([2]活动总表!$A$8:$A$429,MATCH(B74,[2]活动总表!$B$8:$B$429,0))</f>
        <v>2周七天乐</v>
      </c>
      <c r="B74" s="40">
        <v>120</v>
      </c>
      <c r="C74" s="40">
        <v>62</v>
      </c>
      <c r="D74" s="40">
        <v>103</v>
      </c>
      <c r="E74" s="40" t="s">
        <v>919</v>
      </c>
      <c r="F74" s="40">
        <v>6888</v>
      </c>
      <c r="G74" s="40">
        <v>6888</v>
      </c>
      <c r="H74" s="40">
        <v>1</v>
      </c>
      <c r="I74" s="40"/>
      <c r="J74" s="40" t="s">
        <v>994</v>
      </c>
      <c r="K74" s="40">
        <v>4</v>
      </c>
      <c r="L74" s="76">
        <v>204053</v>
      </c>
      <c r="M74" s="76" t="str">
        <f>IFERROR(INDEX([1]物品基础表!$A:$A,MATCH(L74,[1]物品基础表!$B:$B,0)),"")</f>
        <v>狂欢宝袋</v>
      </c>
      <c r="N74" s="76">
        <v>1</v>
      </c>
      <c r="O74" s="76">
        <v>200004</v>
      </c>
      <c r="P74" s="76" t="str">
        <f>IFERROR(INDEX([1]物品基础表!$A:$A,MATCH(O74,[1]物品基础表!$B:$B,0)),"")</f>
        <v>经脉丹</v>
      </c>
      <c r="Q74" s="76">
        <v>5</v>
      </c>
      <c r="R74" s="76">
        <v>1</v>
      </c>
      <c r="S74" s="76" t="str">
        <f t="shared" si="5"/>
        <v>金币</v>
      </c>
      <c r="T74" s="76">
        <v>1500000</v>
      </c>
    </row>
    <row r="75" spans="1:20">
      <c r="A75" s="39" t="str">
        <f>INDEX([2]活动总表!$A$8:$A$429,MATCH(B75,[2]活动总表!$B$8:$B$429,0))</f>
        <v>2周七天乐</v>
      </c>
      <c r="B75" s="40">
        <v>120</v>
      </c>
      <c r="C75" s="40">
        <v>63</v>
      </c>
      <c r="D75" s="40">
        <v>103</v>
      </c>
      <c r="E75" s="40" t="s">
        <v>919</v>
      </c>
      <c r="F75" s="40">
        <v>9888</v>
      </c>
      <c r="G75" s="40">
        <v>9888</v>
      </c>
      <c r="H75" s="40">
        <v>1</v>
      </c>
      <c r="I75" s="40"/>
      <c r="J75" s="40" t="s">
        <v>995</v>
      </c>
      <c r="K75" s="40">
        <v>4</v>
      </c>
      <c r="L75" s="76">
        <v>204053</v>
      </c>
      <c r="M75" s="76" t="str">
        <f>IFERROR(INDEX([1]物品基础表!$A:$A,MATCH(L75,[1]物品基础表!$B:$B,0)),"")</f>
        <v>狂欢宝袋</v>
      </c>
      <c r="N75" s="76">
        <v>1</v>
      </c>
      <c r="O75" s="76">
        <v>200004</v>
      </c>
      <c r="P75" s="76" t="str">
        <f>IFERROR(INDEX([1]物品基础表!$A:$A,MATCH(O75,[1]物品基础表!$B:$B,0)),"")</f>
        <v>经脉丹</v>
      </c>
      <c r="Q75" s="76">
        <v>5</v>
      </c>
      <c r="R75" s="76">
        <v>1</v>
      </c>
      <c r="S75" s="76" t="str">
        <f t="shared" si="5"/>
        <v>金币</v>
      </c>
      <c r="T75" s="76">
        <v>2000000</v>
      </c>
    </row>
    <row r="76" spans="1:20">
      <c r="A76" s="39" t="str">
        <f>INDEX([2]活动总表!$A$8:$A$429,MATCH(B76,[2]活动总表!$B$8:$B$429,0))</f>
        <v>2周七天乐</v>
      </c>
      <c r="B76" s="40">
        <v>120</v>
      </c>
      <c r="C76" s="40">
        <v>64</v>
      </c>
      <c r="D76" s="40">
        <v>103</v>
      </c>
      <c r="E76" s="40" t="s">
        <v>919</v>
      </c>
      <c r="F76" s="40">
        <v>16888</v>
      </c>
      <c r="G76" s="40">
        <v>16888</v>
      </c>
      <c r="H76" s="40">
        <v>1</v>
      </c>
      <c r="I76" s="40"/>
      <c r="J76" s="40" t="s">
        <v>996</v>
      </c>
      <c r="K76" s="40">
        <v>4</v>
      </c>
      <c r="L76" s="76">
        <v>204053</v>
      </c>
      <c r="M76" s="76" t="str">
        <f>IFERROR(INDEX([1]物品基础表!$A:$A,MATCH(L76,[1]物品基础表!$B:$B,0)),"")</f>
        <v>狂欢宝袋</v>
      </c>
      <c r="N76" s="76">
        <v>2</v>
      </c>
      <c r="O76" s="76">
        <v>200004</v>
      </c>
      <c r="P76" s="76" t="str">
        <f>IFERROR(INDEX([1]物品基础表!$A:$A,MATCH(O76,[1]物品基础表!$B:$B,0)),"")</f>
        <v>经脉丹</v>
      </c>
      <c r="Q76" s="76">
        <v>5</v>
      </c>
      <c r="R76" s="76">
        <v>1</v>
      </c>
      <c r="S76" s="76" t="str">
        <f t="shared" si="5"/>
        <v>金币</v>
      </c>
      <c r="T76" s="76">
        <v>2500000</v>
      </c>
    </row>
    <row r="77" spans="1:20">
      <c r="A77" s="39" t="str">
        <f>INDEX([2]活动总表!$A$8:$A$429,MATCH(B77,[2]活动总表!$B$8:$B$429,0))</f>
        <v>2周七天乐</v>
      </c>
      <c r="B77" s="40">
        <v>120</v>
      </c>
      <c r="C77" s="40">
        <v>65</v>
      </c>
      <c r="D77" s="40">
        <v>103</v>
      </c>
      <c r="E77" s="40" t="s">
        <v>919</v>
      </c>
      <c r="F77" s="40">
        <v>26888</v>
      </c>
      <c r="G77" s="40">
        <v>26888</v>
      </c>
      <c r="H77" s="40">
        <v>1</v>
      </c>
      <c r="I77" s="40"/>
      <c r="J77" s="40" t="s">
        <v>997</v>
      </c>
      <c r="K77" s="40">
        <v>4</v>
      </c>
      <c r="L77" s="76">
        <v>204053</v>
      </c>
      <c r="M77" s="76" t="str">
        <f>IFERROR(INDEX([1]物品基础表!$A:$A,MATCH(L77,[1]物品基础表!$B:$B,0)),"")</f>
        <v>狂欢宝袋</v>
      </c>
      <c r="N77" s="76">
        <v>3</v>
      </c>
      <c r="O77" s="76">
        <v>200004</v>
      </c>
      <c r="P77" s="76" t="str">
        <f>IFERROR(INDEX([1]物品基础表!$A:$A,MATCH(O77,[1]物品基础表!$B:$B,0)),"")</f>
        <v>经脉丹</v>
      </c>
      <c r="Q77" s="76">
        <v>5</v>
      </c>
      <c r="R77" s="76">
        <v>1</v>
      </c>
      <c r="S77" s="76" t="str">
        <f t="shared" si="5"/>
        <v>金币</v>
      </c>
      <c r="T77" s="76">
        <v>3000000</v>
      </c>
    </row>
    <row r="78" spans="1:20">
      <c r="A78" s="39" t="str">
        <f>INDEX([2]活动总表!$A$8:$A$429,MATCH(B78,[2]活动总表!$B$8:$B$429,0))</f>
        <v>2周七天乐</v>
      </c>
      <c r="B78" s="40">
        <v>120</v>
      </c>
      <c r="C78" s="40">
        <v>66</v>
      </c>
      <c r="D78" s="40">
        <v>103</v>
      </c>
      <c r="E78" s="40" t="s">
        <v>919</v>
      </c>
      <c r="F78" s="40">
        <v>38888</v>
      </c>
      <c r="G78" s="40">
        <v>38888</v>
      </c>
      <c r="H78" s="40">
        <v>1</v>
      </c>
      <c r="I78" s="40"/>
      <c r="J78" s="40" t="s">
        <v>998</v>
      </c>
      <c r="K78" s="40">
        <v>4</v>
      </c>
      <c r="L78" s="76">
        <v>204053</v>
      </c>
      <c r="M78" s="76" t="str">
        <f>IFERROR(INDEX([1]物品基础表!$A:$A,MATCH(L78,[1]物品基础表!$B:$B,0)),"")</f>
        <v>狂欢宝袋</v>
      </c>
      <c r="N78" s="76">
        <v>3</v>
      </c>
      <c r="O78" s="76">
        <v>200004</v>
      </c>
      <c r="P78" s="76" t="str">
        <f>IFERROR(INDEX([1]物品基础表!$A:$A,MATCH(O78,[1]物品基础表!$B:$B,0)),"")</f>
        <v>经脉丹</v>
      </c>
      <c r="Q78" s="76">
        <v>5</v>
      </c>
      <c r="R78" s="76">
        <v>1</v>
      </c>
      <c r="S78" s="76" t="str">
        <f t="shared" si="5"/>
        <v>金币</v>
      </c>
      <c r="T78" s="76">
        <v>3500000</v>
      </c>
    </row>
    <row r="79" spans="1:20">
      <c r="A79" s="39" t="str">
        <f>INDEX([2]活动总表!$A$8:$A$429,MATCH(B79,[2]活动总表!$B$8:$B$429,0))</f>
        <v>2周七天乐</v>
      </c>
      <c r="B79" s="40">
        <v>120</v>
      </c>
      <c r="C79" s="40">
        <v>67</v>
      </c>
      <c r="D79" s="40">
        <v>103</v>
      </c>
      <c r="E79" s="40" t="s">
        <v>919</v>
      </c>
      <c r="F79" s="40">
        <v>58888</v>
      </c>
      <c r="G79" s="40">
        <v>58888</v>
      </c>
      <c r="H79" s="40">
        <v>1</v>
      </c>
      <c r="I79" s="40"/>
      <c r="J79" s="40" t="s">
        <v>999</v>
      </c>
      <c r="K79" s="40">
        <v>4</v>
      </c>
      <c r="L79" s="76">
        <v>204053</v>
      </c>
      <c r="M79" s="76" t="str">
        <f>IFERROR(INDEX([1]物品基础表!$A:$A,MATCH(L79,[1]物品基础表!$B:$B,0)),"")</f>
        <v>狂欢宝袋</v>
      </c>
      <c r="N79" s="76">
        <v>6</v>
      </c>
      <c r="O79" s="76">
        <v>200004</v>
      </c>
      <c r="P79" s="76" t="str">
        <f>IFERROR(INDEX([1]物品基础表!$A:$A,MATCH(O79,[1]物品基础表!$B:$B,0)),"")</f>
        <v>经脉丹</v>
      </c>
      <c r="Q79" s="76">
        <v>5</v>
      </c>
      <c r="R79" s="76">
        <v>1</v>
      </c>
      <c r="S79" s="76" t="str">
        <f t="shared" si="5"/>
        <v>金币</v>
      </c>
      <c r="T79" s="76">
        <v>4000000</v>
      </c>
    </row>
    <row r="80" spans="1:20">
      <c r="A80" s="39" t="str">
        <f>INDEX([2]活动总表!$A$8:$A$429,MATCH(B80,[2]活动总表!$B$8:$B$429,0))</f>
        <v>2周七天乐</v>
      </c>
      <c r="B80" s="40">
        <v>120</v>
      </c>
      <c r="C80" s="40">
        <v>68</v>
      </c>
      <c r="D80" s="40">
        <v>33</v>
      </c>
      <c r="E80" s="40">
        <v>200060</v>
      </c>
      <c r="F80" s="40">
        <v>60</v>
      </c>
      <c r="G80" s="40">
        <v>60</v>
      </c>
      <c r="H80" s="40">
        <v>1</v>
      </c>
      <c r="I80" s="40"/>
      <c r="J80" s="40" t="s">
        <v>1000</v>
      </c>
      <c r="K80" s="40">
        <v>4</v>
      </c>
      <c r="L80" s="76">
        <v>204052</v>
      </c>
      <c r="M80" s="76" t="str">
        <f>IFERROR(INDEX([1]物品基础表!$A:$A,MATCH(L80,[1]物品基础表!$B:$B,0)),"")</f>
        <v>狂欢福袋</v>
      </c>
      <c r="N80" s="76">
        <v>1</v>
      </c>
      <c r="O80" s="76">
        <v>1</v>
      </c>
      <c r="P80" s="76" t="str">
        <f t="shared" ref="P80:P86" si="6">IF(O80=2,"元宝",IF(O80=1,"金币","精炼石"))</f>
        <v>金币</v>
      </c>
      <c r="Q80" s="76">
        <v>200000</v>
      </c>
      <c r="S80" s="76" t="str">
        <f>IFERROR(INDEX([1]物品基础表!$A:$A,MATCH(R80,[1]物品基础表!$B:$B,0)),"")</f>
        <v/>
      </c>
    </row>
    <row r="81" spans="1:19">
      <c r="A81" s="39" t="str">
        <f>INDEX([2]活动总表!$A$8:$A$429,MATCH(B81,[2]活动总表!$B$8:$B$429,0))</f>
        <v>2周七天乐</v>
      </c>
      <c r="B81" s="40">
        <v>120</v>
      </c>
      <c r="C81" s="40">
        <v>69</v>
      </c>
      <c r="D81" s="40">
        <v>33</v>
      </c>
      <c r="E81" s="40">
        <v>200060</v>
      </c>
      <c r="F81" s="40">
        <v>120</v>
      </c>
      <c r="G81" s="40">
        <v>120</v>
      </c>
      <c r="H81" s="40">
        <v>1</v>
      </c>
      <c r="I81" s="40"/>
      <c r="J81" s="40" t="s">
        <v>1001</v>
      </c>
      <c r="K81" s="40">
        <v>4</v>
      </c>
      <c r="L81" s="76">
        <v>204052</v>
      </c>
      <c r="M81" s="76" t="str">
        <f>IFERROR(INDEX([1]物品基础表!$A:$A,MATCH(L81,[1]物品基础表!$B:$B,0)),"")</f>
        <v>狂欢福袋</v>
      </c>
      <c r="N81" s="76">
        <v>1</v>
      </c>
      <c r="O81" s="76">
        <v>1</v>
      </c>
      <c r="P81" s="76" t="str">
        <f t="shared" si="6"/>
        <v>金币</v>
      </c>
      <c r="Q81" s="76">
        <v>300000</v>
      </c>
      <c r="S81" s="76" t="str">
        <f>IFERROR(INDEX([1]物品基础表!$A:$A,MATCH(R81,[1]物品基础表!$B:$B,0)),"")</f>
        <v/>
      </c>
    </row>
    <row r="82" spans="1:19">
      <c r="A82" s="39" t="str">
        <f>INDEX([2]活动总表!$A$8:$A$429,MATCH(B82,[2]活动总表!$B$8:$B$429,0))</f>
        <v>2周七天乐</v>
      </c>
      <c r="B82" s="40">
        <v>120</v>
      </c>
      <c r="C82" s="40">
        <v>70</v>
      </c>
      <c r="D82" s="40">
        <v>33</v>
      </c>
      <c r="E82" s="40">
        <v>200060</v>
      </c>
      <c r="F82" s="40">
        <v>180</v>
      </c>
      <c r="G82" s="40">
        <v>180</v>
      </c>
      <c r="H82" s="40">
        <v>1</v>
      </c>
      <c r="I82" s="40"/>
      <c r="J82" s="40" t="s">
        <v>1002</v>
      </c>
      <c r="K82" s="40">
        <v>4</v>
      </c>
      <c r="L82" s="76">
        <v>204052</v>
      </c>
      <c r="M82" s="76" t="str">
        <f>IFERROR(INDEX([1]物品基础表!$A:$A,MATCH(L82,[1]物品基础表!$B:$B,0)),"")</f>
        <v>狂欢福袋</v>
      </c>
      <c r="N82" s="76">
        <v>1</v>
      </c>
      <c r="O82" s="76">
        <v>1</v>
      </c>
      <c r="P82" s="76" t="str">
        <f t="shared" si="6"/>
        <v>金币</v>
      </c>
      <c r="Q82" s="76">
        <v>400000</v>
      </c>
      <c r="S82" s="76" t="str">
        <f>IFERROR(INDEX([1]物品基础表!$A:$A,MATCH(R82,[1]物品基础表!$B:$B,0)),"")</f>
        <v/>
      </c>
    </row>
    <row r="83" spans="1:19">
      <c r="A83" s="39" t="str">
        <f>INDEX([2]活动总表!$A$8:$A$429,MATCH(B83,[2]活动总表!$B$8:$B$429,0))</f>
        <v>2周七天乐</v>
      </c>
      <c r="B83" s="40">
        <v>120</v>
      </c>
      <c r="C83" s="40">
        <v>71</v>
      </c>
      <c r="D83" s="40">
        <v>32</v>
      </c>
      <c r="E83" s="40" t="s">
        <v>919</v>
      </c>
      <c r="F83" s="40">
        <v>10</v>
      </c>
      <c r="G83" s="40">
        <v>10</v>
      </c>
      <c r="H83" s="40">
        <v>1</v>
      </c>
      <c r="I83" s="40"/>
      <c r="J83" s="40" t="s">
        <v>1003</v>
      </c>
      <c r="K83" s="40">
        <v>4</v>
      </c>
      <c r="L83" s="76">
        <v>204052</v>
      </c>
      <c r="M83" s="76" t="str">
        <f>IFERROR(INDEX([1]物品基础表!$A:$A,MATCH(L83,[1]物品基础表!$B:$B,0)),"")</f>
        <v>狂欢福袋</v>
      </c>
      <c r="N83" s="76">
        <v>1</v>
      </c>
      <c r="O83" s="76">
        <v>1</v>
      </c>
      <c r="P83" s="76" t="str">
        <f t="shared" si="6"/>
        <v>金币</v>
      </c>
      <c r="Q83" s="76">
        <v>500000</v>
      </c>
      <c r="S83" s="76" t="str">
        <f>IFERROR(INDEX([1]物品基础表!$A:$A,MATCH(R83,[1]物品基础表!$B:$B,0)),"")</f>
        <v/>
      </c>
    </row>
    <row r="84" spans="1:19">
      <c r="A84" s="39" t="str">
        <f>INDEX([2]活动总表!$A$8:$A$429,MATCH(B84,[2]活动总表!$B$8:$B$429,0))</f>
        <v>2周七天乐</v>
      </c>
      <c r="B84" s="40">
        <v>120</v>
      </c>
      <c r="C84" s="40">
        <v>72</v>
      </c>
      <c r="D84" s="40">
        <v>32</v>
      </c>
      <c r="E84" s="40" t="s">
        <v>919</v>
      </c>
      <c r="F84" s="40">
        <v>20</v>
      </c>
      <c r="G84" s="40">
        <v>20</v>
      </c>
      <c r="H84" s="40">
        <v>1</v>
      </c>
      <c r="I84" s="40"/>
      <c r="J84" s="40" t="s">
        <v>1004</v>
      </c>
      <c r="K84" s="40">
        <v>4</v>
      </c>
      <c r="L84" s="76">
        <v>204052</v>
      </c>
      <c r="M84" s="76" t="str">
        <f>IFERROR(INDEX([1]物品基础表!$A:$A,MATCH(L84,[1]物品基础表!$B:$B,0)),"")</f>
        <v>狂欢福袋</v>
      </c>
      <c r="N84" s="76">
        <v>1</v>
      </c>
      <c r="O84" s="76">
        <v>1</v>
      </c>
      <c r="P84" s="76" t="str">
        <f t="shared" si="6"/>
        <v>金币</v>
      </c>
      <c r="Q84" s="76">
        <v>600000</v>
      </c>
      <c r="S84" s="76" t="str">
        <f>IFERROR(INDEX([1]物品基础表!$A:$A,MATCH(R84,[1]物品基础表!$B:$B,0)),"")</f>
        <v/>
      </c>
    </row>
    <row r="85" spans="1:19">
      <c r="A85" s="39" t="str">
        <f>INDEX([2]活动总表!$A$8:$A$429,MATCH(B85,[2]活动总表!$B$8:$B$429,0))</f>
        <v>2周七天乐</v>
      </c>
      <c r="B85" s="40">
        <v>120</v>
      </c>
      <c r="C85" s="40">
        <v>73</v>
      </c>
      <c r="D85" s="40">
        <v>32</v>
      </c>
      <c r="E85" s="40" t="s">
        <v>919</v>
      </c>
      <c r="F85" s="40">
        <v>30</v>
      </c>
      <c r="G85" s="40">
        <v>30</v>
      </c>
      <c r="H85" s="40">
        <v>1</v>
      </c>
      <c r="I85" s="40"/>
      <c r="J85" s="40" t="s">
        <v>1005</v>
      </c>
      <c r="K85" s="40">
        <v>4</v>
      </c>
      <c r="L85" s="76">
        <v>204052</v>
      </c>
      <c r="M85" s="76" t="str">
        <f>IFERROR(INDEX([1]物品基础表!$A:$A,MATCH(L85,[1]物品基础表!$B:$B,0)),"")</f>
        <v>狂欢福袋</v>
      </c>
      <c r="N85" s="76">
        <v>1</v>
      </c>
      <c r="O85" s="76">
        <v>1</v>
      </c>
      <c r="P85" s="76" t="str">
        <f t="shared" si="6"/>
        <v>金币</v>
      </c>
      <c r="Q85" s="76">
        <v>700000</v>
      </c>
      <c r="S85" s="76" t="str">
        <f>IFERROR(INDEX([1]物品基础表!$A:$A,MATCH(R85,[1]物品基础表!$B:$B,0)),"")</f>
        <v/>
      </c>
    </row>
    <row r="86" spans="1:19">
      <c r="A86" s="39" t="str">
        <f>INDEX([2]活动总表!$A$8:$A$429,MATCH(B86,[2]活动总表!$B$8:$B$429,0))</f>
        <v>2周七天乐</v>
      </c>
      <c r="B86" s="40">
        <v>120</v>
      </c>
      <c r="C86" s="40">
        <v>74</v>
      </c>
      <c r="D86" s="40">
        <v>32</v>
      </c>
      <c r="E86" s="40" t="s">
        <v>919</v>
      </c>
      <c r="F86" s="40">
        <v>40</v>
      </c>
      <c r="G86" s="40">
        <v>40</v>
      </c>
      <c r="H86" s="40">
        <v>1</v>
      </c>
      <c r="I86" s="40"/>
      <c r="J86" s="40" t="s">
        <v>1006</v>
      </c>
      <c r="K86" s="40">
        <v>4</v>
      </c>
      <c r="L86" s="76">
        <v>204052</v>
      </c>
      <c r="M86" s="76" t="str">
        <f>IFERROR(INDEX([1]物品基础表!$A:$A,MATCH(L86,[1]物品基础表!$B:$B,0)),"")</f>
        <v>狂欢福袋</v>
      </c>
      <c r="N86" s="76">
        <v>1</v>
      </c>
      <c r="O86" s="76">
        <v>1</v>
      </c>
      <c r="P86" s="76" t="str">
        <f t="shared" si="6"/>
        <v>金币</v>
      </c>
      <c r="Q86" s="76">
        <v>800000</v>
      </c>
      <c r="S86" s="76" t="str">
        <f>IFERROR(INDEX([1]物品基础表!$A:$A,MATCH(R86,[1]物品基础表!$B:$B,0)),"")</f>
        <v/>
      </c>
    </row>
    <row r="87" spans="1:19">
      <c r="A87" s="39" t="str">
        <f>INDEX([2]活动总表!$A$8:$A$429,MATCH(B87,[2]活动总表!$B$8:$B$429,0))</f>
        <v>2周七天乐</v>
      </c>
      <c r="B87" s="40">
        <v>120</v>
      </c>
      <c r="C87" s="40">
        <v>75</v>
      </c>
      <c r="D87" s="40">
        <v>105</v>
      </c>
      <c r="E87" s="40" t="s">
        <v>919</v>
      </c>
      <c r="F87" s="40">
        <v>1</v>
      </c>
      <c r="G87" s="40">
        <v>1</v>
      </c>
      <c r="H87" s="40">
        <v>1</v>
      </c>
      <c r="I87" s="40"/>
      <c r="J87" s="40" t="s">
        <v>1007</v>
      </c>
      <c r="K87" s="40">
        <v>4</v>
      </c>
      <c r="L87" s="76">
        <v>204053</v>
      </c>
      <c r="M87" s="76" t="str">
        <f>IFERROR(INDEX([1]物品基础表!$A:$A,MATCH(L87,[1]物品基础表!$B:$B,0)),"")</f>
        <v>狂欢宝袋</v>
      </c>
      <c r="N87" s="76">
        <v>1</v>
      </c>
      <c r="O87" s="76">
        <v>200301</v>
      </c>
      <c r="P87" s="76" t="str">
        <f>IFERROR(INDEX([1]物品基础表!$A:$A,MATCH(O87,[1]物品基础表!$B:$B,0)),"")</f>
        <v>传世宝钻</v>
      </c>
      <c r="Q87" s="76">
        <v>5</v>
      </c>
      <c r="S87" s="76" t="str">
        <f>IFERROR(INDEX([1]物品基础表!$A:$A,MATCH(R87,[1]物品基础表!$B:$B,0)),"")</f>
        <v/>
      </c>
    </row>
    <row r="88" spans="1:19">
      <c r="A88" s="39" t="str">
        <f>INDEX([2]活动总表!$A$8:$A$429,MATCH(B88,[2]活动总表!$B$8:$B$429,0))</f>
        <v>2周七天乐</v>
      </c>
      <c r="B88" s="40">
        <v>120</v>
      </c>
      <c r="C88" s="40">
        <v>76</v>
      </c>
      <c r="D88" s="40">
        <v>105</v>
      </c>
      <c r="E88" s="40" t="s">
        <v>919</v>
      </c>
      <c r="F88" s="40">
        <v>3</v>
      </c>
      <c r="G88" s="40">
        <v>3</v>
      </c>
      <c r="H88" s="40">
        <v>1</v>
      </c>
      <c r="I88" s="40"/>
      <c r="J88" s="40" t="s">
        <v>1008</v>
      </c>
      <c r="K88" s="40">
        <v>4</v>
      </c>
      <c r="L88" s="76">
        <v>204053</v>
      </c>
      <c r="M88" s="76" t="str">
        <f>IFERROR(INDEX([1]物品基础表!$A:$A,MATCH(L88,[1]物品基础表!$B:$B,0)),"")</f>
        <v>狂欢宝袋</v>
      </c>
      <c r="N88" s="76">
        <v>2</v>
      </c>
      <c r="O88" s="76">
        <v>200301</v>
      </c>
      <c r="P88" s="76" t="str">
        <f>IFERROR(INDEX([1]物品基础表!$A:$A,MATCH(O88,[1]物品基础表!$B:$B,0)),"")</f>
        <v>传世宝钻</v>
      </c>
      <c r="Q88" s="76">
        <v>10</v>
      </c>
      <c r="S88" s="76" t="str">
        <f>IFERROR(INDEX([1]物品基础表!$A:$A,MATCH(R88,[1]物品基础表!$B:$B,0)),"")</f>
        <v/>
      </c>
    </row>
    <row r="89" spans="1:19">
      <c r="A89" s="39" t="str">
        <f>INDEX([2]活动总表!$A$8:$A$429,MATCH(B89,[2]活动总表!$B$8:$B$429,0))</f>
        <v>2周七天乐</v>
      </c>
      <c r="B89" s="40">
        <v>120</v>
      </c>
      <c r="C89" s="40">
        <v>77</v>
      </c>
      <c r="D89" s="40">
        <v>105</v>
      </c>
      <c r="E89" s="40" t="s">
        <v>919</v>
      </c>
      <c r="F89" s="40">
        <v>6</v>
      </c>
      <c r="G89" s="40">
        <v>6</v>
      </c>
      <c r="H89" s="40">
        <v>1</v>
      </c>
      <c r="I89" s="40"/>
      <c r="J89" s="40" t="s">
        <v>1009</v>
      </c>
      <c r="K89" s="40">
        <v>4</v>
      </c>
      <c r="L89" s="76">
        <v>204053</v>
      </c>
      <c r="M89" s="76" t="str">
        <f>IFERROR(INDEX([1]物品基础表!$A:$A,MATCH(L89,[1]物品基础表!$B:$B,0)),"")</f>
        <v>狂欢宝袋</v>
      </c>
      <c r="N89" s="76">
        <v>2</v>
      </c>
      <c r="O89" s="76">
        <v>200301</v>
      </c>
      <c r="P89" s="76" t="str">
        <f>IFERROR(INDEX([1]物品基础表!$A:$A,MATCH(O89,[1]物品基础表!$B:$B,0)),"")</f>
        <v>传世宝钻</v>
      </c>
      <c r="Q89" s="76">
        <v>15</v>
      </c>
      <c r="S89" s="76" t="str">
        <f>IFERROR(INDEX([1]物品基础表!$A:$A,MATCH(R89,[1]物品基础表!$B:$B,0)),"")</f>
        <v/>
      </c>
    </row>
    <row r="90" spans="1:19">
      <c r="A90" s="39" t="str">
        <f>INDEX([2]活动总表!$A$8:$A$429,MATCH(B90,[2]活动总表!$B$8:$B$429,0))</f>
        <v>2周七天乐</v>
      </c>
      <c r="B90" s="40">
        <v>120</v>
      </c>
      <c r="C90" s="40">
        <v>78</v>
      </c>
      <c r="D90" s="40">
        <v>105</v>
      </c>
      <c r="E90" s="40" t="s">
        <v>919</v>
      </c>
      <c r="F90" s="40">
        <v>12</v>
      </c>
      <c r="G90" s="40">
        <v>12</v>
      </c>
      <c r="H90" s="40">
        <v>1</v>
      </c>
      <c r="I90" s="40"/>
      <c r="J90" s="40" t="s">
        <v>1010</v>
      </c>
      <c r="K90" s="40">
        <v>4</v>
      </c>
      <c r="L90" s="76">
        <v>204053</v>
      </c>
      <c r="M90" s="76" t="str">
        <f>IFERROR(INDEX([1]物品基础表!$A:$A,MATCH(L90,[1]物品基础表!$B:$B,0)),"")</f>
        <v>狂欢宝袋</v>
      </c>
      <c r="N90" s="76">
        <v>3</v>
      </c>
      <c r="O90" s="76">
        <v>200301</v>
      </c>
      <c r="P90" s="76" t="str">
        <f>IFERROR(INDEX([1]物品基础表!$A:$A,MATCH(O90,[1]物品基础表!$B:$B,0)),"")</f>
        <v>传世宝钻</v>
      </c>
      <c r="Q90" s="76">
        <v>20</v>
      </c>
      <c r="S90" s="76" t="str">
        <f>IFERROR(INDEX([1]物品基础表!$A:$A,MATCH(R90,[1]物品基础表!$B:$B,0)),"")</f>
        <v/>
      </c>
    </row>
    <row r="91" spans="1:19">
      <c r="A91" s="39" t="str">
        <f>INDEX([2]活动总表!$A$8:$A$429,MATCH(B91,[2]活动总表!$B$8:$B$429,0))</f>
        <v>2周七天乐</v>
      </c>
      <c r="B91" s="40">
        <v>120</v>
      </c>
      <c r="C91" s="40">
        <v>79</v>
      </c>
      <c r="D91" s="40">
        <v>105</v>
      </c>
      <c r="E91" s="40" t="s">
        <v>919</v>
      </c>
      <c r="F91" s="40">
        <v>18</v>
      </c>
      <c r="G91" s="40">
        <v>18</v>
      </c>
      <c r="H91" s="40">
        <v>1</v>
      </c>
      <c r="I91" s="40"/>
      <c r="J91" s="40" t="s">
        <v>1011</v>
      </c>
      <c r="K91" s="40">
        <v>4</v>
      </c>
      <c r="L91" s="76">
        <v>204053</v>
      </c>
      <c r="M91" s="76" t="str">
        <f>IFERROR(INDEX([1]物品基础表!$A:$A,MATCH(L91,[1]物品基础表!$B:$B,0)),"")</f>
        <v>狂欢宝袋</v>
      </c>
      <c r="N91" s="76">
        <v>3</v>
      </c>
      <c r="O91" s="76">
        <v>200301</v>
      </c>
      <c r="P91" s="76" t="str">
        <f>IFERROR(INDEX([1]物品基础表!$A:$A,MATCH(O91,[1]物品基础表!$B:$B,0)),"")</f>
        <v>传世宝钻</v>
      </c>
      <c r="Q91" s="76">
        <v>20</v>
      </c>
      <c r="S91" s="76" t="str">
        <f>IFERROR(INDEX([1]物品基础表!$A:$A,MATCH(R91,[1]物品基础表!$B:$B,0)),"")</f>
        <v/>
      </c>
    </row>
    <row r="92" spans="1:19">
      <c r="A92" s="39" t="str">
        <f>INDEX([2]活动总表!$A$8:$A$429,MATCH(B92,[2]活动总表!$B$8:$B$429,0))</f>
        <v>2周七天乐</v>
      </c>
      <c r="B92" s="40">
        <v>120</v>
      </c>
      <c r="C92" s="40">
        <v>80</v>
      </c>
      <c r="D92" s="40">
        <v>105</v>
      </c>
      <c r="E92" s="40" t="s">
        <v>919</v>
      </c>
      <c r="F92" s="40">
        <v>24</v>
      </c>
      <c r="G92" s="40">
        <v>24</v>
      </c>
      <c r="H92" s="40">
        <v>1</v>
      </c>
      <c r="I92" s="40"/>
      <c r="J92" s="40" t="s">
        <v>1012</v>
      </c>
      <c r="K92" s="40">
        <v>4</v>
      </c>
      <c r="L92" s="76">
        <v>204053</v>
      </c>
      <c r="M92" s="76" t="str">
        <f>IFERROR(INDEX([1]物品基础表!$A:$A,MATCH(L92,[1]物品基础表!$B:$B,0)),"")</f>
        <v>狂欢宝袋</v>
      </c>
      <c r="N92" s="76">
        <v>3</v>
      </c>
      <c r="O92" s="76">
        <v>200301</v>
      </c>
      <c r="P92" s="76" t="str">
        <f>IFERROR(INDEX([1]物品基础表!$A:$A,MATCH(O92,[1]物品基础表!$B:$B,0)),"")</f>
        <v>传世宝钻</v>
      </c>
      <c r="Q92" s="76">
        <v>20</v>
      </c>
      <c r="S92" s="76" t="str">
        <f>IFERROR(INDEX([1]物品基础表!$A:$A,MATCH(R92,[1]物品基础表!$B:$B,0)),"")</f>
        <v/>
      </c>
    </row>
    <row r="93" spans="1:19">
      <c r="A93" s="39" t="str">
        <f>INDEX([2]活动总表!$A$8:$A$429,MATCH(B93,[2]活动总表!$B$8:$B$429,0))</f>
        <v>2周七天乐</v>
      </c>
      <c r="B93" s="40">
        <v>120</v>
      </c>
      <c r="C93" s="40">
        <v>81</v>
      </c>
      <c r="D93" s="40">
        <v>11</v>
      </c>
      <c r="E93" s="40">
        <v>15</v>
      </c>
      <c r="F93" s="40">
        <v>1</v>
      </c>
      <c r="G93" s="40">
        <v>1</v>
      </c>
      <c r="H93" s="40">
        <v>1</v>
      </c>
      <c r="I93" s="40"/>
      <c r="J93" s="40" t="s">
        <v>1013</v>
      </c>
      <c r="K93" s="40">
        <v>5</v>
      </c>
      <c r="L93" s="76">
        <v>204052</v>
      </c>
      <c r="M93" s="76" t="str">
        <f>IFERROR(INDEX([1]物品基础表!$A:$A,MATCH(L93,[1]物品基础表!$B:$B,0)),"")</f>
        <v>狂欢福袋</v>
      </c>
      <c r="N93" s="76">
        <v>1</v>
      </c>
      <c r="O93" s="76">
        <v>200007</v>
      </c>
      <c r="P93" s="76" t="str">
        <f>IFERROR(INDEX([1]物品基础表!$A:$A,MATCH(O93,[1]物品基础表!$B:$B,0)),"")</f>
        <v>神装碎片</v>
      </c>
      <c r="Q93" s="76">
        <v>20</v>
      </c>
      <c r="S93" s="76" t="str">
        <f>IFERROR(INDEX([1]物品基础表!$A:$A,MATCH(R93,[1]物品基础表!$B:$B,0)),"")</f>
        <v/>
      </c>
    </row>
    <row r="94" spans="1:19">
      <c r="A94" s="39" t="str">
        <f>INDEX([2]活动总表!$A$8:$A$429,MATCH(B94,[2]活动总表!$B$8:$B$429,0))</f>
        <v>2周七天乐</v>
      </c>
      <c r="B94" s="40">
        <v>120</v>
      </c>
      <c r="C94" s="40">
        <v>82</v>
      </c>
      <c r="D94" s="40">
        <v>11</v>
      </c>
      <c r="E94" s="40">
        <v>15</v>
      </c>
      <c r="F94" s="40">
        <v>3</v>
      </c>
      <c r="G94" s="40">
        <v>3</v>
      </c>
      <c r="H94" s="40">
        <v>1</v>
      </c>
      <c r="I94" s="40"/>
      <c r="J94" s="40" t="s">
        <v>1014</v>
      </c>
      <c r="K94" s="40">
        <v>5</v>
      </c>
      <c r="L94" s="76">
        <v>204052</v>
      </c>
      <c r="M94" s="76" t="str">
        <f>IFERROR(INDEX([1]物品基础表!$A:$A,MATCH(L94,[1]物品基础表!$B:$B,0)),"")</f>
        <v>狂欢福袋</v>
      </c>
      <c r="N94" s="76">
        <v>1</v>
      </c>
      <c r="O94" s="76">
        <v>200007</v>
      </c>
      <c r="P94" s="76" t="str">
        <f>IFERROR(INDEX([1]物品基础表!$A:$A,MATCH(O94,[1]物品基础表!$B:$B,0)),"")</f>
        <v>神装碎片</v>
      </c>
      <c r="Q94" s="76">
        <v>40</v>
      </c>
      <c r="S94" s="76" t="str">
        <f>IFERROR(INDEX([1]物品基础表!$A:$A,MATCH(R94,[1]物品基础表!$B:$B,0)),"")</f>
        <v/>
      </c>
    </row>
    <row r="95" spans="1:19">
      <c r="A95" s="39" t="str">
        <f>INDEX([2]活动总表!$A$8:$A$429,MATCH(B95,[2]活动总表!$B$8:$B$429,0))</f>
        <v>2周七天乐</v>
      </c>
      <c r="B95" s="40">
        <v>120</v>
      </c>
      <c r="C95" s="40">
        <v>83</v>
      </c>
      <c r="D95" s="40">
        <v>11</v>
      </c>
      <c r="E95" s="40">
        <v>15</v>
      </c>
      <c r="F95" s="40">
        <v>5</v>
      </c>
      <c r="G95" s="40">
        <v>5</v>
      </c>
      <c r="H95" s="40">
        <v>1</v>
      </c>
      <c r="I95" s="40"/>
      <c r="J95" s="40" t="s">
        <v>1015</v>
      </c>
      <c r="K95" s="40">
        <v>5</v>
      </c>
      <c r="L95" s="76">
        <v>204052</v>
      </c>
      <c r="M95" s="76" t="str">
        <f>IFERROR(INDEX([1]物品基础表!$A:$A,MATCH(L95,[1]物品基础表!$B:$B,0)),"")</f>
        <v>狂欢福袋</v>
      </c>
      <c r="N95" s="76">
        <v>1</v>
      </c>
      <c r="O95" s="76">
        <v>200007</v>
      </c>
      <c r="P95" s="76" t="str">
        <f>IFERROR(INDEX([1]物品基础表!$A:$A,MATCH(O95,[1]物品基础表!$B:$B,0)),"")</f>
        <v>神装碎片</v>
      </c>
      <c r="Q95" s="76">
        <v>60</v>
      </c>
      <c r="S95" s="76" t="str">
        <f>IFERROR(INDEX([1]物品基础表!$A:$A,MATCH(R95,[1]物品基础表!$B:$B,0)),"")</f>
        <v/>
      </c>
    </row>
    <row r="96" spans="1:19">
      <c r="A96" s="39" t="str">
        <f>INDEX([2]活动总表!$A$8:$A$429,MATCH(B96,[2]活动总表!$B$8:$B$429,0))</f>
        <v>2周七天乐</v>
      </c>
      <c r="B96" s="40">
        <v>120</v>
      </c>
      <c r="C96" s="40">
        <v>84</v>
      </c>
      <c r="D96" s="40">
        <v>11</v>
      </c>
      <c r="E96" s="40">
        <v>15</v>
      </c>
      <c r="F96" s="40">
        <v>6</v>
      </c>
      <c r="G96" s="40">
        <v>6</v>
      </c>
      <c r="H96" s="40">
        <v>1</v>
      </c>
      <c r="I96" s="40"/>
      <c r="J96" s="40" t="s">
        <v>1016</v>
      </c>
      <c r="K96" s="40">
        <v>5</v>
      </c>
      <c r="L96" s="76">
        <v>204052</v>
      </c>
      <c r="M96" s="76" t="str">
        <f>IFERROR(INDEX([1]物品基础表!$A:$A,MATCH(L96,[1]物品基础表!$B:$B,0)),"")</f>
        <v>狂欢福袋</v>
      </c>
      <c r="N96" s="76">
        <v>1</v>
      </c>
      <c r="O96" s="76">
        <v>200007</v>
      </c>
      <c r="P96" s="76" t="str">
        <f>IFERROR(INDEX([1]物品基础表!$A:$A,MATCH(O96,[1]物品基础表!$B:$B,0)),"")</f>
        <v>神装碎片</v>
      </c>
      <c r="Q96" s="76">
        <v>80</v>
      </c>
      <c r="S96" s="76" t="str">
        <f>IFERROR(INDEX([1]物品基础表!$A:$A,MATCH(R96,[1]物品基础表!$B:$B,0)),"")</f>
        <v/>
      </c>
    </row>
    <row r="97" spans="1:19">
      <c r="A97" s="39" t="str">
        <f>INDEX([2]活动总表!$A$8:$A$429,MATCH(B97,[2]活动总表!$B$8:$B$429,0))</f>
        <v>2周七天乐</v>
      </c>
      <c r="B97" s="40">
        <v>120</v>
      </c>
      <c r="C97" s="40">
        <v>85</v>
      </c>
      <c r="D97" s="40">
        <v>11</v>
      </c>
      <c r="E97" s="40">
        <v>15</v>
      </c>
      <c r="F97" s="40">
        <v>9</v>
      </c>
      <c r="G97" s="40">
        <v>9</v>
      </c>
      <c r="H97" s="40">
        <v>1</v>
      </c>
      <c r="I97" s="40"/>
      <c r="J97" s="40" t="s">
        <v>1017</v>
      </c>
      <c r="K97" s="40">
        <v>5</v>
      </c>
      <c r="L97" s="76">
        <v>204052</v>
      </c>
      <c r="M97" s="76" t="str">
        <f>IFERROR(INDEX([1]物品基础表!$A:$A,MATCH(L97,[1]物品基础表!$B:$B,0)),"")</f>
        <v>狂欢福袋</v>
      </c>
      <c r="N97" s="76">
        <v>1</v>
      </c>
      <c r="O97" s="76">
        <v>200007</v>
      </c>
      <c r="P97" s="76" t="str">
        <f>IFERROR(INDEX([1]物品基础表!$A:$A,MATCH(O97,[1]物品基础表!$B:$B,0)),"")</f>
        <v>神装碎片</v>
      </c>
      <c r="Q97" s="76">
        <v>100</v>
      </c>
      <c r="S97" s="76" t="str">
        <f>IFERROR(INDEX([1]物品基础表!$A:$A,MATCH(R97,[1]物品基础表!$B:$B,0)),"")</f>
        <v/>
      </c>
    </row>
    <row r="98" spans="1:19">
      <c r="A98" s="39" t="str">
        <f>INDEX([2]活动总表!$A$8:$A$429,MATCH(B98,[2]活动总表!$B$8:$B$429,0))</f>
        <v>2周七天乐</v>
      </c>
      <c r="B98" s="40">
        <v>120</v>
      </c>
      <c r="C98" s="40">
        <v>86</v>
      </c>
      <c r="D98" s="40">
        <v>11</v>
      </c>
      <c r="E98" s="40">
        <v>15</v>
      </c>
      <c r="F98" s="40">
        <v>12</v>
      </c>
      <c r="G98" s="40">
        <v>12</v>
      </c>
      <c r="H98" s="40">
        <v>1</v>
      </c>
      <c r="I98" s="40"/>
      <c r="J98" s="40" t="s">
        <v>1018</v>
      </c>
      <c r="K98" s="40">
        <v>5</v>
      </c>
      <c r="L98" s="76">
        <v>204052</v>
      </c>
      <c r="M98" s="76" t="str">
        <f>IFERROR(INDEX([1]物品基础表!$A:$A,MATCH(L98,[1]物品基础表!$B:$B,0)),"")</f>
        <v>狂欢福袋</v>
      </c>
      <c r="N98" s="76">
        <v>1</v>
      </c>
      <c r="O98" s="76">
        <v>200007</v>
      </c>
      <c r="P98" s="76" t="str">
        <f>IFERROR(INDEX([1]物品基础表!$A:$A,MATCH(O98,[1]物品基础表!$B:$B,0)),"")</f>
        <v>神装碎片</v>
      </c>
      <c r="Q98" s="76">
        <v>150</v>
      </c>
      <c r="S98" s="76" t="str">
        <f>IFERROR(INDEX([1]物品基础表!$A:$A,MATCH(R98,[1]物品基础表!$B:$B,0)),"")</f>
        <v/>
      </c>
    </row>
    <row r="99" spans="1:19">
      <c r="A99" s="39" t="str">
        <f>INDEX([2]活动总表!$A$8:$A$429,MATCH(B99,[2]活动总表!$B$8:$B$429,0))</f>
        <v>2周七天乐</v>
      </c>
      <c r="B99" s="40">
        <v>120</v>
      </c>
      <c r="C99" s="40">
        <v>87</v>
      </c>
      <c r="D99" s="40">
        <v>5</v>
      </c>
      <c r="E99" s="40" t="s">
        <v>919</v>
      </c>
      <c r="F99" s="40">
        <v>5</v>
      </c>
      <c r="G99" s="40">
        <v>5</v>
      </c>
      <c r="H99" s="40">
        <v>1</v>
      </c>
      <c r="I99" s="40"/>
      <c r="J99" s="40" t="s">
        <v>1019</v>
      </c>
      <c r="K99" s="40">
        <v>5</v>
      </c>
      <c r="L99" s="76">
        <v>204052</v>
      </c>
      <c r="M99" s="76" t="str">
        <f>IFERROR(INDEX([1]物品基础表!$A:$A,MATCH(L99,[1]物品基础表!$B:$B,0)),"")</f>
        <v>狂欢福袋</v>
      </c>
      <c r="N99" s="76">
        <v>1</v>
      </c>
      <c r="O99" s="76">
        <v>4</v>
      </c>
      <c r="P99" s="76" t="str">
        <f t="shared" ref="P99:P105" si="7">IF(O99=2,"元宝",IF(O99=1,"金币","精炼石"))</f>
        <v>精炼石</v>
      </c>
      <c r="Q99" s="76">
        <v>200</v>
      </c>
      <c r="S99" s="76" t="str">
        <f>IFERROR(INDEX([1]物品基础表!$A:$A,MATCH(R99,[1]物品基础表!$B:$B,0)),"")</f>
        <v/>
      </c>
    </row>
    <row r="100" spans="1:19">
      <c r="A100" s="39" t="str">
        <f>INDEX([2]活动总表!$A$8:$A$429,MATCH(B100,[2]活动总表!$B$8:$B$429,0))</f>
        <v>2周七天乐</v>
      </c>
      <c r="B100" s="40">
        <v>120</v>
      </c>
      <c r="C100" s="40">
        <v>88</v>
      </c>
      <c r="D100" s="40">
        <v>5</v>
      </c>
      <c r="E100" s="40" t="s">
        <v>919</v>
      </c>
      <c r="F100" s="40">
        <v>10</v>
      </c>
      <c r="G100" s="40">
        <v>10</v>
      </c>
      <c r="H100" s="40">
        <v>1</v>
      </c>
      <c r="I100" s="40"/>
      <c r="J100" s="40" t="s">
        <v>1020</v>
      </c>
      <c r="K100" s="40">
        <v>5</v>
      </c>
      <c r="L100" s="76">
        <v>204052</v>
      </c>
      <c r="M100" s="76" t="str">
        <f>IFERROR(INDEX([1]物品基础表!$A:$A,MATCH(L100,[1]物品基础表!$B:$B,0)),"")</f>
        <v>狂欢福袋</v>
      </c>
      <c r="N100" s="76">
        <v>1</v>
      </c>
      <c r="O100" s="76">
        <v>4</v>
      </c>
      <c r="P100" s="76" t="str">
        <f t="shared" si="7"/>
        <v>精炼石</v>
      </c>
      <c r="Q100" s="76">
        <v>400</v>
      </c>
      <c r="S100" s="76" t="str">
        <f>IFERROR(INDEX([1]物品基础表!$A:$A,MATCH(R100,[1]物品基础表!$B:$B,0)),"")</f>
        <v/>
      </c>
    </row>
    <row r="101" spans="1:19">
      <c r="A101" s="39" t="str">
        <f>INDEX([2]活动总表!$A$8:$A$429,MATCH(B101,[2]活动总表!$B$8:$B$429,0))</f>
        <v>2周七天乐</v>
      </c>
      <c r="B101" s="40">
        <v>120</v>
      </c>
      <c r="C101" s="40">
        <v>89</v>
      </c>
      <c r="D101" s="40">
        <v>5</v>
      </c>
      <c r="E101" s="40" t="s">
        <v>919</v>
      </c>
      <c r="F101" s="40">
        <v>15</v>
      </c>
      <c r="G101" s="40">
        <v>15</v>
      </c>
      <c r="H101" s="40">
        <v>1</v>
      </c>
      <c r="I101" s="40"/>
      <c r="J101" s="40" t="s">
        <v>1021</v>
      </c>
      <c r="K101" s="40">
        <v>5</v>
      </c>
      <c r="L101" s="76">
        <v>204052</v>
      </c>
      <c r="M101" s="76" t="str">
        <f>IFERROR(INDEX([1]物品基础表!$A:$A,MATCH(L101,[1]物品基础表!$B:$B,0)),"")</f>
        <v>狂欢福袋</v>
      </c>
      <c r="N101" s="76">
        <v>1</v>
      </c>
      <c r="O101" s="76">
        <v>4</v>
      </c>
      <c r="P101" s="76" t="str">
        <f t="shared" si="7"/>
        <v>精炼石</v>
      </c>
      <c r="Q101" s="76">
        <v>600</v>
      </c>
      <c r="S101" s="76" t="str">
        <f>IFERROR(INDEX([1]物品基础表!$A:$A,MATCH(R101,[1]物品基础表!$B:$B,0)),"")</f>
        <v/>
      </c>
    </row>
    <row r="102" spans="1:19">
      <c r="A102" s="39" t="str">
        <f>INDEX([2]活动总表!$A$8:$A$429,MATCH(B102,[2]活动总表!$B$8:$B$429,0))</f>
        <v>2周七天乐</v>
      </c>
      <c r="B102" s="40">
        <v>120</v>
      </c>
      <c r="C102" s="40">
        <v>90</v>
      </c>
      <c r="D102" s="40">
        <v>5</v>
      </c>
      <c r="E102" s="40" t="s">
        <v>919</v>
      </c>
      <c r="F102" s="40">
        <v>20</v>
      </c>
      <c r="G102" s="40">
        <v>20</v>
      </c>
      <c r="H102" s="40">
        <v>1</v>
      </c>
      <c r="I102" s="40"/>
      <c r="J102" s="40" t="s">
        <v>1022</v>
      </c>
      <c r="K102" s="40">
        <v>5</v>
      </c>
      <c r="L102" s="76">
        <v>204052</v>
      </c>
      <c r="M102" s="76" t="str">
        <f>IFERROR(INDEX([1]物品基础表!$A:$A,MATCH(L102,[1]物品基础表!$B:$B,0)),"")</f>
        <v>狂欢福袋</v>
      </c>
      <c r="N102" s="76">
        <v>1</v>
      </c>
      <c r="O102" s="76">
        <v>4</v>
      </c>
      <c r="P102" s="76" t="str">
        <f t="shared" si="7"/>
        <v>精炼石</v>
      </c>
      <c r="Q102" s="76">
        <v>800</v>
      </c>
      <c r="S102" s="76" t="str">
        <f>IFERROR(INDEX([1]物品基础表!$A:$A,MATCH(R102,[1]物品基础表!$B:$B,0)),"")</f>
        <v/>
      </c>
    </row>
    <row r="103" spans="1:19">
      <c r="A103" s="39" t="str">
        <f>INDEX([2]活动总表!$A$8:$A$429,MATCH(B103,[2]活动总表!$B$8:$B$429,0))</f>
        <v>2周七天乐</v>
      </c>
      <c r="B103" s="40">
        <v>120</v>
      </c>
      <c r="C103" s="40">
        <v>91</v>
      </c>
      <c r="D103" s="40">
        <v>5</v>
      </c>
      <c r="E103" s="40" t="s">
        <v>919</v>
      </c>
      <c r="F103" s="40">
        <v>25</v>
      </c>
      <c r="G103" s="40">
        <v>25</v>
      </c>
      <c r="H103" s="40">
        <v>1</v>
      </c>
      <c r="I103" s="40"/>
      <c r="J103" s="40" t="s">
        <v>1023</v>
      </c>
      <c r="K103" s="40">
        <v>5</v>
      </c>
      <c r="L103" s="76">
        <v>204052</v>
      </c>
      <c r="M103" s="76" t="str">
        <f>IFERROR(INDEX([1]物品基础表!$A:$A,MATCH(L103,[1]物品基础表!$B:$B,0)),"")</f>
        <v>狂欢福袋</v>
      </c>
      <c r="N103" s="76">
        <v>1</v>
      </c>
      <c r="O103" s="76">
        <v>4</v>
      </c>
      <c r="P103" s="76" t="str">
        <f t="shared" si="7"/>
        <v>精炼石</v>
      </c>
      <c r="Q103" s="76">
        <v>1000</v>
      </c>
      <c r="S103" s="76" t="str">
        <f>IFERROR(INDEX([1]物品基础表!$A:$A,MATCH(R103,[1]物品基础表!$B:$B,0)),"")</f>
        <v/>
      </c>
    </row>
    <row r="104" spans="1:19">
      <c r="A104" s="39" t="str">
        <f>INDEX([2]活动总表!$A$8:$A$429,MATCH(B104,[2]活动总表!$B$8:$B$429,0))</f>
        <v>2周七天乐</v>
      </c>
      <c r="B104" s="40">
        <v>120</v>
      </c>
      <c r="C104" s="40">
        <v>92</v>
      </c>
      <c r="D104" s="40">
        <v>5</v>
      </c>
      <c r="E104" s="40" t="s">
        <v>919</v>
      </c>
      <c r="F104" s="40">
        <v>30</v>
      </c>
      <c r="G104" s="40">
        <v>30</v>
      </c>
      <c r="H104" s="40">
        <v>1</v>
      </c>
      <c r="I104" s="40"/>
      <c r="J104" s="40" t="s">
        <v>1024</v>
      </c>
      <c r="K104" s="40">
        <v>5</v>
      </c>
      <c r="L104" s="76">
        <v>204052</v>
      </c>
      <c r="M104" s="76" t="str">
        <f>IFERROR(INDEX([1]物品基础表!$A:$A,MATCH(L104,[1]物品基础表!$B:$B,0)),"")</f>
        <v>狂欢福袋</v>
      </c>
      <c r="N104" s="76">
        <v>1</v>
      </c>
      <c r="O104" s="76">
        <v>4</v>
      </c>
      <c r="P104" s="76" t="str">
        <f t="shared" si="7"/>
        <v>精炼石</v>
      </c>
      <c r="Q104" s="76">
        <v>1200</v>
      </c>
      <c r="S104" s="76" t="str">
        <f>IFERROR(INDEX([1]物品基础表!$A:$A,MATCH(R104,[1]物品基础表!$B:$B,0)),"")</f>
        <v/>
      </c>
    </row>
    <row r="105" spans="1:19">
      <c r="A105" s="39" t="str">
        <f>INDEX([2]活动总表!$A$8:$A$429,MATCH(B105,[2]活动总表!$B$8:$B$429,0))</f>
        <v>2周七天乐</v>
      </c>
      <c r="B105" s="40">
        <v>120</v>
      </c>
      <c r="C105" s="40">
        <v>93</v>
      </c>
      <c r="D105" s="40">
        <v>5</v>
      </c>
      <c r="E105" s="40" t="s">
        <v>919</v>
      </c>
      <c r="F105" s="40">
        <v>35</v>
      </c>
      <c r="G105" s="40">
        <v>35</v>
      </c>
      <c r="H105" s="40">
        <v>1</v>
      </c>
      <c r="I105" s="40"/>
      <c r="J105" s="40" t="s">
        <v>1025</v>
      </c>
      <c r="K105" s="40">
        <v>5</v>
      </c>
      <c r="L105" s="76">
        <v>204052</v>
      </c>
      <c r="M105" s="76" t="str">
        <f>IFERROR(INDEX([1]物品基础表!$A:$A,MATCH(L105,[1]物品基础表!$B:$B,0)),"")</f>
        <v>狂欢福袋</v>
      </c>
      <c r="N105" s="76">
        <v>1</v>
      </c>
      <c r="O105" s="76">
        <v>4</v>
      </c>
      <c r="P105" s="76" t="str">
        <f t="shared" si="7"/>
        <v>精炼石</v>
      </c>
      <c r="Q105" s="76">
        <v>1500</v>
      </c>
      <c r="S105" s="76" t="str">
        <f>IFERROR(INDEX([1]物品基础表!$A:$A,MATCH(R105,[1]物品基础表!$B:$B,0)),"")</f>
        <v/>
      </c>
    </row>
    <row r="106" spans="1:19">
      <c r="A106" s="39" t="str">
        <f>INDEX([2]活动总表!$A$8:$A$429,MATCH(B106,[2]活动总表!$B$8:$B$429,0))</f>
        <v>2周七天乐</v>
      </c>
      <c r="B106" s="40">
        <v>120</v>
      </c>
      <c r="C106" s="40">
        <v>94</v>
      </c>
      <c r="D106" s="40">
        <v>91</v>
      </c>
      <c r="E106" s="40" t="s">
        <v>919</v>
      </c>
      <c r="F106" s="40">
        <v>5</v>
      </c>
      <c r="G106" s="40">
        <v>5</v>
      </c>
      <c r="H106" s="40">
        <v>1</v>
      </c>
      <c r="I106" s="40"/>
      <c r="J106" s="40" t="s">
        <v>1026</v>
      </c>
      <c r="K106" s="40">
        <v>5</v>
      </c>
      <c r="L106" s="76">
        <v>204053</v>
      </c>
      <c r="M106" s="76" t="str">
        <f>IFERROR(INDEX([1]物品基础表!$A:$A,MATCH(L106,[1]物品基础表!$B:$B,0)),"")</f>
        <v>狂欢宝袋</v>
      </c>
      <c r="N106" s="76">
        <v>2</v>
      </c>
      <c r="O106" s="76">
        <v>201002</v>
      </c>
      <c r="P106" s="76" t="str">
        <f>IFERROR(INDEX([1]物品基础表!$A:$A,MATCH(O106,[1]物品基础表!$B:$B,0)),"")</f>
        <v>神秘钥匙</v>
      </c>
      <c r="Q106" s="76">
        <v>1</v>
      </c>
      <c r="S106" s="76" t="str">
        <f>IFERROR(INDEX([1]物品基础表!$A:$A,MATCH(R106,[1]物品基础表!$B:$B,0)),"")</f>
        <v/>
      </c>
    </row>
    <row r="107" spans="1:19">
      <c r="A107" s="39" t="str">
        <f>INDEX([2]活动总表!$A$8:$A$429,MATCH(B107,[2]活动总表!$B$8:$B$429,0))</f>
        <v>2周七天乐</v>
      </c>
      <c r="B107" s="40">
        <v>120</v>
      </c>
      <c r="C107" s="40">
        <v>95</v>
      </c>
      <c r="D107" s="40">
        <v>91</v>
      </c>
      <c r="E107" s="40" t="s">
        <v>919</v>
      </c>
      <c r="F107" s="40">
        <v>10</v>
      </c>
      <c r="G107" s="40">
        <v>10</v>
      </c>
      <c r="H107" s="40">
        <v>1</v>
      </c>
      <c r="I107" s="40"/>
      <c r="J107" s="40" t="s">
        <v>1027</v>
      </c>
      <c r="K107" s="40">
        <v>5</v>
      </c>
      <c r="L107" s="76">
        <v>204053</v>
      </c>
      <c r="M107" s="76" t="str">
        <f>IFERROR(INDEX([1]物品基础表!$A:$A,MATCH(L107,[1]物品基础表!$B:$B,0)),"")</f>
        <v>狂欢宝袋</v>
      </c>
      <c r="N107" s="76">
        <v>2</v>
      </c>
      <c r="O107" s="76">
        <v>201002</v>
      </c>
      <c r="P107" s="76" t="str">
        <f>IFERROR(INDEX([1]物品基础表!$A:$A,MATCH(O107,[1]物品基础表!$B:$B,0)),"")</f>
        <v>神秘钥匙</v>
      </c>
      <c r="Q107" s="76">
        <v>1</v>
      </c>
      <c r="S107" s="76" t="str">
        <f>IFERROR(INDEX([1]物品基础表!$A:$A,MATCH(R107,[1]物品基础表!$B:$B,0)),"")</f>
        <v/>
      </c>
    </row>
    <row r="108" spans="1:19">
      <c r="A108" s="39" t="str">
        <f>INDEX([2]活动总表!$A$8:$A$429,MATCH(B108,[2]活动总表!$B$8:$B$429,0))</f>
        <v>2周七天乐</v>
      </c>
      <c r="B108" s="40">
        <v>120</v>
      </c>
      <c r="C108" s="40">
        <v>96</v>
      </c>
      <c r="D108" s="40">
        <v>91</v>
      </c>
      <c r="E108" s="40" t="s">
        <v>919</v>
      </c>
      <c r="F108" s="40">
        <v>15</v>
      </c>
      <c r="G108" s="40">
        <v>15</v>
      </c>
      <c r="H108" s="40">
        <v>1</v>
      </c>
      <c r="I108" s="40"/>
      <c r="J108" s="40" t="s">
        <v>1028</v>
      </c>
      <c r="K108" s="40">
        <v>5</v>
      </c>
      <c r="L108" s="76">
        <v>204053</v>
      </c>
      <c r="M108" s="76" t="str">
        <f>IFERROR(INDEX([1]物品基础表!$A:$A,MATCH(L108,[1]物品基础表!$B:$B,0)),"")</f>
        <v>狂欢宝袋</v>
      </c>
      <c r="N108" s="76">
        <v>2</v>
      </c>
      <c r="O108" s="76">
        <v>201002</v>
      </c>
      <c r="P108" s="76" t="str">
        <f>IFERROR(INDEX([1]物品基础表!$A:$A,MATCH(O108,[1]物品基础表!$B:$B,0)),"")</f>
        <v>神秘钥匙</v>
      </c>
      <c r="Q108" s="76">
        <v>2</v>
      </c>
      <c r="S108" s="76" t="str">
        <f>IFERROR(INDEX([1]物品基础表!$A:$A,MATCH(R108,[1]物品基础表!$B:$B,0)),"")</f>
        <v/>
      </c>
    </row>
    <row r="109" spans="1:19">
      <c r="A109" s="39" t="str">
        <f>INDEX([2]活动总表!$A$8:$A$429,MATCH(B109,[2]活动总表!$B$8:$B$429,0))</f>
        <v>2周七天乐</v>
      </c>
      <c r="B109" s="40">
        <v>120</v>
      </c>
      <c r="C109" s="40">
        <v>97</v>
      </c>
      <c r="D109" s="40">
        <v>91</v>
      </c>
      <c r="E109" s="40" t="s">
        <v>919</v>
      </c>
      <c r="F109" s="40">
        <v>30</v>
      </c>
      <c r="G109" s="40">
        <v>30</v>
      </c>
      <c r="H109" s="40">
        <v>1</v>
      </c>
      <c r="I109" s="40"/>
      <c r="J109" s="40" t="s">
        <v>1029</v>
      </c>
      <c r="K109" s="40">
        <v>5</v>
      </c>
      <c r="L109" s="76">
        <v>204053</v>
      </c>
      <c r="M109" s="76" t="str">
        <f>IFERROR(INDEX([1]物品基础表!$A:$A,MATCH(L109,[1]物品基础表!$B:$B,0)),"")</f>
        <v>狂欢宝袋</v>
      </c>
      <c r="N109" s="76">
        <v>6</v>
      </c>
      <c r="O109" s="76">
        <v>201002</v>
      </c>
      <c r="P109" s="76" t="str">
        <f>IFERROR(INDEX([1]物品基础表!$A:$A,MATCH(O109,[1]物品基础表!$B:$B,0)),"")</f>
        <v>神秘钥匙</v>
      </c>
      <c r="Q109" s="76">
        <v>3</v>
      </c>
      <c r="S109" s="76" t="str">
        <f>IFERROR(INDEX([1]物品基础表!$A:$A,MATCH(R109,[1]物品基础表!$B:$B,0)),"")</f>
        <v/>
      </c>
    </row>
    <row r="110" spans="1:19">
      <c r="A110" s="39" t="str">
        <f>INDEX([2]活动总表!$A$8:$A$429,MATCH(B110,[2]活动总表!$B$8:$B$429,0))</f>
        <v>2周七天乐</v>
      </c>
      <c r="B110" s="40">
        <v>120</v>
      </c>
      <c r="C110" s="40">
        <v>98</v>
      </c>
      <c r="D110" s="40">
        <v>91</v>
      </c>
      <c r="E110" s="40" t="s">
        <v>919</v>
      </c>
      <c r="F110" s="40">
        <v>50</v>
      </c>
      <c r="G110" s="40">
        <v>50</v>
      </c>
      <c r="H110" s="40">
        <v>1</v>
      </c>
      <c r="I110" s="40"/>
      <c r="J110" s="40" t="s">
        <v>1030</v>
      </c>
      <c r="K110" s="40">
        <v>5</v>
      </c>
      <c r="L110" s="76">
        <v>204053</v>
      </c>
      <c r="M110" s="76" t="str">
        <f>IFERROR(INDEX([1]物品基础表!$A:$A,MATCH(L110,[1]物品基础表!$B:$B,0)),"")</f>
        <v>狂欢宝袋</v>
      </c>
      <c r="N110" s="76">
        <v>6</v>
      </c>
      <c r="O110" s="76">
        <v>201002</v>
      </c>
      <c r="P110" s="76" t="str">
        <f>IFERROR(INDEX([1]物品基础表!$A:$A,MATCH(O110,[1]物品基础表!$B:$B,0)),"")</f>
        <v>神秘钥匙</v>
      </c>
      <c r="Q110" s="76">
        <v>4</v>
      </c>
      <c r="S110" s="76" t="str">
        <f>IFERROR(INDEX([1]物品基础表!$A:$A,MATCH(R110,[1]物品基础表!$B:$B,0)),"")</f>
        <v/>
      </c>
    </row>
    <row r="111" spans="1:19">
      <c r="A111" s="39" t="str">
        <f>INDEX([2]活动总表!$A$8:$A$429,MATCH(B111,[2]活动总表!$B$8:$B$429,0))</f>
        <v>2周七天乐</v>
      </c>
      <c r="B111" s="40">
        <v>120</v>
      </c>
      <c r="C111" s="40">
        <v>99</v>
      </c>
      <c r="D111" s="40">
        <v>91</v>
      </c>
      <c r="E111" s="40" t="s">
        <v>919</v>
      </c>
      <c r="F111" s="40">
        <v>70</v>
      </c>
      <c r="G111" s="40">
        <v>70</v>
      </c>
      <c r="H111" s="40">
        <v>1</v>
      </c>
      <c r="I111" s="40"/>
      <c r="J111" s="40" t="s">
        <v>1031</v>
      </c>
      <c r="K111" s="40">
        <v>5</v>
      </c>
      <c r="L111" s="76">
        <v>204053</v>
      </c>
      <c r="M111" s="76" t="str">
        <f>IFERROR(INDEX([1]物品基础表!$A:$A,MATCH(L111,[1]物品基础表!$B:$B,0)),"")</f>
        <v>狂欢宝袋</v>
      </c>
      <c r="N111" s="76">
        <v>6</v>
      </c>
      <c r="O111" s="76">
        <v>201002</v>
      </c>
      <c r="P111" s="76" t="str">
        <f>IFERROR(INDEX([1]物品基础表!$A:$A,MATCH(O111,[1]物品基础表!$B:$B,0)),"")</f>
        <v>神秘钥匙</v>
      </c>
      <c r="Q111" s="76">
        <v>4</v>
      </c>
      <c r="S111" s="76" t="str">
        <f>IFERROR(INDEX([1]物品基础表!$A:$A,MATCH(R111,[1]物品基础表!$B:$B,0)),"")</f>
        <v/>
      </c>
    </row>
    <row r="112" spans="1:19">
      <c r="A112" s="39" t="str">
        <f>INDEX([2]活动总表!$A$8:$A$429,MATCH(B112,[2]活动总表!$B$8:$B$429,0))</f>
        <v>2周七天乐</v>
      </c>
      <c r="B112" s="40">
        <v>120</v>
      </c>
      <c r="C112" s="40">
        <v>100</v>
      </c>
      <c r="D112" s="40">
        <v>91</v>
      </c>
      <c r="E112" s="40" t="s">
        <v>919</v>
      </c>
      <c r="F112" s="40">
        <v>100</v>
      </c>
      <c r="G112" s="40">
        <v>100</v>
      </c>
      <c r="H112" s="40">
        <v>1</v>
      </c>
      <c r="I112" s="40"/>
      <c r="J112" s="40" t="s">
        <v>1032</v>
      </c>
      <c r="K112" s="40">
        <v>5</v>
      </c>
      <c r="L112" s="76">
        <v>204053</v>
      </c>
      <c r="M112" s="76" t="str">
        <f>IFERROR(INDEX([1]物品基础表!$A:$A,MATCH(L112,[1]物品基础表!$B:$B,0)),"")</f>
        <v>狂欢宝袋</v>
      </c>
      <c r="N112" s="76">
        <v>9</v>
      </c>
      <c r="O112" s="76">
        <v>201002</v>
      </c>
      <c r="P112" s="76" t="str">
        <f>IFERROR(INDEX([1]物品基础表!$A:$A,MATCH(O112,[1]物品基础表!$B:$B,0)),"")</f>
        <v>神秘钥匙</v>
      </c>
      <c r="Q112" s="76">
        <v>5</v>
      </c>
      <c r="S112" s="76" t="str">
        <f>IFERROR(INDEX([1]物品基础表!$A:$A,MATCH(R112,[1]物品基础表!$B:$B,0)),"")</f>
        <v/>
      </c>
    </row>
    <row r="113" spans="1:20">
      <c r="A113" s="39" t="str">
        <f>INDEX([2]活动总表!$A$8:$A$429,MATCH(B113,[2]活动总表!$B$8:$B$429,0))</f>
        <v>春节八天乐</v>
      </c>
      <c r="B113" s="40">
        <v>563</v>
      </c>
      <c r="C113" s="40">
        <v>1</v>
      </c>
      <c r="D113" s="40">
        <v>100</v>
      </c>
      <c r="E113" s="40"/>
      <c r="F113" s="40">
        <v>1</v>
      </c>
      <c r="G113" s="40">
        <v>1</v>
      </c>
      <c r="H113" s="40">
        <v>1</v>
      </c>
      <c r="I113" s="40"/>
      <c r="J113" s="40" t="s">
        <v>933</v>
      </c>
      <c r="K113" s="40">
        <v>1</v>
      </c>
      <c r="L113" s="76">
        <v>200978</v>
      </c>
      <c r="M113" s="76" t="str">
        <f>IFERROR(INDEX([1]物品基础表!$A:$A,MATCH(L113,[1]物品基础表!$B:$B,0)),"")</f>
        <v>新春小红包</v>
      </c>
      <c r="N113" s="76">
        <v>1</v>
      </c>
      <c r="O113" s="76">
        <v>2</v>
      </c>
      <c r="P113" s="76" t="str">
        <f t="shared" ref="P113:P119" si="8">IF(O113=2,"元宝",IF(O113=1,"金币","精炼石"))</f>
        <v>元宝</v>
      </c>
      <c r="Q113" s="76">
        <v>100</v>
      </c>
      <c r="R113" s="76">
        <v>1</v>
      </c>
      <c r="S113" s="76" t="str">
        <f t="shared" ref="S113:S119" si="9">IF(R113=2,"元宝",IF(R113=1,"金币","精炼石"))</f>
        <v>金币</v>
      </c>
      <c r="T113" s="76">
        <v>200000</v>
      </c>
    </row>
    <row r="114" spans="1:20">
      <c r="A114" s="39" t="str">
        <f>INDEX([2]活动总表!$A$8:$A$429,MATCH(B114,[2]活动总表!$B$8:$B$429,0))</f>
        <v>春节八天乐</v>
      </c>
      <c r="B114" s="40">
        <v>563</v>
      </c>
      <c r="C114" s="40">
        <v>2</v>
      </c>
      <c r="D114" s="40">
        <v>100</v>
      </c>
      <c r="E114" s="40"/>
      <c r="F114" s="40">
        <v>2</v>
      </c>
      <c r="G114" s="40">
        <v>2</v>
      </c>
      <c r="H114" s="40">
        <v>1</v>
      </c>
      <c r="I114" s="40"/>
      <c r="J114" s="40" t="s">
        <v>934</v>
      </c>
      <c r="K114" s="40">
        <v>1</v>
      </c>
      <c r="L114" s="76">
        <v>200978</v>
      </c>
      <c r="M114" s="76" t="str">
        <f>IFERROR(INDEX([1]物品基础表!$A:$A,MATCH(L114,[1]物品基础表!$B:$B,0)),"")</f>
        <v>新春小红包</v>
      </c>
      <c r="N114" s="76">
        <v>1</v>
      </c>
      <c r="O114" s="76">
        <v>2</v>
      </c>
      <c r="P114" s="76" t="str">
        <f t="shared" si="8"/>
        <v>元宝</v>
      </c>
      <c r="Q114" s="76">
        <v>100</v>
      </c>
      <c r="R114" s="76">
        <v>1</v>
      </c>
      <c r="S114" s="76" t="str">
        <f t="shared" si="9"/>
        <v>金币</v>
      </c>
      <c r="T114" s="76">
        <v>300000</v>
      </c>
    </row>
    <row r="115" spans="1:20">
      <c r="A115" s="39" t="str">
        <f>INDEX([2]活动总表!$A$8:$A$429,MATCH(B115,[2]活动总表!$B$8:$B$429,0))</f>
        <v>春节八天乐</v>
      </c>
      <c r="B115" s="40">
        <v>563</v>
      </c>
      <c r="C115" s="40">
        <v>3</v>
      </c>
      <c r="D115" s="40">
        <v>100</v>
      </c>
      <c r="E115" s="40"/>
      <c r="F115" s="40">
        <v>3</v>
      </c>
      <c r="G115" s="40">
        <v>3</v>
      </c>
      <c r="H115" s="40">
        <v>1</v>
      </c>
      <c r="I115" s="40"/>
      <c r="J115" s="40" t="s">
        <v>935</v>
      </c>
      <c r="K115" s="40">
        <v>1</v>
      </c>
      <c r="L115" s="76">
        <v>200978</v>
      </c>
      <c r="M115" s="76" t="str">
        <f>IFERROR(INDEX([1]物品基础表!$A:$A,MATCH(L115,[1]物品基础表!$B:$B,0)),"")</f>
        <v>新春小红包</v>
      </c>
      <c r="N115" s="76">
        <v>1</v>
      </c>
      <c r="O115" s="76">
        <v>2</v>
      </c>
      <c r="P115" s="76" t="str">
        <f t="shared" si="8"/>
        <v>元宝</v>
      </c>
      <c r="Q115" s="76">
        <v>150</v>
      </c>
      <c r="R115" s="76">
        <v>1</v>
      </c>
      <c r="S115" s="76" t="str">
        <f t="shared" si="9"/>
        <v>金币</v>
      </c>
      <c r="T115" s="76">
        <v>400000</v>
      </c>
    </row>
    <row r="116" spans="1:20">
      <c r="A116" s="39" t="str">
        <f>INDEX([2]活动总表!$A$8:$A$429,MATCH(B116,[2]活动总表!$B$8:$B$429,0))</f>
        <v>春节八天乐</v>
      </c>
      <c r="B116" s="40">
        <v>563</v>
      </c>
      <c r="C116" s="40">
        <v>4</v>
      </c>
      <c r="D116" s="40">
        <v>100</v>
      </c>
      <c r="E116" s="40"/>
      <c r="F116" s="40">
        <v>4</v>
      </c>
      <c r="G116" s="40">
        <v>4</v>
      </c>
      <c r="H116" s="40">
        <v>1</v>
      </c>
      <c r="I116" s="40"/>
      <c r="J116" s="40" t="s">
        <v>936</v>
      </c>
      <c r="K116" s="40">
        <v>1</v>
      </c>
      <c r="L116" s="76">
        <v>200978</v>
      </c>
      <c r="M116" s="76" t="str">
        <f>IFERROR(INDEX([1]物品基础表!$A:$A,MATCH(L116,[1]物品基础表!$B:$B,0)),"")</f>
        <v>新春小红包</v>
      </c>
      <c r="N116" s="76">
        <v>1</v>
      </c>
      <c r="O116" s="76">
        <v>2</v>
      </c>
      <c r="P116" s="76" t="str">
        <f t="shared" si="8"/>
        <v>元宝</v>
      </c>
      <c r="Q116" s="76">
        <v>150</v>
      </c>
      <c r="R116" s="76">
        <v>1</v>
      </c>
      <c r="S116" s="76" t="str">
        <f t="shared" si="9"/>
        <v>金币</v>
      </c>
      <c r="T116" s="76">
        <v>500000</v>
      </c>
    </row>
    <row r="117" spans="1:20">
      <c r="A117" s="39" t="str">
        <f>INDEX([2]活动总表!$A$8:$A$429,MATCH(B117,[2]活动总表!$B$8:$B$429,0))</f>
        <v>春节八天乐</v>
      </c>
      <c r="B117" s="40">
        <v>563</v>
      </c>
      <c r="C117" s="40">
        <v>5</v>
      </c>
      <c r="D117" s="40">
        <v>100</v>
      </c>
      <c r="E117" s="40"/>
      <c r="F117" s="40">
        <v>5</v>
      </c>
      <c r="G117" s="40">
        <v>5</v>
      </c>
      <c r="H117" s="40">
        <v>1</v>
      </c>
      <c r="I117" s="40"/>
      <c r="J117" s="40" t="s">
        <v>937</v>
      </c>
      <c r="K117" s="40">
        <v>1</v>
      </c>
      <c r="L117" s="76">
        <v>200978</v>
      </c>
      <c r="M117" s="76" t="str">
        <f>IFERROR(INDEX([1]物品基础表!$A:$A,MATCH(L117,[1]物品基础表!$B:$B,0)),"")</f>
        <v>新春小红包</v>
      </c>
      <c r="N117" s="76">
        <v>1</v>
      </c>
      <c r="O117" s="76">
        <v>2</v>
      </c>
      <c r="P117" s="76" t="str">
        <f t="shared" si="8"/>
        <v>元宝</v>
      </c>
      <c r="Q117" s="76">
        <v>200</v>
      </c>
      <c r="R117" s="76">
        <v>1</v>
      </c>
      <c r="S117" s="76" t="str">
        <f t="shared" si="9"/>
        <v>金币</v>
      </c>
      <c r="T117" s="76">
        <v>600000</v>
      </c>
    </row>
    <row r="118" spans="1:20">
      <c r="A118" s="39" t="str">
        <f>INDEX([2]活动总表!$A$8:$A$429,MATCH(B118,[2]活动总表!$B$8:$B$429,0))</f>
        <v>春节八天乐</v>
      </c>
      <c r="B118" s="40">
        <v>563</v>
      </c>
      <c r="C118" s="40">
        <v>6</v>
      </c>
      <c r="D118" s="40">
        <v>100</v>
      </c>
      <c r="E118" s="40"/>
      <c r="F118" s="40">
        <v>6</v>
      </c>
      <c r="G118" s="40">
        <v>6</v>
      </c>
      <c r="H118" s="40">
        <v>1</v>
      </c>
      <c r="I118" s="40"/>
      <c r="J118" s="40" t="s">
        <v>938</v>
      </c>
      <c r="K118" s="40">
        <v>1</v>
      </c>
      <c r="L118" s="76">
        <v>200978</v>
      </c>
      <c r="M118" s="76" t="str">
        <f>IFERROR(INDEX([1]物品基础表!$A:$A,MATCH(L118,[1]物品基础表!$B:$B,0)),"")</f>
        <v>新春小红包</v>
      </c>
      <c r="N118" s="76">
        <v>1</v>
      </c>
      <c r="O118" s="76">
        <v>2</v>
      </c>
      <c r="P118" s="76" t="str">
        <f t="shared" si="8"/>
        <v>元宝</v>
      </c>
      <c r="Q118" s="76">
        <v>200</v>
      </c>
      <c r="R118" s="76">
        <v>1</v>
      </c>
      <c r="S118" s="76" t="str">
        <f t="shared" si="9"/>
        <v>金币</v>
      </c>
      <c r="T118" s="76">
        <v>700000</v>
      </c>
    </row>
    <row r="119" spans="1:20">
      <c r="A119" s="39" t="str">
        <f>INDEX([2]活动总表!$A$8:$A$429,MATCH(B119,[2]活动总表!$B$8:$B$429,0))</f>
        <v>春节八天乐</v>
      </c>
      <c r="B119" s="40">
        <v>563</v>
      </c>
      <c r="C119" s="40">
        <v>7</v>
      </c>
      <c r="D119" s="40">
        <v>100</v>
      </c>
      <c r="E119" s="40"/>
      <c r="F119" s="40">
        <v>7</v>
      </c>
      <c r="G119" s="40">
        <v>7</v>
      </c>
      <c r="H119" s="40">
        <v>1</v>
      </c>
      <c r="I119" s="40"/>
      <c r="J119" s="40" t="s">
        <v>939</v>
      </c>
      <c r="K119" s="40">
        <v>1</v>
      </c>
      <c r="L119" s="76">
        <v>200978</v>
      </c>
      <c r="M119" s="76" t="str">
        <f>IFERROR(INDEX([1]物品基础表!$A:$A,MATCH(L119,[1]物品基础表!$B:$B,0)),"")</f>
        <v>新春小红包</v>
      </c>
      <c r="N119" s="76">
        <v>1</v>
      </c>
      <c r="O119" s="76">
        <v>2</v>
      </c>
      <c r="P119" s="76" t="str">
        <f t="shared" si="8"/>
        <v>元宝</v>
      </c>
      <c r="Q119" s="76">
        <v>250</v>
      </c>
      <c r="R119" s="76">
        <v>1</v>
      </c>
      <c r="S119" s="76" t="str">
        <f t="shared" si="9"/>
        <v>金币</v>
      </c>
      <c r="T119" s="76">
        <v>800000</v>
      </c>
    </row>
    <row r="120" spans="1:20">
      <c r="A120" s="39" t="str">
        <f>INDEX([2]活动总表!$A$8:$A$429,MATCH(B120,[2]活动总表!$B$8:$B$429,0))</f>
        <v>春节八天乐</v>
      </c>
      <c r="B120" s="40">
        <v>563</v>
      </c>
      <c r="C120" s="40">
        <v>8</v>
      </c>
      <c r="D120" s="40">
        <v>59</v>
      </c>
      <c r="E120" s="40"/>
      <c r="F120" s="40">
        <v>3</v>
      </c>
      <c r="G120" s="40">
        <v>3</v>
      </c>
      <c r="H120" s="40">
        <v>1</v>
      </c>
      <c r="I120" s="40"/>
      <c r="J120" s="40" t="s">
        <v>940</v>
      </c>
      <c r="K120" s="40">
        <v>1</v>
      </c>
      <c r="L120" s="76">
        <v>200978</v>
      </c>
      <c r="M120" s="76" t="str">
        <f>IFERROR(INDEX([1]物品基础表!$A:$A,MATCH(L120,[1]物品基础表!$B:$B,0)),"")</f>
        <v>新春小红包</v>
      </c>
      <c r="N120" s="76">
        <v>1</v>
      </c>
      <c r="O120" s="76">
        <v>200156</v>
      </c>
      <c r="P120" s="76" t="str">
        <f>IFERROR(INDEX([1]物品基础表!$A:$A,MATCH(O120,[1]物品基础表!$B:$B,0)),"")</f>
        <v>野外BOSS次数卷轴</v>
      </c>
      <c r="Q120" s="76">
        <v>1</v>
      </c>
      <c r="S120" s="76" t="str">
        <f>IFERROR(INDEX([1]物品基础表!$A:$A,MATCH(R120,[1]物品基础表!$B:$B,0)),"")</f>
        <v/>
      </c>
    </row>
    <row r="121" spans="1:20">
      <c r="A121" s="39" t="str">
        <f>INDEX([2]活动总表!$A$8:$A$429,MATCH(B121,[2]活动总表!$B$8:$B$429,0))</f>
        <v>春节八天乐</v>
      </c>
      <c r="B121" s="40">
        <v>563</v>
      </c>
      <c r="C121" s="40">
        <v>9</v>
      </c>
      <c r="D121" s="40">
        <v>59</v>
      </c>
      <c r="E121" s="40"/>
      <c r="F121" s="40">
        <v>8</v>
      </c>
      <c r="G121" s="40">
        <v>8</v>
      </c>
      <c r="H121" s="40">
        <v>1</v>
      </c>
      <c r="I121" s="40"/>
      <c r="J121" s="40" t="s">
        <v>941</v>
      </c>
      <c r="K121" s="40">
        <v>1</v>
      </c>
      <c r="L121" s="76">
        <v>200978</v>
      </c>
      <c r="M121" s="76" t="str">
        <f>IFERROR(INDEX([1]物品基础表!$A:$A,MATCH(L121,[1]物品基础表!$B:$B,0)),"")</f>
        <v>新春小红包</v>
      </c>
      <c r="N121" s="76">
        <v>1</v>
      </c>
      <c r="O121" s="76">
        <v>200156</v>
      </c>
      <c r="P121" s="76" t="str">
        <f>IFERROR(INDEX([1]物品基础表!$A:$A,MATCH(O121,[1]物品基础表!$B:$B,0)),"")</f>
        <v>野外BOSS次数卷轴</v>
      </c>
      <c r="Q121" s="76">
        <v>1</v>
      </c>
      <c r="S121" s="76" t="str">
        <f>IFERROR(INDEX([1]物品基础表!$A:$A,MATCH(R121,[1]物品基础表!$B:$B,0)),"")</f>
        <v/>
      </c>
    </row>
    <row r="122" spans="1:20">
      <c r="A122" s="39" t="str">
        <f>INDEX([2]活动总表!$A$8:$A$429,MATCH(B122,[2]活动总表!$B$8:$B$429,0))</f>
        <v>春节八天乐</v>
      </c>
      <c r="B122" s="40">
        <v>563</v>
      </c>
      <c r="C122" s="40">
        <v>10</v>
      </c>
      <c r="D122" s="40">
        <v>59</v>
      </c>
      <c r="E122" s="40"/>
      <c r="F122" s="40">
        <v>15</v>
      </c>
      <c r="G122" s="40">
        <v>15</v>
      </c>
      <c r="H122" s="40">
        <v>1</v>
      </c>
      <c r="I122" s="40"/>
      <c r="J122" s="40" t="s">
        <v>942</v>
      </c>
      <c r="K122" s="40">
        <v>1</v>
      </c>
      <c r="L122" s="76">
        <v>200978</v>
      </c>
      <c r="M122" s="76" t="str">
        <f>IFERROR(INDEX([1]物品基础表!$A:$A,MATCH(L122,[1]物品基础表!$B:$B,0)),"")</f>
        <v>新春小红包</v>
      </c>
      <c r="N122" s="76">
        <v>1</v>
      </c>
      <c r="O122" s="76">
        <v>200156</v>
      </c>
      <c r="P122" s="76" t="str">
        <f>IFERROR(INDEX([1]物品基础表!$A:$A,MATCH(O122,[1]物品基础表!$B:$B,0)),"")</f>
        <v>野外BOSS次数卷轴</v>
      </c>
      <c r="Q122" s="76">
        <v>2</v>
      </c>
      <c r="S122" s="76" t="str">
        <f>IFERROR(INDEX([1]物品基础表!$A:$A,MATCH(R122,[1]物品基础表!$B:$B,0)),"")</f>
        <v/>
      </c>
    </row>
    <row r="123" spans="1:20">
      <c r="A123" s="39" t="str">
        <f>INDEX([2]活动总表!$A$8:$A$429,MATCH(B123,[2]活动总表!$B$8:$B$429,0))</f>
        <v>春节八天乐</v>
      </c>
      <c r="B123" s="40">
        <v>563</v>
      </c>
      <c r="C123" s="40">
        <v>11</v>
      </c>
      <c r="D123" s="40">
        <v>59</v>
      </c>
      <c r="E123" s="40"/>
      <c r="F123" s="40">
        <v>20</v>
      </c>
      <c r="G123" s="40">
        <v>20</v>
      </c>
      <c r="H123" s="40">
        <v>1</v>
      </c>
      <c r="I123" s="40"/>
      <c r="J123" s="40" t="s">
        <v>943</v>
      </c>
      <c r="K123" s="40">
        <v>1</v>
      </c>
      <c r="L123" s="76">
        <v>200978</v>
      </c>
      <c r="M123" s="76" t="str">
        <f>IFERROR(INDEX([1]物品基础表!$A:$A,MATCH(L123,[1]物品基础表!$B:$B,0)),"")</f>
        <v>新春小红包</v>
      </c>
      <c r="N123" s="76">
        <v>1</v>
      </c>
      <c r="O123" s="76">
        <v>200156</v>
      </c>
      <c r="P123" s="76" t="str">
        <f>IFERROR(INDEX([1]物品基础表!$A:$A,MATCH(O123,[1]物品基础表!$B:$B,0)),"")</f>
        <v>野外BOSS次数卷轴</v>
      </c>
      <c r="Q123" s="76">
        <v>2</v>
      </c>
      <c r="S123" s="76" t="str">
        <f>IFERROR(INDEX([1]物品基础表!$A:$A,MATCH(R123,[1]物品基础表!$B:$B,0)),"")</f>
        <v/>
      </c>
    </row>
    <row r="124" spans="1:20">
      <c r="A124" s="39" t="str">
        <f>INDEX([2]活动总表!$A$8:$A$429,MATCH(B124,[2]活动总表!$B$8:$B$429,0))</f>
        <v>春节八天乐</v>
      </c>
      <c r="B124" s="40">
        <v>563</v>
      </c>
      <c r="C124" s="40">
        <v>12</v>
      </c>
      <c r="D124" s="40">
        <v>59</v>
      </c>
      <c r="E124" s="40"/>
      <c r="F124" s="40">
        <v>30</v>
      </c>
      <c r="G124" s="40">
        <v>30</v>
      </c>
      <c r="H124" s="40">
        <v>1</v>
      </c>
      <c r="I124" s="40"/>
      <c r="J124" s="40" t="s">
        <v>944</v>
      </c>
      <c r="K124" s="40">
        <v>1</v>
      </c>
      <c r="L124" s="76">
        <v>200978</v>
      </c>
      <c r="M124" s="76" t="str">
        <f>IFERROR(INDEX([1]物品基础表!$A:$A,MATCH(L124,[1]物品基础表!$B:$B,0)),"")</f>
        <v>新春小红包</v>
      </c>
      <c r="N124" s="76">
        <v>1</v>
      </c>
      <c r="O124" s="76">
        <v>200156</v>
      </c>
      <c r="P124" s="76" t="str">
        <f>IFERROR(INDEX([1]物品基础表!$A:$A,MATCH(O124,[1]物品基础表!$B:$B,0)),"")</f>
        <v>野外BOSS次数卷轴</v>
      </c>
      <c r="Q124" s="76">
        <v>3</v>
      </c>
      <c r="S124" s="76" t="str">
        <f>IFERROR(INDEX([1]物品基础表!$A:$A,MATCH(R124,[1]物品基础表!$B:$B,0)),"")</f>
        <v/>
      </c>
    </row>
    <row r="125" spans="1:20">
      <c r="A125" s="39" t="str">
        <f>INDEX([2]活动总表!$A$8:$A$429,MATCH(B125,[2]活动总表!$B$8:$B$429,0))</f>
        <v>春节八天乐</v>
      </c>
      <c r="B125" s="40">
        <v>563</v>
      </c>
      <c r="C125" s="40">
        <v>13</v>
      </c>
      <c r="D125" s="40">
        <v>59</v>
      </c>
      <c r="E125" s="40"/>
      <c r="F125" s="40">
        <v>40</v>
      </c>
      <c r="G125" s="40">
        <v>40</v>
      </c>
      <c r="H125" s="40">
        <v>1</v>
      </c>
      <c r="I125" s="40"/>
      <c r="J125" s="40" t="s">
        <v>945</v>
      </c>
      <c r="K125" s="40">
        <v>1</v>
      </c>
      <c r="L125" s="76">
        <v>200978</v>
      </c>
      <c r="M125" s="76" t="str">
        <f>IFERROR(INDEX([1]物品基础表!$A:$A,MATCH(L125,[1]物品基础表!$B:$B,0)),"")</f>
        <v>新春小红包</v>
      </c>
      <c r="N125" s="76">
        <v>1</v>
      </c>
      <c r="O125" s="76">
        <v>200156</v>
      </c>
      <c r="P125" s="76" t="str">
        <f>IFERROR(INDEX([1]物品基础表!$A:$A,MATCH(O125,[1]物品基础表!$B:$B,0)),"")</f>
        <v>野外BOSS次数卷轴</v>
      </c>
      <c r="Q125" s="76">
        <v>3</v>
      </c>
      <c r="S125" s="76" t="str">
        <f>IFERROR(INDEX([1]物品基础表!$A:$A,MATCH(R125,[1]物品基础表!$B:$B,0)),"")</f>
        <v/>
      </c>
    </row>
    <row r="126" spans="1:20">
      <c r="A126" s="39" t="str">
        <f>INDEX([2]活动总表!$A$8:$A$429,MATCH(B126,[2]活动总表!$B$8:$B$429,0))</f>
        <v>春节八天乐</v>
      </c>
      <c r="B126" s="40">
        <v>563</v>
      </c>
      <c r="C126" s="40">
        <v>14</v>
      </c>
      <c r="D126" s="40">
        <v>59</v>
      </c>
      <c r="E126" s="40"/>
      <c r="F126" s="40">
        <v>50</v>
      </c>
      <c r="G126" s="40">
        <v>50</v>
      </c>
      <c r="H126" s="40">
        <v>1</v>
      </c>
      <c r="I126" s="40"/>
      <c r="J126" s="40" t="s">
        <v>946</v>
      </c>
      <c r="K126" s="40">
        <v>1</v>
      </c>
      <c r="L126" s="76">
        <v>200978</v>
      </c>
      <c r="M126" s="76" t="str">
        <f>IFERROR(INDEX([1]物品基础表!$A:$A,MATCH(L126,[1]物品基础表!$B:$B,0)),"")</f>
        <v>新春小红包</v>
      </c>
      <c r="N126" s="76">
        <v>1</v>
      </c>
      <c r="O126" s="76">
        <v>200156</v>
      </c>
      <c r="P126" s="76" t="str">
        <f>IFERROR(INDEX([1]物品基础表!$A:$A,MATCH(O126,[1]物品基础表!$B:$B,0)),"")</f>
        <v>野外BOSS次数卷轴</v>
      </c>
      <c r="Q126" s="76">
        <v>4</v>
      </c>
      <c r="S126" s="76" t="str">
        <f>IFERROR(INDEX([1]物品基础表!$A:$A,MATCH(R126,[1]物品基础表!$B:$B,0)),"")</f>
        <v/>
      </c>
    </row>
    <row r="127" spans="1:20">
      <c r="A127" s="39" t="str">
        <f>INDEX([2]活动总表!$A$8:$A$429,MATCH(B127,[2]活动总表!$B$8:$B$429,0))</f>
        <v>春节八天乐</v>
      </c>
      <c r="B127" s="40">
        <v>563</v>
      </c>
      <c r="C127" s="40">
        <v>15</v>
      </c>
      <c r="D127" s="40">
        <v>27</v>
      </c>
      <c r="E127" s="40">
        <v>2</v>
      </c>
      <c r="F127" s="40">
        <v>6</v>
      </c>
      <c r="G127" s="40">
        <v>6</v>
      </c>
      <c r="H127" s="40">
        <v>1</v>
      </c>
      <c r="I127" s="40"/>
      <c r="J127" s="40" t="s">
        <v>947</v>
      </c>
      <c r="K127" s="40">
        <v>1</v>
      </c>
      <c r="L127" s="76">
        <v>200979</v>
      </c>
      <c r="M127" s="76" t="str">
        <f>IFERROR(INDEX([1]物品基础表!$A:$A,MATCH(L127,[1]物品基础表!$B:$B,0)),"")</f>
        <v>新春大红包</v>
      </c>
      <c r="N127" s="76">
        <v>1</v>
      </c>
      <c r="O127" s="76">
        <v>1</v>
      </c>
      <c r="P127" s="76" t="str">
        <f t="shared" ref="P127:P133" si="10">IF(O127=2,"元宝",IF(O127=1,"金币","精炼石"))</f>
        <v>金币</v>
      </c>
      <c r="Q127" s="76">
        <v>500000</v>
      </c>
      <c r="S127" s="76" t="str">
        <f>IFERROR(INDEX([1]物品基础表!$A:$A,MATCH(R127,[1]物品基础表!$B:$B,0)),"")</f>
        <v/>
      </c>
    </row>
    <row r="128" spans="1:20">
      <c r="A128" s="39" t="str">
        <f>INDEX([2]活动总表!$A$8:$A$429,MATCH(B128,[2]活动总表!$B$8:$B$429,0))</f>
        <v>春节八天乐</v>
      </c>
      <c r="B128" s="40">
        <v>563</v>
      </c>
      <c r="C128" s="40">
        <v>16</v>
      </c>
      <c r="D128" s="40">
        <v>27</v>
      </c>
      <c r="E128" s="40">
        <v>2</v>
      </c>
      <c r="F128" s="40">
        <v>12</v>
      </c>
      <c r="G128" s="40">
        <v>12</v>
      </c>
      <c r="H128" s="40">
        <v>1</v>
      </c>
      <c r="I128" s="40"/>
      <c r="J128" s="40" t="s">
        <v>948</v>
      </c>
      <c r="K128" s="40">
        <v>1</v>
      </c>
      <c r="L128" s="76">
        <v>200979</v>
      </c>
      <c r="M128" s="76" t="str">
        <f>IFERROR(INDEX([1]物品基础表!$A:$A,MATCH(L128,[1]物品基础表!$B:$B,0)),"")</f>
        <v>新春大红包</v>
      </c>
      <c r="N128" s="76">
        <v>1</v>
      </c>
      <c r="O128" s="76">
        <v>1</v>
      </c>
      <c r="P128" s="76" t="str">
        <f t="shared" si="10"/>
        <v>金币</v>
      </c>
      <c r="Q128" s="76">
        <v>600000</v>
      </c>
      <c r="S128" s="76" t="str">
        <f>IFERROR(INDEX([1]物品基础表!$A:$A,MATCH(R128,[1]物品基础表!$B:$B,0)),"")</f>
        <v/>
      </c>
    </row>
    <row r="129" spans="1:19">
      <c r="A129" s="39" t="str">
        <f>INDEX([2]活动总表!$A$8:$A$429,MATCH(B129,[2]活动总表!$B$8:$B$429,0))</f>
        <v>春节八天乐</v>
      </c>
      <c r="B129" s="40">
        <v>563</v>
      </c>
      <c r="C129" s="40">
        <v>17</v>
      </c>
      <c r="D129" s="40">
        <v>27</v>
      </c>
      <c r="E129" s="40">
        <v>2</v>
      </c>
      <c r="F129" s="40">
        <v>24</v>
      </c>
      <c r="G129" s="40">
        <v>24</v>
      </c>
      <c r="H129" s="40">
        <v>1</v>
      </c>
      <c r="I129" s="40"/>
      <c r="J129" s="40" t="s">
        <v>949</v>
      </c>
      <c r="K129" s="40">
        <v>1</v>
      </c>
      <c r="L129" s="76">
        <v>200979</v>
      </c>
      <c r="M129" s="76" t="str">
        <f>IFERROR(INDEX([1]物品基础表!$A:$A,MATCH(L129,[1]物品基础表!$B:$B,0)),"")</f>
        <v>新春大红包</v>
      </c>
      <c r="N129" s="76">
        <v>2</v>
      </c>
      <c r="O129" s="76">
        <v>1</v>
      </c>
      <c r="P129" s="76" t="str">
        <f t="shared" si="10"/>
        <v>金币</v>
      </c>
      <c r="Q129" s="76">
        <v>700000</v>
      </c>
      <c r="S129" s="76" t="str">
        <f>IFERROR(INDEX([1]物品基础表!$A:$A,MATCH(R129,[1]物品基础表!$B:$B,0)),"")</f>
        <v/>
      </c>
    </row>
    <row r="130" spans="1:19">
      <c r="A130" s="39" t="str">
        <f>INDEX([2]活动总表!$A$8:$A$429,MATCH(B130,[2]活动总表!$B$8:$B$429,0))</f>
        <v>春节八天乐</v>
      </c>
      <c r="B130" s="40">
        <v>563</v>
      </c>
      <c r="C130" s="40">
        <v>18</v>
      </c>
      <c r="D130" s="40">
        <v>27</v>
      </c>
      <c r="E130" s="40">
        <v>2</v>
      </c>
      <c r="F130" s="40">
        <v>36</v>
      </c>
      <c r="G130" s="40">
        <v>36</v>
      </c>
      <c r="H130" s="40">
        <v>1</v>
      </c>
      <c r="I130" s="40"/>
      <c r="J130" s="40" t="s">
        <v>950</v>
      </c>
      <c r="K130" s="40">
        <v>1</v>
      </c>
      <c r="L130" s="76">
        <v>200979</v>
      </c>
      <c r="M130" s="76" t="str">
        <f>IFERROR(INDEX([1]物品基础表!$A:$A,MATCH(L130,[1]物品基础表!$B:$B,0)),"")</f>
        <v>新春大红包</v>
      </c>
      <c r="N130" s="76">
        <v>4</v>
      </c>
      <c r="O130" s="76">
        <v>1</v>
      </c>
      <c r="P130" s="76" t="str">
        <f t="shared" si="10"/>
        <v>金币</v>
      </c>
      <c r="Q130" s="76">
        <v>800000</v>
      </c>
      <c r="S130" s="76" t="str">
        <f>IFERROR(INDEX([1]物品基础表!$A:$A,MATCH(R130,[1]物品基础表!$B:$B,0)),"")</f>
        <v/>
      </c>
    </row>
    <row r="131" spans="1:19">
      <c r="A131" s="39" t="str">
        <f>INDEX([2]活动总表!$A$8:$A$429,MATCH(B131,[2]活动总表!$B$8:$B$429,0))</f>
        <v>春节八天乐</v>
      </c>
      <c r="B131" s="40">
        <v>563</v>
      </c>
      <c r="C131" s="40">
        <v>19</v>
      </c>
      <c r="D131" s="40">
        <v>106</v>
      </c>
      <c r="E131" s="40">
        <v>3</v>
      </c>
      <c r="F131" s="40">
        <v>2</v>
      </c>
      <c r="G131" s="40">
        <v>2</v>
      </c>
      <c r="H131" s="40">
        <v>1</v>
      </c>
      <c r="I131" s="40"/>
      <c r="J131" s="40" t="s">
        <v>951</v>
      </c>
      <c r="K131" s="40">
        <v>1</v>
      </c>
      <c r="L131" s="76">
        <v>200979</v>
      </c>
      <c r="M131" s="76" t="str">
        <f>IFERROR(INDEX([1]物品基础表!$A:$A,MATCH(L131,[1]物品基础表!$B:$B,0)),"")</f>
        <v>新春大红包</v>
      </c>
      <c r="N131" s="76">
        <v>1</v>
      </c>
      <c r="O131" s="76">
        <v>1</v>
      </c>
      <c r="P131" s="76" t="str">
        <f t="shared" si="10"/>
        <v>金币</v>
      </c>
      <c r="Q131" s="76">
        <v>900000</v>
      </c>
      <c r="S131" s="76" t="str">
        <f>IFERROR(INDEX([1]物品基础表!$A:$A,MATCH(R131,[1]物品基础表!$B:$B,0)),"")</f>
        <v/>
      </c>
    </row>
    <row r="132" spans="1:19">
      <c r="A132" s="39" t="str">
        <f>INDEX([2]活动总表!$A$8:$A$429,MATCH(B132,[2]活动总表!$B$8:$B$429,0))</f>
        <v>春节八天乐</v>
      </c>
      <c r="B132" s="40">
        <v>563</v>
      </c>
      <c r="C132" s="40">
        <v>20</v>
      </c>
      <c r="D132" s="40">
        <v>106</v>
      </c>
      <c r="E132" s="40">
        <v>3</v>
      </c>
      <c r="F132" s="40">
        <v>4</v>
      </c>
      <c r="G132" s="40">
        <v>4</v>
      </c>
      <c r="H132" s="40">
        <v>1</v>
      </c>
      <c r="I132" s="40"/>
      <c r="J132" s="40" t="s">
        <v>952</v>
      </c>
      <c r="K132" s="40">
        <v>1</v>
      </c>
      <c r="L132" s="76">
        <v>200979</v>
      </c>
      <c r="M132" s="76" t="str">
        <f>IFERROR(INDEX([1]物品基础表!$A:$A,MATCH(L132,[1]物品基础表!$B:$B,0)),"")</f>
        <v>新春大红包</v>
      </c>
      <c r="N132" s="76">
        <v>1</v>
      </c>
      <c r="O132" s="76">
        <v>1</v>
      </c>
      <c r="P132" s="76" t="str">
        <f t="shared" si="10"/>
        <v>金币</v>
      </c>
      <c r="Q132" s="76">
        <v>1000000</v>
      </c>
      <c r="S132" s="76" t="str">
        <f>IFERROR(INDEX([1]物品基础表!$A:$A,MATCH(R132,[1]物品基础表!$B:$B,0)),"")</f>
        <v/>
      </c>
    </row>
    <row r="133" spans="1:19">
      <c r="A133" s="39" t="str">
        <f>INDEX([2]活动总表!$A$8:$A$429,MATCH(B133,[2]活动总表!$B$8:$B$429,0))</f>
        <v>春节八天乐</v>
      </c>
      <c r="B133" s="40">
        <v>563</v>
      </c>
      <c r="C133" s="40">
        <v>21</v>
      </c>
      <c r="D133" s="40">
        <v>106</v>
      </c>
      <c r="E133" s="40">
        <v>3</v>
      </c>
      <c r="F133" s="40">
        <v>6</v>
      </c>
      <c r="G133" s="40">
        <v>6</v>
      </c>
      <c r="H133" s="40">
        <v>1</v>
      </c>
      <c r="I133" s="40"/>
      <c r="J133" s="40" t="s">
        <v>953</v>
      </c>
      <c r="K133" s="40">
        <v>1</v>
      </c>
      <c r="L133" s="76">
        <v>200979</v>
      </c>
      <c r="M133" s="76" t="str">
        <f>IFERROR(INDEX([1]物品基础表!$A:$A,MATCH(L133,[1]物品基础表!$B:$B,0)),"")</f>
        <v>新春大红包</v>
      </c>
      <c r="N133" s="76">
        <v>1</v>
      </c>
      <c r="O133" s="76">
        <v>1</v>
      </c>
      <c r="P133" s="76" t="str">
        <f t="shared" si="10"/>
        <v>金币</v>
      </c>
      <c r="Q133" s="76">
        <v>1100000</v>
      </c>
      <c r="S133" s="76" t="str">
        <f>IFERROR(INDEX([1]物品基础表!$A:$A,MATCH(R133,[1]物品基础表!$B:$B,0)),"")</f>
        <v/>
      </c>
    </row>
    <row r="134" spans="1:19">
      <c r="A134" s="39" t="str">
        <f>INDEX([2]活动总表!$A$8:$A$429,MATCH(B134,[2]活动总表!$B$8:$B$429,0))</f>
        <v>春节八天乐</v>
      </c>
      <c r="B134" s="40">
        <v>563</v>
      </c>
      <c r="C134" s="40">
        <v>22</v>
      </c>
      <c r="D134" s="40">
        <v>104</v>
      </c>
      <c r="E134" s="40"/>
      <c r="F134" s="40">
        <v>1000000</v>
      </c>
      <c r="G134" s="40">
        <v>1000000</v>
      </c>
      <c r="H134" s="40">
        <v>1</v>
      </c>
      <c r="I134" s="40">
        <v>10000</v>
      </c>
      <c r="J134" s="40" t="s">
        <v>954</v>
      </c>
      <c r="K134" s="40">
        <v>2</v>
      </c>
      <c r="L134" s="76">
        <v>200978</v>
      </c>
      <c r="M134" s="76" t="str">
        <f>IFERROR(INDEX([1]物品基础表!$A:$A,MATCH(L134,[1]物品基础表!$B:$B,0)),"")</f>
        <v>新春小红包</v>
      </c>
      <c r="N134" s="76">
        <v>1</v>
      </c>
      <c r="O134" s="76">
        <v>200167</v>
      </c>
      <c r="P134" s="76" t="str">
        <f>IFERROR(INDEX([1]物品基础表!$A:$A,MATCH(O134,[1]物品基础表!$B:$B,0)),"")</f>
        <v>黑铁</v>
      </c>
      <c r="Q134" s="76">
        <v>100</v>
      </c>
      <c r="S134" s="76" t="str">
        <f>IFERROR(INDEX([1]物品基础表!$A:$A,MATCH(R134,[1]物品基础表!$B:$B,0)),"")</f>
        <v/>
      </c>
    </row>
    <row r="135" spans="1:19">
      <c r="A135" s="39" t="str">
        <f>INDEX([2]活动总表!$A$8:$A$429,MATCH(B135,[2]活动总表!$B$8:$B$429,0))</f>
        <v>春节八天乐</v>
      </c>
      <c r="B135" s="40">
        <v>563</v>
      </c>
      <c r="C135" s="40">
        <v>23</v>
      </c>
      <c r="D135" s="40">
        <v>104</v>
      </c>
      <c r="E135" s="40"/>
      <c r="F135" s="40">
        <v>2000000</v>
      </c>
      <c r="G135" s="40">
        <v>2000000</v>
      </c>
      <c r="H135" s="40">
        <v>1</v>
      </c>
      <c r="I135" s="40">
        <v>10000</v>
      </c>
      <c r="J135" s="40" t="s">
        <v>955</v>
      </c>
      <c r="K135" s="40">
        <v>2</v>
      </c>
      <c r="L135" s="76">
        <v>200978</v>
      </c>
      <c r="M135" s="76" t="str">
        <f>IFERROR(INDEX([1]物品基础表!$A:$A,MATCH(L135,[1]物品基础表!$B:$B,0)),"")</f>
        <v>新春小红包</v>
      </c>
      <c r="N135" s="76">
        <v>1</v>
      </c>
      <c r="O135" s="76">
        <v>200167</v>
      </c>
      <c r="P135" s="76" t="str">
        <f>IFERROR(INDEX([1]物品基础表!$A:$A,MATCH(O135,[1]物品基础表!$B:$B,0)),"")</f>
        <v>黑铁</v>
      </c>
      <c r="Q135" s="76">
        <v>100</v>
      </c>
      <c r="S135" s="76" t="str">
        <f>IFERROR(INDEX([1]物品基础表!$A:$A,MATCH(R135,[1]物品基础表!$B:$B,0)),"")</f>
        <v/>
      </c>
    </row>
    <row r="136" spans="1:19">
      <c r="A136" s="39" t="str">
        <f>INDEX([2]活动总表!$A$8:$A$429,MATCH(B136,[2]活动总表!$B$8:$B$429,0))</f>
        <v>春节八天乐</v>
      </c>
      <c r="B136" s="40">
        <v>563</v>
      </c>
      <c r="C136" s="40">
        <v>24</v>
      </c>
      <c r="D136" s="40">
        <v>104</v>
      </c>
      <c r="E136" s="40"/>
      <c r="F136" s="40">
        <v>5000000</v>
      </c>
      <c r="G136" s="40">
        <v>5000000</v>
      </c>
      <c r="H136" s="40">
        <v>1</v>
      </c>
      <c r="I136" s="40">
        <v>10000</v>
      </c>
      <c r="J136" s="40" t="s">
        <v>956</v>
      </c>
      <c r="K136" s="40">
        <v>2</v>
      </c>
      <c r="L136" s="76">
        <v>200978</v>
      </c>
      <c r="M136" s="76" t="str">
        <f>IFERROR(INDEX([1]物品基础表!$A:$A,MATCH(L136,[1]物品基础表!$B:$B,0)),"")</f>
        <v>新春小红包</v>
      </c>
      <c r="N136" s="76">
        <v>1</v>
      </c>
      <c r="O136" s="76">
        <v>200167</v>
      </c>
      <c r="P136" s="76" t="str">
        <f>IFERROR(INDEX([1]物品基础表!$A:$A,MATCH(O136,[1]物品基础表!$B:$B,0)),"")</f>
        <v>黑铁</v>
      </c>
      <c r="Q136" s="76">
        <v>100</v>
      </c>
      <c r="S136" s="76" t="str">
        <f>IFERROR(INDEX([1]物品基础表!$A:$A,MATCH(R136,[1]物品基础表!$B:$B,0)),"")</f>
        <v/>
      </c>
    </row>
    <row r="137" spans="1:19">
      <c r="A137" s="39" t="str">
        <f>INDEX([2]活动总表!$A$8:$A$429,MATCH(B137,[2]活动总表!$B$8:$B$429,0))</f>
        <v>春节八天乐</v>
      </c>
      <c r="B137" s="40">
        <v>563</v>
      </c>
      <c r="C137" s="40">
        <v>25</v>
      </c>
      <c r="D137" s="40">
        <v>104</v>
      </c>
      <c r="E137" s="40"/>
      <c r="F137" s="40">
        <v>8000000</v>
      </c>
      <c r="G137" s="40">
        <v>8000000</v>
      </c>
      <c r="H137" s="40">
        <v>1</v>
      </c>
      <c r="I137" s="40">
        <v>10000</v>
      </c>
      <c r="J137" s="40" t="s">
        <v>957</v>
      </c>
      <c r="K137" s="40">
        <v>2</v>
      </c>
      <c r="L137" s="76">
        <v>200978</v>
      </c>
      <c r="M137" s="76" t="str">
        <f>IFERROR(INDEX([1]物品基础表!$A:$A,MATCH(L137,[1]物品基础表!$B:$B,0)),"")</f>
        <v>新春小红包</v>
      </c>
      <c r="N137" s="76">
        <v>1</v>
      </c>
      <c r="O137" s="76">
        <v>200167</v>
      </c>
      <c r="P137" s="76" t="str">
        <f>IFERROR(INDEX([1]物品基础表!$A:$A,MATCH(O137,[1]物品基础表!$B:$B,0)),"")</f>
        <v>黑铁</v>
      </c>
      <c r="Q137" s="76">
        <v>100</v>
      </c>
      <c r="S137" s="76" t="str">
        <f>IFERROR(INDEX([1]物品基础表!$A:$A,MATCH(R137,[1]物品基础表!$B:$B,0)),"")</f>
        <v/>
      </c>
    </row>
    <row r="138" spans="1:19">
      <c r="A138" s="39" t="str">
        <f>INDEX([2]活动总表!$A$8:$A$429,MATCH(B138,[2]活动总表!$B$8:$B$429,0))</f>
        <v>春节八天乐</v>
      </c>
      <c r="B138" s="40">
        <v>563</v>
      </c>
      <c r="C138" s="40">
        <v>26</v>
      </c>
      <c r="D138" s="40">
        <v>104</v>
      </c>
      <c r="E138" s="40"/>
      <c r="F138" s="40">
        <v>10000000</v>
      </c>
      <c r="G138" s="40">
        <v>10000000</v>
      </c>
      <c r="H138" s="40">
        <v>1</v>
      </c>
      <c r="I138" s="40">
        <v>10000</v>
      </c>
      <c r="J138" s="40" t="s">
        <v>958</v>
      </c>
      <c r="K138" s="40">
        <v>2</v>
      </c>
      <c r="L138" s="76">
        <v>200978</v>
      </c>
      <c r="M138" s="76" t="str">
        <f>IFERROR(INDEX([1]物品基础表!$A:$A,MATCH(L138,[1]物品基础表!$B:$B,0)),"")</f>
        <v>新春小红包</v>
      </c>
      <c r="N138" s="76">
        <v>1</v>
      </c>
      <c r="O138" s="76">
        <v>200167</v>
      </c>
      <c r="P138" s="76" t="str">
        <f>IFERROR(INDEX([1]物品基础表!$A:$A,MATCH(O138,[1]物品基础表!$B:$B,0)),"")</f>
        <v>黑铁</v>
      </c>
      <c r="Q138" s="76">
        <v>100</v>
      </c>
      <c r="S138" s="76" t="str">
        <f>IFERROR(INDEX([1]物品基础表!$A:$A,MATCH(R138,[1]物品基础表!$B:$B,0)),"")</f>
        <v/>
      </c>
    </row>
    <row r="139" spans="1:19">
      <c r="A139" s="39" t="str">
        <f>INDEX([2]活动总表!$A$8:$A$429,MATCH(B139,[2]活动总表!$B$8:$B$429,0))</f>
        <v>春节八天乐</v>
      </c>
      <c r="B139" s="40">
        <v>563</v>
      </c>
      <c r="C139" s="40">
        <v>27</v>
      </c>
      <c r="D139" s="40">
        <v>104</v>
      </c>
      <c r="E139" s="40"/>
      <c r="F139" s="40">
        <v>20000000</v>
      </c>
      <c r="G139" s="40">
        <v>20000000</v>
      </c>
      <c r="H139" s="40">
        <v>1</v>
      </c>
      <c r="I139" s="40">
        <v>10000</v>
      </c>
      <c r="J139" s="40" t="s">
        <v>959</v>
      </c>
      <c r="K139" s="40">
        <v>2</v>
      </c>
      <c r="L139" s="76">
        <v>200978</v>
      </c>
      <c r="M139" s="76" t="str">
        <f>IFERROR(INDEX([1]物品基础表!$A:$A,MATCH(L139,[1]物品基础表!$B:$B,0)),"")</f>
        <v>新春小红包</v>
      </c>
      <c r="N139" s="76">
        <v>1</v>
      </c>
      <c r="O139" s="76">
        <v>200167</v>
      </c>
      <c r="P139" s="76" t="str">
        <f>IFERROR(INDEX([1]物品基础表!$A:$A,MATCH(O139,[1]物品基础表!$B:$B,0)),"")</f>
        <v>黑铁</v>
      </c>
      <c r="Q139" s="76">
        <v>100</v>
      </c>
      <c r="S139" s="76" t="str">
        <f>IFERROR(INDEX([1]物品基础表!$A:$A,MATCH(R139,[1]物品基础表!$B:$B,0)),"")</f>
        <v/>
      </c>
    </row>
    <row r="140" spans="1:19">
      <c r="A140" s="39" t="str">
        <f>INDEX([2]活动总表!$A$8:$A$429,MATCH(B140,[2]活动总表!$B$8:$B$429,0))</f>
        <v>春节八天乐</v>
      </c>
      <c r="B140" s="40">
        <v>563</v>
      </c>
      <c r="C140" s="40">
        <v>28</v>
      </c>
      <c r="D140" s="40">
        <v>104</v>
      </c>
      <c r="E140" s="40"/>
      <c r="F140" s="40">
        <v>50000000</v>
      </c>
      <c r="G140" s="40">
        <v>50000000</v>
      </c>
      <c r="H140" s="40">
        <v>1</v>
      </c>
      <c r="I140" s="40">
        <v>10000</v>
      </c>
      <c r="J140" s="40" t="s">
        <v>960</v>
      </c>
      <c r="K140" s="40">
        <v>2</v>
      </c>
      <c r="L140" s="76">
        <v>200978</v>
      </c>
      <c r="M140" s="76" t="str">
        <f>IFERROR(INDEX([1]物品基础表!$A:$A,MATCH(L140,[1]物品基础表!$B:$B,0)),"")</f>
        <v>新春小红包</v>
      </c>
      <c r="N140" s="76">
        <v>1</v>
      </c>
      <c r="O140" s="76">
        <v>200167</v>
      </c>
      <c r="P140" s="76" t="str">
        <f>IFERROR(INDEX([1]物品基础表!$A:$A,MATCH(O140,[1]物品基础表!$B:$B,0)),"")</f>
        <v>黑铁</v>
      </c>
      <c r="Q140" s="76">
        <v>100</v>
      </c>
      <c r="S140" s="76" t="str">
        <f>IFERROR(INDEX([1]物品基础表!$A:$A,MATCH(R140,[1]物品基础表!$B:$B,0)),"")</f>
        <v/>
      </c>
    </row>
    <row r="141" spans="1:19">
      <c r="A141" s="39" t="str">
        <f>INDEX([2]活动总表!$A$8:$A$429,MATCH(B141,[2]活动总表!$B$8:$B$429,0))</f>
        <v>春节八天乐</v>
      </c>
      <c r="B141" s="40">
        <v>563</v>
      </c>
      <c r="C141" s="40">
        <v>29</v>
      </c>
      <c r="D141" s="40">
        <v>98</v>
      </c>
      <c r="E141" s="40"/>
      <c r="F141" s="40">
        <v>1</v>
      </c>
      <c r="G141" s="40">
        <v>1</v>
      </c>
      <c r="H141" s="40">
        <v>1</v>
      </c>
      <c r="I141" s="40"/>
      <c r="J141" s="40" t="s">
        <v>961</v>
      </c>
      <c r="K141" s="40">
        <v>2</v>
      </c>
      <c r="L141" s="76">
        <v>200978</v>
      </c>
      <c r="M141" s="76" t="str">
        <f>IFERROR(INDEX([1]物品基础表!$A:$A,MATCH(L141,[1]物品基础表!$B:$B,0)),"")</f>
        <v>新春小红包</v>
      </c>
      <c r="N141" s="76">
        <v>1</v>
      </c>
      <c r="O141" s="76">
        <v>200157</v>
      </c>
      <c r="P141" s="76" t="str">
        <f>IFERROR(INDEX([1]物品基础表!$A:$A,MATCH(O141,[1]物品基础表!$B:$B,0)),"")</f>
        <v>秘境BOSS次数卷轴</v>
      </c>
      <c r="Q141" s="76">
        <v>1</v>
      </c>
      <c r="S141" s="76" t="str">
        <f>IFERROR(INDEX([1]物品基础表!$A:$A,MATCH(R141,[1]物品基础表!$B:$B,0)),"")</f>
        <v/>
      </c>
    </row>
    <row r="142" spans="1:19">
      <c r="A142" s="39" t="str">
        <f>INDEX([2]活动总表!$A$8:$A$429,MATCH(B142,[2]活动总表!$B$8:$B$429,0))</f>
        <v>春节八天乐</v>
      </c>
      <c r="B142" s="40">
        <v>563</v>
      </c>
      <c r="C142" s="40">
        <v>30</v>
      </c>
      <c r="D142" s="40">
        <v>98</v>
      </c>
      <c r="E142" s="40"/>
      <c r="F142" s="40">
        <v>3</v>
      </c>
      <c r="G142" s="40">
        <v>3</v>
      </c>
      <c r="H142" s="40">
        <v>1</v>
      </c>
      <c r="I142" s="40"/>
      <c r="J142" s="40" t="s">
        <v>962</v>
      </c>
      <c r="K142" s="40">
        <v>2</v>
      </c>
      <c r="L142" s="76">
        <v>200978</v>
      </c>
      <c r="M142" s="76" t="str">
        <f>IFERROR(INDEX([1]物品基础表!$A:$A,MATCH(L142,[1]物品基础表!$B:$B,0)),"")</f>
        <v>新春小红包</v>
      </c>
      <c r="N142" s="76">
        <v>1</v>
      </c>
      <c r="O142" s="76">
        <v>200157</v>
      </c>
      <c r="P142" s="76" t="str">
        <f>IFERROR(INDEX([1]物品基础表!$A:$A,MATCH(O142,[1]物品基础表!$B:$B,0)),"")</f>
        <v>秘境BOSS次数卷轴</v>
      </c>
      <c r="Q142" s="76">
        <v>1</v>
      </c>
      <c r="S142" s="76" t="str">
        <f>IFERROR(INDEX([1]物品基础表!$A:$A,MATCH(R142,[1]物品基础表!$B:$B,0)),"")</f>
        <v/>
      </c>
    </row>
    <row r="143" spans="1:19">
      <c r="A143" s="39" t="str">
        <f>INDEX([2]活动总表!$A$8:$A$429,MATCH(B143,[2]活动总表!$B$8:$B$429,0))</f>
        <v>春节八天乐</v>
      </c>
      <c r="B143" s="40">
        <v>563</v>
      </c>
      <c r="C143" s="40">
        <v>31</v>
      </c>
      <c r="D143" s="40">
        <v>98</v>
      </c>
      <c r="E143" s="40"/>
      <c r="F143" s="40">
        <v>5</v>
      </c>
      <c r="G143" s="40">
        <v>5</v>
      </c>
      <c r="H143" s="40">
        <v>1</v>
      </c>
      <c r="I143" s="40"/>
      <c r="J143" s="40" t="s">
        <v>963</v>
      </c>
      <c r="K143" s="40">
        <v>2</v>
      </c>
      <c r="L143" s="76">
        <v>200978</v>
      </c>
      <c r="M143" s="76" t="str">
        <f>IFERROR(INDEX([1]物品基础表!$A:$A,MATCH(L143,[1]物品基础表!$B:$B,0)),"")</f>
        <v>新春小红包</v>
      </c>
      <c r="N143" s="76">
        <v>1</v>
      </c>
      <c r="O143" s="76">
        <v>200157</v>
      </c>
      <c r="P143" s="76" t="str">
        <f>IFERROR(INDEX([1]物品基础表!$A:$A,MATCH(O143,[1]物品基础表!$B:$B,0)),"")</f>
        <v>秘境BOSS次数卷轴</v>
      </c>
      <c r="Q143" s="76">
        <v>1</v>
      </c>
      <c r="S143" s="76" t="str">
        <f>IFERROR(INDEX([1]物品基础表!$A:$A,MATCH(R143,[1]物品基础表!$B:$B,0)),"")</f>
        <v/>
      </c>
    </row>
    <row r="144" spans="1:19">
      <c r="A144" s="39" t="str">
        <f>INDEX([2]活动总表!$A$8:$A$429,MATCH(B144,[2]活动总表!$B$8:$B$429,0))</f>
        <v>春节八天乐</v>
      </c>
      <c r="B144" s="40">
        <v>563</v>
      </c>
      <c r="C144" s="40">
        <v>32</v>
      </c>
      <c r="D144" s="40">
        <v>98</v>
      </c>
      <c r="E144" s="40"/>
      <c r="F144" s="40">
        <v>9</v>
      </c>
      <c r="G144" s="40">
        <v>9</v>
      </c>
      <c r="H144" s="40">
        <v>1</v>
      </c>
      <c r="I144" s="40"/>
      <c r="J144" s="40" t="s">
        <v>964</v>
      </c>
      <c r="K144" s="40">
        <v>2</v>
      </c>
      <c r="L144" s="76">
        <v>200978</v>
      </c>
      <c r="M144" s="76" t="str">
        <f>IFERROR(INDEX([1]物品基础表!$A:$A,MATCH(L144,[1]物品基础表!$B:$B,0)),"")</f>
        <v>新春小红包</v>
      </c>
      <c r="N144" s="76">
        <v>1</v>
      </c>
      <c r="O144" s="76">
        <v>200157</v>
      </c>
      <c r="P144" s="76" t="str">
        <f>IFERROR(INDEX([1]物品基础表!$A:$A,MATCH(O144,[1]物品基础表!$B:$B,0)),"")</f>
        <v>秘境BOSS次数卷轴</v>
      </c>
      <c r="Q144" s="76">
        <v>1</v>
      </c>
      <c r="S144" s="76" t="str">
        <f>IFERROR(INDEX([1]物品基础表!$A:$A,MATCH(R144,[1]物品基础表!$B:$B,0)),"")</f>
        <v/>
      </c>
    </row>
    <row r="145" spans="1:20">
      <c r="A145" s="39" t="str">
        <f>INDEX([2]活动总表!$A$8:$A$429,MATCH(B145,[2]活动总表!$B$8:$B$429,0))</f>
        <v>春节八天乐</v>
      </c>
      <c r="B145" s="40">
        <v>563</v>
      </c>
      <c r="C145" s="40">
        <v>33</v>
      </c>
      <c r="D145" s="40">
        <v>98</v>
      </c>
      <c r="E145" s="40"/>
      <c r="F145" s="40">
        <v>12</v>
      </c>
      <c r="G145" s="40">
        <v>12</v>
      </c>
      <c r="H145" s="40">
        <v>1</v>
      </c>
      <c r="I145" s="40"/>
      <c r="J145" s="40" t="s">
        <v>965</v>
      </c>
      <c r="K145" s="40">
        <v>2</v>
      </c>
      <c r="L145" s="76">
        <v>200978</v>
      </c>
      <c r="M145" s="76" t="str">
        <f>IFERROR(INDEX([1]物品基础表!$A:$A,MATCH(L145,[1]物品基础表!$B:$B,0)),"")</f>
        <v>新春小红包</v>
      </c>
      <c r="N145" s="76">
        <v>1</v>
      </c>
      <c r="O145" s="76">
        <v>200157</v>
      </c>
      <c r="P145" s="76" t="str">
        <f>IFERROR(INDEX([1]物品基础表!$A:$A,MATCH(O145,[1]物品基础表!$B:$B,0)),"")</f>
        <v>秘境BOSS次数卷轴</v>
      </c>
      <c r="Q145" s="76">
        <v>1</v>
      </c>
      <c r="S145" s="76" t="str">
        <f>IFERROR(INDEX([1]物品基础表!$A:$A,MATCH(R145,[1]物品基础表!$B:$B,0)),"")</f>
        <v/>
      </c>
    </row>
    <row r="146" spans="1:20">
      <c r="A146" s="39" t="str">
        <f>INDEX([2]活动总表!$A$8:$A$429,MATCH(B146,[2]活动总表!$B$8:$B$429,0))</f>
        <v>春节八天乐</v>
      </c>
      <c r="B146" s="40">
        <v>563</v>
      </c>
      <c r="C146" s="40">
        <v>34</v>
      </c>
      <c r="D146" s="40">
        <v>98</v>
      </c>
      <c r="E146" s="40"/>
      <c r="F146" s="40">
        <v>15</v>
      </c>
      <c r="G146" s="40">
        <v>15</v>
      </c>
      <c r="H146" s="40">
        <v>1</v>
      </c>
      <c r="I146" s="40"/>
      <c r="J146" s="40" t="s">
        <v>966</v>
      </c>
      <c r="K146" s="40">
        <v>2</v>
      </c>
      <c r="L146" s="76">
        <v>200978</v>
      </c>
      <c r="M146" s="76" t="str">
        <f>IFERROR(INDEX([1]物品基础表!$A:$A,MATCH(L146,[1]物品基础表!$B:$B,0)),"")</f>
        <v>新春小红包</v>
      </c>
      <c r="N146" s="76">
        <v>1</v>
      </c>
      <c r="O146" s="76">
        <v>200157</v>
      </c>
      <c r="P146" s="76" t="str">
        <f>IFERROR(INDEX([1]物品基础表!$A:$A,MATCH(O146,[1]物品基础表!$B:$B,0)),"")</f>
        <v>秘境BOSS次数卷轴</v>
      </c>
      <c r="Q146" s="76">
        <v>1</v>
      </c>
      <c r="S146" s="76" t="str">
        <f>IFERROR(INDEX([1]物品基础表!$A:$A,MATCH(R146,[1]物品基础表!$B:$B,0)),"")</f>
        <v/>
      </c>
    </row>
    <row r="147" spans="1:20">
      <c r="A147" s="39" t="str">
        <f>INDEX([2]活动总表!$A$8:$A$429,MATCH(B147,[2]活动总表!$B$8:$B$429,0))</f>
        <v>春节八天乐</v>
      </c>
      <c r="B147" s="40">
        <v>563</v>
      </c>
      <c r="C147" s="40">
        <v>35</v>
      </c>
      <c r="D147" s="40">
        <v>98</v>
      </c>
      <c r="E147" s="40"/>
      <c r="F147" s="40">
        <v>18</v>
      </c>
      <c r="G147" s="40">
        <v>18</v>
      </c>
      <c r="H147" s="40">
        <v>1</v>
      </c>
      <c r="I147" s="40"/>
      <c r="J147" s="40" t="s">
        <v>967</v>
      </c>
      <c r="K147" s="40">
        <v>2</v>
      </c>
      <c r="L147" s="76">
        <v>200978</v>
      </c>
      <c r="M147" s="76" t="str">
        <f>IFERROR(INDEX([1]物品基础表!$A:$A,MATCH(L147,[1]物品基础表!$B:$B,0)),"")</f>
        <v>新春小红包</v>
      </c>
      <c r="N147" s="76">
        <v>1</v>
      </c>
      <c r="O147" s="76">
        <v>200157</v>
      </c>
      <c r="P147" s="76" t="str">
        <f>IFERROR(INDEX([1]物品基础表!$A:$A,MATCH(O147,[1]物品基础表!$B:$B,0)),"")</f>
        <v>秘境BOSS次数卷轴</v>
      </c>
      <c r="Q147" s="76">
        <v>1</v>
      </c>
      <c r="S147" s="76" t="str">
        <f>IFERROR(INDEX([1]物品基础表!$A:$A,MATCH(R147,[1]物品基础表!$B:$B,0)),"")</f>
        <v/>
      </c>
    </row>
    <row r="148" spans="1:20">
      <c r="A148" s="39" t="str">
        <f>INDEX([2]活动总表!$A$8:$A$429,MATCH(B148,[2]活动总表!$B$8:$B$429,0))</f>
        <v>春节八天乐</v>
      </c>
      <c r="B148" s="40">
        <v>563</v>
      </c>
      <c r="C148" s="40">
        <v>36</v>
      </c>
      <c r="D148" s="40">
        <v>92</v>
      </c>
      <c r="E148" s="40"/>
      <c r="F148" s="40">
        <v>10</v>
      </c>
      <c r="G148" s="40">
        <v>10</v>
      </c>
      <c r="H148" s="40">
        <v>1</v>
      </c>
      <c r="I148" s="40"/>
      <c r="J148" s="40" t="s">
        <v>968</v>
      </c>
      <c r="K148" s="40">
        <v>2</v>
      </c>
      <c r="L148" s="76">
        <v>200979</v>
      </c>
      <c r="M148" s="76" t="str">
        <f>IFERROR(INDEX([1]物品基础表!$A:$A,MATCH(L148,[1]物品基础表!$B:$B,0)),"")</f>
        <v>新春大红包</v>
      </c>
      <c r="N148" s="76">
        <v>1</v>
      </c>
      <c r="O148" s="76">
        <v>500005</v>
      </c>
      <c r="P148" s="76" t="str">
        <f>IFERROR(INDEX([1]物品基础表!$A:$A,MATCH(O148,[1]物品基础表!$B:$B,0)),"")</f>
        <v>战纹精华-红</v>
      </c>
      <c r="Q148" s="76">
        <v>5</v>
      </c>
      <c r="S148" s="76" t="str">
        <f>IFERROR(INDEX([1]物品基础表!$A:$A,MATCH(R148,[1]物品基础表!$B:$B,0)),"")</f>
        <v/>
      </c>
    </row>
    <row r="149" spans="1:20">
      <c r="A149" s="39" t="str">
        <f>INDEX([2]活动总表!$A$8:$A$429,MATCH(B149,[2]活动总表!$B$8:$B$429,0))</f>
        <v>春节八天乐</v>
      </c>
      <c r="B149" s="40">
        <v>563</v>
      </c>
      <c r="C149" s="40">
        <v>37</v>
      </c>
      <c r="D149" s="40">
        <v>92</v>
      </c>
      <c r="E149" s="40"/>
      <c r="F149" s="40">
        <v>20</v>
      </c>
      <c r="G149" s="40">
        <v>20</v>
      </c>
      <c r="H149" s="40">
        <v>1</v>
      </c>
      <c r="I149" s="40"/>
      <c r="J149" s="40" t="s">
        <v>969</v>
      </c>
      <c r="K149" s="40">
        <v>2</v>
      </c>
      <c r="L149" s="76">
        <v>200979</v>
      </c>
      <c r="M149" s="76" t="str">
        <f>IFERROR(INDEX([1]物品基础表!$A:$A,MATCH(L149,[1]物品基础表!$B:$B,0)),"")</f>
        <v>新春大红包</v>
      </c>
      <c r="N149" s="76">
        <v>1</v>
      </c>
      <c r="O149" s="76">
        <v>500005</v>
      </c>
      <c r="P149" s="76" t="str">
        <f>IFERROR(INDEX([1]物品基础表!$A:$A,MATCH(O149,[1]物品基础表!$B:$B,0)),"")</f>
        <v>战纹精华-红</v>
      </c>
      <c r="Q149" s="76">
        <v>5</v>
      </c>
      <c r="S149" s="76" t="str">
        <f>IFERROR(INDEX([1]物品基础表!$A:$A,MATCH(R149,[1]物品基础表!$B:$B,0)),"")</f>
        <v/>
      </c>
    </row>
    <row r="150" spans="1:20">
      <c r="A150" s="39" t="str">
        <f>INDEX([2]活动总表!$A$8:$A$429,MATCH(B150,[2]活动总表!$B$8:$B$429,0))</f>
        <v>春节八天乐</v>
      </c>
      <c r="B150" s="40">
        <v>563</v>
      </c>
      <c r="C150" s="40">
        <v>38</v>
      </c>
      <c r="D150" s="40">
        <v>92</v>
      </c>
      <c r="E150" s="40"/>
      <c r="F150" s="40">
        <v>30</v>
      </c>
      <c r="G150" s="40">
        <v>30</v>
      </c>
      <c r="H150" s="40">
        <v>1</v>
      </c>
      <c r="I150" s="40"/>
      <c r="J150" s="40" t="s">
        <v>970</v>
      </c>
      <c r="K150" s="40">
        <v>2</v>
      </c>
      <c r="L150" s="76">
        <v>200979</v>
      </c>
      <c r="M150" s="76" t="str">
        <f>IFERROR(INDEX([1]物品基础表!$A:$A,MATCH(L150,[1]物品基础表!$B:$B,0)),"")</f>
        <v>新春大红包</v>
      </c>
      <c r="N150" s="76">
        <v>1</v>
      </c>
      <c r="O150" s="76">
        <v>500005</v>
      </c>
      <c r="P150" s="76" t="str">
        <f>IFERROR(INDEX([1]物品基础表!$A:$A,MATCH(O150,[1]物品基础表!$B:$B,0)),"")</f>
        <v>战纹精华-红</v>
      </c>
      <c r="Q150" s="76">
        <v>5</v>
      </c>
      <c r="S150" s="76" t="str">
        <f>IFERROR(INDEX([1]物品基础表!$A:$A,MATCH(R150,[1]物品基础表!$B:$B,0)),"")</f>
        <v/>
      </c>
    </row>
    <row r="151" spans="1:20">
      <c r="A151" s="39" t="str">
        <f>INDEX([2]活动总表!$A$8:$A$429,MATCH(B151,[2]活动总表!$B$8:$B$429,0))</f>
        <v>春节八天乐</v>
      </c>
      <c r="B151" s="40">
        <v>563</v>
      </c>
      <c r="C151" s="40">
        <v>39</v>
      </c>
      <c r="D151" s="40">
        <v>92</v>
      </c>
      <c r="E151" s="40"/>
      <c r="F151" s="40">
        <v>50</v>
      </c>
      <c r="G151" s="40">
        <v>50</v>
      </c>
      <c r="H151" s="40">
        <v>1</v>
      </c>
      <c r="I151" s="40"/>
      <c r="J151" s="40" t="s">
        <v>971</v>
      </c>
      <c r="K151" s="40">
        <v>2</v>
      </c>
      <c r="L151" s="76">
        <v>200979</v>
      </c>
      <c r="M151" s="76" t="str">
        <f>IFERROR(INDEX([1]物品基础表!$A:$A,MATCH(L151,[1]物品基础表!$B:$B,0)),"")</f>
        <v>新春大红包</v>
      </c>
      <c r="N151" s="76">
        <v>2</v>
      </c>
      <c r="O151" s="76">
        <v>500005</v>
      </c>
      <c r="P151" s="76" t="str">
        <f>IFERROR(INDEX([1]物品基础表!$A:$A,MATCH(O151,[1]物品基础表!$B:$B,0)),"")</f>
        <v>战纹精华-红</v>
      </c>
      <c r="Q151" s="76">
        <v>10</v>
      </c>
      <c r="S151" s="76" t="str">
        <f>IFERROR(INDEX([1]物品基础表!$A:$A,MATCH(R151,[1]物品基础表!$B:$B,0)),"")</f>
        <v/>
      </c>
    </row>
    <row r="152" spans="1:20">
      <c r="A152" s="39" t="str">
        <f>INDEX([2]活动总表!$A$8:$A$429,MATCH(B152,[2]活动总表!$B$8:$B$429,0))</f>
        <v>春节八天乐</v>
      </c>
      <c r="B152" s="40">
        <v>563</v>
      </c>
      <c r="C152" s="40">
        <v>40</v>
      </c>
      <c r="D152" s="40">
        <v>92</v>
      </c>
      <c r="E152" s="40"/>
      <c r="F152" s="40">
        <v>70</v>
      </c>
      <c r="G152" s="40">
        <v>70</v>
      </c>
      <c r="H152" s="40">
        <v>1</v>
      </c>
      <c r="I152" s="40"/>
      <c r="J152" s="40" t="s">
        <v>972</v>
      </c>
      <c r="K152" s="40">
        <v>2</v>
      </c>
      <c r="L152" s="76">
        <v>200979</v>
      </c>
      <c r="M152" s="76" t="str">
        <f>IFERROR(INDEX([1]物品基础表!$A:$A,MATCH(L152,[1]物品基础表!$B:$B,0)),"")</f>
        <v>新春大红包</v>
      </c>
      <c r="N152" s="76">
        <v>2</v>
      </c>
      <c r="O152" s="76">
        <v>500005</v>
      </c>
      <c r="P152" s="76" t="str">
        <f>IFERROR(INDEX([1]物品基础表!$A:$A,MATCH(O152,[1]物品基础表!$B:$B,0)),"")</f>
        <v>战纹精华-红</v>
      </c>
      <c r="Q152" s="76">
        <v>10</v>
      </c>
      <c r="S152" s="76" t="str">
        <f>IFERROR(INDEX([1]物品基础表!$A:$A,MATCH(R152,[1]物品基础表!$B:$B,0)),"")</f>
        <v/>
      </c>
    </row>
    <row r="153" spans="1:20">
      <c r="A153" s="39" t="str">
        <f>INDEX([2]活动总表!$A$8:$A$429,MATCH(B153,[2]活动总表!$B$8:$B$429,0))</f>
        <v>春节八天乐</v>
      </c>
      <c r="B153" s="40">
        <v>563</v>
      </c>
      <c r="C153" s="40">
        <v>41</v>
      </c>
      <c r="D153" s="40">
        <v>92</v>
      </c>
      <c r="E153" s="40"/>
      <c r="F153" s="40">
        <v>90</v>
      </c>
      <c r="G153" s="40">
        <v>90</v>
      </c>
      <c r="H153" s="40">
        <v>1</v>
      </c>
      <c r="I153" s="40"/>
      <c r="J153" s="40" t="s">
        <v>973</v>
      </c>
      <c r="K153" s="40">
        <v>2</v>
      </c>
      <c r="L153" s="76">
        <v>200979</v>
      </c>
      <c r="M153" s="76" t="str">
        <f>IFERROR(INDEX([1]物品基础表!$A:$A,MATCH(L153,[1]物品基础表!$B:$B,0)),"")</f>
        <v>新春大红包</v>
      </c>
      <c r="N153" s="76">
        <v>2</v>
      </c>
      <c r="O153" s="76">
        <v>500005</v>
      </c>
      <c r="P153" s="76" t="str">
        <f>IFERROR(INDEX([1]物品基础表!$A:$A,MATCH(O153,[1]物品基础表!$B:$B,0)),"")</f>
        <v>战纹精华-红</v>
      </c>
      <c r="Q153" s="76">
        <v>10</v>
      </c>
      <c r="S153" s="76" t="str">
        <f>IFERROR(INDEX([1]物品基础表!$A:$A,MATCH(R153,[1]物品基础表!$B:$B,0)),"")</f>
        <v/>
      </c>
    </row>
    <row r="154" spans="1:20">
      <c r="A154" s="39" t="str">
        <f>INDEX([2]活动总表!$A$8:$A$429,MATCH(B154,[2]活动总表!$B$8:$B$429,0))</f>
        <v>春节八天乐</v>
      </c>
      <c r="B154" s="40">
        <v>563</v>
      </c>
      <c r="C154" s="40">
        <v>42</v>
      </c>
      <c r="D154" s="40">
        <v>92</v>
      </c>
      <c r="E154" s="40"/>
      <c r="F154" s="40">
        <v>120</v>
      </c>
      <c r="G154" s="40">
        <v>120</v>
      </c>
      <c r="H154" s="40">
        <v>1</v>
      </c>
      <c r="I154" s="40"/>
      <c r="J154" s="40" t="s">
        <v>974</v>
      </c>
      <c r="K154" s="40">
        <v>2</v>
      </c>
      <c r="L154" s="76">
        <v>200979</v>
      </c>
      <c r="M154" s="76" t="str">
        <f>IFERROR(INDEX([1]物品基础表!$A:$A,MATCH(L154,[1]物品基础表!$B:$B,0)),"")</f>
        <v>新春大红包</v>
      </c>
      <c r="N154" s="76">
        <v>3</v>
      </c>
      <c r="O154" s="76">
        <v>500005</v>
      </c>
      <c r="P154" s="76" t="str">
        <f>IFERROR(INDEX([1]物品基础表!$A:$A,MATCH(O154,[1]物品基础表!$B:$B,0)),"")</f>
        <v>战纹精华-红</v>
      </c>
      <c r="Q154" s="76">
        <v>10</v>
      </c>
      <c r="S154" s="76" t="str">
        <f>IFERROR(INDEX([1]物品基础表!$A:$A,MATCH(R154,[1]物品基础表!$B:$B,0)),"")</f>
        <v/>
      </c>
    </row>
    <row r="155" spans="1:20">
      <c r="A155" s="39" t="str">
        <f>INDEX([2]活动总表!$A$8:$A$429,MATCH(B155,[2]活动总表!$B$8:$B$429,0))</f>
        <v>春节八天乐</v>
      </c>
      <c r="B155" s="40">
        <v>563</v>
      </c>
      <c r="C155" s="40">
        <v>43</v>
      </c>
      <c r="D155" s="40">
        <v>107</v>
      </c>
      <c r="E155" s="40"/>
      <c r="F155" s="40">
        <v>1000</v>
      </c>
      <c r="G155" s="40">
        <v>1000</v>
      </c>
      <c r="H155" s="40">
        <v>1</v>
      </c>
      <c r="I155" s="40">
        <v>100</v>
      </c>
      <c r="J155" s="40" t="s">
        <v>975</v>
      </c>
      <c r="K155" s="40">
        <v>3</v>
      </c>
      <c r="L155" s="76">
        <v>200979</v>
      </c>
      <c r="M155" s="76" t="str">
        <f>IFERROR(INDEX([1]物品基础表!$A:$A,MATCH(L155,[1]物品基础表!$B:$B,0)),"")</f>
        <v>新春大红包</v>
      </c>
      <c r="N155" s="76">
        <v>1</v>
      </c>
      <c r="O155" s="76">
        <v>200009</v>
      </c>
      <c r="P155" s="76" t="str">
        <f>IFERROR(INDEX([1]物品基础表!$A:$A,MATCH(O155,[1]物品基础表!$B:$B,0)),"")</f>
        <v>高级转生丹</v>
      </c>
      <c r="Q155" s="76">
        <v>1</v>
      </c>
      <c r="R155" s="76">
        <v>1</v>
      </c>
      <c r="S155" s="76" t="str">
        <f t="shared" ref="S155:S161" si="11">IF(R155=2,"元宝",IF(R155=1,"金币","精炼石"))</f>
        <v>金币</v>
      </c>
      <c r="T155" s="76">
        <v>1000000</v>
      </c>
    </row>
    <row r="156" spans="1:20">
      <c r="A156" s="39" t="str">
        <f>INDEX([2]活动总表!$A$8:$A$429,MATCH(B156,[2]活动总表!$B$8:$B$429,0))</f>
        <v>春节八天乐</v>
      </c>
      <c r="B156" s="40">
        <v>563</v>
      </c>
      <c r="C156" s="40">
        <v>44</v>
      </c>
      <c r="D156" s="40">
        <v>107</v>
      </c>
      <c r="E156" s="40"/>
      <c r="F156" s="40">
        <v>3000</v>
      </c>
      <c r="G156" s="40">
        <v>3000</v>
      </c>
      <c r="H156" s="40">
        <v>1</v>
      </c>
      <c r="I156" s="40">
        <v>100</v>
      </c>
      <c r="J156" s="40" t="s">
        <v>976</v>
      </c>
      <c r="K156" s="40">
        <v>3</v>
      </c>
      <c r="L156" s="76">
        <v>200979</v>
      </c>
      <c r="M156" s="76" t="str">
        <f>IFERROR(INDEX([1]物品基础表!$A:$A,MATCH(L156,[1]物品基础表!$B:$B,0)),"")</f>
        <v>新春大红包</v>
      </c>
      <c r="N156" s="76">
        <v>1</v>
      </c>
      <c r="O156" s="76">
        <v>200009</v>
      </c>
      <c r="P156" s="76" t="str">
        <f>IFERROR(INDEX([1]物品基础表!$A:$A,MATCH(O156,[1]物品基础表!$B:$B,0)),"")</f>
        <v>高级转生丹</v>
      </c>
      <c r="Q156" s="76">
        <v>1</v>
      </c>
      <c r="R156" s="76">
        <v>1</v>
      </c>
      <c r="S156" s="76" t="str">
        <f t="shared" si="11"/>
        <v>金币</v>
      </c>
      <c r="T156" s="76">
        <v>1500000</v>
      </c>
    </row>
    <row r="157" spans="1:20">
      <c r="A157" s="39" t="str">
        <f>INDEX([2]活动总表!$A$8:$A$429,MATCH(B157,[2]活动总表!$B$8:$B$429,0))</f>
        <v>春节八天乐</v>
      </c>
      <c r="B157" s="40">
        <v>563</v>
      </c>
      <c r="C157" s="40">
        <v>45</v>
      </c>
      <c r="D157" s="40">
        <v>107</v>
      </c>
      <c r="E157" s="40"/>
      <c r="F157" s="40">
        <v>6000</v>
      </c>
      <c r="G157" s="40">
        <v>6000</v>
      </c>
      <c r="H157" s="40">
        <v>1</v>
      </c>
      <c r="I157" s="40">
        <v>100</v>
      </c>
      <c r="J157" s="40" t="s">
        <v>977</v>
      </c>
      <c r="K157" s="40">
        <v>3</v>
      </c>
      <c r="L157" s="76">
        <v>200979</v>
      </c>
      <c r="M157" s="76" t="str">
        <f>IFERROR(INDEX([1]物品基础表!$A:$A,MATCH(L157,[1]物品基础表!$B:$B,0)),"")</f>
        <v>新春大红包</v>
      </c>
      <c r="N157" s="76">
        <v>1</v>
      </c>
      <c r="O157" s="76">
        <v>200009</v>
      </c>
      <c r="P157" s="76" t="str">
        <f>IFERROR(INDEX([1]物品基础表!$A:$A,MATCH(O157,[1]物品基础表!$B:$B,0)),"")</f>
        <v>高级转生丹</v>
      </c>
      <c r="Q157" s="76">
        <v>2</v>
      </c>
      <c r="R157" s="76">
        <v>1</v>
      </c>
      <c r="S157" s="76" t="str">
        <f t="shared" si="11"/>
        <v>金币</v>
      </c>
      <c r="T157" s="76">
        <v>2000000</v>
      </c>
    </row>
    <row r="158" spans="1:20">
      <c r="A158" s="39" t="str">
        <f>INDEX([2]活动总表!$A$8:$A$429,MATCH(B158,[2]活动总表!$B$8:$B$429,0))</f>
        <v>春节八天乐</v>
      </c>
      <c r="B158" s="40">
        <v>563</v>
      </c>
      <c r="C158" s="40">
        <v>46</v>
      </c>
      <c r="D158" s="40">
        <v>107</v>
      </c>
      <c r="E158" s="40"/>
      <c r="F158" s="40">
        <v>10000</v>
      </c>
      <c r="G158" s="40">
        <v>10000</v>
      </c>
      <c r="H158" s="40">
        <v>1</v>
      </c>
      <c r="I158" s="40">
        <v>100</v>
      </c>
      <c r="J158" s="40" t="s">
        <v>978</v>
      </c>
      <c r="K158" s="40">
        <v>3</v>
      </c>
      <c r="L158" s="76">
        <v>200979</v>
      </c>
      <c r="M158" s="76" t="str">
        <f>IFERROR(INDEX([1]物品基础表!$A:$A,MATCH(L158,[1]物品基础表!$B:$B,0)),"")</f>
        <v>新春大红包</v>
      </c>
      <c r="N158" s="76">
        <v>1</v>
      </c>
      <c r="O158" s="76">
        <v>200009</v>
      </c>
      <c r="P158" s="76" t="str">
        <f>IFERROR(INDEX([1]物品基础表!$A:$A,MATCH(O158,[1]物品基础表!$B:$B,0)),"")</f>
        <v>高级转生丹</v>
      </c>
      <c r="Q158" s="76">
        <v>2</v>
      </c>
      <c r="R158" s="76">
        <v>1</v>
      </c>
      <c r="S158" s="76" t="str">
        <f t="shared" si="11"/>
        <v>金币</v>
      </c>
      <c r="T158" s="76">
        <v>2500000</v>
      </c>
    </row>
    <row r="159" spans="1:20">
      <c r="A159" s="39" t="str">
        <f>INDEX([2]活动总表!$A$8:$A$429,MATCH(B159,[2]活动总表!$B$8:$B$429,0))</f>
        <v>春节八天乐</v>
      </c>
      <c r="B159" s="40">
        <v>563</v>
      </c>
      <c r="C159" s="40">
        <v>47</v>
      </c>
      <c r="D159" s="40">
        <v>107</v>
      </c>
      <c r="E159" s="40"/>
      <c r="F159" s="40">
        <v>20000</v>
      </c>
      <c r="G159" s="40">
        <v>20000</v>
      </c>
      <c r="H159" s="40">
        <v>1</v>
      </c>
      <c r="I159" s="40">
        <v>100</v>
      </c>
      <c r="J159" s="40" t="s">
        <v>979</v>
      </c>
      <c r="K159" s="40">
        <v>3</v>
      </c>
      <c r="L159" s="76">
        <v>200979</v>
      </c>
      <c r="M159" s="76" t="str">
        <f>IFERROR(INDEX([1]物品基础表!$A:$A,MATCH(L159,[1]物品基础表!$B:$B,0)),"")</f>
        <v>新春大红包</v>
      </c>
      <c r="N159" s="76">
        <v>3</v>
      </c>
      <c r="O159" s="76">
        <v>200009</v>
      </c>
      <c r="P159" s="76" t="str">
        <f>IFERROR(INDEX([1]物品基础表!$A:$A,MATCH(O159,[1]物品基础表!$B:$B,0)),"")</f>
        <v>高级转生丹</v>
      </c>
      <c r="Q159" s="76">
        <v>3</v>
      </c>
      <c r="R159" s="76">
        <v>1</v>
      </c>
      <c r="S159" s="76" t="str">
        <f t="shared" si="11"/>
        <v>金币</v>
      </c>
      <c r="T159" s="76">
        <v>3000000</v>
      </c>
    </row>
    <row r="160" spans="1:20">
      <c r="A160" s="39" t="str">
        <f>INDEX([2]活动总表!$A$8:$A$429,MATCH(B160,[2]活动总表!$B$8:$B$429,0))</f>
        <v>春节八天乐</v>
      </c>
      <c r="B160" s="40">
        <v>563</v>
      </c>
      <c r="C160" s="40">
        <v>48</v>
      </c>
      <c r="D160" s="40">
        <v>107</v>
      </c>
      <c r="E160" s="40"/>
      <c r="F160" s="40">
        <v>30000</v>
      </c>
      <c r="G160" s="40">
        <v>30000</v>
      </c>
      <c r="H160" s="40">
        <v>1</v>
      </c>
      <c r="I160" s="40">
        <v>100</v>
      </c>
      <c r="J160" s="40" t="s">
        <v>980</v>
      </c>
      <c r="K160" s="40">
        <v>3</v>
      </c>
      <c r="L160" s="76">
        <v>200979</v>
      </c>
      <c r="M160" s="76" t="str">
        <f>IFERROR(INDEX([1]物品基础表!$A:$A,MATCH(L160,[1]物品基础表!$B:$B,0)),"")</f>
        <v>新春大红包</v>
      </c>
      <c r="N160" s="76">
        <v>3</v>
      </c>
      <c r="O160" s="76">
        <v>200009</v>
      </c>
      <c r="P160" s="76" t="str">
        <f>IFERROR(INDEX([1]物品基础表!$A:$A,MATCH(O160,[1]物品基础表!$B:$B,0)),"")</f>
        <v>高级转生丹</v>
      </c>
      <c r="Q160" s="76">
        <v>3</v>
      </c>
      <c r="R160" s="76">
        <v>1</v>
      </c>
      <c r="S160" s="76" t="str">
        <f t="shared" si="11"/>
        <v>金币</v>
      </c>
      <c r="T160" s="76">
        <v>3500000</v>
      </c>
    </row>
    <row r="161" spans="1:20">
      <c r="A161" s="39" t="str">
        <f>INDEX([2]活动总表!$A$8:$A$429,MATCH(B161,[2]活动总表!$B$8:$B$429,0))</f>
        <v>春节八天乐</v>
      </c>
      <c r="B161" s="40">
        <v>563</v>
      </c>
      <c r="C161" s="40">
        <v>49</v>
      </c>
      <c r="D161" s="40">
        <v>107</v>
      </c>
      <c r="E161" s="40"/>
      <c r="F161" s="40">
        <v>50000</v>
      </c>
      <c r="G161" s="40">
        <v>50000</v>
      </c>
      <c r="H161" s="40">
        <v>1</v>
      </c>
      <c r="I161" s="40">
        <v>100</v>
      </c>
      <c r="J161" s="40" t="s">
        <v>981</v>
      </c>
      <c r="K161" s="40">
        <v>3</v>
      </c>
      <c r="L161" s="76">
        <v>200979</v>
      </c>
      <c r="M161" s="76" t="str">
        <f>IFERROR(INDEX([1]物品基础表!$A:$A,MATCH(L161,[1]物品基础表!$B:$B,0)),"")</f>
        <v>新春大红包</v>
      </c>
      <c r="N161" s="76">
        <v>6</v>
      </c>
      <c r="O161" s="76">
        <v>200009</v>
      </c>
      <c r="P161" s="76" t="str">
        <f>IFERROR(INDEX([1]物品基础表!$A:$A,MATCH(O161,[1]物品基础表!$B:$B,0)),"")</f>
        <v>高级转生丹</v>
      </c>
      <c r="Q161" s="76">
        <v>5</v>
      </c>
      <c r="R161" s="76">
        <v>1</v>
      </c>
      <c r="S161" s="76" t="str">
        <f t="shared" si="11"/>
        <v>金币</v>
      </c>
      <c r="T161" s="76">
        <v>4000000</v>
      </c>
    </row>
    <row r="162" spans="1:20">
      <c r="A162" s="39" t="str">
        <f>INDEX([2]活动总表!$A$8:$A$429,MATCH(B162,[2]活动总表!$B$8:$B$429,0))</f>
        <v>春节八天乐</v>
      </c>
      <c r="B162" s="40">
        <v>563</v>
      </c>
      <c r="C162" s="40">
        <v>50</v>
      </c>
      <c r="D162" s="40">
        <v>50</v>
      </c>
      <c r="E162" s="40"/>
      <c r="F162" s="40">
        <v>3</v>
      </c>
      <c r="G162" s="40">
        <v>3</v>
      </c>
      <c r="H162" s="40">
        <v>1</v>
      </c>
      <c r="I162" s="40"/>
      <c r="J162" s="40" t="s">
        <v>982</v>
      </c>
      <c r="K162" s="40">
        <v>3</v>
      </c>
      <c r="L162" s="76">
        <v>200978</v>
      </c>
      <c r="M162" s="76" t="str">
        <f>IFERROR(INDEX([1]物品基础表!$A:$A,MATCH(L162,[1]物品基础表!$B:$B,0)),"")</f>
        <v>新春小红包</v>
      </c>
      <c r="N162" s="76">
        <v>1</v>
      </c>
      <c r="O162" s="76">
        <v>4</v>
      </c>
      <c r="P162" s="76" t="str">
        <f t="shared" ref="P162:P165" si="12">IF(O162=2,"元宝",IF(O162=1,"金币","精炼石"))</f>
        <v>精炼石</v>
      </c>
      <c r="Q162" s="76">
        <v>2000</v>
      </c>
      <c r="S162" s="76" t="str">
        <f>IFERROR(INDEX([1]物品基础表!$A:$A,MATCH(R162,[1]物品基础表!$B:$B,0)),"")</f>
        <v/>
      </c>
    </row>
    <row r="163" spans="1:20">
      <c r="A163" s="39" t="str">
        <f>INDEX([2]活动总表!$A$8:$A$429,MATCH(B163,[2]活动总表!$B$8:$B$429,0))</f>
        <v>春节八天乐</v>
      </c>
      <c r="B163" s="40">
        <v>563</v>
      </c>
      <c r="C163" s="40">
        <v>51</v>
      </c>
      <c r="D163" s="40">
        <v>50</v>
      </c>
      <c r="E163" s="40"/>
      <c r="F163" s="40">
        <v>6</v>
      </c>
      <c r="G163" s="40">
        <v>6</v>
      </c>
      <c r="H163" s="40">
        <v>1</v>
      </c>
      <c r="I163" s="40"/>
      <c r="J163" s="40" t="s">
        <v>983</v>
      </c>
      <c r="K163" s="40">
        <v>3</v>
      </c>
      <c r="L163" s="76">
        <v>200978</v>
      </c>
      <c r="M163" s="76" t="str">
        <f>IFERROR(INDEX([1]物品基础表!$A:$A,MATCH(L163,[1]物品基础表!$B:$B,0)),"")</f>
        <v>新春小红包</v>
      </c>
      <c r="N163" s="76">
        <v>1</v>
      </c>
      <c r="O163" s="76">
        <v>4</v>
      </c>
      <c r="P163" s="76" t="str">
        <f t="shared" si="12"/>
        <v>精炼石</v>
      </c>
      <c r="Q163" s="76">
        <v>2000</v>
      </c>
      <c r="S163" s="76" t="str">
        <f>IFERROR(INDEX([1]物品基础表!$A:$A,MATCH(R163,[1]物品基础表!$B:$B,0)),"")</f>
        <v/>
      </c>
    </row>
    <row r="164" spans="1:20">
      <c r="A164" s="39" t="str">
        <f>INDEX([2]活动总表!$A$8:$A$429,MATCH(B164,[2]活动总表!$B$8:$B$429,0))</f>
        <v>春节八天乐</v>
      </c>
      <c r="B164" s="40">
        <v>563</v>
      </c>
      <c r="C164" s="40">
        <v>52</v>
      </c>
      <c r="D164" s="40">
        <v>50</v>
      </c>
      <c r="E164" s="40"/>
      <c r="F164" s="40">
        <v>12</v>
      </c>
      <c r="G164" s="40">
        <v>12</v>
      </c>
      <c r="H164" s="40">
        <v>1</v>
      </c>
      <c r="I164" s="40"/>
      <c r="J164" s="40" t="s">
        <v>984</v>
      </c>
      <c r="K164" s="40">
        <v>3</v>
      </c>
      <c r="L164" s="76">
        <v>200978</v>
      </c>
      <c r="M164" s="76" t="str">
        <f>IFERROR(INDEX([1]物品基础表!$A:$A,MATCH(L164,[1]物品基础表!$B:$B,0)),"")</f>
        <v>新春小红包</v>
      </c>
      <c r="N164" s="76">
        <v>1</v>
      </c>
      <c r="O164" s="76">
        <v>4</v>
      </c>
      <c r="P164" s="76" t="str">
        <f t="shared" si="12"/>
        <v>精炼石</v>
      </c>
      <c r="Q164" s="76">
        <v>2000</v>
      </c>
      <c r="S164" s="76" t="str">
        <f>IFERROR(INDEX([1]物品基础表!$A:$A,MATCH(R164,[1]物品基础表!$B:$B,0)),"")</f>
        <v/>
      </c>
    </row>
    <row r="165" spans="1:20">
      <c r="A165" s="39" t="str">
        <f>INDEX([2]活动总表!$A$8:$A$429,MATCH(B165,[2]活动总表!$B$8:$B$429,0))</f>
        <v>春节八天乐</v>
      </c>
      <c r="B165" s="40">
        <v>563</v>
      </c>
      <c r="C165" s="40">
        <v>53</v>
      </c>
      <c r="D165" s="40">
        <v>50</v>
      </c>
      <c r="E165" s="40"/>
      <c r="F165" s="40">
        <v>18</v>
      </c>
      <c r="G165" s="40">
        <v>18</v>
      </c>
      <c r="H165" s="40">
        <v>1</v>
      </c>
      <c r="I165" s="40"/>
      <c r="J165" s="40" t="s">
        <v>985</v>
      </c>
      <c r="K165" s="40">
        <v>3</v>
      </c>
      <c r="L165" s="76">
        <v>200978</v>
      </c>
      <c r="M165" s="76" t="str">
        <f>IFERROR(INDEX([1]物品基础表!$A:$A,MATCH(L165,[1]物品基础表!$B:$B,0)),"")</f>
        <v>新春小红包</v>
      </c>
      <c r="N165" s="76">
        <v>1</v>
      </c>
      <c r="O165" s="76">
        <v>4</v>
      </c>
      <c r="P165" s="76" t="str">
        <f t="shared" si="12"/>
        <v>精炼石</v>
      </c>
      <c r="Q165" s="76">
        <v>2000</v>
      </c>
      <c r="S165" s="76" t="str">
        <f>IFERROR(INDEX([1]物品基础表!$A:$A,MATCH(R165,[1]物品基础表!$B:$B,0)),"")</f>
        <v/>
      </c>
    </row>
    <row r="166" spans="1:20">
      <c r="A166" s="39" t="str">
        <f>INDEX([2]活动总表!$A$8:$A$429,MATCH(B166,[2]活动总表!$B$8:$B$429,0))</f>
        <v>春节八天乐</v>
      </c>
      <c r="B166" s="40">
        <v>563</v>
      </c>
      <c r="C166" s="40">
        <v>54</v>
      </c>
      <c r="D166" s="40">
        <v>11</v>
      </c>
      <c r="E166" s="40">
        <v>25</v>
      </c>
      <c r="F166" s="40">
        <v>1</v>
      </c>
      <c r="G166" s="40">
        <v>1</v>
      </c>
      <c r="H166" s="40">
        <v>1</v>
      </c>
      <c r="I166" s="40"/>
      <c r="J166" s="40" t="s">
        <v>986</v>
      </c>
      <c r="K166" s="40">
        <v>3</v>
      </c>
      <c r="L166" s="76">
        <v>200978</v>
      </c>
      <c r="M166" s="76" t="str">
        <f>IFERROR(INDEX([1]物品基础表!$A:$A,MATCH(L166,[1]物品基础表!$B:$B,0)),"")</f>
        <v>新春小红包</v>
      </c>
      <c r="N166" s="76">
        <v>1</v>
      </c>
      <c r="O166" s="76">
        <v>200318</v>
      </c>
      <c r="P166" s="76" t="str">
        <f>IFERROR(INDEX([1]物品基础表!$A:$A,MATCH(O166,[1]物品基础表!$B:$B,0)),"")</f>
        <v>威望令牌</v>
      </c>
      <c r="Q166" s="76">
        <v>10</v>
      </c>
      <c r="S166" s="76" t="str">
        <f>IFERROR(INDEX([1]物品基础表!$A:$A,MATCH(R166,[1]物品基础表!$B:$B,0)),"")</f>
        <v/>
      </c>
    </row>
    <row r="167" spans="1:20">
      <c r="A167" s="39" t="str">
        <f>INDEX([2]活动总表!$A$8:$A$429,MATCH(B167,[2]活动总表!$B$8:$B$429,0))</f>
        <v>春节八天乐</v>
      </c>
      <c r="B167" s="40">
        <v>563</v>
      </c>
      <c r="C167" s="40">
        <v>55</v>
      </c>
      <c r="D167" s="40">
        <v>11</v>
      </c>
      <c r="E167" s="40">
        <v>22</v>
      </c>
      <c r="F167" s="40">
        <v>1</v>
      </c>
      <c r="G167" s="40">
        <v>1</v>
      </c>
      <c r="H167" s="40">
        <v>1</v>
      </c>
      <c r="I167" s="40"/>
      <c r="J167" s="40" t="s">
        <v>987</v>
      </c>
      <c r="K167" s="40">
        <v>3</v>
      </c>
      <c r="L167" s="76">
        <v>200978</v>
      </c>
      <c r="M167" s="76" t="str">
        <f>IFERROR(INDEX([1]物品基础表!$A:$A,MATCH(L167,[1]物品基础表!$B:$B,0)),"")</f>
        <v>新春小红包</v>
      </c>
      <c r="N167" s="76">
        <v>1</v>
      </c>
      <c r="O167" s="76">
        <v>200318</v>
      </c>
      <c r="P167" s="76" t="str">
        <f>IFERROR(INDEX([1]物品基础表!$A:$A,MATCH(O167,[1]物品基础表!$B:$B,0)),"")</f>
        <v>威望令牌</v>
      </c>
      <c r="Q167" s="76">
        <v>10</v>
      </c>
      <c r="S167" s="76" t="str">
        <f>IFERROR(INDEX([1]物品基础表!$A:$A,MATCH(R167,[1]物品基础表!$B:$B,0)),"")</f>
        <v/>
      </c>
    </row>
    <row r="168" spans="1:20">
      <c r="A168" s="39" t="str">
        <f>INDEX([2]活动总表!$A$8:$A$429,MATCH(B168,[2]活动总表!$B$8:$B$429,0))</f>
        <v>春节八天乐</v>
      </c>
      <c r="B168" s="40">
        <v>563</v>
      </c>
      <c r="C168" s="40">
        <v>56</v>
      </c>
      <c r="D168" s="40">
        <v>94</v>
      </c>
      <c r="E168" s="40">
        <v>4</v>
      </c>
      <c r="F168" s="40">
        <v>2</v>
      </c>
      <c r="G168" s="40">
        <v>2</v>
      </c>
      <c r="H168" s="40">
        <v>1</v>
      </c>
      <c r="I168" s="40"/>
      <c r="J168" s="40" t="s">
        <v>988</v>
      </c>
      <c r="K168" s="40">
        <v>3</v>
      </c>
      <c r="L168" s="76">
        <v>200979</v>
      </c>
      <c r="M168" s="76" t="str">
        <f>IFERROR(INDEX([1]物品基础表!$A:$A,MATCH(L168,[1]物品基础表!$B:$B,0)),"")</f>
        <v>新春大红包</v>
      </c>
      <c r="N168" s="76">
        <v>2</v>
      </c>
      <c r="O168" s="76">
        <v>200936</v>
      </c>
      <c r="P168" s="76" t="str">
        <f>IFERROR(INDEX([1]物品基础表!$A:$A,MATCH(O168,[1]物品基础表!$B:$B,0)),"")</f>
        <v>矿锄</v>
      </c>
      <c r="Q168" s="76">
        <v>1</v>
      </c>
      <c r="S168" s="76" t="str">
        <f>IFERROR(INDEX([1]物品基础表!$A:$A,MATCH(R168,[1]物品基础表!$B:$B,0)),"")</f>
        <v/>
      </c>
    </row>
    <row r="169" spans="1:20">
      <c r="A169" s="39" t="str">
        <f>INDEX([2]活动总表!$A$8:$A$429,MATCH(B169,[2]活动总表!$B$8:$B$429,0))</f>
        <v>春节八天乐</v>
      </c>
      <c r="B169" s="40">
        <v>563</v>
      </c>
      <c r="C169" s="40">
        <v>57</v>
      </c>
      <c r="D169" s="40">
        <v>94</v>
      </c>
      <c r="E169" s="40">
        <v>4</v>
      </c>
      <c r="F169" s="40">
        <v>4</v>
      </c>
      <c r="G169" s="40">
        <v>4</v>
      </c>
      <c r="H169" s="40">
        <v>1</v>
      </c>
      <c r="I169" s="40"/>
      <c r="J169" s="40" t="s">
        <v>989</v>
      </c>
      <c r="K169" s="40">
        <v>3</v>
      </c>
      <c r="L169" s="76">
        <v>200979</v>
      </c>
      <c r="M169" s="76" t="str">
        <f>IFERROR(INDEX([1]物品基础表!$A:$A,MATCH(L169,[1]物品基础表!$B:$B,0)),"")</f>
        <v>新春大红包</v>
      </c>
      <c r="N169" s="76">
        <v>2</v>
      </c>
      <c r="O169" s="76">
        <v>200936</v>
      </c>
      <c r="P169" s="76" t="str">
        <f>IFERROR(INDEX([1]物品基础表!$A:$A,MATCH(O169,[1]物品基础表!$B:$B,0)),"")</f>
        <v>矿锄</v>
      </c>
      <c r="Q169" s="76">
        <v>2</v>
      </c>
      <c r="S169" s="76" t="str">
        <f>IFERROR(INDEX([1]物品基础表!$A:$A,MATCH(R169,[1]物品基础表!$B:$B,0)),"")</f>
        <v/>
      </c>
    </row>
    <row r="170" spans="1:20">
      <c r="A170" s="39" t="str">
        <f>INDEX([2]活动总表!$A$8:$A$429,MATCH(B170,[2]活动总表!$B$8:$B$429,0))</f>
        <v>春节八天乐</v>
      </c>
      <c r="B170" s="40">
        <v>563</v>
      </c>
      <c r="C170" s="40">
        <v>58</v>
      </c>
      <c r="D170" s="40">
        <v>94</v>
      </c>
      <c r="E170" s="40">
        <v>4</v>
      </c>
      <c r="F170" s="40">
        <v>6</v>
      </c>
      <c r="G170" s="40">
        <v>6</v>
      </c>
      <c r="H170" s="40">
        <v>1</v>
      </c>
      <c r="I170" s="40"/>
      <c r="J170" s="40" t="s">
        <v>990</v>
      </c>
      <c r="K170" s="40">
        <v>3</v>
      </c>
      <c r="L170" s="76">
        <v>200979</v>
      </c>
      <c r="M170" s="76" t="str">
        <f>IFERROR(INDEX([1]物品基础表!$A:$A,MATCH(L170,[1]物品基础表!$B:$B,0)),"")</f>
        <v>新春大红包</v>
      </c>
      <c r="N170" s="76">
        <v>2</v>
      </c>
      <c r="O170" s="76">
        <v>200936</v>
      </c>
      <c r="P170" s="76" t="str">
        <f>IFERROR(INDEX([1]物品基础表!$A:$A,MATCH(O170,[1]物品基础表!$B:$B,0)),"")</f>
        <v>矿锄</v>
      </c>
      <c r="Q170" s="76">
        <v>3</v>
      </c>
      <c r="S170" s="76" t="str">
        <f>IFERROR(INDEX([1]物品基础表!$A:$A,MATCH(R170,[1]物品基础表!$B:$B,0)),"")</f>
        <v/>
      </c>
    </row>
    <row r="171" spans="1:20">
      <c r="A171" s="39" t="str">
        <f>INDEX([2]活动总表!$A$8:$A$429,MATCH(B171,[2]活动总表!$B$8:$B$429,0))</f>
        <v>春节八天乐</v>
      </c>
      <c r="B171" s="40">
        <v>563</v>
      </c>
      <c r="C171" s="40">
        <v>59</v>
      </c>
      <c r="D171" s="40">
        <v>94</v>
      </c>
      <c r="E171" s="40">
        <v>4</v>
      </c>
      <c r="F171" s="40">
        <v>9</v>
      </c>
      <c r="G171" s="40">
        <v>9</v>
      </c>
      <c r="H171" s="40">
        <v>1</v>
      </c>
      <c r="I171" s="40"/>
      <c r="J171" s="40" t="s">
        <v>991</v>
      </c>
      <c r="K171" s="40">
        <v>3</v>
      </c>
      <c r="L171" s="76">
        <v>200979</v>
      </c>
      <c r="M171" s="76" t="str">
        <f>IFERROR(INDEX([1]物品基础表!$A:$A,MATCH(L171,[1]物品基础表!$B:$B,0)),"")</f>
        <v>新春大红包</v>
      </c>
      <c r="N171" s="76">
        <v>2</v>
      </c>
      <c r="O171" s="76">
        <v>200936</v>
      </c>
      <c r="P171" s="76" t="str">
        <f>IFERROR(INDEX([1]物品基础表!$A:$A,MATCH(O171,[1]物品基础表!$B:$B,0)),"")</f>
        <v>矿锄</v>
      </c>
      <c r="Q171" s="76">
        <v>4</v>
      </c>
      <c r="S171" s="76" t="str">
        <f>IFERROR(INDEX([1]物品基础表!$A:$A,MATCH(R171,[1]物品基础表!$B:$B,0)),"")</f>
        <v/>
      </c>
    </row>
    <row r="172" spans="1:20">
      <c r="A172" s="39" t="str">
        <f>INDEX([2]活动总表!$A$8:$A$429,MATCH(B172,[2]活动总表!$B$8:$B$429,0))</f>
        <v>春节八天乐</v>
      </c>
      <c r="B172" s="40">
        <v>563</v>
      </c>
      <c r="C172" s="40">
        <v>60</v>
      </c>
      <c r="D172" s="40">
        <v>94</v>
      </c>
      <c r="E172" s="40">
        <v>4</v>
      </c>
      <c r="F172" s="40">
        <v>12</v>
      </c>
      <c r="G172" s="40">
        <v>12</v>
      </c>
      <c r="H172" s="40">
        <v>1</v>
      </c>
      <c r="I172" s="40"/>
      <c r="J172" s="40" t="s">
        <v>992</v>
      </c>
      <c r="K172" s="40">
        <v>3</v>
      </c>
      <c r="L172" s="76">
        <v>200979</v>
      </c>
      <c r="M172" s="76" t="str">
        <f>IFERROR(INDEX([1]物品基础表!$A:$A,MATCH(L172,[1]物品基础表!$B:$B,0)),"")</f>
        <v>新春大红包</v>
      </c>
      <c r="N172" s="76">
        <v>2</v>
      </c>
      <c r="O172" s="76">
        <v>200936</v>
      </c>
      <c r="P172" s="76" t="str">
        <f>IFERROR(INDEX([1]物品基础表!$A:$A,MATCH(O172,[1]物品基础表!$B:$B,0)),"")</f>
        <v>矿锄</v>
      </c>
      <c r="Q172" s="76">
        <v>5</v>
      </c>
      <c r="S172" s="76" t="str">
        <f>IFERROR(INDEX([1]物品基础表!$A:$A,MATCH(R172,[1]物品基础表!$B:$B,0)),"")</f>
        <v/>
      </c>
    </row>
    <row r="173" spans="1:20">
      <c r="A173" s="39" t="str">
        <f>INDEX([2]活动总表!$A$8:$A$429,MATCH(B173,[2]活动总表!$B$8:$B$429,0))</f>
        <v>春节八天乐</v>
      </c>
      <c r="B173" s="40">
        <v>563</v>
      </c>
      <c r="C173" s="40">
        <v>61</v>
      </c>
      <c r="D173" s="40">
        <v>103</v>
      </c>
      <c r="E173" s="40"/>
      <c r="F173" s="40">
        <v>3888</v>
      </c>
      <c r="G173" s="40">
        <v>3888</v>
      </c>
      <c r="H173" s="40">
        <v>1</v>
      </c>
      <c r="I173" s="40"/>
      <c r="J173" s="40" t="s">
        <v>993</v>
      </c>
      <c r="K173" s="40">
        <v>4</v>
      </c>
      <c r="L173" s="76">
        <v>200979</v>
      </c>
      <c r="M173" s="76" t="str">
        <f>IFERROR(INDEX([1]物品基础表!$A:$A,MATCH(L173,[1]物品基础表!$B:$B,0)),"")</f>
        <v>新春大红包</v>
      </c>
      <c r="N173" s="76">
        <v>1</v>
      </c>
      <c r="O173" s="76">
        <v>200004</v>
      </c>
      <c r="P173" s="76" t="str">
        <f>IFERROR(INDEX([1]物品基础表!$A:$A,MATCH(O173,[1]物品基础表!$B:$B,0)),"")</f>
        <v>经脉丹</v>
      </c>
      <c r="Q173" s="76">
        <v>5</v>
      </c>
      <c r="R173" s="76">
        <v>1</v>
      </c>
      <c r="S173" s="76" t="str">
        <f t="shared" ref="S173:S179" si="13">IF(R173=2,"元宝",IF(R173=1,"金币","精炼石"))</f>
        <v>金币</v>
      </c>
      <c r="T173" s="76">
        <v>1000000</v>
      </c>
    </row>
    <row r="174" spans="1:20">
      <c r="A174" s="39" t="str">
        <f>INDEX([2]活动总表!$A$8:$A$429,MATCH(B174,[2]活动总表!$B$8:$B$429,0))</f>
        <v>春节八天乐</v>
      </c>
      <c r="B174" s="40">
        <v>563</v>
      </c>
      <c r="C174" s="40">
        <v>62</v>
      </c>
      <c r="D174" s="40">
        <v>103</v>
      </c>
      <c r="E174" s="40"/>
      <c r="F174" s="40">
        <v>6888</v>
      </c>
      <c r="G174" s="40">
        <v>6888</v>
      </c>
      <c r="H174" s="40">
        <v>1</v>
      </c>
      <c r="I174" s="40"/>
      <c r="J174" s="40" t="s">
        <v>994</v>
      </c>
      <c r="K174" s="40">
        <v>4</v>
      </c>
      <c r="L174" s="76">
        <v>200979</v>
      </c>
      <c r="M174" s="76" t="str">
        <f>IFERROR(INDEX([1]物品基础表!$A:$A,MATCH(L174,[1]物品基础表!$B:$B,0)),"")</f>
        <v>新春大红包</v>
      </c>
      <c r="N174" s="76">
        <v>1</v>
      </c>
      <c r="O174" s="76">
        <v>200004</v>
      </c>
      <c r="P174" s="76" t="str">
        <f>IFERROR(INDEX([1]物品基础表!$A:$A,MATCH(O174,[1]物品基础表!$B:$B,0)),"")</f>
        <v>经脉丹</v>
      </c>
      <c r="Q174" s="76">
        <v>5</v>
      </c>
      <c r="R174" s="76">
        <v>1</v>
      </c>
      <c r="S174" s="76" t="str">
        <f t="shared" si="13"/>
        <v>金币</v>
      </c>
      <c r="T174" s="76">
        <v>1500000</v>
      </c>
    </row>
    <row r="175" spans="1:20">
      <c r="A175" s="39" t="str">
        <f>INDEX([2]活动总表!$A$8:$A$429,MATCH(B175,[2]活动总表!$B$8:$B$429,0))</f>
        <v>春节八天乐</v>
      </c>
      <c r="B175" s="40">
        <v>563</v>
      </c>
      <c r="C175" s="40">
        <v>63</v>
      </c>
      <c r="D175" s="40">
        <v>103</v>
      </c>
      <c r="E175" s="40"/>
      <c r="F175" s="40">
        <v>9888</v>
      </c>
      <c r="G175" s="40">
        <v>9888</v>
      </c>
      <c r="H175" s="40">
        <v>1</v>
      </c>
      <c r="I175" s="40"/>
      <c r="J175" s="40" t="s">
        <v>995</v>
      </c>
      <c r="K175" s="40">
        <v>4</v>
      </c>
      <c r="L175" s="76">
        <v>200979</v>
      </c>
      <c r="M175" s="76" t="str">
        <f>IFERROR(INDEX([1]物品基础表!$A:$A,MATCH(L175,[1]物品基础表!$B:$B,0)),"")</f>
        <v>新春大红包</v>
      </c>
      <c r="N175" s="76">
        <v>1</v>
      </c>
      <c r="O175" s="76">
        <v>200004</v>
      </c>
      <c r="P175" s="76" t="str">
        <f>IFERROR(INDEX([1]物品基础表!$A:$A,MATCH(O175,[1]物品基础表!$B:$B,0)),"")</f>
        <v>经脉丹</v>
      </c>
      <c r="Q175" s="76">
        <v>5</v>
      </c>
      <c r="R175" s="76">
        <v>1</v>
      </c>
      <c r="S175" s="76" t="str">
        <f t="shared" si="13"/>
        <v>金币</v>
      </c>
      <c r="T175" s="76">
        <v>2000000</v>
      </c>
    </row>
    <row r="176" spans="1:20">
      <c r="A176" s="39" t="str">
        <f>INDEX([2]活动总表!$A$8:$A$429,MATCH(B176,[2]活动总表!$B$8:$B$429,0))</f>
        <v>春节八天乐</v>
      </c>
      <c r="B176" s="40">
        <v>563</v>
      </c>
      <c r="C176" s="40">
        <v>64</v>
      </c>
      <c r="D176" s="40">
        <v>103</v>
      </c>
      <c r="E176" s="40"/>
      <c r="F176" s="40">
        <v>16888</v>
      </c>
      <c r="G176" s="40">
        <v>16888</v>
      </c>
      <c r="H176" s="40">
        <v>1</v>
      </c>
      <c r="I176" s="40"/>
      <c r="J176" s="40" t="s">
        <v>996</v>
      </c>
      <c r="K176" s="40">
        <v>4</v>
      </c>
      <c r="L176" s="76">
        <v>200979</v>
      </c>
      <c r="M176" s="76" t="str">
        <f>IFERROR(INDEX([1]物品基础表!$A:$A,MATCH(L176,[1]物品基础表!$B:$B,0)),"")</f>
        <v>新春大红包</v>
      </c>
      <c r="N176" s="76">
        <v>2</v>
      </c>
      <c r="O176" s="76">
        <v>200004</v>
      </c>
      <c r="P176" s="76" t="str">
        <f>IFERROR(INDEX([1]物品基础表!$A:$A,MATCH(O176,[1]物品基础表!$B:$B,0)),"")</f>
        <v>经脉丹</v>
      </c>
      <c r="Q176" s="76">
        <v>5</v>
      </c>
      <c r="R176" s="76">
        <v>1</v>
      </c>
      <c r="S176" s="76" t="str">
        <f t="shared" si="13"/>
        <v>金币</v>
      </c>
      <c r="T176" s="76">
        <v>2500000</v>
      </c>
    </row>
    <row r="177" spans="1:20">
      <c r="A177" s="39" t="str">
        <f>INDEX([2]活动总表!$A$8:$A$429,MATCH(B177,[2]活动总表!$B$8:$B$429,0))</f>
        <v>春节八天乐</v>
      </c>
      <c r="B177" s="40">
        <v>563</v>
      </c>
      <c r="C177" s="40">
        <v>65</v>
      </c>
      <c r="D177" s="40">
        <v>103</v>
      </c>
      <c r="E177" s="40"/>
      <c r="F177" s="40">
        <v>26888</v>
      </c>
      <c r="G177" s="40">
        <v>26888</v>
      </c>
      <c r="H177" s="40">
        <v>1</v>
      </c>
      <c r="I177" s="40"/>
      <c r="J177" s="40" t="s">
        <v>997</v>
      </c>
      <c r="K177" s="40">
        <v>4</v>
      </c>
      <c r="L177" s="76">
        <v>200979</v>
      </c>
      <c r="M177" s="76" t="str">
        <f>IFERROR(INDEX([1]物品基础表!$A:$A,MATCH(L177,[1]物品基础表!$B:$B,0)),"")</f>
        <v>新春大红包</v>
      </c>
      <c r="N177" s="76">
        <v>3</v>
      </c>
      <c r="O177" s="76">
        <v>200004</v>
      </c>
      <c r="P177" s="76" t="str">
        <f>IFERROR(INDEX([1]物品基础表!$A:$A,MATCH(O177,[1]物品基础表!$B:$B,0)),"")</f>
        <v>经脉丹</v>
      </c>
      <c r="Q177" s="76">
        <v>5</v>
      </c>
      <c r="R177" s="76">
        <v>1</v>
      </c>
      <c r="S177" s="76" t="str">
        <f t="shared" si="13"/>
        <v>金币</v>
      </c>
      <c r="T177" s="76">
        <v>3000000</v>
      </c>
    </row>
    <row r="178" spans="1:20">
      <c r="A178" s="39" t="str">
        <f>INDEX([2]活动总表!$A$8:$A$429,MATCH(B178,[2]活动总表!$B$8:$B$429,0))</f>
        <v>春节八天乐</v>
      </c>
      <c r="B178" s="40">
        <v>563</v>
      </c>
      <c r="C178" s="40">
        <v>66</v>
      </c>
      <c r="D178" s="40">
        <v>103</v>
      </c>
      <c r="E178" s="40"/>
      <c r="F178" s="40">
        <v>38888</v>
      </c>
      <c r="G178" s="40">
        <v>38888</v>
      </c>
      <c r="H178" s="40">
        <v>1</v>
      </c>
      <c r="I178" s="40"/>
      <c r="J178" s="40" t="s">
        <v>998</v>
      </c>
      <c r="K178" s="40">
        <v>4</v>
      </c>
      <c r="L178" s="76">
        <v>200979</v>
      </c>
      <c r="M178" s="76" t="str">
        <f>IFERROR(INDEX([1]物品基础表!$A:$A,MATCH(L178,[1]物品基础表!$B:$B,0)),"")</f>
        <v>新春大红包</v>
      </c>
      <c r="N178" s="76">
        <v>3</v>
      </c>
      <c r="O178" s="76">
        <v>200004</v>
      </c>
      <c r="P178" s="76" t="str">
        <f>IFERROR(INDEX([1]物品基础表!$A:$A,MATCH(O178,[1]物品基础表!$B:$B,0)),"")</f>
        <v>经脉丹</v>
      </c>
      <c r="Q178" s="76">
        <v>5</v>
      </c>
      <c r="R178" s="76">
        <v>1</v>
      </c>
      <c r="S178" s="76" t="str">
        <f t="shared" si="13"/>
        <v>金币</v>
      </c>
      <c r="T178" s="76">
        <v>3500000</v>
      </c>
    </row>
    <row r="179" spans="1:20">
      <c r="A179" s="39" t="str">
        <f>INDEX([2]活动总表!$A$8:$A$429,MATCH(B179,[2]活动总表!$B$8:$B$429,0))</f>
        <v>春节八天乐</v>
      </c>
      <c r="B179" s="40">
        <v>563</v>
      </c>
      <c r="C179" s="40">
        <v>67</v>
      </c>
      <c r="D179" s="40">
        <v>103</v>
      </c>
      <c r="E179" s="40"/>
      <c r="F179" s="40">
        <v>58888</v>
      </c>
      <c r="G179" s="40">
        <v>58888</v>
      </c>
      <c r="H179" s="40">
        <v>1</v>
      </c>
      <c r="I179" s="40"/>
      <c r="J179" s="40" t="s">
        <v>999</v>
      </c>
      <c r="K179" s="40">
        <v>4</v>
      </c>
      <c r="L179" s="76">
        <v>200979</v>
      </c>
      <c r="M179" s="76" t="str">
        <f>IFERROR(INDEX([1]物品基础表!$A:$A,MATCH(L179,[1]物品基础表!$B:$B,0)),"")</f>
        <v>新春大红包</v>
      </c>
      <c r="N179" s="76">
        <v>6</v>
      </c>
      <c r="O179" s="76">
        <v>200004</v>
      </c>
      <c r="P179" s="76" t="str">
        <f>IFERROR(INDEX([1]物品基础表!$A:$A,MATCH(O179,[1]物品基础表!$B:$B,0)),"")</f>
        <v>经脉丹</v>
      </c>
      <c r="Q179" s="76">
        <v>5</v>
      </c>
      <c r="R179" s="76">
        <v>1</v>
      </c>
      <c r="S179" s="76" t="str">
        <f t="shared" si="13"/>
        <v>金币</v>
      </c>
      <c r="T179" s="76">
        <v>4000000</v>
      </c>
    </row>
    <row r="180" spans="1:20">
      <c r="A180" s="39" t="str">
        <f>INDEX([2]活动总表!$A$8:$A$429,MATCH(B180,[2]活动总表!$B$8:$B$429,0))</f>
        <v>春节八天乐</v>
      </c>
      <c r="B180" s="40">
        <v>563</v>
      </c>
      <c r="C180" s="40">
        <v>68</v>
      </c>
      <c r="D180" s="40">
        <v>33</v>
      </c>
      <c r="E180" s="40">
        <v>200060</v>
      </c>
      <c r="F180" s="40">
        <v>60</v>
      </c>
      <c r="G180" s="40">
        <v>60</v>
      </c>
      <c r="H180" s="40">
        <v>1</v>
      </c>
      <c r="I180" s="40"/>
      <c r="J180" s="40" t="s">
        <v>1000</v>
      </c>
      <c r="K180" s="40">
        <v>4</v>
      </c>
      <c r="L180" s="76">
        <v>200978</v>
      </c>
      <c r="M180" s="76" t="str">
        <f>IFERROR(INDEX([1]物品基础表!$A:$A,MATCH(L180,[1]物品基础表!$B:$B,0)),"")</f>
        <v>新春小红包</v>
      </c>
      <c r="N180" s="76">
        <v>1</v>
      </c>
      <c r="O180" s="76">
        <v>1</v>
      </c>
      <c r="P180" s="76" t="str">
        <f t="shared" ref="P180:P186" si="14">IF(O180=2,"元宝",IF(O180=1,"金币","精炼石"))</f>
        <v>金币</v>
      </c>
      <c r="Q180" s="76">
        <v>200000</v>
      </c>
      <c r="S180" s="76" t="str">
        <f>IFERROR(INDEX([1]物品基础表!$A:$A,MATCH(R180,[1]物品基础表!$B:$B,0)),"")</f>
        <v/>
      </c>
    </row>
    <row r="181" spans="1:20">
      <c r="A181" s="39" t="str">
        <f>INDEX([2]活动总表!$A$8:$A$429,MATCH(B181,[2]活动总表!$B$8:$B$429,0))</f>
        <v>春节八天乐</v>
      </c>
      <c r="B181" s="40">
        <v>563</v>
      </c>
      <c r="C181" s="40">
        <v>69</v>
      </c>
      <c r="D181" s="40">
        <v>33</v>
      </c>
      <c r="E181" s="40">
        <v>200060</v>
      </c>
      <c r="F181" s="40">
        <v>120</v>
      </c>
      <c r="G181" s="40">
        <v>120</v>
      </c>
      <c r="H181" s="40">
        <v>1</v>
      </c>
      <c r="I181" s="40"/>
      <c r="J181" s="40" t="s">
        <v>1001</v>
      </c>
      <c r="K181" s="40">
        <v>4</v>
      </c>
      <c r="L181" s="76">
        <v>200978</v>
      </c>
      <c r="M181" s="76" t="str">
        <f>IFERROR(INDEX([1]物品基础表!$A:$A,MATCH(L181,[1]物品基础表!$B:$B,0)),"")</f>
        <v>新春小红包</v>
      </c>
      <c r="N181" s="76">
        <v>1</v>
      </c>
      <c r="O181" s="76">
        <v>1</v>
      </c>
      <c r="P181" s="76" t="str">
        <f t="shared" si="14"/>
        <v>金币</v>
      </c>
      <c r="Q181" s="76">
        <v>300000</v>
      </c>
      <c r="S181" s="76" t="str">
        <f>IFERROR(INDEX([1]物品基础表!$A:$A,MATCH(R181,[1]物品基础表!$B:$B,0)),"")</f>
        <v/>
      </c>
    </row>
    <row r="182" spans="1:20">
      <c r="A182" s="39" t="str">
        <f>INDEX([2]活动总表!$A$8:$A$429,MATCH(B182,[2]活动总表!$B$8:$B$429,0))</f>
        <v>春节八天乐</v>
      </c>
      <c r="B182" s="40">
        <v>563</v>
      </c>
      <c r="C182" s="40">
        <v>70</v>
      </c>
      <c r="D182" s="40">
        <v>33</v>
      </c>
      <c r="E182" s="40">
        <v>200060</v>
      </c>
      <c r="F182" s="40">
        <v>180</v>
      </c>
      <c r="G182" s="40">
        <v>180</v>
      </c>
      <c r="H182" s="40">
        <v>1</v>
      </c>
      <c r="I182" s="40"/>
      <c r="J182" s="40" t="s">
        <v>1002</v>
      </c>
      <c r="K182" s="40">
        <v>4</v>
      </c>
      <c r="L182" s="76">
        <v>200978</v>
      </c>
      <c r="M182" s="76" t="str">
        <f>IFERROR(INDEX([1]物品基础表!$A:$A,MATCH(L182,[1]物品基础表!$B:$B,0)),"")</f>
        <v>新春小红包</v>
      </c>
      <c r="N182" s="76">
        <v>1</v>
      </c>
      <c r="O182" s="76">
        <v>1</v>
      </c>
      <c r="P182" s="76" t="str">
        <f t="shared" si="14"/>
        <v>金币</v>
      </c>
      <c r="Q182" s="76">
        <v>400000</v>
      </c>
      <c r="S182" s="76" t="str">
        <f>IFERROR(INDEX([1]物品基础表!$A:$A,MATCH(R182,[1]物品基础表!$B:$B,0)),"")</f>
        <v/>
      </c>
    </row>
    <row r="183" spans="1:20">
      <c r="A183" s="39" t="str">
        <f>INDEX([2]活动总表!$A$8:$A$429,MATCH(B183,[2]活动总表!$B$8:$B$429,0))</f>
        <v>春节八天乐</v>
      </c>
      <c r="B183" s="40">
        <v>563</v>
      </c>
      <c r="C183" s="40">
        <v>71</v>
      </c>
      <c r="D183" s="40">
        <v>32</v>
      </c>
      <c r="E183" s="40"/>
      <c r="F183" s="40">
        <v>10</v>
      </c>
      <c r="G183" s="40">
        <v>10</v>
      </c>
      <c r="H183" s="40">
        <v>1</v>
      </c>
      <c r="I183" s="40"/>
      <c r="J183" s="40" t="s">
        <v>1003</v>
      </c>
      <c r="K183" s="40">
        <v>4</v>
      </c>
      <c r="L183" s="76">
        <v>200978</v>
      </c>
      <c r="M183" s="76" t="str">
        <f>IFERROR(INDEX([1]物品基础表!$A:$A,MATCH(L183,[1]物品基础表!$B:$B,0)),"")</f>
        <v>新春小红包</v>
      </c>
      <c r="N183" s="76">
        <v>1</v>
      </c>
      <c r="O183" s="76">
        <v>1</v>
      </c>
      <c r="P183" s="76" t="str">
        <f t="shared" si="14"/>
        <v>金币</v>
      </c>
      <c r="Q183" s="76">
        <v>500000</v>
      </c>
      <c r="S183" s="76" t="str">
        <f>IFERROR(INDEX([1]物品基础表!$A:$A,MATCH(R183,[1]物品基础表!$B:$B,0)),"")</f>
        <v/>
      </c>
    </row>
    <row r="184" spans="1:20">
      <c r="A184" s="39" t="str">
        <f>INDEX([2]活动总表!$A$8:$A$429,MATCH(B184,[2]活动总表!$B$8:$B$429,0))</f>
        <v>春节八天乐</v>
      </c>
      <c r="B184" s="40">
        <v>563</v>
      </c>
      <c r="C184" s="40">
        <v>72</v>
      </c>
      <c r="D184" s="40">
        <v>32</v>
      </c>
      <c r="E184" s="40"/>
      <c r="F184" s="40">
        <v>20</v>
      </c>
      <c r="G184" s="40">
        <v>20</v>
      </c>
      <c r="H184" s="40">
        <v>1</v>
      </c>
      <c r="I184" s="40"/>
      <c r="J184" s="40" t="s">
        <v>1004</v>
      </c>
      <c r="K184" s="40">
        <v>4</v>
      </c>
      <c r="L184" s="76">
        <v>200978</v>
      </c>
      <c r="M184" s="76" t="str">
        <f>IFERROR(INDEX([1]物品基础表!$A:$A,MATCH(L184,[1]物品基础表!$B:$B,0)),"")</f>
        <v>新春小红包</v>
      </c>
      <c r="N184" s="76">
        <v>1</v>
      </c>
      <c r="O184" s="76">
        <v>1</v>
      </c>
      <c r="P184" s="76" t="str">
        <f t="shared" si="14"/>
        <v>金币</v>
      </c>
      <c r="Q184" s="76">
        <v>600000</v>
      </c>
      <c r="S184" s="76" t="str">
        <f>IFERROR(INDEX([1]物品基础表!$A:$A,MATCH(R184,[1]物品基础表!$B:$B,0)),"")</f>
        <v/>
      </c>
    </row>
    <row r="185" spans="1:20">
      <c r="A185" s="39" t="str">
        <f>INDEX([2]活动总表!$A$8:$A$429,MATCH(B185,[2]活动总表!$B$8:$B$429,0))</f>
        <v>春节八天乐</v>
      </c>
      <c r="B185" s="40">
        <v>563</v>
      </c>
      <c r="C185" s="40">
        <v>73</v>
      </c>
      <c r="D185" s="40">
        <v>32</v>
      </c>
      <c r="E185" s="40"/>
      <c r="F185" s="40">
        <v>30</v>
      </c>
      <c r="G185" s="40">
        <v>30</v>
      </c>
      <c r="H185" s="40">
        <v>1</v>
      </c>
      <c r="I185" s="40"/>
      <c r="J185" s="40" t="s">
        <v>1005</v>
      </c>
      <c r="K185" s="40">
        <v>4</v>
      </c>
      <c r="L185" s="76">
        <v>200978</v>
      </c>
      <c r="M185" s="76" t="str">
        <f>IFERROR(INDEX([1]物品基础表!$A:$A,MATCH(L185,[1]物品基础表!$B:$B,0)),"")</f>
        <v>新春小红包</v>
      </c>
      <c r="N185" s="76">
        <v>1</v>
      </c>
      <c r="O185" s="76">
        <v>1</v>
      </c>
      <c r="P185" s="76" t="str">
        <f t="shared" si="14"/>
        <v>金币</v>
      </c>
      <c r="Q185" s="76">
        <v>700000</v>
      </c>
      <c r="S185" s="76" t="str">
        <f>IFERROR(INDEX([1]物品基础表!$A:$A,MATCH(R185,[1]物品基础表!$B:$B,0)),"")</f>
        <v/>
      </c>
    </row>
    <row r="186" spans="1:20">
      <c r="A186" s="39" t="str">
        <f>INDEX([2]活动总表!$A$8:$A$429,MATCH(B186,[2]活动总表!$B$8:$B$429,0))</f>
        <v>春节八天乐</v>
      </c>
      <c r="B186" s="40">
        <v>563</v>
      </c>
      <c r="C186" s="40">
        <v>74</v>
      </c>
      <c r="D186" s="40">
        <v>32</v>
      </c>
      <c r="E186" s="40"/>
      <c r="F186" s="40">
        <v>40</v>
      </c>
      <c r="G186" s="40">
        <v>40</v>
      </c>
      <c r="H186" s="40">
        <v>1</v>
      </c>
      <c r="I186" s="40"/>
      <c r="J186" s="40" t="s">
        <v>1006</v>
      </c>
      <c r="K186" s="40">
        <v>4</v>
      </c>
      <c r="L186" s="76">
        <v>200978</v>
      </c>
      <c r="M186" s="76" t="str">
        <f>IFERROR(INDEX([1]物品基础表!$A:$A,MATCH(L186,[1]物品基础表!$B:$B,0)),"")</f>
        <v>新春小红包</v>
      </c>
      <c r="N186" s="76">
        <v>1</v>
      </c>
      <c r="O186" s="76">
        <v>1</v>
      </c>
      <c r="P186" s="76" t="str">
        <f t="shared" si="14"/>
        <v>金币</v>
      </c>
      <c r="Q186" s="76">
        <v>800000</v>
      </c>
      <c r="S186" s="76" t="str">
        <f>IFERROR(INDEX([1]物品基础表!$A:$A,MATCH(R186,[1]物品基础表!$B:$B,0)),"")</f>
        <v/>
      </c>
    </row>
    <row r="187" spans="1:20">
      <c r="A187" s="39" t="str">
        <f>INDEX([2]活动总表!$A$8:$A$429,MATCH(B187,[2]活动总表!$B$8:$B$429,0))</f>
        <v>春节八天乐</v>
      </c>
      <c r="B187" s="40">
        <v>563</v>
      </c>
      <c r="C187" s="40">
        <v>75</v>
      </c>
      <c r="D187" s="40">
        <v>105</v>
      </c>
      <c r="E187" s="40"/>
      <c r="F187" s="40">
        <v>1</v>
      </c>
      <c r="G187" s="40">
        <v>1</v>
      </c>
      <c r="H187" s="40">
        <v>1</v>
      </c>
      <c r="I187" s="40"/>
      <c r="J187" s="40" t="s">
        <v>1007</v>
      </c>
      <c r="K187" s="40">
        <v>4</v>
      </c>
      <c r="L187" s="76">
        <v>200979</v>
      </c>
      <c r="M187" s="76" t="str">
        <f>IFERROR(INDEX([1]物品基础表!$A:$A,MATCH(L187,[1]物品基础表!$B:$B,0)),"")</f>
        <v>新春大红包</v>
      </c>
      <c r="N187" s="76">
        <v>1</v>
      </c>
      <c r="O187" s="76">
        <v>200301</v>
      </c>
      <c r="P187" s="76" t="str">
        <f>IFERROR(INDEX([1]物品基础表!$A:$A,MATCH(O187,[1]物品基础表!$B:$B,0)),"")</f>
        <v>传世宝钻</v>
      </c>
      <c r="Q187" s="76">
        <v>5</v>
      </c>
      <c r="S187" s="76" t="str">
        <f>IFERROR(INDEX([1]物品基础表!$A:$A,MATCH(R187,[1]物品基础表!$B:$B,0)),"")</f>
        <v/>
      </c>
    </row>
    <row r="188" spans="1:20">
      <c r="A188" s="39" t="str">
        <f>INDEX([2]活动总表!$A$8:$A$429,MATCH(B188,[2]活动总表!$B$8:$B$429,0))</f>
        <v>春节八天乐</v>
      </c>
      <c r="B188" s="40">
        <v>563</v>
      </c>
      <c r="C188" s="40">
        <v>76</v>
      </c>
      <c r="D188" s="40">
        <v>105</v>
      </c>
      <c r="E188" s="40"/>
      <c r="F188" s="40">
        <v>3</v>
      </c>
      <c r="G188" s="40">
        <v>3</v>
      </c>
      <c r="H188" s="40">
        <v>1</v>
      </c>
      <c r="I188" s="40"/>
      <c r="J188" s="40" t="s">
        <v>1008</v>
      </c>
      <c r="K188" s="40">
        <v>4</v>
      </c>
      <c r="L188" s="76">
        <v>200979</v>
      </c>
      <c r="M188" s="76" t="str">
        <f>IFERROR(INDEX([1]物品基础表!$A:$A,MATCH(L188,[1]物品基础表!$B:$B,0)),"")</f>
        <v>新春大红包</v>
      </c>
      <c r="N188" s="76">
        <v>2</v>
      </c>
      <c r="O188" s="76">
        <v>200301</v>
      </c>
      <c r="P188" s="76" t="str">
        <f>IFERROR(INDEX([1]物品基础表!$A:$A,MATCH(O188,[1]物品基础表!$B:$B,0)),"")</f>
        <v>传世宝钻</v>
      </c>
      <c r="Q188" s="76">
        <v>10</v>
      </c>
      <c r="S188" s="76" t="str">
        <f>IFERROR(INDEX([1]物品基础表!$A:$A,MATCH(R188,[1]物品基础表!$B:$B,0)),"")</f>
        <v/>
      </c>
    </row>
    <row r="189" spans="1:20">
      <c r="A189" s="39" t="str">
        <f>INDEX([2]活动总表!$A$8:$A$429,MATCH(B189,[2]活动总表!$B$8:$B$429,0))</f>
        <v>春节八天乐</v>
      </c>
      <c r="B189" s="40">
        <v>563</v>
      </c>
      <c r="C189" s="40">
        <v>77</v>
      </c>
      <c r="D189" s="40">
        <v>105</v>
      </c>
      <c r="E189" s="40"/>
      <c r="F189" s="40">
        <v>6</v>
      </c>
      <c r="G189" s="40">
        <v>6</v>
      </c>
      <c r="H189" s="40">
        <v>1</v>
      </c>
      <c r="I189" s="40"/>
      <c r="J189" s="40" t="s">
        <v>1009</v>
      </c>
      <c r="K189" s="40">
        <v>4</v>
      </c>
      <c r="L189" s="76">
        <v>200979</v>
      </c>
      <c r="M189" s="76" t="str">
        <f>IFERROR(INDEX([1]物品基础表!$A:$A,MATCH(L189,[1]物品基础表!$B:$B,0)),"")</f>
        <v>新春大红包</v>
      </c>
      <c r="N189" s="76">
        <v>2</v>
      </c>
      <c r="O189" s="76">
        <v>200301</v>
      </c>
      <c r="P189" s="76" t="str">
        <f>IFERROR(INDEX([1]物品基础表!$A:$A,MATCH(O189,[1]物品基础表!$B:$B,0)),"")</f>
        <v>传世宝钻</v>
      </c>
      <c r="Q189" s="76">
        <v>15</v>
      </c>
      <c r="S189" s="76" t="str">
        <f>IFERROR(INDEX([1]物品基础表!$A:$A,MATCH(R189,[1]物品基础表!$B:$B,0)),"")</f>
        <v/>
      </c>
    </row>
    <row r="190" spans="1:20">
      <c r="A190" s="39" t="str">
        <f>INDEX([2]活动总表!$A$8:$A$429,MATCH(B190,[2]活动总表!$B$8:$B$429,0))</f>
        <v>春节八天乐</v>
      </c>
      <c r="B190" s="40">
        <v>563</v>
      </c>
      <c r="C190" s="40">
        <v>78</v>
      </c>
      <c r="D190" s="40">
        <v>105</v>
      </c>
      <c r="E190" s="40"/>
      <c r="F190" s="40">
        <v>12</v>
      </c>
      <c r="G190" s="40">
        <v>12</v>
      </c>
      <c r="H190" s="40">
        <v>1</v>
      </c>
      <c r="I190" s="40"/>
      <c r="J190" s="40" t="s">
        <v>1010</v>
      </c>
      <c r="K190" s="40">
        <v>4</v>
      </c>
      <c r="L190" s="76">
        <v>200979</v>
      </c>
      <c r="M190" s="76" t="str">
        <f>IFERROR(INDEX([1]物品基础表!$A:$A,MATCH(L190,[1]物品基础表!$B:$B,0)),"")</f>
        <v>新春大红包</v>
      </c>
      <c r="N190" s="76">
        <v>3</v>
      </c>
      <c r="O190" s="76">
        <v>200301</v>
      </c>
      <c r="P190" s="76" t="str">
        <f>IFERROR(INDEX([1]物品基础表!$A:$A,MATCH(O190,[1]物品基础表!$B:$B,0)),"")</f>
        <v>传世宝钻</v>
      </c>
      <c r="Q190" s="76">
        <v>20</v>
      </c>
      <c r="S190" s="76" t="str">
        <f>IFERROR(INDEX([1]物品基础表!$A:$A,MATCH(R190,[1]物品基础表!$B:$B,0)),"")</f>
        <v/>
      </c>
    </row>
    <row r="191" spans="1:20">
      <c r="A191" s="39" t="str">
        <f>INDEX([2]活动总表!$A$8:$A$429,MATCH(B191,[2]活动总表!$B$8:$B$429,0))</f>
        <v>春节八天乐</v>
      </c>
      <c r="B191" s="40">
        <v>563</v>
      </c>
      <c r="C191" s="40">
        <v>79</v>
      </c>
      <c r="D191" s="40">
        <v>105</v>
      </c>
      <c r="E191" s="40"/>
      <c r="F191" s="40">
        <v>18</v>
      </c>
      <c r="G191" s="40">
        <v>18</v>
      </c>
      <c r="H191" s="40">
        <v>1</v>
      </c>
      <c r="I191" s="40"/>
      <c r="J191" s="40" t="s">
        <v>1011</v>
      </c>
      <c r="K191" s="40">
        <v>4</v>
      </c>
      <c r="L191" s="76">
        <v>200979</v>
      </c>
      <c r="M191" s="76" t="str">
        <f>IFERROR(INDEX([1]物品基础表!$A:$A,MATCH(L191,[1]物品基础表!$B:$B,0)),"")</f>
        <v>新春大红包</v>
      </c>
      <c r="N191" s="76">
        <v>3</v>
      </c>
      <c r="O191" s="76">
        <v>200301</v>
      </c>
      <c r="P191" s="76" t="str">
        <f>IFERROR(INDEX([1]物品基础表!$A:$A,MATCH(O191,[1]物品基础表!$B:$B,0)),"")</f>
        <v>传世宝钻</v>
      </c>
      <c r="Q191" s="76">
        <v>20</v>
      </c>
      <c r="S191" s="76" t="str">
        <f>IFERROR(INDEX([1]物品基础表!$A:$A,MATCH(R191,[1]物品基础表!$B:$B,0)),"")</f>
        <v/>
      </c>
    </row>
    <row r="192" spans="1:20">
      <c r="A192" s="39" t="str">
        <f>INDEX([2]活动总表!$A$8:$A$429,MATCH(B192,[2]活动总表!$B$8:$B$429,0))</f>
        <v>春节八天乐</v>
      </c>
      <c r="B192" s="40">
        <v>563</v>
      </c>
      <c r="C192" s="40">
        <v>80</v>
      </c>
      <c r="D192" s="40">
        <v>105</v>
      </c>
      <c r="E192" s="40"/>
      <c r="F192" s="40">
        <v>24</v>
      </c>
      <c r="G192" s="40">
        <v>24</v>
      </c>
      <c r="H192" s="40">
        <v>1</v>
      </c>
      <c r="I192" s="40"/>
      <c r="J192" s="40" t="s">
        <v>1012</v>
      </c>
      <c r="K192" s="40">
        <v>4</v>
      </c>
      <c r="L192" s="76">
        <v>200979</v>
      </c>
      <c r="M192" s="76" t="str">
        <f>IFERROR(INDEX([1]物品基础表!$A:$A,MATCH(L192,[1]物品基础表!$B:$B,0)),"")</f>
        <v>新春大红包</v>
      </c>
      <c r="N192" s="76">
        <v>3</v>
      </c>
      <c r="O192" s="76">
        <v>200301</v>
      </c>
      <c r="P192" s="76" t="str">
        <f>IFERROR(INDEX([1]物品基础表!$A:$A,MATCH(O192,[1]物品基础表!$B:$B,0)),"")</f>
        <v>传世宝钻</v>
      </c>
      <c r="Q192" s="76">
        <v>20</v>
      </c>
      <c r="S192" s="76" t="str">
        <f>IFERROR(INDEX([1]物品基础表!$A:$A,MATCH(R192,[1]物品基础表!$B:$B,0)),"")</f>
        <v/>
      </c>
    </row>
    <row r="193" spans="1:19">
      <c r="A193" s="39" t="str">
        <f>INDEX([2]活动总表!$A$8:$A$429,MATCH(B193,[2]活动总表!$B$8:$B$429,0))</f>
        <v>春节八天乐</v>
      </c>
      <c r="B193" s="40">
        <v>563</v>
      </c>
      <c r="C193" s="40">
        <v>81</v>
      </c>
      <c r="D193" s="40">
        <v>11</v>
      </c>
      <c r="E193" s="40">
        <v>15</v>
      </c>
      <c r="F193" s="40">
        <v>1</v>
      </c>
      <c r="G193" s="40">
        <v>1</v>
      </c>
      <c r="H193" s="40">
        <v>1</v>
      </c>
      <c r="I193" s="40"/>
      <c r="J193" s="40" t="s">
        <v>1013</v>
      </c>
      <c r="K193" s="40">
        <v>5</v>
      </c>
      <c r="L193" s="76">
        <v>200978</v>
      </c>
      <c r="M193" s="76" t="str">
        <f>IFERROR(INDEX([1]物品基础表!$A:$A,MATCH(L193,[1]物品基础表!$B:$B,0)),"")</f>
        <v>新春小红包</v>
      </c>
      <c r="N193" s="76">
        <v>1</v>
      </c>
      <c r="O193" s="76">
        <v>200007</v>
      </c>
      <c r="P193" s="76" t="str">
        <f>IFERROR(INDEX([1]物品基础表!$A:$A,MATCH(O193,[1]物品基础表!$B:$B,0)),"")</f>
        <v>神装碎片</v>
      </c>
      <c r="Q193" s="76">
        <v>20</v>
      </c>
      <c r="S193" s="76" t="str">
        <f>IFERROR(INDEX([1]物品基础表!$A:$A,MATCH(R193,[1]物品基础表!$B:$B,0)),"")</f>
        <v/>
      </c>
    </row>
    <row r="194" spans="1:19">
      <c r="A194" s="39" t="str">
        <f>INDEX([2]活动总表!$A$8:$A$429,MATCH(B194,[2]活动总表!$B$8:$B$429,0))</f>
        <v>春节八天乐</v>
      </c>
      <c r="B194" s="40">
        <v>563</v>
      </c>
      <c r="C194" s="40">
        <v>82</v>
      </c>
      <c r="D194" s="40">
        <v>11</v>
      </c>
      <c r="E194" s="40">
        <v>15</v>
      </c>
      <c r="F194" s="40">
        <v>3</v>
      </c>
      <c r="G194" s="40">
        <v>3</v>
      </c>
      <c r="H194" s="40">
        <v>1</v>
      </c>
      <c r="I194" s="40"/>
      <c r="J194" s="40" t="s">
        <v>1014</v>
      </c>
      <c r="K194" s="40">
        <v>5</v>
      </c>
      <c r="L194" s="76">
        <v>200978</v>
      </c>
      <c r="M194" s="76" t="str">
        <f>IFERROR(INDEX([1]物品基础表!$A:$A,MATCH(L194,[1]物品基础表!$B:$B,0)),"")</f>
        <v>新春小红包</v>
      </c>
      <c r="N194" s="76">
        <v>1</v>
      </c>
      <c r="O194" s="76">
        <v>200007</v>
      </c>
      <c r="P194" s="76" t="str">
        <f>IFERROR(INDEX([1]物品基础表!$A:$A,MATCH(O194,[1]物品基础表!$B:$B,0)),"")</f>
        <v>神装碎片</v>
      </c>
      <c r="Q194" s="76">
        <v>40</v>
      </c>
      <c r="S194" s="76" t="str">
        <f>IFERROR(INDEX([1]物品基础表!$A:$A,MATCH(R194,[1]物品基础表!$B:$B,0)),"")</f>
        <v/>
      </c>
    </row>
    <row r="195" spans="1:19">
      <c r="A195" s="39" t="str">
        <f>INDEX([2]活动总表!$A$8:$A$429,MATCH(B195,[2]活动总表!$B$8:$B$429,0))</f>
        <v>春节八天乐</v>
      </c>
      <c r="B195" s="40">
        <v>563</v>
      </c>
      <c r="C195" s="40">
        <v>83</v>
      </c>
      <c r="D195" s="40">
        <v>11</v>
      </c>
      <c r="E195" s="40">
        <v>15</v>
      </c>
      <c r="F195" s="40">
        <v>5</v>
      </c>
      <c r="G195" s="40">
        <v>5</v>
      </c>
      <c r="H195" s="40">
        <v>1</v>
      </c>
      <c r="I195" s="40"/>
      <c r="J195" s="40" t="s">
        <v>1015</v>
      </c>
      <c r="K195" s="40">
        <v>5</v>
      </c>
      <c r="L195" s="76">
        <v>200978</v>
      </c>
      <c r="M195" s="76" t="str">
        <f>IFERROR(INDEX([1]物品基础表!$A:$A,MATCH(L195,[1]物品基础表!$B:$B,0)),"")</f>
        <v>新春小红包</v>
      </c>
      <c r="N195" s="76">
        <v>1</v>
      </c>
      <c r="O195" s="76">
        <v>200007</v>
      </c>
      <c r="P195" s="76" t="str">
        <f>IFERROR(INDEX([1]物品基础表!$A:$A,MATCH(O195,[1]物品基础表!$B:$B,0)),"")</f>
        <v>神装碎片</v>
      </c>
      <c r="Q195" s="76">
        <v>60</v>
      </c>
      <c r="S195" s="76" t="str">
        <f>IFERROR(INDEX([1]物品基础表!$A:$A,MATCH(R195,[1]物品基础表!$B:$B,0)),"")</f>
        <v/>
      </c>
    </row>
    <row r="196" spans="1:19">
      <c r="A196" s="39" t="str">
        <f>INDEX([2]活动总表!$A$8:$A$429,MATCH(B196,[2]活动总表!$B$8:$B$429,0))</f>
        <v>春节八天乐</v>
      </c>
      <c r="B196" s="40">
        <v>563</v>
      </c>
      <c r="C196" s="40">
        <v>84</v>
      </c>
      <c r="D196" s="40">
        <v>11</v>
      </c>
      <c r="E196" s="40">
        <v>15</v>
      </c>
      <c r="F196" s="40">
        <v>6</v>
      </c>
      <c r="G196" s="40">
        <v>6</v>
      </c>
      <c r="H196" s="40">
        <v>1</v>
      </c>
      <c r="I196" s="40"/>
      <c r="J196" s="40" t="s">
        <v>1016</v>
      </c>
      <c r="K196" s="40">
        <v>5</v>
      </c>
      <c r="L196" s="76">
        <v>200978</v>
      </c>
      <c r="M196" s="76" t="str">
        <f>IFERROR(INDEX([1]物品基础表!$A:$A,MATCH(L196,[1]物品基础表!$B:$B,0)),"")</f>
        <v>新春小红包</v>
      </c>
      <c r="N196" s="76">
        <v>1</v>
      </c>
      <c r="O196" s="76">
        <v>200007</v>
      </c>
      <c r="P196" s="76" t="str">
        <f>IFERROR(INDEX([1]物品基础表!$A:$A,MATCH(O196,[1]物品基础表!$B:$B,0)),"")</f>
        <v>神装碎片</v>
      </c>
      <c r="Q196" s="76">
        <v>80</v>
      </c>
      <c r="S196" s="76" t="str">
        <f>IFERROR(INDEX([1]物品基础表!$A:$A,MATCH(R196,[1]物品基础表!$B:$B,0)),"")</f>
        <v/>
      </c>
    </row>
    <row r="197" spans="1:19">
      <c r="A197" s="39" t="str">
        <f>INDEX([2]活动总表!$A$8:$A$429,MATCH(B197,[2]活动总表!$B$8:$B$429,0))</f>
        <v>春节八天乐</v>
      </c>
      <c r="B197" s="40">
        <v>563</v>
      </c>
      <c r="C197" s="40">
        <v>85</v>
      </c>
      <c r="D197" s="40">
        <v>11</v>
      </c>
      <c r="E197" s="40">
        <v>15</v>
      </c>
      <c r="F197" s="40">
        <v>9</v>
      </c>
      <c r="G197" s="40">
        <v>9</v>
      </c>
      <c r="H197" s="40">
        <v>1</v>
      </c>
      <c r="I197" s="40"/>
      <c r="J197" s="40" t="s">
        <v>1017</v>
      </c>
      <c r="K197" s="40">
        <v>5</v>
      </c>
      <c r="L197" s="76">
        <v>200978</v>
      </c>
      <c r="M197" s="76" t="str">
        <f>IFERROR(INDEX([1]物品基础表!$A:$A,MATCH(L197,[1]物品基础表!$B:$B,0)),"")</f>
        <v>新春小红包</v>
      </c>
      <c r="N197" s="76">
        <v>1</v>
      </c>
      <c r="O197" s="76">
        <v>200007</v>
      </c>
      <c r="P197" s="76" t="str">
        <f>IFERROR(INDEX([1]物品基础表!$A:$A,MATCH(O197,[1]物品基础表!$B:$B,0)),"")</f>
        <v>神装碎片</v>
      </c>
      <c r="Q197" s="76">
        <v>100</v>
      </c>
      <c r="S197" s="76" t="str">
        <f>IFERROR(INDEX([1]物品基础表!$A:$A,MATCH(R197,[1]物品基础表!$B:$B,0)),"")</f>
        <v/>
      </c>
    </row>
    <row r="198" spans="1:19">
      <c r="A198" s="39" t="str">
        <f>INDEX([2]活动总表!$A$8:$A$429,MATCH(B198,[2]活动总表!$B$8:$B$429,0))</f>
        <v>春节八天乐</v>
      </c>
      <c r="B198" s="40">
        <v>563</v>
      </c>
      <c r="C198" s="40">
        <v>86</v>
      </c>
      <c r="D198" s="40">
        <v>11</v>
      </c>
      <c r="E198" s="40">
        <v>15</v>
      </c>
      <c r="F198" s="40">
        <v>12</v>
      </c>
      <c r="G198" s="40">
        <v>12</v>
      </c>
      <c r="H198" s="40">
        <v>1</v>
      </c>
      <c r="I198" s="40"/>
      <c r="J198" s="40" t="s">
        <v>1018</v>
      </c>
      <c r="K198" s="40">
        <v>5</v>
      </c>
      <c r="L198" s="76">
        <v>200978</v>
      </c>
      <c r="M198" s="76" t="str">
        <f>IFERROR(INDEX([1]物品基础表!$A:$A,MATCH(L198,[1]物品基础表!$B:$B,0)),"")</f>
        <v>新春小红包</v>
      </c>
      <c r="N198" s="76">
        <v>1</v>
      </c>
      <c r="O198" s="76">
        <v>200007</v>
      </c>
      <c r="P198" s="76" t="str">
        <f>IFERROR(INDEX([1]物品基础表!$A:$A,MATCH(O198,[1]物品基础表!$B:$B,0)),"")</f>
        <v>神装碎片</v>
      </c>
      <c r="Q198" s="76">
        <v>150</v>
      </c>
      <c r="S198" s="76" t="str">
        <f>IFERROR(INDEX([1]物品基础表!$A:$A,MATCH(R198,[1]物品基础表!$B:$B,0)),"")</f>
        <v/>
      </c>
    </row>
    <row r="199" spans="1:19">
      <c r="A199" s="39" t="str">
        <f>INDEX([2]活动总表!$A$8:$A$429,MATCH(B199,[2]活动总表!$B$8:$B$429,0))</f>
        <v>春节八天乐</v>
      </c>
      <c r="B199" s="40">
        <v>563</v>
      </c>
      <c r="C199" s="40">
        <v>87</v>
      </c>
      <c r="D199" s="40">
        <v>5</v>
      </c>
      <c r="E199" s="40"/>
      <c r="F199" s="40">
        <v>5</v>
      </c>
      <c r="G199" s="40">
        <v>5</v>
      </c>
      <c r="H199" s="40">
        <v>1</v>
      </c>
      <c r="I199" s="40"/>
      <c r="J199" s="40" t="s">
        <v>1019</v>
      </c>
      <c r="K199" s="40">
        <v>5</v>
      </c>
      <c r="L199" s="76">
        <v>200978</v>
      </c>
      <c r="M199" s="76" t="str">
        <f>IFERROR(INDEX([1]物品基础表!$A:$A,MATCH(L199,[1]物品基础表!$B:$B,0)),"")</f>
        <v>新春小红包</v>
      </c>
      <c r="N199" s="76">
        <v>1</v>
      </c>
      <c r="O199" s="76">
        <v>4</v>
      </c>
      <c r="P199" s="76" t="str">
        <f t="shared" ref="P199:P205" si="15">IF(O199=2,"元宝",IF(O199=1,"金币","精炼石"))</f>
        <v>精炼石</v>
      </c>
      <c r="Q199" s="76">
        <v>200</v>
      </c>
      <c r="S199" s="76" t="str">
        <f>IFERROR(INDEX([1]物品基础表!$A:$A,MATCH(R199,[1]物品基础表!$B:$B,0)),"")</f>
        <v/>
      </c>
    </row>
    <row r="200" spans="1:19">
      <c r="A200" s="39" t="str">
        <f>INDEX([2]活动总表!$A$8:$A$429,MATCH(B200,[2]活动总表!$B$8:$B$429,0))</f>
        <v>春节八天乐</v>
      </c>
      <c r="B200" s="40">
        <v>563</v>
      </c>
      <c r="C200" s="40">
        <v>88</v>
      </c>
      <c r="D200" s="40">
        <v>5</v>
      </c>
      <c r="E200" s="40"/>
      <c r="F200" s="40">
        <v>10</v>
      </c>
      <c r="G200" s="40">
        <v>10</v>
      </c>
      <c r="H200" s="40">
        <v>1</v>
      </c>
      <c r="I200" s="40"/>
      <c r="J200" s="40" t="s">
        <v>1020</v>
      </c>
      <c r="K200" s="40">
        <v>5</v>
      </c>
      <c r="L200" s="76">
        <v>200978</v>
      </c>
      <c r="M200" s="76" t="str">
        <f>IFERROR(INDEX([1]物品基础表!$A:$A,MATCH(L200,[1]物品基础表!$B:$B,0)),"")</f>
        <v>新春小红包</v>
      </c>
      <c r="N200" s="76">
        <v>1</v>
      </c>
      <c r="O200" s="76">
        <v>4</v>
      </c>
      <c r="P200" s="76" t="str">
        <f t="shared" si="15"/>
        <v>精炼石</v>
      </c>
      <c r="Q200" s="76">
        <v>400</v>
      </c>
      <c r="S200" s="76" t="str">
        <f>IFERROR(INDEX([1]物品基础表!$A:$A,MATCH(R200,[1]物品基础表!$B:$B,0)),"")</f>
        <v/>
      </c>
    </row>
    <row r="201" spans="1:19">
      <c r="A201" s="39" t="str">
        <f>INDEX([2]活动总表!$A$8:$A$429,MATCH(B201,[2]活动总表!$B$8:$B$429,0))</f>
        <v>春节八天乐</v>
      </c>
      <c r="B201" s="40">
        <v>563</v>
      </c>
      <c r="C201" s="40">
        <v>89</v>
      </c>
      <c r="D201" s="40">
        <v>5</v>
      </c>
      <c r="E201" s="40"/>
      <c r="F201" s="40">
        <v>15</v>
      </c>
      <c r="G201" s="40">
        <v>15</v>
      </c>
      <c r="H201" s="40">
        <v>1</v>
      </c>
      <c r="I201" s="40"/>
      <c r="J201" s="40" t="s">
        <v>1021</v>
      </c>
      <c r="K201" s="40">
        <v>5</v>
      </c>
      <c r="L201" s="76">
        <v>200978</v>
      </c>
      <c r="M201" s="76" t="str">
        <f>IFERROR(INDEX([1]物品基础表!$A:$A,MATCH(L201,[1]物品基础表!$B:$B,0)),"")</f>
        <v>新春小红包</v>
      </c>
      <c r="N201" s="76">
        <v>1</v>
      </c>
      <c r="O201" s="76">
        <v>4</v>
      </c>
      <c r="P201" s="76" t="str">
        <f t="shared" si="15"/>
        <v>精炼石</v>
      </c>
      <c r="Q201" s="76">
        <v>600</v>
      </c>
      <c r="S201" s="76" t="str">
        <f>IFERROR(INDEX([1]物品基础表!$A:$A,MATCH(R201,[1]物品基础表!$B:$B,0)),"")</f>
        <v/>
      </c>
    </row>
    <row r="202" spans="1:19">
      <c r="A202" s="39" t="str">
        <f>INDEX([2]活动总表!$A$8:$A$429,MATCH(B202,[2]活动总表!$B$8:$B$429,0))</f>
        <v>春节八天乐</v>
      </c>
      <c r="B202" s="40">
        <v>563</v>
      </c>
      <c r="C202" s="40">
        <v>90</v>
      </c>
      <c r="D202" s="40">
        <v>5</v>
      </c>
      <c r="E202" s="40"/>
      <c r="F202" s="40">
        <v>20</v>
      </c>
      <c r="G202" s="40">
        <v>20</v>
      </c>
      <c r="H202" s="40">
        <v>1</v>
      </c>
      <c r="I202" s="40"/>
      <c r="J202" s="40" t="s">
        <v>1022</v>
      </c>
      <c r="K202" s="40">
        <v>5</v>
      </c>
      <c r="L202" s="76">
        <v>200978</v>
      </c>
      <c r="M202" s="76" t="str">
        <f>IFERROR(INDEX([1]物品基础表!$A:$A,MATCH(L202,[1]物品基础表!$B:$B,0)),"")</f>
        <v>新春小红包</v>
      </c>
      <c r="N202" s="76">
        <v>1</v>
      </c>
      <c r="O202" s="76">
        <v>4</v>
      </c>
      <c r="P202" s="76" t="str">
        <f t="shared" si="15"/>
        <v>精炼石</v>
      </c>
      <c r="Q202" s="76">
        <v>800</v>
      </c>
      <c r="S202" s="76" t="str">
        <f>IFERROR(INDEX([1]物品基础表!$A:$A,MATCH(R202,[1]物品基础表!$B:$B,0)),"")</f>
        <v/>
      </c>
    </row>
    <row r="203" spans="1:19">
      <c r="A203" s="39" t="str">
        <f>INDEX([2]活动总表!$A$8:$A$429,MATCH(B203,[2]活动总表!$B$8:$B$429,0))</f>
        <v>春节八天乐</v>
      </c>
      <c r="B203" s="40">
        <v>563</v>
      </c>
      <c r="C203" s="40">
        <v>91</v>
      </c>
      <c r="D203" s="40">
        <v>5</v>
      </c>
      <c r="E203" s="40"/>
      <c r="F203" s="40">
        <v>25</v>
      </c>
      <c r="G203" s="40">
        <v>25</v>
      </c>
      <c r="H203" s="40">
        <v>1</v>
      </c>
      <c r="I203" s="40"/>
      <c r="J203" s="40" t="s">
        <v>1023</v>
      </c>
      <c r="K203" s="40">
        <v>5</v>
      </c>
      <c r="L203" s="76">
        <v>200978</v>
      </c>
      <c r="M203" s="76" t="str">
        <f>IFERROR(INDEX([1]物品基础表!$A:$A,MATCH(L203,[1]物品基础表!$B:$B,0)),"")</f>
        <v>新春小红包</v>
      </c>
      <c r="N203" s="76">
        <v>1</v>
      </c>
      <c r="O203" s="76">
        <v>4</v>
      </c>
      <c r="P203" s="76" t="str">
        <f t="shared" si="15"/>
        <v>精炼石</v>
      </c>
      <c r="Q203" s="76">
        <v>1000</v>
      </c>
      <c r="S203" s="76" t="str">
        <f>IFERROR(INDEX([1]物品基础表!$A:$A,MATCH(R203,[1]物品基础表!$B:$B,0)),"")</f>
        <v/>
      </c>
    </row>
    <row r="204" spans="1:19">
      <c r="A204" s="39" t="str">
        <f>INDEX([2]活动总表!$A$8:$A$429,MATCH(B204,[2]活动总表!$B$8:$B$429,0))</f>
        <v>春节八天乐</v>
      </c>
      <c r="B204" s="40">
        <v>563</v>
      </c>
      <c r="C204" s="40">
        <v>92</v>
      </c>
      <c r="D204" s="40">
        <v>5</v>
      </c>
      <c r="E204" s="40"/>
      <c r="F204" s="40">
        <v>30</v>
      </c>
      <c r="G204" s="40">
        <v>30</v>
      </c>
      <c r="H204" s="40">
        <v>1</v>
      </c>
      <c r="I204" s="40"/>
      <c r="J204" s="40" t="s">
        <v>1024</v>
      </c>
      <c r="K204" s="40">
        <v>5</v>
      </c>
      <c r="L204" s="76">
        <v>200978</v>
      </c>
      <c r="M204" s="76" t="str">
        <f>IFERROR(INDEX([1]物品基础表!$A:$A,MATCH(L204,[1]物品基础表!$B:$B,0)),"")</f>
        <v>新春小红包</v>
      </c>
      <c r="N204" s="76">
        <v>1</v>
      </c>
      <c r="O204" s="76">
        <v>4</v>
      </c>
      <c r="P204" s="76" t="str">
        <f t="shared" si="15"/>
        <v>精炼石</v>
      </c>
      <c r="Q204" s="76">
        <v>1200</v>
      </c>
      <c r="S204" s="76" t="str">
        <f>IFERROR(INDEX([1]物品基础表!$A:$A,MATCH(R204,[1]物品基础表!$B:$B,0)),"")</f>
        <v/>
      </c>
    </row>
    <row r="205" spans="1:19">
      <c r="A205" s="39" t="str">
        <f>INDEX([2]活动总表!$A$8:$A$429,MATCH(B205,[2]活动总表!$B$8:$B$429,0))</f>
        <v>春节八天乐</v>
      </c>
      <c r="B205" s="40">
        <v>563</v>
      </c>
      <c r="C205" s="40">
        <v>93</v>
      </c>
      <c r="D205" s="40">
        <v>5</v>
      </c>
      <c r="E205" s="40"/>
      <c r="F205" s="40">
        <v>35</v>
      </c>
      <c r="G205" s="40">
        <v>35</v>
      </c>
      <c r="H205" s="40">
        <v>1</v>
      </c>
      <c r="I205" s="40"/>
      <c r="J205" s="40" t="s">
        <v>1025</v>
      </c>
      <c r="K205" s="40">
        <v>5</v>
      </c>
      <c r="L205" s="76">
        <v>200978</v>
      </c>
      <c r="M205" s="76" t="str">
        <f>IFERROR(INDEX([1]物品基础表!$A:$A,MATCH(L205,[1]物品基础表!$B:$B,0)),"")</f>
        <v>新春小红包</v>
      </c>
      <c r="N205" s="76">
        <v>1</v>
      </c>
      <c r="O205" s="76">
        <v>4</v>
      </c>
      <c r="P205" s="76" t="str">
        <f t="shared" si="15"/>
        <v>精炼石</v>
      </c>
      <c r="Q205" s="76">
        <v>1500</v>
      </c>
      <c r="S205" s="76" t="str">
        <f>IFERROR(INDEX([1]物品基础表!$A:$A,MATCH(R205,[1]物品基础表!$B:$B,0)),"")</f>
        <v/>
      </c>
    </row>
    <row r="206" spans="1:19">
      <c r="A206" s="39" t="str">
        <f>INDEX([2]活动总表!$A$8:$A$429,MATCH(B206,[2]活动总表!$B$8:$B$429,0))</f>
        <v>春节八天乐</v>
      </c>
      <c r="B206" s="40">
        <v>563</v>
      </c>
      <c r="C206" s="40">
        <v>94</v>
      </c>
      <c r="D206" s="40">
        <v>91</v>
      </c>
      <c r="E206" s="40"/>
      <c r="F206" s="40">
        <v>5</v>
      </c>
      <c r="G206" s="40">
        <v>5</v>
      </c>
      <c r="H206" s="40">
        <v>1</v>
      </c>
      <c r="I206" s="40"/>
      <c r="J206" s="40" t="s">
        <v>1026</v>
      </c>
      <c r="K206" s="40">
        <v>5</v>
      </c>
      <c r="L206" s="76">
        <v>200979</v>
      </c>
      <c r="M206" s="76" t="str">
        <f>IFERROR(INDEX([1]物品基础表!$A:$A,MATCH(L206,[1]物品基础表!$B:$B,0)),"")</f>
        <v>新春大红包</v>
      </c>
      <c r="N206" s="76">
        <v>2</v>
      </c>
      <c r="O206" s="76">
        <v>201002</v>
      </c>
      <c r="P206" s="76" t="str">
        <f>IFERROR(INDEX([1]物品基础表!$A:$A,MATCH(O206,[1]物品基础表!$B:$B,0)),"")</f>
        <v>神秘钥匙</v>
      </c>
      <c r="Q206" s="76">
        <v>1</v>
      </c>
      <c r="S206" s="76" t="str">
        <f>IFERROR(INDEX([1]物品基础表!$A:$A,MATCH(R206,[1]物品基础表!$B:$B,0)),"")</f>
        <v/>
      </c>
    </row>
    <row r="207" spans="1:19">
      <c r="A207" s="39" t="str">
        <f>INDEX([2]活动总表!$A$8:$A$429,MATCH(B207,[2]活动总表!$B$8:$B$429,0))</f>
        <v>春节八天乐</v>
      </c>
      <c r="B207" s="40">
        <v>563</v>
      </c>
      <c r="C207" s="40">
        <v>95</v>
      </c>
      <c r="D207" s="40">
        <v>91</v>
      </c>
      <c r="E207" s="40"/>
      <c r="F207" s="40">
        <v>10</v>
      </c>
      <c r="G207" s="40">
        <v>10</v>
      </c>
      <c r="H207" s="40">
        <v>1</v>
      </c>
      <c r="I207" s="40"/>
      <c r="J207" s="40" t="s">
        <v>1027</v>
      </c>
      <c r="K207" s="40">
        <v>5</v>
      </c>
      <c r="L207" s="76">
        <v>200979</v>
      </c>
      <c r="M207" s="76" t="str">
        <f>IFERROR(INDEX([1]物品基础表!$A:$A,MATCH(L207,[1]物品基础表!$B:$B,0)),"")</f>
        <v>新春大红包</v>
      </c>
      <c r="N207" s="76">
        <v>2</v>
      </c>
      <c r="O207" s="76">
        <v>201002</v>
      </c>
      <c r="P207" s="76" t="str">
        <f>IFERROR(INDEX([1]物品基础表!$A:$A,MATCH(O207,[1]物品基础表!$B:$B,0)),"")</f>
        <v>神秘钥匙</v>
      </c>
      <c r="Q207" s="76">
        <v>1</v>
      </c>
      <c r="S207" s="76" t="str">
        <f>IFERROR(INDEX([1]物品基础表!$A:$A,MATCH(R207,[1]物品基础表!$B:$B,0)),"")</f>
        <v/>
      </c>
    </row>
    <row r="208" spans="1:19">
      <c r="A208" s="39" t="str">
        <f>INDEX([2]活动总表!$A$8:$A$429,MATCH(B208,[2]活动总表!$B$8:$B$429,0))</f>
        <v>春节八天乐</v>
      </c>
      <c r="B208" s="40">
        <v>563</v>
      </c>
      <c r="C208" s="40">
        <v>96</v>
      </c>
      <c r="D208" s="40">
        <v>91</v>
      </c>
      <c r="E208" s="40"/>
      <c r="F208" s="40">
        <v>15</v>
      </c>
      <c r="G208" s="40">
        <v>15</v>
      </c>
      <c r="H208" s="40">
        <v>1</v>
      </c>
      <c r="I208" s="40"/>
      <c r="J208" s="40" t="s">
        <v>1028</v>
      </c>
      <c r="K208" s="40">
        <v>5</v>
      </c>
      <c r="L208" s="76">
        <v>200979</v>
      </c>
      <c r="M208" s="76" t="str">
        <f>IFERROR(INDEX([1]物品基础表!$A:$A,MATCH(L208,[1]物品基础表!$B:$B,0)),"")</f>
        <v>新春大红包</v>
      </c>
      <c r="N208" s="76">
        <v>2</v>
      </c>
      <c r="O208" s="76">
        <v>201002</v>
      </c>
      <c r="P208" s="76" t="str">
        <f>IFERROR(INDEX([1]物品基础表!$A:$A,MATCH(O208,[1]物品基础表!$B:$B,0)),"")</f>
        <v>神秘钥匙</v>
      </c>
      <c r="Q208" s="76">
        <v>2</v>
      </c>
      <c r="S208" s="76" t="str">
        <f>IFERROR(INDEX([1]物品基础表!$A:$A,MATCH(R208,[1]物品基础表!$B:$B,0)),"")</f>
        <v/>
      </c>
    </row>
    <row r="209" spans="1:20">
      <c r="A209" s="39" t="str">
        <f>INDEX([2]活动总表!$A$8:$A$429,MATCH(B209,[2]活动总表!$B$8:$B$429,0))</f>
        <v>春节八天乐</v>
      </c>
      <c r="B209" s="40">
        <v>563</v>
      </c>
      <c r="C209" s="40">
        <v>97</v>
      </c>
      <c r="D209" s="40">
        <v>91</v>
      </c>
      <c r="E209" s="40"/>
      <c r="F209" s="40">
        <v>30</v>
      </c>
      <c r="G209" s="40">
        <v>30</v>
      </c>
      <c r="H209" s="40">
        <v>1</v>
      </c>
      <c r="I209" s="40"/>
      <c r="J209" s="40" t="s">
        <v>1029</v>
      </c>
      <c r="K209" s="40">
        <v>5</v>
      </c>
      <c r="L209" s="76">
        <v>200979</v>
      </c>
      <c r="M209" s="76" t="str">
        <f>IFERROR(INDEX([1]物品基础表!$A:$A,MATCH(L209,[1]物品基础表!$B:$B,0)),"")</f>
        <v>新春大红包</v>
      </c>
      <c r="N209" s="76">
        <v>6</v>
      </c>
      <c r="O209" s="76">
        <v>201002</v>
      </c>
      <c r="P209" s="76" t="str">
        <f>IFERROR(INDEX([1]物品基础表!$A:$A,MATCH(O209,[1]物品基础表!$B:$B,0)),"")</f>
        <v>神秘钥匙</v>
      </c>
      <c r="Q209" s="76">
        <v>3</v>
      </c>
      <c r="S209" s="76" t="str">
        <f>IFERROR(INDEX([1]物品基础表!$A:$A,MATCH(R209,[1]物品基础表!$B:$B,0)),"")</f>
        <v/>
      </c>
    </row>
    <row r="210" spans="1:20">
      <c r="A210" s="39" t="str">
        <f>INDEX([2]活动总表!$A$8:$A$429,MATCH(B210,[2]活动总表!$B$8:$B$429,0))</f>
        <v>春节八天乐</v>
      </c>
      <c r="B210" s="40">
        <v>563</v>
      </c>
      <c r="C210" s="40">
        <v>98</v>
      </c>
      <c r="D210" s="40">
        <v>91</v>
      </c>
      <c r="E210" s="40"/>
      <c r="F210" s="40">
        <v>50</v>
      </c>
      <c r="G210" s="40">
        <v>50</v>
      </c>
      <c r="H210" s="40">
        <v>1</v>
      </c>
      <c r="I210" s="40"/>
      <c r="J210" s="40" t="s">
        <v>1030</v>
      </c>
      <c r="K210" s="40">
        <v>5</v>
      </c>
      <c r="L210" s="76">
        <v>200979</v>
      </c>
      <c r="M210" s="76" t="str">
        <f>IFERROR(INDEX([1]物品基础表!$A:$A,MATCH(L210,[1]物品基础表!$B:$B,0)),"")</f>
        <v>新春大红包</v>
      </c>
      <c r="N210" s="76">
        <v>6</v>
      </c>
      <c r="O210" s="76">
        <v>201002</v>
      </c>
      <c r="P210" s="76" t="str">
        <f>IFERROR(INDEX([1]物品基础表!$A:$A,MATCH(O210,[1]物品基础表!$B:$B,0)),"")</f>
        <v>神秘钥匙</v>
      </c>
      <c r="Q210" s="76">
        <v>4</v>
      </c>
      <c r="S210" s="76" t="str">
        <f>IFERROR(INDEX([1]物品基础表!$A:$A,MATCH(R210,[1]物品基础表!$B:$B,0)),"")</f>
        <v/>
      </c>
    </row>
    <row r="211" spans="1:20">
      <c r="A211" s="39" t="str">
        <f>INDEX([2]活动总表!$A$8:$A$429,MATCH(B211,[2]活动总表!$B$8:$B$429,0))</f>
        <v>春节八天乐</v>
      </c>
      <c r="B211" s="40">
        <v>563</v>
      </c>
      <c r="C211" s="40">
        <v>99</v>
      </c>
      <c r="D211" s="40">
        <v>91</v>
      </c>
      <c r="E211" s="40"/>
      <c r="F211" s="40">
        <v>70</v>
      </c>
      <c r="G211" s="40">
        <v>70</v>
      </c>
      <c r="H211" s="40">
        <v>1</v>
      </c>
      <c r="I211" s="40"/>
      <c r="J211" s="40" t="s">
        <v>1031</v>
      </c>
      <c r="K211" s="40">
        <v>5</v>
      </c>
      <c r="L211" s="76">
        <v>200979</v>
      </c>
      <c r="M211" s="76" t="str">
        <f>IFERROR(INDEX([1]物品基础表!$A:$A,MATCH(L211,[1]物品基础表!$B:$B,0)),"")</f>
        <v>新春大红包</v>
      </c>
      <c r="N211" s="76">
        <v>6</v>
      </c>
      <c r="O211" s="76">
        <v>201002</v>
      </c>
      <c r="P211" s="76" t="str">
        <f>IFERROR(INDEX([1]物品基础表!$A:$A,MATCH(O211,[1]物品基础表!$B:$B,0)),"")</f>
        <v>神秘钥匙</v>
      </c>
      <c r="Q211" s="76">
        <v>4</v>
      </c>
      <c r="S211" s="76" t="str">
        <f>IFERROR(INDEX([1]物品基础表!$A:$A,MATCH(R211,[1]物品基础表!$B:$B,0)),"")</f>
        <v/>
      </c>
    </row>
    <row r="212" spans="1:20">
      <c r="A212" s="39" t="str">
        <f>INDEX([2]活动总表!$A$8:$A$429,MATCH(B212,[2]活动总表!$B$8:$B$429,0))</f>
        <v>春节八天乐</v>
      </c>
      <c r="B212" s="40">
        <v>563</v>
      </c>
      <c r="C212" s="40">
        <v>100</v>
      </c>
      <c r="D212" s="40">
        <v>91</v>
      </c>
      <c r="E212" s="40"/>
      <c r="F212" s="40">
        <v>100</v>
      </c>
      <c r="G212" s="40">
        <v>100</v>
      </c>
      <c r="H212" s="40">
        <v>1</v>
      </c>
      <c r="I212" s="40"/>
      <c r="J212" s="40" t="s">
        <v>1032</v>
      </c>
      <c r="K212" s="40">
        <v>5</v>
      </c>
      <c r="L212" s="76">
        <v>200979</v>
      </c>
      <c r="M212" s="76" t="str">
        <f>IFERROR(INDEX([1]物品基础表!$A:$A,MATCH(L212,[1]物品基础表!$B:$B,0)),"")</f>
        <v>新春大红包</v>
      </c>
      <c r="N212" s="76">
        <v>9</v>
      </c>
      <c r="O212" s="76">
        <v>201002</v>
      </c>
      <c r="P212" s="76" t="str">
        <f>IFERROR(INDEX([1]物品基础表!$A:$A,MATCH(O212,[1]物品基础表!$B:$B,0)),"")</f>
        <v>神秘钥匙</v>
      </c>
      <c r="Q212" s="76">
        <v>5</v>
      </c>
      <c r="S212" s="76" t="str">
        <f>IFERROR(INDEX([1]物品基础表!$A:$A,MATCH(R212,[1]物品基础表!$B:$B,0)),"")</f>
        <v/>
      </c>
    </row>
    <row r="213" spans="1:20">
      <c r="A213" s="39" t="str">
        <f>INDEX([2]活动总表!$A$8:$A$429,MATCH(B213,[2]活动总表!$B$8:$B$429,0))</f>
        <v>春节八天乐</v>
      </c>
      <c r="B213" s="40">
        <v>568</v>
      </c>
      <c r="C213" s="40">
        <v>1</v>
      </c>
      <c r="D213" s="40">
        <v>100</v>
      </c>
      <c r="E213" s="40"/>
      <c r="F213" s="40">
        <v>1</v>
      </c>
      <c r="G213" s="40">
        <v>1</v>
      </c>
      <c r="H213" s="40">
        <v>1</v>
      </c>
      <c r="I213" s="40"/>
      <c r="J213" s="40" t="s">
        <v>933</v>
      </c>
      <c r="K213" s="40">
        <v>1</v>
      </c>
      <c r="L213" s="76">
        <v>200978</v>
      </c>
      <c r="M213" s="76" t="str">
        <f>IFERROR(INDEX([1]物品基础表!$A:$A,MATCH(L213,[1]物品基础表!$B:$B,0)),"")</f>
        <v>新春小红包</v>
      </c>
      <c r="N213" s="76">
        <v>1</v>
      </c>
      <c r="O213" s="76">
        <v>2</v>
      </c>
      <c r="P213" s="76" t="str">
        <f t="shared" ref="P213:P219" si="16">IF(O213=2,"元宝",IF(O213=1,"金币","精炼石"))</f>
        <v>元宝</v>
      </c>
      <c r="Q213" s="76">
        <v>100</v>
      </c>
      <c r="R213" s="76">
        <v>1</v>
      </c>
      <c r="S213" s="76" t="str">
        <f t="shared" ref="S213:S219" si="17">IF(R213=2,"元宝",IF(R213=1,"金币","精炼石"))</f>
        <v>金币</v>
      </c>
      <c r="T213" s="76">
        <v>200000</v>
      </c>
    </row>
    <row r="214" spans="1:20">
      <c r="A214" s="39" t="str">
        <f>INDEX([2]活动总表!$A$8:$A$429,MATCH(B214,[2]活动总表!$B$8:$B$429,0))</f>
        <v>春节八天乐</v>
      </c>
      <c r="B214" s="40">
        <v>568</v>
      </c>
      <c r="C214" s="40">
        <v>2</v>
      </c>
      <c r="D214" s="40">
        <v>100</v>
      </c>
      <c r="E214" s="40"/>
      <c r="F214" s="40">
        <v>2</v>
      </c>
      <c r="G214" s="40">
        <v>2</v>
      </c>
      <c r="H214" s="40">
        <v>1</v>
      </c>
      <c r="I214" s="40"/>
      <c r="J214" s="40" t="s">
        <v>934</v>
      </c>
      <c r="K214" s="40">
        <v>1</v>
      </c>
      <c r="L214" s="76">
        <v>200978</v>
      </c>
      <c r="M214" s="76" t="str">
        <f>IFERROR(INDEX([1]物品基础表!$A:$A,MATCH(L214,[1]物品基础表!$B:$B,0)),"")</f>
        <v>新春小红包</v>
      </c>
      <c r="N214" s="76">
        <v>1</v>
      </c>
      <c r="O214" s="76">
        <v>2</v>
      </c>
      <c r="P214" s="76" t="str">
        <f t="shared" si="16"/>
        <v>元宝</v>
      </c>
      <c r="Q214" s="76">
        <v>100</v>
      </c>
      <c r="R214" s="76">
        <v>1</v>
      </c>
      <c r="S214" s="76" t="str">
        <f t="shared" si="17"/>
        <v>金币</v>
      </c>
      <c r="T214" s="76">
        <v>300000</v>
      </c>
    </row>
    <row r="215" spans="1:20">
      <c r="A215" s="39" t="str">
        <f>INDEX([2]活动总表!$A$8:$A$429,MATCH(B215,[2]活动总表!$B$8:$B$429,0))</f>
        <v>春节八天乐</v>
      </c>
      <c r="B215" s="40">
        <v>568</v>
      </c>
      <c r="C215" s="40">
        <v>3</v>
      </c>
      <c r="D215" s="40">
        <v>100</v>
      </c>
      <c r="E215" s="40"/>
      <c r="F215" s="40">
        <v>3</v>
      </c>
      <c r="G215" s="40">
        <v>3</v>
      </c>
      <c r="H215" s="40">
        <v>1</v>
      </c>
      <c r="I215" s="40"/>
      <c r="J215" s="40" t="s">
        <v>935</v>
      </c>
      <c r="K215" s="40">
        <v>1</v>
      </c>
      <c r="L215" s="76">
        <v>200978</v>
      </c>
      <c r="M215" s="76" t="str">
        <f>IFERROR(INDEX([1]物品基础表!$A:$A,MATCH(L215,[1]物品基础表!$B:$B,0)),"")</f>
        <v>新春小红包</v>
      </c>
      <c r="N215" s="76">
        <v>1</v>
      </c>
      <c r="O215" s="76">
        <v>2</v>
      </c>
      <c r="P215" s="76" t="str">
        <f t="shared" si="16"/>
        <v>元宝</v>
      </c>
      <c r="Q215" s="76">
        <v>150</v>
      </c>
      <c r="R215" s="76">
        <v>1</v>
      </c>
      <c r="S215" s="76" t="str">
        <f t="shared" si="17"/>
        <v>金币</v>
      </c>
      <c r="T215" s="76">
        <v>400000</v>
      </c>
    </row>
    <row r="216" spans="1:20">
      <c r="A216" s="39" t="str">
        <f>INDEX([2]活动总表!$A$8:$A$429,MATCH(B216,[2]活动总表!$B$8:$B$429,0))</f>
        <v>春节八天乐</v>
      </c>
      <c r="B216" s="40">
        <v>568</v>
      </c>
      <c r="C216" s="40">
        <v>4</v>
      </c>
      <c r="D216" s="40">
        <v>100</v>
      </c>
      <c r="E216" s="40"/>
      <c r="F216" s="40">
        <v>4</v>
      </c>
      <c r="G216" s="40">
        <v>4</v>
      </c>
      <c r="H216" s="40">
        <v>1</v>
      </c>
      <c r="I216" s="40"/>
      <c r="J216" s="40" t="s">
        <v>936</v>
      </c>
      <c r="K216" s="40">
        <v>1</v>
      </c>
      <c r="L216" s="76">
        <v>200978</v>
      </c>
      <c r="M216" s="76" t="str">
        <f>IFERROR(INDEX([1]物品基础表!$A:$A,MATCH(L216,[1]物品基础表!$B:$B,0)),"")</f>
        <v>新春小红包</v>
      </c>
      <c r="N216" s="76">
        <v>1</v>
      </c>
      <c r="O216" s="76">
        <v>2</v>
      </c>
      <c r="P216" s="76" t="str">
        <f t="shared" si="16"/>
        <v>元宝</v>
      </c>
      <c r="Q216" s="76">
        <v>150</v>
      </c>
      <c r="R216" s="76">
        <v>1</v>
      </c>
      <c r="S216" s="76" t="str">
        <f t="shared" si="17"/>
        <v>金币</v>
      </c>
      <c r="T216" s="76">
        <v>500000</v>
      </c>
    </row>
    <row r="217" spans="1:20">
      <c r="A217" s="39" t="str">
        <f>INDEX([2]活动总表!$A$8:$A$429,MATCH(B217,[2]活动总表!$B$8:$B$429,0))</f>
        <v>春节八天乐</v>
      </c>
      <c r="B217" s="40">
        <v>568</v>
      </c>
      <c r="C217" s="40">
        <v>5</v>
      </c>
      <c r="D217" s="40">
        <v>100</v>
      </c>
      <c r="E217" s="40"/>
      <c r="F217" s="40">
        <v>5</v>
      </c>
      <c r="G217" s="40">
        <v>5</v>
      </c>
      <c r="H217" s="40">
        <v>1</v>
      </c>
      <c r="I217" s="40"/>
      <c r="J217" s="40" t="s">
        <v>937</v>
      </c>
      <c r="K217" s="40">
        <v>1</v>
      </c>
      <c r="L217" s="76">
        <v>200978</v>
      </c>
      <c r="M217" s="76" t="str">
        <f>IFERROR(INDEX([1]物品基础表!$A:$A,MATCH(L217,[1]物品基础表!$B:$B,0)),"")</f>
        <v>新春小红包</v>
      </c>
      <c r="N217" s="76">
        <v>1</v>
      </c>
      <c r="O217" s="76">
        <v>2</v>
      </c>
      <c r="P217" s="76" t="str">
        <f t="shared" si="16"/>
        <v>元宝</v>
      </c>
      <c r="Q217" s="76">
        <v>200</v>
      </c>
      <c r="R217" s="76">
        <v>1</v>
      </c>
      <c r="S217" s="76" t="str">
        <f t="shared" si="17"/>
        <v>金币</v>
      </c>
      <c r="T217" s="76">
        <v>600000</v>
      </c>
    </row>
    <row r="218" spans="1:20">
      <c r="A218" s="39" t="str">
        <f>INDEX([2]活动总表!$A$8:$A$429,MATCH(B218,[2]活动总表!$B$8:$B$429,0))</f>
        <v>春节八天乐</v>
      </c>
      <c r="B218" s="40">
        <v>568</v>
      </c>
      <c r="C218" s="40">
        <v>6</v>
      </c>
      <c r="D218" s="40">
        <v>100</v>
      </c>
      <c r="E218" s="40"/>
      <c r="F218" s="40">
        <v>6</v>
      </c>
      <c r="G218" s="40">
        <v>6</v>
      </c>
      <c r="H218" s="40">
        <v>1</v>
      </c>
      <c r="I218" s="40"/>
      <c r="J218" s="40" t="s">
        <v>938</v>
      </c>
      <c r="K218" s="40">
        <v>1</v>
      </c>
      <c r="L218" s="76">
        <v>200978</v>
      </c>
      <c r="M218" s="76" t="str">
        <f>IFERROR(INDEX([1]物品基础表!$A:$A,MATCH(L218,[1]物品基础表!$B:$B,0)),"")</f>
        <v>新春小红包</v>
      </c>
      <c r="N218" s="76">
        <v>1</v>
      </c>
      <c r="O218" s="76">
        <v>2</v>
      </c>
      <c r="P218" s="76" t="str">
        <f t="shared" si="16"/>
        <v>元宝</v>
      </c>
      <c r="Q218" s="76">
        <v>200</v>
      </c>
      <c r="R218" s="76">
        <v>1</v>
      </c>
      <c r="S218" s="76" t="str">
        <f t="shared" si="17"/>
        <v>金币</v>
      </c>
      <c r="T218" s="76">
        <v>700000</v>
      </c>
    </row>
    <row r="219" spans="1:20">
      <c r="A219" s="39" t="str">
        <f>INDEX([2]活动总表!$A$8:$A$429,MATCH(B219,[2]活动总表!$B$8:$B$429,0))</f>
        <v>春节八天乐</v>
      </c>
      <c r="B219" s="40">
        <v>568</v>
      </c>
      <c r="C219" s="40">
        <v>7</v>
      </c>
      <c r="D219" s="40">
        <v>100</v>
      </c>
      <c r="E219" s="40"/>
      <c r="F219" s="40">
        <v>7</v>
      </c>
      <c r="G219" s="40">
        <v>7</v>
      </c>
      <c r="H219" s="40">
        <v>1</v>
      </c>
      <c r="I219" s="40"/>
      <c r="J219" s="40" t="s">
        <v>939</v>
      </c>
      <c r="K219" s="40">
        <v>1</v>
      </c>
      <c r="L219" s="76">
        <v>200978</v>
      </c>
      <c r="M219" s="76" t="str">
        <f>IFERROR(INDEX([1]物品基础表!$A:$A,MATCH(L219,[1]物品基础表!$B:$B,0)),"")</f>
        <v>新春小红包</v>
      </c>
      <c r="N219" s="76">
        <v>1</v>
      </c>
      <c r="O219" s="76">
        <v>2</v>
      </c>
      <c r="P219" s="76" t="str">
        <f t="shared" si="16"/>
        <v>元宝</v>
      </c>
      <c r="Q219" s="76">
        <v>250</v>
      </c>
      <c r="R219" s="76">
        <v>1</v>
      </c>
      <c r="S219" s="76" t="str">
        <f t="shared" si="17"/>
        <v>金币</v>
      </c>
      <c r="T219" s="76">
        <v>800000</v>
      </c>
    </row>
    <row r="220" spans="1:20">
      <c r="A220" s="39" t="str">
        <f>INDEX([2]活动总表!$A$8:$A$429,MATCH(B220,[2]活动总表!$B$8:$B$429,0))</f>
        <v>春节八天乐</v>
      </c>
      <c r="B220" s="40">
        <v>568</v>
      </c>
      <c r="C220" s="40">
        <v>8</v>
      </c>
      <c r="D220" s="40">
        <v>59</v>
      </c>
      <c r="E220" s="40"/>
      <c r="F220" s="40">
        <v>3</v>
      </c>
      <c r="G220" s="40">
        <v>3</v>
      </c>
      <c r="H220" s="40">
        <v>1</v>
      </c>
      <c r="I220" s="40"/>
      <c r="J220" s="40" t="s">
        <v>940</v>
      </c>
      <c r="K220" s="40">
        <v>1</v>
      </c>
      <c r="L220" s="76">
        <v>200978</v>
      </c>
      <c r="M220" s="76" t="str">
        <f>IFERROR(INDEX([1]物品基础表!$A:$A,MATCH(L220,[1]物品基础表!$B:$B,0)),"")</f>
        <v>新春小红包</v>
      </c>
      <c r="N220" s="76">
        <v>1</v>
      </c>
      <c r="O220" s="76">
        <v>200156</v>
      </c>
      <c r="P220" s="76" t="str">
        <f>IFERROR(INDEX([1]物品基础表!$A:$A,MATCH(O220,[1]物品基础表!$B:$B,0)),"")</f>
        <v>野外BOSS次数卷轴</v>
      </c>
      <c r="Q220" s="76">
        <v>1</v>
      </c>
      <c r="S220" s="76" t="str">
        <f>IFERROR(INDEX([1]物品基础表!$A:$A,MATCH(R220,[1]物品基础表!$B:$B,0)),"")</f>
        <v/>
      </c>
    </row>
    <row r="221" spans="1:20">
      <c r="A221" s="39" t="str">
        <f>INDEX([2]活动总表!$A$8:$A$429,MATCH(B221,[2]活动总表!$B$8:$B$429,0))</f>
        <v>春节八天乐</v>
      </c>
      <c r="B221" s="40">
        <v>568</v>
      </c>
      <c r="C221" s="40">
        <v>9</v>
      </c>
      <c r="D221" s="40">
        <v>59</v>
      </c>
      <c r="E221" s="40"/>
      <c r="F221" s="40">
        <v>8</v>
      </c>
      <c r="G221" s="40">
        <v>8</v>
      </c>
      <c r="H221" s="40">
        <v>1</v>
      </c>
      <c r="I221" s="40"/>
      <c r="J221" s="40" t="s">
        <v>941</v>
      </c>
      <c r="K221" s="40">
        <v>1</v>
      </c>
      <c r="L221" s="76">
        <v>200978</v>
      </c>
      <c r="M221" s="76" t="str">
        <f>IFERROR(INDEX([1]物品基础表!$A:$A,MATCH(L221,[1]物品基础表!$B:$B,0)),"")</f>
        <v>新春小红包</v>
      </c>
      <c r="N221" s="76">
        <v>1</v>
      </c>
      <c r="O221" s="76">
        <v>200156</v>
      </c>
      <c r="P221" s="76" t="str">
        <f>IFERROR(INDEX([1]物品基础表!$A:$A,MATCH(O221,[1]物品基础表!$B:$B,0)),"")</f>
        <v>野外BOSS次数卷轴</v>
      </c>
      <c r="Q221" s="76">
        <v>1</v>
      </c>
      <c r="S221" s="76" t="str">
        <f>IFERROR(INDEX([1]物品基础表!$A:$A,MATCH(R221,[1]物品基础表!$B:$B,0)),"")</f>
        <v/>
      </c>
    </row>
    <row r="222" spans="1:20">
      <c r="A222" s="39" t="str">
        <f>INDEX([2]活动总表!$A$8:$A$429,MATCH(B222,[2]活动总表!$B$8:$B$429,0))</f>
        <v>春节八天乐</v>
      </c>
      <c r="B222" s="40">
        <v>568</v>
      </c>
      <c r="C222" s="40">
        <v>10</v>
      </c>
      <c r="D222" s="40">
        <v>59</v>
      </c>
      <c r="E222" s="40"/>
      <c r="F222" s="40">
        <v>15</v>
      </c>
      <c r="G222" s="40">
        <v>15</v>
      </c>
      <c r="H222" s="40">
        <v>1</v>
      </c>
      <c r="I222" s="40"/>
      <c r="J222" s="40" t="s">
        <v>942</v>
      </c>
      <c r="K222" s="40">
        <v>1</v>
      </c>
      <c r="L222" s="76">
        <v>200978</v>
      </c>
      <c r="M222" s="76" t="str">
        <f>IFERROR(INDEX([1]物品基础表!$A:$A,MATCH(L222,[1]物品基础表!$B:$B,0)),"")</f>
        <v>新春小红包</v>
      </c>
      <c r="N222" s="76">
        <v>1</v>
      </c>
      <c r="O222" s="76">
        <v>200156</v>
      </c>
      <c r="P222" s="76" t="str">
        <f>IFERROR(INDEX([1]物品基础表!$A:$A,MATCH(O222,[1]物品基础表!$B:$B,0)),"")</f>
        <v>野外BOSS次数卷轴</v>
      </c>
      <c r="Q222" s="76">
        <v>2</v>
      </c>
      <c r="S222" s="76" t="str">
        <f>IFERROR(INDEX([1]物品基础表!$A:$A,MATCH(R222,[1]物品基础表!$B:$B,0)),"")</f>
        <v/>
      </c>
    </row>
    <row r="223" spans="1:20">
      <c r="A223" s="39" t="str">
        <f>INDEX([2]活动总表!$A$8:$A$429,MATCH(B223,[2]活动总表!$B$8:$B$429,0))</f>
        <v>春节八天乐</v>
      </c>
      <c r="B223" s="40">
        <v>568</v>
      </c>
      <c r="C223" s="40">
        <v>11</v>
      </c>
      <c r="D223" s="40">
        <v>59</v>
      </c>
      <c r="E223" s="40"/>
      <c r="F223" s="40">
        <v>20</v>
      </c>
      <c r="G223" s="40">
        <v>20</v>
      </c>
      <c r="H223" s="40">
        <v>1</v>
      </c>
      <c r="I223" s="40"/>
      <c r="J223" s="40" t="s">
        <v>943</v>
      </c>
      <c r="K223" s="40">
        <v>1</v>
      </c>
      <c r="L223" s="76">
        <v>200978</v>
      </c>
      <c r="M223" s="76" t="str">
        <f>IFERROR(INDEX([1]物品基础表!$A:$A,MATCH(L223,[1]物品基础表!$B:$B,0)),"")</f>
        <v>新春小红包</v>
      </c>
      <c r="N223" s="76">
        <v>1</v>
      </c>
      <c r="O223" s="76">
        <v>200156</v>
      </c>
      <c r="P223" s="76" t="str">
        <f>IFERROR(INDEX([1]物品基础表!$A:$A,MATCH(O223,[1]物品基础表!$B:$B,0)),"")</f>
        <v>野外BOSS次数卷轴</v>
      </c>
      <c r="Q223" s="76">
        <v>2</v>
      </c>
      <c r="S223" s="76" t="str">
        <f>IFERROR(INDEX([1]物品基础表!$A:$A,MATCH(R223,[1]物品基础表!$B:$B,0)),"")</f>
        <v/>
      </c>
    </row>
    <row r="224" spans="1:20">
      <c r="A224" s="39" t="str">
        <f>INDEX([2]活动总表!$A$8:$A$429,MATCH(B224,[2]活动总表!$B$8:$B$429,0))</f>
        <v>春节八天乐</v>
      </c>
      <c r="B224" s="40">
        <v>568</v>
      </c>
      <c r="C224" s="40">
        <v>12</v>
      </c>
      <c r="D224" s="40">
        <v>59</v>
      </c>
      <c r="E224" s="40"/>
      <c r="F224" s="40">
        <v>30</v>
      </c>
      <c r="G224" s="40">
        <v>30</v>
      </c>
      <c r="H224" s="40">
        <v>1</v>
      </c>
      <c r="I224" s="40"/>
      <c r="J224" s="40" t="s">
        <v>944</v>
      </c>
      <c r="K224" s="40">
        <v>1</v>
      </c>
      <c r="L224" s="76">
        <v>200978</v>
      </c>
      <c r="M224" s="76" t="str">
        <f>IFERROR(INDEX([1]物品基础表!$A:$A,MATCH(L224,[1]物品基础表!$B:$B,0)),"")</f>
        <v>新春小红包</v>
      </c>
      <c r="N224" s="76">
        <v>1</v>
      </c>
      <c r="O224" s="76">
        <v>200156</v>
      </c>
      <c r="P224" s="76" t="str">
        <f>IFERROR(INDEX([1]物品基础表!$A:$A,MATCH(O224,[1]物品基础表!$B:$B,0)),"")</f>
        <v>野外BOSS次数卷轴</v>
      </c>
      <c r="Q224" s="76">
        <v>3</v>
      </c>
      <c r="S224" s="76" t="str">
        <f>IFERROR(INDEX([1]物品基础表!$A:$A,MATCH(R224,[1]物品基础表!$B:$B,0)),"")</f>
        <v/>
      </c>
    </row>
    <row r="225" spans="1:19">
      <c r="A225" s="39" t="str">
        <f>INDEX([2]活动总表!$A$8:$A$429,MATCH(B225,[2]活动总表!$B$8:$B$429,0))</f>
        <v>春节八天乐</v>
      </c>
      <c r="B225" s="40">
        <v>568</v>
      </c>
      <c r="C225" s="40">
        <v>13</v>
      </c>
      <c r="D225" s="40">
        <v>59</v>
      </c>
      <c r="E225" s="40"/>
      <c r="F225" s="40">
        <v>40</v>
      </c>
      <c r="G225" s="40">
        <v>40</v>
      </c>
      <c r="H225" s="40">
        <v>1</v>
      </c>
      <c r="I225" s="40"/>
      <c r="J225" s="40" t="s">
        <v>945</v>
      </c>
      <c r="K225" s="40">
        <v>1</v>
      </c>
      <c r="L225" s="76">
        <v>200978</v>
      </c>
      <c r="M225" s="76" t="str">
        <f>IFERROR(INDEX([1]物品基础表!$A:$A,MATCH(L225,[1]物品基础表!$B:$B,0)),"")</f>
        <v>新春小红包</v>
      </c>
      <c r="N225" s="76">
        <v>1</v>
      </c>
      <c r="O225" s="76">
        <v>200156</v>
      </c>
      <c r="P225" s="76" t="str">
        <f>IFERROR(INDEX([1]物品基础表!$A:$A,MATCH(O225,[1]物品基础表!$B:$B,0)),"")</f>
        <v>野外BOSS次数卷轴</v>
      </c>
      <c r="Q225" s="76">
        <v>3</v>
      </c>
      <c r="S225" s="76" t="str">
        <f>IFERROR(INDEX([1]物品基础表!$A:$A,MATCH(R225,[1]物品基础表!$B:$B,0)),"")</f>
        <v/>
      </c>
    </row>
    <row r="226" spans="1:19">
      <c r="A226" s="39" t="str">
        <f>INDEX([2]活动总表!$A$8:$A$429,MATCH(B226,[2]活动总表!$B$8:$B$429,0))</f>
        <v>春节八天乐</v>
      </c>
      <c r="B226" s="40">
        <v>568</v>
      </c>
      <c r="C226" s="40">
        <v>14</v>
      </c>
      <c r="D226" s="40">
        <v>59</v>
      </c>
      <c r="E226" s="40"/>
      <c r="F226" s="40">
        <v>50</v>
      </c>
      <c r="G226" s="40">
        <v>50</v>
      </c>
      <c r="H226" s="40">
        <v>1</v>
      </c>
      <c r="I226" s="40"/>
      <c r="J226" s="40" t="s">
        <v>946</v>
      </c>
      <c r="K226" s="40">
        <v>1</v>
      </c>
      <c r="L226" s="76">
        <v>200978</v>
      </c>
      <c r="M226" s="76" t="str">
        <f>IFERROR(INDEX([1]物品基础表!$A:$A,MATCH(L226,[1]物品基础表!$B:$B,0)),"")</f>
        <v>新春小红包</v>
      </c>
      <c r="N226" s="76">
        <v>1</v>
      </c>
      <c r="O226" s="76">
        <v>200156</v>
      </c>
      <c r="P226" s="76" t="str">
        <f>IFERROR(INDEX([1]物品基础表!$A:$A,MATCH(O226,[1]物品基础表!$B:$B,0)),"")</f>
        <v>野外BOSS次数卷轴</v>
      </c>
      <c r="Q226" s="76">
        <v>4</v>
      </c>
      <c r="S226" s="76" t="str">
        <f>IFERROR(INDEX([1]物品基础表!$A:$A,MATCH(R226,[1]物品基础表!$B:$B,0)),"")</f>
        <v/>
      </c>
    </row>
    <row r="227" spans="1:19">
      <c r="A227" s="39" t="str">
        <f>INDEX([2]活动总表!$A$8:$A$429,MATCH(B227,[2]活动总表!$B$8:$B$429,0))</f>
        <v>春节八天乐</v>
      </c>
      <c r="B227" s="40">
        <v>568</v>
      </c>
      <c r="C227" s="40">
        <v>15</v>
      </c>
      <c r="D227" s="40">
        <v>27</v>
      </c>
      <c r="E227" s="40">
        <v>2</v>
      </c>
      <c r="F227" s="40">
        <v>6</v>
      </c>
      <c r="G227" s="40">
        <v>6</v>
      </c>
      <c r="H227" s="40">
        <v>1</v>
      </c>
      <c r="I227" s="40"/>
      <c r="J227" s="40" t="s">
        <v>947</v>
      </c>
      <c r="K227" s="40">
        <v>1</v>
      </c>
      <c r="L227" s="76">
        <v>200979</v>
      </c>
      <c r="M227" s="76" t="str">
        <f>IFERROR(INDEX([1]物品基础表!$A:$A,MATCH(L227,[1]物品基础表!$B:$B,0)),"")</f>
        <v>新春大红包</v>
      </c>
      <c r="N227" s="76">
        <v>1</v>
      </c>
      <c r="O227" s="76">
        <v>1</v>
      </c>
      <c r="P227" s="76" t="str">
        <f t="shared" ref="P227:P233" si="18">IF(O227=2,"元宝",IF(O227=1,"金币","精炼石"))</f>
        <v>金币</v>
      </c>
      <c r="Q227" s="76">
        <v>500000</v>
      </c>
      <c r="S227" s="76" t="str">
        <f>IFERROR(INDEX([1]物品基础表!$A:$A,MATCH(R227,[1]物品基础表!$B:$B,0)),"")</f>
        <v/>
      </c>
    </row>
    <row r="228" spans="1:19">
      <c r="A228" s="39" t="str">
        <f>INDEX([2]活动总表!$A$8:$A$429,MATCH(B228,[2]活动总表!$B$8:$B$429,0))</f>
        <v>春节八天乐</v>
      </c>
      <c r="B228" s="40">
        <v>568</v>
      </c>
      <c r="C228" s="40">
        <v>16</v>
      </c>
      <c r="D228" s="40">
        <v>27</v>
      </c>
      <c r="E228" s="40">
        <v>2</v>
      </c>
      <c r="F228" s="40">
        <v>12</v>
      </c>
      <c r="G228" s="40">
        <v>12</v>
      </c>
      <c r="H228" s="40">
        <v>1</v>
      </c>
      <c r="I228" s="40"/>
      <c r="J228" s="40" t="s">
        <v>948</v>
      </c>
      <c r="K228" s="40">
        <v>1</v>
      </c>
      <c r="L228" s="76">
        <v>200979</v>
      </c>
      <c r="M228" s="76" t="str">
        <f>IFERROR(INDEX([1]物品基础表!$A:$A,MATCH(L228,[1]物品基础表!$B:$B,0)),"")</f>
        <v>新春大红包</v>
      </c>
      <c r="N228" s="76">
        <v>1</v>
      </c>
      <c r="O228" s="76">
        <v>1</v>
      </c>
      <c r="P228" s="76" t="str">
        <f t="shared" si="18"/>
        <v>金币</v>
      </c>
      <c r="Q228" s="76">
        <v>600000</v>
      </c>
      <c r="S228" s="76" t="str">
        <f>IFERROR(INDEX([1]物品基础表!$A:$A,MATCH(R228,[1]物品基础表!$B:$B,0)),"")</f>
        <v/>
      </c>
    </row>
    <row r="229" spans="1:19">
      <c r="A229" s="39" t="str">
        <f>INDEX([2]活动总表!$A$8:$A$429,MATCH(B229,[2]活动总表!$B$8:$B$429,0))</f>
        <v>春节八天乐</v>
      </c>
      <c r="B229" s="40">
        <v>568</v>
      </c>
      <c r="C229" s="40">
        <v>17</v>
      </c>
      <c r="D229" s="40">
        <v>27</v>
      </c>
      <c r="E229" s="40">
        <v>2</v>
      </c>
      <c r="F229" s="40">
        <v>24</v>
      </c>
      <c r="G229" s="40">
        <v>24</v>
      </c>
      <c r="H229" s="40">
        <v>1</v>
      </c>
      <c r="I229" s="40"/>
      <c r="J229" s="40" t="s">
        <v>949</v>
      </c>
      <c r="K229" s="40">
        <v>1</v>
      </c>
      <c r="L229" s="76">
        <v>200979</v>
      </c>
      <c r="M229" s="76" t="str">
        <f>IFERROR(INDEX([1]物品基础表!$A:$A,MATCH(L229,[1]物品基础表!$B:$B,0)),"")</f>
        <v>新春大红包</v>
      </c>
      <c r="N229" s="76">
        <v>2</v>
      </c>
      <c r="O229" s="76">
        <v>1</v>
      </c>
      <c r="P229" s="76" t="str">
        <f t="shared" si="18"/>
        <v>金币</v>
      </c>
      <c r="Q229" s="76">
        <v>700000</v>
      </c>
      <c r="S229" s="76" t="str">
        <f>IFERROR(INDEX([1]物品基础表!$A:$A,MATCH(R229,[1]物品基础表!$B:$B,0)),"")</f>
        <v/>
      </c>
    </row>
    <row r="230" spans="1:19">
      <c r="A230" s="39" t="str">
        <f>INDEX([2]活动总表!$A$8:$A$429,MATCH(B230,[2]活动总表!$B$8:$B$429,0))</f>
        <v>春节八天乐</v>
      </c>
      <c r="B230" s="40">
        <v>568</v>
      </c>
      <c r="C230" s="40">
        <v>18</v>
      </c>
      <c r="D230" s="40">
        <v>27</v>
      </c>
      <c r="E230" s="40">
        <v>2</v>
      </c>
      <c r="F230" s="40">
        <v>36</v>
      </c>
      <c r="G230" s="40">
        <v>36</v>
      </c>
      <c r="H230" s="40">
        <v>1</v>
      </c>
      <c r="I230" s="40"/>
      <c r="J230" s="40" t="s">
        <v>950</v>
      </c>
      <c r="K230" s="40">
        <v>1</v>
      </c>
      <c r="L230" s="76">
        <v>200979</v>
      </c>
      <c r="M230" s="76" t="str">
        <f>IFERROR(INDEX([1]物品基础表!$A:$A,MATCH(L230,[1]物品基础表!$B:$B,0)),"")</f>
        <v>新春大红包</v>
      </c>
      <c r="N230" s="76">
        <v>4</v>
      </c>
      <c r="O230" s="76">
        <v>1</v>
      </c>
      <c r="P230" s="76" t="str">
        <f t="shared" si="18"/>
        <v>金币</v>
      </c>
      <c r="Q230" s="76">
        <v>800000</v>
      </c>
      <c r="S230" s="76" t="str">
        <f>IFERROR(INDEX([1]物品基础表!$A:$A,MATCH(R230,[1]物品基础表!$B:$B,0)),"")</f>
        <v/>
      </c>
    </row>
    <row r="231" spans="1:19">
      <c r="A231" s="39" t="str">
        <f>INDEX([2]活动总表!$A$8:$A$429,MATCH(B231,[2]活动总表!$B$8:$B$429,0))</f>
        <v>春节八天乐</v>
      </c>
      <c r="B231" s="40">
        <v>568</v>
      </c>
      <c r="C231" s="40">
        <v>19</v>
      </c>
      <c r="D231" s="40">
        <v>106</v>
      </c>
      <c r="E231" s="40">
        <v>3</v>
      </c>
      <c r="F231" s="40">
        <v>2</v>
      </c>
      <c r="G231" s="40">
        <v>2</v>
      </c>
      <c r="H231" s="40">
        <v>1</v>
      </c>
      <c r="I231" s="40"/>
      <c r="J231" s="40" t="s">
        <v>951</v>
      </c>
      <c r="K231" s="40">
        <v>1</v>
      </c>
      <c r="L231" s="76">
        <v>200979</v>
      </c>
      <c r="M231" s="76" t="str">
        <f>IFERROR(INDEX([1]物品基础表!$A:$A,MATCH(L231,[1]物品基础表!$B:$B,0)),"")</f>
        <v>新春大红包</v>
      </c>
      <c r="N231" s="76">
        <v>1</v>
      </c>
      <c r="O231" s="76">
        <v>1</v>
      </c>
      <c r="P231" s="76" t="str">
        <f t="shared" si="18"/>
        <v>金币</v>
      </c>
      <c r="Q231" s="76">
        <v>900000</v>
      </c>
      <c r="S231" s="76" t="str">
        <f>IFERROR(INDEX([1]物品基础表!$A:$A,MATCH(R231,[1]物品基础表!$B:$B,0)),"")</f>
        <v/>
      </c>
    </row>
    <row r="232" spans="1:19">
      <c r="A232" s="39" t="str">
        <f>INDEX([2]活动总表!$A$8:$A$429,MATCH(B232,[2]活动总表!$B$8:$B$429,0))</f>
        <v>春节八天乐</v>
      </c>
      <c r="B232" s="40">
        <v>568</v>
      </c>
      <c r="C232" s="40">
        <v>20</v>
      </c>
      <c r="D232" s="40">
        <v>106</v>
      </c>
      <c r="E232" s="40">
        <v>3</v>
      </c>
      <c r="F232" s="40">
        <v>4</v>
      </c>
      <c r="G232" s="40">
        <v>4</v>
      </c>
      <c r="H232" s="40">
        <v>1</v>
      </c>
      <c r="I232" s="40"/>
      <c r="J232" s="40" t="s">
        <v>952</v>
      </c>
      <c r="K232" s="40">
        <v>1</v>
      </c>
      <c r="L232" s="76">
        <v>200979</v>
      </c>
      <c r="M232" s="76" t="str">
        <f>IFERROR(INDEX([1]物品基础表!$A:$A,MATCH(L232,[1]物品基础表!$B:$B,0)),"")</f>
        <v>新春大红包</v>
      </c>
      <c r="N232" s="76">
        <v>1</v>
      </c>
      <c r="O232" s="76">
        <v>1</v>
      </c>
      <c r="P232" s="76" t="str">
        <f t="shared" si="18"/>
        <v>金币</v>
      </c>
      <c r="Q232" s="76">
        <v>1000000</v>
      </c>
      <c r="S232" s="76" t="str">
        <f>IFERROR(INDEX([1]物品基础表!$A:$A,MATCH(R232,[1]物品基础表!$B:$B,0)),"")</f>
        <v/>
      </c>
    </row>
    <row r="233" spans="1:19">
      <c r="A233" s="39" t="str">
        <f>INDEX([2]活动总表!$A$8:$A$429,MATCH(B233,[2]活动总表!$B$8:$B$429,0))</f>
        <v>春节八天乐</v>
      </c>
      <c r="B233" s="40">
        <v>568</v>
      </c>
      <c r="C233" s="40">
        <v>21</v>
      </c>
      <c r="D233" s="40">
        <v>106</v>
      </c>
      <c r="E233" s="40">
        <v>3</v>
      </c>
      <c r="F233" s="40">
        <v>6</v>
      </c>
      <c r="G233" s="40">
        <v>6</v>
      </c>
      <c r="H233" s="40">
        <v>1</v>
      </c>
      <c r="I233" s="40"/>
      <c r="J233" s="40" t="s">
        <v>953</v>
      </c>
      <c r="K233" s="40">
        <v>1</v>
      </c>
      <c r="L233" s="76">
        <v>200979</v>
      </c>
      <c r="M233" s="76" t="str">
        <f>IFERROR(INDEX([1]物品基础表!$A:$A,MATCH(L233,[1]物品基础表!$B:$B,0)),"")</f>
        <v>新春大红包</v>
      </c>
      <c r="N233" s="76">
        <v>1</v>
      </c>
      <c r="O233" s="76">
        <v>1</v>
      </c>
      <c r="P233" s="76" t="str">
        <f t="shared" si="18"/>
        <v>金币</v>
      </c>
      <c r="Q233" s="76">
        <v>1100000</v>
      </c>
      <c r="S233" s="76" t="str">
        <f>IFERROR(INDEX([1]物品基础表!$A:$A,MATCH(R233,[1]物品基础表!$B:$B,0)),"")</f>
        <v/>
      </c>
    </row>
    <row r="234" spans="1:19">
      <c r="A234" s="39" t="str">
        <f>INDEX([2]活动总表!$A$8:$A$429,MATCH(B234,[2]活动总表!$B$8:$B$429,0))</f>
        <v>春节八天乐</v>
      </c>
      <c r="B234" s="40">
        <v>568</v>
      </c>
      <c r="C234" s="40">
        <v>22</v>
      </c>
      <c r="D234" s="40">
        <v>104</v>
      </c>
      <c r="E234" s="40"/>
      <c r="F234" s="40">
        <v>1000000</v>
      </c>
      <c r="G234" s="40">
        <v>1000000</v>
      </c>
      <c r="H234" s="40">
        <v>1</v>
      </c>
      <c r="I234" s="40">
        <v>10000</v>
      </c>
      <c r="J234" s="40" t="s">
        <v>954</v>
      </c>
      <c r="K234" s="40">
        <v>2</v>
      </c>
      <c r="L234" s="76">
        <v>200978</v>
      </c>
      <c r="M234" s="76" t="str">
        <f>IFERROR(INDEX([1]物品基础表!$A:$A,MATCH(L234,[1]物品基础表!$B:$B,0)),"")</f>
        <v>新春小红包</v>
      </c>
      <c r="N234" s="76">
        <v>1</v>
      </c>
      <c r="O234" s="76">
        <v>200167</v>
      </c>
      <c r="P234" s="76" t="str">
        <f>IFERROR(INDEX([1]物品基础表!$A:$A,MATCH(O234,[1]物品基础表!$B:$B,0)),"")</f>
        <v>黑铁</v>
      </c>
      <c r="Q234" s="76">
        <v>100</v>
      </c>
      <c r="S234" s="76" t="str">
        <f>IFERROR(INDEX([1]物品基础表!$A:$A,MATCH(R234,[1]物品基础表!$B:$B,0)),"")</f>
        <v/>
      </c>
    </row>
    <row r="235" spans="1:19">
      <c r="A235" s="39" t="str">
        <f>INDEX([2]活动总表!$A$8:$A$429,MATCH(B235,[2]活动总表!$B$8:$B$429,0))</f>
        <v>春节八天乐</v>
      </c>
      <c r="B235" s="40">
        <v>568</v>
      </c>
      <c r="C235" s="40">
        <v>23</v>
      </c>
      <c r="D235" s="40">
        <v>104</v>
      </c>
      <c r="E235" s="40"/>
      <c r="F235" s="40">
        <v>2000000</v>
      </c>
      <c r="G235" s="40">
        <v>2000000</v>
      </c>
      <c r="H235" s="40">
        <v>1</v>
      </c>
      <c r="I235" s="40">
        <v>10000</v>
      </c>
      <c r="J235" s="40" t="s">
        <v>955</v>
      </c>
      <c r="K235" s="40">
        <v>2</v>
      </c>
      <c r="L235" s="76">
        <v>200978</v>
      </c>
      <c r="M235" s="76" t="str">
        <f>IFERROR(INDEX([1]物品基础表!$A:$A,MATCH(L235,[1]物品基础表!$B:$B,0)),"")</f>
        <v>新春小红包</v>
      </c>
      <c r="N235" s="76">
        <v>1</v>
      </c>
      <c r="O235" s="76">
        <v>200167</v>
      </c>
      <c r="P235" s="76" t="str">
        <f>IFERROR(INDEX([1]物品基础表!$A:$A,MATCH(O235,[1]物品基础表!$B:$B,0)),"")</f>
        <v>黑铁</v>
      </c>
      <c r="Q235" s="76">
        <v>100</v>
      </c>
      <c r="S235" s="76" t="str">
        <f>IFERROR(INDEX([1]物品基础表!$A:$A,MATCH(R235,[1]物品基础表!$B:$B,0)),"")</f>
        <v/>
      </c>
    </row>
    <row r="236" spans="1:19">
      <c r="A236" s="39" t="str">
        <f>INDEX([2]活动总表!$A$8:$A$429,MATCH(B236,[2]活动总表!$B$8:$B$429,0))</f>
        <v>春节八天乐</v>
      </c>
      <c r="B236" s="40">
        <v>568</v>
      </c>
      <c r="C236" s="40">
        <v>24</v>
      </c>
      <c r="D236" s="40">
        <v>104</v>
      </c>
      <c r="E236" s="40"/>
      <c r="F236" s="40">
        <v>5000000</v>
      </c>
      <c r="G236" s="40">
        <v>5000000</v>
      </c>
      <c r="H236" s="40">
        <v>1</v>
      </c>
      <c r="I236" s="40">
        <v>10000</v>
      </c>
      <c r="J236" s="40" t="s">
        <v>956</v>
      </c>
      <c r="K236" s="40">
        <v>2</v>
      </c>
      <c r="L236" s="76">
        <v>200978</v>
      </c>
      <c r="M236" s="76" t="str">
        <f>IFERROR(INDEX([1]物品基础表!$A:$A,MATCH(L236,[1]物品基础表!$B:$B,0)),"")</f>
        <v>新春小红包</v>
      </c>
      <c r="N236" s="76">
        <v>1</v>
      </c>
      <c r="O236" s="76">
        <v>200167</v>
      </c>
      <c r="P236" s="76" t="str">
        <f>IFERROR(INDEX([1]物品基础表!$A:$A,MATCH(O236,[1]物品基础表!$B:$B,0)),"")</f>
        <v>黑铁</v>
      </c>
      <c r="Q236" s="76">
        <v>100</v>
      </c>
      <c r="S236" s="76" t="str">
        <f>IFERROR(INDEX([1]物品基础表!$A:$A,MATCH(R236,[1]物品基础表!$B:$B,0)),"")</f>
        <v/>
      </c>
    </row>
    <row r="237" spans="1:19">
      <c r="A237" s="39" t="str">
        <f>INDEX([2]活动总表!$A$8:$A$429,MATCH(B237,[2]活动总表!$B$8:$B$429,0))</f>
        <v>春节八天乐</v>
      </c>
      <c r="B237" s="40">
        <v>568</v>
      </c>
      <c r="C237" s="40">
        <v>25</v>
      </c>
      <c r="D237" s="40">
        <v>104</v>
      </c>
      <c r="E237" s="40"/>
      <c r="F237" s="40">
        <v>8000000</v>
      </c>
      <c r="G237" s="40">
        <v>8000000</v>
      </c>
      <c r="H237" s="40">
        <v>1</v>
      </c>
      <c r="I237" s="40">
        <v>10000</v>
      </c>
      <c r="J237" s="40" t="s">
        <v>957</v>
      </c>
      <c r="K237" s="40">
        <v>2</v>
      </c>
      <c r="L237" s="76">
        <v>200978</v>
      </c>
      <c r="M237" s="76" t="str">
        <f>IFERROR(INDEX([1]物品基础表!$A:$A,MATCH(L237,[1]物品基础表!$B:$B,0)),"")</f>
        <v>新春小红包</v>
      </c>
      <c r="N237" s="76">
        <v>1</v>
      </c>
      <c r="O237" s="76">
        <v>200167</v>
      </c>
      <c r="P237" s="76" t="str">
        <f>IFERROR(INDEX([1]物品基础表!$A:$A,MATCH(O237,[1]物品基础表!$B:$B,0)),"")</f>
        <v>黑铁</v>
      </c>
      <c r="Q237" s="76">
        <v>100</v>
      </c>
      <c r="S237" s="76" t="str">
        <f>IFERROR(INDEX([1]物品基础表!$A:$A,MATCH(R237,[1]物品基础表!$B:$B,0)),"")</f>
        <v/>
      </c>
    </row>
    <row r="238" spans="1:19">
      <c r="A238" s="39" t="str">
        <f>INDEX([2]活动总表!$A$8:$A$429,MATCH(B238,[2]活动总表!$B$8:$B$429,0))</f>
        <v>春节八天乐</v>
      </c>
      <c r="B238" s="40">
        <v>568</v>
      </c>
      <c r="C238" s="40">
        <v>26</v>
      </c>
      <c r="D238" s="40">
        <v>104</v>
      </c>
      <c r="E238" s="40"/>
      <c r="F238" s="40">
        <v>10000000</v>
      </c>
      <c r="G238" s="40">
        <v>10000000</v>
      </c>
      <c r="H238" s="40">
        <v>1</v>
      </c>
      <c r="I238" s="40">
        <v>10000</v>
      </c>
      <c r="J238" s="40" t="s">
        <v>958</v>
      </c>
      <c r="K238" s="40">
        <v>2</v>
      </c>
      <c r="L238" s="76">
        <v>200978</v>
      </c>
      <c r="M238" s="76" t="str">
        <f>IFERROR(INDEX([1]物品基础表!$A:$A,MATCH(L238,[1]物品基础表!$B:$B,0)),"")</f>
        <v>新春小红包</v>
      </c>
      <c r="N238" s="76">
        <v>1</v>
      </c>
      <c r="O238" s="76">
        <v>200167</v>
      </c>
      <c r="P238" s="76" t="str">
        <f>IFERROR(INDEX([1]物品基础表!$A:$A,MATCH(O238,[1]物品基础表!$B:$B,0)),"")</f>
        <v>黑铁</v>
      </c>
      <c r="Q238" s="76">
        <v>100</v>
      </c>
      <c r="S238" s="76" t="str">
        <f>IFERROR(INDEX([1]物品基础表!$A:$A,MATCH(R238,[1]物品基础表!$B:$B,0)),"")</f>
        <v/>
      </c>
    </row>
    <row r="239" spans="1:19">
      <c r="A239" s="39" t="str">
        <f>INDEX([2]活动总表!$A$8:$A$429,MATCH(B239,[2]活动总表!$B$8:$B$429,0))</f>
        <v>春节八天乐</v>
      </c>
      <c r="B239" s="40">
        <v>568</v>
      </c>
      <c r="C239" s="40">
        <v>27</v>
      </c>
      <c r="D239" s="40">
        <v>104</v>
      </c>
      <c r="E239" s="40"/>
      <c r="F239" s="40">
        <v>20000000</v>
      </c>
      <c r="G239" s="40">
        <v>20000000</v>
      </c>
      <c r="H239" s="40">
        <v>1</v>
      </c>
      <c r="I239" s="40">
        <v>10000</v>
      </c>
      <c r="J239" s="40" t="s">
        <v>959</v>
      </c>
      <c r="K239" s="40">
        <v>2</v>
      </c>
      <c r="L239" s="76">
        <v>200978</v>
      </c>
      <c r="M239" s="76" t="str">
        <f>IFERROR(INDEX([1]物品基础表!$A:$A,MATCH(L239,[1]物品基础表!$B:$B,0)),"")</f>
        <v>新春小红包</v>
      </c>
      <c r="N239" s="76">
        <v>1</v>
      </c>
      <c r="O239" s="76">
        <v>200167</v>
      </c>
      <c r="P239" s="76" t="str">
        <f>IFERROR(INDEX([1]物品基础表!$A:$A,MATCH(O239,[1]物品基础表!$B:$B,0)),"")</f>
        <v>黑铁</v>
      </c>
      <c r="Q239" s="76">
        <v>100</v>
      </c>
      <c r="S239" s="76" t="str">
        <f>IFERROR(INDEX([1]物品基础表!$A:$A,MATCH(R239,[1]物品基础表!$B:$B,0)),"")</f>
        <v/>
      </c>
    </row>
    <row r="240" spans="1:19">
      <c r="A240" s="39" t="str">
        <f>INDEX([2]活动总表!$A$8:$A$429,MATCH(B240,[2]活动总表!$B$8:$B$429,0))</f>
        <v>春节八天乐</v>
      </c>
      <c r="B240" s="40">
        <v>568</v>
      </c>
      <c r="C240" s="40">
        <v>28</v>
      </c>
      <c r="D240" s="40">
        <v>104</v>
      </c>
      <c r="E240" s="40"/>
      <c r="F240" s="40">
        <v>50000000</v>
      </c>
      <c r="G240" s="40">
        <v>50000000</v>
      </c>
      <c r="H240" s="40">
        <v>1</v>
      </c>
      <c r="I240" s="40">
        <v>10000</v>
      </c>
      <c r="J240" s="40" t="s">
        <v>960</v>
      </c>
      <c r="K240" s="40">
        <v>2</v>
      </c>
      <c r="L240" s="76">
        <v>200978</v>
      </c>
      <c r="M240" s="76" t="str">
        <f>IFERROR(INDEX([1]物品基础表!$A:$A,MATCH(L240,[1]物品基础表!$B:$B,0)),"")</f>
        <v>新春小红包</v>
      </c>
      <c r="N240" s="76">
        <v>1</v>
      </c>
      <c r="O240" s="76">
        <v>200167</v>
      </c>
      <c r="P240" s="76" t="str">
        <f>IFERROR(INDEX([1]物品基础表!$A:$A,MATCH(O240,[1]物品基础表!$B:$B,0)),"")</f>
        <v>黑铁</v>
      </c>
      <c r="Q240" s="76">
        <v>100</v>
      </c>
      <c r="S240" s="76" t="str">
        <f>IFERROR(INDEX([1]物品基础表!$A:$A,MATCH(R240,[1]物品基础表!$B:$B,0)),"")</f>
        <v/>
      </c>
    </row>
    <row r="241" spans="1:20">
      <c r="A241" s="39" t="str">
        <f>INDEX([2]活动总表!$A$8:$A$429,MATCH(B241,[2]活动总表!$B$8:$B$429,0))</f>
        <v>春节八天乐</v>
      </c>
      <c r="B241" s="40">
        <v>568</v>
      </c>
      <c r="C241" s="40">
        <v>29</v>
      </c>
      <c r="D241" s="40">
        <v>98</v>
      </c>
      <c r="E241" s="40"/>
      <c r="F241" s="40">
        <v>1</v>
      </c>
      <c r="G241" s="40">
        <v>1</v>
      </c>
      <c r="H241" s="40">
        <v>1</v>
      </c>
      <c r="I241" s="40"/>
      <c r="J241" s="40" t="s">
        <v>961</v>
      </c>
      <c r="K241" s="40">
        <v>2</v>
      </c>
      <c r="L241" s="76">
        <v>200978</v>
      </c>
      <c r="M241" s="76" t="str">
        <f>IFERROR(INDEX([1]物品基础表!$A:$A,MATCH(L241,[1]物品基础表!$B:$B,0)),"")</f>
        <v>新春小红包</v>
      </c>
      <c r="N241" s="76">
        <v>1</v>
      </c>
      <c r="O241" s="76">
        <v>200157</v>
      </c>
      <c r="P241" s="76" t="str">
        <f>IFERROR(INDEX([1]物品基础表!$A:$A,MATCH(O241,[1]物品基础表!$B:$B,0)),"")</f>
        <v>秘境BOSS次数卷轴</v>
      </c>
      <c r="Q241" s="76">
        <v>1</v>
      </c>
      <c r="S241" s="76" t="str">
        <f>IFERROR(INDEX([1]物品基础表!$A:$A,MATCH(R241,[1]物品基础表!$B:$B,0)),"")</f>
        <v/>
      </c>
    </row>
    <row r="242" spans="1:20">
      <c r="A242" s="39" t="str">
        <f>INDEX([2]活动总表!$A$8:$A$429,MATCH(B242,[2]活动总表!$B$8:$B$429,0))</f>
        <v>春节八天乐</v>
      </c>
      <c r="B242" s="40">
        <v>568</v>
      </c>
      <c r="C242" s="40">
        <v>30</v>
      </c>
      <c r="D242" s="40">
        <v>98</v>
      </c>
      <c r="E242" s="40"/>
      <c r="F242" s="40">
        <v>3</v>
      </c>
      <c r="G242" s="40">
        <v>3</v>
      </c>
      <c r="H242" s="40">
        <v>1</v>
      </c>
      <c r="I242" s="40"/>
      <c r="J242" s="40" t="s">
        <v>962</v>
      </c>
      <c r="K242" s="40">
        <v>2</v>
      </c>
      <c r="L242" s="76">
        <v>200978</v>
      </c>
      <c r="M242" s="76" t="str">
        <f>IFERROR(INDEX([1]物品基础表!$A:$A,MATCH(L242,[1]物品基础表!$B:$B,0)),"")</f>
        <v>新春小红包</v>
      </c>
      <c r="N242" s="76">
        <v>1</v>
      </c>
      <c r="O242" s="76">
        <v>200157</v>
      </c>
      <c r="P242" s="76" t="str">
        <f>IFERROR(INDEX([1]物品基础表!$A:$A,MATCH(O242,[1]物品基础表!$B:$B,0)),"")</f>
        <v>秘境BOSS次数卷轴</v>
      </c>
      <c r="Q242" s="76">
        <v>1</v>
      </c>
      <c r="S242" s="76" t="str">
        <f>IFERROR(INDEX([1]物品基础表!$A:$A,MATCH(R242,[1]物品基础表!$B:$B,0)),"")</f>
        <v/>
      </c>
    </row>
    <row r="243" spans="1:20">
      <c r="A243" s="39" t="str">
        <f>INDEX([2]活动总表!$A$8:$A$429,MATCH(B243,[2]活动总表!$B$8:$B$429,0))</f>
        <v>春节八天乐</v>
      </c>
      <c r="B243" s="40">
        <v>568</v>
      </c>
      <c r="C243" s="40">
        <v>31</v>
      </c>
      <c r="D243" s="40">
        <v>98</v>
      </c>
      <c r="E243" s="40"/>
      <c r="F243" s="40">
        <v>5</v>
      </c>
      <c r="G243" s="40">
        <v>5</v>
      </c>
      <c r="H243" s="40">
        <v>1</v>
      </c>
      <c r="I243" s="40"/>
      <c r="J243" s="40" t="s">
        <v>963</v>
      </c>
      <c r="K243" s="40">
        <v>2</v>
      </c>
      <c r="L243" s="76">
        <v>200978</v>
      </c>
      <c r="M243" s="76" t="str">
        <f>IFERROR(INDEX([1]物品基础表!$A:$A,MATCH(L243,[1]物品基础表!$B:$B,0)),"")</f>
        <v>新春小红包</v>
      </c>
      <c r="N243" s="76">
        <v>1</v>
      </c>
      <c r="O243" s="76">
        <v>200157</v>
      </c>
      <c r="P243" s="76" t="str">
        <f>IFERROR(INDEX([1]物品基础表!$A:$A,MATCH(O243,[1]物品基础表!$B:$B,0)),"")</f>
        <v>秘境BOSS次数卷轴</v>
      </c>
      <c r="Q243" s="76">
        <v>1</v>
      </c>
      <c r="S243" s="76" t="str">
        <f>IFERROR(INDEX([1]物品基础表!$A:$A,MATCH(R243,[1]物品基础表!$B:$B,0)),"")</f>
        <v/>
      </c>
    </row>
    <row r="244" spans="1:20">
      <c r="A244" s="39" t="str">
        <f>INDEX([2]活动总表!$A$8:$A$429,MATCH(B244,[2]活动总表!$B$8:$B$429,0))</f>
        <v>春节八天乐</v>
      </c>
      <c r="B244" s="40">
        <v>568</v>
      </c>
      <c r="C244" s="40">
        <v>32</v>
      </c>
      <c r="D244" s="40">
        <v>98</v>
      </c>
      <c r="E244" s="40"/>
      <c r="F244" s="40">
        <v>9</v>
      </c>
      <c r="G244" s="40">
        <v>9</v>
      </c>
      <c r="H244" s="40">
        <v>1</v>
      </c>
      <c r="I244" s="40"/>
      <c r="J244" s="40" t="s">
        <v>964</v>
      </c>
      <c r="K244" s="40">
        <v>2</v>
      </c>
      <c r="L244" s="76">
        <v>200978</v>
      </c>
      <c r="M244" s="76" t="str">
        <f>IFERROR(INDEX([1]物品基础表!$A:$A,MATCH(L244,[1]物品基础表!$B:$B,0)),"")</f>
        <v>新春小红包</v>
      </c>
      <c r="N244" s="76">
        <v>1</v>
      </c>
      <c r="O244" s="76">
        <v>200157</v>
      </c>
      <c r="P244" s="76" t="str">
        <f>IFERROR(INDEX([1]物品基础表!$A:$A,MATCH(O244,[1]物品基础表!$B:$B,0)),"")</f>
        <v>秘境BOSS次数卷轴</v>
      </c>
      <c r="Q244" s="76">
        <v>1</v>
      </c>
      <c r="S244" s="76" t="str">
        <f>IFERROR(INDEX([1]物品基础表!$A:$A,MATCH(R244,[1]物品基础表!$B:$B,0)),"")</f>
        <v/>
      </c>
    </row>
    <row r="245" spans="1:20">
      <c r="A245" s="39" t="str">
        <f>INDEX([2]活动总表!$A$8:$A$429,MATCH(B245,[2]活动总表!$B$8:$B$429,0))</f>
        <v>春节八天乐</v>
      </c>
      <c r="B245" s="40">
        <v>568</v>
      </c>
      <c r="C245" s="40">
        <v>33</v>
      </c>
      <c r="D245" s="40">
        <v>98</v>
      </c>
      <c r="E245" s="40"/>
      <c r="F245" s="40">
        <v>12</v>
      </c>
      <c r="G245" s="40">
        <v>12</v>
      </c>
      <c r="H245" s="40">
        <v>1</v>
      </c>
      <c r="I245" s="40"/>
      <c r="J245" s="40" t="s">
        <v>965</v>
      </c>
      <c r="K245" s="40">
        <v>2</v>
      </c>
      <c r="L245" s="76">
        <v>200978</v>
      </c>
      <c r="M245" s="76" t="str">
        <f>IFERROR(INDEX([1]物品基础表!$A:$A,MATCH(L245,[1]物品基础表!$B:$B,0)),"")</f>
        <v>新春小红包</v>
      </c>
      <c r="N245" s="76">
        <v>1</v>
      </c>
      <c r="O245" s="76">
        <v>200157</v>
      </c>
      <c r="P245" s="76" t="str">
        <f>IFERROR(INDEX([1]物品基础表!$A:$A,MATCH(O245,[1]物品基础表!$B:$B,0)),"")</f>
        <v>秘境BOSS次数卷轴</v>
      </c>
      <c r="Q245" s="76">
        <v>1</v>
      </c>
      <c r="S245" s="76" t="str">
        <f>IFERROR(INDEX([1]物品基础表!$A:$A,MATCH(R245,[1]物品基础表!$B:$B,0)),"")</f>
        <v/>
      </c>
    </row>
    <row r="246" spans="1:20">
      <c r="A246" s="39" t="str">
        <f>INDEX([2]活动总表!$A$8:$A$429,MATCH(B246,[2]活动总表!$B$8:$B$429,0))</f>
        <v>春节八天乐</v>
      </c>
      <c r="B246" s="40">
        <v>568</v>
      </c>
      <c r="C246" s="40">
        <v>34</v>
      </c>
      <c r="D246" s="40">
        <v>98</v>
      </c>
      <c r="E246" s="40"/>
      <c r="F246" s="40">
        <v>15</v>
      </c>
      <c r="G246" s="40">
        <v>15</v>
      </c>
      <c r="H246" s="40">
        <v>1</v>
      </c>
      <c r="I246" s="40"/>
      <c r="J246" s="40" t="s">
        <v>966</v>
      </c>
      <c r="K246" s="40">
        <v>2</v>
      </c>
      <c r="L246" s="76">
        <v>200978</v>
      </c>
      <c r="M246" s="76" t="str">
        <f>IFERROR(INDEX([1]物品基础表!$A:$A,MATCH(L246,[1]物品基础表!$B:$B,0)),"")</f>
        <v>新春小红包</v>
      </c>
      <c r="N246" s="76">
        <v>1</v>
      </c>
      <c r="O246" s="76">
        <v>200157</v>
      </c>
      <c r="P246" s="76" t="str">
        <f>IFERROR(INDEX([1]物品基础表!$A:$A,MATCH(O246,[1]物品基础表!$B:$B,0)),"")</f>
        <v>秘境BOSS次数卷轴</v>
      </c>
      <c r="Q246" s="76">
        <v>1</v>
      </c>
      <c r="S246" s="76" t="str">
        <f>IFERROR(INDEX([1]物品基础表!$A:$A,MATCH(R246,[1]物品基础表!$B:$B,0)),"")</f>
        <v/>
      </c>
    </row>
    <row r="247" spans="1:20">
      <c r="A247" s="39" t="str">
        <f>INDEX([2]活动总表!$A$8:$A$429,MATCH(B247,[2]活动总表!$B$8:$B$429,0))</f>
        <v>春节八天乐</v>
      </c>
      <c r="B247" s="40">
        <v>568</v>
      </c>
      <c r="C247" s="40">
        <v>35</v>
      </c>
      <c r="D247" s="40">
        <v>98</v>
      </c>
      <c r="E247" s="40"/>
      <c r="F247" s="40">
        <v>18</v>
      </c>
      <c r="G247" s="40">
        <v>18</v>
      </c>
      <c r="H247" s="40">
        <v>1</v>
      </c>
      <c r="I247" s="40"/>
      <c r="J247" s="40" t="s">
        <v>967</v>
      </c>
      <c r="K247" s="40">
        <v>2</v>
      </c>
      <c r="L247" s="76">
        <v>200978</v>
      </c>
      <c r="M247" s="76" t="str">
        <f>IFERROR(INDEX([1]物品基础表!$A:$A,MATCH(L247,[1]物品基础表!$B:$B,0)),"")</f>
        <v>新春小红包</v>
      </c>
      <c r="N247" s="76">
        <v>1</v>
      </c>
      <c r="O247" s="76">
        <v>200157</v>
      </c>
      <c r="P247" s="76" t="str">
        <f>IFERROR(INDEX([1]物品基础表!$A:$A,MATCH(O247,[1]物品基础表!$B:$B,0)),"")</f>
        <v>秘境BOSS次数卷轴</v>
      </c>
      <c r="Q247" s="76">
        <v>1</v>
      </c>
      <c r="S247" s="76" t="str">
        <f>IFERROR(INDEX([1]物品基础表!$A:$A,MATCH(R247,[1]物品基础表!$B:$B,0)),"")</f>
        <v/>
      </c>
    </row>
    <row r="248" spans="1:20">
      <c r="A248" s="39" t="str">
        <f>INDEX([2]活动总表!$A$8:$A$429,MATCH(B248,[2]活动总表!$B$8:$B$429,0))</f>
        <v>春节八天乐</v>
      </c>
      <c r="B248" s="40">
        <v>568</v>
      </c>
      <c r="C248" s="40">
        <v>36</v>
      </c>
      <c r="D248" s="40">
        <v>92</v>
      </c>
      <c r="E248" s="40"/>
      <c r="F248" s="40">
        <v>10</v>
      </c>
      <c r="G248" s="40">
        <v>10</v>
      </c>
      <c r="H248" s="40">
        <v>1</v>
      </c>
      <c r="I248" s="40"/>
      <c r="J248" s="40" t="s">
        <v>968</v>
      </c>
      <c r="K248" s="40">
        <v>2</v>
      </c>
      <c r="L248" s="76">
        <v>200979</v>
      </c>
      <c r="M248" s="76" t="str">
        <f>IFERROR(INDEX([1]物品基础表!$A:$A,MATCH(L248,[1]物品基础表!$B:$B,0)),"")</f>
        <v>新春大红包</v>
      </c>
      <c r="N248" s="76">
        <v>1</v>
      </c>
      <c r="O248" s="76">
        <v>500005</v>
      </c>
      <c r="P248" s="76" t="str">
        <f>IFERROR(INDEX([1]物品基础表!$A:$A,MATCH(O248,[1]物品基础表!$B:$B,0)),"")</f>
        <v>战纹精华-红</v>
      </c>
      <c r="Q248" s="76">
        <v>5</v>
      </c>
      <c r="S248" s="76" t="str">
        <f>IFERROR(INDEX([1]物品基础表!$A:$A,MATCH(R248,[1]物品基础表!$B:$B,0)),"")</f>
        <v/>
      </c>
    </row>
    <row r="249" spans="1:20">
      <c r="A249" s="39" t="str">
        <f>INDEX([2]活动总表!$A$8:$A$429,MATCH(B249,[2]活动总表!$B$8:$B$429,0))</f>
        <v>春节八天乐</v>
      </c>
      <c r="B249" s="40">
        <v>568</v>
      </c>
      <c r="C249" s="40">
        <v>37</v>
      </c>
      <c r="D249" s="40">
        <v>92</v>
      </c>
      <c r="E249" s="40"/>
      <c r="F249" s="40">
        <v>20</v>
      </c>
      <c r="G249" s="40">
        <v>20</v>
      </c>
      <c r="H249" s="40">
        <v>1</v>
      </c>
      <c r="I249" s="40"/>
      <c r="J249" s="40" t="s">
        <v>969</v>
      </c>
      <c r="K249" s="40">
        <v>2</v>
      </c>
      <c r="L249" s="76">
        <v>200979</v>
      </c>
      <c r="M249" s="76" t="str">
        <f>IFERROR(INDEX([1]物品基础表!$A:$A,MATCH(L249,[1]物品基础表!$B:$B,0)),"")</f>
        <v>新春大红包</v>
      </c>
      <c r="N249" s="76">
        <v>1</v>
      </c>
      <c r="O249" s="76">
        <v>500005</v>
      </c>
      <c r="P249" s="76" t="str">
        <f>IFERROR(INDEX([1]物品基础表!$A:$A,MATCH(O249,[1]物品基础表!$B:$B,0)),"")</f>
        <v>战纹精华-红</v>
      </c>
      <c r="Q249" s="76">
        <v>5</v>
      </c>
      <c r="S249" s="76" t="str">
        <f>IFERROR(INDEX([1]物品基础表!$A:$A,MATCH(R249,[1]物品基础表!$B:$B,0)),"")</f>
        <v/>
      </c>
    </row>
    <row r="250" spans="1:20">
      <c r="A250" s="39" t="str">
        <f>INDEX([2]活动总表!$A$8:$A$429,MATCH(B250,[2]活动总表!$B$8:$B$429,0))</f>
        <v>春节八天乐</v>
      </c>
      <c r="B250" s="40">
        <v>568</v>
      </c>
      <c r="C250" s="40">
        <v>38</v>
      </c>
      <c r="D250" s="40">
        <v>92</v>
      </c>
      <c r="E250" s="40"/>
      <c r="F250" s="40">
        <v>30</v>
      </c>
      <c r="G250" s="40">
        <v>30</v>
      </c>
      <c r="H250" s="40">
        <v>1</v>
      </c>
      <c r="I250" s="40"/>
      <c r="J250" s="40" t="s">
        <v>970</v>
      </c>
      <c r="K250" s="40">
        <v>2</v>
      </c>
      <c r="L250" s="76">
        <v>200979</v>
      </c>
      <c r="M250" s="76" t="str">
        <f>IFERROR(INDEX([1]物品基础表!$A:$A,MATCH(L250,[1]物品基础表!$B:$B,0)),"")</f>
        <v>新春大红包</v>
      </c>
      <c r="N250" s="76">
        <v>1</v>
      </c>
      <c r="O250" s="76">
        <v>500005</v>
      </c>
      <c r="P250" s="76" t="str">
        <f>IFERROR(INDEX([1]物品基础表!$A:$A,MATCH(O250,[1]物品基础表!$B:$B,0)),"")</f>
        <v>战纹精华-红</v>
      </c>
      <c r="Q250" s="76">
        <v>5</v>
      </c>
      <c r="S250" s="76" t="str">
        <f>IFERROR(INDEX([1]物品基础表!$A:$A,MATCH(R250,[1]物品基础表!$B:$B,0)),"")</f>
        <v/>
      </c>
    </row>
    <row r="251" spans="1:20">
      <c r="A251" s="39" t="str">
        <f>INDEX([2]活动总表!$A$8:$A$429,MATCH(B251,[2]活动总表!$B$8:$B$429,0))</f>
        <v>春节八天乐</v>
      </c>
      <c r="B251" s="40">
        <v>568</v>
      </c>
      <c r="C251" s="40">
        <v>39</v>
      </c>
      <c r="D251" s="40">
        <v>92</v>
      </c>
      <c r="E251" s="40"/>
      <c r="F251" s="40">
        <v>50</v>
      </c>
      <c r="G251" s="40">
        <v>50</v>
      </c>
      <c r="H251" s="40">
        <v>1</v>
      </c>
      <c r="I251" s="40"/>
      <c r="J251" s="40" t="s">
        <v>971</v>
      </c>
      <c r="K251" s="40">
        <v>2</v>
      </c>
      <c r="L251" s="76">
        <v>200979</v>
      </c>
      <c r="M251" s="76" t="str">
        <f>IFERROR(INDEX([1]物品基础表!$A:$A,MATCH(L251,[1]物品基础表!$B:$B,0)),"")</f>
        <v>新春大红包</v>
      </c>
      <c r="N251" s="76">
        <v>2</v>
      </c>
      <c r="O251" s="76">
        <v>500005</v>
      </c>
      <c r="P251" s="76" t="str">
        <f>IFERROR(INDEX([1]物品基础表!$A:$A,MATCH(O251,[1]物品基础表!$B:$B,0)),"")</f>
        <v>战纹精华-红</v>
      </c>
      <c r="Q251" s="76">
        <v>10</v>
      </c>
      <c r="S251" s="76" t="str">
        <f>IFERROR(INDEX([1]物品基础表!$A:$A,MATCH(R251,[1]物品基础表!$B:$B,0)),"")</f>
        <v/>
      </c>
    </row>
    <row r="252" spans="1:20">
      <c r="A252" s="39" t="str">
        <f>INDEX([2]活动总表!$A$8:$A$429,MATCH(B252,[2]活动总表!$B$8:$B$429,0))</f>
        <v>春节八天乐</v>
      </c>
      <c r="B252" s="40">
        <v>568</v>
      </c>
      <c r="C252" s="40">
        <v>40</v>
      </c>
      <c r="D252" s="40">
        <v>92</v>
      </c>
      <c r="E252" s="40"/>
      <c r="F252" s="40">
        <v>70</v>
      </c>
      <c r="G252" s="40">
        <v>70</v>
      </c>
      <c r="H252" s="40">
        <v>1</v>
      </c>
      <c r="I252" s="40"/>
      <c r="J252" s="40" t="s">
        <v>972</v>
      </c>
      <c r="K252" s="40">
        <v>2</v>
      </c>
      <c r="L252" s="76">
        <v>200979</v>
      </c>
      <c r="M252" s="76" t="str">
        <f>IFERROR(INDEX([1]物品基础表!$A:$A,MATCH(L252,[1]物品基础表!$B:$B,0)),"")</f>
        <v>新春大红包</v>
      </c>
      <c r="N252" s="76">
        <v>2</v>
      </c>
      <c r="O252" s="76">
        <v>500005</v>
      </c>
      <c r="P252" s="76" t="str">
        <f>IFERROR(INDEX([1]物品基础表!$A:$A,MATCH(O252,[1]物品基础表!$B:$B,0)),"")</f>
        <v>战纹精华-红</v>
      </c>
      <c r="Q252" s="76">
        <v>10</v>
      </c>
      <c r="S252" s="76" t="str">
        <f>IFERROR(INDEX([1]物品基础表!$A:$A,MATCH(R252,[1]物品基础表!$B:$B,0)),"")</f>
        <v/>
      </c>
    </row>
    <row r="253" spans="1:20">
      <c r="A253" s="39" t="str">
        <f>INDEX([2]活动总表!$A$8:$A$429,MATCH(B253,[2]活动总表!$B$8:$B$429,0))</f>
        <v>春节八天乐</v>
      </c>
      <c r="B253" s="40">
        <v>568</v>
      </c>
      <c r="C253" s="40">
        <v>41</v>
      </c>
      <c r="D253" s="40">
        <v>92</v>
      </c>
      <c r="E253" s="40"/>
      <c r="F253" s="40">
        <v>90</v>
      </c>
      <c r="G253" s="40">
        <v>90</v>
      </c>
      <c r="H253" s="40">
        <v>1</v>
      </c>
      <c r="I253" s="40"/>
      <c r="J253" s="40" t="s">
        <v>973</v>
      </c>
      <c r="K253" s="40">
        <v>2</v>
      </c>
      <c r="L253" s="76">
        <v>200979</v>
      </c>
      <c r="M253" s="76" t="str">
        <f>IFERROR(INDEX([1]物品基础表!$A:$A,MATCH(L253,[1]物品基础表!$B:$B,0)),"")</f>
        <v>新春大红包</v>
      </c>
      <c r="N253" s="76">
        <v>2</v>
      </c>
      <c r="O253" s="76">
        <v>500005</v>
      </c>
      <c r="P253" s="76" t="str">
        <f>IFERROR(INDEX([1]物品基础表!$A:$A,MATCH(O253,[1]物品基础表!$B:$B,0)),"")</f>
        <v>战纹精华-红</v>
      </c>
      <c r="Q253" s="76">
        <v>10</v>
      </c>
      <c r="S253" s="76" t="str">
        <f>IFERROR(INDEX([1]物品基础表!$A:$A,MATCH(R253,[1]物品基础表!$B:$B,0)),"")</f>
        <v/>
      </c>
    </row>
    <row r="254" spans="1:20">
      <c r="A254" s="39" t="str">
        <f>INDEX([2]活动总表!$A$8:$A$429,MATCH(B254,[2]活动总表!$B$8:$B$429,0))</f>
        <v>春节八天乐</v>
      </c>
      <c r="B254" s="40">
        <v>568</v>
      </c>
      <c r="C254" s="40">
        <v>42</v>
      </c>
      <c r="D254" s="40">
        <v>92</v>
      </c>
      <c r="E254" s="40"/>
      <c r="F254" s="40">
        <v>120</v>
      </c>
      <c r="G254" s="40">
        <v>120</v>
      </c>
      <c r="H254" s="40">
        <v>1</v>
      </c>
      <c r="I254" s="40"/>
      <c r="J254" s="40" t="s">
        <v>974</v>
      </c>
      <c r="K254" s="40">
        <v>2</v>
      </c>
      <c r="L254" s="76">
        <v>200979</v>
      </c>
      <c r="M254" s="76" t="str">
        <f>IFERROR(INDEX([1]物品基础表!$A:$A,MATCH(L254,[1]物品基础表!$B:$B,0)),"")</f>
        <v>新春大红包</v>
      </c>
      <c r="N254" s="76">
        <v>3</v>
      </c>
      <c r="O254" s="76">
        <v>500005</v>
      </c>
      <c r="P254" s="76" t="str">
        <f>IFERROR(INDEX([1]物品基础表!$A:$A,MATCH(O254,[1]物品基础表!$B:$B,0)),"")</f>
        <v>战纹精华-红</v>
      </c>
      <c r="Q254" s="76">
        <v>10</v>
      </c>
      <c r="S254" s="76" t="str">
        <f>IFERROR(INDEX([1]物品基础表!$A:$A,MATCH(R254,[1]物品基础表!$B:$B,0)),"")</f>
        <v/>
      </c>
    </row>
    <row r="255" spans="1:20">
      <c r="A255" s="39" t="str">
        <f>INDEX([2]活动总表!$A$8:$A$429,MATCH(B255,[2]活动总表!$B$8:$B$429,0))</f>
        <v>春节八天乐</v>
      </c>
      <c r="B255" s="40">
        <v>568</v>
      </c>
      <c r="C255" s="40">
        <v>43</v>
      </c>
      <c r="D255" s="40">
        <v>107</v>
      </c>
      <c r="E255" s="40"/>
      <c r="F255" s="40">
        <v>1000</v>
      </c>
      <c r="G255" s="40">
        <v>1000</v>
      </c>
      <c r="H255" s="40">
        <v>1</v>
      </c>
      <c r="I255" s="40">
        <v>100</v>
      </c>
      <c r="J255" s="40" t="s">
        <v>975</v>
      </c>
      <c r="K255" s="40">
        <v>3</v>
      </c>
      <c r="L255" s="76">
        <v>200979</v>
      </c>
      <c r="M255" s="76" t="str">
        <f>IFERROR(INDEX([1]物品基础表!$A:$A,MATCH(L255,[1]物品基础表!$B:$B,0)),"")</f>
        <v>新春大红包</v>
      </c>
      <c r="N255" s="76">
        <v>1</v>
      </c>
      <c r="O255" s="76">
        <v>200009</v>
      </c>
      <c r="P255" s="76" t="str">
        <f>IFERROR(INDEX([1]物品基础表!$A:$A,MATCH(O255,[1]物品基础表!$B:$B,0)),"")</f>
        <v>高级转生丹</v>
      </c>
      <c r="Q255" s="76">
        <v>1</v>
      </c>
      <c r="R255" s="76">
        <v>1</v>
      </c>
      <c r="S255" s="76" t="str">
        <f t="shared" ref="S255:S261" si="19">IF(R255=2,"元宝",IF(R255=1,"金币","精炼石"))</f>
        <v>金币</v>
      </c>
      <c r="T255" s="76">
        <v>1000000</v>
      </c>
    </row>
    <row r="256" spans="1:20">
      <c r="A256" s="39" t="str">
        <f>INDEX([2]活动总表!$A$8:$A$429,MATCH(B256,[2]活动总表!$B$8:$B$429,0))</f>
        <v>春节八天乐</v>
      </c>
      <c r="B256" s="40">
        <v>568</v>
      </c>
      <c r="C256" s="40">
        <v>44</v>
      </c>
      <c r="D256" s="40">
        <v>107</v>
      </c>
      <c r="E256" s="40"/>
      <c r="F256" s="40">
        <v>3000</v>
      </c>
      <c r="G256" s="40">
        <v>3000</v>
      </c>
      <c r="H256" s="40">
        <v>1</v>
      </c>
      <c r="I256" s="40">
        <v>100</v>
      </c>
      <c r="J256" s="40" t="s">
        <v>976</v>
      </c>
      <c r="K256" s="40">
        <v>3</v>
      </c>
      <c r="L256" s="76">
        <v>200979</v>
      </c>
      <c r="M256" s="76" t="str">
        <f>IFERROR(INDEX([1]物品基础表!$A:$A,MATCH(L256,[1]物品基础表!$B:$B,0)),"")</f>
        <v>新春大红包</v>
      </c>
      <c r="N256" s="76">
        <v>1</v>
      </c>
      <c r="O256" s="76">
        <v>200009</v>
      </c>
      <c r="P256" s="76" t="str">
        <f>IFERROR(INDEX([1]物品基础表!$A:$A,MATCH(O256,[1]物品基础表!$B:$B,0)),"")</f>
        <v>高级转生丹</v>
      </c>
      <c r="Q256" s="76">
        <v>1</v>
      </c>
      <c r="R256" s="76">
        <v>1</v>
      </c>
      <c r="S256" s="76" t="str">
        <f t="shared" si="19"/>
        <v>金币</v>
      </c>
      <c r="T256" s="76">
        <v>1500000</v>
      </c>
    </row>
    <row r="257" spans="1:20">
      <c r="A257" s="39" t="str">
        <f>INDEX([2]活动总表!$A$8:$A$429,MATCH(B257,[2]活动总表!$B$8:$B$429,0))</f>
        <v>春节八天乐</v>
      </c>
      <c r="B257" s="40">
        <v>568</v>
      </c>
      <c r="C257" s="40">
        <v>45</v>
      </c>
      <c r="D257" s="40">
        <v>107</v>
      </c>
      <c r="E257" s="40"/>
      <c r="F257" s="40">
        <v>6000</v>
      </c>
      <c r="G257" s="40">
        <v>6000</v>
      </c>
      <c r="H257" s="40">
        <v>1</v>
      </c>
      <c r="I257" s="40">
        <v>100</v>
      </c>
      <c r="J257" s="40" t="s">
        <v>977</v>
      </c>
      <c r="K257" s="40">
        <v>3</v>
      </c>
      <c r="L257" s="76">
        <v>200979</v>
      </c>
      <c r="M257" s="76" t="str">
        <f>IFERROR(INDEX([1]物品基础表!$A:$A,MATCH(L257,[1]物品基础表!$B:$B,0)),"")</f>
        <v>新春大红包</v>
      </c>
      <c r="N257" s="76">
        <v>1</v>
      </c>
      <c r="O257" s="76">
        <v>200009</v>
      </c>
      <c r="P257" s="76" t="str">
        <f>IFERROR(INDEX([1]物品基础表!$A:$A,MATCH(O257,[1]物品基础表!$B:$B,0)),"")</f>
        <v>高级转生丹</v>
      </c>
      <c r="Q257" s="76">
        <v>2</v>
      </c>
      <c r="R257" s="76">
        <v>1</v>
      </c>
      <c r="S257" s="76" t="str">
        <f t="shared" si="19"/>
        <v>金币</v>
      </c>
      <c r="T257" s="76">
        <v>2000000</v>
      </c>
    </row>
    <row r="258" spans="1:20">
      <c r="A258" s="39" t="str">
        <f>INDEX([2]活动总表!$A$8:$A$429,MATCH(B258,[2]活动总表!$B$8:$B$429,0))</f>
        <v>春节八天乐</v>
      </c>
      <c r="B258" s="40">
        <v>568</v>
      </c>
      <c r="C258" s="40">
        <v>46</v>
      </c>
      <c r="D258" s="40">
        <v>107</v>
      </c>
      <c r="E258" s="40"/>
      <c r="F258" s="40">
        <v>10000</v>
      </c>
      <c r="G258" s="40">
        <v>10000</v>
      </c>
      <c r="H258" s="40">
        <v>1</v>
      </c>
      <c r="I258" s="40">
        <v>100</v>
      </c>
      <c r="J258" s="40" t="s">
        <v>978</v>
      </c>
      <c r="K258" s="40">
        <v>3</v>
      </c>
      <c r="L258" s="76">
        <v>200979</v>
      </c>
      <c r="M258" s="76" t="str">
        <f>IFERROR(INDEX([1]物品基础表!$A:$A,MATCH(L258,[1]物品基础表!$B:$B,0)),"")</f>
        <v>新春大红包</v>
      </c>
      <c r="N258" s="76">
        <v>1</v>
      </c>
      <c r="O258" s="76">
        <v>200009</v>
      </c>
      <c r="P258" s="76" t="str">
        <f>IFERROR(INDEX([1]物品基础表!$A:$A,MATCH(O258,[1]物品基础表!$B:$B,0)),"")</f>
        <v>高级转生丹</v>
      </c>
      <c r="Q258" s="76">
        <v>2</v>
      </c>
      <c r="R258" s="76">
        <v>1</v>
      </c>
      <c r="S258" s="76" t="str">
        <f t="shared" si="19"/>
        <v>金币</v>
      </c>
      <c r="T258" s="76">
        <v>2500000</v>
      </c>
    </row>
    <row r="259" spans="1:20">
      <c r="A259" s="39" t="str">
        <f>INDEX([2]活动总表!$A$8:$A$429,MATCH(B259,[2]活动总表!$B$8:$B$429,0))</f>
        <v>春节八天乐</v>
      </c>
      <c r="B259" s="40">
        <v>568</v>
      </c>
      <c r="C259" s="40">
        <v>47</v>
      </c>
      <c r="D259" s="40">
        <v>107</v>
      </c>
      <c r="E259" s="40"/>
      <c r="F259" s="40">
        <v>20000</v>
      </c>
      <c r="G259" s="40">
        <v>20000</v>
      </c>
      <c r="H259" s="40">
        <v>1</v>
      </c>
      <c r="I259" s="40">
        <v>100</v>
      </c>
      <c r="J259" s="40" t="s">
        <v>979</v>
      </c>
      <c r="K259" s="40">
        <v>3</v>
      </c>
      <c r="L259" s="76">
        <v>200979</v>
      </c>
      <c r="M259" s="76" t="str">
        <f>IFERROR(INDEX([1]物品基础表!$A:$A,MATCH(L259,[1]物品基础表!$B:$B,0)),"")</f>
        <v>新春大红包</v>
      </c>
      <c r="N259" s="76">
        <v>3</v>
      </c>
      <c r="O259" s="76">
        <v>200009</v>
      </c>
      <c r="P259" s="76" t="str">
        <f>IFERROR(INDEX([1]物品基础表!$A:$A,MATCH(O259,[1]物品基础表!$B:$B,0)),"")</f>
        <v>高级转生丹</v>
      </c>
      <c r="Q259" s="76">
        <v>3</v>
      </c>
      <c r="R259" s="76">
        <v>1</v>
      </c>
      <c r="S259" s="76" t="str">
        <f t="shared" si="19"/>
        <v>金币</v>
      </c>
      <c r="T259" s="76">
        <v>3000000</v>
      </c>
    </row>
    <row r="260" spans="1:20">
      <c r="A260" s="39" t="str">
        <f>INDEX([2]活动总表!$A$8:$A$429,MATCH(B260,[2]活动总表!$B$8:$B$429,0))</f>
        <v>春节八天乐</v>
      </c>
      <c r="B260" s="40">
        <v>568</v>
      </c>
      <c r="C260" s="40">
        <v>48</v>
      </c>
      <c r="D260" s="40">
        <v>107</v>
      </c>
      <c r="E260" s="40"/>
      <c r="F260" s="40">
        <v>30000</v>
      </c>
      <c r="G260" s="40">
        <v>30000</v>
      </c>
      <c r="H260" s="40">
        <v>1</v>
      </c>
      <c r="I260" s="40">
        <v>100</v>
      </c>
      <c r="J260" s="40" t="s">
        <v>980</v>
      </c>
      <c r="K260" s="40">
        <v>3</v>
      </c>
      <c r="L260" s="76">
        <v>200979</v>
      </c>
      <c r="M260" s="76" t="str">
        <f>IFERROR(INDEX([1]物品基础表!$A:$A,MATCH(L260,[1]物品基础表!$B:$B,0)),"")</f>
        <v>新春大红包</v>
      </c>
      <c r="N260" s="76">
        <v>3</v>
      </c>
      <c r="O260" s="76">
        <v>200009</v>
      </c>
      <c r="P260" s="76" t="str">
        <f>IFERROR(INDEX([1]物品基础表!$A:$A,MATCH(O260,[1]物品基础表!$B:$B,0)),"")</f>
        <v>高级转生丹</v>
      </c>
      <c r="Q260" s="76">
        <v>3</v>
      </c>
      <c r="R260" s="76">
        <v>1</v>
      </c>
      <c r="S260" s="76" t="str">
        <f t="shared" si="19"/>
        <v>金币</v>
      </c>
      <c r="T260" s="76">
        <v>3500000</v>
      </c>
    </row>
    <row r="261" spans="1:20">
      <c r="A261" s="39" t="str">
        <f>INDEX([2]活动总表!$A$8:$A$429,MATCH(B261,[2]活动总表!$B$8:$B$429,0))</f>
        <v>春节八天乐</v>
      </c>
      <c r="B261" s="40">
        <v>568</v>
      </c>
      <c r="C261" s="40">
        <v>49</v>
      </c>
      <c r="D261" s="40">
        <v>107</v>
      </c>
      <c r="E261" s="40"/>
      <c r="F261" s="40">
        <v>50000</v>
      </c>
      <c r="G261" s="40">
        <v>50000</v>
      </c>
      <c r="H261" s="40">
        <v>1</v>
      </c>
      <c r="I261" s="40">
        <v>100</v>
      </c>
      <c r="J261" s="40" t="s">
        <v>981</v>
      </c>
      <c r="K261" s="40">
        <v>3</v>
      </c>
      <c r="L261" s="76">
        <v>200979</v>
      </c>
      <c r="M261" s="76" t="str">
        <f>IFERROR(INDEX([1]物品基础表!$A:$A,MATCH(L261,[1]物品基础表!$B:$B,0)),"")</f>
        <v>新春大红包</v>
      </c>
      <c r="N261" s="76">
        <v>6</v>
      </c>
      <c r="O261" s="76">
        <v>200009</v>
      </c>
      <c r="P261" s="76" t="str">
        <f>IFERROR(INDEX([1]物品基础表!$A:$A,MATCH(O261,[1]物品基础表!$B:$B,0)),"")</f>
        <v>高级转生丹</v>
      </c>
      <c r="Q261" s="76">
        <v>5</v>
      </c>
      <c r="R261" s="76">
        <v>1</v>
      </c>
      <c r="S261" s="76" t="str">
        <f t="shared" si="19"/>
        <v>金币</v>
      </c>
      <c r="T261" s="76">
        <v>4000000</v>
      </c>
    </row>
    <row r="262" spans="1:20">
      <c r="A262" s="39" t="str">
        <f>INDEX([2]活动总表!$A$8:$A$429,MATCH(B262,[2]活动总表!$B$8:$B$429,0))</f>
        <v>春节八天乐</v>
      </c>
      <c r="B262" s="40">
        <v>568</v>
      </c>
      <c r="C262" s="40">
        <v>50</v>
      </c>
      <c r="D262" s="40">
        <v>50</v>
      </c>
      <c r="E262" s="40"/>
      <c r="F262" s="40">
        <v>3</v>
      </c>
      <c r="G262" s="40">
        <v>3</v>
      </c>
      <c r="H262" s="40">
        <v>1</v>
      </c>
      <c r="I262" s="40"/>
      <c r="J262" s="40" t="s">
        <v>982</v>
      </c>
      <c r="K262" s="40">
        <v>3</v>
      </c>
      <c r="L262" s="76">
        <v>200978</v>
      </c>
      <c r="M262" s="76" t="str">
        <f>IFERROR(INDEX([1]物品基础表!$A:$A,MATCH(L262,[1]物品基础表!$B:$B,0)),"")</f>
        <v>新春小红包</v>
      </c>
      <c r="N262" s="76">
        <v>1</v>
      </c>
      <c r="O262" s="76">
        <v>4</v>
      </c>
      <c r="P262" s="76" t="str">
        <f t="shared" ref="P262:P265" si="20">IF(O262=2,"元宝",IF(O262=1,"金币","精炼石"))</f>
        <v>精炼石</v>
      </c>
      <c r="Q262" s="76">
        <v>2000</v>
      </c>
      <c r="S262" s="76" t="str">
        <f>IFERROR(INDEX([1]物品基础表!$A:$A,MATCH(R262,[1]物品基础表!$B:$B,0)),"")</f>
        <v/>
      </c>
    </row>
    <row r="263" spans="1:20">
      <c r="A263" s="39" t="str">
        <f>INDEX([2]活动总表!$A$8:$A$429,MATCH(B263,[2]活动总表!$B$8:$B$429,0))</f>
        <v>春节八天乐</v>
      </c>
      <c r="B263" s="40">
        <v>568</v>
      </c>
      <c r="C263" s="40">
        <v>51</v>
      </c>
      <c r="D263" s="40">
        <v>50</v>
      </c>
      <c r="E263" s="40"/>
      <c r="F263" s="40">
        <v>6</v>
      </c>
      <c r="G263" s="40">
        <v>6</v>
      </c>
      <c r="H263" s="40">
        <v>1</v>
      </c>
      <c r="I263" s="40"/>
      <c r="J263" s="40" t="s">
        <v>983</v>
      </c>
      <c r="K263" s="40">
        <v>3</v>
      </c>
      <c r="L263" s="76">
        <v>200978</v>
      </c>
      <c r="M263" s="76" t="str">
        <f>IFERROR(INDEX([1]物品基础表!$A:$A,MATCH(L263,[1]物品基础表!$B:$B,0)),"")</f>
        <v>新春小红包</v>
      </c>
      <c r="N263" s="76">
        <v>1</v>
      </c>
      <c r="O263" s="76">
        <v>4</v>
      </c>
      <c r="P263" s="76" t="str">
        <f t="shared" si="20"/>
        <v>精炼石</v>
      </c>
      <c r="Q263" s="76">
        <v>2000</v>
      </c>
      <c r="S263" s="76" t="str">
        <f>IFERROR(INDEX([1]物品基础表!$A:$A,MATCH(R263,[1]物品基础表!$B:$B,0)),"")</f>
        <v/>
      </c>
    </row>
    <row r="264" spans="1:20">
      <c r="A264" s="39" t="str">
        <f>INDEX([2]活动总表!$A$8:$A$429,MATCH(B264,[2]活动总表!$B$8:$B$429,0))</f>
        <v>春节八天乐</v>
      </c>
      <c r="B264" s="40">
        <v>568</v>
      </c>
      <c r="C264" s="40">
        <v>52</v>
      </c>
      <c r="D264" s="40">
        <v>50</v>
      </c>
      <c r="E264" s="40"/>
      <c r="F264" s="40">
        <v>12</v>
      </c>
      <c r="G264" s="40">
        <v>12</v>
      </c>
      <c r="H264" s="40">
        <v>1</v>
      </c>
      <c r="I264" s="40"/>
      <c r="J264" s="40" t="s">
        <v>984</v>
      </c>
      <c r="K264" s="40">
        <v>3</v>
      </c>
      <c r="L264" s="76">
        <v>200978</v>
      </c>
      <c r="M264" s="76" t="str">
        <f>IFERROR(INDEX([1]物品基础表!$A:$A,MATCH(L264,[1]物品基础表!$B:$B,0)),"")</f>
        <v>新春小红包</v>
      </c>
      <c r="N264" s="76">
        <v>1</v>
      </c>
      <c r="O264" s="76">
        <v>4</v>
      </c>
      <c r="P264" s="76" t="str">
        <f t="shared" si="20"/>
        <v>精炼石</v>
      </c>
      <c r="Q264" s="76">
        <v>2000</v>
      </c>
      <c r="S264" s="76" t="str">
        <f>IFERROR(INDEX([1]物品基础表!$A:$A,MATCH(R264,[1]物品基础表!$B:$B,0)),"")</f>
        <v/>
      </c>
    </row>
    <row r="265" spans="1:20">
      <c r="A265" s="39" t="str">
        <f>INDEX([2]活动总表!$A$8:$A$429,MATCH(B265,[2]活动总表!$B$8:$B$429,0))</f>
        <v>春节八天乐</v>
      </c>
      <c r="B265" s="40">
        <v>568</v>
      </c>
      <c r="C265" s="40">
        <v>53</v>
      </c>
      <c r="D265" s="40">
        <v>50</v>
      </c>
      <c r="E265" s="40"/>
      <c r="F265" s="40">
        <v>18</v>
      </c>
      <c r="G265" s="40">
        <v>18</v>
      </c>
      <c r="H265" s="40">
        <v>1</v>
      </c>
      <c r="I265" s="40"/>
      <c r="J265" s="40" t="s">
        <v>985</v>
      </c>
      <c r="K265" s="40">
        <v>3</v>
      </c>
      <c r="L265" s="76">
        <v>200978</v>
      </c>
      <c r="M265" s="76" t="str">
        <f>IFERROR(INDEX([1]物品基础表!$A:$A,MATCH(L265,[1]物品基础表!$B:$B,0)),"")</f>
        <v>新春小红包</v>
      </c>
      <c r="N265" s="76">
        <v>1</v>
      </c>
      <c r="O265" s="76">
        <v>4</v>
      </c>
      <c r="P265" s="76" t="str">
        <f t="shared" si="20"/>
        <v>精炼石</v>
      </c>
      <c r="Q265" s="76">
        <v>2000</v>
      </c>
      <c r="S265" s="76" t="str">
        <f>IFERROR(INDEX([1]物品基础表!$A:$A,MATCH(R265,[1]物品基础表!$B:$B,0)),"")</f>
        <v/>
      </c>
    </row>
    <row r="266" spans="1:20">
      <c r="A266" s="39" t="str">
        <f>INDEX([2]活动总表!$A$8:$A$429,MATCH(B266,[2]活动总表!$B$8:$B$429,0))</f>
        <v>春节八天乐</v>
      </c>
      <c r="B266" s="40">
        <v>568</v>
      </c>
      <c r="C266" s="40">
        <v>54</v>
      </c>
      <c r="D266" s="40">
        <v>11</v>
      </c>
      <c r="E266" s="40">
        <v>25</v>
      </c>
      <c r="F266" s="40">
        <v>1</v>
      </c>
      <c r="G266" s="40">
        <v>1</v>
      </c>
      <c r="H266" s="40">
        <v>1</v>
      </c>
      <c r="I266" s="40"/>
      <c r="J266" s="40" t="s">
        <v>986</v>
      </c>
      <c r="K266" s="40">
        <v>3</v>
      </c>
      <c r="L266" s="76">
        <v>200978</v>
      </c>
      <c r="M266" s="76" t="str">
        <f>IFERROR(INDEX([1]物品基础表!$A:$A,MATCH(L266,[1]物品基础表!$B:$B,0)),"")</f>
        <v>新春小红包</v>
      </c>
      <c r="N266" s="76">
        <v>1</v>
      </c>
      <c r="O266" s="76">
        <v>200318</v>
      </c>
      <c r="P266" s="76" t="str">
        <f>IFERROR(INDEX([1]物品基础表!$A:$A,MATCH(O266,[1]物品基础表!$B:$B,0)),"")</f>
        <v>威望令牌</v>
      </c>
      <c r="Q266" s="76">
        <v>10</v>
      </c>
      <c r="S266" s="76" t="str">
        <f>IFERROR(INDEX([1]物品基础表!$A:$A,MATCH(R266,[1]物品基础表!$B:$B,0)),"")</f>
        <v/>
      </c>
    </row>
    <row r="267" spans="1:20">
      <c r="A267" s="39" t="str">
        <f>INDEX([2]活动总表!$A$8:$A$429,MATCH(B267,[2]活动总表!$B$8:$B$429,0))</f>
        <v>春节八天乐</v>
      </c>
      <c r="B267" s="40">
        <v>568</v>
      </c>
      <c r="C267" s="40">
        <v>55</v>
      </c>
      <c r="D267" s="40">
        <v>11</v>
      </c>
      <c r="E267" s="40">
        <v>22</v>
      </c>
      <c r="F267" s="40">
        <v>1</v>
      </c>
      <c r="G267" s="40">
        <v>1</v>
      </c>
      <c r="H267" s="40">
        <v>1</v>
      </c>
      <c r="I267" s="40"/>
      <c r="J267" s="40" t="s">
        <v>987</v>
      </c>
      <c r="K267" s="40">
        <v>3</v>
      </c>
      <c r="L267" s="76">
        <v>200978</v>
      </c>
      <c r="M267" s="76" t="str">
        <f>IFERROR(INDEX([1]物品基础表!$A:$A,MATCH(L267,[1]物品基础表!$B:$B,0)),"")</f>
        <v>新春小红包</v>
      </c>
      <c r="N267" s="76">
        <v>1</v>
      </c>
      <c r="O267" s="76">
        <v>200318</v>
      </c>
      <c r="P267" s="76" t="str">
        <f>IFERROR(INDEX([1]物品基础表!$A:$A,MATCH(O267,[1]物品基础表!$B:$B,0)),"")</f>
        <v>威望令牌</v>
      </c>
      <c r="Q267" s="76">
        <v>10</v>
      </c>
      <c r="S267" s="76" t="str">
        <f>IFERROR(INDEX([1]物品基础表!$A:$A,MATCH(R267,[1]物品基础表!$B:$B,0)),"")</f>
        <v/>
      </c>
    </row>
    <row r="268" spans="1:20">
      <c r="A268" s="39" t="str">
        <f>INDEX([2]活动总表!$A$8:$A$429,MATCH(B268,[2]活动总表!$B$8:$B$429,0))</f>
        <v>春节八天乐</v>
      </c>
      <c r="B268" s="40">
        <v>568</v>
      </c>
      <c r="C268" s="40">
        <v>56</v>
      </c>
      <c r="D268" s="40">
        <v>94</v>
      </c>
      <c r="E268" s="40">
        <v>4</v>
      </c>
      <c r="F268" s="40">
        <v>2</v>
      </c>
      <c r="G268" s="40">
        <v>2</v>
      </c>
      <c r="H268" s="40">
        <v>1</v>
      </c>
      <c r="I268" s="40"/>
      <c r="J268" s="40" t="s">
        <v>988</v>
      </c>
      <c r="K268" s="40">
        <v>3</v>
      </c>
      <c r="L268" s="76">
        <v>200979</v>
      </c>
      <c r="M268" s="76" t="str">
        <f>IFERROR(INDEX([1]物品基础表!$A:$A,MATCH(L268,[1]物品基础表!$B:$B,0)),"")</f>
        <v>新春大红包</v>
      </c>
      <c r="N268" s="76">
        <v>2</v>
      </c>
      <c r="O268" s="76">
        <v>200936</v>
      </c>
      <c r="P268" s="76" t="str">
        <f>IFERROR(INDEX([1]物品基础表!$A:$A,MATCH(O268,[1]物品基础表!$B:$B,0)),"")</f>
        <v>矿锄</v>
      </c>
      <c r="Q268" s="76">
        <v>1</v>
      </c>
      <c r="S268" s="76" t="str">
        <f>IFERROR(INDEX([1]物品基础表!$A:$A,MATCH(R268,[1]物品基础表!$B:$B,0)),"")</f>
        <v/>
      </c>
    </row>
    <row r="269" spans="1:20">
      <c r="A269" s="39" t="str">
        <f>INDEX([2]活动总表!$A$8:$A$429,MATCH(B269,[2]活动总表!$B$8:$B$429,0))</f>
        <v>春节八天乐</v>
      </c>
      <c r="B269" s="40">
        <v>568</v>
      </c>
      <c r="C269" s="40">
        <v>57</v>
      </c>
      <c r="D269" s="40">
        <v>94</v>
      </c>
      <c r="E269" s="40">
        <v>4</v>
      </c>
      <c r="F269" s="40">
        <v>4</v>
      </c>
      <c r="G269" s="40">
        <v>4</v>
      </c>
      <c r="H269" s="40">
        <v>1</v>
      </c>
      <c r="I269" s="40"/>
      <c r="J269" s="40" t="s">
        <v>989</v>
      </c>
      <c r="K269" s="40">
        <v>3</v>
      </c>
      <c r="L269" s="76">
        <v>200979</v>
      </c>
      <c r="M269" s="76" t="str">
        <f>IFERROR(INDEX([1]物品基础表!$A:$A,MATCH(L269,[1]物品基础表!$B:$B,0)),"")</f>
        <v>新春大红包</v>
      </c>
      <c r="N269" s="76">
        <v>2</v>
      </c>
      <c r="O269" s="76">
        <v>200936</v>
      </c>
      <c r="P269" s="76" t="str">
        <f>IFERROR(INDEX([1]物品基础表!$A:$A,MATCH(O269,[1]物品基础表!$B:$B,0)),"")</f>
        <v>矿锄</v>
      </c>
      <c r="Q269" s="76">
        <v>2</v>
      </c>
      <c r="S269" s="76" t="str">
        <f>IFERROR(INDEX([1]物品基础表!$A:$A,MATCH(R269,[1]物品基础表!$B:$B,0)),"")</f>
        <v/>
      </c>
    </row>
    <row r="270" spans="1:20">
      <c r="A270" s="39" t="str">
        <f>INDEX([2]活动总表!$A$8:$A$429,MATCH(B270,[2]活动总表!$B$8:$B$429,0))</f>
        <v>春节八天乐</v>
      </c>
      <c r="B270" s="40">
        <v>568</v>
      </c>
      <c r="C270" s="40">
        <v>58</v>
      </c>
      <c r="D270" s="40">
        <v>94</v>
      </c>
      <c r="E270" s="40">
        <v>4</v>
      </c>
      <c r="F270" s="40">
        <v>6</v>
      </c>
      <c r="G270" s="40">
        <v>6</v>
      </c>
      <c r="H270" s="40">
        <v>1</v>
      </c>
      <c r="I270" s="40"/>
      <c r="J270" s="40" t="s">
        <v>990</v>
      </c>
      <c r="K270" s="40">
        <v>3</v>
      </c>
      <c r="L270" s="76">
        <v>200979</v>
      </c>
      <c r="M270" s="76" t="str">
        <f>IFERROR(INDEX([1]物品基础表!$A:$A,MATCH(L270,[1]物品基础表!$B:$B,0)),"")</f>
        <v>新春大红包</v>
      </c>
      <c r="N270" s="76">
        <v>2</v>
      </c>
      <c r="O270" s="76">
        <v>200936</v>
      </c>
      <c r="P270" s="76" t="str">
        <f>IFERROR(INDEX([1]物品基础表!$A:$A,MATCH(O270,[1]物品基础表!$B:$B,0)),"")</f>
        <v>矿锄</v>
      </c>
      <c r="Q270" s="76">
        <v>3</v>
      </c>
      <c r="S270" s="76" t="str">
        <f>IFERROR(INDEX([1]物品基础表!$A:$A,MATCH(R270,[1]物品基础表!$B:$B,0)),"")</f>
        <v/>
      </c>
    </row>
    <row r="271" spans="1:20">
      <c r="A271" s="39" t="str">
        <f>INDEX([2]活动总表!$A$8:$A$429,MATCH(B271,[2]活动总表!$B$8:$B$429,0))</f>
        <v>春节八天乐</v>
      </c>
      <c r="B271" s="40">
        <v>568</v>
      </c>
      <c r="C271" s="40">
        <v>59</v>
      </c>
      <c r="D271" s="40">
        <v>94</v>
      </c>
      <c r="E271" s="40">
        <v>4</v>
      </c>
      <c r="F271" s="40">
        <v>9</v>
      </c>
      <c r="G271" s="40">
        <v>9</v>
      </c>
      <c r="H271" s="40">
        <v>1</v>
      </c>
      <c r="I271" s="40"/>
      <c r="J271" s="40" t="s">
        <v>991</v>
      </c>
      <c r="K271" s="40">
        <v>3</v>
      </c>
      <c r="L271" s="76">
        <v>200979</v>
      </c>
      <c r="M271" s="76" t="str">
        <f>IFERROR(INDEX([1]物品基础表!$A:$A,MATCH(L271,[1]物品基础表!$B:$B,0)),"")</f>
        <v>新春大红包</v>
      </c>
      <c r="N271" s="76">
        <v>2</v>
      </c>
      <c r="O271" s="76">
        <v>200936</v>
      </c>
      <c r="P271" s="76" t="str">
        <f>IFERROR(INDEX([1]物品基础表!$A:$A,MATCH(O271,[1]物品基础表!$B:$B,0)),"")</f>
        <v>矿锄</v>
      </c>
      <c r="Q271" s="76">
        <v>4</v>
      </c>
      <c r="S271" s="76" t="str">
        <f>IFERROR(INDEX([1]物品基础表!$A:$A,MATCH(R271,[1]物品基础表!$B:$B,0)),"")</f>
        <v/>
      </c>
    </row>
    <row r="272" spans="1:20">
      <c r="A272" s="39" t="str">
        <f>INDEX([2]活动总表!$A$8:$A$429,MATCH(B272,[2]活动总表!$B$8:$B$429,0))</f>
        <v>春节八天乐</v>
      </c>
      <c r="B272" s="40">
        <v>568</v>
      </c>
      <c r="C272" s="40">
        <v>60</v>
      </c>
      <c r="D272" s="40">
        <v>94</v>
      </c>
      <c r="E272" s="40">
        <v>4</v>
      </c>
      <c r="F272" s="40">
        <v>12</v>
      </c>
      <c r="G272" s="40">
        <v>12</v>
      </c>
      <c r="H272" s="40">
        <v>1</v>
      </c>
      <c r="I272" s="40"/>
      <c r="J272" s="40" t="s">
        <v>992</v>
      </c>
      <c r="K272" s="40">
        <v>3</v>
      </c>
      <c r="L272" s="76">
        <v>200979</v>
      </c>
      <c r="M272" s="76" t="str">
        <f>IFERROR(INDEX([1]物品基础表!$A:$A,MATCH(L272,[1]物品基础表!$B:$B,0)),"")</f>
        <v>新春大红包</v>
      </c>
      <c r="N272" s="76">
        <v>2</v>
      </c>
      <c r="O272" s="76">
        <v>200936</v>
      </c>
      <c r="P272" s="76" t="str">
        <f>IFERROR(INDEX([1]物品基础表!$A:$A,MATCH(O272,[1]物品基础表!$B:$B,0)),"")</f>
        <v>矿锄</v>
      </c>
      <c r="Q272" s="76">
        <v>5</v>
      </c>
      <c r="S272" s="76" t="str">
        <f>IFERROR(INDEX([1]物品基础表!$A:$A,MATCH(R272,[1]物品基础表!$B:$B,0)),"")</f>
        <v/>
      </c>
    </row>
    <row r="273" spans="1:20">
      <c r="A273" s="39" t="str">
        <f>INDEX([2]活动总表!$A$8:$A$429,MATCH(B273,[2]活动总表!$B$8:$B$429,0))</f>
        <v>春节八天乐</v>
      </c>
      <c r="B273" s="40">
        <v>568</v>
      </c>
      <c r="C273" s="40">
        <v>61</v>
      </c>
      <c r="D273" s="40">
        <v>103</v>
      </c>
      <c r="E273" s="40"/>
      <c r="F273" s="40">
        <v>3888</v>
      </c>
      <c r="G273" s="40">
        <v>3888</v>
      </c>
      <c r="H273" s="40">
        <v>1</v>
      </c>
      <c r="I273" s="40"/>
      <c r="J273" s="40" t="s">
        <v>993</v>
      </c>
      <c r="K273" s="40">
        <v>4</v>
      </c>
      <c r="L273" s="76">
        <v>200979</v>
      </c>
      <c r="M273" s="76" t="str">
        <f>IFERROR(INDEX([1]物品基础表!$A:$A,MATCH(L273,[1]物品基础表!$B:$B,0)),"")</f>
        <v>新春大红包</v>
      </c>
      <c r="N273" s="76">
        <v>1</v>
      </c>
      <c r="O273" s="76">
        <v>200004</v>
      </c>
      <c r="P273" s="76" t="str">
        <f>IFERROR(INDEX([1]物品基础表!$A:$A,MATCH(O273,[1]物品基础表!$B:$B,0)),"")</f>
        <v>经脉丹</v>
      </c>
      <c r="Q273" s="76">
        <v>5</v>
      </c>
      <c r="R273" s="76">
        <v>1</v>
      </c>
      <c r="S273" s="76" t="str">
        <f t="shared" ref="S273:S279" si="21">IF(R273=2,"元宝",IF(R273=1,"金币","精炼石"))</f>
        <v>金币</v>
      </c>
      <c r="T273" s="76">
        <v>1000000</v>
      </c>
    </row>
    <row r="274" spans="1:20">
      <c r="A274" s="39" t="str">
        <f>INDEX([2]活动总表!$A$8:$A$429,MATCH(B274,[2]活动总表!$B$8:$B$429,0))</f>
        <v>春节八天乐</v>
      </c>
      <c r="B274" s="40">
        <v>568</v>
      </c>
      <c r="C274" s="40">
        <v>62</v>
      </c>
      <c r="D274" s="40">
        <v>103</v>
      </c>
      <c r="E274" s="40"/>
      <c r="F274" s="40">
        <v>6888</v>
      </c>
      <c r="G274" s="40">
        <v>6888</v>
      </c>
      <c r="H274" s="40">
        <v>1</v>
      </c>
      <c r="I274" s="40"/>
      <c r="J274" s="40" t="s">
        <v>994</v>
      </c>
      <c r="K274" s="40">
        <v>4</v>
      </c>
      <c r="L274" s="76">
        <v>200979</v>
      </c>
      <c r="M274" s="76" t="str">
        <f>IFERROR(INDEX([1]物品基础表!$A:$A,MATCH(L274,[1]物品基础表!$B:$B,0)),"")</f>
        <v>新春大红包</v>
      </c>
      <c r="N274" s="76">
        <v>1</v>
      </c>
      <c r="O274" s="76">
        <v>200004</v>
      </c>
      <c r="P274" s="76" t="str">
        <f>IFERROR(INDEX([1]物品基础表!$A:$A,MATCH(O274,[1]物品基础表!$B:$B,0)),"")</f>
        <v>经脉丹</v>
      </c>
      <c r="Q274" s="76">
        <v>5</v>
      </c>
      <c r="R274" s="76">
        <v>1</v>
      </c>
      <c r="S274" s="76" t="str">
        <f t="shared" si="21"/>
        <v>金币</v>
      </c>
      <c r="T274" s="76">
        <v>1500000</v>
      </c>
    </row>
    <row r="275" spans="1:20">
      <c r="A275" s="39" t="str">
        <f>INDEX([2]活动总表!$A$8:$A$429,MATCH(B275,[2]活动总表!$B$8:$B$429,0))</f>
        <v>春节八天乐</v>
      </c>
      <c r="B275" s="40">
        <v>568</v>
      </c>
      <c r="C275" s="40">
        <v>63</v>
      </c>
      <c r="D275" s="40">
        <v>103</v>
      </c>
      <c r="E275" s="40"/>
      <c r="F275" s="40">
        <v>9888</v>
      </c>
      <c r="G275" s="40">
        <v>9888</v>
      </c>
      <c r="H275" s="40">
        <v>1</v>
      </c>
      <c r="I275" s="40"/>
      <c r="J275" s="40" t="s">
        <v>995</v>
      </c>
      <c r="K275" s="40">
        <v>4</v>
      </c>
      <c r="L275" s="76">
        <v>200979</v>
      </c>
      <c r="M275" s="76" t="str">
        <f>IFERROR(INDEX([1]物品基础表!$A:$A,MATCH(L275,[1]物品基础表!$B:$B,0)),"")</f>
        <v>新春大红包</v>
      </c>
      <c r="N275" s="76">
        <v>1</v>
      </c>
      <c r="O275" s="76">
        <v>200004</v>
      </c>
      <c r="P275" s="76" t="str">
        <f>IFERROR(INDEX([1]物品基础表!$A:$A,MATCH(O275,[1]物品基础表!$B:$B,0)),"")</f>
        <v>经脉丹</v>
      </c>
      <c r="Q275" s="76">
        <v>5</v>
      </c>
      <c r="R275" s="76">
        <v>1</v>
      </c>
      <c r="S275" s="76" t="str">
        <f t="shared" si="21"/>
        <v>金币</v>
      </c>
      <c r="T275" s="76">
        <v>2000000</v>
      </c>
    </row>
    <row r="276" spans="1:20">
      <c r="A276" s="39" t="str">
        <f>INDEX([2]活动总表!$A$8:$A$429,MATCH(B276,[2]活动总表!$B$8:$B$429,0))</f>
        <v>春节八天乐</v>
      </c>
      <c r="B276" s="40">
        <v>568</v>
      </c>
      <c r="C276" s="40">
        <v>64</v>
      </c>
      <c r="D276" s="40">
        <v>103</v>
      </c>
      <c r="E276" s="40"/>
      <c r="F276" s="40">
        <v>16888</v>
      </c>
      <c r="G276" s="40">
        <v>16888</v>
      </c>
      <c r="H276" s="40">
        <v>1</v>
      </c>
      <c r="I276" s="40"/>
      <c r="J276" s="40" t="s">
        <v>996</v>
      </c>
      <c r="K276" s="40">
        <v>4</v>
      </c>
      <c r="L276" s="76">
        <v>200979</v>
      </c>
      <c r="M276" s="76" t="str">
        <f>IFERROR(INDEX([1]物品基础表!$A:$A,MATCH(L276,[1]物品基础表!$B:$B,0)),"")</f>
        <v>新春大红包</v>
      </c>
      <c r="N276" s="76">
        <v>2</v>
      </c>
      <c r="O276" s="76">
        <v>200004</v>
      </c>
      <c r="P276" s="76" t="str">
        <f>IFERROR(INDEX([1]物品基础表!$A:$A,MATCH(O276,[1]物品基础表!$B:$B,0)),"")</f>
        <v>经脉丹</v>
      </c>
      <c r="Q276" s="76">
        <v>5</v>
      </c>
      <c r="R276" s="76">
        <v>1</v>
      </c>
      <c r="S276" s="76" t="str">
        <f t="shared" si="21"/>
        <v>金币</v>
      </c>
      <c r="T276" s="76">
        <v>2500000</v>
      </c>
    </row>
    <row r="277" spans="1:20">
      <c r="A277" s="39" t="str">
        <f>INDEX([2]活动总表!$A$8:$A$429,MATCH(B277,[2]活动总表!$B$8:$B$429,0))</f>
        <v>春节八天乐</v>
      </c>
      <c r="B277" s="40">
        <v>568</v>
      </c>
      <c r="C277" s="40">
        <v>65</v>
      </c>
      <c r="D277" s="40">
        <v>103</v>
      </c>
      <c r="E277" s="40"/>
      <c r="F277" s="40">
        <v>26888</v>
      </c>
      <c r="G277" s="40">
        <v>26888</v>
      </c>
      <c r="H277" s="40">
        <v>1</v>
      </c>
      <c r="I277" s="40"/>
      <c r="J277" s="40" t="s">
        <v>997</v>
      </c>
      <c r="K277" s="40">
        <v>4</v>
      </c>
      <c r="L277" s="76">
        <v>200979</v>
      </c>
      <c r="M277" s="76" t="str">
        <f>IFERROR(INDEX([1]物品基础表!$A:$A,MATCH(L277,[1]物品基础表!$B:$B,0)),"")</f>
        <v>新春大红包</v>
      </c>
      <c r="N277" s="76">
        <v>3</v>
      </c>
      <c r="O277" s="76">
        <v>200004</v>
      </c>
      <c r="P277" s="76" t="str">
        <f>IFERROR(INDEX([1]物品基础表!$A:$A,MATCH(O277,[1]物品基础表!$B:$B,0)),"")</f>
        <v>经脉丹</v>
      </c>
      <c r="Q277" s="76">
        <v>5</v>
      </c>
      <c r="R277" s="76">
        <v>1</v>
      </c>
      <c r="S277" s="76" t="str">
        <f t="shared" si="21"/>
        <v>金币</v>
      </c>
      <c r="T277" s="76">
        <v>3000000</v>
      </c>
    </row>
    <row r="278" spans="1:20">
      <c r="A278" s="39" t="str">
        <f>INDEX([2]活动总表!$A$8:$A$429,MATCH(B278,[2]活动总表!$B$8:$B$429,0))</f>
        <v>春节八天乐</v>
      </c>
      <c r="B278" s="40">
        <v>568</v>
      </c>
      <c r="C278" s="40">
        <v>66</v>
      </c>
      <c r="D278" s="40">
        <v>103</v>
      </c>
      <c r="E278" s="40"/>
      <c r="F278" s="40">
        <v>38888</v>
      </c>
      <c r="G278" s="40">
        <v>38888</v>
      </c>
      <c r="H278" s="40">
        <v>1</v>
      </c>
      <c r="I278" s="40"/>
      <c r="J278" s="40" t="s">
        <v>998</v>
      </c>
      <c r="K278" s="40">
        <v>4</v>
      </c>
      <c r="L278" s="76">
        <v>200979</v>
      </c>
      <c r="M278" s="76" t="str">
        <f>IFERROR(INDEX([1]物品基础表!$A:$A,MATCH(L278,[1]物品基础表!$B:$B,0)),"")</f>
        <v>新春大红包</v>
      </c>
      <c r="N278" s="76">
        <v>3</v>
      </c>
      <c r="O278" s="76">
        <v>200004</v>
      </c>
      <c r="P278" s="76" t="str">
        <f>IFERROR(INDEX([1]物品基础表!$A:$A,MATCH(O278,[1]物品基础表!$B:$B,0)),"")</f>
        <v>经脉丹</v>
      </c>
      <c r="Q278" s="76">
        <v>5</v>
      </c>
      <c r="R278" s="76">
        <v>1</v>
      </c>
      <c r="S278" s="76" t="str">
        <f t="shared" si="21"/>
        <v>金币</v>
      </c>
      <c r="T278" s="76">
        <v>3500000</v>
      </c>
    </row>
    <row r="279" spans="1:20">
      <c r="A279" s="39" t="str">
        <f>INDEX([2]活动总表!$A$8:$A$429,MATCH(B279,[2]活动总表!$B$8:$B$429,0))</f>
        <v>春节八天乐</v>
      </c>
      <c r="B279" s="40">
        <v>568</v>
      </c>
      <c r="C279" s="40">
        <v>67</v>
      </c>
      <c r="D279" s="40">
        <v>103</v>
      </c>
      <c r="E279" s="40"/>
      <c r="F279" s="40">
        <v>58888</v>
      </c>
      <c r="G279" s="40">
        <v>58888</v>
      </c>
      <c r="H279" s="40">
        <v>1</v>
      </c>
      <c r="I279" s="40"/>
      <c r="J279" s="40" t="s">
        <v>999</v>
      </c>
      <c r="K279" s="40">
        <v>4</v>
      </c>
      <c r="L279" s="76">
        <v>200979</v>
      </c>
      <c r="M279" s="76" t="str">
        <f>IFERROR(INDEX([1]物品基础表!$A:$A,MATCH(L279,[1]物品基础表!$B:$B,0)),"")</f>
        <v>新春大红包</v>
      </c>
      <c r="N279" s="76">
        <v>6</v>
      </c>
      <c r="O279" s="76">
        <v>200004</v>
      </c>
      <c r="P279" s="76" t="str">
        <f>IFERROR(INDEX([1]物品基础表!$A:$A,MATCH(O279,[1]物品基础表!$B:$B,0)),"")</f>
        <v>经脉丹</v>
      </c>
      <c r="Q279" s="76">
        <v>5</v>
      </c>
      <c r="R279" s="76">
        <v>1</v>
      </c>
      <c r="S279" s="76" t="str">
        <f t="shared" si="21"/>
        <v>金币</v>
      </c>
      <c r="T279" s="76">
        <v>4000000</v>
      </c>
    </row>
    <row r="280" spans="1:20">
      <c r="A280" s="39" t="str">
        <f>INDEX([2]活动总表!$A$8:$A$429,MATCH(B280,[2]活动总表!$B$8:$B$429,0))</f>
        <v>春节八天乐</v>
      </c>
      <c r="B280" s="40">
        <v>568</v>
      </c>
      <c r="C280" s="40">
        <v>68</v>
      </c>
      <c r="D280" s="40">
        <v>33</v>
      </c>
      <c r="E280" s="40">
        <v>200060</v>
      </c>
      <c r="F280" s="40">
        <v>60</v>
      </c>
      <c r="G280" s="40">
        <v>60</v>
      </c>
      <c r="H280" s="40">
        <v>1</v>
      </c>
      <c r="I280" s="40"/>
      <c r="J280" s="40" t="s">
        <v>1000</v>
      </c>
      <c r="K280" s="40">
        <v>4</v>
      </c>
      <c r="L280" s="76">
        <v>200978</v>
      </c>
      <c r="M280" s="76" t="str">
        <f>IFERROR(INDEX([1]物品基础表!$A:$A,MATCH(L280,[1]物品基础表!$B:$B,0)),"")</f>
        <v>新春小红包</v>
      </c>
      <c r="N280" s="76">
        <v>1</v>
      </c>
      <c r="O280" s="76">
        <v>1</v>
      </c>
      <c r="P280" s="76" t="str">
        <f t="shared" ref="P280:P286" si="22">IF(O280=2,"元宝",IF(O280=1,"金币","精炼石"))</f>
        <v>金币</v>
      </c>
      <c r="Q280" s="76">
        <v>200000</v>
      </c>
      <c r="S280" s="76" t="str">
        <f>IFERROR(INDEX([1]物品基础表!$A:$A,MATCH(R280,[1]物品基础表!$B:$B,0)),"")</f>
        <v/>
      </c>
    </row>
    <row r="281" spans="1:20">
      <c r="A281" s="39" t="str">
        <f>INDEX([2]活动总表!$A$8:$A$429,MATCH(B281,[2]活动总表!$B$8:$B$429,0))</f>
        <v>春节八天乐</v>
      </c>
      <c r="B281" s="40">
        <v>568</v>
      </c>
      <c r="C281" s="40">
        <v>69</v>
      </c>
      <c r="D281" s="40">
        <v>33</v>
      </c>
      <c r="E281" s="40">
        <v>200060</v>
      </c>
      <c r="F281" s="40">
        <v>120</v>
      </c>
      <c r="G281" s="40">
        <v>120</v>
      </c>
      <c r="H281" s="40">
        <v>1</v>
      </c>
      <c r="I281" s="40"/>
      <c r="J281" s="40" t="s">
        <v>1001</v>
      </c>
      <c r="K281" s="40">
        <v>4</v>
      </c>
      <c r="L281" s="76">
        <v>200978</v>
      </c>
      <c r="M281" s="76" t="str">
        <f>IFERROR(INDEX([1]物品基础表!$A:$A,MATCH(L281,[1]物品基础表!$B:$B,0)),"")</f>
        <v>新春小红包</v>
      </c>
      <c r="N281" s="76">
        <v>1</v>
      </c>
      <c r="O281" s="76">
        <v>1</v>
      </c>
      <c r="P281" s="76" t="str">
        <f t="shared" si="22"/>
        <v>金币</v>
      </c>
      <c r="Q281" s="76">
        <v>300000</v>
      </c>
      <c r="S281" s="76" t="str">
        <f>IFERROR(INDEX([1]物品基础表!$A:$A,MATCH(R281,[1]物品基础表!$B:$B,0)),"")</f>
        <v/>
      </c>
    </row>
    <row r="282" spans="1:20">
      <c r="A282" s="39" t="str">
        <f>INDEX([2]活动总表!$A$8:$A$429,MATCH(B282,[2]活动总表!$B$8:$B$429,0))</f>
        <v>春节八天乐</v>
      </c>
      <c r="B282" s="40">
        <v>568</v>
      </c>
      <c r="C282" s="40">
        <v>70</v>
      </c>
      <c r="D282" s="40">
        <v>33</v>
      </c>
      <c r="E282" s="40">
        <v>200060</v>
      </c>
      <c r="F282" s="40">
        <v>180</v>
      </c>
      <c r="G282" s="40">
        <v>180</v>
      </c>
      <c r="H282" s="40">
        <v>1</v>
      </c>
      <c r="I282" s="40"/>
      <c r="J282" s="40" t="s">
        <v>1002</v>
      </c>
      <c r="K282" s="40">
        <v>4</v>
      </c>
      <c r="L282" s="76">
        <v>200978</v>
      </c>
      <c r="M282" s="76" t="str">
        <f>IFERROR(INDEX([1]物品基础表!$A:$A,MATCH(L282,[1]物品基础表!$B:$B,0)),"")</f>
        <v>新春小红包</v>
      </c>
      <c r="N282" s="76">
        <v>1</v>
      </c>
      <c r="O282" s="76">
        <v>1</v>
      </c>
      <c r="P282" s="76" t="str">
        <f t="shared" si="22"/>
        <v>金币</v>
      </c>
      <c r="Q282" s="76">
        <v>400000</v>
      </c>
      <c r="S282" s="76" t="str">
        <f>IFERROR(INDEX([1]物品基础表!$A:$A,MATCH(R282,[1]物品基础表!$B:$B,0)),"")</f>
        <v/>
      </c>
    </row>
    <row r="283" spans="1:20">
      <c r="A283" s="39" t="str">
        <f>INDEX([2]活动总表!$A$8:$A$429,MATCH(B283,[2]活动总表!$B$8:$B$429,0))</f>
        <v>春节八天乐</v>
      </c>
      <c r="B283" s="40">
        <v>568</v>
      </c>
      <c r="C283" s="40">
        <v>71</v>
      </c>
      <c r="D283" s="40">
        <v>32</v>
      </c>
      <c r="E283" s="40"/>
      <c r="F283" s="40">
        <v>10</v>
      </c>
      <c r="G283" s="40">
        <v>10</v>
      </c>
      <c r="H283" s="40">
        <v>1</v>
      </c>
      <c r="I283" s="40"/>
      <c r="J283" s="40" t="s">
        <v>1003</v>
      </c>
      <c r="K283" s="40">
        <v>4</v>
      </c>
      <c r="L283" s="76">
        <v>200978</v>
      </c>
      <c r="M283" s="76" t="str">
        <f>IFERROR(INDEX([1]物品基础表!$A:$A,MATCH(L283,[1]物品基础表!$B:$B,0)),"")</f>
        <v>新春小红包</v>
      </c>
      <c r="N283" s="76">
        <v>1</v>
      </c>
      <c r="O283" s="76">
        <v>1</v>
      </c>
      <c r="P283" s="76" t="str">
        <f t="shared" si="22"/>
        <v>金币</v>
      </c>
      <c r="Q283" s="76">
        <v>500000</v>
      </c>
      <c r="S283" s="76" t="str">
        <f>IFERROR(INDEX([1]物品基础表!$A:$A,MATCH(R283,[1]物品基础表!$B:$B,0)),"")</f>
        <v/>
      </c>
    </row>
    <row r="284" spans="1:20">
      <c r="A284" s="39" t="str">
        <f>INDEX([2]活动总表!$A$8:$A$429,MATCH(B284,[2]活动总表!$B$8:$B$429,0))</f>
        <v>春节八天乐</v>
      </c>
      <c r="B284" s="40">
        <v>568</v>
      </c>
      <c r="C284" s="40">
        <v>72</v>
      </c>
      <c r="D284" s="40">
        <v>32</v>
      </c>
      <c r="E284" s="40"/>
      <c r="F284" s="40">
        <v>20</v>
      </c>
      <c r="G284" s="40">
        <v>20</v>
      </c>
      <c r="H284" s="40">
        <v>1</v>
      </c>
      <c r="I284" s="40"/>
      <c r="J284" s="40" t="s">
        <v>1004</v>
      </c>
      <c r="K284" s="40">
        <v>4</v>
      </c>
      <c r="L284" s="76">
        <v>200978</v>
      </c>
      <c r="M284" s="76" t="str">
        <f>IFERROR(INDEX([1]物品基础表!$A:$A,MATCH(L284,[1]物品基础表!$B:$B,0)),"")</f>
        <v>新春小红包</v>
      </c>
      <c r="N284" s="76">
        <v>1</v>
      </c>
      <c r="O284" s="76">
        <v>1</v>
      </c>
      <c r="P284" s="76" t="str">
        <f t="shared" si="22"/>
        <v>金币</v>
      </c>
      <c r="Q284" s="76">
        <v>600000</v>
      </c>
      <c r="S284" s="76" t="str">
        <f>IFERROR(INDEX([1]物品基础表!$A:$A,MATCH(R284,[1]物品基础表!$B:$B,0)),"")</f>
        <v/>
      </c>
    </row>
    <row r="285" spans="1:20">
      <c r="A285" s="39" t="str">
        <f>INDEX([2]活动总表!$A$8:$A$429,MATCH(B285,[2]活动总表!$B$8:$B$429,0))</f>
        <v>春节八天乐</v>
      </c>
      <c r="B285" s="40">
        <v>568</v>
      </c>
      <c r="C285" s="40">
        <v>73</v>
      </c>
      <c r="D285" s="40">
        <v>32</v>
      </c>
      <c r="E285" s="40"/>
      <c r="F285" s="40">
        <v>30</v>
      </c>
      <c r="G285" s="40">
        <v>30</v>
      </c>
      <c r="H285" s="40">
        <v>1</v>
      </c>
      <c r="I285" s="40"/>
      <c r="J285" s="40" t="s">
        <v>1005</v>
      </c>
      <c r="K285" s="40">
        <v>4</v>
      </c>
      <c r="L285" s="76">
        <v>200978</v>
      </c>
      <c r="M285" s="76" t="str">
        <f>IFERROR(INDEX([1]物品基础表!$A:$A,MATCH(L285,[1]物品基础表!$B:$B,0)),"")</f>
        <v>新春小红包</v>
      </c>
      <c r="N285" s="76">
        <v>1</v>
      </c>
      <c r="O285" s="76">
        <v>1</v>
      </c>
      <c r="P285" s="76" t="str">
        <f t="shared" si="22"/>
        <v>金币</v>
      </c>
      <c r="Q285" s="76">
        <v>700000</v>
      </c>
      <c r="S285" s="76" t="str">
        <f>IFERROR(INDEX([1]物品基础表!$A:$A,MATCH(R285,[1]物品基础表!$B:$B,0)),"")</f>
        <v/>
      </c>
    </row>
    <row r="286" spans="1:20">
      <c r="A286" s="39" t="str">
        <f>INDEX([2]活动总表!$A$8:$A$429,MATCH(B286,[2]活动总表!$B$8:$B$429,0))</f>
        <v>春节八天乐</v>
      </c>
      <c r="B286" s="40">
        <v>568</v>
      </c>
      <c r="C286" s="40">
        <v>74</v>
      </c>
      <c r="D286" s="40">
        <v>32</v>
      </c>
      <c r="E286" s="40"/>
      <c r="F286" s="40">
        <v>40</v>
      </c>
      <c r="G286" s="40">
        <v>40</v>
      </c>
      <c r="H286" s="40">
        <v>1</v>
      </c>
      <c r="I286" s="40"/>
      <c r="J286" s="40" t="s">
        <v>1006</v>
      </c>
      <c r="K286" s="40">
        <v>4</v>
      </c>
      <c r="L286" s="76">
        <v>200978</v>
      </c>
      <c r="M286" s="76" t="str">
        <f>IFERROR(INDEX([1]物品基础表!$A:$A,MATCH(L286,[1]物品基础表!$B:$B,0)),"")</f>
        <v>新春小红包</v>
      </c>
      <c r="N286" s="76">
        <v>1</v>
      </c>
      <c r="O286" s="76">
        <v>1</v>
      </c>
      <c r="P286" s="76" t="str">
        <f t="shared" si="22"/>
        <v>金币</v>
      </c>
      <c r="Q286" s="76">
        <v>800000</v>
      </c>
      <c r="S286" s="76" t="str">
        <f>IFERROR(INDEX([1]物品基础表!$A:$A,MATCH(R286,[1]物品基础表!$B:$B,0)),"")</f>
        <v/>
      </c>
    </row>
    <row r="287" spans="1:20">
      <c r="A287" s="39" t="str">
        <f>INDEX([2]活动总表!$A$8:$A$429,MATCH(B287,[2]活动总表!$B$8:$B$429,0))</f>
        <v>春节八天乐</v>
      </c>
      <c r="B287" s="40">
        <v>568</v>
      </c>
      <c r="C287" s="40">
        <v>75</v>
      </c>
      <c r="D287" s="40">
        <v>105</v>
      </c>
      <c r="E287" s="40"/>
      <c r="F287" s="40">
        <v>1</v>
      </c>
      <c r="G287" s="40">
        <v>1</v>
      </c>
      <c r="H287" s="40">
        <v>1</v>
      </c>
      <c r="I287" s="40"/>
      <c r="J287" s="40" t="s">
        <v>1007</v>
      </c>
      <c r="K287" s="40">
        <v>4</v>
      </c>
      <c r="L287" s="76">
        <v>200979</v>
      </c>
      <c r="M287" s="76" t="str">
        <f>IFERROR(INDEX([1]物品基础表!$A:$A,MATCH(L287,[1]物品基础表!$B:$B,0)),"")</f>
        <v>新春大红包</v>
      </c>
      <c r="N287" s="76">
        <v>1</v>
      </c>
      <c r="O287" s="76">
        <v>200301</v>
      </c>
      <c r="P287" s="76" t="str">
        <f>IFERROR(INDEX([1]物品基础表!$A:$A,MATCH(O287,[1]物品基础表!$B:$B,0)),"")</f>
        <v>传世宝钻</v>
      </c>
      <c r="Q287" s="76">
        <v>5</v>
      </c>
      <c r="S287" s="76" t="str">
        <f>IFERROR(INDEX([1]物品基础表!$A:$A,MATCH(R287,[1]物品基础表!$B:$B,0)),"")</f>
        <v/>
      </c>
    </row>
    <row r="288" spans="1:20">
      <c r="A288" s="39" t="str">
        <f>INDEX([2]活动总表!$A$8:$A$429,MATCH(B288,[2]活动总表!$B$8:$B$429,0))</f>
        <v>春节八天乐</v>
      </c>
      <c r="B288" s="40">
        <v>568</v>
      </c>
      <c r="C288" s="40">
        <v>76</v>
      </c>
      <c r="D288" s="40">
        <v>105</v>
      </c>
      <c r="E288" s="40"/>
      <c r="F288" s="40">
        <v>3</v>
      </c>
      <c r="G288" s="40">
        <v>3</v>
      </c>
      <c r="H288" s="40">
        <v>1</v>
      </c>
      <c r="I288" s="40"/>
      <c r="J288" s="40" t="s">
        <v>1008</v>
      </c>
      <c r="K288" s="40">
        <v>4</v>
      </c>
      <c r="L288" s="76">
        <v>200979</v>
      </c>
      <c r="M288" s="76" t="str">
        <f>IFERROR(INDEX([1]物品基础表!$A:$A,MATCH(L288,[1]物品基础表!$B:$B,0)),"")</f>
        <v>新春大红包</v>
      </c>
      <c r="N288" s="76">
        <v>2</v>
      </c>
      <c r="O288" s="76">
        <v>200301</v>
      </c>
      <c r="P288" s="76" t="str">
        <f>IFERROR(INDEX([1]物品基础表!$A:$A,MATCH(O288,[1]物品基础表!$B:$B,0)),"")</f>
        <v>传世宝钻</v>
      </c>
      <c r="Q288" s="76">
        <v>10</v>
      </c>
      <c r="S288" s="76" t="str">
        <f>IFERROR(INDEX([1]物品基础表!$A:$A,MATCH(R288,[1]物品基础表!$B:$B,0)),"")</f>
        <v/>
      </c>
    </row>
    <row r="289" spans="1:19">
      <c r="A289" s="39" t="str">
        <f>INDEX([2]活动总表!$A$8:$A$429,MATCH(B289,[2]活动总表!$B$8:$B$429,0))</f>
        <v>春节八天乐</v>
      </c>
      <c r="B289" s="40">
        <v>568</v>
      </c>
      <c r="C289" s="40">
        <v>77</v>
      </c>
      <c r="D289" s="40">
        <v>105</v>
      </c>
      <c r="E289" s="40"/>
      <c r="F289" s="40">
        <v>6</v>
      </c>
      <c r="G289" s="40">
        <v>6</v>
      </c>
      <c r="H289" s="40">
        <v>1</v>
      </c>
      <c r="I289" s="40"/>
      <c r="J289" s="40" t="s">
        <v>1009</v>
      </c>
      <c r="K289" s="40">
        <v>4</v>
      </c>
      <c r="L289" s="76">
        <v>200979</v>
      </c>
      <c r="M289" s="76" t="str">
        <f>IFERROR(INDEX([1]物品基础表!$A:$A,MATCH(L289,[1]物品基础表!$B:$B,0)),"")</f>
        <v>新春大红包</v>
      </c>
      <c r="N289" s="76">
        <v>2</v>
      </c>
      <c r="O289" s="76">
        <v>200301</v>
      </c>
      <c r="P289" s="76" t="str">
        <f>IFERROR(INDEX([1]物品基础表!$A:$A,MATCH(O289,[1]物品基础表!$B:$B,0)),"")</f>
        <v>传世宝钻</v>
      </c>
      <c r="Q289" s="76">
        <v>15</v>
      </c>
      <c r="S289" s="76" t="str">
        <f>IFERROR(INDEX([1]物品基础表!$A:$A,MATCH(R289,[1]物品基础表!$B:$B,0)),"")</f>
        <v/>
      </c>
    </row>
    <row r="290" spans="1:19">
      <c r="A290" s="39" t="str">
        <f>INDEX([2]活动总表!$A$8:$A$429,MATCH(B290,[2]活动总表!$B$8:$B$429,0))</f>
        <v>春节八天乐</v>
      </c>
      <c r="B290" s="40">
        <v>568</v>
      </c>
      <c r="C290" s="40">
        <v>78</v>
      </c>
      <c r="D290" s="40">
        <v>105</v>
      </c>
      <c r="E290" s="40"/>
      <c r="F290" s="40">
        <v>12</v>
      </c>
      <c r="G290" s="40">
        <v>12</v>
      </c>
      <c r="H290" s="40">
        <v>1</v>
      </c>
      <c r="I290" s="40"/>
      <c r="J290" s="40" t="s">
        <v>1010</v>
      </c>
      <c r="K290" s="40">
        <v>4</v>
      </c>
      <c r="L290" s="76">
        <v>200979</v>
      </c>
      <c r="M290" s="76" t="str">
        <f>IFERROR(INDEX([1]物品基础表!$A:$A,MATCH(L290,[1]物品基础表!$B:$B,0)),"")</f>
        <v>新春大红包</v>
      </c>
      <c r="N290" s="76">
        <v>3</v>
      </c>
      <c r="O290" s="76">
        <v>200301</v>
      </c>
      <c r="P290" s="76" t="str">
        <f>IFERROR(INDEX([1]物品基础表!$A:$A,MATCH(O290,[1]物品基础表!$B:$B,0)),"")</f>
        <v>传世宝钻</v>
      </c>
      <c r="Q290" s="76">
        <v>20</v>
      </c>
      <c r="S290" s="76" t="str">
        <f>IFERROR(INDEX([1]物品基础表!$A:$A,MATCH(R290,[1]物品基础表!$B:$B,0)),"")</f>
        <v/>
      </c>
    </row>
    <row r="291" spans="1:19">
      <c r="A291" s="39" t="str">
        <f>INDEX([2]活动总表!$A$8:$A$429,MATCH(B291,[2]活动总表!$B$8:$B$429,0))</f>
        <v>春节八天乐</v>
      </c>
      <c r="B291" s="40">
        <v>568</v>
      </c>
      <c r="C291" s="40">
        <v>79</v>
      </c>
      <c r="D291" s="40">
        <v>105</v>
      </c>
      <c r="E291" s="40"/>
      <c r="F291" s="40">
        <v>18</v>
      </c>
      <c r="G291" s="40">
        <v>18</v>
      </c>
      <c r="H291" s="40">
        <v>1</v>
      </c>
      <c r="I291" s="40"/>
      <c r="J291" s="40" t="s">
        <v>1011</v>
      </c>
      <c r="K291" s="40">
        <v>4</v>
      </c>
      <c r="L291" s="76">
        <v>200979</v>
      </c>
      <c r="M291" s="76" t="str">
        <f>IFERROR(INDEX([1]物品基础表!$A:$A,MATCH(L291,[1]物品基础表!$B:$B,0)),"")</f>
        <v>新春大红包</v>
      </c>
      <c r="N291" s="76">
        <v>3</v>
      </c>
      <c r="O291" s="76">
        <v>200301</v>
      </c>
      <c r="P291" s="76" t="str">
        <f>IFERROR(INDEX([1]物品基础表!$A:$A,MATCH(O291,[1]物品基础表!$B:$B,0)),"")</f>
        <v>传世宝钻</v>
      </c>
      <c r="Q291" s="76">
        <v>20</v>
      </c>
      <c r="S291" s="76" t="str">
        <f>IFERROR(INDEX([1]物品基础表!$A:$A,MATCH(R291,[1]物品基础表!$B:$B,0)),"")</f>
        <v/>
      </c>
    </row>
    <row r="292" spans="1:19">
      <c r="A292" s="39" t="str">
        <f>INDEX([2]活动总表!$A$8:$A$429,MATCH(B292,[2]活动总表!$B$8:$B$429,0))</f>
        <v>春节八天乐</v>
      </c>
      <c r="B292" s="40">
        <v>568</v>
      </c>
      <c r="C292" s="40">
        <v>80</v>
      </c>
      <c r="D292" s="40">
        <v>105</v>
      </c>
      <c r="E292" s="40"/>
      <c r="F292" s="40">
        <v>24</v>
      </c>
      <c r="G292" s="40">
        <v>24</v>
      </c>
      <c r="H292" s="40">
        <v>1</v>
      </c>
      <c r="I292" s="40"/>
      <c r="J292" s="40" t="s">
        <v>1012</v>
      </c>
      <c r="K292" s="40">
        <v>4</v>
      </c>
      <c r="L292" s="76">
        <v>200979</v>
      </c>
      <c r="M292" s="76" t="str">
        <f>IFERROR(INDEX([1]物品基础表!$A:$A,MATCH(L292,[1]物品基础表!$B:$B,0)),"")</f>
        <v>新春大红包</v>
      </c>
      <c r="N292" s="76">
        <v>3</v>
      </c>
      <c r="O292" s="76">
        <v>200301</v>
      </c>
      <c r="P292" s="76" t="str">
        <f>IFERROR(INDEX([1]物品基础表!$A:$A,MATCH(O292,[1]物品基础表!$B:$B,0)),"")</f>
        <v>传世宝钻</v>
      </c>
      <c r="Q292" s="76">
        <v>20</v>
      </c>
      <c r="S292" s="76" t="str">
        <f>IFERROR(INDEX([1]物品基础表!$A:$A,MATCH(R292,[1]物品基础表!$B:$B,0)),"")</f>
        <v/>
      </c>
    </row>
    <row r="293" spans="1:19">
      <c r="A293" s="39" t="str">
        <f>INDEX([2]活动总表!$A$8:$A$429,MATCH(B293,[2]活动总表!$B$8:$B$429,0))</f>
        <v>春节八天乐</v>
      </c>
      <c r="B293" s="40">
        <v>568</v>
      </c>
      <c r="C293" s="40">
        <v>81</v>
      </c>
      <c r="D293" s="40">
        <v>11</v>
      </c>
      <c r="E293" s="40">
        <v>15</v>
      </c>
      <c r="F293" s="40">
        <v>1</v>
      </c>
      <c r="G293" s="40">
        <v>1</v>
      </c>
      <c r="H293" s="40">
        <v>1</v>
      </c>
      <c r="I293" s="40"/>
      <c r="J293" s="40" t="s">
        <v>1013</v>
      </c>
      <c r="K293" s="40">
        <v>5</v>
      </c>
      <c r="L293" s="76">
        <v>200978</v>
      </c>
      <c r="M293" s="76" t="str">
        <f>IFERROR(INDEX([1]物品基础表!$A:$A,MATCH(L293,[1]物品基础表!$B:$B,0)),"")</f>
        <v>新春小红包</v>
      </c>
      <c r="N293" s="76">
        <v>1</v>
      </c>
      <c r="O293" s="76">
        <v>200007</v>
      </c>
      <c r="P293" s="76" t="str">
        <f>IFERROR(INDEX([1]物品基础表!$A:$A,MATCH(O293,[1]物品基础表!$B:$B,0)),"")</f>
        <v>神装碎片</v>
      </c>
      <c r="Q293" s="76">
        <v>20</v>
      </c>
      <c r="S293" s="76" t="str">
        <f>IFERROR(INDEX([1]物品基础表!$A:$A,MATCH(R293,[1]物品基础表!$B:$B,0)),"")</f>
        <v/>
      </c>
    </row>
    <row r="294" spans="1:19">
      <c r="A294" s="39" t="str">
        <f>INDEX([2]活动总表!$A$8:$A$429,MATCH(B294,[2]活动总表!$B$8:$B$429,0))</f>
        <v>春节八天乐</v>
      </c>
      <c r="B294" s="40">
        <v>568</v>
      </c>
      <c r="C294" s="40">
        <v>82</v>
      </c>
      <c r="D294" s="40">
        <v>11</v>
      </c>
      <c r="E294" s="40">
        <v>15</v>
      </c>
      <c r="F294" s="40">
        <v>3</v>
      </c>
      <c r="G294" s="40">
        <v>3</v>
      </c>
      <c r="H294" s="40">
        <v>1</v>
      </c>
      <c r="I294" s="40"/>
      <c r="J294" s="40" t="s">
        <v>1014</v>
      </c>
      <c r="K294" s="40">
        <v>5</v>
      </c>
      <c r="L294" s="76">
        <v>200978</v>
      </c>
      <c r="M294" s="76" t="str">
        <f>IFERROR(INDEX([1]物品基础表!$A:$A,MATCH(L294,[1]物品基础表!$B:$B,0)),"")</f>
        <v>新春小红包</v>
      </c>
      <c r="N294" s="76">
        <v>1</v>
      </c>
      <c r="O294" s="76">
        <v>200007</v>
      </c>
      <c r="P294" s="76" t="str">
        <f>IFERROR(INDEX([1]物品基础表!$A:$A,MATCH(O294,[1]物品基础表!$B:$B,0)),"")</f>
        <v>神装碎片</v>
      </c>
      <c r="Q294" s="76">
        <v>40</v>
      </c>
      <c r="S294" s="76" t="str">
        <f>IFERROR(INDEX([1]物品基础表!$A:$A,MATCH(R294,[1]物品基础表!$B:$B,0)),"")</f>
        <v/>
      </c>
    </row>
    <row r="295" spans="1:19">
      <c r="A295" s="39" t="str">
        <f>INDEX([2]活动总表!$A$8:$A$429,MATCH(B295,[2]活动总表!$B$8:$B$429,0))</f>
        <v>春节八天乐</v>
      </c>
      <c r="B295" s="40">
        <v>568</v>
      </c>
      <c r="C295" s="40">
        <v>83</v>
      </c>
      <c r="D295" s="40">
        <v>11</v>
      </c>
      <c r="E295" s="40">
        <v>15</v>
      </c>
      <c r="F295" s="40">
        <v>5</v>
      </c>
      <c r="G295" s="40">
        <v>5</v>
      </c>
      <c r="H295" s="40">
        <v>1</v>
      </c>
      <c r="I295" s="40"/>
      <c r="J295" s="40" t="s">
        <v>1015</v>
      </c>
      <c r="K295" s="40">
        <v>5</v>
      </c>
      <c r="L295" s="76">
        <v>200978</v>
      </c>
      <c r="M295" s="76" t="str">
        <f>IFERROR(INDEX([1]物品基础表!$A:$A,MATCH(L295,[1]物品基础表!$B:$B,0)),"")</f>
        <v>新春小红包</v>
      </c>
      <c r="N295" s="76">
        <v>1</v>
      </c>
      <c r="O295" s="76">
        <v>200007</v>
      </c>
      <c r="P295" s="76" t="str">
        <f>IFERROR(INDEX([1]物品基础表!$A:$A,MATCH(O295,[1]物品基础表!$B:$B,0)),"")</f>
        <v>神装碎片</v>
      </c>
      <c r="Q295" s="76">
        <v>60</v>
      </c>
      <c r="S295" s="76" t="str">
        <f>IFERROR(INDEX([1]物品基础表!$A:$A,MATCH(R295,[1]物品基础表!$B:$B,0)),"")</f>
        <v/>
      </c>
    </row>
    <row r="296" spans="1:19">
      <c r="A296" s="39" t="str">
        <f>INDEX([2]活动总表!$A$8:$A$429,MATCH(B296,[2]活动总表!$B$8:$B$429,0))</f>
        <v>春节八天乐</v>
      </c>
      <c r="B296" s="40">
        <v>568</v>
      </c>
      <c r="C296" s="40">
        <v>84</v>
      </c>
      <c r="D296" s="40">
        <v>11</v>
      </c>
      <c r="E296" s="40">
        <v>15</v>
      </c>
      <c r="F296" s="40">
        <v>6</v>
      </c>
      <c r="G296" s="40">
        <v>6</v>
      </c>
      <c r="H296" s="40">
        <v>1</v>
      </c>
      <c r="I296" s="40"/>
      <c r="J296" s="40" t="s">
        <v>1016</v>
      </c>
      <c r="K296" s="40">
        <v>5</v>
      </c>
      <c r="L296" s="76">
        <v>200978</v>
      </c>
      <c r="M296" s="76" t="str">
        <f>IFERROR(INDEX([1]物品基础表!$A:$A,MATCH(L296,[1]物品基础表!$B:$B,0)),"")</f>
        <v>新春小红包</v>
      </c>
      <c r="N296" s="76">
        <v>1</v>
      </c>
      <c r="O296" s="76">
        <v>200007</v>
      </c>
      <c r="P296" s="76" t="str">
        <f>IFERROR(INDEX([1]物品基础表!$A:$A,MATCH(O296,[1]物品基础表!$B:$B,0)),"")</f>
        <v>神装碎片</v>
      </c>
      <c r="Q296" s="76">
        <v>80</v>
      </c>
      <c r="S296" s="76" t="str">
        <f>IFERROR(INDEX([1]物品基础表!$A:$A,MATCH(R296,[1]物品基础表!$B:$B,0)),"")</f>
        <v/>
      </c>
    </row>
    <row r="297" spans="1:19">
      <c r="A297" s="39" t="str">
        <f>INDEX([2]活动总表!$A$8:$A$429,MATCH(B297,[2]活动总表!$B$8:$B$429,0))</f>
        <v>春节八天乐</v>
      </c>
      <c r="B297" s="40">
        <v>568</v>
      </c>
      <c r="C297" s="40">
        <v>85</v>
      </c>
      <c r="D297" s="40">
        <v>11</v>
      </c>
      <c r="E297" s="40">
        <v>15</v>
      </c>
      <c r="F297" s="40">
        <v>9</v>
      </c>
      <c r="G297" s="40">
        <v>9</v>
      </c>
      <c r="H297" s="40">
        <v>1</v>
      </c>
      <c r="I297" s="40"/>
      <c r="J297" s="40" t="s">
        <v>1017</v>
      </c>
      <c r="K297" s="40">
        <v>5</v>
      </c>
      <c r="L297" s="76">
        <v>200978</v>
      </c>
      <c r="M297" s="76" t="str">
        <f>IFERROR(INDEX([1]物品基础表!$A:$A,MATCH(L297,[1]物品基础表!$B:$B,0)),"")</f>
        <v>新春小红包</v>
      </c>
      <c r="N297" s="76">
        <v>1</v>
      </c>
      <c r="O297" s="76">
        <v>200007</v>
      </c>
      <c r="P297" s="76" t="str">
        <f>IFERROR(INDEX([1]物品基础表!$A:$A,MATCH(O297,[1]物品基础表!$B:$B,0)),"")</f>
        <v>神装碎片</v>
      </c>
      <c r="Q297" s="76">
        <v>100</v>
      </c>
      <c r="S297" s="76" t="str">
        <f>IFERROR(INDEX([1]物品基础表!$A:$A,MATCH(R297,[1]物品基础表!$B:$B,0)),"")</f>
        <v/>
      </c>
    </row>
    <row r="298" spans="1:19">
      <c r="A298" s="39" t="str">
        <f>INDEX([2]活动总表!$A$8:$A$429,MATCH(B298,[2]活动总表!$B$8:$B$429,0))</f>
        <v>春节八天乐</v>
      </c>
      <c r="B298" s="40">
        <v>568</v>
      </c>
      <c r="C298" s="40">
        <v>86</v>
      </c>
      <c r="D298" s="40">
        <v>11</v>
      </c>
      <c r="E298" s="40">
        <v>15</v>
      </c>
      <c r="F298" s="40">
        <v>12</v>
      </c>
      <c r="G298" s="40">
        <v>12</v>
      </c>
      <c r="H298" s="40">
        <v>1</v>
      </c>
      <c r="I298" s="40"/>
      <c r="J298" s="40" t="s">
        <v>1018</v>
      </c>
      <c r="K298" s="40">
        <v>5</v>
      </c>
      <c r="L298" s="76">
        <v>200978</v>
      </c>
      <c r="M298" s="76" t="str">
        <f>IFERROR(INDEX([1]物品基础表!$A:$A,MATCH(L298,[1]物品基础表!$B:$B,0)),"")</f>
        <v>新春小红包</v>
      </c>
      <c r="N298" s="76">
        <v>1</v>
      </c>
      <c r="O298" s="76">
        <v>200007</v>
      </c>
      <c r="P298" s="76" t="str">
        <f>IFERROR(INDEX([1]物品基础表!$A:$A,MATCH(O298,[1]物品基础表!$B:$B,0)),"")</f>
        <v>神装碎片</v>
      </c>
      <c r="Q298" s="76">
        <v>150</v>
      </c>
      <c r="S298" s="76" t="str">
        <f>IFERROR(INDEX([1]物品基础表!$A:$A,MATCH(R298,[1]物品基础表!$B:$B,0)),"")</f>
        <v/>
      </c>
    </row>
    <row r="299" spans="1:19">
      <c r="A299" s="39" t="str">
        <f>INDEX([2]活动总表!$A$8:$A$429,MATCH(B299,[2]活动总表!$B$8:$B$429,0))</f>
        <v>春节八天乐</v>
      </c>
      <c r="B299" s="40">
        <v>568</v>
      </c>
      <c r="C299" s="40">
        <v>87</v>
      </c>
      <c r="D299" s="40">
        <v>5</v>
      </c>
      <c r="E299" s="40"/>
      <c r="F299" s="40">
        <v>5</v>
      </c>
      <c r="G299" s="40">
        <v>5</v>
      </c>
      <c r="H299" s="40">
        <v>1</v>
      </c>
      <c r="I299" s="40"/>
      <c r="J299" s="40" t="s">
        <v>1019</v>
      </c>
      <c r="K299" s="40">
        <v>5</v>
      </c>
      <c r="L299" s="76">
        <v>200978</v>
      </c>
      <c r="M299" s="76" t="str">
        <f>IFERROR(INDEX([1]物品基础表!$A:$A,MATCH(L299,[1]物品基础表!$B:$B,0)),"")</f>
        <v>新春小红包</v>
      </c>
      <c r="N299" s="76">
        <v>1</v>
      </c>
      <c r="O299" s="76">
        <v>4</v>
      </c>
      <c r="P299" s="76" t="str">
        <f t="shared" ref="P299:P305" si="23">IF(O299=2,"元宝",IF(O299=1,"金币","精炼石"))</f>
        <v>精炼石</v>
      </c>
      <c r="Q299" s="76">
        <v>200</v>
      </c>
      <c r="S299" s="76" t="str">
        <f>IFERROR(INDEX([1]物品基础表!$A:$A,MATCH(R299,[1]物品基础表!$B:$B,0)),"")</f>
        <v/>
      </c>
    </row>
    <row r="300" spans="1:19">
      <c r="A300" s="39" t="str">
        <f>INDEX([2]活动总表!$A$8:$A$429,MATCH(B300,[2]活动总表!$B$8:$B$429,0))</f>
        <v>春节八天乐</v>
      </c>
      <c r="B300" s="40">
        <v>568</v>
      </c>
      <c r="C300" s="40">
        <v>88</v>
      </c>
      <c r="D300" s="40">
        <v>5</v>
      </c>
      <c r="E300" s="40"/>
      <c r="F300" s="40">
        <v>10</v>
      </c>
      <c r="G300" s="40">
        <v>10</v>
      </c>
      <c r="H300" s="40">
        <v>1</v>
      </c>
      <c r="I300" s="40"/>
      <c r="J300" s="40" t="s">
        <v>1020</v>
      </c>
      <c r="K300" s="40">
        <v>5</v>
      </c>
      <c r="L300" s="76">
        <v>200978</v>
      </c>
      <c r="M300" s="76" t="str">
        <f>IFERROR(INDEX([1]物品基础表!$A:$A,MATCH(L300,[1]物品基础表!$B:$B,0)),"")</f>
        <v>新春小红包</v>
      </c>
      <c r="N300" s="76">
        <v>1</v>
      </c>
      <c r="O300" s="76">
        <v>4</v>
      </c>
      <c r="P300" s="76" t="str">
        <f t="shared" si="23"/>
        <v>精炼石</v>
      </c>
      <c r="Q300" s="76">
        <v>400</v>
      </c>
      <c r="S300" s="76" t="str">
        <f>IFERROR(INDEX([1]物品基础表!$A:$A,MATCH(R300,[1]物品基础表!$B:$B,0)),"")</f>
        <v/>
      </c>
    </row>
    <row r="301" spans="1:19">
      <c r="A301" s="39" t="str">
        <f>INDEX([2]活动总表!$A$8:$A$429,MATCH(B301,[2]活动总表!$B$8:$B$429,0))</f>
        <v>春节八天乐</v>
      </c>
      <c r="B301" s="40">
        <v>568</v>
      </c>
      <c r="C301" s="40">
        <v>89</v>
      </c>
      <c r="D301" s="40">
        <v>5</v>
      </c>
      <c r="E301" s="40"/>
      <c r="F301" s="40">
        <v>15</v>
      </c>
      <c r="G301" s="40">
        <v>15</v>
      </c>
      <c r="H301" s="40">
        <v>1</v>
      </c>
      <c r="I301" s="40"/>
      <c r="J301" s="40" t="s">
        <v>1021</v>
      </c>
      <c r="K301" s="40">
        <v>5</v>
      </c>
      <c r="L301" s="76">
        <v>200978</v>
      </c>
      <c r="M301" s="76" t="str">
        <f>IFERROR(INDEX([1]物品基础表!$A:$A,MATCH(L301,[1]物品基础表!$B:$B,0)),"")</f>
        <v>新春小红包</v>
      </c>
      <c r="N301" s="76">
        <v>1</v>
      </c>
      <c r="O301" s="76">
        <v>4</v>
      </c>
      <c r="P301" s="76" t="str">
        <f t="shared" si="23"/>
        <v>精炼石</v>
      </c>
      <c r="Q301" s="76">
        <v>600</v>
      </c>
      <c r="S301" s="76" t="str">
        <f>IFERROR(INDEX([1]物品基础表!$A:$A,MATCH(R301,[1]物品基础表!$B:$B,0)),"")</f>
        <v/>
      </c>
    </row>
    <row r="302" spans="1:19">
      <c r="A302" s="39" t="str">
        <f>INDEX([2]活动总表!$A$8:$A$429,MATCH(B302,[2]活动总表!$B$8:$B$429,0))</f>
        <v>春节八天乐</v>
      </c>
      <c r="B302" s="40">
        <v>568</v>
      </c>
      <c r="C302" s="40">
        <v>90</v>
      </c>
      <c r="D302" s="40">
        <v>5</v>
      </c>
      <c r="E302" s="40"/>
      <c r="F302" s="40">
        <v>20</v>
      </c>
      <c r="G302" s="40">
        <v>20</v>
      </c>
      <c r="H302" s="40">
        <v>1</v>
      </c>
      <c r="I302" s="40"/>
      <c r="J302" s="40" t="s">
        <v>1022</v>
      </c>
      <c r="K302" s="40">
        <v>5</v>
      </c>
      <c r="L302" s="76">
        <v>200978</v>
      </c>
      <c r="M302" s="76" t="str">
        <f>IFERROR(INDEX([1]物品基础表!$A:$A,MATCH(L302,[1]物品基础表!$B:$B,0)),"")</f>
        <v>新春小红包</v>
      </c>
      <c r="N302" s="76">
        <v>1</v>
      </c>
      <c r="O302" s="76">
        <v>4</v>
      </c>
      <c r="P302" s="76" t="str">
        <f t="shared" si="23"/>
        <v>精炼石</v>
      </c>
      <c r="Q302" s="76">
        <v>800</v>
      </c>
      <c r="S302" s="76" t="str">
        <f>IFERROR(INDEX([1]物品基础表!$A:$A,MATCH(R302,[1]物品基础表!$B:$B,0)),"")</f>
        <v/>
      </c>
    </row>
    <row r="303" spans="1:19">
      <c r="A303" s="39" t="str">
        <f>INDEX([2]活动总表!$A$8:$A$429,MATCH(B303,[2]活动总表!$B$8:$B$429,0))</f>
        <v>春节八天乐</v>
      </c>
      <c r="B303" s="40">
        <v>568</v>
      </c>
      <c r="C303" s="40">
        <v>91</v>
      </c>
      <c r="D303" s="40">
        <v>5</v>
      </c>
      <c r="E303" s="40"/>
      <c r="F303" s="40">
        <v>25</v>
      </c>
      <c r="G303" s="40">
        <v>25</v>
      </c>
      <c r="H303" s="40">
        <v>1</v>
      </c>
      <c r="I303" s="40"/>
      <c r="J303" s="40" t="s">
        <v>1023</v>
      </c>
      <c r="K303" s="40">
        <v>5</v>
      </c>
      <c r="L303" s="76">
        <v>200978</v>
      </c>
      <c r="M303" s="76" t="str">
        <f>IFERROR(INDEX([1]物品基础表!$A:$A,MATCH(L303,[1]物品基础表!$B:$B,0)),"")</f>
        <v>新春小红包</v>
      </c>
      <c r="N303" s="76">
        <v>1</v>
      </c>
      <c r="O303" s="76">
        <v>4</v>
      </c>
      <c r="P303" s="76" t="str">
        <f t="shared" si="23"/>
        <v>精炼石</v>
      </c>
      <c r="Q303" s="76">
        <v>1000</v>
      </c>
      <c r="S303" s="76" t="str">
        <f>IFERROR(INDEX([1]物品基础表!$A:$A,MATCH(R303,[1]物品基础表!$B:$B,0)),"")</f>
        <v/>
      </c>
    </row>
    <row r="304" spans="1:19">
      <c r="A304" s="39" t="str">
        <f>INDEX([2]活动总表!$A$8:$A$429,MATCH(B304,[2]活动总表!$B$8:$B$429,0))</f>
        <v>春节八天乐</v>
      </c>
      <c r="B304" s="40">
        <v>568</v>
      </c>
      <c r="C304" s="40">
        <v>92</v>
      </c>
      <c r="D304" s="40">
        <v>5</v>
      </c>
      <c r="E304" s="40"/>
      <c r="F304" s="40">
        <v>30</v>
      </c>
      <c r="G304" s="40">
        <v>30</v>
      </c>
      <c r="H304" s="40">
        <v>1</v>
      </c>
      <c r="I304" s="40"/>
      <c r="J304" s="40" t="s">
        <v>1024</v>
      </c>
      <c r="K304" s="40">
        <v>5</v>
      </c>
      <c r="L304" s="76">
        <v>200978</v>
      </c>
      <c r="M304" s="76" t="str">
        <f>IFERROR(INDEX([1]物品基础表!$A:$A,MATCH(L304,[1]物品基础表!$B:$B,0)),"")</f>
        <v>新春小红包</v>
      </c>
      <c r="N304" s="76">
        <v>1</v>
      </c>
      <c r="O304" s="76">
        <v>4</v>
      </c>
      <c r="P304" s="76" t="str">
        <f t="shared" si="23"/>
        <v>精炼石</v>
      </c>
      <c r="Q304" s="76">
        <v>1200</v>
      </c>
      <c r="S304" s="76" t="str">
        <f>IFERROR(INDEX([1]物品基础表!$A:$A,MATCH(R304,[1]物品基础表!$B:$B,0)),"")</f>
        <v/>
      </c>
    </row>
    <row r="305" spans="1:19">
      <c r="A305" s="39" t="str">
        <f>INDEX([2]活动总表!$A$8:$A$429,MATCH(B305,[2]活动总表!$B$8:$B$429,0))</f>
        <v>春节八天乐</v>
      </c>
      <c r="B305" s="40">
        <v>568</v>
      </c>
      <c r="C305" s="40">
        <v>93</v>
      </c>
      <c r="D305" s="40">
        <v>5</v>
      </c>
      <c r="E305" s="40"/>
      <c r="F305" s="40">
        <v>35</v>
      </c>
      <c r="G305" s="40">
        <v>35</v>
      </c>
      <c r="H305" s="40">
        <v>1</v>
      </c>
      <c r="I305" s="40"/>
      <c r="J305" s="40" t="s">
        <v>1025</v>
      </c>
      <c r="K305" s="40">
        <v>5</v>
      </c>
      <c r="L305" s="76">
        <v>200978</v>
      </c>
      <c r="M305" s="76" t="str">
        <f>IFERROR(INDEX([1]物品基础表!$A:$A,MATCH(L305,[1]物品基础表!$B:$B,0)),"")</f>
        <v>新春小红包</v>
      </c>
      <c r="N305" s="76">
        <v>1</v>
      </c>
      <c r="O305" s="76">
        <v>4</v>
      </c>
      <c r="P305" s="76" t="str">
        <f t="shared" si="23"/>
        <v>精炼石</v>
      </c>
      <c r="Q305" s="76">
        <v>1500</v>
      </c>
      <c r="S305" s="76" t="str">
        <f>IFERROR(INDEX([1]物品基础表!$A:$A,MATCH(R305,[1]物品基础表!$B:$B,0)),"")</f>
        <v/>
      </c>
    </row>
    <row r="306" spans="1:19">
      <c r="A306" s="39" t="str">
        <f>INDEX([2]活动总表!$A$8:$A$429,MATCH(B306,[2]活动总表!$B$8:$B$429,0))</f>
        <v>春节八天乐</v>
      </c>
      <c r="B306" s="40">
        <v>568</v>
      </c>
      <c r="C306" s="40">
        <v>94</v>
      </c>
      <c r="D306" s="40">
        <v>91</v>
      </c>
      <c r="E306" s="40"/>
      <c r="F306" s="40">
        <v>5</v>
      </c>
      <c r="G306" s="40">
        <v>5</v>
      </c>
      <c r="H306" s="40">
        <v>1</v>
      </c>
      <c r="I306" s="40"/>
      <c r="J306" s="40" t="s">
        <v>1026</v>
      </c>
      <c r="K306" s="40">
        <v>5</v>
      </c>
      <c r="L306" s="76">
        <v>200979</v>
      </c>
      <c r="M306" s="76" t="str">
        <f>IFERROR(INDEX([1]物品基础表!$A:$A,MATCH(L306,[1]物品基础表!$B:$B,0)),"")</f>
        <v>新春大红包</v>
      </c>
      <c r="N306" s="76">
        <v>2</v>
      </c>
      <c r="O306" s="76">
        <v>201002</v>
      </c>
      <c r="P306" s="76" t="str">
        <f>IFERROR(INDEX([1]物品基础表!$A:$A,MATCH(O306,[1]物品基础表!$B:$B,0)),"")</f>
        <v>神秘钥匙</v>
      </c>
      <c r="Q306" s="76">
        <v>1</v>
      </c>
      <c r="S306" s="76" t="str">
        <f>IFERROR(INDEX([1]物品基础表!$A:$A,MATCH(R306,[1]物品基础表!$B:$B,0)),"")</f>
        <v/>
      </c>
    </row>
    <row r="307" spans="1:19">
      <c r="A307" s="39" t="str">
        <f>INDEX([2]活动总表!$A$8:$A$429,MATCH(B307,[2]活动总表!$B$8:$B$429,0))</f>
        <v>春节八天乐</v>
      </c>
      <c r="B307" s="40">
        <v>568</v>
      </c>
      <c r="C307" s="40">
        <v>95</v>
      </c>
      <c r="D307" s="40">
        <v>91</v>
      </c>
      <c r="E307" s="40"/>
      <c r="F307" s="40">
        <v>10</v>
      </c>
      <c r="G307" s="40">
        <v>10</v>
      </c>
      <c r="H307" s="40">
        <v>1</v>
      </c>
      <c r="I307" s="40"/>
      <c r="J307" s="40" t="s">
        <v>1027</v>
      </c>
      <c r="K307" s="40">
        <v>5</v>
      </c>
      <c r="L307" s="76">
        <v>200979</v>
      </c>
      <c r="M307" s="76" t="str">
        <f>IFERROR(INDEX([1]物品基础表!$A:$A,MATCH(L307,[1]物品基础表!$B:$B,0)),"")</f>
        <v>新春大红包</v>
      </c>
      <c r="N307" s="76">
        <v>2</v>
      </c>
      <c r="O307" s="76">
        <v>201002</v>
      </c>
      <c r="P307" s="76" t="str">
        <f>IFERROR(INDEX([1]物品基础表!$A:$A,MATCH(O307,[1]物品基础表!$B:$B,0)),"")</f>
        <v>神秘钥匙</v>
      </c>
      <c r="Q307" s="76">
        <v>1</v>
      </c>
      <c r="S307" s="76" t="str">
        <f>IFERROR(INDEX([1]物品基础表!$A:$A,MATCH(R307,[1]物品基础表!$B:$B,0)),"")</f>
        <v/>
      </c>
    </row>
    <row r="308" spans="1:19">
      <c r="A308" s="39" t="str">
        <f>INDEX([2]活动总表!$A$8:$A$429,MATCH(B308,[2]活动总表!$B$8:$B$429,0))</f>
        <v>春节八天乐</v>
      </c>
      <c r="B308" s="40">
        <v>568</v>
      </c>
      <c r="C308" s="40">
        <v>96</v>
      </c>
      <c r="D308" s="40">
        <v>91</v>
      </c>
      <c r="E308" s="40"/>
      <c r="F308" s="40">
        <v>15</v>
      </c>
      <c r="G308" s="40">
        <v>15</v>
      </c>
      <c r="H308" s="40">
        <v>1</v>
      </c>
      <c r="I308" s="40"/>
      <c r="J308" s="40" t="s">
        <v>1028</v>
      </c>
      <c r="K308" s="40">
        <v>5</v>
      </c>
      <c r="L308" s="76">
        <v>200979</v>
      </c>
      <c r="M308" s="76" t="str">
        <f>IFERROR(INDEX([1]物品基础表!$A:$A,MATCH(L308,[1]物品基础表!$B:$B,0)),"")</f>
        <v>新春大红包</v>
      </c>
      <c r="N308" s="76">
        <v>2</v>
      </c>
      <c r="O308" s="76">
        <v>201002</v>
      </c>
      <c r="P308" s="76" t="str">
        <f>IFERROR(INDEX([1]物品基础表!$A:$A,MATCH(O308,[1]物品基础表!$B:$B,0)),"")</f>
        <v>神秘钥匙</v>
      </c>
      <c r="Q308" s="76">
        <v>2</v>
      </c>
      <c r="S308" s="76" t="str">
        <f>IFERROR(INDEX([1]物品基础表!$A:$A,MATCH(R308,[1]物品基础表!$B:$B,0)),"")</f>
        <v/>
      </c>
    </row>
    <row r="309" spans="1:19">
      <c r="A309" s="39" t="str">
        <f>INDEX([2]活动总表!$A$8:$A$429,MATCH(B309,[2]活动总表!$B$8:$B$429,0))</f>
        <v>春节八天乐</v>
      </c>
      <c r="B309" s="40">
        <v>568</v>
      </c>
      <c r="C309" s="40">
        <v>97</v>
      </c>
      <c r="D309" s="40">
        <v>91</v>
      </c>
      <c r="E309" s="40"/>
      <c r="F309" s="40">
        <v>30</v>
      </c>
      <c r="G309" s="40">
        <v>30</v>
      </c>
      <c r="H309" s="40">
        <v>1</v>
      </c>
      <c r="I309" s="40"/>
      <c r="J309" s="40" t="s">
        <v>1029</v>
      </c>
      <c r="K309" s="40">
        <v>5</v>
      </c>
      <c r="L309" s="76">
        <v>200979</v>
      </c>
      <c r="M309" s="76" t="str">
        <f>IFERROR(INDEX([1]物品基础表!$A:$A,MATCH(L309,[1]物品基础表!$B:$B,0)),"")</f>
        <v>新春大红包</v>
      </c>
      <c r="N309" s="76">
        <v>6</v>
      </c>
      <c r="O309" s="76">
        <v>201002</v>
      </c>
      <c r="P309" s="76" t="str">
        <f>IFERROR(INDEX([1]物品基础表!$A:$A,MATCH(O309,[1]物品基础表!$B:$B,0)),"")</f>
        <v>神秘钥匙</v>
      </c>
      <c r="Q309" s="76">
        <v>3</v>
      </c>
      <c r="S309" s="76" t="str">
        <f>IFERROR(INDEX([1]物品基础表!$A:$A,MATCH(R309,[1]物品基础表!$B:$B,0)),"")</f>
        <v/>
      </c>
    </row>
    <row r="310" spans="1:19">
      <c r="A310" s="39" t="str">
        <f>INDEX([2]活动总表!$A$8:$A$429,MATCH(B310,[2]活动总表!$B$8:$B$429,0))</f>
        <v>春节八天乐</v>
      </c>
      <c r="B310" s="40">
        <v>568</v>
      </c>
      <c r="C310" s="40">
        <v>98</v>
      </c>
      <c r="D310" s="40">
        <v>91</v>
      </c>
      <c r="E310" s="40"/>
      <c r="F310" s="40">
        <v>50</v>
      </c>
      <c r="G310" s="40">
        <v>50</v>
      </c>
      <c r="H310" s="40">
        <v>1</v>
      </c>
      <c r="I310" s="40"/>
      <c r="J310" s="40" t="s">
        <v>1030</v>
      </c>
      <c r="K310" s="40">
        <v>5</v>
      </c>
      <c r="L310" s="76">
        <v>200979</v>
      </c>
      <c r="M310" s="76" t="str">
        <f>IFERROR(INDEX([1]物品基础表!$A:$A,MATCH(L310,[1]物品基础表!$B:$B,0)),"")</f>
        <v>新春大红包</v>
      </c>
      <c r="N310" s="76">
        <v>6</v>
      </c>
      <c r="O310" s="76">
        <v>201002</v>
      </c>
      <c r="P310" s="76" t="str">
        <f>IFERROR(INDEX([1]物品基础表!$A:$A,MATCH(O310,[1]物品基础表!$B:$B,0)),"")</f>
        <v>神秘钥匙</v>
      </c>
      <c r="Q310" s="76">
        <v>4</v>
      </c>
      <c r="S310" s="76" t="str">
        <f>IFERROR(INDEX([1]物品基础表!$A:$A,MATCH(R310,[1]物品基础表!$B:$B,0)),"")</f>
        <v/>
      </c>
    </row>
    <row r="311" spans="1:19">
      <c r="A311" s="39" t="str">
        <f>INDEX([2]活动总表!$A$8:$A$429,MATCH(B311,[2]活动总表!$B$8:$B$429,0))</f>
        <v>春节八天乐</v>
      </c>
      <c r="B311" s="40">
        <v>568</v>
      </c>
      <c r="C311" s="40">
        <v>99</v>
      </c>
      <c r="D311" s="40">
        <v>91</v>
      </c>
      <c r="E311" s="40"/>
      <c r="F311" s="40">
        <v>70</v>
      </c>
      <c r="G311" s="40">
        <v>70</v>
      </c>
      <c r="H311" s="40">
        <v>1</v>
      </c>
      <c r="I311" s="40"/>
      <c r="J311" s="40" t="s">
        <v>1031</v>
      </c>
      <c r="K311" s="40">
        <v>5</v>
      </c>
      <c r="L311" s="76">
        <v>200979</v>
      </c>
      <c r="M311" s="76" t="str">
        <f>IFERROR(INDEX([1]物品基础表!$A:$A,MATCH(L311,[1]物品基础表!$B:$B,0)),"")</f>
        <v>新春大红包</v>
      </c>
      <c r="N311" s="76">
        <v>6</v>
      </c>
      <c r="O311" s="76">
        <v>201002</v>
      </c>
      <c r="P311" s="76" t="str">
        <f>IFERROR(INDEX([1]物品基础表!$A:$A,MATCH(O311,[1]物品基础表!$B:$B,0)),"")</f>
        <v>神秘钥匙</v>
      </c>
      <c r="Q311" s="76">
        <v>4</v>
      </c>
      <c r="S311" s="76" t="str">
        <f>IFERROR(INDEX([1]物品基础表!$A:$A,MATCH(R311,[1]物品基础表!$B:$B,0)),"")</f>
        <v/>
      </c>
    </row>
    <row r="312" spans="1:19">
      <c r="A312" s="39" t="str">
        <f>INDEX([2]活动总表!$A$8:$A$429,MATCH(B312,[2]活动总表!$B$8:$B$429,0))</f>
        <v>春节八天乐</v>
      </c>
      <c r="B312" s="40">
        <v>568</v>
      </c>
      <c r="C312" s="40">
        <v>100</v>
      </c>
      <c r="D312" s="40">
        <v>91</v>
      </c>
      <c r="E312" s="40"/>
      <c r="F312" s="40">
        <v>100</v>
      </c>
      <c r="G312" s="40">
        <v>100</v>
      </c>
      <c r="H312" s="40">
        <v>1</v>
      </c>
      <c r="I312" s="40"/>
      <c r="J312" s="40" t="s">
        <v>1032</v>
      </c>
      <c r="K312" s="40">
        <v>5</v>
      </c>
      <c r="L312" s="76">
        <v>200979</v>
      </c>
      <c r="M312" s="76" t="str">
        <f>IFERROR(INDEX([1]物品基础表!$A:$A,MATCH(L312,[1]物品基础表!$B:$B,0)),"")</f>
        <v>新春大红包</v>
      </c>
      <c r="N312" s="76">
        <v>9</v>
      </c>
      <c r="O312" s="76">
        <v>201002</v>
      </c>
      <c r="P312" s="76" t="str">
        <f>IFERROR(INDEX([1]物品基础表!$A:$A,MATCH(O312,[1]物品基础表!$B:$B,0)),"")</f>
        <v>神秘钥匙</v>
      </c>
      <c r="Q312" s="76">
        <v>5</v>
      </c>
      <c r="S312" s="76" t="str">
        <f>IFERROR(INDEX([1]物品基础表!$A:$A,MATCH(R312,[1]物品基础表!$B:$B,0)),"")</f>
        <v/>
      </c>
    </row>
    <row r="313" spans="1:19">
      <c r="A313" s="39" t="str">
        <f>INDEX([2]活动总表!$A$8:$A$429,MATCH(B313,[2]活动总表!$B$8:$B$429,0))</f>
        <v>妇女节嗨点</v>
      </c>
      <c r="B313" s="40">
        <v>750</v>
      </c>
      <c r="C313" s="40">
        <v>1</v>
      </c>
      <c r="D313" s="40">
        <v>5</v>
      </c>
      <c r="E313" s="40">
        <v>0</v>
      </c>
      <c r="F313" s="40">
        <v>1</v>
      </c>
      <c r="G313" s="40">
        <v>10</v>
      </c>
      <c r="H313" s="40">
        <v>2</v>
      </c>
      <c r="I313" s="40"/>
      <c r="J313" s="40" t="s">
        <v>920</v>
      </c>
      <c r="K313" s="40"/>
      <c r="M313" s="76" t="str">
        <f>IFERROR(INDEX([1]物品基础表!$A:$A,MATCH(L313,[1]物品基础表!$B:$B,0)),"")</f>
        <v/>
      </c>
      <c r="P313" s="76" t="str">
        <f>IFERROR(INDEX([1]物品基础表!$A:$A,MATCH(O313,[1]物品基础表!$B:$B,0)),"")</f>
        <v/>
      </c>
      <c r="S313" s="76" t="str">
        <f>IFERROR(INDEX([1]物品基础表!$A:$A,MATCH(R313,[1]物品基础表!$B:$B,0)),"")</f>
        <v/>
      </c>
    </row>
    <row r="314" spans="1:19">
      <c r="A314" s="39" t="str">
        <f>INDEX([2]活动总表!$A$8:$A$429,MATCH(B314,[2]活动总表!$B$8:$B$429,0))</f>
        <v>妇女节嗨点</v>
      </c>
      <c r="B314" s="40">
        <v>750</v>
      </c>
      <c r="C314" s="40">
        <v>2</v>
      </c>
      <c r="D314" s="40">
        <v>98</v>
      </c>
      <c r="E314" s="40">
        <v>0</v>
      </c>
      <c r="F314" s="40">
        <v>1</v>
      </c>
      <c r="G314" s="40">
        <v>3</v>
      </c>
      <c r="H314" s="40">
        <v>5</v>
      </c>
      <c r="I314" s="40"/>
      <c r="J314" s="40" t="s">
        <v>921</v>
      </c>
      <c r="K314" s="40"/>
      <c r="M314" s="76" t="str">
        <f>IFERROR(INDEX([1]物品基础表!$A:$A,MATCH(L314,[1]物品基础表!$B:$B,0)),"")</f>
        <v/>
      </c>
      <c r="P314" s="76" t="str">
        <f>IFERROR(INDEX([1]物品基础表!$A:$A,MATCH(O314,[1]物品基础表!$B:$B,0)),"")</f>
        <v/>
      </c>
      <c r="S314" s="76" t="str">
        <f>IFERROR(INDEX([1]物品基础表!$A:$A,MATCH(R314,[1]物品基础表!$B:$B,0)),"")</f>
        <v/>
      </c>
    </row>
    <row r="315" spans="1:19">
      <c r="A315" s="39" t="str">
        <f>INDEX([2]活动总表!$A$8:$A$429,MATCH(B315,[2]活动总表!$B$8:$B$429,0))</f>
        <v>妇女节嗨点</v>
      </c>
      <c r="B315" s="40">
        <v>750</v>
      </c>
      <c r="C315" s="40">
        <v>3</v>
      </c>
      <c r="D315" s="40">
        <v>50</v>
      </c>
      <c r="E315" s="40">
        <v>0</v>
      </c>
      <c r="F315" s="40">
        <v>1</v>
      </c>
      <c r="G315" s="40">
        <v>8</v>
      </c>
      <c r="H315" s="40">
        <v>2</v>
      </c>
      <c r="I315" s="40"/>
      <c r="J315" s="40" t="s">
        <v>922</v>
      </c>
      <c r="K315" s="40"/>
      <c r="M315" s="76" t="str">
        <f>IFERROR(INDEX([1]物品基础表!$A:$A,MATCH(L315,[1]物品基础表!$B:$B,0)),"")</f>
        <v/>
      </c>
      <c r="P315" s="76" t="str">
        <f>IFERROR(INDEX([1]物品基础表!$A:$A,MATCH(O315,[1]物品基础表!$B:$B,0)),"")</f>
        <v/>
      </c>
      <c r="S315" s="76" t="str">
        <f>IFERROR(INDEX([1]物品基础表!$A:$A,MATCH(R315,[1]物品基础表!$B:$B,0)),"")</f>
        <v/>
      </c>
    </row>
    <row r="316" spans="1:19">
      <c r="A316" s="39" t="str">
        <f>INDEX([2]活动总表!$A$8:$A$429,MATCH(B316,[2]活动总表!$B$8:$B$429,0))</f>
        <v>妇女节嗨点</v>
      </c>
      <c r="B316" s="40">
        <v>750</v>
      </c>
      <c r="C316" s="40">
        <v>4</v>
      </c>
      <c r="D316" s="40">
        <v>27</v>
      </c>
      <c r="E316" s="40">
        <v>2</v>
      </c>
      <c r="F316" s="40">
        <v>1</v>
      </c>
      <c r="G316" s="40">
        <v>16</v>
      </c>
      <c r="H316" s="40">
        <v>4</v>
      </c>
      <c r="I316" s="40"/>
      <c r="J316" s="40" t="s">
        <v>923</v>
      </c>
      <c r="K316" s="40"/>
      <c r="M316" s="76" t="str">
        <f>IFERROR(INDEX([1]物品基础表!$A:$A,MATCH(L316,[1]物品基础表!$B:$B,0)),"")</f>
        <v/>
      </c>
      <c r="P316" s="76" t="str">
        <f>IFERROR(INDEX([1]物品基础表!$A:$A,MATCH(O316,[1]物品基础表!$B:$B,0)),"")</f>
        <v/>
      </c>
      <c r="S316" s="76" t="str">
        <f>IFERROR(INDEX([1]物品基础表!$A:$A,MATCH(R316,[1]物品基础表!$B:$B,0)),"")</f>
        <v/>
      </c>
    </row>
    <row r="317" spans="1:19">
      <c r="A317" s="39" t="str">
        <f>INDEX([2]活动总表!$A$8:$A$429,MATCH(B317,[2]活动总表!$B$8:$B$429,0))</f>
        <v>妇女节嗨点</v>
      </c>
      <c r="B317" s="40">
        <v>750</v>
      </c>
      <c r="C317" s="40">
        <v>5</v>
      </c>
      <c r="D317" s="40">
        <v>94</v>
      </c>
      <c r="E317" s="40">
        <v>4</v>
      </c>
      <c r="F317" s="40">
        <v>1</v>
      </c>
      <c r="G317" s="40">
        <v>3</v>
      </c>
      <c r="H317" s="40">
        <v>5</v>
      </c>
      <c r="I317" s="40"/>
      <c r="J317" s="40" t="s">
        <v>924</v>
      </c>
      <c r="K317" s="40"/>
      <c r="M317" s="76" t="str">
        <f>IFERROR(INDEX([1]物品基础表!$A:$A,MATCH(L317,[1]物品基础表!$B:$B,0)),"")</f>
        <v/>
      </c>
      <c r="P317" s="76" t="str">
        <f>IFERROR(INDEX([1]物品基础表!$A:$A,MATCH(O317,[1]物品基础表!$B:$B,0)),"")</f>
        <v/>
      </c>
      <c r="S317" s="76" t="str">
        <f>IFERROR(INDEX([1]物品基础表!$A:$A,MATCH(R317,[1]物品基础表!$B:$B,0)),"")</f>
        <v/>
      </c>
    </row>
    <row r="318" spans="1:19">
      <c r="A318" s="39" t="str">
        <f>INDEX([2]活动总表!$A$8:$A$429,MATCH(B318,[2]活动总表!$B$8:$B$429,0))</f>
        <v>妇女节嗨点</v>
      </c>
      <c r="B318" s="40">
        <v>750</v>
      </c>
      <c r="C318" s="40">
        <v>6</v>
      </c>
      <c r="D318" s="40">
        <v>91</v>
      </c>
      <c r="E318" s="40">
        <v>0</v>
      </c>
      <c r="F318" s="40">
        <v>1</v>
      </c>
      <c r="G318" s="40">
        <v>200</v>
      </c>
      <c r="H318" s="40">
        <v>3</v>
      </c>
      <c r="I318" s="40"/>
      <c r="J318" s="40" t="s">
        <v>925</v>
      </c>
      <c r="K318" s="40"/>
      <c r="M318" s="76" t="str">
        <f>IFERROR(INDEX([1]物品基础表!$A:$A,MATCH(L318,[1]物品基础表!$B:$B,0)),"")</f>
        <v/>
      </c>
      <c r="P318" s="76" t="str">
        <f>IFERROR(INDEX([1]物品基础表!$A:$A,MATCH(O318,[1]物品基础表!$B:$B,0)),"")</f>
        <v/>
      </c>
      <c r="S318" s="76" t="str">
        <f>IFERROR(INDEX([1]物品基础表!$A:$A,MATCH(R318,[1]物品基础表!$B:$B,0)),"")</f>
        <v/>
      </c>
    </row>
    <row r="319" spans="1:19">
      <c r="A319" s="39" t="str">
        <f>INDEX([2]活动总表!$A$8:$A$429,MATCH(B319,[2]活动总表!$B$8:$B$429,0))</f>
        <v>妇女节嗨点</v>
      </c>
      <c r="B319" s="40">
        <v>750</v>
      </c>
      <c r="C319" s="40">
        <v>7</v>
      </c>
      <c r="D319" s="40">
        <v>92</v>
      </c>
      <c r="E319" s="40">
        <v>0</v>
      </c>
      <c r="F319" s="40">
        <v>1</v>
      </c>
      <c r="G319" s="40">
        <v>10</v>
      </c>
      <c r="H319" s="40">
        <v>2</v>
      </c>
      <c r="I319" s="40"/>
      <c r="J319" s="40" t="s">
        <v>926</v>
      </c>
      <c r="K319" s="40"/>
      <c r="M319" s="76" t="str">
        <f>IFERROR(INDEX([1]物品基础表!$A:$A,MATCH(L319,[1]物品基础表!$B:$B,0)),"")</f>
        <v/>
      </c>
      <c r="P319" s="76" t="str">
        <f>IFERROR(INDEX([1]物品基础表!$A:$A,MATCH(O319,[1]物品基础表!$B:$B,0)),"")</f>
        <v/>
      </c>
      <c r="S319" s="76" t="str">
        <f>IFERROR(INDEX([1]物品基础表!$A:$A,MATCH(R319,[1]物品基础表!$B:$B,0)),"")</f>
        <v/>
      </c>
    </row>
    <row r="320" spans="1:19">
      <c r="A320" s="39" t="str">
        <f>INDEX([2]活动总表!$A$8:$A$429,MATCH(B320,[2]活动总表!$B$8:$B$429,0))</f>
        <v>妇女节嗨点</v>
      </c>
      <c r="B320" s="40">
        <v>750</v>
      </c>
      <c r="C320" s="40">
        <v>8</v>
      </c>
      <c r="D320" s="40">
        <v>59</v>
      </c>
      <c r="E320" s="40">
        <v>0</v>
      </c>
      <c r="F320" s="40">
        <v>1</v>
      </c>
      <c r="G320" s="40">
        <v>3</v>
      </c>
      <c r="H320" s="40">
        <v>4</v>
      </c>
      <c r="I320" s="40"/>
      <c r="J320" s="40" t="s">
        <v>927</v>
      </c>
      <c r="K320" s="40"/>
      <c r="M320" s="76" t="str">
        <f>IFERROR(INDEX([1]物品基础表!$A:$A,MATCH(L320,[1]物品基础表!$B:$B,0)),"")</f>
        <v/>
      </c>
      <c r="P320" s="76" t="str">
        <f>IFERROR(INDEX([1]物品基础表!$A:$A,MATCH(O320,[1]物品基础表!$B:$B,0)),"")</f>
        <v/>
      </c>
      <c r="S320" s="76" t="str">
        <f>IFERROR(INDEX([1]物品基础表!$A:$A,MATCH(R320,[1]物品基础表!$B:$B,0)),"")</f>
        <v/>
      </c>
    </row>
    <row r="321" spans="1:19">
      <c r="A321" s="39" t="str">
        <f>INDEX([2]活动总表!$A$8:$A$429,MATCH(B321,[2]活动总表!$B$8:$B$429,0))</f>
        <v>妇女节嗨点</v>
      </c>
      <c r="B321" s="40">
        <v>750</v>
      </c>
      <c r="C321" s="40">
        <v>9</v>
      </c>
      <c r="D321" s="40">
        <v>27</v>
      </c>
      <c r="E321" s="40">
        <v>16</v>
      </c>
      <c r="F321" s="40">
        <v>1</v>
      </c>
      <c r="G321" s="40">
        <v>2</v>
      </c>
      <c r="H321" s="40">
        <v>4</v>
      </c>
      <c r="I321" s="40"/>
      <c r="J321" s="40" t="s">
        <v>928</v>
      </c>
      <c r="K321" s="40"/>
      <c r="M321" s="76" t="str">
        <f>IFERROR(INDEX([1]物品基础表!$A:$A,MATCH(L321,[1]物品基础表!$B:$B,0)),"")</f>
        <v/>
      </c>
      <c r="P321" s="76" t="str">
        <f>IFERROR(INDEX([1]物品基础表!$A:$A,MATCH(O321,[1]物品基础表!$B:$B,0)),"")</f>
        <v/>
      </c>
      <c r="S321" s="76" t="str">
        <f>IFERROR(INDEX([1]物品基础表!$A:$A,MATCH(R321,[1]物品基础表!$B:$B,0)),"")</f>
        <v/>
      </c>
    </row>
    <row r="322" spans="1:19">
      <c r="A322" s="39" t="str">
        <f>INDEX([2]活动总表!$A$8:$A$429,MATCH(B322,[2]活动总表!$B$8:$B$429,0))</f>
        <v>妇女节嗨点</v>
      </c>
      <c r="B322" s="40">
        <v>750</v>
      </c>
      <c r="C322" s="40">
        <v>10</v>
      </c>
      <c r="D322" s="40">
        <v>107</v>
      </c>
      <c r="E322" s="40"/>
      <c r="F322" s="40">
        <v>2000</v>
      </c>
      <c r="G322" s="40">
        <v>2000</v>
      </c>
      <c r="H322" s="40">
        <v>10</v>
      </c>
      <c r="I322" s="40"/>
      <c r="J322" s="40" t="s">
        <v>930</v>
      </c>
      <c r="K322" s="40"/>
      <c r="M322" s="76" t="str">
        <f>IFERROR(INDEX([1]物品基础表!$A:$A,MATCH(L322,[1]物品基础表!$B:$B,0)),"")</f>
        <v/>
      </c>
      <c r="P322" s="76" t="str">
        <f>IFERROR(INDEX([1]物品基础表!$A:$A,MATCH(O322,[1]物品基础表!$B:$B,0)),"")</f>
        <v/>
      </c>
      <c r="S322" s="76" t="str">
        <f>IFERROR(INDEX([1]物品基础表!$A:$A,MATCH(R322,[1]物品基础表!$B:$B,0)),"")</f>
        <v/>
      </c>
    </row>
    <row r="323" spans="1:19">
      <c r="A323" s="39" t="str">
        <f>INDEX([2]活动总表!$A$8:$A$429,MATCH(B323,[2]活动总表!$B$8:$B$429,0))</f>
        <v>妇女节嗨点</v>
      </c>
      <c r="B323" s="40">
        <v>750</v>
      </c>
      <c r="C323" s="40">
        <v>11</v>
      </c>
      <c r="D323" s="40">
        <v>107</v>
      </c>
      <c r="E323" s="40"/>
      <c r="F323" s="40">
        <v>5000</v>
      </c>
      <c r="G323" s="40">
        <v>5000</v>
      </c>
      <c r="H323" s="40">
        <v>25</v>
      </c>
      <c r="I323" s="40"/>
      <c r="J323" s="40" t="s">
        <v>931</v>
      </c>
      <c r="K323" s="40"/>
      <c r="M323" s="76" t="str">
        <f>IFERROR(INDEX([1]物品基础表!$A:$A,MATCH(L323,[1]物品基础表!$B:$B,0)),"")</f>
        <v/>
      </c>
      <c r="P323" s="76" t="str">
        <f>IFERROR(INDEX([1]物品基础表!$A:$A,MATCH(O323,[1]物品基础表!$B:$B,0)),"")</f>
        <v/>
      </c>
      <c r="S323" s="76" t="str">
        <f>IFERROR(INDEX([1]物品基础表!$A:$A,MATCH(R323,[1]物品基础表!$B:$B,0)),"")</f>
        <v/>
      </c>
    </row>
    <row r="324" spans="1:19">
      <c r="A324" s="39" t="str">
        <f>INDEX([2]活动总表!$A$8:$A$429,MATCH(B324,[2]活动总表!$B$8:$B$429,0))</f>
        <v>妇女节嗨点</v>
      </c>
      <c r="B324" s="40">
        <v>750</v>
      </c>
      <c r="C324" s="40">
        <v>12</v>
      </c>
      <c r="D324" s="40">
        <v>107</v>
      </c>
      <c r="E324" s="40"/>
      <c r="F324" s="40">
        <v>20000</v>
      </c>
      <c r="G324" s="40">
        <v>20000</v>
      </c>
      <c r="H324" s="40">
        <v>100</v>
      </c>
      <c r="I324" s="40"/>
      <c r="J324" s="40" t="s">
        <v>932</v>
      </c>
      <c r="K324" s="40"/>
      <c r="M324" s="76" t="str">
        <f>IFERROR(INDEX([1]物品基础表!$A:$A,MATCH(L324,[1]物品基础表!$B:$B,0)),"")</f>
        <v/>
      </c>
      <c r="P324" s="76" t="str">
        <f>IFERROR(INDEX([1]物品基础表!$A:$A,MATCH(O324,[1]物品基础表!$B:$B,0)),"")</f>
        <v/>
      </c>
      <c r="S324" s="76" t="str">
        <f>IFERROR(INDEX([1]物品基础表!$A:$A,MATCH(R324,[1]物品基础表!$B:$B,0)),"")</f>
        <v/>
      </c>
    </row>
    <row r="325" spans="1:19">
      <c r="A325" s="39" t="str">
        <f>INDEX([2]活动总表!$A$8:$A$429,MATCH(B325,[2]活动总表!$B$8:$B$429,0))</f>
        <v>妇女节嗨点(15-30天)</v>
      </c>
      <c r="B325" s="40">
        <v>752</v>
      </c>
      <c r="C325" s="40">
        <v>1</v>
      </c>
      <c r="D325" s="40">
        <v>5</v>
      </c>
      <c r="E325" s="40">
        <v>0</v>
      </c>
      <c r="F325" s="40">
        <v>1</v>
      </c>
      <c r="G325" s="40">
        <v>10</v>
      </c>
      <c r="H325" s="40">
        <v>2</v>
      </c>
      <c r="I325" s="40"/>
      <c r="J325" s="40" t="s">
        <v>920</v>
      </c>
      <c r="K325" s="40"/>
      <c r="M325" s="76" t="str">
        <f>IFERROR(INDEX([1]物品基础表!$A:$A,MATCH(L325,[1]物品基础表!$B:$B,0)),"")</f>
        <v/>
      </c>
      <c r="P325" s="76" t="str">
        <f>IFERROR(INDEX([1]物品基础表!$A:$A,MATCH(O325,[1]物品基础表!$B:$B,0)),"")</f>
        <v/>
      </c>
      <c r="S325" s="76" t="str">
        <f>IFERROR(INDEX([1]物品基础表!$A:$A,MATCH(R325,[1]物品基础表!$B:$B,0)),"")</f>
        <v/>
      </c>
    </row>
    <row r="326" spans="1:19">
      <c r="A326" s="39" t="str">
        <f>INDEX([2]活动总表!$A$8:$A$429,MATCH(B326,[2]活动总表!$B$8:$B$429,0))</f>
        <v>妇女节嗨点(15-30天)</v>
      </c>
      <c r="B326" s="40">
        <v>752</v>
      </c>
      <c r="C326" s="40">
        <v>2</v>
      </c>
      <c r="D326" s="40">
        <v>98</v>
      </c>
      <c r="E326" s="40">
        <v>0</v>
      </c>
      <c r="F326" s="40">
        <v>1</v>
      </c>
      <c r="G326" s="40">
        <v>3</v>
      </c>
      <c r="H326" s="40">
        <v>5</v>
      </c>
      <c r="I326" s="40"/>
      <c r="J326" s="40" t="s">
        <v>921</v>
      </c>
      <c r="K326" s="40"/>
      <c r="M326" s="76" t="str">
        <f>IFERROR(INDEX([1]物品基础表!$A:$A,MATCH(L326,[1]物品基础表!$B:$B,0)),"")</f>
        <v/>
      </c>
      <c r="P326" s="76" t="str">
        <f>IFERROR(INDEX([1]物品基础表!$A:$A,MATCH(O326,[1]物品基础表!$B:$B,0)),"")</f>
        <v/>
      </c>
      <c r="S326" s="76" t="str">
        <f>IFERROR(INDEX([1]物品基础表!$A:$A,MATCH(R326,[1]物品基础表!$B:$B,0)),"")</f>
        <v/>
      </c>
    </row>
    <row r="327" spans="1:19">
      <c r="A327" s="39" t="str">
        <f>INDEX([2]活动总表!$A$8:$A$429,MATCH(B327,[2]活动总表!$B$8:$B$429,0))</f>
        <v>妇女节嗨点(15-30天)</v>
      </c>
      <c r="B327" s="40">
        <v>752</v>
      </c>
      <c r="C327" s="40">
        <v>3</v>
      </c>
      <c r="D327" s="40">
        <v>50</v>
      </c>
      <c r="E327" s="40">
        <v>0</v>
      </c>
      <c r="F327" s="40">
        <v>1</v>
      </c>
      <c r="G327" s="40">
        <v>8</v>
      </c>
      <c r="H327" s="40">
        <v>2</v>
      </c>
      <c r="I327" s="40"/>
      <c r="J327" s="40" t="s">
        <v>922</v>
      </c>
      <c r="K327" s="40"/>
      <c r="M327" s="76" t="str">
        <f>IFERROR(INDEX([1]物品基础表!$A:$A,MATCH(L327,[1]物品基础表!$B:$B,0)),"")</f>
        <v/>
      </c>
      <c r="P327" s="76" t="str">
        <f>IFERROR(INDEX([1]物品基础表!$A:$A,MATCH(O327,[1]物品基础表!$B:$B,0)),"")</f>
        <v/>
      </c>
      <c r="S327" s="76" t="str">
        <f>IFERROR(INDEX([1]物品基础表!$A:$A,MATCH(R327,[1]物品基础表!$B:$B,0)),"")</f>
        <v/>
      </c>
    </row>
    <row r="328" spans="1:19">
      <c r="A328" s="39" t="str">
        <f>INDEX([2]活动总表!$A$8:$A$429,MATCH(B328,[2]活动总表!$B$8:$B$429,0))</f>
        <v>妇女节嗨点(15-30天)</v>
      </c>
      <c r="B328" s="40">
        <v>752</v>
      </c>
      <c r="C328" s="40">
        <v>4</v>
      </c>
      <c r="D328" s="40">
        <v>27</v>
      </c>
      <c r="E328" s="40">
        <v>2</v>
      </c>
      <c r="F328" s="40">
        <v>1</v>
      </c>
      <c r="G328" s="40">
        <v>16</v>
      </c>
      <c r="H328" s="40">
        <v>4</v>
      </c>
      <c r="I328" s="40"/>
      <c r="J328" s="40" t="s">
        <v>923</v>
      </c>
      <c r="K328" s="40"/>
      <c r="M328" s="76" t="str">
        <f>IFERROR(INDEX([1]物品基础表!$A:$A,MATCH(L328,[1]物品基础表!$B:$B,0)),"")</f>
        <v/>
      </c>
      <c r="P328" s="76" t="str">
        <f>IFERROR(INDEX([1]物品基础表!$A:$A,MATCH(O328,[1]物品基础表!$B:$B,0)),"")</f>
        <v/>
      </c>
      <c r="S328" s="76" t="str">
        <f>IFERROR(INDEX([1]物品基础表!$A:$A,MATCH(R328,[1]物品基础表!$B:$B,0)),"")</f>
        <v/>
      </c>
    </row>
    <row r="329" spans="1:19">
      <c r="A329" s="39" t="str">
        <f>INDEX([2]活动总表!$A$8:$A$429,MATCH(B329,[2]活动总表!$B$8:$B$429,0))</f>
        <v>妇女节嗨点(15-30天)</v>
      </c>
      <c r="B329" s="40">
        <v>752</v>
      </c>
      <c r="C329" s="40">
        <v>5</v>
      </c>
      <c r="D329" s="40">
        <v>94</v>
      </c>
      <c r="E329" s="40">
        <v>4</v>
      </c>
      <c r="F329" s="40">
        <v>1</v>
      </c>
      <c r="G329" s="40">
        <v>3</v>
      </c>
      <c r="H329" s="40">
        <v>5</v>
      </c>
      <c r="I329" s="40"/>
      <c r="J329" s="40" t="s">
        <v>924</v>
      </c>
      <c r="K329" s="40"/>
      <c r="M329" s="76" t="str">
        <f>IFERROR(INDEX([1]物品基础表!$A:$A,MATCH(L329,[1]物品基础表!$B:$B,0)),"")</f>
        <v/>
      </c>
      <c r="P329" s="76" t="str">
        <f>IFERROR(INDEX([1]物品基础表!$A:$A,MATCH(O329,[1]物品基础表!$B:$B,0)),"")</f>
        <v/>
      </c>
      <c r="S329" s="76" t="str">
        <f>IFERROR(INDEX([1]物品基础表!$A:$A,MATCH(R329,[1]物品基础表!$B:$B,0)),"")</f>
        <v/>
      </c>
    </row>
    <row r="330" spans="1:19">
      <c r="A330" s="39" t="str">
        <f>INDEX([2]活动总表!$A$8:$A$429,MATCH(B330,[2]活动总表!$B$8:$B$429,0))</f>
        <v>妇女节嗨点(15-30天)</v>
      </c>
      <c r="B330" s="40">
        <v>752</v>
      </c>
      <c r="C330" s="40">
        <v>6</v>
      </c>
      <c r="D330" s="40">
        <v>91</v>
      </c>
      <c r="E330" s="40">
        <v>0</v>
      </c>
      <c r="F330" s="40">
        <v>1</v>
      </c>
      <c r="G330" s="40">
        <v>200</v>
      </c>
      <c r="H330" s="40">
        <v>3</v>
      </c>
      <c r="I330" s="40"/>
      <c r="J330" s="40" t="s">
        <v>925</v>
      </c>
      <c r="K330" s="40"/>
      <c r="M330" s="76" t="str">
        <f>IFERROR(INDEX([1]物品基础表!$A:$A,MATCH(L330,[1]物品基础表!$B:$B,0)),"")</f>
        <v/>
      </c>
      <c r="P330" s="76" t="str">
        <f>IFERROR(INDEX([1]物品基础表!$A:$A,MATCH(O330,[1]物品基础表!$B:$B,0)),"")</f>
        <v/>
      </c>
      <c r="S330" s="76" t="str">
        <f>IFERROR(INDEX([1]物品基础表!$A:$A,MATCH(R330,[1]物品基础表!$B:$B,0)),"")</f>
        <v/>
      </c>
    </row>
    <row r="331" spans="1:19">
      <c r="A331" s="39" t="str">
        <f>INDEX([2]活动总表!$A$8:$A$429,MATCH(B331,[2]活动总表!$B$8:$B$429,0))</f>
        <v>妇女节嗨点(15-30天)</v>
      </c>
      <c r="B331" s="40">
        <v>752</v>
      </c>
      <c r="C331" s="40">
        <v>7</v>
      </c>
      <c r="D331" s="40">
        <v>92</v>
      </c>
      <c r="E331" s="40">
        <v>0</v>
      </c>
      <c r="F331" s="40">
        <v>1</v>
      </c>
      <c r="G331" s="40">
        <v>10</v>
      </c>
      <c r="H331" s="40">
        <v>2</v>
      </c>
      <c r="I331" s="40"/>
      <c r="J331" s="40" t="s">
        <v>926</v>
      </c>
      <c r="K331" s="40"/>
      <c r="M331" s="76" t="str">
        <f>IFERROR(INDEX([1]物品基础表!$A:$A,MATCH(L331,[1]物品基础表!$B:$B,0)),"")</f>
        <v/>
      </c>
      <c r="P331" s="76" t="str">
        <f>IFERROR(INDEX([1]物品基础表!$A:$A,MATCH(O331,[1]物品基础表!$B:$B,0)),"")</f>
        <v/>
      </c>
      <c r="S331" s="76" t="str">
        <f>IFERROR(INDEX([1]物品基础表!$A:$A,MATCH(R331,[1]物品基础表!$B:$B,0)),"")</f>
        <v/>
      </c>
    </row>
    <row r="332" spans="1:19">
      <c r="A332" s="39" t="str">
        <f>INDEX([2]活动总表!$A$8:$A$429,MATCH(B332,[2]活动总表!$B$8:$B$429,0))</f>
        <v>妇女节嗨点(15-30天)</v>
      </c>
      <c r="B332" s="40">
        <v>752</v>
      </c>
      <c r="C332" s="40">
        <v>8</v>
      </c>
      <c r="D332" s="40">
        <v>59</v>
      </c>
      <c r="E332" s="40">
        <v>0</v>
      </c>
      <c r="F332" s="40">
        <v>1</v>
      </c>
      <c r="G332" s="40">
        <v>3</v>
      </c>
      <c r="H332" s="40">
        <v>4</v>
      </c>
      <c r="I332" s="40"/>
      <c r="J332" s="40" t="s">
        <v>927</v>
      </c>
      <c r="K332" s="40"/>
      <c r="M332" s="76" t="str">
        <f>IFERROR(INDEX([1]物品基础表!$A:$A,MATCH(L332,[1]物品基础表!$B:$B,0)),"")</f>
        <v/>
      </c>
      <c r="P332" s="76" t="str">
        <f>IFERROR(INDEX([1]物品基础表!$A:$A,MATCH(O332,[1]物品基础表!$B:$B,0)),"")</f>
        <v/>
      </c>
      <c r="S332" s="76" t="str">
        <f>IFERROR(INDEX([1]物品基础表!$A:$A,MATCH(R332,[1]物品基础表!$B:$B,0)),"")</f>
        <v/>
      </c>
    </row>
    <row r="333" spans="1:19">
      <c r="A333" s="39" t="str">
        <f>INDEX([2]活动总表!$A$8:$A$429,MATCH(B333,[2]活动总表!$B$8:$B$429,0))</f>
        <v>妇女节嗨点(15-30天)</v>
      </c>
      <c r="B333" s="40">
        <v>752</v>
      </c>
      <c r="C333" s="40">
        <v>9</v>
      </c>
      <c r="D333" s="40">
        <v>27</v>
      </c>
      <c r="E333" s="40">
        <v>16</v>
      </c>
      <c r="F333" s="40">
        <v>1</v>
      </c>
      <c r="G333" s="40">
        <v>2</v>
      </c>
      <c r="H333" s="40">
        <v>4</v>
      </c>
      <c r="I333" s="40"/>
      <c r="J333" s="40" t="s">
        <v>928</v>
      </c>
      <c r="K333" s="40"/>
      <c r="M333" s="76" t="str">
        <f>IFERROR(INDEX([1]物品基础表!$A:$A,MATCH(L333,[1]物品基础表!$B:$B,0)),"")</f>
        <v/>
      </c>
      <c r="P333" s="76" t="str">
        <f>IFERROR(INDEX([1]物品基础表!$A:$A,MATCH(O333,[1]物品基础表!$B:$B,0)),"")</f>
        <v/>
      </c>
      <c r="S333" s="76" t="str">
        <f>IFERROR(INDEX([1]物品基础表!$A:$A,MATCH(R333,[1]物品基础表!$B:$B,0)),"")</f>
        <v/>
      </c>
    </row>
    <row r="334" spans="1:19">
      <c r="A334" s="39" t="str">
        <f>INDEX([2]活动总表!$A$8:$A$429,MATCH(B334,[2]活动总表!$B$8:$B$429,0))</f>
        <v>妇女节嗨点(15-30天)</v>
      </c>
      <c r="B334" s="40">
        <v>752</v>
      </c>
      <c r="C334" s="40">
        <v>10</v>
      </c>
      <c r="D334" s="40">
        <v>107</v>
      </c>
      <c r="E334" s="40"/>
      <c r="F334" s="40">
        <v>2000</v>
      </c>
      <c r="G334" s="40">
        <v>2000</v>
      </c>
      <c r="H334" s="40">
        <v>10</v>
      </c>
      <c r="I334" s="40"/>
      <c r="J334" s="40" t="s">
        <v>930</v>
      </c>
      <c r="K334" s="40"/>
      <c r="M334" s="76" t="str">
        <f>IFERROR(INDEX([1]物品基础表!$A:$A,MATCH(L334,[1]物品基础表!$B:$B,0)),"")</f>
        <v/>
      </c>
      <c r="P334" s="76" t="str">
        <f>IFERROR(INDEX([1]物品基础表!$A:$A,MATCH(O334,[1]物品基础表!$B:$B,0)),"")</f>
        <v/>
      </c>
      <c r="S334" s="76" t="str">
        <f>IFERROR(INDEX([1]物品基础表!$A:$A,MATCH(R334,[1]物品基础表!$B:$B,0)),"")</f>
        <v/>
      </c>
    </row>
    <row r="335" spans="1:19">
      <c r="A335" s="39" t="str">
        <f>INDEX([2]活动总表!$A$8:$A$429,MATCH(B335,[2]活动总表!$B$8:$B$429,0))</f>
        <v>妇女节嗨点(15-30天)</v>
      </c>
      <c r="B335" s="40">
        <v>752</v>
      </c>
      <c r="C335" s="40">
        <v>11</v>
      </c>
      <c r="D335" s="40">
        <v>107</v>
      </c>
      <c r="E335" s="40"/>
      <c r="F335" s="40">
        <v>5000</v>
      </c>
      <c r="G335" s="40">
        <v>5000</v>
      </c>
      <c r="H335" s="40">
        <v>25</v>
      </c>
      <c r="I335" s="40"/>
      <c r="J335" s="40" t="s">
        <v>931</v>
      </c>
      <c r="K335" s="40"/>
      <c r="M335" s="76" t="str">
        <f>IFERROR(INDEX([1]物品基础表!$A:$A,MATCH(L335,[1]物品基础表!$B:$B,0)),"")</f>
        <v/>
      </c>
      <c r="P335" s="76" t="str">
        <f>IFERROR(INDEX([1]物品基础表!$A:$A,MATCH(O335,[1]物品基础表!$B:$B,0)),"")</f>
        <v/>
      </c>
      <c r="S335" s="76" t="str">
        <f>IFERROR(INDEX([1]物品基础表!$A:$A,MATCH(R335,[1]物品基础表!$B:$B,0)),"")</f>
        <v/>
      </c>
    </row>
    <row r="336" spans="1:19">
      <c r="A336" s="39" t="str">
        <f>INDEX([2]活动总表!$A$8:$A$429,MATCH(B336,[2]活动总表!$B$8:$B$429,0))</f>
        <v>妇女节嗨点(15-30天)</v>
      </c>
      <c r="B336" s="40">
        <v>752</v>
      </c>
      <c r="C336" s="40">
        <v>12</v>
      </c>
      <c r="D336" s="40">
        <v>107</v>
      </c>
      <c r="E336" s="40"/>
      <c r="F336" s="40">
        <v>20000</v>
      </c>
      <c r="G336" s="40">
        <v>20000</v>
      </c>
      <c r="H336" s="40">
        <v>100</v>
      </c>
      <c r="I336" s="40"/>
      <c r="J336" s="40" t="s">
        <v>932</v>
      </c>
      <c r="K336" s="40"/>
      <c r="M336" s="76" t="str">
        <f>IFERROR(INDEX([1]物品基础表!$A:$A,MATCH(L336,[1]物品基础表!$B:$B,0)),"")</f>
        <v/>
      </c>
      <c r="P336" s="76" t="str">
        <f>IFERROR(INDEX([1]物品基础表!$A:$A,MATCH(O336,[1]物品基础表!$B:$B,0)),"")</f>
        <v/>
      </c>
      <c r="S336" s="76" t="str">
        <f>IFERROR(INDEX([1]物品基础表!$A:$A,MATCH(R336,[1]物品基础表!$B:$B,0)),"")</f>
        <v/>
      </c>
    </row>
    <row r="337" spans="1:19">
      <c r="A337" s="39" t="str">
        <f>INDEX([2]活动总表!$A$8:$A$429,MATCH(B337,[2]活动总表!$B$8:$B$429,0))</f>
        <v>妇女节嗨点(30-60天)</v>
      </c>
      <c r="B337" s="40">
        <v>754</v>
      </c>
      <c r="C337" s="40">
        <v>1</v>
      </c>
      <c r="D337" s="40">
        <v>5</v>
      </c>
      <c r="E337" s="40">
        <v>0</v>
      </c>
      <c r="F337" s="40">
        <v>1</v>
      </c>
      <c r="G337" s="40">
        <v>10</v>
      </c>
      <c r="H337" s="40">
        <v>2</v>
      </c>
      <c r="I337" s="40"/>
      <c r="J337" s="40" t="s">
        <v>920</v>
      </c>
      <c r="K337" s="40"/>
      <c r="M337" s="76" t="str">
        <f>IFERROR(INDEX([1]物品基础表!$A:$A,MATCH(L337,[1]物品基础表!$B:$B,0)),"")</f>
        <v/>
      </c>
      <c r="P337" s="76" t="str">
        <f>IFERROR(INDEX([1]物品基础表!$A:$A,MATCH(O337,[1]物品基础表!$B:$B,0)),"")</f>
        <v/>
      </c>
      <c r="S337" s="76" t="str">
        <f>IFERROR(INDEX([1]物品基础表!$A:$A,MATCH(R337,[1]物品基础表!$B:$B,0)),"")</f>
        <v/>
      </c>
    </row>
    <row r="338" spans="1:19">
      <c r="A338" s="39" t="str">
        <f>INDEX([2]活动总表!$A$8:$A$429,MATCH(B338,[2]活动总表!$B$8:$B$429,0))</f>
        <v>妇女节嗨点(30-60天)</v>
      </c>
      <c r="B338" s="40">
        <v>754</v>
      </c>
      <c r="C338" s="40">
        <v>2</v>
      </c>
      <c r="D338" s="40">
        <v>98</v>
      </c>
      <c r="E338" s="40">
        <v>0</v>
      </c>
      <c r="F338" s="40">
        <v>1</v>
      </c>
      <c r="G338" s="40">
        <v>3</v>
      </c>
      <c r="H338" s="40">
        <v>5</v>
      </c>
      <c r="I338" s="40"/>
      <c r="J338" s="40" t="s">
        <v>921</v>
      </c>
      <c r="K338" s="40"/>
      <c r="M338" s="76" t="str">
        <f>IFERROR(INDEX([1]物品基础表!$A:$A,MATCH(L338,[1]物品基础表!$B:$B,0)),"")</f>
        <v/>
      </c>
      <c r="P338" s="76" t="str">
        <f>IFERROR(INDEX([1]物品基础表!$A:$A,MATCH(O338,[1]物品基础表!$B:$B,0)),"")</f>
        <v/>
      </c>
      <c r="S338" s="76" t="str">
        <f>IFERROR(INDEX([1]物品基础表!$A:$A,MATCH(R338,[1]物品基础表!$B:$B,0)),"")</f>
        <v/>
      </c>
    </row>
    <row r="339" spans="1:19">
      <c r="A339" s="39" t="str">
        <f>INDEX([2]活动总表!$A$8:$A$429,MATCH(B339,[2]活动总表!$B$8:$B$429,0))</f>
        <v>妇女节嗨点(30-60天)</v>
      </c>
      <c r="B339" s="40">
        <v>754</v>
      </c>
      <c r="C339" s="40">
        <v>3</v>
      </c>
      <c r="D339" s="40">
        <v>50</v>
      </c>
      <c r="E339" s="40">
        <v>0</v>
      </c>
      <c r="F339" s="40">
        <v>1</v>
      </c>
      <c r="G339" s="40">
        <v>8</v>
      </c>
      <c r="H339" s="40">
        <v>2</v>
      </c>
      <c r="I339" s="40"/>
      <c r="J339" s="40" t="s">
        <v>922</v>
      </c>
      <c r="K339" s="40"/>
      <c r="M339" s="76" t="str">
        <f>IFERROR(INDEX([1]物品基础表!$A:$A,MATCH(L339,[1]物品基础表!$B:$B,0)),"")</f>
        <v/>
      </c>
      <c r="P339" s="76" t="str">
        <f>IFERROR(INDEX([1]物品基础表!$A:$A,MATCH(O339,[1]物品基础表!$B:$B,0)),"")</f>
        <v/>
      </c>
      <c r="S339" s="76" t="str">
        <f>IFERROR(INDEX([1]物品基础表!$A:$A,MATCH(R339,[1]物品基础表!$B:$B,0)),"")</f>
        <v/>
      </c>
    </row>
    <row r="340" spans="1:19">
      <c r="A340" s="39" t="str">
        <f>INDEX([2]活动总表!$A$8:$A$429,MATCH(B340,[2]活动总表!$B$8:$B$429,0))</f>
        <v>妇女节嗨点(30-60天)</v>
      </c>
      <c r="B340" s="40">
        <v>754</v>
      </c>
      <c r="C340" s="40">
        <v>4</v>
      </c>
      <c r="D340" s="40">
        <v>27</v>
      </c>
      <c r="E340" s="40">
        <v>2</v>
      </c>
      <c r="F340" s="40">
        <v>1</v>
      </c>
      <c r="G340" s="40">
        <v>16</v>
      </c>
      <c r="H340" s="40">
        <v>4</v>
      </c>
      <c r="I340" s="40"/>
      <c r="J340" s="40" t="s">
        <v>923</v>
      </c>
      <c r="K340" s="40"/>
      <c r="M340" s="76" t="str">
        <f>IFERROR(INDEX([1]物品基础表!$A:$A,MATCH(L340,[1]物品基础表!$B:$B,0)),"")</f>
        <v/>
      </c>
      <c r="P340" s="76" t="str">
        <f>IFERROR(INDEX([1]物品基础表!$A:$A,MATCH(O340,[1]物品基础表!$B:$B,0)),"")</f>
        <v/>
      </c>
      <c r="S340" s="76" t="str">
        <f>IFERROR(INDEX([1]物品基础表!$A:$A,MATCH(R340,[1]物品基础表!$B:$B,0)),"")</f>
        <v/>
      </c>
    </row>
    <row r="341" spans="1:19">
      <c r="A341" s="39" t="str">
        <f>INDEX([2]活动总表!$A$8:$A$429,MATCH(B341,[2]活动总表!$B$8:$B$429,0))</f>
        <v>妇女节嗨点(30-60天)</v>
      </c>
      <c r="B341" s="40">
        <v>754</v>
      </c>
      <c r="C341" s="40">
        <v>5</v>
      </c>
      <c r="D341" s="40">
        <v>94</v>
      </c>
      <c r="E341" s="40">
        <v>4</v>
      </c>
      <c r="F341" s="40">
        <v>1</v>
      </c>
      <c r="G341" s="40">
        <v>3</v>
      </c>
      <c r="H341" s="40">
        <v>5</v>
      </c>
      <c r="I341" s="40"/>
      <c r="J341" s="40" t="s">
        <v>924</v>
      </c>
      <c r="K341" s="40"/>
      <c r="M341" s="76" t="str">
        <f>IFERROR(INDEX([1]物品基础表!$A:$A,MATCH(L341,[1]物品基础表!$B:$B,0)),"")</f>
        <v/>
      </c>
      <c r="P341" s="76" t="str">
        <f>IFERROR(INDEX([1]物品基础表!$A:$A,MATCH(O341,[1]物品基础表!$B:$B,0)),"")</f>
        <v/>
      </c>
      <c r="S341" s="76" t="str">
        <f>IFERROR(INDEX([1]物品基础表!$A:$A,MATCH(R341,[1]物品基础表!$B:$B,0)),"")</f>
        <v/>
      </c>
    </row>
    <row r="342" spans="1:19">
      <c r="A342" s="39" t="str">
        <f>INDEX([2]活动总表!$A$8:$A$429,MATCH(B342,[2]活动总表!$B$8:$B$429,0))</f>
        <v>妇女节嗨点(30-60天)</v>
      </c>
      <c r="B342" s="40">
        <v>754</v>
      </c>
      <c r="C342" s="40">
        <v>6</v>
      </c>
      <c r="D342" s="40">
        <v>91</v>
      </c>
      <c r="E342" s="40">
        <v>0</v>
      </c>
      <c r="F342" s="40">
        <v>1</v>
      </c>
      <c r="G342" s="40">
        <v>200</v>
      </c>
      <c r="H342" s="40">
        <v>3</v>
      </c>
      <c r="I342" s="40"/>
      <c r="J342" s="40" t="s">
        <v>925</v>
      </c>
      <c r="K342" s="40"/>
      <c r="M342" s="76" t="str">
        <f>IFERROR(INDEX([1]物品基础表!$A:$A,MATCH(L342,[1]物品基础表!$B:$B,0)),"")</f>
        <v/>
      </c>
      <c r="P342" s="76" t="str">
        <f>IFERROR(INDEX([1]物品基础表!$A:$A,MATCH(O342,[1]物品基础表!$B:$B,0)),"")</f>
        <v/>
      </c>
      <c r="S342" s="76" t="str">
        <f>IFERROR(INDEX([1]物品基础表!$A:$A,MATCH(R342,[1]物品基础表!$B:$B,0)),"")</f>
        <v/>
      </c>
    </row>
    <row r="343" spans="1:19">
      <c r="A343" s="39" t="str">
        <f>INDEX([2]活动总表!$A$8:$A$429,MATCH(B343,[2]活动总表!$B$8:$B$429,0))</f>
        <v>妇女节嗨点(30-60天)</v>
      </c>
      <c r="B343" s="40">
        <v>754</v>
      </c>
      <c r="C343" s="40">
        <v>7</v>
      </c>
      <c r="D343" s="40">
        <v>92</v>
      </c>
      <c r="E343" s="40">
        <v>0</v>
      </c>
      <c r="F343" s="40">
        <v>1</v>
      </c>
      <c r="G343" s="40">
        <v>10</v>
      </c>
      <c r="H343" s="40">
        <v>2</v>
      </c>
      <c r="I343" s="40"/>
      <c r="J343" s="40" t="s">
        <v>926</v>
      </c>
      <c r="K343" s="40"/>
      <c r="M343" s="76" t="str">
        <f>IFERROR(INDEX([1]物品基础表!$A:$A,MATCH(L343,[1]物品基础表!$B:$B,0)),"")</f>
        <v/>
      </c>
      <c r="P343" s="76" t="str">
        <f>IFERROR(INDEX([1]物品基础表!$A:$A,MATCH(O343,[1]物品基础表!$B:$B,0)),"")</f>
        <v/>
      </c>
      <c r="S343" s="76" t="str">
        <f>IFERROR(INDEX([1]物品基础表!$A:$A,MATCH(R343,[1]物品基础表!$B:$B,0)),"")</f>
        <v/>
      </c>
    </row>
    <row r="344" spans="1:19">
      <c r="A344" s="39" t="str">
        <f>INDEX([2]活动总表!$A$8:$A$429,MATCH(B344,[2]活动总表!$B$8:$B$429,0))</f>
        <v>妇女节嗨点(30-60天)</v>
      </c>
      <c r="B344" s="40">
        <v>754</v>
      </c>
      <c r="C344" s="40">
        <v>8</v>
      </c>
      <c r="D344" s="40">
        <v>59</v>
      </c>
      <c r="E344" s="40">
        <v>0</v>
      </c>
      <c r="F344" s="40">
        <v>1</v>
      </c>
      <c r="G344" s="40">
        <v>3</v>
      </c>
      <c r="H344" s="40">
        <v>4</v>
      </c>
      <c r="I344" s="40"/>
      <c r="J344" s="40" t="s">
        <v>927</v>
      </c>
      <c r="K344" s="40"/>
      <c r="M344" s="76" t="str">
        <f>IFERROR(INDEX([1]物品基础表!$A:$A,MATCH(L344,[1]物品基础表!$B:$B,0)),"")</f>
        <v/>
      </c>
      <c r="P344" s="76" t="str">
        <f>IFERROR(INDEX([1]物品基础表!$A:$A,MATCH(O344,[1]物品基础表!$B:$B,0)),"")</f>
        <v/>
      </c>
      <c r="S344" s="76" t="str">
        <f>IFERROR(INDEX([1]物品基础表!$A:$A,MATCH(R344,[1]物品基础表!$B:$B,0)),"")</f>
        <v/>
      </c>
    </row>
    <row r="345" spans="1:19">
      <c r="A345" s="39" t="str">
        <f>INDEX([2]活动总表!$A$8:$A$429,MATCH(B345,[2]活动总表!$B$8:$B$429,0))</f>
        <v>妇女节嗨点(30-60天)</v>
      </c>
      <c r="B345" s="40">
        <v>754</v>
      </c>
      <c r="C345" s="40">
        <v>9</v>
      </c>
      <c r="D345" s="40">
        <v>27</v>
      </c>
      <c r="E345" s="40">
        <v>16</v>
      </c>
      <c r="F345" s="40">
        <v>1</v>
      </c>
      <c r="G345" s="40">
        <v>2</v>
      </c>
      <c r="H345" s="40">
        <v>4</v>
      </c>
      <c r="I345" s="40"/>
      <c r="J345" s="40" t="s">
        <v>928</v>
      </c>
      <c r="K345" s="40"/>
      <c r="M345" s="76" t="str">
        <f>IFERROR(INDEX([1]物品基础表!$A:$A,MATCH(L345,[1]物品基础表!$B:$B,0)),"")</f>
        <v/>
      </c>
      <c r="P345" s="76" t="str">
        <f>IFERROR(INDEX([1]物品基础表!$A:$A,MATCH(O345,[1]物品基础表!$B:$B,0)),"")</f>
        <v/>
      </c>
      <c r="S345" s="76" t="str">
        <f>IFERROR(INDEX([1]物品基础表!$A:$A,MATCH(R345,[1]物品基础表!$B:$B,0)),"")</f>
        <v/>
      </c>
    </row>
    <row r="346" spans="1:19">
      <c r="A346" s="39" t="str">
        <f>INDEX([2]活动总表!$A$8:$A$429,MATCH(B346,[2]活动总表!$B$8:$B$429,0))</f>
        <v>妇女节嗨点(30-60天)</v>
      </c>
      <c r="B346" s="40">
        <v>754</v>
      </c>
      <c r="C346" s="40">
        <v>10</v>
      </c>
      <c r="D346" s="40">
        <v>107</v>
      </c>
      <c r="E346" s="40"/>
      <c r="F346" s="40">
        <v>2000</v>
      </c>
      <c r="G346" s="40">
        <v>2000</v>
      </c>
      <c r="H346" s="40">
        <v>10</v>
      </c>
      <c r="I346" s="40"/>
      <c r="J346" s="40" t="s">
        <v>930</v>
      </c>
      <c r="K346" s="40"/>
      <c r="M346" s="76" t="str">
        <f>IFERROR(INDEX([1]物品基础表!$A:$A,MATCH(L346,[1]物品基础表!$B:$B,0)),"")</f>
        <v/>
      </c>
      <c r="P346" s="76" t="str">
        <f>IFERROR(INDEX([1]物品基础表!$A:$A,MATCH(O346,[1]物品基础表!$B:$B,0)),"")</f>
        <v/>
      </c>
      <c r="S346" s="76" t="str">
        <f>IFERROR(INDEX([1]物品基础表!$A:$A,MATCH(R346,[1]物品基础表!$B:$B,0)),"")</f>
        <v/>
      </c>
    </row>
    <row r="347" spans="1:19">
      <c r="A347" s="39" t="str">
        <f>INDEX([2]活动总表!$A$8:$A$429,MATCH(B347,[2]活动总表!$B$8:$B$429,0))</f>
        <v>妇女节嗨点(30-60天)</v>
      </c>
      <c r="B347" s="40">
        <v>754</v>
      </c>
      <c r="C347" s="40">
        <v>11</v>
      </c>
      <c r="D347" s="40">
        <v>107</v>
      </c>
      <c r="E347" s="40"/>
      <c r="F347" s="40">
        <v>5000</v>
      </c>
      <c r="G347" s="40">
        <v>5000</v>
      </c>
      <c r="H347" s="40">
        <v>25</v>
      </c>
      <c r="I347" s="40"/>
      <c r="J347" s="40" t="s">
        <v>931</v>
      </c>
      <c r="K347" s="40"/>
      <c r="M347" s="76" t="str">
        <f>IFERROR(INDEX([1]物品基础表!$A:$A,MATCH(L347,[1]物品基础表!$B:$B,0)),"")</f>
        <v/>
      </c>
      <c r="P347" s="76" t="str">
        <f>IFERROR(INDEX([1]物品基础表!$A:$A,MATCH(O347,[1]物品基础表!$B:$B,0)),"")</f>
        <v/>
      </c>
      <c r="S347" s="76" t="str">
        <f>IFERROR(INDEX([1]物品基础表!$A:$A,MATCH(R347,[1]物品基础表!$B:$B,0)),"")</f>
        <v/>
      </c>
    </row>
    <row r="348" spans="1:19">
      <c r="A348" s="39" t="str">
        <f>INDEX([2]活动总表!$A$8:$A$429,MATCH(B348,[2]活动总表!$B$8:$B$429,0))</f>
        <v>妇女节嗨点(30-60天)</v>
      </c>
      <c r="B348" s="40">
        <v>754</v>
      </c>
      <c r="C348" s="40">
        <v>12</v>
      </c>
      <c r="D348" s="40">
        <v>107</v>
      </c>
      <c r="E348" s="40"/>
      <c r="F348" s="40">
        <v>20000</v>
      </c>
      <c r="G348" s="40">
        <v>20000</v>
      </c>
      <c r="H348" s="40">
        <v>100</v>
      </c>
      <c r="I348" s="40"/>
      <c r="J348" s="40" t="s">
        <v>932</v>
      </c>
      <c r="K348" s="40"/>
      <c r="M348" s="76" t="str">
        <f>IFERROR(INDEX([1]物品基础表!$A:$A,MATCH(L348,[1]物品基础表!$B:$B,0)),"")</f>
        <v/>
      </c>
      <c r="P348" s="76" t="str">
        <f>IFERROR(INDEX([1]物品基础表!$A:$A,MATCH(O348,[1]物品基础表!$B:$B,0)),"")</f>
        <v/>
      </c>
      <c r="S348" s="76" t="str">
        <f>IFERROR(INDEX([1]物品基础表!$A:$A,MATCH(R348,[1]物品基础表!$B:$B,0)),"")</f>
        <v/>
      </c>
    </row>
    <row r="349" spans="1:19">
      <c r="A349" s="39" t="str">
        <f>INDEX([2]活动总表!$A$8:$A$429,MATCH(B349,[2]活动总表!$B$8:$B$429,0))</f>
        <v>妇女节嗨点(61+天)</v>
      </c>
      <c r="B349" s="40">
        <v>756</v>
      </c>
      <c r="C349" s="40">
        <v>1</v>
      </c>
      <c r="D349" s="40">
        <v>5</v>
      </c>
      <c r="E349" s="40">
        <v>0</v>
      </c>
      <c r="F349" s="40">
        <v>1</v>
      </c>
      <c r="G349" s="40">
        <v>10</v>
      </c>
      <c r="H349" s="40">
        <v>2</v>
      </c>
      <c r="I349" s="40"/>
      <c r="J349" s="40" t="s">
        <v>920</v>
      </c>
      <c r="K349" s="40"/>
      <c r="M349" s="76" t="str">
        <f>IFERROR(INDEX([1]物品基础表!$A:$A,MATCH(L349,[1]物品基础表!$B:$B,0)),"")</f>
        <v/>
      </c>
      <c r="P349" s="76" t="str">
        <f>IFERROR(INDEX([1]物品基础表!$A:$A,MATCH(O349,[1]物品基础表!$B:$B,0)),"")</f>
        <v/>
      </c>
      <c r="S349" s="76" t="str">
        <f>IFERROR(INDEX([1]物品基础表!$A:$A,MATCH(R349,[1]物品基础表!$B:$B,0)),"")</f>
        <v/>
      </c>
    </row>
    <row r="350" spans="1:19">
      <c r="A350" s="39" t="str">
        <f>INDEX([2]活动总表!$A$8:$A$429,MATCH(B350,[2]活动总表!$B$8:$B$429,0))</f>
        <v>妇女节嗨点(61+天)</v>
      </c>
      <c r="B350" s="40">
        <v>756</v>
      </c>
      <c r="C350" s="40">
        <v>2</v>
      </c>
      <c r="D350" s="40">
        <v>98</v>
      </c>
      <c r="E350" s="40">
        <v>0</v>
      </c>
      <c r="F350" s="40">
        <v>1</v>
      </c>
      <c r="G350" s="40">
        <v>3</v>
      </c>
      <c r="H350" s="40">
        <v>5</v>
      </c>
      <c r="I350" s="40"/>
      <c r="J350" s="40" t="s">
        <v>921</v>
      </c>
      <c r="K350" s="40"/>
      <c r="M350" s="76" t="str">
        <f>IFERROR(INDEX([1]物品基础表!$A:$A,MATCH(L350,[1]物品基础表!$B:$B,0)),"")</f>
        <v/>
      </c>
      <c r="P350" s="76" t="str">
        <f>IFERROR(INDEX([1]物品基础表!$A:$A,MATCH(O350,[1]物品基础表!$B:$B,0)),"")</f>
        <v/>
      </c>
      <c r="S350" s="76" t="str">
        <f>IFERROR(INDEX([1]物品基础表!$A:$A,MATCH(R350,[1]物品基础表!$B:$B,0)),"")</f>
        <v/>
      </c>
    </row>
    <row r="351" spans="1:19">
      <c r="A351" s="39" t="str">
        <f>INDEX([2]活动总表!$A$8:$A$429,MATCH(B351,[2]活动总表!$B$8:$B$429,0))</f>
        <v>妇女节嗨点(61+天)</v>
      </c>
      <c r="B351" s="40">
        <v>756</v>
      </c>
      <c r="C351" s="40">
        <v>3</v>
      </c>
      <c r="D351" s="40">
        <v>50</v>
      </c>
      <c r="E351" s="40">
        <v>0</v>
      </c>
      <c r="F351" s="40">
        <v>1</v>
      </c>
      <c r="G351" s="40">
        <v>8</v>
      </c>
      <c r="H351" s="40">
        <v>2</v>
      </c>
      <c r="I351" s="40"/>
      <c r="J351" s="40" t="s">
        <v>922</v>
      </c>
      <c r="K351" s="40"/>
      <c r="M351" s="76" t="str">
        <f>IFERROR(INDEX([1]物品基础表!$A:$A,MATCH(L351,[1]物品基础表!$B:$B,0)),"")</f>
        <v/>
      </c>
      <c r="P351" s="76" t="str">
        <f>IFERROR(INDEX([1]物品基础表!$A:$A,MATCH(O351,[1]物品基础表!$B:$B,0)),"")</f>
        <v/>
      </c>
      <c r="S351" s="76" t="str">
        <f>IFERROR(INDEX([1]物品基础表!$A:$A,MATCH(R351,[1]物品基础表!$B:$B,0)),"")</f>
        <v/>
      </c>
    </row>
    <row r="352" spans="1:19">
      <c r="A352" s="39" t="str">
        <f>INDEX([2]活动总表!$A$8:$A$429,MATCH(B352,[2]活动总表!$B$8:$B$429,0))</f>
        <v>妇女节嗨点(61+天)</v>
      </c>
      <c r="B352" s="40">
        <v>756</v>
      </c>
      <c r="C352" s="40">
        <v>4</v>
      </c>
      <c r="D352" s="40">
        <v>27</v>
      </c>
      <c r="E352" s="40">
        <v>2</v>
      </c>
      <c r="F352" s="40">
        <v>1</v>
      </c>
      <c r="G352" s="40">
        <v>16</v>
      </c>
      <c r="H352" s="40">
        <v>4</v>
      </c>
      <c r="I352" s="40"/>
      <c r="J352" s="40" t="s">
        <v>923</v>
      </c>
      <c r="K352" s="40"/>
      <c r="M352" s="76" t="str">
        <f>IFERROR(INDEX([1]物品基础表!$A:$A,MATCH(L352,[1]物品基础表!$B:$B,0)),"")</f>
        <v/>
      </c>
      <c r="P352" s="76" t="str">
        <f>IFERROR(INDEX([1]物品基础表!$A:$A,MATCH(O352,[1]物品基础表!$B:$B,0)),"")</f>
        <v/>
      </c>
      <c r="S352" s="76" t="str">
        <f>IFERROR(INDEX([1]物品基础表!$A:$A,MATCH(R352,[1]物品基础表!$B:$B,0)),"")</f>
        <v/>
      </c>
    </row>
    <row r="353" spans="1:19">
      <c r="A353" s="39" t="str">
        <f>INDEX([2]活动总表!$A$8:$A$429,MATCH(B353,[2]活动总表!$B$8:$B$429,0))</f>
        <v>妇女节嗨点(61+天)</v>
      </c>
      <c r="B353" s="40">
        <v>756</v>
      </c>
      <c r="C353" s="40">
        <v>5</v>
      </c>
      <c r="D353" s="40">
        <v>94</v>
      </c>
      <c r="E353" s="40">
        <v>4</v>
      </c>
      <c r="F353" s="40">
        <v>1</v>
      </c>
      <c r="G353" s="40">
        <v>3</v>
      </c>
      <c r="H353" s="40">
        <v>5</v>
      </c>
      <c r="I353" s="40"/>
      <c r="J353" s="40" t="s">
        <v>924</v>
      </c>
      <c r="K353" s="40"/>
      <c r="M353" s="76" t="str">
        <f>IFERROR(INDEX([1]物品基础表!$A:$A,MATCH(L353,[1]物品基础表!$B:$B,0)),"")</f>
        <v/>
      </c>
      <c r="P353" s="76" t="str">
        <f>IFERROR(INDEX([1]物品基础表!$A:$A,MATCH(O353,[1]物品基础表!$B:$B,0)),"")</f>
        <v/>
      </c>
      <c r="S353" s="76" t="str">
        <f>IFERROR(INDEX([1]物品基础表!$A:$A,MATCH(R353,[1]物品基础表!$B:$B,0)),"")</f>
        <v/>
      </c>
    </row>
    <row r="354" spans="1:19">
      <c r="A354" s="39" t="str">
        <f>INDEX([2]活动总表!$A$8:$A$429,MATCH(B354,[2]活动总表!$B$8:$B$429,0))</f>
        <v>妇女节嗨点(61+天)</v>
      </c>
      <c r="B354" s="40">
        <v>756</v>
      </c>
      <c r="C354" s="40">
        <v>6</v>
      </c>
      <c r="D354" s="40">
        <v>91</v>
      </c>
      <c r="E354" s="40">
        <v>0</v>
      </c>
      <c r="F354" s="40">
        <v>1</v>
      </c>
      <c r="G354" s="40">
        <v>200</v>
      </c>
      <c r="H354" s="40">
        <v>3</v>
      </c>
      <c r="I354" s="40"/>
      <c r="J354" s="40" t="s">
        <v>925</v>
      </c>
      <c r="K354" s="40"/>
      <c r="M354" s="76" t="str">
        <f>IFERROR(INDEX([1]物品基础表!$A:$A,MATCH(L354,[1]物品基础表!$B:$B,0)),"")</f>
        <v/>
      </c>
      <c r="P354" s="76" t="str">
        <f>IFERROR(INDEX([1]物品基础表!$A:$A,MATCH(O354,[1]物品基础表!$B:$B,0)),"")</f>
        <v/>
      </c>
      <c r="S354" s="76" t="str">
        <f>IFERROR(INDEX([1]物品基础表!$A:$A,MATCH(R354,[1]物品基础表!$B:$B,0)),"")</f>
        <v/>
      </c>
    </row>
    <row r="355" spans="1:19">
      <c r="A355" s="39" t="str">
        <f>INDEX([2]活动总表!$A$8:$A$429,MATCH(B355,[2]活动总表!$B$8:$B$429,0))</f>
        <v>妇女节嗨点(61+天)</v>
      </c>
      <c r="B355" s="40">
        <v>756</v>
      </c>
      <c r="C355" s="40">
        <v>7</v>
      </c>
      <c r="D355" s="40">
        <v>92</v>
      </c>
      <c r="E355" s="40">
        <v>0</v>
      </c>
      <c r="F355" s="40">
        <v>1</v>
      </c>
      <c r="G355" s="40">
        <v>10</v>
      </c>
      <c r="H355" s="40">
        <v>2</v>
      </c>
      <c r="I355" s="40"/>
      <c r="J355" s="40" t="s">
        <v>926</v>
      </c>
      <c r="K355" s="40"/>
      <c r="M355" s="76" t="str">
        <f>IFERROR(INDEX([1]物品基础表!$A:$A,MATCH(L355,[1]物品基础表!$B:$B,0)),"")</f>
        <v/>
      </c>
      <c r="P355" s="76" t="str">
        <f>IFERROR(INDEX([1]物品基础表!$A:$A,MATCH(O355,[1]物品基础表!$B:$B,0)),"")</f>
        <v/>
      </c>
      <c r="S355" s="76" t="str">
        <f>IFERROR(INDEX([1]物品基础表!$A:$A,MATCH(R355,[1]物品基础表!$B:$B,0)),"")</f>
        <v/>
      </c>
    </row>
    <row r="356" spans="1:19">
      <c r="A356" s="39" t="str">
        <f>INDEX([2]活动总表!$A$8:$A$429,MATCH(B356,[2]活动总表!$B$8:$B$429,0))</f>
        <v>妇女节嗨点(61+天)</v>
      </c>
      <c r="B356" s="40">
        <v>756</v>
      </c>
      <c r="C356" s="40">
        <v>8</v>
      </c>
      <c r="D356" s="40">
        <v>59</v>
      </c>
      <c r="E356" s="40">
        <v>0</v>
      </c>
      <c r="F356" s="40">
        <v>1</v>
      </c>
      <c r="G356" s="40">
        <v>3</v>
      </c>
      <c r="H356" s="40">
        <v>4</v>
      </c>
      <c r="I356" s="40"/>
      <c r="J356" s="40" t="s">
        <v>927</v>
      </c>
      <c r="K356" s="40"/>
      <c r="M356" s="76" t="str">
        <f>IFERROR(INDEX([1]物品基础表!$A:$A,MATCH(L356,[1]物品基础表!$B:$B,0)),"")</f>
        <v/>
      </c>
      <c r="P356" s="76" t="str">
        <f>IFERROR(INDEX([1]物品基础表!$A:$A,MATCH(O356,[1]物品基础表!$B:$B,0)),"")</f>
        <v/>
      </c>
      <c r="S356" s="76" t="str">
        <f>IFERROR(INDEX([1]物品基础表!$A:$A,MATCH(R356,[1]物品基础表!$B:$B,0)),"")</f>
        <v/>
      </c>
    </row>
    <row r="357" spans="1:19">
      <c r="A357" s="39" t="str">
        <f>INDEX([2]活动总表!$A$8:$A$429,MATCH(B357,[2]活动总表!$B$8:$B$429,0))</f>
        <v>妇女节嗨点(61+天)</v>
      </c>
      <c r="B357" s="40">
        <v>756</v>
      </c>
      <c r="C357" s="40">
        <v>9</v>
      </c>
      <c r="D357" s="40">
        <v>27</v>
      </c>
      <c r="E357" s="40">
        <v>16</v>
      </c>
      <c r="F357" s="40">
        <v>1</v>
      </c>
      <c r="G357" s="40">
        <v>2</v>
      </c>
      <c r="H357" s="40">
        <v>4</v>
      </c>
      <c r="I357" s="40"/>
      <c r="J357" s="40" t="s">
        <v>928</v>
      </c>
      <c r="K357" s="40"/>
      <c r="M357" s="76" t="str">
        <f>IFERROR(INDEX([1]物品基础表!$A:$A,MATCH(L357,[1]物品基础表!$B:$B,0)),"")</f>
        <v/>
      </c>
      <c r="P357" s="76" t="str">
        <f>IFERROR(INDEX([1]物品基础表!$A:$A,MATCH(O357,[1]物品基础表!$B:$B,0)),"")</f>
        <v/>
      </c>
      <c r="S357" s="76" t="str">
        <f>IFERROR(INDEX([1]物品基础表!$A:$A,MATCH(R357,[1]物品基础表!$B:$B,0)),"")</f>
        <v/>
      </c>
    </row>
    <row r="358" spans="1:19">
      <c r="A358" s="39" t="str">
        <f>INDEX([2]活动总表!$A$8:$A$429,MATCH(B358,[2]活动总表!$B$8:$B$429,0))</f>
        <v>妇女节嗨点(61+天)</v>
      </c>
      <c r="B358" s="40">
        <v>756</v>
      </c>
      <c r="C358" s="40">
        <v>10</v>
      </c>
      <c r="D358" s="40">
        <v>107</v>
      </c>
      <c r="E358" s="40"/>
      <c r="F358" s="40">
        <v>2000</v>
      </c>
      <c r="G358" s="40">
        <v>2000</v>
      </c>
      <c r="H358" s="40">
        <v>10</v>
      </c>
      <c r="I358" s="40"/>
      <c r="J358" s="40" t="s">
        <v>930</v>
      </c>
      <c r="K358" s="40"/>
      <c r="M358" s="76" t="str">
        <f>IFERROR(INDEX([1]物品基础表!$A:$A,MATCH(L358,[1]物品基础表!$B:$B,0)),"")</f>
        <v/>
      </c>
      <c r="P358" s="76" t="str">
        <f>IFERROR(INDEX([1]物品基础表!$A:$A,MATCH(O358,[1]物品基础表!$B:$B,0)),"")</f>
        <v/>
      </c>
      <c r="S358" s="76" t="str">
        <f>IFERROR(INDEX([1]物品基础表!$A:$A,MATCH(R358,[1]物品基础表!$B:$B,0)),"")</f>
        <v/>
      </c>
    </row>
    <row r="359" spans="1:19">
      <c r="A359" s="39" t="str">
        <f>INDEX([2]活动总表!$A$8:$A$429,MATCH(B359,[2]活动总表!$B$8:$B$429,0))</f>
        <v>妇女节嗨点(61+天)</v>
      </c>
      <c r="B359" s="40">
        <v>756</v>
      </c>
      <c r="C359" s="40">
        <v>11</v>
      </c>
      <c r="D359" s="40">
        <v>107</v>
      </c>
      <c r="E359" s="40"/>
      <c r="F359" s="40">
        <v>5000</v>
      </c>
      <c r="G359" s="40">
        <v>5000</v>
      </c>
      <c r="H359" s="40">
        <v>25</v>
      </c>
      <c r="I359" s="40"/>
      <c r="J359" s="40" t="s">
        <v>931</v>
      </c>
      <c r="K359" s="40"/>
      <c r="M359" s="76" t="str">
        <f>IFERROR(INDEX([1]物品基础表!$A:$A,MATCH(L359,[1]物品基础表!$B:$B,0)),"")</f>
        <v/>
      </c>
      <c r="P359" s="76" t="str">
        <f>IFERROR(INDEX([1]物品基础表!$A:$A,MATCH(O359,[1]物品基础表!$B:$B,0)),"")</f>
        <v/>
      </c>
      <c r="S359" s="76" t="str">
        <f>IFERROR(INDEX([1]物品基础表!$A:$A,MATCH(R359,[1]物品基础表!$B:$B,0)),"")</f>
        <v/>
      </c>
    </row>
    <row r="360" spans="1:19">
      <c r="A360" s="39" t="str">
        <f>INDEX([2]活动总表!$A$8:$A$429,MATCH(B360,[2]活动总表!$B$8:$B$429,0))</f>
        <v>妇女节嗨点(61+天)</v>
      </c>
      <c r="B360" s="40">
        <v>756</v>
      </c>
      <c r="C360" s="40">
        <v>12</v>
      </c>
      <c r="D360" s="40">
        <v>107</v>
      </c>
      <c r="E360" s="40"/>
      <c r="F360" s="40">
        <v>20000</v>
      </c>
      <c r="G360" s="40">
        <v>20000</v>
      </c>
      <c r="H360" s="40">
        <v>100</v>
      </c>
      <c r="I360" s="40"/>
      <c r="J360" s="40" t="s">
        <v>932</v>
      </c>
      <c r="K360" s="40"/>
      <c r="M360" s="76" t="str">
        <f>IFERROR(INDEX([1]物品基础表!$A:$A,MATCH(L360,[1]物品基础表!$B:$B,0)),"")</f>
        <v/>
      </c>
      <c r="P360" s="76" t="str">
        <f>IFERROR(INDEX([1]物品基础表!$A:$A,MATCH(O360,[1]物品基础表!$B:$B,0)),"")</f>
        <v/>
      </c>
      <c r="S360" s="76" t="str">
        <f>IFERROR(INDEX([1]物品基础表!$A:$A,MATCH(R360,[1]物品基础表!$B:$B,0)),"")</f>
        <v/>
      </c>
    </row>
    <row r="361" spans="1:19">
      <c r="A361" s="39" t="str">
        <f>INDEX([2]活动总表!$A$8:$A$429,MATCH(B361,[2]活动总表!$B$8:$B$429,0))</f>
        <v>版本庆典-5日活跃</v>
      </c>
      <c r="B361" s="40">
        <v>1001</v>
      </c>
      <c r="C361" s="40">
        <v>1</v>
      </c>
      <c r="D361" s="40">
        <v>100</v>
      </c>
      <c r="E361" s="40" t="s">
        <v>919</v>
      </c>
      <c r="F361" s="40">
        <v>1</v>
      </c>
      <c r="G361" s="40">
        <v>1</v>
      </c>
      <c r="H361" s="40">
        <v>10</v>
      </c>
      <c r="I361" s="40"/>
      <c r="J361" s="40" t="s">
        <v>933</v>
      </c>
      <c r="K361" s="40"/>
      <c r="L361" s="76">
        <v>200342</v>
      </c>
      <c r="M361" s="76" t="str">
        <f>IFERROR(INDEX([1]物品基础表!$A:$A,MATCH(L361,[1]物品基础表!$B:$B,0)),"")</f>
        <v>龙抬头抽奖道具</v>
      </c>
      <c r="N361" s="76">
        <v>10</v>
      </c>
      <c r="O361" s="76">
        <v>200007</v>
      </c>
      <c r="P361" s="76" t="str">
        <f>IFERROR(INDEX([1]物品基础表!$A:$A,MATCH(O361,[1]物品基础表!$B:$B,0)),"")</f>
        <v>神装碎片</v>
      </c>
      <c r="Q361" s="76">
        <v>100</v>
      </c>
      <c r="S361" s="76" t="str">
        <f>IFERROR(INDEX([1]物品基础表!$A:$A,MATCH(R361,[1]物品基础表!$B:$B,0)),"")</f>
        <v/>
      </c>
    </row>
    <row r="362" spans="1:19">
      <c r="A362" s="39" t="str">
        <f>INDEX([2]活动总表!$A$8:$A$429,MATCH(B362,[2]活动总表!$B$8:$B$429,0))</f>
        <v>版本庆典-5日活跃</v>
      </c>
      <c r="B362" s="40">
        <v>1001</v>
      </c>
      <c r="C362" s="40">
        <v>2</v>
      </c>
      <c r="D362" s="40">
        <v>100</v>
      </c>
      <c r="E362" s="40" t="s">
        <v>919</v>
      </c>
      <c r="F362" s="40">
        <v>2</v>
      </c>
      <c r="G362" s="40">
        <v>2</v>
      </c>
      <c r="H362" s="40">
        <v>10</v>
      </c>
      <c r="I362" s="40"/>
      <c r="J362" s="40" t="s">
        <v>934</v>
      </c>
      <c r="K362" s="40"/>
      <c r="L362" s="76">
        <v>200342</v>
      </c>
      <c r="M362" s="76" t="str">
        <f>IFERROR(INDEX([1]物品基础表!$A:$A,MATCH(L362,[1]物品基础表!$B:$B,0)),"")</f>
        <v>龙抬头抽奖道具</v>
      </c>
      <c r="N362" s="76">
        <v>10</v>
      </c>
      <c r="O362" s="76">
        <v>200007</v>
      </c>
      <c r="P362" s="76" t="str">
        <f>IFERROR(INDEX([1]物品基础表!$A:$A,MATCH(O362,[1]物品基础表!$B:$B,0)),"")</f>
        <v>神装碎片</v>
      </c>
      <c r="Q362" s="76">
        <v>101</v>
      </c>
      <c r="S362" s="76" t="str">
        <f>IFERROR(INDEX([1]物品基础表!$A:$A,MATCH(R362,[1]物品基础表!$B:$B,0)),"")</f>
        <v/>
      </c>
    </row>
    <row r="363" spans="1:19">
      <c r="A363" s="39" t="str">
        <f>INDEX([2]活动总表!$A$8:$A$429,MATCH(B363,[2]活动总表!$B$8:$B$429,0))</f>
        <v>版本庆典-5日活跃</v>
      </c>
      <c r="B363" s="40">
        <v>1001</v>
      </c>
      <c r="C363" s="40">
        <v>3</v>
      </c>
      <c r="D363" s="40">
        <v>100</v>
      </c>
      <c r="E363" s="40" t="s">
        <v>919</v>
      </c>
      <c r="F363" s="40">
        <v>3</v>
      </c>
      <c r="G363" s="40">
        <v>3</v>
      </c>
      <c r="H363" s="40">
        <v>10</v>
      </c>
      <c r="I363" s="40"/>
      <c r="J363" s="40" t="s">
        <v>935</v>
      </c>
      <c r="K363" s="40"/>
      <c r="L363" s="76">
        <v>200342</v>
      </c>
      <c r="M363" s="76" t="str">
        <f>IFERROR(INDEX([1]物品基础表!$A:$A,MATCH(L363,[1]物品基础表!$B:$B,0)),"")</f>
        <v>龙抬头抽奖道具</v>
      </c>
      <c r="N363" s="76">
        <v>10</v>
      </c>
      <c r="O363" s="76">
        <v>200007</v>
      </c>
      <c r="P363" s="76" t="str">
        <f>IFERROR(INDEX([1]物品基础表!$A:$A,MATCH(O363,[1]物品基础表!$B:$B,0)),"")</f>
        <v>神装碎片</v>
      </c>
      <c r="Q363" s="76">
        <v>102</v>
      </c>
      <c r="S363" s="76" t="str">
        <f>IFERROR(INDEX([1]物品基础表!$A:$A,MATCH(R363,[1]物品基础表!$B:$B,0)),"")</f>
        <v/>
      </c>
    </row>
    <row r="364" spans="1:19">
      <c r="A364" s="39" t="str">
        <f>INDEX([2]活动总表!$A$8:$A$429,MATCH(B364,[2]活动总表!$B$8:$B$429,0))</f>
        <v>版本庆典-5日活跃</v>
      </c>
      <c r="B364" s="40">
        <v>1001</v>
      </c>
      <c r="C364" s="40">
        <v>4</v>
      </c>
      <c r="D364" s="40">
        <v>100</v>
      </c>
      <c r="E364" s="40" t="s">
        <v>919</v>
      </c>
      <c r="F364" s="40">
        <v>4</v>
      </c>
      <c r="G364" s="40">
        <v>4</v>
      </c>
      <c r="H364" s="40">
        <v>10</v>
      </c>
      <c r="I364" s="40"/>
      <c r="J364" s="40" t="s">
        <v>936</v>
      </c>
      <c r="K364" s="40"/>
      <c r="L364" s="76">
        <v>200342</v>
      </c>
      <c r="M364" s="76" t="str">
        <f>IFERROR(INDEX([1]物品基础表!$A:$A,MATCH(L364,[1]物品基础表!$B:$B,0)),"")</f>
        <v>龙抬头抽奖道具</v>
      </c>
      <c r="N364" s="76">
        <v>10</v>
      </c>
      <c r="O364" s="76">
        <v>200007</v>
      </c>
      <c r="P364" s="76" t="str">
        <f>IFERROR(INDEX([1]物品基础表!$A:$A,MATCH(O364,[1]物品基础表!$B:$B,0)),"")</f>
        <v>神装碎片</v>
      </c>
      <c r="Q364" s="76">
        <v>103</v>
      </c>
      <c r="S364" s="76" t="str">
        <f>IFERROR(INDEX([1]物品基础表!$A:$A,MATCH(R364,[1]物品基础表!$B:$B,0)),"")</f>
        <v/>
      </c>
    </row>
    <row r="365" spans="1:19">
      <c r="A365" s="39" t="str">
        <f>INDEX([2]活动总表!$A$8:$A$429,MATCH(B365,[2]活动总表!$B$8:$B$429,0))</f>
        <v>版本庆典-5日活跃</v>
      </c>
      <c r="B365" s="40">
        <v>1001</v>
      </c>
      <c r="C365" s="40">
        <v>5</v>
      </c>
      <c r="D365" s="40">
        <v>100</v>
      </c>
      <c r="E365" s="40" t="s">
        <v>919</v>
      </c>
      <c r="F365" s="40">
        <v>5</v>
      </c>
      <c r="G365" s="40">
        <v>5</v>
      </c>
      <c r="H365" s="40">
        <v>10</v>
      </c>
      <c r="I365" s="40"/>
      <c r="J365" s="40" t="s">
        <v>937</v>
      </c>
      <c r="K365" s="40"/>
      <c r="L365" s="76">
        <v>200342</v>
      </c>
      <c r="M365" s="76" t="str">
        <f>IFERROR(INDEX([1]物品基础表!$A:$A,MATCH(L365,[1]物品基础表!$B:$B,0)),"")</f>
        <v>龙抬头抽奖道具</v>
      </c>
      <c r="N365" s="76">
        <v>10</v>
      </c>
      <c r="O365" s="76">
        <v>200007</v>
      </c>
      <c r="P365" s="76" t="str">
        <f>IFERROR(INDEX([1]物品基础表!$A:$A,MATCH(O365,[1]物品基础表!$B:$B,0)),"")</f>
        <v>神装碎片</v>
      </c>
      <c r="Q365" s="76">
        <v>104</v>
      </c>
      <c r="S365" s="76" t="str">
        <f>IFERROR(INDEX([1]物品基础表!$A:$A,MATCH(R365,[1]物品基础表!$B:$B,0)),"")</f>
        <v/>
      </c>
    </row>
    <row r="366" spans="1:19">
      <c r="A366" s="39" t="str">
        <f>INDEX([2]活动总表!$A$8:$A$429,MATCH(B366,[2]活动总表!$B$8:$B$429,0))</f>
        <v>版本庆典-5日活跃</v>
      </c>
      <c r="B366" s="40">
        <v>1001</v>
      </c>
      <c r="C366" s="40">
        <v>6</v>
      </c>
      <c r="D366" s="40">
        <v>100</v>
      </c>
      <c r="E366" s="40" t="s">
        <v>919</v>
      </c>
      <c r="F366" s="40">
        <v>6</v>
      </c>
      <c r="G366" s="40">
        <v>6</v>
      </c>
      <c r="H366" s="40">
        <v>10</v>
      </c>
      <c r="I366" s="40"/>
      <c r="J366" s="40" t="s">
        <v>938</v>
      </c>
      <c r="K366" s="40"/>
      <c r="L366" s="76">
        <v>200342</v>
      </c>
      <c r="M366" s="76" t="str">
        <f>IFERROR(INDEX([1]物品基础表!$A:$A,MATCH(L366,[1]物品基础表!$B:$B,0)),"")</f>
        <v>龙抬头抽奖道具</v>
      </c>
      <c r="N366" s="76">
        <v>10</v>
      </c>
      <c r="O366" s="76">
        <v>200007</v>
      </c>
      <c r="P366" s="76" t="str">
        <f>IFERROR(INDEX([1]物品基础表!$A:$A,MATCH(O366,[1]物品基础表!$B:$B,0)),"")</f>
        <v>神装碎片</v>
      </c>
      <c r="Q366" s="76">
        <v>105</v>
      </c>
      <c r="S366" s="76" t="str">
        <f>IFERROR(INDEX([1]物品基础表!$A:$A,MATCH(R366,[1]物品基础表!$B:$B,0)),"")</f>
        <v/>
      </c>
    </row>
    <row r="367" spans="1:19">
      <c r="A367" s="39" t="str">
        <f>INDEX([2]活动总表!$A$8:$A$429,MATCH(B367,[2]活动总表!$B$8:$B$429,0))</f>
        <v>版本庆典-5日活跃</v>
      </c>
      <c r="B367" s="40">
        <v>1001</v>
      </c>
      <c r="C367" s="40">
        <v>7</v>
      </c>
      <c r="D367" s="40">
        <v>100</v>
      </c>
      <c r="E367" s="40" t="s">
        <v>919</v>
      </c>
      <c r="F367" s="40">
        <v>7</v>
      </c>
      <c r="G367" s="40">
        <v>7</v>
      </c>
      <c r="H367" s="40">
        <v>20</v>
      </c>
      <c r="I367" s="40"/>
      <c r="J367" s="40" t="s">
        <v>939</v>
      </c>
      <c r="K367" s="40"/>
      <c r="L367" s="76">
        <v>200342</v>
      </c>
      <c r="M367" s="76" t="str">
        <f>IFERROR(INDEX([1]物品基础表!$A:$A,MATCH(L367,[1]物品基础表!$B:$B,0)),"")</f>
        <v>龙抬头抽奖道具</v>
      </c>
      <c r="N367" s="76">
        <v>10</v>
      </c>
      <c r="O367" s="76">
        <v>200007</v>
      </c>
      <c r="P367" s="76" t="str">
        <f>IFERROR(INDEX([1]物品基础表!$A:$A,MATCH(O367,[1]物品基础表!$B:$B,0)),"")</f>
        <v>神装碎片</v>
      </c>
      <c r="Q367" s="76">
        <v>106</v>
      </c>
      <c r="S367" s="76" t="str">
        <f>IFERROR(INDEX([1]物品基础表!$A:$A,MATCH(R367,[1]物品基础表!$B:$B,0)),"")</f>
        <v/>
      </c>
    </row>
    <row r="368" spans="1:19">
      <c r="A368" s="39" t="str">
        <f>INDEX([2]活动总表!$A$8:$A$429,MATCH(B368,[2]活动总表!$B$8:$B$429,0))</f>
        <v>版本庆典-5日活跃</v>
      </c>
      <c r="B368" s="40">
        <v>1001</v>
      </c>
      <c r="C368" s="40">
        <v>8</v>
      </c>
      <c r="D368" s="40">
        <v>59</v>
      </c>
      <c r="E368" s="40" t="s">
        <v>919</v>
      </c>
      <c r="F368" s="40">
        <v>3</v>
      </c>
      <c r="G368" s="40">
        <v>3</v>
      </c>
      <c r="H368" s="40">
        <v>5</v>
      </c>
      <c r="I368" s="40"/>
      <c r="J368" s="40" t="s">
        <v>940</v>
      </c>
      <c r="K368" s="40"/>
      <c r="L368" s="76">
        <v>200342</v>
      </c>
      <c r="M368" s="76" t="str">
        <f>IFERROR(INDEX([1]物品基础表!$A:$A,MATCH(L368,[1]物品基础表!$B:$B,0)),"")</f>
        <v>龙抬头抽奖道具</v>
      </c>
      <c r="N368" s="76">
        <v>10</v>
      </c>
      <c r="O368" s="76">
        <v>200007</v>
      </c>
      <c r="P368" s="76" t="str">
        <f>IFERROR(INDEX([1]物品基础表!$A:$A,MATCH(O368,[1]物品基础表!$B:$B,0)),"")</f>
        <v>神装碎片</v>
      </c>
      <c r="Q368" s="76">
        <v>107</v>
      </c>
      <c r="S368" s="76" t="str">
        <f>IFERROR(INDEX([1]物品基础表!$A:$A,MATCH(R368,[1]物品基础表!$B:$B,0)),"")</f>
        <v/>
      </c>
    </row>
    <row r="369" spans="1:19">
      <c r="A369" s="39" t="str">
        <f>INDEX([2]活动总表!$A$8:$A$429,MATCH(B369,[2]活动总表!$B$8:$B$429,0))</f>
        <v>版本庆典-5日活跃</v>
      </c>
      <c r="B369" s="40">
        <v>1001</v>
      </c>
      <c r="C369" s="40">
        <v>9</v>
      </c>
      <c r="D369" s="40">
        <v>59</v>
      </c>
      <c r="E369" s="40" t="s">
        <v>919</v>
      </c>
      <c r="F369" s="40">
        <v>8</v>
      </c>
      <c r="G369" s="40">
        <v>8</v>
      </c>
      <c r="H369" s="40">
        <v>5</v>
      </c>
      <c r="I369" s="40"/>
      <c r="J369" s="40" t="s">
        <v>941</v>
      </c>
      <c r="K369" s="40"/>
      <c r="L369" s="76">
        <v>200342</v>
      </c>
      <c r="M369" s="76" t="str">
        <f>IFERROR(INDEX([1]物品基础表!$A:$A,MATCH(L369,[1]物品基础表!$B:$B,0)),"")</f>
        <v>龙抬头抽奖道具</v>
      </c>
      <c r="N369" s="76">
        <v>10</v>
      </c>
      <c r="O369" s="76">
        <v>200007</v>
      </c>
      <c r="P369" s="76" t="str">
        <f>IFERROR(INDEX([1]物品基础表!$A:$A,MATCH(O369,[1]物品基础表!$B:$B,0)),"")</f>
        <v>神装碎片</v>
      </c>
      <c r="Q369" s="76">
        <v>108</v>
      </c>
      <c r="S369" s="76" t="str">
        <f>IFERROR(INDEX([1]物品基础表!$A:$A,MATCH(R369,[1]物品基础表!$B:$B,0)),"")</f>
        <v/>
      </c>
    </row>
    <row r="370" spans="1:19">
      <c r="A370" s="39" t="str">
        <f>INDEX([2]活动总表!$A$8:$A$429,MATCH(B370,[2]活动总表!$B$8:$B$429,0))</f>
        <v>版本庆典-5日活跃</v>
      </c>
      <c r="B370" s="40">
        <v>1001</v>
      </c>
      <c r="C370" s="40">
        <v>10</v>
      </c>
      <c r="D370" s="40">
        <v>59</v>
      </c>
      <c r="E370" s="40" t="s">
        <v>919</v>
      </c>
      <c r="F370" s="40">
        <v>15</v>
      </c>
      <c r="G370" s="40">
        <v>15</v>
      </c>
      <c r="H370" s="40">
        <v>5</v>
      </c>
      <c r="I370" s="40"/>
      <c r="J370" s="40" t="s">
        <v>942</v>
      </c>
      <c r="K370" s="40"/>
      <c r="L370" s="76">
        <v>200342</v>
      </c>
      <c r="M370" s="76" t="str">
        <f>IFERROR(INDEX([1]物品基础表!$A:$A,MATCH(L370,[1]物品基础表!$B:$B,0)),"")</f>
        <v>龙抬头抽奖道具</v>
      </c>
      <c r="N370" s="76">
        <v>10</v>
      </c>
      <c r="O370" s="76">
        <v>200007</v>
      </c>
      <c r="P370" s="76" t="str">
        <f>IFERROR(INDEX([1]物品基础表!$A:$A,MATCH(O370,[1]物品基础表!$B:$B,0)),"")</f>
        <v>神装碎片</v>
      </c>
      <c r="Q370" s="76">
        <v>109</v>
      </c>
      <c r="S370" s="76" t="str">
        <f>IFERROR(INDEX([1]物品基础表!$A:$A,MATCH(R370,[1]物品基础表!$B:$B,0)),"")</f>
        <v/>
      </c>
    </row>
    <row r="371" spans="1:19">
      <c r="A371" s="39" t="str">
        <f>INDEX([2]活动总表!$A$8:$A$429,MATCH(B371,[2]活动总表!$B$8:$B$429,0))</f>
        <v>版本庆典-5日活跃</v>
      </c>
      <c r="B371" s="40">
        <v>1001</v>
      </c>
      <c r="C371" s="40">
        <v>11</v>
      </c>
      <c r="D371" s="40">
        <v>59</v>
      </c>
      <c r="E371" s="40" t="s">
        <v>919</v>
      </c>
      <c r="F371" s="40">
        <v>20</v>
      </c>
      <c r="G371" s="40">
        <v>20</v>
      </c>
      <c r="H371" s="40">
        <v>5</v>
      </c>
      <c r="I371" s="40"/>
      <c r="J371" s="40" t="s">
        <v>943</v>
      </c>
      <c r="K371" s="40"/>
      <c r="L371" s="76">
        <v>200342</v>
      </c>
      <c r="M371" s="76" t="str">
        <f>IFERROR(INDEX([1]物品基础表!$A:$A,MATCH(L371,[1]物品基础表!$B:$B,0)),"")</f>
        <v>龙抬头抽奖道具</v>
      </c>
      <c r="N371" s="76">
        <v>10</v>
      </c>
      <c r="O371" s="76">
        <v>200007</v>
      </c>
      <c r="P371" s="76" t="str">
        <f>IFERROR(INDEX([1]物品基础表!$A:$A,MATCH(O371,[1]物品基础表!$B:$B,0)),"")</f>
        <v>神装碎片</v>
      </c>
      <c r="Q371" s="76">
        <v>110</v>
      </c>
      <c r="S371" s="76" t="str">
        <f>IFERROR(INDEX([1]物品基础表!$A:$A,MATCH(R371,[1]物品基础表!$B:$B,0)),"")</f>
        <v/>
      </c>
    </row>
    <row r="372" spans="1:19">
      <c r="A372" s="39" t="str">
        <f>INDEX([2]活动总表!$A$8:$A$429,MATCH(B372,[2]活动总表!$B$8:$B$429,0))</f>
        <v>版本庆典-5日活跃</v>
      </c>
      <c r="B372" s="40">
        <v>1001</v>
      </c>
      <c r="C372" s="40">
        <v>12</v>
      </c>
      <c r="D372" s="40">
        <v>59</v>
      </c>
      <c r="E372" s="40" t="s">
        <v>919</v>
      </c>
      <c r="F372" s="40">
        <v>30</v>
      </c>
      <c r="G372" s="40">
        <v>30</v>
      </c>
      <c r="H372" s="40">
        <v>5</v>
      </c>
      <c r="I372" s="40"/>
      <c r="J372" s="40" t="s">
        <v>944</v>
      </c>
      <c r="K372" s="40"/>
      <c r="L372" s="76">
        <v>200342</v>
      </c>
      <c r="M372" s="76" t="str">
        <f>IFERROR(INDEX([1]物品基础表!$A:$A,MATCH(L372,[1]物品基础表!$B:$B,0)),"")</f>
        <v>龙抬头抽奖道具</v>
      </c>
      <c r="N372" s="76">
        <v>10</v>
      </c>
      <c r="O372" s="76">
        <v>200007</v>
      </c>
      <c r="P372" s="76" t="str">
        <f>IFERROR(INDEX([1]物品基础表!$A:$A,MATCH(O372,[1]物品基础表!$B:$B,0)),"")</f>
        <v>神装碎片</v>
      </c>
      <c r="Q372" s="76">
        <v>111</v>
      </c>
      <c r="S372" s="76" t="str">
        <f>IFERROR(INDEX([1]物品基础表!$A:$A,MATCH(R372,[1]物品基础表!$B:$B,0)),"")</f>
        <v/>
      </c>
    </row>
    <row r="373" spans="1:19">
      <c r="A373" s="39" t="str">
        <f>INDEX([2]活动总表!$A$8:$A$429,MATCH(B373,[2]活动总表!$B$8:$B$429,0))</f>
        <v>版本庆典-5日活跃</v>
      </c>
      <c r="B373" s="40">
        <v>1001</v>
      </c>
      <c r="C373" s="40">
        <v>13</v>
      </c>
      <c r="D373" s="40">
        <v>59</v>
      </c>
      <c r="E373" s="40" t="s">
        <v>919</v>
      </c>
      <c r="F373" s="40">
        <v>40</v>
      </c>
      <c r="G373" s="40">
        <v>40</v>
      </c>
      <c r="H373" s="40">
        <v>10</v>
      </c>
      <c r="I373" s="40"/>
      <c r="J373" s="40" t="s">
        <v>945</v>
      </c>
      <c r="K373" s="40"/>
      <c r="L373" s="76">
        <v>200342</v>
      </c>
      <c r="M373" s="76" t="str">
        <f>IFERROR(INDEX([1]物品基础表!$A:$A,MATCH(L373,[1]物品基础表!$B:$B,0)),"")</f>
        <v>龙抬头抽奖道具</v>
      </c>
      <c r="N373" s="76">
        <v>10</v>
      </c>
      <c r="O373" s="76">
        <v>200007</v>
      </c>
      <c r="P373" s="76" t="str">
        <f>IFERROR(INDEX([1]物品基础表!$A:$A,MATCH(O373,[1]物品基础表!$B:$B,0)),"")</f>
        <v>神装碎片</v>
      </c>
      <c r="Q373" s="76">
        <v>112</v>
      </c>
      <c r="S373" s="76" t="str">
        <f>IFERROR(INDEX([1]物品基础表!$A:$A,MATCH(R373,[1]物品基础表!$B:$B,0)),"")</f>
        <v/>
      </c>
    </row>
    <row r="374" spans="1:19">
      <c r="A374" s="39" t="str">
        <f>INDEX([2]活动总表!$A$8:$A$429,MATCH(B374,[2]活动总表!$B$8:$B$429,0))</f>
        <v>版本庆典-5日活跃</v>
      </c>
      <c r="B374" s="40">
        <v>1001</v>
      </c>
      <c r="C374" s="40">
        <v>14</v>
      </c>
      <c r="D374" s="40">
        <v>59</v>
      </c>
      <c r="E374" s="40" t="s">
        <v>919</v>
      </c>
      <c r="F374" s="40">
        <v>50</v>
      </c>
      <c r="G374" s="40">
        <v>50</v>
      </c>
      <c r="H374" s="40">
        <v>15</v>
      </c>
      <c r="I374" s="40"/>
      <c r="J374" s="40" t="s">
        <v>946</v>
      </c>
      <c r="K374" s="40"/>
      <c r="L374" s="76">
        <v>200342</v>
      </c>
      <c r="M374" s="76" t="str">
        <f>IFERROR(INDEX([1]物品基础表!$A:$A,MATCH(L374,[1]物品基础表!$B:$B,0)),"")</f>
        <v>龙抬头抽奖道具</v>
      </c>
      <c r="N374" s="76">
        <v>10</v>
      </c>
      <c r="O374" s="76">
        <v>200007</v>
      </c>
      <c r="P374" s="76" t="str">
        <f>IFERROR(INDEX([1]物品基础表!$A:$A,MATCH(O374,[1]物品基础表!$B:$B,0)),"")</f>
        <v>神装碎片</v>
      </c>
      <c r="Q374" s="76">
        <v>113</v>
      </c>
      <c r="S374" s="76" t="str">
        <f>IFERROR(INDEX([1]物品基础表!$A:$A,MATCH(R374,[1]物品基础表!$B:$B,0)),"")</f>
        <v/>
      </c>
    </row>
    <row r="375" spans="1:19">
      <c r="A375" s="39" t="str">
        <f>INDEX([2]活动总表!$A$8:$A$429,MATCH(B375,[2]活动总表!$B$8:$B$429,0))</f>
        <v>版本庆典-5日活跃</v>
      </c>
      <c r="B375" s="40">
        <v>1001</v>
      </c>
      <c r="C375" s="40">
        <v>15</v>
      </c>
      <c r="D375" s="40">
        <v>27</v>
      </c>
      <c r="E375" s="40">
        <v>2</v>
      </c>
      <c r="F375" s="40">
        <v>6</v>
      </c>
      <c r="G375" s="40">
        <v>6</v>
      </c>
      <c r="H375" s="40">
        <v>5</v>
      </c>
      <c r="I375" s="40"/>
      <c r="J375" s="40" t="s">
        <v>947</v>
      </c>
      <c r="K375" s="40"/>
      <c r="L375" s="76">
        <v>200342</v>
      </c>
      <c r="M375" s="76" t="str">
        <f>IFERROR(INDEX([1]物品基础表!$A:$A,MATCH(L375,[1]物品基础表!$B:$B,0)),"")</f>
        <v>龙抬头抽奖道具</v>
      </c>
      <c r="N375" s="76">
        <v>10</v>
      </c>
      <c r="O375" s="76">
        <v>200007</v>
      </c>
      <c r="P375" s="76" t="str">
        <f>IFERROR(INDEX([1]物品基础表!$A:$A,MATCH(O375,[1]物品基础表!$B:$B,0)),"")</f>
        <v>神装碎片</v>
      </c>
      <c r="Q375" s="76">
        <v>114</v>
      </c>
      <c r="S375" s="76" t="str">
        <f>IFERROR(INDEX([1]物品基础表!$A:$A,MATCH(R375,[1]物品基础表!$B:$B,0)),"")</f>
        <v/>
      </c>
    </row>
    <row r="376" spans="1:19">
      <c r="A376" s="39" t="str">
        <f>INDEX([2]活动总表!$A$8:$A$429,MATCH(B376,[2]活动总表!$B$8:$B$429,0))</f>
        <v>版本庆典-5日活跃</v>
      </c>
      <c r="B376" s="40">
        <v>1001</v>
      </c>
      <c r="C376" s="40">
        <v>16</v>
      </c>
      <c r="D376" s="40">
        <v>27</v>
      </c>
      <c r="E376" s="40">
        <v>2</v>
      </c>
      <c r="F376" s="40">
        <v>12</v>
      </c>
      <c r="G376" s="40">
        <v>12</v>
      </c>
      <c r="H376" s="40">
        <v>5</v>
      </c>
      <c r="I376" s="40"/>
      <c r="J376" s="40" t="s">
        <v>948</v>
      </c>
      <c r="K376" s="40"/>
      <c r="L376" s="76">
        <v>200342</v>
      </c>
      <c r="M376" s="76" t="str">
        <f>IFERROR(INDEX([1]物品基础表!$A:$A,MATCH(L376,[1]物品基础表!$B:$B,0)),"")</f>
        <v>龙抬头抽奖道具</v>
      </c>
      <c r="N376" s="76">
        <v>10</v>
      </c>
      <c r="O376" s="76">
        <v>200007</v>
      </c>
      <c r="P376" s="76" t="str">
        <f>IFERROR(INDEX([1]物品基础表!$A:$A,MATCH(O376,[1]物品基础表!$B:$B,0)),"")</f>
        <v>神装碎片</v>
      </c>
      <c r="Q376" s="76">
        <v>115</v>
      </c>
      <c r="S376" s="76" t="str">
        <f>IFERROR(INDEX([1]物品基础表!$A:$A,MATCH(R376,[1]物品基础表!$B:$B,0)),"")</f>
        <v/>
      </c>
    </row>
    <row r="377" spans="1:19">
      <c r="A377" s="39" t="str">
        <f>INDEX([2]活动总表!$A$8:$A$429,MATCH(B377,[2]活动总表!$B$8:$B$429,0))</f>
        <v>版本庆典-5日活跃</v>
      </c>
      <c r="B377" s="40">
        <v>1001</v>
      </c>
      <c r="C377" s="40">
        <v>17</v>
      </c>
      <c r="D377" s="40">
        <v>27</v>
      </c>
      <c r="E377" s="40">
        <v>2</v>
      </c>
      <c r="F377" s="40">
        <v>24</v>
      </c>
      <c r="G377" s="40">
        <v>24</v>
      </c>
      <c r="H377" s="40">
        <v>5</v>
      </c>
      <c r="I377" s="40"/>
      <c r="J377" s="40" t="s">
        <v>949</v>
      </c>
      <c r="K377" s="40"/>
      <c r="L377" s="76">
        <v>200342</v>
      </c>
      <c r="M377" s="76" t="str">
        <f>IFERROR(INDEX([1]物品基础表!$A:$A,MATCH(L377,[1]物品基础表!$B:$B,0)),"")</f>
        <v>龙抬头抽奖道具</v>
      </c>
      <c r="N377" s="76">
        <v>10</v>
      </c>
      <c r="O377" s="76">
        <v>200007</v>
      </c>
      <c r="P377" s="76" t="str">
        <f>IFERROR(INDEX([1]物品基础表!$A:$A,MATCH(O377,[1]物品基础表!$B:$B,0)),"")</f>
        <v>神装碎片</v>
      </c>
      <c r="Q377" s="76">
        <v>116</v>
      </c>
      <c r="S377" s="76" t="str">
        <f>IFERROR(INDEX([1]物品基础表!$A:$A,MATCH(R377,[1]物品基础表!$B:$B,0)),"")</f>
        <v/>
      </c>
    </row>
    <row r="378" spans="1:19">
      <c r="A378" s="39" t="str">
        <f>INDEX([2]活动总表!$A$8:$A$429,MATCH(B378,[2]活动总表!$B$8:$B$429,0))</f>
        <v>版本庆典-5日活跃</v>
      </c>
      <c r="B378" s="40">
        <v>1001</v>
      </c>
      <c r="C378" s="40">
        <v>18</v>
      </c>
      <c r="D378" s="40">
        <v>27</v>
      </c>
      <c r="E378" s="40">
        <v>2</v>
      </c>
      <c r="F378" s="40">
        <v>36</v>
      </c>
      <c r="G378" s="40">
        <v>36</v>
      </c>
      <c r="H378" s="40">
        <v>10</v>
      </c>
      <c r="I378" s="40"/>
      <c r="J378" s="40" t="s">
        <v>950</v>
      </c>
      <c r="K378" s="40"/>
      <c r="L378" s="76">
        <v>200342</v>
      </c>
      <c r="M378" s="76" t="str">
        <f>IFERROR(INDEX([1]物品基础表!$A:$A,MATCH(L378,[1]物品基础表!$B:$B,0)),"")</f>
        <v>龙抬头抽奖道具</v>
      </c>
      <c r="N378" s="76">
        <v>10</v>
      </c>
      <c r="O378" s="76">
        <v>200007</v>
      </c>
      <c r="P378" s="76" t="str">
        <f>IFERROR(INDEX([1]物品基础表!$A:$A,MATCH(O378,[1]物品基础表!$B:$B,0)),"")</f>
        <v>神装碎片</v>
      </c>
      <c r="Q378" s="76">
        <v>117</v>
      </c>
      <c r="S378" s="76" t="str">
        <f>IFERROR(INDEX([1]物品基础表!$A:$A,MATCH(R378,[1]物品基础表!$B:$B,0)),"")</f>
        <v/>
      </c>
    </row>
    <row r="379" spans="1:19">
      <c r="A379" s="39" t="str">
        <f>INDEX([2]活动总表!$A$8:$A$429,MATCH(B379,[2]活动总表!$B$8:$B$429,0))</f>
        <v>版本庆典-5日活跃</v>
      </c>
      <c r="B379" s="40">
        <v>1001</v>
      </c>
      <c r="C379" s="40">
        <v>19</v>
      </c>
      <c r="D379" s="40">
        <v>106</v>
      </c>
      <c r="E379" s="40">
        <v>3</v>
      </c>
      <c r="F379" s="40">
        <v>2</v>
      </c>
      <c r="G379" s="40">
        <v>2</v>
      </c>
      <c r="H379" s="40">
        <v>20</v>
      </c>
      <c r="I379" s="40"/>
      <c r="J379" s="40" t="s">
        <v>951</v>
      </c>
      <c r="K379" s="40"/>
      <c r="L379" s="76">
        <v>200342</v>
      </c>
      <c r="M379" s="76" t="str">
        <f>IFERROR(INDEX([1]物品基础表!$A:$A,MATCH(L379,[1]物品基础表!$B:$B,0)),"")</f>
        <v>龙抬头抽奖道具</v>
      </c>
      <c r="N379" s="76">
        <v>10</v>
      </c>
      <c r="O379" s="76">
        <v>200007</v>
      </c>
      <c r="P379" s="76" t="str">
        <f>IFERROR(INDEX([1]物品基础表!$A:$A,MATCH(O379,[1]物品基础表!$B:$B,0)),"")</f>
        <v>神装碎片</v>
      </c>
      <c r="Q379" s="76">
        <v>118</v>
      </c>
      <c r="S379" s="76" t="str">
        <f>IFERROR(INDEX([1]物品基础表!$A:$A,MATCH(R379,[1]物品基础表!$B:$B,0)),"")</f>
        <v/>
      </c>
    </row>
    <row r="380" spans="1:19">
      <c r="A380" s="39" t="str">
        <f>INDEX([2]活动总表!$A$8:$A$429,MATCH(B380,[2]活动总表!$B$8:$B$429,0))</f>
        <v>版本庆典-5日活跃</v>
      </c>
      <c r="B380" s="40">
        <v>1001</v>
      </c>
      <c r="C380" s="40">
        <v>20</v>
      </c>
      <c r="D380" s="40">
        <v>106</v>
      </c>
      <c r="E380" s="40">
        <v>3</v>
      </c>
      <c r="F380" s="40">
        <v>4</v>
      </c>
      <c r="G380" s="40">
        <v>4</v>
      </c>
      <c r="H380" s="40">
        <v>20</v>
      </c>
      <c r="I380" s="40"/>
      <c r="J380" s="40" t="s">
        <v>952</v>
      </c>
      <c r="K380" s="40"/>
      <c r="L380" s="76">
        <v>200342</v>
      </c>
      <c r="M380" s="76" t="str">
        <f>IFERROR(INDEX([1]物品基础表!$A:$A,MATCH(L380,[1]物品基础表!$B:$B,0)),"")</f>
        <v>龙抬头抽奖道具</v>
      </c>
      <c r="N380" s="76">
        <v>10</v>
      </c>
      <c r="O380" s="76">
        <v>200007</v>
      </c>
      <c r="P380" s="76" t="str">
        <f>IFERROR(INDEX([1]物品基础表!$A:$A,MATCH(O380,[1]物品基础表!$B:$B,0)),"")</f>
        <v>神装碎片</v>
      </c>
      <c r="Q380" s="76">
        <v>119</v>
      </c>
      <c r="S380" s="76" t="str">
        <f>IFERROR(INDEX([1]物品基础表!$A:$A,MATCH(R380,[1]物品基础表!$B:$B,0)),"")</f>
        <v/>
      </c>
    </row>
    <row r="381" spans="1:19">
      <c r="A381" s="39" t="str">
        <f>INDEX([2]活动总表!$A$8:$A$429,MATCH(B381,[2]活动总表!$B$8:$B$429,0))</f>
        <v>版本庆典-5日活跃</v>
      </c>
      <c r="B381" s="40">
        <v>1001</v>
      </c>
      <c r="C381" s="40">
        <v>21</v>
      </c>
      <c r="D381" s="40">
        <v>106</v>
      </c>
      <c r="E381" s="40">
        <v>3</v>
      </c>
      <c r="F381" s="40">
        <v>6</v>
      </c>
      <c r="G381" s="40">
        <v>6</v>
      </c>
      <c r="H381" s="40">
        <v>40</v>
      </c>
      <c r="I381" s="40"/>
      <c r="J381" s="40" t="s">
        <v>953</v>
      </c>
      <c r="K381" s="40"/>
      <c r="L381" s="76">
        <v>200342</v>
      </c>
      <c r="M381" s="76" t="str">
        <f>IFERROR(INDEX([1]物品基础表!$A:$A,MATCH(L381,[1]物品基础表!$B:$B,0)),"")</f>
        <v>龙抬头抽奖道具</v>
      </c>
      <c r="N381" s="76">
        <v>10</v>
      </c>
      <c r="O381" s="76">
        <v>200007</v>
      </c>
      <c r="P381" s="76" t="str">
        <f>IFERROR(INDEX([1]物品基础表!$A:$A,MATCH(O381,[1]物品基础表!$B:$B,0)),"")</f>
        <v>神装碎片</v>
      </c>
      <c r="Q381" s="76">
        <v>120</v>
      </c>
      <c r="S381" s="76" t="str">
        <f>IFERROR(INDEX([1]物品基础表!$A:$A,MATCH(R381,[1]物品基础表!$B:$B,0)),"")</f>
        <v/>
      </c>
    </row>
    <row r="382" spans="1:19">
      <c r="A382" s="39" t="str">
        <f>INDEX([2]活动总表!$A$8:$A$429,MATCH(B382,[2]活动总表!$B$8:$B$429,0))</f>
        <v>版本庆典-5日活跃</v>
      </c>
      <c r="B382" s="40">
        <v>1001</v>
      </c>
      <c r="C382" s="40">
        <v>22</v>
      </c>
      <c r="D382" s="40">
        <v>106</v>
      </c>
      <c r="E382" s="40">
        <v>3</v>
      </c>
      <c r="F382" s="40">
        <v>6</v>
      </c>
      <c r="G382" s="40">
        <v>6</v>
      </c>
      <c r="H382" s="40">
        <v>40</v>
      </c>
      <c r="I382" s="40"/>
      <c r="J382" s="40" t="s">
        <v>953</v>
      </c>
      <c r="K382" s="40"/>
      <c r="L382" s="76">
        <v>200342</v>
      </c>
      <c r="M382" s="76" t="str">
        <f>IFERROR(INDEX([1]物品基础表!$A:$A,MATCH(L382,[1]物品基础表!$B:$B,0)),"")</f>
        <v>龙抬头抽奖道具</v>
      </c>
      <c r="N382" s="76">
        <v>10</v>
      </c>
      <c r="O382" s="76">
        <v>200007</v>
      </c>
      <c r="P382" s="76" t="str">
        <f>IFERROR(INDEX([1]物品基础表!$A:$A,MATCH(O382,[1]物品基础表!$B:$B,0)),"")</f>
        <v>神装碎片</v>
      </c>
      <c r="Q382" s="76">
        <v>120</v>
      </c>
      <c r="S382" s="76" t="str">
        <f>IFERROR(INDEX([1]物品基础表!$A:$A,MATCH(R382,[1]物品基础表!$B:$B,0)),"")</f>
        <v/>
      </c>
    </row>
    <row r="383" spans="1:19">
      <c r="A383" s="39" t="str">
        <f>INDEX([2]活动总表!$A$8:$A$429,MATCH(B383,[2]活动总表!$B$8:$B$429,0))</f>
        <v>版本庆典-5日活跃</v>
      </c>
      <c r="B383" s="40">
        <v>1001</v>
      </c>
      <c r="C383" s="40">
        <v>23</v>
      </c>
      <c r="D383" s="40">
        <v>106</v>
      </c>
      <c r="E383" s="40">
        <v>3</v>
      </c>
      <c r="F383" s="40">
        <v>6</v>
      </c>
      <c r="G383" s="40">
        <v>6</v>
      </c>
      <c r="H383" s="40">
        <v>40</v>
      </c>
      <c r="I383" s="40"/>
      <c r="J383" s="40" t="s">
        <v>953</v>
      </c>
      <c r="K383" s="40"/>
      <c r="L383" s="76">
        <v>200342</v>
      </c>
      <c r="M383" s="76" t="str">
        <f>IFERROR(INDEX([1]物品基础表!$A:$A,MATCH(L383,[1]物品基础表!$B:$B,0)),"")</f>
        <v>龙抬头抽奖道具</v>
      </c>
      <c r="N383" s="76">
        <v>10</v>
      </c>
      <c r="O383" s="76">
        <v>200007</v>
      </c>
      <c r="P383" s="76" t="str">
        <f>IFERROR(INDEX([1]物品基础表!$A:$A,MATCH(O383,[1]物品基础表!$B:$B,0)),"")</f>
        <v>神装碎片</v>
      </c>
      <c r="Q383" s="76">
        <v>120</v>
      </c>
      <c r="S383" s="76" t="str">
        <f>IFERROR(INDEX([1]物品基础表!$A:$A,MATCH(R383,[1]物品基础表!$B:$B,0)),"")</f>
        <v/>
      </c>
    </row>
    <row r="384" spans="1:19">
      <c r="A384" s="39" t="str">
        <f>INDEX([2]活动总表!$A$8:$A$429,MATCH(B384,[2]活动总表!$B$8:$B$429,0))</f>
        <v>版本庆典-5日活跃</v>
      </c>
      <c r="B384" s="40">
        <v>1001</v>
      </c>
      <c r="C384" s="40">
        <v>24</v>
      </c>
      <c r="D384" s="40">
        <v>106</v>
      </c>
      <c r="E384" s="40">
        <v>3</v>
      </c>
      <c r="F384" s="40">
        <v>6</v>
      </c>
      <c r="G384" s="40">
        <v>6</v>
      </c>
      <c r="H384" s="40">
        <v>40</v>
      </c>
      <c r="I384" s="40"/>
      <c r="J384" s="40" t="s">
        <v>953</v>
      </c>
      <c r="K384" s="40"/>
      <c r="L384" s="76">
        <v>200342</v>
      </c>
      <c r="M384" s="76" t="str">
        <f>IFERROR(INDEX([1]物品基础表!$A:$A,MATCH(L384,[1]物品基础表!$B:$B,0)),"")</f>
        <v>龙抬头抽奖道具</v>
      </c>
      <c r="N384" s="76">
        <v>10</v>
      </c>
      <c r="O384" s="76">
        <v>200007</v>
      </c>
      <c r="P384" s="76" t="str">
        <f>IFERROR(INDEX([1]物品基础表!$A:$A,MATCH(O384,[1]物品基础表!$B:$B,0)),"")</f>
        <v>神装碎片</v>
      </c>
      <c r="Q384" s="76">
        <v>120</v>
      </c>
      <c r="S384" s="76" t="str">
        <f>IFERROR(INDEX([1]物品基础表!$A:$A,MATCH(R384,[1]物品基础表!$B:$B,0)),"")</f>
        <v/>
      </c>
    </row>
    <row r="385" spans="1:19">
      <c r="A385" s="39" t="str">
        <f>INDEX([2]活动总表!$A$8:$A$429,MATCH(B385,[2]活动总表!$B$8:$B$429,0))</f>
        <v>版本庆典-5日活跃</v>
      </c>
      <c r="B385" s="40">
        <v>1001</v>
      </c>
      <c r="C385" s="40">
        <v>25</v>
      </c>
      <c r="D385" s="40">
        <v>106</v>
      </c>
      <c r="E385" s="40">
        <v>3</v>
      </c>
      <c r="F385" s="40">
        <v>6</v>
      </c>
      <c r="G385" s="40">
        <v>6</v>
      </c>
      <c r="H385" s="40">
        <v>40</v>
      </c>
      <c r="I385" s="40"/>
      <c r="J385" s="40" t="s">
        <v>953</v>
      </c>
      <c r="K385" s="40"/>
      <c r="L385" s="76">
        <v>200342</v>
      </c>
      <c r="M385" s="76" t="str">
        <f>IFERROR(INDEX([1]物品基础表!$A:$A,MATCH(L385,[1]物品基础表!$B:$B,0)),"")</f>
        <v>龙抬头抽奖道具</v>
      </c>
      <c r="N385" s="76">
        <v>10</v>
      </c>
      <c r="O385" s="76">
        <v>200007</v>
      </c>
      <c r="P385" s="76" t="str">
        <f>IFERROR(INDEX([1]物品基础表!$A:$A,MATCH(O385,[1]物品基础表!$B:$B,0)),"")</f>
        <v>神装碎片</v>
      </c>
      <c r="Q385" s="76">
        <v>120</v>
      </c>
      <c r="S385" s="76" t="str">
        <f>IFERROR(INDEX([1]物品基础表!$A:$A,MATCH(R385,[1]物品基础表!$B:$B,0)),"")</f>
        <v/>
      </c>
    </row>
    <row r="386" spans="1:19">
      <c r="A386" s="39" t="str">
        <f>INDEX([2]活动总表!$A$8:$A$429,MATCH(B386,[2]活动总表!$B$8:$B$429,0))</f>
        <v>版本庆典-5日活跃</v>
      </c>
      <c r="B386" s="40">
        <v>1001</v>
      </c>
      <c r="C386" s="40">
        <v>26</v>
      </c>
      <c r="D386" s="40">
        <v>106</v>
      </c>
      <c r="E386" s="40">
        <v>3</v>
      </c>
      <c r="F386" s="40">
        <v>6</v>
      </c>
      <c r="G386" s="40">
        <v>6</v>
      </c>
      <c r="H386" s="40">
        <v>40</v>
      </c>
      <c r="I386" s="40"/>
      <c r="J386" s="40" t="s">
        <v>953</v>
      </c>
      <c r="K386" s="40"/>
      <c r="L386" s="76">
        <v>200342</v>
      </c>
      <c r="M386" s="76" t="str">
        <f>IFERROR(INDEX([1]物品基础表!$A:$A,MATCH(L386,[1]物品基础表!$B:$B,0)),"")</f>
        <v>龙抬头抽奖道具</v>
      </c>
      <c r="N386" s="76">
        <v>10</v>
      </c>
      <c r="O386" s="76">
        <v>200007</v>
      </c>
      <c r="P386" s="76" t="str">
        <f>IFERROR(INDEX([1]物品基础表!$A:$A,MATCH(O386,[1]物品基础表!$B:$B,0)),"")</f>
        <v>神装碎片</v>
      </c>
      <c r="Q386" s="76">
        <v>120</v>
      </c>
      <c r="S386" s="76" t="str">
        <f>IFERROR(INDEX([1]物品基础表!$A:$A,MATCH(R386,[1]物品基础表!$B:$B,0)),"")</f>
        <v/>
      </c>
    </row>
    <row r="387" spans="1:19">
      <c r="A387" s="39" t="str">
        <f>INDEX([2]活动总表!$A$8:$A$429,MATCH(B387,[2]活动总表!$B$8:$B$429,0))</f>
        <v>版本庆典-5日活跃</v>
      </c>
      <c r="B387" s="40">
        <v>1001</v>
      </c>
      <c r="C387" s="40">
        <v>27</v>
      </c>
      <c r="D387" s="40">
        <v>106</v>
      </c>
      <c r="E387" s="40">
        <v>3</v>
      </c>
      <c r="F387" s="40">
        <v>6</v>
      </c>
      <c r="G387" s="40">
        <v>6</v>
      </c>
      <c r="H387" s="40">
        <v>40</v>
      </c>
      <c r="I387" s="40"/>
      <c r="J387" s="40" t="s">
        <v>953</v>
      </c>
      <c r="K387" s="40"/>
      <c r="L387" s="76">
        <v>200342</v>
      </c>
      <c r="M387" s="76" t="str">
        <f>IFERROR(INDEX([1]物品基础表!$A:$A,MATCH(L387,[1]物品基础表!$B:$B,0)),"")</f>
        <v>龙抬头抽奖道具</v>
      </c>
      <c r="N387" s="76">
        <v>10</v>
      </c>
      <c r="O387" s="76">
        <v>200007</v>
      </c>
      <c r="P387" s="76" t="str">
        <f>IFERROR(INDEX([1]物品基础表!$A:$A,MATCH(O387,[1]物品基础表!$B:$B,0)),"")</f>
        <v>神装碎片</v>
      </c>
      <c r="Q387" s="76">
        <v>120</v>
      </c>
      <c r="S387" s="76" t="str">
        <f>IFERROR(INDEX([1]物品基础表!$A:$A,MATCH(R387,[1]物品基础表!$B:$B,0)),"")</f>
        <v/>
      </c>
    </row>
    <row r="388" spans="1:19">
      <c r="A388" s="39" t="str">
        <f>INDEX([2]活动总表!$A$8:$A$429,MATCH(B388,[2]活动总表!$B$8:$B$429,0))</f>
        <v>版本庆典-5日活跃</v>
      </c>
      <c r="B388" s="40">
        <v>1001</v>
      </c>
      <c r="C388" s="40">
        <v>28</v>
      </c>
      <c r="D388" s="40">
        <v>106</v>
      </c>
      <c r="E388" s="40">
        <v>3</v>
      </c>
      <c r="F388" s="40">
        <v>6</v>
      </c>
      <c r="G388" s="40">
        <v>6</v>
      </c>
      <c r="H388" s="40">
        <v>40</v>
      </c>
      <c r="I388" s="40"/>
      <c r="J388" s="40" t="s">
        <v>953</v>
      </c>
      <c r="K388" s="40"/>
      <c r="L388" s="76">
        <v>200342</v>
      </c>
      <c r="M388" s="76" t="str">
        <f>IFERROR(INDEX([1]物品基础表!$A:$A,MATCH(L388,[1]物品基础表!$B:$B,0)),"")</f>
        <v>龙抬头抽奖道具</v>
      </c>
      <c r="N388" s="76">
        <v>10</v>
      </c>
      <c r="O388" s="76">
        <v>200007</v>
      </c>
      <c r="P388" s="76" t="str">
        <f>IFERROR(INDEX([1]物品基础表!$A:$A,MATCH(O388,[1]物品基础表!$B:$B,0)),"")</f>
        <v>神装碎片</v>
      </c>
      <c r="Q388" s="76">
        <v>120</v>
      </c>
      <c r="S388" s="76" t="str">
        <f>IFERROR(INDEX([1]物品基础表!$A:$A,MATCH(R388,[1]物品基础表!$B:$B,0)),"")</f>
        <v/>
      </c>
    </row>
    <row r="389" spans="1:19">
      <c r="A389" s="39" t="str">
        <f>INDEX([2]活动总表!$A$8:$A$429,MATCH(B389,[2]活动总表!$B$8:$B$429,0))</f>
        <v>版本庆典-5日活跃</v>
      </c>
      <c r="B389" s="40">
        <v>1001</v>
      </c>
      <c r="C389" s="40">
        <v>29</v>
      </c>
      <c r="D389" s="40">
        <v>98</v>
      </c>
      <c r="E389" s="40" t="s">
        <v>919</v>
      </c>
      <c r="F389" s="40">
        <v>1</v>
      </c>
      <c r="G389" s="40">
        <v>1</v>
      </c>
      <c r="H389" s="40">
        <v>5</v>
      </c>
      <c r="I389" s="40"/>
      <c r="J389" s="40" t="s">
        <v>961</v>
      </c>
      <c r="K389" s="40"/>
      <c r="L389" s="76">
        <v>200342</v>
      </c>
      <c r="M389" s="76" t="str">
        <f>IFERROR(INDEX([1]物品基础表!$A:$A,MATCH(L389,[1]物品基础表!$B:$B,0)),"")</f>
        <v>龙抬头抽奖道具</v>
      </c>
      <c r="N389" s="76">
        <v>10</v>
      </c>
      <c r="O389" s="76">
        <v>200007</v>
      </c>
      <c r="P389" s="76" t="str">
        <f>IFERROR(INDEX([1]物品基础表!$A:$A,MATCH(O389,[1]物品基础表!$B:$B,0)),"")</f>
        <v>神装碎片</v>
      </c>
      <c r="Q389" s="76">
        <v>121</v>
      </c>
      <c r="S389" s="76" t="str">
        <f>IFERROR(INDEX([1]物品基础表!$A:$A,MATCH(R389,[1]物品基础表!$B:$B,0)),"")</f>
        <v/>
      </c>
    </row>
    <row r="390" spans="1:19">
      <c r="A390" s="39" t="str">
        <f>INDEX([2]活动总表!$A$8:$A$429,MATCH(B390,[2]活动总表!$B$8:$B$429,0))</f>
        <v>版本庆典-5日活跃</v>
      </c>
      <c r="B390" s="40">
        <v>1001</v>
      </c>
      <c r="C390" s="40">
        <v>30</v>
      </c>
      <c r="D390" s="40">
        <v>98</v>
      </c>
      <c r="E390" s="40" t="s">
        <v>919</v>
      </c>
      <c r="F390" s="40">
        <v>3</v>
      </c>
      <c r="G390" s="40">
        <v>3</v>
      </c>
      <c r="H390" s="40">
        <v>5</v>
      </c>
      <c r="I390" s="40"/>
      <c r="J390" s="40" t="s">
        <v>962</v>
      </c>
      <c r="K390" s="40"/>
      <c r="L390" s="76">
        <v>200342</v>
      </c>
      <c r="M390" s="76" t="str">
        <f>IFERROR(INDEX([1]物品基础表!$A:$A,MATCH(L390,[1]物品基础表!$B:$B,0)),"")</f>
        <v>龙抬头抽奖道具</v>
      </c>
      <c r="N390" s="76">
        <v>10</v>
      </c>
      <c r="O390" s="76">
        <v>200007</v>
      </c>
      <c r="P390" s="76" t="str">
        <f>IFERROR(INDEX([1]物品基础表!$A:$A,MATCH(O390,[1]物品基础表!$B:$B,0)),"")</f>
        <v>神装碎片</v>
      </c>
      <c r="Q390" s="76">
        <v>122</v>
      </c>
      <c r="S390" s="76" t="str">
        <f>IFERROR(INDEX([1]物品基础表!$A:$A,MATCH(R390,[1]物品基础表!$B:$B,0)),"")</f>
        <v/>
      </c>
    </row>
    <row r="391" spans="1:19">
      <c r="A391" s="39" t="str">
        <f>INDEX([2]活动总表!$A$8:$A$429,MATCH(B391,[2]活动总表!$B$8:$B$429,0))</f>
        <v>版本庆典-5日活跃</v>
      </c>
      <c r="B391" s="40">
        <v>1001</v>
      </c>
      <c r="C391" s="40">
        <v>31</v>
      </c>
      <c r="D391" s="40">
        <v>98</v>
      </c>
      <c r="E391" s="40" t="s">
        <v>919</v>
      </c>
      <c r="F391" s="40">
        <v>5</v>
      </c>
      <c r="G391" s="40">
        <v>5</v>
      </c>
      <c r="H391" s="40">
        <v>5</v>
      </c>
      <c r="I391" s="40"/>
      <c r="J391" s="40" t="s">
        <v>963</v>
      </c>
      <c r="K391" s="40"/>
      <c r="L391" s="76">
        <v>200342</v>
      </c>
      <c r="M391" s="76" t="str">
        <f>IFERROR(INDEX([1]物品基础表!$A:$A,MATCH(L391,[1]物品基础表!$B:$B,0)),"")</f>
        <v>龙抬头抽奖道具</v>
      </c>
      <c r="N391" s="76">
        <v>10</v>
      </c>
      <c r="O391" s="76">
        <v>200007</v>
      </c>
      <c r="P391" s="76" t="str">
        <f>IFERROR(INDEX([1]物品基础表!$A:$A,MATCH(O391,[1]物品基础表!$B:$B,0)),"")</f>
        <v>神装碎片</v>
      </c>
      <c r="Q391" s="76">
        <v>123</v>
      </c>
      <c r="S391" s="76" t="str">
        <f>IFERROR(INDEX([1]物品基础表!$A:$A,MATCH(R391,[1]物品基础表!$B:$B,0)),"")</f>
        <v/>
      </c>
    </row>
    <row r="392" spans="1:19">
      <c r="A392" s="39" t="str">
        <f>INDEX([2]活动总表!$A$8:$A$429,MATCH(B392,[2]活动总表!$B$8:$B$429,0))</f>
        <v>版本庆典-5日活跃</v>
      </c>
      <c r="B392" s="40">
        <v>1001</v>
      </c>
      <c r="C392" s="40">
        <v>32</v>
      </c>
      <c r="D392" s="40">
        <v>98</v>
      </c>
      <c r="E392" s="40" t="s">
        <v>919</v>
      </c>
      <c r="F392" s="40">
        <v>9</v>
      </c>
      <c r="G392" s="40">
        <v>9</v>
      </c>
      <c r="H392" s="40">
        <v>10</v>
      </c>
      <c r="I392" s="40"/>
      <c r="J392" s="40" t="s">
        <v>964</v>
      </c>
      <c r="K392" s="40"/>
      <c r="L392" s="76">
        <v>200342</v>
      </c>
      <c r="M392" s="76" t="str">
        <f>IFERROR(INDEX([1]物品基础表!$A:$A,MATCH(L392,[1]物品基础表!$B:$B,0)),"")</f>
        <v>龙抬头抽奖道具</v>
      </c>
      <c r="N392" s="76">
        <v>10</v>
      </c>
      <c r="O392" s="76">
        <v>200007</v>
      </c>
      <c r="P392" s="76" t="str">
        <f>IFERROR(INDEX([1]物品基础表!$A:$A,MATCH(O392,[1]物品基础表!$B:$B,0)),"")</f>
        <v>神装碎片</v>
      </c>
      <c r="Q392" s="76">
        <v>124</v>
      </c>
      <c r="S392" s="76" t="str">
        <f>IFERROR(INDEX([1]物品基础表!$A:$A,MATCH(R392,[1]物品基础表!$B:$B,0)),"")</f>
        <v/>
      </c>
    </row>
    <row r="393" spans="1:19">
      <c r="A393" s="39" t="str">
        <f>INDEX([2]活动总表!$A$8:$A$429,MATCH(B393,[2]活动总表!$B$8:$B$429,0))</f>
        <v>版本庆典-5日活跃</v>
      </c>
      <c r="B393" s="40">
        <v>1001</v>
      </c>
      <c r="C393" s="40">
        <v>33</v>
      </c>
      <c r="D393" s="40">
        <v>98</v>
      </c>
      <c r="E393" s="40" t="s">
        <v>919</v>
      </c>
      <c r="F393" s="40">
        <v>12</v>
      </c>
      <c r="G393" s="40">
        <v>12</v>
      </c>
      <c r="H393" s="40">
        <v>10</v>
      </c>
      <c r="I393" s="40"/>
      <c r="J393" s="40" t="s">
        <v>965</v>
      </c>
      <c r="K393" s="40"/>
      <c r="L393" s="76">
        <v>200342</v>
      </c>
      <c r="M393" s="76" t="str">
        <f>IFERROR(INDEX([1]物品基础表!$A:$A,MATCH(L393,[1]物品基础表!$B:$B,0)),"")</f>
        <v>龙抬头抽奖道具</v>
      </c>
      <c r="N393" s="76">
        <v>10</v>
      </c>
      <c r="O393" s="76">
        <v>200007</v>
      </c>
      <c r="P393" s="76" t="str">
        <f>IFERROR(INDEX([1]物品基础表!$A:$A,MATCH(O393,[1]物品基础表!$B:$B,0)),"")</f>
        <v>神装碎片</v>
      </c>
      <c r="Q393" s="76">
        <v>125</v>
      </c>
      <c r="S393" s="76" t="str">
        <f>IFERROR(INDEX([1]物品基础表!$A:$A,MATCH(R393,[1]物品基础表!$B:$B,0)),"")</f>
        <v/>
      </c>
    </row>
    <row r="394" spans="1:19">
      <c r="A394" s="39" t="str">
        <f>INDEX([2]活动总表!$A$8:$A$429,MATCH(B394,[2]活动总表!$B$8:$B$429,0))</f>
        <v>版本庆典-5日活跃</v>
      </c>
      <c r="B394" s="40">
        <v>1001</v>
      </c>
      <c r="C394" s="40">
        <v>34</v>
      </c>
      <c r="D394" s="40">
        <v>98</v>
      </c>
      <c r="E394" s="40" t="s">
        <v>919</v>
      </c>
      <c r="F394" s="40">
        <v>15</v>
      </c>
      <c r="G394" s="40">
        <v>15</v>
      </c>
      <c r="H394" s="40">
        <v>15</v>
      </c>
      <c r="I394" s="40"/>
      <c r="J394" s="40" t="s">
        <v>966</v>
      </c>
      <c r="K394" s="40"/>
      <c r="L394" s="76">
        <v>200342</v>
      </c>
      <c r="M394" s="76" t="str">
        <f>IFERROR(INDEX([1]物品基础表!$A:$A,MATCH(L394,[1]物品基础表!$B:$B,0)),"")</f>
        <v>龙抬头抽奖道具</v>
      </c>
      <c r="N394" s="76">
        <v>10</v>
      </c>
      <c r="O394" s="76">
        <v>200007</v>
      </c>
      <c r="P394" s="76" t="str">
        <f>IFERROR(INDEX([1]物品基础表!$A:$A,MATCH(O394,[1]物品基础表!$B:$B,0)),"")</f>
        <v>神装碎片</v>
      </c>
      <c r="Q394" s="76">
        <v>126</v>
      </c>
      <c r="S394" s="76" t="str">
        <f>IFERROR(INDEX([1]物品基础表!$A:$A,MATCH(R394,[1]物品基础表!$B:$B,0)),"")</f>
        <v/>
      </c>
    </row>
    <row r="395" spans="1:19">
      <c r="A395" s="39" t="str">
        <f>INDEX([2]活动总表!$A$8:$A$429,MATCH(B395,[2]活动总表!$B$8:$B$429,0))</f>
        <v>版本庆典-5日活跃</v>
      </c>
      <c r="B395" s="40">
        <v>1001</v>
      </c>
      <c r="C395" s="40">
        <v>35</v>
      </c>
      <c r="D395" s="40">
        <v>98</v>
      </c>
      <c r="E395" s="40" t="s">
        <v>919</v>
      </c>
      <c r="F395" s="40">
        <v>18</v>
      </c>
      <c r="G395" s="40">
        <v>18</v>
      </c>
      <c r="H395" s="40">
        <v>15</v>
      </c>
      <c r="I395" s="40"/>
      <c r="J395" s="40" t="s">
        <v>967</v>
      </c>
      <c r="K395" s="40"/>
      <c r="L395" s="76">
        <v>200342</v>
      </c>
      <c r="M395" s="76" t="str">
        <f>IFERROR(INDEX([1]物品基础表!$A:$A,MATCH(L395,[1]物品基础表!$B:$B,0)),"")</f>
        <v>龙抬头抽奖道具</v>
      </c>
      <c r="N395" s="76">
        <v>10</v>
      </c>
      <c r="O395" s="76">
        <v>200007</v>
      </c>
      <c r="P395" s="76" t="str">
        <f>IFERROR(INDEX([1]物品基础表!$A:$A,MATCH(O395,[1]物品基础表!$B:$B,0)),"")</f>
        <v>神装碎片</v>
      </c>
      <c r="Q395" s="76">
        <v>127</v>
      </c>
      <c r="S395" s="76" t="str">
        <f>IFERROR(INDEX([1]物品基础表!$A:$A,MATCH(R395,[1]物品基础表!$B:$B,0)),"")</f>
        <v/>
      </c>
    </row>
    <row r="396" spans="1:19">
      <c r="A396" s="39" t="str">
        <f>INDEX([2]活动总表!$A$8:$A$429,MATCH(B396,[2]活动总表!$B$8:$B$429,0))</f>
        <v>版本庆典-5日活跃</v>
      </c>
      <c r="B396" s="40">
        <v>1001</v>
      </c>
      <c r="C396" s="40">
        <v>36</v>
      </c>
      <c r="D396" s="40">
        <v>92</v>
      </c>
      <c r="E396" s="40" t="s">
        <v>919</v>
      </c>
      <c r="F396" s="40">
        <v>10</v>
      </c>
      <c r="G396" s="40">
        <v>10</v>
      </c>
      <c r="H396" s="40">
        <v>10</v>
      </c>
      <c r="I396" s="40"/>
      <c r="J396" s="40" t="s">
        <v>968</v>
      </c>
      <c r="K396" s="40"/>
      <c r="L396" s="76">
        <v>200342</v>
      </c>
      <c r="M396" s="76" t="str">
        <f>IFERROR(INDEX([1]物品基础表!$A:$A,MATCH(L396,[1]物品基础表!$B:$B,0)),"")</f>
        <v>龙抬头抽奖道具</v>
      </c>
      <c r="N396" s="76">
        <v>10</v>
      </c>
      <c r="O396" s="76">
        <v>200007</v>
      </c>
      <c r="P396" s="76" t="str">
        <f>IFERROR(INDEX([1]物品基础表!$A:$A,MATCH(O396,[1]物品基础表!$B:$B,0)),"")</f>
        <v>神装碎片</v>
      </c>
      <c r="Q396" s="76">
        <v>128</v>
      </c>
      <c r="S396" s="76" t="str">
        <f>IFERROR(INDEX([1]物品基础表!$A:$A,MATCH(R396,[1]物品基础表!$B:$B,0)),"")</f>
        <v/>
      </c>
    </row>
    <row r="397" spans="1:19">
      <c r="A397" s="39" t="str">
        <f>INDEX([2]活动总表!$A$8:$A$429,MATCH(B397,[2]活动总表!$B$8:$B$429,0))</f>
        <v>版本庆典-5日活跃</v>
      </c>
      <c r="B397" s="40">
        <v>1001</v>
      </c>
      <c r="C397" s="40">
        <v>37</v>
      </c>
      <c r="D397" s="40">
        <v>92</v>
      </c>
      <c r="E397" s="40" t="s">
        <v>919</v>
      </c>
      <c r="F397" s="40">
        <v>20</v>
      </c>
      <c r="G397" s="40">
        <v>20</v>
      </c>
      <c r="H397" s="40">
        <v>10</v>
      </c>
      <c r="I397" s="40"/>
      <c r="J397" s="40" t="s">
        <v>969</v>
      </c>
      <c r="K397" s="40"/>
      <c r="L397" s="76">
        <v>200342</v>
      </c>
      <c r="M397" s="76" t="str">
        <f>IFERROR(INDEX([1]物品基础表!$A:$A,MATCH(L397,[1]物品基础表!$B:$B,0)),"")</f>
        <v>龙抬头抽奖道具</v>
      </c>
      <c r="N397" s="76">
        <v>10</v>
      </c>
      <c r="O397" s="76">
        <v>200007</v>
      </c>
      <c r="P397" s="76" t="str">
        <f>IFERROR(INDEX([1]物品基础表!$A:$A,MATCH(O397,[1]物品基础表!$B:$B,0)),"")</f>
        <v>神装碎片</v>
      </c>
      <c r="Q397" s="76">
        <v>129</v>
      </c>
      <c r="S397" s="76" t="str">
        <f>IFERROR(INDEX([1]物品基础表!$A:$A,MATCH(R397,[1]物品基础表!$B:$B,0)),"")</f>
        <v/>
      </c>
    </row>
    <row r="398" spans="1:19">
      <c r="A398" s="39" t="str">
        <f>INDEX([2]活动总表!$A$8:$A$429,MATCH(B398,[2]活动总表!$B$8:$B$429,0))</f>
        <v>版本庆典-5日活跃</v>
      </c>
      <c r="B398" s="40">
        <v>1001</v>
      </c>
      <c r="C398" s="40">
        <v>38</v>
      </c>
      <c r="D398" s="40">
        <v>92</v>
      </c>
      <c r="E398" s="40" t="s">
        <v>919</v>
      </c>
      <c r="F398" s="40">
        <v>30</v>
      </c>
      <c r="G398" s="40">
        <v>30</v>
      </c>
      <c r="H398" s="40">
        <v>10</v>
      </c>
      <c r="I398" s="40"/>
      <c r="J398" s="40" t="s">
        <v>970</v>
      </c>
      <c r="K398" s="40"/>
      <c r="L398" s="76">
        <v>200342</v>
      </c>
      <c r="M398" s="76" t="str">
        <f>IFERROR(INDEX([1]物品基础表!$A:$A,MATCH(L398,[1]物品基础表!$B:$B,0)),"")</f>
        <v>龙抬头抽奖道具</v>
      </c>
      <c r="N398" s="76">
        <v>10</v>
      </c>
      <c r="O398" s="76">
        <v>200007</v>
      </c>
      <c r="P398" s="76" t="str">
        <f>IFERROR(INDEX([1]物品基础表!$A:$A,MATCH(O398,[1]物品基础表!$B:$B,0)),"")</f>
        <v>神装碎片</v>
      </c>
      <c r="Q398" s="76">
        <v>130</v>
      </c>
      <c r="S398" s="76" t="str">
        <f>IFERROR(INDEX([1]物品基础表!$A:$A,MATCH(R398,[1]物品基础表!$B:$B,0)),"")</f>
        <v/>
      </c>
    </row>
    <row r="399" spans="1:19">
      <c r="A399" s="39" t="str">
        <f>INDEX([2]活动总表!$A$8:$A$429,MATCH(B399,[2]活动总表!$B$8:$B$429,0))</f>
        <v>版本庆典-5日活跃</v>
      </c>
      <c r="B399" s="40">
        <v>1001</v>
      </c>
      <c r="C399" s="40">
        <v>39</v>
      </c>
      <c r="D399" s="40">
        <v>92</v>
      </c>
      <c r="E399" s="40" t="s">
        <v>919</v>
      </c>
      <c r="F399" s="40">
        <v>50</v>
      </c>
      <c r="G399" s="40">
        <v>50</v>
      </c>
      <c r="H399" s="40">
        <v>20</v>
      </c>
      <c r="I399" s="40"/>
      <c r="J399" s="40" t="s">
        <v>971</v>
      </c>
      <c r="K399" s="40"/>
      <c r="L399" s="76">
        <v>200342</v>
      </c>
      <c r="M399" s="76" t="str">
        <f>IFERROR(INDEX([1]物品基础表!$A:$A,MATCH(L399,[1]物品基础表!$B:$B,0)),"")</f>
        <v>龙抬头抽奖道具</v>
      </c>
      <c r="N399" s="76">
        <v>10</v>
      </c>
      <c r="O399" s="76">
        <v>200007</v>
      </c>
      <c r="P399" s="76" t="str">
        <f>IFERROR(INDEX([1]物品基础表!$A:$A,MATCH(O399,[1]物品基础表!$B:$B,0)),"")</f>
        <v>神装碎片</v>
      </c>
      <c r="Q399" s="76">
        <v>131</v>
      </c>
      <c r="S399" s="76" t="str">
        <f>IFERROR(INDEX([1]物品基础表!$A:$A,MATCH(R399,[1]物品基础表!$B:$B,0)),"")</f>
        <v/>
      </c>
    </row>
    <row r="400" spans="1:19">
      <c r="A400" s="39" t="str">
        <f>INDEX([2]活动总表!$A$8:$A$429,MATCH(B400,[2]活动总表!$B$8:$B$429,0))</f>
        <v>版本庆典-5日活跃</v>
      </c>
      <c r="B400" s="40">
        <v>1001</v>
      </c>
      <c r="C400" s="40">
        <v>40</v>
      </c>
      <c r="D400" s="40">
        <v>92</v>
      </c>
      <c r="E400" s="40" t="s">
        <v>919</v>
      </c>
      <c r="F400" s="40">
        <v>70</v>
      </c>
      <c r="G400" s="40">
        <v>70</v>
      </c>
      <c r="H400" s="40">
        <v>20</v>
      </c>
      <c r="I400" s="40"/>
      <c r="J400" s="40" t="s">
        <v>972</v>
      </c>
      <c r="K400" s="40"/>
      <c r="L400" s="76">
        <v>200342</v>
      </c>
      <c r="M400" s="76" t="str">
        <f>IFERROR(INDEX([1]物品基础表!$A:$A,MATCH(L400,[1]物品基础表!$B:$B,0)),"")</f>
        <v>龙抬头抽奖道具</v>
      </c>
      <c r="N400" s="76">
        <v>10</v>
      </c>
      <c r="O400" s="76">
        <v>200007</v>
      </c>
      <c r="P400" s="76" t="str">
        <f>IFERROR(INDEX([1]物品基础表!$A:$A,MATCH(O400,[1]物品基础表!$B:$B,0)),"")</f>
        <v>神装碎片</v>
      </c>
      <c r="Q400" s="76">
        <v>132</v>
      </c>
      <c r="S400" s="76" t="str">
        <f>IFERROR(INDEX([1]物品基础表!$A:$A,MATCH(R400,[1]物品基础表!$B:$B,0)),"")</f>
        <v/>
      </c>
    </row>
    <row r="401" spans="1:19">
      <c r="A401" s="39" t="str">
        <f>INDEX([2]活动总表!$A$8:$A$429,MATCH(B401,[2]活动总表!$B$8:$B$429,0))</f>
        <v>版本庆典-5日活跃</v>
      </c>
      <c r="B401" s="40">
        <v>1001</v>
      </c>
      <c r="C401" s="40">
        <v>41</v>
      </c>
      <c r="D401" s="40">
        <v>92</v>
      </c>
      <c r="E401" s="40" t="s">
        <v>919</v>
      </c>
      <c r="F401" s="40">
        <v>90</v>
      </c>
      <c r="G401" s="40">
        <v>90</v>
      </c>
      <c r="H401" s="40">
        <v>20</v>
      </c>
      <c r="I401" s="40"/>
      <c r="J401" s="40" t="s">
        <v>973</v>
      </c>
      <c r="K401" s="40"/>
      <c r="L401" s="76">
        <v>200342</v>
      </c>
      <c r="M401" s="76" t="str">
        <f>IFERROR(INDEX([1]物品基础表!$A:$A,MATCH(L401,[1]物品基础表!$B:$B,0)),"")</f>
        <v>龙抬头抽奖道具</v>
      </c>
      <c r="N401" s="76">
        <v>10</v>
      </c>
      <c r="O401" s="76">
        <v>200007</v>
      </c>
      <c r="P401" s="76" t="str">
        <f>IFERROR(INDEX([1]物品基础表!$A:$A,MATCH(O401,[1]物品基础表!$B:$B,0)),"")</f>
        <v>神装碎片</v>
      </c>
      <c r="Q401" s="76">
        <v>133</v>
      </c>
      <c r="S401" s="76" t="str">
        <f>IFERROR(INDEX([1]物品基础表!$A:$A,MATCH(R401,[1]物品基础表!$B:$B,0)),"")</f>
        <v/>
      </c>
    </row>
    <row r="402" spans="1:19">
      <c r="A402" s="39" t="str">
        <f>INDEX([2]活动总表!$A$8:$A$429,MATCH(B402,[2]活动总表!$B$8:$B$429,0))</f>
        <v>版本庆典-5日活跃</v>
      </c>
      <c r="B402" s="40">
        <v>1001</v>
      </c>
      <c r="C402" s="40">
        <v>42</v>
      </c>
      <c r="D402" s="40">
        <v>92</v>
      </c>
      <c r="E402" s="40" t="s">
        <v>919</v>
      </c>
      <c r="F402" s="40">
        <v>120</v>
      </c>
      <c r="G402" s="40">
        <v>120</v>
      </c>
      <c r="H402" s="40">
        <v>30</v>
      </c>
      <c r="I402" s="40"/>
      <c r="J402" s="40" t="s">
        <v>974</v>
      </c>
      <c r="K402" s="40"/>
      <c r="L402" s="76">
        <v>200342</v>
      </c>
      <c r="M402" s="76" t="str">
        <f>IFERROR(INDEX([1]物品基础表!$A:$A,MATCH(L402,[1]物品基础表!$B:$B,0)),"")</f>
        <v>龙抬头抽奖道具</v>
      </c>
      <c r="N402" s="76">
        <v>10</v>
      </c>
      <c r="O402" s="76">
        <v>200007</v>
      </c>
      <c r="P402" s="76" t="str">
        <f>IFERROR(INDEX([1]物品基础表!$A:$A,MATCH(O402,[1]物品基础表!$B:$B,0)),"")</f>
        <v>神装碎片</v>
      </c>
      <c r="Q402" s="76">
        <v>134</v>
      </c>
      <c r="S402" s="76" t="str">
        <f>IFERROR(INDEX([1]物品基础表!$A:$A,MATCH(R402,[1]物品基础表!$B:$B,0)),"")</f>
        <v/>
      </c>
    </row>
    <row r="403" spans="1:19">
      <c r="A403" s="39" t="str">
        <f>INDEX([2]活动总表!$A$8:$A$429,MATCH(B403,[2]活动总表!$B$8:$B$429,0))</f>
        <v>版本庆典-5日活跃</v>
      </c>
      <c r="B403" s="40">
        <v>1001</v>
      </c>
      <c r="C403" s="40">
        <v>43</v>
      </c>
      <c r="D403" s="40">
        <v>50</v>
      </c>
      <c r="E403" s="40" t="s">
        <v>919</v>
      </c>
      <c r="F403" s="40">
        <v>3</v>
      </c>
      <c r="G403" s="40">
        <v>3</v>
      </c>
      <c r="H403" s="40">
        <v>5</v>
      </c>
      <c r="I403" s="40"/>
      <c r="J403" s="40" t="s">
        <v>982</v>
      </c>
      <c r="K403" s="40"/>
      <c r="L403" s="76">
        <v>200342</v>
      </c>
      <c r="M403" s="76" t="str">
        <f>IFERROR(INDEX([1]物品基础表!$A:$A,MATCH(L403,[1]物品基础表!$B:$B,0)),"")</f>
        <v>龙抬头抽奖道具</v>
      </c>
      <c r="N403" s="76">
        <v>10</v>
      </c>
      <c r="O403" s="76">
        <v>200007</v>
      </c>
      <c r="P403" s="76" t="str">
        <f>IFERROR(INDEX([1]物品基础表!$A:$A,MATCH(O403,[1]物品基础表!$B:$B,0)),"")</f>
        <v>神装碎片</v>
      </c>
      <c r="Q403" s="76">
        <v>135</v>
      </c>
      <c r="S403" s="76" t="str">
        <f>IFERROR(INDEX([1]物品基础表!$A:$A,MATCH(R403,[1]物品基础表!$B:$B,0)),"")</f>
        <v/>
      </c>
    </row>
    <row r="404" spans="1:19">
      <c r="A404" s="39" t="str">
        <f>INDEX([2]活动总表!$A$8:$A$429,MATCH(B404,[2]活动总表!$B$8:$B$429,0))</f>
        <v>版本庆典-5日活跃</v>
      </c>
      <c r="B404" s="40">
        <v>1001</v>
      </c>
      <c r="C404" s="40">
        <v>44</v>
      </c>
      <c r="D404" s="40">
        <v>50</v>
      </c>
      <c r="E404" s="40" t="s">
        <v>919</v>
      </c>
      <c r="F404" s="40">
        <v>6</v>
      </c>
      <c r="G404" s="40">
        <v>6</v>
      </c>
      <c r="H404" s="40">
        <v>5</v>
      </c>
      <c r="I404" s="40"/>
      <c r="J404" s="40" t="s">
        <v>983</v>
      </c>
      <c r="K404" s="40"/>
      <c r="L404" s="76">
        <v>200342</v>
      </c>
      <c r="M404" s="76" t="str">
        <f>IFERROR(INDEX([1]物品基础表!$A:$A,MATCH(L404,[1]物品基础表!$B:$B,0)),"")</f>
        <v>龙抬头抽奖道具</v>
      </c>
      <c r="N404" s="76">
        <v>10</v>
      </c>
      <c r="O404" s="76">
        <v>200007</v>
      </c>
      <c r="P404" s="76" t="str">
        <f>IFERROR(INDEX([1]物品基础表!$A:$A,MATCH(O404,[1]物品基础表!$B:$B,0)),"")</f>
        <v>神装碎片</v>
      </c>
      <c r="Q404" s="76">
        <v>136</v>
      </c>
      <c r="S404" s="76" t="str">
        <f>IFERROR(INDEX([1]物品基础表!$A:$A,MATCH(R404,[1]物品基础表!$B:$B,0)),"")</f>
        <v/>
      </c>
    </row>
    <row r="405" spans="1:19">
      <c r="A405" s="39" t="str">
        <f>INDEX([2]活动总表!$A$8:$A$429,MATCH(B405,[2]活动总表!$B$8:$B$429,0))</f>
        <v>版本庆典-5日活跃</v>
      </c>
      <c r="B405" s="40">
        <v>1001</v>
      </c>
      <c r="C405" s="40">
        <v>45</v>
      </c>
      <c r="D405" s="40">
        <v>50</v>
      </c>
      <c r="E405" s="40" t="s">
        <v>919</v>
      </c>
      <c r="F405" s="40">
        <v>12</v>
      </c>
      <c r="G405" s="40">
        <v>12</v>
      </c>
      <c r="H405" s="40">
        <v>10</v>
      </c>
      <c r="I405" s="40"/>
      <c r="J405" s="40" t="s">
        <v>984</v>
      </c>
      <c r="K405" s="40"/>
      <c r="L405" s="76">
        <v>200342</v>
      </c>
      <c r="M405" s="76" t="str">
        <f>IFERROR(INDEX([1]物品基础表!$A:$A,MATCH(L405,[1]物品基础表!$B:$B,0)),"")</f>
        <v>龙抬头抽奖道具</v>
      </c>
      <c r="N405" s="76">
        <v>10</v>
      </c>
      <c r="O405" s="76">
        <v>200007</v>
      </c>
      <c r="P405" s="76" t="str">
        <f>IFERROR(INDEX([1]物品基础表!$A:$A,MATCH(O405,[1]物品基础表!$B:$B,0)),"")</f>
        <v>神装碎片</v>
      </c>
      <c r="Q405" s="76">
        <v>137</v>
      </c>
      <c r="S405" s="76" t="str">
        <f>IFERROR(INDEX([1]物品基础表!$A:$A,MATCH(R405,[1]物品基础表!$B:$B,0)),"")</f>
        <v/>
      </c>
    </row>
    <row r="406" spans="1:19">
      <c r="A406" s="39" t="str">
        <f>INDEX([2]活动总表!$A$8:$A$429,MATCH(B406,[2]活动总表!$B$8:$B$429,0))</f>
        <v>版本庆典-5日活跃</v>
      </c>
      <c r="B406" s="40">
        <v>1001</v>
      </c>
      <c r="C406" s="40">
        <v>46</v>
      </c>
      <c r="D406" s="40">
        <v>50</v>
      </c>
      <c r="E406" s="40" t="s">
        <v>919</v>
      </c>
      <c r="F406" s="40">
        <v>18</v>
      </c>
      <c r="G406" s="40">
        <v>18</v>
      </c>
      <c r="H406" s="40">
        <v>15</v>
      </c>
      <c r="I406" s="40"/>
      <c r="J406" s="40" t="s">
        <v>985</v>
      </c>
      <c r="K406" s="40"/>
      <c r="L406" s="76">
        <v>200342</v>
      </c>
      <c r="M406" s="76" t="str">
        <f>IFERROR(INDEX([1]物品基础表!$A:$A,MATCH(L406,[1]物品基础表!$B:$B,0)),"")</f>
        <v>龙抬头抽奖道具</v>
      </c>
      <c r="N406" s="76">
        <v>10</v>
      </c>
      <c r="O406" s="76">
        <v>200007</v>
      </c>
      <c r="P406" s="76" t="str">
        <f>IFERROR(INDEX([1]物品基础表!$A:$A,MATCH(O406,[1]物品基础表!$B:$B,0)),"")</f>
        <v>神装碎片</v>
      </c>
      <c r="Q406" s="76">
        <v>138</v>
      </c>
      <c r="S406" s="76" t="str">
        <f>IFERROR(INDEX([1]物品基础表!$A:$A,MATCH(R406,[1]物品基础表!$B:$B,0)),"")</f>
        <v/>
      </c>
    </row>
    <row r="407" spans="1:19">
      <c r="A407" s="39" t="str">
        <f>INDEX([2]活动总表!$A$8:$A$429,MATCH(B407,[2]活动总表!$B$8:$B$429,0))</f>
        <v>版本庆典-5日活跃</v>
      </c>
      <c r="B407" s="40">
        <v>1001</v>
      </c>
      <c r="C407" s="40">
        <v>47</v>
      </c>
      <c r="D407" s="40">
        <v>11</v>
      </c>
      <c r="E407" s="40">
        <v>25</v>
      </c>
      <c r="F407" s="40">
        <v>1</v>
      </c>
      <c r="G407" s="40">
        <v>1</v>
      </c>
      <c r="H407" s="40">
        <v>10</v>
      </c>
      <c r="I407" s="40"/>
      <c r="J407" s="40" t="s">
        <v>986</v>
      </c>
      <c r="K407" s="40"/>
      <c r="L407" s="76">
        <v>200342</v>
      </c>
      <c r="M407" s="76" t="str">
        <f>IFERROR(INDEX([1]物品基础表!$A:$A,MATCH(L407,[1]物品基础表!$B:$B,0)),"")</f>
        <v>龙抬头抽奖道具</v>
      </c>
      <c r="N407" s="76">
        <v>10</v>
      </c>
      <c r="O407" s="76">
        <v>200007</v>
      </c>
      <c r="P407" s="76" t="str">
        <f>IFERROR(INDEX([1]物品基础表!$A:$A,MATCH(O407,[1]物品基础表!$B:$B,0)),"")</f>
        <v>神装碎片</v>
      </c>
      <c r="Q407" s="76">
        <v>139</v>
      </c>
      <c r="S407" s="76" t="str">
        <f>IFERROR(INDEX([1]物品基础表!$A:$A,MATCH(R407,[1]物品基础表!$B:$B,0)),"")</f>
        <v/>
      </c>
    </row>
    <row r="408" spans="1:19">
      <c r="A408" s="39" t="str">
        <f>INDEX([2]活动总表!$A$8:$A$429,MATCH(B408,[2]活动总表!$B$8:$B$429,0))</f>
        <v>版本庆典-5日活跃</v>
      </c>
      <c r="B408" s="40">
        <v>1001</v>
      </c>
      <c r="C408" s="40">
        <v>48</v>
      </c>
      <c r="D408" s="40">
        <v>11</v>
      </c>
      <c r="E408" s="40">
        <v>22</v>
      </c>
      <c r="F408" s="40">
        <v>1</v>
      </c>
      <c r="G408" s="40">
        <v>1</v>
      </c>
      <c r="H408" s="40">
        <v>10</v>
      </c>
      <c r="I408" s="40"/>
      <c r="J408" s="40" t="s">
        <v>987</v>
      </c>
      <c r="K408" s="40"/>
      <c r="L408" s="76">
        <v>200342</v>
      </c>
      <c r="M408" s="76" t="str">
        <f>IFERROR(INDEX([1]物品基础表!$A:$A,MATCH(L408,[1]物品基础表!$B:$B,0)),"")</f>
        <v>龙抬头抽奖道具</v>
      </c>
      <c r="N408" s="76">
        <v>10</v>
      </c>
      <c r="O408" s="76">
        <v>200007</v>
      </c>
      <c r="P408" s="76" t="str">
        <f>IFERROR(INDEX([1]物品基础表!$A:$A,MATCH(O408,[1]物品基础表!$B:$B,0)),"")</f>
        <v>神装碎片</v>
      </c>
      <c r="Q408" s="76">
        <v>140</v>
      </c>
      <c r="S408" s="76" t="str">
        <f>IFERROR(INDEX([1]物品基础表!$A:$A,MATCH(R408,[1]物品基础表!$B:$B,0)),"")</f>
        <v/>
      </c>
    </row>
    <row r="409" spans="1:19">
      <c r="A409" s="39" t="str">
        <f>INDEX([2]活动总表!$A$8:$A$429,MATCH(B409,[2]活动总表!$B$8:$B$429,0))</f>
        <v>版本庆典-5日活跃</v>
      </c>
      <c r="B409" s="40">
        <v>1001</v>
      </c>
      <c r="C409" s="40">
        <v>49</v>
      </c>
      <c r="D409" s="40">
        <v>94</v>
      </c>
      <c r="E409" s="40">
        <v>4</v>
      </c>
      <c r="F409" s="40">
        <v>2</v>
      </c>
      <c r="G409" s="40">
        <v>2</v>
      </c>
      <c r="H409" s="40">
        <v>5</v>
      </c>
      <c r="I409" s="40"/>
      <c r="J409" s="40" t="s">
        <v>988</v>
      </c>
      <c r="K409" s="40"/>
      <c r="L409" s="76">
        <v>200342</v>
      </c>
      <c r="M409" s="76" t="str">
        <f>IFERROR(INDEX([1]物品基础表!$A:$A,MATCH(L409,[1]物品基础表!$B:$B,0)),"")</f>
        <v>龙抬头抽奖道具</v>
      </c>
      <c r="N409" s="76">
        <v>10</v>
      </c>
      <c r="O409" s="76">
        <v>200007</v>
      </c>
      <c r="P409" s="76" t="str">
        <f>IFERROR(INDEX([1]物品基础表!$A:$A,MATCH(O409,[1]物品基础表!$B:$B,0)),"")</f>
        <v>神装碎片</v>
      </c>
      <c r="Q409" s="76">
        <v>141</v>
      </c>
      <c r="S409" s="76" t="str">
        <f>IFERROR(INDEX([1]物品基础表!$A:$A,MATCH(R409,[1]物品基础表!$B:$B,0)),"")</f>
        <v/>
      </c>
    </row>
    <row r="410" spans="1:19">
      <c r="A410" s="39" t="str">
        <f>INDEX([2]活动总表!$A$8:$A$429,MATCH(B410,[2]活动总表!$B$8:$B$429,0))</f>
        <v>版本庆典-5日活跃</v>
      </c>
      <c r="B410" s="40">
        <v>1001</v>
      </c>
      <c r="C410" s="40">
        <v>50</v>
      </c>
      <c r="D410" s="40">
        <v>94</v>
      </c>
      <c r="E410" s="40">
        <v>4</v>
      </c>
      <c r="F410" s="40">
        <v>4</v>
      </c>
      <c r="G410" s="40">
        <v>4</v>
      </c>
      <c r="H410" s="40">
        <v>5</v>
      </c>
      <c r="I410" s="40"/>
      <c r="J410" s="40" t="s">
        <v>989</v>
      </c>
      <c r="K410" s="40"/>
      <c r="L410" s="76">
        <v>200342</v>
      </c>
      <c r="M410" s="76" t="str">
        <f>IFERROR(INDEX([1]物品基础表!$A:$A,MATCH(L410,[1]物品基础表!$B:$B,0)),"")</f>
        <v>龙抬头抽奖道具</v>
      </c>
      <c r="N410" s="76">
        <v>10</v>
      </c>
      <c r="O410" s="76">
        <v>200007</v>
      </c>
      <c r="P410" s="76" t="str">
        <f>IFERROR(INDEX([1]物品基础表!$A:$A,MATCH(O410,[1]物品基础表!$B:$B,0)),"")</f>
        <v>神装碎片</v>
      </c>
      <c r="Q410" s="76">
        <v>142</v>
      </c>
      <c r="S410" s="76" t="str">
        <f>IFERROR(INDEX([1]物品基础表!$A:$A,MATCH(R410,[1]物品基础表!$B:$B,0)),"")</f>
        <v/>
      </c>
    </row>
    <row r="411" spans="1:19">
      <c r="A411" s="39" t="str">
        <f>INDEX([2]活动总表!$A$8:$A$429,MATCH(B411,[2]活动总表!$B$8:$B$429,0))</f>
        <v>版本庆典-5日活跃</v>
      </c>
      <c r="B411" s="40">
        <v>1001</v>
      </c>
      <c r="C411" s="40">
        <v>51</v>
      </c>
      <c r="D411" s="40">
        <v>94</v>
      </c>
      <c r="E411" s="40">
        <v>4</v>
      </c>
      <c r="F411" s="40">
        <v>6</v>
      </c>
      <c r="G411" s="40">
        <v>6</v>
      </c>
      <c r="H411" s="40">
        <v>10</v>
      </c>
      <c r="I411" s="40"/>
      <c r="J411" s="40" t="s">
        <v>990</v>
      </c>
      <c r="K411" s="40"/>
      <c r="L411" s="76">
        <v>200342</v>
      </c>
      <c r="M411" s="76" t="str">
        <f>IFERROR(INDEX([1]物品基础表!$A:$A,MATCH(L411,[1]物品基础表!$B:$B,0)),"")</f>
        <v>龙抬头抽奖道具</v>
      </c>
      <c r="N411" s="76">
        <v>10</v>
      </c>
      <c r="O411" s="76">
        <v>200007</v>
      </c>
      <c r="P411" s="76" t="str">
        <f>IFERROR(INDEX([1]物品基础表!$A:$A,MATCH(O411,[1]物品基础表!$B:$B,0)),"")</f>
        <v>神装碎片</v>
      </c>
      <c r="Q411" s="76">
        <v>143</v>
      </c>
      <c r="S411" s="76" t="str">
        <f>IFERROR(INDEX([1]物品基础表!$A:$A,MATCH(R411,[1]物品基础表!$B:$B,0)),"")</f>
        <v/>
      </c>
    </row>
    <row r="412" spans="1:19">
      <c r="A412" s="39" t="str">
        <f>INDEX([2]活动总表!$A$8:$A$429,MATCH(B412,[2]活动总表!$B$8:$B$429,0))</f>
        <v>版本庆典-5日活跃</v>
      </c>
      <c r="B412" s="40">
        <v>1001</v>
      </c>
      <c r="C412" s="40">
        <v>52</v>
      </c>
      <c r="D412" s="40">
        <v>94</v>
      </c>
      <c r="E412" s="40">
        <v>4</v>
      </c>
      <c r="F412" s="40">
        <v>9</v>
      </c>
      <c r="G412" s="40">
        <v>9</v>
      </c>
      <c r="H412" s="40">
        <v>15</v>
      </c>
      <c r="I412" s="40"/>
      <c r="J412" s="40" t="s">
        <v>991</v>
      </c>
      <c r="K412" s="40"/>
      <c r="L412" s="76">
        <v>200342</v>
      </c>
      <c r="M412" s="76" t="str">
        <f>IFERROR(INDEX([1]物品基础表!$A:$A,MATCH(L412,[1]物品基础表!$B:$B,0)),"")</f>
        <v>龙抬头抽奖道具</v>
      </c>
      <c r="N412" s="76">
        <v>10</v>
      </c>
      <c r="O412" s="76">
        <v>200007</v>
      </c>
      <c r="P412" s="76" t="str">
        <f>IFERROR(INDEX([1]物品基础表!$A:$A,MATCH(O412,[1]物品基础表!$B:$B,0)),"")</f>
        <v>神装碎片</v>
      </c>
      <c r="Q412" s="76">
        <v>144</v>
      </c>
      <c r="S412" s="76" t="str">
        <f>IFERROR(INDEX([1]物品基础表!$A:$A,MATCH(R412,[1]物品基础表!$B:$B,0)),"")</f>
        <v/>
      </c>
    </row>
    <row r="413" spans="1:19">
      <c r="A413" s="39" t="str">
        <f>INDEX([2]活动总表!$A$8:$A$429,MATCH(B413,[2]活动总表!$B$8:$B$429,0))</f>
        <v>版本庆典-5日活跃</v>
      </c>
      <c r="B413" s="40">
        <v>1001</v>
      </c>
      <c r="C413" s="40">
        <v>53</v>
      </c>
      <c r="D413" s="40">
        <v>94</v>
      </c>
      <c r="E413" s="40">
        <v>4</v>
      </c>
      <c r="F413" s="40">
        <v>12</v>
      </c>
      <c r="G413" s="40">
        <v>12</v>
      </c>
      <c r="H413" s="40">
        <v>20</v>
      </c>
      <c r="I413" s="40"/>
      <c r="J413" s="40" t="s">
        <v>992</v>
      </c>
      <c r="K413" s="40"/>
      <c r="L413" s="76">
        <v>200342</v>
      </c>
      <c r="M413" s="76" t="str">
        <f>IFERROR(INDEX([1]物品基础表!$A:$A,MATCH(L413,[1]物品基础表!$B:$B,0)),"")</f>
        <v>龙抬头抽奖道具</v>
      </c>
      <c r="N413" s="76">
        <v>10</v>
      </c>
      <c r="O413" s="76">
        <v>200007</v>
      </c>
      <c r="P413" s="76" t="str">
        <f>IFERROR(INDEX([1]物品基础表!$A:$A,MATCH(O413,[1]物品基础表!$B:$B,0)),"")</f>
        <v>神装碎片</v>
      </c>
      <c r="Q413" s="76">
        <v>145</v>
      </c>
      <c r="S413" s="76" t="str">
        <f>IFERROR(INDEX([1]物品基础表!$A:$A,MATCH(R413,[1]物品基础表!$B:$B,0)),"")</f>
        <v/>
      </c>
    </row>
    <row r="414" spans="1:19">
      <c r="A414" s="39" t="str">
        <f>INDEX([2]活动总表!$A$8:$A$429,MATCH(B414,[2]活动总表!$B$8:$B$429,0))</f>
        <v>版本庆典-5日活跃</v>
      </c>
      <c r="B414" s="40">
        <v>1001</v>
      </c>
      <c r="C414" s="40">
        <v>54</v>
      </c>
      <c r="D414" s="40">
        <v>103</v>
      </c>
      <c r="E414" s="40" t="s">
        <v>919</v>
      </c>
      <c r="F414" s="40">
        <v>3888</v>
      </c>
      <c r="G414" s="40">
        <v>3888</v>
      </c>
      <c r="H414" s="40">
        <v>10</v>
      </c>
      <c r="I414" s="40"/>
      <c r="J414" s="40" t="s">
        <v>993</v>
      </c>
      <c r="K414" s="40"/>
      <c r="L414" s="76">
        <v>200342</v>
      </c>
      <c r="M414" s="76" t="str">
        <f>IFERROR(INDEX([1]物品基础表!$A:$A,MATCH(L414,[1]物品基础表!$B:$B,0)),"")</f>
        <v>龙抬头抽奖道具</v>
      </c>
      <c r="N414" s="76">
        <v>10</v>
      </c>
      <c r="O414" s="76">
        <v>200007</v>
      </c>
      <c r="P414" s="76" t="str">
        <f>IFERROR(INDEX([1]物品基础表!$A:$A,MATCH(O414,[1]物品基础表!$B:$B,0)),"")</f>
        <v>神装碎片</v>
      </c>
      <c r="Q414" s="76">
        <v>146</v>
      </c>
      <c r="S414" s="76" t="str">
        <f>IFERROR(INDEX([1]物品基础表!$A:$A,MATCH(R414,[1]物品基础表!$B:$B,0)),"")</f>
        <v/>
      </c>
    </row>
    <row r="415" spans="1:19">
      <c r="A415" s="39" t="str">
        <f>INDEX([2]活动总表!$A$8:$A$429,MATCH(B415,[2]活动总表!$B$8:$B$429,0))</f>
        <v>版本庆典-5日活跃</v>
      </c>
      <c r="B415" s="40">
        <v>1001</v>
      </c>
      <c r="C415" s="40">
        <v>55</v>
      </c>
      <c r="D415" s="40">
        <v>103</v>
      </c>
      <c r="E415" s="40" t="s">
        <v>919</v>
      </c>
      <c r="F415" s="40">
        <v>6888</v>
      </c>
      <c r="G415" s="40">
        <v>6888</v>
      </c>
      <c r="H415" s="40">
        <v>10</v>
      </c>
      <c r="I415" s="40"/>
      <c r="J415" s="40" t="s">
        <v>994</v>
      </c>
      <c r="K415" s="40"/>
      <c r="L415" s="76">
        <v>200342</v>
      </c>
      <c r="M415" s="76" t="str">
        <f>IFERROR(INDEX([1]物品基础表!$A:$A,MATCH(L415,[1]物品基础表!$B:$B,0)),"")</f>
        <v>龙抬头抽奖道具</v>
      </c>
      <c r="N415" s="76">
        <v>10</v>
      </c>
      <c r="O415" s="76">
        <v>200007</v>
      </c>
      <c r="P415" s="76" t="str">
        <f>IFERROR(INDEX([1]物品基础表!$A:$A,MATCH(O415,[1]物品基础表!$B:$B,0)),"")</f>
        <v>神装碎片</v>
      </c>
      <c r="Q415" s="76">
        <v>147</v>
      </c>
      <c r="S415" s="76" t="str">
        <f>IFERROR(INDEX([1]物品基础表!$A:$A,MATCH(R415,[1]物品基础表!$B:$B,0)),"")</f>
        <v/>
      </c>
    </row>
    <row r="416" spans="1:19">
      <c r="A416" s="39" t="str">
        <f>INDEX([2]活动总表!$A$8:$A$429,MATCH(B416,[2]活动总表!$B$8:$B$429,0))</f>
        <v>版本庆典-5日活跃</v>
      </c>
      <c r="B416" s="40">
        <v>1001</v>
      </c>
      <c r="C416" s="40">
        <v>56</v>
      </c>
      <c r="D416" s="40">
        <v>103</v>
      </c>
      <c r="E416" s="40" t="s">
        <v>919</v>
      </c>
      <c r="F416" s="40">
        <v>9888</v>
      </c>
      <c r="G416" s="40">
        <v>9888</v>
      </c>
      <c r="H416" s="40">
        <v>10</v>
      </c>
      <c r="I416" s="40"/>
      <c r="J416" s="40" t="s">
        <v>995</v>
      </c>
      <c r="K416" s="40"/>
      <c r="L416" s="76">
        <v>200342</v>
      </c>
      <c r="M416" s="76" t="str">
        <f>IFERROR(INDEX([1]物品基础表!$A:$A,MATCH(L416,[1]物品基础表!$B:$B,0)),"")</f>
        <v>龙抬头抽奖道具</v>
      </c>
      <c r="N416" s="76">
        <v>10</v>
      </c>
      <c r="O416" s="76">
        <v>200007</v>
      </c>
      <c r="P416" s="76" t="str">
        <f>IFERROR(INDEX([1]物品基础表!$A:$A,MATCH(O416,[1]物品基础表!$B:$B,0)),"")</f>
        <v>神装碎片</v>
      </c>
      <c r="Q416" s="76">
        <v>148</v>
      </c>
      <c r="S416" s="76" t="str">
        <f>IFERROR(INDEX([1]物品基础表!$A:$A,MATCH(R416,[1]物品基础表!$B:$B,0)),"")</f>
        <v/>
      </c>
    </row>
    <row r="417" spans="1:19">
      <c r="A417" s="39" t="str">
        <f>INDEX([2]活动总表!$A$8:$A$429,MATCH(B417,[2]活动总表!$B$8:$B$429,0))</f>
        <v>版本庆典-5日活跃</v>
      </c>
      <c r="B417" s="40">
        <v>1001</v>
      </c>
      <c r="C417" s="40">
        <v>57</v>
      </c>
      <c r="D417" s="40">
        <v>103</v>
      </c>
      <c r="E417" s="40" t="s">
        <v>919</v>
      </c>
      <c r="F417" s="40">
        <v>16888</v>
      </c>
      <c r="G417" s="40">
        <v>16888</v>
      </c>
      <c r="H417" s="40">
        <v>20</v>
      </c>
      <c r="I417" s="40"/>
      <c r="J417" s="40" t="s">
        <v>996</v>
      </c>
      <c r="K417" s="40"/>
      <c r="L417" s="76">
        <v>200342</v>
      </c>
      <c r="M417" s="76" t="str">
        <f>IFERROR(INDEX([1]物品基础表!$A:$A,MATCH(L417,[1]物品基础表!$B:$B,0)),"")</f>
        <v>龙抬头抽奖道具</v>
      </c>
      <c r="N417" s="76">
        <v>10</v>
      </c>
      <c r="O417" s="76">
        <v>200007</v>
      </c>
      <c r="P417" s="76" t="str">
        <f>IFERROR(INDEX([1]物品基础表!$A:$A,MATCH(O417,[1]物品基础表!$B:$B,0)),"")</f>
        <v>神装碎片</v>
      </c>
      <c r="Q417" s="76">
        <v>149</v>
      </c>
      <c r="S417" s="76" t="str">
        <f>IFERROR(INDEX([1]物品基础表!$A:$A,MATCH(R417,[1]物品基础表!$B:$B,0)),"")</f>
        <v/>
      </c>
    </row>
    <row r="418" spans="1:19">
      <c r="A418" s="39" t="str">
        <f>INDEX([2]活动总表!$A$8:$A$429,MATCH(B418,[2]活动总表!$B$8:$B$429,0))</f>
        <v>版本庆典-5日活跃</v>
      </c>
      <c r="B418" s="40">
        <v>1001</v>
      </c>
      <c r="C418" s="40">
        <v>58</v>
      </c>
      <c r="D418" s="40">
        <v>103</v>
      </c>
      <c r="E418" s="40" t="s">
        <v>919</v>
      </c>
      <c r="F418" s="40">
        <v>26888</v>
      </c>
      <c r="G418" s="40">
        <v>26888</v>
      </c>
      <c r="H418" s="40">
        <v>30</v>
      </c>
      <c r="I418" s="40"/>
      <c r="J418" s="40" t="s">
        <v>997</v>
      </c>
      <c r="K418" s="40"/>
      <c r="L418" s="76">
        <v>200342</v>
      </c>
      <c r="M418" s="76" t="str">
        <f>IFERROR(INDEX([1]物品基础表!$A:$A,MATCH(L418,[1]物品基础表!$B:$B,0)),"")</f>
        <v>龙抬头抽奖道具</v>
      </c>
      <c r="N418" s="76">
        <v>10</v>
      </c>
      <c r="O418" s="76">
        <v>200007</v>
      </c>
      <c r="P418" s="76" t="str">
        <f>IFERROR(INDEX([1]物品基础表!$A:$A,MATCH(O418,[1]物品基础表!$B:$B,0)),"")</f>
        <v>神装碎片</v>
      </c>
      <c r="Q418" s="76">
        <v>150</v>
      </c>
      <c r="S418" s="76" t="str">
        <f>IFERROR(INDEX([1]物品基础表!$A:$A,MATCH(R418,[1]物品基础表!$B:$B,0)),"")</f>
        <v/>
      </c>
    </row>
    <row r="419" spans="1:19">
      <c r="A419" s="39" t="str">
        <f>INDEX([2]活动总表!$A$8:$A$429,MATCH(B419,[2]活动总表!$B$8:$B$429,0))</f>
        <v>版本庆典-5日活跃</v>
      </c>
      <c r="B419" s="40">
        <v>1001</v>
      </c>
      <c r="C419" s="40">
        <v>59</v>
      </c>
      <c r="D419" s="40">
        <v>103</v>
      </c>
      <c r="E419" s="40" t="s">
        <v>919</v>
      </c>
      <c r="F419" s="40">
        <v>38888</v>
      </c>
      <c r="G419" s="40">
        <v>38888</v>
      </c>
      <c r="H419" s="40">
        <v>40</v>
      </c>
      <c r="I419" s="40"/>
      <c r="J419" s="40" t="s">
        <v>998</v>
      </c>
      <c r="K419" s="40"/>
      <c r="L419" s="76">
        <v>200342</v>
      </c>
      <c r="M419" s="76" t="str">
        <f>IFERROR(INDEX([1]物品基础表!$A:$A,MATCH(L419,[1]物品基础表!$B:$B,0)),"")</f>
        <v>龙抬头抽奖道具</v>
      </c>
      <c r="N419" s="76">
        <v>10</v>
      </c>
      <c r="O419" s="76">
        <v>200007</v>
      </c>
      <c r="P419" s="76" t="str">
        <f>IFERROR(INDEX([1]物品基础表!$A:$A,MATCH(O419,[1]物品基础表!$B:$B,0)),"")</f>
        <v>神装碎片</v>
      </c>
      <c r="Q419" s="76">
        <v>151</v>
      </c>
      <c r="S419" s="76" t="str">
        <f>IFERROR(INDEX([1]物品基础表!$A:$A,MATCH(R419,[1]物品基础表!$B:$B,0)),"")</f>
        <v/>
      </c>
    </row>
    <row r="420" spans="1:19">
      <c r="A420" s="39" t="str">
        <f>INDEX([2]活动总表!$A$8:$A$429,MATCH(B420,[2]活动总表!$B$8:$B$429,0))</f>
        <v>版本庆典-5日活跃</v>
      </c>
      <c r="B420" s="40">
        <v>1001</v>
      </c>
      <c r="C420" s="40">
        <v>60</v>
      </c>
      <c r="D420" s="40">
        <v>103</v>
      </c>
      <c r="E420" s="40" t="s">
        <v>919</v>
      </c>
      <c r="F420" s="40">
        <v>58888</v>
      </c>
      <c r="G420" s="40">
        <v>58888</v>
      </c>
      <c r="H420" s="40">
        <v>60</v>
      </c>
      <c r="I420" s="40"/>
      <c r="J420" s="40" t="s">
        <v>999</v>
      </c>
      <c r="K420" s="40"/>
      <c r="L420" s="76">
        <v>200342</v>
      </c>
      <c r="M420" s="76" t="str">
        <f>IFERROR(INDEX([1]物品基础表!$A:$A,MATCH(L420,[1]物品基础表!$B:$B,0)),"")</f>
        <v>龙抬头抽奖道具</v>
      </c>
      <c r="N420" s="76">
        <v>10</v>
      </c>
      <c r="O420" s="76">
        <v>200007</v>
      </c>
      <c r="P420" s="76" t="str">
        <f>IFERROR(INDEX([1]物品基础表!$A:$A,MATCH(O420,[1]物品基础表!$B:$B,0)),"")</f>
        <v>神装碎片</v>
      </c>
      <c r="Q420" s="76">
        <v>152</v>
      </c>
      <c r="S420" s="76" t="str">
        <f>IFERROR(INDEX([1]物品基础表!$A:$A,MATCH(R420,[1]物品基础表!$B:$B,0)),"")</f>
        <v/>
      </c>
    </row>
    <row r="421" spans="1:19">
      <c r="A421" s="39" t="str">
        <f>INDEX([2]活动总表!$A$8:$A$429,MATCH(B421,[2]活动总表!$B$8:$B$429,0))</f>
        <v>版本庆典-5日活跃</v>
      </c>
      <c r="B421" s="40">
        <v>1001</v>
      </c>
      <c r="C421" s="40">
        <v>61</v>
      </c>
      <c r="D421" s="40">
        <v>33</v>
      </c>
      <c r="E421" s="40">
        <v>200060</v>
      </c>
      <c r="F421" s="40">
        <v>60</v>
      </c>
      <c r="G421" s="40">
        <v>60</v>
      </c>
      <c r="H421" s="40">
        <v>5</v>
      </c>
      <c r="I421" s="40"/>
      <c r="J421" s="40" t="s">
        <v>1000</v>
      </c>
      <c r="K421" s="40"/>
      <c r="L421" s="76">
        <v>200342</v>
      </c>
      <c r="M421" s="76" t="str">
        <f>IFERROR(INDEX([1]物品基础表!$A:$A,MATCH(L421,[1]物品基础表!$B:$B,0)),"")</f>
        <v>龙抬头抽奖道具</v>
      </c>
      <c r="N421" s="76">
        <v>10</v>
      </c>
      <c r="O421" s="76">
        <v>200007</v>
      </c>
      <c r="P421" s="76" t="str">
        <f>IFERROR(INDEX([1]物品基础表!$A:$A,MATCH(O421,[1]物品基础表!$B:$B,0)),"")</f>
        <v>神装碎片</v>
      </c>
      <c r="Q421" s="76">
        <v>153</v>
      </c>
      <c r="S421" s="76" t="str">
        <f>IFERROR(INDEX([1]物品基础表!$A:$A,MATCH(R421,[1]物品基础表!$B:$B,0)),"")</f>
        <v/>
      </c>
    </row>
    <row r="422" spans="1:19">
      <c r="A422" s="39" t="str">
        <f>INDEX([2]活动总表!$A$8:$A$429,MATCH(B422,[2]活动总表!$B$8:$B$429,0))</f>
        <v>版本庆典-5日活跃</v>
      </c>
      <c r="B422" s="40">
        <v>1001</v>
      </c>
      <c r="C422" s="40">
        <v>62</v>
      </c>
      <c r="D422" s="40">
        <v>33</v>
      </c>
      <c r="E422" s="40">
        <v>200060</v>
      </c>
      <c r="F422" s="40">
        <v>120</v>
      </c>
      <c r="G422" s="40">
        <v>120</v>
      </c>
      <c r="H422" s="40">
        <v>5</v>
      </c>
      <c r="I422" s="40"/>
      <c r="J422" s="40" t="s">
        <v>1001</v>
      </c>
      <c r="K422" s="40"/>
      <c r="L422" s="76">
        <v>200342</v>
      </c>
      <c r="M422" s="76" t="str">
        <f>IFERROR(INDEX([1]物品基础表!$A:$A,MATCH(L422,[1]物品基础表!$B:$B,0)),"")</f>
        <v>龙抬头抽奖道具</v>
      </c>
      <c r="N422" s="76">
        <v>10</v>
      </c>
      <c r="O422" s="76">
        <v>200007</v>
      </c>
      <c r="P422" s="76" t="str">
        <f>IFERROR(INDEX([1]物品基础表!$A:$A,MATCH(O422,[1]物品基础表!$B:$B,0)),"")</f>
        <v>神装碎片</v>
      </c>
      <c r="Q422" s="76">
        <v>154</v>
      </c>
      <c r="S422" s="76" t="str">
        <f>IFERROR(INDEX([1]物品基础表!$A:$A,MATCH(R422,[1]物品基础表!$B:$B,0)),"")</f>
        <v/>
      </c>
    </row>
    <row r="423" spans="1:19">
      <c r="A423" s="39" t="str">
        <f>INDEX([2]活动总表!$A$8:$A$429,MATCH(B423,[2]活动总表!$B$8:$B$429,0))</f>
        <v>版本庆典-5日活跃</v>
      </c>
      <c r="B423" s="40">
        <v>1001</v>
      </c>
      <c r="C423" s="40">
        <v>63</v>
      </c>
      <c r="D423" s="40">
        <v>33</v>
      </c>
      <c r="E423" s="40">
        <v>200060</v>
      </c>
      <c r="F423" s="40">
        <v>180</v>
      </c>
      <c r="G423" s="40">
        <v>180</v>
      </c>
      <c r="H423" s="40">
        <v>10</v>
      </c>
      <c r="I423" s="40"/>
      <c r="J423" s="40" t="s">
        <v>1002</v>
      </c>
      <c r="K423" s="40"/>
      <c r="L423" s="76">
        <v>200342</v>
      </c>
      <c r="M423" s="76" t="str">
        <f>IFERROR(INDEX([1]物品基础表!$A:$A,MATCH(L423,[1]物品基础表!$B:$B,0)),"")</f>
        <v>龙抬头抽奖道具</v>
      </c>
      <c r="N423" s="76">
        <v>10</v>
      </c>
      <c r="O423" s="76">
        <v>200007</v>
      </c>
      <c r="P423" s="76" t="str">
        <f>IFERROR(INDEX([1]物品基础表!$A:$A,MATCH(O423,[1]物品基础表!$B:$B,0)),"")</f>
        <v>神装碎片</v>
      </c>
      <c r="Q423" s="76">
        <v>155</v>
      </c>
      <c r="S423" s="76" t="str">
        <f>IFERROR(INDEX([1]物品基础表!$A:$A,MATCH(R423,[1]物品基础表!$B:$B,0)),"")</f>
        <v/>
      </c>
    </row>
    <row r="424" spans="1:19">
      <c r="A424" s="39" t="str">
        <f>INDEX([2]活动总表!$A$8:$A$429,MATCH(B424,[2]活动总表!$B$8:$B$429,0))</f>
        <v>版本庆典-5日活跃</v>
      </c>
      <c r="B424" s="40">
        <v>1001</v>
      </c>
      <c r="C424" s="40">
        <v>64</v>
      </c>
      <c r="D424" s="40">
        <v>32</v>
      </c>
      <c r="E424" s="40" t="s">
        <v>919</v>
      </c>
      <c r="F424" s="40">
        <v>10</v>
      </c>
      <c r="G424" s="40">
        <v>10</v>
      </c>
      <c r="H424" s="40">
        <v>5</v>
      </c>
      <c r="I424" s="40"/>
      <c r="J424" s="40" t="s">
        <v>1003</v>
      </c>
      <c r="K424" s="40"/>
      <c r="L424" s="76">
        <v>200342</v>
      </c>
      <c r="M424" s="76" t="str">
        <f>IFERROR(INDEX([1]物品基础表!$A:$A,MATCH(L424,[1]物品基础表!$B:$B,0)),"")</f>
        <v>龙抬头抽奖道具</v>
      </c>
      <c r="N424" s="76">
        <v>10</v>
      </c>
      <c r="O424" s="76">
        <v>200007</v>
      </c>
      <c r="P424" s="76" t="str">
        <f>IFERROR(INDEX([1]物品基础表!$A:$A,MATCH(O424,[1]物品基础表!$B:$B,0)),"")</f>
        <v>神装碎片</v>
      </c>
      <c r="Q424" s="76">
        <v>156</v>
      </c>
      <c r="S424" s="76" t="str">
        <f>IFERROR(INDEX([1]物品基础表!$A:$A,MATCH(R424,[1]物品基础表!$B:$B,0)),"")</f>
        <v/>
      </c>
    </row>
    <row r="425" spans="1:19">
      <c r="A425" s="39" t="str">
        <f>INDEX([2]活动总表!$A$8:$A$429,MATCH(B425,[2]活动总表!$B$8:$B$429,0))</f>
        <v>版本庆典-5日活跃</v>
      </c>
      <c r="B425" s="40">
        <v>1001</v>
      </c>
      <c r="C425" s="40">
        <v>65</v>
      </c>
      <c r="D425" s="40">
        <v>32</v>
      </c>
      <c r="E425" s="40" t="s">
        <v>919</v>
      </c>
      <c r="F425" s="40">
        <v>20</v>
      </c>
      <c r="G425" s="40">
        <v>20</v>
      </c>
      <c r="H425" s="40">
        <v>5</v>
      </c>
      <c r="I425" s="40"/>
      <c r="J425" s="40" t="s">
        <v>1004</v>
      </c>
      <c r="K425" s="40"/>
      <c r="L425" s="76">
        <v>200342</v>
      </c>
      <c r="M425" s="76" t="str">
        <f>IFERROR(INDEX([1]物品基础表!$A:$A,MATCH(L425,[1]物品基础表!$B:$B,0)),"")</f>
        <v>龙抬头抽奖道具</v>
      </c>
      <c r="N425" s="76">
        <v>10</v>
      </c>
      <c r="O425" s="76">
        <v>200007</v>
      </c>
      <c r="P425" s="76" t="str">
        <f>IFERROR(INDEX([1]物品基础表!$A:$A,MATCH(O425,[1]物品基础表!$B:$B,0)),"")</f>
        <v>神装碎片</v>
      </c>
      <c r="Q425" s="76">
        <v>157</v>
      </c>
      <c r="S425" s="76" t="str">
        <f>IFERROR(INDEX([1]物品基础表!$A:$A,MATCH(R425,[1]物品基础表!$B:$B,0)),"")</f>
        <v/>
      </c>
    </row>
    <row r="426" spans="1:19">
      <c r="A426" s="39" t="str">
        <f>INDEX([2]活动总表!$A$8:$A$429,MATCH(B426,[2]活动总表!$B$8:$B$429,0))</f>
        <v>版本庆典-5日活跃</v>
      </c>
      <c r="B426" s="40">
        <v>1001</v>
      </c>
      <c r="C426" s="40">
        <v>66</v>
      </c>
      <c r="D426" s="40">
        <v>32</v>
      </c>
      <c r="E426" s="40" t="s">
        <v>919</v>
      </c>
      <c r="F426" s="40">
        <v>30</v>
      </c>
      <c r="G426" s="40">
        <v>30</v>
      </c>
      <c r="H426" s="40">
        <v>5</v>
      </c>
      <c r="I426" s="40"/>
      <c r="J426" s="40" t="s">
        <v>1005</v>
      </c>
      <c r="K426" s="40"/>
      <c r="L426" s="76">
        <v>200342</v>
      </c>
      <c r="M426" s="76" t="str">
        <f>IFERROR(INDEX([1]物品基础表!$A:$A,MATCH(L426,[1]物品基础表!$B:$B,0)),"")</f>
        <v>龙抬头抽奖道具</v>
      </c>
      <c r="N426" s="76">
        <v>10</v>
      </c>
      <c r="O426" s="76">
        <v>200007</v>
      </c>
      <c r="P426" s="76" t="str">
        <f>IFERROR(INDEX([1]物品基础表!$A:$A,MATCH(O426,[1]物品基础表!$B:$B,0)),"")</f>
        <v>神装碎片</v>
      </c>
      <c r="Q426" s="76">
        <v>158</v>
      </c>
      <c r="S426" s="76" t="str">
        <f>IFERROR(INDEX([1]物品基础表!$A:$A,MATCH(R426,[1]物品基础表!$B:$B,0)),"")</f>
        <v/>
      </c>
    </row>
    <row r="427" spans="1:19">
      <c r="A427" s="39" t="str">
        <f>INDEX([2]活动总表!$A$8:$A$429,MATCH(B427,[2]活动总表!$B$8:$B$429,0))</f>
        <v>版本庆典-5日活跃</v>
      </c>
      <c r="B427" s="40">
        <v>1001</v>
      </c>
      <c r="C427" s="40">
        <v>67</v>
      </c>
      <c r="D427" s="40">
        <v>32</v>
      </c>
      <c r="E427" s="40" t="s">
        <v>919</v>
      </c>
      <c r="F427" s="40">
        <v>40</v>
      </c>
      <c r="G427" s="40">
        <v>40</v>
      </c>
      <c r="H427" s="40">
        <v>5</v>
      </c>
      <c r="I427" s="40"/>
      <c r="J427" s="40" t="s">
        <v>1006</v>
      </c>
      <c r="K427" s="40"/>
      <c r="L427" s="76">
        <v>200342</v>
      </c>
      <c r="M427" s="76" t="str">
        <f>IFERROR(INDEX([1]物品基础表!$A:$A,MATCH(L427,[1]物品基础表!$B:$B,0)),"")</f>
        <v>龙抬头抽奖道具</v>
      </c>
      <c r="N427" s="76">
        <v>10</v>
      </c>
      <c r="O427" s="76">
        <v>200007</v>
      </c>
      <c r="P427" s="76" t="str">
        <f>IFERROR(INDEX([1]物品基础表!$A:$A,MATCH(O427,[1]物品基础表!$B:$B,0)),"")</f>
        <v>神装碎片</v>
      </c>
      <c r="Q427" s="76">
        <v>159</v>
      </c>
      <c r="S427" s="76" t="str">
        <f>IFERROR(INDEX([1]物品基础表!$A:$A,MATCH(R427,[1]物品基础表!$B:$B,0)),"")</f>
        <v/>
      </c>
    </row>
    <row r="428" spans="1:19">
      <c r="A428" s="39" t="str">
        <f>INDEX([2]活动总表!$A$8:$A$429,MATCH(B428,[2]活动总表!$B$8:$B$429,0))</f>
        <v>版本庆典-5日活跃</v>
      </c>
      <c r="B428" s="40">
        <v>1001</v>
      </c>
      <c r="C428" s="40">
        <v>68</v>
      </c>
      <c r="D428" s="40">
        <v>105</v>
      </c>
      <c r="E428" s="40" t="s">
        <v>919</v>
      </c>
      <c r="F428" s="40">
        <v>1</v>
      </c>
      <c r="G428" s="40">
        <v>1</v>
      </c>
      <c r="H428" s="40">
        <v>5</v>
      </c>
      <c r="I428" s="40"/>
      <c r="J428" s="40" t="s">
        <v>1007</v>
      </c>
      <c r="K428" s="40"/>
      <c r="L428" s="76">
        <v>200342</v>
      </c>
      <c r="M428" s="76" t="str">
        <f>IFERROR(INDEX([1]物品基础表!$A:$A,MATCH(L428,[1]物品基础表!$B:$B,0)),"")</f>
        <v>龙抬头抽奖道具</v>
      </c>
      <c r="N428" s="76">
        <v>10</v>
      </c>
      <c r="O428" s="76">
        <v>200007</v>
      </c>
      <c r="P428" s="76" t="str">
        <f>IFERROR(INDEX([1]物品基础表!$A:$A,MATCH(O428,[1]物品基础表!$B:$B,0)),"")</f>
        <v>神装碎片</v>
      </c>
      <c r="Q428" s="76">
        <v>160</v>
      </c>
      <c r="S428" s="76" t="str">
        <f>IFERROR(INDEX([1]物品基础表!$A:$A,MATCH(R428,[1]物品基础表!$B:$B,0)),"")</f>
        <v/>
      </c>
    </row>
    <row r="429" spans="1:19">
      <c r="A429" s="39" t="str">
        <f>INDEX([2]活动总表!$A$8:$A$429,MATCH(B429,[2]活动总表!$B$8:$B$429,0))</f>
        <v>版本庆典-5日活跃</v>
      </c>
      <c r="B429" s="40">
        <v>1001</v>
      </c>
      <c r="C429" s="40">
        <v>69</v>
      </c>
      <c r="D429" s="40">
        <v>105</v>
      </c>
      <c r="E429" s="40" t="s">
        <v>919</v>
      </c>
      <c r="F429" s="40">
        <v>3</v>
      </c>
      <c r="G429" s="40">
        <v>3</v>
      </c>
      <c r="H429" s="40">
        <v>5</v>
      </c>
      <c r="I429" s="40"/>
      <c r="J429" s="40" t="s">
        <v>1008</v>
      </c>
      <c r="K429" s="40"/>
      <c r="L429" s="76">
        <v>200342</v>
      </c>
      <c r="M429" s="76" t="str">
        <f>IFERROR(INDEX([1]物品基础表!$A:$A,MATCH(L429,[1]物品基础表!$B:$B,0)),"")</f>
        <v>龙抬头抽奖道具</v>
      </c>
      <c r="N429" s="76">
        <v>10</v>
      </c>
      <c r="O429" s="76">
        <v>200007</v>
      </c>
      <c r="P429" s="76" t="str">
        <f>IFERROR(INDEX([1]物品基础表!$A:$A,MATCH(O429,[1]物品基础表!$B:$B,0)),"")</f>
        <v>神装碎片</v>
      </c>
      <c r="Q429" s="76">
        <v>161</v>
      </c>
      <c r="S429" s="76" t="str">
        <f>IFERROR(INDEX([1]物品基础表!$A:$A,MATCH(R429,[1]物品基础表!$B:$B,0)),"")</f>
        <v/>
      </c>
    </row>
    <row r="430" spans="1:19">
      <c r="A430" s="39" t="str">
        <f>INDEX([2]活动总表!$A$8:$A$429,MATCH(B430,[2]活动总表!$B$8:$B$429,0))</f>
        <v>版本庆典-5日活跃</v>
      </c>
      <c r="B430" s="40">
        <v>1001</v>
      </c>
      <c r="C430" s="40">
        <v>70</v>
      </c>
      <c r="D430" s="40">
        <v>105</v>
      </c>
      <c r="E430" s="40" t="s">
        <v>919</v>
      </c>
      <c r="F430" s="40">
        <v>6</v>
      </c>
      <c r="G430" s="40">
        <v>6</v>
      </c>
      <c r="H430" s="40">
        <v>10</v>
      </c>
      <c r="I430" s="40"/>
      <c r="J430" s="40" t="s">
        <v>1009</v>
      </c>
      <c r="K430" s="40"/>
      <c r="L430" s="76">
        <v>200342</v>
      </c>
      <c r="M430" s="76" t="str">
        <f>IFERROR(INDEX([1]物品基础表!$A:$A,MATCH(L430,[1]物品基础表!$B:$B,0)),"")</f>
        <v>龙抬头抽奖道具</v>
      </c>
      <c r="N430" s="76">
        <v>10</v>
      </c>
      <c r="O430" s="76">
        <v>200007</v>
      </c>
      <c r="P430" s="76" t="str">
        <f>IFERROR(INDEX([1]物品基础表!$A:$A,MATCH(O430,[1]物品基础表!$B:$B,0)),"")</f>
        <v>神装碎片</v>
      </c>
      <c r="Q430" s="76">
        <v>162</v>
      </c>
      <c r="S430" s="76" t="str">
        <f>IFERROR(INDEX([1]物品基础表!$A:$A,MATCH(R430,[1]物品基础表!$B:$B,0)),"")</f>
        <v/>
      </c>
    </row>
    <row r="431" spans="1:19">
      <c r="A431" s="39" t="str">
        <f>INDEX([2]活动总表!$A$8:$A$429,MATCH(B431,[2]活动总表!$B$8:$B$429,0))</f>
        <v>版本庆典-5日活跃</v>
      </c>
      <c r="B431" s="40">
        <v>1001</v>
      </c>
      <c r="C431" s="40">
        <v>71</v>
      </c>
      <c r="D431" s="40">
        <v>105</v>
      </c>
      <c r="E431" s="40" t="s">
        <v>919</v>
      </c>
      <c r="F431" s="40">
        <v>12</v>
      </c>
      <c r="G431" s="40">
        <v>12</v>
      </c>
      <c r="H431" s="40">
        <v>10</v>
      </c>
      <c r="I431" s="40"/>
      <c r="J431" s="40" t="s">
        <v>1010</v>
      </c>
      <c r="K431" s="40"/>
      <c r="L431" s="76">
        <v>200342</v>
      </c>
      <c r="M431" s="76" t="str">
        <f>IFERROR(INDEX([1]物品基础表!$A:$A,MATCH(L431,[1]物品基础表!$B:$B,0)),"")</f>
        <v>龙抬头抽奖道具</v>
      </c>
      <c r="N431" s="76">
        <v>10</v>
      </c>
      <c r="O431" s="76">
        <v>200007</v>
      </c>
      <c r="P431" s="76" t="str">
        <f>IFERROR(INDEX([1]物品基础表!$A:$A,MATCH(O431,[1]物品基础表!$B:$B,0)),"")</f>
        <v>神装碎片</v>
      </c>
      <c r="Q431" s="76">
        <v>163</v>
      </c>
      <c r="S431" s="76" t="str">
        <f>IFERROR(INDEX([1]物品基础表!$A:$A,MATCH(R431,[1]物品基础表!$B:$B,0)),"")</f>
        <v/>
      </c>
    </row>
    <row r="432" spans="1:19">
      <c r="A432" s="39" t="str">
        <f>INDEX([2]活动总表!$A$8:$A$429,MATCH(B432,[2]活动总表!$B$8:$B$429,0))</f>
        <v>版本庆典-5日活跃</v>
      </c>
      <c r="B432" s="40">
        <v>1001</v>
      </c>
      <c r="C432" s="40">
        <v>72</v>
      </c>
      <c r="D432" s="40">
        <v>105</v>
      </c>
      <c r="E432" s="40" t="s">
        <v>919</v>
      </c>
      <c r="F432" s="40">
        <v>18</v>
      </c>
      <c r="G432" s="40">
        <v>18</v>
      </c>
      <c r="H432" s="40">
        <v>20</v>
      </c>
      <c r="I432" s="40"/>
      <c r="J432" s="40" t="s">
        <v>1011</v>
      </c>
      <c r="K432" s="40"/>
      <c r="L432" s="76">
        <v>200342</v>
      </c>
      <c r="M432" s="76" t="str">
        <f>IFERROR(INDEX([1]物品基础表!$A:$A,MATCH(L432,[1]物品基础表!$B:$B,0)),"")</f>
        <v>龙抬头抽奖道具</v>
      </c>
      <c r="N432" s="76">
        <v>10</v>
      </c>
      <c r="O432" s="76">
        <v>200007</v>
      </c>
      <c r="P432" s="76" t="str">
        <f>IFERROR(INDEX([1]物品基础表!$A:$A,MATCH(O432,[1]物品基础表!$B:$B,0)),"")</f>
        <v>神装碎片</v>
      </c>
      <c r="Q432" s="76">
        <v>164</v>
      </c>
      <c r="S432" s="76" t="str">
        <f>IFERROR(INDEX([1]物品基础表!$A:$A,MATCH(R432,[1]物品基础表!$B:$B,0)),"")</f>
        <v/>
      </c>
    </row>
    <row r="433" spans="1:19">
      <c r="A433" s="39" t="str">
        <f>INDEX([2]活动总表!$A$8:$A$429,MATCH(B433,[2]活动总表!$B$8:$B$429,0))</f>
        <v>版本庆典-5日活跃</v>
      </c>
      <c r="B433" s="40">
        <v>1001</v>
      </c>
      <c r="C433" s="40">
        <v>73</v>
      </c>
      <c r="D433" s="40">
        <v>105</v>
      </c>
      <c r="E433" s="40" t="s">
        <v>919</v>
      </c>
      <c r="F433" s="40">
        <v>24</v>
      </c>
      <c r="G433" s="40">
        <v>24</v>
      </c>
      <c r="H433" s="40">
        <v>20</v>
      </c>
      <c r="I433" s="40"/>
      <c r="J433" s="40" t="s">
        <v>1012</v>
      </c>
      <c r="K433" s="40"/>
      <c r="L433" s="76">
        <v>200342</v>
      </c>
      <c r="M433" s="76" t="str">
        <f>IFERROR(INDEX([1]物品基础表!$A:$A,MATCH(L433,[1]物品基础表!$B:$B,0)),"")</f>
        <v>龙抬头抽奖道具</v>
      </c>
      <c r="N433" s="76">
        <v>10</v>
      </c>
      <c r="O433" s="76">
        <v>200007</v>
      </c>
      <c r="P433" s="76" t="str">
        <f>IFERROR(INDEX([1]物品基础表!$A:$A,MATCH(O433,[1]物品基础表!$B:$B,0)),"")</f>
        <v>神装碎片</v>
      </c>
      <c r="Q433" s="76">
        <v>165</v>
      </c>
      <c r="S433" s="76" t="str">
        <f>IFERROR(INDEX([1]物品基础表!$A:$A,MATCH(R433,[1]物品基础表!$B:$B,0)),"")</f>
        <v/>
      </c>
    </row>
    <row r="434" spans="1:19">
      <c r="A434" s="39" t="str">
        <f>INDEX([2]活动总表!$A$8:$A$429,MATCH(B434,[2]活动总表!$B$8:$B$429,0))</f>
        <v>版本庆典-5日活跃</v>
      </c>
      <c r="B434" s="40">
        <v>1001</v>
      </c>
      <c r="C434" s="40">
        <v>74</v>
      </c>
      <c r="D434" s="40">
        <v>11</v>
      </c>
      <c r="E434" s="40">
        <v>15</v>
      </c>
      <c r="F434" s="40">
        <v>1</v>
      </c>
      <c r="G434" s="40">
        <v>1</v>
      </c>
      <c r="H434" s="40">
        <v>5</v>
      </c>
      <c r="I434" s="40"/>
      <c r="J434" s="40" t="s">
        <v>1013</v>
      </c>
      <c r="K434" s="40"/>
      <c r="L434" s="76">
        <v>200342</v>
      </c>
      <c r="M434" s="76" t="str">
        <f>IFERROR(INDEX([1]物品基础表!$A:$A,MATCH(L434,[1]物品基础表!$B:$B,0)),"")</f>
        <v>龙抬头抽奖道具</v>
      </c>
      <c r="N434" s="76">
        <v>10</v>
      </c>
      <c r="O434" s="76">
        <v>200007</v>
      </c>
      <c r="P434" s="76" t="str">
        <f>IFERROR(INDEX([1]物品基础表!$A:$A,MATCH(O434,[1]物品基础表!$B:$B,0)),"")</f>
        <v>神装碎片</v>
      </c>
      <c r="Q434" s="76">
        <v>166</v>
      </c>
      <c r="S434" s="76" t="str">
        <f>IFERROR(INDEX([1]物品基础表!$A:$A,MATCH(R434,[1]物品基础表!$B:$B,0)),"")</f>
        <v/>
      </c>
    </row>
    <row r="435" spans="1:19">
      <c r="A435" s="39" t="str">
        <f>INDEX([2]活动总表!$A$8:$A$429,MATCH(B435,[2]活动总表!$B$8:$B$429,0))</f>
        <v>版本庆典-5日活跃</v>
      </c>
      <c r="B435" s="40">
        <v>1001</v>
      </c>
      <c r="C435" s="40">
        <v>75</v>
      </c>
      <c r="D435" s="40">
        <v>11</v>
      </c>
      <c r="E435" s="40">
        <v>15</v>
      </c>
      <c r="F435" s="40">
        <v>3</v>
      </c>
      <c r="G435" s="40">
        <v>3</v>
      </c>
      <c r="H435" s="40">
        <v>5</v>
      </c>
      <c r="I435" s="40"/>
      <c r="J435" s="40" t="s">
        <v>1014</v>
      </c>
      <c r="K435" s="40"/>
      <c r="L435" s="76">
        <v>200342</v>
      </c>
      <c r="M435" s="76" t="str">
        <f>IFERROR(INDEX([1]物品基础表!$A:$A,MATCH(L435,[1]物品基础表!$B:$B,0)),"")</f>
        <v>龙抬头抽奖道具</v>
      </c>
      <c r="N435" s="76">
        <v>10</v>
      </c>
      <c r="O435" s="76">
        <v>200007</v>
      </c>
      <c r="P435" s="76" t="str">
        <f>IFERROR(INDEX([1]物品基础表!$A:$A,MATCH(O435,[1]物品基础表!$B:$B,0)),"")</f>
        <v>神装碎片</v>
      </c>
      <c r="Q435" s="76">
        <v>167</v>
      </c>
      <c r="S435" s="76" t="str">
        <f>IFERROR(INDEX([1]物品基础表!$A:$A,MATCH(R435,[1]物品基础表!$B:$B,0)),"")</f>
        <v/>
      </c>
    </row>
    <row r="436" spans="1:19">
      <c r="A436" s="39" t="str">
        <f>INDEX([2]活动总表!$A$8:$A$429,MATCH(B436,[2]活动总表!$B$8:$B$429,0))</f>
        <v>版本庆典-5日活跃</v>
      </c>
      <c r="B436" s="40">
        <v>1001</v>
      </c>
      <c r="C436" s="40">
        <v>76</v>
      </c>
      <c r="D436" s="40">
        <v>11</v>
      </c>
      <c r="E436" s="40">
        <v>15</v>
      </c>
      <c r="F436" s="40">
        <v>5</v>
      </c>
      <c r="G436" s="40">
        <v>5</v>
      </c>
      <c r="H436" s="40">
        <v>5</v>
      </c>
      <c r="I436" s="40"/>
      <c r="J436" s="40" t="s">
        <v>1015</v>
      </c>
      <c r="K436" s="40"/>
      <c r="L436" s="76">
        <v>200342</v>
      </c>
      <c r="M436" s="76" t="str">
        <f>IFERROR(INDEX([1]物品基础表!$A:$A,MATCH(L436,[1]物品基础表!$B:$B,0)),"")</f>
        <v>龙抬头抽奖道具</v>
      </c>
      <c r="N436" s="76">
        <v>10</v>
      </c>
      <c r="O436" s="76">
        <v>200007</v>
      </c>
      <c r="P436" s="76" t="str">
        <f>IFERROR(INDEX([1]物品基础表!$A:$A,MATCH(O436,[1]物品基础表!$B:$B,0)),"")</f>
        <v>神装碎片</v>
      </c>
      <c r="Q436" s="76">
        <v>168</v>
      </c>
      <c r="S436" s="76" t="str">
        <f>IFERROR(INDEX([1]物品基础表!$A:$A,MATCH(R436,[1]物品基础表!$B:$B,0)),"")</f>
        <v/>
      </c>
    </row>
    <row r="437" spans="1:19">
      <c r="A437" s="39" t="str">
        <f>INDEX([2]活动总表!$A$8:$A$429,MATCH(B437,[2]活动总表!$B$8:$B$429,0))</f>
        <v>版本庆典-5日活跃</v>
      </c>
      <c r="B437" s="40">
        <v>1001</v>
      </c>
      <c r="C437" s="40">
        <v>77</v>
      </c>
      <c r="D437" s="40">
        <v>11</v>
      </c>
      <c r="E437" s="40">
        <v>15</v>
      </c>
      <c r="F437" s="40">
        <v>6</v>
      </c>
      <c r="G437" s="40">
        <v>6</v>
      </c>
      <c r="H437" s="40">
        <v>10</v>
      </c>
      <c r="I437" s="40"/>
      <c r="J437" s="40" t="s">
        <v>1016</v>
      </c>
      <c r="K437" s="40"/>
      <c r="L437" s="76">
        <v>200342</v>
      </c>
      <c r="M437" s="76" t="str">
        <f>IFERROR(INDEX([1]物品基础表!$A:$A,MATCH(L437,[1]物品基础表!$B:$B,0)),"")</f>
        <v>龙抬头抽奖道具</v>
      </c>
      <c r="N437" s="76">
        <v>10</v>
      </c>
      <c r="O437" s="76">
        <v>200007</v>
      </c>
      <c r="P437" s="76" t="str">
        <f>IFERROR(INDEX([1]物品基础表!$A:$A,MATCH(O437,[1]物品基础表!$B:$B,0)),"")</f>
        <v>神装碎片</v>
      </c>
      <c r="Q437" s="76">
        <v>169</v>
      </c>
      <c r="S437" s="76" t="str">
        <f>IFERROR(INDEX([1]物品基础表!$A:$A,MATCH(R437,[1]物品基础表!$B:$B,0)),"")</f>
        <v/>
      </c>
    </row>
    <row r="438" spans="1:19">
      <c r="A438" s="39" t="str">
        <f>INDEX([2]活动总表!$A$8:$A$429,MATCH(B438,[2]活动总表!$B$8:$B$429,0))</f>
        <v>版本庆典-5日活跃</v>
      </c>
      <c r="B438" s="40">
        <v>1001</v>
      </c>
      <c r="C438" s="40">
        <v>78</v>
      </c>
      <c r="D438" s="40">
        <v>11</v>
      </c>
      <c r="E438" s="40">
        <v>15</v>
      </c>
      <c r="F438" s="40">
        <v>9</v>
      </c>
      <c r="G438" s="40">
        <v>9</v>
      </c>
      <c r="H438" s="40">
        <v>10</v>
      </c>
      <c r="I438" s="40"/>
      <c r="J438" s="40" t="s">
        <v>1017</v>
      </c>
      <c r="K438" s="40"/>
      <c r="L438" s="76">
        <v>200342</v>
      </c>
      <c r="M438" s="76" t="str">
        <f>IFERROR(INDEX([1]物品基础表!$A:$A,MATCH(L438,[1]物品基础表!$B:$B,0)),"")</f>
        <v>龙抬头抽奖道具</v>
      </c>
      <c r="N438" s="76">
        <v>10</v>
      </c>
      <c r="O438" s="76">
        <v>200007</v>
      </c>
      <c r="P438" s="76" t="str">
        <f>IFERROR(INDEX([1]物品基础表!$A:$A,MATCH(O438,[1]物品基础表!$B:$B,0)),"")</f>
        <v>神装碎片</v>
      </c>
      <c r="Q438" s="76">
        <v>170</v>
      </c>
      <c r="S438" s="76" t="str">
        <f>IFERROR(INDEX([1]物品基础表!$A:$A,MATCH(R438,[1]物品基础表!$B:$B,0)),"")</f>
        <v/>
      </c>
    </row>
    <row r="439" spans="1:19">
      <c r="A439" s="39" t="str">
        <f>INDEX([2]活动总表!$A$8:$A$429,MATCH(B439,[2]活动总表!$B$8:$B$429,0))</f>
        <v>版本庆典-5日活跃</v>
      </c>
      <c r="B439" s="40">
        <v>1001</v>
      </c>
      <c r="C439" s="40">
        <v>79</v>
      </c>
      <c r="D439" s="40">
        <v>11</v>
      </c>
      <c r="E439" s="40">
        <v>15</v>
      </c>
      <c r="F439" s="40">
        <v>12</v>
      </c>
      <c r="G439" s="40">
        <v>12</v>
      </c>
      <c r="H439" s="40">
        <v>15</v>
      </c>
      <c r="I439" s="40"/>
      <c r="J439" s="40" t="s">
        <v>1018</v>
      </c>
      <c r="K439" s="40"/>
      <c r="L439" s="76">
        <v>200342</v>
      </c>
      <c r="M439" s="76" t="str">
        <f>IFERROR(INDEX([1]物品基础表!$A:$A,MATCH(L439,[1]物品基础表!$B:$B,0)),"")</f>
        <v>龙抬头抽奖道具</v>
      </c>
      <c r="N439" s="76">
        <v>10</v>
      </c>
      <c r="O439" s="76">
        <v>200007</v>
      </c>
      <c r="P439" s="76" t="str">
        <f>IFERROR(INDEX([1]物品基础表!$A:$A,MATCH(O439,[1]物品基础表!$B:$B,0)),"")</f>
        <v>神装碎片</v>
      </c>
      <c r="Q439" s="76">
        <v>171</v>
      </c>
      <c r="S439" s="76" t="str">
        <f>IFERROR(INDEX([1]物品基础表!$A:$A,MATCH(R439,[1]物品基础表!$B:$B,0)),"")</f>
        <v/>
      </c>
    </row>
    <row r="440" spans="1:19">
      <c r="A440" s="39" t="str">
        <f>INDEX([2]活动总表!$A$8:$A$429,MATCH(B440,[2]活动总表!$B$8:$B$429,0))</f>
        <v>版本庆典-5日活跃</v>
      </c>
      <c r="B440" s="40">
        <v>1001</v>
      </c>
      <c r="C440" s="40">
        <v>80</v>
      </c>
      <c r="D440" s="40">
        <v>5</v>
      </c>
      <c r="E440" s="40" t="s">
        <v>919</v>
      </c>
      <c r="F440" s="40">
        <v>5</v>
      </c>
      <c r="G440" s="40">
        <v>5</v>
      </c>
      <c r="H440" s="40">
        <v>5</v>
      </c>
      <c r="I440" s="40"/>
      <c r="J440" s="40" t="s">
        <v>1019</v>
      </c>
      <c r="K440" s="40"/>
      <c r="L440" s="76">
        <v>200342</v>
      </c>
      <c r="M440" s="76" t="str">
        <f>IFERROR(INDEX([1]物品基础表!$A:$A,MATCH(L440,[1]物品基础表!$B:$B,0)),"")</f>
        <v>龙抬头抽奖道具</v>
      </c>
      <c r="N440" s="76">
        <v>10</v>
      </c>
      <c r="O440" s="76">
        <v>200007</v>
      </c>
      <c r="P440" s="76" t="str">
        <f>IFERROR(INDEX([1]物品基础表!$A:$A,MATCH(O440,[1]物品基础表!$B:$B,0)),"")</f>
        <v>神装碎片</v>
      </c>
      <c r="Q440" s="76">
        <v>172</v>
      </c>
      <c r="S440" s="76" t="str">
        <f>IFERROR(INDEX([1]物品基础表!$A:$A,MATCH(R440,[1]物品基础表!$B:$B,0)),"")</f>
        <v/>
      </c>
    </row>
    <row r="441" spans="1:19">
      <c r="A441" s="39" t="str">
        <f>INDEX([2]活动总表!$A$8:$A$429,MATCH(B441,[2]活动总表!$B$8:$B$429,0))</f>
        <v>版本庆典-5日活跃</v>
      </c>
      <c r="B441" s="40">
        <v>1001</v>
      </c>
      <c r="C441" s="40">
        <v>81</v>
      </c>
      <c r="D441" s="40">
        <v>5</v>
      </c>
      <c r="E441" s="40" t="s">
        <v>919</v>
      </c>
      <c r="F441" s="40">
        <v>10</v>
      </c>
      <c r="G441" s="40">
        <v>10</v>
      </c>
      <c r="H441" s="40">
        <v>5</v>
      </c>
      <c r="I441" s="40"/>
      <c r="J441" s="40" t="s">
        <v>1020</v>
      </c>
      <c r="K441" s="40"/>
      <c r="L441" s="76">
        <v>200342</v>
      </c>
      <c r="M441" s="76" t="str">
        <f>IFERROR(INDEX([1]物品基础表!$A:$A,MATCH(L441,[1]物品基础表!$B:$B,0)),"")</f>
        <v>龙抬头抽奖道具</v>
      </c>
      <c r="N441" s="76">
        <v>10</v>
      </c>
      <c r="O441" s="76">
        <v>200007</v>
      </c>
      <c r="P441" s="76" t="str">
        <f>IFERROR(INDEX([1]物品基础表!$A:$A,MATCH(O441,[1]物品基础表!$B:$B,0)),"")</f>
        <v>神装碎片</v>
      </c>
      <c r="Q441" s="76">
        <v>173</v>
      </c>
      <c r="S441" s="76" t="str">
        <f>IFERROR(INDEX([1]物品基础表!$A:$A,MATCH(R441,[1]物品基础表!$B:$B,0)),"")</f>
        <v/>
      </c>
    </row>
    <row r="442" spans="1:19">
      <c r="A442" s="39" t="str">
        <f>INDEX([2]活动总表!$A$8:$A$429,MATCH(B442,[2]活动总表!$B$8:$B$429,0))</f>
        <v>版本庆典-5日活跃</v>
      </c>
      <c r="B442" s="40">
        <v>1001</v>
      </c>
      <c r="C442" s="40">
        <v>82</v>
      </c>
      <c r="D442" s="40">
        <v>5</v>
      </c>
      <c r="E442" s="40" t="s">
        <v>919</v>
      </c>
      <c r="F442" s="40">
        <v>15</v>
      </c>
      <c r="G442" s="40">
        <v>15</v>
      </c>
      <c r="H442" s="40">
        <v>5</v>
      </c>
      <c r="I442" s="40"/>
      <c r="J442" s="40" t="s">
        <v>1021</v>
      </c>
      <c r="K442" s="40"/>
      <c r="L442" s="76">
        <v>200342</v>
      </c>
      <c r="M442" s="76" t="str">
        <f>IFERROR(INDEX([1]物品基础表!$A:$A,MATCH(L442,[1]物品基础表!$B:$B,0)),"")</f>
        <v>龙抬头抽奖道具</v>
      </c>
      <c r="N442" s="76">
        <v>10</v>
      </c>
      <c r="O442" s="76">
        <v>200007</v>
      </c>
      <c r="P442" s="76" t="str">
        <f>IFERROR(INDEX([1]物品基础表!$A:$A,MATCH(O442,[1]物品基础表!$B:$B,0)),"")</f>
        <v>神装碎片</v>
      </c>
      <c r="Q442" s="76">
        <v>174</v>
      </c>
      <c r="S442" s="76" t="str">
        <f>IFERROR(INDEX([1]物品基础表!$A:$A,MATCH(R442,[1]物品基础表!$B:$B,0)),"")</f>
        <v/>
      </c>
    </row>
    <row r="443" spans="1:19">
      <c r="A443" s="39" t="str">
        <f>INDEX([2]活动总表!$A$8:$A$429,MATCH(B443,[2]活动总表!$B$8:$B$429,0))</f>
        <v>版本庆典-5日活跃</v>
      </c>
      <c r="B443" s="40">
        <v>1001</v>
      </c>
      <c r="C443" s="40">
        <v>83</v>
      </c>
      <c r="D443" s="40">
        <v>5</v>
      </c>
      <c r="E443" s="40" t="s">
        <v>919</v>
      </c>
      <c r="F443" s="40">
        <v>20</v>
      </c>
      <c r="G443" s="40">
        <v>20</v>
      </c>
      <c r="H443" s="40">
        <v>5</v>
      </c>
      <c r="I443" s="40"/>
      <c r="J443" s="40" t="s">
        <v>1022</v>
      </c>
      <c r="K443" s="40"/>
      <c r="L443" s="76">
        <v>200342</v>
      </c>
      <c r="M443" s="76" t="str">
        <f>IFERROR(INDEX([1]物品基础表!$A:$A,MATCH(L443,[1]物品基础表!$B:$B,0)),"")</f>
        <v>龙抬头抽奖道具</v>
      </c>
      <c r="N443" s="76">
        <v>10</v>
      </c>
      <c r="O443" s="76">
        <v>200007</v>
      </c>
      <c r="P443" s="76" t="str">
        <f>IFERROR(INDEX([1]物品基础表!$A:$A,MATCH(O443,[1]物品基础表!$B:$B,0)),"")</f>
        <v>神装碎片</v>
      </c>
      <c r="Q443" s="76">
        <v>175</v>
      </c>
      <c r="S443" s="76" t="str">
        <f>IFERROR(INDEX([1]物品基础表!$A:$A,MATCH(R443,[1]物品基础表!$B:$B,0)),"")</f>
        <v/>
      </c>
    </row>
    <row r="444" spans="1:19">
      <c r="A444" s="39" t="str">
        <f>INDEX([2]活动总表!$A$8:$A$429,MATCH(B444,[2]活动总表!$B$8:$B$429,0))</f>
        <v>版本庆典-5日活跃</v>
      </c>
      <c r="B444" s="40">
        <v>1001</v>
      </c>
      <c r="C444" s="40">
        <v>84</v>
      </c>
      <c r="D444" s="40">
        <v>5</v>
      </c>
      <c r="E444" s="40" t="s">
        <v>919</v>
      </c>
      <c r="F444" s="40">
        <v>25</v>
      </c>
      <c r="G444" s="40">
        <v>25</v>
      </c>
      <c r="H444" s="40">
        <v>5</v>
      </c>
      <c r="I444" s="40"/>
      <c r="J444" s="40" t="s">
        <v>1023</v>
      </c>
      <c r="K444" s="40"/>
      <c r="L444" s="76">
        <v>200342</v>
      </c>
      <c r="M444" s="76" t="str">
        <f>IFERROR(INDEX([1]物品基础表!$A:$A,MATCH(L444,[1]物品基础表!$B:$B,0)),"")</f>
        <v>龙抬头抽奖道具</v>
      </c>
      <c r="N444" s="76">
        <v>10</v>
      </c>
      <c r="O444" s="76">
        <v>200007</v>
      </c>
      <c r="P444" s="76" t="str">
        <f>IFERROR(INDEX([1]物品基础表!$A:$A,MATCH(O444,[1]物品基础表!$B:$B,0)),"")</f>
        <v>神装碎片</v>
      </c>
      <c r="Q444" s="76">
        <v>176</v>
      </c>
      <c r="S444" s="76" t="str">
        <f>IFERROR(INDEX([1]物品基础表!$A:$A,MATCH(R444,[1]物品基础表!$B:$B,0)),"")</f>
        <v/>
      </c>
    </row>
    <row r="445" spans="1:19">
      <c r="A445" s="39" t="str">
        <f>INDEX([2]活动总表!$A$8:$A$429,MATCH(B445,[2]活动总表!$B$8:$B$429,0))</f>
        <v>版本庆典-5日活跃</v>
      </c>
      <c r="B445" s="40">
        <v>1001</v>
      </c>
      <c r="C445" s="40">
        <v>85</v>
      </c>
      <c r="D445" s="40">
        <v>5</v>
      </c>
      <c r="E445" s="40" t="s">
        <v>919</v>
      </c>
      <c r="F445" s="40">
        <v>30</v>
      </c>
      <c r="G445" s="40">
        <v>30</v>
      </c>
      <c r="H445" s="40">
        <v>5</v>
      </c>
      <c r="I445" s="40"/>
      <c r="J445" s="40" t="s">
        <v>1024</v>
      </c>
      <c r="K445" s="40"/>
      <c r="L445" s="76">
        <v>200342</v>
      </c>
      <c r="M445" s="76" t="str">
        <f>IFERROR(INDEX([1]物品基础表!$A:$A,MATCH(L445,[1]物品基础表!$B:$B,0)),"")</f>
        <v>龙抬头抽奖道具</v>
      </c>
      <c r="N445" s="76">
        <v>10</v>
      </c>
      <c r="O445" s="76">
        <v>200007</v>
      </c>
      <c r="P445" s="76" t="str">
        <f>IFERROR(INDEX([1]物品基础表!$A:$A,MATCH(O445,[1]物品基础表!$B:$B,0)),"")</f>
        <v>神装碎片</v>
      </c>
      <c r="Q445" s="76">
        <v>177</v>
      </c>
      <c r="S445" s="76" t="str">
        <f>IFERROR(INDEX([1]物品基础表!$A:$A,MATCH(R445,[1]物品基础表!$B:$B,0)),"")</f>
        <v/>
      </c>
    </row>
    <row r="446" spans="1:19">
      <c r="A446" s="39" t="str">
        <f>INDEX([2]活动总表!$A$8:$A$429,MATCH(B446,[2]活动总表!$B$8:$B$429,0))</f>
        <v>版本庆典-5日活跃</v>
      </c>
      <c r="B446" s="40">
        <v>1001</v>
      </c>
      <c r="C446" s="40">
        <v>86</v>
      </c>
      <c r="D446" s="40">
        <v>5</v>
      </c>
      <c r="E446" s="40" t="s">
        <v>919</v>
      </c>
      <c r="F446" s="40">
        <v>35</v>
      </c>
      <c r="G446" s="40">
        <v>35</v>
      </c>
      <c r="H446" s="40">
        <v>5</v>
      </c>
      <c r="I446" s="40"/>
      <c r="J446" s="40" t="s">
        <v>1025</v>
      </c>
      <c r="K446" s="40"/>
      <c r="L446" s="76">
        <v>200342</v>
      </c>
      <c r="M446" s="76" t="str">
        <f>IFERROR(INDEX([1]物品基础表!$A:$A,MATCH(L446,[1]物品基础表!$B:$B,0)),"")</f>
        <v>龙抬头抽奖道具</v>
      </c>
      <c r="N446" s="76">
        <v>10</v>
      </c>
      <c r="O446" s="76">
        <v>200007</v>
      </c>
      <c r="P446" s="76" t="str">
        <f>IFERROR(INDEX([1]物品基础表!$A:$A,MATCH(O446,[1]物品基础表!$B:$B,0)),"")</f>
        <v>神装碎片</v>
      </c>
      <c r="Q446" s="76">
        <v>178</v>
      </c>
      <c r="S446" s="76" t="str">
        <f>IFERROR(INDEX([1]物品基础表!$A:$A,MATCH(R446,[1]物品基础表!$B:$B,0)),"")</f>
        <v/>
      </c>
    </row>
    <row r="447" spans="1:19">
      <c r="A447" s="39" t="str">
        <f>INDEX([2]活动总表!$A$8:$A$429,MATCH(B447,[2]活动总表!$B$8:$B$429,0))</f>
        <v>版本庆典-5日活跃</v>
      </c>
      <c r="B447" s="40">
        <v>1001</v>
      </c>
      <c r="C447" s="40">
        <v>87</v>
      </c>
      <c r="D447" s="40">
        <v>91</v>
      </c>
      <c r="E447" s="40" t="s">
        <v>919</v>
      </c>
      <c r="F447" s="40">
        <v>5</v>
      </c>
      <c r="G447" s="40">
        <v>5</v>
      </c>
      <c r="H447" s="40">
        <v>20</v>
      </c>
      <c r="I447" s="40"/>
      <c r="J447" s="40" t="s">
        <v>1026</v>
      </c>
      <c r="K447" s="40"/>
      <c r="L447" s="76">
        <v>200342</v>
      </c>
      <c r="M447" s="76" t="str">
        <f>IFERROR(INDEX([1]物品基础表!$A:$A,MATCH(L447,[1]物品基础表!$B:$B,0)),"")</f>
        <v>龙抬头抽奖道具</v>
      </c>
      <c r="N447" s="76">
        <v>10</v>
      </c>
      <c r="O447" s="76">
        <v>200007</v>
      </c>
      <c r="P447" s="76" t="str">
        <f>IFERROR(INDEX([1]物品基础表!$A:$A,MATCH(O447,[1]物品基础表!$B:$B,0)),"")</f>
        <v>神装碎片</v>
      </c>
      <c r="Q447" s="76">
        <v>179</v>
      </c>
      <c r="S447" s="76" t="str">
        <f>IFERROR(INDEX([1]物品基础表!$A:$A,MATCH(R447,[1]物品基础表!$B:$B,0)),"")</f>
        <v/>
      </c>
    </row>
    <row r="448" spans="1:19">
      <c r="A448" s="39" t="str">
        <f>INDEX([2]活动总表!$A$8:$A$429,MATCH(B448,[2]活动总表!$B$8:$B$429,0))</f>
        <v>版本庆典-5日活跃</v>
      </c>
      <c r="B448" s="40">
        <v>1001</v>
      </c>
      <c r="C448" s="40">
        <v>88</v>
      </c>
      <c r="D448" s="40">
        <v>91</v>
      </c>
      <c r="E448" s="40" t="s">
        <v>919</v>
      </c>
      <c r="F448" s="40">
        <v>10</v>
      </c>
      <c r="G448" s="40">
        <v>10</v>
      </c>
      <c r="H448" s="40">
        <v>20</v>
      </c>
      <c r="I448" s="40"/>
      <c r="J448" s="40" t="s">
        <v>1027</v>
      </c>
      <c r="K448" s="40"/>
      <c r="L448" s="76">
        <v>200342</v>
      </c>
      <c r="M448" s="76" t="str">
        <f>IFERROR(INDEX([1]物品基础表!$A:$A,MATCH(L448,[1]物品基础表!$B:$B,0)),"")</f>
        <v>龙抬头抽奖道具</v>
      </c>
      <c r="N448" s="76">
        <v>10</v>
      </c>
      <c r="O448" s="76">
        <v>200007</v>
      </c>
      <c r="P448" s="76" t="str">
        <f>IFERROR(INDEX([1]物品基础表!$A:$A,MATCH(O448,[1]物品基础表!$B:$B,0)),"")</f>
        <v>神装碎片</v>
      </c>
      <c r="Q448" s="76">
        <v>180</v>
      </c>
      <c r="S448" s="76" t="str">
        <f>IFERROR(INDEX([1]物品基础表!$A:$A,MATCH(R448,[1]物品基础表!$B:$B,0)),"")</f>
        <v/>
      </c>
    </row>
    <row r="449" spans="1:19">
      <c r="A449" s="39" t="str">
        <f>INDEX([2]活动总表!$A$8:$A$429,MATCH(B449,[2]活动总表!$B$8:$B$429,0))</f>
        <v>版本庆典-5日活跃</v>
      </c>
      <c r="B449" s="40">
        <v>1001</v>
      </c>
      <c r="C449" s="40">
        <v>89</v>
      </c>
      <c r="D449" s="40">
        <v>91</v>
      </c>
      <c r="E449" s="40" t="s">
        <v>919</v>
      </c>
      <c r="F449" s="40">
        <v>15</v>
      </c>
      <c r="G449" s="40">
        <v>15</v>
      </c>
      <c r="H449" s="40">
        <v>20</v>
      </c>
      <c r="I449" s="40"/>
      <c r="J449" s="40" t="s">
        <v>1028</v>
      </c>
      <c r="K449" s="40"/>
      <c r="L449" s="76">
        <v>200342</v>
      </c>
      <c r="M449" s="76" t="str">
        <f>IFERROR(INDEX([1]物品基础表!$A:$A,MATCH(L449,[1]物品基础表!$B:$B,0)),"")</f>
        <v>龙抬头抽奖道具</v>
      </c>
      <c r="N449" s="76">
        <v>10</v>
      </c>
      <c r="O449" s="76">
        <v>200007</v>
      </c>
      <c r="P449" s="76" t="str">
        <f>IFERROR(INDEX([1]物品基础表!$A:$A,MATCH(O449,[1]物品基础表!$B:$B,0)),"")</f>
        <v>神装碎片</v>
      </c>
      <c r="Q449" s="76">
        <v>181</v>
      </c>
      <c r="S449" s="76" t="str">
        <f>IFERROR(INDEX([1]物品基础表!$A:$A,MATCH(R449,[1]物品基础表!$B:$B,0)),"")</f>
        <v/>
      </c>
    </row>
    <row r="450" spans="1:19">
      <c r="A450" s="39" t="str">
        <f>INDEX([2]活动总表!$A$8:$A$429,MATCH(B450,[2]活动总表!$B$8:$B$429,0))</f>
        <v>版本庆典-5日活跃</v>
      </c>
      <c r="B450" s="40">
        <v>1001</v>
      </c>
      <c r="C450" s="40">
        <v>90</v>
      </c>
      <c r="D450" s="40">
        <v>91</v>
      </c>
      <c r="E450" s="40" t="s">
        <v>919</v>
      </c>
      <c r="F450" s="40">
        <v>30</v>
      </c>
      <c r="G450" s="40">
        <v>30</v>
      </c>
      <c r="H450" s="40">
        <v>60</v>
      </c>
      <c r="I450" s="40"/>
      <c r="J450" s="40" t="s">
        <v>1029</v>
      </c>
      <c r="K450" s="40"/>
      <c r="L450" s="76">
        <v>200342</v>
      </c>
      <c r="M450" s="76" t="str">
        <f>IFERROR(INDEX([1]物品基础表!$A:$A,MATCH(L450,[1]物品基础表!$B:$B,0)),"")</f>
        <v>龙抬头抽奖道具</v>
      </c>
      <c r="N450" s="76">
        <v>10</v>
      </c>
      <c r="O450" s="76">
        <v>200007</v>
      </c>
      <c r="P450" s="76" t="str">
        <f>IFERROR(INDEX([1]物品基础表!$A:$A,MATCH(O450,[1]物品基础表!$B:$B,0)),"")</f>
        <v>神装碎片</v>
      </c>
      <c r="Q450" s="76">
        <v>182</v>
      </c>
      <c r="S450" s="76" t="str">
        <f>IFERROR(INDEX([1]物品基础表!$A:$A,MATCH(R450,[1]物品基础表!$B:$B,0)),"")</f>
        <v/>
      </c>
    </row>
    <row r="451" spans="1:19">
      <c r="A451" s="39" t="str">
        <f>INDEX([2]活动总表!$A$8:$A$429,MATCH(B451,[2]活动总表!$B$8:$B$429,0))</f>
        <v>版本庆典-5日活跃</v>
      </c>
      <c r="B451" s="40">
        <v>1001</v>
      </c>
      <c r="C451" s="40">
        <v>91</v>
      </c>
      <c r="D451" s="40">
        <v>91</v>
      </c>
      <c r="E451" s="40" t="s">
        <v>919</v>
      </c>
      <c r="F451" s="40">
        <v>50</v>
      </c>
      <c r="G451" s="40">
        <v>50</v>
      </c>
      <c r="H451" s="40">
        <v>80</v>
      </c>
      <c r="I451" s="40"/>
      <c r="J451" s="40" t="s">
        <v>1030</v>
      </c>
      <c r="K451" s="40"/>
      <c r="L451" s="76">
        <v>200342</v>
      </c>
      <c r="M451" s="76" t="str">
        <f>IFERROR(INDEX([1]物品基础表!$A:$A,MATCH(L451,[1]物品基础表!$B:$B,0)),"")</f>
        <v>龙抬头抽奖道具</v>
      </c>
      <c r="N451" s="76">
        <v>10</v>
      </c>
      <c r="O451" s="76">
        <v>200007</v>
      </c>
      <c r="P451" s="76" t="str">
        <f>IFERROR(INDEX([1]物品基础表!$A:$A,MATCH(O451,[1]物品基础表!$B:$B,0)),"")</f>
        <v>神装碎片</v>
      </c>
      <c r="Q451" s="76">
        <v>183</v>
      </c>
      <c r="S451" s="76" t="str">
        <f>IFERROR(INDEX([1]物品基础表!$A:$A,MATCH(R451,[1]物品基础表!$B:$B,0)),"")</f>
        <v/>
      </c>
    </row>
    <row r="452" spans="1:19">
      <c r="A452" s="39" t="str">
        <f>INDEX([2]活动总表!$A$8:$A$429,MATCH(B452,[2]活动总表!$B$8:$B$429,0))</f>
        <v>版本庆典-5日活跃</v>
      </c>
      <c r="B452" s="40">
        <v>1001</v>
      </c>
      <c r="C452" s="40">
        <v>92</v>
      </c>
      <c r="D452" s="40">
        <v>91</v>
      </c>
      <c r="E452" s="40" t="s">
        <v>919</v>
      </c>
      <c r="F452" s="40">
        <v>70</v>
      </c>
      <c r="G452" s="40">
        <v>70</v>
      </c>
      <c r="H452" s="40">
        <v>80</v>
      </c>
      <c r="I452" s="40"/>
      <c r="J452" s="40" t="s">
        <v>1031</v>
      </c>
      <c r="K452" s="40"/>
      <c r="L452" s="76">
        <v>200342</v>
      </c>
      <c r="M452" s="76" t="str">
        <f>IFERROR(INDEX([1]物品基础表!$A:$A,MATCH(L452,[1]物品基础表!$B:$B,0)),"")</f>
        <v>龙抬头抽奖道具</v>
      </c>
      <c r="N452" s="76">
        <v>10</v>
      </c>
      <c r="O452" s="76">
        <v>200007</v>
      </c>
      <c r="P452" s="76" t="str">
        <f>IFERROR(INDEX([1]物品基础表!$A:$A,MATCH(O452,[1]物品基础表!$B:$B,0)),"")</f>
        <v>神装碎片</v>
      </c>
      <c r="Q452" s="76">
        <v>184</v>
      </c>
      <c r="S452" s="76" t="str">
        <f>IFERROR(INDEX([1]物品基础表!$A:$A,MATCH(R452,[1]物品基础表!$B:$B,0)),"")</f>
        <v/>
      </c>
    </row>
    <row r="453" spans="1:19">
      <c r="A453" s="39" t="str">
        <f>INDEX([2]活动总表!$A$8:$A$429,MATCH(B453,[2]活动总表!$B$8:$B$429,0))</f>
        <v>版本庆典-5日活跃</v>
      </c>
      <c r="B453" s="40">
        <v>1001</v>
      </c>
      <c r="C453" s="40">
        <v>93</v>
      </c>
      <c r="D453" s="40">
        <v>91</v>
      </c>
      <c r="E453" s="40" t="s">
        <v>919</v>
      </c>
      <c r="F453" s="40">
        <v>100</v>
      </c>
      <c r="G453" s="40">
        <v>100</v>
      </c>
      <c r="H453" s="40">
        <v>120</v>
      </c>
      <c r="I453" s="40"/>
      <c r="J453" s="40" t="s">
        <v>1032</v>
      </c>
      <c r="K453" s="40"/>
      <c r="L453" s="76">
        <v>200342</v>
      </c>
      <c r="M453" s="76" t="str">
        <f>IFERROR(INDEX([1]物品基础表!$A:$A,MATCH(L453,[1]物品基础表!$B:$B,0)),"")</f>
        <v>龙抬头抽奖道具</v>
      </c>
      <c r="N453" s="76">
        <v>10</v>
      </c>
      <c r="O453" s="76">
        <v>200007</v>
      </c>
      <c r="P453" s="76" t="str">
        <f>IFERROR(INDEX([1]物品基础表!$A:$A,MATCH(O453,[1]物品基础表!$B:$B,0)),"")</f>
        <v>神装碎片</v>
      </c>
      <c r="Q453" s="76">
        <v>185</v>
      </c>
      <c r="S453" s="76" t="str">
        <f>IFERROR(INDEX([1]物品基础表!$A:$A,MATCH(R453,[1]物品基础表!$B:$B,0)),"")</f>
        <v/>
      </c>
    </row>
  </sheetData>
  <mergeCells count="1">
    <mergeCell ref="L1:T1"/>
  </mergeCells>
  <phoneticPr fontId="1" type="noConversion"/>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L15"/>
  <sheetViews>
    <sheetView workbookViewId="0">
      <selection activeCell="A5" sqref="A5"/>
    </sheetView>
  </sheetViews>
  <sheetFormatPr defaultRowHeight="13.5"/>
  <cols>
    <col min="1" max="1" width="11" style="79" bestFit="1" customWidth="1"/>
    <col min="2" max="4" width="9" style="78"/>
    <col min="5" max="5" width="13" style="78" bestFit="1" customWidth="1"/>
    <col min="6" max="6" width="18.375" style="78" bestFit="1" customWidth="1"/>
    <col min="7" max="7" width="13.125" style="78" bestFit="1" customWidth="1"/>
    <col min="8" max="16384" width="9" style="78"/>
  </cols>
  <sheetData>
    <row r="1" spans="1:12">
      <c r="I1" s="118" t="s">
        <v>708</v>
      </c>
      <c r="J1" s="119"/>
      <c r="K1" s="119"/>
      <c r="L1" s="120"/>
    </row>
    <row r="2" spans="1:12">
      <c r="A2" s="80" t="s">
        <v>19</v>
      </c>
      <c r="B2" s="66" t="s">
        <v>902</v>
      </c>
      <c r="C2" s="66" t="s">
        <v>65</v>
      </c>
      <c r="D2" s="66" t="s">
        <v>759</v>
      </c>
      <c r="E2" s="66" t="s">
        <v>1033</v>
      </c>
      <c r="F2" s="66" t="s">
        <v>1034</v>
      </c>
      <c r="G2" s="66" t="s">
        <v>1035</v>
      </c>
      <c r="H2" s="66" t="s">
        <v>1036</v>
      </c>
      <c r="I2" s="72" t="s">
        <v>1037</v>
      </c>
      <c r="J2" s="72" t="s">
        <v>1038</v>
      </c>
      <c r="K2" s="72" t="s">
        <v>1039</v>
      </c>
      <c r="L2" s="72" t="s">
        <v>1040</v>
      </c>
    </row>
    <row r="3" spans="1:12">
      <c r="A3" s="39" t="str">
        <f>INDEX([2]活动总表!$A$8:$A$429,MATCH(B3,[2]活动总表!$B$8:$B$429,0))</f>
        <v>小年红包雨</v>
      </c>
      <c r="B3" s="40">
        <v>439</v>
      </c>
      <c r="C3" s="40">
        <v>1</v>
      </c>
      <c r="D3" s="40">
        <v>10</v>
      </c>
      <c r="E3" s="40"/>
      <c r="F3" s="40">
        <v>5</v>
      </c>
      <c r="G3" s="40">
        <v>600</v>
      </c>
      <c r="H3" s="40"/>
      <c r="I3" s="1">
        <v>20</v>
      </c>
      <c r="J3" s="78">
        <v>60</v>
      </c>
      <c r="K3" s="1">
        <v>20000</v>
      </c>
      <c r="L3" s="78">
        <v>60000</v>
      </c>
    </row>
    <row r="4" spans="1:12">
      <c r="A4" s="39" t="str">
        <f>INDEX([2]活动总表!$A$8:$A$429,MATCH(B4,[2]活动总表!$B$8:$B$429,0))</f>
        <v>小年红包雨</v>
      </c>
      <c r="B4" s="40">
        <v>439</v>
      </c>
      <c r="C4" s="40">
        <v>2</v>
      </c>
      <c r="D4" s="40">
        <v>100</v>
      </c>
      <c r="E4" s="40"/>
      <c r="F4" s="40">
        <v>20</v>
      </c>
      <c r="G4" s="40">
        <v>3600</v>
      </c>
      <c r="H4" s="40">
        <v>1</v>
      </c>
      <c r="I4" s="1">
        <v>50</v>
      </c>
      <c r="J4" s="78">
        <v>150</v>
      </c>
      <c r="K4" s="1">
        <v>50000</v>
      </c>
      <c r="L4" s="78">
        <v>150000</v>
      </c>
    </row>
    <row r="5" spans="1:12">
      <c r="A5" s="39" t="str">
        <f>INDEX([2]活动总表!$A$8:$A$429,MATCH(B5,[2]活动总表!$B$8:$B$429,0))</f>
        <v>小年红包雨</v>
      </c>
      <c r="B5" s="40">
        <v>439</v>
      </c>
      <c r="C5" s="40">
        <v>3</v>
      </c>
      <c r="D5" s="40">
        <v>1000</v>
      </c>
      <c r="E5" s="40">
        <v>1</v>
      </c>
      <c r="F5" s="40">
        <v>30</v>
      </c>
      <c r="G5" s="40">
        <v>18000</v>
      </c>
      <c r="H5" s="40">
        <v>1</v>
      </c>
      <c r="I5" s="1">
        <v>100</v>
      </c>
      <c r="J5" s="78">
        <v>300</v>
      </c>
      <c r="K5" s="1">
        <v>100000</v>
      </c>
      <c r="L5" s="78">
        <v>300000</v>
      </c>
    </row>
    <row r="6" spans="1:12">
      <c r="A6" s="39" t="str">
        <f>INDEX([2]活动总表!$A$8:$A$429,MATCH(B6,[2]活动总表!$B$8:$B$429,0))</f>
        <v>小年红包雨</v>
      </c>
      <c r="B6" s="40">
        <v>447</v>
      </c>
      <c r="C6" s="40">
        <v>1</v>
      </c>
      <c r="D6" s="40">
        <v>10</v>
      </c>
      <c r="E6" s="40"/>
      <c r="F6" s="40">
        <v>5</v>
      </c>
      <c r="G6" s="40">
        <v>600</v>
      </c>
      <c r="H6" s="40"/>
      <c r="I6" s="1">
        <v>20</v>
      </c>
      <c r="J6" s="78">
        <v>60</v>
      </c>
      <c r="K6" s="1">
        <v>20000</v>
      </c>
      <c r="L6" s="78">
        <v>60000</v>
      </c>
    </row>
    <row r="7" spans="1:12">
      <c r="A7" s="39" t="str">
        <f>INDEX([2]活动总表!$A$8:$A$429,MATCH(B7,[2]活动总表!$B$8:$B$429,0))</f>
        <v>小年红包雨</v>
      </c>
      <c r="B7" s="40">
        <v>447</v>
      </c>
      <c r="C7" s="40">
        <v>2</v>
      </c>
      <c r="D7" s="40">
        <v>100</v>
      </c>
      <c r="E7" s="40"/>
      <c r="F7" s="40">
        <v>20</v>
      </c>
      <c r="G7" s="40">
        <v>3600</v>
      </c>
      <c r="H7" s="40">
        <v>1</v>
      </c>
      <c r="I7" s="1">
        <v>50</v>
      </c>
      <c r="J7" s="78">
        <v>150</v>
      </c>
      <c r="K7" s="1">
        <v>50000</v>
      </c>
      <c r="L7" s="78">
        <v>150000</v>
      </c>
    </row>
    <row r="8" spans="1:12">
      <c r="A8" s="39" t="str">
        <f>INDEX([2]活动总表!$A$8:$A$429,MATCH(B8,[2]活动总表!$B$8:$B$429,0))</f>
        <v>小年红包雨</v>
      </c>
      <c r="B8" s="40">
        <v>447</v>
      </c>
      <c r="C8" s="40">
        <v>3</v>
      </c>
      <c r="D8" s="40">
        <v>1000</v>
      </c>
      <c r="E8" s="40">
        <v>1</v>
      </c>
      <c r="F8" s="40">
        <v>30</v>
      </c>
      <c r="G8" s="40">
        <v>18000</v>
      </c>
      <c r="H8" s="40">
        <v>1</v>
      </c>
      <c r="I8" s="1">
        <v>100</v>
      </c>
      <c r="J8" s="78">
        <v>300</v>
      </c>
      <c r="K8" s="1">
        <v>100000</v>
      </c>
      <c r="L8" s="78">
        <v>300000</v>
      </c>
    </row>
    <row r="9" spans="1:12">
      <c r="A9" s="39" t="str">
        <f>INDEX([2]活动总表!$A$8:$A$429,MATCH(B9,[2]活动总表!$B$8:$B$429,0))</f>
        <v>小年红包雨</v>
      </c>
      <c r="B9" s="40">
        <v>550</v>
      </c>
      <c r="C9" s="40">
        <v>1</v>
      </c>
      <c r="D9" s="40">
        <v>100</v>
      </c>
      <c r="E9" s="40"/>
      <c r="F9" s="40">
        <v>20</v>
      </c>
      <c r="G9" s="40">
        <v>600</v>
      </c>
      <c r="H9" s="40">
        <v>1</v>
      </c>
      <c r="I9" s="1">
        <v>50</v>
      </c>
      <c r="J9" s="78">
        <v>150</v>
      </c>
      <c r="K9" s="1">
        <v>50000</v>
      </c>
      <c r="L9" s="78">
        <v>150000</v>
      </c>
    </row>
    <row r="10" spans="1:12">
      <c r="A10" s="39" t="str">
        <f>INDEX([2]活动总表!$A$8:$A$429,MATCH(B10,[2]活动总表!$B$8:$B$429,0))</f>
        <v>小年红包雨</v>
      </c>
      <c r="B10" s="40">
        <v>550</v>
      </c>
      <c r="C10" s="40">
        <v>2</v>
      </c>
      <c r="D10" s="40">
        <v>500</v>
      </c>
      <c r="E10" s="40"/>
      <c r="F10" s="40">
        <v>20</v>
      </c>
      <c r="G10" s="40">
        <v>3600</v>
      </c>
      <c r="H10" s="40">
        <v>1</v>
      </c>
      <c r="I10" s="1">
        <v>250</v>
      </c>
      <c r="J10" s="78">
        <v>750</v>
      </c>
      <c r="K10" s="1">
        <v>250000</v>
      </c>
      <c r="L10" s="78">
        <v>750000</v>
      </c>
    </row>
    <row r="11" spans="1:12">
      <c r="A11" s="39" t="str">
        <f>INDEX([2]活动总表!$A$8:$A$429,MATCH(B11,[2]活动总表!$B$8:$B$429,0))</f>
        <v>小年红包雨</v>
      </c>
      <c r="B11" s="40">
        <v>550</v>
      </c>
      <c r="C11" s="40">
        <v>3</v>
      </c>
      <c r="D11" s="40">
        <v>1000</v>
      </c>
      <c r="E11" s="40">
        <v>1</v>
      </c>
      <c r="F11" s="40">
        <v>40</v>
      </c>
      <c r="G11" s="40">
        <v>18000</v>
      </c>
      <c r="H11" s="40">
        <v>1</v>
      </c>
      <c r="I11" s="1">
        <v>250</v>
      </c>
      <c r="J11" s="78">
        <v>750</v>
      </c>
      <c r="K11" s="1">
        <v>250000</v>
      </c>
      <c r="L11" s="78">
        <v>750000</v>
      </c>
    </row>
    <row r="12" spans="1:12">
      <c r="A12" s="39" t="str">
        <f>INDEX([2]活动总表!$A$8:$A$429,MATCH(B12,[2]活动总表!$B$8:$B$429,0))</f>
        <v>小年红包雨</v>
      </c>
      <c r="B12" s="40">
        <v>565</v>
      </c>
      <c r="C12" s="40">
        <v>1</v>
      </c>
      <c r="D12" s="40">
        <v>100</v>
      </c>
      <c r="E12" s="40"/>
      <c r="F12" s="40">
        <v>20</v>
      </c>
      <c r="G12" s="40">
        <v>600</v>
      </c>
      <c r="H12" s="40">
        <v>1</v>
      </c>
      <c r="I12" s="1">
        <v>50</v>
      </c>
      <c r="J12" s="78">
        <v>150</v>
      </c>
      <c r="K12" s="1">
        <v>50000</v>
      </c>
      <c r="L12" s="78">
        <v>150000</v>
      </c>
    </row>
    <row r="13" spans="1:12">
      <c r="A13" s="39" t="str">
        <f>INDEX([2]活动总表!$A$8:$A$429,MATCH(B13,[2]活动总表!$B$8:$B$429,0))</f>
        <v>小年红包雨</v>
      </c>
      <c r="B13" s="40">
        <v>565</v>
      </c>
      <c r="C13" s="40">
        <v>2</v>
      </c>
      <c r="D13" s="40">
        <v>500</v>
      </c>
      <c r="E13" s="40"/>
      <c r="F13" s="40">
        <v>20</v>
      </c>
      <c r="G13" s="40">
        <v>3600</v>
      </c>
      <c r="H13" s="40">
        <v>1</v>
      </c>
      <c r="I13" s="1">
        <v>250</v>
      </c>
      <c r="J13" s="78">
        <v>750</v>
      </c>
      <c r="K13" s="1">
        <v>250000</v>
      </c>
      <c r="L13" s="78">
        <v>750000</v>
      </c>
    </row>
    <row r="14" spans="1:12">
      <c r="A14" s="39" t="str">
        <f>INDEX([2]活动总表!$A$8:$A$429,MATCH(B14,[2]活动总表!$B$8:$B$429,0))</f>
        <v>小年红包雨</v>
      </c>
      <c r="B14" s="40">
        <v>565</v>
      </c>
      <c r="C14" s="40">
        <v>3</v>
      </c>
      <c r="D14" s="40">
        <v>1000</v>
      </c>
      <c r="E14" s="40">
        <v>1</v>
      </c>
      <c r="F14" s="40">
        <v>40</v>
      </c>
      <c r="G14" s="40">
        <v>18000</v>
      </c>
      <c r="H14" s="40">
        <v>1</v>
      </c>
      <c r="I14" s="1">
        <v>250</v>
      </c>
      <c r="J14" s="78">
        <v>750</v>
      </c>
      <c r="K14" s="1">
        <v>250000</v>
      </c>
      <c r="L14" s="78">
        <v>750000</v>
      </c>
    </row>
    <row r="15" spans="1:12">
      <c r="A15" s="78"/>
    </row>
  </sheetData>
  <mergeCells count="1">
    <mergeCell ref="I1:L1"/>
  </mergeCells>
  <phoneticPr fontId="1" type="noConversion"/>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F30"/>
  <sheetViews>
    <sheetView workbookViewId="0">
      <selection activeCell="A4" sqref="A4:XFD4"/>
    </sheetView>
  </sheetViews>
  <sheetFormatPr defaultRowHeight="13.5"/>
  <cols>
    <col min="1" max="1" width="26" style="77" bestFit="1" customWidth="1"/>
    <col min="2" max="7" width="9" style="76"/>
    <col min="8" max="8" width="13" style="76" bestFit="1" customWidth="1"/>
    <col min="9" max="28" width="9" style="76"/>
    <col min="29" max="29" width="8.5" style="76" bestFit="1" customWidth="1"/>
    <col min="30" max="16384" width="9" style="76"/>
  </cols>
  <sheetData>
    <row r="1" spans="1:32">
      <c r="I1" s="125" t="s">
        <v>35</v>
      </c>
      <c r="J1" s="126"/>
      <c r="K1" s="127"/>
      <c r="M1" s="121" t="s">
        <v>1046</v>
      </c>
      <c r="N1" s="121"/>
      <c r="O1" s="121"/>
      <c r="P1" s="121"/>
      <c r="Q1" s="121"/>
      <c r="R1" s="121"/>
      <c r="S1" s="121"/>
      <c r="T1" s="121"/>
      <c r="U1" s="121"/>
      <c r="V1" s="121"/>
      <c r="W1" s="121"/>
      <c r="X1" s="121"/>
      <c r="Y1" s="121"/>
      <c r="Z1" s="121"/>
      <c r="AA1" s="121"/>
      <c r="AB1" s="121"/>
      <c r="AC1" s="122" t="s">
        <v>788</v>
      </c>
      <c r="AD1" s="123"/>
      <c r="AE1" s="123"/>
      <c r="AF1" s="124"/>
    </row>
    <row r="2" spans="1:32" ht="14.25" customHeight="1">
      <c r="I2" s="128" t="s">
        <v>1312</v>
      </c>
      <c r="J2" s="129"/>
      <c r="K2" s="130"/>
      <c r="M2" s="131">
        <v>1</v>
      </c>
      <c r="N2" s="131"/>
      <c r="O2" s="131"/>
      <c r="P2" s="131"/>
      <c r="Q2" s="131">
        <v>2</v>
      </c>
      <c r="R2" s="131"/>
      <c r="S2" s="131"/>
      <c r="T2" s="131"/>
      <c r="U2" s="131">
        <v>3</v>
      </c>
      <c r="V2" s="131"/>
      <c r="W2" s="131"/>
      <c r="X2" s="131"/>
      <c r="Y2" s="131">
        <v>4</v>
      </c>
      <c r="Z2" s="131"/>
      <c r="AA2" s="131"/>
      <c r="AB2" s="131"/>
      <c r="AC2" s="86">
        <v>1</v>
      </c>
      <c r="AD2" s="86">
        <v>2</v>
      </c>
      <c r="AE2" s="86">
        <v>3</v>
      </c>
      <c r="AF2" s="86">
        <v>4</v>
      </c>
    </row>
    <row r="3" spans="1:32">
      <c r="A3" s="74" t="s">
        <v>19</v>
      </c>
      <c r="B3" s="66" t="s">
        <v>32</v>
      </c>
      <c r="C3" s="66" t="s">
        <v>1047</v>
      </c>
      <c r="D3" s="66" t="s">
        <v>1041</v>
      </c>
      <c r="E3" s="66" t="s">
        <v>1042</v>
      </c>
      <c r="F3" s="66" t="s">
        <v>52</v>
      </c>
      <c r="G3" s="66" t="s">
        <v>1043</v>
      </c>
      <c r="H3" s="66" t="s">
        <v>1044</v>
      </c>
      <c r="I3" s="66">
        <v>1</v>
      </c>
      <c r="J3" s="66">
        <v>10</v>
      </c>
      <c r="K3" s="66">
        <v>200</v>
      </c>
      <c r="L3" s="66" t="s">
        <v>1045</v>
      </c>
      <c r="M3" s="69">
        <v>23</v>
      </c>
      <c r="N3" s="69">
        <v>67</v>
      </c>
      <c r="O3" s="69">
        <v>100</v>
      </c>
      <c r="P3" s="69">
        <v>150</v>
      </c>
      <c r="Q3" s="69">
        <v>21</v>
      </c>
      <c r="R3" s="69">
        <v>59</v>
      </c>
      <c r="S3" s="69">
        <v>100</v>
      </c>
      <c r="T3" s="69">
        <v>160</v>
      </c>
      <c r="U3" s="69">
        <v>17</v>
      </c>
      <c r="V3" s="69">
        <v>63</v>
      </c>
      <c r="W3" s="69">
        <v>100</v>
      </c>
      <c r="X3" s="69">
        <v>160</v>
      </c>
      <c r="Y3" s="69">
        <v>19</v>
      </c>
      <c r="Z3" s="69">
        <v>61</v>
      </c>
      <c r="AA3" s="69">
        <v>100</v>
      </c>
      <c r="AB3" s="69">
        <v>160</v>
      </c>
      <c r="AC3" s="85">
        <v>500</v>
      </c>
      <c r="AD3" s="85">
        <v>500</v>
      </c>
      <c r="AE3" s="85">
        <v>500</v>
      </c>
      <c r="AF3" s="85">
        <v>500</v>
      </c>
    </row>
    <row r="4" spans="1:32">
      <c r="A4" s="39" t="str">
        <f>INDEX([2]活动总表!$A$8:$A$429,MATCH(B4,[2]活动总表!$B$8:$B$429,0))</f>
        <v>版本庆典-寻宝</v>
      </c>
      <c r="B4" s="40">
        <v>302</v>
      </c>
      <c r="C4" s="40">
        <v>0</v>
      </c>
      <c r="D4" s="40"/>
      <c r="E4" s="40"/>
      <c r="F4" s="40"/>
      <c r="G4" s="40"/>
      <c r="H4" s="40"/>
      <c r="I4" s="82">
        <v>1653264</v>
      </c>
      <c r="J4" s="82">
        <v>1653265</v>
      </c>
      <c r="K4" s="82">
        <v>1653266</v>
      </c>
      <c r="L4" s="40">
        <v>22</v>
      </c>
      <c r="M4" s="84">
        <v>1653267</v>
      </c>
      <c r="N4" s="84">
        <v>1653268</v>
      </c>
      <c r="O4" s="84">
        <v>1653269</v>
      </c>
      <c r="P4" s="84">
        <v>1653275</v>
      </c>
      <c r="Q4" s="84">
        <v>1653267</v>
      </c>
      <c r="R4" s="84">
        <v>1653268</v>
      </c>
      <c r="S4" s="84">
        <v>1653269</v>
      </c>
      <c r="T4" s="84">
        <v>1653275</v>
      </c>
      <c r="U4" s="84">
        <v>1653267</v>
      </c>
      <c r="V4" s="84">
        <v>1653268</v>
      </c>
      <c r="W4" s="84">
        <v>1653269</v>
      </c>
      <c r="X4" s="84">
        <v>1653275</v>
      </c>
      <c r="Y4" s="84">
        <v>1653267</v>
      </c>
      <c r="Z4" s="84">
        <v>1653268</v>
      </c>
      <c r="AA4" s="84">
        <v>1653269</v>
      </c>
      <c r="AB4" s="84">
        <v>1653275</v>
      </c>
      <c r="AC4" s="40"/>
    </row>
    <row r="5" spans="1:32">
      <c r="A5" s="39" t="str">
        <f>INDEX([2]活动总表!$A$8:$A$429,MATCH(B5,[2]活动总表!$B$8:$B$429,0))</f>
        <v>版本庆典-寻宝</v>
      </c>
      <c r="B5" s="40">
        <v>302</v>
      </c>
      <c r="C5" s="40">
        <v>1</v>
      </c>
      <c r="D5" s="40"/>
      <c r="E5" s="40"/>
      <c r="F5" s="40">
        <v>500</v>
      </c>
      <c r="G5" s="40">
        <v>1</v>
      </c>
      <c r="H5" s="40"/>
      <c r="I5" s="82"/>
      <c r="J5" s="82"/>
      <c r="K5" s="82"/>
      <c r="L5" s="40"/>
      <c r="M5" s="82"/>
      <c r="N5" s="82"/>
      <c r="O5" s="82"/>
      <c r="P5" s="82"/>
      <c r="Q5" s="82"/>
      <c r="R5" s="82"/>
      <c r="S5" s="82"/>
      <c r="T5" s="82"/>
      <c r="U5" s="82"/>
      <c r="V5" s="82"/>
      <c r="W5" s="82"/>
      <c r="X5" s="82"/>
      <c r="Y5" s="82"/>
      <c r="Z5" s="82"/>
      <c r="AA5" s="82"/>
      <c r="AB5" s="82"/>
    </row>
    <row r="6" spans="1:32">
      <c r="A6" s="39" t="str">
        <f>INDEX([2]活动总表!$A$8:$A$429,MATCH(B6,[2]活动总表!$B$8:$B$429,0))</f>
        <v>版本庆典-寻宝</v>
      </c>
      <c r="B6" s="40">
        <v>302</v>
      </c>
      <c r="C6" s="40">
        <v>2</v>
      </c>
      <c r="D6" s="40"/>
      <c r="E6" s="40"/>
      <c r="F6" s="40">
        <v>5000</v>
      </c>
      <c r="G6" s="40">
        <v>10</v>
      </c>
      <c r="H6" s="40"/>
      <c r="I6" s="82"/>
      <c r="J6" s="82"/>
      <c r="K6" s="82"/>
      <c r="L6" s="40"/>
      <c r="M6" s="82"/>
      <c r="N6" s="82"/>
      <c r="O6" s="82"/>
      <c r="P6" s="82"/>
      <c r="Q6" s="82"/>
      <c r="R6" s="82"/>
      <c r="S6" s="82"/>
      <c r="T6" s="82"/>
      <c r="U6" s="82"/>
      <c r="V6" s="82"/>
      <c r="W6" s="82"/>
      <c r="X6" s="82"/>
      <c r="Y6" s="82"/>
      <c r="Z6" s="82"/>
      <c r="AA6" s="82"/>
      <c r="AB6" s="82"/>
    </row>
    <row r="7" spans="1:32">
      <c r="A7" s="39" t="str">
        <f>INDEX([2]活动总表!$A$8:$A$429,MATCH(B7,[2]活动总表!$B$8:$B$429,0))</f>
        <v>谁与争锋-寻宝</v>
      </c>
      <c r="B7" s="40">
        <v>502</v>
      </c>
      <c r="C7" s="40">
        <v>0</v>
      </c>
      <c r="D7" s="40"/>
      <c r="E7" s="40"/>
      <c r="F7" s="40"/>
      <c r="G7" s="40"/>
      <c r="H7" s="40"/>
      <c r="I7" s="82">
        <v>1653401</v>
      </c>
      <c r="J7" s="82">
        <v>1653402</v>
      </c>
      <c r="K7" s="82">
        <v>1653403</v>
      </c>
      <c r="L7" s="40">
        <v>22</v>
      </c>
      <c r="M7" s="82">
        <v>1653404</v>
      </c>
      <c r="N7" s="82">
        <v>1653405</v>
      </c>
      <c r="O7" s="82">
        <v>1653406</v>
      </c>
      <c r="P7" s="82">
        <v>1653407</v>
      </c>
      <c r="Q7" s="82">
        <v>1653404</v>
      </c>
      <c r="R7" s="82">
        <v>1653405</v>
      </c>
      <c r="S7" s="82">
        <v>1653406</v>
      </c>
      <c r="T7" s="82">
        <v>1653407</v>
      </c>
      <c r="U7" s="82">
        <v>1653404</v>
      </c>
      <c r="V7" s="82">
        <v>1653405</v>
      </c>
      <c r="W7" s="82">
        <v>1653406</v>
      </c>
      <c r="X7" s="82">
        <v>1653407</v>
      </c>
      <c r="Y7" s="82">
        <v>1653404</v>
      </c>
      <c r="Z7" s="82">
        <v>1653405</v>
      </c>
      <c r="AA7" s="82">
        <v>1653406</v>
      </c>
      <c r="AB7" s="82">
        <v>1653407</v>
      </c>
      <c r="AC7" s="82">
        <v>1653408</v>
      </c>
      <c r="AD7" s="82">
        <v>1653408</v>
      </c>
      <c r="AE7" s="82">
        <v>1653408</v>
      </c>
      <c r="AF7" s="82">
        <v>1653408</v>
      </c>
    </row>
    <row r="8" spans="1:32">
      <c r="A8" s="39" t="str">
        <f>INDEX([2]活动总表!$A$8:$A$429,MATCH(B8,[2]活动总表!$B$8:$B$429,0))</f>
        <v>谁与争锋-寻宝</v>
      </c>
      <c r="B8" s="40">
        <v>502</v>
      </c>
      <c r="C8" s="40">
        <v>1</v>
      </c>
      <c r="D8" s="40">
        <v>200982</v>
      </c>
      <c r="E8" s="40">
        <v>1</v>
      </c>
      <c r="F8" s="40">
        <v>500</v>
      </c>
      <c r="G8" s="40">
        <v>1</v>
      </c>
      <c r="H8" s="40"/>
      <c r="I8" s="82"/>
      <c r="J8" s="82"/>
      <c r="K8" s="82"/>
      <c r="L8" s="40"/>
      <c r="M8" s="82"/>
      <c r="N8" s="82"/>
      <c r="O8" s="82"/>
      <c r="P8" s="82"/>
      <c r="Q8" s="82"/>
      <c r="R8" s="82"/>
      <c r="S8" s="82"/>
      <c r="T8" s="82"/>
      <c r="U8" s="82"/>
      <c r="V8" s="82"/>
      <c r="W8" s="82"/>
      <c r="X8" s="82"/>
      <c r="Y8" s="82"/>
      <c r="Z8" s="82"/>
      <c r="AA8" s="82"/>
      <c r="AB8" s="82"/>
      <c r="AC8" s="82"/>
      <c r="AD8" s="82"/>
      <c r="AE8" s="82"/>
      <c r="AF8" s="82"/>
    </row>
    <row r="9" spans="1:32">
      <c r="A9" s="39" t="str">
        <f>INDEX([2]活动总表!$A$8:$A$429,MATCH(B9,[2]活动总表!$B$8:$B$429,0))</f>
        <v>谁与争锋-寻宝</v>
      </c>
      <c r="B9" s="40">
        <v>502</v>
      </c>
      <c r="C9" s="40">
        <v>2</v>
      </c>
      <c r="D9" s="40">
        <v>200982</v>
      </c>
      <c r="E9" s="40">
        <v>10</v>
      </c>
      <c r="F9" s="40">
        <v>5000</v>
      </c>
      <c r="G9" s="40">
        <v>10</v>
      </c>
      <c r="H9" s="40"/>
      <c r="I9" s="82"/>
      <c r="J9" s="82"/>
      <c r="K9" s="82"/>
      <c r="L9" s="40"/>
      <c r="M9" s="82"/>
      <c r="N9" s="82"/>
      <c r="O9" s="82"/>
      <c r="P9" s="82"/>
      <c r="Q9" s="82"/>
      <c r="R9" s="82"/>
      <c r="S9" s="82"/>
      <c r="T9" s="82"/>
      <c r="U9" s="82"/>
      <c r="V9" s="82"/>
      <c r="W9" s="82"/>
      <c r="X9" s="82"/>
      <c r="Y9" s="82"/>
      <c r="Z9" s="82"/>
      <c r="AA9" s="82"/>
      <c r="AB9" s="82"/>
      <c r="AC9" s="82"/>
      <c r="AD9" s="82"/>
      <c r="AE9" s="82"/>
      <c r="AF9" s="82"/>
    </row>
    <row r="10" spans="1:32">
      <c r="A10" s="39" t="str">
        <f>INDEX([2]活动总表!$A$8:$A$429,MATCH(B10,[2]活动总表!$B$8:$B$429,0))</f>
        <v>谁与争锋-寻宝</v>
      </c>
      <c r="B10" s="40">
        <v>510</v>
      </c>
      <c r="C10" s="40">
        <v>0</v>
      </c>
      <c r="D10" s="40"/>
      <c r="E10" s="40"/>
      <c r="F10" s="40"/>
      <c r="G10" s="40"/>
      <c r="H10" s="40"/>
      <c r="I10" s="82">
        <v>1653401</v>
      </c>
      <c r="J10" s="82">
        <v>1653402</v>
      </c>
      <c r="K10" s="82">
        <v>1653403</v>
      </c>
      <c r="L10" s="40">
        <v>22</v>
      </c>
      <c r="M10" s="82">
        <v>1653404</v>
      </c>
      <c r="N10" s="82">
        <v>1653405</v>
      </c>
      <c r="O10" s="82">
        <v>1653406</v>
      </c>
      <c r="P10" s="82">
        <v>1653407</v>
      </c>
      <c r="Q10" s="82">
        <v>1653404</v>
      </c>
      <c r="R10" s="82">
        <v>1653405</v>
      </c>
      <c r="S10" s="82">
        <v>1653406</v>
      </c>
      <c r="T10" s="82">
        <v>1653407</v>
      </c>
      <c r="U10" s="82">
        <v>1653404</v>
      </c>
      <c r="V10" s="82">
        <v>1653405</v>
      </c>
      <c r="W10" s="82">
        <v>1653406</v>
      </c>
      <c r="X10" s="82">
        <v>1653407</v>
      </c>
      <c r="Y10" s="82">
        <v>1653404</v>
      </c>
      <c r="Z10" s="82">
        <v>1653405</v>
      </c>
      <c r="AA10" s="82">
        <v>1653406</v>
      </c>
      <c r="AB10" s="82">
        <v>1653407</v>
      </c>
      <c r="AC10" s="82">
        <v>1653408</v>
      </c>
      <c r="AD10" s="82">
        <v>1653408</v>
      </c>
      <c r="AE10" s="82">
        <v>1653408</v>
      </c>
      <c r="AF10" s="82">
        <v>1653408</v>
      </c>
    </row>
    <row r="11" spans="1:32">
      <c r="A11" s="39" t="str">
        <f>INDEX([2]活动总表!$A$8:$A$429,MATCH(B11,[2]活动总表!$B$8:$B$429,0))</f>
        <v>谁与争锋-寻宝</v>
      </c>
      <c r="B11" s="40">
        <v>510</v>
      </c>
      <c r="C11" s="40">
        <v>1</v>
      </c>
      <c r="D11" s="40">
        <v>200982</v>
      </c>
      <c r="E11" s="40">
        <v>1</v>
      </c>
      <c r="F11" s="40">
        <v>500</v>
      </c>
      <c r="G11" s="40">
        <v>1</v>
      </c>
      <c r="H11" s="40"/>
      <c r="I11" s="82"/>
      <c r="J11" s="82"/>
      <c r="K11" s="82"/>
      <c r="L11" s="40"/>
      <c r="M11" s="82"/>
      <c r="N11" s="82"/>
      <c r="O11" s="82"/>
      <c r="P11" s="82"/>
      <c r="Q11" s="82"/>
      <c r="R11" s="82"/>
      <c r="S11" s="82"/>
      <c r="T11" s="82"/>
      <c r="U11" s="82"/>
      <c r="V11" s="82"/>
      <c r="W11" s="82"/>
      <c r="X11" s="82"/>
      <c r="Y11" s="82"/>
      <c r="Z11" s="82"/>
      <c r="AA11" s="82"/>
      <c r="AB11" s="82"/>
      <c r="AC11" s="82"/>
      <c r="AD11" s="82"/>
      <c r="AE11" s="82"/>
      <c r="AF11" s="82"/>
    </row>
    <row r="12" spans="1:32">
      <c r="A12" s="39" t="str">
        <f>INDEX([2]活动总表!$A$8:$A$429,MATCH(B12,[2]活动总表!$B$8:$B$429,0))</f>
        <v>谁与争锋-寻宝</v>
      </c>
      <c r="B12" s="40">
        <v>510</v>
      </c>
      <c r="C12" s="40">
        <v>2</v>
      </c>
      <c r="D12" s="40">
        <v>200982</v>
      </c>
      <c r="E12" s="40">
        <v>10</v>
      </c>
      <c r="F12" s="40">
        <v>5000</v>
      </c>
      <c r="G12" s="40">
        <v>10</v>
      </c>
      <c r="H12" s="40"/>
      <c r="I12" s="82"/>
      <c r="J12" s="82"/>
      <c r="K12" s="82"/>
      <c r="L12" s="40"/>
      <c r="M12" s="82"/>
      <c r="N12" s="82"/>
      <c r="O12" s="82"/>
      <c r="P12" s="82"/>
      <c r="Q12" s="82"/>
      <c r="R12" s="82"/>
      <c r="S12" s="82"/>
      <c r="T12" s="82"/>
      <c r="U12" s="82"/>
      <c r="V12" s="82"/>
      <c r="W12" s="82"/>
      <c r="X12" s="82"/>
      <c r="Y12" s="82"/>
      <c r="Z12" s="82"/>
      <c r="AA12" s="82"/>
      <c r="AB12" s="82"/>
      <c r="AC12" s="82"/>
      <c r="AD12" s="82"/>
      <c r="AE12" s="82"/>
      <c r="AF12" s="82"/>
    </row>
    <row r="13" spans="1:32">
      <c r="A13" s="39" t="str">
        <f>INDEX([2]活动总表!$A$8:$A$429,MATCH(B13,[2]活动总表!$B$8:$B$429,0))</f>
        <v>春节抽奖</v>
      </c>
      <c r="B13" s="40">
        <v>562</v>
      </c>
      <c r="C13" s="40">
        <v>0</v>
      </c>
      <c r="D13" s="40"/>
      <c r="E13" s="40"/>
      <c r="F13" s="40"/>
      <c r="G13" s="40"/>
      <c r="H13" s="40"/>
      <c r="I13" s="82">
        <v>1653421</v>
      </c>
      <c r="J13" s="82">
        <v>1653422</v>
      </c>
      <c r="K13" s="82">
        <v>1653423</v>
      </c>
      <c r="L13" s="40">
        <v>22</v>
      </c>
      <c r="M13" s="82">
        <v>1653424</v>
      </c>
      <c r="N13" s="82">
        <v>1653425</v>
      </c>
      <c r="O13" s="82">
        <v>1653426</v>
      </c>
      <c r="P13" s="82">
        <v>1653427</v>
      </c>
      <c r="Q13" s="82">
        <v>1653424</v>
      </c>
      <c r="R13" s="82">
        <v>1653425</v>
      </c>
      <c r="S13" s="82">
        <v>1653426</v>
      </c>
      <c r="T13" s="82">
        <v>1653427</v>
      </c>
      <c r="U13" s="82">
        <v>1653424</v>
      </c>
      <c r="V13" s="82">
        <v>1653425</v>
      </c>
      <c r="W13" s="82">
        <v>1653426</v>
      </c>
      <c r="X13" s="82">
        <v>1653427</v>
      </c>
      <c r="Y13" s="82">
        <v>1653424</v>
      </c>
      <c r="Z13" s="82">
        <v>1653425</v>
      </c>
      <c r="AA13" s="82">
        <v>1653426</v>
      </c>
      <c r="AB13" s="82">
        <v>1653427</v>
      </c>
      <c r="AC13" s="82">
        <v>1653428</v>
      </c>
      <c r="AD13" s="82">
        <v>1653428</v>
      </c>
      <c r="AE13" s="82">
        <v>1653428</v>
      </c>
      <c r="AF13" s="82">
        <v>1653428</v>
      </c>
    </row>
    <row r="14" spans="1:32">
      <c r="A14" s="39" t="str">
        <f>INDEX([2]活动总表!$A$8:$A$429,MATCH(B14,[2]活动总表!$B$8:$B$429,0))</f>
        <v>春节抽奖</v>
      </c>
      <c r="B14" s="40">
        <v>562</v>
      </c>
      <c r="C14" s="40">
        <v>1</v>
      </c>
      <c r="D14" s="40">
        <v>200982</v>
      </c>
      <c r="E14" s="40">
        <v>1</v>
      </c>
      <c r="F14" s="40">
        <v>500</v>
      </c>
      <c r="G14" s="40">
        <v>1</v>
      </c>
      <c r="H14" s="40"/>
      <c r="I14" s="82"/>
      <c r="J14" s="82"/>
      <c r="K14" s="82"/>
      <c r="L14" s="40"/>
      <c r="M14" s="82"/>
      <c r="N14" s="82"/>
      <c r="O14" s="82"/>
      <c r="P14" s="82"/>
      <c r="Q14" s="82"/>
      <c r="R14" s="82"/>
      <c r="S14" s="82"/>
      <c r="T14" s="82"/>
      <c r="U14" s="82"/>
      <c r="V14" s="82"/>
      <c r="W14" s="82"/>
      <c r="X14" s="82"/>
      <c r="Y14" s="82"/>
      <c r="Z14" s="82"/>
      <c r="AA14" s="82"/>
      <c r="AB14" s="82"/>
      <c r="AC14" s="82"/>
      <c r="AD14" s="82"/>
      <c r="AE14" s="82"/>
      <c r="AF14" s="82"/>
    </row>
    <row r="15" spans="1:32">
      <c r="A15" s="39" t="str">
        <f>INDEX([2]活动总表!$A$8:$A$429,MATCH(B15,[2]活动总表!$B$8:$B$429,0))</f>
        <v>春节抽奖</v>
      </c>
      <c r="B15" s="40">
        <v>562</v>
      </c>
      <c r="C15" s="40">
        <v>2</v>
      </c>
      <c r="D15" s="40">
        <v>200982</v>
      </c>
      <c r="E15" s="40">
        <v>10</v>
      </c>
      <c r="F15" s="40">
        <v>5000</v>
      </c>
      <c r="G15" s="40">
        <v>10</v>
      </c>
      <c r="H15" s="40"/>
      <c r="I15" s="82"/>
      <c r="J15" s="82"/>
      <c r="K15" s="82"/>
      <c r="L15" s="40"/>
      <c r="M15" s="82"/>
      <c r="N15" s="82"/>
      <c r="O15" s="82"/>
      <c r="P15" s="82"/>
      <c r="Q15" s="82"/>
      <c r="R15" s="82"/>
      <c r="S15" s="82"/>
      <c r="T15" s="82"/>
      <c r="U15" s="82"/>
      <c r="V15" s="82"/>
      <c r="W15" s="82"/>
      <c r="X15" s="82"/>
      <c r="Y15" s="82"/>
      <c r="Z15" s="82"/>
      <c r="AA15" s="82"/>
      <c r="AB15" s="82"/>
      <c r="AC15" s="82"/>
      <c r="AD15" s="82"/>
      <c r="AE15" s="82"/>
      <c r="AF15" s="82"/>
    </row>
    <row r="16" spans="1:32">
      <c r="A16" s="39" t="str">
        <f>INDEX([2]活动总表!$A$8:$A$429,MATCH(B16,[2]活动总表!$B$8:$B$429,0))</f>
        <v>春节抽奖(15-60</v>
      </c>
      <c r="B16" s="40">
        <v>573</v>
      </c>
      <c r="C16" s="40">
        <v>0</v>
      </c>
      <c r="D16" s="40"/>
      <c r="E16" s="40"/>
      <c r="F16" s="40"/>
      <c r="G16" s="40"/>
      <c r="H16" s="40"/>
      <c r="I16" s="82">
        <v>1653411</v>
      </c>
      <c r="J16" s="82">
        <v>1653412</v>
      </c>
      <c r="K16" s="82">
        <v>1653413</v>
      </c>
      <c r="L16" s="40">
        <v>22</v>
      </c>
      <c r="M16" s="82">
        <v>1653414</v>
      </c>
      <c r="N16" s="82">
        <v>1653415</v>
      </c>
      <c r="O16" s="82">
        <v>1653416</v>
      </c>
      <c r="P16" s="82">
        <v>1653417</v>
      </c>
      <c r="Q16" s="82">
        <v>1653414</v>
      </c>
      <c r="R16" s="82">
        <v>1653415</v>
      </c>
      <c r="S16" s="82">
        <v>1653416</v>
      </c>
      <c r="T16" s="82">
        <v>1653417</v>
      </c>
      <c r="U16" s="82">
        <v>1653414</v>
      </c>
      <c r="V16" s="82">
        <v>1653415</v>
      </c>
      <c r="W16" s="82">
        <v>1653416</v>
      </c>
      <c r="X16" s="82">
        <v>1653417</v>
      </c>
      <c r="Y16" s="82">
        <v>1653414</v>
      </c>
      <c r="Z16" s="82">
        <v>1653415</v>
      </c>
      <c r="AA16" s="82">
        <v>1653416</v>
      </c>
      <c r="AB16" s="82">
        <v>1653417</v>
      </c>
      <c r="AC16" s="82">
        <v>1653418</v>
      </c>
      <c r="AD16" s="82">
        <v>1653418</v>
      </c>
      <c r="AE16" s="82">
        <v>1653418</v>
      </c>
      <c r="AF16" s="82">
        <v>1653418</v>
      </c>
    </row>
    <row r="17" spans="1:32">
      <c r="A17" s="39" t="str">
        <f>INDEX([2]活动总表!$A$8:$A$429,MATCH(B17,[2]活动总表!$B$8:$B$429,0))</f>
        <v>春节抽奖(15-60</v>
      </c>
      <c r="B17" s="40">
        <v>573</v>
      </c>
      <c r="C17" s="40">
        <v>1</v>
      </c>
      <c r="D17" s="40">
        <v>200982</v>
      </c>
      <c r="E17" s="40">
        <v>1</v>
      </c>
      <c r="F17" s="40">
        <v>500</v>
      </c>
      <c r="G17" s="40">
        <v>1</v>
      </c>
      <c r="H17" s="40"/>
      <c r="I17" s="82"/>
      <c r="J17" s="82"/>
      <c r="K17" s="82"/>
      <c r="L17" s="40"/>
      <c r="M17" s="82"/>
      <c r="N17" s="82"/>
      <c r="O17" s="82"/>
      <c r="P17" s="82"/>
      <c r="Q17" s="82"/>
      <c r="R17" s="82"/>
      <c r="S17" s="82"/>
      <c r="T17" s="82"/>
      <c r="U17" s="82"/>
      <c r="V17" s="82"/>
      <c r="W17" s="82"/>
      <c r="X17" s="82"/>
      <c r="Y17" s="82"/>
      <c r="Z17" s="82"/>
      <c r="AA17" s="82"/>
      <c r="AB17" s="82"/>
      <c r="AC17" s="82"/>
      <c r="AD17" s="82"/>
      <c r="AE17" s="82"/>
      <c r="AF17" s="82"/>
    </row>
    <row r="18" spans="1:32">
      <c r="A18" s="39" t="str">
        <f>INDEX([2]活动总表!$A$8:$A$429,MATCH(B18,[2]活动总表!$B$8:$B$429,0))</f>
        <v>春节抽奖(15-60</v>
      </c>
      <c r="B18" s="40">
        <v>573</v>
      </c>
      <c r="C18" s="40">
        <v>2</v>
      </c>
      <c r="D18" s="40">
        <v>200982</v>
      </c>
      <c r="E18" s="40">
        <v>10</v>
      </c>
      <c r="F18" s="40">
        <v>5000</v>
      </c>
      <c r="G18" s="40">
        <v>10</v>
      </c>
      <c r="H18" s="40"/>
      <c r="I18" s="82"/>
      <c r="J18" s="82"/>
      <c r="K18" s="82"/>
      <c r="L18" s="40"/>
      <c r="M18" s="82"/>
      <c r="N18" s="82"/>
      <c r="O18" s="82"/>
      <c r="P18" s="82"/>
      <c r="Q18" s="82"/>
      <c r="R18" s="82"/>
      <c r="S18" s="82"/>
      <c r="T18" s="82"/>
      <c r="U18" s="82"/>
      <c r="V18" s="82"/>
      <c r="W18" s="82"/>
      <c r="X18" s="82"/>
      <c r="Y18" s="82"/>
      <c r="Z18" s="82"/>
      <c r="AA18" s="82"/>
      <c r="AB18" s="82"/>
      <c r="AC18" s="82"/>
      <c r="AD18" s="82"/>
      <c r="AE18" s="82"/>
      <c r="AF18" s="82"/>
    </row>
    <row r="19" spans="1:32">
      <c r="A19" s="39" t="str">
        <f>INDEX([2]活动总表!$A$8:$A$429,MATCH(B19,[2]活动总表!$B$8:$B$429,0))</f>
        <v>春节抽奖(61+</v>
      </c>
      <c r="B19" s="40">
        <v>574</v>
      </c>
      <c r="C19" s="40">
        <v>0</v>
      </c>
      <c r="D19" s="40"/>
      <c r="E19" s="40"/>
      <c r="F19" s="40"/>
      <c r="G19" s="40"/>
      <c r="H19" s="40"/>
      <c r="I19" s="82">
        <v>1653421</v>
      </c>
      <c r="J19" s="82">
        <v>1653422</v>
      </c>
      <c r="K19" s="82">
        <v>1653423</v>
      </c>
      <c r="L19" s="40">
        <v>22</v>
      </c>
      <c r="M19" s="82">
        <v>1653424</v>
      </c>
      <c r="N19" s="82">
        <v>1653425</v>
      </c>
      <c r="O19" s="82">
        <v>1653426</v>
      </c>
      <c r="P19" s="82">
        <v>1653427</v>
      </c>
      <c r="Q19" s="82">
        <v>1653424</v>
      </c>
      <c r="R19" s="82">
        <v>1653425</v>
      </c>
      <c r="S19" s="82">
        <v>1653426</v>
      </c>
      <c r="T19" s="82">
        <v>1653427</v>
      </c>
      <c r="U19" s="82">
        <v>1653424</v>
      </c>
      <c r="V19" s="82">
        <v>1653425</v>
      </c>
      <c r="W19" s="82">
        <v>1653426</v>
      </c>
      <c r="X19" s="82">
        <v>1653427</v>
      </c>
      <c r="Y19" s="82">
        <v>1653424</v>
      </c>
      <c r="Z19" s="82">
        <v>1653425</v>
      </c>
      <c r="AA19" s="82">
        <v>1653426</v>
      </c>
      <c r="AB19" s="82">
        <v>1653427</v>
      </c>
      <c r="AC19" s="82">
        <v>1653428</v>
      </c>
      <c r="AD19" s="82">
        <v>1653428</v>
      </c>
      <c r="AE19" s="82">
        <v>1653428</v>
      </c>
      <c r="AF19" s="82">
        <v>1653428</v>
      </c>
    </row>
    <row r="20" spans="1:32">
      <c r="A20" s="39" t="str">
        <f>INDEX([2]活动总表!$A$8:$A$429,MATCH(B20,[2]活动总表!$B$8:$B$429,0))</f>
        <v>春节抽奖(61+</v>
      </c>
      <c r="B20" s="40">
        <v>574</v>
      </c>
      <c r="C20" s="40">
        <v>1</v>
      </c>
      <c r="D20" s="40">
        <v>200982</v>
      </c>
      <c r="E20" s="40">
        <v>1</v>
      </c>
      <c r="F20" s="40">
        <v>500</v>
      </c>
      <c r="G20" s="40">
        <v>1</v>
      </c>
      <c r="H20" s="40"/>
      <c r="I20" s="82"/>
      <c r="J20" s="82"/>
      <c r="K20" s="82"/>
      <c r="L20" s="40"/>
      <c r="M20" s="82"/>
      <c r="N20" s="82"/>
      <c r="O20" s="82"/>
      <c r="P20" s="82"/>
      <c r="Q20" s="82"/>
      <c r="R20" s="82"/>
      <c r="S20" s="82"/>
      <c r="T20" s="82"/>
      <c r="U20" s="82"/>
      <c r="V20" s="82"/>
      <c r="W20" s="82"/>
      <c r="X20" s="82"/>
      <c r="Y20" s="82"/>
      <c r="Z20" s="82"/>
      <c r="AA20" s="82"/>
      <c r="AB20" s="82"/>
      <c r="AC20" s="82"/>
      <c r="AD20" s="82"/>
      <c r="AE20" s="82"/>
      <c r="AF20" s="82"/>
    </row>
    <row r="21" spans="1:32">
      <c r="A21" s="39" t="str">
        <f>INDEX([2]活动总表!$A$8:$A$429,MATCH(B21,[2]活动总表!$B$8:$B$429,0))</f>
        <v>春节抽奖(61+</v>
      </c>
      <c r="B21" s="40">
        <v>574</v>
      </c>
      <c r="C21" s="40">
        <v>2</v>
      </c>
      <c r="D21" s="40">
        <v>200982</v>
      </c>
      <c r="E21" s="40">
        <v>10</v>
      </c>
      <c r="F21" s="40">
        <v>5000</v>
      </c>
      <c r="G21" s="40">
        <v>10</v>
      </c>
      <c r="H21" s="40"/>
      <c r="I21" s="82"/>
      <c r="J21" s="82"/>
      <c r="K21" s="82"/>
      <c r="L21" s="40"/>
      <c r="M21" s="82"/>
      <c r="N21" s="82"/>
      <c r="O21" s="82"/>
      <c r="P21" s="82"/>
      <c r="Q21" s="82"/>
      <c r="R21" s="82"/>
      <c r="S21" s="82"/>
      <c r="T21" s="82"/>
      <c r="U21" s="82"/>
      <c r="V21" s="82"/>
      <c r="W21" s="82"/>
      <c r="X21" s="82"/>
      <c r="Y21" s="82"/>
      <c r="Z21" s="82"/>
      <c r="AA21" s="82"/>
      <c r="AB21" s="82"/>
      <c r="AC21" s="82"/>
      <c r="AD21" s="82"/>
      <c r="AE21" s="82"/>
      <c r="AF21" s="82"/>
    </row>
    <row r="22" spans="1:32">
      <c r="A22" s="39" t="str">
        <f>INDEX([2]活动总表!$A$8:$A$429,MATCH(B22,[2]活动总表!$B$8:$B$429,0))</f>
        <v>谁与争锋-寻宝</v>
      </c>
      <c r="B22" s="40">
        <v>802</v>
      </c>
      <c r="C22" s="40">
        <v>0</v>
      </c>
      <c r="D22" s="40"/>
      <c r="E22" s="40"/>
      <c r="F22" s="40"/>
      <c r="G22" s="40"/>
      <c r="H22" s="40"/>
      <c r="I22" s="82">
        <v>1653441</v>
      </c>
      <c r="J22" s="82">
        <v>1653442</v>
      </c>
      <c r="K22" s="82">
        <v>1653443</v>
      </c>
      <c r="L22" s="40">
        <v>22</v>
      </c>
      <c r="M22" s="82">
        <v>1653444</v>
      </c>
      <c r="N22" s="82">
        <v>1653445</v>
      </c>
      <c r="O22" s="82">
        <v>1653446</v>
      </c>
      <c r="P22" s="82">
        <v>1653447</v>
      </c>
      <c r="Q22" s="82">
        <v>1653444</v>
      </c>
      <c r="R22" s="82">
        <v>1653445</v>
      </c>
      <c r="S22" s="82">
        <v>1653446</v>
      </c>
      <c r="T22" s="82">
        <v>1653447</v>
      </c>
      <c r="U22" s="82">
        <v>1653444</v>
      </c>
      <c r="V22" s="82">
        <v>1653445</v>
      </c>
      <c r="W22" s="82">
        <v>1653446</v>
      </c>
      <c r="X22" s="82">
        <v>1653447</v>
      </c>
      <c r="Y22" s="82">
        <v>1653444</v>
      </c>
      <c r="Z22" s="82">
        <v>1653445</v>
      </c>
      <c r="AA22" s="82">
        <v>1653446</v>
      </c>
      <c r="AB22" s="82">
        <v>1653447</v>
      </c>
      <c r="AC22" s="82">
        <v>1653448</v>
      </c>
      <c r="AD22" s="82">
        <v>1653448</v>
      </c>
      <c r="AE22" s="82">
        <v>1653448</v>
      </c>
      <c r="AF22" s="82">
        <v>1653448</v>
      </c>
    </row>
    <row r="23" spans="1:32">
      <c r="A23" s="39" t="str">
        <f>INDEX([2]活动总表!$A$8:$A$429,MATCH(B23,[2]活动总表!$B$8:$B$429,0))</f>
        <v>谁与争锋-寻宝</v>
      </c>
      <c r="B23" s="40">
        <v>802</v>
      </c>
      <c r="C23" s="40">
        <v>1</v>
      </c>
      <c r="D23" s="40">
        <v>200982</v>
      </c>
      <c r="E23" s="40">
        <v>1</v>
      </c>
      <c r="F23" s="40">
        <v>500</v>
      </c>
      <c r="G23" s="40">
        <v>1</v>
      </c>
      <c r="H23" s="40"/>
      <c r="I23" s="82"/>
      <c r="J23" s="82"/>
      <c r="K23" s="82"/>
      <c r="L23" s="40"/>
      <c r="M23" s="82"/>
      <c r="N23" s="82"/>
      <c r="O23" s="82"/>
      <c r="P23" s="82"/>
      <c r="Q23" s="82"/>
      <c r="R23" s="82"/>
      <c r="S23" s="82"/>
      <c r="T23" s="82"/>
      <c r="U23" s="82"/>
      <c r="V23" s="82"/>
      <c r="W23" s="82"/>
      <c r="X23" s="82"/>
      <c r="Y23" s="82"/>
      <c r="Z23" s="82"/>
      <c r="AA23" s="82"/>
      <c r="AB23" s="82"/>
      <c r="AC23" s="82"/>
      <c r="AD23" s="82"/>
      <c r="AE23" s="82"/>
      <c r="AF23" s="82"/>
    </row>
    <row r="24" spans="1:32">
      <c r="A24" s="39" t="str">
        <f>INDEX([2]活动总表!$A$8:$A$429,MATCH(B24,[2]活动总表!$B$8:$B$429,0))</f>
        <v>谁与争锋-寻宝</v>
      </c>
      <c r="B24" s="40">
        <v>802</v>
      </c>
      <c r="C24" s="40">
        <v>2</v>
      </c>
      <c r="D24" s="40">
        <v>200982</v>
      </c>
      <c r="E24" s="40">
        <v>10</v>
      </c>
      <c r="F24" s="40">
        <v>5000</v>
      </c>
      <c r="G24" s="40">
        <v>10</v>
      </c>
      <c r="H24" s="40"/>
      <c r="I24" s="82"/>
      <c r="J24" s="82"/>
      <c r="K24" s="82"/>
      <c r="L24" s="40"/>
      <c r="M24" s="82"/>
      <c r="N24" s="82"/>
      <c r="O24" s="82"/>
      <c r="P24" s="82"/>
      <c r="Q24" s="82"/>
      <c r="R24" s="82"/>
      <c r="S24" s="82"/>
      <c r="T24" s="82"/>
      <c r="U24" s="82"/>
      <c r="V24" s="82"/>
      <c r="W24" s="82"/>
      <c r="X24" s="82"/>
      <c r="Y24" s="82"/>
      <c r="Z24" s="82"/>
      <c r="AA24" s="82"/>
      <c r="AB24" s="82"/>
      <c r="AC24" s="82"/>
      <c r="AD24" s="82"/>
      <c r="AE24" s="82"/>
      <c r="AF24" s="82"/>
    </row>
    <row r="25" spans="1:32">
      <c r="A25" s="39" t="str">
        <f>INDEX([2]活动总表!$A$8:$A$429,MATCH(B25,[2]活动总表!$B$8:$B$429,0))</f>
        <v>谁与争锋-寻宝（15-60天）</v>
      </c>
      <c r="B25" s="40">
        <v>810</v>
      </c>
      <c r="C25" s="40">
        <v>0</v>
      </c>
      <c r="D25" s="40"/>
      <c r="E25" s="40"/>
      <c r="F25" s="40"/>
      <c r="G25" s="40"/>
      <c r="H25" s="40"/>
      <c r="I25" s="82">
        <v>1653431</v>
      </c>
      <c r="J25" s="82">
        <v>1653432</v>
      </c>
      <c r="K25" s="82">
        <v>1653433</v>
      </c>
      <c r="L25" s="40">
        <v>22</v>
      </c>
      <c r="M25" s="82">
        <v>1653434</v>
      </c>
      <c r="N25" s="82">
        <v>1653435</v>
      </c>
      <c r="O25" s="82">
        <v>1653436</v>
      </c>
      <c r="P25" s="82">
        <v>1653437</v>
      </c>
      <c r="Q25" s="82">
        <v>1653434</v>
      </c>
      <c r="R25" s="82">
        <v>1653435</v>
      </c>
      <c r="S25" s="82">
        <v>1653436</v>
      </c>
      <c r="T25" s="82">
        <v>1653437</v>
      </c>
      <c r="U25" s="82">
        <v>1653434</v>
      </c>
      <c r="V25" s="82">
        <v>1653435</v>
      </c>
      <c r="W25" s="82">
        <v>1653436</v>
      </c>
      <c r="X25" s="82">
        <v>1653437</v>
      </c>
      <c r="Y25" s="82">
        <v>1653434</v>
      </c>
      <c r="Z25" s="82">
        <v>1653435</v>
      </c>
      <c r="AA25" s="82">
        <v>1653436</v>
      </c>
      <c r="AB25" s="82">
        <v>1653437</v>
      </c>
      <c r="AC25" s="82">
        <v>1653438</v>
      </c>
      <c r="AD25" s="82">
        <v>1653438</v>
      </c>
      <c r="AE25" s="82">
        <v>1653438</v>
      </c>
      <c r="AF25" s="82">
        <v>1653438</v>
      </c>
    </row>
    <row r="26" spans="1:32">
      <c r="A26" s="39" t="str">
        <f>INDEX([2]活动总表!$A$8:$A$429,MATCH(B26,[2]活动总表!$B$8:$B$429,0))</f>
        <v>谁与争锋-寻宝（15-60天）</v>
      </c>
      <c r="B26" s="40">
        <v>810</v>
      </c>
      <c r="C26" s="40">
        <v>1</v>
      </c>
      <c r="D26" s="40">
        <v>200982</v>
      </c>
      <c r="E26" s="40">
        <v>1</v>
      </c>
      <c r="F26" s="40">
        <v>500</v>
      </c>
      <c r="G26" s="40">
        <v>1</v>
      </c>
      <c r="H26" s="40"/>
      <c r="I26" s="82"/>
      <c r="J26" s="82"/>
      <c r="K26" s="82"/>
      <c r="L26" s="40"/>
      <c r="M26" s="82"/>
      <c r="N26" s="82"/>
      <c r="O26" s="82"/>
      <c r="P26" s="82"/>
      <c r="Q26" s="82"/>
      <c r="R26" s="82"/>
      <c r="S26" s="82"/>
      <c r="T26" s="82"/>
      <c r="U26" s="82"/>
      <c r="V26" s="82"/>
      <c r="W26" s="82"/>
      <c r="X26" s="82"/>
      <c r="Y26" s="82"/>
      <c r="Z26" s="82"/>
      <c r="AA26" s="82"/>
      <c r="AB26" s="82"/>
      <c r="AC26" s="82"/>
      <c r="AD26" s="82"/>
      <c r="AE26" s="82"/>
      <c r="AF26" s="82"/>
    </row>
    <row r="27" spans="1:32">
      <c r="A27" s="39" t="str">
        <f>INDEX([2]活动总表!$A$8:$A$429,MATCH(B27,[2]活动总表!$B$8:$B$429,0))</f>
        <v>谁与争锋-寻宝（15-60天）</v>
      </c>
      <c r="B27" s="40">
        <v>810</v>
      </c>
      <c r="C27" s="40">
        <v>2</v>
      </c>
      <c r="D27" s="40">
        <v>200982</v>
      </c>
      <c r="E27" s="40">
        <v>10</v>
      </c>
      <c r="F27" s="40">
        <v>5000</v>
      </c>
      <c r="G27" s="40">
        <v>10</v>
      </c>
      <c r="H27" s="40"/>
      <c r="I27" s="82"/>
      <c r="J27" s="82"/>
      <c r="K27" s="82"/>
      <c r="L27" s="40"/>
      <c r="M27" s="82"/>
      <c r="N27" s="82"/>
      <c r="O27" s="82"/>
      <c r="P27" s="82"/>
      <c r="Q27" s="82"/>
      <c r="R27" s="82"/>
      <c r="S27" s="82"/>
      <c r="T27" s="82"/>
      <c r="U27" s="82"/>
      <c r="V27" s="82"/>
      <c r="W27" s="82"/>
      <c r="X27" s="82"/>
      <c r="Y27" s="82"/>
      <c r="Z27" s="82"/>
      <c r="AA27" s="82"/>
      <c r="AB27" s="82"/>
      <c r="AC27" s="82"/>
      <c r="AD27" s="82"/>
      <c r="AE27" s="82"/>
      <c r="AF27" s="82"/>
    </row>
    <row r="28" spans="1:32">
      <c r="A28" s="39" t="str">
        <f>INDEX([2]活动总表!$A$8:$A$429,MATCH(B28,[2]活动总表!$B$8:$B$429,0))</f>
        <v>谁与争锋-寻宝（61+天）</v>
      </c>
      <c r="B28" s="40">
        <v>821</v>
      </c>
      <c r="C28" s="40">
        <v>0</v>
      </c>
      <c r="D28" s="40"/>
      <c r="E28" s="40"/>
      <c r="F28" s="40"/>
      <c r="G28" s="40"/>
      <c r="H28" s="40"/>
      <c r="I28" s="82">
        <v>1653441</v>
      </c>
      <c r="J28" s="82">
        <v>1653442</v>
      </c>
      <c r="K28" s="82">
        <v>1653443</v>
      </c>
      <c r="L28" s="40">
        <v>22</v>
      </c>
      <c r="M28" s="82">
        <v>1653444</v>
      </c>
      <c r="N28" s="82">
        <v>1653445</v>
      </c>
      <c r="O28" s="82">
        <v>1653446</v>
      </c>
      <c r="P28" s="82">
        <v>1653447</v>
      </c>
      <c r="Q28" s="82">
        <v>1653444</v>
      </c>
      <c r="R28" s="82">
        <v>1653445</v>
      </c>
      <c r="S28" s="82">
        <v>1653446</v>
      </c>
      <c r="T28" s="82">
        <v>1653447</v>
      </c>
      <c r="U28" s="82">
        <v>1653444</v>
      </c>
      <c r="V28" s="82">
        <v>1653445</v>
      </c>
      <c r="W28" s="82">
        <v>1653446</v>
      </c>
      <c r="X28" s="82">
        <v>1653447</v>
      </c>
      <c r="Y28" s="82">
        <v>1653444</v>
      </c>
      <c r="Z28" s="82">
        <v>1653445</v>
      </c>
      <c r="AA28" s="82">
        <v>1653446</v>
      </c>
      <c r="AB28" s="82">
        <v>1653447</v>
      </c>
      <c r="AC28" s="82">
        <v>1653448</v>
      </c>
      <c r="AD28" s="82">
        <v>1653448</v>
      </c>
      <c r="AE28" s="82">
        <v>1653448</v>
      </c>
      <c r="AF28" s="82">
        <v>1653448</v>
      </c>
    </row>
    <row r="29" spans="1:32">
      <c r="A29" s="39" t="str">
        <f>INDEX([2]活动总表!$A$8:$A$429,MATCH(B29,[2]活动总表!$B$8:$B$429,0))</f>
        <v>谁与争锋-寻宝（61+天）</v>
      </c>
      <c r="B29" s="40">
        <v>821</v>
      </c>
      <c r="C29" s="40">
        <v>1</v>
      </c>
      <c r="D29" s="40">
        <v>200982</v>
      </c>
      <c r="E29" s="40">
        <v>1</v>
      </c>
      <c r="F29" s="40">
        <v>500</v>
      </c>
      <c r="G29" s="40">
        <v>1</v>
      </c>
      <c r="H29" s="40"/>
      <c r="I29" s="83"/>
      <c r="J29" s="83"/>
      <c r="K29" s="83"/>
      <c r="L29" s="40"/>
      <c r="M29" s="82"/>
      <c r="N29" s="82"/>
      <c r="O29" s="82"/>
      <c r="P29" s="82"/>
      <c r="Q29" s="82"/>
      <c r="R29" s="82"/>
      <c r="S29" s="82"/>
      <c r="T29" s="82"/>
      <c r="U29" s="82"/>
      <c r="V29" s="82"/>
      <c r="W29" s="82"/>
      <c r="X29" s="82"/>
      <c r="Y29" s="82"/>
      <c r="Z29" s="82"/>
      <c r="AA29" s="82"/>
      <c r="AB29" s="82"/>
      <c r="AC29" s="40"/>
    </row>
    <row r="30" spans="1:32">
      <c r="A30" s="39" t="str">
        <f>INDEX([2]活动总表!$A$8:$A$429,MATCH(B30,[2]活动总表!$B$8:$B$429,0))</f>
        <v>谁与争锋-寻宝（61+天）</v>
      </c>
      <c r="B30" s="40">
        <v>821</v>
      </c>
      <c r="C30" s="40">
        <v>2</v>
      </c>
      <c r="D30" s="40">
        <v>200982</v>
      </c>
      <c r="E30" s="40">
        <v>10</v>
      </c>
      <c r="F30" s="40">
        <v>5000</v>
      </c>
      <c r="G30" s="40">
        <v>10</v>
      </c>
      <c r="H30" s="40"/>
      <c r="I30" s="83"/>
      <c r="J30" s="83"/>
      <c r="K30" s="83"/>
      <c r="L30" s="40"/>
      <c r="M30" s="82"/>
      <c r="N30" s="82"/>
      <c r="O30" s="82"/>
      <c r="P30" s="82"/>
      <c r="Q30" s="82"/>
      <c r="R30" s="82"/>
      <c r="S30" s="82"/>
      <c r="T30" s="82"/>
      <c r="U30" s="82"/>
      <c r="V30" s="82"/>
      <c r="W30" s="82"/>
      <c r="X30" s="82"/>
      <c r="Y30" s="82"/>
      <c r="Z30" s="82"/>
      <c r="AA30" s="82"/>
      <c r="AB30" s="82"/>
      <c r="AC30" s="40"/>
    </row>
  </sheetData>
  <mergeCells count="8">
    <mergeCell ref="M1:AB1"/>
    <mergeCell ref="AC1:AF1"/>
    <mergeCell ref="I1:K1"/>
    <mergeCell ref="I2:K2"/>
    <mergeCell ref="M2:P2"/>
    <mergeCell ref="Q2:T2"/>
    <mergeCell ref="U2:X2"/>
    <mergeCell ref="Y2:AB2"/>
  </mergeCells>
  <phoneticPr fontId="1" type="noConversion"/>
  <hyperlinks>
    <hyperlink ref="I4:K30" location="类型18掉落!A12" display="类型18掉落!A12"/>
    <hyperlink ref="M4:AB28" location="Sheet16!A2" display="Sheet16!A2"/>
    <hyperlink ref="M4:AB30" location="类型18掉落!A2" display="类型18掉落!A2"/>
    <hyperlink ref="AC7:AF28" location="类型18掉落!BD12" display="类型18掉落!BD12"/>
  </hyperlink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T264"/>
  <sheetViews>
    <sheetView topLeftCell="AG1" workbookViewId="0">
      <selection activeCell="AN23" sqref="AN23"/>
    </sheetView>
  </sheetViews>
  <sheetFormatPr defaultRowHeight="13.5"/>
  <cols>
    <col min="1" max="1" width="7.5" bestFit="1" customWidth="1"/>
    <col min="2" max="2" width="21.375" bestFit="1" customWidth="1"/>
    <col min="3" max="3" width="6.5" bestFit="1" customWidth="1"/>
    <col min="4" max="4" width="7.5" bestFit="1" customWidth="1"/>
    <col min="5" max="5" width="21.375" bestFit="1" customWidth="1"/>
    <col min="6" max="7" width="7.5" bestFit="1" customWidth="1"/>
    <col min="8" max="8" width="21.375" bestFit="1" customWidth="1"/>
    <col min="9" max="9" width="6.5" bestFit="1" customWidth="1"/>
    <col min="10" max="10" width="7.5" bestFit="1" customWidth="1"/>
    <col min="11" max="11" width="21.375" bestFit="1" customWidth="1"/>
    <col min="12" max="12" width="6.5" bestFit="1" customWidth="1"/>
    <col min="13" max="13" width="7.5" bestFit="1" customWidth="1"/>
    <col min="14" max="14" width="21.375" bestFit="1" customWidth="1"/>
    <col min="15" max="16" width="7.5" bestFit="1" customWidth="1"/>
    <col min="17" max="17" width="18.5" bestFit="1" customWidth="1"/>
    <col min="18" max="19" width="7.5" bestFit="1" customWidth="1"/>
    <col min="20" max="20" width="21.375" bestFit="1" customWidth="1"/>
    <col min="21" max="21" width="6.5" bestFit="1" customWidth="1"/>
    <col min="22" max="22" width="7.5" bestFit="1" customWidth="1"/>
    <col min="23" max="23" width="21.375" bestFit="1" customWidth="1"/>
    <col min="24" max="25" width="7.5" bestFit="1" customWidth="1"/>
    <col min="26" max="26" width="18.5" bestFit="1" customWidth="1"/>
    <col min="27" max="27" width="6.5" bestFit="1" customWidth="1"/>
    <col min="28" max="28" width="7.5" bestFit="1" customWidth="1"/>
    <col min="29" max="29" width="21.375" bestFit="1" customWidth="1"/>
    <col min="30" max="30" width="6.5" bestFit="1" customWidth="1"/>
    <col min="31" max="31" width="7.5" bestFit="1" customWidth="1"/>
    <col min="32" max="32" width="21.375" bestFit="1" customWidth="1"/>
    <col min="33" max="34" width="7.5" bestFit="1" customWidth="1"/>
    <col min="35" max="35" width="18.5" bestFit="1" customWidth="1"/>
    <col min="36" max="36" width="6.5" bestFit="1" customWidth="1"/>
    <col min="37" max="37" width="7.5" bestFit="1" customWidth="1"/>
    <col min="38" max="38" width="21.375" bestFit="1" customWidth="1"/>
    <col min="39" max="39" width="6.5" bestFit="1" customWidth="1"/>
    <col min="40" max="40" width="7.5" bestFit="1" customWidth="1"/>
    <col min="41" max="41" width="21.375" bestFit="1" customWidth="1"/>
    <col min="42" max="43" width="7.5" bestFit="1" customWidth="1"/>
    <col min="44" max="44" width="18.5" bestFit="1" customWidth="1"/>
    <col min="45" max="45" width="6.5" bestFit="1" customWidth="1"/>
    <col min="46" max="46" width="7.5" bestFit="1" customWidth="1"/>
    <col min="47" max="47" width="21.375" bestFit="1" customWidth="1"/>
    <col min="48" max="48" width="6.5" bestFit="1" customWidth="1"/>
    <col min="49" max="49" width="7.5" bestFit="1" customWidth="1"/>
    <col min="50" max="50" width="21.375" bestFit="1" customWidth="1"/>
    <col min="51" max="52" width="7.5" bestFit="1" customWidth="1"/>
    <col min="53" max="53" width="18.5" bestFit="1" customWidth="1"/>
    <col min="54" max="54" width="6.5" bestFit="1" customWidth="1"/>
  </cols>
  <sheetData>
    <row r="1" spans="1:72">
      <c r="A1" s="136" t="s">
        <v>1314</v>
      </c>
      <c r="B1" s="136"/>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6"/>
      <c r="BS1" s="136"/>
      <c r="BT1" s="136"/>
    </row>
    <row r="2" spans="1:72" s="76" customFormat="1">
      <c r="A2" s="135">
        <v>1653267</v>
      </c>
      <c r="B2" s="135"/>
      <c r="C2" s="135"/>
      <c r="D2" s="135">
        <v>1653268</v>
      </c>
      <c r="E2" s="135"/>
      <c r="F2" s="135"/>
      <c r="G2" s="135">
        <v>1653269</v>
      </c>
      <c r="H2" s="135"/>
      <c r="I2" s="135"/>
      <c r="J2" s="135">
        <v>1653275</v>
      </c>
      <c r="K2" s="135"/>
      <c r="L2" s="135"/>
      <c r="M2" s="135">
        <v>1653404</v>
      </c>
      <c r="N2" s="135"/>
      <c r="O2" s="135"/>
      <c r="P2" s="135">
        <v>1653405</v>
      </c>
      <c r="Q2" s="135"/>
      <c r="R2" s="135"/>
      <c r="S2" s="135">
        <v>1653406</v>
      </c>
      <c r="T2" s="135"/>
      <c r="U2" s="135"/>
      <c r="V2" s="135">
        <v>1653407</v>
      </c>
      <c r="W2" s="135"/>
      <c r="X2" s="135"/>
      <c r="Y2" s="135">
        <v>1653424</v>
      </c>
      <c r="Z2" s="135"/>
      <c r="AA2" s="135"/>
      <c r="AB2" s="135">
        <v>1653425</v>
      </c>
      <c r="AC2" s="135"/>
      <c r="AD2" s="135"/>
      <c r="AE2" s="135">
        <v>1653426</v>
      </c>
      <c r="AF2" s="135"/>
      <c r="AG2" s="135"/>
      <c r="AH2" s="135">
        <v>1653427</v>
      </c>
      <c r="AI2" s="135"/>
      <c r="AJ2" s="135"/>
      <c r="AK2" s="135">
        <v>1653414</v>
      </c>
      <c r="AL2" s="135"/>
      <c r="AM2" s="135"/>
      <c r="AN2" s="135">
        <v>1653415</v>
      </c>
      <c r="AO2" s="135"/>
      <c r="AP2" s="135"/>
      <c r="AQ2" s="135">
        <v>1653416</v>
      </c>
      <c r="AR2" s="135"/>
      <c r="AS2" s="135"/>
      <c r="AT2" s="135">
        <v>1653417</v>
      </c>
      <c r="AU2" s="135"/>
      <c r="AV2" s="135"/>
      <c r="AW2" s="135">
        <v>1653444</v>
      </c>
      <c r="AX2" s="135"/>
      <c r="AY2" s="135"/>
      <c r="AZ2" s="135">
        <v>1653445</v>
      </c>
      <c r="BA2" s="135"/>
      <c r="BB2" s="135"/>
      <c r="BC2" s="135">
        <v>1653446</v>
      </c>
      <c r="BD2" s="135"/>
      <c r="BE2" s="135"/>
      <c r="BF2" s="135">
        <v>1653447</v>
      </c>
      <c r="BG2" s="135"/>
      <c r="BH2" s="135"/>
      <c r="BI2" s="135">
        <v>1653434</v>
      </c>
      <c r="BJ2" s="135"/>
      <c r="BK2" s="135"/>
      <c r="BL2" s="135">
        <v>1653435</v>
      </c>
      <c r="BM2" s="135"/>
      <c r="BN2" s="135"/>
      <c r="BO2" s="135">
        <v>1653436</v>
      </c>
      <c r="BP2" s="135"/>
      <c r="BQ2" s="135"/>
      <c r="BR2" s="135">
        <v>1653437</v>
      </c>
      <c r="BS2" s="135"/>
      <c r="BT2" s="135"/>
    </row>
    <row r="3" spans="1:72" s="76" customFormat="1">
      <c r="A3" s="69" t="s">
        <v>2</v>
      </c>
      <c r="B3" s="69" t="s">
        <v>1048</v>
      </c>
      <c r="C3" s="69" t="s">
        <v>1049</v>
      </c>
      <c r="D3" s="69" t="s">
        <v>2</v>
      </c>
      <c r="E3" s="69" t="s">
        <v>1048</v>
      </c>
      <c r="F3" s="69" t="s">
        <v>1049</v>
      </c>
      <c r="G3" s="69" t="s">
        <v>2</v>
      </c>
      <c r="H3" s="69" t="s">
        <v>1048</v>
      </c>
      <c r="I3" s="69" t="s">
        <v>1049</v>
      </c>
      <c r="J3" s="69" t="s">
        <v>2</v>
      </c>
      <c r="K3" s="69" t="s">
        <v>1048</v>
      </c>
      <c r="L3" s="69" t="s">
        <v>1049</v>
      </c>
      <c r="M3" s="69" t="s">
        <v>2</v>
      </c>
      <c r="N3" s="69" t="s">
        <v>1048</v>
      </c>
      <c r="O3" s="69" t="s">
        <v>1049</v>
      </c>
      <c r="P3" s="69" t="s">
        <v>2</v>
      </c>
      <c r="Q3" s="69" t="s">
        <v>1048</v>
      </c>
      <c r="R3" s="69" t="s">
        <v>1049</v>
      </c>
      <c r="S3" s="69" t="s">
        <v>2</v>
      </c>
      <c r="T3" s="69" t="s">
        <v>1048</v>
      </c>
      <c r="U3" s="69" t="s">
        <v>1049</v>
      </c>
      <c r="V3" s="69" t="s">
        <v>2</v>
      </c>
      <c r="W3" s="69" t="s">
        <v>1048</v>
      </c>
      <c r="X3" s="69" t="s">
        <v>1049</v>
      </c>
      <c r="Y3" s="69" t="s">
        <v>2</v>
      </c>
      <c r="Z3" s="69" t="s">
        <v>1048</v>
      </c>
      <c r="AA3" s="69" t="s">
        <v>1049</v>
      </c>
      <c r="AB3" s="69" t="s">
        <v>2</v>
      </c>
      <c r="AC3" s="69" t="s">
        <v>1048</v>
      </c>
      <c r="AD3" s="69" t="s">
        <v>1049</v>
      </c>
      <c r="AE3" s="69" t="s">
        <v>2</v>
      </c>
      <c r="AF3" s="69" t="s">
        <v>1048</v>
      </c>
      <c r="AG3" s="69" t="s">
        <v>1049</v>
      </c>
      <c r="AH3" s="69" t="s">
        <v>2</v>
      </c>
      <c r="AI3" s="69" t="s">
        <v>1048</v>
      </c>
      <c r="AJ3" s="69" t="s">
        <v>1049</v>
      </c>
      <c r="AK3" s="69" t="s">
        <v>2</v>
      </c>
      <c r="AL3" s="69" t="s">
        <v>1048</v>
      </c>
      <c r="AM3" s="69" t="s">
        <v>1049</v>
      </c>
      <c r="AN3" s="69" t="s">
        <v>2</v>
      </c>
      <c r="AO3" s="69" t="s">
        <v>1048</v>
      </c>
      <c r="AP3" s="69" t="s">
        <v>1049</v>
      </c>
      <c r="AQ3" s="69" t="s">
        <v>2</v>
      </c>
      <c r="AR3" s="69" t="s">
        <v>1048</v>
      </c>
      <c r="AS3" s="69" t="s">
        <v>1049</v>
      </c>
      <c r="AT3" s="69" t="s">
        <v>2</v>
      </c>
      <c r="AU3" s="69" t="s">
        <v>1048</v>
      </c>
      <c r="AV3" s="69" t="s">
        <v>1049</v>
      </c>
      <c r="AW3" s="69" t="s">
        <v>2</v>
      </c>
      <c r="AX3" s="69" t="s">
        <v>1048</v>
      </c>
      <c r="AY3" s="69" t="s">
        <v>1049</v>
      </c>
      <c r="AZ3" s="69" t="s">
        <v>2</v>
      </c>
      <c r="BA3" s="69" t="s">
        <v>1048</v>
      </c>
      <c r="BB3" s="69" t="s">
        <v>1049</v>
      </c>
      <c r="BC3" s="69" t="s">
        <v>2</v>
      </c>
      <c r="BD3" s="69" t="s">
        <v>1048</v>
      </c>
      <c r="BE3" s="69" t="s">
        <v>1049</v>
      </c>
      <c r="BF3" s="69" t="s">
        <v>2</v>
      </c>
      <c r="BG3" s="69" t="s">
        <v>1048</v>
      </c>
      <c r="BH3" s="69" t="s">
        <v>1049</v>
      </c>
      <c r="BI3" s="69" t="s">
        <v>2</v>
      </c>
      <c r="BJ3" s="69" t="s">
        <v>1048</v>
      </c>
      <c r="BK3" s="69" t="s">
        <v>1049</v>
      </c>
      <c r="BL3" s="69" t="s">
        <v>2</v>
      </c>
      <c r="BM3" s="69" t="s">
        <v>1048</v>
      </c>
      <c r="BN3" s="69" t="s">
        <v>1049</v>
      </c>
      <c r="BO3" s="69" t="s">
        <v>2</v>
      </c>
      <c r="BP3" s="69" t="s">
        <v>1048</v>
      </c>
      <c r="BQ3" s="69" t="s">
        <v>1049</v>
      </c>
      <c r="BR3" s="69" t="s">
        <v>2</v>
      </c>
      <c r="BS3" s="69" t="s">
        <v>1048</v>
      </c>
      <c r="BT3" s="69" t="s">
        <v>1049</v>
      </c>
    </row>
    <row r="4" spans="1:72" s="1" customFormat="1">
      <c r="A4" s="1">
        <v>111413</v>
      </c>
      <c r="B4" s="1" t="s">
        <v>1126</v>
      </c>
      <c r="C4" s="1">
        <v>0.16</v>
      </c>
      <c r="D4" s="1">
        <v>111414</v>
      </c>
      <c r="E4" s="1" t="s">
        <v>1144</v>
      </c>
      <c r="F4" s="1">
        <v>0.16</v>
      </c>
      <c r="G4" s="1">
        <v>204078</v>
      </c>
      <c r="H4" s="1" t="s">
        <v>1052</v>
      </c>
      <c r="I4" s="1">
        <v>0.16</v>
      </c>
      <c r="J4" s="1">
        <v>111415</v>
      </c>
      <c r="K4" s="1" t="s">
        <v>1162</v>
      </c>
      <c r="L4" s="1">
        <v>0.16</v>
      </c>
      <c r="M4" s="1">
        <v>111413</v>
      </c>
      <c r="N4" s="1" t="s">
        <v>1126</v>
      </c>
      <c r="O4" s="1">
        <v>0.16</v>
      </c>
      <c r="P4" s="1">
        <v>910041</v>
      </c>
      <c r="Q4" s="1" t="s">
        <v>1289</v>
      </c>
      <c r="R4" s="1">
        <v>0.16</v>
      </c>
      <c r="S4" s="1">
        <v>204078</v>
      </c>
      <c r="T4" s="1" t="s">
        <v>1052</v>
      </c>
      <c r="U4" s="1">
        <v>0.16</v>
      </c>
      <c r="V4" s="1">
        <v>111415</v>
      </c>
      <c r="W4" s="1" t="s">
        <v>1162</v>
      </c>
      <c r="X4" s="1">
        <v>0.16</v>
      </c>
      <c r="Y4" s="1">
        <v>111413</v>
      </c>
      <c r="Z4" s="1" t="s">
        <v>1126</v>
      </c>
      <c r="AA4" s="1">
        <v>0.16</v>
      </c>
      <c r="AB4" s="1">
        <v>200143</v>
      </c>
      <c r="AC4" s="1" t="s">
        <v>1301</v>
      </c>
      <c r="AD4" s="1">
        <v>0.16</v>
      </c>
      <c r="AE4" s="1">
        <v>410001</v>
      </c>
      <c r="AF4" s="1" t="s">
        <v>1303</v>
      </c>
      <c r="AG4" s="1">
        <v>0.1</v>
      </c>
      <c r="AH4" s="1">
        <v>111415</v>
      </c>
      <c r="AI4" s="1" t="s">
        <v>1162</v>
      </c>
      <c r="AJ4" s="1">
        <v>0.16</v>
      </c>
      <c r="AK4" s="1">
        <v>111413</v>
      </c>
      <c r="AL4" s="1" t="s">
        <v>1126</v>
      </c>
      <c r="AM4" s="1">
        <v>0.16</v>
      </c>
      <c r="AN4" s="1">
        <v>200143</v>
      </c>
      <c r="AO4" s="1" t="s">
        <v>1301</v>
      </c>
      <c r="AP4" s="1">
        <v>0.16</v>
      </c>
      <c r="AQ4" s="1">
        <v>410001</v>
      </c>
      <c r="AR4" s="1" t="s">
        <v>1303</v>
      </c>
      <c r="AS4" s="1">
        <v>0.1</v>
      </c>
      <c r="AT4" s="1">
        <v>111415</v>
      </c>
      <c r="AU4" s="1" t="s">
        <v>1162</v>
      </c>
      <c r="AV4" s="1">
        <v>0.16</v>
      </c>
      <c r="AW4" s="1">
        <v>111414</v>
      </c>
      <c r="AX4" s="1" t="s">
        <v>1144</v>
      </c>
      <c r="AY4" s="1">
        <v>0.16</v>
      </c>
      <c r="AZ4" s="1">
        <v>910041</v>
      </c>
      <c r="BA4" s="1" t="s">
        <v>1289</v>
      </c>
      <c r="BB4" s="1">
        <v>0.16</v>
      </c>
      <c r="BC4" s="1">
        <v>204078</v>
      </c>
      <c r="BD4" s="1" t="s">
        <v>1052</v>
      </c>
      <c r="BE4" s="1">
        <v>0.16</v>
      </c>
      <c r="BF4" s="1">
        <v>111415</v>
      </c>
      <c r="BG4" s="1" t="s">
        <v>1162</v>
      </c>
      <c r="BH4" s="1">
        <v>0.16</v>
      </c>
      <c r="BI4" s="1">
        <v>111413</v>
      </c>
      <c r="BJ4" s="1" t="s">
        <v>1126</v>
      </c>
      <c r="BK4" s="1">
        <v>0.16</v>
      </c>
      <c r="BL4" s="1">
        <v>910041</v>
      </c>
      <c r="BM4" s="1" t="s">
        <v>1289</v>
      </c>
      <c r="BN4" s="1">
        <v>0.16</v>
      </c>
      <c r="BO4" s="1">
        <v>204078</v>
      </c>
      <c r="BP4" s="1" t="s">
        <v>1052</v>
      </c>
      <c r="BQ4" s="1">
        <v>0.16</v>
      </c>
      <c r="BR4" s="1">
        <v>111415</v>
      </c>
      <c r="BS4" s="1" t="s">
        <v>1162</v>
      </c>
      <c r="BT4" s="1">
        <v>0.16</v>
      </c>
    </row>
    <row r="5" spans="1:72" s="1" customFormat="1">
      <c r="A5" s="1">
        <v>131413</v>
      </c>
      <c r="B5" s="1" t="s">
        <v>1127</v>
      </c>
      <c r="C5" s="1">
        <v>0.16</v>
      </c>
      <c r="D5" s="1">
        <v>131414</v>
      </c>
      <c r="E5" s="1" t="s">
        <v>1145</v>
      </c>
      <c r="F5" s="1">
        <v>0.16</v>
      </c>
      <c r="G5" s="1">
        <v>204080</v>
      </c>
      <c r="H5" s="1" t="s">
        <v>1053</v>
      </c>
      <c r="I5" s="1">
        <v>0.16</v>
      </c>
      <c r="J5" s="1">
        <v>131415</v>
      </c>
      <c r="K5" s="1" t="s">
        <v>1163</v>
      </c>
      <c r="L5" s="1">
        <v>0.16</v>
      </c>
      <c r="M5" s="1">
        <v>131413</v>
      </c>
      <c r="N5" s="1" t="s">
        <v>1127</v>
      </c>
      <c r="O5" s="1">
        <v>0.16</v>
      </c>
      <c r="P5" s="1">
        <v>910042</v>
      </c>
      <c r="Q5" s="1" t="s">
        <v>1290</v>
      </c>
      <c r="R5" s="1">
        <v>0.16</v>
      </c>
      <c r="S5" s="1">
        <v>204080</v>
      </c>
      <c r="T5" s="1" t="s">
        <v>1053</v>
      </c>
      <c r="U5" s="1">
        <v>0.16</v>
      </c>
      <c r="V5" s="1">
        <v>131415</v>
      </c>
      <c r="W5" s="1" t="s">
        <v>1163</v>
      </c>
      <c r="X5" s="1">
        <v>0.16</v>
      </c>
      <c r="Y5" s="1">
        <v>131413</v>
      </c>
      <c r="Z5" s="1" t="s">
        <v>1127</v>
      </c>
      <c r="AA5" s="1">
        <v>0.16</v>
      </c>
      <c r="AB5" s="1">
        <v>200145</v>
      </c>
      <c r="AC5" s="1" t="s">
        <v>1302</v>
      </c>
      <c r="AD5" s="1">
        <v>0.16</v>
      </c>
      <c r="AE5" s="1">
        <v>410002</v>
      </c>
      <c r="AF5" s="1" t="s">
        <v>1305</v>
      </c>
      <c r="AG5" s="1">
        <v>0.3</v>
      </c>
      <c r="AH5" s="1">
        <v>131415</v>
      </c>
      <c r="AI5" s="1" t="s">
        <v>1163</v>
      </c>
      <c r="AJ5" s="1">
        <v>0.16</v>
      </c>
      <c r="AK5" s="1">
        <v>131413</v>
      </c>
      <c r="AL5" s="1" t="s">
        <v>1127</v>
      </c>
      <c r="AM5" s="1">
        <v>0.16</v>
      </c>
      <c r="AN5" s="1">
        <v>200145</v>
      </c>
      <c r="AO5" s="1" t="s">
        <v>1302</v>
      </c>
      <c r="AP5" s="1">
        <v>0.16</v>
      </c>
      <c r="AQ5" s="1">
        <v>410002</v>
      </c>
      <c r="AR5" s="1" t="s">
        <v>1305</v>
      </c>
      <c r="AS5" s="1">
        <v>0.3</v>
      </c>
      <c r="AT5" s="1">
        <v>131415</v>
      </c>
      <c r="AU5" s="1" t="s">
        <v>1163</v>
      </c>
      <c r="AV5" s="1">
        <v>0.16</v>
      </c>
      <c r="AW5" s="1">
        <v>131414</v>
      </c>
      <c r="AX5" s="1" t="s">
        <v>1145</v>
      </c>
      <c r="AY5" s="1">
        <v>0.16</v>
      </c>
      <c r="AZ5" s="1">
        <v>910042</v>
      </c>
      <c r="BA5" s="1" t="s">
        <v>1290</v>
      </c>
      <c r="BB5" s="1">
        <v>0.16</v>
      </c>
      <c r="BC5" s="1">
        <v>204080</v>
      </c>
      <c r="BD5" s="1" t="s">
        <v>1053</v>
      </c>
      <c r="BE5" s="1">
        <v>0.16</v>
      </c>
      <c r="BF5" s="1">
        <v>131415</v>
      </c>
      <c r="BG5" s="1" t="s">
        <v>1163</v>
      </c>
      <c r="BH5" s="1">
        <v>0.16</v>
      </c>
      <c r="BI5" s="1">
        <v>131413</v>
      </c>
      <c r="BJ5" s="1" t="s">
        <v>1127</v>
      </c>
      <c r="BK5" s="1">
        <v>0.16</v>
      </c>
      <c r="BL5" s="1">
        <v>910042</v>
      </c>
      <c r="BM5" s="1" t="s">
        <v>1290</v>
      </c>
      <c r="BN5" s="1">
        <v>0.16</v>
      </c>
      <c r="BO5" s="1">
        <v>204080</v>
      </c>
      <c r="BP5" s="1" t="s">
        <v>1053</v>
      </c>
      <c r="BQ5" s="1">
        <v>0.16</v>
      </c>
      <c r="BR5" s="1">
        <v>131415</v>
      </c>
      <c r="BS5" s="1" t="s">
        <v>1163</v>
      </c>
      <c r="BT5" s="1">
        <v>0.16</v>
      </c>
    </row>
    <row r="6" spans="1:72" s="1" customFormat="1">
      <c r="A6" s="1">
        <v>141413</v>
      </c>
      <c r="B6" s="1" t="s">
        <v>1128</v>
      </c>
      <c r="C6" s="1">
        <v>0.17</v>
      </c>
      <c r="D6" s="1">
        <v>141414</v>
      </c>
      <c r="E6" s="1" t="s">
        <v>1146</v>
      </c>
      <c r="F6" s="1">
        <v>0.17</v>
      </c>
      <c r="G6" s="1">
        <v>204081</v>
      </c>
      <c r="H6" s="1" t="s">
        <v>1054</v>
      </c>
      <c r="I6" s="1">
        <v>0.17</v>
      </c>
      <c r="J6" s="1">
        <v>141415</v>
      </c>
      <c r="K6" s="1" t="s">
        <v>1164</v>
      </c>
      <c r="L6" s="1">
        <v>0.17</v>
      </c>
      <c r="M6" s="1">
        <v>141413</v>
      </c>
      <c r="N6" s="1" t="s">
        <v>1128</v>
      </c>
      <c r="O6" s="1">
        <v>0.17</v>
      </c>
      <c r="P6" s="1">
        <v>910043</v>
      </c>
      <c r="Q6" s="1" t="s">
        <v>1291</v>
      </c>
      <c r="R6" s="1">
        <v>0.17</v>
      </c>
      <c r="S6" s="1">
        <v>204081</v>
      </c>
      <c r="T6" s="1" t="s">
        <v>1054</v>
      </c>
      <c r="U6" s="1">
        <v>0.17</v>
      </c>
      <c r="V6" s="1">
        <v>141415</v>
      </c>
      <c r="W6" s="1" t="s">
        <v>1164</v>
      </c>
      <c r="X6" s="1">
        <v>0.17</v>
      </c>
      <c r="Y6" s="1">
        <v>141413</v>
      </c>
      <c r="Z6" s="1" t="s">
        <v>1128</v>
      </c>
      <c r="AA6" s="1">
        <v>0.17</v>
      </c>
      <c r="AB6" s="1">
        <v>200146</v>
      </c>
      <c r="AC6" s="1" t="s">
        <v>1304</v>
      </c>
      <c r="AD6" s="1">
        <v>0.17</v>
      </c>
      <c r="AE6" s="1">
        <v>410003</v>
      </c>
      <c r="AF6" s="1" t="s">
        <v>1307</v>
      </c>
      <c r="AG6" s="1">
        <v>0.3</v>
      </c>
      <c r="AH6" s="1">
        <v>141415</v>
      </c>
      <c r="AI6" s="1" t="s">
        <v>1164</v>
      </c>
      <c r="AJ6" s="1">
        <v>0.17</v>
      </c>
      <c r="AK6" s="1">
        <v>141413</v>
      </c>
      <c r="AL6" s="1" t="s">
        <v>1128</v>
      </c>
      <c r="AM6" s="1">
        <v>0.17</v>
      </c>
      <c r="AN6" s="1">
        <v>200146</v>
      </c>
      <c r="AO6" s="1" t="s">
        <v>1304</v>
      </c>
      <c r="AP6" s="1">
        <v>0.17</v>
      </c>
      <c r="AQ6" s="1">
        <v>410003</v>
      </c>
      <c r="AR6" s="1" t="s">
        <v>1307</v>
      </c>
      <c r="AS6" s="1">
        <v>0.3</v>
      </c>
      <c r="AT6" s="1">
        <v>141415</v>
      </c>
      <c r="AU6" s="1" t="s">
        <v>1164</v>
      </c>
      <c r="AV6" s="1">
        <v>0.17</v>
      </c>
      <c r="AW6" s="1">
        <v>141414</v>
      </c>
      <c r="AX6" s="1" t="s">
        <v>1146</v>
      </c>
      <c r="AY6" s="1">
        <v>0.17</v>
      </c>
      <c r="AZ6" s="1">
        <v>910043</v>
      </c>
      <c r="BA6" s="1" t="s">
        <v>1291</v>
      </c>
      <c r="BB6" s="1">
        <v>0.17</v>
      </c>
      <c r="BC6" s="1">
        <v>204081</v>
      </c>
      <c r="BD6" s="1" t="s">
        <v>1054</v>
      </c>
      <c r="BE6" s="1">
        <v>0.17</v>
      </c>
      <c r="BF6" s="1">
        <v>141415</v>
      </c>
      <c r="BG6" s="1" t="s">
        <v>1164</v>
      </c>
      <c r="BH6" s="1">
        <v>0.17</v>
      </c>
      <c r="BI6" s="1">
        <v>141413</v>
      </c>
      <c r="BJ6" s="1" t="s">
        <v>1128</v>
      </c>
      <c r="BK6" s="1">
        <v>0.17</v>
      </c>
      <c r="BL6" s="1">
        <v>910043</v>
      </c>
      <c r="BM6" s="1" t="s">
        <v>1291</v>
      </c>
      <c r="BN6" s="1">
        <v>0.17</v>
      </c>
      <c r="BO6" s="1">
        <v>204081</v>
      </c>
      <c r="BP6" s="1" t="s">
        <v>1054</v>
      </c>
      <c r="BQ6" s="1">
        <v>0.17</v>
      </c>
      <c r="BR6" s="1">
        <v>141415</v>
      </c>
      <c r="BS6" s="1" t="s">
        <v>1164</v>
      </c>
      <c r="BT6" s="1">
        <v>0.17</v>
      </c>
    </row>
    <row r="7" spans="1:72" s="1" customFormat="1">
      <c r="A7" s="1">
        <v>161413</v>
      </c>
      <c r="B7" s="1" t="s">
        <v>1129</v>
      </c>
      <c r="C7" s="1">
        <v>0.17</v>
      </c>
      <c r="D7" s="1">
        <v>161414</v>
      </c>
      <c r="E7" s="1" t="s">
        <v>1147</v>
      </c>
      <c r="F7" s="1">
        <v>0.17</v>
      </c>
      <c r="G7" s="1">
        <v>204082</v>
      </c>
      <c r="H7" s="1" t="s">
        <v>1055</v>
      </c>
      <c r="I7" s="1">
        <v>0.17</v>
      </c>
      <c r="J7" s="1">
        <v>161415</v>
      </c>
      <c r="K7" s="1" t="s">
        <v>1165</v>
      </c>
      <c r="L7" s="1">
        <v>0.17</v>
      </c>
      <c r="M7" s="1">
        <v>161413</v>
      </c>
      <c r="N7" s="1" t="s">
        <v>1129</v>
      </c>
      <c r="O7" s="1">
        <v>0.17</v>
      </c>
      <c r="P7" s="1">
        <v>910044</v>
      </c>
      <c r="Q7" s="1" t="s">
        <v>1293</v>
      </c>
      <c r="R7" s="1">
        <v>0.51</v>
      </c>
      <c r="S7" s="1">
        <v>204082</v>
      </c>
      <c r="T7" s="1" t="s">
        <v>1055</v>
      </c>
      <c r="U7" s="1">
        <v>0.17</v>
      </c>
      <c r="V7" s="1">
        <v>161415</v>
      </c>
      <c r="W7" s="1" t="s">
        <v>1165</v>
      </c>
      <c r="X7" s="1">
        <v>0.17</v>
      </c>
      <c r="Y7" s="1">
        <v>161413</v>
      </c>
      <c r="Z7" s="1" t="s">
        <v>1129</v>
      </c>
      <c r="AA7" s="1">
        <v>0.17</v>
      </c>
      <c r="AB7" s="1">
        <v>200148</v>
      </c>
      <c r="AC7" s="1" t="s">
        <v>1306</v>
      </c>
      <c r="AD7" s="1">
        <v>0.17</v>
      </c>
      <c r="AE7" s="1">
        <v>410004</v>
      </c>
      <c r="AF7" s="1" t="s">
        <v>1309</v>
      </c>
      <c r="AG7" s="1">
        <v>0.3</v>
      </c>
      <c r="AH7" s="1">
        <v>161415</v>
      </c>
      <c r="AI7" s="1" t="s">
        <v>1165</v>
      </c>
      <c r="AJ7" s="1">
        <v>0.17</v>
      </c>
      <c r="AK7" s="1">
        <v>161413</v>
      </c>
      <c r="AL7" s="1" t="s">
        <v>1129</v>
      </c>
      <c r="AM7" s="1">
        <v>0.17</v>
      </c>
      <c r="AN7" s="1">
        <v>200148</v>
      </c>
      <c r="AO7" s="1" t="s">
        <v>1306</v>
      </c>
      <c r="AP7" s="1">
        <v>0.17</v>
      </c>
      <c r="AQ7" s="1">
        <v>410004</v>
      </c>
      <c r="AR7" s="1" t="s">
        <v>1309</v>
      </c>
      <c r="AS7" s="1">
        <v>0.3</v>
      </c>
      <c r="AT7" s="1">
        <v>161415</v>
      </c>
      <c r="AU7" s="1" t="s">
        <v>1165</v>
      </c>
      <c r="AV7" s="1">
        <v>0.17</v>
      </c>
      <c r="AW7" s="1">
        <v>161414</v>
      </c>
      <c r="AX7" s="1" t="s">
        <v>1147</v>
      </c>
      <c r="AY7" s="1">
        <v>0.17</v>
      </c>
      <c r="AZ7" s="1">
        <v>910044</v>
      </c>
      <c r="BA7" s="1" t="s">
        <v>1293</v>
      </c>
      <c r="BB7" s="1">
        <v>0.51</v>
      </c>
      <c r="BC7" s="1">
        <v>204082</v>
      </c>
      <c r="BD7" s="1" t="s">
        <v>1055</v>
      </c>
      <c r="BE7" s="1">
        <v>0.17</v>
      </c>
      <c r="BF7" s="1">
        <v>161415</v>
      </c>
      <c r="BG7" s="1" t="s">
        <v>1165</v>
      </c>
      <c r="BH7" s="1">
        <v>0.17</v>
      </c>
      <c r="BI7" s="1">
        <v>161413</v>
      </c>
      <c r="BJ7" s="1" t="s">
        <v>1129</v>
      </c>
      <c r="BK7" s="1">
        <v>0.17</v>
      </c>
      <c r="BL7" s="1">
        <v>910044</v>
      </c>
      <c r="BM7" s="1" t="s">
        <v>1293</v>
      </c>
      <c r="BN7" s="1">
        <v>0.51</v>
      </c>
      <c r="BO7" s="1">
        <v>204082</v>
      </c>
      <c r="BP7" s="1" t="s">
        <v>1055</v>
      </c>
      <c r="BQ7" s="1">
        <v>0.17</v>
      </c>
      <c r="BR7" s="1">
        <v>161415</v>
      </c>
      <c r="BS7" s="1" t="s">
        <v>1165</v>
      </c>
      <c r="BT7" s="1">
        <v>0.17</v>
      </c>
    </row>
    <row r="8" spans="1:72" s="1" customFormat="1">
      <c r="A8" s="1">
        <v>151413</v>
      </c>
      <c r="B8" s="1" t="s">
        <v>1130</v>
      </c>
      <c r="C8" s="1">
        <v>0.17</v>
      </c>
      <c r="D8" s="1">
        <v>151414</v>
      </c>
      <c r="E8" s="1" t="s">
        <v>1148</v>
      </c>
      <c r="F8" s="1">
        <v>0.17</v>
      </c>
      <c r="G8" s="1">
        <v>204083</v>
      </c>
      <c r="H8" s="1" t="s">
        <v>1056</v>
      </c>
      <c r="I8" s="1">
        <v>0.17</v>
      </c>
      <c r="J8" s="1">
        <v>151415</v>
      </c>
      <c r="K8" s="1" t="s">
        <v>1166</v>
      </c>
      <c r="L8" s="1">
        <v>0.17</v>
      </c>
      <c r="M8" s="1">
        <v>151413</v>
      </c>
      <c r="N8" s="1" t="s">
        <v>1130</v>
      </c>
      <c r="O8" s="1">
        <v>0.17</v>
      </c>
      <c r="S8" s="1">
        <v>204083</v>
      </c>
      <c r="T8" s="1" t="s">
        <v>1056</v>
      </c>
      <c r="U8" s="1">
        <v>0.17</v>
      </c>
      <c r="V8" s="1">
        <v>151415</v>
      </c>
      <c r="W8" s="1" t="s">
        <v>1166</v>
      </c>
      <c r="X8" s="1">
        <v>0.17</v>
      </c>
      <c r="Y8" s="1">
        <v>151413</v>
      </c>
      <c r="Z8" s="1" t="s">
        <v>1130</v>
      </c>
      <c r="AA8" s="1">
        <v>0.17</v>
      </c>
      <c r="AB8" s="1">
        <v>200147</v>
      </c>
      <c r="AC8" s="1" t="s">
        <v>1308</v>
      </c>
      <c r="AH8" s="1">
        <v>151415</v>
      </c>
      <c r="AI8" s="1" t="s">
        <v>1166</v>
      </c>
      <c r="AJ8" s="1">
        <v>0.17</v>
      </c>
      <c r="AK8" s="1">
        <v>151413</v>
      </c>
      <c r="AL8" s="1" t="s">
        <v>1130</v>
      </c>
      <c r="AM8" s="1">
        <v>0.17</v>
      </c>
      <c r="AN8" s="1">
        <v>200147</v>
      </c>
      <c r="AO8" s="1" t="s">
        <v>1308</v>
      </c>
      <c r="AP8" s="1">
        <v>0.17</v>
      </c>
      <c r="AT8" s="1">
        <v>151415</v>
      </c>
      <c r="AU8" s="1" t="s">
        <v>1166</v>
      </c>
      <c r="AV8" s="1">
        <v>0.17</v>
      </c>
      <c r="AW8" s="1">
        <v>151414</v>
      </c>
      <c r="AX8" s="1" t="s">
        <v>1148</v>
      </c>
      <c r="AY8" s="1">
        <v>0.17</v>
      </c>
      <c r="BC8" s="1">
        <v>204083</v>
      </c>
      <c r="BD8" s="1" t="s">
        <v>1056</v>
      </c>
      <c r="BE8" s="1">
        <v>0.17</v>
      </c>
      <c r="BF8" s="1">
        <v>151415</v>
      </c>
      <c r="BG8" s="1" t="s">
        <v>1166</v>
      </c>
      <c r="BH8" s="1">
        <v>0.17</v>
      </c>
      <c r="BI8" s="1">
        <v>151413</v>
      </c>
      <c r="BJ8" s="1" t="s">
        <v>1130</v>
      </c>
      <c r="BK8" s="1">
        <v>0.17</v>
      </c>
      <c r="BO8" s="1">
        <v>204083</v>
      </c>
      <c r="BP8" s="1" t="s">
        <v>1056</v>
      </c>
      <c r="BQ8" s="1">
        <v>0.17</v>
      </c>
      <c r="BR8" s="1">
        <v>151415</v>
      </c>
      <c r="BS8" s="1" t="s">
        <v>1166</v>
      </c>
      <c r="BT8" s="1">
        <v>0.17</v>
      </c>
    </row>
    <row r="9" spans="1:72" s="1" customFormat="1">
      <c r="A9" s="1">
        <v>171413</v>
      </c>
      <c r="B9" s="1" t="s">
        <v>1131</v>
      </c>
      <c r="C9" s="1">
        <v>0.17</v>
      </c>
      <c r="D9" s="1">
        <v>171414</v>
      </c>
      <c r="E9" s="1" t="s">
        <v>1149</v>
      </c>
      <c r="F9" s="1">
        <v>0.17</v>
      </c>
      <c r="G9" s="1">
        <v>204084</v>
      </c>
      <c r="H9" s="1" t="s">
        <v>1057</v>
      </c>
      <c r="I9" s="1">
        <v>0.17</v>
      </c>
      <c r="J9" s="1">
        <v>171415</v>
      </c>
      <c r="K9" s="1" t="s">
        <v>1167</v>
      </c>
      <c r="L9" s="1">
        <v>0.17</v>
      </c>
      <c r="M9" s="1">
        <v>171413</v>
      </c>
      <c r="N9" s="1" t="s">
        <v>1131</v>
      </c>
      <c r="O9" s="1">
        <v>0.17</v>
      </c>
      <c r="S9" s="1">
        <v>204084</v>
      </c>
      <c r="T9" s="1" t="s">
        <v>1057</v>
      </c>
      <c r="U9" s="1">
        <v>0.17</v>
      </c>
      <c r="V9" s="1">
        <v>171415</v>
      </c>
      <c r="W9" s="1" t="s">
        <v>1167</v>
      </c>
      <c r="X9" s="1">
        <v>0.17</v>
      </c>
      <c r="Y9" s="1">
        <v>171413</v>
      </c>
      <c r="Z9" s="1" t="s">
        <v>1131</v>
      </c>
      <c r="AA9" s="1">
        <v>0.17</v>
      </c>
      <c r="AB9" s="1">
        <v>200149</v>
      </c>
      <c r="AC9" s="1" t="s">
        <v>1310</v>
      </c>
      <c r="AH9" s="1">
        <v>171415</v>
      </c>
      <c r="AI9" s="1" t="s">
        <v>1167</v>
      </c>
      <c r="AJ9" s="1">
        <v>0.17</v>
      </c>
      <c r="AK9" s="1">
        <v>171413</v>
      </c>
      <c r="AL9" s="1" t="s">
        <v>1131</v>
      </c>
      <c r="AM9" s="1">
        <v>0.17</v>
      </c>
      <c r="AN9" s="1">
        <v>200149</v>
      </c>
      <c r="AO9" s="1" t="s">
        <v>1310</v>
      </c>
      <c r="AP9" s="1">
        <v>0.17</v>
      </c>
      <c r="AT9" s="1">
        <v>171415</v>
      </c>
      <c r="AU9" s="1" t="s">
        <v>1167</v>
      </c>
      <c r="AV9" s="1">
        <v>0.17</v>
      </c>
      <c r="AW9" s="1">
        <v>171414</v>
      </c>
      <c r="AX9" s="1" t="s">
        <v>1149</v>
      </c>
      <c r="AY9" s="1">
        <v>0.17</v>
      </c>
      <c r="BC9" s="1">
        <v>204084</v>
      </c>
      <c r="BD9" s="1" t="s">
        <v>1057</v>
      </c>
      <c r="BE9" s="1">
        <v>0.17</v>
      </c>
      <c r="BF9" s="1">
        <v>171415</v>
      </c>
      <c r="BG9" s="1" t="s">
        <v>1167</v>
      </c>
      <c r="BH9" s="1">
        <v>0.17</v>
      </c>
      <c r="BI9" s="1">
        <v>171413</v>
      </c>
      <c r="BJ9" s="1" t="s">
        <v>1131</v>
      </c>
      <c r="BK9" s="1">
        <v>0.17</v>
      </c>
      <c r="BO9" s="1">
        <v>204084</v>
      </c>
      <c r="BP9" s="1" t="s">
        <v>1057</v>
      </c>
      <c r="BQ9" s="1">
        <v>0.17</v>
      </c>
      <c r="BR9" s="1">
        <v>171415</v>
      </c>
      <c r="BS9" s="1" t="s">
        <v>1167</v>
      </c>
      <c r="BT9" s="1">
        <v>0.17</v>
      </c>
    </row>
    <row r="10" spans="1:72" s="1" customFormat="1"/>
    <row r="11" spans="1:72" s="1" customFormat="1">
      <c r="A11" s="136" t="s">
        <v>1313</v>
      </c>
      <c r="B11" s="136"/>
      <c r="C11" s="136"/>
      <c r="D11" s="136"/>
      <c r="E11" s="136"/>
      <c r="F11" s="136"/>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D11" s="136" t="s">
        <v>1315</v>
      </c>
      <c r="BE11" s="136"/>
      <c r="BF11" s="136"/>
      <c r="BG11" s="136"/>
      <c r="BH11" s="136"/>
      <c r="BI11" s="136"/>
      <c r="BJ11" s="136"/>
      <c r="BK11" s="136"/>
      <c r="BL11" s="136"/>
      <c r="BM11" s="136"/>
      <c r="BN11" s="136"/>
      <c r="BO11" s="136"/>
      <c r="BP11" s="136"/>
      <c r="BQ11" s="136"/>
      <c r="BR11" s="136"/>
    </row>
    <row r="12" spans="1:72" s="76" customFormat="1">
      <c r="A12" s="132">
        <v>1653264</v>
      </c>
      <c r="B12" s="133"/>
      <c r="C12" s="134"/>
      <c r="D12" s="132">
        <v>1653265</v>
      </c>
      <c r="E12" s="133"/>
      <c r="F12" s="134"/>
      <c r="G12" s="132">
        <v>1653266</v>
      </c>
      <c r="H12" s="133"/>
      <c r="I12" s="134"/>
      <c r="J12" s="132">
        <v>1653401</v>
      </c>
      <c r="K12" s="133"/>
      <c r="L12" s="134"/>
      <c r="M12" s="132">
        <v>1653402</v>
      </c>
      <c r="N12" s="133"/>
      <c r="O12" s="134"/>
      <c r="P12" s="132">
        <v>1653403</v>
      </c>
      <c r="Q12" s="133"/>
      <c r="R12" s="134"/>
      <c r="S12" s="132">
        <v>1653421</v>
      </c>
      <c r="T12" s="133"/>
      <c r="U12" s="134"/>
      <c r="V12" s="132">
        <v>1653422</v>
      </c>
      <c r="W12" s="133"/>
      <c r="X12" s="134"/>
      <c r="Y12" s="132">
        <v>1653423</v>
      </c>
      <c r="Z12" s="133"/>
      <c r="AA12" s="134"/>
      <c r="AB12" s="132">
        <v>1653411</v>
      </c>
      <c r="AC12" s="133"/>
      <c r="AD12" s="134"/>
      <c r="AE12" s="132">
        <v>1653412</v>
      </c>
      <c r="AF12" s="133"/>
      <c r="AG12" s="134"/>
      <c r="AH12" s="132">
        <v>1653413</v>
      </c>
      <c r="AI12" s="133"/>
      <c r="AJ12" s="134"/>
      <c r="AK12" s="132">
        <v>1653441</v>
      </c>
      <c r="AL12" s="133"/>
      <c r="AM12" s="134"/>
      <c r="AN12" s="132">
        <v>1653442</v>
      </c>
      <c r="AO12" s="133"/>
      <c r="AP12" s="134"/>
      <c r="AQ12" s="132">
        <v>1653443</v>
      </c>
      <c r="AR12" s="133"/>
      <c r="AS12" s="134"/>
      <c r="AT12" s="132">
        <v>1653431</v>
      </c>
      <c r="AU12" s="133"/>
      <c r="AV12" s="134"/>
      <c r="AW12" s="132">
        <v>1653432</v>
      </c>
      <c r="AX12" s="133"/>
      <c r="AY12" s="134"/>
      <c r="AZ12" s="132">
        <v>1653433</v>
      </c>
      <c r="BA12" s="133"/>
      <c r="BB12" s="134"/>
      <c r="BC12" s="87"/>
      <c r="BD12" s="135">
        <v>1653408</v>
      </c>
      <c r="BE12" s="135"/>
      <c r="BF12" s="135"/>
      <c r="BG12" s="135">
        <v>1653428</v>
      </c>
      <c r="BH12" s="135"/>
      <c r="BI12" s="135"/>
      <c r="BJ12" s="135">
        <v>1653418</v>
      </c>
      <c r="BK12" s="135"/>
      <c r="BL12" s="135"/>
      <c r="BM12" s="135">
        <v>1653448</v>
      </c>
      <c r="BN12" s="135"/>
      <c r="BO12" s="135"/>
      <c r="BP12" s="135">
        <v>1653438</v>
      </c>
      <c r="BQ12" s="135"/>
      <c r="BR12" s="135"/>
      <c r="BS12" s="77"/>
    </row>
    <row r="13" spans="1:72" s="76" customFormat="1">
      <c r="A13" s="69" t="s">
        <v>2</v>
      </c>
      <c r="B13" s="69" t="s">
        <v>1048</v>
      </c>
      <c r="C13" s="69" t="s">
        <v>1049</v>
      </c>
      <c r="D13" s="69" t="s">
        <v>2</v>
      </c>
      <c r="E13" s="69" t="s">
        <v>1048</v>
      </c>
      <c r="F13" s="69" t="s">
        <v>1049</v>
      </c>
      <c r="G13" s="69" t="s">
        <v>2</v>
      </c>
      <c r="H13" s="69" t="s">
        <v>1048</v>
      </c>
      <c r="I13" s="69" t="s">
        <v>1049</v>
      </c>
      <c r="J13" s="69" t="s">
        <v>2</v>
      </c>
      <c r="K13" s="69" t="s">
        <v>1048</v>
      </c>
      <c r="L13" s="69" t="s">
        <v>1049</v>
      </c>
      <c r="M13" s="69" t="s">
        <v>2</v>
      </c>
      <c r="N13" s="69" t="s">
        <v>1048</v>
      </c>
      <c r="O13" s="69" t="s">
        <v>1049</v>
      </c>
      <c r="P13" s="69" t="s">
        <v>2</v>
      </c>
      <c r="Q13" s="69" t="s">
        <v>1048</v>
      </c>
      <c r="R13" s="69" t="s">
        <v>1049</v>
      </c>
      <c r="S13" s="69" t="s">
        <v>2</v>
      </c>
      <c r="T13" s="69" t="s">
        <v>1048</v>
      </c>
      <c r="U13" s="69" t="s">
        <v>1049</v>
      </c>
      <c r="V13" s="69" t="s">
        <v>2</v>
      </c>
      <c r="W13" s="69" t="s">
        <v>1048</v>
      </c>
      <c r="X13" s="69" t="s">
        <v>1049</v>
      </c>
      <c r="Y13" s="69" t="s">
        <v>2</v>
      </c>
      <c r="Z13" s="69" t="s">
        <v>1048</v>
      </c>
      <c r="AA13" s="69" t="s">
        <v>1049</v>
      </c>
      <c r="AB13" s="69" t="s">
        <v>2</v>
      </c>
      <c r="AC13" s="69" t="s">
        <v>1048</v>
      </c>
      <c r="AD13" s="69" t="s">
        <v>1049</v>
      </c>
      <c r="AE13" s="69" t="s">
        <v>2</v>
      </c>
      <c r="AF13" s="69" t="s">
        <v>1048</v>
      </c>
      <c r="AG13" s="69" t="s">
        <v>1049</v>
      </c>
      <c r="AH13" s="69" t="s">
        <v>2</v>
      </c>
      <c r="AI13" s="69" t="s">
        <v>1048</v>
      </c>
      <c r="AJ13" s="69" t="s">
        <v>1049</v>
      </c>
      <c r="AK13" s="69" t="s">
        <v>2</v>
      </c>
      <c r="AL13" s="69" t="s">
        <v>1048</v>
      </c>
      <c r="AM13" s="69" t="s">
        <v>1049</v>
      </c>
      <c r="AN13" s="69" t="s">
        <v>2</v>
      </c>
      <c r="AO13" s="69" t="s">
        <v>1048</v>
      </c>
      <c r="AP13" s="69" t="s">
        <v>1049</v>
      </c>
      <c r="AQ13" s="69" t="s">
        <v>2</v>
      </c>
      <c r="AR13" s="69" t="s">
        <v>1048</v>
      </c>
      <c r="AS13" s="69" t="s">
        <v>1049</v>
      </c>
      <c r="AT13" s="69" t="s">
        <v>2</v>
      </c>
      <c r="AU13" s="69" t="s">
        <v>1048</v>
      </c>
      <c r="AV13" s="69" t="s">
        <v>1049</v>
      </c>
      <c r="AW13" s="69" t="s">
        <v>2</v>
      </c>
      <c r="AX13" s="69" t="s">
        <v>1048</v>
      </c>
      <c r="AY13" s="69" t="s">
        <v>1049</v>
      </c>
      <c r="AZ13" s="69" t="s">
        <v>2</v>
      </c>
      <c r="BA13" s="69" t="s">
        <v>1048</v>
      </c>
      <c r="BB13" s="69" t="s">
        <v>1049</v>
      </c>
      <c r="BC13" s="77"/>
      <c r="BD13" s="69" t="s">
        <v>2</v>
      </c>
      <c r="BE13" s="69" t="s">
        <v>1048</v>
      </c>
      <c r="BF13" s="69" t="s">
        <v>1049</v>
      </c>
      <c r="BG13" s="69" t="s">
        <v>2</v>
      </c>
      <c r="BH13" s="69" t="s">
        <v>1048</v>
      </c>
      <c r="BI13" s="69" t="s">
        <v>1049</v>
      </c>
      <c r="BJ13" s="69" t="s">
        <v>2</v>
      </c>
      <c r="BK13" s="69" t="s">
        <v>1048</v>
      </c>
      <c r="BL13" s="69" t="s">
        <v>1049</v>
      </c>
      <c r="BM13" s="69" t="s">
        <v>2</v>
      </c>
      <c r="BN13" s="69" t="s">
        <v>1048</v>
      </c>
      <c r="BO13" s="69" t="s">
        <v>1049</v>
      </c>
      <c r="BP13" s="69" t="s">
        <v>2</v>
      </c>
      <c r="BQ13" s="69" t="s">
        <v>1048</v>
      </c>
      <c r="BR13" s="69" t="s">
        <v>1049</v>
      </c>
    </row>
    <row r="14" spans="1:72" s="76" customFormat="1">
      <c r="A14" s="1">
        <v>204077</v>
      </c>
      <c r="B14" s="61" t="s">
        <v>1050</v>
      </c>
      <c r="C14" s="1">
        <v>0</v>
      </c>
      <c r="D14" s="1">
        <v>204077</v>
      </c>
      <c r="E14" s="61" t="s">
        <v>1050</v>
      </c>
      <c r="F14" s="1">
        <v>0</v>
      </c>
      <c r="G14" s="1">
        <v>204077</v>
      </c>
      <c r="H14" s="61" t="s">
        <v>1050</v>
      </c>
      <c r="I14" s="1">
        <v>0</v>
      </c>
      <c r="J14" s="61">
        <v>200319</v>
      </c>
      <c r="K14" s="61" t="s">
        <v>1288</v>
      </c>
      <c r="L14" s="61">
        <v>2.5000000000000001E-2</v>
      </c>
      <c r="M14" s="61">
        <v>204078</v>
      </c>
      <c r="N14" s="61" t="s">
        <v>1052</v>
      </c>
      <c r="O14" s="61">
        <v>2E-3</v>
      </c>
      <c r="P14" s="61">
        <v>204077</v>
      </c>
      <c r="Q14" s="61" t="s">
        <v>1050</v>
      </c>
      <c r="R14" s="61">
        <v>0</v>
      </c>
      <c r="S14" s="61">
        <v>200301</v>
      </c>
      <c r="T14" s="61" t="s">
        <v>1066</v>
      </c>
      <c r="U14" s="61">
        <v>0.1</v>
      </c>
      <c r="V14" s="61">
        <v>200302</v>
      </c>
      <c r="W14" s="61" t="s">
        <v>1299</v>
      </c>
      <c r="X14" s="61">
        <v>2E-3</v>
      </c>
      <c r="Y14" s="61">
        <v>205006</v>
      </c>
      <c r="Z14" s="61" t="s">
        <v>1300</v>
      </c>
      <c r="AA14" s="61">
        <v>0.15</v>
      </c>
      <c r="AB14" s="61">
        <v>200301</v>
      </c>
      <c r="AC14" s="61" t="s">
        <v>1066</v>
      </c>
      <c r="AD14" s="61">
        <v>0.1</v>
      </c>
      <c r="AE14" s="61">
        <v>200302</v>
      </c>
      <c r="AF14" s="61" t="s">
        <v>1299</v>
      </c>
      <c r="AG14" s="61">
        <v>2E-3</v>
      </c>
      <c r="AH14" s="61">
        <v>205006</v>
      </c>
      <c r="AI14" s="61" t="s">
        <v>1300</v>
      </c>
      <c r="AJ14" s="61">
        <v>0.15</v>
      </c>
      <c r="AK14" s="61">
        <v>200319</v>
      </c>
      <c r="AL14" s="61" t="s">
        <v>1288</v>
      </c>
      <c r="AM14" s="61">
        <v>2.5000000000000001E-2</v>
      </c>
      <c r="AN14" s="61">
        <v>204078</v>
      </c>
      <c r="AO14" s="61" t="s">
        <v>1052</v>
      </c>
      <c r="AP14" s="61">
        <v>2E-3</v>
      </c>
      <c r="AQ14" s="61">
        <v>204077</v>
      </c>
      <c r="AR14" s="61" t="s">
        <v>1050</v>
      </c>
      <c r="AS14" s="61">
        <v>0.01</v>
      </c>
      <c r="AT14" s="61">
        <v>200319</v>
      </c>
      <c r="AU14" s="61" t="s">
        <v>1288</v>
      </c>
      <c r="AV14" s="61">
        <v>2.5000000000000001E-2</v>
      </c>
      <c r="AW14" s="61">
        <v>204078</v>
      </c>
      <c r="AX14" s="61" t="s">
        <v>1052</v>
      </c>
      <c r="AY14" s="61">
        <v>2E-3</v>
      </c>
      <c r="AZ14" s="61">
        <v>204077</v>
      </c>
      <c r="BA14" s="61" t="s">
        <v>1050</v>
      </c>
      <c r="BB14" s="61">
        <v>0.01</v>
      </c>
      <c r="BD14" s="76">
        <v>204079</v>
      </c>
      <c r="BE14" s="76" t="str">
        <f>IFERROR(INDEX([1]物品基础表!$A:$A,MATCH(BD14,[1]物品基础表!$B:$B,0)),"")</f>
        <v>至尊衣服</v>
      </c>
      <c r="BF14" s="76">
        <v>1</v>
      </c>
      <c r="BG14" s="76">
        <v>205006</v>
      </c>
      <c r="BH14" s="76" t="str">
        <f>IFERROR(INDEX([1]物品基础表!$A:$A,MATCH(BG14,[1]物品基础表!$B:$B,0)),"")</f>
        <v>九幽冥女</v>
      </c>
      <c r="BI14" s="76">
        <v>1</v>
      </c>
      <c r="BJ14" s="76">
        <v>205006</v>
      </c>
      <c r="BK14" s="76" t="str">
        <f>IFERROR(INDEX([1]物品基础表!$A:$A,MATCH(BJ14,[1]物品基础表!$B:$B,0)),"")</f>
        <v>九幽冥女</v>
      </c>
      <c r="BL14" s="76">
        <v>1</v>
      </c>
      <c r="BM14" s="76">
        <v>204079</v>
      </c>
      <c r="BN14" s="76" t="str">
        <f>IFERROR(INDEX([1]物品基础表!$A:$A,MATCH(BM14,[1]物品基础表!$B:$B,0)),"")</f>
        <v>至尊衣服</v>
      </c>
      <c r="BO14" s="76">
        <v>1</v>
      </c>
      <c r="BP14" s="76">
        <v>204079</v>
      </c>
      <c r="BQ14" s="76" t="str">
        <f>IFERROR(INDEX([1]物品基础表!$A:$A,MATCH(BP14,[1]物品基础表!$B:$B,0)),"")</f>
        <v>至尊衣服</v>
      </c>
      <c r="BR14" s="76">
        <v>1</v>
      </c>
    </row>
    <row r="15" spans="1:72" s="76" customFormat="1">
      <c r="A15" s="1">
        <v>204079</v>
      </c>
      <c r="B15" s="76" t="s">
        <v>1051</v>
      </c>
      <c r="C15" s="1">
        <v>0</v>
      </c>
      <c r="D15" s="1">
        <v>204079</v>
      </c>
      <c r="E15" s="76" t="s">
        <v>1051</v>
      </c>
      <c r="F15" s="1">
        <v>0</v>
      </c>
      <c r="G15" s="1">
        <v>204079</v>
      </c>
      <c r="H15" s="76" t="s">
        <v>1051</v>
      </c>
      <c r="I15" s="1">
        <v>5.0000000000000001E-3</v>
      </c>
      <c r="J15" s="76">
        <v>201016</v>
      </c>
      <c r="K15" s="76" t="s">
        <v>1065</v>
      </c>
      <c r="L15" s="76">
        <v>0.01</v>
      </c>
      <c r="M15" s="76">
        <v>204080</v>
      </c>
      <c r="N15" s="76" t="s">
        <v>1053</v>
      </c>
      <c r="O15" s="76">
        <v>2E-3</v>
      </c>
      <c r="P15" s="76">
        <v>204079</v>
      </c>
      <c r="Q15" s="76" t="s">
        <v>1051</v>
      </c>
      <c r="R15" s="76">
        <v>0</v>
      </c>
      <c r="S15" s="76">
        <v>204132</v>
      </c>
      <c r="T15" s="76" t="s">
        <v>1297</v>
      </c>
      <c r="U15" s="76">
        <v>0.02</v>
      </c>
      <c r="V15" s="76">
        <v>200143</v>
      </c>
      <c r="W15" s="76" t="s">
        <v>1301</v>
      </c>
      <c r="X15" s="76">
        <v>0.01</v>
      </c>
      <c r="Y15" s="76">
        <v>200302</v>
      </c>
      <c r="Z15" s="76" t="s">
        <v>1299</v>
      </c>
      <c r="AA15" s="76">
        <v>0.152</v>
      </c>
      <c r="AB15" s="76">
        <v>204132</v>
      </c>
      <c r="AC15" s="76" t="s">
        <v>1297</v>
      </c>
      <c r="AD15" s="76">
        <v>0.02</v>
      </c>
      <c r="AE15" s="76">
        <v>200143</v>
      </c>
      <c r="AF15" s="76" t="s">
        <v>1301</v>
      </c>
      <c r="AG15" s="76">
        <v>0.01</v>
      </c>
      <c r="AH15" s="76">
        <v>200302</v>
      </c>
      <c r="AI15" s="76" t="s">
        <v>1299</v>
      </c>
      <c r="AJ15" s="76">
        <v>0.152</v>
      </c>
      <c r="AK15" s="76">
        <v>201016</v>
      </c>
      <c r="AL15" s="76" t="s">
        <v>1065</v>
      </c>
      <c r="AM15" s="76">
        <v>0.01</v>
      </c>
      <c r="AN15" s="76">
        <v>204080</v>
      </c>
      <c r="AO15" s="76" t="s">
        <v>1053</v>
      </c>
      <c r="AP15" s="76">
        <v>2E-3</v>
      </c>
      <c r="AQ15" s="76">
        <v>204079</v>
      </c>
      <c r="AR15" s="76" t="s">
        <v>1051</v>
      </c>
      <c r="AS15" s="76">
        <v>0.01</v>
      </c>
      <c r="AT15" s="76">
        <v>201016</v>
      </c>
      <c r="AU15" s="76" t="s">
        <v>1065</v>
      </c>
      <c r="AV15" s="76">
        <v>0.01</v>
      </c>
      <c r="AW15" s="76">
        <v>204080</v>
      </c>
      <c r="AX15" s="76" t="s">
        <v>1053</v>
      </c>
      <c r="AY15" s="76">
        <v>2E-3</v>
      </c>
      <c r="AZ15" s="76">
        <v>204079</v>
      </c>
      <c r="BA15" s="76" t="s">
        <v>1051</v>
      </c>
      <c r="BB15" s="76">
        <v>0.01</v>
      </c>
    </row>
    <row r="16" spans="1:72" s="76" customFormat="1">
      <c r="A16" s="1">
        <v>204078</v>
      </c>
      <c r="B16" s="76" t="s">
        <v>1052</v>
      </c>
      <c r="C16" s="1">
        <v>0</v>
      </c>
      <c r="D16" s="1">
        <v>204078</v>
      </c>
      <c r="E16" s="76" t="s">
        <v>1052</v>
      </c>
      <c r="F16" s="1">
        <v>2E-3</v>
      </c>
      <c r="G16" s="1">
        <v>204078</v>
      </c>
      <c r="H16" s="76" t="s">
        <v>1052</v>
      </c>
      <c r="I16" s="1">
        <v>7.0000000000000007E-2</v>
      </c>
      <c r="J16" s="76">
        <v>500004</v>
      </c>
      <c r="K16" s="76" t="s">
        <v>1067</v>
      </c>
      <c r="L16" s="76">
        <v>0.2</v>
      </c>
      <c r="M16" s="76">
        <v>204081</v>
      </c>
      <c r="N16" s="76" t="s">
        <v>1054</v>
      </c>
      <c r="O16" s="76">
        <v>2E-3</v>
      </c>
      <c r="P16" s="76">
        <v>204078</v>
      </c>
      <c r="Q16" s="76" t="s">
        <v>1052</v>
      </c>
      <c r="R16" s="76">
        <v>2E-3</v>
      </c>
      <c r="S16" s="76">
        <v>500004</v>
      </c>
      <c r="T16" s="76" t="s">
        <v>1067</v>
      </c>
      <c r="U16" s="76">
        <v>0.36799999999999999</v>
      </c>
      <c r="V16" s="76">
        <v>200145</v>
      </c>
      <c r="W16" s="76" t="s">
        <v>1302</v>
      </c>
      <c r="X16" s="76">
        <v>0.01</v>
      </c>
      <c r="Y16" s="76">
        <v>410001</v>
      </c>
      <c r="Z16" s="76" t="s">
        <v>1303</v>
      </c>
      <c r="AA16" s="76">
        <v>0.11</v>
      </c>
      <c r="AB16" s="76">
        <v>500004</v>
      </c>
      <c r="AC16" s="76" t="s">
        <v>1067</v>
      </c>
      <c r="AD16" s="76">
        <v>0.184</v>
      </c>
      <c r="AE16" s="76">
        <v>200145</v>
      </c>
      <c r="AF16" s="76" t="s">
        <v>1302</v>
      </c>
      <c r="AG16" s="76">
        <v>0.01</v>
      </c>
      <c r="AH16" s="76">
        <v>410001</v>
      </c>
      <c r="AI16" s="76" t="s">
        <v>1303</v>
      </c>
      <c r="AJ16" s="76">
        <v>0.11</v>
      </c>
      <c r="AK16" s="76">
        <v>500004</v>
      </c>
      <c r="AL16" s="76" t="s">
        <v>1067</v>
      </c>
      <c r="AM16" s="76">
        <v>0.2</v>
      </c>
      <c r="AN16" s="76">
        <v>204081</v>
      </c>
      <c r="AO16" s="76" t="s">
        <v>1054</v>
      </c>
      <c r="AP16" s="76">
        <v>2E-3</v>
      </c>
      <c r="AQ16" s="76">
        <v>204078</v>
      </c>
      <c r="AR16" s="76" t="s">
        <v>1052</v>
      </c>
      <c r="AS16" s="76">
        <v>0.06</v>
      </c>
      <c r="AT16" s="76">
        <v>500004</v>
      </c>
      <c r="AU16" s="76" t="s">
        <v>1067</v>
      </c>
      <c r="AV16" s="76">
        <v>0.2</v>
      </c>
      <c r="AW16" s="76">
        <v>204081</v>
      </c>
      <c r="AX16" s="76" t="s">
        <v>1054</v>
      </c>
      <c r="AY16" s="76">
        <v>2E-3</v>
      </c>
      <c r="AZ16" s="76">
        <v>204078</v>
      </c>
      <c r="BA16" s="76" t="s">
        <v>1052</v>
      </c>
      <c r="BB16" s="76">
        <v>0.06</v>
      </c>
    </row>
    <row r="17" spans="1:54" s="76" customFormat="1">
      <c r="A17" s="1">
        <v>204080</v>
      </c>
      <c r="B17" s="76" t="s">
        <v>1053</v>
      </c>
      <c r="C17" s="1">
        <v>0</v>
      </c>
      <c r="D17" s="1">
        <v>204080</v>
      </c>
      <c r="E17" s="76" t="s">
        <v>1053</v>
      </c>
      <c r="F17" s="1">
        <v>2E-3</v>
      </c>
      <c r="G17" s="1">
        <v>204080</v>
      </c>
      <c r="H17" s="76" t="s">
        <v>1053</v>
      </c>
      <c r="I17" s="1">
        <v>7.0000000000000007E-2</v>
      </c>
      <c r="J17" s="76">
        <v>500005</v>
      </c>
      <c r="K17" s="76" t="s">
        <v>1068</v>
      </c>
      <c r="L17" s="76">
        <v>5.2000000000000005E-2</v>
      </c>
      <c r="M17" s="76">
        <v>204082</v>
      </c>
      <c r="N17" s="76" t="s">
        <v>1055</v>
      </c>
      <c r="O17" s="76">
        <v>2E-3</v>
      </c>
      <c r="P17" s="76">
        <v>204080</v>
      </c>
      <c r="Q17" s="76" t="s">
        <v>1053</v>
      </c>
      <c r="R17" s="76">
        <v>2E-3</v>
      </c>
      <c r="S17" s="76">
        <v>500005</v>
      </c>
      <c r="T17" s="76" t="s">
        <v>1068</v>
      </c>
      <c r="U17" s="76">
        <v>7.0000000000000007E-2</v>
      </c>
      <c r="V17" s="76">
        <v>200146</v>
      </c>
      <c r="W17" s="76" t="s">
        <v>1304</v>
      </c>
      <c r="X17" s="76">
        <v>0.01</v>
      </c>
      <c r="Y17" s="76">
        <v>410002</v>
      </c>
      <c r="Z17" s="76" t="s">
        <v>1305</v>
      </c>
      <c r="AA17" s="76">
        <v>0.13</v>
      </c>
      <c r="AB17" s="76">
        <v>500005</v>
      </c>
      <c r="AC17" s="76" t="s">
        <v>1068</v>
      </c>
      <c r="AD17" s="76">
        <v>3.5000000000000003E-2</v>
      </c>
      <c r="AE17" s="76">
        <v>200146</v>
      </c>
      <c r="AF17" s="76" t="s">
        <v>1304</v>
      </c>
      <c r="AG17" s="76">
        <v>0.01</v>
      </c>
      <c r="AH17" s="76">
        <v>410002</v>
      </c>
      <c r="AI17" s="76" t="s">
        <v>1305</v>
      </c>
      <c r="AJ17" s="76">
        <v>0.13</v>
      </c>
      <c r="AK17" s="76">
        <v>500005</v>
      </c>
      <c r="AL17" s="76" t="s">
        <v>1068</v>
      </c>
      <c r="AM17" s="76">
        <v>5.2000000000000005E-2</v>
      </c>
      <c r="AN17" s="76">
        <v>204082</v>
      </c>
      <c r="AO17" s="76" t="s">
        <v>1055</v>
      </c>
      <c r="AP17" s="76">
        <v>2E-3</v>
      </c>
      <c r="AQ17" s="76">
        <v>204080</v>
      </c>
      <c r="AR17" s="76" t="s">
        <v>1053</v>
      </c>
      <c r="AS17" s="76">
        <v>6.5000000000000002E-2</v>
      </c>
      <c r="AT17" s="76">
        <v>500005</v>
      </c>
      <c r="AU17" s="76" t="s">
        <v>1068</v>
      </c>
      <c r="AV17" s="76">
        <v>5.2000000000000005E-2</v>
      </c>
      <c r="AW17" s="76">
        <v>204082</v>
      </c>
      <c r="AX17" s="76" t="s">
        <v>1055</v>
      </c>
      <c r="AY17" s="76">
        <v>2E-3</v>
      </c>
      <c r="AZ17" s="76">
        <v>204080</v>
      </c>
      <c r="BA17" s="76" t="s">
        <v>1053</v>
      </c>
      <c r="BB17" s="76">
        <v>6.5000000000000002E-2</v>
      </c>
    </row>
    <row r="18" spans="1:54" s="76" customFormat="1">
      <c r="A18" s="1">
        <v>204081</v>
      </c>
      <c r="B18" s="76" t="s">
        <v>1054</v>
      </c>
      <c r="C18" s="1">
        <v>0</v>
      </c>
      <c r="D18" s="1">
        <v>204081</v>
      </c>
      <c r="E18" s="76" t="s">
        <v>1054</v>
      </c>
      <c r="F18" s="1">
        <v>2E-3</v>
      </c>
      <c r="G18" s="1">
        <v>204081</v>
      </c>
      <c r="H18" s="76" t="s">
        <v>1054</v>
      </c>
      <c r="I18" s="1">
        <v>7.0000000000000007E-2</v>
      </c>
      <c r="J18" s="76">
        <v>200015</v>
      </c>
      <c r="K18" s="76" t="s">
        <v>786</v>
      </c>
      <c r="L18" s="76">
        <v>1.4000000000000001</v>
      </c>
      <c r="M18" s="76">
        <v>204083</v>
      </c>
      <c r="N18" s="76" t="s">
        <v>1056</v>
      </c>
      <c r="O18" s="76">
        <v>2E-3</v>
      </c>
      <c r="P18" s="76">
        <v>204081</v>
      </c>
      <c r="Q18" s="76" t="s">
        <v>1054</v>
      </c>
      <c r="R18" s="76">
        <v>2E-3</v>
      </c>
      <c r="S18" s="76">
        <v>200015</v>
      </c>
      <c r="T18" s="76" t="s">
        <v>786</v>
      </c>
      <c r="U18" s="76">
        <v>2.8000000000000003</v>
      </c>
      <c r="V18" s="76">
        <v>200148</v>
      </c>
      <c r="W18" s="76" t="s">
        <v>1306</v>
      </c>
      <c r="X18" s="76">
        <v>0.01</v>
      </c>
      <c r="Y18" s="76">
        <v>410003</v>
      </c>
      <c r="Z18" s="76" t="s">
        <v>1307</v>
      </c>
      <c r="AA18" s="76">
        <v>0.13</v>
      </c>
      <c r="AB18" s="76">
        <v>200015</v>
      </c>
      <c r="AC18" s="76" t="s">
        <v>786</v>
      </c>
      <c r="AD18" s="76">
        <v>1.4000000000000001</v>
      </c>
      <c r="AE18" s="76">
        <v>200148</v>
      </c>
      <c r="AF18" s="76" t="s">
        <v>1306</v>
      </c>
      <c r="AG18" s="76">
        <v>0.01</v>
      </c>
      <c r="AH18" s="76">
        <v>410003</v>
      </c>
      <c r="AI18" s="76" t="s">
        <v>1307</v>
      </c>
      <c r="AJ18" s="76">
        <v>0.13</v>
      </c>
      <c r="AK18" s="76">
        <v>200015</v>
      </c>
      <c r="AL18" s="76" t="s">
        <v>786</v>
      </c>
      <c r="AM18" s="76">
        <v>1.4000000000000001</v>
      </c>
      <c r="AN18" s="76">
        <v>204083</v>
      </c>
      <c r="AO18" s="76" t="s">
        <v>1056</v>
      </c>
      <c r="AP18" s="76">
        <v>2E-3</v>
      </c>
      <c r="AQ18" s="76">
        <v>204081</v>
      </c>
      <c r="AR18" s="76" t="s">
        <v>1054</v>
      </c>
      <c r="AS18" s="76">
        <v>7.0000000000000007E-2</v>
      </c>
      <c r="AT18" s="76">
        <v>200015</v>
      </c>
      <c r="AU18" s="76" t="s">
        <v>786</v>
      </c>
      <c r="AV18" s="76">
        <v>1.05</v>
      </c>
      <c r="AW18" s="76">
        <v>204083</v>
      </c>
      <c r="AX18" s="76" t="s">
        <v>1056</v>
      </c>
      <c r="AY18" s="76">
        <v>2E-3</v>
      </c>
      <c r="AZ18" s="76">
        <v>204081</v>
      </c>
      <c r="BA18" s="76" t="s">
        <v>1054</v>
      </c>
      <c r="BB18" s="76">
        <v>7.0000000000000007E-2</v>
      </c>
    </row>
    <row r="19" spans="1:54" s="76" customFormat="1">
      <c r="A19" s="1">
        <v>204082</v>
      </c>
      <c r="B19" s="76" t="s">
        <v>1055</v>
      </c>
      <c r="C19" s="1">
        <v>0</v>
      </c>
      <c r="D19" s="1">
        <v>204082</v>
      </c>
      <c r="E19" s="76" t="s">
        <v>1055</v>
      </c>
      <c r="F19" s="1">
        <v>2E-3</v>
      </c>
      <c r="G19" s="1">
        <v>204082</v>
      </c>
      <c r="H19" s="76" t="s">
        <v>1055</v>
      </c>
      <c r="I19" s="1">
        <v>7.0000000000000007E-2</v>
      </c>
      <c r="J19" s="76">
        <v>200003</v>
      </c>
      <c r="K19" s="76" t="s">
        <v>1069</v>
      </c>
      <c r="L19" s="76">
        <v>0.2</v>
      </c>
      <c r="M19" s="76">
        <v>204084</v>
      </c>
      <c r="N19" s="76" t="s">
        <v>1057</v>
      </c>
      <c r="O19" s="76">
        <v>2E-3</v>
      </c>
      <c r="P19" s="76">
        <v>204082</v>
      </c>
      <c r="Q19" s="76" t="s">
        <v>1055</v>
      </c>
      <c r="R19" s="76">
        <v>2E-3</v>
      </c>
      <c r="S19" s="76">
        <v>200003</v>
      </c>
      <c r="T19" s="76" t="s">
        <v>1069</v>
      </c>
      <c r="U19" s="76">
        <v>0.36</v>
      </c>
      <c r="V19" s="76">
        <v>200147</v>
      </c>
      <c r="W19" s="76" t="s">
        <v>1308</v>
      </c>
      <c r="X19" s="76">
        <v>0.01</v>
      </c>
      <c r="Y19" s="76">
        <v>410004</v>
      </c>
      <c r="Z19" s="76" t="s">
        <v>1309</v>
      </c>
      <c r="AA19" s="76">
        <v>0.13</v>
      </c>
      <c r="AB19" s="76">
        <v>200003</v>
      </c>
      <c r="AC19" s="76" t="s">
        <v>1069</v>
      </c>
      <c r="AD19" s="76">
        <v>0.18</v>
      </c>
      <c r="AE19" s="76">
        <v>200147</v>
      </c>
      <c r="AF19" s="76" t="s">
        <v>1308</v>
      </c>
      <c r="AG19" s="76">
        <v>0.01</v>
      </c>
      <c r="AH19" s="76">
        <v>410004</v>
      </c>
      <c r="AI19" s="76" t="s">
        <v>1309</v>
      </c>
      <c r="AJ19" s="76">
        <v>0.13</v>
      </c>
      <c r="AK19" s="76">
        <v>200003</v>
      </c>
      <c r="AL19" s="76" t="s">
        <v>1069</v>
      </c>
      <c r="AM19" s="76">
        <v>0.2</v>
      </c>
      <c r="AN19" s="76">
        <v>204084</v>
      </c>
      <c r="AO19" s="76" t="s">
        <v>1057</v>
      </c>
      <c r="AP19" s="76">
        <v>2E-3</v>
      </c>
      <c r="AQ19" s="76">
        <v>204082</v>
      </c>
      <c r="AR19" s="76" t="s">
        <v>1055</v>
      </c>
      <c r="AS19" s="76">
        <v>7.0000000000000007E-2</v>
      </c>
      <c r="AT19" s="76">
        <v>200003</v>
      </c>
      <c r="AU19" s="76" t="s">
        <v>1069</v>
      </c>
      <c r="AV19" s="76">
        <v>0.2</v>
      </c>
      <c r="AW19" s="76">
        <v>204084</v>
      </c>
      <c r="AX19" s="76" t="s">
        <v>1057</v>
      </c>
      <c r="AY19" s="76">
        <v>2E-3</v>
      </c>
      <c r="AZ19" s="76">
        <v>204082</v>
      </c>
      <c r="BA19" s="76" t="s">
        <v>1055</v>
      </c>
      <c r="BB19" s="76">
        <v>7.0000000000000007E-2</v>
      </c>
    </row>
    <row r="20" spans="1:54" s="76" customFormat="1">
      <c r="A20" s="1">
        <v>204083</v>
      </c>
      <c r="B20" s="76" t="s">
        <v>1056</v>
      </c>
      <c r="C20" s="1">
        <v>0</v>
      </c>
      <c r="D20" s="1">
        <v>204083</v>
      </c>
      <c r="E20" s="76" t="s">
        <v>1056</v>
      </c>
      <c r="F20" s="1">
        <v>2E-3</v>
      </c>
      <c r="G20" s="1">
        <v>204083</v>
      </c>
      <c r="H20" s="76" t="s">
        <v>1056</v>
      </c>
      <c r="I20" s="1">
        <v>7.0000000000000007E-2</v>
      </c>
      <c r="J20" s="76">
        <v>200005</v>
      </c>
      <c r="K20" s="76" t="s">
        <v>1070</v>
      </c>
      <c r="L20" s="76">
        <v>0.28600000000000003</v>
      </c>
      <c r="M20" s="76">
        <v>910041</v>
      </c>
      <c r="N20" s="76" t="s">
        <v>1289</v>
      </c>
      <c r="O20" s="76">
        <v>8.0000000000000002E-3</v>
      </c>
      <c r="P20" s="76">
        <v>204083</v>
      </c>
      <c r="Q20" s="76" t="s">
        <v>1056</v>
      </c>
      <c r="R20" s="76">
        <v>2E-3</v>
      </c>
      <c r="S20" s="76">
        <v>200005</v>
      </c>
      <c r="T20" s="76" t="s">
        <v>1070</v>
      </c>
      <c r="U20" s="76">
        <v>0.33600000000000002</v>
      </c>
      <c r="V20" s="76">
        <v>200149</v>
      </c>
      <c r="W20" s="76" t="s">
        <v>1310</v>
      </c>
      <c r="X20" s="76">
        <v>0.01</v>
      </c>
      <c r="Y20" s="76">
        <v>111418</v>
      </c>
      <c r="Z20" s="76" t="s">
        <v>1216</v>
      </c>
      <c r="AA20" s="76">
        <v>6.0000000000000001E-3</v>
      </c>
      <c r="AB20" s="76">
        <v>200005</v>
      </c>
      <c r="AC20" s="76" t="s">
        <v>1070</v>
      </c>
      <c r="AD20" s="76">
        <v>0.16800000000000001</v>
      </c>
      <c r="AE20" s="76">
        <v>200149</v>
      </c>
      <c r="AF20" s="76" t="s">
        <v>1310</v>
      </c>
      <c r="AG20" s="76">
        <v>0.01</v>
      </c>
      <c r="AH20" s="76">
        <v>111418</v>
      </c>
      <c r="AI20" s="76" t="s">
        <v>1216</v>
      </c>
      <c r="AJ20" s="76">
        <v>6.0000000000000001E-3</v>
      </c>
      <c r="AK20" s="76">
        <v>200005</v>
      </c>
      <c r="AL20" s="76" t="s">
        <v>1070</v>
      </c>
      <c r="AM20" s="76">
        <v>0.28600000000000003</v>
      </c>
      <c r="AN20" s="76">
        <v>910041</v>
      </c>
      <c r="AO20" s="76" t="s">
        <v>1289</v>
      </c>
      <c r="AP20" s="76">
        <v>8.0000000000000002E-3</v>
      </c>
      <c r="AQ20" s="76">
        <v>204083</v>
      </c>
      <c r="AR20" s="76" t="s">
        <v>1056</v>
      </c>
      <c r="AS20" s="76">
        <v>7.0000000000000007E-2</v>
      </c>
      <c r="AT20" s="76">
        <v>200005</v>
      </c>
      <c r="AU20" s="76" t="s">
        <v>1070</v>
      </c>
      <c r="AV20" s="76">
        <v>0.16800000000000001</v>
      </c>
      <c r="AW20" s="76">
        <v>910041</v>
      </c>
      <c r="AX20" s="76" t="s">
        <v>1289</v>
      </c>
      <c r="AY20" s="76">
        <v>8.0000000000000002E-3</v>
      </c>
      <c r="AZ20" s="76">
        <v>204083</v>
      </c>
      <c r="BA20" s="76" t="s">
        <v>1056</v>
      </c>
      <c r="BB20" s="76">
        <v>7.0000000000000007E-2</v>
      </c>
    </row>
    <row r="21" spans="1:54" s="76" customFormat="1">
      <c r="A21" s="1">
        <v>204084</v>
      </c>
      <c r="B21" s="76" t="s">
        <v>1057</v>
      </c>
      <c r="C21" s="1">
        <v>0</v>
      </c>
      <c r="D21" s="1">
        <v>204084</v>
      </c>
      <c r="E21" s="76" t="s">
        <v>1057</v>
      </c>
      <c r="F21" s="1">
        <v>2E-3</v>
      </c>
      <c r="G21" s="1">
        <v>204084</v>
      </c>
      <c r="H21" s="76" t="s">
        <v>1057</v>
      </c>
      <c r="I21" s="1">
        <v>7.0000000000000007E-2</v>
      </c>
      <c r="J21" s="76">
        <v>200001</v>
      </c>
      <c r="K21" s="76" t="s">
        <v>1071</v>
      </c>
      <c r="L21" s="76">
        <v>0.30000000000000004</v>
      </c>
      <c r="M21" s="76">
        <v>910042</v>
      </c>
      <c r="N21" s="76" t="s">
        <v>1290</v>
      </c>
      <c r="O21" s="76">
        <v>8.0000000000000002E-3</v>
      </c>
      <c r="P21" s="76">
        <v>204084</v>
      </c>
      <c r="Q21" s="76" t="s">
        <v>1057</v>
      </c>
      <c r="R21" s="76">
        <v>2E-3</v>
      </c>
      <c r="S21" s="76">
        <v>200001</v>
      </c>
      <c r="T21" s="76" t="s">
        <v>1071</v>
      </c>
      <c r="U21" s="76">
        <v>0.35</v>
      </c>
      <c r="V21" s="76">
        <v>200301</v>
      </c>
      <c r="W21" s="76" t="s">
        <v>1066</v>
      </c>
      <c r="X21" s="76">
        <v>16.32</v>
      </c>
      <c r="Y21" s="76">
        <v>131418</v>
      </c>
      <c r="Z21" s="76" t="s">
        <v>1217</v>
      </c>
      <c r="AA21" s="76">
        <v>6.0000000000000001E-3</v>
      </c>
      <c r="AB21" s="76">
        <v>200001</v>
      </c>
      <c r="AC21" s="76" t="s">
        <v>1071</v>
      </c>
      <c r="AD21" s="76">
        <v>0.17499999999999999</v>
      </c>
      <c r="AE21" s="76">
        <v>200301</v>
      </c>
      <c r="AF21" s="76" t="s">
        <v>1066</v>
      </c>
      <c r="AG21" s="76">
        <v>16.32</v>
      </c>
      <c r="AH21" s="76">
        <v>131418</v>
      </c>
      <c r="AI21" s="76" t="s">
        <v>1217</v>
      </c>
      <c r="AJ21" s="76">
        <v>6.0000000000000001E-3</v>
      </c>
      <c r="AK21" s="76">
        <v>200001</v>
      </c>
      <c r="AL21" s="76" t="s">
        <v>1071</v>
      </c>
      <c r="AM21" s="76">
        <v>0.30000000000000004</v>
      </c>
      <c r="AN21" s="76">
        <v>910042</v>
      </c>
      <c r="AO21" s="76" t="s">
        <v>1290</v>
      </c>
      <c r="AP21" s="76">
        <v>8.0000000000000002E-3</v>
      </c>
      <c r="AQ21" s="76">
        <v>204084</v>
      </c>
      <c r="AR21" s="76" t="s">
        <v>1057</v>
      </c>
      <c r="AS21" s="76">
        <v>7.0000000000000007E-2</v>
      </c>
      <c r="AT21" s="76">
        <v>200001</v>
      </c>
      <c r="AU21" s="76" t="s">
        <v>1071</v>
      </c>
      <c r="AV21" s="76">
        <v>0.17499999999999999</v>
      </c>
      <c r="AW21" s="76">
        <v>910042</v>
      </c>
      <c r="AX21" s="76" t="s">
        <v>1290</v>
      </c>
      <c r="AY21" s="76">
        <v>8.0000000000000002E-3</v>
      </c>
      <c r="AZ21" s="76">
        <v>204084</v>
      </c>
      <c r="BA21" s="76" t="s">
        <v>1057</v>
      </c>
      <c r="BB21" s="76">
        <v>7.0000000000000007E-2</v>
      </c>
    </row>
    <row r="22" spans="1:54" s="76" customFormat="1">
      <c r="A22" s="1">
        <v>200317</v>
      </c>
      <c r="B22" s="76" t="s">
        <v>1058</v>
      </c>
      <c r="C22" s="1">
        <v>0</v>
      </c>
      <c r="D22" s="1">
        <v>200317</v>
      </c>
      <c r="E22" s="76" t="s">
        <v>1058</v>
      </c>
      <c r="F22" s="1">
        <v>0</v>
      </c>
      <c r="G22" s="1">
        <v>200317</v>
      </c>
      <c r="H22" s="76" t="s">
        <v>1058</v>
      </c>
      <c r="I22" s="1">
        <v>0</v>
      </c>
      <c r="J22" s="76">
        <v>200004</v>
      </c>
      <c r="K22" s="76" t="s">
        <v>1072</v>
      </c>
      <c r="L22" s="76">
        <v>0.14000000000000001</v>
      </c>
      <c r="M22" s="76">
        <v>910043</v>
      </c>
      <c r="N22" s="76" t="s">
        <v>1291</v>
      </c>
      <c r="O22" s="76">
        <v>8.0000000000000002E-3</v>
      </c>
      <c r="P22" s="76">
        <v>910051</v>
      </c>
      <c r="Q22" s="76" t="s">
        <v>1292</v>
      </c>
      <c r="R22" s="76">
        <v>0</v>
      </c>
      <c r="S22" s="76">
        <v>200004</v>
      </c>
      <c r="T22" s="76" t="s">
        <v>1072</v>
      </c>
      <c r="U22" s="76">
        <v>0.28000000000000003</v>
      </c>
      <c r="V22" s="76">
        <v>410001</v>
      </c>
      <c r="W22" s="76" t="s">
        <v>1303</v>
      </c>
      <c r="X22" s="76">
        <v>3.0000000000000001E-3</v>
      </c>
      <c r="Y22" s="76">
        <v>141418</v>
      </c>
      <c r="Z22" s="76" t="s">
        <v>1218</v>
      </c>
      <c r="AA22" s="76">
        <v>6.0000000000000001E-3</v>
      </c>
      <c r="AB22" s="76">
        <v>200004</v>
      </c>
      <c r="AC22" s="76" t="s">
        <v>1072</v>
      </c>
      <c r="AD22" s="76">
        <v>0.14000000000000001</v>
      </c>
      <c r="AE22" s="76">
        <v>410001</v>
      </c>
      <c r="AF22" s="76" t="s">
        <v>1303</v>
      </c>
      <c r="AG22" s="76">
        <v>3.0000000000000001E-3</v>
      </c>
      <c r="AH22" s="76">
        <v>141418</v>
      </c>
      <c r="AI22" s="76" t="s">
        <v>1218</v>
      </c>
      <c r="AJ22" s="76">
        <v>6.0000000000000001E-3</v>
      </c>
      <c r="AK22" s="76">
        <v>200004</v>
      </c>
      <c r="AL22" s="76" t="s">
        <v>1072</v>
      </c>
      <c r="AM22" s="76">
        <v>0.14000000000000001</v>
      </c>
      <c r="AN22" s="76">
        <v>910043</v>
      </c>
      <c r="AO22" s="76" t="s">
        <v>1291</v>
      </c>
      <c r="AP22" s="76">
        <v>8.0000000000000002E-3</v>
      </c>
      <c r="AQ22" s="76">
        <v>910051</v>
      </c>
      <c r="AR22" s="76" t="s">
        <v>1292</v>
      </c>
      <c r="AS22" s="76">
        <v>0.01</v>
      </c>
      <c r="AT22" s="76">
        <v>200004</v>
      </c>
      <c r="AU22" s="76" t="s">
        <v>1072</v>
      </c>
      <c r="AV22" s="76">
        <v>0.14000000000000001</v>
      </c>
      <c r="AW22" s="76">
        <v>910043</v>
      </c>
      <c r="AX22" s="76" t="s">
        <v>1291</v>
      </c>
      <c r="AY22" s="76">
        <v>8.0000000000000002E-3</v>
      </c>
      <c r="AZ22" s="76">
        <v>910051</v>
      </c>
      <c r="BA22" s="76" t="s">
        <v>1292</v>
      </c>
      <c r="BB22" s="76">
        <v>0.01</v>
      </c>
    </row>
    <row r="23" spans="1:54" s="76" customFormat="1">
      <c r="A23" s="1">
        <v>200316</v>
      </c>
      <c r="B23" s="76" t="s">
        <v>1059</v>
      </c>
      <c r="C23" s="1">
        <v>0</v>
      </c>
      <c r="D23" s="1">
        <v>200316</v>
      </c>
      <c r="E23" s="76" t="s">
        <v>1059</v>
      </c>
      <c r="F23" s="1">
        <v>0</v>
      </c>
      <c r="G23" s="1">
        <v>200316</v>
      </c>
      <c r="H23" s="76" t="s">
        <v>1059</v>
      </c>
      <c r="I23" s="1">
        <v>0.13300000000000001</v>
      </c>
      <c r="J23" s="76">
        <v>200167</v>
      </c>
      <c r="K23" s="76" t="s">
        <v>1073</v>
      </c>
      <c r="L23" s="76">
        <v>17.5</v>
      </c>
      <c r="M23" s="76">
        <v>910044</v>
      </c>
      <c r="N23" s="76" t="s">
        <v>1293</v>
      </c>
      <c r="O23" s="76">
        <v>8.0000000000000002E-3</v>
      </c>
      <c r="P23" s="76">
        <v>910052</v>
      </c>
      <c r="Q23" s="76" t="s">
        <v>1294</v>
      </c>
      <c r="R23" s="76">
        <v>0</v>
      </c>
      <c r="S23" s="76">
        <v>200167</v>
      </c>
      <c r="T23" s="76" t="s">
        <v>1073</v>
      </c>
      <c r="U23" s="76">
        <v>14</v>
      </c>
      <c r="V23" s="76">
        <v>410002</v>
      </c>
      <c r="W23" s="76" t="s">
        <v>1305</v>
      </c>
      <c r="X23" s="76">
        <v>3.0000000000000001E-3</v>
      </c>
      <c r="Y23" s="76">
        <v>161418</v>
      </c>
      <c r="Z23" s="76" t="s">
        <v>1219</v>
      </c>
      <c r="AA23" s="76">
        <v>6.0000000000000001E-3</v>
      </c>
      <c r="AB23" s="76">
        <v>200167</v>
      </c>
      <c r="AC23" s="76" t="s">
        <v>1073</v>
      </c>
      <c r="AD23" s="76">
        <v>7</v>
      </c>
      <c r="AE23" s="76">
        <v>410002</v>
      </c>
      <c r="AF23" s="76" t="s">
        <v>1305</v>
      </c>
      <c r="AG23" s="76">
        <v>3.0000000000000001E-3</v>
      </c>
      <c r="AH23" s="76">
        <v>161418</v>
      </c>
      <c r="AI23" s="76" t="s">
        <v>1219</v>
      </c>
      <c r="AJ23" s="76">
        <v>6.0000000000000001E-3</v>
      </c>
      <c r="AK23" s="76">
        <v>200167</v>
      </c>
      <c r="AL23" s="76" t="s">
        <v>1073</v>
      </c>
      <c r="AM23" s="76">
        <v>17.5</v>
      </c>
      <c r="AN23" s="76">
        <v>910044</v>
      </c>
      <c r="AO23" s="76" t="s">
        <v>1293</v>
      </c>
      <c r="AP23" s="76">
        <v>8.0000000000000002E-3</v>
      </c>
      <c r="AQ23" s="76">
        <v>910052</v>
      </c>
      <c r="AR23" s="76" t="s">
        <v>1294</v>
      </c>
      <c r="AS23" s="76">
        <v>0.01</v>
      </c>
      <c r="AT23" s="76">
        <v>200167</v>
      </c>
      <c r="AU23" s="76" t="s">
        <v>1073</v>
      </c>
      <c r="AV23" s="76">
        <v>9.3000000000000007</v>
      </c>
      <c r="AW23" s="76">
        <v>910044</v>
      </c>
      <c r="AX23" s="76" t="s">
        <v>1293</v>
      </c>
      <c r="AY23" s="76">
        <v>8.0000000000000002E-3</v>
      </c>
      <c r="AZ23" s="76">
        <v>910052</v>
      </c>
      <c r="BA23" s="76" t="s">
        <v>1294</v>
      </c>
      <c r="BB23" s="76">
        <v>0.01</v>
      </c>
    </row>
    <row r="24" spans="1:54" s="76" customFormat="1">
      <c r="A24" s="1">
        <v>200315</v>
      </c>
      <c r="B24" s="76" t="s">
        <v>1060</v>
      </c>
      <c r="C24" s="1">
        <v>0</v>
      </c>
      <c r="D24" s="1">
        <v>200315</v>
      </c>
      <c r="E24" s="76" t="s">
        <v>1060</v>
      </c>
      <c r="F24" s="1">
        <v>9.0999999999999998E-2</v>
      </c>
      <c r="G24" s="1">
        <v>200315</v>
      </c>
      <c r="H24" s="76" t="s">
        <v>1060</v>
      </c>
      <c r="I24" s="1">
        <v>0</v>
      </c>
      <c r="J24" s="76">
        <v>200906</v>
      </c>
      <c r="K24" s="76" t="s">
        <v>1074</v>
      </c>
      <c r="L24" s="76">
        <v>0.55000000000000004</v>
      </c>
      <c r="M24" s="76">
        <v>200319</v>
      </c>
      <c r="N24" s="76" t="s">
        <v>1288</v>
      </c>
      <c r="O24" s="76">
        <v>0.70000000000000007</v>
      </c>
      <c r="P24" s="76">
        <v>910053</v>
      </c>
      <c r="Q24" s="76" t="s">
        <v>1295</v>
      </c>
      <c r="R24" s="76">
        <v>0</v>
      </c>
      <c r="S24" s="76">
        <v>200906</v>
      </c>
      <c r="T24" s="76" t="s">
        <v>1074</v>
      </c>
      <c r="U24" s="76">
        <v>1.1000000000000001</v>
      </c>
      <c r="V24" s="76">
        <v>410003</v>
      </c>
      <c r="W24" s="76" t="s">
        <v>1307</v>
      </c>
      <c r="X24" s="76">
        <v>3.0000000000000001E-3</v>
      </c>
      <c r="Y24" s="76">
        <v>151418</v>
      </c>
      <c r="Z24" s="76" t="s">
        <v>1220</v>
      </c>
      <c r="AA24" s="76">
        <v>6.0000000000000001E-3</v>
      </c>
      <c r="AB24" s="76">
        <v>200906</v>
      </c>
      <c r="AC24" s="76" t="s">
        <v>1074</v>
      </c>
      <c r="AD24" s="76">
        <v>0.55000000000000004</v>
      </c>
      <c r="AE24" s="76">
        <v>410003</v>
      </c>
      <c r="AF24" s="76" t="s">
        <v>1307</v>
      </c>
      <c r="AG24" s="76">
        <v>3.0000000000000001E-3</v>
      </c>
      <c r="AH24" s="76">
        <v>151418</v>
      </c>
      <c r="AI24" s="76" t="s">
        <v>1220</v>
      </c>
      <c r="AJ24" s="76">
        <v>6.0000000000000001E-3</v>
      </c>
      <c r="AK24" s="76">
        <v>200906</v>
      </c>
      <c r="AL24" s="76" t="s">
        <v>1074</v>
      </c>
      <c r="AM24" s="76">
        <v>0.55000000000000004</v>
      </c>
      <c r="AN24" s="76">
        <v>200319</v>
      </c>
      <c r="AO24" s="76" t="s">
        <v>1288</v>
      </c>
      <c r="AP24" s="76">
        <v>0.70000000000000007</v>
      </c>
      <c r="AQ24" s="76">
        <v>910053</v>
      </c>
      <c r="AR24" s="76" t="s">
        <v>1295</v>
      </c>
      <c r="AS24" s="76">
        <v>0.01</v>
      </c>
      <c r="AT24" s="76">
        <v>200906</v>
      </c>
      <c r="AU24" s="76" t="s">
        <v>1074</v>
      </c>
      <c r="AV24" s="76">
        <v>0.44</v>
      </c>
      <c r="AW24" s="76">
        <v>200319</v>
      </c>
      <c r="AX24" s="76" t="s">
        <v>1288</v>
      </c>
      <c r="AY24" s="76">
        <v>0.70000000000000007</v>
      </c>
      <c r="AZ24" s="76">
        <v>910053</v>
      </c>
      <c r="BA24" s="76" t="s">
        <v>1295</v>
      </c>
      <c r="BB24" s="76">
        <v>0.01</v>
      </c>
    </row>
    <row r="25" spans="1:54" s="76" customFormat="1">
      <c r="A25" s="1">
        <v>204051</v>
      </c>
      <c r="B25" s="76" t="s">
        <v>1061</v>
      </c>
      <c r="C25" s="1">
        <v>0</v>
      </c>
      <c r="D25" s="1">
        <v>204051</v>
      </c>
      <c r="E25" s="76" t="s">
        <v>1061</v>
      </c>
      <c r="F25" s="1">
        <v>0.08</v>
      </c>
      <c r="G25" s="1">
        <v>204051</v>
      </c>
      <c r="H25" s="76" t="s">
        <v>1061</v>
      </c>
      <c r="I25" s="1">
        <v>0</v>
      </c>
      <c r="J25"/>
      <c r="K25"/>
      <c r="L25"/>
      <c r="M25" s="76">
        <v>200301</v>
      </c>
      <c r="N25" s="76" t="s">
        <v>1066</v>
      </c>
      <c r="O25" s="76">
        <v>19.899999999999999</v>
      </c>
      <c r="P25" s="76">
        <v>910054</v>
      </c>
      <c r="Q25" s="76" t="s">
        <v>1296</v>
      </c>
      <c r="R25" s="76">
        <v>0</v>
      </c>
      <c r="S25" s="76">
        <v>205000</v>
      </c>
      <c r="T25" s="76" t="s">
        <v>1311</v>
      </c>
      <c r="U25" s="76">
        <v>0.37</v>
      </c>
      <c r="V25" s="76">
        <v>410004</v>
      </c>
      <c r="W25" s="76" t="s">
        <v>1309</v>
      </c>
      <c r="X25" s="76">
        <v>3.0000000000000001E-3</v>
      </c>
      <c r="Y25" s="76">
        <v>171418</v>
      </c>
      <c r="Z25" s="76" t="s">
        <v>1221</v>
      </c>
      <c r="AA25" s="76">
        <v>6.0000000000000001E-3</v>
      </c>
      <c r="AB25" s="76">
        <v>205000</v>
      </c>
      <c r="AC25" s="76" t="s">
        <v>1311</v>
      </c>
      <c r="AD25" s="76">
        <v>0.22999999999999998</v>
      </c>
      <c r="AE25" s="76">
        <v>410004</v>
      </c>
      <c r="AF25" s="76" t="s">
        <v>1309</v>
      </c>
      <c r="AG25" s="76">
        <v>3.0000000000000001E-3</v>
      </c>
      <c r="AH25" s="76">
        <v>171418</v>
      </c>
      <c r="AI25" s="76" t="s">
        <v>1221</v>
      </c>
      <c r="AJ25" s="76">
        <v>6.0000000000000001E-3</v>
      </c>
      <c r="AK25"/>
      <c r="AL25"/>
      <c r="AM25"/>
      <c r="AN25" s="76">
        <v>200301</v>
      </c>
      <c r="AO25" s="76" t="s">
        <v>1066</v>
      </c>
      <c r="AP25" s="76">
        <v>19.899999999999999</v>
      </c>
      <c r="AQ25" s="76">
        <v>910054</v>
      </c>
      <c r="AR25" s="76" t="s">
        <v>1296</v>
      </c>
      <c r="AS25" s="76">
        <v>0.01</v>
      </c>
      <c r="AT25"/>
      <c r="AU25"/>
      <c r="AV25"/>
      <c r="AW25" s="76">
        <v>200301</v>
      </c>
      <c r="AX25" s="76" t="s">
        <v>1066</v>
      </c>
      <c r="AY25" s="76">
        <v>19.899999999999999</v>
      </c>
      <c r="AZ25" s="76">
        <v>910054</v>
      </c>
      <c r="BA25" s="76" t="s">
        <v>1296</v>
      </c>
      <c r="BB25" s="76">
        <v>0.01</v>
      </c>
    </row>
    <row r="26" spans="1:54" s="76" customFormat="1">
      <c r="A26" s="1">
        <v>601000</v>
      </c>
      <c r="B26" s="76" t="s">
        <v>1062</v>
      </c>
      <c r="C26" s="1">
        <v>0.09</v>
      </c>
      <c r="D26" s="1">
        <v>601000</v>
      </c>
      <c r="E26" s="76" t="s">
        <v>1062</v>
      </c>
      <c r="F26" s="1">
        <v>0</v>
      </c>
      <c r="G26" s="1">
        <v>601000</v>
      </c>
      <c r="H26" s="76" t="s">
        <v>1062</v>
      </c>
      <c r="I26" s="1">
        <v>0</v>
      </c>
      <c r="J26"/>
      <c r="K26"/>
      <c r="L26"/>
      <c r="M26" s="76">
        <v>204132</v>
      </c>
      <c r="N26" s="76" t="s">
        <v>1297</v>
      </c>
      <c r="O26" s="76">
        <v>9.4E-2</v>
      </c>
      <c r="P26" s="76">
        <v>910041</v>
      </c>
      <c r="Q26" s="76" t="s">
        <v>1289</v>
      </c>
      <c r="R26" s="76">
        <v>8.0000000000000002E-3</v>
      </c>
      <c r="S26"/>
      <c r="T26"/>
      <c r="U26"/>
      <c r="V26" s="76">
        <v>204133</v>
      </c>
      <c r="W26" s="76" t="s">
        <v>1298</v>
      </c>
      <c r="X26" s="76">
        <v>3.2000000000000001E-2</v>
      </c>
      <c r="Y26" s="76">
        <v>112418</v>
      </c>
      <c r="Z26" s="76" t="s">
        <v>1222</v>
      </c>
      <c r="AA26" s="76">
        <v>6.0000000000000001E-3</v>
      </c>
      <c r="AB26"/>
      <c r="AC26"/>
      <c r="AD26"/>
      <c r="AE26" s="76">
        <v>204133</v>
      </c>
      <c r="AF26" s="76" t="s">
        <v>1298</v>
      </c>
      <c r="AG26" s="76">
        <v>3.2000000000000001E-2</v>
      </c>
      <c r="AH26" s="76">
        <v>112418</v>
      </c>
      <c r="AI26" s="76" t="s">
        <v>1222</v>
      </c>
      <c r="AJ26" s="76">
        <v>6.0000000000000001E-3</v>
      </c>
      <c r="AK26"/>
      <c r="AL26"/>
      <c r="AM26"/>
      <c r="AN26" s="76">
        <v>204132</v>
      </c>
      <c r="AO26" s="76" t="s">
        <v>1297</v>
      </c>
      <c r="AP26" s="76">
        <v>9.4E-2</v>
      </c>
      <c r="AQ26" s="76">
        <v>910041</v>
      </c>
      <c r="AR26" s="76" t="s">
        <v>1289</v>
      </c>
      <c r="AS26" s="76">
        <v>4.2999999999999997E-2</v>
      </c>
      <c r="AT26"/>
      <c r="AU26"/>
      <c r="AV26"/>
      <c r="AW26" s="76">
        <v>204132</v>
      </c>
      <c r="AX26" s="76" t="s">
        <v>1297</v>
      </c>
      <c r="AY26" s="76">
        <v>9.4E-2</v>
      </c>
      <c r="AZ26" s="76">
        <v>910041</v>
      </c>
      <c r="BA26" s="76" t="s">
        <v>1289</v>
      </c>
      <c r="BB26" s="76">
        <v>4.2999999999999997E-2</v>
      </c>
    </row>
    <row r="27" spans="1:54" s="76" customFormat="1">
      <c r="A27" s="1">
        <v>201017</v>
      </c>
      <c r="B27" s="76" t="s">
        <v>1063</v>
      </c>
      <c r="C27" s="1">
        <v>0</v>
      </c>
      <c r="D27" s="1">
        <v>201017</v>
      </c>
      <c r="E27" s="76" t="s">
        <v>1063</v>
      </c>
      <c r="F27" s="1">
        <v>0.12</v>
      </c>
      <c r="G27" s="1">
        <v>201017</v>
      </c>
      <c r="H27" s="76" t="s">
        <v>1063</v>
      </c>
      <c r="I27" s="1">
        <v>0</v>
      </c>
      <c r="J27"/>
      <c r="K27"/>
      <c r="L27"/>
      <c r="M27" s="76">
        <v>204133</v>
      </c>
      <c r="N27" s="76" t="s">
        <v>1298</v>
      </c>
      <c r="O27" s="76">
        <v>0.03</v>
      </c>
      <c r="P27" s="76">
        <v>910042</v>
      </c>
      <c r="Q27" s="76" t="s">
        <v>1290</v>
      </c>
      <c r="R27" s="76">
        <v>8.0000000000000002E-3</v>
      </c>
      <c r="S27"/>
      <c r="T27"/>
      <c r="U27"/>
      <c r="V27" s="76">
        <v>204132</v>
      </c>
      <c r="W27" s="76" t="s">
        <v>1297</v>
      </c>
      <c r="X27" s="76">
        <v>0.10400000000000001</v>
      </c>
      <c r="Y27" s="76">
        <v>132418</v>
      </c>
      <c r="Z27" s="76" t="s">
        <v>1223</v>
      </c>
      <c r="AA27" s="76">
        <v>6.0000000000000001E-3</v>
      </c>
      <c r="AB27"/>
      <c r="AC27"/>
      <c r="AD27"/>
      <c r="AE27" s="76">
        <v>204132</v>
      </c>
      <c r="AF27" s="76" t="s">
        <v>1297</v>
      </c>
      <c r="AG27" s="76">
        <v>0.10400000000000001</v>
      </c>
      <c r="AH27" s="76">
        <v>132418</v>
      </c>
      <c r="AI27" s="76" t="s">
        <v>1223</v>
      </c>
      <c r="AJ27" s="76">
        <v>6.0000000000000001E-3</v>
      </c>
      <c r="AK27"/>
      <c r="AL27"/>
      <c r="AM27"/>
      <c r="AN27" s="76">
        <v>204133</v>
      </c>
      <c r="AO27" s="76" t="s">
        <v>1298</v>
      </c>
      <c r="AP27" s="76">
        <v>0.03</v>
      </c>
      <c r="AQ27" s="76">
        <v>910042</v>
      </c>
      <c r="AR27" s="76" t="s">
        <v>1290</v>
      </c>
      <c r="AS27" s="76">
        <v>0.05</v>
      </c>
      <c r="AT27"/>
      <c r="AU27"/>
      <c r="AV27"/>
      <c r="AW27" s="76">
        <v>204133</v>
      </c>
      <c r="AX27" s="76" t="s">
        <v>1298</v>
      </c>
      <c r="AY27" s="76">
        <v>0.03</v>
      </c>
      <c r="AZ27" s="76">
        <v>910042</v>
      </c>
      <c r="BA27" s="76" t="s">
        <v>1290</v>
      </c>
      <c r="BB27" s="76">
        <v>0.05</v>
      </c>
    </row>
    <row r="28" spans="1:54" s="76" customFormat="1">
      <c r="A28" s="1">
        <v>201018</v>
      </c>
      <c r="B28" s="76" t="s">
        <v>1064</v>
      </c>
      <c r="C28" s="1">
        <v>0</v>
      </c>
      <c r="D28" s="1">
        <v>201018</v>
      </c>
      <c r="E28" s="76" t="s">
        <v>1064</v>
      </c>
      <c r="F28" s="1">
        <v>0.03</v>
      </c>
      <c r="G28" s="1">
        <v>201018</v>
      </c>
      <c r="H28" s="76" t="s">
        <v>1064</v>
      </c>
      <c r="I28" s="1">
        <v>0.1</v>
      </c>
      <c r="J28"/>
      <c r="K28"/>
      <c r="L28"/>
      <c r="M28" s="76">
        <v>111412</v>
      </c>
      <c r="N28" s="76" t="s">
        <v>1108</v>
      </c>
      <c r="O28" s="76">
        <v>9.0000000000000011E-3</v>
      </c>
      <c r="P28" s="76">
        <v>910043</v>
      </c>
      <c r="Q28" s="76" t="s">
        <v>1291</v>
      </c>
      <c r="R28" s="76">
        <v>8.0000000000000002E-3</v>
      </c>
      <c r="S28"/>
      <c r="T28"/>
      <c r="U28"/>
      <c r="V28" s="76">
        <v>111412</v>
      </c>
      <c r="W28" s="76" t="s">
        <v>1108</v>
      </c>
      <c r="X28" s="76">
        <v>5.0000000000000001E-3</v>
      </c>
      <c r="Y28" s="76">
        <v>142418</v>
      </c>
      <c r="Z28" s="76" t="s">
        <v>1224</v>
      </c>
      <c r="AA28" s="76">
        <v>6.0000000000000001E-3</v>
      </c>
      <c r="AB28"/>
      <c r="AC28"/>
      <c r="AD28"/>
      <c r="AE28" s="76">
        <v>111411</v>
      </c>
      <c r="AF28" s="76" t="s">
        <v>1090</v>
      </c>
      <c r="AG28" s="76">
        <v>5.0000000000000001E-3</v>
      </c>
      <c r="AH28" s="76">
        <v>142418</v>
      </c>
      <c r="AI28" s="76" t="s">
        <v>1224</v>
      </c>
      <c r="AJ28" s="76">
        <v>6.0000000000000001E-3</v>
      </c>
      <c r="AK28"/>
      <c r="AL28"/>
      <c r="AM28"/>
      <c r="AN28" s="76">
        <v>111412</v>
      </c>
      <c r="AO28" s="76" t="s">
        <v>1108</v>
      </c>
      <c r="AP28" s="76">
        <v>9.0000000000000011E-3</v>
      </c>
      <c r="AQ28" s="76">
        <v>910043</v>
      </c>
      <c r="AR28" s="76" t="s">
        <v>1291</v>
      </c>
      <c r="AS28" s="76">
        <v>0.05</v>
      </c>
      <c r="AT28"/>
      <c r="AU28"/>
      <c r="AV28"/>
      <c r="AW28" s="76">
        <v>111411</v>
      </c>
      <c r="AX28" s="76" t="s">
        <v>1090</v>
      </c>
      <c r="AY28" s="76">
        <v>4.0000000000000001E-3</v>
      </c>
      <c r="AZ28" s="76">
        <v>910043</v>
      </c>
      <c r="BA28" s="76" t="s">
        <v>1291</v>
      </c>
      <c r="BB28" s="76">
        <v>0.05</v>
      </c>
    </row>
    <row r="29" spans="1:54" s="76" customFormat="1">
      <c r="A29" s="1">
        <v>201016</v>
      </c>
      <c r="B29" s="76" t="s">
        <v>1065</v>
      </c>
      <c r="C29" s="1">
        <v>2.2000000000000002E-2</v>
      </c>
      <c r="D29" s="1">
        <v>201016</v>
      </c>
      <c r="E29" s="76" t="s">
        <v>1065</v>
      </c>
      <c r="F29" s="1">
        <v>0.03</v>
      </c>
      <c r="G29" s="1">
        <v>201016</v>
      </c>
      <c r="H29" s="76" t="s">
        <v>1065</v>
      </c>
      <c r="I29" s="1">
        <v>0</v>
      </c>
      <c r="J29"/>
      <c r="K29"/>
      <c r="L29"/>
      <c r="M29" s="76">
        <v>131412</v>
      </c>
      <c r="N29" s="76" t="s">
        <v>1109</v>
      </c>
      <c r="O29" s="76">
        <v>9.0000000000000011E-3</v>
      </c>
      <c r="P29" s="76">
        <v>910044</v>
      </c>
      <c r="Q29" s="76" t="s">
        <v>1293</v>
      </c>
      <c r="R29" s="76">
        <v>8.0000000000000002E-3</v>
      </c>
      <c r="S29"/>
      <c r="T29"/>
      <c r="U29"/>
      <c r="V29" s="76">
        <v>131412</v>
      </c>
      <c r="W29" s="76" t="s">
        <v>1109</v>
      </c>
      <c r="X29" s="76">
        <v>5.0000000000000001E-3</v>
      </c>
      <c r="Y29" s="76">
        <v>162418</v>
      </c>
      <c r="Z29" s="76" t="s">
        <v>1225</v>
      </c>
      <c r="AA29" s="76">
        <v>6.0000000000000001E-3</v>
      </c>
      <c r="AB29"/>
      <c r="AC29"/>
      <c r="AD29"/>
      <c r="AE29" s="76">
        <v>131411</v>
      </c>
      <c r="AF29" s="76" t="s">
        <v>1091</v>
      </c>
      <c r="AG29" s="76">
        <v>5.0000000000000001E-3</v>
      </c>
      <c r="AH29" s="76">
        <v>162418</v>
      </c>
      <c r="AI29" s="76" t="s">
        <v>1225</v>
      </c>
      <c r="AJ29" s="76">
        <v>6.0000000000000001E-3</v>
      </c>
      <c r="AK29"/>
      <c r="AL29"/>
      <c r="AM29"/>
      <c r="AN29" s="76">
        <v>131412</v>
      </c>
      <c r="AO29" s="76" t="s">
        <v>1109</v>
      </c>
      <c r="AP29" s="76">
        <v>9.0000000000000011E-3</v>
      </c>
      <c r="AQ29" s="76">
        <v>910044</v>
      </c>
      <c r="AR29" s="76" t="s">
        <v>1293</v>
      </c>
      <c r="AS29" s="76">
        <v>0.05</v>
      </c>
      <c r="AT29"/>
      <c r="AU29"/>
      <c r="AV29"/>
      <c r="AW29" s="76">
        <v>131411</v>
      </c>
      <c r="AX29" s="76" t="s">
        <v>1091</v>
      </c>
      <c r="AY29" s="76">
        <v>4.0000000000000001E-3</v>
      </c>
      <c r="AZ29" s="76">
        <v>910044</v>
      </c>
      <c r="BA29" s="76" t="s">
        <v>1293</v>
      </c>
      <c r="BB29" s="76">
        <v>0.05</v>
      </c>
    </row>
    <row r="30" spans="1:54" s="76" customFormat="1">
      <c r="A30" s="1">
        <v>200301</v>
      </c>
      <c r="B30" s="76" t="s">
        <v>1066</v>
      </c>
      <c r="C30" s="1">
        <v>0</v>
      </c>
      <c r="D30" s="1">
        <v>200301</v>
      </c>
      <c r="E30" s="76" t="s">
        <v>1066</v>
      </c>
      <c r="F30" s="1">
        <v>14.5</v>
      </c>
      <c r="G30" s="1">
        <v>200301</v>
      </c>
      <c r="H30" s="76" t="s">
        <v>1066</v>
      </c>
      <c r="I30" s="1">
        <v>0</v>
      </c>
      <c r="J30"/>
      <c r="K30"/>
      <c r="L30"/>
      <c r="M30" s="76">
        <v>141412</v>
      </c>
      <c r="N30" s="76" t="s">
        <v>1110</v>
      </c>
      <c r="O30" s="76">
        <v>9.0000000000000011E-3</v>
      </c>
      <c r="P30" s="76">
        <v>111417</v>
      </c>
      <c r="Q30" s="76" t="s">
        <v>1198</v>
      </c>
      <c r="R30" s="76">
        <v>5.0000000000000001E-4</v>
      </c>
      <c r="S30"/>
      <c r="T30"/>
      <c r="U30"/>
      <c r="V30" s="76">
        <v>141412</v>
      </c>
      <c r="W30" s="76" t="s">
        <v>1110</v>
      </c>
      <c r="X30" s="76">
        <v>5.0000000000000001E-3</v>
      </c>
      <c r="Y30" s="76">
        <v>152418</v>
      </c>
      <c r="Z30" s="76" t="s">
        <v>1226</v>
      </c>
      <c r="AA30" s="76">
        <v>6.0000000000000001E-3</v>
      </c>
      <c r="AB30"/>
      <c r="AC30"/>
      <c r="AD30"/>
      <c r="AE30" s="76">
        <v>141411</v>
      </c>
      <c r="AF30" s="76" t="s">
        <v>1092</v>
      </c>
      <c r="AG30" s="76">
        <v>5.0000000000000001E-3</v>
      </c>
      <c r="AH30" s="76">
        <v>152418</v>
      </c>
      <c r="AI30" s="76" t="s">
        <v>1226</v>
      </c>
      <c r="AJ30" s="76">
        <v>6.0000000000000001E-3</v>
      </c>
      <c r="AK30"/>
      <c r="AL30"/>
      <c r="AM30"/>
      <c r="AN30" s="76">
        <v>141412</v>
      </c>
      <c r="AO30" s="76" t="s">
        <v>1110</v>
      </c>
      <c r="AP30" s="76">
        <v>9.0000000000000011E-3</v>
      </c>
      <c r="AQ30" s="76">
        <v>111417</v>
      </c>
      <c r="AR30" s="76" t="s">
        <v>1198</v>
      </c>
      <c r="AS30" s="76">
        <v>8.0000000000000002E-3</v>
      </c>
      <c r="AT30"/>
      <c r="AU30"/>
      <c r="AV30"/>
      <c r="AW30" s="76">
        <v>141411</v>
      </c>
      <c r="AX30" s="76" t="s">
        <v>1092</v>
      </c>
      <c r="AY30" s="76">
        <v>4.0000000000000001E-3</v>
      </c>
      <c r="AZ30" s="76">
        <v>111417</v>
      </c>
      <c r="BA30" s="76" t="s">
        <v>1198</v>
      </c>
      <c r="BB30" s="76">
        <v>8.0000000000000002E-3</v>
      </c>
    </row>
    <row r="31" spans="1:54" s="76" customFormat="1">
      <c r="A31" s="1">
        <v>500004</v>
      </c>
      <c r="B31" s="76" t="s">
        <v>1067</v>
      </c>
      <c r="C31" s="1">
        <v>0.2</v>
      </c>
      <c r="D31" s="1">
        <v>500004</v>
      </c>
      <c r="E31" s="76" t="s">
        <v>1067</v>
      </c>
      <c r="F31" s="1">
        <v>0</v>
      </c>
      <c r="G31" s="1">
        <v>500004</v>
      </c>
      <c r="H31" s="76" t="s">
        <v>1067</v>
      </c>
      <c r="I31" s="1">
        <v>0</v>
      </c>
      <c r="J31"/>
      <c r="K31"/>
      <c r="L31"/>
      <c r="M31" s="76">
        <v>161412</v>
      </c>
      <c r="N31" s="76" t="s">
        <v>1111</v>
      </c>
      <c r="O31" s="76">
        <v>9.0000000000000011E-3</v>
      </c>
      <c r="P31" s="76">
        <v>131417</v>
      </c>
      <c r="Q31" s="76" t="s">
        <v>1199</v>
      </c>
      <c r="R31" s="76">
        <v>5.0000000000000001E-4</v>
      </c>
      <c r="S31"/>
      <c r="T31"/>
      <c r="U31"/>
      <c r="V31" s="76">
        <v>161412</v>
      </c>
      <c r="W31" s="76" t="s">
        <v>1111</v>
      </c>
      <c r="X31" s="76">
        <v>5.0000000000000001E-3</v>
      </c>
      <c r="Y31" s="76">
        <v>172418</v>
      </c>
      <c r="Z31" s="76" t="s">
        <v>1227</v>
      </c>
      <c r="AA31" s="76">
        <v>6.0000000000000001E-3</v>
      </c>
      <c r="AB31"/>
      <c r="AC31"/>
      <c r="AD31"/>
      <c r="AE31" s="76">
        <v>161411</v>
      </c>
      <c r="AF31" s="76" t="s">
        <v>1093</v>
      </c>
      <c r="AG31" s="76">
        <v>5.0000000000000001E-3</v>
      </c>
      <c r="AH31" s="76">
        <v>172418</v>
      </c>
      <c r="AI31" s="76" t="s">
        <v>1227</v>
      </c>
      <c r="AJ31" s="76">
        <v>6.0000000000000001E-3</v>
      </c>
      <c r="AK31"/>
      <c r="AL31"/>
      <c r="AM31"/>
      <c r="AN31" s="76">
        <v>161412</v>
      </c>
      <c r="AO31" s="76" t="s">
        <v>1111</v>
      </c>
      <c r="AP31" s="76">
        <v>9.0000000000000011E-3</v>
      </c>
      <c r="AQ31" s="76">
        <v>131417</v>
      </c>
      <c r="AR31" s="76" t="s">
        <v>1199</v>
      </c>
      <c r="AS31" s="76">
        <v>8.0000000000000002E-3</v>
      </c>
      <c r="AT31"/>
      <c r="AU31"/>
      <c r="AV31"/>
      <c r="AW31" s="76">
        <v>161411</v>
      </c>
      <c r="AX31" s="76" t="s">
        <v>1093</v>
      </c>
      <c r="AY31" s="76">
        <v>4.0000000000000001E-3</v>
      </c>
      <c r="AZ31" s="76">
        <v>131417</v>
      </c>
      <c r="BA31" s="76" t="s">
        <v>1199</v>
      </c>
      <c r="BB31" s="76">
        <v>8.0000000000000002E-3</v>
      </c>
    </row>
    <row r="32" spans="1:54" s="76" customFormat="1">
      <c r="A32" s="1">
        <v>500005</v>
      </c>
      <c r="B32" s="76" t="s">
        <v>1068</v>
      </c>
      <c r="C32" s="1">
        <v>3.5000000000000003E-2</v>
      </c>
      <c r="D32" s="1">
        <v>500005</v>
      </c>
      <c r="E32" s="76" t="s">
        <v>1068</v>
      </c>
      <c r="F32" s="1">
        <v>0</v>
      </c>
      <c r="G32" s="1">
        <v>500005</v>
      </c>
      <c r="H32" s="76" t="s">
        <v>1068</v>
      </c>
      <c r="I32" s="1">
        <v>0</v>
      </c>
      <c r="J32"/>
      <c r="K32"/>
      <c r="L32"/>
      <c r="M32" s="76">
        <v>151412</v>
      </c>
      <c r="N32" s="76" t="s">
        <v>1112</v>
      </c>
      <c r="O32" s="76">
        <v>9.0000000000000011E-3</v>
      </c>
      <c r="P32" s="76">
        <v>141417</v>
      </c>
      <c r="Q32" s="76" t="s">
        <v>1200</v>
      </c>
      <c r="R32" s="76">
        <v>5.0000000000000001E-4</v>
      </c>
      <c r="S32"/>
      <c r="T32"/>
      <c r="U32"/>
      <c r="V32" s="76">
        <v>151412</v>
      </c>
      <c r="W32" s="76" t="s">
        <v>1112</v>
      </c>
      <c r="X32" s="76">
        <v>5.0000000000000001E-3</v>
      </c>
      <c r="Y32" s="76">
        <v>113418</v>
      </c>
      <c r="Z32" s="76" t="s">
        <v>1228</v>
      </c>
      <c r="AA32" s="76">
        <v>6.0000000000000001E-3</v>
      </c>
      <c r="AB32"/>
      <c r="AC32"/>
      <c r="AD32"/>
      <c r="AE32" s="76">
        <v>151411</v>
      </c>
      <c r="AF32" s="76" t="s">
        <v>1094</v>
      </c>
      <c r="AG32" s="76">
        <v>5.0000000000000001E-3</v>
      </c>
      <c r="AH32" s="76">
        <v>113418</v>
      </c>
      <c r="AI32" s="76" t="s">
        <v>1228</v>
      </c>
      <c r="AJ32" s="76">
        <v>6.0000000000000001E-3</v>
      </c>
      <c r="AK32"/>
      <c r="AL32"/>
      <c r="AM32"/>
      <c r="AN32" s="76">
        <v>151412</v>
      </c>
      <c r="AO32" s="76" t="s">
        <v>1112</v>
      </c>
      <c r="AP32" s="76">
        <v>9.0000000000000011E-3</v>
      </c>
      <c r="AQ32" s="76">
        <v>141417</v>
      </c>
      <c r="AR32" s="76" t="s">
        <v>1200</v>
      </c>
      <c r="AS32" s="76">
        <v>8.0000000000000002E-3</v>
      </c>
      <c r="AT32"/>
      <c r="AU32"/>
      <c r="AV32"/>
      <c r="AW32" s="76">
        <v>151411</v>
      </c>
      <c r="AX32" s="76" t="s">
        <v>1094</v>
      </c>
      <c r="AY32" s="76">
        <v>4.0000000000000001E-3</v>
      </c>
      <c r="AZ32" s="76">
        <v>141417</v>
      </c>
      <c r="BA32" s="76" t="s">
        <v>1200</v>
      </c>
      <c r="BB32" s="76">
        <v>8.0000000000000002E-3</v>
      </c>
    </row>
    <row r="33" spans="1:54" s="76" customFormat="1">
      <c r="A33" s="1">
        <v>200015</v>
      </c>
      <c r="B33" s="76" t="s">
        <v>786</v>
      </c>
      <c r="C33" s="1">
        <v>1.4000000000000001</v>
      </c>
      <c r="D33" s="1">
        <v>200015</v>
      </c>
      <c r="E33" s="76" t="s">
        <v>786</v>
      </c>
      <c r="F33" s="1">
        <v>0</v>
      </c>
      <c r="G33" s="1">
        <v>200015</v>
      </c>
      <c r="H33" s="76" t="s">
        <v>786</v>
      </c>
      <c r="I33" s="1">
        <v>0</v>
      </c>
      <c r="J33"/>
      <c r="K33"/>
      <c r="L33"/>
      <c r="M33" s="76">
        <v>171412</v>
      </c>
      <c r="N33" s="76" t="s">
        <v>1113</v>
      </c>
      <c r="O33" s="76">
        <v>9.0000000000000011E-3</v>
      </c>
      <c r="P33" s="76">
        <v>161417</v>
      </c>
      <c r="Q33" s="76" t="s">
        <v>1201</v>
      </c>
      <c r="R33" s="76">
        <v>5.0000000000000001E-4</v>
      </c>
      <c r="S33"/>
      <c r="T33"/>
      <c r="U33"/>
      <c r="V33" s="76">
        <v>171412</v>
      </c>
      <c r="W33" s="76" t="s">
        <v>1113</v>
      </c>
      <c r="X33" s="76">
        <v>5.0000000000000001E-3</v>
      </c>
      <c r="Y33" s="76">
        <v>133418</v>
      </c>
      <c r="Z33" s="76" t="s">
        <v>1229</v>
      </c>
      <c r="AA33" s="76">
        <v>6.0000000000000001E-3</v>
      </c>
      <c r="AB33"/>
      <c r="AC33"/>
      <c r="AD33"/>
      <c r="AE33" s="76">
        <v>171411</v>
      </c>
      <c r="AF33" s="76" t="s">
        <v>1095</v>
      </c>
      <c r="AG33" s="76">
        <v>5.0000000000000001E-3</v>
      </c>
      <c r="AH33" s="76">
        <v>133418</v>
      </c>
      <c r="AI33" s="76" t="s">
        <v>1229</v>
      </c>
      <c r="AJ33" s="76">
        <v>6.0000000000000001E-3</v>
      </c>
      <c r="AK33"/>
      <c r="AL33"/>
      <c r="AM33"/>
      <c r="AN33" s="76">
        <v>171412</v>
      </c>
      <c r="AO33" s="76" t="s">
        <v>1113</v>
      </c>
      <c r="AP33" s="76">
        <v>9.0000000000000011E-3</v>
      </c>
      <c r="AQ33" s="76">
        <v>161417</v>
      </c>
      <c r="AR33" s="76" t="s">
        <v>1201</v>
      </c>
      <c r="AS33" s="76">
        <v>8.0000000000000002E-3</v>
      </c>
      <c r="AT33"/>
      <c r="AU33"/>
      <c r="AV33"/>
      <c r="AW33" s="76">
        <v>171411</v>
      </c>
      <c r="AX33" s="76" t="s">
        <v>1095</v>
      </c>
      <c r="AY33" s="76">
        <v>4.0000000000000001E-3</v>
      </c>
      <c r="AZ33" s="76">
        <v>161417</v>
      </c>
      <c r="BA33" s="76" t="s">
        <v>1201</v>
      </c>
      <c r="BB33" s="76">
        <v>8.0000000000000002E-3</v>
      </c>
    </row>
    <row r="34" spans="1:54" s="76" customFormat="1">
      <c r="A34" s="1">
        <v>200003</v>
      </c>
      <c r="B34" s="76" t="s">
        <v>1069</v>
      </c>
      <c r="C34" s="1">
        <v>0.2</v>
      </c>
      <c r="D34" s="1">
        <v>200003</v>
      </c>
      <c r="E34" s="76" t="s">
        <v>1069</v>
      </c>
      <c r="F34" s="1">
        <v>0</v>
      </c>
      <c r="G34" s="1">
        <v>200003</v>
      </c>
      <c r="H34" s="76" t="s">
        <v>1069</v>
      </c>
      <c r="I34" s="1">
        <v>0</v>
      </c>
      <c r="J34"/>
      <c r="K34"/>
      <c r="L34"/>
      <c r="M34" s="76">
        <v>112412</v>
      </c>
      <c r="N34" s="76" t="s">
        <v>1114</v>
      </c>
      <c r="O34" s="76">
        <v>9.0000000000000011E-3</v>
      </c>
      <c r="P34" s="76">
        <v>151417</v>
      </c>
      <c r="Q34" s="76" t="s">
        <v>1202</v>
      </c>
      <c r="R34" s="76">
        <v>5.0000000000000001E-4</v>
      </c>
      <c r="S34"/>
      <c r="T34"/>
      <c r="U34"/>
      <c r="V34" s="76">
        <v>112412</v>
      </c>
      <c r="W34" s="76" t="s">
        <v>1114</v>
      </c>
      <c r="X34" s="76">
        <v>5.0000000000000001E-3</v>
      </c>
      <c r="Y34" s="76">
        <v>143418</v>
      </c>
      <c r="Z34" s="76" t="s">
        <v>1230</v>
      </c>
      <c r="AA34" s="76">
        <v>6.0000000000000001E-3</v>
      </c>
      <c r="AB34"/>
      <c r="AC34"/>
      <c r="AD34"/>
      <c r="AE34" s="76">
        <v>112411</v>
      </c>
      <c r="AF34" s="76" t="s">
        <v>1096</v>
      </c>
      <c r="AG34" s="76">
        <v>5.0000000000000001E-3</v>
      </c>
      <c r="AH34" s="76">
        <v>143418</v>
      </c>
      <c r="AI34" s="76" t="s">
        <v>1230</v>
      </c>
      <c r="AJ34" s="76">
        <v>6.0000000000000001E-3</v>
      </c>
      <c r="AK34"/>
      <c r="AL34"/>
      <c r="AM34"/>
      <c r="AN34" s="76">
        <v>112412</v>
      </c>
      <c r="AO34" s="76" t="s">
        <v>1114</v>
      </c>
      <c r="AP34" s="76">
        <v>9.0000000000000011E-3</v>
      </c>
      <c r="AQ34" s="76">
        <v>151417</v>
      </c>
      <c r="AR34" s="76" t="s">
        <v>1202</v>
      </c>
      <c r="AS34" s="76">
        <v>8.0000000000000002E-3</v>
      </c>
      <c r="AT34"/>
      <c r="AU34"/>
      <c r="AV34"/>
      <c r="AW34" s="76">
        <v>112411</v>
      </c>
      <c r="AX34" s="76" t="s">
        <v>1096</v>
      </c>
      <c r="AY34" s="76">
        <v>4.0000000000000001E-3</v>
      </c>
      <c r="AZ34" s="76">
        <v>151417</v>
      </c>
      <c r="BA34" s="76" t="s">
        <v>1202</v>
      </c>
      <c r="BB34" s="76">
        <v>8.0000000000000002E-3</v>
      </c>
    </row>
    <row r="35" spans="1:54" s="76" customFormat="1">
      <c r="A35" s="1">
        <v>200005</v>
      </c>
      <c r="B35" s="76" t="s">
        <v>1070</v>
      </c>
      <c r="C35" s="1">
        <v>0.28600000000000003</v>
      </c>
      <c r="D35" s="1">
        <v>200005</v>
      </c>
      <c r="E35" s="76" t="s">
        <v>1070</v>
      </c>
      <c r="F35" s="1">
        <v>0</v>
      </c>
      <c r="G35" s="1">
        <v>200005</v>
      </c>
      <c r="H35" s="76" t="s">
        <v>1070</v>
      </c>
      <c r="I35" s="1">
        <v>0</v>
      </c>
      <c r="J35"/>
      <c r="K35"/>
      <c r="L35"/>
      <c r="M35" s="76">
        <v>132412</v>
      </c>
      <c r="N35" s="76" t="s">
        <v>1115</v>
      </c>
      <c r="O35" s="76">
        <v>9.0000000000000011E-3</v>
      </c>
      <c r="P35" s="76">
        <v>171417</v>
      </c>
      <c r="Q35" s="76" t="s">
        <v>1203</v>
      </c>
      <c r="R35" s="76">
        <v>5.0000000000000001E-4</v>
      </c>
      <c r="S35"/>
      <c r="T35"/>
      <c r="U35"/>
      <c r="V35" s="76">
        <v>132412</v>
      </c>
      <c r="W35" s="76" t="s">
        <v>1115</v>
      </c>
      <c r="X35" s="76">
        <v>5.0000000000000001E-3</v>
      </c>
      <c r="Y35" s="76">
        <v>163418</v>
      </c>
      <c r="Z35" s="76" t="s">
        <v>1231</v>
      </c>
      <c r="AA35" s="76">
        <v>6.0000000000000001E-3</v>
      </c>
      <c r="AB35"/>
      <c r="AC35"/>
      <c r="AD35"/>
      <c r="AE35" s="76">
        <v>132411</v>
      </c>
      <c r="AF35" s="76" t="s">
        <v>1097</v>
      </c>
      <c r="AG35" s="76">
        <v>5.0000000000000001E-3</v>
      </c>
      <c r="AH35" s="76">
        <v>163418</v>
      </c>
      <c r="AI35" s="76" t="s">
        <v>1231</v>
      </c>
      <c r="AJ35" s="76">
        <v>6.0000000000000001E-3</v>
      </c>
      <c r="AK35"/>
      <c r="AL35"/>
      <c r="AM35"/>
      <c r="AN35" s="76">
        <v>132412</v>
      </c>
      <c r="AO35" s="76" t="s">
        <v>1115</v>
      </c>
      <c r="AP35" s="76">
        <v>9.0000000000000011E-3</v>
      </c>
      <c r="AQ35" s="76">
        <v>171417</v>
      </c>
      <c r="AR35" s="76" t="s">
        <v>1203</v>
      </c>
      <c r="AS35" s="76">
        <v>8.0000000000000002E-3</v>
      </c>
      <c r="AT35"/>
      <c r="AU35"/>
      <c r="AV35"/>
      <c r="AW35" s="76">
        <v>132411</v>
      </c>
      <c r="AX35" s="76" t="s">
        <v>1097</v>
      </c>
      <c r="AY35" s="76">
        <v>4.0000000000000001E-3</v>
      </c>
      <c r="AZ35" s="76">
        <v>171417</v>
      </c>
      <c r="BA35" s="76" t="s">
        <v>1203</v>
      </c>
      <c r="BB35" s="76">
        <v>8.0000000000000002E-3</v>
      </c>
    </row>
    <row r="36" spans="1:54" s="76" customFormat="1">
      <c r="A36" s="1">
        <v>200001</v>
      </c>
      <c r="B36" s="76" t="s">
        <v>1071</v>
      </c>
      <c r="C36" s="1">
        <v>0.30000000000000004</v>
      </c>
      <c r="D36" s="1">
        <v>200001</v>
      </c>
      <c r="E36" s="76" t="s">
        <v>1071</v>
      </c>
      <c r="F36" s="1">
        <v>0</v>
      </c>
      <c r="G36" s="1">
        <v>200001</v>
      </c>
      <c r="H36" s="76" t="s">
        <v>1071</v>
      </c>
      <c r="I36" s="1">
        <v>0</v>
      </c>
      <c r="J36"/>
      <c r="K36"/>
      <c r="L36"/>
      <c r="M36" s="76">
        <v>142412</v>
      </c>
      <c r="N36" s="76" t="s">
        <v>1116</v>
      </c>
      <c r="O36" s="76">
        <v>9.0000000000000011E-3</v>
      </c>
      <c r="P36" s="76">
        <v>112417</v>
      </c>
      <c r="Q36" s="76" t="s">
        <v>1204</v>
      </c>
      <c r="R36" s="76">
        <v>5.0000000000000001E-4</v>
      </c>
      <c r="S36"/>
      <c r="T36"/>
      <c r="U36"/>
      <c r="V36" s="76">
        <v>142412</v>
      </c>
      <c r="W36" s="76" t="s">
        <v>1116</v>
      </c>
      <c r="X36" s="76">
        <v>5.0000000000000001E-3</v>
      </c>
      <c r="Y36" s="76">
        <v>153418</v>
      </c>
      <c r="Z36" s="76" t="s">
        <v>1232</v>
      </c>
      <c r="AA36" s="76">
        <v>6.0000000000000001E-3</v>
      </c>
      <c r="AB36"/>
      <c r="AC36"/>
      <c r="AD36"/>
      <c r="AE36" s="76">
        <v>142411</v>
      </c>
      <c r="AF36" s="76" t="s">
        <v>1098</v>
      </c>
      <c r="AG36" s="76">
        <v>5.0000000000000001E-3</v>
      </c>
      <c r="AH36" s="76">
        <v>153418</v>
      </c>
      <c r="AI36" s="76" t="s">
        <v>1232</v>
      </c>
      <c r="AJ36" s="76">
        <v>6.0000000000000001E-3</v>
      </c>
      <c r="AK36"/>
      <c r="AL36"/>
      <c r="AM36"/>
      <c r="AN36" s="76">
        <v>142412</v>
      </c>
      <c r="AO36" s="76" t="s">
        <v>1116</v>
      </c>
      <c r="AP36" s="76">
        <v>9.0000000000000011E-3</v>
      </c>
      <c r="AQ36" s="76">
        <v>112417</v>
      </c>
      <c r="AR36" s="76" t="s">
        <v>1204</v>
      </c>
      <c r="AS36" s="76">
        <v>8.0000000000000002E-3</v>
      </c>
      <c r="AT36"/>
      <c r="AU36"/>
      <c r="AV36"/>
      <c r="AW36" s="76">
        <v>142411</v>
      </c>
      <c r="AX36" s="76" t="s">
        <v>1098</v>
      </c>
      <c r="AY36" s="76">
        <v>4.0000000000000001E-3</v>
      </c>
      <c r="AZ36" s="76">
        <v>112417</v>
      </c>
      <c r="BA36" s="76" t="s">
        <v>1204</v>
      </c>
      <c r="BB36" s="76">
        <v>8.0000000000000002E-3</v>
      </c>
    </row>
    <row r="37" spans="1:54" s="76" customFormat="1">
      <c r="A37" s="1">
        <v>200004</v>
      </c>
      <c r="B37" s="76" t="s">
        <v>1072</v>
      </c>
      <c r="C37" s="1">
        <v>0.14000000000000001</v>
      </c>
      <c r="D37" s="1">
        <v>200004</v>
      </c>
      <c r="E37" s="76" t="s">
        <v>1072</v>
      </c>
      <c r="F37" s="1">
        <v>0</v>
      </c>
      <c r="G37" s="1">
        <v>200004</v>
      </c>
      <c r="H37" s="76" t="s">
        <v>1072</v>
      </c>
      <c r="I37" s="1">
        <v>0</v>
      </c>
      <c r="J37"/>
      <c r="K37"/>
      <c r="L37"/>
      <c r="M37" s="76">
        <v>162412</v>
      </c>
      <c r="N37" s="76" t="s">
        <v>1117</v>
      </c>
      <c r="O37" s="76">
        <v>9.0000000000000011E-3</v>
      </c>
      <c r="P37" s="76">
        <v>132417</v>
      </c>
      <c r="Q37" s="76" t="s">
        <v>1205</v>
      </c>
      <c r="R37" s="76">
        <v>5.0000000000000001E-4</v>
      </c>
      <c r="S37"/>
      <c r="T37"/>
      <c r="U37"/>
      <c r="V37" s="76">
        <v>162412</v>
      </c>
      <c r="W37" s="76" t="s">
        <v>1117</v>
      </c>
      <c r="X37" s="76">
        <v>5.0000000000000001E-3</v>
      </c>
      <c r="Y37" s="76">
        <v>173418</v>
      </c>
      <c r="Z37" s="76" t="s">
        <v>1233</v>
      </c>
      <c r="AA37" s="76">
        <v>6.0000000000000001E-3</v>
      </c>
      <c r="AB37"/>
      <c r="AC37"/>
      <c r="AD37"/>
      <c r="AE37" s="76">
        <v>162411</v>
      </c>
      <c r="AF37" s="76" t="s">
        <v>1099</v>
      </c>
      <c r="AG37" s="76">
        <v>5.0000000000000001E-3</v>
      </c>
      <c r="AH37" s="76">
        <v>173418</v>
      </c>
      <c r="AI37" s="76" t="s">
        <v>1233</v>
      </c>
      <c r="AJ37" s="76">
        <v>6.0000000000000001E-3</v>
      </c>
      <c r="AK37"/>
      <c r="AL37"/>
      <c r="AM37"/>
      <c r="AN37" s="76">
        <v>162412</v>
      </c>
      <c r="AO37" s="76" t="s">
        <v>1117</v>
      </c>
      <c r="AP37" s="76">
        <v>9.0000000000000011E-3</v>
      </c>
      <c r="AQ37" s="76">
        <v>132417</v>
      </c>
      <c r="AR37" s="76" t="s">
        <v>1205</v>
      </c>
      <c r="AS37" s="76">
        <v>8.0000000000000002E-3</v>
      </c>
      <c r="AT37"/>
      <c r="AU37"/>
      <c r="AV37"/>
      <c r="AW37" s="76">
        <v>162411</v>
      </c>
      <c r="AX37" s="76" t="s">
        <v>1099</v>
      </c>
      <c r="AY37" s="76">
        <v>4.0000000000000001E-3</v>
      </c>
      <c r="AZ37" s="76">
        <v>132417</v>
      </c>
      <c r="BA37" s="76" t="s">
        <v>1205</v>
      </c>
      <c r="BB37" s="76">
        <v>8.0000000000000002E-3</v>
      </c>
    </row>
    <row r="38" spans="1:54" s="76" customFormat="1">
      <c r="A38" s="1">
        <v>200167</v>
      </c>
      <c r="B38" s="76" t="s">
        <v>1073</v>
      </c>
      <c r="C38" s="1">
        <v>15</v>
      </c>
      <c r="D38" s="1">
        <v>200167</v>
      </c>
      <c r="E38" s="76" t="s">
        <v>1073</v>
      </c>
      <c r="F38" s="1">
        <v>0</v>
      </c>
      <c r="G38" s="1">
        <v>200167</v>
      </c>
      <c r="H38" s="76" t="s">
        <v>1073</v>
      </c>
      <c r="I38" s="1">
        <v>0</v>
      </c>
      <c r="J38"/>
      <c r="K38"/>
      <c r="L38"/>
      <c r="M38" s="76">
        <v>152412</v>
      </c>
      <c r="N38" s="76" t="s">
        <v>1118</v>
      </c>
      <c r="O38" s="76">
        <v>9.0000000000000011E-3</v>
      </c>
      <c r="P38" s="76">
        <v>142417</v>
      </c>
      <c r="Q38" s="76" t="s">
        <v>1206</v>
      </c>
      <c r="R38" s="76">
        <v>5.0000000000000001E-4</v>
      </c>
      <c r="S38"/>
      <c r="T38"/>
      <c r="U38"/>
      <c r="V38" s="76">
        <v>152412</v>
      </c>
      <c r="W38" s="76" t="s">
        <v>1118</v>
      </c>
      <c r="X38" s="76">
        <v>5.0000000000000001E-3</v>
      </c>
      <c r="Y38" s="76">
        <v>111419</v>
      </c>
      <c r="Z38" s="76" t="s">
        <v>1234</v>
      </c>
      <c r="AA38" s="76">
        <v>4.0000000000000001E-3</v>
      </c>
      <c r="AB38"/>
      <c r="AC38"/>
      <c r="AD38"/>
      <c r="AE38" s="76">
        <v>152411</v>
      </c>
      <c r="AF38" s="76" t="s">
        <v>1100</v>
      </c>
      <c r="AG38" s="76">
        <v>5.0000000000000001E-3</v>
      </c>
      <c r="AH38" s="76">
        <v>111419</v>
      </c>
      <c r="AI38" s="76" t="s">
        <v>1234</v>
      </c>
      <c r="AJ38" s="76">
        <v>4.0000000000000001E-3</v>
      </c>
      <c r="AK38"/>
      <c r="AL38"/>
      <c r="AM38"/>
      <c r="AN38" s="76">
        <v>152412</v>
      </c>
      <c r="AO38" s="76" t="s">
        <v>1118</v>
      </c>
      <c r="AP38" s="76">
        <v>9.0000000000000011E-3</v>
      </c>
      <c r="AQ38" s="76">
        <v>142417</v>
      </c>
      <c r="AR38" s="76" t="s">
        <v>1206</v>
      </c>
      <c r="AS38" s="76">
        <v>8.0000000000000002E-3</v>
      </c>
      <c r="AT38"/>
      <c r="AU38"/>
      <c r="AV38"/>
      <c r="AW38" s="76">
        <v>152411</v>
      </c>
      <c r="AX38" s="76" t="s">
        <v>1100</v>
      </c>
      <c r="AY38" s="76">
        <v>4.0000000000000001E-3</v>
      </c>
      <c r="AZ38" s="76">
        <v>142417</v>
      </c>
      <c r="BA38" s="76" t="s">
        <v>1206</v>
      </c>
      <c r="BB38" s="76">
        <v>8.0000000000000002E-3</v>
      </c>
    </row>
    <row r="39" spans="1:54" s="76" customFormat="1">
      <c r="A39" s="1">
        <v>200906</v>
      </c>
      <c r="B39" s="76" t="s">
        <v>1074</v>
      </c>
      <c r="C39" s="1">
        <v>0.55000000000000004</v>
      </c>
      <c r="D39" s="1">
        <v>200906</v>
      </c>
      <c r="E39" s="76" t="s">
        <v>1074</v>
      </c>
      <c r="F39" s="1">
        <v>0</v>
      </c>
      <c r="G39" s="1">
        <v>200906</v>
      </c>
      <c r="H39" s="76" t="s">
        <v>1074</v>
      </c>
      <c r="I39" s="1">
        <v>0</v>
      </c>
      <c r="J39"/>
      <c r="K39"/>
      <c r="L39"/>
      <c r="M39" s="76">
        <v>172412</v>
      </c>
      <c r="N39" s="76" t="s">
        <v>1119</v>
      </c>
      <c r="O39" s="76">
        <v>9.0000000000000011E-3</v>
      </c>
      <c r="P39" s="76">
        <v>162417</v>
      </c>
      <c r="Q39" s="76" t="s">
        <v>1207</v>
      </c>
      <c r="R39" s="76">
        <v>5.0000000000000001E-4</v>
      </c>
      <c r="S39"/>
      <c r="T39"/>
      <c r="U39"/>
      <c r="V39" s="76">
        <v>172412</v>
      </c>
      <c r="W39" s="76" t="s">
        <v>1119</v>
      </c>
      <c r="X39" s="76">
        <v>5.0000000000000001E-3</v>
      </c>
      <c r="Y39" s="76">
        <v>131419</v>
      </c>
      <c r="Z39" s="76" t="s">
        <v>1235</v>
      </c>
      <c r="AA39" s="76">
        <v>4.0000000000000001E-3</v>
      </c>
      <c r="AB39"/>
      <c r="AC39"/>
      <c r="AD39"/>
      <c r="AE39" s="76">
        <v>172411</v>
      </c>
      <c r="AF39" s="76" t="s">
        <v>1101</v>
      </c>
      <c r="AG39" s="76">
        <v>5.0000000000000001E-3</v>
      </c>
      <c r="AH39" s="76">
        <v>131419</v>
      </c>
      <c r="AI39" s="76" t="s">
        <v>1235</v>
      </c>
      <c r="AJ39" s="76">
        <v>4.0000000000000001E-3</v>
      </c>
      <c r="AK39"/>
      <c r="AL39"/>
      <c r="AM39"/>
      <c r="AN39" s="76">
        <v>172412</v>
      </c>
      <c r="AO39" s="76" t="s">
        <v>1119</v>
      </c>
      <c r="AP39" s="76">
        <v>9.0000000000000011E-3</v>
      </c>
      <c r="AQ39" s="76">
        <v>162417</v>
      </c>
      <c r="AR39" s="76" t="s">
        <v>1207</v>
      </c>
      <c r="AS39" s="76">
        <v>8.0000000000000002E-3</v>
      </c>
      <c r="AT39"/>
      <c r="AU39"/>
      <c r="AV39"/>
      <c r="AW39" s="76">
        <v>172411</v>
      </c>
      <c r="AX39" s="76" t="s">
        <v>1101</v>
      </c>
      <c r="AY39" s="76">
        <v>4.0000000000000001E-3</v>
      </c>
      <c r="AZ39" s="76">
        <v>162417</v>
      </c>
      <c r="BA39" s="76" t="s">
        <v>1207</v>
      </c>
      <c r="BB39" s="76">
        <v>8.0000000000000002E-3</v>
      </c>
    </row>
    <row r="40" spans="1:54" s="76" customFormat="1">
      <c r="A40" s="1">
        <v>111410</v>
      </c>
      <c r="B40" s="76" t="s">
        <v>1075</v>
      </c>
      <c r="C40" s="1">
        <v>0</v>
      </c>
      <c r="D40" s="1">
        <v>111410</v>
      </c>
      <c r="E40" s="76" t="s">
        <v>1075</v>
      </c>
      <c r="F40" s="1">
        <v>0</v>
      </c>
      <c r="G40" s="1">
        <v>111410</v>
      </c>
      <c r="H40" s="76" t="s">
        <v>1075</v>
      </c>
      <c r="I40" s="1">
        <v>0</v>
      </c>
      <c r="J40"/>
      <c r="K40"/>
      <c r="L40"/>
      <c r="M40" s="76">
        <v>113412</v>
      </c>
      <c r="N40" s="76" t="s">
        <v>1120</v>
      </c>
      <c r="O40" s="76">
        <v>9.0000000000000011E-3</v>
      </c>
      <c r="P40" s="76">
        <v>152417</v>
      </c>
      <c r="Q40" s="76" t="s">
        <v>1208</v>
      </c>
      <c r="R40" s="76">
        <v>5.0000000000000001E-4</v>
      </c>
      <c r="S40"/>
      <c r="T40"/>
      <c r="U40"/>
      <c r="V40" s="76">
        <v>113412</v>
      </c>
      <c r="W40" s="76" t="s">
        <v>1120</v>
      </c>
      <c r="X40" s="76">
        <v>5.0000000000000001E-3</v>
      </c>
      <c r="Y40" s="76">
        <v>141419</v>
      </c>
      <c r="Z40" s="76" t="s">
        <v>1236</v>
      </c>
      <c r="AA40" s="76">
        <v>4.0000000000000001E-3</v>
      </c>
      <c r="AB40"/>
      <c r="AC40"/>
      <c r="AD40"/>
      <c r="AE40" s="76">
        <v>113411</v>
      </c>
      <c r="AF40" s="76" t="s">
        <v>1102</v>
      </c>
      <c r="AG40" s="76">
        <v>5.0000000000000001E-3</v>
      </c>
      <c r="AH40" s="76">
        <v>141419</v>
      </c>
      <c r="AI40" s="76" t="s">
        <v>1236</v>
      </c>
      <c r="AJ40" s="76">
        <v>4.0000000000000001E-3</v>
      </c>
      <c r="AK40"/>
      <c r="AL40"/>
      <c r="AM40"/>
      <c r="AN40" s="76">
        <v>113412</v>
      </c>
      <c r="AO40" s="76" t="s">
        <v>1120</v>
      </c>
      <c r="AP40" s="76">
        <v>9.0000000000000011E-3</v>
      </c>
      <c r="AQ40" s="76">
        <v>152417</v>
      </c>
      <c r="AR40" s="76" t="s">
        <v>1208</v>
      </c>
      <c r="AS40" s="76">
        <v>8.0000000000000002E-3</v>
      </c>
      <c r="AT40"/>
      <c r="AU40"/>
      <c r="AV40"/>
      <c r="AW40" s="76">
        <v>113411</v>
      </c>
      <c r="AX40" s="76" t="s">
        <v>1102</v>
      </c>
      <c r="AY40" s="76">
        <v>4.0000000000000001E-3</v>
      </c>
      <c r="AZ40" s="76">
        <v>152417</v>
      </c>
      <c r="BA40" s="76" t="s">
        <v>1208</v>
      </c>
      <c r="BB40" s="76">
        <v>8.0000000000000002E-3</v>
      </c>
    </row>
    <row r="41" spans="1:54" s="76" customFormat="1">
      <c r="A41" s="1">
        <v>131410</v>
      </c>
      <c r="B41" s="76" t="s">
        <v>1076</v>
      </c>
      <c r="C41" s="1">
        <v>0</v>
      </c>
      <c r="D41" s="1">
        <v>131410</v>
      </c>
      <c r="E41" s="76" t="s">
        <v>1076</v>
      </c>
      <c r="F41" s="1">
        <v>0</v>
      </c>
      <c r="G41" s="1">
        <v>131410</v>
      </c>
      <c r="H41" s="76" t="s">
        <v>1076</v>
      </c>
      <c r="I41" s="1">
        <v>0</v>
      </c>
      <c r="J41"/>
      <c r="K41"/>
      <c r="L41"/>
      <c r="M41" s="76">
        <v>133412</v>
      </c>
      <c r="N41" s="76" t="s">
        <v>1121</v>
      </c>
      <c r="O41" s="76">
        <v>9.0000000000000011E-3</v>
      </c>
      <c r="P41" s="76">
        <v>172417</v>
      </c>
      <c r="Q41" s="76" t="s">
        <v>1209</v>
      </c>
      <c r="R41" s="76">
        <v>5.0000000000000001E-4</v>
      </c>
      <c r="S41"/>
      <c r="T41"/>
      <c r="U41"/>
      <c r="V41" s="76">
        <v>133412</v>
      </c>
      <c r="W41" s="76" t="s">
        <v>1121</v>
      </c>
      <c r="X41" s="76">
        <v>5.0000000000000001E-3</v>
      </c>
      <c r="Y41" s="76">
        <v>161419</v>
      </c>
      <c r="Z41" s="76" t="s">
        <v>1237</v>
      </c>
      <c r="AA41" s="76">
        <v>4.0000000000000001E-3</v>
      </c>
      <c r="AB41"/>
      <c r="AC41"/>
      <c r="AD41"/>
      <c r="AE41" s="76">
        <v>133411</v>
      </c>
      <c r="AF41" s="76" t="s">
        <v>1103</v>
      </c>
      <c r="AG41" s="76">
        <v>5.0000000000000001E-3</v>
      </c>
      <c r="AH41" s="76">
        <v>161419</v>
      </c>
      <c r="AI41" s="76" t="s">
        <v>1237</v>
      </c>
      <c r="AJ41" s="76">
        <v>4.0000000000000001E-3</v>
      </c>
      <c r="AK41"/>
      <c r="AL41"/>
      <c r="AM41"/>
      <c r="AN41" s="76">
        <v>133412</v>
      </c>
      <c r="AO41" s="76" t="s">
        <v>1121</v>
      </c>
      <c r="AP41" s="76">
        <v>9.0000000000000011E-3</v>
      </c>
      <c r="AQ41" s="76">
        <v>172417</v>
      </c>
      <c r="AR41" s="76" t="s">
        <v>1209</v>
      </c>
      <c r="AS41" s="76">
        <v>8.0000000000000002E-3</v>
      </c>
      <c r="AT41"/>
      <c r="AU41"/>
      <c r="AV41"/>
      <c r="AW41" s="76">
        <v>133411</v>
      </c>
      <c r="AX41" s="76" t="s">
        <v>1103</v>
      </c>
      <c r="AY41" s="76">
        <v>4.0000000000000001E-3</v>
      </c>
      <c r="AZ41" s="76">
        <v>172417</v>
      </c>
      <c r="BA41" s="76" t="s">
        <v>1209</v>
      </c>
      <c r="BB41" s="76">
        <v>8.0000000000000002E-3</v>
      </c>
    </row>
    <row r="42" spans="1:54" s="76" customFormat="1">
      <c r="A42" s="1">
        <v>141410</v>
      </c>
      <c r="B42" s="76" t="s">
        <v>1077</v>
      </c>
      <c r="C42" s="1">
        <v>0</v>
      </c>
      <c r="D42" s="1">
        <v>141410</v>
      </c>
      <c r="E42" s="76" t="s">
        <v>1077</v>
      </c>
      <c r="F42" s="1">
        <v>0</v>
      </c>
      <c r="G42" s="1">
        <v>141410</v>
      </c>
      <c r="H42" s="76" t="s">
        <v>1077</v>
      </c>
      <c r="I42" s="1">
        <v>0</v>
      </c>
      <c r="J42"/>
      <c r="K42"/>
      <c r="L42"/>
      <c r="M42" s="76">
        <v>143412</v>
      </c>
      <c r="N42" s="76" t="s">
        <v>1122</v>
      </c>
      <c r="O42" s="76">
        <v>9.0000000000000011E-3</v>
      </c>
      <c r="P42" s="76">
        <v>113417</v>
      </c>
      <c r="Q42" s="76" t="s">
        <v>1210</v>
      </c>
      <c r="R42" s="76">
        <v>5.0000000000000001E-4</v>
      </c>
      <c r="S42"/>
      <c r="T42"/>
      <c r="U42"/>
      <c r="V42" s="76">
        <v>143412</v>
      </c>
      <c r="W42" s="76" t="s">
        <v>1122</v>
      </c>
      <c r="X42" s="76">
        <v>5.0000000000000001E-3</v>
      </c>
      <c r="Y42" s="76">
        <v>151419</v>
      </c>
      <c r="Z42" s="76" t="s">
        <v>1238</v>
      </c>
      <c r="AA42" s="76">
        <v>4.0000000000000001E-3</v>
      </c>
      <c r="AB42"/>
      <c r="AC42"/>
      <c r="AD42"/>
      <c r="AE42" s="76">
        <v>143411</v>
      </c>
      <c r="AF42" s="76" t="s">
        <v>1104</v>
      </c>
      <c r="AG42" s="76">
        <v>5.0000000000000001E-3</v>
      </c>
      <c r="AH42" s="76">
        <v>151419</v>
      </c>
      <c r="AI42" s="76" t="s">
        <v>1238</v>
      </c>
      <c r="AJ42" s="76">
        <v>4.0000000000000001E-3</v>
      </c>
      <c r="AK42"/>
      <c r="AL42"/>
      <c r="AM42"/>
      <c r="AN42" s="76">
        <v>143412</v>
      </c>
      <c r="AO42" s="76" t="s">
        <v>1122</v>
      </c>
      <c r="AP42" s="76">
        <v>9.0000000000000011E-3</v>
      </c>
      <c r="AQ42" s="76">
        <v>113417</v>
      </c>
      <c r="AR42" s="76" t="s">
        <v>1210</v>
      </c>
      <c r="AS42" s="76">
        <v>8.0000000000000002E-3</v>
      </c>
      <c r="AT42"/>
      <c r="AU42"/>
      <c r="AV42"/>
      <c r="AW42" s="76">
        <v>143411</v>
      </c>
      <c r="AX42" s="76" t="s">
        <v>1104</v>
      </c>
      <c r="AY42" s="76">
        <v>4.0000000000000001E-3</v>
      </c>
      <c r="AZ42" s="76">
        <v>113417</v>
      </c>
      <c r="BA42" s="76" t="s">
        <v>1210</v>
      </c>
      <c r="BB42" s="76">
        <v>8.0000000000000002E-3</v>
      </c>
    </row>
    <row r="43" spans="1:54" s="76" customFormat="1">
      <c r="A43" s="1">
        <v>161410</v>
      </c>
      <c r="B43" s="76" t="s">
        <v>1078</v>
      </c>
      <c r="C43" s="1">
        <v>0</v>
      </c>
      <c r="D43" s="1">
        <v>161410</v>
      </c>
      <c r="E43" s="76" t="s">
        <v>1078</v>
      </c>
      <c r="F43" s="1">
        <v>0</v>
      </c>
      <c r="G43" s="1">
        <v>161410</v>
      </c>
      <c r="H43" s="76" t="s">
        <v>1078</v>
      </c>
      <c r="I43" s="1">
        <v>0</v>
      </c>
      <c r="J43"/>
      <c r="K43"/>
      <c r="L43"/>
      <c r="M43" s="76">
        <v>163412</v>
      </c>
      <c r="N43" s="76" t="s">
        <v>1123</v>
      </c>
      <c r="O43" s="76">
        <v>9.0000000000000011E-3</v>
      </c>
      <c r="P43" s="76">
        <v>133417</v>
      </c>
      <c r="Q43" s="76" t="s">
        <v>1211</v>
      </c>
      <c r="R43" s="76">
        <v>5.0000000000000001E-4</v>
      </c>
      <c r="S43"/>
      <c r="T43"/>
      <c r="U43"/>
      <c r="V43" s="76">
        <v>163412</v>
      </c>
      <c r="W43" s="76" t="s">
        <v>1123</v>
      </c>
      <c r="X43" s="76">
        <v>5.0000000000000001E-3</v>
      </c>
      <c r="Y43" s="76">
        <v>171419</v>
      </c>
      <c r="Z43" s="76" t="s">
        <v>1239</v>
      </c>
      <c r="AA43" s="76">
        <v>4.0000000000000001E-3</v>
      </c>
      <c r="AB43"/>
      <c r="AC43"/>
      <c r="AD43"/>
      <c r="AE43" s="76">
        <v>163411</v>
      </c>
      <c r="AF43" s="76" t="s">
        <v>1105</v>
      </c>
      <c r="AG43" s="76">
        <v>5.0000000000000001E-3</v>
      </c>
      <c r="AH43" s="76">
        <v>171419</v>
      </c>
      <c r="AI43" s="76" t="s">
        <v>1239</v>
      </c>
      <c r="AJ43" s="76">
        <v>4.0000000000000001E-3</v>
      </c>
      <c r="AK43"/>
      <c r="AL43"/>
      <c r="AM43"/>
      <c r="AN43" s="76">
        <v>163412</v>
      </c>
      <c r="AO43" s="76" t="s">
        <v>1123</v>
      </c>
      <c r="AP43" s="76">
        <v>9.0000000000000011E-3</v>
      </c>
      <c r="AQ43" s="76">
        <v>133417</v>
      </c>
      <c r="AR43" s="76" t="s">
        <v>1211</v>
      </c>
      <c r="AS43" s="76">
        <v>8.0000000000000002E-3</v>
      </c>
      <c r="AT43"/>
      <c r="AU43"/>
      <c r="AV43"/>
      <c r="AW43" s="76">
        <v>163411</v>
      </c>
      <c r="AX43" s="76" t="s">
        <v>1105</v>
      </c>
      <c r="AY43" s="76">
        <v>4.0000000000000001E-3</v>
      </c>
      <c r="AZ43" s="76">
        <v>133417</v>
      </c>
      <c r="BA43" s="76" t="s">
        <v>1211</v>
      </c>
      <c r="BB43" s="76">
        <v>8.0000000000000002E-3</v>
      </c>
    </row>
    <row r="44" spans="1:54" s="76" customFormat="1">
      <c r="A44" s="1">
        <v>151410</v>
      </c>
      <c r="B44" s="76" t="s">
        <v>1079</v>
      </c>
      <c r="C44" s="1">
        <v>0</v>
      </c>
      <c r="D44" s="1">
        <v>151410</v>
      </c>
      <c r="E44" s="76" t="s">
        <v>1079</v>
      </c>
      <c r="F44" s="1">
        <v>0</v>
      </c>
      <c r="G44" s="1">
        <v>151410</v>
      </c>
      <c r="H44" s="76" t="s">
        <v>1079</v>
      </c>
      <c r="I44" s="1">
        <v>0</v>
      </c>
      <c r="J44"/>
      <c r="K44"/>
      <c r="L44"/>
      <c r="M44" s="76">
        <v>153412</v>
      </c>
      <c r="N44" s="76" t="s">
        <v>1124</v>
      </c>
      <c r="O44" s="76">
        <v>9.0000000000000011E-3</v>
      </c>
      <c r="P44" s="76">
        <v>143417</v>
      </c>
      <c r="Q44" s="76" t="s">
        <v>1212</v>
      </c>
      <c r="R44" s="76">
        <v>5.0000000000000001E-4</v>
      </c>
      <c r="S44"/>
      <c r="T44"/>
      <c r="U44"/>
      <c r="V44" s="76">
        <v>153412</v>
      </c>
      <c r="W44" s="76" t="s">
        <v>1124</v>
      </c>
      <c r="X44" s="76">
        <v>5.0000000000000001E-3</v>
      </c>
      <c r="Y44" s="76">
        <v>112419</v>
      </c>
      <c r="Z44" s="76" t="s">
        <v>1240</v>
      </c>
      <c r="AA44" s="76">
        <v>4.0000000000000001E-3</v>
      </c>
      <c r="AB44"/>
      <c r="AC44"/>
      <c r="AD44"/>
      <c r="AE44" s="76">
        <v>153411</v>
      </c>
      <c r="AF44" s="76" t="s">
        <v>1106</v>
      </c>
      <c r="AG44" s="76">
        <v>5.0000000000000001E-3</v>
      </c>
      <c r="AH44" s="76">
        <v>112419</v>
      </c>
      <c r="AI44" s="76" t="s">
        <v>1240</v>
      </c>
      <c r="AJ44" s="76">
        <v>4.0000000000000001E-3</v>
      </c>
      <c r="AK44"/>
      <c r="AL44"/>
      <c r="AM44"/>
      <c r="AN44" s="76">
        <v>153412</v>
      </c>
      <c r="AO44" s="76" t="s">
        <v>1124</v>
      </c>
      <c r="AP44" s="76">
        <v>9.0000000000000011E-3</v>
      </c>
      <c r="AQ44" s="76">
        <v>143417</v>
      </c>
      <c r="AR44" s="76" t="s">
        <v>1212</v>
      </c>
      <c r="AS44" s="76">
        <v>8.0000000000000002E-3</v>
      </c>
      <c r="AT44"/>
      <c r="AU44"/>
      <c r="AV44"/>
      <c r="AW44" s="76">
        <v>153411</v>
      </c>
      <c r="AX44" s="76" t="s">
        <v>1106</v>
      </c>
      <c r="AY44" s="76">
        <v>4.0000000000000001E-3</v>
      </c>
      <c r="AZ44" s="76">
        <v>143417</v>
      </c>
      <c r="BA44" s="76" t="s">
        <v>1212</v>
      </c>
      <c r="BB44" s="76">
        <v>8.0000000000000002E-3</v>
      </c>
    </row>
    <row r="45" spans="1:54" s="76" customFormat="1">
      <c r="A45" s="1">
        <v>171410</v>
      </c>
      <c r="B45" s="76" t="s">
        <v>741</v>
      </c>
      <c r="C45" s="1">
        <v>0</v>
      </c>
      <c r="D45" s="1">
        <v>171410</v>
      </c>
      <c r="E45" s="76" t="s">
        <v>741</v>
      </c>
      <c r="F45" s="1">
        <v>0</v>
      </c>
      <c r="G45" s="1">
        <v>171410</v>
      </c>
      <c r="H45" s="76" t="s">
        <v>741</v>
      </c>
      <c r="I45" s="1">
        <v>0</v>
      </c>
      <c r="J45"/>
      <c r="K45"/>
      <c r="L45"/>
      <c r="M45" s="76">
        <v>173412</v>
      </c>
      <c r="N45" s="76" t="s">
        <v>1125</v>
      </c>
      <c r="O45" s="76">
        <v>9.0000000000000011E-3</v>
      </c>
      <c r="P45" s="76">
        <v>163417</v>
      </c>
      <c r="Q45" s="76" t="s">
        <v>1213</v>
      </c>
      <c r="R45" s="76">
        <v>5.0000000000000001E-4</v>
      </c>
      <c r="S45"/>
      <c r="T45"/>
      <c r="U45"/>
      <c r="V45" s="76">
        <v>173412</v>
      </c>
      <c r="W45" s="76" t="s">
        <v>1125</v>
      </c>
      <c r="X45" s="76">
        <v>5.0000000000000001E-3</v>
      </c>
      <c r="Y45" s="76">
        <v>132419</v>
      </c>
      <c r="Z45" s="76" t="s">
        <v>1241</v>
      </c>
      <c r="AA45" s="76">
        <v>4.0000000000000001E-3</v>
      </c>
      <c r="AB45"/>
      <c r="AC45"/>
      <c r="AD45"/>
      <c r="AE45" s="76">
        <v>173411</v>
      </c>
      <c r="AF45" s="76" t="s">
        <v>1107</v>
      </c>
      <c r="AG45" s="76">
        <v>5.0000000000000001E-3</v>
      </c>
      <c r="AH45" s="76">
        <v>132419</v>
      </c>
      <c r="AI45" s="76" t="s">
        <v>1241</v>
      </c>
      <c r="AJ45" s="76">
        <v>4.0000000000000001E-3</v>
      </c>
      <c r="AK45"/>
      <c r="AL45"/>
      <c r="AM45"/>
      <c r="AN45" s="76">
        <v>173412</v>
      </c>
      <c r="AO45" s="76" t="s">
        <v>1125</v>
      </c>
      <c r="AP45" s="76">
        <v>9.0000000000000011E-3</v>
      </c>
      <c r="AQ45" s="76">
        <v>163417</v>
      </c>
      <c r="AR45" s="76" t="s">
        <v>1213</v>
      </c>
      <c r="AS45" s="76">
        <v>8.0000000000000002E-3</v>
      </c>
      <c r="AT45"/>
      <c r="AU45"/>
      <c r="AV45"/>
      <c r="AW45" s="76">
        <v>173411</v>
      </c>
      <c r="AX45" s="76" t="s">
        <v>1107</v>
      </c>
      <c r="AY45" s="76">
        <v>4.0000000000000001E-3</v>
      </c>
      <c r="AZ45" s="76">
        <v>163417</v>
      </c>
      <c r="BA45" s="76" t="s">
        <v>1213</v>
      </c>
      <c r="BB45" s="76">
        <v>8.0000000000000002E-3</v>
      </c>
    </row>
    <row r="46" spans="1:54" s="76" customFormat="1">
      <c r="A46" s="1">
        <v>112410</v>
      </c>
      <c r="B46" s="76" t="s">
        <v>1080</v>
      </c>
      <c r="C46" s="1">
        <v>0</v>
      </c>
      <c r="D46" s="1">
        <v>112410</v>
      </c>
      <c r="E46" s="76" t="s">
        <v>1080</v>
      </c>
      <c r="F46" s="1">
        <v>0</v>
      </c>
      <c r="G46" s="1">
        <v>112410</v>
      </c>
      <c r="H46" s="76" t="s">
        <v>1080</v>
      </c>
      <c r="I46" s="1">
        <v>0</v>
      </c>
      <c r="J46"/>
      <c r="K46"/>
      <c r="L46"/>
      <c r="M46" s="76">
        <v>111413</v>
      </c>
      <c r="N46" s="76" t="s">
        <v>1126</v>
      </c>
      <c r="O46" s="76">
        <v>5.0000000000000001E-3</v>
      </c>
      <c r="P46" s="76">
        <v>153417</v>
      </c>
      <c r="Q46" s="76" t="s">
        <v>1214</v>
      </c>
      <c r="R46" s="76">
        <v>5.0000000000000001E-4</v>
      </c>
      <c r="S46"/>
      <c r="T46"/>
      <c r="U46"/>
      <c r="V46" s="76">
        <v>111413</v>
      </c>
      <c r="W46" s="76" t="s">
        <v>1126</v>
      </c>
      <c r="X46" s="76">
        <v>6.9999999999999993E-3</v>
      </c>
      <c r="Y46" s="76">
        <v>142419</v>
      </c>
      <c r="Z46" s="76" t="s">
        <v>1242</v>
      </c>
      <c r="AA46" s="76">
        <v>4.0000000000000001E-3</v>
      </c>
      <c r="AB46"/>
      <c r="AC46"/>
      <c r="AD46"/>
      <c r="AE46" s="76">
        <v>111412</v>
      </c>
      <c r="AF46" s="76" t="s">
        <v>1108</v>
      </c>
      <c r="AG46" s="76">
        <v>6.9999999999999993E-3</v>
      </c>
      <c r="AH46" s="76">
        <v>142419</v>
      </c>
      <c r="AI46" s="76" t="s">
        <v>1242</v>
      </c>
      <c r="AJ46" s="76">
        <v>4.0000000000000001E-3</v>
      </c>
      <c r="AK46"/>
      <c r="AL46"/>
      <c r="AM46"/>
      <c r="AN46" s="76">
        <v>111413</v>
      </c>
      <c r="AO46" s="76" t="s">
        <v>1126</v>
      </c>
      <c r="AP46" s="76">
        <v>5.0000000000000001E-3</v>
      </c>
      <c r="AQ46" s="76">
        <v>153417</v>
      </c>
      <c r="AR46" s="76" t="s">
        <v>1214</v>
      </c>
      <c r="AS46" s="76">
        <v>8.0000000000000002E-3</v>
      </c>
      <c r="AT46"/>
      <c r="AU46"/>
      <c r="AV46"/>
      <c r="AW46" s="76">
        <v>111412</v>
      </c>
      <c r="AX46" s="76" t="s">
        <v>1108</v>
      </c>
      <c r="AY46" s="76">
        <v>5.0000000000000001E-3</v>
      </c>
      <c r="AZ46" s="76">
        <v>153417</v>
      </c>
      <c r="BA46" s="76" t="s">
        <v>1214</v>
      </c>
      <c r="BB46" s="76">
        <v>8.0000000000000002E-3</v>
      </c>
    </row>
    <row r="47" spans="1:54" s="76" customFormat="1">
      <c r="A47" s="1">
        <v>132410</v>
      </c>
      <c r="B47" s="76" t="s">
        <v>1081</v>
      </c>
      <c r="C47" s="1">
        <v>0</v>
      </c>
      <c r="D47" s="1">
        <v>132410</v>
      </c>
      <c r="E47" s="76" t="s">
        <v>1081</v>
      </c>
      <c r="F47" s="1">
        <v>0</v>
      </c>
      <c r="G47" s="1">
        <v>132410</v>
      </c>
      <c r="H47" s="76" t="s">
        <v>1081</v>
      </c>
      <c r="I47" s="1">
        <v>0</v>
      </c>
      <c r="J47"/>
      <c r="K47"/>
      <c r="L47"/>
      <c r="M47" s="76">
        <v>131413</v>
      </c>
      <c r="N47" s="76" t="s">
        <v>1127</v>
      </c>
      <c r="O47" s="76">
        <v>5.0000000000000001E-3</v>
      </c>
      <c r="P47" s="76">
        <v>173417</v>
      </c>
      <c r="Q47" s="76" t="s">
        <v>1215</v>
      </c>
      <c r="R47" s="76">
        <v>5.0000000000000001E-4</v>
      </c>
      <c r="S47"/>
      <c r="T47"/>
      <c r="U47"/>
      <c r="V47" s="76">
        <v>131413</v>
      </c>
      <c r="W47" s="76" t="s">
        <v>1127</v>
      </c>
      <c r="X47" s="76">
        <v>6.9999999999999993E-3</v>
      </c>
      <c r="Y47" s="76">
        <v>162419</v>
      </c>
      <c r="Z47" s="76" t="s">
        <v>1243</v>
      </c>
      <c r="AA47" s="76">
        <v>4.0000000000000001E-3</v>
      </c>
      <c r="AB47"/>
      <c r="AC47"/>
      <c r="AD47"/>
      <c r="AE47" s="76">
        <v>131412</v>
      </c>
      <c r="AF47" s="76" t="s">
        <v>1109</v>
      </c>
      <c r="AG47" s="76">
        <v>6.9999999999999993E-3</v>
      </c>
      <c r="AH47" s="76">
        <v>162419</v>
      </c>
      <c r="AI47" s="76" t="s">
        <v>1243</v>
      </c>
      <c r="AJ47" s="76">
        <v>4.0000000000000001E-3</v>
      </c>
      <c r="AK47"/>
      <c r="AL47"/>
      <c r="AM47"/>
      <c r="AN47" s="76">
        <v>131413</v>
      </c>
      <c r="AO47" s="76" t="s">
        <v>1127</v>
      </c>
      <c r="AP47" s="76">
        <v>5.0000000000000001E-3</v>
      </c>
      <c r="AQ47" s="76">
        <v>173417</v>
      </c>
      <c r="AR47" s="76" t="s">
        <v>1215</v>
      </c>
      <c r="AS47" s="76">
        <v>8.0000000000000002E-3</v>
      </c>
      <c r="AT47"/>
      <c r="AU47"/>
      <c r="AV47"/>
      <c r="AW47" s="76">
        <v>131412</v>
      </c>
      <c r="AX47" s="76" t="s">
        <v>1109</v>
      </c>
      <c r="AY47" s="76">
        <v>5.0000000000000001E-3</v>
      </c>
      <c r="AZ47" s="76">
        <v>173417</v>
      </c>
      <c r="BA47" s="76" t="s">
        <v>1215</v>
      </c>
      <c r="BB47" s="76">
        <v>8.0000000000000002E-3</v>
      </c>
    </row>
    <row r="48" spans="1:54" s="76" customFormat="1">
      <c r="A48" s="1">
        <v>142410</v>
      </c>
      <c r="B48" s="76" t="s">
        <v>1082</v>
      </c>
      <c r="C48" s="1">
        <v>0</v>
      </c>
      <c r="D48" s="1">
        <v>142410</v>
      </c>
      <c r="E48" s="76" t="s">
        <v>1082</v>
      </c>
      <c r="F48" s="1">
        <v>0</v>
      </c>
      <c r="G48" s="1">
        <v>142410</v>
      </c>
      <c r="H48" s="76" t="s">
        <v>1082</v>
      </c>
      <c r="I48" s="1">
        <v>0</v>
      </c>
      <c r="J48"/>
      <c r="K48"/>
      <c r="L48"/>
      <c r="M48" s="76">
        <v>141413</v>
      </c>
      <c r="N48" s="76" t="s">
        <v>1128</v>
      </c>
      <c r="O48" s="76">
        <v>5.0000000000000001E-3</v>
      </c>
      <c r="P48" s="76">
        <v>111418</v>
      </c>
      <c r="Q48" s="76" t="s">
        <v>1216</v>
      </c>
      <c r="R48" s="76">
        <v>0</v>
      </c>
      <c r="S48"/>
      <c r="T48"/>
      <c r="U48"/>
      <c r="V48" s="76">
        <v>141413</v>
      </c>
      <c r="W48" s="76" t="s">
        <v>1128</v>
      </c>
      <c r="X48" s="76">
        <v>6.9999999999999993E-3</v>
      </c>
      <c r="Y48" s="76">
        <v>152419</v>
      </c>
      <c r="Z48" s="76" t="s">
        <v>1244</v>
      </c>
      <c r="AA48" s="76">
        <v>4.0000000000000001E-3</v>
      </c>
      <c r="AB48"/>
      <c r="AC48"/>
      <c r="AD48"/>
      <c r="AE48" s="76">
        <v>141412</v>
      </c>
      <c r="AF48" s="76" t="s">
        <v>1110</v>
      </c>
      <c r="AG48" s="76">
        <v>6.9999999999999993E-3</v>
      </c>
      <c r="AH48" s="76">
        <v>152419</v>
      </c>
      <c r="AI48" s="76" t="s">
        <v>1244</v>
      </c>
      <c r="AJ48" s="76">
        <v>4.0000000000000001E-3</v>
      </c>
      <c r="AK48"/>
      <c r="AL48"/>
      <c r="AM48"/>
      <c r="AN48" s="76">
        <v>141413</v>
      </c>
      <c r="AO48" s="76" t="s">
        <v>1128</v>
      </c>
      <c r="AP48" s="76">
        <v>5.0000000000000001E-3</v>
      </c>
      <c r="AQ48" s="76">
        <v>111418</v>
      </c>
      <c r="AR48" s="76" t="s">
        <v>1216</v>
      </c>
      <c r="AS48" s="76">
        <v>8.0000000000000002E-3</v>
      </c>
      <c r="AT48"/>
      <c r="AU48"/>
      <c r="AV48"/>
      <c r="AW48" s="76">
        <v>141412</v>
      </c>
      <c r="AX48" s="76" t="s">
        <v>1110</v>
      </c>
      <c r="AY48" s="76">
        <v>5.0000000000000001E-3</v>
      </c>
      <c r="AZ48" s="76">
        <v>111418</v>
      </c>
      <c r="BA48" s="76" t="s">
        <v>1216</v>
      </c>
      <c r="BB48" s="76">
        <v>8.0000000000000002E-3</v>
      </c>
    </row>
    <row r="49" spans="1:54" s="76" customFormat="1">
      <c r="A49" s="1">
        <v>162410</v>
      </c>
      <c r="B49" s="76" t="s">
        <v>1083</v>
      </c>
      <c r="C49" s="1">
        <v>0</v>
      </c>
      <c r="D49" s="1">
        <v>162410</v>
      </c>
      <c r="E49" s="76" t="s">
        <v>1083</v>
      </c>
      <c r="F49" s="1">
        <v>0</v>
      </c>
      <c r="G49" s="1">
        <v>162410</v>
      </c>
      <c r="H49" s="76" t="s">
        <v>1083</v>
      </c>
      <c r="I49" s="1">
        <v>0</v>
      </c>
      <c r="J49"/>
      <c r="K49"/>
      <c r="L49"/>
      <c r="M49" s="76">
        <v>161413</v>
      </c>
      <c r="N49" s="76" t="s">
        <v>1129</v>
      </c>
      <c r="O49" s="76">
        <v>5.0000000000000001E-3</v>
      </c>
      <c r="P49" s="76">
        <v>131418</v>
      </c>
      <c r="Q49" s="76" t="s">
        <v>1217</v>
      </c>
      <c r="R49" s="76">
        <v>0</v>
      </c>
      <c r="S49"/>
      <c r="T49"/>
      <c r="U49"/>
      <c r="V49" s="76">
        <v>161413</v>
      </c>
      <c r="W49" s="76" t="s">
        <v>1129</v>
      </c>
      <c r="X49" s="76">
        <v>6.9999999999999993E-3</v>
      </c>
      <c r="Y49" s="76">
        <v>172419</v>
      </c>
      <c r="Z49" s="76" t="s">
        <v>1245</v>
      </c>
      <c r="AA49" s="76">
        <v>4.0000000000000001E-3</v>
      </c>
      <c r="AB49"/>
      <c r="AC49"/>
      <c r="AD49"/>
      <c r="AE49" s="76">
        <v>161412</v>
      </c>
      <c r="AF49" s="76" t="s">
        <v>1111</v>
      </c>
      <c r="AG49" s="76">
        <v>6.9999999999999993E-3</v>
      </c>
      <c r="AH49" s="76">
        <v>172419</v>
      </c>
      <c r="AI49" s="76" t="s">
        <v>1245</v>
      </c>
      <c r="AJ49" s="76">
        <v>4.0000000000000001E-3</v>
      </c>
      <c r="AK49"/>
      <c r="AL49"/>
      <c r="AM49"/>
      <c r="AN49" s="76">
        <v>161413</v>
      </c>
      <c r="AO49" s="76" t="s">
        <v>1129</v>
      </c>
      <c r="AP49" s="76">
        <v>5.0000000000000001E-3</v>
      </c>
      <c r="AQ49" s="76">
        <v>131418</v>
      </c>
      <c r="AR49" s="76" t="s">
        <v>1217</v>
      </c>
      <c r="AS49" s="76">
        <v>8.0000000000000002E-3</v>
      </c>
      <c r="AT49"/>
      <c r="AU49"/>
      <c r="AV49"/>
      <c r="AW49" s="76">
        <v>161412</v>
      </c>
      <c r="AX49" s="76" t="s">
        <v>1111</v>
      </c>
      <c r="AY49" s="76">
        <v>5.0000000000000001E-3</v>
      </c>
      <c r="AZ49" s="76">
        <v>131418</v>
      </c>
      <c r="BA49" s="76" t="s">
        <v>1217</v>
      </c>
      <c r="BB49" s="76">
        <v>8.0000000000000002E-3</v>
      </c>
    </row>
    <row r="50" spans="1:54" s="76" customFormat="1">
      <c r="A50" s="1">
        <v>152410</v>
      </c>
      <c r="B50" s="76" t="s">
        <v>1084</v>
      </c>
      <c r="C50" s="1">
        <v>0</v>
      </c>
      <c r="D50" s="1">
        <v>152410</v>
      </c>
      <c r="E50" s="76" t="s">
        <v>1084</v>
      </c>
      <c r="F50" s="1">
        <v>0</v>
      </c>
      <c r="G50" s="1">
        <v>152410</v>
      </c>
      <c r="H50" s="76" t="s">
        <v>1084</v>
      </c>
      <c r="I50" s="1">
        <v>0</v>
      </c>
      <c r="J50"/>
      <c r="K50"/>
      <c r="L50"/>
      <c r="M50" s="76">
        <v>151413</v>
      </c>
      <c r="N50" s="76" t="s">
        <v>1130</v>
      </c>
      <c r="O50" s="76">
        <v>5.0000000000000001E-3</v>
      </c>
      <c r="P50" s="76">
        <v>141418</v>
      </c>
      <c r="Q50" s="76" t="s">
        <v>1218</v>
      </c>
      <c r="R50" s="76">
        <v>0</v>
      </c>
      <c r="S50"/>
      <c r="T50"/>
      <c r="U50"/>
      <c r="V50" s="76">
        <v>151413</v>
      </c>
      <c r="W50" s="76" t="s">
        <v>1130</v>
      </c>
      <c r="X50" s="76">
        <v>6.9999999999999993E-3</v>
      </c>
      <c r="Y50" s="76">
        <v>113419</v>
      </c>
      <c r="Z50" s="76" t="s">
        <v>1246</v>
      </c>
      <c r="AA50" s="76">
        <v>4.0000000000000001E-3</v>
      </c>
      <c r="AB50"/>
      <c r="AC50"/>
      <c r="AD50"/>
      <c r="AE50" s="76">
        <v>151412</v>
      </c>
      <c r="AF50" s="76" t="s">
        <v>1112</v>
      </c>
      <c r="AG50" s="76">
        <v>6.9999999999999993E-3</v>
      </c>
      <c r="AH50" s="76">
        <v>113419</v>
      </c>
      <c r="AI50" s="76" t="s">
        <v>1246</v>
      </c>
      <c r="AJ50" s="76">
        <v>4.0000000000000001E-3</v>
      </c>
      <c r="AK50"/>
      <c r="AL50"/>
      <c r="AM50"/>
      <c r="AN50" s="76">
        <v>151413</v>
      </c>
      <c r="AO50" s="76" t="s">
        <v>1130</v>
      </c>
      <c r="AP50" s="76">
        <v>5.0000000000000001E-3</v>
      </c>
      <c r="AQ50" s="76">
        <v>141418</v>
      </c>
      <c r="AR50" s="76" t="s">
        <v>1218</v>
      </c>
      <c r="AS50" s="76">
        <v>8.0000000000000002E-3</v>
      </c>
      <c r="AT50"/>
      <c r="AU50"/>
      <c r="AV50"/>
      <c r="AW50" s="76">
        <v>151412</v>
      </c>
      <c r="AX50" s="76" t="s">
        <v>1112</v>
      </c>
      <c r="AY50" s="76">
        <v>5.0000000000000001E-3</v>
      </c>
      <c r="AZ50" s="76">
        <v>141418</v>
      </c>
      <c r="BA50" s="76" t="s">
        <v>1218</v>
      </c>
      <c r="BB50" s="76">
        <v>8.0000000000000002E-3</v>
      </c>
    </row>
    <row r="51" spans="1:54" s="76" customFormat="1">
      <c r="A51" s="1">
        <v>172410</v>
      </c>
      <c r="B51" s="76" t="s">
        <v>746</v>
      </c>
      <c r="C51" s="1">
        <v>0</v>
      </c>
      <c r="D51" s="1">
        <v>172410</v>
      </c>
      <c r="E51" s="76" t="s">
        <v>746</v>
      </c>
      <c r="F51" s="1">
        <v>0</v>
      </c>
      <c r="G51" s="1">
        <v>172410</v>
      </c>
      <c r="H51" s="76" t="s">
        <v>746</v>
      </c>
      <c r="I51" s="1">
        <v>0</v>
      </c>
      <c r="J51"/>
      <c r="K51"/>
      <c r="L51"/>
      <c r="M51" s="76">
        <v>171413</v>
      </c>
      <c r="N51" s="76" t="s">
        <v>1131</v>
      </c>
      <c r="O51" s="76">
        <v>5.0000000000000001E-3</v>
      </c>
      <c r="P51" s="76">
        <v>161418</v>
      </c>
      <c r="Q51" s="76" t="s">
        <v>1219</v>
      </c>
      <c r="R51" s="76">
        <v>0</v>
      </c>
      <c r="S51"/>
      <c r="T51"/>
      <c r="U51"/>
      <c r="V51" s="76">
        <v>171413</v>
      </c>
      <c r="W51" s="76" t="s">
        <v>1131</v>
      </c>
      <c r="X51" s="76">
        <v>6.9999999999999993E-3</v>
      </c>
      <c r="Y51" s="76">
        <v>133419</v>
      </c>
      <c r="Z51" s="76" t="s">
        <v>1247</v>
      </c>
      <c r="AA51" s="76">
        <v>4.0000000000000001E-3</v>
      </c>
      <c r="AB51"/>
      <c r="AC51"/>
      <c r="AD51"/>
      <c r="AE51" s="76">
        <v>171412</v>
      </c>
      <c r="AF51" s="76" t="s">
        <v>1113</v>
      </c>
      <c r="AG51" s="76">
        <v>6.9999999999999993E-3</v>
      </c>
      <c r="AH51" s="76">
        <v>133419</v>
      </c>
      <c r="AI51" s="76" t="s">
        <v>1247</v>
      </c>
      <c r="AJ51" s="76">
        <v>4.0000000000000001E-3</v>
      </c>
      <c r="AK51"/>
      <c r="AL51"/>
      <c r="AM51"/>
      <c r="AN51" s="76">
        <v>171413</v>
      </c>
      <c r="AO51" s="76" t="s">
        <v>1131</v>
      </c>
      <c r="AP51" s="76">
        <v>5.0000000000000001E-3</v>
      </c>
      <c r="AQ51" s="76">
        <v>161418</v>
      </c>
      <c r="AR51" s="76" t="s">
        <v>1219</v>
      </c>
      <c r="AS51" s="76">
        <v>8.0000000000000002E-3</v>
      </c>
      <c r="AT51"/>
      <c r="AU51"/>
      <c r="AV51"/>
      <c r="AW51" s="76">
        <v>171412</v>
      </c>
      <c r="AX51" s="76" t="s">
        <v>1113</v>
      </c>
      <c r="AY51" s="76">
        <v>5.0000000000000001E-3</v>
      </c>
      <c r="AZ51" s="76">
        <v>161418</v>
      </c>
      <c r="BA51" s="76" t="s">
        <v>1219</v>
      </c>
      <c r="BB51" s="76">
        <v>8.0000000000000002E-3</v>
      </c>
    </row>
    <row r="52" spans="1:54" s="76" customFormat="1">
      <c r="A52" s="1">
        <v>113410</v>
      </c>
      <c r="B52" s="76" t="s">
        <v>1085</v>
      </c>
      <c r="C52" s="1">
        <v>0</v>
      </c>
      <c r="D52" s="1">
        <v>113410</v>
      </c>
      <c r="E52" s="76" t="s">
        <v>1085</v>
      </c>
      <c r="F52" s="1">
        <v>0</v>
      </c>
      <c r="G52" s="1">
        <v>113410</v>
      </c>
      <c r="H52" s="76" t="s">
        <v>1085</v>
      </c>
      <c r="I52" s="1">
        <v>0</v>
      </c>
      <c r="J52"/>
      <c r="K52"/>
      <c r="L52"/>
      <c r="M52" s="76">
        <v>112413</v>
      </c>
      <c r="N52" s="76" t="s">
        <v>1132</v>
      </c>
      <c r="O52" s="76">
        <v>5.0000000000000001E-3</v>
      </c>
      <c r="P52" s="76">
        <v>151418</v>
      </c>
      <c r="Q52" s="76" t="s">
        <v>1220</v>
      </c>
      <c r="R52" s="76">
        <v>0</v>
      </c>
      <c r="S52"/>
      <c r="T52"/>
      <c r="U52"/>
      <c r="V52" s="76">
        <v>112413</v>
      </c>
      <c r="W52" s="76" t="s">
        <v>1132</v>
      </c>
      <c r="X52" s="76">
        <v>6.9999999999999993E-3</v>
      </c>
      <c r="Y52" s="76">
        <v>143419</v>
      </c>
      <c r="Z52" s="76" t="s">
        <v>1248</v>
      </c>
      <c r="AA52" s="76">
        <v>4.0000000000000001E-3</v>
      </c>
      <c r="AB52"/>
      <c r="AC52"/>
      <c r="AD52"/>
      <c r="AE52" s="76">
        <v>112412</v>
      </c>
      <c r="AF52" s="76" t="s">
        <v>1114</v>
      </c>
      <c r="AG52" s="76">
        <v>6.9999999999999993E-3</v>
      </c>
      <c r="AH52" s="76">
        <v>143419</v>
      </c>
      <c r="AI52" s="76" t="s">
        <v>1248</v>
      </c>
      <c r="AJ52" s="76">
        <v>4.0000000000000001E-3</v>
      </c>
      <c r="AK52"/>
      <c r="AL52"/>
      <c r="AM52"/>
      <c r="AN52" s="76">
        <v>112413</v>
      </c>
      <c r="AO52" s="76" t="s">
        <v>1132</v>
      </c>
      <c r="AP52" s="76">
        <v>5.0000000000000001E-3</v>
      </c>
      <c r="AQ52" s="76">
        <v>151418</v>
      </c>
      <c r="AR52" s="76" t="s">
        <v>1220</v>
      </c>
      <c r="AS52" s="76">
        <v>8.0000000000000002E-3</v>
      </c>
      <c r="AT52"/>
      <c r="AU52"/>
      <c r="AV52"/>
      <c r="AW52" s="76">
        <v>112412</v>
      </c>
      <c r="AX52" s="76" t="s">
        <v>1114</v>
      </c>
      <c r="AY52" s="76">
        <v>5.0000000000000001E-3</v>
      </c>
      <c r="AZ52" s="76">
        <v>151418</v>
      </c>
      <c r="BA52" s="76" t="s">
        <v>1220</v>
      </c>
      <c r="BB52" s="76">
        <v>8.0000000000000002E-3</v>
      </c>
    </row>
    <row r="53" spans="1:54" s="76" customFormat="1">
      <c r="A53" s="1">
        <v>133410</v>
      </c>
      <c r="B53" s="76" t="s">
        <v>1086</v>
      </c>
      <c r="C53" s="1">
        <v>0</v>
      </c>
      <c r="D53" s="1">
        <v>133410</v>
      </c>
      <c r="E53" s="76" t="s">
        <v>1086</v>
      </c>
      <c r="F53" s="1">
        <v>0</v>
      </c>
      <c r="G53" s="1">
        <v>133410</v>
      </c>
      <c r="H53" s="76" t="s">
        <v>1086</v>
      </c>
      <c r="I53" s="1">
        <v>0</v>
      </c>
      <c r="J53"/>
      <c r="K53"/>
      <c r="L53"/>
      <c r="M53" s="76">
        <v>132413</v>
      </c>
      <c r="N53" s="76" t="s">
        <v>1133</v>
      </c>
      <c r="O53" s="76">
        <v>5.0000000000000001E-3</v>
      </c>
      <c r="P53" s="76">
        <v>171418</v>
      </c>
      <c r="Q53" s="76" t="s">
        <v>1221</v>
      </c>
      <c r="R53" s="76">
        <v>0</v>
      </c>
      <c r="S53"/>
      <c r="T53"/>
      <c r="U53"/>
      <c r="V53" s="76">
        <v>132413</v>
      </c>
      <c r="W53" s="76" t="s">
        <v>1133</v>
      </c>
      <c r="X53" s="76">
        <v>6.9999999999999993E-3</v>
      </c>
      <c r="Y53" s="76">
        <v>163419</v>
      </c>
      <c r="Z53" s="76" t="s">
        <v>1249</v>
      </c>
      <c r="AA53" s="76">
        <v>4.0000000000000001E-3</v>
      </c>
      <c r="AB53"/>
      <c r="AC53"/>
      <c r="AD53"/>
      <c r="AE53" s="76">
        <v>132412</v>
      </c>
      <c r="AF53" s="76" t="s">
        <v>1115</v>
      </c>
      <c r="AG53" s="76">
        <v>6.9999999999999993E-3</v>
      </c>
      <c r="AH53" s="76">
        <v>163419</v>
      </c>
      <c r="AI53" s="76" t="s">
        <v>1249</v>
      </c>
      <c r="AJ53" s="76">
        <v>4.0000000000000001E-3</v>
      </c>
      <c r="AK53"/>
      <c r="AL53"/>
      <c r="AM53"/>
      <c r="AN53" s="76">
        <v>132413</v>
      </c>
      <c r="AO53" s="76" t="s">
        <v>1133</v>
      </c>
      <c r="AP53" s="76">
        <v>5.0000000000000001E-3</v>
      </c>
      <c r="AQ53" s="76">
        <v>171418</v>
      </c>
      <c r="AR53" s="76" t="s">
        <v>1221</v>
      </c>
      <c r="AS53" s="76">
        <v>8.0000000000000002E-3</v>
      </c>
      <c r="AT53"/>
      <c r="AU53"/>
      <c r="AV53"/>
      <c r="AW53" s="76">
        <v>132412</v>
      </c>
      <c r="AX53" s="76" t="s">
        <v>1115</v>
      </c>
      <c r="AY53" s="76">
        <v>5.0000000000000001E-3</v>
      </c>
      <c r="AZ53" s="76">
        <v>171418</v>
      </c>
      <c r="BA53" s="76" t="s">
        <v>1221</v>
      </c>
      <c r="BB53" s="76">
        <v>8.0000000000000002E-3</v>
      </c>
    </row>
    <row r="54" spans="1:54" s="76" customFormat="1">
      <c r="A54" s="1">
        <v>143410</v>
      </c>
      <c r="B54" s="76" t="s">
        <v>1087</v>
      </c>
      <c r="C54" s="1">
        <v>0</v>
      </c>
      <c r="D54" s="1">
        <v>143410</v>
      </c>
      <c r="E54" s="76" t="s">
        <v>1087</v>
      </c>
      <c r="F54" s="1">
        <v>0</v>
      </c>
      <c r="G54" s="1">
        <v>143410</v>
      </c>
      <c r="H54" s="76" t="s">
        <v>1087</v>
      </c>
      <c r="I54" s="1">
        <v>0</v>
      </c>
      <c r="J54"/>
      <c r="K54"/>
      <c r="L54"/>
      <c r="M54" s="76">
        <v>142413</v>
      </c>
      <c r="N54" s="76" t="s">
        <v>1134</v>
      </c>
      <c r="O54" s="76">
        <v>5.0000000000000001E-3</v>
      </c>
      <c r="P54" s="76">
        <v>112418</v>
      </c>
      <c r="Q54" s="76" t="s">
        <v>1222</v>
      </c>
      <c r="R54" s="76">
        <v>0</v>
      </c>
      <c r="S54"/>
      <c r="T54"/>
      <c r="U54"/>
      <c r="V54" s="76">
        <v>142413</v>
      </c>
      <c r="W54" s="76" t="s">
        <v>1134</v>
      </c>
      <c r="X54" s="76">
        <v>6.9999999999999993E-3</v>
      </c>
      <c r="Y54" s="76">
        <v>153419</v>
      </c>
      <c r="Z54" s="76" t="s">
        <v>1250</v>
      </c>
      <c r="AA54" s="76">
        <v>4.0000000000000001E-3</v>
      </c>
      <c r="AB54"/>
      <c r="AC54"/>
      <c r="AD54"/>
      <c r="AE54" s="76">
        <v>142412</v>
      </c>
      <c r="AF54" s="76" t="s">
        <v>1116</v>
      </c>
      <c r="AG54" s="76">
        <v>6.9999999999999993E-3</v>
      </c>
      <c r="AH54" s="76">
        <v>153419</v>
      </c>
      <c r="AI54" s="76" t="s">
        <v>1250</v>
      </c>
      <c r="AJ54" s="76">
        <v>4.0000000000000001E-3</v>
      </c>
      <c r="AK54"/>
      <c r="AL54"/>
      <c r="AM54"/>
      <c r="AN54" s="76">
        <v>142413</v>
      </c>
      <c r="AO54" s="76" t="s">
        <v>1134</v>
      </c>
      <c r="AP54" s="76">
        <v>5.0000000000000001E-3</v>
      </c>
      <c r="AQ54" s="76">
        <v>112418</v>
      </c>
      <c r="AR54" s="76" t="s">
        <v>1222</v>
      </c>
      <c r="AS54" s="76">
        <v>8.0000000000000002E-3</v>
      </c>
      <c r="AT54"/>
      <c r="AU54"/>
      <c r="AV54"/>
      <c r="AW54" s="76">
        <v>142412</v>
      </c>
      <c r="AX54" s="76" t="s">
        <v>1116</v>
      </c>
      <c r="AY54" s="76">
        <v>5.0000000000000001E-3</v>
      </c>
      <c r="AZ54" s="76">
        <v>112418</v>
      </c>
      <c r="BA54" s="76" t="s">
        <v>1222</v>
      </c>
      <c r="BB54" s="76">
        <v>8.0000000000000002E-3</v>
      </c>
    </row>
    <row r="55" spans="1:54" s="76" customFormat="1">
      <c r="A55" s="1">
        <v>163410</v>
      </c>
      <c r="B55" s="76" t="s">
        <v>1088</v>
      </c>
      <c r="C55" s="1">
        <v>0</v>
      </c>
      <c r="D55" s="1">
        <v>163410</v>
      </c>
      <c r="E55" s="76" t="s">
        <v>1088</v>
      </c>
      <c r="F55" s="1">
        <v>0</v>
      </c>
      <c r="G55" s="1">
        <v>163410</v>
      </c>
      <c r="H55" s="76" t="s">
        <v>1088</v>
      </c>
      <c r="I55" s="1">
        <v>0</v>
      </c>
      <c r="J55"/>
      <c r="K55"/>
      <c r="L55"/>
      <c r="M55" s="76">
        <v>162413</v>
      </c>
      <c r="N55" s="76" t="s">
        <v>1135</v>
      </c>
      <c r="O55" s="76">
        <v>5.0000000000000001E-3</v>
      </c>
      <c r="P55" s="76">
        <v>132418</v>
      </c>
      <c r="Q55" s="76" t="s">
        <v>1223</v>
      </c>
      <c r="R55" s="76">
        <v>0</v>
      </c>
      <c r="S55"/>
      <c r="T55"/>
      <c r="U55"/>
      <c r="V55" s="76">
        <v>162413</v>
      </c>
      <c r="W55" s="76" t="s">
        <v>1135</v>
      </c>
      <c r="X55" s="76">
        <v>6.9999999999999993E-3</v>
      </c>
      <c r="Y55" s="76">
        <v>173419</v>
      </c>
      <c r="Z55" s="76" t="s">
        <v>1251</v>
      </c>
      <c r="AA55" s="76">
        <v>4.0000000000000001E-3</v>
      </c>
      <c r="AB55"/>
      <c r="AC55"/>
      <c r="AD55"/>
      <c r="AE55" s="76">
        <v>162412</v>
      </c>
      <c r="AF55" s="76" t="s">
        <v>1117</v>
      </c>
      <c r="AG55" s="76">
        <v>6.9999999999999993E-3</v>
      </c>
      <c r="AH55" s="76">
        <v>173419</v>
      </c>
      <c r="AI55" s="76" t="s">
        <v>1251</v>
      </c>
      <c r="AJ55" s="76">
        <v>4.0000000000000001E-3</v>
      </c>
      <c r="AK55"/>
      <c r="AL55"/>
      <c r="AM55"/>
      <c r="AN55" s="76">
        <v>162413</v>
      </c>
      <c r="AO55" s="76" t="s">
        <v>1135</v>
      </c>
      <c r="AP55" s="76">
        <v>5.0000000000000001E-3</v>
      </c>
      <c r="AQ55" s="76">
        <v>132418</v>
      </c>
      <c r="AR55" s="76" t="s">
        <v>1223</v>
      </c>
      <c r="AS55" s="76">
        <v>8.0000000000000002E-3</v>
      </c>
      <c r="AT55"/>
      <c r="AU55"/>
      <c r="AV55"/>
      <c r="AW55" s="76">
        <v>162412</v>
      </c>
      <c r="AX55" s="76" t="s">
        <v>1117</v>
      </c>
      <c r="AY55" s="76">
        <v>5.0000000000000001E-3</v>
      </c>
      <c r="AZ55" s="76">
        <v>132418</v>
      </c>
      <c r="BA55" s="76" t="s">
        <v>1223</v>
      </c>
      <c r="BB55" s="76">
        <v>8.0000000000000002E-3</v>
      </c>
    </row>
    <row r="56" spans="1:54" s="76" customFormat="1">
      <c r="A56" s="1">
        <v>153410</v>
      </c>
      <c r="B56" s="76" t="s">
        <v>1089</v>
      </c>
      <c r="C56" s="1">
        <v>0</v>
      </c>
      <c r="D56" s="1">
        <v>153410</v>
      </c>
      <c r="E56" s="76" t="s">
        <v>1089</v>
      </c>
      <c r="F56" s="1">
        <v>0</v>
      </c>
      <c r="G56" s="1">
        <v>153410</v>
      </c>
      <c r="H56" s="76" t="s">
        <v>1089</v>
      </c>
      <c r="I56" s="1">
        <v>0</v>
      </c>
      <c r="J56"/>
      <c r="K56"/>
      <c r="L56"/>
      <c r="M56" s="76">
        <v>152413</v>
      </c>
      <c r="N56" s="76" t="s">
        <v>1136</v>
      </c>
      <c r="O56" s="76">
        <v>5.0000000000000001E-3</v>
      </c>
      <c r="P56" s="76">
        <v>142418</v>
      </c>
      <c r="Q56" s="76" t="s">
        <v>1224</v>
      </c>
      <c r="R56" s="76">
        <v>0</v>
      </c>
      <c r="S56"/>
      <c r="T56"/>
      <c r="U56"/>
      <c r="V56" s="76">
        <v>152413</v>
      </c>
      <c r="W56" s="76" t="s">
        <v>1136</v>
      </c>
      <c r="X56" s="76">
        <v>6.9999999999999993E-3</v>
      </c>
      <c r="Y56" s="76">
        <v>111420</v>
      </c>
      <c r="Z56" s="76" t="s">
        <v>1252</v>
      </c>
      <c r="AA56" s="76">
        <v>1E-3</v>
      </c>
      <c r="AB56"/>
      <c r="AC56"/>
      <c r="AD56"/>
      <c r="AE56" s="76">
        <v>152412</v>
      </c>
      <c r="AF56" s="76" t="s">
        <v>1118</v>
      </c>
      <c r="AG56" s="76">
        <v>6.9999999999999993E-3</v>
      </c>
      <c r="AH56" s="76">
        <v>111420</v>
      </c>
      <c r="AI56" s="76" t="s">
        <v>1252</v>
      </c>
      <c r="AJ56" s="76">
        <v>1E-3</v>
      </c>
      <c r="AK56"/>
      <c r="AL56"/>
      <c r="AM56"/>
      <c r="AN56" s="76">
        <v>152413</v>
      </c>
      <c r="AO56" s="76" t="s">
        <v>1136</v>
      </c>
      <c r="AP56" s="76">
        <v>5.0000000000000001E-3</v>
      </c>
      <c r="AQ56" s="76">
        <v>142418</v>
      </c>
      <c r="AR56" s="76" t="s">
        <v>1224</v>
      </c>
      <c r="AS56" s="76">
        <v>8.0000000000000002E-3</v>
      </c>
      <c r="AT56"/>
      <c r="AU56"/>
      <c r="AV56"/>
      <c r="AW56" s="76">
        <v>152412</v>
      </c>
      <c r="AX56" s="76" t="s">
        <v>1118</v>
      </c>
      <c r="AY56" s="76">
        <v>5.0000000000000001E-3</v>
      </c>
      <c r="AZ56" s="76">
        <v>142418</v>
      </c>
      <c r="BA56" s="76" t="s">
        <v>1224</v>
      </c>
      <c r="BB56" s="76">
        <v>8.0000000000000002E-3</v>
      </c>
    </row>
    <row r="57" spans="1:54" s="76" customFormat="1">
      <c r="A57" s="1">
        <v>173410</v>
      </c>
      <c r="B57" s="76" t="s">
        <v>755</v>
      </c>
      <c r="C57" s="1">
        <v>0</v>
      </c>
      <c r="D57" s="1">
        <v>173410</v>
      </c>
      <c r="E57" s="76" t="s">
        <v>755</v>
      </c>
      <c r="F57" s="1">
        <v>0</v>
      </c>
      <c r="G57" s="1">
        <v>173410</v>
      </c>
      <c r="H57" s="76" t="s">
        <v>755</v>
      </c>
      <c r="I57" s="1">
        <v>0</v>
      </c>
      <c r="J57"/>
      <c r="K57"/>
      <c r="L57"/>
      <c r="M57" s="76">
        <v>172413</v>
      </c>
      <c r="N57" s="76" t="s">
        <v>1137</v>
      </c>
      <c r="O57" s="76">
        <v>5.0000000000000001E-3</v>
      </c>
      <c r="P57" s="76">
        <v>162418</v>
      </c>
      <c r="Q57" s="76" t="s">
        <v>1225</v>
      </c>
      <c r="R57" s="76">
        <v>0</v>
      </c>
      <c r="S57"/>
      <c r="T57"/>
      <c r="U57"/>
      <c r="V57" s="76">
        <v>172413</v>
      </c>
      <c r="W57" s="76" t="s">
        <v>1137</v>
      </c>
      <c r="X57" s="76">
        <v>6.9999999999999993E-3</v>
      </c>
      <c r="Y57" s="76">
        <v>131420</v>
      </c>
      <c r="Z57" s="76" t="s">
        <v>1253</v>
      </c>
      <c r="AA57" s="76">
        <v>1E-3</v>
      </c>
      <c r="AB57"/>
      <c r="AC57"/>
      <c r="AD57"/>
      <c r="AE57" s="76">
        <v>172412</v>
      </c>
      <c r="AF57" s="76" t="s">
        <v>1119</v>
      </c>
      <c r="AG57" s="76">
        <v>6.9999999999999993E-3</v>
      </c>
      <c r="AH57" s="76">
        <v>131420</v>
      </c>
      <c r="AI57" s="76" t="s">
        <v>1253</v>
      </c>
      <c r="AJ57" s="76">
        <v>1E-3</v>
      </c>
      <c r="AK57"/>
      <c r="AL57"/>
      <c r="AM57"/>
      <c r="AN57" s="76">
        <v>172413</v>
      </c>
      <c r="AO57" s="76" t="s">
        <v>1137</v>
      </c>
      <c r="AP57" s="76">
        <v>5.0000000000000001E-3</v>
      </c>
      <c r="AQ57" s="76">
        <v>162418</v>
      </c>
      <c r="AR57" s="76" t="s">
        <v>1225</v>
      </c>
      <c r="AS57" s="76">
        <v>8.0000000000000002E-3</v>
      </c>
      <c r="AT57"/>
      <c r="AU57"/>
      <c r="AV57"/>
      <c r="AW57" s="76">
        <v>172412</v>
      </c>
      <c r="AX57" s="76" t="s">
        <v>1119</v>
      </c>
      <c r="AY57" s="76">
        <v>5.0000000000000001E-3</v>
      </c>
      <c r="AZ57" s="76">
        <v>162418</v>
      </c>
      <c r="BA57" s="76" t="s">
        <v>1225</v>
      </c>
      <c r="BB57" s="76">
        <v>8.0000000000000002E-3</v>
      </c>
    </row>
    <row r="58" spans="1:54" s="76" customFormat="1">
      <c r="A58" s="1">
        <v>111411</v>
      </c>
      <c r="B58" s="76" t="s">
        <v>1090</v>
      </c>
      <c r="C58" s="1">
        <v>0</v>
      </c>
      <c r="D58" s="1">
        <v>111411</v>
      </c>
      <c r="E58" s="76" t="s">
        <v>1090</v>
      </c>
      <c r="F58" s="1">
        <v>4.5000000000000005E-3</v>
      </c>
      <c r="G58" s="1">
        <v>111411</v>
      </c>
      <c r="H58" s="76" t="s">
        <v>1090</v>
      </c>
      <c r="I58" s="1">
        <v>0</v>
      </c>
      <c r="J58"/>
      <c r="K58"/>
      <c r="L58"/>
      <c r="M58" s="76">
        <v>113413</v>
      </c>
      <c r="N58" s="76" t="s">
        <v>1138</v>
      </c>
      <c r="O58" s="76">
        <v>5.0000000000000001E-3</v>
      </c>
      <c r="P58" s="76">
        <v>152418</v>
      </c>
      <c r="Q58" s="76" t="s">
        <v>1226</v>
      </c>
      <c r="R58" s="76">
        <v>0</v>
      </c>
      <c r="S58"/>
      <c r="T58"/>
      <c r="U58"/>
      <c r="V58" s="76">
        <v>113413</v>
      </c>
      <c r="W58" s="76" t="s">
        <v>1138</v>
      </c>
      <c r="X58" s="76">
        <v>6.9999999999999993E-3</v>
      </c>
      <c r="Y58" s="76">
        <v>141420</v>
      </c>
      <c r="Z58" s="76" t="s">
        <v>1254</v>
      </c>
      <c r="AA58" s="76">
        <v>1E-3</v>
      </c>
      <c r="AB58"/>
      <c r="AC58"/>
      <c r="AD58"/>
      <c r="AE58" s="76">
        <v>113412</v>
      </c>
      <c r="AF58" s="76" t="s">
        <v>1120</v>
      </c>
      <c r="AG58" s="76">
        <v>6.9999999999999993E-3</v>
      </c>
      <c r="AH58" s="76">
        <v>141420</v>
      </c>
      <c r="AI58" s="76" t="s">
        <v>1254</v>
      </c>
      <c r="AJ58" s="76">
        <v>1E-3</v>
      </c>
      <c r="AK58"/>
      <c r="AL58"/>
      <c r="AM58"/>
      <c r="AN58" s="76">
        <v>113413</v>
      </c>
      <c r="AO58" s="76" t="s">
        <v>1138</v>
      </c>
      <c r="AP58" s="76">
        <v>5.0000000000000001E-3</v>
      </c>
      <c r="AQ58" s="76">
        <v>152418</v>
      </c>
      <c r="AR58" s="76" t="s">
        <v>1226</v>
      </c>
      <c r="AS58" s="76">
        <v>8.0000000000000002E-3</v>
      </c>
      <c r="AT58"/>
      <c r="AU58"/>
      <c r="AV58"/>
      <c r="AW58" s="76">
        <v>113412</v>
      </c>
      <c r="AX58" s="76" t="s">
        <v>1120</v>
      </c>
      <c r="AY58" s="76">
        <v>5.0000000000000001E-3</v>
      </c>
      <c r="AZ58" s="76">
        <v>152418</v>
      </c>
      <c r="BA58" s="76" t="s">
        <v>1226</v>
      </c>
      <c r="BB58" s="76">
        <v>8.0000000000000002E-3</v>
      </c>
    </row>
    <row r="59" spans="1:54" s="76" customFormat="1">
      <c r="A59" s="1">
        <v>131411</v>
      </c>
      <c r="B59" s="76" t="s">
        <v>1091</v>
      </c>
      <c r="C59" s="1">
        <v>0</v>
      </c>
      <c r="D59" s="1">
        <v>131411</v>
      </c>
      <c r="E59" s="76" t="s">
        <v>1091</v>
      </c>
      <c r="F59" s="1">
        <v>4.5000000000000005E-3</v>
      </c>
      <c r="G59" s="1">
        <v>131411</v>
      </c>
      <c r="H59" s="76" t="s">
        <v>1091</v>
      </c>
      <c r="I59" s="1">
        <v>0</v>
      </c>
      <c r="J59"/>
      <c r="K59"/>
      <c r="L59"/>
      <c r="M59" s="76">
        <v>133413</v>
      </c>
      <c r="N59" s="76" t="s">
        <v>1139</v>
      </c>
      <c r="O59" s="76">
        <v>5.0000000000000001E-3</v>
      </c>
      <c r="P59" s="76">
        <v>172418</v>
      </c>
      <c r="Q59" s="76" t="s">
        <v>1227</v>
      </c>
      <c r="R59" s="76">
        <v>0</v>
      </c>
      <c r="S59"/>
      <c r="T59"/>
      <c r="U59"/>
      <c r="V59" s="76">
        <v>133413</v>
      </c>
      <c r="W59" s="76" t="s">
        <v>1139</v>
      </c>
      <c r="X59" s="76">
        <v>6.9999999999999993E-3</v>
      </c>
      <c r="Y59" s="76">
        <v>161420</v>
      </c>
      <c r="Z59" s="76" t="s">
        <v>1255</v>
      </c>
      <c r="AA59" s="76">
        <v>1E-3</v>
      </c>
      <c r="AB59"/>
      <c r="AC59"/>
      <c r="AD59"/>
      <c r="AE59" s="76">
        <v>133412</v>
      </c>
      <c r="AF59" s="76" t="s">
        <v>1121</v>
      </c>
      <c r="AG59" s="76">
        <v>6.9999999999999993E-3</v>
      </c>
      <c r="AH59" s="76">
        <v>161420</v>
      </c>
      <c r="AI59" s="76" t="s">
        <v>1255</v>
      </c>
      <c r="AJ59" s="76">
        <v>1E-3</v>
      </c>
      <c r="AK59"/>
      <c r="AL59"/>
      <c r="AM59"/>
      <c r="AN59" s="76">
        <v>133413</v>
      </c>
      <c r="AO59" s="76" t="s">
        <v>1139</v>
      </c>
      <c r="AP59" s="76">
        <v>5.0000000000000001E-3</v>
      </c>
      <c r="AQ59" s="76">
        <v>172418</v>
      </c>
      <c r="AR59" s="76" t="s">
        <v>1227</v>
      </c>
      <c r="AS59" s="76">
        <v>8.0000000000000002E-3</v>
      </c>
      <c r="AT59"/>
      <c r="AU59"/>
      <c r="AV59"/>
      <c r="AW59" s="76">
        <v>133412</v>
      </c>
      <c r="AX59" s="76" t="s">
        <v>1121</v>
      </c>
      <c r="AY59" s="76">
        <v>5.0000000000000001E-3</v>
      </c>
      <c r="AZ59" s="76">
        <v>172418</v>
      </c>
      <c r="BA59" s="76" t="s">
        <v>1227</v>
      </c>
      <c r="BB59" s="76">
        <v>8.0000000000000002E-3</v>
      </c>
    </row>
    <row r="60" spans="1:54" s="76" customFormat="1">
      <c r="A60" s="1">
        <v>141411</v>
      </c>
      <c r="B60" s="76" t="s">
        <v>1092</v>
      </c>
      <c r="C60" s="1">
        <v>0</v>
      </c>
      <c r="D60" s="1">
        <v>141411</v>
      </c>
      <c r="E60" s="76" t="s">
        <v>1092</v>
      </c>
      <c r="F60" s="1">
        <v>4.5000000000000005E-3</v>
      </c>
      <c r="G60" s="1">
        <v>141411</v>
      </c>
      <c r="H60" s="76" t="s">
        <v>1092</v>
      </c>
      <c r="I60" s="1">
        <v>0</v>
      </c>
      <c r="J60"/>
      <c r="K60"/>
      <c r="L60"/>
      <c r="M60" s="76">
        <v>143413</v>
      </c>
      <c r="N60" s="76" t="s">
        <v>1140</v>
      </c>
      <c r="O60" s="76">
        <v>5.0000000000000001E-3</v>
      </c>
      <c r="P60" s="76">
        <v>113418</v>
      </c>
      <c r="Q60" s="76" t="s">
        <v>1228</v>
      </c>
      <c r="R60" s="76">
        <v>0</v>
      </c>
      <c r="S60"/>
      <c r="T60"/>
      <c r="U60"/>
      <c r="V60" s="76">
        <v>143413</v>
      </c>
      <c r="W60" s="76" t="s">
        <v>1140</v>
      </c>
      <c r="X60" s="76">
        <v>6.9999999999999993E-3</v>
      </c>
      <c r="Y60" s="76">
        <v>151420</v>
      </c>
      <c r="Z60" s="76" t="s">
        <v>1256</v>
      </c>
      <c r="AA60" s="76">
        <v>1E-3</v>
      </c>
      <c r="AB60"/>
      <c r="AC60"/>
      <c r="AD60"/>
      <c r="AE60" s="76">
        <v>143412</v>
      </c>
      <c r="AF60" s="76" t="s">
        <v>1122</v>
      </c>
      <c r="AG60" s="76">
        <v>6.9999999999999993E-3</v>
      </c>
      <c r="AH60" s="76">
        <v>151420</v>
      </c>
      <c r="AI60" s="76" t="s">
        <v>1256</v>
      </c>
      <c r="AJ60" s="76">
        <v>1E-3</v>
      </c>
      <c r="AK60"/>
      <c r="AL60"/>
      <c r="AM60"/>
      <c r="AN60" s="76">
        <v>143413</v>
      </c>
      <c r="AO60" s="76" t="s">
        <v>1140</v>
      </c>
      <c r="AP60" s="76">
        <v>5.0000000000000001E-3</v>
      </c>
      <c r="AQ60" s="76">
        <v>113418</v>
      </c>
      <c r="AR60" s="76" t="s">
        <v>1228</v>
      </c>
      <c r="AS60" s="76">
        <v>8.0000000000000002E-3</v>
      </c>
      <c r="AT60"/>
      <c r="AU60"/>
      <c r="AV60"/>
      <c r="AW60" s="76">
        <v>143412</v>
      </c>
      <c r="AX60" s="76" t="s">
        <v>1122</v>
      </c>
      <c r="AY60" s="76">
        <v>5.0000000000000001E-3</v>
      </c>
      <c r="AZ60" s="76">
        <v>113418</v>
      </c>
      <c r="BA60" s="76" t="s">
        <v>1228</v>
      </c>
      <c r="BB60" s="76">
        <v>8.0000000000000002E-3</v>
      </c>
    </row>
    <row r="61" spans="1:54" s="76" customFormat="1">
      <c r="A61" s="1">
        <v>161411</v>
      </c>
      <c r="B61" s="76" t="s">
        <v>1093</v>
      </c>
      <c r="C61" s="1">
        <v>0</v>
      </c>
      <c r="D61" s="1">
        <v>161411</v>
      </c>
      <c r="E61" s="76" t="s">
        <v>1093</v>
      </c>
      <c r="F61" s="1">
        <v>4.5000000000000005E-3</v>
      </c>
      <c r="G61" s="1">
        <v>161411</v>
      </c>
      <c r="H61" s="76" t="s">
        <v>1093</v>
      </c>
      <c r="I61" s="1">
        <v>0</v>
      </c>
      <c r="J61"/>
      <c r="K61"/>
      <c r="L61"/>
      <c r="M61" s="76">
        <v>163413</v>
      </c>
      <c r="N61" s="76" t="s">
        <v>1141</v>
      </c>
      <c r="O61" s="76">
        <v>5.0000000000000001E-3</v>
      </c>
      <c r="P61" s="76">
        <v>133418</v>
      </c>
      <c r="Q61" s="76" t="s">
        <v>1229</v>
      </c>
      <c r="R61" s="76">
        <v>0</v>
      </c>
      <c r="S61"/>
      <c r="T61"/>
      <c r="U61"/>
      <c r="V61" s="76">
        <v>163413</v>
      </c>
      <c r="W61" s="76" t="s">
        <v>1141</v>
      </c>
      <c r="X61" s="76">
        <v>6.9999999999999993E-3</v>
      </c>
      <c r="Y61" s="76">
        <v>171420</v>
      </c>
      <c r="Z61" s="76" t="s">
        <v>1257</v>
      </c>
      <c r="AA61" s="76">
        <v>1E-3</v>
      </c>
      <c r="AB61"/>
      <c r="AC61"/>
      <c r="AD61"/>
      <c r="AE61" s="76">
        <v>163412</v>
      </c>
      <c r="AF61" s="76" t="s">
        <v>1123</v>
      </c>
      <c r="AG61" s="76">
        <v>6.9999999999999993E-3</v>
      </c>
      <c r="AH61" s="76">
        <v>171420</v>
      </c>
      <c r="AI61" s="76" t="s">
        <v>1257</v>
      </c>
      <c r="AJ61" s="76">
        <v>1E-3</v>
      </c>
      <c r="AK61"/>
      <c r="AL61"/>
      <c r="AM61"/>
      <c r="AN61" s="76">
        <v>163413</v>
      </c>
      <c r="AO61" s="76" t="s">
        <v>1141</v>
      </c>
      <c r="AP61" s="76">
        <v>5.0000000000000001E-3</v>
      </c>
      <c r="AQ61" s="76">
        <v>133418</v>
      </c>
      <c r="AR61" s="76" t="s">
        <v>1229</v>
      </c>
      <c r="AS61" s="76">
        <v>8.0000000000000002E-3</v>
      </c>
      <c r="AT61"/>
      <c r="AU61"/>
      <c r="AV61"/>
      <c r="AW61" s="76">
        <v>163412</v>
      </c>
      <c r="AX61" s="76" t="s">
        <v>1123</v>
      </c>
      <c r="AY61" s="76">
        <v>5.0000000000000001E-3</v>
      </c>
      <c r="AZ61" s="76">
        <v>133418</v>
      </c>
      <c r="BA61" s="76" t="s">
        <v>1229</v>
      </c>
      <c r="BB61" s="76">
        <v>8.0000000000000002E-3</v>
      </c>
    </row>
    <row r="62" spans="1:54" s="76" customFormat="1">
      <c r="A62" s="1">
        <v>151411</v>
      </c>
      <c r="B62" s="76" t="s">
        <v>1094</v>
      </c>
      <c r="C62" s="1">
        <v>0</v>
      </c>
      <c r="D62" s="1">
        <v>151411</v>
      </c>
      <c r="E62" s="76" t="s">
        <v>1094</v>
      </c>
      <c r="F62" s="1">
        <v>4.5000000000000005E-3</v>
      </c>
      <c r="G62" s="1">
        <v>151411</v>
      </c>
      <c r="H62" s="76" t="s">
        <v>1094</v>
      </c>
      <c r="I62" s="1">
        <v>0</v>
      </c>
      <c r="J62"/>
      <c r="K62"/>
      <c r="L62"/>
      <c r="M62" s="76">
        <v>153413</v>
      </c>
      <c r="N62" s="76" t="s">
        <v>1142</v>
      </c>
      <c r="O62" s="76">
        <v>5.0000000000000001E-3</v>
      </c>
      <c r="P62" s="76">
        <v>143418</v>
      </c>
      <c r="Q62" s="76" t="s">
        <v>1230</v>
      </c>
      <c r="R62" s="76">
        <v>0</v>
      </c>
      <c r="S62"/>
      <c r="T62"/>
      <c r="U62"/>
      <c r="V62" s="76">
        <v>153413</v>
      </c>
      <c r="W62" s="76" t="s">
        <v>1142</v>
      </c>
      <c r="X62" s="76">
        <v>6.9999999999999993E-3</v>
      </c>
      <c r="Y62" s="76">
        <v>112420</v>
      </c>
      <c r="Z62" s="76" t="s">
        <v>1258</v>
      </c>
      <c r="AA62" s="76">
        <v>1E-3</v>
      </c>
      <c r="AB62"/>
      <c r="AC62"/>
      <c r="AD62"/>
      <c r="AE62" s="76">
        <v>153412</v>
      </c>
      <c r="AF62" s="76" t="s">
        <v>1124</v>
      </c>
      <c r="AG62" s="76">
        <v>6.9999999999999993E-3</v>
      </c>
      <c r="AH62" s="76">
        <v>112420</v>
      </c>
      <c r="AI62" s="76" t="s">
        <v>1258</v>
      </c>
      <c r="AJ62" s="76">
        <v>1E-3</v>
      </c>
      <c r="AK62"/>
      <c r="AL62"/>
      <c r="AM62"/>
      <c r="AN62" s="76">
        <v>153413</v>
      </c>
      <c r="AO62" s="76" t="s">
        <v>1142</v>
      </c>
      <c r="AP62" s="76">
        <v>5.0000000000000001E-3</v>
      </c>
      <c r="AQ62" s="76">
        <v>143418</v>
      </c>
      <c r="AR62" s="76" t="s">
        <v>1230</v>
      </c>
      <c r="AS62" s="76">
        <v>8.0000000000000002E-3</v>
      </c>
      <c r="AT62"/>
      <c r="AU62"/>
      <c r="AV62"/>
      <c r="AW62" s="76">
        <v>153412</v>
      </c>
      <c r="AX62" s="76" t="s">
        <v>1124</v>
      </c>
      <c r="AY62" s="76">
        <v>5.0000000000000001E-3</v>
      </c>
      <c r="AZ62" s="76">
        <v>143418</v>
      </c>
      <c r="BA62" s="76" t="s">
        <v>1230</v>
      </c>
      <c r="BB62" s="76">
        <v>8.0000000000000002E-3</v>
      </c>
    </row>
    <row r="63" spans="1:54" s="76" customFormat="1">
      <c r="A63" s="1">
        <v>171411</v>
      </c>
      <c r="B63" s="76" t="s">
        <v>1095</v>
      </c>
      <c r="C63" s="1">
        <v>0</v>
      </c>
      <c r="D63" s="1">
        <v>171411</v>
      </c>
      <c r="E63" s="76" t="s">
        <v>1095</v>
      </c>
      <c r="F63" s="1">
        <v>4.5000000000000005E-3</v>
      </c>
      <c r="G63" s="1">
        <v>171411</v>
      </c>
      <c r="H63" s="76" t="s">
        <v>1095</v>
      </c>
      <c r="I63" s="1">
        <v>0</v>
      </c>
      <c r="J63"/>
      <c r="K63"/>
      <c r="L63"/>
      <c r="M63" s="76">
        <v>173413</v>
      </c>
      <c r="N63" s="76" t="s">
        <v>1143</v>
      </c>
      <c r="O63" s="76">
        <v>5.0000000000000001E-3</v>
      </c>
      <c r="P63" s="76">
        <v>163418</v>
      </c>
      <c r="Q63" s="76" t="s">
        <v>1231</v>
      </c>
      <c r="R63" s="76">
        <v>0</v>
      </c>
      <c r="S63"/>
      <c r="T63"/>
      <c r="U63"/>
      <c r="V63" s="76">
        <v>173413</v>
      </c>
      <c r="W63" s="76" t="s">
        <v>1143</v>
      </c>
      <c r="X63" s="76">
        <v>6.9999999999999993E-3</v>
      </c>
      <c r="Y63" s="76">
        <v>132420</v>
      </c>
      <c r="Z63" s="76" t="s">
        <v>1259</v>
      </c>
      <c r="AA63" s="76">
        <v>1E-3</v>
      </c>
      <c r="AB63"/>
      <c r="AC63"/>
      <c r="AD63"/>
      <c r="AE63" s="76">
        <v>173412</v>
      </c>
      <c r="AF63" s="76" t="s">
        <v>1125</v>
      </c>
      <c r="AG63" s="76">
        <v>6.9999999999999993E-3</v>
      </c>
      <c r="AH63" s="76">
        <v>132420</v>
      </c>
      <c r="AI63" s="76" t="s">
        <v>1259</v>
      </c>
      <c r="AJ63" s="76">
        <v>1E-3</v>
      </c>
      <c r="AK63"/>
      <c r="AL63"/>
      <c r="AM63"/>
      <c r="AN63" s="76">
        <v>173413</v>
      </c>
      <c r="AO63" s="76" t="s">
        <v>1143</v>
      </c>
      <c r="AP63" s="76">
        <v>5.0000000000000001E-3</v>
      </c>
      <c r="AQ63" s="76">
        <v>163418</v>
      </c>
      <c r="AR63" s="76" t="s">
        <v>1231</v>
      </c>
      <c r="AS63" s="76">
        <v>8.0000000000000002E-3</v>
      </c>
      <c r="AT63"/>
      <c r="AU63"/>
      <c r="AV63"/>
      <c r="AW63" s="76">
        <v>173412</v>
      </c>
      <c r="AX63" s="76" t="s">
        <v>1125</v>
      </c>
      <c r="AY63" s="76">
        <v>5.0000000000000001E-3</v>
      </c>
      <c r="AZ63" s="76">
        <v>163418</v>
      </c>
      <c r="BA63" s="76" t="s">
        <v>1231</v>
      </c>
      <c r="BB63" s="76">
        <v>8.0000000000000002E-3</v>
      </c>
    </row>
    <row r="64" spans="1:54" s="76" customFormat="1">
      <c r="A64" s="1">
        <v>112411</v>
      </c>
      <c r="B64" s="76" t="s">
        <v>1096</v>
      </c>
      <c r="C64" s="1">
        <v>0</v>
      </c>
      <c r="D64" s="1">
        <v>112411</v>
      </c>
      <c r="E64" s="76" t="s">
        <v>1096</v>
      </c>
      <c r="F64" s="1">
        <v>4.5000000000000005E-3</v>
      </c>
      <c r="G64" s="1">
        <v>112411</v>
      </c>
      <c r="H64" s="76" t="s">
        <v>1096</v>
      </c>
      <c r="I64" s="1">
        <v>0</v>
      </c>
      <c r="J64"/>
      <c r="K64"/>
      <c r="L64"/>
      <c r="M64" s="76">
        <v>111414</v>
      </c>
      <c r="N64" s="76" t="s">
        <v>1144</v>
      </c>
      <c r="O64" s="76">
        <v>2.5000000000000001E-3</v>
      </c>
      <c r="P64" s="76">
        <v>153418</v>
      </c>
      <c r="Q64" s="76" t="s">
        <v>1232</v>
      </c>
      <c r="R64" s="76">
        <v>0</v>
      </c>
      <c r="S64"/>
      <c r="T64"/>
      <c r="U64"/>
      <c r="V64" s="76">
        <v>111414</v>
      </c>
      <c r="W64" s="76" t="s">
        <v>1144</v>
      </c>
      <c r="X64" s="76">
        <v>8.0000000000000002E-3</v>
      </c>
      <c r="Y64" s="76">
        <v>142420</v>
      </c>
      <c r="Z64" s="76" t="s">
        <v>1260</v>
      </c>
      <c r="AA64" s="76">
        <v>1E-3</v>
      </c>
      <c r="AB64"/>
      <c r="AC64"/>
      <c r="AD64"/>
      <c r="AE64" s="76">
        <v>111413</v>
      </c>
      <c r="AF64" s="76" t="s">
        <v>1126</v>
      </c>
      <c r="AG64" s="76">
        <v>8.0000000000000002E-3</v>
      </c>
      <c r="AH64" s="76">
        <v>142420</v>
      </c>
      <c r="AI64" s="76" t="s">
        <v>1260</v>
      </c>
      <c r="AJ64" s="76">
        <v>1E-3</v>
      </c>
      <c r="AK64"/>
      <c r="AL64"/>
      <c r="AM64"/>
      <c r="AN64" s="76">
        <v>111414</v>
      </c>
      <c r="AO64" s="76" t="s">
        <v>1144</v>
      </c>
      <c r="AP64" s="76">
        <v>2.5000000000000001E-3</v>
      </c>
      <c r="AQ64" s="76">
        <v>153418</v>
      </c>
      <c r="AR64" s="76" t="s">
        <v>1232</v>
      </c>
      <c r="AS64" s="76">
        <v>8.0000000000000002E-3</v>
      </c>
      <c r="AT64"/>
      <c r="AU64"/>
      <c r="AV64"/>
      <c r="AW64" s="76">
        <v>111413</v>
      </c>
      <c r="AX64" s="76" t="s">
        <v>1126</v>
      </c>
      <c r="AY64" s="76">
        <v>5.0000000000000001E-3</v>
      </c>
      <c r="AZ64" s="76">
        <v>153418</v>
      </c>
      <c r="BA64" s="76" t="s">
        <v>1232</v>
      </c>
      <c r="BB64" s="76">
        <v>8.0000000000000002E-3</v>
      </c>
    </row>
    <row r="65" spans="1:54" s="76" customFormat="1">
      <c r="A65" s="1">
        <v>132411</v>
      </c>
      <c r="B65" s="76" t="s">
        <v>1097</v>
      </c>
      <c r="C65" s="1">
        <v>0</v>
      </c>
      <c r="D65" s="1">
        <v>132411</v>
      </c>
      <c r="E65" s="76" t="s">
        <v>1097</v>
      </c>
      <c r="F65" s="1">
        <v>4.5000000000000005E-3</v>
      </c>
      <c r="G65" s="1">
        <v>132411</v>
      </c>
      <c r="H65" s="76" t="s">
        <v>1097</v>
      </c>
      <c r="I65" s="1">
        <v>0</v>
      </c>
      <c r="J65"/>
      <c r="K65"/>
      <c r="L65"/>
      <c r="M65" s="76">
        <v>131414</v>
      </c>
      <c r="N65" s="76" t="s">
        <v>1145</v>
      </c>
      <c r="O65" s="76">
        <v>2.5000000000000001E-3</v>
      </c>
      <c r="P65" s="76">
        <v>173418</v>
      </c>
      <c r="Q65" s="76" t="s">
        <v>1233</v>
      </c>
      <c r="R65" s="76">
        <v>0</v>
      </c>
      <c r="S65"/>
      <c r="T65"/>
      <c r="U65"/>
      <c r="V65" s="76">
        <v>131414</v>
      </c>
      <c r="W65" s="76" t="s">
        <v>1145</v>
      </c>
      <c r="X65" s="76">
        <v>8.0000000000000002E-3</v>
      </c>
      <c r="Y65" s="76">
        <v>162420</v>
      </c>
      <c r="Z65" s="76" t="s">
        <v>1261</v>
      </c>
      <c r="AA65" s="76">
        <v>1E-3</v>
      </c>
      <c r="AB65"/>
      <c r="AC65"/>
      <c r="AD65"/>
      <c r="AE65" s="76">
        <v>131413</v>
      </c>
      <c r="AF65" s="76" t="s">
        <v>1127</v>
      </c>
      <c r="AG65" s="76">
        <v>8.0000000000000002E-3</v>
      </c>
      <c r="AH65" s="76">
        <v>162420</v>
      </c>
      <c r="AI65" s="76" t="s">
        <v>1261</v>
      </c>
      <c r="AJ65" s="76">
        <v>1E-3</v>
      </c>
      <c r="AK65"/>
      <c r="AL65"/>
      <c r="AM65"/>
      <c r="AN65" s="76">
        <v>131414</v>
      </c>
      <c r="AO65" s="76" t="s">
        <v>1145</v>
      </c>
      <c r="AP65" s="76">
        <v>2.5000000000000001E-3</v>
      </c>
      <c r="AQ65" s="76">
        <v>173418</v>
      </c>
      <c r="AR65" s="76" t="s">
        <v>1233</v>
      </c>
      <c r="AS65" s="76">
        <v>8.0000000000000002E-3</v>
      </c>
      <c r="AT65"/>
      <c r="AU65"/>
      <c r="AV65"/>
      <c r="AW65" s="76">
        <v>131413</v>
      </c>
      <c r="AX65" s="76" t="s">
        <v>1127</v>
      </c>
      <c r="AY65" s="76">
        <v>5.0000000000000001E-3</v>
      </c>
      <c r="AZ65" s="76">
        <v>173418</v>
      </c>
      <c r="BA65" s="76" t="s">
        <v>1233</v>
      </c>
      <c r="BB65" s="76">
        <v>8.0000000000000002E-3</v>
      </c>
    </row>
    <row r="66" spans="1:54" s="76" customFormat="1">
      <c r="A66" s="1">
        <v>142411</v>
      </c>
      <c r="B66" s="76" t="s">
        <v>1098</v>
      </c>
      <c r="C66" s="1">
        <v>0</v>
      </c>
      <c r="D66" s="1">
        <v>142411</v>
      </c>
      <c r="E66" s="76" t="s">
        <v>1098</v>
      </c>
      <c r="F66" s="1">
        <v>4.5000000000000005E-3</v>
      </c>
      <c r="G66" s="1">
        <v>142411</v>
      </c>
      <c r="H66" s="76" t="s">
        <v>1098</v>
      </c>
      <c r="I66" s="1">
        <v>0</v>
      </c>
      <c r="J66"/>
      <c r="K66"/>
      <c r="L66"/>
      <c r="M66" s="76">
        <v>141414</v>
      </c>
      <c r="N66" s="76" t="s">
        <v>1146</v>
      </c>
      <c r="O66" s="76">
        <v>2.5000000000000001E-3</v>
      </c>
      <c r="P66" s="76">
        <v>111419</v>
      </c>
      <c r="Q66" s="76" t="s">
        <v>1234</v>
      </c>
      <c r="R66" s="76">
        <v>0</v>
      </c>
      <c r="S66"/>
      <c r="T66"/>
      <c r="U66"/>
      <c r="V66" s="76">
        <v>141414</v>
      </c>
      <c r="W66" s="76" t="s">
        <v>1146</v>
      </c>
      <c r="X66" s="76">
        <v>8.0000000000000002E-3</v>
      </c>
      <c r="Y66" s="76">
        <v>152420</v>
      </c>
      <c r="Z66" s="76" t="s">
        <v>1262</v>
      </c>
      <c r="AA66" s="76">
        <v>1E-3</v>
      </c>
      <c r="AB66"/>
      <c r="AC66"/>
      <c r="AD66"/>
      <c r="AE66" s="76">
        <v>141413</v>
      </c>
      <c r="AF66" s="76" t="s">
        <v>1128</v>
      </c>
      <c r="AG66" s="76">
        <v>8.0000000000000002E-3</v>
      </c>
      <c r="AH66" s="76">
        <v>152420</v>
      </c>
      <c r="AI66" s="76" t="s">
        <v>1262</v>
      </c>
      <c r="AJ66" s="76">
        <v>1E-3</v>
      </c>
      <c r="AK66"/>
      <c r="AL66"/>
      <c r="AM66"/>
      <c r="AN66" s="76">
        <v>141414</v>
      </c>
      <c r="AO66" s="76" t="s">
        <v>1146</v>
      </c>
      <c r="AP66" s="76">
        <v>2.5000000000000001E-3</v>
      </c>
      <c r="AQ66" s="76">
        <v>111419</v>
      </c>
      <c r="AR66" s="76" t="s">
        <v>1234</v>
      </c>
      <c r="AS66" s="76">
        <v>2E-3</v>
      </c>
      <c r="AT66"/>
      <c r="AU66"/>
      <c r="AV66"/>
      <c r="AW66" s="76">
        <v>141413</v>
      </c>
      <c r="AX66" s="76" t="s">
        <v>1128</v>
      </c>
      <c r="AY66" s="76">
        <v>5.0000000000000001E-3</v>
      </c>
      <c r="AZ66" s="76">
        <v>111419</v>
      </c>
      <c r="BA66" s="76" t="s">
        <v>1234</v>
      </c>
      <c r="BB66" s="76">
        <v>2E-3</v>
      </c>
    </row>
    <row r="67" spans="1:54" s="76" customFormat="1">
      <c r="A67" s="1">
        <v>162411</v>
      </c>
      <c r="B67" s="76" t="s">
        <v>1099</v>
      </c>
      <c r="C67" s="1">
        <v>0</v>
      </c>
      <c r="D67" s="1">
        <v>162411</v>
      </c>
      <c r="E67" s="76" t="s">
        <v>1099</v>
      </c>
      <c r="F67" s="1">
        <v>4.5000000000000005E-3</v>
      </c>
      <c r="G67" s="1">
        <v>162411</v>
      </c>
      <c r="H67" s="76" t="s">
        <v>1099</v>
      </c>
      <c r="I67" s="1">
        <v>0</v>
      </c>
      <c r="J67"/>
      <c r="K67"/>
      <c r="L67"/>
      <c r="M67" s="76">
        <v>161414</v>
      </c>
      <c r="N67" s="76" t="s">
        <v>1147</v>
      </c>
      <c r="O67" s="76">
        <v>2.5000000000000001E-3</v>
      </c>
      <c r="P67" s="76">
        <v>131419</v>
      </c>
      <c r="Q67" s="76" t="s">
        <v>1235</v>
      </c>
      <c r="R67" s="76">
        <v>0</v>
      </c>
      <c r="S67"/>
      <c r="T67"/>
      <c r="U67"/>
      <c r="V67" s="76">
        <v>161414</v>
      </c>
      <c r="W67" s="76" t="s">
        <v>1147</v>
      </c>
      <c r="X67" s="76">
        <v>8.0000000000000002E-3</v>
      </c>
      <c r="Y67" s="76">
        <v>172420</v>
      </c>
      <c r="Z67" s="76" t="s">
        <v>1263</v>
      </c>
      <c r="AA67" s="76">
        <v>1E-3</v>
      </c>
      <c r="AB67"/>
      <c r="AC67"/>
      <c r="AD67"/>
      <c r="AE67" s="76">
        <v>161413</v>
      </c>
      <c r="AF67" s="76" t="s">
        <v>1129</v>
      </c>
      <c r="AG67" s="76">
        <v>8.0000000000000002E-3</v>
      </c>
      <c r="AH67" s="76">
        <v>172420</v>
      </c>
      <c r="AI67" s="76" t="s">
        <v>1263</v>
      </c>
      <c r="AJ67" s="76">
        <v>1E-3</v>
      </c>
      <c r="AK67"/>
      <c r="AL67"/>
      <c r="AM67"/>
      <c r="AN67" s="76">
        <v>161414</v>
      </c>
      <c r="AO67" s="76" t="s">
        <v>1147</v>
      </c>
      <c r="AP67" s="76">
        <v>2.5000000000000001E-3</v>
      </c>
      <c r="AQ67" s="76">
        <v>131419</v>
      </c>
      <c r="AR67" s="76" t="s">
        <v>1235</v>
      </c>
      <c r="AS67" s="76">
        <v>2E-3</v>
      </c>
      <c r="AT67"/>
      <c r="AU67"/>
      <c r="AV67"/>
      <c r="AW67" s="76">
        <v>161413</v>
      </c>
      <c r="AX67" s="76" t="s">
        <v>1129</v>
      </c>
      <c r="AY67" s="76">
        <v>5.0000000000000001E-3</v>
      </c>
      <c r="AZ67" s="76">
        <v>131419</v>
      </c>
      <c r="BA67" s="76" t="s">
        <v>1235</v>
      </c>
      <c r="BB67" s="76">
        <v>2E-3</v>
      </c>
    </row>
    <row r="68" spans="1:54" s="76" customFormat="1">
      <c r="A68" s="1">
        <v>152411</v>
      </c>
      <c r="B68" s="76" t="s">
        <v>1100</v>
      </c>
      <c r="C68" s="1">
        <v>0</v>
      </c>
      <c r="D68" s="1">
        <v>152411</v>
      </c>
      <c r="E68" s="76" t="s">
        <v>1100</v>
      </c>
      <c r="F68" s="1">
        <v>4.5000000000000005E-3</v>
      </c>
      <c r="G68" s="1">
        <v>152411</v>
      </c>
      <c r="H68" s="76" t="s">
        <v>1100</v>
      </c>
      <c r="I68" s="1">
        <v>0</v>
      </c>
      <c r="J68"/>
      <c r="K68"/>
      <c r="L68"/>
      <c r="M68" s="76">
        <v>151414</v>
      </c>
      <c r="N68" s="76" t="s">
        <v>1148</v>
      </c>
      <c r="O68" s="76">
        <v>2.5000000000000001E-3</v>
      </c>
      <c r="P68" s="76">
        <v>141419</v>
      </c>
      <c r="Q68" s="76" t="s">
        <v>1236</v>
      </c>
      <c r="R68" s="76">
        <v>0</v>
      </c>
      <c r="S68"/>
      <c r="T68"/>
      <c r="U68"/>
      <c r="V68" s="76">
        <v>151414</v>
      </c>
      <c r="W68" s="76" t="s">
        <v>1148</v>
      </c>
      <c r="X68" s="76">
        <v>8.0000000000000002E-3</v>
      </c>
      <c r="Y68" s="76">
        <v>113420</v>
      </c>
      <c r="Z68" s="76" t="s">
        <v>1264</v>
      </c>
      <c r="AA68" s="76">
        <v>1E-3</v>
      </c>
      <c r="AB68"/>
      <c r="AC68"/>
      <c r="AD68"/>
      <c r="AE68" s="76">
        <v>151413</v>
      </c>
      <c r="AF68" s="76" t="s">
        <v>1130</v>
      </c>
      <c r="AG68" s="76">
        <v>8.0000000000000002E-3</v>
      </c>
      <c r="AH68" s="76">
        <v>113420</v>
      </c>
      <c r="AI68" s="76" t="s">
        <v>1264</v>
      </c>
      <c r="AJ68" s="76">
        <v>1E-3</v>
      </c>
      <c r="AK68"/>
      <c r="AL68"/>
      <c r="AM68"/>
      <c r="AN68" s="76">
        <v>151414</v>
      </c>
      <c r="AO68" s="76" t="s">
        <v>1148</v>
      </c>
      <c r="AP68" s="76">
        <v>2.5000000000000001E-3</v>
      </c>
      <c r="AQ68" s="76">
        <v>141419</v>
      </c>
      <c r="AR68" s="76" t="s">
        <v>1236</v>
      </c>
      <c r="AS68" s="76">
        <v>2E-3</v>
      </c>
      <c r="AT68"/>
      <c r="AU68"/>
      <c r="AV68"/>
      <c r="AW68" s="76">
        <v>151413</v>
      </c>
      <c r="AX68" s="76" t="s">
        <v>1130</v>
      </c>
      <c r="AY68" s="76">
        <v>5.0000000000000001E-3</v>
      </c>
      <c r="AZ68" s="76">
        <v>141419</v>
      </c>
      <c r="BA68" s="76" t="s">
        <v>1236</v>
      </c>
      <c r="BB68" s="76">
        <v>2E-3</v>
      </c>
    </row>
    <row r="69" spans="1:54" s="76" customFormat="1">
      <c r="A69" s="1">
        <v>172411</v>
      </c>
      <c r="B69" s="76" t="s">
        <v>1101</v>
      </c>
      <c r="C69" s="1">
        <v>0</v>
      </c>
      <c r="D69" s="1">
        <v>172411</v>
      </c>
      <c r="E69" s="76" t="s">
        <v>1101</v>
      </c>
      <c r="F69" s="1">
        <v>4.5000000000000005E-3</v>
      </c>
      <c r="G69" s="1">
        <v>172411</v>
      </c>
      <c r="H69" s="76" t="s">
        <v>1101</v>
      </c>
      <c r="I69" s="1">
        <v>0</v>
      </c>
      <c r="J69"/>
      <c r="K69"/>
      <c r="L69"/>
      <c r="M69" s="76">
        <v>171414</v>
      </c>
      <c r="N69" s="76" t="s">
        <v>1149</v>
      </c>
      <c r="O69" s="76">
        <v>2.5000000000000001E-3</v>
      </c>
      <c r="P69" s="76">
        <v>161419</v>
      </c>
      <c r="Q69" s="76" t="s">
        <v>1237</v>
      </c>
      <c r="R69" s="76">
        <v>0</v>
      </c>
      <c r="S69"/>
      <c r="T69"/>
      <c r="U69"/>
      <c r="V69" s="76">
        <v>171414</v>
      </c>
      <c r="W69" s="76" t="s">
        <v>1149</v>
      </c>
      <c r="X69" s="76">
        <v>8.0000000000000002E-3</v>
      </c>
      <c r="Y69" s="76">
        <v>133420</v>
      </c>
      <c r="Z69" s="76" t="s">
        <v>1265</v>
      </c>
      <c r="AA69" s="76">
        <v>1E-3</v>
      </c>
      <c r="AB69"/>
      <c r="AC69"/>
      <c r="AD69"/>
      <c r="AE69" s="76">
        <v>171413</v>
      </c>
      <c r="AF69" s="76" t="s">
        <v>1131</v>
      </c>
      <c r="AG69" s="76">
        <v>8.0000000000000002E-3</v>
      </c>
      <c r="AH69" s="76">
        <v>133420</v>
      </c>
      <c r="AI69" s="76" t="s">
        <v>1265</v>
      </c>
      <c r="AJ69" s="76">
        <v>1E-3</v>
      </c>
      <c r="AK69"/>
      <c r="AL69"/>
      <c r="AM69"/>
      <c r="AN69" s="76">
        <v>171414</v>
      </c>
      <c r="AO69" s="76" t="s">
        <v>1149</v>
      </c>
      <c r="AP69" s="76">
        <v>2.5000000000000001E-3</v>
      </c>
      <c r="AQ69" s="76">
        <v>161419</v>
      </c>
      <c r="AR69" s="76" t="s">
        <v>1237</v>
      </c>
      <c r="AS69" s="76">
        <v>2E-3</v>
      </c>
      <c r="AT69"/>
      <c r="AU69"/>
      <c r="AV69"/>
      <c r="AW69" s="76">
        <v>171413</v>
      </c>
      <c r="AX69" s="76" t="s">
        <v>1131</v>
      </c>
      <c r="AY69" s="76">
        <v>5.0000000000000001E-3</v>
      </c>
      <c r="AZ69" s="76">
        <v>161419</v>
      </c>
      <c r="BA69" s="76" t="s">
        <v>1237</v>
      </c>
      <c r="BB69" s="76">
        <v>2E-3</v>
      </c>
    </row>
    <row r="70" spans="1:54" s="76" customFormat="1">
      <c r="A70" s="1">
        <v>113411</v>
      </c>
      <c r="B70" s="76" t="s">
        <v>1102</v>
      </c>
      <c r="C70" s="1">
        <v>0</v>
      </c>
      <c r="D70" s="1">
        <v>113411</v>
      </c>
      <c r="E70" s="76" t="s">
        <v>1102</v>
      </c>
      <c r="F70" s="1">
        <v>4.5000000000000005E-3</v>
      </c>
      <c r="G70" s="1">
        <v>113411</v>
      </c>
      <c r="H70" s="76" t="s">
        <v>1102</v>
      </c>
      <c r="I70" s="1">
        <v>0</v>
      </c>
      <c r="J70"/>
      <c r="K70"/>
      <c r="L70"/>
      <c r="M70" s="76">
        <v>112414</v>
      </c>
      <c r="N70" s="76" t="s">
        <v>1150</v>
      </c>
      <c r="O70" s="76">
        <v>2.5000000000000001E-3</v>
      </c>
      <c r="P70" s="76">
        <v>151419</v>
      </c>
      <c r="Q70" s="76" t="s">
        <v>1238</v>
      </c>
      <c r="R70" s="76">
        <v>0</v>
      </c>
      <c r="S70"/>
      <c r="T70"/>
      <c r="U70"/>
      <c r="V70" s="76">
        <v>112414</v>
      </c>
      <c r="W70" s="76" t="s">
        <v>1150</v>
      </c>
      <c r="X70" s="76">
        <v>8.0000000000000002E-3</v>
      </c>
      <c r="Y70" s="76">
        <v>143420</v>
      </c>
      <c r="Z70" s="76" t="s">
        <v>1266</v>
      </c>
      <c r="AA70" s="76">
        <v>1E-3</v>
      </c>
      <c r="AB70"/>
      <c r="AC70"/>
      <c r="AD70"/>
      <c r="AE70" s="76">
        <v>112413</v>
      </c>
      <c r="AF70" s="76" t="s">
        <v>1132</v>
      </c>
      <c r="AG70" s="76">
        <v>8.0000000000000002E-3</v>
      </c>
      <c r="AH70" s="76">
        <v>143420</v>
      </c>
      <c r="AI70" s="76" t="s">
        <v>1266</v>
      </c>
      <c r="AJ70" s="76">
        <v>1E-3</v>
      </c>
      <c r="AK70"/>
      <c r="AL70"/>
      <c r="AM70"/>
      <c r="AN70" s="76">
        <v>112414</v>
      </c>
      <c r="AO70" s="76" t="s">
        <v>1150</v>
      </c>
      <c r="AP70" s="76">
        <v>2.5000000000000001E-3</v>
      </c>
      <c r="AQ70" s="76">
        <v>151419</v>
      </c>
      <c r="AR70" s="76" t="s">
        <v>1238</v>
      </c>
      <c r="AS70" s="76">
        <v>2E-3</v>
      </c>
      <c r="AT70"/>
      <c r="AU70"/>
      <c r="AV70"/>
      <c r="AW70" s="76">
        <v>112413</v>
      </c>
      <c r="AX70" s="76" t="s">
        <v>1132</v>
      </c>
      <c r="AY70" s="76">
        <v>5.0000000000000001E-3</v>
      </c>
      <c r="AZ70" s="76">
        <v>151419</v>
      </c>
      <c r="BA70" s="76" t="s">
        <v>1238</v>
      </c>
      <c r="BB70" s="76">
        <v>2E-3</v>
      </c>
    </row>
    <row r="71" spans="1:54" s="76" customFormat="1">
      <c r="A71" s="1">
        <v>133411</v>
      </c>
      <c r="B71" s="76" t="s">
        <v>1103</v>
      </c>
      <c r="C71" s="1">
        <v>0</v>
      </c>
      <c r="D71" s="1">
        <v>133411</v>
      </c>
      <c r="E71" s="76" t="s">
        <v>1103</v>
      </c>
      <c r="F71" s="1">
        <v>4.5000000000000005E-3</v>
      </c>
      <c r="G71" s="1">
        <v>133411</v>
      </c>
      <c r="H71" s="76" t="s">
        <v>1103</v>
      </c>
      <c r="I71" s="1">
        <v>0</v>
      </c>
      <c r="J71"/>
      <c r="K71"/>
      <c r="L71"/>
      <c r="M71" s="76">
        <v>132414</v>
      </c>
      <c r="N71" s="76" t="s">
        <v>1151</v>
      </c>
      <c r="O71" s="76">
        <v>2.5000000000000001E-3</v>
      </c>
      <c r="P71" s="76">
        <v>171419</v>
      </c>
      <c r="Q71" s="76" t="s">
        <v>1239</v>
      </c>
      <c r="R71" s="76">
        <v>0</v>
      </c>
      <c r="S71"/>
      <c r="T71"/>
      <c r="U71"/>
      <c r="V71" s="76">
        <v>132414</v>
      </c>
      <c r="W71" s="76" t="s">
        <v>1151</v>
      </c>
      <c r="X71" s="76">
        <v>8.0000000000000002E-3</v>
      </c>
      <c r="Y71" s="76">
        <v>163420</v>
      </c>
      <c r="Z71" s="76" t="s">
        <v>1267</v>
      </c>
      <c r="AA71" s="76">
        <v>1E-3</v>
      </c>
      <c r="AB71"/>
      <c r="AC71"/>
      <c r="AD71"/>
      <c r="AE71" s="76">
        <v>132413</v>
      </c>
      <c r="AF71" s="76" t="s">
        <v>1133</v>
      </c>
      <c r="AG71" s="76">
        <v>8.0000000000000002E-3</v>
      </c>
      <c r="AH71" s="76">
        <v>163420</v>
      </c>
      <c r="AI71" s="76" t="s">
        <v>1267</v>
      </c>
      <c r="AJ71" s="76">
        <v>1E-3</v>
      </c>
      <c r="AK71"/>
      <c r="AL71"/>
      <c r="AM71"/>
      <c r="AN71" s="76">
        <v>132414</v>
      </c>
      <c r="AO71" s="76" t="s">
        <v>1151</v>
      </c>
      <c r="AP71" s="76">
        <v>2.5000000000000001E-3</v>
      </c>
      <c r="AQ71" s="76">
        <v>171419</v>
      </c>
      <c r="AR71" s="76" t="s">
        <v>1239</v>
      </c>
      <c r="AS71" s="76">
        <v>2E-3</v>
      </c>
      <c r="AT71"/>
      <c r="AU71"/>
      <c r="AV71"/>
      <c r="AW71" s="76">
        <v>132413</v>
      </c>
      <c r="AX71" s="76" t="s">
        <v>1133</v>
      </c>
      <c r="AY71" s="76">
        <v>5.0000000000000001E-3</v>
      </c>
      <c r="AZ71" s="76">
        <v>171419</v>
      </c>
      <c r="BA71" s="76" t="s">
        <v>1239</v>
      </c>
      <c r="BB71" s="76">
        <v>2E-3</v>
      </c>
    </row>
    <row r="72" spans="1:54" s="76" customFormat="1">
      <c r="A72" s="1">
        <v>143411</v>
      </c>
      <c r="B72" s="76" t="s">
        <v>1104</v>
      </c>
      <c r="C72" s="1">
        <v>0</v>
      </c>
      <c r="D72" s="1">
        <v>143411</v>
      </c>
      <c r="E72" s="76" t="s">
        <v>1104</v>
      </c>
      <c r="F72" s="1">
        <v>4.5000000000000005E-3</v>
      </c>
      <c r="G72" s="1">
        <v>143411</v>
      </c>
      <c r="H72" s="76" t="s">
        <v>1104</v>
      </c>
      <c r="I72" s="1">
        <v>0</v>
      </c>
      <c r="J72"/>
      <c r="K72"/>
      <c r="L72"/>
      <c r="M72" s="76">
        <v>142414</v>
      </c>
      <c r="N72" s="76" t="s">
        <v>1152</v>
      </c>
      <c r="O72" s="76">
        <v>2.5000000000000001E-3</v>
      </c>
      <c r="P72" s="76">
        <v>112419</v>
      </c>
      <c r="Q72" s="76" t="s">
        <v>1240</v>
      </c>
      <c r="R72" s="76">
        <v>0</v>
      </c>
      <c r="S72"/>
      <c r="T72"/>
      <c r="U72"/>
      <c r="V72" s="76">
        <v>142414</v>
      </c>
      <c r="W72" s="76" t="s">
        <v>1152</v>
      </c>
      <c r="X72" s="76">
        <v>8.0000000000000002E-3</v>
      </c>
      <c r="Y72" s="76">
        <v>153420</v>
      </c>
      <c r="Z72" s="76" t="s">
        <v>1268</v>
      </c>
      <c r="AA72" s="76">
        <v>1E-3</v>
      </c>
      <c r="AB72"/>
      <c r="AC72"/>
      <c r="AD72"/>
      <c r="AE72" s="76">
        <v>142413</v>
      </c>
      <c r="AF72" s="76" t="s">
        <v>1134</v>
      </c>
      <c r="AG72" s="76">
        <v>8.0000000000000002E-3</v>
      </c>
      <c r="AH72" s="76">
        <v>153420</v>
      </c>
      <c r="AI72" s="76" t="s">
        <v>1268</v>
      </c>
      <c r="AJ72" s="76">
        <v>1E-3</v>
      </c>
      <c r="AK72"/>
      <c r="AL72"/>
      <c r="AM72"/>
      <c r="AN72" s="76">
        <v>142414</v>
      </c>
      <c r="AO72" s="76" t="s">
        <v>1152</v>
      </c>
      <c r="AP72" s="76">
        <v>2.5000000000000001E-3</v>
      </c>
      <c r="AQ72" s="76">
        <v>112419</v>
      </c>
      <c r="AR72" s="76" t="s">
        <v>1240</v>
      </c>
      <c r="AS72" s="76">
        <v>2E-3</v>
      </c>
      <c r="AT72"/>
      <c r="AU72"/>
      <c r="AV72"/>
      <c r="AW72" s="76">
        <v>142413</v>
      </c>
      <c r="AX72" s="76" t="s">
        <v>1134</v>
      </c>
      <c r="AY72" s="76">
        <v>5.0000000000000001E-3</v>
      </c>
      <c r="AZ72" s="76">
        <v>112419</v>
      </c>
      <c r="BA72" s="76" t="s">
        <v>1240</v>
      </c>
      <c r="BB72" s="76">
        <v>2E-3</v>
      </c>
    </row>
    <row r="73" spans="1:54" s="76" customFormat="1">
      <c r="A73" s="1">
        <v>163411</v>
      </c>
      <c r="B73" s="76" t="s">
        <v>1105</v>
      </c>
      <c r="C73" s="1">
        <v>0</v>
      </c>
      <c r="D73" s="1">
        <v>163411</v>
      </c>
      <c r="E73" s="76" t="s">
        <v>1105</v>
      </c>
      <c r="F73" s="1">
        <v>4.5000000000000005E-3</v>
      </c>
      <c r="G73" s="1">
        <v>163411</v>
      </c>
      <c r="H73" s="76" t="s">
        <v>1105</v>
      </c>
      <c r="I73" s="1">
        <v>0</v>
      </c>
      <c r="J73"/>
      <c r="K73"/>
      <c r="L73"/>
      <c r="M73" s="76">
        <v>162414</v>
      </c>
      <c r="N73" s="76" t="s">
        <v>1153</v>
      </c>
      <c r="O73" s="76">
        <v>2.5000000000000001E-3</v>
      </c>
      <c r="P73" s="76">
        <v>132419</v>
      </c>
      <c r="Q73" s="76" t="s">
        <v>1241</v>
      </c>
      <c r="R73" s="76">
        <v>0</v>
      </c>
      <c r="S73"/>
      <c r="T73"/>
      <c r="U73"/>
      <c r="V73" s="76">
        <v>162414</v>
      </c>
      <c r="W73" s="76" t="s">
        <v>1153</v>
      </c>
      <c r="X73" s="76">
        <v>8.0000000000000002E-3</v>
      </c>
      <c r="Y73" s="76">
        <v>173420</v>
      </c>
      <c r="Z73" s="76" t="s">
        <v>1269</v>
      </c>
      <c r="AA73" s="76">
        <v>1E-3</v>
      </c>
      <c r="AB73"/>
      <c r="AC73"/>
      <c r="AD73"/>
      <c r="AE73" s="76">
        <v>162413</v>
      </c>
      <c r="AF73" s="76" t="s">
        <v>1135</v>
      </c>
      <c r="AG73" s="76">
        <v>8.0000000000000002E-3</v>
      </c>
      <c r="AH73" s="76">
        <v>173420</v>
      </c>
      <c r="AI73" s="76" t="s">
        <v>1269</v>
      </c>
      <c r="AJ73" s="76">
        <v>1E-3</v>
      </c>
      <c r="AK73"/>
      <c r="AL73"/>
      <c r="AM73"/>
      <c r="AN73" s="76">
        <v>162414</v>
      </c>
      <c r="AO73" s="76" t="s">
        <v>1153</v>
      </c>
      <c r="AP73" s="76">
        <v>2.5000000000000001E-3</v>
      </c>
      <c r="AQ73" s="76">
        <v>132419</v>
      </c>
      <c r="AR73" s="76" t="s">
        <v>1241</v>
      </c>
      <c r="AS73" s="76">
        <v>2E-3</v>
      </c>
      <c r="AT73"/>
      <c r="AU73"/>
      <c r="AV73"/>
      <c r="AW73" s="76">
        <v>162413</v>
      </c>
      <c r="AX73" s="76" t="s">
        <v>1135</v>
      </c>
      <c r="AY73" s="76">
        <v>5.0000000000000001E-3</v>
      </c>
      <c r="AZ73" s="76">
        <v>132419</v>
      </c>
      <c r="BA73" s="76" t="s">
        <v>1241</v>
      </c>
      <c r="BB73" s="76">
        <v>2E-3</v>
      </c>
    </row>
    <row r="74" spans="1:54" s="76" customFormat="1">
      <c r="A74" s="1">
        <v>153411</v>
      </c>
      <c r="B74" s="76" t="s">
        <v>1106</v>
      </c>
      <c r="C74" s="1">
        <v>0</v>
      </c>
      <c r="D74" s="1">
        <v>153411</v>
      </c>
      <c r="E74" s="76" t="s">
        <v>1106</v>
      </c>
      <c r="F74" s="1">
        <v>4.5000000000000005E-3</v>
      </c>
      <c r="G74" s="1">
        <v>153411</v>
      </c>
      <c r="H74" s="76" t="s">
        <v>1106</v>
      </c>
      <c r="I74" s="1">
        <v>0</v>
      </c>
      <c r="J74"/>
      <c r="K74"/>
      <c r="L74"/>
      <c r="M74" s="76">
        <v>152414</v>
      </c>
      <c r="N74" s="76" t="s">
        <v>1154</v>
      </c>
      <c r="O74" s="76">
        <v>2.5000000000000001E-3</v>
      </c>
      <c r="P74" s="76">
        <v>142419</v>
      </c>
      <c r="Q74" s="76" t="s">
        <v>1242</v>
      </c>
      <c r="R74" s="76">
        <v>0</v>
      </c>
      <c r="S74"/>
      <c r="T74"/>
      <c r="U74"/>
      <c r="V74" s="76">
        <v>152414</v>
      </c>
      <c r="W74" s="76" t="s">
        <v>1154</v>
      </c>
      <c r="X74" s="76">
        <v>8.0000000000000002E-3</v>
      </c>
      <c r="Y74"/>
      <c r="Z74"/>
      <c r="AA74"/>
      <c r="AB74"/>
      <c r="AC74"/>
      <c r="AD74"/>
      <c r="AE74" s="76">
        <v>152413</v>
      </c>
      <c r="AF74" s="76" t="s">
        <v>1136</v>
      </c>
      <c r="AG74" s="76">
        <v>8.0000000000000002E-3</v>
      </c>
      <c r="AH74"/>
      <c r="AI74"/>
      <c r="AJ74"/>
      <c r="AK74"/>
      <c r="AL74"/>
      <c r="AM74"/>
      <c r="AN74" s="76">
        <v>152414</v>
      </c>
      <c r="AO74" s="76" t="s">
        <v>1154</v>
      </c>
      <c r="AP74" s="76">
        <v>2.5000000000000001E-3</v>
      </c>
      <c r="AQ74" s="76">
        <v>142419</v>
      </c>
      <c r="AR74" s="76" t="s">
        <v>1242</v>
      </c>
      <c r="AS74" s="76">
        <v>2E-3</v>
      </c>
      <c r="AT74"/>
      <c r="AU74"/>
      <c r="AV74"/>
      <c r="AW74" s="76">
        <v>152413</v>
      </c>
      <c r="AX74" s="76" t="s">
        <v>1136</v>
      </c>
      <c r="AY74" s="76">
        <v>5.0000000000000001E-3</v>
      </c>
      <c r="AZ74" s="76">
        <v>142419</v>
      </c>
      <c r="BA74" s="76" t="s">
        <v>1242</v>
      </c>
      <c r="BB74" s="76">
        <v>2E-3</v>
      </c>
    </row>
    <row r="75" spans="1:54" s="76" customFormat="1">
      <c r="A75" s="1">
        <v>173411</v>
      </c>
      <c r="B75" s="76" t="s">
        <v>1107</v>
      </c>
      <c r="C75" s="1">
        <v>0</v>
      </c>
      <c r="D75" s="1">
        <v>173411</v>
      </c>
      <c r="E75" s="76" t="s">
        <v>1107</v>
      </c>
      <c r="F75" s="1">
        <v>4.5000000000000005E-3</v>
      </c>
      <c r="G75" s="1">
        <v>173411</v>
      </c>
      <c r="H75" s="76" t="s">
        <v>1107</v>
      </c>
      <c r="I75" s="1">
        <v>0</v>
      </c>
      <c r="J75"/>
      <c r="K75"/>
      <c r="L75"/>
      <c r="M75" s="76">
        <v>172414</v>
      </c>
      <c r="N75" s="76" t="s">
        <v>1155</v>
      </c>
      <c r="O75" s="76">
        <v>2.5000000000000001E-3</v>
      </c>
      <c r="P75" s="76">
        <v>162419</v>
      </c>
      <c r="Q75" s="76" t="s">
        <v>1243</v>
      </c>
      <c r="R75" s="76">
        <v>0</v>
      </c>
      <c r="S75"/>
      <c r="T75"/>
      <c r="U75"/>
      <c r="V75" s="76">
        <v>172414</v>
      </c>
      <c r="W75" s="76" t="s">
        <v>1155</v>
      </c>
      <c r="X75" s="76">
        <v>8.0000000000000002E-3</v>
      </c>
      <c r="Y75"/>
      <c r="Z75"/>
      <c r="AA75"/>
      <c r="AB75"/>
      <c r="AC75"/>
      <c r="AD75"/>
      <c r="AE75" s="76">
        <v>172413</v>
      </c>
      <c r="AF75" s="76" t="s">
        <v>1137</v>
      </c>
      <c r="AG75" s="76">
        <v>8.0000000000000002E-3</v>
      </c>
      <c r="AH75"/>
      <c r="AI75"/>
      <c r="AJ75"/>
      <c r="AK75"/>
      <c r="AL75"/>
      <c r="AM75"/>
      <c r="AN75" s="76">
        <v>172414</v>
      </c>
      <c r="AO75" s="76" t="s">
        <v>1155</v>
      </c>
      <c r="AP75" s="76">
        <v>2.5000000000000001E-3</v>
      </c>
      <c r="AQ75" s="76">
        <v>162419</v>
      </c>
      <c r="AR75" s="76" t="s">
        <v>1243</v>
      </c>
      <c r="AS75" s="76">
        <v>2E-3</v>
      </c>
      <c r="AT75"/>
      <c r="AU75"/>
      <c r="AV75"/>
      <c r="AW75" s="76">
        <v>172413</v>
      </c>
      <c r="AX75" s="76" t="s">
        <v>1137</v>
      </c>
      <c r="AY75" s="76">
        <v>5.0000000000000001E-3</v>
      </c>
      <c r="AZ75" s="76">
        <v>162419</v>
      </c>
      <c r="BA75" s="76" t="s">
        <v>1243</v>
      </c>
      <c r="BB75" s="76">
        <v>2E-3</v>
      </c>
    </row>
    <row r="76" spans="1:54" s="76" customFormat="1">
      <c r="A76" s="1">
        <v>111412</v>
      </c>
      <c r="B76" s="76" t="s">
        <v>1108</v>
      </c>
      <c r="C76" s="1">
        <v>0</v>
      </c>
      <c r="D76" s="1">
        <v>111412</v>
      </c>
      <c r="E76" s="76" t="s">
        <v>1108</v>
      </c>
      <c r="F76" s="1">
        <v>4.0000000000000001E-3</v>
      </c>
      <c r="G76" s="1">
        <v>111412</v>
      </c>
      <c r="H76" s="76" t="s">
        <v>1108</v>
      </c>
      <c r="I76" s="1">
        <v>0</v>
      </c>
      <c r="J76"/>
      <c r="K76"/>
      <c r="L76"/>
      <c r="M76" s="76">
        <v>113414</v>
      </c>
      <c r="N76" s="76" t="s">
        <v>1156</v>
      </c>
      <c r="O76" s="76">
        <v>2.5000000000000001E-3</v>
      </c>
      <c r="P76" s="76">
        <v>152419</v>
      </c>
      <c r="Q76" s="76" t="s">
        <v>1244</v>
      </c>
      <c r="R76" s="76">
        <v>0</v>
      </c>
      <c r="S76"/>
      <c r="T76"/>
      <c r="U76"/>
      <c r="V76" s="76">
        <v>113414</v>
      </c>
      <c r="W76" s="76" t="s">
        <v>1156</v>
      </c>
      <c r="X76" s="76">
        <v>8.0000000000000002E-3</v>
      </c>
      <c r="Y76"/>
      <c r="Z76"/>
      <c r="AA76"/>
      <c r="AB76"/>
      <c r="AC76"/>
      <c r="AD76"/>
      <c r="AE76" s="76">
        <v>113413</v>
      </c>
      <c r="AF76" s="76" t="s">
        <v>1138</v>
      </c>
      <c r="AG76" s="76">
        <v>8.0000000000000002E-3</v>
      </c>
      <c r="AH76"/>
      <c r="AI76"/>
      <c r="AJ76"/>
      <c r="AK76"/>
      <c r="AL76"/>
      <c r="AM76"/>
      <c r="AN76" s="76">
        <v>113414</v>
      </c>
      <c r="AO76" s="76" t="s">
        <v>1156</v>
      </c>
      <c r="AP76" s="76">
        <v>2.5000000000000001E-3</v>
      </c>
      <c r="AQ76" s="76">
        <v>152419</v>
      </c>
      <c r="AR76" s="76" t="s">
        <v>1244</v>
      </c>
      <c r="AS76" s="76">
        <v>2E-3</v>
      </c>
      <c r="AT76"/>
      <c r="AU76"/>
      <c r="AV76"/>
      <c r="AW76" s="76">
        <v>113413</v>
      </c>
      <c r="AX76" s="76" t="s">
        <v>1138</v>
      </c>
      <c r="AY76" s="76">
        <v>5.0000000000000001E-3</v>
      </c>
      <c r="AZ76" s="76">
        <v>152419</v>
      </c>
      <c r="BA76" s="76" t="s">
        <v>1244</v>
      </c>
      <c r="BB76" s="76">
        <v>2E-3</v>
      </c>
    </row>
    <row r="77" spans="1:54" s="76" customFormat="1">
      <c r="A77" s="1">
        <v>131412</v>
      </c>
      <c r="B77" s="76" t="s">
        <v>1109</v>
      </c>
      <c r="C77" s="1">
        <v>0</v>
      </c>
      <c r="D77" s="1">
        <v>131412</v>
      </c>
      <c r="E77" s="76" t="s">
        <v>1109</v>
      </c>
      <c r="F77" s="1">
        <v>4.0000000000000001E-3</v>
      </c>
      <c r="G77" s="1">
        <v>131412</v>
      </c>
      <c r="H77" s="76" t="s">
        <v>1109</v>
      </c>
      <c r="I77" s="1">
        <v>0</v>
      </c>
      <c r="J77"/>
      <c r="K77"/>
      <c r="L77"/>
      <c r="M77" s="76">
        <v>133414</v>
      </c>
      <c r="N77" s="76" t="s">
        <v>1157</v>
      </c>
      <c r="O77" s="76">
        <v>2.5000000000000001E-3</v>
      </c>
      <c r="P77" s="76">
        <v>172419</v>
      </c>
      <c r="Q77" s="76" t="s">
        <v>1245</v>
      </c>
      <c r="R77" s="76">
        <v>0</v>
      </c>
      <c r="S77"/>
      <c r="T77"/>
      <c r="U77"/>
      <c r="V77" s="76">
        <v>133414</v>
      </c>
      <c r="W77" s="76" t="s">
        <v>1157</v>
      </c>
      <c r="X77" s="76">
        <v>8.0000000000000002E-3</v>
      </c>
      <c r="Y77"/>
      <c r="Z77"/>
      <c r="AA77"/>
      <c r="AB77"/>
      <c r="AC77"/>
      <c r="AD77"/>
      <c r="AE77" s="76">
        <v>133413</v>
      </c>
      <c r="AF77" s="76" t="s">
        <v>1139</v>
      </c>
      <c r="AG77" s="76">
        <v>8.0000000000000002E-3</v>
      </c>
      <c r="AH77"/>
      <c r="AI77"/>
      <c r="AJ77"/>
      <c r="AK77"/>
      <c r="AL77"/>
      <c r="AM77"/>
      <c r="AN77" s="76">
        <v>133414</v>
      </c>
      <c r="AO77" s="76" t="s">
        <v>1157</v>
      </c>
      <c r="AP77" s="76">
        <v>2.5000000000000001E-3</v>
      </c>
      <c r="AQ77" s="76">
        <v>172419</v>
      </c>
      <c r="AR77" s="76" t="s">
        <v>1245</v>
      </c>
      <c r="AS77" s="76">
        <v>2E-3</v>
      </c>
      <c r="AT77"/>
      <c r="AU77"/>
      <c r="AV77"/>
      <c r="AW77" s="76">
        <v>133413</v>
      </c>
      <c r="AX77" s="76" t="s">
        <v>1139</v>
      </c>
      <c r="AY77" s="76">
        <v>5.0000000000000001E-3</v>
      </c>
      <c r="AZ77" s="76">
        <v>172419</v>
      </c>
      <c r="BA77" s="76" t="s">
        <v>1245</v>
      </c>
      <c r="BB77" s="76">
        <v>2E-3</v>
      </c>
    </row>
    <row r="78" spans="1:54" s="76" customFormat="1">
      <c r="A78" s="1">
        <v>141412</v>
      </c>
      <c r="B78" s="76" t="s">
        <v>1110</v>
      </c>
      <c r="C78" s="1">
        <v>0</v>
      </c>
      <c r="D78" s="1">
        <v>141412</v>
      </c>
      <c r="E78" s="76" t="s">
        <v>1110</v>
      </c>
      <c r="F78" s="1">
        <v>4.0000000000000001E-3</v>
      </c>
      <c r="G78" s="1">
        <v>141412</v>
      </c>
      <c r="H78" s="76" t="s">
        <v>1110</v>
      </c>
      <c r="I78" s="1">
        <v>0</v>
      </c>
      <c r="J78"/>
      <c r="K78"/>
      <c r="L78"/>
      <c r="M78" s="76">
        <v>143414</v>
      </c>
      <c r="N78" s="76" t="s">
        <v>1158</v>
      </c>
      <c r="O78" s="76">
        <v>2.5000000000000001E-3</v>
      </c>
      <c r="P78" s="76">
        <v>113419</v>
      </c>
      <c r="Q78" s="76" t="s">
        <v>1246</v>
      </c>
      <c r="R78" s="76">
        <v>0</v>
      </c>
      <c r="S78"/>
      <c r="T78"/>
      <c r="U78"/>
      <c r="V78" s="76">
        <v>143414</v>
      </c>
      <c r="W78" s="76" t="s">
        <v>1158</v>
      </c>
      <c r="X78" s="76">
        <v>8.0000000000000002E-3</v>
      </c>
      <c r="Y78"/>
      <c r="Z78"/>
      <c r="AA78"/>
      <c r="AB78"/>
      <c r="AC78"/>
      <c r="AD78"/>
      <c r="AE78" s="76">
        <v>143413</v>
      </c>
      <c r="AF78" s="76" t="s">
        <v>1140</v>
      </c>
      <c r="AG78" s="76">
        <v>8.0000000000000002E-3</v>
      </c>
      <c r="AH78"/>
      <c r="AI78"/>
      <c r="AJ78"/>
      <c r="AK78"/>
      <c r="AL78"/>
      <c r="AM78"/>
      <c r="AN78" s="76">
        <v>143414</v>
      </c>
      <c r="AO78" s="76" t="s">
        <v>1158</v>
      </c>
      <c r="AP78" s="76">
        <v>2.5000000000000001E-3</v>
      </c>
      <c r="AQ78" s="76">
        <v>113419</v>
      </c>
      <c r="AR78" s="76" t="s">
        <v>1246</v>
      </c>
      <c r="AS78" s="76">
        <v>2E-3</v>
      </c>
      <c r="AT78"/>
      <c r="AU78"/>
      <c r="AV78"/>
      <c r="AW78" s="76">
        <v>143413</v>
      </c>
      <c r="AX78" s="76" t="s">
        <v>1140</v>
      </c>
      <c r="AY78" s="76">
        <v>5.0000000000000001E-3</v>
      </c>
      <c r="AZ78" s="76">
        <v>113419</v>
      </c>
      <c r="BA78" s="76" t="s">
        <v>1246</v>
      </c>
      <c r="BB78" s="76">
        <v>2E-3</v>
      </c>
    </row>
    <row r="79" spans="1:54" s="76" customFormat="1">
      <c r="A79" s="1">
        <v>161412</v>
      </c>
      <c r="B79" s="76" t="s">
        <v>1111</v>
      </c>
      <c r="C79" s="1">
        <v>0</v>
      </c>
      <c r="D79" s="1">
        <v>161412</v>
      </c>
      <c r="E79" s="76" t="s">
        <v>1111</v>
      </c>
      <c r="F79" s="1">
        <v>4.0000000000000001E-3</v>
      </c>
      <c r="G79" s="1">
        <v>161412</v>
      </c>
      <c r="H79" s="76" t="s">
        <v>1111</v>
      </c>
      <c r="I79" s="1">
        <v>0</v>
      </c>
      <c r="J79"/>
      <c r="K79"/>
      <c r="L79"/>
      <c r="M79" s="76">
        <v>163414</v>
      </c>
      <c r="N79" s="76" t="s">
        <v>1159</v>
      </c>
      <c r="O79" s="76">
        <v>2.5000000000000001E-3</v>
      </c>
      <c r="P79" s="76">
        <v>133419</v>
      </c>
      <c r="Q79" s="76" t="s">
        <v>1247</v>
      </c>
      <c r="R79" s="76">
        <v>0</v>
      </c>
      <c r="S79"/>
      <c r="T79"/>
      <c r="U79"/>
      <c r="V79" s="76">
        <v>163414</v>
      </c>
      <c r="W79" s="76" t="s">
        <v>1159</v>
      </c>
      <c r="X79" s="76">
        <v>8.0000000000000002E-3</v>
      </c>
      <c r="Y79"/>
      <c r="Z79"/>
      <c r="AA79"/>
      <c r="AB79"/>
      <c r="AC79"/>
      <c r="AD79"/>
      <c r="AE79" s="76">
        <v>163413</v>
      </c>
      <c r="AF79" s="76" t="s">
        <v>1141</v>
      </c>
      <c r="AG79" s="76">
        <v>8.0000000000000002E-3</v>
      </c>
      <c r="AH79"/>
      <c r="AI79"/>
      <c r="AJ79"/>
      <c r="AK79"/>
      <c r="AL79"/>
      <c r="AM79"/>
      <c r="AN79" s="76">
        <v>163414</v>
      </c>
      <c r="AO79" s="76" t="s">
        <v>1159</v>
      </c>
      <c r="AP79" s="76">
        <v>2.5000000000000001E-3</v>
      </c>
      <c r="AQ79" s="76">
        <v>133419</v>
      </c>
      <c r="AR79" s="76" t="s">
        <v>1247</v>
      </c>
      <c r="AS79" s="76">
        <v>2E-3</v>
      </c>
      <c r="AT79"/>
      <c r="AU79"/>
      <c r="AV79"/>
      <c r="AW79" s="76">
        <v>163413</v>
      </c>
      <c r="AX79" s="76" t="s">
        <v>1141</v>
      </c>
      <c r="AY79" s="76">
        <v>5.0000000000000001E-3</v>
      </c>
      <c r="AZ79" s="76">
        <v>133419</v>
      </c>
      <c r="BA79" s="76" t="s">
        <v>1247</v>
      </c>
      <c r="BB79" s="76">
        <v>2E-3</v>
      </c>
    </row>
    <row r="80" spans="1:54" s="76" customFormat="1">
      <c r="A80" s="1">
        <v>151412</v>
      </c>
      <c r="B80" s="76" t="s">
        <v>1112</v>
      </c>
      <c r="C80" s="1">
        <v>0</v>
      </c>
      <c r="D80" s="1">
        <v>151412</v>
      </c>
      <c r="E80" s="76" t="s">
        <v>1112</v>
      </c>
      <c r="F80" s="1">
        <v>4.0000000000000001E-3</v>
      </c>
      <c r="G80" s="1">
        <v>151412</v>
      </c>
      <c r="H80" s="76" t="s">
        <v>1112</v>
      </c>
      <c r="I80" s="1">
        <v>0</v>
      </c>
      <c r="J80"/>
      <c r="K80"/>
      <c r="L80"/>
      <c r="M80" s="76">
        <v>153414</v>
      </c>
      <c r="N80" s="76" t="s">
        <v>1160</v>
      </c>
      <c r="O80" s="76">
        <v>2.5000000000000001E-3</v>
      </c>
      <c r="P80" s="76">
        <v>143419</v>
      </c>
      <c r="Q80" s="76" t="s">
        <v>1248</v>
      </c>
      <c r="R80" s="76">
        <v>0</v>
      </c>
      <c r="S80"/>
      <c r="T80"/>
      <c r="U80"/>
      <c r="V80" s="76">
        <v>153414</v>
      </c>
      <c r="W80" s="76" t="s">
        <v>1160</v>
      </c>
      <c r="X80" s="76">
        <v>8.0000000000000002E-3</v>
      </c>
      <c r="Y80"/>
      <c r="Z80"/>
      <c r="AA80"/>
      <c r="AB80"/>
      <c r="AC80"/>
      <c r="AD80"/>
      <c r="AE80" s="76">
        <v>153413</v>
      </c>
      <c r="AF80" s="76" t="s">
        <v>1142</v>
      </c>
      <c r="AG80" s="76">
        <v>8.0000000000000002E-3</v>
      </c>
      <c r="AH80"/>
      <c r="AI80"/>
      <c r="AJ80"/>
      <c r="AK80"/>
      <c r="AL80"/>
      <c r="AM80"/>
      <c r="AN80" s="76">
        <v>153414</v>
      </c>
      <c r="AO80" s="76" t="s">
        <v>1160</v>
      </c>
      <c r="AP80" s="76">
        <v>2.5000000000000001E-3</v>
      </c>
      <c r="AQ80" s="76">
        <v>143419</v>
      </c>
      <c r="AR80" s="76" t="s">
        <v>1248</v>
      </c>
      <c r="AS80" s="76">
        <v>2E-3</v>
      </c>
      <c r="AT80"/>
      <c r="AU80"/>
      <c r="AV80"/>
      <c r="AW80" s="76">
        <v>153413</v>
      </c>
      <c r="AX80" s="76" t="s">
        <v>1142</v>
      </c>
      <c r="AY80" s="76">
        <v>5.0000000000000001E-3</v>
      </c>
      <c r="AZ80" s="76">
        <v>143419</v>
      </c>
      <c r="BA80" s="76" t="s">
        <v>1248</v>
      </c>
      <c r="BB80" s="76">
        <v>2E-3</v>
      </c>
    </row>
    <row r="81" spans="1:54" s="76" customFormat="1">
      <c r="A81" s="1">
        <v>171412</v>
      </c>
      <c r="B81" s="76" t="s">
        <v>1113</v>
      </c>
      <c r="C81" s="1">
        <v>0</v>
      </c>
      <c r="D81" s="1">
        <v>171412</v>
      </c>
      <c r="E81" s="76" t="s">
        <v>1113</v>
      </c>
      <c r="F81" s="1">
        <v>4.0000000000000001E-3</v>
      </c>
      <c r="G81" s="1">
        <v>171412</v>
      </c>
      <c r="H81" s="76" t="s">
        <v>1113</v>
      </c>
      <c r="I81" s="1">
        <v>0</v>
      </c>
      <c r="J81"/>
      <c r="K81"/>
      <c r="L81"/>
      <c r="M81" s="76">
        <v>173414</v>
      </c>
      <c r="N81" s="76" t="s">
        <v>1161</v>
      </c>
      <c r="O81" s="76">
        <v>2.5000000000000001E-3</v>
      </c>
      <c r="P81" s="76">
        <v>163419</v>
      </c>
      <c r="Q81" s="76" t="s">
        <v>1249</v>
      </c>
      <c r="R81" s="76">
        <v>0</v>
      </c>
      <c r="S81"/>
      <c r="T81"/>
      <c r="U81"/>
      <c r="V81" s="76">
        <v>173414</v>
      </c>
      <c r="W81" s="76" t="s">
        <v>1161</v>
      </c>
      <c r="X81" s="76">
        <v>8.0000000000000002E-3</v>
      </c>
      <c r="Y81"/>
      <c r="Z81"/>
      <c r="AA81"/>
      <c r="AB81"/>
      <c r="AC81"/>
      <c r="AD81"/>
      <c r="AE81" s="76">
        <v>173413</v>
      </c>
      <c r="AF81" s="76" t="s">
        <v>1143</v>
      </c>
      <c r="AG81" s="76">
        <v>8.0000000000000002E-3</v>
      </c>
      <c r="AH81"/>
      <c r="AI81"/>
      <c r="AJ81"/>
      <c r="AK81"/>
      <c r="AL81"/>
      <c r="AM81"/>
      <c r="AN81" s="76">
        <v>173414</v>
      </c>
      <c r="AO81" s="76" t="s">
        <v>1161</v>
      </c>
      <c r="AP81" s="76">
        <v>2.5000000000000001E-3</v>
      </c>
      <c r="AQ81" s="76">
        <v>163419</v>
      </c>
      <c r="AR81" s="76" t="s">
        <v>1249</v>
      </c>
      <c r="AS81" s="76">
        <v>2E-3</v>
      </c>
      <c r="AT81"/>
      <c r="AU81"/>
      <c r="AV81"/>
      <c r="AW81" s="76">
        <v>173413</v>
      </c>
      <c r="AX81" s="76" t="s">
        <v>1143</v>
      </c>
      <c r="AY81" s="76">
        <v>5.0000000000000001E-3</v>
      </c>
      <c r="AZ81" s="76">
        <v>163419</v>
      </c>
      <c r="BA81" s="76" t="s">
        <v>1249</v>
      </c>
      <c r="BB81" s="76">
        <v>2E-3</v>
      </c>
    </row>
    <row r="82" spans="1:54" s="76" customFormat="1">
      <c r="A82" s="1">
        <v>112412</v>
      </c>
      <c r="B82" s="76" t="s">
        <v>1114</v>
      </c>
      <c r="C82" s="1">
        <v>0</v>
      </c>
      <c r="D82" s="1">
        <v>112412</v>
      </c>
      <c r="E82" s="76" t="s">
        <v>1114</v>
      </c>
      <c r="F82" s="1">
        <v>4.0000000000000001E-3</v>
      </c>
      <c r="G82" s="1">
        <v>112412</v>
      </c>
      <c r="H82" s="76" t="s">
        <v>1114</v>
      </c>
      <c r="I82" s="1">
        <v>0</v>
      </c>
      <c r="J82"/>
      <c r="K82"/>
      <c r="L82"/>
      <c r="M82" s="76">
        <v>111415</v>
      </c>
      <c r="N82" s="76" t="s">
        <v>1162</v>
      </c>
      <c r="O82" s="76">
        <v>1E-3</v>
      </c>
      <c r="P82" s="76">
        <v>153419</v>
      </c>
      <c r="Q82" s="76" t="s">
        <v>1250</v>
      </c>
      <c r="R82" s="76">
        <v>0</v>
      </c>
      <c r="S82"/>
      <c r="T82"/>
      <c r="U82"/>
      <c r="V82" s="76">
        <v>111415</v>
      </c>
      <c r="W82" s="76" t="s">
        <v>1162</v>
      </c>
      <c r="X82" s="76">
        <v>5.0000000000000001E-3</v>
      </c>
      <c r="Y82"/>
      <c r="Z82"/>
      <c r="AA82"/>
      <c r="AB82"/>
      <c r="AC82"/>
      <c r="AD82"/>
      <c r="AE82" s="76">
        <v>111414</v>
      </c>
      <c r="AF82" s="76" t="s">
        <v>1144</v>
      </c>
      <c r="AG82" s="76">
        <v>5.0000000000000001E-3</v>
      </c>
      <c r="AH82"/>
      <c r="AI82"/>
      <c r="AJ82"/>
      <c r="AK82"/>
      <c r="AL82"/>
      <c r="AM82"/>
      <c r="AN82" s="76">
        <v>111415</v>
      </c>
      <c r="AO82" s="76" t="s">
        <v>1162</v>
      </c>
      <c r="AP82" s="76">
        <v>1E-3</v>
      </c>
      <c r="AQ82" s="76">
        <v>153419</v>
      </c>
      <c r="AR82" s="76" t="s">
        <v>1250</v>
      </c>
      <c r="AS82" s="76">
        <v>2E-3</v>
      </c>
      <c r="AT82"/>
      <c r="AU82"/>
      <c r="AV82"/>
      <c r="AW82" s="76">
        <v>111414</v>
      </c>
      <c r="AX82" s="76" t="s">
        <v>1144</v>
      </c>
      <c r="AY82" s="76">
        <v>2.5000000000000001E-3</v>
      </c>
      <c r="AZ82" s="76">
        <v>153419</v>
      </c>
      <c r="BA82" s="76" t="s">
        <v>1250</v>
      </c>
      <c r="BB82" s="76">
        <v>2E-3</v>
      </c>
    </row>
    <row r="83" spans="1:54" s="76" customFormat="1">
      <c r="A83" s="1">
        <v>132412</v>
      </c>
      <c r="B83" s="76" t="s">
        <v>1115</v>
      </c>
      <c r="C83" s="1">
        <v>0</v>
      </c>
      <c r="D83" s="1">
        <v>132412</v>
      </c>
      <c r="E83" s="76" t="s">
        <v>1115</v>
      </c>
      <c r="F83" s="1">
        <v>4.0000000000000001E-3</v>
      </c>
      <c r="G83" s="1">
        <v>132412</v>
      </c>
      <c r="H83" s="76" t="s">
        <v>1115</v>
      </c>
      <c r="I83" s="1">
        <v>0</v>
      </c>
      <c r="J83"/>
      <c r="K83"/>
      <c r="L83"/>
      <c r="M83" s="76">
        <v>131415</v>
      </c>
      <c r="N83" s="76" t="s">
        <v>1163</v>
      </c>
      <c r="O83" s="76">
        <v>1E-3</v>
      </c>
      <c r="P83" s="76">
        <v>173419</v>
      </c>
      <c r="Q83" s="76" t="s">
        <v>1251</v>
      </c>
      <c r="R83" s="76">
        <v>0</v>
      </c>
      <c r="S83"/>
      <c r="T83"/>
      <c r="U83"/>
      <c r="V83" s="76">
        <v>131415</v>
      </c>
      <c r="W83" s="76" t="s">
        <v>1163</v>
      </c>
      <c r="X83" s="76">
        <v>5.0000000000000001E-3</v>
      </c>
      <c r="Y83"/>
      <c r="Z83"/>
      <c r="AA83"/>
      <c r="AB83"/>
      <c r="AC83"/>
      <c r="AD83"/>
      <c r="AE83" s="76">
        <v>131414</v>
      </c>
      <c r="AF83" s="76" t="s">
        <v>1145</v>
      </c>
      <c r="AG83" s="76">
        <v>5.0000000000000001E-3</v>
      </c>
      <c r="AH83"/>
      <c r="AI83"/>
      <c r="AJ83"/>
      <c r="AK83"/>
      <c r="AL83"/>
      <c r="AM83"/>
      <c r="AN83" s="76">
        <v>131415</v>
      </c>
      <c r="AO83" s="76" t="s">
        <v>1163</v>
      </c>
      <c r="AP83" s="76">
        <v>1E-3</v>
      </c>
      <c r="AQ83" s="76">
        <v>173419</v>
      </c>
      <c r="AR83" s="76" t="s">
        <v>1251</v>
      </c>
      <c r="AS83" s="76">
        <v>2E-3</v>
      </c>
      <c r="AT83"/>
      <c r="AU83"/>
      <c r="AV83"/>
      <c r="AW83" s="76">
        <v>131414</v>
      </c>
      <c r="AX83" s="76" t="s">
        <v>1145</v>
      </c>
      <c r="AY83" s="76">
        <v>2.5000000000000001E-3</v>
      </c>
      <c r="AZ83" s="76">
        <v>173419</v>
      </c>
      <c r="BA83" s="76" t="s">
        <v>1251</v>
      </c>
      <c r="BB83" s="76">
        <v>2E-3</v>
      </c>
    </row>
    <row r="84" spans="1:54" s="76" customFormat="1">
      <c r="A84" s="1">
        <v>142412</v>
      </c>
      <c r="B84" s="76" t="s">
        <v>1116</v>
      </c>
      <c r="C84" s="1">
        <v>0</v>
      </c>
      <c r="D84" s="1">
        <v>142412</v>
      </c>
      <c r="E84" s="76" t="s">
        <v>1116</v>
      </c>
      <c r="F84" s="1">
        <v>4.0000000000000001E-3</v>
      </c>
      <c r="G84" s="1">
        <v>142412</v>
      </c>
      <c r="H84" s="76" t="s">
        <v>1116</v>
      </c>
      <c r="I84" s="1">
        <v>0</v>
      </c>
      <c r="J84"/>
      <c r="K84"/>
      <c r="L84"/>
      <c r="M84" s="76">
        <v>141415</v>
      </c>
      <c r="N84" s="76" t="s">
        <v>1164</v>
      </c>
      <c r="O84" s="76">
        <v>1E-3</v>
      </c>
      <c r="P84" s="76">
        <v>111420</v>
      </c>
      <c r="Q84" s="76" t="s">
        <v>1252</v>
      </c>
      <c r="R84" s="76">
        <v>0</v>
      </c>
      <c r="S84"/>
      <c r="T84"/>
      <c r="U84"/>
      <c r="V84" s="76">
        <v>141415</v>
      </c>
      <c r="W84" s="76" t="s">
        <v>1164</v>
      </c>
      <c r="X84" s="76">
        <v>5.0000000000000001E-3</v>
      </c>
      <c r="Y84"/>
      <c r="Z84"/>
      <c r="AA84"/>
      <c r="AB84"/>
      <c r="AC84"/>
      <c r="AD84"/>
      <c r="AE84" s="76">
        <v>141414</v>
      </c>
      <c r="AF84" s="76" t="s">
        <v>1146</v>
      </c>
      <c r="AG84" s="76">
        <v>5.0000000000000001E-3</v>
      </c>
      <c r="AH84"/>
      <c r="AI84"/>
      <c r="AJ84"/>
      <c r="AK84"/>
      <c r="AL84"/>
      <c r="AM84"/>
      <c r="AN84" s="76">
        <v>141415</v>
      </c>
      <c r="AO84" s="76" t="s">
        <v>1164</v>
      </c>
      <c r="AP84" s="76">
        <v>1E-3</v>
      </c>
      <c r="AQ84" s="76">
        <v>111420</v>
      </c>
      <c r="AR84" s="76" t="s">
        <v>1252</v>
      </c>
      <c r="AS84" s="76">
        <v>1E-3</v>
      </c>
      <c r="AT84"/>
      <c r="AU84"/>
      <c r="AV84"/>
      <c r="AW84" s="76">
        <v>141414</v>
      </c>
      <c r="AX84" s="76" t="s">
        <v>1146</v>
      </c>
      <c r="AY84" s="76">
        <v>2.5000000000000001E-3</v>
      </c>
      <c r="AZ84" s="76">
        <v>111420</v>
      </c>
      <c r="BA84" s="76" t="s">
        <v>1252</v>
      </c>
      <c r="BB84" s="76">
        <v>1E-3</v>
      </c>
    </row>
    <row r="85" spans="1:54" s="76" customFormat="1">
      <c r="A85" s="1">
        <v>162412</v>
      </c>
      <c r="B85" s="76" t="s">
        <v>1117</v>
      </c>
      <c r="C85" s="1">
        <v>0</v>
      </c>
      <c r="D85" s="1">
        <v>162412</v>
      </c>
      <c r="E85" s="76" t="s">
        <v>1117</v>
      </c>
      <c r="F85" s="1">
        <v>4.0000000000000001E-3</v>
      </c>
      <c r="G85" s="1">
        <v>162412</v>
      </c>
      <c r="H85" s="76" t="s">
        <v>1117</v>
      </c>
      <c r="I85" s="1">
        <v>0</v>
      </c>
      <c r="J85"/>
      <c r="K85"/>
      <c r="L85"/>
      <c r="M85" s="76">
        <v>161415</v>
      </c>
      <c r="N85" s="76" t="s">
        <v>1165</v>
      </c>
      <c r="O85" s="76">
        <v>1E-3</v>
      </c>
      <c r="P85" s="76">
        <v>131420</v>
      </c>
      <c r="Q85" s="76" t="s">
        <v>1253</v>
      </c>
      <c r="R85" s="76">
        <v>0</v>
      </c>
      <c r="S85"/>
      <c r="T85"/>
      <c r="U85"/>
      <c r="V85" s="76">
        <v>161415</v>
      </c>
      <c r="W85" s="76" t="s">
        <v>1165</v>
      </c>
      <c r="X85" s="76">
        <v>5.0000000000000001E-3</v>
      </c>
      <c r="Y85"/>
      <c r="Z85"/>
      <c r="AA85"/>
      <c r="AB85"/>
      <c r="AC85"/>
      <c r="AD85"/>
      <c r="AE85" s="76">
        <v>161414</v>
      </c>
      <c r="AF85" s="76" t="s">
        <v>1147</v>
      </c>
      <c r="AG85" s="76">
        <v>5.0000000000000001E-3</v>
      </c>
      <c r="AH85"/>
      <c r="AI85"/>
      <c r="AJ85"/>
      <c r="AK85"/>
      <c r="AL85"/>
      <c r="AM85"/>
      <c r="AN85" s="76">
        <v>161415</v>
      </c>
      <c r="AO85" s="76" t="s">
        <v>1165</v>
      </c>
      <c r="AP85" s="76">
        <v>1E-3</v>
      </c>
      <c r="AQ85" s="76">
        <v>131420</v>
      </c>
      <c r="AR85" s="76" t="s">
        <v>1253</v>
      </c>
      <c r="AS85" s="76">
        <v>1E-3</v>
      </c>
      <c r="AT85"/>
      <c r="AU85"/>
      <c r="AV85"/>
      <c r="AW85" s="76">
        <v>161414</v>
      </c>
      <c r="AX85" s="76" t="s">
        <v>1147</v>
      </c>
      <c r="AY85" s="76">
        <v>2.5000000000000001E-3</v>
      </c>
      <c r="AZ85" s="76">
        <v>131420</v>
      </c>
      <c r="BA85" s="76" t="s">
        <v>1253</v>
      </c>
      <c r="BB85" s="76">
        <v>1E-3</v>
      </c>
    </row>
    <row r="86" spans="1:54" s="76" customFormat="1">
      <c r="A86" s="1">
        <v>152412</v>
      </c>
      <c r="B86" s="76" t="s">
        <v>1118</v>
      </c>
      <c r="C86" s="1">
        <v>0</v>
      </c>
      <c r="D86" s="1">
        <v>152412</v>
      </c>
      <c r="E86" s="76" t="s">
        <v>1118</v>
      </c>
      <c r="F86" s="1">
        <v>4.0000000000000001E-3</v>
      </c>
      <c r="G86" s="1">
        <v>152412</v>
      </c>
      <c r="H86" s="76" t="s">
        <v>1118</v>
      </c>
      <c r="I86" s="1">
        <v>0</v>
      </c>
      <c r="J86"/>
      <c r="K86"/>
      <c r="L86"/>
      <c r="M86" s="76">
        <v>151415</v>
      </c>
      <c r="N86" s="76" t="s">
        <v>1166</v>
      </c>
      <c r="O86" s="76">
        <v>1E-3</v>
      </c>
      <c r="P86" s="76">
        <v>141420</v>
      </c>
      <c r="Q86" s="76" t="s">
        <v>1254</v>
      </c>
      <c r="R86" s="76">
        <v>0</v>
      </c>
      <c r="S86"/>
      <c r="T86"/>
      <c r="U86"/>
      <c r="V86" s="76">
        <v>151415</v>
      </c>
      <c r="W86" s="76" t="s">
        <v>1166</v>
      </c>
      <c r="X86" s="76">
        <v>5.0000000000000001E-3</v>
      </c>
      <c r="Y86"/>
      <c r="Z86"/>
      <c r="AA86"/>
      <c r="AB86"/>
      <c r="AC86"/>
      <c r="AD86"/>
      <c r="AE86" s="76">
        <v>151414</v>
      </c>
      <c r="AF86" s="76" t="s">
        <v>1148</v>
      </c>
      <c r="AG86" s="76">
        <v>5.0000000000000001E-3</v>
      </c>
      <c r="AH86"/>
      <c r="AI86"/>
      <c r="AJ86"/>
      <c r="AK86"/>
      <c r="AL86"/>
      <c r="AM86"/>
      <c r="AN86" s="76">
        <v>151415</v>
      </c>
      <c r="AO86" s="76" t="s">
        <v>1166</v>
      </c>
      <c r="AP86" s="76">
        <v>1E-3</v>
      </c>
      <c r="AQ86" s="76">
        <v>141420</v>
      </c>
      <c r="AR86" s="76" t="s">
        <v>1254</v>
      </c>
      <c r="AS86" s="76">
        <v>1E-3</v>
      </c>
      <c r="AT86"/>
      <c r="AU86"/>
      <c r="AV86"/>
      <c r="AW86" s="76">
        <v>151414</v>
      </c>
      <c r="AX86" s="76" t="s">
        <v>1148</v>
      </c>
      <c r="AY86" s="76">
        <v>2.5000000000000001E-3</v>
      </c>
      <c r="AZ86" s="76">
        <v>141420</v>
      </c>
      <c r="BA86" s="76" t="s">
        <v>1254</v>
      </c>
      <c r="BB86" s="76">
        <v>1E-3</v>
      </c>
    </row>
    <row r="87" spans="1:54" s="76" customFormat="1">
      <c r="A87" s="1">
        <v>172412</v>
      </c>
      <c r="B87" s="76" t="s">
        <v>1119</v>
      </c>
      <c r="C87" s="1">
        <v>0</v>
      </c>
      <c r="D87" s="1">
        <v>172412</v>
      </c>
      <c r="E87" s="76" t="s">
        <v>1119</v>
      </c>
      <c r="F87" s="1">
        <v>4.0000000000000001E-3</v>
      </c>
      <c r="G87" s="1">
        <v>172412</v>
      </c>
      <c r="H87" s="76" t="s">
        <v>1119</v>
      </c>
      <c r="I87" s="1">
        <v>0</v>
      </c>
      <c r="J87"/>
      <c r="K87"/>
      <c r="L87"/>
      <c r="M87" s="76">
        <v>171415</v>
      </c>
      <c r="N87" s="76" t="s">
        <v>1167</v>
      </c>
      <c r="O87" s="76">
        <v>1E-3</v>
      </c>
      <c r="P87" s="76">
        <v>161420</v>
      </c>
      <c r="Q87" s="76" t="s">
        <v>1255</v>
      </c>
      <c r="R87" s="76">
        <v>0</v>
      </c>
      <c r="S87"/>
      <c r="T87"/>
      <c r="U87"/>
      <c r="V87" s="76">
        <v>171415</v>
      </c>
      <c r="W87" s="76" t="s">
        <v>1167</v>
      </c>
      <c r="X87" s="76">
        <v>5.0000000000000001E-3</v>
      </c>
      <c r="Y87"/>
      <c r="Z87"/>
      <c r="AA87"/>
      <c r="AB87"/>
      <c r="AC87"/>
      <c r="AD87"/>
      <c r="AE87" s="76">
        <v>171414</v>
      </c>
      <c r="AF87" s="76" t="s">
        <v>1149</v>
      </c>
      <c r="AG87" s="76">
        <v>5.0000000000000001E-3</v>
      </c>
      <c r="AH87"/>
      <c r="AI87"/>
      <c r="AJ87"/>
      <c r="AK87"/>
      <c r="AL87"/>
      <c r="AM87"/>
      <c r="AN87" s="76">
        <v>171415</v>
      </c>
      <c r="AO87" s="76" t="s">
        <v>1167</v>
      </c>
      <c r="AP87" s="76">
        <v>1E-3</v>
      </c>
      <c r="AQ87" s="76">
        <v>161420</v>
      </c>
      <c r="AR87" s="76" t="s">
        <v>1255</v>
      </c>
      <c r="AS87" s="76">
        <v>1E-3</v>
      </c>
      <c r="AT87"/>
      <c r="AU87"/>
      <c r="AV87"/>
      <c r="AW87" s="76">
        <v>171414</v>
      </c>
      <c r="AX87" s="76" t="s">
        <v>1149</v>
      </c>
      <c r="AY87" s="76">
        <v>2.5000000000000001E-3</v>
      </c>
      <c r="AZ87" s="76">
        <v>161420</v>
      </c>
      <c r="BA87" s="76" t="s">
        <v>1255</v>
      </c>
      <c r="BB87" s="76">
        <v>1E-3</v>
      </c>
    </row>
    <row r="88" spans="1:54" s="76" customFormat="1">
      <c r="A88" s="1">
        <v>113412</v>
      </c>
      <c r="B88" s="76" t="s">
        <v>1120</v>
      </c>
      <c r="C88" s="1">
        <v>0</v>
      </c>
      <c r="D88" s="1">
        <v>113412</v>
      </c>
      <c r="E88" s="76" t="s">
        <v>1120</v>
      </c>
      <c r="F88" s="1">
        <v>4.0000000000000001E-3</v>
      </c>
      <c r="G88" s="1">
        <v>113412</v>
      </c>
      <c r="H88" s="76" t="s">
        <v>1120</v>
      </c>
      <c r="I88" s="1">
        <v>0</v>
      </c>
      <c r="J88"/>
      <c r="K88"/>
      <c r="L88"/>
      <c r="M88" s="76">
        <v>112415</v>
      </c>
      <c r="N88" s="76" t="s">
        <v>1168</v>
      </c>
      <c r="O88" s="76">
        <v>1E-3</v>
      </c>
      <c r="P88" s="76">
        <v>151420</v>
      </c>
      <c r="Q88" s="76" t="s">
        <v>1256</v>
      </c>
      <c r="R88" s="76">
        <v>0</v>
      </c>
      <c r="S88"/>
      <c r="T88"/>
      <c r="U88"/>
      <c r="V88" s="76">
        <v>112415</v>
      </c>
      <c r="W88" s="76" t="s">
        <v>1168</v>
      </c>
      <c r="X88" s="76">
        <v>5.0000000000000001E-3</v>
      </c>
      <c r="Y88"/>
      <c r="Z88"/>
      <c r="AA88"/>
      <c r="AB88"/>
      <c r="AC88"/>
      <c r="AD88"/>
      <c r="AE88" s="76">
        <v>112414</v>
      </c>
      <c r="AF88" s="76" t="s">
        <v>1150</v>
      </c>
      <c r="AG88" s="76">
        <v>5.0000000000000001E-3</v>
      </c>
      <c r="AH88"/>
      <c r="AI88"/>
      <c r="AJ88"/>
      <c r="AK88"/>
      <c r="AL88"/>
      <c r="AM88"/>
      <c r="AN88" s="76">
        <v>112415</v>
      </c>
      <c r="AO88" s="76" t="s">
        <v>1168</v>
      </c>
      <c r="AP88" s="76">
        <v>1E-3</v>
      </c>
      <c r="AQ88" s="76">
        <v>151420</v>
      </c>
      <c r="AR88" s="76" t="s">
        <v>1256</v>
      </c>
      <c r="AS88" s="76">
        <v>1E-3</v>
      </c>
      <c r="AT88"/>
      <c r="AU88"/>
      <c r="AV88"/>
      <c r="AW88" s="76">
        <v>112414</v>
      </c>
      <c r="AX88" s="76" t="s">
        <v>1150</v>
      </c>
      <c r="AY88" s="76">
        <v>2.5000000000000001E-3</v>
      </c>
      <c r="AZ88" s="76">
        <v>151420</v>
      </c>
      <c r="BA88" s="76" t="s">
        <v>1256</v>
      </c>
      <c r="BB88" s="76">
        <v>1E-3</v>
      </c>
    </row>
    <row r="89" spans="1:54" s="76" customFormat="1">
      <c r="A89" s="1">
        <v>133412</v>
      </c>
      <c r="B89" s="76" t="s">
        <v>1121</v>
      </c>
      <c r="C89" s="1">
        <v>0</v>
      </c>
      <c r="D89" s="1">
        <v>133412</v>
      </c>
      <c r="E89" s="76" t="s">
        <v>1121</v>
      </c>
      <c r="F89" s="1">
        <v>4.0000000000000001E-3</v>
      </c>
      <c r="G89" s="1">
        <v>133412</v>
      </c>
      <c r="H89" s="76" t="s">
        <v>1121</v>
      </c>
      <c r="I89" s="1">
        <v>0</v>
      </c>
      <c r="J89"/>
      <c r="K89"/>
      <c r="L89"/>
      <c r="M89" s="76">
        <v>132415</v>
      </c>
      <c r="N89" s="76" t="s">
        <v>1169</v>
      </c>
      <c r="O89" s="76">
        <v>1E-3</v>
      </c>
      <c r="P89" s="76">
        <v>171420</v>
      </c>
      <c r="Q89" s="76" t="s">
        <v>1257</v>
      </c>
      <c r="R89" s="76">
        <v>0</v>
      </c>
      <c r="S89"/>
      <c r="T89"/>
      <c r="U89"/>
      <c r="V89" s="76">
        <v>132415</v>
      </c>
      <c r="W89" s="76" t="s">
        <v>1169</v>
      </c>
      <c r="X89" s="76">
        <v>5.0000000000000001E-3</v>
      </c>
      <c r="Y89"/>
      <c r="Z89"/>
      <c r="AA89"/>
      <c r="AB89"/>
      <c r="AC89"/>
      <c r="AD89"/>
      <c r="AE89" s="76">
        <v>132414</v>
      </c>
      <c r="AF89" s="76" t="s">
        <v>1151</v>
      </c>
      <c r="AG89" s="76">
        <v>5.0000000000000001E-3</v>
      </c>
      <c r="AH89"/>
      <c r="AI89"/>
      <c r="AJ89"/>
      <c r="AK89"/>
      <c r="AL89"/>
      <c r="AM89"/>
      <c r="AN89" s="76">
        <v>132415</v>
      </c>
      <c r="AO89" s="76" t="s">
        <v>1169</v>
      </c>
      <c r="AP89" s="76">
        <v>1E-3</v>
      </c>
      <c r="AQ89" s="76">
        <v>171420</v>
      </c>
      <c r="AR89" s="76" t="s">
        <v>1257</v>
      </c>
      <c r="AS89" s="76">
        <v>1E-3</v>
      </c>
      <c r="AT89"/>
      <c r="AU89"/>
      <c r="AV89"/>
      <c r="AW89" s="76">
        <v>132414</v>
      </c>
      <c r="AX89" s="76" t="s">
        <v>1151</v>
      </c>
      <c r="AY89" s="76">
        <v>2.5000000000000001E-3</v>
      </c>
      <c r="AZ89" s="76">
        <v>171420</v>
      </c>
      <c r="BA89" s="76" t="s">
        <v>1257</v>
      </c>
      <c r="BB89" s="76">
        <v>1E-3</v>
      </c>
    </row>
    <row r="90" spans="1:54" s="76" customFormat="1">
      <c r="A90" s="1">
        <v>143412</v>
      </c>
      <c r="B90" s="76" t="s">
        <v>1122</v>
      </c>
      <c r="C90" s="1">
        <v>0</v>
      </c>
      <c r="D90" s="1">
        <v>143412</v>
      </c>
      <c r="E90" s="76" t="s">
        <v>1122</v>
      </c>
      <c r="F90" s="1">
        <v>4.0000000000000001E-3</v>
      </c>
      <c r="G90" s="1">
        <v>143412</v>
      </c>
      <c r="H90" s="76" t="s">
        <v>1122</v>
      </c>
      <c r="I90" s="1">
        <v>0</v>
      </c>
      <c r="J90"/>
      <c r="K90"/>
      <c r="L90"/>
      <c r="M90" s="76">
        <v>142415</v>
      </c>
      <c r="N90" s="76" t="s">
        <v>1170</v>
      </c>
      <c r="O90" s="76">
        <v>1E-3</v>
      </c>
      <c r="P90" s="76">
        <v>112420</v>
      </c>
      <c r="Q90" s="76" t="s">
        <v>1258</v>
      </c>
      <c r="R90" s="76">
        <v>0</v>
      </c>
      <c r="S90"/>
      <c r="T90"/>
      <c r="U90"/>
      <c r="V90" s="76">
        <v>142415</v>
      </c>
      <c r="W90" s="76" t="s">
        <v>1170</v>
      </c>
      <c r="X90" s="76">
        <v>5.0000000000000001E-3</v>
      </c>
      <c r="Y90"/>
      <c r="Z90"/>
      <c r="AA90"/>
      <c r="AB90"/>
      <c r="AC90"/>
      <c r="AD90"/>
      <c r="AE90" s="76">
        <v>142414</v>
      </c>
      <c r="AF90" s="76" t="s">
        <v>1152</v>
      </c>
      <c r="AG90" s="76">
        <v>5.0000000000000001E-3</v>
      </c>
      <c r="AH90"/>
      <c r="AI90"/>
      <c r="AJ90"/>
      <c r="AK90"/>
      <c r="AL90"/>
      <c r="AM90"/>
      <c r="AN90" s="76">
        <v>142415</v>
      </c>
      <c r="AO90" s="76" t="s">
        <v>1170</v>
      </c>
      <c r="AP90" s="76">
        <v>1E-3</v>
      </c>
      <c r="AQ90" s="76">
        <v>112420</v>
      </c>
      <c r="AR90" s="76" t="s">
        <v>1258</v>
      </c>
      <c r="AS90" s="76">
        <v>1E-3</v>
      </c>
      <c r="AT90"/>
      <c r="AU90"/>
      <c r="AV90"/>
      <c r="AW90" s="76">
        <v>142414</v>
      </c>
      <c r="AX90" s="76" t="s">
        <v>1152</v>
      </c>
      <c r="AY90" s="76">
        <v>2.5000000000000001E-3</v>
      </c>
      <c r="AZ90" s="76">
        <v>112420</v>
      </c>
      <c r="BA90" s="76" t="s">
        <v>1258</v>
      </c>
      <c r="BB90" s="76">
        <v>1E-3</v>
      </c>
    </row>
    <row r="91" spans="1:54" s="76" customFormat="1">
      <c r="A91" s="1">
        <v>163412</v>
      </c>
      <c r="B91" s="76" t="s">
        <v>1123</v>
      </c>
      <c r="C91" s="1">
        <v>0</v>
      </c>
      <c r="D91" s="1">
        <v>163412</v>
      </c>
      <c r="E91" s="76" t="s">
        <v>1123</v>
      </c>
      <c r="F91" s="1">
        <v>4.0000000000000001E-3</v>
      </c>
      <c r="G91" s="1">
        <v>163412</v>
      </c>
      <c r="H91" s="76" t="s">
        <v>1123</v>
      </c>
      <c r="I91" s="1">
        <v>0</v>
      </c>
      <c r="J91"/>
      <c r="K91"/>
      <c r="L91"/>
      <c r="M91" s="76">
        <v>162415</v>
      </c>
      <c r="N91" s="76" t="s">
        <v>1171</v>
      </c>
      <c r="O91" s="76">
        <v>1E-3</v>
      </c>
      <c r="P91" s="76">
        <v>132420</v>
      </c>
      <c r="Q91" s="76" t="s">
        <v>1259</v>
      </c>
      <c r="R91" s="76">
        <v>0</v>
      </c>
      <c r="S91"/>
      <c r="T91"/>
      <c r="U91"/>
      <c r="V91" s="76">
        <v>162415</v>
      </c>
      <c r="W91" s="76" t="s">
        <v>1171</v>
      </c>
      <c r="X91" s="76">
        <v>5.0000000000000001E-3</v>
      </c>
      <c r="Y91"/>
      <c r="Z91"/>
      <c r="AA91"/>
      <c r="AB91"/>
      <c r="AC91"/>
      <c r="AD91"/>
      <c r="AE91" s="76">
        <v>162414</v>
      </c>
      <c r="AF91" s="76" t="s">
        <v>1153</v>
      </c>
      <c r="AG91" s="76">
        <v>5.0000000000000001E-3</v>
      </c>
      <c r="AH91"/>
      <c r="AI91"/>
      <c r="AJ91"/>
      <c r="AK91"/>
      <c r="AL91"/>
      <c r="AM91"/>
      <c r="AN91" s="76">
        <v>162415</v>
      </c>
      <c r="AO91" s="76" t="s">
        <v>1171</v>
      </c>
      <c r="AP91" s="76">
        <v>1E-3</v>
      </c>
      <c r="AQ91" s="76">
        <v>132420</v>
      </c>
      <c r="AR91" s="76" t="s">
        <v>1259</v>
      </c>
      <c r="AS91" s="76">
        <v>1E-3</v>
      </c>
      <c r="AT91"/>
      <c r="AU91"/>
      <c r="AV91"/>
      <c r="AW91" s="76">
        <v>162414</v>
      </c>
      <c r="AX91" s="76" t="s">
        <v>1153</v>
      </c>
      <c r="AY91" s="76">
        <v>2.5000000000000001E-3</v>
      </c>
      <c r="AZ91" s="76">
        <v>132420</v>
      </c>
      <c r="BA91" s="76" t="s">
        <v>1259</v>
      </c>
      <c r="BB91" s="76">
        <v>1E-3</v>
      </c>
    </row>
    <row r="92" spans="1:54" s="76" customFormat="1">
      <c r="A92" s="1">
        <v>153412</v>
      </c>
      <c r="B92" s="76" t="s">
        <v>1124</v>
      </c>
      <c r="C92" s="1">
        <v>0</v>
      </c>
      <c r="D92" s="1">
        <v>153412</v>
      </c>
      <c r="E92" s="76" t="s">
        <v>1124</v>
      </c>
      <c r="F92" s="1">
        <v>4.0000000000000001E-3</v>
      </c>
      <c r="G92" s="1">
        <v>153412</v>
      </c>
      <c r="H92" s="76" t="s">
        <v>1124</v>
      </c>
      <c r="I92" s="1">
        <v>0</v>
      </c>
      <c r="J92"/>
      <c r="K92"/>
      <c r="L92"/>
      <c r="M92" s="76">
        <v>152415</v>
      </c>
      <c r="N92" s="76" t="s">
        <v>1172</v>
      </c>
      <c r="O92" s="76">
        <v>1E-3</v>
      </c>
      <c r="P92" s="76">
        <v>142420</v>
      </c>
      <c r="Q92" s="76" t="s">
        <v>1260</v>
      </c>
      <c r="R92" s="76">
        <v>0</v>
      </c>
      <c r="S92"/>
      <c r="T92"/>
      <c r="U92"/>
      <c r="V92" s="76">
        <v>152415</v>
      </c>
      <c r="W92" s="76" t="s">
        <v>1172</v>
      </c>
      <c r="X92" s="76">
        <v>5.0000000000000001E-3</v>
      </c>
      <c r="Y92"/>
      <c r="Z92"/>
      <c r="AA92"/>
      <c r="AB92"/>
      <c r="AC92"/>
      <c r="AD92"/>
      <c r="AE92" s="76">
        <v>152414</v>
      </c>
      <c r="AF92" s="76" t="s">
        <v>1154</v>
      </c>
      <c r="AG92" s="76">
        <v>5.0000000000000001E-3</v>
      </c>
      <c r="AH92"/>
      <c r="AI92"/>
      <c r="AJ92"/>
      <c r="AK92"/>
      <c r="AL92"/>
      <c r="AM92"/>
      <c r="AN92" s="76">
        <v>152415</v>
      </c>
      <c r="AO92" s="76" t="s">
        <v>1172</v>
      </c>
      <c r="AP92" s="76">
        <v>1E-3</v>
      </c>
      <c r="AQ92" s="76">
        <v>142420</v>
      </c>
      <c r="AR92" s="76" t="s">
        <v>1260</v>
      </c>
      <c r="AS92" s="76">
        <v>1E-3</v>
      </c>
      <c r="AT92"/>
      <c r="AU92"/>
      <c r="AV92"/>
      <c r="AW92" s="76">
        <v>152414</v>
      </c>
      <c r="AX92" s="76" t="s">
        <v>1154</v>
      </c>
      <c r="AY92" s="76">
        <v>2.5000000000000001E-3</v>
      </c>
      <c r="AZ92" s="76">
        <v>142420</v>
      </c>
      <c r="BA92" s="76" t="s">
        <v>1260</v>
      </c>
      <c r="BB92" s="76">
        <v>1E-3</v>
      </c>
    </row>
    <row r="93" spans="1:54" s="76" customFormat="1">
      <c r="A93" s="1">
        <v>173412</v>
      </c>
      <c r="B93" s="76" t="s">
        <v>1125</v>
      </c>
      <c r="C93" s="1">
        <v>0</v>
      </c>
      <c r="D93" s="1">
        <v>173412</v>
      </c>
      <c r="E93" s="76" t="s">
        <v>1125</v>
      </c>
      <c r="F93" s="1">
        <v>4.0000000000000001E-3</v>
      </c>
      <c r="G93" s="1">
        <v>173412</v>
      </c>
      <c r="H93" s="76" t="s">
        <v>1125</v>
      </c>
      <c r="I93" s="1">
        <v>0</v>
      </c>
      <c r="J93"/>
      <c r="K93"/>
      <c r="L93"/>
      <c r="M93" s="76">
        <v>172415</v>
      </c>
      <c r="N93" s="76" t="s">
        <v>1173</v>
      </c>
      <c r="O93" s="76">
        <v>1E-3</v>
      </c>
      <c r="P93" s="76">
        <v>162420</v>
      </c>
      <c r="Q93" s="76" t="s">
        <v>1261</v>
      </c>
      <c r="R93" s="76">
        <v>0</v>
      </c>
      <c r="S93"/>
      <c r="T93"/>
      <c r="U93"/>
      <c r="V93" s="76">
        <v>172415</v>
      </c>
      <c r="W93" s="76" t="s">
        <v>1173</v>
      </c>
      <c r="X93" s="76">
        <v>5.0000000000000001E-3</v>
      </c>
      <c r="Y93"/>
      <c r="Z93"/>
      <c r="AA93"/>
      <c r="AB93"/>
      <c r="AC93"/>
      <c r="AD93"/>
      <c r="AE93" s="76">
        <v>172414</v>
      </c>
      <c r="AF93" s="76" t="s">
        <v>1155</v>
      </c>
      <c r="AG93" s="76">
        <v>5.0000000000000001E-3</v>
      </c>
      <c r="AH93"/>
      <c r="AI93"/>
      <c r="AJ93"/>
      <c r="AK93"/>
      <c r="AL93"/>
      <c r="AM93"/>
      <c r="AN93" s="76">
        <v>172415</v>
      </c>
      <c r="AO93" s="76" t="s">
        <v>1173</v>
      </c>
      <c r="AP93" s="76">
        <v>1E-3</v>
      </c>
      <c r="AQ93" s="76">
        <v>162420</v>
      </c>
      <c r="AR93" s="76" t="s">
        <v>1261</v>
      </c>
      <c r="AS93" s="76">
        <v>1E-3</v>
      </c>
      <c r="AT93"/>
      <c r="AU93"/>
      <c r="AV93"/>
      <c r="AW93" s="76">
        <v>172414</v>
      </c>
      <c r="AX93" s="76" t="s">
        <v>1155</v>
      </c>
      <c r="AY93" s="76">
        <v>2.5000000000000001E-3</v>
      </c>
      <c r="AZ93" s="76">
        <v>162420</v>
      </c>
      <c r="BA93" s="76" t="s">
        <v>1261</v>
      </c>
      <c r="BB93" s="76">
        <v>1E-3</v>
      </c>
    </row>
    <row r="94" spans="1:54" s="76" customFormat="1">
      <c r="A94" s="1">
        <v>111413</v>
      </c>
      <c r="B94" s="76" t="s">
        <v>1126</v>
      </c>
      <c r="C94" s="1">
        <v>0</v>
      </c>
      <c r="D94" s="1">
        <v>111413</v>
      </c>
      <c r="E94" s="76" t="s">
        <v>1126</v>
      </c>
      <c r="F94" s="1">
        <v>4.0000000000000001E-3</v>
      </c>
      <c r="G94" s="1">
        <v>111413</v>
      </c>
      <c r="H94" s="76" t="s">
        <v>1126</v>
      </c>
      <c r="I94" s="1">
        <v>0</v>
      </c>
      <c r="J94"/>
      <c r="K94"/>
      <c r="L94"/>
      <c r="M94" s="76">
        <v>113415</v>
      </c>
      <c r="N94" s="76" t="s">
        <v>1174</v>
      </c>
      <c r="O94" s="76">
        <v>1E-3</v>
      </c>
      <c r="P94" s="76">
        <v>152420</v>
      </c>
      <c r="Q94" s="76" t="s">
        <v>1262</v>
      </c>
      <c r="R94" s="76">
        <v>0</v>
      </c>
      <c r="S94"/>
      <c r="T94"/>
      <c r="U94"/>
      <c r="V94" s="76">
        <v>113415</v>
      </c>
      <c r="W94" s="76" t="s">
        <v>1174</v>
      </c>
      <c r="X94" s="76">
        <v>5.0000000000000001E-3</v>
      </c>
      <c r="Y94"/>
      <c r="Z94"/>
      <c r="AA94"/>
      <c r="AB94"/>
      <c r="AC94"/>
      <c r="AD94"/>
      <c r="AE94" s="76">
        <v>113414</v>
      </c>
      <c r="AF94" s="76" t="s">
        <v>1156</v>
      </c>
      <c r="AG94" s="76">
        <v>5.0000000000000001E-3</v>
      </c>
      <c r="AH94"/>
      <c r="AI94"/>
      <c r="AJ94"/>
      <c r="AK94"/>
      <c r="AL94"/>
      <c r="AM94"/>
      <c r="AN94" s="76">
        <v>113415</v>
      </c>
      <c r="AO94" s="76" t="s">
        <v>1174</v>
      </c>
      <c r="AP94" s="76">
        <v>1E-3</v>
      </c>
      <c r="AQ94" s="76">
        <v>152420</v>
      </c>
      <c r="AR94" s="76" t="s">
        <v>1262</v>
      </c>
      <c r="AS94" s="76">
        <v>1E-3</v>
      </c>
      <c r="AT94"/>
      <c r="AU94"/>
      <c r="AV94"/>
      <c r="AW94" s="76">
        <v>113414</v>
      </c>
      <c r="AX94" s="76" t="s">
        <v>1156</v>
      </c>
      <c r="AY94" s="76">
        <v>2.5000000000000001E-3</v>
      </c>
      <c r="AZ94" s="76">
        <v>152420</v>
      </c>
      <c r="BA94" s="76" t="s">
        <v>1262</v>
      </c>
      <c r="BB94" s="76">
        <v>1E-3</v>
      </c>
    </row>
    <row r="95" spans="1:54" s="76" customFormat="1">
      <c r="A95" s="1">
        <v>131413</v>
      </c>
      <c r="B95" s="76" t="s">
        <v>1127</v>
      </c>
      <c r="C95" s="1">
        <v>0</v>
      </c>
      <c r="D95" s="1">
        <v>131413</v>
      </c>
      <c r="E95" s="76" t="s">
        <v>1127</v>
      </c>
      <c r="F95" s="1">
        <v>4.0000000000000001E-3</v>
      </c>
      <c r="G95" s="1">
        <v>131413</v>
      </c>
      <c r="H95" s="76" t="s">
        <v>1127</v>
      </c>
      <c r="I95" s="1">
        <v>0</v>
      </c>
      <c r="J95"/>
      <c r="K95"/>
      <c r="L95"/>
      <c r="M95" s="76">
        <v>133415</v>
      </c>
      <c r="N95" s="76" t="s">
        <v>1175</v>
      </c>
      <c r="O95" s="76">
        <v>1E-3</v>
      </c>
      <c r="P95" s="76">
        <v>172420</v>
      </c>
      <c r="Q95" s="76" t="s">
        <v>1263</v>
      </c>
      <c r="R95" s="76">
        <v>0</v>
      </c>
      <c r="S95"/>
      <c r="T95"/>
      <c r="U95"/>
      <c r="V95" s="76">
        <v>133415</v>
      </c>
      <c r="W95" s="76" t="s">
        <v>1175</v>
      </c>
      <c r="X95" s="76">
        <v>5.0000000000000001E-3</v>
      </c>
      <c r="Y95"/>
      <c r="Z95"/>
      <c r="AA95"/>
      <c r="AB95"/>
      <c r="AC95"/>
      <c r="AD95"/>
      <c r="AE95" s="76">
        <v>133414</v>
      </c>
      <c r="AF95" s="76" t="s">
        <v>1157</v>
      </c>
      <c r="AG95" s="76">
        <v>5.0000000000000001E-3</v>
      </c>
      <c r="AH95"/>
      <c r="AI95"/>
      <c r="AJ95"/>
      <c r="AK95"/>
      <c r="AL95"/>
      <c r="AM95"/>
      <c r="AN95" s="76">
        <v>133415</v>
      </c>
      <c r="AO95" s="76" t="s">
        <v>1175</v>
      </c>
      <c r="AP95" s="76">
        <v>1E-3</v>
      </c>
      <c r="AQ95" s="76">
        <v>172420</v>
      </c>
      <c r="AR95" s="76" t="s">
        <v>1263</v>
      </c>
      <c r="AS95" s="76">
        <v>1E-3</v>
      </c>
      <c r="AT95"/>
      <c r="AU95"/>
      <c r="AV95"/>
      <c r="AW95" s="76">
        <v>133414</v>
      </c>
      <c r="AX95" s="76" t="s">
        <v>1157</v>
      </c>
      <c r="AY95" s="76">
        <v>2.5000000000000001E-3</v>
      </c>
      <c r="AZ95" s="76">
        <v>172420</v>
      </c>
      <c r="BA95" s="76" t="s">
        <v>1263</v>
      </c>
      <c r="BB95" s="76">
        <v>1E-3</v>
      </c>
    </row>
    <row r="96" spans="1:54" s="76" customFormat="1">
      <c r="A96" s="1">
        <v>141413</v>
      </c>
      <c r="B96" s="76" t="s">
        <v>1128</v>
      </c>
      <c r="C96" s="1">
        <v>0</v>
      </c>
      <c r="D96" s="1">
        <v>141413</v>
      </c>
      <c r="E96" s="76" t="s">
        <v>1128</v>
      </c>
      <c r="F96" s="1">
        <v>4.0000000000000001E-3</v>
      </c>
      <c r="G96" s="1">
        <v>141413</v>
      </c>
      <c r="H96" s="76" t="s">
        <v>1128</v>
      </c>
      <c r="I96" s="1">
        <v>0</v>
      </c>
      <c r="J96"/>
      <c r="K96"/>
      <c r="L96"/>
      <c r="M96" s="76">
        <v>143415</v>
      </c>
      <c r="N96" s="76" t="s">
        <v>1176</v>
      </c>
      <c r="O96" s="76">
        <v>1E-3</v>
      </c>
      <c r="P96" s="76">
        <v>113420</v>
      </c>
      <c r="Q96" s="76" t="s">
        <v>1264</v>
      </c>
      <c r="R96" s="76">
        <v>0</v>
      </c>
      <c r="S96"/>
      <c r="T96"/>
      <c r="U96"/>
      <c r="V96" s="76">
        <v>143415</v>
      </c>
      <c r="W96" s="76" t="s">
        <v>1176</v>
      </c>
      <c r="X96" s="76">
        <v>5.0000000000000001E-3</v>
      </c>
      <c r="Y96"/>
      <c r="Z96"/>
      <c r="AA96"/>
      <c r="AB96"/>
      <c r="AC96"/>
      <c r="AD96"/>
      <c r="AE96" s="76">
        <v>143414</v>
      </c>
      <c r="AF96" s="76" t="s">
        <v>1158</v>
      </c>
      <c r="AG96" s="76">
        <v>5.0000000000000001E-3</v>
      </c>
      <c r="AH96"/>
      <c r="AI96"/>
      <c r="AJ96"/>
      <c r="AK96"/>
      <c r="AL96"/>
      <c r="AM96"/>
      <c r="AN96" s="76">
        <v>143415</v>
      </c>
      <c r="AO96" s="76" t="s">
        <v>1176</v>
      </c>
      <c r="AP96" s="76">
        <v>1E-3</v>
      </c>
      <c r="AQ96" s="76">
        <v>113420</v>
      </c>
      <c r="AR96" s="76" t="s">
        <v>1264</v>
      </c>
      <c r="AS96" s="76">
        <v>1E-3</v>
      </c>
      <c r="AT96"/>
      <c r="AU96"/>
      <c r="AV96"/>
      <c r="AW96" s="76">
        <v>143414</v>
      </c>
      <c r="AX96" s="76" t="s">
        <v>1158</v>
      </c>
      <c r="AY96" s="76">
        <v>2.5000000000000001E-3</v>
      </c>
      <c r="AZ96" s="76">
        <v>113420</v>
      </c>
      <c r="BA96" s="76" t="s">
        <v>1264</v>
      </c>
      <c r="BB96" s="76">
        <v>1E-3</v>
      </c>
    </row>
    <row r="97" spans="1:54" s="76" customFormat="1">
      <c r="A97" s="1">
        <v>161413</v>
      </c>
      <c r="B97" s="76" t="s">
        <v>1129</v>
      </c>
      <c r="C97" s="1">
        <v>0</v>
      </c>
      <c r="D97" s="1">
        <v>161413</v>
      </c>
      <c r="E97" s="76" t="s">
        <v>1129</v>
      </c>
      <c r="F97" s="1">
        <v>4.0000000000000001E-3</v>
      </c>
      <c r="G97" s="1">
        <v>161413</v>
      </c>
      <c r="H97" s="76" t="s">
        <v>1129</v>
      </c>
      <c r="I97" s="1">
        <v>0</v>
      </c>
      <c r="J97"/>
      <c r="K97"/>
      <c r="L97"/>
      <c r="M97" s="76">
        <v>163415</v>
      </c>
      <c r="N97" s="76" t="s">
        <v>1177</v>
      </c>
      <c r="O97" s="76">
        <v>1E-3</v>
      </c>
      <c r="P97" s="76">
        <v>133420</v>
      </c>
      <c r="Q97" s="76" t="s">
        <v>1265</v>
      </c>
      <c r="R97" s="76">
        <v>0</v>
      </c>
      <c r="S97"/>
      <c r="T97"/>
      <c r="U97"/>
      <c r="V97" s="76">
        <v>163415</v>
      </c>
      <c r="W97" s="76" t="s">
        <v>1177</v>
      </c>
      <c r="X97" s="76">
        <v>5.0000000000000001E-3</v>
      </c>
      <c r="Y97"/>
      <c r="Z97"/>
      <c r="AA97"/>
      <c r="AB97"/>
      <c r="AC97"/>
      <c r="AD97"/>
      <c r="AE97" s="76">
        <v>163414</v>
      </c>
      <c r="AF97" s="76" t="s">
        <v>1159</v>
      </c>
      <c r="AG97" s="76">
        <v>5.0000000000000001E-3</v>
      </c>
      <c r="AH97"/>
      <c r="AI97"/>
      <c r="AJ97"/>
      <c r="AK97"/>
      <c r="AL97"/>
      <c r="AM97"/>
      <c r="AN97" s="76">
        <v>163415</v>
      </c>
      <c r="AO97" s="76" t="s">
        <v>1177</v>
      </c>
      <c r="AP97" s="76">
        <v>1E-3</v>
      </c>
      <c r="AQ97" s="76">
        <v>133420</v>
      </c>
      <c r="AR97" s="76" t="s">
        <v>1265</v>
      </c>
      <c r="AS97" s="76">
        <v>1E-3</v>
      </c>
      <c r="AT97"/>
      <c r="AU97"/>
      <c r="AV97"/>
      <c r="AW97" s="76">
        <v>163414</v>
      </c>
      <c r="AX97" s="76" t="s">
        <v>1159</v>
      </c>
      <c r="AY97" s="76">
        <v>2.5000000000000001E-3</v>
      </c>
      <c r="AZ97" s="76">
        <v>133420</v>
      </c>
      <c r="BA97" s="76" t="s">
        <v>1265</v>
      </c>
      <c r="BB97" s="76">
        <v>1E-3</v>
      </c>
    </row>
    <row r="98" spans="1:54" s="76" customFormat="1">
      <c r="A98" s="1">
        <v>151413</v>
      </c>
      <c r="B98" s="76" t="s">
        <v>1130</v>
      </c>
      <c r="C98" s="1">
        <v>0</v>
      </c>
      <c r="D98" s="1">
        <v>151413</v>
      </c>
      <c r="E98" s="76" t="s">
        <v>1130</v>
      </c>
      <c r="F98" s="1">
        <v>4.0000000000000001E-3</v>
      </c>
      <c r="G98" s="1">
        <v>151413</v>
      </c>
      <c r="H98" s="76" t="s">
        <v>1130</v>
      </c>
      <c r="I98" s="1">
        <v>0</v>
      </c>
      <c r="J98"/>
      <c r="K98"/>
      <c r="L98"/>
      <c r="M98" s="76">
        <v>153415</v>
      </c>
      <c r="N98" s="76" t="s">
        <v>1178</v>
      </c>
      <c r="O98" s="76">
        <v>1E-3</v>
      </c>
      <c r="P98" s="76">
        <v>143420</v>
      </c>
      <c r="Q98" s="76" t="s">
        <v>1266</v>
      </c>
      <c r="R98" s="76">
        <v>0</v>
      </c>
      <c r="S98"/>
      <c r="T98"/>
      <c r="U98"/>
      <c r="V98" s="76">
        <v>153415</v>
      </c>
      <c r="W98" s="76" t="s">
        <v>1178</v>
      </c>
      <c r="X98" s="76">
        <v>5.0000000000000001E-3</v>
      </c>
      <c r="Y98"/>
      <c r="Z98"/>
      <c r="AA98"/>
      <c r="AB98"/>
      <c r="AC98"/>
      <c r="AD98"/>
      <c r="AE98" s="76">
        <v>153414</v>
      </c>
      <c r="AF98" s="76" t="s">
        <v>1160</v>
      </c>
      <c r="AG98" s="76">
        <v>5.0000000000000001E-3</v>
      </c>
      <c r="AH98"/>
      <c r="AI98"/>
      <c r="AJ98"/>
      <c r="AK98"/>
      <c r="AL98"/>
      <c r="AM98"/>
      <c r="AN98" s="76">
        <v>153415</v>
      </c>
      <c r="AO98" s="76" t="s">
        <v>1178</v>
      </c>
      <c r="AP98" s="76">
        <v>1E-3</v>
      </c>
      <c r="AQ98" s="76">
        <v>143420</v>
      </c>
      <c r="AR98" s="76" t="s">
        <v>1266</v>
      </c>
      <c r="AS98" s="76">
        <v>1E-3</v>
      </c>
      <c r="AT98"/>
      <c r="AU98"/>
      <c r="AV98"/>
      <c r="AW98" s="76">
        <v>153414</v>
      </c>
      <c r="AX98" s="76" t="s">
        <v>1160</v>
      </c>
      <c r="AY98" s="76">
        <v>2.5000000000000001E-3</v>
      </c>
      <c r="AZ98" s="76">
        <v>143420</v>
      </c>
      <c r="BA98" s="76" t="s">
        <v>1266</v>
      </c>
      <c r="BB98" s="76">
        <v>1E-3</v>
      </c>
    </row>
    <row r="99" spans="1:54" s="76" customFormat="1">
      <c r="A99" s="1">
        <v>171413</v>
      </c>
      <c r="B99" s="76" t="s">
        <v>1131</v>
      </c>
      <c r="C99" s="1">
        <v>0</v>
      </c>
      <c r="D99" s="1">
        <v>171413</v>
      </c>
      <c r="E99" s="76" t="s">
        <v>1131</v>
      </c>
      <c r="F99" s="1">
        <v>4.0000000000000001E-3</v>
      </c>
      <c r="G99" s="1">
        <v>171413</v>
      </c>
      <c r="H99" s="76" t="s">
        <v>1131</v>
      </c>
      <c r="I99" s="1">
        <v>0</v>
      </c>
      <c r="J99"/>
      <c r="K99"/>
      <c r="L99"/>
      <c r="M99" s="76">
        <v>173415</v>
      </c>
      <c r="N99" s="76" t="s">
        <v>1179</v>
      </c>
      <c r="O99" s="76">
        <v>1E-3</v>
      </c>
      <c r="P99" s="76">
        <v>163420</v>
      </c>
      <c r="Q99" s="76" t="s">
        <v>1267</v>
      </c>
      <c r="R99" s="76">
        <v>0</v>
      </c>
      <c r="S99"/>
      <c r="T99"/>
      <c r="U99"/>
      <c r="V99" s="76">
        <v>173415</v>
      </c>
      <c r="W99" s="76" t="s">
        <v>1179</v>
      </c>
      <c r="X99" s="76">
        <v>5.0000000000000001E-3</v>
      </c>
      <c r="Y99"/>
      <c r="Z99"/>
      <c r="AA99"/>
      <c r="AB99"/>
      <c r="AC99"/>
      <c r="AD99"/>
      <c r="AE99" s="76">
        <v>173414</v>
      </c>
      <c r="AF99" s="76" t="s">
        <v>1161</v>
      </c>
      <c r="AG99" s="76">
        <v>5.0000000000000001E-3</v>
      </c>
      <c r="AH99"/>
      <c r="AI99"/>
      <c r="AJ99"/>
      <c r="AK99"/>
      <c r="AL99"/>
      <c r="AM99"/>
      <c r="AN99" s="76">
        <v>173415</v>
      </c>
      <c r="AO99" s="76" t="s">
        <v>1179</v>
      </c>
      <c r="AP99" s="76">
        <v>1E-3</v>
      </c>
      <c r="AQ99" s="76">
        <v>163420</v>
      </c>
      <c r="AR99" s="76" t="s">
        <v>1267</v>
      </c>
      <c r="AS99" s="76">
        <v>1E-3</v>
      </c>
      <c r="AT99"/>
      <c r="AU99"/>
      <c r="AV99"/>
      <c r="AW99" s="76">
        <v>173414</v>
      </c>
      <c r="AX99" s="76" t="s">
        <v>1161</v>
      </c>
      <c r="AY99" s="76">
        <v>2.5000000000000001E-3</v>
      </c>
      <c r="AZ99" s="76">
        <v>163420</v>
      </c>
      <c r="BA99" s="76" t="s">
        <v>1267</v>
      </c>
      <c r="BB99" s="76">
        <v>1E-3</v>
      </c>
    </row>
    <row r="100" spans="1:54" s="76" customFormat="1">
      <c r="A100" s="1">
        <v>112413</v>
      </c>
      <c r="B100" s="76" t="s">
        <v>1132</v>
      </c>
      <c r="C100" s="1">
        <v>0</v>
      </c>
      <c r="D100" s="1">
        <v>112413</v>
      </c>
      <c r="E100" s="76" t="s">
        <v>1132</v>
      </c>
      <c r="F100" s="1">
        <v>4.0000000000000001E-3</v>
      </c>
      <c r="G100" s="1">
        <v>112413</v>
      </c>
      <c r="H100" s="76" t="s">
        <v>1132</v>
      </c>
      <c r="I100" s="1">
        <v>0</v>
      </c>
      <c r="J100"/>
      <c r="K100"/>
      <c r="L100"/>
      <c r="M100" s="76">
        <v>111416</v>
      </c>
      <c r="N100" s="76" t="s">
        <v>1180</v>
      </c>
      <c r="O100" s="76">
        <v>5.0000000000000001E-4</v>
      </c>
      <c r="P100" s="76">
        <v>153420</v>
      </c>
      <c r="Q100" s="76" t="s">
        <v>1268</v>
      </c>
      <c r="R100" s="76">
        <v>0</v>
      </c>
      <c r="S100"/>
      <c r="T100"/>
      <c r="U100"/>
      <c r="V100" s="76">
        <v>111416</v>
      </c>
      <c r="W100" s="76" t="s">
        <v>1180</v>
      </c>
      <c r="X100" s="76">
        <v>1E-3</v>
      </c>
      <c r="Y100"/>
      <c r="Z100"/>
      <c r="AA100"/>
      <c r="AB100"/>
      <c r="AC100"/>
      <c r="AD100"/>
      <c r="AE100" s="76">
        <v>111415</v>
      </c>
      <c r="AF100" s="76" t="s">
        <v>1162</v>
      </c>
      <c r="AG100" s="76">
        <v>1E-3</v>
      </c>
      <c r="AH100"/>
      <c r="AI100"/>
      <c r="AJ100"/>
      <c r="AK100"/>
      <c r="AL100"/>
      <c r="AM100"/>
      <c r="AN100" s="76">
        <v>111416</v>
      </c>
      <c r="AO100" s="76" t="s">
        <v>1180</v>
      </c>
      <c r="AP100" s="76">
        <v>5.0000000000000001E-4</v>
      </c>
      <c r="AQ100" s="76">
        <v>153420</v>
      </c>
      <c r="AR100" s="76" t="s">
        <v>1268</v>
      </c>
      <c r="AS100" s="76">
        <v>1E-3</v>
      </c>
      <c r="AT100"/>
      <c r="AU100"/>
      <c r="AV100"/>
      <c r="AW100" s="76">
        <v>111415</v>
      </c>
      <c r="AX100" s="76" t="s">
        <v>1162</v>
      </c>
      <c r="AY100" s="76">
        <v>1E-3</v>
      </c>
      <c r="AZ100" s="76">
        <v>153420</v>
      </c>
      <c r="BA100" s="76" t="s">
        <v>1268</v>
      </c>
      <c r="BB100" s="76">
        <v>1E-3</v>
      </c>
    </row>
    <row r="101" spans="1:54" s="76" customFormat="1">
      <c r="A101" s="1">
        <v>132413</v>
      </c>
      <c r="B101" s="76" t="s">
        <v>1133</v>
      </c>
      <c r="C101" s="1">
        <v>0</v>
      </c>
      <c r="D101" s="1">
        <v>132413</v>
      </c>
      <c r="E101" s="76" t="s">
        <v>1133</v>
      </c>
      <c r="F101" s="1">
        <v>4.0000000000000001E-3</v>
      </c>
      <c r="G101" s="1">
        <v>132413</v>
      </c>
      <c r="H101" s="76" t="s">
        <v>1133</v>
      </c>
      <c r="I101" s="1">
        <v>8.0000000000000002E-3</v>
      </c>
      <c r="J101"/>
      <c r="K101"/>
      <c r="L101"/>
      <c r="M101" s="76">
        <v>131416</v>
      </c>
      <c r="N101" s="76" t="s">
        <v>1181</v>
      </c>
      <c r="O101" s="76">
        <v>5.0000000000000001E-4</v>
      </c>
      <c r="P101" s="76">
        <v>173420</v>
      </c>
      <c r="Q101" s="76" t="s">
        <v>1269</v>
      </c>
      <c r="R101" s="76">
        <v>0</v>
      </c>
      <c r="S101"/>
      <c r="T101"/>
      <c r="U101"/>
      <c r="V101" s="76">
        <v>131416</v>
      </c>
      <c r="W101" s="76" t="s">
        <v>1181</v>
      </c>
      <c r="X101" s="76">
        <v>1E-3</v>
      </c>
      <c r="Y101"/>
      <c r="Z101"/>
      <c r="AA101"/>
      <c r="AB101"/>
      <c r="AC101"/>
      <c r="AD101"/>
      <c r="AE101" s="76">
        <v>131415</v>
      </c>
      <c r="AF101" s="76" t="s">
        <v>1163</v>
      </c>
      <c r="AG101" s="76">
        <v>1E-3</v>
      </c>
      <c r="AH101"/>
      <c r="AI101"/>
      <c r="AJ101"/>
      <c r="AK101"/>
      <c r="AL101"/>
      <c r="AM101"/>
      <c r="AN101" s="76">
        <v>131416</v>
      </c>
      <c r="AO101" s="76" t="s">
        <v>1181</v>
      </c>
      <c r="AP101" s="76">
        <v>5.0000000000000001E-4</v>
      </c>
      <c r="AQ101" s="76">
        <v>173420</v>
      </c>
      <c r="AR101" s="76" t="s">
        <v>1269</v>
      </c>
      <c r="AS101" s="76">
        <v>1E-3</v>
      </c>
      <c r="AT101"/>
      <c r="AU101"/>
      <c r="AV101"/>
      <c r="AW101" s="76">
        <v>131415</v>
      </c>
      <c r="AX101" s="76" t="s">
        <v>1163</v>
      </c>
      <c r="AY101" s="76">
        <v>1E-3</v>
      </c>
      <c r="AZ101" s="76">
        <v>173420</v>
      </c>
      <c r="BA101" s="76" t="s">
        <v>1269</v>
      </c>
      <c r="BB101" s="76">
        <v>1E-3</v>
      </c>
    </row>
    <row r="102" spans="1:54" s="76" customFormat="1">
      <c r="A102" s="1">
        <v>142413</v>
      </c>
      <c r="B102" s="76" t="s">
        <v>1134</v>
      </c>
      <c r="C102" s="1">
        <v>0</v>
      </c>
      <c r="D102" s="1">
        <v>142413</v>
      </c>
      <c r="E102" s="76" t="s">
        <v>1134</v>
      </c>
      <c r="F102" s="1">
        <v>4.0000000000000001E-3</v>
      </c>
      <c r="G102" s="1">
        <v>142413</v>
      </c>
      <c r="H102" s="76" t="s">
        <v>1134</v>
      </c>
      <c r="I102" s="1">
        <v>8.0000000000000002E-3</v>
      </c>
      <c r="J102"/>
      <c r="K102"/>
      <c r="L102"/>
      <c r="M102" s="76">
        <v>141416</v>
      </c>
      <c r="N102" s="76" t="s">
        <v>1182</v>
      </c>
      <c r="O102" s="76">
        <v>5.0000000000000001E-4</v>
      </c>
      <c r="P102"/>
      <c r="Q102"/>
      <c r="R102"/>
      <c r="S102"/>
      <c r="T102"/>
      <c r="U102"/>
      <c r="V102" s="76">
        <v>141416</v>
      </c>
      <c r="W102" s="76" t="s">
        <v>1182</v>
      </c>
      <c r="X102" s="76">
        <v>1E-3</v>
      </c>
      <c r="Y102"/>
      <c r="Z102"/>
      <c r="AA102"/>
      <c r="AB102"/>
      <c r="AC102"/>
      <c r="AD102"/>
      <c r="AE102" s="76">
        <v>141415</v>
      </c>
      <c r="AF102" s="76" t="s">
        <v>1164</v>
      </c>
      <c r="AG102" s="76">
        <v>1E-3</v>
      </c>
      <c r="AH102"/>
      <c r="AI102"/>
      <c r="AJ102"/>
      <c r="AK102"/>
      <c r="AL102"/>
      <c r="AM102"/>
      <c r="AN102" s="76">
        <v>141416</v>
      </c>
      <c r="AO102" s="76" t="s">
        <v>1182</v>
      </c>
      <c r="AP102" s="76">
        <v>5.0000000000000001E-4</v>
      </c>
      <c r="AQ102"/>
      <c r="AR102"/>
      <c r="AS102"/>
      <c r="AT102"/>
      <c r="AU102"/>
      <c r="AV102"/>
      <c r="AW102" s="76">
        <v>141415</v>
      </c>
      <c r="AX102" s="76" t="s">
        <v>1164</v>
      </c>
      <c r="AY102" s="76">
        <v>1E-3</v>
      </c>
      <c r="AZ102"/>
      <c r="BA102"/>
      <c r="BB102"/>
    </row>
    <row r="103" spans="1:54" s="76" customFormat="1">
      <c r="A103" s="1">
        <v>162413</v>
      </c>
      <c r="B103" s="76" t="s">
        <v>1135</v>
      </c>
      <c r="C103" s="1">
        <v>0</v>
      </c>
      <c r="D103" s="1">
        <v>162413</v>
      </c>
      <c r="E103" s="76" t="s">
        <v>1135</v>
      </c>
      <c r="F103" s="1">
        <v>4.0000000000000001E-3</v>
      </c>
      <c r="G103" s="1">
        <v>162413</v>
      </c>
      <c r="H103" s="76" t="s">
        <v>1135</v>
      </c>
      <c r="I103" s="1">
        <v>8.0000000000000002E-3</v>
      </c>
      <c r="J103"/>
      <c r="K103"/>
      <c r="L103"/>
      <c r="M103" s="76">
        <v>161416</v>
      </c>
      <c r="N103" s="76" t="s">
        <v>1183</v>
      </c>
      <c r="O103" s="76">
        <v>5.0000000000000001E-4</v>
      </c>
      <c r="P103"/>
      <c r="Q103"/>
      <c r="R103"/>
      <c r="S103"/>
      <c r="T103"/>
      <c r="U103"/>
      <c r="V103" s="76">
        <v>161416</v>
      </c>
      <c r="W103" s="76" t="s">
        <v>1183</v>
      </c>
      <c r="X103" s="76">
        <v>1E-3</v>
      </c>
      <c r="Y103"/>
      <c r="Z103"/>
      <c r="AA103"/>
      <c r="AB103"/>
      <c r="AC103"/>
      <c r="AD103"/>
      <c r="AE103" s="76">
        <v>161415</v>
      </c>
      <c r="AF103" s="76" t="s">
        <v>1165</v>
      </c>
      <c r="AG103" s="76">
        <v>1E-3</v>
      </c>
      <c r="AH103"/>
      <c r="AI103"/>
      <c r="AJ103"/>
      <c r="AK103"/>
      <c r="AL103"/>
      <c r="AM103"/>
      <c r="AN103" s="76">
        <v>161416</v>
      </c>
      <c r="AO103" s="76" t="s">
        <v>1183</v>
      </c>
      <c r="AP103" s="76">
        <v>5.0000000000000001E-4</v>
      </c>
      <c r="AQ103"/>
      <c r="AR103"/>
      <c r="AS103"/>
      <c r="AT103"/>
      <c r="AU103"/>
      <c r="AV103"/>
      <c r="AW103" s="76">
        <v>161415</v>
      </c>
      <c r="AX103" s="76" t="s">
        <v>1165</v>
      </c>
      <c r="AY103" s="76">
        <v>1E-3</v>
      </c>
      <c r="AZ103"/>
      <c r="BA103"/>
      <c r="BB103"/>
    </row>
    <row r="104" spans="1:54" s="76" customFormat="1">
      <c r="A104" s="1">
        <v>152413</v>
      </c>
      <c r="B104" s="76" t="s">
        <v>1136</v>
      </c>
      <c r="C104" s="1">
        <v>0</v>
      </c>
      <c r="D104" s="1">
        <v>152413</v>
      </c>
      <c r="E104" s="76" t="s">
        <v>1136</v>
      </c>
      <c r="F104" s="1">
        <v>4.0000000000000001E-3</v>
      </c>
      <c r="G104" s="1">
        <v>152413</v>
      </c>
      <c r="H104" s="76" t="s">
        <v>1136</v>
      </c>
      <c r="I104" s="1">
        <v>8.0000000000000002E-3</v>
      </c>
      <c r="J104"/>
      <c r="K104"/>
      <c r="L104"/>
      <c r="M104" s="76">
        <v>151416</v>
      </c>
      <c r="N104" s="76" t="s">
        <v>1184</v>
      </c>
      <c r="O104" s="76">
        <v>5.0000000000000001E-4</v>
      </c>
      <c r="P104"/>
      <c r="Q104"/>
      <c r="R104"/>
      <c r="S104"/>
      <c r="T104"/>
      <c r="U104"/>
      <c r="V104" s="76">
        <v>151416</v>
      </c>
      <c r="W104" s="76" t="s">
        <v>1184</v>
      </c>
      <c r="X104" s="76">
        <v>1E-3</v>
      </c>
      <c r="Y104"/>
      <c r="Z104"/>
      <c r="AA104"/>
      <c r="AB104"/>
      <c r="AC104"/>
      <c r="AD104"/>
      <c r="AE104" s="76">
        <v>151415</v>
      </c>
      <c r="AF104" s="76" t="s">
        <v>1166</v>
      </c>
      <c r="AG104" s="76">
        <v>1E-3</v>
      </c>
      <c r="AH104"/>
      <c r="AI104"/>
      <c r="AJ104"/>
      <c r="AK104"/>
      <c r="AL104"/>
      <c r="AM104"/>
      <c r="AN104" s="76">
        <v>151416</v>
      </c>
      <c r="AO104" s="76" t="s">
        <v>1184</v>
      </c>
      <c r="AP104" s="76">
        <v>5.0000000000000001E-4</v>
      </c>
      <c r="AQ104"/>
      <c r="AR104"/>
      <c r="AS104"/>
      <c r="AT104"/>
      <c r="AU104"/>
      <c r="AV104"/>
      <c r="AW104" s="76">
        <v>151415</v>
      </c>
      <c r="AX104" s="76" t="s">
        <v>1166</v>
      </c>
      <c r="AY104" s="76">
        <v>1E-3</v>
      </c>
      <c r="AZ104"/>
      <c r="BA104"/>
      <c r="BB104"/>
    </row>
    <row r="105" spans="1:54" s="76" customFormat="1">
      <c r="A105" s="1">
        <v>172413</v>
      </c>
      <c r="B105" s="76" t="s">
        <v>1137</v>
      </c>
      <c r="C105" s="1">
        <v>0</v>
      </c>
      <c r="D105" s="1">
        <v>172413</v>
      </c>
      <c r="E105" s="76" t="s">
        <v>1137</v>
      </c>
      <c r="F105" s="1">
        <v>4.0000000000000001E-3</v>
      </c>
      <c r="G105" s="1">
        <v>172413</v>
      </c>
      <c r="H105" s="76" t="s">
        <v>1137</v>
      </c>
      <c r="I105" s="1">
        <v>8.0000000000000002E-3</v>
      </c>
      <c r="J105"/>
      <c r="K105"/>
      <c r="L105"/>
      <c r="M105" s="76">
        <v>171416</v>
      </c>
      <c r="N105" s="76" t="s">
        <v>1185</v>
      </c>
      <c r="O105" s="76">
        <v>5.0000000000000001E-4</v>
      </c>
      <c r="P105"/>
      <c r="Q105"/>
      <c r="R105"/>
      <c r="S105"/>
      <c r="T105"/>
      <c r="U105"/>
      <c r="V105" s="76">
        <v>171416</v>
      </c>
      <c r="W105" s="76" t="s">
        <v>1185</v>
      </c>
      <c r="X105" s="76">
        <v>1E-3</v>
      </c>
      <c r="Y105"/>
      <c r="Z105"/>
      <c r="AA105"/>
      <c r="AB105"/>
      <c r="AC105"/>
      <c r="AD105"/>
      <c r="AE105" s="76">
        <v>171415</v>
      </c>
      <c r="AF105" s="76" t="s">
        <v>1167</v>
      </c>
      <c r="AG105" s="76">
        <v>1E-3</v>
      </c>
      <c r="AH105"/>
      <c r="AI105"/>
      <c r="AJ105"/>
      <c r="AK105"/>
      <c r="AL105"/>
      <c r="AM105"/>
      <c r="AN105" s="76">
        <v>171416</v>
      </c>
      <c r="AO105" s="76" t="s">
        <v>1185</v>
      </c>
      <c r="AP105" s="76">
        <v>5.0000000000000001E-4</v>
      </c>
      <c r="AQ105"/>
      <c r="AR105"/>
      <c r="AS105"/>
      <c r="AT105"/>
      <c r="AU105"/>
      <c r="AV105"/>
      <c r="AW105" s="76">
        <v>171415</v>
      </c>
      <c r="AX105" s="76" t="s">
        <v>1167</v>
      </c>
      <c r="AY105" s="76">
        <v>1E-3</v>
      </c>
      <c r="AZ105"/>
      <c r="BA105"/>
      <c r="BB105"/>
    </row>
    <row r="106" spans="1:54" s="76" customFormat="1">
      <c r="A106" s="1">
        <v>113413</v>
      </c>
      <c r="B106" s="76" t="s">
        <v>1138</v>
      </c>
      <c r="C106" s="1">
        <v>0</v>
      </c>
      <c r="D106" s="1">
        <v>113413</v>
      </c>
      <c r="E106" s="76" t="s">
        <v>1138</v>
      </c>
      <c r="F106" s="1">
        <v>4.0000000000000001E-3</v>
      </c>
      <c r="G106" s="1">
        <v>113413</v>
      </c>
      <c r="H106" s="76" t="s">
        <v>1138</v>
      </c>
      <c r="I106" s="1">
        <v>8.0000000000000002E-3</v>
      </c>
      <c r="J106"/>
      <c r="K106"/>
      <c r="L106"/>
      <c r="M106" s="76">
        <v>112416</v>
      </c>
      <c r="N106" s="76" t="s">
        <v>1186</v>
      </c>
      <c r="O106" s="76">
        <v>5.0000000000000001E-4</v>
      </c>
      <c r="P106"/>
      <c r="Q106"/>
      <c r="R106"/>
      <c r="S106"/>
      <c r="T106"/>
      <c r="U106"/>
      <c r="V106" s="76">
        <v>112416</v>
      </c>
      <c r="W106" s="76" t="s">
        <v>1186</v>
      </c>
      <c r="X106" s="76">
        <v>1E-3</v>
      </c>
      <c r="Y106"/>
      <c r="Z106"/>
      <c r="AA106"/>
      <c r="AB106"/>
      <c r="AC106"/>
      <c r="AD106"/>
      <c r="AE106" s="76">
        <v>112415</v>
      </c>
      <c r="AF106" s="76" t="s">
        <v>1168</v>
      </c>
      <c r="AG106" s="76">
        <v>1E-3</v>
      </c>
      <c r="AH106"/>
      <c r="AI106"/>
      <c r="AJ106"/>
      <c r="AK106"/>
      <c r="AL106"/>
      <c r="AM106"/>
      <c r="AN106" s="76">
        <v>112416</v>
      </c>
      <c r="AO106" s="76" t="s">
        <v>1186</v>
      </c>
      <c r="AP106" s="76">
        <v>5.0000000000000001E-4</v>
      </c>
      <c r="AQ106"/>
      <c r="AR106"/>
      <c r="AS106"/>
      <c r="AT106"/>
      <c r="AU106"/>
      <c r="AV106"/>
      <c r="AW106" s="76">
        <v>112415</v>
      </c>
      <c r="AX106" s="76" t="s">
        <v>1168</v>
      </c>
      <c r="AY106" s="76">
        <v>1E-3</v>
      </c>
      <c r="AZ106"/>
      <c r="BA106"/>
      <c r="BB106"/>
    </row>
    <row r="107" spans="1:54" s="76" customFormat="1">
      <c r="A107" s="1">
        <v>133413</v>
      </c>
      <c r="B107" s="76" t="s">
        <v>1139</v>
      </c>
      <c r="C107" s="1">
        <v>0</v>
      </c>
      <c r="D107" s="1">
        <v>133413</v>
      </c>
      <c r="E107" s="76" t="s">
        <v>1139</v>
      </c>
      <c r="F107" s="1">
        <v>4.0000000000000001E-3</v>
      </c>
      <c r="G107" s="1">
        <v>133413</v>
      </c>
      <c r="H107" s="76" t="s">
        <v>1139</v>
      </c>
      <c r="I107" s="1">
        <v>8.0000000000000002E-3</v>
      </c>
      <c r="J107"/>
      <c r="K107"/>
      <c r="L107"/>
      <c r="M107" s="76">
        <v>132416</v>
      </c>
      <c r="N107" s="76" t="s">
        <v>1187</v>
      </c>
      <c r="O107" s="76">
        <v>5.0000000000000001E-4</v>
      </c>
      <c r="P107"/>
      <c r="Q107"/>
      <c r="R107"/>
      <c r="S107"/>
      <c r="T107"/>
      <c r="U107"/>
      <c r="V107" s="76">
        <v>132416</v>
      </c>
      <c r="W107" s="76" t="s">
        <v>1187</v>
      </c>
      <c r="X107" s="76">
        <v>1E-3</v>
      </c>
      <c r="Y107"/>
      <c r="Z107"/>
      <c r="AA107"/>
      <c r="AB107"/>
      <c r="AC107"/>
      <c r="AD107"/>
      <c r="AE107" s="76">
        <v>132415</v>
      </c>
      <c r="AF107" s="76" t="s">
        <v>1169</v>
      </c>
      <c r="AG107" s="76">
        <v>1E-3</v>
      </c>
      <c r="AH107"/>
      <c r="AI107"/>
      <c r="AJ107"/>
      <c r="AK107"/>
      <c r="AL107"/>
      <c r="AM107"/>
      <c r="AN107" s="76">
        <v>132416</v>
      </c>
      <c r="AO107" s="76" t="s">
        <v>1187</v>
      </c>
      <c r="AP107" s="76">
        <v>5.0000000000000001E-4</v>
      </c>
      <c r="AQ107"/>
      <c r="AR107"/>
      <c r="AS107"/>
      <c r="AT107"/>
      <c r="AU107"/>
      <c r="AV107"/>
      <c r="AW107" s="76">
        <v>132415</v>
      </c>
      <c r="AX107" s="76" t="s">
        <v>1169</v>
      </c>
      <c r="AY107" s="76">
        <v>1E-3</v>
      </c>
      <c r="AZ107"/>
      <c r="BA107"/>
      <c r="BB107"/>
    </row>
    <row r="108" spans="1:54" s="76" customFormat="1">
      <c r="A108" s="1">
        <v>143413</v>
      </c>
      <c r="B108" s="76" t="s">
        <v>1140</v>
      </c>
      <c r="C108" s="1">
        <v>0</v>
      </c>
      <c r="D108" s="1">
        <v>143413</v>
      </c>
      <c r="E108" s="76" t="s">
        <v>1140</v>
      </c>
      <c r="F108" s="1">
        <v>4.0000000000000001E-3</v>
      </c>
      <c r="G108" s="1">
        <v>143413</v>
      </c>
      <c r="H108" s="76" t="s">
        <v>1140</v>
      </c>
      <c r="I108" s="1">
        <v>8.0000000000000002E-3</v>
      </c>
      <c r="J108"/>
      <c r="K108"/>
      <c r="L108"/>
      <c r="M108" s="76">
        <v>142416</v>
      </c>
      <c r="N108" s="76" t="s">
        <v>1188</v>
      </c>
      <c r="O108" s="76">
        <v>5.0000000000000001E-4</v>
      </c>
      <c r="P108"/>
      <c r="Q108"/>
      <c r="R108"/>
      <c r="S108"/>
      <c r="T108"/>
      <c r="U108"/>
      <c r="V108" s="76">
        <v>142416</v>
      </c>
      <c r="W108" s="76" t="s">
        <v>1188</v>
      </c>
      <c r="X108" s="76">
        <v>1E-3</v>
      </c>
      <c r="Y108"/>
      <c r="Z108"/>
      <c r="AA108"/>
      <c r="AB108"/>
      <c r="AC108"/>
      <c r="AD108"/>
      <c r="AE108" s="76">
        <v>142415</v>
      </c>
      <c r="AF108" s="76" t="s">
        <v>1170</v>
      </c>
      <c r="AG108" s="76">
        <v>1E-3</v>
      </c>
      <c r="AH108"/>
      <c r="AI108"/>
      <c r="AJ108"/>
      <c r="AK108"/>
      <c r="AL108"/>
      <c r="AM108"/>
      <c r="AN108" s="76">
        <v>142416</v>
      </c>
      <c r="AO108" s="76" t="s">
        <v>1188</v>
      </c>
      <c r="AP108" s="76">
        <v>5.0000000000000001E-4</v>
      </c>
      <c r="AQ108"/>
      <c r="AR108"/>
      <c r="AS108"/>
      <c r="AT108"/>
      <c r="AU108"/>
      <c r="AV108"/>
      <c r="AW108" s="76">
        <v>142415</v>
      </c>
      <c r="AX108" s="76" t="s">
        <v>1170</v>
      </c>
      <c r="AY108" s="76">
        <v>1E-3</v>
      </c>
      <c r="AZ108"/>
      <c r="BA108"/>
      <c r="BB108"/>
    </row>
    <row r="109" spans="1:54" s="76" customFormat="1">
      <c r="A109" s="1">
        <v>163413</v>
      </c>
      <c r="B109" s="76" t="s">
        <v>1141</v>
      </c>
      <c r="C109" s="1">
        <v>0</v>
      </c>
      <c r="D109" s="1">
        <v>163413</v>
      </c>
      <c r="E109" s="76" t="s">
        <v>1141</v>
      </c>
      <c r="F109" s="1">
        <v>4.0000000000000001E-3</v>
      </c>
      <c r="G109" s="1">
        <v>163413</v>
      </c>
      <c r="H109" s="76" t="s">
        <v>1141</v>
      </c>
      <c r="I109" s="1">
        <v>8.0000000000000002E-3</v>
      </c>
      <c r="J109"/>
      <c r="K109"/>
      <c r="L109"/>
      <c r="M109" s="76">
        <v>162416</v>
      </c>
      <c r="N109" s="76" t="s">
        <v>1189</v>
      </c>
      <c r="O109" s="76">
        <v>5.0000000000000001E-4</v>
      </c>
      <c r="P109"/>
      <c r="Q109"/>
      <c r="R109"/>
      <c r="S109"/>
      <c r="T109"/>
      <c r="U109"/>
      <c r="V109" s="76">
        <v>162416</v>
      </c>
      <c r="W109" s="76" t="s">
        <v>1189</v>
      </c>
      <c r="X109" s="76">
        <v>1E-3</v>
      </c>
      <c r="Y109"/>
      <c r="Z109"/>
      <c r="AA109"/>
      <c r="AB109"/>
      <c r="AC109"/>
      <c r="AD109"/>
      <c r="AE109" s="76">
        <v>162415</v>
      </c>
      <c r="AF109" s="76" t="s">
        <v>1171</v>
      </c>
      <c r="AG109" s="76">
        <v>1E-3</v>
      </c>
      <c r="AH109"/>
      <c r="AI109"/>
      <c r="AJ109"/>
      <c r="AK109"/>
      <c r="AL109"/>
      <c r="AM109"/>
      <c r="AN109" s="76">
        <v>162416</v>
      </c>
      <c r="AO109" s="76" t="s">
        <v>1189</v>
      </c>
      <c r="AP109" s="76">
        <v>5.0000000000000001E-4</v>
      </c>
      <c r="AQ109"/>
      <c r="AR109"/>
      <c r="AS109"/>
      <c r="AT109"/>
      <c r="AU109"/>
      <c r="AV109"/>
      <c r="AW109" s="76">
        <v>162415</v>
      </c>
      <c r="AX109" s="76" t="s">
        <v>1171</v>
      </c>
      <c r="AY109" s="76">
        <v>1E-3</v>
      </c>
      <c r="AZ109"/>
      <c r="BA109"/>
      <c r="BB109"/>
    </row>
    <row r="110" spans="1:54" s="76" customFormat="1">
      <c r="A110" s="1">
        <v>153413</v>
      </c>
      <c r="B110" s="76" t="s">
        <v>1142</v>
      </c>
      <c r="C110" s="1">
        <v>0</v>
      </c>
      <c r="D110" s="1">
        <v>153413</v>
      </c>
      <c r="E110" s="76" t="s">
        <v>1142</v>
      </c>
      <c r="F110" s="1">
        <v>4.0000000000000001E-3</v>
      </c>
      <c r="G110" s="1">
        <v>153413</v>
      </c>
      <c r="H110" s="76" t="s">
        <v>1142</v>
      </c>
      <c r="I110" s="1">
        <v>8.0000000000000002E-3</v>
      </c>
      <c r="J110"/>
      <c r="K110"/>
      <c r="L110"/>
      <c r="M110" s="76">
        <v>152416</v>
      </c>
      <c r="N110" s="76" t="s">
        <v>1190</v>
      </c>
      <c r="O110" s="76">
        <v>5.0000000000000001E-4</v>
      </c>
      <c r="P110"/>
      <c r="Q110"/>
      <c r="R110"/>
      <c r="S110"/>
      <c r="T110"/>
      <c r="U110"/>
      <c r="V110" s="76">
        <v>152416</v>
      </c>
      <c r="W110" s="76" t="s">
        <v>1190</v>
      </c>
      <c r="X110" s="76">
        <v>1E-3</v>
      </c>
      <c r="Y110"/>
      <c r="Z110"/>
      <c r="AA110"/>
      <c r="AB110"/>
      <c r="AC110"/>
      <c r="AD110"/>
      <c r="AE110" s="76">
        <v>152415</v>
      </c>
      <c r="AF110" s="76" t="s">
        <v>1172</v>
      </c>
      <c r="AG110" s="76">
        <v>1E-3</v>
      </c>
      <c r="AH110"/>
      <c r="AI110"/>
      <c r="AJ110"/>
      <c r="AK110"/>
      <c r="AL110"/>
      <c r="AM110"/>
      <c r="AN110" s="76">
        <v>152416</v>
      </c>
      <c r="AO110" s="76" t="s">
        <v>1190</v>
      </c>
      <c r="AP110" s="76">
        <v>5.0000000000000001E-4</v>
      </c>
      <c r="AQ110"/>
      <c r="AR110"/>
      <c r="AS110"/>
      <c r="AT110"/>
      <c r="AU110"/>
      <c r="AV110"/>
      <c r="AW110" s="76">
        <v>152415</v>
      </c>
      <c r="AX110" s="76" t="s">
        <v>1172</v>
      </c>
      <c r="AY110" s="76">
        <v>1E-3</v>
      </c>
      <c r="AZ110"/>
      <c r="BA110"/>
      <c r="BB110"/>
    </row>
    <row r="111" spans="1:54" s="76" customFormat="1">
      <c r="A111" s="1">
        <v>173413</v>
      </c>
      <c r="B111" s="76" t="s">
        <v>1143</v>
      </c>
      <c r="C111" s="1">
        <v>0</v>
      </c>
      <c r="D111" s="1">
        <v>173413</v>
      </c>
      <c r="E111" s="76" t="s">
        <v>1143</v>
      </c>
      <c r="F111" s="1">
        <v>4.0000000000000001E-3</v>
      </c>
      <c r="G111" s="1">
        <v>173413</v>
      </c>
      <c r="H111" s="76" t="s">
        <v>1143</v>
      </c>
      <c r="I111" s="1">
        <v>8.0000000000000002E-3</v>
      </c>
      <c r="J111"/>
      <c r="K111"/>
      <c r="L111"/>
      <c r="M111" s="76">
        <v>172416</v>
      </c>
      <c r="N111" s="76" t="s">
        <v>1191</v>
      </c>
      <c r="O111" s="76">
        <v>5.0000000000000001E-4</v>
      </c>
      <c r="P111"/>
      <c r="Q111"/>
      <c r="R111"/>
      <c r="S111"/>
      <c r="T111"/>
      <c r="U111"/>
      <c r="V111" s="76">
        <v>172416</v>
      </c>
      <c r="W111" s="76" t="s">
        <v>1191</v>
      </c>
      <c r="X111" s="76">
        <v>1E-3</v>
      </c>
      <c r="Y111"/>
      <c r="Z111"/>
      <c r="AA111"/>
      <c r="AB111"/>
      <c r="AC111"/>
      <c r="AD111"/>
      <c r="AE111" s="76">
        <v>172415</v>
      </c>
      <c r="AF111" s="76" t="s">
        <v>1173</v>
      </c>
      <c r="AG111" s="76">
        <v>1E-3</v>
      </c>
      <c r="AH111"/>
      <c r="AI111"/>
      <c r="AJ111"/>
      <c r="AK111"/>
      <c r="AL111"/>
      <c r="AM111"/>
      <c r="AN111" s="76">
        <v>172416</v>
      </c>
      <c r="AO111" s="76" t="s">
        <v>1191</v>
      </c>
      <c r="AP111" s="76">
        <v>5.0000000000000001E-4</v>
      </c>
      <c r="AQ111"/>
      <c r="AR111"/>
      <c r="AS111"/>
      <c r="AT111"/>
      <c r="AU111"/>
      <c r="AV111"/>
      <c r="AW111" s="76">
        <v>172415</v>
      </c>
      <c r="AX111" s="76" t="s">
        <v>1173</v>
      </c>
      <c r="AY111" s="76">
        <v>1E-3</v>
      </c>
      <c r="AZ111"/>
      <c r="BA111"/>
      <c r="BB111"/>
    </row>
    <row r="112" spans="1:54" s="76" customFormat="1">
      <c r="A112" s="1">
        <v>111414</v>
      </c>
      <c r="B112" s="76" t="s">
        <v>1144</v>
      </c>
      <c r="C112" s="1">
        <v>0</v>
      </c>
      <c r="D112" s="1">
        <v>111414</v>
      </c>
      <c r="E112" s="76" t="s">
        <v>1144</v>
      </c>
      <c r="F112" s="1">
        <v>2.5000000000000001E-3</v>
      </c>
      <c r="G112" s="1">
        <v>111414</v>
      </c>
      <c r="H112" s="76" t="s">
        <v>1144</v>
      </c>
      <c r="I112" s="1">
        <v>8.0000000000000002E-3</v>
      </c>
      <c r="J112"/>
      <c r="K112"/>
      <c r="L112"/>
      <c r="M112" s="76">
        <v>113416</v>
      </c>
      <c r="N112" s="76" t="s">
        <v>1192</v>
      </c>
      <c r="O112" s="76">
        <v>5.0000000000000001E-4</v>
      </c>
      <c r="P112"/>
      <c r="Q112"/>
      <c r="R112"/>
      <c r="S112"/>
      <c r="T112"/>
      <c r="U112"/>
      <c r="V112" s="76">
        <v>113416</v>
      </c>
      <c r="W112" s="76" t="s">
        <v>1192</v>
      </c>
      <c r="X112" s="76">
        <v>1E-3</v>
      </c>
      <c r="Y112"/>
      <c r="Z112"/>
      <c r="AA112"/>
      <c r="AB112"/>
      <c r="AC112"/>
      <c r="AD112"/>
      <c r="AE112" s="76">
        <v>113415</v>
      </c>
      <c r="AF112" s="76" t="s">
        <v>1174</v>
      </c>
      <c r="AG112" s="76">
        <v>1E-3</v>
      </c>
      <c r="AH112"/>
      <c r="AI112"/>
      <c r="AJ112"/>
      <c r="AK112"/>
      <c r="AL112"/>
      <c r="AM112"/>
      <c r="AN112" s="76">
        <v>113416</v>
      </c>
      <c r="AO112" s="76" t="s">
        <v>1192</v>
      </c>
      <c r="AP112" s="76">
        <v>5.0000000000000001E-4</v>
      </c>
      <c r="AQ112"/>
      <c r="AR112"/>
      <c r="AS112"/>
      <c r="AT112"/>
      <c r="AU112"/>
      <c r="AV112"/>
      <c r="AW112" s="76">
        <v>113415</v>
      </c>
      <c r="AX112" s="76" t="s">
        <v>1174</v>
      </c>
      <c r="AY112" s="76">
        <v>1E-3</v>
      </c>
      <c r="AZ112"/>
      <c r="BA112"/>
      <c r="BB112"/>
    </row>
    <row r="113" spans="1:54" s="76" customFormat="1">
      <c r="A113" s="1">
        <v>131414</v>
      </c>
      <c r="B113" s="76" t="s">
        <v>1145</v>
      </c>
      <c r="C113" s="1">
        <v>0</v>
      </c>
      <c r="D113" s="1">
        <v>131414</v>
      </c>
      <c r="E113" s="76" t="s">
        <v>1145</v>
      </c>
      <c r="F113" s="1">
        <v>2.5000000000000001E-3</v>
      </c>
      <c r="G113" s="1">
        <v>131414</v>
      </c>
      <c r="H113" s="76" t="s">
        <v>1145</v>
      </c>
      <c r="I113" s="1">
        <v>8.0000000000000002E-3</v>
      </c>
      <c r="J113"/>
      <c r="K113"/>
      <c r="L113"/>
      <c r="M113" s="76">
        <v>133416</v>
      </c>
      <c r="N113" s="76" t="s">
        <v>1193</v>
      </c>
      <c r="O113" s="76">
        <v>5.0000000000000001E-4</v>
      </c>
      <c r="P113"/>
      <c r="Q113"/>
      <c r="R113"/>
      <c r="S113"/>
      <c r="T113"/>
      <c r="U113"/>
      <c r="V113" s="76">
        <v>133416</v>
      </c>
      <c r="W113" s="76" t="s">
        <v>1193</v>
      </c>
      <c r="X113" s="76">
        <v>1E-3</v>
      </c>
      <c r="Y113"/>
      <c r="Z113"/>
      <c r="AA113"/>
      <c r="AB113"/>
      <c r="AC113"/>
      <c r="AD113"/>
      <c r="AE113" s="76">
        <v>133415</v>
      </c>
      <c r="AF113" s="76" t="s">
        <v>1175</v>
      </c>
      <c r="AG113" s="76">
        <v>1E-3</v>
      </c>
      <c r="AH113"/>
      <c r="AI113"/>
      <c r="AJ113"/>
      <c r="AK113"/>
      <c r="AL113"/>
      <c r="AM113"/>
      <c r="AN113" s="76">
        <v>133416</v>
      </c>
      <c r="AO113" s="76" t="s">
        <v>1193</v>
      </c>
      <c r="AP113" s="76">
        <v>5.0000000000000001E-4</v>
      </c>
      <c r="AQ113"/>
      <c r="AR113"/>
      <c r="AS113"/>
      <c r="AT113"/>
      <c r="AU113"/>
      <c r="AV113"/>
      <c r="AW113" s="76">
        <v>133415</v>
      </c>
      <c r="AX113" s="76" t="s">
        <v>1175</v>
      </c>
      <c r="AY113" s="76">
        <v>1E-3</v>
      </c>
      <c r="AZ113"/>
      <c r="BA113"/>
      <c r="BB113"/>
    </row>
    <row r="114" spans="1:54" s="76" customFormat="1">
      <c r="A114" s="1">
        <v>141414</v>
      </c>
      <c r="B114" s="76" t="s">
        <v>1146</v>
      </c>
      <c r="C114" s="1">
        <v>0</v>
      </c>
      <c r="D114" s="1">
        <v>141414</v>
      </c>
      <c r="E114" s="76" t="s">
        <v>1146</v>
      </c>
      <c r="F114" s="1">
        <v>2.5000000000000001E-3</v>
      </c>
      <c r="G114" s="1">
        <v>141414</v>
      </c>
      <c r="H114" s="76" t="s">
        <v>1146</v>
      </c>
      <c r="I114" s="1">
        <v>8.0000000000000002E-3</v>
      </c>
      <c r="J114"/>
      <c r="K114"/>
      <c r="L114"/>
      <c r="M114" s="76">
        <v>143416</v>
      </c>
      <c r="N114" s="76" t="s">
        <v>1194</v>
      </c>
      <c r="O114" s="76">
        <v>5.0000000000000001E-4</v>
      </c>
      <c r="P114"/>
      <c r="Q114"/>
      <c r="R114"/>
      <c r="S114"/>
      <c r="T114"/>
      <c r="U114"/>
      <c r="V114" s="76">
        <v>143416</v>
      </c>
      <c r="W114" s="76" t="s">
        <v>1194</v>
      </c>
      <c r="X114" s="76">
        <v>1E-3</v>
      </c>
      <c r="Y114"/>
      <c r="Z114"/>
      <c r="AA114"/>
      <c r="AB114"/>
      <c r="AC114"/>
      <c r="AD114"/>
      <c r="AE114" s="76">
        <v>143415</v>
      </c>
      <c r="AF114" s="76" t="s">
        <v>1176</v>
      </c>
      <c r="AG114" s="76">
        <v>1E-3</v>
      </c>
      <c r="AH114"/>
      <c r="AI114"/>
      <c r="AJ114"/>
      <c r="AK114"/>
      <c r="AL114"/>
      <c r="AM114"/>
      <c r="AN114" s="76">
        <v>143416</v>
      </c>
      <c r="AO114" s="76" t="s">
        <v>1194</v>
      </c>
      <c r="AP114" s="76">
        <v>5.0000000000000001E-4</v>
      </c>
      <c r="AQ114"/>
      <c r="AR114"/>
      <c r="AS114"/>
      <c r="AT114"/>
      <c r="AU114"/>
      <c r="AV114"/>
      <c r="AW114" s="76">
        <v>143415</v>
      </c>
      <c r="AX114" s="76" t="s">
        <v>1176</v>
      </c>
      <c r="AY114" s="76">
        <v>1E-3</v>
      </c>
      <c r="AZ114"/>
      <c r="BA114"/>
      <c r="BB114"/>
    </row>
    <row r="115" spans="1:54" s="76" customFormat="1">
      <c r="A115" s="1">
        <v>161414</v>
      </c>
      <c r="B115" s="76" t="s">
        <v>1147</v>
      </c>
      <c r="C115" s="1">
        <v>0</v>
      </c>
      <c r="D115" s="1">
        <v>161414</v>
      </c>
      <c r="E115" s="76" t="s">
        <v>1147</v>
      </c>
      <c r="F115" s="1">
        <v>2.5000000000000001E-3</v>
      </c>
      <c r="G115" s="1">
        <v>161414</v>
      </c>
      <c r="H115" s="76" t="s">
        <v>1147</v>
      </c>
      <c r="I115" s="1">
        <v>8.0000000000000002E-3</v>
      </c>
      <c r="J115"/>
      <c r="K115"/>
      <c r="L115"/>
      <c r="M115" s="76">
        <v>163416</v>
      </c>
      <c r="N115" s="76" t="s">
        <v>1195</v>
      </c>
      <c r="O115" s="76">
        <v>5.0000000000000001E-4</v>
      </c>
      <c r="P115"/>
      <c r="Q115"/>
      <c r="R115"/>
      <c r="S115"/>
      <c r="T115"/>
      <c r="U115"/>
      <c r="V115" s="76">
        <v>163416</v>
      </c>
      <c r="W115" s="76" t="s">
        <v>1195</v>
      </c>
      <c r="X115" s="76">
        <v>1E-3</v>
      </c>
      <c r="Y115"/>
      <c r="Z115"/>
      <c r="AA115"/>
      <c r="AB115"/>
      <c r="AC115"/>
      <c r="AD115"/>
      <c r="AE115" s="76">
        <v>163415</v>
      </c>
      <c r="AF115" s="76" t="s">
        <v>1177</v>
      </c>
      <c r="AG115" s="76">
        <v>1E-3</v>
      </c>
      <c r="AH115"/>
      <c r="AI115"/>
      <c r="AJ115"/>
      <c r="AK115"/>
      <c r="AL115"/>
      <c r="AM115"/>
      <c r="AN115" s="76">
        <v>163416</v>
      </c>
      <c r="AO115" s="76" t="s">
        <v>1195</v>
      </c>
      <c r="AP115" s="76">
        <v>5.0000000000000001E-4</v>
      </c>
      <c r="AQ115"/>
      <c r="AR115"/>
      <c r="AS115"/>
      <c r="AT115"/>
      <c r="AU115"/>
      <c r="AV115"/>
      <c r="AW115" s="76">
        <v>163415</v>
      </c>
      <c r="AX115" s="76" t="s">
        <v>1177</v>
      </c>
      <c r="AY115" s="76">
        <v>1E-3</v>
      </c>
      <c r="AZ115"/>
      <c r="BA115"/>
      <c r="BB115"/>
    </row>
    <row r="116" spans="1:54" s="76" customFormat="1">
      <c r="A116" s="1">
        <v>151414</v>
      </c>
      <c r="B116" s="76" t="s">
        <v>1148</v>
      </c>
      <c r="C116" s="1">
        <v>0</v>
      </c>
      <c r="D116" s="1">
        <v>151414</v>
      </c>
      <c r="E116" s="76" t="s">
        <v>1148</v>
      </c>
      <c r="F116" s="1">
        <v>2.5000000000000001E-3</v>
      </c>
      <c r="G116" s="1">
        <v>151414</v>
      </c>
      <c r="H116" s="76" t="s">
        <v>1148</v>
      </c>
      <c r="I116" s="1">
        <v>8.0000000000000002E-3</v>
      </c>
      <c r="J116"/>
      <c r="K116"/>
      <c r="L116"/>
      <c r="M116" s="76">
        <v>153416</v>
      </c>
      <c r="N116" s="76" t="s">
        <v>1196</v>
      </c>
      <c r="O116" s="76">
        <v>5.0000000000000001E-4</v>
      </c>
      <c r="P116"/>
      <c r="Q116"/>
      <c r="R116"/>
      <c r="S116"/>
      <c r="T116"/>
      <c r="U116"/>
      <c r="V116" s="76">
        <v>153416</v>
      </c>
      <c r="W116" s="76" t="s">
        <v>1196</v>
      </c>
      <c r="X116" s="76">
        <v>1E-3</v>
      </c>
      <c r="Y116"/>
      <c r="Z116"/>
      <c r="AA116"/>
      <c r="AB116"/>
      <c r="AC116"/>
      <c r="AD116"/>
      <c r="AE116" s="76">
        <v>153415</v>
      </c>
      <c r="AF116" s="76" t="s">
        <v>1178</v>
      </c>
      <c r="AG116" s="76">
        <v>1E-3</v>
      </c>
      <c r="AH116"/>
      <c r="AI116"/>
      <c r="AJ116"/>
      <c r="AK116"/>
      <c r="AL116"/>
      <c r="AM116"/>
      <c r="AN116" s="76">
        <v>153416</v>
      </c>
      <c r="AO116" s="76" t="s">
        <v>1196</v>
      </c>
      <c r="AP116" s="76">
        <v>5.0000000000000001E-4</v>
      </c>
      <c r="AQ116"/>
      <c r="AR116"/>
      <c r="AS116"/>
      <c r="AT116"/>
      <c r="AU116"/>
      <c r="AV116"/>
      <c r="AW116" s="76">
        <v>153415</v>
      </c>
      <c r="AX116" s="76" t="s">
        <v>1178</v>
      </c>
      <c r="AY116" s="76">
        <v>1E-3</v>
      </c>
      <c r="AZ116"/>
      <c r="BA116"/>
      <c r="BB116"/>
    </row>
    <row r="117" spans="1:54" s="76" customFormat="1">
      <c r="A117" s="1">
        <v>171414</v>
      </c>
      <c r="B117" s="76" t="s">
        <v>1149</v>
      </c>
      <c r="C117" s="1">
        <v>0</v>
      </c>
      <c r="D117" s="1">
        <v>171414</v>
      </c>
      <c r="E117" s="76" t="s">
        <v>1149</v>
      </c>
      <c r="F117" s="1">
        <v>2.5000000000000001E-3</v>
      </c>
      <c r="G117" s="1">
        <v>171414</v>
      </c>
      <c r="H117" s="76" t="s">
        <v>1149</v>
      </c>
      <c r="I117" s="1">
        <v>8.0000000000000002E-3</v>
      </c>
      <c r="J117"/>
      <c r="K117"/>
      <c r="L117"/>
      <c r="M117" s="76">
        <v>173416</v>
      </c>
      <c r="N117" s="76" t="s">
        <v>1197</v>
      </c>
      <c r="O117" s="76">
        <v>5.0000000000000001E-4</v>
      </c>
      <c r="P117"/>
      <c r="Q117"/>
      <c r="R117"/>
      <c r="S117"/>
      <c r="T117"/>
      <c r="U117"/>
      <c r="V117" s="76">
        <v>173416</v>
      </c>
      <c r="W117" s="76" t="s">
        <v>1197</v>
      </c>
      <c r="X117" s="76">
        <v>1E-3</v>
      </c>
      <c r="Y117"/>
      <c r="Z117"/>
      <c r="AA117"/>
      <c r="AB117"/>
      <c r="AC117"/>
      <c r="AD117"/>
      <c r="AE117" s="76">
        <v>173415</v>
      </c>
      <c r="AF117" s="76" t="s">
        <v>1179</v>
      </c>
      <c r="AG117" s="76">
        <v>1E-3</v>
      </c>
      <c r="AH117"/>
      <c r="AI117"/>
      <c r="AJ117"/>
      <c r="AK117"/>
      <c r="AL117"/>
      <c r="AM117"/>
      <c r="AN117" s="76">
        <v>173416</v>
      </c>
      <c r="AO117" s="76" t="s">
        <v>1197</v>
      </c>
      <c r="AP117" s="76">
        <v>5.0000000000000001E-4</v>
      </c>
      <c r="AQ117"/>
      <c r="AR117"/>
      <c r="AS117"/>
      <c r="AT117"/>
      <c r="AU117"/>
      <c r="AV117"/>
      <c r="AW117" s="76">
        <v>173415</v>
      </c>
      <c r="AX117" s="76" t="s">
        <v>1179</v>
      </c>
      <c r="AY117" s="76">
        <v>1E-3</v>
      </c>
      <c r="AZ117"/>
      <c r="BA117"/>
      <c r="BB117"/>
    </row>
    <row r="118" spans="1:54" s="76" customFormat="1">
      <c r="A118" s="1">
        <v>112414</v>
      </c>
      <c r="B118" s="76" t="s">
        <v>1150</v>
      </c>
      <c r="C118" s="1">
        <v>0</v>
      </c>
      <c r="D118" s="1">
        <v>112414</v>
      </c>
      <c r="E118" s="76" t="s">
        <v>1150</v>
      </c>
      <c r="F118" s="1">
        <v>2.5000000000000001E-3</v>
      </c>
      <c r="G118" s="1">
        <v>112414</v>
      </c>
      <c r="H118" s="76" t="s">
        <v>1150</v>
      </c>
      <c r="I118" s="1">
        <v>8.0000000000000002E-3</v>
      </c>
      <c r="J118"/>
      <c r="K118"/>
      <c r="L118"/>
      <c r="M118" s="76">
        <v>111417</v>
      </c>
      <c r="N118" s="76" t="s">
        <v>1198</v>
      </c>
      <c r="O118" s="76">
        <v>5.0000000000000001E-4</v>
      </c>
      <c r="P118"/>
      <c r="Q118"/>
      <c r="R118"/>
      <c r="S118"/>
      <c r="T118"/>
      <c r="U118"/>
      <c r="V118" s="76">
        <v>111417</v>
      </c>
      <c r="W118" s="76" t="s">
        <v>1198</v>
      </c>
      <c r="X118" s="76">
        <v>5.0000000000000001E-4</v>
      </c>
      <c r="Y118"/>
      <c r="Z118"/>
      <c r="AA118"/>
      <c r="AB118"/>
      <c r="AC118"/>
      <c r="AD118"/>
      <c r="AE118" s="76">
        <v>111416</v>
      </c>
      <c r="AF118" s="76" t="s">
        <v>1180</v>
      </c>
      <c r="AG118" s="76">
        <v>5.0000000000000001E-4</v>
      </c>
      <c r="AH118"/>
      <c r="AI118"/>
      <c r="AJ118"/>
      <c r="AK118"/>
      <c r="AL118"/>
      <c r="AM118"/>
      <c r="AN118" s="76">
        <v>111417</v>
      </c>
      <c r="AO118" s="76" t="s">
        <v>1198</v>
      </c>
      <c r="AP118" s="76">
        <v>5.0000000000000001E-4</v>
      </c>
      <c r="AQ118"/>
      <c r="AR118"/>
      <c r="AS118"/>
      <c r="AT118"/>
      <c r="AU118"/>
      <c r="AV118"/>
      <c r="AW118" s="76">
        <v>111416</v>
      </c>
      <c r="AX118" s="76" t="s">
        <v>1180</v>
      </c>
      <c r="AY118" s="76">
        <v>5.0000000000000001E-4</v>
      </c>
      <c r="AZ118"/>
      <c r="BA118"/>
      <c r="BB118"/>
    </row>
    <row r="119" spans="1:54" s="76" customFormat="1">
      <c r="A119" s="1">
        <v>132414</v>
      </c>
      <c r="B119" s="76" t="s">
        <v>1151</v>
      </c>
      <c r="C119" s="1">
        <v>0</v>
      </c>
      <c r="D119" s="1">
        <v>132414</v>
      </c>
      <c r="E119" s="76" t="s">
        <v>1151</v>
      </c>
      <c r="F119" s="1">
        <v>2.5000000000000001E-3</v>
      </c>
      <c r="G119" s="1">
        <v>132414</v>
      </c>
      <c r="H119" s="76" t="s">
        <v>1151</v>
      </c>
      <c r="I119" s="1">
        <v>8.0000000000000002E-3</v>
      </c>
      <c r="J119"/>
      <c r="K119"/>
      <c r="L119"/>
      <c r="M119" s="76">
        <v>131417</v>
      </c>
      <c r="N119" s="76" t="s">
        <v>1199</v>
      </c>
      <c r="O119" s="76">
        <v>5.0000000000000001E-4</v>
      </c>
      <c r="P119"/>
      <c r="Q119"/>
      <c r="R119"/>
      <c r="S119"/>
      <c r="T119"/>
      <c r="U119"/>
      <c r="V119" s="76">
        <v>131417</v>
      </c>
      <c r="W119" s="76" t="s">
        <v>1199</v>
      </c>
      <c r="X119" s="76">
        <v>5.0000000000000001E-4</v>
      </c>
      <c r="Y119"/>
      <c r="Z119"/>
      <c r="AA119"/>
      <c r="AB119"/>
      <c r="AC119"/>
      <c r="AD119"/>
      <c r="AE119" s="76">
        <v>131416</v>
      </c>
      <c r="AF119" s="76" t="s">
        <v>1181</v>
      </c>
      <c r="AG119" s="76">
        <v>5.0000000000000001E-4</v>
      </c>
      <c r="AH119"/>
      <c r="AI119"/>
      <c r="AJ119"/>
      <c r="AK119"/>
      <c r="AL119"/>
      <c r="AM119"/>
      <c r="AN119" s="76">
        <v>131417</v>
      </c>
      <c r="AO119" s="76" t="s">
        <v>1199</v>
      </c>
      <c r="AP119" s="76">
        <v>5.0000000000000001E-4</v>
      </c>
      <c r="AQ119"/>
      <c r="AR119"/>
      <c r="AS119"/>
      <c r="AT119"/>
      <c r="AU119"/>
      <c r="AV119"/>
      <c r="AW119" s="76">
        <v>131416</v>
      </c>
      <c r="AX119" s="76" t="s">
        <v>1181</v>
      </c>
      <c r="AY119" s="76">
        <v>5.0000000000000001E-4</v>
      </c>
      <c r="AZ119"/>
      <c r="BA119"/>
      <c r="BB119"/>
    </row>
    <row r="120" spans="1:54" s="76" customFormat="1">
      <c r="A120" s="1">
        <v>142414</v>
      </c>
      <c r="B120" s="76" t="s">
        <v>1152</v>
      </c>
      <c r="C120" s="1">
        <v>0</v>
      </c>
      <c r="D120" s="1">
        <v>142414</v>
      </c>
      <c r="E120" s="76" t="s">
        <v>1152</v>
      </c>
      <c r="F120" s="1">
        <v>2.5000000000000001E-3</v>
      </c>
      <c r="G120" s="1">
        <v>142414</v>
      </c>
      <c r="H120" s="76" t="s">
        <v>1152</v>
      </c>
      <c r="I120" s="1">
        <v>8.0000000000000002E-3</v>
      </c>
      <c r="J120"/>
      <c r="K120"/>
      <c r="L120"/>
      <c r="M120" s="76">
        <v>141417</v>
      </c>
      <c r="N120" s="76" t="s">
        <v>1200</v>
      </c>
      <c r="O120" s="76">
        <v>5.0000000000000001E-4</v>
      </c>
      <c r="P120"/>
      <c r="Q120"/>
      <c r="R120"/>
      <c r="S120"/>
      <c r="T120"/>
      <c r="U120"/>
      <c r="V120" s="76">
        <v>141417</v>
      </c>
      <c r="W120" s="76" t="s">
        <v>1200</v>
      </c>
      <c r="X120" s="76">
        <v>5.0000000000000001E-4</v>
      </c>
      <c r="Y120"/>
      <c r="Z120"/>
      <c r="AA120"/>
      <c r="AB120"/>
      <c r="AC120"/>
      <c r="AD120"/>
      <c r="AE120" s="76">
        <v>141416</v>
      </c>
      <c r="AF120" s="76" t="s">
        <v>1182</v>
      </c>
      <c r="AG120" s="76">
        <v>5.0000000000000001E-4</v>
      </c>
      <c r="AH120"/>
      <c r="AI120"/>
      <c r="AJ120"/>
      <c r="AK120"/>
      <c r="AL120"/>
      <c r="AM120"/>
      <c r="AN120" s="76">
        <v>141417</v>
      </c>
      <c r="AO120" s="76" t="s">
        <v>1200</v>
      </c>
      <c r="AP120" s="76">
        <v>5.0000000000000001E-4</v>
      </c>
      <c r="AQ120"/>
      <c r="AR120"/>
      <c r="AS120"/>
      <c r="AT120"/>
      <c r="AU120"/>
      <c r="AV120"/>
      <c r="AW120" s="76">
        <v>141416</v>
      </c>
      <c r="AX120" s="76" t="s">
        <v>1182</v>
      </c>
      <c r="AY120" s="76">
        <v>5.0000000000000001E-4</v>
      </c>
      <c r="AZ120"/>
      <c r="BA120"/>
      <c r="BB120"/>
    </row>
    <row r="121" spans="1:54" s="76" customFormat="1">
      <c r="A121" s="1">
        <v>162414</v>
      </c>
      <c r="B121" s="76" t="s">
        <v>1153</v>
      </c>
      <c r="C121" s="1">
        <v>0</v>
      </c>
      <c r="D121" s="1">
        <v>162414</v>
      </c>
      <c r="E121" s="76" t="s">
        <v>1153</v>
      </c>
      <c r="F121" s="1">
        <v>2.5000000000000001E-3</v>
      </c>
      <c r="G121" s="1">
        <v>162414</v>
      </c>
      <c r="H121" s="76" t="s">
        <v>1153</v>
      </c>
      <c r="I121" s="1">
        <v>8.0000000000000002E-3</v>
      </c>
      <c r="J121"/>
      <c r="K121"/>
      <c r="L121"/>
      <c r="M121" s="76">
        <v>161417</v>
      </c>
      <c r="N121" s="76" t="s">
        <v>1201</v>
      </c>
      <c r="O121" s="76">
        <v>5.0000000000000001E-4</v>
      </c>
      <c r="P121"/>
      <c r="Q121"/>
      <c r="R121"/>
      <c r="S121"/>
      <c r="T121"/>
      <c r="U121"/>
      <c r="V121" s="76">
        <v>161417</v>
      </c>
      <c r="W121" s="76" t="s">
        <v>1201</v>
      </c>
      <c r="X121" s="76">
        <v>5.0000000000000001E-4</v>
      </c>
      <c r="Y121"/>
      <c r="Z121"/>
      <c r="AA121"/>
      <c r="AB121"/>
      <c r="AC121"/>
      <c r="AD121"/>
      <c r="AE121" s="76">
        <v>161416</v>
      </c>
      <c r="AF121" s="76" t="s">
        <v>1183</v>
      </c>
      <c r="AG121" s="76">
        <v>5.0000000000000001E-4</v>
      </c>
      <c r="AH121"/>
      <c r="AI121"/>
      <c r="AJ121"/>
      <c r="AK121"/>
      <c r="AL121"/>
      <c r="AM121"/>
      <c r="AN121" s="76">
        <v>161417</v>
      </c>
      <c r="AO121" s="76" t="s">
        <v>1201</v>
      </c>
      <c r="AP121" s="76">
        <v>5.0000000000000001E-4</v>
      </c>
      <c r="AQ121"/>
      <c r="AR121"/>
      <c r="AS121"/>
      <c r="AT121"/>
      <c r="AU121"/>
      <c r="AV121"/>
      <c r="AW121" s="76">
        <v>161416</v>
      </c>
      <c r="AX121" s="76" t="s">
        <v>1183</v>
      </c>
      <c r="AY121" s="76">
        <v>5.0000000000000001E-4</v>
      </c>
      <c r="AZ121"/>
      <c r="BA121"/>
      <c r="BB121"/>
    </row>
    <row r="122" spans="1:54" s="76" customFormat="1">
      <c r="A122" s="1">
        <v>152414</v>
      </c>
      <c r="B122" s="76" t="s">
        <v>1154</v>
      </c>
      <c r="C122" s="1">
        <v>0</v>
      </c>
      <c r="D122" s="1">
        <v>152414</v>
      </c>
      <c r="E122" s="76" t="s">
        <v>1154</v>
      </c>
      <c r="F122" s="1">
        <v>2.5000000000000001E-3</v>
      </c>
      <c r="G122" s="1">
        <v>152414</v>
      </c>
      <c r="H122" s="76" t="s">
        <v>1154</v>
      </c>
      <c r="I122" s="1">
        <v>8.0000000000000002E-3</v>
      </c>
      <c r="J122"/>
      <c r="K122"/>
      <c r="L122"/>
      <c r="M122" s="76">
        <v>151417</v>
      </c>
      <c r="N122" s="76" t="s">
        <v>1202</v>
      </c>
      <c r="O122" s="76">
        <v>5.0000000000000001E-4</v>
      </c>
      <c r="P122"/>
      <c r="Q122"/>
      <c r="R122"/>
      <c r="S122"/>
      <c r="T122"/>
      <c r="U122"/>
      <c r="V122" s="76">
        <v>151417</v>
      </c>
      <c r="W122" s="76" t="s">
        <v>1202</v>
      </c>
      <c r="X122" s="76">
        <v>5.0000000000000001E-4</v>
      </c>
      <c r="Y122"/>
      <c r="Z122"/>
      <c r="AA122"/>
      <c r="AB122"/>
      <c r="AC122"/>
      <c r="AD122"/>
      <c r="AE122" s="76">
        <v>151416</v>
      </c>
      <c r="AF122" s="76" t="s">
        <v>1184</v>
      </c>
      <c r="AG122" s="76">
        <v>5.0000000000000001E-4</v>
      </c>
      <c r="AH122"/>
      <c r="AI122"/>
      <c r="AJ122"/>
      <c r="AK122"/>
      <c r="AL122"/>
      <c r="AM122"/>
      <c r="AN122" s="76">
        <v>151417</v>
      </c>
      <c r="AO122" s="76" t="s">
        <v>1202</v>
      </c>
      <c r="AP122" s="76">
        <v>5.0000000000000001E-4</v>
      </c>
      <c r="AQ122"/>
      <c r="AR122"/>
      <c r="AS122"/>
      <c r="AT122"/>
      <c r="AU122"/>
      <c r="AV122"/>
      <c r="AW122" s="76">
        <v>151416</v>
      </c>
      <c r="AX122" s="76" t="s">
        <v>1184</v>
      </c>
      <c r="AY122" s="76">
        <v>5.0000000000000001E-4</v>
      </c>
      <c r="AZ122"/>
      <c r="BA122"/>
      <c r="BB122"/>
    </row>
    <row r="123" spans="1:54" s="76" customFormat="1">
      <c r="A123" s="1">
        <v>172414</v>
      </c>
      <c r="B123" s="76" t="s">
        <v>1155</v>
      </c>
      <c r="C123" s="1">
        <v>0</v>
      </c>
      <c r="D123" s="1">
        <v>172414</v>
      </c>
      <c r="E123" s="76" t="s">
        <v>1155</v>
      </c>
      <c r="F123" s="1">
        <v>2.5000000000000001E-3</v>
      </c>
      <c r="G123" s="1">
        <v>172414</v>
      </c>
      <c r="H123" s="76" t="s">
        <v>1155</v>
      </c>
      <c r="I123" s="1">
        <v>8.0000000000000002E-3</v>
      </c>
      <c r="J123"/>
      <c r="K123"/>
      <c r="L123"/>
      <c r="M123" s="76">
        <v>171417</v>
      </c>
      <c r="N123" s="76" t="s">
        <v>1203</v>
      </c>
      <c r="O123" s="76">
        <v>5.0000000000000001E-4</v>
      </c>
      <c r="P123"/>
      <c r="Q123"/>
      <c r="R123"/>
      <c r="S123"/>
      <c r="T123"/>
      <c r="U123"/>
      <c r="V123" s="76">
        <v>171417</v>
      </c>
      <c r="W123" s="76" t="s">
        <v>1203</v>
      </c>
      <c r="X123" s="76">
        <v>5.0000000000000001E-4</v>
      </c>
      <c r="Y123"/>
      <c r="Z123"/>
      <c r="AA123"/>
      <c r="AB123"/>
      <c r="AC123"/>
      <c r="AD123"/>
      <c r="AE123" s="76">
        <v>171416</v>
      </c>
      <c r="AF123" s="76" t="s">
        <v>1185</v>
      </c>
      <c r="AG123" s="76">
        <v>5.0000000000000001E-4</v>
      </c>
      <c r="AH123"/>
      <c r="AI123"/>
      <c r="AJ123"/>
      <c r="AK123"/>
      <c r="AL123"/>
      <c r="AM123"/>
      <c r="AN123" s="76">
        <v>171417</v>
      </c>
      <c r="AO123" s="76" t="s">
        <v>1203</v>
      </c>
      <c r="AP123" s="76">
        <v>5.0000000000000001E-4</v>
      </c>
      <c r="AQ123"/>
      <c r="AR123"/>
      <c r="AS123"/>
      <c r="AT123"/>
      <c r="AU123"/>
      <c r="AV123"/>
      <c r="AW123" s="76">
        <v>171416</v>
      </c>
      <c r="AX123" s="76" t="s">
        <v>1185</v>
      </c>
      <c r="AY123" s="76">
        <v>5.0000000000000001E-4</v>
      </c>
      <c r="AZ123"/>
      <c r="BA123"/>
      <c r="BB123"/>
    </row>
    <row r="124" spans="1:54" s="76" customFormat="1">
      <c r="A124" s="1">
        <v>113414</v>
      </c>
      <c r="B124" s="76" t="s">
        <v>1156</v>
      </c>
      <c r="C124" s="1">
        <v>0</v>
      </c>
      <c r="D124" s="1">
        <v>113414</v>
      </c>
      <c r="E124" s="76" t="s">
        <v>1156</v>
      </c>
      <c r="F124" s="1">
        <v>2.5000000000000001E-3</v>
      </c>
      <c r="G124" s="1">
        <v>113414</v>
      </c>
      <c r="H124" s="76" t="s">
        <v>1156</v>
      </c>
      <c r="I124" s="1">
        <v>8.0000000000000002E-3</v>
      </c>
      <c r="J124"/>
      <c r="K124"/>
      <c r="L124"/>
      <c r="M124" s="76">
        <v>112417</v>
      </c>
      <c r="N124" s="76" t="s">
        <v>1204</v>
      </c>
      <c r="O124" s="76">
        <v>5.0000000000000001E-4</v>
      </c>
      <c r="P124"/>
      <c r="Q124"/>
      <c r="R124"/>
      <c r="S124"/>
      <c r="T124"/>
      <c r="U124"/>
      <c r="V124" s="76">
        <v>112417</v>
      </c>
      <c r="W124" s="76" t="s">
        <v>1204</v>
      </c>
      <c r="X124" s="76">
        <v>5.0000000000000001E-4</v>
      </c>
      <c r="Y124"/>
      <c r="Z124"/>
      <c r="AA124"/>
      <c r="AB124"/>
      <c r="AC124"/>
      <c r="AD124"/>
      <c r="AE124" s="76">
        <v>112416</v>
      </c>
      <c r="AF124" s="76" t="s">
        <v>1186</v>
      </c>
      <c r="AG124" s="76">
        <v>5.0000000000000001E-4</v>
      </c>
      <c r="AH124"/>
      <c r="AI124"/>
      <c r="AJ124"/>
      <c r="AK124"/>
      <c r="AL124"/>
      <c r="AM124"/>
      <c r="AN124" s="76">
        <v>112417</v>
      </c>
      <c r="AO124" s="76" t="s">
        <v>1204</v>
      </c>
      <c r="AP124" s="76">
        <v>5.0000000000000001E-4</v>
      </c>
      <c r="AQ124"/>
      <c r="AR124"/>
      <c r="AS124"/>
      <c r="AT124"/>
      <c r="AU124"/>
      <c r="AV124"/>
      <c r="AW124" s="76">
        <v>112416</v>
      </c>
      <c r="AX124" s="76" t="s">
        <v>1186</v>
      </c>
      <c r="AY124" s="76">
        <v>5.0000000000000001E-4</v>
      </c>
      <c r="AZ124"/>
      <c r="BA124"/>
      <c r="BB124"/>
    </row>
    <row r="125" spans="1:54" s="76" customFormat="1">
      <c r="A125" s="1">
        <v>133414</v>
      </c>
      <c r="B125" s="76" t="s">
        <v>1157</v>
      </c>
      <c r="C125" s="1">
        <v>0</v>
      </c>
      <c r="D125" s="1">
        <v>133414</v>
      </c>
      <c r="E125" s="76" t="s">
        <v>1157</v>
      </c>
      <c r="F125" s="1">
        <v>2.5000000000000001E-3</v>
      </c>
      <c r="G125" s="1">
        <v>133414</v>
      </c>
      <c r="H125" s="76" t="s">
        <v>1157</v>
      </c>
      <c r="I125" s="1">
        <v>8.0000000000000002E-3</v>
      </c>
      <c r="J125"/>
      <c r="K125"/>
      <c r="L125"/>
      <c r="M125" s="76">
        <v>132417</v>
      </c>
      <c r="N125" s="76" t="s">
        <v>1205</v>
      </c>
      <c r="O125" s="76">
        <v>5.0000000000000001E-4</v>
      </c>
      <c r="P125"/>
      <c r="Q125"/>
      <c r="R125"/>
      <c r="S125"/>
      <c r="T125"/>
      <c r="U125"/>
      <c r="V125" s="76">
        <v>132417</v>
      </c>
      <c r="W125" s="76" t="s">
        <v>1205</v>
      </c>
      <c r="X125" s="76">
        <v>5.0000000000000001E-4</v>
      </c>
      <c r="Y125"/>
      <c r="Z125"/>
      <c r="AA125"/>
      <c r="AB125"/>
      <c r="AC125"/>
      <c r="AD125"/>
      <c r="AE125" s="76">
        <v>132416</v>
      </c>
      <c r="AF125" s="76" t="s">
        <v>1187</v>
      </c>
      <c r="AG125" s="76">
        <v>5.0000000000000001E-4</v>
      </c>
      <c r="AH125"/>
      <c r="AI125"/>
      <c r="AJ125"/>
      <c r="AK125"/>
      <c r="AL125"/>
      <c r="AM125"/>
      <c r="AN125" s="76">
        <v>132417</v>
      </c>
      <c r="AO125" s="76" t="s">
        <v>1205</v>
      </c>
      <c r="AP125" s="76">
        <v>5.0000000000000001E-4</v>
      </c>
      <c r="AQ125"/>
      <c r="AR125"/>
      <c r="AS125"/>
      <c r="AT125"/>
      <c r="AU125"/>
      <c r="AV125"/>
      <c r="AW125" s="76">
        <v>132416</v>
      </c>
      <c r="AX125" s="76" t="s">
        <v>1187</v>
      </c>
      <c r="AY125" s="76">
        <v>5.0000000000000001E-4</v>
      </c>
      <c r="AZ125"/>
      <c r="BA125"/>
      <c r="BB125"/>
    </row>
    <row r="126" spans="1:54" s="76" customFormat="1">
      <c r="A126" s="1">
        <v>143414</v>
      </c>
      <c r="B126" s="76" t="s">
        <v>1158</v>
      </c>
      <c r="C126" s="1">
        <v>0</v>
      </c>
      <c r="D126" s="1">
        <v>143414</v>
      </c>
      <c r="E126" s="76" t="s">
        <v>1158</v>
      </c>
      <c r="F126" s="1">
        <v>2.5000000000000001E-3</v>
      </c>
      <c r="G126" s="1">
        <v>143414</v>
      </c>
      <c r="H126" s="76" t="s">
        <v>1158</v>
      </c>
      <c r="I126" s="1">
        <v>8.0000000000000002E-3</v>
      </c>
      <c r="J126"/>
      <c r="K126"/>
      <c r="L126"/>
      <c r="M126" s="76">
        <v>142417</v>
      </c>
      <c r="N126" s="76" t="s">
        <v>1206</v>
      </c>
      <c r="O126" s="76">
        <v>5.0000000000000001E-4</v>
      </c>
      <c r="P126"/>
      <c r="Q126"/>
      <c r="R126"/>
      <c r="S126"/>
      <c r="T126"/>
      <c r="U126"/>
      <c r="V126" s="76">
        <v>142417</v>
      </c>
      <c r="W126" s="76" t="s">
        <v>1206</v>
      </c>
      <c r="X126" s="76">
        <v>5.0000000000000001E-4</v>
      </c>
      <c r="Y126"/>
      <c r="Z126"/>
      <c r="AA126"/>
      <c r="AB126"/>
      <c r="AC126"/>
      <c r="AD126"/>
      <c r="AE126" s="76">
        <v>142416</v>
      </c>
      <c r="AF126" s="76" t="s">
        <v>1188</v>
      </c>
      <c r="AG126" s="76">
        <v>5.0000000000000001E-4</v>
      </c>
      <c r="AH126"/>
      <c r="AI126"/>
      <c r="AJ126"/>
      <c r="AK126"/>
      <c r="AL126"/>
      <c r="AM126"/>
      <c r="AN126" s="76">
        <v>142417</v>
      </c>
      <c r="AO126" s="76" t="s">
        <v>1206</v>
      </c>
      <c r="AP126" s="76">
        <v>5.0000000000000001E-4</v>
      </c>
      <c r="AQ126"/>
      <c r="AR126"/>
      <c r="AS126"/>
      <c r="AT126"/>
      <c r="AU126"/>
      <c r="AV126"/>
      <c r="AW126" s="76">
        <v>142416</v>
      </c>
      <c r="AX126" s="76" t="s">
        <v>1188</v>
      </c>
      <c r="AY126" s="76">
        <v>5.0000000000000001E-4</v>
      </c>
      <c r="AZ126"/>
      <c r="BA126"/>
      <c r="BB126"/>
    </row>
    <row r="127" spans="1:54" s="76" customFormat="1">
      <c r="A127" s="1">
        <v>163414</v>
      </c>
      <c r="B127" s="76" t="s">
        <v>1159</v>
      </c>
      <c r="C127" s="1">
        <v>0</v>
      </c>
      <c r="D127" s="1">
        <v>163414</v>
      </c>
      <c r="E127" s="76" t="s">
        <v>1159</v>
      </c>
      <c r="F127" s="1">
        <v>2.5000000000000001E-3</v>
      </c>
      <c r="G127" s="1">
        <v>163414</v>
      </c>
      <c r="H127" s="76" t="s">
        <v>1159</v>
      </c>
      <c r="I127" s="1">
        <v>8.0000000000000002E-3</v>
      </c>
      <c r="J127"/>
      <c r="K127"/>
      <c r="L127"/>
      <c r="M127" s="76">
        <v>162417</v>
      </c>
      <c r="N127" s="76" t="s">
        <v>1207</v>
      </c>
      <c r="O127" s="76">
        <v>5.0000000000000001E-4</v>
      </c>
      <c r="P127"/>
      <c r="Q127"/>
      <c r="R127"/>
      <c r="S127"/>
      <c r="T127"/>
      <c r="U127"/>
      <c r="V127" s="76">
        <v>162417</v>
      </c>
      <c r="W127" s="76" t="s">
        <v>1207</v>
      </c>
      <c r="X127" s="76">
        <v>5.0000000000000001E-4</v>
      </c>
      <c r="Y127"/>
      <c r="Z127"/>
      <c r="AA127"/>
      <c r="AB127"/>
      <c r="AC127"/>
      <c r="AD127"/>
      <c r="AE127" s="76">
        <v>162416</v>
      </c>
      <c r="AF127" s="76" t="s">
        <v>1189</v>
      </c>
      <c r="AG127" s="76">
        <v>5.0000000000000001E-4</v>
      </c>
      <c r="AH127"/>
      <c r="AI127"/>
      <c r="AJ127"/>
      <c r="AK127"/>
      <c r="AL127"/>
      <c r="AM127"/>
      <c r="AN127" s="76">
        <v>162417</v>
      </c>
      <c r="AO127" s="76" t="s">
        <v>1207</v>
      </c>
      <c r="AP127" s="76">
        <v>5.0000000000000001E-4</v>
      </c>
      <c r="AQ127"/>
      <c r="AR127"/>
      <c r="AS127"/>
      <c r="AT127"/>
      <c r="AU127"/>
      <c r="AV127"/>
      <c r="AW127" s="76">
        <v>162416</v>
      </c>
      <c r="AX127" s="76" t="s">
        <v>1189</v>
      </c>
      <c r="AY127" s="76">
        <v>5.0000000000000001E-4</v>
      </c>
      <c r="AZ127"/>
      <c r="BA127"/>
      <c r="BB127"/>
    </row>
    <row r="128" spans="1:54" s="76" customFormat="1">
      <c r="A128" s="1">
        <v>153414</v>
      </c>
      <c r="B128" s="76" t="s">
        <v>1160</v>
      </c>
      <c r="C128" s="1">
        <v>0</v>
      </c>
      <c r="D128" s="1">
        <v>153414</v>
      </c>
      <c r="E128" s="76" t="s">
        <v>1160</v>
      </c>
      <c r="F128" s="1">
        <v>2.5000000000000001E-3</v>
      </c>
      <c r="G128" s="1">
        <v>153414</v>
      </c>
      <c r="H128" s="76" t="s">
        <v>1160</v>
      </c>
      <c r="I128" s="1">
        <v>8.0000000000000002E-3</v>
      </c>
      <c r="J128"/>
      <c r="K128"/>
      <c r="L128"/>
      <c r="M128" s="76">
        <v>152417</v>
      </c>
      <c r="N128" s="76" t="s">
        <v>1208</v>
      </c>
      <c r="O128" s="76">
        <v>5.0000000000000001E-4</v>
      </c>
      <c r="P128"/>
      <c r="Q128"/>
      <c r="R128"/>
      <c r="S128"/>
      <c r="T128"/>
      <c r="U128"/>
      <c r="V128" s="76">
        <v>152417</v>
      </c>
      <c r="W128" s="76" t="s">
        <v>1208</v>
      </c>
      <c r="X128" s="76">
        <v>5.0000000000000001E-4</v>
      </c>
      <c r="Y128"/>
      <c r="Z128"/>
      <c r="AA128"/>
      <c r="AB128"/>
      <c r="AC128"/>
      <c r="AD128"/>
      <c r="AE128" s="76">
        <v>152416</v>
      </c>
      <c r="AF128" s="76" t="s">
        <v>1190</v>
      </c>
      <c r="AG128" s="76">
        <v>5.0000000000000001E-4</v>
      </c>
      <c r="AH128"/>
      <c r="AI128"/>
      <c r="AJ128"/>
      <c r="AK128"/>
      <c r="AL128"/>
      <c r="AM128"/>
      <c r="AN128" s="76">
        <v>152417</v>
      </c>
      <c r="AO128" s="76" t="s">
        <v>1208</v>
      </c>
      <c r="AP128" s="76">
        <v>5.0000000000000001E-4</v>
      </c>
      <c r="AQ128"/>
      <c r="AR128"/>
      <c r="AS128"/>
      <c r="AT128"/>
      <c r="AU128"/>
      <c r="AV128"/>
      <c r="AW128" s="76">
        <v>152416</v>
      </c>
      <c r="AX128" s="76" t="s">
        <v>1190</v>
      </c>
      <c r="AY128" s="76">
        <v>5.0000000000000001E-4</v>
      </c>
      <c r="AZ128"/>
      <c r="BA128"/>
      <c r="BB128"/>
    </row>
    <row r="129" spans="1:54" s="76" customFormat="1">
      <c r="A129" s="1">
        <v>173414</v>
      </c>
      <c r="B129" s="76" t="s">
        <v>1161</v>
      </c>
      <c r="C129" s="1">
        <v>0</v>
      </c>
      <c r="D129" s="1">
        <v>173414</v>
      </c>
      <c r="E129" s="76" t="s">
        <v>1161</v>
      </c>
      <c r="F129" s="1">
        <v>2.5000000000000001E-3</v>
      </c>
      <c r="G129" s="1">
        <v>173414</v>
      </c>
      <c r="H129" s="76" t="s">
        <v>1161</v>
      </c>
      <c r="I129" s="1">
        <v>8.0000000000000002E-3</v>
      </c>
      <c r="J129"/>
      <c r="K129"/>
      <c r="L129"/>
      <c r="M129" s="76">
        <v>172417</v>
      </c>
      <c r="N129" s="76" t="s">
        <v>1209</v>
      </c>
      <c r="O129" s="76">
        <v>5.0000000000000001E-4</v>
      </c>
      <c r="P129"/>
      <c r="Q129"/>
      <c r="R129"/>
      <c r="S129"/>
      <c r="T129"/>
      <c r="U129"/>
      <c r="V129" s="76">
        <v>172417</v>
      </c>
      <c r="W129" s="76" t="s">
        <v>1209</v>
      </c>
      <c r="X129" s="76">
        <v>5.0000000000000001E-4</v>
      </c>
      <c r="Y129"/>
      <c r="Z129"/>
      <c r="AA129"/>
      <c r="AB129"/>
      <c r="AC129"/>
      <c r="AD129"/>
      <c r="AE129" s="76">
        <v>172416</v>
      </c>
      <c r="AF129" s="76" t="s">
        <v>1191</v>
      </c>
      <c r="AG129" s="76">
        <v>5.0000000000000001E-4</v>
      </c>
      <c r="AH129"/>
      <c r="AI129"/>
      <c r="AJ129"/>
      <c r="AK129"/>
      <c r="AL129"/>
      <c r="AM129"/>
      <c r="AN129" s="76">
        <v>172417</v>
      </c>
      <c r="AO129" s="76" t="s">
        <v>1209</v>
      </c>
      <c r="AP129" s="76">
        <v>5.0000000000000001E-4</v>
      </c>
      <c r="AQ129"/>
      <c r="AR129"/>
      <c r="AS129"/>
      <c r="AT129"/>
      <c r="AU129"/>
      <c r="AV129"/>
      <c r="AW129" s="76">
        <v>172416</v>
      </c>
      <c r="AX129" s="76" t="s">
        <v>1191</v>
      </c>
      <c r="AY129" s="76">
        <v>5.0000000000000001E-4</v>
      </c>
      <c r="AZ129"/>
      <c r="BA129"/>
      <c r="BB129"/>
    </row>
    <row r="130" spans="1:54" s="76" customFormat="1">
      <c r="A130" s="1">
        <v>111415</v>
      </c>
      <c r="B130" s="76" t="s">
        <v>1162</v>
      </c>
      <c r="C130" s="1">
        <v>0</v>
      </c>
      <c r="D130" s="1">
        <v>111415</v>
      </c>
      <c r="E130" s="76" t="s">
        <v>1162</v>
      </c>
      <c r="F130" s="1">
        <v>1E-3</v>
      </c>
      <c r="G130" s="1">
        <v>111415</v>
      </c>
      <c r="H130" s="76" t="s">
        <v>1162</v>
      </c>
      <c r="I130" s="1">
        <v>8.0000000000000002E-3</v>
      </c>
      <c r="J130"/>
      <c r="K130"/>
      <c r="L130"/>
      <c r="M130" s="76">
        <v>113417</v>
      </c>
      <c r="N130" s="76" t="s">
        <v>1210</v>
      </c>
      <c r="O130" s="76">
        <v>5.0000000000000001E-4</v>
      </c>
      <c r="P130"/>
      <c r="Q130"/>
      <c r="R130"/>
      <c r="S130"/>
      <c r="T130"/>
      <c r="U130"/>
      <c r="V130" s="76">
        <v>113417</v>
      </c>
      <c r="W130" s="76" t="s">
        <v>1210</v>
      </c>
      <c r="X130" s="76">
        <v>5.0000000000000001E-4</v>
      </c>
      <c r="Y130"/>
      <c r="Z130"/>
      <c r="AA130"/>
      <c r="AB130"/>
      <c r="AC130"/>
      <c r="AD130"/>
      <c r="AE130" s="76">
        <v>113416</v>
      </c>
      <c r="AF130" s="76" t="s">
        <v>1192</v>
      </c>
      <c r="AG130" s="76">
        <v>5.0000000000000001E-4</v>
      </c>
      <c r="AH130"/>
      <c r="AI130"/>
      <c r="AJ130"/>
      <c r="AK130"/>
      <c r="AL130"/>
      <c r="AM130"/>
      <c r="AN130" s="76">
        <v>113417</v>
      </c>
      <c r="AO130" s="76" t="s">
        <v>1210</v>
      </c>
      <c r="AP130" s="76">
        <v>5.0000000000000001E-4</v>
      </c>
      <c r="AQ130"/>
      <c r="AR130"/>
      <c r="AS130"/>
      <c r="AT130"/>
      <c r="AU130"/>
      <c r="AV130"/>
      <c r="AW130" s="76">
        <v>113416</v>
      </c>
      <c r="AX130" s="76" t="s">
        <v>1192</v>
      </c>
      <c r="AY130" s="76">
        <v>5.0000000000000001E-4</v>
      </c>
      <c r="AZ130"/>
      <c r="BA130"/>
      <c r="BB130"/>
    </row>
    <row r="131" spans="1:54" s="76" customFormat="1">
      <c r="A131" s="1">
        <v>131415</v>
      </c>
      <c r="B131" s="76" t="s">
        <v>1163</v>
      </c>
      <c r="C131" s="1">
        <v>0</v>
      </c>
      <c r="D131" s="1">
        <v>131415</v>
      </c>
      <c r="E131" s="76" t="s">
        <v>1163</v>
      </c>
      <c r="F131" s="1">
        <v>1E-3</v>
      </c>
      <c r="G131" s="1">
        <v>131415</v>
      </c>
      <c r="H131" s="76" t="s">
        <v>1163</v>
      </c>
      <c r="I131" s="1">
        <v>8.0000000000000002E-3</v>
      </c>
      <c r="J131"/>
      <c r="K131"/>
      <c r="L131"/>
      <c r="M131" s="76">
        <v>133417</v>
      </c>
      <c r="N131" s="76" t="s">
        <v>1211</v>
      </c>
      <c r="O131" s="76">
        <v>5.0000000000000001E-4</v>
      </c>
      <c r="P131"/>
      <c r="Q131"/>
      <c r="R131"/>
      <c r="S131"/>
      <c r="T131"/>
      <c r="U131"/>
      <c r="V131" s="76">
        <v>133417</v>
      </c>
      <c r="W131" s="76" t="s">
        <v>1211</v>
      </c>
      <c r="X131" s="76">
        <v>5.0000000000000001E-4</v>
      </c>
      <c r="Y131"/>
      <c r="Z131"/>
      <c r="AA131"/>
      <c r="AB131"/>
      <c r="AC131"/>
      <c r="AD131"/>
      <c r="AE131" s="76">
        <v>133416</v>
      </c>
      <c r="AF131" s="76" t="s">
        <v>1193</v>
      </c>
      <c r="AG131" s="76">
        <v>5.0000000000000001E-4</v>
      </c>
      <c r="AH131"/>
      <c r="AI131"/>
      <c r="AJ131"/>
      <c r="AK131"/>
      <c r="AL131"/>
      <c r="AM131"/>
      <c r="AN131" s="76">
        <v>133417</v>
      </c>
      <c r="AO131" s="76" t="s">
        <v>1211</v>
      </c>
      <c r="AP131" s="76">
        <v>5.0000000000000001E-4</v>
      </c>
      <c r="AQ131"/>
      <c r="AR131"/>
      <c r="AS131"/>
      <c r="AT131"/>
      <c r="AU131"/>
      <c r="AV131"/>
      <c r="AW131" s="76">
        <v>133416</v>
      </c>
      <c r="AX131" s="76" t="s">
        <v>1193</v>
      </c>
      <c r="AY131" s="76">
        <v>5.0000000000000001E-4</v>
      </c>
      <c r="AZ131"/>
      <c r="BA131"/>
      <c r="BB131"/>
    </row>
    <row r="132" spans="1:54" s="76" customFormat="1">
      <c r="A132" s="1">
        <v>141415</v>
      </c>
      <c r="B132" s="76" t="s">
        <v>1164</v>
      </c>
      <c r="C132" s="1">
        <v>0</v>
      </c>
      <c r="D132" s="1">
        <v>141415</v>
      </c>
      <c r="E132" s="76" t="s">
        <v>1164</v>
      </c>
      <c r="F132" s="1">
        <v>1E-3</v>
      </c>
      <c r="G132" s="1">
        <v>141415</v>
      </c>
      <c r="H132" s="76" t="s">
        <v>1164</v>
      </c>
      <c r="I132" s="1">
        <v>8.0000000000000002E-3</v>
      </c>
      <c r="J132"/>
      <c r="K132"/>
      <c r="L132"/>
      <c r="M132" s="76">
        <v>143417</v>
      </c>
      <c r="N132" s="76" t="s">
        <v>1212</v>
      </c>
      <c r="O132" s="76">
        <v>5.0000000000000001E-4</v>
      </c>
      <c r="P132"/>
      <c r="Q132"/>
      <c r="R132"/>
      <c r="S132"/>
      <c r="T132"/>
      <c r="U132"/>
      <c r="V132" s="76">
        <v>143417</v>
      </c>
      <c r="W132" s="76" t="s">
        <v>1212</v>
      </c>
      <c r="X132" s="76">
        <v>5.0000000000000001E-4</v>
      </c>
      <c r="Y132"/>
      <c r="Z132"/>
      <c r="AA132"/>
      <c r="AB132"/>
      <c r="AC132"/>
      <c r="AD132"/>
      <c r="AE132" s="76">
        <v>143416</v>
      </c>
      <c r="AF132" s="76" t="s">
        <v>1194</v>
      </c>
      <c r="AG132" s="76">
        <v>5.0000000000000001E-4</v>
      </c>
      <c r="AH132"/>
      <c r="AI132"/>
      <c r="AJ132"/>
      <c r="AK132"/>
      <c r="AL132"/>
      <c r="AM132"/>
      <c r="AN132" s="76">
        <v>143417</v>
      </c>
      <c r="AO132" s="76" t="s">
        <v>1212</v>
      </c>
      <c r="AP132" s="76">
        <v>5.0000000000000001E-4</v>
      </c>
      <c r="AQ132"/>
      <c r="AR132"/>
      <c r="AS132"/>
      <c r="AT132"/>
      <c r="AU132"/>
      <c r="AV132"/>
      <c r="AW132" s="76">
        <v>143416</v>
      </c>
      <c r="AX132" s="76" t="s">
        <v>1194</v>
      </c>
      <c r="AY132" s="76">
        <v>5.0000000000000001E-4</v>
      </c>
      <c r="AZ132"/>
      <c r="BA132"/>
      <c r="BB132"/>
    </row>
    <row r="133" spans="1:54" s="76" customFormat="1">
      <c r="A133" s="1">
        <v>161415</v>
      </c>
      <c r="B133" s="76" t="s">
        <v>1165</v>
      </c>
      <c r="C133" s="1">
        <v>0</v>
      </c>
      <c r="D133" s="1">
        <v>161415</v>
      </c>
      <c r="E133" s="76" t="s">
        <v>1165</v>
      </c>
      <c r="F133" s="1">
        <v>1E-3</v>
      </c>
      <c r="G133" s="1">
        <v>161415</v>
      </c>
      <c r="H133" s="76" t="s">
        <v>1165</v>
      </c>
      <c r="I133" s="1">
        <v>8.0000000000000002E-3</v>
      </c>
      <c r="J133"/>
      <c r="K133"/>
      <c r="L133"/>
      <c r="M133" s="76">
        <v>163417</v>
      </c>
      <c r="N133" s="76" t="s">
        <v>1213</v>
      </c>
      <c r="O133" s="76">
        <v>5.0000000000000001E-4</v>
      </c>
      <c r="P133"/>
      <c r="Q133"/>
      <c r="R133"/>
      <c r="S133"/>
      <c r="T133"/>
      <c r="U133"/>
      <c r="V133" s="76">
        <v>163417</v>
      </c>
      <c r="W133" s="76" t="s">
        <v>1213</v>
      </c>
      <c r="X133" s="76">
        <v>5.0000000000000001E-4</v>
      </c>
      <c r="Y133"/>
      <c r="Z133"/>
      <c r="AA133"/>
      <c r="AB133"/>
      <c r="AC133"/>
      <c r="AD133"/>
      <c r="AE133" s="76">
        <v>163416</v>
      </c>
      <c r="AF133" s="76" t="s">
        <v>1195</v>
      </c>
      <c r="AG133" s="76">
        <v>5.0000000000000001E-4</v>
      </c>
      <c r="AH133"/>
      <c r="AI133"/>
      <c r="AJ133"/>
      <c r="AK133"/>
      <c r="AL133"/>
      <c r="AM133"/>
      <c r="AN133" s="76">
        <v>163417</v>
      </c>
      <c r="AO133" s="76" t="s">
        <v>1213</v>
      </c>
      <c r="AP133" s="76">
        <v>5.0000000000000001E-4</v>
      </c>
      <c r="AQ133"/>
      <c r="AR133"/>
      <c r="AS133"/>
      <c r="AT133"/>
      <c r="AU133"/>
      <c r="AV133"/>
      <c r="AW133" s="76">
        <v>163416</v>
      </c>
      <c r="AX133" s="76" t="s">
        <v>1195</v>
      </c>
      <c r="AY133" s="76">
        <v>5.0000000000000001E-4</v>
      </c>
      <c r="AZ133"/>
      <c r="BA133"/>
      <c r="BB133"/>
    </row>
    <row r="134" spans="1:54" s="76" customFormat="1">
      <c r="A134" s="1">
        <v>151415</v>
      </c>
      <c r="B134" s="76" t="s">
        <v>1166</v>
      </c>
      <c r="C134" s="1">
        <v>0</v>
      </c>
      <c r="D134" s="1">
        <v>151415</v>
      </c>
      <c r="E134" s="76" t="s">
        <v>1166</v>
      </c>
      <c r="F134" s="1">
        <v>1E-3</v>
      </c>
      <c r="G134" s="1">
        <v>151415</v>
      </c>
      <c r="H134" s="76" t="s">
        <v>1166</v>
      </c>
      <c r="I134" s="1">
        <v>8.0000000000000002E-3</v>
      </c>
      <c r="J134"/>
      <c r="K134"/>
      <c r="L134"/>
      <c r="M134" s="76">
        <v>153417</v>
      </c>
      <c r="N134" s="76" t="s">
        <v>1214</v>
      </c>
      <c r="O134" s="76">
        <v>5.0000000000000001E-4</v>
      </c>
      <c r="P134"/>
      <c r="Q134"/>
      <c r="R134"/>
      <c r="S134"/>
      <c r="T134"/>
      <c r="U134"/>
      <c r="V134" s="76">
        <v>153417</v>
      </c>
      <c r="W134" s="76" t="s">
        <v>1214</v>
      </c>
      <c r="X134" s="76">
        <v>5.0000000000000001E-4</v>
      </c>
      <c r="Y134"/>
      <c r="Z134"/>
      <c r="AA134"/>
      <c r="AB134"/>
      <c r="AC134"/>
      <c r="AD134"/>
      <c r="AE134" s="76">
        <v>153416</v>
      </c>
      <c r="AF134" s="76" t="s">
        <v>1196</v>
      </c>
      <c r="AG134" s="76">
        <v>5.0000000000000001E-4</v>
      </c>
      <c r="AH134"/>
      <c r="AI134"/>
      <c r="AJ134"/>
      <c r="AK134"/>
      <c r="AL134"/>
      <c r="AM134"/>
      <c r="AN134" s="76">
        <v>153417</v>
      </c>
      <c r="AO134" s="76" t="s">
        <v>1214</v>
      </c>
      <c r="AP134" s="76">
        <v>5.0000000000000001E-4</v>
      </c>
      <c r="AQ134"/>
      <c r="AR134"/>
      <c r="AS134"/>
      <c r="AT134"/>
      <c r="AU134"/>
      <c r="AV134"/>
      <c r="AW134" s="76">
        <v>153416</v>
      </c>
      <c r="AX134" s="76" t="s">
        <v>1196</v>
      </c>
      <c r="AY134" s="76">
        <v>5.0000000000000001E-4</v>
      </c>
      <c r="AZ134"/>
      <c r="BA134"/>
      <c r="BB134"/>
    </row>
    <row r="135" spans="1:54" s="76" customFormat="1">
      <c r="A135" s="1">
        <v>171415</v>
      </c>
      <c r="B135" s="76" t="s">
        <v>1167</v>
      </c>
      <c r="C135" s="1">
        <v>0</v>
      </c>
      <c r="D135" s="1">
        <v>171415</v>
      </c>
      <c r="E135" s="76" t="s">
        <v>1167</v>
      </c>
      <c r="F135" s="1">
        <v>1E-3</v>
      </c>
      <c r="G135" s="1">
        <v>171415</v>
      </c>
      <c r="H135" s="76" t="s">
        <v>1167</v>
      </c>
      <c r="I135" s="1">
        <v>8.0000000000000002E-3</v>
      </c>
      <c r="J135"/>
      <c r="K135"/>
      <c r="L135"/>
      <c r="M135" s="76">
        <v>173417</v>
      </c>
      <c r="N135" s="76" t="s">
        <v>1215</v>
      </c>
      <c r="O135" s="76">
        <v>5.0000000000000001E-4</v>
      </c>
      <c r="P135"/>
      <c r="Q135"/>
      <c r="R135"/>
      <c r="S135"/>
      <c r="T135"/>
      <c r="U135"/>
      <c r="V135" s="76">
        <v>173417</v>
      </c>
      <c r="W135" s="76" t="s">
        <v>1215</v>
      </c>
      <c r="X135" s="76">
        <v>5.0000000000000001E-4</v>
      </c>
      <c r="Y135"/>
      <c r="Z135"/>
      <c r="AA135"/>
      <c r="AB135"/>
      <c r="AC135"/>
      <c r="AD135"/>
      <c r="AE135" s="76">
        <v>173416</v>
      </c>
      <c r="AF135" s="76" t="s">
        <v>1197</v>
      </c>
      <c r="AG135" s="76">
        <v>5.0000000000000001E-4</v>
      </c>
      <c r="AH135"/>
      <c r="AI135"/>
      <c r="AJ135"/>
      <c r="AK135"/>
      <c r="AL135"/>
      <c r="AM135"/>
      <c r="AN135" s="76">
        <v>173417</v>
      </c>
      <c r="AO135" s="76" t="s">
        <v>1215</v>
      </c>
      <c r="AP135" s="76">
        <v>5.0000000000000001E-4</v>
      </c>
      <c r="AQ135"/>
      <c r="AR135"/>
      <c r="AS135"/>
      <c r="AT135"/>
      <c r="AU135"/>
      <c r="AV135"/>
      <c r="AW135" s="76">
        <v>173416</v>
      </c>
      <c r="AX135" s="76" t="s">
        <v>1197</v>
      </c>
      <c r="AY135" s="76">
        <v>5.0000000000000001E-4</v>
      </c>
      <c r="AZ135"/>
      <c r="BA135"/>
      <c r="BB135"/>
    </row>
    <row r="136" spans="1:54" s="76" customFormat="1">
      <c r="A136" s="1">
        <v>112415</v>
      </c>
      <c r="B136" s="76" t="s">
        <v>1168</v>
      </c>
      <c r="C136" s="1">
        <v>0</v>
      </c>
      <c r="D136" s="1">
        <v>112415</v>
      </c>
      <c r="E136" s="76" t="s">
        <v>1168</v>
      </c>
      <c r="F136" s="1">
        <v>1E-3</v>
      </c>
      <c r="G136" s="1">
        <v>112415</v>
      </c>
      <c r="H136" s="76" t="s">
        <v>1168</v>
      </c>
      <c r="I136" s="1">
        <v>8.0000000000000002E-3</v>
      </c>
      <c r="J136"/>
      <c r="K136"/>
      <c r="L136"/>
      <c r="M136"/>
      <c r="N136"/>
      <c r="O136"/>
      <c r="P136"/>
      <c r="Q136"/>
      <c r="R136"/>
      <c r="S136"/>
      <c r="T136"/>
      <c r="U136"/>
      <c r="V136" s="76">
        <v>111418</v>
      </c>
      <c r="W136" s="76" t="s">
        <v>1216</v>
      </c>
      <c r="X136" s="76">
        <v>5.0000000000000001E-4</v>
      </c>
      <c r="Y136"/>
      <c r="Z136"/>
      <c r="AA136"/>
      <c r="AB136"/>
      <c r="AC136"/>
      <c r="AD136"/>
      <c r="AE136" s="76">
        <v>111417</v>
      </c>
      <c r="AF136" s="76" t="s">
        <v>1198</v>
      </c>
      <c r="AG136" s="76">
        <v>5.0000000000000001E-4</v>
      </c>
      <c r="AH136"/>
      <c r="AI136"/>
      <c r="AJ136"/>
      <c r="AK136"/>
      <c r="AL136"/>
      <c r="AM136"/>
      <c r="AN136"/>
      <c r="AO136"/>
      <c r="AP136"/>
      <c r="AQ136"/>
      <c r="AR136"/>
      <c r="AS136"/>
      <c r="AT136"/>
      <c r="AU136"/>
      <c r="AV136"/>
      <c r="AW136" s="76">
        <v>111417</v>
      </c>
      <c r="AX136" s="76" t="s">
        <v>1198</v>
      </c>
      <c r="AY136" s="76">
        <v>5.0000000000000001E-4</v>
      </c>
      <c r="AZ136"/>
      <c r="BA136"/>
      <c r="BB136"/>
    </row>
    <row r="137" spans="1:54" s="76" customFormat="1">
      <c r="A137" s="1">
        <v>132415</v>
      </c>
      <c r="B137" s="76" t="s">
        <v>1169</v>
      </c>
      <c r="C137" s="1">
        <v>0</v>
      </c>
      <c r="D137" s="1">
        <v>132415</v>
      </c>
      <c r="E137" s="76" t="s">
        <v>1169</v>
      </c>
      <c r="F137" s="1">
        <v>1E-3</v>
      </c>
      <c r="G137" s="1">
        <v>132415</v>
      </c>
      <c r="H137" s="76" t="s">
        <v>1169</v>
      </c>
      <c r="I137" s="1">
        <v>2E-3</v>
      </c>
      <c r="J137"/>
      <c r="K137"/>
      <c r="L137"/>
      <c r="M137"/>
      <c r="N137"/>
      <c r="O137"/>
      <c r="P137"/>
      <c r="Q137"/>
      <c r="R137"/>
      <c r="S137"/>
      <c r="T137"/>
      <c r="U137"/>
      <c r="V137" s="76">
        <v>131418</v>
      </c>
      <c r="W137" s="76" t="s">
        <v>1217</v>
      </c>
      <c r="X137" s="76">
        <v>5.0000000000000001E-4</v>
      </c>
      <c r="Y137"/>
      <c r="Z137"/>
      <c r="AA137"/>
      <c r="AB137"/>
      <c r="AC137"/>
      <c r="AD137"/>
      <c r="AE137" s="76">
        <v>131417</v>
      </c>
      <c r="AF137" s="76" t="s">
        <v>1199</v>
      </c>
      <c r="AG137" s="76">
        <v>5.0000000000000001E-4</v>
      </c>
      <c r="AH137"/>
      <c r="AI137"/>
      <c r="AJ137"/>
      <c r="AK137"/>
      <c r="AL137"/>
      <c r="AM137"/>
      <c r="AN137"/>
      <c r="AO137"/>
      <c r="AP137"/>
      <c r="AQ137"/>
      <c r="AR137"/>
      <c r="AS137"/>
      <c r="AT137"/>
      <c r="AU137"/>
      <c r="AV137"/>
      <c r="AW137" s="76">
        <v>131417</v>
      </c>
      <c r="AX137" s="76" t="s">
        <v>1199</v>
      </c>
      <c r="AY137" s="76">
        <v>5.0000000000000001E-4</v>
      </c>
      <c r="AZ137"/>
      <c r="BA137"/>
      <c r="BB137"/>
    </row>
    <row r="138" spans="1:54" s="76" customFormat="1">
      <c r="A138" s="1">
        <v>142415</v>
      </c>
      <c r="B138" s="76" t="s">
        <v>1170</v>
      </c>
      <c r="C138" s="1">
        <v>0</v>
      </c>
      <c r="D138" s="1">
        <v>142415</v>
      </c>
      <c r="E138" s="76" t="s">
        <v>1170</v>
      </c>
      <c r="F138" s="1">
        <v>1E-3</v>
      </c>
      <c r="G138" s="1">
        <v>142415</v>
      </c>
      <c r="H138" s="76" t="s">
        <v>1170</v>
      </c>
      <c r="I138" s="1">
        <v>2E-3</v>
      </c>
      <c r="J138"/>
      <c r="K138"/>
      <c r="L138"/>
      <c r="M138"/>
      <c r="N138"/>
      <c r="O138"/>
      <c r="P138"/>
      <c r="Q138"/>
      <c r="R138"/>
      <c r="S138"/>
      <c r="T138"/>
      <c r="U138"/>
      <c r="V138" s="76">
        <v>141418</v>
      </c>
      <c r="W138" s="76" t="s">
        <v>1218</v>
      </c>
      <c r="X138" s="76">
        <v>5.0000000000000001E-4</v>
      </c>
      <c r="Y138"/>
      <c r="Z138"/>
      <c r="AA138"/>
      <c r="AB138"/>
      <c r="AC138"/>
      <c r="AD138"/>
      <c r="AE138" s="76">
        <v>141417</v>
      </c>
      <c r="AF138" s="76" t="s">
        <v>1200</v>
      </c>
      <c r="AG138" s="76">
        <v>5.0000000000000001E-4</v>
      </c>
      <c r="AH138"/>
      <c r="AI138"/>
      <c r="AJ138"/>
      <c r="AK138"/>
      <c r="AL138"/>
      <c r="AM138"/>
      <c r="AN138"/>
      <c r="AO138"/>
      <c r="AP138"/>
      <c r="AQ138"/>
      <c r="AR138"/>
      <c r="AS138"/>
      <c r="AT138"/>
      <c r="AU138"/>
      <c r="AV138"/>
      <c r="AW138" s="76">
        <v>141417</v>
      </c>
      <c r="AX138" s="76" t="s">
        <v>1200</v>
      </c>
      <c r="AY138" s="76">
        <v>5.0000000000000001E-4</v>
      </c>
      <c r="AZ138"/>
      <c r="BA138"/>
      <c r="BB138"/>
    </row>
    <row r="139" spans="1:54" s="76" customFormat="1">
      <c r="A139" s="1">
        <v>162415</v>
      </c>
      <c r="B139" s="76" t="s">
        <v>1171</v>
      </c>
      <c r="C139" s="1">
        <v>0</v>
      </c>
      <c r="D139" s="1">
        <v>162415</v>
      </c>
      <c r="E139" s="76" t="s">
        <v>1171</v>
      </c>
      <c r="F139" s="1">
        <v>1E-3</v>
      </c>
      <c r="G139" s="1">
        <v>162415</v>
      </c>
      <c r="H139" s="76" t="s">
        <v>1171</v>
      </c>
      <c r="I139" s="1">
        <v>2E-3</v>
      </c>
      <c r="J139"/>
      <c r="K139"/>
      <c r="L139"/>
      <c r="M139"/>
      <c r="N139"/>
      <c r="O139"/>
      <c r="P139"/>
      <c r="Q139"/>
      <c r="R139"/>
      <c r="S139"/>
      <c r="T139"/>
      <c r="U139"/>
      <c r="V139" s="76">
        <v>161418</v>
      </c>
      <c r="W139" s="76" t="s">
        <v>1219</v>
      </c>
      <c r="X139" s="76">
        <v>5.0000000000000001E-4</v>
      </c>
      <c r="Y139"/>
      <c r="Z139"/>
      <c r="AA139"/>
      <c r="AB139"/>
      <c r="AC139"/>
      <c r="AD139"/>
      <c r="AE139" s="76">
        <v>161417</v>
      </c>
      <c r="AF139" s="76" t="s">
        <v>1201</v>
      </c>
      <c r="AG139" s="76">
        <v>5.0000000000000001E-4</v>
      </c>
      <c r="AH139"/>
      <c r="AI139"/>
      <c r="AJ139"/>
      <c r="AK139"/>
      <c r="AL139"/>
      <c r="AM139"/>
      <c r="AN139"/>
      <c r="AO139"/>
      <c r="AP139"/>
      <c r="AQ139"/>
      <c r="AR139"/>
      <c r="AS139"/>
      <c r="AT139"/>
      <c r="AU139"/>
      <c r="AV139"/>
      <c r="AW139" s="76">
        <v>161417</v>
      </c>
      <c r="AX139" s="76" t="s">
        <v>1201</v>
      </c>
      <c r="AY139" s="76">
        <v>5.0000000000000001E-4</v>
      </c>
      <c r="AZ139"/>
      <c r="BA139"/>
      <c r="BB139"/>
    </row>
    <row r="140" spans="1:54" s="76" customFormat="1">
      <c r="A140" s="1">
        <v>152415</v>
      </c>
      <c r="B140" s="76" t="s">
        <v>1172</v>
      </c>
      <c r="C140" s="1">
        <v>0</v>
      </c>
      <c r="D140" s="1">
        <v>152415</v>
      </c>
      <c r="E140" s="76" t="s">
        <v>1172</v>
      </c>
      <c r="F140" s="1">
        <v>1E-3</v>
      </c>
      <c r="G140" s="1">
        <v>152415</v>
      </c>
      <c r="H140" s="76" t="s">
        <v>1172</v>
      </c>
      <c r="I140" s="1">
        <v>2E-3</v>
      </c>
      <c r="J140"/>
      <c r="K140"/>
      <c r="L140"/>
      <c r="M140"/>
      <c r="N140"/>
      <c r="O140"/>
      <c r="P140"/>
      <c r="Q140"/>
      <c r="R140"/>
      <c r="S140"/>
      <c r="T140"/>
      <c r="U140"/>
      <c r="V140" s="76">
        <v>151418</v>
      </c>
      <c r="W140" s="76" t="s">
        <v>1220</v>
      </c>
      <c r="X140" s="76">
        <v>5.0000000000000001E-4</v>
      </c>
      <c r="Y140"/>
      <c r="Z140"/>
      <c r="AA140"/>
      <c r="AB140"/>
      <c r="AC140"/>
      <c r="AD140"/>
      <c r="AE140" s="76">
        <v>151417</v>
      </c>
      <c r="AF140" s="76" t="s">
        <v>1202</v>
      </c>
      <c r="AG140" s="76">
        <v>5.0000000000000001E-4</v>
      </c>
      <c r="AH140"/>
      <c r="AI140"/>
      <c r="AJ140"/>
      <c r="AK140"/>
      <c r="AL140"/>
      <c r="AM140"/>
      <c r="AN140"/>
      <c r="AO140"/>
      <c r="AP140"/>
      <c r="AQ140"/>
      <c r="AR140"/>
      <c r="AS140"/>
      <c r="AT140"/>
      <c r="AU140"/>
      <c r="AV140"/>
      <c r="AW140" s="76">
        <v>151417</v>
      </c>
      <c r="AX140" s="76" t="s">
        <v>1202</v>
      </c>
      <c r="AY140" s="76">
        <v>5.0000000000000001E-4</v>
      </c>
      <c r="AZ140"/>
      <c r="BA140"/>
      <c r="BB140"/>
    </row>
    <row r="141" spans="1:54" s="76" customFormat="1">
      <c r="A141" s="1">
        <v>172415</v>
      </c>
      <c r="B141" s="76" t="s">
        <v>1173</v>
      </c>
      <c r="C141" s="1">
        <v>0</v>
      </c>
      <c r="D141" s="1">
        <v>172415</v>
      </c>
      <c r="E141" s="76" t="s">
        <v>1173</v>
      </c>
      <c r="F141" s="1">
        <v>1E-3</v>
      </c>
      <c r="G141" s="1">
        <v>172415</v>
      </c>
      <c r="H141" s="76" t="s">
        <v>1173</v>
      </c>
      <c r="I141" s="1">
        <v>2E-3</v>
      </c>
      <c r="J141"/>
      <c r="K141"/>
      <c r="L141"/>
      <c r="M141"/>
      <c r="N141"/>
      <c r="O141"/>
      <c r="P141"/>
      <c r="Q141"/>
      <c r="R141"/>
      <c r="S141"/>
      <c r="T141"/>
      <c r="U141"/>
      <c r="V141" s="76">
        <v>171418</v>
      </c>
      <c r="W141" s="76" t="s">
        <v>1221</v>
      </c>
      <c r="X141" s="76">
        <v>5.0000000000000001E-4</v>
      </c>
      <c r="Y141"/>
      <c r="Z141"/>
      <c r="AA141"/>
      <c r="AB141"/>
      <c r="AC141"/>
      <c r="AD141"/>
      <c r="AE141" s="76">
        <v>171417</v>
      </c>
      <c r="AF141" s="76" t="s">
        <v>1203</v>
      </c>
      <c r="AG141" s="76">
        <v>5.0000000000000001E-4</v>
      </c>
      <c r="AH141"/>
      <c r="AI141"/>
      <c r="AJ141"/>
      <c r="AK141"/>
      <c r="AL141"/>
      <c r="AM141"/>
      <c r="AN141"/>
      <c r="AO141"/>
      <c r="AP141"/>
      <c r="AQ141"/>
      <c r="AR141"/>
      <c r="AS141"/>
      <c r="AT141"/>
      <c r="AU141"/>
      <c r="AV141"/>
      <c r="AW141" s="76">
        <v>171417</v>
      </c>
      <c r="AX141" s="76" t="s">
        <v>1203</v>
      </c>
      <c r="AY141" s="76">
        <v>5.0000000000000001E-4</v>
      </c>
      <c r="AZ141"/>
      <c r="BA141"/>
      <c r="BB141"/>
    </row>
    <row r="142" spans="1:54" s="76" customFormat="1">
      <c r="A142" s="1">
        <v>113415</v>
      </c>
      <c r="B142" s="76" t="s">
        <v>1174</v>
      </c>
      <c r="C142" s="1">
        <v>0</v>
      </c>
      <c r="D142" s="1">
        <v>113415</v>
      </c>
      <c r="E142" s="76" t="s">
        <v>1174</v>
      </c>
      <c r="F142" s="1">
        <v>1E-3</v>
      </c>
      <c r="G142" s="1">
        <v>113415</v>
      </c>
      <c r="H142" s="76" t="s">
        <v>1174</v>
      </c>
      <c r="I142" s="1">
        <v>2E-3</v>
      </c>
      <c r="J142"/>
      <c r="K142"/>
      <c r="L142"/>
      <c r="M142"/>
      <c r="N142"/>
      <c r="O142"/>
      <c r="P142"/>
      <c r="Q142"/>
      <c r="R142"/>
      <c r="S142"/>
      <c r="T142"/>
      <c r="U142"/>
      <c r="V142" s="76">
        <v>112418</v>
      </c>
      <c r="W142" s="76" t="s">
        <v>1222</v>
      </c>
      <c r="X142" s="76">
        <v>5.0000000000000001E-4</v>
      </c>
      <c r="Y142"/>
      <c r="Z142"/>
      <c r="AA142"/>
      <c r="AB142"/>
      <c r="AC142"/>
      <c r="AD142"/>
      <c r="AE142" s="76">
        <v>112417</v>
      </c>
      <c r="AF142" s="76" t="s">
        <v>1204</v>
      </c>
      <c r="AG142" s="76">
        <v>5.0000000000000001E-4</v>
      </c>
      <c r="AH142"/>
      <c r="AI142"/>
      <c r="AJ142"/>
      <c r="AK142"/>
      <c r="AL142"/>
      <c r="AM142"/>
      <c r="AN142"/>
      <c r="AO142"/>
      <c r="AP142"/>
      <c r="AQ142"/>
      <c r="AR142"/>
      <c r="AS142"/>
      <c r="AT142"/>
      <c r="AU142"/>
      <c r="AV142"/>
      <c r="AW142" s="76">
        <v>112417</v>
      </c>
      <c r="AX142" s="76" t="s">
        <v>1204</v>
      </c>
      <c r="AY142" s="76">
        <v>5.0000000000000001E-4</v>
      </c>
      <c r="AZ142"/>
      <c r="BA142"/>
      <c r="BB142"/>
    </row>
    <row r="143" spans="1:54" s="76" customFormat="1">
      <c r="A143" s="1">
        <v>133415</v>
      </c>
      <c r="B143" s="76" t="s">
        <v>1175</v>
      </c>
      <c r="C143" s="1">
        <v>0</v>
      </c>
      <c r="D143" s="1">
        <v>133415</v>
      </c>
      <c r="E143" s="76" t="s">
        <v>1175</v>
      </c>
      <c r="F143" s="1">
        <v>1E-3</v>
      </c>
      <c r="G143" s="1">
        <v>133415</v>
      </c>
      <c r="H143" s="76" t="s">
        <v>1175</v>
      </c>
      <c r="I143" s="1">
        <v>2E-3</v>
      </c>
      <c r="J143"/>
      <c r="K143"/>
      <c r="L143"/>
      <c r="M143"/>
      <c r="N143"/>
      <c r="O143"/>
      <c r="P143"/>
      <c r="Q143"/>
      <c r="R143"/>
      <c r="S143"/>
      <c r="T143"/>
      <c r="U143"/>
      <c r="V143" s="76">
        <v>132418</v>
      </c>
      <c r="W143" s="76" t="s">
        <v>1223</v>
      </c>
      <c r="X143" s="76">
        <v>5.0000000000000001E-4</v>
      </c>
      <c r="Y143"/>
      <c r="Z143"/>
      <c r="AA143"/>
      <c r="AB143"/>
      <c r="AC143"/>
      <c r="AD143"/>
      <c r="AE143" s="76">
        <v>132417</v>
      </c>
      <c r="AF143" s="76" t="s">
        <v>1205</v>
      </c>
      <c r="AG143" s="76">
        <v>5.0000000000000001E-4</v>
      </c>
      <c r="AH143"/>
      <c r="AI143"/>
      <c r="AJ143"/>
      <c r="AK143"/>
      <c r="AL143"/>
      <c r="AM143"/>
      <c r="AN143"/>
      <c r="AO143"/>
      <c r="AP143"/>
      <c r="AQ143"/>
      <c r="AR143"/>
      <c r="AS143"/>
      <c r="AT143"/>
      <c r="AU143"/>
      <c r="AV143"/>
      <c r="AW143" s="76">
        <v>132417</v>
      </c>
      <c r="AX143" s="76" t="s">
        <v>1205</v>
      </c>
      <c r="AY143" s="76">
        <v>5.0000000000000001E-4</v>
      </c>
      <c r="AZ143"/>
      <c r="BA143"/>
      <c r="BB143"/>
    </row>
    <row r="144" spans="1:54" s="76" customFormat="1">
      <c r="A144" s="1">
        <v>143415</v>
      </c>
      <c r="B144" s="76" t="s">
        <v>1176</v>
      </c>
      <c r="C144" s="1">
        <v>0</v>
      </c>
      <c r="D144" s="1">
        <v>143415</v>
      </c>
      <c r="E144" s="76" t="s">
        <v>1176</v>
      </c>
      <c r="F144" s="1">
        <v>1E-3</v>
      </c>
      <c r="G144" s="1">
        <v>143415</v>
      </c>
      <c r="H144" s="76" t="s">
        <v>1176</v>
      </c>
      <c r="I144" s="1">
        <v>2E-3</v>
      </c>
      <c r="J144"/>
      <c r="K144"/>
      <c r="L144"/>
      <c r="M144"/>
      <c r="N144"/>
      <c r="O144"/>
      <c r="P144"/>
      <c r="Q144"/>
      <c r="R144"/>
      <c r="S144"/>
      <c r="T144"/>
      <c r="U144"/>
      <c r="V144" s="76">
        <v>142418</v>
      </c>
      <c r="W144" s="76" t="s">
        <v>1224</v>
      </c>
      <c r="X144" s="76">
        <v>5.0000000000000001E-4</v>
      </c>
      <c r="Y144"/>
      <c r="Z144"/>
      <c r="AA144"/>
      <c r="AB144"/>
      <c r="AC144"/>
      <c r="AD144"/>
      <c r="AE144" s="76">
        <v>142417</v>
      </c>
      <c r="AF144" s="76" t="s">
        <v>1206</v>
      </c>
      <c r="AG144" s="76">
        <v>5.0000000000000001E-4</v>
      </c>
      <c r="AH144"/>
      <c r="AI144"/>
      <c r="AJ144"/>
      <c r="AK144"/>
      <c r="AL144"/>
      <c r="AM144"/>
      <c r="AN144"/>
      <c r="AO144"/>
      <c r="AP144"/>
      <c r="AQ144"/>
      <c r="AR144"/>
      <c r="AS144"/>
      <c r="AT144"/>
      <c r="AU144"/>
      <c r="AV144"/>
      <c r="AW144" s="76">
        <v>142417</v>
      </c>
      <c r="AX144" s="76" t="s">
        <v>1206</v>
      </c>
      <c r="AY144" s="76">
        <v>5.0000000000000001E-4</v>
      </c>
      <c r="AZ144"/>
      <c r="BA144"/>
      <c r="BB144"/>
    </row>
    <row r="145" spans="1:54" s="76" customFormat="1">
      <c r="A145" s="1">
        <v>163415</v>
      </c>
      <c r="B145" s="76" t="s">
        <v>1177</v>
      </c>
      <c r="C145" s="1">
        <v>0</v>
      </c>
      <c r="D145" s="1">
        <v>163415</v>
      </c>
      <c r="E145" s="76" t="s">
        <v>1177</v>
      </c>
      <c r="F145" s="1">
        <v>1E-3</v>
      </c>
      <c r="G145" s="1">
        <v>163415</v>
      </c>
      <c r="H145" s="76" t="s">
        <v>1177</v>
      </c>
      <c r="I145" s="1">
        <v>2E-3</v>
      </c>
      <c r="J145"/>
      <c r="K145"/>
      <c r="L145"/>
      <c r="M145"/>
      <c r="N145"/>
      <c r="O145"/>
      <c r="P145"/>
      <c r="Q145"/>
      <c r="R145"/>
      <c r="S145"/>
      <c r="T145"/>
      <c r="U145"/>
      <c r="V145" s="76">
        <v>162418</v>
      </c>
      <c r="W145" s="76" t="s">
        <v>1225</v>
      </c>
      <c r="X145" s="76">
        <v>5.0000000000000001E-4</v>
      </c>
      <c r="Y145"/>
      <c r="Z145"/>
      <c r="AA145"/>
      <c r="AB145"/>
      <c r="AC145"/>
      <c r="AD145"/>
      <c r="AE145" s="76">
        <v>162417</v>
      </c>
      <c r="AF145" s="76" t="s">
        <v>1207</v>
      </c>
      <c r="AG145" s="76">
        <v>5.0000000000000001E-4</v>
      </c>
      <c r="AH145"/>
      <c r="AI145"/>
      <c r="AJ145"/>
      <c r="AK145"/>
      <c r="AL145"/>
      <c r="AM145"/>
      <c r="AN145"/>
      <c r="AO145"/>
      <c r="AP145"/>
      <c r="AQ145"/>
      <c r="AR145"/>
      <c r="AS145"/>
      <c r="AT145"/>
      <c r="AU145"/>
      <c r="AV145"/>
      <c r="AW145" s="76">
        <v>162417</v>
      </c>
      <c r="AX145" s="76" t="s">
        <v>1207</v>
      </c>
      <c r="AY145" s="76">
        <v>5.0000000000000001E-4</v>
      </c>
      <c r="AZ145"/>
      <c r="BA145"/>
      <c r="BB145"/>
    </row>
    <row r="146" spans="1:54" s="76" customFormat="1">
      <c r="A146" s="1">
        <v>153415</v>
      </c>
      <c r="B146" s="76" t="s">
        <v>1178</v>
      </c>
      <c r="C146" s="1">
        <v>0</v>
      </c>
      <c r="D146" s="1">
        <v>153415</v>
      </c>
      <c r="E146" s="76" t="s">
        <v>1178</v>
      </c>
      <c r="F146" s="1">
        <v>1E-3</v>
      </c>
      <c r="G146" s="1">
        <v>153415</v>
      </c>
      <c r="H146" s="76" t="s">
        <v>1178</v>
      </c>
      <c r="I146" s="1">
        <v>2E-3</v>
      </c>
      <c r="J146"/>
      <c r="K146"/>
      <c r="L146"/>
      <c r="M146"/>
      <c r="N146"/>
      <c r="O146"/>
      <c r="P146"/>
      <c r="Q146"/>
      <c r="R146"/>
      <c r="S146"/>
      <c r="T146"/>
      <c r="U146"/>
      <c r="V146" s="76">
        <v>152418</v>
      </c>
      <c r="W146" s="76" t="s">
        <v>1226</v>
      </c>
      <c r="X146" s="76">
        <v>5.0000000000000001E-4</v>
      </c>
      <c r="Y146"/>
      <c r="Z146"/>
      <c r="AA146"/>
      <c r="AB146"/>
      <c r="AC146"/>
      <c r="AD146"/>
      <c r="AE146" s="76">
        <v>152417</v>
      </c>
      <c r="AF146" s="76" t="s">
        <v>1208</v>
      </c>
      <c r="AG146" s="76">
        <v>5.0000000000000001E-4</v>
      </c>
      <c r="AH146"/>
      <c r="AI146"/>
      <c r="AJ146"/>
      <c r="AK146"/>
      <c r="AL146"/>
      <c r="AM146"/>
      <c r="AN146"/>
      <c r="AO146"/>
      <c r="AP146"/>
      <c r="AQ146"/>
      <c r="AR146"/>
      <c r="AS146"/>
      <c r="AT146"/>
      <c r="AU146"/>
      <c r="AV146"/>
      <c r="AW146" s="76">
        <v>152417</v>
      </c>
      <c r="AX146" s="76" t="s">
        <v>1208</v>
      </c>
      <c r="AY146" s="76">
        <v>5.0000000000000001E-4</v>
      </c>
      <c r="AZ146"/>
      <c r="BA146"/>
      <c r="BB146"/>
    </row>
    <row r="147" spans="1:54" s="76" customFormat="1">
      <c r="A147" s="1">
        <v>173415</v>
      </c>
      <c r="B147" s="76" t="s">
        <v>1179</v>
      </c>
      <c r="C147" s="1">
        <v>0</v>
      </c>
      <c r="D147" s="1">
        <v>173415</v>
      </c>
      <c r="E147" s="76" t="s">
        <v>1179</v>
      </c>
      <c r="F147" s="1">
        <v>1E-3</v>
      </c>
      <c r="G147" s="1">
        <v>173415</v>
      </c>
      <c r="H147" s="76" t="s">
        <v>1179</v>
      </c>
      <c r="I147" s="1">
        <v>2E-3</v>
      </c>
      <c r="J147"/>
      <c r="K147"/>
      <c r="L147"/>
      <c r="M147"/>
      <c r="N147"/>
      <c r="O147"/>
      <c r="P147"/>
      <c r="Q147"/>
      <c r="R147"/>
      <c r="S147"/>
      <c r="T147"/>
      <c r="U147"/>
      <c r="V147" s="76">
        <v>172418</v>
      </c>
      <c r="W147" s="76" t="s">
        <v>1227</v>
      </c>
      <c r="X147" s="76">
        <v>5.0000000000000001E-4</v>
      </c>
      <c r="Y147"/>
      <c r="Z147"/>
      <c r="AA147"/>
      <c r="AB147"/>
      <c r="AC147"/>
      <c r="AD147"/>
      <c r="AE147" s="76">
        <v>172417</v>
      </c>
      <c r="AF147" s="76" t="s">
        <v>1209</v>
      </c>
      <c r="AG147" s="76">
        <v>5.0000000000000001E-4</v>
      </c>
      <c r="AH147"/>
      <c r="AI147"/>
      <c r="AJ147"/>
      <c r="AK147"/>
      <c r="AL147"/>
      <c r="AM147"/>
      <c r="AN147"/>
      <c r="AO147"/>
      <c r="AP147"/>
      <c r="AQ147"/>
      <c r="AR147"/>
      <c r="AS147"/>
      <c r="AT147"/>
      <c r="AU147"/>
      <c r="AV147"/>
      <c r="AW147" s="76">
        <v>172417</v>
      </c>
      <c r="AX147" s="76" t="s">
        <v>1209</v>
      </c>
      <c r="AY147" s="76">
        <v>5.0000000000000001E-4</v>
      </c>
      <c r="AZ147"/>
      <c r="BA147"/>
      <c r="BB147"/>
    </row>
    <row r="148" spans="1:54" s="76" customFormat="1">
      <c r="A148" s="1">
        <v>111416</v>
      </c>
      <c r="B148" s="76" t="s">
        <v>1180</v>
      </c>
      <c r="C148" s="1">
        <v>0</v>
      </c>
      <c r="D148" s="1">
        <v>111416</v>
      </c>
      <c r="E148" s="76" t="s">
        <v>1180</v>
      </c>
      <c r="F148" s="1">
        <v>5.0000000000000001E-4</v>
      </c>
      <c r="G148" s="1">
        <v>111416</v>
      </c>
      <c r="H148" s="76" t="s">
        <v>1180</v>
      </c>
      <c r="I148" s="1">
        <v>2E-3</v>
      </c>
      <c r="J148"/>
      <c r="K148"/>
      <c r="L148"/>
      <c r="M148"/>
      <c r="N148"/>
      <c r="O148"/>
      <c r="P148"/>
      <c r="Q148"/>
      <c r="R148"/>
      <c r="S148"/>
      <c r="T148"/>
      <c r="U148"/>
      <c r="V148" s="76">
        <v>113418</v>
      </c>
      <c r="W148" s="76" t="s">
        <v>1228</v>
      </c>
      <c r="X148" s="76">
        <v>5.0000000000000001E-4</v>
      </c>
      <c r="Y148"/>
      <c r="Z148"/>
      <c r="AA148"/>
      <c r="AB148"/>
      <c r="AC148"/>
      <c r="AD148"/>
      <c r="AE148" s="76">
        <v>113417</v>
      </c>
      <c r="AF148" s="76" t="s">
        <v>1210</v>
      </c>
      <c r="AG148" s="76">
        <v>5.0000000000000001E-4</v>
      </c>
      <c r="AH148"/>
      <c r="AI148"/>
      <c r="AJ148"/>
      <c r="AK148"/>
      <c r="AL148"/>
      <c r="AM148"/>
      <c r="AN148"/>
      <c r="AO148"/>
      <c r="AP148"/>
      <c r="AQ148"/>
      <c r="AR148"/>
      <c r="AS148"/>
      <c r="AT148"/>
      <c r="AU148"/>
      <c r="AV148"/>
      <c r="AW148" s="76">
        <v>113417</v>
      </c>
      <c r="AX148" s="76" t="s">
        <v>1210</v>
      </c>
      <c r="AY148" s="76">
        <v>5.0000000000000001E-4</v>
      </c>
      <c r="AZ148"/>
      <c r="BA148"/>
      <c r="BB148"/>
    </row>
    <row r="149" spans="1:54" s="76" customFormat="1">
      <c r="A149" s="1">
        <v>131416</v>
      </c>
      <c r="B149" s="76" t="s">
        <v>1181</v>
      </c>
      <c r="C149" s="1">
        <v>0</v>
      </c>
      <c r="D149" s="1">
        <v>131416</v>
      </c>
      <c r="E149" s="76" t="s">
        <v>1181</v>
      </c>
      <c r="F149" s="1">
        <v>5.0000000000000001E-4</v>
      </c>
      <c r="G149" s="1">
        <v>131416</v>
      </c>
      <c r="H149" s="76" t="s">
        <v>1181</v>
      </c>
      <c r="I149" s="1">
        <v>2E-3</v>
      </c>
      <c r="J149"/>
      <c r="K149"/>
      <c r="L149"/>
      <c r="M149"/>
      <c r="N149"/>
      <c r="O149"/>
      <c r="P149"/>
      <c r="Q149"/>
      <c r="R149"/>
      <c r="S149"/>
      <c r="T149"/>
      <c r="U149"/>
      <c r="V149" s="76">
        <v>133418</v>
      </c>
      <c r="W149" s="76" t="s">
        <v>1229</v>
      </c>
      <c r="X149" s="76">
        <v>5.0000000000000001E-4</v>
      </c>
      <c r="Y149"/>
      <c r="Z149"/>
      <c r="AA149"/>
      <c r="AB149"/>
      <c r="AC149"/>
      <c r="AD149"/>
      <c r="AE149" s="76">
        <v>133417</v>
      </c>
      <c r="AF149" s="76" t="s">
        <v>1211</v>
      </c>
      <c r="AG149" s="76">
        <v>5.0000000000000001E-4</v>
      </c>
      <c r="AH149"/>
      <c r="AI149"/>
      <c r="AJ149"/>
      <c r="AK149"/>
      <c r="AL149"/>
      <c r="AM149"/>
      <c r="AN149"/>
      <c r="AO149"/>
      <c r="AP149"/>
      <c r="AQ149"/>
      <c r="AR149"/>
      <c r="AS149"/>
      <c r="AT149"/>
      <c r="AU149"/>
      <c r="AV149"/>
      <c r="AW149" s="76">
        <v>133417</v>
      </c>
      <c r="AX149" s="76" t="s">
        <v>1211</v>
      </c>
      <c r="AY149" s="76">
        <v>5.0000000000000001E-4</v>
      </c>
      <c r="AZ149"/>
      <c r="BA149"/>
      <c r="BB149"/>
    </row>
    <row r="150" spans="1:54" s="76" customFormat="1">
      <c r="A150" s="1">
        <v>141416</v>
      </c>
      <c r="B150" s="76" t="s">
        <v>1182</v>
      </c>
      <c r="C150" s="1">
        <v>0</v>
      </c>
      <c r="D150" s="1">
        <v>141416</v>
      </c>
      <c r="E150" s="76" t="s">
        <v>1182</v>
      </c>
      <c r="F150" s="1">
        <v>5.0000000000000001E-4</v>
      </c>
      <c r="G150" s="1">
        <v>141416</v>
      </c>
      <c r="H150" s="76" t="s">
        <v>1182</v>
      </c>
      <c r="I150" s="1">
        <v>2E-3</v>
      </c>
      <c r="J150"/>
      <c r="K150"/>
      <c r="L150"/>
      <c r="M150"/>
      <c r="N150"/>
      <c r="O150"/>
      <c r="P150"/>
      <c r="Q150"/>
      <c r="R150"/>
      <c r="S150"/>
      <c r="T150"/>
      <c r="U150"/>
      <c r="V150" s="76">
        <v>143418</v>
      </c>
      <c r="W150" s="76" t="s">
        <v>1230</v>
      </c>
      <c r="X150" s="76">
        <v>5.0000000000000001E-4</v>
      </c>
      <c r="Y150"/>
      <c r="Z150"/>
      <c r="AA150"/>
      <c r="AB150"/>
      <c r="AC150"/>
      <c r="AD150"/>
      <c r="AE150" s="76">
        <v>143417</v>
      </c>
      <c r="AF150" s="76" t="s">
        <v>1212</v>
      </c>
      <c r="AG150" s="76">
        <v>5.0000000000000001E-4</v>
      </c>
      <c r="AH150"/>
      <c r="AI150"/>
      <c r="AJ150"/>
      <c r="AK150"/>
      <c r="AL150"/>
      <c r="AM150"/>
      <c r="AN150"/>
      <c r="AO150"/>
      <c r="AP150"/>
      <c r="AQ150"/>
      <c r="AR150"/>
      <c r="AS150"/>
      <c r="AT150"/>
      <c r="AU150"/>
      <c r="AV150"/>
      <c r="AW150" s="76">
        <v>143417</v>
      </c>
      <c r="AX150" s="76" t="s">
        <v>1212</v>
      </c>
      <c r="AY150" s="76">
        <v>5.0000000000000001E-4</v>
      </c>
      <c r="AZ150"/>
      <c r="BA150"/>
      <c r="BB150"/>
    </row>
    <row r="151" spans="1:54" s="76" customFormat="1">
      <c r="A151" s="1">
        <v>161416</v>
      </c>
      <c r="B151" s="76" t="s">
        <v>1183</v>
      </c>
      <c r="C151" s="1">
        <v>0</v>
      </c>
      <c r="D151" s="1">
        <v>161416</v>
      </c>
      <c r="E151" s="76" t="s">
        <v>1183</v>
      </c>
      <c r="F151" s="1">
        <v>5.0000000000000001E-4</v>
      </c>
      <c r="G151" s="1">
        <v>161416</v>
      </c>
      <c r="H151" s="76" t="s">
        <v>1183</v>
      </c>
      <c r="I151" s="1">
        <v>2E-3</v>
      </c>
      <c r="J151"/>
      <c r="K151"/>
      <c r="L151"/>
      <c r="M151"/>
      <c r="N151"/>
      <c r="O151"/>
      <c r="P151"/>
      <c r="Q151"/>
      <c r="R151"/>
      <c r="S151"/>
      <c r="T151"/>
      <c r="U151"/>
      <c r="V151" s="76">
        <v>163418</v>
      </c>
      <c r="W151" s="76" t="s">
        <v>1231</v>
      </c>
      <c r="X151" s="76">
        <v>5.0000000000000001E-4</v>
      </c>
      <c r="Y151"/>
      <c r="Z151"/>
      <c r="AA151"/>
      <c r="AB151"/>
      <c r="AC151"/>
      <c r="AD151"/>
      <c r="AE151" s="76">
        <v>163417</v>
      </c>
      <c r="AF151" s="76" t="s">
        <v>1213</v>
      </c>
      <c r="AG151" s="76">
        <v>5.0000000000000001E-4</v>
      </c>
      <c r="AH151"/>
      <c r="AI151"/>
      <c r="AJ151"/>
      <c r="AK151"/>
      <c r="AL151"/>
      <c r="AM151"/>
      <c r="AN151"/>
      <c r="AO151"/>
      <c r="AP151"/>
      <c r="AQ151"/>
      <c r="AR151"/>
      <c r="AS151"/>
      <c r="AT151"/>
      <c r="AU151"/>
      <c r="AV151"/>
      <c r="AW151" s="76">
        <v>163417</v>
      </c>
      <c r="AX151" s="76" t="s">
        <v>1213</v>
      </c>
      <c r="AY151" s="76">
        <v>5.0000000000000001E-4</v>
      </c>
      <c r="AZ151"/>
      <c r="BA151"/>
      <c r="BB151"/>
    </row>
    <row r="152" spans="1:54" s="76" customFormat="1">
      <c r="A152" s="1">
        <v>151416</v>
      </c>
      <c r="B152" s="76" t="s">
        <v>1184</v>
      </c>
      <c r="C152" s="1">
        <v>0</v>
      </c>
      <c r="D152" s="1">
        <v>151416</v>
      </c>
      <c r="E152" s="76" t="s">
        <v>1184</v>
      </c>
      <c r="F152" s="1">
        <v>5.0000000000000001E-4</v>
      </c>
      <c r="G152" s="1">
        <v>151416</v>
      </c>
      <c r="H152" s="76" t="s">
        <v>1184</v>
      </c>
      <c r="I152" s="1">
        <v>2E-3</v>
      </c>
      <c r="J152"/>
      <c r="K152"/>
      <c r="L152"/>
      <c r="M152"/>
      <c r="N152"/>
      <c r="O152"/>
      <c r="P152"/>
      <c r="Q152"/>
      <c r="R152"/>
      <c r="S152"/>
      <c r="T152"/>
      <c r="U152"/>
      <c r="V152" s="76">
        <v>153418</v>
      </c>
      <c r="W152" s="76" t="s">
        <v>1232</v>
      </c>
      <c r="X152" s="76">
        <v>5.0000000000000001E-4</v>
      </c>
      <c r="Y152"/>
      <c r="Z152"/>
      <c r="AA152"/>
      <c r="AB152"/>
      <c r="AC152"/>
      <c r="AD152"/>
      <c r="AE152" s="76">
        <v>153417</v>
      </c>
      <c r="AF152" s="76" t="s">
        <v>1214</v>
      </c>
      <c r="AG152" s="76">
        <v>5.0000000000000001E-4</v>
      </c>
      <c r="AH152"/>
      <c r="AI152"/>
      <c r="AJ152"/>
      <c r="AK152"/>
      <c r="AL152"/>
      <c r="AM152"/>
      <c r="AN152"/>
      <c r="AO152"/>
      <c r="AP152"/>
      <c r="AQ152"/>
      <c r="AR152"/>
      <c r="AS152"/>
      <c r="AT152"/>
      <c r="AU152"/>
      <c r="AV152"/>
      <c r="AW152" s="76">
        <v>153417</v>
      </c>
      <c r="AX152" s="76" t="s">
        <v>1214</v>
      </c>
      <c r="AY152" s="76">
        <v>5.0000000000000001E-4</v>
      </c>
      <c r="AZ152"/>
      <c r="BA152"/>
      <c r="BB152"/>
    </row>
    <row r="153" spans="1:54" s="76" customFormat="1">
      <c r="A153" s="1">
        <v>171416</v>
      </c>
      <c r="B153" s="76" t="s">
        <v>1185</v>
      </c>
      <c r="C153" s="1">
        <v>0</v>
      </c>
      <c r="D153" s="1">
        <v>171416</v>
      </c>
      <c r="E153" s="76" t="s">
        <v>1185</v>
      </c>
      <c r="F153" s="1">
        <v>5.0000000000000001E-4</v>
      </c>
      <c r="G153" s="1">
        <v>171416</v>
      </c>
      <c r="H153" s="76" t="s">
        <v>1185</v>
      </c>
      <c r="I153" s="1">
        <v>2E-3</v>
      </c>
      <c r="J153"/>
      <c r="K153"/>
      <c r="L153"/>
      <c r="M153"/>
      <c r="N153"/>
      <c r="O153"/>
      <c r="P153"/>
      <c r="Q153"/>
      <c r="R153"/>
      <c r="S153"/>
      <c r="T153"/>
      <c r="U153"/>
      <c r="V153" s="76">
        <v>173418</v>
      </c>
      <c r="W153" s="76" t="s">
        <v>1233</v>
      </c>
      <c r="X153" s="76">
        <v>5.0000000000000001E-4</v>
      </c>
      <c r="Y153"/>
      <c r="Z153"/>
      <c r="AA153"/>
      <c r="AB153"/>
      <c r="AC153"/>
      <c r="AD153"/>
      <c r="AE153" s="76">
        <v>173417</v>
      </c>
      <c r="AF153" s="76" t="s">
        <v>1215</v>
      </c>
      <c r="AG153" s="76">
        <v>5.0000000000000001E-4</v>
      </c>
      <c r="AH153"/>
      <c r="AI153"/>
      <c r="AJ153"/>
      <c r="AK153"/>
      <c r="AL153"/>
      <c r="AM153"/>
      <c r="AN153"/>
      <c r="AO153"/>
      <c r="AP153"/>
      <c r="AQ153"/>
      <c r="AR153"/>
      <c r="AS153"/>
      <c r="AT153"/>
      <c r="AU153"/>
      <c r="AV153"/>
      <c r="AW153" s="76">
        <v>173417</v>
      </c>
      <c r="AX153" s="76" t="s">
        <v>1215</v>
      </c>
      <c r="AY153" s="76">
        <v>5.0000000000000001E-4</v>
      </c>
      <c r="AZ153"/>
      <c r="BA153"/>
      <c r="BB153"/>
    </row>
    <row r="154" spans="1:54" s="76" customFormat="1">
      <c r="A154" s="1">
        <v>112416</v>
      </c>
      <c r="B154" s="76" t="s">
        <v>1186</v>
      </c>
      <c r="C154" s="1">
        <v>0</v>
      </c>
      <c r="D154" s="1">
        <v>112416</v>
      </c>
      <c r="E154" s="76" t="s">
        <v>1186</v>
      </c>
      <c r="F154" s="1">
        <v>5.0000000000000001E-4</v>
      </c>
      <c r="G154" s="1">
        <v>112416</v>
      </c>
      <c r="H154" s="76" t="s">
        <v>1186</v>
      </c>
      <c r="I154" s="1">
        <v>2E-3</v>
      </c>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row>
    <row r="155" spans="1:54" s="76" customFormat="1">
      <c r="A155" s="1">
        <v>132416</v>
      </c>
      <c r="B155" s="76" t="s">
        <v>1187</v>
      </c>
      <c r="C155" s="1">
        <v>0</v>
      </c>
      <c r="D155" s="1">
        <v>132416</v>
      </c>
      <c r="E155" s="76" t="s">
        <v>1187</v>
      </c>
      <c r="F155" s="1">
        <v>5.0000000000000001E-4</v>
      </c>
      <c r="G155" s="1">
        <v>132416</v>
      </c>
      <c r="H155" s="76" t="s">
        <v>1187</v>
      </c>
      <c r="I155" s="1">
        <v>1E-3</v>
      </c>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row>
    <row r="156" spans="1:54" s="76" customFormat="1">
      <c r="A156" s="1">
        <v>142416</v>
      </c>
      <c r="B156" s="76" t="s">
        <v>1188</v>
      </c>
      <c r="C156" s="1">
        <v>0</v>
      </c>
      <c r="D156" s="1">
        <v>142416</v>
      </c>
      <c r="E156" s="76" t="s">
        <v>1188</v>
      </c>
      <c r="F156" s="1">
        <v>5.0000000000000001E-4</v>
      </c>
      <c r="G156" s="1">
        <v>142416</v>
      </c>
      <c r="H156" s="76" t="s">
        <v>1188</v>
      </c>
      <c r="I156" s="1">
        <v>1E-3</v>
      </c>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row>
    <row r="157" spans="1:54" s="76" customFormat="1">
      <c r="A157" s="1">
        <v>162416</v>
      </c>
      <c r="B157" s="76" t="s">
        <v>1189</v>
      </c>
      <c r="C157" s="1">
        <v>0</v>
      </c>
      <c r="D157" s="1">
        <v>162416</v>
      </c>
      <c r="E157" s="76" t="s">
        <v>1189</v>
      </c>
      <c r="F157" s="1">
        <v>5.0000000000000001E-4</v>
      </c>
      <c r="G157" s="1">
        <v>162416</v>
      </c>
      <c r="H157" s="76" t="s">
        <v>1189</v>
      </c>
      <c r="I157" s="1">
        <v>1E-3</v>
      </c>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row>
    <row r="158" spans="1:54" s="76" customFormat="1">
      <c r="A158" s="1">
        <v>152416</v>
      </c>
      <c r="B158" s="76" t="s">
        <v>1190</v>
      </c>
      <c r="C158" s="1">
        <v>0</v>
      </c>
      <c r="D158" s="1">
        <v>152416</v>
      </c>
      <c r="E158" s="76" t="s">
        <v>1190</v>
      </c>
      <c r="F158" s="1">
        <v>5.0000000000000001E-4</v>
      </c>
      <c r="G158" s="1">
        <v>152416</v>
      </c>
      <c r="H158" s="76" t="s">
        <v>1190</v>
      </c>
      <c r="I158" s="1">
        <v>1E-3</v>
      </c>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row>
    <row r="159" spans="1:54" s="76" customFormat="1">
      <c r="A159" s="1">
        <v>172416</v>
      </c>
      <c r="B159" s="76" t="s">
        <v>1191</v>
      </c>
      <c r="C159" s="1">
        <v>0</v>
      </c>
      <c r="D159" s="1">
        <v>172416</v>
      </c>
      <c r="E159" s="76" t="s">
        <v>1191</v>
      </c>
      <c r="F159" s="1">
        <v>5.0000000000000001E-4</v>
      </c>
      <c r="G159" s="1">
        <v>172416</v>
      </c>
      <c r="H159" s="76" t="s">
        <v>1191</v>
      </c>
      <c r="I159" s="1">
        <v>1E-3</v>
      </c>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row>
    <row r="160" spans="1:54" s="76" customFormat="1">
      <c r="A160" s="1">
        <v>113416</v>
      </c>
      <c r="B160" s="76" t="s">
        <v>1192</v>
      </c>
      <c r="C160" s="1">
        <v>0</v>
      </c>
      <c r="D160" s="1">
        <v>113416</v>
      </c>
      <c r="E160" s="76" t="s">
        <v>1192</v>
      </c>
      <c r="F160" s="1">
        <v>5.0000000000000001E-4</v>
      </c>
      <c r="G160" s="1">
        <v>113416</v>
      </c>
      <c r="H160" s="76" t="s">
        <v>1192</v>
      </c>
      <c r="I160" s="1">
        <v>1E-3</v>
      </c>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row>
    <row r="161" spans="1:54" s="76" customFormat="1">
      <c r="A161" s="1">
        <v>133416</v>
      </c>
      <c r="B161" s="76" t="s">
        <v>1193</v>
      </c>
      <c r="C161" s="1">
        <v>0</v>
      </c>
      <c r="D161" s="1">
        <v>133416</v>
      </c>
      <c r="E161" s="76" t="s">
        <v>1193</v>
      </c>
      <c r="F161" s="1">
        <v>5.0000000000000001E-4</v>
      </c>
      <c r="G161" s="1">
        <v>133416</v>
      </c>
      <c r="H161" s="76" t="s">
        <v>1193</v>
      </c>
      <c r="I161" s="1">
        <v>1E-3</v>
      </c>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row>
    <row r="162" spans="1:54" s="76" customFormat="1">
      <c r="A162" s="1">
        <v>143416</v>
      </c>
      <c r="B162" s="76" t="s">
        <v>1194</v>
      </c>
      <c r="C162" s="1">
        <v>0</v>
      </c>
      <c r="D162" s="1">
        <v>143416</v>
      </c>
      <c r="E162" s="76" t="s">
        <v>1194</v>
      </c>
      <c r="F162" s="1">
        <v>5.0000000000000001E-4</v>
      </c>
      <c r="G162" s="1">
        <v>143416</v>
      </c>
      <c r="H162" s="76" t="s">
        <v>1194</v>
      </c>
      <c r="I162" s="1">
        <v>1E-3</v>
      </c>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row>
    <row r="163" spans="1:54" s="76" customFormat="1">
      <c r="A163" s="1">
        <v>163416</v>
      </c>
      <c r="B163" s="76" t="s">
        <v>1195</v>
      </c>
      <c r="C163" s="1">
        <v>0</v>
      </c>
      <c r="D163" s="1">
        <v>163416</v>
      </c>
      <c r="E163" s="76" t="s">
        <v>1195</v>
      </c>
      <c r="F163" s="1">
        <v>5.0000000000000001E-4</v>
      </c>
      <c r="G163" s="1">
        <v>163416</v>
      </c>
      <c r="H163" s="76" t="s">
        <v>1195</v>
      </c>
      <c r="I163" s="1">
        <v>1E-3</v>
      </c>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row>
    <row r="164" spans="1:54" s="76" customFormat="1">
      <c r="A164" s="1">
        <v>153416</v>
      </c>
      <c r="B164" s="76" t="s">
        <v>1196</v>
      </c>
      <c r="C164" s="1">
        <v>0</v>
      </c>
      <c r="D164" s="1">
        <v>153416</v>
      </c>
      <c r="E164" s="76" t="s">
        <v>1196</v>
      </c>
      <c r="F164" s="1">
        <v>5.0000000000000001E-4</v>
      </c>
      <c r="G164" s="1">
        <v>153416</v>
      </c>
      <c r="H164" s="76" t="s">
        <v>1196</v>
      </c>
      <c r="I164" s="1">
        <v>1E-3</v>
      </c>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s="76" customFormat="1">
      <c r="A165" s="1">
        <v>173416</v>
      </c>
      <c r="B165" s="76" t="s">
        <v>1197</v>
      </c>
      <c r="C165" s="1">
        <v>0</v>
      </c>
      <c r="D165" s="1">
        <v>173416</v>
      </c>
      <c r="E165" s="76" t="s">
        <v>1197</v>
      </c>
      <c r="F165" s="1">
        <v>5.0000000000000001E-4</v>
      </c>
      <c r="G165" s="1">
        <v>173416</v>
      </c>
      <c r="H165" s="76" t="s">
        <v>1197</v>
      </c>
      <c r="I165" s="1">
        <v>1E-3</v>
      </c>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row>
    <row r="166" spans="1:54" s="76" customFormat="1">
      <c r="A166" s="1">
        <v>111417</v>
      </c>
      <c r="B166" s="76" t="s">
        <v>1198</v>
      </c>
      <c r="C166" s="1">
        <v>0</v>
      </c>
      <c r="D166" s="1">
        <v>111417</v>
      </c>
      <c r="E166" s="76" t="s">
        <v>1198</v>
      </c>
      <c r="F166" s="1">
        <v>0</v>
      </c>
      <c r="G166" s="1">
        <v>111417</v>
      </c>
      <c r="H166" s="76" t="s">
        <v>1198</v>
      </c>
      <c r="I166" s="1">
        <v>1E-3</v>
      </c>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row>
    <row r="167" spans="1:54" s="76" customFormat="1">
      <c r="A167" s="1">
        <v>131417</v>
      </c>
      <c r="B167" s="76" t="s">
        <v>1199</v>
      </c>
      <c r="C167" s="1">
        <v>0</v>
      </c>
      <c r="D167" s="1">
        <v>131417</v>
      </c>
      <c r="E167" s="76" t="s">
        <v>1199</v>
      </c>
      <c r="F167" s="1">
        <v>0</v>
      </c>
      <c r="G167" s="1">
        <v>131417</v>
      </c>
      <c r="H167" s="76" t="s">
        <v>1199</v>
      </c>
      <c r="I167" s="1">
        <v>1E-3</v>
      </c>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row>
    <row r="168" spans="1:54" s="76" customFormat="1">
      <c r="A168" s="1">
        <v>141417</v>
      </c>
      <c r="B168" s="76" t="s">
        <v>1200</v>
      </c>
      <c r="C168" s="1">
        <v>0</v>
      </c>
      <c r="D168" s="1">
        <v>141417</v>
      </c>
      <c r="E168" s="76" t="s">
        <v>1200</v>
      </c>
      <c r="F168" s="1">
        <v>0</v>
      </c>
      <c r="G168" s="1">
        <v>141417</v>
      </c>
      <c r="H168" s="76" t="s">
        <v>1200</v>
      </c>
      <c r="I168" s="1">
        <v>1E-3</v>
      </c>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row>
    <row r="169" spans="1:54" s="76" customFormat="1">
      <c r="A169" s="1">
        <v>161417</v>
      </c>
      <c r="B169" s="76" t="s">
        <v>1201</v>
      </c>
      <c r="C169" s="1">
        <v>0</v>
      </c>
      <c r="D169" s="1">
        <v>161417</v>
      </c>
      <c r="E169" s="76" t="s">
        <v>1201</v>
      </c>
      <c r="F169" s="1">
        <v>0</v>
      </c>
      <c r="G169" s="1">
        <v>161417</v>
      </c>
      <c r="H169" s="76" t="s">
        <v>1201</v>
      </c>
      <c r="I169" s="1">
        <v>1E-3</v>
      </c>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row>
    <row r="170" spans="1:54" s="76" customFormat="1">
      <c r="A170" s="1">
        <v>151417</v>
      </c>
      <c r="B170" s="76" t="s">
        <v>1202</v>
      </c>
      <c r="C170" s="1">
        <v>0</v>
      </c>
      <c r="D170" s="1">
        <v>151417</v>
      </c>
      <c r="E170" s="76" t="s">
        <v>1202</v>
      </c>
      <c r="F170" s="1">
        <v>0</v>
      </c>
      <c r="G170" s="1">
        <v>151417</v>
      </c>
      <c r="H170" s="76" t="s">
        <v>1202</v>
      </c>
      <c r="I170" s="1">
        <v>1E-3</v>
      </c>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row>
    <row r="171" spans="1:54" s="76" customFormat="1">
      <c r="A171" s="1">
        <v>171417</v>
      </c>
      <c r="B171" s="76" t="s">
        <v>1203</v>
      </c>
      <c r="C171" s="1">
        <v>0</v>
      </c>
      <c r="D171" s="1">
        <v>171417</v>
      </c>
      <c r="E171" s="76" t="s">
        <v>1203</v>
      </c>
      <c r="F171" s="1">
        <v>0</v>
      </c>
      <c r="G171" s="1">
        <v>171417</v>
      </c>
      <c r="H171" s="76" t="s">
        <v>1203</v>
      </c>
      <c r="I171" s="1">
        <v>1E-3</v>
      </c>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row>
    <row r="172" spans="1:54" s="76" customFormat="1">
      <c r="A172" s="1">
        <v>112417</v>
      </c>
      <c r="B172" s="76" t="s">
        <v>1204</v>
      </c>
      <c r="C172" s="1">
        <v>0</v>
      </c>
      <c r="D172" s="1">
        <v>112417</v>
      </c>
      <c r="E172" s="76" t="s">
        <v>1204</v>
      </c>
      <c r="F172" s="1">
        <v>0</v>
      </c>
      <c r="G172" s="1">
        <v>112417</v>
      </c>
      <c r="H172" s="76" t="s">
        <v>1204</v>
      </c>
      <c r="I172" s="1">
        <v>1E-3</v>
      </c>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row>
    <row r="173" spans="1:54" s="76" customFormat="1">
      <c r="A173" s="1">
        <v>132417</v>
      </c>
      <c r="B173" s="76" t="s">
        <v>1205</v>
      </c>
      <c r="C173" s="1">
        <v>0</v>
      </c>
      <c r="D173" s="1">
        <v>132417</v>
      </c>
      <c r="E173" s="76" t="s">
        <v>1205</v>
      </c>
      <c r="F173" s="1">
        <v>0</v>
      </c>
      <c r="G173" s="1">
        <v>132417</v>
      </c>
      <c r="H173" s="76" t="s">
        <v>1205</v>
      </c>
      <c r="I173" s="1">
        <v>0</v>
      </c>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row>
    <row r="174" spans="1:54" s="76" customFormat="1">
      <c r="A174" s="1">
        <v>142417</v>
      </c>
      <c r="B174" s="76" t="s">
        <v>1206</v>
      </c>
      <c r="C174" s="1">
        <v>0</v>
      </c>
      <c r="D174" s="1">
        <v>142417</v>
      </c>
      <c r="E174" s="76" t="s">
        <v>1206</v>
      </c>
      <c r="F174" s="1">
        <v>0</v>
      </c>
      <c r="G174" s="1">
        <v>142417</v>
      </c>
      <c r="H174" s="76" t="s">
        <v>1206</v>
      </c>
      <c r="I174" s="1">
        <v>0</v>
      </c>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row>
    <row r="175" spans="1:54" s="76" customFormat="1">
      <c r="A175" s="1">
        <v>162417</v>
      </c>
      <c r="B175" s="76" t="s">
        <v>1207</v>
      </c>
      <c r="C175" s="1">
        <v>0</v>
      </c>
      <c r="D175" s="1">
        <v>162417</v>
      </c>
      <c r="E175" s="76" t="s">
        <v>1207</v>
      </c>
      <c r="F175" s="1">
        <v>0</v>
      </c>
      <c r="G175" s="1">
        <v>162417</v>
      </c>
      <c r="H175" s="76" t="s">
        <v>1207</v>
      </c>
      <c r="I175" s="1">
        <v>0</v>
      </c>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row>
    <row r="176" spans="1:54" s="76" customFormat="1">
      <c r="A176" s="1">
        <v>152417</v>
      </c>
      <c r="B176" s="76" t="s">
        <v>1208</v>
      </c>
      <c r="C176" s="1">
        <v>0</v>
      </c>
      <c r="D176" s="1">
        <v>152417</v>
      </c>
      <c r="E176" s="76" t="s">
        <v>1208</v>
      </c>
      <c r="F176" s="1">
        <v>0</v>
      </c>
      <c r="G176" s="1">
        <v>152417</v>
      </c>
      <c r="H176" s="76" t="s">
        <v>1208</v>
      </c>
      <c r="I176" s="1">
        <v>0</v>
      </c>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row>
    <row r="177" spans="1:54" s="76" customFormat="1">
      <c r="A177" s="1">
        <v>172417</v>
      </c>
      <c r="B177" s="76" t="s">
        <v>1209</v>
      </c>
      <c r="C177" s="1">
        <v>0</v>
      </c>
      <c r="D177" s="1">
        <v>172417</v>
      </c>
      <c r="E177" s="76" t="s">
        <v>1209</v>
      </c>
      <c r="F177" s="1">
        <v>0</v>
      </c>
      <c r="G177" s="1">
        <v>172417</v>
      </c>
      <c r="H177" s="76" t="s">
        <v>1209</v>
      </c>
      <c r="I177" s="1">
        <v>0</v>
      </c>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row>
    <row r="178" spans="1:54" s="76" customFormat="1">
      <c r="A178" s="1">
        <v>113417</v>
      </c>
      <c r="B178" s="76" t="s">
        <v>1210</v>
      </c>
      <c r="C178" s="1">
        <v>0</v>
      </c>
      <c r="D178" s="1">
        <v>113417</v>
      </c>
      <c r="E178" s="76" t="s">
        <v>1210</v>
      </c>
      <c r="F178" s="1">
        <v>0</v>
      </c>
      <c r="G178" s="1">
        <v>113417</v>
      </c>
      <c r="H178" s="76" t="s">
        <v>1210</v>
      </c>
      <c r="I178" s="1">
        <v>0</v>
      </c>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row>
    <row r="179" spans="1:54" s="76" customFormat="1">
      <c r="A179" s="1">
        <v>133417</v>
      </c>
      <c r="B179" s="76" t="s">
        <v>1211</v>
      </c>
      <c r="C179" s="1">
        <v>0</v>
      </c>
      <c r="D179" s="1">
        <v>133417</v>
      </c>
      <c r="E179" s="76" t="s">
        <v>1211</v>
      </c>
      <c r="F179" s="1">
        <v>0</v>
      </c>
      <c r="G179" s="1">
        <v>133417</v>
      </c>
      <c r="H179" s="76" t="s">
        <v>1211</v>
      </c>
      <c r="I179" s="1">
        <v>0</v>
      </c>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row>
    <row r="180" spans="1:54" s="76" customFormat="1">
      <c r="A180" s="1">
        <v>143417</v>
      </c>
      <c r="B180" s="76" t="s">
        <v>1212</v>
      </c>
      <c r="C180" s="1">
        <v>0</v>
      </c>
      <c r="D180" s="1">
        <v>143417</v>
      </c>
      <c r="E180" s="76" t="s">
        <v>1212</v>
      </c>
      <c r="F180" s="1">
        <v>0</v>
      </c>
      <c r="G180" s="1">
        <v>143417</v>
      </c>
      <c r="H180" s="76" t="s">
        <v>1212</v>
      </c>
      <c r="I180" s="1">
        <v>0</v>
      </c>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row>
    <row r="181" spans="1:54" s="76" customFormat="1">
      <c r="A181" s="1">
        <v>163417</v>
      </c>
      <c r="B181" s="76" t="s">
        <v>1213</v>
      </c>
      <c r="C181" s="1">
        <v>0</v>
      </c>
      <c r="D181" s="1">
        <v>163417</v>
      </c>
      <c r="E181" s="76" t="s">
        <v>1213</v>
      </c>
      <c r="F181" s="1">
        <v>0</v>
      </c>
      <c r="G181" s="1">
        <v>163417</v>
      </c>
      <c r="H181" s="76" t="s">
        <v>1213</v>
      </c>
      <c r="I181" s="1">
        <v>0</v>
      </c>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row>
    <row r="182" spans="1:54" s="76" customFormat="1">
      <c r="A182" s="1">
        <v>153417</v>
      </c>
      <c r="B182" s="76" t="s">
        <v>1214</v>
      </c>
      <c r="C182" s="1">
        <v>0</v>
      </c>
      <c r="D182" s="1">
        <v>153417</v>
      </c>
      <c r="E182" s="76" t="s">
        <v>1214</v>
      </c>
      <c r="F182" s="1">
        <v>0</v>
      </c>
      <c r="G182" s="1">
        <v>153417</v>
      </c>
      <c r="H182" s="76" t="s">
        <v>1214</v>
      </c>
      <c r="I182" s="1">
        <v>0</v>
      </c>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row>
    <row r="183" spans="1:54" s="76" customFormat="1">
      <c r="A183" s="1">
        <v>173417</v>
      </c>
      <c r="B183" s="76" t="s">
        <v>1215</v>
      </c>
      <c r="C183" s="1">
        <v>0</v>
      </c>
      <c r="D183" s="1">
        <v>173417</v>
      </c>
      <c r="E183" s="76" t="s">
        <v>1215</v>
      </c>
      <c r="F183" s="1">
        <v>0</v>
      </c>
      <c r="G183" s="1">
        <v>173417</v>
      </c>
      <c r="H183" s="76" t="s">
        <v>1215</v>
      </c>
      <c r="I183" s="1">
        <v>0</v>
      </c>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row>
    <row r="184" spans="1:54" s="76" customFormat="1">
      <c r="A184" s="1">
        <v>111418</v>
      </c>
      <c r="B184" s="76" t="s">
        <v>1216</v>
      </c>
      <c r="C184" s="1">
        <v>0</v>
      </c>
      <c r="D184" s="1">
        <v>111418</v>
      </c>
      <c r="E184" s="76" t="s">
        <v>1216</v>
      </c>
      <c r="F184" s="1">
        <v>0</v>
      </c>
      <c r="G184" s="1">
        <v>111418</v>
      </c>
      <c r="H184" s="76" t="s">
        <v>1216</v>
      </c>
      <c r="I184" s="1">
        <v>0</v>
      </c>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row>
    <row r="185" spans="1:54" s="76" customFormat="1">
      <c r="A185" s="1">
        <v>131418</v>
      </c>
      <c r="B185" s="76" t="s">
        <v>1217</v>
      </c>
      <c r="C185" s="1">
        <v>0</v>
      </c>
      <c r="D185" s="1">
        <v>131418</v>
      </c>
      <c r="E185" s="76" t="s">
        <v>1217</v>
      </c>
      <c r="F185" s="1">
        <v>0</v>
      </c>
      <c r="G185" s="1">
        <v>131418</v>
      </c>
      <c r="H185" s="76" t="s">
        <v>1217</v>
      </c>
      <c r="I185" s="1">
        <v>0</v>
      </c>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row>
    <row r="186" spans="1:54" s="76" customFormat="1">
      <c r="A186" s="1">
        <v>141418</v>
      </c>
      <c r="B186" s="76" t="s">
        <v>1218</v>
      </c>
      <c r="C186" s="1">
        <v>0</v>
      </c>
      <c r="D186" s="1">
        <v>141418</v>
      </c>
      <c r="E186" s="76" t="s">
        <v>1218</v>
      </c>
      <c r="F186" s="1">
        <v>0</v>
      </c>
      <c r="G186" s="1">
        <v>141418</v>
      </c>
      <c r="H186" s="76" t="s">
        <v>1218</v>
      </c>
      <c r="I186" s="1">
        <v>0</v>
      </c>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row>
    <row r="187" spans="1:54" s="76" customFormat="1">
      <c r="A187" s="1">
        <v>161418</v>
      </c>
      <c r="B187" s="76" t="s">
        <v>1219</v>
      </c>
      <c r="C187" s="1">
        <v>0</v>
      </c>
      <c r="D187" s="1">
        <v>161418</v>
      </c>
      <c r="E187" s="76" t="s">
        <v>1219</v>
      </c>
      <c r="F187" s="1">
        <v>0</v>
      </c>
      <c r="G187" s="1">
        <v>161418</v>
      </c>
      <c r="H187" s="76" t="s">
        <v>1219</v>
      </c>
      <c r="I187" s="1">
        <v>0</v>
      </c>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row>
    <row r="188" spans="1:54" s="76" customFormat="1">
      <c r="A188" s="1">
        <v>151418</v>
      </c>
      <c r="B188" s="76" t="s">
        <v>1220</v>
      </c>
      <c r="C188" s="1">
        <v>0</v>
      </c>
      <c r="D188" s="1">
        <v>151418</v>
      </c>
      <c r="E188" s="76" t="s">
        <v>1220</v>
      </c>
      <c r="F188" s="1">
        <v>0</v>
      </c>
      <c r="G188" s="1">
        <v>151418</v>
      </c>
      <c r="H188" s="76" t="s">
        <v>1220</v>
      </c>
      <c r="I188" s="1">
        <v>0</v>
      </c>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row>
    <row r="189" spans="1:54" s="76" customFormat="1">
      <c r="A189" s="1">
        <v>171418</v>
      </c>
      <c r="B189" s="76" t="s">
        <v>1221</v>
      </c>
      <c r="C189" s="1">
        <v>0</v>
      </c>
      <c r="D189" s="1">
        <v>171418</v>
      </c>
      <c r="E189" s="76" t="s">
        <v>1221</v>
      </c>
      <c r="F189" s="1">
        <v>0</v>
      </c>
      <c r="G189" s="1">
        <v>171418</v>
      </c>
      <c r="H189" s="76" t="s">
        <v>1221</v>
      </c>
      <c r="I189" s="1">
        <v>0</v>
      </c>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row>
    <row r="190" spans="1:54" s="76" customFormat="1">
      <c r="A190" s="1">
        <v>112418</v>
      </c>
      <c r="B190" s="76" t="s">
        <v>1222</v>
      </c>
      <c r="C190" s="1">
        <v>0</v>
      </c>
      <c r="D190" s="1">
        <v>112418</v>
      </c>
      <c r="E190" s="76" t="s">
        <v>1222</v>
      </c>
      <c r="F190" s="1">
        <v>0</v>
      </c>
      <c r="G190" s="1">
        <v>112418</v>
      </c>
      <c r="H190" s="76" t="s">
        <v>1222</v>
      </c>
      <c r="I190" s="1">
        <v>0</v>
      </c>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row>
    <row r="191" spans="1:54" s="76" customFormat="1">
      <c r="A191" s="1">
        <v>132418</v>
      </c>
      <c r="B191" s="76" t="s">
        <v>1223</v>
      </c>
      <c r="C191" s="1">
        <v>0</v>
      </c>
      <c r="D191" s="1">
        <v>132418</v>
      </c>
      <c r="E191" s="76" t="s">
        <v>1223</v>
      </c>
      <c r="F191" s="1">
        <v>0</v>
      </c>
      <c r="G191" s="1">
        <v>132418</v>
      </c>
      <c r="H191" s="76" t="s">
        <v>1223</v>
      </c>
      <c r="I191" s="1">
        <v>0</v>
      </c>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row>
    <row r="192" spans="1:54" s="76" customFormat="1">
      <c r="A192" s="1">
        <v>142418</v>
      </c>
      <c r="B192" s="76" t="s">
        <v>1224</v>
      </c>
      <c r="C192" s="1">
        <v>0</v>
      </c>
      <c r="D192" s="1">
        <v>142418</v>
      </c>
      <c r="E192" s="76" t="s">
        <v>1224</v>
      </c>
      <c r="F192" s="1">
        <v>0</v>
      </c>
      <c r="G192" s="1">
        <v>142418</v>
      </c>
      <c r="H192" s="76" t="s">
        <v>1224</v>
      </c>
      <c r="I192" s="1">
        <v>0</v>
      </c>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row>
    <row r="193" spans="1:54" s="76" customFormat="1">
      <c r="A193" s="1">
        <v>162418</v>
      </c>
      <c r="B193" s="76" t="s">
        <v>1225</v>
      </c>
      <c r="C193" s="1">
        <v>0</v>
      </c>
      <c r="D193" s="1">
        <v>162418</v>
      </c>
      <c r="E193" s="76" t="s">
        <v>1225</v>
      </c>
      <c r="F193" s="1">
        <v>0</v>
      </c>
      <c r="G193" s="1">
        <v>162418</v>
      </c>
      <c r="H193" s="76" t="s">
        <v>1225</v>
      </c>
      <c r="I193" s="1">
        <v>0</v>
      </c>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row>
    <row r="194" spans="1:54" s="76" customFormat="1">
      <c r="A194" s="1">
        <v>152418</v>
      </c>
      <c r="B194" s="76" t="s">
        <v>1226</v>
      </c>
      <c r="C194" s="1">
        <v>0</v>
      </c>
      <c r="D194" s="1">
        <v>152418</v>
      </c>
      <c r="E194" s="76" t="s">
        <v>1226</v>
      </c>
      <c r="F194" s="1">
        <v>0</v>
      </c>
      <c r="G194" s="1">
        <v>152418</v>
      </c>
      <c r="H194" s="76" t="s">
        <v>1226</v>
      </c>
      <c r="I194" s="1">
        <v>0</v>
      </c>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row>
    <row r="195" spans="1:54" s="76" customFormat="1">
      <c r="A195" s="1">
        <v>172418</v>
      </c>
      <c r="B195" s="76" t="s">
        <v>1227</v>
      </c>
      <c r="C195" s="1">
        <v>0</v>
      </c>
      <c r="D195" s="1">
        <v>172418</v>
      </c>
      <c r="E195" s="76" t="s">
        <v>1227</v>
      </c>
      <c r="F195" s="1">
        <v>0</v>
      </c>
      <c r="G195" s="1">
        <v>172418</v>
      </c>
      <c r="H195" s="76" t="s">
        <v>1227</v>
      </c>
      <c r="I195" s="1">
        <v>0</v>
      </c>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row>
    <row r="196" spans="1:54" s="76" customFormat="1">
      <c r="A196" s="1">
        <v>113418</v>
      </c>
      <c r="B196" s="76" t="s">
        <v>1228</v>
      </c>
      <c r="C196" s="1">
        <v>0</v>
      </c>
      <c r="D196" s="1">
        <v>113418</v>
      </c>
      <c r="E196" s="76" t="s">
        <v>1228</v>
      </c>
      <c r="F196" s="1">
        <v>0</v>
      </c>
      <c r="G196" s="1">
        <v>113418</v>
      </c>
      <c r="H196" s="76" t="s">
        <v>1228</v>
      </c>
      <c r="I196" s="1">
        <v>0</v>
      </c>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row>
    <row r="197" spans="1:54" s="76" customFormat="1">
      <c r="A197" s="1">
        <v>133418</v>
      </c>
      <c r="B197" s="76" t="s">
        <v>1229</v>
      </c>
      <c r="C197" s="1">
        <v>0</v>
      </c>
      <c r="D197" s="1">
        <v>133418</v>
      </c>
      <c r="E197" s="76" t="s">
        <v>1229</v>
      </c>
      <c r="F197" s="1">
        <v>0</v>
      </c>
      <c r="G197" s="1">
        <v>133418</v>
      </c>
      <c r="H197" s="76" t="s">
        <v>1229</v>
      </c>
      <c r="I197" s="1">
        <v>0</v>
      </c>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row>
    <row r="198" spans="1:54" s="76" customFormat="1">
      <c r="A198" s="1">
        <v>143418</v>
      </c>
      <c r="B198" s="76" t="s">
        <v>1230</v>
      </c>
      <c r="C198" s="1">
        <v>0</v>
      </c>
      <c r="D198" s="1">
        <v>143418</v>
      </c>
      <c r="E198" s="76" t="s">
        <v>1230</v>
      </c>
      <c r="F198" s="1">
        <v>0</v>
      </c>
      <c r="G198" s="1">
        <v>143418</v>
      </c>
      <c r="H198" s="76" t="s">
        <v>1230</v>
      </c>
      <c r="I198" s="1">
        <v>0</v>
      </c>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row>
    <row r="199" spans="1:54" s="76" customFormat="1">
      <c r="A199" s="1">
        <v>163418</v>
      </c>
      <c r="B199" s="76" t="s">
        <v>1231</v>
      </c>
      <c r="C199" s="1">
        <v>0</v>
      </c>
      <c r="D199" s="1">
        <v>163418</v>
      </c>
      <c r="E199" s="76" t="s">
        <v>1231</v>
      </c>
      <c r="F199" s="1">
        <v>0</v>
      </c>
      <c r="G199" s="1">
        <v>163418</v>
      </c>
      <c r="H199" s="76" t="s">
        <v>1231</v>
      </c>
      <c r="I199" s="1">
        <v>0</v>
      </c>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row>
    <row r="200" spans="1:54" s="76" customFormat="1">
      <c r="A200" s="1">
        <v>153418</v>
      </c>
      <c r="B200" s="76" t="s">
        <v>1232</v>
      </c>
      <c r="C200" s="1">
        <v>0</v>
      </c>
      <c r="D200" s="1">
        <v>153418</v>
      </c>
      <c r="E200" s="76" t="s">
        <v>1232</v>
      </c>
      <c r="F200" s="1">
        <v>0</v>
      </c>
      <c r="G200" s="1">
        <v>153418</v>
      </c>
      <c r="H200" s="76" t="s">
        <v>1232</v>
      </c>
      <c r="I200" s="1">
        <v>0</v>
      </c>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row>
    <row r="201" spans="1:54" s="76" customFormat="1">
      <c r="A201" s="1">
        <v>173418</v>
      </c>
      <c r="B201" s="76" t="s">
        <v>1233</v>
      </c>
      <c r="C201" s="1">
        <v>0</v>
      </c>
      <c r="D201" s="1">
        <v>173418</v>
      </c>
      <c r="E201" s="76" t="s">
        <v>1233</v>
      </c>
      <c r="F201" s="1">
        <v>0</v>
      </c>
      <c r="G201" s="1">
        <v>173418</v>
      </c>
      <c r="H201" s="76" t="s">
        <v>1233</v>
      </c>
      <c r="I201" s="1">
        <v>0</v>
      </c>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row>
    <row r="202" spans="1:54" s="76" customFormat="1">
      <c r="A202" s="1">
        <v>111419</v>
      </c>
      <c r="B202" s="76" t="s">
        <v>1234</v>
      </c>
      <c r="C202" s="1">
        <v>0</v>
      </c>
      <c r="D202" s="1">
        <v>111419</v>
      </c>
      <c r="E202" s="76" t="s">
        <v>1234</v>
      </c>
      <c r="F202" s="1">
        <v>0</v>
      </c>
      <c r="G202" s="1">
        <v>111419</v>
      </c>
      <c r="H202" s="76" t="s">
        <v>1234</v>
      </c>
      <c r="I202" s="1">
        <v>0</v>
      </c>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row>
    <row r="203" spans="1:54" s="76" customFormat="1">
      <c r="A203" s="1">
        <v>131419</v>
      </c>
      <c r="B203" s="76" t="s">
        <v>1235</v>
      </c>
      <c r="C203" s="1">
        <v>0</v>
      </c>
      <c r="D203" s="1">
        <v>131419</v>
      </c>
      <c r="E203" s="76" t="s">
        <v>1235</v>
      </c>
      <c r="F203" s="1">
        <v>0</v>
      </c>
      <c r="G203" s="1">
        <v>131419</v>
      </c>
      <c r="H203" s="76" t="s">
        <v>1235</v>
      </c>
      <c r="I203" s="1">
        <v>0</v>
      </c>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row>
    <row r="204" spans="1:54" s="76" customFormat="1">
      <c r="A204" s="1">
        <v>141419</v>
      </c>
      <c r="B204" s="76" t="s">
        <v>1236</v>
      </c>
      <c r="C204" s="1">
        <v>0</v>
      </c>
      <c r="D204" s="1">
        <v>141419</v>
      </c>
      <c r="E204" s="76" t="s">
        <v>1236</v>
      </c>
      <c r="F204" s="1">
        <v>0</v>
      </c>
      <c r="G204" s="1">
        <v>141419</v>
      </c>
      <c r="H204" s="76" t="s">
        <v>1236</v>
      </c>
      <c r="I204" s="1">
        <v>0</v>
      </c>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row>
    <row r="205" spans="1:54" s="76" customFormat="1">
      <c r="A205" s="1">
        <v>161419</v>
      </c>
      <c r="B205" s="76" t="s">
        <v>1237</v>
      </c>
      <c r="C205" s="1">
        <v>0</v>
      </c>
      <c r="D205" s="1">
        <v>161419</v>
      </c>
      <c r="E205" s="76" t="s">
        <v>1237</v>
      </c>
      <c r="F205" s="1">
        <v>0</v>
      </c>
      <c r="G205" s="1">
        <v>161419</v>
      </c>
      <c r="H205" s="76" t="s">
        <v>1237</v>
      </c>
      <c r="I205" s="1">
        <v>0</v>
      </c>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row>
    <row r="206" spans="1:54" s="76" customFormat="1">
      <c r="A206" s="1">
        <v>151419</v>
      </c>
      <c r="B206" s="76" t="s">
        <v>1238</v>
      </c>
      <c r="C206" s="1">
        <v>0</v>
      </c>
      <c r="D206" s="1">
        <v>151419</v>
      </c>
      <c r="E206" s="76" t="s">
        <v>1238</v>
      </c>
      <c r="F206" s="1">
        <v>0</v>
      </c>
      <c r="G206" s="1">
        <v>151419</v>
      </c>
      <c r="H206" s="76" t="s">
        <v>1238</v>
      </c>
      <c r="I206" s="1">
        <v>0</v>
      </c>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row>
    <row r="207" spans="1:54" s="76" customFormat="1">
      <c r="A207" s="1">
        <v>171419</v>
      </c>
      <c r="B207" s="76" t="s">
        <v>1239</v>
      </c>
      <c r="C207" s="1">
        <v>0</v>
      </c>
      <c r="D207" s="1">
        <v>171419</v>
      </c>
      <c r="E207" s="76" t="s">
        <v>1239</v>
      </c>
      <c r="F207" s="1">
        <v>0</v>
      </c>
      <c r="G207" s="1">
        <v>171419</v>
      </c>
      <c r="H207" s="76" t="s">
        <v>1239</v>
      </c>
      <c r="I207" s="1">
        <v>0</v>
      </c>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row>
    <row r="208" spans="1:54" s="76" customFormat="1">
      <c r="A208" s="1">
        <v>112419</v>
      </c>
      <c r="B208" s="76" t="s">
        <v>1240</v>
      </c>
      <c r="C208" s="1">
        <v>0</v>
      </c>
      <c r="D208" s="1">
        <v>112419</v>
      </c>
      <c r="E208" s="76" t="s">
        <v>1240</v>
      </c>
      <c r="F208" s="1">
        <v>0</v>
      </c>
      <c r="G208" s="1">
        <v>112419</v>
      </c>
      <c r="H208" s="76" t="s">
        <v>1240</v>
      </c>
      <c r="I208" s="1">
        <v>0</v>
      </c>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row>
    <row r="209" spans="1:54" s="76" customFormat="1">
      <c r="A209" s="1">
        <v>132419</v>
      </c>
      <c r="B209" s="76" t="s">
        <v>1241</v>
      </c>
      <c r="C209" s="1">
        <v>0</v>
      </c>
      <c r="D209" s="1">
        <v>132419</v>
      </c>
      <c r="E209" s="76" t="s">
        <v>1241</v>
      </c>
      <c r="F209" s="1">
        <v>0</v>
      </c>
      <c r="G209" s="1">
        <v>132419</v>
      </c>
      <c r="H209" s="76" t="s">
        <v>1241</v>
      </c>
      <c r="I209" s="1">
        <v>0</v>
      </c>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row>
    <row r="210" spans="1:54" s="76" customFormat="1">
      <c r="A210" s="1">
        <v>142419</v>
      </c>
      <c r="B210" s="76" t="s">
        <v>1242</v>
      </c>
      <c r="C210" s="1">
        <v>0</v>
      </c>
      <c r="D210" s="1">
        <v>142419</v>
      </c>
      <c r="E210" s="76" t="s">
        <v>1242</v>
      </c>
      <c r="F210" s="1">
        <v>0</v>
      </c>
      <c r="G210" s="1">
        <v>142419</v>
      </c>
      <c r="H210" s="76" t="s">
        <v>1242</v>
      </c>
      <c r="I210" s="1">
        <v>0</v>
      </c>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row>
    <row r="211" spans="1:54" s="76" customFormat="1">
      <c r="A211" s="1">
        <v>162419</v>
      </c>
      <c r="B211" s="76" t="s">
        <v>1243</v>
      </c>
      <c r="C211" s="1">
        <v>0</v>
      </c>
      <c r="D211" s="1">
        <v>162419</v>
      </c>
      <c r="E211" s="76" t="s">
        <v>1243</v>
      </c>
      <c r="F211" s="1">
        <v>0</v>
      </c>
      <c r="G211" s="1">
        <v>162419</v>
      </c>
      <c r="H211" s="76" t="s">
        <v>1243</v>
      </c>
      <c r="I211" s="1">
        <v>0</v>
      </c>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row>
    <row r="212" spans="1:54" s="76" customFormat="1">
      <c r="A212" s="1">
        <v>152419</v>
      </c>
      <c r="B212" s="76" t="s">
        <v>1244</v>
      </c>
      <c r="C212" s="1">
        <v>0</v>
      </c>
      <c r="D212" s="1">
        <v>152419</v>
      </c>
      <c r="E212" s="76" t="s">
        <v>1244</v>
      </c>
      <c r="F212" s="1">
        <v>0</v>
      </c>
      <c r="G212" s="1">
        <v>152419</v>
      </c>
      <c r="H212" s="76" t="s">
        <v>1244</v>
      </c>
      <c r="I212" s="1">
        <v>0</v>
      </c>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row>
    <row r="213" spans="1:54" s="76" customFormat="1">
      <c r="A213" s="1">
        <v>172419</v>
      </c>
      <c r="B213" s="76" t="s">
        <v>1245</v>
      </c>
      <c r="C213" s="1">
        <v>0</v>
      </c>
      <c r="D213" s="1">
        <v>172419</v>
      </c>
      <c r="E213" s="76" t="s">
        <v>1245</v>
      </c>
      <c r="F213" s="1">
        <v>0</v>
      </c>
      <c r="G213" s="1">
        <v>172419</v>
      </c>
      <c r="H213" s="76" t="s">
        <v>1245</v>
      </c>
      <c r="I213" s="1">
        <v>0</v>
      </c>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row>
    <row r="214" spans="1:54" s="76" customFormat="1">
      <c r="A214" s="1">
        <v>113419</v>
      </c>
      <c r="B214" s="76" t="s">
        <v>1246</v>
      </c>
      <c r="C214" s="1">
        <v>0</v>
      </c>
      <c r="D214" s="1">
        <v>113419</v>
      </c>
      <c r="E214" s="76" t="s">
        <v>1246</v>
      </c>
      <c r="F214" s="1">
        <v>0</v>
      </c>
      <c r="G214" s="1">
        <v>113419</v>
      </c>
      <c r="H214" s="76" t="s">
        <v>1246</v>
      </c>
      <c r="I214" s="1">
        <v>0</v>
      </c>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row>
    <row r="215" spans="1:54" s="76" customFormat="1">
      <c r="A215" s="1">
        <v>133419</v>
      </c>
      <c r="B215" s="76" t="s">
        <v>1247</v>
      </c>
      <c r="C215" s="1">
        <v>0</v>
      </c>
      <c r="D215" s="1">
        <v>133419</v>
      </c>
      <c r="E215" s="76" t="s">
        <v>1247</v>
      </c>
      <c r="F215" s="1">
        <v>0</v>
      </c>
      <c r="G215" s="1">
        <v>133419</v>
      </c>
      <c r="H215" s="76" t="s">
        <v>1247</v>
      </c>
      <c r="I215" s="1">
        <v>0</v>
      </c>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row>
    <row r="216" spans="1:54" s="76" customFormat="1">
      <c r="A216" s="1">
        <v>143419</v>
      </c>
      <c r="B216" s="76" t="s">
        <v>1248</v>
      </c>
      <c r="C216" s="1">
        <v>0</v>
      </c>
      <c r="D216" s="1">
        <v>143419</v>
      </c>
      <c r="E216" s="76" t="s">
        <v>1248</v>
      </c>
      <c r="F216" s="1">
        <v>0</v>
      </c>
      <c r="G216" s="1">
        <v>143419</v>
      </c>
      <c r="H216" s="76" t="s">
        <v>1248</v>
      </c>
      <c r="I216" s="1">
        <v>0</v>
      </c>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row>
    <row r="217" spans="1:54" s="76" customFormat="1">
      <c r="A217" s="1">
        <v>163419</v>
      </c>
      <c r="B217" s="76" t="s">
        <v>1249</v>
      </c>
      <c r="C217" s="1">
        <v>0</v>
      </c>
      <c r="D217" s="1">
        <v>163419</v>
      </c>
      <c r="E217" s="76" t="s">
        <v>1249</v>
      </c>
      <c r="F217" s="1">
        <v>0</v>
      </c>
      <c r="G217" s="1">
        <v>163419</v>
      </c>
      <c r="H217" s="76" t="s">
        <v>1249</v>
      </c>
      <c r="I217" s="1">
        <v>0</v>
      </c>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row>
    <row r="218" spans="1:54" s="76" customFormat="1">
      <c r="A218" s="1">
        <v>153419</v>
      </c>
      <c r="B218" s="76" t="s">
        <v>1250</v>
      </c>
      <c r="C218" s="1">
        <v>0</v>
      </c>
      <c r="D218" s="1">
        <v>153419</v>
      </c>
      <c r="E218" s="76" t="s">
        <v>1250</v>
      </c>
      <c r="F218" s="1">
        <v>0</v>
      </c>
      <c r="G218" s="1">
        <v>153419</v>
      </c>
      <c r="H218" s="76" t="s">
        <v>1250</v>
      </c>
      <c r="I218" s="1">
        <v>0</v>
      </c>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row>
    <row r="219" spans="1:54" s="76" customFormat="1">
      <c r="A219" s="1">
        <v>173419</v>
      </c>
      <c r="B219" s="76" t="s">
        <v>1251</v>
      </c>
      <c r="C219" s="1">
        <v>0</v>
      </c>
      <c r="D219" s="1">
        <v>173419</v>
      </c>
      <c r="E219" s="76" t="s">
        <v>1251</v>
      </c>
      <c r="F219" s="1">
        <v>0</v>
      </c>
      <c r="G219" s="1">
        <v>173419</v>
      </c>
      <c r="H219" s="76" t="s">
        <v>1251</v>
      </c>
      <c r="I219" s="1">
        <v>0</v>
      </c>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row>
    <row r="220" spans="1:54" s="76" customFormat="1">
      <c r="A220" s="1">
        <v>111420</v>
      </c>
      <c r="B220" s="76" t="s">
        <v>1252</v>
      </c>
      <c r="C220" s="1">
        <v>0</v>
      </c>
      <c r="D220" s="1">
        <v>111420</v>
      </c>
      <c r="E220" s="76" t="s">
        <v>1252</v>
      </c>
      <c r="F220" s="1">
        <v>0</v>
      </c>
      <c r="G220" s="1">
        <v>111420</v>
      </c>
      <c r="H220" s="76" t="s">
        <v>1252</v>
      </c>
      <c r="I220" s="1">
        <v>0</v>
      </c>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row>
    <row r="221" spans="1:54" s="76" customFormat="1">
      <c r="A221" s="1">
        <v>131420</v>
      </c>
      <c r="B221" s="76" t="s">
        <v>1253</v>
      </c>
      <c r="C221" s="1">
        <v>0</v>
      </c>
      <c r="D221" s="1">
        <v>131420</v>
      </c>
      <c r="E221" s="76" t="s">
        <v>1253</v>
      </c>
      <c r="F221" s="1">
        <v>0</v>
      </c>
      <c r="G221" s="1">
        <v>131420</v>
      </c>
      <c r="H221" s="76" t="s">
        <v>1253</v>
      </c>
      <c r="I221" s="1">
        <v>0</v>
      </c>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row>
    <row r="222" spans="1:54" s="76" customFormat="1">
      <c r="A222" s="1">
        <v>141420</v>
      </c>
      <c r="B222" s="76" t="s">
        <v>1254</v>
      </c>
      <c r="C222" s="1">
        <v>0</v>
      </c>
      <c r="D222" s="1">
        <v>141420</v>
      </c>
      <c r="E222" s="76" t="s">
        <v>1254</v>
      </c>
      <c r="F222" s="1">
        <v>0</v>
      </c>
      <c r="G222" s="1">
        <v>141420</v>
      </c>
      <c r="H222" s="76" t="s">
        <v>1254</v>
      </c>
      <c r="I222" s="1">
        <v>0</v>
      </c>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row>
    <row r="223" spans="1:54" s="76" customFormat="1">
      <c r="A223" s="1">
        <v>161420</v>
      </c>
      <c r="B223" s="76" t="s">
        <v>1255</v>
      </c>
      <c r="C223" s="1">
        <v>0</v>
      </c>
      <c r="D223" s="1">
        <v>161420</v>
      </c>
      <c r="E223" s="76" t="s">
        <v>1255</v>
      </c>
      <c r="F223" s="1">
        <v>0</v>
      </c>
      <c r="G223" s="1">
        <v>161420</v>
      </c>
      <c r="H223" s="76" t="s">
        <v>1255</v>
      </c>
      <c r="I223" s="1">
        <v>0</v>
      </c>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row>
    <row r="224" spans="1:54" s="76" customFormat="1">
      <c r="A224" s="1">
        <v>151420</v>
      </c>
      <c r="B224" s="76" t="s">
        <v>1256</v>
      </c>
      <c r="C224" s="1">
        <v>0</v>
      </c>
      <c r="D224" s="1">
        <v>151420</v>
      </c>
      <c r="E224" s="76" t="s">
        <v>1256</v>
      </c>
      <c r="F224" s="1">
        <v>0</v>
      </c>
      <c r="G224" s="1">
        <v>151420</v>
      </c>
      <c r="H224" s="76" t="s">
        <v>1256</v>
      </c>
      <c r="I224" s="1">
        <v>0</v>
      </c>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row>
    <row r="225" spans="1:54" s="76" customFormat="1">
      <c r="A225" s="1">
        <v>171420</v>
      </c>
      <c r="B225" s="76" t="s">
        <v>1257</v>
      </c>
      <c r="C225" s="1">
        <v>0</v>
      </c>
      <c r="D225" s="1">
        <v>171420</v>
      </c>
      <c r="E225" s="76" t="s">
        <v>1257</v>
      </c>
      <c r="F225" s="1">
        <v>0</v>
      </c>
      <c r="G225" s="1">
        <v>171420</v>
      </c>
      <c r="H225" s="76" t="s">
        <v>1257</v>
      </c>
      <c r="I225" s="1">
        <v>0</v>
      </c>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row>
    <row r="226" spans="1:54" s="76" customFormat="1">
      <c r="A226" s="1">
        <v>112420</v>
      </c>
      <c r="B226" s="76" t="s">
        <v>1258</v>
      </c>
      <c r="C226" s="1">
        <v>0</v>
      </c>
      <c r="D226" s="1">
        <v>112420</v>
      </c>
      <c r="E226" s="76" t="s">
        <v>1258</v>
      </c>
      <c r="F226" s="1">
        <v>0</v>
      </c>
      <c r="G226" s="1">
        <v>112420</v>
      </c>
      <c r="H226" s="76" t="s">
        <v>1258</v>
      </c>
      <c r="I226" s="1">
        <v>0</v>
      </c>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row>
    <row r="227" spans="1:54" s="76" customFormat="1">
      <c r="A227" s="1">
        <v>132420</v>
      </c>
      <c r="B227" s="76" t="s">
        <v>1259</v>
      </c>
      <c r="C227" s="1">
        <v>0</v>
      </c>
      <c r="D227" s="1">
        <v>132420</v>
      </c>
      <c r="E227" s="76" t="s">
        <v>1259</v>
      </c>
      <c r="F227" s="1">
        <v>0</v>
      </c>
      <c r="G227" s="1">
        <v>132420</v>
      </c>
      <c r="H227" s="76" t="s">
        <v>1259</v>
      </c>
      <c r="I227" s="1">
        <v>0</v>
      </c>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row>
    <row r="228" spans="1:54" s="76" customFormat="1">
      <c r="A228" s="1">
        <v>142420</v>
      </c>
      <c r="B228" s="76" t="s">
        <v>1260</v>
      </c>
      <c r="C228" s="1">
        <v>0</v>
      </c>
      <c r="D228" s="1">
        <v>142420</v>
      </c>
      <c r="E228" s="76" t="s">
        <v>1260</v>
      </c>
      <c r="F228" s="1">
        <v>0</v>
      </c>
      <c r="G228" s="1">
        <v>142420</v>
      </c>
      <c r="H228" s="76" t="s">
        <v>1260</v>
      </c>
      <c r="I228" s="1">
        <v>0</v>
      </c>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row>
    <row r="229" spans="1:54" s="76" customFormat="1">
      <c r="A229" s="1">
        <v>162420</v>
      </c>
      <c r="B229" s="76" t="s">
        <v>1261</v>
      </c>
      <c r="C229" s="1">
        <v>0</v>
      </c>
      <c r="D229" s="1">
        <v>162420</v>
      </c>
      <c r="E229" s="76" t="s">
        <v>1261</v>
      </c>
      <c r="F229" s="1">
        <v>0</v>
      </c>
      <c r="G229" s="1">
        <v>162420</v>
      </c>
      <c r="H229" s="76" t="s">
        <v>1261</v>
      </c>
      <c r="I229" s="1">
        <v>0</v>
      </c>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row>
    <row r="230" spans="1:54" s="76" customFormat="1">
      <c r="A230" s="1">
        <v>152420</v>
      </c>
      <c r="B230" s="76" t="s">
        <v>1262</v>
      </c>
      <c r="C230" s="1">
        <v>0</v>
      </c>
      <c r="D230" s="1">
        <v>152420</v>
      </c>
      <c r="E230" s="76" t="s">
        <v>1262</v>
      </c>
      <c r="F230" s="1">
        <v>0</v>
      </c>
      <c r="G230" s="1">
        <v>152420</v>
      </c>
      <c r="H230" s="76" t="s">
        <v>1262</v>
      </c>
      <c r="I230" s="1">
        <v>0</v>
      </c>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row>
    <row r="231" spans="1:54" s="76" customFormat="1">
      <c r="A231" s="1">
        <v>172420</v>
      </c>
      <c r="B231" s="76" t="s">
        <v>1263</v>
      </c>
      <c r="C231" s="1">
        <v>0</v>
      </c>
      <c r="D231" s="1">
        <v>172420</v>
      </c>
      <c r="E231" s="76" t="s">
        <v>1263</v>
      </c>
      <c r="F231" s="1">
        <v>0</v>
      </c>
      <c r="G231" s="1">
        <v>172420</v>
      </c>
      <c r="H231" s="76" t="s">
        <v>1263</v>
      </c>
      <c r="I231" s="1">
        <v>0</v>
      </c>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row>
    <row r="232" spans="1:54" s="76" customFormat="1">
      <c r="A232" s="1">
        <v>113420</v>
      </c>
      <c r="B232" s="76" t="s">
        <v>1264</v>
      </c>
      <c r="C232" s="1">
        <v>0</v>
      </c>
      <c r="D232" s="1">
        <v>113420</v>
      </c>
      <c r="E232" s="76" t="s">
        <v>1264</v>
      </c>
      <c r="F232" s="1">
        <v>0</v>
      </c>
      <c r="G232" s="1">
        <v>113420</v>
      </c>
      <c r="H232" s="76" t="s">
        <v>1264</v>
      </c>
      <c r="I232" s="1">
        <v>0</v>
      </c>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row>
    <row r="233" spans="1:54" s="76" customFormat="1">
      <c r="A233" s="1">
        <v>133420</v>
      </c>
      <c r="B233" s="76" t="s">
        <v>1265</v>
      </c>
      <c r="C233" s="1">
        <v>0</v>
      </c>
      <c r="D233" s="1">
        <v>133420</v>
      </c>
      <c r="E233" s="76" t="s">
        <v>1265</v>
      </c>
      <c r="F233" s="1">
        <v>0</v>
      </c>
      <c r="G233" s="1">
        <v>133420</v>
      </c>
      <c r="H233" s="76" t="s">
        <v>1265</v>
      </c>
      <c r="I233" s="1">
        <v>0</v>
      </c>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row>
    <row r="234" spans="1:54" s="76" customFormat="1">
      <c r="A234" s="1">
        <v>143420</v>
      </c>
      <c r="B234" s="76" t="s">
        <v>1266</v>
      </c>
      <c r="C234" s="1">
        <v>0</v>
      </c>
      <c r="D234" s="1">
        <v>143420</v>
      </c>
      <c r="E234" s="76" t="s">
        <v>1266</v>
      </c>
      <c r="F234" s="1">
        <v>0</v>
      </c>
      <c r="G234" s="1">
        <v>143420</v>
      </c>
      <c r="H234" s="76" t="s">
        <v>1266</v>
      </c>
      <c r="I234" s="1">
        <v>0</v>
      </c>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row>
    <row r="235" spans="1:54" s="76" customFormat="1">
      <c r="A235" s="1">
        <v>163420</v>
      </c>
      <c r="B235" s="76" t="s">
        <v>1267</v>
      </c>
      <c r="C235" s="1">
        <v>0</v>
      </c>
      <c r="D235" s="1">
        <v>163420</v>
      </c>
      <c r="E235" s="76" t="s">
        <v>1267</v>
      </c>
      <c r="F235" s="1">
        <v>0</v>
      </c>
      <c r="G235" s="1">
        <v>163420</v>
      </c>
      <c r="H235" s="76" t="s">
        <v>1267</v>
      </c>
      <c r="I235" s="1">
        <v>0</v>
      </c>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row>
    <row r="236" spans="1:54" s="76" customFormat="1">
      <c r="A236" s="1">
        <v>153420</v>
      </c>
      <c r="B236" s="76" t="s">
        <v>1268</v>
      </c>
      <c r="C236" s="1">
        <v>0</v>
      </c>
      <c r="D236" s="1">
        <v>153420</v>
      </c>
      <c r="E236" s="76" t="s">
        <v>1268</v>
      </c>
      <c r="F236" s="1">
        <v>0</v>
      </c>
      <c r="G236" s="1">
        <v>153420</v>
      </c>
      <c r="H236" s="76" t="s">
        <v>1268</v>
      </c>
      <c r="I236" s="1">
        <v>0</v>
      </c>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row>
    <row r="237" spans="1:54" s="76" customFormat="1">
      <c r="A237" s="1">
        <v>173420</v>
      </c>
      <c r="B237" s="76" t="s">
        <v>1269</v>
      </c>
      <c r="C237" s="1">
        <v>0</v>
      </c>
      <c r="D237" s="1">
        <v>173420</v>
      </c>
      <c r="E237" s="76" t="s">
        <v>1269</v>
      </c>
      <c r="F237" s="1">
        <v>0</v>
      </c>
      <c r="G237" s="1">
        <v>173420</v>
      </c>
      <c r="H237" s="76" t="s">
        <v>1269</v>
      </c>
      <c r="I237" s="1">
        <v>0</v>
      </c>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row>
    <row r="238" spans="1:54" s="76" customFormat="1">
      <c r="A238" s="1">
        <v>111421</v>
      </c>
      <c r="B238" s="76" t="s">
        <v>1270</v>
      </c>
      <c r="C238" s="1">
        <v>0</v>
      </c>
      <c r="D238" s="1">
        <v>111421</v>
      </c>
      <c r="E238" s="76" t="s">
        <v>1270</v>
      </c>
      <c r="F238" s="1">
        <v>0</v>
      </c>
      <c r="G238" s="1">
        <v>111421</v>
      </c>
      <c r="H238" s="76" t="s">
        <v>1270</v>
      </c>
      <c r="I238" s="1">
        <v>0</v>
      </c>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row>
    <row r="239" spans="1:54" s="76" customFormat="1">
      <c r="A239" s="1">
        <v>131421</v>
      </c>
      <c r="B239" s="76" t="s">
        <v>1271</v>
      </c>
      <c r="C239" s="1">
        <v>0</v>
      </c>
      <c r="D239" s="1">
        <v>131421</v>
      </c>
      <c r="E239" s="76" t="s">
        <v>1271</v>
      </c>
      <c r="F239" s="1">
        <v>0</v>
      </c>
      <c r="G239" s="1">
        <v>131421</v>
      </c>
      <c r="H239" s="76" t="s">
        <v>1271</v>
      </c>
      <c r="I239" s="1">
        <v>0</v>
      </c>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row>
    <row r="240" spans="1:54" s="76" customFormat="1">
      <c r="A240" s="1">
        <v>141421</v>
      </c>
      <c r="B240" s="76" t="s">
        <v>1272</v>
      </c>
      <c r="C240" s="1">
        <v>0</v>
      </c>
      <c r="D240" s="1">
        <v>141421</v>
      </c>
      <c r="E240" s="76" t="s">
        <v>1272</v>
      </c>
      <c r="F240" s="1">
        <v>0</v>
      </c>
      <c r="G240" s="1">
        <v>141421</v>
      </c>
      <c r="H240" s="76" t="s">
        <v>1272</v>
      </c>
      <c r="I240" s="1">
        <v>0</v>
      </c>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row>
    <row r="241" spans="1:54" s="76" customFormat="1">
      <c r="A241" s="1">
        <v>161421</v>
      </c>
      <c r="B241" s="76" t="s">
        <v>1273</v>
      </c>
      <c r="C241" s="1">
        <v>0</v>
      </c>
      <c r="D241" s="1">
        <v>161421</v>
      </c>
      <c r="E241" s="76" t="s">
        <v>1273</v>
      </c>
      <c r="F241" s="1">
        <v>0</v>
      </c>
      <c r="G241" s="1">
        <v>161421</v>
      </c>
      <c r="H241" s="76" t="s">
        <v>1273</v>
      </c>
      <c r="I241" s="1">
        <v>0</v>
      </c>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row>
    <row r="242" spans="1:54" s="76" customFormat="1">
      <c r="A242" s="1">
        <v>151421</v>
      </c>
      <c r="B242" s="76" t="s">
        <v>1274</v>
      </c>
      <c r="C242" s="1">
        <v>0</v>
      </c>
      <c r="D242" s="1">
        <v>151421</v>
      </c>
      <c r="E242" s="76" t="s">
        <v>1274</v>
      </c>
      <c r="F242" s="1">
        <v>0</v>
      </c>
      <c r="G242" s="1">
        <v>151421</v>
      </c>
      <c r="H242" s="76" t="s">
        <v>1274</v>
      </c>
      <c r="I242" s="1">
        <v>0</v>
      </c>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row>
    <row r="243" spans="1:54" s="76" customFormat="1">
      <c r="A243" s="1">
        <v>171421</v>
      </c>
      <c r="B243" s="76" t="s">
        <v>1275</v>
      </c>
      <c r="C243" s="1">
        <v>0</v>
      </c>
      <c r="D243" s="1">
        <v>171421</v>
      </c>
      <c r="E243" s="76" t="s">
        <v>1275</v>
      </c>
      <c r="F243" s="1">
        <v>0</v>
      </c>
      <c r="G243" s="1">
        <v>171421</v>
      </c>
      <c r="H243" s="76" t="s">
        <v>1275</v>
      </c>
      <c r="I243" s="1">
        <v>0</v>
      </c>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row>
    <row r="244" spans="1:54" s="76" customFormat="1">
      <c r="A244" s="1">
        <v>112421</v>
      </c>
      <c r="B244" s="76" t="s">
        <v>1276</v>
      </c>
      <c r="C244" s="1">
        <v>0</v>
      </c>
      <c r="D244" s="1">
        <v>112421</v>
      </c>
      <c r="E244" s="76" t="s">
        <v>1276</v>
      </c>
      <c r="F244" s="1">
        <v>0</v>
      </c>
      <c r="G244" s="1">
        <v>112421</v>
      </c>
      <c r="H244" s="76" t="s">
        <v>1276</v>
      </c>
      <c r="I244" s="1">
        <v>0</v>
      </c>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row>
    <row r="245" spans="1:54" s="76" customFormat="1">
      <c r="A245" s="1">
        <v>132421</v>
      </c>
      <c r="B245" s="76" t="s">
        <v>1277</v>
      </c>
      <c r="C245" s="1">
        <v>0</v>
      </c>
      <c r="D245" s="1">
        <v>132421</v>
      </c>
      <c r="E245" s="76" t="s">
        <v>1277</v>
      </c>
      <c r="F245" s="1">
        <v>0</v>
      </c>
      <c r="G245" s="1">
        <v>132421</v>
      </c>
      <c r="H245" s="76" t="s">
        <v>1277</v>
      </c>
      <c r="I245" s="1">
        <v>0</v>
      </c>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row>
    <row r="246" spans="1:54" s="76" customFormat="1">
      <c r="A246" s="1">
        <v>142421</v>
      </c>
      <c r="B246" s="76" t="s">
        <v>1278</v>
      </c>
      <c r="C246" s="1">
        <v>0</v>
      </c>
      <c r="D246" s="1">
        <v>142421</v>
      </c>
      <c r="E246" s="76" t="s">
        <v>1278</v>
      </c>
      <c r="F246" s="1">
        <v>0</v>
      </c>
      <c r="G246" s="1">
        <v>142421</v>
      </c>
      <c r="H246" s="76" t="s">
        <v>1278</v>
      </c>
      <c r="I246" s="1">
        <v>0</v>
      </c>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row>
    <row r="247" spans="1:54" s="76" customFormat="1">
      <c r="A247" s="1">
        <v>162421</v>
      </c>
      <c r="B247" s="76" t="s">
        <v>1279</v>
      </c>
      <c r="C247" s="1">
        <v>0</v>
      </c>
      <c r="D247" s="1">
        <v>162421</v>
      </c>
      <c r="E247" s="76" t="s">
        <v>1279</v>
      </c>
      <c r="F247" s="1">
        <v>0</v>
      </c>
      <c r="G247" s="1">
        <v>162421</v>
      </c>
      <c r="H247" s="76" t="s">
        <v>1279</v>
      </c>
      <c r="I247" s="1">
        <v>0</v>
      </c>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row>
    <row r="248" spans="1:54" s="76" customFormat="1">
      <c r="A248" s="1">
        <v>152421</v>
      </c>
      <c r="B248" s="76" t="s">
        <v>1280</v>
      </c>
      <c r="C248" s="1">
        <v>0</v>
      </c>
      <c r="D248" s="1">
        <v>152421</v>
      </c>
      <c r="E248" s="76" t="s">
        <v>1280</v>
      </c>
      <c r="F248" s="1">
        <v>0</v>
      </c>
      <c r="G248" s="1">
        <v>152421</v>
      </c>
      <c r="H248" s="76" t="s">
        <v>1280</v>
      </c>
      <c r="I248" s="1">
        <v>0</v>
      </c>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row>
    <row r="249" spans="1:54" s="76" customFormat="1">
      <c r="A249" s="1">
        <v>172421</v>
      </c>
      <c r="B249" s="76" t="s">
        <v>1281</v>
      </c>
      <c r="C249" s="1">
        <v>0</v>
      </c>
      <c r="D249" s="1">
        <v>172421</v>
      </c>
      <c r="E249" s="76" t="s">
        <v>1281</v>
      </c>
      <c r="F249" s="1">
        <v>0</v>
      </c>
      <c r="G249" s="1">
        <v>172421</v>
      </c>
      <c r="H249" s="76" t="s">
        <v>1281</v>
      </c>
      <c r="I249" s="1">
        <v>0</v>
      </c>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row>
    <row r="250" spans="1:54" s="76" customFormat="1">
      <c r="A250" s="1">
        <v>113421</v>
      </c>
      <c r="B250" s="76" t="s">
        <v>1282</v>
      </c>
      <c r="C250" s="1">
        <v>0</v>
      </c>
      <c r="D250" s="1">
        <v>113421</v>
      </c>
      <c r="E250" s="76" t="s">
        <v>1282</v>
      </c>
      <c r="F250" s="1">
        <v>0</v>
      </c>
      <c r="G250" s="1">
        <v>113421</v>
      </c>
      <c r="H250" s="76" t="s">
        <v>1282</v>
      </c>
      <c r="I250" s="1">
        <v>0</v>
      </c>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row>
    <row r="251" spans="1:54" s="76" customFormat="1">
      <c r="A251" s="1">
        <v>133421</v>
      </c>
      <c r="B251" s="76" t="s">
        <v>1283</v>
      </c>
      <c r="C251" s="1">
        <v>0</v>
      </c>
      <c r="D251" s="1">
        <v>133421</v>
      </c>
      <c r="E251" s="76" t="s">
        <v>1283</v>
      </c>
      <c r="F251" s="1">
        <v>0</v>
      </c>
      <c r="G251" s="1">
        <v>133421</v>
      </c>
      <c r="H251" s="76" t="s">
        <v>1283</v>
      </c>
      <c r="I251" s="1">
        <v>0</v>
      </c>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row>
    <row r="252" spans="1:54" s="76" customFormat="1">
      <c r="A252" s="1">
        <v>143421</v>
      </c>
      <c r="B252" s="76" t="s">
        <v>1284</v>
      </c>
      <c r="C252" s="1">
        <v>0</v>
      </c>
      <c r="D252" s="1">
        <v>143421</v>
      </c>
      <c r="E252" s="76" t="s">
        <v>1284</v>
      </c>
      <c r="F252" s="1">
        <v>0</v>
      </c>
      <c r="G252" s="1">
        <v>143421</v>
      </c>
      <c r="H252" s="76" t="s">
        <v>1284</v>
      </c>
      <c r="I252" s="1">
        <v>0</v>
      </c>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row>
    <row r="253" spans="1:54" s="76" customFormat="1">
      <c r="A253" s="1">
        <v>163421</v>
      </c>
      <c r="B253" s="76" t="s">
        <v>1285</v>
      </c>
      <c r="C253" s="1">
        <v>0</v>
      </c>
      <c r="D253" s="1">
        <v>163421</v>
      </c>
      <c r="E253" s="76" t="s">
        <v>1285</v>
      </c>
      <c r="F253" s="1">
        <v>0</v>
      </c>
      <c r="G253" s="1">
        <v>163421</v>
      </c>
      <c r="H253" s="76" t="s">
        <v>1285</v>
      </c>
      <c r="I253" s="1">
        <v>0</v>
      </c>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row>
    <row r="254" spans="1:54" s="76" customFormat="1">
      <c r="A254" s="1">
        <v>153421</v>
      </c>
      <c r="B254" s="76" t="s">
        <v>1286</v>
      </c>
      <c r="C254" s="1">
        <v>0</v>
      </c>
      <c r="D254" s="1">
        <v>153421</v>
      </c>
      <c r="E254" s="76" t="s">
        <v>1286</v>
      </c>
      <c r="F254" s="1">
        <v>0</v>
      </c>
      <c r="G254" s="1">
        <v>153421</v>
      </c>
      <c r="H254" s="76" t="s">
        <v>1286</v>
      </c>
      <c r="I254" s="1">
        <v>0</v>
      </c>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row>
    <row r="255" spans="1:54" s="76" customFormat="1">
      <c r="A255" s="1">
        <v>173421</v>
      </c>
      <c r="B255" s="76" t="s">
        <v>1287</v>
      </c>
      <c r="C255" s="1">
        <v>0</v>
      </c>
      <c r="D255" s="1">
        <v>173421</v>
      </c>
      <c r="E255" s="76" t="s">
        <v>1287</v>
      </c>
      <c r="F255" s="1">
        <v>0</v>
      </c>
      <c r="G255" s="1">
        <v>173421</v>
      </c>
      <c r="H255" s="76" t="s">
        <v>1287</v>
      </c>
      <c r="I255" s="1">
        <v>0</v>
      </c>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row>
    <row r="256" spans="1:54" s="76" customFormat="1">
      <c r="A256"/>
      <c r="B256" s="81"/>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row>
    <row r="257" spans="1:54" s="76"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row>
    <row r="258" spans="1:54" s="76"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row>
    <row r="259" spans="1:54" s="76"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row>
    <row r="260" spans="1:54" s="76"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row>
    <row r="261" spans="1:54" s="76"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row>
    <row r="262" spans="1:54" s="76"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row>
    <row r="263" spans="1:54" s="76"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row>
    <row r="264" spans="1:54" s="76"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row>
  </sheetData>
  <mergeCells count="50">
    <mergeCell ref="A1:BT1"/>
    <mergeCell ref="A2:C2"/>
    <mergeCell ref="D2:F2"/>
    <mergeCell ref="G2:I2"/>
    <mergeCell ref="J2:L2"/>
    <mergeCell ref="M2:O2"/>
    <mergeCell ref="P2:R2"/>
    <mergeCell ref="S2:U2"/>
    <mergeCell ref="V2:X2"/>
    <mergeCell ref="Y2:AA2"/>
    <mergeCell ref="AB2:AD2"/>
    <mergeCell ref="AE2:AG2"/>
    <mergeCell ref="AH2:AJ2"/>
    <mergeCell ref="AK2:AM2"/>
    <mergeCell ref="AN2:AP2"/>
    <mergeCell ref="AQ2:AS2"/>
    <mergeCell ref="BI2:BK2"/>
    <mergeCell ref="BL2:BN2"/>
    <mergeCell ref="BO2:BQ2"/>
    <mergeCell ref="BR2:BT2"/>
    <mergeCell ref="A11:BB11"/>
    <mergeCell ref="AT2:AV2"/>
    <mergeCell ref="AW2:AY2"/>
    <mergeCell ref="AZ2:BB2"/>
    <mergeCell ref="BC2:BE2"/>
    <mergeCell ref="BF2:BH2"/>
    <mergeCell ref="A12:C12"/>
    <mergeCell ref="D12:F12"/>
    <mergeCell ref="G12:I12"/>
    <mergeCell ref="J12:L12"/>
    <mergeCell ref="M12:O12"/>
    <mergeCell ref="P12:R12"/>
    <mergeCell ref="S12:U12"/>
    <mergeCell ref="V12:X12"/>
    <mergeCell ref="Y12:AA12"/>
    <mergeCell ref="AB12:AD12"/>
    <mergeCell ref="AE12:AG12"/>
    <mergeCell ref="AH12:AJ12"/>
    <mergeCell ref="AK12:AM12"/>
    <mergeCell ref="AN12:AP12"/>
    <mergeCell ref="AQ12:AS12"/>
    <mergeCell ref="AT12:AV12"/>
    <mergeCell ref="AW12:AY12"/>
    <mergeCell ref="BP12:BR12"/>
    <mergeCell ref="BD11:BR11"/>
    <mergeCell ref="AZ12:BB12"/>
    <mergeCell ref="BD12:BF12"/>
    <mergeCell ref="BG12:BI12"/>
    <mergeCell ref="BJ12:BL12"/>
    <mergeCell ref="BM12:BO12"/>
  </mergeCells>
  <phoneticPr fontId="1" type="noConversion"/>
  <hyperlinks>
    <hyperlink ref="A12:BB12" location="类型18!J4" display="类型18!J4"/>
    <hyperlink ref="A2:BT2" location="类型18!N4" display="类型18!N4"/>
    <hyperlink ref="BD12:BR12" location="类型18!AC7" display="类型18!AC7"/>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O38"/>
  <sheetViews>
    <sheetView workbookViewId="0">
      <selection activeCell="G33" sqref="G33"/>
    </sheetView>
  </sheetViews>
  <sheetFormatPr defaultRowHeight="13.5"/>
  <cols>
    <col min="1" max="1" width="36.375" style="77" bestFit="1" customWidth="1"/>
    <col min="2" max="5" width="9" style="76"/>
    <col min="6" max="6" width="13.125" style="76" bestFit="1" customWidth="1"/>
    <col min="7" max="7" width="7.5" style="76" bestFit="1" customWidth="1"/>
    <col min="8" max="8" width="25.5" style="76" bestFit="1" customWidth="1"/>
    <col min="9" max="9" width="5.25" style="76" bestFit="1" customWidth="1"/>
    <col min="10" max="10" width="7.5" style="76" bestFit="1" customWidth="1"/>
    <col min="11" max="11" width="16.25" style="76" bestFit="1" customWidth="1"/>
    <col min="12" max="12" width="5.25" style="76" bestFit="1" customWidth="1"/>
    <col min="13" max="13" width="7.5" style="76" bestFit="1" customWidth="1"/>
    <col min="14" max="14" width="25.5" style="76" bestFit="1" customWidth="1"/>
    <col min="15" max="15" width="5.25" style="76" bestFit="1" customWidth="1"/>
    <col min="16" max="16384" width="9" style="76"/>
  </cols>
  <sheetData>
    <row r="1" spans="1:15">
      <c r="G1" s="114" t="s">
        <v>35</v>
      </c>
      <c r="H1" s="115"/>
      <c r="I1" s="115"/>
      <c r="J1" s="115"/>
      <c r="K1" s="115"/>
      <c r="L1" s="115"/>
      <c r="M1" s="115"/>
      <c r="N1" s="115"/>
      <c r="O1" s="116"/>
    </row>
    <row r="2" spans="1:15">
      <c r="A2" s="74" t="s">
        <v>19</v>
      </c>
      <c r="B2" s="66" t="s">
        <v>32</v>
      </c>
      <c r="C2" s="66" t="s">
        <v>33</v>
      </c>
      <c r="D2" s="66" t="s">
        <v>1316</v>
      </c>
      <c r="E2" s="66" t="s">
        <v>1317</v>
      </c>
      <c r="F2" s="66" t="s">
        <v>717</v>
      </c>
      <c r="G2" s="72" t="s">
        <v>2</v>
      </c>
      <c r="H2" s="72" t="s">
        <v>3</v>
      </c>
      <c r="I2" s="72" t="s">
        <v>4</v>
      </c>
      <c r="J2" s="72" t="s">
        <v>2</v>
      </c>
      <c r="K2" s="72" t="s">
        <v>3</v>
      </c>
      <c r="L2" s="72" t="s">
        <v>4</v>
      </c>
      <c r="M2" s="72" t="s">
        <v>2</v>
      </c>
      <c r="N2" s="72" t="s">
        <v>3</v>
      </c>
      <c r="O2" s="72" t="s">
        <v>4</v>
      </c>
    </row>
    <row r="3" spans="1:15">
      <c r="A3" s="39" t="str">
        <f>INDEX([2]活动总表!$A$8:$A$429,MATCH(B3,[2]活动总表!$B$8:$B$429,0))</f>
        <v>跨服消耗排行榜</v>
      </c>
      <c r="B3" s="40">
        <v>301</v>
      </c>
      <c r="C3" s="40">
        <v>1</v>
      </c>
      <c r="D3" s="40" t="s">
        <v>1318</v>
      </c>
      <c r="E3" s="40">
        <v>400000</v>
      </c>
      <c r="F3" s="40">
        <v>300</v>
      </c>
      <c r="G3" s="76">
        <v>204077</v>
      </c>
      <c r="H3" s="76" t="str">
        <f>IFERROR(INDEX([1]物品基础表!$A:$A,MATCH(G3,[1]物品基础表!$B:$B,0)),"")</f>
        <v>至尊武器</v>
      </c>
      <c r="I3" s="76">
        <v>1</v>
      </c>
      <c r="J3" s="76">
        <v>204106</v>
      </c>
      <c r="K3" s="76" t="str">
        <f>IFERROR(INDEX([1]物品基础表!$A:$A,MATCH(J3,[1]物品基础表!$B:$B,0)),"")</f>
        <v>极品至尊至宝</v>
      </c>
      <c r="L3" s="76">
        <v>1</v>
      </c>
      <c r="M3" s="76">
        <v>202004</v>
      </c>
      <c r="N3" s="76" t="str">
        <f>IFERROR(INDEX([1]物品基础表!$A:$A,MATCH(M3,[1]物品基础表!$B:$B,0)),"")</f>
        <v>烈焰戒指技能4书</v>
      </c>
      <c r="O3" s="76">
        <v>1</v>
      </c>
    </row>
    <row r="4" spans="1:15">
      <c r="A4" s="39" t="str">
        <f>INDEX([2]活动总表!$A$8:$A$429,MATCH(B4,[2]活动总表!$B$8:$B$429,0))</f>
        <v>跨服消耗排行榜</v>
      </c>
      <c r="B4" s="40">
        <v>301</v>
      </c>
      <c r="C4" s="40">
        <v>2</v>
      </c>
      <c r="D4" s="40" t="s">
        <v>1319</v>
      </c>
      <c r="E4" s="40">
        <v>300000</v>
      </c>
      <c r="F4" s="40"/>
      <c r="G4" s="76">
        <v>204106</v>
      </c>
      <c r="H4" s="76" t="str">
        <f>IFERROR(INDEX([1]物品基础表!$A:$A,MATCH(G4,[1]物品基础表!$B:$B,0)),"")</f>
        <v>极品至尊至宝</v>
      </c>
      <c r="I4" s="76">
        <v>1</v>
      </c>
      <c r="J4" s="76">
        <v>204105</v>
      </c>
      <c r="K4" s="76" t="str">
        <f>IFERROR(INDEX([1]物品基础表!$A:$A,MATCH(J4,[1]物品基础表!$B:$B,0)),"")</f>
        <v>至尊至宝</v>
      </c>
      <c r="L4" s="76">
        <v>1</v>
      </c>
      <c r="M4" s="76">
        <v>202004</v>
      </c>
      <c r="N4" s="76" t="str">
        <f>IFERROR(INDEX([1]物品基础表!$A:$A,MATCH(M4,[1]物品基础表!$B:$B,0)),"")</f>
        <v>烈焰戒指技能4书</v>
      </c>
      <c r="O4" s="76">
        <v>1</v>
      </c>
    </row>
    <row r="5" spans="1:15">
      <c r="A5" s="39" t="str">
        <f>INDEX([2]活动总表!$A$8:$A$429,MATCH(B5,[2]活动总表!$B$8:$B$429,0))</f>
        <v>跨服消耗排行榜</v>
      </c>
      <c r="B5" s="40">
        <v>301</v>
      </c>
      <c r="C5" s="40">
        <v>3</v>
      </c>
      <c r="D5" s="40" t="s">
        <v>1320</v>
      </c>
      <c r="E5" s="40">
        <v>200000</v>
      </c>
      <c r="F5" s="40"/>
      <c r="G5" s="76">
        <v>204105</v>
      </c>
      <c r="H5" s="76" t="str">
        <f>IFERROR(INDEX([1]物品基础表!$A:$A,MATCH(G5,[1]物品基础表!$B:$B,0)),"")</f>
        <v>至尊至宝</v>
      </c>
      <c r="I5" s="76">
        <v>1</v>
      </c>
      <c r="J5" s="76">
        <v>204105</v>
      </c>
      <c r="K5" s="76" t="str">
        <f>IFERROR(INDEX([1]物品基础表!$A:$A,MATCH(J5,[1]物品基础表!$B:$B,0)),"")</f>
        <v>至尊至宝</v>
      </c>
      <c r="L5" s="76">
        <v>1</v>
      </c>
      <c r="M5" s="76">
        <v>202004</v>
      </c>
      <c r="N5" s="76" t="str">
        <f>IFERROR(INDEX([1]物品基础表!$A:$A,MATCH(M5,[1]物品基础表!$B:$B,0)),"")</f>
        <v>烈焰戒指技能4书</v>
      </c>
      <c r="O5" s="76">
        <v>1</v>
      </c>
    </row>
    <row r="6" spans="1:15">
      <c r="A6" s="39" t="str">
        <f>INDEX([2]活动总表!$A$8:$A$429,MATCH(B6,[2]活动总表!$B$8:$B$429,0))</f>
        <v>跨服消耗排行榜</v>
      </c>
      <c r="B6" s="40">
        <v>301</v>
      </c>
      <c r="C6" s="40">
        <v>4</v>
      </c>
      <c r="D6" s="40" t="s">
        <v>1321</v>
      </c>
      <c r="E6" s="40">
        <v>100000</v>
      </c>
      <c r="F6" s="40"/>
      <c r="G6" s="76">
        <v>204105</v>
      </c>
      <c r="H6" s="76" t="str">
        <f>IFERROR(INDEX([1]物品基础表!$A:$A,MATCH(G6,[1]物品基础表!$B:$B,0)),"")</f>
        <v>至尊至宝</v>
      </c>
      <c r="I6" s="76">
        <v>1</v>
      </c>
      <c r="J6" s="76">
        <v>202004</v>
      </c>
      <c r="K6" s="76" t="str">
        <f>IFERROR(INDEX([1]物品基础表!$A:$A,MATCH(J6,[1]物品基础表!$B:$B,0)),"")</f>
        <v>烈焰戒指技能4书</v>
      </c>
      <c r="L6" s="76">
        <v>1</v>
      </c>
      <c r="M6" s="76">
        <v>202003</v>
      </c>
      <c r="N6" s="76" t="str">
        <f>IFERROR(INDEX([1]物品基础表!$A:$A,MATCH(M6,[1]物品基础表!$B:$B,0)),"")</f>
        <v>烈焰戒指技能3书</v>
      </c>
      <c r="O6" s="76">
        <v>1</v>
      </c>
    </row>
    <row r="7" spans="1:15">
      <c r="A7" s="39" t="str">
        <f>INDEX([2]活动总表!$A$8:$A$429,MATCH(B7,[2]活动总表!$B$8:$B$429,0))</f>
        <v>跨服消耗排行榜</v>
      </c>
      <c r="B7" s="40">
        <v>301</v>
      </c>
      <c r="C7" s="40">
        <v>5</v>
      </c>
      <c r="D7" s="40" t="s">
        <v>1322</v>
      </c>
      <c r="E7" s="40">
        <v>5000</v>
      </c>
      <c r="F7" s="40"/>
      <c r="G7" s="76">
        <v>202004</v>
      </c>
      <c r="H7" s="76" t="str">
        <f>IFERROR(INDEX([1]物品基础表!$A:$A,MATCH(G7,[1]物品基础表!$B:$B,0)),"")</f>
        <v>烈焰戒指技能4书</v>
      </c>
      <c r="I7" s="76">
        <v>1</v>
      </c>
      <c r="J7" s="76">
        <v>202003</v>
      </c>
      <c r="K7" s="76" t="str">
        <f>IFERROR(INDEX([1]物品基础表!$A:$A,MATCH(J7,[1]物品基础表!$B:$B,0)),"")</f>
        <v>烈焰戒指技能3书</v>
      </c>
      <c r="L7" s="76">
        <v>1</v>
      </c>
      <c r="N7" s="76" t="str">
        <f>IFERROR(INDEX([1]物品基础表!$A:$A,MATCH(M7,[1]物品基础表!$B:$B,0)),"")</f>
        <v/>
      </c>
    </row>
    <row r="8" spans="1:15">
      <c r="A8" s="39" t="str">
        <f>INDEX([2]活动总表!$A$8:$A$429,MATCH(B8,[2]活动总表!$B$8:$B$429,0))</f>
        <v>跨服消耗排行榜</v>
      </c>
      <c r="B8" s="40">
        <v>301</v>
      </c>
      <c r="C8" s="40">
        <v>6</v>
      </c>
      <c r="D8" s="40" t="s">
        <v>1323</v>
      </c>
      <c r="E8" s="40">
        <v>1000</v>
      </c>
      <c r="F8" s="40"/>
      <c r="G8" s="76">
        <v>202003</v>
      </c>
      <c r="H8" s="76" t="str">
        <f>IFERROR(INDEX([1]物品基础表!$A:$A,MATCH(G8,[1]物品基础表!$B:$B,0)),"")</f>
        <v>烈焰戒指技能3书</v>
      </c>
      <c r="I8" s="76">
        <v>1</v>
      </c>
      <c r="J8" s="76">
        <v>202003</v>
      </c>
      <c r="K8" s="76" t="str">
        <f>IFERROR(INDEX([1]物品基础表!$A:$A,MATCH(J8,[1]物品基础表!$B:$B,0)),"")</f>
        <v>烈焰戒指技能3书</v>
      </c>
      <c r="L8" s="76">
        <v>1</v>
      </c>
      <c r="N8" s="76" t="str">
        <f>IFERROR(INDEX([1]物品基础表!$A:$A,MATCH(M8,[1]物品基础表!$B:$B,0)),"")</f>
        <v/>
      </c>
    </row>
    <row r="9" spans="1:15">
      <c r="A9" s="39" t="str">
        <f>INDEX([2]活动总表!$A$8:$A$429,MATCH(B9,[2]活动总表!$B$8:$B$429,0))</f>
        <v>谁与争锋-跨服消耗排行榜</v>
      </c>
      <c r="B9" s="40">
        <v>501</v>
      </c>
      <c r="C9" s="40">
        <v>1</v>
      </c>
      <c r="D9" s="40" t="s">
        <v>1318</v>
      </c>
      <c r="E9" s="40">
        <v>400000</v>
      </c>
      <c r="F9" s="40">
        <v>500</v>
      </c>
      <c r="G9" s="76">
        <v>204077</v>
      </c>
      <c r="H9" s="76" t="str">
        <f>IFERROR(INDEX([1]物品基础表!$A:$A,MATCH(G9,[1]物品基础表!$B:$B,0)),"")</f>
        <v>至尊武器</v>
      </c>
      <c r="I9" s="76">
        <v>1</v>
      </c>
      <c r="J9" s="76">
        <v>204106</v>
      </c>
      <c r="K9" s="76" t="str">
        <f>IFERROR(INDEX([1]物品基础表!$A:$A,MATCH(J9,[1]物品基础表!$B:$B,0)),"")</f>
        <v>极品至尊至宝</v>
      </c>
      <c r="L9" s="76">
        <v>1</v>
      </c>
      <c r="M9" s="76">
        <v>200976</v>
      </c>
      <c r="N9" s="76" t="str">
        <f>IFERROR(INDEX([1]物品基础表!$A:$A,MATCH(M9,[1]物品基础表!$B:$B,0)),"")</f>
        <v>极品红色兽神装备任选宝箱</v>
      </c>
      <c r="O9" s="76">
        <v>1</v>
      </c>
    </row>
    <row r="10" spans="1:15">
      <c r="A10" s="39" t="str">
        <f>INDEX([2]活动总表!$A$8:$A$429,MATCH(B10,[2]活动总表!$B$8:$B$429,0))</f>
        <v>谁与争锋-跨服消耗排行榜</v>
      </c>
      <c r="B10" s="40">
        <v>501</v>
      </c>
      <c r="C10" s="40">
        <v>2</v>
      </c>
      <c r="D10" s="40" t="s">
        <v>1319</v>
      </c>
      <c r="E10" s="40">
        <v>300000</v>
      </c>
      <c r="F10" s="40"/>
      <c r="G10" s="76">
        <v>204106</v>
      </c>
      <c r="H10" s="76" t="str">
        <f>IFERROR(INDEX([1]物品基础表!$A:$A,MATCH(G10,[1]物品基础表!$B:$B,0)),"")</f>
        <v>极品至尊至宝</v>
      </c>
      <c r="I10" s="76">
        <v>1</v>
      </c>
      <c r="J10" s="76">
        <v>204105</v>
      </c>
      <c r="K10" s="76" t="str">
        <f>IFERROR(INDEX([1]物品基础表!$A:$A,MATCH(J10,[1]物品基础表!$B:$B,0)),"")</f>
        <v>至尊至宝</v>
      </c>
      <c r="L10" s="76">
        <v>1</v>
      </c>
      <c r="M10" s="76">
        <v>200976</v>
      </c>
      <c r="N10" s="76" t="str">
        <f>IFERROR(INDEX([1]物品基础表!$A:$A,MATCH(M10,[1]物品基础表!$B:$B,0)),"")</f>
        <v>极品红色兽神装备任选宝箱</v>
      </c>
      <c r="O10" s="76">
        <v>1</v>
      </c>
    </row>
    <row r="11" spans="1:15">
      <c r="A11" s="39" t="str">
        <f>INDEX([2]活动总表!$A$8:$A$429,MATCH(B11,[2]活动总表!$B$8:$B$429,0))</f>
        <v>谁与争锋-跨服消耗排行榜</v>
      </c>
      <c r="B11" s="40">
        <v>501</v>
      </c>
      <c r="C11" s="40">
        <v>3</v>
      </c>
      <c r="D11" s="40" t="s">
        <v>1320</v>
      </c>
      <c r="E11" s="40">
        <v>200000</v>
      </c>
      <c r="F11" s="40"/>
      <c r="G11" s="76">
        <v>204105</v>
      </c>
      <c r="H11" s="76" t="str">
        <f>IFERROR(INDEX([1]物品基础表!$A:$A,MATCH(G11,[1]物品基础表!$B:$B,0)),"")</f>
        <v>至尊至宝</v>
      </c>
      <c r="I11" s="76">
        <v>1</v>
      </c>
      <c r="J11" s="76">
        <v>204105</v>
      </c>
      <c r="K11" s="76" t="str">
        <f>IFERROR(INDEX([1]物品基础表!$A:$A,MATCH(J11,[1]物品基础表!$B:$B,0)),"")</f>
        <v>至尊至宝</v>
      </c>
      <c r="L11" s="76">
        <v>1</v>
      </c>
      <c r="M11" s="76">
        <v>200973</v>
      </c>
      <c r="N11" s="76" t="str">
        <f>IFERROR(INDEX([1]物品基础表!$A:$A,MATCH(M11,[1]物品基础表!$B:$B,0)),"")</f>
        <v>极品橙色兽神装备任选宝箱</v>
      </c>
      <c r="O11" s="76">
        <v>1</v>
      </c>
    </row>
    <row r="12" spans="1:15">
      <c r="A12" s="39" t="str">
        <f>INDEX([2]活动总表!$A$8:$A$429,MATCH(B12,[2]活动总表!$B$8:$B$429,0))</f>
        <v>谁与争锋-跨服消耗排行榜</v>
      </c>
      <c r="B12" s="40">
        <v>501</v>
      </c>
      <c r="C12" s="40">
        <v>4</v>
      </c>
      <c r="D12" s="40" t="s">
        <v>1321</v>
      </c>
      <c r="E12" s="40">
        <v>100000</v>
      </c>
      <c r="F12" s="40"/>
      <c r="G12" s="76">
        <v>204105</v>
      </c>
      <c r="H12" s="76" t="str">
        <f>IFERROR(INDEX([1]物品基础表!$A:$A,MATCH(G12,[1]物品基础表!$B:$B,0)),"")</f>
        <v>至尊至宝</v>
      </c>
      <c r="I12" s="76">
        <v>1</v>
      </c>
      <c r="J12" s="76">
        <v>202003</v>
      </c>
      <c r="K12" s="76" t="str">
        <f>IFERROR(INDEX([1]物品基础表!$A:$A,MATCH(J12,[1]物品基础表!$B:$B,0)),"")</f>
        <v>烈焰戒指技能3书</v>
      </c>
      <c r="L12" s="76">
        <v>1</v>
      </c>
      <c r="M12" s="76">
        <v>200973</v>
      </c>
      <c r="N12" s="76" t="str">
        <f>IFERROR(INDEX([1]物品基础表!$A:$A,MATCH(M12,[1]物品基础表!$B:$B,0)),"")</f>
        <v>极品橙色兽神装备任选宝箱</v>
      </c>
      <c r="O12" s="76">
        <v>1</v>
      </c>
    </row>
    <row r="13" spans="1:15">
      <c r="A13" s="39" t="str">
        <f>INDEX([2]活动总表!$A$8:$A$429,MATCH(B13,[2]活动总表!$B$8:$B$429,0))</f>
        <v>谁与争锋-跨服消耗排行榜</v>
      </c>
      <c r="B13" s="40">
        <v>501</v>
      </c>
      <c r="C13" s="40">
        <v>5</v>
      </c>
      <c r="D13" s="40" t="s">
        <v>1322</v>
      </c>
      <c r="E13" s="40">
        <v>5000</v>
      </c>
      <c r="F13" s="40"/>
      <c r="G13" s="76">
        <v>200973</v>
      </c>
      <c r="H13" s="76" t="str">
        <f>IFERROR(INDEX([1]物品基础表!$A:$A,MATCH(G13,[1]物品基础表!$B:$B,0)),"")</f>
        <v>极品橙色兽神装备任选宝箱</v>
      </c>
      <c r="I13" s="76">
        <v>1</v>
      </c>
      <c r="J13" s="76">
        <v>202003</v>
      </c>
      <c r="K13" s="76" t="str">
        <f>IFERROR(INDEX([1]物品基础表!$A:$A,MATCH(J13,[1]物品基础表!$B:$B,0)),"")</f>
        <v>烈焰戒指技能3书</v>
      </c>
      <c r="L13" s="76">
        <v>1</v>
      </c>
      <c r="N13" s="76" t="str">
        <f>IFERROR(INDEX([1]物品基础表!$A:$A,MATCH(M13,[1]物品基础表!$B:$B,0)),"")</f>
        <v/>
      </c>
    </row>
    <row r="14" spans="1:15">
      <c r="A14" s="39" t="str">
        <f>INDEX([2]活动总表!$A$8:$A$429,MATCH(B14,[2]活动总表!$B$8:$B$429,0))</f>
        <v>谁与争锋-跨服消耗排行榜</v>
      </c>
      <c r="B14" s="40">
        <v>501</v>
      </c>
      <c r="C14" s="40">
        <v>6</v>
      </c>
      <c r="D14" s="40" t="s">
        <v>1323</v>
      </c>
      <c r="E14" s="40">
        <v>1000</v>
      </c>
      <c r="F14" s="40"/>
      <c r="G14" s="76">
        <v>202003</v>
      </c>
      <c r="H14" s="76" t="str">
        <f>IFERROR(INDEX([1]物品基础表!$A:$A,MATCH(G14,[1]物品基础表!$B:$B,0)),"")</f>
        <v>烈焰戒指技能3书</v>
      </c>
      <c r="I14" s="76">
        <v>1</v>
      </c>
      <c r="J14" s="76">
        <v>202003</v>
      </c>
      <c r="K14" s="76" t="str">
        <f>IFERROR(INDEX([1]物品基础表!$A:$A,MATCH(J14,[1]物品基础表!$B:$B,0)),"")</f>
        <v>烈焰戒指技能3书</v>
      </c>
      <c r="L14" s="76">
        <v>1</v>
      </c>
      <c r="N14" s="76" t="str">
        <f>IFERROR(INDEX([1]物品基础表!$A:$A,MATCH(M14,[1]物品基础表!$B:$B,0)),"")</f>
        <v/>
      </c>
    </row>
    <row r="15" spans="1:15">
      <c r="A15" s="39" t="str">
        <f>INDEX([2]活动总表!$A$8:$A$429,MATCH(B15,[2]活动总表!$B$8:$B$429,0))</f>
        <v>谁与争锋-跨服消耗排行榜</v>
      </c>
      <c r="B15" s="40">
        <v>509</v>
      </c>
      <c r="C15" s="40">
        <v>1</v>
      </c>
      <c r="D15" s="40" t="s">
        <v>1318</v>
      </c>
      <c r="E15" s="40">
        <v>400000</v>
      </c>
      <c r="F15" s="40">
        <v>508</v>
      </c>
      <c r="G15" s="76">
        <v>204077</v>
      </c>
      <c r="H15" s="76" t="str">
        <f>IFERROR(INDEX([1]物品基础表!$A:$A,MATCH(G15,[1]物品基础表!$B:$B,0)),"")</f>
        <v>至尊武器</v>
      </c>
      <c r="I15" s="76">
        <v>1</v>
      </c>
      <c r="J15" s="76">
        <v>204106</v>
      </c>
      <c r="K15" s="76" t="str">
        <f>IFERROR(INDEX([1]物品基础表!$A:$A,MATCH(J15,[1]物品基础表!$B:$B,0)),"")</f>
        <v>极品至尊至宝</v>
      </c>
      <c r="L15" s="76">
        <v>1</v>
      </c>
      <c r="M15" s="76">
        <v>200976</v>
      </c>
      <c r="N15" s="76" t="str">
        <f>IFERROR(INDEX([1]物品基础表!$A:$A,MATCH(M15,[1]物品基础表!$B:$B,0)),"")</f>
        <v>极品红色兽神装备任选宝箱</v>
      </c>
      <c r="O15" s="76">
        <v>1</v>
      </c>
    </row>
    <row r="16" spans="1:15">
      <c r="A16" s="39" t="str">
        <f>INDEX([2]活动总表!$A$8:$A$429,MATCH(B16,[2]活动总表!$B$8:$B$429,0))</f>
        <v>谁与争锋-跨服消耗排行榜</v>
      </c>
      <c r="B16" s="40">
        <v>509</v>
      </c>
      <c r="C16" s="40">
        <v>2</v>
      </c>
      <c r="D16" s="40" t="s">
        <v>1319</v>
      </c>
      <c r="E16" s="40">
        <v>300000</v>
      </c>
      <c r="F16" s="40"/>
      <c r="G16" s="76">
        <v>204106</v>
      </c>
      <c r="H16" s="76" t="str">
        <f>IFERROR(INDEX([1]物品基础表!$A:$A,MATCH(G16,[1]物品基础表!$B:$B,0)),"")</f>
        <v>极品至尊至宝</v>
      </c>
      <c r="I16" s="76">
        <v>1</v>
      </c>
      <c r="J16" s="76">
        <v>204105</v>
      </c>
      <c r="K16" s="76" t="str">
        <f>IFERROR(INDEX([1]物品基础表!$A:$A,MATCH(J16,[1]物品基础表!$B:$B,0)),"")</f>
        <v>至尊至宝</v>
      </c>
      <c r="L16" s="76">
        <v>1</v>
      </c>
      <c r="M16" s="76">
        <v>200976</v>
      </c>
      <c r="N16" s="76" t="str">
        <f>IFERROR(INDEX([1]物品基础表!$A:$A,MATCH(M16,[1]物品基础表!$B:$B,0)),"")</f>
        <v>极品红色兽神装备任选宝箱</v>
      </c>
      <c r="O16" s="76">
        <v>1</v>
      </c>
    </row>
    <row r="17" spans="1:15">
      <c r="A17" s="39" t="str">
        <f>INDEX([2]活动总表!$A$8:$A$429,MATCH(B17,[2]活动总表!$B$8:$B$429,0))</f>
        <v>谁与争锋-跨服消耗排行榜</v>
      </c>
      <c r="B17" s="40">
        <v>509</v>
      </c>
      <c r="C17" s="40">
        <v>3</v>
      </c>
      <c r="D17" s="40" t="s">
        <v>1320</v>
      </c>
      <c r="E17" s="40">
        <v>200000</v>
      </c>
      <c r="F17" s="40"/>
      <c r="G17" s="76">
        <v>204105</v>
      </c>
      <c r="H17" s="76" t="str">
        <f>IFERROR(INDEX([1]物品基础表!$A:$A,MATCH(G17,[1]物品基础表!$B:$B,0)),"")</f>
        <v>至尊至宝</v>
      </c>
      <c r="I17" s="76">
        <v>1</v>
      </c>
      <c r="J17" s="76">
        <v>204105</v>
      </c>
      <c r="K17" s="76" t="str">
        <f>IFERROR(INDEX([1]物品基础表!$A:$A,MATCH(J17,[1]物品基础表!$B:$B,0)),"")</f>
        <v>至尊至宝</v>
      </c>
      <c r="L17" s="76">
        <v>1</v>
      </c>
      <c r="M17" s="76">
        <v>200973</v>
      </c>
      <c r="N17" s="76" t="str">
        <f>IFERROR(INDEX([1]物品基础表!$A:$A,MATCH(M17,[1]物品基础表!$B:$B,0)),"")</f>
        <v>极品橙色兽神装备任选宝箱</v>
      </c>
      <c r="O17" s="76">
        <v>1</v>
      </c>
    </row>
    <row r="18" spans="1:15">
      <c r="A18" s="39" t="str">
        <f>INDEX([2]活动总表!$A$8:$A$429,MATCH(B18,[2]活动总表!$B$8:$B$429,0))</f>
        <v>谁与争锋-跨服消耗排行榜</v>
      </c>
      <c r="B18" s="40">
        <v>509</v>
      </c>
      <c r="C18" s="40">
        <v>4</v>
      </c>
      <c r="D18" s="40" t="s">
        <v>1321</v>
      </c>
      <c r="E18" s="40">
        <v>100000</v>
      </c>
      <c r="F18" s="40"/>
      <c r="G18" s="76">
        <v>204105</v>
      </c>
      <c r="H18" s="76" t="str">
        <f>IFERROR(INDEX([1]物品基础表!$A:$A,MATCH(G18,[1]物品基础表!$B:$B,0)),"")</f>
        <v>至尊至宝</v>
      </c>
      <c r="I18" s="76">
        <v>1</v>
      </c>
      <c r="J18" s="76">
        <v>202003</v>
      </c>
      <c r="K18" s="76" t="str">
        <f>IFERROR(INDEX([1]物品基础表!$A:$A,MATCH(J18,[1]物品基础表!$B:$B,0)),"")</f>
        <v>烈焰戒指技能3书</v>
      </c>
      <c r="L18" s="76">
        <v>1</v>
      </c>
      <c r="M18" s="76">
        <v>200973</v>
      </c>
      <c r="N18" s="76" t="str">
        <f>IFERROR(INDEX([1]物品基础表!$A:$A,MATCH(M18,[1]物品基础表!$B:$B,0)),"")</f>
        <v>极品橙色兽神装备任选宝箱</v>
      </c>
      <c r="O18" s="76">
        <v>1</v>
      </c>
    </row>
    <row r="19" spans="1:15">
      <c r="A19" s="39" t="str">
        <f>INDEX([2]活动总表!$A$8:$A$429,MATCH(B19,[2]活动总表!$B$8:$B$429,0))</f>
        <v>谁与争锋-跨服消耗排行榜</v>
      </c>
      <c r="B19" s="40">
        <v>509</v>
      </c>
      <c r="C19" s="40">
        <v>5</v>
      </c>
      <c r="D19" s="40" t="s">
        <v>1322</v>
      </c>
      <c r="E19" s="40">
        <v>5000</v>
      </c>
      <c r="F19" s="40"/>
      <c r="G19" s="76">
        <v>200973</v>
      </c>
      <c r="H19" s="76" t="str">
        <f>IFERROR(INDEX([1]物品基础表!$A:$A,MATCH(G19,[1]物品基础表!$B:$B,0)),"")</f>
        <v>极品橙色兽神装备任选宝箱</v>
      </c>
      <c r="I19" s="76">
        <v>1</v>
      </c>
      <c r="J19" s="76">
        <v>202003</v>
      </c>
      <c r="K19" s="76" t="str">
        <f>IFERROR(INDEX([1]物品基础表!$A:$A,MATCH(J19,[1]物品基础表!$B:$B,0)),"")</f>
        <v>烈焰戒指技能3书</v>
      </c>
      <c r="L19" s="76">
        <v>1</v>
      </c>
      <c r="N19" s="76" t="str">
        <f>IFERROR(INDEX([1]物品基础表!$A:$A,MATCH(M19,[1]物品基础表!$B:$B,0)),"")</f>
        <v/>
      </c>
    </row>
    <row r="20" spans="1:15">
      <c r="A20" s="39" t="str">
        <f>INDEX([2]活动总表!$A$8:$A$429,MATCH(B20,[2]活动总表!$B$8:$B$429,0))</f>
        <v>谁与争锋-跨服消耗排行榜</v>
      </c>
      <c r="B20" s="40">
        <v>509</v>
      </c>
      <c r="C20" s="40">
        <v>6</v>
      </c>
      <c r="D20" s="40" t="s">
        <v>1323</v>
      </c>
      <c r="E20" s="40">
        <v>1000</v>
      </c>
      <c r="F20" s="40"/>
      <c r="G20" s="76">
        <v>202003</v>
      </c>
      <c r="H20" s="76" t="str">
        <f>IFERROR(INDEX([1]物品基础表!$A:$A,MATCH(G20,[1]物品基础表!$B:$B,0)),"")</f>
        <v>烈焰戒指技能3书</v>
      </c>
      <c r="I20" s="76">
        <v>1</v>
      </c>
      <c r="J20" s="76">
        <v>202003</v>
      </c>
      <c r="K20" s="76" t="str">
        <f>IFERROR(INDEX([1]物品基础表!$A:$A,MATCH(J20,[1]物品基础表!$B:$B,0)),"")</f>
        <v>烈焰戒指技能3书</v>
      </c>
      <c r="L20" s="76">
        <v>1</v>
      </c>
      <c r="N20" s="76" t="str">
        <f>IFERROR(INDEX([1]物品基础表!$A:$A,MATCH(M20,[1]物品基础表!$B:$B,0)),"")</f>
        <v/>
      </c>
    </row>
    <row r="21" spans="1:15">
      <c r="A21" s="39" t="str">
        <f>INDEX([2]活动总表!$A$8:$A$429,MATCH(B21,[2]活动总表!$B$8:$B$429,0))</f>
        <v>谁与争锋-跨服消耗排行榜</v>
      </c>
      <c r="B21" s="40">
        <v>801</v>
      </c>
      <c r="C21" s="40">
        <v>1</v>
      </c>
      <c r="D21" s="40" t="s">
        <v>1318</v>
      </c>
      <c r="E21" s="40">
        <v>400000</v>
      </c>
      <c r="F21" s="40">
        <v>800</v>
      </c>
      <c r="G21" s="76">
        <v>204077</v>
      </c>
      <c r="H21" s="76" t="str">
        <f>IFERROR(INDEX([1]物品基础表!$A:$A,MATCH(G21,[1]物品基础表!$B:$B,0)),"")</f>
        <v>至尊武器</v>
      </c>
      <c r="I21" s="76">
        <v>1</v>
      </c>
      <c r="J21" s="76">
        <v>204106</v>
      </c>
      <c r="K21" s="76" t="str">
        <f>IFERROR(INDEX([1]物品基础表!$A:$A,MATCH(J21,[1]物品基础表!$B:$B,0)),"")</f>
        <v>极品至尊至宝</v>
      </c>
      <c r="L21" s="76">
        <v>1</v>
      </c>
      <c r="M21" s="76">
        <v>200976</v>
      </c>
      <c r="N21" s="76" t="str">
        <f>IFERROR(INDEX([1]物品基础表!$A:$A,MATCH(M21,[1]物品基础表!$B:$B,0)),"")</f>
        <v>极品红色兽神装备任选宝箱</v>
      </c>
      <c r="O21" s="76">
        <v>1</v>
      </c>
    </row>
    <row r="22" spans="1:15">
      <c r="A22" s="39" t="str">
        <f>INDEX([2]活动总表!$A$8:$A$429,MATCH(B22,[2]活动总表!$B$8:$B$429,0))</f>
        <v>谁与争锋-跨服消耗排行榜</v>
      </c>
      <c r="B22" s="40">
        <v>801</v>
      </c>
      <c r="C22" s="40">
        <v>2</v>
      </c>
      <c r="D22" s="40" t="s">
        <v>1319</v>
      </c>
      <c r="E22" s="40">
        <v>300000</v>
      </c>
      <c r="F22" s="40"/>
      <c r="G22" s="76">
        <v>204106</v>
      </c>
      <c r="H22" s="76" t="str">
        <f>IFERROR(INDEX([1]物品基础表!$A:$A,MATCH(G22,[1]物品基础表!$B:$B,0)),"")</f>
        <v>极品至尊至宝</v>
      </c>
      <c r="I22" s="76">
        <v>1</v>
      </c>
      <c r="J22" s="76">
        <v>204105</v>
      </c>
      <c r="K22" s="76" t="str">
        <f>IFERROR(INDEX([1]物品基础表!$A:$A,MATCH(J22,[1]物品基础表!$B:$B,0)),"")</f>
        <v>至尊至宝</v>
      </c>
      <c r="L22" s="76">
        <v>1</v>
      </c>
      <c r="M22" s="76">
        <v>200976</v>
      </c>
      <c r="N22" s="76" t="str">
        <f>IFERROR(INDEX([1]物品基础表!$A:$A,MATCH(M22,[1]物品基础表!$B:$B,0)),"")</f>
        <v>极品红色兽神装备任选宝箱</v>
      </c>
      <c r="O22" s="76">
        <v>1</v>
      </c>
    </row>
    <row r="23" spans="1:15">
      <c r="A23" s="39" t="str">
        <f>INDEX([2]活动总表!$A$8:$A$429,MATCH(B23,[2]活动总表!$B$8:$B$429,0))</f>
        <v>谁与争锋-跨服消耗排行榜</v>
      </c>
      <c r="B23" s="40">
        <v>801</v>
      </c>
      <c r="C23" s="40">
        <v>3</v>
      </c>
      <c r="D23" s="40" t="s">
        <v>1320</v>
      </c>
      <c r="E23" s="40">
        <v>200000</v>
      </c>
      <c r="F23" s="40"/>
      <c r="G23" s="76">
        <v>204105</v>
      </c>
      <c r="H23" s="76" t="str">
        <f>IFERROR(INDEX([1]物品基础表!$A:$A,MATCH(G23,[1]物品基础表!$B:$B,0)),"")</f>
        <v>至尊至宝</v>
      </c>
      <c r="I23" s="76">
        <v>1</v>
      </c>
      <c r="J23" s="76">
        <v>204105</v>
      </c>
      <c r="K23" s="76" t="str">
        <f>IFERROR(INDEX([1]物品基础表!$A:$A,MATCH(J23,[1]物品基础表!$B:$B,0)),"")</f>
        <v>至尊至宝</v>
      </c>
      <c r="L23" s="76">
        <v>1</v>
      </c>
      <c r="M23" s="76">
        <v>200976</v>
      </c>
      <c r="N23" s="76" t="str">
        <f>IFERROR(INDEX([1]物品基础表!$A:$A,MATCH(M23,[1]物品基础表!$B:$B,0)),"")</f>
        <v>极品红色兽神装备任选宝箱</v>
      </c>
      <c r="O23" s="76">
        <v>1</v>
      </c>
    </row>
    <row r="24" spans="1:15">
      <c r="A24" s="39" t="str">
        <f>INDEX([2]活动总表!$A$8:$A$429,MATCH(B24,[2]活动总表!$B$8:$B$429,0))</f>
        <v>谁与争锋-跨服消耗排行榜</v>
      </c>
      <c r="B24" s="40">
        <v>801</v>
      </c>
      <c r="C24" s="40">
        <v>4</v>
      </c>
      <c r="D24" s="40" t="s">
        <v>1321</v>
      </c>
      <c r="E24" s="40">
        <v>100000</v>
      </c>
      <c r="F24" s="40"/>
      <c r="G24" s="76">
        <v>204105</v>
      </c>
      <c r="H24" s="76" t="str">
        <f>IFERROR(INDEX([1]物品基础表!$A:$A,MATCH(G24,[1]物品基础表!$B:$B,0)),"")</f>
        <v>至尊至宝</v>
      </c>
      <c r="I24" s="76">
        <v>1</v>
      </c>
      <c r="J24" s="76">
        <v>202003</v>
      </c>
      <c r="K24" s="76" t="str">
        <f>IFERROR(INDEX([1]物品基础表!$A:$A,MATCH(J24,[1]物品基础表!$B:$B,0)),"")</f>
        <v>烈焰戒指技能3书</v>
      </c>
      <c r="L24" s="76">
        <v>1</v>
      </c>
      <c r="M24" s="76">
        <v>200973</v>
      </c>
      <c r="N24" s="76" t="str">
        <f>IFERROR(INDEX([1]物品基础表!$A:$A,MATCH(M24,[1]物品基础表!$B:$B,0)),"")</f>
        <v>极品橙色兽神装备任选宝箱</v>
      </c>
      <c r="O24" s="76">
        <v>1</v>
      </c>
    </row>
    <row r="25" spans="1:15">
      <c r="A25" s="39" t="str">
        <f>INDEX([2]活动总表!$A$8:$A$429,MATCH(B25,[2]活动总表!$B$8:$B$429,0))</f>
        <v>谁与争锋-跨服消耗排行榜</v>
      </c>
      <c r="B25" s="40">
        <v>801</v>
      </c>
      <c r="C25" s="40">
        <v>5</v>
      </c>
      <c r="D25" s="40" t="s">
        <v>1322</v>
      </c>
      <c r="E25" s="40">
        <v>5000</v>
      </c>
      <c r="F25" s="40"/>
      <c r="G25" s="76">
        <v>200973</v>
      </c>
      <c r="H25" s="76" t="str">
        <f>IFERROR(INDEX([1]物品基础表!$A:$A,MATCH(G25,[1]物品基础表!$B:$B,0)),"")</f>
        <v>极品橙色兽神装备任选宝箱</v>
      </c>
      <c r="I25" s="76">
        <v>1</v>
      </c>
      <c r="J25" s="76">
        <v>202003</v>
      </c>
      <c r="K25" s="76" t="str">
        <f>IFERROR(INDEX([1]物品基础表!$A:$A,MATCH(J25,[1]物品基础表!$B:$B,0)),"")</f>
        <v>烈焰戒指技能3书</v>
      </c>
      <c r="L25" s="76">
        <v>1</v>
      </c>
      <c r="N25" s="76" t="str">
        <f>IFERROR(INDEX([1]物品基础表!$A:$A,MATCH(M25,[1]物品基础表!$B:$B,0)),"")</f>
        <v/>
      </c>
    </row>
    <row r="26" spans="1:15">
      <c r="A26" s="39" t="str">
        <f>INDEX([2]活动总表!$A$8:$A$429,MATCH(B26,[2]活动总表!$B$8:$B$429,0))</f>
        <v>谁与争锋-跨服消耗排行榜</v>
      </c>
      <c r="B26" s="40">
        <v>801</v>
      </c>
      <c r="C26" s="40">
        <v>6</v>
      </c>
      <c r="D26" s="40" t="s">
        <v>1323</v>
      </c>
      <c r="E26" s="40">
        <v>1000</v>
      </c>
      <c r="F26" s="40"/>
      <c r="G26" s="76">
        <v>202003</v>
      </c>
      <c r="H26" s="76" t="str">
        <f>IFERROR(INDEX([1]物品基础表!$A:$A,MATCH(G26,[1]物品基础表!$B:$B,0)),"")</f>
        <v>烈焰戒指技能3书</v>
      </c>
      <c r="I26" s="76">
        <v>1</v>
      </c>
      <c r="J26" s="76">
        <v>202003</v>
      </c>
      <c r="K26" s="76" t="str">
        <f>IFERROR(INDEX([1]物品基础表!$A:$A,MATCH(J26,[1]物品基础表!$B:$B,0)),"")</f>
        <v>烈焰戒指技能3书</v>
      </c>
      <c r="L26" s="76">
        <v>1</v>
      </c>
      <c r="N26" s="76" t="str">
        <f>IFERROR(INDEX([1]物品基础表!$A:$A,MATCH(M26,[1]物品基础表!$B:$B,0)),"")</f>
        <v/>
      </c>
    </row>
    <row r="27" spans="1:15">
      <c r="A27" s="39" t="str">
        <f>INDEX([2]活动总表!$A$8:$A$429,MATCH(B27,[2]活动总表!$B$8:$B$429,0))</f>
        <v>谁与争锋-跨服消耗排行榜（15-60天）</v>
      </c>
      <c r="B27" s="40">
        <v>809</v>
      </c>
      <c r="C27" s="40">
        <v>1</v>
      </c>
      <c r="D27" s="40" t="s">
        <v>1318</v>
      </c>
      <c r="E27" s="40">
        <v>400000</v>
      </c>
      <c r="F27" s="40">
        <v>808</v>
      </c>
      <c r="G27" s="76">
        <v>204077</v>
      </c>
      <c r="H27" s="76" t="str">
        <f>IFERROR(INDEX([1]物品基础表!$A:$A,MATCH(G27,[1]物品基础表!$B:$B,0)),"")</f>
        <v>至尊武器</v>
      </c>
      <c r="I27" s="76">
        <v>1</v>
      </c>
      <c r="J27" s="76">
        <v>204106</v>
      </c>
      <c r="K27" s="76" t="str">
        <f>IFERROR(INDEX([1]物品基础表!$A:$A,MATCH(J27,[1]物品基础表!$B:$B,0)),"")</f>
        <v>极品至尊至宝</v>
      </c>
      <c r="L27" s="76">
        <v>1</v>
      </c>
      <c r="M27" s="76">
        <v>200976</v>
      </c>
      <c r="N27" s="76" t="str">
        <f>IFERROR(INDEX([1]物品基础表!$A:$A,MATCH(M27,[1]物品基础表!$B:$B,0)),"")</f>
        <v>极品红色兽神装备任选宝箱</v>
      </c>
      <c r="O27" s="76">
        <v>1</v>
      </c>
    </row>
    <row r="28" spans="1:15">
      <c r="A28" s="39" t="str">
        <f>INDEX([2]活动总表!$A$8:$A$429,MATCH(B28,[2]活动总表!$B$8:$B$429,0))</f>
        <v>谁与争锋-跨服消耗排行榜（15-60天）</v>
      </c>
      <c r="B28" s="40">
        <v>809</v>
      </c>
      <c r="C28" s="40">
        <v>2</v>
      </c>
      <c r="D28" s="40" t="s">
        <v>1319</v>
      </c>
      <c r="E28" s="40">
        <v>300000</v>
      </c>
      <c r="F28" s="40"/>
      <c r="G28" s="76">
        <v>204106</v>
      </c>
      <c r="H28" s="76" t="str">
        <f>IFERROR(INDEX([1]物品基础表!$A:$A,MATCH(G28,[1]物品基础表!$B:$B,0)),"")</f>
        <v>极品至尊至宝</v>
      </c>
      <c r="I28" s="76">
        <v>1</v>
      </c>
      <c r="J28" s="76">
        <v>204105</v>
      </c>
      <c r="K28" s="76" t="str">
        <f>IFERROR(INDEX([1]物品基础表!$A:$A,MATCH(J28,[1]物品基础表!$B:$B,0)),"")</f>
        <v>至尊至宝</v>
      </c>
      <c r="L28" s="76">
        <v>1</v>
      </c>
      <c r="M28" s="76">
        <v>200976</v>
      </c>
      <c r="N28" s="76" t="str">
        <f>IFERROR(INDEX([1]物品基础表!$A:$A,MATCH(M28,[1]物品基础表!$B:$B,0)),"")</f>
        <v>极品红色兽神装备任选宝箱</v>
      </c>
      <c r="O28" s="76">
        <v>1</v>
      </c>
    </row>
    <row r="29" spans="1:15">
      <c r="A29" s="39" t="str">
        <f>INDEX([2]活动总表!$A$8:$A$429,MATCH(B29,[2]活动总表!$B$8:$B$429,0))</f>
        <v>谁与争锋-跨服消耗排行榜（15-60天）</v>
      </c>
      <c r="B29" s="40">
        <v>809</v>
      </c>
      <c r="C29" s="40">
        <v>3</v>
      </c>
      <c r="D29" s="40" t="s">
        <v>1320</v>
      </c>
      <c r="E29" s="40">
        <v>200000</v>
      </c>
      <c r="F29" s="40"/>
      <c r="G29" s="76">
        <v>204105</v>
      </c>
      <c r="H29" s="76" t="str">
        <f>IFERROR(INDEX([1]物品基础表!$A:$A,MATCH(G29,[1]物品基础表!$B:$B,0)),"")</f>
        <v>至尊至宝</v>
      </c>
      <c r="I29" s="76">
        <v>1</v>
      </c>
      <c r="J29" s="76">
        <v>204105</v>
      </c>
      <c r="K29" s="76" t="str">
        <f>IFERROR(INDEX([1]物品基础表!$A:$A,MATCH(J29,[1]物品基础表!$B:$B,0)),"")</f>
        <v>至尊至宝</v>
      </c>
      <c r="L29" s="76">
        <v>1</v>
      </c>
      <c r="M29" s="76">
        <v>200976</v>
      </c>
      <c r="N29" s="76" t="str">
        <f>IFERROR(INDEX([1]物品基础表!$A:$A,MATCH(M29,[1]物品基础表!$B:$B,0)),"")</f>
        <v>极品红色兽神装备任选宝箱</v>
      </c>
      <c r="O29" s="76">
        <v>1</v>
      </c>
    </row>
    <row r="30" spans="1:15">
      <c r="A30" s="39" t="str">
        <f>INDEX([2]活动总表!$A$8:$A$429,MATCH(B30,[2]活动总表!$B$8:$B$429,0))</f>
        <v>谁与争锋-跨服消耗排行榜（15-60天）</v>
      </c>
      <c r="B30" s="40">
        <v>809</v>
      </c>
      <c r="C30" s="40">
        <v>4</v>
      </c>
      <c r="D30" s="40" t="s">
        <v>1321</v>
      </c>
      <c r="E30" s="40">
        <v>100000</v>
      </c>
      <c r="F30" s="40"/>
      <c r="G30" s="76">
        <v>204105</v>
      </c>
      <c r="H30" s="76" t="str">
        <f>IFERROR(INDEX([1]物品基础表!$A:$A,MATCH(G30,[1]物品基础表!$B:$B,0)),"")</f>
        <v>至尊至宝</v>
      </c>
      <c r="I30" s="76">
        <v>1</v>
      </c>
      <c r="J30" s="76">
        <v>202003</v>
      </c>
      <c r="K30" s="76" t="str">
        <f>IFERROR(INDEX([1]物品基础表!$A:$A,MATCH(J30,[1]物品基础表!$B:$B,0)),"")</f>
        <v>烈焰戒指技能3书</v>
      </c>
      <c r="L30" s="76">
        <v>1</v>
      </c>
      <c r="M30" s="76">
        <v>200973</v>
      </c>
      <c r="N30" s="76" t="str">
        <f>IFERROR(INDEX([1]物品基础表!$A:$A,MATCH(M30,[1]物品基础表!$B:$B,0)),"")</f>
        <v>极品橙色兽神装备任选宝箱</v>
      </c>
      <c r="O30" s="76">
        <v>1</v>
      </c>
    </row>
    <row r="31" spans="1:15">
      <c r="A31" s="39" t="str">
        <f>INDEX([2]活动总表!$A$8:$A$429,MATCH(B31,[2]活动总表!$B$8:$B$429,0))</f>
        <v>谁与争锋-跨服消耗排行榜（15-60天）</v>
      </c>
      <c r="B31" s="40">
        <v>809</v>
      </c>
      <c r="C31" s="40">
        <v>5</v>
      </c>
      <c r="D31" s="40" t="s">
        <v>1322</v>
      </c>
      <c r="E31" s="40">
        <v>5000</v>
      </c>
      <c r="F31" s="40"/>
      <c r="G31" s="76">
        <v>200973</v>
      </c>
      <c r="H31" s="76" t="str">
        <f>IFERROR(INDEX([1]物品基础表!$A:$A,MATCH(G31,[1]物品基础表!$B:$B,0)),"")</f>
        <v>极品橙色兽神装备任选宝箱</v>
      </c>
      <c r="I31" s="76">
        <v>1</v>
      </c>
      <c r="J31" s="76">
        <v>202003</v>
      </c>
      <c r="K31" s="76" t="str">
        <f>IFERROR(INDEX([1]物品基础表!$A:$A,MATCH(J31,[1]物品基础表!$B:$B,0)),"")</f>
        <v>烈焰戒指技能3书</v>
      </c>
      <c r="L31" s="76">
        <v>1</v>
      </c>
      <c r="N31" s="76" t="str">
        <f>IFERROR(INDEX([1]物品基础表!$A:$A,MATCH(M31,[1]物品基础表!$B:$B,0)),"")</f>
        <v/>
      </c>
    </row>
    <row r="32" spans="1:15">
      <c r="A32" s="39" t="str">
        <f>INDEX([2]活动总表!$A$8:$A$429,MATCH(B32,[2]活动总表!$B$8:$B$429,0))</f>
        <v>谁与争锋-跨服消耗排行榜（15-60天）</v>
      </c>
      <c r="B32" s="40">
        <v>809</v>
      </c>
      <c r="C32" s="40">
        <v>6</v>
      </c>
      <c r="D32" s="40" t="s">
        <v>1323</v>
      </c>
      <c r="E32" s="40">
        <v>1000</v>
      </c>
      <c r="F32" s="40"/>
      <c r="G32" s="76">
        <v>202003</v>
      </c>
      <c r="H32" s="76" t="str">
        <f>IFERROR(INDEX([1]物品基础表!$A:$A,MATCH(G32,[1]物品基础表!$B:$B,0)),"")</f>
        <v>烈焰戒指技能3书</v>
      </c>
      <c r="I32" s="76">
        <v>1</v>
      </c>
      <c r="J32" s="76">
        <v>202003</v>
      </c>
      <c r="K32" s="76" t="str">
        <f>IFERROR(INDEX([1]物品基础表!$A:$A,MATCH(J32,[1]物品基础表!$B:$B,0)),"")</f>
        <v>烈焰戒指技能3书</v>
      </c>
      <c r="L32" s="76">
        <v>1</v>
      </c>
      <c r="N32" s="76" t="str">
        <f>IFERROR(INDEX([1]物品基础表!$A:$A,MATCH(M32,[1]物品基础表!$B:$B,0)),"")</f>
        <v/>
      </c>
    </row>
    <row r="33" spans="1:15">
      <c r="A33" s="39" t="str">
        <f>INDEX([2]活动总表!$A$8:$A$429,MATCH(B33,[2]活动总表!$B$8:$B$429,0))</f>
        <v>谁与争锋-跨服消耗排行榜（61+天）</v>
      </c>
      <c r="B33" s="40">
        <v>817</v>
      </c>
      <c r="C33" s="40">
        <v>1</v>
      </c>
      <c r="D33" s="40" t="s">
        <v>1318</v>
      </c>
      <c r="E33" s="40">
        <v>400000</v>
      </c>
      <c r="F33" s="40">
        <v>816</v>
      </c>
      <c r="G33" s="76">
        <v>204077</v>
      </c>
      <c r="H33" s="76" t="str">
        <f>IFERROR(INDEX([1]物品基础表!$A:$A,MATCH(G33,[1]物品基础表!$B:$B,0)),"")</f>
        <v>至尊武器</v>
      </c>
      <c r="I33" s="76">
        <v>1</v>
      </c>
      <c r="J33" s="76">
        <v>204106</v>
      </c>
      <c r="K33" s="76" t="str">
        <f>IFERROR(INDEX([1]物品基础表!$A:$A,MATCH(J33,[1]物品基础表!$B:$B,0)),"")</f>
        <v>极品至尊至宝</v>
      </c>
      <c r="L33" s="76">
        <v>1</v>
      </c>
      <c r="M33" s="76">
        <v>200976</v>
      </c>
      <c r="N33" s="76" t="str">
        <f>IFERROR(INDEX([1]物品基础表!$A:$A,MATCH(M33,[1]物品基础表!$B:$B,0)),"")</f>
        <v>极品红色兽神装备任选宝箱</v>
      </c>
      <c r="O33" s="76">
        <v>1</v>
      </c>
    </row>
    <row r="34" spans="1:15">
      <c r="A34" s="39" t="str">
        <f>INDEX([2]活动总表!$A$8:$A$429,MATCH(B34,[2]活动总表!$B$8:$B$429,0))</f>
        <v>谁与争锋-跨服消耗排行榜（61+天）</v>
      </c>
      <c r="B34" s="40">
        <v>817</v>
      </c>
      <c r="C34" s="40">
        <v>2</v>
      </c>
      <c r="D34" s="40" t="s">
        <v>1319</v>
      </c>
      <c r="E34" s="40">
        <v>300000</v>
      </c>
      <c r="F34" s="40"/>
      <c r="G34" s="76">
        <v>204106</v>
      </c>
      <c r="H34" s="76" t="str">
        <f>IFERROR(INDEX([1]物品基础表!$A:$A,MATCH(G34,[1]物品基础表!$B:$B,0)),"")</f>
        <v>极品至尊至宝</v>
      </c>
      <c r="I34" s="76">
        <v>1</v>
      </c>
      <c r="J34" s="76">
        <v>204105</v>
      </c>
      <c r="K34" s="76" t="str">
        <f>IFERROR(INDEX([1]物品基础表!$A:$A,MATCH(J34,[1]物品基础表!$B:$B,0)),"")</f>
        <v>至尊至宝</v>
      </c>
      <c r="L34" s="76">
        <v>1</v>
      </c>
      <c r="M34" s="76">
        <v>200976</v>
      </c>
      <c r="N34" s="76" t="str">
        <f>IFERROR(INDEX([1]物品基础表!$A:$A,MATCH(M34,[1]物品基础表!$B:$B,0)),"")</f>
        <v>极品红色兽神装备任选宝箱</v>
      </c>
      <c r="O34" s="76">
        <v>1</v>
      </c>
    </row>
    <row r="35" spans="1:15">
      <c r="A35" s="39" t="str">
        <f>INDEX([2]活动总表!$A$8:$A$429,MATCH(B35,[2]活动总表!$B$8:$B$429,0))</f>
        <v>谁与争锋-跨服消耗排行榜（61+天）</v>
      </c>
      <c r="B35" s="40">
        <v>817</v>
      </c>
      <c r="C35" s="40">
        <v>3</v>
      </c>
      <c r="D35" s="40" t="s">
        <v>1320</v>
      </c>
      <c r="E35" s="40">
        <v>200000</v>
      </c>
      <c r="F35" s="40"/>
      <c r="G35" s="76">
        <v>204105</v>
      </c>
      <c r="H35" s="76" t="str">
        <f>IFERROR(INDEX([1]物品基础表!$A:$A,MATCH(G35,[1]物品基础表!$B:$B,0)),"")</f>
        <v>至尊至宝</v>
      </c>
      <c r="I35" s="76">
        <v>1</v>
      </c>
      <c r="J35" s="76">
        <v>204105</v>
      </c>
      <c r="K35" s="76" t="str">
        <f>IFERROR(INDEX([1]物品基础表!$A:$A,MATCH(J35,[1]物品基础表!$B:$B,0)),"")</f>
        <v>至尊至宝</v>
      </c>
      <c r="L35" s="76">
        <v>1</v>
      </c>
      <c r="M35" s="76">
        <v>200976</v>
      </c>
      <c r="N35" s="76" t="str">
        <f>IFERROR(INDEX([1]物品基础表!$A:$A,MATCH(M35,[1]物品基础表!$B:$B,0)),"")</f>
        <v>极品红色兽神装备任选宝箱</v>
      </c>
      <c r="O35" s="76">
        <v>1</v>
      </c>
    </row>
    <row r="36" spans="1:15">
      <c r="A36" s="39" t="str">
        <f>INDEX([2]活动总表!$A$8:$A$429,MATCH(B36,[2]活动总表!$B$8:$B$429,0))</f>
        <v>谁与争锋-跨服消耗排行榜（61+天）</v>
      </c>
      <c r="B36" s="40">
        <v>817</v>
      </c>
      <c r="C36" s="40">
        <v>4</v>
      </c>
      <c r="D36" s="40" t="s">
        <v>1321</v>
      </c>
      <c r="E36" s="40">
        <v>100000</v>
      </c>
      <c r="F36" s="40"/>
      <c r="G36" s="76">
        <v>204105</v>
      </c>
      <c r="H36" s="76" t="str">
        <f>IFERROR(INDEX([1]物品基础表!$A:$A,MATCH(G36,[1]物品基础表!$B:$B,0)),"")</f>
        <v>至尊至宝</v>
      </c>
      <c r="I36" s="76">
        <v>1</v>
      </c>
      <c r="J36" s="76">
        <v>202003</v>
      </c>
      <c r="K36" s="76" t="str">
        <f>IFERROR(INDEX([1]物品基础表!$A:$A,MATCH(J36,[1]物品基础表!$B:$B,0)),"")</f>
        <v>烈焰戒指技能3书</v>
      </c>
      <c r="L36" s="76">
        <v>1</v>
      </c>
      <c r="M36" s="76">
        <v>200973</v>
      </c>
      <c r="N36" s="76" t="str">
        <f>IFERROR(INDEX([1]物品基础表!$A:$A,MATCH(M36,[1]物品基础表!$B:$B,0)),"")</f>
        <v>极品橙色兽神装备任选宝箱</v>
      </c>
      <c r="O36" s="76">
        <v>1</v>
      </c>
    </row>
    <row r="37" spans="1:15">
      <c r="A37" s="39" t="str">
        <f>INDEX([2]活动总表!$A$8:$A$429,MATCH(B37,[2]活动总表!$B$8:$B$429,0))</f>
        <v>谁与争锋-跨服消耗排行榜（61+天）</v>
      </c>
      <c r="B37" s="40">
        <v>817</v>
      </c>
      <c r="C37" s="40">
        <v>5</v>
      </c>
      <c r="D37" s="40" t="s">
        <v>1322</v>
      </c>
      <c r="E37" s="40">
        <v>5000</v>
      </c>
      <c r="F37" s="40"/>
      <c r="G37" s="76">
        <v>200973</v>
      </c>
      <c r="H37" s="76" t="str">
        <f>IFERROR(INDEX([1]物品基础表!$A:$A,MATCH(G37,[1]物品基础表!$B:$B,0)),"")</f>
        <v>极品橙色兽神装备任选宝箱</v>
      </c>
      <c r="I37" s="76">
        <v>1</v>
      </c>
      <c r="J37" s="76">
        <v>202003</v>
      </c>
      <c r="K37" s="76" t="str">
        <f>IFERROR(INDEX([1]物品基础表!$A:$A,MATCH(J37,[1]物品基础表!$B:$B,0)),"")</f>
        <v>烈焰戒指技能3书</v>
      </c>
      <c r="L37" s="76">
        <v>1</v>
      </c>
      <c r="N37" s="76" t="str">
        <f>IFERROR(INDEX([1]物品基础表!$A:$A,MATCH(M37,[1]物品基础表!$B:$B,0)),"")</f>
        <v/>
      </c>
    </row>
    <row r="38" spans="1:15">
      <c r="A38" s="39" t="str">
        <f>INDEX([2]活动总表!$A$8:$A$429,MATCH(B38,[2]活动总表!$B$8:$B$429,0))</f>
        <v>谁与争锋-跨服消耗排行榜（61+天）</v>
      </c>
      <c r="B38" s="40">
        <v>817</v>
      </c>
      <c r="C38" s="40">
        <v>6</v>
      </c>
      <c r="D38" s="40" t="s">
        <v>1323</v>
      </c>
      <c r="E38" s="40">
        <v>1000</v>
      </c>
      <c r="F38" s="40"/>
      <c r="G38" s="76">
        <v>202003</v>
      </c>
      <c r="H38" s="76" t="str">
        <f>IFERROR(INDEX([1]物品基础表!$A:$A,MATCH(G38,[1]物品基础表!$B:$B,0)),"")</f>
        <v>烈焰戒指技能3书</v>
      </c>
      <c r="I38" s="76">
        <v>1</v>
      </c>
      <c r="J38" s="76">
        <v>202003</v>
      </c>
      <c r="K38" s="76" t="str">
        <f>IFERROR(INDEX([1]物品基础表!$A:$A,MATCH(J38,[1]物品基础表!$B:$B,0)),"")</f>
        <v>烈焰戒指技能3书</v>
      </c>
      <c r="L38" s="76">
        <v>1</v>
      </c>
      <c r="N38" s="76" t="str">
        <f>IFERROR(INDEX([1]物品基础表!$A:$A,MATCH(M38,[1]物品基础表!$B:$B,0)),"")</f>
        <v/>
      </c>
    </row>
  </sheetData>
  <mergeCells count="1">
    <mergeCell ref="G1:O1"/>
  </mergeCells>
  <phoneticPr fontId="1"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23"/>
  <sheetViews>
    <sheetView workbookViewId="0">
      <selection activeCell="G20" sqref="G20"/>
    </sheetView>
  </sheetViews>
  <sheetFormatPr defaultColWidth="20.625" defaultRowHeight="13.5"/>
  <cols>
    <col min="1" max="1" width="14.375" style="78" bestFit="1" customWidth="1"/>
    <col min="2" max="2" width="9" style="78" bestFit="1" customWidth="1"/>
    <col min="3" max="3" width="13.375" style="78" bestFit="1" customWidth="1"/>
    <col min="4" max="4" width="6.5" style="78" bestFit="1" customWidth="1"/>
    <col min="5" max="5" width="7.25" style="78" bestFit="1" customWidth="1"/>
    <col min="6" max="6" width="17.25" style="78" bestFit="1" customWidth="1"/>
    <col min="7" max="7" width="21.625" style="78" bestFit="1" customWidth="1"/>
    <col min="8" max="8" width="9" style="78" bestFit="1" customWidth="1"/>
    <col min="9" max="9" width="21.375" style="78" bestFit="1" customWidth="1"/>
    <col min="10" max="10" width="5.5" style="78" bestFit="1" customWidth="1"/>
    <col min="11" max="11" width="7.5" style="78" bestFit="1" customWidth="1"/>
    <col min="12" max="12" width="9" style="78" bestFit="1" customWidth="1"/>
    <col min="13" max="13" width="5.25" style="78" bestFit="1" customWidth="1"/>
    <col min="14" max="16384" width="20.625" style="78"/>
  </cols>
  <sheetData>
    <row r="1" spans="1:13">
      <c r="J1" s="140" t="s">
        <v>1328</v>
      </c>
      <c r="K1" s="141"/>
      <c r="L1" s="141"/>
      <c r="M1" s="142"/>
    </row>
    <row r="2" spans="1:13">
      <c r="A2" s="90" t="s">
        <v>19</v>
      </c>
      <c r="B2" s="90" t="s">
        <v>32</v>
      </c>
      <c r="C2" s="90" t="s">
        <v>33</v>
      </c>
      <c r="D2" s="90" t="s">
        <v>1324</v>
      </c>
      <c r="E2" s="90" t="s">
        <v>1325</v>
      </c>
      <c r="F2" s="90" t="s">
        <v>1326</v>
      </c>
      <c r="G2" s="90" t="s">
        <v>1327</v>
      </c>
      <c r="H2" s="90" t="s">
        <v>1329</v>
      </c>
      <c r="I2" s="90" t="s">
        <v>1330</v>
      </c>
      <c r="J2" s="72" t="s">
        <v>1337</v>
      </c>
      <c r="K2" s="72" t="s">
        <v>2</v>
      </c>
      <c r="L2" s="72" t="s">
        <v>3</v>
      </c>
      <c r="M2" s="72" t="s">
        <v>4</v>
      </c>
    </row>
    <row r="3" spans="1:13">
      <c r="A3" s="39" t="str">
        <f>INDEX([2]活动总表!$A$8:$A$429,MATCH(B3,[2]活动总表!$B$8:$B$429,0))</f>
        <v>腊八-节日BOSS</v>
      </c>
      <c r="B3" s="88">
        <v>402</v>
      </c>
      <c r="C3" s="88">
        <v>1</v>
      </c>
      <c r="D3" s="88">
        <v>52001</v>
      </c>
      <c r="E3" s="88">
        <v>85001</v>
      </c>
      <c r="F3" s="88">
        <v>43200</v>
      </c>
      <c r="G3" s="88">
        <v>360</v>
      </c>
      <c r="H3" s="88">
        <v>10000</v>
      </c>
      <c r="I3" s="88">
        <v>120</v>
      </c>
      <c r="J3" s="78">
        <v>5000</v>
      </c>
      <c r="K3" s="78">
        <v>200007</v>
      </c>
      <c r="L3" s="76" t="str">
        <f>IFERROR(INDEX([1]物品基础表!$A:$A,MATCH(K3,[1]物品基础表!$B:$B,0)),"")</f>
        <v>神装碎片</v>
      </c>
      <c r="M3" s="78">
        <v>5</v>
      </c>
    </row>
    <row r="4" spans="1:13">
      <c r="A4" s="39" t="str">
        <f>INDEX([2]活动总表!$A$8:$A$429,MATCH(B4,[2]活动总表!$B$8:$B$429,0))</f>
        <v>腊八-节日BOSS</v>
      </c>
      <c r="B4" s="88">
        <v>402</v>
      </c>
      <c r="C4" s="88">
        <v>2</v>
      </c>
      <c r="D4" s="88">
        <v>52001</v>
      </c>
      <c r="E4" s="88">
        <v>85001</v>
      </c>
      <c r="F4" s="88">
        <v>79200</v>
      </c>
      <c r="G4" s="88">
        <v>360</v>
      </c>
      <c r="H4" s="88">
        <v>10000</v>
      </c>
      <c r="I4" s="88">
        <v>120</v>
      </c>
      <c r="J4" s="78">
        <v>5000</v>
      </c>
      <c r="K4" s="78">
        <v>200007</v>
      </c>
      <c r="L4" s="76" t="str">
        <f>IFERROR(INDEX([1]物品基础表!$A:$A,MATCH(K4,[1]物品基础表!$B:$B,0)),"")</f>
        <v>神装碎片</v>
      </c>
      <c r="M4" s="78">
        <v>5</v>
      </c>
    </row>
    <row r="5" spans="1:13">
      <c r="A5" s="39" t="str">
        <f>INDEX([2]活动总表!$A$8:$A$429,MATCH(B5,[2]活动总表!$B$8:$B$429,0))</f>
        <v>元宵-节日BOSS</v>
      </c>
      <c r="B5" s="88">
        <v>651</v>
      </c>
      <c r="C5" s="88">
        <v>1</v>
      </c>
      <c r="D5" s="88">
        <v>52001</v>
      </c>
      <c r="E5" s="88">
        <v>85001</v>
      </c>
      <c r="F5" s="88">
        <v>43200</v>
      </c>
      <c r="G5" s="88">
        <v>360</v>
      </c>
      <c r="H5" s="88">
        <v>10000</v>
      </c>
      <c r="I5" s="88">
        <v>120</v>
      </c>
      <c r="J5" s="78">
        <v>5000</v>
      </c>
      <c r="K5" s="78">
        <v>200007</v>
      </c>
      <c r="L5" s="76" t="str">
        <f>IFERROR(INDEX([1]物品基础表!$A:$A,MATCH(K5,[1]物品基础表!$B:$B,0)),"")</f>
        <v>神装碎片</v>
      </c>
      <c r="M5" s="78">
        <v>5</v>
      </c>
    </row>
    <row r="6" spans="1:13">
      <c r="A6" s="39" t="str">
        <f>INDEX([2]活动总表!$A$8:$A$429,MATCH(B6,[2]活动总表!$B$8:$B$429,0))</f>
        <v>元宵-节日BOSS</v>
      </c>
      <c r="B6" s="88">
        <v>651</v>
      </c>
      <c r="C6" s="88">
        <v>2</v>
      </c>
      <c r="D6" s="88">
        <v>52001</v>
      </c>
      <c r="E6" s="88">
        <v>85001</v>
      </c>
      <c r="F6" s="88">
        <v>79200</v>
      </c>
      <c r="G6" s="88">
        <v>360</v>
      </c>
      <c r="H6" s="88">
        <v>10000</v>
      </c>
      <c r="I6" s="88">
        <v>120</v>
      </c>
      <c r="J6" s="78">
        <v>5000</v>
      </c>
      <c r="K6" s="78">
        <v>200007</v>
      </c>
      <c r="L6" s="76" t="str">
        <f>IFERROR(INDEX([1]物品基础表!$A:$A,MATCH(K6,[1]物品基础表!$B:$B,0)),"")</f>
        <v>神装碎片</v>
      </c>
      <c r="M6" s="78">
        <v>5</v>
      </c>
    </row>
    <row r="7" spans="1:13">
      <c r="A7" s="39" t="str">
        <f>INDEX([2]活动总表!$A$8:$A$429,MATCH(B7,[2]活动总表!$B$8:$B$429,0))</f>
        <v>元宵-节日BOSS</v>
      </c>
      <c r="B7" s="88">
        <v>700</v>
      </c>
      <c r="C7" s="88">
        <v>1</v>
      </c>
      <c r="D7" s="88">
        <v>52001</v>
      </c>
      <c r="E7" s="88">
        <v>85001</v>
      </c>
      <c r="F7" s="88">
        <v>43200</v>
      </c>
      <c r="G7" s="88">
        <v>360</v>
      </c>
      <c r="H7" s="88">
        <v>10000</v>
      </c>
      <c r="I7" s="88">
        <v>120</v>
      </c>
      <c r="J7" s="78">
        <v>5000</v>
      </c>
      <c r="K7" s="78">
        <v>200007</v>
      </c>
      <c r="L7" s="76" t="str">
        <f>IFERROR(INDEX([1]物品基础表!$A:$A,MATCH(K7,[1]物品基础表!$B:$B,0)),"")</f>
        <v>神装碎片</v>
      </c>
      <c r="M7" s="78">
        <v>5</v>
      </c>
    </row>
    <row r="8" spans="1:13">
      <c r="A8" s="39" t="str">
        <f>INDEX([2]活动总表!$A$8:$A$429,MATCH(B8,[2]活动总表!$B$8:$B$429,0))</f>
        <v>元宵-节日BOSS</v>
      </c>
      <c r="B8" s="88">
        <v>700</v>
      </c>
      <c r="C8" s="88">
        <v>2</v>
      </c>
      <c r="D8" s="88">
        <v>52001</v>
      </c>
      <c r="E8" s="88">
        <v>85001</v>
      </c>
      <c r="F8" s="88">
        <v>79200</v>
      </c>
      <c r="G8" s="88">
        <v>360</v>
      </c>
      <c r="H8" s="88">
        <v>10000</v>
      </c>
      <c r="I8" s="88">
        <v>120</v>
      </c>
      <c r="J8" s="78">
        <v>5000</v>
      </c>
      <c r="K8" s="78">
        <v>200007</v>
      </c>
      <c r="L8" s="76" t="str">
        <f>IFERROR(INDEX([1]物品基础表!$A:$A,MATCH(K8,[1]物品基础表!$B:$B,0)),"")</f>
        <v>神装碎片</v>
      </c>
      <c r="M8" s="78">
        <v>5</v>
      </c>
    </row>
    <row r="11" spans="1:13">
      <c r="A11" s="137" t="s">
        <v>1335</v>
      </c>
      <c r="B11" s="138"/>
      <c r="C11" s="138"/>
      <c r="D11" s="139"/>
    </row>
    <row r="12" spans="1:13">
      <c r="A12" s="72" t="s">
        <v>1331</v>
      </c>
      <c r="B12" s="72" t="s">
        <v>2</v>
      </c>
      <c r="C12" s="72" t="s">
        <v>3</v>
      </c>
      <c r="D12" s="72" t="s">
        <v>4</v>
      </c>
    </row>
    <row r="13" spans="1:13">
      <c r="A13" s="78">
        <v>1</v>
      </c>
      <c r="B13" s="78">
        <v>204114</v>
      </c>
      <c r="C13" s="76" t="str">
        <f>IFERROR(INDEX([1]物品基础表!$A:$A,MATCH(B13,[1]物品基础表!$B:$B,0)),"")</f>
        <v>BOSS腊八粥</v>
      </c>
      <c r="D13" s="78">
        <v>10</v>
      </c>
    </row>
    <row r="14" spans="1:13">
      <c r="A14" s="89" t="s">
        <v>1333</v>
      </c>
      <c r="B14" s="78">
        <v>204114</v>
      </c>
      <c r="C14" s="76" t="str">
        <f>IFERROR(INDEX([1]物品基础表!$A:$A,MATCH(B14,[1]物品基础表!$B:$B,0)),"")</f>
        <v>BOSS腊八粥</v>
      </c>
      <c r="D14" s="78">
        <v>8</v>
      </c>
    </row>
    <row r="15" spans="1:13">
      <c r="A15" s="89" t="s">
        <v>1334</v>
      </c>
      <c r="B15" s="78">
        <v>204114</v>
      </c>
      <c r="C15" s="76" t="str">
        <f>IFERROR(INDEX([1]物品基础表!$A:$A,MATCH(B15,[1]物品基础表!$B:$B,0)),"")</f>
        <v>BOSS腊八粥</v>
      </c>
      <c r="D15" s="78">
        <v>6</v>
      </c>
    </row>
    <row r="16" spans="1:13">
      <c r="A16" s="78" t="s">
        <v>1332</v>
      </c>
      <c r="B16" s="78">
        <v>204114</v>
      </c>
      <c r="C16" s="76" t="str">
        <f>IFERROR(INDEX([1]物品基础表!$A:$A,MATCH(B16,[1]物品基础表!$B:$B,0)),"")</f>
        <v>BOSS腊八粥</v>
      </c>
      <c r="D16" s="78">
        <v>5</v>
      </c>
    </row>
    <row r="18" spans="1:4">
      <c r="A18" s="137" t="s">
        <v>1336</v>
      </c>
      <c r="B18" s="138"/>
      <c r="C18" s="138"/>
      <c r="D18" s="139"/>
    </row>
    <row r="19" spans="1:4">
      <c r="A19" s="72" t="s">
        <v>1331</v>
      </c>
      <c r="B19" s="72" t="s">
        <v>2</v>
      </c>
      <c r="C19" s="72" t="s">
        <v>3</v>
      </c>
      <c r="D19" s="72" t="s">
        <v>4</v>
      </c>
    </row>
    <row r="20" spans="1:4">
      <c r="A20" s="78">
        <v>1</v>
      </c>
      <c r="B20" s="78">
        <v>200988</v>
      </c>
      <c r="C20" s="76" t="str">
        <f>IFERROR(INDEX([1]物品基础表!$A:$A,MATCH(B20,[1]物品基础表!$B:$B,0)),"")</f>
        <v>元宵BOSS礼包</v>
      </c>
      <c r="D20" s="78">
        <v>10</v>
      </c>
    </row>
    <row r="21" spans="1:4">
      <c r="A21" s="89" t="s">
        <v>1333</v>
      </c>
      <c r="B21" s="78">
        <v>200988</v>
      </c>
      <c r="C21" s="76" t="str">
        <f>IFERROR(INDEX([1]物品基础表!$A:$A,MATCH(B21,[1]物品基础表!$B:$B,0)),"")</f>
        <v>元宵BOSS礼包</v>
      </c>
      <c r="D21" s="78">
        <v>8</v>
      </c>
    </row>
    <row r="22" spans="1:4">
      <c r="A22" s="89" t="s">
        <v>1334</v>
      </c>
      <c r="B22" s="78">
        <v>200988</v>
      </c>
      <c r="C22" s="76" t="str">
        <f>IFERROR(INDEX([1]物品基础表!$A:$A,MATCH(B22,[1]物品基础表!$B:$B,0)),"")</f>
        <v>元宵BOSS礼包</v>
      </c>
      <c r="D22" s="78">
        <v>6</v>
      </c>
    </row>
    <row r="23" spans="1:4">
      <c r="A23" s="78" t="s">
        <v>1332</v>
      </c>
      <c r="B23" s="78">
        <v>200988</v>
      </c>
      <c r="C23" s="76" t="str">
        <f>IFERROR(INDEX([1]物品基础表!$A:$A,MATCH(B23,[1]物品基础表!$B:$B,0)),"")</f>
        <v>元宵BOSS礼包</v>
      </c>
      <c r="D23" s="78">
        <v>5</v>
      </c>
    </row>
  </sheetData>
  <mergeCells count="3">
    <mergeCell ref="A11:D11"/>
    <mergeCell ref="A18:D18"/>
    <mergeCell ref="J1:M1"/>
  </mergeCells>
  <phoneticPr fontId="1"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P77"/>
  <sheetViews>
    <sheetView workbookViewId="0">
      <selection activeCell="D29" sqref="D29"/>
    </sheetView>
  </sheetViews>
  <sheetFormatPr defaultRowHeight="13.5"/>
  <cols>
    <col min="1" max="1" width="32" style="39" bestFit="1" customWidth="1"/>
    <col min="2" max="5" width="9" style="41" bestFit="1" customWidth="1"/>
    <col min="6" max="6" width="13" style="41" bestFit="1" customWidth="1"/>
    <col min="7" max="7" width="6.5" style="41" bestFit="1" customWidth="1"/>
    <col min="8" max="8" width="7.5" style="41" bestFit="1" customWidth="1"/>
    <col min="9" max="9" width="13" style="41" bestFit="1" customWidth="1"/>
    <col min="10" max="10" width="5.5" style="41" bestFit="1" customWidth="1"/>
    <col min="11" max="11" width="7.5" style="41" bestFit="1" customWidth="1"/>
    <col min="12" max="12" width="10" style="41" bestFit="1" customWidth="1"/>
    <col min="13" max="13" width="6.5" style="41" bestFit="1" customWidth="1"/>
    <col min="14" max="14" width="7.5" style="41" bestFit="1" customWidth="1"/>
    <col min="15" max="15" width="10" style="41" bestFit="1" customWidth="1"/>
    <col min="16" max="16" width="5.5" style="41" bestFit="1" customWidth="1"/>
    <col min="17" max="16384" width="9" style="41"/>
  </cols>
  <sheetData>
    <row r="1" spans="1:16">
      <c r="A1" s="73" t="s">
        <v>1340</v>
      </c>
      <c r="H1" s="118" t="s">
        <v>1347</v>
      </c>
      <c r="I1" s="119"/>
      <c r="J1" s="119"/>
      <c r="K1" s="119"/>
      <c r="L1" s="119"/>
      <c r="M1" s="119"/>
      <c r="N1" s="119"/>
      <c r="O1" s="119"/>
      <c r="P1" s="120"/>
    </row>
    <row r="2" spans="1:16">
      <c r="A2" s="91" t="s">
        <v>19</v>
      </c>
      <c r="B2" s="90" t="s">
        <v>32</v>
      </c>
      <c r="C2" s="90" t="s">
        <v>33</v>
      </c>
      <c r="D2" s="90" t="s">
        <v>910</v>
      </c>
      <c r="E2" s="90" t="s">
        <v>1338</v>
      </c>
      <c r="F2" s="90" t="s">
        <v>1339</v>
      </c>
      <c r="G2" s="90" t="s">
        <v>53</v>
      </c>
      <c r="H2" s="72" t="s">
        <v>2</v>
      </c>
      <c r="I2" s="72" t="s">
        <v>3</v>
      </c>
      <c r="J2" s="72" t="s">
        <v>4</v>
      </c>
      <c r="K2" s="72" t="s">
        <v>2</v>
      </c>
      <c r="L2" s="72" t="s">
        <v>3</v>
      </c>
      <c r="M2" s="72" t="s">
        <v>4</v>
      </c>
      <c r="N2" s="72" t="s">
        <v>2</v>
      </c>
      <c r="O2" s="72" t="s">
        <v>3</v>
      </c>
      <c r="P2" s="72" t="s">
        <v>4</v>
      </c>
    </row>
    <row r="3" spans="1:16">
      <c r="A3" s="39" t="str">
        <f>INDEX([2]活动总表!$A$8:$A$429,MATCH(B3,[2]活动总表!$B$8:$B$429,0))</f>
        <v>腊八-限时玩法掉落（15-30天）</v>
      </c>
      <c r="B3" s="88">
        <v>401</v>
      </c>
      <c r="C3" s="88">
        <v>1</v>
      </c>
      <c r="D3" s="88">
        <v>101</v>
      </c>
      <c r="E3" s="88">
        <v>6</v>
      </c>
      <c r="F3" s="88">
        <v>13</v>
      </c>
      <c r="G3" s="88">
        <v>10000</v>
      </c>
      <c r="H3" s="41">
        <v>204108</v>
      </c>
      <c r="I3" s="76" t="s">
        <v>1341</v>
      </c>
      <c r="J3" s="41">
        <v>1</v>
      </c>
      <c r="K3" s="41">
        <v>204109</v>
      </c>
      <c r="L3" s="76" t="s">
        <v>1342</v>
      </c>
      <c r="M3" s="41">
        <v>0</v>
      </c>
      <c r="N3" s="41">
        <v>204110</v>
      </c>
      <c r="O3" s="76" t="s">
        <v>1343</v>
      </c>
      <c r="P3" s="41">
        <v>0</v>
      </c>
    </row>
    <row r="4" spans="1:16">
      <c r="A4" s="39" t="str">
        <f>INDEX([2]活动总表!$A$8:$A$429,MATCH(B4,[2]活动总表!$B$8:$B$429,0))</f>
        <v>腊八-限时玩法掉落（15-30天）</v>
      </c>
      <c r="B4" s="88">
        <v>401</v>
      </c>
      <c r="C4" s="88">
        <v>2</v>
      </c>
      <c r="D4" s="88">
        <v>101</v>
      </c>
      <c r="E4" s="88">
        <v>8</v>
      </c>
      <c r="F4" s="88">
        <v>10</v>
      </c>
      <c r="G4" s="88">
        <v>10000</v>
      </c>
      <c r="H4" s="41">
        <v>204108</v>
      </c>
      <c r="I4" s="76" t="s">
        <v>1341</v>
      </c>
      <c r="J4" s="41">
        <v>1</v>
      </c>
      <c r="K4" s="41">
        <v>204109</v>
      </c>
      <c r="L4" s="76" t="s">
        <v>1342</v>
      </c>
      <c r="M4" s="41">
        <v>0.2</v>
      </c>
      <c r="N4" s="41">
        <v>204110</v>
      </c>
      <c r="O4" s="76" t="s">
        <v>1343</v>
      </c>
      <c r="P4" s="41">
        <v>0.2</v>
      </c>
    </row>
    <row r="5" spans="1:16">
      <c r="A5" s="39" t="str">
        <f>INDEX([2]活动总表!$A$8:$A$429,MATCH(B5,[2]活动总表!$B$8:$B$429,0))</f>
        <v>腊八-限时玩法掉落（15-30天）</v>
      </c>
      <c r="B5" s="88">
        <v>401</v>
      </c>
      <c r="C5" s="88">
        <v>3</v>
      </c>
      <c r="D5" s="88">
        <v>101</v>
      </c>
      <c r="E5" s="88">
        <v>10</v>
      </c>
      <c r="F5" s="88">
        <v>3</v>
      </c>
      <c r="G5" s="88">
        <v>10000</v>
      </c>
      <c r="H5" s="41">
        <v>204108</v>
      </c>
      <c r="I5" s="76" t="s">
        <v>1341</v>
      </c>
      <c r="J5" s="41">
        <v>1</v>
      </c>
      <c r="K5" s="41">
        <v>204109</v>
      </c>
      <c r="L5" s="76" t="s">
        <v>1342</v>
      </c>
      <c r="M5" s="41">
        <v>1</v>
      </c>
      <c r="N5" s="41">
        <v>204110</v>
      </c>
      <c r="O5" s="76" t="s">
        <v>1343</v>
      </c>
      <c r="P5" s="41">
        <v>1</v>
      </c>
    </row>
    <row r="6" spans="1:16">
      <c r="A6" s="39" t="str">
        <f>INDEX([2]活动总表!$A$8:$A$429,MATCH(B6,[2]活动总表!$B$8:$B$429,0))</f>
        <v>腊八-限时玩法掉落（15-30天）</v>
      </c>
      <c r="B6" s="88">
        <v>401</v>
      </c>
      <c r="C6" s="88">
        <v>4</v>
      </c>
      <c r="D6" s="88">
        <v>101</v>
      </c>
      <c r="E6" s="88">
        <v>7</v>
      </c>
      <c r="F6" s="88">
        <v>5</v>
      </c>
      <c r="G6" s="88">
        <v>10000</v>
      </c>
      <c r="H6" s="41">
        <v>204108</v>
      </c>
      <c r="I6" s="76" t="s">
        <v>1341</v>
      </c>
      <c r="J6" s="41">
        <v>1</v>
      </c>
      <c r="K6" s="41">
        <v>204109</v>
      </c>
      <c r="L6" s="76" t="s">
        <v>1342</v>
      </c>
      <c r="M6" s="41">
        <v>0.3</v>
      </c>
      <c r="N6" s="41">
        <v>204110</v>
      </c>
      <c r="O6" s="76" t="s">
        <v>1343</v>
      </c>
      <c r="P6" s="41">
        <v>0</v>
      </c>
    </row>
    <row r="7" spans="1:16">
      <c r="A7" s="39" t="str">
        <f>INDEX([2]活动总表!$A$8:$A$429,MATCH(B7,[2]活动总表!$B$8:$B$429,0))</f>
        <v>腊八-限时玩法掉落（15-30天）</v>
      </c>
      <c r="B7" s="88">
        <v>401</v>
      </c>
      <c r="C7" s="88">
        <v>5</v>
      </c>
      <c r="D7" s="88">
        <v>101</v>
      </c>
      <c r="E7" s="88">
        <v>17</v>
      </c>
      <c r="F7" s="88">
        <v>8</v>
      </c>
      <c r="G7" s="88">
        <v>10000</v>
      </c>
      <c r="H7" s="41">
        <v>204108</v>
      </c>
      <c r="I7" s="76" t="s">
        <v>1341</v>
      </c>
      <c r="J7" s="41">
        <v>1</v>
      </c>
      <c r="K7" s="41">
        <v>204109</v>
      </c>
      <c r="L7" s="76" t="s">
        <v>1342</v>
      </c>
      <c r="M7" s="41">
        <v>0.33</v>
      </c>
      <c r="N7" s="41">
        <v>204110</v>
      </c>
      <c r="O7" s="76" t="s">
        <v>1343</v>
      </c>
      <c r="P7" s="41">
        <v>0</v>
      </c>
    </row>
    <row r="8" spans="1:16">
      <c r="A8" s="39" t="str">
        <f>INDEX([2]活动总表!$A$8:$A$429,MATCH(B8,[2]活动总表!$B$8:$B$429,0))</f>
        <v>腊八-限时玩法掉落（15-30天）</v>
      </c>
      <c r="B8" s="88">
        <v>401</v>
      </c>
      <c r="C8" s="88">
        <v>6</v>
      </c>
      <c r="D8" s="88">
        <v>101</v>
      </c>
      <c r="E8" s="88">
        <v>26</v>
      </c>
      <c r="F8" s="88">
        <v>3</v>
      </c>
      <c r="G8" s="88">
        <v>10000</v>
      </c>
      <c r="H8" s="41">
        <v>204108</v>
      </c>
      <c r="I8" s="76" t="s">
        <v>1341</v>
      </c>
      <c r="J8" s="41">
        <v>1</v>
      </c>
      <c r="K8" s="41">
        <v>204109</v>
      </c>
      <c r="L8" s="76" t="s">
        <v>1342</v>
      </c>
      <c r="M8" s="41">
        <v>1</v>
      </c>
      <c r="N8" s="41">
        <v>204110</v>
      </c>
      <c r="O8" s="76" t="s">
        <v>1343</v>
      </c>
      <c r="P8" s="41">
        <v>0</v>
      </c>
    </row>
    <row r="9" spans="1:16">
      <c r="A9" s="39" t="str">
        <f>INDEX([2]活动总表!$A$8:$A$429,MATCH(B9,[2]活动总表!$B$8:$B$429,0))</f>
        <v>腊八-限时玩法掉落（15-30天）</v>
      </c>
      <c r="B9" s="88">
        <v>401</v>
      </c>
      <c r="C9" s="88">
        <v>7</v>
      </c>
      <c r="D9" s="88">
        <v>101</v>
      </c>
      <c r="E9" s="88">
        <v>27</v>
      </c>
      <c r="F9" s="88">
        <v>2</v>
      </c>
      <c r="G9" s="88">
        <v>10000</v>
      </c>
      <c r="H9" s="41">
        <v>204108</v>
      </c>
      <c r="I9" s="76" t="s">
        <v>1341</v>
      </c>
      <c r="J9" s="41">
        <v>1</v>
      </c>
      <c r="K9" s="41">
        <v>204109</v>
      </c>
      <c r="L9" s="76" t="s">
        <v>1342</v>
      </c>
      <c r="M9" s="41">
        <v>1</v>
      </c>
      <c r="N9" s="41">
        <v>204110</v>
      </c>
      <c r="O9" s="76" t="s">
        <v>1343</v>
      </c>
      <c r="P9" s="41">
        <v>0</v>
      </c>
    </row>
    <row r="10" spans="1:16">
      <c r="A10" s="39" t="str">
        <f>INDEX([2]活动总表!$A$8:$A$429,MATCH(B10,[2]活动总表!$B$8:$B$429,0))</f>
        <v>腊八-限时玩法掉落（31-60天）</v>
      </c>
      <c r="B10" s="88">
        <v>410</v>
      </c>
      <c r="C10" s="88">
        <v>1</v>
      </c>
      <c r="D10" s="88">
        <v>101</v>
      </c>
      <c r="E10" s="88">
        <v>6</v>
      </c>
      <c r="F10" s="88">
        <v>13</v>
      </c>
      <c r="G10" s="88">
        <v>10000</v>
      </c>
      <c r="H10" s="41">
        <v>204108</v>
      </c>
      <c r="I10" s="76" t="s">
        <v>1341</v>
      </c>
      <c r="J10" s="41">
        <v>1.5</v>
      </c>
      <c r="K10" s="41">
        <v>204109</v>
      </c>
      <c r="L10" s="76" t="s">
        <v>1342</v>
      </c>
      <c r="M10" s="41">
        <v>0</v>
      </c>
      <c r="N10" s="41">
        <v>204110</v>
      </c>
      <c r="O10" s="76" t="s">
        <v>1343</v>
      </c>
      <c r="P10" s="41">
        <v>0</v>
      </c>
    </row>
    <row r="11" spans="1:16">
      <c r="A11" s="39" t="str">
        <f>INDEX([2]活动总表!$A$8:$A$429,MATCH(B11,[2]活动总表!$B$8:$B$429,0))</f>
        <v>腊八-限时玩法掉落（31-60天）</v>
      </c>
      <c r="B11" s="88">
        <v>410</v>
      </c>
      <c r="C11" s="88">
        <v>2</v>
      </c>
      <c r="D11" s="88">
        <v>101</v>
      </c>
      <c r="E11" s="88">
        <v>8</v>
      </c>
      <c r="F11" s="88">
        <v>10</v>
      </c>
      <c r="G11" s="88">
        <v>10000</v>
      </c>
      <c r="H11" s="41">
        <v>204108</v>
      </c>
      <c r="I11" s="76" t="s">
        <v>1341</v>
      </c>
      <c r="J11" s="41">
        <v>1.5</v>
      </c>
      <c r="K11" s="41">
        <v>204109</v>
      </c>
      <c r="L11" s="76" t="s">
        <v>1342</v>
      </c>
      <c r="M11" s="41">
        <v>0.30000000000000004</v>
      </c>
      <c r="N11" s="41">
        <v>204110</v>
      </c>
      <c r="O11" s="76" t="s">
        <v>1343</v>
      </c>
      <c r="P11" s="41">
        <v>0.30000000000000004</v>
      </c>
    </row>
    <row r="12" spans="1:16">
      <c r="A12" s="39" t="str">
        <f>INDEX([2]活动总表!$A$8:$A$429,MATCH(B12,[2]活动总表!$B$8:$B$429,0))</f>
        <v>腊八-限时玩法掉落（31-60天）</v>
      </c>
      <c r="B12" s="88">
        <v>410</v>
      </c>
      <c r="C12" s="88">
        <v>3</v>
      </c>
      <c r="D12" s="88">
        <v>101</v>
      </c>
      <c r="E12" s="88">
        <v>10</v>
      </c>
      <c r="F12" s="88">
        <v>3</v>
      </c>
      <c r="G12" s="88">
        <v>10000</v>
      </c>
      <c r="H12" s="41">
        <v>204108</v>
      </c>
      <c r="I12" s="76" t="s">
        <v>1341</v>
      </c>
      <c r="J12" s="41">
        <v>1.5</v>
      </c>
      <c r="K12" s="41">
        <v>204109</v>
      </c>
      <c r="L12" s="76" t="s">
        <v>1342</v>
      </c>
      <c r="M12" s="41">
        <v>1.5</v>
      </c>
      <c r="N12" s="41">
        <v>204110</v>
      </c>
      <c r="O12" s="76" t="s">
        <v>1343</v>
      </c>
      <c r="P12" s="41">
        <v>1.5</v>
      </c>
    </row>
    <row r="13" spans="1:16">
      <c r="A13" s="39" t="str">
        <f>INDEX([2]活动总表!$A$8:$A$429,MATCH(B13,[2]活动总表!$B$8:$B$429,0))</f>
        <v>腊八-限时玩法掉落（31-60天）</v>
      </c>
      <c r="B13" s="88">
        <v>410</v>
      </c>
      <c r="C13" s="88">
        <v>4</v>
      </c>
      <c r="D13" s="88">
        <v>101</v>
      </c>
      <c r="E13" s="88">
        <v>7</v>
      </c>
      <c r="F13" s="88">
        <v>5</v>
      </c>
      <c r="G13" s="88">
        <v>10000</v>
      </c>
      <c r="H13" s="41">
        <v>204108</v>
      </c>
      <c r="I13" s="76" t="s">
        <v>1341</v>
      </c>
      <c r="J13" s="41">
        <v>1.5</v>
      </c>
      <c r="K13" s="41">
        <v>204109</v>
      </c>
      <c r="L13" s="76" t="s">
        <v>1342</v>
      </c>
      <c r="M13" s="41">
        <v>0.44999999999999996</v>
      </c>
      <c r="N13" s="41">
        <v>204110</v>
      </c>
      <c r="O13" s="76" t="s">
        <v>1343</v>
      </c>
      <c r="P13" s="41">
        <v>0</v>
      </c>
    </row>
    <row r="14" spans="1:16">
      <c r="A14" s="39" t="str">
        <f>INDEX([2]活动总表!$A$8:$A$429,MATCH(B14,[2]活动总表!$B$8:$B$429,0))</f>
        <v>腊八-限时玩法掉落（31-60天）</v>
      </c>
      <c r="B14" s="88">
        <v>410</v>
      </c>
      <c r="C14" s="88">
        <v>5</v>
      </c>
      <c r="D14" s="88">
        <v>101</v>
      </c>
      <c r="E14" s="88">
        <v>17</v>
      </c>
      <c r="F14" s="88">
        <v>8</v>
      </c>
      <c r="G14" s="88">
        <v>10000</v>
      </c>
      <c r="H14" s="41">
        <v>204108</v>
      </c>
      <c r="I14" s="76" t="s">
        <v>1341</v>
      </c>
      <c r="J14" s="41">
        <v>1.5</v>
      </c>
      <c r="K14" s="41">
        <v>204109</v>
      </c>
      <c r="L14" s="76" t="s">
        <v>1342</v>
      </c>
      <c r="M14" s="41">
        <v>0.495</v>
      </c>
      <c r="N14" s="41">
        <v>204110</v>
      </c>
      <c r="O14" s="76" t="s">
        <v>1343</v>
      </c>
      <c r="P14" s="41">
        <v>0</v>
      </c>
    </row>
    <row r="15" spans="1:16">
      <c r="A15" s="39" t="str">
        <f>INDEX([2]活动总表!$A$8:$A$429,MATCH(B15,[2]活动总表!$B$8:$B$429,0))</f>
        <v>腊八-限时玩法掉落（31-60天）</v>
      </c>
      <c r="B15" s="88">
        <v>410</v>
      </c>
      <c r="C15" s="88">
        <v>6</v>
      </c>
      <c r="D15" s="88">
        <v>101</v>
      </c>
      <c r="E15" s="88">
        <v>26</v>
      </c>
      <c r="F15" s="88">
        <v>3</v>
      </c>
      <c r="G15" s="88">
        <v>10000</v>
      </c>
      <c r="H15" s="41">
        <v>204108</v>
      </c>
      <c r="I15" s="76" t="s">
        <v>1341</v>
      </c>
      <c r="J15" s="41">
        <v>1.5</v>
      </c>
      <c r="K15" s="41">
        <v>204109</v>
      </c>
      <c r="L15" s="76" t="s">
        <v>1342</v>
      </c>
      <c r="M15" s="41">
        <v>1.5</v>
      </c>
      <c r="N15" s="41">
        <v>204110</v>
      </c>
      <c r="O15" s="76" t="s">
        <v>1343</v>
      </c>
      <c r="P15" s="41">
        <v>0</v>
      </c>
    </row>
    <row r="16" spans="1:16">
      <c r="A16" s="39" t="str">
        <f>INDEX([2]活动总表!$A$8:$A$429,MATCH(B16,[2]活动总表!$B$8:$B$429,0))</f>
        <v>腊八-限时玩法掉落（31-60天）</v>
      </c>
      <c r="B16" s="88">
        <v>410</v>
      </c>
      <c r="C16" s="88">
        <v>7</v>
      </c>
      <c r="D16" s="88">
        <v>101</v>
      </c>
      <c r="E16" s="88">
        <v>27</v>
      </c>
      <c r="F16" s="88">
        <v>2</v>
      </c>
      <c r="G16" s="88">
        <v>10000</v>
      </c>
      <c r="H16" s="41">
        <v>204108</v>
      </c>
      <c r="I16" s="76" t="s">
        <v>1341</v>
      </c>
      <c r="J16" s="41">
        <v>1.5</v>
      </c>
      <c r="K16" s="41">
        <v>204109</v>
      </c>
      <c r="L16" s="76" t="s">
        <v>1342</v>
      </c>
      <c r="M16" s="41">
        <v>1.5</v>
      </c>
      <c r="N16" s="41">
        <v>204110</v>
      </c>
      <c r="O16" s="76" t="s">
        <v>1343</v>
      </c>
      <c r="P16" s="41">
        <v>0</v>
      </c>
    </row>
    <row r="17" spans="1:16">
      <c r="A17" s="39" t="str">
        <f>INDEX([2]活动总表!$A$8:$A$429,MATCH(B17,[2]活动总表!$B$8:$B$429,0))</f>
        <v>腊八-限时玩法掉落（61-无限天）</v>
      </c>
      <c r="B17" s="88">
        <v>417</v>
      </c>
      <c r="C17" s="88">
        <v>1</v>
      </c>
      <c r="D17" s="88">
        <v>101</v>
      </c>
      <c r="E17" s="88">
        <v>6</v>
      </c>
      <c r="F17" s="88">
        <v>13</v>
      </c>
      <c r="G17" s="88">
        <v>10000</v>
      </c>
      <c r="H17" s="41">
        <v>204108</v>
      </c>
      <c r="I17" s="76" t="s">
        <v>1341</v>
      </c>
      <c r="J17" s="41">
        <v>2</v>
      </c>
      <c r="K17" s="41">
        <v>204109</v>
      </c>
      <c r="L17" s="76" t="s">
        <v>1342</v>
      </c>
      <c r="M17" s="41">
        <v>0</v>
      </c>
      <c r="N17" s="41">
        <v>204110</v>
      </c>
      <c r="O17" s="76" t="s">
        <v>1343</v>
      </c>
      <c r="P17" s="41">
        <v>0</v>
      </c>
    </row>
    <row r="18" spans="1:16">
      <c r="A18" s="39" t="str">
        <f>INDEX([2]活动总表!$A$8:$A$429,MATCH(B18,[2]活动总表!$B$8:$B$429,0))</f>
        <v>腊八-限时玩法掉落（61-无限天）</v>
      </c>
      <c r="B18" s="88">
        <v>417</v>
      </c>
      <c r="C18" s="88">
        <v>2</v>
      </c>
      <c r="D18" s="88">
        <v>101</v>
      </c>
      <c r="E18" s="88">
        <v>8</v>
      </c>
      <c r="F18" s="88">
        <v>10</v>
      </c>
      <c r="G18" s="88">
        <v>10000</v>
      </c>
      <c r="H18" s="41">
        <v>204108</v>
      </c>
      <c r="I18" s="76" t="s">
        <v>1341</v>
      </c>
      <c r="J18" s="41">
        <v>2</v>
      </c>
      <c r="K18" s="41">
        <v>204109</v>
      </c>
      <c r="L18" s="76" t="s">
        <v>1342</v>
      </c>
      <c r="M18" s="41">
        <v>0.4</v>
      </c>
      <c r="N18" s="41">
        <v>204110</v>
      </c>
      <c r="O18" s="76" t="s">
        <v>1343</v>
      </c>
      <c r="P18" s="41">
        <v>0.4</v>
      </c>
    </row>
    <row r="19" spans="1:16">
      <c r="A19" s="39" t="str">
        <f>INDEX([2]活动总表!$A$8:$A$429,MATCH(B19,[2]活动总表!$B$8:$B$429,0))</f>
        <v>腊八-限时玩法掉落（61-无限天）</v>
      </c>
      <c r="B19" s="88">
        <v>417</v>
      </c>
      <c r="C19" s="88">
        <v>3</v>
      </c>
      <c r="D19" s="88">
        <v>101</v>
      </c>
      <c r="E19" s="88">
        <v>10</v>
      </c>
      <c r="F19" s="88">
        <v>3</v>
      </c>
      <c r="G19" s="88">
        <v>10000</v>
      </c>
      <c r="H19" s="41">
        <v>204108</v>
      </c>
      <c r="I19" s="76" t="s">
        <v>1341</v>
      </c>
      <c r="J19" s="41">
        <v>2</v>
      </c>
      <c r="K19" s="41">
        <v>204109</v>
      </c>
      <c r="L19" s="76" t="s">
        <v>1342</v>
      </c>
      <c r="M19" s="41">
        <v>2</v>
      </c>
      <c r="N19" s="41">
        <v>204110</v>
      </c>
      <c r="O19" s="76" t="s">
        <v>1343</v>
      </c>
      <c r="P19" s="41">
        <v>2</v>
      </c>
    </row>
    <row r="20" spans="1:16">
      <c r="A20" s="39" t="str">
        <f>INDEX([2]活动总表!$A$8:$A$429,MATCH(B20,[2]活动总表!$B$8:$B$429,0))</f>
        <v>腊八-限时玩法掉落（61-无限天）</v>
      </c>
      <c r="B20" s="88">
        <v>417</v>
      </c>
      <c r="C20" s="88">
        <v>4</v>
      </c>
      <c r="D20" s="88">
        <v>101</v>
      </c>
      <c r="E20" s="88">
        <v>7</v>
      </c>
      <c r="F20" s="88">
        <v>5</v>
      </c>
      <c r="G20" s="88">
        <v>10000</v>
      </c>
      <c r="H20" s="41">
        <v>204108</v>
      </c>
      <c r="I20" s="76" t="s">
        <v>1341</v>
      </c>
      <c r="J20" s="41">
        <v>2</v>
      </c>
      <c r="K20" s="41">
        <v>204109</v>
      </c>
      <c r="L20" s="76" t="s">
        <v>1342</v>
      </c>
      <c r="M20" s="41">
        <v>0.6</v>
      </c>
      <c r="N20" s="41">
        <v>204110</v>
      </c>
      <c r="O20" s="76" t="s">
        <v>1343</v>
      </c>
      <c r="P20" s="41">
        <v>0</v>
      </c>
    </row>
    <row r="21" spans="1:16">
      <c r="A21" s="39" t="str">
        <f>INDEX([2]活动总表!$A$8:$A$429,MATCH(B21,[2]活动总表!$B$8:$B$429,0))</f>
        <v>腊八-限时玩法掉落（61-无限天）</v>
      </c>
      <c r="B21" s="88">
        <v>417</v>
      </c>
      <c r="C21" s="88">
        <v>5</v>
      </c>
      <c r="D21" s="88">
        <v>101</v>
      </c>
      <c r="E21" s="88">
        <v>17</v>
      </c>
      <c r="F21" s="88">
        <v>8</v>
      </c>
      <c r="G21" s="88">
        <v>10000</v>
      </c>
      <c r="H21" s="41">
        <v>204108</v>
      </c>
      <c r="I21" s="76" t="s">
        <v>1341</v>
      </c>
      <c r="J21" s="41">
        <v>2</v>
      </c>
      <c r="K21" s="41">
        <v>204109</v>
      </c>
      <c r="L21" s="76" t="s">
        <v>1342</v>
      </c>
      <c r="M21" s="41">
        <v>0.66</v>
      </c>
      <c r="N21" s="41">
        <v>204110</v>
      </c>
      <c r="O21" s="76" t="s">
        <v>1343</v>
      </c>
      <c r="P21" s="41">
        <v>0</v>
      </c>
    </row>
    <row r="22" spans="1:16">
      <c r="A22" s="39" t="str">
        <f>INDEX([2]活动总表!$A$8:$A$429,MATCH(B22,[2]活动总表!$B$8:$B$429,0))</f>
        <v>腊八-限时玩法掉落（61-无限天）</v>
      </c>
      <c r="B22" s="88">
        <v>417</v>
      </c>
      <c r="C22" s="88">
        <v>6</v>
      </c>
      <c r="D22" s="88">
        <v>101</v>
      </c>
      <c r="E22" s="88">
        <v>26</v>
      </c>
      <c r="F22" s="88">
        <v>3</v>
      </c>
      <c r="G22" s="88">
        <v>10000</v>
      </c>
      <c r="H22" s="41">
        <v>204108</v>
      </c>
      <c r="I22" s="76" t="s">
        <v>1341</v>
      </c>
      <c r="J22" s="41">
        <v>2</v>
      </c>
      <c r="K22" s="41">
        <v>204109</v>
      </c>
      <c r="L22" s="76" t="s">
        <v>1342</v>
      </c>
      <c r="M22" s="41">
        <v>2</v>
      </c>
      <c r="N22" s="41">
        <v>204110</v>
      </c>
      <c r="O22" s="76" t="s">
        <v>1343</v>
      </c>
      <c r="P22" s="41">
        <v>0</v>
      </c>
    </row>
    <row r="23" spans="1:16">
      <c r="A23" s="39" t="str">
        <f>INDEX([2]活动总表!$A$8:$A$429,MATCH(B23,[2]活动总表!$B$8:$B$429,0))</f>
        <v>腊八-限时玩法掉落（61-无限天）</v>
      </c>
      <c r="B23" s="88">
        <v>417</v>
      </c>
      <c r="C23" s="88">
        <v>7</v>
      </c>
      <c r="D23" s="88">
        <v>101</v>
      </c>
      <c r="E23" s="88">
        <v>27</v>
      </c>
      <c r="F23" s="88">
        <v>2</v>
      </c>
      <c r="G23" s="88">
        <v>10000</v>
      </c>
      <c r="H23" s="41">
        <v>204108</v>
      </c>
      <c r="I23" s="76" t="s">
        <v>1341</v>
      </c>
      <c r="J23" s="41">
        <v>2</v>
      </c>
      <c r="K23" s="41">
        <v>204109</v>
      </c>
      <c r="L23" s="76" t="s">
        <v>1342</v>
      </c>
      <c r="M23" s="41">
        <v>2</v>
      </c>
      <c r="N23" s="41">
        <v>204110</v>
      </c>
      <c r="O23" s="76" t="s">
        <v>1343</v>
      </c>
      <c r="P23" s="41">
        <v>0</v>
      </c>
    </row>
    <row r="24" spans="1:16">
      <c r="A24" s="39" t="str">
        <f>INDEX([2]活动总表!$A$8:$A$429,MATCH(B24,[2]活动总表!$B$8:$B$429,0))</f>
        <v>开门利是</v>
      </c>
      <c r="B24" s="40">
        <v>603</v>
      </c>
      <c r="C24" s="40">
        <v>1</v>
      </c>
      <c r="D24" s="40">
        <v>101</v>
      </c>
      <c r="E24" s="40">
        <v>6</v>
      </c>
      <c r="F24" s="88">
        <v>3</v>
      </c>
      <c r="G24" s="40">
        <v>5000</v>
      </c>
      <c r="H24" s="41">
        <v>200981</v>
      </c>
      <c r="I24" s="76" t="s">
        <v>558</v>
      </c>
      <c r="J24" s="41">
        <v>1</v>
      </c>
    </row>
    <row r="25" spans="1:16">
      <c r="A25" s="39" t="str">
        <f>INDEX([2]活动总表!$A$8:$A$429,MATCH(B25,[2]活动总表!$B$8:$B$429,0))</f>
        <v>开门利是</v>
      </c>
      <c r="B25" s="40">
        <v>603</v>
      </c>
      <c r="C25" s="40">
        <f>C24+1</f>
        <v>2</v>
      </c>
      <c r="D25" s="40">
        <v>101</v>
      </c>
      <c r="E25" s="40">
        <v>7</v>
      </c>
      <c r="F25" s="88">
        <v>8</v>
      </c>
      <c r="G25" s="40">
        <v>4000</v>
      </c>
      <c r="H25" s="41">
        <v>200981</v>
      </c>
      <c r="I25" s="76" t="s">
        <v>558</v>
      </c>
      <c r="J25" s="41">
        <v>1</v>
      </c>
    </row>
    <row r="26" spans="1:16">
      <c r="A26" s="39" t="str">
        <f>INDEX([2]活动总表!$A$8:$A$429,MATCH(B26,[2]活动总表!$B$8:$B$429,0))</f>
        <v>开门利是</v>
      </c>
      <c r="B26" s="40">
        <v>603</v>
      </c>
      <c r="C26" s="40">
        <f t="shared" ref="C26:C29" si="0">C25+1</f>
        <v>3</v>
      </c>
      <c r="D26" s="40">
        <v>101</v>
      </c>
      <c r="E26" s="40">
        <v>10</v>
      </c>
      <c r="F26" s="88">
        <v>3</v>
      </c>
      <c r="G26" s="40">
        <v>10000</v>
      </c>
      <c r="H26" s="41">
        <v>200981</v>
      </c>
      <c r="I26" s="76" t="s">
        <v>558</v>
      </c>
      <c r="J26" s="41">
        <v>1</v>
      </c>
    </row>
    <row r="27" spans="1:16">
      <c r="A27" s="39" t="str">
        <f>INDEX([2]活动总表!$A$8:$A$429,MATCH(B27,[2]活动总表!$B$8:$B$429,0))</f>
        <v>开门利是</v>
      </c>
      <c r="B27" s="40">
        <v>603</v>
      </c>
      <c r="C27" s="40">
        <f t="shared" si="0"/>
        <v>4</v>
      </c>
      <c r="D27" s="40">
        <v>101</v>
      </c>
      <c r="E27" s="40">
        <v>17</v>
      </c>
      <c r="F27" s="88">
        <v>3</v>
      </c>
      <c r="G27" s="40">
        <v>2000</v>
      </c>
      <c r="H27" s="41">
        <v>200981</v>
      </c>
      <c r="I27" s="76" t="s">
        <v>558</v>
      </c>
      <c r="J27" s="41">
        <v>1</v>
      </c>
    </row>
    <row r="28" spans="1:16">
      <c r="A28" s="39" t="str">
        <f>INDEX([2]活动总表!$A$8:$A$429,MATCH(B28,[2]活动总表!$B$8:$B$429,0))</f>
        <v>开门利是</v>
      </c>
      <c r="B28" s="40">
        <v>603</v>
      </c>
      <c r="C28" s="40">
        <f t="shared" si="0"/>
        <v>5</v>
      </c>
      <c r="D28" s="40">
        <v>101</v>
      </c>
      <c r="E28" s="40">
        <v>26</v>
      </c>
      <c r="F28" s="88">
        <v>2</v>
      </c>
      <c r="G28" s="40">
        <v>10000</v>
      </c>
      <c r="H28" s="41">
        <v>200981</v>
      </c>
      <c r="I28" s="76" t="s">
        <v>558</v>
      </c>
      <c r="J28" s="41">
        <v>1</v>
      </c>
    </row>
    <row r="29" spans="1:16">
      <c r="A29" s="39" t="str">
        <f>INDEX([2]活动总表!$A$8:$A$429,MATCH(B29,[2]活动总表!$B$8:$B$429,0))</f>
        <v>开门利是</v>
      </c>
      <c r="B29" s="40">
        <v>603</v>
      </c>
      <c r="C29" s="40">
        <f t="shared" si="0"/>
        <v>6</v>
      </c>
      <c r="D29" s="40">
        <v>101</v>
      </c>
      <c r="E29" s="40">
        <v>27</v>
      </c>
      <c r="F29" s="88">
        <v>1</v>
      </c>
      <c r="G29" s="40">
        <v>10000</v>
      </c>
      <c r="H29" s="41">
        <v>200981</v>
      </c>
      <c r="I29" s="76" t="s">
        <v>558</v>
      </c>
      <c r="J29" s="41">
        <v>1</v>
      </c>
    </row>
    <row r="30" spans="1:16">
      <c r="A30" s="39" t="str">
        <f>INDEX([2]活动总表!$A$8:$A$429,MATCH(B30,[2]活动总表!$B$8:$B$429,0))</f>
        <v>开门利是</v>
      </c>
      <c r="B30" s="40">
        <v>611</v>
      </c>
      <c r="C30" s="40">
        <v>1</v>
      </c>
      <c r="D30" s="40">
        <v>101</v>
      </c>
      <c r="E30" s="40">
        <v>6</v>
      </c>
      <c r="F30" s="88">
        <v>3</v>
      </c>
      <c r="G30" s="40">
        <v>5000</v>
      </c>
      <c r="H30" s="41">
        <v>200981</v>
      </c>
      <c r="I30" s="76" t="s">
        <v>558</v>
      </c>
      <c r="J30" s="41">
        <v>1</v>
      </c>
    </row>
    <row r="31" spans="1:16">
      <c r="A31" s="39" t="str">
        <f>INDEX([2]活动总表!$A$8:$A$429,MATCH(B31,[2]活动总表!$B$8:$B$429,0))</f>
        <v>开门利是</v>
      </c>
      <c r="B31" s="40">
        <v>611</v>
      </c>
      <c r="C31" s="40">
        <f>C30+1</f>
        <v>2</v>
      </c>
      <c r="D31" s="40">
        <v>101</v>
      </c>
      <c r="E31" s="40">
        <v>7</v>
      </c>
      <c r="F31" s="88">
        <v>8</v>
      </c>
      <c r="G31" s="40">
        <v>4000</v>
      </c>
      <c r="H31" s="41">
        <v>200981</v>
      </c>
      <c r="I31" s="76" t="s">
        <v>558</v>
      </c>
      <c r="J31" s="41">
        <v>1</v>
      </c>
    </row>
    <row r="32" spans="1:16">
      <c r="A32" s="39" t="str">
        <f>INDEX([2]活动总表!$A$8:$A$429,MATCH(B32,[2]活动总表!$B$8:$B$429,0))</f>
        <v>开门利是</v>
      </c>
      <c r="B32" s="40">
        <v>611</v>
      </c>
      <c r="C32" s="40">
        <f t="shared" ref="C32:C35" si="1">C31+1</f>
        <v>3</v>
      </c>
      <c r="D32" s="40">
        <v>101</v>
      </c>
      <c r="E32" s="40">
        <v>10</v>
      </c>
      <c r="F32" s="88">
        <v>3</v>
      </c>
      <c r="G32" s="40">
        <v>10000</v>
      </c>
      <c r="H32" s="41">
        <v>200981</v>
      </c>
      <c r="I32" s="76" t="s">
        <v>558</v>
      </c>
      <c r="J32" s="41">
        <v>1</v>
      </c>
    </row>
    <row r="33" spans="1:16">
      <c r="A33" s="39" t="str">
        <f>INDEX([2]活动总表!$A$8:$A$429,MATCH(B33,[2]活动总表!$B$8:$B$429,0))</f>
        <v>开门利是</v>
      </c>
      <c r="B33" s="40">
        <v>611</v>
      </c>
      <c r="C33" s="40">
        <f t="shared" si="1"/>
        <v>4</v>
      </c>
      <c r="D33" s="40">
        <v>101</v>
      </c>
      <c r="E33" s="40">
        <v>17</v>
      </c>
      <c r="F33" s="88">
        <v>3</v>
      </c>
      <c r="G33" s="40">
        <v>2000</v>
      </c>
      <c r="H33" s="41">
        <v>200981</v>
      </c>
      <c r="I33" s="76" t="s">
        <v>558</v>
      </c>
      <c r="J33" s="41">
        <v>1</v>
      </c>
    </row>
    <row r="34" spans="1:16">
      <c r="A34" s="39" t="str">
        <f>INDEX([2]活动总表!$A$8:$A$429,MATCH(B34,[2]活动总表!$B$8:$B$429,0))</f>
        <v>开门利是</v>
      </c>
      <c r="B34" s="40">
        <v>611</v>
      </c>
      <c r="C34" s="40">
        <f t="shared" si="1"/>
        <v>5</v>
      </c>
      <c r="D34" s="40">
        <v>101</v>
      </c>
      <c r="E34" s="40">
        <v>26</v>
      </c>
      <c r="F34" s="88">
        <v>2</v>
      </c>
      <c r="G34" s="40">
        <v>10000</v>
      </c>
      <c r="H34" s="41">
        <v>200981</v>
      </c>
      <c r="I34" s="76" t="s">
        <v>558</v>
      </c>
      <c r="J34" s="41">
        <v>1</v>
      </c>
    </row>
    <row r="35" spans="1:16">
      <c r="A35" s="39" t="str">
        <f>INDEX([2]活动总表!$A$8:$A$429,MATCH(B35,[2]活动总表!$B$8:$B$429,0))</f>
        <v>开门利是</v>
      </c>
      <c r="B35" s="40">
        <v>611</v>
      </c>
      <c r="C35" s="40">
        <f t="shared" si="1"/>
        <v>6</v>
      </c>
      <c r="D35" s="40">
        <v>101</v>
      </c>
      <c r="E35" s="40">
        <v>27</v>
      </c>
      <c r="F35" s="88">
        <v>1</v>
      </c>
      <c r="G35" s="40">
        <v>10000</v>
      </c>
      <c r="H35" s="41">
        <v>200981</v>
      </c>
      <c r="I35" s="76" t="s">
        <v>558</v>
      </c>
      <c r="J35" s="41">
        <v>1</v>
      </c>
    </row>
    <row r="36" spans="1:16">
      <c r="A36" s="39" t="str">
        <f>INDEX([2]活动总表!$A$8:$A$429,MATCH(B36,[2]活动总表!$B$8:$B$429,0))</f>
        <v>开门利是</v>
      </c>
      <c r="B36" s="40">
        <v>623</v>
      </c>
      <c r="C36" s="40">
        <v>1</v>
      </c>
      <c r="D36" s="40">
        <v>101</v>
      </c>
      <c r="E36" s="40">
        <v>6</v>
      </c>
      <c r="F36" s="88">
        <v>3</v>
      </c>
      <c r="G36" s="40">
        <v>5000</v>
      </c>
      <c r="H36" s="41">
        <v>200981</v>
      </c>
      <c r="I36" s="76" t="s">
        <v>558</v>
      </c>
      <c r="J36" s="41">
        <v>1</v>
      </c>
    </row>
    <row r="37" spans="1:16">
      <c r="A37" s="39" t="str">
        <f>INDEX([2]活动总表!$A$8:$A$429,MATCH(B37,[2]活动总表!$B$8:$B$429,0))</f>
        <v>开门利是</v>
      </c>
      <c r="B37" s="40">
        <v>623</v>
      </c>
      <c r="C37" s="40">
        <f>C36+1</f>
        <v>2</v>
      </c>
      <c r="D37" s="40">
        <v>101</v>
      </c>
      <c r="E37" s="40">
        <v>7</v>
      </c>
      <c r="F37" s="88">
        <v>8</v>
      </c>
      <c r="G37" s="40">
        <v>4000</v>
      </c>
      <c r="H37" s="41">
        <v>200981</v>
      </c>
      <c r="I37" s="76" t="s">
        <v>558</v>
      </c>
      <c r="J37" s="41">
        <v>1</v>
      </c>
    </row>
    <row r="38" spans="1:16">
      <c r="A38" s="39" t="str">
        <f>INDEX([2]活动总表!$A$8:$A$429,MATCH(B38,[2]活动总表!$B$8:$B$429,0))</f>
        <v>开门利是</v>
      </c>
      <c r="B38" s="40">
        <v>623</v>
      </c>
      <c r="C38" s="40">
        <f t="shared" ref="C38:C41" si="2">C37+1</f>
        <v>3</v>
      </c>
      <c r="D38" s="40">
        <v>101</v>
      </c>
      <c r="E38" s="40">
        <v>10</v>
      </c>
      <c r="F38" s="88">
        <v>3</v>
      </c>
      <c r="G38" s="40">
        <v>10000</v>
      </c>
      <c r="H38" s="41">
        <v>200981</v>
      </c>
      <c r="I38" s="76" t="s">
        <v>558</v>
      </c>
      <c r="J38" s="41">
        <v>1</v>
      </c>
    </row>
    <row r="39" spans="1:16">
      <c r="A39" s="39" t="str">
        <f>INDEX([2]活动总表!$A$8:$A$429,MATCH(B39,[2]活动总表!$B$8:$B$429,0))</f>
        <v>开门利是</v>
      </c>
      <c r="B39" s="40">
        <v>623</v>
      </c>
      <c r="C39" s="40">
        <f t="shared" si="2"/>
        <v>4</v>
      </c>
      <c r="D39" s="40">
        <v>101</v>
      </c>
      <c r="E39" s="40">
        <v>17</v>
      </c>
      <c r="F39" s="88">
        <v>3</v>
      </c>
      <c r="G39" s="40">
        <v>2000</v>
      </c>
      <c r="H39" s="41">
        <v>200981</v>
      </c>
      <c r="I39" s="76" t="s">
        <v>558</v>
      </c>
      <c r="J39" s="41">
        <v>1</v>
      </c>
    </row>
    <row r="40" spans="1:16">
      <c r="A40" s="39" t="str">
        <f>INDEX([2]活动总表!$A$8:$A$429,MATCH(B40,[2]活动总表!$B$8:$B$429,0))</f>
        <v>开门利是</v>
      </c>
      <c r="B40" s="40">
        <v>623</v>
      </c>
      <c r="C40" s="40">
        <f t="shared" si="2"/>
        <v>5</v>
      </c>
      <c r="D40" s="40">
        <v>101</v>
      </c>
      <c r="E40" s="40">
        <v>26</v>
      </c>
      <c r="F40" s="88">
        <v>2</v>
      </c>
      <c r="G40" s="40">
        <v>10000</v>
      </c>
      <c r="H40" s="41">
        <v>200981</v>
      </c>
      <c r="I40" s="76" t="s">
        <v>558</v>
      </c>
      <c r="J40" s="41">
        <v>1</v>
      </c>
    </row>
    <row r="41" spans="1:16">
      <c r="A41" s="39" t="str">
        <f>INDEX([2]活动总表!$A$8:$A$429,MATCH(B41,[2]活动总表!$B$8:$B$429,0))</f>
        <v>开门利是</v>
      </c>
      <c r="B41" s="40">
        <v>623</v>
      </c>
      <c r="C41" s="40">
        <f t="shared" si="2"/>
        <v>6</v>
      </c>
      <c r="D41" s="40">
        <v>101</v>
      </c>
      <c r="E41" s="40">
        <v>27</v>
      </c>
      <c r="F41" s="88">
        <v>1</v>
      </c>
      <c r="G41" s="40">
        <v>10000</v>
      </c>
      <c r="H41" s="41">
        <v>200981</v>
      </c>
      <c r="I41" s="76" t="s">
        <v>558</v>
      </c>
      <c r="J41" s="41">
        <v>1</v>
      </c>
    </row>
    <row r="42" spans="1:16">
      <c r="A42" s="39" t="str">
        <f>INDEX([2]活动总表!$A$8:$A$429,MATCH(B42,[2]活动总表!$B$8:$B$429,0))</f>
        <v>元宵-限时玩法掉落</v>
      </c>
      <c r="B42" s="40">
        <v>650</v>
      </c>
      <c r="C42" s="40">
        <v>1</v>
      </c>
      <c r="D42" s="40">
        <v>101</v>
      </c>
      <c r="E42" s="40">
        <v>6</v>
      </c>
      <c r="F42" s="88">
        <v>5</v>
      </c>
      <c r="G42" s="40">
        <v>5000</v>
      </c>
      <c r="H42" s="41">
        <v>200983</v>
      </c>
      <c r="I42" s="76" t="s">
        <v>1344</v>
      </c>
      <c r="J42" s="41">
        <v>4</v>
      </c>
      <c r="K42" s="41">
        <v>200984</v>
      </c>
      <c r="L42" s="76" t="s">
        <v>1345</v>
      </c>
      <c r="M42" s="41">
        <v>0</v>
      </c>
      <c r="N42" s="41">
        <v>200985</v>
      </c>
      <c r="O42" s="76" t="s">
        <v>1346</v>
      </c>
      <c r="P42" s="41">
        <v>0</v>
      </c>
    </row>
    <row r="43" spans="1:16">
      <c r="A43" s="39" t="str">
        <f>INDEX([2]活动总表!$A$8:$A$429,MATCH(B43,[2]活动总表!$B$8:$B$429,0))</f>
        <v>元宵-限时玩法掉落</v>
      </c>
      <c r="B43" s="40">
        <v>650</v>
      </c>
      <c r="C43" s="40">
        <v>2</v>
      </c>
      <c r="D43" s="40">
        <v>101</v>
      </c>
      <c r="E43" s="40">
        <v>7</v>
      </c>
      <c r="F43" s="88">
        <v>15</v>
      </c>
      <c r="G43" s="40">
        <v>5000</v>
      </c>
      <c r="H43" s="41">
        <v>200983</v>
      </c>
      <c r="I43" s="76" t="s">
        <v>1344</v>
      </c>
      <c r="J43" s="41">
        <v>3</v>
      </c>
      <c r="K43" s="41">
        <v>200984</v>
      </c>
      <c r="L43" s="76" t="s">
        <v>1345</v>
      </c>
      <c r="M43" s="41">
        <v>0.8</v>
      </c>
      <c r="N43" s="41">
        <v>200985</v>
      </c>
      <c r="O43" s="76" t="s">
        <v>1346</v>
      </c>
      <c r="P43" s="41">
        <v>0.2</v>
      </c>
    </row>
    <row r="44" spans="1:16">
      <c r="A44" s="39" t="str">
        <f>INDEX([2]活动总表!$A$8:$A$429,MATCH(B44,[2]活动总表!$B$8:$B$429,0))</f>
        <v>元宵-限时玩法掉落</v>
      </c>
      <c r="B44" s="40">
        <v>650</v>
      </c>
      <c r="C44" s="40">
        <v>3</v>
      </c>
      <c r="D44" s="40">
        <v>101</v>
      </c>
      <c r="E44" s="40">
        <v>10</v>
      </c>
      <c r="F44" s="88">
        <v>3</v>
      </c>
      <c r="G44" s="40">
        <v>10000</v>
      </c>
      <c r="H44" s="41">
        <v>200983</v>
      </c>
      <c r="I44" s="76" t="s">
        <v>1344</v>
      </c>
      <c r="J44" s="41">
        <v>0.8</v>
      </c>
      <c r="K44" s="41">
        <v>200984</v>
      </c>
      <c r="L44" s="76" t="s">
        <v>1345</v>
      </c>
      <c r="M44" s="41">
        <v>2.4</v>
      </c>
      <c r="N44" s="41">
        <v>200985</v>
      </c>
      <c r="O44" s="76" t="s">
        <v>1346</v>
      </c>
      <c r="P44" s="41">
        <v>0.8</v>
      </c>
    </row>
    <row r="45" spans="1:16">
      <c r="A45" s="39" t="str">
        <f>INDEX([2]活动总表!$A$8:$A$429,MATCH(B45,[2]活动总表!$B$8:$B$429,0))</f>
        <v>元宵-限时玩法掉落</v>
      </c>
      <c r="B45" s="40">
        <v>650</v>
      </c>
      <c r="C45" s="40">
        <v>4</v>
      </c>
      <c r="D45" s="40">
        <v>101</v>
      </c>
      <c r="E45" s="40">
        <v>17</v>
      </c>
      <c r="F45" s="88">
        <v>8</v>
      </c>
      <c r="G45" s="40">
        <v>4000</v>
      </c>
      <c r="H45" s="41">
        <v>200983</v>
      </c>
      <c r="I45" s="76" t="s">
        <v>1344</v>
      </c>
      <c r="J45" s="41">
        <v>3.2</v>
      </c>
      <c r="K45" s="41">
        <v>200984</v>
      </c>
      <c r="L45" s="76" t="s">
        <v>1345</v>
      </c>
      <c r="M45" s="41">
        <v>0.8</v>
      </c>
      <c r="N45" s="41">
        <v>200985</v>
      </c>
      <c r="O45" s="76" t="s">
        <v>1346</v>
      </c>
      <c r="P45" s="41">
        <v>0</v>
      </c>
    </row>
    <row r="46" spans="1:16">
      <c r="A46" s="39" t="str">
        <f>INDEX([2]活动总表!$A$8:$A$429,MATCH(B46,[2]活动总表!$B$8:$B$429,0))</f>
        <v>元宵-限时玩法掉落</v>
      </c>
      <c r="B46" s="40">
        <v>650</v>
      </c>
      <c r="C46" s="40">
        <v>5</v>
      </c>
      <c r="D46" s="40">
        <v>101</v>
      </c>
      <c r="E46" s="40">
        <v>26</v>
      </c>
      <c r="F46" s="88">
        <v>3</v>
      </c>
      <c r="G46" s="40">
        <v>10000</v>
      </c>
      <c r="H46" s="41">
        <v>200983</v>
      </c>
      <c r="I46" s="76" t="s">
        <v>1344</v>
      </c>
      <c r="J46" s="41">
        <v>0</v>
      </c>
      <c r="K46" s="41">
        <v>200984</v>
      </c>
      <c r="L46" s="76" t="s">
        <v>1345</v>
      </c>
      <c r="M46" s="41">
        <v>3.2</v>
      </c>
      <c r="N46" s="41">
        <v>200985</v>
      </c>
      <c r="O46" s="76" t="s">
        <v>1346</v>
      </c>
      <c r="P46" s="41">
        <v>0.8</v>
      </c>
    </row>
    <row r="47" spans="1:16">
      <c r="A47" s="39" t="str">
        <f>INDEX([2]活动总表!$A$8:$A$429,MATCH(B47,[2]活动总表!$B$8:$B$429,0))</f>
        <v>元宵-限时玩法掉落</v>
      </c>
      <c r="B47" s="40">
        <v>650</v>
      </c>
      <c r="C47" s="40">
        <v>6</v>
      </c>
      <c r="D47" s="40">
        <v>101</v>
      </c>
      <c r="E47" s="40">
        <v>27</v>
      </c>
      <c r="F47" s="88">
        <v>2</v>
      </c>
      <c r="G47" s="40">
        <v>10000</v>
      </c>
      <c r="H47" s="41">
        <v>200983</v>
      </c>
      <c r="I47" s="76" t="s">
        <v>1344</v>
      </c>
      <c r="J47" s="41">
        <v>2</v>
      </c>
      <c r="K47" s="41">
        <v>200984</v>
      </c>
      <c r="L47" s="76" t="s">
        <v>1345</v>
      </c>
      <c r="M47" s="41">
        <v>2</v>
      </c>
      <c r="N47" s="41">
        <v>200985</v>
      </c>
      <c r="O47" s="76" t="s">
        <v>1346</v>
      </c>
      <c r="P47" s="41">
        <v>0</v>
      </c>
    </row>
    <row r="48" spans="1:16">
      <c r="A48" s="39" t="str">
        <f>INDEX([2]活动总表!$A$8:$A$429,MATCH(B48,[2]活动总表!$B$8:$B$429,0))</f>
        <v>元宵-限时玩法掉落（15-30天）</v>
      </c>
      <c r="B48" s="40">
        <v>702</v>
      </c>
      <c r="C48" s="40">
        <v>1</v>
      </c>
      <c r="D48" s="40">
        <v>101</v>
      </c>
      <c r="E48" s="40">
        <v>6</v>
      </c>
      <c r="F48" s="88">
        <v>5</v>
      </c>
      <c r="G48" s="40">
        <v>5000</v>
      </c>
      <c r="H48" s="41">
        <v>200983</v>
      </c>
      <c r="I48" s="76" t="s">
        <v>1344</v>
      </c>
      <c r="J48" s="41">
        <v>2</v>
      </c>
      <c r="K48" s="41">
        <v>200984</v>
      </c>
      <c r="L48" s="76" t="s">
        <v>1345</v>
      </c>
      <c r="M48" s="41">
        <v>0</v>
      </c>
      <c r="N48" s="41">
        <v>200985</v>
      </c>
      <c r="O48" s="76" t="s">
        <v>1346</v>
      </c>
      <c r="P48" s="41">
        <v>0</v>
      </c>
    </row>
    <row r="49" spans="1:16">
      <c r="A49" s="39" t="str">
        <f>INDEX([2]活动总表!$A$8:$A$429,MATCH(B49,[2]活动总表!$B$8:$B$429,0))</f>
        <v>元宵-限时玩法掉落（15-30天）</v>
      </c>
      <c r="B49" s="40">
        <v>702</v>
      </c>
      <c r="C49" s="40">
        <v>2</v>
      </c>
      <c r="D49" s="40">
        <v>101</v>
      </c>
      <c r="E49" s="40">
        <v>7</v>
      </c>
      <c r="F49" s="88">
        <v>15</v>
      </c>
      <c r="G49" s="40">
        <v>5000</v>
      </c>
      <c r="H49" s="41">
        <v>200983</v>
      </c>
      <c r="I49" s="76" t="s">
        <v>1344</v>
      </c>
      <c r="J49" s="41">
        <v>1.5</v>
      </c>
      <c r="K49" s="41">
        <v>200984</v>
      </c>
      <c r="L49" s="76" t="s">
        <v>1345</v>
      </c>
      <c r="M49" s="41">
        <v>0.4</v>
      </c>
      <c r="N49" s="41">
        <v>200985</v>
      </c>
      <c r="O49" s="76" t="s">
        <v>1346</v>
      </c>
      <c r="P49" s="41">
        <v>0.1</v>
      </c>
    </row>
    <row r="50" spans="1:16">
      <c r="A50" s="39" t="str">
        <f>INDEX([2]活动总表!$A$8:$A$429,MATCH(B50,[2]活动总表!$B$8:$B$429,0))</f>
        <v>元宵-限时玩法掉落（15-30天）</v>
      </c>
      <c r="B50" s="40">
        <v>702</v>
      </c>
      <c r="C50" s="40">
        <v>3</v>
      </c>
      <c r="D50" s="40">
        <v>101</v>
      </c>
      <c r="E50" s="40">
        <v>10</v>
      </c>
      <c r="F50" s="88">
        <v>3</v>
      </c>
      <c r="G50" s="40">
        <v>10000</v>
      </c>
      <c r="H50" s="41">
        <v>200983</v>
      </c>
      <c r="I50" s="76" t="s">
        <v>1344</v>
      </c>
      <c r="J50" s="41">
        <v>0.4</v>
      </c>
      <c r="K50" s="41">
        <v>200984</v>
      </c>
      <c r="L50" s="76" t="s">
        <v>1345</v>
      </c>
      <c r="M50" s="41">
        <v>1.2</v>
      </c>
      <c r="N50" s="41">
        <v>200985</v>
      </c>
      <c r="O50" s="76" t="s">
        <v>1346</v>
      </c>
      <c r="P50" s="41">
        <v>0.4</v>
      </c>
    </row>
    <row r="51" spans="1:16">
      <c r="A51" s="39" t="str">
        <f>INDEX([2]活动总表!$A$8:$A$429,MATCH(B51,[2]活动总表!$B$8:$B$429,0))</f>
        <v>元宵-限时玩法掉落（15-30天）</v>
      </c>
      <c r="B51" s="40">
        <v>702</v>
      </c>
      <c r="C51" s="40">
        <v>4</v>
      </c>
      <c r="D51" s="40">
        <v>101</v>
      </c>
      <c r="E51" s="40">
        <v>17</v>
      </c>
      <c r="F51" s="88">
        <v>8</v>
      </c>
      <c r="G51" s="40">
        <v>4000</v>
      </c>
      <c r="H51" s="41">
        <v>200983</v>
      </c>
      <c r="I51" s="76" t="s">
        <v>1344</v>
      </c>
      <c r="J51" s="41">
        <v>1.6</v>
      </c>
      <c r="K51" s="41">
        <v>200984</v>
      </c>
      <c r="L51" s="76" t="s">
        <v>1345</v>
      </c>
      <c r="M51" s="41">
        <v>0.4</v>
      </c>
      <c r="N51" s="41">
        <v>200985</v>
      </c>
      <c r="O51" s="76" t="s">
        <v>1346</v>
      </c>
      <c r="P51" s="41">
        <v>0</v>
      </c>
    </row>
    <row r="52" spans="1:16">
      <c r="A52" s="39" t="str">
        <f>INDEX([2]活动总表!$A$8:$A$429,MATCH(B52,[2]活动总表!$B$8:$B$429,0))</f>
        <v>元宵-限时玩法掉落（15-30天）</v>
      </c>
      <c r="B52" s="40">
        <v>702</v>
      </c>
      <c r="C52" s="40">
        <v>5</v>
      </c>
      <c r="D52" s="40">
        <v>101</v>
      </c>
      <c r="E52" s="40">
        <v>26</v>
      </c>
      <c r="F52" s="88">
        <v>3</v>
      </c>
      <c r="G52" s="40">
        <v>10000</v>
      </c>
      <c r="H52" s="41">
        <v>200983</v>
      </c>
      <c r="I52" s="76" t="s">
        <v>1344</v>
      </c>
      <c r="J52" s="41">
        <v>0</v>
      </c>
      <c r="K52" s="41">
        <v>200984</v>
      </c>
      <c r="L52" s="76" t="s">
        <v>1345</v>
      </c>
      <c r="M52" s="41">
        <v>1.6</v>
      </c>
      <c r="N52" s="41">
        <v>200985</v>
      </c>
      <c r="O52" s="76" t="s">
        <v>1346</v>
      </c>
      <c r="P52" s="41">
        <v>0.4</v>
      </c>
    </row>
    <row r="53" spans="1:16">
      <c r="A53" s="39" t="str">
        <f>INDEX([2]活动总表!$A$8:$A$429,MATCH(B53,[2]活动总表!$B$8:$B$429,0))</f>
        <v>元宵-限时玩法掉落（15-30天）</v>
      </c>
      <c r="B53" s="40">
        <v>702</v>
      </c>
      <c r="C53" s="40">
        <v>6</v>
      </c>
      <c r="D53" s="40">
        <v>101</v>
      </c>
      <c r="E53" s="40">
        <v>27</v>
      </c>
      <c r="F53" s="88">
        <v>2</v>
      </c>
      <c r="G53" s="40">
        <v>10000</v>
      </c>
      <c r="H53" s="41">
        <v>200983</v>
      </c>
      <c r="I53" s="76" t="s">
        <v>1344</v>
      </c>
      <c r="J53" s="41">
        <v>1.5</v>
      </c>
      <c r="K53" s="41">
        <v>200984</v>
      </c>
      <c r="L53" s="76" t="s">
        <v>1345</v>
      </c>
      <c r="M53" s="41">
        <v>1.5</v>
      </c>
      <c r="N53" s="41">
        <v>200985</v>
      </c>
      <c r="O53" s="76" t="s">
        <v>1346</v>
      </c>
      <c r="P53" s="41">
        <v>0</v>
      </c>
    </row>
    <row r="54" spans="1:16">
      <c r="A54" s="39" t="str">
        <f>INDEX([2]活动总表!$A$8:$A$429,MATCH(B54,[2]活动总表!$B$8:$B$429,0))</f>
        <v>元宵-限时玩法掉落（31-60天）</v>
      </c>
      <c r="B54" s="40">
        <v>703</v>
      </c>
      <c r="C54" s="40">
        <v>1</v>
      </c>
      <c r="D54" s="40">
        <v>101</v>
      </c>
      <c r="E54" s="40">
        <v>6</v>
      </c>
      <c r="F54" s="88">
        <v>5</v>
      </c>
      <c r="G54" s="40">
        <v>5000</v>
      </c>
      <c r="H54" s="41">
        <v>200983</v>
      </c>
      <c r="I54" s="76" t="s">
        <v>1344</v>
      </c>
      <c r="J54" s="41">
        <v>3</v>
      </c>
      <c r="K54" s="41">
        <v>200984</v>
      </c>
      <c r="L54" s="76" t="s">
        <v>1345</v>
      </c>
      <c r="M54" s="41">
        <v>0</v>
      </c>
      <c r="N54" s="41">
        <v>200985</v>
      </c>
      <c r="O54" s="76" t="s">
        <v>1346</v>
      </c>
      <c r="P54" s="41">
        <v>0</v>
      </c>
    </row>
    <row r="55" spans="1:16">
      <c r="A55" s="39" t="str">
        <f>INDEX([2]活动总表!$A$8:$A$429,MATCH(B55,[2]活动总表!$B$8:$B$429,0))</f>
        <v>元宵-限时玩法掉落（31-60天）</v>
      </c>
      <c r="B55" s="40">
        <v>703</v>
      </c>
      <c r="C55" s="40">
        <v>2</v>
      </c>
      <c r="D55" s="40">
        <v>101</v>
      </c>
      <c r="E55" s="40">
        <v>7</v>
      </c>
      <c r="F55" s="88">
        <v>15</v>
      </c>
      <c r="G55" s="40">
        <v>5000</v>
      </c>
      <c r="H55" s="41">
        <v>200983</v>
      </c>
      <c r="I55" s="76" t="s">
        <v>1344</v>
      </c>
      <c r="J55" s="41">
        <v>2.25</v>
      </c>
      <c r="K55" s="41">
        <v>200984</v>
      </c>
      <c r="L55" s="76" t="s">
        <v>1345</v>
      </c>
      <c r="M55" s="41">
        <v>0.60000000000000009</v>
      </c>
      <c r="N55" s="41">
        <v>200985</v>
      </c>
      <c r="O55" s="76" t="s">
        <v>1346</v>
      </c>
      <c r="P55" s="41">
        <v>0.15000000000000002</v>
      </c>
    </row>
    <row r="56" spans="1:16">
      <c r="A56" s="39" t="str">
        <f>INDEX([2]活动总表!$A$8:$A$429,MATCH(B56,[2]活动总表!$B$8:$B$429,0))</f>
        <v>元宵-限时玩法掉落（31-60天）</v>
      </c>
      <c r="B56" s="40">
        <v>703</v>
      </c>
      <c r="C56" s="40">
        <v>3</v>
      </c>
      <c r="D56" s="40">
        <v>101</v>
      </c>
      <c r="E56" s="40">
        <v>10</v>
      </c>
      <c r="F56" s="88">
        <v>3</v>
      </c>
      <c r="G56" s="40">
        <v>10000</v>
      </c>
      <c r="H56" s="41">
        <v>200983</v>
      </c>
      <c r="I56" s="76" t="s">
        <v>1344</v>
      </c>
      <c r="J56" s="41">
        <v>0.60000000000000009</v>
      </c>
      <c r="K56" s="41">
        <v>200984</v>
      </c>
      <c r="L56" s="76" t="s">
        <v>1345</v>
      </c>
      <c r="M56" s="41">
        <v>1.7999999999999998</v>
      </c>
      <c r="N56" s="41">
        <v>200985</v>
      </c>
      <c r="O56" s="76" t="s">
        <v>1346</v>
      </c>
      <c r="P56" s="41">
        <v>0.60000000000000009</v>
      </c>
    </row>
    <row r="57" spans="1:16">
      <c r="A57" s="39" t="str">
        <f>INDEX([2]活动总表!$A$8:$A$429,MATCH(B57,[2]活动总表!$B$8:$B$429,0))</f>
        <v>元宵-限时玩法掉落（31-60天）</v>
      </c>
      <c r="B57" s="40">
        <v>703</v>
      </c>
      <c r="C57" s="40">
        <v>4</v>
      </c>
      <c r="D57" s="40">
        <v>101</v>
      </c>
      <c r="E57" s="40">
        <v>17</v>
      </c>
      <c r="F57" s="88">
        <v>8</v>
      </c>
      <c r="G57" s="40">
        <v>4000</v>
      </c>
      <c r="H57" s="41">
        <v>200983</v>
      </c>
      <c r="I57" s="76" t="s">
        <v>1344</v>
      </c>
      <c r="J57" s="41">
        <v>2.4000000000000004</v>
      </c>
      <c r="K57" s="41">
        <v>200984</v>
      </c>
      <c r="L57" s="76" t="s">
        <v>1345</v>
      </c>
      <c r="M57" s="41">
        <v>0.60000000000000009</v>
      </c>
      <c r="N57" s="41">
        <v>200985</v>
      </c>
      <c r="O57" s="76" t="s">
        <v>1346</v>
      </c>
      <c r="P57" s="41">
        <v>0</v>
      </c>
    </row>
    <row r="58" spans="1:16">
      <c r="A58" s="39" t="str">
        <f>INDEX([2]活动总表!$A$8:$A$429,MATCH(B58,[2]活动总表!$B$8:$B$429,0))</f>
        <v>元宵-限时玩法掉落（31-60天）</v>
      </c>
      <c r="B58" s="40">
        <v>703</v>
      </c>
      <c r="C58" s="40">
        <v>5</v>
      </c>
      <c r="D58" s="40">
        <v>101</v>
      </c>
      <c r="E58" s="40">
        <v>26</v>
      </c>
      <c r="F58" s="88">
        <v>3</v>
      </c>
      <c r="G58" s="40">
        <v>10000</v>
      </c>
      <c r="H58" s="41">
        <v>200983</v>
      </c>
      <c r="I58" s="76" t="s">
        <v>1344</v>
      </c>
      <c r="J58" s="41">
        <v>0</v>
      </c>
      <c r="K58" s="41">
        <v>200984</v>
      </c>
      <c r="L58" s="76" t="s">
        <v>1345</v>
      </c>
      <c r="M58" s="41">
        <v>2.4000000000000004</v>
      </c>
      <c r="N58" s="41">
        <v>200985</v>
      </c>
      <c r="O58" s="76" t="s">
        <v>1346</v>
      </c>
      <c r="P58" s="41">
        <v>0.60000000000000009</v>
      </c>
    </row>
    <row r="59" spans="1:16">
      <c r="A59" s="39" t="str">
        <f>INDEX([2]活动总表!$A$8:$A$429,MATCH(B59,[2]活动总表!$B$8:$B$429,0))</f>
        <v>元宵-限时玩法掉落（31-60天）</v>
      </c>
      <c r="B59" s="40">
        <v>703</v>
      </c>
      <c r="C59" s="40">
        <v>6</v>
      </c>
      <c r="D59" s="40">
        <v>101</v>
      </c>
      <c r="E59" s="40">
        <v>27</v>
      </c>
      <c r="F59" s="88">
        <v>2</v>
      </c>
      <c r="G59" s="40">
        <v>10000</v>
      </c>
      <c r="H59" s="41">
        <v>200983</v>
      </c>
      <c r="I59" s="76" t="s">
        <v>1344</v>
      </c>
      <c r="J59" s="41">
        <v>1.5</v>
      </c>
      <c r="K59" s="41">
        <v>200984</v>
      </c>
      <c r="L59" s="76" t="s">
        <v>1345</v>
      </c>
      <c r="M59" s="41">
        <v>1.5</v>
      </c>
      <c r="N59" s="41">
        <v>200985</v>
      </c>
      <c r="O59" s="76" t="s">
        <v>1346</v>
      </c>
      <c r="P59" s="41">
        <v>0</v>
      </c>
    </row>
    <row r="60" spans="1:16">
      <c r="A60" s="39" t="str">
        <f>INDEX([2]活动总表!$A$8:$A$429,MATCH(B60,[2]活动总表!$B$8:$B$429,0))</f>
        <v>元宵-限时玩法掉落（61天）</v>
      </c>
      <c r="B60" s="40">
        <v>704</v>
      </c>
      <c r="C60" s="40">
        <v>1</v>
      </c>
      <c r="D60" s="40">
        <v>101</v>
      </c>
      <c r="E60" s="40">
        <v>6</v>
      </c>
      <c r="F60" s="88">
        <v>5</v>
      </c>
      <c r="G60" s="40">
        <v>5000</v>
      </c>
      <c r="H60" s="41">
        <v>200983</v>
      </c>
      <c r="I60" s="76" t="s">
        <v>1344</v>
      </c>
      <c r="J60" s="41">
        <v>4</v>
      </c>
      <c r="K60" s="41">
        <v>200984</v>
      </c>
      <c r="L60" s="76" t="s">
        <v>1345</v>
      </c>
      <c r="M60" s="41">
        <v>0</v>
      </c>
      <c r="N60" s="41">
        <v>200985</v>
      </c>
      <c r="O60" s="76" t="s">
        <v>1346</v>
      </c>
      <c r="P60" s="41">
        <v>0</v>
      </c>
    </row>
    <row r="61" spans="1:16">
      <c r="A61" s="39" t="str">
        <f>INDEX([2]活动总表!$A$8:$A$429,MATCH(B61,[2]活动总表!$B$8:$B$429,0))</f>
        <v>元宵-限时玩法掉落（61天）</v>
      </c>
      <c r="B61" s="40">
        <v>704</v>
      </c>
      <c r="C61" s="40">
        <v>2</v>
      </c>
      <c r="D61" s="40">
        <v>101</v>
      </c>
      <c r="E61" s="40">
        <v>7</v>
      </c>
      <c r="F61" s="88">
        <v>15</v>
      </c>
      <c r="G61" s="40">
        <v>5000</v>
      </c>
      <c r="H61" s="41">
        <v>200983</v>
      </c>
      <c r="I61" s="76" t="s">
        <v>1344</v>
      </c>
      <c r="J61" s="41">
        <v>3</v>
      </c>
      <c r="K61" s="41">
        <v>200984</v>
      </c>
      <c r="L61" s="76" t="s">
        <v>1345</v>
      </c>
      <c r="M61" s="41">
        <v>0.8</v>
      </c>
      <c r="N61" s="41">
        <v>200985</v>
      </c>
      <c r="O61" s="76" t="s">
        <v>1346</v>
      </c>
      <c r="P61" s="41">
        <v>0.2</v>
      </c>
    </row>
    <row r="62" spans="1:16">
      <c r="A62" s="39" t="str">
        <f>INDEX([2]活动总表!$A$8:$A$429,MATCH(B62,[2]活动总表!$B$8:$B$429,0))</f>
        <v>元宵-限时玩法掉落（61天）</v>
      </c>
      <c r="B62" s="40">
        <v>704</v>
      </c>
      <c r="C62" s="40">
        <v>3</v>
      </c>
      <c r="D62" s="40">
        <v>101</v>
      </c>
      <c r="E62" s="40">
        <v>10</v>
      </c>
      <c r="F62" s="88">
        <v>3</v>
      </c>
      <c r="G62" s="40">
        <v>10000</v>
      </c>
      <c r="H62" s="41">
        <v>200983</v>
      </c>
      <c r="I62" s="76" t="s">
        <v>1344</v>
      </c>
      <c r="J62" s="41">
        <v>0.8</v>
      </c>
      <c r="K62" s="41">
        <v>200984</v>
      </c>
      <c r="L62" s="76" t="s">
        <v>1345</v>
      </c>
      <c r="M62" s="41">
        <v>2.4</v>
      </c>
      <c r="N62" s="41">
        <v>200985</v>
      </c>
      <c r="O62" s="76" t="s">
        <v>1346</v>
      </c>
      <c r="P62" s="41">
        <v>0.8</v>
      </c>
    </row>
    <row r="63" spans="1:16">
      <c r="A63" s="39" t="str">
        <f>INDEX([2]活动总表!$A$8:$A$429,MATCH(B63,[2]活动总表!$B$8:$B$429,0))</f>
        <v>元宵-限时玩法掉落（61天）</v>
      </c>
      <c r="B63" s="40">
        <v>704</v>
      </c>
      <c r="C63" s="40">
        <v>4</v>
      </c>
      <c r="D63" s="40">
        <v>101</v>
      </c>
      <c r="E63" s="40">
        <v>17</v>
      </c>
      <c r="F63" s="88">
        <v>8</v>
      </c>
      <c r="G63" s="40">
        <v>4000</v>
      </c>
      <c r="H63" s="41">
        <v>200983</v>
      </c>
      <c r="I63" s="76" t="s">
        <v>1344</v>
      </c>
      <c r="J63" s="41">
        <v>3.2</v>
      </c>
      <c r="K63" s="41">
        <v>200984</v>
      </c>
      <c r="L63" s="76" t="s">
        <v>1345</v>
      </c>
      <c r="M63" s="41">
        <v>0.8</v>
      </c>
      <c r="N63" s="41">
        <v>200985</v>
      </c>
      <c r="O63" s="76" t="s">
        <v>1346</v>
      </c>
      <c r="P63" s="41">
        <v>0</v>
      </c>
    </row>
    <row r="64" spans="1:16">
      <c r="A64" s="39" t="str">
        <f>INDEX([2]活动总表!$A$8:$A$429,MATCH(B64,[2]活动总表!$B$8:$B$429,0))</f>
        <v>元宵-限时玩法掉落（61天）</v>
      </c>
      <c r="B64" s="40">
        <v>704</v>
      </c>
      <c r="C64" s="40">
        <v>5</v>
      </c>
      <c r="D64" s="40">
        <v>101</v>
      </c>
      <c r="E64" s="40">
        <v>26</v>
      </c>
      <c r="F64" s="88">
        <v>3</v>
      </c>
      <c r="G64" s="40">
        <v>10000</v>
      </c>
      <c r="H64" s="41">
        <v>200983</v>
      </c>
      <c r="I64" s="76" t="s">
        <v>1344</v>
      </c>
      <c r="J64" s="41">
        <v>0</v>
      </c>
      <c r="K64" s="41">
        <v>200984</v>
      </c>
      <c r="L64" s="76" t="s">
        <v>1345</v>
      </c>
      <c r="M64" s="41">
        <v>3.2</v>
      </c>
      <c r="N64" s="41">
        <v>200985</v>
      </c>
      <c r="O64" s="76" t="s">
        <v>1346</v>
      </c>
      <c r="P64" s="41">
        <v>0.8</v>
      </c>
    </row>
    <row r="65" spans="1:16">
      <c r="A65" s="39" t="str">
        <f>INDEX([2]活动总表!$A$8:$A$429,MATCH(B65,[2]活动总表!$B$8:$B$429,0))</f>
        <v>元宵-限时玩法掉落（61天）</v>
      </c>
      <c r="B65" s="40">
        <v>704</v>
      </c>
      <c r="C65" s="40">
        <v>6</v>
      </c>
      <c r="D65" s="40">
        <v>101</v>
      </c>
      <c r="E65" s="40">
        <v>27</v>
      </c>
      <c r="F65" s="88">
        <v>2</v>
      </c>
      <c r="G65" s="40">
        <v>10000</v>
      </c>
      <c r="H65" s="41">
        <v>200983</v>
      </c>
      <c r="I65" s="76" t="s">
        <v>1344</v>
      </c>
      <c r="J65" s="41">
        <v>2</v>
      </c>
      <c r="K65" s="41">
        <v>200984</v>
      </c>
      <c r="L65" s="76" t="s">
        <v>1345</v>
      </c>
      <c r="M65" s="41">
        <v>2</v>
      </c>
      <c r="N65" s="41">
        <v>200985</v>
      </c>
      <c r="O65" s="76" t="s">
        <v>1346</v>
      </c>
      <c r="P65" s="41">
        <v>0</v>
      </c>
    </row>
    <row r="66" spans="1:16">
      <c r="A66" s="39" t="str">
        <f>INDEX([2]活动总表!$A$8:$A$429,MATCH(B66,[2]活动总表!$B$8:$B$429,0))</f>
        <v>龙抬头-限时掉落</v>
      </c>
      <c r="B66" s="40">
        <v>901</v>
      </c>
      <c r="C66" s="40">
        <v>1</v>
      </c>
      <c r="D66" s="40">
        <v>101</v>
      </c>
      <c r="E66" s="40">
        <v>6</v>
      </c>
      <c r="F66" s="88">
        <v>3</v>
      </c>
      <c r="G66" s="40">
        <v>5000</v>
      </c>
      <c r="H66" s="41">
        <v>204113</v>
      </c>
      <c r="I66" s="76" t="str">
        <f>IFERROR(INDEX([1]物品基础表!$A:$A,MATCH(H66,[1]物品基础表!$B:$B,0)),"")</f>
        <v>限时掉落礼包</v>
      </c>
      <c r="J66" s="41">
        <v>1</v>
      </c>
    </row>
    <row r="67" spans="1:16">
      <c r="A67" s="39" t="str">
        <f>INDEX([2]活动总表!$A$8:$A$429,MATCH(B67,[2]活动总表!$B$8:$B$429,0))</f>
        <v>龙抬头-限时掉落</v>
      </c>
      <c r="B67" s="40">
        <v>901</v>
      </c>
      <c r="C67" s="40">
        <v>2</v>
      </c>
      <c r="D67" s="40">
        <v>101</v>
      </c>
      <c r="E67" s="40">
        <v>7</v>
      </c>
      <c r="F67" s="88">
        <v>8</v>
      </c>
      <c r="G67" s="40">
        <v>4000</v>
      </c>
      <c r="H67" s="41">
        <v>204113</v>
      </c>
      <c r="I67" s="76" t="str">
        <f>IFERROR(INDEX([1]物品基础表!$A:$A,MATCH(H67,[1]物品基础表!$B:$B,0)),"")</f>
        <v>限时掉落礼包</v>
      </c>
      <c r="J67" s="41">
        <v>1</v>
      </c>
    </row>
    <row r="68" spans="1:16">
      <c r="A68" s="39" t="str">
        <f>INDEX([2]活动总表!$A$8:$A$429,MATCH(B68,[2]活动总表!$B$8:$B$429,0))</f>
        <v>龙抬头-限时掉落</v>
      </c>
      <c r="B68" s="40">
        <v>901</v>
      </c>
      <c r="C68" s="40">
        <v>3</v>
      </c>
      <c r="D68" s="40">
        <v>101</v>
      </c>
      <c r="E68" s="40">
        <v>10</v>
      </c>
      <c r="F68" s="88">
        <v>3</v>
      </c>
      <c r="G68" s="40">
        <v>10000</v>
      </c>
      <c r="H68" s="41">
        <v>204113</v>
      </c>
      <c r="I68" s="76" t="str">
        <f>IFERROR(INDEX([1]物品基础表!$A:$A,MATCH(H68,[1]物品基础表!$B:$B,0)),"")</f>
        <v>限时掉落礼包</v>
      </c>
      <c r="J68" s="41">
        <v>1</v>
      </c>
    </row>
    <row r="69" spans="1:16">
      <c r="A69" s="39" t="str">
        <f>INDEX([2]活动总表!$A$8:$A$429,MATCH(B69,[2]活动总表!$B$8:$B$429,0))</f>
        <v>龙抬头-限时掉落</v>
      </c>
      <c r="B69" s="40">
        <v>901</v>
      </c>
      <c r="C69" s="40">
        <v>4</v>
      </c>
      <c r="D69" s="40">
        <v>101</v>
      </c>
      <c r="E69" s="40">
        <v>17</v>
      </c>
      <c r="F69" s="88">
        <v>3</v>
      </c>
      <c r="G69" s="40">
        <v>2000</v>
      </c>
      <c r="H69" s="41">
        <v>204113</v>
      </c>
      <c r="I69" s="76" t="str">
        <f>IFERROR(INDEX([1]物品基础表!$A:$A,MATCH(H69,[1]物品基础表!$B:$B,0)),"")</f>
        <v>限时掉落礼包</v>
      </c>
      <c r="J69" s="41">
        <v>1</v>
      </c>
    </row>
    <row r="70" spans="1:16">
      <c r="A70" s="39" t="str">
        <f>INDEX([2]活动总表!$A$8:$A$429,MATCH(B70,[2]活动总表!$B$8:$B$429,0))</f>
        <v>龙抬头-限时掉落</v>
      </c>
      <c r="B70" s="40">
        <v>901</v>
      </c>
      <c r="C70" s="40">
        <v>5</v>
      </c>
      <c r="D70" s="40">
        <v>101</v>
      </c>
      <c r="E70" s="40">
        <v>26</v>
      </c>
      <c r="F70" s="88">
        <v>2</v>
      </c>
      <c r="G70" s="40">
        <v>10000</v>
      </c>
      <c r="H70" s="41">
        <v>204113</v>
      </c>
      <c r="I70" s="76" t="str">
        <f>IFERROR(INDEX([1]物品基础表!$A:$A,MATCH(H70,[1]物品基础表!$B:$B,0)),"")</f>
        <v>限时掉落礼包</v>
      </c>
      <c r="J70" s="41">
        <v>1</v>
      </c>
    </row>
    <row r="71" spans="1:16">
      <c r="A71" s="39" t="str">
        <f>INDEX([2]活动总表!$A$8:$A$429,MATCH(B71,[2]活动总表!$B$8:$B$429,0))</f>
        <v>龙抬头-限时掉落</v>
      </c>
      <c r="B71" s="40">
        <v>901</v>
      </c>
      <c r="C71" s="40">
        <v>6</v>
      </c>
      <c r="D71" s="40">
        <v>101</v>
      </c>
      <c r="E71" s="40">
        <v>27</v>
      </c>
      <c r="F71" s="88">
        <v>1</v>
      </c>
      <c r="G71" s="40">
        <v>10000</v>
      </c>
      <c r="H71" s="41">
        <v>204113</v>
      </c>
      <c r="I71" s="76" t="str">
        <f>IFERROR(INDEX([1]物品基础表!$A:$A,MATCH(H71,[1]物品基础表!$B:$B,0)),"")</f>
        <v>限时掉落礼包</v>
      </c>
      <c r="J71" s="41">
        <v>1</v>
      </c>
    </row>
    <row r="72" spans="1:16">
      <c r="A72" s="39" t="str">
        <f>INDEX([2]活动总表!$A$8:$A$429,MATCH(B72,[2]活动总表!$B$8:$B$429,0))</f>
        <v>龙抬头-限时掉落</v>
      </c>
      <c r="B72" s="40">
        <v>921</v>
      </c>
      <c r="C72" s="40">
        <v>1</v>
      </c>
      <c r="D72" s="40">
        <v>101</v>
      </c>
      <c r="E72" s="40">
        <v>6</v>
      </c>
      <c r="F72" s="88">
        <v>3</v>
      </c>
      <c r="G72" s="40">
        <v>5000</v>
      </c>
      <c r="H72" s="41">
        <v>204113</v>
      </c>
      <c r="I72" s="76" t="str">
        <f>IFERROR(INDEX([1]物品基础表!$A:$A,MATCH(H72,[1]物品基础表!$B:$B,0)),"")</f>
        <v>限时掉落礼包</v>
      </c>
      <c r="J72" s="41">
        <v>1</v>
      </c>
    </row>
    <row r="73" spans="1:16">
      <c r="A73" s="39" t="str">
        <f>INDEX([2]活动总表!$A$8:$A$429,MATCH(B73,[2]活动总表!$B$8:$B$429,0))</f>
        <v>龙抬头-限时掉落</v>
      </c>
      <c r="B73" s="40">
        <v>921</v>
      </c>
      <c r="C73" s="40">
        <v>2</v>
      </c>
      <c r="D73" s="40">
        <v>101</v>
      </c>
      <c r="E73" s="40">
        <v>7</v>
      </c>
      <c r="F73" s="88">
        <v>8</v>
      </c>
      <c r="G73" s="40">
        <v>4000</v>
      </c>
      <c r="H73" s="41">
        <v>204113</v>
      </c>
      <c r="I73" s="76" t="str">
        <f>IFERROR(INDEX([1]物品基础表!$A:$A,MATCH(H73,[1]物品基础表!$B:$B,0)),"")</f>
        <v>限时掉落礼包</v>
      </c>
      <c r="J73" s="41">
        <v>1</v>
      </c>
    </row>
    <row r="74" spans="1:16">
      <c r="A74" s="39" t="str">
        <f>INDEX([2]活动总表!$A$8:$A$429,MATCH(B74,[2]活动总表!$B$8:$B$429,0))</f>
        <v>龙抬头-限时掉落</v>
      </c>
      <c r="B74" s="40">
        <v>921</v>
      </c>
      <c r="C74" s="40">
        <v>3</v>
      </c>
      <c r="D74" s="40">
        <v>101</v>
      </c>
      <c r="E74" s="40">
        <v>10</v>
      </c>
      <c r="F74" s="88">
        <v>3</v>
      </c>
      <c r="G74" s="40">
        <v>10000</v>
      </c>
      <c r="H74" s="41">
        <v>204113</v>
      </c>
      <c r="I74" s="76" t="str">
        <f>IFERROR(INDEX([1]物品基础表!$A:$A,MATCH(H74,[1]物品基础表!$B:$B,0)),"")</f>
        <v>限时掉落礼包</v>
      </c>
      <c r="J74" s="41">
        <v>1</v>
      </c>
    </row>
    <row r="75" spans="1:16">
      <c r="A75" s="39" t="str">
        <f>INDEX([2]活动总表!$A$8:$A$429,MATCH(B75,[2]活动总表!$B$8:$B$429,0))</f>
        <v>龙抬头-限时掉落</v>
      </c>
      <c r="B75" s="40">
        <v>921</v>
      </c>
      <c r="C75" s="40">
        <v>4</v>
      </c>
      <c r="D75" s="40">
        <v>101</v>
      </c>
      <c r="E75" s="40">
        <v>17</v>
      </c>
      <c r="F75" s="88">
        <v>3</v>
      </c>
      <c r="G75" s="40">
        <v>2000</v>
      </c>
      <c r="H75" s="41">
        <v>204113</v>
      </c>
      <c r="I75" s="76" t="str">
        <f>IFERROR(INDEX([1]物品基础表!$A:$A,MATCH(H75,[1]物品基础表!$B:$B,0)),"")</f>
        <v>限时掉落礼包</v>
      </c>
      <c r="J75" s="41">
        <v>1</v>
      </c>
    </row>
    <row r="76" spans="1:16">
      <c r="A76" s="39" t="str">
        <f>INDEX([2]活动总表!$A$8:$A$429,MATCH(B76,[2]活动总表!$B$8:$B$429,0))</f>
        <v>龙抬头-限时掉落</v>
      </c>
      <c r="B76" s="40">
        <v>921</v>
      </c>
      <c r="C76" s="40">
        <v>5</v>
      </c>
      <c r="D76" s="40">
        <v>101</v>
      </c>
      <c r="E76" s="40">
        <v>26</v>
      </c>
      <c r="F76" s="88">
        <v>2</v>
      </c>
      <c r="G76" s="40">
        <v>10000</v>
      </c>
      <c r="H76" s="41">
        <v>204113</v>
      </c>
      <c r="I76" s="76" t="str">
        <f>IFERROR(INDEX([1]物品基础表!$A:$A,MATCH(H76,[1]物品基础表!$B:$B,0)),"")</f>
        <v>限时掉落礼包</v>
      </c>
      <c r="J76" s="41">
        <v>1</v>
      </c>
    </row>
    <row r="77" spans="1:16">
      <c r="A77" s="39" t="str">
        <f>INDEX([2]活动总表!$A$8:$A$429,MATCH(B77,[2]活动总表!$B$8:$B$429,0))</f>
        <v>龙抬头-限时掉落</v>
      </c>
      <c r="B77" s="40">
        <v>921</v>
      </c>
      <c r="C77" s="40">
        <v>6</v>
      </c>
      <c r="D77" s="40">
        <v>101</v>
      </c>
      <c r="E77" s="40">
        <v>27</v>
      </c>
      <c r="F77" s="88">
        <v>1</v>
      </c>
      <c r="G77" s="40">
        <v>10000</v>
      </c>
      <c r="H77" s="41">
        <v>204113</v>
      </c>
      <c r="I77" s="76" t="str">
        <f>IFERROR(INDEX([1]物品基础表!$A:$A,MATCH(H77,[1]物品基础表!$B:$B,0)),"")</f>
        <v>限时掉落礼包</v>
      </c>
      <c r="J77" s="41">
        <v>1</v>
      </c>
    </row>
  </sheetData>
  <mergeCells count="1">
    <mergeCell ref="H1:P1"/>
  </mergeCells>
  <phoneticPr fontId="1" type="noConversion"/>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I6"/>
  <sheetViews>
    <sheetView workbookViewId="0">
      <selection activeCell="A46" sqref="A46"/>
    </sheetView>
  </sheetViews>
  <sheetFormatPr defaultRowHeight="13.5"/>
  <cols>
    <col min="1" max="1" width="23.625" style="39" bestFit="1" customWidth="1"/>
    <col min="2" max="2" width="9" style="41"/>
    <col min="3" max="3" width="11" style="41" bestFit="1" customWidth="1"/>
    <col min="4" max="4" width="9" style="41"/>
    <col min="5" max="6" width="13" style="41" bestFit="1" customWidth="1"/>
    <col min="7" max="7" width="11.125" style="41" bestFit="1" customWidth="1"/>
    <col min="8" max="8" width="9" style="41"/>
    <col min="9" max="9" width="41.625" style="41" bestFit="1" customWidth="1"/>
    <col min="10" max="16384" width="9" style="41"/>
  </cols>
  <sheetData>
    <row r="1" spans="1:9">
      <c r="A1" s="73" t="s">
        <v>460</v>
      </c>
    </row>
    <row r="2" spans="1:9">
      <c r="A2" s="95" t="s">
        <v>19</v>
      </c>
      <c r="B2" s="96" t="s">
        <v>32</v>
      </c>
      <c r="C2" s="96" t="s">
        <v>1348</v>
      </c>
      <c r="D2" s="96" t="s">
        <v>1349</v>
      </c>
      <c r="E2" s="96" t="s">
        <v>1350</v>
      </c>
      <c r="F2" s="96" t="s">
        <v>1351</v>
      </c>
      <c r="G2" s="96" t="s">
        <v>1352</v>
      </c>
      <c r="H2" s="96" t="s">
        <v>1353</v>
      </c>
      <c r="I2" s="96" t="s">
        <v>1354</v>
      </c>
    </row>
    <row r="3" spans="1:9">
      <c r="A3" s="39" t="str">
        <f>INDEX([2]活动总表!$A$8:$A$429,MATCH(B3,[2]活动总表!$B$8:$B$429,0))</f>
        <v>节日商店</v>
      </c>
      <c r="B3" s="92">
        <v>325</v>
      </c>
      <c r="C3" s="92">
        <v>1</v>
      </c>
      <c r="D3" s="92">
        <v>6</v>
      </c>
      <c r="E3" s="92">
        <v>14400</v>
      </c>
      <c r="F3" s="92">
        <v>200</v>
      </c>
      <c r="G3" s="92">
        <v>204152</v>
      </c>
      <c r="H3" s="92"/>
      <c r="I3" s="92"/>
    </row>
    <row r="4" spans="1:9">
      <c r="A4" s="39" t="str">
        <f>INDEX([2]活动总表!$A$8:$A$429,MATCH(B4,[2]活动总表!$B$8:$B$429,0))</f>
        <v>节日商店(60天以内</v>
      </c>
      <c r="B4" s="92">
        <v>367</v>
      </c>
      <c r="C4" s="92">
        <v>1</v>
      </c>
      <c r="D4" s="92">
        <v>6</v>
      </c>
      <c r="E4" s="92">
        <v>14400</v>
      </c>
      <c r="F4" s="92">
        <v>200</v>
      </c>
      <c r="G4" s="92">
        <v>204152</v>
      </c>
      <c r="H4" s="92"/>
      <c r="I4" s="92"/>
    </row>
    <row r="5" spans="1:9">
      <c r="A5" s="39" t="str">
        <f>INDEX([2]活动总表!$A$8:$A$429,MATCH(B5,[2]活动总表!$B$8:$B$429,0))</f>
        <v>节日商店（61天以及以上</v>
      </c>
      <c r="B5" s="92">
        <v>368</v>
      </c>
      <c r="C5" s="92">
        <v>1</v>
      </c>
      <c r="D5" s="92">
        <v>6</v>
      </c>
      <c r="E5" s="92">
        <v>14400</v>
      </c>
      <c r="F5" s="92">
        <v>200</v>
      </c>
      <c r="G5" s="92">
        <v>204152</v>
      </c>
      <c r="H5" s="92"/>
      <c r="I5" s="92"/>
    </row>
    <row r="6" spans="1:9">
      <c r="A6" s="39" t="str">
        <f>INDEX([2]活动总表!$A$8:$A$429,MATCH(B6,[2]活动总表!$B$8:$B$429,0))</f>
        <v>版本庆典-5日商城</v>
      </c>
      <c r="B6" s="92">
        <v>1002</v>
      </c>
      <c r="C6" s="92">
        <v>1</v>
      </c>
      <c r="D6" s="92">
        <v>6</v>
      </c>
      <c r="E6" s="92">
        <v>14400</v>
      </c>
      <c r="F6" s="92">
        <v>200</v>
      </c>
      <c r="G6" s="92"/>
      <c r="H6" s="92">
        <v>200342</v>
      </c>
      <c r="I6" s="92" t="s">
        <v>1355</v>
      </c>
    </row>
  </sheetData>
  <phoneticPr fontId="1" type="noConversion"/>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P620"/>
  <sheetViews>
    <sheetView workbookViewId="0">
      <pane xSplit="1" ySplit="2" topLeftCell="B431" activePane="bottomRight" state="frozen"/>
      <selection pane="topRight" activeCell="B1" sqref="B1"/>
      <selection pane="bottomLeft" activeCell="A3" sqref="A3"/>
      <selection pane="bottomRight" activeCell="G451" sqref="G451"/>
    </sheetView>
  </sheetViews>
  <sheetFormatPr defaultRowHeight="13.5"/>
  <cols>
    <col min="1" max="1" width="23.625" style="39" bestFit="1" customWidth="1"/>
    <col min="2" max="2" width="9" style="41"/>
    <col min="3" max="3" width="7.25" style="41" bestFit="1" customWidth="1"/>
    <col min="4" max="5" width="13" style="41" bestFit="1" customWidth="1"/>
    <col min="6" max="6" width="7.5" style="41" bestFit="1" customWidth="1"/>
    <col min="7" max="7" width="21.375" style="41" bestFit="1" customWidth="1"/>
    <col min="8" max="9" width="9" style="41"/>
    <col min="10" max="10" width="9" style="100"/>
    <col min="11" max="11" width="9" style="41"/>
    <col min="12" max="12" width="27.25" style="41" bestFit="1" customWidth="1"/>
    <col min="13" max="13" width="6.5" style="41" bestFit="1" customWidth="1"/>
    <col min="14" max="15" width="9" style="41"/>
    <col min="16" max="16" width="7.125" style="41" bestFit="1" customWidth="1"/>
    <col min="17" max="16384" width="9" style="41"/>
  </cols>
  <sheetData>
    <row r="1" spans="1:16" s="38" customFormat="1">
      <c r="A1" s="97" t="s">
        <v>1403</v>
      </c>
      <c r="J1" s="99"/>
    </row>
    <row r="2" spans="1:16">
      <c r="A2" s="95" t="s">
        <v>19</v>
      </c>
      <c r="B2" s="96" t="s">
        <v>32</v>
      </c>
      <c r="C2" s="96" t="s">
        <v>1356</v>
      </c>
      <c r="D2" s="96" t="s">
        <v>1357</v>
      </c>
      <c r="E2" s="96" t="s">
        <v>1358</v>
      </c>
      <c r="F2" s="96" t="s">
        <v>1359</v>
      </c>
      <c r="G2" s="96" t="s">
        <v>1404</v>
      </c>
      <c r="H2" s="96" t="s">
        <v>1360</v>
      </c>
      <c r="I2" s="96" t="s">
        <v>1361</v>
      </c>
      <c r="J2" s="99" t="s">
        <v>1419</v>
      </c>
      <c r="K2" s="96" t="s">
        <v>1362</v>
      </c>
      <c r="L2" s="96" t="s">
        <v>53</v>
      </c>
      <c r="M2" s="96" t="s">
        <v>1363</v>
      </c>
      <c r="N2" s="96" t="s">
        <v>1364</v>
      </c>
      <c r="O2" s="96" t="s">
        <v>1365</v>
      </c>
      <c r="P2" s="96" t="s">
        <v>1366</v>
      </c>
    </row>
    <row r="3" spans="1:16">
      <c r="A3" s="39" t="str">
        <f>INDEX([2]活动总表!$A$8:$A$429,MATCH(B3,[2]活动总表!$B$8:$B$429,0))</f>
        <v>节日商店</v>
      </c>
      <c r="B3" s="93">
        <v>325</v>
      </c>
      <c r="C3" s="94">
        <v>1</v>
      </c>
      <c r="D3" s="94">
        <v>0</v>
      </c>
      <c r="E3" s="94">
        <v>12</v>
      </c>
      <c r="F3" s="93">
        <v>200212</v>
      </c>
      <c r="G3" s="76" t="str">
        <f>IFERROR(INDEX([1]物品基础表!$A:$A,MATCH(F3,[1]物品基础表!$B:$B,0)),"")</f>
        <v>烈焰印记迅疾技能书</v>
      </c>
      <c r="H3" s="93">
        <v>1</v>
      </c>
      <c r="I3" s="93"/>
      <c r="J3" s="99">
        <f>I3/H3</f>
        <v>0</v>
      </c>
      <c r="K3" s="93"/>
      <c r="L3" s="93"/>
      <c r="M3" s="93">
        <v>50000</v>
      </c>
      <c r="N3" s="92"/>
      <c r="O3" s="92"/>
      <c r="P3" s="93"/>
    </row>
    <row r="4" spans="1:16">
      <c r="A4" s="39" t="str">
        <f>INDEX([2]活动总表!$A$8:$A$429,MATCH(B4,[2]活动总表!$B$8:$B$429,0))</f>
        <v>节日商店</v>
      </c>
      <c r="B4" s="93">
        <v>325</v>
      </c>
      <c r="C4" s="94">
        <v>2</v>
      </c>
      <c r="D4" s="94">
        <v>0</v>
      </c>
      <c r="E4" s="94">
        <v>12</v>
      </c>
      <c r="F4" s="93">
        <v>200213</v>
      </c>
      <c r="G4" s="76" t="str">
        <f>IFERROR(INDEX([1]物品基础表!$A:$A,MATCH(F4,[1]物品基础表!$B:$B,0)),"")</f>
        <v>烈焰印记爆裂技能书</v>
      </c>
      <c r="H4" s="93">
        <v>1</v>
      </c>
      <c r="I4" s="93"/>
      <c r="J4" s="99">
        <f t="shared" ref="J4:J67" si="0">I4/H4</f>
        <v>0</v>
      </c>
      <c r="K4" s="93"/>
      <c r="L4" s="93"/>
      <c r="M4" s="93">
        <v>50000</v>
      </c>
      <c r="N4" s="92"/>
      <c r="O4" s="92"/>
      <c r="P4" s="92"/>
    </row>
    <row r="5" spans="1:16">
      <c r="A5" s="39" t="str">
        <f>INDEX([2]活动总表!$A$8:$A$429,MATCH(B5,[2]活动总表!$B$8:$B$429,0))</f>
        <v>节日商店</v>
      </c>
      <c r="B5" s="93">
        <v>325</v>
      </c>
      <c r="C5" s="94">
        <v>3</v>
      </c>
      <c r="D5" s="94">
        <v>0</v>
      </c>
      <c r="E5" s="94">
        <v>12</v>
      </c>
      <c r="F5" s="93">
        <v>900010</v>
      </c>
      <c r="G5" s="76" t="str">
        <f>IFERROR(INDEX([1]物品基础表!$A:$A,MATCH(F5,[1]物品基础表!$B:$B,0)),"")</f>
        <v>恶魔之翼</v>
      </c>
      <c r="H5" s="93">
        <v>1</v>
      </c>
      <c r="I5" s="93"/>
      <c r="J5" s="99">
        <f t="shared" si="0"/>
        <v>0</v>
      </c>
      <c r="K5" s="93"/>
      <c r="L5" s="93"/>
      <c r="M5" s="93">
        <v>50000</v>
      </c>
      <c r="N5" s="92"/>
      <c r="O5" s="92"/>
      <c r="P5" s="92"/>
    </row>
    <row r="6" spans="1:16">
      <c r="A6" s="39" t="str">
        <f>INDEX([2]活动总表!$A$8:$A$429,MATCH(B6,[2]活动总表!$B$8:$B$429,0))</f>
        <v>节日商店</v>
      </c>
      <c r="B6" s="93">
        <v>325</v>
      </c>
      <c r="C6" s="94">
        <v>4</v>
      </c>
      <c r="D6" s="94">
        <v>0</v>
      </c>
      <c r="E6" s="94">
        <v>12</v>
      </c>
      <c r="F6" s="93">
        <v>900011</v>
      </c>
      <c r="G6" s="76" t="str">
        <f>IFERROR(INDEX([1]物品基础表!$A:$A,MATCH(F6,[1]物品基础表!$B:$B,0)),"")</f>
        <v>蝶舞轻扬</v>
      </c>
      <c r="H6" s="93">
        <v>1</v>
      </c>
      <c r="I6" s="93"/>
      <c r="J6" s="99">
        <f t="shared" si="0"/>
        <v>0</v>
      </c>
      <c r="K6" s="93"/>
      <c r="L6" s="93"/>
      <c r="M6" s="93">
        <v>50000</v>
      </c>
      <c r="N6" s="92"/>
      <c r="O6" s="92"/>
      <c r="P6" s="92"/>
    </row>
    <row r="7" spans="1:16">
      <c r="A7" s="39" t="str">
        <f>INDEX([2]活动总表!$A$8:$A$429,MATCH(B7,[2]活动总表!$B$8:$B$429,0))</f>
        <v>节日商店</v>
      </c>
      <c r="B7" s="93">
        <v>325</v>
      </c>
      <c r="C7" s="94">
        <v>5</v>
      </c>
      <c r="D7" s="94">
        <v>0</v>
      </c>
      <c r="E7" s="94">
        <v>12</v>
      </c>
      <c r="F7" s="93">
        <v>220011</v>
      </c>
      <c r="G7" s="76" t="str">
        <f>IFERROR(INDEX([1]物品基础表!$A:$A,MATCH(F7,[1]物品基础表!$B:$B,0)),"")</f>
        <v>高级秘籍宝箱</v>
      </c>
      <c r="H7" s="93">
        <v>1</v>
      </c>
      <c r="I7" s="93"/>
      <c r="J7" s="99">
        <f t="shared" si="0"/>
        <v>0</v>
      </c>
      <c r="K7" s="93"/>
      <c r="L7" s="93"/>
      <c r="M7" s="93">
        <v>40000</v>
      </c>
      <c r="N7" s="92"/>
      <c r="O7" s="92"/>
      <c r="P7" s="92"/>
    </row>
    <row r="8" spans="1:16">
      <c r="A8" s="39" t="str">
        <f>INDEX([2]活动总表!$A$8:$A$429,MATCH(B8,[2]活动总表!$B$8:$B$429,0))</f>
        <v>节日商店</v>
      </c>
      <c r="B8" s="93">
        <v>325</v>
      </c>
      <c r="C8" s="94">
        <v>6</v>
      </c>
      <c r="D8" s="94">
        <v>0</v>
      </c>
      <c r="E8" s="94">
        <v>12</v>
      </c>
      <c r="F8" s="93">
        <v>200969</v>
      </c>
      <c r="G8" s="76" t="str">
        <f>IFERROR(INDEX([1]物品基础表!$A:$A,MATCH(F8,[1]物品基础表!$B:$B,0)),"")</f>
        <v>魅惑兵魂任选礼包</v>
      </c>
      <c r="H8" s="93">
        <v>1</v>
      </c>
      <c r="I8" s="93"/>
      <c r="J8" s="99">
        <f t="shared" si="0"/>
        <v>0</v>
      </c>
      <c r="K8" s="93"/>
      <c r="L8" s="93"/>
      <c r="M8" s="93">
        <v>4000</v>
      </c>
      <c r="N8" s="92"/>
      <c r="O8" s="92"/>
      <c r="P8" s="92"/>
    </row>
    <row r="9" spans="1:16">
      <c r="A9" s="39" t="str">
        <f>INDEX([2]活动总表!$A$8:$A$429,MATCH(B9,[2]活动总表!$B$8:$B$429,0))</f>
        <v>节日商店</v>
      </c>
      <c r="B9" s="93">
        <v>325</v>
      </c>
      <c r="C9" s="94">
        <v>7</v>
      </c>
      <c r="D9" s="94">
        <v>0</v>
      </c>
      <c r="E9" s="94">
        <v>12</v>
      </c>
      <c r="F9" s="93">
        <v>220010</v>
      </c>
      <c r="G9" s="76" t="str">
        <f>IFERROR(INDEX([1]物品基础表!$A:$A,MATCH(F9,[1]物品基础表!$B:$B,0)),"")</f>
        <v>中级秘籍宝箱</v>
      </c>
      <c r="H9" s="93">
        <v>1</v>
      </c>
      <c r="I9" s="93"/>
      <c r="J9" s="99">
        <f t="shared" si="0"/>
        <v>0</v>
      </c>
      <c r="K9" s="93"/>
      <c r="L9" s="93"/>
      <c r="M9" s="93">
        <v>8000</v>
      </c>
      <c r="N9" s="92"/>
      <c r="O9" s="92"/>
      <c r="P9" s="92"/>
    </row>
    <row r="10" spans="1:16">
      <c r="A10" s="39" t="str">
        <f>INDEX([2]活动总表!$A$8:$A$429,MATCH(B10,[2]活动总表!$B$8:$B$429,0))</f>
        <v>节日商店</v>
      </c>
      <c r="B10" s="93">
        <v>325</v>
      </c>
      <c r="C10" s="94">
        <v>8</v>
      </c>
      <c r="D10" s="94">
        <v>0</v>
      </c>
      <c r="E10" s="94">
        <v>12</v>
      </c>
      <c r="F10" s="93">
        <v>500006</v>
      </c>
      <c r="G10" s="76" t="str">
        <f>IFERROR(INDEX([1]物品基础表!$A:$A,MATCH(F10,[1]物品基础表!$B:$B,0)),"")</f>
        <v>战纹精华-金</v>
      </c>
      <c r="H10" s="93">
        <v>1</v>
      </c>
      <c r="I10" s="93"/>
      <c r="J10" s="99">
        <f t="shared" si="0"/>
        <v>0</v>
      </c>
      <c r="K10" s="93"/>
      <c r="L10" s="93"/>
      <c r="M10" s="93">
        <v>1000</v>
      </c>
      <c r="N10" s="92"/>
      <c r="O10" s="92"/>
      <c r="P10" s="92"/>
    </row>
    <row r="11" spans="1:16">
      <c r="A11" s="39" t="str">
        <f>INDEX([2]活动总表!$A$8:$A$429,MATCH(B11,[2]活动总表!$B$8:$B$429,0))</f>
        <v>节日商店</v>
      </c>
      <c r="B11" s="93">
        <v>325</v>
      </c>
      <c r="C11" s="94">
        <v>9</v>
      </c>
      <c r="D11" s="94">
        <v>0</v>
      </c>
      <c r="E11" s="94">
        <v>12</v>
      </c>
      <c r="F11" s="93">
        <v>200005</v>
      </c>
      <c r="G11" s="76" t="str">
        <f>IFERROR(INDEX([1]物品基础表!$A:$A,MATCH(F11,[1]物品基础表!$B:$B,0)),"")</f>
        <v>龙魂碎片</v>
      </c>
      <c r="H11" s="93">
        <v>5</v>
      </c>
      <c r="I11" s="93"/>
      <c r="J11" s="99">
        <f t="shared" si="0"/>
        <v>0</v>
      </c>
      <c r="K11" s="93"/>
      <c r="L11" s="93"/>
      <c r="M11" s="93">
        <v>500</v>
      </c>
      <c r="N11" s="92"/>
      <c r="O11" s="92"/>
      <c r="P11" s="92"/>
    </row>
    <row r="12" spans="1:16">
      <c r="A12" s="39" t="str">
        <f>INDEX([2]活动总表!$A$8:$A$429,MATCH(B12,[2]活动总表!$B$8:$B$429,0))</f>
        <v>节日商店</v>
      </c>
      <c r="B12" s="93">
        <v>325</v>
      </c>
      <c r="C12" s="94">
        <v>10</v>
      </c>
      <c r="D12" s="94">
        <v>0</v>
      </c>
      <c r="E12" s="94">
        <v>12</v>
      </c>
      <c r="F12" s="93">
        <v>200015</v>
      </c>
      <c r="G12" s="76" t="str">
        <f>IFERROR(INDEX([1]物品基础表!$A:$A,MATCH(F12,[1]物品基础表!$B:$B,0)),"")</f>
        <v>特戒碎片</v>
      </c>
      <c r="H12" s="93">
        <v>10</v>
      </c>
      <c r="I12" s="93"/>
      <c r="J12" s="99">
        <f t="shared" si="0"/>
        <v>0</v>
      </c>
      <c r="K12" s="93"/>
      <c r="L12" s="93"/>
      <c r="M12" s="93">
        <v>100</v>
      </c>
      <c r="N12" s="92"/>
      <c r="O12" s="92"/>
      <c r="P12" s="92"/>
    </row>
    <row r="13" spans="1:16">
      <c r="A13" s="39" t="str">
        <f>INDEX([2]活动总表!$A$8:$A$429,MATCH(B13,[2]活动总表!$B$8:$B$429,0))</f>
        <v>节日商店</v>
      </c>
      <c r="B13" s="93">
        <v>325</v>
      </c>
      <c r="C13" s="94">
        <v>11</v>
      </c>
      <c r="D13" s="94">
        <v>0</v>
      </c>
      <c r="E13" s="94">
        <v>12</v>
      </c>
      <c r="F13" s="93">
        <v>200208</v>
      </c>
      <c r="G13" s="76" t="str">
        <f>IFERROR(INDEX([1]物品基础表!$A:$A,MATCH(F13,[1]物品基础表!$B:$B,0)),"")</f>
        <v>烈焰印记低级升级材料</v>
      </c>
      <c r="H13" s="93">
        <v>10</v>
      </c>
      <c r="I13" s="93"/>
      <c r="J13" s="99">
        <f t="shared" si="0"/>
        <v>0</v>
      </c>
      <c r="K13" s="93"/>
      <c r="L13" s="93"/>
      <c r="M13" s="93">
        <v>100</v>
      </c>
      <c r="N13" s="92"/>
      <c r="O13" s="92"/>
      <c r="P13" s="92"/>
    </row>
    <row r="14" spans="1:16">
      <c r="A14" s="39" t="str">
        <f>INDEX([2]活动总表!$A$8:$A$429,MATCH(B14,[2]活动总表!$B$8:$B$429,0))</f>
        <v>节日商店</v>
      </c>
      <c r="B14" s="93">
        <v>325</v>
      </c>
      <c r="C14" s="94">
        <v>12</v>
      </c>
      <c r="D14" s="94">
        <v>0</v>
      </c>
      <c r="E14" s="94">
        <v>12</v>
      </c>
      <c r="F14" s="93">
        <v>200005</v>
      </c>
      <c r="G14" s="76" t="str">
        <f>IFERROR(INDEX([1]物品基础表!$A:$A,MATCH(F14,[1]物品基础表!$B:$B,0)),"")</f>
        <v>龙魂碎片</v>
      </c>
      <c r="H14" s="93">
        <v>1</v>
      </c>
      <c r="I14" s="93"/>
      <c r="J14" s="99">
        <f t="shared" si="0"/>
        <v>0</v>
      </c>
      <c r="K14" s="93"/>
      <c r="L14" s="93"/>
      <c r="M14" s="93">
        <v>100</v>
      </c>
      <c r="N14" s="92"/>
      <c r="O14" s="92"/>
      <c r="P14" s="92"/>
    </row>
    <row r="15" spans="1:16">
      <c r="A15" s="39" t="str">
        <f>INDEX([2]活动总表!$A$8:$A$429,MATCH(B15,[2]活动总表!$B$8:$B$429,0))</f>
        <v>节日商店</v>
      </c>
      <c r="B15" s="93">
        <v>325</v>
      </c>
      <c r="C15" s="94">
        <v>13</v>
      </c>
      <c r="D15" s="94">
        <v>0</v>
      </c>
      <c r="E15" s="94">
        <v>12</v>
      </c>
      <c r="F15" s="93">
        <v>200001</v>
      </c>
      <c r="G15" s="76" t="str">
        <f>IFERROR(INDEX([1]物品基础表!$A:$A,MATCH(F15,[1]物品基础表!$B:$B,0)),"")</f>
        <v>羽毛</v>
      </c>
      <c r="H15" s="93">
        <v>1</v>
      </c>
      <c r="I15" s="93"/>
      <c r="J15" s="99">
        <f t="shared" si="0"/>
        <v>0</v>
      </c>
      <c r="K15" s="93"/>
      <c r="L15" s="93"/>
      <c r="M15" s="93">
        <v>100</v>
      </c>
      <c r="N15" s="92"/>
      <c r="O15" s="92"/>
      <c r="P15" s="92"/>
    </row>
    <row r="16" spans="1:16">
      <c r="A16" s="39" t="str">
        <f>INDEX([2]活动总表!$A$8:$A$429,MATCH(B16,[2]活动总表!$B$8:$B$429,0))</f>
        <v>节日商店</v>
      </c>
      <c r="B16" s="93">
        <v>325</v>
      </c>
      <c r="C16" s="94">
        <v>14</v>
      </c>
      <c r="D16" s="94">
        <v>0</v>
      </c>
      <c r="E16" s="94">
        <v>12</v>
      </c>
      <c r="F16" s="93">
        <v>200015</v>
      </c>
      <c r="G16" s="76" t="str">
        <f>IFERROR(INDEX([1]物品基础表!$A:$A,MATCH(F16,[1]物品基础表!$B:$B,0)),"")</f>
        <v>特戒碎片</v>
      </c>
      <c r="H16" s="93">
        <v>1</v>
      </c>
      <c r="I16" s="93"/>
      <c r="J16" s="99">
        <f t="shared" si="0"/>
        <v>0</v>
      </c>
      <c r="K16" s="93"/>
      <c r="L16" s="93"/>
      <c r="M16" s="93">
        <v>10</v>
      </c>
      <c r="N16" s="92"/>
      <c r="O16" s="92"/>
      <c r="P16" s="92"/>
    </row>
    <row r="17" spans="1:16">
      <c r="A17" s="39" t="str">
        <f>INDEX([2]活动总表!$A$8:$A$429,MATCH(B17,[2]活动总表!$B$8:$B$429,0))</f>
        <v>节日商店</v>
      </c>
      <c r="B17" s="93">
        <v>325</v>
      </c>
      <c r="C17" s="94">
        <v>15</v>
      </c>
      <c r="D17" s="94">
        <v>0</v>
      </c>
      <c r="E17" s="94">
        <v>12</v>
      </c>
      <c r="F17" s="93">
        <v>200005</v>
      </c>
      <c r="G17" s="76" t="str">
        <f>IFERROR(INDEX([1]物品基础表!$A:$A,MATCH(F17,[1]物品基础表!$B:$B,0)),"")</f>
        <v>龙魂碎片</v>
      </c>
      <c r="H17" s="93">
        <v>30</v>
      </c>
      <c r="I17" s="93">
        <v>3000</v>
      </c>
      <c r="J17" s="99">
        <f t="shared" si="0"/>
        <v>100</v>
      </c>
      <c r="K17" s="93"/>
      <c r="L17" s="93" t="s">
        <v>1367</v>
      </c>
      <c r="M17" s="93"/>
      <c r="N17" s="92" t="s">
        <v>919</v>
      </c>
      <c r="O17" s="92"/>
      <c r="P17" s="92"/>
    </row>
    <row r="18" spans="1:16">
      <c r="A18" s="39" t="str">
        <f>INDEX([2]活动总表!$A$8:$A$429,MATCH(B18,[2]活动总表!$B$8:$B$429,0))</f>
        <v>节日商店</v>
      </c>
      <c r="B18" s="93">
        <v>325</v>
      </c>
      <c r="C18" s="94">
        <v>16</v>
      </c>
      <c r="D18" s="94">
        <v>0</v>
      </c>
      <c r="E18" s="94">
        <v>12</v>
      </c>
      <c r="F18" s="93">
        <v>200005</v>
      </c>
      <c r="G18" s="76" t="str">
        <f>IFERROR(INDEX([1]物品基础表!$A:$A,MATCH(F18,[1]物品基础表!$B:$B,0)),"")</f>
        <v>龙魂碎片</v>
      </c>
      <c r="H18" s="93">
        <v>30</v>
      </c>
      <c r="I18" s="93">
        <v>2400</v>
      </c>
      <c r="J18" s="99">
        <f t="shared" si="0"/>
        <v>80</v>
      </c>
      <c r="K18" s="93"/>
      <c r="L18" s="93" t="s">
        <v>1367</v>
      </c>
      <c r="M18" s="93"/>
      <c r="N18" s="92">
        <v>8</v>
      </c>
      <c r="O18" s="92"/>
      <c r="P18" s="92"/>
    </row>
    <row r="19" spans="1:16">
      <c r="A19" s="39" t="str">
        <f>INDEX([2]活动总表!$A$8:$A$429,MATCH(B19,[2]活动总表!$B$8:$B$429,0))</f>
        <v>节日商店</v>
      </c>
      <c r="B19" s="93">
        <v>325</v>
      </c>
      <c r="C19" s="94">
        <v>17</v>
      </c>
      <c r="D19" s="94">
        <v>0</v>
      </c>
      <c r="E19" s="94">
        <v>12</v>
      </c>
      <c r="F19" s="93">
        <v>200005</v>
      </c>
      <c r="G19" s="76" t="str">
        <f>IFERROR(INDEX([1]物品基础表!$A:$A,MATCH(F19,[1]物品基础表!$B:$B,0)),"")</f>
        <v>龙魂碎片</v>
      </c>
      <c r="H19" s="93">
        <v>30</v>
      </c>
      <c r="I19" s="93">
        <v>1500</v>
      </c>
      <c r="J19" s="99">
        <f t="shared" si="0"/>
        <v>50</v>
      </c>
      <c r="K19" s="93"/>
      <c r="L19" s="93" t="s">
        <v>1368</v>
      </c>
      <c r="M19" s="93"/>
      <c r="N19" s="92">
        <v>5</v>
      </c>
      <c r="O19" s="92"/>
      <c r="P19" s="92"/>
    </row>
    <row r="20" spans="1:16">
      <c r="A20" s="39" t="str">
        <f>INDEX([2]活动总表!$A$8:$A$429,MATCH(B20,[2]活动总表!$B$8:$B$429,0))</f>
        <v>节日商店</v>
      </c>
      <c r="B20" s="93">
        <v>325</v>
      </c>
      <c r="C20" s="94">
        <v>18</v>
      </c>
      <c r="D20" s="94">
        <v>0</v>
      </c>
      <c r="E20" s="94">
        <v>12</v>
      </c>
      <c r="F20" s="93">
        <v>200005</v>
      </c>
      <c r="G20" s="76" t="str">
        <f>IFERROR(INDEX([1]物品基础表!$A:$A,MATCH(F20,[1]物品基础表!$B:$B,0)),"")</f>
        <v>龙魂碎片</v>
      </c>
      <c r="H20" s="93">
        <v>30</v>
      </c>
      <c r="I20" s="93">
        <v>900</v>
      </c>
      <c r="J20" s="99">
        <f t="shared" si="0"/>
        <v>30</v>
      </c>
      <c r="K20" s="93"/>
      <c r="L20" s="93" t="s">
        <v>1369</v>
      </c>
      <c r="M20" s="93"/>
      <c r="N20" s="92">
        <v>3</v>
      </c>
      <c r="O20" s="92"/>
      <c r="P20" s="92"/>
    </row>
    <row r="21" spans="1:16">
      <c r="A21" s="39" t="str">
        <f>INDEX([2]活动总表!$A$8:$A$429,MATCH(B21,[2]活动总表!$B$8:$B$429,0))</f>
        <v>节日商店</v>
      </c>
      <c r="B21" s="93">
        <v>325</v>
      </c>
      <c r="C21" s="94">
        <v>19</v>
      </c>
      <c r="D21" s="94">
        <v>0</v>
      </c>
      <c r="E21" s="94">
        <v>12</v>
      </c>
      <c r="F21" s="93">
        <v>200005</v>
      </c>
      <c r="G21" s="76" t="str">
        <f>IFERROR(INDEX([1]物品基础表!$A:$A,MATCH(F21,[1]物品基础表!$B:$B,0)),"")</f>
        <v>龙魂碎片</v>
      </c>
      <c r="H21" s="93">
        <v>100</v>
      </c>
      <c r="I21" s="93">
        <v>8000</v>
      </c>
      <c r="J21" s="99">
        <f t="shared" si="0"/>
        <v>80</v>
      </c>
      <c r="K21" s="93"/>
      <c r="L21" s="93" t="s">
        <v>1370</v>
      </c>
      <c r="M21" s="93"/>
      <c r="N21" s="92">
        <v>8</v>
      </c>
      <c r="O21" s="92"/>
      <c r="P21" s="92"/>
    </row>
    <row r="22" spans="1:16">
      <c r="A22" s="39" t="str">
        <f>INDEX([2]活动总表!$A$8:$A$429,MATCH(B22,[2]活动总表!$B$8:$B$429,0))</f>
        <v>节日商店</v>
      </c>
      <c r="B22" s="93">
        <v>325</v>
      </c>
      <c r="C22" s="94">
        <v>20</v>
      </c>
      <c r="D22" s="94">
        <v>0</v>
      </c>
      <c r="E22" s="94">
        <v>12</v>
      </c>
      <c r="F22" s="93">
        <v>200005</v>
      </c>
      <c r="G22" s="76" t="str">
        <f>IFERROR(INDEX([1]物品基础表!$A:$A,MATCH(F22,[1]物品基础表!$B:$B,0)),"")</f>
        <v>龙魂碎片</v>
      </c>
      <c r="H22" s="93">
        <v>100</v>
      </c>
      <c r="I22" s="93">
        <v>5000</v>
      </c>
      <c r="J22" s="99">
        <f t="shared" si="0"/>
        <v>50</v>
      </c>
      <c r="K22" s="93"/>
      <c r="L22" s="93" t="s">
        <v>1368</v>
      </c>
      <c r="M22" s="93"/>
      <c r="N22" s="92">
        <v>5</v>
      </c>
      <c r="O22" s="92"/>
      <c r="P22" s="92"/>
    </row>
    <row r="23" spans="1:16">
      <c r="A23" s="39" t="str">
        <f>INDEX([2]活动总表!$A$8:$A$429,MATCH(B23,[2]活动总表!$B$8:$B$429,0))</f>
        <v>节日商店</v>
      </c>
      <c r="B23" s="93">
        <v>325</v>
      </c>
      <c r="C23" s="94">
        <v>21</v>
      </c>
      <c r="D23" s="94">
        <v>0</v>
      </c>
      <c r="E23" s="94">
        <v>12</v>
      </c>
      <c r="F23" s="93">
        <v>200005</v>
      </c>
      <c r="G23" s="76" t="str">
        <f>IFERROR(INDEX([1]物品基础表!$A:$A,MATCH(F23,[1]物品基础表!$B:$B,0)),"")</f>
        <v>龙魂碎片</v>
      </c>
      <c r="H23" s="93">
        <v>100</v>
      </c>
      <c r="I23" s="93">
        <v>3000</v>
      </c>
      <c r="J23" s="99">
        <f t="shared" si="0"/>
        <v>30</v>
      </c>
      <c r="K23" s="93"/>
      <c r="L23" s="93" t="s">
        <v>1369</v>
      </c>
      <c r="M23" s="93"/>
      <c r="N23" s="92">
        <v>3</v>
      </c>
      <c r="O23" s="92"/>
      <c r="P23" s="92"/>
    </row>
    <row r="24" spans="1:16">
      <c r="A24" s="39" t="str">
        <f>INDEX([2]活动总表!$A$8:$A$429,MATCH(B24,[2]活动总表!$B$8:$B$429,0))</f>
        <v>节日商店</v>
      </c>
      <c r="B24" s="93">
        <v>325</v>
      </c>
      <c r="C24" s="94">
        <v>22</v>
      </c>
      <c r="D24" s="94">
        <v>0</v>
      </c>
      <c r="E24" s="94">
        <v>12</v>
      </c>
      <c r="F24" s="93">
        <v>200015</v>
      </c>
      <c r="G24" s="76" t="str">
        <f>IFERROR(INDEX([1]物品基础表!$A:$A,MATCH(F24,[1]物品基础表!$B:$B,0)),"")</f>
        <v>特戒碎片</v>
      </c>
      <c r="H24" s="93">
        <v>300</v>
      </c>
      <c r="I24" s="93">
        <v>3000</v>
      </c>
      <c r="J24" s="99">
        <f t="shared" si="0"/>
        <v>10</v>
      </c>
      <c r="K24" s="93"/>
      <c r="L24" s="93" t="s">
        <v>1367</v>
      </c>
      <c r="M24" s="93"/>
      <c r="N24" s="92" t="s">
        <v>919</v>
      </c>
      <c r="O24" s="92"/>
      <c r="P24" s="92"/>
    </row>
    <row r="25" spans="1:16">
      <c r="A25" s="39" t="str">
        <f>INDEX([2]活动总表!$A$8:$A$429,MATCH(B25,[2]活动总表!$B$8:$B$429,0))</f>
        <v>节日商店</v>
      </c>
      <c r="B25" s="93">
        <v>325</v>
      </c>
      <c r="C25" s="94">
        <v>23</v>
      </c>
      <c r="D25" s="94">
        <v>0</v>
      </c>
      <c r="E25" s="94">
        <v>12</v>
      </c>
      <c r="F25" s="93">
        <v>200015</v>
      </c>
      <c r="G25" s="76" t="str">
        <f>IFERROR(INDEX([1]物品基础表!$A:$A,MATCH(F25,[1]物品基础表!$B:$B,0)),"")</f>
        <v>特戒碎片</v>
      </c>
      <c r="H25" s="93">
        <v>300</v>
      </c>
      <c r="I25" s="93">
        <v>2400</v>
      </c>
      <c r="J25" s="99">
        <f t="shared" si="0"/>
        <v>8</v>
      </c>
      <c r="K25" s="93"/>
      <c r="L25" s="93" t="s">
        <v>1367</v>
      </c>
      <c r="M25" s="93"/>
      <c r="N25" s="92">
        <v>8</v>
      </c>
      <c r="O25" s="92"/>
      <c r="P25" s="92"/>
    </row>
    <row r="26" spans="1:16">
      <c r="A26" s="39" t="str">
        <f>INDEX([2]活动总表!$A$8:$A$429,MATCH(B26,[2]活动总表!$B$8:$B$429,0))</f>
        <v>节日商店</v>
      </c>
      <c r="B26" s="93">
        <v>325</v>
      </c>
      <c r="C26" s="94">
        <v>24</v>
      </c>
      <c r="D26" s="94">
        <v>0</v>
      </c>
      <c r="E26" s="94">
        <v>12</v>
      </c>
      <c r="F26" s="93">
        <v>200015</v>
      </c>
      <c r="G26" s="76" t="str">
        <f>IFERROR(INDEX([1]物品基础表!$A:$A,MATCH(F26,[1]物品基础表!$B:$B,0)),"")</f>
        <v>特戒碎片</v>
      </c>
      <c r="H26" s="93">
        <v>300</v>
      </c>
      <c r="I26" s="93">
        <v>1500</v>
      </c>
      <c r="J26" s="99">
        <f t="shared" si="0"/>
        <v>5</v>
      </c>
      <c r="K26" s="93"/>
      <c r="L26" s="93" t="s">
        <v>1371</v>
      </c>
      <c r="M26" s="93"/>
      <c r="N26" s="92">
        <v>5</v>
      </c>
      <c r="O26" s="92"/>
      <c r="P26" s="92"/>
    </row>
    <row r="27" spans="1:16">
      <c r="A27" s="39" t="str">
        <f>INDEX([2]活动总表!$A$8:$A$429,MATCH(B27,[2]活动总表!$B$8:$B$429,0))</f>
        <v>节日商店</v>
      </c>
      <c r="B27" s="93">
        <v>325</v>
      </c>
      <c r="C27" s="94">
        <v>25</v>
      </c>
      <c r="D27" s="94">
        <v>0</v>
      </c>
      <c r="E27" s="94">
        <v>12</v>
      </c>
      <c r="F27" s="93">
        <v>200015</v>
      </c>
      <c r="G27" s="76" t="str">
        <f>IFERROR(INDEX([1]物品基础表!$A:$A,MATCH(F27,[1]物品基础表!$B:$B,0)),"")</f>
        <v>特戒碎片</v>
      </c>
      <c r="H27" s="93">
        <v>300</v>
      </c>
      <c r="I27" s="93">
        <v>900</v>
      </c>
      <c r="J27" s="99">
        <f t="shared" si="0"/>
        <v>3</v>
      </c>
      <c r="K27" s="93"/>
      <c r="L27" s="93" t="s">
        <v>1372</v>
      </c>
      <c r="M27" s="93"/>
      <c r="N27" s="92">
        <v>3</v>
      </c>
      <c r="O27" s="92"/>
      <c r="P27" s="92"/>
    </row>
    <row r="28" spans="1:16">
      <c r="A28" s="39" t="str">
        <f>INDEX([2]活动总表!$A$8:$A$429,MATCH(B28,[2]活动总表!$B$8:$B$429,0))</f>
        <v>节日商店</v>
      </c>
      <c r="B28" s="93">
        <v>325</v>
      </c>
      <c r="C28" s="94">
        <v>26</v>
      </c>
      <c r="D28" s="94">
        <v>0</v>
      </c>
      <c r="E28" s="94">
        <v>12</v>
      </c>
      <c r="F28" s="93">
        <v>200015</v>
      </c>
      <c r="G28" s="76" t="str">
        <f>IFERROR(INDEX([1]物品基础表!$A:$A,MATCH(F28,[1]物品基础表!$B:$B,0)),"")</f>
        <v>特戒碎片</v>
      </c>
      <c r="H28" s="93">
        <v>1000</v>
      </c>
      <c r="I28" s="93">
        <v>8000</v>
      </c>
      <c r="J28" s="99">
        <f t="shared" si="0"/>
        <v>8</v>
      </c>
      <c r="K28" s="93"/>
      <c r="L28" s="93" t="s">
        <v>1370</v>
      </c>
      <c r="M28" s="93"/>
      <c r="N28" s="92">
        <v>8</v>
      </c>
      <c r="O28" s="92"/>
      <c r="P28" s="92"/>
    </row>
    <row r="29" spans="1:16">
      <c r="A29" s="39" t="str">
        <f>INDEX([2]活动总表!$A$8:$A$429,MATCH(B29,[2]活动总表!$B$8:$B$429,0))</f>
        <v>节日商店</v>
      </c>
      <c r="B29" s="93">
        <v>325</v>
      </c>
      <c r="C29" s="94">
        <v>27</v>
      </c>
      <c r="D29" s="94">
        <v>0</v>
      </c>
      <c r="E29" s="94">
        <v>12</v>
      </c>
      <c r="F29" s="93">
        <v>200015</v>
      </c>
      <c r="G29" s="76" t="str">
        <f>IFERROR(INDEX([1]物品基础表!$A:$A,MATCH(F29,[1]物品基础表!$B:$B,0)),"")</f>
        <v>特戒碎片</v>
      </c>
      <c r="H29" s="93">
        <v>1000</v>
      </c>
      <c r="I29" s="93">
        <v>5000</v>
      </c>
      <c r="J29" s="99">
        <f t="shared" si="0"/>
        <v>5</v>
      </c>
      <c r="K29" s="93"/>
      <c r="L29" s="93" t="s">
        <v>1371</v>
      </c>
      <c r="M29" s="93"/>
      <c r="N29" s="92">
        <v>5</v>
      </c>
      <c r="O29" s="92"/>
      <c r="P29" s="92"/>
    </row>
    <row r="30" spans="1:16">
      <c r="A30" s="39" t="str">
        <f>INDEX([2]活动总表!$A$8:$A$429,MATCH(B30,[2]活动总表!$B$8:$B$429,0))</f>
        <v>节日商店</v>
      </c>
      <c r="B30" s="93">
        <v>325</v>
      </c>
      <c r="C30" s="94">
        <v>28</v>
      </c>
      <c r="D30" s="94">
        <v>0</v>
      </c>
      <c r="E30" s="94">
        <v>12</v>
      </c>
      <c r="F30" s="93">
        <v>200015</v>
      </c>
      <c r="G30" s="76" t="str">
        <f>IFERROR(INDEX([1]物品基础表!$A:$A,MATCH(F30,[1]物品基础表!$B:$B,0)),"")</f>
        <v>特戒碎片</v>
      </c>
      <c r="H30" s="93">
        <v>1000</v>
      </c>
      <c r="I30" s="93">
        <v>3000</v>
      </c>
      <c r="J30" s="99">
        <f t="shared" si="0"/>
        <v>3</v>
      </c>
      <c r="K30" s="93"/>
      <c r="L30" s="93" t="s">
        <v>1369</v>
      </c>
      <c r="M30" s="93"/>
      <c r="N30" s="92">
        <v>3</v>
      </c>
      <c r="O30" s="92"/>
      <c r="P30" s="92"/>
    </row>
    <row r="31" spans="1:16">
      <c r="A31" s="39" t="str">
        <f>INDEX([2]活动总表!$A$8:$A$429,MATCH(B31,[2]活动总表!$B$8:$B$429,0))</f>
        <v>节日商店</v>
      </c>
      <c r="B31" s="93">
        <v>325</v>
      </c>
      <c r="C31" s="94">
        <v>29</v>
      </c>
      <c r="D31" s="94">
        <v>0</v>
      </c>
      <c r="E31" s="94">
        <v>12</v>
      </c>
      <c r="F31" s="93">
        <v>200208</v>
      </c>
      <c r="G31" s="76" t="str">
        <f>IFERROR(INDEX([1]物品基础表!$A:$A,MATCH(F31,[1]物品基础表!$B:$B,0)),"")</f>
        <v>烈焰印记低级升级材料</v>
      </c>
      <c r="H31" s="93">
        <v>300</v>
      </c>
      <c r="I31" s="93">
        <v>3000</v>
      </c>
      <c r="J31" s="99">
        <f t="shared" si="0"/>
        <v>10</v>
      </c>
      <c r="K31" s="93"/>
      <c r="L31" s="93" t="s">
        <v>1367</v>
      </c>
      <c r="M31" s="93"/>
      <c r="N31" s="92" t="s">
        <v>919</v>
      </c>
      <c r="O31" s="92"/>
      <c r="P31" s="92"/>
    </row>
    <row r="32" spans="1:16">
      <c r="A32" s="39" t="str">
        <f>INDEX([2]活动总表!$A$8:$A$429,MATCH(B32,[2]活动总表!$B$8:$B$429,0))</f>
        <v>节日商店</v>
      </c>
      <c r="B32" s="93">
        <v>325</v>
      </c>
      <c r="C32" s="94">
        <v>30</v>
      </c>
      <c r="D32" s="94">
        <v>0</v>
      </c>
      <c r="E32" s="94">
        <v>12</v>
      </c>
      <c r="F32" s="93">
        <v>200208</v>
      </c>
      <c r="G32" s="76" t="str">
        <f>IFERROR(INDEX([1]物品基础表!$A:$A,MATCH(F32,[1]物品基础表!$B:$B,0)),"")</f>
        <v>烈焰印记低级升级材料</v>
      </c>
      <c r="H32" s="93">
        <v>300</v>
      </c>
      <c r="I32" s="93">
        <v>2400</v>
      </c>
      <c r="J32" s="99">
        <f t="shared" si="0"/>
        <v>8</v>
      </c>
      <c r="K32" s="93"/>
      <c r="L32" s="93" t="s">
        <v>1367</v>
      </c>
      <c r="M32" s="93"/>
      <c r="N32" s="92">
        <v>8</v>
      </c>
      <c r="O32" s="92"/>
      <c r="P32" s="92"/>
    </row>
    <row r="33" spans="1:16">
      <c r="A33" s="39" t="str">
        <f>INDEX([2]活动总表!$A$8:$A$429,MATCH(B33,[2]活动总表!$B$8:$B$429,0))</f>
        <v>节日商店</v>
      </c>
      <c r="B33" s="93">
        <v>325</v>
      </c>
      <c r="C33" s="94">
        <v>31</v>
      </c>
      <c r="D33" s="94">
        <v>0</v>
      </c>
      <c r="E33" s="94">
        <v>12</v>
      </c>
      <c r="F33" s="93">
        <v>200208</v>
      </c>
      <c r="G33" s="76" t="str">
        <f>IFERROR(INDEX([1]物品基础表!$A:$A,MATCH(F33,[1]物品基础表!$B:$B,0)),"")</f>
        <v>烈焰印记低级升级材料</v>
      </c>
      <c r="H33" s="93">
        <v>300</v>
      </c>
      <c r="I33" s="93">
        <v>1500</v>
      </c>
      <c r="J33" s="99">
        <f t="shared" si="0"/>
        <v>5</v>
      </c>
      <c r="K33" s="93"/>
      <c r="L33" s="93" t="s">
        <v>1373</v>
      </c>
      <c r="M33" s="93"/>
      <c r="N33" s="92">
        <v>5</v>
      </c>
      <c r="O33" s="92"/>
      <c r="P33" s="92"/>
    </row>
    <row r="34" spans="1:16">
      <c r="A34" s="39" t="str">
        <f>INDEX([2]活动总表!$A$8:$A$429,MATCH(B34,[2]活动总表!$B$8:$B$429,0))</f>
        <v>节日商店</v>
      </c>
      <c r="B34" s="93">
        <v>325</v>
      </c>
      <c r="C34" s="94">
        <v>32</v>
      </c>
      <c r="D34" s="94">
        <v>0</v>
      </c>
      <c r="E34" s="94">
        <v>12</v>
      </c>
      <c r="F34" s="93">
        <v>200208</v>
      </c>
      <c r="G34" s="76" t="str">
        <f>IFERROR(INDEX([1]物品基础表!$A:$A,MATCH(F34,[1]物品基础表!$B:$B,0)),"")</f>
        <v>烈焰印记低级升级材料</v>
      </c>
      <c r="H34" s="93">
        <v>300</v>
      </c>
      <c r="I34" s="93">
        <v>900</v>
      </c>
      <c r="J34" s="99">
        <f t="shared" si="0"/>
        <v>3</v>
      </c>
      <c r="K34" s="93"/>
      <c r="L34" s="93" t="s">
        <v>1374</v>
      </c>
      <c r="M34" s="93"/>
      <c r="N34" s="92">
        <v>3</v>
      </c>
      <c r="O34" s="92"/>
      <c r="P34" s="92"/>
    </row>
    <row r="35" spans="1:16">
      <c r="A35" s="39" t="str">
        <f>INDEX([2]活动总表!$A$8:$A$429,MATCH(B35,[2]活动总表!$B$8:$B$429,0))</f>
        <v>节日商店</v>
      </c>
      <c r="B35" s="93">
        <v>325</v>
      </c>
      <c r="C35" s="94">
        <v>33</v>
      </c>
      <c r="D35" s="94">
        <v>0</v>
      </c>
      <c r="E35" s="94">
        <v>12</v>
      </c>
      <c r="F35" s="93">
        <v>200208</v>
      </c>
      <c r="G35" s="76" t="str">
        <f>IFERROR(INDEX([1]物品基础表!$A:$A,MATCH(F35,[1]物品基础表!$B:$B,0)),"")</f>
        <v>烈焰印记低级升级材料</v>
      </c>
      <c r="H35" s="93">
        <v>1000</v>
      </c>
      <c r="I35" s="93">
        <v>8000</v>
      </c>
      <c r="J35" s="99">
        <f t="shared" si="0"/>
        <v>8</v>
      </c>
      <c r="K35" s="93"/>
      <c r="L35" s="93" t="s">
        <v>1367</v>
      </c>
      <c r="M35" s="93"/>
      <c r="N35" s="92">
        <v>8</v>
      </c>
      <c r="O35" s="92"/>
      <c r="P35" s="92"/>
    </row>
    <row r="36" spans="1:16">
      <c r="A36" s="39" t="str">
        <f>INDEX([2]活动总表!$A$8:$A$429,MATCH(B36,[2]活动总表!$B$8:$B$429,0))</f>
        <v>节日商店</v>
      </c>
      <c r="B36" s="93">
        <v>325</v>
      </c>
      <c r="C36" s="94">
        <v>34</v>
      </c>
      <c r="D36" s="94">
        <v>0</v>
      </c>
      <c r="E36" s="94">
        <v>12</v>
      </c>
      <c r="F36" s="93">
        <v>200208</v>
      </c>
      <c r="G36" s="76" t="str">
        <f>IFERROR(INDEX([1]物品基础表!$A:$A,MATCH(F36,[1]物品基础表!$B:$B,0)),"")</f>
        <v>烈焰印记低级升级材料</v>
      </c>
      <c r="H36" s="93">
        <v>1000</v>
      </c>
      <c r="I36" s="93">
        <v>5000</v>
      </c>
      <c r="J36" s="99">
        <f t="shared" si="0"/>
        <v>5</v>
      </c>
      <c r="K36" s="93"/>
      <c r="L36" s="93" t="s">
        <v>1373</v>
      </c>
      <c r="M36" s="93"/>
      <c r="N36" s="92">
        <v>5</v>
      </c>
      <c r="O36" s="92"/>
      <c r="P36" s="92"/>
    </row>
    <row r="37" spans="1:16">
      <c r="A37" s="39" t="str">
        <f>INDEX([2]活动总表!$A$8:$A$429,MATCH(B37,[2]活动总表!$B$8:$B$429,0))</f>
        <v>节日商店</v>
      </c>
      <c r="B37" s="93">
        <v>325</v>
      </c>
      <c r="C37" s="94">
        <v>35</v>
      </c>
      <c r="D37" s="94">
        <v>0</v>
      </c>
      <c r="E37" s="94">
        <v>12</v>
      </c>
      <c r="F37" s="93">
        <v>200208</v>
      </c>
      <c r="G37" s="76" t="str">
        <f>IFERROR(INDEX([1]物品基础表!$A:$A,MATCH(F37,[1]物品基础表!$B:$B,0)),"")</f>
        <v>烈焰印记低级升级材料</v>
      </c>
      <c r="H37" s="93">
        <v>1000</v>
      </c>
      <c r="I37" s="93">
        <v>3000</v>
      </c>
      <c r="J37" s="99">
        <f t="shared" si="0"/>
        <v>3</v>
      </c>
      <c r="K37" s="93"/>
      <c r="L37" s="93" t="s">
        <v>1374</v>
      </c>
      <c r="M37" s="93"/>
      <c r="N37" s="92">
        <v>3</v>
      </c>
      <c r="O37" s="92"/>
      <c r="P37" s="92"/>
    </row>
    <row r="38" spans="1:16">
      <c r="A38" s="39" t="str">
        <f>INDEX([2]活动总表!$A$8:$A$429,MATCH(B38,[2]活动总表!$B$8:$B$429,0))</f>
        <v>节日商店</v>
      </c>
      <c r="B38" s="93">
        <v>325</v>
      </c>
      <c r="C38" s="94">
        <v>36</v>
      </c>
      <c r="D38" s="94">
        <v>0</v>
      </c>
      <c r="E38" s="94">
        <v>12</v>
      </c>
      <c r="F38" s="93">
        <v>500006</v>
      </c>
      <c r="G38" s="76" t="str">
        <f>IFERROR(INDEX([1]物品基础表!$A:$A,MATCH(F38,[1]物品基础表!$B:$B,0)),"")</f>
        <v>战纹精华-金</v>
      </c>
      <c r="H38" s="93">
        <v>5</v>
      </c>
      <c r="I38" s="93">
        <v>5000</v>
      </c>
      <c r="J38" s="99">
        <f t="shared" si="0"/>
        <v>1000</v>
      </c>
      <c r="K38" s="93"/>
      <c r="L38" s="93" t="s">
        <v>1375</v>
      </c>
      <c r="M38" s="93"/>
      <c r="N38" s="92" t="s">
        <v>919</v>
      </c>
      <c r="O38" s="92"/>
      <c r="P38" s="92"/>
    </row>
    <row r="39" spans="1:16">
      <c r="A39" s="39" t="str">
        <f>INDEX([2]活动总表!$A$8:$A$429,MATCH(B39,[2]活动总表!$B$8:$B$429,0))</f>
        <v>节日商店</v>
      </c>
      <c r="B39" s="93">
        <v>325</v>
      </c>
      <c r="C39" s="94">
        <v>37</v>
      </c>
      <c r="D39" s="94">
        <v>0</v>
      </c>
      <c r="E39" s="94">
        <v>12</v>
      </c>
      <c r="F39" s="93">
        <v>500006</v>
      </c>
      <c r="G39" s="76" t="str">
        <f>IFERROR(INDEX([1]物品基础表!$A:$A,MATCH(F39,[1]物品基础表!$B:$B,0)),"")</f>
        <v>战纹精华-金</v>
      </c>
      <c r="H39" s="93">
        <v>5</v>
      </c>
      <c r="I39" s="93">
        <v>4000</v>
      </c>
      <c r="J39" s="99">
        <f t="shared" si="0"/>
        <v>800</v>
      </c>
      <c r="K39" s="93"/>
      <c r="L39" s="93" t="s">
        <v>1370</v>
      </c>
      <c r="M39" s="93"/>
      <c r="N39" s="92">
        <v>8</v>
      </c>
      <c r="O39" s="92"/>
      <c r="P39" s="92"/>
    </row>
    <row r="40" spans="1:16">
      <c r="A40" s="39" t="str">
        <f>INDEX([2]活动总表!$A$8:$A$429,MATCH(B40,[2]活动总表!$B$8:$B$429,0))</f>
        <v>节日商店</v>
      </c>
      <c r="B40" s="93">
        <v>325</v>
      </c>
      <c r="C40" s="94">
        <v>38</v>
      </c>
      <c r="D40" s="94">
        <v>0</v>
      </c>
      <c r="E40" s="94">
        <v>12</v>
      </c>
      <c r="F40" s="93">
        <v>500006</v>
      </c>
      <c r="G40" s="76" t="str">
        <f>IFERROR(INDEX([1]物品基础表!$A:$A,MATCH(F40,[1]物品基础表!$B:$B,0)),"")</f>
        <v>战纹精华-金</v>
      </c>
      <c r="H40" s="93">
        <v>5</v>
      </c>
      <c r="I40" s="93">
        <v>2500</v>
      </c>
      <c r="J40" s="99">
        <f t="shared" si="0"/>
        <v>500</v>
      </c>
      <c r="K40" s="93"/>
      <c r="L40" s="93" t="s">
        <v>1376</v>
      </c>
      <c r="M40" s="93"/>
      <c r="N40" s="92">
        <v>5</v>
      </c>
      <c r="O40" s="92"/>
      <c r="P40" s="92"/>
    </row>
    <row r="41" spans="1:16">
      <c r="A41" s="39" t="str">
        <f>INDEX([2]活动总表!$A$8:$A$429,MATCH(B41,[2]活动总表!$B$8:$B$429,0))</f>
        <v>节日商店</v>
      </c>
      <c r="B41" s="93">
        <v>325</v>
      </c>
      <c r="C41" s="94">
        <v>39</v>
      </c>
      <c r="D41" s="94">
        <v>0</v>
      </c>
      <c r="E41" s="94">
        <v>12</v>
      </c>
      <c r="F41" s="93">
        <v>500006</v>
      </c>
      <c r="G41" s="76" t="str">
        <f>IFERROR(INDEX([1]物品基础表!$A:$A,MATCH(F41,[1]物品基础表!$B:$B,0)),"")</f>
        <v>战纹精华-金</v>
      </c>
      <c r="H41" s="93">
        <v>5</v>
      </c>
      <c r="I41" s="93">
        <v>1500</v>
      </c>
      <c r="J41" s="99">
        <f t="shared" si="0"/>
        <v>300</v>
      </c>
      <c r="K41" s="93"/>
      <c r="L41" s="93" t="s">
        <v>1374</v>
      </c>
      <c r="M41" s="93"/>
      <c r="N41" s="92">
        <v>3</v>
      </c>
      <c r="O41" s="92"/>
      <c r="P41" s="92"/>
    </row>
    <row r="42" spans="1:16">
      <c r="A42" s="39" t="str">
        <f>INDEX([2]活动总表!$A$8:$A$429,MATCH(B42,[2]活动总表!$B$8:$B$429,0))</f>
        <v>节日商店</v>
      </c>
      <c r="B42" s="93">
        <v>325</v>
      </c>
      <c r="C42" s="94">
        <v>40</v>
      </c>
      <c r="D42" s="94">
        <v>0</v>
      </c>
      <c r="E42" s="94">
        <v>12</v>
      </c>
      <c r="F42" s="93">
        <v>500006</v>
      </c>
      <c r="G42" s="76" t="str">
        <f>IFERROR(INDEX([1]物品基础表!$A:$A,MATCH(F42,[1]物品基础表!$B:$B,0)),"")</f>
        <v>战纹精华-金</v>
      </c>
      <c r="H42" s="93">
        <v>20</v>
      </c>
      <c r="I42" s="93">
        <v>16000</v>
      </c>
      <c r="J42" s="99">
        <f t="shared" si="0"/>
        <v>800</v>
      </c>
      <c r="K42" s="93"/>
      <c r="L42" s="93" t="s">
        <v>1370</v>
      </c>
      <c r="M42" s="93"/>
      <c r="N42" s="92">
        <v>8</v>
      </c>
      <c r="O42" s="92"/>
      <c r="P42" s="92"/>
    </row>
    <row r="43" spans="1:16">
      <c r="A43" s="39" t="str">
        <f>INDEX([2]活动总表!$A$8:$A$429,MATCH(B43,[2]活动总表!$B$8:$B$429,0))</f>
        <v>节日商店</v>
      </c>
      <c r="B43" s="93">
        <v>325</v>
      </c>
      <c r="C43" s="94">
        <v>41</v>
      </c>
      <c r="D43" s="94">
        <v>0</v>
      </c>
      <c r="E43" s="94">
        <v>12</v>
      </c>
      <c r="F43" s="93">
        <v>500006</v>
      </c>
      <c r="G43" s="76" t="str">
        <f>IFERROR(INDEX([1]物品基础表!$A:$A,MATCH(F43,[1]物品基础表!$B:$B,0)),"")</f>
        <v>战纹精华-金</v>
      </c>
      <c r="H43" s="93">
        <v>20</v>
      </c>
      <c r="I43" s="93">
        <v>10000</v>
      </c>
      <c r="J43" s="99">
        <f t="shared" si="0"/>
        <v>500</v>
      </c>
      <c r="K43" s="93"/>
      <c r="L43" s="93" t="s">
        <v>1376</v>
      </c>
      <c r="M43" s="93"/>
      <c r="N43" s="92">
        <v>5</v>
      </c>
      <c r="O43" s="92"/>
      <c r="P43" s="92"/>
    </row>
    <row r="44" spans="1:16">
      <c r="A44" s="39" t="str">
        <f>INDEX([2]活动总表!$A$8:$A$429,MATCH(B44,[2]活动总表!$B$8:$B$429,0))</f>
        <v>节日商店</v>
      </c>
      <c r="B44" s="93">
        <v>325</v>
      </c>
      <c r="C44" s="94">
        <v>42</v>
      </c>
      <c r="D44" s="94">
        <v>0</v>
      </c>
      <c r="E44" s="94">
        <v>12</v>
      </c>
      <c r="F44" s="93">
        <v>500006</v>
      </c>
      <c r="G44" s="76" t="str">
        <f>IFERROR(INDEX([1]物品基础表!$A:$A,MATCH(F44,[1]物品基础表!$B:$B,0)),"")</f>
        <v>战纹精华-金</v>
      </c>
      <c r="H44" s="93">
        <v>20</v>
      </c>
      <c r="I44" s="93">
        <v>6000</v>
      </c>
      <c r="J44" s="99">
        <f t="shared" si="0"/>
        <v>300</v>
      </c>
      <c r="K44" s="93"/>
      <c r="L44" s="93" t="s">
        <v>1374</v>
      </c>
      <c r="M44" s="93"/>
      <c r="N44" s="92">
        <v>3</v>
      </c>
      <c r="O44" s="92"/>
      <c r="P44" s="92"/>
    </row>
    <row r="45" spans="1:16">
      <c r="A45" s="39" t="str">
        <f>INDEX([2]活动总表!$A$8:$A$429,MATCH(B45,[2]活动总表!$B$8:$B$429,0))</f>
        <v>节日商店</v>
      </c>
      <c r="B45" s="93">
        <v>325</v>
      </c>
      <c r="C45" s="94">
        <v>43</v>
      </c>
      <c r="D45" s="94">
        <v>0</v>
      </c>
      <c r="E45" s="94">
        <v>12</v>
      </c>
      <c r="F45" s="93">
        <v>200008</v>
      </c>
      <c r="G45" s="76" t="str">
        <f>IFERROR(INDEX([1]物品基础表!$A:$A,MATCH(F45,[1]物品基础表!$B:$B,0)),"")</f>
        <v>传奇碎片</v>
      </c>
      <c r="H45" s="93">
        <v>5</v>
      </c>
      <c r="I45" s="93">
        <v>5000</v>
      </c>
      <c r="J45" s="99">
        <f t="shared" si="0"/>
        <v>1000</v>
      </c>
      <c r="K45" s="93"/>
      <c r="L45" s="93" t="s">
        <v>1375</v>
      </c>
      <c r="M45" s="93"/>
      <c r="N45" s="92" t="s">
        <v>919</v>
      </c>
      <c r="O45" s="92"/>
      <c r="P45" s="92"/>
    </row>
    <row r="46" spans="1:16">
      <c r="A46" s="39" t="str">
        <f>INDEX([2]活动总表!$A$8:$A$429,MATCH(B46,[2]活动总表!$B$8:$B$429,0))</f>
        <v>节日商店</v>
      </c>
      <c r="B46" s="93">
        <v>325</v>
      </c>
      <c r="C46" s="94">
        <v>44</v>
      </c>
      <c r="D46" s="94">
        <v>0</v>
      </c>
      <c r="E46" s="94">
        <v>12</v>
      </c>
      <c r="F46" s="93">
        <v>200008</v>
      </c>
      <c r="G46" s="76" t="str">
        <f>IFERROR(INDEX([1]物品基础表!$A:$A,MATCH(F46,[1]物品基础表!$B:$B,0)),"")</f>
        <v>传奇碎片</v>
      </c>
      <c r="H46" s="93">
        <v>5</v>
      </c>
      <c r="I46" s="93">
        <v>4000</v>
      </c>
      <c r="J46" s="99">
        <f t="shared" si="0"/>
        <v>800</v>
      </c>
      <c r="K46" s="93"/>
      <c r="L46" s="93" t="s">
        <v>1367</v>
      </c>
      <c r="M46" s="93"/>
      <c r="N46" s="92">
        <v>8</v>
      </c>
      <c r="O46" s="92"/>
      <c r="P46" s="92"/>
    </row>
    <row r="47" spans="1:16">
      <c r="A47" s="39" t="str">
        <f>INDEX([2]活动总表!$A$8:$A$429,MATCH(B47,[2]活动总表!$B$8:$B$429,0))</f>
        <v>节日商店</v>
      </c>
      <c r="B47" s="93">
        <v>325</v>
      </c>
      <c r="C47" s="94">
        <v>45</v>
      </c>
      <c r="D47" s="94">
        <v>0</v>
      </c>
      <c r="E47" s="94">
        <v>12</v>
      </c>
      <c r="F47" s="93">
        <v>200008</v>
      </c>
      <c r="G47" s="76" t="str">
        <f>IFERROR(INDEX([1]物品基础表!$A:$A,MATCH(F47,[1]物品基础表!$B:$B,0)),"")</f>
        <v>传奇碎片</v>
      </c>
      <c r="H47" s="93">
        <v>5</v>
      </c>
      <c r="I47" s="93">
        <v>2500</v>
      </c>
      <c r="J47" s="99">
        <f t="shared" si="0"/>
        <v>500</v>
      </c>
      <c r="K47" s="93"/>
      <c r="L47" s="93" t="s">
        <v>1377</v>
      </c>
      <c r="M47" s="93"/>
      <c r="N47" s="92">
        <v>5</v>
      </c>
      <c r="O47" s="92"/>
      <c r="P47" s="92"/>
    </row>
    <row r="48" spans="1:16">
      <c r="A48" s="39" t="str">
        <f>INDEX([2]活动总表!$A$8:$A$429,MATCH(B48,[2]活动总表!$B$8:$B$429,0))</f>
        <v>节日商店</v>
      </c>
      <c r="B48" s="93">
        <v>325</v>
      </c>
      <c r="C48" s="94">
        <v>46</v>
      </c>
      <c r="D48" s="94">
        <v>0</v>
      </c>
      <c r="E48" s="94">
        <v>12</v>
      </c>
      <c r="F48" s="93">
        <v>200008</v>
      </c>
      <c r="G48" s="76" t="str">
        <f>IFERROR(INDEX([1]物品基础表!$A:$A,MATCH(F48,[1]物品基础表!$B:$B,0)),"")</f>
        <v>传奇碎片</v>
      </c>
      <c r="H48" s="93">
        <v>5</v>
      </c>
      <c r="I48" s="93">
        <v>1500</v>
      </c>
      <c r="J48" s="99">
        <f t="shared" si="0"/>
        <v>300</v>
      </c>
      <c r="K48" s="93"/>
      <c r="L48" s="93" t="s">
        <v>1378</v>
      </c>
      <c r="M48" s="93"/>
      <c r="N48" s="92">
        <v>3</v>
      </c>
      <c r="O48" s="92"/>
      <c r="P48" s="92"/>
    </row>
    <row r="49" spans="1:16">
      <c r="A49" s="39" t="str">
        <f>INDEX([2]活动总表!$A$8:$A$429,MATCH(B49,[2]活动总表!$B$8:$B$429,0))</f>
        <v>节日商店</v>
      </c>
      <c r="B49" s="93">
        <v>325</v>
      </c>
      <c r="C49" s="94">
        <v>47</v>
      </c>
      <c r="D49" s="94">
        <v>0</v>
      </c>
      <c r="E49" s="94">
        <v>12</v>
      </c>
      <c r="F49" s="93">
        <v>200008</v>
      </c>
      <c r="G49" s="76" t="str">
        <f>IFERROR(INDEX([1]物品基础表!$A:$A,MATCH(F49,[1]物品基础表!$B:$B,0)),"")</f>
        <v>传奇碎片</v>
      </c>
      <c r="H49" s="93">
        <v>20</v>
      </c>
      <c r="I49" s="93">
        <v>16000</v>
      </c>
      <c r="J49" s="99">
        <f t="shared" si="0"/>
        <v>800</v>
      </c>
      <c r="K49" s="93"/>
      <c r="L49" s="93" t="s">
        <v>1367</v>
      </c>
      <c r="M49" s="93"/>
      <c r="N49" s="92">
        <v>8</v>
      </c>
      <c r="O49" s="92"/>
      <c r="P49" s="92"/>
    </row>
    <row r="50" spans="1:16">
      <c r="A50" s="39" t="str">
        <f>INDEX([2]活动总表!$A$8:$A$429,MATCH(B50,[2]活动总表!$B$8:$B$429,0))</f>
        <v>节日商店</v>
      </c>
      <c r="B50" s="93">
        <v>325</v>
      </c>
      <c r="C50" s="94">
        <v>48</v>
      </c>
      <c r="D50" s="94">
        <v>0</v>
      </c>
      <c r="E50" s="94">
        <v>12</v>
      </c>
      <c r="F50" s="93">
        <v>200008</v>
      </c>
      <c r="G50" s="76" t="str">
        <f>IFERROR(INDEX([1]物品基础表!$A:$A,MATCH(F50,[1]物品基础表!$B:$B,0)),"")</f>
        <v>传奇碎片</v>
      </c>
      <c r="H50" s="93">
        <v>20</v>
      </c>
      <c r="I50" s="93">
        <v>10000</v>
      </c>
      <c r="J50" s="99">
        <f t="shared" si="0"/>
        <v>500</v>
      </c>
      <c r="K50" s="93"/>
      <c r="L50" s="93" t="s">
        <v>1377</v>
      </c>
      <c r="M50" s="93"/>
      <c r="N50" s="92">
        <v>5</v>
      </c>
      <c r="O50" s="92"/>
      <c r="P50" s="92"/>
    </row>
    <row r="51" spans="1:16">
      <c r="A51" s="39" t="str">
        <f>INDEX([2]活动总表!$A$8:$A$429,MATCH(B51,[2]活动总表!$B$8:$B$429,0))</f>
        <v>节日商店</v>
      </c>
      <c r="B51" s="93">
        <v>325</v>
      </c>
      <c r="C51" s="94">
        <v>49</v>
      </c>
      <c r="D51" s="94">
        <v>0</v>
      </c>
      <c r="E51" s="94">
        <v>12</v>
      </c>
      <c r="F51" s="93">
        <v>200008</v>
      </c>
      <c r="G51" s="76" t="str">
        <f>IFERROR(INDEX([1]物品基础表!$A:$A,MATCH(F51,[1]物品基础表!$B:$B,0)),"")</f>
        <v>传奇碎片</v>
      </c>
      <c r="H51" s="93">
        <v>20</v>
      </c>
      <c r="I51" s="93">
        <v>6000</v>
      </c>
      <c r="J51" s="99">
        <f t="shared" si="0"/>
        <v>300</v>
      </c>
      <c r="K51" s="93"/>
      <c r="L51" s="93" t="s">
        <v>1378</v>
      </c>
      <c r="M51" s="93"/>
      <c r="N51" s="92">
        <v>3</v>
      </c>
      <c r="O51" s="92"/>
      <c r="P51" s="92"/>
    </row>
    <row r="52" spans="1:16">
      <c r="A52" s="39" t="str">
        <f>INDEX([2]活动总表!$A$8:$A$429,MATCH(B52,[2]活动总表!$B$8:$B$429,0))</f>
        <v>节日商店</v>
      </c>
      <c r="B52" s="93">
        <v>325</v>
      </c>
      <c r="C52" s="94">
        <v>50</v>
      </c>
      <c r="D52" s="94">
        <v>0</v>
      </c>
      <c r="E52" s="94">
        <v>12</v>
      </c>
      <c r="F52" s="93">
        <v>200301</v>
      </c>
      <c r="G52" s="76" t="str">
        <f>IFERROR(INDEX([1]物品基础表!$A:$A,MATCH(F52,[1]物品基础表!$B:$B,0)),"")</f>
        <v>传世宝钻</v>
      </c>
      <c r="H52" s="93">
        <v>50</v>
      </c>
      <c r="I52" s="93">
        <v>5000</v>
      </c>
      <c r="J52" s="99">
        <f t="shared" si="0"/>
        <v>100</v>
      </c>
      <c r="K52" s="93"/>
      <c r="L52" s="93" t="s">
        <v>1379</v>
      </c>
      <c r="M52" s="93"/>
      <c r="N52" s="92" t="s">
        <v>919</v>
      </c>
      <c r="O52" s="92"/>
      <c r="P52" s="92"/>
    </row>
    <row r="53" spans="1:16">
      <c r="A53" s="39" t="str">
        <f>INDEX([2]活动总表!$A$8:$A$429,MATCH(B53,[2]活动总表!$B$8:$B$429,0))</f>
        <v>节日商店</v>
      </c>
      <c r="B53" s="93">
        <v>325</v>
      </c>
      <c r="C53" s="94">
        <v>51</v>
      </c>
      <c r="D53" s="94">
        <v>0</v>
      </c>
      <c r="E53" s="94">
        <v>12</v>
      </c>
      <c r="F53" s="93">
        <v>200301</v>
      </c>
      <c r="G53" s="76" t="str">
        <f>IFERROR(INDEX([1]物品基础表!$A:$A,MATCH(F53,[1]物品基础表!$B:$B,0)),"")</f>
        <v>传世宝钻</v>
      </c>
      <c r="H53" s="93">
        <v>50</v>
      </c>
      <c r="I53" s="93">
        <v>4000</v>
      </c>
      <c r="J53" s="99">
        <f t="shared" si="0"/>
        <v>80</v>
      </c>
      <c r="K53" s="93"/>
      <c r="L53" s="93" t="s">
        <v>1380</v>
      </c>
      <c r="M53" s="93"/>
      <c r="N53" s="92">
        <v>8</v>
      </c>
      <c r="O53" s="92"/>
      <c r="P53" s="92"/>
    </row>
    <row r="54" spans="1:16">
      <c r="A54" s="39" t="str">
        <f>INDEX([2]活动总表!$A$8:$A$429,MATCH(B54,[2]活动总表!$B$8:$B$429,0))</f>
        <v>节日商店</v>
      </c>
      <c r="B54" s="93">
        <v>325</v>
      </c>
      <c r="C54" s="94">
        <v>52</v>
      </c>
      <c r="D54" s="94">
        <v>0</v>
      </c>
      <c r="E54" s="94">
        <v>12</v>
      </c>
      <c r="F54" s="93">
        <v>200301</v>
      </c>
      <c r="G54" s="76" t="str">
        <f>IFERROR(INDEX([1]物品基础表!$A:$A,MATCH(F54,[1]物品基础表!$B:$B,0)),"")</f>
        <v>传世宝钻</v>
      </c>
      <c r="H54" s="93">
        <v>50</v>
      </c>
      <c r="I54" s="93">
        <v>2500</v>
      </c>
      <c r="J54" s="99">
        <f t="shared" si="0"/>
        <v>50</v>
      </c>
      <c r="K54" s="93"/>
      <c r="L54" s="93" t="s">
        <v>1381</v>
      </c>
      <c r="M54" s="93"/>
      <c r="N54" s="92">
        <v>5</v>
      </c>
      <c r="O54" s="92"/>
      <c r="P54" s="92"/>
    </row>
    <row r="55" spans="1:16">
      <c r="A55" s="39" t="str">
        <f>INDEX([2]活动总表!$A$8:$A$429,MATCH(B55,[2]活动总表!$B$8:$B$429,0))</f>
        <v>节日商店</v>
      </c>
      <c r="B55" s="93">
        <v>325</v>
      </c>
      <c r="C55" s="94">
        <v>53</v>
      </c>
      <c r="D55" s="94">
        <v>0</v>
      </c>
      <c r="E55" s="94">
        <v>12</v>
      </c>
      <c r="F55" s="93">
        <v>200301</v>
      </c>
      <c r="G55" s="76" t="str">
        <f>IFERROR(INDEX([1]物品基础表!$A:$A,MATCH(F55,[1]物品基础表!$B:$B,0)),"")</f>
        <v>传世宝钻</v>
      </c>
      <c r="H55" s="93">
        <v>50</v>
      </c>
      <c r="I55" s="93">
        <v>1500</v>
      </c>
      <c r="J55" s="99">
        <f t="shared" si="0"/>
        <v>30</v>
      </c>
      <c r="K55" s="93"/>
      <c r="L55" s="93" t="s">
        <v>1382</v>
      </c>
      <c r="M55" s="93"/>
      <c r="N55" s="92">
        <v>3</v>
      </c>
      <c r="O55" s="92"/>
      <c r="P55" s="92"/>
    </row>
    <row r="56" spans="1:16">
      <c r="A56" s="39" t="str">
        <f>INDEX([2]活动总表!$A$8:$A$429,MATCH(B56,[2]活动总表!$B$8:$B$429,0))</f>
        <v>节日商店</v>
      </c>
      <c r="B56" s="93">
        <v>325</v>
      </c>
      <c r="C56" s="94">
        <v>54</v>
      </c>
      <c r="D56" s="94">
        <v>0</v>
      </c>
      <c r="E56" s="94">
        <v>12</v>
      </c>
      <c r="F56" s="93">
        <v>200301</v>
      </c>
      <c r="G56" s="76" t="str">
        <f>IFERROR(INDEX([1]物品基础表!$A:$A,MATCH(F56,[1]物品基础表!$B:$B,0)),"")</f>
        <v>传世宝钻</v>
      </c>
      <c r="H56" s="93">
        <v>200</v>
      </c>
      <c r="I56" s="93">
        <v>16000</v>
      </c>
      <c r="J56" s="99">
        <f t="shared" si="0"/>
        <v>80</v>
      </c>
      <c r="K56" s="93"/>
      <c r="L56" s="93" t="s">
        <v>1380</v>
      </c>
      <c r="M56" s="93"/>
      <c r="N56" s="92">
        <v>8</v>
      </c>
      <c r="O56" s="92"/>
      <c r="P56" s="92"/>
    </row>
    <row r="57" spans="1:16">
      <c r="A57" s="39" t="str">
        <f>INDEX([2]活动总表!$A$8:$A$429,MATCH(B57,[2]活动总表!$B$8:$B$429,0))</f>
        <v>节日商店</v>
      </c>
      <c r="B57" s="93">
        <v>325</v>
      </c>
      <c r="C57" s="94">
        <v>55</v>
      </c>
      <c r="D57" s="94">
        <v>0</v>
      </c>
      <c r="E57" s="94">
        <v>12</v>
      </c>
      <c r="F57" s="93">
        <v>200301</v>
      </c>
      <c r="G57" s="76" t="str">
        <f>IFERROR(INDEX([1]物品基础表!$A:$A,MATCH(F57,[1]物品基础表!$B:$B,0)),"")</f>
        <v>传世宝钻</v>
      </c>
      <c r="H57" s="93">
        <v>200</v>
      </c>
      <c r="I57" s="93">
        <v>10000</v>
      </c>
      <c r="J57" s="99">
        <f t="shared" si="0"/>
        <v>50</v>
      </c>
      <c r="K57" s="93"/>
      <c r="L57" s="93" t="s">
        <v>1381</v>
      </c>
      <c r="M57" s="93"/>
      <c r="N57" s="92">
        <v>5</v>
      </c>
      <c r="O57" s="92"/>
      <c r="P57" s="92"/>
    </row>
    <row r="58" spans="1:16">
      <c r="A58" s="39" t="str">
        <f>INDEX([2]活动总表!$A$8:$A$429,MATCH(B58,[2]活动总表!$B$8:$B$429,0))</f>
        <v>节日商店</v>
      </c>
      <c r="B58" s="93">
        <v>325</v>
      </c>
      <c r="C58" s="94">
        <v>56</v>
      </c>
      <c r="D58" s="94">
        <v>0</v>
      </c>
      <c r="E58" s="94">
        <v>12</v>
      </c>
      <c r="F58" s="93">
        <v>200301</v>
      </c>
      <c r="G58" s="76" t="str">
        <f>IFERROR(INDEX([1]物品基础表!$A:$A,MATCH(F58,[1]物品基础表!$B:$B,0)),"")</f>
        <v>传世宝钻</v>
      </c>
      <c r="H58" s="93">
        <v>200</v>
      </c>
      <c r="I58" s="93">
        <v>6000</v>
      </c>
      <c r="J58" s="99">
        <f t="shared" si="0"/>
        <v>30</v>
      </c>
      <c r="K58" s="93"/>
      <c r="L58" s="93" t="s">
        <v>1382</v>
      </c>
      <c r="M58" s="93"/>
      <c r="N58" s="92">
        <v>3</v>
      </c>
      <c r="O58" s="92"/>
      <c r="P58" s="92"/>
    </row>
    <row r="59" spans="1:16">
      <c r="A59" s="39" t="str">
        <f>INDEX([2]活动总表!$A$8:$A$429,MATCH(B59,[2]活动总表!$B$8:$B$429,0))</f>
        <v>节日商店</v>
      </c>
      <c r="B59" s="93">
        <v>325</v>
      </c>
      <c r="C59" s="94">
        <v>57</v>
      </c>
      <c r="D59" s="94">
        <v>0</v>
      </c>
      <c r="E59" s="94">
        <v>12</v>
      </c>
      <c r="F59" s="93">
        <v>200003</v>
      </c>
      <c r="G59" s="76" t="str">
        <f>IFERROR(INDEX([1]物品基础表!$A:$A,MATCH(F59,[1]物品基础表!$B:$B,0)),"")</f>
        <v>铸造晶石</v>
      </c>
      <c r="H59" s="93">
        <v>60</v>
      </c>
      <c r="I59" s="93">
        <v>3000</v>
      </c>
      <c r="J59" s="99">
        <f t="shared" si="0"/>
        <v>50</v>
      </c>
      <c r="K59" s="93"/>
      <c r="L59" s="93" t="s">
        <v>1379</v>
      </c>
      <c r="M59" s="93"/>
      <c r="N59" s="92" t="s">
        <v>919</v>
      </c>
      <c r="O59" s="92"/>
      <c r="P59" s="92"/>
    </row>
    <row r="60" spans="1:16">
      <c r="A60" s="39" t="str">
        <f>INDEX([2]活动总表!$A$8:$A$429,MATCH(B60,[2]活动总表!$B$8:$B$429,0))</f>
        <v>节日商店</v>
      </c>
      <c r="B60" s="93">
        <v>325</v>
      </c>
      <c r="C60" s="94">
        <v>58</v>
      </c>
      <c r="D60" s="94">
        <v>0</v>
      </c>
      <c r="E60" s="94">
        <v>12</v>
      </c>
      <c r="F60" s="93">
        <v>200003</v>
      </c>
      <c r="G60" s="76" t="str">
        <f>IFERROR(INDEX([1]物品基础表!$A:$A,MATCH(F60,[1]物品基础表!$B:$B,0)),"")</f>
        <v>铸造晶石</v>
      </c>
      <c r="H60" s="93">
        <v>60</v>
      </c>
      <c r="I60" s="93">
        <v>2400</v>
      </c>
      <c r="J60" s="99">
        <f t="shared" si="0"/>
        <v>40</v>
      </c>
      <c r="K60" s="93"/>
      <c r="L60" s="93" t="s">
        <v>1380</v>
      </c>
      <c r="M60" s="93"/>
      <c r="N60" s="92">
        <v>8</v>
      </c>
      <c r="O60" s="92"/>
      <c r="P60" s="92"/>
    </row>
    <row r="61" spans="1:16">
      <c r="A61" s="39" t="str">
        <f>INDEX([2]活动总表!$A$8:$A$429,MATCH(B61,[2]活动总表!$B$8:$B$429,0))</f>
        <v>节日商店</v>
      </c>
      <c r="B61" s="93">
        <v>325</v>
      </c>
      <c r="C61" s="94">
        <v>59</v>
      </c>
      <c r="D61" s="94">
        <v>0</v>
      </c>
      <c r="E61" s="94">
        <v>12</v>
      </c>
      <c r="F61" s="93">
        <v>200003</v>
      </c>
      <c r="G61" s="76" t="str">
        <f>IFERROR(INDEX([1]物品基础表!$A:$A,MATCH(F61,[1]物品基础表!$B:$B,0)),"")</f>
        <v>铸造晶石</v>
      </c>
      <c r="H61" s="93">
        <v>60</v>
      </c>
      <c r="I61" s="93">
        <v>1500</v>
      </c>
      <c r="J61" s="99">
        <f t="shared" si="0"/>
        <v>25</v>
      </c>
      <c r="K61" s="93"/>
      <c r="L61" s="93" t="s">
        <v>1383</v>
      </c>
      <c r="M61" s="93"/>
      <c r="N61" s="92">
        <v>5</v>
      </c>
      <c r="O61" s="92"/>
      <c r="P61" s="92"/>
    </row>
    <row r="62" spans="1:16">
      <c r="A62" s="39" t="str">
        <f>INDEX([2]活动总表!$A$8:$A$429,MATCH(B62,[2]活动总表!$B$8:$B$429,0))</f>
        <v>节日商店</v>
      </c>
      <c r="B62" s="93">
        <v>325</v>
      </c>
      <c r="C62" s="94">
        <v>60</v>
      </c>
      <c r="D62" s="94">
        <v>0</v>
      </c>
      <c r="E62" s="94">
        <v>12</v>
      </c>
      <c r="F62" s="93">
        <v>200003</v>
      </c>
      <c r="G62" s="76" t="str">
        <f>IFERROR(INDEX([1]物品基础表!$A:$A,MATCH(F62,[1]物品基础表!$B:$B,0)),"")</f>
        <v>铸造晶石</v>
      </c>
      <c r="H62" s="93">
        <v>60</v>
      </c>
      <c r="I62" s="93">
        <v>900</v>
      </c>
      <c r="J62" s="99">
        <f t="shared" si="0"/>
        <v>15</v>
      </c>
      <c r="K62" s="93"/>
      <c r="L62" s="93" t="s">
        <v>1384</v>
      </c>
      <c r="M62" s="93"/>
      <c r="N62" s="92">
        <v>3</v>
      </c>
      <c r="O62" s="92"/>
      <c r="P62" s="92"/>
    </row>
    <row r="63" spans="1:16">
      <c r="A63" s="39" t="str">
        <f>INDEX([2]活动总表!$A$8:$A$429,MATCH(B63,[2]活动总表!$B$8:$B$429,0))</f>
        <v>节日商店</v>
      </c>
      <c r="B63" s="93">
        <v>325</v>
      </c>
      <c r="C63" s="94">
        <v>61</v>
      </c>
      <c r="D63" s="94">
        <v>0</v>
      </c>
      <c r="E63" s="94">
        <v>12</v>
      </c>
      <c r="F63" s="93">
        <v>200003</v>
      </c>
      <c r="G63" s="76" t="str">
        <f>IFERROR(INDEX([1]物品基础表!$A:$A,MATCH(F63,[1]物品基础表!$B:$B,0)),"")</f>
        <v>铸造晶石</v>
      </c>
      <c r="H63" s="93">
        <v>200</v>
      </c>
      <c r="I63" s="93">
        <v>8000</v>
      </c>
      <c r="J63" s="99">
        <f t="shared" si="0"/>
        <v>40</v>
      </c>
      <c r="K63" s="93"/>
      <c r="L63" s="93" t="s">
        <v>1380</v>
      </c>
      <c r="M63" s="93"/>
      <c r="N63" s="92">
        <v>8</v>
      </c>
      <c r="O63" s="92"/>
      <c r="P63" s="92"/>
    </row>
    <row r="64" spans="1:16">
      <c r="A64" s="39" t="str">
        <f>INDEX([2]活动总表!$A$8:$A$429,MATCH(B64,[2]活动总表!$B$8:$B$429,0))</f>
        <v>节日商店</v>
      </c>
      <c r="B64" s="93">
        <v>325</v>
      </c>
      <c r="C64" s="94">
        <v>62</v>
      </c>
      <c r="D64" s="94">
        <v>0</v>
      </c>
      <c r="E64" s="94">
        <v>12</v>
      </c>
      <c r="F64" s="93">
        <v>200003</v>
      </c>
      <c r="G64" s="76" t="str">
        <f>IFERROR(INDEX([1]物品基础表!$A:$A,MATCH(F64,[1]物品基础表!$B:$B,0)),"")</f>
        <v>铸造晶石</v>
      </c>
      <c r="H64" s="93">
        <v>200</v>
      </c>
      <c r="I64" s="93">
        <v>5000</v>
      </c>
      <c r="J64" s="99">
        <f t="shared" si="0"/>
        <v>25</v>
      </c>
      <c r="K64" s="93"/>
      <c r="L64" s="93" t="s">
        <v>1383</v>
      </c>
      <c r="M64" s="93"/>
      <c r="N64" s="92">
        <v>5</v>
      </c>
      <c r="O64" s="92"/>
      <c r="P64" s="92"/>
    </row>
    <row r="65" spans="1:16">
      <c r="A65" s="39" t="str">
        <f>INDEX([2]活动总表!$A$8:$A$429,MATCH(B65,[2]活动总表!$B$8:$B$429,0))</f>
        <v>节日商店</v>
      </c>
      <c r="B65" s="93">
        <v>325</v>
      </c>
      <c r="C65" s="94">
        <v>63</v>
      </c>
      <c r="D65" s="94">
        <v>0</v>
      </c>
      <c r="E65" s="94">
        <v>12</v>
      </c>
      <c r="F65" s="93">
        <v>200003</v>
      </c>
      <c r="G65" s="76" t="str">
        <f>IFERROR(INDEX([1]物品基础表!$A:$A,MATCH(F65,[1]物品基础表!$B:$B,0)),"")</f>
        <v>铸造晶石</v>
      </c>
      <c r="H65" s="93">
        <v>200</v>
      </c>
      <c r="I65" s="93">
        <v>3000</v>
      </c>
      <c r="J65" s="99">
        <f t="shared" si="0"/>
        <v>15</v>
      </c>
      <c r="K65" s="93"/>
      <c r="L65" s="93" t="s">
        <v>1384</v>
      </c>
      <c r="M65" s="93"/>
      <c r="N65" s="92">
        <v>3</v>
      </c>
      <c r="O65" s="92"/>
      <c r="P65" s="92"/>
    </row>
    <row r="66" spans="1:16">
      <c r="A66" s="39" t="str">
        <f>INDEX([2]活动总表!$A$8:$A$429,MATCH(B66,[2]活动总表!$B$8:$B$429,0))</f>
        <v>节日商店</v>
      </c>
      <c r="B66" s="93">
        <v>325</v>
      </c>
      <c r="C66" s="94">
        <v>64</v>
      </c>
      <c r="D66" s="94">
        <v>0</v>
      </c>
      <c r="E66" s="94">
        <v>12</v>
      </c>
      <c r="F66" s="93">
        <v>270002</v>
      </c>
      <c r="G66" s="76" t="str">
        <f>IFERROR(INDEX([1]物品基础表!$A:$A,MATCH(F66,[1]物品基础表!$B:$B,0)),"")</f>
        <v>中级经验卡</v>
      </c>
      <c r="H66" s="93">
        <v>3</v>
      </c>
      <c r="I66" s="93">
        <v>2400</v>
      </c>
      <c r="J66" s="99">
        <f t="shared" si="0"/>
        <v>800</v>
      </c>
      <c r="K66" s="93"/>
      <c r="L66" s="93" t="s">
        <v>1367</v>
      </c>
      <c r="M66" s="93"/>
      <c r="N66" s="92" t="s">
        <v>919</v>
      </c>
      <c r="O66" s="92"/>
      <c r="P66" s="92"/>
    </row>
    <row r="67" spans="1:16">
      <c r="A67" s="39" t="str">
        <f>INDEX([2]活动总表!$A$8:$A$429,MATCH(B67,[2]活动总表!$B$8:$B$429,0))</f>
        <v>节日商店</v>
      </c>
      <c r="B67" s="93">
        <v>325</v>
      </c>
      <c r="C67" s="94">
        <v>65</v>
      </c>
      <c r="D67" s="94">
        <v>0</v>
      </c>
      <c r="E67" s="94">
        <v>12</v>
      </c>
      <c r="F67" s="93">
        <v>270002</v>
      </c>
      <c r="G67" s="76" t="str">
        <f>IFERROR(INDEX([1]物品基础表!$A:$A,MATCH(F67,[1]物品基础表!$B:$B,0)),"")</f>
        <v>中级经验卡</v>
      </c>
      <c r="H67" s="93">
        <v>3</v>
      </c>
      <c r="I67" s="93">
        <v>1900</v>
      </c>
      <c r="J67" s="99">
        <f t="shared" si="0"/>
        <v>633.33333333333337</v>
      </c>
      <c r="K67" s="93"/>
      <c r="L67" s="93" t="s">
        <v>1385</v>
      </c>
      <c r="M67" s="93"/>
      <c r="N67" s="92">
        <v>8</v>
      </c>
      <c r="O67" s="92"/>
      <c r="P67" s="92"/>
    </row>
    <row r="68" spans="1:16">
      <c r="A68" s="39" t="str">
        <f>INDEX([2]活动总表!$A$8:$A$429,MATCH(B68,[2]活动总表!$B$8:$B$429,0))</f>
        <v>节日商店</v>
      </c>
      <c r="B68" s="93">
        <v>325</v>
      </c>
      <c r="C68" s="94">
        <v>66</v>
      </c>
      <c r="D68" s="94">
        <v>0</v>
      </c>
      <c r="E68" s="94">
        <v>12</v>
      </c>
      <c r="F68" s="93">
        <v>270002</v>
      </c>
      <c r="G68" s="76" t="str">
        <f>IFERROR(INDEX([1]物品基础表!$A:$A,MATCH(F68,[1]物品基础表!$B:$B,0)),"")</f>
        <v>中级经验卡</v>
      </c>
      <c r="H68" s="93">
        <v>3</v>
      </c>
      <c r="I68" s="93">
        <v>1200</v>
      </c>
      <c r="J68" s="99">
        <f t="shared" ref="J68:J131" si="1">I68/H68</f>
        <v>400</v>
      </c>
      <c r="K68" s="93"/>
      <c r="L68" s="93" t="s">
        <v>1386</v>
      </c>
      <c r="M68" s="93"/>
      <c r="N68" s="92">
        <v>5</v>
      </c>
      <c r="O68" s="92"/>
      <c r="P68" s="92"/>
    </row>
    <row r="69" spans="1:16">
      <c r="A69" s="39" t="str">
        <f>INDEX([2]活动总表!$A$8:$A$429,MATCH(B69,[2]活动总表!$B$8:$B$429,0))</f>
        <v>节日商店</v>
      </c>
      <c r="B69" s="93">
        <v>325</v>
      </c>
      <c r="C69" s="94">
        <v>67</v>
      </c>
      <c r="D69" s="94">
        <v>0</v>
      </c>
      <c r="E69" s="94">
        <v>12</v>
      </c>
      <c r="F69" s="93">
        <v>270002</v>
      </c>
      <c r="G69" s="76" t="str">
        <f>IFERROR(INDEX([1]物品基础表!$A:$A,MATCH(F69,[1]物品基础表!$B:$B,0)),"")</f>
        <v>中级经验卡</v>
      </c>
      <c r="H69" s="93">
        <v>10</v>
      </c>
      <c r="I69" s="93">
        <v>8000</v>
      </c>
      <c r="J69" s="99">
        <f t="shared" si="1"/>
        <v>800</v>
      </c>
      <c r="K69" s="93"/>
      <c r="L69" s="93" t="s">
        <v>1367</v>
      </c>
      <c r="M69" s="93"/>
      <c r="N69" s="92" t="s">
        <v>919</v>
      </c>
      <c r="O69" s="92"/>
      <c r="P69" s="92"/>
    </row>
    <row r="70" spans="1:16">
      <c r="A70" s="39" t="str">
        <f>INDEX([2]活动总表!$A$8:$A$429,MATCH(B70,[2]活动总表!$B$8:$B$429,0))</f>
        <v>节日商店</v>
      </c>
      <c r="B70" s="93">
        <v>325</v>
      </c>
      <c r="C70" s="94">
        <v>68</v>
      </c>
      <c r="D70" s="94">
        <v>0</v>
      </c>
      <c r="E70" s="94">
        <v>12</v>
      </c>
      <c r="F70" s="93">
        <v>270002</v>
      </c>
      <c r="G70" s="76" t="str">
        <f>IFERROR(INDEX([1]物品基础表!$A:$A,MATCH(F70,[1]物品基础表!$B:$B,0)),"")</f>
        <v>中级经验卡</v>
      </c>
      <c r="H70" s="93">
        <v>10</v>
      </c>
      <c r="I70" s="93">
        <v>6400</v>
      </c>
      <c r="J70" s="99">
        <f t="shared" si="1"/>
        <v>640</v>
      </c>
      <c r="K70" s="93"/>
      <c r="L70" s="93" t="s">
        <v>1385</v>
      </c>
      <c r="M70" s="93"/>
      <c r="N70" s="92">
        <v>8</v>
      </c>
      <c r="O70" s="92"/>
      <c r="P70" s="92"/>
    </row>
    <row r="71" spans="1:16">
      <c r="A71" s="39" t="str">
        <f>INDEX([2]活动总表!$A$8:$A$429,MATCH(B71,[2]活动总表!$B$8:$B$429,0))</f>
        <v>节日商店</v>
      </c>
      <c r="B71" s="93">
        <v>325</v>
      </c>
      <c r="C71" s="94">
        <v>69</v>
      </c>
      <c r="D71" s="94">
        <v>0</v>
      </c>
      <c r="E71" s="94">
        <v>12</v>
      </c>
      <c r="F71" s="93">
        <v>270002</v>
      </c>
      <c r="G71" s="76" t="str">
        <f>IFERROR(INDEX([1]物品基础表!$A:$A,MATCH(F71,[1]物品基础表!$B:$B,0)),"")</f>
        <v>中级经验卡</v>
      </c>
      <c r="H71" s="93">
        <v>10</v>
      </c>
      <c r="I71" s="93">
        <v>4000</v>
      </c>
      <c r="J71" s="99">
        <f t="shared" si="1"/>
        <v>400</v>
      </c>
      <c r="K71" s="93"/>
      <c r="L71" s="93" t="s">
        <v>1386</v>
      </c>
      <c r="M71" s="93"/>
      <c r="N71" s="92">
        <v>5</v>
      </c>
      <c r="O71" s="92"/>
      <c r="P71" s="92"/>
    </row>
    <row r="72" spans="1:16">
      <c r="A72" s="39" t="str">
        <f>INDEX([2]活动总表!$A$8:$A$429,MATCH(B72,[2]活动总表!$B$8:$B$429,0))</f>
        <v>节日商店</v>
      </c>
      <c r="B72" s="93">
        <v>325</v>
      </c>
      <c r="C72" s="94">
        <v>70</v>
      </c>
      <c r="D72" s="94">
        <v>0</v>
      </c>
      <c r="E72" s="94">
        <v>12</v>
      </c>
      <c r="F72" s="93">
        <v>200211</v>
      </c>
      <c r="G72" s="76" t="str">
        <f>IFERROR(INDEX([1]物品基础表!$A:$A,MATCH(F72,[1]物品基础表!$B:$B,0)),"")</f>
        <v>烈焰印记加持技能书</v>
      </c>
      <c r="H72" s="93">
        <v>1</v>
      </c>
      <c r="I72" s="93">
        <v>50000</v>
      </c>
      <c r="J72" s="99">
        <f t="shared" si="1"/>
        <v>50000</v>
      </c>
      <c r="K72" s="93"/>
      <c r="L72" s="93" t="s">
        <v>1387</v>
      </c>
      <c r="M72" s="93"/>
      <c r="N72" s="92">
        <v>5</v>
      </c>
      <c r="O72" s="92"/>
      <c r="P72" s="92"/>
    </row>
    <row r="73" spans="1:16">
      <c r="A73" s="39" t="str">
        <f>INDEX([2]活动总表!$A$8:$A$429,MATCH(B73,[2]活动总表!$B$8:$B$429,0))</f>
        <v>节日商店</v>
      </c>
      <c r="B73" s="93">
        <v>325</v>
      </c>
      <c r="C73" s="94">
        <v>71</v>
      </c>
      <c r="D73" s="94">
        <v>0</v>
      </c>
      <c r="E73" s="94">
        <v>12</v>
      </c>
      <c r="F73" s="93">
        <v>200211</v>
      </c>
      <c r="G73" s="76" t="str">
        <f>IFERROR(INDEX([1]物品基础表!$A:$A,MATCH(F73,[1]物品基础表!$B:$B,0)),"")</f>
        <v>烈焰印记加持技能书</v>
      </c>
      <c r="H73" s="93">
        <v>1</v>
      </c>
      <c r="I73" s="93">
        <v>30000</v>
      </c>
      <c r="J73" s="99">
        <f t="shared" si="1"/>
        <v>30000</v>
      </c>
      <c r="K73" s="93"/>
      <c r="L73" s="93" t="s">
        <v>1388</v>
      </c>
      <c r="M73" s="93"/>
      <c r="N73" s="92">
        <v>3</v>
      </c>
      <c r="O73" s="92"/>
      <c r="P73" s="92"/>
    </row>
    <row r="74" spans="1:16">
      <c r="A74" s="39" t="str">
        <f>INDEX([2]活动总表!$A$8:$A$429,MATCH(B74,[2]活动总表!$B$8:$B$429,0))</f>
        <v>节日商店</v>
      </c>
      <c r="B74" s="93">
        <v>325</v>
      </c>
      <c r="C74" s="94">
        <v>72</v>
      </c>
      <c r="D74" s="94">
        <v>0</v>
      </c>
      <c r="E74" s="94">
        <v>12</v>
      </c>
      <c r="F74" s="93">
        <v>202006</v>
      </c>
      <c r="G74" s="76" t="str">
        <f>IFERROR(INDEX([1]物品基础表!$A:$A,MATCH(F74,[1]物品基础表!$B:$B,0)),"")</f>
        <v>烈焰戒指技能6书</v>
      </c>
      <c r="H74" s="93">
        <v>1</v>
      </c>
      <c r="I74" s="93">
        <v>8000</v>
      </c>
      <c r="J74" s="99">
        <f t="shared" si="1"/>
        <v>8000</v>
      </c>
      <c r="K74" s="93"/>
      <c r="L74" s="93" t="s">
        <v>1381</v>
      </c>
      <c r="M74" s="93"/>
      <c r="N74" s="92">
        <v>5</v>
      </c>
      <c r="O74" s="92"/>
      <c r="P74" s="92"/>
    </row>
    <row r="75" spans="1:16">
      <c r="A75" s="39" t="str">
        <f>INDEX([2]活动总表!$A$8:$A$429,MATCH(B75,[2]活动总表!$B$8:$B$429,0))</f>
        <v>节日商店</v>
      </c>
      <c r="B75" s="93">
        <v>325</v>
      </c>
      <c r="C75" s="94">
        <v>73</v>
      </c>
      <c r="D75" s="94">
        <v>0</v>
      </c>
      <c r="E75" s="94">
        <v>12</v>
      </c>
      <c r="F75" s="93">
        <v>202006</v>
      </c>
      <c r="G75" s="76" t="str">
        <f>IFERROR(INDEX([1]物品基础表!$A:$A,MATCH(F75,[1]物品基础表!$B:$B,0)),"")</f>
        <v>烈焰戒指技能6书</v>
      </c>
      <c r="H75" s="93">
        <v>1</v>
      </c>
      <c r="I75" s="93">
        <v>4800</v>
      </c>
      <c r="J75" s="99">
        <f t="shared" si="1"/>
        <v>4800</v>
      </c>
      <c r="K75" s="93"/>
      <c r="L75" s="93" t="s">
        <v>1389</v>
      </c>
      <c r="M75" s="93"/>
      <c r="N75" s="92">
        <v>3</v>
      </c>
      <c r="O75" s="92"/>
      <c r="P75" s="92"/>
    </row>
    <row r="76" spans="1:16">
      <c r="A76" s="39" t="str">
        <f>INDEX([2]活动总表!$A$8:$A$429,MATCH(B76,[2]活动总表!$B$8:$B$429,0))</f>
        <v>节日商店</v>
      </c>
      <c r="B76" s="93">
        <v>325</v>
      </c>
      <c r="C76" s="94">
        <v>74</v>
      </c>
      <c r="D76" s="94">
        <v>0</v>
      </c>
      <c r="E76" s="94">
        <v>12</v>
      </c>
      <c r="F76" s="93">
        <v>202007</v>
      </c>
      <c r="G76" s="76" t="str">
        <f>IFERROR(INDEX([1]物品基础表!$A:$A,MATCH(F76,[1]物品基础表!$B:$B,0)),"")</f>
        <v>烈焰戒指技能7书</v>
      </c>
      <c r="H76" s="93">
        <v>1</v>
      </c>
      <c r="I76" s="93">
        <v>20000</v>
      </c>
      <c r="J76" s="99">
        <f t="shared" si="1"/>
        <v>20000</v>
      </c>
      <c r="K76" s="93"/>
      <c r="L76" s="93" t="s">
        <v>1381</v>
      </c>
      <c r="M76" s="93"/>
      <c r="N76" s="92">
        <v>5</v>
      </c>
      <c r="O76" s="92"/>
      <c r="P76" s="92"/>
    </row>
    <row r="77" spans="1:16">
      <c r="A77" s="39" t="str">
        <f>INDEX([2]活动总表!$A$8:$A$429,MATCH(B77,[2]活动总表!$B$8:$B$429,0))</f>
        <v>节日商店</v>
      </c>
      <c r="B77" s="93">
        <v>325</v>
      </c>
      <c r="C77" s="94">
        <v>75</v>
      </c>
      <c r="D77" s="94">
        <v>0</v>
      </c>
      <c r="E77" s="94">
        <v>12</v>
      </c>
      <c r="F77" s="93">
        <v>202007</v>
      </c>
      <c r="G77" s="76" t="str">
        <f>IFERROR(INDEX([1]物品基础表!$A:$A,MATCH(F77,[1]物品基础表!$B:$B,0)),"")</f>
        <v>烈焰戒指技能7书</v>
      </c>
      <c r="H77" s="93">
        <v>1</v>
      </c>
      <c r="I77" s="93">
        <v>12000</v>
      </c>
      <c r="J77" s="99">
        <f t="shared" si="1"/>
        <v>12000</v>
      </c>
      <c r="K77" s="93"/>
      <c r="L77" s="93" t="s">
        <v>1389</v>
      </c>
      <c r="M77" s="93"/>
      <c r="N77" s="92">
        <v>3</v>
      </c>
      <c r="O77" s="92"/>
      <c r="P77" s="92"/>
    </row>
    <row r="78" spans="1:16">
      <c r="A78" s="39" t="str">
        <f>INDEX([2]活动总表!$A$8:$A$429,MATCH(B78,[2]活动总表!$B$8:$B$429,0))</f>
        <v>节日商店</v>
      </c>
      <c r="B78" s="93">
        <v>325</v>
      </c>
      <c r="C78" s="94">
        <v>76</v>
      </c>
      <c r="D78" s="94">
        <v>0</v>
      </c>
      <c r="E78" s="94">
        <v>12</v>
      </c>
      <c r="F78" s="93">
        <v>202008</v>
      </c>
      <c r="G78" s="76" t="str">
        <f>IFERROR(INDEX([1]物品基础表!$A:$A,MATCH(F78,[1]物品基础表!$B:$B,0)),"")</f>
        <v>烈焰戒指技能8书</v>
      </c>
      <c r="H78" s="93">
        <v>1</v>
      </c>
      <c r="I78" s="93">
        <v>20000</v>
      </c>
      <c r="J78" s="99">
        <f t="shared" si="1"/>
        <v>20000</v>
      </c>
      <c r="K78" s="93"/>
      <c r="L78" s="93" t="s">
        <v>1381</v>
      </c>
      <c r="M78" s="93"/>
      <c r="N78" s="92">
        <v>5</v>
      </c>
      <c r="O78" s="92"/>
      <c r="P78" s="92"/>
    </row>
    <row r="79" spans="1:16">
      <c r="A79" s="39" t="str">
        <f>INDEX([2]活动总表!$A$8:$A$429,MATCH(B79,[2]活动总表!$B$8:$B$429,0))</f>
        <v>节日商店</v>
      </c>
      <c r="B79" s="93">
        <v>325</v>
      </c>
      <c r="C79" s="94">
        <v>77</v>
      </c>
      <c r="D79" s="94">
        <v>0</v>
      </c>
      <c r="E79" s="94">
        <v>12</v>
      </c>
      <c r="F79" s="93">
        <v>202008</v>
      </c>
      <c r="G79" s="76" t="str">
        <f>IFERROR(INDEX([1]物品基础表!$A:$A,MATCH(F79,[1]物品基础表!$B:$B,0)),"")</f>
        <v>烈焰戒指技能8书</v>
      </c>
      <c r="H79" s="93">
        <v>1</v>
      </c>
      <c r="I79" s="93">
        <v>12000</v>
      </c>
      <c r="J79" s="99">
        <f t="shared" si="1"/>
        <v>12000</v>
      </c>
      <c r="K79" s="93"/>
      <c r="L79" s="93" t="s">
        <v>1389</v>
      </c>
      <c r="M79" s="93"/>
      <c r="N79" s="92">
        <v>3</v>
      </c>
      <c r="O79" s="92"/>
      <c r="P79" s="92"/>
    </row>
    <row r="80" spans="1:16">
      <c r="A80" s="39" t="str">
        <f>INDEX([2]活动总表!$A$8:$A$429,MATCH(B80,[2]活动总表!$B$8:$B$429,0))</f>
        <v>节日商店</v>
      </c>
      <c r="B80" s="93">
        <v>325</v>
      </c>
      <c r="C80" s="94">
        <v>78</v>
      </c>
      <c r="D80" s="94">
        <v>0</v>
      </c>
      <c r="E80" s="94">
        <v>12</v>
      </c>
      <c r="F80" s="93">
        <v>200327</v>
      </c>
      <c r="G80" s="76" t="str">
        <f>IFERROR(INDEX([1]物品基础表!$A:$A,MATCH(F80,[1]物品基础表!$B:$B,0)),"")</f>
        <v>圣诞树</v>
      </c>
      <c r="H80" s="93">
        <v>1</v>
      </c>
      <c r="I80" s="93">
        <v>15100</v>
      </c>
      <c r="J80" s="99">
        <f t="shared" si="1"/>
        <v>15100</v>
      </c>
      <c r="K80" s="93"/>
      <c r="L80" s="93" t="s">
        <v>1387</v>
      </c>
      <c r="M80" s="93"/>
      <c r="N80" s="92">
        <v>3</v>
      </c>
      <c r="O80" s="92"/>
      <c r="P80" s="92"/>
    </row>
    <row r="81" spans="1:16">
      <c r="A81" s="39" t="str">
        <f>INDEX([2]活动总表!$A$8:$A$429,MATCH(B81,[2]活动总表!$B$8:$B$429,0))</f>
        <v>节日商店</v>
      </c>
      <c r="B81" s="93">
        <v>325</v>
      </c>
      <c r="C81" s="94">
        <v>79</v>
      </c>
      <c r="D81" s="94">
        <v>0</v>
      </c>
      <c r="E81" s="94">
        <v>12</v>
      </c>
      <c r="F81" s="93">
        <v>900003</v>
      </c>
      <c r="G81" s="76" t="str">
        <f>IFERROR(INDEX([1]物品基础表!$A:$A,MATCH(F81,[1]物品基础表!$B:$B,0)),"")</f>
        <v>圣诞老人</v>
      </c>
      <c r="H81" s="93">
        <v>1</v>
      </c>
      <c r="I81" s="93">
        <v>22500</v>
      </c>
      <c r="J81" s="99">
        <f t="shared" si="1"/>
        <v>22500</v>
      </c>
      <c r="K81" s="93"/>
      <c r="L81" s="93" t="s">
        <v>1387</v>
      </c>
      <c r="M81" s="93"/>
      <c r="N81" s="92">
        <v>3</v>
      </c>
      <c r="O81" s="92"/>
      <c r="P81" s="92"/>
    </row>
    <row r="82" spans="1:16">
      <c r="A82" s="39" t="str">
        <f>INDEX([2]活动总表!$A$8:$A$429,MATCH(B82,[2]活动总表!$B$8:$B$429,0))</f>
        <v>节日商店</v>
      </c>
      <c r="B82" s="93">
        <v>325</v>
      </c>
      <c r="C82" s="94">
        <v>80</v>
      </c>
      <c r="D82" s="94">
        <v>0</v>
      </c>
      <c r="E82" s="94">
        <v>12</v>
      </c>
      <c r="F82" s="93">
        <v>900006</v>
      </c>
      <c r="G82" s="76" t="str">
        <f>IFERROR(INDEX([1]物品基础表!$A:$A,MATCH(F82,[1]物品基础表!$B:$B,0)),"")</f>
        <v>新春盛装</v>
      </c>
      <c r="H82" s="93">
        <v>1</v>
      </c>
      <c r="I82" s="93">
        <v>22500</v>
      </c>
      <c r="J82" s="99">
        <f t="shared" si="1"/>
        <v>22500</v>
      </c>
      <c r="K82" s="93"/>
      <c r="L82" s="93" t="s">
        <v>1387</v>
      </c>
      <c r="M82" s="93"/>
      <c r="N82" s="92">
        <v>3</v>
      </c>
      <c r="O82" s="92"/>
      <c r="P82" s="92"/>
    </row>
    <row r="83" spans="1:16">
      <c r="A83" s="39" t="str">
        <f>INDEX([2]活动总表!$A$8:$A$429,MATCH(B83,[2]活动总表!$B$8:$B$429,0))</f>
        <v>节日商店</v>
      </c>
      <c r="B83" s="93">
        <v>325</v>
      </c>
      <c r="C83" s="94">
        <v>81</v>
      </c>
      <c r="D83" s="94">
        <v>0</v>
      </c>
      <c r="E83" s="94">
        <v>12</v>
      </c>
      <c r="F83" s="93">
        <v>200143</v>
      </c>
      <c r="G83" s="76" t="str">
        <f>IFERROR(INDEX([1]物品基础表!$A:$A,MATCH(F83,[1]物品基础表!$B:$B,0)),"")</f>
        <v>传世头盔</v>
      </c>
      <c r="H83" s="93">
        <v>1</v>
      </c>
      <c r="I83" s="93">
        <v>7500</v>
      </c>
      <c r="J83" s="99">
        <f t="shared" si="1"/>
        <v>7500</v>
      </c>
      <c r="K83" s="93"/>
      <c r="L83" s="93" t="s">
        <v>1390</v>
      </c>
      <c r="M83" s="93"/>
      <c r="N83" s="92">
        <v>3</v>
      </c>
      <c r="O83" s="92"/>
      <c r="P83" s="92"/>
    </row>
    <row r="84" spans="1:16">
      <c r="A84" s="39" t="str">
        <f>INDEX([2]活动总表!$A$8:$A$429,MATCH(B84,[2]活动总表!$B$8:$B$429,0))</f>
        <v>节日商店</v>
      </c>
      <c r="B84" s="93">
        <v>325</v>
      </c>
      <c r="C84" s="94">
        <v>82</v>
      </c>
      <c r="D84" s="94">
        <v>0</v>
      </c>
      <c r="E84" s="94">
        <v>12</v>
      </c>
      <c r="F84" s="93">
        <v>200145</v>
      </c>
      <c r="G84" s="76" t="str">
        <f>IFERROR(INDEX([1]物品基础表!$A:$A,MATCH(F84,[1]物品基础表!$B:$B,0)),"")</f>
        <v>传世项链</v>
      </c>
      <c r="H84" s="93">
        <v>1</v>
      </c>
      <c r="I84" s="93">
        <v>7500</v>
      </c>
      <c r="J84" s="99">
        <f t="shared" si="1"/>
        <v>7500</v>
      </c>
      <c r="K84" s="93"/>
      <c r="L84" s="93" t="s">
        <v>1390</v>
      </c>
      <c r="M84" s="93"/>
      <c r="N84" s="92">
        <v>3</v>
      </c>
      <c r="O84" s="92"/>
      <c r="P84" s="92"/>
    </row>
    <row r="85" spans="1:16">
      <c r="A85" s="39" t="str">
        <f>INDEX([2]活动总表!$A$8:$A$429,MATCH(B85,[2]活动总表!$B$8:$B$429,0))</f>
        <v>节日商店</v>
      </c>
      <c r="B85" s="93">
        <v>325</v>
      </c>
      <c r="C85" s="94">
        <v>83</v>
      </c>
      <c r="D85" s="94">
        <v>0</v>
      </c>
      <c r="E85" s="94">
        <v>12</v>
      </c>
      <c r="F85" s="93">
        <v>200146</v>
      </c>
      <c r="G85" s="76" t="str">
        <f>IFERROR(INDEX([1]物品基础表!$A:$A,MATCH(F85,[1]物品基础表!$B:$B,0)),"")</f>
        <v>传世护腕</v>
      </c>
      <c r="H85" s="93">
        <v>1</v>
      </c>
      <c r="I85" s="93">
        <v>7500</v>
      </c>
      <c r="J85" s="99">
        <f t="shared" si="1"/>
        <v>7500</v>
      </c>
      <c r="K85" s="93"/>
      <c r="L85" s="93" t="s">
        <v>1390</v>
      </c>
      <c r="M85" s="93"/>
      <c r="N85" s="92">
        <v>3</v>
      </c>
      <c r="O85" s="92"/>
      <c r="P85" s="92"/>
    </row>
    <row r="86" spans="1:16">
      <c r="A86" s="39" t="str">
        <f>INDEX([2]活动总表!$A$8:$A$429,MATCH(B86,[2]活动总表!$B$8:$B$429,0))</f>
        <v>节日商店</v>
      </c>
      <c r="B86" s="93">
        <v>325</v>
      </c>
      <c r="C86" s="94">
        <v>84</v>
      </c>
      <c r="D86" s="94">
        <v>0</v>
      </c>
      <c r="E86" s="94">
        <v>12</v>
      </c>
      <c r="F86" s="93">
        <v>200147</v>
      </c>
      <c r="G86" s="76" t="str">
        <f>IFERROR(INDEX([1]物品基础表!$A:$A,MATCH(F86,[1]物品基础表!$B:$B,0)),"")</f>
        <v>传世腰带</v>
      </c>
      <c r="H86" s="93">
        <v>1</v>
      </c>
      <c r="I86" s="93">
        <v>7500</v>
      </c>
      <c r="J86" s="99">
        <f t="shared" si="1"/>
        <v>7500</v>
      </c>
      <c r="K86" s="93"/>
      <c r="L86" s="93" t="s">
        <v>1390</v>
      </c>
      <c r="M86" s="93"/>
      <c r="N86" s="92">
        <v>3</v>
      </c>
      <c r="O86" s="92"/>
      <c r="P86" s="92"/>
    </row>
    <row r="87" spans="1:16">
      <c r="A87" s="39" t="str">
        <f>INDEX([2]活动总表!$A$8:$A$429,MATCH(B87,[2]活动总表!$B$8:$B$429,0))</f>
        <v>节日商店</v>
      </c>
      <c r="B87" s="93">
        <v>325</v>
      </c>
      <c r="C87" s="94">
        <v>85</v>
      </c>
      <c r="D87" s="94">
        <v>0</v>
      </c>
      <c r="E87" s="94">
        <v>12</v>
      </c>
      <c r="F87" s="93">
        <v>200148</v>
      </c>
      <c r="G87" s="76" t="str">
        <f>IFERROR(INDEX([1]物品基础表!$A:$A,MATCH(F87,[1]物品基础表!$B:$B,0)),"")</f>
        <v>传世戒指</v>
      </c>
      <c r="H87" s="93">
        <v>1</v>
      </c>
      <c r="I87" s="93">
        <v>7500</v>
      </c>
      <c r="J87" s="99">
        <f t="shared" si="1"/>
        <v>7500</v>
      </c>
      <c r="K87" s="93"/>
      <c r="L87" s="93" t="s">
        <v>1390</v>
      </c>
      <c r="M87" s="93"/>
      <c r="N87" s="92">
        <v>3</v>
      </c>
      <c r="O87" s="92"/>
      <c r="P87" s="92"/>
    </row>
    <row r="88" spans="1:16">
      <c r="A88" s="39" t="str">
        <f>INDEX([2]活动总表!$A$8:$A$429,MATCH(B88,[2]活动总表!$B$8:$B$429,0))</f>
        <v>节日商店</v>
      </c>
      <c r="B88" s="93">
        <v>325</v>
      </c>
      <c r="C88" s="94">
        <v>86</v>
      </c>
      <c r="D88" s="94">
        <v>0</v>
      </c>
      <c r="E88" s="94">
        <v>12</v>
      </c>
      <c r="F88" s="93">
        <v>200149</v>
      </c>
      <c r="G88" s="76" t="str">
        <f>IFERROR(INDEX([1]物品基础表!$A:$A,MATCH(F88,[1]物品基础表!$B:$B,0)),"")</f>
        <v>传世鞋子</v>
      </c>
      <c r="H88" s="93">
        <v>1</v>
      </c>
      <c r="I88" s="93">
        <v>7500</v>
      </c>
      <c r="J88" s="99">
        <f t="shared" si="1"/>
        <v>7500</v>
      </c>
      <c r="K88" s="93"/>
      <c r="L88" s="93" t="s">
        <v>1390</v>
      </c>
      <c r="M88" s="93"/>
      <c r="N88" s="92">
        <v>3</v>
      </c>
      <c r="O88" s="92"/>
      <c r="P88" s="92"/>
    </row>
    <row r="89" spans="1:16">
      <c r="A89" s="39" t="str">
        <f>INDEX([2]活动总表!$A$8:$A$429,MATCH(B89,[2]活动总表!$B$8:$B$429,0))</f>
        <v>节日商店</v>
      </c>
      <c r="B89" s="93">
        <v>325</v>
      </c>
      <c r="C89" s="94">
        <v>87</v>
      </c>
      <c r="D89" s="94">
        <v>0</v>
      </c>
      <c r="E89" s="94">
        <v>12</v>
      </c>
      <c r="F89" s="93">
        <v>200143</v>
      </c>
      <c r="G89" s="76" t="str">
        <f>IFERROR(INDEX([1]物品基础表!$A:$A,MATCH(F89,[1]物品基础表!$B:$B,0)),"")</f>
        <v>传世头盔</v>
      </c>
      <c r="H89" s="93">
        <v>1</v>
      </c>
      <c r="I89" s="93">
        <v>12500</v>
      </c>
      <c r="J89" s="99">
        <f t="shared" si="1"/>
        <v>12500</v>
      </c>
      <c r="K89" s="93"/>
      <c r="L89" s="93" t="s">
        <v>1388</v>
      </c>
      <c r="M89" s="93"/>
      <c r="N89" s="92">
        <v>5</v>
      </c>
      <c r="O89" s="92"/>
      <c r="P89" s="92"/>
    </row>
    <row r="90" spans="1:16">
      <c r="A90" s="39" t="str">
        <f>INDEX([2]活动总表!$A$8:$A$429,MATCH(B90,[2]活动总表!$B$8:$B$429,0))</f>
        <v>节日商店</v>
      </c>
      <c r="B90" s="93">
        <v>325</v>
      </c>
      <c r="C90" s="94">
        <v>88</v>
      </c>
      <c r="D90" s="94">
        <v>0</v>
      </c>
      <c r="E90" s="94">
        <v>12</v>
      </c>
      <c r="F90" s="93">
        <v>200145</v>
      </c>
      <c r="G90" s="76" t="str">
        <f>IFERROR(INDEX([1]物品基础表!$A:$A,MATCH(F90,[1]物品基础表!$B:$B,0)),"")</f>
        <v>传世项链</v>
      </c>
      <c r="H90" s="93">
        <v>1</v>
      </c>
      <c r="I90" s="93">
        <v>12500</v>
      </c>
      <c r="J90" s="99">
        <f t="shared" si="1"/>
        <v>12500</v>
      </c>
      <c r="K90" s="93"/>
      <c r="L90" s="93" t="s">
        <v>1388</v>
      </c>
      <c r="M90" s="93"/>
      <c r="N90" s="92">
        <v>5</v>
      </c>
      <c r="O90" s="92"/>
      <c r="P90" s="92"/>
    </row>
    <row r="91" spans="1:16">
      <c r="A91" s="39" t="str">
        <f>INDEX([2]活动总表!$A$8:$A$429,MATCH(B91,[2]活动总表!$B$8:$B$429,0))</f>
        <v>节日商店</v>
      </c>
      <c r="B91" s="93">
        <v>325</v>
      </c>
      <c r="C91" s="94">
        <v>89</v>
      </c>
      <c r="D91" s="94">
        <v>0</v>
      </c>
      <c r="E91" s="94">
        <v>12</v>
      </c>
      <c r="F91" s="93">
        <v>200146</v>
      </c>
      <c r="G91" s="76" t="str">
        <f>IFERROR(INDEX([1]物品基础表!$A:$A,MATCH(F91,[1]物品基础表!$B:$B,0)),"")</f>
        <v>传世护腕</v>
      </c>
      <c r="H91" s="93">
        <v>1</v>
      </c>
      <c r="I91" s="93">
        <v>12500</v>
      </c>
      <c r="J91" s="99">
        <f t="shared" si="1"/>
        <v>12500</v>
      </c>
      <c r="K91" s="93"/>
      <c r="L91" s="93" t="s">
        <v>1388</v>
      </c>
      <c r="M91" s="93"/>
      <c r="N91" s="92">
        <v>5</v>
      </c>
      <c r="O91" s="92"/>
      <c r="P91" s="92"/>
    </row>
    <row r="92" spans="1:16">
      <c r="A92" s="39" t="str">
        <f>INDEX([2]活动总表!$A$8:$A$429,MATCH(B92,[2]活动总表!$B$8:$B$429,0))</f>
        <v>节日商店</v>
      </c>
      <c r="B92" s="93">
        <v>325</v>
      </c>
      <c r="C92" s="94">
        <v>90</v>
      </c>
      <c r="D92" s="94">
        <v>0</v>
      </c>
      <c r="E92" s="94">
        <v>12</v>
      </c>
      <c r="F92" s="93">
        <v>200147</v>
      </c>
      <c r="G92" s="76" t="str">
        <f>IFERROR(INDEX([1]物品基础表!$A:$A,MATCH(F92,[1]物品基础表!$B:$B,0)),"")</f>
        <v>传世腰带</v>
      </c>
      <c r="H92" s="93">
        <v>1</v>
      </c>
      <c r="I92" s="93">
        <v>12500</v>
      </c>
      <c r="J92" s="99">
        <f t="shared" si="1"/>
        <v>12500</v>
      </c>
      <c r="K92" s="93"/>
      <c r="L92" s="93" t="s">
        <v>1388</v>
      </c>
      <c r="M92" s="93"/>
      <c r="N92" s="92">
        <v>5</v>
      </c>
      <c r="O92" s="92"/>
      <c r="P92" s="92"/>
    </row>
    <row r="93" spans="1:16">
      <c r="A93" s="39" t="str">
        <f>INDEX([2]活动总表!$A$8:$A$429,MATCH(B93,[2]活动总表!$B$8:$B$429,0))</f>
        <v>节日商店</v>
      </c>
      <c r="B93" s="93">
        <v>325</v>
      </c>
      <c r="C93" s="94">
        <v>91</v>
      </c>
      <c r="D93" s="94">
        <v>0</v>
      </c>
      <c r="E93" s="94">
        <v>12</v>
      </c>
      <c r="F93" s="93">
        <v>200148</v>
      </c>
      <c r="G93" s="76" t="str">
        <f>IFERROR(INDEX([1]物品基础表!$A:$A,MATCH(F93,[1]物品基础表!$B:$B,0)),"")</f>
        <v>传世戒指</v>
      </c>
      <c r="H93" s="93">
        <v>1</v>
      </c>
      <c r="I93" s="93">
        <v>12500</v>
      </c>
      <c r="J93" s="99">
        <f t="shared" si="1"/>
        <v>12500</v>
      </c>
      <c r="K93" s="93"/>
      <c r="L93" s="93" t="s">
        <v>1388</v>
      </c>
      <c r="M93" s="93"/>
      <c r="N93" s="92">
        <v>5</v>
      </c>
      <c r="O93" s="92"/>
      <c r="P93" s="92"/>
    </row>
    <row r="94" spans="1:16">
      <c r="A94" s="39" t="str">
        <f>INDEX([2]活动总表!$A$8:$A$429,MATCH(B94,[2]活动总表!$B$8:$B$429,0))</f>
        <v>节日商店</v>
      </c>
      <c r="B94" s="93">
        <v>325</v>
      </c>
      <c r="C94" s="94">
        <v>92</v>
      </c>
      <c r="D94" s="94">
        <v>0</v>
      </c>
      <c r="E94" s="94">
        <v>12</v>
      </c>
      <c r="F94" s="93">
        <v>200149</v>
      </c>
      <c r="G94" s="76" t="str">
        <f>IFERROR(INDEX([1]物品基础表!$A:$A,MATCH(F94,[1]物品基础表!$B:$B,0)),"")</f>
        <v>传世鞋子</v>
      </c>
      <c r="H94" s="93">
        <v>1</v>
      </c>
      <c r="I94" s="93">
        <v>12500</v>
      </c>
      <c r="J94" s="99">
        <f t="shared" si="1"/>
        <v>12500</v>
      </c>
      <c r="K94" s="93"/>
      <c r="L94" s="93" t="s">
        <v>1388</v>
      </c>
      <c r="M94" s="93"/>
      <c r="N94" s="92">
        <v>5</v>
      </c>
      <c r="O94" s="92"/>
      <c r="P94" s="92"/>
    </row>
    <row r="95" spans="1:16">
      <c r="A95" s="39" t="str">
        <f>INDEX([2]活动总表!$A$8:$A$429,MATCH(B95,[2]活动总表!$B$8:$B$429,0))</f>
        <v>节日商店</v>
      </c>
      <c r="B95" s="93">
        <v>325</v>
      </c>
      <c r="C95" s="94">
        <v>93</v>
      </c>
      <c r="D95" s="94">
        <v>0</v>
      </c>
      <c r="E95" s="94">
        <v>12</v>
      </c>
      <c r="F95" s="93">
        <v>501401</v>
      </c>
      <c r="G95" s="76" t="str">
        <f>IFERROR(INDEX([1]物品基础表!$A:$A,MATCH(F95,[1]物品基础表!$B:$B,0)),"")</f>
        <v>金神力1级</v>
      </c>
      <c r="H95" s="93">
        <v>1</v>
      </c>
      <c r="I95" s="93">
        <v>15000</v>
      </c>
      <c r="J95" s="99">
        <f t="shared" si="1"/>
        <v>15000</v>
      </c>
      <c r="K95" s="93"/>
      <c r="L95" s="93" t="s">
        <v>1390</v>
      </c>
      <c r="M95" s="93"/>
      <c r="N95" s="92">
        <v>5</v>
      </c>
      <c r="O95" s="92"/>
      <c r="P95" s="92">
        <f>J95/0.5</f>
        <v>30000</v>
      </c>
    </row>
    <row r="96" spans="1:16">
      <c r="A96" s="39" t="str">
        <f>INDEX([2]活动总表!$A$8:$A$429,MATCH(B96,[2]活动总表!$B$8:$B$429,0))</f>
        <v>节日商店</v>
      </c>
      <c r="B96" s="93">
        <v>325</v>
      </c>
      <c r="C96" s="94">
        <v>94</v>
      </c>
      <c r="D96" s="94">
        <v>0</v>
      </c>
      <c r="E96" s="94">
        <v>12</v>
      </c>
      <c r="F96" s="93">
        <v>502401</v>
      </c>
      <c r="G96" s="76" t="str">
        <f>IFERROR(INDEX([1]物品基础表!$A:$A,MATCH(F96,[1]物品基础表!$B:$B,0)),"")</f>
        <v>金金汤1级</v>
      </c>
      <c r="H96" s="93">
        <v>1</v>
      </c>
      <c r="I96" s="93">
        <v>15000</v>
      </c>
      <c r="J96" s="99">
        <f t="shared" si="1"/>
        <v>15000</v>
      </c>
      <c r="K96" s="93"/>
      <c r="L96" s="93" t="s">
        <v>1390</v>
      </c>
      <c r="M96" s="93"/>
      <c r="N96" s="92">
        <v>5</v>
      </c>
      <c r="O96" s="92"/>
      <c r="P96" s="92">
        <f t="shared" ref="P96:P149" si="2">J96/0.5</f>
        <v>30000</v>
      </c>
    </row>
    <row r="97" spans="1:16">
      <c r="A97" s="39" t="str">
        <f>INDEX([2]活动总表!$A$8:$A$429,MATCH(B97,[2]活动总表!$B$8:$B$429,0))</f>
        <v>节日商店</v>
      </c>
      <c r="B97" s="93">
        <v>325</v>
      </c>
      <c r="C97" s="94">
        <v>95</v>
      </c>
      <c r="D97" s="94">
        <v>0</v>
      </c>
      <c r="E97" s="94">
        <v>12</v>
      </c>
      <c r="F97" s="93">
        <v>503401</v>
      </c>
      <c r="G97" s="76" t="str">
        <f>IFERROR(INDEX([1]物品基础表!$A:$A,MATCH(F97,[1]物品基础表!$B:$B,0)),"")</f>
        <v>金长生1级</v>
      </c>
      <c r="H97" s="93">
        <v>1</v>
      </c>
      <c r="I97" s="93">
        <v>15000</v>
      </c>
      <c r="J97" s="99">
        <f t="shared" si="1"/>
        <v>15000</v>
      </c>
      <c r="K97" s="93"/>
      <c r="L97" s="93" t="s">
        <v>1390</v>
      </c>
      <c r="M97" s="93"/>
      <c r="N97" s="92">
        <v>5</v>
      </c>
      <c r="O97" s="92"/>
      <c r="P97" s="92">
        <f t="shared" si="2"/>
        <v>30000</v>
      </c>
    </row>
    <row r="98" spans="1:16">
      <c r="A98" s="39" t="str">
        <f>INDEX([2]活动总表!$A$8:$A$429,MATCH(B98,[2]活动总表!$B$8:$B$429,0))</f>
        <v>节日商店</v>
      </c>
      <c r="B98" s="93">
        <v>325</v>
      </c>
      <c r="C98" s="94">
        <v>96</v>
      </c>
      <c r="D98" s="94">
        <v>0</v>
      </c>
      <c r="E98" s="94">
        <v>12</v>
      </c>
      <c r="F98" s="93">
        <v>504401</v>
      </c>
      <c r="G98" s="76" t="str">
        <f>IFERROR(INDEX([1]物品基础表!$A:$A,MATCH(F98,[1]物品基础表!$B:$B,0)),"")</f>
        <v>金光武1级</v>
      </c>
      <c r="H98" s="93">
        <v>1</v>
      </c>
      <c r="I98" s="93">
        <v>20000</v>
      </c>
      <c r="J98" s="99">
        <f t="shared" si="1"/>
        <v>20000</v>
      </c>
      <c r="K98" s="93"/>
      <c r="L98" s="93" t="s">
        <v>1390</v>
      </c>
      <c r="M98" s="93"/>
      <c r="N98" s="92">
        <v>5</v>
      </c>
      <c r="O98" s="92"/>
      <c r="P98" s="92">
        <f t="shared" si="2"/>
        <v>40000</v>
      </c>
    </row>
    <row r="99" spans="1:16">
      <c r="A99" s="39" t="str">
        <f>INDEX([2]活动总表!$A$8:$A$429,MATCH(B99,[2]活动总表!$B$8:$B$429,0))</f>
        <v>节日商店</v>
      </c>
      <c r="B99" s="93">
        <v>325</v>
      </c>
      <c r="C99" s="94">
        <v>97</v>
      </c>
      <c r="D99" s="94">
        <v>0</v>
      </c>
      <c r="E99" s="94">
        <v>12</v>
      </c>
      <c r="F99" s="93">
        <v>505401</v>
      </c>
      <c r="G99" s="76" t="str">
        <f>IFERROR(INDEX([1]物品基础表!$A:$A,MATCH(F99,[1]物品基础表!$B:$B,0)),"")</f>
        <v>金神盔1级</v>
      </c>
      <c r="H99" s="93">
        <v>1</v>
      </c>
      <c r="I99" s="93">
        <v>6300</v>
      </c>
      <c r="J99" s="99">
        <f t="shared" si="1"/>
        <v>6300</v>
      </c>
      <c r="K99" s="93"/>
      <c r="L99" s="93" t="s">
        <v>1390</v>
      </c>
      <c r="M99" s="93"/>
      <c r="N99" s="92">
        <v>5</v>
      </c>
      <c r="O99" s="92"/>
      <c r="P99" s="92">
        <f t="shared" si="2"/>
        <v>12600</v>
      </c>
    </row>
    <row r="100" spans="1:16">
      <c r="A100" s="39" t="str">
        <f>INDEX([2]活动总表!$A$8:$A$429,MATCH(B100,[2]活动总表!$B$8:$B$429,0))</f>
        <v>节日商店</v>
      </c>
      <c r="B100" s="93">
        <v>325</v>
      </c>
      <c r="C100" s="94">
        <v>98</v>
      </c>
      <c r="D100" s="94">
        <v>0</v>
      </c>
      <c r="E100" s="94">
        <v>12</v>
      </c>
      <c r="F100" s="93">
        <v>506401</v>
      </c>
      <c r="G100" s="76" t="str">
        <f>IFERROR(INDEX([1]物品基础表!$A:$A,MATCH(F100,[1]物品基础表!$B:$B,0)),"")</f>
        <v>金固甲1级</v>
      </c>
      <c r="H100" s="93">
        <v>1</v>
      </c>
      <c r="I100" s="93">
        <v>12500</v>
      </c>
      <c r="J100" s="99">
        <f t="shared" si="1"/>
        <v>12500</v>
      </c>
      <c r="K100" s="93"/>
      <c r="L100" s="93" t="s">
        <v>1390</v>
      </c>
      <c r="M100" s="93"/>
      <c r="N100" s="92">
        <v>5</v>
      </c>
      <c r="O100" s="92"/>
      <c r="P100" s="92">
        <f t="shared" si="2"/>
        <v>25000</v>
      </c>
    </row>
    <row r="101" spans="1:16">
      <c r="A101" s="39" t="str">
        <f>INDEX([2]活动总表!$A$8:$A$429,MATCH(B101,[2]活动总表!$B$8:$B$429,0))</f>
        <v>节日商店</v>
      </c>
      <c r="B101" s="93">
        <v>325</v>
      </c>
      <c r="C101" s="94">
        <v>99</v>
      </c>
      <c r="D101" s="94">
        <v>0</v>
      </c>
      <c r="E101" s="94">
        <v>12</v>
      </c>
      <c r="F101" s="93">
        <v>507401</v>
      </c>
      <c r="G101" s="76" t="str">
        <f>IFERROR(INDEX([1]物品基础表!$A:$A,MATCH(F101,[1]物品基础表!$B:$B,0)),"")</f>
        <v>金灵链1级</v>
      </c>
      <c r="H101" s="93">
        <v>1</v>
      </c>
      <c r="I101" s="93">
        <v>6300</v>
      </c>
      <c r="J101" s="99">
        <f t="shared" si="1"/>
        <v>6300</v>
      </c>
      <c r="K101" s="93"/>
      <c r="L101" s="93" t="s">
        <v>1390</v>
      </c>
      <c r="M101" s="93"/>
      <c r="N101" s="92">
        <v>5</v>
      </c>
      <c r="O101" s="92"/>
      <c r="P101" s="92">
        <f t="shared" si="2"/>
        <v>12600</v>
      </c>
    </row>
    <row r="102" spans="1:16">
      <c r="A102" s="39" t="str">
        <f>INDEX([2]活动总表!$A$8:$A$429,MATCH(B102,[2]活动总表!$B$8:$B$429,0))</f>
        <v>节日商店</v>
      </c>
      <c r="B102" s="93">
        <v>325</v>
      </c>
      <c r="C102" s="94">
        <v>100</v>
      </c>
      <c r="D102" s="94">
        <v>0</v>
      </c>
      <c r="E102" s="94">
        <v>12</v>
      </c>
      <c r="F102" s="93">
        <v>508401</v>
      </c>
      <c r="G102" s="76" t="str">
        <f>IFERROR(INDEX([1]物品基础表!$A:$A,MATCH(F102,[1]物品基础表!$B:$B,0)),"")</f>
        <v>金地镯1级</v>
      </c>
      <c r="H102" s="93">
        <v>1</v>
      </c>
      <c r="I102" s="93">
        <v>6300</v>
      </c>
      <c r="J102" s="99">
        <f t="shared" si="1"/>
        <v>6300</v>
      </c>
      <c r="K102" s="93"/>
      <c r="L102" s="93" t="s">
        <v>1390</v>
      </c>
      <c r="M102" s="93"/>
      <c r="N102" s="92">
        <v>5</v>
      </c>
      <c r="O102" s="92"/>
      <c r="P102" s="92">
        <f t="shared" si="2"/>
        <v>12600</v>
      </c>
    </row>
    <row r="103" spans="1:16">
      <c r="A103" s="39" t="str">
        <f>INDEX([2]活动总表!$A$8:$A$429,MATCH(B103,[2]活动总表!$B$8:$B$429,0))</f>
        <v>节日商店</v>
      </c>
      <c r="B103" s="93">
        <v>325</v>
      </c>
      <c r="C103" s="94">
        <v>101</v>
      </c>
      <c r="D103" s="94">
        <v>0</v>
      </c>
      <c r="E103" s="94">
        <v>12</v>
      </c>
      <c r="F103" s="93">
        <v>509401</v>
      </c>
      <c r="G103" s="76" t="str">
        <f>IFERROR(INDEX([1]物品基础表!$A:$A,MATCH(F103,[1]物品基础表!$B:$B,0)),"")</f>
        <v>金乾戒1级</v>
      </c>
      <c r="H103" s="93">
        <v>1</v>
      </c>
      <c r="I103" s="93">
        <v>6300</v>
      </c>
      <c r="J103" s="99">
        <f t="shared" si="1"/>
        <v>6300</v>
      </c>
      <c r="K103" s="93"/>
      <c r="L103" s="93" t="s">
        <v>1390</v>
      </c>
      <c r="M103" s="93"/>
      <c r="N103" s="92">
        <v>5</v>
      </c>
      <c r="O103" s="92"/>
      <c r="P103" s="92">
        <f t="shared" si="2"/>
        <v>12600</v>
      </c>
    </row>
    <row r="104" spans="1:16">
      <c r="A104" s="39" t="str">
        <f>INDEX([2]活动总表!$A$8:$A$429,MATCH(B104,[2]活动总表!$B$8:$B$429,0))</f>
        <v>节日商店</v>
      </c>
      <c r="B104" s="93">
        <v>325</v>
      </c>
      <c r="C104" s="94">
        <v>102</v>
      </c>
      <c r="D104" s="94">
        <v>0</v>
      </c>
      <c r="E104" s="94">
        <v>12</v>
      </c>
      <c r="F104" s="93">
        <v>510401</v>
      </c>
      <c r="G104" s="76" t="str">
        <f>IFERROR(INDEX([1]物品基础表!$A:$A,MATCH(F104,[1]物品基础表!$B:$B,0)),"")</f>
        <v>金龙带1级</v>
      </c>
      <c r="H104" s="93">
        <v>1</v>
      </c>
      <c r="I104" s="93">
        <v>6300</v>
      </c>
      <c r="J104" s="99">
        <f t="shared" si="1"/>
        <v>6300</v>
      </c>
      <c r="K104" s="93"/>
      <c r="L104" s="93" t="s">
        <v>1390</v>
      </c>
      <c r="M104" s="93"/>
      <c r="N104" s="92">
        <v>5</v>
      </c>
      <c r="O104" s="92"/>
      <c r="P104" s="92">
        <f t="shared" si="2"/>
        <v>12600</v>
      </c>
    </row>
    <row r="105" spans="1:16">
      <c r="A105" s="39" t="str">
        <f>INDEX([2]活动总表!$A$8:$A$429,MATCH(B105,[2]活动总表!$B$8:$B$429,0))</f>
        <v>节日商店</v>
      </c>
      <c r="B105" s="93">
        <v>325</v>
      </c>
      <c r="C105" s="94">
        <v>103</v>
      </c>
      <c r="D105" s="94">
        <v>0</v>
      </c>
      <c r="E105" s="94">
        <v>12</v>
      </c>
      <c r="F105" s="93">
        <v>511401</v>
      </c>
      <c r="G105" s="76" t="str">
        <f>IFERROR(INDEX([1]物品基础表!$A:$A,MATCH(F105,[1]物品基础表!$B:$B,0)),"")</f>
        <v>金逐日1级</v>
      </c>
      <c r="H105" s="93">
        <v>1</v>
      </c>
      <c r="I105" s="93">
        <v>6300</v>
      </c>
      <c r="J105" s="99">
        <f t="shared" si="1"/>
        <v>6300</v>
      </c>
      <c r="K105" s="93"/>
      <c r="L105" s="93" t="s">
        <v>1390</v>
      </c>
      <c r="M105" s="93"/>
      <c r="N105" s="92">
        <v>5</v>
      </c>
      <c r="O105" s="92"/>
      <c r="P105" s="92">
        <f t="shared" si="2"/>
        <v>12600</v>
      </c>
    </row>
    <row r="106" spans="1:16">
      <c r="A106" s="39" t="str">
        <f>INDEX([2]活动总表!$A$8:$A$429,MATCH(B106,[2]活动总表!$B$8:$B$429,0))</f>
        <v>节日商店</v>
      </c>
      <c r="B106" s="93">
        <v>325</v>
      </c>
      <c r="C106" s="94">
        <v>104</v>
      </c>
      <c r="D106" s="94">
        <v>0</v>
      </c>
      <c r="E106" s="94">
        <v>12</v>
      </c>
      <c r="F106" s="93">
        <v>512401</v>
      </c>
      <c r="G106" s="76" t="str">
        <f>IFERROR(INDEX([1]物品基础表!$A:$A,MATCH(F106,[1]物品基础表!$B:$B,0)),"")</f>
        <v>金豁免1级</v>
      </c>
      <c r="H106" s="93">
        <v>1</v>
      </c>
      <c r="I106" s="93">
        <v>18800</v>
      </c>
      <c r="J106" s="99">
        <f t="shared" si="1"/>
        <v>18800</v>
      </c>
      <c r="K106" s="93"/>
      <c r="L106" s="93" t="s">
        <v>1390</v>
      </c>
      <c r="M106" s="93"/>
      <c r="N106" s="92">
        <v>5</v>
      </c>
      <c r="O106" s="92"/>
      <c r="P106" s="92">
        <f t="shared" si="2"/>
        <v>37600</v>
      </c>
    </row>
    <row r="107" spans="1:16">
      <c r="A107" s="39" t="str">
        <f>INDEX([2]活动总表!$A$8:$A$429,MATCH(B107,[2]活动总表!$B$8:$B$429,0))</f>
        <v>节日商店</v>
      </c>
      <c r="B107" s="93">
        <v>325</v>
      </c>
      <c r="C107" s="94">
        <v>105</v>
      </c>
      <c r="D107" s="94">
        <v>0</v>
      </c>
      <c r="E107" s="94">
        <v>12</v>
      </c>
      <c r="F107" s="93">
        <v>513401</v>
      </c>
      <c r="G107" s="76" t="str">
        <f>IFERROR(INDEX([1]物品基础表!$A:$A,MATCH(F107,[1]物品基础表!$B:$B,0)),"")</f>
        <v>金杀戮1级</v>
      </c>
      <c r="H107" s="93">
        <v>1</v>
      </c>
      <c r="I107" s="93">
        <v>18800</v>
      </c>
      <c r="J107" s="99">
        <f t="shared" si="1"/>
        <v>18800</v>
      </c>
      <c r="K107" s="93"/>
      <c r="L107" s="93" t="s">
        <v>1390</v>
      </c>
      <c r="M107" s="93"/>
      <c r="N107" s="92">
        <v>5</v>
      </c>
      <c r="O107" s="92"/>
      <c r="P107" s="92">
        <f t="shared" si="2"/>
        <v>37600</v>
      </c>
    </row>
    <row r="108" spans="1:16">
      <c r="A108" s="39" t="str">
        <f>INDEX([2]活动总表!$A$8:$A$429,MATCH(B108,[2]活动总表!$B$8:$B$429,0))</f>
        <v>节日商店</v>
      </c>
      <c r="B108" s="93">
        <v>325</v>
      </c>
      <c r="C108" s="94">
        <v>106</v>
      </c>
      <c r="D108" s="94">
        <v>0</v>
      </c>
      <c r="E108" s="94">
        <v>12</v>
      </c>
      <c r="F108" s="92">
        <v>514401</v>
      </c>
      <c r="G108" s="76" t="str">
        <f>IFERROR(INDEX([1]物品基础表!$A:$A,MATCH(F108,[1]物品基础表!$B:$B,0)),"")</f>
        <v>金祝福1级</v>
      </c>
      <c r="H108" s="92">
        <v>1</v>
      </c>
      <c r="I108" s="92">
        <v>5000</v>
      </c>
      <c r="J108" s="99">
        <f t="shared" si="1"/>
        <v>5000</v>
      </c>
      <c r="K108" s="92"/>
      <c r="L108" s="93" t="s">
        <v>1390</v>
      </c>
      <c r="M108" s="92"/>
      <c r="N108" s="92">
        <v>5</v>
      </c>
      <c r="O108" s="92"/>
      <c r="P108" s="92">
        <f t="shared" si="2"/>
        <v>10000</v>
      </c>
    </row>
    <row r="109" spans="1:16">
      <c r="A109" s="39" t="str">
        <f>INDEX([2]活动总表!$A$8:$A$429,MATCH(B109,[2]活动总表!$B$8:$B$429,0))</f>
        <v>节日商店</v>
      </c>
      <c r="B109" s="93">
        <v>325</v>
      </c>
      <c r="C109" s="94">
        <v>107</v>
      </c>
      <c r="D109" s="94">
        <v>0</v>
      </c>
      <c r="E109" s="94">
        <v>12</v>
      </c>
      <c r="F109" s="92">
        <v>515401</v>
      </c>
      <c r="G109" s="76" t="str">
        <f>IFERROR(INDEX([1]物品基础表!$A:$A,MATCH(F109,[1]物品基础表!$B:$B,0)),"")</f>
        <v>金财神1级</v>
      </c>
      <c r="H109" s="92">
        <v>1</v>
      </c>
      <c r="I109" s="92">
        <v>5000</v>
      </c>
      <c r="J109" s="99">
        <f t="shared" si="1"/>
        <v>5000</v>
      </c>
      <c r="K109" s="92"/>
      <c r="L109" s="93" t="s">
        <v>1390</v>
      </c>
      <c r="M109" s="92"/>
      <c r="N109" s="92">
        <v>5</v>
      </c>
      <c r="O109" s="92"/>
      <c r="P109" s="92">
        <f t="shared" si="2"/>
        <v>10000</v>
      </c>
    </row>
    <row r="110" spans="1:16">
      <c r="A110" s="39" t="str">
        <f>INDEX([2]活动总表!$A$8:$A$429,MATCH(B110,[2]活动总表!$B$8:$B$429,0))</f>
        <v>节日商店</v>
      </c>
      <c r="B110" s="93">
        <v>325</v>
      </c>
      <c r="C110" s="94">
        <v>108</v>
      </c>
      <c r="D110" s="94">
        <v>0</v>
      </c>
      <c r="E110" s="94">
        <v>12</v>
      </c>
      <c r="F110" s="92">
        <v>516401</v>
      </c>
      <c r="G110" s="76" t="str">
        <f>IFERROR(INDEX([1]物品基础表!$A:$A,MATCH(F110,[1]物品基础表!$B:$B,0)),"")</f>
        <v>金强攻1级</v>
      </c>
      <c r="H110" s="92">
        <v>1</v>
      </c>
      <c r="I110" s="92">
        <v>15000</v>
      </c>
      <c r="J110" s="99">
        <f t="shared" si="1"/>
        <v>15000</v>
      </c>
      <c r="K110" s="92"/>
      <c r="L110" s="93" t="s">
        <v>1390</v>
      </c>
      <c r="M110" s="92"/>
      <c r="N110" s="92">
        <v>5</v>
      </c>
      <c r="O110" s="92"/>
      <c r="P110" s="92">
        <f t="shared" si="2"/>
        <v>30000</v>
      </c>
    </row>
    <row r="111" spans="1:16">
      <c r="A111" s="39" t="str">
        <f>INDEX([2]活动总表!$A$8:$A$429,MATCH(B111,[2]活动总表!$B$8:$B$429,0))</f>
        <v>节日商店</v>
      </c>
      <c r="B111" s="93">
        <v>325</v>
      </c>
      <c r="C111" s="94">
        <v>109</v>
      </c>
      <c r="D111" s="94">
        <v>0</v>
      </c>
      <c r="E111" s="94">
        <v>12</v>
      </c>
      <c r="F111" s="92">
        <v>517401</v>
      </c>
      <c r="G111" s="76" t="str">
        <f>IFERROR(INDEX([1]物品基础表!$A:$A,MATCH(F111,[1]物品基础表!$B:$B,0)),"")</f>
        <v>金毁灭1级</v>
      </c>
      <c r="H111" s="92">
        <v>1</v>
      </c>
      <c r="I111" s="92">
        <v>15000</v>
      </c>
      <c r="J111" s="99">
        <f t="shared" si="1"/>
        <v>15000</v>
      </c>
      <c r="K111" s="92"/>
      <c r="L111" s="93" t="s">
        <v>1390</v>
      </c>
      <c r="M111" s="92"/>
      <c r="N111" s="92">
        <v>5</v>
      </c>
      <c r="O111" s="92"/>
      <c r="P111" s="92">
        <f t="shared" si="2"/>
        <v>30000</v>
      </c>
    </row>
    <row r="112" spans="1:16">
      <c r="A112" s="39" t="str">
        <f>INDEX([2]活动总表!$A$8:$A$429,MATCH(B112,[2]活动总表!$B$8:$B$429,0))</f>
        <v>节日商店</v>
      </c>
      <c r="B112" s="93">
        <v>325</v>
      </c>
      <c r="C112" s="94">
        <v>110</v>
      </c>
      <c r="D112" s="94">
        <v>0</v>
      </c>
      <c r="E112" s="94">
        <v>12</v>
      </c>
      <c r="F112" s="92">
        <v>518401</v>
      </c>
      <c r="G112" s="76" t="str">
        <f>IFERROR(INDEX([1]物品基础表!$A:$A,MATCH(F112,[1]物品基础表!$B:$B,0)),"")</f>
        <v>金泰坦1级</v>
      </c>
      <c r="H112" s="92">
        <v>1</v>
      </c>
      <c r="I112" s="92">
        <v>15000</v>
      </c>
      <c r="J112" s="99">
        <f t="shared" si="1"/>
        <v>15000</v>
      </c>
      <c r="K112" s="92"/>
      <c r="L112" s="93" t="s">
        <v>1390</v>
      </c>
      <c r="M112" s="92"/>
      <c r="N112" s="92">
        <v>5</v>
      </c>
      <c r="O112" s="92"/>
      <c r="P112" s="92">
        <f t="shared" si="2"/>
        <v>30000</v>
      </c>
    </row>
    <row r="113" spans="1:16">
      <c r="A113" s="39" t="str">
        <f>INDEX([2]活动总表!$A$8:$A$429,MATCH(B113,[2]活动总表!$B$8:$B$429,0))</f>
        <v>节日商店</v>
      </c>
      <c r="B113" s="93">
        <v>325</v>
      </c>
      <c r="C113" s="94">
        <v>111</v>
      </c>
      <c r="D113" s="94">
        <v>0</v>
      </c>
      <c r="E113" s="94">
        <v>12</v>
      </c>
      <c r="F113" s="92">
        <v>501301</v>
      </c>
      <c r="G113" s="76" t="str">
        <f>IFERROR(INDEX([1]物品基础表!$A:$A,MATCH(F113,[1]物品基础表!$B:$B,0)),"")</f>
        <v>红神力1级</v>
      </c>
      <c r="H113" s="92">
        <v>1</v>
      </c>
      <c r="I113" s="92">
        <v>7500</v>
      </c>
      <c r="J113" s="99">
        <f t="shared" si="1"/>
        <v>7500</v>
      </c>
      <c r="K113" s="92"/>
      <c r="L113" s="93" t="s">
        <v>1391</v>
      </c>
      <c r="M113" s="92"/>
      <c r="N113" s="92">
        <v>5</v>
      </c>
      <c r="O113" s="92"/>
      <c r="P113" s="92">
        <f t="shared" si="2"/>
        <v>15000</v>
      </c>
    </row>
    <row r="114" spans="1:16">
      <c r="A114" s="39" t="str">
        <f>INDEX([2]活动总表!$A$8:$A$429,MATCH(B114,[2]活动总表!$B$8:$B$429,0))</f>
        <v>节日商店</v>
      </c>
      <c r="B114" s="93">
        <v>325</v>
      </c>
      <c r="C114" s="94">
        <v>112</v>
      </c>
      <c r="D114" s="94">
        <v>0</v>
      </c>
      <c r="E114" s="94">
        <v>12</v>
      </c>
      <c r="F114" s="92">
        <v>502301</v>
      </c>
      <c r="G114" s="76" t="str">
        <f>IFERROR(INDEX([1]物品基础表!$A:$A,MATCH(F114,[1]物品基础表!$B:$B,0)),"")</f>
        <v>红金汤1级</v>
      </c>
      <c r="H114" s="92">
        <v>1</v>
      </c>
      <c r="I114" s="92">
        <v>7500</v>
      </c>
      <c r="J114" s="99">
        <f t="shared" si="1"/>
        <v>7500</v>
      </c>
      <c r="K114" s="92"/>
      <c r="L114" s="93" t="s">
        <v>1391</v>
      </c>
      <c r="M114" s="92"/>
      <c r="N114" s="92">
        <v>5</v>
      </c>
      <c r="O114" s="92"/>
      <c r="P114" s="92">
        <f t="shared" si="2"/>
        <v>15000</v>
      </c>
    </row>
    <row r="115" spans="1:16">
      <c r="A115" s="39" t="str">
        <f>INDEX([2]活动总表!$A$8:$A$429,MATCH(B115,[2]活动总表!$B$8:$B$429,0))</f>
        <v>节日商店</v>
      </c>
      <c r="B115" s="93">
        <v>325</v>
      </c>
      <c r="C115" s="94">
        <v>113</v>
      </c>
      <c r="D115" s="94">
        <v>0</v>
      </c>
      <c r="E115" s="94">
        <v>12</v>
      </c>
      <c r="F115" s="92">
        <v>503301</v>
      </c>
      <c r="G115" s="76" t="str">
        <f>IFERROR(INDEX([1]物品基础表!$A:$A,MATCH(F115,[1]物品基础表!$B:$B,0)),"")</f>
        <v>红长生1级</v>
      </c>
      <c r="H115" s="92">
        <v>1</v>
      </c>
      <c r="I115" s="92">
        <v>7500</v>
      </c>
      <c r="J115" s="99">
        <f t="shared" si="1"/>
        <v>7500</v>
      </c>
      <c r="K115" s="92"/>
      <c r="L115" s="93" t="s">
        <v>1391</v>
      </c>
      <c r="M115" s="92"/>
      <c r="N115" s="92">
        <v>5</v>
      </c>
      <c r="O115" s="92"/>
      <c r="P115" s="92">
        <f t="shared" si="2"/>
        <v>15000</v>
      </c>
    </row>
    <row r="116" spans="1:16">
      <c r="A116" s="39" t="str">
        <f>INDEX([2]活动总表!$A$8:$A$429,MATCH(B116,[2]活动总表!$B$8:$B$429,0))</f>
        <v>节日商店</v>
      </c>
      <c r="B116" s="93">
        <v>325</v>
      </c>
      <c r="C116" s="94">
        <v>114</v>
      </c>
      <c r="D116" s="94">
        <v>0</v>
      </c>
      <c r="E116" s="94">
        <v>12</v>
      </c>
      <c r="F116" s="92">
        <v>504301</v>
      </c>
      <c r="G116" s="76" t="str">
        <f>IFERROR(INDEX([1]物品基础表!$A:$A,MATCH(F116,[1]物品基础表!$B:$B,0)),"")</f>
        <v>红光武1级</v>
      </c>
      <c r="H116" s="92">
        <v>1</v>
      </c>
      <c r="I116" s="92">
        <v>10000</v>
      </c>
      <c r="J116" s="99">
        <f t="shared" si="1"/>
        <v>10000</v>
      </c>
      <c r="K116" s="92"/>
      <c r="L116" s="93" t="s">
        <v>1391</v>
      </c>
      <c r="M116" s="92"/>
      <c r="N116" s="92">
        <v>5</v>
      </c>
      <c r="O116" s="92"/>
      <c r="P116" s="92">
        <f t="shared" si="2"/>
        <v>20000</v>
      </c>
    </row>
    <row r="117" spans="1:16">
      <c r="A117" s="39" t="str">
        <f>INDEX([2]活动总表!$A$8:$A$429,MATCH(B117,[2]活动总表!$B$8:$B$429,0))</f>
        <v>节日商店</v>
      </c>
      <c r="B117" s="93">
        <v>325</v>
      </c>
      <c r="C117" s="94">
        <v>115</v>
      </c>
      <c r="D117" s="94">
        <v>0</v>
      </c>
      <c r="E117" s="94">
        <v>12</v>
      </c>
      <c r="F117" s="92">
        <v>505301</v>
      </c>
      <c r="G117" s="76" t="str">
        <f>IFERROR(INDEX([1]物品基础表!$A:$A,MATCH(F117,[1]物品基础表!$B:$B,0)),"")</f>
        <v>红神盔1级</v>
      </c>
      <c r="H117" s="92">
        <v>1</v>
      </c>
      <c r="I117" s="92">
        <v>3100</v>
      </c>
      <c r="J117" s="99">
        <f t="shared" si="1"/>
        <v>3100</v>
      </c>
      <c r="K117" s="92"/>
      <c r="L117" s="93" t="s">
        <v>1391</v>
      </c>
      <c r="M117" s="92"/>
      <c r="N117" s="92">
        <v>5</v>
      </c>
      <c r="O117" s="92"/>
      <c r="P117" s="92">
        <f t="shared" si="2"/>
        <v>6200</v>
      </c>
    </row>
    <row r="118" spans="1:16">
      <c r="A118" s="39" t="str">
        <f>INDEX([2]活动总表!$A$8:$A$429,MATCH(B118,[2]活动总表!$B$8:$B$429,0))</f>
        <v>节日商店</v>
      </c>
      <c r="B118" s="93">
        <v>325</v>
      </c>
      <c r="C118" s="94">
        <v>116</v>
      </c>
      <c r="D118" s="94">
        <v>0</v>
      </c>
      <c r="E118" s="94">
        <v>12</v>
      </c>
      <c r="F118" s="92">
        <v>506301</v>
      </c>
      <c r="G118" s="76" t="str">
        <f>IFERROR(INDEX([1]物品基础表!$A:$A,MATCH(F118,[1]物品基础表!$B:$B,0)),"")</f>
        <v>红固甲1级</v>
      </c>
      <c r="H118" s="92">
        <v>1</v>
      </c>
      <c r="I118" s="92">
        <v>6300</v>
      </c>
      <c r="J118" s="99">
        <f t="shared" si="1"/>
        <v>6300</v>
      </c>
      <c r="K118" s="92"/>
      <c r="L118" s="93" t="s">
        <v>1391</v>
      </c>
      <c r="M118" s="92"/>
      <c r="N118" s="92">
        <v>5</v>
      </c>
      <c r="O118" s="92"/>
      <c r="P118" s="92">
        <f t="shared" si="2"/>
        <v>12600</v>
      </c>
    </row>
    <row r="119" spans="1:16">
      <c r="A119" s="39" t="str">
        <f>INDEX([2]活动总表!$A$8:$A$429,MATCH(B119,[2]活动总表!$B$8:$B$429,0))</f>
        <v>节日商店</v>
      </c>
      <c r="B119" s="93">
        <v>325</v>
      </c>
      <c r="C119" s="94">
        <v>117</v>
      </c>
      <c r="D119" s="94">
        <v>0</v>
      </c>
      <c r="E119" s="94">
        <v>12</v>
      </c>
      <c r="F119" s="92">
        <v>507301</v>
      </c>
      <c r="G119" s="76" t="str">
        <f>IFERROR(INDEX([1]物品基础表!$A:$A,MATCH(F119,[1]物品基础表!$B:$B,0)),"")</f>
        <v>红灵链1级</v>
      </c>
      <c r="H119" s="92">
        <v>1</v>
      </c>
      <c r="I119" s="92">
        <v>3100</v>
      </c>
      <c r="J119" s="99">
        <f t="shared" si="1"/>
        <v>3100</v>
      </c>
      <c r="K119" s="92"/>
      <c r="L119" s="93" t="s">
        <v>1391</v>
      </c>
      <c r="M119" s="92"/>
      <c r="N119" s="92">
        <v>5</v>
      </c>
      <c r="O119" s="92"/>
      <c r="P119" s="92">
        <f t="shared" si="2"/>
        <v>6200</v>
      </c>
    </row>
    <row r="120" spans="1:16">
      <c r="A120" s="39" t="str">
        <f>INDEX([2]活动总表!$A$8:$A$429,MATCH(B120,[2]活动总表!$B$8:$B$429,0))</f>
        <v>节日商店</v>
      </c>
      <c r="B120" s="93">
        <v>325</v>
      </c>
      <c r="C120" s="94">
        <v>118</v>
      </c>
      <c r="D120" s="94">
        <v>0</v>
      </c>
      <c r="E120" s="94">
        <v>12</v>
      </c>
      <c r="F120" s="92">
        <v>508301</v>
      </c>
      <c r="G120" s="76" t="str">
        <f>IFERROR(INDEX([1]物品基础表!$A:$A,MATCH(F120,[1]物品基础表!$B:$B,0)),"")</f>
        <v>红地镯1级</v>
      </c>
      <c r="H120" s="92">
        <v>1</v>
      </c>
      <c r="I120" s="92">
        <v>3100</v>
      </c>
      <c r="J120" s="99">
        <f t="shared" si="1"/>
        <v>3100</v>
      </c>
      <c r="K120" s="92"/>
      <c r="L120" s="93" t="s">
        <v>1391</v>
      </c>
      <c r="M120" s="92"/>
      <c r="N120" s="92">
        <v>5</v>
      </c>
      <c r="O120" s="92"/>
      <c r="P120" s="92">
        <f t="shared" si="2"/>
        <v>6200</v>
      </c>
    </row>
    <row r="121" spans="1:16">
      <c r="A121" s="39" t="str">
        <f>INDEX([2]活动总表!$A$8:$A$429,MATCH(B121,[2]活动总表!$B$8:$B$429,0))</f>
        <v>节日商店</v>
      </c>
      <c r="B121" s="93">
        <v>325</v>
      </c>
      <c r="C121" s="94">
        <v>119</v>
      </c>
      <c r="D121" s="94">
        <v>0</v>
      </c>
      <c r="E121" s="94">
        <v>12</v>
      </c>
      <c r="F121" s="92">
        <v>509301</v>
      </c>
      <c r="G121" s="76" t="str">
        <f>IFERROR(INDEX([1]物品基础表!$A:$A,MATCH(F121,[1]物品基础表!$B:$B,0)),"")</f>
        <v>红乾戒1级</v>
      </c>
      <c r="H121" s="92">
        <v>1</v>
      </c>
      <c r="I121" s="92">
        <v>3100</v>
      </c>
      <c r="J121" s="99">
        <f t="shared" si="1"/>
        <v>3100</v>
      </c>
      <c r="K121" s="92"/>
      <c r="L121" s="93" t="s">
        <v>1391</v>
      </c>
      <c r="M121" s="92"/>
      <c r="N121" s="92">
        <v>5</v>
      </c>
      <c r="O121" s="92"/>
      <c r="P121" s="92">
        <f t="shared" si="2"/>
        <v>6200</v>
      </c>
    </row>
    <row r="122" spans="1:16">
      <c r="A122" s="39" t="str">
        <f>INDEX([2]活动总表!$A$8:$A$429,MATCH(B122,[2]活动总表!$B$8:$B$429,0))</f>
        <v>节日商店</v>
      </c>
      <c r="B122" s="93">
        <v>325</v>
      </c>
      <c r="C122" s="94">
        <v>120</v>
      </c>
      <c r="D122" s="94">
        <v>0</v>
      </c>
      <c r="E122" s="94">
        <v>12</v>
      </c>
      <c r="F122" s="92">
        <v>510301</v>
      </c>
      <c r="G122" s="76" t="str">
        <f>IFERROR(INDEX([1]物品基础表!$A:$A,MATCH(F122,[1]物品基础表!$B:$B,0)),"")</f>
        <v>红龙带1级</v>
      </c>
      <c r="H122" s="92">
        <v>1</v>
      </c>
      <c r="I122" s="92">
        <v>3100</v>
      </c>
      <c r="J122" s="99">
        <f t="shared" si="1"/>
        <v>3100</v>
      </c>
      <c r="K122" s="92"/>
      <c r="L122" s="93" t="s">
        <v>1391</v>
      </c>
      <c r="M122" s="92"/>
      <c r="N122" s="92">
        <v>5</v>
      </c>
      <c r="O122" s="92"/>
      <c r="P122" s="92">
        <f t="shared" si="2"/>
        <v>6200</v>
      </c>
    </row>
    <row r="123" spans="1:16">
      <c r="A123" s="39" t="str">
        <f>INDEX([2]活动总表!$A$8:$A$429,MATCH(B123,[2]活动总表!$B$8:$B$429,0))</f>
        <v>节日商店</v>
      </c>
      <c r="B123" s="93">
        <v>325</v>
      </c>
      <c r="C123" s="94">
        <v>121</v>
      </c>
      <c r="D123" s="94">
        <v>0</v>
      </c>
      <c r="E123" s="94">
        <v>12</v>
      </c>
      <c r="F123" s="92">
        <v>511301</v>
      </c>
      <c r="G123" s="76" t="str">
        <f>IFERROR(INDEX([1]物品基础表!$A:$A,MATCH(F123,[1]物品基础表!$B:$B,0)),"")</f>
        <v>红逐日1级</v>
      </c>
      <c r="H123" s="92">
        <v>1</v>
      </c>
      <c r="I123" s="92">
        <v>3100</v>
      </c>
      <c r="J123" s="99">
        <f t="shared" si="1"/>
        <v>3100</v>
      </c>
      <c r="K123" s="92"/>
      <c r="L123" s="93" t="s">
        <v>1391</v>
      </c>
      <c r="M123" s="92"/>
      <c r="N123" s="92">
        <v>5</v>
      </c>
      <c r="O123" s="92"/>
      <c r="P123" s="92">
        <f t="shared" si="2"/>
        <v>6200</v>
      </c>
    </row>
    <row r="124" spans="1:16">
      <c r="A124" s="39" t="str">
        <f>INDEX([2]活动总表!$A$8:$A$429,MATCH(B124,[2]活动总表!$B$8:$B$429,0))</f>
        <v>节日商店</v>
      </c>
      <c r="B124" s="93">
        <v>325</v>
      </c>
      <c r="C124" s="94">
        <v>122</v>
      </c>
      <c r="D124" s="94">
        <v>0</v>
      </c>
      <c r="E124" s="94">
        <v>12</v>
      </c>
      <c r="F124" s="92">
        <v>512301</v>
      </c>
      <c r="G124" s="76" t="str">
        <f>IFERROR(INDEX([1]物品基础表!$A:$A,MATCH(F124,[1]物品基础表!$B:$B,0)),"")</f>
        <v>红豁免1级</v>
      </c>
      <c r="H124" s="92">
        <v>1</v>
      </c>
      <c r="I124" s="92">
        <v>9400</v>
      </c>
      <c r="J124" s="99">
        <f t="shared" si="1"/>
        <v>9400</v>
      </c>
      <c r="K124" s="92"/>
      <c r="L124" s="93" t="s">
        <v>1391</v>
      </c>
      <c r="M124" s="92"/>
      <c r="N124" s="92">
        <v>5</v>
      </c>
      <c r="O124" s="92"/>
      <c r="P124" s="92">
        <f t="shared" si="2"/>
        <v>18800</v>
      </c>
    </row>
    <row r="125" spans="1:16">
      <c r="A125" s="39" t="str">
        <f>INDEX([2]活动总表!$A$8:$A$429,MATCH(B125,[2]活动总表!$B$8:$B$429,0))</f>
        <v>节日商店</v>
      </c>
      <c r="B125" s="93">
        <v>325</v>
      </c>
      <c r="C125" s="94">
        <v>123</v>
      </c>
      <c r="D125" s="94">
        <v>0</v>
      </c>
      <c r="E125" s="94">
        <v>12</v>
      </c>
      <c r="F125" s="92">
        <v>513301</v>
      </c>
      <c r="G125" s="76" t="str">
        <f>IFERROR(INDEX([1]物品基础表!$A:$A,MATCH(F125,[1]物品基础表!$B:$B,0)),"")</f>
        <v>红杀戮1级</v>
      </c>
      <c r="H125" s="92">
        <v>1</v>
      </c>
      <c r="I125" s="92">
        <v>9400</v>
      </c>
      <c r="J125" s="99">
        <f t="shared" si="1"/>
        <v>9400</v>
      </c>
      <c r="K125" s="92"/>
      <c r="L125" s="93" t="s">
        <v>1391</v>
      </c>
      <c r="M125" s="92"/>
      <c r="N125" s="92">
        <v>5</v>
      </c>
      <c r="O125" s="92"/>
      <c r="P125" s="92">
        <f t="shared" si="2"/>
        <v>18800</v>
      </c>
    </row>
    <row r="126" spans="1:16">
      <c r="A126" s="39" t="str">
        <f>INDEX([2]活动总表!$A$8:$A$429,MATCH(B126,[2]活动总表!$B$8:$B$429,0))</f>
        <v>节日商店</v>
      </c>
      <c r="B126" s="93">
        <v>325</v>
      </c>
      <c r="C126" s="94">
        <v>124</v>
      </c>
      <c r="D126" s="94">
        <v>0</v>
      </c>
      <c r="E126" s="94">
        <v>12</v>
      </c>
      <c r="F126" s="92">
        <v>514301</v>
      </c>
      <c r="G126" s="76" t="str">
        <f>IFERROR(INDEX([1]物品基础表!$A:$A,MATCH(F126,[1]物品基础表!$B:$B,0)),"")</f>
        <v>红祝福1级</v>
      </c>
      <c r="H126" s="92">
        <v>1</v>
      </c>
      <c r="I126" s="92">
        <v>2500</v>
      </c>
      <c r="J126" s="99">
        <f t="shared" si="1"/>
        <v>2500</v>
      </c>
      <c r="K126" s="92"/>
      <c r="L126" s="93" t="s">
        <v>1391</v>
      </c>
      <c r="M126" s="92"/>
      <c r="N126" s="92">
        <v>5</v>
      </c>
      <c r="O126" s="92"/>
      <c r="P126" s="92">
        <f t="shared" si="2"/>
        <v>5000</v>
      </c>
    </row>
    <row r="127" spans="1:16">
      <c r="A127" s="39" t="str">
        <f>INDEX([2]活动总表!$A$8:$A$429,MATCH(B127,[2]活动总表!$B$8:$B$429,0))</f>
        <v>节日商店</v>
      </c>
      <c r="B127" s="93">
        <v>325</v>
      </c>
      <c r="C127" s="94">
        <v>125</v>
      </c>
      <c r="D127" s="94">
        <v>0</v>
      </c>
      <c r="E127" s="94">
        <v>12</v>
      </c>
      <c r="F127" s="92">
        <v>515301</v>
      </c>
      <c r="G127" s="76" t="str">
        <f>IFERROR(INDEX([1]物品基础表!$A:$A,MATCH(F127,[1]物品基础表!$B:$B,0)),"")</f>
        <v>红财神1级</v>
      </c>
      <c r="H127" s="92">
        <v>1</v>
      </c>
      <c r="I127" s="92">
        <v>2500</v>
      </c>
      <c r="J127" s="99">
        <f t="shared" si="1"/>
        <v>2500</v>
      </c>
      <c r="K127" s="92"/>
      <c r="L127" s="93" t="s">
        <v>1391</v>
      </c>
      <c r="M127" s="92"/>
      <c r="N127" s="92">
        <v>5</v>
      </c>
      <c r="O127" s="92"/>
      <c r="P127" s="92">
        <f t="shared" si="2"/>
        <v>5000</v>
      </c>
    </row>
    <row r="128" spans="1:16">
      <c r="A128" s="39" t="str">
        <f>INDEX([2]活动总表!$A$8:$A$429,MATCH(B128,[2]活动总表!$B$8:$B$429,0))</f>
        <v>节日商店</v>
      </c>
      <c r="B128" s="93">
        <v>325</v>
      </c>
      <c r="C128" s="94">
        <v>126</v>
      </c>
      <c r="D128" s="94">
        <v>0</v>
      </c>
      <c r="E128" s="94">
        <v>12</v>
      </c>
      <c r="F128" s="92">
        <v>516301</v>
      </c>
      <c r="G128" s="76" t="str">
        <f>IFERROR(INDEX([1]物品基础表!$A:$A,MATCH(F128,[1]物品基础表!$B:$B,0)),"")</f>
        <v>红强攻1级</v>
      </c>
      <c r="H128" s="92">
        <v>1</v>
      </c>
      <c r="I128" s="92">
        <v>7500</v>
      </c>
      <c r="J128" s="99">
        <f t="shared" si="1"/>
        <v>7500</v>
      </c>
      <c r="K128" s="92"/>
      <c r="L128" s="93" t="s">
        <v>1391</v>
      </c>
      <c r="M128" s="92"/>
      <c r="N128" s="92">
        <v>5</v>
      </c>
      <c r="O128" s="92"/>
      <c r="P128" s="92">
        <f t="shared" si="2"/>
        <v>15000</v>
      </c>
    </row>
    <row r="129" spans="1:16">
      <c r="A129" s="39" t="str">
        <f>INDEX([2]活动总表!$A$8:$A$429,MATCH(B129,[2]活动总表!$B$8:$B$429,0))</f>
        <v>节日商店</v>
      </c>
      <c r="B129" s="93">
        <v>325</v>
      </c>
      <c r="C129" s="94">
        <v>127</v>
      </c>
      <c r="D129" s="94">
        <v>0</v>
      </c>
      <c r="E129" s="94">
        <v>12</v>
      </c>
      <c r="F129" s="92">
        <v>517301</v>
      </c>
      <c r="G129" s="76" t="str">
        <f>IFERROR(INDEX([1]物品基础表!$A:$A,MATCH(F129,[1]物品基础表!$B:$B,0)),"")</f>
        <v>红毁灭1级</v>
      </c>
      <c r="H129" s="92">
        <v>1</v>
      </c>
      <c r="I129" s="92">
        <v>7500</v>
      </c>
      <c r="J129" s="99">
        <f t="shared" si="1"/>
        <v>7500</v>
      </c>
      <c r="K129" s="92"/>
      <c r="L129" s="93" t="s">
        <v>1391</v>
      </c>
      <c r="M129" s="92"/>
      <c r="N129" s="92">
        <v>5</v>
      </c>
      <c r="O129" s="92"/>
      <c r="P129" s="92">
        <f t="shared" si="2"/>
        <v>15000</v>
      </c>
    </row>
    <row r="130" spans="1:16">
      <c r="A130" s="39" t="str">
        <f>INDEX([2]活动总表!$A$8:$A$429,MATCH(B130,[2]活动总表!$B$8:$B$429,0))</f>
        <v>节日商店</v>
      </c>
      <c r="B130" s="93">
        <v>325</v>
      </c>
      <c r="C130" s="94">
        <v>128</v>
      </c>
      <c r="D130" s="94">
        <v>0</v>
      </c>
      <c r="E130" s="94">
        <v>12</v>
      </c>
      <c r="F130" s="92">
        <v>518301</v>
      </c>
      <c r="G130" s="76" t="str">
        <f>IFERROR(INDEX([1]物品基础表!$A:$A,MATCH(F130,[1]物品基础表!$B:$B,0)),"")</f>
        <v>红泰坦1级</v>
      </c>
      <c r="H130" s="92">
        <v>1</v>
      </c>
      <c r="I130" s="92">
        <v>7500</v>
      </c>
      <c r="J130" s="99">
        <f t="shared" si="1"/>
        <v>7500</v>
      </c>
      <c r="K130" s="92"/>
      <c r="L130" s="93" t="s">
        <v>1391</v>
      </c>
      <c r="M130" s="92"/>
      <c r="N130" s="92">
        <v>5</v>
      </c>
      <c r="O130" s="92"/>
      <c r="P130" s="92">
        <f t="shared" si="2"/>
        <v>15000</v>
      </c>
    </row>
    <row r="131" spans="1:16">
      <c r="A131" s="39" t="str">
        <f>INDEX([2]活动总表!$A$8:$A$429,MATCH(B131,[2]活动总表!$B$8:$B$429,0))</f>
        <v>节日商店</v>
      </c>
      <c r="B131" s="93">
        <v>325</v>
      </c>
      <c r="C131" s="94">
        <v>129</v>
      </c>
      <c r="D131" s="94">
        <v>0</v>
      </c>
      <c r="E131" s="94">
        <v>12</v>
      </c>
      <c r="F131" s="92">
        <v>501201</v>
      </c>
      <c r="G131" s="76" t="str">
        <f>IFERROR(INDEX([1]物品基础表!$A:$A,MATCH(F131,[1]物品基础表!$B:$B,0)),"")</f>
        <v>橙神力1级</v>
      </c>
      <c r="H131" s="92">
        <v>1</v>
      </c>
      <c r="I131" s="92">
        <v>2300</v>
      </c>
      <c r="J131" s="99">
        <f t="shared" si="1"/>
        <v>2300</v>
      </c>
      <c r="K131" s="92"/>
      <c r="L131" s="93" t="s">
        <v>1392</v>
      </c>
      <c r="M131" s="92"/>
      <c r="N131" s="92">
        <v>3</v>
      </c>
      <c r="O131" s="92"/>
      <c r="P131" s="92">
        <f t="shared" si="2"/>
        <v>4600</v>
      </c>
    </row>
    <row r="132" spans="1:16">
      <c r="A132" s="39" t="str">
        <f>INDEX([2]活动总表!$A$8:$A$429,MATCH(B132,[2]活动总表!$B$8:$B$429,0))</f>
        <v>节日商店</v>
      </c>
      <c r="B132" s="93">
        <v>325</v>
      </c>
      <c r="C132" s="94">
        <v>130</v>
      </c>
      <c r="D132" s="94">
        <v>0</v>
      </c>
      <c r="E132" s="94">
        <v>12</v>
      </c>
      <c r="F132" s="92">
        <v>502201</v>
      </c>
      <c r="G132" s="76" t="str">
        <f>IFERROR(INDEX([1]物品基础表!$A:$A,MATCH(F132,[1]物品基础表!$B:$B,0)),"")</f>
        <v>橙金汤1级</v>
      </c>
      <c r="H132" s="92">
        <v>1</v>
      </c>
      <c r="I132" s="92">
        <v>2300</v>
      </c>
      <c r="J132" s="99">
        <f t="shared" ref="J132:J195" si="3">I132/H132</f>
        <v>2300</v>
      </c>
      <c r="K132" s="92"/>
      <c r="L132" s="93" t="s">
        <v>1392</v>
      </c>
      <c r="M132" s="92"/>
      <c r="N132" s="92">
        <v>3</v>
      </c>
      <c r="O132" s="92"/>
      <c r="P132" s="92">
        <f t="shared" si="2"/>
        <v>4600</v>
      </c>
    </row>
    <row r="133" spans="1:16">
      <c r="A133" s="39" t="str">
        <f>INDEX([2]活动总表!$A$8:$A$429,MATCH(B133,[2]活动总表!$B$8:$B$429,0))</f>
        <v>节日商店</v>
      </c>
      <c r="B133" s="93">
        <v>325</v>
      </c>
      <c r="C133" s="94">
        <v>131</v>
      </c>
      <c r="D133" s="94">
        <v>0</v>
      </c>
      <c r="E133" s="94">
        <v>12</v>
      </c>
      <c r="F133" s="92">
        <v>503201</v>
      </c>
      <c r="G133" s="76" t="str">
        <f>IFERROR(INDEX([1]物品基础表!$A:$A,MATCH(F133,[1]物品基础表!$B:$B,0)),"")</f>
        <v>橙长生1级</v>
      </c>
      <c r="H133" s="92">
        <v>1</v>
      </c>
      <c r="I133" s="92">
        <v>2300</v>
      </c>
      <c r="J133" s="99">
        <f t="shared" si="3"/>
        <v>2300</v>
      </c>
      <c r="K133" s="92"/>
      <c r="L133" s="93" t="s">
        <v>1392</v>
      </c>
      <c r="M133" s="92"/>
      <c r="N133" s="92">
        <v>3</v>
      </c>
      <c r="O133" s="92"/>
      <c r="P133" s="92">
        <f t="shared" si="2"/>
        <v>4600</v>
      </c>
    </row>
    <row r="134" spans="1:16">
      <c r="A134" s="39" t="str">
        <f>INDEX([2]活动总表!$A$8:$A$429,MATCH(B134,[2]活动总表!$B$8:$B$429,0))</f>
        <v>节日商店</v>
      </c>
      <c r="B134" s="93">
        <v>325</v>
      </c>
      <c r="C134" s="94">
        <v>132</v>
      </c>
      <c r="D134" s="94">
        <v>0</v>
      </c>
      <c r="E134" s="94">
        <v>12</v>
      </c>
      <c r="F134" s="92">
        <v>504201</v>
      </c>
      <c r="G134" s="76" t="str">
        <f>IFERROR(INDEX([1]物品基础表!$A:$A,MATCH(F134,[1]物品基础表!$B:$B,0)),"")</f>
        <v>橙光武1级</v>
      </c>
      <c r="H134" s="92">
        <v>1</v>
      </c>
      <c r="I134" s="92">
        <v>3000</v>
      </c>
      <c r="J134" s="99">
        <f t="shared" si="3"/>
        <v>3000</v>
      </c>
      <c r="K134" s="92"/>
      <c r="L134" s="93" t="s">
        <v>1392</v>
      </c>
      <c r="M134" s="92"/>
      <c r="N134" s="92">
        <v>3</v>
      </c>
      <c r="O134" s="92"/>
      <c r="P134" s="92">
        <f t="shared" si="2"/>
        <v>6000</v>
      </c>
    </row>
    <row r="135" spans="1:16">
      <c r="A135" s="39" t="str">
        <f>INDEX([2]活动总表!$A$8:$A$429,MATCH(B135,[2]活动总表!$B$8:$B$429,0))</f>
        <v>节日商店</v>
      </c>
      <c r="B135" s="93">
        <v>325</v>
      </c>
      <c r="C135" s="94">
        <v>133</v>
      </c>
      <c r="D135" s="94">
        <v>0</v>
      </c>
      <c r="E135" s="94">
        <v>12</v>
      </c>
      <c r="F135" s="92">
        <v>505201</v>
      </c>
      <c r="G135" s="76" t="str">
        <f>IFERROR(INDEX([1]物品基础表!$A:$A,MATCH(F135,[1]物品基础表!$B:$B,0)),"")</f>
        <v>橙神盔1级</v>
      </c>
      <c r="H135" s="92">
        <v>1</v>
      </c>
      <c r="I135" s="92">
        <v>900</v>
      </c>
      <c r="J135" s="99">
        <f t="shared" si="3"/>
        <v>900</v>
      </c>
      <c r="K135" s="92"/>
      <c r="L135" s="93" t="s">
        <v>1392</v>
      </c>
      <c r="M135" s="92"/>
      <c r="N135" s="92">
        <v>3</v>
      </c>
      <c r="O135" s="92"/>
      <c r="P135" s="92">
        <f t="shared" si="2"/>
        <v>1800</v>
      </c>
    </row>
    <row r="136" spans="1:16">
      <c r="A136" s="39" t="str">
        <f>INDEX([2]活动总表!$A$8:$A$429,MATCH(B136,[2]活动总表!$B$8:$B$429,0))</f>
        <v>节日商店</v>
      </c>
      <c r="B136" s="93">
        <v>325</v>
      </c>
      <c r="C136" s="94">
        <v>134</v>
      </c>
      <c r="D136" s="94">
        <v>0</v>
      </c>
      <c r="E136" s="94">
        <v>12</v>
      </c>
      <c r="F136" s="92">
        <v>506201</v>
      </c>
      <c r="G136" s="76" t="str">
        <f>IFERROR(INDEX([1]物品基础表!$A:$A,MATCH(F136,[1]物品基础表!$B:$B,0)),"")</f>
        <v>橙固甲1级</v>
      </c>
      <c r="H136" s="92">
        <v>1</v>
      </c>
      <c r="I136" s="92">
        <v>1900</v>
      </c>
      <c r="J136" s="99">
        <f t="shared" si="3"/>
        <v>1900</v>
      </c>
      <c r="K136" s="92"/>
      <c r="L136" s="93" t="s">
        <v>1392</v>
      </c>
      <c r="M136" s="92"/>
      <c r="N136" s="92">
        <v>3</v>
      </c>
      <c r="O136" s="92"/>
      <c r="P136" s="92">
        <f t="shared" si="2"/>
        <v>3800</v>
      </c>
    </row>
    <row r="137" spans="1:16">
      <c r="A137" s="39" t="str">
        <f>INDEX([2]活动总表!$A$8:$A$429,MATCH(B137,[2]活动总表!$B$8:$B$429,0))</f>
        <v>节日商店</v>
      </c>
      <c r="B137" s="93">
        <v>325</v>
      </c>
      <c r="C137" s="94">
        <v>135</v>
      </c>
      <c r="D137" s="94">
        <v>0</v>
      </c>
      <c r="E137" s="94">
        <v>12</v>
      </c>
      <c r="F137" s="92">
        <v>507201</v>
      </c>
      <c r="G137" s="76" t="str">
        <f>IFERROR(INDEX([1]物品基础表!$A:$A,MATCH(F137,[1]物品基础表!$B:$B,0)),"")</f>
        <v>橙灵链1级</v>
      </c>
      <c r="H137" s="92">
        <v>1</v>
      </c>
      <c r="I137" s="92">
        <v>900</v>
      </c>
      <c r="J137" s="99">
        <f t="shared" si="3"/>
        <v>900</v>
      </c>
      <c r="K137" s="92"/>
      <c r="L137" s="93" t="s">
        <v>1392</v>
      </c>
      <c r="M137" s="92"/>
      <c r="N137" s="92">
        <v>3</v>
      </c>
      <c r="O137" s="92"/>
      <c r="P137" s="92">
        <f t="shared" si="2"/>
        <v>1800</v>
      </c>
    </row>
    <row r="138" spans="1:16">
      <c r="A138" s="39" t="str">
        <f>INDEX([2]活动总表!$A$8:$A$429,MATCH(B138,[2]活动总表!$B$8:$B$429,0))</f>
        <v>节日商店</v>
      </c>
      <c r="B138" s="93">
        <v>325</v>
      </c>
      <c r="C138" s="94">
        <v>136</v>
      </c>
      <c r="D138" s="94">
        <v>0</v>
      </c>
      <c r="E138" s="94">
        <v>12</v>
      </c>
      <c r="F138" s="92">
        <v>508201</v>
      </c>
      <c r="G138" s="76" t="str">
        <f>IFERROR(INDEX([1]物品基础表!$A:$A,MATCH(F138,[1]物品基础表!$B:$B,0)),"")</f>
        <v>橙地镯1级</v>
      </c>
      <c r="H138" s="92">
        <v>1</v>
      </c>
      <c r="I138" s="92">
        <v>900</v>
      </c>
      <c r="J138" s="99">
        <f t="shared" si="3"/>
        <v>900</v>
      </c>
      <c r="K138" s="92"/>
      <c r="L138" s="93" t="s">
        <v>1392</v>
      </c>
      <c r="M138" s="92"/>
      <c r="N138" s="92">
        <v>3</v>
      </c>
      <c r="O138" s="92"/>
      <c r="P138" s="92">
        <f t="shared" si="2"/>
        <v>1800</v>
      </c>
    </row>
    <row r="139" spans="1:16">
      <c r="A139" s="39" t="str">
        <f>INDEX([2]活动总表!$A$8:$A$429,MATCH(B139,[2]活动总表!$B$8:$B$429,0))</f>
        <v>节日商店</v>
      </c>
      <c r="B139" s="93">
        <v>325</v>
      </c>
      <c r="C139" s="94">
        <v>137</v>
      </c>
      <c r="D139" s="94">
        <v>0</v>
      </c>
      <c r="E139" s="94">
        <v>12</v>
      </c>
      <c r="F139" s="92">
        <v>509201</v>
      </c>
      <c r="G139" s="76" t="str">
        <f>IFERROR(INDEX([1]物品基础表!$A:$A,MATCH(F139,[1]物品基础表!$B:$B,0)),"")</f>
        <v>橙乾戒1级</v>
      </c>
      <c r="H139" s="92">
        <v>1</v>
      </c>
      <c r="I139" s="92">
        <v>900</v>
      </c>
      <c r="J139" s="99">
        <f t="shared" si="3"/>
        <v>900</v>
      </c>
      <c r="K139" s="92"/>
      <c r="L139" s="93" t="s">
        <v>1392</v>
      </c>
      <c r="M139" s="92"/>
      <c r="N139" s="92">
        <v>3</v>
      </c>
      <c r="O139" s="92"/>
      <c r="P139" s="92">
        <f t="shared" si="2"/>
        <v>1800</v>
      </c>
    </row>
    <row r="140" spans="1:16">
      <c r="A140" s="39" t="str">
        <f>INDEX([2]活动总表!$A$8:$A$429,MATCH(B140,[2]活动总表!$B$8:$B$429,0))</f>
        <v>节日商店</v>
      </c>
      <c r="B140" s="93">
        <v>325</v>
      </c>
      <c r="C140" s="94">
        <v>138</v>
      </c>
      <c r="D140" s="94">
        <v>0</v>
      </c>
      <c r="E140" s="94">
        <v>12</v>
      </c>
      <c r="F140" s="92">
        <v>510201</v>
      </c>
      <c r="G140" s="76" t="str">
        <f>IFERROR(INDEX([1]物品基础表!$A:$A,MATCH(F140,[1]物品基础表!$B:$B,0)),"")</f>
        <v>橙龙带1级</v>
      </c>
      <c r="H140" s="92">
        <v>1</v>
      </c>
      <c r="I140" s="92">
        <v>900</v>
      </c>
      <c r="J140" s="99">
        <f t="shared" si="3"/>
        <v>900</v>
      </c>
      <c r="K140" s="92"/>
      <c r="L140" s="93" t="s">
        <v>1392</v>
      </c>
      <c r="M140" s="92"/>
      <c r="N140" s="92">
        <v>3</v>
      </c>
      <c r="O140" s="92"/>
      <c r="P140" s="92">
        <f t="shared" si="2"/>
        <v>1800</v>
      </c>
    </row>
    <row r="141" spans="1:16">
      <c r="A141" s="39" t="str">
        <f>INDEX([2]活动总表!$A$8:$A$429,MATCH(B141,[2]活动总表!$B$8:$B$429,0))</f>
        <v>节日商店</v>
      </c>
      <c r="B141" s="93">
        <v>325</v>
      </c>
      <c r="C141" s="94">
        <v>139</v>
      </c>
      <c r="D141" s="94">
        <v>0</v>
      </c>
      <c r="E141" s="94">
        <v>12</v>
      </c>
      <c r="F141" s="92">
        <v>511201</v>
      </c>
      <c r="G141" s="76" t="str">
        <f>IFERROR(INDEX([1]物品基础表!$A:$A,MATCH(F141,[1]物品基础表!$B:$B,0)),"")</f>
        <v>橙逐日1级</v>
      </c>
      <c r="H141" s="92">
        <v>1</v>
      </c>
      <c r="I141" s="92">
        <v>900</v>
      </c>
      <c r="J141" s="99">
        <f t="shared" si="3"/>
        <v>900</v>
      </c>
      <c r="K141" s="92"/>
      <c r="L141" s="93" t="s">
        <v>1392</v>
      </c>
      <c r="M141" s="92"/>
      <c r="N141" s="92">
        <v>3</v>
      </c>
      <c r="O141" s="92"/>
      <c r="P141" s="92">
        <f t="shared" si="2"/>
        <v>1800</v>
      </c>
    </row>
    <row r="142" spans="1:16">
      <c r="A142" s="39" t="str">
        <f>INDEX([2]活动总表!$A$8:$A$429,MATCH(B142,[2]活动总表!$B$8:$B$429,0))</f>
        <v>节日商店</v>
      </c>
      <c r="B142" s="93">
        <v>325</v>
      </c>
      <c r="C142" s="94">
        <v>140</v>
      </c>
      <c r="D142" s="94">
        <v>0</v>
      </c>
      <c r="E142" s="94">
        <v>12</v>
      </c>
      <c r="F142" s="92">
        <v>512201</v>
      </c>
      <c r="G142" s="76" t="str">
        <f>IFERROR(INDEX([1]物品基础表!$A:$A,MATCH(F142,[1]物品基础表!$B:$B,0)),"")</f>
        <v>橙豁免1级</v>
      </c>
      <c r="H142" s="92">
        <v>1</v>
      </c>
      <c r="I142" s="92">
        <v>2800</v>
      </c>
      <c r="J142" s="99">
        <f t="shared" si="3"/>
        <v>2800</v>
      </c>
      <c r="K142" s="92"/>
      <c r="L142" s="93" t="s">
        <v>1392</v>
      </c>
      <c r="M142" s="92"/>
      <c r="N142" s="92">
        <v>3</v>
      </c>
      <c r="O142" s="92"/>
      <c r="P142" s="92">
        <f t="shared" si="2"/>
        <v>5600</v>
      </c>
    </row>
    <row r="143" spans="1:16">
      <c r="A143" s="39" t="str">
        <f>INDEX([2]活动总表!$A$8:$A$429,MATCH(B143,[2]活动总表!$B$8:$B$429,0))</f>
        <v>节日商店</v>
      </c>
      <c r="B143" s="93">
        <v>325</v>
      </c>
      <c r="C143" s="94">
        <v>141</v>
      </c>
      <c r="D143" s="94">
        <v>0</v>
      </c>
      <c r="E143" s="94">
        <v>12</v>
      </c>
      <c r="F143" s="92">
        <v>513201</v>
      </c>
      <c r="G143" s="76" t="str">
        <f>IFERROR(INDEX([1]物品基础表!$A:$A,MATCH(F143,[1]物品基础表!$B:$B,0)),"")</f>
        <v>橙杀戮1级</v>
      </c>
      <c r="H143" s="92">
        <v>1</v>
      </c>
      <c r="I143" s="92">
        <v>2800</v>
      </c>
      <c r="J143" s="99">
        <f t="shared" si="3"/>
        <v>2800</v>
      </c>
      <c r="K143" s="92"/>
      <c r="L143" s="93" t="s">
        <v>1392</v>
      </c>
      <c r="M143" s="92"/>
      <c r="N143" s="92">
        <v>3</v>
      </c>
      <c r="O143" s="92"/>
      <c r="P143" s="92">
        <f t="shared" si="2"/>
        <v>5600</v>
      </c>
    </row>
    <row r="144" spans="1:16">
      <c r="A144" s="39" t="str">
        <f>INDEX([2]活动总表!$A$8:$A$429,MATCH(B144,[2]活动总表!$B$8:$B$429,0))</f>
        <v>节日商店</v>
      </c>
      <c r="B144" s="93">
        <v>325</v>
      </c>
      <c r="C144" s="94">
        <v>142</v>
      </c>
      <c r="D144" s="94">
        <v>0</v>
      </c>
      <c r="E144" s="94">
        <v>12</v>
      </c>
      <c r="F144" s="92">
        <v>514201</v>
      </c>
      <c r="G144" s="76" t="str">
        <f>IFERROR(INDEX([1]物品基础表!$A:$A,MATCH(F144,[1]物品基础表!$B:$B,0)),"")</f>
        <v>橙祝福1级</v>
      </c>
      <c r="H144" s="92">
        <v>1</v>
      </c>
      <c r="I144" s="92">
        <v>800</v>
      </c>
      <c r="J144" s="99">
        <f t="shared" si="3"/>
        <v>800</v>
      </c>
      <c r="K144" s="92"/>
      <c r="L144" s="93" t="s">
        <v>1392</v>
      </c>
      <c r="M144" s="92"/>
      <c r="N144" s="92">
        <v>3</v>
      </c>
      <c r="O144" s="92"/>
      <c r="P144" s="92">
        <f t="shared" si="2"/>
        <v>1600</v>
      </c>
    </row>
    <row r="145" spans="1:16">
      <c r="A145" s="39" t="str">
        <f>INDEX([2]活动总表!$A$8:$A$429,MATCH(B145,[2]活动总表!$B$8:$B$429,0))</f>
        <v>节日商店</v>
      </c>
      <c r="B145" s="93">
        <v>325</v>
      </c>
      <c r="C145" s="94">
        <v>143</v>
      </c>
      <c r="D145" s="94">
        <v>0</v>
      </c>
      <c r="E145" s="94">
        <v>12</v>
      </c>
      <c r="F145" s="92">
        <v>515201</v>
      </c>
      <c r="G145" s="76" t="str">
        <f>IFERROR(INDEX([1]物品基础表!$A:$A,MATCH(F145,[1]物品基础表!$B:$B,0)),"")</f>
        <v>橙财神1级</v>
      </c>
      <c r="H145" s="92">
        <v>1</v>
      </c>
      <c r="I145" s="92">
        <v>800</v>
      </c>
      <c r="J145" s="99">
        <f t="shared" si="3"/>
        <v>800</v>
      </c>
      <c r="K145" s="92"/>
      <c r="L145" s="93" t="s">
        <v>1392</v>
      </c>
      <c r="M145" s="92"/>
      <c r="N145" s="92">
        <v>3</v>
      </c>
      <c r="O145" s="92"/>
      <c r="P145" s="92">
        <f t="shared" si="2"/>
        <v>1600</v>
      </c>
    </row>
    <row r="146" spans="1:16">
      <c r="A146" s="39" t="str">
        <f>INDEX([2]活动总表!$A$8:$A$429,MATCH(B146,[2]活动总表!$B$8:$B$429,0))</f>
        <v>节日商店</v>
      </c>
      <c r="B146" s="93">
        <v>325</v>
      </c>
      <c r="C146" s="94">
        <v>144</v>
      </c>
      <c r="D146" s="94">
        <v>0</v>
      </c>
      <c r="E146" s="94">
        <v>12</v>
      </c>
      <c r="F146" s="92">
        <v>516201</v>
      </c>
      <c r="G146" s="76" t="str">
        <f>IFERROR(INDEX([1]物品基础表!$A:$A,MATCH(F146,[1]物品基础表!$B:$B,0)),"")</f>
        <v>橙强攻1级</v>
      </c>
      <c r="H146" s="92">
        <v>1</v>
      </c>
      <c r="I146" s="92">
        <v>2300</v>
      </c>
      <c r="J146" s="99">
        <f t="shared" si="3"/>
        <v>2300</v>
      </c>
      <c r="K146" s="92"/>
      <c r="L146" s="93" t="s">
        <v>1392</v>
      </c>
      <c r="M146" s="92"/>
      <c r="N146" s="92">
        <v>3</v>
      </c>
      <c r="O146" s="92"/>
      <c r="P146" s="92">
        <f t="shared" si="2"/>
        <v>4600</v>
      </c>
    </row>
    <row r="147" spans="1:16">
      <c r="A147" s="39" t="str">
        <f>INDEX([2]活动总表!$A$8:$A$429,MATCH(B147,[2]活动总表!$B$8:$B$429,0))</f>
        <v>节日商店</v>
      </c>
      <c r="B147" s="93">
        <v>325</v>
      </c>
      <c r="C147" s="94">
        <v>145</v>
      </c>
      <c r="D147" s="94">
        <v>0</v>
      </c>
      <c r="E147" s="94">
        <v>12</v>
      </c>
      <c r="F147" s="92">
        <v>517201</v>
      </c>
      <c r="G147" s="76" t="str">
        <f>IFERROR(INDEX([1]物品基础表!$A:$A,MATCH(F147,[1]物品基础表!$B:$B,0)),"")</f>
        <v>橙毁灭1级</v>
      </c>
      <c r="H147" s="92">
        <v>1</v>
      </c>
      <c r="I147" s="92">
        <v>2300</v>
      </c>
      <c r="J147" s="99">
        <f t="shared" si="3"/>
        <v>2300</v>
      </c>
      <c r="K147" s="92"/>
      <c r="L147" s="93" t="s">
        <v>1392</v>
      </c>
      <c r="M147" s="92"/>
      <c r="N147" s="92">
        <v>3</v>
      </c>
      <c r="O147" s="92"/>
      <c r="P147" s="92">
        <f t="shared" si="2"/>
        <v>4600</v>
      </c>
    </row>
    <row r="148" spans="1:16">
      <c r="A148" s="39" t="str">
        <f>INDEX([2]活动总表!$A$8:$A$429,MATCH(B148,[2]活动总表!$B$8:$B$429,0))</f>
        <v>节日商店</v>
      </c>
      <c r="B148" s="93">
        <v>325</v>
      </c>
      <c r="C148" s="94">
        <v>146</v>
      </c>
      <c r="D148" s="94">
        <v>0</v>
      </c>
      <c r="E148" s="94">
        <v>12</v>
      </c>
      <c r="F148" s="92">
        <v>518201</v>
      </c>
      <c r="G148" s="76" t="str">
        <f>IFERROR(INDEX([1]物品基础表!$A:$A,MATCH(F148,[1]物品基础表!$B:$B,0)),"")</f>
        <v>橙泰坦1级</v>
      </c>
      <c r="H148" s="92">
        <v>1</v>
      </c>
      <c r="I148" s="92">
        <v>2300</v>
      </c>
      <c r="J148" s="99">
        <f t="shared" si="3"/>
        <v>2300</v>
      </c>
      <c r="K148" s="92"/>
      <c r="L148" s="93" t="s">
        <v>1392</v>
      </c>
      <c r="M148" s="92"/>
      <c r="N148" s="92">
        <v>3</v>
      </c>
      <c r="O148" s="92"/>
      <c r="P148" s="92">
        <f t="shared" si="2"/>
        <v>4600</v>
      </c>
    </row>
    <row r="149" spans="1:16">
      <c r="A149" s="39" t="str">
        <f>INDEX([2]活动总表!$A$8:$A$429,MATCH(B149,[2]活动总表!$B$8:$B$429,0))</f>
        <v>节日商店</v>
      </c>
      <c r="B149" s="93">
        <v>325</v>
      </c>
      <c r="C149" s="94">
        <v>147</v>
      </c>
      <c r="D149" s="94">
        <v>0</v>
      </c>
      <c r="E149" s="94">
        <v>12</v>
      </c>
      <c r="F149" s="92">
        <v>200302</v>
      </c>
      <c r="G149" s="76" t="str">
        <f>IFERROR(INDEX([1]物品基础表!$A:$A,MATCH(F149,[1]物品基础表!$B:$B,0)),"")</f>
        <v>传世至宝</v>
      </c>
      <c r="H149" s="92">
        <v>1</v>
      </c>
      <c r="I149" s="92">
        <v>50000</v>
      </c>
      <c r="J149" s="99">
        <f t="shared" si="3"/>
        <v>50000</v>
      </c>
      <c r="K149" s="92"/>
      <c r="L149" s="93" t="s">
        <v>1390</v>
      </c>
      <c r="M149" s="92"/>
      <c r="N149" s="92">
        <v>5</v>
      </c>
      <c r="O149" s="92"/>
      <c r="P149" s="92">
        <f t="shared" si="2"/>
        <v>100000</v>
      </c>
    </row>
    <row r="150" spans="1:16">
      <c r="A150" s="39" t="str">
        <f>INDEX([2]活动总表!$A$8:$A$429,MATCH(B150,[2]活动总表!$B$8:$B$429,0))</f>
        <v>节日商店</v>
      </c>
      <c r="B150" s="93">
        <v>325</v>
      </c>
      <c r="C150" s="94">
        <v>148</v>
      </c>
      <c r="D150" s="94">
        <v>0</v>
      </c>
      <c r="E150" s="94">
        <v>12</v>
      </c>
      <c r="F150" s="92">
        <v>204132</v>
      </c>
      <c r="G150" s="76" t="str">
        <f>IFERROR(INDEX([1]物品基础表!$A:$A,MATCH(F150,[1]物品基础表!$B:$B,0)),"")</f>
        <v>橙色图鉴包·倾国倾城</v>
      </c>
      <c r="H150" s="92">
        <v>1</v>
      </c>
      <c r="I150" s="92">
        <v>3900</v>
      </c>
      <c r="J150" s="99">
        <f t="shared" si="3"/>
        <v>3900</v>
      </c>
      <c r="K150" s="92"/>
      <c r="L150" s="93" t="s">
        <v>1389</v>
      </c>
      <c r="M150" s="92"/>
      <c r="N150" s="92">
        <v>3</v>
      </c>
      <c r="O150" s="92"/>
      <c r="P150" s="92"/>
    </row>
    <row r="151" spans="1:16">
      <c r="A151" s="39" t="str">
        <f>INDEX([2]活动总表!$A$8:$A$429,MATCH(B151,[2]活动总表!$B$8:$B$429,0))</f>
        <v>节日商店</v>
      </c>
      <c r="B151" s="93">
        <v>325</v>
      </c>
      <c r="C151" s="94">
        <v>149</v>
      </c>
      <c r="D151" s="94">
        <v>0</v>
      </c>
      <c r="E151" s="94">
        <v>12</v>
      </c>
      <c r="F151" s="92">
        <v>204133</v>
      </c>
      <c r="G151" s="76" t="str">
        <f>IFERROR(INDEX([1]物品基础表!$A:$A,MATCH(F151,[1]物品基础表!$B:$B,0)),"")</f>
        <v>红色图鉴包·倾国倾城</v>
      </c>
      <c r="H151" s="92">
        <v>1</v>
      </c>
      <c r="I151" s="92">
        <v>8000</v>
      </c>
      <c r="J151" s="99">
        <f t="shared" si="3"/>
        <v>8000</v>
      </c>
      <c r="K151" s="92"/>
      <c r="L151" s="93" t="s">
        <v>1389</v>
      </c>
      <c r="M151" s="92"/>
      <c r="N151" s="92">
        <v>3</v>
      </c>
      <c r="O151" s="92"/>
      <c r="P151" s="92"/>
    </row>
    <row r="152" spans="1:16">
      <c r="A152" s="39" t="str">
        <f>INDEX([2]活动总表!$A$8:$A$429,MATCH(B152,[2]活动总表!$B$8:$B$429,0))</f>
        <v>节日商店</v>
      </c>
      <c r="B152" s="93">
        <v>325</v>
      </c>
      <c r="C152" s="94">
        <v>150</v>
      </c>
      <c r="D152" s="94">
        <v>0</v>
      </c>
      <c r="E152" s="94">
        <v>12</v>
      </c>
      <c r="F152" s="92">
        <v>204134</v>
      </c>
      <c r="G152" s="76" t="str">
        <f>IFERROR(INDEX([1]物品基础表!$A:$A,MATCH(F152,[1]物品基础表!$B:$B,0)),"")</f>
        <v>金色图鉴包·倾国倾城</v>
      </c>
      <c r="H152" s="92">
        <v>1</v>
      </c>
      <c r="I152" s="92">
        <v>15000</v>
      </c>
      <c r="J152" s="99">
        <f t="shared" si="3"/>
        <v>15000</v>
      </c>
      <c r="K152" s="92"/>
      <c r="L152" s="93" t="s">
        <v>1389</v>
      </c>
      <c r="M152" s="92"/>
      <c r="N152" s="92">
        <v>3</v>
      </c>
      <c r="O152" s="92"/>
      <c r="P152" s="92"/>
    </row>
    <row r="153" spans="1:16">
      <c r="A153" s="39" t="str">
        <f>INDEX([2]活动总表!$A$8:$A$429,MATCH(B153,[2]活动总表!$B$8:$B$429,0))</f>
        <v>节日商店</v>
      </c>
      <c r="B153" s="93">
        <v>325</v>
      </c>
      <c r="C153" s="94">
        <v>151</v>
      </c>
      <c r="D153" s="94">
        <v>0</v>
      </c>
      <c r="E153" s="94">
        <v>12</v>
      </c>
      <c r="F153" s="92">
        <v>205005</v>
      </c>
      <c r="G153" s="76" t="str">
        <f>IFERROR(INDEX([1]物品基础表!$A:$A,MATCH(F153,[1]物品基础表!$B:$B,0)),"")</f>
        <v>火德星君</v>
      </c>
      <c r="H153" s="92">
        <v>1</v>
      </c>
      <c r="I153" s="92">
        <v>100000</v>
      </c>
      <c r="J153" s="99">
        <f t="shared" si="3"/>
        <v>100000</v>
      </c>
      <c r="K153" s="92"/>
      <c r="L153" s="93" t="s">
        <v>1388</v>
      </c>
      <c r="M153" s="92"/>
      <c r="N153" s="92">
        <v>5</v>
      </c>
      <c r="O153" s="92"/>
      <c r="P153" s="92"/>
    </row>
    <row r="154" spans="1:16">
      <c r="A154" s="39" t="str">
        <f>INDEX([2]活动总表!$A$8:$A$429,MATCH(B154,[2]活动总表!$B$8:$B$429,0))</f>
        <v>节日商店</v>
      </c>
      <c r="B154" s="93">
        <v>325</v>
      </c>
      <c r="C154" s="94">
        <v>152</v>
      </c>
      <c r="D154" s="94">
        <v>0</v>
      </c>
      <c r="E154" s="94">
        <v>12</v>
      </c>
      <c r="F154" s="92">
        <v>200910</v>
      </c>
      <c r="G154" s="76" t="str">
        <f>IFERROR(INDEX([1]物品基础表!$A:$A,MATCH(F154,[1]物品基础表!$B:$B,0)),"")</f>
        <v>紫色圣物宝箱</v>
      </c>
      <c r="H154" s="92">
        <v>1</v>
      </c>
      <c r="I154" s="92">
        <v>1500</v>
      </c>
      <c r="J154" s="99">
        <f t="shared" si="3"/>
        <v>1500</v>
      </c>
      <c r="K154" s="92"/>
      <c r="L154" s="93" t="s">
        <v>1393</v>
      </c>
      <c r="M154" s="92"/>
      <c r="N154" s="92">
        <v>2</v>
      </c>
      <c r="O154" s="92"/>
      <c r="P154" s="92"/>
    </row>
    <row r="155" spans="1:16">
      <c r="A155" s="39" t="str">
        <f>INDEX([2]活动总表!$A$8:$A$429,MATCH(B155,[2]活动总表!$B$8:$B$429,0))</f>
        <v>节日商店</v>
      </c>
      <c r="B155" s="93">
        <v>325</v>
      </c>
      <c r="C155" s="94">
        <v>153</v>
      </c>
      <c r="D155" s="94">
        <v>0</v>
      </c>
      <c r="E155" s="94">
        <v>12</v>
      </c>
      <c r="F155" s="92">
        <v>200911</v>
      </c>
      <c r="G155" s="76" t="str">
        <f>IFERROR(INDEX([1]物品基础表!$A:$A,MATCH(F155,[1]物品基础表!$B:$B,0)),"")</f>
        <v>橙色圣物宝箱</v>
      </c>
      <c r="H155" s="92">
        <v>1</v>
      </c>
      <c r="I155" s="92">
        <v>6700</v>
      </c>
      <c r="J155" s="99">
        <f t="shared" si="3"/>
        <v>6700</v>
      </c>
      <c r="K155" s="92"/>
      <c r="L155" s="93" t="s">
        <v>1393</v>
      </c>
      <c r="M155" s="92"/>
      <c r="N155" s="92">
        <v>2</v>
      </c>
      <c r="O155" s="92"/>
      <c r="P155" s="92"/>
    </row>
    <row r="156" spans="1:16">
      <c r="A156" s="39" t="str">
        <f>INDEX([2]活动总表!$A$8:$A$429,MATCH(B156,[2]活动总表!$B$8:$B$429,0))</f>
        <v>节日商店</v>
      </c>
      <c r="B156" s="93">
        <v>325</v>
      </c>
      <c r="C156" s="94">
        <v>154</v>
      </c>
      <c r="D156" s="94">
        <v>0</v>
      </c>
      <c r="E156" s="94">
        <v>12</v>
      </c>
      <c r="F156" s="92">
        <v>200912</v>
      </c>
      <c r="G156" s="76" t="str">
        <f>IFERROR(INDEX([1]物品基础表!$A:$A,MATCH(F156,[1]物品基础表!$B:$B,0)),"")</f>
        <v>红色圣物宝箱</v>
      </c>
      <c r="H156" s="92">
        <v>1</v>
      </c>
      <c r="I156" s="92">
        <v>15000</v>
      </c>
      <c r="J156" s="99">
        <f t="shared" si="3"/>
        <v>15000</v>
      </c>
      <c r="K156" s="92"/>
      <c r="L156" s="93" t="s">
        <v>1393</v>
      </c>
      <c r="M156" s="92"/>
      <c r="N156" s="92">
        <v>2</v>
      </c>
      <c r="O156" s="92"/>
      <c r="P156" s="92"/>
    </row>
    <row r="157" spans="1:16">
      <c r="A157" s="39" t="str">
        <f>INDEX([2]活动总表!$A$8:$A$429,MATCH(B157,[2]活动总表!$B$8:$B$429,0))</f>
        <v>节日商店</v>
      </c>
      <c r="B157" s="93">
        <v>325</v>
      </c>
      <c r="C157" s="94">
        <v>155</v>
      </c>
      <c r="D157" s="94">
        <v>0</v>
      </c>
      <c r="E157" s="94">
        <v>12</v>
      </c>
      <c r="F157" s="92">
        <v>300413</v>
      </c>
      <c r="G157" s="76" t="str">
        <f>IFERROR(INDEX([1]物品基础表!$A:$A,MATCH(F157,[1]物品基础表!$B:$B,0)),"")</f>
        <v>战士13技能红圣物</v>
      </c>
      <c r="H157" s="92">
        <v>1</v>
      </c>
      <c r="I157" s="92">
        <v>25000</v>
      </c>
      <c r="J157" s="99">
        <f t="shared" si="3"/>
        <v>25000</v>
      </c>
      <c r="K157" s="92"/>
      <c r="L157" s="93" t="s">
        <v>1390</v>
      </c>
      <c r="M157" s="92"/>
      <c r="N157" s="92">
        <v>5</v>
      </c>
      <c r="O157" s="92"/>
      <c r="P157" s="92"/>
    </row>
    <row r="158" spans="1:16">
      <c r="A158" s="39" t="str">
        <f>INDEX([2]活动总表!$A$8:$A$429,MATCH(B158,[2]活动总表!$B$8:$B$429,0))</f>
        <v>节日商店</v>
      </c>
      <c r="B158" s="93">
        <v>325</v>
      </c>
      <c r="C158" s="94">
        <v>156</v>
      </c>
      <c r="D158" s="94">
        <v>0</v>
      </c>
      <c r="E158" s="94">
        <v>12</v>
      </c>
      <c r="F158" s="92">
        <v>301413</v>
      </c>
      <c r="G158" s="76" t="str">
        <f>IFERROR(INDEX([1]物品基础表!$A:$A,MATCH(F158,[1]物品基础表!$B:$B,0)),"")</f>
        <v>法师13技能红圣物</v>
      </c>
      <c r="H158" s="92">
        <v>1</v>
      </c>
      <c r="I158" s="92">
        <v>25000</v>
      </c>
      <c r="J158" s="99">
        <f t="shared" si="3"/>
        <v>25000</v>
      </c>
      <c r="K158" s="92"/>
      <c r="L158" s="93" t="s">
        <v>1390</v>
      </c>
      <c r="M158" s="92"/>
      <c r="N158" s="92">
        <v>5</v>
      </c>
      <c r="O158" s="92"/>
      <c r="P158" s="92"/>
    </row>
    <row r="159" spans="1:16">
      <c r="A159" s="39" t="str">
        <f>INDEX([2]活动总表!$A$8:$A$429,MATCH(B159,[2]活动总表!$B$8:$B$429,0))</f>
        <v>节日商店</v>
      </c>
      <c r="B159" s="93">
        <v>325</v>
      </c>
      <c r="C159" s="94">
        <v>157</v>
      </c>
      <c r="D159" s="94">
        <v>0</v>
      </c>
      <c r="E159" s="94">
        <v>12</v>
      </c>
      <c r="F159" s="92">
        <v>302413</v>
      </c>
      <c r="G159" s="76" t="str">
        <f>IFERROR(INDEX([1]物品基础表!$A:$A,MATCH(F159,[1]物品基础表!$B:$B,0)),"")</f>
        <v>道士13技能红圣物</v>
      </c>
      <c r="H159" s="92">
        <v>1</v>
      </c>
      <c r="I159" s="92">
        <v>25000</v>
      </c>
      <c r="J159" s="99">
        <f t="shared" si="3"/>
        <v>25000</v>
      </c>
      <c r="K159" s="92"/>
      <c r="L159" s="93" t="s">
        <v>1394</v>
      </c>
      <c r="M159" s="92"/>
      <c r="N159" s="92">
        <v>5</v>
      </c>
      <c r="O159" s="92"/>
      <c r="P159" s="92"/>
    </row>
    <row r="160" spans="1:16">
      <c r="A160" s="39" t="str">
        <f>INDEX([2]活动总表!$A$8:$A$429,MATCH(B160,[2]活动总表!$B$8:$B$429,0))</f>
        <v>节日商店</v>
      </c>
      <c r="B160" s="93">
        <v>325</v>
      </c>
      <c r="C160" s="94">
        <v>158</v>
      </c>
      <c r="D160" s="94">
        <v>0</v>
      </c>
      <c r="E160" s="94">
        <v>12</v>
      </c>
      <c r="F160" s="92">
        <v>300414</v>
      </c>
      <c r="G160" s="76" t="str">
        <f>IFERROR(INDEX([1]物品基础表!$A:$A,MATCH(F160,[1]物品基础表!$B:$B,0)),"")</f>
        <v>战士14技能红圣物</v>
      </c>
      <c r="H160" s="92">
        <v>1</v>
      </c>
      <c r="I160" s="92">
        <v>50000</v>
      </c>
      <c r="J160" s="99">
        <f t="shared" si="3"/>
        <v>50000</v>
      </c>
      <c r="K160" s="92"/>
      <c r="L160" s="93" t="s">
        <v>1395</v>
      </c>
      <c r="M160" s="92"/>
      <c r="N160" s="92">
        <v>5</v>
      </c>
      <c r="O160" s="92"/>
      <c r="P160" s="92"/>
    </row>
    <row r="161" spans="1:16">
      <c r="A161" s="39" t="str">
        <f>INDEX([2]活动总表!$A$8:$A$429,MATCH(B161,[2]活动总表!$B$8:$B$429,0))</f>
        <v>节日商店</v>
      </c>
      <c r="B161" s="93">
        <v>325</v>
      </c>
      <c r="C161" s="94">
        <v>159</v>
      </c>
      <c r="D161" s="94">
        <v>0</v>
      </c>
      <c r="E161" s="94">
        <v>12</v>
      </c>
      <c r="F161" s="92">
        <v>301414</v>
      </c>
      <c r="G161" s="76" t="str">
        <f>IFERROR(INDEX([1]物品基础表!$A:$A,MATCH(F161,[1]物品基础表!$B:$B,0)),"")</f>
        <v>法师14技能红圣物</v>
      </c>
      <c r="H161" s="92">
        <v>1</v>
      </c>
      <c r="I161" s="92">
        <v>50000</v>
      </c>
      <c r="J161" s="99">
        <f t="shared" si="3"/>
        <v>50000</v>
      </c>
      <c r="K161" s="92"/>
      <c r="L161" s="93" t="s">
        <v>1395</v>
      </c>
      <c r="M161" s="92"/>
      <c r="N161" s="92">
        <v>5</v>
      </c>
      <c r="O161" s="92"/>
      <c r="P161" s="92"/>
    </row>
    <row r="162" spans="1:16">
      <c r="A162" s="39" t="str">
        <f>INDEX([2]活动总表!$A$8:$A$429,MATCH(B162,[2]活动总表!$B$8:$B$429,0))</f>
        <v>节日商店</v>
      </c>
      <c r="B162" s="93">
        <v>325</v>
      </c>
      <c r="C162" s="94">
        <v>160</v>
      </c>
      <c r="D162" s="94">
        <v>0</v>
      </c>
      <c r="E162" s="94">
        <v>12</v>
      </c>
      <c r="F162" s="92">
        <v>302414</v>
      </c>
      <c r="G162" s="76" t="str">
        <f>IFERROR(INDEX([1]物品基础表!$A:$A,MATCH(F162,[1]物品基础表!$B:$B,0)),"")</f>
        <v>道士14技能红圣物</v>
      </c>
      <c r="H162" s="92">
        <v>1</v>
      </c>
      <c r="I162" s="92">
        <v>50000</v>
      </c>
      <c r="J162" s="99">
        <f t="shared" si="3"/>
        <v>50000</v>
      </c>
      <c r="K162" s="92"/>
      <c r="L162" s="93" t="s">
        <v>1396</v>
      </c>
      <c r="M162" s="92"/>
      <c r="N162" s="92">
        <v>5</v>
      </c>
      <c r="O162" s="92"/>
      <c r="P162" s="92"/>
    </row>
    <row r="163" spans="1:16">
      <c r="A163" s="39" t="str">
        <f>INDEX([2]活动总表!$A$8:$A$429,MATCH(B163,[2]活动总表!$B$8:$B$429,0))</f>
        <v>节日商店</v>
      </c>
      <c r="B163" s="93">
        <v>325</v>
      </c>
      <c r="C163" s="94">
        <v>161</v>
      </c>
      <c r="D163" s="92">
        <v>0</v>
      </c>
      <c r="E163" s="92">
        <v>12</v>
      </c>
      <c r="F163" s="92">
        <v>501301</v>
      </c>
      <c r="G163" s="76" t="str">
        <f>IFERROR(INDEX([1]物品基础表!$A:$A,MATCH(F163,[1]物品基础表!$B:$B,0)),"")</f>
        <v>红神力1级</v>
      </c>
      <c r="H163" s="92">
        <v>1</v>
      </c>
      <c r="I163" s="92">
        <v>15000</v>
      </c>
      <c r="J163" s="99">
        <f t="shared" si="3"/>
        <v>15000</v>
      </c>
      <c r="K163" s="92"/>
      <c r="L163" s="92" t="s">
        <v>1397</v>
      </c>
      <c r="M163" s="92"/>
      <c r="N163" s="92" t="s">
        <v>919</v>
      </c>
      <c r="O163" s="92"/>
      <c r="P163" s="92"/>
    </row>
    <row r="164" spans="1:16">
      <c r="A164" s="39" t="str">
        <f>INDEX([2]活动总表!$A$8:$A$429,MATCH(B164,[2]活动总表!$B$8:$B$429,0))</f>
        <v>节日商店</v>
      </c>
      <c r="B164" s="93">
        <v>325</v>
      </c>
      <c r="C164" s="94">
        <v>162</v>
      </c>
      <c r="D164" s="92">
        <v>0</v>
      </c>
      <c r="E164" s="92">
        <v>12</v>
      </c>
      <c r="F164" s="92">
        <v>502301</v>
      </c>
      <c r="G164" s="76" t="str">
        <f>IFERROR(INDEX([1]物品基础表!$A:$A,MATCH(F164,[1]物品基础表!$B:$B,0)),"")</f>
        <v>红金汤1级</v>
      </c>
      <c r="H164" s="92">
        <v>1</v>
      </c>
      <c r="I164" s="92">
        <v>15000</v>
      </c>
      <c r="J164" s="99">
        <f t="shared" si="3"/>
        <v>15000</v>
      </c>
      <c r="K164" s="92"/>
      <c r="L164" s="92" t="s">
        <v>1397</v>
      </c>
      <c r="M164" s="92"/>
      <c r="N164" s="92" t="s">
        <v>919</v>
      </c>
      <c r="O164" s="92"/>
      <c r="P164" s="92"/>
    </row>
    <row r="165" spans="1:16">
      <c r="A165" s="39" t="str">
        <f>INDEX([2]活动总表!$A$8:$A$429,MATCH(B165,[2]活动总表!$B$8:$B$429,0))</f>
        <v>节日商店</v>
      </c>
      <c r="B165" s="93">
        <v>325</v>
      </c>
      <c r="C165" s="94">
        <v>163</v>
      </c>
      <c r="D165" s="92">
        <v>0</v>
      </c>
      <c r="E165" s="92">
        <v>12</v>
      </c>
      <c r="F165" s="92">
        <v>503301</v>
      </c>
      <c r="G165" s="76" t="str">
        <f>IFERROR(INDEX([1]物品基础表!$A:$A,MATCH(F165,[1]物品基础表!$B:$B,0)),"")</f>
        <v>红长生1级</v>
      </c>
      <c r="H165" s="92">
        <v>1</v>
      </c>
      <c r="I165" s="92">
        <v>15000</v>
      </c>
      <c r="J165" s="99">
        <f t="shared" si="3"/>
        <v>15000</v>
      </c>
      <c r="K165" s="92"/>
      <c r="L165" s="92" t="s">
        <v>1397</v>
      </c>
      <c r="M165" s="92"/>
      <c r="N165" s="92" t="s">
        <v>919</v>
      </c>
      <c r="O165" s="92"/>
      <c r="P165" s="92"/>
    </row>
    <row r="166" spans="1:16">
      <c r="A166" s="39" t="str">
        <f>INDEX([2]活动总表!$A$8:$A$429,MATCH(B166,[2]活动总表!$B$8:$B$429,0))</f>
        <v>节日商店</v>
      </c>
      <c r="B166" s="93">
        <v>325</v>
      </c>
      <c r="C166" s="94">
        <v>164</v>
      </c>
      <c r="D166" s="92">
        <v>0</v>
      </c>
      <c r="E166" s="92">
        <v>12</v>
      </c>
      <c r="F166" s="92">
        <v>504301</v>
      </c>
      <c r="G166" s="76" t="str">
        <f>IFERROR(INDEX([1]物品基础表!$A:$A,MATCH(F166,[1]物品基础表!$B:$B,0)),"")</f>
        <v>红光武1级</v>
      </c>
      <c r="H166" s="92">
        <v>1</v>
      </c>
      <c r="I166" s="92">
        <v>20000</v>
      </c>
      <c r="J166" s="99">
        <f t="shared" si="3"/>
        <v>20000</v>
      </c>
      <c r="K166" s="92"/>
      <c r="L166" s="92" t="s">
        <v>1397</v>
      </c>
      <c r="M166" s="92"/>
      <c r="N166" s="92" t="s">
        <v>919</v>
      </c>
      <c r="O166" s="92"/>
      <c r="P166" s="92"/>
    </row>
    <row r="167" spans="1:16">
      <c r="A167" s="39" t="str">
        <f>INDEX([2]活动总表!$A$8:$A$429,MATCH(B167,[2]活动总表!$B$8:$B$429,0))</f>
        <v>节日商店</v>
      </c>
      <c r="B167" s="93">
        <v>325</v>
      </c>
      <c r="C167" s="94">
        <v>165</v>
      </c>
      <c r="D167" s="92">
        <v>0</v>
      </c>
      <c r="E167" s="92">
        <v>12</v>
      </c>
      <c r="F167" s="92">
        <v>505301</v>
      </c>
      <c r="G167" s="76" t="str">
        <f>IFERROR(INDEX([1]物品基础表!$A:$A,MATCH(F167,[1]物品基础表!$B:$B,0)),"")</f>
        <v>红神盔1级</v>
      </c>
      <c r="H167" s="92">
        <v>1</v>
      </c>
      <c r="I167" s="92">
        <v>6300</v>
      </c>
      <c r="J167" s="99">
        <f t="shared" si="3"/>
        <v>6300</v>
      </c>
      <c r="K167" s="92"/>
      <c r="L167" s="92" t="s">
        <v>1397</v>
      </c>
      <c r="M167" s="92"/>
      <c r="N167" s="92" t="s">
        <v>919</v>
      </c>
      <c r="O167" s="92"/>
      <c r="P167" s="92"/>
    </row>
    <row r="168" spans="1:16">
      <c r="A168" s="39" t="str">
        <f>INDEX([2]活动总表!$A$8:$A$429,MATCH(B168,[2]活动总表!$B$8:$B$429,0))</f>
        <v>节日商店</v>
      </c>
      <c r="B168" s="93">
        <v>325</v>
      </c>
      <c r="C168" s="94">
        <v>166</v>
      </c>
      <c r="D168" s="92">
        <v>0</v>
      </c>
      <c r="E168" s="92">
        <v>12</v>
      </c>
      <c r="F168" s="92">
        <v>506301</v>
      </c>
      <c r="G168" s="76" t="str">
        <f>IFERROR(INDEX([1]物品基础表!$A:$A,MATCH(F168,[1]物品基础表!$B:$B,0)),"")</f>
        <v>红固甲1级</v>
      </c>
      <c r="H168" s="92">
        <v>1</v>
      </c>
      <c r="I168" s="92">
        <v>12500</v>
      </c>
      <c r="J168" s="99">
        <f t="shared" si="3"/>
        <v>12500</v>
      </c>
      <c r="K168" s="92"/>
      <c r="L168" s="92" t="s">
        <v>1397</v>
      </c>
      <c r="M168" s="92"/>
      <c r="N168" s="92" t="s">
        <v>919</v>
      </c>
      <c r="O168" s="92"/>
      <c r="P168" s="92"/>
    </row>
    <row r="169" spans="1:16">
      <c r="A169" s="39" t="str">
        <f>INDEX([2]活动总表!$A$8:$A$429,MATCH(B169,[2]活动总表!$B$8:$B$429,0))</f>
        <v>节日商店</v>
      </c>
      <c r="B169" s="93">
        <v>325</v>
      </c>
      <c r="C169" s="94">
        <v>167</v>
      </c>
      <c r="D169" s="92">
        <v>0</v>
      </c>
      <c r="E169" s="92">
        <v>12</v>
      </c>
      <c r="F169" s="92">
        <v>507301</v>
      </c>
      <c r="G169" s="76" t="str">
        <f>IFERROR(INDEX([1]物品基础表!$A:$A,MATCH(F169,[1]物品基础表!$B:$B,0)),"")</f>
        <v>红灵链1级</v>
      </c>
      <c r="H169" s="92">
        <v>1</v>
      </c>
      <c r="I169" s="92">
        <v>6300</v>
      </c>
      <c r="J169" s="99">
        <f t="shared" si="3"/>
        <v>6300</v>
      </c>
      <c r="K169" s="92"/>
      <c r="L169" s="92" t="s">
        <v>1397</v>
      </c>
      <c r="M169" s="92"/>
      <c r="N169" s="92" t="s">
        <v>919</v>
      </c>
      <c r="O169" s="92"/>
      <c r="P169" s="92"/>
    </row>
    <row r="170" spans="1:16">
      <c r="A170" s="39" t="str">
        <f>INDEX([2]活动总表!$A$8:$A$429,MATCH(B170,[2]活动总表!$B$8:$B$429,0))</f>
        <v>节日商店</v>
      </c>
      <c r="B170" s="93">
        <v>325</v>
      </c>
      <c r="C170" s="94">
        <v>168</v>
      </c>
      <c r="D170" s="92">
        <v>0</v>
      </c>
      <c r="E170" s="92">
        <v>12</v>
      </c>
      <c r="F170" s="92">
        <v>508301</v>
      </c>
      <c r="G170" s="76" t="str">
        <f>IFERROR(INDEX([1]物品基础表!$A:$A,MATCH(F170,[1]物品基础表!$B:$B,0)),"")</f>
        <v>红地镯1级</v>
      </c>
      <c r="H170" s="92">
        <v>1</v>
      </c>
      <c r="I170" s="92">
        <v>6300</v>
      </c>
      <c r="J170" s="99">
        <f t="shared" si="3"/>
        <v>6300</v>
      </c>
      <c r="K170" s="92"/>
      <c r="L170" s="92" t="s">
        <v>1397</v>
      </c>
      <c r="M170" s="92"/>
      <c r="N170" s="92" t="s">
        <v>919</v>
      </c>
      <c r="O170" s="92"/>
      <c r="P170" s="92"/>
    </row>
    <row r="171" spans="1:16">
      <c r="A171" s="39" t="str">
        <f>INDEX([2]活动总表!$A$8:$A$429,MATCH(B171,[2]活动总表!$B$8:$B$429,0))</f>
        <v>节日商店</v>
      </c>
      <c r="B171" s="93">
        <v>325</v>
      </c>
      <c r="C171" s="94">
        <v>169</v>
      </c>
      <c r="D171" s="92">
        <v>0</v>
      </c>
      <c r="E171" s="92">
        <v>12</v>
      </c>
      <c r="F171" s="92">
        <v>509301</v>
      </c>
      <c r="G171" s="76" t="str">
        <f>IFERROR(INDEX([1]物品基础表!$A:$A,MATCH(F171,[1]物品基础表!$B:$B,0)),"")</f>
        <v>红乾戒1级</v>
      </c>
      <c r="H171" s="92">
        <v>1</v>
      </c>
      <c r="I171" s="92">
        <v>6300</v>
      </c>
      <c r="J171" s="99">
        <f t="shared" si="3"/>
        <v>6300</v>
      </c>
      <c r="K171" s="92"/>
      <c r="L171" s="92" t="s">
        <v>1397</v>
      </c>
      <c r="M171" s="92"/>
      <c r="N171" s="92" t="s">
        <v>919</v>
      </c>
      <c r="O171" s="92"/>
      <c r="P171" s="92"/>
    </row>
    <row r="172" spans="1:16">
      <c r="A172" s="39" t="str">
        <f>INDEX([2]活动总表!$A$8:$A$429,MATCH(B172,[2]活动总表!$B$8:$B$429,0))</f>
        <v>节日商店</v>
      </c>
      <c r="B172" s="93">
        <v>325</v>
      </c>
      <c r="C172" s="94">
        <v>170</v>
      </c>
      <c r="D172" s="92">
        <v>0</v>
      </c>
      <c r="E172" s="92">
        <v>12</v>
      </c>
      <c r="F172" s="92">
        <v>510301</v>
      </c>
      <c r="G172" s="76" t="str">
        <f>IFERROR(INDEX([1]物品基础表!$A:$A,MATCH(F172,[1]物品基础表!$B:$B,0)),"")</f>
        <v>红龙带1级</v>
      </c>
      <c r="H172" s="92">
        <v>1</v>
      </c>
      <c r="I172" s="92">
        <v>6300</v>
      </c>
      <c r="J172" s="99">
        <f t="shared" si="3"/>
        <v>6300</v>
      </c>
      <c r="K172" s="92"/>
      <c r="L172" s="92" t="s">
        <v>1397</v>
      </c>
      <c r="M172" s="92"/>
      <c r="N172" s="92" t="s">
        <v>919</v>
      </c>
      <c r="O172" s="92"/>
      <c r="P172" s="92"/>
    </row>
    <row r="173" spans="1:16">
      <c r="A173" s="39" t="str">
        <f>INDEX([2]活动总表!$A$8:$A$429,MATCH(B173,[2]活动总表!$B$8:$B$429,0))</f>
        <v>节日商店</v>
      </c>
      <c r="B173" s="93">
        <v>325</v>
      </c>
      <c r="C173" s="94">
        <v>171</v>
      </c>
      <c r="D173" s="92">
        <v>0</v>
      </c>
      <c r="E173" s="92">
        <v>12</v>
      </c>
      <c r="F173" s="92">
        <v>511301</v>
      </c>
      <c r="G173" s="76" t="str">
        <f>IFERROR(INDEX([1]物品基础表!$A:$A,MATCH(F173,[1]物品基础表!$B:$B,0)),"")</f>
        <v>红逐日1级</v>
      </c>
      <c r="H173" s="92">
        <v>1</v>
      </c>
      <c r="I173" s="92">
        <v>6300</v>
      </c>
      <c r="J173" s="99">
        <f t="shared" si="3"/>
        <v>6300</v>
      </c>
      <c r="K173" s="92"/>
      <c r="L173" s="92" t="s">
        <v>1397</v>
      </c>
      <c r="M173" s="92"/>
      <c r="N173" s="92" t="s">
        <v>919</v>
      </c>
      <c r="O173" s="92"/>
      <c r="P173" s="92"/>
    </row>
    <row r="174" spans="1:16">
      <c r="A174" s="39" t="str">
        <f>INDEX([2]活动总表!$A$8:$A$429,MATCH(B174,[2]活动总表!$B$8:$B$429,0))</f>
        <v>节日商店</v>
      </c>
      <c r="B174" s="93">
        <v>325</v>
      </c>
      <c r="C174" s="94">
        <v>172</v>
      </c>
      <c r="D174" s="92">
        <v>0</v>
      </c>
      <c r="E174" s="92">
        <v>12</v>
      </c>
      <c r="F174" s="92">
        <v>512301</v>
      </c>
      <c r="G174" s="76" t="str">
        <f>IFERROR(INDEX([1]物品基础表!$A:$A,MATCH(F174,[1]物品基础表!$B:$B,0)),"")</f>
        <v>红豁免1级</v>
      </c>
      <c r="H174" s="92">
        <v>1</v>
      </c>
      <c r="I174" s="92">
        <v>18800</v>
      </c>
      <c r="J174" s="99">
        <f t="shared" si="3"/>
        <v>18800</v>
      </c>
      <c r="K174" s="92"/>
      <c r="L174" s="92" t="s">
        <v>1397</v>
      </c>
      <c r="M174" s="92"/>
      <c r="N174" s="92" t="s">
        <v>919</v>
      </c>
      <c r="O174" s="92"/>
      <c r="P174" s="92"/>
    </row>
    <row r="175" spans="1:16">
      <c r="A175" s="39" t="str">
        <f>INDEX([2]活动总表!$A$8:$A$429,MATCH(B175,[2]活动总表!$B$8:$B$429,0))</f>
        <v>节日商店</v>
      </c>
      <c r="B175" s="93">
        <v>325</v>
      </c>
      <c r="C175" s="94">
        <v>173</v>
      </c>
      <c r="D175" s="92">
        <v>0</v>
      </c>
      <c r="E175" s="92">
        <v>12</v>
      </c>
      <c r="F175" s="92">
        <v>513301</v>
      </c>
      <c r="G175" s="76" t="str">
        <f>IFERROR(INDEX([1]物品基础表!$A:$A,MATCH(F175,[1]物品基础表!$B:$B,0)),"")</f>
        <v>红杀戮1级</v>
      </c>
      <c r="H175" s="92">
        <v>1</v>
      </c>
      <c r="I175" s="92">
        <v>18800</v>
      </c>
      <c r="J175" s="99">
        <f t="shared" si="3"/>
        <v>18800</v>
      </c>
      <c r="K175" s="92"/>
      <c r="L175" s="92" t="s">
        <v>1397</v>
      </c>
      <c r="M175" s="92"/>
      <c r="N175" s="92" t="s">
        <v>919</v>
      </c>
      <c r="O175" s="92"/>
      <c r="P175" s="92"/>
    </row>
    <row r="176" spans="1:16">
      <c r="A176" s="39" t="str">
        <f>INDEX([2]活动总表!$A$8:$A$429,MATCH(B176,[2]活动总表!$B$8:$B$429,0))</f>
        <v>节日商店</v>
      </c>
      <c r="B176" s="93">
        <v>325</v>
      </c>
      <c r="C176" s="94">
        <v>174</v>
      </c>
      <c r="D176" s="92">
        <v>0</v>
      </c>
      <c r="E176" s="92">
        <v>12</v>
      </c>
      <c r="F176" s="92">
        <v>514301</v>
      </c>
      <c r="G176" s="76" t="str">
        <f>IFERROR(INDEX([1]物品基础表!$A:$A,MATCH(F176,[1]物品基础表!$B:$B,0)),"")</f>
        <v>红祝福1级</v>
      </c>
      <c r="H176" s="92">
        <v>1</v>
      </c>
      <c r="I176" s="92">
        <v>5000</v>
      </c>
      <c r="J176" s="99">
        <f t="shared" si="3"/>
        <v>5000</v>
      </c>
      <c r="K176" s="92"/>
      <c r="L176" s="92" t="s">
        <v>1397</v>
      </c>
      <c r="M176" s="92"/>
      <c r="N176" s="92" t="s">
        <v>919</v>
      </c>
      <c r="O176" s="92"/>
      <c r="P176" s="92"/>
    </row>
    <row r="177" spans="1:16">
      <c r="A177" s="39" t="str">
        <f>INDEX([2]活动总表!$A$8:$A$429,MATCH(B177,[2]活动总表!$B$8:$B$429,0))</f>
        <v>节日商店</v>
      </c>
      <c r="B177" s="93">
        <v>325</v>
      </c>
      <c r="C177" s="94">
        <v>175</v>
      </c>
      <c r="D177" s="92">
        <v>0</v>
      </c>
      <c r="E177" s="92">
        <v>12</v>
      </c>
      <c r="F177" s="92">
        <v>515301</v>
      </c>
      <c r="G177" s="76" t="str">
        <f>IFERROR(INDEX([1]物品基础表!$A:$A,MATCH(F177,[1]物品基础表!$B:$B,0)),"")</f>
        <v>红财神1级</v>
      </c>
      <c r="H177" s="92">
        <v>1</v>
      </c>
      <c r="I177" s="92">
        <v>5000</v>
      </c>
      <c r="J177" s="99">
        <f t="shared" si="3"/>
        <v>5000</v>
      </c>
      <c r="K177" s="92"/>
      <c r="L177" s="92" t="s">
        <v>1397</v>
      </c>
      <c r="M177" s="92"/>
      <c r="N177" s="92" t="s">
        <v>919</v>
      </c>
      <c r="O177" s="92"/>
      <c r="P177" s="92"/>
    </row>
    <row r="178" spans="1:16">
      <c r="A178" s="39" t="str">
        <f>INDEX([2]活动总表!$A$8:$A$429,MATCH(B178,[2]活动总表!$B$8:$B$429,0))</f>
        <v>节日商店</v>
      </c>
      <c r="B178" s="93">
        <v>325</v>
      </c>
      <c r="C178" s="94">
        <v>176</v>
      </c>
      <c r="D178" s="92">
        <v>0</v>
      </c>
      <c r="E178" s="92">
        <v>12</v>
      </c>
      <c r="F178" s="92">
        <v>516301</v>
      </c>
      <c r="G178" s="76" t="str">
        <f>IFERROR(INDEX([1]物品基础表!$A:$A,MATCH(F178,[1]物品基础表!$B:$B,0)),"")</f>
        <v>红强攻1级</v>
      </c>
      <c r="H178" s="92">
        <v>1</v>
      </c>
      <c r="I178" s="92">
        <v>15000</v>
      </c>
      <c r="J178" s="99">
        <f t="shared" si="3"/>
        <v>15000</v>
      </c>
      <c r="K178" s="92"/>
      <c r="L178" s="92" t="s">
        <v>1397</v>
      </c>
      <c r="M178" s="92"/>
      <c r="N178" s="92" t="s">
        <v>919</v>
      </c>
      <c r="O178" s="92"/>
      <c r="P178" s="92"/>
    </row>
    <row r="179" spans="1:16">
      <c r="A179" s="39" t="str">
        <f>INDEX([2]活动总表!$A$8:$A$429,MATCH(B179,[2]活动总表!$B$8:$B$429,0))</f>
        <v>节日商店</v>
      </c>
      <c r="B179" s="93">
        <v>325</v>
      </c>
      <c r="C179" s="94">
        <v>177</v>
      </c>
      <c r="D179" s="92">
        <v>0</v>
      </c>
      <c r="E179" s="92">
        <v>12</v>
      </c>
      <c r="F179" s="92">
        <v>517301</v>
      </c>
      <c r="G179" s="76" t="str">
        <f>IFERROR(INDEX([1]物品基础表!$A:$A,MATCH(F179,[1]物品基础表!$B:$B,0)),"")</f>
        <v>红毁灭1级</v>
      </c>
      <c r="H179" s="92">
        <v>1</v>
      </c>
      <c r="I179" s="92">
        <v>15000</v>
      </c>
      <c r="J179" s="99">
        <f t="shared" si="3"/>
        <v>15000</v>
      </c>
      <c r="K179" s="92"/>
      <c r="L179" s="92" t="s">
        <v>1397</v>
      </c>
      <c r="M179" s="92"/>
      <c r="N179" s="92" t="s">
        <v>919</v>
      </c>
      <c r="O179" s="92"/>
      <c r="P179" s="92"/>
    </row>
    <row r="180" spans="1:16">
      <c r="A180" s="39" t="str">
        <f>INDEX([2]活动总表!$A$8:$A$429,MATCH(B180,[2]活动总表!$B$8:$B$429,0))</f>
        <v>节日商店</v>
      </c>
      <c r="B180" s="93">
        <v>325</v>
      </c>
      <c r="C180" s="94">
        <v>178</v>
      </c>
      <c r="D180" s="92">
        <v>0</v>
      </c>
      <c r="E180" s="92">
        <v>12</v>
      </c>
      <c r="F180" s="92">
        <v>518301</v>
      </c>
      <c r="G180" s="76" t="str">
        <f>IFERROR(INDEX([1]物品基础表!$A:$A,MATCH(F180,[1]物品基础表!$B:$B,0)),"")</f>
        <v>红泰坦1级</v>
      </c>
      <c r="H180" s="92">
        <v>1</v>
      </c>
      <c r="I180" s="92">
        <v>15000</v>
      </c>
      <c r="J180" s="99">
        <f t="shared" si="3"/>
        <v>15000</v>
      </c>
      <c r="K180" s="92"/>
      <c r="L180" s="92" t="s">
        <v>1397</v>
      </c>
      <c r="M180" s="92"/>
      <c r="N180" s="92" t="s">
        <v>919</v>
      </c>
      <c r="O180" s="92"/>
      <c r="P180" s="92"/>
    </row>
    <row r="181" spans="1:16">
      <c r="A181" s="39" t="str">
        <f>INDEX([2]活动总表!$A$8:$A$429,MATCH(B181,[2]活动总表!$B$8:$B$429,0))</f>
        <v>节日商店</v>
      </c>
      <c r="B181" s="93">
        <v>325</v>
      </c>
      <c r="C181" s="94">
        <v>179</v>
      </c>
      <c r="D181" s="92">
        <v>0</v>
      </c>
      <c r="E181" s="92">
        <v>12</v>
      </c>
      <c r="F181" s="92">
        <v>501201</v>
      </c>
      <c r="G181" s="76" t="str">
        <f>IFERROR(INDEX([1]物品基础表!$A:$A,MATCH(F181,[1]物品基础表!$B:$B,0)),"")</f>
        <v>橙神力1级</v>
      </c>
      <c r="H181" s="92">
        <v>1</v>
      </c>
      <c r="I181" s="92">
        <v>7500</v>
      </c>
      <c r="J181" s="99">
        <f t="shared" si="3"/>
        <v>7500</v>
      </c>
      <c r="K181" s="92"/>
      <c r="L181" s="92" t="s">
        <v>1397</v>
      </c>
      <c r="M181" s="92"/>
      <c r="N181" s="92" t="s">
        <v>919</v>
      </c>
      <c r="O181" s="92"/>
      <c r="P181" s="92"/>
    </row>
    <row r="182" spans="1:16">
      <c r="A182" s="39" t="str">
        <f>INDEX([2]活动总表!$A$8:$A$429,MATCH(B182,[2]活动总表!$B$8:$B$429,0))</f>
        <v>节日商店</v>
      </c>
      <c r="B182" s="93">
        <v>325</v>
      </c>
      <c r="C182" s="94">
        <v>180</v>
      </c>
      <c r="D182" s="92">
        <v>0</v>
      </c>
      <c r="E182" s="92">
        <v>12</v>
      </c>
      <c r="F182" s="92">
        <v>502201</v>
      </c>
      <c r="G182" s="76" t="str">
        <f>IFERROR(INDEX([1]物品基础表!$A:$A,MATCH(F182,[1]物品基础表!$B:$B,0)),"")</f>
        <v>橙金汤1级</v>
      </c>
      <c r="H182" s="92">
        <v>1</v>
      </c>
      <c r="I182" s="92">
        <v>7500</v>
      </c>
      <c r="J182" s="99">
        <f t="shared" si="3"/>
        <v>7500</v>
      </c>
      <c r="K182" s="92"/>
      <c r="L182" s="92" t="s">
        <v>1397</v>
      </c>
      <c r="M182" s="92"/>
      <c r="N182" s="92" t="s">
        <v>919</v>
      </c>
      <c r="O182" s="92"/>
      <c r="P182" s="92"/>
    </row>
    <row r="183" spans="1:16">
      <c r="A183" s="39" t="str">
        <f>INDEX([2]活动总表!$A$8:$A$429,MATCH(B183,[2]活动总表!$B$8:$B$429,0))</f>
        <v>节日商店</v>
      </c>
      <c r="B183" s="93">
        <v>325</v>
      </c>
      <c r="C183" s="94">
        <v>181</v>
      </c>
      <c r="D183" s="92">
        <v>0</v>
      </c>
      <c r="E183" s="92">
        <v>12</v>
      </c>
      <c r="F183" s="92">
        <v>503201</v>
      </c>
      <c r="G183" s="76" t="str">
        <f>IFERROR(INDEX([1]物品基础表!$A:$A,MATCH(F183,[1]物品基础表!$B:$B,0)),"")</f>
        <v>橙长生1级</v>
      </c>
      <c r="H183" s="92">
        <v>1</v>
      </c>
      <c r="I183" s="92">
        <v>7500</v>
      </c>
      <c r="J183" s="99">
        <f t="shared" si="3"/>
        <v>7500</v>
      </c>
      <c r="K183" s="92"/>
      <c r="L183" s="92" t="s">
        <v>1397</v>
      </c>
      <c r="M183" s="92"/>
      <c r="N183" s="92" t="s">
        <v>919</v>
      </c>
      <c r="O183" s="92"/>
      <c r="P183" s="92"/>
    </row>
    <row r="184" spans="1:16">
      <c r="A184" s="39" t="str">
        <f>INDEX([2]活动总表!$A$8:$A$429,MATCH(B184,[2]活动总表!$B$8:$B$429,0))</f>
        <v>节日商店</v>
      </c>
      <c r="B184" s="93">
        <v>325</v>
      </c>
      <c r="C184" s="94">
        <v>182</v>
      </c>
      <c r="D184" s="92">
        <v>0</v>
      </c>
      <c r="E184" s="92">
        <v>12</v>
      </c>
      <c r="F184" s="92">
        <v>504201</v>
      </c>
      <c r="G184" s="76" t="str">
        <f>IFERROR(INDEX([1]物品基础表!$A:$A,MATCH(F184,[1]物品基础表!$B:$B,0)),"")</f>
        <v>橙光武1级</v>
      </c>
      <c r="H184" s="92">
        <v>1</v>
      </c>
      <c r="I184" s="92">
        <v>10000</v>
      </c>
      <c r="J184" s="99">
        <f t="shared" si="3"/>
        <v>10000</v>
      </c>
      <c r="K184" s="92"/>
      <c r="L184" s="92" t="s">
        <v>1397</v>
      </c>
      <c r="M184" s="92"/>
      <c r="N184" s="92" t="s">
        <v>919</v>
      </c>
      <c r="O184" s="92"/>
      <c r="P184" s="92"/>
    </row>
    <row r="185" spans="1:16">
      <c r="A185" s="39" t="str">
        <f>INDEX([2]活动总表!$A$8:$A$429,MATCH(B185,[2]活动总表!$B$8:$B$429,0))</f>
        <v>节日商店</v>
      </c>
      <c r="B185" s="93">
        <v>325</v>
      </c>
      <c r="C185" s="94">
        <v>183</v>
      </c>
      <c r="D185" s="92">
        <v>0</v>
      </c>
      <c r="E185" s="92">
        <v>12</v>
      </c>
      <c r="F185" s="92">
        <v>505201</v>
      </c>
      <c r="G185" s="76" t="str">
        <f>IFERROR(INDEX([1]物品基础表!$A:$A,MATCH(F185,[1]物品基础表!$B:$B,0)),"")</f>
        <v>橙神盔1级</v>
      </c>
      <c r="H185" s="92">
        <v>1</v>
      </c>
      <c r="I185" s="92">
        <v>3100</v>
      </c>
      <c r="J185" s="99">
        <f t="shared" si="3"/>
        <v>3100</v>
      </c>
      <c r="K185" s="92"/>
      <c r="L185" s="92" t="s">
        <v>1397</v>
      </c>
      <c r="M185" s="92"/>
      <c r="N185" s="92" t="s">
        <v>919</v>
      </c>
      <c r="O185" s="92"/>
      <c r="P185" s="92"/>
    </row>
    <row r="186" spans="1:16">
      <c r="A186" s="39" t="str">
        <f>INDEX([2]活动总表!$A$8:$A$429,MATCH(B186,[2]活动总表!$B$8:$B$429,0))</f>
        <v>节日商店</v>
      </c>
      <c r="B186" s="93">
        <v>325</v>
      </c>
      <c r="C186" s="94">
        <v>184</v>
      </c>
      <c r="D186" s="92">
        <v>0</v>
      </c>
      <c r="E186" s="92">
        <v>12</v>
      </c>
      <c r="F186" s="92">
        <v>506201</v>
      </c>
      <c r="G186" s="76" t="str">
        <f>IFERROR(INDEX([1]物品基础表!$A:$A,MATCH(F186,[1]物品基础表!$B:$B,0)),"")</f>
        <v>橙固甲1级</v>
      </c>
      <c r="H186" s="92">
        <v>1</v>
      </c>
      <c r="I186" s="92">
        <v>6300</v>
      </c>
      <c r="J186" s="99">
        <f t="shared" si="3"/>
        <v>6300</v>
      </c>
      <c r="K186" s="92"/>
      <c r="L186" s="92" t="s">
        <v>1397</v>
      </c>
      <c r="M186" s="92"/>
      <c r="N186" s="92" t="s">
        <v>919</v>
      </c>
      <c r="O186" s="92"/>
      <c r="P186" s="92"/>
    </row>
    <row r="187" spans="1:16">
      <c r="A187" s="39" t="str">
        <f>INDEX([2]活动总表!$A$8:$A$429,MATCH(B187,[2]活动总表!$B$8:$B$429,0))</f>
        <v>节日商店</v>
      </c>
      <c r="B187" s="93">
        <v>325</v>
      </c>
      <c r="C187" s="94">
        <v>185</v>
      </c>
      <c r="D187" s="92">
        <v>0</v>
      </c>
      <c r="E187" s="92">
        <v>12</v>
      </c>
      <c r="F187" s="92">
        <v>507201</v>
      </c>
      <c r="G187" s="76" t="str">
        <f>IFERROR(INDEX([1]物品基础表!$A:$A,MATCH(F187,[1]物品基础表!$B:$B,0)),"")</f>
        <v>橙灵链1级</v>
      </c>
      <c r="H187" s="92">
        <v>1</v>
      </c>
      <c r="I187" s="92">
        <v>3100</v>
      </c>
      <c r="J187" s="99">
        <f t="shared" si="3"/>
        <v>3100</v>
      </c>
      <c r="K187" s="92"/>
      <c r="L187" s="92" t="s">
        <v>1397</v>
      </c>
      <c r="M187" s="92"/>
      <c r="N187" s="92" t="s">
        <v>919</v>
      </c>
      <c r="O187" s="92"/>
      <c r="P187" s="92"/>
    </row>
    <row r="188" spans="1:16">
      <c r="A188" s="39" t="str">
        <f>INDEX([2]活动总表!$A$8:$A$429,MATCH(B188,[2]活动总表!$B$8:$B$429,0))</f>
        <v>节日商店</v>
      </c>
      <c r="B188" s="93">
        <v>325</v>
      </c>
      <c r="C188" s="94">
        <v>186</v>
      </c>
      <c r="D188" s="92">
        <v>0</v>
      </c>
      <c r="E188" s="92">
        <v>12</v>
      </c>
      <c r="F188" s="92">
        <v>508201</v>
      </c>
      <c r="G188" s="76" t="str">
        <f>IFERROR(INDEX([1]物品基础表!$A:$A,MATCH(F188,[1]物品基础表!$B:$B,0)),"")</f>
        <v>橙地镯1级</v>
      </c>
      <c r="H188" s="92">
        <v>1</v>
      </c>
      <c r="I188" s="92">
        <v>3100</v>
      </c>
      <c r="J188" s="99">
        <f t="shared" si="3"/>
        <v>3100</v>
      </c>
      <c r="K188" s="92"/>
      <c r="L188" s="92" t="s">
        <v>1397</v>
      </c>
      <c r="M188" s="92"/>
      <c r="N188" s="92" t="s">
        <v>919</v>
      </c>
      <c r="O188" s="92"/>
      <c r="P188" s="92"/>
    </row>
    <row r="189" spans="1:16">
      <c r="A189" s="39" t="str">
        <f>INDEX([2]活动总表!$A$8:$A$429,MATCH(B189,[2]活动总表!$B$8:$B$429,0))</f>
        <v>节日商店</v>
      </c>
      <c r="B189" s="93">
        <v>325</v>
      </c>
      <c r="C189" s="94">
        <v>187</v>
      </c>
      <c r="D189" s="92">
        <v>0</v>
      </c>
      <c r="E189" s="92">
        <v>12</v>
      </c>
      <c r="F189" s="92">
        <v>509201</v>
      </c>
      <c r="G189" s="76" t="str">
        <f>IFERROR(INDEX([1]物品基础表!$A:$A,MATCH(F189,[1]物品基础表!$B:$B,0)),"")</f>
        <v>橙乾戒1级</v>
      </c>
      <c r="H189" s="92">
        <v>1</v>
      </c>
      <c r="I189" s="92">
        <v>3100</v>
      </c>
      <c r="J189" s="99">
        <f t="shared" si="3"/>
        <v>3100</v>
      </c>
      <c r="K189" s="92"/>
      <c r="L189" s="92" t="s">
        <v>1397</v>
      </c>
      <c r="M189" s="92"/>
      <c r="N189" s="92" t="s">
        <v>919</v>
      </c>
      <c r="O189" s="92"/>
      <c r="P189" s="92"/>
    </row>
    <row r="190" spans="1:16">
      <c r="A190" s="39" t="str">
        <f>INDEX([2]活动总表!$A$8:$A$429,MATCH(B190,[2]活动总表!$B$8:$B$429,0))</f>
        <v>节日商店</v>
      </c>
      <c r="B190" s="93">
        <v>325</v>
      </c>
      <c r="C190" s="94">
        <v>188</v>
      </c>
      <c r="D190" s="92">
        <v>0</v>
      </c>
      <c r="E190" s="92">
        <v>12</v>
      </c>
      <c r="F190" s="92">
        <v>510201</v>
      </c>
      <c r="G190" s="76" t="str">
        <f>IFERROR(INDEX([1]物品基础表!$A:$A,MATCH(F190,[1]物品基础表!$B:$B,0)),"")</f>
        <v>橙龙带1级</v>
      </c>
      <c r="H190" s="92">
        <v>1</v>
      </c>
      <c r="I190" s="92">
        <v>3100</v>
      </c>
      <c r="J190" s="99">
        <f t="shared" si="3"/>
        <v>3100</v>
      </c>
      <c r="K190" s="92"/>
      <c r="L190" s="92" t="s">
        <v>1397</v>
      </c>
      <c r="M190" s="92"/>
      <c r="N190" s="92" t="s">
        <v>919</v>
      </c>
      <c r="O190" s="92"/>
      <c r="P190" s="92"/>
    </row>
    <row r="191" spans="1:16">
      <c r="A191" s="39" t="str">
        <f>INDEX([2]活动总表!$A$8:$A$429,MATCH(B191,[2]活动总表!$B$8:$B$429,0))</f>
        <v>节日商店</v>
      </c>
      <c r="B191" s="93">
        <v>325</v>
      </c>
      <c r="C191" s="94">
        <v>189</v>
      </c>
      <c r="D191" s="92">
        <v>0</v>
      </c>
      <c r="E191" s="92">
        <v>12</v>
      </c>
      <c r="F191" s="92">
        <v>511201</v>
      </c>
      <c r="G191" s="76" t="str">
        <f>IFERROR(INDEX([1]物品基础表!$A:$A,MATCH(F191,[1]物品基础表!$B:$B,0)),"")</f>
        <v>橙逐日1级</v>
      </c>
      <c r="H191" s="92">
        <v>1</v>
      </c>
      <c r="I191" s="92">
        <v>3100</v>
      </c>
      <c r="J191" s="99">
        <f t="shared" si="3"/>
        <v>3100</v>
      </c>
      <c r="K191" s="92"/>
      <c r="L191" s="92" t="s">
        <v>1397</v>
      </c>
      <c r="M191" s="92"/>
      <c r="N191" s="92" t="s">
        <v>919</v>
      </c>
      <c r="O191" s="92"/>
      <c r="P191" s="92"/>
    </row>
    <row r="192" spans="1:16">
      <c r="A192" s="39" t="str">
        <f>INDEX([2]活动总表!$A$8:$A$429,MATCH(B192,[2]活动总表!$B$8:$B$429,0))</f>
        <v>节日商店</v>
      </c>
      <c r="B192" s="93">
        <v>325</v>
      </c>
      <c r="C192" s="94">
        <v>190</v>
      </c>
      <c r="D192" s="92">
        <v>0</v>
      </c>
      <c r="E192" s="92">
        <v>12</v>
      </c>
      <c r="F192" s="92">
        <v>512201</v>
      </c>
      <c r="G192" s="76" t="str">
        <f>IFERROR(INDEX([1]物品基础表!$A:$A,MATCH(F192,[1]物品基础表!$B:$B,0)),"")</f>
        <v>橙豁免1级</v>
      </c>
      <c r="H192" s="92">
        <v>1</v>
      </c>
      <c r="I192" s="92">
        <v>9400</v>
      </c>
      <c r="J192" s="99">
        <f t="shared" si="3"/>
        <v>9400</v>
      </c>
      <c r="K192" s="92"/>
      <c r="L192" s="92" t="s">
        <v>1397</v>
      </c>
      <c r="M192" s="92"/>
      <c r="N192" s="92" t="s">
        <v>919</v>
      </c>
      <c r="O192" s="92"/>
      <c r="P192" s="92"/>
    </row>
    <row r="193" spans="1:16">
      <c r="A193" s="39" t="str">
        <f>INDEX([2]活动总表!$A$8:$A$429,MATCH(B193,[2]活动总表!$B$8:$B$429,0))</f>
        <v>节日商店</v>
      </c>
      <c r="B193" s="93">
        <v>325</v>
      </c>
      <c r="C193" s="94">
        <v>191</v>
      </c>
      <c r="D193" s="92">
        <v>0</v>
      </c>
      <c r="E193" s="92">
        <v>12</v>
      </c>
      <c r="F193" s="92">
        <v>513201</v>
      </c>
      <c r="G193" s="76" t="str">
        <f>IFERROR(INDEX([1]物品基础表!$A:$A,MATCH(F193,[1]物品基础表!$B:$B,0)),"")</f>
        <v>橙杀戮1级</v>
      </c>
      <c r="H193" s="92">
        <v>1</v>
      </c>
      <c r="I193" s="92">
        <v>9400</v>
      </c>
      <c r="J193" s="99">
        <f t="shared" si="3"/>
        <v>9400</v>
      </c>
      <c r="K193" s="92"/>
      <c r="L193" s="92" t="s">
        <v>1397</v>
      </c>
      <c r="M193" s="92"/>
      <c r="N193" s="92" t="s">
        <v>919</v>
      </c>
      <c r="O193" s="92"/>
      <c r="P193" s="92"/>
    </row>
    <row r="194" spans="1:16">
      <c r="A194" s="39" t="str">
        <f>INDEX([2]活动总表!$A$8:$A$429,MATCH(B194,[2]活动总表!$B$8:$B$429,0))</f>
        <v>节日商店</v>
      </c>
      <c r="B194" s="93">
        <v>325</v>
      </c>
      <c r="C194" s="94">
        <v>192</v>
      </c>
      <c r="D194" s="92">
        <v>0</v>
      </c>
      <c r="E194" s="92">
        <v>12</v>
      </c>
      <c r="F194" s="92">
        <v>514201</v>
      </c>
      <c r="G194" s="76" t="str">
        <f>IFERROR(INDEX([1]物品基础表!$A:$A,MATCH(F194,[1]物品基础表!$B:$B,0)),"")</f>
        <v>橙祝福1级</v>
      </c>
      <c r="H194" s="92">
        <v>1</v>
      </c>
      <c r="I194" s="92">
        <v>2500</v>
      </c>
      <c r="J194" s="99">
        <f t="shared" si="3"/>
        <v>2500</v>
      </c>
      <c r="K194" s="92"/>
      <c r="L194" s="92" t="s">
        <v>1397</v>
      </c>
      <c r="M194" s="92"/>
      <c r="N194" s="92" t="s">
        <v>919</v>
      </c>
      <c r="O194" s="92"/>
      <c r="P194" s="92"/>
    </row>
    <row r="195" spans="1:16">
      <c r="A195" s="39" t="str">
        <f>INDEX([2]活动总表!$A$8:$A$429,MATCH(B195,[2]活动总表!$B$8:$B$429,0))</f>
        <v>节日商店</v>
      </c>
      <c r="B195" s="93">
        <v>325</v>
      </c>
      <c r="C195" s="94">
        <v>193</v>
      </c>
      <c r="D195" s="92">
        <v>0</v>
      </c>
      <c r="E195" s="92">
        <v>12</v>
      </c>
      <c r="F195" s="92">
        <v>515201</v>
      </c>
      <c r="G195" s="76" t="str">
        <f>IFERROR(INDEX([1]物品基础表!$A:$A,MATCH(F195,[1]物品基础表!$B:$B,0)),"")</f>
        <v>橙财神1级</v>
      </c>
      <c r="H195" s="92">
        <v>1</v>
      </c>
      <c r="I195" s="92">
        <v>2500</v>
      </c>
      <c r="J195" s="99">
        <f t="shared" si="3"/>
        <v>2500</v>
      </c>
      <c r="K195" s="92"/>
      <c r="L195" s="92" t="s">
        <v>1397</v>
      </c>
      <c r="M195" s="92"/>
      <c r="N195" s="92" t="s">
        <v>919</v>
      </c>
      <c r="O195" s="92"/>
      <c r="P195" s="92"/>
    </row>
    <row r="196" spans="1:16">
      <c r="A196" s="39" t="str">
        <f>INDEX([2]活动总表!$A$8:$A$429,MATCH(B196,[2]活动总表!$B$8:$B$429,0))</f>
        <v>节日商店</v>
      </c>
      <c r="B196" s="93">
        <v>325</v>
      </c>
      <c r="C196" s="94">
        <v>194</v>
      </c>
      <c r="D196" s="92">
        <v>0</v>
      </c>
      <c r="E196" s="92">
        <v>12</v>
      </c>
      <c r="F196" s="92">
        <v>516201</v>
      </c>
      <c r="G196" s="76" t="str">
        <f>IFERROR(INDEX([1]物品基础表!$A:$A,MATCH(F196,[1]物品基础表!$B:$B,0)),"")</f>
        <v>橙强攻1级</v>
      </c>
      <c r="H196" s="92">
        <v>1</v>
      </c>
      <c r="I196" s="92">
        <v>7500</v>
      </c>
      <c r="J196" s="99">
        <f t="shared" ref="J196:J259" si="4">I196/H196</f>
        <v>7500</v>
      </c>
      <c r="K196" s="92"/>
      <c r="L196" s="92" t="s">
        <v>1397</v>
      </c>
      <c r="M196" s="92"/>
      <c r="N196" s="92" t="s">
        <v>919</v>
      </c>
      <c r="O196" s="92"/>
      <c r="P196" s="92"/>
    </row>
    <row r="197" spans="1:16">
      <c r="A197" s="39" t="str">
        <f>INDEX([2]活动总表!$A$8:$A$429,MATCH(B197,[2]活动总表!$B$8:$B$429,0))</f>
        <v>节日商店</v>
      </c>
      <c r="B197" s="93">
        <v>325</v>
      </c>
      <c r="C197" s="94">
        <v>195</v>
      </c>
      <c r="D197" s="92">
        <v>0</v>
      </c>
      <c r="E197" s="92">
        <v>12</v>
      </c>
      <c r="F197" s="92">
        <v>517201</v>
      </c>
      <c r="G197" s="76" t="str">
        <f>IFERROR(INDEX([1]物品基础表!$A:$A,MATCH(F197,[1]物品基础表!$B:$B,0)),"")</f>
        <v>橙毁灭1级</v>
      </c>
      <c r="H197" s="92">
        <v>1</v>
      </c>
      <c r="I197" s="92">
        <v>7500</v>
      </c>
      <c r="J197" s="99">
        <f t="shared" si="4"/>
        <v>7500</v>
      </c>
      <c r="K197" s="92"/>
      <c r="L197" s="92" t="s">
        <v>1397</v>
      </c>
      <c r="M197" s="92"/>
      <c r="N197" s="92" t="s">
        <v>919</v>
      </c>
      <c r="O197" s="92"/>
      <c r="P197" s="92"/>
    </row>
    <row r="198" spans="1:16">
      <c r="A198" s="39" t="str">
        <f>INDEX([2]活动总表!$A$8:$A$429,MATCH(B198,[2]活动总表!$B$8:$B$429,0))</f>
        <v>节日商店</v>
      </c>
      <c r="B198" s="93">
        <v>325</v>
      </c>
      <c r="C198" s="94">
        <v>196</v>
      </c>
      <c r="D198" s="92">
        <v>0</v>
      </c>
      <c r="E198" s="92">
        <v>12</v>
      </c>
      <c r="F198" s="92">
        <v>518201</v>
      </c>
      <c r="G198" s="76" t="str">
        <f>IFERROR(INDEX([1]物品基础表!$A:$A,MATCH(F198,[1]物品基础表!$B:$B,0)),"")</f>
        <v>橙泰坦1级</v>
      </c>
      <c r="H198" s="92">
        <v>1</v>
      </c>
      <c r="I198" s="92">
        <v>7500</v>
      </c>
      <c r="J198" s="99">
        <f t="shared" si="4"/>
        <v>7500</v>
      </c>
      <c r="K198" s="92"/>
      <c r="L198" s="92" t="s">
        <v>1397</v>
      </c>
      <c r="M198" s="92"/>
      <c r="N198" s="92" t="s">
        <v>919</v>
      </c>
      <c r="O198" s="92"/>
      <c r="P198" s="92"/>
    </row>
    <row r="199" spans="1:16">
      <c r="A199" s="39" t="str">
        <f>INDEX([2]活动总表!$A$8:$A$429,MATCH(B199,[2]活动总表!$B$8:$B$429,0))</f>
        <v>节日商店(60天以内</v>
      </c>
      <c r="B199" s="93">
        <v>367</v>
      </c>
      <c r="C199" s="94">
        <v>1</v>
      </c>
      <c r="D199" s="94">
        <v>0</v>
      </c>
      <c r="E199" s="94">
        <v>12</v>
      </c>
      <c r="F199" s="93">
        <v>200212</v>
      </c>
      <c r="G199" s="76" t="str">
        <f>IFERROR(INDEX([1]物品基础表!$A:$A,MATCH(F199,[1]物品基础表!$B:$B,0)),"")</f>
        <v>烈焰印记迅疾技能书</v>
      </c>
      <c r="H199" s="93">
        <v>1</v>
      </c>
      <c r="I199" s="93"/>
      <c r="J199" s="99">
        <f t="shared" si="4"/>
        <v>0</v>
      </c>
      <c r="K199" s="93"/>
      <c r="L199" s="93"/>
      <c r="M199" s="93">
        <v>50000</v>
      </c>
      <c r="N199" s="92"/>
      <c r="O199" s="92"/>
      <c r="P199" s="92"/>
    </row>
    <row r="200" spans="1:16">
      <c r="A200" s="39" t="str">
        <f>INDEX([2]活动总表!$A$8:$A$429,MATCH(B200,[2]活动总表!$B$8:$B$429,0))</f>
        <v>节日商店(60天以内</v>
      </c>
      <c r="B200" s="93">
        <v>367</v>
      </c>
      <c r="C200" s="94">
        <v>2</v>
      </c>
      <c r="D200" s="94">
        <v>0</v>
      </c>
      <c r="E200" s="94">
        <v>12</v>
      </c>
      <c r="F200" s="93">
        <v>200213</v>
      </c>
      <c r="G200" s="76" t="str">
        <f>IFERROR(INDEX([1]物品基础表!$A:$A,MATCH(F200,[1]物品基础表!$B:$B,0)),"")</f>
        <v>烈焰印记爆裂技能书</v>
      </c>
      <c r="H200" s="93">
        <v>1</v>
      </c>
      <c r="I200" s="93"/>
      <c r="J200" s="99">
        <f t="shared" si="4"/>
        <v>0</v>
      </c>
      <c r="K200" s="93"/>
      <c r="L200" s="93"/>
      <c r="M200" s="93">
        <v>50000</v>
      </c>
      <c r="N200" s="92"/>
      <c r="O200" s="92"/>
      <c r="P200" s="92"/>
    </row>
    <row r="201" spans="1:16">
      <c r="A201" s="39" t="str">
        <f>INDEX([2]活动总表!$A$8:$A$429,MATCH(B201,[2]活动总表!$B$8:$B$429,0))</f>
        <v>节日商店(60天以内</v>
      </c>
      <c r="B201" s="93">
        <v>367</v>
      </c>
      <c r="C201" s="94">
        <v>3</v>
      </c>
      <c r="D201" s="94">
        <v>0</v>
      </c>
      <c r="E201" s="94">
        <v>12</v>
      </c>
      <c r="F201" s="93">
        <v>900010</v>
      </c>
      <c r="G201" s="76" t="str">
        <f>IFERROR(INDEX([1]物品基础表!$A:$A,MATCH(F201,[1]物品基础表!$B:$B,0)),"")</f>
        <v>恶魔之翼</v>
      </c>
      <c r="H201" s="93">
        <v>1</v>
      </c>
      <c r="I201" s="93"/>
      <c r="J201" s="99">
        <f t="shared" si="4"/>
        <v>0</v>
      </c>
      <c r="K201" s="93"/>
      <c r="L201" s="93"/>
      <c r="M201" s="93">
        <v>50000</v>
      </c>
      <c r="N201" s="92"/>
      <c r="O201" s="92"/>
      <c r="P201" s="92"/>
    </row>
    <row r="202" spans="1:16">
      <c r="A202" s="39" t="str">
        <f>INDEX([2]活动总表!$A$8:$A$429,MATCH(B202,[2]活动总表!$B$8:$B$429,0))</f>
        <v>节日商店(60天以内</v>
      </c>
      <c r="B202" s="93">
        <v>367</v>
      </c>
      <c r="C202" s="94">
        <v>4</v>
      </c>
      <c r="D202" s="94">
        <v>0</v>
      </c>
      <c r="E202" s="94">
        <v>12</v>
      </c>
      <c r="F202" s="93">
        <v>900011</v>
      </c>
      <c r="G202" s="76" t="str">
        <f>IFERROR(INDEX([1]物品基础表!$A:$A,MATCH(F202,[1]物品基础表!$B:$B,0)),"")</f>
        <v>蝶舞轻扬</v>
      </c>
      <c r="H202" s="93">
        <v>1</v>
      </c>
      <c r="I202" s="93"/>
      <c r="J202" s="99">
        <f t="shared" si="4"/>
        <v>0</v>
      </c>
      <c r="K202" s="93"/>
      <c r="L202" s="93"/>
      <c r="M202" s="93">
        <v>50000</v>
      </c>
      <c r="N202" s="92"/>
      <c r="O202" s="92"/>
      <c r="P202" s="92"/>
    </row>
    <row r="203" spans="1:16">
      <c r="A203" s="39" t="str">
        <f>INDEX([2]活动总表!$A$8:$A$429,MATCH(B203,[2]活动总表!$B$8:$B$429,0))</f>
        <v>节日商店(60天以内</v>
      </c>
      <c r="B203" s="93">
        <v>367</v>
      </c>
      <c r="C203" s="94">
        <v>5</v>
      </c>
      <c r="D203" s="94">
        <v>0</v>
      </c>
      <c r="E203" s="94">
        <v>12</v>
      </c>
      <c r="F203" s="93">
        <v>220011</v>
      </c>
      <c r="G203" s="76" t="str">
        <f>IFERROR(INDEX([1]物品基础表!$A:$A,MATCH(F203,[1]物品基础表!$B:$B,0)),"")</f>
        <v>高级秘籍宝箱</v>
      </c>
      <c r="H203" s="93">
        <v>1</v>
      </c>
      <c r="I203" s="93"/>
      <c r="J203" s="99">
        <f t="shared" si="4"/>
        <v>0</v>
      </c>
      <c r="K203" s="93"/>
      <c r="L203" s="93"/>
      <c r="M203" s="93">
        <v>40000</v>
      </c>
      <c r="N203" s="92"/>
      <c r="O203" s="92"/>
      <c r="P203" s="92"/>
    </row>
    <row r="204" spans="1:16">
      <c r="A204" s="39" t="str">
        <f>INDEX([2]活动总表!$A$8:$A$429,MATCH(B204,[2]活动总表!$B$8:$B$429,0))</f>
        <v>节日商店(60天以内</v>
      </c>
      <c r="B204" s="93">
        <v>367</v>
      </c>
      <c r="C204" s="94">
        <v>6</v>
      </c>
      <c r="D204" s="94">
        <v>0</v>
      </c>
      <c r="E204" s="94">
        <v>12</v>
      </c>
      <c r="F204" s="93">
        <v>200969</v>
      </c>
      <c r="G204" s="76" t="str">
        <f>IFERROR(INDEX([1]物品基础表!$A:$A,MATCH(F204,[1]物品基础表!$B:$B,0)),"")</f>
        <v>魅惑兵魂任选礼包</v>
      </c>
      <c r="H204" s="93">
        <v>1</v>
      </c>
      <c r="I204" s="93"/>
      <c r="J204" s="99">
        <f t="shared" si="4"/>
        <v>0</v>
      </c>
      <c r="K204" s="93"/>
      <c r="L204" s="93"/>
      <c r="M204" s="93">
        <v>4000</v>
      </c>
      <c r="N204" s="92"/>
      <c r="O204" s="92"/>
      <c r="P204" s="92"/>
    </row>
    <row r="205" spans="1:16">
      <c r="A205" s="39" t="str">
        <f>INDEX([2]活动总表!$A$8:$A$429,MATCH(B205,[2]活动总表!$B$8:$B$429,0))</f>
        <v>节日商店(60天以内</v>
      </c>
      <c r="B205" s="93">
        <v>367</v>
      </c>
      <c r="C205" s="94">
        <v>7</v>
      </c>
      <c r="D205" s="94">
        <v>0</v>
      </c>
      <c r="E205" s="94">
        <v>12</v>
      </c>
      <c r="F205" s="93">
        <v>220010</v>
      </c>
      <c r="G205" s="76" t="str">
        <f>IFERROR(INDEX([1]物品基础表!$A:$A,MATCH(F205,[1]物品基础表!$B:$B,0)),"")</f>
        <v>中级秘籍宝箱</v>
      </c>
      <c r="H205" s="93">
        <v>1</v>
      </c>
      <c r="I205" s="93"/>
      <c r="J205" s="99">
        <f t="shared" si="4"/>
        <v>0</v>
      </c>
      <c r="K205" s="93"/>
      <c r="L205" s="93"/>
      <c r="M205" s="93">
        <v>8000</v>
      </c>
      <c r="N205" s="92"/>
      <c r="O205" s="92"/>
      <c r="P205" s="92"/>
    </row>
    <row r="206" spans="1:16">
      <c r="A206" s="39" t="str">
        <f>INDEX([2]活动总表!$A$8:$A$429,MATCH(B206,[2]活动总表!$B$8:$B$429,0))</f>
        <v>节日商店(60天以内</v>
      </c>
      <c r="B206" s="93">
        <v>367</v>
      </c>
      <c r="C206" s="94">
        <v>8</v>
      </c>
      <c r="D206" s="94">
        <v>0</v>
      </c>
      <c r="E206" s="94">
        <v>12</v>
      </c>
      <c r="F206" s="93">
        <v>500006</v>
      </c>
      <c r="G206" s="76" t="str">
        <f>IFERROR(INDEX([1]物品基础表!$A:$A,MATCH(F206,[1]物品基础表!$B:$B,0)),"")</f>
        <v>战纹精华-金</v>
      </c>
      <c r="H206" s="93">
        <v>1</v>
      </c>
      <c r="I206" s="93"/>
      <c r="J206" s="99">
        <f t="shared" si="4"/>
        <v>0</v>
      </c>
      <c r="K206" s="93"/>
      <c r="L206" s="93"/>
      <c r="M206" s="93">
        <v>1000</v>
      </c>
      <c r="N206" s="92"/>
      <c r="O206" s="92"/>
      <c r="P206" s="92"/>
    </row>
    <row r="207" spans="1:16">
      <c r="A207" s="39" t="str">
        <f>INDEX([2]活动总表!$A$8:$A$429,MATCH(B207,[2]活动总表!$B$8:$B$429,0))</f>
        <v>节日商店(60天以内</v>
      </c>
      <c r="B207" s="93">
        <v>367</v>
      </c>
      <c r="C207" s="94">
        <v>9</v>
      </c>
      <c r="D207" s="94">
        <v>0</v>
      </c>
      <c r="E207" s="94">
        <v>12</v>
      </c>
      <c r="F207" s="93">
        <v>200005</v>
      </c>
      <c r="G207" s="76" t="str">
        <f>IFERROR(INDEX([1]物品基础表!$A:$A,MATCH(F207,[1]物品基础表!$B:$B,0)),"")</f>
        <v>龙魂碎片</v>
      </c>
      <c r="H207" s="93">
        <v>5</v>
      </c>
      <c r="I207" s="93"/>
      <c r="J207" s="99">
        <f t="shared" si="4"/>
        <v>0</v>
      </c>
      <c r="K207" s="93"/>
      <c r="L207" s="93"/>
      <c r="M207" s="93">
        <v>500</v>
      </c>
      <c r="N207" s="92"/>
      <c r="O207" s="92"/>
      <c r="P207" s="92"/>
    </row>
    <row r="208" spans="1:16">
      <c r="A208" s="39" t="str">
        <f>INDEX([2]活动总表!$A$8:$A$429,MATCH(B208,[2]活动总表!$B$8:$B$429,0))</f>
        <v>节日商店(60天以内</v>
      </c>
      <c r="B208" s="93">
        <v>367</v>
      </c>
      <c r="C208" s="94">
        <v>10</v>
      </c>
      <c r="D208" s="94">
        <v>0</v>
      </c>
      <c r="E208" s="94">
        <v>12</v>
      </c>
      <c r="F208" s="93">
        <v>200015</v>
      </c>
      <c r="G208" s="76" t="str">
        <f>IFERROR(INDEX([1]物品基础表!$A:$A,MATCH(F208,[1]物品基础表!$B:$B,0)),"")</f>
        <v>特戒碎片</v>
      </c>
      <c r="H208" s="93">
        <v>10</v>
      </c>
      <c r="I208" s="93"/>
      <c r="J208" s="99">
        <f t="shared" si="4"/>
        <v>0</v>
      </c>
      <c r="K208" s="93"/>
      <c r="L208" s="93"/>
      <c r="M208" s="93">
        <v>100</v>
      </c>
      <c r="N208" s="92"/>
      <c r="O208" s="92"/>
      <c r="P208" s="92"/>
    </row>
    <row r="209" spans="1:16">
      <c r="A209" s="39" t="str">
        <f>INDEX([2]活动总表!$A$8:$A$429,MATCH(B209,[2]活动总表!$B$8:$B$429,0))</f>
        <v>节日商店(60天以内</v>
      </c>
      <c r="B209" s="93">
        <v>367</v>
      </c>
      <c r="C209" s="94">
        <v>11</v>
      </c>
      <c r="D209" s="94">
        <v>0</v>
      </c>
      <c r="E209" s="94">
        <v>12</v>
      </c>
      <c r="F209" s="93">
        <v>200208</v>
      </c>
      <c r="G209" s="76" t="str">
        <f>IFERROR(INDEX([1]物品基础表!$A:$A,MATCH(F209,[1]物品基础表!$B:$B,0)),"")</f>
        <v>烈焰印记低级升级材料</v>
      </c>
      <c r="H209" s="93">
        <v>10</v>
      </c>
      <c r="I209" s="93"/>
      <c r="J209" s="99">
        <f t="shared" si="4"/>
        <v>0</v>
      </c>
      <c r="K209" s="93"/>
      <c r="L209" s="93"/>
      <c r="M209" s="93">
        <v>100</v>
      </c>
      <c r="N209" s="92"/>
      <c r="O209" s="92"/>
      <c r="P209" s="92"/>
    </row>
    <row r="210" spans="1:16">
      <c r="A210" s="39" t="str">
        <f>INDEX([2]活动总表!$A$8:$A$429,MATCH(B210,[2]活动总表!$B$8:$B$429,0))</f>
        <v>节日商店(60天以内</v>
      </c>
      <c r="B210" s="93">
        <v>367</v>
      </c>
      <c r="C210" s="94">
        <v>12</v>
      </c>
      <c r="D210" s="94">
        <v>0</v>
      </c>
      <c r="E210" s="94">
        <v>12</v>
      </c>
      <c r="F210" s="93">
        <v>200005</v>
      </c>
      <c r="G210" s="76" t="str">
        <f>IFERROR(INDEX([1]物品基础表!$A:$A,MATCH(F210,[1]物品基础表!$B:$B,0)),"")</f>
        <v>龙魂碎片</v>
      </c>
      <c r="H210" s="93">
        <v>1</v>
      </c>
      <c r="I210" s="93"/>
      <c r="J210" s="99">
        <f t="shared" si="4"/>
        <v>0</v>
      </c>
      <c r="K210" s="93"/>
      <c r="L210" s="93"/>
      <c r="M210" s="93">
        <v>100</v>
      </c>
      <c r="N210" s="92"/>
      <c r="O210" s="92"/>
      <c r="P210" s="92"/>
    </row>
    <row r="211" spans="1:16">
      <c r="A211" s="39" t="str">
        <f>INDEX([2]活动总表!$A$8:$A$429,MATCH(B211,[2]活动总表!$B$8:$B$429,0))</f>
        <v>节日商店(60天以内</v>
      </c>
      <c r="B211" s="93">
        <v>367</v>
      </c>
      <c r="C211" s="94">
        <v>13</v>
      </c>
      <c r="D211" s="94">
        <v>0</v>
      </c>
      <c r="E211" s="94">
        <v>12</v>
      </c>
      <c r="F211" s="93">
        <v>200001</v>
      </c>
      <c r="G211" s="76" t="str">
        <f>IFERROR(INDEX([1]物品基础表!$A:$A,MATCH(F211,[1]物品基础表!$B:$B,0)),"")</f>
        <v>羽毛</v>
      </c>
      <c r="H211" s="93">
        <v>1</v>
      </c>
      <c r="I211" s="93"/>
      <c r="J211" s="99">
        <f t="shared" si="4"/>
        <v>0</v>
      </c>
      <c r="K211" s="93"/>
      <c r="L211" s="93"/>
      <c r="M211" s="93">
        <v>100</v>
      </c>
      <c r="N211" s="92"/>
      <c r="O211" s="92"/>
      <c r="P211" s="92"/>
    </row>
    <row r="212" spans="1:16">
      <c r="A212" s="39" t="str">
        <f>INDEX([2]活动总表!$A$8:$A$429,MATCH(B212,[2]活动总表!$B$8:$B$429,0))</f>
        <v>节日商店(60天以内</v>
      </c>
      <c r="B212" s="93">
        <v>367</v>
      </c>
      <c r="C212" s="94">
        <v>14</v>
      </c>
      <c r="D212" s="94">
        <v>0</v>
      </c>
      <c r="E212" s="94">
        <v>12</v>
      </c>
      <c r="F212" s="93">
        <v>200015</v>
      </c>
      <c r="G212" s="76" t="str">
        <f>IFERROR(INDEX([1]物品基础表!$A:$A,MATCH(F212,[1]物品基础表!$B:$B,0)),"")</f>
        <v>特戒碎片</v>
      </c>
      <c r="H212" s="93">
        <v>1</v>
      </c>
      <c r="I212" s="93"/>
      <c r="J212" s="99">
        <f t="shared" si="4"/>
        <v>0</v>
      </c>
      <c r="K212" s="93"/>
      <c r="L212" s="93"/>
      <c r="M212" s="93">
        <v>10</v>
      </c>
      <c r="N212" s="92"/>
      <c r="O212" s="92"/>
      <c r="P212" s="92"/>
    </row>
    <row r="213" spans="1:16">
      <c r="A213" s="39" t="str">
        <f>INDEX([2]活动总表!$A$8:$A$429,MATCH(B213,[2]活动总表!$B$8:$B$429,0))</f>
        <v>节日商店(60天以内</v>
      </c>
      <c r="B213" s="93">
        <v>367</v>
      </c>
      <c r="C213" s="94">
        <v>15</v>
      </c>
      <c r="D213" s="94">
        <v>0</v>
      </c>
      <c r="E213" s="94">
        <v>12</v>
      </c>
      <c r="F213" s="93">
        <v>200005</v>
      </c>
      <c r="G213" s="76" t="str">
        <f>IFERROR(INDEX([1]物品基础表!$A:$A,MATCH(F213,[1]物品基础表!$B:$B,0)),"")</f>
        <v>龙魂碎片</v>
      </c>
      <c r="H213" s="93">
        <v>30</v>
      </c>
      <c r="I213" s="93">
        <v>3000</v>
      </c>
      <c r="J213" s="99">
        <f t="shared" si="4"/>
        <v>100</v>
      </c>
      <c r="K213" s="93"/>
      <c r="L213" s="93" t="s">
        <v>1370</v>
      </c>
      <c r="M213" s="93"/>
      <c r="N213" s="92" t="s">
        <v>919</v>
      </c>
      <c r="O213" s="92"/>
      <c r="P213" s="92"/>
    </row>
    <row r="214" spans="1:16">
      <c r="A214" s="39" t="str">
        <f>INDEX([2]活动总表!$A$8:$A$429,MATCH(B214,[2]活动总表!$B$8:$B$429,0))</f>
        <v>节日商店(60天以内</v>
      </c>
      <c r="B214" s="93">
        <v>367</v>
      </c>
      <c r="C214" s="94">
        <v>16</v>
      </c>
      <c r="D214" s="94">
        <v>0</v>
      </c>
      <c r="E214" s="94">
        <v>12</v>
      </c>
      <c r="F214" s="93">
        <v>200005</v>
      </c>
      <c r="G214" s="76" t="str">
        <f>IFERROR(INDEX([1]物品基础表!$A:$A,MATCH(F214,[1]物品基础表!$B:$B,0)),"")</f>
        <v>龙魂碎片</v>
      </c>
      <c r="H214" s="93">
        <v>30</v>
      </c>
      <c r="I214" s="93">
        <v>2400</v>
      </c>
      <c r="J214" s="99">
        <f t="shared" si="4"/>
        <v>80</v>
      </c>
      <c r="K214" s="93"/>
      <c r="L214" s="93" t="s">
        <v>1370</v>
      </c>
      <c r="M214" s="93"/>
      <c r="N214" s="92">
        <v>8</v>
      </c>
      <c r="O214" s="92"/>
      <c r="P214" s="92"/>
    </row>
    <row r="215" spans="1:16">
      <c r="A215" s="39" t="str">
        <f>INDEX([2]活动总表!$A$8:$A$429,MATCH(B215,[2]活动总表!$B$8:$B$429,0))</f>
        <v>节日商店(60天以内</v>
      </c>
      <c r="B215" s="93">
        <v>367</v>
      </c>
      <c r="C215" s="94">
        <v>17</v>
      </c>
      <c r="D215" s="94">
        <v>0</v>
      </c>
      <c r="E215" s="94">
        <v>12</v>
      </c>
      <c r="F215" s="93">
        <v>200005</v>
      </c>
      <c r="G215" s="76" t="str">
        <f>IFERROR(INDEX([1]物品基础表!$A:$A,MATCH(F215,[1]物品基础表!$B:$B,0)),"")</f>
        <v>龙魂碎片</v>
      </c>
      <c r="H215" s="93">
        <v>30</v>
      </c>
      <c r="I215" s="93">
        <v>1500</v>
      </c>
      <c r="J215" s="99">
        <f t="shared" si="4"/>
        <v>50</v>
      </c>
      <c r="K215" s="93"/>
      <c r="L215" s="93" t="s">
        <v>1398</v>
      </c>
      <c r="M215" s="93"/>
      <c r="N215" s="92">
        <v>5</v>
      </c>
      <c r="O215" s="92"/>
      <c r="P215" s="92"/>
    </row>
    <row r="216" spans="1:16">
      <c r="A216" s="39" t="str">
        <f>INDEX([2]活动总表!$A$8:$A$429,MATCH(B216,[2]活动总表!$B$8:$B$429,0))</f>
        <v>节日商店(60天以内</v>
      </c>
      <c r="B216" s="93">
        <v>367</v>
      </c>
      <c r="C216" s="94">
        <v>18</v>
      </c>
      <c r="D216" s="94">
        <v>0</v>
      </c>
      <c r="E216" s="94">
        <v>12</v>
      </c>
      <c r="F216" s="93">
        <v>200005</v>
      </c>
      <c r="G216" s="76" t="str">
        <f>IFERROR(INDEX([1]物品基础表!$A:$A,MATCH(F216,[1]物品基础表!$B:$B,0)),"")</f>
        <v>龙魂碎片</v>
      </c>
      <c r="H216" s="93">
        <v>30</v>
      </c>
      <c r="I216" s="93">
        <v>900</v>
      </c>
      <c r="J216" s="99">
        <f t="shared" si="4"/>
        <v>30</v>
      </c>
      <c r="K216" s="93"/>
      <c r="L216" s="93" t="s">
        <v>1378</v>
      </c>
      <c r="M216" s="93"/>
      <c r="N216" s="92">
        <v>3</v>
      </c>
      <c r="O216" s="92"/>
      <c r="P216" s="92"/>
    </row>
    <row r="217" spans="1:16">
      <c r="A217" s="39" t="str">
        <f>INDEX([2]活动总表!$A$8:$A$429,MATCH(B217,[2]活动总表!$B$8:$B$429,0))</f>
        <v>节日商店(60天以内</v>
      </c>
      <c r="B217" s="93">
        <v>367</v>
      </c>
      <c r="C217" s="94">
        <v>19</v>
      </c>
      <c r="D217" s="94">
        <v>0</v>
      </c>
      <c r="E217" s="94">
        <v>12</v>
      </c>
      <c r="F217" s="93">
        <v>200005</v>
      </c>
      <c r="G217" s="76" t="str">
        <f>IFERROR(INDEX([1]物品基础表!$A:$A,MATCH(F217,[1]物品基础表!$B:$B,0)),"")</f>
        <v>龙魂碎片</v>
      </c>
      <c r="H217" s="93">
        <v>100</v>
      </c>
      <c r="I217" s="93">
        <v>8000</v>
      </c>
      <c r="J217" s="99">
        <f t="shared" si="4"/>
        <v>80</v>
      </c>
      <c r="K217" s="93"/>
      <c r="L217" s="93" t="s">
        <v>1370</v>
      </c>
      <c r="M217" s="93"/>
      <c r="N217" s="92">
        <v>8</v>
      </c>
      <c r="O217" s="92"/>
      <c r="P217" s="92"/>
    </row>
    <row r="218" spans="1:16">
      <c r="A218" s="39" t="str">
        <f>INDEX([2]活动总表!$A$8:$A$429,MATCH(B218,[2]活动总表!$B$8:$B$429,0))</f>
        <v>节日商店(60天以内</v>
      </c>
      <c r="B218" s="93">
        <v>367</v>
      </c>
      <c r="C218" s="94">
        <v>20</v>
      </c>
      <c r="D218" s="94">
        <v>0</v>
      </c>
      <c r="E218" s="94">
        <v>12</v>
      </c>
      <c r="F218" s="93">
        <v>200005</v>
      </c>
      <c r="G218" s="76" t="str">
        <f>IFERROR(INDEX([1]物品基础表!$A:$A,MATCH(F218,[1]物品基础表!$B:$B,0)),"")</f>
        <v>龙魂碎片</v>
      </c>
      <c r="H218" s="93">
        <v>100</v>
      </c>
      <c r="I218" s="93">
        <v>5000</v>
      </c>
      <c r="J218" s="99">
        <f t="shared" si="4"/>
        <v>50</v>
      </c>
      <c r="K218" s="93"/>
      <c r="L218" s="93" t="s">
        <v>1398</v>
      </c>
      <c r="M218" s="93"/>
      <c r="N218" s="92">
        <v>5</v>
      </c>
      <c r="O218" s="92"/>
      <c r="P218" s="92"/>
    </row>
    <row r="219" spans="1:16">
      <c r="A219" s="39" t="str">
        <f>INDEX([2]活动总表!$A$8:$A$429,MATCH(B219,[2]活动总表!$B$8:$B$429,0))</f>
        <v>节日商店(60天以内</v>
      </c>
      <c r="B219" s="93">
        <v>367</v>
      </c>
      <c r="C219" s="94">
        <v>21</v>
      </c>
      <c r="D219" s="94">
        <v>0</v>
      </c>
      <c r="E219" s="94">
        <v>12</v>
      </c>
      <c r="F219" s="93">
        <v>200005</v>
      </c>
      <c r="G219" s="76" t="str">
        <f>IFERROR(INDEX([1]物品基础表!$A:$A,MATCH(F219,[1]物品基础表!$B:$B,0)),"")</f>
        <v>龙魂碎片</v>
      </c>
      <c r="H219" s="93">
        <v>100</v>
      </c>
      <c r="I219" s="93">
        <v>3000</v>
      </c>
      <c r="J219" s="99">
        <f t="shared" si="4"/>
        <v>30</v>
      </c>
      <c r="K219" s="93"/>
      <c r="L219" s="93" t="s">
        <v>1378</v>
      </c>
      <c r="M219" s="93"/>
      <c r="N219" s="92">
        <v>3</v>
      </c>
      <c r="O219" s="92"/>
      <c r="P219" s="92"/>
    </row>
    <row r="220" spans="1:16">
      <c r="A220" s="39" t="str">
        <f>INDEX([2]活动总表!$A$8:$A$429,MATCH(B220,[2]活动总表!$B$8:$B$429,0))</f>
        <v>节日商店(60天以内</v>
      </c>
      <c r="B220" s="93">
        <v>367</v>
      </c>
      <c r="C220" s="94">
        <v>22</v>
      </c>
      <c r="D220" s="94">
        <v>0</v>
      </c>
      <c r="E220" s="94">
        <v>12</v>
      </c>
      <c r="F220" s="93">
        <v>200015</v>
      </c>
      <c r="G220" s="76" t="str">
        <f>IFERROR(INDEX([1]物品基础表!$A:$A,MATCH(F220,[1]物品基础表!$B:$B,0)),"")</f>
        <v>特戒碎片</v>
      </c>
      <c r="H220" s="93">
        <v>300</v>
      </c>
      <c r="I220" s="93">
        <v>3000</v>
      </c>
      <c r="J220" s="99">
        <f t="shared" si="4"/>
        <v>10</v>
      </c>
      <c r="K220" s="93"/>
      <c r="L220" s="93" t="s">
        <v>1370</v>
      </c>
      <c r="M220" s="93"/>
      <c r="N220" s="92" t="s">
        <v>919</v>
      </c>
      <c r="O220" s="92"/>
      <c r="P220" s="92"/>
    </row>
    <row r="221" spans="1:16">
      <c r="A221" s="39" t="str">
        <f>INDEX([2]活动总表!$A$8:$A$429,MATCH(B221,[2]活动总表!$B$8:$B$429,0))</f>
        <v>节日商店(60天以内</v>
      </c>
      <c r="B221" s="93">
        <v>367</v>
      </c>
      <c r="C221" s="94">
        <v>23</v>
      </c>
      <c r="D221" s="94">
        <v>0</v>
      </c>
      <c r="E221" s="94">
        <v>12</v>
      </c>
      <c r="F221" s="93">
        <v>200015</v>
      </c>
      <c r="G221" s="76" t="str">
        <f>IFERROR(INDEX([1]物品基础表!$A:$A,MATCH(F221,[1]物品基础表!$B:$B,0)),"")</f>
        <v>特戒碎片</v>
      </c>
      <c r="H221" s="93">
        <v>300</v>
      </c>
      <c r="I221" s="93">
        <v>2400</v>
      </c>
      <c r="J221" s="99">
        <f t="shared" si="4"/>
        <v>8</v>
      </c>
      <c r="K221" s="93"/>
      <c r="L221" s="93" t="s">
        <v>1370</v>
      </c>
      <c r="M221" s="93"/>
      <c r="N221" s="92">
        <v>8</v>
      </c>
      <c r="O221" s="92"/>
      <c r="P221" s="92"/>
    </row>
    <row r="222" spans="1:16">
      <c r="A222" s="39" t="str">
        <f>INDEX([2]活动总表!$A$8:$A$429,MATCH(B222,[2]活动总表!$B$8:$B$429,0))</f>
        <v>节日商店(60天以内</v>
      </c>
      <c r="B222" s="93">
        <v>367</v>
      </c>
      <c r="C222" s="94">
        <v>24</v>
      </c>
      <c r="D222" s="94">
        <v>0</v>
      </c>
      <c r="E222" s="94">
        <v>12</v>
      </c>
      <c r="F222" s="93">
        <v>200015</v>
      </c>
      <c r="G222" s="76" t="str">
        <f>IFERROR(INDEX([1]物品基础表!$A:$A,MATCH(F222,[1]物品基础表!$B:$B,0)),"")</f>
        <v>特戒碎片</v>
      </c>
      <c r="H222" s="93">
        <v>300</v>
      </c>
      <c r="I222" s="93">
        <v>1500</v>
      </c>
      <c r="J222" s="99">
        <f t="shared" si="4"/>
        <v>5</v>
      </c>
      <c r="K222" s="93"/>
      <c r="L222" s="93" t="s">
        <v>1399</v>
      </c>
      <c r="M222" s="93"/>
      <c r="N222" s="92">
        <v>5</v>
      </c>
      <c r="O222" s="92"/>
      <c r="P222" s="92"/>
    </row>
    <row r="223" spans="1:16">
      <c r="A223" s="39" t="str">
        <f>INDEX([2]活动总表!$A$8:$A$429,MATCH(B223,[2]活动总表!$B$8:$B$429,0))</f>
        <v>节日商店(60天以内</v>
      </c>
      <c r="B223" s="93">
        <v>367</v>
      </c>
      <c r="C223" s="94">
        <v>25</v>
      </c>
      <c r="D223" s="94">
        <v>0</v>
      </c>
      <c r="E223" s="94">
        <v>12</v>
      </c>
      <c r="F223" s="93">
        <v>200015</v>
      </c>
      <c r="G223" s="76" t="str">
        <f>IFERROR(INDEX([1]物品基础表!$A:$A,MATCH(F223,[1]物品基础表!$B:$B,0)),"")</f>
        <v>特戒碎片</v>
      </c>
      <c r="H223" s="93">
        <v>300</v>
      </c>
      <c r="I223" s="93">
        <v>900</v>
      </c>
      <c r="J223" s="99">
        <f t="shared" si="4"/>
        <v>3</v>
      </c>
      <c r="K223" s="93"/>
      <c r="L223" s="93" t="s">
        <v>1378</v>
      </c>
      <c r="M223" s="93"/>
      <c r="N223" s="92">
        <v>3</v>
      </c>
      <c r="O223" s="92"/>
      <c r="P223" s="92"/>
    </row>
    <row r="224" spans="1:16">
      <c r="A224" s="39" t="str">
        <f>INDEX([2]活动总表!$A$8:$A$429,MATCH(B224,[2]活动总表!$B$8:$B$429,0))</f>
        <v>节日商店(60天以内</v>
      </c>
      <c r="B224" s="93">
        <v>367</v>
      </c>
      <c r="C224" s="94">
        <v>26</v>
      </c>
      <c r="D224" s="94">
        <v>0</v>
      </c>
      <c r="E224" s="94">
        <v>12</v>
      </c>
      <c r="F224" s="93">
        <v>200015</v>
      </c>
      <c r="G224" s="76" t="str">
        <f>IFERROR(INDEX([1]物品基础表!$A:$A,MATCH(F224,[1]物品基础表!$B:$B,0)),"")</f>
        <v>特戒碎片</v>
      </c>
      <c r="H224" s="93">
        <v>1000</v>
      </c>
      <c r="I224" s="93">
        <v>8000</v>
      </c>
      <c r="J224" s="99">
        <f t="shared" si="4"/>
        <v>8</v>
      </c>
      <c r="K224" s="93"/>
      <c r="L224" s="93" t="s">
        <v>1370</v>
      </c>
      <c r="M224" s="93"/>
      <c r="N224" s="92">
        <v>8</v>
      </c>
      <c r="O224" s="92"/>
      <c r="P224" s="92"/>
    </row>
    <row r="225" spans="1:16">
      <c r="A225" s="39" t="str">
        <f>INDEX([2]活动总表!$A$8:$A$429,MATCH(B225,[2]活动总表!$B$8:$B$429,0))</f>
        <v>节日商店(60天以内</v>
      </c>
      <c r="B225" s="93">
        <v>367</v>
      </c>
      <c r="C225" s="94">
        <v>27</v>
      </c>
      <c r="D225" s="94">
        <v>0</v>
      </c>
      <c r="E225" s="94">
        <v>12</v>
      </c>
      <c r="F225" s="93">
        <v>200015</v>
      </c>
      <c r="G225" s="76" t="str">
        <f>IFERROR(INDEX([1]物品基础表!$A:$A,MATCH(F225,[1]物品基础表!$B:$B,0)),"")</f>
        <v>特戒碎片</v>
      </c>
      <c r="H225" s="93">
        <v>1000</v>
      </c>
      <c r="I225" s="93">
        <v>5000</v>
      </c>
      <c r="J225" s="99">
        <f t="shared" si="4"/>
        <v>5</v>
      </c>
      <c r="K225" s="93"/>
      <c r="L225" s="93" t="s">
        <v>1399</v>
      </c>
      <c r="M225" s="93"/>
      <c r="N225" s="92">
        <v>5</v>
      </c>
      <c r="O225" s="92"/>
      <c r="P225" s="92"/>
    </row>
    <row r="226" spans="1:16">
      <c r="A226" s="39" t="str">
        <f>INDEX([2]活动总表!$A$8:$A$429,MATCH(B226,[2]活动总表!$B$8:$B$429,0))</f>
        <v>节日商店(60天以内</v>
      </c>
      <c r="B226" s="93">
        <v>367</v>
      </c>
      <c r="C226" s="94">
        <v>28</v>
      </c>
      <c r="D226" s="94">
        <v>0</v>
      </c>
      <c r="E226" s="94">
        <v>12</v>
      </c>
      <c r="F226" s="93">
        <v>200015</v>
      </c>
      <c r="G226" s="76" t="str">
        <f>IFERROR(INDEX([1]物品基础表!$A:$A,MATCH(F226,[1]物品基础表!$B:$B,0)),"")</f>
        <v>特戒碎片</v>
      </c>
      <c r="H226" s="93">
        <v>1000</v>
      </c>
      <c r="I226" s="93">
        <v>3000</v>
      </c>
      <c r="J226" s="99">
        <f t="shared" si="4"/>
        <v>3</v>
      </c>
      <c r="K226" s="93"/>
      <c r="L226" s="93" t="s">
        <v>1378</v>
      </c>
      <c r="M226" s="93"/>
      <c r="N226" s="92">
        <v>3</v>
      </c>
      <c r="O226" s="92"/>
      <c r="P226" s="92"/>
    </row>
    <row r="227" spans="1:16">
      <c r="A227" s="39" t="str">
        <f>INDEX([2]活动总表!$A$8:$A$429,MATCH(B227,[2]活动总表!$B$8:$B$429,0))</f>
        <v>节日商店(60天以内</v>
      </c>
      <c r="B227" s="93">
        <v>367</v>
      </c>
      <c r="C227" s="94">
        <v>29</v>
      </c>
      <c r="D227" s="94">
        <v>0</v>
      </c>
      <c r="E227" s="94">
        <v>12</v>
      </c>
      <c r="F227" s="93">
        <v>200208</v>
      </c>
      <c r="G227" s="76" t="str">
        <f>IFERROR(INDEX([1]物品基础表!$A:$A,MATCH(F227,[1]物品基础表!$B:$B,0)),"")</f>
        <v>烈焰印记低级升级材料</v>
      </c>
      <c r="H227" s="93">
        <v>300</v>
      </c>
      <c r="I227" s="93">
        <v>3000</v>
      </c>
      <c r="J227" s="99">
        <f t="shared" si="4"/>
        <v>10</v>
      </c>
      <c r="K227" s="93"/>
      <c r="L227" s="93" t="s">
        <v>1370</v>
      </c>
      <c r="M227" s="93"/>
      <c r="N227" s="92" t="s">
        <v>919</v>
      </c>
      <c r="O227" s="92"/>
      <c r="P227" s="92"/>
    </row>
    <row r="228" spans="1:16">
      <c r="A228" s="39" t="str">
        <f>INDEX([2]活动总表!$A$8:$A$429,MATCH(B228,[2]活动总表!$B$8:$B$429,0))</f>
        <v>节日商店(60天以内</v>
      </c>
      <c r="B228" s="93">
        <v>367</v>
      </c>
      <c r="C228" s="94">
        <v>30</v>
      </c>
      <c r="D228" s="94">
        <v>0</v>
      </c>
      <c r="E228" s="94">
        <v>12</v>
      </c>
      <c r="F228" s="93">
        <v>200208</v>
      </c>
      <c r="G228" s="76" t="str">
        <f>IFERROR(INDEX([1]物品基础表!$A:$A,MATCH(F228,[1]物品基础表!$B:$B,0)),"")</f>
        <v>烈焰印记低级升级材料</v>
      </c>
      <c r="H228" s="93">
        <v>300</v>
      </c>
      <c r="I228" s="93">
        <v>2400</v>
      </c>
      <c r="J228" s="99">
        <f t="shared" si="4"/>
        <v>8</v>
      </c>
      <c r="K228" s="93"/>
      <c r="L228" s="93" t="s">
        <v>1370</v>
      </c>
      <c r="M228" s="93"/>
      <c r="N228" s="92">
        <v>8</v>
      </c>
      <c r="O228" s="92"/>
      <c r="P228" s="92"/>
    </row>
    <row r="229" spans="1:16">
      <c r="A229" s="39" t="str">
        <f>INDEX([2]活动总表!$A$8:$A$429,MATCH(B229,[2]活动总表!$B$8:$B$429,0))</f>
        <v>节日商店(60天以内</v>
      </c>
      <c r="B229" s="93">
        <v>367</v>
      </c>
      <c r="C229" s="94">
        <v>31</v>
      </c>
      <c r="D229" s="94">
        <v>0</v>
      </c>
      <c r="E229" s="94">
        <v>12</v>
      </c>
      <c r="F229" s="93">
        <v>200208</v>
      </c>
      <c r="G229" s="76" t="str">
        <f>IFERROR(INDEX([1]物品基础表!$A:$A,MATCH(F229,[1]物品基础表!$B:$B,0)),"")</f>
        <v>烈焰印记低级升级材料</v>
      </c>
      <c r="H229" s="93">
        <v>300</v>
      </c>
      <c r="I229" s="93">
        <v>1500</v>
      </c>
      <c r="J229" s="99">
        <f t="shared" si="4"/>
        <v>5</v>
      </c>
      <c r="K229" s="93"/>
      <c r="L229" s="93" t="s">
        <v>1398</v>
      </c>
      <c r="M229" s="93"/>
      <c r="N229" s="92">
        <v>5</v>
      </c>
      <c r="O229" s="92"/>
      <c r="P229" s="92"/>
    </row>
    <row r="230" spans="1:16">
      <c r="A230" s="39" t="str">
        <f>INDEX([2]活动总表!$A$8:$A$429,MATCH(B230,[2]活动总表!$B$8:$B$429,0))</f>
        <v>节日商店(60天以内</v>
      </c>
      <c r="B230" s="93">
        <v>367</v>
      </c>
      <c r="C230" s="94">
        <v>32</v>
      </c>
      <c r="D230" s="94">
        <v>0</v>
      </c>
      <c r="E230" s="94">
        <v>12</v>
      </c>
      <c r="F230" s="93">
        <v>200208</v>
      </c>
      <c r="G230" s="76" t="str">
        <f>IFERROR(INDEX([1]物品基础表!$A:$A,MATCH(F230,[1]物品基础表!$B:$B,0)),"")</f>
        <v>烈焰印记低级升级材料</v>
      </c>
      <c r="H230" s="93">
        <v>300</v>
      </c>
      <c r="I230" s="93">
        <v>900</v>
      </c>
      <c r="J230" s="99">
        <f t="shared" si="4"/>
        <v>3</v>
      </c>
      <c r="K230" s="93"/>
      <c r="L230" s="93" t="s">
        <v>1378</v>
      </c>
      <c r="M230" s="93"/>
      <c r="N230" s="92">
        <v>3</v>
      </c>
      <c r="O230" s="92"/>
      <c r="P230" s="92"/>
    </row>
    <row r="231" spans="1:16">
      <c r="A231" s="39" t="str">
        <f>INDEX([2]活动总表!$A$8:$A$429,MATCH(B231,[2]活动总表!$B$8:$B$429,0))</f>
        <v>节日商店(60天以内</v>
      </c>
      <c r="B231" s="93">
        <v>367</v>
      </c>
      <c r="C231" s="94">
        <v>33</v>
      </c>
      <c r="D231" s="94">
        <v>0</v>
      </c>
      <c r="E231" s="94">
        <v>12</v>
      </c>
      <c r="F231" s="93">
        <v>200208</v>
      </c>
      <c r="G231" s="76" t="str">
        <f>IFERROR(INDEX([1]物品基础表!$A:$A,MATCH(F231,[1]物品基础表!$B:$B,0)),"")</f>
        <v>烈焰印记低级升级材料</v>
      </c>
      <c r="H231" s="93">
        <v>1000</v>
      </c>
      <c r="I231" s="93">
        <v>8000</v>
      </c>
      <c r="J231" s="99">
        <f t="shared" si="4"/>
        <v>8</v>
      </c>
      <c r="K231" s="93"/>
      <c r="L231" s="93" t="s">
        <v>1370</v>
      </c>
      <c r="M231" s="93"/>
      <c r="N231" s="92">
        <v>8</v>
      </c>
      <c r="O231" s="92"/>
      <c r="P231" s="92"/>
    </row>
    <row r="232" spans="1:16">
      <c r="A232" s="39" t="str">
        <f>INDEX([2]活动总表!$A$8:$A$429,MATCH(B232,[2]活动总表!$B$8:$B$429,0))</f>
        <v>节日商店(60天以内</v>
      </c>
      <c r="B232" s="93">
        <v>367</v>
      </c>
      <c r="C232" s="94">
        <v>34</v>
      </c>
      <c r="D232" s="94">
        <v>0</v>
      </c>
      <c r="E232" s="94">
        <v>12</v>
      </c>
      <c r="F232" s="93">
        <v>200208</v>
      </c>
      <c r="G232" s="76" t="str">
        <f>IFERROR(INDEX([1]物品基础表!$A:$A,MATCH(F232,[1]物品基础表!$B:$B,0)),"")</f>
        <v>烈焰印记低级升级材料</v>
      </c>
      <c r="H232" s="93">
        <v>1000</v>
      </c>
      <c r="I232" s="93">
        <v>5000</v>
      </c>
      <c r="J232" s="99">
        <f t="shared" si="4"/>
        <v>5</v>
      </c>
      <c r="K232" s="93"/>
      <c r="L232" s="93" t="s">
        <v>1398</v>
      </c>
      <c r="M232" s="93"/>
      <c r="N232" s="92">
        <v>5</v>
      </c>
      <c r="O232" s="92"/>
      <c r="P232" s="92"/>
    </row>
    <row r="233" spans="1:16">
      <c r="A233" s="39" t="str">
        <f>INDEX([2]活动总表!$A$8:$A$429,MATCH(B233,[2]活动总表!$B$8:$B$429,0))</f>
        <v>节日商店(60天以内</v>
      </c>
      <c r="B233" s="93">
        <v>367</v>
      </c>
      <c r="C233" s="94">
        <v>35</v>
      </c>
      <c r="D233" s="94">
        <v>0</v>
      </c>
      <c r="E233" s="94">
        <v>12</v>
      </c>
      <c r="F233" s="93">
        <v>200208</v>
      </c>
      <c r="G233" s="76" t="str">
        <f>IFERROR(INDEX([1]物品基础表!$A:$A,MATCH(F233,[1]物品基础表!$B:$B,0)),"")</f>
        <v>烈焰印记低级升级材料</v>
      </c>
      <c r="H233" s="93">
        <v>1000</v>
      </c>
      <c r="I233" s="93">
        <v>3000</v>
      </c>
      <c r="J233" s="99">
        <f t="shared" si="4"/>
        <v>3</v>
      </c>
      <c r="K233" s="93"/>
      <c r="L233" s="93" t="s">
        <v>1378</v>
      </c>
      <c r="M233" s="93"/>
      <c r="N233" s="92">
        <v>3</v>
      </c>
      <c r="O233" s="92"/>
      <c r="P233" s="92"/>
    </row>
    <row r="234" spans="1:16">
      <c r="A234" s="39" t="str">
        <f>INDEX([2]活动总表!$A$8:$A$429,MATCH(B234,[2]活动总表!$B$8:$B$429,0))</f>
        <v>节日商店(60天以内</v>
      </c>
      <c r="B234" s="93">
        <v>367</v>
      </c>
      <c r="C234" s="94">
        <v>36</v>
      </c>
      <c r="D234" s="94">
        <v>0</v>
      </c>
      <c r="E234" s="94">
        <v>12</v>
      </c>
      <c r="F234" s="93">
        <v>500006</v>
      </c>
      <c r="G234" s="76" t="str">
        <f>IFERROR(INDEX([1]物品基础表!$A:$A,MATCH(F234,[1]物品基础表!$B:$B,0)),"")</f>
        <v>战纹精华-金</v>
      </c>
      <c r="H234" s="93">
        <v>5</v>
      </c>
      <c r="I234" s="93">
        <v>5000</v>
      </c>
      <c r="J234" s="99">
        <f t="shared" si="4"/>
        <v>1000</v>
      </c>
      <c r="K234" s="93"/>
      <c r="L234" s="93" t="s">
        <v>1375</v>
      </c>
      <c r="M234" s="93"/>
      <c r="N234" s="92" t="s">
        <v>919</v>
      </c>
      <c r="O234" s="92"/>
      <c r="P234" s="92"/>
    </row>
    <row r="235" spans="1:16">
      <c r="A235" s="39" t="str">
        <f>INDEX([2]活动总表!$A$8:$A$429,MATCH(B235,[2]活动总表!$B$8:$B$429,0))</f>
        <v>节日商店(60天以内</v>
      </c>
      <c r="B235" s="93">
        <v>367</v>
      </c>
      <c r="C235" s="94">
        <v>37</v>
      </c>
      <c r="D235" s="94">
        <v>0</v>
      </c>
      <c r="E235" s="94">
        <v>12</v>
      </c>
      <c r="F235" s="93">
        <v>500006</v>
      </c>
      <c r="G235" s="76" t="str">
        <f>IFERROR(INDEX([1]物品基础表!$A:$A,MATCH(F235,[1]物品基础表!$B:$B,0)),"")</f>
        <v>战纹精华-金</v>
      </c>
      <c r="H235" s="93">
        <v>5</v>
      </c>
      <c r="I235" s="93">
        <v>4000</v>
      </c>
      <c r="J235" s="99">
        <f t="shared" si="4"/>
        <v>800</v>
      </c>
      <c r="K235" s="93"/>
      <c r="L235" s="93" t="s">
        <v>1370</v>
      </c>
      <c r="M235" s="93"/>
      <c r="N235" s="92">
        <v>8</v>
      </c>
      <c r="O235" s="92"/>
      <c r="P235" s="92"/>
    </row>
    <row r="236" spans="1:16">
      <c r="A236" s="39" t="str">
        <f>INDEX([2]活动总表!$A$8:$A$429,MATCH(B236,[2]活动总表!$B$8:$B$429,0))</f>
        <v>节日商店(60天以内</v>
      </c>
      <c r="B236" s="93">
        <v>367</v>
      </c>
      <c r="C236" s="94">
        <v>38</v>
      </c>
      <c r="D236" s="94">
        <v>0</v>
      </c>
      <c r="E236" s="94">
        <v>12</v>
      </c>
      <c r="F236" s="93">
        <v>500006</v>
      </c>
      <c r="G236" s="76" t="str">
        <f>IFERROR(INDEX([1]物品基础表!$A:$A,MATCH(F236,[1]物品基础表!$B:$B,0)),"")</f>
        <v>战纹精华-金</v>
      </c>
      <c r="H236" s="93">
        <v>5</v>
      </c>
      <c r="I236" s="93">
        <v>2500</v>
      </c>
      <c r="J236" s="99">
        <f t="shared" si="4"/>
        <v>500</v>
      </c>
      <c r="K236" s="93"/>
      <c r="L236" s="93" t="s">
        <v>1398</v>
      </c>
      <c r="M236" s="93"/>
      <c r="N236" s="92">
        <v>5</v>
      </c>
      <c r="O236" s="92"/>
      <c r="P236" s="92"/>
    </row>
    <row r="237" spans="1:16">
      <c r="A237" s="39" t="str">
        <f>INDEX([2]活动总表!$A$8:$A$429,MATCH(B237,[2]活动总表!$B$8:$B$429,0))</f>
        <v>节日商店(60天以内</v>
      </c>
      <c r="B237" s="93">
        <v>367</v>
      </c>
      <c r="C237" s="94">
        <v>39</v>
      </c>
      <c r="D237" s="94">
        <v>0</v>
      </c>
      <c r="E237" s="94">
        <v>12</v>
      </c>
      <c r="F237" s="93">
        <v>500006</v>
      </c>
      <c r="G237" s="76" t="str">
        <f>IFERROR(INDEX([1]物品基础表!$A:$A,MATCH(F237,[1]物品基础表!$B:$B,0)),"")</f>
        <v>战纹精华-金</v>
      </c>
      <c r="H237" s="93">
        <v>5</v>
      </c>
      <c r="I237" s="93">
        <v>1500</v>
      </c>
      <c r="J237" s="99">
        <f t="shared" si="4"/>
        <v>300</v>
      </c>
      <c r="K237" s="93"/>
      <c r="L237" s="93" t="s">
        <v>1378</v>
      </c>
      <c r="M237" s="93"/>
      <c r="N237" s="92">
        <v>3</v>
      </c>
      <c r="O237" s="92"/>
      <c r="P237" s="92"/>
    </row>
    <row r="238" spans="1:16">
      <c r="A238" s="39" t="str">
        <f>INDEX([2]活动总表!$A$8:$A$429,MATCH(B238,[2]活动总表!$B$8:$B$429,0))</f>
        <v>节日商店(60天以内</v>
      </c>
      <c r="B238" s="93">
        <v>367</v>
      </c>
      <c r="C238" s="94">
        <v>40</v>
      </c>
      <c r="D238" s="94">
        <v>0</v>
      </c>
      <c r="E238" s="94">
        <v>12</v>
      </c>
      <c r="F238" s="93">
        <v>500006</v>
      </c>
      <c r="G238" s="76" t="str">
        <f>IFERROR(INDEX([1]物品基础表!$A:$A,MATCH(F238,[1]物品基础表!$B:$B,0)),"")</f>
        <v>战纹精华-金</v>
      </c>
      <c r="H238" s="93">
        <v>20</v>
      </c>
      <c r="I238" s="93">
        <v>16000</v>
      </c>
      <c r="J238" s="99">
        <f t="shared" si="4"/>
        <v>800</v>
      </c>
      <c r="K238" s="93"/>
      <c r="L238" s="93" t="s">
        <v>1370</v>
      </c>
      <c r="M238" s="93"/>
      <c r="N238" s="92">
        <v>8</v>
      </c>
      <c r="O238" s="92"/>
      <c r="P238" s="92"/>
    </row>
    <row r="239" spans="1:16">
      <c r="A239" s="39" t="str">
        <f>INDEX([2]活动总表!$A$8:$A$429,MATCH(B239,[2]活动总表!$B$8:$B$429,0))</f>
        <v>节日商店(60天以内</v>
      </c>
      <c r="B239" s="93">
        <v>367</v>
      </c>
      <c r="C239" s="94">
        <v>41</v>
      </c>
      <c r="D239" s="94">
        <v>0</v>
      </c>
      <c r="E239" s="94">
        <v>12</v>
      </c>
      <c r="F239" s="93">
        <v>500006</v>
      </c>
      <c r="G239" s="76" t="str">
        <f>IFERROR(INDEX([1]物品基础表!$A:$A,MATCH(F239,[1]物品基础表!$B:$B,0)),"")</f>
        <v>战纹精华-金</v>
      </c>
      <c r="H239" s="93">
        <v>20</v>
      </c>
      <c r="I239" s="93">
        <v>10000</v>
      </c>
      <c r="J239" s="99">
        <f t="shared" si="4"/>
        <v>500</v>
      </c>
      <c r="K239" s="93"/>
      <c r="L239" s="93" t="s">
        <v>1398</v>
      </c>
      <c r="M239" s="93"/>
      <c r="N239" s="92">
        <v>5</v>
      </c>
      <c r="O239" s="92"/>
      <c r="P239" s="92"/>
    </row>
    <row r="240" spans="1:16">
      <c r="A240" s="39" t="str">
        <f>INDEX([2]活动总表!$A$8:$A$429,MATCH(B240,[2]活动总表!$B$8:$B$429,0))</f>
        <v>节日商店(60天以内</v>
      </c>
      <c r="B240" s="93">
        <v>367</v>
      </c>
      <c r="C240" s="94">
        <v>42</v>
      </c>
      <c r="D240" s="94">
        <v>0</v>
      </c>
      <c r="E240" s="94">
        <v>12</v>
      </c>
      <c r="F240" s="93">
        <v>500006</v>
      </c>
      <c r="G240" s="76" t="str">
        <f>IFERROR(INDEX([1]物品基础表!$A:$A,MATCH(F240,[1]物品基础表!$B:$B,0)),"")</f>
        <v>战纹精华-金</v>
      </c>
      <c r="H240" s="93">
        <v>20</v>
      </c>
      <c r="I240" s="93">
        <v>6000</v>
      </c>
      <c r="J240" s="99">
        <f t="shared" si="4"/>
        <v>300</v>
      </c>
      <c r="K240" s="93"/>
      <c r="L240" s="93" t="s">
        <v>1378</v>
      </c>
      <c r="M240" s="93"/>
      <c r="N240" s="92">
        <v>3</v>
      </c>
      <c r="O240" s="92"/>
      <c r="P240" s="92"/>
    </row>
    <row r="241" spans="1:16">
      <c r="A241" s="39" t="str">
        <f>INDEX([2]活动总表!$A$8:$A$429,MATCH(B241,[2]活动总表!$B$8:$B$429,0))</f>
        <v>节日商店(60天以内</v>
      </c>
      <c r="B241" s="93">
        <v>367</v>
      </c>
      <c r="C241" s="94">
        <v>43</v>
      </c>
      <c r="D241" s="94">
        <v>0</v>
      </c>
      <c r="E241" s="94">
        <v>12</v>
      </c>
      <c r="F241" s="93">
        <v>200008</v>
      </c>
      <c r="G241" s="76" t="str">
        <f>IFERROR(INDEX([1]物品基础表!$A:$A,MATCH(F241,[1]物品基础表!$B:$B,0)),"")</f>
        <v>传奇碎片</v>
      </c>
      <c r="H241" s="93">
        <v>5</v>
      </c>
      <c r="I241" s="93">
        <v>5000</v>
      </c>
      <c r="J241" s="99">
        <f t="shared" si="4"/>
        <v>1000</v>
      </c>
      <c r="K241" s="93"/>
      <c r="L241" s="93" t="s">
        <v>1375</v>
      </c>
      <c r="M241" s="93"/>
      <c r="N241" s="92" t="s">
        <v>919</v>
      </c>
      <c r="O241" s="92"/>
      <c r="P241" s="92"/>
    </row>
    <row r="242" spans="1:16">
      <c r="A242" s="39" t="str">
        <f>INDEX([2]活动总表!$A$8:$A$429,MATCH(B242,[2]活动总表!$B$8:$B$429,0))</f>
        <v>节日商店(60天以内</v>
      </c>
      <c r="B242" s="93">
        <v>367</v>
      </c>
      <c r="C242" s="94">
        <v>44</v>
      </c>
      <c r="D242" s="94">
        <v>0</v>
      </c>
      <c r="E242" s="94">
        <v>12</v>
      </c>
      <c r="F242" s="93">
        <v>200008</v>
      </c>
      <c r="G242" s="76" t="str">
        <f>IFERROR(INDEX([1]物品基础表!$A:$A,MATCH(F242,[1]物品基础表!$B:$B,0)),"")</f>
        <v>传奇碎片</v>
      </c>
      <c r="H242" s="93">
        <v>5</v>
      </c>
      <c r="I242" s="93">
        <v>4000</v>
      </c>
      <c r="J242" s="99">
        <f t="shared" si="4"/>
        <v>800</v>
      </c>
      <c r="K242" s="93"/>
      <c r="L242" s="93" t="s">
        <v>1370</v>
      </c>
      <c r="M242" s="93"/>
      <c r="N242" s="92">
        <v>8</v>
      </c>
      <c r="O242" s="92"/>
      <c r="P242" s="92"/>
    </row>
    <row r="243" spans="1:16">
      <c r="A243" s="39" t="str">
        <f>INDEX([2]活动总表!$A$8:$A$429,MATCH(B243,[2]活动总表!$B$8:$B$429,0))</f>
        <v>节日商店(60天以内</v>
      </c>
      <c r="B243" s="93">
        <v>367</v>
      </c>
      <c r="C243" s="94">
        <v>45</v>
      </c>
      <c r="D243" s="94">
        <v>0</v>
      </c>
      <c r="E243" s="94">
        <v>12</v>
      </c>
      <c r="F243" s="93">
        <v>200008</v>
      </c>
      <c r="G243" s="76" t="str">
        <f>IFERROR(INDEX([1]物品基础表!$A:$A,MATCH(F243,[1]物品基础表!$B:$B,0)),"")</f>
        <v>传奇碎片</v>
      </c>
      <c r="H243" s="93">
        <v>5</v>
      </c>
      <c r="I243" s="93">
        <v>2500</v>
      </c>
      <c r="J243" s="99">
        <f t="shared" si="4"/>
        <v>500</v>
      </c>
      <c r="K243" s="93"/>
      <c r="L243" s="93" t="s">
        <v>1377</v>
      </c>
      <c r="M243" s="93"/>
      <c r="N243" s="92">
        <v>5</v>
      </c>
      <c r="O243" s="92"/>
      <c r="P243" s="92"/>
    </row>
    <row r="244" spans="1:16">
      <c r="A244" s="39" t="str">
        <f>INDEX([2]活动总表!$A$8:$A$429,MATCH(B244,[2]活动总表!$B$8:$B$429,0))</f>
        <v>节日商店(60天以内</v>
      </c>
      <c r="B244" s="93">
        <v>367</v>
      </c>
      <c r="C244" s="94">
        <v>46</v>
      </c>
      <c r="D244" s="94">
        <v>0</v>
      </c>
      <c r="E244" s="94">
        <v>12</v>
      </c>
      <c r="F244" s="93">
        <v>200008</v>
      </c>
      <c r="G244" s="76" t="str">
        <f>IFERROR(INDEX([1]物品基础表!$A:$A,MATCH(F244,[1]物品基础表!$B:$B,0)),"")</f>
        <v>传奇碎片</v>
      </c>
      <c r="H244" s="93">
        <v>5</v>
      </c>
      <c r="I244" s="93">
        <v>1500</v>
      </c>
      <c r="J244" s="99">
        <f t="shared" si="4"/>
        <v>300</v>
      </c>
      <c r="K244" s="93"/>
      <c r="L244" s="93" t="s">
        <v>1378</v>
      </c>
      <c r="M244" s="93"/>
      <c r="N244" s="92">
        <v>3</v>
      </c>
      <c r="O244" s="92"/>
      <c r="P244" s="92"/>
    </row>
    <row r="245" spans="1:16">
      <c r="A245" s="39" t="str">
        <f>INDEX([2]活动总表!$A$8:$A$429,MATCH(B245,[2]活动总表!$B$8:$B$429,0))</f>
        <v>节日商店(60天以内</v>
      </c>
      <c r="B245" s="93">
        <v>367</v>
      </c>
      <c r="C245" s="94">
        <v>47</v>
      </c>
      <c r="D245" s="94">
        <v>0</v>
      </c>
      <c r="E245" s="94">
        <v>12</v>
      </c>
      <c r="F245" s="93">
        <v>200008</v>
      </c>
      <c r="G245" s="76" t="str">
        <f>IFERROR(INDEX([1]物品基础表!$A:$A,MATCH(F245,[1]物品基础表!$B:$B,0)),"")</f>
        <v>传奇碎片</v>
      </c>
      <c r="H245" s="93">
        <v>20</v>
      </c>
      <c r="I245" s="93">
        <v>16000</v>
      </c>
      <c r="J245" s="99">
        <f t="shared" si="4"/>
        <v>800</v>
      </c>
      <c r="K245" s="93"/>
      <c r="L245" s="93" t="s">
        <v>1370</v>
      </c>
      <c r="M245" s="93"/>
      <c r="N245" s="92">
        <v>8</v>
      </c>
      <c r="O245" s="92"/>
      <c r="P245" s="92"/>
    </row>
    <row r="246" spans="1:16">
      <c r="A246" s="39" t="str">
        <f>INDEX([2]活动总表!$A$8:$A$429,MATCH(B246,[2]活动总表!$B$8:$B$429,0))</f>
        <v>节日商店(60天以内</v>
      </c>
      <c r="B246" s="93">
        <v>367</v>
      </c>
      <c r="C246" s="94">
        <v>48</v>
      </c>
      <c r="D246" s="94">
        <v>0</v>
      </c>
      <c r="E246" s="94">
        <v>12</v>
      </c>
      <c r="F246" s="93">
        <v>200008</v>
      </c>
      <c r="G246" s="76" t="str">
        <f>IFERROR(INDEX([1]物品基础表!$A:$A,MATCH(F246,[1]物品基础表!$B:$B,0)),"")</f>
        <v>传奇碎片</v>
      </c>
      <c r="H246" s="93">
        <v>20</v>
      </c>
      <c r="I246" s="93">
        <v>10000</v>
      </c>
      <c r="J246" s="99">
        <f t="shared" si="4"/>
        <v>500</v>
      </c>
      <c r="K246" s="93"/>
      <c r="L246" s="93" t="s">
        <v>1377</v>
      </c>
      <c r="M246" s="93"/>
      <c r="N246" s="92">
        <v>5</v>
      </c>
      <c r="O246" s="92"/>
      <c r="P246" s="92"/>
    </row>
    <row r="247" spans="1:16">
      <c r="A247" s="39" t="str">
        <f>INDEX([2]活动总表!$A$8:$A$429,MATCH(B247,[2]活动总表!$B$8:$B$429,0))</f>
        <v>节日商店(60天以内</v>
      </c>
      <c r="B247" s="93">
        <v>367</v>
      </c>
      <c r="C247" s="94">
        <v>49</v>
      </c>
      <c r="D247" s="94">
        <v>0</v>
      </c>
      <c r="E247" s="94">
        <v>12</v>
      </c>
      <c r="F247" s="93">
        <v>200008</v>
      </c>
      <c r="G247" s="76" t="str">
        <f>IFERROR(INDEX([1]物品基础表!$A:$A,MATCH(F247,[1]物品基础表!$B:$B,0)),"")</f>
        <v>传奇碎片</v>
      </c>
      <c r="H247" s="93">
        <v>20</v>
      </c>
      <c r="I247" s="93">
        <v>6000</v>
      </c>
      <c r="J247" s="99">
        <f t="shared" si="4"/>
        <v>300</v>
      </c>
      <c r="K247" s="93"/>
      <c r="L247" s="93" t="s">
        <v>1378</v>
      </c>
      <c r="M247" s="93"/>
      <c r="N247" s="92">
        <v>3</v>
      </c>
      <c r="O247" s="92"/>
      <c r="P247" s="92"/>
    </row>
    <row r="248" spans="1:16">
      <c r="A248" s="39" t="str">
        <f>INDEX([2]活动总表!$A$8:$A$429,MATCH(B248,[2]活动总表!$B$8:$B$429,0))</f>
        <v>节日商店(60天以内</v>
      </c>
      <c r="B248" s="93">
        <v>367</v>
      </c>
      <c r="C248" s="94">
        <v>50</v>
      </c>
      <c r="D248" s="94">
        <v>0</v>
      </c>
      <c r="E248" s="94">
        <v>12</v>
      </c>
      <c r="F248" s="93">
        <v>200301</v>
      </c>
      <c r="G248" s="76" t="str">
        <f>IFERROR(INDEX([1]物品基础表!$A:$A,MATCH(F248,[1]物品基础表!$B:$B,0)),"")</f>
        <v>传世宝钻</v>
      </c>
      <c r="H248" s="93">
        <v>50</v>
      </c>
      <c r="I248" s="93">
        <v>5000</v>
      </c>
      <c r="J248" s="99">
        <f t="shared" si="4"/>
        <v>100</v>
      </c>
      <c r="K248" s="93"/>
      <c r="L248" s="93" t="s">
        <v>1379</v>
      </c>
      <c r="M248" s="93"/>
      <c r="N248" s="92" t="s">
        <v>919</v>
      </c>
      <c r="O248" s="92"/>
      <c r="P248" s="92"/>
    </row>
    <row r="249" spans="1:16">
      <c r="A249" s="39" t="str">
        <f>INDEX([2]活动总表!$A$8:$A$429,MATCH(B249,[2]活动总表!$B$8:$B$429,0))</f>
        <v>节日商店(60天以内</v>
      </c>
      <c r="B249" s="93">
        <v>367</v>
      </c>
      <c r="C249" s="94">
        <v>51</v>
      </c>
      <c r="D249" s="94">
        <v>0</v>
      </c>
      <c r="E249" s="94">
        <v>12</v>
      </c>
      <c r="F249" s="93">
        <v>200301</v>
      </c>
      <c r="G249" s="76" t="str">
        <f>IFERROR(INDEX([1]物品基础表!$A:$A,MATCH(F249,[1]物品基础表!$B:$B,0)),"")</f>
        <v>传世宝钻</v>
      </c>
      <c r="H249" s="93">
        <v>50</v>
      </c>
      <c r="I249" s="93">
        <v>4000</v>
      </c>
      <c r="J249" s="99">
        <f t="shared" si="4"/>
        <v>80</v>
      </c>
      <c r="K249" s="93"/>
      <c r="L249" s="93" t="s">
        <v>1380</v>
      </c>
      <c r="M249" s="93"/>
      <c r="N249" s="92">
        <v>8</v>
      </c>
      <c r="O249" s="92"/>
      <c r="P249" s="92"/>
    </row>
    <row r="250" spans="1:16">
      <c r="A250" s="39" t="str">
        <f>INDEX([2]活动总表!$A$8:$A$429,MATCH(B250,[2]活动总表!$B$8:$B$429,0))</f>
        <v>节日商店(60天以内</v>
      </c>
      <c r="B250" s="93">
        <v>367</v>
      </c>
      <c r="C250" s="94">
        <v>52</v>
      </c>
      <c r="D250" s="94">
        <v>0</v>
      </c>
      <c r="E250" s="94">
        <v>12</v>
      </c>
      <c r="F250" s="93">
        <v>200301</v>
      </c>
      <c r="G250" s="76" t="str">
        <f>IFERROR(INDEX([1]物品基础表!$A:$A,MATCH(F250,[1]物品基础表!$B:$B,0)),"")</f>
        <v>传世宝钻</v>
      </c>
      <c r="H250" s="93">
        <v>50</v>
      </c>
      <c r="I250" s="93">
        <v>2500</v>
      </c>
      <c r="J250" s="99">
        <f t="shared" si="4"/>
        <v>50</v>
      </c>
      <c r="K250" s="93"/>
      <c r="L250" s="93" t="s">
        <v>1381</v>
      </c>
      <c r="M250" s="93"/>
      <c r="N250" s="92">
        <v>5</v>
      </c>
      <c r="O250" s="92"/>
      <c r="P250" s="92"/>
    </row>
    <row r="251" spans="1:16">
      <c r="A251" s="39" t="str">
        <f>INDEX([2]活动总表!$A$8:$A$429,MATCH(B251,[2]活动总表!$B$8:$B$429,0))</f>
        <v>节日商店(60天以内</v>
      </c>
      <c r="B251" s="93">
        <v>367</v>
      </c>
      <c r="C251" s="94">
        <v>53</v>
      </c>
      <c r="D251" s="94">
        <v>0</v>
      </c>
      <c r="E251" s="94">
        <v>12</v>
      </c>
      <c r="F251" s="93">
        <v>200301</v>
      </c>
      <c r="G251" s="76" t="str">
        <f>IFERROR(INDEX([1]物品基础表!$A:$A,MATCH(F251,[1]物品基础表!$B:$B,0)),"")</f>
        <v>传世宝钻</v>
      </c>
      <c r="H251" s="93">
        <v>50</v>
      </c>
      <c r="I251" s="93">
        <v>1500</v>
      </c>
      <c r="J251" s="99">
        <f t="shared" si="4"/>
        <v>30</v>
      </c>
      <c r="K251" s="93"/>
      <c r="L251" s="93" t="s">
        <v>1382</v>
      </c>
      <c r="M251" s="93"/>
      <c r="N251" s="92">
        <v>3</v>
      </c>
      <c r="O251" s="92"/>
      <c r="P251" s="92"/>
    </row>
    <row r="252" spans="1:16">
      <c r="A252" s="39" t="str">
        <f>INDEX([2]活动总表!$A$8:$A$429,MATCH(B252,[2]活动总表!$B$8:$B$429,0))</f>
        <v>节日商店(60天以内</v>
      </c>
      <c r="B252" s="93">
        <v>367</v>
      </c>
      <c r="C252" s="94">
        <v>54</v>
      </c>
      <c r="D252" s="94">
        <v>0</v>
      </c>
      <c r="E252" s="94">
        <v>12</v>
      </c>
      <c r="F252" s="93">
        <v>200301</v>
      </c>
      <c r="G252" s="76" t="str">
        <f>IFERROR(INDEX([1]物品基础表!$A:$A,MATCH(F252,[1]物品基础表!$B:$B,0)),"")</f>
        <v>传世宝钻</v>
      </c>
      <c r="H252" s="93">
        <v>200</v>
      </c>
      <c r="I252" s="93">
        <v>16000</v>
      </c>
      <c r="J252" s="99">
        <f t="shared" si="4"/>
        <v>80</v>
      </c>
      <c r="K252" s="93"/>
      <c r="L252" s="93" t="s">
        <v>1380</v>
      </c>
      <c r="M252" s="93"/>
      <c r="N252" s="92">
        <v>8</v>
      </c>
      <c r="O252" s="92"/>
      <c r="P252" s="92"/>
    </row>
    <row r="253" spans="1:16">
      <c r="A253" s="39" t="str">
        <f>INDEX([2]活动总表!$A$8:$A$429,MATCH(B253,[2]活动总表!$B$8:$B$429,0))</f>
        <v>节日商店(60天以内</v>
      </c>
      <c r="B253" s="93">
        <v>367</v>
      </c>
      <c r="C253" s="94">
        <v>55</v>
      </c>
      <c r="D253" s="94">
        <v>0</v>
      </c>
      <c r="E253" s="94">
        <v>12</v>
      </c>
      <c r="F253" s="93">
        <v>200301</v>
      </c>
      <c r="G253" s="76" t="str">
        <f>IFERROR(INDEX([1]物品基础表!$A:$A,MATCH(F253,[1]物品基础表!$B:$B,0)),"")</f>
        <v>传世宝钻</v>
      </c>
      <c r="H253" s="93">
        <v>200</v>
      </c>
      <c r="I253" s="93">
        <v>10000</v>
      </c>
      <c r="J253" s="99">
        <f t="shared" si="4"/>
        <v>50</v>
      </c>
      <c r="K253" s="93"/>
      <c r="L253" s="93" t="s">
        <v>1381</v>
      </c>
      <c r="M253" s="93"/>
      <c r="N253" s="92">
        <v>5</v>
      </c>
      <c r="O253" s="92"/>
      <c r="P253" s="92"/>
    </row>
    <row r="254" spans="1:16">
      <c r="A254" s="39" t="str">
        <f>INDEX([2]活动总表!$A$8:$A$429,MATCH(B254,[2]活动总表!$B$8:$B$429,0))</f>
        <v>节日商店(60天以内</v>
      </c>
      <c r="B254" s="93">
        <v>367</v>
      </c>
      <c r="C254" s="94">
        <v>56</v>
      </c>
      <c r="D254" s="94">
        <v>0</v>
      </c>
      <c r="E254" s="94">
        <v>12</v>
      </c>
      <c r="F254" s="93">
        <v>200301</v>
      </c>
      <c r="G254" s="76" t="str">
        <f>IFERROR(INDEX([1]物品基础表!$A:$A,MATCH(F254,[1]物品基础表!$B:$B,0)),"")</f>
        <v>传世宝钻</v>
      </c>
      <c r="H254" s="93">
        <v>200</v>
      </c>
      <c r="I254" s="93">
        <v>6000</v>
      </c>
      <c r="J254" s="99">
        <f t="shared" si="4"/>
        <v>30</v>
      </c>
      <c r="K254" s="93"/>
      <c r="L254" s="93" t="s">
        <v>1382</v>
      </c>
      <c r="M254" s="93"/>
      <c r="N254" s="92">
        <v>3</v>
      </c>
      <c r="O254" s="92"/>
      <c r="P254" s="92"/>
    </row>
    <row r="255" spans="1:16">
      <c r="A255" s="39" t="str">
        <f>INDEX([2]活动总表!$A$8:$A$429,MATCH(B255,[2]活动总表!$B$8:$B$429,0))</f>
        <v>节日商店(60天以内</v>
      </c>
      <c r="B255" s="93">
        <v>367</v>
      </c>
      <c r="C255" s="94">
        <v>57</v>
      </c>
      <c r="D255" s="94">
        <v>0</v>
      </c>
      <c r="E255" s="94">
        <v>12</v>
      </c>
      <c r="F255" s="93">
        <v>200003</v>
      </c>
      <c r="G255" s="76" t="str">
        <f>IFERROR(INDEX([1]物品基础表!$A:$A,MATCH(F255,[1]物品基础表!$B:$B,0)),"")</f>
        <v>铸造晶石</v>
      </c>
      <c r="H255" s="93">
        <v>60</v>
      </c>
      <c r="I255" s="93">
        <v>3000</v>
      </c>
      <c r="J255" s="99">
        <f t="shared" si="4"/>
        <v>50</v>
      </c>
      <c r="K255" s="93"/>
      <c r="L255" s="93" t="s">
        <v>1379</v>
      </c>
      <c r="M255" s="93"/>
      <c r="N255" s="92" t="s">
        <v>919</v>
      </c>
      <c r="O255" s="92"/>
      <c r="P255" s="92"/>
    </row>
    <row r="256" spans="1:16">
      <c r="A256" s="39" t="str">
        <f>INDEX([2]活动总表!$A$8:$A$429,MATCH(B256,[2]活动总表!$B$8:$B$429,0))</f>
        <v>节日商店(60天以内</v>
      </c>
      <c r="B256" s="93">
        <v>367</v>
      </c>
      <c r="C256" s="94">
        <v>58</v>
      </c>
      <c r="D256" s="94">
        <v>0</v>
      </c>
      <c r="E256" s="94">
        <v>12</v>
      </c>
      <c r="F256" s="93">
        <v>200003</v>
      </c>
      <c r="G256" s="76" t="str">
        <f>IFERROR(INDEX([1]物品基础表!$A:$A,MATCH(F256,[1]物品基础表!$B:$B,0)),"")</f>
        <v>铸造晶石</v>
      </c>
      <c r="H256" s="93">
        <v>60</v>
      </c>
      <c r="I256" s="93">
        <v>2400</v>
      </c>
      <c r="J256" s="99">
        <f t="shared" si="4"/>
        <v>40</v>
      </c>
      <c r="K256" s="93"/>
      <c r="L256" s="93" t="s">
        <v>1380</v>
      </c>
      <c r="M256" s="93"/>
      <c r="N256" s="92">
        <v>8</v>
      </c>
      <c r="O256" s="92"/>
      <c r="P256" s="92"/>
    </row>
    <row r="257" spans="1:16">
      <c r="A257" s="39" t="str">
        <f>INDEX([2]活动总表!$A$8:$A$429,MATCH(B257,[2]活动总表!$B$8:$B$429,0))</f>
        <v>节日商店(60天以内</v>
      </c>
      <c r="B257" s="93">
        <v>367</v>
      </c>
      <c r="C257" s="94">
        <v>59</v>
      </c>
      <c r="D257" s="94">
        <v>0</v>
      </c>
      <c r="E257" s="94">
        <v>12</v>
      </c>
      <c r="F257" s="93">
        <v>200003</v>
      </c>
      <c r="G257" s="76" t="str">
        <f>IFERROR(INDEX([1]物品基础表!$A:$A,MATCH(F257,[1]物品基础表!$B:$B,0)),"")</f>
        <v>铸造晶石</v>
      </c>
      <c r="H257" s="93">
        <v>60</v>
      </c>
      <c r="I257" s="93">
        <v>1500</v>
      </c>
      <c r="J257" s="99">
        <f t="shared" si="4"/>
        <v>25</v>
      </c>
      <c r="K257" s="93"/>
      <c r="L257" s="93" t="s">
        <v>1400</v>
      </c>
      <c r="M257" s="93"/>
      <c r="N257" s="92">
        <v>5</v>
      </c>
      <c r="O257" s="92"/>
      <c r="P257" s="92"/>
    </row>
    <row r="258" spans="1:16">
      <c r="A258" s="39" t="str">
        <f>INDEX([2]活动总表!$A$8:$A$429,MATCH(B258,[2]活动总表!$B$8:$B$429,0))</f>
        <v>节日商店(60天以内</v>
      </c>
      <c r="B258" s="93">
        <v>367</v>
      </c>
      <c r="C258" s="94">
        <v>60</v>
      </c>
      <c r="D258" s="94">
        <v>0</v>
      </c>
      <c r="E258" s="94">
        <v>12</v>
      </c>
      <c r="F258" s="93">
        <v>200003</v>
      </c>
      <c r="G258" s="76" t="str">
        <f>IFERROR(INDEX([1]物品基础表!$A:$A,MATCH(F258,[1]物品基础表!$B:$B,0)),"")</f>
        <v>铸造晶石</v>
      </c>
      <c r="H258" s="93">
        <v>60</v>
      </c>
      <c r="I258" s="93">
        <v>900</v>
      </c>
      <c r="J258" s="99">
        <f t="shared" si="4"/>
        <v>15</v>
      </c>
      <c r="K258" s="93"/>
      <c r="L258" s="93" t="s">
        <v>1382</v>
      </c>
      <c r="M258" s="93"/>
      <c r="N258" s="92">
        <v>3</v>
      </c>
      <c r="O258" s="92"/>
      <c r="P258" s="92"/>
    </row>
    <row r="259" spans="1:16">
      <c r="A259" s="39" t="str">
        <f>INDEX([2]活动总表!$A$8:$A$429,MATCH(B259,[2]活动总表!$B$8:$B$429,0))</f>
        <v>节日商店(60天以内</v>
      </c>
      <c r="B259" s="93">
        <v>367</v>
      </c>
      <c r="C259" s="94">
        <v>61</v>
      </c>
      <c r="D259" s="94">
        <v>0</v>
      </c>
      <c r="E259" s="94">
        <v>12</v>
      </c>
      <c r="F259" s="93">
        <v>200003</v>
      </c>
      <c r="G259" s="76" t="str">
        <f>IFERROR(INDEX([1]物品基础表!$A:$A,MATCH(F259,[1]物品基础表!$B:$B,0)),"")</f>
        <v>铸造晶石</v>
      </c>
      <c r="H259" s="93">
        <v>200</v>
      </c>
      <c r="I259" s="93">
        <v>8000</v>
      </c>
      <c r="J259" s="99">
        <f t="shared" si="4"/>
        <v>40</v>
      </c>
      <c r="K259" s="93"/>
      <c r="L259" s="93" t="s">
        <v>1380</v>
      </c>
      <c r="M259" s="93"/>
      <c r="N259" s="92">
        <v>8</v>
      </c>
      <c r="O259" s="92"/>
      <c r="P259" s="92"/>
    </row>
    <row r="260" spans="1:16">
      <c r="A260" s="39" t="str">
        <f>INDEX([2]活动总表!$A$8:$A$429,MATCH(B260,[2]活动总表!$B$8:$B$429,0))</f>
        <v>节日商店(60天以内</v>
      </c>
      <c r="B260" s="93">
        <v>367</v>
      </c>
      <c r="C260" s="94">
        <v>62</v>
      </c>
      <c r="D260" s="94">
        <v>0</v>
      </c>
      <c r="E260" s="94">
        <v>12</v>
      </c>
      <c r="F260" s="93">
        <v>200003</v>
      </c>
      <c r="G260" s="76" t="str">
        <f>IFERROR(INDEX([1]物品基础表!$A:$A,MATCH(F260,[1]物品基础表!$B:$B,0)),"")</f>
        <v>铸造晶石</v>
      </c>
      <c r="H260" s="93">
        <v>200</v>
      </c>
      <c r="I260" s="93">
        <v>5000</v>
      </c>
      <c r="J260" s="99">
        <f t="shared" ref="J260:J323" si="5">I260/H260</f>
        <v>25</v>
      </c>
      <c r="K260" s="93"/>
      <c r="L260" s="93" t="s">
        <v>1400</v>
      </c>
      <c r="M260" s="93"/>
      <c r="N260" s="92">
        <v>5</v>
      </c>
      <c r="O260" s="92"/>
      <c r="P260" s="92"/>
    </row>
    <row r="261" spans="1:16">
      <c r="A261" s="39" t="str">
        <f>INDEX([2]活动总表!$A$8:$A$429,MATCH(B261,[2]活动总表!$B$8:$B$429,0))</f>
        <v>节日商店(60天以内</v>
      </c>
      <c r="B261" s="93">
        <v>367</v>
      </c>
      <c r="C261" s="94">
        <v>63</v>
      </c>
      <c r="D261" s="94">
        <v>0</v>
      </c>
      <c r="E261" s="94">
        <v>12</v>
      </c>
      <c r="F261" s="93">
        <v>200003</v>
      </c>
      <c r="G261" s="76" t="str">
        <f>IFERROR(INDEX([1]物品基础表!$A:$A,MATCH(F261,[1]物品基础表!$B:$B,0)),"")</f>
        <v>铸造晶石</v>
      </c>
      <c r="H261" s="93">
        <v>200</v>
      </c>
      <c r="I261" s="93">
        <v>3000</v>
      </c>
      <c r="J261" s="99">
        <f t="shared" si="5"/>
        <v>15</v>
      </c>
      <c r="K261" s="93"/>
      <c r="L261" s="93" t="s">
        <v>1382</v>
      </c>
      <c r="M261" s="93"/>
      <c r="N261" s="92">
        <v>3</v>
      </c>
      <c r="O261" s="92"/>
      <c r="P261" s="92"/>
    </row>
    <row r="262" spans="1:16">
      <c r="A262" s="39" t="str">
        <f>INDEX([2]活动总表!$A$8:$A$429,MATCH(B262,[2]活动总表!$B$8:$B$429,0))</f>
        <v>节日商店(60天以内</v>
      </c>
      <c r="B262" s="93">
        <v>367</v>
      </c>
      <c r="C262" s="94">
        <v>64</v>
      </c>
      <c r="D262" s="94">
        <v>0</v>
      </c>
      <c r="E262" s="94">
        <v>12</v>
      </c>
      <c r="F262" s="93">
        <v>270002</v>
      </c>
      <c r="G262" s="76" t="str">
        <f>IFERROR(INDEX([1]物品基础表!$A:$A,MATCH(F262,[1]物品基础表!$B:$B,0)),"")</f>
        <v>中级经验卡</v>
      </c>
      <c r="H262" s="93">
        <v>3</v>
      </c>
      <c r="I262" s="93">
        <v>2400</v>
      </c>
      <c r="J262" s="99">
        <f t="shared" si="5"/>
        <v>800</v>
      </c>
      <c r="K262" s="93"/>
      <c r="L262" s="93" t="s">
        <v>1370</v>
      </c>
      <c r="M262" s="93"/>
      <c r="N262" s="92" t="s">
        <v>919</v>
      </c>
      <c r="O262" s="92"/>
      <c r="P262" s="92"/>
    </row>
    <row r="263" spans="1:16">
      <c r="A263" s="39" t="str">
        <f>INDEX([2]活动总表!$A$8:$A$429,MATCH(B263,[2]活动总表!$B$8:$B$429,0))</f>
        <v>节日商店(60天以内</v>
      </c>
      <c r="B263" s="93">
        <v>367</v>
      </c>
      <c r="C263" s="94">
        <v>65</v>
      </c>
      <c r="D263" s="94">
        <v>0</v>
      </c>
      <c r="E263" s="94">
        <v>12</v>
      </c>
      <c r="F263" s="93">
        <v>270002</v>
      </c>
      <c r="G263" s="76" t="str">
        <f>IFERROR(INDEX([1]物品基础表!$A:$A,MATCH(F263,[1]物品基础表!$B:$B,0)),"")</f>
        <v>中级经验卡</v>
      </c>
      <c r="H263" s="93">
        <v>3</v>
      </c>
      <c r="I263" s="93">
        <v>1900</v>
      </c>
      <c r="J263" s="99">
        <f t="shared" si="5"/>
        <v>633.33333333333337</v>
      </c>
      <c r="K263" s="93"/>
      <c r="L263" s="93" t="s">
        <v>1401</v>
      </c>
      <c r="M263" s="93"/>
      <c r="N263" s="92">
        <v>8</v>
      </c>
      <c r="O263" s="92"/>
      <c r="P263" s="92"/>
    </row>
    <row r="264" spans="1:16">
      <c r="A264" s="39" t="str">
        <f>INDEX([2]活动总表!$A$8:$A$429,MATCH(B264,[2]活动总表!$B$8:$B$429,0))</f>
        <v>节日商店(60天以内</v>
      </c>
      <c r="B264" s="93">
        <v>367</v>
      </c>
      <c r="C264" s="94">
        <v>66</v>
      </c>
      <c r="D264" s="94">
        <v>0</v>
      </c>
      <c r="E264" s="94">
        <v>12</v>
      </c>
      <c r="F264" s="93">
        <v>270002</v>
      </c>
      <c r="G264" s="76" t="str">
        <f>IFERROR(INDEX([1]物品基础表!$A:$A,MATCH(F264,[1]物品基础表!$B:$B,0)),"")</f>
        <v>中级经验卡</v>
      </c>
      <c r="H264" s="93">
        <v>3</v>
      </c>
      <c r="I264" s="93">
        <v>1200</v>
      </c>
      <c r="J264" s="99">
        <f t="shared" si="5"/>
        <v>400</v>
      </c>
      <c r="K264" s="93"/>
      <c r="L264" s="93" t="s">
        <v>1402</v>
      </c>
      <c r="M264" s="93"/>
      <c r="N264" s="92">
        <v>5</v>
      </c>
      <c r="O264" s="92"/>
      <c r="P264" s="92"/>
    </row>
    <row r="265" spans="1:16">
      <c r="A265" s="39" t="str">
        <f>INDEX([2]活动总表!$A$8:$A$429,MATCH(B265,[2]活动总表!$B$8:$B$429,0))</f>
        <v>节日商店(60天以内</v>
      </c>
      <c r="B265" s="93">
        <v>367</v>
      </c>
      <c r="C265" s="94">
        <v>67</v>
      </c>
      <c r="D265" s="94">
        <v>0</v>
      </c>
      <c r="E265" s="94">
        <v>12</v>
      </c>
      <c r="F265" s="93">
        <v>270002</v>
      </c>
      <c r="G265" s="76" t="str">
        <f>IFERROR(INDEX([1]物品基础表!$A:$A,MATCH(F265,[1]物品基础表!$B:$B,0)),"")</f>
        <v>中级经验卡</v>
      </c>
      <c r="H265" s="93">
        <v>10</v>
      </c>
      <c r="I265" s="93">
        <v>8000</v>
      </c>
      <c r="J265" s="99">
        <f t="shared" si="5"/>
        <v>800</v>
      </c>
      <c r="K265" s="93"/>
      <c r="L265" s="93" t="s">
        <v>1370</v>
      </c>
      <c r="M265" s="93"/>
      <c r="N265" s="92" t="s">
        <v>919</v>
      </c>
      <c r="O265" s="92"/>
      <c r="P265" s="92"/>
    </row>
    <row r="266" spans="1:16">
      <c r="A266" s="39" t="str">
        <f>INDEX([2]活动总表!$A$8:$A$429,MATCH(B266,[2]活动总表!$B$8:$B$429,0))</f>
        <v>节日商店(60天以内</v>
      </c>
      <c r="B266" s="93">
        <v>367</v>
      </c>
      <c r="C266" s="94">
        <v>68</v>
      </c>
      <c r="D266" s="94">
        <v>0</v>
      </c>
      <c r="E266" s="94">
        <v>12</v>
      </c>
      <c r="F266" s="93">
        <v>270002</v>
      </c>
      <c r="G266" s="76" t="str">
        <f>IFERROR(INDEX([1]物品基础表!$A:$A,MATCH(F266,[1]物品基础表!$B:$B,0)),"")</f>
        <v>中级经验卡</v>
      </c>
      <c r="H266" s="93">
        <v>10</v>
      </c>
      <c r="I266" s="93">
        <v>6400</v>
      </c>
      <c r="J266" s="99">
        <f t="shared" si="5"/>
        <v>640</v>
      </c>
      <c r="K266" s="93"/>
      <c r="L266" s="93" t="s">
        <v>1401</v>
      </c>
      <c r="M266" s="93"/>
      <c r="N266" s="92">
        <v>8</v>
      </c>
      <c r="O266" s="92"/>
      <c r="P266" s="92"/>
    </row>
    <row r="267" spans="1:16">
      <c r="A267" s="39" t="str">
        <f>INDEX([2]活动总表!$A$8:$A$429,MATCH(B267,[2]活动总表!$B$8:$B$429,0))</f>
        <v>节日商店(60天以内</v>
      </c>
      <c r="B267" s="93">
        <v>367</v>
      </c>
      <c r="C267" s="94">
        <v>69</v>
      </c>
      <c r="D267" s="94">
        <v>0</v>
      </c>
      <c r="E267" s="94">
        <v>12</v>
      </c>
      <c r="F267" s="93">
        <v>270002</v>
      </c>
      <c r="G267" s="76" t="str">
        <f>IFERROR(INDEX([1]物品基础表!$A:$A,MATCH(F267,[1]物品基础表!$B:$B,0)),"")</f>
        <v>中级经验卡</v>
      </c>
      <c r="H267" s="93">
        <v>10</v>
      </c>
      <c r="I267" s="93">
        <v>4000</v>
      </c>
      <c r="J267" s="99">
        <f t="shared" si="5"/>
        <v>400</v>
      </c>
      <c r="K267" s="93"/>
      <c r="L267" s="93" t="s">
        <v>1402</v>
      </c>
      <c r="M267" s="93"/>
      <c r="N267" s="92">
        <v>5</v>
      </c>
      <c r="O267" s="92"/>
      <c r="P267" s="92"/>
    </row>
    <row r="268" spans="1:16">
      <c r="A268" s="39" t="str">
        <f>INDEX([2]活动总表!$A$8:$A$429,MATCH(B268,[2]活动总表!$B$8:$B$429,0))</f>
        <v>节日商店(60天以内</v>
      </c>
      <c r="B268" s="93">
        <v>367</v>
      </c>
      <c r="C268" s="94">
        <v>70</v>
      </c>
      <c r="D268" s="94">
        <v>0</v>
      </c>
      <c r="E268" s="94">
        <v>12</v>
      </c>
      <c r="F268" s="93">
        <v>200211</v>
      </c>
      <c r="G268" s="76" t="str">
        <f>IFERROR(INDEX([1]物品基础表!$A:$A,MATCH(F268,[1]物品基础表!$B:$B,0)),"")</f>
        <v>烈焰印记加持技能书</v>
      </c>
      <c r="H268" s="93">
        <v>1</v>
      </c>
      <c r="I268" s="93">
        <v>50000</v>
      </c>
      <c r="J268" s="99">
        <f t="shared" si="5"/>
        <v>50000</v>
      </c>
      <c r="K268" s="93"/>
      <c r="L268" s="93" t="s">
        <v>1387</v>
      </c>
      <c r="M268" s="93"/>
      <c r="N268" s="92">
        <v>5</v>
      </c>
      <c r="O268" s="92"/>
      <c r="P268" s="92"/>
    </row>
    <row r="269" spans="1:16">
      <c r="A269" s="39" t="str">
        <f>INDEX([2]活动总表!$A$8:$A$429,MATCH(B269,[2]活动总表!$B$8:$B$429,0))</f>
        <v>节日商店(60天以内</v>
      </c>
      <c r="B269" s="93">
        <v>367</v>
      </c>
      <c r="C269" s="94">
        <v>71</v>
      </c>
      <c r="D269" s="94">
        <v>0</v>
      </c>
      <c r="E269" s="94">
        <v>12</v>
      </c>
      <c r="F269" s="93">
        <v>200211</v>
      </c>
      <c r="G269" s="76" t="str">
        <f>IFERROR(INDEX([1]物品基础表!$A:$A,MATCH(F269,[1]物品基础表!$B:$B,0)),"")</f>
        <v>烈焰印记加持技能书</v>
      </c>
      <c r="H269" s="93">
        <v>1</v>
      </c>
      <c r="I269" s="93">
        <v>30000</v>
      </c>
      <c r="J269" s="99">
        <f t="shared" si="5"/>
        <v>30000</v>
      </c>
      <c r="K269" s="93"/>
      <c r="L269" s="93" t="s">
        <v>1388</v>
      </c>
      <c r="M269" s="93"/>
      <c r="N269" s="92">
        <v>3</v>
      </c>
      <c r="O269" s="92"/>
      <c r="P269" s="92"/>
    </row>
    <row r="270" spans="1:16">
      <c r="A270" s="39" t="str">
        <f>INDEX([2]活动总表!$A$8:$A$429,MATCH(B270,[2]活动总表!$B$8:$B$429,0))</f>
        <v>节日商店(60天以内</v>
      </c>
      <c r="B270" s="93">
        <v>367</v>
      </c>
      <c r="C270" s="94">
        <v>72</v>
      </c>
      <c r="D270" s="94">
        <v>0</v>
      </c>
      <c r="E270" s="94">
        <v>12</v>
      </c>
      <c r="F270" s="93">
        <v>202006</v>
      </c>
      <c r="G270" s="76" t="str">
        <f>IFERROR(INDEX([1]物品基础表!$A:$A,MATCH(F270,[1]物品基础表!$B:$B,0)),"")</f>
        <v>烈焰戒指技能6书</v>
      </c>
      <c r="H270" s="93">
        <v>1</v>
      </c>
      <c r="I270" s="93">
        <v>8000</v>
      </c>
      <c r="J270" s="99">
        <f t="shared" si="5"/>
        <v>8000</v>
      </c>
      <c r="K270" s="93"/>
      <c r="L270" s="93" t="s">
        <v>1381</v>
      </c>
      <c r="M270" s="93"/>
      <c r="N270" s="92">
        <v>5</v>
      </c>
      <c r="O270" s="92"/>
      <c r="P270" s="92"/>
    </row>
    <row r="271" spans="1:16">
      <c r="A271" s="39" t="str">
        <f>INDEX([2]活动总表!$A$8:$A$429,MATCH(B271,[2]活动总表!$B$8:$B$429,0))</f>
        <v>节日商店(60天以内</v>
      </c>
      <c r="B271" s="93">
        <v>367</v>
      </c>
      <c r="C271" s="94">
        <v>73</v>
      </c>
      <c r="D271" s="94">
        <v>0</v>
      </c>
      <c r="E271" s="94">
        <v>12</v>
      </c>
      <c r="F271" s="93">
        <v>202006</v>
      </c>
      <c r="G271" s="76" t="str">
        <f>IFERROR(INDEX([1]物品基础表!$A:$A,MATCH(F271,[1]物品基础表!$B:$B,0)),"")</f>
        <v>烈焰戒指技能6书</v>
      </c>
      <c r="H271" s="93">
        <v>1</v>
      </c>
      <c r="I271" s="93">
        <v>4800</v>
      </c>
      <c r="J271" s="99">
        <f t="shared" si="5"/>
        <v>4800</v>
      </c>
      <c r="K271" s="93"/>
      <c r="L271" s="93" t="s">
        <v>1389</v>
      </c>
      <c r="M271" s="93"/>
      <c r="N271" s="92">
        <v>3</v>
      </c>
      <c r="O271" s="92"/>
      <c r="P271" s="92"/>
    </row>
    <row r="272" spans="1:16">
      <c r="A272" s="39" t="str">
        <f>INDEX([2]活动总表!$A$8:$A$429,MATCH(B272,[2]活动总表!$B$8:$B$429,0))</f>
        <v>节日商店(60天以内</v>
      </c>
      <c r="B272" s="93">
        <v>367</v>
      </c>
      <c r="C272" s="94">
        <v>74</v>
      </c>
      <c r="D272" s="94">
        <v>0</v>
      </c>
      <c r="E272" s="94">
        <v>12</v>
      </c>
      <c r="F272" s="93">
        <v>202007</v>
      </c>
      <c r="G272" s="76" t="str">
        <f>IFERROR(INDEX([1]物品基础表!$A:$A,MATCH(F272,[1]物品基础表!$B:$B,0)),"")</f>
        <v>烈焰戒指技能7书</v>
      </c>
      <c r="H272" s="93">
        <v>1</v>
      </c>
      <c r="I272" s="93">
        <v>20000</v>
      </c>
      <c r="J272" s="99">
        <f t="shared" si="5"/>
        <v>20000</v>
      </c>
      <c r="K272" s="93"/>
      <c r="L272" s="93" t="s">
        <v>1381</v>
      </c>
      <c r="M272" s="93"/>
      <c r="N272" s="92">
        <v>5</v>
      </c>
      <c r="O272" s="92"/>
      <c r="P272" s="92"/>
    </row>
    <row r="273" spans="1:16">
      <c r="A273" s="39" t="str">
        <f>INDEX([2]活动总表!$A$8:$A$429,MATCH(B273,[2]活动总表!$B$8:$B$429,0))</f>
        <v>节日商店(60天以内</v>
      </c>
      <c r="B273" s="93">
        <v>367</v>
      </c>
      <c r="C273" s="94">
        <v>75</v>
      </c>
      <c r="D273" s="94">
        <v>0</v>
      </c>
      <c r="E273" s="94">
        <v>12</v>
      </c>
      <c r="F273" s="93">
        <v>202007</v>
      </c>
      <c r="G273" s="76" t="str">
        <f>IFERROR(INDEX([1]物品基础表!$A:$A,MATCH(F273,[1]物品基础表!$B:$B,0)),"")</f>
        <v>烈焰戒指技能7书</v>
      </c>
      <c r="H273" s="93">
        <v>1</v>
      </c>
      <c r="I273" s="93">
        <v>12000</v>
      </c>
      <c r="J273" s="99">
        <f t="shared" si="5"/>
        <v>12000</v>
      </c>
      <c r="K273" s="93"/>
      <c r="L273" s="93" t="s">
        <v>1389</v>
      </c>
      <c r="M273" s="93"/>
      <c r="N273" s="92">
        <v>3</v>
      </c>
      <c r="O273" s="92"/>
      <c r="P273" s="92"/>
    </row>
    <row r="274" spans="1:16">
      <c r="A274" s="39" t="str">
        <f>INDEX([2]活动总表!$A$8:$A$429,MATCH(B274,[2]活动总表!$B$8:$B$429,0))</f>
        <v>节日商店(60天以内</v>
      </c>
      <c r="B274" s="93">
        <v>367</v>
      </c>
      <c r="C274" s="94">
        <v>76</v>
      </c>
      <c r="D274" s="94">
        <v>0</v>
      </c>
      <c r="E274" s="94">
        <v>12</v>
      </c>
      <c r="F274" s="93">
        <v>202008</v>
      </c>
      <c r="G274" s="76" t="str">
        <f>IFERROR(INDEX([1]物品基础表!$A:$A,MATCH(F274,[1]物品基础表!$B:$B,0)),"")</f>
        <v>烈焰戒指技能8书</v>
      </c>
      <c r="H274" s="93">
        <v>1</v>
      </c>
      <c r="I274" s="93">
        <v>20000</v>
      </c>
      <c r="J274" s="99">
        <f t="shared" si="5"/>
        <v>20000</v>
      </c>
      <c r="K274" s="93"/>
      <c r="L274" s="93" t="s">
        <v>1381</v>
      </c>
      <c r="M274" s="93"/>
      <c r="N274" s="92">
        <v>5</v>
      </c>
      <c r="O274" s="92"/>
      <c r="P274" s="92"/>
    </row>
    <row r="275" spans="1:16">
      <c r="A275" s="39" t="str">
        <f>INDEX([2]活动总表!$A$8:$A$429,MATCH(B275,[2]活动总表!$B$8:$B$429,0))</f>
        <v>节日商店(60天以内</v>
      </c>
      <c r="B275" s="93">
        <v>367</v>
      </c>
      <c r="C275" s="94">
        <v>77</v>
      </c>
      <c r="D275" s="94">
        <v>0</v>
      </c>
      <c r="E275" s="94">
        <v>12</v>
      </c>
      <c r="F275" s="93">
        <v>202008</v>
      </c>
      <c r="G275" s="76" t="str">
        <f>IFERROR(INDEX([1]物品基础表!$A:$A,MATCH(F275,[1]物品基础表!$B:$B,0)),"")</f>
        <v>烈焰戒指技能8书</v>
      </c>
      <c r="H275" s="93">
        <v>1</v>
      </c>
      <c r="I275" s="93">
        <v>12000</v>
      </c>
      <c r="J275" s="99">
        <f t="shared" si="5"/>
        <v>12000</v>
      </c>
      <c r="K275" s="93"/>
      <c r="L275" s="93" t="s">
        <v>1389</v>
      </c>
      <c r="M275" s="93"/>
      <c r="N275" s="92">
        <v>3</v>
      </c>
      <c r="O275" s="92"/>
      <c r="P275" s="92"/>
    </row>
    <row r="276" spans="1:16">
      <c r="A276" s="39" t="str">
        <f>INDEX([2]活动总表!$A$8:$A$429,MATCH(B276,[2]活动总表!$B$8:$B$429,0))</f>
        <v>节日商店(60天以内</v>
      </c>
      <c r="B276" s="93">
        <v>367</v>
      </c>
      <c r="C276" s="94">
        <v>78</v>
      </c>
      <c r="D276" s="94">
        <v>0</v>
      </c>
      <c r="E276" s="94">
        <v>12</v>
      </c>
      <c r="F276" s="93">
        <v>200327</v>
      </c>
      <c r="G276" s="76" t="str">
        <f>IFERROR(INDEX([1]物品基础表!$A:$A,MATCH(F276,[1]物品基础表!$B:$B,0)),"")</f>
        <v>圣诞树</v>
      </c>
      <c r="H276" s="93">
        <v>1</v>
      </c>
      <c r="I276" s="93">
        <v>15100</v>
      </c>
      <c r="J276" s="99">
        <f t="shared" si="5"/>
        <v>15100</v>
      </c>
      <c r="K276" s="93"/>
      <c r="L276" s="93" t="s">
        <v>1387</v>
      </c>
      <c r="M276" s="93"/>
      <c r="N276" s="92">
        <v>3</v>
      </c>
      <c r="O276" s="92"/>
      <c r="P276" s="92"/>
    </row>
    <row r="277" spans="1:16">
      <c r="A277" s="39" t="str">
        <f>INDEX([2]活动总表!$A$8:$A$429,MATCH(B277,[2]活动总表!$B$8:$B$429,0))</f>
        <v>节日商店(60天以内</v>
      </c>
      <c r="B277" s="93">
        <v>367</v>
      </c>
      <c r="C277" s="94">
        <v>79</v>
      </c>
      <c r="D277" s="94">
        <v>0</v>
      </c>
      <c r="E277" s="94">
        <v>12</v>
      </c>
      <c r="F277" s="93">
        <v>900003</v>
      </c>
      <c r="G277" s="76" t="str">
        <f>IFERROR(INDEX([1]物品基础表!$A:$A,MATCH(F277,[1]物品基础表!$B:$B,0)),"")</f>
        <v>圣诞老人</v>
      </c>
      <c r="H277" s="93">
        <v>1</v>
      </c>
      <c r="I277" s="93">
        <v>22500</v>
      </c>
      <c r="J277" s="99">
        <f t="shared" si="5"/>
        <v>22500</v>
      </c>
      <c r="K277" s="93"/>
      <c r="L277" s="93" t="s">
        <v>1387</v>
      </c>
      <c r="M277" s="93"/>
      <c r="N277" s="92">
        <v>3</v>
      </c>
      <c r="O277" s="92"/>
      <c r="P277" s="92"/>
    </row>
    <row r="278" spans="1:16">
      <c r="A278" s="39" t="str">
        <f>INDEX([2]活动总表!$A$8:$A$429,MATCH(B278,[2]活动总表!$B$8:$B$429,0))</f>
        <v>节日商店(60天以内</v>
      </c>
      <c r="B278" s="93">
        <v>367</v>
      </c>
      <c r="C278" s="94">
        <v>80</v>
      </c>
      <c r="D278" s="94">
        <v>0</v>
      </c>
      <c r="E278" s="94">
        <v>12</v>
      </c>
      <c r="F278" s="93">
        <v>900006</v>
      </c>
      <c r="G278" s="76" t="str">
        <f>IFERROR(INDEX([1]物品基础表!$A:$A,MATCH(F278,[1]物品基础表!$B:$B,0)),"")</f>
        <v>新春盛装</v>
      </c>
      <c r="H278" s="93">
        <v>1</v>
      </c>
      <c r="I278" s="93">
        <v>22500</v>
      </c>
      <c r="J278" s="99">
        <f t="shared" si="5"/>
        <v>22500</v>
      </c>
      <c r="K278" s="93"/>
      <c r="L278" s="93" t="s">
        <v>1387</v>
      </c>
      <c r="M278" s="93"/>
      <c r="N278" s="92">
        <v>3</v>
      </c>
      <c r="O278" s="92"/>
      <c r="P278" s="92"/>
    </row>
    <row r="279" spans="1:16">
      <c r="A279" s="39" t="str">
        <f>INDEX([2]活动总表!$A$8:$A$429,MATCH(B279,[2]活动总表!$B$8:$B$429,0))</f>
        <v>节日商店(60天以内</v>
      </c>
      <c r="B279" s="93">
        <v>367</v>
      </c>
      <c r="C279" s="94">
        <v>81</v>
      </c>
      <c r="D279" s="94">
        <v>0</v>
      </c>
      <c r="E279" s="94">
        <v>12</v>
      </c>
      <c r="F279" s="93">
        <v>200143</v>
      </c>
      <c r="G279" s="76" t="str">
        <f>IFERROR(INDEX([1]物品基础表!$A:$A,MATCH(F279,[1]物品基础表!$B:$B,0)),"")</f>
        <v>传世头盔</v>
      </c>
      <c r="H279" s="93">
        <v>1</v>
      </c>
      <c r="I279" s="93">
        <v>7500</v>
      </c>
      <c r="J279" s="99">
        <f t="shared" si="5"/>
        <v>7500</v>
      </c>
      <c r="K279" s="93"/>
      <c r="L279" s="93" t="s">
        <v>1390</v>
      </c>
      <c r="M279" s="93"/>
      <c r="N279" s="92">
        <v>3</v>
      </c>
      <c r="O279" s="92"/>
      <c r="P279" s="92"/>
    </row>
    <row r="280" spans="1:16">
      <c r="A280" s="39" t="str">
        <f>INDEX([2]活动总表!$A$8:$A$429,MATCH(B280,[2]活动总表!$B$8:$B$429,0))</f>
        <v>节日商店(60天以内</v>
      </c>
      <c r="B280" s="93">
        <v>367</v>
      </c>
      <c r="C280" s="94">
        <v>82</v>
      </c>
      <c r="D280" s="94">
        <v>0</v>
      </c>
      <c r="E280" s="94">
        <v>12</v>
      </c>
      <c r="F280" s="93">
        <v>200145</v>
      </c>
      <c r="G280" s="76" t="str">
        <f>IFERROR(INDEX([1]物品基础表!$A:$A,MATCH(F280,[1]物品基础表!$B:$B,0)),"")</f>
        <v>传世项链</v>
      </c>
      <c r="H280" s="93">
        <v>1</v>
      </c>
      <c r="I280" s="93">
        <v>7500</v>
      </c>
      <c r="J280" s="99">
        <f t="shared" si="5"/>
        <v>7500</v>
      </c>
      <c r="K280" s="93"/>
      <c r="L280" s="93" t="s">
        <v>1390</v>
      </c>
      <c r="M280" s="93"/>
      <c r="N280" s="92">
        <v>3</v>
      </c>
      <c r="O280" s="92"/>
      <c r="P280" s="92"/>
    </row>
    <row r="281" spans="1:16">
      <c r="A281" s="39" t="str">
        <f>INDEX([2]活动总表!$A$8:$A$429,MATCH(B281,[2]活动总表!$B$8:$B$429,0))</f>
        <v>节日商店(60天以内</v>
      </c>
      <c r="B281" s="93">
        <v>367</v>
      </c>
      <c r="C281" s="94">
        <v>83</v>
      </c>
      <c r="D281" s="94">
        <v>0</v>
      </c>
      <c r="E281" s="94">
        <v>12</v>
      </c>
      <c r="F281" s="93">
        <v>200146</v>
      </c>
      <c r="G281" s="76" t="str">
        <f>IFERROR(INDEX([1]物品基础表!$A:$A,MATCH(F281,[1]物品基础表!$B:$B,0)),"")</f>
        <v>传世护腕</v>
      </c>
      <c r="H281" s="93">
        <v>1</v>
      </c>
      <c r="I281" s="93">
        <v>7500</v>
      </c>
      <c r="J281" s="99">
        <f t="shared" si="5"/>
        <v>7500</v>
      </c>
      <c r="K281" s="93"/>
      <c r="L281" s="93" t="s">
        <v>1390</v>
      </c>
      <c r="M281" s="93"/>
      <c r="N281" s="92">
        <v>3</v>
      </c>
      <c r="O281" s="92"/>
      <c r="P281" s="92"/>
    </row>
    <row r="282" spans="1:16">
      <c r="A282" s="39" t="str">
        <f>INDEX([2]活动总表!$A$8:$A$429,MATCH(B282,[2]活动总表!$B$8:$B$429,0))</f>
        <v>节日商店(60天以内</v>
      </c>
      <c r="B282" s="93">
        <v>367</v>
      </c>
      <c r="C282" s="94">
        <v>84</v>
      </c>
      <c r="D282" s="94">
        <v>0</v>
      </c>
      <c r="E282" s="94">
        <v>12</v>
      </c>
      <c r="F282" s="93">
        <v>200147</v>
      </c>
      <c r="G282" s="76" t="str">
        <f>IFERROR(INDEX([1]物品基础表!$A:$A,MATCH(F282,[1]物品基础表!$B:$B,0)),"")</f>
        <v>传世腰带</v>
      </c>
      <c r="H282" s="93">
        <v>1</v>
      </c>
      <c r="I282" s="93">
        <v>7500</v>
      </c>
      <c r="J282" s="99">
        <f t="shared" si="5"/>
        <v>7500</v>
      </c>
      <c r="K282" s="93"/>
      <c r="L282" s="93" t="s">
        <v>1390</v>
      </c>
      <c r="M282" s="93"/>
      <c r="N282" s="92">
        <v>3</v>
      </c>
      <c r="O282" s="92"/>
      <c r="P282" s="92"/>
    </row>
    <row r="283" spans="1:16">
      <c r="A283" s="39" t="str">
        <f>INDEX([2]活动总表!$A$8:$A$429,MATCH(B283,[2]活动总表!$B$8:$B$429,0))</f>
        <v>节日商店(60天以内</v>
      </c>
      <c r="B283" s="93">
        <v>367</v>
      </c>
      <c r="C283" s="94">
        <v>85</v>
      </c>
      <c r="D283" s="94">
        <v>0</v>
      </c>
      <c r="E283" s="94">
        <v>12</v>
      </c>
      <c r="F283" s="93">
        <v>200148</v>
      </c>
      <c r="G283" s="76" t="str">
        <f>IFERROR(INDEX([1]物品基础表!$A:$A,MATCH(F283,[1]物品基础表!$B:$B,0)),"")</f>
        <v>传世戒指</v>
      </c>
      <c r="H283" s="93">
        <v>1</v>
      </c>
      <c r="I283" s="93">
        <v>7500</v>
      </c>
      <c r="J283" s="99">
        <f t="shared" si="5"/>
        <v>7500</v>
      </c>
      <c r="K283" s="93"/>
      <c r="L283" s="93" t="s">
        <v>1390</v>
      </c>
      <c r="M283" s="93"/>
      <c r="N283" s="92">
        <v>3</v>
      </c>
      <c r="O283" s="92"/>
      <c r="P283" s="92"/>
    </row>
    <row r="284" spans="1:16">
      <c r="A284" s="39" t="str">
        <f>INDEX([2]活动总表!$A$8:$A$429,MATCH(B284,[2]活动总表!$B$8:$B$429,0))</f>
        <v>节日商店(60天以内</v>
      </c>
      <c r="B284" s="93">
        <v>367</v>
      </c>
      <c r="C284" s="94">
        <v>86</v>
      </c>
      <c r="D284" s="94">
        <v>0</v>
      </c>
      <c r="E284" s="94">
        <v>12</v>
      </c>
      <c r="F284" s="93">
        <v>200149</v>
      </c>
      <c r="G284" s="76" t="str">
        <f>IFERROR(INDEX([1]物品基础表!$A:$A,MATCH(F284,[1]物品基础表!$B:$B,0)),"")</f>
        <v>传世鞋子</v>
      </c>
      <c r="H284" s="93">
        <v>1</v>
      </c>
      <c r="I284" s="93">
        <v>7500</v>
      </c>
      <c r="J284" s="99">
        <f t="shared" si="5"/>
        <v>7500</v>
      </c>
      <c r="K284" s="93"/>
      <c r="L284" s="93" t="s">
        <v>1390</v>
      </c>
      <c r="M284" s="93"/>
      <c r="N284" s="92">
        <v>3</v>
      </c>
      <c r="O284" s="92"/>
      <c r="P284" s="92"/>
    </row>
    <row r="285" spans="1:16">
      <c r="A285" s="39" t="str">
        <f>INDEX([2]活动总表!$A$8:$A$429,MATCH(B285,[2]活动总表!$B$8:$B$429,0))</f>
        <v>节日商店(60天以内</v>
      </c>
      <c r="B285" s="93">
        <v>367</v>
      </c>
      <c r="C285" s="94">
        <v>87</v>
      </c>
      <c r="D285" s="94">
        <v>0</v>
      </c>
      <c r="E285" s="94">
        <v>12</v>
      </c>
      <c r="F285" s="93">
        <v>200143</v>
      </c>
      <c r="G285" s="76" t="str">
        <f>IFERROR(INDEX([1]物品基础表!$A:$A,MATCH(F285,[1]物品基础表!$B:$B,0)),"")</f>
        <v>传世头盔</v>
      </c>
      <c r="H285" s="93">
        <v>1</v>
      </c>
      <c r="I285" s="93">
        <v>12500</v>
      </c>
      <c r="J285" s="99">
        <f t="shared" si="5"/>
        <v>12500</v>
      </c>
      <c r="K285" s="93"/>
      <c r="L285" s="93" t="s">
        <v>1388</v>
      </c>
      <c r="M285" s="93"/>
      <c r="N285" s="92">
        <v>5</v>
      </c>
      <c r="O285" s="92"/>
      <c r="P285" s="92"/>
    </row>
    <row r="286" spans="1:16">
      <c r="A286" s="39" t="str">
        <f>INDEX([2]活动总表!$A$8:$A$429,MATCH(B286,[2]活动总表!$B$8:$B$429,0))</f>
        <v>节日商店(60天以内</v>
      </c>
      <c r="B286" s="93">
        <v>367</v>
      </c>
      <c r="C286" s="94">
        <v>88</v>
      </c>
      <c r="D286" s="94">
        <v>0</v>
      </c>
      <c r="E286" s="94">
        <v>12</v>
      </c>
      <c r="F286" s="93">
        <v>200145</v>
      </c>
      <c r="G286" s="76" t="str">
        <f>IFERROR(INDEX([1]物品基础表!$A:$A,MATCH(F286,[1]物品基础表!$B:$B,0)),"")</f>
        <v>传世项链</v>
      </c>
      <c r="H286" s="93">
        <v>1</v>
      </c>
      <c r="I286" s="93">
        <v>12500</v>
      </c>
      <c r="J286" s="99">
        <f t="shared" si="5"/>
        <v>12500</v>
      </c>
      <c r="K286" s="93"/>
      <c r="L286" s="93" t="s">
        <v>1388</v>
      </c>
      <c r="M286" s="93"/>
      <c r="N286" s="92">
        <v>5</v>
      </c>
      <c r="O286" s="92"/>
      <c r="P286" s="92"/>
    </row>
    <row r="287" spans="1:16">
      <c r="A287" s="39" t="str">
        <f>INDEX([2]活动总表!$A$8:$A$429,MATCH(B287,[2]活动总表!$B$8:$B$429,0))</f>
        <v>节日商店(60天以内</v>
      </c>
      <c r="B287" s="93">
        <v>367</v>
      </c>
      <c r="C287" s="94">
        <v>89</v>
      </c>
      <c r="D287" s="94">
        <v>0</v>
      </c>
      <c r="E287" s="94">
        <v>12</v>
      </c>
      <c r="F287" s="93">
        <v>200146</v>
      </c>
      <c r="G287" s="76" t="str">
        <f>IFERROR(INDEX([1]物品基础表!$A:$A,MATCH(F287,[1]物品基础表!$B:$B,0)),"")</f>
        <v>传世护腕</v>
      </c>
      <c r="H287" s="93">
        <v>1</v>
      </c>
      <c r="I287" s="93">
        <v>12500</v>
      </c>
      <c r="J287" s="99">
        <f t="shared" si="5"/>
        <v>12500</v>
      </c>
      <c r="K287" s="93"/>
      <c r="L287" s="93" t="s">
        <v>1388</v>
      </c>
      <c r="M287" s="93"/>
      <c r="N287" s="92">
        <v>5</v>
      </c>
      <c r="O287" s="92"/>
      <c r="P287" s="92"/>
    </row>
    <row r="288" spans="1:16">
      <c r="A288" s="39" t="str">
        <f>INDEX([2]活动总表!$A$8:$A$429,MATCH(B288,[2]活动总表!$B$8:$B$429,0))</f>
        <v>节日商店(60天以内</v>
      </c>
      <c r="B288" s="93">
        <v>367</v>
      </c>
      <c r="C288" s="94">
        <v>90</v>
      </c>
      <c r="D288" s="94">
        <v>0</v>
      </c>
      <c r="E288" s="94">
        <v>12</v>
      </c>
      <c r="F288" s="93">
        <v>200147</v>
      </c>
      <c r="G288" s="76" t="str">
        <f>IFERROR(INDEX([1]物品基础表!$A:$A,MATCH(F288,[1]物品基础表!$B:$B,0)),"")</f>
        <v>传世腰带</v>
      </c>
      <c r="H288" s="93">
        <v>1</v>
      </c>
      <c r="I288" s="93">
        <v>12500</v>
      </c>
      <c r="J288" s="99">
        <f t="shared" si="5"/>
        <v>12500</v>
      </c>
      <c r="K288" s="93"/>
      <c r="L288" s="93" t="s">
        <v>1388</v>
      </c>
      <c r="M288" s="93"/>
      <c r="N288" s="92">
        <v>5</v>
      </c>
      <c r="O288" s="92"/>
      <c r="P288" s="92"/>
    </row>
    <row r="289" spans="1:16">
      <c r="A289" s="39" t="str">
        <f>INDEX([2]活动总表!$A$8:$A$429,MATCH(B289,[2]活动总表!$B$8:$B$429,0))</f>
        <v>节日商店(60天以内</v>
      </c>
      <c r="B289" s="93">
        <v>367</v>
      </c>
      <c r="C289" s="94">
        <v>91</v>
      </c>
      <c r="D289" s="94">
        <v>0</v>
      </c>
      <c r="E289" s="94">
        <v>12</v>
      </c>
      <c r="F289" s="93">
        <v>200148</v>
      </c>
      <c r="G289" s="76" t="str">
        <f>IFERROR(INDEX([1]物品基础表!$A:$A,MATCH(F289,[1]物品基础表!$B:$B,0)),"")</f>
        <v>传世戒指</v>
      </c>
      <c r="H289" s="93">
        <v>1</v>
      </c>
      <c r="I289" s="93">
        <v>12500</v>
      </c>
      <c r="J289" s="99">
        <f t="shared" si="5"/>
        <v>12500</v>
      </c>
      <c r="K289" s="93"/>
      <c r="L289" s="93" t="s">
        <v>1388</v>
      </c>
      <c r="M289" s="93"/>
      <c r="N289" s="92">
        <v>5</v>
      </c>
      <c r="O289" s="92"/>
      <c r="P289" s="92"/>
    </row>
    <row r="290" spans="1:16">
      <c r="A290" s="39" t="str">
        <f>INDEX([2]活动总表!$A$8:$A$429,MATCH(B290,[2]活动总表!$B$8:$B$429,0))</f>
        <v>节日商店(60天以内</v>
      </c>
      <c r="B290" s="93">
        <v>367</v>
      </c>
      <c r="C290" s="94">
        <v>92</v>
      </c>
      <c r="D290" s="94">
        <v>0</v>
      </c>
      <c r="E290" s="94">
        <v>12</v>
      </c>
      <c r="F290" s="93">
        <v>200149</v>
      </c>
      <c r="G290" s="76" t="str">
        <f>IFERROR(INDEX([1]物品基础表!$A:$A,MATCH(F290,[1]物品基础表!$B:$B,0)),"")</f>
        <v>传世鞋子</v>
      </c>
      <c r="H290" s="93">
        <v>1</v>
      </c>
      <c r="I290" s="93">
        <v>12500</v>
      </c>
      <c r="J290" s="99">
        <f t="shared" si="5"/>
        <v>12500</v>
      </c>
      <c r="K290" s="93"/>
      <c r="L290" s="93" t="s">
        <v>1388</v>
      </c>
      <c r="M290" s="93"/>
      <c r="N290" s="92">
        <v>5</v>
      </c>
      <c r="O290" s="92"/>
      <c r="P290" s="92"/>
    </row>
    <row r="291" spans="1:16">
      <c r="A291" s="39" t="str">
        <f>INDEX([2]活动总表!$A$8:$A$429,MATCH(B291,[2]活动总表!$B$8:$B$429,0))</f>
        <v>节日商店(60天以内</v>
      </c>
      <c r="B291" s="93">
        <v>367</v>
      </c>
      <c r="C291" s="94">
        <v>93</v>
      </c>
      <c r="D291" s="94">
        <v>0</v>
      </c>
      <c r="E291" s="94">
        <v>12</v>
      </c>
      <c r="F291" s="93">
        <v>501401</v>
      </c>
      <c r="G291" s="76" t="str">
        <f>IFERROR(INDEX([1]物品基础表!$A:$A,MATCH(F291,[1]物品基础表!$B:$B,0)),"")</f>
        <v>金神力1级</v>
      </c>
      <c r="H291" s="93">
        <v>1</v>
      </c>
      <c r="I291" s="93">
        <v>15000</v>
      </c>
      <c r="J291" s="99">
        <f t="shared" si="5"/>
        <v>15000</v>
      </c>
      <c r="K291" s="93"/>
      <c r="L291" s="93" t="s">
        <v>1390</v>
      </c>
      <c r="M291" s="93"/>
      <c r="N291" s="92">
        <v>5</v>
      </c>
      <c r="O291" s="92"/>
      <c r="P291" s="92"/>
    </row>
    <row r="292" spans="1:16">
      <c r="A292" s="39" t="str">
        <f>INDEX([2]活动总表!$A$8:$A$429,MATCH(B292,[2]活动总表!$B$8:$B$429,0))</f>
        <v>节日商店(60天以内</v>
      </c>
      <c r="B292" s="93">
        <v>367</v>
      </c>
      <c r="C292" s="94">
        <v>94</v>
      </c>
      <c r="D292" s="94">
        <v>0</v>
      </c>
      <c r="E292" s="94">
        <v>12</v>
      </c>
      <c r="F292" s="93">
        <v>502401</v>
      </c>
      <c r="G292" s="76" t="str">
        <f>IFERROR(INDEX([1]物品基础表!$A:$A,MATCH(F292,[1]物品基础表!$B:$B,0)),"")</f>
        <v>金金汤1级</v>
      </c>
      <c r="H292" s="93">
        <v>1</v>
      </c>
      <c r="I292" s="93">
        <v>15000</v>
      </c>
      <c r="J292" s="99">
        <f t="shared" si="5"/>
        <v>15000</v>
      </c>
      <c r="K292" s="93"/>
      <c r="L292" s="93" t="s">
        <v>1390</v>
      </c>
      <c r="M292" s="93"/>
      <c r="N292" s="92">
        <v>5</v>
      </c>
      <c r="O292" s="92"/>
      <c r="P292" s="92"/>
    </row>
    <row r="293" spans="1:16">
      <c r="A293" s="39" t="str">
        <f>INDEX([2]活动总表!$A$8:$A$429,MATCH(B293,[2]活动总表!$B$8:$B$429,0))</f>
        <v>节日商店(60天以内</v>
      </c>
      <c r="B293" s="93">
        <v>367</v>
      </c>
      <c r="C293" s="94">
        <v>95</v>
      </c>
      <c r="D293" s="94">
        <v>0</v>
      </c>
      <c r="E293" s="94">
        <v>12</v>
      </c>
      <c r="F293" s="93">
        <v>503401</v>
      </c>
      <c r="G293" s="76" t="str">
        <f>IFERROR(INDEX([1]物品基础表!$A:$A,MATCH(F293,[1]物品基础表!$B:$B,0)),"")</f>
        <v>金长生1级</v>
      </c>
      <c r="H293" s="93">
        <v>1</v>
      </c>
      <c r="I293" s="93">
        <v>15000</v>
      </c>
      <c r="J293" s="99">
        <f t="shared" si="5"/>
        <v>15000</v>
      </c>
      <c r="K293" s="93"/>
      <c r="L293" s="93" t="s">
        <v>1390</v>
      </c>
      <c r="M293" s="93"/>
      <c r="N293" s="92">
        <v>5</v>
      </c>
      <c r="O293" s="92"/>
      <c r="P293" s="92"/>
    </row>
    <row r="294" spans="1:16">
      <c r="A294" s="39" t="str">
        <f>INDEX([2]活动总表!$A$8:$A$429,MATCH(B294,[2]活动总表!$B$8:$B$429,0))</f>
        <v>节日商店(60天以内</v>
      </c>
      <c r="B294" s="93">
        <v>367</v>
      </c>
      <c r="C294" s="94">
        <v>96</v>
      </c>
      <c r="D294" s="94">
        <v>0</v>
      </c>
      <c r="E294" s="94">
        <v>12</v>
      </c>
      <c r="F294" s="93">
        <v>504401</v>
      </c>
      <c r="G294" s="76" t="str">
        <f>IFERROR(INDEX([1]物品基础表!$A:$A,MATCH(F294,[1]物品基础表!$B:$B,0)),"")</f>
        <v>金光武1级</v>
      </c>
      <c r="H294" s="93">
        <v>1</v>
      </c>
      <c r="I294" s="93">
        <v>20000</v>
      </c>
      <c r="J294" s="99">
        <f t="shared" si="5"/>
        <v>20000</v>
      </c>
      <c r="K294" s="93"/>
      <c r="L294" s="93" t="s">
        <v>1390</v>
      </c>
      <c r="M294" s="93"/>
      <c r="N294" s="92">
        <v>5</v>
      </c>
      <c r="O294" s="92"/>
      <c r="P294" s="92"/>
    </row>
    <row r="295" spans="1:16">
      <c r="A295" s="39" t="str">
        <f>INDEX([2]活动总表!$A$8:$A$429,MATCH(B295,[2]活动总表!$B$8:$B$429,0))</f>
        <v>节日商店(60天以内</v>
      </c>
      <c r="B295" s="93">
        <v>367</v>
      </c>
      <c r="C295" s="94">
        <v>97</v>
      </c>
      <c r="D295" s="94">
        <v>0</v>
      </c>
      <c r="E295" s="94">
        <v>12</v>
      </c>
      <c r="F295" s="93">
        <v>505401</v>
      </c>
      <c r="G295" s="76" t="str">
        <f>IFERROR(INDEX([1]物品基础表!$A:$A,MATCH(F295,[1]物品基础表!$B:$B,0)),"")</f>
        <v>金神盔1级</v>
      </c>
      <c r="H295" s="93">
        <v>1</v>
      </c>
      <c r="I295" s="93">
        <v>6300</v>
      </c>
      <c r="J295" s="99">
        <f t="shared" si="5"/>
        <v>6300</v>
      </c>
      <c r="K295" s="93"/>
      <c r="L295" s="93" t="s">
        <v>1390</v>
      </c>
      <c r="M295" s="93"/>
      <c r="N295" s="92">
        <v>5</v>
      </c>
      <c r="O295" s="92"/>
      <c r="P295" s="92"/>
    </row>
    <row r="296" spans="1:16">
      <c r="A296" s="39" t="str">
        <f>INDEX([2]活动总表!$A$8:$A$429,MATCH(B296,[2]活动总表!$B$8:$B$429,0))</f>
        <v>节日商店(60天以内</v>
      </c>
      <c r="B296" s="93">
        <v>367</v>
      </c>
      <c r="C296" s="94">
        <v>98</v>
      </c>
      <c r="D296" s="94">
        <v>0</v>
      </c>
      <c r="E296" s="94">
        <v>12</v>
      </c>
      <c r="F296" s="93">
        <v>506401</v>
      </c>
      <c r="G296" s="76" t="str">
        <f>IFERROR(INDEX([1]物品基础表!$A:$A,MATCH(F296,[1]物品基础表!$B:$B,0)),"")</f>
        <v>金固甲1级</v>
      </c>
      <c r="H296" s="93">
        <v>1</v>
      </c>
      <c r="I296" s="93">
        <v>12500</v>
      </c>
      <c r="J296" s="99">
        <f t="shared" si="5"/>
        <v>12500</v>
      </c>
      <c r="K296" s="93"/>
      <c r="L296" s="93" t="s">
        <v>1390</v>
      </c>
      <c r="M296" s="93"/>
      <c r="N296" s="92">
        <v>5</v>
      </c>
      <c r="O296" s="92"/>
      <c r="P296" s="92"/>
    </row>
    <row r="297" spans="1:16">
      <c r="A297" s="39" t="str">
        <f>INDEX([2]活动总表!$A$8:$A$429,MATCH(B297,[2]活动总表!$B$8:$B$429,0))</f>
        <v>节日商店(60天以内</v>
      </c>
      <c r="B297" s="93">
        <v>367</v>
      </c>
      <c r="C297" s="94">
        <v>99</v>
      </c>
      <c r="D297" s="94">
        <v>0</v>
      </c>
      <c r="E297" s="94">
        <v>12</v>
      </c>
      <c r="F297" s="93">
        <v>507401</v>
      </c>
      <c r="G297" s="76" t="str">
        <f>IFERROR(INDEX([1]物品基础表!$A:$A,MATCH(F297,[1]物品基础表!$B:$B,0)),"")</f>
        <v>金灵链1级</v>
      </c>
      <c r="H297" s="93">
        <v>1</v>
      </c>
      <c r="I297" s="93">
        <v>6300</v>
      </c>
      <c r="J297" s="99">
        <f t="shared" si="5"/>
        <v>6300</v>
      </c>
      <c r="K297" s="93"/>
      <c r="L297" s="93" t="s">
        <v>1390</v>
      </c>
      <c r="M297" s="93"/>
      <c r="N297" s="92">
        <v>5</v>
      </c>
      <c r="O297" s="92"/>
      <c r="P297" s="92"/>
    </row>
    <row r="298" spans="1:16">
      <c r="A298" s="39" t="str">
        <f>INDEX([2]活动总表!$A$8:$A$429,MATCH(B298,[2]活动总表!$B$8:$B$429,0))</f>
        <v>节日商店(60天以内</v>
      </c>
      <c r="B298" s="93">
        <v>367</v>
      </c>
      <c r="C298" s="94">
        <v>100</v>
      </c>
      <c r="D298" s="94">
        <v>0</v>
      </c>
      <c r="E298" s="94">
        <v>12</v>
      </c>
      <c r="F298" s="93">
        <v>508401</v>
      </c>
      <c r="G298" s="76" t="str">
        <f>IFERROR(INDEX([1]物品基础表!$A:$A,MATCH(F298,[1]物品基础表!$B:$B,0)),"")</f>
        <v>金地镯1级</v>
      </c>
      <c r="H298" s="93">
        <v>1</v>
      </c>
      <c r="I298" s="93">
        <v>6300</v>
      </c>
      <c r="J298" s="99">
        <f t="shared" si="5"/>
        <v>6300</v>
      </c>
      <c r="K298" s="93"/>
      <c r="L298" s="93" t="s">
        <v>1390</v>
      </c>
      <c r="M298" s="93"/>
      <c r="N298" s="92">
        <v>5</v>
      </c>
      <c r="O298" s="92"/>
      <c r="P298" s="92"/>
    </row>
    <row r="299" spans="1:16">
      <c r="A299" s="39" t="str">
        <f>INDEX([2]活动总表!$A$8:$A$429,MATCH(B299,[2]活动总表!$B$8:$B$429,0))</f>
        <v>节日商店(60天以内</v>
      </c>
      <c r="B299" s="93">
        <v>367</v>
      </c>
      <c r="C299" s="94">
        <v>101</v>
      </c>
      <c r="D299" s="94">
        <v>0</v>
      </c>
      <c r="E299" s="94">
        <v>12</v>
      </c>
      <c r="F299" s="93">
        <v>509401</v>
      </c>
      <c r="G299" s="76" t="str">
        <f>IFERROR(INDEX([1]物品基础表!$A:$A,MATCH(F299,[1]物品基础表!$B:$B,0)),"")</f>
        <v>金乾戒1级</v>
      </c>
      <c r="H299" s="93">
        <v>1</v>
      </c>
      <c r="I299" s="93">
        <v>6300</v>
      </c>
      <c r="J299" s="99">
        <f t="shared" si="5"/>
        <v>6300</v>
      </c>
      <c r="K299" s="93"/>
      <c r="L299" s="93" t="s">
        <v>1390</v>
      </c>
      <c r="M299" s="93"/>
      <c r="N299" s="92">
        <v>5</v>
      </c>
      <c r="O299" s="92"/>
      <c r="P299" s="92"/>
    </row>
    <row r="300" spans="1:16">
      <c r="A300" s="39" t="str">
        <f>INDEX([2]活动总表!$A$8:$A$429,MATCH(B300,[2]活动总表!$B$8:$B$429,0))</f>
        <v>节日商店(60天以内</v>
      </c>
      <c r="B300" s="93">
        <v>367</v>
      </c>
      <c r="C300" s="94">
        <v>102</v>
      </c>
      <c r="D300" s="94">
        <v>0</v>
      </c>
      <c r="E300" s="94">
        <v>12</v>
      </c>
      <c r="F300" s="93">
        <v>510401</v>
      </c>
      <c r="G300" s="76" t="str">
        <f>IFERROR(INDEX([1]物品基础表!$A:$A,MATCH(F300,[1]物品基础表!$B:$B,0)),"")</f>
        <v>金龙带1级</v>
      </c>
      <c r="H300" s="93">
        <v>1</v>
      </c>
      <c r="I300" s="93">
        <v>6300</v>
      </c>
      <c r="J300" s="99">
        <f t="shared" si="5"/>
        <v>6300</v>
      </c>
      <c r="K300" s="93"/>
      <c r="L300" s="93" t="s">
        <v>1390</v>
      </c>
      <c r="M300" s="93"/>
      <c r="N300" s="92">
        <v>5</v>
      </c>
      <c r="O300" s="92"/>
      <c r="P300" s="92"/>
    </row>
    <row r="301" spans="1:16">
      <c r="A301" s="39" t="str">
        <f>INDEX([2]活动总表!$A$8:$A$429,MATCH(B301,[2]活动总表!$B$8:$B$429,0))</f>
        <v>节日商店(60天以内</v>
      </c>
      <c r="B301" s="93">
        <v>367</v>
      </c>
      <c r="C301" s="94">
        <v>103</v>
      </c>
      <c r="D301" s="94">
        <v>0</v>
      </c>
      <c r="E301" s="94">
        <v>12</v>
      </c>
      <c r="F301" s="93">
        <v>511401</v>
      </c>
      <c r="G301" s="76" t="str">
        <f>IFERROR(INDEX([1]物品基础表!$A:$A,MATCH(F301,[1]物品基础表!$B:$B,0)),"")</f>
        <v>金逐日1级</v>
      </c>
      <c r="H301" s="93">
        <v>1</v>
      </c>
      <c r="I301" s="93">
        <v>6300</v>
      </c>
      <c r="J301" s="99">
        <f t="shared" si="5"/>
        <v>6300</v>
      </c>
      <c r="K301" s="93"/>
      <c r="L301" s="93" t="s">
        <v>1390</v>
      </c>
      <c r="M301" s="93"/>
      <c r="N301" s="92">
        <v>5</v>
      </c>
      <c r="O301" s="92"/>
      <c r="P301" s="92"/>
    </row>
    <row r="302" spans="1:16">
      <c r="A302" s="39" t="str">
        <f>INDEX([2]活动总表!$A$8:$A$429,MATCH(B302,[2]活动总表!$B$8:$B$429,0))</f>
        <v>节日商店(60天以内</v>
      </c>
      <c r="B302" s="93">
        <v>367</v>
      </c>
      <c r="C302" s="94">
        <v>104</v>
      </c>
      <c r="D302" s="94">
        <v>0</v>
      </c>
      <c r="E302" s="94">
        <v>12</v>
      </c>
      <c r="F302" s="93">
        <v>512401</v>
      </c>
      <c r="G302" s="76" t="str">
        <f>IFERROR(INDEX([1]物品基础表!$A:$A,MATCH(F302,[1]物品基础表!$B:$B,0)),"")</f>
        <v>金豁免1级</v>
      </c>
      <c r="H302" s="93">
        <v>1</v>
      </c>
      <c r="I302" s="93">
        <v>18800</v>
      </c>
      <c r="J302" s="99">
        <f t="shared" si="5"/>
        <v>18800</v>
      </c>
      <c r="K302" s="93"/>
      <c r="L302" s="93" t="s">
        <v>1390</v>
      </c>
      <c r="M302" s="93"/>
      <c r="N302" s="92">
        <v>5</v>
      </c>
      <c r="O302" s="92"/>
      <c r="P302" s="92"/>
    </row>
    <row r="303" spans="1:16">
      <c r="A303" s="39" t="str">
        <f>INDEX([2]活动总表!$A$8:$A$429,MATCH(B303,[2]活动总表!$B$8:$B$429,0))</f>
        <v>节日商店(60天以内</v>
      </c>
      <c r="B303" s="93">
        <v>367</v>
      </c>
      <c r="C303" s="94">
        <v>105</v>
      </c>
      <c r="D303" s="94">
        <v>0</v>
      </c>
      <c r="E303" s="94">
        <v>12</v>
      </c>
      <c r="F303" s="93">
        <v>513401</v>
      </c>
      <c r="G303" s="76" t="str">
        <f>IFERROR(INDEX([1]物品基础表!$A:$A,MATCH(F303,[1]物品基础表!$B:$B,0)),"")</f>
        <v>金杀戮1级</v>
      </c>
      <c r="H303" s="93">
        <v>1</v>
      </c>
      <c r="I303" s="93">
        <v>18800</v>
      </c>
      <c r="J303" s="99">
        <f t="shared" si="5"/>
        <v>18800</v>
      </c>
      <c r="K303" s="93"/>
      <c r="L303" s="93" t="s">
        <v>1390</v>
      </c>
      <c r="M303" s="93"/>
      <c r="N303" s="92">
        <v>5</v>
      </c>
      <c r="O303" s="92"/>
      <c r="P303" s="92"/>
    </row>
    <row r="304" spans="1:16">
      <c r="A304" s="39" t="str">
        <f>INDEX([2]活动总表!$A$8:$A$429,MATCH(B304,[2]活动总表!$B$8:$B$429,0))</f>
        <v>节日商店(60天以内</v>
      </c>
      <c r="B304" s="93">
        <v>367</v>
      </c>
      <c r="C304" s="94">
        <v>106</v>
      </c>
      <c r="D304" s="94">
        <v>0</v>
      </c>
      <c r="E304" s="94">
        <v>12</v>
      </c>
      <c r="F304" s="92">
        <v>514401</v>
      </c>
      <c r="G304" s="76" t="str">
        <f>IFERROR(INDEX([1]物品基础表!$A:$A,MATCH(F304,[1]物品基础表!$B:$B,0)),"")</f>
        <v>金祝福1级</v>
      </c>
      <c r="H304" s="92">
        <v>1</v>
      </c>
      <c r="I304" s="92">
        <v>5000</v>
      </c>
      <c r="J304" s="99">
        <f t="shared" si="5"/>
        <v>5000</v>
      </c>
      <c r="K304" s="92"/>
      <c r="L304" s="93" t="s">
        <v>1390</v>
      </c>
      <c r="M304" s="92"/>
      <c r="N304" s="92">
        <v>5</v>
      </c>
      <c r="O304" s="92"/>
      <c r="P304" s="92"/>
    </row>
    <row r="305" spans="1:16">
      <c r="A305" s="39" t="str">
        <f>INDEX([2]活动总表!$A$8:$A$429,MATCH(B305,[2]活动总表!$B$8:$B$429,0))</f>
        <v>节日商店(60天以内</v>
      </c>
      <c r="B305" s="93">
        <v>367</v>
      </c>
      <c r="C305" s="94">
        <v>107</v>
      </c>
      <c r="D305" s="94">
        <v>0</v>
      </c>
      <c r="E305" s="94">
        <v>12</v>
      </c>
      <c r="F305" s="92">
        <v>515401</v>
      </c>
      <c r="G305" s="76" t="str">
        <f>IFERROR(INDEX([1]物品基础表!$A:$A,MATCH(F305,[1]物品基础表!$B:$B,0)),"")</f>
        <v>金财神1级</v>
      </c>
      <c r="H305" s="92">
        <v>1</v>
      </c>
      <c r="I305" s="92">
        <v>5000</v>
      </c>
      <c r="J305" s="99">
        <f t="shared" si="5"/>
        <v>5000</v>
      </c>
      <c r="K305" s="92"/>
      <c r="L305" s="93" t="s">
        <v>1390</v>
      </c>
      <c r="M305" s="92"/>
      <c r="N305" s="92">
        <v>5</v>
      </c>
      <c r="O305" s="92"/>
      <c r="P305" s="92"/>
    </row>
    <row r="306" spans="1:16">
      <c r="A306" s="39" t="str">
        <f>INDEX([2]活动总表!$A$8:$A$429,MATCH(B306,[2]活动总表!$B$8:$B$429,0))</f>
        <v>节日商店(60天以内</v>
      </c>
      <c r="B306" s="93">
        <v>367</v>
      </c>
      <c r="C306" s="94">
        <v>108</v>
      </c>
      <c r="D306" s="94">
        <v>0</v>
      </c>
      <c r="E306" s="94">
        <v>12</v>
      </c>
      <c r="F306" s="92">
        <v>516401</v>
      </c>
      <c r="G306" s="76" t="str">
        <f>IFERROR(INDEX([1]物品基础表!$A:$A,MATCH(F306,[1]物品基础表!$B:$B,0)),"")</f>
        <v>金强攻1级</v>
      </c>
      <c r="H306" s="92">
        <v>1</v>
      </c>
      <c r="I306" s="92">
        <v>15000</v>
      </c>
      <c r="J306" s="99">
        <f t="shared" si="5"/>
        <v>15000</v>
      </c>
      <c r="K306" s="92"/>
      <c r="L306" s="93" t="s">
        <v>1390</v>
      </c>
      <c r="M306" s="92"/>
      <c r="N306" s="92">
        <v>5</v>
      </c>
      <c r="O306" s="92"/>
      <c r="P306" s="92"/>
    </row>
    <row r="307" spans="1:16">
      <c r="A307" s="39" t="str">
        <f>INDEX([2]活动总表!$A$8:$A$429,MATCH(B307,[2]活动总表!$B$8:$B$429,0))</f>
        <v>节日商店(60天以内</v>
      </c>
      <c r="B307" s="93">
        <v>367</v>
      </c>
      <c r="C307" s="94">
        <v>109</v>
      </c>
      <c r="D307" s="94">
        <v>0</v>
      </c>
      <c r="E307" s="94">
        <v>12</v>
      </c>
      <c r="F307" s="92">
        <v>517401</v>
      </c>
      <c r="G307" s="76" t="str">
        <f>IFERROR(INDEX([1]物品基础表!$A:$A,MATCH(F307,[1]物品基础表!$B:$B,0)),"")</f>
        <v>金毁灭1级</v>
      </c>
      <c r="H307" s="92">
        <v>1</v>
      </c>
      <c r="I307" s="92">
        <v>15000</v>
      </c>
      <c r="J307" s="99">
        <f t="shared" si="5"/>
        <v>15000</v>
      </c>
      <c r="K307" s="92"/>
      <c r="L307" s="93" t="s">
        <v>1390</v>
      </c>
      <c r="M307" s="92"/>
      <c r="N307" s="92">
        <v>5</v>
      </c>
      <c r="O307" s="92"/>
      <c r="P307" s="92"/>
    </row>
    <row r="308" spans="1:16">
      <c r="A308" s="39" t="str">
        <f>INDEX([2]活动总表!$A$8:$A$429,MATCH(B308,[2]活动总表!$B$8:$B$429,0))</f>
        <v>节日商店(60天以内</v>
      </c>
      <c r="B308" s="93">
        <v>367</v>
      </c>
      <c r="C308" s="94">
        <v>110</v>
      </c>
      <c r="D308" s="94">
        <v>0</v>
      </c>
      <c r="E308" s="94">
        <v>12</v>
      </c>
      <c r="F308" s="92">
        <v>518401</v>
      </c>
      <c r="G308" s="76" t="str">
        <f>IFERROR(INDEX([1]物品基础表!$A:$A,MATCH(F308,[1]物品基础表!$B:$B,0)),"")</f>
        <v>金泰坦1级</v>
      </c>
      <c r="H308" s="92">
        <v>1</v>
      </c>
      <c r="I308" s="92">
        <v>15000</v>
      </c>
      <c r="J308" s="99">
        <f t="shared" si="5"/>
        <v>15000</v>
      </c>
      <c r="K308" s="92"/>
      <c r="L308" s="93" t="s">
        <v>1390</v>
      </c>
      <c r="M308" s="92"/>
      <c r="N308" s="92">
        <v>5</v>
      </c>
      <c r="O308" s="92"/>
      <c r="P308" s="92"/>
    </row>
    <row r="309" spans="1:16">
      <c r="A309" s="39" t="str">
        <f>INDEX([2]活动总表!$A$8:$A$429,MATCH(B309,[2]活动总表!$B$8:$B$429,0))</f>
        <v>节日商店(60天以内</v>
      </c>
      <c r="B309" s="93">
        <v>367</v>
      </c>
      <c r="C309" s="94">
        <v>111</v>
      </c>
      <c r="D309" s="94">
        <v>0</v>
      </c>
      <c r="E309" s="94">
        <v>12</v>
      </c>
      <c r="F309" s="92">
        <v>501301</v>
      </c>
      <c r="G309" s="76" t="str">
        <f>IFERROR(INDEX([1]物品基础表!$A:$A,MATCH(F309,[1]物品基础表!$B:$B,0)),"")</f>
        <v>红神力1级</v>
      </c>
      <c r="H309" s="92">
        <v>1</v>
      </c>
      <c r="I309" s="92">
        <v>7500</v>
      </c>
      <c r="J309" s="99">
        <f t="shared" si="5"/>
        <v>7500</v>
      </c>
      <c r="K309" s="92"/>
      <c r="L309" s="93" t="s">
        <v>1391</v>
      </c>
      <c r="M309" s="92"/>
      <c r="N309" s="92">
        <v>5</v>
      </c>
      <c r="O309" s="92"/>
      <c r="P309" s="92"/>
    </row>
    <row r="310" spans="1:16">
      <c r="A310" s="39" t="str">
        <f>INDEX([2]活动总表!$A$8:$A$429,MATCH(B310,[2]活动总表!$B$8:$B$429,0))</f>
        <v>节日商店(60天以内</v>
      </c>
      <c r="B310" s="93">
        <v>367</v>
      </c>
      <c r="C310" s="94">
        <v>112</v>
      </c>
      <c r="D310" s="94">
        <v>0</v>
      </c>
      <c r="E310" s="94">
        <v>12</v>
      </c>
      <c r="F310" s="92">
        <v>502301</v>
      </c>
      <c r="G310" s="76" t="str">
        <f>IFERROR(INDEX([1]物品基础表!$A:$A,MATCH(F310,[1]物品基础表!$B:$B,0)),"")</f>
        <v>红金汤1级</v>
      </c>
      <c r="H310" s="92">
        <v>1</v>
      </c>
      <c r="I310" s="92">
        <v>7500</v>
      </c>
      <c r="J310" s="99">
        <f t="shared" si="5"/>
        <v>7500</v>
      </c>
      <c r="K310" s="92"/>
      <c r="L310" s="93" t="s">
        <v>1391</v>
      </c>
      <c r="M310" s="92"/>
      <c r="N310" s="92">
        <v>5</v>
      </c>
      <c r="O310" s="92"/>
      <c r="P310" s="92"/>
    </row>
    <row r="311" spans="1:16">
      <c r="A311" s="39" t="str">
        <f>INDEX([2]活动总表!$A$8:$A$429,MATCH(B311,[2]活动总表!$B$8:$B$429,0))</f>
        <v>节日商店(60天以内</v>
      </c>
      <c r="B311" s="93">
        <v>367</v>
      </c>
      <c r="C311" s="94">
        <v>113</v>
      </c>
      <c r="D311" s="94">
        <v>0</v>
      </c>
      <c r="E311" s="94">
        <v>12</v>
      </c>
      <c r="F311" s="92">
        <v>503301</v>
      </c>
      <c r="G311" s="76" t="str">
        <f>IFERROR(INDEX([1]物品基础表!$A:$A,MATCH(F311,[1]物品基础表!$B:$B,0)),"")</f>
        <v>红长生1级</v>
      </c>
      <c r="H311" s="92">
        <v>1</v>
      </c>
      <c r="I311" s="92">
        <v>7500</v>
      </c>
      <c r="J311" s="99">
        <f t="shared" si="5"/>
        <v>7500</v>
      </c>
      <c r="K311" s="92"/>
      <c r="L311" s="93" t="s">
        <v>1391</v>
      </c>
      <c r="M311" s="92"/>
      <c r="N311" s="92">
        <v>5</v>
      </c>
      <c r="O311" s="92"/>
      <c r="P311" s="92"/>
    </row>
    <row r="312" spans="1:16">
      <c r="A312" s="39" t="str">
        <f>INDEX([2]活动总表!$A$8:$A$429,MATCH(B312,[2]活动总表!$B$8:$B$429,0))</f>
        <v>节日商店(60天以内</v>
      </c>
      <c r="B312" s="93">
        <v>367</v>
      </c>
      <c r="C312" s="94">
        <v>114</v>
      </c>
      <c r="D312" s="94">
        <v>0</v>
      </c>
      <c r="E312" s="94">
        <v>12</v>
      </c>
      <c r="F312" s="92">
        <v>504301</v>
      </c>
      <c r="G312" s="76" t="str">
        <f>IFERROR(INDEX([1]物品基础表!$A:$A,MATCH(F312,[1]物品基础表!$B:$B,0)),"")</f>
        <v>红光武1级</v>
      </c>
      <c r="H312" s="92">
        <v>1</v>
      </c>
      <c r="I312" s="92">
        <v>10000</v>
      </c>
      <c r="J312" s="99">
        <f t="shared" si="5"/>
        <v>10000</v>
      </c>
      <c r="K312" s="92"/>
      <c r="L312" s="93" t="s">
        <v>1391</v>
      </c>
      <c r="M312" s="92"/>
      <c r="N312" s="92">
        <v>5</v>
      </c>
      <c r="O312" s="92"/>
      <c r="P312" s="92"/>
    </row>
    <row r="313" spans="1:16">
      <c r="A313" s="39" t="str">
        <f>INDEX([2]活动总表!$A$8:$A$429,MATCH(B313,[2]活动总表!$B$8:$B$429,0))</f>
        <v>节日商店(60天以内</v>
      </c>
      <c r="B313" s="93">
        <v>367</v>
      </c>
      <c r="C313" s="94">
        <v>115</v>
      </c>
      <c r="D313" s="94">
        <v>0</v>
      </c>
      <c r="E313" s="94">
        <v>12</v>
      </c>
      <c r="F313" s="92">
        <v>505301</v>
      </c>
      <c r="G313" s="76" t="str">
        <f>IFERROR(INDEX([1]物品基础表!$A:$A,MATCH(F313,[1]物品基础表!$B:$B,0)),"")</f>
        <v>红神盔1级</v>
      </c>
      <c r="H313" s="92">
        <v>1</v>
      </c>
      <c r="I313" s="92">
        <v>3100</v>
      </c>
      <c r="J313" s="99">
        <f t="shared" si="5"/>
        <v>3100</v>
      </c>
      <c r="K313" s="92"/>
      <c r="L313" s="93" t="s">
        <v>1391</v>
      </c>
      <c r="M313" s="92"/>
      <c r="N313" s="92">
        <v>5</v>
      </c>
      <c r="O313" s="92"/>
      <c r="P313" s="92"/>
    </row>
    <row r="314" spans="1:16">
      <c r="A314" s="39" t="str">
        <f>INDEX([2]活动总表!$A$8:$A$429,MATCH(B314,[2]活动总表!$B$8:$B$429,0))</f>
        <v>节日商店(60天以内</v>
      </c>
      <c r="B314" s="93">
        <v>367</v>
      </c>
      <c r="C314" s="94">
        <v>116</v>
      </c>
      <c r="D314" s="94">
        <v>0</v>
      </c>
      <c r="E314" s="94">
        <v>12</v>
      </c>
      <c r="F314" s="92">
        <v>506301</v>
      </c>
      <c r="G314" s="76" t="str">
        <f>IFERROR(INDEX([1]物品基础表!$A:$A,MATCH(F314,[1]物品基础表!$B:$B,0)),"")</f>
        <v>红固甲1级</v>
      </c>
      <c r="H314" s="92">
        <v>1</v>
      </c>
      <c r="I314" s="92">
        <v>6300</v>
      </c>
      <c r="J314" s="99">
        <f t="shared" si="5"/>
        <v>6300</v>
      </c>
      <c r="K314" s="92"/>
      <c r="L314" s="93" t="s">
        <v>1391</v>
      </c>
      <c r="M314" s="92"/>
      <c r="N314" s="92">
        <v>5</v>
      </c>
      <c r="O314" s="92"/>
      <c r="P314" s="92"/>
    </row>
    <row r="315" spans="1:16">
      <c r="A315" s="39" t="str">
        <f>INDEX([2]活动总表!$A$8:$A$429,MATCH(B315,[2]活动总表!$B$8:$B$429,0))</f>
        <v>节日商店(60天以内</v>
      </c>
      <c r="B315" s="93">
        <v>367</v>
      </c>
      <c r="C315" s="94">
        <v>117</v>
      </c>
      <c r="D315" s="94">
        <v>0</v>
      </c>
      <c r="E315" s="94">
        <v>12</v>
      </c>
      <c r="F315" s="92">
        <v>507301</v>
      </c>
      <c r="G315" s="76" t="str">
        <f>IFERROR(INDEX([1]物品基础表!$A:$A,MATCH(F315,[1]物品基础表!$B:$B,0)),"")</f>
        <v>红灵链1级</v>
      </c>
      <c r="H315" s="92">
        <v>1</v>
      </c>
      <c r="I315" s="92">
        <v>3100</v>
      </c>
      <c r="J315" s="99">
        <f t="shared" si="5"/>
        <v>3100</v>
      </c>
      <c r="K315" s="92"/>
      <c r="L315" s="93" t="s">
        <v>1391</v>
      </c>
      <c r="M315" s="92"/>
      <c r="N315" s="92">
        <v>5</v>
      </c>
      <c r="O315" s="92"/>
      <c r="P315" s="92"/>
    </row>
    <row r="316" spans="1:16">
      <c r="A316" s="39" t="str">
        <f>INDEX([2]活动总表!$A$8:$A$429,MATCH(B316,[2]活动总表!$B$8:$B$429,0))</f>
        <v>节日商店(60天以内</v>
      </c>
      <c r="B316" s="93">
        <v>367</v>
      </c>
      <c r="C316" s="94">
        <v>118</v>
      </c>
      <c r="D316" s="94">
        <v>0</v>
      </c>
      <c r="E316" s="94">
        <v>12</v>
      </c>
      <c r="F316" s="92">
        <v>508301</v>
      </c>
      <c r="G316" s="76" t="str">
        <f>IFERROR(INDEX([1]物品基础表!$A:$A,MATCH(F316,[1]物品基础表!$B:$B,0)),"")</f>
        <v>红地镯1级</v>
      </c>
      <c r="H316" s="92">
        <v>1</v>
      </c>
      <c r="I316" s="92">
        <v>3100</v>
      </c>
      <c r="J316" s="99">
        <f t="shared" si="5"/>
        <v>3100</v>
      </c>
      <c r="K316" s="92"/>
      <c r="L316" s="93" t="s">
        <v>1391</v>
      </c>
      <c r="M316" s="92"/>
      <c r="N316" s="92">
        <v>5</v>
      </c>
      <c r="O316" s="92"/>
      <c r="P316" s="92"/>
    </row>
    <row r="317" spans="1:16">
      <c r="A317" s="39" t="str">
        <f>INDEX([2]活动总表!$A$8:$A$429,MATCH(B317,[2]活动总表!$B$8:$B$429,0))</f>
        <v>节日商店(60天以内</v>
      </c>
      <c r="B317" s="93">
        <v>367</v>
      </c>
      <c r="C317" s="94">
        <v>119</v>
      </c>
      <c r="D317" s="94">
        <v>0</v>
      </c>
      <c r="E317" s="94">
        <v>12</v>
      </c>
      <c r="F317" s="92">
        <v>509301</v>
      </c>
      <c r="G317" s="76" t="str">
        <f>IFERROR(INDEX([1]物品基础表!$A:$A,MATCH(F317,[1]物品基础表!$B:$B,0)),"")</f>
        <v>红乾戒1级</v>
      </c>
      <c r="H317" s="92">
        <v>1</v>
      </c>
      <c r="I317" s="92">
        <v>3100</v>
      </c>
      <c r="J317" s="99">
        <f t="shared" si="5"/>
        <v>3100</v>
      </c>
      <c r="K317" s="92"/>
      <c r="L317" s="93" t="s">
        <v>1391</v>
      </c>
      <c r="M317" s="92"/>
      <c r="N317" s="92">
        <v>5</v>
      </c>
      <c r="O317" s="92"/>
      <c r="P317" s="92"/>
    </row>
    <row r="318" spans="1:16">
      <c r="A318" s="39" t="str">
        <f>INDEX([2]活动总表!$A$8:$A$429,MATCH(B318,[2]活动总表!$B$8:$B$429,0))</f>
        <v>节日商店(60天以内</v>
      </c>
      <c r="B318" s="93">
        <v>367</v>
      </c>
      <c r="C318" s="94">
        <v>120</v>
      </c>
      <c r="D318" s="94">
        <v>0</v>
      </c>
      <c r="E318" s="94">
        <v>12</v>
      </c>
      <c r="F318" s="92">
        <v>510301</v>
      </c>
      <c r="G318" s="76" t="str">
        <f>IFERROR(INDEX([1]物品基础表!$A:$A,MATCH(F318,[1]物品基础表!$B:$B,0)),"")</f>
        <v>红龙带1级</v>
      </c>
      <c r="H318" s="92">
        <v>1</v>
      </c>
      <c r="I318" s="92">
        <v>3100</v>
      </c>
      <c r="J318" s="99">
        <f t="shared" si="5"/>
        <v>3100</v>
      </c>
      <c r="K318" s="92"/>
      <c r="L318" s="93" t="s">
        <v>1391</v>
      </c>
      <c r="M318" s="92"/>
      <c r="N318" s="92">
        <v>5</v>
      </c>
      <c r="O318" s="92"/>
      <c r="P318" s="92"/>
    </row>
    <row r="319" spans="1:16">
      <c r="A319" s="39" t="str">
        <f>INDEX([2]活动总表!$A$8:$A$429,MATCH(B319,[2]活动总表!$B$8:$B$429,0))</f>
        <v>节日商店(60天以内</v>
      </c>
      <c r="B319" s="93">
        <v>367</v>
      </c>
      <c r="C319" s="94">
        <v>121</v>
      </c>
      <c r="D319" s="94">
        <v>0</v>
      </c>
      <c r="E319" s="94">
        <v>12</v>
      </c>
      <c r="F319" s="92">
        <v>511301</v>
      </c>
      <c r="G319" s="76" t="str">
        <f>IFERROR(INDEX([1]物品基础表!$A:$A,MATCH(F319,[1]物品基础表!$B:$B,0)),"")</f>
        <v>红逐日1级</v>
      </c>
      <c r="H319" s="92">
        <v>1</v>
      </c>
      <c r="I319" s="92">
        <v>3100</v>
      </c>
      <c r="J319" s="99">
        <f t="shared" si="5"/>
        <v>3100</v>
      </c>
      <c r="K319" s="92"/>
      <c r="L319" s="93" t="s">
        <v>1391</v>
      </c>
      <c r="M319" s="92"/>
      <c r="N319" s="92">
        <v>5</v>
      </c>
      <c r="O319" s="92"/>
      <c r="P319" s="92"/>
    </row>
    <row r="320" spans="1:16">
      <c r="A320" s="39" t="str">
        <f>INDEX([2]活动总表!$A$8:$A$429,MATCH(B320,[2]活动总表!$B$8:$B$429,0))</f>
        <v>节日商店(60天以内</v>
      </c>
      <c r="B320" s="93">
        <v>367</v>
      </c>
      <c r="C320" s="94">
        <v>122</v>
      </c>
      <c r="D320" s="94">
        <v>0</v>
      </c>
      <c r="E320" s="94">
        <v>12</v>
      </c>
      <c r="F320" s="92">
        <v>512301</v>
      </c>
      <c r="G320" s="76" t="str">
        <f>IFERROR(INDEX([1]物品基础表!$A:$A,MATCH(F320,[1]物品基础表!$B:$B,0)),"")</f>
        <v>红豁免1级</v>
      </c>
      <c r="H320" s="92">
        <v>1</v>
      </c>
      <c r="I320" s="92">
        <v>9400</v>
      </c>
      <c r="J320" s="99">
        <f t="shared" si="5"/>
        <v>9400</v>
      </c>
      <c r="K320" s="92"/>
      <c r="L320" s="93" t="s">
        <v>1391</v>
      </c>
      <c r="M320" s="92"/>
      <c r="N320" s="92">
        <v>5</v>
      </c>
      <c r="O320" s="92"/>
      <c r="P320" s="92"/>
    </row>
    <row r="321" spans="1:16">
      <c r="A321" s="39" t="str">
        <f>INDEX([2]活动总表!$A$8:$A$429,MATCH(B321,[2]活动总表!$B$8:$B$429,0))</f>
        <v>节日商店(60天以内</v>
      </c>
      <c r="B321" s="93">
        <v>367</v>
      </c>
      <c r="C321" s="94">
        <v>123</v>
      </c>
      <c r="D321" s="94">
        <v>0</v>
      </c>
      <c r="E321" s="94">
        <v>12</v>
      </c>
      <c r="F321" s="92">
        <v>513301</v>
      </c>
      <c r="G321" s="76" t="str">
        <f>IFERROR(INDEX([1]物品基础表!$A:$A,MATCH(F321,[1]物品基础表!$B:$B,0)),"")</f>
        <v>红杀戮1级</v>
      </c>
      <c r="H321" s="92">
        <v>1</v>
      </c>
      <c r="I321" s="92">
        <v>9400</v>
      </c>
      <c r="J321" s="99">
        <f t="shared" si="5"/>
        <v>9400</v>
      </c>
      <c r="K321" s="92"/>
      <c r="L321" s="93" t="s">
        <v>1391</v>
      </c>
      <c r="M321" s="92"/>
      <c r="N321" s="92">
        <v>5</v>
      </c>
      <c r="O321" s="92"/>
      <c r="P321" s="92"/>
    </row>
    <row r="322" spans="1:16">
      <c r="A322" s="39" t="str">
        <f>INDEX([2]活动总表!$A$8:$A$429,MATCH(B322,[2]活动总表!$B$8:$B$429,0))</f>
        <v>节日商店(60天以内</v>
      </c>
      <c r="B322" s="93">
        <v>367</v>
      </c>
      <c r="C322" s="94">
        <v>124</v>
      </c>
      <c r="D322" s="94">
        <v>0</v>
      </c>
      <c r="E322" s="94">
        <v>12</v>
      </c>
      <c r="F322" s="92">
        <v>514301</v>
      </c>
      <c r="G322" s="76" t="str">
        <f>IFERROR(INDEX([1]物品基础表!$A:$A,MATCH(F322,[1]物品基础表!$B:$B,0)),"")</f>
        <v>红祝福1级</v>
      </c>
      <c r="H322" s="92">
        <v>1</v>
      </c>
      <c r="I322" s="92">
        <v>2500</v>
      </c>
      <c r="J322" s="99">
        <f t="shared" si="5"/>
        <v>2500</v>
      </c>
      <c r="K322" s="92"/>
      <c r="L322" s="93" t="s">
        <v>1391</v>
      </c>
      <c r="M322" s="92"/>
      <c r="N322" s="92">
        <v>5</v>
      </c>
      <c r="O322" s="92"/>
      <c r="P322" s="92"/>
    </row>
    <row r="323" spans="1:16">
      <c r="A323" s="39" t="str">
        <f>INDEX([2]活动总表!$A$8:$A$429,MATCH(B323,[2]活动总表!$B$8:$B$429,0))</f>
        <v>节日商店(60天以内</v>
      </c>
      <c r="B323" s="93">
        <v>367</v>
      </c>
      <c r="C323" s="94">
        <v>125</v>
      </c>
      <c r="D323" s="94">
        <v>0</v>
      </c>
      <c r="E323" s="94">
        <v>12</v>
      </c>
      <c r="F323" s="92">
        <v>515301</v>
      </c>
      <c r="G323" s="76" t="str">
        <f>IFERROR(INDEX([1]物品基础表!$A:$A,MATCH(F323,[1]物品基础表!$B:$B,0)),"")</f>
        <v>红财神1级</v>
      </c>
      <c r="H323" s="92">
        <v>1</v>
      </c>
      <c r="I323" s="92">
        <v>2500</v>
      </c>
      <c r="J323" s="99">
        <f t="shared" si="5"/>
        <v>2500</v>
      </c>
      <c r="K323" s="92"/>
      <c r="L323" s="93" t="s">
        <v>1391</v>
      </c>
      <c r="M323" s="92"/>
      <c r="N323" s="92">
        <v>5</v>
      </c>
      <c r="O323" s="92"/>
      <c r="P323" s="92"/>
    </row>
    <row r="324" spans="1:16">
      <c r="A324" s="39" t="str">
        <f>INDEX([2]活动总表!$A$8:$A$429,MATCH(B324,[2]活动总表!$B$8:$B$429,0))</f>
        <v>节日商店(60天以内</v>
      </c>
      <c r="B324" s="93">
        <v>367</v>
      </c>
      <c r="C324" s="94">
        <v>126</v>
      </c>
      <c r="D324" s="94">
        <v>0</v>
      </c>
      <c r="E324" s="94">
        <v>12</v>
      </c>
      <c r="F324" s="92">
        <v>516301</v>
      </c>
      <c r="G324" s="76" t="str">
        <f>IFERROR(INDEX([1]物品基础表!$A:$A,MATCH(F324,[1]物品基础表!$B:$B,0)),"")</f>
        <v>红强攻1级</v>
      </c>
      <c r="H324" s="92">
        <v>1</v>
      </c>
      <c r="I324" s="92">
        <v>7500</v>
      </c>
      <c r="J324" s="99">
        <f t="shared" ref="J324:J387" si="6">I324/H324</f>
        <v>7500</v>
      </c>
      <c r="K324" s="92"/>
      <c r="L324" s="93" t="s">
        <v>1391</v>
      </c>
      <c r="M324" s="92"/>
      <c r="N324" s="92">
        <v>5</v>
      </c>
      <c r="O324" s="92"/>
      <c r="P324" s="92"/>
    </row>
    <row r="325" spans="1:16">
      <c r="A325" s="39" t="str">
        <f>INDEX([2]活动总表!$A$8:$A$429,MATCH(B325,[2]活动总表!$B$8:$B$429,0))</f>
        <v>节日商店(60天以内</v>
      </c>
      <c r="B325" s="93">
        <v>367</v>
      </c>
      <c r="C325" s="94">
        <v>127</v>
      </c>
      <c r="D325" s="94">
        <v>0</v>
      </c>
      <c r="E325" s="94">
        <v>12</v>
      </c>
      <c r="F325" s="92">
        <v>517301</v>
      </c>
      <c r="G325" s="76" t="str">
        <f>IFERROR(INDEX([1]物品基础表!$A:$A,MATCH(F325,[1]物品基础表!$B:$B,0)),"")</f>
        <v>红毁灭1级</v>
      </c>
      <c r="H325" s="92">
        <v>1</v>
      </c>
      <c r="I325" s="92">
        <v>7500</v>
      </c>
      <c r="J325" s="99">
        <f t="shared" si="6"/>
        <v>7500</v>
      </c>
      <c r="K325" s="92"/>
      <c r="L325" s="93" t="s">
        <v>1391</v>
      </c>
      <c r="M325" s="92"/>
      <c r="N325" s="92">
        <v>5</v>
      </c>
      <c r="O325" s="92"/>
      <c r="P325" s="92"/>
    </row>
    <row r="326" spans="1:16">
      <c r="A326" s="39" t="str">
        <f>INDEX([2]活动总表!$A$8:$A$429,MATCH(B326,[2]活动总表!$B$8:$B$429,0))</f>
        <v>节日商店(60天以内</v>
      </c>
      <c r="B326" s="93">
        <v>367</v>
      </c>
      <c r="C326" s="94">
        <v>128</v>
      </c>
      <c r="D326" s="94">
        <v>0</v>
      </c>
      <c r="E326" s="94">
        <v>12</v>
      </c>
      <c r="F326" s="92">
        <v>518301</v>
      </c>
      <c r="G326" s="76" t="str">
        <f>IFERROR(INDEX([1]物品基础表!$A:$A,MATCH(F326,[1]物品基础表!$B:$B,0)),"")</f>
        <v>红泰坦1级</v>
      </c>
      <c r="H326" s="92">
        <v>1</v>
      </c>
      <c r="I326" s="92">
        <v>7500</v>
      </c>
      <c r="J326" s="99">
        <f t="shared" si="6"/>
        <v>7500</v>
      </c>
      <c r="K326" s="92"/>
      <c r="L326" s="93" t="s">
        <v>1391</v>
      </c>
      <c r="M326" s="92"/>
      <c r="N326" s="92">
        <v>5</v>
      </c>
      <c r="O326" s="92"/>
      <c r="P326" s="92"/>
    </row>
    <row r="327" spans="1:16">
      <c r="A327" s="39" t="str">
        <f>INDEX([2]活动总表!$A$8:$A$429,MATCH(B327,[2]活动总表!$B$8:$B$429,0))</f>
        <v>节日商店(60天以内</v>
      </c>
      <c r="B327" s="93">
        <v>367</v>
      </c>
      <c r="C327" s="94">
        <v>129</v>
      </c>
      <c r="D327" s="94">
        <v>0</v>
      </c>
      <c r="E327" s="94">
        <v>12</v>
      </c>
      <c r="F327" s="92">
        <v>501201</v>
      </c>
      <c r="G327" s="76" t="str">
        <f>IFERROR(INDEX([1]物品基础表!$A:$A,MATCH(F327,[1]物品基础表!$B:$B,0)),"")</f>
        <v>橙神力1级</v>
      </c>
      <c r="H327" s="92">
        <v>1</v>
      </c>
      <c r="I327" s="92">
        <v>2300</v>
      </c>
      <c r="J327" s="99">
        <f t="shared" si="6"/>
        <v>2300</v>
      </c>
      <c r="K327" s="92"/>
      <c r="L327" s="93" t="s">
        <v>1392</v>
      </c>
      <c r="M327" s="92"/>
      <c r="N327" s="92">
        <v>3</v>
      </c>
      <c r="O327" s="92"/>
      <c r="P327" s="92"/>
    </row>
    <row r="328" spans="1:16">
      <c r="A328" s="39" t="str">
        <f>INDEX([2]活动总表!$A$8:$A$429,MATCH(B328,[2]活动总表!$B$8:$B$429,0))</f>
        <v>节日商店(60天以内</v>
      </c>
      <c r="B328" s="93">
        <v>367</v>
      </c>
      <c r="C328" s="94">
        <v>130</v>
      </c>
      <c r="D328" s="94">
        <v>0</v>
      </c>
      <c r="E328" s="94">
        <v>12</v>
      </c>
      <c r="F328" s="92">
        <v>502201</v>
      </c>
      <c r="G328" s="76" t="str">
        <f>IFERROR(INDEX([1]物品基础表!$A:$A,MATCH(F328,[1]物品基础表!$B:$B,0)),"")</f>
        <v>橙金汤1级</v>
      </c>
      <c r="H328" s="92">
        <v>1</v>
      </c>
      <c r="I328" s="92">
        <v>2300</v>
      </c>
      <c r="J328" s="99">
        <f t="shared" si="6"/>
        <v>2300</v>
      </c>
      <c r="K328" s="92"/>
      <c r="L328" s="93" t="s">
        <v>1392</v>
      </c>
      <c r="M328" s="92"/>
      <c r="N328" s="92">
        <v>3</v>
      </c>
      <c r="O328" s="92"/>
      <c r="P328" s="92"/>
    </row>
    <row r="329" spans="1:16">
      <c r="A329" s="39" t="str">
        <f>INDEX([2]活动总表!$A$8:$A$429,MATCH(B329,[2]活动总表!$B$8:$B$429,0))</f>
        <v>节日商店(60天以内</v>
      </c>
      <c r="B329" s="93">
        <v>367</v>
      </c>
      <c r="C329" s="94">
        <v>131</v>
      </c>
      <c r="D329" s="94">
        <v>0</v>
      </c>
      <c r="E329" s="94">
        <v>12</v>
      </c>
      <c r="F329" s="92">
        <v>503201</v>
      </c>
      <c r="G329" s="76" t="str">
        <f>IFERROR(INDEX([1]物品基础表!$A:$A,MATCH(F329,[1]物品基础表!$B:$B,0)),"")</f>
        <v>橙长生1级</v>
      </c>
      <c r="H329" s="92">
        <v>1</v>
      </c>
      <c r="I329" s="92">
        <v>2300</v>
      </c>
      <c r="J329" s="99">
        <f t="shared" si="6"/>
        <v>2300</v>
      </c>
      <c r="K329" s="92"/>
      <c r="L329" s="93" t="s">
        <v>1392</v>
      </c>
      <c r="M329" s="92"/>
      <c r="N329" s="92">
        <v>3</v>
      </c>
      <c r="O329" s="92"/>
      <c r="P329" s="92"/>
    </row>
    <row r="330" spans="1:16">
      <c r="A330" s="39" t="str">
        <f>INDEX([2]活动总表!$A$8:$A$429,MATCH(B330,[2]活动总表!$B$8:$B$429,0))</f>
        <v>节日商店(60天以内</v>
      </c>
      <c r="B330" s="93">
        <v>367</v>
      </c>
      <c r="C330" s="94">
        <v>132</v>
      </c>
      <c r="D330" s="94">
        <v>0</v>
      </c>
      <c r="E330" s="94">
        <v>12</v>
      </c>
      <c r="F330" s="92">
        <v>504201</v>
      </c>
      <c r="G330" s="76" t="str">
        <f>IFERROR(INDEX([1]物品基础表!$A:$A,MATCH(F330,[1]物品基础表!$B:$B,0)),"")</f>
        <v>橙光武1级</v>
      </c>
      <c r="H330" s="92">
        <v>1</v>
      </c>
      <c r="I330" s="92">
        <v>3000</v>
      </c>
      <c r="J330" s="99">
        <f t="shared" si="6"/>
        <v>3000</v>
      </c>
      <c r="K330" s="92"/>
      <c r="L330" s="93" t="s">
        <v>1392</v>
      </c>
      <c r="M330" s="92"/>
      <c r="N330" s="92">
        <v>3</v>
      </c>
      <c r="O330" s="92"/>
      <c r="P330" s="92"/>
    </row>
    <row r="331" spans="1:16">
      <c r="A331" s="39" t="str">
        <f>INDEX([2]活动总表!$A$8:$A$429,MATCH(B331,[2]活动总表!$B$8:$B$429,0))</f>
        <v>节日商店(60天以内</v>
      </c>
      <c r="B331" s="93">
        <v>367</v>
      </c>
      <c r="C331" s="94">
        <v>133</v>
      </c>
      <c r="D331" s="94">
        <v>0</v>
      </c>
      <c r="E331" s="94">
        <v>12</v>
      </c>
      <c r="F331" s="92">
        <v>505201</v>
      </c>
      <c r="G331" s="76" t="str">
        <f>IFERROR(INDEX([1]物品基础表!$A:$A,MATCH(F331,[1]物品基础表!$B:$B,0)),"")</f>
        <v>橙神盔1级</v>
      </c>
      <c r="H331" s="92">
        <v>1</v>
      </c>
      <c r="I331" s="92">
        <v>900</v>
      </c>
      <c r="J331" s="99">
        <f t="shared" si="6"/>
        <v>900</v>
      </c>
      <c r="K331" s="92"/>
      <c r="L331" s="93" t="s">
        <v>1392</v>
      </c>
      <c r="M331" s="92"/>
      <c r="N331" s="92">
        <v>3</v>
      </c>
      <c r="O331" s="92"/>
      <c r="P331" s="92"/>
    </row>
    <row r="332" spans="1:16">
      <c r="A332" s="39" t="str">
        <f>INDEX([2]活动总表!$A$8:$A$429,MATCH(B332,[2]活动总表!$B$8:$B$429,0))</f>
        <v>节日商店(60天以内</v>
      </c>
      <c r="B332" s="93">
        <v>367</v>
      </c>
      <c r="C332" s="94">
        <v>134</v>
      </c>
      <c r="D332" s="94">
        <v>0</v>
      </c>
      <c r="E332" s="94">
        <v>12</v>
      </c>
      <c r="F332" s="92">
        <v>506201</v>
      </c>
      <c r="G332" s="76" t="str">
        <f>IFERROR(INDEX([1]物品基础表!$A:$A,MATCH(F332,[1]物品基础表!$B:$B,0)),"")</f>
        <v>橙固甲1级</v>
      </c>
      <c r="H332" s="92">
        <v>1</v>
      </c>
      <c r="I332" s="92">
        <v>1900</v>
      </c>
      <c r="J332" s="99">
        <f t="shared" si="6"/>
        <v>1900</v>
      </c>
      <c r="K332" s="92"/>
      <c r="L332" s="93" t="s">
        <v>1392</v>
      </c>
      <c r="M332" s="92"/>
      <c r="N332" s="92">
        <v>3</v>
      </c>
      <c r="O332" s="92"/>
      <c r="P332" s="92"/>
    </row>
    <row r="333" spans="1:16">
      <c r="A333" s="39" t="str">
        <f>INDEX([2]活动总表!$A$8:$A$429,MATCH(B333,[2]活动总表!$B$8:$B$429,0))</f>
        <v>节日商店(60天以内</v>
      </c>
      <c r="B333" s="93">
        <v>367</v>
      </c>
      <c r="C333" s="94">
        <v>135</v>
      </c>
      <c r="D333" s="94">
        <v>0</v>
      </c>
      <c r="E333" s="94">
        <v>12</v>
      </c>
      <c r="F333" s="92">
        <v>507201</v>
      </c>
      <c r="G333" s="76" t="str">
        <f>IFERROR(INDEX([1]物品基础表!$A:$A,MATCH(F333,[1]物品基础表!$B:$B,0)),"")</f>
        <v>橙灵链1级</v>
      </c>
      <c r="H333" s="92">
        <v>1</v>
      </c>
      <c r="I333" s="92">
        <v>900</v>
      </c>
      <c r="J333" s="99">
        <f t="shared" si="6"/>
        <v>900</v>
      </c>
      <c r="K333" s="92"/>
      <c r="L333" s="93" t="s">
        <v>1392</v>
      </c>
      <c r="M333" s="92"/>
      <c r="N333" s="92">
        <v>3</v>
      </c>
      <c r="O333" s="92"/>
      <c r="P333" s="92"/>
    </row>
    <row r="334" spans="1:16">
      <c r="A334" s="39" t="str">
        <f>INDEX([2]活动总表!$A$8:$A$429,MATCH(B334,[2]活动总表!$B$8:$B$429,0))</f>
        <v>节日商店(60天以内</v>
      </c>
      <c r="B334" s="93">
        <v>367</v>
      </c>
      <c r="C334" s="94">
        <v>136</v>
      </c>
      <c r="D334" s="94">
        <v>0</v>
      </c>
      <c r="E334" s="94">
        <v>12</v>
      </c>
      <c r="F334" s="92">
        <v>508201</v>
      </c>
      <c r="G334" s="76" t="str">
        <f>IFERROR(INDEX([1]物品基础表!$A:$A,MATCH(F334,[1]物品基础表!$B:$B,0)),"")</f>
        <v>橙地镯1级</v>
      </c>
      <c r="H334" s="92">
        <v>1</v>
      </c>
      <c r="I334" s="92">
        <v>900</v>
      </c>
      <c r="J334" s="99">
        <f t="shared" si="6"/>
        <v>900</v>
      </c>
      <c r="K334" s="92"/>
      <c r="L334" s="93" t="s">
        <v>1392</v>
      </c>
      <c r="M334" s="92"/>
      <c r="N334" s="92">
        <v>3</v>
      </c>
      <c r="O334" s="92"/>
      <c r="P334" s="92"/>
    </row>
    <row r="335" spans="1:16">
      <c r="A335" s="39" t="str">
        <f>INDEX([2]活动总表!$A$8:$A$429,MATCH(B335,[2]活动总表!$B$8:$B$429,0))</f>
        <v>节日商店(60天以内</v>
      </c>
      <c r="B335" s="93">
        <v>367</v>
      </c>
      <c r="C335" s="94">
        <v>137</v>
      </c>
      <c r="D335" s="94">
        <v>0</v>
      </c>
      <c r="E335" s="94">
        <v>12</v>
      </c>
      <c r="F335" s="92">
        <v>509201</v>
      </c>
      <c r="G335" s="76" t="str">
        <f>IFERROR(INDEX([1]物品基础表!$A:$A,MATCH(F335,[1]物品基础表!$B:$B,0)),"")</f>
        <v>橙乾戒1级</v>
      </c>
      <c r="H335" s="92">
        <v>1</v>
      </c>
      <c r="I335" s="92">
        <v>900</v>
      </c>
      <c r="J335" s="99">
        <f t="shared" si="6"/>
        <v>900</v>
      </c>
      <c r="K335" s="92"/>
      <c r="L335" s="93" t="s">
        <v>1392</v>
      </c>
      <c r="M335" s="92"/>
      <c r="N335" s="92">
        <v>3</v>
      </c>
      <c r="O335" s="92"/>
      <c r="P335" s="92"/>
    </row>
    <row r="336" spans="1:16">
      <c r="A336" s="39" t="str">
        <f>INDEX([2]活动总表!$A$8:$A$429,MATCH(B336,[2]活动总表!$B$8:$B$429,0))</f>
        <v>节日商店(60天以内</v>
      </c>
      <c r="B336" s="93">
        <v>367</v>
      </c>
      <c r="C336" s="94">
        <v>138</v>
      </c>
      <c r="D336" s="94">
        <v>0</v>
      </c>
      <c r="E336" s="94">
        <v>12</v>
      </c>
      <c r="F336" s="92">
        <v>510201</v>
      </c>
      <c r="G336" s="76" t="str">
        <f>IFERROR(INDEX([1]物品基础表!$A:$A,MATCH(F336,[1]物品基础表!$B:$B,0)),"")</f>
        <v>橙龙带1级</v>
      </c>
      <c r="H336" s="92">
        <v>1</v>
      </c>
      <c r="I336" s="92">
        <v>900</v>
      </c>
      <c r="J336" s="99">
        <f t="shared" si="6"/>
        <v>900</v>
      </c>
      <c r="K336" s="92"/>
      <c r="L336" s="93" t="s">
        <v>1392</v>
      </c>
      <c r="M336" s="92"/>
      <c r="N336" s="92">
        <v>3</v>
      </c>
      <c r="O336" s="92"/>
      <c r="P336" s="92"/>
    </row>
    <row r="337" spans="1:16">
      <c r="A337" s="39" t="str">
        <f>INDEX([2]活动总表!$A$8:$A$429,MATCH(B337,[2]活动总表!$B$8:$B$429,0))</f>
        <v>节日商店(60天以内</v>
      </c>
      <c r="B337" s="93">
        <v>367</v>
      </c>
      <c r="C337" s="94">
        <v>139</v>
      </c>
      <c r="D337" s="94">
        <v>0</v>
      </c>
      <c r="E337" s="94">
        <v>12</v>
      </c>
      <c r="F337" s="92">
        <v>511201</v>
      </c>
      <c r="G337" s="76" t="str">
        <f>IFERROR(INDEX([1]物品基础表!$A:$A,MATCH(F337,[1]物品基础表!$B:$B,0)),"")</f>
        <v>橙逐日1级</v>
      </c>
      <c r="H337" s="92">
        <v>1</v>
      </c>
      <c r="I337" s="92">
        <v>900</v>
      </c>
      <c r="J337" s="99">
        <f t="shared" si="6"/>
        <v>900</v>
      </c>
      <c r="K337" s="92"/>
      <c r="L337" s="93" t="s">
        <v>1392</v>
      </c>
      <c r="M337" s="92"/>
      <c r="N337" s="92">
        <v>3</v>
      </c>
      <c r="O337" s="92"/>
      <c r="P337" s="92"/>
    </row>
    <row r="338" spans="1:16">
      <c r="A338" s="39" t="str">
        <f>INDEX([2]活动总表!$A$8:$A$429,MATCH(B338,[2]活动总表!$B$8:$B$429,0))</f>
        <v>节日商店(60天以内</v>
      </c>
      <c r="B338" s="93">
        <v>367</v>
      </c>
      <c r="C338" s="94">
        <v>140</v>
      </c>
      <c r="D338" s="94">
        <v>0</v>
      </c>
      <c r="E338" s="94">
        <v>12</v>
      </c>
      <c r="F338" s="92">
        <v>512201</v>
      </c>
      <c r="G338" s="76" t="str">
        <f>IFERROR(INDEX([1]物品基础表!$A:$A,MATCH(F338,[1]物品基础表!$B:$B,0)),"")</f>
        <v>橙豁免1级</v>
      </c>
      <c r="H338" s="92">
        <v>1</v>
      </c>
      <c r="I338" s="92">
        <v>2800</v>
      </c>
      <c r="J338" s="99">
        <f t="shared" si="6"/>
        <v>2800</v>
      </c>
      <c r="K338" s="92"/>
      <c r="L338" s="93" t="s">
        <v>1392</v>
      </c>
      <c r="M338" s="92"/>
      <c r="N338" s="92">
        <v>3</v>
      </c>
      <c r="O338" s="92"/>
      <c r="P338" s="92"/>
    </row>
    <row r="339" spans="1:16">
      <c r="A339" s="39" t="str">
        <f>INDEX([2]活动总表!$A$8:$A$429,MATCH(B339,[2]活动总表!$B$8:$B$429,0))</f>
        <v>节日商店(60天以内</v>
      </c>
      <c r="B339" s="93">
        <v>367</v>
      </c>
      <c r="C339" s="94">
        <v>141</v>
      </c>
      <c r="D339" s="94">
        <v>0</v>
      </c>
      <c r="E339" s="94">
        <v>12</v>
      </c>
      <c r="F339" s="92">
        <v>513201</v>
      </c>
      <c r="G339" s="76" t="str">
        <f>IFERROR(INDEX([1]物品基础表!$A:$A,MATCH(F339,[1]物品基础表!$B:$B,0)),"")</f>
        <v>橙杀戮1级</v>
      </c>
      <c r="H339" s="92">
        <v>1</v>
      </c>
      <c r="I339" s="92">
        <v>2800</v>
      </c>
      <c r="J339" s="99">
        <f t="shared" si="6"/>
        <v>2800</v>
      </c>
      <c r="K339" s="92"/>
      <c r="L339" s="93" t="s">
        <v>1392</v>
      </c>
      <c r="M339" s="92"/>
      <c r="N339" s="92">
        <v>3</v>
      </c>
      <c r="O339" s="92"/>
      <c r="P339" s="92"/>
    </row>
    <row r="340" spans="1:16">
      <c r="A340" s="39" t="str">
        <f>INDEX([2]活动总表!$A$8:$A$429,MATCH(B340,[2]活动总表!$B$8:$B$429,0))</f>
        <v>节日商店(60天以内</v>
      </c>
      <c r="B340" s="93">
        <v>367</v>
      </c>
      <c r="C340" s="94">
        <v>142</v>
      </c>
      <c r="D340" s="94">
        <v>0</v>
      </c>
      <c r="E340" s="94">
        <v>12</v>
      </c>
      <c r="F340" s="92">
        <v>514201</v>
      </c>
      <c r="G340" s="76" t="str">
        <f>IFERROR(INDEX([1]物品基础表!$A:$A,MATCH(F340,[1]物品基础表!$B:$B,0)),"")</f>
        <v>橙祝福1级</v>
      </c>
      <c r="H340" s="92">
        <v>1</v>
      </c>
      <c r="I340" s="92">
        <v>800</v>
      </c>
      <c r="J340" s="99">
        <f t="shared" si="6"/>
        <v>800</v>
      </c>
      <c r="K340" s="92"/>
      <c r="L340" s="93" t="s">
        <v>1392</v>
      </c>
      <c r="M340" s="92"/>
      <c r="N340" s="92">
        <v>3</v>
      </c>
      <c r="O340" s="92"/>
      <c r="P340" s="92"/>
    </row>
    <row r="341" spans="1:16">
      <c r="A341" s="39" t="str">
        <f>INDEX([2]活动总表!$A$8:$A$429,MATCH(B341,[2]活动总表!$B$8:$B$429,0))</f>
        <v>节日商店(60天以内</v>
      </c>
      <c r="B341" s="93">
        <v>367</v>
      </c>
      <c r="C341" s="94">
        <v>143</v>
      </c>
      <c r="D341" s="94">
        <v>0</v>
      </c>
      <c r="E341" s="94">
        <v>12</v>
      </c>
      <c r="F341" s="92">
        <v>515201</v>
      </c>
      <c r="G341" s="76" t="str">
        <f>IFERROR(INDEX([1]物品基础表!$A:$A,MATCH(F341,[1]物品基础表!$B:$B,0)),"")</f>
        <v>橙财神1级</v>
      </c>
      <c r="H341" s="92">
        <v>1</v>
      </c>
      <c r="I341" s="92">
        <v>800</v>
      </c>
      <c r="J341" s="99">
        <f t="shared" si="6"/>
        <v>800</v>
      </c>
      <c r="K341" s="92"/>
      <c r="L341" s="93" t="s">
        <v>1392</v>
      </c>
      <c r="M341" s="92"/>
      <c r="N341" s="92">
        <v>3</v>
      </c>
      <c r="O341" s="92"/>
      <c r="P341" s="92"/>
    </row>
    <row r="342" spans="1:16">
      <c r="A342" s="39" t="str">
        <f>INDEX([2]活动总表!$A$8:$A$429,MATCH(B342,[2]活动总表!$B$8:$B$429,0))</f>
        <v>节日商店(60天以内</v>
      </c>
      <c r="B342" s="93">
        <v>367</v>
      </c>
      <c r="C342" s="94">
        <v>144</v>
      </c>
      <c r="D342" s="94">
        <v>0</v>
      </c>
      <c r="E342" s="94">
        <v>12</v>
      </c>
      <c r="F342" s="92">
        <v>516201</v>
      </c>
      <c r="G342" s="76" t="str">
        <f>IFERROR(INDEX([1]物品基础表!$A:$A,MATCH(F342,[1]物品基础表!$B:$B,0)),"")</f>
        <v>橙强攻1级</v>
      </c>
      <c r="H342" s="92">
        <v>1</v>
      </c>
      <c r="I342" s="92">
        <v>2300</v>
      </c>
      <c r="J342" s="99">
        <f t="shared" si="6"/>
        <v>2300</v>
      </c>
      <c r="K342" s="92"/>
      <c r="L342" s="93" t="s">
        <v>1392</v>
      </c>
      <c r="M342" s="92"/>
      <c r="N342" s="92">
        <v>3</v>
      </c>
      <c r="O342" s="92"/>
      <c r="P342" s="92"/>
    </row>
    <row r="343" spans="1:16">
      <c r="A343" s="39" t="str">
        <f>INDEX([2]活动总表!$A$8:$A$429,MATCH(B343,[2]活动总表!$B$8:$B$429,0))</f>
        <v>节日商店(60天以内</v>
      </c>
      <c r="B343" s="93">
        <v>367</v>
      </c>
      <c r="C343" s="94">
        <v>145</v>
      </c>
      <c r="D343" s="94">
        <v>0</v>
      </c>
      <c r="E343" s="94">
        <v>12</v>
      </c>
      <c r="F343" s="92">
        <v>517201</v>
      </c>
      <c r="G343" s="76" t="str">
        <f>IFERROR(INDEX([1]物品基础表!$A:$A,MATCH(F343,[1]物品基础表!$B:$B,0)),"")</f>
        <v>橙毁灭1级</v>
      </c>
      <c r="H343" s="92">
        <v>1</v>
      </c>
      <c r="I343" s="92">
        <v>2300</v>
      </c>
      <c r="J343" s="99">
        <f t="shared" si="6"/>
        <v>2300</v>
      </c>
      <c r="K343" s="92"/>
      <c r="L343" s="93" t="s">
        <v>1392</v>
      </c>
      <c r="M343" s="92"/>
      <c r="N343" s="92">
        <v>3</v>
      </c>
      <c r="O343" s="92"/>
      <c r="P343" s="92"/>
    </row>
    <row r="344" spans="1:16">
      <c r="A344" s="39" t="str">
        <f>INDEX([2]活动总表!$A$8:$A$429,MATCH(B344,[2]活动总表!$B$8:$B$429,0))</f>
        <v>节日商店(60天以内</v>
      </c>
      <c r="B344" s="93">
        <v>367</v>
      </c>
      <c r="C344" s="94">
        <v>146</v>
      </c>
      <c r="D344" s="94">
        <v>0</v>
      </c>
      <c r="E344" s="94">
        <v>12</v>
      </c>
      <c r="F344" s="92">
        <v>518201</v>
      </c>
      <c r="G344" s="76" t="str">
        <f>IFERROR(INDEX([1]物品基础表!$A:$A,MATCH(F344,[1]物品基础表!$B:$B,0)),"")</f>
        <v>橙泰坦1级</v>
      </c>
      <c r="H344" s="92">
        <v>1</v>
      </c>
      <c r="I344" s="92">
        <v>2300</v>
      </c>
      <c r="J344" s="99">
        <f t="shared" si="6"/>
        <v>2300</v>
      </c>
      <c r="K344" s="92"/>
      <c r="L344" s="93" t="s">
        <v>1392</v>
      </c>
      <c r="M344" s="92"/>
      <c r="N344" s="92">
        <v>3</v>
      </c>
      <c r="O344" s="92"/>
      <c r="P344" s="92"/>
    </row>
    <row r="345" spans="1:16">
      <c r="A345" s="39" t="str">
        <f>INDEX([2]活动总表!$A$8:$A$429,MATCH(B345,[2]活动总表!$B$8:$B$429,0))</f>
        <v>节日商店(60天以内</v>
      </c>
      <c r="B345" s="93">
        <v>367</v>
      </c>
      <c r="C345" s="94">
        <v>147</v>
      </c>
      <c r="D345" s="94">
        <v>0</v>
      </c>
      <c r="E345" s="94">
        <v>12</v>
      </c>
      <c r="F345" s="92">
        <v>200302</v>
      </c>
      <c r="G345" s="76" t="str">
        <f>IFERROR(INDEX([1]物品基础表!$A:$A,MATCH(F345,[1]物品基础表!$B:$B,0)),"")</f>
        <v>传世至宝</v>
      </c>
      <c r="H345" s="92">
        <v>1</v>
      </c>
      <c r="I345" s="92">
        <v>50000</v>
      </c>
      <c r="J345" s="99">
        <f t="shared" si="6"/>
        <v>50000</v>
      </c>
      <c r="K345" s="92"/>
      <c r="L345" s="93" t="s">
        <v>1390</v>
      </c>
      <c r="M345" s="92"/>
      <c r="N345" s="92">
        <v>5</v>
      </c>
      <c r="O345" s="92"/>
      <c r="P345" s="92"/>
    </row>
    <row r="346" spans="1:16">
      <c r="A346" s="39" t="str">
        <f>INDEX([2]活动总表!$A$8:$A$429,MATCH(B346,[2]活动总表!$B$8:$B$429,0))</f>
        <v>节日商店(60天以内</v>
      </c>
      <c r="B346" s="93">
        <v>367</v>
      </c>
      <c r="C346" s="94">
        <v>148</v>
      </c>
      <c r="D346" s="94">
        <v>0</v>
      </c>
      <c r="E346" s="94">
        <v>12</v>
      </c>
      <c r="F346" s="92">
        <v>204132</v>
      </c>
      <c r="G346" s="76" t="str">
        <f>IFERROR(INDEX([1]物品基础表!$A:$A,MATCH(F346,[1]物品基础表!$B:$B,0)),"")</f>
        <v>橙色图鉴包·倾国倾城</v>
      </c>
      <c r="H346" s="92">
        <v>1</v>
      </c>
      <c r="I346" s="92">
        <v>3900</v>
      </c>
      <c r="J346" s="99">
        <f t="shared" si="6"/>
        <v>3900</v>
      </c>
      <c r="K346" s="92"/>
      <c r="L346" s="93" t="s">
        <v>1389</v>
      </c>
      <c r="M346" s="92"/>
      <c r="N346" s="92">
        <v>3</v>
      </c>
      <c r="O346" s="92"/>
      <c r="P346" s="92"/>
    </row>
    <row r="347" spans="1:16">
      <c r="A347" s="39" t="str">
        <f>INDEX([2]活动总表!$A$8:$A$429,MATCH(B347,[2]活动总表!$B$8:$B$429,0))</f>
        <v>节日商店(60天以内</v>
      </c>
      <c r="B347" s="93">
        <v>367</v>
      </c>
      <c r="C347" s="94">
        <v>149</v>
      </c>
      <c r="D347" s="94">
        <v>0</v>
      </c>
      <c r="E347" s="94">
        <v>12</v>
      </c>
      <c r="F347" s="92">
        <v>204133</v>
      </c>
      <c r="G347" s="76" t="str">
        <f>IFERROR(INDEX([1]物品基础表!$A:$A,MATCH(F347,[1]物品基础表!$B:$B,0)),"")</f>
        <v>红色图鉴包·倾国倾城</v>
      </c>
      <c r="H347" s="92">
        <v>1</v>
      </c>
      <c r="I347" s="92">
        <v>8000</v>
      </c>
      <c r="J347" s="99">
        <f t="shared" si="6"/>
        <v>8000</v>
      </c>
      <c r="K347" s="92"/>
      <c r="L347" s="93" t="s">
        <v>1389</v>
      </c>
      <c r="M347" s="92"/>
      <c r="N347" s="92">
        <v>3</v>
      </c>
      <c r="O347" s="92"/>
      <c r="P347" s="92"/>
    </row>
    <row r="348" spans="1:16">
      <c r="A348" s="39" t="str">
        <f>INDEX([2]活动总表!$A$8:$A$429,MATCH(B348,[2]活动总表!$B$8:$B$429,0))</f>
        <v>节日商店(60天以内</v>
      </c>
      <c r="B348" s="93">
        <v>367</v>
      </c>
      <c r="C348" s="94">
        <v>150</v>
      </c>
      <c r="D348" s="94">
        <v>0</v>
      </c>
      <c r="E348" s="94">
        <v>12</v>
      </c>
      <c r="F348" s="92">
        <v>204134</v>
      </c>
      <c r="G348" s="76" t="str">
        <f>IFERROR(INDEX([1]物品基础表!$A:$A,MATCH(F348,[1]物品基础表!$B:$B,0)),"")</f>
        <v>金色图鉴包·倾国倾城</v>
      </c>
      <c r="H348" s="92">
        <v>1</v>
      </c>
      <c r="I348" s="92">
        <v>15000</v>
      </c>
      <c r="J348" s="99">
        <f t="shared" si="6"/>
        <v>15000</v>
      </c>
      <c r="K348" s="92"/>
      <c r="L348" s="93" t="s">
        <v>1389</v>
      </c>
      <c r="M348" s="92"/>
      <c r="N348" s="92">
        <v>3</v>
      </c>
      <c r="O348" s="92"/>
      <c r="P348" s="92"/>
    </row>
    <row r="349" spans="1:16">
      <c r="A349" s="39" t="str">
        <f>INDEX([2]活动总表!$A$8:$A$429,MATCH(B349,[2]活动总表!$B$8:$B$429,0))</f>
        <v>节日商店(60天以内</v>
      </c>
      <c r="B349" s="93">
        <v>367</v>
      </c>
      <c r="C349" s="94">
        <v>151</v>
      </c>
      <c r="D349" s="94">
        <v>0</v>
      </c>
      <c r="E349" s="94">
        <v>12</v>
      </c>
      <c r="F349" s="92">
        <v>205005</v>
      </c>
      <c r="G349" s="76" t="str">
        <f>IFERROR(INDEX([1]物品基础表!$A:$A,MATCH(F349,[1]物品基础表!$B:$B,0)),"")</f>
        <v>火德星君</v>
      </c>
      <c r="H349" s="92">
        <v>1</v>
      </c>
      <c r="I349" s="92">
        <v>100000</v>
      </c>
      <c r="J349" s="99">
        <f t="shared" si="6"/>
        <v>100000</v>
      </c>
      <c r="K349" s="92"/>
      <c r="L349" s="93" t="s">
        <v>1388</v>
      </c>
      <c r="M349" s="92"/>
      <c r="N349" s="92">
        <v>5</v>
      </c>
      <c r="O349" s="92"/>
      <c r="P349" s="92"/>
    </row>
    <row r="350" spans="1:16">
      <c r="A350" s="39" t="str">
        <f>INDEX([2]活动总表!$A$8:$A$429,MATCH(B350,[2]活动总表!$B$8:$B$429,0))</f>
        <v>节日商店(60天以内</v>
      </c>
      <c r="B350" s="93">
        <v>367</v>
      </c>
      <c r="C350" s="94">
        <v>152</v>
      </c>
      <c r="D350" s="94">
        <v>0</v>
      </c>
      <c r="E350" s="94">
        <v>12</v>
      </c>
      <c r="F350" s="92">
        <v>200910</v>
      </c>
      <c r="G350" s="76" t="str">
        <f>IFERROR(INDEX([1]物品基础表!$A:$A,MATCH(F350,[1]物品基础表!$B:$B,0)),"")</f>
        <v>紫色圣物宝箱</v>
      </c>
      <c r="H350" s="92">
        <v>1</v>
      </c>
      <c r="I350" s="92">
        <v>1500</v>
      </c>
      <c r="J350" s="99">
        <f t="shared" si="6"/>
        <v>1500</v>
      </c>
      <c r="K350" s="92"/>
      <c r="L350" s="93" t="s">
        <v>1393</v>
      </c>
      <c r="M350" s="92"/>
      <c r="N350" s="92">
        <v>2</v>
      </c>
      <c r="O350" s="92"/>
      <c r="P350" s="92"/>
    </row>
    <row r="351" spans="1:16">
      <c r="A351" s="39" t="str">
        <f>INDEX([2]活动总表!$A$8:$A$429,MATCH(B351,[2]活动总表!$B$8:$B$429,0))</f>
        <v>节日商店(60天以内</v>
      </c>
      <c r="B351" s="93">
        <v>367</v>
      </c>
      <c r="C351" s="94">
        <v>153</v>
      </c>
      <c r="D351" s="94">
        <v>0</v>
      </c>
      <c r="E351" s="94">
        <v>12</v>
      </c>
      <c r="F351" s="92">
        <v>200911</v>
      </c>
      <c r="G351" s="76" t="str">
        <f>IFERROR(INDEX([1]物品基础表!$A:$A,MATCH(F351,[1]物品基础表!$B:$B,0)),"")</f>
        <v>橙色圣物宝箱</v>
      </c>
      <c r="H351" s="92">
        <v>1</v>
      </c>
      <c r="I351" s="92">
        <v>6700</v>
      </c>
      <c r="J351" s="99">
        <f t="shared" si="6"/>
        <v>6700</v>
      </c>
      <c r="K351" s="92"/>
      <c r="L351" s="93" t="s">
        <v>1393</v>
      </c>
      <c r="M351" s="92"/>
      <c r="N351" s="92">
        <v>2</v>
      </c>
      <c r="O351" s="92"/>
      <c r="P351" s="92"/>
    </row>
    <row r="352" spans="1:16">
      <c r="A352" s="39" t="str">
        <f>INDEX([2]活动总表!$A$8:$A$429,MATCH(B352,[2]活动总表!$B$8:$B$429,0))</f>
        <v>节日商店(60天以内</v>
      </c>
      <c r="B352" s="93">
        <v>367</v>
      </c>
      <c r="C352" s="94">
        <v>154</v>
      </c>
      <c r="D352" s="94">
        <v>0</v>
      </c>
      <c r="E352" s="94">
        <v>12</v>
      </c>
      <c r="F352" s="92">
        <v>200912</v>
      </c>
      <c r="G352" s="76" t="str">
        <f>IFERROR(INDEX([1]物品基础表!$A:$A,MATCH(F352,[1]物品基础表!$B:$B,0)),"")</f>
        <v>红色圣物宝箱</v>
      </c>
      <c r="H352" s="92">
        <v>1</v>
      </c>
      <c r="I352" s="92">
        <v>15000</v>
      </c>
      <c r="J352" s="99">
        <f t="shared" si="6"/>
        <v>15000</v>
      </c>
      <c r="K352" s="92"/>
      <c r="L352" s="93" t="s">
        <v>1393</v>
      </c>
      <c r="M352" s="92"/>
      <c r="N352" s="92">
        <v>2</v>
      </c>
      <c r="O352" s="92"/>
      <c r="P352" s="92"/>
    </row>
    <row r="353" spans="1:16">
      <c r="A353" s="39" t="str">
        <f>INDEX([2]活动总表!$A$8:$A$429,MATCH(B353,[2]活动总表!$B$8:$B$429,0))</f>
        <v>节日商店(60天以内</v>
      </c>
      <c r="B353" s="93">
        <v>367</v>
      </c>
      <c r="C353" s="94">
        <v>155</v>
      </c>
      <c r="D353" s="94">
        <v>0</v>
      </c>
      <c r="E353" s="94">
        <v>12</v>
      </c>
      <c r="F353" s="92">
        <v>300413</v>
      </c>
      <c r="G353" s="76" t="str">
        <f>IFERROR(INDEX([1]物品基础表!$A:$A,MATCH(F353,[1]物品基础表!$B:$B,0)),"")</f>
        <v>战士13技能红圣物</v>
      </c>
      <c r="H353" s="92">
        <v>1</v>
      </c>
      <c r="I353" s="92">
        <v>25000</v>
      </c>
      <c r="J353" s="99">
        <f t="shared" si="6"/>
        <v>25000</v>
      </c>
      <c r="K353" s="92"/>
      <c r="L353" s="93" t="s">
        <v>1390</v>
      </c>
      <c r="M353" s="92"/>
      <c r="N353" s="92">
        <v>5</v>
      </c>
      <c r="O353" s="92"/>
      <c r="P353" s="92"/>
    </row>
    <row r="354" spans="1:16">
      <c r="A354" s="39" t="str">
        <f>INDEX([2]活动总表!$A$8:$A$429,MATCH(B354,[2]活动总表!$B$8:$B$429,0))</f>
        <v>节日商店(60天以内</v>
      </c>
      <c r="B354" s="93">
        <v>367</v>
      </c>
      <c r="C354" s="94">
        <v>156</v>
      </c>
      <c r="D354" s="94">
        <v>0</v>
      </c>
      <c r="E354" s="94">
        <v>12</v>
      </c>
      <c r="F354" s="92">
        <v>301413</v>
      </c>
      <c r="G354" s="76" t="str">
        <f>IFERROR(INDEX([1]物品基础表!$A:$A,MATCH(F354,[1]物品基础表!$B:$B,0)),"")</f>
        <v>法师13技能红圣物</v>
      </c>
      <c r="H354" s="92">
        <v>1</v>
      </c>
      <c r="I354" s="92">
        <v>25000</v>
      </c>
      <c r="J354" s="99">
        <f t="shared" si="6"/>
        <v>25000</v>
      </c>
      <c r="K354" s="92"/>
      <c r="L354" s="93" t="s">
        <v>1390</v>
      </c>
      <c r="M354" s="92"/>
      <c r="N354" s="92">
        <v>5</v>
      </c>
      <c r="O354" s="92"/>
      <c r="P354" s="92"/>
    </row>
    <row r="355" spans="1:16">
      <c r="A355" s="39" t="str">
        <f>INDEX([2]活动总表!$A$8:$A$429,MATCH(B355,[2]活动总表!$B$8:$B$429,0))</f>
        <v>节日商店(60天以内</v>
      </c>
      <c r="B355" s="93">
        <v>367</v>
      </c>
      <c r="C355" s="94">
        <v>157</v>
      </c>
      <c r="D355" s="94">
        <v>0</v>
      </c>
      <c r="E355" s="94">
        <v>12</v>
      </c>
      <c r="F355" s="92">
        <v>302413</v>
      </c>
      <c r="G355" s="76" t="str">
        <f>IFERROR(INDEX([1]物品基础表!$A:$A,MATCH(F355,[1]物品基础表!$B:$B,0)),"")</f>
        <v>道士13技能红圣物</v>
      </c>
      <c r="H355" s="92">
        <v>1</v>
      </c>
      <c r="I355" s="92">
        <v>25000</v>
      </c>
      <c r="J355" s="99">
        <f t="shared" si="6"/>
        <v>25000</v>
      </c>
      <c r="K355" s="92"/>
      <c r="L355" s="93" t="s">
        <v>1394</v>
      </c>
      <c r="M355" s="92"/>
      <c r="N355" s="92">
        <v>5</v>
      </c>
      <c r="O355" s="92"/>
      <c r="P355" s="92"/>
    </row>
    <row r="356" spans="1:16">
      <c r="A356" s="39" t="str">
        <f>INDEX([2]活动总表!$A$8:$A$429,MATCH(B356,[2]活动总表!$B$8:$B$429,0))</f>
        <v>节日商店(60天以内</v>
      </c>
      <c r="B356" s="93">
        <v>367</v>
      </c>
      <c r="C356" s="94">
        <v>158</v>
      </c>
      <c r="D356" s="94">
        <v>0</v>
      </c>
      <c r="E356" s="94">
        <v>12</v>
      </c>
      <c r="F356" s="92">
        <v>300414</v>
      </c>
      <c r="G356" s="76" t="str">
        <f>IFERROR(INDEX([1]物品基础表!$A:$A,MATCH(F356,[1]物品基础表!$B:$B,0)),"")</f>
        <v>战士14技能红圣物</v>
      </c>
      <c r="H356" s="92">
        <v>1</v>
      </c>
      <c r="I356" s="92">
        <v>50000</v>
      </c>
      <c r="J356" s="99">
        <f t="shared" si="6"/>
        <v>50000</v>
      </c>
      <c r="K356" s="92"/>
      <c r="L356" s="93" t="s">
        <v>1395</v>
      </c>
      <c r="M356" s="92"/>
      <c r="N356" s="92">
        <v>5</v>
      </c>
      <c r="O356" s="92"/>
      <c r="P356" s="92"/>
    </row>
    <row r="357" spans="1:16">
      <c r="A357" s="39" t="str">
        <f>INDEX([2]活动总表!$A$8:$A$429,MATCH(B357,[2]活动总表!$B$8:$B$429,0))</f>
        <v>节日商店(60天以内</v>
      </c>
      <c r="B357" s="93">
        <v>367</v>
      </c>
      <c r="C357" s="94">
        <v>159</v>
      </c>
      <c r="D357" s="94">
        <v>0</v>
      </c>
      <c r="E357" s="94">
        <v>12</v>
      </c>
      <c r="F357" s="92">
        <v>301414</v>
      </c>
      <c r="G357" s="76" t="str">
        <f>IFERROR(INDEX([1]物品基础表!$A:$A,MATCH(F357,[1]物品基础表!$B:$B,0)),"")</f>
        <v>法师14技能红圣物</v>
      </c>
      <c r="H357" s="92">
        <v>1</v>
      </c>
      <c r="I357" s="92">
        <v>50000</v>
      </c>
      <c r="J357" s="99">
        <f t="shared" si="6"/>
        <v>50000</v>
      </c>
      <c r="K357" s="92"/>
      <c r="L357" s="93" t="s">
        <v>1395</v>
      </c>
      <c r="M357" s="92"/>
      <c r="N357" s="92">
        <v>5</v>
      </c>
      <c r="O357" s="92"/>
      <c r="P357" s="92"/>
    </row>
    <row r="358" spans="1:16">
      <c r="A358" s="39" t="str">
        <f>INDEX([2]活动总表!$A$8:$A$429,MATCH(B358,[2]活动总表!$B$8:$B$429,0))</f>
        <v>节日商店(60天以内</v>
      </c>
      <c r="B358" s="93">
        <v>367</v>
      </c>
      <c r="C358" s="94">
        <v>160</v>
      </c>
      <c r="D358" s="94">
        <v>0</v>
      </c>
      <c r="E358" s="94">
        <v>12</v>
      </c>
      <c r="F358" s="92">
        <v>302414</v>
      </c>
      <c r="G358" s="76" t="str">
        <f>IFERROR(INDEX([1]物品基础表!$A:$A,MATCH(F358,[1]物品基础表!$B:$B,0)),"")</f>
        <v>道士14技能红圣物</v>
      </c>
      <c r="H358" s="92">
        <v>1</v>
      </c>
      <c r="I358" s="92">
        <v>50000</v>
      </c>
      <c r="J358" s="99">
        <f t="shared" si="6"/>
        <v>50000</v>
      </c>
      <c r="K358" s="92"/>
      <c r="L358" s="93" t="s">
        <v>1396</v>
      </c>
      <c r="M358" s="92"/>
      <c r="N358" s="92">
        <v>5</v>
      </c>
      <c r="O358" s="92"/>
      <c r="P358" s="92"/>
    </row>
    <row r="359" spans="1:16">
      <c r="A359" s="39" t="str">
        <f>INDEX([2]活动总表!$A$8:$A$429,MATCH(B359,[2]活动总表!$B$8:$B$429,0))</f>
        <v>节日商店(60天以内</v>
      </c>
      <c r="B359" s="93">
        <v>367</v>
      </c>
      <c r="C359" s="94">
        <v>161</v>
      </c>
      <c r="D359" s="92">
        <v>0</v>
      </c>
      <c r="E359" s="92">
        <v>12</v>
      </c>
      <c r="F359" s="92">
        <v>501301</v>
      </c>
      <c r="G359" s="76" t="str">
        <f>IFERROR(INDEX([1]物品基础表!$A:$A,MATCH(F359,[1]物品基础表!$B:$B,0)),"")</f>
        <v>红神力1级</v>
      </c>
      <c r="H359" s="92">
        <v>1</v>
      </c>
      <c r="I359" s="92">
        <v>15000</v>
      </c>
      <c r="J359" s="99">
        <f t="shared" si="6"/>
        <v>15000</v>
      </c>
      <c r="K359" s="92"/>
      <c r="L359" s="92" t="s">
        <v>1397</v>
      </c>
      <c r="M359" s="92"/>
      <c r="N359" s="92" t="s">
        <v>919</v>
      </c>
      <c r="O359" s="92"/>
      <c r="P359" s="92"/>
    </row>
    <row r="360" spans="1:16">
      <c r="A360" s="39" t="str">
        <f>INDEX([2]活动总表!$A$8:$A$429,MATCH(B360,[2]活动总表!$B$8:$B$429,0))</f>
        <v>节日商店(60天以内</v>
      </c>
      <c r="B360" s="93">
        <v>367</v>
      </c>
      <c r="C360" s="94">
        <v>162</v>
      </c>
      <c r="D360" s="92">
        <v>0</v>
      </c>
      <c r="E360" s="92">
        <v>12</v>
      </c>
      <c r="F360" s="92">
        <v>502301</v>
      </c>
      <c r="G360" s="76" t="str">
        <f>IFERROR(INDEX([1]物品基础表!$A:$A,MATCH(F360,[1]物品基础表!$B:$B,0)),"")</f>
        <v>红金汤1级</v>
      </c>
      <c r="H360" s="92">
        <v>1</v>
      </c>
      <c r="I360" s="92">
        <v>15000</v>
      </c>
      <c r="J360" s="99">
        <f t="shared" si="6"/>
        <v>15000</v>
      </c>
      <c r="K360" s="92"/>
      <c r="L360" s="92" t="s">
        <v>1397</v>
      </c>
      <c r="M360" s="92"/>
      <c r="N360" s="92" t="s">
        <v>919</v>
      </c>
      <c r="O360" s="92"/>
      <c r="P360" s="92"/>
    </row>
    <row r="361" spans="1:16">
      <c r="A361" s="39" t="str">
        <f>INDEX([2]活动总表!$A$8:$A$429,MATCH(B361,[2]活动总表!$B$8:$B$429,0))</f>
        <v>节日商店(60天以内</v>
      </c>
      <c r="B361" s="93">
        <v>367</v>
      </c>
      <c r="C361" s="94">
        <v>163</v>
      </c>
      <c r="D361" s="92">
        <v>0</v>
      </c>
      <c r="E361" s="92">
        <v>12</v>
      </c>
      <c r="F361" s="92">
        <v>503301</v>
      </c>
      <c r="G361" s="76" t="str">
        <f>IFERROR(INDEX([1]物品基础表!$A:$A,MATCH(F361,[1]物品基础表!$B:$B,0)),"")</f>
        <v>红长生1级</v>
      </c>
      <c r="H361" s="92">
        <v>1</v>
      </c>
      <c r="I361" s="92">
        <v>15000</v>
      </c>
      <c r="J361" s="99">
        <f t="shared" si="6"/>
        <v>15000</v>
      </c>
      <c r="K361" s="92"/>
      <c r="L361" s="92" t="s">
        <v>1397</v>
      </c>
      <c r="M361" s="92"/>
      <c r="N361" s="92" t="s">
        <v>919</v>
      </c>
      <c r="O361" s="92"/>
      <c r="P361" s="92"/>
    </row>
    <row r="362" spans="1:16">
      <c r="A362" s="39" t="str">
        <f>INDEX([2]活动总表!$A$8:$A$429,MATCH(B362,[2]活动总表!$B$8:$B$429,0))</f>
        <v>节日商店(60天以内</v>
      </c>
      <c r="B362" s="93">
        <v>367</v>
      </c>
      <c r="C362" s="94">
        <v>164</v>
      </c>
      <c r="D362" s="92">
        <v>0</v>
      </c>
      <c r="E362" s="92">
        <v>12</v>
      </c>
      <c r="F362" s="92">
        <v>504301</v>
      </c>
      <c r="G362" s="76" t="str">
        <f>IFERROR(INDEX([1]物品基础表!$A:$A,MATCH(F362,[1]物品基础表!$B:$B,0)),"")</f>
        <v>红光武1级</v>
      </c>
      <c r="H362" s="92">
        <v>1</v>
      </c>
      <c r="I362" s="92">
        <v>20000</v>
      </c>
      <c r="J362" s="99">
        <f t="shared" si="6"/>
        <v>20000</v>
      </c>
      <c r="K362" s="92"/>
      <c r="L362" s="92" t="s">
        <v>1397</v>
      </c>
      <c r="M362" s="92"/>
      <c r="N362" s="92" t="s">
        <v>919</v>
      </c>
      <c r="O362" s="92"/>
      <c r="P362" s="92"/>
    </row>
    <row r="363" spans="1:16">
      <c r="A363" s="39" t="str">
        <f>INDEX([2]活动总表!$A$8:$A$429,MATCH(B363,[2]活动总表!$B$8:$B$429,0))</f>
        <v>节日商店(60天以内</v>
      </c>
      <c r="B363" s="93">
        <v>367</v>
      </c>
      <c r="C363" s="94">
        <v>165</v>
      </c>
      <c r="D363" s="92">
        <v>0</v>
      </c>
      <c r="E363" s="92">
        <v>12</v>
      </c>
      <c r="F363" s="92">
        <v>505301</v>
      </c>
      <c r="G363" s="76" t="str">
        <f>IFERROR(INDEX([1]物品基础表!$A:$A,MATCH(F363,[1]物品基础表!$B:$B,0)),"")</f>
        <v>红神盔1级</v>
      </c>
      <c r="H363" s="92">
        <v>1</v>
      </c>
      <c r="I363" s="92">
        <v>6300</v>
      </c>
      <c r="J363" s="99">
        <f t="shared" si="6"/>
        <v>6300</v>
      </c>
      <c r="K363" s="92"/>
      <c r="L363" s="92" t="s">
        <v>1397</v>
      </c>
      <c r="M363" s="92"/>
      <c r="N363" s="92" t="s">
        <v>919</v>
      </c>
      <c r="O363" s="92"/>
      <c r="P363" s="92"/>
    </row>
    <row r="364" spans="1:16">
      <c r="A364" s="39" t="str">
        <f>INDEX([2]活动总表!$A$8:$A$429,MATCH(B364,[2]活动总表!$B$8:$B$429,0))</f>
        <v>节日商店(60天以内</v>
      </c>
      <c r="B364" s="93">
        <v>367</v>
      </c>
      <c r="C364" s="94">
        <v>166</v>
      </c>
      <c r="D364" s="92">
        <v>0</v>
      </c>
      <c r="E364" s="92">
        <v>12</v>
      </c>
      <c r="F364" s="92">
        <v>506301</v>
      </c>
      <c r="G364" s="76" t="str">
        <f>IFERROR(INDEX([1]物品基础表!$A:$A,MATCH(F364,[1]物品基础表!$B:$B,0)),"")</f>
        <v>红固甲1级</v>
      </c>
      <c r="H364" s="92">
        <v>1</v>
      </c>
      <c r="I364" s="92">
        <v>12500</v>
      </c>
      <c r="J364" s="99">
        <f t="shared" si="6"/>
        <v>12500</v>
      </c>
      <c r="K364" s="92"/>
      <c r="L364" s="92" t="s">
        <v>1397</v>
      </c>
      <c r="M364" s="92"/>
      <c r="N364" s="92" t="s">
        <v>919</v>
      </c>
      <c r="O364" s="92"/>
      <c r="P364" s="92"/>
    </row>
    <row r="365" spans="1:16">
      <c r="A365" s="39" t="str">
        <f>INDEX([2]活动总表!$A$8:$A$429,MATCH(B365,[2]活动总表!$B$8:$B$429,0))</f>
        <v>节日商店(60天以内</v>
      </c>
      <c r="B365" s="93">
        <v>367</v>
      </c>
      <c r="C365" s="94">
        <v>167</v>
      </c>
      <c r="D365" s="92">
        <v>0</v>
      </c>
      <c r="E365" s="92">
        <v>12</v>
      </c>
      <c r="F365" s="92">
        <v>507301</v>
      </c>
      <c r="G365" s="76" t="str">
        <f>IFERROR(INDEX([1]物品基础表!$A:$A,MATCH(F365,[1]物品基础表!$B:$B,0)),"")</f>
        <v>红灵链1级</v>
      </c>
      <c r="H365" s="92">
        <v>1</v>
      </c>
      <c r="I365" s="92">
        <v>6300</v>
      </c>
      <c r="J365" s="99">
        <f t="shared" si="6"/>
        <v>6300</v>
      </c>
      <c r="K365" s="92"/>
      <c r="L365" s="92" t="s">
        <v>1397</v>
      </c>
      <c r="M365" s="92"/>
      <c r="N365" s="92" t="s">
        <v>919</v>
      </c>
      <c r="O365" s="92"/>
      <c r="P365" s="92"/>
    </row>
    <row r="366" spans="1:16">
      <c r="A366" s="39" t="str">
        <f>INDEX([2]活动总表!$A$8:$A$429,MATCH(B366,[2]活动总表!$B$8:$B$429,0))</f>
        <v>节日商店(60天以内</v>
      </c>
      <c r="B366" s="93">
        <v>367</v>
      </c>
      <c r="C366" s="94">
        <v>168</v>
      </c>
      <c r="D366" s="92">
        <v>0</v>
      </c>
      <c r="E366" s="92">
        <v>12</v>
      </c>
      <c r="F366" s="92">
        <v>508301</v>
      </c>
      <c r="G366" s="76" t="str">
        <f>IFERROR(INDEX([1]物品基础表!$A:$A,MATCH(F366,[1]物品基础表!$B:$B,0)),"")</f>
        <v>红地镯1级</v>
      </c>
      <c r="H366" s="92">
        <v>1</v>
      </c>
      <c r="I366" s="92">
        <v>6300</v>
      </c>
      <c r="J366" s="99">
        <f t="shared" si="6"/>
        <v>6300</v>
      </c>
      <c r="K366" s="92"/>
      <c r="L366" s="92" t="s">
        <v>1397</v>
      </c>
      <c r="M366" s="92"/>
      <c r="N366" s="92" t="s">
        <v>919</v>
      </c>
      <c r="O366" s="92"/>
      <c r="P366" s="92"/>
    </row>
    <row r="367" spans="1:16">
      <c r="A367" s="39" t="str">
        <f>INDEX([2]活动总表!$A$8:$A$429,MATCH(B367,[2]活动总表!$B$8:$B$429,0))</f>
        <v>节日商店(60天以内</v>
      </c>
      <c r="B367" s="93">
        <v>367</v>
      </c>
      <c r="C367" s="94">
        <v>169</v>
      </c>
      <c r="D367" s="92">
        <v>0</v>
      </c>
      <c r="E367" s="92">
        <v>12</v>
      </c>
      <c r="F367" s="92">
        <v>509301</v>
      </c>
      <c r="G367" s="76" t="str">
        <f>IFERROR(INDEX([1]物品基础表!$A:$A,MATCH(F367,[1]物品基础表!$B:$B,0)),"")</f>
        <v>红乾戒1级</v>
      </c>
      <c r="H367" s="92">
        <v>1</v>
      </c>
      <c r="I367" s="92">
        <v>6300</v>
      </c>
      <c r="J367" s="99">
        <f t="shared" si="6"/>
        <v>6300</v>
      </c>
      <c r="K367" s="92"/>
      <c r="L367" s="92" t="s">
        <v>1397</v>
      </c>
      <c r="M367" s="92"/>
      <c r="N367" s="92" t="s">
        <v>919</v>
      </c>
      <c r="O367" s="92"/>
      <c r="P367" s="92"/>
    </row>
    <row r="368" spans="1:16">
      <c r="A368" s="39" t="str">
        <f>INDEX([2]活动总表!$A$8:$A$429,MATCH(B368,[2]活动总表!$B$8:$B$429,0))</f>
        <v>节日商店(60天以内</v>
      </c>
      <c r="B368" s="93">
        <v>367</v>
      </c>
      <c r="C368" s="94">
        <v>170</v>
      </c>
      <c r="D368" s="92">
        <v>0</v>
      </c>
      <c r="E368" s="92">
        <v>12</v>
      </c>
      <c r="F368" s="92">
        <v>510301</v>
      </c>
      <c r="G368" s="76" t="str">
        <f>IFERROR(INDEX([1]物品基础表!$A:$A,MATCH(F368,[1]物品基础表!$B:$B,0)),"")</f>
        <v>红龙带1级</v>
      </c>
      <c r="H368" s="92">
        <v>1</v>
      </c>
      <c r="I368" s="92">
        <v>6300</v>
      </c>
      <c r="J368" s="99">
        <f t="shared" si="6"/>
        <v>6300</v>
      </c>
      <c r="K368" s="92"/>
      <c r="L368" s="92" t="s">
        <v>1397</v>
      </c>
      <c r="M368" s="92"/>
      <c r="N368" s="92" t="s">
        <v>919</v>
      </c>
      <c r="O368" s="92"/>
      <c r="P368" s="92"/>
    </row>
    <row r="369" spans="1:16">
      <c r="A369" s="39" t="str">
        <f>INDEX([2]活动总表!$A$8:$A$429,MATCH(B369,[2]活动总表!$B$8:$B$429,0))</f>
        <v>节日商店(60天以内</v>
      </c>
      <c r="B369" s="93">
        <v>367</v>
      </c>
      <c r="C369" s="94">
        <v>171</v>
      </c>
      <c r="D369" s="92">
        <v>0</v>
      </c>
      <c r="E369" s="92">
        <v>12</v>
      </c>
      <c r="F369" s="92">
        <v>511301</v>
      </c>
      <c r="G369" s="76" t="str">
        <f>IFERROR(INDEX([1]物品基础表!$A:$A,MATCH(F369,[1]物品基础表!$B:$B,0)),"")</f>
        <v>红逐日1级</v>
      </c>
      <c r="H369" s="92">
        <v>1</v>
      </c>
      <c r="I369" s="92">
        <v>6300</v>
      </c>
      <c r="J369" s="99">
        <f t="shared" si="6"/>
        <v>6300</v>
      </c>
      <c r="K369" s="92"/>
      <c r="L369" s="92" t="s">
        <v>1397</v>
      </c>
      <c r="M369" s="92"/>
      <c r="N369" s="92" t="s">
        <v>919</v>
      </c>
      <c r="O369" s="92"/>
      <c r="P369" s="92"/>
    </row>
    <row r="370" spans="1:16">
      <c r="A370" s="39" t="str">
        <f>INDEX([2]活动总表!$A$8:$A$429,MATCH(B370,[2]活动总表!$B$8:$B$429,0))</f>
        <v>节日商店(60天以内</v>
      </c>
      <c r="B370" s="93">
        <v>367</v>
      </c>
      <c r="C370" s="94">
        <v>172</v>
      </c>
      <c r="D370" s="92">
        <v>0</v>
      </c>
      <c r="E370" s="92">
        <v>12</v>
      </c>
      <c r="F370" s="92">
        <v>512301</v>
      </c>
      <c r="G370" s="76" t="str">
        <f>IFERROR(INDEX([1]物品基础表!$A:$A,MATCH(F370,[1]物品基础表!$B:$B,0)),"")</f>
        <v>红豁免1级</v>
      </c>
      <c r="H370" s="92">
        <v>1</v>
      </c>
      <c r="I370" s="92">
        <v>18800</v>
      </c>
      <c r="J370" s="99">
        <f t="shared" si="6"/>
        <v>18800</v>
      </c>
      <c r="K370" s="92"/>
      <c r="L370" s="92" t="s">
        <v>1397</v>
      </c>
      <c r="M370" s="92"/>
      <c r="N370" s="92" t="s">
        <v>919</v>
      </c>
      <c r="O370" s="92"/>
      <c r="P370" s="92"/>
    </row>
    <row r="371" spans="1:16">
      <c r="A371" s="39" t="str">
        <f>INDEX([2]活动总表!$A$8:$A$429,MATCH(B371,[2]活动总表!$B$8:$B$429,0))</f>
        <v>节日商店(60天以内</v>
      </c>
      <c r="B371" s="93">
        <v>367</v>
      </c>
      <c r="C371" s="94">
        <v>173</v>
      </c>
      <c r="D371" s="92">
        <v>0</v>
      </c>
      <c r="E371" s="92">
        <v>12</v>
      </c>
      <c r="F371" s="92">
        <v>513301</v>
      </c>
      <c r="G371" s="76" t="str">
        <f>IFERROR(INDEX([1]物品基础表!$A:$A,MATCH(F371,[1]物品基础表!$B:$B,0)),"")</f>
        <v>红杀戮1级</v>
      </c>
      <c r="H371" s="92">
        <v>1</v>
      </c>
      <c r="I371" s="92">
        <v>18800</v>
      </c>
      <c r="J371" s="99">
        <f t="shared" si="6"/>
        <v>18800</v>
      </c>
      <c r="K371" s="92"/>
      <c r="L371" s="92" t="s">
        <v>1397</v>
      </c>
      <c r="M371" s="92"/>
      <c r="N371" s="92" t="s">
        <v>919</v>
      </c>
      <c r="O371" s="92"/>
      <c r="P371" s="92"/>
    </row>
    <row r="372" spans="1:16">
      <c r="A372" s="39" t="str">
        <f>INDEX([2]活动总表!$A$8:$A$429,MATCH(B372,[2]活动总表!$B$8:$B$429,0))</f>
        <v>节日商店(60天以内</v>
      </c>
      <c r="B372" s="93">
        <v>367</v>
      </c>
      <c r="C372" s="94">
        <v>174</v>
      </c>
      <c r="D372" s="92">
        <v>0</v>
      </c>
      <c r="E372" s="92">
        <v>12</v>
      </c>
      <c r="F372" s="92">
        <v>514301</v>
      </c>
      <c r="G372" s="76" t="str">
        <f>IFERROR(INDEX([1]物品基础表!$A:$A,MATCH(F372,[1]物品基础表!$B:$B,0)),"")</f>
        <v>红祝福1级</v>
      </c>
      <c r="H372" s="92">
        <v>1</v>
      </c>
      <c r="I372" s="92">
        <v>5000</v>
      </c>
      <c r="J372" s="99">
        <f t="shared" si="6"/>
        <v>5000</v>
      </c>
      <c r="K372" s="92"/>
      <c r="L372" s="92" t="s">
        <v>1397</v>
      </c>
      <c r="M372" s="92"/>
      <c r="N372" s="92" t="s">
        <v>919</v>
      </c>
      <c r="O372" s="92"/>
      <c r="P372" s="92"/>
    </row>
    <row r="373" spans="1:16">
      <c r="A373" s="39" t="str">
        <f>INDEX([2]活动总表!$A$8:$A$429,MATCH(B373,[2]活动总表!$B$8:$B$429,0))</f>
        <v>节日商店(60天以内</v>
      </c>
      <c r="B373" s="93">
        <v>367</v>
      </c>
      <c r="C373" s="94">
        <v>175</v>
      </c>
      <c r="D373" s="92">
        <v>0</v>
      </c>
      <c r="E373" s="92">
        <v>12</v>
      </c>
      <c r="F373" s="92">
        <v>515301</v>
      </c>
      <c r="G373" s="76" t="str">
        <f>IFERROR(INDEX([1]物品基础表!$A:$A,MATCH(F373,[1]物品基础表!$B:$B,0)),"")</f>
        <v>红财神1级</v>
      </c>
      <c r="H373" s="92">
        <v>1</v>
      </c>
      <c r="I373" s="92">
        <v>5000</v>
      </c>
      <c r="J373" s="99">
        <f t="shared" si="6"/>
        <v>5000</v>
      </c>
      <c r="K373" s="92"/>
      <c r="L373" s="92" t="s">
        <v>1397</v>
      </c>
      <c r="M373" s="92"/>
      <c r="N373" s="92" t="s">
        <v>919</v>
      </c>
      <c r="O373" s="92"/>
      <c r="P373" s="92"/>
    </row>
    <row r="374" spans="1:16">
      <c r="A374" s="39" t="str">
        <f>INDEX([2]活动总表!$A$8:$A$429,MATCH(B374,[2]活动总表!$B$8:$B$429,0))</f>
        <v>节日商店(60天以内</v>
      </c>
      <c r="B374" s="93">
        <v>367</v>
      </c>
      <c r="C374" s="94">
        <v>176</v>
      </c>
      <c r="D374" s="92">
        <v>0</v>
      </c>
      <c r="E374" s="92">
        <v>12</v>
      </c>
      <c r="F374" s="92">
        <v>516301</v>
      </c>
      <c r="G374" s="76" t="str">
        <f>IFERROR(INDEX([1]物品基础表!$A:$A,MATCH(F374,[1]物品基础表!$B:$B,0)),"")</f>
        <v>红强攻1级</v>
      </c>
      <c r="H374" s="92">
        <v>1</v>
      </c>
      <c r="I374" s="92">
        <v>15000</v>
      </c>
      <c r="J374" s="99">
        <f t="shared" si="6"/>
        <v>15000</v>
      </c>
      <c r="K374" s="92"/>
      <c r="L374" s="92" t="s">
        <v>1397</v>
      </c>
      <c r="M374" s="92"/>
      <c r="N374" s="92" t="s">
        <v>919</v>
      </c>
      <c r="O374" s="92"/>
      <c r="P374" s="92"/>
    </row>
    <row r="375" spans="1:16">
      <c r="A375" s="39" t="str">
        <f>INDEX([2]活动总表!$A$8:$A$429,MATCH(B375,[2]活动总表!$B$8:$B$429,0))</f>
        <v>节日商店(60天以内</v>
      </c>
      <c r="B375" s="93">
        <v>367</v>
      </c>
      <c r="C375" s="94">
        <v>177</v>
      </c>
      <c r="D375" s="92">
        <v>0</v>
      </c>
      <c r="E375" s="92">
        <v>12</v>
      </c>
      <c r="F375" s="92">
        <v>517301</v>
      </c>
      <c r="G375" s="76" t="str">
        <f>IFERROR(INDEX([1]物品基础表!$A:$A,MATCH(F375,[1]物品基础表!$B:$B,0)),"")</f>
        <v>红毁灭1级</v>
      </c>
      <c r="H375" s="92">
        <v>1</v>
      </c>
      <c r="I375" s="92">
        <v>15000</v>
      </c>
      <c r="J375" s="99">
        <f t="shared" si="6"/>
        <v>15000</v>
      </c>
      <c r="K375" s="92"/>
      <c r="L375" s="92" t="s">
        <v>1397</v>
      </c>
      <c r="M375" s="92"/>
      <c r="N375" s="92" t="s">
        <v>919</v>
      </c>
      <c r="O375" s="92"/>
      <c r="P375" s="92"/>
    </row>
    <row r="376" spans="1:16">
      <c r="A376" s="39" t="str">
        <f>INDEX([2]活动总表!$A$8:$A$429,MATCH(B376,[2]活动总表!$B$8:$B$429,0))</f>
        <v>节日商店(60天以内</v>
      </c>
      <c r="B376" s="93">
        <v>367</v>
      </c>
      <c r="C376" s="94">
        <v>178</v>
      </c>
      <c r="D376" s="92">
        <v>0</v>
      </c>
      <c r="E376" s="92">
        <v>12</v>
      </c>
      <c r="F376" s="92">
        <v>518301</v>
      </c>
      <c r="G376" s="76" t="str">
        <f>IFERROR(INDEX([1]物品基础表!$A:$A,MATCH(F376,[1]物品基础表!$B:$B,0)),"")</f>
        <v>红泰坦1级</v>
      </c>
      <c r="H376" s="92">
        <v>1</v>
      </c>
      <c r="I376" s="92">
        <v>15000</v>
      </c>
      <c r="J376" s="99">
        <f t="shared" si="6"/>
        <v>15000</v>
      </c>
      <c r="K376" s="92"/>
      <c r="L376" s="92" t="s">
        <v>1397</v>
      </c>
      <c r="M376" s="92"/>
      <c r="N376" s="92" t="s">
        <v>919</v>
      </c>
      <c r="O376" s="92"/>
      <c r="P376" s="92"/>
    </row>
    <row r="377" spans="1:16">
      <c r="A377" s="39" t="str">
        <f>INDEX([2]活动总表!$A$8:$A$429,MATCH(B377,[2]活动总表!$B$8:$B$429,0))</f>
        <v>节日商店(60天以内</v>
      </c>
      <c r="B377" s="93">
        <v>367</v>
      </c>
      <c r="C377" s="94">
        <v>179</v>
      </c>
      <c r="D377" s="92">
        <v>0</v>
      </c>
      <c r="E377" s="92">
        <v>12</v>
      </c>
      <c r="F377" s="92">
        <v>501201</v>
      </c>
      <c r="G377" s="76" t="str">
        <f>IFERROR(INDEX([1]物品基础表!$A:$A,MATCH(F377,[1]物品基础表!$B:$B,0)),"")</f>
        <v>橙神力1级</v>
      </c>
      <c r="H377" s="92">
        <v>1</v>
      </c>
      <c r="I377" s="92">
        <v>7500</v>
      </c>
      <c r="J377" s="99">
        <f t="shared" si="6"/>
        <v>7500</v>
      </c>
      <c r="K377" s="92"/>
      <c r="L377" s="92" t="s">
        <v>1397</v>
      </c>
      <c r="M377" s="92"/>
      <c r="N377" s="92" t="s">
        <v>919</v>
      </c>
      <c r="O377" s="92"/>
      <c r="P377" s="92"/>
    </row>
    <row r="378" spans="1:16">
      <c r="A378" s="39" t="str">
        <f>INDEX([2]活动总表!$A$8:$A$429,MATCH(B378,[2]活动总表!$B$8:$B$429,0))</f>
        <v>节日商店(60天以内</v>
      </c>
      <c r="B378" s="93">
        <v>367</v>
      </c>
      <c r="C378" s="94">
        <v>180</v>
      </c>
      <c r="D378" s="92">
        <v>0</v>
      </c>
      <c r="E378" s="92">
        <v>12</v>
      </c>
      <c r="F378" s="92">
        <v>502201</v>
      </c>
      <c r="G378" s="76" t="str">
        <f>IFERROR(INDEX([1]物品基础表!$A:$A,MATCH(F378,[1]物品基础表!$B:$B,0)),"")</f>
        <v>橙金汤1级</v>
      </c>
      <c r="H378" s="92">
        <v>1</v>
      </c>
      <c r="I378" s="92">
        <v>7500</v>
      </c>
      <c r="J378" s="99">
        <f t="shared" si="6"/>
        <v>7500</v>
      </c>
      <c r="K378" s="92"/>
      <c r="L378" s="92" t="s">
        <v>1397</v>
      </c>
      <c r="M378" s="92"/>
      <c r="N378" s="92" t="s">
        <v>919</v>
      </c>
      <c r="O378" s="92"/>
      <c r="P378" s="92"/>
    </row>
    <row r="379" spans="1:16">
      <c r="A379" s="39" t="str">
        <f>INDEX([2]活动总表!$A$8:$A$429,MATCH(B379,[2]活动总表!$B$8:$B$429,0))</f>
        <v>节日商店(60天以内</v>
      </c>
      <c r="B379" s="93">
        <v>367</v>
      </c>
      <c r="C379" s="94">
        <v>181</v>
      </c>
      <c r="D379" s="92">
        <v>0</v>
      </c>
      <c r="E379" s="92">
        <v>12</v>
      </c>
      <c r="F379" s="92">
        <v>503201</v>
      </c>
      <c r="G379" s="76" t="str">
        <f>IFERROR(INDEX([1]物品基础表!$A:$A,MATCH(F379,[1]物品基础表!$B:$B,0)),"")</f>
        <v>橙长生1级</v>
      </c>
      <c r="H379" s="92">
        <v>1</v>
      </c>
      <c r="I379" s="92">
        <v>7500</v>
      </c>
      <c r="J379" s="99">
        <f t="shared" si="6"/>
        <v>7500</v>
      </c>
      <c r="K379" s="92"/>
      <c r="L379" s="92" t="s">
        <v>1397</v>
      </c>
      <c r="M379" s="92"/>
      <c r="N379" s="92" t="s">
        <v>919</v>
      </c>
      <c r="O379" s="92"/>
      <c r="P379" s="92"/>
    </row>
    <row r="380" spans="1:16">
      <c r="A380" s="39" t="str">
        <f>INDEX([2]活动总表!$A$8:$A$429,MATCH(B380,[2]活动总表!$B$8:$B$429,0))</f>
        <v>节日商店(60天以内</v>
      </c>
      <c r="B380" s="93">
        <v>367</v>
      </c>
      <c r="C380" s="94">
        <v>182</v>
      </c>
      <c r="D380" s="92">
        <v>0</v>
      </c>
      <c r="E380" s="92">
        <v>12</v>
      </c>
      <c r="F380" s="92">
        <v>504201</v>
      </c>
      <c r="G380" s="76" t="str">
        <f>IFERROR(INDEX([1]物品基础表!$A:$A,MATCH(F380,[1]物品基础表!$B:$B,0)),"")</f>
        <v>橙光武1级</v>
      </c>
      <c r="H380" s="92">
        <v>1</v>
      </c>
      <c r="I380" s="92">
        <v>10000</v>
      </c>
      <c r="J380" s="99">
        <f t="shared" si="6"/>
        <v>10000</v>
      </c>
      <c r="K380" s="92"/>
      <c r="L380" s="92" t="s">
        <v>1397</v>
      </c>
      <c r="M380" s="92"/>
      <c r="N380" s="92" t="s">
        <v>919</v>
      </c>
      <c r="O380" s="92"/>
      <c r="P380" s="92"/>
    </row>
    <row r="381" spans="1:16">
      <c r="A381" s="39" t="str">
        <f>INDEX([2]活动总表!$A$8:$A$429,MATCH(B381,[2]活动总表!$B$8:$B$429,0))</f>
        <v>节日商店(60天以内</v>
      </c>
      <c r="B381" s="93">
        <v>367</v>
      </c>
      <c r="C381" s="94">
        <v>183</v>
      </c>
      <c r="D381" s="92">
        <v>0</v>
      </c>
      <c r="E381" s="92">
        <v>12</v>
      </c>
      <c r="F381" s="92">
        <v>505201</v>
      </c>
      <c r="G381" s="76" t="str">
        <f>IFERROR(INDEX([1]物品基础表!$A:$A,MATCH(F381,[1]物品基础表!$B:$B,0)),"")</f>
        <v>橙神盔1级</v>
      </c>
      <c r="H381" s="92">
        <v>1</v>
      </c>
      <c r="I381" s="92">
        <v>3100</v>
      </c>
      <c r="J381" s="99">
        <f t="shared" si="6"/>
        <v>3100</v>
      </c>
      <c r="K381" s="92"/>
      <c r="L381" s="92" t="s">
        <v>1397</v>
      </c>
      <c r="M381" s="92"/>
      <c r="N381" s="92" t="s">
        <v>919</v>
      </c>
      <c r="O381" s="92"/>
      <c r="P381" s="92"/>
    </row>
    <row r="382" spans="1:16">
      <c r="A382" s="39" t="str">
        <f>INDEX([2]活动总表!$A$8:$A$429,MATCH(B382,[2]活动总表!$B$8:$B$429,0))</f>
        <v>节日商店(60天以内</v>
      </c>
      <c r="B382" s="93">
        <v>367</v>
      </c>
      <c r="C382" s="94">
        <v>184</v>
      </c>
      <c r="D382" s="92">
        <v>0</v>
      </c>
      <c r="E382" s="92">
        <v>12</v>
      </c>
      <c r="F382" s="92">
        <v>506201</v>
      </c>
      <c r="G382" s="76" t="str">
        <f>IFERROR(INDEX([1]物品基础表!$A:$A,MATCH(F382,[1]物品基础表!$B:$B,0)),"")</f>
        <v>橙固甲1级</v>
      </c>
      <c r="H382" s="92">
        <v>1</v>
      </c>
      <c r="I382" s="92">
        <v>6300</v>
      </c>
      <c r="J382" s="99">
        <f t="shared" si="6"/>
        <v>6300</v>
      </c>
      <c r="K382" s="92"/>
      <c r="L382" s="92" t="s">
        <v>1397</v>
      </c>
      <c r="M382" s="92"/>
      <c r="N382" s="92" t="s">
        <v>919</v>
      </c>
      <c r="O382" s="92"/>
      <c r="P382" s="92"/>
    </row>
    <row r="383" spans="1:16">
      <c r="A383" s="39" t="str">
        <f>INDEX([2]活动总表!$A$8:$A$429,MATCH(B383,[2]活动总表!$B$8:$B$429,0))</f>
        <v>节日商店(60天以内</v>
      </c>
      <c r="B383" s="93">
        <v>367</v>
      </c>
      <c r="C383" s="94">
        <v>185</v>
      </c>
      <c r="D383" s="92">
        <v>0</v>
      </c>
      <c r="E383" s="92">
        <v>12</v>
      </c>
      <c r="F383" s="92">
        <v>507201</v>
      </c>
      <c r="G383" s="76" t="str">
        <f>IFERROR(INDEX([1]物品基础表!$A:$A,MATCH(F383,[1]物品基础表!$B:$B,0)),"")</f>
        <v>橙灵链1级</v>
      </c>
      <c r="H383" s="92">
        <v>1</v>
      </c>
      <c r="I383" s="92">
        <v>3100</v>
      </c>
      <c r="J383" s="99">
        <f t="shared" si="6"/>
        <v>3100</v>
      </c>
      <c r="K383" s="92"/>
      <c r="L383" s="92" t="s">
        <v>1397</v>
      </c>
      <c r="M383" s="92"/>
      <c r="N383" s="92" t="s">
        <v>919</v>
      </c>
      <c r="O383" s="92"/>
      <c r="P383" s="92"/>
    </row>
    <row r="384" spans="1:16">
      <c r="A384" s="39" t="str">
        <f>INDEX([2]活动总表!$A$8:$A$429,MATCH(B384,[2]活动总表!$B$8:$B$429,0))</f>
        <v>节日商店(60天以内</v>
      </c>
      <c r="B384" s="93">
        <v>367</v>
      </c>
      <c r="C384" s="94">
        <v>186</v>
      </c>
      <c r="D384" s="92">
        <v>0</v>
      </c>
      <c r="E384" s="92">
        <v>12</v>
      </c>
      <c r="F384" s="92">
        <v>508201</v>
      </c>
      <c r="G384" s="76" t="str">
        <f>IFERROR(INDEX([1]物品基础表!$A:$A,MATCH(F384,[1]物品基础表!$B:$B,0)),"")</f>
        <v>橙地镯1级</v>
      </c>
      <c r="H384" s="92">
        <v>1</v>
      </c>
      <c r="I384" s="92">
        <v>3100</v>
      </c>
      <c r="J384" s="99">
        <f t="shared" si="6"/>
        <v>3100</v>
      </c>
      <c r="K384" s="92"/>
      <c r="L384" s="92" t="s">
        <v>1397</v>
      </c>
      <c r="M384" s="92"/>
      <c r="N384" s="92" t="s">
        <v>919</v>
      </c>
      <c r="O384" s="92"/>
      <c r="P384" s="92"/>
    </row>
    <row r="385" spans="1:16">
      <c r="A385" s="39" t="str">
        <f>INDEX([2]活动总表!$A$8:$A$429,MATCH(B385,[2]活动总表!$B$8:$B$429,0))</f>
        <v>节日商店(60天以内</v>
      </c>
      <c r="B385" s="93">
        <v>367</v>
      </c>
      <c r="C385" s="94">
        <v>187</v>
      </c>
      <c r="D385" s="92">
        <v>0</v>
      </c>
      <c r="E385" s="92">
        <v>12</v>
      </c>
      <c r="F385" s="92">
        <v>509201</v>
      </c>
      <c r="G385" s="76" t="str">
        <f>IFERROR(INDEX([1]物品基础表!$A:$A,MATCH(F385,[1]物品基础表!$B:$B,0)),"")</f>
        <v>橙乾戒1级</v>
      </c>
      <c r="H385" s="92">
        <v>1</v>
      </c>
      <c r="I385" s="92">
        <v>3100</v>
      </c>
      <c r="J385" s="99">
        <f t="shared" si="6"/>
        <v>3100</v>
      </c>
      <c r="K385" s="92"/>
      <c r="L385" s="92" t="s">
        <v>1397</v>
      </c>
      <c r="M385" s="92"/>
      <c r="N385" s="92" t="s">
        <v>919</v>
      </c>
      <c r="O385" s="92"/>
      <c r="P385" s="92"/>
    </row>
    <row r="386" spans="1:16">
      <c r="A386" s="39" t="str">
        <f>INDEX([2]活动总表!$A$8:$A$429,MATCH(B386,[2]活动总表!$B$8:$B$429,0))</f>
        <v>节日商店(60天以内</v>
      </c>
      <c r="B386" s="93">
        <v>367</v>
      </c>
      <c r="C386" s="94">
        <v>188</v>
      </c>
      <c r="D386" s="92">
        <v>0</v>
      </c>
      <c r="E386" s="92">
        <v>12</v>
      </c>
      <c r="F386" s="92">
        <v>510201</v>
      </c>
      <c r="G386" s="76" t="str">
        <f>IFERROR(INDEX([1]物品基础表!$A:$A,MATCH(F386,[1]物品基础表!$B:$B,0)),"")</f>
        <v>橙龙带1级</v>
      </c>
      <c r="H386" s="92">
        <v>1</v>
      </c>
      <c r="I386" s="92">
        <v>3100</v>
      </c>
      <c r="J386" s="99">
        <f t="shared" si="6"/>
        <v>3100</v>
      </c>
      <c r="K386" s="92"/>
      <c r="L386" s="92" t="s">
        <v>1397</v>
      </c>
      <c r="M386" s="92"/>
      <c r="N386" s="92" t="s">
        <v>919</v>
      </c>
      <c r="O386" s="92"/>
      <c r="P386" s="92"/>
    </row>
    <row r="387" spans="1:16">
      <c r="A387" s="39" t="str">
        <f>INDEX([2]活动总表!$A$8:$A$429,MATCH(B387,[2]活动总表!$B$8:$B$429,0))</f>
        <v>节日商店(60天以内</v>
      </c>
      <c r="B387" s="93">
        <v>367</v>
      </c>
      <c r="C387" s="94">
        <v>189</v>
      </c>
      <c r="D387" s="92">
        <v>0</v>
      </c>
      <c r="E387" s="92">
        <v>12</v>
      </c>
      <c r="F387" s="92">
        <v>511201</v>
      </c>
      <c r="G387" s="76" t="str">
        <f>IFERROR(INDEX([1]物品基础表!$A:$A,MATCH(F387,[1]物品基础表!$B:$B,0)),"")</f>
        <v>橙逐日1级</v>
      </c>
      <c r="H387" s="92">
        <v>1</v>
      </c>
      <c r="I387" s="92">
        <v>3100</v>
      </c>
      <c r="J387" s="99">
        <f t="shared" si="6"/>
        <v>3100</v>
      </c>
      <c r="K387" s="92"/>
      <c r="L387" s="92" t="s">
        <v>1397</v>
      </c>
      <c r="M387" s="92"/>
      <c r="N387" s="92" t="s">
        <v>919</v>
      </c>
      <c r="O387" s="92"/>
      <c r="P387" s="92"/>
    </row>
    <row r="388" spans="1:16">
      <c r="A388" s="39" t="str">
        <f>INDEX([2]活动总表!$A$8:$A$429,MATCH(B388,[2]活动总表!$B$8:$B$429,0))</f>
        <v>节日商店(60天以内</v>
      </c>
      <c r="B388" s="93">
        <v>367</v>
      </c>
      <c r="C388" s="94">
        <v>190</v>
      </c>
      <c r="D388" s="92">
        <v>0</v>
      </c>
      <c r="E388" s="92">
        <v>12</v>
      </c>
      <c r="F388" s="92">
        <v>512201</v>
      </c>
      <c r="G388" s="76" t="str">
        <f>IFERROR(INDEX([1]物品基础表!$A:$A,MATCH(F388,[1]物品基础表!$B:$B,0)),"")</f>
        <v>橙豁免1级</v>
      </c>
      <c r="H388" s="92">
        <v>1</v>
      </c>
      <c r="I388" s="92">
        <v>9400</v>
      </c>
      <c r="J388" s="99">
        <f t="shared" ref="J388:J451" si="7">I388/H388</f>
        <v>9400</v>
      </c>
      <c r="K388" s="92"/>
      <c r="L388" s="92" t="s">
        <v>1397</v>
      </c>
      <c r="M388" s="92"/>
      <c r="N388" s="92" t="s">
        <v>919</v>
      </c>
      <c r="O388" s="92"/>
      <c r="P388" s="92"/>
    </row>
    <row r="389" spans="1:16">
      <c r="A389" s="39" t="str">
        <f>INDEX([2]活动总表!$A$8:$A$429,MATCH(B389,[2]活动总表!$B$8:$B$429,0))</f>
        <v>节日商店(60天以内</v>
      </c>
      <c r="B389" s="93">
        <v>367</v>
      </c>
      <c r="C389" s="94">
        <v>191</v>
      </c>
      <c r="D389" s="92">
        <v>0</v>
      </c>
      <c r="E389" s="92">
        <v>12</v>
      </c>
      <c r="F389" s="92">
        <v>513201</v>
      </c>
      <c r="G389" s="76" t="str">
        <f>IFERROR(INDEX([1]物品基础表!$A:$A,MATCH(F389,[1]物品基础表!$B:$B,0)),"")</f>
        <v>橙杀戮1级</v>
      </c>
      <c r="H389" s="92">
        <v>1</v>
      </c>
      <c r="I389" s="92">
        <v>9400</v>
      </c>
      <c r="J389" s="99">
        <f t="shared" si="7"/>
        <v>9400</v>
      </c>
      <c r="K389" s="92"/>
      <c r="L389" s="92" t="s">
        <v>1397</v>
      </c>
      <c r="M389" s="92"/>
      <c r="N389" s="92" t="s">
        <v>919</v>
      </c>
      <c r="O389" s="92"/>
      <c r="P389" s="92"/>
    </row>
    <row r="390" spans="1:16">
      <c r="A390" s="39" t="str">
        <f>INDEX([2]活动总表!$A$8:$A$429,MATCH(B390,[2]活动总表!$B$8:$B$429,0))</f>
        <v>节日商店(60天以内</v>
      </c>
      <c r="B390" s="93">
        <v>367</v>
      </c>
      <c r="C390" s="94">
        <v>192</v>
      </c>
      <c r="D390" s="92">
        <v>0</v>
      </c>
      <c r="E390" s="92">
        <v>12</v>
      </c>
      <c r="F390" s="92">
        <v>514201</v>
      </c>
      <c r="G390" s="76" t="str">
        <f>IFERROR(INDEX([1]物品基础表!$A:$A,MATCH(F390,[1]物品基础表!$B:$B,0)),"")</f>
        <v>橙祝福1级</v>
      </c>
      <c r="H390" s="92">
        <v>1</v>
      </c>
      <c r="I390" s="92">
        <v>2500</v>
      </c>
      <c r="J390" s="99">
        <f t="shared" si="7"/>
        <v>2500</v>
      </c>
      <c r="K390" s="92"/>
      <c r="L390" s="92" t="s">
        <v>1397</v>
      </c>
      <c r="M390" s="92"/>
      <c r="N390" s="92" t="s">
        <v>919</v>
      </c>
      <c r="O390" s="92"/>
      <c r="P390" s="92"/>
    </row>
    <row r="391" spans="1:16">
      <c r="A391" s="39" t="str">
        <f>INDEX([2]活动总表!$A$8:$A$429,MATCH(B391,[2]活动总表!$B$8:$B$429,0))</f>
        <v>节日商店(60天以内</v>
      </c>
      <c r="B391" s="93">
        <v>367</v>
      </c>
      <c r="C391" s="94">
        <v>193</v>
      </c>
      <c r="D391" s="92">
        <v>0</v>
      </c>
      <c r="E391" s="92">
        <v>12</v>
      </c>
      <c r="F391" s="92">
        <v>515201</v>
      </c>
      <c r="G391" s="76" t="str">
        <f>IFERROR(INDEX([1]物品基础表!$A:$A,MATCH(F391,[1]物品基础表!$B:$B,0)),"")</f>
        <v>橙财神1级</v>
      </c>
      <c r="H391" s="92">
        <v>1</v>
      </c>
      <c r="I391" s="92">
        <v>2500</v>
      </c>
      <c r="J391" s="99">
        <f t="shared" si="7"/>
        <v>2500</v>
      </c>
      <c r="K391" s="92"/>
      <c r="L391" s="92" t="s">
        <v>1397</v>
      </c>
      <c r="M391" s="92"/>
      <c r="N391" s="92" t="s">
        <v>919</v>
      </c>
      <c r="O391" s="92"/>
      <c r="P391" s="92"/>
    </row>
    <row r="392" spans="1:16">
      <c r="A392" s="39" t="str">
        <f>INDEX([2]活动总表!$A$8:$A$429,MATCH(B392,[2]活动总表!$B$8:$B$429,0))</f>
        <v>节日商店(60天以内</v>
      </c>
      <c r="B392" s="93">
        <v>367</v>
      </c>
      <c r="C392" s="94">
        <v>194</v>
      </c>
      <c r="D392" s="92">
        <v>0</v>
      </c>
      <c r="E392" s="92">
        <v>12</v>
      </c>
      <c r="F392" s="92">
        <v>516201</v>
      </c>
      <c r="G392" s="76" t="str">
        <f>IFERROR(INDEX([1]物品基础表!$A:$A,MATCH(F392,[1]物品基础表!$B:$B,0)),"")</f>
        <v>橙强攻1级</v>
      </c>
      <c r="H392" s="92">
        <v>1</v>
      </c>
      <c r="I392" s="92">
        <v>7500</v>
      </c>
      <c r="J392" s="99">
        <f t="shared" si="7"/>
        <v>7500</v>
      </c>
      <c r="K392" s="92"/>
      <c r="L392" s="92" t="s">
        <v>1397</v>
      </c>
      <c r="M392" s="92"/>
      <c r="N392" s="92" t="s">
        <v>919</v>
      </c>
      <c r="O392" s="92"/>
      <c r="P392" s="92"/>
    </row>
    <row r="393" spans="1:16">
      <c r="A393" s="39" t="str">
        <f>INDEX([2]活动总表!$A$8:$A$429,MATCH(B393,[2]活动总表!$B$8:$B$429,0))</f>
        <v>节日商店(60天以内</v>
      </c>
      <c r="B393" s="93">
        <v>367</v>
      </c>
      <c r="C393" s="94">
        <v>195</v>
      </c>
      <c r="D393" s="92">
        <v>0</v>
      </c>
      <c r="E393" s="92">
        <v>12</v>
      </c>
      <c r="F393" s="92">
        <v>517201</v>
      </c>
      <c r="G393" s="76" t="str">
        <f>IFERROR(INDEX([1]物品基础表!$A:$A,MATCH(F393,[1]物品基础表!$B:$B,0)),"")</f>
        <v>橙毁灭1级</v>
      </c>
      <c r="H393" s="92">
        <v>1</v>
      </c>
      <c r="I393" s="92">
        <v>7500</v>
      </c>
      <c r="J393" s="99">
        <f t="shared" si="7"/>
        <v>7500</v>
      </c>
      <c r="K393" s="92"/>
      <c r="L393" s="92" t="s">
        <v>1397</v>
      </c>
      <c r="M393" s="92"/>
      <c r="N393" s="92" t="s">
        <v>919</v>
      </c>
      <c r="O393" s="92"/>
      <c r="P393" s="92"/>
    </row>
    <row r="394" spans="1:16">
      <c r="A394" s="39" t="str">
        <f>INDEX([2]活动总表!$A$8:$A$429,MATCH(B394,[2]活动总表!$B$8:$B$429,0))</f>
        <v>节日商店(60天以内</v>
      </c>
      <c r="B394" s="93">
        <v>367</v>
      </c>
      <c r="C394" s="94">
        <v>196</v>
      </c>
      <c r="D394" s="92">
        <v>0</v>
      </c>
      <c r="E394" s="92">
        <v>12</v>
      </c>
      <c r="F394" s="92">
        <v>518201</v>
      </c>
      <c r="G394" s="76" t="str">
        <f>IFERROR(INDEX([1]物品基础表!$A:$A,MATCH(F394,[1]物品基础表!$B:$B,0)),"")</f>
        <v>橙泰坦1级</v>
      </c>
      <c r="H394" s="92">
        <v>1</v>
      </c>
      <c r="I394" s="92">
        <v>7500</v>
      </c>
      <c r="J394" s="99">
        <f t="shared" si="7"/>
        <v>7500</v>
      </c>
      <c r="K394" s="92"/>
      <c r="L394" s="92" t="s">
        <v>1397</v>
      </c>
      <c r="M394" s="92"/>
      <c r="N394" s="92" t="s">
        <v>919</v>
      </c>
      <c r="O394" s="92"/>
      <c r="P394" s="92"/>
    </row>
    <row r="395" spans="1:16">
      <c r="A395" s="39" t="str">
        <f>INDEX([2]活动总表!$A$8:$A$429,MATCH(B395,[2]活动总表!$B$8:$B$429,0))</f>
        <v>节日商店（61天以及以上</v>
      </c>
      <c r="B395" s="93">
        <v>368</v>
      </c>
      <c r="C395" s="94">
        <v>1</v>
      </c>
      <c r="D395" s="94">
        <v>0</v>
      </c>
      <c r="E395" s="94">
        <v>12</v>
      </c>
      <c r="F395" s="93">
        <v>200212</v>
      </c>
      <c r="G395" s="76" t="str">
        <f>IFERROR(INDEX([1]物品基础表!$A:$A,MATCH(F395,[1]物品基础表!$B:$B,0)),"")</f>
        <v>烈焰印记迅疾技能书</v>
      </c>
      <c r="H395" s="93">
        <v>1</v>
      </c>
      <c r="I395" s="93"/>
      <c r="J395" s="99">
        <f t="shared" si="7"/>
        <v>0</v>
      </c>
      <c r="K395" s="93"/>
      <c r="L395" s="93"/>
      <c r="M395" s="93">
        <v>50000</v>
      </c>
      <c r="N395" s="92"/>
      <c r="O395" s="92"/>
      <c r="P395" s="92"/>
    </row>
    <row r="396" spans="1:16">
      <c r="A396" s="39" t="str">
        <f>INDEX([2]活动总表!$A$8:$A$429,MATCH(B396,[2]活动总表!$B$8:$B$429,0))</f>
        <v>节日商店（61天以及以上</v>
      </c>
      <c r="B396" s="93">
        <v>368</v>
      </c>
      <c r="C396" s="94">
        <v>2</v>
      </c>
      <c r="D396" s="94">
        <v>0</v>
      </c>
      <c r="E396" s="94">
        <v>12</v>
      </c>
      <c r="F396" s="93">
        <v>200213</v>
      </c>
      <c r="G396" s="76" t="str">
        <f>IFERROR(INDEX([1]物品基础表!$A:$A,MATCH(F396,[1]物品基础表!$B:$B,0)),"")</f>
        <v>烈焰印记爆裂技能书</v>
      </c>
      <c r="H396" s="93">
        <v>1</v>
      </c>
      <c r="I396" s="93"/>
      <c r="J396" s="99">
        <f t="shared" si="7"/>
        <v>0</v>
      </c>
      <c r="K396" s="93"/>
      <c r="L396" s="93"/>
      <c r="M396" s="93">
        <v>50000</v>
      </c>
      <c r="N396" s="92"/>
      <c r="O396" s="92"/>
      <c r="P396" s="92"/>
    </row>
    <row r="397" spans="1:16">
      <c r="A397" s="39" t="str">
        <f>INDEX([2]活动总表!$A$8:$A$429,MATCH(B397,[2]活动总表!$B$8:$B$429,0))</f>
        <v>节日商店（61天以及以上</v>
      </c>
      <c r="B397" s="93">
        <v>368</v>
      </c>
      <c r="C397" s="94">
        <v>3</v>
      </c>
      <c r="D397" s="94">
        <v>0</v>
      </c>
      <c r="E397" s="94">
        <v>12</v>
      </c>
      <c r="F397" s="93">
        <v>900010</v>
      </c>
      <c r="G397" s="76" t="str">
        <f>IFERROR(INDEX([1]物品基础表!$A:$A,MATCH(F397,[1]物品基础表!$B:$B,0)),"")</f>
        <v>恶魔之翼</v>
      </c>
      <c r="H397" s="93">
        <v>1</v>
      </c>
      <c r="I397" s="93"/>
      <c r="J397" s="99">
        <f t="shared" si="7"/>
        <v>0</v>
      </c>
      <c r="K397" s="93"/>
      <c r="L397" s="93"/>
      <c r="M397" s="93">
        <v>50000</v>
      </c>
      <c r="N397" s="92"/>
      <c r="O397" s="92"/>
      <c r="P397" s="92"/>
    </row>
    <row r="398" spans="1:16">
      <c r="A398" s="39" t="str">
        <f>INDEX([2]活动总表!$A$8:$A$429,MATCH(B398,[2]活动总表!$B$8:$B$429,0))</f>
        <v>节日商店（61天以及以上</v>
      </c>
      <c r="B398" s="93">
        <v>368</v>
      </c>
      <c r="C398" s="94">
        <v>4</v>
      </c>
      <c r="D398" s="94">
        <v>0</v>
      </c>
      <c r="E398" s="94">
        <v>12</v>
      </c>
      <c r="F398" s="93">
        <v>900011</v>
      </c>
      <c r="G398" s="76" t="str">
        <f>IFERROR(INDEX([1]物品基础表!$A:$A,MATCH(F398,[1]物品基础表!$B:$B,0)),"")</f>
        <v>蝶舞轻扬</v>
      </c>
      <c r="H398" s="93">
        <v>1</v>
      </c>
      <c r="I398" s="93"/>
      <c r="J398" s="99">
        <f t="shared" si="7"/>
        <v>0</v>
      </c>
      <c r="K398" s="93"/>
      <c r="L398" s="93"/>
      <c r="M398" s="93">
        <v>50000</v>
      </c>
      <c r="N398" s="92"/>
      <c r="O398" s="92"/>
      <c r="P398" s="92"/>
    </row>
    <row r="399" spans="1:16">
      <c r="A399" s="39" t="str">
        <f>INDEX([2]活动总表!$A$8:$A$429,MATCH(B399,[2]活动总表!$B$8:$B$429,0))</f>
        <v>节日商店（61天以及以上</v>
      </c>
      <c r="B399" s="93">
        <v>368</v>
      </c>
      <c r="C399" s="94">
        <v>5</v>
      </c>
      <c r="D399" s="94">
        <v>0</v>
      </c>
      <c r="E399" s="94">
        <v>12</v>
      </c>
      <c r="F399" s="93">
        <v>220011</v>
      </c>
      <c r="G399" s="76" t="str">
        <f>IFERROR(INDEX([1]物品基础表!$A:$A,MATCH(F399,[1]物品基础表!$B:$B,0)),"")</f>
        <v>高级秘籍宝箱</v>
      </c>
      <c r="H399" s="93">
        <v>1</v>
      </c>
      <c r="I399" s="93"/>
      <c r="J399" s="99">
        <f t="shared" si="7"/>
        <v>0</v>
      </c>
      <c r="K399" s="93"/>
      <c r="L399" s="93"/>
      <c r="M399" s="93">
        <v>40000</v>
      </c>
      <c r="N399" s="92"/>
      <c r="O399" s="92"/>
      <c r="P399" s="92"/>
    </row>
    <row r="400" spans="1:16">
      <c r="A400" s="39" t="str">
        <f>INDEX([2]活动总表!$A$8:$A$429,MATCH(B400,[2]活动总表!$B$8:$B$429,0))</f>
        <v>节日商店（61天以及以上</v>
      </c>
      <c r="B400" s="93">
        <v>368</v>
      </c>
      <c r="C400" s="94">
        <v>6</v>
      </c>
      <c r="D400" s="94">
        <v>0</v>
      </c>
      <c r="E400" s="94">
        <v>12</v>
      </c>
      <c r="F400" s="93">
        <v>200969</v>
      </c>
      <c r="G400" s="76" t="str">
        <f>IFERROR(INDEX([1]物品基础表!$A:$A,MATCH(F400,[1]物品基础表!$B:$B,0)),"")</f>
        <v>魅惑兵魂任选礼包</v>
      </c>
      <c r="H400" s="93">
        <v>1</v>
      </c>
      <c r="I400" s="93"/>
      <c r="J400" s="99">
        <f t="shared" si="7"/>
        <v>0</v>
      </c>
      <c r="K400" s="93"/>
      <c r="L400" s="93"/>
      <c r="M400" s="93">
        <v>4000</v>
      </c>
      <c r="N400" s="92"/>
      <c r="O400" s="92"/>
      <c r="P400" s="92"/>
    </row>
    <row r="401" spans="1:16">
      <c r="A401" s="39" t="str">
        <f>INDEX([2]活动总表!$A$8:$A$429,MATCH(B401,[2]活动总表!$B$8:$B$429,0))</f>
        <v>节日商店（61天以及以上</v>
      </c>
      <c r="B401" s="93">
        <v>368</v>
      </c>
      <c r="C401" s="94">
        <v>7</v>
      </c>
      <c r="D401" s="94">
        <v>0</v>
      </c>
      <c r="E401" s="94">
        <v>12</v>
      </c>
      <c r="F401" s="93">
        <v>220010</v>
      </c>
      <c r="G401" s="76" t="str">
        <f>IFERROR(INDEX([1]物品基础表!$A:$A,MATCH(F401,[1]物品基础表!$B:$B,0)),"")</f>
        <v>中级秘籍宝箱</v>
      </c>
      <c r="H401" s="93">
        <v>1</v>
      </c>
      <c r="I401" s="93"/>
      <c r="J401" s="99">
        <f t="shared" si="7"/>
        <v>0</v>
      </c>
      <c r="K401" s="93"/>
      <c r="L401" s="93"/>
      <c r="M401" s="93">
        <v>8000</v>
      </c>
      <c r="N401" s="92"/>
      <c r="O401" s="92"/>
      <c r="P401" s="92"/>
    </row>
    <row r="402" spans="1:16">
      <c r="A402" s="39" t="str">
        <f>INDEX([2]活动总表!$A$8:$A$429,MATCH(B402,[2]活动总表!$B$8:$B$429,0))</f>
        <v>节日商店（61天以及以上</v>
      </c>
      <c r="B402" s="93">
        <v>368</v>
      </c>
      <c r="C402" s="94">
        <v>8</v>
      </c>
      <c r="D402" s="94">
        <v>0</v>
      </c>
      <c r="E402" s="94">
        <v>12</v>
      </c>
      <c r="F402" s="93">
        <v>500006</v>
      </c>
      <c r="G402" s="76" t="str">
        <f>IFERROR(INDEX([1]物品基础表!$A:$A,MATCH(F402,[1]物品基础表!$B:$B,0)),"")</f>
        <v>战纹精华-金</v>
      </c>
      <c r="H402" s="93">
        <v>1</v>
      </c>
      <c r="I402" s="93"/>
      <c r="J402" s="99">
        <f t="shared" si="7"/>
        <v>0</v>
      </c>
      <c r="K402" s="93"/>
      <c r="L402" s="93"/>
      <c r="M402" s="93">
        <v>1000</v>
      </c>
      <c r="N402" s="92"/>
      <c r="O402" s="92"/>
      <c r="P402" s="92"/>
    </row>
    <row r="403" spans="1:16">
      <c r="A403" s="39" t="str">
        <f>INDEX([2]活动总表!$A$8:$A$429,MATCH(B403,[2]活动总表!$B$8:$B$429,0))</f>
        <v>节日商店（61天以及以上</v>
      </c>
      <c r="B403" s="93">
        <v>368</v>
      </c>
      <c r="C403" s="94">
        <v>9</v>
      </c>
      <c r="D403" s="94">
        <v>0</v>
      </c>
      <c r="E403" s="94">
        <v>12</v>
      </c>
      <c r="F403" s="93">
        <v>200005</v>
      </c>
      <c r="G403" s="76" t="str">
        <f>IFERROR(INDEX([1]物品基础表!$A:$A,MATCH(F403,[1]物品基础表!$B:$B,0)),"")</f>
        <v>龙魂碎片</v>
      </c>
      <c r="H403" s="93">
        <v>5</v>
      </c>
      <c r="I403" s="93"/>
      <c r="J403" s="99">
        <f t="shared" si="7"/>
        <v>0</v>
      </c>
      <c r="K403" s="93"/>
      <c r="L403" s="93"/>
      <c r="M403" s="93">
        <v>500</v>
      </c>
      <c r="N403" s="92"/>
      <c r="O403" s="92"/>
      <c r="P403" s="92"/>
    </row>
    <row r="404" spans="1:16">
      <c r="A404" s="39" t="str">
        <f>INDEX([2]活动总表!$A$8:$A$429,MATCH(B404,[2]活动总表!$B$8:$B$429,0))</f>
        <v>节日商店（61天以及以上</v>
      </c>
      <c r="B404" s="93">
        <v>368</v>
      </c>
      <c r="C404" s="94">
        <v>10</v>
      </c>
      <c r="D404" s="94">
        <v>0</v>
      </c>
      <c r="E404" s="94">
        <v>12</v>
      </c>
      <c r="F404" s="93">
        <v>200015</v>
      </c>
      <c r="G404" s="76" t="str">
        <f>IFERROR(INDEX([1]物品基础表!$A:$A,MATCH(F404,[1]物品基础表!$B:$B,0)),"")</f>
        <v>特戒碎片</v>
      </c>
      <c r="H404" s="93">
        <v>10</v>
      </c>
      <c r="I404" s="93"/>
      <c r="J404" s="99">
        <f t="shared" si="7"/>
        <v>0</v>
      </c>
      <c r="K404" s="93"/>
      <c r="L404" s="93"/>
      <c r="M404" s="93">
        <v>100</v>
      </c>
      <c r="N404" s="92"/>
      <c r="O404" s="92"/>
      <c r="P404" s="92"/>
    </row>
    <row r="405" spans="1:16">
      <c r="A405" s="39" t="str">
        <f>INDEX([2]活动总表!$A$8:$A$429,MATCH(B405,[2]活动总表!$B$8:$B$429,0))</f>
        <v>节日商店（61天以及以上</v>
      </c>
      <c r="B405" s="93">
        <v>368</v>
      </c>
      <c r="C405" s="94">
        <v>11</v>
      </c>
      <c r="D405" s="94">
        <v>0</v>
      </c>
      <c r="E405" s="94">
        <v>12</v>
      </c>
      <c r="F405" s="93">
        <v>200208</v>
      </c>
      <c r="G405" s="76" t="str">
        <f>IFERROR(INDEX([1]物品基础表!$A:$A,MATCH(F405,[1]物品基础表!$B:$B,0)),"")</f>
        <v>烈焰印记低级升级材料</v>
      </c>
      <c r="H405" s="93">
        <v>10</v>
      </c>
      <c r="I405" s="93"/>
      <c r="J405" s="99">
        <f t="shared" si="7"/>
        <v>0</v>
      </c>
      <c r="K405" s="93"/>
      <c r="L405" s="93"/>
      <c r="M405" s="93">
        <v>100</v>
      </c>
      <c r="N405" s="92"/>
      <c r="O405" s="92"/>
      <c r="P405" s="92"/>
    </row>
    <row r="406" spans="1:16">
      <c r="A406" s="39" t="str">
        <f>INDEX([2]活动总表!$A$8:$A$429,MATCH(B406,[2]活动总表!$B$8:$B$429,0))</f>
        <v>节日商店（61天以及以上</v>
      </c>
      <c r="B406" s="93">
        <v>368</v>
      </c>
      <c r="C406" s="94">
        <v>12</v>
      </c>
      <c r="D406" s="94">
        <v>0</v>
      </c>
      <c r="E406" s="94">
        <v>12</v>
      </c>
      <c r="F406" s="93">
        <v>200005</v>
      </c>
      <c r="G406" s="76" t="str">
        <f>IFERROR(INDEX([1]物品基础表!$A:$A,MATCH(F406,[1]物品基础表!$B:$B,0)),"")</f>
        <v>龙魂碎片</v>
      </c>
      <c r="H406" s="93">
        <v>1</v>
      </c>
      <c r="I406" s="93"/>
      <c r="J406" s="99">
        <f t="shared" si="7"/>
        <v>0</v>
      </c>
      <c r="K406" s="93"/>
      <c r="L406" s="93"/>
      <c r="M406" s="93">
        <v>100</v>
      </c>
      <c r="N406" s="92"/>
      <c r="O406" s="92"/>
      <c r="P406" s="92"/>
    </row>
    <row r="407" spans="1:16">
      <c r="A407" s="39" t="str">
        <f>INDEX([2]活动总表!$A$8:$A$429,MATCH(B407,[2]活动总表!$B$8:$B$429,0))</f>
        <v>节日商店（61天以及以上</v>
      </c>
      <c r="B407" s="93">
        <v>368</v>
      </c>
      <c r="C407" s="94">
        <v>13</v>
      </c>
      <c r="D407" s="94">
        <v>0</v>
      </c>
      <c r="E407" s="94">
        <v>12</v>
      </c>
      <c r="F407" s="93">
        <v>200001</v>
      </c>
      <c r="G407" s="76" t="str">
        <f>IFERROR(INDEX([1]物品基础表!$A:$A,MATCH(F407,[1]物品基础表!$B:$B,0)),"")</f>
        <v>羽毛</v>
      </c>
      <c r="H407" s="93">
        <v>1</v>
      </c>
      <c r="I407" s="93"/>
      <c r="J407" s="99">
        <f t="shared" si="7"/>
        <v>0</v>
      </c>
      <c r="K407" s="93"/>
      <c r="L407" s="93"/>
      <c r="M407" s="93">
        <v>100</v>
      </c>
      <c r="N407" s="92"/>
      <c r="O407" s="92"/>
      <c r="P407" s="92"/>
    </row>
    <row r="408" spans="1:16">
      <c r="A408" s="39" t="str">
        <f>INDEX([2]活动总表!$A$8:$A$429,MATCH(B408,[2]活动总表!$B$8:$B$429,0))</f>
        <v>节日商店（61天以及以上</v>
      </c>
      <c r="B408" s="93">
        <v>368</v>
      </c>
      <c r="C408" s="94">
        <v>14</v>
      </c>
      <c r="D408" s="94">
        <v>0</v>
      </c>
      <c r="E408" s="94">
        <v>12</v>
      </c>
      <c r="F408" s="93">
        <v>200015</v>
      </c>
      <c r="G408" s="76" t="str">
        <f>IFERROR(INDEX([1]物品基础表!$A:$A,MATCH(F408,[1]物品基础表!$B:$B,0)),"")</f>
        <v>特戒碎片</v>
      </c>
      <c r="H408" s="93">
        <v>1</v>
      </c>
      <c r="I408" s="93"/>
      <c r="J408" s="99">
        <f t="shared" si="7"/>
        <v>0</v>
      </c>
      <c r="K408" s="93"/>
      <c r="L408" s="93"/>
      <c r="M408" s="93">
        <v>10</v>
      </c>
      <c r="N408" s="92"/>
      <c r="O408" s="92"/>
      <c r="P408" s="92"/>
    </row>
    <row r="409" spans="1:16">
      <c r="A409" s="39" t="str">
        <f>INDEX([2]活动总表!$A$8:$A$429,MATCH(B409,[2]活动总表!$B$8:$B$429,0))</f>
        <v>节日商店（61天以及以上</v>
      </c>
      <c r="B409" s="93">
        <v>368</v>
      </c>
      <c r="C409" s="94">
        <v>15</v>
      </c>
      <c r="D409" s="94">
        <v>0</v>
      </c>
      <c r="E409" s="94">
        <v>12</v>
      </c>
      <c r="F409" s="93">
        <v>200005</v>
      </c>
      <c r="G409" s="76" t="str">
        <f>IFERROR(INDEX([1]物品基础表!$A:$A,MATCH(F409,[1]物品基础表!$B:$B,0)),"")</f>
        <v>龙魂碎片</v>
      </c>
      <c r="H409" s="93">
        <v>30</v>
      </c>
      <c r="I409" s="93">
        <v>3000</v>
      </c>
      <c r="J409" s="99">
        <f t="shared" si="7"/>
        <v>100</v>
      </c>
      <c r="K409" s="93"/>
      <c r="L409" s="93" t="s">
        <v>1367</v>
      </c>
      <c r="M409" s="93"/>
      <c r="N409" s="92" t="s">
        <v>919</v>
      </c>
      <c r="O409" s="92"/>
      <c r="P409" s="92"/>
    </row>
    <row r="410" spans="1:16">
      <c r="A410" s="39" t="str">
        <f>INDEX([2]活动总表!$A$8:$A$429,MATCH(B410,[2]活动总表!$B$8:$B$429,0))</f>
        <v>节日商店（61天以及以上</v>
      </c>
      <c r="B410" s="93">
        <v>368</v>
      </c>
      <c r="C410" s="94">
        <v>16</v>
      </c>
      <c r="D410" s="94">
        <v>0</v>
      </c>
      <c r="E410" s="94">
        <v>12</v>
      </c>
      <c r="F410" s="93">
        <v>200005</v>
      </c>
      <c r="G410" s="76" t="str">
        <f>IFERROR(INDEX([1]物品基础表!$A:$A,MATCH(F410,[1]物品基础表!$B:$B,0)),"")</f>
        <v>龙魂碎片</v>
      </c>
      <c r="H410" s="93">
        <v>30</v>
      </c>
      <c r="I410" s="93">
        <v>2400</v>
      </c>
      <c r="J410" s="99">
        <f t="shared" si="7"/>
        <v>80</v>
      </c>
      <c r="K410" s="93"/>
      <c r="L410" s="93" t="s">
        <v>1367</v>
      </c>
      <c r="M410" s="93"/>
      <c r="N410" s="92">
        <v>8</v>
      </c>
      <c r="O410" s="92"/>
      <c r="P410" s="92"/>
    </row>
    <row r="411" spans="1:16">
      <c r="A411" s="39" t="str">
        <f>INDEX([2]活动总表!$A$8:$A$429,MATCH(B411,[2]活动总表!$B$8:$B$429,0))</f>
        <v>节日商店（61天以及以上</v>
      </c>
      <c r="B411" s="93">
        <v>368</v>
      </c>
      <c r="C411" s="94">
        <v>17</v>
      </c>
      <c r="D411" s="94">
        <v>0</v>
      </c>
      <c r="E411" s="94">
        <v>12</v>
      </c>
      <c r="F411" s="93">
        <v>200005</v>
      </c>
      <c r="G411" s="76" t="str">
        <f>IFERROR(INDEX([1]物品基础表!$A:$A,MATCH(F411,[1]物品基础表!$B:$B,0)),"")</f>
        <v>龙魂碎片</v>
      </c>
      <c r="H411" s="93">
        <v>30</v>
      </c>
      <c r="I411" s="93">
        <v>1500</v>
      </c>
      <c r="J411" s="99">
        <f t="shared" si="7"/>
        <v>50</v>
      </c>
      <c r="K411" s="93"/>
      <c r="L411" s="93" t="s">
        <v>1368</v>
      </c>
      <c r="M411" s="93"/>
      <c r="N411" s="92">
        <v>5</v>
      </c>
      <c r="O411" s="92"/>
      <c r="P411" s="92"/>
    </row>
    <row r="412" spans="1:16">
      <c r="A412" s="39" t="str">
        <f>INDEX([2]活动总表!$A$8:$A$429,MATCH(B412,[2]活动总表!$B$8:$B$429,0))</f>
        <v>节日商店（61天以及以上</v>
      </c>
      <c r="B412" s="93">
        <v>368</v>
      </c>
      <c r="C412" s="94">
        <v>18</v>
      </c>
      <c r="D412" s="94">
        <v>0</v>
      </c>
      <c r="E412" s="94">
        <v>12</v>
      </c>
      <c r="F412" s="93">
        <v>200005</v>
      </c>
      <c r="G412" s="76" t="str">
        <f>IFERROR(INDEX([1]物品基础表!$A:$A,MATCH(F412,[1]物品基础表!$B:$B,0)),"")</f>
        <v>龙魂碎片</v>
      </c>
      <c r="H412" s="93">
        <v>30</v>
      </c>
      <c r="I412" s="93">
        <v>900</v>
      </c>
      <c r="J412" s="99">
        <f t="shared" si="7"/>
        <v>30</v>
      </c>
      <c r="K412" s="93"/>
      <c r="L412" s="93" t="s">
        <v>1369</v>
      </c>
      <c r="M412" s="93"/>
      <c r="N412" s="92">
        <v>3</v>
      </c>
      <c r="O412" s="92"/>
      <c r="P412" s="92"/>
    </row>
    <row r="413" spans="1:16">
      <c r="A413" s="39" t="str">
        <f>INDEX([2]活动总表!$A$8:$A$429,MATCH(B413,[2]活动总表!$B$8:$B$429,0))</f>
        <v>节日商店（61天以及以上</v>
      </c>
      <c r="B413" s="93">
        <v>368</v>
      </c>
      <c r="C413" s="94">
        <v>19</v>
      </c>
      <c r="D413" s="94">
        <v>0</v>
      </c>
      <c r="E413" s="94">
        <v>12</v>
      </c>
      <c r="F413" s="93">
        <v>200005</v>
      </c>
      <c r="G413" s="76" t="str">
        <f>IFERROR(INDEX([1]物品基础表!$A:$A,MATCH(F413,[1]物品基础表!$B:$B,0)),"")</f>
        <v>龙魂碎片</v>
      </c>
      <c r="H413" s="93">
        <v>100</v>
      </c>
      <c r="I413" s="93">
        <v>8000</v>
      </c>
      <c r="J413" s="99">
        <f t="shared" si="7"/>
        <v>80</v>
      </c>
      <c r="K413" s="93"/>
      <c r="L413" s="93" t="s">
        <v>1370</v>
      </c>
      <c r="M413" s="93"/>
      <c r="N413" s="92">
        <v>8</v>
      </c>
      <c r="O413" s="92"/>
      <c r="P413" s="92"/>
    </row>
    <row r="414" spans="1:16">
      <c r="A414" s="39" t="str">
        <f>INDEX([2]活动总表!$A$8:$A$429,MATCH(B414,[2]活动总表!$B$8:$B$429,0))</f>
        <v>节日商店（61天以及以上</v>
      </c>
      <c r="B414" s="93">
        <v>368</v>
      </c>
      <c r="C414" s="94">
        <v>20</v>
      </c>
      <c r="D414" s="94">
        <v>0</v>
      </c>
      <c r="E414" s="94">
        <v>12</v>
      </c>
      <c r="F414" s="93">
        <v>200005</v>
      </c>
      <c r="G414" s="76" t="str">
        <f>IFERROR(INDEX([1]物品基础表!$A:$A,MATCH(F414,[1]物品基础表!$B:$B,0)),"")</f>
        <v>龙魂碎片</v>
      </c>
      <c r="H414" s="93">
        <v>100</v>
      </c>
      <c r="I414" s="93">
        <v>5000</v>
      </c>
      <c r="J414" s="99">
        <f t="shared" si="7"/>
        <v>50</v>
      </c>
      <c r="K414" s="93"/>
      <c r="L414" s="93" t="s">
        <v>1368</v>
      </c>
      <c r="M414" s="93"/>
      <c r="N414" s="92">
        <v>5</v>
      </c>
      <c r="O414" s="92"/>
      <c r="P414" s="92"/>
    </row>
    <row r="415" spans="1:16">
      <c r="A415" s="39" t="str">
        <f>INDEX([2]活动总表!$A$8:$A$429,MATCH(B415,[2]活动总表!$B$8:$B$429,0))</f>
        <v>节日商店（61天以及以上</v>
      </c>
      <c r="B415" s="93">
        <v>368</v>
      </c>
      <c r="C415" s="94">
        <v>21</v>
      </c>
      <c r="D415" s="94">
        <v>0</v>
      </c>
      <c r="E415" s="94">
        <v>12</v>
      </c>
      <c r="F415" s="93">
        <v>200005</v>
      </c>
      <c r="G415" s="76" t="str">
        <f>IFERROR(INDEX([1]物品基础表!$A:$A,MATCH(F415,[1]物品基础表!$B:$B,0)),"")</f>
        <v>龙魂碎片</v>
      </c>
      <c r="H415" s="93">
        <v>100</v>
      </c>
      <c r="I415" s="93">
        <v>3000</v>
      </c>
      <c r="J415" s="99">
        <f t="shared" si="7"/>
        <v>30</v>
      </c>
      <c r="K415" s="93"/>
      <c r="L415" s="93" t="s">
        <v>1369</v>
      </c>
      <c r="M415" s="93"/>
      <c r="N415" s="92">
        <v>3</v>
      </c>
      <c r="O415" s="92"/>
      <c r="P415" s="92"/>
    </row>
    <row r="416" spans="1:16">
      <c r="A416" s="39" t="str">
        <f>INDEX([2]活动总表!$A$8:$A$429,MATCH(B416,[2]活动总表!$B$8:$B$429,0))</f>
        <v>节日商店（61天以及以上</v>
      </c>
      <c r="B416" s="93">
        <v>368</v>
      </c>
      <c r="C416" s="94">
        <v>22</v>
      </c>
      <c r="D416" s="94">
        <v>0</v>
      </c>
      <c r="E416" s="94">
        <v>12</v>
      </c>
      <c r="F416" s="93">
        <v>200015</v>
      </c>
      <c r="G416" s="76" t="str">
        <f>IFERROR(INDEX([1]物品基础表!$A:$A,MATCH(F416,[1]物品基础表!$B:$B,0)),"")</f>
        <v>特戒碎片</v>
      </c>
      <c r="H416" s="93">
        <v>300</v>
      </c>
      <c r="I416" s="93">
        <v>3000</v>
      </c>
      <c r="J416" s="99">
        <f t="shared" si="7"/>
        <v>10</v>
      </c>
      <c r="K416" s="93"/>
      <c r="L416" s="93" t="s">
        <v>1367</v>
      </c>
      <c r="M416" s="93"/>
      <c r="N416" s="92" t="s">
        <v>919</v>
      </c>
      <c r="O416" s="92"/>
      <c r="P416" s="92"/>
    </row>
    <row r="417" spans="1:16">
      <c r="A417" s="39" t="str">
        <f>INDEX([2]活动总表!$A$8:$A$429,MATCH(B417,[2]活动总表!$B$8:$B$429,0))</f>
        <v>节日商店（61天以及以上</v>
      </c>
      <c r="B417" s="93">
        <v>368</v>
      </c>
      <c r="C417" s="94">
        <v>23</v>
      </c>
      <c r="D417" s="94">
        <v>0</v>
      </c>
      <c r="E417" s="94">
        <v>12</v>
      </c>
      <c r="F417" s="93">
        <v>200015</v>
      </c>
      <c r="G417" s="76" t="str">
        <f>IFERROR(INDEX([1]物品基础表!$A:$A,MATCH(F417,[1]物品基础表!$B:$B,0)),"")</f>
        <v>特戒碎片</v>
      </c>
      <c r="H417" s="93">
        <v>300</v>
      </c>
      <c r="I417" s="93">
        <v>2400</v>
      </c>
      <c r="J417" s="99">
        <f t="shared" si="7"/>
        <v>8</v>
      </c>
      <c r="K417" s="93"/>
      <c r="L417" s="93" t="s">
        <v>1367</v>
      </c>
      <c r="M417" s="93"/>
      <c r="N417" s="92">
        <v>8</v>
      </c>
      <c r="O417" s="92"/>
      <c r="P417" s="92"/>
    </row>
    <row r="418" spans="1:16">
      <c r="A418" s="39" t="str">
        <f>INDEX([2]活动总表!$A$8:$A$429,MATCH(B418,[2]活动总表!$B$8:$B$429,0))</f>
        <v>节日商店（61天以及以上</v>
      </c>
      <c r="B418" s="93">
        <v>368</v>
      </c>
      <c r="C418" s="94">
        <v>24</v>
      </c>
      <c r="D418" s="94">
        <v>0</v>
      </c>
      <c r="E418" s="94">
        <v>12</v>
      </c>
      <c r="F418" s="93">
        <v>200015</v>
      </c>
      <c r="G418" s="76" t="str">
        <f>IFERROR(INDEX([1]物品基础表!$A:$A,MATCH(F418,[1]物品基础表!$B:$B,0)),"")</f>
        <v>特戒碎片</v>
      </c>
      <c r="H418" s="93">
        <v>300</v>
      </c>
      <c r="I418" s="93">
        <v>1500</v>
      </c>
      <c r="J418" s="99">
        <f t="shared" si="7"/>
        <v>5</v>
      </c>
      <c r="K418" s="93"/>
      <c r="L418" s="93" t="s">
        <v>1371</v>
      </c>
      <c r="M418" s="93"/>
      <c r="N418" s="92">
        <v>5</v>
      </c>
      <c r="O418" s="92"/>
      <c r="P418" s="92"/>
    </row>
    <row r="419" spans="1:16">
      <c r="A419" s="39" t="str">
        <f>INDEX([2]活动总表!$A$8:$A$429,MATCH(B419,[2]活动总表!$B$8:$B$429,0))</f>
        <v>节日商店（61天以及以上</v>
      </c>
      <c r="B419" s="93">
        <v>368</v>
      </c>
      <c r="C419" s="94">
        <v>25</v>
      </c>
      <c r="D419" s="94">
        <v>0</v>
      </c>
      <c r="E419" s="94">
        <v>12</v>
      </c>
      <c r="F419" s="93">
        <v>200015</v>
      </c>
      <c r="G419" s="76" t="str">
        <f>IFERROR(INDEX([1]物品基础表!$A:$A,MATCH(F419,[1]物品基础表!$B:$B,0)),"")</f>
        <v>特戒碎片</v>
      </c>
      <c r="H419" s="93">
        <v>300</v>
      </c>
      <c r="I419" s="93">
        <v>900</v>
      </c>
      <c r="J419" s="99">
        <f t="shared" si="7"/>
        <v>3</v>
      </c>
      <c r="K419" s="93"/>
      <c r="L419" s="93" t="s">
        <v>1372</v>
      </c>
      <c r="M419" s="93"/>
      <c r="N419" s="92">
        <v>3</v>
      </c>
      <c r="O419" s="92"/>
      <c r="P419" s="92"/>
    </row>
    <row r="420" spans="1:16">
      <c r="A420" s="39" t="str">
        <f>INDEX([2]活动总表!$A$8:$A$429,MATCH(B420,[2]活动总表!$B$8:$B$429,0))</f>
        <v>节日商店（61天以及以上</v>
      </c>
      <c r="B420" s="93">
        <v>368</v>
      </c>
      <c r="C420" s="94">
        <v>26</v>
      </c>
      <c r="D420" s="94">
        <v>0</v>
      </c>
      <c r="E420" s="94">
        <v>12</v>
      </c>
      <c r="F420" s="93">
        <v>200015</v>
      </c>
      <c r="G420" s="76" t="str">
        <f>IFERROR(INDEX([1]物品基础表!$A:$A,MATCH(F420,[1]物品基础表!$B:$B,0)),"")</f>
        <v>特戒碎片</v>
      </c>
      <c r="H420" s="93">
        <v>1000</v>
      </c>
      <c r="I420" s="93">
        <v>8000</v>
      </c>
      <c r="J420" s="99">
        <f t="shared" si="7"/>
        <v>8</v>
      </c>
      <c r="K420" s="93"/>
      <c r="L420" s="93" t="s">
        <v>1370</v>
      </c>
      <c r="M420" s="93"/>
      <c r="N420" s="92">
        <v>8</v>
      </c>
      <c r="O420" s="92"/>
      <c r="P420" s="92"/>
    </row>
    <row r="421" spans="1:16">
      <c r="A421" s="39" t="str">
        <f>INDEX([2]活动总表!$A$8:$A$429,MATCH(B421,[2]活动总表!$B$8:$B$429,0))</f>
        <v>节日商店（61天以及以上</v>
      </c>
      <c r="B421" s="93">
        <v>368</v>
      </c>
      <c r="C421" s="94">
        <v>27</v>
      </c>
      <c r="D421" s="94">
        <v>0</v>
      </c>
      <c r="E421" s="94">
        <v>12</v>
      </c>
      <c r="F421" s="93">
        <v>200015</v>
      </c>
      <c r="G421" s="76" t="str">
        <f>IFERROR(INDEX([1]物品基础表!$A:$A,MATCH(F421,[1]物品基础表!$B:$B,0)),"")</f>
        <v>特戒碎片</v>
      </c>
      <c r="H421" s="93">
        <v>1000</v>
      </c>
      <c r="I421" s="93">
        <v>5000</v>
      </c>
      <c r="J421" s="99">
        <f t="shared" si="7"/>
        <v>5</v>
      </c>
      <c r="K421" s="93"/>
      <c r="L421" s="93" t="s">
        <v>1371</v>
      </c>
      <c r="M421" s="93"/>
      <c r="N421" s="92">
        <v>5</v>
      </c>
      <c r="O421" s="92"/>
      <c r="P421" s="92"/>
    </row>
    <row r="422" spans="1:16">
      <c r="A422" s="39" t="str">
        <f>INDEX([2]活动总表!$A$8:$A$429,MATCH(B422,[2]活动总表!$B$8:$B$429,0))</f>
        <v>节日商店（61天以及以上</v>
      </c>
      <c r="B422" s="93">
        <v>368</v>
      </c>
      <c r="C422" s="94">
        <v>28</v>
      </c>
      <c r="D422" s="94">
        <v>0</v>
      </c>
      <c r="E422" s="94">
        <v>12</v>
      </c>
      <c r="F422" s="93">
        <v>200015</v>
      </c>
      <c r="G422" s="76" t="str">
        <f>IFERROR(INDEX([1]物品基础表!$A:$A,MATCH(F422,[1]物品基础表!$B:$B,0)),"")</f>
        <v>特戒碎片</v>
      </c>
      <c r="H422" s="93">
        <v>1000</v>
      </c>
      <c r="I422" s="93">
        <v>3000</v>
      </c>
      <c r="J422" s="99">
        <f t="shared" si="7"/>
        <v>3</v>
      </c>
      <c r="K422" s="93"/>
      <c r="L422" s="93" t="s">
        <v>1369</v>
      </c>
      <c r="M422" s="93"/>
      <c r="N422" s="92">
        <v>3</v>
      </c>
      <c r="O422" s="92"/>
      <c r="P422" s="92"/>
    </row>
    <row r="423" spans="1:16">
      <c r="A423" s="39" t="str">
        <f>INDEX([2]活动总表!$A$8:$A$429,MATCH(B423,[2]活动总表!$B$8:$B$429,0))</f>
        <v>节日商店（61天以及以上</v>
      </c>
      <c r="B423" s="93">
        <v>368</v>
      </c>
      <c r="C423" s="94">
        <v>29</v>
      </c>
      <c r="D423" s="94">
        <v>0</v>
      </c>
      <c r="E423" s="94">
        <v>12</v>
      </c>
      <c r="F423" s="93">
        <v>200208</v>
      </c>
      <c r="G423" s="76" t="str">
        <f>IFERROR(INDEX([1]物品基础表!$A:$A,MATCH(F423,[1]物品基础表!$B:$B,0)),"")</f>
        <v>烈焰印记低级升级材料</v>
      </c>
      <c r="H423" s="93">
        <v>300</v>
      </c>
      <c r="I423" s="93">
        <v>3000</v>
      </c>
      <c r="J423" s="99">
        <f t="shared" si="7"/>
        <v>10</v>
      </c>
      <c r="K423" s="93"/>
      <c r="L423" s="93" t="s">
        <v>1367</v>
      </c>
      <c r="M423" s="93"/>
      <c r="N423" s="92" t="s">
        <v>919</v>
      </c>
      <c r="O423" s="92"/>
      <c r="P423" s="92"/>
    </row>
    <row r="424" spans="1:16">
      <c r="A424" s="39" t="str">
        <f>INDEX([2]活动总表!$A$8:$A$429,MATCH(B424,[2]活动总表!$B$8:$B$429,0))</f>
        <v>节日商店（61天以及以上</v>
      </c>
      <c r="B424" s="93">
        <v>368</v>
      </c>
      <c r="C424" s="94">
        <v>30</v>
      </c>
      <c r="D424" s="94">
        <v>0</v>
      </c>
      <c r="E424" s="94">
        <v>12</v>
      </c>
      <c r="F424" s="93">
        <v>200208</v>
      </c>
      <c r="G424" s="76" t="str">
        <f>IFERROR(INDEX([1]物品基础表!$A:$A,MATCH(F424,[1]物品基础表!$B:$B,0)),"")</f>
        <v>烈焰印记低级升级材料</v>
      </c>
      <c r="H424" s="93">
        <v>300</v>
      </c>
      <c r="I424" s="93">
        <v>2400</v>
      </c>
      <c r="J424" s="99">
        <f t="shared" si="7"/>
        <v>8</v>
      </c>
      <c r="K424" s="93"/>
      <c r="L424" s="93" t="s">
        <v>1367</v>
      </c>
      <c r="M424" s="93"/>
      <c r="N424" s="92">
        <v>8</v>
      </c>
      <c r="O424" s="92"/>
      <c r="P424" s="92"/>
    </row>
    <row r="425" spans="1:16">
      <c r="A425" s="39" t="str">
        <f>INDEX([2]活动总表!$A$8:$A$429,MATCH(B425,[2]活动总表!$B$8:$B$429,0))</f>
        <v>节日商店（61天以及以上</v>
      </c>
      <c r="B425" s="93">
        <v>368</v>
      </c>
      <c r="C425" s="94">
        <v>31</v>
      </c>
      <c r="D425" s="94">
        <v>0</v>
      </c>
      <c r="E425" s="94">
        <v>12</v>
      </c>
      <c r="F425" s="93">
        <v>200208</v>
      </c>
      <c r="G425" s="76" t="str">
        <f>IFERROR(INDEX([1]物品基础表!$A:$A,MATCH(F425,[1]物品基础表!$B:$B,0)),"")</f>
        <v>烈焰印记低级升级材料</v>
      </c>
      <c r="H425" s="93">
        <v>300</v>
      </c>
      <c r="I425" s="93">
        <v>1500</v>
      </c>
      <c r="J425" s="99">
        <f t="shared" si="7"/>
        <v>5</v>
      </c>
      <c r="K425" s="93"/>
      <c r="L425" s="93" t="s">
        <v>1373</v>
      </c>
      <c r="M425" s="93"/>
      <c r="N425" s="92">
        <v>5</v>
      </c>
      <c r="O425" s="92"/>
      <c r="P425" s="92"/>
    </row>
    <row r="426" spans="1:16">
      <c r="A426" s="39" t="str">
        <f>INDEX([2]活动总表!$A$8:$A$429,MATCH(B426,[2]活动总表!$B$8:$B$429,0))</f>
        <v>节日商店（61天以及以上</v>
      </c>
      <c r="B426" s="93">
        <v>368</v>
      </c>
      <c r="C426" s="94">
        <v>32</v>
      </c>
      <c r="D426" s="94">
        <v>0</v>
      </c>
      <c r="E426" s="94">
        <v>12</v>
      </c>
      <c r="F426" s="93">
        <v>200208</v>
      </c>
      <c r="G426" s="76" t="str">
        <f>IFERROR(INDEX([1]物品基础表!$A:$A,MATCH(F426,[1]物品基础表!$B:$B,0)),"")</f>
        <v>烈焰印记低级升级材料</v>
      </c>
      <c r="H426" s="93">
        <v>300</v>
      </c>
      <c r="I426" s="93">
        <v>900</v>
      </c>
      <c r="J426" s="99">
        <f t="shared" si="7"/>
        <v>3</v>
      </c>
      <c r="K426" s="93"/>
      <c r="L426" s="93" t="s">
        <v>1374</v>
      </c>
      <c r="M426" s="93"/>
      <c r="N426" s="92">
        <v>3</v>
      </c>
      <c r="O426" s="92"/>
      <c r="P426" s="92"/>
    </row>
    <row r="427" spans="1:16">
      <c r="A427" s="39" t="str">
        <f>INDEX([2]活动总表!$A$8:$A$429,MATCH(B427,[2]活动总表!$B$8:$B$429,0))</f>
        <v>节日商店（61天以及以上</v>
      </c>
      <c r="B427" s="93">
        <v>368</v>
      </c>
      <c r="C427" s="94">
        <v>33</v>
      </c>
      <c r="D427" s="94">
        <v>0</v>
      </c>
      <c r="E427" s="94">
        <v>12</v>
      </c>
      <c r="F427" s="93">
        <v>200208</v>
      </c>
      <c r="G427" s="76" t="str">
        <f>IFERROR(INDEX([1]物品基础表!$A:$A,MATCH(F427,[1]物品基础表!$B:$B,0)),"")</f>
        <v>烈焰印记低级升级材料</v>
      </c>
      <c r="H427" s="93">
        <v>1000</v>
      </c>
      <c r="I427" s="93">
        <v>8000</v>
      </c>
      <c r="J427" s="99">
        <f t="shared" si="7"/>
        <v>8</v>
      </c>
      <c r="K427" s="93"/>
      <c r="L427" s="93" t="s">
        <v>1367</v>
      </c>
      <c r="M427" s="93"/>
      <c r="N427" s="92">
        <v>8</v>
      </c>
      <c r="O427" s="92"/>
      <c r="P427" s="92"/>
    </row>
    <row r="428" spans="1:16">
      <c r="A428" s="39" t="str">
        <f>INDEX([2]活动总表!$A$8:$A$429,MATCH(B428,[2]活动总表!$B$8:$B$429,0))</f>
        <v>节日商店（61天以及以上</v>
      </c>
      <c r="B428" s="93">
        <v>368</v>
      </c>
      <c r="C428" s="94">
        <v>34</v>
      </c>
      <c r="D428" s="94">
        <v>0</v>
      </c>
      <c r="E428" s="94">
        <v>12</v>
      </c>
      <c r="F428" s="93">
        <v>200208</v>
      </c>
      <c r="G428" s="76" t="str">
        <f>IFERROR(INDEX([1]物品基础表!$A:$A,MATCH(F428,[1]物品基础表!$B:$B,0)),"")</f>
        <v>烈焰印记低级升级材料</v>
      </c>
      <c r="H428" s="93">
        <v>1000</v>
      </c>
      <c r="I428" s="93">
        <v>5000</v>
      </c>
      <c r="J428" s="99">
        <f t="shared" si="7"/>
        <v>5</v>
      </c>
      <c r="K428" s="93"/>
      <c r="L428" s="93" t="s">
        <v>1373</v>
      </c>
      <c r="M428" s="93"/>
      <c r="N428" s="92">
        <v>5</v>
      </c>
      <c r="O428" s="92"/>
      <c r="P428" s="92"/>
    </row>
    <row r="429" spans="1:16">
      <c r="A429" s="39" t="str">
        <f>INDEX([2]活动总表!$A$8:$A$429,MATCH(B429,[2]活动总表!$B$8:$B$429,0))</f>
        <v>节日商店（61天以及以上</v>
      </c>
      <c r="B429" s="93">
        <v>368</v>
      </c>
      <c r="C429" s="94">
        <v>35</v>
      </c>
      <c r="D429" s="94">
        <v>0</v>
      </c>
      <c r="E429" s="94">
        <v>12</v>
      </c>
      <c r="F429" s="93">
        <v>200208</v>
      </c>
      <c r="G429" s="76" t="str">
        <f>IFERROR(INDEX([1]物品基础表!$A:$A,MATCH(F429,[1]物品基础表!$B:$B,0)),"")</f>
        <v>烈焰印记低级升级材料</v>
      </c>
      <c r="H429" s="93">
        <v>1000</v>
      </c>
      <c r="I429" s="93">
        <v>3000</v>
      </c>
      <c r="J429" s="99">
        <f t="shared" si="7"/>
        <v>3</v>
      </c>
      <c r="K429" s="93"/>
      <c r="L429" s="93" t="s">
        <v>1374</v>
      </c>
      <c r="M429" s="93"/>
      <c r="N429" s="92">
        <v>3</v>
      </c>
      <c r="O429" s="92"/>
      <c r="P429" s="92"/>
    </row>
    <row r="430" spans="1:16">
      <c r="A430" s="39" t="str">
        <f>INDEX([2]活动总表!$A$8:$A$429,MATCH(B430,[2]活动总表!$B$8:$B$429,0))</f>
        <v>节日商店（61天以及以上</v>
      </c>
      <c r="B430" s="93">
        <v>368</v>
      </c>
      <c r="C430" s="94">
        <v>36</v>
      </c>
      <c r="D430" s="94">
        <v>0</v>
      </c>
      <c r="E430" s="94">
        <v>12</v>
      </c>
      <c r="F430" s="93">
        <v>500006</v>
      </c>
      <c r="G430" s="76" t="str">
        <f>IFERROR(INDEX([1]物品基础表!$A:$A,MATCH(F430,[1]物品基础表!$B:$B,0)),"")</f>
        <v>战纹精华-金</v>
      </c>
      <c r="H430" s="93">
        <v>5</v>
      </c>
      <c r="I430" s="93">
        <v>5000</v>
      </c>
      <c r="J430" s="99">
        <f t="shared" si="7"/>
        <v>1000</v>
      </c>
      <c r="K430" s="93"/>
      <c r="L430" s="93" t="s">
        <v>1375</v>
      </c>
      <c r="M430" s="93"/>
      <c r="N430" s="92" t="s">
        <v>919</v>
      </c>
      <c r="O430" s="92"/>
      <c r="P430" s="92"/>
    </row>
    <row r="431" spans="1:16">
      <c r="A431" s="39" t="str">
        <f>INDEX([2]活动总表!$A$8:$A$429,MATCH(B431,[2]活动总表!$B$8:$B$429,0))</f>
        <v>节日商店（61天以及以上</v>
      </c>
      <c r="B431" s="93">
        <v>368</v>
      </c>
      <c r="C431" s="94">
        <v>37</v>
      </c>
      <c r="D431" s="94">
        <v>0</v>
      </c>
      <c r="E431" s="94">
        <v>12</v>
      </c>
      <c r="F431" s="93">
        <v>500006</v>
      </c>
      <c r="G431" s="76" t="str">
        <f>IFERROR(INDEX([1]物品基础表!$A:$A,MATCH(F431,[1]物品基础表!$B:$B,0)),"")</f>
        <v>战纹精华-金</v>
      </c>
      <c r="H431" s="93">
        <v>5</v>
      </c>
      <c r="I431" s="93">
        <v>4000</v>
      </c>
      <c r="J431" s="99">
        <f t="shared" si="7"/>
        <v>800</v>
      </c>
      <c r="K431" s="93"/>
      <c r="L431" s="93" t="s">
        <v>1370</v>
      </c>
      <c r="M431" s="93"/>
      <c r="N431" s="92">
        <v>8</v>
      </c>
      <c r="O431" s="92"/>
      <c r="P431" s="92"/>
    </row>
    <row r="432" spans="1:16">
      <c r="A432" s="39" t="str">
        <f>INDEX([2]活动总表!$A$8:$A$429,MATCH(B432,[2]活动总表!$B$8:$B$429,0))</f>
        <v>节日商店（61天以及以上</v>
      </c>
      <c r="B432" s="93">
        <v>368</v>
      </c>
      <c r="C432" s="94">
        <v>38</v>
      </c>
      <c r="D432" s="94">
        <v>0</v>
      </c>
      <c r="E432" s="94">
        <v>12</v>
      </c>
      <c r="F432" s="93">
        <v>500006</v>
      </c>
      <c r="G432" s="76" t="str">
        <f>IFERROR(INDEX([1]物品基础表!$A:$A,MATCH(F432,[1]物品基础表!$B:$B,0)),"")</f>
        <v>战纹精华-金</v>
      </c>
      <c r="H432" s="93">
        <v>5</v>
      </c>
      <c r="I432" s="93">
        <v>2500</v>
      </c>
      <c r="J432" s="99">
        <f t="shared" si="7"/>
        <v>500</v>
      </c>
      <c r="K432" s="93"/>
      <c r="L432" s="93" t="s">
        <v>1376</v>
      </c>
      <c r="M432" s="93"/>
      <c r="N432" s="92">
        <v>5</v>
      </c>
      <c r="O432" s="92"/>
      <c r="P432" s="92"/>
    </row>
    <row r="433" spans="1:16">
      <c r="A433" s="39" t="str">
        <f>INDEX([2]活动总表!$A$8:$A$429,MATCH(B433,[2]活动总表!$B$8:$B$429,0))</f>
        <v>节日商店（61天以及以上</v>
      </c>
      <c r="B433" s="93">
        <v>368</v>
      </c>
      <c r="C433" s="94">
        <v>39</v>
      </c>
      <c r="D433" s="94">
        <v>0</v>
      </c>
      <c r="E433" s="94">
        <v>12</v>
      </c>
      <c r="F433" s="93">
        <v>500006</v>
      </c>
      <c r="G433" s="76" t="str">
        <f>IFERROR(INDEX([1]物品基础表!$A:$A,MATCH(F433,[1]物品基础表!$B:$B,0)),"")</f>
        <v>战纹精华-金</v>
      </c>
      <c r="H433" s="93">
        <v>5</v>
      </c>
      <c r="I433" s="93">
        <v>1500</v>
      </c>
      <c r="J433" s="99">
        <f t="shared" si="7"/>
        <v>300</v>
      </c>
      <c r="K433" s="93"/>
      <c r="L433" s="93" t="s">
        <v>1374</v>
      </c>
      <c r="M433" s="93"/>
      <c r="N433" s="92">
        <v>3</v>
      </c>
      <c r="O433" s="92"/>
      <c r="P433" s="92"/>
    </row>
    <row r="434" spans="1:16">
      <c r="A434" s="39" t="str">
        <f>INDEX([2]活动总表!$A$8:$A$429,MATCH(B434,[2]活动总表!$B$8:$B$429,0))</f>
        <v>节日商店（61天以及以上</v>
      </c>
      <c r="B434" s="93">
        <v>368</v>
      </c>
      <c r="C434" s="94">
        <v>40</v>
      </c>
      <c r="D434" s="94">
        <v>0</v>
      </c>
      <c r="E434" s="94">
        <v>12</v>
      </c>
      <c r="F434" s="93">
        <v>500006</v>
      </c>
      <c r="G434" s="76" t="str">
        <f>IFERROR(INDEX([1]物品基础表!$A:$A,MATCH(F434,[1]物品基础表!$B:$B,0)),"")</f>
        <v>战纹精华-金</v>
      </c>
      <c r="H434" s="93">
        <v>20</v>
      </c>
      <c r="I434" s="93">
        <v>16000</v>
      </c>
      <c r="J434" s="99">
        <f t="shared" si="7"/>
        <v>800</v>
      </c>
      <c r="K434" s="93"/>
      <c r="L434" s="93" t="s">
        <v>1370</v>
      </c>
      <c r="M434" s="93"/>
      <c r="N434" s="92">
        <v>8</v>
      </c>
      <c r="O434" s="92"/>
      <c r="P434" s="92"/>
    </row>
    <row r="435" spans="1:16">
      <c r="A435" s="39" t="str">
        <f>INDEX([2]活动总表!$A$8:$A$429,MATCH(B435,[2]活动总表!$B$8:$B$429,0))</f>
        <v>节日商店（61天以及以上</v>
      </c>
      <c r="B435" s="93">
        <v>368</v>
      </c>
      <c r="C435" s="94">
        <v>41</v>
      </c>
      <c r="D435" s="94">
        <v>0</v>
      </c>
      <c r="E435" s="94">
        <v>12</v>
      </c>
      <c r="F435" s="93">
        <v>500006</v>
      </c>
      <c r="G435" s="76" t="str">
        <f>IFERROR(INDEX([1]物品基础表!$A:$A,MATCH(F435,[1]物品基础表!$B:$B,0)),"")</f>
        <v>战纹精华-金</v>
      </c>
      <c r="H435" s="93">
        <v>20</v>
      </c>
      <c r="I435" s="93">
        <v>10000</v>
      </c>
      <c r="J435" s="99">
        <f t="shared" si="7"/>
        <v>500</v>
      </c>
      <c r="K435" s="93"/>
      <c r="L435" s="93" t="s">
        <v>1376</v>
      </c>
      <c r="M435" s="93"/>
      <c r="N435" s="92">
        <v>5</v>
      </c>
      <c r="O435" s="92"/>
      <c r="P435" s="92"/>
    </row>
    <row r="436" spans="1:16">
      <c r="A436" s="39" t="str">
        <f>INDEX([2]活动总表!$A$8:$A$429,MATCH(B436,[2]活动总表!$B$8:$B$429,0))</f>
        <v>节日商店（61天以及以上</v>
      </c>
      <c r="B436" s="93">
        <v>368</v>
      </c>
      <c r="C436" s="94">
        <v>42</v>
      </c>
      <c r="D436" s="94">
        <v>0</v>
      </c>
      <c r="E436" s="94">
        <v>12</v>
      </c>
      <c r="F436" s="93">
        <v>500006</v>
      </c>
      <c r="G436" s="76" t="str">
        <f>IFERROR(INDEX([1]物品基础表!$A:$A,MATCH(F436,[1]物品基础表!$B:$B,0)),"")</f>
        <v>战纹精华-金</v>
      </c>
      <c r="H436" s="93">
        <v>20</v>
      </c>
      <c r="I436" s="93">
        <v>6000</v>
      </c>
      <c r="J436" s="99">
        <f t="shared" si="7"/>
        <v>300</v>
      </c>
      <c r="K436" s="93"/>
      <c r="L436" s="93" t="s">
        <v>1374</v>
      </c>
      <c r="M436" s="93"/>
      <c r="N436" s="92">
        <v>3</v>
      </c>
      <c r="O436" s="92"/>
      <c r="P436" s="92"/>
    </row>
    <row r="437" spans="1:16">
      <c r="A437" s="39" t="str">
        <f>INDEX([2]活动总表!$A$8:$A$429,MATCH(B437,[2]活动总表!$B$8:$B$429,0))</f>
        <v>节日商店（61天以及以上</v>
      </c>
      <c r="B437" s="93">
        <v>368</v>
      </c>
      <c r="C437" s="94">
        <v>43</v>
      </c>
      <c r="D437" s="94">
        <v>0</v>
      </c>
      <c r="E437" s="94">
        <v>12</v>
      </c>
      <c r="F437" s="93">
        <v>200008</v>
      </c>
      <c r="G437" s="76" t="str">
        <f>IFERROR(INDEX([1]物品基础表!$A:$A,MATCH(F437,[1]物品基础表!$B:$B,0)),"")</f>
        <v>传奇碎片</v>
      </c>
      <c r="H437" s="93">
        <v>5</v>
      </c>
      <c r="I437" s="93">
        <v>5000</v>
      </c>
      <c r="J437" s="99">
        <f t="shared" si="7"/>
        <v>1000</v>
      </c>
      <c r="K437" s="93"/>
      <c r="L437" s="93" t="s">
        <v>1375</v>
      </c>
      <c r="M437" s="93"/>
      <c r="N437" s="92" t="s">
        <v>919</v>
      </c>
      <c r="O437" s="92"/>
      <c r="P437" s="92"/>
    </row>
    <row r="438" spans="1:16">
      <c r="A438" s="39" t="str">
        <f>INDEX([2]活动总表!$A$8:$A$429,MATCH(B438,[2]活动总表!$B$8:$B$429,0))</f>
        <v>节日商店（61天以及以上</v>
      </c>
      <c r="B438" s="93">
        <v>368</v>
      </c>
      <c r="C438" s="94">
        <v>44</v>
      </c>
      <c r="D438" s="94">
        <v>0</v>
      </c>
      <c r="E438" s="94">
        <v>12</v>
      </c>
      <c r="F438" s="93">
        <v>200008</v>
      </c>
      <c r="G438" s="76" t="str">
        <f>IFERROR(INDEX([1]物品基础表!$A:$A,MATCH(F438,[1]物品基础表!$B:$B,0)),"")</f>
        <v>传奇碎片</v>
      </c>
      <c r="H438" s="93">
        <v>5</v>
      </c>
      <c r="I438" s="93">
        <v>4000</v>
      </c>
      <c r="J438" s="99">
        <f t="shared" si="7"/>
        <v>800</v>
      </c>
      <c r="K438" s="93"/>
      <c r="L438" s="93" t="s">
        <v>1367</v>
      </c>
      <c r="M438" s="93"/>
      <c r="N438" s="92">
        <v>8</v>
      </c>
      <c r="O438" s="92"/>
      <c r="P438" s="92"/>
    </row>
    <row r="439" spans="1:16">
      <c r="A439" s="39" t="str">
        <f>INDEX([2]活动总表!$A$8:$A$429,MATCH(B439,[2]活动总表!$B$8:$B$429,0))</f>
        <v>节日商店（61天以及以上</v>
      </c>
      <c r="B439" s="93">
        <v>368</v>
      </c>
      <c r="C439" s="94">
        <v>45</v>
      </c>
      <c r="D439" s="94">
        <v>0</v>
      </c>
      <c r="E439" s="94">
        <v>12</v>
      </c>
      <c r="F439" s="93">
        <v>200008</v>
      </c>
      <c r="G439" s="76" t="str">
        <f>IFERROR(INDEX([1]物品基础表!$A:$A,MATCH(F439,[1]物品基础表!$B:$B,0)),"")</f>
        <v>传奇碎片</v>
      </c>
      <c r="H439" s="93">
        <v>5</v>
      </c>
      <c r="I439" s="93">
        <v>2500</v>
      </c>
      <c r="J439" s="99">
        <f t="shared" si="7"/>
        <v>500</v>
      </c>
      <c r="K439" s="93"/>
      <c r="L439" s="93" t="s">
        <v>1377</v>
      </c>
      <c r="M439" s="93"/>
      <c r="N439" s="92">
        <v>5</v>
      </c>
      <c r="O439" s="92"/>
      <c r="P439" s="92"/>
    </row>
    <row r="440" spans="1:16">
      <c r="A440" s="39" t="str">
        <f>INDEX([2]活动总表!$A$8:$A$429,MATCH(B440,[2]活动总表!$B$8:$B$429,0))</f>
        <v>节日商店（61天以及以上</v>
      </c>
      <c r="B440" s="93">
        <v>368</v>
      </c>
      <c r="C440" s="94">
        <v>46</v>
      </c>
      <c r="D440" s="94">
        <v>0</v>
      </c>
      <c r="E440" s="94">
        <v>12</v>
      </c>
      <c r="F440" s="93">
        <v>200008</v>
      </c>
      <c r="G440" s="76" t="str">
        <f>IFERROR(INDEX([1]物品基础表!$A:$A,MATCH(F440,[1]物品基础表!$B:$B,0)),"")</f>
        <v>传奇碎片</v>
      </c>
      <c r="H440" s="93">
        <v>5</v>
      </c>
      <c r="I440" s="93">
        <v>1500</v>
      </c>
      <c r="J440" s="99">
        <f t="shared" si="7"/>
        <v>300</v>
      </c>
      <c r="K440" s="93"/>
      <c r="L440" s="93" t="s">
        <v>1378</v>
      </c>
      <c r="M440" s="93"/>
      <c r="N440" s="92">
        <v>3</v>
      </c>
      <c r="O440" s="92"/>
      <c r="P440" s="92"/>
    </row>
    <row r="441" spans="1:16">
      <c r="A441" s="39" t="str">
        <f>INDEX([2]活动总表!$A$8:$A$429,MATCH(B441,[2]活动总表!$B$8:$B$429,0))</f>
        <v>节日商店（61天以及以上</v>
      </c>
      <c r="B441" s="93">
        <v>368</v>
      </c>
      <c r="C441" s="94">
        <v>47</v>
      </c>
      <c r="D441" s="94">
        <v>0</v>
      </c>
      <c r="E441" s="94">
        <v>12</v>
      </c>
      <c r="F441" s="93">
        <v>200008</v>
      </c>
      <c r="G441" s="76" t="str">
        <f>IFERROR(INDEX([1]物品基础表!$A:$A,MATCH(F441,[1]物品基础表!$B:$B,0)),"")</f>
        <v>传奇碎片</v>
      </c>
      <c r="H441" s="93">
        <v>20</v>
      </c>
      <c r="I441" s="93">
        <v>16000</v>
      </c>
      <c r="J441" s="99">
        <f t="shared" si="7"/>
        <v>800</v>
      </c>
      <c r="K441" s="93"/>
      <c r="L441" s="93" t="s">
        <v>1367</v>
      </c>
      <c r="M441" s="93"/>
      <c r="N441" s="92">
        <v>8</v>
      </c>
      <c r="O441" s="92"/>
      <c r="P441" s="92"/>
    </row>
    <row r="442" spans="1:16">
      <c r="A442" s="39" t="str">
        <f>INDEX([2]活动总表!$A$8:$A$429,MATCH(B442,[2]活动总表!$B$8:$B$429,0))</f>
        <v>节日商店（61天以及以上</v>
      </c>
      <c r="B442" s="93">
        <v>368</v>
      </c>
      <c r="C442" s="94">
        <v>48</v>
      </c>
      <c r="D442" s="94">
        <v>0</v>
      </c>
      <c r="E442" s="94">
        <v>12</v>
      </c>
      <c r="F442" s="93">
        <v>200008</v>
      </c>
      <c r="G442" s="76" t="str">
        <f>IFERROR(INDEX([1]物品基础表!$A:$A,MATCH(F442,[1]物品基础表!$B:$B,0)),"")</f>
        <v>传奇碎片</v>
      </c>
      <c r="H442" s="93">
        <v>20</v>
      </c>
      <c r="I442" s="93">
        <v>10000</v>
      </c>
      <c r="J442" s="99">
        <f t="shared" si="7"/>
        <v>500</v>
      </c>
      <c r="K442" s="93"/>
      <c r="L442" s="93" t="s">
        <v>1377</v>
      </c>
      <c r="M442" s="93"/>
      <c r="N442" s="92">
        <v>5</v>
      </c>
      <c r="O442" s="92"/>
      <c r="P442" s="92"/>
    </row>
    <row r="443" spans="1:16">
      <c r="A443" s="39" t="str">
        <f>INDEX([2]活动总表!$A$8:$A$429,MATCH(B443,[2]活动总表!$B$8:$B$429,0))</f>
        <v>节日商店（61天以及以上</v>
      </c>
      <c r="B443" s="93">
        <v>368</v>
      </c>
      <c r="C443" s="94">
        <v>49</v>
      </c>
      <c r="D443" s="94">
        <v>0</v>
      </c>
      <c r="E443" s="94">
        <v>12</v>
      </c>
      <c r="F443" s="93">
        <v>200008</v>
      </c>
      <c r="G443" s="76" t="str">
        <f>IFERROR(INDEX([1]物品基础表!$A:$A,MATCH(F443,[1]物品基础表!$B:$B,0)),"")</f>
        <v>传奇碎片</v>
      </c>
      <c r="H443" s="93">
        <v>20</v>
      </c>
      <c r="I443" s="93">
        <v>6000</v>
      </c>
      <c r="J443" s="99">
        <f t="shared" si="7"/>
        <v>300</v>
      </c>
      <c r="K443" s="93"/>
      <c r="L443" s="93" t="s">
        <v>1378</v>
      </c>
      <c r="M443" s="93"/>
      <c r="N443" s="92">
        <v>3</v>
      </c>
      <c r="O443" s="92"/>
      <c r="P443" s="92"/>
    </row>
    <row r="444" spans="1:16">
      <c r="A444" s="39" t="str">
        <f>INDEX([2]活动总表!$A$8:$A$429,MATCH(B444,[2]活动总表!$B$8:$B$429,0))</f>
        <v>节日商店（61天以及以上</v>
      </c>
      <c r="B444" s="93">
        <v>368</v>
      </c>
      <c r="C444" s="94">
        <v>50</v>
      </c>
      <c r="D444" s="94">
        <v>0</v>
      </c>
      <c r="E444" s="94">
        <v>12</v>
      </c>
      <c r="F444" s="93">
        <v>200301</v>
      </c>
      <c r="G444" s="76" t="str">
        <f>IFERROR(INDEX([1]物品基础表!$A:$A,MATCH(F444,[1]物品基础表!$B:$B,0)),"")</f>
        <v>传世宝钻</v>
      </c>
      <c r="H444" s="93">
        <v>50</v>
      </c>
      <c r="I444" s="93">
        <v>5000</v>
      </c>
      <c r="J444" s="99">
        <f t="shared" si="7"/>
        <v>100</v>
      </c>
      <c r="K444" s="93"/>
      <c r="L444" s="93" t="s">
        <v>1379</v>
      </c>
      <c r="M444" s="93"/>
      <c r="N444" s="92" t="s">
        <v>919</v>
      </c>
      <c r="O444" s="92"/>
      <c r="P444" s="92"/>
    </row>
    <row r="445" spans="1:16">
      <c r="A445" s="39" t="str">
        <f>INDEX([2]活动总表!$A$8:$A$429,MATCH(B445,[2]活动总表!$B$8:$B$429,0))</f>
        <v>节日商店（61天以及以上</v>
      </c>
      <c r="B445" s="93">
        <v>368</v>
      </c>
      <c r="C445" s="94">
        <v>51</v>
      </c>
      <c r="D445" s="94">
        <v>0</v>
      </c>
      <c r="E445" s="94">
        <v>12</v>
      </c>
      <c r="F445" s="93">
        <v>200301</v>
      </c>
      <c r="G445" s="76" t="str">
        <f>IFERROR(INDEX([1]物品基础表!$A:$A,MATCH(F445,[1]物品基础表!$B:$B,0)),"")</f>
        <v>传世宝钻</v>
      </c>
      <c r="H445" s="93">
        <v>50</v>
      </c>
      <c r="I445" s="93">
        <v>4000</v>
      </c>
      <c r="J445" s="99">
        <f t="shared" si="7"/>
        <v>80</v>
      </c>
      <c r="K445" s="93"/>
      <c r="L445" s="93" t="s">
        <v>1380</v>
      </c>
      <c r="M445" s="93"/>
      <c r="N445" s="92">
        <v>8</v>
      </c>
      <c r="O445" s="92"/>
      <c r="P445" s="92"/>
    </row>
    <row r="446" spans="1:16">
      <c r="A446" s="39" t="str">
        <f>INDEX([2]活动总表!$A$8:$A$429,MATCH(B446,[2]活动总表!$B$8:$B$429,0))</f>
        <v>节日商店（61天以及以上</v>
      </c>
      <c r="B446" s="93">
        <v>368</v>
      </c>
      <c r="C446" s="94">
        <v>52</v>
      </c>
      <c r="D446" s="94">
        <v>0</v>
      </c>
      <c r="E446" s="94">
        <v>12</v>
      </c>
      <c r="F446" s="93">
        <v>200301</v>
      </c>
      <c r="G446" s="76" t="str">
        <f>IFERROR(INDEX([1]物品基础表!$A:$A,MATCH(F446,[1]物品基础表!$B:$B,0)),"")</f>
        <v>传世宝钻</v>
      </c>
      <c r="H446" s="93">
        <v>50</v>
      </c>
      <c r="I446" s="93">
        <v>2500</v>
      </c>
      <c r="J446" s="99">
        <f t="shared" si="7"/>
        <v>50</v>
      </c>
      <c r="K446" s="93"/>
      <c r="L446" s="93" t="s">
        <v>1381</v>
      </c>
      <c r="M446" s="93"/>
      <c r="N446" s="92">
        <v>5</v>
      </c>
      <c r="O446" s="92"/>
      <c r="P446" s="92"/>
    </row>
    <row r="447" spans="1:16">
      <c r="A447" s="39" t="str">
        <f>INDEX([2]活动总表!$A$8:$A$429,MATCH(B447,[2]活动总表!$B$8:$B$429,0))</f>
        <v>节日商店（61天以及以上</v>
      </c>
      <c r="B447" s="93">
        <v>368</v>
      </c>
      <c r="C447" s="94">
        <v>53</v>
      </c>
      <c r="D447" s="94">
        <v>0</v>
      </c>
      <c r="E447" s="94">
        <v>12</v>
      </c>
      <c r="F447" s="93">
        <v>200301</v>
      </c>
      <c r="G447" s="76" t="str">
        <f>IFERROR(INDEX([1]物品基础表!$A:$A,MATCH(F447,[1]物品基础表!$B:$B,0)),"")</f>
        <v>传世宝钻</v>
      </c>
      <c r="H447" s="93">
        <v>50</v>
      </c>
      <c r="I447" s="93">
        <v>1500</v>
      </c>
      <c r="J447" s="99">
        <f t="shared" si="7"/>
        <v>30</v>
      </c>
      <c r="K447" s="93"/>
      <c r="L447" s="93" t="s">
        <v>1382</v>
      </c>
      <c r="M447" s="93"/>
      <c r="N447" s="92">
        <v>3</v>
      </c>
      <c r="O447" s="92"/>
      <c r="P447" s="92"/>
    </row>
    <row r="448" spans="1:16">
      <c r="A448" s="39" t="str">
        <f>INDEX([2]活动总表!$A$8:$A$429,MATCH(B448,[2]活动总表!$B$8:$B$429,0))</f>
        <v>节日商店（61天以及以上</v>
      </c>
      <c r="B448" s="93">
        <v>368</v>
      </c>
      <c r="C448" s="94">
        <v>54</v>
      </c>
      <c r="D448" s="94">
        <v>0</v>
      </c>
      <c r="E448" s="94">
        <v>12</v>
      </c>
      <c r="F448" s="93">
        <v>200301</v>
      </c>
      <c r="G448" s="76" t="str">
        <f>IFERROR(INDEX([1]物品基础表!$A:$A,MATCH(F448,[1]物品基础表!$B:$B,0)),"")</f>
        <v>传世宝钻</v>
      </c>
      <c r="H448" s="93">
        <v>200</v>
      </c>
      <c r="I448" s="93">
        <v>16000</v>
      </c>
      <c r="J448" s="99">
        <f t="shared" si="7"/>
        <v>80</v>
      </c>
      <c r="K448" s="93"/>
      <c r="L448" s="93" t="s">
        <v>1380</v>
      </c>
      <c r="M448" s="93"/>
      <c r="N448" s="92">
        <v>8</v>
      </c>
      <c r="O448" s="92"/>
      <c r="P448" s="92"/>
    </row>
    <row r="449" spans="1:16">
      <c r="A449" s="39" t="str">
        <f>INDEX([2]活动总表!$A$8:$A$429,MATCH(B449,[2]活动总表!$B$8:$B$429,0))</f>
        <v>节日商店（61天以及以上</v>
      </c>
      <c r="B449" s="93">
        <v>368</v>
      </c>
      <c r="C449" s="94">
        <v>55</v>
      </c>
      <c r="D449" s="94">
        <v>0</v>
      </c>
      <c r="E449" s="94">
        <v>12</v>
      </c>
      <c r="F449" s="93">
        <v>200301</v>
      </c>
      <c r="G449" s="76" t="str">
        <f>IFERROR(INDEX([1]物品基础表!$A:$A,MATCH(F449,[1]物品基础表!$B:$B,0)),"")</f>
        <v>传世宝钻</v>
      </c>
      <c r="H449" s="93">
        <v>200</v>
      </c>
      <c r="I449" s="93">
        <v>10000</v>
      </c>
      <c r="J449" s="99">
        <f t="shared" si="7"/>
        <v>50</v>
      </c>
      <c r="K449" s="93"/>
      <c r="L449" s="93" t="s">
        <v>1381</v>
      </c>
      <c r="M449" s="93"/>
      <c r="N449" s="92">
        <v>5</v>
      </c>
      <c r="O449" s="92"/>
      <c r="P449" s="92"/>
    </row>
    <row r="450" spans="1:16">
      <c r="A450" s="39" t="str">
        <f>INDEX([2]活动总表!$A$8:$A$429,MATCH(B450,[2]活动总表!$B$8:$B$429,0))</f>
        <v>节日商店（61天以及以上</v>
      </c>
      <c r="B450" s="93">
        <v>368</v>
      </c>
      <c r="C450" s="94">
        <v>56</v>
      </c>
      <c r="D450" s="94">
        <v>0</v>
      </c>
      <c r="E450" s="94">
        <v>12</v>
      </c>
      <c r="F450" s="93">
        <v>200301</v>
      </c>
      <c r="G450" s="76" t="str">
        <f>IFERROR(INDEX([1]物品基础表!$A:$A,MATCH(F450,[1]物品基础表!$B:$B,0)),"")</f>
        <v>传世宝钻</v>
      </c>
      <c r="H450" s="93">
        <v>200</v>
      </c>
      <c r="I450" s="93">
        <v>6000</v>
      </c>
      <c r="J450" s="99">
        <f t="shared" si="7"/>
        <v>30</v>
      </c>
      <c r="K450" s="93"/>
      <c r="L450" s="93" t="s">
        <v>1382</v>
      </c>
      <c r="M450" s="93"/>
      <c r="N450" s="92">
        <v>3</v>
      </c>
      <c r="O450" s="92"/>
      <c r="P450" s="92"/>
    </row>
    <row r="451" spans="1:16">
      <c r="A451" s="39" t="str">
        <f>INDEX([2]活动总表!$A$8:$A$429,MATCH(B451,[2]活动总表!$B$8:$B$429,0))</f>
        <v>节日商店（61天以及以上</v>
      </c>
      <c r="B451" s="93">
        <v>368</v>
      </c>
      <c r="C451" s="94">
        <v>57</v>
      </c>
      <c r="D451" s="94">
        <v>0</v>
      </c>
      <c r="E451" s="94">
        <v>12</v>
      </c>
      <c r="F451" s="93">
        <v>200003</v>
      </c>
      <c r="G451" s="76" t="str">
        <f>IFERROR(INDEX([1]物品基础表!$A:$A,MATCH(F451,[1]物品基础表!$B:$B,0)),"")</f>
        <v>铸造晶石</v>
      </c>
      <c r="H451" s="93">
        <v>60</v>
      </c>
      <c r="I451" s="93">
        <v>3000</v>
      </c>
      <c r="J451" s="99">
        <f t="shared" si="7"/>
        <v>50</v>
      </c>
      <c r="K451" s="93"/>
      <c r="L451" s="93" t="s">
        <v>1379</v>
      </c>
      <c r="M451" s="93"/>
      <c r="N451" s="92" t="s">
        <v>919</v>
      </c>
      <c r="O451" s="92"/>
      <c r="P451" s="92"/>
    </row>
    <row r="452" spans="1:16">
      <c r="A452" s="39" t="str">
        <f>INDEX([2]活动总表!$A$8:$A$429,MATCH(B452,[2]活动总表!$B$8:$B$429,0))</f>
        <v>节日商店（61天以及以上</v>
      </c>
      <c r="B452" s="93">
        <v>368</v>
      </c>
      <c r="C452" s="94">
        <v>58</v>
      </c>
      <c r="D452" s="94">
        <v>0</v>
      </c>
      <c r="E452" s="94">
        <v>12</v>
      </c>
      <c r="F452" s="93">
        <v>200003</v>
      </c>
      <c r="G452" s="76" t="str">
        <f>IFERROR(INDEX([1]物品基础表!$A:$A,MATCH(F452,[1]物品基础表!$B:$B,0)),"")</f>
        <v>铸造晶石</v>
      </c>
      <c r="H452" s="93">
        <v>60</v>
      </c>
      <c r="I452" s="93">
        <v>2400</v>
      </c>
      <c r="J452" s="99">
        <f t="shared" ref="J452:J515" si="8">I452/H452</f>
        <v>40</v>
      </c>
      <c r="K452" s="93"/>
      <c r="L452" s="93" t="s">
        <v>1380</v>
      </c>
      <c r="M452" s="93"/>
      <c r="N452" s="92">
        <v>8</v>
      </c>
      <c r="O452" s="92"/>
      <c r="P452" s="92"/>
    </row>
    <row r="453" spans="1:16">
      <c r="A453" s="39" t="str">
        <f>INDEX([2]活动总表!$A$8:$A$429,MATCH(B453,[2]活动总表!$B$8:$B$429,0))</f>
        <v>节日商店（61天以及以上</v>
      </c>
      <c r="B453" s="93">
        <v>368</v>
      </c>
      <c r="C453" s="94">
        <v>59</v>
      </c>
      <c r="D453" s="94">
        <v>0</v>
      </c>
      <c r="E453" s="94">
        <v>12</v>
      </c>
      <c r="F453" s="93">
        <v>200003</v>
      </c>
      <c r="G453" s="76" t="str">
        <f>IFERROR(INDEX([1]物品基础表!$A:$A,MATCH(F453,[1]物品基础表!$B:$B,0)),"")</f>
        <v>铸造晶石</v>
      </c>
      <c r="H453" s="93">
        <v>60</v>
      </c>
      <c r="I453" s="93">
        <v>1500</v>
      </c>
      <c r="J453" s="99">
        <f t="shared" si="8"/>
        <v>25</v>
      </c>
      <c r="K453" s="93"/>
      <c r="L453" s="93" t="s">
        <v>1383</v>
      </c>
      <c r="M453" s="93"/>
      <c r="N453" s="92">
        <v>5</v>
      </c>
      <c r="O453" s="92"/>
      <c r="P453" s="92"/>
    </row>
    <row r="454" spans="1:16">
      <c r="A454" s="39" t="str">
        <f>INDEX([2]活动总表!$A$8:$A$429,MATCH(B454,[2]活动总表!$B$8:$B$429,0))</f>
        <v>节日商店（61天以及以上</v>
      </c>
      <c r="B454" s="93">
        <v>368</v>
      </c>
      <c r="C454" s="94">
        <v>60</v>
      </c>
      <c r="D454" s="94">
        <v>0</v>
      </c>
      <c r="E454" s="94">
        <v>12</v>
      </c>
      <c r="F454" s="93">
        <v>200003</v>
      </c>
      <c r="G454" s="76" t="str">
        <f>IFERROR(INDEX([1]物品基础表!$A:$A,MATCH(F454,[1]物品基础表!$B:$B,0)),"")</f>
        <v>铸造晶石</v>
      </c>
      <c r="H454" s="93">
        <v>60</v>
      </c>
      <c r="I454" s="93">
        <v>900</v>
      </c>
      <c r="J454" s="99">
        <f t="shared" si="8"/>
        <v>15</v>
      </c>
      <c r="K454" s="93"/>
      <c r="L454" s="93" t="s">
        <v>1384</v>
      </c>
      <c r="M454" s="93"/>
      <c r="N454" s="92">
        <v>3</v>
      </c>
      <c r="O454" s="92"/>
      <c r="P454" s="92"/>
    </row>
    <row r="455" spans="1:16">
      <c r="A455" s="39" t="str">
        <f>INDEX([2]活动总表!$A$8:$A$429,MATCH(B455,[2]活动总表!$B$8:$B$429,0))</f>
        <v>节日商店（61天以及以上</v>
      </c>
      <c r="B455" s="93">
        <v>368</v>
      </c>
      <c r="C455" s="94">
        <v>61</v>
      </c>
      <c r="D455" s="94">
        <v>0</v>
      </c>
      <c r="E455" s="94">
        <v>12</v>
      </c>
      <c r="F455" s="93">
        <v>200003</v>
      </c>
      <c r="G455" s="76" t="str">
        <f>IFERROR(INDEX([1]物品基础表!$A:$A,MATCH(F455,[1]物品基础表!$B:$B,0)),"")</f>
        <v>铸造晶石</v>
      </c>
      <c r="H455" s="93">
        <v>200</v>
      </c>
      <c r="I455" s="93">
        <v>8000</v>
      </c>
      <c r="J455" s="99">
        <f t="shared" si="8"/>
        <v>40</v>
      </c>
      <c r="K455" s="93"/>
      <c r="L455" s="93" t="s">
        <v>1380</v>
      </c>
      <c r="M455" s="93"/>
      <c r="N455" s="92">
        <v>8</v>
      </c>
      <c r="O455" s="92"/>
      <c r="P455" s="92"/>
    </row>
    <row r="456" spans="1:16">
      <c r="A456" s="39" t="str">
        <f>INDEX([2]活动总表!$A$8:$A$429,MATCH(B456,[2]活动总表!$B$8:$B$429,0))</f>
        <v>节日商店（61天以及以上</v>
      </c>
      <c r="B456" s="93">
        <v>368</v>
      </c>
      <c r="C456" s="94">
        <v>62</v>
      </c>
      <c r="D456" s="94">
        <v>0</v>
      </c>
      <c r="E456" s="94">
        <v>12</v>
      </c>
      <c r="F456" s="93">
        <v>200003</v>
      </c>
      <c r="G456" s="76" t="str">
        <f>IFERROR(INDEX([1]物品基础表!$A:$A,MATCH(F456,[1]物品基础表!$B:$B,0)),"")</f>
        <v>铸造晶石</v>
      </c>
      <c r="H456" s="93">
        <v>200</v>
      </c>
      <c r="I456" s="93">
        <v>5000</v>
      </c>
      <c r="J456" s="99">
        <f t="shared" si="8"/>
        <v>25</v>
      </c>
      <c r="K456" s="93"/>
      <c r="L456" s="93" t="s">
        <v>1383</v>
      </c>
      <c r="M456" s="93"/>
      <c r="N456" s="92">
        <v>5</v>
      </c>
      <c r="O456" s="92"/>
      <c r="P456" s="92"/>
    </row>
    <row r="457" spans="1:16">
      <c r="A457" s="39" t="str">
        <f>INDEX([2]活动总表!$A$8:$A$429,MATCH(B457,[2]活动总表!$B$8:$B$429,0))</f>
        <v>节日商店（61天以及以上</v>
      </c>
      <c r="B457" s="93">
        <v>368</v>
      </c>
      <c r="C457" s="94">
        <v>63</v>
      </c>
      <c r="D457" s="94">
        <v>0</v>
      </c>
      <c r="E457" s="94">
        <v>12</v>
      </c>
      <c r="F457" s="93">
        <v>200003</v>
      </c>
      <c r="G457" s="76" t="str">
        <f>IFERROR(INDEX([1]物品基础表!$A:$A,MATCH(F457,[1]物品基础表!$B:$B,0)),"")</f>
        <v>铸造晶石</v>
      </c>
      <c r="H457" s="93">
        <v>200</v>
      </c>
      <c r="I457" s="93">
        <v>3000</v>
      </c>
      <c r="J457" s="99">
        <f t="shared" si="8"/>
        <v>15</v>
      </c>
      <c r="K457" s="93"/>
      <c r="L457" s="93" t="s">
        <v>1384</v>
      </c>
      <c r="M457" s="93"/>
      <c r="N457" s="92">
        <v>3</v>
      </c>
      <c r="O457" s="92"/>
      <c r="P457" s="92"/>
    </row>
    <row r="458" spans="1:16">
      <c r="A458" s="39" t="str">
        <f>INDEX([2]活动总表!$A$8:$A$429,MATCH(B458,[2]活动总表!$B$8:$B$429,0))</f>
        <v>节日商店（61天以及以上</v>
      </c>
      <c r="B458" s="93">
        <v>368</v>
      </c>
      <c r="C458" s="94">
        <v>64</v>
      </c>
      <c r="D458" s="94">
        <v>0</v>
      </c>
      <c r="E458" s="94">
        <v>12</v>
      </c>
      <c r="F458" s="93">
        <v>270002</v>
      </c>
      <c r="G458" s="76" t="str">
        <f>IFERROR(INDEX([1]物品基础表!$A:$A,MATCH(F458,[1]物品基础表!$B:$B,0)),"")</f>
        <v>中级经验卡</v>
      </c>
      <c r="H458" s="93">
        <v>3</v>
      </c>
      <c r="I458" s="93">
        <v>2400</v>
      </c>
      <c r="J458" s="99">
        <f t="shared" si="8"/>
        <v>800</v>
      </c>
      <c r="K458" s="93"/>
      <c r="L458" s="93" t="s">
        <v>1367</v>
      </c>
      <c r="M458" s="93"/>
      <c r="N458" s="92" t="s">
        <v>919</v>
      </c>
      <c r="O458" s="92"/>
      <c r="P458" s="92"/>
    </row>
    <row r="459" spans="1:16">
      <c r="A459" s="39" t="str">
        <f>INDEX([2]活动总表!$A$8:$A$429,MATCH(B459,[2]活动总表!$B$8:$B$429,0))</f>
        <v>节日商店（61天以及以上</v>
      </c>
      <c r="B459" s="93">
        <v>368</v>
      </c>
      <c r="C459" s="94">
        <v>65</v>
      </c>
      <c r="D459" s="94">
        <v>0</v>
      </c>
      <c r="E459" s="94">
        <v>12</v>
      </c>
      <c r="F459" s="93">
        <v>270002</v>
      </c>
      <c r="G459" s="76" t="str">
        <f>IFERROR(INDEX([1]物品基础表!$A:$A,MATCH(F459,[1]物品基础表!$B:$B,0)),"")</f>
        <v>中级经验卡</v>
      </c>
      <c r="H459" s="93">
        <v>3</v>
      </c>
      <c r="I459" s="93">
        <v>1900</v>
      </c>
      <c r="J459" s="99">
        <f t="shared" si="8"/>
        <v>633.33333333333337</v>
      </c>
      <c r="K459" s="93"/>
      <c r="L459" s="93" t="s">
        <v>1385</v>
      </c>
      <c r="M459" s="93"/>
      <c r="N459" s="92">
        <v>8</v>
      </c>
      <c r="O459" s="92"/>
      <c r="P459" s="92"/>
    </row>
    <row r="460" spans="1:16">
      <c r="A460" s="39" t="str">
        <f>INDEX([2]活动总表!$A$8:$A$429,MATCH(B460,[2]活动总表!$B$8:$B$429,0))</f>
        <v>节日商店（61天以及以上</v>
      </c>
      <c r="B460" s="93">
        <v>368</v>
      </c>
      <c r="C460" s="94">
        <v>66</v>
      </c>
      <c r="D460" s="94">
        <v>0</v>
      </c>
      <c r="E460" s="94">
        <v>12</v>
      </c>
      <c r="F460" s="93">
        <v>270002</v>
      </c>
      <c r="G460" s="76" t="str">
        <f>IFERROR(INDEX([1]物品基础表!$A:$A,MATCH(F460,[1]物品基础表!$B:$B,0)),"")</f>
        <v>中级经验卡</v>
      </c>
      <c r="H460" s="93">
        <v>3</v>
      </c>
      <c r="I460" s="93">
        <v>1200</v>
      </c>
      <c r="J460" s="99">
        <f t="shared" si="8"/>
        <v>400</v>
      </c>
      <c r="K460" s="93"/>
      <c r="L460" s="93" t="s">
        <v>1386</v>
      </c>
      <c r="M460" s="93"/>
      <c r="N460" s="92">
        <v>5</v>
      </c>
      <c r="O460" s="92"/>
      <c r="P460" s="92"/>
    </row>
    <row r="461" spans="1:16">
      <c r="A461" s="39" t="str">
        <f>INDEX([2]活动总表!$A$8:$A$429,MATCH(B461,[2]活动总表!$B$8:$B$429,0))</f>
        <v>节日商店（61天以及以上</v>
      </c>
      <c r="B461" s="93">
        <v>368</v>
      </c>
      <c r="C461" s="94">
        <v>67</v>
      </c>
      <c r="D461" s="94">
        <v>0</v>
      </c>
      <c r="E461" s="94">
        <v>12</v>
      </c>
      <c r="F461" s="93">
        <v>270002</v>
      </c>
      <c r="G461" s="76" t="str">
        <f>IFERROR(INDEX([1]物品基础表!$A:$A,MATCH(F461,[1]物品基础表!$B:$B,0)),"")</f>
        <v>中级经验卡</v>
      </c>
      <c r="H461" s="93">
        <v>10</v>
      </c>
      <c r="I461" s="93">
        <v>8000</v>
      </c>
      <c r="J461" s="99">
        <f t="shared" si="8"/>
        <v>800</v>
      </c>
      <c r="K461" s="93"/>
      <c r="L461" s="93" t="s">
        <v>1367</v>
      </c>
      <c r="M461" s="93"/>
      <c r="N461" s="92" t="s">
        <v>919</v>
      </c>
      <c r="O461" s="92"/>
      <c r="P461" s="92"/>
    </row>
    <row r="462" spans="1:16">
      <c r="A462" s="39" t="str">
        <f>INDEX([2]活动总表!$A$8:$A$429,MATCH(B462,[2]活动总表!$B$8:$B$429,0))</f>
        <v>节日商店（61天以及以上</v>
      </c>
      <c r="B462" s="93">
        <v>368</v>
      </c>
      <c r="C462" s="94">
        <v>68</v>
      </c>
      <c r="D462" s="94">
        <v>0</v>
      </c>
      <c r="E462" s="94">
        <v>12</v>
      </c>
      <c r="F462" s="93">
        <v>270002</v>
      </c>
      <c r="G462" s="76" t="str">
        <f>IFERROR(INDEX([1]物品基础表!$A:$A,MATCH(F462,[1]物品基础表!$B:$B,0)),"")</f>
        <v>中级经验卡</v>
      </c>
      <c r="H462" s="93">
        <v>10</v>
      </c>
      <c r="I462" s="93">
        <v>6400</v>
      </c>
      <c r="J462" s="99">
        <f t="shared" si="8"/>
        <v>640</v>
      </c>
      <c r="K462" s="93"/>
      <c r="L462" s="93" t="s">
        <v>1385</v>
      </c>
      <c r="M462" s="93"/>
      <c r="N462" s="92">
        <v>8</v>
      </c>
      <c r="O462" s="92"/>
      <c r="P462" s="92"/>
    </row>
    <row r="463" spans="1:16">
      <c r="A463" s="39" t="str">
        <f>INDEX([2]活动总表!$A$8:$A$429,MATCH(B463,[2]活动总表!$B$8:$B$429,0))</f>
        <v>节日商店（61天以及以上</v>
      </c>
      <c r="B463" s="93">
        <v>368</v>
      </c>
      <c r="C463" s="94">
        <v>69</v>
      </c>
      <c r="D463" s="94">
        <v>0</v>
      </c>
      <c r="E463" s="94">
        <v>12</v>
      </c>
      <c r="F463" s="93">
        <v>270002</v>
      </c>
      <c r="G463" s="76" t="str">
        <f>IFERROR(INDEX([1]物品基础表!$A:$A,MATCH(F463,[1]物品基础表!$B:$B,0)),"")</f>
        <v>中级经验卡</v>
      </c>
      <c r="H463" s="93">
        <v>10</v>
      </c>
      <c r="I463" s="93">
        <v>4000</v>
      </c>
      <c r="J463" s="99">
        <f t="shared" si="8"/>
        <v>400</v>
      </c>
      <c r="K463" s="93"/>
      <c r="L463" s="93" t="s">
        <v>1386</v>
      </c>
      <c r="M463" s="93"/>
      <c r="N463" s="92">
        <v>5</v>
      </c>
      <c r="O463" s="92"/>
      <c r="P463" s="92"/>
    </row>
    <row r="464" spans="1:16">
      <c r="A464" s="39" t="str">
        <f>INDEX([2]活动总表!$A$8:$A$429,MATCH(B464,[2]活动总表!$B$8:$B$429,0))</f>
        <v>节日商店（61天以及以上</v>
      </c>
      <c r="B464" s="93">
        <v>368</v>
      </c>
      <c r="C464" s="94">
        <v>70</v>
      </c>
      <c r="D464" s="94">
        <v>0</v>
      </c>
      <c r="E464" s="94">
        <v>12</v>
      </c>
      <c r="F464" s="93">
        <v>200211</v>
      </c>
      <c r="G464" s="76" t="str">
        <f>IFERROR(INDEX([1]物品基础表!$A:$A,MATCH(F464,[1]物品基础表!$B:$B,0)),"")</f>
        <v>烈焰印记加持技能书</v>
      </c>
      <c r="H464" s="93">
        <v>1</v>
      </c>
      <c r="I464" s="93">
        <v>50000</v>
      </c>
      <c r="J464" s="99">
        <f t="shared" si="8"/>
        <v>50000</v>
      </c>
      <c r="K464" s="93"/>
      <c r="L464" s="93" t="s">
        <v>1387</v>
      </c>
      <c r="M464" s="93"/>
      <c r="N464" s="92">
        <v>5</v>
      </c>
      <c r="O464" s="92"/>
      <c r="P464" s="92"/>
    </row>
    <row r="465" spans="1:16">
      <c r="A465" s="39" t="str">
        <f>INDEX([2]活动总表!$A$8:$A$429,MATCH(B465,[2]活动总表!$B$8:$B$429,0))</f>
        <v>节日商店（61天以及以上</v>
      </c>
      <c r="B465" s="93">
        <v>368</v>
      </c>
      <c r="C465" s="94">
        <v>71</v>
      </c>
      <c r="D465" s="94">
        <v>0</v>
      </c>
      <c r="E465" s="94">
        <v>12</v>
      </c>
      <c r="F465" s="93">
        <v>200211</v>
      </c>
      <c r="G465" s="76" t="str">
        <f>IFERROR(INDEX([1]物品基础表!$A:$A,MATCH(F465,[1]物品基础表!$B:$B,0)),"")</f>
        <v>烈焰印记加持技能书</v>
      </c>
      <c r="H465" s="93">
        <v>1</v>
      </c>
      <c r="I465" s="93">
        <v>30000</v>
      </c>
      <c r="J465" s="99">
        <f t="shared" si="8"/>
        <v>30000</v>
      </c>
      <c r="K465" s="93"/>
      <c r="L465" s="93" t="s">
        <v>1388</v>
      </c>
      <c r="M465" s="93"/>
      <c r="N465" s="92">
        <v>3</v>
      </c>
      <c r="O465" s="92"/>
      <c r="P465" s="92"/>
    </row>
    <row r="466" spans="1:16">
      <c r="A466" s="39" t="str">
        <f>INDEX([2]活动总表!$A$8:$A$429,MATCH(B466,[2]活动总表!$B$8:$B$429,0))</f>
        <v>节日商店（61天以及以上</v>
      </c>
      <c r="B466" s="93">
        <v>368</v>
      </c>
      <c r="C466" s="94">
        <v>72</v>
      </c>
      <c r="D466" s="94">
        <v>0</v>
      </c>
      <c r="E466" s="94">
        <v>12</v>
      </c>
      <c r="F466" s="93">
        <v>202006</v>
      </c>
      <c r="G466" s="76" t="str">
        <f>IFERROR(INDEX([1]物品基础表!$A:$A,MATCH(F466,[1]物品基础表!$B:$B,0)),"")</f>
        <v>烈焰戒指技能6书</v>
      </c>
      <c r="H466" s="93">
        <v>1</v>
      </c>
      <c r="I466" s="93">
        <v>8000</v>
      </c>
      <c r="J466" s="99">
        <f t="shared" si="8"/>
        <v>8000</v>
      </c>
      <c r="K466" s="93"/>
      <c r="L466" s="93" t="s">
        <v>1381</v>
      </c>
      <c r="M466" s="93"/>
      <c r="N466" s="92">
        <v>5</v>
      </c>
      <c r="O466" s="92"/>
      <c r="P466" s="92"/>
    </row>
    <row r="467" spans="1:16">
      <c r="A467" s="39" t="str">
        <f>INDEX([2]活动总表!$A$8:$A$429,MATCH(B467,[2]活动总表!$B$8:$B$429,0))</f>
        <v>节日商店（61天以及以上</v>
      </c>
      <c r="B467" s="93">
        <v>368</v>
      </c>
      <c r="C467" s="94">
        <v>73</v>
      </c>
      <c r="D467" s="94">
        <v>0</v>
      </c>
      <c r="E467" s="94">
        <v>12</v>
      </c>
      <c r="F467" s="93">
        <v>202006</v>
      </c>
      <c r="G467" s="76" t="str">
        <f>IFERROR(INDEX([1]物品基础表!$A:$A,MATCH(F467,[1]物品基础表!$B:$B,0)),"")</f>
        <v>烈焰戒指技能6书</v>
      </c>
      <c r="H467" s="93">
        <v>1</v>
      </c>
      <c r="I467" s="93">
        <v>4800</v>
      </c>
      <c r="J467" s="99">
        <f t="shared" si="8"/>
        <v>4800</v>
      </c>
      <c r="K467" s="93"/>
      <c r="L467" s="93" t="s">
        <v>1389</v>
      </c>
      <c r="M467" s="93"/>
      <c r="N467" s="92">
        <v>3</v>
      </c>
      <c r="O467" s="92"/>
      <c r="P467" s="92"/>
    </row>
    <row r="468" spans="1:16">
      <c r="A468" s="39" t="str">
        <f>INDEX([2]活动总表!$A$8:$A$429,MATCH(B468,[2]活动总表!$B$8:$B$429,0))</f>
        <v>节日商店（61天以及以上</v>
      </c>
      <c r="B468" s="93">
        <v>368</v>
      </c>
      <c r="C468" s="94">
        <v>74</v>
      </c>
      <c r="D468" s="94">
        <v>0</v>
      </c>
      <c r="E468" s="94">
        <v>12</v>
      </c>
      <c r="F468" s="93">
        <v>202007</v>
      </c>
      <c r="G468" s="76" t="str">
        <f>IFERROR(INDEX([1]物品基础表!$A:$A,MATCH(F468,[1]物品基础表!$B:$B,0)),"")</f>
        <v>烈焰戒指技能7书</v>
      </c>
      <c r="H468" s="93">
        <v>1</v>
      </c>
      <c r="I468" s="93">
        <v>20000</v>
      </c>
      <c r="J468" s="99">
        <f t="shared" si="8"/>
        <v>20000</v>
      </c>
      <c r="K468" s="93"/>
      <c r="L468" s="93" t="s">
        <v>1381</v>
      </c>
      <c r="M468" s="93"/>
      <c r="N468" s="92">
        <v>5</v>
      </c>
      <c r="O468" s="92"/>
      <c r="P468" s="92"/>
    </row>
    <row r="469" spans="1:16">
      <c r="A469" s="39" t="str">
        <f>INDEX([2]活动总表!$A$8:$A$429,MATCH(B469,[2]活动总表!$B$8:$B$429,0))</f>
        <v>节日商店（61天以及以上</v>
      </c>
      <c r="B469" s="93">
        <v>368</v>
      </c>
      <c r="C469" s="94">
        <v>75</v>
      </c>
      <c r="D469" s="94">
        <v>0</v>
      </c>
      <c r="E469" s="94">
        <v>12</v>
      </c>
      <c r="F469" s="93">
        <v>202007</v>
      </c>
      <c r="G469" s="76" t="str">
        <f>IFERROR(INDEX([1]物品基础表!$A:$A,MATCH(F469,[1]物品基础表!$B:$B,0)),"")</f>
        <v>烈焰戒指技能7书</v>
      </c>
      <c r="H469" s="93">
        <v>1</v>
      </c>
      <c r="I469" s="93">
        <v>12000</v>
      </c>
      <c r="J469" s="99">
        <f t="shared" si="8"/>
        <v>12000</v>
      </c>
      <c r="K469" s="93"/>
      <c r="L469" s="93" t="s">
        <v>1389</v>
      </c>
      <c r="M469" s="93"/>
      <c r="N469" s="92">
        <v>3</v>
      </c>
      <c r="O469" s="92"/>
      <c r="P469" s="92"/>
    </row>
    <row r="470" spans="1:16">
      <c r="A470" s="39" t="str">
        <f>INDEX([2]活动总表!$A$8:$A$429,MATCH(B470,[2]活动总表!$B$8:$B$429,0))</f>
        <v>节日商店（61天以及以上</v>
      </c>
      <c r="B470" s="93">
        <v>368</v>
      </c>
      <c r="C470" s="94">
        <v>76</v>
      </c>
      <c r="D470" s="94">
        <v>0</v>
      </c>
      <c r="E470" s="94">
        <v>12</v>
      </c>
      <c r="F470" s="93">
        <v>202008</v>
      </c>
      <c r="G470" s="76" t="str">
        <f>IFERROR(INDEX([1]物品基础表!$A:$A,MATCH(F470,[1]物品基础表!$B:$B,0)),"")</f>
        <v>烈焰戒指技能8书</v>
      </c>
      <c r="H470" s="93">
        <v>1</v>
      </c>
      <c r="I470" s="93">
        <v>20000</v>
      </c>
      <c r="J470" s="99">
        <f t="shared" si="8"/>
        <v>20000</v>
      </c>
      <c r="K470" s="93"/>
      <c r="L470" s="93" t="s">
        <v>1381</v>
      </c>
      <c r="M470" s="93"/>
      <c r="N470" s="92">
        <v>5</v>
      </c>
      <c r="O470" s="92"/>
      <c r="P470" s="92"/>
    </row>
    <row r="471" spans="1:16">
      <c r="A471" s="39" t="str">
        <f>INDEX([2]活动总表!$A$8:$A$429,MATCH(B471,[2]活动总表!$B$8:$B$429,0))</f>
        <v>节日商店（61天以及以上</v>
      </c>
      <c r="B471" s="93">
        <v>368</v>
      </c>
      <c r="C471" s="94">
        <v>77</v>
      </c>
      <c r="D471" s="94">
        <v>0</v>
      </c>
      <c r="E471" s="94">
        <v>12</v>
      </c>
      <c r="F471" s="93">
        <v>202008</v>
      </c>
      <c r="G471" s="76" t="str">
        <f>IFERROR(INDEX([1]物品基础表!$A:$A,MATCH(F471,[1]物品基础表!$B:$B,0)),"")</f>
        <v>烈焰戒指技能8书</v>
      </c>
      <c r="H471" s="93">
        <v>1</v>
      </c>
      <c r="I471" s="93">
        <v>12000</v>
      </c>
      <c r="J471" s="99">
        <f t="shared" si="8"/>
        <v>12000</v>
      </c>
      <c r="K471" s="93"/>
      <c r="L471" s="93" t="s">
        <v>1389</v>
      </c>
      <c r="M471" s="93"/>
      <c r="N471" s="92">
        <v>3</v>
      </c>
      <c r="O471" s="92"/>
      <c r="P471" s="92"/>
    </row>
    <row r="472" spans="1:16">
      <c r="A472" s="39" t="str">
        <f>INDEX([2]活动总表!$A$8:$A$429,MATCH(B472,[2]活动总表!$B$8:$B$429,0))</f>
        <v>节日商店（61天以及以上</v>
      </c>
      <c r="B472" s="93">
        <v>368</v>
      </c>
      <c r="C472" s="94">
        <v>78</v>
      </c>
      <c r="D472" s="94">
        <v>0</v>
      </c>
      <c r="E472" s="94">
        <v>12</v>
      </c>
      <c r="F472" s="93">
        <v>200327</v>
      </c>
      <c r="G472" s="76" t="str">
        <f>IFERROR(INDEX([1]物品基础表!$A:$A,MATCH(F472,[1]物品基础表!$B:$B,0)),"")</f>
        <v>圣诞树</v>
      </c>
      <c r="H472" s="93">
        <v>1</v>
      </c>
      <c r="I472" s="93">
        <v>15100</v>
      </c>
      <c r="J472" s="99">
        <f t="shared" si="8"/>
        <v>15100</v>
      </c>
      <c r="K472" s="93"/>
      <c r="L472" s="93" t="s">
        <v>1387</v>
      </c>
      <c r="M472" s="93"/>
      <c r="N472" s="92">
        <v>3</v>
      </c>
      <c r="O472" s="92"/>
      <c r="P472" s="92"/>
    </row>
    <row r="473" spans="1:16">
      <c r="A473" s="39" t="str">
        <f>INDEX([2]活动总表!$A$8:$A$429,MATCH(B473,[2]活动总表!$B$8:$B$429,0))</f>
        <v>节日商店（61天以及以上</v>
      </c>
      <c r="B473" s="93">
        <v>368</v>
      </c>
      <c r="C473" s="94">
        <v>79</v>
      </c>
      <c r="D473" s="94">
        <v>0</v>
      </c>
      <c r="E473" s="94">
        <v>12</v>
      </c>
      <c r="F473" s="93">
        <v>900003</v>
      </c>
      <c r="G473" s="76" t="str">
        <f>IFERROR(INDEX([1]物品基础表!$A:$A,MATCH(F473,[1]物品基础表!$B:$B,0)),"")</f>
        <v>圣诞老人</v>
      </c>
      <c r="H473" s="93">
        <v>1</v>
      </c>
      <c r="I473" s="93">
        <v>22500</v>
      </c>
      <c r="J473" s="99">
        <f t="shared" si="8"/>
        <v>22500</v>
      </c>
      <c r="K473" s="93"/>
      <c r="L473" s="93" t="s">
        <v>1387</v>
      </c>
      <c r="M473" s="93"/>
      <c r="N473" s="92">
        <v>3</v>
      </c>
      <c r="O473" s="92"/>
      <c r="P473" s="92"/>
    </row>
    <row r="474" spans="1:16">
      <c r="A474" s="39" t="str">
        <f>INDEX([2]活动总表!$A$8:$A$429,MATCH(B474,[2]活动总表!$B$8:$B$429,0))</f>
        <v>节日商店（61天以及以上</v>
      </c>
      <c r="B474" s="93">
        <v>368</v>
      </c>
      <c r="C474" s="94">
        <v>80</v>
      </c>
      <c r="D474" s="94">
        <v>0</v>
      </c>
      <c r="E474" s="94">
        <v>12</v>
      </c>
      <c r="F474" s="93">
        <v>900006</v>
      </c>
      <c r="G474" s="76" t="str">
        <f>IFERROR(INDEX([1]物品基础表!$A:$A,MATCH(F474,[1]物品基础表!$B:$B,0)),"")</f>
        <v>新春盛装</v>
      </c>
      <c r="H474" s="93">
        <v>1</v>
      </c>
      <c r="I474" s="93">
        <v>22500</v>
      </c>
      <c r="J474" s="99">
        <f t="shared" si="8"/>
        <v>22500</v>
      </c>
      <c r="K474" s="93"/>
      <c r="L474" s="93" t="s">
        <v>1387</v>
      </c>
      <c r="M474" s="93"/>
      <c r="N474" s="92">
        <v>3</v>
      </c>
      <c r="O474" s="92"/>
      <c r="P474" s="92"/>
    </row>
    <row r="475" spans="1:16">
      <c r="A475" s="39" t="str">
        <f>INDEX([2]活动总表!$A$8:$A$429,MATCH(B475,[2]活动总表!$B$8:$B$429,0))</f>
        <v>节日商店（61天以及以上</v>
      </c>
      <c r="B475" s="93">
        <v>368</v>
      </c>
      <c r="C475" s="94">
        <v>81</v>
      </c>
      <c r="D475" s="94">
        <v>0</v>
      </c>
      <c r="E475" s="94">
        <v>12</v>
      </c>
      <c r="F475" s="93">
        <v>200143</v>
      </c>
      <c r="G475" s="76" t="str">
        <f>IFERROR(INDEX([1]物品基础表!$A:$A,MATCH(F475,[1]物品基础表!$B:$B,0)),"")</f>
        <v>传世头盔</v>
      </c>
      <c r="H475" s="93">
        <v>1</v>
      </c>
      <c r="I475" s="93">
        <v>7500</v>
      </c>
      <c r="J475" s="99">
        <f t="shared" si="8"/>
        <v>7500</v>
      </c>
      <c r="K475" s="93"/>
      <c r="L475" s="93" t="s">
        <v>1390</v>
      </c>
      <c r="M475" s="93"/>
      <c r="N475" s="92">
        <v>3</v>
      </c>
      <c r="O475" s="92"/>
      <c r="P475" s="92"/>
    </row>
    <row r="476" spans="1:16">
      <c r="A476" s="39" t="str">
        <f>INDEX([2]活动总表!$A$8:$A$429,MATCH(B476,[2]活动总表!$B$8:$B$429,0))</f>
        <v>节日商店（61天以及以上</v>
      </c>
      <c r="B476" s="93">
        <v>368</v>
      </c>
      <c r="C476" s="94">
        <v>82</v>
      </c>
      <c r="D476" s="94">
        <v>0</v>
      </c>
      <c r="E476" s="94">
        <v>12</v>
      </c>
      <c r="F476" s="93">
        <v>200145</v>
      </c>
      <c r="G476" s="76" t="str">
        <f>IFERROR(INDEX([1]物品基础表!$A:$A,MATCH(F476,[1]物品基础表!$B:$B,0)),"")</f>
        <v>传世项链</v>
      </c>
      <c r="H476" s="93">
        <v>1</v>
      </c>
      <c r="I476" s="93">
        <v>7500</v>
      </c>
      <c r="J476" s="99">
        <f t="shared" si="8"/>
        <v>7500</v>
      </c>
      <c r="K476" s="93"/>
      <c r="L476" s="93" t="s">
        <v>1390</v>
      </c>
      <c r="M476" s="93"/>
      <c r="N476" s="92">
        <v>3</v>
      </c>
      <c r="O476" s="92"/>
      <c r="P476" s="92"/>
    </row>
    <row r="477" spans="1:16">
      <c r="A477" s="39" t="str">
        <f>INDEX([2]活动总表!$A$8:$A$429,MATCH(B477,[2]活动总表!$B$8:$B$429,0))</f>
        <v>节日商店（61天以及以上</v>
      </c>
      <c r="B477" s="93">
        <v>368</v>
      </c>
      <c r="C477" s="94">
        <v>83</v>
      </c>
      <c r="D477" s="94">
        <v>0</v>
      </c>
      <c r="E477" s="94">
        <v>12</v>
      </c>
      <c r="F477" s="93">
        <v>200146</v>
      </c>
      <c r="G477" s="76" t="str">
        <f>IFERROR(INDEX([1]物品基础表!$A:$A,MATCH(F477,[1]物品基础表!$B:$B,0)),"")</f>
        <v>传世护腕</v>
      </c>
      <c r="H477" s="93">
        <v>1</v>
      </c>
      <c r="I477" s="93">
        <v>7500</v>
      </c>
      <c r="J477" s="99">
        <f t="shared" si="8"/>
        <v>7500</v>
      </c>
      <c r="K477" s="93"/>
      <c r="L477" s="93" t="s">
        <v>1390</v>
      </c>
      <c r="M477" s="93"/>
      <c r="N477" s="92">
        <v>3</v>
      </c>
      <c r="O477" s="92"/>
      <c r="P477" s="92"/>
    </row>
    <row r="478" spans="1:16">
      <c r="A478" s="39" t="str">
        <f>INDEX([2]活动总表!$A$8:$A$429,MATCH(B478,[2]活动总表!$B$8:$B$429,0))</f>
        <v>节日商店（61天以及以上</v>
      </c>
      <c r="B478" s="93">
        <v>368</v>
      </c>
      <c r="C478" s="94">
        <v>84</v>
      </c>
      <c r="D478" s="94">
        <v>0</v>
      </c>
      <c r="E478" s="94">
        <v>12</v>
      </c>
      <c r="F478" s="93">
        <v>200147</v>
      </c>
      <c r="G478" s="76" t="str">
        <f>IFERROR(INDEX([1]物品基础表!$A:$A,MATCH(F478,[1]物品基础表!$B:$B,0)),"")</f>
        <v>传世腰带</v>
      </c>
      <c r="H478" s="93">
        <v>1</v>
      </c>
      <c r="I478" s="93">
        <v>7500</v>
      </c>
      <c r="J478" s="99">
        <f t="shared" si="8"/>
        <v>7500</v>
      </c>
      <c r="K478" s="93"/>
      <c r="L478" s="93" t="s">
        <v>1390</v>
      </c>
      <c r="M478" s="93"/>
      <c r="N478" s="92">
        <v>3</v>
      </c>
      <c r="O478" s="92"/>
      <c r="P478" s="92"/>
    </row>
    <row r="479" spans="1:16">
      <c r="A479" s="39" t="str">
        <f>INDEX([2]活动总表!$A$8:$A$429,MATCH(B479,[2]活动总表!$B$8:$B$429,0))</f>
        <v>节日商店（61天以及以上</v>
      </c>
      <c r="B479" s="93">
        <v>368</v>
      </c>
      <c r="C479" s="94">
        <v>85</v>
      </c>
      <c r="D479" s="94">
        <v>0</v>
      </c>
      <c r="E479" s="94">
        <v>12</v>
      </c>
      <c r="F479" s="93">
        <v>200148</v>
      </c>
      <c r="G479" s="76" t="str">
        <f>IFERROR(INDEX([1]物品基础表!$A:$A,MATCH(F479,[1]物品基础表!$B:$B,0)),"")</f>
        <v>传世戒指</v>
      </c>
      <c r="H479" s="93">
        <v>1</v>
      </c>
      <c r="I479" s="93">
        <v>7500</v>
      </c>
      <c r="J479" s="99">
        <f t="shared" si="8"/>
        <v>7500</v>
      </c>
      <c r="K479" s="93"/>
      <c r="L479" s="93" t="s">
        <v>1390</v>
      </c>
      <c r="M479" s="93"/>
      <c r="N479" s="92">
        <v>3</v>
      </c>
      <c r="O479" s="92"/>
      <c r="P479" s="92"/>
    </row>
    <row r="480" spans="1:16">
      <c r="A480" s="39" t="str">
        <f>INDEX([2]活动总表!$A$8:$A$429,MATCH(B480,[2]活动总表!$B$8:$B$429,0))</f>
        <v>节日商店（61天以及以上</v>
      </c>
      <c r="B480" s="93">
        <v>368</v>
      </c>
      <c r="C480" s="94">
        <v>86</v>
      </c>
      <c r="D480" s="94">
        <v>0</v>
      </c>
      <c r="E480" s="94">
        <v>12</v>
      </c>
      <c r="F480" s="93">
        <v>200149</v>
      </c>
      <c r="G480" s="76" t="str">
        <f>IFERROR(INDEX([1]物品基础表!$A:$A,MATCH(F480,[1]物品基础表!$B:$B,0)),"")</f>
        <v>传世鞋子</v>
      </c>
      <c r="H480" s="93">
        <v>1</v>
      </c>
      <c r="I480" s="93">
        <v>7500</v>
      </c>
      <c r="J480" s="99">
        <f t="shared" si="8"/>
        <v>7500</v>
      </c>
      <c r="K480" s="93"/>
      <c r="L480" s="93" t="s">
        <v>1390</v>
      </c>
      <c r="M480" s="93"/>
      <c r="N480" s="92">
        <v>3</v>
      </c>
      <c r="O480" s="92"/>
      <c r="P480" s="92"/>
    </row>
    <row r="481" spans="1:16">
      <c r="A481" s="39" t="str">
        <f>INDEX([2]活动总表!$A$8:$A$429,MATCH(B481,[2]活动总表!$B$8:$B$429,0))</f>
        <v>节日商店（61天以及以上</v>
      </c>
      <c r="B481" s="93">
        <v>368</v>
      </c>
      <c r="C481" s="94">
        <v>87</v>
      </c>
      <c r="D481" s="94">
        <v>0</v>
      </c>
      <c r="E481" s="94">
        <v>12</v>
      </c>
      <c r="F481" s="93">
        <v>200143</v>
      </c>
      <c r="G481" s="76" t="str">
        <f>IFERROR(INDEX([1]物品基础表!$A:$A,MATCH(F481,[1]物品基础表!$B:$B,0)),"")</f>
        <v>传世头盔</v>
      </c>
      <c r="H481" s="93">
        <v>1</v>
      </c>
      <c r="I481" s="93">
        <v>12500</v>
      </c>
      <c r="J481" s="99">
        <f t="shared" si="8"/>
        <v>12500</v>
      </c>
      <c r="K481" s="93"/>
      <c r="L481" s="93" t="s">
        <v>1388</v>
      </c>
      <c r="M481" s="93"/>
      <c r="N481" s="92">
        <v>5</v>
      </c>
      <c r="O481" s="92"/>
      <c r="P481" s="92"/>
    </row>
    <row r="482" spans="1:16">
      <c r="A482" s="39" t="str">
        <f>INDEX([2]活动总表!$A$8:$A$429,MATCH(B482,[2]活动总表!$B$8:$B$429,0))</f>
        <v>节日商店（61天以及以上</v>
      </c>
      <c r="B482" s="93">
        <v>368</v>
      </c>
      <c r="C482" s="94">
        <v>88</v>
      </c>
      <c r="D482" s="94">
        <v>0</v>
      </c>
      <c r="E482" s="94">
        <v>12</v>
      </c>
      <c r="F482" s="93">
        <v>200145</v>
      </c>
      <c r="G482" s="76" t="str">
        <f>IFERROR(INDEX([1]物品基础表!$A:$A,MATCH(F482,[1]物品基础表!$B:$B,0)),"")</f>
        <v>传世项链</v>
      </c>
      <c r="H482" s="93">
        <v>1</v>
      </c>
      <c r="I482" s="93">
        <v>12500</v>
      </c>
      <c r="J482" s="99">
        <f t="shared" si="8"/>
        <v>12500</v>
      </c>
      <c r="K482" s="93"/>
      <c r="L482" s="93" t="s">
        <v>1388</v>
      </c>
      <c r="M482" s="93"/>
      <c r="N482" s="92">
        <v>5</v>
      </c>
      <c r="O482" s="92"/>
      <c r="P482" s="92"/>
    </row>
    <row r="483" spans="1:16">
      <c r="A483" s="39" t="str">
        <f>INDEX([2]活动总表!$A$8:$A$429,MATCH(B483,[2]活动总表!$B$8:$B$429,0))</f>
        <v>节日商店（61天以及以上</v>
      </c>
      <c r="B483" s="93">
        <v>368</v>
      </c>
      <c r="C483" s="94">
        <v>89</v>
      </c>
      <c r="D483" s="94">
        <v>0</v>
      </c>
      <c r="E483" s="94">
        <v>12</v>
      </c>
      <c r="F483" s="93">
        <v>200146</v>
      </c>
      <c r="G483" s="76" t="str">
        <f>IFERROR(INDEX([1]物品基础表!$A:$A,MATCH(F483,[1]物品基础表!$B:$B,0)),"")</f>
        <v>传世护腕</v>
      </c>
      <c r="H483" s="93">
        <v>1</v>
      </c>
      <c r="I483" s="93">
        <v>12500</v>
      </c>
      <c r="J483" s="99">
        <f t="shared" si="8"/>
        <v>12500</v>
      </c>
      <c r="K483" s="93"/>
      <c r="L483" s="93" t="s">
        <v>1388</v>
      </c>
      <c r="M483" s="93"/>
      <c r="N483" s="92">
        <v>5</v>
      </c>
      <c r="O483" s="92"/>
      <c r="P483" s="92"/>
    </row>
    <row r="484" spans="1:16">
      <c r="A484" s="39" t="str">
        <f>INDEX([2]活动总表!$A$8:$A$429,MATCH(B484,[2]活动总表!$B$8:$B$429,0))</f>
        <v>节日商店（61天以及以上</v>
      </c>
      <c r="B484" s="93">
        <v>368</v>
      </c>
      <c r="C484" s="94">
        <v>90</v>
      </c>
      <c r="D484" s="94">
        <v>0</v>
      </c>
      <c r="E484" s="94">
        <v>12</v>
      </c>
      <c r="F484" s="93">
        <v>200147</v>
      </c>
      <c r="G484" s="76" t="str">
        <f>IFERROR(INDEX([1]物品基础表!$A:$A,MATCH(F484,[1]物品基础表!$B:$B,0)),"")</f>
        <v>传世腰带</v>
      </c>
      <c r="H484" s="93">
        <v>1</v>
      </c>
      <c r="I484" s="93">
        <v>12500</v>
      </c>
      <c r="J484" s="99">
        <f t="shared" si="8"/>
        <v>12500</v>
      </c>
      <c r="K484" s="93"/>
      <c r="L484" s="93" t="s">
        <v>1388</v>
      </c>
      <c r="M484" s="93"/>
      <c r="N484" s="92">
        <v>5</v>
      </c>
      <c r="O484" s="92"/>
      <c r="P484" s="92"/>
    </row>
    <row r="485" spans="1:16">
      <c r="A485" s="39" t="str">
        <f>INDEX([2]活动总表!$A$8:$A$429,MATCH(B485,[2]活动总表!$B$8:$B$429,0))</f>
        <v>节日商店（61天以及以上</v>
      </c>
      <c r="B485" s="93">
        <v>368</v>
      </c>
      <c r="C485" s="94">
        <v>91</v>
      </c>
      <c r="D485" s="94">
        <v>0</v>
      </c>
      <c r="E485" s="94">
        <v>12</v>
      </c>
      <c r="F485" s="93">
        <v>200148</v>
      </c>
      <c r="G485" s="76" t="str">
        <f>IFERROR(INDEX([1]物品基础表!$A:$A,MATCH(F485,[1]物品基础表!$B:$B,0)),"")</f>
        <v>传世戒指</v>
      </c>
      <c r="H485" s="93">
        <v>1</v>
      </c>
      <c r="I485" s="93">
        <v>12500</v>
      </c>
      <c r="J485" s="99">
        <f t="shared" si="8"/>
        <v>12500</v>
      </c>
      <c r="K485" s="93"/>
      <c r="L485" s="93" t="s">
        <v>1388</v>
      </c>
      <c r="M485" s="93"/>
      <c r="N485" s="92">
        <v>5</v>
      </c>
      <c r="O485" s="92"/>
      <c r="P485" s="92"/>
    </row>
    <row r="486" spans="1:16">
      <c r="A486" s="39" t="str">
        <f>INDEX([2]活动总表!$A$8:$A$429,MATCH(B486,[2]活动总表!$B$8:$B$429,0))</f>
        <v>节日商店（61天以及以上</v>
      </c>
      <c r="B486" s="93">
        <v>368</v>
      </c>
      <c r="C486" s="94">
        <v>92</v>
      </c>
      <c r="D486" s="94">
        <v>0</v>
      </c>
      <c r="E486" s="94">
        <v>12</v>
      </c>
      <c r="F486" s="93">
        <v>200149</v>
      </c>
      <c r="G486" s="76" t="str">
        <f>IFERROR(INDEX([1]物品基础表!$A:$A,MATCH(F486,[1]物品基础表!$B:$B,0)),"")</f>
        <v>传世鞋子</v>
      </c>
      <c r="H486" s="93">
        <v>1</v>
      </c>
      <c r="I486" s="93">
        <v>12500</v>
      </c>
      <c r="J486" s="99">
        <f t="shared" si="8"/>
        <v>12500</v>
      </c>
      <c r="K486" s="93"/>
      <c r="L486" s="93" t="s">
        <v>1388</v>
      </c>
      <c r="M486" s="93"/>
      <c r="N486" s="92">
        <v>5</v>
      </c>
      <c r="O486" s="92"/>
      <c r="P486" s="92"/>
    </row>
    <row r="487" spans="1:16">
      <c r="A487" s="39" t="str">
        <f>INDEX([2]活动总表!$A$8:$A$429,MATCH(B487,[2]活动总表!$B$8:$B$429,0))</f>
        <v>节日商店（61天以及以上</v>
      </c>
      <c r="B487" s="93">
        <v>368</v>
      </c>
      <c r="C487" s="94">
        <v>93</v>
      </c>
      <c r="D487" s="94">
        <v>0</v>
      </c>
      <c r="E487" s="94">
        <v>12</v>
      </c>
      <c r="F487" s="93">
        <v>501401</v>
      </c>
      <c r="G487" s="76" t="str">
        <f>IFERROR(INDEX([1]物品基础表!$A:$A,MATCH(F487,[1]物品基础表!$B:$B,0)),"")</f>
        <v>金神力1级</v>
      </c>
      <c r="H487" s="93">
        <v>1</v>
      </c>
      <c r="I487" s="93">
        <v>15000</v>
      </c>
      <c r="J487" s="99">
        <f t="shared" si="8"/>
        <v>15000</v>
      </c>
      <c r="K487" s="93"/>
      <c r="L487" s="93" t="s">
        <v>1390</v>
      </c>
      <c r="M487" s="93"/>
      <c r="N487" s="92">
        <v>5</v>
      </c>
      <c r="O487" s="92"/>
      <c r="P487" s="92"/>
    </row>
    <row r="488" spans="1:16">
      <c r="A488" s="39" t="str">
        <f>INDEX([2]活动总表!$A$8:$A$429,MATCH(B488,[2]活动总表!$B$8:$B$429,0))</f>
        <v>节日商店（61天以及以上</v>
      </c>
      <c r="B488" s="93">
        <v>368</v>
      </c>
      <c r="C488" s="94">
        <v>94</v>
      </c>
      <c r="D488" s="94">
        <v>0</v>
      </c>
      <c r="E488" s="94">
        <v>12</v>
      </c>
      <c r="F488" s="93">
        <v>502401</v>
      </c>
      <c r="G488" s="76" t="str">
        <f>IFERROR(INDEX([1]物品基础表!$A:$A,MATCH(F488,[1]物品基础表!$B:$B,0)),"")</f>
        <v>金金汤1级</v>
      </c>
      <c r="H488" s="93">
        <v>1</v>
      </c>
      <c r="I488" s="93">
        <v>15000</v>
      </c>
      <c r="J488" s="99">
        <f t="shared" si="8"/>
        <v>15000</v>
      </c>
      <c r="K488" s="93"/>
      <c r="L488" s="93" t="s">
        <v>1390</v>
      </c>
      <c r="M488" s="93"/>
      <c r="N488" s="92">
        <v>5</v>
      </c>
      <c r="O488" s="92"/>
      <c r="P488" s="92"/>
    </row>
    <row r="489" spans="1:16">
      <c r="A489" s="39" t="str">
        <f>INDEX([2]活动总表!$A$8:$A$429,MATCH(B489,[2]活动总表!$B$8:$B$429,0))</f>
        <v>节日商店（61天以及以上</v>
      </c>
      <c r="B489" s="93">
        <v>368</v>
      </c>
      <c r="C489" s="94">
        <v>95</v>
      </c>
      <c r="D489" s="94">
        <v>0</v>
      </c>
      <c r="E489" s="94">
        <v>12</v>
      </c>
      <c r="F489" s="93">
        <v>503401</v>
      </c>
      <c r="G489" s="76" t="str">
        <f>IFERROR(INDEX([1]物品基础表!$A:$A,MATCH(F489,[1]物品基础表!$B:$B,0)),"")</f>
        <v>金长生1级</v>
      </c>
      <c r="H489" s="93">
        <v>1</v>
      </c>
      <c r="I489" s="93">
        <v>15000</v>
      </c>
      <c r="J489" s="99">
        <f t="shared" si="8"/>
        <v>15000</v>
      </c>
      <c r="K489" s="93"/>
      <c r="L489" s="93" t="s">
        <v>1390</v>
      </c>
      <c r="M489" s="93"/>
      <c r="N489" s="92">
        <v>5</v>
      </c>
      <c r="O489" s="92"/>
      <c r="P489" s="92"/>
    </row>
    <row r="490" spans="1:16">
      <c r="A490" s="39" t="str">
        <f>INDEX([2]活动总表!$A$8:$A$429,MATCH(B490,[2]活动总表!$B$8:$B$429,0))</f>
        <v>节日商店（61天以及以上</v>
      </c>
      <c r="B490" s="93">
        <v>368</v>
      </c>
      <c r="C490" s="94">
        <v>96</v>
      </c>
      <c r="D490" s="94">
        <v>0</v>
      </c>
      <c r="E490" s="94">
        <v>12</v>
      </c>
      <c r="F490" s="93">
        <v>504401</v>
      </c>
      <c r="G490" s="76" t="str">
        <f>IFERROR(INDEX([1]物品基础表!$A:$A,MATCH(F490,[1]物品基础表!$B:$B,0)),"")</f>
        <v>金光武1级</v>
      </c>
      <c r="H490" s="93">
        <v>1</v>
      </c>
      <c r="I490" s="93">
        <v>20000</v>
      </c>
      <c r="J490" s="99">
        <f t="shared" si="8"/>
        <v>20000</v>
      </c>
      <c r="K490" s="93"/>
      <c r="L490" s="93" t="s">
        <v>1390</v>
      </c>
      <c r="M490" s="93"/>
      <c r="N490" s="92">
        <v>5</v>
      </c>
      <c r="O490" s="92"/>
      <c r="P490" s="92"/>
    </row>
    <row r="491" spans="1:16">
      <c r="A491" s="39" t="str">
        <f>INDEX([2]活动总表!$A$8:$A$429,MATCH(B491,[2]活动总表!$B$8:$B$429,0))</f>
        <v>节日商店（61天以及以上</v>
      </c>
      <c r="B491" s="93">
        <v>368</v>
      </c>
      <c r="C491" s="94">
        <v>97</v>
      </c>
      <c r="D491" s="94">
        <v>0</v>
      </c>
      <c r="E491" s="94">
        <v>12</v>
      </c>
      <c r="F491" s="93">
        <v>505401</v>
      </c>
      <c r="G491" s="76" t="str">
        <f>IFERROR(INDEX([1]物品基础表!$A:$A,MATCH(F491,[1]物品基础表!$B:$B,0)),"")</f>
        <v>金神盔1级</v>
      </c>
      <c r="H491" s="93">
        <v>1</v>
      </c>
      <c r="I491" s="93">
        <v>6300</v>
      </c>
      <c r="J491" s="99">
        <f t="shared" si="8"/>
        <v>6300</v>
      </c>
      <c r="K491" s="93"/>
      <c r="L491" s="93" t="s">
        <v>1390</v>
      </c>
      <c r="M491" s="93"/>
      <c r="N491" s="92">
        <v>5</v>
      </c>
      <c r="O491" s="92"/>
      <c r="P491" s="92"/>
    </row>
    <row r="492" spans="1:16">
      <c r="A492" s="39" t="str">
        <f>INDEX([2]活动总表!$A$8:$A$429,MATCH(B492,[2]活动总表!$B$8:$B$429,0))</f>
        <v>节日商店（61天以及以上</v>
      </c>
      <c r="B492" s="93">
        <v>368</v>
      </c>
      <c r="C492" s="94">
        <v>98</v>
      </c>
      <c r="D492" s="94">
        <v>0</v>
      </c>
      <c r="E492" s="94">
        <v>12</v>
      </c>
      <c r="F492" s="93">
        <v>506401</v>
      </c>
      <c r="G492" s="76" t="str">
        <f>IFERROR(INDEX([1]物品基础表!$A:$A,MATCH(F492,[1]物品基础表!$B:$B,0)),"")</f>
        <v>金固甲1级</v>
      </c>
      <c r="H492" s="93">
        <v>1</v>
      </c>
      <c r="I492" s="93">
        <v>12500</v>
      </c>
      <c r="J492" s="99">
        <f t="shared" si="8"/>
        <v>12500</v>
      </c>
      <c r="K492" s="93"/>
      <c r="L492" s="93" t="s">
        <v>1390</v>
      </c>
      <c r="M492" s="93"/>
      <c r="N492" s="92">
        <v>5</v>
      </c>
      <c r="O492" s="92"/>
      <c r="P492" s="92"/>
    </row>
    <row r="493" spans="1:16">
      <c r="A493" s="39" t="str">
        <f>INDEX([2]活动总表!$A$8:$A$429,MATCH(B493,[2]活动总表!$B$8:$B$429,0))</f>
        <v>节日商店（61天以及以上</v>
      </c>
      <c r="B493" s="93">
        <v>368</v>
      </c>
      <c r="C493" s="94">
        <v>99</v>
      </c>
      <c r="D493" s="94">
        <v>0</v>
      </c>
      <c r="E493" s="94">
        <v>12</v>
      </c>
      <c r="F493" s="93">
        <v>507401</v>
      </c>
      <c r="G493" s="76" t="str">
        <f>IFERROR(INDEX([1]物品基础表!$A:$A,MATCH(F493,[1]物品基础表!$B:$B,0)),"")</f>
        <v>金灵链1级</v>
      </c>
      <c r="H493" s="93">
        <v>1</v>
      </c>
      <c r="I493" s="93">
        <v>6300</v>
      </c>
      <c r="J493" s="99">
        <f t="shared" si="8"/>
        <v>6300</v>
      </c>
      <c r="K493" s="93"/>
      <c r="L493" s="93" t="s">
        <v>1390</v>
      </c>
      <c r="M493" s="93"/>
      <c r="N493" s="92">
        <v>5</v>
      </c>
      <c r="O493" s="92"/>
      <c r="P493" s="92"/>
    </row>
    <row r="494" spans="1:16">
      <c r="A494" s="39" t="str">
        <f>INDEX([2]活动总表!$A$8:$A$429,MATCH(B494,[2]活动总表!$B$8:$B$429,0))</f>
        <v>节日商店（61天以及以上</v>
      </c>
      <c r="B494" s="93">
        <v>368</v>
      </c>
      <c r="C494" s="94">
        <v>100</v>
      </c>
      <c r="D494" s="94">
        <v>0</v>
      </c>
      <c r="E494" s="94">
        <v>12</v>
      </c>
      <c r="F494" s="93">
        <v>508401</v>
      </c>
      <c r="G494" s="76" t="str">
        <f>IFERROR(INDEX([1]物品基础表!$A:$A,MATCH(F494,[1]物品基础表!$B:$B,0)),"")</f>
        <v>金地镯1级</v>
      </c>
      <c r="H494" s="93">
        <v>1</v>
      </c>
      <c r="I494" s="93">
        <v>6300</v>
      </c>
      <c r="J494" s="99">
        <f t="shared" si="8"/>
        <v>6300</v>
      </c>
      <c r="K494" s="93"/>
      <c r="L494" s="93" t="s">
        <v>1390</v>
      </c>
      <c r="M494" s="93"/>
      <c r="N494" s="92">
        <v>5</v>
      </c>
      <c r="O494" s="92"/>
      <c r="P494" s="92"/>
    </row>
    <row r="495" spans="1:16">
      <c r="A495" s="39" t="str">
        <f>INDEX([2]活动总表!$A$8:$A$429,MATCH(B495,[2]活动总表!$B$8:$B$429,0))</f>
        <v>节日商店（61天以及以上</v>
      </c>
      <c r="B495" s="93">
        <v>368</v>
      </c>
      <c r="C495" s="94">
        <v>101</v>
      </c>
      <c r="D495" s="94">
        <v>0</v>
      </c>
      <c r="E495" s="94">
        <v>12</v>
      </c>
      <c r="F495" s="93">
        <v>509401</v>
      </c>
      <c r="G495" s="76" t="str">
        <f>IFERROR(INDEX([1]物品基础表!$A:$A,MATCH(F495,[1]物品基础表!$B:$B,0)),"")</f>
        <v>金乾戒1级</v>
      </c>
      <c r="H495" s="93">
        <v>1</v>
      </c>
      <c r="I495" s="93">
        <v>6300</v>
      </c>
      <c r="J495" s="99">
        <f t="shared" si="8"/>
        <v>6300</v>
      </c>
      <c r="K495" s="93"/>
      <c r="L495" s="93" t="s">
        <v>1390</v>
      </c>
      <c r="M495" s="93"/>
      <c r="N495" s="92">
        <v>5</v>
      </c>
      <c r="O495" s="92"/>
      <c r="P495" s="92"/>
    </row>
    <row r="496" spans="1:16">
      <c r="A496" s="39" t="str">
        <f>INDEX([2]活动总表!$A$8:$A$429,MATCH(B496,[2]活动总表!$B$8:$B$429,0))</f>
        <v>节日商店（61天以及以上</v>
      </c>
      <c r="B496" s="93">
        <v>368</v>
      </c>
      <c r="C496" s="94">
        <v>102</v>
      </c>
      <c r="D496" s="94">
        <v>0</v>
      </c>
      <c r="E496" s="94">
        <v>12</v>
      </c>
      <c r="F496" s="93">
        <v>510401</v>
      </c>
      <c r="G496" s="76" t="str">
        <f>IFERROR(INDEX([1]物品基础表!$A:$A,MATCH(F496,[1]物品基础表!$B:$B,0)),"")</f>
        <v>金龙带1级</v>
      </c>
      <c r="H496" s="93">
        <v>1</v>
      </c>
      <c r="I496" s="93">
        <v>6300</v>
      </c>
      <c r="J496" s="99">
        <f t="shared" si="8"/>
        <v>6300</v>
      </c>
      <c r="K496" s="93"/>
      <c r="L496" s="93" t="s">
        <v>1390</v>
      </c>
      <c r="M496" s="93"/>
      <c r="N496" s="92">
        <v>5</v>
      </c>
      <c r="O496" s="92"/>
      <c r="P496" s="92"/>
    </row>
    <row r="497" spans="1:16">
      <c r="A497" s="39" t="str">
        <f>INDEX([2]活动总表!$A$8:$A$429,MATCH(B497,[2]活动总表!$B$8:$B$429,0))</f>
        <v>节日商店（61天以及以上</v>
      </c>
      <c r="B497" s="93">
        <v>368</v>
      </c>
      <c r="C497" s="94">
        <v>103</v>
      </c>
      <c r="D497" s="94">
        <v>0</v>
      </c>
      <c r="E497" s="94">
        <v>12</v>
      </c>
      <c r="F497" s="93">
        <v>511401</v>
      </c>
      <c r="G497" s="76" t="str">
        <f>IFERROR(INDEX([1]物品基础表!$A:$A,MATCH(F497,[1]物品基础表!$B:$B,0)),"")</f>
        <v>金逐日1级</v>
      </c>
      <c r="H497" s="93">
        <v>1</v>
      </c>
      <c r="I497" s="93">
        <v>6300</v>
      </c>
      <c r="J497" s="99">
        <f t="shared" si="8"/>
        <v>6300</v>
      </c>
      <c r="K497" s="93"/>
      <c r="L497" s="93" t="s">
        <v>1390</v>
      </c>
      <c r="M497" s="93"/>
      <c r="N497" s="92">
        <v>5</v>
      </c>
      <c r="O497" s="92"/>
      <c r="P497" s="92"/>
    </row>
    <row r="498" spans="1:16">
      <c r="A498" s="39" t="str">
        <f>INDEX([2]活动总表!$A$8:$A$429,MATCH(B498,[2]活动总表!$B$8:$B$429,0))</f>
        <v>节日商店（61天以及以上</v>
      </c>
      <c r="B498" s="93">
        <v>368</v>
      </c>
      <c r="C498" s="94">
        <v>104</v>
      </c>
      <c r="D498" s="94">
        <v>0</v>
      </c>
      <c r="E498" s="94">
        <v>12</v>
      </c>
      <c r="F498" s="93">
        <v>512401</v>
      </c>
      <c r="G498" s="76" t="str">
        <f>IFERROR(INDEX([1]物品基础表!$A:$A,MATCH(F498,[1]物品基础表!$B:$B,0)),"")</f>
        <v>金豁免1级</v>
      </c>
      <c r="H498" s="93">
        <v>1</v>
      </c>
      <c r="I498" s="93">
        <v>18800</v>
      </c>
      <c r="J498" s="99">
        <f t="shared" si="8"/>
        <v>18800</v>
      </c>
      <c r="K498" s="93"/>
      <c r="L498" s="93" t="s">
        <v>1390</v>
      </c>
      <c r="M498" s="93"/>
      <c r="N498" s="92">
        <v>5</v>
      </c>
      <c r="O498" s="92"/>
      <c r="P498" s="92"/>
    </row>
    <row r="499" spans="1:16">
      <c r="A499" s="39" t="str">
        <f>INDEX([2]活动总表!$A$8:$A$429,MATCH(B499,[2]活动总表!$B$8:$B$429,0))</f>
        <v>节日商店（61天以及以上</v>
      </c>
      <c r="B499" s="93">
        <v>368</v>
      </c>
      <c r="C499" s="94">
        <v>105</v>
      </c>
      <c r="D499" s="94">
        <v>0</v>
      </c>
      <c r="E499" s="94">
        <v>12</v>
      </c>
      <c r="F499" s="93">
        <v>513401</v>
      </c>
      <c r="G499" s="76" t="str">
        <f>IFERROR(INDEX([1]物品基础表!$A:$A,MATCH(F499,[1]物品基础表!$B:$B,0)),"")</f>
        <v>金杀戮1级</v>
      </c>
      <c r="H499" s="93">
        <v>1</v>
      </c>
      <c r="I499" s="93">
        <v>18800</v>
      </c>
      <c r="J499" s="99">
        <f t="shared" si="8"/>
        <v>18800</v>
      </c>
      <c r="K499" s="93"/>
      <c r="L499" s="93" t="s">
        <v>1390</v>
      </c>
      <c r="M499" s="93"/>
      <c r="N499" s="92">
        <v>5</v>
      </c>
      <c r="O499" s="92"/>
      <c r="P499" s="92"/>
    </row>
    <row r="500" spans="1:16">
      <c r="A500" s="39" t="str">
        <f>INDEX([2]活动总表!$A$8:$A$429,MATCH(B500,[2]活动总表!$B$8:$B$429,0))</f>
        <v>节日商店（61天以及以上</v>
      </c>
      <c r="B500" s="93">
        <v>368</v>
      </c>
      <c r="C500" s="94">
        <v>106</v>
      </c>
      <c r="D500" s="94">
        <v>0</v>
      </c>
      <c r="E500" s="94">
        <v>12</v>
      </c>
      <c r="F500" s="92">
        <v>514401</v>
      </c>
      <c r="G500" s="76" t="str">
        <f>IFERROR(INDEX([1]物品基础表!$A:$A,MATCH(F500,[1]物品基础表!$B:$B,0)),"")</f>
        <v>金祝福1级</v>
      </c>
      <c r="H500" s="92">
        <v>1</v>
      </c>
      <c r="I500" s="92">
        <v>5000</v>
      </c>
      <c r="J500" s="99">
        <f t="shared" si="8"/>
        <v>5000</v>
      </c>
      <c r="K500" s="92"/>
      <c r="L500" s="93" t="s">
        <v>1390</v>
      </c>
      <c r="M500" s="92"/>
      <c r="N500" s="92">
        <v>5</v>
      </c>
      <c r="O500" s="92"/>
      <c r="P500" s="92"/>
    </row>
    <row r="501" spans="1:16">
      <c r="A501" s="39" t="str">
        <f>INDEX([2]活动总表!$A$8:$A$429,MATCH(B501,[2]活动总表!$B$8:$B$429,0))</f>
        <v>节日商店（61天以及以上</v>
      </c>
      <c r="B501" s="93">
        <v>368</v>
      </c>
      <c r="C501" s="94">
        <v>107</v>
      </c>
      <c r="D501" s="94">
        <v>0</v>
      </c>
      <c r="E501" s="94">
        <v>12</v>
      </c>
      <c r="F501" s="92">
        <v>515401</v>
      </c>
      <c r="G501" s="76" t="str">
        <f>IFERROR(INDEX([1]物品基础表!$A:$A,MATCH(F501,[1]物品基础表!$B:$B,0)),"")</f>
        <v>金财神1级</v>
      </c>
      <c r="H501" s="92">
        <v>1</v>
      </c>
      <c r="I501" s="92">
        <v>5000</v>
      </c>
      <c r="J501" s="99">
        <f t="shared" si="8"/>
        <v>5000</v>
      </c>
      <c r="K501" s="92"/>
      <c r="L501" s="93" t="s">
        <v>1390</v>
      </c>
      <c r="M501" s="92"/>
      <c r="N501" s="92">
        <v>5</v>
      </c>
      <c r="O501" s="92"/>
      <c r="P501" s="92"/>
    </row>
    <row r="502" spans="1:16">
      <c r="A502" s="39" t="str">
        <f>INDEX([2]活动总表!$A$8:$A$429,MATCH(B502,[2]活动总表!$B$8:$B$429,0))</f>
        <v>节日商店（61天以及以上</v>
      </c>
      <c r="B502" s="93">
        <v>368</v>
      </c>
      <c r="C502" s="94">
        <v>108</v>
      </c>
      <c r="D502" s="94">
        <v>0</v>
      </c>
      <c r="E502" s="94">
        <v>12</v>
      </c>
      <c r="F502" s="92">
        <v>516401</v>
      </c>
      <c r="G502" s="76" t="str">
        <f>IFERROR(INDEX([1]物品基础表!$A:$A,MATCH(F502,[1]物品基础表!$B:$B,0)),"")</f>
        <v>金强攻1级</v>
      </c>
      <c r="H502" s="92">
        <v>1</v>
      </c>
      <c r="I502" s="92">
        <v>15000</v>
      </c>
      <c r="J502" s="99">
        <f t="shared" si="8"/>
        <v>15000</v>
      </c>
      <c r="K502" s="92"/>
      <c r="L502" s="93" t="s">
        <v>1390</v>
      </c>
      <c r="M502" s="92"/>
      <c r="N502" s="92">
        <v>5</v>
      </c>
      <c r="O502" s="92"/>
      <c r="P502" s="92"/>
    </row>
    <row r="503" spans="1:16">
      <c r="A503" s="39" t="str">
        <f>INDEX([2]活动总表!$A$8:$A$429,MATCH(B503,[2]活动总表!$B$8:$B$429,0))</f>
        <v>节日商店（61天以及以上</v>
      </c>
      <c r="B503" s="93">
        <v>368</v>
      </c>
      <c r="C503" s="94">
        <v>109</v>
      </c>
      <c r="D503" s="94">
        <v>0</v>
      </c>
      <c r="E503" s="94">
        <v>12</v>
      </c>
      <c r="F503" s="92">
        <v>517401</v>
      </c>
      <c r="G503" s="76" t="str">
        <f>IFERROR(INDEX([1]物品基础表!$A:$A,MATCH(F503,[1]物品基础表!$B:$B,0)),"")</f>
        <v>金毁灭1级</v>
      </c>
      <c r="H503" s="92">
        <v>1</v>
      </c>
      <c r="I503" s="92">
        <v>15000</v>
      </c>
      <c r="J503" s="99">
        <f t="shared" si="8"/>
        <v>15000</v>
      </c>
      <c r="K503" s="92"/>
      <c r="L503" s="93" t="s">
        <v>1390</v>
      </c>
      <c r="M503" s="92"/>
      <c r="N503" s="92">
        <v>5</v>
      </c>
      <c r="O503" s="92"/>
      <c r="P503" s="92"/>
    </row>
    <row r="504" spans="1:16">
      <c r="A504" s="39" t="str">
        <f>INDEX([2]活动总表!$A$8:$A$429,MATCH(B504,[2]活动总表!$B$8:$B$429,0))</f>
        <v>节日商店（61天以及以上</v>
      </c>
      <c r="B504" s="93">
        <v>368</v>
      </c>
      <c r="C504" s="94">
        <v>110</v>
      </c>
      <c r="D504" s="94">
        <v>0</v>
      </c>
      <c r="E504" s="94">
        <v>12</v>
      </c>
      <c r="F504" s="92">
        <v>518401</v>
      </c>
      <c r="G504" s="76" t="str">
        <f>IFERROR(INDEX([1]物品基础表!$A:$A,MATCH(F504,[1]物品基础表!$B:$B,0)),"")</f>
        <v>金泰坦1级</v>
      </c>
      <c r="H504" s="92">
        <v>1</v>
      </c>
      <c r="I504" s="92">
        <v>15000</v>
      </c>
      <c r="J504" s="99">
        <f t="shared" si="8"/>
        <v>15000</v>
      </c>
      <c r="K504" s="92"/>
      <c r="L504" s="93" t="s">
        <v>1390</v>
      </c>
      <c r="M504" s="92"/>
      <c r="N504" s="92">
        <v>5</v>
      </c>
      <c r="O504" s="92"/>
      <c r="P504" s="92"/>
    </row>
    <row r="505" spans="1:16">
      <c r="A505" s="39" t="str">
        <f>INDEX([2]活动总表!$A$8:$A$429,MATCH(B505,[2]活动总表!$B$8:$B$429,0))</f>
        <v>节日商店（61天以及以上</v>
      </c>
      <c r="B505" s="93">
        <v>368</v>
      </c>
      <c r="C505" s="94">
        <v>111</v>
      </c>
      <c r="D505" s="94">
        <v>0</v>
      </c>
      <c r="E505" s="94">
        <v>12</v>
      </c>
      <c r="F505" s="92">
        <v>501301</v>
      </c>
      <c r="G505" s="76" t="str">
        <f>IFERROR(INDEX([1]物品基础表!$A:$A,MATCH(F505,[1]物品基础表!$B:$B,0)),"")</f>
        <v>红神力1级</v>
      </c>
      <c r="H505" s="92">
        <v>1</v>
      </c>
      <c r="I505" s="92">
        <v>7500</v>
      </c>
      <c r="J505" s="99">
        <f t="shared" si="8"/>
        <v>7500</v>
      </c>
      <c r="K505" s="92"/>
      <c r="L505" s="93" t="s">
        <v>1391</v>
      </c>
      <c r="M505" s="92"/>
      <c r="N505" s="92">
        <v>5</v>
      </c>
      <c r="O505" s="92"/>
      <c r="P505" s="92"/>
    </row>
    <row r="506" spans="1:16">
      <c r="A506" s="39" t="str">
        <f>INDEX([2]活动总表!$A$8:$A$429,MATCH(B506,[2]活动总表!$B$8:$B$429,0))</f>
        <v>节日商店（61天以及以上</v>
      </c>
      <c r="B506" s="93">
        <v>368</v>
      </c>
      <c r="C506" s="94">
        <v>112</v>
      </c>
      <c r="D506" s="94">
        <v>0</v>
      </c>
      <c r="E506" s="94">
        <v>12</v>
      </c>
      <c r="F506" s="92">
        <v>502301</v>
      </c>
      <c r="G506" s="76" t="str">
        <f>IFERROR(INDEX([1]物品基础表!$A:$A,MATCH(F506,[1]物品基础表!$B:$B,0)),"")</f>
        <v>红金汤1级</v>
      </c>
      <c r="H506" s="92">
        <v>1</v>
      </c>
      <c r="I506" s="92">
        <v>7500</v>
      </c>
      <c r="J506" s="99">
        <f t="shared" si="8"/>
        <v>7500</v>
      </c>
      <c r="K506" s="92"/>
      <c r="L506" s="93" t="s">
        <v>1391</v>
      </c>
      <c r="M506" s="92"/>
      <c r="N506" s="92">
        <v>5</v>
      </c>
      <c r="O506" s="92"/>
      <c r="P506" s="92"/>
    </row>
    <row r="507" spans="1:16">
      <c r="A507" s="39" t="str">
        <f>INDEX([2]活动总表!$A$8:$A$429,MATCH(B507,[2]活动总表!$B$8:$B$429,0))</f>
        <v>节日商店（61天以及以上</v>
      </c>
      <c r="B507" s="93">
        <v>368</v>
      </c>
      <c r="C507" s="94">
        <v>113</v>
      </c>
      <c r="D507" s="94">
        <v>0</v>
      </c>
      <c r="E507" s="94">
        <v>12</v>
      </c>
      <c r="F507" s="92">
        <v>503301</v>
      </c>
      <c r="G507" s="76" t="str">
        <f>IFERROR(INDEX([1]物品基础表!$A:$A,MATCH(F507,[1]物品基础表!$B:$B,0)),"")</f>
        <v>红长生1级</v>
      </c>
      <c r="H507" s="92">
        <v>1</v>
      </c>
      <c r="I507" s="92">
        <v>7500</v>
      </c>
      <c r="J507" s="99">
        <f t="shared" si="8"/>
        <v>7500</v>
      </c>
      <c r="K507" s="92"/>
      <c r="L507" s="93" t="s">
        <v>1391</v>
      </c>
      <c r="M507" s="92"/>
      <c r="N507" s="92">
        <v>5</v>
      </c>
      <c r="O507" s="92"/>
      <c r="P507" s="92"/>
    </row>
    <row r="508" spans="1:16">
      <c r="A508" s="39" t="str">
        <f>INDEX([2]活动总表!$A$8:$A$429,MATCH(B508,[2]活动总表!$B$8:$B$429,0))</f>
        <v>节日商店（61天以及以上</v>
      </c>
      <c r="B508" s="93">
        <v>368</v>
      </c>
      <c r="C508" s="94">
        <v>114</v>
      </c>
      <c r="D508" s="94">
        <v>0</v>
      </c>
      <c r="E508" s="94">
        <v>12</v>
      </c>
      <c r="F508" s="92">
        <v>504301</v>
      </c>
      <c r="G508" s="76" t="str">
        <f>IFERROR(INDEX([1]物品基础表!$A:$A,MATCH(F508,[1]物品基础表!$B:$B,0)),"")</f>
        <v>红光武1级</v>
      </c>
      <c r="H508" s="92">
        <v>1</v>
      </c>
      <c r="I508" s="92">
        <v>10000</v>
      </c>
      <c r="J508" s="99">
        <f t="shared" si="8"/>
        <v>10000</v>
      </c>
      <c r="K508" s="92"/>
      <c r="L508" s="93" t="s">
        <v>1391</v>
      </c>
      <c r="M508" s="92"/>
      <c r="N508" s="92">
        <v>5</v>
      </c>
      <c r="O508" s="92"/>
      <c r="P508" s="92"/>
    </row>
    <row r="509" spans="1:16">
      <c r="A509" s="39" t="str">
        <f>INDEX([2]活动总表!$A$8:$A$429,MATCH(B509,[2]活动总表!$B$8:$B$429,0))</f>
        <v>节日商店（61天以及以上</v>
      </c>
      <c r="B509" s="93">
        <v>368</v>
      </c>
      <c r="C509" s="94">
        <v>115</v>
      </c>
      <c r="D509" s="94">
        <v>0</v>
      </c>
      <c r="E509" s="94">
        <v>12</v>
      </c>
      <c r="F509" s="92">
        <v>505301</v>
      </c>
      <c r="G509" s="76" t="str">
        <f>IFERROR(INDEX([1]物品基础表!$A:$A,MATCH(F509,[1]物品基础表!$B:$B,0)),"")</f>
        <v>红神盔1级</v>
      </c>
      <c r="H509" s="92">
        <v>1</v>
      </c>
      <c r="I509" s="92">
        <v>3100</v>
      </c>
      <c r="J509" s="99">
        <f t="shared" si="8"/>
        <v>3100</v>
      </c>
      <c r="K509" s="92"/>
      <c r="L509" s="93" t="s">
        <v>1391</v>
      </c>
      <c r="M509" s="92"/>
      <c r="N509" s="92">
        <v>5</v>
      </c>
      <c r="O509" s="92"/>
      <c r="P509" s="92"/>
    </row>
    <row r="510" spans="1:16">
      <c r="A510" s="39" t="str">
        <f>INDEX([2]活动总表!$A$8:$A$429,MATCH(B510,[2]活动总表!$B$8:$B$429,0))</f>
        <v>节日商店（61天以及以上</v>
      </c>
      <c r="B510" s="93">
        <v>368</v>
      </c>
      <c r="C510" s="94">
        <v>116</v>
      </c>
      <c r="D510" s="94">
        <v>0</v>
      </c>
      <c r="E510" s="94">
        <v>12</v>
      </c>
      <c r="F510" s="92">
        <v>506301</v>
      </c>
      <c r="G510" s="76" t="str">
        <f>IFERROR(INDEX([1]物品基础表!$A:$A,MATCH(F510,[1]物品基础表!$B:$B,0)),"")</f>
        <v>红固甲1级</v>
      </c>
      <c r="H510" s="92">
        <v>1</v>
      </c>
      <c r="I510" s="92">
        <v>6300</v>
      </c>
      <c r="J510" s="99">
        <f t="shared" si="8"/>
        <v>6300</v>
      </c>
      <c r="K510" s="92"/>
      <c r="L510" s="93" t="s">
        <v>1391</v>
      </c>
      <c r="M510" s="92"/>
      <c r="N510" s="92">
        <v>5</v>
      </c>
      <c r="O510" s="92"/>
      <c r="P510" s="92"/>
    </row>
    <row r="511" spans="1:16">
      <c r="A511" s="39" t="str">
        <f>INDEX([2]活动总表!$A$8:$A$429,MATCH(B511,[2]活动总表!$B$8:$B$429,0))</f>
        <v>节日商店（61天以及以上</v>
      </c>
      <c r="B511" s="93">
        <v>368</v>
      </c>
      <c r="C511" s="94">
        <v>117</v>
      </c>
      <c r="D511" s="94">
        <v>0</v>
      </c>
      <c r="E511" s="94">
        <v>12</v>
      </c>
      <c r="F511" s="92">
        <v>507301</v>
      </c>
      <c r="G511" s="76" t="str">
        <f>IFERROR(INDEX([1]物品基础表!$A:$A,MATCH(F511,[1]物品基础表!$B:$B,0)),"")</f>
        <v>红灵链1级</v>
      </c>
      <c r="H511" s="92">
        <v>1</v>
      </c>
      <c r="I511" s="92">
        <v>3100</v>
      </c>
      <c r="J511" s="99">
        <f t="shared" si="8"/>
        <v>3100</v>
      </c>
      <c r="K511" s="92"/>
      <c r="L511" s="93" t="s">
        <v>1391</v>
      </c>
      <c r="M511" s="92"/>
      <c r="N511" s="92">
        <v>5</v>
      </c>
      <c r="O511" s="92"/>
      <c r="P511" s="92"/>
    </row>
    <row r="512" spans="1:16">
      <c r="A512" s="39" t="str">
        <f>INDEX([2]活动总表!$A$8:$A$429,MATCH(B512,[2]活动总表!$B$8:$B$429,0))</f>
        <v>节日商店（61天以及以上</v>
      </c>
      <c r="B512" s="93">
        <v>368</v>
      </c>
      <c r="C512" s="94">
        <v>118</v>
      </c>
      <c r="D512" s="94">
        <v>0</v>
      </c>
      <c r="E512" s="94">
        <v>12</v>
      </c>
      <c r="F512" s="92">
        <v>508301</v>
      </c>
      <c r="G512" s="76" t="str">
        <f>IFERROR(INDEX([1]物品基础表!$A:$A,MATCH(F512,[1]物品基础表!$B:$B,0)),"")</f>
        <v>红地镯1级</v>
      </c>
      <c r="H512" s="92">
        <v>1</v>
      </c>
      <c r="I512" s="92">
        <v>3100</v>
      </c>
      <c r="J512" s="99">
        <f t="shared" si="8"/>
        <v>3100</v>
      </c>
      <c r="K512" s="92"/>
      <c r="L512" s="93" t="s">
        <v>1391</v>
      </c>
      <c r="M512" s="92"/>
      <c r="N512" s="92">
        <v>5</v>
      </c>
      <c r="O512" s="92"/>
      <c r="P512" s="92"/>
    </row>
    <row r="513" spans="1:16">
      <c r="A513" s="39" t="str">
        <f>INDEX([2]活动总表!$A$8:$A$429,MATCH(B513,[2]活动总表!$B$8:$B$429,0))</f>
        <v>节日商店（61天以及以上</v>
      </c>
      <c r="B513" s="93">
        <v>368</v>
      </c>
      <c r="C513" s="94">
        <v>119</v>
      </c>
      <c r="D513" s="94">
        <v>0</v>
      </c>
      <c r="E513" s="94">
        <v>12</v>
      </c>
      <c r="F513" s="92">
        <v>509301</v>
      </c>
      <c r="G513" s="76" t="str">
        <f>IFERROR(INDEX([1]物品基础表!$A:$A,MATCH(F513,[1]物品基础表!$B:$B,0)),"")</f>
        <v>红乾戒1级</v>
      </c>
      <c r="H513" s="92">
        <v>1</v>
      </c>
      <c r="I513" s="92">
        <v>3100</v>
      </c>
      <c r="J513" s="99">
        <f t="shared" si="8"/>
        <v>3100</v>
      </c>
      <c r="K513" s="92"/>
      <c r="L513" s="93" t="s">
        <v>1391</v>
      </c>
      <c r="M513" s="92"/>
      <c r="N513" s="92">
        <v>5</v>
      </c>
      <c r="O513" s="92"/>
      <c r="P513" s="92"/>
    </row>
    <row r="514" spans="1:16">
      <c r="A514" s="39" t="str">
        <f>INDEX([2]活动总表!$A$8:$A$429,MATCH(B514,[2]活动总表!$B$8:$B$429,0))</f>
        <v>节日商店（61天以及以上</v>
      </c>
      <c r="B514" s="93">
        <v>368</v>
      </c>
      <c r="C514" s="94">
        <v>120</v>
      </c>
      <c r="D514" s="94">
        <v>0</v>
      </c>
      <c r="E514" s="94">
        <v>12</v>
      </c>
      <c r="F514" s="92">
        <v>510301</v>
      </c>
      <c r="G514" s="76" t="str">
        <f>IFERROR(INDEX([1]物品基础表!$A:$A,MATCH(F514,[1]物品基础表!$B:$B,0)),"")</f>
        <v>红龙带1级</v>
      </c>
      <c r="H514" s="92">
        <v>1</v>
      </c>
      <c r="I514" s="92">
        <v>3100</v>
      </c>
      <c r="J514" s="99">
        <f t="shared" si="8"/>
        <v>3100</v>
      </c>
      <c r="K514" s="92"/>
      <c r="L514" s="93" t="s">
        <v>1391</v>
      </c>
      <c r="M514" s="92"/>
      <c r="N514" s="92">
        <v>5</v>
      </c>
      <c r="O514" s="92"/>
      <c r="P514" s="92"/>
    </row>
    <row r="515" spans="1:16">
      <c r="A515" s="39" t="str">
        <f>INDEX([2]活动总表!$A$8:$A$429,MATCH(B515,[2]活动总表!$B$8:$B$429,0))</f>
        <v>节日商店（61天以及以上</v>
      </c>
      <c r="B515" s="93">
        <v>368</v>
      </c>
      <c r="C515" s="94">
        <v>121</v>
      </c>
      <c r="D515" s="94">
        <v>0</v>
      </c>
      <c r="E515" s="94">
        <v>12</v>
      </c>
      <c r="F515" s="92">
        <v>511301</v>
      </c>
      <c r="G515" s="76" t="str">
        <f>IFERROR(INDEX([1]物品基础表!$A:$A,MATCH(F515,[1]物品基础表!$B:$B,0)),"")</f>
        <v>红逐日1级</v>
      </c>
      <c r="H515" s="92">
        <v>1</v>
      </c>
      <c r="I515" s="92">
        <v>3100</v>
      </c>
      <c r="J515" s="99">
        <f t="shared" si="8"/>
        <v>3100</v>
      </c>
      <c r="K515" s="92"/>
      <c r="L515" s="93" t="s">
        <v>1391</v>
      </c>
      <c r="M515" s="92"/>
      <c r="N515" s="92">
        <v>5</v>
      </c>
      <c r="O515" s="92"/>
      <c r="P515" s="92"/>
    </row>
    <row r="516" spans="1:16">
      <c r="A516" s="39" t="str">
        <f>INDEX([2]活动总表!$A$8:$A$429,MATCH(B516,[2]活动总表!$B$8:$B$429,0))</f>
        <v>节日商店（61天以及以上</v>
      </c>
      <c r="B516" s="93">
        <v>368</v>
      </c>
      <c r="C516" s="94">
        <v>122</v>
      </c>
      <c r="D516" s="94">
        <v>0</v>
      </c>
      <c r="E516" s="94">
        <v>12</v>
      </c>
      <c r="F516" s="92">
        <v>512301</v>
      </c>
      <c r="G516" s="76" t="str">
        <f>IFERROR(INDEX([1]物品基础表!$A:$A,MATCH(F516,[1]物品基础表!$B:$B,0)),"")</f>
        <v>红豁免1级</v>
      </c>
      <c r="H516" s="92">
        <v>1</v>
      </c>
      <c r="I516" s="92">
        <v>9400</v>
      </c>
      <c r="J516" s="99">
        <f t="shared" ref="J516:J579" si="9">I516/H516</f>
        <v>9400</v>
      </c>
      <c r="K516" s="92"/>
      <c r="L516" s="93" t="s">
        <v>1391</v>
      </c>
      <c r="M516" s="92"/>
      <c r="N516" s="92">
        <v>5</v>
      </c>
      <c r="O516" s="92"/>
      <c r="P516" s="92"/>
    </row>
    <row r="517" spans="1:16">
      <c r="A517" s="39" t="str">
        <f>INDEX([2]活动总表!$A$8:$A$429,MATCH(B517,[2]活动总表!$B$8:$B$429,0))</f>
        <v>节日商店（61天以及以上</v>
      </c>
      <c r="B517" s="93">
        <v>368</v>
      </c>
      <c r="C517" s="94">
        <v>123</v>
      </c>
      <c r="D517" s="94">
        <v>0</v>
      </c>
      <c r="E517" s="94">
        <v>12</v>
      </c>
      <c r="F517" s="92">
        <v>513301</v>
      </c>
      <c r="G517" s="76" t="str">
        <f>IFERROR(INDEX([1]物品基础表!$A:$A,MATCH(F517,[1]物品基础表!$B:$B,0)),"")</f>
        <v>红杀戮1级</v>
      </c>
      <c r="H517" s="92">
        <v>1</v>
      </c>
      <c r="I517" s="92">
        <v>9400</v>
      </c>
      <c r="J517" s="99">
        <f t="shared" si="9"/>
        <v>9400</v>
      </c>
      <c r="K517" s="92"/>
      <c r="L517" s="93" t="s">
        <v>1391</v>
      </c>
      <c r="M517" s="92"/>
      <c r="N517" s="92">
        <v>5</v>
      </c>
      <c r="O517" s="92"/>
      <c r="P517" s="92"/>
    </row>
    <row r="518" spans="1:16">
      <c r="A518" s="39" t="str">
        <f>INDEX([2]活动总表!$A$8:$A$429,MATCH(B518,[2]活动总表!$B$8:$B$429,0))</f>
        <v>节日商店（61天以及以上</v>
      </c>
      <c r="B518" s="93">
        <v>368</v>
      </c>
      <c r="C518" s="94">
        <v>124</v>
      </c>
      <c r="D518" s="94">
        <v>0</v>
      </c>
      <c r="E518" s="94">
        <v>12</v>
      </c>
      <c r="F518" s="92">
        <v>514301</v>
      </c>
      <c r="G518" s="76" t="str">
        <f>IFERROR(INDEX([1]物品基础表!$A:$A,MATCH(F518,[1]物品基础表!$B:$B,0)),"")</f>
        <v>红祝福1级</v>
      </c>
      <c r="H518" s="92">
        <v>1</v>
      </c>
      <c r="I518" s="92">
        <v>2500</v>
      </c>
      <c r="J518" s="99">
        <f t="shared" si="9"/>
        <v>2500</v>
      </c>
      <c r="K518" s="92"/>
      <c r="L518" s="93" t="s">
        <v>1391</v>
      </c>
      <c r="M518" s="92"/>
      <c r="N518" s="92">
        <v>5</v>
      </c>
      <c r="O518" s="92"/>
      <c r="P518" s="92"/>
    </row>
    <row r="519" spans="1:16">
      <c r="A519" s="39" t="str">
        <f>INDEX([2]活动总表!$A$8:$A$429,MATCH(B519,[2]活动总表!$B$8:$B$429,0))</f>
        <v>节日商店（61天以及以上</v>
      </c>
      <c r="B519" s="93">
        <v>368</v>
      </c>
      <c r="C519" s="94">
        <v>125</v>
      </c>
      <c r="D519" s="94">
        <v>0</v>
      </c>
      <c r="E519" s="94">
        <v>12</v>
      </c>
      <c r="F519" s="92">
        <v>515301</v>
      </c>
      <c r="G519" s="76" t="str">
        <f>IFERROR(INDEX([1]物品基础表!$A:$A,MATCH(F519,[1]物品基础表!$B:$B,0)),"")</f>
        <v>红财神1级</v>
      </c>
      <c r="H519" s="92">
        <v>1</v>
      </c>
      <c r="I519" s="92">
        <v>2500</v>
      </c>
      <c r="J519" s="99">
        <f t="shared" si="9"/>
        <v>2500</v>
      </c>
      <c r="K519" s="92"/>
      <c r="L519" s="93" t="s">
        <v>1391</v>
      </c>
      <c r="M519" s="92"/>
      <c r="N519" s="92">
        <v>5</v>
      </c>
      <c r="O519" s="92"/>
      <c r="P519" s="92"/>
    </row>
    <row r="520" spans="1:16">
      <c r="A520" s="39" t="str">
        <f>INDEX([2]活动总表!$A$8:$A$429,MATCH(B520,[2]活动总表!$B$8:$B$429,0))</f>
        <v>节日商店（61天以及以上</v>
      </c>
      <c r="B520" s="93">
        <v>368</v>
      </c>
      <c r="C520" s="94">
        <v>126</v>
      </c>
      <c r="D520" s="94">
        <v>0</v>
      </c>
      <c r="E520" s="94">
        <v>12</v>
      </c>
      <c r="F520" s="92">
        <v>516301</v>
      </c>
      <c r="G520" s="76" t="str">
        <f>IFERROR(INDEX([1]物品基础表!$A:$A,MATCH(F520,[1]物品基础表!$B:$B,0)),"")</f>
        <v>红强攻1级</v>
      </c>
      <c r="H520" s="92">
        <v>1</v>
      </c>
      <c r="I520" s="92">
        <v>7500</v>
      </c>
      <c r="J520" s="99">
        <f t="shared" si="9"/>
        <v>7500</v>
      </c>
      <c r="K520" s="92"/>
      <c r="L520" s="93" t="s">
        <v>1391</v>
      </c>
      <c r="M520" s="92"/>
      <c r="N520" s="92">
        <v>5</v>
      </c>
      <c r="O520" s="92"/>
      <c r="P520" s="92"/>
    </row>
    <row r="521" spans="1:16">
      <c r="A521" s="39" t="str">
        <f>INDEX([2]活动总表!$A$8:$A$429,MATCH(B521,[2]活动总表!$B$8:$B$429,0))</f>
        <v>节日商店（61天以及以上</v>
      </c>
      <c r="B521" s="93">
        <v>368</v>
      </c>
      <c r="C521" s="94">
        <v>127</v>
      </c>
      <c r="D521" s="94">
        <v>0</v>
      </c>
      <c r="E521" s="94">
        <v>12</v>
      </c>
      <c r="F521" s="92">
        <v>517301</v>
      </c>
      <c r="G521" s="76" t="str">
        <f>IFERROR(INDEX([1]物品基础表!$A:$A,MATCH(F521,[1]物品基础表!$B:$B,0)),"")</f>
        <v>红毁灭1级</v>
      </c>
      <c r="H521" s="92">
        <v>1</v>
      </c>
      <c r="I521" s="92">
        <v>7500</v>
      </c>
      <c r="J521" s="99">
        <f t="shared" si="9"/>
        <v>7500</v>
      </c>
      <c r="K521" s="92"/>
      <c r="L521" s="93" t="s">
        <v>1391</v>
      </c>
      <c r="M521" s="92"/>
      <c r="N521" s="92">
        <v>5</v>
      </c>
      <c r="O521" s="92"/>
      <c r="P521" s="92"/>
    </row>
    <row r="522" spans="1:16">
      <c r="A522" s="39" t="str">
        <f>INDEX([2]活动总表!$A$8:$A$429,MATCH(B522,[2]活动总表!$B$8:$B$429,0))</f>
        <v>节日商店（61天以及以上</v>
      </c>
      <c r="B522" s="93">
        <v>368</v>
      </c>
      <c r="C522" s="94">
        <v>128</v>
      </c>
      <c r="D522" s="94">
        <v>0</v>
      </c>
      <c r="E522" s="94">
        <v>12</v>
      </c>
      <c r="F522" s="92">
        <v>518301</v>
      </c>
      <c r="G522" s="76" t="str">
        <f>IFERROR(INDEX([1]物品基础表!$A:$A,MATCH(F522,[1]物品基础表!$B:$B,0)),"")</f>
        <v>红泰坦1级</v>
      </c>
      <c r="H522" s="92">
        <v>1</v>
      </c>
      <c r="I522" s="92">
        <v>7500</v>
      </c>
      <c r="J522" s="99">
        <f t="shared" si="9"/>
        <v>7500</v>
      </c>
      <c r="K522" s="92"/>
      <c r="L522" s="93" t="s">
        <v>1391</v>
      </c>
      <c r="M522" s="92"/>
      <c r="N522" s="92">
        <v>5</v>
      </c>
      <c r="O522" s="92"/>
      <c r="P522" s="92"/>
    </row>
    <row r="523" spans="1:16">
      <c r="A523" s="39" t="str">
        <f>INDEX([2]活动总表!$A$8:$A$429,MATCH(B523,[2]活动总表!$B$8:$B$429,0))</f>
        <v>节日商店（61天以及以上</v>
      </c>
      <c r="B523" s="93">
        <v>368</v>
      </c>
      <c r="C523" s="94">
        <v>129</v>
      </c>
      <c r="D523" s="94">
        <v>0</v>
      </c>
      <c r="E523" s="94">
        <v>12</v>
      </c>
      <c r="F523" s="92">
        <v>501201</v>
      </c>
      <c r="G523" s="76" t="str">
        <f>IFERROR(INDEX([1]物品基础表!$A:$A,MATCH(F523,[1]物品基础表!$B:$B,0)),"")</f>
        <v>橙神力1级</v>
      </c>
      <c r="H523" s="92">
        <v>1</v>
      </c>
      <c r="I523" s="92">
        <v>2300</v>
      </c>
      <c r="J523" s="99">
        <f t="shared" si="9"/>
        <v>2300</v>
      </c>
      <c r="K523" s="92"/>
      <c r="L523" s="93" t="s">
        <v>1392</v>
      </c>
      <c r="M523" s="92"/>
      <c r="N523" s="92">
        <v>3</v>
      </c>
      <c r="O523" s="92"/>
      <c r="P523" s="92"/>
    </row>
    <row r="524" spans="1:16">
      <c r="A524" s="39" t="str">
        <f>INDEX([2]活动总表!$A$8:$A$429,MATCH(B524,[2]活动总表!$B$8:$B$429,0))</f>
        <v>节日商店（61天以及以上</v>
      </c>
      <c r="B524" s="93">
        <v>368</v>
      </c>
      <c r="C524" s="94">
        <v>130</v>
      </c>
      <c r="D524" s="94">
        <v>0</v>
      </c>
      <c r="E524" s="94">
        <v>12</v>
      </c>
      <c r="F524" s="92">
        <v>502201</v>
      </c>
      <c r="G524" s="76" t="str">
        <f>IFERROR(INDEX([1]物品基础表!$A:$A,MATCH(F524,[1]物品基础表!$B:$B,0)),"")</f>
        <v>橙金汤1级</v>
      </c>
      <c r="H524" s="92">
        <v>1</v>
      </c>
      <c r="I524" s="92">
        <v>2300</v>
      </c>
      <c r="J524" s="99">
        <f t="shared" si="9"/>
        <v>2300</v>
      </c>
      <c r="K524" s="92"/>
      <c r="L524" s="93" t="s">
        <v>1392</v>
      </c>
      <c r="M524" s="92"/>
      <c r="N524" s="92">
        <v>3</v>
      </c>
      <c r="O524" s="92"/>
      <c r="P524" s="92"/>
    </row>
    <row r="525" spans="1:16">
      <c r="A525" s="39" t="str">
        <f>INDEX([2]活动总表!$A$8:$A$429,MATCH(B525,[2]活动总表!$B$8:$B$429,0))</f>
        <v>节日商店（61天以及以上</v>
      </c>
      <c r="B525" s="93">
        <v>368</v>
      </c>
      <c r="C525" s="94">
        <v>131</v>
      </c>
      <c r="D525" s="94">
        <v>0</v>
      </c>
      <c r="E525" s="94">
        <v>12</v>
      </c>
      <c r="F525" s="92">
        <v>503201</v>
      </c>
      <c r="G525" s="76" t="str">
        <f>IFERROR(INDEX([1]物品基础表!$A:$A,MATCH(F525,[1]物品基础表!$B:$B,0)),"")</f>
        <v>橙长生1级</v>
      </c>
      <c r="H525" s="92">
        <v>1</v>
      </c>
      <c r="I525" s="92">
        <v>2300</v>
      </c>
      <c r="J525" s="99">
        <f t="shared" si="9"/>
        <v>2300</v>
      </c>
      <c r="K525" s="92"/>
      <c r="L525" s="93" t="s">
        <v>1392</v>
      </c>
      <c r="M525" s="92"/>
      <c r="N525" s="92">
        <v>3</v>
      </c>
      <c r="O525" s="92"/>
      <c r="P525" s="92"/>
    </row>
    <row r="526" spans="1:16">
      <c r="A526" s="39" t="str">
        <f>INDEX([2]活动总表!$A$8:$A$429,MATCH(B526,[2]活动总表!$B$8:$B$429,0))</f>
        <v>节日商店（61天以及以上</v>
      </c>
      <c r="B526" s="93">
        <v>368</v>
      </c>
      <c r="C526" s="94">
        <v>132</v>
      </c>
      <c r="D526" s="94">
        <v>0</v>
      </c>
      <c r="E526" s="94">
        <v>12</v>
      </c>
      <c r="F526" s="92">
        <v>504201</v>
      </c>
      <c r="G526" s="76" t="str">
        <f>IFERROR(INDEX([1]物品基础表!$A:$A,MATCH(F526,[1]物品基础表!$B:$B,0)),"")</f>
        <v>橙光武1级</v>
      </c>
      <c r="H526" s="92">
        <v>1</v>
      </c>
      <c r="I526" s="92">
        <v>3000</v>
      </c>
      <c r="J526" s="99">
        <f t="shared" si="9"/>
        <v>3000</v>
      </c>
      <c r="K526" s="92"/>
      <c r="L526" s="93" t="s">
        <v>1392</v>
      </c>
      <c r="M526" s="92"/>
      <c r="N526" s="92">
        <v>3</v>
      </c>
      <c r="O526" s="92"/>
      <c r="P526" s="92"/>
    </row>
    <row r="527" spans="1:16">
      <c r="A527" s="39" t="str">
        <f>INDEX([2]活动总表!$A$8:$A$429,MATCH(B527,[2]活动总表!$B$8:$B$429,0))</f>
        <v>节日商店（61天以及以上</v>
      </c>
      <c r="B527" s="93">
        <v>368</v>
      </c>
      <c r="C527" s="94">
        <v>133</v>
      </c>
      <c r="D527" s="94">
        <v>0</v>
      </c>
      <c r="E527" s="94">
        <v>12</v>
      </c>
      <c r="F527" s="92">
        <v>505201</v>
      </c>
      <c r="G527" s="76" t="str">
        <f>IFERROR(INDEX([1]物品基础表!$A:$A,MATCH(F527,[1]物品基础表!$B:$B,0)),"")</f>
        <v>橙神盔1级</v>
      </c>
      <c r="H527" s="92">
        <v>1</v>
      </c>
      <c r="I527" s="92">
        <v>900</v>
      </c>
      <c r="J527" s="99">
        <f t="shared" si="9"/>
        <v>900</v>
      </c>
      <c r="K527" s="92"/>
      <c r="L527" s="93" t="s">
        <v>1392</v>
      </c>
      <c r="M527" s="92"/>
      <c r="N527" s="92">
        <v>3</v>
      </c>
      <c r="O527" s="92"/>
      <c r="P527" s="92"/>
    </row>
    <row r="528" spans="1:16">
      <c r="A528" s="39" t="str">
        <f>INDEX([2]活动总表!$A$8:$A$429,MATCH(B528,[2]活动总表!$B$8:$B$429,0))</f>
        <v>节日商店（61天以及以上</v>
      </c>
      <c r="B528" s="93">
        <v>368</v>
      </c>
      <c r="C528" s="94">
        <v>134</v>
      </c>
      <c r="D528" s="94">
        <v>0</v>
      </c>
      <c r="E528" s="94">
        <v>12</v>
      </c>
      <c r="F528" s="92">
        <v>506201</v>
      </c>
      <c r="G528" s="76" t="str">
        <f>IFERROR(INDEX([1]物品基础表!$A:$A,MATCH(F528,[1]物品基础表!$B:$B,0)),"")</f>
        <v>橙固甲1级</v>
      </c>
      <c r="H528" s="92">
        <v>1</v>
      </c>
      <c r="I528" s="92">
        <v>1900</v>
      </c>
      <c r="J528" s="99">
        <f t="shared" si="9"/>
        <v>1900</v>
      </c>
      <c r="K528" s="92"/>
      <c r="L528" s="93" t="s">
        <v>1392</v>
      </c>
      <c r="M528" s="92"/>
      <c r="N528" s="92">
        <v>3</v>
      </c>
      <c r="O528" s="92"/>
      <c r="P528" s="92"/>
    </row>
    <row r="529" spans="1:16">
      <c r="A529" s="39" t="str">
        <f>INDEX([2]活动总表!$A$8:$A$429,MATCH(B529,[2]活动总表!$B$8:$B$429,0))</f>
        <v>节日商店（61天以及以上</v>
      </c>
      <c r="B529" s="93">
        <v>368</v>
      </c>
      <c r="C529" s="94">
        <v>135</v>
      </c>
      <c r="D529" s="94">
        <v>0</v>
      </c>
      <c r="E529" s="94">
        <v>12</v>
      </c>
      <c r="F529" s="92">
        <v>507201</v>
      </c>
      <c r="G529" s="76" t="str">
        <f>IFERROR(INDEX([1]物品基础表!$A:$A,MATCH(F529,[1]物品基础表!$B:$B,0)),"")</f>
        <v>橙灵链1级</v>
      </c>
      <c r="H529" s="92">
        <v>1</v>
      </c>
      <c r="I529" s="92">
        <v>900</v>
      </c>
      <c r="J529" s="99">
        <f t="shared" si="9"/>
        <v>900</v>
      </c>
      <c r="K529" s="92"/>
      <c r="L529" s="93" t="s">
        <v>1392</v>
      </c>
      <c r="M529" s="92"/>
      <c r="N529" s="92">
        <v>3</v>
      </c>
      <c r="O529" s="92"/>
      <c r="P529" s="92"/>
    </row>
    <row r="530" spans="1:16">
      <c r="A530" s="39" t="str">
        <f>INDEX([2]活动总表!$A$8:$A$429,MATCH(B530,[2]活动总表!$B$8:$B$429,0))</f>
        <v>节日商店（61天以及以上</v>
      </c>
      <c r="B530" s="93">
        <v>368</v>
      </c>
      <c r="C530" s="94">
        <v>136</v>
      </c>
      <c r="D530" s="94">
        <v>0</v>
      </c>
      <c r="E530" s="94">
        <v>12</v>
      </c>
      <c r="F530" s="92">
        <v>508201</v>
      </c>
      <c r="G530" s="76" t="str">
        <f>IFERROR(INDEX([1]物品基础表!$A:$A,MATCH(F530,[1]物品基础表!$B:$B,0)),"")</f>
        <v>橙地镯1级</v>
      </c>
      <c r="H530" s="92">
        <v>1</v>
      </c>
      <c r="I530" s="92">
        <v>900</v>
      </c>
      <c r="J530" s="99">
        <f t="shared" si="9"/>
        <v>900</v>
      </c>
      <c r="K530" s="92"/>
      <c r="L530" s="93" t="s">
        <v>1392</v>
      </c>
      <c r="M530" s="92"/>
      <c r="N530" s="92">
        <v>3</v>
      </c>
      <c r="O530" s="92"/>
      <c r="P530" s="92"/>
    </row>
    <row r="531" spans="1:16">
      <c r="A531" s="39" t="str">
        <f>INDEX([2]活动总表!$A$8:$A$429,MATCH(B531,[2]活动总表!$B$8:$B$429,0))</f>
        <v>节日商店（61天以及以上</v>
      </c>
      <c r="B531" s="93">
        <v>368</v>
      </c>
      <c r="C531" s="94">
        <v>137</v>
      </c>
      <c r="D531" s="94">
        <v>0</v>
      </c>
      <c r="E531" s="94">
        <v>12</v>
      </c>
      <c r="F531" s="92">
        <v>509201</v>
      </c>
      <c r="G531" s="76" t="str">
        <f>IFERROR(INDEX([1]物品基础表!$A:$A,MATCH(F531,[1]物品基础表!$B:$B,0)),"")</f>
        <v>橙乾戒1级</v>
      </c>
      <c r="H531" s="92">
        <v>1</v>
      </c>
      <c r="I531" s="92">
        <v>900</v>
      </c>
      <c r="J531" s="99">
        <f t="shared" si="9"/>
        <v>900</v>
      </c>
      <c r="K531" s="92"/>
      <c r="L531" s="93" t="s">
        <v>1392</v>
      </c>
      <c r="M531" s="92"/>
      <c r="N531" s="92">
        <v>3</v>
      </c>
      <c r="O531" s="92"/>
      <c r="P531" s="92"/>
    </row>
    <row r="532" spans="1:16">
      <c r="A532" s="39" t="str">
        <f>INDEX([2]活动总表!$A$8:$A$429,MATCH(B532,[2]活动总表!$B$8:$B$429,0))</f>
        <v>节日商店（61天以及以上</v>
      </c>
      <c r="B532" s="93">
        <v>368</v>
      </c>
      <c r="C532" s="94">
        <v>138</v>
      </c>
      <c r="D532" s="94">
        <v>0</v>
      </c>
      <c r="E532" s="94">
        <v>12</v>
      </c>
      <c r="F532" s="92">
        <v>510201</v>
      </c>
      <c r="G532" s="76" t="str">
        <f>IFERROR(INDEX([1]物品基础表!$A:$A,MATCH(F532,[1]物品基础表!$B:$B,0)),"")</f>
        <v>橙龙带1级</v>
      </c>
      <c r="H532" s="92">
        <v>1</v>
      </c>
      <c r="I532" s="92">
        <v>900</v>
      </c>
      <c r="J532" s="99">
        <f t="shared" si="9"/>
        <v>900</v>
      </c>
      <c r="K532" s="92"/>
      <c r="L532" s="93" t="s">
        <v>1392</v>
      </c>
      <c r="M532" s="92"/>
      <c r="N532" s="92">
        <v>3</v>
      </c>
      <c r="O532" s="92"/>
      <c r="P532" s="92"/>
    </row>
    <row r="533" spans="1:16">
      <c r="A533" s="39" t="str">
        <f>INDEX([2]活动总表!$A$8:$A$429,MATCH(B533,[2]活动总表!$B$8:$B$429,0))</f>
        <v>节日商店（61天以及以上</v>
      </c>
      <c r="B533" s="93">
        <v>368</v>
      </c>
      <c r="C533" s="94">
        <v>139</v>
      </c>
      <c r="D533" s="94">
        <v>0</v>
      </c>
      <c r="E533" s="94">
        <v>12</v>
      </c>
      <c r="F533" s="92">
        <v>511201</v>
      </c>
      <c r="G533" s="76" t="str">
        <f>IFERROR(INDEX([1]物品基础表!$A:$A,MATCH(F533,[1]物品基础表!$B:$B,0)),"")</f>
        <v>橙逐日1级</v>
      </c>
      <c r="H533" s="92">
        <v>1</v>
      </c>
      <c r="I533" s="92">
        <v>900</v>
      </c>
      <c r="J533" s="99">
        <f t="shared" si="9"/>
        <v>900</v>
      </c>
      <c r="K533" s="92"/>
      <c r="L533" s="93" t="s">
        <v>1392</v>
      </c>
      <c r="M533" s="92"/>
      <c r="N533" s="92">
        <v>3</v>
      </c>
      <c r="O533" s="92"/>
      <c r="P533" s="92"/>
    </row>
    <row r="534" spans="1:16">
      <c r="A534" s="39" t="str">
        <f>INDEX([2]活动总表!$A$8:$A$429,MATCH(B534,[2]活动总表!$B$8:$B$429,0))</f>
        <v>节日商店（61天以及以上</v>
      </c>
      <c r="B534" s="93">
        <v>368</v>
      </c>
      <c r="C534" s="94">
        <v>140</v>
      </c>
      <c r="D534" s="94">
        <v>0</v>
      </c>
      <c r="E534" s="94">
        <v>12</v>
      </c>
      <c r="F534" s="92">
        <v>512201</v>
      </c>
      <c r="G534" s="76" t="str">
        <f>IFERROR(INDEX([1]物品基础表!$A:$A,MATCH(F534,[1]物品基础表!$B:$B,0)),"")</f>
        <v>橙豁免1级</v>
      </c>
      <c r="H534" s="92">
        <v>1</v>
      </c>
      <c r="I534" s="92">
        <v>2800</v>
      </c>
      <c r="J534" s="99">
        <f t="shared" si="9"/>
        <v>2800</v>
      </c>
      <c r="K534" s="92"/>
      <c r="L534" s="93" t="s">
        <v>1392</v>
      </c>
      <c r="M534" s="92"/>
      <c r="N534" s="92">
        <v>3</v>
      </c>
      <c r="O534" s="92"/>
      <c r="P534" s="92"/>
    </row>
    <row r="535" spans="1:16">
      <c r="A535" s="39" t="str">
        <f>INDEX([2]活动总表!$A$8:$A$429,MATCH(B535,[2]活动总表!$B$8:$B$429,0))</f>
        <v>节日商店（61天以及以上</v>
      </c>
      <c r="B535" s="93">
        <v>368</v>
      </c>
      <c r="C535" s="94">
        <v>141</v>
      </c>
      <c r="D535" s="94">
        <v>0</v>
      </c>
      <c r="E535" s="94">
        <v>12</v>
      </c>
      <c r="F535" s="92">
        <v>513201</v>
      </c>
      <c r="G535" s="76" t="str">
        <f>IFERROR(INDEX([1]物品基础表!$A:$A,MATCH(F535,[1]物品基础表!$B:$B,0)),"")</f>
        <v>橙杀戮1级</v>
      </c>
      <c r="H535" s="92">
        <v>1</v>
      </c>
      <c r="I535" s="92">
        <v>2800</v>
      </c>
      <c r="J535" s="99">
        <f t="shared" si="9"/>
        <v>2800</v>
      </c>
      <c r="K535" s="92"/>
      <c r="L535" s="93" t="s">
        <v>1392</v>
      </c>
      <c r="M535" s="92"/>
      <c r="N535" s="92">
        <v>3</v>
      </c>
      <c r="O535" s="92"/>
      <c r="P535" s="92"/>
    </row>
    <row r="536" spans="1:16">
      <c r="A536" s="39" t="str">
        <f>INDEX([2]活动总表!$A$8:$A$429,MATCH(B536,[2]活动总表!$B$8:$B$429,0))</f>
        <v>节日商店（61天以及以上</v>
      </c>
      <c r="B536" s="93">
        <v>368</v>
      </c>
      <c r="C536" s="94">
        <v>142</v>
      </c>
      <c r="D536" s="94">
        <v>0</v>
      </c>
      <c r="E536" s="94">
        <v>12</v>
      </c>
      <c r="F536" s="92">
        <v>514201</v>
      </c>
      <c r="G536" s="76" t="str">
        <f>IFERROR(INDEX([1]物品基础表!$A:$A,MATCH(F536,[1]物品基础表!$B:$B,0)),"")</f>
        <v>橙祝福1级</v>
      </c>
      <c r="H536" s="92">
        <v>1</v>
      </c>
      <c r="I536" s="92">
        <v>800</v>
      </c>
      <c r="J536" s="99">
        <f t="shared" si="9"/>
        <v>800</v>
      </c>
      <c r="K536" s="92"/>
      <c r="L536" s="93" t="s">
        <v>1392</v>
      </c>
      <c r="M536" s="92"/>
      <c r="N536" s="92">
        <v>3</v>
      </c>
      <c r="O536" s="92"/>
      <c r="P536" s="92"/>
    </row>
    <row r="537" spans="1:16">
      <c r="A537" s="39" t="str">
        <f>INDEX([2]活动总表!$A$8:$A$429,MATCH(B537,[2]活动总表!$B$8:$B$429,0))</f>
        <v>节日商店（61天以及以上</v>
      </c>
      <c r="B537" s="93">
        <v>368</v>
      </c>
      <c r="C537" s="94">
        <v>143</v>
      </c>
      <c r="D537" s="94">
        <v>0</v>
      </c>
      <c r="E537" s="94">
        <v>12</v>
      </c>
      <c r="F537" s="92">
        <v>515201</v>
      </c>
      <c r="G537" s="76" t="str">
        <f>IFERROR(INDEX([1]物品基础表!$A:$A,MATCH(F537,[1]物品基础表!$B:$B,0)),"")</f>
        <v>橙财神1级</v>
      </c>
      <c r="H537" s="92">
        <v>1</v>
      </c>
      <c r="I537" s="92">
        <v>800</v>
      </c>
      <c r="J537" s="99">
        <f t="shared" si="9"/>
        <v>800</v>
      </c>
      <c r="K537" s="92"/>
      <c r="L537" s="93" t="s">
        <v>1392</v>
      </c>
      <c r="M537" s="92"/>
      <c r="N537" s="92">
        <v>3</v>
      </c>
      <c r="O537" s="92"/>
      <c r="P537" s="92"/>
    </row>
    <row r="538" spans="1:16">
      <c r="A538" s="39" t="str">
        <f>INDEX([2]活动总表!$A$8:$A$429,MATCH(B538,[2]活动总表!$B$8:$B$429,0))</f>
        <v>节日商店（61天以及以上</v>
      </c>
      <c r="B538" s="93">
        <v>368</v>
      </c>
      <c r="C538" s="94">
        <v>144</v>
      </c>
      <c r="D538" s="94">
        <v>0</v>
      </c>
      <c r="E538" s="94">
        <v>12</v>
      </c>
      <c r="F538" s="92">
        <v>516201</v>
      </c>
      <c r="G538" s="76" t="str">
        <f>IFERROR(INDEX([1]物品基础表!$A:$A,MATCH(F538,[1]物品基础表!$B:$B,0)),"")</f>
        <v>橙强攻1级</v>
      </c>
      <c r="H538" s="92">
        <v>1</v>
      </c>
      <c r="I538" s="92">
        <v>2300</v>
      </c>
      <c r="J538" s="99">
        <f t="shared" si="9"/>
        <v>2300</v>
      </c>
      <c r="K538" s="92"/>
      <c r="L538" s="93" t="s">
        <v>1392</v>
      </c>
      <c r="M538" s="92"/>
      <c r="N538" s="92">
        <v>3</v>
      </c>
      <c r="O538" s="92"/>
      <c r="P538" s="92"/>
    </row>
    <row r="539" spans="1:16">
      <c r="A539" s="39" t="str">
        <f>INDEX([2]活动总表!$A$8:$A$429,MATCH(B539,[2]活动总表!$B$8:$B$429,0))</f>
        <v>节日商店（61天以及以上</v>
      </c>
      <c r="B539" s="93">
        <v>368</v>
      </c>
      <c r="C539" s="94">
        <v>145</v>
      </c>
      <c r="D539" s="94">
        <v>0</v>
      </c>
      <c r="E539" s="94">
        <v>12</v>
      </c>
      <c r="F539" s="92">
        <v>517201</v>
      </c>
      <c r="G539" s="76" t="str">
        <f>IFERROR(INDEX([1]物品基础表!$A:$A,MATCH(F539,[1]物品基础表!$B:$B,0)),"")</f>
        <v>橙毁灭1级</v>
      </c>
      <c r="H539" s="92">
        <v>1</v>
      </c>
      <c r="I539" s="92">
        <v>2300</v>
      </c>
      <c r="J539" s="99">
        <f t="shared" si="9"/>
        <v>2300</v>
      </c>
      <c r="K539" s="92"/>
      <c r="L539" s="93" t="s">
        <v>1392</v>
      </c>
      <c r="M539" s="92"/>
      <c r="N539" s="92">
        <v>3</v>
      </c>
      <c r="O539" s="92"/>
      <c r="P539" s="92"/>
    </row>
    <row r="540" spans="1:16">
      <c r="A540" s="39" t="str">
        <f>INDEX([2]活动总表!$A$8:$A$429,MATCH(B540,[2]活动总表!$B$8:$B$429,0))</f>
        <v>节日商店（61天以及以上</v>
      </c>
      <c r="B540" s="93">
        <v>368</v>
      </c>
      <c r="C540" s="94">
        <v>146</v>
      </c>
      <c r="D540" s="94">
        <v>0</v>
      </c>
      <c r="E540" s="94">
        <v>12</v>
      </c>
      <c r="F540" s="92">
        <v>518201</v>
      </c>
      <c r="G540" s="76" t="str">
        <f>IFERROR(INDEX([1]物品基础表!$A:$A,MATCH(F540,[1]物品基础表!$B:$B,0)),"")</f>
        <v>橙泰坦1级</v>
      </c>
      <c r="H540" s="92">
        <v>1</v>
      </c>
      <c r="I540" s="92">
        <v>2300</v>
      </c>
      <c r="J540" s="99">
        <f t="shared" si="9"/>
        <v>2300</v>
      </c>
      <c r="K540" s="92"/>
      <c r="L540" s="93" t="s">
        <v>1392</v>
      </c>
      <c r="M540" s="92"/>
      <c r="N540" s="92">
        <v>3</v>
      </c>
      <c r="O540" s="92"/>
      <c r="P540" s="92"/>
    </row>
    <row r="541" spans="1:16">
      <c r="A541" s="39" t="str">
        <f>INDEX([2]活动总表!$A$8:$A$429,MATCH(B541,[2]活动总表!$B$8:$B$429,0))</f>
        <v>节日商店（61天以及以上</v>
      </c>
      <c r="B541" s="93">
        <v>368</v>
      </c>
      <c r="C541" s="94">
        <v>147</v>
      </c>
      <c r="D541" s="94">
        <v>0</v>
      </c>
      <c r="E541" s="94">
        <v>12</v>
      </c>
      <c r="F541" s="92">
        <v>200302</v>
      </c>
      <c r="G541" s="76" t="str">
        <f>IFERROR(INDEX([1]物品基础表!$A:$A,MATCH(F541,[1]物品基础表!$B:$B,0)),"")</f>
        <v>传世至宝</v>
      </c>
      <c r="H541" s="92">
        <v>1</v>
      </c>
      <c r="I541" s="92">
        <v>50000</v>
      </c>
      <c r="J541" s="99">
        <f t="shared" si="9"/>
        <v>50000</v>
      </c>
      <c r="K541" s="92"/>
      <c r="L541" s="93" t="s">
        <v>1390</v>
      </c>
      <c r="M541" s="92"/>
      <c r="N541" s="92">
        <v>5</v>
      </c>
      <c r="O541" s="92"/>
      <c r="P541" s="92"/>
    </row>
    <row r="542" spans="1:16">
      <c r="A542" s="39" t="str">
        <f>INDEX([2]活动总表!$A$8:$A$429,MATCH(B542,[2]活动总表!$B$8:$B$429,0))</f>
        <v>节日商店（61天以及以上</v>
      </c>
      <c r="B542" s="93">
        <v>368</v>
      </c>
      <c r="C542" s="94">
        <v>148</v>
      </c>
      <c r="D542" s="94">
        <v>0</v>
      </c>
      <c r="E542" s="94">
        <v>12</v>
      </c>
      <c r="F542" s="92">
        <v>204132</v>
      </c>
      <c r="G542" s="76" t="str">
        <f>IFERROR(INDEX([1]物品基础表!$A:$A,MATCH(F542,[1]物品基础表!$B:$B,0)),"")</f>
        <v>橙色图鉴包·倾国倾城</v>
      </c>
      <c r="H542" s="92">
        <v>1</v>
      </c>
      <c r="I542" s="92">
        <v>3900</v>
      </c>
      <c r="J542" s="99">
        <f t="shared" si="9"/>
        <v>3900</v>
      </c>
      <c r="K542" s="92"/>
      <c r="L542" s="93" t="s">
        <v>1389</v>
      </c>
      <c r="M542" s="92"/>
      <c r="N542" s="92">
        <v>3</v>
      </c>
      <c r="O542" s="92"/>
      <c r="P542" s="92"/>
    </row>
    <row r="543" spans="1:16">
      <c r="A543" s="39" t="str">
        <f>INDEX([2]活动总表!$A$8:$A$429,MATCH(B543,[2]活动总表!$B$8:$B$429,0))</f>
        <v>节日商店（61天以及以上</v>
      </c>
      <c r="B543" s="93">
        <v>368</v>
      </c>
      <c r="C543" s="94">
        <v>149</v>
      </c>
      <c r="D543" s="94">
        <v>0</v>
      </c>
      <c r="E543" s="94">
        <v>12</v>
      </c>
      <c r="F543" s="92">
        <v>204133</v>
      </c>
      <c r="G543" s="76" t="str">
        <f>IFERROR(INDEX([1]物品基础表!$A:$A,MATCH(F543,[1]物品基础表!$B:$B,0)),"")</f>
        <v>红色图鉴包·倾国倾城</v>
      </c>
      <c r="H543" s="92">
        <v>1</v>
      </c>
      <c r="I543" s="92">
        <v>8000</v>
      </c>
      <c r="J543" s="99">
        <f t="shared" si="9"/>
        <v>8000</v>
      </c>
      <c r="K543" s="92"/>
      <c r="L543" s="93" t="s">
        <v>1389</v>
      </c>
      <c r="M543" s="92"/>
      <c r="N543" s="92">
        <v>3</v>
      </c>
      <c r="O543" s="92"/>
      <c r="P543" s="92"/>
    </row>
    <row r="544" spans="1:16">
      <c r="A544" s="39" t="str">
        <f>INDEX([2]活动总表!$A$8:$A$429,MATCH(B544,[2]活动总表!$B$8:$B$429,0))</f>
        <v>节日商店（61天以及以上</v>
      </c>
      <c r="B544" s="93">
        <v>368</v>
      </c>
      <c r="C544" s="94">
        <v>150</v>
      </c>
      <c r="D544" s="94">
        <v>0</v>
      </c>
      <c r="E544" s="94">
        <v>12</v>
      </c>
      <c r="F544" s="92">
        <v>204134</v>
      </c>
      <c r="G544" s="76" t="str">
        <f>IFERROR(INDEX([1]物品基础表!$A:$A,MATCH(F544,[1]物品基础表!$B:$B,0)),"")</f>
        <v>金色图鉴包·倾国倾城</v>
      </c>
      <c r="H544" s="92">
        <v>1</v>
      </c>
      <c r="I544" s="92">
        <v>15000</v>
      </c>
      <c r="J544" s="99">
        <f t="shared" si="9"/>
        <v>15000</v>
      </c>
      <c r="K544" s="92"/>
      <c r="L544" s="93" t="s">
        <v>1389</v>
      </c>
      <c r="M544" s="92"/>
      <c r="N544" s="92">
        <v>3</v>
      </c>
      <c r="O544" s="92"/>
      <c r="P544" s="92"/>
    </row>
    <row r="545" spans="1:16">
      <c r="A545" s="39" t="str">
        <f>INDEX([2]活动总表!$A$8:$A$429,MATCH(B545,[2]活动总表!$B$8:$B$429,0))</f>
        <v>节日商店（61天以及以上</v>
      </c>
      <c r="B545" s="93">
        <v>368</v>
      </c>
      <c r="C545" s="94">
        <v>151</v>
      </c>
      <c r="D545" s="94">
        <v>0</v>
      </c>
      <c r="E545" s="94">
        <v>12</v>
      </c>
      <c r="F545" s="92">
        <v>205005</v>
      </c>
      <c r="G545" s="76" t="str">
        <f>IFERROR(INDEX([1]物品基础表!$A:$A,MATCH(F545,[1]物品基础表!$B:$B,0)),"")</f>
        <v>火德星君</v>
      </c>
      <c r="H545" s="92">
        <v>1</v>
      </c>
      <c r="I545" s="92">
        <v>100000</v>
      </c>
      <c r="J545" s="99">
        <f t="shared" si="9"/>
        <v>100000</v>
      </c>
      <c r="K545" s="92"/>
      <c r="L545" s="93" t="s">
        <v>1388</v>
      </c>
      <c r="M545" s="92"/>
      <c r="N545" s="92">
        <v>5</v>
      </c>
      <c r="O545" s="92"/>
      <c r="P545" s="92"/>
    </row>
    <row r="546" spans="1:16">
      <c r="A546" s="39" t="str">
        <f>INDEX([2]活动总表!$A$8:$A$429,MATCH(B546,[2]活动总表!$B$8:$B$429,0))</f>
        <v>节日商店（61天以及以上</v>
      </c>
      <c r="B546" s="93">
        <v>368</v>
      </c>
      <c r="C546" s="94">
        <v>152</v>
      </c>
      <c r="D546" s="94">
        <v>0</v>
      </c>
      <c r="E546" s="94">
        <v>12</v>
      </c>
      <c r="F546" s="92">
        <v>200910</v>
      </c>
      <c r="G546" s="76" t="str">
        <f>IFERROR(INDEX([1]物品基础表!$A:$A,MATCH(F546,[1]物品基础表!$B:$B,0)),"")</f>
        <v>紫色圣物宝箱</v>
      </c>
      <c r="H546" s="92">
        <v>1</v>
      </c>
      <c r="I546" s="92">
        <v>1500</v>
      </c>
      <c r="J546" s="99">
        <f t="shared" si="9"/>
        <v>1500</v>
      </c>
      <c r="K546" s="92"/>
      <c r="L546" s="93" t="s">
        <v>1393</v>
      </c>
      <c r="M546" s="92"/>
      <c r="N546" s="92">
        <v>2</v>
      </c>
      <c r="O546" s="92"/>
      <c r="P546" s="92"/>
    </row>
    <row r="547" spans="1:16">
      <c r="A547" s="39" t="str">
        <f>INDEX([2]活动总表!$A$8:$A$429,MATCH(B547,[2]活动总表!$B$8:$B$429,0))</f>
        <v>节日商店（61天以及以上</v>
      </c>
      <c r="B547" s="93">
        <v>368</v>
      </c>
      <c r="C547" s="94">
        <v>153</v>
      </c>
      <c r="D547" s="94">
        <v>0</v>
      </c>
      <c r="E547" s="94">
        <v>12</v>
      </c>
      <c r="F547" s="92">
        <v>200911</v>
      </c>
      <c r="G547" s="76" t="str">
        <f>IFERROR(INDEX([1]物品基础表!$A:$A,MATCH(F547,[1]物品基础表!$B:$B,0)),"")</f>
        <v>橙色圣物宝箱</v>
      </c>
      <c r="H547" s="92">
        <v>1</v>
      </c>
      <c r="I547" s="92">
        <v>6700</v>
      </c>
      <c r="J547" s="99">
        <f t="shared" si="9"/>
        <v>6700</v>
      </c>
      <c r="K547" s="92"/>
      <c r="L547" s="93" t="s">
        <v>1393</v>
      </c>
      <c r="M547" s="92"/>
      <c r="N547" s="92">
        <v>2</v>
      </c>
      <c r="O547" s="92"/>
      <c r="P547" s="92"/>
    </row>
    <row r="548" spans="1:16">
      <c r="A548" s="39" t="str">
        <f>INDEX([2]活动总表!$A$8:$A$429,MATCH(B548,[2]活动总表!$B$8:$B$429,0))</f>
        <v>节日商店（61天以及以上</v>
      </c>
      <c r="B548" s="93">
        <v>368</v>
      </c>
      <c r="C548" s="94">
        <v>154</v>
      </c>
      <c r="D548" s="94">
        <v>0</v>
      </c>
      <c r="E548" s="94">
        <v>12</v>
      </c>
      <c r="F548" s="92">
        <v>200912</v>
      </c>
      <c r="G548" s="76" t="str">
        <f>IFERROR(INDEX([1]物品基础表!$A:$A,MATCH(F548,[1]物品基础表!$B:$B,0)),"")</f>
        <v>红色圣物宝箱</v>
      </c>
      <c r="H548" s="92">
        <v>1</v>
      </c>
      <c r="I548" s="92">
        <v>15000</v>
      </c>
      <c r="J548" s="99">
        <f t="shared" si="9"/>
        <v>15000</v>
      </c>
      <c r="K548" s="92"/>
      <c r="L548" s="93" t="s">
        <v>1393</v>
      </c>
      <c r="M548" s="92"/>
      <c r="N548" s="92">
        <v>2</v>
      </c>
      <c r="O548" s="92"/>
      <c r="P548" s="92"/>
    </row>
    <row r="549" spans="1:16">
      <c r="A549" s="39" t="str">
        <f>INDEX([2]活动总表!$A$8:$A$429,MATCH(B549,[2]活动总表!$B$8:$B$429,0))</f>
        <v>节日商店（61天以及以上</v>
      </c>
      <c r="B549" s="93">
        <v>368</v>
      </c>
      <c r="C549" s="94">
        <v>155</v>
      </c>
      <c r="D549" s="94">
        <v>0</v>
      </c>
      <c r="E549" s="94">
        <v>12</v>
      </c>
      <c r="F549" s="92">
        <v>300413</v>
      </c>
      <c r="G549" s="76" t="str">
        <f>IFERROR(INDEX([1]物品基础表!$A:$A,MATCH(F549,[1]物品基础表!$B:$B,0)),"")</f>
        <v>战士13技能红圣物</v>
      </c>
      <c r="H549" s="92">
        <v>1</v>
      </c>
      <c r="I549" s="92">
        <v>25000</v>
      </c>
      <c r="J549" s="99">
        <f t="shared" si="9"/>
        <v>25000</v>
      </c>
      <c r="K549" s="92"/>
      <c r="L549" s="93" t="s">
        <v>1390</v>
      </c>
      <c r="M549" s="92"/>
      <c r="N549" s="92">
        <v>5</v>
      </c>
      <c r="O549" s="92"/>
      <c r="P549" s="92"/>
    </row>
    <row r="550" spans="1:16">
      <c r="A550" s="39" t="str">
        <f>INDEX([2]活动总表!$A$8:$A$429,MATCH(B550,[2]活动总表!$B$8:$B$429,0))</f>
        <v>节日商店（61天以及以上</v>
      </c>
      <c r="B550" s="93">
        <v>368</v>
      </c>
      <c r="C550" s="94">
        <v>156</v>
      </c>
      <c r="D550" s="94">
        <v>0</v>
      </c>
      <c r="E550" s="94">
        <v>12</v>
      </c>
      <c r="F550" s="92">
        <v>301413</v>
      </c>
      <c r="G550" s="76" t="str">
        <f>IFERROR(INDEX([1]物品基础表!$A:$A,MATCH(F550,[1]物品基础表!$B:$B,0)),"")</f>
        <v>法师13技能红圣物</v>
      </c>
      <c r="H550" s="92">
        <v>1</v>
      </c>
      <c r="I550" s="92">
        <v>25000</v>
      </c>
      <c r="J550" s="99">
        <f t="shared" si="9"/>
        <v>25000</v>
      </c>
      <c r="K550" s="92"/>
      <c r="L550" s="93" t="s">
        <v>1390</v>
      </c>
      <c r="M550" s="92"/>
      <c r="N550" s="92">
        <v>5</v>
      </c>
      <c r="O550" s="92"/>
      <c r="P550" s="92"/>
    </row>
    <row r="551" spans="1:16">
      <c r="A551" s="39" t="str">
        <f>INDEX([2]活动总表!$A$8:$A$429,MATCH(B551,[2]活动总表!$B$8:$B$429,0))</f>
        <v>节日商店（61天以及以上</v>
      </c>
      <c r="B551" s="93">
        <v>368</v>
      </c>
      <c r="C551" s="94">
        <v>157</v>
      </c>
      <c r="D551" s="94">
        <v>0</v>
      </c>
      <c r="E551" s="94">
        <v>12</v>
      </c>
      <c r="F551" s="92">
        <v>302413</v>
      </c>
      <c r="G551" s="76" t="str">
        <f>IFERROR(INDEX([1]物品基础表!$A:$A,MATCH(F551,[1]物品基础表!$B:$B,0)),"")</f>
        <v>道士13技能红圣物</v>
      </c>
      <c r="H551" s="92">
        <v>1</v>
      </c>
      <c r="I551" s="92">
        <v>25000</v>
      </c>
      <c r="J551" s="99">
        <f t="shared" si="9"/>
        <v>25000</v>
      </c>
      <c r="K551" s="92"/>
      <c r="L551" s="93" t="s">
        <v>1394</v>
      </c>
      <c r="M551" s="92"/>
      <c r="N551" s="92">
        <v>5</v>
      </c>
      <c r="O551" s="92"/>
      <c r="P551" s="92"/>
    </row>
    <row r="552" spans="1:16">
      <c r="A552" s="39" t="str">
        <f>INDEX([2]活动总表!$A$8:$A$429,MATCH(B552,[2]活动总表!$B$8:$B$429,0))</f>
        <v>节日商店（61天以及以上</v>
      </c>
      <c r="B552" s="93">
        <v>368</v>
      </c>
      <c r="C552" s="94">
        <v>158</v>
      </c>
      <c r="D552" s="94">
        <v>0</v>
      </c>
      <c r="E552" s="94">
        <v>12</v>
      </c>
      <c r="F552" s="92">
        <v>300414</v>
      </c>
      <c r="G552" s="76" t="str">
        <f>IFERROR(INDEX([1]物品基础表!$A:$A,MATCH(F552,[1]物品基础表!$B:$B,0)),"")</f>
        <v>战士14技能红圣物</v>
      </c>
      <c r="H552" s="92">
        <v>1</v>
      </c>
      <c r="I552" s="92">
        <v>50000</v>
      </c>
      <c r="J552" s="99">
        <f t="shared" si="9"/>
        <v>50000</v>
      </c>
      <c r="K552" s="92"/>
      <c r="L552" s="93" t="s">
        <v>1395</v>
      </c>
      <c r="M552" s="92"/>
      <c r="N552" s="92">
        <v>5</v>
      </c>
      <c r="O552" s="92"/>
      <c r="P552" s="92"/>
    </row>
    <row r="553" spans="1:16">
      <c r="A553" s="39" t="str">
        <f>INDEX([2]活动总表!$A$8:$A$429,MATCH(B553,[2]活动总表!$B$8:$B$429,0))</f>
        <v>节日商店（61天以及以上</v>
      </c>
      <c r="B553" s="93">
        <v>368</v>
      </c>
      <c r="C553" s="94">
        <v>159</v>
      </c>
      <c r="D553" s="94">
        <v>0</v>
      </c>
      <c r="E553" s="94">
        <v>12</v>
      </c>
      <c r="F553" s="92">
        <v>301414</v>
      </c>
      <c r="G553" s="76" t="str">
        <f>IFERROR(INDEX([1]物品基础表!$A:$A,MATCH(F553,[1]物品基础表!$B:$B,0)),"")</f>
        <v>法师14技能红圣物</v>
      </c>
      <c r="H553" s="92">
        <v>1</v>
      </c>
      <c r="I553" s="92">
        <v>50000</v>
      </c>
      <c r="J553" s="99">
        <f t="shared" si="9"/>
        <v>50000</v>
      </c>
      <c r="K553" s="92"/>
      <c r="L553" s="93" t="s">
        <v>1395</v>
      </c>
      <c r="M553" s="92"/>
      <c r="N553" s="92">
        <v>5</v>
      </c>
      <c r="O553" s="92"/>
      <c r="P553" s="92"/>
    </row>
    <row r="554" spans="1:16">
      <c r="A554" s="39" t="str">
        <f>INDEX([2]活动总表!$A$8:$A$429,MATCH(B554,[2]活动总表!$B$8:$B$429,0))</f>
        <v>节日商店（61天以及以上</v>
      </c>
      <c r="B554" s="93">
        <v>368</v>
      </c>
      <c r="C554" s="94">
        <v>160</v>
      </c>
      <c r="D554" s="94">
        <v>0</v>
      </c>
      <c r="E554" s="94">
        <v>12</v>
      </c>
      <c r="F554" s="92">
        <v>302414</v>
      </c>
      <c r="G554" s="76" t="str">
        <f>IFERROR(INDEX([1]物品基础表!$A:$A,MATCH(F554,[1]物品基础表!$B:$B,0)),"")</f>
        <v>道士14技能红圣物</v>
      </c>
      <c r="H554" s="92">
        <v>1</v>
      </c>
      <c r="I554" s="92">
        <v>50000</v>
      </c>
      <c r="J554" s="99">
        <f t="shared" si="9"/>
        <v>50000</v>
      </c>
      <c r="K554" s="92"/>
      <c r="L554" s="93" t="s">
        <v>1396</v>
      </c>
      <c r="M554" s="92"/>
      <c r="N554" s="92">
        <v>5</v>
      </c>
      <c r="O554" s="92"/>
      <c r="P554" s="92"/>
    </row>
    <row r="555" spans="1:16">
      <c r="A555" s="39" t="str">
        <f>INDEX([2]活动总表!$A$8:$A$429,MATCH(B555,[2]活动总表!$B$8:$B$429,0))</f>
        <v>节日商店（61天以及以上</v>
      </c>
      <c r="B555" s="93">
        <v>368</v>
      </c>
      <c r="C555" s="94">
        <v>161</v>
      </c>
      <c r="D555" s="92">
        <v>0</v>
      </c>
      <c r="E555" s="92">
        <v>12</v>
      </c>
      <c r="F555" s="92">
        <v>501301</v>
      </c>
      <c r="G555" s="76" t="str">
        <f>IFERROR(INDEX([1]物品基础表!$A:$A,MATCH(F555,[1]物品基础表!$B:$B,0)),"")</f>
        <v>红神力1级</v>
      </c>
      <c r="H555" s="92">
        <v>1</v>
      </c>
      <c r="I555" s="92">
        <v>15000</v>
      </c>
      <c r="J555" s="99">
        <f t="shared" si="9"/>
        <v>15000</v>
      </c>
      <c r="K555" s="92"/>
      <c r="L555" s="92" t="s">
        <v>1397</v>
      </c>
      <c r="M555" s="92"/>
      <c r="N555" s="92" t="s">
        <v>919</v>
      </c>
      <c r="O555" s="92"/>
      <c r="P555" s="92"/>
    </row>
    <row r="556" spans="1:16">
      <c r="A556" s="39" t="str">
        <f>INDEX([2]活动总表!$A$8:$A$429,MATCH(B556,[2]活动总表!$B$8:$B$429,0))</f>
        <v>节日商店（61天以及以上</v>
      </c>
      <c r="B556" s="93">
        <v>368</v>
      </c>
      <c r="C556" s="94">
        <v>162</v>
      </c>
      <c r="D556" s="92">
        <v>0</v>
      </c>
      <c r="E556" s="92">
        <v>12</v>
      </c>
      <c r="F556" s="92">
        <v>502301</v>
      </c>
      <c r="G556" s="76" t="str">
        <f>IFERROR(INDEX([1]物品基础表!$A:$A,MATCH(F556,[1]物品基础表!$B:$B,0)),"")</f>
        <v>红金汤1级</v>
      </c>
      <c r="H556" s="92">
        <v>1</v>
      </c>
      <c r="I556" s="92">
        <v>15000</v>
      </c>
      <c r="J556" s="99">
        <f t="shared" si="9"/>
        <v>15000</v>
      </c>
      <c r="K556" s="92"/>
      <c r="L556" s="92" t="s">
        <v>1397</v>
      </c>
      <c r="M556" s="92"/>
      <c r="N556" s="92" t="s">
        <v>919</v>
      </c>
      <c r="O556" s="92"/>
      <c r="P556" s="92"/>
    </row>
    <row r="557" spans="1:16">
      <c r="A557" s="39" t="str">
        <f>INDEX([2]活动总表!$A$8:$A$429,MATCH(B557,[2]活动总表!$B$8:$B$429,0))</f>
        <v>节日商店（61天以及以上</v>
      </c>
      <c r="B557" s="93">
        <v>368</v>
      </c>
      <c r="C557" s="94">
        <v>163</v>
      </c>
      <c r="D557" s="92">
        <v>0</v>
      </c>
      <c r="E557" s="92">
        <v>12</v>
      </c>
      <c r="F557" s="92">
        <v>503301</v>
      </c>
      <c r="G557" s="76" t="str">
        <f>IFERROR(INDEX([1]物品基础表!$A:$A,MATCH(F557,[1]物品基础表!$B:$B,0)),"")</f>
        <v>红长生1级</v>
      </c>
      <c r="H557" s="92">
        <v>1</v>
      </c>
      <c r="I557" s="92">
        <v>15000</v>
      </c>
      <c r="J557" s="99">
        <f t="shared" si="9"/>
        <v>15000</v>
      </c>
      <c r="K557" s="92"/>
      <c r="L557" s="92" t="s">
        <v>1397</v>
      </c>
      <c r="M557" s="92"/>
      <c r="N557" s="92" t="s">
        <v>919</v>
      </c>
      <c r="O557" s="92"/>
      <c r="P557" s="92"/>
    </row>
    <row r="558" spans="1:16">
      <c r="A558" s="39" t="str">
        <f>INDEX([2]活动总表!$A$8:$A$429,MATCH(B558,[2]活动总表!$B$8:$B$429,0))</f>
        <v>节日商店（61天以及以上</v>
      </c>
      <c r="B558" s="93">
        <v>368</v>
      </c>
      <c r="C558" s="94">
        <v>164</v>
      </c>
      <c r="D558" s="92">
        <v>0</v>
      </c>
      <c r="E558" s="92">
        <v>12</v>
      </c>
      <c r="F558" s="92">
        <v>504301</v>
      </c>
      <c r="G558" s="76" t="str">
        <f>IFERROR(INDEX([1]物品基础表!$A:$A,MATCH(F558,[1]物品基础表!$B:$B,0)),"")</f>
        <v>红光武1级</v>
      </c>
      <c r="H558" s="92">
        <v>1</v>
      </c>
      <c r="I558" s="92">
        <v>20000</v>
      </c>
      <c r="J558" s="99">
        <f t="shared" si="9"/>
        <v>20000</v>
      </c>
      <c r="K558" s="92"/>
      <c r="L558" s="92" t="s">
        <v>1397</v>
      </c>
      <c r="M558" s="92"/>
      <c r="N558" s="92" t="s">
        <v>919</v>
      </c>
      <c r="O558" s="92"/>
      <c r="P558" s="92"/>
    </row>
    <row r="559" spans="1:16">
      <c r="A559" s="39" t="str">
        <f>INDEX([2]活动总表!$A$8:$A$429,MATCH(B559,[2]活动总表!$B$8:$B$429,0))</f>
        <v>节日商店（61天以及以上</v>
      </c>
      <c r="B559" s="93">
        <v>368</v>
      </c>
      <c r="C559" s="94">
        <v>165</v>
      </c>
      <c r="D559" s="92">
        <v>0</v>
      </c>
      <c r="E559" s="92">
        <v>12</v>
      </c>
      <c r="F559" s="92">
        <v>505301</v>
      </c>
      <c r="G559" s="76" t="str">
        <f>IFERROR(INDEX([1]物品基础表!$A:$A,MATCH(F559,[1]物品基础表!$B:$B,0)),"")</f>
        <v>红神盔1级</v>
      </c>
      <c r="H559" s="92">
        <v>1</v>
      </c>
      <c r="I559" s="92">
        <v>6300</v>
      </c>
      <c r="J559" s="99">
        <f t="shared" si="9"/>
        <v>6300</v>
      </c>
      <c r="K559" s="92"/>
      <c r="L559" s="92" t="s">
        <v>1397</v>
      </c>
      <c r="M559" s="92"/>
      <c r="N559" s="92" t="s">
        <v>919</v>
      </c>
      <c r="O559" s="92"/>
      <c r="P559" s="92"/>
    </row>
    <row r="560" spans="1:16">
      <c r="A560" s="39" t="str">
        <f>INDEX([2]活动总表!$A$8:$A$429,MATCH(B560,[2]活动总表!$B$8:$B$429,0))</f>
        <v>节日商店（61天以及以上</v>
      </c>
      <c r="B560" s="93">
        <v>368</v>
      </c>
      <c r="C560" s="94">
        <v>166</v>
      </c>
      <c r="D560" s="92">
        <v>0</v>
      </c>
      <c r="E560" s="92">
        <v>12</v>
      </c>
      <c r="F560" s="92">
        <v>506301</v>
      </c>
      <c r="G560" s="76" t="str">
        <f>IFERROR(INDEX([1]物品基础表!$A:$A,MATCH(F560,[1]物品基础表!$B:$B,0)),"")</f>
        <v>红固甲1级</v>
      </c>
      <c r="H560" s="92">
        <v>1</v>
      </c>
      <c r="I560" s="92">
        <v>12500</v>
      </c>
      <c r="J560" s="99">
        <f t="shared" si="9"/>
        <v>12500</v>
      </c>
      <c r="K560" s="92"/>
      <c r="L560" s="92" t="s">
        <v>1397</v>
      </c>
      <c r="M560" s="92"/>
      <c r="N560" s="92" t="s">
        <v>919</v>
      </c>
      <c r="O560" s="92"/>
      <c r="P560" s="92"/>
    </row>
    <row r="561" spans="1:16">
      <c r="A561" s="39" t="str">
        <f>INDEX([2]活动总表!$A$8:$A$429,MATCH(B561,[2]活动总表!$B$8:$B$429,0))</f>
        <v>节日商店（61天以及以上</v>
      </c>
      <c r="B561" s="93">
        <v>368</v>
      </c>
      <c r="C561" s="94">
        <v>167</v>
      </c>
      <c r="D561" s="92">
        <v>0</v>
      </c>
      <c r="E561" s="92">
        <v>12</v>
      </c>
      <c r="F561" s="92">
        <v>507301</v>
      </c>
      <c r="G561" s="76" t="str">
        <f>IFERROR(INDEX([1]物品基础表!$A:$A,MATCH(F561,[1]物品基础表!$B:$B,0)),"")</f>
        <v>红灵链1级</v>
      </c>
      <c r="H561" s="92">
        <v>1</v>
      </c>
      <c r="I561" s="92">
        <v>6300</v>
      </c>
      <c r="J561" s="99">
        <f t="shared" si="9"/>
        <v>6300</v>
      </c>
      <c r="K561" s="92"/>
      <c r="L561" s="92" t="s">
        <v>1397</v>
      </c>
      <c r="M561" s="92"/>
      <c r="N561" s="92" t="s">
        <v>919</v>
      </c>
      <c r="O561" s="92"/>
      <c r="P561" s="92"/>
    </row>
    <row r="562" spans="1:16">
      <c r="A562" s="39" t="str">
        <f>INDEX([2]活动总表!$A$8:$A$429,MATCH(B562,[2]活动总表!$B$8:$B$429,0))</f>
        <v>节日商店（61天以及以上</v>
      </c>
      <c r="B562" s="93">
        <v>368</v>
      </c>
      <c r="C562" s="94">
        <v>168</v>
      </c>
      <c r="D562" s="92">
        <v>0</v>
      </c>
      <c r="E562" s="92">
        <v>12</v>
      </c>
      <c r="F562" s="92">
        <v>508301</v>
      </c>
      <c r="G562" s="76" t="str">
        <f>IFERROR(INDEX([1]物品基础表!$A:$A,MATCH(F562,[1]物品基础表!$B:$B,0)),"")</f>
        <v>红地镯1级</v>
      </c>
      <c r="H562" s="92">
        <v>1</v>
      </c>
      <c r="I562" s="92">
        <v>6300</v>
      </c>
      <c r="J562" s="99">
        <f t="shared" si="9"/>
        <v>6300</v>
      </c>
      <c r="K562" s="92"/>
      <c r="L562" s="92" t="s">
        <v>1397</v>
      </c>
      <c r="M562" s="92"/>
      <c r="N562" s="92" t="s">
        <v>919</v>
      </c>
      <c r="O562" s="92"/>
      <c r="P562" s="92"/>
    </row>
    <row r="563" spans="1:16">
      <c r="A563" s="39" t="str">
        <f>INDEX([2]活动总表!$A$8:$A$429,MATCH(B563,[2]活动总表!$B$8:$B$429,0))</f>
        <v>节日商店（61天以及以上</v>
      </c>
      <c r="B563" s="93">
        <v>368</v>
      </c>
      <c r="C563" s="94">
        <v>169</v>
      </c>
      <c r="D563" s="92">
        <v>0</v>
      </c>
      <c r="E563" s="92">
        <v>12</v>
      </c>
      <c r="F563" s="92">
        <v>509301</v>
      </c>
      <c r="G563" s="76" t="str">
        <f>IFERROR(INDEX([1]物品基础表!$A:$A,MATCH(F563,[1]物品基础表!$B:$B,0)),"")</f>
        <v>红乾戒1级</v>
      </c>
      <c r="H563" s="92">
        <v>1</v>
      </c>
      <c r="I563" s="92">
        <v>6300</v>
      </c>
      <c r="J563" s="99">
        <f t="shared" si="9"/>
        <v>6300</v>
      </c>
      <c r="K563" s="92"/>
      <c r="L563" s="92" t="s">
        <v>1397</v>
      </c>
      <c r="M563" s="92"/>
      <c r="N563" s="92" t="s">
        <v>919</v>
      </c>
      <c r="O563" s="92"/>
      <c r="P563" s="92"/>
    </row>
    <row r="564" spans="1:16">
      <c r="A564" s="39" t="str">
        <f>INDEX([2]活动总表!$A$8:$A$429,MATCH(B564,[2]活动总表!$B$8:$B$429,0))</f>
        <v>节日商店（61天以及以上</v>
      </c>
      <c r="B564" s="93">
        <v>368</v>
      </c>
      <c r="C564" s="94">
        <v>170</v>
      </c>
      <c r="D564" s="92">
        <v>0</v>
      </c>
      <c r="E564" s="92">
        <v>12</v>
      </c>
      <c r="F564" s="92">
        <v>510301</v>
      </c>
      <c r="G564" s="76" t="str">
        <f>IFERROR(INDEX([1]物品基础表!$A:$A,MATCH(F564,[1]物品基础表!$B:$B,0)),"")</f>
        <v>红龙带1级</v>
      </c>
      <c r="H564" s="92">
        <v>1</v>
      </c>
      <c r="I564" s="92">
        <v>6300</v>
      </c>
      <c r="J564" s="99">
        <f t="shared" si="9"/>
        <v>6300</v>
      </c>
      <c r="K564" s="92"/>
      <c r="L564" s="92" t="s">
        <v>1397</v>
      </c>
      <c r="M564" s="92"/>
      <c r="N564" s="92" t="s">
        <v>919</v>
      </c>
      <c r="O564" s="92"/>
      <c r="P564" s="92"/>
    </row>
    <row r="565" spans="1:16">
      <c r="A565" s="39" t="str">
        <f>INDEX([2]活动总表!$A$8:$A$429,MATCH(B565,[2]活动总表!$B$8:$B$429,0))</f>
        <v>节日商店（61天以及以上</v>
      </c>
      <c r="B565" s="93">
        <v>368</v>
      </c>
      <c r="C565" s="94">
        <v>171</v>
      </c>
      <c r="D565" s="92">
        <v>0</v>
      </c>
      <c r="E565" s="92">
        <v>12</v>
      </c>
      <c r="F565" s="92">
        <v>511301</v>
      </c>
      <c r="G565" s="76" t="str">
        <f>IFERROR(INDEX([1]物品基础表!$A:$A,MATCH(F565,[1]物品基础表!$B:$B,0)),"")</f>
        <v>红逐日1级</v>
      </c>
      <c r="H565" s="92">
        <v>1</v>
      </c>
      <c r="I565" s="92">
        <v>6300</v>
      </c>
      <c r="J565" s="99">
        <f t="shared" si="9"/>
        <v>6300</v>
      </c>
      <c r="K565" s="92"/>
      <c r="L565" s="92" t="s">
        <v>1397</v>
      </c>
      <c r="M565" s="92"/>
      <c r="N565" s="92" t="s">
        <v>919</v>
      </c>
      <c r="O565" s="92"/>
      <c r="P565" s="92"/>
    </row>
    <row r="566" spans="1:16">
      <c r="A566" s="39" t="str">
        <f>INDEX([2]活动总表!$A$8:$A$429,MATCH(B566,[2]活动总表!$B$8:$B$429,0))</f>
        <v>节日商店（61天以及以上</v>
      </c>
      <c r="B566" s="93">
        <v>368</v>
      </c>
      <c r="C566" s="94">
        <v>172</v>
      </c>
      <c r="D566" s="92">
        <v>0</v>
      </c>
      <c r="E566" s="92">
        <v>12</v>
      </c>
      <c r="F566" s="92">
        <v>512301</v>
      </c>
      <c r="G566" s="76" t="str">
        <f>IFERROR(INDEX([1]物品基础表!$A:$A,MATCH(F566,[1]物品基础表!$B:$B,0)),"")</f>
        <v>红豁免1级</v>
      </c>
      <c r="H566" s="92">
        <v>1</v>
      </c>
      <c r="I566" s="92">
        <v>18800</v>
      </c>
      <c r="J566" s="99">
        <f t="shared" si="9"/>
        <v>18800</v>
      </c>
      <c r="K566" s="92"/>
      <c r="L566" s="92" t="s">
        <v>1397</v>
      </c>
      <c r="M566" s="92"/>
      <c r="N566" s="92" t="s">
        <v>919</v>
      </c>
      <c r="O566" s="92"/>
      <c r="P566" s="92"/>
    </row>
    <row r="567" spans="1:16">
      <c r="A567" s="39" t="str">
        <f>INDEX([2]活动总表!$A$8:$A$429,MATCH(B567,[2]活动总表!$B$8:$B$429,0))</f>
        <v>节日商店（61天以及以上</v>
      </c>
      <c r="B567" s="93">
        <v>368</v>
      </c>
      <c r="C567" s="94">
        <v>173</v>
      </c>
      <c r="D567" s="92">
        <v>0</v>
      </c>
      <c r="E567" s="92">
        <v>12</v>
      </c>
      <c r="F567" s="92">
        <v>513301</v>
      </c>
      <c r="G567" s="76" t="str">
        <f>IFERROR(INDEX([1]物品基础表!$A:$A,MATCH(F567,[1]物品基础表!$B:$B,0)),"")</f>
        <v>红杀戮1级</v>
      </c>
      <c r="H567" s="92">
        <v>1</v>
      </c>
      <c r="I567" s="92">
        <v>18800</v>
      </c>
      <c r="J567" s="99">
        <f t="shared" si="9"/>
        <v>18800</v>
      </c>
      <c r="K567" s="92"/>
      <c r="L567" s="92" t="s">
        <v>1397</v>
      </c>
      <c r="M567" s="92"/>
      <c r="N567" s="92" t="s">
        <v>919</v>
      </c>
      <c r="O567" s="92"/>
      <c r="P567" s="92"/>
    </row>
    <row r="568" spans="1:16">
      <c r="A568" s="39" t="str">
        <f>INDEX([2]活动总表!$A$8:$A$429,MATCH(B568,[2]活动总表!$B$8:$B$429,0))</f>
        <v>节日商店（61天以及以上</v>
      </c>
      <c r="B568" s="93">
        <v>368</v>
      </c>
      <c r="C568" s="94">
        <v>174</v>
      </c>
      <c r="D568" s="92">
        <v>0</v>
      </c>
      <c r="E568" s="92">
        <v>12</v>
      </c>
      <c r="F568" s="92">
        <v>514301</v>
      </c>
      <c r="G568" s="76" t="str">
        <f>IFERROR(INDEX([1]物品基础表!$A:$A,MATCH(F568,[1]物品基础表!$B:$B,0)),"")</f>
        <v>红祝福1级</v>
      </c>
      <c r="H568" s="92">
        <v>1</v>
      </c>
      <c r="I568" s="92">
        <v>5000</v>
      </c>
      <c r="J568" s="99">
        <f t="shared" si="9"/>
        <v>5000</v>
      </c>
      <c r="K568" s="92"/>
      <c r="L568" s="92" t="s">
        <v>1397</v>
      </c>
      <c r="M568" s="92"/>
      <c r="N568" s="92" t="s">
        <v>919</v>
      </c>
      <c r="O568" s="92"/>
      <c r="P568" s="92"/>
    </row>
    <row r="569" spans="1:16">
      <c r="A569" s="39" t="str">
        <f>INDEX([2]活动总表!$A$8:$A$429,MATCH(B569,[2]活动总表!$B$8:$B$429,0))</f>
        <v>节日商店（61天以及以上</v>
      </c>
      <c r="B569" s="93">
        <v>368</v>
      </c>
      <c r="C569" s="94">
        <v>175</v>
      </c>
      <c r="D569" s="92">
        <v>0</v>
      </c>
      <c r="E569" s="92">
        <v>12</v>
      </c>
      <c r="F569" s="92">
        <v>515301</v>
      </c>
      <c r="G569" s="76" t="str">
        <f>IFERROR(INDEX([1]物品基础表!$A:$A,MATCH(F569,[1]物品基础表!$B:$B,0)),"")</f>
        <v>红财神1级</v>
      </c>
      <c r="H569" s="92">
        <v>1</v>
      </c>
      <c r="I569" s="92">
        <v>5000</v>
      </c>
      <c r="J569" s="99">
        <f t="shared" si="9"/>
        <v>5000</v>
      </c>
      <c r="K569" s="92"/>
      <c r="L569" s="92" t="s">
        <v>1397</v>
      </c>
      <c r="M569" s="92"/>
      <c r="N569" s="92" t="s">
        <v>919</v>
      </c>
      <c r="O569" s="92"/>
      <c r="P569" s="92"/>
    </row>
    <row r="570" spans="1:16">
      <c r="A570" s="39" t="str">
        <f>INDEX([2]活动总表!$A$8:$A$429,MATCH(B570,[2]活动总表!$B$8:$B$429,0))</f>
        <v>节日商店（61天以及以上</v>
      </c>
      <c r="B570" s="93">
        <v>368</v>
      </c>
      <c r="C570" s="94">
        <v>176</v>
      </c>
      <c r="D570" s="92">
        <v>0</v>
      </c>
      <c r="E570" s="92">
        <v>12</v>
      </c>
      <c r="F570" s="92">
        <v>516301</v>
      </c>
      <c r="G570" s="76" t="str">
        <f>IFERROR(INDEX([1]物品基础表!$A:$A,MATCH(F570,[1]物品基础表!$B:$B,0)),"")</f>
        <v>红强攻1级</v>
      </c>
      <c r="H570" s="92">
        <v>1</v>
      </c>
      <c r="I570" s="92">
        <v>15000</v>
      </c>
      <c r="J570" s="99">
        <f t="shared" si="9"/>
        <v>15000</v>
      </c>
      <c r="K570" s="92"/>
      <c r="L570" s="92" t="s">
        <v>1397</v>
      </c>
      <c r="M570" s="92"/>
      <c r="N570" s="92" t="s">
        <v>919</v>
      </c>
      <c r="O570" s="92"/>
      <c r="P570" s="92"/>
    </row>
    <row r="571" spans="1:16">
      <c r="A571" s="39" t="str">
        <f>INDEX([2]活动总表!$A$8:$A$429,MATCH(B571,[2]活动总表!$B$8:$B$429,0))</f>
        <v>节日商店（61天以及以上</v>
      </c>
      <c r="B571" s="93">
        <v>368</v>
      </c>
      <c r="C571" s="94">
        <v>177</v>
      </c>
      <c r="D571" s="92">
        <v>0</v>
      </c>
      <c r="E571" s="92">
        <v>12</v>
      </c>
      <c r="F571" s="92">
        <v>517301</v>
      </c>
      <c r="G571" s="76" t="str">
        <f>IFERROR(INDEX([1]物品基础表!$A:$A,MATCH(F571,[1]物品基础表!$B:$B,0)),"")</f>
        <v>红毁灭1级</v>
      </c>
      <c r="H571" s="92">
        <v>1</v>
      </c>
      <c r="I571" s="92">
        <v>15000</v>
      </c>
      <c r="J571" s="99">
        <f t="shared" si="9"/>
        <v>15000</v>
      </c>
      <c r="K571" s="92"/>
      <c r="L571" s="92" t="s">
        <v>1397</v>
      </c>
      <c r="M571" s="92"/>
      <c r="N571" s="92" t="s">
        <v>919</v>
      </c>
      <c r="O571" s="92"/>
      <c r="P571" s="92"/>
    </row>
    <row r="572" spans="1:16">
      <c r="A572" s="39" t="str">
        <f>INDEX([2]活动总表!$A$8:$A$429,MATCH(B572,[2]活动总表!$B$8:$B$429,0))</f>
        <v>节日商店（61天以及以上</v>
      </c>
      <c r="B572" s="93">
        <v>368</v>
      </c>
      <c r="C572" s="94">
        <v>178</v>
      </c>
      <c r="D572" s="92">
        <v>0</v>
      </c>
      <c r="E572" s="92">
        <v>12</v>
      </c>
      <c r="F572" s="92">
        <v>518301</v>
      </c>
      <c r="G572" s="76" t="str">
        <f>IFERROR(INDEX([1]物品基础表!$A:$A,MATCH(F572,[1]物品基础表!$B:$B,0)),"")</f>
        <v>红泰坦1级</v>
      </c>
      <c r="H572" s="92">
        <v>1</v>
      </c>
      <c r="I572" s="92">
        <v>15000</v>
      </c>
      <c r="J572" s="99">
        <f t="shared" si="9"/>
        <v>15000</v>
      </c>
      <c r="K572" s="92"/>
      <c r="L572" s="92" t="s">
        <v>1397</v>
      </c>
      <c r="M572" s="92"/>
      <c r="N572" s="92" t="s">
        <v>919</v>
      </c>
      <c r="O572" s="92"/>
      <c r="P572" s="92"/>
    </row>
    <row r="573" spans="1:16">
      <c r="A573" s="39" t="str">
        <f>INDEX([2]活动总表!$A$8:$A$429,MATCH(B573,[2]活动总表!$B$8:$B$429,0))</f>
        <v>节日商店（61天以及以上</v>
      </c>
      <c r="B573" s="93">
        <v>368</v>
      </c>
      <c r="C573" s="94">
        <v>179</v>
      </c>
      <c r="D573" s="92">
        <v>0</v>
      </c>
      <c r="E573" s="92">
        <v>12</v>
      </c>
      <c r="F573" s="92">
        <v>501201</v>
      </c>
      <c r="G573" s="76" t="str">
        <f>IFERROR(INDEX([1]物品基础表!$A:$A,MATCH(F573,[1]物品基础表!$B:$B,0)),"")</f>
        <v>橙神力1级</v>
      </c>
      <c r="H573" s="92">
        <v>1</v>
      </c>
      <c r="I573" s="92">
        <v>7500</v>
      </c>
      <c r="J573" s="99">
        <f t="shared" si="9"/>
        <v>7500</v>
      </c>
      <c r="K573" s="92"/>
      <c r="L573" s="92" t="s">
        <v>1397</v>
      </c>
      <c r="M573" s="92"/>
      <c r="N573" s="92" t="s">
        <v>919</v>
      </c>
      <c r="O573" s="92"/>
      <c r="P573" s="92"/>
    </row>
    <row r="574" spans="1:16">
      <c r="A574" s="39" t="str">
        <f>INDEX([2]活动总表!$A$8:$A$429,MATCH(B574,[2]活动总表!$B$8:$B$429,0))</f>
        <v>节日商店（61天以及以上</v>
      </c>
      <c r="B574" s="93">
        <v>368</v>
      </c>
      <c r="C574" s="94">
        <v>180</v>
      </c>
      <c r="D574" s="92">
        <v>0</v>
      </c>
      <c r="E574" s="92">
        <v>12</v>
      </c>
      <c r="F574" s="92">
        <v>502201</v>
      </c>
      <c r="G574" s="76" t="str">
        <f>IFERROR(INDEX([1]物品基础表!$A:$A,MATCH(F574,[1]物品基础表!$B:$B,0)),"")</f>
        <v>橙金汤1级</v>
      </c>
      <c r="H574" s="92">
        <v>1</v>
      </c>
      <c r="I574" s="92">
        <v>7500</v>
      </c>
      <c r="J574" s="99">
        <f t="shared" si="9"/>
        <v>7500</v>
      </c>
      <c r="K574" s="92"/>
      <c r="L574" s="92" t="s">
        <v>1397</v>
      </c>
      <c r="M574" s="92"/>
      <c r="N574" s="92" t="s">
        <v>919</v>
      </c>
      <c r="O574" s="92"/>
      <c r="P574" s="92"/>
    </row>
    <row r="575" spans="1:16">
      <c r="A575" s="39" t="str">
        <f>INDEX([2]活动总表!$A$8:$A$429,MATCH(B575,[2]活动总表!$B$8:$B$429,0))</f>
        <v>节日商店（61天以及以上</v>
      </c>
      <c r="B575" s="93">
        <v>368</v>
      </c>
      <c r="C575" s="94">
        <v>181</v>
      </c>
      <c r="D575" s="92">
        <v>0</v>
      </c>
      <c r="E575" s="92">
        <v>12</v>
      </c>
      <c r="F575" s="92">
        <v>503201</v>
      </c>
      <c r="G575" s="76" t="str">
        <f>IFERROR(INDEX([1]物品基础表!$A:$A,MATCH(F575,[1]物品基础表!$B:$B,0)),"")</f>
        <v>橙长生1级</v>
      </c>
      <c r="H575" s="92">
        <v>1</v>
      </c>
      <c r="I575" s="92">
        <v>7500</v>
      </c>
      <c r="J575" s="99">
        <f t="shared" si="9"/>
        <v>7500</v>
      </c>
      <c r="K575" s="92"/>
      <c r="L575" s="92" t="s">
        <v>1397</v>
      </c>
      <c r="M575" s="92"/>
      <c r="N575" s="92" t="s">
        <v>919</v>
      </c>
      <c r="O575" s="92"/>
      <c r="P575" s="92"/>
    </row>
    <row r="576" spans="1:16">
      <c r="A576" s="39" t="str">
        <f>INDEX([2]活动总表!$A$8:$A$429,MATCH(B576,[2]活动总表!$B$8:$B$429,0))</f>
        <v>节日商店（61天以及以上</v>
      </c>
      <c r="B576" s="93">
        <v>368</v>
      </c>
      <c r="C576" s="94">
        <v>182</v>
      </c>
      <c r="D576" s="92">
        <v>0</v>
      </c>
      <c r="E576" s="92">
        <v>12</v>
      </c>
      <c r="F576" s="92">
        <v>504201</v>
      </c>
      <c r="G576" s="76" t="str">
        <f>IFERROR(INDEX([1]物品基础表!$A:$A,MATCH(F576,[1]物品基础表!$B:$B,0)),"")</f>
        <v>橙光武1级</v>
      </c>
      <c r="H576" s="92">
        <v>1</v>
      </c>
      <c r="I576" s="92">
        <v>10000</v>
      </c>
      <c r="J576" s="99">
        <f t="shared" si="9"/>
        <v>10000</v>
      </c>
      <c r="K576" s="92"/>
      <c r="L576" s="92" t="s">
        <v>1397</v>
      </c>
      <c r="M576" s="92"/>
      <c r="N576" s="92" t="s">
        <v>919</v>
      </c>
      <c r="O576" s="92"/>
      <c r="P576" s="92"/>
    </row>
    <row r="577" spans="1:16">
      <c r="A577" s="39" t="str">
        <f>INDEX([2]活动总表!$A$8:$A$429,MATCH(B577,[2]活动总表!$B$8:$B$429,0))</f>
        <v>节日商店（61天以及以上</v>
      </c>
      <c r="B577" s="93">
        <v>368</v>
      </c>
      <c r="C577" s="94">
        <v>183</v>
      </c>
      <c r="D577" s="92">
        <v>0</v>
      </c>
      <c r="E577" s="92">
        <v>12</v>
      </c>
      <c r="F577" s="92">
        <v>505201</v>
      </c>
      <c r="G577" s="76" t="str">
        <f>IFERROR(INDEX([1]物品基础表!$A:$A,MATCH(F577,[1]物品基础表!$B:$B,0)),"")</f>
        <v>橙神盔1级</v>
      </c>
      <c r="H577" s="92">
        <v>1</v>
      </c>
      <c r="I577" s="92">
        <v>3100</v>
      </c>
      <c r="J577" s="99">
        <f t="shared" si="9"/>
        <v>3100</v>
      </c>
      <c r="K577" s="92"/>
      <c r="L577" s="92" t="s">
        <v>1397</v>
      </c>
      <c r="M577" s="92"/>
      <c r="N577" s="92" t="s">
        <v>919</v>
      </c>
      <c r="O577" s="92"/>
      <c r="P577" s="92"/>
    </row>
    <row r="578" spans="1:16">
      <c r="A578" s="39" t="str">
        <f>INDEX([2]活动总表!$A$8:$A$429,MATCH(B578,[2]活动总表!$B$8:$B$429,0))</f>
        <v>节日商店（61天以及以上</v>
      </c>
      <c r="B578" s="93">
        <v>368</v>
      </c>
      <c r="C578" s="94">
        <v>184</v>
      </c>
      <c r="D578" s="92">
        <v>0</v>
      </c>
      <c r="E578" s="92">
        <v>12</v>
      </c>
      <c r="F578" s="92">
        <v>506201</v>
      </c>
      <c r="G578" s="76" t="str">
        <f>IFERROR(INDEX([1]物品基础表!$A:$A,MATCH(F578,[1]物品基础表!$B:$B,0)),"")</f>
        <v>橙固甲1级</v>
      </c>
      <c r="H578" s="92">
        <v>1</v>
      </c>
      <c r="I578" s="92">
        <v>6300</v>
      </c>
      <c r="J578" s="99">
        <f t="shared" si="9"/>
        <v>6300</v>
      </c>
      <c r="K578" s="92"/>
      <c r="L578" s="92" t="s">
        <v>1397</v>
      </c>
      <c r="M578" s="92"/>
      <c r="N578" s="92" t="s">
        <v>919</v>
      </c>
      <c r="O578" s="92"/>
      <c r="P578" s="92"/>
    </row>
    <row r="579" spans="1:16">
      <c r="A579" s="39" t="str">
        <f>INDEX([2]活动总表!$A$8:$A$429,MATCH(B579,[2]活动总表!$B$8:$B$429,0))</f>
        <v>节日商店（61天以及以上</v>
      </c>
      <c r="B579" s="93">
        <v>368</v>
      </c>
      <c r="C579" s="94">
        <v>185</v>
      </c>
      <c r="D579" s="92">
        <v>0</v>
      </c>
      <c r="E579" s="92">
        <v>12</v>
      </c>
      <c r="F579" s="92">
        <v>507201</v>
      </c>
      <c r="G579" s="76" t="str">
        <f>IFERROR(INDEX([1]物品基础表!$A:$A,MATCH(F579,[1]物品基础表!$B:$B,0)),"")</f>
        <v>橙灵链1级</v>
      </c>
      <c r="H579" s="92">
        <v>1</v>
      </c>
      <c r="I579" s="92">
        <v>3100</v>
      </c>
      <c r="J579" s="99">
        <f t="shared" si="9"/>
        <v>3100</v>
      </c>
      <c r="K579" s="92"/>
      <c r="L579" s="92" t="s">
        <v>1397</v>
      </c>
      <c r="M579" s="92"/>
      <c r="N579" s="92" t="s">
        <v>919</v>
      </c>
      <c r="O579" s="92"/>
      <c r="P579" s="92"/>
    </row>
    <row r="580" spans="1:16">
      <c r="A580" s="39" t="str">
        <f>INDEX([2]活动总表!$A$8:$A$429,MATCH(B580,[2]活动总表!$B$8:$B$429,0))</f>
        <v>节日商店（61天以及以上</v>
      </c>
      <c r="B580" s="93">
        <v>368</v>
      </c>
      <c r="C580" s="94">
        <v>186</v>
      </c>
      <c r="D580" s="92">
        <v>0</v>
      </c>
      <c r="E580" s="92">
        <v>12</v>
      </c>
      <c r="F580" s="92">
        <v>508201</v>
      </c>
      <c r="G580" s="76" t="str">
        <f>IFERROR(INDEX([1]物品基础表!$A:$A,MATCH(F580,[1]物品基础表!$B:$B,0)),"")</f>
        <v>橙地镯1级</v>
      </c>
      <c r="H580" s="92">
        <v>1</v>
      </c>
      <c r="I580" s="92">
        <v>3100</v>
      </c>
      <c r="J580" s="99">
        <f t="shared" ref="J580:J620" si="10">I580/H580</f>
        <v>3100</v>
      </c>
      <c r="K580" s="92"/>
      <c r="L580" s="92" t="s">
        <v>1397</v>
      </c>
      <c r="M580" s="92"/>
      <c r="N580" s="92" t="s">
        <v>919</v>
      </c>
      <c r="O580" s="92"/>
      <c r="P580" s="92"/>
    </row>
    <row r="581" spans="1:16">
      <c r="A581" s="39" t="str">
        <f>INDEX([2]活动总表!$A$8:$A$429,MATCH(B581,[2]活动总表!$B$8:$B$429,0))</f>
        <v>节日商店（61天以及以上</v>
      </c>
      <c r="B581" s="93">
        <v>368</v>
      </c>
      <c r="C581" s="94">
        <v>187</v>
      </c>
      <c r="D581" s="92">
        <v>0</v>
      </c>
      <c r="E581" s="92">
        <v>12</v>
      </c>
      <c r="F581" s="92">
        <v>509201</v>
      </c>
      <c r="G581" s="76" t="str">
        <f>IFERROR(INDEX([1]物品基础表!$A:$A,MATCH(F581,[1]物品基础表!$B:$B,0)),"")</f>
        <v>橙乾戒1级</v>
      </c>
      <c r="H581" s="92">
        <v>1</v>
      </c>
      <c r="I581" s="92">
        <v>3100</v>
      </c>
      <c r="J581" s="99">
        <f t="shared" si="10"/>
        <v>3100</v>
      </c>
      <c r="K581" s="92"/>
      <c r="L581" s="92" t="s">
        <v>1397</v>
      </c>
      <c r="M581" s="92"/>
      <c r="N581" s="92" t="s">
        <v>919</v>
      </c>
      <c r="O581" s="92"/>
      <c r="P581" s="92"/>
    </row>
    <row r="582" spans="1:16">
      <c r="A582" s="39" t="str">
        <f>INDEX([2]活动总表!$A$8:$A$429,MATCH(B582,[2]活动总表!$B$8:$B$429,0))</f>
        <v>节日商店（61天以及以上</v>
      </c>
      <c r="B582" s="93">
        <v>368</v>
      </c>
      <c r="C582" s="94">
        <v>188</v>
      </c>
      <c r="D582" s="92">
        <v>0</v>
      </c>
      <c r="E582" s="92">
        <v>12</v>
      </c>
      <c r="F582" s="92">
        <v>510201</v>
      </c>
      <c r="G582" s="76" t="str">
        <f>IFERROR(INDEX([1]物品基础表!$A:$A,MATCH(F582,[1]物品基础表!$B:$B,0)),"")</f>
        <v>橙龙带1级</v>
      </c>
      <c r="H582" s="92">
        <v>1</v>
      </c>
      <c r="I582" s="92">
        <v>3100</v>
      </c>
      <c r="J582" s="99">
        <f t="shared" si="10"/>
        <v>3100</v>
      </c>
      <c r="K582" s="92"/>
      <c r="L582" s="92" t="s">
        <v>1397</v>
      </c>
      <c r="M582" s="92"/>
      <c r="N582" s="92" t="s">
        <v>919</v>
      </c>
      <c r="O582" s="92"/>
      <c r="P582" s="92"/>
    </row>
    <row r="583" spans="1:16">
      <c r="A583" s="39" t="str">
        <f>INDEX([2]活动总表!$A$8:$A$429,MATCH(B583,[2]活动总表!$B$8:$B$429,0))</f>
        <v>节日商店（61天以及以上</v>
      </c>
      <c r="B583" s="93">
        <v>368</v>
      </c>
      <c r="C583" s="94">
        <v>189</v>
      </c>
      <c r="D583" s="92">
        <v>0</v>
      </c>
      <c r="E583" s="92">
        <v>12</v>
      </c>
      <c r="F583" s="92">
        <v>511201</v>
      </c>
      <c r="G583" s="76" t="str">
        <f>IFERROR(INDEX([1]物品基础表!$A:$A,MATCH(F583,[1]物品基础表!$B:$B,0)),"")</f>
        <v>橙逐日1级</v>
      </c>
      <c r="H583" s="92">
        <v>1</v>
      </c>
      <c r="I583" s="92">
        <v>3100</v>
      </c>
      <c r="J583" s="99">
        <f t="shared" si="10"/>
        <v>3100</v>
      </c>
      <c r="K583" s="92"/>
      <c r="L583" s="92" t="s">
        <v>1397</v>
      </c>
      <c r="M583" s="92"/>
      <c r="N583" s="92" t="s">
        <v>919</v>
      </c>
      <c r="O583" s="92"/>
      <c r="P583" s="92"/>
    </row>
    <row r="584" spans="1:16">
      <c r="A584" s="39" t="str">
        <f>INDEX([2]活动总表!$A$8:$A$429,MATCH(B584,[2]活动总表!$B$8:$B$429,0))</f>
        <v>节日商店（61天以及以上</v>
      </c>
      <c r="B584" s="93">
        <v>368</v>
      </c>
      <c r="C584" s="94">
        <v>190</v>
      </c>
      <c r="D584" s="92">
        <v>0</v>
      </c>
      <c r="E584" s="92">
        <v>12</v>
      </c>
      <c r="F584" s="92">
        <v>512201</v>
      </c>
      <c r="G584" s="76" t="str">
        <f>IFERROR(INDEX([1]物品基础表!$A:$A,MATCH(F584,[1]物品基础表!$B:$B,0)),"")</f>
        <v>橙豁免1级</v>
      </c>
      <c r="H584" s="92">
        <v>1</v>
      </c>
      <c r="I584" s="92">
        <v>9400</v>
      </c>
      <c r="J584" s="99">
        <f t="shared" si="10"/>
        <v>9400</v>
      </c>
      <c r="K584" s="92"/>
      <c r="L584" s="92" t="s">
        <v>1397</v>
      </c>
      <c r="M584" s="92"/>
      <c r="N584" s="92" t="s">
        <v>919</v>
      </c>
      <c r="O584" s="92"/>
      <c r="P584" s="92"/>
    </row>
    <row r="585" spans="1:16">
      <c r="A585" s="39" t="str">
        <f>INDEX([2]活动总表!$A$8:$A$429,MATCH(B585,[2]活动总表!$B$8:$B$429,0))</f>
        <v>节日商店（61天以及以上</v>
      </c>
      <c r="B585" s="93">
        <v>368</v>
      </c>
      <c r="C585" s="94">
        <v>191</v>
      </c>
      <c r="D585" s="92">
        <v>0</v>
      </c>
      <c r="E585" s="92">
        <v>12</v>
      </c>
      <c r="F585" s="92">
        <v>513201</v>
      </c>
      <c r="G585" s="76" t="str">
        <f>IFERROR(INDEX([1]物品基础表!$A:$A,MATCH(F585,[1]物品基础表!$B:$B,0)),"")</f>
        <v>橙杀戮1级</v>
      </c>
      <c r="H585" s="92">
        <v>1</v>
      </c>
      <c r="I585" s="92">
        <v>9400</v>
      </c>
      <c r="J585" s="99">
        <f t="shared" si="10"/>
        <v>9400</v>
      </c>
      <c r="K585" s="92"/>
      <c r="L585" s="92" t="s">
        <v>1397</v>
      </c>
      <c r="M585" s="92"/>
      <c r="N585" s="92" t="s">
        <v>919</v>
      </c>
      <c r="O585" s="92"/>
      <c r="P585" s="92"/>
    </row>
    <row r="586" spans="1:16">
      <c r="A586" s="39" t="str">
        <f>INDEX([2]活动总表!$A$8:$A$429,MATCH(B586,[2]活动总表!$B$8:$B$429,0))</f>
        <v>节日商店（61天以及以上</v>
      </c>
      <c r="B586" s="93">
        <v>368</v>
      </c>
      <c r="C586" s="94">
        <v>192</v>
      </c>
      <c r="D586" s="92">
        <v>0</v>
      </c>
      <c r="E586" s="92">
        <v>12</v>
      </c>
      <c r="F586" s="92">
        <v>514201</v>
      </c>
      <c r="G586" s="76" t="str">
        <f>IFERROR(INDEX([1]物品基础表!$A:$A,MATCH(F586,[1]物品基础表!$B:$B,0)),"")</f>
        <v>橙祝福1级</v>
      </c>
      <c r="H586" s="92">
        <v>1</v>
      </c>
      <c r="I586" s="92">
        <v>2500</v>
      </c>
      <c r="J586" s="99">
        <f t="shared" si="10"/>
        <v>2500</v>
      </c>
      <c r="K586" s="92"/>
      <c r="L586" s="92" t="s">
        <v>1397</v>
      </c>
      <c r="M586" s="92"/>
      <c r="N586" s="92" t="s">
        <v>919</v>
      </c>
      <c r="O586" s="92"/>
      <c r="P586" s="92"/>
    </row>
    <row r="587" spans="1:16">
      <c r="A587" s="39" t="str">
        <f>INDEX([2]活动总表!$A$8:$A$429,MATCH(B587,[2]活动总表!$B$8:$B$429,0))</f>
        <v>节日商店（61天以及以上</v>
      </c>
      <c r="B587" s="93">
        <v>368</v>
      </c>
      <c r="C587" s="94">
        <v>193</v>
      </c>
      <c r="D587" s="92">
        <v>0</v>
      </c>
      <c r="E587" s="92">
        <v>12</v>
      </c>
      <c r="F587" s="92">
        <v>515201</v>
      </c>
      <c r="G587" s="76" t="str">
        <f>IFERROR(INDEX([1]物品基础表!$A:$A,MATCH(F587,[1]物品基础表!$B:$B,0)),"")</f>
        <v>橙财神1级</v>
      </c>
      <c r="H587" s="92">
        <v>1</v>
      </c>
      <c r="I587" s="92">
        <v>2500</v>
      </c>
      <c r="J587" s="99">
        <f t="shared" si="10"/>
        <v>2500</v>
      </c>
      <c r="K587" s="92"/>
      <c r="L587" s="92" t="s">
        <v>1397</v>
      </c>
      <c r="M587" s="92"/>
      <c r="N587" s="92" t="s">
        <v>919</v>
      </c>
      <c r="O587" s="92"/>
      <c r="P587" s="92"/>
    </row>
    <row r="588" spans="1:16">
      <c r="A588" s="39" t="str">
        <f>INDEX([2]活动总表!$A$8:$A$429,MATCH(B588,[2]活动总表!$B$8:$B$429,0))</f>
        <v>节日商店（61天以及以上</v>
      </c>
      <c r="B588" s="93">
        <v>368</v>
      </c>
      <c r="C588" s="94">
        <v>194</v>
      </c>
      <c r="D588" s="92">
        <v>0</v>
      </c>
      <c r="E588" s="92">
        <v>12</v>
      </c>
      <c r="F588" s="92">
        <v>516201</v>
      </c>
      <c r="G588" s="76" t="str">
        <f>IFERROR(INDEX([1]物品基础表!$A:$A,MATCH(F588,[1]物品基础表!$B:$B,0)),"")</f>
        <v>橙强攻1级</v>
      </c>
      <c r="H588" s="92">
        <v>1</v>
      </c>
      <c r="I588" s="92">
        <v>7500</v>
      </c>
      <c r="J588" s="99">
        <f t="shared" si="10"/>
        <v>7500</v>
      </c>
      <c r="K588" s="92"/>
      <c r="L588" s="92" t="s">
        <v>1397</v>
      </c>
      <c r="M588" s="92"/>
      <c r="N588" s="92" t="s">
        <v>919</v>
      </c>
      <c r="O588" s="92"/>
      <c r="P588" s="92"/>
    </row>
    <row r="589" spans="1:16">
      <c r="A589" s="39" t="str">
        <f>INDEX([2]活动总表!$A$8:$A$429,MATCH(B589,[2]活动总表!$B$8:$B$429,0))</f>
        <v>节日商店（61天以及以上</v>
      </c>
      <c r="B589" s="93">
        <v>368</v>
      </c>
      <c r="C589" s="94">
        <v>195</v>
      </c>
      <c r="D589" s="92">
        <v>0</v>
      </c>
      <c r="E589" s="92">
        <v>12</v>
      </c>
      <c r="F589" s="92">
        <v>517201</v>
      </c>
      <c r="G589" s="76" t="str">
        <f>IFERROR(INDEX([1]物品基础表!$A:$A,MATCH(F589,[1]物品基础表!$B:$B,0)),"")</f>
        <v>橙毁灭1级</v>
      </c>
      <c r="H589" s="92">
        <v>1</v>
      </c>
      <c r="I589" s="92">
        <v>7500</v>
      </c>
      <c r="J589" s="99">
        <f t="shared" si="10"/>
        <v>7500</v>
      </c>
      <c r="K589" s="92"/>
      <c r="L589" s="92" t="s">
        <v>1397</v>
      </c>
      <c r="M589" s="92"/>
      <c r="N589" s="92" t="s">
        <v>919</v>
      </c>
      <c r="O589" s="92"/>
      <c r="P589" s="92"/>
    </row>
    <row r="590" spans="1:16">
      <c r="A590" s="39" t="str">
        <f>INDEX([2]活动总表!$A$8:$A$429,MATCH(B590,[2]活动总表!$B$8:$B$429,0))</f>
        <v>节日商店（61天以及以上</v>
      </c>
      <c r="B590" s="93">
        <v>368</v>
      </c>
      <c r="C590" s="94">
        <v>196</v>
      </c>
      <c r="D590" s="92">
        <v>0</v>
      </c>
      <c r="E590" s="92">
        <v>12</v>
      </c>
      <c r="F590" s="92">
        <v>518201</v>
      </c>
      <c r="G590" s="76" t="str">
        <f>IFERROR(INDEX([1]物品基础表!$A:$A,MATCH(F590,[1]物品基础表!$B:$B,0)),"")</f>
        <v>橙泰坦1级</v>
      </c>
      <c r="H590" s="92">
        <v>1</v>
      </c>
      <c r="I590" s="92">
        <v>7500</v>
      </c>
      <c r="J590" s="99">
        <f t="shared" si="10"/>
        <v>7500</v>
      </c>
      <c r="K590" s="92"/>
      <c r="L590" s="92" t="s">
        <v>1397</v>
      </c>
      <c r="M590" s="92"/>
      <c r="N590" s="92" t="s">
        <v>919</v>
      </c>
      <c r="O590" s="92"/>
      <c r="P590" s="92"/>
    </row>
    <row r="591" spans="1:16">
      <c r="A591" s="39" t="str">
        <f>INDEX([2]活动总表!$A$8:$A$429,MATCH(B591,[2]活动总表!$B$8:$B$429,0))</f>
        <v>版本庆典-5日商城</v>
      </c>
      <c r="B591" s="93">
        <v>1002</v>
      </c>
      <c r="C591" s="94">
        <v>1</v>
      </c>
      <c r="D591" s="94">
        <v>0</v>
      </c>
      <c r="E591" s="94">
        <v>12</v>
      </c>
      <c r="F591" s="93">
        <v>200212</v>
      </c>
      <c r="G591" s="76" t="str">
        <f>IFERROR(INDEX([1]物品基础表!$A:$A,MATCH(F591,[1]物品基础表!$B:$B,0)),"")</f>
        <v>烈焰印记迅疾技能书</v>
      </c>
      <c r="H591" s="93">
        <v>10</v>
      </c>
      <c r="I591" s="93"/>
      <c r="J591" s="99">
        <f t="shared" si="10"/>
        <v>0</v>
      </c>
      <c r="K591" s="93">
        <v>10</v>
      </c>
      <c r="L591" s="93" t="s">
        <v>1367</v>
      </c>
      <c r="M591" s="93"/>
      <c r="N591" s="92" t="s">
        <v>919</v>
      </c>
      <c r="O591" s="92">
        <v>5</v>
      </c>
      <c r="P591" s="92">
        <v>1</v>
      </c>
    </row>
    <row r="592" spans="1:16">
      <c r="A592" s="39" t="str">
        <f>INDEX([2]活动总表!$A$8:$A$429,MATCH(B592,[2]活动总表!$B$8:$B$429,0))</f>
        <v>版本庆典-5日商城</v>
      </c>
      <c r="B592" s="93">
        <v>1002</v>
      </c>
      <c r="C592" s="94">
        <v>2</v>
      </c>
      <c r="D592" s="94">
        <v>0</v>
      </c>
      <c r="E592" s="94">
        <v>12</v>
      </c>
      <c r="F592" s="93">
        <v>200213</v>
      </c>
      <c r="G592" s="76" t="str">
        <f>IFERROR(INDEX([1]物品基础表!$A:$A,MATCH(F592,[1]物品基础表!$B:$B,0)),"")</f>
        <v>烈焰印记爆裂技能书</v>
      </c>
      <c r="H592" s="93">
        <v>20</v>
      </c>
      <c r="I592" s="93"/>
      <c r="J592" s="99">
        <f t="shared" si="10"/>
        <v>0</v>
      </c>
      <c r="K592" s="93">
        <v>11</v>
      </c>
      <c r="L592" s="93" t="s">
        <v>1367</v>
      </c>
      <c r="M592" s="93"/>
      <c r="N592" s="92"/>
      <c r="O592" s="92">
        <v>4</v>
      </c>
      <c r="P592" s="92">
        <v>1</v>
      </c>
    </row>
    <row r="593" spans="1:16">
      <c r="A593" s="39" t="str">
        <f>INDEX([2]活动总表!$A$8:$A$429,MATCH(B593,[2]活动总表!$B$8:$B$429,0))</f>
        <v>版本庆典-5日商城</v>
      </c>
      <c r="B593" s="93">
        <v>1002</v>
      </c>
      <c r="C593" s="94">
        <v>3</v>
      </c>
      <c r="D593" s="94">
        <v>0</v>
      </c>
      <c r="E593" s="94">
        <v>12</v>
      </c>
      <c r="F593" s="93">
        <v>900010</v>
      </c>
      <c r="G593" s="76" t="str">
        <f>IFERROR(INDEX([1]物品基础表!$A:$A,MATCH(F593,[1]物品基础表!$B:$B,0)),"")</f>
        <v>恶魔之翼</v>
      </c>
      <c r="H593" s="93">
        <v>30</v>
      </c>
      <c r="I593" s="93"/>
      <c r="J593" s="99">
        <f t="shared" si="10"/>
        <v>0</v>
      </c>
      <c r="K593" s="93">
        <v>12</v>
      </c>
      <c r="L593" s="93" t="s">
        <v>1368</v>
      </c>
      <c r="M593" s="93"/>
      <c r="N593" s="92"/>
      <c r="O593" s="92">
        <v>3</v>
      </c>
      <c r="P593" s="92">
        <v>1</v>
      </c>
    </row>
    <row r="594" spans="1:16">
      <c r="A594" s="39" t="str">
        <f>INDEX([2]活动总表!$A$8:$A$429,MATCH(B594,[2]活动总表!$B$8:$B$429,0))</f>
        <v>版本庆典-5日商城</v>
      </c>
      <c r="B594" s="93">
        <v>1002</v>
      </c>
      <c r="C594" s="94">
        <v>4</v>
      </c>
      <c r="D594" s="94">
        <v>0</v>
      </c>
      <c r="E594" s="94">
        <v>12</v>
      </c>
      <c r="F594" s="93">
        <v>900011</v>
      </c>
      <c r="G594" s="76" t="str">
        <f>IFERROR(INDEX([1]物品基础表!$A:$A,MATCH(F594,[1]物品基础表!$B:$B,0)),"")</f>
        <v>蝶舞轻扬</v>
      </c>
      <c r="H594" s="93">
        <v>30</v>
      </c>
      <c r="I594" s="93"/>
      <c r="J594" s="99">
        <f t="shared" si="10"/>
        <v>0</v>
      </c>
      <c r="K594" s="93">
        <v>13</v>
      </c>
      <c r="L594" s="93" t="s">
        <v>1369</v>
      </c>
      <c r="M594" s="93"/>
      <c r="N594" s="92"/>
      <c r="O594" s="92">
        <v>2</v>
      </c>
      <c r="P594" s="92">
        <v>1</v>
      </c>
    </row>
    <row r="595" spans="1:16">
      <c r="A595" s="39" t="str">
        <f>INDEX([2]活动总表!$A$8:$A$429,MATCH(B595,[2]活动总表!$B$8:$B$429,0))</f>
        <v>版本庆典-5日商城</v>
      </c>
      <c r="B595" s="93">
        <v>1002</v>
      </c>
      <c r="C595" s="94">
        <v>5</v>
      </c>
      <c r="D595" s="94">
        <v>0</v>
      </c>
      <c r="E595" s="94">
        <v>12</v>
      </c>
      <c r="F595" s="93">
        <v>220011</v>
      </c>
      <c r="G595" s="76" t="str">
        <f>IFERROR(INDEX([1]物品基础表!$A:$A,MATCH(F595,[1]物品基础表!$B:$B,0)),"")</f>
        <v>高级秘籍宝箱</v>
      </c>
      <c r="H595" s="93">
        <v>20</v>
      </c>
      <c r="I595" s="93"/>
      <c r="J595" s="99">
        <f t="shared" si="10"/>
        <v>0</v>
      </c>
      <c r="K595" s="93">
        <v>14</v>
      </c>
      <c r="L595" s="93" t="s">
        <v>1370</v>
      </c>
      <c r="M595" s="93"/>
      <c r="N595" s="92"/>
      <c r="O595" s="92">
        <v>1</v>
      </c>
      <c r="P595" s="92">
        <v>1</v>
      </c>
    </row>
    <row r="596" spans="1:16">
      <c r="A596" s="39" t="str">
        <f>INDEX([2]活动总表!$A$8:$A$429,MATCH(B596,[2]活动总表!$B$8:$B$429,0))</f>
        <v>版本庆典-5日商城</v>
      </c>
      <c r="B596" s="93">
        <v>1002</v>
      </c>
      <c r="C596" s="94">
        <v>6</v>
      </c>
      <c r="D596" s="94">
        <v>0</v>
      </c>
      <c r="E596" s="94">
        <v>12</v>
      </c>
      <c r="F596" s="93">
        <v>200969</v>
      </c>
      <c r="G596" s="76" t="str">
        <f>IFERROR(INDEX([1]物品基础表!$A:$A,MATCH(F596,[1]物品基础表!$B:$B,0)),"")</f>
        <v>魅惑兵魂任选礼包</v>
      </c>
      <c r="H596" s="93">
        <v>10</v>
      </c>
      <c r="I596" s="93"/>
      <c r="J596" s="99">
        <f t="shared" si="10"/>
        <v>0</v>
      </c>
      <c r="K596" s="93">
        <v>15</v>
      </c>
      <c r="L596" s="93" t="s">
        <v>1368</v>
      </c>
      <c r="M596" s="93"/>
      <c r="N596" s="92"/>
      <c r="O596" s="92"/>
      <c r="P596" s="92"/>
    </row>
    <row r="597" spans="1:16">
      <c r="A597" s="39" t="str">
        <f>INDEX([2]活动总表!$A$8:$A$429,MATCH(B597,[2]活动总表!$B$8:$B$429,0))</f>
        <v>版本庆典-5日商城</v>
      </c>
      <c r="B597" s="93">
        <v>1002</v>
      </c>
      <c r="C597" s="94">
        <v>7</v>
      </c>
      <c r="D597" s="94">
        <v>0</v>
      </c>
      <c r="E597" s="94">
        <v>12</v>
      </c>
      <c r="F597" s="93">
        <v>220010</v>
      </c>
      <c r="G597" s="76" t="str">
        <f>IFERROR(INDEX([1]物品基础表!$A:$A,MATCH(F597,[1]物品基础表!$B:$B,0)),"")</f>
        <v>中级秘籍宝箱</v>
      </c>
      <c r="H597" s="93">
        <v>10</v>
      </c>
      <c r="I597" s="93"/>
      <c r="J597" s="99">
        <f t="shared" si="10"/>
        <v>0</v>
      </c>
      <c r="K597" s="93">
        <v>16</v>
      </c>
      <c r="L597" s="93" t="s">
        <v>1369</v>
      </c>
      <c r="M597" s="93"/>
      <c r="N597" s="92"/>
      <c r="O597" s="92"/>
      <c r="P597" s="92"/>
    </row>
    <row r="598" spans="1:16">
      <c r="A598" s="39" t="str">
        <f>INDEX([2]活动总表!$A$8:$A$429,MATCH(B598,[2]活动总表!$B$8:$B$429,0))</f>
        <v>版本庆典-5日商城</v>
      </c>
      <c r="B598" s="93">
        <v>1002</v>
      </c>
      <c r="C598" s="94">
        <v>8</v>
      </c>
      <c r="D598" s="94">
        <v>0</v>
      </c>
      <c r="E598" s="94">
        <v>12</v>
      </c>
      <c r="F598" s="93">
        <v>500006</v>
      </c>
      <c r="G598" s="76" t="str">
        <f>IFERROR(INDEX([1]物品基础表!$A:$A,MATCH(F598,[1]物品基础表!$B:$B,0)),"")</f>
        <v>战纹精华-金</v>
      </c>
      <c r="H598" s="93">
        <v>20</v>
      </c>
      <c r="I598" s="93"/>
      <c r="J598" s="99">
        <f t="shared" si="10"/>
        <v>0</v>
      </c>
      <c r="K598" s="93">
        <v>17</v>
      </c>
      <c r="L598" s="93" t="s">
        <v>1367</v>
      </c>
      <c r="M598" s="93"/>
      <c r="N598" s="92"/>
      <c r="O598" s="92"/>
      <c r="P598" s="92"/>
    </row>
    <row r="599" spans="1:16">
      <c r="A599" s="39" t="str">
        <f>INDEX([2]活动总表!$A$8:$A$429,MATCH(B599,[2]活动总表!$B$8:$B$429,0))</f>
        <v>版本庆典-5日商城</v>
      </c>
      <c r="B599" s="93">
        <v>1002</v>
      </c>
      <c r="C599" s="94">
        <v>9</v>
      </c>
      <c r="D599" s="94">
        <v>0</v>
      </c>
      <c r="E599" s="94">
        <v>12</v>
      </c>
      <c r="F599" s="93">
        <v>200005</v>
      </c>
      <c r="G599" s="76" t="str">
        <f>IFERROR(INDEX([1]物品基础表!$A:$A,MATCH(F599,[1]物品基础表!$B:$B,0)),"")</f>
        <v>龙魂碎片</v>
      </c>
      <c r="H599" s="93">
        <v>30</v>
      </c>
      <c r="I599" s="93"/>
      <c r="J599" s="99">
        <f t="shared" si="10"/>
        <v>0</v>
      </c>
      <c r="K599" s="93">
        <v>18</v>
      </c>
      <c r="L599" s="93" t="s">
        <v>1367</v>
      </c>
      <c r="M599" s="93"/>
      <c r="N599" s="92"/>
      <c r="O599" s="92"/>
      <c r="P599" s="92"/>
    </row>
    <row r="600" spans="1:16">
      <c r="A600" s="39" t="str">
        <f>INDEX([2]活动总表!$A$8:$A$429,MATCH(B600,[2]活动总表!$B$8:$B$429,0))</f>
        <v>版本庆典-5日商城</v>
      </c>
      <c r="B600" s="93">
        <v>1002</v>
      </c>
      <c r="C600" s="94">
        <v>10</v>
      </c>
      <c r="D600" s="94">
        <v>0</v>
      </c>
      <c r="E600" s="94">
        <v>12</v>
      </c>
      <c r="F600" s="93">
        <v>200015</v>
      </c>
      <c r="G600" s="76" t="str">
        <f>IFERROR(INDEX([1]物品基础表!$A:$A,MATCH(F600,[1]物品基础表!$B:$B,0)),"")</f>
        <v>特戒碎片</v>
      </c>
      <c r="H600" s="93">
        <v>30</v>
      </c>
      <c r="I600" s="93"/>
      <c r="J600" s="99">
        <f t="shared" si="10"/>
        <v>0</v>
      </c>
      <c r="K600" s="93">
        <v>19</v>
      </c>
      <c r="L600" s="93" t="s">
        <v>1371</v>
      </c>
      <c r="M600" s="93"/>
      <c r="N600" s="92"/>
      <c r="O600" s="92"/>
      <c r="P600" s="92"/>
    </row>
    <row r="601" spans="1:16">
      <c r="A601" s="39" t="str">
        <f>INDEX([2]活动总表!$A$8:$A$429,MATCH(B601,[2]活动总表!$B$8:$B$429,0))</f>
        <v>版本庆典-5日商城</v>
      </c>
      <c r="B601" s="93">
        <v>1002</v>
      </c>
      <c r="C601" s="94">
        <v>11</v>
      </c>
      <c r="D601" s="94">
        <v>0</v>
      </c>
      <c r="E601" s="94">
        <v>12</v>
      </c>
      <c r="F601" s="93">
        <v>200208</v>
      </c>
      <c r="G601" s="76" t="str">
        <f>IFERROR(INDEX([1]物品基础表!$A:$A,MATCH(F601,[1]物品基础表!$B:$B,0)),"")</f>
        <v>烈焰印记低级升级材料</v>
      </c>
      <c r="H601" s="93">
        <v>20</v>
      </c>
      <c r="I601" s="93"/>
      <c r="J601" s="99">
        <f t="shared" si="10"/>
        <v>0</v>
      </c>
      <c r="K601" s="93">
        <v>20</v>
      </c>
      <c r="L601" s="93" t="s">
        <v>1372</v>
      </c>
      <c r="M601" s="93"/>
      <c r="N601" s="92"/>
      <c r="O601" s="92"/>
      <c r="P601" s="92"/>
    </row>
    <row r="602" spans="1:16">
      <c r="A602" s="39" t="str">
        <f>INDEX([2]活动总表!$A$8:$A$429,MATCH(B602,[2]活动总表!$B$8:$B$429,0))</f>
        <v>版本庆典-5日商城</v>
      </c>
      <c r="B602" s="93">
        <v>1002</v>
      </c>
      <c r="C602" s="94">
        <v>12</v>
      </c>
      <c r="D602" s="94">
        <v>0</v>
      </c>
      <c r="E602" s="94">
        <v>12</v>
      </c>
      <c r="F602" s="93">
        <v>200005</v>
      </c>
      <c r="G602" s="76" t="str">
        <f>IFERROR(INDEX([1]物品基础表!$A:$A,MATCH(F602,[1]物品基础表!$B:$B,0)),"")</f>
        <v>龙魂碎片</v>
      </c>
      <c r="H602" s="93">
        <v>10</v>
      </c>
      <c r="I602" s="93"/>
      <c r="J602" s="99">
        <f t="shared" si="10"/>
        <v>0</v>
      </c>
      <c r="K602" s="93">
        <v>21</v>
      </c>
      <c r="L602" s="93" t="s">
        <v>1370</v>
      </c>
      <c r="M602" s="93"/>
      <c r="N602" s="92"/>
      <c r="O602" s="92"/>
      <c r="P602" s="92"/>
    </row>
    <row r="603" spans="1:16">
      <c r="A603" s="39" t="str">
        <f>INDEX([2]活动总表!$A$8:$A$429,MATCH(B603,[2]活动总表!$B$8:$B$429,0))</f>
        <v>版本庆典-5日商城</v>
      </c>
      <c r="B603" s="93">
        <v>1002</v>
      </c>
      <c r="C603" s="94">
        <v>13</v>
      </c>
      <c r="D603" s="94">
        <v>0</v>
      </c>
      <c r="E603" s="94">
        <v>12</v>
      </c>
      <c r="F603" s="93">
        <v>200001</v>
      </c>
      <c r="G603" s="76" t="str">
        <f>IFERROR(INDEX([1]物品基础表!$A:$A,MATCH(F603,[1]物品基础表!$B:$B,0)),"")</f>
        <v>羽毛</v>
      </c>
      <c r="H603" s="93">
        <v>10</v>
      </c>
      <c r="I603" s="93"/>
      <c r="J603" s="99">
        <f t="shared" si="10"/>
        <v>0</v>
      </c>
      <c r="K603" s="93">
        <v>22</v>
      </c>
      <c r="L603" s="93" t="s">
        <v>1371</v>
      </c>
      <c r="M603" s="93"/>
      <c r="N603" s="92"/>
      <c r="O603" s="92"/>
      <c r="P603" s="92"/>
    </row>
    <row r="604" spans="1:16">
      <c r="A604" s="39" t="str">
        <f>INDEX([2]活动总表!$A$8:$A$429,MATCH(B604,[2]活动总表!$B$8:$B$429,0))</f>
        <v>版本庆典-5日商城</v>
      </c>
      <c r="B604" s="93">
        <v>1002</v>
      </c>
      <c r="C604" s="94">
        <v>14</v>
      </c>
      <c r="D604" s="94">
        <v>0</v>
      </c>
      <c r="E604" s="94">
        <v>12</v>
      </c>
      <c r="F604" s="93">
        <v>504201</v>
      </c>
      <c r="G604" s="76" t="str">
        <f>IFERROR(INDEX([1]物品基础表!$A:$A,MATCH(F604,[1]物品基础表!$B:$B,0)),"")</f>
        <v>橙光武1级</v>
      </c>
      <c r="H604" s="93">
        <v>20</v>
      </c>
      <c r="I604" s="93"/>
      <c r="J604" s="99">
        <f t="shared" si="10"/>
        <v>0</v>
      </c>
      <c r="K604" s="93">
        <v>23</v>
      </c>
      <c r="L604" s="93" t="s">
        <v>1369</v>
      </c>
      <c r="M604" s="93"/>
      <c r="N604" s="92"/>
      <c r="O604" s="92"/>
      <c r="P604" s="92"/>
    </row>
    <row r="605" spans="1:16">
      <c r="A605" s="39" t="str">
        <f>INDEX([2]活动总表!$A$8:$A$429,MATCH(B605,[2]活动总表!$B$8:$B$429,0))</f>
        <v>版本庆典-5日商城</v>
      </c>
      <c r="B605" s="93">
        <v>1002</v>
      </c>
      <c r="C605" s="94">
        <v>15</v>
      </c>
      <c r="D605" s="94">
        <v>0</v>
      </c>
      <c r="E605" s="94">
        <v>12</v>
      </c>
      <c r="F605" s="93">
        <v>505201</v>
      </c>
      <c r="G605" s="76" t="str">
        <f>IFERROR(INDEX([1]物品基础表!$A:$A,MATCH(F605,[1]物品基础表!$B:$B,0)),"")</f>
        <v>橙神盔1级</v>
      </c>
      <c r="H605" s="93">
        <v>30</v>
      </c>
      <c r="I605" s="93"/>
      <c r="J605" s="99">
        <f t="shared" si="10"/>
        <v>0</v>
      </c>
      <c r="K605" s="93">
        <v>24</v>
      </c>
      <c r="L605" s="93" t="s">
        <v>1367</v>
      </c>
      <c r="M605" s="93"/>
      <c r="N605" s="92"/>
      <c r="O605" s="92"/>
      <c r="P605" s="92"/>
    </row>
    <row r="606" spans="1:16">
      <c r="A606" s="39" t="str">
        <f>INDEX([2]活动总表!$A$8:$A$429,MATCH(B606,[2]活动总表!$B$8:$B$429,0))</f>
        <v>版本庆典-5日商城</v>
      </c>
      <c r="B606" s="93">
        <v>1002</v>
      </c>
      <c r="C606" s="94">
        <v>16</v>
      </c>
      <c r="D606" s="94">
        <v>0</v>
      </c>
      <c r="E606" s="94">
        <v>12</v>
      </c>
      <c r="F606" s="93">
        <v>506201</v>
      </c>
      <c r="G606" s="76" t="str">
        <f>IFERROR(INDEX([1]物品基础表!$A:$A,MATCH(F606,[1]物品基础表!$B:$B,0)),"")</f>
        <v>橙固甲1级</v>
      </c>
      <c r="H606" s="93">
        <v>30</v>
      </c>
      <c r="I606" s="93"/>
      <c r="J606" s="99">
        <f t="shared" si="10"/>
        <v>0</v>
      </c>
      <c r="K606" s="93">
        <v>25</v>
      </c>
      <c r="L606" s="93" t="s">
        <v>1367</v>
      </c>
      <c r="M606" s="93"/>
      <c r="N606" s="92"/>
      <c r="O606" s="92"/>
      <c r="P606" s="92"/>
    </row>
    <row r="607" spans="1:16">
      <c r="A607" s="39" t="str">
        <f>INDEX([2]活动总表!$A$8:$A$429,MATCH(B607,[2]活动总表!$B$8:$B$429,0))</f>
        <v>版本庆典-5日商城</v>
      </c>
      <c r="B607" s="93">
        <v>1002</v>
      </c>
      <c r="C607" s="94">
        <v>17</v>
      </c>
      <c r="D607" s="94">
        <v>0</v>
      </c>
      <c r="E607" s="94">
        <v>12</v>
      </c>
      <c r="F607" s="93">
        <v>507201</v>
      </c>
      <c r="G607" s="76" t="str">
        <f>IFERROR(INDEX([1]物品基础表!$A:$A,MATCH(F607,[1]物品基础表!$B:$B,0)),"")</f>
        <v>橙灵链1级</v>
      </c>
      <c r="H607" s="93">
        <v>20</v>
      </c>
      <c r="I607" s="93"/>
      <c r="J607" s="99">
        <f t="shared" si="10"/>
        <v>0</v>
      </c>
      <c r="K607" s="93">
        <v>26</v>
      </c>
      <c r="L607" s="93" t="s">
        <v>1373</v>
      </c>
      <c r="M607" s="93"/>
      <c r="N607" s="92"/>
      <c r="O607" s="92"/>
      <c r="P607" s="92"/>
    </row>
    <row r="608" spans="1:16">
      <c r="A608" s="39" t="str">
        <f>INDEX([2]活动总表!$A$8:$A$429,MATCH(B608,[2]活动总表!$B$8:$B$429,0))</f>
        <v>版本庆典-5日商城</v>
      </c>
      <c r="B608" s="93">
        <v>1002</v>
      </c>
      <c r="C608" s="94">
        <v>18</v>
      </c>
      <c r="D608" s="94">
        <v>0</v>
      </c>
      <c r="E608" s="94">
        <v>12</v>
      </c>
      <c r="F608" s="93">
        <v>508201</v>
      </c>
      <c r="G608" s="76" t="str">
        <f>IFERROR(INDEX([1]物品基础表!$A:$A,MATCH(F608,[1]物品基础表!$B:$B,0)),"")</f>
        <v>橙地镯1级</v>
      </c>
      <c r="H608" s="93">
        <v>10</v>
      </c>
      <c r="I608" s="93"/>
      <c r="J608" s="99">
        <f t="shared" si="10"/>
        <v>0</v>
      </c>
      <c r="K608" s="93">
        <v>27</v>
      </c>
      <c r="L608" s="93" t="s">
        <v>1374</v>
      </c>
      <c r="M608" s="93"/>
      <c r="N608" s="92"/>
      <c r="O608" s="92"/>
      <c r="P608" s="92"/>
    </row>
    <row r="609" spans="1:16">
      <c r="A609" s="39" t="str">
        <f>INDEX([2]活动总表!$A$8:$A$429,MATCH(B609,[2]活动总表!$B$8:$B$429,0))</f>
        <v>版本庆典-5日商城</v>
      </c>
      <c r="B609" s="93">
        <v>1002</v>
      </c>
      <c r="C609" s="94">
        <v>19</v>
      </c>
      <c r="D609" s="94">
        <v>0</v>
      </c>
      <c r="E609" s="94">
        <v>12</v>
      </c>
      <c r="F609" s="93">
        <v>509201</v>
      </c>
      <c r="G609" s="76" t="str">
        <f>IFERROR(INDEX([1]物品基础表!$A:$A,MATCH(F609,[1]物品基础表!$B:$B,0)),"")</f>
        <v>橙乾戒1级</v>
      </c>
      <c r="H609" s="93">
        <v>10</v>
      </c>
      <c r="I609" s="93"/>
      <c r="J609" s="99">
        <f t="shared" si="10"/>
        <v>0</v>
      </c>
      <c r="K609" s="93">
        <v>28</v>
      </c>
      <c r="L609" s="93" t="s">
        <v>1367</v>
      </c>
      <c r="M609" s="93"/>
      <c r="N609" s="92"/>
      <c r="O609" s="92"/>
      <c r="P609" s="92"/>
    </row>
    <row r="610" spans="1:16">
      <c r="A610" s="39" t="str">
        <f>INDEX([2]活动总表!$A$8:$A$429,MATCH(B610,[2]活动总表!$B$8:$B$429,0))</f>
        <v>版本庆典-5日商城</v>
      </c>
      <c r="B610" s="93">
        <v>1002</v>
      </c>
      <c r="C610" s="94">
        <v>20</v>
      </c>
      <c r="D610" s="94">
        <v>0</v>
      </c>
      <c r="E610" s="94">
        <v>12</v>
      </c>
      <c r="F610" s="93">
        <v>510201</v>
      </c>
      <c r="G610" s="76" t="str">
        <f>IFERROR(INDEX([1]物品基础表!$A:$A,MATCH(F610,[1]物品基础表!$B:$B,0)),"")</f>
        <v>橙龙带1级</v>
      </c>
      <c r="H610" s="93">
        <v>20</v>
      </c>
      <c r="I610" s="93"/>
      <c r="J610" s="99">
        <f t="shared" si="10"/>
        <v>0</v>
      </c>
      <c r="K610" s="93">
        <v>29</v>
      </c>
      <c r="L610" s="93" t="s">
        <v>1373</v>
      </c>
      <c r="M610" s="93"/>
      <c r="N610" s="92"/>
      <c r="O610" s="92"/>
      <c r="P610" s="92"/>
    </row>
    <row r="611" spans="1:16">
      <c r="A611" s="39" t="str">
        <f>INDEX([2]活动总表!$A$8:$A$429,MATCH(B611,[2]活动总表!$B$8:$B$429,0))</f>
        <v>版本庆典-5日商城</v>
      </c>
      <c r="B611" s="93">
        <v>1002</v>
      </c>
      <c r="C611" s="94">
        <v>21</v>
      </c>
      <c r="D611" s="94">
        <v>0</v>
      </c>
      <c r="E611" s="94">
        <v>12</v>
      </c>
      <c r="F611" s="93">
        <v>511201</v>
      </c>
      <c r="G611" s="76" t="str">
        <f>IFERROR(INDEX([1]物品基础表!$A:$A,MATCH(F611,[1]物品基础表!$B:$B,0)),"")</f>
        <v>橙逐日1级</v>
      </c>
      <c r="H611" s="93">
        <v>30</v>
      </c>
      <c r="I611" s="93"/>
      <c r="J611" s="99">
        <f t="shared" si="10"/>
        <v>0</v>
      </c>
      <c r="K611" s="93">
        <v>30</v>
      </c>
      <c r="L611" s="93" t="s">
        <v>1374</v>
      </c>
      <c r="M611" s="93"/>
      <c r="N611" s="92"/>
      <c r="O611" s="92"/>
      <c r="P611" s="92"/>
    </row>
    <row r="612" spans="1:16">
      <c r="A612" s="39" t="str">
        <f>INDEX([2]活动总表!$A$8:$A$429,MATCH(B612,[2]活动总表!$B$8:$B$429,0))</f>
        <v>版本庆典-5日商城</v>
      </c>
      <c r="B612" s="93">
        <v>1002</v>
      </c>
      <c r="C612" s="94">
        <v>22</v>
      </c>
      <c r="D612" s="94">
        <v>0</v>
      </c>
      <c r="E612" s="94">
        <v>12</v>
      </c>
      <c r="F612" s="93">
        <v>512201</v>
      </c>
      <c r="G612" s="76" t="str">
        <f>IFERROR(INDEX([1]物品基础表!$A:$A,MATCH(F612,[1]物品基础表!$B:$B,0)),"")</f>
        <v>橙豁免1级</v>
      </c>
      <c r="H612" s="93">
        <v>30</v>
      </c>
      <c r="I612" s="93"/>
      <c r="J612" s="99">
        <f t="shared" si="10"/>
        <v>0</v>
      </c>
      <c r="K612" s="93">
        <v>31</v>
      </c>
      <c r="L612" s="93" t="s">
        <v>1375</v>
      </c>
      <c r="M612" s="93"/>
      <c r="N612" s="92"/>
      <c r="O612" s="92"/>
      <c r="P612" s="92"/>
    </row>
    <row r="613" spans="1:16">
      <c r="A613" s="39" t="str">
        <f>INDEX([2]活动总表!$A$8:$A$429,MATCH(B613,[2]活动总表!$B$8:$B$429,0))</f>
        <v>版本庆典-5日商城</v>
      </c>
      <c r="B613" s="93">
        <v>1002</v>
      </c>
      <c r="C613" s="94">
        <v>23</v>
      </c>
      <c r="D613" s="94">
        <v>0</v>
      </c>
      <c r="E613" s="94">
        <v>12</v>
      </c>
      <c r="F613" s="93">
        <v>513201</v>
      </c>
      <c r="G613" s="76" t="str">
        <f>IFERROR(INDEX([1]物品基础表!$A:$A,MATCH(F613,[1]物品基础表!$B:$B,0)),"")</f>
        <v>橙杀戮1级</v>
      </c>
      <c r="H613" s="93">
        <v>20</v>
      </c>
      <c r="I613" s="93"/>
      <c r="J613" s="99">
        <f t="shared" si="10"/>
        <v>0</v>
      </c>
      <c r="K613" s="93">
        <v>32</v>
      </c>
      <c r="L613" s="93" t="s">
        <v>1370</v>
      </c>
      <c r="M613" s="93"/>
      <c r="N613" s="92"/>
      <c r="O613" s="92"/>
      <c r="P613" s="92"/>
    </row>
    <row r="614" spans="1:16">
      <c r="A614" s="39" t="str">
        <f>INDEX([2]活动总表!$A$8:$A$429,MATCH(B614,[2]活动总表!$B$8:$B$429,0))</f>
        <v>版本庆典-5日商城</v>
      </c>
      <c r="B614" s="93">
        <v>1002</v>
      </c>
      <c r="C614" s="94">
        <v>24</v>
      </c>
      <c r="D614" s="94">
        <v>0</v>
      </c>
      <c r="E614" s="94">
        <v>12</v>
      </c>
      <c r="F614" s="93">
        <v>514201</v>
      </c>
      <c r="G614" s="76" t="str">
        <f>IFERROR(INDEX([1]物品基础表!$A:$A,MATCH(F614,[1]物品基础表!$B:$B,0)),"")</f>
        <v>橙祝福1级</v>
      </c>
      <c r="H614" s="93">
        <v>10</v>
      </c>
      <c r="I614" s="93"/>
      <c r="J614" s="99">
        <f t="shared" si="10"/>
        <v>0</v>
      </c>
      <c r="K614" s="93">
        <v>33</v>
      </c>
      <c r="L614" s="93" t="s">
        <v>1376</v>
      </c>
      <c r="M614" s="93"/>
      <c r="N614" s="92"/>
      <c r="O614" s="92"/>
      <c r="P614" s="92"/>
    </row>
    <row r="615" spans="1:16">
      <c r="A615" s="39" t="str">
        <f>INDEX([2]活动总表!$A$8:$A$429,MATCH(B615,[2]活动总表!$B$8:$B$429,0))</f>
        <v>版本庆典-5日商城</v>
      </c>
      <c r="B615" s="93">
        <v>1002</v>
      </c>
      <c r="C615" s="94">
        <v>25</v>
      </c>
      <c r="D615" s="94">
        <v>0</v>
      </c>
      <c r="E615" s="94">
        <v>12</v>
      </c>
      <c r="F615" s="93">
        <v>515201</v>
      </c>
      <c r="G615" s="76" t="str">
        <f>IFERROR(INDEX([1]物品基础表!$A:$A,MATCH(F615,[1]物品基础表!$B:$B,0)),"")</f>
        <v>橙财神1级</v>
      </c>
      <c r="H615" s="93">
        <v>5</v>
      </c>
      <c r="I615" s="93"/>
      <c r="J615" s="99">
        <f t="shared" si="10"/>
        <v>0</v>
      </c>
      <c r="K615" s="93">
        <v>34</v>
      </c>
      <c r="L615" s="93" t="s">
        <v>1374</v>
      </c>
      <c r="M615" s="93"/>
      <c r="N615" s="92"/>
      <c r="O615" s="92"/>
      <c r="P615" s="92"/>
    </row>
    <row r="616" spans="1:16">
      <c r="A616" s="39" t="str">
        <f>INDEX([2]活动总表!$A$8:$A$429,MATCH(B616,[2]活动总表!$B$8:$B$429,0))</f>
        <v>版本庆典-5日商城</v>
      </c>
      <c r="B616" s="93">
        <v>1002</v>
      </c>
      <c r="C616" s="94">
        <v>26</v>
      </c>
      <c r="D616" s="94">
        <v>0</v>
      </c>
      <c r="E616" s="94">
        <v>12</v>
      </c>
      <c r="F616" s="93">
        <v>516201</v>
      </c>
      <c r="G616" s="76" t="str">
        <f>IFERROR(INDEX([1]物品基础表!$A:$A,MATCH(F616,[1]物品基础表!$B:$B,0)),"")</f>
        <v>橙强攻1级</v>
      </c>
      <c r="H616" s="93">
        <v>20</v>
      </c>
      <c r="I616" s="93"/>
      <c r="J616" s="99">
        <f t="shared" si="10"/>
        <v>0</v>
      </c>
      <c r="K616" s="93">
        <v>35</v>
      </c>
      <c r="L616" s="93" t="s">
        <v>1370</v>
      </c>
      <c r="M616" s="93"/>
      <c r="N616" s="92"/>
      <c r="O616" s="92"/>
      <c r="P616" s="92"/>
    </row>
    <row r="617" spans="1:16">
      <c r="A617" s="39" t="str">
        <f>INDEX([2]活动总表!$A$8:$A$429,MATCH(B617,[2]活动总表!$B$8:$B$429,0))</f>
        <v>版本庆典-5日商城</v>
      </c>
      <c r="B617" s="93">
        <v>1002</v>
      </c>
      <c r="C617" s="94">
        <v>27</v>
      </c>
      <c r="D617" s="94">
        <v>0</v>
      </c>
      <c r="E617" s="94">
        <v>12</v>
      </c>
      <c r="F617" s="93">
        <v>517201</v>
      </c>
      <c r="G617" s="76" t="str">
        <f>IFERROR(INDEX([1]物品基础表!$A:$A,MATCH(F617,[1]物品基础表!$B:$B,0)),"")</f>
        <v>橙毁灭1级</v>
      </c>
      <c r="H617" s="93">
        <v>20</v>
      </c>
      <c r="I617" s="93"/>
      <c r="J617" s="99">
        <f t="shared" si="10"/>
        <v>0</v>
      </c>
      <c r="K617" s="93">
        <v>36</v>
      </c>
      <c r="L617" s="93" t="s">
        <v>1376</v>
      </c>
      <c r="M617" s="93"/>
      <c r="N617" s="92"/>
      <c r="O617" s="92"/>
      <c r="P617" s="92"/>
    </row>
    <row r="618" spans="1:16">
      <c r="A618" s="39" t="str">
        <f>INDEX([2]活动总表!$A$8:$A$429,MATCH(B618,[2]活动总表!$B$8:$B$429,0))</f>
        <v>版本庆典-5日商城</v>
      </c>
      <c r="B618" s="93">
        <v>1002</v>
      </c>
      <c r="C618" s="94">
        <v>28</v>
      </c>
      <c r="D618" s="94">
        <v>0</v>
      </c>
      <c r="E618" s="94">
        <v>12</v>
      </c>
      <c r="F618" s="93">
        <v>518201</v>
      </c>
      <c r="G618" s="76" t="str">
        <f>IFERROR(INDEX([1]物品基础表!$A:$A,MATCH(F618,[1]物品基础表!$B:$B,0)),"")</f>
        <v>橙泰坦1级</v>
      </c>
      <c r="H618" s="93">
        <v>20</v>
      </c>
      <c r="I618" s="93"/>
      <c r="J618" s="99">
        <f t="shared" si="10"/>
        <v>0</v>
      </c>
      <c r="K618" s="93">
        <v>37</v>
      </c>
      <c r="L618" s="93" t="s">
        <v>1374</v>
      </c>
      <c r="M618" s="93"/>
      <c r="N618" s="92"/>
      <c r="O618" s="92"/>
      <c r="P618" s="92"/>
    </row>
    <row r="619" spans="1:16">
      <c r="A619" s="39" t="str">
        <f>INDEX([2]活动总表!$A$8:$A$429,MATCH(B619,[2]活动总表!$B$8:$B$429,0))</f>
        <v>版本庆典-5日商城</v>
      </c>
      <c r="B619" s="93">
        <v>1002</v>
      </c>
      <c r="C619" s="94">
        <v>29</v>
      </c>
      <c r="D619" s="94">
        <v>0</v>
      </c>
      <c r="E619" s="94">
        <v>12</v>
      </c>
      <c r="F619" s="93">
        <v>512301</v>
      </c>
      <c r="G619" s="76" t="str">
        <f>IFERROR(INDEX([1]物品基础表!$A:$A,MATCH(F619,[1]物品基础表!$B:$B,0)),"")</f>
        <v>红豁免1级</v>
      </c>
      <c r="H619" s="93">
        <v>5</v>
      </c>
      <c r="I619" s="93"/>
      <c r="J619" s="99">
        <f t="shared" si="10"/>
        <v>0</v>
      </c>
      <c r="K619" s="93">
        <v>38</v>
      </c>
      <c r="L619" s="93" t="s">
        <v>1375</v>
      </c>
      <c r="M619" s="93"/>
      <c r="N619" s="92"/>
      <c r="O619" s="92"/>
      <c r="P619" s="92"/>
    </row>
    <row r="620" spans="1:16">
      <c r="A620" s="39" t="str">
        <f>INDEX([2]活动总表!$A$8:$A$429,MATCH(B620,[2]活动总表!$B$8:$B$429,0))</f>
        <v>版本庆典-5日商城</v>
      </c>
      <c r="B620" s="93">
        <v>1002</v>
      </c>
      <c r="C620" s="94">
        <v>30</v>
      </c>
      <c r="D620" s="94">
        <v>0</v>
      </c>
      <c r="E620" s="94">
        <v>12</v>
      </c>
      <c r="F620" s="93">
        <v>513301</v>
      </c>
      <c r="G620" s="76" t="str">
        <f>IFERROR(INDEX([1]物品基础表!$A:$A,MATCH(F620,[1]物品基础表!$B:$B,0)),"")</f>
        <v>红杀戮1级</v>
      </c>
      <c r="H620" s="93">
        <v>5</v>
      </c>
      <c r="I620" s="93"/>
      <c r="J620" s="99">
        <f t="shared" si="10"/>
        <v>0</v>
      </c>
      <c r="K620" s="93">
        <v>39</v>
      </c>
      <c r="L620" s="93" t="s">
        <v>1367</v>
      </c>
      <c r="M620" s="93"/>
      <c r="N620" s="92"/>
      <c r="O620" s="92"/>
      <c r="P620" s="92"/>
    </row>
  </sheetData>
  <phoneticPr fontId="1"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32</vt:i4>
      </vt:variant>
    </vt:vector>
  </HeadingPairs>
  <TitlesOfParts>
    <vt:vector size="32" baseType="lpstr">
      <vt:lpstr>目录</vt:lpstr>
      <vt:lpstr>vip</vt:lpstr>
      <vt:lpstr>签到</vt:lpstr>
      <vt:lpstr>登陆</vt:lpstr>
      <vt:lpstr>其他</vt:lpstr>
      <vt:lpstr>个人活动</vt:lpstr>
      <vt:lpstr>开服前几天充值</vt:lpstr>
      <vt:lpstr>每日累充</vt:lpstr>
      <vt:lpstr>天天返利</vt:lpstr>
      <vt:lpstr>三日连充</vt:lpstr>
      <vt:lpstr>首充</vt:lpstr>
      <vt:lpstr>活动总览</vt:lpstr>
      <vt:lpstr>类型1</vt:lpstr>
      <vt:lpstr>类型2</vt:lpstr>
      <vt:lpstr>类型3</vt:lpstr>
      <vt:lpstr>类型4</vt:lpstr>
      <vt:lpstr>类型5</vt:lpstr>
      <vt:lpstr>类型6</vt:lpstr>
      <vt:lpstr>类型7</vt:lpstr>
      <vt:lpstr>类型8</vt:lpstr>
      <vt:lpstr>类型9</vt:lpstr>
      <vt:lpstr>类型10</vt:lpstr>
      <vt:lpstr>类型11-1</vt:lpstr>
      <vt:lpstr>类型11-2</vt:lpstr>
      <vt:lpstr>类型12</vt:lpstr>
      <vt:lpstr>类型18</vt:lpstr>
      <vt:lpstr>类型18掉落</vt:lpstr>
      <vt:lpstr>类型19</vt:lpstr>
      <vt:lpstr>类型20</vt:lpstr>
      <vt:lpstr>类型21</vt:lpstr>
      <vt:lpstr>类型22-1</vt:lpstr>
      <vt:lpstr>类型22-2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2019-03-08T02:36:13Z</dcterms:modified>
</cp:coreProperties>
</file>